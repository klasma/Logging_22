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46093</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46093</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46093</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46093</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46093</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46093</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46093</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46093</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42099-2024</t>
        </is>
      </c>
      <c r="B10" s="1" t="n">
        <v>45562</v>
      </c>
      <c r="C10" s="1" t="n">
        <v>46093</v>
      </c>
      <c r="D10" t="inlineStr">
        <is>
          <t>VÄSTERNORRLANDS LÄN</t>
        </is>
      </c>
      <c r="E10" t="inlineStr">
        <is>
          <t>SOLLEFTEÅ</t>
        </is>
      </c>
      <c r="F10" t="inlineStr">
        <is>
          <t>SCA</t>
        </is>
      </c>
      <c r="G10" t="n">
        <v>23.8</v>
      </c>
      <c r="H10" t="n">
        <v>8</v>
      </c>
      <c r="I10" t="n">
        <v>7</v>
      </c>
      <c r="J10" t="n">
        <v>12</v>
      </c>
      <c r="K10" t="n">
        <v>5</v>
      </c>
      <c r="L10" t="n">
        <v>0</v>
      </c>
      <c r="M10" t="n">
        <v>0</v>
      </c>
      <c r="N10" t="n">
        <v>0</v>
      </c>
      <c r="O10" t="n">
        <v>17</v>
      </c>
      <c r="P10" t="n">
        <v>5</v>
      </c>
      <c r="Q10" t="n">
        <v>27</v>
      </c>
      <c r="R10"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0">
        <f>HYPERLINK("https://klasma.github.io/Logging_2283/artfynd/A 42099-2024 artfynd.xlsx", "A 42099-2024")</f>
        <v/>
      </c>
      <c r="T10">
        <f>HYPERLINK("https://klasma.github.io/Logging_2283/kartor/A 42099-2024 karta.png", "A 42099-2024")</f>
        <v/>
      </c>
      <c r="U10">
        <f>HYPERLINK("https://klasma.github.io/Logging_2283/knärot/A 42099-2024 karta knärot.png", "A 42099-2024")</f>
        <v/>
      </c>
      <c r="V10">
        <f>HYPERLINK("https://klasma.github.io/Logging_2283/klagomål/A 42099-2024 FSC-klagomål.docx", "A 42099-2024")</f>
        <v/>
      </c>
      <c r="W10">
        <f>HYPERLINK("https://klasma.github.io/Logging_2283/klagomålsmail/A 42099-2024 FSC-klagomål mail.docx", "A 42099-2024")</f>
        <v/>
      </c>
      <c r="X10">
        <f>HYPERLINK("https://klasma.github.io/Logging_2283/tillsyn/A 42099-2024 tillsynsbegäran.docx", "A 42099-2024")</f>
        <v/>
      </c>
      <c r="Y10">
        <f>HYPERLINK("https://klasma.github.io/Logging_2283/tillsynsmail/A 42099-2024 tillsynsbegäran mail.docx", "A 42099-2024")</f>
        <v/>
      </c>
      <c r="Z10">
        <f>HYPERLINK("https://klasma.github.io/Logging_2283/fåglar/A 42099-2024 prioriterade fågelarter.docx", "A 42099-2024")</f>
        <v/>
      </c>
    </row>
    <row r="11" ht="15" customHeight="1">
      <c r="A11" t="inlineStr">
        <is>
          <t>A 44245-2021</t>
        </is>
      </c>
      <c r="B11" s="1" t="n">
        <v>44434</v>
      </c>
      <c r="C11" s="1" t="n">
        <v>46093</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44652-2025</t>
        </is>
      </c>
      <c r="B12" s="1" t="n">
        <v>45917</v>
      </c>
      <c r="C12" s="1" t="n">
        <v>46093</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43968-2023</t>
        </is>
      </c>
      <c r="B13" s="1" t="n">
        <v>45187</v>
      </c>
      <c r="C13" s="1" t="n">
        <v>46093</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46093</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29100-2024</t>
        </is>
      </c>
      <c r="B15" s="1" t="n">
        <v>45481</v>
      </c>
      <c r="C15" s="1" t="n">
        <v>46093</v>
      </c>
      <c r="D15" t="inlineStr">
        <is>
          <t>VÄSTERNORRLANDS LÄN</t>
        </is>
      </c>
      <c r="E15" t="inlineStr">
        <is>
          <t>SOLLEFTEÅ</t>
        </is>
      </c>
      <c r="F15" t="inlineStr">
        <is>
          <t>SCA</t>
        </is>
      </c>
      <c r="G15" t="n">
        <v>25.4</v>
      </c>
      <c r="H15" t="n">
        <v>7</v>
      </c>
      <c r="I15" t="n">
        <v>5</v>
      </c>
      <c r="J15" t="n">
        <v>14</v>
      </c>
      <c r="K15" t="n">
        <v>3</v>
      </c>
      <c r="L15" t="n">
        <v>0</v>
      </c>
      <c r="M15" t="n">
        <v>0</v>
      </c>
      <c r="N15" t="n">
        <v>0</v>
      </c>
      <c r="O15" t="n">
        <v>17</v>
      </c>
      <c r="P15" t="n">
        <v>3</v>
      </c>
      <c r="Q15" t="n">
        <v>24</v>
      </c>
      <c r="R15"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5">
        <f>HYPERLINK("https://klasma.github.io/Logging_2283/artfynd/A 29100-2024 artfynd.xlsx", "A 29100-2024")</f>
        <v/>
      </c>
      <c r="T15">
        <f>HYPERLINK("https://klasma.github.io/Logging_2283/kartor/A 29100-2024 karta.png", "A 29100-2024")</f>
        <v/>
      </c>
      <c r="U15">
        <f>HYPERLINK("https://klasma.github.io/Logging_2283/knärot/A 29100-2024 karta knärot.png", "A 29100-2024")</f>
        <v/>
      </c>
      <c r="V15">
        <f>HYPERLINK("https://klasma.github.io/Logging_2283/klagomål/A 29100-2024 FSC-klagomål.docx", "A 29100-2024")</f>
        <v/>
      </c>
      <c r="W15">
        <f>HYPERLINK("https://klasma.github.io/Logging_2283/klagomålsmail/A 29100-2024 FSC-klagomål mail.docx", "A 29100-2024")</f>
        <v/>
      </c>
      <c r="X15">
        <f>HYPERLINK("https://klasma.github.io/Logging_2283/tillsyn/A 29100-2024 tillsynsbegäran.docx", "A 29100-2024")</f>
        <v/>
      </c>
      <c r="Y15">
        <f>HYPERLINK("https://klasma.github.io/Logging_2283/tillsynsmail/A 29100-2024 tillsynsbegäran mail.docx", "A 29100-2024")</f>
        <v/>
      </c>
      <c r="Z15">
        <f>HYPERLINK("https://klasma.github.io/Logging_2283/fåglar/A 29100-2024 prioriterade fågelarter.docx", "A 29100-2024")</f>
        <v/>
      </c>
    </row>
    <row r="16" ht="15" customHeight="1">
      <c r="A16" t="inlineStr">
        <is>
          <t>A 34481-2023</t>
        </is>
      </c>
      <c r="B16" s="1" t="n">
        <v>45139</v>
      </c>
      <c r="C16" s="1" t="n">
        <v>46093</v>
      </c>
      <c r="D16" t="inlineStr">
        <is>
          <t>VÄSTERNORRLANDS LÄN</t>
        </is>
      </c>
      <c r="E16" t="inlineStr">
        <is>
          <t>ÅNGE</t>
        </is>
      </c>
      <c r="G16" t="n">
        <v>8.699999999999999</v>
      </c>
      <c r="H16" t="n">
        <v>2</v>
      </c>
      <c r="I16" t="n">
        <v>5</v>
      </c>
      <c r="J16" t="n">
        <v>14</v>
      </c>
      <c r="K16" t="n">
        <v>5</v>
      </c>
      <c r="L16" t="n">
        <v>0</v>
      </c>
      <c r="M16" t="n">
        <v>0</v>
      </c>
      <c r="N16" t="n">
        <v>0</v>
      </c>
      <c r="O16" t="n">
        <v>19</v>
      </c>
      <c r="P16" t="n">
        <v>5</v>
      </c>
      <c r="Q16" t="n">
        <v>24</v>
      </c>
      <c r="R16"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6">
        <f>HYPERLINK("https://klasma.github.io/Logging_2260/artfynd/A 34481-2023 artfynd.xlsx", "A 34481-2023")</f>
        <v/>
      </c>
      <c r="T16">
        <f>HYPERLINK("https://klasma.github.io/Logging_2260/kartor/A 34481-2023 karta.png", "A 34481-2023")</f>
        <v/>
      </c>
      <c r="U16">
        <f>HYPERLINK("https://klasma.github.io/Logging_2260/knärot/A 34481-2023 karta knärot.png", "A 34481-2023")</f>
        <v/>
      </c>
      <c r="V16">
        <f>HYPERLINK("https://klasma.github.io/Logging_2260/klagomål/A 34481-2023 FSC-klagomål.docx", "A 34481-2023")</f>
        <v/>
      </c>
      <c r="W16">
        <f>HYPERLINK("https://klasma.github.io/Logging_2260/klagomålsmail/A 34481-2023 FSC-klagomål mail.docx", "A 34481-2023")</f>
        <v/>
      </c>
      <c r="X16">
        <f>HYPERLINK("https://klasma.github.io/Logging_2260/tillsyn/A 34481-2023 tillsynsbegäran.docx", "A 34481-2023")</f>
        <v/>
      </c>
      <c r="Y16">
        <f>HYPERLINK("https://klasma.github.io/Logging_2260/tillsynsmail/A 34481-2023 tillsynsbegäran mail.docx", "A 34481-2023")</f>
        <v/>
      </c>
    </row>
    <row r="17" ht="15" customHeight="1">
      <c r="A17" t="inlineStr">
        <is>
          <t>A 57118-2024</t>
        </is>
      </c>
      <c r="B17" s="1" t="n">
        <v>45629</v>
      </c>
      <c r="C17" s="1" t="n">
        <v>46093</v>
      </c>
      <c r="D17" t="inlineStr">
        <is>
          <t>VÄSTERNORRLANDS LÄN</t>
        </is>
      </c>
      <c r="E17" t="inlineStr">
        <is>
          <t>ÅNGE</t>
        </is>
      </c>
      <c r="G17" t="n">
        <v>44.1</v>
      </c>
      <c r="H17" t="n">
        <v>6</v>
      </c>
      <c r="I17" t="n">
        <v>4</v>
      </c>
      <c r="J17" t="n">
        <v>15</v>
      </c>
      <c r="K17" t="n">
        <v>3</v>
      </c>
      <c r="L17" t="n">
        <v>0</v>
      </c>
      <c r="M17" t="n">
        <v>0</v>
      </c>
      <c r="N17" t="n">
        <v>0</v>
      </c>
      <c r="O17" t="n">
        <v>18</v>
      </c>
      <c r="P17" t="n">
        <v>3</v>
      </c>
      <c r="Q17" t="n">
        <v>24</v>
      </c>
      <c r="R17"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7">
        <f>HYPERLINK("https://klasma.github.io/Logging_2260/artfynd/A 57118-2024 artfynd.xlsx", "A 57118-2024")</f>
        <v/>
      </c>
      <c r="T17">
        <f>HYPERLINK("https://klasma.github.io/Logging_2260/kartor/A 57118-2024 karta.png", "A 57118-2024")</f>
        <v/>
      </c>
      <c r="U17">
        <f>HYPERLINK("https://klasma.github.io/Logging_2260/knärot/A 57118-2024 karta knärot.png", "A 57118-2024")</f>
        <v/>
      </c>
      <c r="V17">
        <f>HYPERLINK("https://klasma.github.io/Logging_2260/klagomål/A 57118-2024 FSC-klagomål.docx", "A 57118-2024")</f>
        <v/>
      </c>
      <c r="W17">
        <f>HYPERLINK("https://klasma.github.io/Logging_2260/klagomålsmail/A 57118-2024 FSC-klagomål mail.docx", "A 57118-2024")</f>
        <v/>
      </c>
      <c r="X17">
        <f>HYPERLINK("https://klasma.github.io/Logging_2260/tillsyn/A 57118-2024 tillsynsbegäran.docx", "A 57118-2024")</f>
        <v/>
      </c>
      <c r="Y17">
        <f>HYPERLINK("https://klasma.github.io/Logging_2260/tillsynsmail/A 57118-2024 tillsynsbegäran mail.docx", "A 57118-2024")</f>
        <v/>
      </c>
      <c r="Z17">
        <f>HYPERLINK("https://klasma.github.io/Logging_2260/fåglar/A 57118-2024 prioriterade fågelarter.docx", "A 57118-2024")</f>
        <v/>
      </c>
    </row>
    <row r="18" ht="15" customHeight="1">
      <c r="A18" t="inlineStr">
        <is>
          <t>A 45998-2025</t>
        </is>
      </c>
      <c r="B18" s="1" t="n">
        <v>45924</v>
      </c>
      <c r="C18" s="1" t="n">
        <v>46093</v>
      </c>
      <c r="D18" t="inlineStr">
        <is>
          <t>VÄSTERNORRLANDS LÄN</t>
        </is>
      </c>
      <c r="E18" t="inlineStr">
        <is>
          <t>KRAMFORS</t>
        </is>
      </c>
      <c r="G18" t="n">
        <v>32.2</v>
      </c>
      <c r="H18" t="n">
        <v>8</v>
      </c>
      <c r="I18" t="n">
        <v>7</v>
      </c>
      <c r="J18" t="n">
        <v>9</v>
      </c>
      <c r="K18" t="n">
        <v>4</v>
      </c>
      <c r="L18" t="n">
        <v>0</v>
      </c>
      <c r="M18" t="n">
        <v>0</v>
      </c>
      <c r="N18" t="n">
        <v>0</v>
      </c>
      <c r="O18" t="n">
        <v>13</v>
      </c>
      <c r="P18" t="n">
        <v>4</v>
      </c>
      <c r="Q18" t="n">
        <v>24</v>
      </c>
      <c r="R18"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8">
        <f>HYPERLINK("https://klasma.github.io/Logging_2282/artfynd/A 45998-2025 artfynd.xlsx", "A 45998-2025")</f>
        <v/>
      </c>
      <c r="T18">
        <f>HYPERLINK("https://klasma.github.io/Logging_2282/kartor/A 45998-2025 karta.png", "A 45998-2025")</f>
        <v/>
      </c>
      <c r="U18">
        <f>HYPERLINK("https://klasma.github.io/Logging_2282/knärot/A 45998-2025 karta knärot.png", "A 45998-2025")</f>
        <v/>
      </c>
      <c r="V18">
        <f>HYPERLINK("https://klasma.github.io/Logging_2282/klagomål/A 45998-2025 FSC-klagomål.docx", "A 45998-2025")</f>
        <v/>
      </c>
      <c r="W18">
        <f>HYPERLINK("https://klasma.github.io/Logging_2282/klagomålsmail/A 45998-2025 FSC-klagomål mail.docx", "A 45998-2025")</f>
        <v/>
      </c>
      <c r="X18">
        <f>HYPERLINK("https://klasma.github.io/Logging_2282/tillsyn/A 45998-2025 tillsynsbegäran.docx", "A 45998-2025")</f>
        <v/>
      </c>
      <c r="Y18">
        <f>HYPERLINK("https://klasma.github.io/Logging_2282/tillsynsmail/A 45998-2025 tillsynsbegäran mail.docx", "A 45998-2025")</f>
        <v/>
      </c>
      <c r="Z18">
        <f>HYPERLINK("https://klasma.github.io/Logging_2282/fåglar/A 45998-2025 prioriterade fågelarter.docx", "A 45998-2025")</f>
        <v/>
      </c>
    </row>
    <row r="19" ht="15" customHeight="1">
      <c r="A19" t="inlineStr">
        <is>
          <t>A 38014-2024</t>
        </is>
      </c>
      <c r="B19" s="1" t="n">
        <v>45544</v>
      </c>
      <c r="C19" s="1" t="n">
        <v>46093</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Violöra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46093</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46093</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29339-2023</t>
        </is>
      </c>
      <c r="B22" s="1" t="n">
        <v>45105</v>
      </c>
      <c r="C22" s="1" t="n">
        <v>46093</v>
      </c>
      <c r="D22" t="inlineStr">
        <is>
          <t>VÄSTERNORRLANDS LÄN</t>
        </is>
      </c>
      <c r="E22" t="inlineStr">
        <is>
          <t>SOLLEFTEÅ</t>
        </is>
      </c>
      <c r="F22" t="inlineStr">
        <is>
          <t>SCA</t>
        </is>
      </c>
      <c r="G22" t="n">
        <v>10.4</v>
      </c>
      <c r="H22" t="n">
        <v>4</v>
      </c>
      <c r="I22" t="n">
        <v>5</v>
      </c>
      <c r="J22" t="n">
        <v>12</v>
      </c>
      <c r="K22" t="n">
        <v>5</v>
      </c>
      <c r="L22" t="n">
        <v>0</v>
      </c>
      <c r="M22" t="n">
        <v>0</v>
      </c>
      <c r="N22" t="n">
        <v>0</v>
      </c>
      <c r="O22" t="n">
        <v>17</v>
      </c>
      <c r="P22" t="n">
        <v>5</v>
      </c>
      <c r="Q22" t="n">
        <v>22</v>
      </c>
      <c r="R2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2">
        <f>HYPERLINK("https://klasma.github.io/Logging_2283/artfynd/A 29339-2023 artfynd.xlsx", "A 29339-2023")</f>
        <v/>
      </c>
      <c r="T22">
        <f>HYPERLINK("https://klasma.github.io/Logging_2283/kartor/A 29339-2023 karta.png", "A 29339-2023")</f>
        <v/>
      </c>
      <c r="U22">
        <f>HYPERLINK("https://klasma.github.io/Logging_2283/knärot/A 29339-2023 karta knärot.png", "A 29339-2023")</f>
        <v/>
      </c>
      <c r="V22">
        <f>HYPERLINK("https://klasma.github.io/Logging_2283/klagomål/A 29339-2023 FSC-klagomål.docx", "A 29339-2023")</f>
        <v/>
      </c>
      <c r="W22">
        <f>HYPERLINK("https://klasma.github.io/Logging_2283/klagomålsmail/A 29339-2023 FSC-klagomål mail.docx", "A 29339-2023")</f>
        <v/>
      </c>
      <c r="X22">
        <f>HYPERLINK("https://klasma.github.io/Logging_2283/tillsyn/A 29339-2023 tillsynsbegäran.docx", "A 29339-2023")</f>
        <v/>
      </c>
      <c r="Y22">
        <f>HYPERLINK("https://klasma.github.io/Logging_2283/tillsynsmail/A 29339-2023 tillsynsbegäran mail.docx", "A 29339-2023")</f>
        <v/>
      </c>
      <c r="Z22">
        <f>HYPERLINK("https://klasma.github.io/Logging_2283/fåglar/A 29339-2023 prioriterade fågelarter.docx", "A 29339-2023")</f>
        <v/>
      </c>
    </row>
    <row r="23" ht="15" customHeight="1">
      <c r="A23" t="inlineStr">
        <is>
          <t>A 14677-2022</t>
        </is>
      </c>
      <c r="B23" s="1" t="n">
        <v>44655</v>
      </c>
      <c r="C23" s="1" t="n">
        <v>46093</v>
      </c>
      <c r="D23" t="inlineStr">
        <is>
          <t>VÄSTERNORRLANDS LÄN</t>
        </is>
      </c>
      <c r="E23" t="inlineStr">
        <is>
          <t>SUNDSVALL</t>
        </is>
      </c>
      <c r="G23" t="n">
        <v>12.9</v>
      </c>
      <c r="H23" t="n">
        <v>5</v>
      </c>
      <c r="I23" t="n">
        <v>6</v>
      </c>
      <c r="J23" t="n">
        <v>9</v>
      </c>
      <c r="K23" t="n">
        <v>5</v>
      </c>
      <c r="L23" t="n">
        <v>0</v>
      </c>
      <c r="M23" t="n">
        <v>0</v>
      </c>
      <c r="N23" t="n">
        <v>0</v>
      </c>
      <c r="O23" t="n">
        <v>14</v>
      </c>
      <c r="P23" t="n">
        <v>5</v>
      </c>
      <c r="Q23" t="n">
        <v>22</v>
      </c>
      <c r="R23" s="2" t="inlineStr">
        <is>
          <t>Blackticka
Knärot
Lappticka
Rynkskinn
Ulltickeporing
Doftskinn
Gammelgransskål
Garnlav
Granticka
Lunglav
Rosenticka
Talltita
Tretåig hackspett
Ullticka
Blodticka
Dropptaggsvamp
Norrlandslav
Stuplav
Trådticka
Vedticka
Fläcknycklar
Revlummer</t>
        </is>
      </c>
      <c r="S23">
        <f>HYPERLINK("https://klasma.github.io/Logging_2281/artfynd/A 14677-2022 artfynd.xlsx", "A 14677-2022")</f>
        <v/>
      </c>
      <c r="T23">
        <f>HYPERLINK("https://klasma.github.io/Logging_2281/kartor/A 14677-2022 karta.png", "A 14677-2022")</f>
        <v/>
      </c>
      <c r="U23">
        <f>HYPERLINK("https://klasma.github.io/Logging_2281/knärot/A 14677-2022 karta knärot.png", "A 14677-2022")</f>
        <v/>
      </c>
      <c r="V23">
        <f>HYPERLINK("https://klasma.github.io/Logging_2281/klagomål/A 14677-2022 FSC-klagomål.docx", "A 14677-2022")</f>
        <v/>
      </c>
      <c r="W23">
        <f>HYPERLINK("https://klasma.github.io/Logging_2281/klagomålsmail/A 14677-2022 FSC-klagomål mail.docx", "A 14677-2022")</f>
        <v/>
      </c>
      <c r="X23">
        <f>HYPERLINK("https://klasma.github.io/Logging_2281/tillsyn/A 14677-2022 tillsynsbegäran.docx", "A 14677-2022")</f>
        <v/>
      </c>
      <c r="Y23">
        <f>HYPERLINK("https://klasma.github.io/Logging_2281/tillsynsmail/A 14677-2022 tillsynsbegäran mail.docx", "A 14677-2022")</f>
        <v/>
      </c>
      <c r="Z23">
        <f>HYPERLINK("https://klasma.github.io/Logging_2281/fåglar/A 14677-2022 prioriterade fågelarter.docx", "A 14677-2022")</f>
        <v/>
      </c>
    </row>
    <row r="24" ht="15" customHeight="1">
      <c r="A24" t="inlineStr">
        <is>
          <t>A 11492-2022</t>
        </is>
      </c>
      <c r="B24" s="1" t="n">
        <v>44630</v>
      </c>
      <c r="C24" s="1" t="n">
        <v>46093</v>
      </c>
      <c r="D24" t="inlineStr">
        <is>
          <t>VÄSTERNORRLANDS LÄN</t>
        </is>
      </c>
      <c r="E24" t="inlineStr">
        <is>
          <t>SOLLEFTEÅ</t>
        </is>
      </c>
      <c r="F24" t="inlineStr">
        <is>
          <t>SCA</t>
        </is>
      </c>
      <c r="G24" t="n">
        <v>9.300000000000001</v>
      </c>
      <c r="H24" t="n">
        <v>4</v>
      </c>
      <c r="I24" t="n">
        <v>4</v>
      </c>
      <c r="J24" t="n">
        <v>14</v>
      </c>
      <c r="K24" t="n">
        <v>3</v>
      </c>
      <c r="L24" t="n">
        <v>0</v>
      </c>
      <c r="M24" t="n">
        <v>0</v>
      </c>
      <c r="N24" t="n">
        <v>0</v>
      </c>
      <c r="O24" t="n">
        <v>17</v>
      </c>
      <c r="P24" t="n">
        <v>3</v>
      </c>
      <c r="Q24" t="n">
        <v>22</v>
      </c>
      <c r="R24"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4">
        <f>HYPERLINK("https://klasma.github.io/Logging_2283/artfynd/A 11492-2022 artfynd.xlsx", "A 11492-2022")</f>
        <v/>
      </c>
      <c r="T24">
        <f>HYPERLINK("https://klasma.github.io/Logging_2283/kartor/A 11492-2022 karta.png", "A 11492-2022")</f>
        <v/>
      </c>
      <c r="U24">
        <f>HYPERLINK("https://klasma.github.io/Logging_2283/knärot/A 11492-2022 karta knärot.png", "A 11492-2022")</f>
        <v/>
      </c>
      <c r="V24">
        <f>HYPERLINK("https://klasma.github.io/Logging_2283/klagomål/A 11492-2022 FSC-klagomål.docx", "A 11492-2022")</f>
        <v/>
      </c>
      <c r="W24">
        <f>HYPERLINK("https://klasma.github.io/Logging_2283/klagomålsmail/A 11492-2022 FSC-klagomål mail.docx", "A 11492-2022")</f>
        <v/>
      </c>
      <c r="X24">
        <f>HYPERLINK("https://klasma.github.io/Logging_2283/tillsyn/A 11492-2022 tillsynsbegäran.docx", "A 11492-2022")</f>
        <v/>
      </c>
      <c r="Y24">
        <f>HYPERLINK("https://klasma.github.io/Logging_2283/tillsynsmail/A 11492-2022 tillsynsbegäran mail.docx", "A 11492-2022")</f>
        <v/>
      </c>
      <c r="Z24">
        <f>HYPERLINK("https://klasma.github.io/Logging_2283/fåglar/A 11492-2022 prioriterade fågelarter.docx", "A 11492-2022")</f>
        <v/>
      </c>
    </row>
    <row r="25" ht="15" customHeight="1">
      <c r="A25" t="inlineStr">
        <is>
          <t>A 48568-2023</t>
        </is>
      </c>
      <c r="B25" s="1" t="n">
        <v>45208</v>
      </c>
      <c r="C25" s="1" t="n">
        <v>46093</v>
      </c>
      <c r="D25" t="inlineStr">
        <is>
          <t>VÄSTERNORRLANDS LÄN</t>
        </is>
      </c>
      <c r="E25" t="inlineStr">
        <is>
          <t>SUNDSVALL</t>
        </is>
      </c>
      <c r="G25" t="n">
        <v>29.2</v>
      </c>
      <c r="H25" t="n">
        <v>6</v>
      </c>
      <c r="I25" t="n">
        <v>7</v>
      </c>
      <c r="J25" t="n">
        <v>10</v>
      </c>
      <c r="K25" t="n">
        <v>3</v>
      </c>
      <c r="L25" t="n">
        <v>0</v>
      </c>
      <c r="M25" t="n">
        <v>0</v>
      </c>
      <c r="N25" t="n">
        <v>0</v>
      </c>
      <c r="O25" t="n">
        <v>13</v>
      </c>
      <c r="P25" t="n">
        <v>3</v>
      </c>
      <c r="Q25" t="n">
        <v>22</v>
      </c>
      <c r="R25" s="2" t="inlineStr">
        <is>
          <t>Knärot
Lunglavsknapp
Rynkskinn
Garnlav
Granticka
Gränsticka
Kötticka
Lunglav
Rosenticka
Spillkråka
Talltita
Tretåig hackspett
Ullticka
Bårdlav
Grönpyrola
Korallblylav
Luddlav
Norrlandslav
Skinnlav
Stuplav
Blåsippa
Revlummer</t>
        </is>
      </c>
      <c r="S25">
        <f>HYPERLINK("https://klasma.github.io/Logging_2281/artfynd/A 48568-2023 artfynd.xlsx", "A 48568-2023")</f>
        <v/>
      </c>
      <c r="T25">
        <f>HYPERLINK("https://klasma.github.io/Logging_2281/kartor/A 48568-2023 karta.png", "A 48568-2023")</f>
        <v/>
      </c>
      <c r="U25">
        <f>HYPERLINK("https://klasma.github.io/Logging_2281/knärot/A 48568-2023 karta knärot.png", "A 48568-2023")</f>
        <v/>
      </c>
      <c r="V25">
        <f>HYPERLINK("https://klasma.github.io/Logging_2281/klagomål/A 48568-2023 FSC-klagomål.docx", "A 48568-2023")</f>
        <v/>
      </c>
      <c r="W25">
        <f>HYPERLINK("https://klasma.github.io/Logging_2281/klagomålsmail/A 48568-2023 FSC-klagomål mail.docx", "A 48568-2023")</f>
        <v/>
      </c>
      <c r="X25">
        <f>HYPERLINK("https://klasma.github.io/Logging_2281/tillsyn/A 48568-2023 tillsynsbegäran.docx", "A 48568-2023")</f>
        <v/>
      </c>
      <c r="Y25">
        <f>HYPERLINK("https://klasma.github.io/Logging_2281/tillsynsmail/A 48568-2023 tillsynsbegäran mail.docx", "A 48568-2023")</f>
        <v/>
      </c>
      <c r="Z25">
        <f>HYPERLINK("https://klasma.github.io/Logging_2281/fåglar/A 48568-2023 prioriterade fågelarter.docx", "A 48568-2023")</f>
        <v/>
      </c>
    </row>
    <row r="26" ht="15" customHeight="1">
      <c r="A26" t="inlineStr">
        <is>
          <t>A 51286-2025</t>
        </is>
      </c>
      <c r="B26" s="1" t="n">
        <v>45950</v>
      </c>
      <c r="C26" s="1" t="n">
        <v>46093</v>
      </c>
      <c r="D26" t="inlineStr">
        <is>
          <t>VÄSTERNORRLANDS LÄN</t>
        </is>
      </c>
      <c r="E26" t="inlineStr">
        <is>
          <t>SUNDSVALL</t>
        </is>
      </c>
      <c r="F26" t="inlineStr">
        <is>
          <t>Naturvårdsverket</t>
        </is>
      </c>
      <c r="G26" t="n">
        <v>14.1</v>
      </c>
      <c r="H26" t="n">
        <v>5</v>
      </c>
      <c r="I26" t="n">
        <v>4</v>
      </c>
      <c r="J26" t="n">
        <v>14</v>
      </c>
      <c r="K26" t="n">
        <v>3</v>
      </c>
      <c r="L26" t="n">
        <v>0</v>
      </c>
      <c r="M26" t="n">
        <v>0</v>
      </c>
      <c r="N26" t="n">
        <v>0</v>
      </c>
      <c r="O26" t="n">
        <v>17</v>
      </c>
      <c r="P26" t="n">
        <v>3</v>
      </c>
      <c r="Q26" t="n">
        <v>22</v>
      </c>
      <c r="R26"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6">
        <f>HYPERLINK("https://klasma.github.io/Logging_2281/artfynd/A 51286-2025 artfynd.xlsx", "A 51286-2025")</f>
        <v/>
      </c>
      <c r="T26">
        <f>HYPERLINK("https://klasma.github.io/Logging_2281/kartor/A 51286-2025 karta.png", "A 51286-2025")</f>
        <v/>
      </c>
      <c r="U26">
        <f>HYPERLINK("https://klasma.github.io/Logging_2281/knärot/A 51286-2025 karta knärot.png", "A 51286-2025")</f>
        <v/>
      </c>
      <c r="V26">
        <f>HYPERLINK("https://klasma.github.io/Logging_2281/klagomål/A 51286-2025 FSC-klagomål.docx", "A 51286-2025")</f>
        <v/>
      </c>
      <c r="W26">
        <f>HYPERLINK("https://klasma.github.io/Logging_2281/klagomålsmail/A 51286-2025 FSC-klagomål mail.docx", "A 51286-2025")</f>
        <v/>
      </c>
      <c r="X26">
        <f>HYPERLINK("https://klasma.github.io/Logging_2281/tillsyn/A 51286-2025 tillsynsbegäran.docx", "A 51286-2025")</f>
        <v/>
      </c>
      <c r="Y26">
        <f>HYPERLINK("https://klasma.github.io/Logging_2281/tillsynsmail/A 51286-2025 tillsynsbegäran mail.docx", "A 51286-2025")</f>
        <v/>
      </c>
      <c r="Z26">
        <f>HYPERLINK("https://klasma.github.io/Logging_2281/fåglar/A 51286-2025 prioriterade fågelarter.docx", "A 51286-2025")</f>
        <v/>
      </c>
    </row>
    <row r="27" ht="15" customHeight="1">
      <c r="A27" t="inlineStr">
        <is>
          <t>A 24987-2024</t>
        </is>
      </c>
      <c r="B27" s="1" t="n">
        <v>45461</v>
      </c>
      <c r="C27" s="1" t="n">
        <v>46093</v>
      </c>
      <c r="D27" t="inlineStr">
        <is>
          <t>VÄSTERNORRLANDS LÄN</t>
        </is>
      </c>
      <c r="E27" t="inlineStr">
        <is>
          <t>SUNDSVALL</t>
        </is>
      </c>
      <c r="G27" t="n">
        <v>12.8</v>
      </c>
      <c r="H27" t="n">
        <v>5</v>
      </c>
      <c r="I27" t="n">
        <v>9</v>
      </c>
      <c r="J27" t="n">
        <v>9</v>
      </c>
      <c r="K27" t="n">
        <v>2</v>
      </c>
      <c r="L27" t="n">
        <v>0</v>
      </c>
      <c r="M27" t="n">
        <v>0</v>
      </c>
      <c r="N27" t="n">
        <v>0</v>
      </c>
      <c r="O27" t="n">
        <v>11</v>
      </c>
      <c r="P27" t="n">
        <v>2</v>
      </c>
      <c r="Q27" t="n">
        <v>21</v>
      </c>
      <c r="R27" s="2" t="inlineStr">
        <is>
          <t>Knärot
Rynkskinn
Doftskinn
Garnlav
Lunglav
Rosenticka
Skogshare
Spillkråka
Talltita
Tretåig hackspett
Ullticka
Dropptaggsvamp
Fjällig taggsvamp s.str.
Korallblylav
Luddlav
Norrlandslav
Rödgul trumpetsvamp
Stor aspticka
Stuplav
Vedticka
Revlummer</t>
        </is>
      </c>
      <c r="S27">
        <f>HYPERLINK("https://klasma.github.io/Logging_2281/artfynd/A 24987-2024 artfynd.xlsx", "A 24987-2024")</f>
        <v/>
      </c>
      <c r="T27">
        <f>HYPERLINK("https://klasma.github.io/Logging_2281/kartor/A 24987-2024 karta.png", "A 24987-2024")</f>
        <v/>
      </c>
      <c r="U27">
        <f>HYPERLINK("https://klasma.github.io/Logging_2281/knärot/A 24987-2024 karta knärot.png", "A 24987-2024")</f>
        <v/>
      </c>
      <c r="V27">
        <f>HYPERLINK("https://klasma.github.io/Logging_2281/klagomål/A 24987-2024 FSC-klagomål.docx", "A 24987-2024")</f>
        <v/>
      </c>
      <c r="W27">
        <f>HYPERLINK("https://klasma.github.io/Logging_2281/klagomålsmail/A 24987-2024 FSC-klagomål mail.docx", "A 24987-2024")</f>
        <v/>
      </c>
      <c r="X27">
        <f>HYPERLINK("https://klasma.github.io/Logging_2281/tillsyn/A 24987-2024 tillsynsbegäran.docx", "A 24987-2024")</f>
        <v/>
      </c>
      <c r="Y27">
        <f>HYPERLINK("https://klasma.github.io/Logging_2281/tillsynsmail/A 24987-2024 tillsynsbegäran mail.docx", "A 24987-2024")</f>
        <v/>
      </c>
      <c r="Z27">
        <f>HYPERLINK("https://klasma.github.io/Logging_2281/fåglar/A 24987-2024 prioriterade fågelarter.docx", "A 24987-2024")</f>
        <v/>
      </c>
    </row>
    <row r="28" ht="15" customHeight="1">
      <c r="A28" t="inlineStr">
        <is>
          <t>A 23626-2025</t>
        </is>
      </c>
      <c r="B28" s="1" t="n">
        <v>45792</v>
      </c>
      <c r="C28" s="1" t="n">
        <v>46093</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47366-2024</t>
        </is>
      </c>
      <c r="B29" s="1" t="n">
        <v>45587</v>
      </c>
      <c r="C29" s="1" t="n">
        <v>46093</v>
      </c>
      <c r="D29" t="inlineStr">
        <is>
          <t>VÄSTERNORRLANDS LÄN</t>
        </is>
      </c>
      <c r="E29" t="inlineStr">
        <is>
          <t>SOLLEFTEÅ</t>
        </is>
      </c>
      <c r="F29" t="inlineStr">
        <is>
          <t>SCA</t>
        </is>
      </c>
      <c r="G29" t="n">
        <v>4.3</v>
      </c>
      <c r="H29" t="n">
        <v>9</v>
      </c>
      <c r="I29" t="n">
        <v>6</v>
      </c>
      <c r="J29" t="n">
        <v>10</v>
      </c>
      <c r="K29" t="n">
        <v>2</v>
      </c>
      <c r="L29" t="n">
        <v>0</v>
      </c>
      <c r="M29" t="n">
        <v>0</v>
      </c>
      <c r="N29" t="n">
        <v>0</v>
      </c>
      <c r="O29" t="n">
        <v>12</v>
      </c>
      <c r="P29" t="n">
        <v>2</v>
      </c>
      <c r="Q29" t="n">
        <v>20</v>
      </c>
      <c r="R29" s="2" t="inlineStr">
        <is>
          <t>Knärot
Rynkskinn
Gammelgransskål
Garnlav
Granticka
Järpe
Lunglav
Rosenticka
Spillkråka
Talltita
Tretåig hackspett
Ullticka
Bollvitmossa
Lappranunkel
Spindelblomster
Stuplav
Trådticka
Vedticka
Lavskrika
Fläcknycklar</t>
        </is>
      </c>
      <c r="S29">
        <f>HYPERLINK("https://klasma.github.io/Logging_2283/artfynd/A 47366-2024 artfynd.xlsx", "A 47366-2024")</f>
        <v/>
      </c>
      <c r="T29">
        <f>HYPERLINK("https://klasma.github.io/Logging_2283/kartor/A 47366-2024 karta.png", "A 47366-2024")</f>
        <v/>
      </c>
      <c r="U29">
        <f>HYPERLINK("https://klasma.github.io/Logging_2283/knärot/A 47366-2024 karta knärot.png", "A 47366-2024")</f>
        <v/>
      </c>
      <c r="V29">
        <f>HYPERLINK("https://klasma.github.io/Logging_2283/klagomål/A 47366-2024 FSC-klagomål.docx", "A 47366-2024")</f>
        <v/>
      </c>
      <c r="W29">
        <f>HYPERLINK("https://klasma.github.io/Logging_2283/klagomålsmail/A 47366-2024 FSC-klagomål mail.docx", "A 47366-2024")</f>
        <v/>
      </c>
      <c r="X29">
        <f>HYPERLINK("https://klasma.github.io/Logging_2283/tillsyn/A 47366-2024 tillsynsbegäran.docx", "A 47366-2024")</f>
        <v/>
      </c>
      <c r="Y29">
        <f>HYPERLINK("https://klasma.github.io/Logging_2283/tillsynsmail/A 47366-2024 tillsynsbegäran mail.docx", "A 47366-2024")</f>
        <v/>
      </c>
      <c r="Z29">
        <f>HYPERLINK("https://klasma.github.io/Logging_2283/fåglar/A 47366-2024 prioriterade fågelarter.docx", "A 47366-2024")</f>
        <v/>
      </c>
    </row>
    <row r="30" ht="15" customHeight="1">
      <c r="A30" t="inlineStr">
        <is>
          <t>A 35437-2022</t>
        </is>
      </c>
      <c r="B30" s="1" t="n">
        <v>44798</v>
      </c>
      <c r="C30" s="1" t="n">
        <v>46093</v>
      </c>
      <c r="D30" t="inlineStr">
        <is>
          <t>VÄSTERNORRLANDS LÄN</t>
        </is>
      </c>
      <c r="E30" t="inlineStr">
        <is>
          <t>ÅNGE</t>
        </is>
      </c>
      <c r="G30" t="n">
        <v>15</v>
      </c>
      <c r="H30" t="n">
        <v>6</v>
      </c>
      <c r="I30" t="n">
        <v>6</v>
      </c>
      <c r="J30" t="n">
        <v>11</v>
      </c>
      <c r="K30" t="n">
        <v>2</v>
      </c>
      <c r="L30" t="n">
        <v>0</v>
      </c>
      <c r="M30" t="n">
        <v>0</v>
      </c>
      <c r="N30" t="n">
        <v>0</v>
      </c>
      <c r="O30" t="n">
        <v>13</v>
      </c>
      <c r="P30" t="n">
        <v>2</v>
      </c>
      <c r="Q30" t="n">
        <v>20</v>
      </c>
      <c r="R30" s="2" t="inlineStr">
        <is>
          <t>Gräddporing
Knärot
Dvärgbägarlav
Garnlav
Järpe
Kolflarnlav
Lunglav
Svartvit flugsnappare
Talltita
Tretåig hackspett
Ullticka
Vedtrappmossa
Violmussling
Barkticka
Gytterlav
Korallblylav
Norrlandslav
Stuplav
Vedticka
Revlummer</t>
        </is>
      </c>
      <c r="S30">
        <f>HYPERLINK("https://klasma.github.io/Logging_2260/artfynd/A 35437-2022 artfynd.xlsx", "A 35437-2022")</f>
        <v/>
      </c>
      <c r="T30">
        <f>HYPERLINK("https://klasma.github.io/Logging_2260/kartor/A 35437-2022 karta.png", "A 35437-2022")</f>
        <v/>
      </c>
      <c r="U30">
        <f>HYPERLINK("https://klasma.github.io/Logging_2260/knärot/A 35437-2022 karta knärot.png", "A 35437-2022")</f>
        <v/>
      </c>
      <c r="V30">
        <f>HYPERLINK("https://klasma.github.io/Logging_2260/klagomål/A 35437-2022 FSC-klagomål.docx", "A 35437-2022")</f>
        <v/>
      </c>
      <c r="W30">
        <f>HYPERLINK("https://klasma.github.io/Logging_2260/klagomålsmail/A 35437-2022 FSC-klagomål mail.docx", "A 35437-2022")</f>
        <v/>
      </c>
      <c r="X30">
        <f>HYPERLINK("https://klasma.github.io/Logging_2260/tillsyn/A 35437-2022 tillsynsbegäran.docx", "A 35437-2022")</f>
        <v/>
      </c>
      <c r="Y30">
        <f>HYPERLINK("https://klasma.github.io/Logging_2260/tillsynsmail/A 35437-2022 tillsynsbegäran mail.docx", "A 35437-2022")</f>
        <v/>
      </c>
      <c r="Z30">
        <f>HYPERLINK("https://klasma.github.io/Logging_2260/fåglar/A 35437-2022 prioriterade fågelarter.docx", "A 35437-2022")</f>
        <v/>
      </c>
    </row>
    <row r="31" ht="15" customHeight="1">
      <c r="A31" t="inlineStr">
        <is>
          <t>A 32897-2023</t>
        </is>
      </c>
      <c r="B31" s="1" t="n">
        <v>45124</v>
      </c>
      <c r="C31" s="1" t="n">
        <v>46093</v>
      </c>
      <c r="D31" t="inlineStr">
        <is>
          <t>VÄSTERNORRLANDS LÄN</t>
        </is>
      </c>
      <c r="E31" t="inlineStr">
        <is>
          <t>ÅNGE</t>
        </is>
      </c>
      <c r="F31" t="inlineStr">
        <is>
          <t>SCA</t>
        </is>
      </c>
      <c r="G31" t="n">
        <v>8.1</v>
      </c>
      <c r="H31" t="n">
        <v>9</v>
      </c>
      <c r="I31" t="n">
        <v>4</v>
      </c>
      <c r="J31" t="n">
        <v>10</v>
      </c>
      <c r="K31" t="n">
        <v>3</v>
      </c>
      <c r="L31" t="n">
        <v>0</v>
      </c>
      <c r="M31" t="n">
        <v>0</v>
      </c>
      <c r="N31" t="n">
        <v>0</v>
      </c>
      <c r="O31" t="n">
        <v>13</v>
      </c>
      <c r="P31" t="n">
        <v>3</v>
      </c>
      <c r="Q31" t="n">
        <v>19</v>
      </c>
      <c r="R31" s="2" t="inlineStr">
        <is>
          <t>Doftticka
Knärot
Rynkskinn
Gammelgransskål
Garnlav
Grynig filtlav
Järpe
Lunglav
Skrovellav
Spillkråka
Talltita
Tretåig hackspett
Ullticka
Korallblylav
Korallrot
Skinnlav
Stuplav
Kungsfågel
Fläcknycklar</t>
        </is>
      </c>
      <c r="S31">
        <f>HYPERLINK("https://klasma.github.io/Logging_2260/artfynd/A 32897-2023 artfynd.xlsx", "A 32897-2023")</f>
        <v/>
      </c>
      <c r="T31">
        <f>HYPERLINK("https://klasma.github.io/Logging_2260/kartor/A 32897-2023 karta.png", "A 32897-2023")</f>
        <v/>
      </c>
      <c r="U31">
        <f>HYPERLINK("https://klasma.github.io/Logging_2260/knärot/A 32897-2023 karta knärot.png", "A 32897-2023")</f>
        <v/>
      </c>
      <c r="V31">
        <f>HYPERLINK("https://klasma.github.io/Logging_2260/klagomål/A 32897-2023 FSC-klagomål.docx", "A 32897-2023")</f>
        <v/>
      </c>
      <c r="W31">
        <f>HYPERLINK("https://klasma.github.io/Logging_2260/klagomålsmail/A 32897-2023 FSC-klagomål mail.docx", "A 32897-2023")</f>
        <v/>
      </c>
      <c r="X31">
        <f>HYPERLINK("https://klasma.github.io/Logging_2260/tillsyn/A 32897-2023 tillsynsbegäran.docx", "A 32897-2023")</f>
        <v/>
      </c>
      <c r="Y31">
        <f>HYPERLINK("https://klasma.github.io/Logging_2260/tillsynsmail/A 32897-2023 tillsynsbegäran mail.docx", "A 32897-2023")</f>
        <v/>
      </c>
      <c r="Z31">
        <f>HYPERLINK("https://klasma.github.io/Logging_2260/fåglar/A 32897-2023 prioriterade fågelarter.docx", "A 32897-2023")</f>
        <v/>
      </c>
    </row>
    <row r="32" ht="15" customHeight="1">
      <c r="A32" t="inlineStr">
        <is>
          <t>A 13896-2023</t>
        </is>
      </c>
      <c r="B32" s="1" t="n">
        <v>45008</v>
      </c>
      <c r="C32" s="1" t="n">
        <v>46093</v>
      </c>
      <c r="D32" t="inlineStr">
        <is>
          <t>VÄSTERNORRLANDS LÄN</t>
        </is>
      </c>
      <c r="E32" t="inlineStr">
        <is>
          <t>SOLLEFTEÅ</t>
        </is>
      </c>
      <c r="F32" t="inlineStr">
        <is>
          <t>SCA</t>
        </is>
      </c>
      <c r="G32" t="n">
        <v>20.3</v>
      </c>
      <c r="H32" t="n">
        <v>5</v>
      </c>
      <c r="I32" t="n">
        <v>5</v>
      </c>
      <c r="J32" t="n">
        <v>11</v>
      </c>
      <c r="K32" t="n">
        <v>2</v>
      </c>
      <c r="L32" t="n">
        <v>0</v>
      </c>
      <c r="M32" t="n">
        <v>0</v>
      </c>
      <c r="N32" t="n">
        <v>0</v>
      </c>
      <c r="O32" t="n">
        <v>13</v>
      </c>
      <c r="P32" t="n">
        <v>2</v>
      </c>
      <c r="Q32" t="n">
        <v>19</v>
      </c>
      <c r="R32" s="2" t="inlineStr">
        <is>
          <t>Knärot
Ulltickeporing
Doftskinn
Garnlav
Granticka
Lunglav
Rosenticka
Skrovellav
Spillkråka
Stjärntagging
Talltita
Tretåig hackspett
Ullticka
Bårdlav
Norrlandslav
Stor aspticka
Stuplav
Vedticka
Fläcknycklar</t>
        </is>
      </c>
      <c r="S32">
        <f>HYPERLINK("https://klasma.github.io/Logging_2283/artfynd/A 13896-2023 artfynd.xlsx", "A 13896-2023")</f>
        <v/>
      </c>
      <c r="T32">
        <f>HYPERLINK("https://klasma.github.io/Logging_2283/kartor/A 13896-2023 karta.png", "A 13896-2023")</f>
        <v/>
      </c>
      <c r="U32">
        <f>HYPERLINK("https://klasma.github.io/Logging_2283/knärot/A 13896-2023 karta knärot.png", "A 13896-2023")</f>
        <v/>
      </c>
      <c r="V32">
        <f>HYPERLINK("https://klasma.github.io/Logging_2283/klagomål/A 13896-2023 FSC-klagomål.docx", "A 13896-2023")</f>
        <v/>
      </c>
      <c r="W32">
        <f>HYPERLINK("https://klasma.github.io/Logging_2283/klagomålsmail/A 13896-2023 FSC-klagomål mail.docx", "A 13896-2023")</f>
        <v/>
      </c>
      <c r="X32">
        <f>HYPERLINK("https://klasma.github.io/Logging_2283/tillsyn/A 13896-2023 tillsynsbegäran.docx", "A 13896-2023")</f>
        <v/>
      </c>
      <c r="Y32">
        <f>HYPERLINK("https://klasma.github.io/Logging_2283/tillsynsmail/A 13896-2023 tillsynsbegäran mail.docx", "A 13896-2023")</f>
        <v/>
      </c>
      <c r="Z32">
        <f>HYPERLINK("https://klasma.github.io/Logging_2283/fåglar/A 13896-2023 prioriterade fågelarter.docx", "A 13896-2023")</f>
        <v/>
      </c>
    </row>
    <row r="33" ht="15" customHeight="1">
      <c r="A33" t="inlineStr">
        <is>
          <t>A 57942-2021</t>
        </is>
      </c>
      <c r="B33" s="1" t="n">
        <v>44487</v>
      </c>
      <c r="C33" s="1" t="n">
        <v>46093</v>
      </c>
      <c r="D33" t="inlineStr">
        <is>
          <t>VÄSTERNORRLANDS LÄN</t>
        </is>
      </c>
      <c r="E33" t="inlineStr">
        <is>
          <t>SOLLEFTEÅ</t>
        </is>
      </c>
      <c r="F33" t="inlineStr">
        <is>
          <t>Holmen skog AB</t>
        </is>
      </c>
      <c r="G33" t="n">
        <v>14.2</v>
      </c>
      <c r="H33" t="n">
        <v>5</v>
      </c>
      <c r="I33" t="n">
        <v>4</v>
      </c>
      <c r="J33" t="n">
        <v>11</v>
      </c>
      <c r="K33" t="n">
        <v>4</v>
      </c>
      <c r="L33" t="n">
        <v>0</v>
      </c>
      <c r="M33" t="n">
        <v>0</v>
      </c>
      <c r="N33" t="n">
        <v>0</v>
      </c>
      <c r="O33" t="n">
        <v>15</v>
      </c>
      <c r="P33" t="n">
        <v>4</v>
      </c>
      <c r="Q33" t="n">
        <v>19</v>
      </c>
      <c r="R33" s="2" t="inlineStr">
        <is>
          <t>Blackticka
Doftticka
Knärot
Ulltickeporing
Garnlav
Granticka
Kolflarnlav
Lunglav
Rosenticka
Tallticka
Talltita
Tretåig hackspett
Ullticka
Vedflikmossa
Vedtrappmossa
Luddlav
Plattlummer
Stuplav
Vedticka</t>
        </is>
      </c>
      <c r="S33">
        <f>HYPERLINK("https://klasma.github.io/Logging_2283/artfynd/A 57942-2021 artfynd.xlsx", "A 57942-2021")</f>
        <v/>
      </c>
      <c r="T33">
        <f>HYPERLINK("https://klasma.github.io/Logging_2283/kartor/A 57942-2021 karta.png", "A 57942-2021")</f>
        <v/>
      </c>
      <c r="U33">
        <f>HYPERLINK("https://klasma.github.io/Logging_2283/knärot/A 57942-2021 karta knärot.png", "A 57942-2021")</f>
        <v/>
      </c>
      <c r="V33">
        <f>HYPERLINK("https://klasma.github.io/Logging_2283/klagomål/A 57942-2021 FSC-klagomål.docx", "A 57942-2021")</f>
        <v/>
      </c>
      <c r="W33">
        <f>HYPERLINK("https://klasma.github.io/Logging_2283/klagomålsmail/A 57942-2021 FSC-klagomål mail.docx", "A 57942-2021")</f>
        <v/>
      </c>
      <c r="X33">
        <f>HYPERLINK("https://klasma.github.io/Logging_2283/tillsyn/A 57942-2021 tillsynsbegäran.docx", "A 57942-2021")</f>
        <v/>
      </c>
      <c r="Y33">
        <f>HYPERLINK("https://klasma.github.io/Logging_2283/tillsynsmail/A 57942-2021 tillsynsbegäran mail.docx", "A 57942-2021")</f>
        <v/>
      </c>
      <c r="Z33">
        <f>HYPERLINK("https://klasma.github.io/Logging_2283/fåglar/A 57942-2021 prioriterade fågelarter.docx", "A 57942-2021")</f>
        <v/>
      </c>
    </row>
    <row r="34" ht="15" customHeight="1">
      <c r="A34" t="inlineStr">
        <is>
          <t>A 32655-2024</t>
        </is>
      </c>
      <c r="B34" s="1" t="n">
        <v>45513</v>
      </c>
      <c r="C34" s="1" t="n">
        <v>46093</v>
      </c>
      <c r="D34" t="inlineStr">
        <is>
          <t>VÄSTERNORRLANDS LÄN</t>
        </is>
      </c>
      <c r="E34" t="inlineStr">
        <is>
          <t>ÅNGE</t>
        </is>
      </c>
      <c r="F34" t="inlineStr">
        <is>
          <t>SCA</t>
        </is>
      </c>
      <c r="G34" t="n">
        <v>10.2</v>
      </c>
      <c r="H34" t="n">
        <v>7</v>
      </c>
      <c r="I34" t="n">
        <v>4</v>
      </c>
      <c r="J34" t="n">
        <v>10</v>
      </c>
      <c r="K34" t="n">
        <v>3</v>
      </c>
      <c r="L34" t="n">
        <v>0</v>
      </c>
      <c r="M34" t="n">
        <v>0</v>
      </c>
      <c r="N34" t="n">
        <v>0</v>
      </c>
      <c r="O34" t="n">
        <v>13</v>
      </c>
      <c r="P34" t="n">
        <v>3</v>
      </c>
      <c r="Q34" t="n">
        <v>19</v>
      </c>
      <c r="R34" s="2" t="inlineStr">
        <is>
          <t>Doftticka
Gräddporing
Knärot
Doftskinn
Garnlav
Gränsticka
Järpe
Lunglav
Skrovellav
Talltita
Tretåig hackspett
Ullticka
Violettgrå tagellav
Luddlav
Norrlandslav
Stuplav
Vedticka
Vanlig groda
Fläcknycklar</t>
        </is>
      </c>
      <c r="S34">
        <f>HYPERLINK("https://klasma.github.io/Logging_2260/artfynd/A 32655-2024 artfynd.xlsx", "A 32655-2024")</f>
        <v/>
      </c>
      <c r="T34">
        <f>HYPERLINK("https://klasma.github.io/Logging_2260/kartor/A 32655-2024 karta.png", "A 32655-2024")</f>
        <v/>
      </c>
      <c r="U34">
        <f>HYPERLINK("https://klasma.github.io/Logging_2260/knärot/A 32655-2024 karta knärot.png", "A 32655-2024")</f>
        <v/>
      </c>
      <c r="V34">
        <f>HYPERLINK("https://klasma.github.io/Logging_2260/klagomål/A 32655-2024 FSC-klagomål.docx", "A 32655-2024")</f>
        <v/>
      </c>
      <c r="W34">
        <f>HYPERLINK("https://klasma.github.io/Logging_2260/klagomålsmail/A 32655-2024 FSC-klagomål mail.docx", "A 32655-2024")</f>
        <v/>
      </c>
      <c r="X34">
        <f>HYPERLINK("https://klasma.github.io/Logging_2260/tillsyn/A 32655-2024 tillsynsbegäran.docx", "A 32655-2024")</f>
        <v/>
      </c>
      <c r="Y34">
        <f>HYPERLINK("https://klasma.github.io/Logging_2260/tillsynsmail/A 32655-2024 tillsynsbegäran mail.docx", "A 32655-2024")</f>
        <v/>
      </c>
      <c r="Z34">
        <f>HYPERLINK("https://klasma.github.io/Logging_2260/fåglar/A 32655-2024 prioriterade fågelarter.docx", "A 32655-2024")</f>
        <v/>
      </c>
    </row>
    <row r="35" ht="15" customHeight="1">
      <c r="A35" t="inlineStr">
        <is>
          <t>A 37489-2025</t>
        </is>
      </c>
      <c r="B35" s="1" t="n">
        <v>45877</v>
      </c>
      <c r="C35" s="1" t="n">
        <v>46093</v>
      </c>
      <c r="D35" t="inlineStr">
        <is>
          <t>VÄSTERNORRLANDS LÄN</t>
        </is>
      </c>
      <c r="E35" t="inlineStr">
        <is>
          <t>SOLLEFTEÅ</t>
        </is>
      </c>
      <c r="F35" t="inlineStr">
        <is>
          <t>SCA</t>
        </is>
      </c>
      <c r="G35" t="n">
        <v>2.2</v>
      </c>
      <c r="H35" t="n">
        <v>5</v>
      </c>
      <c r="I35" t="n">
        <v>1</v>
      </c>
      <c r="J35" t="n">
        <v>15</v>
      </c>
      <c r="K35" t="n">
        <v>3</v>
      </c>
      <c r="L35" t="n">
        <v>0</v>
      </c>
      <c r="M35" t="n">
        <v>0</v>
      </c>
      <c r="N35" t="n">
        <v>0</v>
      </c>
      <c r="O35" t="n">
        <v>18</v>
      </c>
      <c r="P35" t="n">
        <v>3</v>
      </c>
      <c r="Q35" t="n">
        <v>19</v>
      </c>
      <c r="R35" s="2" t="inlineStr">
        <is>
          <t>Doftticka
Gräddporing
Knärot
Aspbarkgnagare
Brunpudrad nållav
Doftskinn
Dvärgbägarlav
Gammelgransskål
Garnlav
Granticka
Kolflarnlav
Lunglav
Nordtagging
Spillkråka
Talltita
Tretåig hackspett
Ullticka
Vitgrynig nållav
Vedticka</t>
        </is>
      </c>
      <c r="S35">
        <f>HYPERLINK("https://klasma.github.io/Logging_2283/artfynd/A 37489-2025 artfynd.xlsx", "A 37489-2025")</f>
        <v/>
      </c>
      <c r="T35">
        <f>HYPERLINK("https://klasma.github.io/Logging_2283/kartor/A 37489-2025 karta.png", "A 37489-2025")</f>
        <v/>
      </c>
      <c r="U35">
        <f>HYPERLINK("https://klasma.github.io/Logging_2283/knärot/A 37489-2025 karta knärot.png", "A 37489-2025")</f>
        <v/>
      </c>
      <c r="V35">
        <f>HYPERLINK("https://klasma.github.io/Logging_2283/klagomål/A 37489-2025 FSC-klagomål.docx", "A 37489-2025")</f>
        <v/>
      </c>
      <c r="W35">
        <f>HYPERLINK("https://klasma.github.io/Logging_2283/klagomålsmail/A 37489-2025 FSC-klagomål mail.docx", "A 37489-2025")</f>
        <v/>
      </c>
      <c r="X35">
        <f>HYPERLINK("https://klasma.github.io/Logging_2283/tillsyn/A 37489-2025 tillsynsbegäran.docx", "A 37489-2025")</f>
        <v/>
      </c>
      <c r="Y35">
        <f>HYPERLINK("https://klasma.github.io/Logging_2283/tillsynsmail/A 37489-2025 tillsynsbegäran mail.docx", "A 37489-2025")</f>
        <v/>
      </c>
      <c r="Z35">
        <f>HYPERLINK("https://klasma.github.io/Logging_2283/fåglar/A 37489-2025 prioriterade fågelarter.docx", "A 37489-2025")</f>
        <v/>
      </c>
    </row>
    <row r="36" ht="15" customHeight="1">
      <c r="A36" t="inlineStr">
        <is>
          <t>A 46081-2025</t>
        </is>
      </c>
      <c r="B36" s="1" t="n">
        <v>45924</v>
      </c>
      <c r="C36" s="1" t="n">
        <v>46093</v>
      </c>
      <c r="D36" t="inlineStr">
        <is>
          <t>VÄSTERNORRLANDS LÄN</t>
        </is>
      </c>
      <c r="E36" t="inlineStr">
        <is>
          <t>TIMRÅ</t>
        </is>
      </c>
      <c r="F36" t="inlineStr">
        <is>
          <t>SCA</t>
        </is>
      </c>
      <c r="G36" t="n">
        <v>14.2</v>
      </c>
      <c r="H36" t="n">
        <v>5</v>
      </c>
      <c r="I36" t="n">
        <v>3</v>
      </c>
      <c r="J36" t="n">
        <v>13</v>
      </c>
      <c r="K36" t="n">
        <v>1</v>
      </c>
      <c r="L36" t="n">
        <v>0</v>
      </c>
      <c r="M36" t="n">
        <v>0</v>
      </c>
      <c r="N36" t="n">
        <v>0</v>
      </c>
      <c r="O36" t="n">
        <v>14</v>
      </c>
      <c r="P36" t="n">
        <v>1</v>
      </c>
      <c r="Q36" t="n">
        <v>19</v>
      </c>
      <c r="R36"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36">
        <f>HYPERLINK("https://klasma.github.io/Logging_2262/artfynd/A 46081-2025 artfynd.xlsx", "A 46081-2025")</f>
        <v/>
      </c>
      <c r="T36">
        <f>HYPERLINK("https://klasma.github.io/Logging_2262/kartor/A 46081-2025 karta.png", "A 46081-2025")</f>
        <v/>
      </c>
      <c r="U36">
        <f>HYPERLINK("https://klasma.github.io/Logging_2262/knärot/A 46081-2025 karta knärot.png", "A 46081-2025")</f>
        <v/>
      </c>
      <c r="V36">
        <f>HYPERLINK("https://klasma.github.io/Logging_2262/klagomål/A 46081-2025 FSC-klagomål.docx", "A 46081-2025")</f>
        <v/>
      </c>
      <c r="W36">
        <f>HYPERLINK("https://klasma.github.io/Logging_2262/klagomålsmail/A 46081-2025 FSC-klagomål mail.docx", "A 46081-2025")</f>
        <v/>
      </c>
      <c r="X36">
        <f>HYPERLINK("https://klasma.github.io/Logging_2262/tillsyn/A 46081-2025 tillsynsbegäran.docx", "A 46081-2025")</f>
        <v/>
      </c>
      <c r="Y36">
        <f>HYPERLINK("https://klasma.github.io/Logging_2262/tillsynsmail/A 46081-2025 tillsynsbegäran mail.docx", "A 46081-2025")</f>
        <v/>
      </c>
      <c r="Z36">
        <f>HYPERLINK("https://klasma.github.io/Logging_2262/fåglar/A 46081-2025 prioriterade fågelarter.docx", "A 46081-2025")</f>
        <v/>
      </c>
    </row>
    <row r="37" ht="15" customHeight="1">
      <c r="A37" t="inlineStr">
        <is>
          <t>A 61826-2025</t>
        </is>
      </c>
      <c r="B37" s="1" t="n">
        <v>46003</v>
      </c>
      <c r="C37" s="1" t="n">
        <v>46093</v>
      </c>
      <c r="D37" t="inlineStr">
        <is>
          <t>VÄSTERNORRLANDS LÄN</t>
        </is>
      </c>
      <c r="E37" t="inlineStr">
        <is>
          <t>SUNDSVALL</t>
        </is>
      </c>
      <c r="G37" t="n">
        <v>10.2</v>
      </c>
      <c r="H37" t="n">
        <v>2</v>
      </c>
      <c r="I37" t="n">
        <v>5</v>
      </c>
      <c r="J37" t="n">
        <v>11</v>
      </c>
      <c r="K37" t="n">
        <v>2</v>
      </c>
      <c r="L37" t="n">
        <v>0</v>
      </c>
      <c r="M37" t="n">
        <v>0</v>
      </c>
      <c r="N37" t="n">
        <v>0</v>
      </c>
      <c r="O37" t="n">
        <v>13</v>
      </c>
      <c r="P37" t="n">
        <v>2</v>
      </c>
      <c r="Q37" t="n">
        <v>19</v>
      </c>
      <c r="R37" s="2" t="inlineStr">
        <is>
          <t>Aspgelélav
Fläckporing
Blågrå svartspik
Doftskinn
Garnlav
Lunglav
Rosenticka
Tallticka
Tretåig hackspett
Ullticka
Vedflamlav
Vedskivlav
Violettgrå tagellav
Bronshjon
Korallblylav
Stuplav
Vedticka
Vågbandad barkbock
Kungsfågel</t>
        </is>
      </c>
      <c r="S37">
        <f>HYPERLINK("https://klasma.github.io/Logging_2281/artfynd/A 61826-2025 artfynd.xlsx", "A 61826-2025")</f>
        <v/>
      </c>
      <c r="T37">
        <f>HYPERLINK("https://klasma.github.io/Logging_2281/kartor/A 61826-2025 karta.png", "A 61826-2025")</f>
        <v/>
      </c>
      <c r="V37">
        <f>HYPERLINK("https://klasma.github.io/Logging_2281/klagomål/A 61826-2025 FSC-klagomål.docx", "A 61826-2025")</f>
        <v/>
      </c>
      <c r="W37">
        <f>HYPERLINK("https://klasma.github.io/Logging_2281/klagomålsmail/A 61826-2025 FSC-klagomål mail.docx", "A 61826-2025")</f>
        <v/>
      </c>
      <c r="X37">
        <f>HYPERLINK("https://klasma.github.io/Logging_2281/tillsyn/A 61826-2025 tillsynsbegäran.docx", "A 61826-2025")</f>
        <v/>
      </c>
      <c r="Y37">
        <f>HYPERLINK("https://klasma.github.io/Logging_2281/tillsynsmail/A 61826-2025 tillsynsbegäran mail.docx", "A 61826-2025")</f>
        <v/>
      </c>
      <c r="Z37">
        <f>HYPERLINK("https://klasma.github.io/Logging_2281/fåglar/A 61826-2025 prioriterade fågelarter.docx", "A 61826-2025")</f>
        <v/>
      </c>
    </row>
    <row r="38" ht="15" customHeight="1">
      <c r="A38" t="inlineStr">
        <is>
          <t>A 29232-2025</t>
        </is>
      </c>
      <c r="B38" s="1" t="n">
        <v>45824</v>
      </c>
      <c r="C38" s="1" t="n">
        <v>46093</v>
      </c>
      <c r="D38" t="inlineStr">
        <is>
          <t>VÄSTERNORRLANDS LÄN</t>
        </is>
      </c>
      <c r="E38" t="inlineStr">
        <is>
          <t>SOLLEFTEÅ</t>
        </is>
      </c>
      <c r="F38" t="inlineStr">
        <is>
          <t>SCA</t>
        </is>
      </c>
      <c r="G38" t="n">
        <v>6.5</v>
      </c>
      <c r="H38" t="n">
        <v>5</v>
      </c>
      <c r="I38" t="n">
        <v>4</v>
      </c>
      <c r="J38" t="n">
        <v>12</v>
      </c>
      <c r="K38" t="n">
        <v>1</v>
      </c>
      <c r="L38" t="n">
        <v>0</v>
      </c>
      <c r="M38" t="n">
        <v>0</v>
      </c>
      <c r="N38" t="n">
        <v>0</v>
      </c>
      <c r="O38" t="n">
        <v>13</v>
      </c>
      <c r="P38" t="n">
        <v>1</v>
      </c>
      <c r="Q38" t="n">
        <v>19</v>
      </c>
      <c r="R38" s="2" t="inlineStr">
        <is>
          <t>Rynkskinn
Gammelgransskål
Garnlav
Granticka
Järpe
Luddfingersvamp
Lunglav
Rosenticka
Talltita
Tretåig hackspett
Ullticka
Vedskivlav
Vitgrynig nållav
Bårdlav
Luddlav
Stuplav
Vedticka
Kungsfågel
Lavskrika</t>
        </is>
      </c>
      <c r="S38">
        <f>HYPERLINK("https://klasma.github.io/Logging_2283/artfynd/A 29232-2025 artfynd.xlsx", "A 29232-2025")</f>
        <v/>
      </c>
      <c r="T38">
        <f>HYPERLINK("https://klasma.github.io/Logging_2283/kartor/A 29232-2025 karta.png", "A 29232-2025")</f>
        <v/>
      </c>
      <c r="V38">
        <f>HYPERLINK("https://klasma.github.io/Logging_2283/klagomål/A 29232-2025 FSC-klagomål.docx", "A 29232-2025")</f>
        <v/>
      </c>
      <c r="W38">
        <f>HYPERLINK("https://klasma.github.io/Logging_2283/klagomålsmail/A 29232-2025 FSC-klagomål mail.docx", "A 29232-2025")</f>
        <v/>
      </c>
      <c r="X38">
        <f>HYPERLINK("https://klasma.github.io/Logging_2283/tillsyn/A 29232-2025 tillsynsbegäran.docx", "A 29232-2025")</f>
        <v/>
      </c>
      <c r="Y38">
        <f>HYPERLINK("https://klasma.github.io/Logging_2283/tillsynsmail/A 29232-2025 tillsynsbegäran mail.docx", "A 29232-2025")</f>
        <v/>
      </c>
      <c r="Z38">
        <f>HYPERLINK("https://klasma.github.io/Logging_2283/fåglar/A 29232-2025 prioriterade fågelarter.docx", "A 29232-2025")</f>
        <v/>
      </c>
    </row>
    <row r="39" ht="15" customHeight="1">
      <c r="A39" t="inlineStr">
        <is>
          <t>A 61824-2025</t>
        </is>
      </c>
      <c r="B39" s="1" t="n">
        <v>46003</v>
      </c>
      <c r="C39" s="1" t="n">
        <v>46093</v>
      </c>
      <c r="D39" t="inlineStr">
        <is>
          <t>VÄSTERNORRLANDS LÄN</t>
        </is>
      </c>
      <c r="E39" t="inlineStr">
        <is>
          <t>SUNDSVALL</t>
        </is>
      </c>
      <c r="G39" t="n">
        <v>18.5</v>
      </c>
      <c r="H39" t="n">
        <v>4</v>
      </c>
      <c r="I39" t="n">
        <v>7</v>
      </c>
      <c r="J39" t="n">
        <v>10</v>
      </c>
      <c r="K39" t="n">
        <v>2</v>
      </c>
      <c r="L39" t="n">
        <v>0</v>
      </c>
      <c r="M39" t="n">
        <v>0</v>
      </c>
      <c r="N39" t="n">
        <v>0</v>
      </c>
      <c r="O39" t="n">
        <v>12</v>
      </c>
      <c r="P39" t="n">
        <v>2</v>
      </c>
      <c r="Q39" t="n">
        <v>19</v>
      </c>
      <c r="R39" s="2" t="inlineStr">
        <is>
          <t>Gräddporing
Knärot
Garnlav
Gränsticka
Järpe
Rosenticka
Talltita
Tretåig hackspett
Ullticka
Vaddporing
Vedskivlav
Violettgrå tagellav
Bronshjon
Grönpyrola
Korallblylav
Mörk husmossa
Stor aspticka
Vedticka
Vågbandad barkbock</t>
        </is>
      </c>
      <c r="S39">
        <f>HYPERLINK("https://klasma.github.io/Logging_2281/artfynd/A 61824-2025 artfynd.xlsx", "A 61824-2025")</f>
        <v/>
      </c>
      <c r="T39">
        <f>HYPERLINK("https://klasma.github.io/Logging_2281/kartor/A 61824-2025 karta.png", "A 61824-2025")</f>
        <v/>
      </c>
      <c r="U39">
        <f>HYPERLINK("https://klasma.github.io/Logging_2281/knärot/A 61824-2025 karta knärot.png", "A 61824-2025")</f>
        <v/>
      </c>
      <c r="V39">
        <f>HYPERLINK("https://klasma.github.io/Logging_2281/klagomål/A 61824-2025 FSC-klagomål.docx", "A 61824-2025")</f>
        <v/>
      </c>
      <c r="W39">
        <f>HYPERLINK("https://klasma.github.io/Logging_2281/klagomålsmail/A 61824-2025 FSC-klagomål mail.docx", "A 61824-2025")</f>
        <v/>
      </c>
      <c r="X39">
        <f>HYPERLINK("https://klasma.github.io/Logging_2281/tillsyn/A 61824-2025 tillsynsbegäran.docx", "A 61824-2025")</f>
        <v/>
      </c>
      <c r="Y39">
        <f>HYPERLINK("https://klasma.github.io/Logging_2281/tillsynsmail/A 61824-2025 tillsynsbegäran mail.docx", "A 61824-2025")</f>
        <v/>
      </c>
      <c r="Z39">
        <f>HYPERLINK("https://klasma.github.io/Logging_2281/fåglar/A 61824-2025 prioriterade fågelarter.docx", "A 61824-2025")</f>
        <v/>
      </c>
    </row>
    <row r="40" ht="15" customHeight="1">
      <c r="A40" t="inlineStr">
        <is>
          <t>A 38270-2025</t>
        </is>
      </c>
      <c r="B40" s="1" t="n">
        <v>45883.40696759259</v>
      </c>
      <c r="C40" s="1" t="n">
        <v>46093</v>
      </c>
      <c r="D40" t="inlineStr">
        <is>
          <t>VÄSTERNORRLANDS LÄN</t>
        </is>
      </c>
      <c r="E40" t="inlineStr">
        <is>
          <t>SOLLEFTEÅ</t>
        </is>
      </c>
      <c r="F40" t="inlineStr">
        <is>
          <t>SCA</t>
        </is>
      </c>
      <c r="G40" t="n">
        <v>16</v>
      </c>
      <c r="H40" t="n">
        <v>0</v>
      </c>
      <c r="I40" t="n">
        <v>5</v>
      </c>
      <c r="J40" t="n">
        <v>11</v>
      </c>
      <c r="K40" t="n">
        <v>2</v>
      </c>
      <c r="L40" t="n">
        <v>0</v>
      </c>
      <c r="M40" t="n">
        <v>0</v>
      </c>
      <c r="N40" t="n">
        <v>0</v>
      </c>
      <c r="O40" t="n">
        <v>13</v>
      </c>
      <c r="P40" t="n">
        <v>2</v>
      </c>
      <c r="Q40" t="n">
        <v>18</v>
      </c>
      <c r="R40" s="2" t="inlineStr">
        <is>
          <t>Gräddporing
Smalfotad taggsvamp
Blå taggsvamp
Blågrå svartspik
Dvärgbägarlav
Garnlav
Kolflarnlav
Lunglav
Reliktbock
Svart taggsvamp agg.
Tallticka
Vedflamlav
Vedskivlav
Dropptaggsvamp
Norrlandslav
Skarp dropptaggsvamp
Stuplav
Vedticka</t>
        </is>
      </c>
      <c r="S40">
        <f>HYPERLINK("https://klasma.github.io/Logging_2283/artfynd/A 38270-2025 artfynd.xlsx", "A 38270-2025")</f>
        <v/>
      </c>
      <c r="T40">
        <f>HYPERLINK("https://klasma.github.io/Logging_2283/kartor/A 38270-2025 karta.png", "A 38270-2025")</f>
        <v/>
      </c>
      <c r="V40">
        <f>HYPERLINK("https://klasma.github.io/Logging_2283/klagomål/A 38270-2025 FSC-klagomål.docx", "A 38270-2025")</f>
        <v/>
      </c>
      <c r="W40">
        <f>HYPERLINK("https://klasma.github.io/Logging_2283/klagomålsmail/A 38270-2025 FSC-klagomål mail.docx", "A 38270-2025")</f>
        <v/>
      </c>
      <c r="X40">
        <f>HYPERLINK("https://klasma.github.io/Logging_2283/tillsyn/A 38270-2025 tillsynsbegäran.docx", "A 38270-2025")</f>
        <v/>
      </c>
      <c r="Y40">
        <f>HYPERLINK("https://klasma.github.io/Logging_2283/tillsynsmail/A 38270-2025 tillsynsbegäran mail.docx", "A 38270-2025")</f>
        <v/>
      </c>
    </row>
    <row r="41" ht="15" customHeight="1">
      <c r="A41" t="inlineStr">
        <is>
          <t>A 46329-2022</t>
        </is>
      </c>
      <c r="B41" s="1" t="n">
        <v>44847</v>
      </c>
      <c r="C41" s="1" t="n">
        <v>46093</v>
      </c>
      <c r="D41" t="inlineStr">
        <is>
          <t>VÄSTERNORRLANDS LÄN</t>
        </is>
      </c>
      <c r="E41" t="inlineStr">
        <is>
          <t>ÅNGE</t>
        </is>
      </c>
      <c r="F41" t="inlineStr">
        <is>
          <t>SCA</t>
        </is>
      </c>
      <c r="G41" t="n">
        <v>54</v>
      </c>
      <c r="H41" t="n">
        <v>4</v>
      </c>
      <c r="I41" t="n">
        <v>8</v>
      </c>
      <c r="J41" t="n">
        <v>7</v>
      </c>
      <c r="K41" t="n">
        <v>1</v>
      </c>
      <c r="L41" t="n">
        <v>0</v>
      </c>
      <c r="M41" t="n">
        <v>0</v>
      </c>
      <c r="N41" t="n">
        <v>0</v>
      </c>
      <c r="O41" t="n">
        <v>8</v>
      </c>
      <c r="P41" t="n">
        <v>1</v>
      </c>
      <c r="Q41" t="n">
        <v>18</v>
      </c>
      <c r="R41" s="2" t="inlineStr">
        <is>
          <t>Knärot
Garnlav
Kandelabersvamp
Kolflarnlav
Lunglav
Skrovellav
Tallticka
Vedtrappmossa
Bollvitmossa
Bårdlav
Grönpyrola
Norrlandslav
Skinnlav
Spindelblomster
Stuplav
Svavelriska
Fläcknycklar
Nattviol</t>
        </is>
      </c>
      <c r="S41">
        <f>HYPERLINK("https://klasma.github.io/Logging_2260/artfynd/A 46329-2022 artfynd.xlsx", "A 46329-2022")</f>
        <v/>
      </c>
      <c r="T41">
        <f>HYPERLINK("https://klasma.github.io/Logging_2260/kartor/A 46329-2022 karta.png", "A 46329-2022")</f>
        <v/>
      </c>
      <c r="U41">
        <f>HYPERLINK("https://klasma.github.io/Logging_2260/knärot/A 46329-2022 karta knärot.png", "A 46329-2022")</f>
        <v/>
      </c>
      <c r="V41">
        <f>HYPERLINK("https://klasma.github.io/Logging_2260/klagomål/A 46329-2022 FSC-klagomål.docx", "A 46329-2022")</f>
        <v/>
      </c>
      <c r="W41">
        <f>HYPERLINK("https://klasma.github.io/Logging_2260/klagomålsmail/A 46329-2022 FSC-klagomål mail.docx", "A 46329-2022")</f>
        <v/>
      </c>
      <c r="X41">
        <f>HYPERLINK("https://klasma.github.io/Logging_2260/tillsyn/A 46329-2022 tillsynsbegäran.docx", "A 46329-2022")</f>
        <v/>
      </c>
      <c r="Y41">
        <f>HYPERLINK("https://klasma.github.io/Logging_2260/tillsynsmail/A 46329-2022 tillsynsbegäran mail.docx", "A 46329-2022")</f>
        <v/>
      </c>
    </row>
    <row r="42" ht="15" customHeight="1">
      <c r="A42" t="inlineStr">
        <is>
          <t>A 38268-2025</t>
        </is>
      </c>
      <c r="B42" s="1" t="n">
        <v>45883.40679398148</v>
      </c>
      <c r="C42" s="1" t="n">
        <v>46093</v>
      </c>
      <c r="D42" t="inlineStr">
        <is>
          <t>VÄSTERNORRLANDS LÄN</t>
        </is>
      </c>
      <c r="E42" t="inlineStr">
        <is>
          <t>SOLLEFTEÅ</t>
        </is>
      </c>
      <c r="F42" t="inlineStr">
        <is>
          <t>SCA</t>
        </is>
      </c>
      <c r="G42" t="n">
        <v>5.1</v>
      </c>
      <c r="H42" t="n">
        <v>0</v>
      </c>
      <c r="I42" t="n">
        <v>5</v>
      </c>
      <c r="J42" t="n">
        <v>10</v>
      </c>
      <c r="K42" t="n">
        <v>3</v>
      </c>
      <c r="L42" t="n">
        <v>0</v>
      </c>
      <c r="M42" t="n">
        <v>0</v>
      </c>
      <c r="N42" t="n">
        <v>0</v>
      </c>
      <c r="O42" t="n">
        <v>13</v>
      </c>
      <c r="P42" t="n">
        <v>3</v>
      </c>
      <c r="Q42" t="n">
        <v>18</v>
      </c>
      <c r="R42" s="2" t="inlineStr">
        <is>
          <t>Fläckporing
Gräddporing
Smalfotad taggsvamp
Blågrå svartspik
Dvärgbägarlav
Garnlav
Kolflarnlav
Lunglav
Nordtagging
Skrovlig taggsvamp
Svartvit taggsvamp
Vaddporing
Vedskivlav
Dropptaggsvamp
Luddlav
Skarp dropptaggsvamp
Stuplav
Vedticka</t>
        </is>
      </c>
      <c r="S42">
        <f>HYPERLINK("https://klasma.github.io/Logging_2283/artfynd/A 38268-2025 artfynd.xlsx", "A 38268-2025")</f>
        <v/>
      </c>
      <c r="T42">
        <f>HYPERLINK("https://klasma.github.io/Logging_2283/kartor/A 38268-2025 karta.png", "A 38268-2025")</f>
        <v/>
      </c>
      <c r="V42">
        <f>HYPERLINK("https://klasma.github.io/Logging_2283/klagomål/A 38268-2025 FSC-klagomål.docx", "A 38268-2025")</f>
        <v/>
      </c>
      <c r="W42">
        <f>HYPERLINK("https://klasma.github.io/Logging_2283/klagomålsmail/A 38268-2025 FSC-klagomål mail.docx", "A 38268-2025")</f>
        <v/>
      </c>
      <c r="X42">
        <f>HYPERLINK("https://klasma.github.io/Logging_2283/tillsyn/A 38268-2025 tillsynsbegäran.docx", "A 38268-2025")</f>
        <v/>
      </c>
      <c r="Y42">
        <f>HYPERLINK("https://klasma.github.io/Logging_2283/tillsynsmail/A 38268-2025 tillsynsbegäran mail.docx", "A 38268-2025")</f>
        <v/>
      </c>
    </row>
    <row r="43" ht="15" customHeight="1">
      <c r="A43" t="inlineStr">
        <is>
          <t>A 26959-2024</t>
        </is>
      </c>
      <c r="B43" s="1" t="n">
        <v>45470</v>
      </c>
      <c r="C43" s="1" t="n">
        <v>46093</v>
      </c>
      <c r="D43" t="inlineStr">
        <is>
          <t>VÄSTERNORRLANDS LÄN</t>
        </is>
      </c>
      <c r="E43" t="inlineStr">
        <is>
          <t>ÅNGE</t>
        </is>
      </c>
      <c r="F43" t="inlineStr">
        <is>
          <t>SCA</t>
        </is>
      </c>
      <c r="G43" t="n">
        <v>14.3</v>
      </c>
      <c r="H43" t="n">
        <v>6</v>
      </c>
      <c r="I43" t="n">
        <v>5</v>
      </c>
      <c r="J43" t="n">
        <v>10</v>
      </c>
      <c r="K43" t="n">
        <v>1</v>
      </c>
      <c r="L43" t="n">
        <v>0</v>
      </c>
      <c r="M43" t="n">
        <v>0</v>
      </c>
      <c r="N43" t="n">
        <v>0</v>
      </c>
      <c r="O43" t="n">
        <v>11</v>
      </c>
      <c r="P43" t="n">
        <v>1</v>
      </c>
      <c r="Q43" t="n">
        <v>18</v>
      </c>
      <c r="R43" s="2" t="inlineStr">
        <is>
          <t>Knärot
Blågrå svartspik
Garnlav
Järpe
Kolflarnlav
Lunglav
Mörk kolflarnlav
Tretåig hackspett
Vedflamlav
Vedtrappmossa
Vitgrynig nållav
Grönpyrola
Luddlav
Norrlandslav
Spindelblomster
Stuplav
Tjäder
Revlummer</t>
        </is>
      </c>
      <c r="S43">
        <f>HYPERLINK("https://klasma.github.io/Logging_2260/artfynd/A 26959-2024 artfynd.xlsx", "A 26959-2024")</f>
        <v/>
      </c>
      <c r="T43">
        <f>HYPERLINK("https://klasma.github.io/Logging_2260/kartor/A 26959-2024 karta.png", "A 26959-2024")</f>
        <v/>
      </c>
      <c r="U43">
        <f>HYPERLINK("https://klasma.github.io/Logging_2260/knärot/A 26959-2024 karta knärot.png", "A 26959-2024")</f>
        <v/>
      </c>
      <c r="V43">
        <f>HYPERLINK("https://klasma.github.io/Logging_2260/klagomål/A 26959-2024 FSC-klagomål.docx", "A 26959-2024")</f>
        <v/>
      </c>
      <c r="W43">
        <f>HYPERLINK("https://klasma.github.io/Logging_2260/klagomålsmail/A 26959-2024 FSC-klagomål mail.docx", "A 26959-2024")</f>
        <v/>
      </c>
      <c r="X43">
        <f>HYPERLINK("https://klasma.github.io/Logging_2260/tillsyn/A 26959-2024 tillsynsbegäran.docx", "A 26959-2024")</f>
        <v/>
      </c>
      <c r="Y43">
        <f>HYPERLINK("https://klasma.github.io/Logging_2260/tillsynsmail/A 26959-2024 tillsynsbegäran mail.docx", "A 26959-2024")</f>
        <v/>
      </c>
      <c r="Z43">
        <f>HYPERLINK("https://klasma.github.io/Logging_2260/fåglar/A 26959-2024 prioriterade fågelarter.docx", "A 26959-2024")</f>
        <v/>
      </c>
    </row>
    <row r="44" ht="15" customHeight="1">
      <c r="A44" t="inlineStr">
        <is>
          <t>A 20269-2024</t>
        </is>
      </c>
      <c r="B44" s="1" t="n">
        <v>45434</v>
      </c>
      <c r="C44" s="1" t="n">
        <v>46093</v>
      </c>
      <c r="D44" t="inlineStr">
        <is>
          <t>VÄSTERNORRLANDS LÄN</t>
        </is>
      </c>
      <c r="E44" t="inlineStr">
        <is>
          <t>ÅNGE</t>
        </is>
      </c>
      <c r="F44" t="inlineStr">
        <is>
          <t>SCA</t>
        </is>
      </c>
      <c r="G44" t="n">
        <v>13.9</v>
      </c>
      <c r="H44" t="n">
        <v>4</v>
      </c>
      <c r="I44" t="n">
        <v>3</v>
      </c>
      <c r="J44" t="n">
        <v>12</v>
      </c>
      <c r="K44" t="n">
        <v>2</v>
      </c>
      <c r="L44" t="n">
        <v>0</v>
      </c>
      <c r="M44" t="n">
        <v>0</v>
      </c>
      <c r="N44" t="n">
        <v>0</v>
      </c>
      <c r="O44" t="n">
        <v>14</v>
      </c>
      <c r="P44" t="n">
        <v>2</v>
      </c>
      <c r="Q44" t="n">
        <v>18</v>
      </c>
      <c r="R44" s="2" t="inlineStr">
        <is>
          <t>Gräddporing
Knärot
Blågrå svartspik
Dvärgbägarlav
Garnlav
Kortskaftad ärgspik
Lunglav
Mörk kolflarnlav
Nordtagging
Talltita
Tretåig hackspett
Vedskivlav
Vedtrappmossa
Violettgrå tagellav
Barkkornlav
Korallblylav
Vedticka
Tjäder</t>
        </is>
      </c>
      <c r="S44">
        <f>HYPERLINK("https://klasma.github.io/Logging_2260/artfynd/A 20269-2024 artfynd.xlsx", "A 20269-2024")</f>
        <v/>
      </c>
      <c r="T44">
        <f>HYPERLINK("https://klasma.github.io/Logging_2260/kartor/A 20269-2024 karta.png", "A 20269-2024")</f>
        <v/>
      </c>
      <c r="U44">
        <f>HYPERLINK("https://klasma.github.io/Logging_2260/knärot/A 20269-2024 karta knärot.png", "A 20269-2024")</f>
        <v/>
      </c>
      <c r="V44">
        <f>HYPERLINK("https://klasma.github.io/Logging_2260/klagomål/A 20269-2024 FSC-klagomål.docx", "A 20269-2024")</f>
        <v/>
      </c>
      <c r="W44">
        <f>HYPERLINK("https://klasma.github.io/Logging_2260/klagomålsmail/A 20269-2024 FSC-klagomål mail.docx", "A 20269-2024")</f>
        <v/>
      </c>
      <c r="X44">
        <f>HYPERLINK("https://klasma.github.io/Logging_2260/tillsyn/A 20269-2024 tillsynsbegäran.docx", "A 20269-2024")</f>
        <v/>
      </c>
      <c r="Y44">
        <f>HYPERLINK("https://klasma.github.io/Logging_2260/tillsynsmail/A 20269-2024 tillsynsbegäran mail.docx", "A 20269-2024")</f>
        <v/>
      </c>
      <c r="Z44">
        <f>HYPERLINK("https://klasma.github.io/Logging_2260/fåglar/A 20269-2024 prioriterade fågelarter.docx", "A 20269-2024")</f>
        <v/>
      </c>
    </row>
    <row r="45" ht="15" customHeight="1">
      <c r="A45" t="inlineStr">
        <is>
          <t>A 13934-2025</t>
        </is>
      </c>
      <c r="B45" s="1" t="n">
        <v>45737</v>
      </c>
      <c r="C45" s="1" t="n">
        <v>46093</v>
      </c>
      <c r="D45" t="inlineStr">
        <is>
          <t>VÄSTERNORRLANDS LÄN</t>
        </is>
      </c>
      <c r="E45" t="inlineStr">
        <is>
          <t>SUNDSVALL</t>
        </is>
      </c>
      <c r="F45" t="inlineStr">
        <is>
          <t>SCA</t>
        </is>
      </c>
      <c r="G45" t="n">
        <v>11</v>
      </c>
      <c r="H45" t="n">
        <v>4</v>
      </c>
      <c r="I45" t="n">
        <v>5</v>
      </c>
      <c r="J45" t="n">
        <v>9</v>
      </c>
      <c r="K45" t="n">
        <v>3</v>
      </c>
      <c r="L45" t="n">
        <v>0</v>
      </c>
      <c r="M45" t="n">
        <v>0</v>
      </c>
      <c r="N45" t="n">
        <v>0</v>
      </c>
      <c r="O45" t="n">
        <v>12</v>
      </c>
      <c r="P45" t="n">
        <v>3</v>
      </c>
      <c r="Q45" t="n">
        <v>18</v>
      </c>
      <c r="R45"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5">
        <f>HYPERLINK("https://klasma.github.io/Logging_2281/artfynd/A 13934-2025 artfynd.xlsx", "A 13934-2025")</f>
        <v/>
      </c>
      <c r="T45">
        <f>HYPERLINK("https://klasma.github.io/Logging_2281/kartor/A 13934-2025 karta.png", "A 13934-2025")</f>
        <v/>
      </c>
      <c r="U45">
        <f>HYPERLINK("https://klasma.github.io/Logging_2281/knärot/A 13934-2025 karta knärot.png", "A 13934-2025")</f>
        <v/>
      </c>
      <c r="V45">
        <f>HYPERLINK("https://klasma.github.io/Logging_2281/klagomål/A 13934-2025 FSC-klagomål.docx", "A 13934-2025")</f>
        <v/>
      </c>
      <c r="W45">
        <f>HYPERLINK("https://klasma.github.io/Logging_2281/klagomålsmail/A 13934-2025 FSC-klagomål mail.docx", "A 13934-2025")</f>
        <v/>
      </c>
      <c r="X45">
        <f>HYPERLINK("https://klasma.github.io/Logging_2281/tillsyn/A 13934-2025 tillsynsbegäran.docx", "A 13934-2025")</f>
        <v/>
      </c>
      <c r="Y45">
        <f>HYPERLINK("https://klasma.github.io/Logging_2281/tillsynsmail/A 13934-2025 tillsynsbegäran mail.docx", "A 13934-2025")</f>
        <v/>
      </c>
      <c r="Z45">
        <f>HYPERLINK("https://klasma.github.io/Logging_2281/fåglar/A 13934-2025 prioriterade fågelarter.docx", "A 13934-2025")</f>
        <v/>
      </c>
    </row>
    <row r="46" ht="15" customHeight="1">
      <c r="A46" t="inlineStr">
        <is>
          <t>A 61873-2025</t>
        </is>
      </c>
      <c r="B46" s="1" t="n">
        <v>46003.40670138889</v>
      </c>
      <c r="C46" s="1" t="n">
        <v>46093</v>
      </c>
      <c r="D46" t="inlineStr">
        <is>
          <t>VÄSTERNORRLANDS LÄN</t>
        </is>
      </c>
      <c r="E46" t="inlineStr">
        <is>
          <t>KRAMFORS</t>
        </is>
      </c>
      <c r="G46" t="n">
        <v>21.7</v>
      </c>
      <c r="H46" t="n">
        <v>5</v>
      </c>
      <c r="I46" t="n">
        <v>4</v>
      </c>
      <c r="J46" t="n">
        <v>11</v>
      </c>
      <c r="K46" t="n">
        <v>1</v>
      </c>
      <c r="L46" t="n">
        <v>0</v>
      </c>
      <c r="M46" t="n">
        <v>0</v>
      </c>
      <c r="N46" t="n">
        <v>0</v>
      </c>
      <c r="O46" t="n">
        <v>12</v>
      </c>
      <c r="P46" t="n">
        <v>1</v>
      </c>
      <c r="Q46" t="n">
        <v>18</v>
      </c>
      <c r="R46" s="2" t="inlineStr">
        <is>
          <t>Rynkskinn
Doftskinn
Garnlav
Granticka
Järpe
Kötticka
Lunglav
Rosenticka
Spillkråka
Tretåig hackspett
Ullticka
Violmussling
Korallblylav
Mörk husmossa
Norrlandslav
Vedticka
Tjäder
Revlummer</t>
        </is>
      </c>
      <c r="S46">
        <f>HYPERLINK("https://klasma.github.io/Logging_2282/artfynd/A 61873-2025 artfynd.xlsx", "A 61873-2025")</f>
        <v/>
      </c>
      <c r="T46">
        <f>HYPERLINK("https://klasma.github.io/Logging_2282/kartor/A 61873-2025 karta.png", "A 61873-2025")</f>
        <v/>
      </c>
      <c r="V46">
        <f>HYPERLINK("https://klasma.github.io/Logging_2282/klagomål/A 61873-2025 FSC-klagomål.docx", "A 61873-2025")</f>
        <v/>
      </c>
      <c r="W46">
        <f>HYPERLINK("https://klasma.github.io/Logging_2282/klagomålsmail/A 61873-2025 FSC-klagomål mail.docx", "A 61873-2025")</f>
        <v/>
      </c>
      <c r="X46">
        <f>HYPERLINK("https://klasma.github.io/Logging_2282/tillsyn/A 61873-2025 tillsynsbegäran.docx", "A 61873-2025")</f>
        <v/>
      </c>
      <c r="Y46">
        <f>HYPERLINK("https://klasma.github.io/Logging_2282/tillsynsmail/A 61873-2025 tillsynsbegäran mail.docx", "A 61873-2025")</f>
        <v/>
      </c>
      <c r="Z46">
        <f>HYPERLINK("https://klasma.github.io/Logging_2282/fåglar/A 61873-2025 prioriterade fågelarter.docx", "A 61873-2025")</f>
        <v/>
      </c>
    </row>
    <row r="47" ht="15" customHeight="1">
      <c r="A47" t="inlineStr">
        <is>
          <t>A 21662-2022</t>
        </is>
      </c>
      <c r="B47" s="1" t="n">
        <v>44706</v>
      </c>
      <c r="C47" s="1" t="n">
        <v>46093</v>
      </c>
      <c r="D47" t="inlineStr">
        <is>
          <t>VÄSTERNORRLANDS LÄN</t>
        </is>
      </c>
      <c r="E47" t="inlineStr">
        <is>
          <t>SUNDSVALL</t>
        </is>
      </c>
      <c r="F47" t="inlineStr">
        <is>
          <t>SCA</t>
        </is>
      </c>
      <c r="G47" t="n">
        <v>3.2</v>
      </c>
      <c r="H47" t="n">
        <v>11</v>
      </c>
      <c r="I47" t="n">
        <v>1</v>
      </c>
      <c r="J47" t="n">
        <v>11</v>
      </c>
      <c r="K47" t="n">
        <v>1</v>
      </c>
      <c r="L47" t="n">
        <v>0</v>
      </c>
      <c r="M47" t="n">
        <v>0</v>
      </c>
      <c r="N47" t="n">
        <v>0</v>
      </c>
      <c r="O47" t="n">
        <v>12</v>
      </c>
      <c r="P47" t="n">
        <v>1</v>
      </c>
      <c r="Q47" t="n">
        <v>17</v>
      </c>
      <c r="R47" s="2" t="inlineStr">
        <is>
          <t>Knärot
Björktrast
Garnlav
Järpe
Lunglav
Rosenticka
Rödvingetrast
Spillkråka
Talltita
Tretåig hackspett
Ullticka
Vedtrappmossa
Vedticka
Kungsfågel
Talltita x tofsmes
Tjäder
Revlummer</t>
        </is>
      </c>
      <c r="S47">
        <f>HYPERLINK("https://klasma.github.io/Logging_2281/artfynd/A 21662-2022 artfynd.xlsx", "A 21662-2022")</f>
        <v/>
      </c>
      <c r="T47">
        <f>HYPERLINK("https://klasma.github.io/Logging_2281/kartor/A 21662-2022 karta.png", "A 21662-2022")</f>
        <v/>
      </c>
      <c r="U47">
        <f>HYPERLINK("https://klasma.github.io/Logging_2281/knärot/A 21662-2022 karta knärot.png", "A 21662-2022")</f>
        <v/>
      </c>
      <c r="V47">
        <f>HYPERLINK("https://klasma.github.io/Logging_2281/klagomål/A 21662-2022 FSC-klagomål.docx", "A 21662-2022")</f>
        <v/>
      </c>
      <c r="W47">
        <f>HYPERLINK("https://klasma.github.io/Logging_2281/klagomålsmail/A 21662-2022 FSC-klagomål mail.docx", "A 21662-2022")</f>
        <v/>
      </c>
      <c r="X47">
        <f>HYPERLINK("https://klasma.github.io/Logging_2281/tillsyn/A 21662-2022 tillsynsbegäran.docx", "A 21662-2022")</f>
        <v/>
      </c>
      <c r="Y47">
        <f>HYPERLINK("https://klasma.github.io/Logging_2281/tillsynsmail/A 21662-2022 tillsynsbegäran mail.docx", "A 21662-2022")</f>
        <v/>
      </c>
      <c r="Z47">
        <f>HYPERLINK("https://klasma.github.io/Logging_2281/fåglar/A 21662-2022 prioriterade fågelarter.docx", "A 21662-2022")</f>
        <v/>
      </c>
    </row>
    <row r="48" ht="15" customHeight="1">
      <c r="A48" t="inlineStr">
        <is>
          <t>A 44390-2025</t>
        </is>
      </c>
      <c r="B48" s="1" t="n">
        <v>45916.49240740741</v>
      </c>
      <c r="C48" s="1" t="n">
        <v>46093</v>
      </c>
      <c r="D48" t="inlineStr">
        <is>
          <t>VÄSTERNORRLANDS LÄN</t>
        </is>
      </c>
      <c r="E48" t="inlineStr">
        <is>
          <t>ÖRNSKÖLDSVIK</t>
        </is>
      </c>
      <c r="G48" t="n">
        <v>13</v>
      </c>
      <c r="H48" t="n">
        <v>4</v>
      </c>
      <c r="I48" t="n">
        <v>2</v>
      </c>
      <c r="J48" t="n">
        <v>13</v>
      </c>
      <c r="K48" t="n">
        <v>1</v>
      </c>
      <c r="L48" t="n">
        <v>0</v>
      </c>
      <c r="M48" t="n">
        <v>0</v>
      </c>
      <c r="N48" t="n">
        <v>0</v>
      </c>
      <c r="O48" t="n">
        <v>14</v>
      </c>
      <c r="P48" t="n">
        <v>1</v>
      </c>
      <c r="Q48" t="n">
        <v>17</v>
      </c>
      <c r="R48" s="2" t="inlineStr">
        <is>
          <t>Rynkskinn
Doftskinn
Gammelgransskål
Granticka
Järpe
Kolflarnlav
Lunglav
Reliktbock
Rosenticka
Spillkråka
Talltita
Ullticka
Vedflamlav
Vedskivlav
Blodticka
Stuplav
Revlummer</t>
        </is>
      </c>
      <c r="S48">
        <f>HYPERLINK("https://klasma.github.io/Logging_2284/artfynd/A 44390-2025 artfynd.xlsx", "A 44390-2025")</f>
        <v/>
      </c>
      <c r="T48">
        <f>HYPERLINK("https://klasma.github.io/Logging_2284/kartor/A 44390-2025 karta.png", "A 44390-2025")</f>
        <v/>
      </c>
      <c r="V48">
        <f>HYPERLINK("https://klasma.github.io/Logging_2284/klagomål/A 44390-2025 FSC-klagomål.docx", "A 44390-2025")</f>
        <v/>
      </c>
      <c r="W48">
        <f>HYPERLINK("https://klasma.github.io/Logging_2284/klagomålsmail/A 44390-2025 FSC-klagomål mail.docx", "A 44390-2025")</f>
        <v/>
      </c>
      <c r="X48">
        <f>HYPERLINK("https://klasma.github.io/Logging_2284/tillsyn/A 44390-2025 tillsynsbegäran.docx", "A 44390-2025")</f>
        <v/>
      </c>
      <c r="Y48">
        <f>HYPERLINK("https://klasma.github.io/Logging_2284/tillsynsmail/A 44390-2025 tillsynsbegäran mail.docx", "A 44390-2025")</f>
        <v/>
      </c>
      <c r="Z48">
        <f>HYPERLINK("https://klasma.github.io/Logging_2284/fåglar/A 44390-2025 prioriterade fågelarter.docx", "A 44390-2025")</f>
        <v/>
      </c>
    </row>
    <row r="49" ht="15" customHeight="1">
      <c r="A49" t="inlineStr">
        <is>
          <t>A 49702-2023</t>
        </is>
      </c>
      <c r="B49" s="1" t="n">
        <v>45208</v>
      </c>
      <c r="C49" s="1" t="n">
        <v>46093</v>
      </c>
      <c r="D49" t="inlineStr">
        <is>
          <t>VÄSTERNORRLANDS LÄN</t>
        </is>
      </c>
      <c r="E49" t="inlineStr">
        <is>
          <t>SUNDSVALL</t>
        </is>
      </c>
      <c r="G49" t="n">
        <v>18.4</v>
      </c>
      <c r="H49" t="n">
        <v>3</v>
      </c>
      <c r="I49" t="n">
        <v>3</v>
      </c>
      <c r="J49" t="n">
        <v>10</v>
      </c>
      <c r="K49" t="n">
        <v>3</v>
      </c>
      <c r="L49" t="n">
        <v>0</v>
      </c>
      <c r="M49" t="n">
        <v>0</v>
      </c>
      <c r="N49" t="n">
        <v>0</v>
      </c>
      <c r="O49" t="n">
        <v>13</v>
      </c>
      <c r="P49" t="n">
        <v>3</v>
      </c>
      <c r="Q49" t="n">
        <v>17</v>
      </c>
      <c r="R49" s="2" t="inlineStr">
        <is>
          <t>Knärot
Koppartaggsvamp
Rynkskinn
Dofttaggsvamp
Granticka
Gultoppig fingersvamp
Kötticka
Motaggsvamp
Orange taggsvamp
Rosenticka
Svart taggsvamp agg.
Tretåig hackspett
Ullticka
Grönpyrola
Skarp dropptaggsvamp
Vedticka
Nattviol</t>
        </is>
      </c>
      <c r="S49">
        <f>HYPERLINK("https://klasma.github.io/Logging_2281/artfynd/A 49702-2023 artfynd.xlsx", "A 49702-2023")</f>
        <v/>
      </c>
      <c r="T49">
        <f>HYPERLINK("https://klasma.github.io/Logging_2281/kartor/A 49702-2023 karta.png", "A 49702-2023")</f>
        <v/>
      </c>
      <c r="U49">
        <f>HYPERLINK("https://klasma.github.io/Logging_2281/knärot/A 49702-2023 karta knärot.png", "A 49702-2023")</f>
        <v/>
      </c>
      <c r="V49">
        <f>HYPERLINK("https://klasma.github.io/Logging_2281/klagomål/A 49702-2023 FSC-klagomål.docx", "A 49702-2023")</f>
        <v/>
      </c>
      <c r="W49">
        <f>HYPERLINK("https://klasma.github.io/Logging_2281/klagomålsmail/A 49702-2023 FSC-klagomål mail.docx", "A 49702-2023")</f>
        <v/>
      </c>
      <c r="X49">
        <f>HYPERLINK("https://klasma.github.io/Logging_2281/tillsyn/A 49702-2023 tillsynsbegäran.docx", "A 49702-2023")</f>
        <v/>
      </c>
      <c r="Y49">
        <f>HYPERLINK("https://klasma.github.io/Logging_2281/tillsynsmail/A 49702-2023 tillsynsbegäran mail.docx", "A 49702-2023")</f>
        <v/>
      </c>
      <c r="Z49">
        <f>HYPERLINK("https://klasma.github.io/Logging_2281/fåglar/A 49702-2023 prioriterade fågelarter.docx", "A 49702-2023")</f>
        <v/>
      </c>
    </row>
    <row r="50" ht="15" customHeight="1">
      <c r="A50" t="inlineStr">
        <is>
          <t>A 19418-2023</t>
        </is>
      </c>
      <c r="B50" s="1" t="n">
        <v>45049</v>
      </c>
      <c r="C50" s="1" t="n">
        <v>46093</v>
      </c>
      <c r="D50" t="inlineStr">
        <is>
          <t>VÄSTERNORRLANDS LÄN</t>
        </is>
      </c>
      <c r="E50" t="inlineStr">
        <is>
          <t>SUNDSVALL</t>
        </is>
      </c>
      <c r="G50" t="n">
        <v>6.9</v>
      </c>
      <c r="H50" t="n">
        <v>3</v>
      </c>
      <c r="I50" t="n">
        <v>6</v>
      </c>
      <c r="J50" t="n">
        <v>8</v>
      </c>
      <c r="K50" t="n">
        <v>2</v>
      </c>
      <c r="L50" t="n">
        <v>0</v>
      </c>
      <c r="M50" t="n">
        <v>0</v>
      </c>
      <c r="N50" t="n">
        <v>0</v>
      </c>
      <c r="O50" t="n">
        <v>10</v>
      </c>
      <c r="P50" t="n">
        <v>2</v>
      </c>
      <c r="Q50" t="n">
        <v>17</v>
      </c>
      <c r="R50" s="2" t="inlineStr">
        <is>
          <t>Knärot
Rynkskinn
Doftskinn
Gammelgransskål
Garnlav
Granticka
Ullticka
Violettgrå tagellav
Vitgrynig nållav
Äggvaxskivling
Bronshjon
Kattfotslav
Spindelblomster
Trådticka
Vedticka
Vågbandad barkbock
Fläcknycklar</t>
        </is>
      </c>
      <c r="S50">
        <f>HYPERLINK("https://klasma.github.io/Logging_2281/artfynd/A 19418-2023 artfynd.xlsx", "A 19418-2023")</f>
        <v/>
      </c>
      <c r="T50">
        <f>HYPERLINK("https://klasma.github.io/Logging_2281/kartor/A 19418-2023 karta.png", "A 19418-2023")</f>
        <v/>
      </c>
      <c r="U50">
        <f>HYPERLINK("https://klasma.github.io/Logging_2281/knärot/A 19418-2023 karta knärot.png", "A 19418-2023")</f>
        <v/>
      </c>
      <c r="V50">
        <f>HYPERLINK("https://klasma.github.io/Logging_2281/klagomål/A 19418-2023 FSC-klagomål.docx", "A 19418-2023")</f>
        <v/>
      </c>
      <c r="W50">
        <f>HYPERLINK("https://klasma.github.io/Logging_2281/klagomålsmail/A 19418-2023 FSC-klagomål mail.docx", "A 19418-2023")</f>
        <v/>
      </c>
      <c r="X50">
        <f>HYPERLINK("https://klasma.github.io/Logging_2281/tillsyn/A 19418-2023 tillsynsbegäran.docx", "A 19418-2023")</f>
        <v/>
      </c>
      <c r="Y50">
        <f>HYPERLINK("https://klasma.github.io/Logging_2281/tillsynsmail/A 19418-2023 tillsynsbegäran mail.docx", "A 19418-2023")</f>
        <v/>
      </c>
    </row>
    <row r="51" ht="15" customHeight="1">
      <c r="A51" t="inlineStr">
        <is>
          <t>A 10146-2025</t>
        </is>
      </c>
      <c r="B51" s="1" t="n">
        <v>45719.63833333334</v>
      </c>
      <c r="C51" s="1" t="n">
        <v>46093</v>
      </c>
      <c r="D51" t="inlineStr">
        <is>
          <t>VÄSTERNORRLANDS LÄN</t>
        </is>
      </c>
      <c r="E51" t="inlineStr">
        <is>
          <t>ÖRNSKÖLDSVIK</t>
        </is>
      </c>
      <c r="G51" t="n">
        <v>5</v>
      </c>
      <c r="H51" t="n">
        <v>2</v>
      </c>
      <c r="I51" t="n">
        <v>7</v>
      </c>
      <c r="J51" t="n">
        <v>9</v>
      </c>
      <c r="K51" t="n">
        <v>1</v>
      </c>
      <c r="L51" t="n">
        <v>0</v>
      </c>
      <c r="M51" t="n">
        <v>0</v>
      </c>
      <c r="N51" t="n">
        <v>0</v>
      </c>
      <c r="O51" t="n">
        <v>10</v>
      </c>
      <c r="P51" t="n">
        <v>1</v>
      </c>
      <c r="Q51" t="n">
        <v>17</v>
      </c>
      <c r="R51" s="2" t="inlineStr">
        <is>
          <t>Långskägg
Doftskinn
Gammelgransskål
Garnlav
Lunglav
Rosenticka
Spillkråka
Ullticka
Violettgrå tagellav
Vitgrynig nållav
Blodticka
Bronshjon
Bårdlav
Gulnål
Korallblylav
Stuplav
Vedticka</t>
        </is>
      </c>
      <c r="S51">
        <f>HYPERLINK("https://klasma.github.io/Logging_2284/artfynd/A 10146-2025 artfynd.xlsx", "A 10146-2025")</f>
        <v/>
      </c>
      <c r="T51">
        <f>HYPERLINK("https://klasma.github.io/Logging_2284/kartor/A 10146-2025 karta.png", "A 10146-2025")</f>
        <v/>
      </c>
      <c r="V51">
        <f>HYPERLINK("https://klasma.github.io/Logging_2284/klagomål/A 10146-2025 FSC-klagomål.docx", "A 10146-2025")</f>
        <v/>
      </c>
      <c r="W51">
        <f>HYPERLINK("https://klasma.github.io/Logging_2284/klagomålsmail/A 10146-2025 FSC-klagomål mail.docx", "A 10146-2025")</f>
        <v/>
      </c>
      <c r="X51">
        <f>HYPERLINK("https://klasma.github.io/Logging_2284/tillsyn/A 10146-2025 tillsynsbegäran.docx", "A 10146-2025")</f>
        <v/>
      </c>
      <c r="Y51">
        <f>HYPERLINK("https://klasma.github.io/Logging_2284/tillsynsmail/A 10146-2025 tillsynsbegäran mail.docx", "A 10146-2025")</f>
        <v/>
      </c>
      <c r="Z51">
        <f>HYPERLINK("https://klasma.github.io/Logging_2284/fåglar/A 10146-2025 prioriterade fågelarter.docx", "A 10146-2025")</f>
        <v/>
      </c>
    </row>
    <row r="52" ht="15" customHeight="1">
      <c r="A52" t="inlineStr">
        <is>
          <t>A 28059-2025</t>
        </is>
      </c>
      <c r="B52" s="1" t="n">
        <v>45817</v>
      </c>
      <c r="C52" s="1" t="n">
        <v>46093</v>
      </c>
      <c r="D52" t="inlineStr">
        <is>
          <t>VÄSTERNORRLANDS LÄN</t>
        </is>
      </c>
      <c r="E52" t="inlineStr">
        <is>
          <t>SOLLEFTEÅ</t>
        </is>
      </c>
      <c r="G52" t="n">
        <v>7.3</v>
      </c>
      <c r="H52" t="n">
        <v>4</v>
      </c>
      <c r="I52" t="n">
        <v>6</v>
      </c>
      <c r="J52" t="n">
        <v>7</v>
      </c>
      <c r="K52" t="n">
        <v>3</v>
      </c>
      <c r="L52" t="n">
        <v>0</v>
      </c>
      <c r="M52" t="n">
        <v>0</v>
      </c>
      <c r="N52" t="n">
        <v>0</v>
      </c>
      <c r="O52" t="n">
        <v>10</v>
      </c>
      <c r="P52" t="n">
        <v>3</v>
      </c>
      <c r="Q52" t="n">
        <v>17</v>
      </c>
      <c r="R52" s="2" t="inlineStr">
        <is>
          <t>Knärot
Lappticka
Rynkskinn
Hornvaxskinn
Järpe
Lunglav
Rosenticka
Spillkråka
Spinnfingersvamp
Ullticka
Bronshjon
Luddlav
Norrlandslav
Stuplav
Vedticka
Vågbandad barkbock
Revlummer</t>
        </is>
      </c>
      <c r="S52">
        <f>HYPERLINK("https://klasma.github.io/Logging_2283/artfynd/A 28059-2025 artfynd.xlsx", "A 28059-2025")</f>
        <v/>
      </c>
      <c r="T52">
        <f>HYPERLINK("https://klasma.github.io/Logging_2283/kartor/A 28059-2025 karta.png", "A 28059-2025")</f>
        <v/>
      </c>
      <c r="U52">
        <f>HYPERLINK("https://klasma.github.io/Logging_2283/knärot/A 28059-2025 karta knärot.png", "A 28059-2025")</f>
        <v/>
      </c>
      <c r="V52">
        <f>HYPERLINK("https://klasma.github.io/Logging_2283/klagomål/A 28059-2025 FSC-klagomål.docx", "A 28059-2025")</f>
        <v/>
      </c>
      <c r="W52">
        <f>HYPERLINK("https://klasma.github.io/Logging_2283/klagomålsmail/A 28059-2025 FSC-klagomål mail.docx", "A 28059-2025")</f>
        <v/>
      </c>
      <c r="X52">
        <f>HYPERLINK("https://klasma.github.io/Logging_2283/tillsyn/A 28059-2025 tillsynsbegäran.docx", "A 28059-2025")</f>
        <v/>
      </c>
      <c r="Y52">
        <f>HYPERLINK("https://klasma.github.io/Logging_2283/tillsynsmail/A 28059-2025 tillsynsbegäran mail.docx", "A 28059-2025")</f>
        <v/>
      </c>
      <c r="Z52">
        <f>HYPERLINK("https://klasma.github.io/Logging_2283/fåglar/A 28059-2025 prioriterade fågelarter.docx", "A 28059-2025")</f>
        <v/>
      </c>
    </row>
    <row r="53" ht="15" customHeight="1">
      <c r="A53" t="inlineStr">
        <is>
          <t>A 19347-2024</t>
        </is>
      </c>
      <c r="B53" s="1" t="n">
        <v>45428</v>
      </c>
      <c r="C53" s="1" t="n">
        <v>46093</v>
      </c>
      <c r="D53" t="inlineStr">
        <is>
          <t>VÄSTERNORRLANDS LÄN</t>
        </is>
      </c>
      <c r="E53" t="inlineStr">
        <is>
          <t>SOLLEFTEÅ</t>
        </is>
      </c>
      <c r="G53" t="n">
        <v>14.5</v>
      </c>
      <c r="H53" t="n">
        <v>6</v>
      </c>
      <c r="I53" t="n">
        <v>2</v>
      </c>
      <c r="J53" t="n">
        <v>12</v>
      </c>
      <c r="K53" t="n">
        <v>1</v>
      </c>
      <c r="L53" t="n">
        <v>0</v>
      </c>
      <c r="M53" t="n">
        <v>0</v>
      </c>
      <c r="N53" t="n">
        <v>0</v>
      </c>
      <c r="O53" t="n">
        <v>13</v>
      </c>
      <c r="P53" t="n">
        <v>1</v>
      </c>
      <c r="Q53" t="n">
        <v>17</v>
      </c>
      <c r="R53" s="2" t="inlineStr">
        <is>
          <t>Knärot
Blanksvart spiklav
Dvärgbägarlav
Gammelgransskål
Garnlav
Kolflarnlav
Lunglav
Skrovellav
Spillkråka
Tallticka
Talltita
Tretåig hackspett
Ullticka
Dropptaggsvamp
Vedticka
Lavskrika
Tjäder</t>
        </is>
      </c>
      <c r="S53">
        <f>HYPERLINK("https://klasma.github.io/Logging_2283/artfynd/A 19347-2024 artfynd.xlsx", "A 19347-2024")</f>
        <v/>
      </c>
      <c r="T53">
        <f>HYPERLINK("https://klasma.github.io/Logging_2283/kartor/A 19347-2024 karta.png", "A 19347-2024")</f>
        <v/>
      </c>
      <c r="U53">
        <f>HYPERLINK("https://klasma.github.io/Logging_2283/knärot/A 19347-2024 karta knärot.png", "A 19347-2024")</f>
        <v/>
      </c>
      <c r="V53">
        <f>HYPERLINK("https://klasma.github.io/Logging_2283/klagomål/A 19347-2024 FSC-klagomål.docx", "A 19347-2024")</f>
        <v/>
      </c>
      <c r="W53">
        <f>HYPERLINK("https://klasma.github.io/Logging_2283/klagomålsmail/A 19347-2024 FSC-klagomål mail.docx", "A 19347-2024")</f>
        <v/>
      </c>
      <c r="X53">
        <f>HYPERLINK("https://klasma.github.io/Logging_2283/tillsyn/A 19347-2024 tillsynsbegäran.docx", "A 19347-2024")</f>
        <v/>
      </c>
      <c r="Y53">
        <f>HYPERLINK("https://klasma.github.io/Logging_2283/tillsynsmail/A 19347-2024 tillsynsbegäran mail.docx", "A 19347-2024")</f>
        <v/>
      </c>
      <c r="Z53">
        <f>HYPERLINK("https://klasma.github.io/Logging_2283/fåglar/A 19347-2024 prioriterade fågelarter.docx", "A 19347-2024")</f>
        <v/>
      </c>
    </row>
    <row r="54" ht="15" customHeight="1">
      <c r="A54" t="inlineStr">
        <is>
          <t>A 48369-2025</t>
        </is>
      </c>
      <c r="B54" s="1" t="n">
        <v>45933</v>
      </c>
      <c r="C54" s="1" t="n">
        <v>46093</v>
      </c>
      <c r="D54" t="inlineStr">
        <is>
          <t>VÄSTERNORRLANDS LÄN</t>
        </is>
      </c>
      <c r="E54" t="inlineStr">
        <is>
          <t>SOLLEFTEÅ</t>
        </is>
      </c>
      <c r="F54" t="inlineStr">
        <is>
          <t>SCA</t>
        </is>
      </c>
      <c r="G54" t="n">
        <v>12.6</v>
      </c>
      <c r="H54" t="n">
        <v>2</v>
      </c>
      <c r="I54" t="n">
        <v>5</v>
      </c>
      <c r="J54" t="n">
        <v>10</v>
      </c>
      <c r="K54" t="n">
        <v>1</v>
      </c>
      <c r="L54" t="n">
        <v>0</v>
      </c>
      <c r="M54" t="n">
        <v>0</v>
      </c>
      <c r="N54" t="n">
        <v>0</v>
      </c>
      <c r="O54" t="n">
        <v>11</v>
      </c>
      <c r="P54" t="n">
        <v>1</v>
      </c>
      <c r="Q54" t="n">
        <v>17</v>
      </c>
      <c r="R54" s="2" t="inlineStr">
        <is>
          <t>Rynkskinn
Brunpudrad nållav
Gammelgransskål
Garnlav
Granticka
Harticka
Kötticka
Lunglav
Tretåig hackspett
Ullticka
Vitgrynig nållav
Gulnål
Luddlav
Stuplav
Trådticka
Vedticka
Revlummer</t>
        </is>
      </c>
      <c r="S54">
        <f>HYPERLINK("https://klasma.github.io/Logging_2283/artfynd/A 48369-2025 artfynd.xlsx", "A 48369-2025")</f>
        <v/>
      </c>
      <c r="T54">
        <f>HYPERLINK("https://klasma.github.io/Logging_2283/kartor/A 48369-2025 karta.png", "A 48369-2025")</f>
        <v/>
      </c>
      <c r="U54">
        <f>HYPERLINK("https://klasma.github.io/Logging_2283/knärot/A 48369-2025 karta knärot.png", "A 48369-2025")</f>
        <v/>
      </c>
      <c r="V54">
        <f>HYPERLINK("https://klasma.github.io/Logging_2283/klagomål/A 48369-2025 FSC-klagomål.docx", "A 48369-2025")</f>
        <v/>
      </c>
      <c r="W54">
        <f>HYPERLINK("https://klasma.github.io/Logging_2283/klagomålsmail/A 48369-2025 FSC-klagomål mail.docx", "A 48369-2025")</f>
        <v/>
      </c>
      <c r="X54">
        <f>HYPERLINK("https://klasma.github.io/Logging_2283/tillsyn/A 48369-2025 tillsynsbegäran.docx", "A 48369-2025")</f>
        <v/>
      </c>
      <c r="Y54">
        <f>HYPERLINK("https://klasma.github.io/Logging_2283/tillsynsmail/A 48369-2025 tillsynsbegäran mail.docx", "A 48369-2025")</f>
        <v/>
      </c>
      <c r="Z54">
        <f>HYPERLINK("https://klasma.github.io/Logging_2283/fåglar/A 48369-2025 prioriterade fågelarter.docx", "A 48369-2025")</f>
        <v/>
      </c>
    </row>
    <row r="55" ht="15" customHeight="1">
      <c r="A55" t="inlineStr">
        <is>
          <t>A 35844-2022</t>
        </is>
      </c>
      <c r="B55" s="1" t="n">
        <v>44802</v>
      </c>
      <c r="C55" s="1" t="n">
        <v>46093</v>
      </c>
      <c r="D55" t="inlineStr">
        <is>
          <t>VÄSTERNORRLANDS LÄN</t>
        </is>
      </c>
      <c r="E55" t="inlineStr">
        <is>
          <t>ÖRNSKÖLDSVIK</t>
        </is>
      </c>
      <c r="G55" t="n">
        <v>5.1</v>
      </c>
      <c r="H55" t="n">
        <v>2</v>
      </c>
      <c r="I55" t="n">
        <v>7</v>
      </c>
      <c r="J55" t="n">
        <v>9</v>
      </c>
      <c r="K55" t="n">
        <v>1</v>
      </c>
      <c r="L55" t="n">
        <v>0</v>
      </c>
      <c r="M55" t="n">
        <v>0</v>
      </c>
      <c r="N55" t="n">
        <v>0</v>
      </c>
      <c r="O55" t="n">
        <v>10</v>
      </c>
      <c r="P55" t="n">
        <v>1</v>
      </c>
      <c r="Q55" t="n">
        <v>17</v>
      </c>
      <c r="R55" s="2" t="inlineStr">
        <is>
          <t>Långskägg
Doftskinn
Gammelgransskål
Garnlav
Lunglav
Rosenticka
Spillkråka
Ullticka
Violettgrå tagellav
Vitgrynig nållav
Blodticka
Bronshjon
Bårdlav
Gulnål
Korallblylav
Stuplav
Vedticka</t>
        </is>
      </c>
      <c r="S55">
        <f>HYPERLINK("https://klasma.github.io/Logging_2284/artfynd/A 35844-2022 artfynd.xlsx", "A 35844-2022")</f>
        <v/>
      </c>
      <c r="T55">
        <f>HYPERLINK("https://klasma.github.io/Logging_2284/kartor/A 35844-2022 karta.png", "A 35844-2022")</f>
        <v/>
      </c>
      <c r="V55">
        <f>HYPERLINK("https://klasma.github.io/Logging_2284/klagomål/A 35844-2022 FSC-klagomål.docx", "A 35844-2022")</f>
        <v/>
      </c>
      <c r="W55">
        <f>HYPERLINK("https://klasma.github.io/Logging_2284/klagomålsmail/A 35844-2022 FSC-klagomål mail.docx", "A 35844-2022")</f>
        <v/>
      </c>
      <c r="X55">
        <f>HYPERLINK("https://klasma.github.io/Logging_2284/tillsyn/A 35844-2022 tillsynsbegäran.docx", "A 35844-2022")</f>
        <v/>
      </c>
      <c r="Y55">
        <f>HYPERLINK("https://klasma.github.io/Logging_2284/tillsynsmail/A 35844-2022 tillsynsbegäran mail.docx", "A 35844-2022")</f>
        <v/>
      </c>
      <c r="Z55">
        <f>HYPERLINK("https://klasma.github.io/Logging_2284/fåglar/A 35844-2022 prioriterade fågelarter.docx", "A 35844-2022")</f>
        <v/>
      </c>
    </row>
    <row r="56" ht="15" customHeight="1">
      <c r="A56" t="inlineStr">
        <is>
          <t>A 27027-2022</t>
        </is>
      </c>
      <c r="B56" s="1" t="n">
        <v>44740.94289351852</v>
      </c>
      <c r="C56" s="1" t="n">
        <v>46093</v>
      </c>
      <c r="D56" t="inlineStr">
        <is>
          <t>VÄSTERNORRLANDS LÄN</t>
        </is>
      </c>
      <c r="E56" t="inlineStr">
        <is>
          <t>SUNDSVALL</t>
        </is>
      </c>
      <c r="F56" t="inlineStr">
        <is>
          <t>SCA</t>
        </is>
      </c>
      <c r="G56" t="n">
        <v>15.1</v>
      </c>
      <c r="H56" t="n">
        <v>4</v>
      </c>
      <c r="I56" t="n">
        <v>4</v>
      </c>
      <c r="J56" t="n">
        <v>8</v>
      </c>
      <c r="K56" t="n">
        <v>3</v>
      </c>
      <c r="L56" t="n">
        <v>0</v>
      </c>
      <c r="M56" t="n">
        <v>0</v>
      </c>
      <c r="N56" t="n">
        <v>0</v>
      </c>
      <c r="O56" t="n">
        <v>11</v>
      </c>
      <c r="P56" t="n">
        <v>3</v>
      </c>
      <c r="Q56" t="n">
        <v>16</v>
      </c>
      <c r="R56" s="2" t="inlineStr">
        <is>
          <t>Blackticka
Knärot
Rynkskinn
Doftskinn
Garnlav
Granticka
Lunglav
Rosenticka
Spillkråka
Tretåig hackspett
Ullticka
Korallblylav
Stor aspticka
Stuplav
Vedticka
Revlummer</t>
        </is>
      </c>
      <c r="S56">
        <f>HYPERLINK("https://klasma.github.io/Logging_2281/artfynd/A 27027-2022 artfynd.xlsx", "A 27027-2022")</f>
        <v/>
      </c>
      <c r="T56">
        <f>HYPERLINK("https://klasma.github.io/Logging_2281/kartor/A 27027-2022 karta.png", "A 27027-2022")</f>
        <v/>
      </c>
      <c r="U56">
        <f>HYPERLINK("https://klasma.github.io/Logging_2281/knärot/A 27027-2022 karta knärot.png", "A 27027-2022")</f>
        <v/>
      </c>
      <c r="V56">
        <f>HYPERLINK("https://klasma.github.io/Logging_2281/klagomål/A 27027-2022 FSC-klagomål.docx", "A 27027-2022")</f>
        <v/>
      </c>
      <c r="W56">
        <f>HYPERLINK("https://klasma.github.io/Logging_2281/klagomålsmail/A 27027-2022 FSC-klagomål mail.docx", "A 27027-2022")</f>
        <v/>
      </c>
      <c r="X56">
        <f>HYPERLINK("https://klasma.github.io/Logging_2281/tillsyn/A 27027-2022 tillsynsbegäran.docx", "A 27027-2022")</f>
        <v/>
      </c>
      <c r="Y56">
        <f>HYPERLINK("https://klasma.github.io/Logging_2281/tillsynsmail/A 27027-2022 tillsynsbegäran mail.docx", "A 27027-2022")</f>
        <v/>
      </c>
      <c r="Z56">
        <f>HYPERLINK("https://klasma.github.io/Logging_2281/fåglar/A 27027-2022 prioriterade fågelarter.docx", "A 27027-2022")</f>
        <v/>
      </c>
    </row>
    <row r="57" ht="15" customHeight="1">
      <c r="A57" t="inlineStr">
        <is>
          <t>A 49938-2021</t>
        </is>
      </c>
      <c r="B57" s="1" t="n">
        <v>44455.93498842593</v>
      </c>
      <c r="C57" s="1" t="n">
        <v>46093</v>
      </c>
      <c r="D57" t="inlineStr">
        <is>
          <t>VÄSTERNORRLANDS LÄN</t>
        </is>
      </c>
      <c r="E57" t="inlineStr">
        <is>
          <t>SOLLEFTEÅ</t>
        </is>
      </c>
      <c r="F57" t="inlineStr">
        <is>
          <t>SCA</t>
        </is>
      </c>
      <c r="G57" t="n">
        <v>6.4</v>
      </c>
      <c r="H57" t="n">
        <v>2</v>
      </c>
      <c r="I57" t="n">
        <v>1</v>
      </c>
      <c r="J57" t="n">
        <v>10</v>
      </c>
      <c r="K57" t="n">
        <v>5</v>
      </c>
      <c r="L57" t="n">
        <v>0</v>
      </c>
      <c r="M57" t="n">
        <v>0</v>
      </c>
      <c r="N57" t="n">
        <v>0</v>
      </c>
      <c r="O57" t="n">
        <v>15</v>
      </c>
      <c r="P57" t="n">
        <v>5</v>
      </c>
      <c r="Q57" t="n">
        <v>16</v>
      </c>
      <c r="R57" s="2" t="inlineStr">
        <is>
          <t>Doftticka
Grantickeporing
Gräddticka
Knärot
Rynkskinn
Doftskinn
Gammelgransskål
Granticka
Kådvaxskinn
Lunglav
Nordlig nållav
Rosenticka
Ullticka
Vedtrappmossa
Vitgrynig nållav
Mörk husmossa</t>
        </is>
      </c>
      <c r="S57">
        <f>HYPERLINK("https://klasma.github.io/Logging_2283/artfynd/A 49938-2021 artfynd.xlsx", "A 49938-2021")</f>
        <v/>
      </c>
      <c r="T57">
        <f>HYPERLINK("https://klasma.github.io/Logging_2283/kartor/A 49938-2021 karta.png", "A 49938-2021")</f>
        <v/>
      </c>
      <c r="U57">
        <f>HYPERLINK("https://klasma.github.io/Logging_2283/knärot/A 49938-2021 karta knärot.png", "A 49938-2021")</f>
        <v/>
      </c>
      <c r="V57">
        <f>HYPERLINK("https://klasma.github.io/Logging_2283/klagomål/A 49938-2021 FSC-klagomål.docx", "A 49938-2021")</f>
        <v/>
      </c>
      <c r="W57">
        <f>HYPERLINK("https://klasma.github.io/Logging_2283/klagomålsmail/A 49938-2021 FSC-klagomål mail.docx", "A 49938-2021")</f>
        <v/>
      </c>
      <c r="X57">
        <f>HYPERLINK("https://klasma.github.io/Logging_2283/tillsyn/A 49938-2021 tillsynsbegäran.docx", "A 49938-2021")</f>
        <v/>
      </c>
      <c r="Y57">
        <f>HYPERLINK("https://klasma.github.io/Logging_2283/tillsynsmail/A 49938-2021 tillsynsbegäran mail.docx", "A 49938-2021")</f>
        <v/>
      </c>
    </row>
    <row r="58" ht="15" customHeight="1">
      <c r="A58" t="inlineStr">
        <is>
          <t>A 8732-2025</t>
        </is>
      </c>
      <c r="B58" s="1" t="n">
        <v>45712.53186342592</v>
      </c>
      <c r="C58" s="1" t="n">
        <v>46093</v>
      </c>
      <c r="D58" t="inlineStr">
        <is>
          <t>VÄSTERNORRLANDS LÄN</t>
        </is>
      </c>
      <c r="E58" t="inlineStr">
        <is>
          <t>SUNDSVALL</t>
        </is>
      </c>
      <c r="F58" t="inlineStr">
        <is>
          <t>SCA</t>
        </is>
      </c>
      <c r="G58" t="n">
        <v>11.7</v>
      </c>
      <c r="H58" t="n">
        <v>11</v>
      </c>
      <c r="I58" t="n">
        <v>2</v>
      </c>
      <c r="J58" t="n">
        <v>8</v>
      </c>
      <c r="K58" t="n">
        <v>1</v>
      </c>
      <c r="L58" t="n">
        <v>0</v>
      </c>
      <c r="M58" t="n">
        <v>0</v>
      </c>
      <c r="N58" t="n">
        <v>0</v>
      </c>
      <c r="O58" t="n">
        <v>9</v>
      </c>
      <c r="P58" t="n">
        <v>1</v>
      </c>
      <c r="Q58" t="n">
        <v>16</v>
      </c>
      <c r="R58" s="2" t="inlineStr">
        <is>
          <t>Knärot
Garnlav
Järpe
Lunglav
Skogshare
Spillkråka
Stjärntagging
Talltita
Tretåig hackspett
Norrlandslav
Spindelblomster
Skogsduva
Tjäder
Fläcknycklar
Blåsippa
Revlummer</t>
        </is>
      </c>
      <c r="S58">
        <f>HYPERLINK("https://klasma.github.io/Logging_2281/artfynd/A 8732-2025 artfynd.xlsx", "A 8732-2025")</f>
        <v/>
      </c>
      <c r="T58">
        <f>HYPERLINK("https://klasma.github.io/Logging_2281/kartor/A 8732-2025 karta.png", "A 8732-2025")</f>
        <v/>
      </c>
      <c r="U58">
        <f>HYPERLINK("https://klasma.github.io/Logging_2281/knärot/A 8732-2025 karta knärot.png", "A 8732-2025")</f>
        <v/>
      </c>
      <c r="V58">
        <f>HYPERLINK("https://klasma.github.io/Logging_2281/klagomål/A 8732-2025 FSC-klagomål.docx", "A 8732-2025")</f>
        <v/>
      </c>
      <c r="W58">
        <f>HYPERLINK("https://klasma.github.io/Logging_2281/klagomålsmail/A 8732-2025 FSC-klagomål mail.docx", "A 8732-2025")</f>
        <v/>
      </c>
      <c r="X58">
        <f>HYPERLINK("https://klasma.github.io/Logging_2281/tillsyn/A 8732-2025 tillsynsbegäran.docx", "A 8732-2025")</f>
        <v/>
      </c>
      <c r="Y58">
        <f>HYPERLINK("https://klasma.github.io/Logging_2281/tillsynsmail/A 8732-2025 tillsynsbegäran mail.docx", "A 8732-2025")</f>
        <v/>
      </c>
      <c r="Z58">
        <f>HYPERLINK("https://klasma.github.io/Logging_2281/fåglar/A 8732-2025 prioriterade fågelarter.docx", "A 8732-2025")</f>
        <v/>
      </c>
    </row>
    <row r="59" ht="15" customHeight="1">
      <c r="A59" t="inlineStr">
        <is>
          <t>A 50331-2022</t>
        </is>
      </c>
      <c r="B59" s="1" t="n">
        <v>44865</v>
      </c>
      <c r="C59" s="1" t="n">
        <v>46093</v>
      </c>
      <c r="D59" t="inlineStr">
        <is>
          <t>VÄSTERNORRLANDS LÄN</t>
        </is>
      </c>
      <c r="E59" t="inlineStr">
        <is>
          <t>ÅNGE</t>
        </is>
      </c>
      <c r="F59" t="inlineStr">
        <is>
          <t>SCA</t>
        </is>
      </c>
      <c r="G59" t="n">
        <v>25.9</v>
      </c>
      <c r="H59" t="n">
        <v>5</v>
      </c>
      <c r="I59" t="n">
        <v>6</v>
      </c>
      <c r="J59" t="n">
        <v>9</v>
      </c>
      <c r="K59" t="n">
        <v>1</v>
      </c>
      <c r="L59" t="n">
        <v>0</v>
      </c>
      <c r="M59" t="n">
        <v>0</v>
      </c>
      <c r="N59" t="n">
        <v>0</v>
      </c>
      <c r="O59" t="n">
        <v>10</v>
      </c>
      <c r="P59" t="n">
        <v>1</v>
      </c>
      <c r="Q59" t="n">
        <v>16</v>
      </c>
      <c r="R59" s="2" t="inlineStr">
        <is>
          <t>Knärot
Järpe
Lunglav
Mörk kolflarnlav
Rosenticka
Spillkråka
Svartvit flugsnappare
Talltita
Ullticka
Vedtrappmossa
Bårdlav
Dropptaggsvamp
Grönpyrola
Korallblylav
Skinnlav
Stuplav</t>
        </is>
      </c>
      <c r="S59">
        <f>HYPERLINK("https://klasma.github.io/Logging_2260/artfynd/A 50331-2022 artfynd.xlsx", "A 50331-2022")</f>
        <v/>
      </c>
      <c r="T59">
        <f>HYPERLINK("https://klasma.github.io/Logging_2260/kartor/A 50331-2022 karta.png", "A 50331-2022")</f>
        <v/>
      </c>
      <c r="U59">
        <f>HYPERLINK("https://klasma.github.io/Logging_2260/knärot/A 50331-2022 karta knärot.png", "A 50331-2022")</f>
        <v/>
      </c>
      <c r="V59">
        <f>HYPERLINK("https://klasma.github.io/Logging_2260/klagomål/A 50331-2022 FSC-klagomål.docx", "A 50331-2022")</f>
        <v/>
      </c>
      <c r="W59">
        <f>HYPERLINK("https://klasma.github.io/Logging_2260/klagomålsmail/A 50331-2022 FSC-klagomål mail.docx", "A 50331-2022")</f>
        <v/>
      </c>
      <c r="X59">
        <f>HYPERLINK("https://klasma.github.io/Logging_2260/tillsyn/A 50331-2022 tillsynsbegäran.docx", "A 50331-2022")</f>
        <v/>
      </c>
      <c r="Y59">
        <f>HYPERLINK("https://klasma.github.io/Logging_2260/tillsynsmail/A 50331-2022 tillsynsbegäran mail.docx", "A 50331-2022")</f>
        <v/>
      </c>
      <c r="Z59">
        <f>HYPERLINK("https://klasma.github.io/Logging_2260/fåglar/A 50331-2022 prioriterade fågelarter.docx", "A 50331-2022")</f>
        <v/>
      </c>
    </row>
    <row r="60" ht="15" customHeight="1">
      <c r="A60" t="inlineStr">
        <is>
          <t>A 48850-2021</t>
        </is>
      </c>
      <c r="B60" s="1" t="n">
        <v>44452</v>
      </c>
      <c r="C60" s="1" t="n">
        <v>46093</v>
      </c>
      <c r="D60" t="inlineStr">
        <is>
          <t>VÄSTERNORRLANDS LÄN</t>
        </is>
      </c>
      <c r="E60" t="inlineStr">
        <is>
          <t>ÅNGE</t>
        </is>
      </c>
      <c r="F60" t="inlineStr">
        <is>
          <t>SCA</t>
        </is>
      </c>
      <c r="G60" t="n">
        <v>6.2</v>
      </c>
      <c r="H60" t="n">
        <v>1</v>
      </c>
      <c r="I60" t="n">
        <v>2</v>
      </c>
      <c r="J60" t="n">
        <v>13</v>
      </c>
      <c r="K60" t="n">
        <v>1</v>
      </c>
      <c r="L60" t="n">
        <v>0</v>
      </c>
      <c r="M60" t="n">
        <v>0</v>
      </c>
      <c r="N60" t="n">
        <v>0</v>
      </c>
      <c r="O60" t="n">
        <v>14</v>
      </c>
      <c r="P60" t="n">
        <v>1</v>
      </c>
      <c r="Q60" t="n">
        <v>16</v>
      </c>
      <c r="R60" s="2" t="inlineStr">
        <is>
          <t>Gräddporing
Blanksvart spiklav
Dvärgbägarlav
Garnlav
Kolflarnlav
Kortskaftad ärgspik
Mörk kolflarnlav
Nordtagging
Reliktbock
Spillkråka
Vedflamlav
Vedskivlav
Vedtrappmossa
Vitplätt
Dropptaggsvamp
Nästlav</t>
        </is>
      </c>
      <c r="S60">
        <f>HYPERLINK("https://klasma.github.io/Logging_2260/artfynd/A 48850-2021 artfynd.xlsx", "A 48850-2021")</f>
        <v/>
      </c>
      <c r="T60">
        <f>HYPERLINK("https://klasma.github.io/Logging_2260/kartor/A 48850-2021 karta.png", "A 48850-2021")</f>
        <v/>
      </c>
      <c r="V60">
        <f>HYPERLINK("https://klasma.github.io/Logging_2260/klagomål/A 48850-2021 FSC-klagomål.docx", "A 48850-2021")</f>
        <v/>
      </c>
      <c r="W60">
        <f>HYPERLINK("https://klasma.github.io/Logging_2260/klagomålsmail/A 48850-2021 FSC-klagomål mail.docx", "A 48850-2021")</f>
        <v/>
      </c>
      <c r="X60">
        <f>HYPERLINK("https://klasma.github.io/Logging_2260/tillsyn/A 48850-2021 tillsynsbegäran.docx", "A 48850-2021")</f>
        <v/>
      </c>
      <c r="Y60">
        <f>HYPERLINK("https://klasma.github.io/Logging_2260/tillsynsmail/A 48850-2021 tillsynsbegäran mail.docx", "A 48850-2021")</f>
        <v/>
      </c>
      <c r="Z60">
        <f>HYPERLINK("https://klasma.github.io/Logging_2260/fåglar/A 48850-2021 prioriterade fågelarter.docx", "A 48850-2021")</f>
        <v/>
      </c>
    </row>
    <row r="61" ht="15" customHeight="1">
      <c r="A61" t="inlineStr">
        <is>
          <t>A 8658-2024</t>
        </is>
      </c>
      <c r="B61" s="1" t="n">
        <v>45356</v>
      </c>
      <c r="C61" s="1" t="n">
        <v>46093</v>
      </c>
      <c r="D61" t="inlineStr">
        <is>
          <t>VÄSTERNORRLANDS LÄN</t>
        </is>
      </c>
      <c r="E61" t="inlineStr">
        <is>
          <t>SOLLEFTEÅ</t>
        </is>
      </c>
      <c r="G61" t="n">
        <v>4.2</v>
      </c>
      <c r="H61" t="n">
        <v>6</v>
      </c>
      <c r="I61" t="n">
        <v>3</v>
      </c>
      <c r="J61" t="n">
        <v>9</v>
      </c>
      <c r="K61" t="n">
        <v>2</v>
      </c>
      <c r="L61" t="n">
        <v>0</v>
      </c>
      <c r="M61" t="n">
        <v>0</v>
      </c>
      <c r="N61" t="n">
        <v>0</v>
      </c>
      <c r="O61" t="n">
        <v>11</v>
      </c>
      <c r="P61" t="n">
        <v>2</v>
      </c>
      <c r="Q61" t="n">
        <v>16</v>
      </c>
      <c r="R61" s="2" t="inlineStr">
        <is>
          <t>Knärot
Rynkskinn
Gränsticka
Järpe
Kötticka
Lunglav
Rosenticka
Spillkråka
Tallticka
Tretåig hackspett
Ullticka
Bårdlav
Stuplav
Vedticka
Tjäder
Revlummer</t>
        </is>
      </c>
      <c r="S61">
        <f>HYPERLINK("https://klasma.github.io/Logging_2283/artfynd/A 8658-2024 artfynd.xlsx", "A 8658-2024")</f>
        <v/>
      </c>
      <c r="T61">
        <f>HYPERLINK("https://klasma.github.io/Logging_2283/kartor/A 8658-2024 karta.png", "A 8658-2024")</f>
        <v/>
      </c>
      <c r="U61">
        <f>HYPERLINK("https://klasma.github.io/Logging_2283/knärot/A 8658-2024 karta knärot.png", "A 8658-2024")</f>
        <v/>
      </c>
      <c r="V61">
        <f>HYPERLINK("https://klasma.github.io/Logging_2283/klagomål/A 8658-2024 FSC-klagomål.docx", "A 8658-2024")</f>
        <v/>
      </c>
      <c r="W61">
        <f>HYPERLINK("https://klasma.github.io/Logging_2283/klagomålsmail/A 8658-2024 FSC-klagomål mail.docx", "A 8658-2024")</f>
        <v/>
      </c>
      <c r="X61">
        <f>HYPERLINK("https://klasma.github.io/Logging_2283/tillsyn/A 8658-2024 tillsynsbegäran.docx", "A 8658-2024")</f>
        <v/>
      </c>
      <c r="Y61">
        <f>HYPERLINK("https://klasma.github.io/Logging_2283/tillsynsmail/A 8658-2024 tillsynsbegäran mail.docx", "A 8658-2024")</f>
        <v/>
      </c>
      <c r="Z61">
        <f>HYPERLINK("https://klasma.github.io/Logging_2283/fåglar/A 8658-2024 prioriterade fågelarter.docx", "A 8658-2024")</f>
        <v/>
      </c>
    </row>
    <row r="62" ht="15" customHeight="1">
      <c r="A62" t="inlineStr">
        <is>
          <t>A 59396-2022</t>
        </is>
      </c>
      <c r="B62" s="1" t="n">
        <v>44906</v>
      </c>
      <c r="C62" s="1" t="n">
        <v>46093</v>
      </c>
      <c r="D62" t="inlineStr">
        <is>
          <t>VÄSTERNORRLANDS LÄN</t>
        </is>
      </c>
      <c r="E62" t="inlineStr">
        <is>
          <t>SUNDSVALL</t>
        </is>
      </c>
      <c r="G62" t="n">
        <v>9.300000000000001</v>
      </c>
      <c r="H62" t="n">
        <v>2</v>
      </c>
      <c r="I62" t="n">
        <v>4</v>
      </c>
      <c r="J62" t="n">
        <v>10</v>
      </c>
      <c r="K62" t="n">
        <v>1</v>
      </c>
      <c r="L62" t="n">
        <v>0</v>
      </c>
      <c r="M62" t="n">
        <v>0</v>
      </c>
      <c r="N62" t="n">
        <v>0</v>
      </c>
      <c r="O62" t="n">
        <v>11</v>
      </c>
      <c r="P62" t="n">
        <v>1</v>
      </c>
      <c r="Q62" t="n">
        <v>16</v>
      </c>
      <c r="R62" s="2" t="inlineStr">
        <is>
          <t>Knärot
Blågrå svartspik
Dvärgbägarlav
Garnlav
Kolflarnlav
Mörk kolflarnlav
Tallticka
Ullticka
Vaddporing
Vedflamlav
Vedskivlav
Kattfotslav
Mörk husmossa
Skinnlav
Vågbandad barkbock
Nattviol</t>
        </is>
      </c>
      <c r="S62">
        <f>HYPERLINK("https://klasma.github.io/Logging_2281/artfynd/A 59396-2022 artfynd.xlsx", "A 59396-2022")</f>
        <v/>
      </c>
      <c r="T62">
        <f>HYPERLINK("https://klasma.github.io/Logging_2281/kartor/A 59396-2022 karta.png", "A 59396-2022")</f>
        <v/>
      </c>
      <c r="U62">
        <f>HYPERLINK("https://klasma.github.io/Logging_2281/knärot/A 59396-2022 karta knärot.png", "A 59396-2022")</f>
        <v/>
      </c>
      <c r="V62">
        <f>HYPERLINK("https://klasma.github.io/Logging_2281/klagomål/A 59396-2022 FSC-klagomål.docx", "A 59396-2022")</f>
        <v/>
      </c>
      <c r="W62">
        <f>HYPERLINK("https://klasma.github.io/Logging_2281/klagomålsmail/A 59396-2022 FSC-klagomål mail.docx", "A 59396-2022")</f>
        <v/>
      </c>
      <c r="X62">
        <f>HYPERLINK("https://klasma.github.io/Logging_2281/tillsyn/A 59396-2022 tillsynsbegäran.docx", "A 59396-2022")</f>
        <v/>
      </c>
      <c r="Y62">
        <f>HYPERLINK("https://klasma.github.io/Logging_2281/tillsynsmail/A 59396-2022 tillsynsbegäran mail.docx", "A 59396-2022")</f>
        <v/>
      </c>
    </row>
    <row r="63" ht="15" customHeight="1">
      <c r="A63" t="inlineStr">
        <is>
          <t>A 45833-2025</t>
        </is>
      </c>
      <c r="B63" s="1" t="n">
        <v>45923</v>
      </c>
      <c r="C63" s="1" t="n">
        <v>46093</v>
      </c>
      <c r="D63" t="inlineStr">
        <is>
          <t>VÄSTERNORRLANDS LÄN</t>
        </is>
      </c>
      <c r="E63" t="inlineStr">
        <is>
          <t>ÅNGE</t>
        </is>
      </c>
      <c r="G63" t="n">
        <v>8.1</v>
      </c>
      <c r="H63" t="n">
        <v>5</v>
      </c>
      <c r="I63" t="n">
        <v>4</v>
      </c>
      <c r="J63" t="n">
        <v>9</v>
      </c>
      <c r="K63" t="n">
        <v>2</v>
      </c>
      <c r="L63" t="n">
        <v>0</v>
      </c>
      <c r="M63" t="n">
        <v>0</v>
      </c>
      <c r="N63" t="n">
        <v>0</v>
      </c>
      <c r="O63" t="n">
        <v>11</v>
      </c>
      <c r="P63" t="n">
        <v>2</v>
      </c>
      <c r="Q63" t="n">
        <v>16</v>
      </c>
      <c r="R63" s="2" t="inlineStr">
        <is>
          <t>Knärot
Rynkskinn
Doftskinn
Garnlav
Kötticka
Lunglav
Rosenticka
Spillkråka
Talltita
Tretåig hackspett
Ullticka
Bollvitmossa
Dropptaggsvamp
Grönpyrola
Vedticka
Revlummer</t>
        </is>
      </c>
      <c r="S63">
        <f>HYPERLINK("https://klasma.github.io/Logging_2260/artfynd/A 45833-2025 artfynd.xlsx", "A 45833-2025")</f>
        <v/>
      </c>
      <c r="T63">
        <f>HYPERLINK("https://klasma.github.io/Logging_2260/kartor/A 45833-2025 karta.png", "A 45833-2025")</f>
        <v/>
      </c>
      <c r="U63">
        <f>HYPERLINK("https://klasma.github.io/Logging_2260/knärot/A 45833-2025 karta knärot.png", "A 45833-2025")</f>
        <v/>
      </c>
      <c r="V63">
        <f>HYPERLINK("https://klasma.github.io/Logging_2260/klagomål/A 45833-2025 FSC-klagomål.docx", "A 45833-2025")</f>
        <v/>
      </c>
      <c r="W63">
        <f>HYPERLINK("https://klasma.github.io/Logging_2260/klagomålsmail/A 45833-2025 FSC-klagomål mail.docx", "A 45833-2025")</f>
        <v/>
      </c>
      <c r="X63">
        <f>HYPERLINK("https://klasma.github.io/Logging_2260/tillsyn/A 45833-2025 tillsynsbegäran.docx", "A 45833-2025")</f>
        <v/>
      </c>
      <c r="Y63">
        <f>HYPERLINK("https://klasma.github.io/Logging_2260/tillsynsmail/A 45833-2025 tillsynsbegäran mail.docx", "A 45833-2025")</f>
        <v/>
      </c>
      <c r="Z63">
        <f>HYPERLINK("https://klasma.github.io/Logging_2260/fåglar/A 45833-2025 prioriterade fågelarter.docx", "A 45833-2025")</f>
        <v/>
      </c>
    </row>
    <row r="64" ht="15" customHeight="1">
      <c r="A64" t="inlineStr">
        <is>
          <t>A 54677-2023</t>
        </is>
      </c>
      <c r="B64" s="1" t="n">
        <v>45235</v>
      </c>
      <c r="C64" s="1" t="n">
        <v>46093</v>
      </c>
      <c r="D64" t="inlineStr">
        <is>
          <t>VÄSTERNORRLANDS LÄN</t>
        </is>
      </c>
      <c r="E64" t="inlineStr">
        <is>
          <t>ÅNGE</t>
        </is>
      </c>
      <c r="G64" t="n">
        <v>23.4</v>
      </c>
      <c r="H64" t="n">
        <v>2</v>
      </c>
      <c r="I64" t="n">
        <v>4</v>
      </c>
      <c r="J64" t="n">
        <v>10</v>
      </c>
      <c r="K64" t="n">
        <v>2</v>
      </c>
      <c r="L64" t="n">
        <v>0</v>
      </c>
      <c r="M64" t="n">
        <v>0</v>
      </c>
      <c r="N64" t="n">
        <v>0</v>
      </c>
      <c r="O64" t="n">
        <v>12</v>
      </c>
      <c r="P64" t="n">
        <v>2</v>
      </c>
      <c r="Q64" t="n">
        <v>16</v>
      </c>
      <c r="R64" s="2" t="inlineStr">
        <is>
          <t>Knärot
Rynkskinn
Dvärgbägarlav
Kolflarnlav
Kötticka
Lunglav
Mörk kolflarnlav
Rosenticka
Talltita
Ullticka
Vedtrappmossa
Vit vedfingersvamp
Bronshjon
Dropptaggsvamp
Stor aspticka
Vedticka</t>
        </is>
      </c>
      <c r="S64">
        <f>HYPERLINK("https://klasma.github.io/Logging_2260/artfynd/A 54677-2023 artfynd.xlsx", "A 54677-2023")</f>
        <v/>
      </c>
      <c r="T64">
        <f>HYPERLINK("https://klasma.github.io/Logging_2260/kartor/A 54677-2023 karta.png", "A 54677-2023")</f>
        <v/>
      </c>
      <c r="U64">
        <f>HYPERLINK("https://klasma.github.io/Logging_2260/knärot/A 54677-2023 karta knärot.png", "A 54677-2023")</f>
        <v/>
      </c>
      <c r="V64">
        <f>HYPERLINK("https://klasma.github.io/Logging_2260/klagomål/A 54677-2023 FSC-klagomål.docx", "A 54677-2023")</f>
        <v/>
      </c>
      <c r="W64">
        <f>HYPERLINK("https://klasma.github.io/Logging_2260/klagomålsmail/A 54677-2023 FSC-klagomål mail.docx", "A 54677-2023")</f>
        <v/>
      </c>
      <c r="X64">
        <f>HYPERLINK("https://klasma.github.io/Logging_2260/tillsyn/A 54677-2023 tillsynsbegäran.docx", "A 54677-2023")</f>
        <v/>
      </c>
      <c r="Y64">
        <f>HYPERLINK("https://klasma.github.io/Logging_2260/tillsynsmail/A 54677-2023 tillsynsbegäran mail.docx", "A 54677-2023")</f>
        <v/>
      </c>
      <c r="Z64">
        <f>HYPERLINK("https://klasma.github.io/Logging_2260/fåglar/A 54677-2023 prioriterade fågelarter.docx", "A 54677-2023")</f>
        <v/>
      </c>
    </row>
    <row r="65" ht="15" customHeight="1">
      <c r="A65" t="inlineStr">
        <is>
          <t>A 26657-2022</t>
        </is>
      </c>
      <c r="B65" s="1" t="n">
        <v>44739</v>
      </c>
      <c r="C65" s="1" t="n">
        <v>46093</v>
      </c>
      <c r="D65" t="inlineStr">
        <is>
          <t>VÄSTERNORRLANDS LÄN</t>
        </is>
      </c>
      <c r="E65" t="inlineStr">
        <is>
          <t>SOLLEFTEÅ</t>
        </is>
      </c>
      <c r="F65" t="inlineStr">
        <is>
          <t>Holmen skog AB</t>
        </is>
      </c>
      <c r="G65" t="n">
        <v>4.6</v>
      </c>
      <c r="H65" t="n">
        <v>5</v>
      </c>
      <c r="I65" t="n">
        <v>5</v>
      </c>
      <c r="J65" t="n">
        <v>6</v>
      </c>
      <c r="K65" t="n">
        <v>3</v>
      </c>
      <c r="L65" t="n">
        <v>0</v>
      </c>
      <c r="M65" t="n">
        <v>0</v>
      </c>
      <c r="N65" t="n">
        <v>0</v>
      </c>
      <c r="O65" t="n">
        <v>9</v>
      </c>
      <c r="P65" t="n">
        <v>3</v>
      </c>
      <c r="Q65" t="n">
        <v>16</v>
      </c>
      <c r="R65" s="2" t="inlineStr">
        <is>
          <t>Knärot
Rynkskinn
Ulltickeporing
Garnlav
Granticka
Lunglav
Rosenticka
Talltita
Ullticka
Bollvitmossa
Luddlav
Spindelblomster
Stuplav
Vedticka
Fläcknycklar
Revlummer</t>
        </is>
      </c>
      <c r="S65">
        <f>HYPERLINK("https://klasma.github.io/Logging_2283/artfynd/A 26657-2022 artfynd.xlsx", "A 26657-2022")</f>
        <v/>
      </c>
      <c r="T65">
        <f>HYPERLINK("https://klasma.github.io/Logging_2283/kartor/A 26657-2022 karta.png", "A 26657-2022")</f>
        <v/>
      </c>
      <c r="U65">
        <f>HYPERLINK("https://klasma.github.io/Logging_2283/knärot/A 26657-2022 karta knärot.png", "A 26657-2022")</f>
        <v/>
      </c>
      <c r="V65">
        <f>HYPERLINK("https://klasma.github.io/Logging_2283/klagomål/A 26657-2022 FSC-klagomål.docx", "A 26657-2022")</f>
        <v/>
      </c>
      <c r="W65">
        <f>HYPERLINK("https://klasma.github.io/Logging_2283/klagomålsmail/A 26657-2022 FSC-klagomål mail.docx", "A 26657-2022")</f>
        <v/>
      </c>
      <c r="X65">
        <f>HYPERLINK("https://klasma.github.io/Logging_2283/tillsyn/A 26657-2022 tillsynsbegäran.docx", "A 26657-2022")</f>
        <v/>
      </c>
      <c r="Y65">
        <f>HYPERLINK("https://klasma.github.io/Logging_2283/tillsynsmail/A 26657-2022 tillsynsbegäran mail.docx", "A 26657-2022")</f>
        <v/>
      </c>
      <c r="Z65">
        <f>HYPERLINK("https://klasma.github.io/Logging_2283/fåglar/A 26657-2022 prioriterade fågelarter.docx", "A 26657-2022")</f>
        <v/>
      </c>
    </row>
    <row r="66" ht="15" customHeight="1">
      <c r="A66" t="inlineStr">
        <is>
          <t>A 20312-2022</t>
        </is>
      </c>
      <c r="B66" s="1" t="n">
        <v>44698</v>
      </c>
      <c r="C66" s="1" t="n">
        <v>46093</v>
      </c>
      <c r="D66" t="inlineStr">
        <is>
          <t>VÄSTERNORRLANDS LÄN</t>
        </is>
      </c>
      <c r="E66" t="inlineStr">
        <is>
          <t>SOLLEFTEÅ</t>
        </is>
      </c>
      <c r="F66" t="inlineStr">
        <is>
          <t>SCA</t>
        </is>
      </c>
      <c r="G66" t="n">
        <v>5</v>
      </c>
      <c r="H66" t="n">
        <v>9</v>
      </c>
      <c r="I66" t="n">
        <v>2</v>
      </c>
      <c r="J66" t="n">
        <v>11</v>
      </c>
      <c r="K66" t="n">
        <v>1</v>
      </c>
      <c r="L66" t="n">
        <v>0</v>
      </c>
      <c r="M66" t="n">
        <v>0</v>
      </c>
      <c r="N66" t="n">
        <v>0</v>
      </c>
      <c r="O66" t="n">
        <v>12</v>
      </c>
      <c r="P66" t="n">
        <v>1</v>
      </c>
      <c r="Q66" t="n">
        <v>16</v>
      </c>
      <c r="R66" s="2" t="inlineStr">
        <is>
          <t>Knärot
Garnlav
Granticka
Gränsticka
Järpe
Kungsörn
Lunglav
Rosenticka
Spillkråka
Talltita
Tretåig hackspett
Ullticka
Blodticka
Spindelblomster
Lavskrika
Fläcknycklar</t>
        </is>
      </c>
      <c r="S66">
        <f>HYPERLINK("https://klasma.github.io/Logging_2283/artfynd/A 20312-2022 artfynd.xlsx", "A 20312-2022")</f>
        <v/>
      </c>
      <c r="T66">
        <f>HYPERLINK("https://klasma.github.io/Logging_2283/kartor/A 20312-2022 karta.png", "A 20312-2022")</f>
        <v/>
      </c>
      <c r="U66">
        <f>HYPERLINK("https://klasma.github.io/Logging_2283/knärot/A 20312-2022 karta knärot.png", "A 20312-2022")</f>
        <v/>
      </c>
      <c r="V66">
        <f>HYPERLINK("https://klasma.github.io/Logging_2283/klagomål/A 20312-2022 FSC-klagomål.docx", "A 20312-2022")</f>
        <v/>
      </c>
      <c r="W66">
        <f>HYPERLINK("https://klasma.github.io/Logging_2283/klagomålsmail/A 20312-2022 FSC-klagomål mail.docx", "A 20312-2022")</f>
        <v/>
      </c>
      <c r="X66">
        <f>HYPERLINK("https://klasma.github.io/Logging_2283/tillsyn/A 20312-2022 tillsynsbegäran.docx", "A 20312-2022")</f>
        <v/>
      </c>
      <c r="Y66">
        <f>HYPERLINK("https://klasma.github.io/Logging_2283/tillsynsmail/A 20312-2022 tillsynsbegäran mail.docx", "A 20312-2022")</f>
        <v/>
      </c>
      <c r="Z66">
        <f>HYPERLINK("https://klasma.github.io/Logging_2283/fåglar/A 20312-2022 prioriterade fågelarter.docx", "A 20312-2022")</f>
        <v/>
      </c>
    </row>
    <row r="67" ht="15" customHeight="1">
      <c r="A67" t="inlineStr">
        <is>
          <t>A 34866-2024</t>
        </is>
      </c>
      <c r="B67" s="1" t="n">
        <v>45527</v>
      </c>
      <c r="C67" s="1" t="n">
        <v>46093</v>
      </c>
      <c r="D67" t="inlineStr">
        <is>
          <t>VÄSTERNORRLANDS LÄN</t>
        </is>
      </c>
      <c r="E67" t="inlineStr">
        <is>
          <t>SUNDSVALL</t>
        </is>
      </c>
      <c r="F67" t="inlineStr">
        <is>
          <t>SCA</t>
        </is>
      </c>
      <c r="G67" t="n">
        <v>7.6</v>
      </c>
      <c r="H67" t="n">
        <v>5</v>
      </c>
      <c r="I67" t="n">
        <v>5</v>
      </c>
      <c r="J67" t="n">
        <v>8</v>
      </c>
      <c r="K67" t="n">
        <v>1</v>
      </c>
      <c r="L67" t="n">
        <v>0</v>
      </c>
      <c r="M67" t="n">
        <v>0</v>
      </c>
      <c r="N67" t="n">
        <v>0</v>
      </c>
      <c r="O67" t="n">
        <v>9</v>
      </c>
      <c r="P67" t="n">
        <v>1</v>
      </c>
      <c r="Q67" t="n">
        <v>16</v>
      </c>
      <c r="R67" s="2" t="inlineStr">
        <is>
          <t>Rynkskinn
Duvhök
Garnlav
Lunglav
Rosenticka
Svart taggsvamp agg.
Talltita
Tretåig hackspett
Ullticka
Bollvitmossa
Dropptaggsvamp
Grönpyrola
Rödgul trumpetsvamp
Stuplav
Fläcknycklar
Revlummer</t>
        </is>
      </c>
      <c r="S67">
        <f>HYPERLINK("https://klasma.github.io/Logging_2281/artfynd/A 34866-2024 artfynd.xlsx", "A 34866-2024")</f>
        <v/>
      </c>
      <c r="T67">
        <f>HYPERLINK("https://klasma.github.io/Logging_2281/kartor/A 34866-2024 karta.png", "A 34866-2024")</f>
        <v/>
      </c>
      <c r="V67">
        <f>HYPERLINK("https://klasma.github.io/Logging_2281/klagomål/A 34866-2024 FSC-klagomål.docx", "A 34866-2024")</f>
        <v/>
      </c>
      <c r="W67">
        <f>HYPERLINK("https://klasma.github.io/Logging_2281/klagomålsmail/A 34866-2024 FSC-klagomål mail.docx", "A 34866-2024")</f>
        <v/>
      </c>
      <c r="X67">
        <f>HYPERLINK("https://klasma.github.io/Logging_2281/tillsyn/A 34866-2024 tillsynsbegäran.docx", "A 34866-2024")</f>
        <v/>
      </c>
      <c r="Y67">
        <f>HYPERLINK("https://klasma.github.io/Logging_2281/tillsynsmail/A 34866-2024 tillsynsbegäran mail.docx", "A 34866-2024")</f>
        <v/>
      </c>
      <c r="Z67">
        <f>HYPERLINK("https://klasma.github.io/Logging_2281/fåglar/A 34866-2024 prioriterade fågelarter.docx", "A 34866-2024")</f>
        <v/>
      </c>
    </row>
    <row r="68" ht="15" customHeight="1">
      <c r="A68" t="inlineStr">
        <is>
          <t>A 11213-2022</t>
        </is>
      </c>
      <c r="B68" s="1" t="n">
        <v>44629</v>
      </c>
      <c r="C68" s="1" t="n">
        <v>46093</v>
      </c>
      <c r="D68" t="inlineStr">
        <is>
          <t>VÄSTERNORRLANDS LÄN</t>
        </is>
      </c>
      <c r="E68" t="inlineStr">
        <is>
          <t>SUNDSVALL</t>
        </is>
      </c>
      <c r="G68" t="n">
        <v>42.4</v>
      </c>
      <c r="H68" t="n">
        <v>2</v>
      </c>
      <c r="I68" t="n">
        <v>7</v>
      </c>
      <c r="J68" t="n">
        <v>6</v>
      </c>
      <c r="K68" t="n">
        <v>2</v>
      </c>
      <c r="L68" t="n">
        <v>0</v>
      </c>
      <c r="M68" t="n">
        <v>0</v>
      </c>
      <c r="N68" t="n">
        <v>0</v>
      </c>
      <c r="O68" t="n">
        <v>8</v>
      </c>
      <c r="P68" t="n">
        <v>2</v>
      </c>
      <c r="Q68" t="n">
        <v>15</v>
      </c>
      <c r="R68" s="2" t="inlineStr">
        <is>
          <t>Knärot
Rynkskinn
Garnlav
Lunglav
Mörk kolflarnlav
Rosenticka
Tretåig hackspett
Ullticka
Bårdlav
Kattfotslav
Korallblylav
Rävticka
Skinnlav
Stuplav
Vedticka</t>
        </is>
      </c>
      <c r="S68">
        <f>HYPERLINK("https://klasma.github.io/Logging_2281/artfynd/A 11213-2022 artfynd.xlsx", "A 11213-2022")</f>
        <v/>
      </c>
      <c r="T68">
        <f>HYPERLINK("https://klasma.github.io/Logging_2281/kartor/A 11213-2022 karta.png", "A 11213-2022")</f>
        <v/>
      </c>
      <c r="U68">
        <f>HYPERLINK("https://klasma.github.io/Logging_2281/knärot/A 11213-2022 karta knärot.png", "A 11213-2022")</f>
        <v/>
      </c>
      <c r="V68">
        <f>HYPERLINK("https://klasma.github.io/Logging_2281/klagomål/A 11213-2022 FSC-klagomål.docx", "A 11213-2022")</f>
        <v/>
      </c>
      <c r="W68">
        <f>HYPERLINK("https://klasma.github.io/Logging_2281/klagomålsmail/A 11213-2022 FSC-klagomål mail.docx", "A 11213-2022")</f>
        <v/>
      </c>
      <c r="X68">
        <f>HYPERLINK("https://klasma.github.io/Logging_2281/tillsyn/A 11213-2022 tillsynsbegäran.docx", "A 11213-2022")</f>
        <v/>
      </c>
      <c r="Y68">
        <f>HYPERLINK("https://klasma.github.io/Logging_2281/tillsynsmail/A 11213-2022 tillsynsbegäran mail.docx", "A 11213-2022")</f>
        <v/>
      </c>
      <c r="Z68">
        <f>HYPERLINK("https://klasma.github.io/Logging_2281/fåglar/A 11213-2022 prioriterade fågelarter.docx", "A 11213-2022")</f>
        <v/>
      </c>
    </row>
    <row r="69" ht="15" customHeight="1">
      <c r="A69" t="inlineStr">
        <is>
          <t>A 38605-2024</t>
        </is>
      </c>
      <c r="B69" s="1" t="n">
        <v>45546.67789351852</v>
      </c>
      <c r="C69" s="1" t="n">
        <v>46093</v>
      </c>
      <c r="D69" t="inlineStr">
        <is>
          <t>VÄSTERNORRLANDS LÄN</t>
        </is>
      </c>
      <c r="E69" t="inlineStr">
        <is>
          <t>ÅNGE</t>
        </is>
      </c>
      <c r="F69" t="inlineStr">
        <is>
          <t>SCA</t>
        </is>
      </c>
      <c r="G69" t="n">
        <v>7.3</v>
      </c>
      <c r="H69" t="n">
        <v>4</v>
      </c>
      <c r="I69" t="n">
        <v>7</v>
      </c>
      <c r="J69" t="n">
        <v>5</v>
      </c>
      <c r="K69" t="n">
        <v>3</v>
      </c>
      <c r="L69" t="n">
        <v>0</v>
      </c>
      <c r="M69" t="n">
        <v>0</v>
      </c>
      <c r="N69" t="n">
        <v>0</v>
      </c>
      <c r="O69" t="n">
        <v>8</v>
      </c>
      <c r="P69" t="n">
        <v>3</v>
      </c>
      <c r="Q69" t="n">
        <v>15</v>
      </c>
      <c r="R69" s="2" t="inlineStr">
        <is>
          <t>Doftticka
Knärot
Smalskaftslav
Garnlav
Lunglav
Skrovellav
Tretåig hackspett
Vedtrappmossa
Bårdlav
Korallblylav
Norrlandslav
Skinnlav
Spindelblomster
Stor aspticka
Stuplav</t>
        </is>
      </c>
      <c r="S69">
        <f>HYPERLINK("https://klasma.github.io/Logging_2260/artfynd/A 38605-2024 artfynd.xlsx", "A 38605-2024")</f>
        <v/>
      </c>
      <c r="T69">
        <f>HYPERLINK("https://klasma.github.io/Logging_2260/kartor/A 38605-2024 karta.png", "A 38605-2024")</f>
        <v/>
      </c>
      <c r="U69">
        <f>HYPERLINK("https://klasma.github.io/Logging_2260/knärot/A 38605-2024 karta knärot.png", "A 38605-2024")</f>
        <v/>
      </c>
      <c r="V69">
        <f>HYPERLINK("https://klasma.github.io/Logging_2260/klagomål/A 38605-2024 FSC-klagomål.docx", "A 38605-2024")</f>
        <v/>
      </c>
      <c r="W69">
        <f>HYPERLINK("https://klasma.github.io/Logging_2260/klagomålsmail/A 38605-2024 FSC-klagomål mail.docx", "A 38605-2024")</f>
        <v/>
      </c>
      <c r="X69">
        <f>HYPERLINK("https://klasma.github.io/Logging_2260/tillsyn/A 38605-2024 tillsynsbegäran.docx", "A 38605-2024")</f>
        <v/>
      </c>
      <c r="Y69">
        <f>HYPERLINK("https://klasma.github.io/Logging_2260/tillsynsmail/A 38605-2024 tillsynsbegäran mail.docx", "A 38605-2024")</f>
        <v/>
      </c>
      <c r="Z69">
        <f>HYPERLINK("https://klasma.github.io/Logging_2260/fåglar/A 38605-2024 prioriterade fågelarter.docx", "A 38605-2024")</f>
        <v/>
      </c>
    </row>
    <row r="70" ht="15" customHeight="1">
      <c r="A70" t="inlineStr">
        <is>
          <t>A 30588-2021</t>
        </is>
      </c>
      <c r="B70" s="1" t="n">
        <v>44364</v>
      </c>
      <c r="C70" s="1" t="n">
        <v>46093</v>
      </c>
      <c r="D70" t="inlineStr">
        <is>
          <t>VÄSTERNORRLANDS LÄN</t>
        </is>
      </c>
      <c r="E70" t="inlineStr">
        <is>
          <t>KRAMFORS</t>
        </is>
      </c>
      <c r="G70" t="n">
        <v>12.6</v>
      </c>
      <c r="H70" t="n">
        <v>0</v>
      </c>
      <c r="I70" t="n">
        <v>7</v>
      </c>
      <c r="J70" t="n">
        <v>7</v>
      </c>
      <c r="K70" t="n">
        <v>1</v>
      </c>
      <c r="L70" t="n">
        <v>0</v>
      </c>
      <c r="M70" t="n">
        <v>0</v>
      </c>
      <c r="N70" t="n">
        <v>0</v>
      </c>
      <c r="O70" t="n">
        <v>8</v>
      </c>
      <c r="P70" t="n">
        <v>1</v>
      </c>
      <c r="Q70" t="n">
        <v>15</v>
      </c>
      <c r="R70" s="2" t="inlineStr">
        <is>
          <t>Rynkskinn
Doftskinn
Gammelgransskål
Garnlav
Lunglav
Stiftgelélav
Ullticka
Violettgrå tagellav
Kattfotslav
Korallblylav
Skinnlav
Skuggblåslav
Stor aspticka
Stuplav
Vedticka</t>
        </is>
      </c>
      <c r="S70">
        <f>HYPERLINK("https://klasma.github.io/Logging_2282/artfynd/A 30588-2021 artfynd.xlsx", "A 30588-2021")</f>
        <v/>
      </c>
      <c r="T70">
        <f>HYPERLINK("https://klasma.github.io/Logging_2282/kartor/A 30588-2021 karta.png", "A 30588-2021")</f>
        <v/>
      </c>
      <c r="V70">
        <f>HYPERLINK("https://klasma.github.io/Logging_2282/klagomål/A 30588-2021 FSC-klagomål.docx", "A 30588-2021")</f>
        <v/>
      </c>
      <c r="W70">
        <f>HYPERLINK("https://klasma.github.io/Logging_2282/klagomålsmail/A 30588-2021 FSC-klagomål mail.docx", "A 30588-2021")</f>
        <v/>
      </c>
      <c r="X70">
        <f>HYPERLINK("https://klasma.github.io/Logging_2282/tillsyn/A 30588-2021 tillsynsbegäran.docx", "A 30588-2021")</f>
        <v/>
      </c>
      <c r="Y70">
        <f>HYPERLINK("https://klasma.github.io/Logging_2282/tillsynsmail/A 30588-2021 tillsynsbegäran mail.docx", "A 30588-2021")</f>
        <v/>
      </c>
    </row>
    <row r="71" ht="15" customHeight="1">
      <c r="A71" t="inlineStr">
        <is>
          <t>A 26362-2023</t>
        </is>
      </c>
      <c r="B71" s="1" t="n">
        <v>45091</v>
      </c>
      <c r="C71" s="1" t="n">
        <v>46093</v>
      </c>
      <c r="D71" t="inlineStr">
        <is>
          <t>VÄSTERNORRLANDS LÄN</t>
        </is>
      </c>
      <c r="E71" t="inlineStr">
        <is>
          <t>ÅNGE</t>
        </is>
      </c>
      <c r="F71" t="inlineStr">
        <is>
          <t>SCA</t>
        </is>
      </c>
      <c r="G71" t="n">
        <v>14</v>
      </c>
      <c r="H71" t="n">
        <v>4</v>
      </c>
      <c r="I71" t="n">
        <v>2</v>
      </c>
      <c r="J71" t="n">
        <v>11</v>
      </c>
      <c r="K71" t="n">
        <v>1</v>
      </c>
      <c r="L71" t="n">
        <v>0</v>
      </c>
      <c r="M71" t="n">
        <v>0</v>
      </c>
      <c r="N71" t="n">
        <v>0</v>
      </c>
      <c r="O71" t="n">
        <v>12</v>
      </c>
      <c r="P71" t="n">
        <v>1</v>
      </c>
      <c r="Q71" t="n">
        <v>15</v>
      </c>
      <c r="R71" s="2" t="inlineStr">
        <is>
          <t>Knärot
Dvärgbägarlav
Garnlav
Lunglav
Mörk kolflarnlav
Skrovellav
Talltita
Tretåig hackspett
Ullticka
Vedflamlav
Vedskivlav
Violettgrå tagellav
Norrlandslav
Vedticka
Tjäder</t>
        </is>
      </c>
      <c r="S71">
        <f>HYPERLINK("https://klasma.github.io/Logging_2260/artfynd/A 26362-2023 artfynd.xlsx", "A 26362-2023")</f>
        <v/>
      </c>
      <c r="T71">
        <f>HYPERLINK("https://klasma.github.io/Logging_2260/kartor/A 26362-2023 karta.png", "A 26362-2023")</f>
        <v/>
      </c>
      <c r="U71">
        <f>HYPERLINK("https://klasma.github.io/Logging_2260/knärot/A 26362-2023 karta knärot.png", "A 26362-2023")</f>
        <v/>
      </c>
      <c r="V71">
        <f>HYPERLINK("https://klasma.github.io/Logging_2260/klagomål/A 26362-2023 FSC-klagomål.docx", "A 26362-2023")</f>
        <v/>
      </c>
      <c r="W71">
        <f>HYPERLINK("https://klasma.github.io/Logging_2260/klagomålsmail/A 26362-2023 FSC-klagomål mail.docx", "A 26362-2023")</f>
        <v/>
      </c>
      <c r="X71">
        <f>HYPERLINK("https://klasma.github.io/Logging_2260/tillsyn/A 26362-2023 tillsynsbegäran.docx", "A 26362-2023")</f>
        <v/>
      </c>
      <c r="Y71">
        <f>HYPERLINK("https://klasma.github.io/Logging_2260/tillsynsmail/A 26362-2023 tillsynsbegäran mail.docx", "A 26362-2023")</f>
        <v/>
      </c>
      <c r="Z71">
        <f>HYPERLINK("https://klasma.github.io/Logging_2260/fåglar/A 26362-2023 prioriterade fågelarter.docx", "A 26362-2023")</f>
        <v/>
      </c>
    </row>
    <row r="72" ht="15" customHeight="1">
      <c r="A72" t="inlineStr">
        <is>
          <t>A 30473-2024</t>
        </is>
      </c>
      <c r="B72" s="1" t="n">
        <v>45491</v>
      </c>
      <c r="C72" s="1" t="n">
        <v>46093</v>
      </c>
      <c r="D72" t="inlineStr">
        <is>
          <t>VÄSTERNORRLANDS LÄN</t>
        </is>
      </c>
      <c r="E72" t="inlineStr">
        <is>
          <t>SUNDSVALL</t>
        </is>
      </c>
      <c r="F72" t="inlineStr">
        <is>
          <t>Naturvårdsverket</t>
        </is>
      </c>
      <c r="G72" t="n">
        <v>24.1</v>
      </c>
      <c r="H72" t="n">
        <v>6</v>
      </c>
      <c r="I72" t="n">
        <v>4</v>
      </c>
      <c r="J72" t="n">
        <v>8</v>
      </c>
      <c r="K72" t="n">
        <v>1</v>
      </c>
      <c r="L72" t="n">
        <v>0</v>
      </c>
      <c r="M72" t="n">
        <v>0</v>
      </c>
      <c r="N72" t="n">
        <v>0</v>
      </c>
      <c r="O72" t="n">
        <v>9</v>
      </c>
      <c r="P72" t="n">
        <v>1</v>
      </c>
      <c r="Q72" t="n">
        <v>15</v>
      </c>
      <c r="R72" s="2" t="inlineStr">
        <is>
          <t>Knärot
Garnlav
Granticka
Orange taggsvamp
Rosenticka
Spillkråka
Svart taggsvamp agg.
Tretåig hackspett
Ullticka
Dropptaggsvamp
Plattlummer
Trådticka
Vedticka
Fläcknycklar
Revlummer</t>
        </is>
      </c>
      <c r="S72">
        <f>HYPERLINK("https://klasma.github.io/Logging_2281/artfynd/A 30473-2024 artfynd.xlsx", "A 30473-2024")</f>
        <v/>
      </c>
      <c r="T72">
        <f>HYPERLINK("https://klasma.github.io/Logging_2281/kartor/A 30473-2024 karta.png", "A 30473-2024")</f>
        <v/>
      </c>
      <c r="U72">
        <f>HYPERLINK("https://klasma.github.io/Logging_2281/knärot/A 30473-2024 karta knärot.png", "A 30473-2024")</f>
        <v/>
      </c>
      <c r="V72">
        <f>HYPERLINK("https://klasma.github.io/Logging_2281/klagomål/A 30473-2024 FSC-klagomål.docx", "A 30473-2024")</f>
        <v/>
      </c>
      <c r="W72">
        <f>HYPERLINK("https://klasma.github.io/Logging_2281/klagomålsmail/A 30473-2024 FSC-klagomål mail.docx", "A 30473-2024")</f>
        <v/>
      </c>
      <c r="X72">
        <f>HYPERLINK("https://klasma.github.io/Logging_2281/tillsyn/A 30473-2024 tillsynsbegäran.docx", "A 30473-2024")</f>
        <v/>
      </c>
      <c r="Y72">
        <f>HYPERLINK("https://klasma.github.io/Logging_2281/tillsynsmail/A 30473-2024 tillsynsbegäran mail.docx", "A 30473-2024")</f>
        <v/>
      </c>
      <c r="Z72">
        <f>HYPERLINK("https://klasma.github.io/Logging_2281/fåglar/A 30473-2024 prioriterade fågelarter.docx", "A 30473-2024")</f>
        <v/>
      </c>
    </row>
    <row r="73" ht="15" customHeight="1">
      <c r="A73" t="inlineStr">
        <is>
          <t>A 34269-2022</t>
        </is>
      </c>
      <c r="B73" s="1" t="n">
        <v>44791</v>
      </c>
      <c r="C73" s="1" t="n">
        <v>46093</v>
      </c>
      <c r="D73" t="inlineStr">
        <is>
          <t>VÄSTERNORRLANDS LÄN</t>
        </is>
      </c>
      <c r="E73" t="inlineStr">
        <is>
          <t>SOLLEFTEÅ</t>
        </is>
      </c>
      <c r="F73" t="inlineStr">
        <is>
          <t>SCA</t>
        </is>
      </c>
      <c r="G73" t="n">
        <v>5.9</v>
      </c>
      <c r="H73" t="n">
        <v>3</v>
      </c>
      <c r="I73" t="n">
        <v>2</v>
      </c>
      <c r="J73" t="n">
        <v>11</v>
      </c>
      <c r="K73" t="n">
        <v>2</v>
      </c>
      <c r="L73" t="n">
        <v>0</v>
      </c>
      <c r="M73" t="n">
        <v>0</v>
      </c>
      <c r="N73" t="n">
        <v>0</v>
      </c>
      <c r="O73" t="n">
        <v>13</v>
      </c>
      <c r="P73" t="n">
        <v>2</v>
      </c>
      <c r="Q73" t="n">
        <v>15</v>
      </c>
      <c r="R73" s="2" t="inlineStr">
        <is>
          <t>Knärot
Smalfotad taggsvamp
Gammelgransskål
Garnlav
Granticka
Gränsticka
Kolflarnlav
Rosenticka
Tallticka
Talltita
Tretåig hackspett
Vaddporing
Vedskivlav
Norrlandslav
Vedticka</t>
        </is>
      </c>
      <c r="S73">
        <f>HYPERLINK("https://klasma.github.io/Logging_2283/artfynd/A 34269-2022 artfynd.xlsx", "A 34269-2022")</f>
        <v/>
      </c>
      <c r="T73">
        <f>HYPERLINK("https://klasma.github.io/Logging_2283/kartor/A 34269-2022 karta.png", "A 34269-2022")</f>
        <v/>
      </c>
      <c r="U73">
        <f>HYPERLINK("https://klasma.github.io/Logging_2283/knärot/A 34269-2022 karta knärot.png", "A 34269-2022")</f>
        <v/>
      </c>
      <c r="V73">
        <f>HYPERLINK("https://klasma.github.io/Logging_2283/klagomål/A 34269-2022 FSC-klagomål.docx", "A 34269-2022")</f>
        <v/>
      </c>
      <c r="W73">
        <f>HYPERLINK("https://klasma.github.io/Logging_2283/klagomålsmail/A 34269-2022 FSC-klagomål mail.docx", "A 34269-2022")</f>
        <v/>
      </c>
      <c r="X73">
        <f>HYPERLINK("https://klasma.github.io/Logging_2283/tillsyn/A 34269-2022 tillsynsbegäran.docx", "A 34269-2022")</f>
        <v/>
      </c>
      <c r="Y73">
        <f>HYPERLINK("https://klasma.github.io/Logging_2283/tillsynsmail/A 34269-2022 tillsynsbegäran mail.docx", "A 34269-2022")</f>
        <v/>
      </c>
      <c r="Z73">
        <f>HYPERLINK("https://klasma.github.io/Logging_2283/fåglar/A 34269-2022 prioriterade fågelarter.docx", "A 34269-2022")</f>
        <v/>
      </c>
    </row>
    <row r="74" ht="15" customHeight="1">
      <c r="A74" t="inlineStr">
        <is>
          <t>A 49184-2022</t>
        </is>
      </c>
      <c r="B74" s="1" t="n">
        <v>44860</v>
      </c>
      <c r="C74" s="1" t="n">
        <v>46093</v>
      </c>
      <c r="D74" t="inlineStr">
        <is>
          <t>VÄSTERNORRLANDS LÄN</t>
        </is>
      </c>
      <c r="E74" t="inlineStr">
        <is>
          <t>ÅNGE</t>
        </is>
      </c>
      <c r="F74" t="inlineStr">
        <is>
          <t>SCA</t>
        </is>
      </c>
      <c r="G74" t="n">
        <v>14</v>
      </c>
      <c r="H74" t="n">
        <v>3</v>
      </c>
      <c r="I74" t="n">
        <v>3</v>
      </c>
      <c r="J74" t="n">
        <v>9</v>
      </c>
      <c r="K74" t="n">
        <v>2</v>
      </c>
      <c r="L74" t="n">
        <v>0</v>
      </c>
      <c r="M74" t="n">
        <v>0</v>
      </c>
      <c r="N74" t="n">
        <v>0</v>
      </c>
      <c r="O74" t="n">
        <v>11</v>
      </c>
      <c r="P74" t="n">
        <v>2</v>
      </c>
      <c r="Q74" t="n">
        <v>15</v>
      </c>
      <c r="R74" s="2" t="inlineStr">
        <is>
          <t>Knärot
Rynkskinn
Kolflarnlav
Mörk kolflarnlav
Rosenticka
Stiftgelélav
Svartvit flugsnappare
Ullticka
Vedskivlav
Vedtrappmossa
Violettgrå tagellav
Dropptaggsvamp
Flagellkvastmossa
Skinnlav
Kungsfågel</t>
        </is>
      </c>
      <c r="S74">
        <f>HYPERLINK("https://klasma.github.io/Logging_2260/artfynd/A 49184-2022 artfynd.xlsx", "A 49184-2022")</f>
        <v/>
      </c>
      <c r="T74">
        <f>HYPERLINK("https://klasma.github.io/Logging_2260/kartor/A 49184-2022 karta.png", "A 49184-2022")</f>
        <v/>
      </c>
      <c r="U74">
        <f>HYPERLINK("https://klasma.github.io/Logging_2260/knärot/A 49184-2022 karta knärot.png", "A 49184-2022")</f>
        <v/>
      </c>
      <c r="V74">
        <f>HYPERLINK("https://klasma.github.io/Logging_2260/klagomål/A 49184-2022 FSC-klagomål.docx", "A 49184-2022")</f>
        <v/>
      </c>
      <c r="W74">
        <f>HYPERLINK("https://klasma.github.io/Logging_2260/klagomålsmail/A 49184-2022 FSC-klagomål mail.docx", "A 49184-2022")</f>
        <v/>
      </c>
      <c r="X74">
        <f>HYPERLINK("https://klasma.github.io/Logging_2260/tillsyn/A 49184-2022 tillsynsbegäran.docx", "A 49184-2022")</f>
        <v/>
      </c>
      <c r="Y74">
        <f>HYPERLINK("https://klasma.github.io/Logging_2260/tillsynsmail/A 49184-2022 tillsynsbegäran mail.docx", "A 49184-2022")</f>
        <v/>
      </c>
      <c r="Z74">
        <f>HYPERLINK("https://klasma.github.io/Logging_2260/fåglar/A 49184-2022 prioriterade fågelarter.docx", "A 49184-2022")</f>
        <v/>
      </c>
    </row>
    <row r="75" ht="15" customHeight="1">
      <c r="A75" t="inlineStr">
        <is>
          <t>A 18689-2025</t>
        </is>
      </c>
      <c r="B75" s="1" t="n">
        <v>45763</v>
      </c>
      <c r="C75" s="1" t="n">
        <v>46093</v>
      </c>
      <c r="D75" t="inlineStr">
        <is>
          <t>VÄSTERNORRLANDS LÄN</t>
        </is>
      </c>
      <c r="E75" t="inlineStr">
        <is>
          <t>HÄRNÖSAND</t>
        </is>
      </c>
      <c r="F75" t="inlineStr">
        <is>
          <t>SCA</t>
        </is>
      </c>
      <c r="G75" t="n">
        <v>12.2</v>
      </c>
      <c r="H75" t="n">
        <v>5</v>
      </c>
      <c r="I75" t="n">
        <v>5</v>
      </c>
      <c r="J75" t="n">
        <v>6</v>
      </c>
      <c r="K75" t="n">
        <v>2</v>
      </c>
      <c r="L75" t="n">
        <v>0</v>
      </c>
      <c r="M75" t="n">
        <v>0</v>
      </c>
      <c r="N75" t="n">
        <v>0</v>
      </c>
      <c r="O75" t="n">
        <v>8</v>
      </c>
      <c r="P75" t="n">
        <v>2</v>
      </c>
      <c r="Q75" t="n">
        <v>15</v>
      </c>
      <c r="R75" s="2" t="inlineStr">
        <is>
          <t>Knärot
Rynkskinn
Doftskinn
Garnlav
Gränsticka
Tretåig hackspett
Ullticka
Violettgrå tagellav
Luddlav
Spindelblomster
Stor aspticka
Stuplav
Vedticka
Fläcknycklar
Nattviol</t>
        </is>
      </c>
      <c r="S75">
        <f>HYPERLINK("https://klasma.github.io/Logging_2280/artfynd/A 18689-2025 artfynd.xlsx", "A 18689-2025")</f>
        <v/>
      </c>
      <c r="T75">
        <f>HYPERLINK("https://klasma.github.io/Logging_2280/kartor/A 18689-2025 karta.png", "A 18689-2025")</f>
        <v/>
      </c>
      <c r="U75">
        <f>HYPERLINK("https://klasma.github.io/Logging_2280/knärot/A 18689-2025 karta knärot.png", "A 18689-2025")</f>
        <v/>
      </c>
      <c r="V75">
        <f>HYPERLINK("https://klasma.github.io/Logging_2280/klagomål/A 18689-2025 FSC-klagomål.docx", "A 18689-2025")</f>
        <v/>
      </c>
      <c r="W75">
        <f>HYPERLINK("https://klasma.github.io/Logging_2280/klagomålsmail/A 18689-2025 FSC-klagomål mail.docx", "A 18689-2025")</f>
        <v/>
      </c>
      <c r="X75">
        <f>HYPERLINK("https://klasma.github.io/Logging_2280/tillsyn/A 18689-2025 tillsynsbegäran.docx", "A 18689-2025")</f>
        <v/>
      </c>
      <c r="Y75">
        <f>HYPERLINK("https://klasma.github.io/Logging_2280/tillsynsmail/A 18689-2025 tillsynsbegäran mail.docx", "A 18689-2025")</f>
        <v/>
      </c>
      <c r="Z75">
        <f>HYPERLINK("https://klasma.github.io/Logging_2280/fåglar/A 18689-2025 prioriterade fågelarter.docx", "A 18689-2025")</f>
        <v/>
      </c>
    </row>
    <row r="76" ht="15" customHeight="1">
      <c r="A76" t="inlineStr">
        <is>
          <t>A 20708-2025</t>
        </is>
      </c>
      <c r="B76" s="1" t="n">
        <v>45776</v>
      </c>
      <c r="C76" s="1" t="n">
        <v>46093</v>
      </c>
      <c r="D76" t="inlineStr">
        <is>
          <t>VÄSTERNORRLANDS LÄN</t>
        </is>
      </c>
      <c r="E76" t="inlineStr">
        <is>
          <t>SUNDSVALL</t>
        </is>
      </c>
      <c r="G76" t="n">
        <v>3.9</v>
      </c>
      <c r="H76" t="n">
        <v>3</v>
      </c>
      <c r="I76" t="n">
        <v>8</v>
      </c>
      <c r="J76" t="n">
        <v>4</v>
      </c>
      <c r="K76" t="n">
        <v>2</v>
      </c>
      <c r="L76" t="n">
        <v>0</v>
      </c>
      <c r="M76" t="n">
        <v>0</v>
      </c>
      <c r="N76" t="n">
        <v>0</v>
      </c>
      <c r="O76" t="n">
        <v>6</v>
      </c>
      <c r="P76" t="n">
        <v>2</v>
      </c>
      <c r="Q76" t="n">
        <v>15</v>
      </c>
      <c r="R76" s="2" t="inlineStr">
        <is>
          <t>Knärot
Rynkskinn
Lunglav
Rosenticka
Tretåig hackspett
Vedtrappmossa
Korallblylav
Skinnlav
Strutbräken
Stuplav
Svart trolldruva
Trådticka
Vedticka
Vårärt
Nattviol</t>
        </is>
      </c>
      <c r="S76">
        <f>HYPERLINK("https://klasma.github.io/Logging_2281/artfynd/A 20708-2025 artfynd.xlsx", "A 20708-2025")</f>
        <v/>
      </c>
      <c r="T76">
        <f>HYPERLINK("https://klasma.github.io/Logging_2281/kartor/A 20708-2025 karta.png", "A 20708-2025")</f>
        <v/>
      </c>
      <c r="U76">
        <f>HYPERLINK("https://klasma.github.io/Logging_2281/knärot/A 20708-2025 karta knärot.png", "A 20708-2025")</f>
        <v/>
      </c>
      <c r="V76">
        <f>HYPERLINK("https://klasma.github.io/Logging_2281/klagomål/A 20708-2025 FSC-klagomål.docx", "A 20708-2025")</f>
        <v/>
      </c>
      <c r="W76">
        <f>HYPERLINK("https://klasma.github.io/Logging_2281/klagomålsmail/A 20708-2025 FSC-klagomål mail.docx", "A 20708-2025")</f>
        <v/>
      </c>
      <c r="X76">
        <f>HYPERLINK("https://klasma.github.io/Logging_2281/tillsyn/A 20708-2025 tillsynsbegäran.docx", "A 20708-2025")</f>
        <v/>
      </c>
      <c r="Y76">
        <f>HYPERLINK("https://klasma.github.io/Logging_2281/tillsynsmail/A 20708-2025 tillsynsbegäran mail.docx", "A 20708-2025")</f>
        <v/>
      </c>
      <c r="Z76">
        <f>HYPERLINK("https://klasma.github.io/Logging_2281/fåglar/A 20708-2025 prioriterade fågelarter.docx", "A 20708-2025")</f>
        <v/>
      </c>
    </row>
    <row r="77" ht="15" customHeight="1">
      <c r="A77" t="inlineStr">
        <is>
          <t>A 49356-2025</t>
        </is>
      </c>
      <c r="B77" s="1" t="n">
        <v>45938</v>
      </c>
      <c r="C77" s="1" t="n">
        <v>46093</v>
      </c>
      <c r="D77" t="inlineStr">
        <is>
          <t>VÄSTERNORRLANDS LÄN</t>
        </is>
      </c>
      <c r="E77" t="inlineStr">
        <is>
          <t>SOLLEFTEÅ</t>
        </is>
      </c>
      <c r="F77" t="inlineStr">
        <is>
          <t>SCA</t>
        </is>
      </c>
      <c r="G77" t="n">
        <v>10.2</v>
      </c>
      <c r="H77" t="n">
        <v>6</v>
      </c>
      <c r="I77" t="n">
        <v>6</v>
      </c>
      <c r="J77" t="n">
        <v>7</v>
      </c>
      <c r="K77" t="n">
        <v>1</v>
      </c>
      <c r="L77" t="n">
        <v>0</v>
      </c>
      <c r="M77" t="n">
        <v>0</v>
      </c>
      <c r="N77" t="n">
        <v>0</v>
      </c>
      <c r="O77" t="n">
        <v>8</v>
      </c>
      <c r="P77" t="n">
        <v>1</v>
      </c>
      <c r="Q77" t="n">
        <v>15</v>
      </c>
      <c r="R77" s="2" t="inlineStr">
        <is>
          <t>Knärot
Garnlav
Granticka
Harticka
Lunglav
Spillkråka
Talltita
Tretåig hackspett
Bollvitmossa
Fjällig taggsvamp s.str.
Lappranunkel
Norrlandslav
Vedticka
Vågbandad barkbock
Revlummer</t>
        </is>
      </c>
      <c r="S77">
        <f>HYPERLINK("https://klasma.github.io/Logging_2283/artfynd/A 49356-2025 artfynd.xlsx", "A 49356-2025")</f>
        <v/>
      </c>
      <c r="T77">
        <f>HYPERLINK("https://klasma.github.io/Logging_2283/kartor/A 49356-2025 karta.png", "A 49356-2025")</f>
        <v/>
      </c>
      <c r="U77">
        <f>HYPERLINK("https://klasma.github.io/Logging_2283/knärot/A 49356-2025 karta knärot.png", "A 49356-2025")</f>
        <v/>
      </c>
      <c r="V77">
        <f>HYPERLINK("https://klasma.github.io/Logging_2283/klagomål/A 49356-2025 FSC-klagomål.docx", "A 49356-2025")</f>
        <v/>
      </c>
      <c r="W77">
        <f>HYPERLINK("https://klasma.github.io/Logging_2283/klagomålsmail/A 49356-2025 FSC-klagomål mail.docx", "A 49356-2025")</f>
        <v/>
      </c>
      <c r="X77">
        <f>HYPERLINK("https://klasma.github.io/Logging_2283/tillsyn/A 49356-2025 tillsynsbegäran.docx", "A 49356-2025")</f>
        <v/>
      </c>
      <c r="Y77">
        <f>HYPERLINK("https://klasma.github.io/Logging_2283/tillsynsmail/A 49356-2025 tillsynsbegäran mail.docx", "A 49356-2025")</f>
        <v/>
      </c>
      <c r="Z77">
        <f>HYPERLINK("https://klasma.github.io/Logging_2283/fåglar/A 49356-2025 prioriterade fågelarter.docx", "A 49356-2025")</f>
        <v/>
      </c>
    </row>
    <row r="78" ht="15" customHeight="1">
      <c r="A78" t="inlineStr">
        <is>
          <t>A 30587-2021</t>
        </is>
      </c>
      <c r="B78" s="1" t="n">
        <v>44364</v>
      </c>
      <c r="C78" s="1" t="n">
        <v>46093</v>
      </c>
      <c r="D78" t="inlineStr">
        <is>
          <t>VÄSTERNORRLANDS LÄN</t>
        </is>
      </c>
      <c r="E78" t="inlineStr">
        <is>
          <t>KRAMFORS</t>
        </is>
      </c>
      <c r="G78" t="n">
        <v>4.8</v>
      </c>
      <c r="H78" t="n">
        <v>2</v>
      </c>
      <c r="I78" t="n">
        <v>4</v>
      </c>
      <c r="J78" t="n">
        <v>8</v>
      </c>
      <c r="K78" t="n">
        <v>1</v>
      </c>
      <c r="L78" t="n">
        <v>0</v>
      </c>
      <c r="M78" t="n">
        <v>0</v>
      </c>
      <c r="N78" t="n">
        <v>0</v>
      </c>
      <c r="O78" t="n">
        <v>9</v>
      </c>
      <c r="P78" t="n">
        <v>1</v>
      </c>
      <c r="Q78" t="n">
        <v>14</v>
      </c>
      <c r="R78" s="2" t="inlineStr">
        <is>
          <t>Rynkskinn
Doftskinn
Gammelgransskål
Garnlav
Gränsticka
Lunglav
Rosenticka
Ullticka
Violettgrå tagellav
Kattfotslav
Korallblylav
Spindelblomster
Vedticka
Fläcknycklar</t>
        </is>
      </c>
      <c r="S78">
        <f>HYPERLINK("https://klasma.github.io/Logging_2282/artfynd/A 30587-2021 artfynd.xlsx", "A 30587-2021")</f>
        <v/>
      </c>
      <c r="T78">
        <f>HYPERLINK("https://klasma.github.io/Logging_2282/kartor/A 30587-2021 karta.png", "A 30587-2021")</f>
        <v/>
      </c>
      <c r="V78">
        <f>HYPERLINK("https://klasma.github.io/Logging_2282/klagomål/A 30587-2021 FSC-klagomål.docx", "A 30587-2021")</f>
        <v/>
      </c>
      <c r="W78">
        <f>HYPERLINK("https://klasma.github.io/Logging_2282/klagomålsmail/A 30587-2021 FSC-klagomål mail.docx", "A 30587-2021")</f>
        <v/>
      </c>
      <c r="X78">
        <f>HYPERLINK("https://klasma.github.io/Logging_2282/tillsyn/A 30587-2021 tillsynsbegäran.docx", "A 30587-2021")</f>
        <v/>
      </c>
      <c r="Y78">
        <f>HYPERLINK("https://klasma.github.io/Logging_2282/tillsynsmail/A 30587-2021 tillsynsbegäran mail.docx", "A 30587-2021")</f>
        <v/>
      </c>
    </row>
    <row r="79" ht="15" customHeight="1">
      <c r="A79" t="inlineStr">
        <is>
          <t>A 64520-2023</t>
        </is>
      </c>
      <c r="B79" s="1" t="n">
        <v>45281</v>
      </c>
      <c r="C79" s="1" t="n">
        <v>46093</v>
      </c>
      <c r="D79" t="inlineStr">
        <is>
          <t>VÄSTERNORRLANDS LÄN</t>
        </is>
      </c>
      <c r="E79" t="inlineStr">
        <is>
          <t>ÅNGE</t>
        </is>
      </c>
      <c r="G79" t="n">
        <v>68.5</v>
      </c>
      <c r="H79" t="n">
        <v>1</v>
      </c>
      <c r="I79" t="n">
        <v>1</v>
      </c>
      <c r="J79" t="n">
        <v>8</v>
      </c>
      <c r="K79" t="n">
        <v>4</v>
      </c>
      <c r="L79" t="n">
        <v>1</v>
      </c>
      <c r="M79" t="n">
        <v>0</v>
      </c>
      <c r="N79" t="n">
        <v>0</v>
      </c>
      <c r="O79" t="n">
        <v>13</v>
      </c>
      <c r="P79" t="n">
        <v>5</v>
      </c>
      <c r="Q79" t="n">
        <v>14</v>
      </c>
      <c r="R79" s="2" t="inlineStr">
        <is>
          <t>Kromporing
Fläckporing
Gräddporing
Knärot
Rynkskinn
Dvärgbägarlav
Lunglav
Mörk kolflarnlav
Nordtagging
Rosenticka
Skrovlig taggsvamp
Vedflamlav
Vedtrappmossa
Blodticka</t>
        </is>
      </c>
      <c r="S79">
        <f>HYPERLINK("https://klasma.github.io/Logging_2260/artfynd/A 64520-2023 artfynd.xlsx", "A 64520-2023")</f>
        <v/>
      </c>
      <c r="T79">
        <f>HYPERLINK("https://klasma.github.io/Logging_2260/kartor/A 64520-2023 karta.png", "A 64520-2023")</f>
        <v/>
      </c>
      <c r="U79">
        <f>HYPERLINK("https://klasma.github.io/Logging_2260/knärot/A 64520-2023 karta knärot.png", "A 64520-2023")</f>
        <v/>
      </c>
      <c r="V79">
        <f>HYPERLINK("https://klasma.github.io/Logging_2260/klagomål/A 64520-2023 FSC-klagomål.docx", "A 64520-2023")</f>
        <v/>
      </c>
      <c r="W79">
        <f>HYPERLINK("https://klasma.github.io/Logging_2260/klagomålsmail/A 64520-2023 FSC-klagomål mail.docx", "A 64520-2023")</f>
        <v/>
      </c>
      <c r="X79">
        <f>HYPERLINK("https://klasma.github.io/Logging_2260/tillsyn/A 64520-2023 tillsynsbegäran.docx", "A 64520-2023")</f>
        <v/>
      </c>
      <c r="Y79">
        <f>HYPERLINK("https://klasma.github.io/Logging_2260/tillsynsmail/A 64520-2023 tillsynsbegäran mail.docx", "A 64520-2023")</f>
        <v/>
      </c>
    </row>
    <row r="80" ht="15" customHeight="1">
      <c r="A80" t="inlineStr">
        <is>
          <t>A 40262-2024</t>
        </is>
      </c>
      <c r="B80" s="1" t="n">
        <v>45554</v>
      </c>
      <c r="C80" s="1" t="n">
        <v>46093</v>
      </c>
      <c r="D80" t="inlineStr">
        <is>
          <t>VÄSTERNORRLANDS LÄN</t>
        </is>
      </c>
      <c r="E80" t="inlineStr">
        <is>
          <t>SOLLEFTEÅ</t>
        </is>
      </c>
      <c r="F80" t="inlineStr">
        <is>
          <t>SCA</t>
        </is>
      </c>
      <c r="G80" t="n">
        <v>17.9</v>
      </c>
      <c r="H80" t="n">
        <v>4</v>
      </c>
      <c r="I80" t="n">
        <v>2</v>
      </c>
      <c r="J80" t="n">
        <v>11</v>
      </c>
      <c r="K80" t="n">
        <v>1</v>
      </c>
      <c r="L80" t="n">
        <v>0</v>
      </c>
      <c r="M80" t="n">
        <v>0</v>
      </c>
      <c r="N80" t="n">
        <v>0</v>
      </c>
      <c r="O80" t="n">
        <v>12</v>
      </c>
      <c r="P80" t="n">
        <v>1</v>
      </c>
      <c r="Q80" t="n">
        <v>14</v>
      </c>
      <c r="R80" s="2" t="inlineStr">
        <is>
          <t>Knärot
Garnlav
Järpe
Kolflarnlav
Kötticka
Motaggsvamp
Rosenticka
Spillkråka
Stjärntagging
Tallticka
Tretåig hackspett
Ullticka
Bollvitmossa
Vedticka</t>
        </is>
      </c>
      <c r="S80">
        <f>HYPERLINK("https://klasma.github.io/Logging_2283/artfynd/A 40262-2024 artfynd.xlsx", "A 40262-2024")</f>
        <v/>
      </c>
      <c r="T80">
        <f>HYPERLINK("https://klasma.github.io/Logging_2283/kartor/A 40262-2024 karta.png", "A 40262-2024")</f>
        <v/>
      </c>
      <c r="U80">
        <f>HYPERLINK("https://klasma.github.io/Logging_2283/knärot/A 40262-2024 karta knärot.png", "A 40262-2024")</f>
        <v/>
      </c>
      <c r="V80">
        <f>HYPERLINK("https://klasma.github.io/Logging_2283/klagomål/A 40262-2024 FSC-klagomål.docx", "A 40262-2024")</f>
        <v/>
      </c>
      <c r="W80">
        <f>HYPERLINK("https://klasma.github.io/Logging_2283/klagomålsmail/A 40262-2024 FSC-klagomål mail.docx", "A 40262-2024")</f>
        <v/>
      </c>
      <c r="X80">
        <f>HYPERLINK("https://klasma.github.io/Logging_2283/tillsyn/A 40262-2024 tillsynsbegäran.docx", "A 40262-2024")</f>
        <v/>
      </c>
      <c r="Y80">
        <f>HYPERLINK("https://klasma.github.io/Logging_2283/tillsynsmail/A 40262-2024 tillsynsbegäran mail.docx", "A 40262-2024")</f>
        <v/>
      </c>
      <c r="Z80">
        <f>HYPERLINK("https://klasma.github.io/Logging_2283/fåglar/A 40262-2024 prioriterade fågelarter.docx", "A 40262-2024")</f>
        <v/>
      </c>
    </row>
    <row r="81" ht="15" customHeight="1">
      <c r="A81" t="inlineStr">
        <is>
          <t>A 11088-2025</t>
        </is>
      </c>
      <c r="B81" s="1" t="n">
        <v>45723.57364583333</v>
      </c>
      <c r="C81" s="1" t="n">
        <v>46093</v>
      </c>
      <c r="D81" t="inlineStr">
        <is>
          <t>VÄSTERNORRLANDS LÄN</t>
        </is>
      </c>
      <c r="E81" t="inlineStr">
        <is>
          <t>SUNDSVALL</t>
        </is>
      </c>
      <c r="F81" t="inlineStr">
        <is>
          <t>SCA</t>
        </is>
      </c>
      <c r="G81" t="n">
        <v>10.6</v>
      </c>
      <c r="H81" t="n">
        <v>8</v>
      </c>
      <c r="I81" t="n">
        <v>3</v>
      </c>
      <c r="J81" t="n">
        <v>8</v>
      </c>
      <c r="K81" t="n">
        <v>1</v>
      </c>
      <c r="L81" t="n">
        <v>0</v>
      </c>
      <c r="M81" t="n">
        <v>0</v>
      </c>
      <c r="N81" t="n">
        <v>0</v>
      </c>
      <c r="O81" t="n">
        <v>9</v>
      </c>
      <c r="P81" t="n">
        <v>1</v>
      </c>
      <c r="Q81" t="n">
        <v>14</v>
      </c>
      <c r="R81" s="2" t="inlineStr">
        <is>
          <t>Knärot
Garnlav
Järpe
Lunglav
Spillkråka
Svartvit flugsnappare
Talltita
Tretåig hackspett
Ullticka
Fjällig taggsvamp s.str.
Grönpyrola
Stor aspticka
Tjäder
Revlummer</t>
        </is>
      </c>
      <c r="S81">
        <f>HYPERLINK("https://klasma.github.io/Logging_2281/artfynd/A 11088-2025 artfynd.xlsx", "A 11088-2025")</f>
        <v/>
      </c>
      <c r="T81">
        <f>HYPERLINK("https://klasma.github.io/Logging_2281/kartor/A 11088-2025 karta.png", "A 11088-2025")</f>
        <v/>
      </c>
      <c r="U81">
        <f>HYPERLINK("https://klasma.github.io/Logging_2281/knärot/A 11088-2025 karta knärot.png", "A 11088-2025")</f>
        <v/>
      </c>
      <c r="V81">
        <f>HYPERLINK("https://klasma.github.io/Logging_2281/klagomål/A 11088-2025 FSC-klagomål.docx", "A 11088-2025")</f>
        <v/>
      </c>
      <c r="W81">
        <f>HYPERLINK("https://klasma.github.io/Logging_2281/klagomålsmail/A 11088-2025 FSC-klagomål mail.docx", "A 11088-2025")</f>
        <v/>
      </c>
      <c r="X81">
        <f>HYPERLINK("https://klasma.github.io/Logging_2281/tillsyn/A 11088-2025 tillsynsbegäran.docx", "A 11088-2025")</f>
        <v/>
      </c>
      <c r="Y81">
        <f>HYPERLINK("https://klasma.github.io/Logging_2281/tillsynsmail/A 11088-2025 tillsynsbegäran mail.docx", "A 11088-2025")</f>
        <v/>
      </c>
      <c r="Z81">
        <f>HYPERLINK("https://klasma.github.io/Logging_2281/fåglar/A 11088-2025 prioriterade fågelarter.docx", "A 11088-2025")</f>
        <v/>
      </c>
    </row>
    <row r="82" ht="15" customHeight="1">
      <c r="A82" t="inlineStr">
        <is>
          <t>A 53060-2021</t>
        </is>
      </c>
      <c r="B82" s="1" t="n">
        <v>44467</v>
      </c>
      <c r="C82" s="1" t="n">
        <v>46093</v>
      </c>
      <c r="D82" t="inlineStr">
        <is>
          <t>VÄSTERNORRLANDS LÄN</t>
        </is>
      </c>
      <c r="E82" t="inlineStr">
        <is>
          <t>ÖRNSKÖLDSVIK</t>
        </is>
      </c>
      <c r="G82" t="n">
        <v>13.4</v>
      </c>
      <c r="H82" t="n">
        <v>1</v>
      </c>
      <c r="I82" t="n">
        <v>0</v>
      </c>
      <c r="J82" t="n">
        <v>11</v>
      </c>
      <c r="K82" t="n">
        <v>2</v>
      </c>
      <c r="L82" t="n">
        <v>1</v>
      </c>
      <c r="M82" t="n">
        <v>0</v>
      </c>
      <c r="N82" t="n">
        <v>0</v>
      </c>
      <c r="O82" t="n">
        <v>14</v>
      </c>
      <c r="P82" t="n">
        <v>3</v>
      </c>
      <c r="Q82" t="n">
        <v>14</v>
      </c>
      <c r="R82" s="2" t="inlineStr">
        <is>
          <t>Urskogsporing
Gräddporing
Lappticka
Gammelgransskål
Garnlav
Granticka
Gränsticka
Kolflarnlav
Rosenticka
Tretåig hackspett
Ullticka
Vaddporing
Vitgrynig nållav
Vitplätt</t>
        </is>
      </c>
      <c r="S82">
        <f>HYPERLINK("https://klasma.github.io/Logging_2284/artfynd/A 53060-2021 artfynd.xlsx", "A 53060-2021")</f>
        <v/>
      </c>
      <c r="T82">
        <f>HYPERLINK("https://klasma.github.io/Logging_2284/kartor/A 53060-2021 karta.png", "A 53060-2021")</f>
        <v/>
      </c>
      <c r="V82">
        <f>HYPERLINK("https://klasma.github.io/Logging_2284/klagomål/A 53060-2021 FSC-klagomål.docx", "A 53060-2021")</f>
        <v/>
      </c>
      <c r="W82">
        <f>HYPERLINK("https://klasma.github.io/Logging_2284/klagomålsmail/A 53060-2021 FSC-klagomål mail.docx", "A 53060-2021")</f>
        <v/>
      </c>
      <c r="X82">
        <f>HYPERLINK("https://klasma.github.io/Logging_2284/tillsyn/A 53060-2021 tillsynsbegäran.docx", "A 53060-2021")</f>
        <v/>
      </c>
      <c r="Y82">
        <f>HYPERLINK("https://klasma.github.io/Logging_2284/tillsynsmail/A 53060-2021 tillsynsbegäran mail.docx", "A 53060-2021")</f>
        <v/>
      </c>
      <c r="Z82">
        <f>HYPERLINK("https://klasma.github.io/Logging_2284/fåglar/A 53060-2021 prioriterade fågelarter.docx", "A 53060-2021")</f>
        <v/>
      </c>
    </row>
    <row r="83" ht="15" customHeight="1">
      <c r="A83" t="inlineStr">
        <is>
          <t>A 59357-2025</t>
        </is>
      </c>
      <c r="B83" s="1" t="n">
        <v>45989.42496527778</v>
      </c>
      <c r="C83" s="1" t="n">
        <v>46093</v>
      </c>
      <c r="D83" t="inlineStr">
        <is>
          <t>VÄSTERNORRLANDS LÄN</t>
        </is>
      </c>
      <c r="E83" t="inlineStr">
        <is>
          <t>ÖRNSKÖLDSVIK</t>
        </is>
      </c>
      <c r="F83" t="inlineStr">
        <is>
          <t>Holmen skog AB</t>
        </is>
      </c>
      <c r="G83" t="n">
        <v>3.6</v>
      </c>
      <c r="H83" t="n">
        <v>0</v>
      </c>
      <c r="I83" t="n">
        <v>2</v>
      </c>
      <c r="J83" t="n">
        <v>9</v>
      </c>
      <c r="K83" t="n">
        <v>3</v>
      </c>
      <c r="L83" t="n">
        <v>0</v>
      </c>
      <c r="M83" t="n">
        <v>0</v>
      </c>
      <c r="N83" t="n">
        <v>0</v>
      </c>
      <c r="O83" t="n">
        <v>12</v>
      </c>
      <c r="P83" t="n">
        <v>3</v>
      </c>
      <c r="Q83" t="n">
        <v>14</v>
      </c>
      <c r="R83" s="2" t="inlineStr">
        <is>
          <t>Goliatmusseron
Smalfotad taggsvamp
Tallgråticka
Blå taggsvamp
Orange taggsvamp
Skrovlig taggsvamp
Svart taggsvamp agg.
Tallriska
Talltaggsvamp
Vaddporing
Vaxspindling
Vedflamlav
Dropptaggsvamp
Skarp dropptaggsvamp</t>
        </is>
      </c>
      <c r="S83">
        <f>HYPERLINK("https://klasma.github.io/Logging_2284/artfynd/A 59357-2025 artfynd.xlsx", "A 59357-2025")</f>
        <v/>
      </c>
      <c r="T83">
        <f>HYPERLINK("https://klasma.github.io/Logging_2284/kartor/A 59357-2025 karta.png", "A 59357-2025")</f>
        <v/>
      </c>
      <c r="V83">
        <f>HYPERLINK("https://klasma.github.io/Logging_2284/klagomål/A 59357-2025 FSC-klagomål.docx", "A 59357-2025")</f>
        <v/>
      </c>
      <c r="W83">
        <f>HYPERLINK("https://klasma.github.io/Logging_2284/klagomålsmail/A 59357-2025 FSC-klagomål mail.docx", "A 59357-2025")</f>
        <v/>
      </c>
      <c r="X83">
        <f>HYPERLINK("https://klasma.github.io/Logging_2284/tillsyn/A 59357-2025 tillsynsbegäran.docx", "A 59357-2025")</f>
        <v/>
      </c>
      <c r="Y83">
        <f>HYPERLINK("https://klasma.github.io/Logging_2284/tillsynsmail/A 59357-2025 tillsynsbegäran mail.docx", "A 59357-2025")</f>
        <v/>
      </c>
    </row>
    <row r="84" ht="15" customHeight="1">
      <c r="A84" t="inlineStr">
        <is>
          <t>A 59365-2025</t>
        </is>
      </c>
      <c r="B84" s="1" t="n">
        <v>45989.44219907407</v>
      </c>
      <c r="C84" s="1" t="n">
        <v>46093</v>
      </c>
      <c r="D84" t="inlineStr">
        <is>
          <t>VÄSTERNORRLANDS LÄN</t>
        </is>
      </c>
      <c r="E84" t="inlineStr">
        <is>
          <t>ÖRNSKÖLDSVIK</t>
        </is>
      </c>
      <c r="F84" t="inlineStr">
        <is>
          <t>Holmen skog AB</t>
        </is>
      </c>
      <c r="G84" t="n">
        <v>3.6</v>
      </c>
      <c r="H84" t="n">
        <v>0</v>
      </c>
      <c r="I84" t="n">
        <v>2</v>
      </c>
      <c r="J84" t="n">
        <v>9</v>
      </c>
      <c r="K84" t="n">
        <v>3</v>
      </c>
      <c r="L84" t="n">
        <v>0</v>
      </c>
      <c r="M84" t="n">
        <v>0</v>
      </c>
      <c r="N84" t="n">
        <v>0</v>
      </c>
      <c r="O84" t="n">
        <v>12</v>
      </c>
      <c r="P84" t="n">
        <v>3</v>
      </c>
      <c r="Q84" t="n">
        <v>14</v>
      </c>
      <c r="R84" s="2" t="inlineStr">
        <is>
          <t>Goliatmusseron
Smalfotad taggsvamp
Tallgråticka
Blå taggsvamp
Orange taggsvamp
Skrovlig taggsvamp
Svart taggsvamp agg.
Tallriska
Talltaggsvamp
Vaddporing
Vaxspindling
Vedflamlav
Dropptaggsvamp
Skarp dropptaggsvamp</t>
        </is>
      </c>
      <c r="S84">
        <f>HYPERLINK("https://klasma.github.io/Logging_2284/artfynd/A 59365-2025 artfynd.xlsx", "A 59365-2025")</f>
        <v/>
      </c>
      <c r="T84">
        <f>HYPERLINK("https://klasma.github.io/Logging_2284/kartor/A 59365-2025 karta.png", "A 59365-2025")</f>
        <v/>
      </c>
      <c r="V84">
        <f>HYPERLINK("https://klasma.github.io/Logging_2284/klagomål/A 59365-2025 FSC-klagomål.docx", "A 59365-2025")</f>
        <v/>
      </c>
      <c r="W84">
        <f>HYPERLINK("https://klasma.github.io/Logging_2284/klagomålsmail/A 59365-2025 FSC-klagomål mail.docx", "A 59365-2025")</f>
        <v/>
      </c>
      <c r="X84">
        <f>HYPERLINK("https://klasma.github.io/Logging_2284/tillsyn/A 59365-2025 tillsynsbegäran.docx", "A 59365-2025")</f>
        <v/>
      </c>
      <c r="Y84">
        <f>HYPERLINK("https://klasma.github.io/Logging_2284/tillsynsmail/A 59365-2025 tillsynsbegäran mail.docx", "A 59365-2025")</f>
        <v/>
      </c>
    </row>
    <row r="85" ht="15" customHeight="1">
      <c r="A85" t="inlineStr">
        <is>
          <t>A 33964-2023</t>
        </is>
      </c>
      <c r="B85" s="1" t="n">
        <v>45124</v>
      </c>
      <c r="C85" s="1" t="n">
        <v>46093</v>
      </c>
      <c r="D85" t="inlineStr">
        <is>
          <t>VÄSTERNORRLANDS LÄN</t>
        </is>
      </c>
      <c r="E85" t="inlineStr">
        <is>
          <t>SOLLEFTEÅ</t>
        </is>
      </c>
      <c r="F85" t="inlineStr">
        <is>
          <t>SCA</t>
        </is>
      </c>
      <c r="G85" t="n">
        <v>4.9</v>
      </c>
      <c r="H85" t="n">
        <v>1</v>
      </c>
      <c r="I85" t="n">
        <v>3</v>
      </c>
      <c r="J85" t="n">
        <v>11</v>
      </c>
      <c r="K85" t="n">
        <v>0</v>
      </c>
      <c r="L85" t="n">
        <v>0</v>
      </c>
      <c r="M85" t="n">
        <v>0</v>
      </c>
      <c r="N85" t="n">
        <v>0</v>
      </c>
      <c r="O85" t="n">
        <v>11</v>
      </c>
      <c r="P85" t="n">
        <v>0</v>
      </c>
      <c r="Q85" t="n">
        <v>14</v>
      </c>
      <c r="R85" s="2" t="inlineStr">
        <is>
          <t>Dvärgbägarlav
Gammelgransskål
Garnlav
Granticka
Kolflarnlav
Lunglav
Mörk kolflarnlav
Nordtagging
Spillkråka
Ullticka
Vitgrynig nållav
Dropptaggsvamp
Norrlandslav
Stuplav</t>
        </is>
      </c>
      <c r="S85">
        <f>HYPERLINK("https://klasma.github.io/Logging_2283/artfynd/A 33964-2023 artfynd.xlsx", "A 33964-2023")</f>
        <v/>
      </c>
      <c r="T85">
        <f>HYPERLINK("https://klasma.github.io/Logging_2283/kartor/A 33964-2023 karta.png", "A 33964-2023")</f>
        <v/>
      </c>
      <c r="V85">
        <f>HYPERLINK("https://klasma.github.io/Logging_2283/klagomål/A 33964-2023 FSC-klagomål.docx", "A 33964-2023")</f>
        <v/>
      </c>
      <c r="W85">
        <f>HYPERLINK("https://klasma.github.io/Logging_2283/klagomålsmail/A 33964-2023 FSC-klagomål mail.docx", "A 33964-2023")</f>
        <v/>
      </c>
      <c r="X85">
        <f>HYPERLINK("https://klasma.github.io/Logging_2283/tillsyn/A 33964-2023 tillsynsbegäran.docx", "A 33964-2023")</f>
        <v/>
      </c>
      <c r="Y85">
        <f>HYPERLINK("https://klasma.github.io/Logging_2283/tillsynsmail/A 33964-2023 tillsynsbegäran mail.docx", "A 33964-2023")</f>
        <v/>
      </c>
      <c r="Z85">
        <f>HYPERLINK("https://klasma.github.io/Logging_2283/fåglar/A 33964-2023 prioriterade fågelarter.docx", "A 33964-2023")</f>
        <v/>
      </c>
    </row>
    <row r="86" ht="15" customHeight="1">
      <c r="A86" t="inlineStr">
        <is>
          <t>A 22669-2025</t>
        </is>
      </c>
      <c r="B86" s="1" t="n">
        <v>45789</v>
      </c>
      <c r="C86" s="1" t="n">
        <v>46093</v>
      </c>
      <c r="D86" t="inlineStr">
        <is>
          <t>VÄSTERNORRLANDS LÄN</t>
        </is>
      </c>
      <c r="E86" t="inlineStr">
        <is>
          <t>TIMRÅ</t>
        </is>
      </c>
      <c r="F86" t="inlineStr">
        <is>
          <t>SCA</t>
        </is>
      </c>
      <c r="G86" t="n">
        <v>12.4</v>
      </c>
      <c r="H86" t="n">
        <v>1</v>
      </c>
      <c r="I86" t="n">
        <v>3</v>
      </c>
      <c r="J86" t="n">
        <v>9</v>
      </c>
      <c r="K86" t="n">
        <v>2</v>
      </c>
      <c r="L86" t="n">
        <v>0</v>
      </c>
      <c r="M86" t="n">
        <v>0</v>
      </c>
      <c r="N86" t="n">
        <v>0</v>
      </c>
      <c r="O86" t="n">
        <v>11</v>
      </c>
      <c r="P86" t="n">
        <v>2</v>
      </c>
      <c r="Q86" t="n">
        <v>14</v>
      </c>
      <c r="R86" s="2" t="inlineStr">
        <is>
          <t>Aspgelélav
Ulltickeporing
Brunpudrad nållav
Gammelgransskål
Garnlav
Harticka
Lunglav
Talltita
Ullticka
Veckticka
Vitgrynig nållav
Korallblylav
Rävticka
Stor aspticka</t>
        </is>
      </c>
      <c r="S86">
        <f>HYPERLINK("https://klasma.github.io/Logging_2262/artfynd/A 22669-2025 artfynd.xlsx", "A 22669-2025")</f>
        <v/>
      </c>
      <c r="T86">
        <f>HYPERLINK("https://klasma.github.io/Logging_2262/kartor/A 22669-2025 karta.png", "A 22669-2025")</f>
        <v/>
      </c>
      <c r="V86">
        <f>HYPERLINK("https://klasma.github.io/Logging_2262/klagomål/A 22669-2025 FSC-klagomål.docx", "A 22669-2025")</f>
        <v/>
      </c>
      <c r="W86">
        <f>HYPERLINK("https://klasma.github.io/Logging_2262/klagomålsmail/A 22669-2025 FSC-klagomål mail.docx", "A 22669-2025")</f>
        <v/>
      </c>
      <c r="X86">
        <f>HYPERLINK("https://klasma.github.io/Logging_2262/tillsyn/A 22669-2025 tillsynsbegäran.docx", "A 22669-2025")</f>
        <v/>
      </c>
      <c r="Y86">
        <f>HYPERLINK("https://klasma.github.io/Logging_2262/tillsynsmail/A 22669-2025 tillsynsbegäran mail.docx", "A 22669-2025")</f>
        <v/>
      </c>
      <c r="Z86">
        <f>HYPERLINK("https://klasma.github.io/Logging_2262/fåglar/A 22669-2025 prioriterade fågelarter.docx", "A 22669-2025")</f>
        <v/>
      </c>
    </row>
    <row r="87" ht="15" customHeight="1">
      <c r="A87" t="inlineStr">
        <is>
          <t>A 51024-2024</t>
        </is>
      </c>
      <c r="B87" s="1" t="n">
        <v>45603.4141087963</v>
      </c>
      <c r="C87" s="1" t="n">
        <v>46093</v>
      </c>
      <c r="D87" t="inlineStr">
        <is>
          <t>VÄSTERNORRLANDS LÄN</t>
        </is>
      </c>
      <c r="E87" t="inlineStr">
        <is>
          <t>ÅNGE</t>
        </is>
      </c>
      <c r="G87" t="n">
        <v>8.9</v>
      </c>
      <c r="H87" t="n">
        <v>2</v>
      </c>
      <c r="I87" t="n">
        <v>4</v>
      </c>
      <c r="J87" t="n">
        <v>8</v>
      </c>
      <c r="K87" t="n">
        <v>2</v>
      </c>
      <c r="L87" t="n">
        <v>0</v>
      </c>
      <c r="M87" t="n">
        <v>0</v>
      </c>
      <c r="N87" t="n">
        <v>0</v>
      </c>
      <c r="O87" t="n">
        <v>10</v>
      </c>
      <c r="P87" t="n">
        <v>2</v>
      </c>
      <c r="Q87" t="n">
        <v>14</v>
      </c>
      <c r="R87" s="2" t="inlineStr">
        <is>
          <t>Rynkskinn
Vågticka
Duvhök
Garnlav
Granticka
Harticka
Kötticka
Lunglav
Tretåig hackspett
Ullticka
Bronshjon
Bårdlav
Trådticka
Vedticka</t>
        </is>
      </c>
      <c r="S87">
        <f>HYPERLINK("https://klasma.github.io/Logging_2260/artfynd/A 51024-2024 artfynd.xlsx", "A 51024-2024")</f>
        <v/>
      </c>
      <c r="T87">
        <f>HYPERLINK("https://klasma.github.io/Logging_2260/kartor/A 51024-2024 karta.png", "A 51024-2024")</f>
        <v/>
      </c>
      <c r="V87">
        <f>HYPERLINK("https://klasma.github.io/Logging_2260/klagomål/A 51024-2024 FSC-klagomål.docx", "A 51024-2024")</f>
        <v/>
      </c>
      <c r="W87">
        <f>HYPERLINK("https://klasma.github.io/Logging_2260/klagomålsmail/A 51024-2024 FSC-klagomål mail.docx", "A 51024-2024")</f>
        <v/>
      </c>
      <c r="X87">
        <f>HYPERLINK("https://klasma.github.io/Logging_2260/tillsyn/A 51024-2024 tillsynsbegäran.docx", "A 51024-2024")</f>
        <v/>
      </c>
      <c r="Y87">
        <f>HYPERLINK("https://klasma.github.io/Logging_2260/tillsynsmail/A 51024-2024 tillsynsbegäran mail.docx", "A 51024-2024")</f>
        <v/>
      </c>
      <c r="Z87">
        <f>HYPERLINK("https://klasma.github.io/Logging_2260/fåglar/A 51024-2024 prioriterade fågelarter.docx", "A 51024-2024")</f>
        <v/>
      </c>
    </row>
    <row r="88" ht="15" customHeight="1">
      <c r="A88" t="inlineStr">
        <is>
          <t>A 26089-2025</t>
        </is>
      </c>
      <c r="B88" s="1" t="n">
        <v>45805.34509259259</v>
      </c>
      <c r="C88" s="1" t="n">
        <v>46093</v>
      </c>
      <c r="D88" t="inlineStr">
        <is>
          <t>VÄSTERNORRLANDS LÄN</t>
        </is>
      </c>
      <c r="E88" t="inlineStr">
        <is>
          <t>SUNDSVALL</t>
        </is>
      </c>
      <c r="F88" t="inlineStr">
        <is>
          <t>Naturvårdsverket</t>
        </is>
      </c>
      <c r="G88" t="n">
        <v>9.4</v>
      </c>
      <c r="H88" t="n">
        <v>2</v>
      </c>
      <c r="I88" t="n">
        <v>1</v>
      </c>
      <c r="J88" t="n">
        <v>10</v>
      </c>
      <c r="K88" t="n">
        <v>2</v>
      </c>
      <c r="L88" t="n">
        <v>0</v>
      </c>
      <c r="M88" t="n">
        <v>0</v>
      </c>
      <c r="N88" t="n">
        <v>0</v>
      </c>
      <c r="O88" t="n">
        <v>12</v>
      </c>
      <c r="P88" t="n">
        <v>2</v>
      </c>
      <c r="Q88" t="n">
        <v>14</v>
      </c>
      <c r="R88" s="2" t="inlineStr">
        <is>
          <t>Fläckporing
Gräddporing
Blanksvart spiklav
Drillsnäppa
Dvärgbägarlav
Garnlav
Kolflarnlav
Lunglav
Nordtagging
Tallticka
Vedflamlav
Vedskivlav
Skinnlav
Tjäder</t>
        </is>
      </c>
      <c r="S88">
        <f>HYPERLINK("https://klasma.github.io/Logging_2281/artfynd/A 26089-2025 artfynd.xlsx", "A 26089-2025")</f>
        <v/>
      </c>
      <c r="T88">
        <f>HYPERLINK("https://klasma.github.io/Logging_2281/kartor/A 26089-2025 karta.png", "A 26089-2025")</f>
        <v/>
      </c>
      <c r="V88">
        <f>HYPERLINK("https://klasma.github.io/Logging_2281/klagomål/A 26089-2025 FSC-klagomål.docx", "A 26089-2025")</f>
        <v/>
      </c>
      <c r="W88">
        <f>HYPERLINK("https://klasma.github.io/Logging_2281/klagomålsmail/A 26089-2025 FSC-klagomål mail.docx", "A 26089-2025")</f>
        <v/>
      </c>
      <c r="X88">
        <f>HYPERLINK("https://klasma.github.io/Logging_2281/tillsyn/A 26089-2025 tillsynsbegäran.docx", "A 26089-2025")</f>
        <v/>
      </c>
      <c r="Y88">
        <f>HYPERLINK("https://klasma.github.io/Logging_2281/tillsynsmail/A 26089-2025 tillsynsbegäran mail.docx", "A 26089-2025")</f>
        <v/>
      </c>
      <c r="Z88">
        <f>HYPERLINK("https://klasma.github.io/Logging_2281/fåglar/A 26089-2025 prioriterade fågelarter.docx", "A 26089-2025")</f>
        <v/>
      </c>
    </row>
    <row r="89" ht="15" customHeight="1">
      <c r="A89" t="inlineStr">
        <is>
          <t>A 46163-2025</t>
        </is>
      </c>
      <c r="B89" s="1" t="n">
        <v>45924</v>
      </c>
      <c r="C89" s="1" t="n">
        <v>46093</v>
      </c>
      <c r="D89" t="inlineStr">
        <is>
          <t>VÄSTERNORRLANDS LÄN</t>
        </is>
      </c>
      <c r="E89" t="inlineStr">
        <is>
          <t>ÅNGE</t>
        </is>
      </c>
      <c r="G89" t="n">
        <v>9.300000000000001</v>
      </c>
      <c r="H89" t="n">
        <v>4</v>
      </c>
      <c r="I89" t="n">
        <v>3</v>
      </c>
      <c r="J89" t="n">
        <v>8</v>
      </c>
      <c r="K89" t="n">
        <v>2</v>
      </c>
      <c r="L89" t="n">
        <v>0</v>
      </c>
      <c r="M89" t="n">
        <v>0</v>
      </c>
      <c r="N89" t="n">
        <v>0</v>
      </c>
      <c r="O89" t="n">
        <v>10</v>
      </c>
      <c r="P89" t="n">
        <v>2</v>
      </c>
      <c r="Q89" t="n">
        <v>14</v>
      </c>
      <c r="R89" s="2" t="inlineStr">
        <is>
          <t>Gräddporing
Knärot
Dvärgbägarlav
Garnlav
Kolflarnlav
Lunglav
Svartvit flugsnappare
Talltita
Ullticka
Vedtrappmossa
Barkticka
Korallblylav
Stuplav
Revlummer</t>
        </is>
      </c>
      <c r="S89">
        <f>HYPERLINK("https://klasma.github.io/Logging_2260/artfynd/A 46163-2025 artfynd.xlsx", "A 46163-2025")</f>
        <v/>
      </c>
      <c r="T89">
        <f>HYPERLINK("https://klasma.github.io/Logging_2260/kartor/A 46163-2025 karta.png", "A 46163-2025")</f>
        <v/>
      </c>
      <c r="U89">
        <f>HYPERLINK("https://klasma.github.io/Logging_2260/knärot/A 46163-2025 karta knärot.png", "A 46163-2025")</f>
        <v/>
      </c>
      <c r="V89">
        <f>HYPERLINK("https://klasma.github.io/Logging_2260/klagomål/A 46163-2025 FSC-klagomål.docx", "A 46163-2025")</f>
        <v/>
      </c>
      <c r="W89">
        <f>HYPERLINK("https://klasma.github.io/Logging_2260/klagomålsmail/A 46163-2025 FSC-klagomål mail.docx", "A 46163-2025")</f>
        <v/>
      </c>
      <c r="X89">
        <f>HYPERLINK("https://klasma.github.io/Logging_2260/tillsyn/A 46163-2025 tillsynsbegäran.docx", "A 46163-2025")</f>
        <v/>
      </c>
      <c r="Y89">
        <f>HYPERLINK("https://klasma.github.io/Logging_2260/tillsynsmail/A 46163-2025 tillsynsbegäran mail.docx", "A 46163-2025")</f>
        <v/>
      </c>
      <c r="Z89">
        <f>HYPERLINK("https://klasma.github.io/Logging_2260/fåglar/A 46163-2025 prioriterade fågelarter.docx", "A 46163-2025")</f>
        <v/>
      </c>
    </row>
    <row r="90" ht="15" customHeight="1">
      <c r="A90" t="inlineStr">
        <is>
          <t>A 3367-2026</t>
        </is>
      </c>
      <c r="B90" s="1" t="n">
        <v>46042</v>
      </c>
      <c r="C90" s="1" t="n">
        <v>46093</v>
      </c>
      <c r="D90" t="inlineStr">
        <is>
          <t>VÄSTERNORRLANDS LÄN</t>
        </is>
      </c>
      <c r="E90" t="inlineStr">
        <is>
          <t>SOLLEFTEÅ</t>
        </is>
      </c>
      <c r="F90" t="inlineStr">
        <is>
          <t>SCA</t>
        </is>
      </c>
      <c r="G90" t="n">
        <v>12.1</v>
      </c>
      <c r="H90" t="n">
        <v>7</v>
      </c>
      <c r="I90" t="n">
        <v>1</v>
      </c>
      <c r="J90" t="n">
        <v>12</v>
      </c>
      <c r="K90" t="n">
        <v>1</v>
      </c>
      <c r="L90" t="n">
        <v>0</v>
      </c>
      <c r="M90" t="n">
        <v>0</v>
      </c>
      <c r="N90" t="n">
        <v>0</v>
      </c>
      <c r="O90" t="n">
        <v>13</v>
      </c>
      <c r="P90" t="n">
        <v>1</v>
      </c>
      <c r="Q90" t="n">
        <v>14</v>
      </c>
      <c r="R90" s="2" t="inlineStr">
        <is>
          <t>Knärot
Gammelgransskål
Garnlav
Granticka
Harticka
Järpe
Koralltaggsvamp
Lunglav
Spillkråka
Svartvit flugsnappare
Talltita
Tretåig hackspett
Ullticka
Lappranunkel</t>
        </is>
      </c>
      <c r="S90">
        <f>HYPERLINK("https://klasma.github.io/Logging_2283/artfynd/A 3367-2026 artfynd.xlsx", "A 3367-2026")</f>
        <v/>
      </c>
      <c r="T90">
        <f>HYPERLINK("https://klasma.github.io/Logging_2283/kartor/A 3367-2026 karta.png", "A 3367-2026")</f>
        <v/>
      </c>
      <c r="U90">
        <f>HYPERLINK("https://klasma.github.io/Logging_2283/knärot/A 3367-2026 karta knärot.png", "A 3367-2026")</f>
        <v/>
      </c>
      <c r="V90">
        <f>HYPERLINK("https://klasma.github.io/Logging_2283/klagomål/A 3367-2026 FSC-klagomål.docx", "A 3367-2026")</f>
        <v/>
      </c>
      <c r="W90">
        <f>HYPERLINK("https://klasma.github.io/Logging_2283/klagomålsmail/A 3367-2026 FSC-klagomål mail.docx", "A 3367-2026")</f>
        <v/>
      </c>
      <c r="X90">
        <f>HYPERLINK("https://klasma.github.io/Logging_2283/tillsyn/A 3367-2026 tillsynsbegäran.docx", "A 3367-2026")</f>
        <v/>
      </c>
      <c r="Y90">
        <f>HYPERLINK("https://klasma.github.io/Logging_2283/tillsynsmail/A 3367-2026 tillsynsbegäran mail.docx", "A 3367-2026")</f>
        <v/>
      </c>
      <c r="Z90">
        <f>HYPERLINK("https://klasma.github.io/Logging_2283/fåglar/A 3367-2026 prioriterade fågelarter.docx", "A 3367-2026")</f>
        <v/>
      </c>
    </row>
    <row r="91" ht="15" customHeight="1">
      <c r="A91" t="inlineStr">
        <is>
          <t>A 17415-2022</t>
        </is>
      </c>
      <c r="B91" s="1" t="n">
        <v>44678</v>
      </c>
      <c r="C91" s="1" t="n">
        <v>46093</v>
      </c>
      <c r="D91" t="inlineStr">
        <is>
          <t>VÄSTERNORRLANDS LÄN</t>
        </is>
      </c>
      <c r="E91" t="inlineStr">
        <is>
          <t>SOLLEFTEÅ</t>
        </is>
      </c>
      <c r="G91" t="n">
        <v>9.1</v>
      </c>
      <c r="H91" t="n">
        <v>3</v>
      </c>
      <c r="I91" t="n">
        <v>3</v>
      </c>
      <c r="J91" t="n">
        <v>6</v>
      </c>
      <c r="K91" t="n">
        <v>3</v>
      </c>
      <c r="L91" t="n">
        <v>0</v>
      </c>
      <c r="M91" t="n">
        <v>0</v>
      </c>
      <c r="N91" t="n">
        <v>0</v>
      </c>
      <c r="O91" t="n">
        <v>9</v>
      </c>
      <c r="P91" t="n">
        <v>3</v>
      </c>
      <c r="Q91" t="n">
        <v>13</v>
      </c>
      <c r="R91" s="2" t="inlineStr">
        <is>
          <t>Blackticka
Knärot
Rynkskinn
Gammelgransskål
Harticka
Rosenticka
Tretåig hackspett
Ullticka
Vitgrynig nållav
Skinnlav
Stor aspticka
Vedticka
Blåsippa</t>
        </is>
      </c>
      <c r="S91">
        <f>HYPERLINK("https://klasma.github.io/Logging_2283/artfynd/A 17415-2022 artfynd.xlsx", "A 17415-2022")</f>
        <v/>
      </c>
      <c r="T91">
        <f>HYPERLINK("https://klasma.github.io/Logging_2283/kartor/A 17415-2022 karta.png", "A 17415-2022")</f>
        <v/>
      </c>
      <c r="U91">
        <f>HYPERLINK("https://klasma.github.io/Logging_2283/knärot/A 17415-2022 karta knärot.png", "A 17415-2022")</f>
        <v/>
      </c>
      <c r="V91">
        <f>HYPERLINK("https://klasma.github.io/Logging_2283/klagomål/A 17415-2022 FSC-klagomål.docx", "A 17415-2022")</f>
        <v/>
      </c>
      <c r="W91">
        <f>HYPERLINK("https://klasma.github.io/Logging_2283/klagomålsmail/A 17415-2022 FSC-klagomål mail.docx", "A 17415-2022")</f>
        <v/>
      </c>
      <c r="X91">
        <f>HYPERLINK("https://klasma.github.io/Logging_2283/tillsyn/A 17415-2022 tillsynsbegäran.docx", "A 17415-2022")</f>
        <v/>
      </c>
      <c r="Y91">
        <f>HYPERLINK("https://klasma.github.io/Logging_2283/tillsynsmail/A 17415-2022 tillsynsbegäran mail.docx", "A 17415-2022")</f>
        <v/>
      </c>
      <c r="Z91">
        <f>HYPERLINK("https://klasma.github.io/Logging_2283/fåglar/A 17415-2022 prioriterade fågelarter.docx", "A 17415-2022")</f>
        <v/>
      </c>
    </row>
    <row r="92" ht="15" customHeight="1">
      <c r="A92" t="inlineStr">
        <is>
          <t>A 32199-2023</t>
        </is>
      </c>
      <c r="B92" s="1" t="n">
        <v>45119</v>
      </c>
      <c r="C92" s="1" t="n">
        <v>46093</v>
      </c>
      <c r="D92" t="inlineStr">
        <is>
          <t>VÄSTERNORRLANDS LÄN</t>
        </is>
      </c>
      <c r="E92" t="inlineStr">
        <is>
          <t>SOLLEFTEÅ</t>
        </is>
      </c>
      <c r="G92" t="n">
        <v>7.2</v>
      </c>
      <c r="H92" t="n">
        <v>4</v>
      </c>
      <c r="I92" t="n">
        <v>1</v>
      </c>
      <c r="J92" t="n">
        <v>9</v>
      </c>
      <c r="K92" t="n">
        <v>3</v>
      </c>
      <c r="L92" t="n">
        <v>0</v>
      </c>
      <c r="M92" t="n">
        <v>0</v>
      </c>
      <c r="N92" t="n">
        <v>0</v>
      </c>
      <c r="O92" t="n">
        <v>12</v>
      </c>
      <c r="P92" t="n">
        <v>3</v>
      </c>
      <c r="Q92" t="n">
        <v>13</v>
      </c>
      <c r="R92" s="2" t="inlineStr">
        <is>
          <t>Knärot
Lappticka
Rynkskinn
Garnlav
Granticka
Järpe
Lunglav
Rosenticka
Talltita
Tretåig hackspett
Ullticka
Vitgrynig nållav
Vedticka</t>
        </is>
      </c>
      <c r="S92">
        <f>HYPERLINK("https://klasma.github.io/Logging_2283/artfynd/A 32199-2023 artfynd.xlsx", "A 32199-2023")</f>
        <v/>
      </c>
      <c r="T92">
        <f>HYPERLINK("https://klasma.github.io/Logging_2283/kartor/A 32199-2023 karta.png", "A 32199-2023")</f>
        <v/>
      </c>
      <c r="U92">
        <f>HYPERLINK("https://klasma.github.io/Logging_2283/knärot/A 32199-2023 karta knärot.png", "A 32199-2023")</f>
        <v/>
      </c>
      <c r="V92">
        <f>HYPERLINK("https://klasma.github.io/Logging_2283/klagomål/A 32199-2023 FSC-klagomål.docx", "A 32199-2023")</f>
        <v/>
      </c>
      <c r="W92">
        <f>HYPERLINK("https://klasma.github.io/Logging_2283/klagomålsmail/A 32199-2023 FSC-klagomål mail.docx", "A 32199-2023")</f>
        <v/>
      </c>
      <c r="X92">
        <f>HYPERLINK("https://klasma.github.io/Logging_2283/tillsyn/A 32199-2023 tillsynsbegäran.docx", "A 32199-2023")</f>
        <v/>
      </c>
      <c r="Y92">
        <f>HYPERLINK("https://klasma.github.io/Logging_2283/tillsynsmail/A 32199-2023 tillsynsbegäran mail.docx", "A 32199-2023")</f>
        <v/>
      </c>
      <c r="Z92">
        <f>HYPERLINK("https://klasma.github.io/Logging_2283/fåglar/A 32199-2023 prioriterade fågelarter.docx", "A 32199-2023")</f>
        <v/>
      </c>
    </row>
    <row r="93" ht="15" customHeight="1">
      <c r="A93" t="inlineStr">
        <is>
          <t>A 50533-2023</t>
        </is>
      </c>
      <c r="B93" s="1" t="n">
        <v>45217.32354166666</v>
      </c>
      <c r="C93" s="1" t="n">
        <v>46093</v>
      </c>
      <c r="D93" t="inlineStr">
        <is>
          <t>VÄSTERNORRLANDS LÄN</t>
        </is>
      </c>
      <c r="E93" t="inlineStr">
        <is>
          <t>ÖRNSKÖLDSVIK</t>
        </is>
      </c>
      <c r="G93" t="n">
        <v>2</v>
      </c>
      <c r="H93" t="n">
        <v>4</v>
      </c>
      <c r="I93" t="n">
        <v>2</v>
      </c>
      <c r="J93" t="n">
        <v>9</v>
      </c>
      <c r="K93" t="n">
        <v>2</v>
      </c>
      <c r="L93" t="n">
        <v>0</v>
      </c>
      <c r="M93" t="n">
        <v>0</v>
      </c>
      <c r="N93" t="n">
        <v>0</v>
      </c>
      <c r="O93" t="n">
        <v>11</v>
      </c>
      <c r="P93" t="n">
        <v>2</v>
      </c>
      <c r="Q93" t="n">
        <v>13</v>
      </c>
      <c r="R93" s="2" t="inlineStr">
        <is>
          <t>Knärot
Vågticka
Gammelgransskål
Järpe
Lunglav
Orange taggsvamp
Skrovlig taggsvamp
Spillkråka
Talltita
Vedskivlav
Violettgrå tagellav
Skarp dropptaggsvamp
Skinnlav</t>
        </is>
      </c>
      <c r="S93">
        <f>HYPERLINK("https://klasma.github.io/Logging_2284/artfynd/A 50533-2023 artfynd.xlsx", "A 50533-2023")</f>
        <v/>
      </c>
      <c r="T93">
        <f>HYPERLINK("https://klasma.github.io/Logging_2284/kartor/A 50533-2023 karta.png", "A 50533-2023")</f>
        <v/>
      </c>
      <c r="U93">
        <f>HYPERLINK("https://klasma.github.io/Logging_2284/knärot/A 50533-2023 karta knärot.png", "A 50533-2023")</f>
        <v/>
      </c>
      <c r="V93">
        <f>HYPERLINK("https://klasma.github.io/Logging_2284/klagomål/A 50533-2023 FSC-klagomål.docx", "A 50533-2023")</f>
        <v/>
      </c>
      <c r="W93">
        <f>HYPERLINK("https://klasma.github.io/Logging_2284/klagomålsmail/A 50533-2023 FSC-klagomål mail.docx", "A 50533-2023")</f>
        <v/>
      </c>
      <c r="X93">
        <f>HYPERLINK("https://klasma.github.io/Logging_2284/tillsyn/A 50533-2023 tillsynsbegäran.docx", "A 50533-2023")</f>
        <v/>
      </c>
      <c r="Y93">
        <f>HYPERLINK("https://klasma.github.io/Logging_2284/tillsynsmail/A 50533-2023 tillsynsbegäran mail.docx", "A 50533-2023")</f>
        <v/>
      </c>
      <c r="Z93">
        <f>HYPERLINK("https://klasma.github.io/Logging_2284/fåglar/A 50533-2023 prioriterade fågelarter.docx", "A 50533-2023")</f>
        <v/>
      </c>
    </row>
    <row r="94" ht="15" customHeight="1">
      <c r="A94" t="inlineStr">
        <is>
          <t>A 29918-2024</t>
        </is>
      </c>
      <c r="B94" s="1" t="n">
        <v>45487.92841435185</v>
      </c>
      <c r="C94" s="1" t="n">
        <v>46093</v>
      </c>
      <c r="D94" t="inlineStr">
        <is>
          <t>VÄSTERNORRLANDS LÄN</t>
        </is>
      </c>
      <c r="E94" t="inlineStr">
        <is>
          <t>SOLLEFTEÅ</t>
        </is>
      </c>
      <c r="G94" t="n">
        <v>3.1</v>
      </c>
      <c r="H94" t="n">
        <v>4</v>
      </c>
      <c r="I94" t="n">
        <v>6</v>
      </c>
      <c r="J94" t="n">
        <v>6</v>
      </c>
      <c r="K94" t="n">
        <v>1</v>
      </c>
      <c r="L94" t="n">
        <v>0</v>
      </c>
      <c r="M94" t="n">
        <v>0</v>
      </c>
      <c r="N94" t="n">
        <v>0</v>
      </c>
      <c r="O94" t="n">
        <v>7</v>
      </c>
      <c r="P94" t="n">
        <v>1</v>
      </c>
      <c r="Q94" t="n">
        <v>13</v>
      </c>
      <c r="R94" s="2" t="inlineStr">
        <is>
          <t>Knärot
Gammelgransskål
Garnlav
Järpe
Lunglav
Spillkråka
Talltita
Kattfotslav
Korallblylav
Mörk husmossa
Skinnlav
Stor aspticka
Stuplav</t>
        </is>
      </c>
      <c r="S94">
        <f>HYPERLINK("https://klasma.github.io/Logging_2283/artfynd/A 29918-2024 artfynd.xlsx", "A 29918-2024")</f>
        <v/>
      </c>
      <c r="T94">
        <f>HYPERLINK("https://klasma.github.io/Logging_2283/kartor/A 29918-2024 karta.png", "A 29918-2024")</f>
        <v/>
      </c>
      <c r="U94">
        <f>HYPERLINK("https://klasma.github.io/Logging_2283/knärot/A 29918-2024 karta knärot.png", "A 29918-2024")</f>
        <v/>
      </c>
      <c r="V94">
        <f>HYPERLINK("https://klasma.github.io/Logging_2283/klagomål/A 29918-2024 FSC-klagomål.docx", "A 29918-2024")</f>
        <v/>
      </c>
      <c r="W94">
        <f>HYPERLINK("https://klasma.github.io/Logging_2283/klagomålsmail/A 29918-2024 FSC-klagomål mail.docx", "A 29918-2024")</f>
        <v/>
      </c>
      <c r="X94">
        <f>HYPERLINK("https://klasma.github.io/Logging_2283/tillsyn/A 29918-2024 tillsynsbegäran.docx", "A 29918-2024")</f>
        <v/>
      </c>
      <c r="Y94">
        <f>HYPERLINK("https://klasma.github.io/Logging_2283/tillsynsmail/A 29918-2024 tillsynsbegäran mail.docx", "A 29918-2024")</f>
        <v/>
      </c>
      <c r="Z94">
        <f>HYPERLINK("https://klasma.github.io/Logging_2283/fåglar/A 29918-2024 prioriterade fågelarter.docx", "A 29918-2024")</f>
        <v/>
      </c>
    </row>
    <row r="95" ht="15" customHeight="1">
      <c r="A95" t="inlineStr">
        <is>
          <t>A 39172-2022</t>
        </is>
      </c>
      <c r="B95" s="1" t="n">
        <v>44817</v>
      </c>
      <c r="C95" s="1" t="n">
        <v>46093</v>
      </c>
      <c r="D95" t="inlineStr">
        <is>
          <t>VÄSTERNORRLANDS LÄN</t>
        </is>
      </c>
      <c r="E95" t="inlineStr">
        <is>
          <t>SOLLEFTEÅ</t>
        </is>
      </c>
      <c r="G95" t="n">
        <v>69.2</v>
      </c>
      <c r="H95" t="n">
        <v>0</v>
      </c>
      <c r="I95" t="n">
        <v>4</v>
      </c>
      <c r="J95" t="n">
        <v>7</v>
      </c>
      <c r="K95" t="n">
        <v>2</v>
      </c>
      <c r="L95" t="n">
        <v>0</v>
      </c>
      <c r="M95" t="n">
        <v>0</v>
      </c>
      <c r="N95" t="n">
        <v>0</v>
      </c>
      <c r="O95" t="n">
        <v>9</v>
      </c>
      <c r="P95" t="n">
        <v>2</v>
      </c>
      <c r="Q95" t="n">
        <v>13</v>
      </c>
      <c r="R95" s="2" t="inlineStr">
        <is>
          <t>Gräddporing
Gräddticka
Dvärgbägarlav
Garnlav
Lunglav
Rosenticka
Skrovellav
Stjärntagging
Ullticka
Korallblylav
Skarp dropptaggsvamp
Skinnlav
Stor aspticka</t>
        </is>
      </c>
      <c r="S95">
        <f>HYPERLINK("https://klasma.github.io/Logging_2283/artfynd/A 39172-2022 artfynd.xlsx", "A 39172-2022")</f>
        <v/>
      </c>
      <c r="T95">
        <f>HYPERLINK("https://klasma.github.io/Logging_2283/kartor/A 39172-2022 karta.png", "A 39172-2022")</f>
        <v/>
      </c>
      <c r="V95">
        <f>HYPERLINK("https://klasma.github.io/Logging_2283/klagomål/A 39172-2022 FSC-klagomål.docx", "A 39172-2022")</f>
        <v/>
      </c>
      <c r="W95">
        <f>HYPERLINK("https://klasma.github.io/Logging_2283/klagomålsmail/A 39172-2022 FSC-klagomål mail.docx", "A 39172-2022")</f>
        <v/>
      </c>
      <c r="X95">
        <f>HYPERLINK("https://klasma.github.io/Logging_2283/tillsyn/A 39172-2022 tillsynsbegäran.docx", "A 39172-2022")</f>
        <v/>
      </c>
      <c r="Y95">
        <f>HYPERLINK("https://klasma.github.io/Logging_2283/tillsynsmail/A 39172-2022 tillsynsbegäran mail.docx", "A 39172-2022")</f>
        <v/>
      </c>
    </row>
    <row r="96" ht="15" customHeight="1">
      <c r="A96" t="inlineStr">
        <is>
          <t>A 64944-2023</t>
        </is>
      </c>
      <c r="B96" s="1" t="n">
        <v>45282</v>
      </c>
      <c r="C96" s="1" t="n">
        <v>46093</v>
      </c>
      <c r="D96" t="inlineStr">
        <is>
          <t>VÄSTERNORRLANDS LÄN</t>
        </is>
      </c>
      <c r="E96" t="inlineStr">
        <is>
          <t>ÅNGE</t>
        </is>
      </c>
      <c r="F96" t="inlineStr">
        <is>
          <t>SCA</t>
        </is>
      </c>
      <c r="G96" t="n">
        <v>1.6</v>
      </c>
      <c r="H96" t="n">
        <v>2</v>
      </c>
      <c r="I96" t="n">
        <v>5</v>
      </c>
      <c r="J96" t="n">
        <v>7</v>
      </c>
      <c r="K96" t="n">
        <v>0</v>
      </c>
      <c r="L96" t="n">
        <v>0</v>
      </c>
      <c r="M96" t="n">
        <v>0</v>
      </c>
      <c r="N96" t="n">
        <v>0</v>
      </c>
      <c r="O96" t="n">
        <v>7</v>
      </c>
      <c r="P96" t="n">
        <v>0</v>
      </c>
      <c r="Q96" t="n">
        <v>13</v>
      </c>
      <c r="R96" s="2" t="inlineStr">
        <is>
          <t>Gammelgransskål
Garnlav
Gränsticka
Lunglav
Småflikig brosklav
Ullticka
Veckticka
Bårdlav
Korallblylav
Luddlav
Spindelblomster
Vedticka
Revlummer</t>
        </is>
      </c>
      <c r="S96">
        <f>HYPERLINK("https://klasma.github.io/Logging_2260/artfynd/A 64944-2023 artfynd.xlsx", "A 64944-2023")</f>
        <v/>
      </c>
      <c r="T96">
        <f>HYPERLINK("https://klasma.github.io/Logging_2260/kartor/A 64944-2023 karta.png", "A 64944-2023")</f>
        <v/>
      </c>
      <c r="U96">
        <f>HYPERLINK("https://klasma.github.io/Logging_2260/knärot/A 64944-2023 karta knärot.png", "A 64944-2023")</f>
        <v/>
      </c>
      <c r="V96">
        <f>HYPERLINK("https://klasma.github.io/Logging_2260/klagomål/A 64944-2023 FSC-klagomål.docx", "A 64944-2023")</f>
        <v/>
      </c>
      <c r="W96">
        <f>HYPERLINK("https://klasma.github.io/Logging_2260/klagomålsmail/A 64944-2023 FSC-klagomål mail.docx", "A 64944-2023")</f>
        <v/>
      </c>
      <c r="X96">
        <f>HYPERLINK("https://klasma.github.io/Logging_2260/tillsyn/A 64944-2023 tillsynsbegäran.docx", "A 64944-2023")</f>
        <v/>
      </c>
      <c r="Y96">
        <f>HYPERLINK("https://klasma.github.io/Logging_2260/tillsynsmail/A 64944-2023 tillsynsbegäran mail.docx", "A 64944-2023")</f>
        <v/>
      </c>
    </row>
    <row r="97" ht="15" customHeight="1">
      <c r="A97" t="inlineStr">
        <is>
          <t>A 27635-2024</t>
        </is>
      </c>
      <c r="B97" s="1" t="n">
        <v>45474</v>
      </c>
      <c r="C97" s="1" t="n">
        <v>46093</v>
      </c>
      <c r="D97" t="inlineStr">
        <is>
          <t>VÄSTERNORRLANDS LÄN</t>
        </is>
      </c>
      <c r="E97" t="inlineStr">
        <is>
          <t>SOLLEFTEÅ</t>
        </is>
      </c>
      <c r="F97" t="inlineStr">
        <is>
          <t>SCA</t>
        </is>
      </c>
      <c r="G97" t="n">
        <v>5.4</v>
      </c>
      <c r="H97" t="n">
        <v>3</v>
      </c>
      <c r="I97" t="n">
        <v>3</v>
      </c>
      <c r="J97" t="n">
        <v>8</v>
      </c>
      <c r="K97" t="n">
        <v>1</v>
      </c>
      <c r="L97" t="n">
        <v>0</v>
      </c>
      <c r="M97" t="n">
        <v>0</v>
      </c>
      <c r="N97" t="n">
        <v>0</v>
      </c>
      <c r="O97" t="n">
        <v>9</v>
      </c>
      <c r="P97" t="n">
        <v>1</v>
      </c>
      <c r="Q97" t="n">
        <v>13</v>
      </c>
      <c r="R97" s="2" t="inlineStr">
        <is>
          <t>Gräddporing
Gammelgransskål
Garnlav
Kolflarnlav
Kortskaftad ärgspik
Lunglav
Mörk kolflarnlav
Talltita
Tretåig hackspett
Bårdlav
Dropptaggsvamp
Luddlav
Vanlig padda</t>
        </is>
      </c>
      <c r="S97">
        <f>HYPERLINK("https://klasma.github.io/Logging_2283/artfynd/A 27635-2024 artfynd.xlsx", "A 27635-2024")</f>
        <v/>
      </c>
      <c r="T97">
        <f>HYPERLINK("https://klasma.github.io/Logging_2283/kartor/A 27635-2024 karta.png", "A 27635-2024")</f>
        <v/>
      </c>
      <c r="V97">
        <f>HYPERLINK("https://klasma.github.io/Logging_2283/klagomål/A 27635-2024 FSC-klagomål.docx", "A 27635-2024")</f>
        <v/>
      </c>
      <c r="W97">
        <f>HYPERLINK("https://klasma.github.io/Logging_2283/klagomålsmail/A 27635-2024 FSC-klagomål mail.docx", "A 27635-2024")</f>
        <v/>
      </c>
      <c r="X97">
        <f>HYPERLINK("https://klasma.github.io/Logging_2283/tillsyn/A 27635-2024 tillsynsbegäran.docx", "A 27635-2024")</f>
        <v/>
      </c>
      <c r="Y97">
        <f>HYPERLINK("https://klasma.github.io/Logging_2283/tillsynsmail/A 27635-2024 tillsynsbegäran mail.docx", "A 27635-2024")</f>
        <v/>
      </c>
      <c r="Z97">
        <f>HYPERLINK("https://klasma.github.io/Logging_2283/fåglar/A 27635-2024 prioriterade fågelarter.docx", "A 27635-2024")</f>
        <v/>
      </c>
    </row>
    <row r="98" ht="15" customHeight="1">
      <c r="A98" t="inlineStr">
        <is>
          <t>A 28663-2023</t>
        </is>
      </c>
      <c r="B98" s="1" t="n">
        <v>45096</v>
      </c>
      <c r="C98" s="1" t="n">
        <v>46093</v>
      </c>
      <c r="D98" t="inlineStr">
        <is>
          <t>VÄSTERNORRLANDS LÄN</t>
        </is>
      </c>
      <c r="E98" t="inlineStr">
        <is>
          <t>SOLLEFTEÅ</t>
        </is>
      </c>
      <c r="G98" t="n">
        <v>15.4</v>
      </c>
      <c r="H98" t="n">
        <v>4</v>
      </c>
      <c r="I98" t="n">
        <v>3</v>
      </c>
      <c r="J98" t="n">
        <v>7</v>
      </c>
      <c r="K98" t="n">
        <v>2</v>
      </c>
      <c r="L98" t="n">
        <v>0</v>
      </c>
      <c r="M98" t="n">
        <v>0</v>
      </c>
      <c r="N98" t="n">
        <v>0</v>
      </c>
      <c r="O98" t="n">
        <v>9</v>
      </c>
      <c r="P98" t="n">
        <v>2</v>
      </c>
      <c r="Q98" t="n">
        <v>13</v>
      </c>
      <c r="R98" s="2" t="inlineStr">
        <is>
          <t>Knärot
Rynkskinn
Garnlav
Lunglav
Mörk kolflarnlav
Rosenticka
Spillkråka
Tretåig hackspett
Ullticka
Dropptaggsvamp
Vanlig flatbagge
Vedticka
Fläcknycklar</t>
        </is>
      </c>
      <c r="S98">
        <f>HYPERLINK("https://klasma.github.io/Logging_2283/artfynd/A 28663-2023 artfynd.xlsx", "A 28663-2023")</f>
        <v/>
      </c>
      <c r="T98">
        <f>HYPERLINK("https://klasma.github.io/Logging_2283/kartor/A 28663-2023 karta.png", "A 28663-2023")</f>
        <v/>
      </c>
      <c r="U98">
        <f>HYPERLINK("https://klasma.github.io/Logging_2283/knärot/A 28663-2023 karta knärot.png", "A 28663-2023")</f>
        <v/>
      </c>
      <c r="V98">
        <f>HYPERLINK("https://klasma.github.io/Logging_2283/klagomål/A 28663-2023 FSC-klagomål.docx", "A 28663-2023")</f>
        <v/>
      </c>
      <c r="W98">
        <f>HYPERLINK("https://klasma.github.io/Logging_2283/klagomålsmail/A 28663-2023 FSC-klagomål mail.docx", "A 28663-2023")</f>
        <v/>
      </c>
      <c r="X98">
        <f>HYPERLINK("https://klasma.github.io/Logging_2283/tillsyn/A 28663-2023 tillsynsbegäran.docx", "A 28663-2023")</f>
        <v/>
      </c>
      <c r="Y98">
        <f>HYPERLINK("https://klasma.github.io/Logging_2283/tillsynsmail/A 28663-2023 tillsynsbegäran mail.docx", "A 28663-2023")</f>
        <v/>
      </c>
      <c r="Z98">
        <f>HYPERLINK("https://klasma.github.io/Logging_2283/fåglar/A 28663-2023 prioriterade fågelarter.docx", "A 28663-2023")</f>
        <v/>
      </c>
    </row>
    <row r="99" ht="15" customHeight="1">
      <c r="A99" t="inlineStr">
        <is>
          <t>A 28161-2024</t>
        </is>
      </c>
      <c r="B99" s="1" t="n">
        <v>45476</v>
      </c>
      <c r="C99" s="1" t="n">
        <v>46093</v>
      </c>
      <c r="D99" t="inlineStr">
        <is>
          <t>VÄSTERNORRLANDS LÄN</t>
        </is>
      </c>
      <c r="E99" t="inlineStr">
        <is>
          <t>SOLLEFTEÅ</t>
        </is>
      </c>
      <c r="F99" t="inlineStr">
        <is>
          <t>SCA</t>
        </is>
      </c>
      <c r="G99" t="n">
        <v>1.5</v>
      </c>
      <c r="H99" t="n">
        <v>4</v>
      </c>
      <c r="I99" t="n">
        <v>5</v>
      </c>
      <c r="J99" t="n">
        <v>4</v>
      </c>
      <c r="K99" t="n">
        <v>3</v>
      </c>
      <c r="L99" t="n">
        <v>0</v>
      </c>
      <c r="M99" t="n">
        <v>0</v>
      </c>
      <c r="N99" t="n">
        <v>0</v>
      </c>
      <c r="O99" t="n">
        <v>7</v>
      </c>
      <c r="P99" t="n">
        <v>3</v>
      </c>
      <c r="Q99" t="n">
        <v>13</v>
      </c>
      <c r="R99" s="2" t="inlineStr">
        <is>
          <t>Doftticka
Knärot
Rynkskinn
Lunglav
Rosenticka
Spillkråka
Ullticka
Bårdlav
Luddlav
Norrlandslav
Stuplav
Vedticka
Revlummer</t>
        </is>
      </c>
      <c r="S99">
        <f>HYPERLINK("https://klasma.github.io/Logging_2283/artfynd/A 28161-2024 artfynd.xlsx", "A 28161-2024")</f>
        <v/>
      </c>
      <c r="T99">
        <f>HYPERLINK("https://klasma.github.io/Logging_2283/kartor/A 28161-2024 karta.png", "A 28161-2024")</f>
        <v/>
      </c>
      <c r="U99">
        <f>HYPERLINK("https://klasma.github.io/Logging_2283/knärot/A 28161-2024 karta knärot.png", "A 28161-2024")</f>
        <v/>
      </c>
      <c r="V99">
        <f>HYPERLINK("https://klasma.github.io/Logging_2283/klagomål/A 28161-2024 FSC-klagomål.docx", "A 28161-2024")</f>
        <v/>
      </c>
      <c r="W99">
        <f>HYPERLINK("https://klasma.github.io/Logging_2283/klagomålsmail/A 28161-2024 FSC-klagomål mail.docx", "A 28161-2024")</f>
        <v/>
      </c>
      <c r="X99">
        <f>HYPERLINK("https://klasma.github.io/Logging_2283/tillsyn/A 28161-2024 tillsynsbegäran.docx", "A 28161-2024")</f>
        <v/>
      </c>
      <c r="Y99">
        <f>HYPERLINK("https://klasma.github.io/Logging_2283/tillsynsmail/A 28161-2024 tillsynsbegäran mail.docx", "A 28161-2024")</f>
        <v/>
      </c>
      <c r="Z99">
        <f>HYPERLINK("https://klasma.github.io/Logging_2283/fåglar/A 28161-2024 prioriterade fågelarter.docx", "A 28161-2024")</f>
        <v/>
      </c>
    </row>
    <row r="100" ht="15" customHeight="1">
      <c r="A100" t="inlineStr">
        <is>
          <t>A 23762-2025</t>
        </is>
      </c>
      <c r="B100" s="1" t="n">
        <v>45793</v>
      </c>
      <c r="C100" s="1" t="n">
        <v>46093</v>
      </c>
      <c r="D100" t="inlineStr">
        <is>
          <t>VÄSTERNORRLANDS LÄN</t>
        </is>
      </c>
      <c r="E100" t="inlineStr">
        <is>
          <t>TIMRÅ</t>
        </is>
      </c>
      <c r="F100" t="inlineStr">
        <is>
          <t>SCA</t>
        </is>
      </c>
      <c r="G100" t="n">
        <v>15.8</v>
      </c>
      <c r="H100" t="n">
        <v>1</v>
      </c>
      <c r="I100" t="n">
        <v>3</v>
      </c>
      <c r="J100" t="n">
        <v>6</v>
      </c>
      <c r="K100" t="n">
        <v>4</v>
      </c>
      <c r="L100" t="n">
        <v>0</v>
      </c>
      <c r="M100" t="n">
        <v>0</v>
      </c>
      <c r="N100" t="n">
        <v>0</v>
      </c>
      <c r="O100" t="n">
        <v>10</v>
      </c>
      <c r="P100" t="n">
        <v>4</v>
      </c>
      <c r="Q100" t="n">
        <v>13</v>
      </c>
      <c r="R100" s="2" t="inlineStr">
        <is>
          <t>Aspgelélav
Knärot
Liten hornflikmossa
Rynkskinn
Garnlav
Granticka
Lunglav
Rosenticka
Ullticka
Violettgrå tagellav
Korallblylav
Skinnlav
Stuplav</t>
        </is>
      </c>
      <c r="S100">
        <f>HYPERLINK("https://klasma.github.io/Logging_2262/artfynd/A 23762-2025 artfynd.xlsx", "A 23762-2025")</f>
        <v/>
      </c>
      <c r="T100">
        <f>HYPERLINK("https://klasma.github.io/Logging_2262/kartor/A 23762-2025 karta.png", "A 23762-2025")</f>
        <v/>
      </c>
      <c r="U100">
        <f>HYPERLINK("https://klasma.github.io/Logging_2262/knärot/A 23762-2025 karta knärot.png", "A 23762-2025")</f>
        <v/>
      </c>
      <c r="V100">
        <f>HYPERLINK("https://klasma.github.io/Logging_2262/klagomål/A 23762-2025 FSC-klagomål.docx", "A 23762-2025")</f>
        <v/>
      </c>
      <c r="W100">
        <f>HYPERLINK("https://klasma.github.io/Logging_2262/klagomålsmail/A 23762-2025 FSC-klagomål mail.docx", "A 23762-2025")</f>
        <v/>
      </c>
      <c r="X100">
        <f>HYPERLINK("https://klasma.github.io/Logging_2262/tillsyn/A 23762-2025 tillsynsbegäran.docx", "A 23762-2025")</f>
        <v/>
      </c>
      <c r="Y100">
        <f>HYPERLINK("https://klasma.github.io/Logging_2262/tillsynsmail/A 23762-2025 tillsynsbegäran mail.docx", "A 23762-2025")</f>
        <v/>
      </c>
    </row>
    <row r="101" ht="15" customHeight="1">
      <c r="A101" t="inlineStr">
        <is>
          <t>A 30841-2023</t>
        </is>
      </c>
      <c r="B101" s="1" t="n">
        <v>45112</v>
      </c>
      <c r="C101" s="1" t="n">
        <v>46093</v>
      </c>
      <c r="D101" t="inlineStr">
        <is>
          <t>VÄSTERNORRLANDS LÄN</t>
        </is>
      </c>
      <c r="E101" t="inlineStr">
        <is>
          <t>ÅNGE</t>
        </is>
      </c>
      <c r="F101" t="inlineStr">
        <is>
          <t>SCA</t>
        </is>
      </c>
      <c r="G101" t="n">
        <v>8.800000000000001</v>
      </c>
      <c r="H101" t="n">
        <v>4</v>
      </c>
      <c r="I101" t="n">
        <v>3</v>
      </c>
      <c r="J101" t="n">
        <v>8</v>
      </c>
      <c r="K101" t="n">
        <v>1</v>
      </c>
      <c r="L101" t="n">
        <v>0</v>
      </c>
      <c r="M101" t="n">
        <v>0</v>
      </c>
      <c r="N101" t="n">
        <v>0</v>
      </c>
      <c r="O101" t="n">
        <v>9</v>
      </c>
      <c r="P101" t="n">
        <v>1</v>
      </c>
      <c r="Q101" t="n">
        <v>13</v>
      </c>
      <c r="R101" s="2" t="inlineStr">
        <is>
          <t>Knärot
Brunpudrad nållav
Dvärgbägarlav
Gammelgransskål
Mörk kolflarnlav
Spillkråka
Tallticka
Talltita
Ullticka
Dropptaggsvamp
Norrlandslav
Vedticka
Tjäder</t>
        </is>
      </c>
      <c r="S101">
        <f>HYPERLINK("https://klasma.github.io/Logging_2260/artfynd/A 30841-2023 artfynd.xlsx", "A 30841-2023")</f>
        <v/>
      </c>
      <c r="T101">
        <f>HYPERLINK("https://klasma.github.io/Logging_2260/kartor/A 30841-2023 karta.png", "A 30841-2023")</f>
        <v/>
      </c>
      <c r="U101">
        <f>HYPERLINK("https://klasma.github.io/Logging_2260/knärot/A 30841-2023 karta knärot.png", "A 30841-2023")</f>
        <v/>
      </c>
      <c r="V101">
        <f>HYPERLINK("https://klasma.github.io/Logging_2260/klagomål/A 30841-2023 FSC-klagomål.docx", "A 30841-2023")</f>
        <v/>
      </c>
      <c r="W101">
        <f>HYPERLINK("https://klasma.github.io/Logging_2260/klagomålsmail/A 30841-2023 FSC-klagomål mail.docx", "A 30841-2023")</f>
        <v/>
      </c>
      <c r="X101">
        <f>HYPERLINK("https://klasma.github.io/Logging_2260/tillsyn/A 30841-2023 tillsynsbegäran.docx", "A 30841-2023")</f>
        <v/>
      </c>
      <c r="Y101">
        <f>HYPERLINK("https://klasma.github.io/Logging_2260/tillsynsmail/A 30841-2023 tillsynsbegäran mail.docx", "A 30841-2023")</f>
        <v/>
      </c>
      <c r="Z101">
        <f>HYPERLINK("https://klasma.github.io/Logging_2260/fåglar/A 30841-2023 prioriterade fågelarter.docx", "A 30841-2023")</f>
        <v/>
      </c>
    </row>
    <row r="102" ht="15" customHeight="1">
      <c r="A102" t="inlineStr">
        <is>
          <t>A 29309-2022</t>
        </is>
      </c>
      <c r="B102" s="1" t="n">
        <v>44750</v>
      </c>
      <c r="C102" s="1" t="n">
        <v>46093</v>
      </c>
      <c r="D102" t="inlineStr">
        <is>
          <t>VÄSTERNORRLANDS LÄN</t>
        </is>
      </c>
      <c r="E102" t="inlineStr">
        <is>
          <t>SOLLEFTEÅ</t>
        </is>
      </c>
      <c r="F102" t="inlineStr">
        <is>
          <t>SCA</t>
        </is>
      </c>
      <c r="G102" t="n">
        <v>7.3</v>
      </c>
      <c r="H102" t="n">
        <v>1</v>
      </c>
      <c r="I102" t="n">
        <v>0</v>
      </c>
      <c r="J102" t="n">
        <v>12</v>
      </c>
      <c r="K102" t="n">
        <v>1</v>
      </c>
      <c r="L102" t="n">
        <v>0</v>
      </c>
      <c r="M102" t="n">
        <v>0</v>
      </c>
      <c r="N102" t="n">
        <v>0</v>
      </c>
      <c r="O102" t="n">
        <v>13</v>
      </c>
      <c r="P102" t="n">
        <v>1</v>
      </c>
      <c r="Q102" t="n">
        <v>13</v>
      </c>
      <c r="R102" s="2" t="inlineStr">
        <is>
          <t>Rynkskinn
Blå taggsvamp
Dvärgbägarlav
Garnlav
Koralltaggsvamp
Kortskaftad ärgspik
Lunglav
Motaggsvamp
Mörk kolflarnlav
Nordtagging
Tretåig hackspett
Vedskivlav
Vitplätt</t>
        </is>
      </c>
      <c r="S102">
        <f>HYPERLINK("https://klasma.github.io/Logging_2283/artfynd/A 29309-2022 artfynd.xlsx", "A 29309-2022")</f>
        <v/>
      </c>
      <c r="T102">
        <f>HYPERLINK("https://klasma.github.io/Logging_2283/kartor/A 29309-2022 karta.png", "A 29309-2022")</f>
        <v/>
      </c>
      <c r="U102">
        <f>HYPERLINK("https://klasma.github.io/Logging_2283/knärot/A 29309-2022 karta knärot.png", "A 29309-2022")</f>
        <v/>
      </c>
      <c r="V102">
        <f>HYPERLINK("https://klasma.github.io/Logging_2283/klagomål/A 29309-2022 FSC-klagomål.docx", "A 29309-2022")</f>
        <v/>
      </c>
      <c r="W102">
        <f>HYPERLINK("https://klasma.github.io/Logging_2283/klagomålsmail/A 29309-2022 FSC-klagomål mail.docx", "A 29309-2022")</f>
        <v/>
      </c>
      <c r="X102">
        <f>HYPERLINK("https://klasma.github.io/Logging_2283/tillsyn/A 29309-2022 tillsynsbegäran.docx", "A 29309-2022")</f>
        <v/>
      </c>
      <c r="Y102">
        <f>HYPERLINK("https://klasma.github.io/Logging_2283/tillsynsmail/A 29309-2022 tillsynsbegäran mail.docx", "A 29309-2022")</f>
        <v/>
      </c>
      <c r="Z102">
        <f>HYPERLINK("https://klasma.github.io/Logging_2283/fåglar/A 29309-2022 prioriterade fågelarter.docx", "A 29309-2022")</f>
        <v/>
      </c>
    </row>
    <row r="103" ht="15" customHeight="1">
      <c r="A103" t="inlineStr">
        <is>
          <t>A 27590-2025</t>
        </is>
      </c>
      <c r="B103" s="1" t="n">
        <v>45813</v>
      </c>
      <c r="C103" s="1" t="n">
        <v>46093</v>
      </c>
      <c r="D103" t="inlineStr">
        <is>
          <t>VÄSTERNORRLANDS LÄN</t>
        </is>
      </c>
      <c r="E103" t="inlineStr">
        <is>
          <t>SOLLEFTEÅ</t>
        </is>
      </c>
      <c r="G103" t="n">
        <v>53.5</v>
      </c>
      <c r="H103" t="n">
        <v>5</v>
      </c>
      <c r="I103" t="n">
        <v>5</v>
      </c>
      <c r="J103" t="n">
        <v>7</v>
      </c>
      <c r="K103" t="n">
        <v>1</v>
      </c>
      <c r="L103" t="n">
        <v>0</v>
      </c>
      <c r="M103" t="n">
        <v>0</v>
      </c>
      <c r="N103" t="n">
        <v>0</v>
      </c>
      <c r="O103" t="n">
        <v>8</v>
      </c>
      <c r="P103" t="n">
        <v>1</v>
      </c>
      <c r="Q103" t="n">
        <v>13</v>
      </c>
      <c r="R103" s="2" t="inlineStr">
        <is>
          <t>Knärot
Gammelgransskål
Garnlav
Lunglav
Rosenticka
Spillkråka
Tretåig hackspett
Ullticka
Bollvitmossa
Bronshjon
Dropptaggsvamp
Lappranunkel
Spindelblomster</t>
        </is>
      </c>
      <c r="S103">
        <f>HYPERLINK("https://klasma.github.io/Logging_2283/artfynd/A 27590-2025 artfynd.xlsx", "A 27590-2025")</f>
        <v/>
      </c>
      <c r="T103">
        <f>HYPERLINK("https://klasma.github.io/Logging_2283/kartor/A 27590-2025 karta.png", "A 27590-2025")</f>
        <v/>
      </c>
      <c r="U103">
        <f>HYPERLINK("https://klasma.github.io/Logging_2283/knärot/A 27590-2025 karta knärot.png", "A 27590-2025")</f>
        <v/>
      </c>
      <c r="V103">
        <f>HYPERLINK("https://klasma.github.io/Logging_2283/klagomål/A 27590-2025 FSC-klagomål.docx", "A 27590-2025")</f>
        <v/>
      </c>
      <c r="W103">
        <f>HYPERLINK("https://klasma.github.io/Logging_2283/klagomålsmail/A 27590-2025 FSC-klagomål mail.docx", "A 27590-2025")</f>
        <v/>
      </c>
      <c r="X103">
        <f>HYPERLINK("https://klasma.github.io/Logging_2283/tillsyn/A 27590-2025 tillsynsbegäran.docx", "A 27590-2025")</f>
        <v/>
      </c>
      <c r="Y103">
        <f>HYPERLINK("https://klasma.github.io/Logging_2283/tillsynsmail/A 27590-2025 tillsynsbegäran mail.docx", "A 27590-2025")</f>
        <v/>
      </c>
      <c r="Z103">
        <f>HYPERLINK("https://klasma.github.io/Logging_2283/fåglar/A 27590-2025 prioriterade fågelarter.docx", "A 27590-2025")</f>
        <v/>
      </c>
    </row>
    <row r="104" ht="15" customHeight="1">
      <c r="A104" t="inlineStr">
        <is>
          <t>A 22209-2025</t>
        </is>
      </c>
      <c r="B104" s="1" t="n">
        <v>45785.65732638889</v>
      </c>
      <c r="C104" s="1" t="n">
        <v>46093</v>
      </c>
      <c r="D104" t="inlineStr">
        <is>
          <t>VÄSTERNORRLANDS LÄN</t>
        </is>
      </c>
      <c r="E104" t="inlineStr">
        <is>
          <t>SOLLEFTEÅ</t>
        </is>
      </c>
      <c r="F104" t="inlineStr">
        <is>
          <t>SCA</t>
        </is>
      </c>
      <c r="G104" t="n">
        <v>10.1</v>
      </c>
      <c r="H104" t="n">
        <v>2</v>
      </c>
      <c r="I104" t="n">
        <v>6</v>
      </c>
      <c r="J104" t="n">
        <v>6</v>
      </c>
      <c r="K104" t="n">
        <v>1</v>
      </c>
      <c r="L104" t="n">
        <v>0</v>
      </c>
      <c r="M104" t="n">
        <v>0</v>
      </c>
      <c r="N104" t="n">
        <v>0</v>
      </c>
      <c r="O104" t="n">
        <v>7</v>
      </c>
      <c r="P104" t="n">
        <v>1</v>
      </c>
      <c r="Q104" t="n">
        <v>13</v>
      </c>
      <c r="R104" s="2" t="inlineStr">
        <is>
          <t>Knärot
Garnlav
Granticka
Harticka
Lunglav
Rosenticka
Ullticka
Bronshjon
Spindelblomster
Stor aspticka
Thomsons trägnagare
Vedticka
Vågbandad barkbock</t>
        </is>
      </c>
      <c r="S104">
        <f>HYPERLINK("https://klasma.github.io/Logging_2283/artfynd/A 22209-2025 artfynd.xlsx", "A 22209-2025")</f>
        <v/>
      </c>
      <c r="T104">
        <f>HYPERLINK("https://klasma.github.io/Logging_2283/kartor/A 22209-2025 karta.png", "A 22209-2025")</f>
        <v/>
      </c>
      <c r="U104">
        <f>HYPERLINK("https://klasma.github.io/Logging_2283/knärot/A 22209-2025 karta knärot.png", "A 22209-2025")</f>
        <v/>
      </c>
      <c r="V104">
        <f>HYPERLINK("https://klasma.github.io/Logging_2283/klagomål/A 22209-2025 FSC-klagomål.docx", "A 22209-2025")</f>
        <v/>
      </c>
      <c r="W104">
        <f>HYPERLINK("https://klasma.github.io/Logging_2283/klagomålsmail/A 22209-2025 FSC-klagomål mail.docx", "A 22209-2025")</f>
        <v/>
      </c>
      <c r="X104">
        <f>HYPERLINK("https://klasma.github.io/Logging_2283/tillsyn/A 22209-2025 tillsynsbegäran.docx", "A 22209-2025")</f>
        <v/>
      </c>
      <c r="Y104">
        <f>HYPERLINK("https://klasma.github.io/Logging_2283/tillsynsmail/A 22209-2025 tillsynsbegäran mail.docx", "A 22209-2025")</f>
        <v/>
      </c>
    </row>
    <row r="105" ht="15" customHeight="1">
      <c r="A105" t="inlineStr">
        <is>
          <t>A 25307-2025</t>
        </is>
      </c>
      <c r="B105" s="1" t="n">
        <v>45800.57347222222</v>
      </c>
      <c r="C105" s="1" t="n">
        <v>46093</v>
      </c>
      <c r="D105" t="inlineStr">
        <is>
          <t>VÄSTERNORRLANDS LÄN</t>
        </is>
      </c>
      <c r="E105" t="inlineStr">
        <is>
          <t>KRAMFORS</t>
        </is>
      </c>
      <c r="F105" t="inlineStr">
        <is>
          <t>SCA</t>
        </is>
      </c>
      <c r="G105" t="n">
        <v>36.6</v>
      </c>
      <c r="H105" t="n">
        <v>4</v>
      </c>
      <c r="I105" t="n">
        <v>1</v>
      </c>
      <c r="J105" t="n">
        <v>8</v>
      </c>
      <c r="K105" t="n">
        <v>2</v>
      </c>
      <c r="L105" t="n">
        <v>0</v>
      </c>
      <c r="M105" t="n">
        <v>0</v>
      </c>
      <c r="N105" t="n">
        <v>0</v>
      </c>
      <c r="O105" t="n">
        <v>10</v>
      </c>
      <c r="P105" t="n">
        <v>2</v>
      </c>
      <c r="Q105" t="n">
        <v>13</v>
      </c>
      <c r="R105" s="2" t="inlineStr">
        <is>
          <t>Blackticka
Knärot
Garnlav
Granticka
Gränsticka
Kötticka
Lunglav
Nordfladdermus
Rosenticka
Ullticka
Mörk husmossa
Tjäder
Revlummer</t>
        </is>
      </c>
      <c r="S105">
        <f>HYPERLINK("https://klasma.github.io/Logging_2282/artfynd/A 25307-2025 artfynd.xlsx", "A 25307-2025")</f>
        <v/>
      </c>
      <c r="T105">
        <f>HYPERLINK("https://klasma.github.io/Logging_2282/kartor/A 25307-2025 karta.png", "A 25307-2025")</f>
        <v/>
      </c>
      <c r="U105">
        <f>HYPERLINK("https://klasma.github.io/Logging_2282/knärot/A 25307-2025 karta knärot.png", "A 25307-2025")</f>
        <v/>
      </c>
      <c r="V105">
        <f>HYPERLINK("https://klasma.github.io/Logging_2282/klagomål/A 25307-2025 FSC-klagomål.docx", "A 25307-2025")</f>
        <v/>
      </c>
      <c r="W105">
        <f>HYPERLINK("https://klasma.github.io/Logging_2282/klagomålsmail/A 25307-2025 FSC-klagomål mail.docx", "A 25307-2025")</f>
        <v/>
      </c>
      <c r="X105">
        <f>HYPERLINK("https://klasma.github.io/Logging_2282/tillsyn/A 25307-2025 tillsynsbegäran.docx", "A 25307-2025")</f>
        <v/>
      </c>
      <c r="Y105">
        <f>HYPERLINK("https://klasma.github.io/Logging_2282/tillsynsmail/A 25307-2025 tillsynsbegäran mail.docx", "A 25307-2025")</f>
        <v/>
      </c>
      <c r="Z105">
        <f>HYPERLINK("https://klasma.github.io/Logging_2282/fåglar/A 25307-2025 prioriterade fågelarter.docx", "A 25307-2025")</f>
        <v/>
      </c>
    </row>
    <row r="106" ht="15" customHeight="1">
      <c r="A106" t="inlineStr">
        <is>
          <t>A 1963-2025</t>
        </is>
      </c>
      <c r="B106" s="1" t="n">
        <v>45672</v>
      </c>
      <c r="C106" s="1" t="n">
        <v>46093</v>
      </c>
      <c r="D106" t="inlineStr">
        <is>
          <t>VÄSTERNORRLANDS LÄN</t>
        </is>
      </c>
      <c r="E106" t="inlineStr">
        <is>
          <t>SOLLEFTEÅ</t>
        </is>
      </c>
      <c r="G106" t="n">
        <v>3.1</v>
      </c>
      <c r="H106" t="n">
        <v>4</v>
      </c>
      <c r="I106" t="n">
        <v>1</v>
      </c>
      <c r="J106" t="n">
        <v>9</v>
      </c>
      <c r="K106" t="n">
        <v>2</v>
      </c>
      <c r="L106" t="n">
        <v>0</v>
      </c>
      <c r="M106" t="n">
        <v>0</v>
      </c>
      <c r="N106" t="n">
        <v>0</v>
      </c>
      <c r="O106" t="n">
        <v>11</v>
      </c>
      <c r="P106" t="n">
        <v>2</v>
      </c>
      <c r="Q106" t="n">
        <v>13</v>
      </c>
      <c r="R106" s="2" t="inlineStr">
        <is>
          <t>Knärot
Rynkskinn
Granticka
Gränsticka
Harticka
Kötticka
Lunglav
Rosenticka
Talltita
Tretåig hackspett
Ullticka
Vågbandad barkbock
Revlummer</t>
        </is>
      </c>
      <c r="S106">
        <f>HYPERLINK("https://klasma.github.io/Logging_2283/artfynd/A 1963-2025 artfynd.xlsx", "A 1963-2025")</f>
        <v/>
      </c>
      <c r="T106">
        <f>HYPERLINK("https://klasma.github.io/Logging_2283/kartor/A 1963-2025 karta.png", "A 1963-2025")</f>
        <v/>
      </c>
      <c r="U106">
        <f>HYPERLINK("https://klasma.github.io/Logging_2283/knärot/A 1963-2025 karta knärot.png", "A 1963-2025")</f>
        <v/>
      </c>
      <c r="V106">
        <f>HYPERLINK("https://klasma.github.io/Logging_2283/klagomål/A 1963-2025 FSC-klagomål.docx", "A 1963-2025")</f>
        <v/>
      </c>
      <c r="W106">
        <f>HYPERLINK("https://klasma.github.io/Logging_2283/klagomålsmail/A 1963-2025 FSC-klagomål mail.docx", "A 1963-2025")</f>
        <v/>
      </c>
      <c r="X106">
        <f>HYPERLINK("https://klasma.github.io/Logging_2283/tillsyn/A 1963-2025 tillsynsbegäran.docx", "A 1963-2025")</f>
        <v/>
      </c>
      <c r="Y106">
        <f>HYPERLINK("https://klasma.github.io/Logging_2283/tillsynsmail/A 1963-2025 tillsynsbegäran mail.docx", "A 1963-2025")</f>
        <v/>
      </c>
      <c r="Z106">
        <f>HYPERLINK("https://klasma.github.io/Logging_2283/fåglar/A 1963-2025 prioriterade fågelarter.docx", "A 1963-2025")</f>
        <v/>
      </c>
    </row>
    <row r="107" ht="15" customHeight="1">
      <c r="A107" t="inlineStr">
        <is>
          <t>A 25521-2025</t>
        </is>
      </c>
      <c r="B107" s="1" t="n">
        <v>45803</v>
      </c>
      <c r="C107" s="1" t="n">
        <v>46093</v>
      </c>
      <c r="D107" t="inlineStr">
        <is>
          <t>VÄSTERNORRLANDS LÄN</t>
        </is>
      </c>
      <c r="E107" t="inlineStr">
        <is>
          <t>SOLLEFTEÅ</t>
        </is>
      </c>
      <c r="F107" t="inlineStr">
        <is>
          <t>SCA</t>
        </is>
      </c>
      <c r="G107" t="n">
        <v>7.8</v>
      </c>
      <c r="H107" t="n">
        <v>3</v>
      </c>
      <c r="I107" t="n">
        <v>3</v>
      </c>
      <c r="J107" t="n">
        <v>9</v>
      </c>
      <c r="K107" t="n">
        <v>0</v>
      </c>
      <c r="L107" t="n">
        <v>0</v>
      </c>
      <c r="M107" t="n">
        <v>0</v>
      </c>
      <c r="N107" t="n">
        <v>0</v>
      </c>
      <c r="O107" t="n">
        <v>9</v>
      </c>
      <c r="P107" t="n">
        <v>0</v>
      </c>
      <c r="Q107" t="n">
        <v>13</v>
      </c>
      <c r="R107" s="2" t="inlineStr">
        <is>
          <t>Brunpudrad nållav
Gammelgransskål
Garnlav
Granticka
Harticka
Rödbrun blekspik
Tretåig hackspett
Ullticka
Vitgrynig nållav
Gulnål
Korallrot
Trådticka
Revlummer</t>
        </is>
      </c>
      <c r="S107">
        <f>HYPERLINK("https://klasma.github.io/Logging_2283/artfynd/A 25521-2025 artfynd.xlsx", "A 25521-2025")</f>
        <v/>
      </c>
      <c r="T107">
        <f>HYPERLINK("https://klasma.github.io/Logging_2283/kartor/A 25521-2025 karta.png", "A 25521-2025")</f>
        <v/>
      </c>
      <c r="V107">
        <f>HYPERLINK("https://klasma.github.io/Logging_2283/klagomål/A 25521-2025 FSC-klagomål.docx", "A 25521-2025")</f>
        <v/>
      </c>
      <c r="W107">
        <f>HYPERLINK("https://klasma.github.io/Logging_2283/klagomålsmail/A 25521-2025 FSC-klagomål mail.docx", "A 25521-2025")</f>
        <v/>
      </c>
      <c r="X107">
        <f>HYPERLINK("https://klasma.github.io/Logging_2283/tillsyn/A 25521-2025 tillsynsbegäran.docx", "A 25521-2025")</f>
        <v/>
      </c>
      <c r="Y107">
        <f>HYPERLINK("https://klasma.github.io/Logging_2283/tillsynsmail/A 25521-2025 tillsynsbegäran mail.docx", "A 25521-2025")</f>
        <v/>
      </c>
      <c r="Z107">
        <f>HYPERLINK("https://klasma.github.io/Logging_2283/fåglar/A 25521-2025 prioriterade fågelarter.docx", "A 25521-2025")</f>
        <v/>
      </c>
    </row>
    <row r="108" ht="15" customHeight="1">
      <c r="A108" t="inlineStr">
        <is>
          <t>A 47789-2023</t>
        </is>
      </c>
      <c r="B108" s="1" t="n">
        <v>45203</v>
      </c>
      <c r="C108" s="1" t="n">
        <v>46093</v>
      </c>
      <c r="D108" t="inlineStr">
        <is>
          <t>VÄSTERNORRLANDS LÄN</t>
        </is>
      </c>
      <c r="E108" t="inlineStr">
        <is>
          <t>ÅNGE</t>
        </is>
      </c>
      <c r="F108" t="inlineStr">
        <is>
          <t>SCA</t>
        </is>
      </c>
      <c r="G108" t="n">
        <v>6.7</v>
      </c>
      <c r="H108" t="n">
        <v>4</v>
      </c>
      <c r="I108" t="n">
        <v>4</v>
      </c>
      <c r="J108" t="n">
        <v>5</v>
      </c>
      <c r="K108" t="n">
        <v>2</v>
      </c>
      <c r="L108" t="n">
        <v>0</v>
      </c>
      <c r="M108" t="n">
        <v>0</v>
      </c>
      <c r="N108" t="n">
        <v>0</v>
      </c>
      <c r="O108" t="n">
        <v>7</v>
      </c>
      <c r="P108" t="n">
        <v>2</v>
      </c>
      <c r="Q108" t="n">
        <v>12</v>
      </c>
      <c r="R108" s="2" t="inlineStr">
        <is>
          <t>Knärot
Rynkskinn
Gränsticka
Lunglav
Rosenticka
Spillkråka
Talltita
Bronshjon
Svart trolldruva
Tibast
Vårärt
Revlummer</t>
        </is>
      </c>
      <c r="S108">
        <f>HYPERLINK("https://klasma.github.io/Logging_2260/artfynd/A 47789-2023 artfynd.xlsx", "A 47789-2023")</f>
        <v/>
      </c>
      <c r="T108">
        <f>HYPERLINK("https://klasma.github.io/Logging_2260/kartor/A 47789-2023 karta.png", "A 47789-2023")</f>
        <v/>
      </c>
      <c r="U108">
        <f>HYPERLINK("https://klasma.github.io/Logging_2260/knärot/A 47789-2023 karta knärot.png", "A 47789-2023")</f>
        <v/>
      </c>
      <c r="V108">
        <f>HYPERLINK("https://klasma.github.io/Logging_2260/klagomål/A 47789-2023 FSC-klagomål.docx", "A 47789-2023")</f>
        <v/>
      </c>
      <c r="W108">
        <f>HYPERLINK("https://klasma.github.io/Logging_2260/klagomålsmail/A 47789-2023 FSC-klagomål mail.docx", "A 47789-2023")</f>
        <v/>
      </c>
      <c r="X108">
        <f>HYPERLINK("https://klasma.github.io/Logging_2260/tillsyn/A 47789-2023 tillsynsbegäran.docx", "A 47789-2023")</f>
        <v/>
      </c>
      <c r="Y108">
        <f>HYPERLINK("https://klasma.github.io/Logging_2260/tillsynsmail/A 47789-2023 tillsynsbegäran mail.docx", "A 47789-2023")</f>
        <v/>
      </c>
      <c r="Z108">
        <f>HYPERLINK("https://klasma.github.io/Logging_2260/fåglar/A 47789-2023 prioriterade fågelarter.docx", "A 47789-2023")</f>
        <v/>
      </c>
    </row>
    <row r="109" ht="15" customHeight="1">
      <c r="A109" t="inlineStr">
        <is>
          <t>A 30571-2024</t>
        </is>
      </c>
      <c r="B109" s="1" t="n">
        <v>45492</v>
      </c>
      <c r="C109" s="1" t="n">
        <v>46093</v>
      </c>
      <c r="D109" t="inlineStr">
        <is>
          <t>VÄSTERNORRLANDS LÄN</t>
        </is>
      </c>
      <c r="E109" t="inlineStr">
        <is>
          <t>SOLLEFTEÅ</t>
        </is>
      </c>
      <c r="F109" t="inlineStr">
        <is>
          <t>SCA</t>
        </is>
      </c>
      <c r="G109" t="n">
        <v>3.1</v>
      </c>
      <c r="H109" t="n">
        <v>3</v>
      </c>
      <c r="I109" t="n">
        <v>2</v>
      </c>
      <c r="J109" t="n">
        <v>8</v>
      </c>
      <c r="K109" t="n">
        <v>2</v>
      </c>
      <c r="L109" t="n">
        <v>0</v>
      </c>
      <c r="M109" t="n">
        <v>0</v>
      </c>
      <c r="N109" t="n">
        <v>0</v>
      </c>
      <c r="O109" t="n">
        <v>10</v>
      </c>
      <c r="P109" t="n">
        <v>2</v>
      </c>
      <c r="Q109" t="n">
        <v>12</v>
      </c>
      <c r="R109" s="2" t="inlineStr">
        <is>
          <t>Gräddporing
Knärot
Dvärgbägarlav
Gammelgransskål
Garnlav
Kolflarnlav
Lunglav
Spillkråka
Tretåig hackspett
Ullticka
Dropptaggsvamp
Stuplav</t>
        </is>
      </c>
      <c r="S109">
        <f>HYPERLINK("https://klasma.github.io/Logging_2283/artfynd/A 30571-2024 artfynd.xlsx", "A 30571-2024")</f>
        <v/>
      </c>
      <c r="T109">
        <f>HYPERLINK("https://klasma.github.io/Logging_2283/kartor/A 30571-2024 karta.png", "A 30571-2024")</f>
        <v/>
      </c>
      <c r="U109">
        <f>HYPERLINK("https://klasma.github.io/Logging_2283/knärot/A 30571-2024 karta knärot.png", "A 30571-2024")</f>
        <v/>
      </c>
      <c r="V109">
        <f>HYPERLINK("https://klasma.github.io/Logging_2283/klagomål/A 30571-2024 FSC-klagomål.docx", "A 30571-2024")</f>
        <v/>
      </c>
      <c r="W109">
        <f>HYPERLINK("https://klasma.github.io/Logging_2283/klagomålsmail/A 30571-2024 FSC-klagomål mail.docx", "A 30571-2024")</f>
        <v/>
      </c>
      <c r="X109">
        <f>HYPERLINK("https://klasma.github.io/Logging_2283/tillsyn/A 30571-2024 tillsynsbegäran.docx", "A 30571-2024")</f>
        <v/>
      </c>
      <c r="Y109">
        <f>HYPERLINK("https://klasma.github.io/Logging_2283/tillsynsmail/A 30571-2024 tillsynsbegäran mail.docx", "A 30571-2024")</f>
        <v/>
      </c>
      <c r="Z109">
        <f>HYPERLINK("https://klasma.github.io/Logging_2283/fåglar/A 30571-2024 prioriterade fågelarter.docx", "A 30571-2024")</f>
        <v/>
      </c>
    </row>
    <row r="110" ht="15" customHeight="1">
      <c r="A110" t="inlineStr">
        <is>
          <t>A 3325-2025</t>
        </is>
      </c>
      <c r="B110" s="1" t="n">
        <v>45679</v>
      </c>
      <c r="C110" s="1" t="n">
        <v>46093</v>
      </c>
      <c r="D110" t="inlineStr">
        <is>
          <t>VÄSTERNORRLANDS LÄN</t>
        </is>
      </c>
      <c r="E110" t="inlineStr">
        <is>
          <t>SOLLEFTEÅ</t>
        </is>
      </c>
      <c r="F110" t="inlineStr">
        <is>
          <t>SCA</t>
        </is>
      </c>
      <c r="G110" t="n">
        <v>9.300000000000001</v>
      </c>
      <c r="H110" t="n">
        <v>1</v>
      </c>
      <c r="I110" t="n">
        <v>4</v>
      </c>
      <c r="J110" t="n">
        <v>6</v>
      </c>
      <c r="K110" t="n">
        <v>2</v>
      </c>
      <c r="L110" t="n">
        <v>0</v>
      </c>
      <c r="M110" t="n">
        <v>0</v>
      </c>
      <c r="N110" t="n">
        <v>0</v>
      </c>
      <c r="O110" t="n">
        <v>8</v>
      </c>
      <c r="P110" t="n">
        <v>2</v>
      </c>
      <c r="Q110" t="n">
        <v>12</v>
      </c>
      <c r="R110" s="2" t="inlineStr">
        <is>
          <t>Blackticka
Rynkskinn
Harticka
Kötticka
Lunglav
Rosenticka
Talltita
Ullticka
Bårdlav
Stuplav
Svart trolldruva
Vedticka</t>
        </is>
      </c>
      <c r="S110">
        <f>HYPERLINK("https://klasma.github.io/Logging_2283/artfynd/A 3325-2025 artfynd.xlsx", "A 3325-2025")</f>
        <v/>
      </c>
      <c r="T110">
        <f>HYPERLINK("https://klasma.github.io/Logging_2283/kartor/A 3325-2025 karta.png", "A 3325-2025")</f>
        <v/>
      </c>
      <c r="V110">
        <f>HYPERLINK("https://klasma.github.io/Logging_2283/klagomål/A 3325-2025 FSC-klagomål.docx", "A 3325-2025")</f>
        <v/>
      </c>
      <c r="W110">
        <f>HYPERLINK("https://klasma.github.io/Logging_2283/klagomålsmail/A 3325-2025 FSC-klagomål mail.docx", "A 3325-2025")</f>
        <v/>
      </c>
      <c r="X110">
        <f>HYPERLINK("https://klasma.github.io/Logging_2283/tillsyn/A 3325-2025 tillsynsbegäran.docx", "A 3325-2025")</f>
        <v/>
      </c>
      <c r="Y110">
        <f>HYPERLINK("https://klasma.github.io/Logging_2283/tillsynsmail/A 3325-2025 tillsynsbegäran mail.docx", "A 3325-2025")</f>
        <v/>
      </c>
      <c r="Z110">
        <f>HYPERLINK("https://klasma.github.io/Logging_2283/fåglar/A 3325-2025 prioriterade fågelarter.docx", "A 3325-2025")</f>
        <v/>
      </c>
    </row>
    <row r="111" ht="15" customHeight="1">
      <c r="A111" t="inlineStr">
        <is>
          <t>A 48181-2025</t>
        </is>
      </c>
      <c r="B111" s="1" t="n">
        <v>45933.45269675926</v>
      </c>
      <c r="C111" s="1" t="n">
        <v>46093</v>
      </c>
      <c r="D111" t="inlineStr">
        <is>
          <t>VÄSTERNORRLANDS LÄN</t>
        </is>
      </c>
      <c r="E111" t="inlineStr">
        <is>
          <t>SOLLEFTEÅ</t>
        </is>
      </c>
      <c r="G111" t="n">
        <v>10.7</v>
      </c>
      <c r="H111" t="n">
        <v>5</v>
      </c>
      <c r="I111" t="n">
        <v>5</v>
      </c>
      <c r="J111" t="n">
        <v>5</v>
      </c>
      <c r="K111" t="n">
        <v>1</v>
      </c>
      <c r="L111" t="n">
        <v>0</v>
      </c>
      <c r="M111" t="n">
        <v>0</v>
      </c>
      <c r="N111" t="n">
        <v>0</v>
      </c>
      <c r="O111" t="n">
        <v>6</v>
      </c>
      <c r="P111" t="n">
        <v>1</v>
      </c>
      <c r="Q111" t="n">
        <v>12</v>
      </c>
      <c r="R111" s="2" t="inlineStr">
        <is>
          <t>Knärot
Garnlav
Lunglav
Talltita
Tretåig hackspett
Ullticka
Bollvitmossa
Kattfotslav
Lappranunkel
Trådticka
Vedticka
Revlummer</t>
        </is>
      </c>
      <c r="S111">
        <f>HYPERLINK("https://klasma.github.io/Logging_2283/artfynd/A 48181-2025 artfynd.xlsx", "A 48181-2025")</f>
        <v/>
      </c>
      <c r="T111">
        <f>HYPERLINK("https://klasma.github.io/Logging_2283/kartor/A 48181-2025 karta.png", "A 48181-2025")</f>
        <v/>
      </c>
      <c r="U111">
        <f>HYPERLINK("https://klasma.github.io/Logging_2283/knärot/A 48181-2025 karta knärot.png", "A 48181-2025")</f>
        <v/>
      </c>
      <c r="V111">
        <f>HYPERLINK("https://klasma.github.io/Logging_2283/klagomål/A 48181-2025 FSC-klagomål.docx", "A 48181-2025")</f>
        <v/>
      </c>
      <c r="W111">
        <f>HYPERLINK("https://klasma.github.io/Logging_2283/klagomålsmail/A 48181-2025 FSC-klagomål mail.docx", "A 48181-2025")</f>
        <v/>
      </c>
      <c r="X111">
        <f>HYPERLINK("https://klasma.github.io/Logging_2283/tillsyn/A 48181-2025 tillsynsbegäran.docx", "A 48181-2025")</f>
        <v/>
      </c>
      <c r="Y111">
        <f>HYPERLINK("https://klasma.github.io/Logging_2283/tillsynsmail/A 48181-2025 tillsynsbegäran mail.docx", "A 48181-2025")</f>
        <v/>
      </c>
      <c r="Z111">
        <f>HYPERLINK("https://klasma.github.io/Logging_2283/fåglar/A 48181-2025 prioriterade fågelarter.docx", "A 48181-2025")</f>
        <v/>
      </c>
    </row>
    <row r="112" ht="15" customHeight="1">
      <c r="A112" t="inlineStr">
        <is>
          <t>A 44735-2025</t>
        </is>
      </c>
      <c r="B112" s="1" t="n">
        <v>45917</v>
      </c>
      <c r="C112" s="1" t="n">
        <v>46093</v>
      </c>
      <c r="D112" t="inlineStr">
        <is>
          <t>VÄSTERNORRLANDS LÄN</t>
        </is>
      </c>
      <c r="E112" t="inlineStr">
        <is>
          <t>SOLLEFTEÅ</t>
        </is>
      </c>
      <c r="F112" t="inlineStr">
        <is>
          <t>SCA</t>
        </is>
      </c>
      <c r="G112" t="n">
        <v>3.5</v>
      </c>
      <c r="H112" t="n">
        <v>5</v>
      </c>
      <c r="I112" t="n">
        <v>3</v>
      </c>
      <c r="J112" t="n">
        <v>7</v>
      </c>
      <c r="K112" t="n">
        <v>2</v>
      </c>
      <c r="L112" t="n">
        <v>0</v>
      </c>
      <c r="M112" t="n">
        <v>0</v>
      </c>
      <c r="N112" t="n">
        <v>0</v>
      </c>
      <c r="O112" t="n">
        <v>9</v>
      </c>
      <c r="P112" t="n">
        <v>2</v>
      </c>
      <c r="Q112" t="n">
        <v>12</v>
      </c>
      <c r="R112" s="2" t="inlineStr">
        <is>
          <t>Knärot
Lappticka
Harticka
Järpe
Rosenticka
Skogsfru
Talltita
Tretåig hackspett
Ullticka
Svavelriska
Trådticka
Vedticka</t>
        </is>
      </c>
      <c r="S112">
        <f>HYPERLINK("https://klasma.github.io/Logging_2283/artfynd/A 44735-2025 artfynd.xlsx", "A 44735-2025")</f>
        <v/>
      </c>
      <c r="T112">
        <f>HYPERLINK("https://klasma.github.io/Logging_2283/kartor/A 44735-2025 karta.png", "A 44735-2025")</f>
        <v/>
      </c>
      <c r="U112">
        <f>HYPERLINK("https://klasma.github.io/Logging_2283/knärot/A 44735-2025 karta knärot.png", "A 44735-2025")</f>
        <v/>
      </c>
      <c r="V112">
        <f>HYPERLINK("https://klasma.github.io/Logging_2283/klagomål/A 44735-2025 FSC-klagomål.docx", "A 44735-2025")</f>
        <v/>
      </c>
      <c r="W112">
        <f>HYPERLINK("https://klasma.github.io/Logging_2283/klagomålsmail/A 44735-2025 FSC-klagomål mail.docx", "A 44735-2025")</f>
        <v/>
      </c>
      <c r="X112">
        <f>HYPERLINK("https://klasma.github.io/Logging_2283/tillsyn/A 44735-2025 tillsynsbegäran.docx", "A 44735-2025")</f>
        <v/>
      </c>
      <c r="Y112">
        <f>HYPERLINK("https://klasma.github.io/Logging_2283/tillsynsmail/A 44735-2025 tillsynsbegäran mail.docx", "A 44735-2025")</f>
        <v/>
      </c>
      <c r="Z112">
        <f>HYPERLINK("https://klasma.github.io/Logging_2283/fåglar/A 44735-2025 prioriterade fågelarter.docx", "A 44735-2025")</f>
        <v/>
      </c>
    </row>
    <row r="113" ht="15" customHeight="1">
      <c r="A113" t="inlineStr">
        <is>
          <t>A 37600-2022</t>
        </is>
      </c>
      <c r="B113" s="1" t="n">
        <v>44809</v>
      </c>
      <c r="C113" s="1" t="n">
        <v>46093</v>
      </c>
      <c r="D113" t="inlineStr">
        <is>
          <t>VÄSTERNORRLANDS LÄN</t>
        </is>
      </c>
      <c r="E113" t="inlineStr">
        <is>
          <t>TIMRÅ</t>
        </is>
      </c>
      <c r="F113" t="inlineStr">
        <is>
          <t>Kommuner</t>
        </is>
      </c>
      <c r="G113" t="n">
        <v>70.2</v>
      </c>
      <c r="H113" t="n">
        <v>3</v>
      </c>
      <c r="I113" t="n">
        <v>5</v>
      </c>
      <c r="J113" t="n">
        <v>3</v>
      </c>
      <c r="K113" t="n">
        <v>1</v>
      </c>
      <c r="L113" t="n">
        <v>0</v>
      </c>
      <c r="M113" t="n">
        <v>0</v>
      </c>
      <c r="N113" t="n">
        <v>0</v>
      </c>
      <c r="O113" t="n">
        <v>4</v>
      </c>
      <c r="P113" t="n">
        <v>1</v>
      </c>
      <c r="Q113" t="n">
        <v>12</v>
      </c>
      <c r="R113" s="2" t="inlineStr">
        <is>
          <t>Glesgröe
Garnlav
Mindre purpurmätare
Sotnätfjäril
Dvärghäxört
Mörk husmossa
Spindelbock
Spädstarr
Vedticka
Tjäder
Nattviol
Blåsippa</t>
        </is>
      </c>
      <c r="S113">
        <f>HYPERLINK("https://klasma.github.io/Logging_2262/artfynd/A 37600-2022 artfynd.xlsx", "A 37600-2022")</f>
        <v/>
      </c>
      <c r="T113">
        <f>HYPERLINK("https://klasma.github.io/Logging_2262/kartor/A 37600-2022 karta.png", "A 37600-2022")</f>
        <v/>
      </c>
      <c r="V113">
        <f>HYPERLINK("https://klasma.github.io/Logging_2262/klagomål/A 37600-2022 FSC-klagomål.docx", "A 37600-2022")</f>
        <v/>
      </c>
      <c r="W113">
        <f>HYPERLINK("https://klasma.github.io/Logging_2262/klagomålsmail/A 37600-2022 FSC-klagomål mail.docx", "A 37600-2022")</f>
        <v/>
      </c>
      <c r="X113">
        <f>HYPERLINK("https://klasma.github.io/Logging_2262/tillsyn/A 37600-2022 tillsynsbegäran.docx", "A 37600-2022")</f>
        <v/>
      </c>
      <c r="Y113">
        <f>HYPERLINK("https://klasma.github.io/Logging_2262/tillsynsmail/A 37600-2022 tillsynsbegäran mail.docx", "A 37600-2022")</f>
        <v/>
      </c>
      <c r="Z113">
        <f>HYPERLINK("https://klasma.github.io/Logging_2262/fåglar/A 37600-2022 prioriterade fågelarter.docx", "A 37600-2022")</f>
        <v/>
      </c>
    </row>
    <row r="114" ht="15" customHeight="1">
      <c r="A114" t="inlineStr">
        <is>
          <t>A 26948-2024</t>
        </is>
      </c>
      <c r="B114" s="1" t="n">
        <v>45470</v>
      </c>
      <c r="C114" s="1" t="n">
        <v>46093</v>
      </c>
      <c r="D114" t="inlineStr">
        <is>
          <t>VÄSTERNORRLANDS LÄN</t>
        </is>
      </c>
      <c r="E114" t="inlineStr">
        <is>
          <t>SOLLEFTEÅ</t>
        </is>
      </c>
      <c r="F114" t="inlineStr">
        <is>
          <t>SCA</t>
        </is>
      </c>
      <c r="G114" t="n">
        <v>8.1</v>
      </c>
      <c r="H114" t="n">
        <v>3</v>
      </c>
      <c r="I114" t="n">
        <v>2</v>
      </c>
      <c r="J114" t="n">
        <v>7</v>
      </c>
      <c r="K114" t="n">
        <v>2</v>
      </c>
      <c r="L114" t="n">
        <v>0</v>
      </c>
      <c r="M114" t="n">
        <v>0</v>
      </c>
      <c r="N114" t="n">
        <v>0</v>
      </c>
      <c r="O114" t="n">
        <v>9</v>
      </c>
      <c r="P114" t="n">
        <v>2</v>
      </c>
      <c r="Q114" t="n">
        <v>12</v>
      </c>
      <c r="R114" s="2" t="inlineStr">
        <is>
          <t>Goliatmusseron
Smalfotad taggsvamp
Garnlav
Kolflarnlav
Mörk kolflarnlav
Spillkråka
Tretåig hackspett
Vedskivlav
Violettgrå tagellav
Dropptaggsvamp
Luddlav
Vanlig groda</t>
        </is>
      </c>
      <c r="S114">
        <f>HYPERLINK("https://klasma.github.io/Logging_2283/artfynd/A 26948-2024 artfynd.xlsx", "A 26948-2024")</f>
        <v/>
      </c>
      <c r="T114">
        <f>HYPERLINK("https://klasma.github.io/Logging_2283/kartor/A 26948-2024 karta.png", "A 26948-2024")</f>
        <v/>
      </c>
      <c r="V114">
        <f>HYPERLINK("https://klasma.github.io/Logging_2283/klagomål/A 26948-2024 FSC-klagomål.docx", "A 26948-2024")</f>
        <v/>
      </c>
      <c r="W114">
        <f>HYPERLINK("https://klasma.github.io/Logging_2283/klagomålsmail/A 26948-2024 FSC-klagomål mail.docx", "A 26948-2024")</f>
        <v/>
      </c>
      <c r="X114">
        <f>HYPERLINK("https://klasma.github.io/Logging_2283/tillsyn/A 26948-2024 tillsynsbegäran.docx", "A 26948-2024")</f>
        <v/>
      </c>
      <c r="Y114">
        <f>HYPERLINK("https://klasma.github.io/Logging_2283/tillsynsmail/A 26948-2024 tillsynsbegäran mail.docx", "A 26948-2024")</f>
        <v/>
      </c>
      <c r="Z114">
        <f>HYPERLINK("https://klasma.github.io/Logging_2283/fåglar/A 26948-2024 prioriterade fågelarter.docx", "A 26948-2024")</f>
        <v/>
      </c>
    </row>
    <row r="115" ht="15" customHeight="1">
      <c r="A115" t="inlineStr">
        <is>
          <t>A 49704-2025</t>
        </is>
      </c>
      <c r="B115" s="1" t="n">
        <v>45939</v>
      </c>
      <c r="C115" s="1" t="n">
        <v>46093</v>
      </c>
      <c r="D115" t="inlineStr">
        <is>
          <t>VÄSTERNORRLANDS LÄN</t>
        </is>
      </c>
      <c r="E115" t="inlineStr">
        <is>
          <t>SOLLEFTEÅ</t>
        </is>
      </c>
      <c r="F115" t="inlineStr">
        <is>
          <t>SCA</t>
        </is>
      </c>
      <c r="G115" t="n">
        <v>1.8</v>
      </c>
      <c r="H115" t="n">
        <v>3</v>
      </c>
      <c r="I115" t="n">
        <v>6</v>
      </c>
      <c r="J115" t="n">
        <v>6</v>
      </c>
      <c r="K115" t="n">
        <v>0</v>
      </c>
      <c r="L115" t="n">
        <v>0</v>
      </c>
      <c r="M115" t="n">
        <v>0</v>
      </c>
      <c r="N115" t="n">
        <v>0</v>
      </c>
      <c r="O115" t="n">
        <v>6</v>
      </c>
      <c r="P115" t="n">
        <v>0</v>
      </c>
      <c r="Q115" t="n">
        <v>12</v>
      </c>
      <c r="R115" s="2" t="inlineStr">
        <is>
          <t>Gammelgransskål
Garnlav
Harticka
Järpe
Lunglav
Tretåig hackspett
Bollvitmossa
Bårdlav
Lappranunkel
Luddlav
Norrlandslav
Ögonpyrola</t>
        </is>
      </c>
      <c r="S115">
        <f>HYPERLINK("https://klasma.github.io/Logging_2283/artfynd/A 49704-2025 artfynd.xlsx", "A 49704-2025")</f>
        <v/>
      </c>
      <c r="T115">
        <f>HYPERLINK("https://klasma.github.io/Logging_2283/kartor/A 49704-2025 karta.png", "A 49704-2025")</f>
        <v/>
      </c>
      <c r="V115">
        <f>HYPERLINK("https://klasma.github.io/Logging_2283/klagomål/A 49704-2025 FSC-klagomål.docx", "A 49704-2025")</f>
        <v/>
      </c>
      <c r="W115">
        <f>HYPERLINK("https://klasma.github.io/Logging_2283/klagomålsmail/A 49704-2025 FSC-klagomål mail.docx", "A 49704-2025")</f>
        <v/>
      </c>
      <c r="X115">
        <f>HYPERLINK("https://klasma.github.io/Logging_2283/tillsyn/A 49704-2025 tillsynsbegäran.docx", "A 49704-2025")</f>
        <v/>
      </c>
      <c r="Y115">
        <f>HYPERLINK("https://klasma.github.io/Logging_2283/tillsynsmail/A 49704-2025 tillsynsbegäran mail.docx", "A 49704-2025")</f>
        <v/>
      </c>
      <c r="Z115">
        <f>HYPERLINK("https://klasma.github.io/Logging_2283/fåglar/A 49704-2025 prioriterade fågelarter.docx", "A 49704-2025")</f>
        <v/>
      </c>
    </row>
    <row r="116" ht="15" customHeight="1">
      <c r="A116" t="inlineStr">
        <is>
          <t>A 37808-2022</t>
        </is>
      </c>
      <c r="B116" s="1" t="n">
        <v>44810</v>
      </c>
      <c r="C116" s="1" t="n">
        <v>46093</v>
      </c>
      <c r="D116" t="inlineStr">
        <is>
          <t>VÄSTERNORRLANDS LÄN</t>
        </is>
      </c>
      <c r="E116" t="inlineStr">
        <is>
          <t>KRAMFORS</t>
        </is>
      </c>
      <c r="G116" t="n">
        <v>1.1</v>
      </c>
      <c r="H116" t="n">
        <v>1</v>
      </c>
      <c r="I116" t="n">
        <v>5</v>
      </c>
      <c r="J116" t="n">
        <v>7</v>
      </c>
      <c r="K116" t="n">
        <v>0</v>
      </c>
      <c r="L116" t="n">
        <v>0</v>
      </c>
      <c r="M116" t="n">
        <v>0</v>
      </c>
      <c r="N116" t="n">
        <v>0</v>
      </c>
      <c r="O116" t="n">
        <v>7</v>
      </c>
      <c r="P116" t="n">
        <v>0</v>
      </c>
      <c r="Q116" t="n">
        <v>12</v>
      </c>
      <c r="R116" s="2" t="inlineStr">
        <is>
          <t>Doftskinn
Gammelgransskål
Garnlav
Lunglav
Spillkråka
Ullticka
Violettgrå tagellav
Bårdlav
Korallblylav
Skinnlav
Stor aspticka
Vedticka</t>
        </is>
      </c>
      <c r="S116">
        <f>HYPERLINK("https://klasma.github.io/Logging_2282/artfynd/A 37808-2022 artfynd.xlsx", "A 37808-2022")</f>
        <v/>
      </c>
      <c r="T116">
        <f>HYPERLINK("https://klasma.github.io/Logging_2282/kartor/A 37808-2022 karta.png", "A 37808-2022")</f>
        <v/>
      </c>
      <c r="V116">
        <f>HYPERLINK("https://klasma.github.io/Logging_2282/klagomål/A 37808-2022 FSC-klagomål.docx", "A 37808-2022")</f>
        <v/>
      </c>
      <c r="W116">
        <f>HYPERLINK("https://klasma.github.io/Logging_2282/klagomålsmail/A 37808-2022 FSC-klagomål mail.docx", "A 37808-2022")</f>
        <v/>
      </c>
      <c r="X116">
        <f>HYPERLINK("https://klasma.github.io/Logging_2282/tillsyn/A 37808-2022 tillsynsbegäran.docx", "A 37808-2022")</f>
        <v/>
      </c>
      <c r="Y116">
        <f>HYPERLINK("https://klasma.github.io/Logging_2282/tillsynsmail/A 37808-2022 tillsynsbegäran mail.docx", "A 37808-2022")</f>
        <v/>
      </c>
      <c r="Z116">
        <f>HYPERLINK("https://klasma.github.io/Logging_2282/fåglar/A 37808-2022 prioriterade fågelarter.docx", "A 37808-2022")</f>
        <v/>
      </c>
    </row>
    <row r="117" ht="15" customHeight="1">
      <c r="A117" t="inlineStr">
        <is>
          <t>A 4839-2025</t>
        </is>
      </c>
      <c r="B117" s="1" t="n">
        <v>45688</v>
      </c>
      <c r="C117" s="1" t="n">
        <v>46093</v>
      </c>
      <c r="D117" t="inlineStr">
        <is>
          <t>VÄSTERNORRLANDS LÄN</t>
        </is>
      </c>
      <c r="E117" t="inlineStr">
        <is>
          <t>SOLLEFTEÅ</t>
        </is>
      </c>
      <c r="F117" t="inlineStr">
        <is>
          <t>SCA</t>
        </is>
      </c>
      <c r="G117" t="n">
        <v>7.9</v>
      </c>
      <c r="H117" t="n">
        <v>5</v>
      </c>
      <c r="I117" t="n">
        <v>1</v>
      </c>
      <c r="J117" t="n">
        <v>10</v>
      </c>
      <c r="K117" t="n">
        <v>1</v>
      </c>
      <c r="L117" t="n">
        <v>0</v>
      </c>
      <c r="M117" t="n">
        <v>0</v>
      </c>
      <c r="N117" t="n">
        <v>0</v>
      </c>
      <c r="O117" t="n">
        <v>11</v>
      </c>
      <c r="P117" t="n">
        <v>1</v>
      </c>
      <c r="Q117" t="n">
        <v>12</v>
      </c>
      <c r="R117" s="2" t="inlineStr">
        <is>
          <t>Knärot
Garnlav
Granticka
Harticka
Järpe
Kolflarnlav
Mörk kolflarnlav
Spillkråka
Talltita
Tretåig hackspett
Ullticka
Dropptaggsvamp</t>
        </is>
      </c>
      <c r="S117">
        <f>HYPERLINK("https://klasma.github.io/Logging_2283/artfynd/A 4839-2025 artfynd.xlsx", "A 4839-2025")</f>
        <v/>
      </c>
      <c r="T117">
        <f>HYPERLINK("https://klasma.github.io/Logging_2283/kartor/A 4839-2025 karta.png", "A 4839-2025")</f>
        <v/>
      </c>
      <c r="U117">
        <f>HYPERLINK("https://klasma.github.io/Logging_2283/knärot/A 4839-2025 karta knärot.png", "A 4839-2025")</f>
        <v/>
      </c>
      <c r="V117">
        <f>HYPERLINK("https://klasma.github.io/Logging_2283/klagomål/A 4839-2025 FSC-klagomål.docx", "A 4839-2025")</f>
        <v/>
      </c>
      <c r="W117">
        <f>HYPERLINK("https://klasma.github.io/Logging_2283/klagomålsmail/A 4839-2025 FSC-klagomål mail.docx", "A 4839-2025")</f>
        <v/>
      </c>
      <c r="X117">
        <f>HYPERLINK("https://klasma.github.io/Logging_2283/tillsyn/A 4839-2025 tillsynsbegäran.docx", "A 4839-2025")</f>
        <v/>
      </c>
      <c r="Y117">
        <f>HYPERLINK("https://klasma.github.io/Logging_2283/tillsynsmail/A 4839-2025 tillsynsbegäran mail.docx", "A 4839-2025")</f>
        <v/>
      </c>
      <c r="Z117">
        <f>HYPERLINK("https://klasma.github.io/Logging_2283/fåglar/A 4839-2025 prioriterade fågelarter.docx", "A 4839-2025")</f>
        <v/>
      </c>
    </row>
    <row r="118" ht="15" customHeight="1">
      <c r="A118" t="inlineStr">
        <is>
          <t>A 51104-2025</t>
        </is>
      </c>
      <c r="B118" s="1" t="n">
        <v>45947</v>
      </c>
      <c r="C118" s="1" t="n">
        <v>46093</v>
      </c>
      <c r="D118" t="inlineStr">
        <is>
          <t>VÄSTERNORRLANDS LÄN</t>
        </is>
      </c>
      <c r="E118" t="inlineStr">
        <is>
          <t>SUNDSVALL</t>
        </is>
      </c>
      <c r="G118" t="n">
        <v>4.2</v>
      </c>
      <c r="H118" t="n">
        <v>7</v>
      </c>
      <c r="I118" t="n">
        <v>2</v>
      </c>
      <c r="J118" t="n">
        <v>4</v>
      </c>
      <c r="K118" t="n">
        <v>2</v>
      </c>
      <c r="L118" t="n">
        <v>0</v>
      </c>
      <c r="M118" t="n">
        <v>0</v>
      </c>
      <c r="N118" t="n">
        <v>0</v>
      </c>
      <c r="O118" t="n">
        <v>6</v>
      </c>
      <c r="P118" t="n">
        <v>2</v>
      </c>
      <c r="Q118" t="n">
        <v>12</v>
      </c>
      <c r="R118" s="2" t="inlineStr">
        <is>
          <t>Knärot
Rynkskinn
Rosenticka
Talltita
Tretåig hackspett
Ullticka
Skinnlav
Vedticka
Kungsfågel
Orre
Blåsippa
Revlummer</t>
        </is>
      </c>
      <c r="S118">
        <f>HYPERLINK("https://klasma.github.io/Logging_2281/artfynd/A 51104-2025 artfynd.xlsx", "A 51104-2025")</f>
        <v/>
      </c>
      <c r="T118">
        <f>HYPERLINK("https://klasma.github.io/Logging_2281/kartor/A 51104-2025 karta.png", "A 51104-2025")</f>
        <v/>
      </c>
      <c r="U118">
        <f>HYPERLINK("https://klasma.github.io/Logging_2281/knärot/A 51104-2025 karta knärot.png", "A 51104-2025")</f>
        <v/>
      </c>
      <c r="V118">
        <f>HYPERLINK("https://klasma.github.io/Logging_2281/klagomål/A 51104-2025 FSC-klagomål.docx", "A 51104-2025")</f>
        <v/>
      </c>
      <c r="W118">
        <f>HYPERLINK("https://klasma.github.io/Logging_2281/klagomålsmail/A 51104-2025 FSC-klagomål mail.docx", "A 51104-2025")</f>
        <v/>
      </c>
      <c r="X118">
        <f>HYPERLINK("https://klasma.github.io/Logging_2281/tillsyn/A 51104-2025 tillsynsbegäran.docx", "A 51104-2025")</f>
        <v/>
      </c>
      <c r="Y118">
        <f>HYPERLINK("https://klasma.github.io/Logging_2281/tillsynsmail/A 51104-2025 tillsynsbegäran mail.docx", "A 51104-2025")</f>
        <v/>
      </c>
      <c r="Z118">
        <f>HYPERLINK("https://klasma.github.io/Logging_2281/fåglar/A 51104-2025 prioriterade fågelarter.docx", "A 51104-2025")</f>
        <v/>
      </c>
    </row>
    <row r="119" ht="15" customHeight="1">
      <c r="A119" t="inlineStr">
        <is>
          <t>A 49355-2025</t>
        </is>
      </c>
      <c r="B119" s="1" t="n">
        <v>45938</v>
      </c>
      <c r="C119" s="1" t="n">
        <v>46093</v>
      </c>
      <c r="D119" t="inlineStr">
        <is>
          <t>VÄSTERNORRLANDS LÄN</t>
        </is>
      </c>
      <c r="E119" t="inlineStr">
        <is>
          <t>HÄRNÖSAND</t>
        </is>
      </c>
      <c r="F119" t="inlineStr">
        <is>
          <t>SCA</t>
        </is>
      </c>
      <c r="G119" t="n">
        <v>10.3</v>
      </c>
      <c r="H119" t="n">
        <v>3</v>
      </c>
      <c r="I119" t="n">
        <v>2</v>
      </c>
      <c r="J119" t="n">
        <v>6</v>
      </c>
      <c r="K119" t="n">
        <v>3</v>
      </c>
      <c r="L119" t="n">
        <v>0</v>
      </c>
      <c r="M119" t="n">
        <v>0</v>
      </c>
      <c r="N119" t="n">
        <v>0</v>
      </c>
      <c r="O119" t="n">
        <v>9</v>
      </c>
      <c r="P119" t="n">
        <v>3</v>
      </c>
      <c r="Q119" t="n">
        <v>12</v>
      </c>
      <c r="R119" s="2" t="inlineStr">
        <is>
          <t>Knärot
Lappticka
Rynkskinn
Garnlav
Kötticka
Lunglav
Rosenticka
Tretåig hackspett
Ullticka
Skinnlav
Vedticka
Revlummer</t>
        </is>
      </c>
      <c r="S119">
        <f>HYPERLINK("https://klasma.github.io/Logging_2280/artfynd/A 49355-2025 artfynd.xlsx", "A 49355-2025")</f>
        <v/>
      </c>
      <c r="T119">
        <f>HYPERLINK("https://klasma.github.io/Logging_2280/kartor/A 49355-2025 karta.png", "A 49355-2025")</f>
        <v/>
      </c>
      <c r="U119">
        <f>HYPERLINK("https://klasma.github.io/Logging_2280/knärot/A 49355-2025 karta knärot.png", "A 49355-2025")</f>
        <v/>
      </c>
      <c r="V119">
        <f>HYPERLINK("https://klasma.github.io/Logging_2280/klagomål/A 49355-2025 FSC-klagomål.docx", "A 49355-2025")</f>
        <v/>
      </c>
      <c r="W119">
        <f>HYPERLINK("https://klasma.github.io/Logging_2280/klagomålsmail/A 49355-2025 FSC-klagomål mail.docx", "A 49355-2025")</f>
        <v/>
      </c>
      <c r="X119">
        <f>HYPERLINK("https://klasma.github.io/Logging_2280/tillsyn/A 49355-2025 tillsynsbegäran.docx", "A 49355-2025")</f>
        <v/>
      </c>
      <c r="Y119">
        <f>HYPERLINK("https://klasma.github.io/Logging_2280/tillsynsmail/A 49355-2025 tillsynsbegäran mail.docx", "A 49355-2025")</f>
        <v/>
      </c>
      <c r="Z119">
        <f>HYPERLINK("https://klasma.github.io/Logging_2280/fåglar/A 49355-2025 prioriterade fågelarter.docx", "A 49355-2025")</f>
        <v/>
      </c>
    </row>
    <row r="120" ht="15" customHeight="1">
      <c r="A120" t="inlineStr">
        <is>
          <t>A 28766-2025</t>
        </is>
      </c>
      <c r="B120" s="1" t="n">
        <v>45820</v>
      </c>
      <c r="C120" s="1" t="n">
        <v>46093</v>
      </c>
      <c r="D120" t="inlineStr">
        <is>
          <t>VÄSTERNORRLANDS LÄN</t>
        </is>
      </c>
      <c r="E120" t="inlineStr">
        <is>
          <t>SUNDSVALL</t>
        </is>
      </c>
      <c r="G120" t="n">
        <v>5.1</v>
      </c>
      <c r="H120" t="n">
        <v>7</v>
      </c>
      <c r="I120" t="n">
        <v>2</v>
      </c>
      <c r="J120" t="n">
        <v>5</v>
      </c>
      <c r="K120" t="n">
        <v>2</v>
      </c>
      <c r="L120" t="n">
        <v>0</v>
      </c>
      <c r="M120" t="n">
        <v>0</v>
      </c>
      <c r="N120" t="n">
        <v>0</v>
      </c>
      <c r="O120" t="n">
        <v>7</v>
      </c>
      <c r="P120" t="n">
        <v>2</v>
      </c>
      <c r="Q120" t="n">
        <v>12</v>
      </c>
      <c r="R120" s="2" t="inlineStr">
        <is>
          <t>Bitter taggsvamp
Knärot
Garnlav
Spillkråka
Talltita
Tretåig hackspett
Ullticka
Dropptaggsvamp
Vedticka
Fläcknycklar
Nattviol
Revlummer</t>
        </is>
      </c>
      <c r="S120">
        <f>HYPERLINK("https://klasma.github.io/Logging_2281/artfynd/A 28766-2025 artfynd.xlsx", "A 28766-2025")</f>
        <v/>
      </c>
      <c r="T120">
        <f>HYPERLINK("https://klasma.github.io/Logging_2281/kartor/A 28766-2025 karta.png", "A 28766-2025")</f>
        <v/>
      </c>
      <c r="U120">
        <f>HYPERLINK("https://klasma.github.io/Logging_2281/knärot/A 28766-2025 karta knärot.png", "A 28766-2025")</f>
        <v/>
      </c>
      <c r="V120">
        <f>HYPERLINK("https://klasma.github.io/Logging_2281/klagomål/A 28766-2025 FSC-klagomål.docx", "A 28766-2025")</f>
        <v/>
      </c>
      <c r="W120">
        <f>HYPERLINK("https://klasma.github.io/Logging_2281/klagomålsmail/A 28766-2025 FSC-klagomål mail.docx", "A 28766-2025")</f>
        <v/>
      </c>
      <c r="X120">
        <f>HYPERLINK("https://klasma.github.io/Logging_2281/tillsyn/A 28766-2025 tillsynsbegäran.docx", "A 28766-2025")</f>
        <v/>
      </c>
      <c r="Y120">
        <f>HYPERLINK("https://klasma.github.io/Logging_2281/tillsynsmail/A 28766-2025 tillsynsbegäran mail.docx", "A 28766-2025")</f>
        <v/>
      </c>
      <c r="Z120">
        <f>HYPERLINK("https://klasma.github.io/Logging_2281/fåglar/A 28766-2025 prioriterade fågelarter.docx", "A 28766-2025")</f>
        <v/>
      </c>
    </row>
    <row r="121" ht="15" customHeight="1">
      <c r="A121" t="inlineStr">
        <is>
          <t>A 3379-2026</t>
        </is>
      </c>
      <c r="B121" s="1" t="n">
        <v>46042</v>
      </c>
      <c r="C121" s="1" t="n">
        <v>46093</v>
      </c>
      <c r="D121" t="inlineStr">
        <is>
          <t>VÄSTERNORRLANDS LÄN</t>
        </is>
      </c>
      <c r="E121" t="inlineStr">
        <is>
          <t>SUNDSVALL</t>
        </is>
      </c>
      <c r="G121" t="n">
        <v>4.3</v>
      </c>
      <c r="H121" t="n">
        <v>1</v>
      </c>
      <c r="I121" t="n">
        <v>7</v>
      </c>
      <c r="J121" t="n">
        <v>5</v>
      </c>
      <c r="K121" t="n">
        <v>0</v>
      </c>
      <c r="L121" t="n">
        <v>0</v>
      </c>
      <c r="M121" t="n">
        <v>0</v>
      </c>
      <c r="N121" t="n">
        <v>0</v>
      </c>
      <c r="O121" t="n">
        <v>5</v>
      </c>
      <c r="P121" t="n">
        <v>0</v>
      </c>
      <c r="Q121" t="n">
        <v>12</v>
      </c>
      <c r="R121" s="2" t="inlineStr">
        <is>
          <t>Garnlav
Lunglav
Rosenticka
Tretåig hackspett
Ullticka
Bårdlav
Korallblylav
Luddlav
Skinnlav
Stuplav
Vedticka
Vågbandad barkbock</t>
        </is>
      </c>
      <c r="S121">
        <f>HYPERLINK("https://klasma.github.io/Logging_2281/artfynd/A 3379-2026 artfynd.xlsx", "A 3379-2026")</f>
        <v/>
      </c>
      <c r="T121">
        <f>HYPERLINK("https://klasma.github.io/Logging_2281/kartor/A 3379-2026 karta.png", "A 3379-2026")</f>
        <v/>
      </c>
      <c r="V121">
        <f>HYPERLINK("https://klasma.github.io/Logging_2281/klagomål/A 3379-2026 FSC-klagomål.docx", "A 3379-2026")</f>
        <v/>
      </c>
      <c r="W121">
        <f>HYPERLINK("https://klasma.github.io/Logging_2281/klagomålsmail/A 3379-2026 FSC-klagomål mail.docx", "A 3379-2026")</f>
        <v/>
      </c>
      <c r="X121">
        <f>HYPERLINK("https://klasma.github.io/Logging_2281/tillsyn/A 3379-2026 tillsynsbegäran.docx", "A 3379-2026")</f>
        <v/>
      </c>
      <c r="Y121">
        <f>HYPERLINK("https://klasma.github.io/Logging_2281/tillsynsmail/A 3379-2026 tillsynsbegäran mail.docx", "A 3379-2026")</f>
        <v/>
      </c>
      <c r="Z121">
        <f>HYPERLINK("https://klasma.github.io/Logging_2281/fåglar/A 3379-2026 prioriterade fågelarter.docx", "A 3379-2026")</f>
        <v/>
      </c>
    </row>
    <row r="122" ht="15" customHeight="1">
      <c r="A122" t="inlineStr">
        <is>
          <t>A 39198-2025</t>
        </is>
      </c>
      <c r="B122" s="1" t="n">
        <v>45888</v>
      </c>
      <c r="C122" s="1" t="n">
        <v>46093</v>
      </c>
      <c r="D122" t="inlineStr">
        <is>
          <t>VÄSTERNORRLANDS LÄN</t>
        </is>
      </c>
      <c r="E122" t="inlineStr">
        <is>
          <t>SOLLEFTEÅ</t>
        </is>
      </c>
      <c r="G122" t="n">
        <v>5.6</v>
      </c>
      <c r="H122" t="n">
        <v>4</v>
      </c>
      <c r="I122" t="n">
        <v>3</v>
      </c>
      <c r="J122" t="n">
        <v>6</v>
      </c>
      <c r="K122" t="n">
        <v>3</v>
      </c>
      <c r="L122" t="n">
        <v>0</v>
      </c>
      <c r="M122" t="n">
        <v>0</v>
      </c>
      <c r="N122" t="n">
        <v>0</v>
      </c>
      <c r="O122" t="n">
        <v>9</v>
      </c>
      <c r="P122" t="n">
        <v>3</v>
      </c>
      <c r="Q122" t="n">
        <v>12</v>
      </c>
      <c r="R122" s="2" t="inlineStr">
        <is>
          <t>Doftticka
Knärot
Rynkskinn
Garnlav
Lunglav
Mörk kolflarnlav
Talltita
Tretåig hackspett
Ullticka
Bårdlav
Dropptaggsvamp
Stuplav</t>
        </is>
      </c>
      <c r="S122">
        <f>HYPERLINK("https://klasma.github.io/Logging_2283/artfynd/A 39198-2025 artfynd.xlsx", "A 39198-2025")</f>
        <v/>
      </c>
      <c r="T122">
        <f>HYPERLINK("https://klasma.github.io/Logging_2283/kartor/A 39198-2025 karta.png", "A 39198-2025")</f>
        <v/>
      </c>
      <c r="U122">
        <f>HYPERLINK("https://klasma.github.io/Logging_2283/knärot/A 39198-2025 karta knärot.png", "A 39198-2025")</f>
        <v/>
      </c>
      <c r="V122">
        <f>HYPERLINK("https://klasma.github.io/Logging_2283/klagomål/A 39198-2025 FSC-klagomål.docx", "A 39198-2025")</f>
        <v/>
      </c>
      <c r="W122">
        <f>HYPERLINK("https://klasma.github.io/Logging_2283/klagomålsmail/A 39198-2025 FSC-klagomål mail.docx", "A 39198-2025")</f>
        <v/>
      </c>
      <c r="X122">
        <f>HYPERLINK("https://klasma.github.io/Logging_2283/tillsyn/A 39198-2025 tillsynsbegäran.docx", "A 39198-2025")</f>
        <v/>
      </c>
      <c r="Y122">
        <f>HYPERLINK("https://klasma.github.io/Logging_2283/tillsynsmail/A 39198-2025 tillsynsbegäran mail.docx", "A 39198-2025")</f>
        <v/>
      </c>
      <c r="Z122">
        <f>HYPERLINK("https://klasma.github.io/Logging_2283/fåglar/A 39198-2025 prioriterade fågelarter.docx", "A 39198-2025")</f>
        <v/>
      </c>
    </row>
    <row r="123" ht="15" customHeight="1">
      <c r="A123" t="inlineStr">
        <is>
          <t>A 42309-2021</t>
        </is>
      </c>
      <c r="B123" s="1" t="n">
        <v>44427</v>
      </c>
      <c r="C123" s="1" t="n">
        <v>46093</v>
      </c>
      <c r="D123" t="inlineStr">
        <is>
          <t>VÄSTERNORRLANDS LÄN</t>
        </is>
      </c>
      <c r="E123" t="inlineStr">
        <is>
          <t>ÅNGE</t>
        </is>
      </c>
      <c r="F123" t="inlineStr">
        <is>
          <t>Sveaskog</t>
        </is>
      </c>
      <c r="G123" t="n">
        <v>2.5</v>
      </c>
      <c r="H123" t="n">
        <v>1</v>
      </c>
      <c r="I123" t="n">
        <v>2</v>
      </c>
      <c r="J123" t="n">
        <v>8</v>
      </c>
      <c r="K123" t="n">
        <v>0</v>
      </c>
      <c r="L123" t="n">
        <v>1</v>
      </c>
      <c r="M123" t="n">
        <v>0</v>
      </c>
      <c r="N123" t="n">
        <v>0</v>
      </c>
      <c r="O123" t="n">
        <v>9</v>
      </c>
      <c r="P123" t="n">
        <v>1</v>
      </c>
      <c r="Q123" t="n">
        <v>11</v>
      </c>
      <c r="R123" s="2" t="inlineStr">
        <is>
          <t>Urskogsticka
Doftskinn
Gammelgransskål
Garnlav
Lunglav
Nordtagging
Tretåig hackspett
Ullticka
Vedtrappmossa
Kattfotslav
Skinnlav</t>
        </is>
      </c>
      <c r="S123">
        <f>HYPERLINK("https://klasma.github.io/Logging_2260/artfynd/A 42309-2021 artfynd.xlsx", "A 42309-2021")</f>
        <v/>
      </c>
      <c r="T123">
        <f>HYPERLINK("https://klasma.github.io/Logging_2260/kartor/A 42309-2021 karta.png", "A 42309-2021")</f>
        <v/>
      </c>
      <c r="V123">
        <f>HYPERLINK("https://klasma.github.io/Logging_2260/klagomål/A 42309-2021 FSC-klagomål.docx", "A 42309-2021")</f>
        <v/>
      </c>
      <c r="W123">
        <f>HYPERLINK("https://klasma.github.io/Logging_2260/klagomålsmail/A 42309-2021 FSC-klagomål mail.docx", "A 42309-2021")</f>
        <v/>
      </c>
      <c r="X123">
        <f>HYPERLINK("https://klasma.github.io/Logging_2260/tillsyn/A 42309-2021 tillsynsbegäran.docx", "A 42309-2021")</f>
        <v/>
      </c>
      <c r="Y123">
        <f>HYPERLINK("https://klasma.github.io/Logging_2260/tillsynsmail/A 42309-2021 tillsynsbegäran mail.docx", "A 42309-2021")</f>
        <v/>
      </c>
      <c r="Z123">
        <f>HYPERLINK("https://klasma.github.io/Logging_2260/fåglar/A 42309-2021 prioriterade fågelarter.docx", "A 42309-2021")</f>
        <v/>
      </c>
    </row>
    <row r="124" ht="15" customHeight="1">
      <c r="A124" t="inlineStr">
        <is>
          <t>A 34225-2025</t>
        </is>
      </c>
      <c r="B124" s="1" t="n">
        <v>45845.65666666667</v>
      </c>
      <c r="C124" s="1" t="n">
        <v>46093</v>
      </c>
      <c r="D124" t="inlineStr">
        <is>
          <t>VÄSTERNORRLANDS LÄN</t>
        </is>
      </c>
      <c r="E124" t="inlineStr">
        <is>
          <t>TIMRÅ</t>
        </is>
      </c>
      <c r="F124" t="inlineStr">
        <is>
          <t>SCA</t>
        </is>
      </c>
      <c r="G124" t="n">
        <v>2.8</v>
      </c>
      <c r="H124" t="n">
        <v>0</v>
      </c>
      <c r="I124" t="n">
        <v>3</v>
      </c>
      <c r="J124" t="n">
        <v>8</v>
      </c>
      <c r="K124" t="n">
        <v>0</v>
      </c>
      <c r="L124" t="n">
        <v>0</v>
      </c>
      <c r="M124" t="n">
        <v>0</v>
      </c>
      <c r="N124" t="n">
        <v>0</v>
      </c>
      <c r="O124" t="n">
        <v>8</v>
      </c>
      <c r="P124" t="n">
        <v>0</v>
      </c>
      <c r="Q124" t="n">
        <v>11</v>
      </c>
      <c r="R124" s="2" t="inlineStr">
        <is>
          <t>Doftskinn
Garnlav
Kortskaftad ärgspik
Lunglav
Motaggsvamp
Ullticka
Vedskivlav
Vedtrappmossa
Bårdlav
Stuplav
Vedticka</t>
        </is>
      </c>
      <c r="S124">
        <f>HYPERLINK("https://klasma.github.io/Logging_2262/artfynd/A 34225-2025 artfynd.xlsx", "A 34225-2025")</f>
        <v/>
      </c>
      <c r="T124">
        <f>HYPERLINK("https://klasma.github.io/Logging_2262/kartor/A 34225-2025 karta.png", "A 34225-2025")</f>
        <v/>
      </c>
      <c r="V124">
        <f>HYPERLINK("https://klasma.github.io/Logging_2262/klagomål/A 34225-2025 FSC-klagomål.docx", "A 34225-2025")</f>
        <v/>
      </c>
      <c r="W124">
        <f>HYPERLINK("https://klasma.github.io/Logging_2262/klagomålsmail/A 34225-2025 FSC-klagomål mail.docx", "A 34225-2025")</f>
        <v/>
      </c>
      <c r="X124">
        <f>HYPERLINK("https://klasma.github.io/Logging_2262/tillsyn/A 34225-2025 tillsynsbegäran.docx", "A 34225-2025")</f>
        <v/>
      </c>
      <c r="Y124">
        <f>HYPERLINK("https://klasma.github.io/Logging_2262/tillsynsmail/A 34225-2025 tillsynsbegäran mail.docx", "A 34225-2025")</f>
        <v/>
      </c>
    </row>
    <row r="125" ht="15" customHeight="1">
      <c r="A125" t="inlineStr">
        <is>
          <t>A 14887-2022</t>
        </is>
      </c>
      <c r="B125" s="1" t="n">
        <v>44656</v>
      </c>
      <c r="C125" s="1" t="n">
        <v>46093</v>
      </c>
      <c r="D125" t="inlineStr">
        <is>
          <t>VÄSTERNORRLANDS LÄN</t>
        </is>
      </c>
      <c r="E125" t="inlineStr">
        <is>
          <t>ÅNGE</t>
        </is>
      </c>
      <c r="G125" t="n">
        <v>6.8</v>
      </c>
      <c r="H125" t="n">
        <v>1</v>
      </c>
      <c r="I125" t="n">
        <v>2</v>
      </c>
      <c r="J125" t="n">
        <v>7</v>
      </c>
      <c r="K125" t="n">
        <v>2</v>
      </c>
      <c r="L125" t="n">
        <v>0</v>
      </c>
      <c r="M125" t="n">
        <v>0</v>
      </c>
      <c r="N125" t="n">
        <v>0</v>
      </c>
      <c r="O125" t="n">
        <v>9</v>
      </c>
      <c r="P125" t="n">
        <v>2</v>
      </c>
      <c r="Q125" t="n">
        <v>11</v>
      </c>
      <c r="R125" s="2" t="inlineStr">
        <is>
          <t>Bitter taggsvamp
Knärot
Garnlav
Gultoppig fingersvamp
Lunglav
Rosenticka
Svartvit taggsvamp
Ullticka
Äggvaxskivling
Dropptaggsvamp
Skarp dropptaggsvamp</t>
        </is>
      </c>
      <c r="S125">
        <f>HYPERLINK("https://klasma.github.io/Logging_2260/artfynd/A 14887-2022 artfynd.xlsx", "A 14887-2022")</f>
        <v/>
      </c>
      <c r="T125">
        <f>HYPERLINK("https://klasma.github.io/Logging_2260/kartor/A 14887-2022 karta.png", "A 14887-2022")</f>
        <v/>
      </c>
      <c r="U125">
        <f>HYPERLINK("https://klasma.github.io/Logging_2260/knärot/A 14887-2022 karta knärot.png", "A 14887-2022")</f>
        <v/>
      </c>
      <c r="V125">
        <f>HYPERLINK("https://klasma.github.io/Logging_2260/klagomål/A 14887-2022 FSC-klagomål.docx", "A 14887-2022")</f>
        <v/>
      </c>
      <c r="W125">
        <f>HYPERLINK("https://klasma.github.io/Logging_2260/klagomålsmail/A 14887-2022 FSC-klagomål mail.docx", "A 14887-2022")</f>
        <v/>
      </c>
      <c r="X125">
        <f>HYPERLINK("https://klasma.github.io/Logging_2260/tillsyn/A 14887-2022 tillsynsbegäran.docx", "A 14887-2022")</f>
        <v/>
      </c>
      <c r="Y125">
        <f>HYPERLINK("https://klasma.github.io/Logging_2260/tillsynsmail/A 14887-2022 tillsynsbegäran mail.docx", "A 14887-2022")</f>
        <v/>
      </c>
    </row>
    <row r="126" ht="15" customHeight="1">
      <c r="A126" t="inlineStr">
        <is>
          <t>A 41874-2025</t>
        </is>
      </c>
      <c r="B126" s="1" t="n">
        <v>45903.3452662037</v>
      </c>
      <c r="C126" s="1" t="n">
        <v>46093</v>
      </c>
      <c r="D126" t="inlineStr">
        <is>
          <t>VÄSTERNORRLANDS LÄN</t>
        </is>
      </c>
      <c r="E126" t="inlineStr">
        <is>
          <t>ÅNGE</t>
        </is>
      </c>
      <c r="F126" t="inlineStr">
        <is>
          <t>SCA</t>
        </is>
      </c>
      <c r="G126" t="n">
        <v>5.7</v>
      </c>
      <c r="H126" t="n">
        <v>4</v>
      </c>
      <c r="I126" t="n">
        <v>5</v>
      </c>
      <c r="J126" t="n">
        <v>4</v>
      </c>
      <c r="K126" t="n">
        <v>0</v>
      </c>
      <c r="L126" t="n">
        <v>0</v>
      </c>
      <c r="M126" t="n">
        <v>0</v>
      </c>
      <c r="N126" t="n">
        <v>0</v>
      </c>
      <c r="O126" t="n">
        <v>4</v>
      </c>
      <c r="P126" t="n">
        <v>0</v>
      </c>
      <c r="Q126" t="n">
        <v>11</v>
      </c>
      <c r="R126" s="2" t="inlineStr">
        <is>
          <t>Garnlav
Granticka
Lunglav
Ullticka
Korallrot
Spindelblomster
Stuplav
Vedticka
Ögonpyrola
Fläcknycklar
Revlummer</t>
        </is>
      </c>
      <c r="S126">
        <f>HYPERLINK("https://klasma.github.io/Logging_2260/artfynd/A 41874-2025 artfynd.xlsx", "A 41874-2025")</f>
        <v/>
      </c>
      <c r="T126">
        <f>HYPERLINK("https://klasma.github.io/Logging_2260/kartor/A 41874-2025 karta.png", "A 41874-2025")</f>
        <v/>
      </c>
      <c r="V126">
        <f>HYPERLINK("https://klasma.github.io/Logging_2260/klagomål/A 41874-2025 FSC-klagomål.docx", "A 41874-2025")</f>
        <v/>
      </c>
      <c r="W126">
        <f>HYPERLINK("https://klasma.github.io/Logging_2260/klagomålsmail/A 41874-2025 FSC-klagomål mail.docx", "A 41874-2025")</f>
        <v/>
      </c>
      <c r="X126">
        <f>HYPERLINK("https://klasma.github.io/Logging_2260/tillsyn/A 41874-2025 tillsynsbegäran.docx", "A 41874-2025")</f>
        <v/>
      </c>
      <c r="Y126">
        <f>HYPERLINK("https://klasma.github.io/Logging_2260/tillsynsmail/A 41874-2025 tillsynsbegäran mail.docx", "A 41874-2025")</f>
        <v/>
      </c>
    </row>
    <row r="127" ht="15" customHeight="1">
      <c r="A127" t="inlineStr">
        <is>
          <t>A 11894-2022</t>
        </is>
      </c>
      <c r="B127" s="1" t="n">
        <v>44635</v>
      </c>
      <c r="C127" s="1" t="n">
        <v>46093</v>
      </c>
      <c r="D127" t="inlineStr">
        <is>
          <t>VÄSTERNORRLANDS LÄN</t>
        </is>
      </c>
      <c r="E127" t="inlineStr">
        <is>
          <t>ÅNGE</t>
        </is>
      </c>
      <c r="G127" t="n">
        <v>10.6</v>
      </c>
      <c r="H127" t="n">
        <v>4</v>
      </c>
      <c r="I127" t="n">
        <v>2</v>
      </c>
      <c r="J127" t="n">
        <v>7</v>
      </c>
      <c r="K127" t="n">
        <v>1</v>
      </c>
      <c r="L127" t="n">
        <v>0</v>
      </c>
      <c r="M127" t="n">
        <v>0</v>
      </c>
      <c r="N127" t="n">
        <v>0</v>
      </c>
      <c r="O127" t="n">
        <v>8</v>
      </c>
      <c r="P127" t="n">
        <v>1</v>
      </c>
      <c r="Q127" t="n">
        <v>11</v>
      </c>
      <c r="R127" s="2" t="inlineStr">
        <is>
          <t>Rynkskinn
Gammelgransskål
Garnlav
Granticka
Spillkråka
Tretåig hackspett
Ullticka
Vitgrynig nållav
Plattlummer
Vedticka
Fläcknycklar</t>
        </is>
      </c>
      <c r="S127">
        <f>HYPERLINK("https://klasma.github.io/Logging_2260/artfynd/A 11894-2022 artfynd.xlsx", "A 11894-2022")</f>
        <v/>
      </c>
      <c r="T127">
        <f>HYPERLINK("https://klasma.github.io/Logging_2260/kartor/A 11894-2022 karta.png", "A 11894-2022")</f>
        <v/>
      </c>
      <c r="V127">
        <f>HYPERLINK("https://klasma.github.io/Logging_2260/klagomål/A 11894-2022 FSC-klagomål.docx", "A 11894-2022")</f>
        <v/>
      </c>
      <c r="W127">
        <f>HYPERLINK("https://klasma.github.io/Logging_2260/klagomålsmail/A 11894-2022 FSC-klagomål mail.docx", "A 11894-2022")</f>
        <v/>
      </c>
      <c r="X127">
        <f>HYPERLINK("https://klasma.github.io/Logging_2260/tillsyn/A 11894-2022 tillsynsbegäran.docx", "A 11894-2022")</f>
        <v/>
      </c>
      <c r="Y127">
        <f>HYPERLINK("https://klasma.github.io/Logging_2260/tillsynsmail/A 11894-2022 tillsynsbegäran mail.docx", "A 11894-2022")</f>
        <v/>
      </c>
      <c r="Z127">
        <f>HYPERLINK("https://klasma.github.io/Logging_2260/fåglar/A 11894-2022 prioriterade fågelarter.docx", "A 11894-2022")</f>
        <v/>
      </c>
    </row>
    <row r="128" ht="15" customHeight="1">
      <c r="A128" t="inlineStr">
        <is>
          <t>A 18563-2022</t>
        </is>
      </c>
      <c r="B128" s="1" t="n">
        <v>44686</v>
      </c>
      <c r="C128" s="1" t="n">
        <v>46093</v>
      </c>
      <c r="D128" t="inlineStr">
        <is>
          <t>VÄSTERNORRLANDS LÄN</t>
        </is>
      </c>
      <c r="E128" t="inlineStr">
        <is>
          <t>HÄRNÖSAND</t>
        </is>
      </c>
      <c r="F128" t="inlineStr">
        <is>
          <t>SCA</t>
        </is>
      </c>
      <c r="G128" t="n">
        <v>17.5</v>
      </c>
      <c r="H128" t="n">
        <v>1</v>
      </c>
      <c r="I128" t="n">
        <v>5</v>
      </c>
      <c r="J128" t="n">
        <v>5</v>
      </c>
      <c r="K128" t="n">
        <v>1</v>
      </c>
      <c r="L128" t="n">
        <v>0</v>
      </c>
      <c r="M128" t="n">
        <v>0</v>
      </c>
      <c r="N128" t="n">
        <v>0</v>
      </c>
      <c r="O128" t="n">
        <v>6</v>
      </c>
      <c r="P128" t="n">
        <v>1</v>
      </c>
      <c r="Q128" t="n">
        <v>11</v>
      </c>
      <c r="R128" s="2" t="inlineStr">
        <is>
          <t>Rynkskinn
Garnlav
Granticka
Rosenticka
Sötgräs
Ullticka
Dvärghäxört
Strutbräken
Tibast
Trådticka
Vedticka</t>
        </is>
      </c>
      <c r="S128">
        <f>HYPERLINK("https://klasma.github.io/Logging_2280/artfynd/A 18563-2022 artfynd.xlsx", "A 18563-2022")</f>
        <v/>
      </c>
      <c r="T128">
        <f>HYPERLINK("https://klasma.github.io/Logging_2280/kartor/A 18563-2022 karta.png", "A 18563-2022")</f>
        <v/>
      </c>
      <c r="V128">
        <f>HYPERLINK("https://klasma.github.io/Logging_2280/klagomål/A 18563-2022 FSC-klagomål.docx", "A 18563-2022")</f>
        <v/>
      </c>
      <c r="W128">
        <f>HYPERLINK("https://klasma.github.io/Logging_2280/klagomålsmail/A 18563-2022 FSC-klagomål mail.docx", "A 18563-2022")</f>
        <v/>
      </c>
      <c r="X128">
        <f>HYPERLINK("https://klasma.github.io/Logging_2280/tillsyn/A 18563-2022 tillsynsbegäran.docx", "A 18563-2022")</f>
        <v/>
      </c>
      <c r="Y128">
        <f>HYPERLINK("https://klasma.github.io/Logging_2280/tillsynsmail/A 18563-2022 tillsynsbegäran mail.docx", "A 18563-2022")</f>
        <v/>
      </c>
    </row>
    <row r="129" ht="15" customHeight="1">
      <c r="A129" t="inlineStr">
        <is>
          <t>A 16388-2023</t>
        </is>
      </c>
      <c r="B129" s="1" t="n">
        <v>45022</v>
      </c>
      <c r="C129" s="1" t="n">
        <v>46093</v>
      </c>
      <c r="D129" t="inlineStr">
        <is>
          <t>VÄSTERNORRLANDS LÄN</t>
        </is>
      </c>
      <c r="E129" t="inlineStr">
        <is>
          <t>SUNDSVALL</t>
        </is>
      </c>
      <c r="G129" t="n">
        <v>10.1</v>
      </c>
      <c r="H129" t="n">
        <v>1</v>
      </c>
      <c r="I129" t="n">
        <v>2</v>
      </c>
      <c r="J129" t="n">
        <v>7</v>
      </c>
      <c r="K129" t="n">
        <v>2</v>
      </c>
      <c r="L129" t="n">
        <v>0</v>
      </c>
      <c r="M129" t="n">
        <v>0</v>
      </c>
      <c r="N129" t="n">
        <v>0</v>
      </c>
      <c r="O129" t="n">
        <v>9</v>
      </c>
      <c r="P129" t="n">
        <v>2</v>
      </c>
      <c r="Q129" t="n">
        <v>11</v>
      </c>
      <c r="R129" s="2" t="inlineStr">
        <is>
          <t>Aspgelélav
Knärot
Garnlav
Kötticka
Lunglav
Orange taggsvamp
Rosenticka
Ullticka
Vedskivlav
Björksplintborre
Stor aspticka</t>
        </is>
      </c>
      <c r="S129">
        <f>HYPERLINK("https://klasma.github.io/Logging_2281/artfynd/A 16388-2023 artfynd.xlsx", "A 16388-2023")</f>
        <v/>
      </c>
      <c r="T129">
        <f>HYPERLINK("https://klasma.github.io/Logging_2281/kartor/A 16388-2023 karta.png", "A 16388-2023")</f>
        <v/>
      </c>
      <c r="U129">
        <f>HYPERLINK("https://klasma.github.io/Logging_2281/knärot/A 16388-2023 karta knärot.png", "A 16388-2023")</f>
        <v/>
      </c>
      <c r="V129">
        <f>HYPERLINK("https://klasma.github.io/Logging_2281/klagomål/A 16388-2023 FSC-klagomål.docx", "A 16388-2023")</f>
        <v/>
      </c>
      <c r="W129">
        <f>HYPERLINK("https://klasma.github.io/Logging_2281/klagomålsmail/A 16388-2023 FSC-klagomål mail.docx", "A 16388-2023")</f>
        <v/>
      </c>
      <c r="X129">
        <f>HYPERLINK("https://klasma.github.io/Logging_2281/tillsyn/A 16388-2023 tillsynsbegäran.docx", "A 16388-2023")</f>
        <v/>
      </c>
      <c r="Y129">
        <f>HYPERLINK("https://klasma.github.io/Logging_2281/tillsynsmail/A 16388-2023 tillsynsbegäran mail.docx", "A 16388-2023")</f>
        <v/>
      </c>
    </row>
    <row r="130" ht="15" customHeight="1">
      <c r="A130" t="inlineStr">
        <is>
          <t>A 41454-2024</t>
        </is>
      </c>
      <c r="B130" s="1" t="n">
        <v>45560</v>
      </c>
      <c r="C130" s="1" t="n">
        <v>46093</v>
      </c>
      <c r="D130" t="inlineStr">
        <is>
          <t>VÄSTERNORRLANDS LÄN</t>
        </is>
      </c>
      <c r="E130" t="inlineStr">
        <is>
          <t>ÖRNSKÖLDSVIK</t>
        </is>
      </c>
      <c r="F130" t="inlineStr">
        <is>
          <t>Holmen skog AB</t>
        </is>
      </c>
      <c r="G130" t="n">
        <v>3.4</v>
      </c>
      <c r="H130" t="n">
        <v>3</v>
      </c>
      <c r="I130" t="n">
        <v>6</v>
      </c>
      <c r="J130" t="n">
        <v>4</v>
      </c>
      <c r="K130" t="n">
        <v>0</v>
      </c>
      <c r="L130" t="n">
        <v>0</v>
      </c>
      <c r="M130" t="n">
        <v>0</v>
      </c>
      <c r="N130" t="n">
        <v>0</v>
      </c>
      <c r="O130" t="n">
        <v>4</v>
      </c>
      <c r="P130" t="n">
        <v>0</v>
      </c>
      <c r="Q130" t="n">
        <v>11</v>
      </c>
      <c r="R130" s="2" t="inlineStr">
        <is>
          <t>Garnlav
Gultoppig fingersvamp
Lunglav
Skogsfru
Bårdlav
Mörk husmossa
Spindelblomster
Stuplav
Vedticka
Ögonpyrola
Revlummer</t>
        </is>
      </c>
      <c r="S130">
        <f>HYPERLINK("https://klasma.github.io/Logging_2284/artfynd/A 41454-2024 artfynd.xlsx", "A 41454-2024")</f>
        <v/>
      </c>
      <c r="T130">
        <f>HYPERLINK("https://klasma.github.io/Logging_2284/kartor/A 41454-2024 karta.png", "A 41454-2024")</f>
        <v/>
      </c>
      <c r="V130">
        <f>HYPERLINK("https://klasma.github.io/Logging_2284/klagomål/A 41454-2024 FSC-klagomål.docx", "A 41454-2024")</f>
        <v/>
      </c>
      <c r="W130">
        <f>HYPERLINK("https://klasma.github.io/Logging_2284/klagomålsmail/A 41454-2024 FSC-klagomål mail.docx", "A 41454-2024")</f>
        <v/>
      </c>
      <c r="X130">
        <f>HYPERLINK("https://klasma.github.io/Logging_2284/tillsyn/A 41454-2024 tillsynsbegäran.docx", "A 41454-2024")</f>
        <v/>
      </c>
      <c r="Y130">
        <f>HYPERLINK("https://klasma.github.io/Logging_2284/tillsynsmail/A 41454-2024 tillsynsbegäran mail.docx", "A 41454-2024")</f>
        <v/>
      </c>
    </row>
    <row r="131" ht="15" customHeight="1">
      <c r="A131" t="inlineStr">
        <is>
          <t>A 61326-2024</t>
        </is>
      </c>
      <c r="B131" s="1" t="n">
        <v>45646</v>
      </c>
      <c r="C131" s="1" t="n">
        <v>46093</v>
      </c>
      <c r="D131" t="inlineStr">
        <is>
          <t>VÄSTERNORRLANDS LÄN</t>
        </is>
      </c>
      <c r="E131" t="inlineStr">
        <is>
          <t>SOLLEFTEÅ</t>
        </is>
      </c>
      <c r="F131" t="inlineStr">
        <is>
          <t>SCA</t>
        </is>
      </c>
      <c r="G131" t="n">
        <v>7.9</v>
      </c>
      <c r="H131" t="n">
        <v>1</v>
      </c>
      <c r="I131" t="n">
        <v>1</v>
      </c>
      <c r="J131" t="n">
        <v>10</v>
      </c>
      <c r="K131" t="n">
        <v>0</v>
      </c>
      <c r="L131" t="n">
        <v>0</v>
      </c>
      <c r="M131" t="n">
        <v>0</v>
      </c>
      <c r="N131" t="n">
        <v>0</v>
      </c>
      <c r="O131" t="n">
        <v>10</v>
      </c>
      <c r="P131" t="n">
        <v>0</v>
      </c>
      <c r="Q131" t="n">
        <v>11</v>
      </c>
      <c r="R131" s="2" t="inlineStr">
        <is>
          <t>Gammelgransskål
Garnlav
Granticka
Lunglav
Mörk kolflarnlav
Skrovellav
Stiftgelélav
Tretåig hackspett
Ullticka
Vitgrynig nållav
Luddlav</t>
        </is>
      </c>
      <c r="S131">
        <f>HYPERLINK("https://klasma.github.io/Logging_2283/artfynd/A 61326-2024 artfynd.xlsx", "A 61326-2024")</f>
        <v/>
      </c>
      <c r="T131">
        <f>HYPERLINK("https://klasma.github.io/Logging_2283/kartor/A 61326-2024 karta.png", "A 61326-2024")</f>
        <v/>
      </c>
      <c r="U131">
        <f>HYPERLINK("https://klasma.github.io/Logging_2283/knärot/A 61326-2024 karta knärot.png", "A 61326-2024")</f>
        <v/>
      </c>
      <c r="V131">
        <f>HYPERLINK("https://klasma.github.io/Logging_2283/klagomål/A 61326-2024 FSC-klagomål.docx", "A 61326-2024")</f>
        <v/>
      </c>
      <c r="W131">
        <f>HYPERLINK("https://klasma.github.io/Logging_2283/klagomålsmail/A 61326-2024 FSC-klagomål mail.docx", "A 61326-2024")</f>
        <v/>
      </c>
      <c r="X131">
        <f>HYPERLINK("https://klasma.github.io/Logging_2283/tillsyn/A 61326-2024 tillsynsbegäran.docx", "A 61326-2024")</f>
        <v/>
      </c>
      <c r="Y131">
        <f>HYPERLINK("https://klasma.github.io/Logging_2283/tillsynsmail/A 61326-2024 tillsynsbegäran mail.docx", "A 61326-2024")</f>
        <v/>
      </c>
      <c r="Z131">
        <f>HYPERLINK("https://klasma.github.io/Logging_2283/fåglar/A 61326-2024 prioriterade fågelarter.docx", "A 61326-2024")</f>
        <v/>
      </c>
    </row>
    <row r="132" ht="15" customHeight="1">
      <c r="A132" t="inlineStr">
        <is>
          <t>A 22449-2024</t>
        </is>
      </c>
      <c r="B132" s="1" t="n">
        <v>45446</v>
      </c>
      <c r="C132" s="1" t="n">
        <v>46093</v>
      </c>
      <c r="D132" t="inlineStr">
        <is>
          <t>VÄSTERNORRLANDS LÄN</t>
        </is>
      </c>
      <c r="E132" t="inlineStr">
        <is>
          <t>SOLLEFTEÅ</t>
        </is>
      </c>
      <c r="F132" t="inlineStr">
        <is>
          <t>SCA</t>
        </is>
      </c>
      <c r="G132" t="n">
        <v>7.2</v>
      </c>
      <c r="H132" t="n">
        <v>3</v>
      </c>
      <c r="I132" t="n">
        <v>3</v>
      </c>
      <c r="J132" t="n">
        <v>7</v>
      </c>
      <c r="K132" t="n">
        <v>0</v>
      </c>
      <c r="L132" t="n">
        <v>0</v>
      </c>
      <c r="M132" t="n">
        <v>0</v>
      </c>
      <c r="N132" t="n">
        <v>0</v>
      </c>
      <c r="O132" t="n">
        <v>7</v>
      </c>
      <c r="P132" t="n">
        <v>0</v>
      </c>
      <c r="Q132" t="n">
        <v>11</v>
      </c>
      <c r="R132" s="2" t="inlineStr">
        <is>
          <t>Blå taggsvamp
Dvärgbägarlav
Gammelgransskål
Kolflarnlav
Skrovlig taggsvamp
Tretåig hackspett
Vedskivlav
Dropptaggsvamp
Skarp dropptaggsvamp
Spindelblomster
Vanlig padda</t>
        </is>
      </c>
      <c r="S132">
        <f>HYPERLINK("https://klasma.github.io/Logging_2283/artfynd/A 22449-2024 artfynd.xlsx", "A 22449-2024")</f>
        <v/>
      </c>
      <c r="T132">
        <f>HYPERLINK("https://klasma.github.io/Logging_2283/kartor/A 22449-2024 karta.png", "A 22449-2024")</f>
        <v/>
      </c>
      <c r="U132">
        <f>HYPERLINK("https://klasma.github.io/Logging_2283/knärot/A 22449-2024 karta knärot.png", "A 22449-2024")</f>
        <v/>
      </c>
      <c r="V132">
        <f>HYPERLINK("https://klasma.github.io/Logging_2283/klagomål/A 22449-2024 FSC-klagomål.docx", "A 22449-2024")</f>
        <v/>
      </c>
      <c r="W132">
        <f>HYPERLINK("https://klasma.github.io/Logging_2283/klagomålsmail/A 22449-2024 FSC-klagomål mail.docx", "A 22449-2024")</f>
        <v/>
      </c>
      <c r="X132">
        <f>HYPERLINK("https://klasma.github.io/Logging_2283/tillsyn/A 22449-2024 tillsynsbegäran.docx", "A 22449-2024")</f>
        <v/>
      </c>
      <c r="Y132">
        <f>HYPERLINK("https://klasma.github.io/Logging_2283/tillsynsmail/A 22449-2024 tillsynsbegäran mail.docx", "A 22449-2024")</f>
        <v/>
      </c>
      <c r="Z132">
        <f>HYPERLINK("https://klasma.github.io/Logging_2283/fåglar/A 22449-2024 prioriterade fågelarter.docx", "A 22449-2024")</f>
        <v/>
      </c>
    </row>
    <row r="133" ht="15" customHeight="1">
      <c r="A133" t="inlineStr">
        <is>
          <t>A 32460-2024</t>
        </is>
      </c>
      <c r="B133" s="1" t="n">
        <v>45512</v>
      </c>
      <c r="C133" s="1" t="n">
        <v>46093</v>
      </c>
      <c r="D133" t="inlineStr">
        <is>
          <t>VÄSTERNORRLANDS LÄN</t>
        </is>
      </c>
      <c r="E133" t="inlineStr">
        <is>
          <t>SOLLEFTEÅ</t>
        </is>
      </c>
      <c r="F133" t="inlineStr">
        <is>
          <t>SCA</t>
        </is>
      </c>
      <c r="G133" t="n">
        <v>6</v>
      </c>
      <c r="H133" t="n">
        <v>4</v>
      </c>
      <c r="I133" t="n">
        <v>4</v>
      </c>
      <c r="J133" t="n">
        <v>6</v>
      </c>
      <c r="K133" t="n">
        <v>1</v>
      </c>
      <c r="L133" t="n">
        <v>0</v>
      </c>
      <c r="M133" t="n">
        <v>0</v>
      </c>
      <c r="N133" t="n">
        <v>0</v>
      </c>
      <c r="O133" t="n">
        <v>7</v>
      </c>
      <c r="P133" t="n">
        <v>1</v>
      </c>
      <c r="Q133" t="n">
        <v>11</v>
      </c>
      <c r="R133" s="2" t="inlineStr">
        <is>
          <t>Knärot
Doftskinn
Garnlav
Granticka
Lunglav
Talltita
Ullticka
Bårdlav
Lappranunkel
Spindelblomster
Vedticka</t>
        </is>
      </c>
      <c r="S133">
        <f>HYPERLINK("https://klasma.github.io/Logging_2283/artfynd/A 32460-2024 artfynd.xlsx", "A 32460-2024")</f>
        <v/>
      </c>
      <c r="T133">
        <f>HYPERLINK("https://klasma.github.io/Logging_2283/kartor/A 32460-2024 karta.png", "A 32460-2024")</f>
        <v/>
      </c>
      <c r="U133">
        <f>HYPERLINK("https://klasma.github.io/Logging_2283/knärot/A 32460-2024 karta knärot.png", "A 32460-2024")</f>
        <v/>
      </c>
      <c r="V133">
        <f>HYPERLINK("https://klasma.github.io/Logging_2283/klagomål/A 32460-2024 FSC-klagomål.docx", "A 32460-2024")</f>
        <v/>
      </c>
      <c r="W133">
        <f>HYPERLINK("https://klasma.github.io/Logging_2283/klagomålsmail/A 32460-2024 FSC-klagomål mail.docx", "A 32460-2024")</f>
        <v/>
      </c>
      <c r="X133">
        <f>HYPERLINK("https://klasma.github.io/Logging_2283/tillsyn/A 32460-2024 tillsynsbegäran.docx", "A 32460-2024")</f>
        <v/>
      </c>
      <c r="Y133">
        <f>HYPERLINK("https://klasma.github.io/Logging_2283/tillsynsmail/A 32460-2024 tillsynsbegäran mail.docx", "A 32460-2024")</f>
        <v/>
      </c>
      <c r="Z133">
        <f>HYPERLINK("https://klasma.github.io/Logging_2283/fåglar/A 32460-2024 prioriterade fågelarter.docx", "A 32460-2024")</f>
        <v/>
      </c>
    </row>
    <row r="134" ht="15" customHeight="1">
      <c r="A134" t="inlineStr">
        <is>
          <t>A 50472-2025</t>
        </is>
      </c>
      <c r="B134" s="1" t="n">
        <v>45945.3650462963</v>
      </c>
      <c r="C134" s="1" t="n">
        <v>46093</v>
      </c>
      <c r="D134" t="inlineStr">
        <is>
          <t>VÄSTERNORRLANDS LÄN</t>
        </is>
      </c>
      <c r="E134" t="inlineStr">
        <is>
          <t>SOLLEFTEÅ</t>
        </is>
      </c>
      <c r="F134" t="inlineStr">
        <is>
          <t>SCA</t>
        </is>
      </c>
      <c r="G134" t="n">
        <v>9.199999999999999</v>
      </c>
      <c r="H134" t="n">
        <v>4</v>
      </c>
      <c r="I134" t="n">
        <v>4</v>
      </c>
      <c r="J134" t="n">
        <v>4</v>
      </c>
      <c r="K134" t="n">
        <v>1</v>
      </c>
      <c r="L134" t="n">
        <v>0</v>
      </c>
      <c r="M134" t="n">
        <v>0</v>
      </c>
      <c r="N134" t="n">
        <v>0</v>
      </c>
      <c r="O134" t="n">
        <v>5</v>
      </c>
      <c r="P134" t="n">
        <v>1</v>
      </c>
      <c r="Q134" t="n">
        <v>11</v>
      </c>
      <c r="R134" s="2" t="inlineStr">
        <is>
          <t>Knärot
Garnlav
Lunglav
Skrovellav
Spillkråka
Bårdlav
Gytterlav
Luddlav
Stuplav
Fläcknycklar
Revlummer</t>
        </is>
      </c>
      <c r="S134">
        <f>HYPERLINK("https://klasma.github.io/Logging_2283/artfynd/A 50472-2025 artfynd.xlsx", "A 50472-2025")</f>
        <v/>
      </c>
      <c r="T134">
        <f>HYPERLINK("https://klasma.github.io/Logging_2283/kartor/A 50472-2025 karta.png", "A 50472-2025")</f>
        <v/>
      </c>
      <c r="U134">
        <f>HYPERLINK("https://klasma.github.io/Logging_2283/knärot/A 50472-2025 karta knärot.png", "A 50472-2025")</f>
        <v/>
      </c>
      <c r="V134">
        <f>HYPERLINK("https://klasma.github.io/Logging_2283/klagomål/A 50472-2025 FSC-klagomål.docx", "A 50472-2025")</f>
        <v/>
      </c>
      <c r="W134">
        <f>HYPERLINK("https://klasma.github.io/Logging_2283/klagomålsmail/A 50472-2025 FSC-klagomål mail.docx", "A 50472-2025")</f>
        <v/>
      </c>
      <c r="X134">
        <f>HYPERLINK("https://klasma.github.io/Logging_2283/tillsyn/A 50472-2025 tillsynsbegäran.docx", "A 50472-2025")</f>
        <v/>
      </c>
      <c r="Y134">
        <f>HYPERLINK("https://klasma.github.io/Logging_2283/tillsynsmail/A 50472-2025 tillsynsbegäran mail.docx", "A 50472-2025")</f>
        <v/>
      </c>
      <c r="Z134">
        <f>HYPERLINK("https://klasma.github.io/Logging_2283/fåglar/A 50472-2025 prioriterade fågelarter.docx", "A 50472-2025")</f>
        <v/>
      </c>
    </row>
    <row r="135" ht="15" customHeight="1">
      <c r="A135" t="inlineStr">
        <is>
          <t>A 48738-2024</t>
        </is>
      </c>
      <c r="B135" s="1" t="n">
        <v>45593</v>
      </c>
      <c r="C135" s="1" t="n">
        <v>46093</v>
      </c>
      <c r="D135" t="inlineStr">
        <is>
          <t>VÄSTERNORRLANDS LÄN</t>
        </is>
      </c>
      <c r="E135" t="inlineStr">
        <is>
          <t>ÅNGE</t>
        </is>
      </c>
      <c r="F135" t="inlineStr">
        <is>
          <t>SCA</t>
        </is>
      </c>
      <c r="G135" t="n">
        <v>19.8</v>
      </c>
      <c r="H135" t="n">
        <v>5</v>
      </c>
      <c r="I135" t="n">
        <v>5</v>
      </c>
      <c r="J135" t="n">
        <v>4</v>
      </c>
      <c r="K135" t="n">
        <v>0</v>
      </c>
      <c r="L135" t="n">
        <v>0</v>
      </c>
      <c r="M135" t="n">
        <v>0</v>
      </c>
      <c r="N135" t="n">
        <v>0</v>
      </c>
      <c r="O135" t="n">
        <v>4</v>
      </c>
      <c r="P135" t="n">
        <v>0</v>
      </c>
      <c r="Q135" t="n">
        <v>11</v>
      </c>
      <c r="R135" s="2" t="inlineStr">
        <is>
          <t>Gammelgransskål
Garnlav
Lunglav
Spillkråka
Korallrot
Kransrams
Spindelblomster
Stuplav
Svavelriska
Fläcknycklar
Revlummer</t>
        </is>
      </c>
      <c r="S135">
        <f>HYPERLINK("https://klasma.github.io/Logging_2260/artfynd/A 48738-2024 artfynd.xlsx", "A 48738-2024")</f>
        <v/>
      </c>
      <c r="T135">
        <f>HYPERLINK("https://klasma.github.io/Logging_2260/kartor/A 48738-2024 karta.png", "A 48738-2024")</f>
        <v/>
      </c>
      <c r="V135">
        <f>HYPERLINK("https://klasma.github.io/Logging_2260/klagomål/A 48738-2024 FSC-klagomål.docx", "A 48738-2024")</f>
        <v/>
      </c>
      <c r="W135">
        <f>HYPERLINK("https://klasma.github.io/Logging_2260/klagomålsmail/A 48738-2024 FSC-klagomål mail.docx", "A 48738-2024")</f>
        <v/>
      </c>
      <c r="X135">
        <f>HYPERLINK("https://klasma.github.io/Logging_2260/tillsyn/A 48738-2024 tillsynsbegäran.docx", "A 48738-2024")</f>
        <v/>
      </c>
      <c r="Y135">
        <f>HYPERLINK("https://klasma.github.io/Logging_2260/tillsynsmail/A 48738-2024 tillsynsbegäran mail.docx", "A 48738-2024")</f>
        <v/>
      </c>
      <c r="Z135">
        <f>HYPERLINK("https://klasma.github.io/Logging_2260/fåglar/A 48738-2024 prioriterade fågelarter.docx", "A 48738-2024")</f>
        <v/>
      </c>
    </row>
    <row r="136" ht="15" customHeight="1">
      <c r="A136" t="inlineStr">
        <is>
          <t>A 37975-2025</t>
        </is>
      </c>
      <c r="B136" s="1" t="n">
        <v>45881.67758101852</v>
      </c>
      <c r="C136" s="1" t="n">
        <v>46093</v>
      </c>
      <c r="D136" t="inlineStr">
        <is>
          <t>VÄSTERNORRLANDS LÄN</t>
        </is>
      </c>
      <c r="E136" t="inlineStr">
        <is>
          <t>SUNDSVALL</t>
        </is>
      </c>
      <c r="F136" t="inlineStr">
        <is>
          <t>SCA</t>
        </is>
      </c>
      <c r="G136" t="n">
        <v>6</v>
      </c>
      <c r="H136" t="n">
        <v>0</v>
      </c>
      <c r="I136" t="n">
        <v>3</v>
      </c>
      <c r="J136" t="n">
        <v>8</v>
      </c>
      <c r="K136" t="n">
        <v>0</v>
      </c>
      <c r="L136" t="n">
        <v>0</v>
      </c>
      <c r="M136" t="n">
        <v>0</v>
      </c>
      <c r="N136" t="n">
        <v>0</v>
      </c>
      <c r="O136" t="n">
        <v>8</v>
      </c>
      <c r="P136" t="n">
        <v>0</v>
      </c>
      <c r="Q136" t="n">
        <v>11</v>
      </c>
      <c r="R136" s="2" t="inlineStr">
        <is>
          <t>Garnlav
Kolflarnlav
Kortskaftad ärgspik
Lunglav
Mörk kolflarnlav
Ullticka
Vedflamlav
Vedskivlav
Bårdlav
Dropptaggsvamp
Korallblylav</t>
        </is>
      </c>
      <c r="S136">
        <f>HYPERLINK("https://klasma.github.io/Logging_2281/artfynd/A 37975-2025 artfynd.xlsx", "A 37975-2025")</f>
        <v/>
      </c>
      <c r="T136">
        <f>HYPERLINK("https://klasma.github.io/Logging_2281/kartor/A 37975-2025 karta.png", "A 37975-2025")</f>
        <v/>
      </c>
      <c r="V136">
        <f>HYPERLINK("https://klasma.github.io/Logging_2281/klagomål/A 37975-2025 FSC-klagomål.docx", "A 37975-2025")</f>
        <v/>
      </c>
      <c r="W136">
        <f>HYPERLINK("https://klasma.github.io/Logging_2281/klagomålsmail/A 37975-2025 FSC-klagomål mail.docx", "A 37975-2025")</f>
        <v/>
      </c>
      <c r="X136">
        <f>HYPERLINK("https://klasma.github.io/Logging_2281/tillsyn/A 37975-2025 tillsynsbegäran.docx", "A 37975-2025")</f>
        <v/>
      </c>
      <c r="Y136">
        <f>HYPERLINK("https://klasma.github.io/Logging_2281/tillsynsmail/A 37975-2025 tillsynsbegäran mail.docx", "A 37975-2025")</f>
        <v/>
      </c>
    </row>
    <row r="137" ht="15" customHeight="1">
      <c r="A137" t="inlineStr">
        <is>
          <t>A 46041-2022</t>
        </is>
      </c>
      <c r="B137" s="1" t="n">
        <v>44846</v>
      </c>
      <c r="C137" s="1" t="n">
        <v>46093</v>
      </c>
      <c r="D137" t="inlineStr">
        <is>
          <t>VÄSTERNORRLANDS LÄN</t>
        </is>
      </c>
      <c r="E137" t="inlineStr">
        <is>
          <t>SOLLEFTEÅ</t>
        </is>
      </c>
      <c r="F137" t="inlineStr">
        <is>
          <t>SCA</t>
        </is>
      </c>
      <c r="G137" t="n">
        <v>21.1</v>
      </c>
      <c r="H137" t="n">
        <v>4</v>
      </c>
      <c r="I137" t="n">
        <v>0</v>
      </c>
      <c r="J137" t="n">
        <v>10</v>
      </c>
      <c r="K137" t="n">
        <v>1</v>
      </c>
      <c r="L137" t="n">
        <v>0</v>
      </c>
      <c r="M137" t="n">
        <v>0</v>
      </c>
      <c r="N137" t="n">
        <v>0</v>
      </c>
      <c r="O137" t="n">
        <v>11</v>
      </c>
      <c r="P137" t="n">
        <v>1</v>
      </c>
      <c r="Q137" t="n">
        <v>11</v>
      </c>
      <c r="R137" s="2" t="inlineStr">
        <is>
          <t>Knärot
Gammelgransskål
Garnlav
Granticka
Kolflarnlav
Lunglav
Skrovellav
Spillkråka
Talltita
Tretåig hackspett
Vitgrynig nållav</t>
        </is>
      </c>
      <c r="S137">
        <f>HYPERLINK("https://klasma.github.io/Logging_2283/artfynd/A 46041-2022 artfynd.xlsx", "A 46041-2022")</f>
        <v/>
      </c>
      <c r="T137">
        <f>HYPERLINK("https://klasma.github.io/Logging_2283/kartor/A 46041-2022 karta.png", "A 46041-2022")</f>
        <v/>
      </c>
      <c r="U137">
        <f>HYPERLINK("https://klasma.github.io/Logging_2283/knärot/A 46041-2022 karta knärot.png", "A 46041-2022")</f>
        <v/>
      </c>
      <c r="V137">
        <f>HYPERLINK("https://klasma.github.io/Logging_2283/klagomål/A 46041-2022 FSC-klagomål.docx", "A 46041-2022")</f>
        <v/>
      </c>
      <c r="W137">
        <f>HYPERLINK("https://klasma.github.io/Logging_2283/klagomålsmail/A 46041-2022 FSC-klagomål mail.docx", "A 46041-2022")</f>
        <v/>
      </c>
      <c r="X137">
        <f>HYPERLINK("https://klasma.github.io/Logging_2283/tillsyn/A 46041-2022 tillsynsbegäran.docx", "A 46041-2022")</f>
        <v/>
      </c>
      <c r="Y137">
        <f>HYPERLINK("https://klasma.github.io/Logging_2283/tillsynsmail/A 46041-2022 tillsynsbegäran mail.docx", "A 46041-2022")</f>
        <v/>
      </c>
      <c r="Z137">
        <f>HYPERLINK("https://klasma.github.io/Logging_2283/fåglar/A 46041-2022 prioriterade fågelarter.docx", "A 46041-2022")</f>
        <v/>
      </c>
    </row>
    <row r="138" ht="15" customHeight="1">
      <c r="A138" t="inlineStr">
        <is>
          <t>A 6429-2022</t>
        </is>
      </c>
      <c r="B138" s="1" t="n">
        <v>44600</v>
      </c>
      <c r="C138" s="1" t="n">
        <v>46093</v>
      </c>
      <c r="D138" t="inlineStr">
        <is>
          <t>VÄSTERNORRLANDS LÄN</t>
        </is>
      </c>
      <c r="E138" t="inlineStr">
        <is>
          <t>ÅNGE</t>
        </is>
      </c>
      <c r="F138" t="inlineStr">
        <is>
          <t>SCA</t>
        </is>
      </c>
      <c r="G138" t="n">
        <v>32.8</v>
      </c>
      <c r="H138" t="n">
        <v>0</v>
      </c>
      <c r="I138" t="n">
        <v>2</v>
      </c>
      <c r="J138" t="n">
        <v>9</v>
      </c>
      <c r="K138" t="n">
        <v>0</v>
      </c>
      <c r="L138" t="n">
        <v>0</v>
      </c>
      <c r="M138" t="n">
        <v>0</v>
      </c>
      <c r="N138" t="n">
        <v>0</v>
      </c>
      <c r="O138" t="n">
        <v>9</v>
      </c>
      <c r="P138" t="n">
        <v>0</v>
      </c>
      <c r="Q138" t="n">
        <v>11</v>
      </c>
      <c r="R138" s="2" t="inlineStr">
        <is>
          <t>Blanksvart spiklav
Blågrå svartspik
Garnlav
Kortskaftad ärgspik
Lunglav
Mörk kolflarnlav
Rosenticka
Ullticka
Vedflamlav
Barkticka
Korallblylav</t>
        </is>
      </c>
      <c r="S138">
        <f>HYPERLINK("https://klasma.github.io/Logging_2260/artfynd/A 6429-2022 artfynd.xlsx", "A 6429-2022")</f>
        <v/>
      </c>
      <c r="T138">
        <f>HYPERLINK("https://klasma.github.io/Logging_2260/kartor/A 6429-2022 karta.png", "A 6429-2022")</f>
        <v/>
      </c>
      <c r="V138">
        <f>HYPERLINK("https://klasma.github.io/Logging_2260/klagomål/A 6429-2022 FSC-klagomål.docx", "A 6429-2022")</f>
        <v/>
      </c>
      <c r="W138">
        <f>HYPERLINK("https://klasma.github.io/Logging_2260/klagomålsmail/A 6429-2022 FSC-klagomål mail.docx", "A 6429-2022")</f>
        <v/>
      </c>
      <c r="X138">
        <f>HYPERLINK("https://klasma.github.io/Logging_2260/tillsyn/A 6429-2022 tillsynsbegäran.docx", "A 6429-2022")</f>
        <v/>
      </c>
      <c r="Y138">
        <f>HYPERLINK("https://klasma.github.io/Logging_2260/tillsynsmail/A 6429-2022 tillsynsbegäran mail.docx", "A 6429-2022")</f>
        <v/>
      </c>
    </row>
    <row r="139" ht="15" customHeight="1">
      <c r="A139" t="inlineStr">
        <is>
          <t>A 11025-2025</t>
        </is>
      </c>
      <c r="B139" s="1" t="n">
        <v>45723.46942129629</v>
      </c>
      <c r="C139" s="1" t="n">
        <v>46093</v>
      </c>
      <c r="D139" t="inlineStr">
        <is>
          <t>VÄSTERNORRLANDS LÄN</t>
        </is>
      </c>
      <c r="E139" t="inlineStr">
        <is>
          <t>TIMRÅ</t>
        </is>
      </c>
      <c r="F139" t="inlineStr">
        <is>
          <t>SCA</t>
        </is>
      </c>
      <c r="G139" t="n">
        <v>6.9</v>
      </c>
      <c r="H139" t="n">
        <v>3</v>
      </c>
      <c r="I139" t="n">
        <v>1</v>
      </c>
      <c r="J139" t="n">
        <v>9</v>
      </c>
      <c r="K139" t="n">
        <v>0</v>
      </c>
      <c r="L139" t="n">
        <v>0</v>
      </c>
      <c r="M139" t="n">
        <v>0</v>
      </c>
      <c r="N139" t="n">
        <v>0</v>
      </c>
      <c r="O139" t="n">
        <v>9</v>
      </c>
      <c r="P139" t="n">
        <v>0</v>
      </c>
      <c r="Q139" t="n">
        <v>11</v>
      </c>
      <c r="R139" s="2" t="inlineStr">
        <is>
          <t>Doftskinn
Gammelgransskål
Garnlav
Lunglav
Rosenticka
Spillkråka
Stjärntagging
Tretåig hackspett
Ullticka
Vedticka
Revlummer</t>
        </is>
      </c>
      <c r="S139">
        <f>HYPERLINK("https://klasma.github.io/Logging_2262/artfynd/A 11025-2025 artfynd.xlsx", "A 11025-2025")</f>
        <v/>
      </c>
      <c r="T139">
        <f>HYPERLINK("https://klasma.github.io/Logging_2262/kartor/A 11025-2025 karta.png", "A 11025-2025")</f>
        <v/>
      </c>
      <c r="V139">
        <f>HYPERLINK("https://klasma.github.io/Logging_2262/klagomål/A 11025-2025 FSC-klagomål.docx", "A 11025-2025")</f>
        <v/>
      </c>
      <c r="W139">
        <f>HYPERLINK("https://klasma.github.io/Logging_2262/klagomålsmail/A 11025-2025 FSC-klagomål mail.docx", "A 11025-2025")</f>
        <v/>
      </c>
      <c r="X139">
        <f>HYPERLINK("https://klasma.github.io/Logging_2262/tillsyn/A 11025-2025 tillsynsbegäran.docx", "A 11025-2025")</f>
        <v/>
      </c>
      <c r="Y139">
        <f>HYPERLINK("https://klasma.github.io/Logging_2262/tillsynsmail/A 11025-2025 tillsynsbegäran mail.docx", "A 11025-2025")</f>
        <v/>
      </c>
      <c r="Z139">
        <f>HYPERLINK("https://klasma.github.io/Logging_2262/fåglar/A 11025-2025 prioriterade fågelarter.docx", "A 11025-2025")</f>
        <v/>
      </c>
    </row>
    <row r="140" ht="15" customHeight="1">
      <c r="A140" t="inlineStr">
        <is>
          <t>A 40603-2022</t>
        </is>
      </c>
      <c r="B140" s="1" t="n">
        <v>44823</v>
      </c>
      <c r="C140" s="1" t="n">
        <v>46093</v>
      </c>
      <c r="D140" t="inlineStr">
        <is>
          <t>VÄSTERNORRLANDS LÄN</t>
        </is>
      </c>
      <c r="E140" t="inlineStr">
        <is>
          <t>SUNDSVALL</t>
        </is>
      </c>
      <c r="G140" t="n">
        <v>6.7</v>
      </c>
      <c r="H140" t="n">
        <v>3</v>
      </c>
      <c r="I140" t="n">
        <v>4</v>
      </c>
      <c r="J140" t="n">
        <v>4</v>
      </c>
      <c r="K140" t="n">
        <v>1</v>
      </c>
      <c r="L140" t="n">
        <v>0</v>
      </c>
      <c r="M140" t="n">
        <v>0</v>
      </c>
      <c r="N140" t="n">
        <v>0</v>
      </c>
      <c r="O140" t="n">
        <v>5</v>
      </c>
      <c r="P140" t="n">
        <v>1</v>
      </c>
      <c r="Q140" t="n">
        <v>11</v>
      </c>
      <c r="R140" s="2" t="inlineStr">
        <is>
          <t>Knärot
Garnlav
Orange taggsvamp
Tallticka
Violettgrå tagellav
Grönpyrola
Skinnlav
Stor aspticka
Vårärt
Nattviol
Blåsippa</t>
        </is>
      </c>
      <c r="S140">
        <f>HYPERLINK("https://klasma.github.io/Logging_2281/artfynd/A 40603-2022 artfynd.xlsx", "A 40603-2022")</f>
        <v/>
      </c>
      <c r="T140">
        <f>HYPERLINK("https://klasma.github.io/Logging_2281/kartor/A 40603-2022 karta.png", "A 40603-2022")</f>
        <v/>
      </c>
      <c r="U140">
        <f>HYPERLINK("https://klasma.github.io/Logging_2281/knärot/A 40603-2022 karta knärot.png", "A 40603-2022")</f>
        <v/>
      </c>
      <c r="V140">
        <f>HYPERLINK("https://klasma.github.io/Logging_2281/klagomål/A 40603-2022 FSC-klagomål.docx", "A 40603-2022")</f>
        <v/>
      </c>
      <c r="W140">
        <f>HYPERLINK("https://klasma.github.io/Logging_2281/klagomålsmail/A 40603-2022 FSC-klagomål mail.docx", "A 40603-2022")</f>
        <v/>
      </c>
      <c r="X140">
        <f>HYPERLINK("https://klasma.github.io/Logging_2281/tillsyn/A 40603-2022 tillsynsbegäran.docx", "A 40603-2022")</f>
        <v/>
      </c>
      <c r="Y140">
        <f>HYPERLINK("https://klasma.github.io/Logging_2281/tillsynsmail/A 40603-2022 tillsynsbegäran mail.docx", "A 40603-2022")</f>
        <v/>
      </c>
    </row>
    <row r="141" ht="15" customHeight="1">
      <c r="A141" t="inlineStr">
        <is>
          <t>A 11491-2022</t>
        </is>
      </c>
      <c r="B141" s="1" t="n">
        <v>44630</v>
      </c>
      <c r="C141" s="1" t="n">
        <v>46093</v>
      </c>
      <c r="D141" t="inlineStr">
        <is>
          <t>VÄSTERNORRLANDS LÄN</t>
        </is>
      </c>
      <c r="E141" t="inlineStr">
        <is>
          <t>SOLLEFTEÅ</t>
        </is>
      </c>
      <c r="F141" t="inlineStr">
        <is>
          <t>SCA</t>
        </is>
      </c>
      <c r="G141" t="n">
        <v>6.4</v>
      </c>
      <c r="H141" t="n">
        <v>4</v>
      </c>
      <c r="I141" t="n">
        <v>0</v>
      </c>
      <c r="J141" t="n">
        <v>6</v>
      </c>
      <c r="K141" t="n">
        <v>3</v>
      </c>
      <c r="L141" t="n">
        <v>0</v>
      </c>
      <c r="M141" t="n">
        <v>0</v>
      </c>
      <c r="N141" t="n">
        <v>0</v>
      </c>
      <c r="O141" t="n">
        <v>9</v>
      </c>
      <c r="P141" t="n">
        <v>3</v>
      </c>
      <c r="Q141" t="n">
        <v>11</v>
      </c>
      <c r="R141" s="2" t="inlineStr">
        <is>
          <t>Knärot
Raggbock
Rynkskinn
Gränsticka
Lunglav
Orange taggsvamp
Rosenticka
Tretåig hackspett
Ullticka
Kungsfågel
Fläcknycklar</t>
        </is>
      </c>
      <c r="S141">
        <f>HYPERLINK("https://klasma.github.io/Logging_2283/artfynd/A 11491-2022 artfynd.xlsx", "A 11491-2022")</f>
        <v/>
      </c>
      <c r="T141">
        <f>HYPERLINK("https://klasma.github.io/Logging_2283/kartor/A 11491-2022 karta.png", "A 11491-2022")</f>
        <v/>
      </c>
      <c r="U141">
        <f>HYPERLINK("https://klasma.github.io/Logging_2283/knärot/A 11491-2022 karta knärot.png", "A 11491-2022")</f>
        <v/>
      </c>
      <c r="V141">
        <f>HYPERLINK("https://klasma.github.io/Logging_2283/klagomål/A 11491-2022 FSC-klagomål.docx", "A 11491-2022")</f>
        <v/>
      </c>
      <c r="W141">
        <f>HYPERLINK("https://klasma.github.io/Logging_2283/klagomålsmail/A 11491-2022 FSC-klagomål mail.docx", "A 11491-2022")</f>
        <v/>
      </c>
      <c r="X141">
        <f>HYPERLINK("https://klasma.github.io/Logging_2283/tillsyn/A 11491-2022 tillsynsbegäran.docx", "A 11491-2022")</f>
        <v/>
      </c>
      <c r="Y141">
        <f>HYPERLINK("https://klasma.github.io/Logging_2283/tillsynsmail/A 11491-2022 tillsynsbegäran mail.docx", "A 11491-2022")</f>
        <v/>
      </c>
      <c r="Z141">
        <f>HYPERLINK("https://klasma.github.io/Logging_2283/fåglar/A 11491-2022 prioriterade fågelarter.docx", "A 11491-2022")</f>
        <v/>
      </c>
    </row>
    <row r="142" ht="15" customHeight="1">
      <c r="A142" t="inlineStr">
        <is>
          <t>A 63420-2025</t>
        </is>
      </c>
      <c r="B142" s="1" t="n">
        <v>46013.34195601852</v>
      </c>
      <c r="C142" s="1" t="n">
        <v>46093</v>
      </c>
      <c r="D142" t="inlineStr">
        <is>
          <t>VÄSTERNORRLANDS LÄN</t>
        </is>
      </c>
      <c r="E142" t="inlineStr">
        <is>
          <t>SOLLEFTEÅ</t>
        </is>
      </c>
      <c r="G142" t="n">
        <v>8.1</v>
      </c>
      <c r="H142" t="n">
        <v>1</v>
      </c>
      <c r="I142" t="n">
        <v>1</v>
      </c>
      <c r="J142" t="n">
        <v>8</v>
      </c>
      <c r="K142" t="n">
        <v>2</v>
      </c>
      <c r="L142" t="n">
        <v>0</v>
      </c>
      <c r="M142" t="n">
        <v>0</v>
      </c>
      <c r="N142" t="n">
        <v>0</v>
      </c>
      <c r="O142" t="n">
        <v>10</v>
      </c>
      <c r="P142" t="n">
        <v>2</v>
      </c>
      <c r="Q142" t="n">
        <v>11</v>
      </c>
      <c r="R142" s="2" t="inlineStr">
        <is>
          <t>Blackticka
Rynkskinn
Gammelgransskål
Garnlav
Granticka
Kolflarnlav
Lunglav
Talltita
Ullticka
Vedskivlav
Vedticka</t>
        </is>
      </c>
      <c r="S142">
        <f>HYPERLINK("https://klasma.github.io/Logging_2283/artfynd/A 63420-2025 artfynd.xlsx", "A 63420-2025")</f>
        <v/>
      </c>
      <c r="T142">
        <f>HYPERLINK("https://klasma.github.io/Logging_2283/kartor/A 63420-2025 karta.png", "A 63420-2025")</f>
        <v/>
      </c>
      <c r="V142">
        <f>HYPERLINK("https://klasma.github.io/Logging_2283/klagomål/A 63420-2025 FSC-klagomål.docx", "A 63420-2025")</f>
        <v/>
      </c>
      <c r="W142">
        <f>HYPERLINK("https://klasma.github.io/Logging_2283/klagomålsmail/A 63420-2025 FSC-klagomål mail.docx", "A 63420-2025")</f>
        <v/>
      </c>
      <c r="X142">
        <f>HYPERLINK("https://klasma.github.io/Logging_2283/tillsyn/A 63420-2025 tillsynsbegäran.docx", "A 63420-2025")</f>
        <v/>
      </c>
      <c r="Y142">
        <f>HYPERLINK("https://klasma.github.io/Logging_2283/tillsynsmail/A 63420-2025 tillsynsbegäran mail.docx", "A 63420-2025")</f>
        <v/>
      </c>
      <c r="Z142">
        <f>HYPERLINK("https://klasma.github.io/Logging_2283/fåglar/A 63420-2025 prioriterade fågelarter.docx", "A 63420-2025")</f>
        <v/>
      </c>
    </row>
    <row r="143" ht="15" customHeight="1">
      <c r="A143" t="inlineStr">
        <is>
          <t>A 18532-2025</t>
        </is>
      </c>
      <c r="B143" s="1" t="n">
        <v>45763</v>
      </c>
      <c r="C143" s="1" t="n">
        <v>46093</v>
      </c>
      <c r="D143" t="inlineStr">
        <is>
          <t>VÄSTERNORRLANDS LÄN</t>
        </is>
      </c>
      <c r="E143" t="inlineStr">
        <is>
          <t>SUNDSVALL</t>
        </is>
      </c>
      <c r="F143" t="inlineStr">
        <is>
          <t>SCA</t>
        </is>
      </c>
      <c r="G143" t="n">
        <v>3.5</v>
      </c>
      <c r="H143" t="n">
        <v>6</v>
      </c>
      <c r="I143" t="n">
        <v>2</v>
      </c>
      <c r="J143" t="n">
        <v>6</v>
      </c>
      <c r="K143" t="n">
        <v>1</v>
      </c>
      <c r="L143" t="n">
        <v>0</v>
      </c>
      <c r="M143" t="n">
        <v>0</v>
      </c>
      <c r="N143" t="n">
        <v>0</v>
      </c>
      <c r="O143" t="n">
        <v>7</v>
      </c>
      <c r="P143" t="n">
        <v>1</v>
      </c>
      <c r="Q143" t="n">
        <v>11</v>
      </c>
      <c r="R143" s="2" t="inlineStr">
        <is>
          <t>Knärot
Granticka
Lunglav
Spillkråka
Talltita
Tretåig hackspett
Ullticka
Stuplav
Vedticka
Tjäder
Revlummer</t>
        </is>
      </c>
      <c r="S143">
        <f>HYPERLINK("https://klasma.github.io/Logging_2281/artfynd/A 18532-2025 artfynd.xlsx", "A 18532-2025")</f>
        <v/>
      </c>
      <c r="T143">
        <f>HYPERLINK("https://klasma.github.io/Logging_2281/kartor/A 18532-2025 karta.png", "A 18532-2025")</f>
        <v/>
      </c>
      <c r="U143">
        <f>HYPERLINK("https://klasma.github.io/Logging_2281/knärot/A 18532-2025 karta knärot.png", "A 18532-2025")</f>
        <v/>
      </c>
      <c r="V143">
        <f>HYPERLINK("https://klasma.github.io/Logging_2281/klagomål/A 18532-2025 FSC-klagomål.docx", "A 18532-2025")</f>
        <v/>
      </c>
      <c r="W143">
        <f>HYPERLINK("https://klasma.github.io/Logging_2281/klagomålsmail/A 18532-2025 FSC-klagomål mail.docx", "A 18532-2025")</f>
        <v/>
      </c>
      <c r="X143">
        <f>HYPERLINK("https://klasma.github.io/Logging_2281/tillsyn/A 18532-2025 tillsynsbegäran.docx", "A 18532-2025")</f>
        <v/>
      </c>
      <c r="Y143">
        <f>HYPERLINK("https://klasma.github.io/Logging_2281/tillsynsmail/A 18532-2025 tillsynsbegäran mail.docx", "A 18532-2025")</f>
        <v/>
      </c>
      <c r="Z143">
        <f>HYPERLINK("https://klasma.github.io/Logging_2281/fåglar/A 18532-2025 prioriterade fågelarter.docx", "A 18532-2025")</f>
        <v/>
      </c>
    </row>
    <row r="144" ht="15" customHeight="1">
      <c r="A144" t="inlineStr">
        <is>
          <t>A 20024-2025</t>
        </is>
      </c>
      <c r="B144" s="1" t="n">
        <v>45772</v>
      </c>
      <c r="C144" s="1" t="n">
        <v>46093</v>
      </c>
      <c r="D144" t="inlineStr">
        <is>
          <t>VÄSTERNORRLANDS LÄN</t>
        </is>
      </c>
      <c r="E144" t="inlineStr">
        <is>
          <t>SUNDSVALL</t>
        </is>
      </c>
      <c r="F144" t="inlineStr">
        <is>
          <t>SCA</t>
        </is>
      </c>
      <c r="G144" t="n">
        <v>5.6</v>
      </c>
      <c r="H144" t="n">
        <v>6</v>
      </c>
      <c r="I144" t="n">
        <v>3</v>
      </c>
      <c r="J144" t="n">
        <v>5</v>
      </c>
      <c r="K144" t="n">
        <v>0</v>
      </c>
      <c r="L144" t="n">
        <v>0</v>
      </c>
      <c r="M144" t="n">
        <v>0</v>
      </c>
      <c r="N144" t="n">
        <v>0</v>
      </c>
      <c r="O144" t="n">
        <v>5</v>
      </c>
      <c r="P144" t="n">
        <v>0</v>
      </c>
      <c r="Q144" t="n">
        <v>11</v>
      </c>
      <c r="R144" s="2" t="inlineStr">
        <is>
          <t>Garnlav
Lunglav
Spillkråka
Stjärntagging
Tretåig hackspett
Skinnlav
Stor aspticka
Tvåblad
Kungsfågel
Tjäder
Mattlummer</t>
        </is>
      </c>
      <c r="S144">
        <f>HYPERLINK("https://klasma.github.io/Logging_2281/artfynd/A 20024-2025 artfynd.xlsx", "A 20024-2025")</f>
        <v/>
      </c>
      <c r="T144">
        <f>HYPERLINK("https://klasma.github.io/Logging_2281/kartor/A 20024-2025 karta.png", "A 20024-2025")</f>
        <v/>
      </c>
      <c r="V144">
        <f>HYPERLINK("https://klasma.github.io/Logging_2281/klagomål/A 20024-2025 FSC-klagomål.docx", "A 20024-2025")</f>
        <v/>
      </c>
      <c r="W144">
        <f>HYPERLINK("https://klasma.github.io/Logging_2281/klagomålsmail/A 20024-2025 FSC-klagomål mail.docx", "A 20024-2025")</f>
        <v/>
      </c>
      <c r="X144">
        <f>HYPERLINK("https://klasma.github.io/Logging_2281/tillsyn/A 20024-2025 tillsynsbegäran.docx", "A 20024-2025")</f>
        <v/>
      </c>
      <c r="Y144">
        <f>HYPERLINK("https://klasma.github.io/Logging_2281/tillsynsmail/A 20024-2025 tillsynsbegäran mail.docx", "A 20024-2025")</f>
        <v/>
      </c>
      <c r="Z144">
        <f>HYPERLINK("https://klasma.github.io/Logging_2281/fåglar/A 20024-2025 prioriterade fågelarter.docx", "A 20024-2025")</f>
        <v/>
      </c>
    </row>
    <row r="145" ht="15" customHeight="1">
      <c r="A145" t="inlineStr">
        <is>
          <t>A 3288-2026</t>
        </is>
      </c>
      <c r="B145" s="1" t="n">
        <v>46041.63579861111</v>
      </c>
      <c r="C145" s="1" t="n">
        <v>46093</v>
      </c>
      <c r="D145" t="inlineStr">
        <is>
          <t>VÄSTERNORRLANDS LÄN</t>
        </is>
      </c>
      <c r="E145" t="inlineStr">
        <is>
          <t>ÖRNSKÖLDSVIK</t>
        </is>
      </c>
      <c r="G145" t="n">
        <v>1.4</v>
      </c>
      <c r="H145" t="n">
        <v>5</v>
      </c>
      <c r="I145" t="n">
        <v>1</v>
      </c>
      <c r="J145" t="n">
        <v>7</v>
      </c>
      <c r="K145" t="n">
        <v>2</v>
      </c>
      <c r="L145" t="n">
        <v>0</v>
      </c>
      <c r="M145" t="n">
        <v>0</v>
      </c>
      <c r="N145" t="n">
        <v>0</v>
      </c>
      <c r="O145" t="n">
        <v>9</v>
      </c>
      <c r="P145" t="n">
        <v>2</v>
      </c>
      <c r="Q145" t="n">
        <v>11</v>
      </c>
      <c r="R145" s="2" t="inlineStr">
        <is>
          <t>Knärot
Rynkskinn
Gammelgransskål
Järpe
Rosenticka
Stjärntagging
Talltita
Tretåig hackspett
Ullticka
Vedticka
Revlummer</t>
        </is>
      </c>
      <c r="S145">
        <f>HYPERLINK("https://klasma.github.io/Logging_2284/artfynd/A 3288-2026 artfynd.xlsx", "A 3288-2026")</f>
        <v/>
      </c>
      <c r="T145">
        <f>HYPERLINK("https://klasma.github.io/Logging_2284/kartor/A 3288-2026 karta.png", "A 3288-2026")</f>
        <v/>
      </c>
      <c r="U145">
        <f>HYPERLINK("https://klasma.github.io/Logging_2284/knärot/A 3288-2026 karta knärot.png", "A 3288-2026")</f>
        <v/>
      </c>
      <c r="V145">
        <f>HYPERLINK("https://klasma.github.io/Logging_2284/klagomål/A 3288-2026 FSC-klagomål.docx", "A 3288-2026")</f>
        <v/>
      </c>
      <c r="W145">
        <f>HYPERLINK("https://klasma.github.io/Logging_2284/klagomålsmail/A 3288-2026 FSC-klagomål mail.docx", "A 3288-2026")</f>
        <v/>
      </c>
      <c r="X145">
        <f>HYPERLINK("https://klasma.github.io/Logging_2284/tillsyn/A 3288-2026 tillsynsbegäran.docx", "A 3288-2026")</f>
        <v/>
      </c>
      <c r="Y145">
        <f>HYPERLINK("https://klasma.github.io/Logging_2284/tillsynsmail/A 3288-2026 tillsynsbegäran mail.docx", "A 3288-2026")</f>
        <v/>
      </c>
      <c r="Z145">
        <f>HYPERLINK("https://klasma.github.io/Logging_2284/fåglar/A 3288-2026 prioriterade fågelarter.docx", "A 3288-2026")</f>
        <v/>
      </c>
    </row>
    <row r="146" ht="15" customHeight="1">
      <c r="A146" t="inlineStr">
        <is>
          <t>A 33783-2025</t>
        </is>
      </c>
      <c r="B146" s="1" t="n">
        <v>45842.40699074074</v>
      </c>
      <c r="C146" s="1" t="n">
        <v>46093</v>
      </c>
      <c r="D146" t="inlineStr">
        <is>
          <t>VÄSTERNORRLANDS LÄN</t>
        </is>
      </c>
      <c r="E146" t="inlineStr">
        <is>
          <t>ÅNGE</t>
        </is>
      </c>
      <c r="F146" t="inlineStr">
        <is>
          <t>SCA</t>
        </is>
      </c>
      <c r="G146" t="n">
        <v>9.300000000000001</v>
      </c>
      <c r="H146" t="n">
        <v>6</v>
      </c>
      <c r="I146" t="n">
        <v>3</v>
      </c>
      <c r="J146" t="n">
        <v>4</v>
      </c>
      <c r="K146" t="n">
        <v>0</v>
      </c>
      <c r="L146" t="n">
        <v>0</v>
      </c>
      <c r="M146" t="n">
        <v>0</v>
      </c>
      <c r="N146" t="n">
        <v>0</v>
      </c>
      <c r="O146" t="n">
        <v>4</v>
      </c>
      <c r="P146" t="n">
        <v>0</v>
      </c>
      <c r="Q146" t="n">
        <v>11</v>
      </c>
      <c r="R146" s="2" t="inlineStr">
        <is>
          <t>Fjällvråk
Gultoppig fingersvamp
Järpe
Lunglav
Kransrams
Stuplav
Ögonpyrola
Orre
Tjäder
Fläcknycklar
Revlummer</t>
        </is>
      </c>
      <c r="S146">
        <f>HYPERLINK("https://klasma.github.io/Logging_2260/artfynd/A 33783-2025 artfynd.xlsx", "A 33783-2025")</f>
        <v/>
      </c>
      <c r="T146">
        <f>HYPERLINK("https://klasma.github.io/Logging_2260/kartor/A 33783-2025 karta.png", "A 33783-2025")</f>
        <v/>
      </c>
      <c r="V146">
        <f>HYPERLINK("https://klasma.github.io/Logging_2260/klagomål/A 33783-2025 FSC-klagomål.docx", "A 33783-2025")</f>
        <v/>
      </c>
      <c r="W146">
        <f>HYPERLINK("https://klasma.github.io/Logging_2260/klagomålsmail/A 33783-2025 FSC-klagomål mail.docx", "A 33783-2025")</f>
        <v/>
      </c>
      <c r="X146">
        <f>HYPERLINK("https://klasma.github.io/Logging_2260/tillsyn/A 33783-2025 tillsynsbegäran.docx", "A 33783-2025")</f>
        <v/>
      </c>
      <c r="Y146">
        <f>HYPERLINK("https://klasma.github.io/Logging_2260/tillsynsmail/A 33783-2025 tillsynsbegäran mail.docx", "A 33783-2025")</f>
        <v/>
      </c>
      <c r="Z146">
        <f>HYPERLINK("https://klasma.github.io/Logging_2260/fåglar/A 33783-2025 prioriterade fågelarter.docx", "A 33783-2025")</f>
        <v/>
      </c>
    </row>
    <row r="147" ht="15" customHeight="1">
      <c r="A147" t="inlineStr">
        <is>
          <t>A 747-2022</t>
        </is>
      </c>
      <c r="B147" s="1" t="n">
        <v>44568</v>
      </c>
      <c r="C147" s="1" t="n">
        <v>46093</v>
      </c>
      <c r="D147" t="inlineStr">
        <is>
          <t>VÄSTERNORRLANDS LÄN</t>
        </is>
      </c>
      <c r="E147" t="inlineStr">
        <is>
          <t>SOLLEFTEÅ</t>
        </is>
      </c>
      <c r="F147" t="inlineStr">
        <is>
          <t>SCA</t>
        </is>
      </c>
      <c r="G147" t="n">
        <v>10.9</v>
      </c>
      <c r="H147" t="n">
        <v>1</v>
      </c>
      <c r="I147" t="n">
        <v>3</v>
      </c>
      <c r="J147" t="n">
        <v>6</v>
      </c>
      <c r="K147" t="n">
        <v>1</v>
      </c>
      <c r="L147" t="n">
        <v>0</v>
      </c>
      <c r="M147" t="n">
        <v>0</v>
      </c>
      <c r="N147" t="n">
        <v>0</v>
      </c>
      <c r="O147" t="n">
        <v>7</v>
      </c>
      <c r="P147" t="n">
        <v>1</v>
      </c>
      <c r="Q147" t="n">
        <v>10</v>
      </c>
      <c r="R147" s="2" t="inlineStr">
        <is>
          <t>Rynkskinn
Doftskinn
Granticka
Lunglav
Rosenticka
Tretåig hackspett
Ullticka
Norrlandslav
Stuplav
Vedticka</t>
        </is>
      </c>
      <c r="S147">
        <f>HYPERLINK("https://klasma.github.io/Logging_2283/artfynd/A 747-2022 artfynd.xlsx", "A 747-2022")</f>
        <v/>
      </c>
      <c r="T147">
        <f>HYPERLINK("https://klasma.github.io/Logging_2283/kartor/A 747-2022 karta.png", "A 747-2022")</f>
        <v/>
      </c>
      <c r="V147">
        <f>HYPERLINK("https://klasma.github.io/Logging_2283/klagomål/A 747-2022 FSC-klagomål.docx", "A 747-2022")</f>
        <v/>
      </c>
      <c r="W147">
        <f>HYPERLINK("https://klasma.github.io/Logging_2283/klagomålsmail/A 747-2022 FSC-klagomål mail.docx", "A 747-2022")</f>
        <v/>
      </c>
      <c r="X147">
        <f>HYPERLINK("https://klasma.github.io/Logging_2283/tillsyn/A 747-2022 tillsynsbegäran.docx", "A 747-2022")</f>
        <v/>
      </c>
      <c r="Y147">
        <f>HYPERLINK("https://klasma.github.io/Logging_2283/tillsynsmail/A 747-2022 tillsynsbegäran mail.docx", "A 747-2022")</f>
        <v/>
      </c>
      <c r="Z147">
        <f>HYPERLINK("https://klasma.github.io/Logging_2283/fåglar/A 747-2022 prioriterade fågelarter.docx", "A 747-2022")</f>
        <v/>
      </c>
    </row>
    <row r="148" ht="15" customHeight="1">
      <c r="A148" t="inlineStr">
        <is>
          <t>A 9201-2022</t>
        </is>
      </c>
      <c r="B148" s="1" t="n">
        <v>44615.92618055556</v>
      </c>
      <c r="C148" s="1" t="n">
        <v>46093</v>
      </c>
      <c r="D148" t="inlineStr">
        <is>
          <t>VÄSTERNORRLANDS LÄN</t>
        </is>
      </c>
      <c r="E148" t="inlineStr">
        <is>
          <t>SUNDSVALL</t>
        </is>
      </c>
      <c r="G148" t="n">
        <v>9.699999999999999</v>
      </c>
      <c r="H148" t="n">
        <v>4</v>
      </c>
      <c r="I148" t="n">
        <v>1</v>
      </c>
      <c r="J148" t="n">
        <v>6</v>
      </c>
      <c r="K148" t="n">
        <v>1</v>
      </c>
      <c r="L148" t="n">
        <v>0</v>
      </c>
      <c r="M148" t="n">
        <v>0</v>
      </c>
      <c r="N148" t="n">
        <v>0</v>
      </c>
      <c r="O148" t="n">
        <v>7</v>
      </c>
      <c r="P148" t="n">
        <v>1</v>
      </c>
      <c r="Q148" t="n">
        <v>10</v>
      </c>
      <c r="R148" s="2" t="inlineStr">
        <is>
          <t>Knärot
Garnlav
Kortskaftad ärgspik
Orange taggsvamp
Spillkråka
Ullticka
Vedskivlav
Bronshjon
Tjäder
Vanlig padda</t>
        </is>
      </c>
      <c r="S148">
        <f>HYPERLINK("https://klasma.github.io/Logging_2281/artfynd/A 9201-2022 artfynd.xlsx", "A 9201-2022")</f>
        <v/>
      </c>
      <c r="T148">
        <f>HYPERLINK("https://klasma.github.io/Logging_2281/kartor/A 9201-2022 karta.png", "A 9201-2022")</f>
        <v/>
      </c>
      <c r="U148">
        <f>HYPERLINK("https://klasma.github.io/Logging_2281/knärot/A 9201-2022 karta knärot.png", "A 9201-2022")</f>
        <v/>
      </c>
      <c r="V148">
        <f>HYPERLINK("https://klasma.github.io/Logging_2281/klagomål/A 9201-2022 FSC-klagomål.docx", "A 9201-2022")</f>
        <v/>
      </c>
      <c r="W148">
        <f>HYPERLINK("https://klasma.github.io/Logging_2281/klagomålsmail/A 9201-2022 FSC-klagomål mail.docx", "A 9201-2022")</f>
        <v/>
      </c>
      <c r="X148">
        <f>HYPERLINK("https://klasma.github.io/Logging_2281/tillsyn/A 9201-2022 tillsynsbegäran.docx", "A 9201-2022")</f>
        <v/>
      </c>
      <c r="Y148">
        <f>HYPERLINK("https://klasma.github.io/Logging_2281/tillsynsmail/A 9201-2022 tillsynsbegäran mail.docx", "A 9201-2022")</f>
        <v/>
      </c>
      <c r="Z148">
        <f>HYPERLINK("https://klasma.github.io/Logging_2281/fåglar/A 9201-2022 prioriterade fågelarter.docx", "A 9201-2022")</f>
        <v/>
      </c>
    </row>
    <row r="149" ht="15" customHeight="1">
      <c r="A149" t="inlineStr">
        <is>
          <t>A 25323-2023</t>
        </is>
      </c>
      <c r="B149" s="1" t="n">
        <v>45086</v>
      </c>
      <c r="C149" s="1" t="n">
        <v>46093</v>
      </c>
      <c r="D149" t="inlineStr">
        <is>
          <t>VÄSTERNORRLANDS LÄN</t>
        </is>
      </c>
      <c r="E149" t="inlineStr">
        <is>
          <t>ÅNGE</t>
        </is>
      </c>
      <c r="F149" t="inlineStr">
        <is>
          <t>SCA</t>
        </is>
      </c>
      <c r="G149" t="n">
        <v>1.8</v>
      </c>
      <c r="H149" t="n">
        <v>1</v>
      </c>
      <c r="I149" t="n">
        <v>3</v>
      </c>
      <c r="J149" t="n">
        <v>5</v>
      </c>
      <c r="K149" t="n">
        <v>2</v>
      </c>
      <c r="L149" t="n">
        <v>0</v>
      </c>
      <c r="M149" t="n">
        <v>0</v>
      </c>
      <c r="N149" t="n">
        <v>0</v>
      </c>
      <c r="O149" t="n">
        <v>7</v>
      </c>
      <c r="P149" t="n">
        <v>2</v>
      </c>
      <c r="Q149" t="n">
        <v>10</v>
      </c>
      <c r="R149" s="2" t="inlineStr">
        <is>
          <t>Laxgröppa
Smalfotad taggsvamp
Garnlav
Skrovlig taggsvamp
Svart taggsvamp agg.
Talltita
Vedtrappmossa
Dropptaggsvamp
Skarp dropptaggsvamp
Vedticka</t>
        </is>
      </c>
      <c r="S149">
        <f>HYPERLINK("https://klasma.github.io/Logging_2260/artfynd/A 25323-2023 artfynd.xlsx", "A 25323-2023")</f>
        <v/>
      </c>
      <c r="T149">
        <f>HYPERLINK("https://klasma.github.io/Logging_2260/kartor/A 25323-2023 karta.png", "A 25323-2023")</f>
        <v/>
      </c>
      <c r="U149">
        <f>HYPERLINK("https://klasma.github.io/Logging_2260/knärot/A 25323-2023 karta knärot.png", "A 25323-2023")</f>
        <v/>
      </c>
      <c r="V149">
        <f>HYPERLINK("https://klasma.github.io/Logging_2260/klagomål/A 25323-2023 FSC-klagomål.docx", "A 25323-2023")</f>
        <v/>
      </c>
      <c r="W149">
        <f>HYPERLINK("https://klasma.github.io/Logging_2260/klagomålsmail/A 25323-2023 FSC-klagomål mail.docx", "A 25323-2023")</f>
        <v/>
      </c>
      <c r="X149">
        <f>HYPERLINK("https://klasma.github.io/Logging_2260/tillsyn/A 25323-2023 tillsynsbegäran.docx", "A 25323-2023")</f>
        <v/>
      </c>
      <c r="Y149">
        <f>HYPERLINK("https://klasma.github.io/Logging_2260/tillsynsmail/A 25323-2023 tillsynsbegäran mail.docx", "A 25323-2023")</f>
        <v/>
      </c>
      <c r="Z149">
        <f>HYPERLINK("https://klasma.github.io/Logging_2260/fåglar/A 25323-2023 prioriterade fågelarter.docx", "A 25323-2023")</f>
        <v/>
      </c>
    </row>
    <row r="150" ht="15" customHeight="1">
      <c r="A150" t="inlineStr">
        <is>
          <t>A 55927-2023</t>
        </is>
      </c>
      <c r="B150" s="1" t="n">
        <v>45239</v>
      </c>
      <c r="C150" s="1" t="n">
        <v>46093</v>
      </c>
      <c r="D150" t="inlineStr">
        <is>
          <t>VÄSTERNORRLANDS LÄN</t>
        </is>
      </c>
      <c r="E150" t="inlineStr">
        <is>
          <t>TIMRÅ</t>
        </is>
      </c>
      <c r="F150" t="inlineStr">
        <is>
          <t>SCA</t>
        </is>
      </c>
      <c r="G150" t="n">
        <v>18.6</v>
      </c>
      <c r="H150" t="n">
        <v>4</v>
      </c>
      <c r="I150" t="n">
        <v>2</v>
      </c>
      <c r="J150" t="n">
        <v>5</v>
      </c>
      <c r="K150" t="n">
        <v>2</v>
      </c>
      <c r="L150" t="n">
        <v>0</v>
      </c>
      <c r="M150" t="n">
        <v>0</v>
      </c>
      <c r="N150" t="n">
        <v>0</v>
      </c>
      <c r="O150" t="n">
        <v>7</v>
      </c>
      <c r="P150" t="n">
        <v>2</v>
      </c>
      <c r="Q150" t="n">
        <v>10</v>
      </c>
      <c r="R150" s="2" t="inlineStr">
        <is>
          <t>Knärot
Långskägg
Garnlav
Lunglav
Stiftgelélav
Tretåig hackspett
Veckticka
Korallblylav
Skinnlav
Blåsippa</t>
        </is>
      </c>
      <c r="S150">
        <f>HYPERLINK("https://klasma.github.io/Logging_2262/artfynd/A 55927-2023 artfynd.xlsx", "A 55927-2023")</f>
        <v/>
      </c>
      <c r="T150">
        <f>HYPERLINK("https://klasma.github.io/Logging_2262/kartor/A 55927-2023 karta.png", "A 55927-2023")</f>
        <v/>
      </c>
      <c r="U150">
        <f>HYPERLINK("https://klasma.github.io/Logging_2262/knärot/A 55927-2023 karta knärot.png", "A 55927-2023")</f>
        <v/>
      </c>
      <c r="V150">
        <f>HYPERLINK("https://klasma.github.io/Logging_2262/klagomål/A 55927-2023 FSC-klagomål.docx", "A 55927-2023")</f>
        <v/>
      </c>
      <c r="W150">
        <f>HYPERLINK("https://klasma.github.io/Logging_2262/klagomålsmail/A 55927-2023 FSC-klagomål mail.docx", "A 55927-2023")</f>
        <v/>
      </c>
      <c r="X150">
        <f>HYPERLINK("https://klasma.github.io/Logging_2262/tillsyn/A 55927-2023 tillsynsbegäran.docx", "A 55927-2023")</f>
        <v/>
      </c>
      <c r="Y150">
        <f>HYPERLINK("https://klasma.github.io/Logging_2262/tillsynsmail/A 55927-2023 tillsynsbegäran mail.docx", "A 55927-2023")</f>
        <v/>
      </c>
      <c r="Z150">
        <f>HYPERLINK("https://klasma.github.io/Logging_2262/fåglar/A 55927-2023 prioriterade fågelarter.docx", "A 55927-2023")</f>
        <v/>
      </c>
    </row>
    <row r="151" ht="15" customHeight="1">
      <c r="A151" t="inlineStr">
        <is>
          <t>A 37488-2023</t>
        </is>
      </c>
      <c r="B151" s="1" t="n">
        <v>45156</v>
      </c>
      <c r="C151" s="1" t="n">
        <v>46093</v>
      </c>
      <c r="D151" t="inlineStr">
        <is>
          <t>VÄSTERNORRLANDS LÄN</t>
        </is>
      </c>
      <c r="E151" t="inlineStr">
        <is>
          <t>SOLLEFTEÅ</t>
        </is>
      </c>
      <c r="F151" t="inlineStr">
        <is>
          <t>SCA</t>
        </is>
      </c>
      <c r="G151" t="n">
        <v>10.1</v>
      </c>
      <c r="H151" t="n">
        <v>5</v>
      </c>
      <c r="I151" t="n">
        <v>3</v>
      </c>
      <c r="J151" t="n">
        <v>4</v>
      </c>
      <c r="K151" t="n">
        <v>2</v>
      </c>
      <c r="L151" t="n">
        <v>0</v>
      </c>
      <c r="M151" t="n">
        <v>0</v>
      </c>
      <c r="N151" t="n">
        <v>0</v>
      </c>
      <c r="O151" t="n">
        <v>6</v>
      </c>
      <c r="P151" t="n">
        <v>2</v>
      </c>
      <c r="Q151" t="n">
        <v>10</v>
      </c>
      <c r="R151" s="2" t="inlineStr">
        <is>
          <t>Doftticka
Knärot
Garnlav
Lunglav
Spillkråka
Tretåig hackspett
Bårdlav
Norrlandslav
Stuplav
Revlummer</t>
        </is>
      </c>
      <c r="S151">
        <f>HYPERLINK("https://klasma.github.io/Logging_2283/artfynd/A 37488-2023 artfynd.xlsx", "A 37488-2023")</f>
        <v/>
      </c>
      <c r="T151">
        <f>HYPERLINK("https://klasma.github.io/Logging_2283/kartor/A 37488-2023 karta.png", "A 37488-2023")</f>
        <v/>
      </c>
      <c r="U151">
        <f>HYPERLINK("https://klasma.github.io/Logging_2283/knärot/A 37488-2023 karta knärot.png", "A 37488-2023")</f>
        <v/>
      </c>
      <c r="V151">
        <f>HYPERLINK("https://klasma.github.io/Logging_2283/klagomål/A 37488-2023 FSC-klagomål.docx", "A 37488-2023")</f>
        <v/>
      </c>
      <c r="W151">
        <f>HYPERLINK("https://klasma.github.io/Logging_2283/klagomålsmail/A 37488-2023 FSC-klagomål mail.docx", "A 37488-2023")</f>
        <v/>
      </c>
      <c r="X151">
        <f>HYPERLINK("https://klasma.github.io/Logging_2283/tillsyn/A 37488-2023 tillsynsbegäran.docx", "A 37488-2023")</f>
        <v/>
      </c>
      <c r="Y151">
        <f>HYPERLINK("https://klasma.github.io/Logging_2283/tillsynsmail/A 37488-2023 tillsynsbegäran mail.docx", "A 37488-2023")</f>
        <v/>
      </c>
      <c r="Z151">
        <f>HYPERLINK("https://klasma.github.io/Logging_2283/fåglar/A 37488-2023 prioriterade fågelarter.docx", "A 37488-2023")</f>
        <v/>
      </c>
    </row>
    <row r="152" ht="15" customHeight="1">
      <c r="A152" t="inlineStr">
        <is>
          <t>A 66171-2021</t>
        </is>
      </c>
      <c r="B152" s="1" t="n">
        <v>44517</v>
      </c>
      <c r="C152" s="1" t="n">
        <v>46093</v>
      </c>
      <c r="D152" t="inlineStr">
        <is>
          <t>VÄSTERNORRLANDS LÄN</t>
        </is>
      </c>
      <c r="E152" t="inlineStr">
        <is>
          <t>SOLLEFTEÅ</t>
        </is>
      </c>
      <c r="F152" t="inlineStr">
        <is>
          <t>SCA</t>
        </is>
      </c>
      <c r="G152" t="n">
        <v>8.5</v>
      </c>
      <c r="H152" t="n">
        <v>3</v>
      </c>
      <c r="I152" t="n">
        <v>0</v>
      </c>
      <c r="J152" t="n">
        <v>7</v>
      </c>
      <c r="K152" t="n">
        <v>3</v>
      </c>
      <c r="L152" t="n">
        <v>0</v>
      </c>
      <c r="M152" t="n">
        <v>0</v>
      </c>
      <c r="N152" t="n">
        <v>0</v>
      </c>
      <c r="O152" t="n">
        <v>10</v>
      </c>
      <c r="P152" t="n">
        <v>3</v>
      </c>
      <c r="Q152" t="n">
        <v>10</v>
      </c>
      <c r="R152" s="2" t="inlineStr">
        <is>
          <t>Knärot
Ostticka
Rynkskinn
Duvhök
Gammelgransskål
Garnlav
Lunglav
Rosenticka
Tretåig hackspett
Ullticka</t>
        </is>
      </c>
      <c r="S152">
        <f>HYPERLINK("https://klasma.github.io/Logging_2283/artfynd/A 66171-2021 artfynd.xlsx", "A 66171-2021")</f>
        <v/>
      </c>
      <c r="T152">
        <f>HYPERLINK("https://klasma.github.io/Logging_2283/kartor/A 66171-2021 karta.png", "A 66171-2021")</f>
        <v/>
      </c>
      <c r="U152">
        <f>HYPERLINK("https://klasma.github.io/Logging_2283/knärot/A 66171-2021 karta knärot.png", "A 66171-2021")</f>
        <v/>
      </c>
      <c r="V152">
        <f>HYPERLINK("https://klasma.github.io/Logging_2283/klagomål/A 66171-2021 FSC-klagomål.docx", "A 66171-2021")</f>
        <v/>
      </c>
      <c r="W152">
        <f>HYPERLINK("https://klasma.github.io/Logging_2283/klagomålsmail/A 66171-2021 FSC-klagomål mail.docx", "A 66171-2021")</f>
        <v/>
      </c>
      <c r="X152">
        <f>HYPERLINK("https://klasma.github.io/Logging_2283/tillsyn/A 66171-2021 tillsynsbegäran.docx", "A 66171-2021")</f>
        <v/>
      </c>
      <c r="Y152">
        <f>HYPERLINK("https://klasma.github.io/Logging_2283/tillsynsmail/A 66171-2021 tillsynsbegäran mail.docx", "A 66171-2021")</f>
        <v/>
      </c>
      <c r="Z152">
        <f>HYPERLINK("https://klasma.github.io/Logging_2283/fåglar/A 66171-2021 prioriterade fågelarter.docx", "A 66171-2021")</f>
        <v/>
      </c>
    </row>
    <row r="153" ht="15" customHeight="1">
      <c r="A153" t="inlineStr">
        <is>
          <t>A 19827-2025</t>
        </is>
      </c>
      <c r="B153" s="1" t="n">
        <v>45771.46918981482</v>
      </c>
      <c r="C153" s="1" t="n">
        <v>46093</v>
      </c>
      <c r="D153" t="inlineStr">
        <is>
          <t>VÄSTERNORRLANDS LÄN</t>
        </is>
      </c>
      <c r="E153" t="inlineStr">
        <is>
          <t>SUNDSVALL</t>
        </is>
      </c>
      <c r="F153" t="inlineStr">
        <is>
          <t>Naturvårdsverket</t>
        </is>
      </c>
      <c r="G153" t="n">
        <v>3.8</v>
      </c>
      <c r="H153" t="n">
        <v>1</v>
      </c>
      <c r="I153" t="n">
        <v>0</v>
      </c>
      <c r="J153" t="n">
        <v>10</v>
      </c>
      <c r="K153" t="n">
        <v>0</v>
      </c>
      <c r="L153" t="n">
        <v>0</v>
      </c>
      <c r="M153" t="n">
        <v>0</v>
      </c>
      <c r="N153" t="n">
        <v>0</v>
      </c>
      <c r="O153" t="n">
        <v>10</v>
      </c>
      <c r="P153" t="n">
        <v>0</v>
      </c>
      <c r="Q153" t="n">
        <v>10</v>
      </c>
      <c r="R153" s="2" t="inlineStr">
        <is>
          <t>Gammelgransskål
Garnlav
Kortskaftad ärgspik
Lunglav
Nordtagging
Tretåig hackspett
Ullticka
Vedflamlav
Vedskivlav
Violettgrå tagellav</t>
        </is>
      </c>
      <c r="S153">
        <f>HYPERLINK("https://klasma.github.io/Logging_2281/artfynd/A 19827-2025 artfynd.xlsx", "A 19827-2025")</f>
        <v/>
      </c>
      <c r="T153">
        <f>HYPERLINK("https://klasma.github.io/Logging_2281/kartor/A 19827-2025 karta.png", "A 19827-2025")</f>
        <v/>
      </c>
      <c r="V153">
        <f>HYPERLINK("https://klasma.github.io/Logging_2281/klagomål/A 19827-2025 FSC-klagomål.docx", "A 19827-2025")</f>
        <v/>
      </c>
      <c r="W153">
        <f>HYPERLINK("https://klasma.github.io/Logging_2281/klagomålsmail/A 19827-2025 FSC-klagomål mail.docx", "A 19827-2025")</f>
        <v/>
      </c>
      <c r="X153">
        <f>HYPERLINK("https://klasma.github.io/Logging_2281/tillsyn/A 19827-2025 tillsynsbegäran.docx", "A 19827-2025")</f>
        <v/>
      </c>
      <c r="Y153">
        <f>HYPERLINK("https://klasma.github.io/Logging_2281/tillsynsmail/A 19827-2025 tillsynsbegäran mail.docx", "A 19827-2025")</f>
        <v/>
      </c>
      <c r="Z153">
        <f>HYPERLINK("https://klasma.github.io/Logging_2281/fåglar/A 19827-2025 prioriterade fågelarter.docx", "A 19827-2025")</f>
        <v/>
      </c>
    </row>
    <row r="154" ht="15" customHeight="1">
      <c r="A154" t="inlineStr">
        <is>
          <t>A 40871-2024</t>
        </is>
      </c>
      <c r="B154" s="1" t="n">
        <v>45558</v>
      </c>
      <c r="C154" s="1" t="n">
        <v>46093</v>
      </c>
      <c r="D154" t="inlineStr">
        <is>
          <t>VÄSTERNORRLANDS LÄN</t>
        </is>
      </c>
      <c r="E154" t="inlineStr">
        <is>
          <t>HÄRNÖSAND</t>
        </is>
      </c>
      <c r="F154" t="inlineStr">
        <is>
          <t>SCA</t>
        </is>
      </c>
      <c r="G154" t="n">
        <v>6</v>
      </c>
      <c r="H154" t="n">
        <v>3</v>
      </c>
      <c r="I154" t="n">
        <v>5</v>
      </c>
      <c r="J154" t="n">
        <v>3</v>
      </c>
      <c r="K154" t="n">
        <v>1</v>
      </c>
      <c r="L154" t="n">
        <v>0</v>
      </c>
      <c r="M154" t="n">
        <v>0</v>
      </c>
      <c r="N154" t="n">
        <v>0</v>
      </c>
      <c r="O154" t="n">
        <v>4</v>
      </c>
      <c r="P154" t="n">
        <v>1</v>
      </c>
      <c r="Q154" t="n">
        <v>10</v>
      </c>
      <c r="R154" s="2" t="inlineStr">
        <is>
          <t>Knärot
Lunglav
Rosenticka
Ullticka
Skinnlav
Slanklav
Stor aspticka
Tvåblad
Vedticka
Blåsippa</t>
        </is>
      </c>
      <c r="S154">
        <f>HYPERLINK("https://klasma.github.io/Logging_2280/artfynd/A 40871-2024 artfynd.xlsx", "A 40871-2024")</f>
        <v/>
      </c>
      <c r="T154">
        <f>HYPERLINK("https://klasma.github.io/Logging_2280/kartor/A 40871-2024 karta.png", "A 40871-2024")</f>
        <v/>
      </c>
      <c r="U154">
        <f>HYPERLINK("https://klasma.github.io/Logging_2280/knärot/A 40871-2024 karta knärot.png", "A 40871-2024")</f>
        <v/>
      </c>
      <c r="V154">
        <f>HYPERLINK("https://klasma.github.io/Logging_2280/klagomål/A 40871-2024 FSC-klagomål.docx", "A 40871-2024")</f>
        <v/>
      </c>
      <c r="W154">
        <f>HYPERLINK("https://klasma.github.io/Logging_2280/klagomålsmail/A 40871-2024 FSC-klagomål mail.docx", "A 40871-2024")</f>
        <v/>
      </c>
      <c r="X154">
        <f>HYPERLINK("https://klasma.github.io/Logging_2280/tillsyn/A 40871-2024 tillsynsbegäran.docx", "A 40871-2024")</f>
        <v/>
      </c>
      <c r="Y154">
        <f>HYPERLINK("https://klasma.github.io/Logging_2280/tillsynsmail/A 40871-2024 tillsynsbegäran mail.docx", "A 40871-2024")</f>
        <v/>
      </c>
    </row>
    <row r="155" ht="15" customHeight="1">
      <c r="A155" t="inlineStr">
        <is>
          <t>A 38665-2025</t>
        </is>
      </c>
      <c r="B155" s="1" t="n">
        <v>45884.61528935185</v>
      </c>
      <c r="C155" s="1" t="n">
        <v>46093</v>
      </c>
      <c r="D155" t="inlineStr">
        <is>
          <t>VÄSTERNORRLANDS LÄN</t>
        </is>
      </c>
      <c r="E155" t="inlineStr">
        <is>
          <t>SOLLEFTEÅ</t>
        </is>
      </c>
      <c r="F155" t="inlineStr">
        <is>
          <t>SCA</t>
        </is>
      </c>
      <c r="G155" t="n">
        <v>3.9</v>
      </c>
      <c r="H155" t="n">
        <v>0</v>
      </c>
      <c r="I155" t="n">
        <v>1</v>
      </c>
      <c r="J155" t="n">
        <v>9</v>
      </c>
      <c r="K155" t="n">
        <v>0</v>
      </c>
      <c r="L155" t="n">
        <v>0</v>
      </c>
      <c r="M155" t="n">
        <v>0</v>
      </c>
      <c r="N155" t="n">
        <v>0</v>
      </c>
      <c r="O155" t="n">
        <v>9</v>
      </c>
      <c r="P155" t="n">
        <v>0</v>
      </c>
      <c r="Q155" t="n">
        <v>10</v>
      </c>
      <c r="R155" s="2" t="inlineStr">
        <is>
          <t>Blå taggsvamp
Gammelgransskål
Kolflarnlav
Lunglav
Nordtagging
Rosenticka
Ullticka
Vaddporing
Vitgrynig nållav
Luddlav</t>
        </is>
      </c>
      <c r="S155">
        <f>HYPERLINK("https://klasma.github.io/Logging_2283/artfynd/A 38665-2025 artfynd.xlsx", "A 38665-2025")</f>
        <v/>
      </c>
      <c r="T155">
        <f>HYPERLINK("https://klasma.github.io/Logging_2283/kartor/A 38665-2025 karta.png", "A 38665-2025")</f>
        <v/>
      </c>
      <c r="V155">
        <f>HYPERLINK("https://klasma.github.io/Logging_2283/klagomål/A 38665-2025 FSC-klagomål.docx", "A 38665-2025")</f>
        <v/>
      </c>
      <c r="W155">
        <f>HYPERLINK("https://klasma.github.io/Logging_2283/klagomålsmail/A 38665-2025 FSC-klagomål mail.docx", "A 38665-2025")</f>
        <v/>
      </c>
      <c r="X155">
        <f>HYPERLINK("https://klasma.github.io/Logging_2283/tillsyn/A 38665-2025 tillsynsbegäran.docx", "A 38665-2025")</f>
        <v/>
      </c>
      <c r="Y155">
        <f>HYPERLINK("https://klasma.github.io/Logging_2283/tillsynsmail/A 38665-2025 tillsynsbegäran mail.docx", "A 38665-2025")</f>
        <v/>
      </c>
    </row>
    <row r="156" ht="15" customHeight="1">
      <c r="A156" t="inlineStr">
        <is>
          <t>A 30267-2025</t>
        </is>
      </c>
      <c r="B156" s="1" t="n">
        <v>45827</v>
      </c>
      <c r="C156" s="1" t="n">
        <v>46093</v>
      </c>
      <c r="D156" t="inlineStr">
        <is>
          <t>VÄSTERNORRLANDS LÄN</t>
        </is>
      </c>
      <c r="E156" t="inlineStr">
        <is>
          <t>TIMRÅ</t>
        </is>
      </c>
      <c r="F156" t="inlineStr">
        <is>
          <t>SCA</t>
        </is>
      </c>
      <c r="G156" t="n">
        <v>6.1</v>
      </c>
      <c r="H156" t="n">
        <v>4</v>
      </c>
      <c r="I156" t="n">
        <v>1</v>
      </c>
      <c r="J156" t="n">
        <v>6</v>
      </c>
      <c r="K156" t="n">
        <v>1</v>
      </c>
      <c r="L156" t="n">
        <v>0</v>
      </c>
      <c r="M156" t="n">
        <v>0</v>
      </c>
      <c r="N156" t="n">
        <v>0</v>
      </c>
      <c r="O156" t="n">
        <v>7</v>
      </c>
      <c r="P156" t="n">
        <v>1</v>
      </c>
      <c r="Q156" t="n">
        <v>10</v>
      </c>
      <c r="R156" s="2" t="inlineStr">
        <is>
          <t>Knärot
Doftskinn
Garnlav
Lunglav
Rosenticka
Tretåig hackspett
Ullticka
Vedticka
Fläcknycklar
Revlummer</t>
        </is>
      </c>
      <c r="S156">
        <f>HYPERLINK("https://klasma.github.io/Logging_2262/artfynd/A 30267-2025 artfynd.xlsx", "A 30267-2025")</f>
        <v/>
      </c>
      <c r="T156">
        <f>HYPERLINK("https://klasma.github.io/Logging_2262/kartor/A 30267-2025 karta.png", "A 30267-2025")</f>
        <v/>
      </c>
      <c r="U156">
        <f>HYPERLINK("https://klasma.github.io/Logging_2262/knärot/A 30267-2025 karta knärot.png", "A 30267-2025")</f>
        <v/>
      </c>
      <c r="V156">
        <f>HYPERLINK("https://klasma.github.io/Logging_2262/klagomål/A 30267-2025 FSC-klagomål.docx", "A 30267-2025")</f>
        <v/>
      </c>
      <c r="W156">
        <f>HYPERLINK("https://klasma.github.io/Logging_2262/klagomålsmail/A 30267-2025 FSC-klagomål mail.docx", "A 30267-2025")</f>
        <v/>
      </c>
      <c r="X156">
        <f>HYPERLINK("https://klasma.github.io/Logging_2262/tillsyn/A 30267-2025 tillsynsbegäran.docx", "A 30267-2025")</f>
        <v/>
      </c>
      <c r="Y156">
        <f>HYPERLINK("https://klasma.github.io/Logging_2262/tillsynsmail/A 30267-2025 tillsynsbegäran mail.docx", "A 30267-2025")</f>
        <v/>
      </c>
      <c r="Z156">
        <f>HYPERLINK("https://klasma.github.io/Logging_2262/fåglar/A 30267-2025 prioriterade fågelarter.docx", "A 30267-2025")</f>
        <v/>
      </c>
    </row>
    <row r="157" ht="15" customHeight="1">
      <c r="A157" t="inlineStr">
        <is>
          <t>A 43329-2025</t>
        </is>
      </c>
      <c r="B157" s="1" t="n">
        <v>45910.6775</v>
      </c>
      <c r="C157" s="1" t="n">
        <v>46093</v>
      </c>
      <c r="D157" t="inlineStr">
        <is>
          <t>VÄSTERNORRLANDS LÄN</t>
        </is>
      </c>
      <c r="E157" t="inlineStr">
        <is>
          <t>SOLLEFTEÅ</t>
        </is>
      </c>
      <c r="F157" t="inlineStr">
        <is>
          <t>SCA</t>
        </is>
      </c>
      <c r="G157" t="n">
        <v>22.5</v>
      </c>
      <c r="H157" t="n">
        <v>1</v>
      </c>
      <c r="I157" t="n">
        <v>4</v>
      </c>
      <c r="J157" t="n">
        <v>5</v>
      </c>
      <c r="K157" t="n">
        <v>1</v>
      </c>
      <c r="L157" t="n">
        <v>0</v>
      </c>
      <c r="M157" t="n">
        <v>0</v>
      </c>
      <c r="N157" t="n">
        <v>0</v>
      </c>
      <c r="O157" t="n">
        <v>6</v>
      </c>
      <c r="P157" t="n">
        <v>1</v>
      </c>
      <c r="Q157" t="n">
        <v>10</v>
      </c>
      <c r="R157" s="2" t="inlineStr">
        <is>
          <t>Doftticka
Blå taggsvamp
Garnlav
Granticka
Lunglav
Ullticka
Bårdlav
Dropptaggsvamp
Fjällig taggsvamp s.str.
Luddlav</t>
        </is>
      </c>
      <c r="S157">
        <f>HYPERLINK("https://klasma.github.io/Logging_2283/artfynd/A 43329-2025 artfynd.xlsx", "A 43329-2025")</f>
        <v/>
      </c>
      <c r="T157">
        <f>HYPERLINK("https://klasma.github.io/Logging_2283/kartor/A 43329-2025 karta.png", "A 43329-2025")</f>
        <v/>
      </c>
      <c r="V157">
        <f>HYPERLINK("https://klasma.github.io/Logging_2283/klagomål/A 43329-2025 FSC-klagomål.docx", "A 43329-2025")</f>
        <v/>
      </c>
      <c r="W157">
        <f>HYPERLINK("https://klasma.github.io/Logging_2283/klagomålsmail/A 43329-2025 FSC-klagomål mail.docx", "A 43329-2025")</f>
        <v/>
      </c>
      <c r="X157">
        <f>HYPERLINK("https://klasma.github.io/Logging_2283/tillsyn/A 43329-2025 tillsynsbegäran.docx", "A 43329-2025")</f>
        <v/>
      </c>
      <c r="Y157">
        <f>HYPERLINK("https://klasma.github.io/Logging_2283/tillsynsmail/A 43329-2025 tillsynsbegäran mail.docx", "A 43329-2025")</f>
        <v/>
      </c>
    </row>
    <row r="158" ht="15" customHeight="1">
      <c r="A158" t="inlineStr">
        <is>
          <t>A 49327-2023</t>
        </is>
      </c>
      <c r="B158" s="1" t="n">
        <v>45210</v>
      </c>
      <c r="C158" s="1" t="n">
        <v>46093</v>
      </c>
      <c r="D158" t="inlineStr">
        <is>
          <t>VÄSTERNORRLANDS LÄN</t>
        </is>
      </c>
      <c r="E158" t="inlineStr">
        <is>
          <t>SUNDSVALL</t>
        </is>
      </c>
      <c r="F158" t="inlineStr">
        <is>
          <t>SCA</t>
        </is>
      </c>
      <c r="G158" t="n">
        <v>6.4</v>
      </c>
      <c r="H158" t="n">
        <v>2</v>
      </c>
      <c r="I158" t="n">
        <v>3</v>
      </c>
      <c r="J158" t="n">
        <v>5</v>
      </c>
      <c r="K158" t="n">
        <v>2</v>
      </c>
      <c r="L158" t="n">
        <v>0</v>
      </c>
      <c r="M158" t="n">
        <v>0</v>
      </c>
      <c r="N158" t="n">
        <v>0</v>
      </c>
      <c r="O158" t="n">
        <v>7</v>
      </c>
      <c r="P158" t="n">
        <v>2</v>
      </c>
      <c r="Q158" t="n">
        <v>10</v>
      </c>
      <c r="R158" s="2" t="inlineStr">
        <is>
          <t>Knärot
Rynkskinn
Garnlav
Lunglav
Rosenticka
Tretåig hackspett
Ullticka
Bårdlav
Stuplav
Vedticka</t>
        </is>
      </c>
      <c r="S158">
        <f>HYPERLINK("https://klasma.github.io/Logging_2281/artfynd/A 49327-2023 artfynd.xlsx", "A 49327-2023")</f>
        <v/>
      </c>
      <c r="T158">
        <f>HYPERLINK("https://klasma.github.io/Logging_2281/kartor/A 49327-2023 karta.png", "A 49327-2023")</f>
        <v/>
      </c>
      <c r="U158">
        <f>HYPERLINK("https://klasma.github.io/Logging_2281/knärot/A 49327-2023 karta knärot.png", "A 49327-2023")</f>
        <v/>
      </c>
      <c r="V158">
        <f>HYPERLINK("https://klasma.github.io/Logging_2281/klagomål/A 49327-2023 FSC-klagomål.docx", "A 49327-2023")</f>
        <v/>
      </c>
      <c r="W158">
        <f>HYPERLINK("https://klasma.github.io/Logging_2281/klagomålsmail/A 49327-2023 FSC-klagomål mail.docx", "A 49327-2023")</f>
        <v/>
      </c>
      <c r="X158">
        <f>HYPERLINK("https://klasma.github.io/Logging_2281/tillsyn/A 49327-2023 tillsynsbegäran.docx", "A 49327-2023")</f>
        <v/>
      </c>
      <c r="Y158">
        <f>HYPERLINK("https://klasma.github.io/Logging_2281/tillsynsmail/A 49327-2023 tillsynsbegäran mail.docx", "A 49327-2023")</f>
        <v/>
      </c>
      <c r="Z158">
        <f>HYPERLINK("https://klasma.github.io/Logging_2281/fåglar/A 49327-2023 prioriterade fågelarter.docx", "A 49327-2023")</f>
        <v/>
      </c>
    </row>
    <row r="159" ht="15" customHeight="1">
      <c r="A159" t="inlineStr">
        <is>
          <t>A 51693-2024</t>
        </is>
      </c>
      <c r="B159" s="1" t="n">
        <v>45607.34570601852</v>
      </c>
      <c r="C159" s="1" t="n">
        <v>46093</v>
      </c>
      <c r="D159" t="inlineStr">
        <is>
          <t>VÄSTERNORRLANDS LÄN</t>
        </is>
      </c>
      <c r="E159" t="inlineStr">
        <is>
          <t>SOLLEFTEÅ</t>
        </is>
      </c>
      <c r="F159" t="inlineStr">
        <is>
          <t>SCA</t>
        </is>
      </c>
      <c r="G159" t="n">
        <v>5.2</v>
      </c>
      <c r="H159" t="n">
        <v>3</v>
      </c>
      <c r="I159" t="n">
        <v>2</v>
      </c>
      <c r="J159" t="n">
        <v>7</v>
      </c>
      <c r="K159" t="n">
        <v>1</v>
      </c>
      <c r="L159" t="n">
        <v>0</v>
      </c>
      <c r="M159" t="n">
        <v>0</v>
      </c>
      <c r="N159" t="n">
        <v>0</v>
      </c>
      <c r="O159" t="n">
        <v>8</v>
      </c>
      <c r="P159" t="n">
        <v>1</v>
      </c>
      <c r="Q159" t="n">
        <v>10</v>
      </c>
      <c r="R159" s="2" t="inlineStr">
        <is>
          <t>Knärot
Garnlav
Granticka
Kolflarnlav
Lunglav
Spillkråka
Tretåig hackspett
Ullticka
Dropptaggsvamp
Skuggblåslav</t>
        </is>
      </c>
      <c r="S159">
        <f>HYPERLINK("https://klasma.github.io/Logging_2283/artfynd/A 51693-2024 artfynd.xlsx", "A 51693-2024")</f>
        <v/>
      </c>
      <c r="T159">
        <f>HYPERLINK("https://klasma.github.io/Logging_2283/kartor/A 51693-2024 karta.png", "A 51693-2024")</f>
        <v/>
      </c>
      <c r="U159">
        <f>HYPERLINK("https://klasma.github.io/Logging_2283/knärot/A 51693-2024 karta knärot.png", "A 51693-2024")</f>
        <v/>
      </c>
      <c r="V159">
        <f>HYPERLINK("https://klasma.github.io/Logging_2283/klagomål/A 51693-2024 FSC-klagomål.docx", "A 51693-2024")</f>
        <v/>
      </c>
      <c r="W159">
        <f>HYPERLINK("https://klasma.github.io/Logging_2283/klagomålsmail/A 51693-2024 FSC-klagomål mail.docx", "A 51693-2024")</f>
        <v/>
      </c>
      <c r="X159">
        <f>HYPERLINK("https://klasma.github.io/Logging_2283/tillsyn/A 51693-2024 tillsynsbegäran.docx", "A 51693-2024")</f>
        <v/>
      </c>
      <c r="Y159">
        <f>HYPERLINK("https://klasma.github.io/Logging_2283/tillsynsmail/A 51693-2024 tillsynsbegäran mail.docx", "A 51693-2024")</f>
        <v/>
      </c>
      <c r="Z159">
        <f>HYPERLINK("https://klasma.github.io/Logging_2283/fåglar/A 51693-2024 prioriterade fågelarter.docx", "A 51693-2024")</f>
        <v/>
      </c>
    </row>
    <row r="160" ht="15" customHeight="1">
      <c r="A160" t="inlineStr">
        <is>
          <t>A 39496-2024</t>
        </is>
      </c>
      <c r="B160" s="1" t="n">
        <v>45551</v>
      </c>
      <c r="C160" s="1" t="n">
        <v>46093</v>
      </c>
      <c r="D160" t="inlineStr">
        <is>
          <t>VÄSTERNORRLANDS LÄN</t>
        </is>
      </c>
      <c r="E160" t="inlineStr">
        <is>
          <t>ÅNGE</t>
        </is>
      </c>
      <c r="F160" t="inlineStr">
        <is>
          <t>SCA</t>
        </is>
      </c>
      <c r="G160" t="n">
        <v>6.1</v>
      </c>
      <c r="H160" t="n">
        <v>2</v>
      </c>
      <c r="I160" t="n">
        <v>4</v>
      </c>
      <c r="J160" t="n">
        <v>5</v>
      </c>
      <c r="K160" t="n">
        <v>1</v>
      </c>
      <c r="L160" t="n">
        <v>0</v>
      </c>
      <c r="M160" t="n">
        <v>0</v>
      </c>
      <c r="N160" t="n">
        <v>0</v>
      </c>
      <c r="O160" t="n">
        <v>6</v>
      </c>
      <c r="P160" t="n">
        <v>1</v>
      </c>
      <c r="Q160" t="n">
        <v>10</v>
      </c>
      <c r="R160" s="2" t="inlineStr">
        <is>
          <t>Knärot
Lunglav
Mörk kolflarnlav
Spillkråka
Vedflamlav
Vedtrappmossa
Dropptaggsvamp
Luddlav
Skarp dropptaggsvamp
Vedticka</t>
        </is>
      </c>
      <c r="S160">
        <f>HYPERLINK("https://klasma.github.io/Logging_2260/artfynd/A 39496-2024 artfynd.xlsx", "A 39496-2024")</f>
        <v/>
      </c>
      <c r="T160">
        <f>HYPERLINK("https://klasma.github.io/Logging_2260/kartor/A 39496-2024 karta.png", "A 39496-2024")</f>
        <v/>
      </c>
      <c r="U160">
        <f>HYPERLINK("https://klasma.github.io/Logging_2260/knärot/A 39496-2024 karta knärot.png", "A 39496-2024")</f>
        <v/>
      </c>
      <c r="V160">
        <f>HYPERLINK("https://klasma.github.io/Logging_2260/klagomål/A 39496-2024 FSC-klagomål.docx", "A 39496-2024")</f>
        <v/>
      </c>
      <c r="W160">
        <f>HYPERLINK("https://klasma.github.io/Logging_2260/klagomålsmail/A 39496-2024 FSC-klagomål mail.docx", "A 39496-2024")</f>
        <v/>
      </c>
      <c r="X160">
        <f>HYPERLINK("https://klasma.github.io/Logging_2260/tillsyn/A 39496-2024 tillsynsbegäran.docx", "A 39496-2024")</f>
        <v/>
      </c>
      <c r="Y160">
        <f>HYPERLINK("https://klasma.github.io/Logging_2260/tillsynsmail/A 39496-2024 tillsynsbegäran mail.docx", "A 39496-2024")</f>
        <v/>
      </c>
      <c r="Z160">
        <f>HYPERLINK("https://klasma.github.io/Logging_2260/fåglar/A 39496-2024 prioriterade fågelarter.docx", "A 39496-2024")</f>
        <v/>
      </c>
    </row>
    <row r="161" ht="15" customHeight="1">
      <c r="A161" t="inlineStr">
        <is>
          <t>A 26361-2023</t>
        </is>
      </c>
      <c r="B161" s="1" t="n">
        <v>45091</v>
      </c>
      <c r="C161" s="1" t="n">
        <v>46093</v>
      </c>
      <c r="D161" t="inlineStr">
        <is>
          <t>VÄSTERNORRLANDS LÄN</t>
        </is>
      </c>
      <c r="E161" t="inlineStr">
        <is>
          <t>ÅNGE</t>
        </is>
      </c>
      <c r="F161" t="inlineStr">
        <is>
          <t>SCA</t>
        </is>
      </c>
      <c r="G161" t="n">
        <v>5.5</v>
      </c>
      <c r="H161" t="n">
        <v>4</v>
      </c>
      <c r="I161" t="n">
        <v>1</v>
      </c>
      <c r="J161" t="n">
        <v>8</v>
      </c>
      <c r="K161" t="n">
        <v>1</v>
      </c>
      <c r="L161" t="n">
        <v>0</v>
      </c>
      <c r="M161" t="n">
        <v>0</v>
      </c>
      <c r="N161" t="n">
        <v>0</v>
      </c>
      <c r="O161" t="n">
        <v>9</v>
      </c>
      <c r="P161" t="n">
        <v>1</v>
      </c>
      <c r="Q161" t="n">
        <v>10</v>
      </c>
      <c r="R161" s="2" t="inlineStr">
        <is>
          <t>Knärot
Brunpudrad nållav
Garnlav
Järpe
Lunglav
Skrovellav
Talltita
Tretåig hackspett
Vedskivlav
Dropptaggsvamp</t>
        </is>
      </c>
      <c r="S161">
        <f>HYPERLINK("https://klasma.github.io/Logging_2260/artfynd/A 26361-2023 artfynd.xlsx", "A 26361-2023")</f>
        <v/>
      </c>
      <c r="T161">
        <f>HYPERLINK("https://klasma.github.io/Logging_2260/kartor/A 26361-2023 karta.png", "A 26361-2023")</f>
        <v/>
      </c>
      <c r="U161">
        <f>HYPERLINK("https://klasma.github.io/Logging_2260/knärot/A 26361-2023 karta knärot.png", "A 26361-2023")</f>
        <v/>
      </c>
      <c r="V161">
        <f>HYPERLINK("https://klasma.github.io/Logging_2260/klagomål/A 26361-2023 FSC-klagomål.docx", "A 26361-2023")</f>
        <v/>
      </c>
      <c r="W161">
        <f>HYPERLINK("https://klasma.github.io/Logging_2260/klagomålsmail/A 26361-2023 FSC-klagomål mail.docx", "A 26361-2023")</f>
        <v/>
      </c>
      <c r="X161">
        <f>HYPERLINK("https://klasma.github.io/Logging_2260/tillsyn/A 26361-2023 tillsynsbegäran.docx", "A 26361-2023")</f>
        <v/>
      </c>
      <c r="Y161">
        <f>HYPERLINK("https://klasma.github.io/Logging_2260/tillsynsmail/A 26361-2023 tillsynsbegäran mail.docx", "A 26361-2023")</f>
        <v/>
      </c>
      <c r="Z161">
        <f>HYPERLINK("https://klasma.github.io/Logging_2260/fåglar/A 26361-2023 prioriterade fågelarter.docx", "A 26361-2023")</f>
        <v/>
      </c>
    </row>
    <row r="162" ht="15" customHeight="1">
      <c r="A162" t="inlineStr">
        <is>
          <t>A 18009-2022</t>
        </is>
      </c>
      <c r="B162" s="1" t="n">
        <v>44683</v>
      </c>
      <c r="C162" s="1" t="n">
        <v>46093</v>
      </c>
      <c r="D162" t="inlineStr">
        <is>
          <t>VÄSTERNORRLANDS LÄN</t>
        </is>
      </c>
      <c r="E162" t="inlineStr">
        <is>
          <t>SOLLEFTEÅ</t>
        </is>
      </c>
      <c r="F162" t="inlineStr">
        <is>
          <t>SCA</t>
        </is>
      </c>
      <c r="G162" t="n">
        <v>3.6</v>
      </c>
      <c r="H162" t="n">
        <v>5</v>
      </c>
      <c r="I162" t="n">
        <v>1</v>
      </c>
      <c r="J162" t="n">
        <v>8</v>
      </c>
      <c r="K162" t="n">
        <v>1</v>
      </c>
      <c r="L162" t="n">
        <v>0</v>
      </c>
      <c r="M162" t="n">
        <v>0</v>
      </c>
      <c r="N162" t="n">
        <v>0</v>
      </c>
      <c r="O162" t="n">
        <v>9</v>
      </c>
      <c r="P162" t="n">
        <v>1</v>
      </c>
      <c r="Q162" t="n">
        <v>10</v>
      </c>
      <c r="R162" s="2" t="inlineStr">
        <is>
          <t>Knärot
Garnlav
Granticka
Järpe
Skogshare
Spillkråka
Talltita
Tretåig hackspett
Ullticka
Bollvitmossa</t>
        </is>
      </c>
      <c r="S162">
        <f>HYPERLINK("https://klasma.github.io/Logging_2283/artfynd/A 18009-2022 artfynd.xlsx", "A 18009-2022")</f>
        <v/>
      </c>
      <c r="T162">
        <f>HYPERLINK("https://klasma.github.io/Logging_2283/kartor/A 18009-2022 karta.png", "A 18009-2022")</f>
        <v/>
      </c>
      <c r="U162">
        <f>HYPERLINK("https://klasma.github.io/Logging_2283/knärot/A 18009-2022 karta knärot.png", "A 18009-2022")</f>
        <v/>
      </c>
      <c r="V162">
        <f>HYPERLINK("https://klasma.github.io/Logging_2283/klagomål/A 18009-2022 FSC-klagomål.docx", "A 18009-2022")</f>
        <v/>
      </c>
      <c r="W162">
        <f>HYPERLINK("https://klasma.github.io/Logging_2283/klagomålsmail/A 18009-2022 FSC-klagomål mail.docx", "A 18009-2022")</f>
        <v/>
      </c>
      <c r="X162">
        <f>HYPERLINK("https://klasma.github.io/Logging_2283/tillsyn/A 18009-2022 tillsynsbegäran.docx", "A 18009-2022")</f>
        <v/>
      </c>
      <c r="Y162">
        <f>HYPERLINK("https://klasma.github.io/Logging_2283/tillsynsmail/A 18009-2022 tillsynsbegäran mail.docx", "A 18009-2022")</f>
        <v/>
      </c>
      <c r="Z162">
        <f>HYPERLINK("https://klasma.github.io/Logging_2283/fåglar/A 18009-2022 prioriterade fågelarter.docx", "A 18009-2022")</f>
        <v/>
      </c>
    </row>
    <row r="163" ht="15" customHeight="1">
      <c r="A163" t="inlineStr">
        <is>
          <t>A 38950-2021</t>
        </is>
      </c>
      <c r="B163" s="1" t="n">
        <v>44411</v>
      </c>
      <c r="C163" s="1" t="n">
        <v>46093</v>
      </c>
      <c r="D163" t="inlineStr">
        <is>
          <t>VÄSTERNORRLANDS LÄN</t>
        </is>
      </c>
      <c r="E163" t="inlineStr">
        <is>
          <t>KRAMFORS</t>
        </is>
      </c>
      <c r="G163" t="n">
        <v>10</v>
      </c>
      <c r="H163" t="n">
        <v>1</v>
      </c>
      <c r="I163" t="n">
        <v>1</v>
      </c>
      <c r="J163" t="n">
        <v>8</v>
      </c>
      <c r="K163" t="n">
        <v>1</v>
      </c>
      <c r="L163" t="n">
        <v>0</v>
      </c>
      <c r="M163" t="n">
        <v>0</v>
      </c>
      <c r="N163" t="n">
        <v>0</v>
      </c>
      <c r="O163" t="n">
        <v>9</v>
      </c>
      <c r="P163" t="n">
        <v>1</v>
      </c>
      <c r="Q163" t="n">
        <v>10</v>
      </c>
      <c r="R163" s="2" t="inlineStr">
        <is>
          <t>Ringlav
Doftskinn
Garnlav
Granticka
Gränsticka
Gul taggsvamp
Talltita
Ullticka
Violettgrå tagellav
Vedticka</t>
        </is>
      </c>
      <c r="S163">
        <f>HYPERLINK("https://klasma.github.io/Logging_2282/artfynd/A 38950-2021 artfynd.xlsx", "A 38950-2021")</f>
        <v/>
      </c>
      <c r="T163">
        <f>HYPERLINK("https://klasma.github.io/Logging_2282/kartor/A 38950-2021 karta.png", "A 38950-2021")</f>
        <v/>
      </c>
      <c r="V163">
        <f>HYPERLINK("https://klasma.github.io/Logging_2282/klagomål/A 38950-2021 FSC-klagomål.docx", "A 38950-2021")</f>
        <v/>
      </c>
      <c r="W163">
        <f>HYPERLINK("https://klasma.github.io/Logging_2282/klagomålsmail/A 38950-2021 FSC-klagomål mail.docx", "A 38950-2021")</f>
        <v/>
      </c>
      <c r="X163">
        <f>HYPERLINK("https://klasma.github.io/Logging_2282/tillsyn/A 38950-2021 tillsynsbegäran.docx", "A 38950-2021")</f>
        <v/>
      </c>
      <c r="Y163">
        <f>HYPERLINK("https://klasma.github.io/Logging_2282/tillsynsmail/A 38950-2021 tillsynsbegäran mail.docx", "A 38950-2021")</f>
        <v/>
      </c>
      <c r="Z163">
        <f>HYPERLINK("https://klasma.github.io/Logging_2282/fåglar/A 38950-2021 prioriterade fågelarter.docx", "A 38950-2021")</f>
        <v/>
      </c>
    </row>
    <row r="164" ht="15" customHeight="1">
      <c r="A164" t="inlineStr">
        <is>
          <t>A 43682-2025</t>
        </is>
      </c>
      <c r="B164" s="1" t="n">
        <v>45912</v>
      </c>
      <c r="C164" s="1" t="n">
        <v>46093</v>
      </c>
      <c r="D164" t="inlineStr">
        <is>
          <t>VÄSTERNORRLANDS LÄN</t>
        </is>
      </c>
      <c r="E164" t="inlineStr">
        <is>
          <t>ÖRNSKÖLDSVIK</t>
        </is>
      </c>
      <c r="G164" t="n">
        <v>6.4</v>
      </c>
      <c r="H164" t="n">
        <v>2</v>
      </c>
      <c r="I164" t="n">
        <v>1</v>
      </c>
      <c r="J164" t="n">
        <v>8</v>
      </c>
      <c r="K164" t="n">
        <v>1</v>
      </c>
      <c r="L164" t="n">
        <v>0</v>
      </c>
      <c r="M164" t="n">
        <v>0</v>
      </c>
      <c r="N164" t="n">
        <v>0</v>
      </c>
      <c r="O164" t="n">
        <v>9</v>
      </c>
      <c r="P164" t="n">
        <v>1</v>
      </c>
      <c r="Q164" t="n">
        <v>10</v>
      </c>
      <c r="R164" s="2" t="inlineStr">
        <is>
          <t>Rynkskinn
Doftskinn
Gammelgransskål
Gränsticka
Spillkråka
Talltita
Ullticka
Vedflamlav
Vedskivlav
Tallfingersvamp</t>
        </is>
      </c>
      <c r="S164">
        <f>HYPERLINK("https://klasma.github.io/Logging_2284/artfynd/A 43682-2025 artfynd.xlsx", "A 43682-2025")</f>
        <v/>
      </c>
      <c r="T164">
        <f>HYPERLINK("https://klasma.github.io/Logging_2284/kartor/A 43682-2025 karta.png", "A 43682-2025")</f>
        <v/>
      </c>
      <c r="V164">
        <f>HYPERLINK("https://klasma.github.io/Logging_2284/klagomål/A 43682-2025 FSC-klagomål.docx", "A 43682-2025")</f>
        <v/>
      </c>
      <c r="W164">
        <f>HYPERLINK("https://klasma.github.io/Logging_2284/klagomålsmail/A 43682-2025 FSC-klagomål mail.docx", "A 43682-2025")</f>
        <v/>
      </c>
      <c r="X164">
        <f>HYPERLINK("https://klasma.github.io/Logging_2284/tillsyn/A 43682-2025 tillsynsbegäran.docx", "A 43682-2025")</f>
        <v/>
      </c>
      <c r="Y164">
        <f>HYPERLINK("https://klasma.github.io/Logging_2284/tillsynsmail/A 43682-2025 tillsynsbegäran mail.docx", "A 43682-2025")</f>
        <v/>
      </c>
      <c r="Z164">
        <f>HYPERLINK("https://klasma.github.io/Logging_2284/fåglar/A 43682-2025 prioriterade fågelarter.docx", "A 43682-2025")</f>
        <v/>
      </c>
    </row>
    <row r="165" ht="15" customHeight="1">
      <c r="A165" t="inlineStr">
        <is>
          <t>A 15274-2025</t>
        </is>
      </c>
      <c r="B165" s="1" t="n">
        <v>45744.67758101852</v>
      </c>
      <c r="C165" s="1" t="n">
        <v>46093</v>
      </c>
      <c r="D165" t="inlineStr">
        <is>
          <t>VÄSTERNORRLANDS LÄN</t>
        </is>
      </c>
      <c r="E165" t="inlineStr">
        <is>
          <t>SUNDSVALL</t>
        </is>
      </c>
      <c r="F165" t="inlineStr">
        <is>
          <t>SCA</t>
        </is>
      </c>
      <c r="G165" t="n">
        <v>9.4</v>
      </c>
      <c r="H165" t="n">
        <v>4</v>
      </c>
      <c r="I165" t="n">
        <v>5</v>
      </c>
      <c r="J165" t="n">
        <v>3</v>
      </c>
      <c r="K165" t="n">
        <v>1</v>
      </c>
      <c r="L165" t="n">
        <v>0</v>
      </c>
      <c r="M165" t="n">
        <v>0</v>
      </c>
      <c r="N165" t="n">
        <v>0</v>
      </c>
      <c r="O165" t="n">
        <v>4</v>
      </c>
      <c r="P165" t="n">
        <v>1</v>
      </c>
      <c r="Q165" t="n">
        <v>10</v>
      </c>
      <c r="R165" s="2" t="inlineStr">
        <is>
          <t>Knärot
Garnlav
Spillkråka
Ullticka
Grön sköldmossa
Mörk husmossa
Skinnlav
Stor aspticka
Vedticka
Nattviol</t>
        </is>
      </c>
      <c r="S165">
        <f>HYPERLINK("https://klasma.github.io/Logging_2281/artfynd/A 15274-2025 artfynd.xlsx", "A 15274-2025")</f>
        <v/>
      </c>
      <c r="T165">
        <f>HYPERLINK("https://klasma.github.io/Logging_2281/kartor/A 15274-2025 karta.png", "A 15274-2025")</f>
        <v/>
      </c>
      <c r="U165">
        <f>HYPERLINK("https://klasma.github.io/Logging_2281/knärot/A 15274-2025 karta knärot.png", "A 15274-2025")</f>
        <v/>
      </c>
      <c r="V165">
        <f>HYPERLINK("https://klasma.github.io/Logging_2281/klagomål/A 15274-2025 FSC-klagomål.docx", "A 15274-2025")</f>
        <v/>
      </c>
      <c r="W165">
        <f>HYPERLINK("https://klasma.github.io/Logging_2281/klagomålsmail/A 15274-2025 FSC-klagomål mail.docx", "A 15274-2025")</f>
        <v/>
      </c>
      <c r="X165">
        <f>HYPERLINK("https://klasma.github.io/Logging_2281/tillsyn/A 15274-2025 tillsynsbegäran.docx", "A 15274-2025")</f>
        <v/>
      </c>
      <c r="Y165">
        <f>HYPERLINK("https://klasma.github.io/Logging_2281/tillsynsmail/A 15274-2025 tillsynsbegäran mail.docx", "A 15274-2025")</f>
        <v/>
      </c>
      <c r="Z165">
        <f>HYPERLINK("https://klasma.github.io/Logging_2281/fåglar/A 15274-2025 prioriterade fågelarter.docx", "A 15274-2025")</f>
        <v/>
      </c>
    </row>
    <row r="166" ht="15" customHeight="1">
      <c r="A166" t="inlineStr">
        <is>
          <t>A 19825-2023</t>
        </is>
      </c>
      <c r="B166" s="1" t="n">
        <v>45051</v>
      </c>
      <c r="C166" s="1" t="n">
        <v>46093</v>
      </c>
      <c r="D166" t="inlineStr">
        <is>
          <t>VÄSTERNORRLANDS LÄN</t>
        </is>
      </c>
      <c r="E166" t="inlineStr">
        <is>
          <t>SOLLEFTEÅ</t>
        </is>
      </c>
      <c r="F166" t="inlineStr">
        <is>
          <t>SCA</t>
        </is>
      </c>
      <c r="G166" t="n">
        <v>18</v>
      </c>
      <c r="H166" t="n">
        <v>0</v>
      </c>
      <c r="I166" t="n">
        <v>1</v>
      </c>
      <c r="J166" t="n">
        <v>8</v>
      </c>
      <c r="K166" t="n">
        <v>1</v>
      </c>
      <c r="L166" t="n">
        <v>0</v>
      </c>
      <c r="M166" t="n">
        <v>0</v>
      </c>
      <c r="N166" t="n">
        <v>0</v>
      </c>
      <c r="O166" t="n">
        <v>9</v>
      </c>
      <c r="P166" t="n">
        <v>1</v>
      </c>
      <c r="Q166" t="n">
        <v>10</v>
      </c>
      <c r="R166" s="2" t="inlineStr">
        <is>
          <t>Gräddticka
Doftskinn
Gammelgransskål
Garnlav
Granticka
Gränsticka
Lunglav
Ullticka
Vitgrynig nållav
Vedticka</t>
        </is>
      </c>
      <c r="S166">
        <f>HYPERLINK("https://klasma.github.io/Logging_2283/artfynd/A 19825-2023 artfynd.xlsx", "A 19825-2023")</f>
        <v/>
      </c>
      <c r="T166">
        <f>HYPERLINK("https://klasma.github.io/Logging_2283/kartor/A 19825-2023 karta.png", "A 19825-2023")</f>
        <v/>
      </c>
      <c r="V166">
        <f>HYPERLINK("https://klasma.github.io/Logging_2283/klagomål/A 19825-2023 FSC-klagomål.docx", "A 19825-2023")</f>
        <v/>
      </c>
      <c r="W166">
        <f>HYPERLINK("https://klasma.github.io/Logging_2283/klagomålsmail/A 19825-2023 FSC-klagomål mail.docx", "A 19825-2023")</f>
        <v/>
      </c>
      <c r="X166">
        <f>HYPERLINK("https://klasma.github.io/Logging_2283/tillsyn/A 19825-2023 tillsynsbegäran.docx", "A 19825-2023")</f>
        <v/>
      </c>
      <c r="Y166">
        <f>HYPERLINK("https://klasma.github.io/Logging_2283/tillsynsmail/A 19825-2023 tillsynsbegäran mail.docx", "A 19825-2023")</f>
        <v/>
      </c>
    </row>
    <row r="167" ht="15" customHeight="1">
      <c r="A167" t="inlineStr">
        <is>
          <t>A 30840-2023</t>
        </is>
      </c>
      <c r="B167" s="1" t="n">
        <v>45112</v>
      </c>
      <c r="C167" s="1" t="n">
        <v>46093</v>
      </c>
      <c r="D167" t="inlineStr">
        <is>
          <t>VÄSTERNORRLANDS LÄN</t>
        </is>
      </c>
      <c r="E167" t="inlineStr">
        <is>
          <t>ÅNGE</t>
        </is>
      </c>
      <c r="F167" t="inlineStr">
        <is>
          <t>SCA</t>
        </is>
      </c>
      <c r="G167" t="n">
        <v>9.699999999999999</v>
      </c>
      <c r="H167" t="n">
        <v>4</v>
      </c>
      <c r="I167" t="n">
        <v>1</v>
      </c>
      <c r="J167" t="n">
        <v>7</v>
      </c>
      <c r="K167" t="n">
        <v>1</v>
      </c>
      <c r="L167" t="n">
        <v>0</v>
      </c>
      <c r="M167" t="n">
        <v>0</v>
      </c>
      <c r="N167" t="n">
        <v>0</v>
      </c>
      <c r="O167" t="n">
        <v>8</v>
      </c>
      <c r="P167" t="n">
        <v>1</v>
      </c>
      <c r="Q167" t="n">
        <v>10</v>
      </c>
      <c r="R167" s="2" t="inlineStr">
        <is>
          <t>Knärot
Kolflarnlav
Mörk kolflarnlav
Spillkråka
Tallticka
Talltita
Ullticka
Vedtrappmossa
Dropptaggsvamp
Tjäder</t>
        </is>
      </c>
      <c r="S167">
        <f>HYPERLINK("https://klasma.github.io/Logging_2260/artfynd/A 30840-2023 artfynd.xlsx", "A 30840-2023")</f>
        <v/>
      </c>
      <c r="T167">
        <f>HYPERLINK("https://klasma.github.io/Logging_2260/kartor/A 30840-2023 karta.png", "A 30840-2023")</f>
        <v/>
      </c>
      <c r="U167">
        <f>HYPERLINK("https://klasma.github.io/Logging_2260/knärot/A 30840-2023 karta knärot.png", "A 30840-2023")</f>
        <v/>
      </c>
      <c r="V167">
        <f>HYPERLINK("https://klasma.github.io/Logging_2260/klagomål/A 30840-2023 FSC-klagomål.docx", "A 30840-2023")</f>
        <v/>
      </c>
      <c r="W167">
        <f>HYPERLINK("https://klasma.github.io/Logging_2260/klagomålsmail/A 30840-2023 FSC-klagomål mail.docx", "A 30840-2023")</f>
        <v/>
      </c>
      <c r="X167">
        <f>HYPERLINK("https://klasma.github.io/Logging_2260/tillsyn/A 30840-2023 tillsynsbegäran.docx", "A 30840-2023")</f>
        <v/>
      </c>
      <c r="Y167">
        <f>HYPERLINK("https://klasma.github.io/Logging_2260/tillsynsmail/A 30840-2023 tillsynsbegäran mail.docx", "A 30840-2023")</f>
        <v/>
      </c>
      <c r="Z167">
        <f>HYPERLINK("https://klasma.github.io/Logging_2260/fåglar/A 30840-2023 prioriterade fågelarter.docx", "A 30840-2023")</f>
        <v/>
      </c>
    </row>
    <row r="168" ht="15" customHeight="1">
      <c r="A168" t="inlineStr">
        <is>
          <t>A 61524-2025</t>
        </is>
      </c>
      <c r="B168" s="1" t="n">
        <v>46001.68811342592</v>
      </c>
      <c r="C168" s="1" t="n">
        <v>46093</v>
      </c>
      <c r="D168" t="inlineStr">
        <is>
          <t>VÄSTERNORRLANDS LÄN</t>
        </is>
      </c>
      <c r="E168" t="inlineStr">
        <is>
          <t>ÅNGE</t>
        </is>
      </c>
      <c r="F168" t="inlineStr">
        <is>
          <t>SCA</t>
        </is>
      </c>
      <c r="G168" t="n">
        <v>3.4</v>
      </c>
      <c r="H168" t="n">
        <v>2</v>
      </c>
      <c r="I168" t="n">
        <v>2</v>
      </c>
      <c r="J168" t="n">
        <v>6</v>
      </c>
      <c r="K168" t="n">
        <v>2</v>
      </c>
      <c r="L168" t="n">
        <v>0</v>
      </c>
      <c r="M168" t="n">
        <v>0</v>
      </c>
      <c r="N168" t="n">
        <v>0</v>
      </c>
      <c r="O168" t="n">
        <v>8</v>
      </c>
      <c r="P168" t="n">
        <v>2</v>
      </c>
      <c r="Q168" t="n">
        <v>10</v>
      </c>
      <c r="R168" s="2" t="inlineStr">
        <is>
          <t>Knärot
Tajgataggsvamp
Koralltaggsvamp
Oljetagging
Orange taggsvamp
Rosenticka
Svart taggsvamp agg.
Vaddporing
Grönkulla
Rökmusseron</t>
        </is>
      </c>
      <c r="S168">
        <f>HYPERLINK("https://klasma.github.io/Logging_2260/artfynd/A 61524-2025 artfynd.xlsx", "A 61524-2025")</f>
        <v/>
      </c>
      <c r="T168">
        <f>HYPERLINK("https://klasma.github.io/Logging_2260/kartor/A 61524-2025 karta.png", "A 61524-2025")</f>
        <v/>
      </c>
      <c r="U168">
        <f>HYPERLINK("https://klasma.github.io/Logging_2260/knärot/A 61524-2025 karta knärot.png", "A 61524-2025")</f>
        <v/>
      </c>
      <c r="V168">
        <f>HYPERLINK("https://klasma.github.io/Logging_2260/klagomål/A 61524-2025 FSC-klagomål.docx", "A 61524-2025")</f>
        <v/>
      </c>
      <c r="W168">
        <f>HYPERLINK("https://klasma.github.io/Logging_2260/klagomålsmail/A 61524-2025 FSC-klagomål mail.docx", "A 61524-2025")</f>
        <v/>
      </c>
      <c r="X168">
        <f>HYPERLINK("https://klasma.github.io/Logging_2260/tillsyn/A 61524-2025 tillsynsbegäran.docx", "A 61524-2025")</f>
        <v/>
      </c>
      <c r="Y168">
        <f>HYPERLINK("https://klasma.github.io/Logging_2260/tillsynsmail/A 61524-2025 tillsynsbegäran mail.docx", "A 61524-2025")</f>
        <v/>
      </c>
    </row>
    <row r="169" ht="15" customHeight="1">
      <c r="A169" t="inlineStr">
        <is>
          <t>A 62197-2025</t>
        </is>
      </c>
      <c r="B169" s="1" t="n">
        <v>46006.55293981481</v>
      </c>
      <c r="C169" s="1" t="n">
        <v>46093</v>
      </c>
      <c r="D169" t="inlineStr">
        <is>
          <t>VÄSTERNORRLANDS LÄN</t>
        </is>
      </c>
      <c r="E169" t="inlineStr">
        <is>
          <t>SOLLEFTEÅ</t>
        </is>
      </c>
      <c r="F169" t="inlineStr">
        <is>
          <t>SCA</t>
        </is>
      </c>
      <c r="G169" t="n">
        <v>12.2</v>
      </c>
      <c r="H169" t="n">
        <v>2</v>
      </c>
      <c r="I169" t="n">
        <v>1</v>
      </c>
      <c r="J169" t="n">
        <v>6</v>
      </c>
      <c r="K169" t="n">
        <v>3</v>
      </c>
      <c r="L169" t="n">
        <v>0</v>
      </c>
      <c r="M169" t="n">
        <v>0</v>
      </c>
      <c r="N169" t="n">
        <v>0</v>
      </c>
      <c r="O169" t="n">
        <v>9</v>
      </c>
      <c r="P169" t="n">
        <v>3</v>
      </c>
      <c r="Q169" t="n">
        <v>10</v>
      </c>
      <c r="R169" s="2" t="inlineStr">
        <is>
          <t>Lappticka
Rynkskinn
Ulltickeporing
Garnlav
Granticka
Olisthaerus substriatus
Rosenticka
Talltita
Ullticka
Plattlummer</t>
        </is>
      </c>
      <c r="S169">
        <f>HYPERLINK("https://klasma.github.io/Logging_2283/artfynd/A 62197-2025 artfynd.xlsx", "A 62197-2025")</f>
        <v/>
      </c>
      <c r="T169">
        <f>HYPERLINK("https://klasma.github.io/Logging_2283/kartor/A 62197-2025 karta.png", "A 62197-2025")</f>
        <v/>
      </c>
      <c r="V169">
        <f>HYPERLINK("https://klasma.github.io/Logging_2283/klagomål/A 62197-2025 FSC-klagomål.docx", "A 62197-2025")</f>
        <v/>
      </c>
      <c r="W169">
        <f>HYPERLINK("https://klasma.github.io/Logging_2283/klagomålsmail/A 62197-2025 FSC-klagomål mail.docx", "A 62197-2025")</f>
        <v/>
      </c>
      <c r="X169">
        <f>HYPERLINK("https://klasma.github.io/Logging_2283/tillsyn/A 62197-2025 tillsynsbegäran.docx", "A 62197-2025")</f>
        <v/>
      </c>
      <c r="Y169">
        <f>HYPERLINK("https://klasma.github.io/Logging_2283/tillsynsmail/A 62197-2025 tillsynsbegäran mail.docx", "A 62197-2025")</f>
        <v/>
      </c>
      <c r="Z169">
        <f>HYPERLINK("https://klasma.github.io/Logging_2283/fåglar/A 62197-2025 prioriterade fågelarter.docx", "A 62197-2025")</f>
        <v/>
      </c>
    </row>
    <row r="170" ht="15" customHeight="1">
      <c r="A170" t="inlineStr">
        <is>
          <t>A 62975-2025</t>
        </is>
      </c>
      <c r="B170" s="1" t="n">
        <v>46009.46949074074</v>
      </c>
      <c r="C170" s="1" t="n">
        <v>46093</v>
      </c>
      <c r="D170" t="inlineStr">
        <is>
          <t>VÄSTERNORRLANDS LÄN</t>
        </is>
      </c>
      <c r="E170" t="inlineStr">
        <is>
          <t>SOLLEFTEÅ</t>
        </is>
      </c>
      <c r="G170" t="n">
        <v>3.9</v>
      </c>
      <c r="H170" t="n">
        <v>0</v>
      </c>
      <c r="I170" t="n">
        <v>4</v>
      </c>
      <c r="J170" t="n">
        <v>5</v>
      </c>
      <c r="K170" t="n">
        <v>1</v>
      </c>
      <c r="L170" t="n">
        <v>0</v>
      </c>
      <c r="M170" t="n">
        <v>0</v>
      </c>
      <c r="N170" t="n">
        <v>0</v>
      </c>
      <c r="O170" t="n">
        <v>6</v>
      </c>
      <c r="P170" t="n">
        <v>1</v>
      </c>
      <c r="Q170" t="n">
        <v>10</v>
      </c>
      <c r="R170" s="2" t="inlineStr">
        <is>
          <t>Lappticka
Gammelgransskål
Garnlav
Granticka
Lunglav
Rosenticka
Dropptaggsvamp
Luddlav
Stuplav
Vedticka</t>
        </is>
      </c>
      <c r="S170">
        <f>HYPERLINK("https://klasma.github.io/Logging_2283/artfynd/A 62975-2025 artfynd.xlsx", "A 62975-2025")</f>
        <v/>
      </c>
      <c r="T170">
        <f>HYPERLINK("https://klasma.github.io/Logging_2283/kartor/A 62975-2025 karta.png", "A 62975-2025")</f>
        <v/>
      </c>
      <c r="V170">
        <f>HYPERLINK("https://klasma.github.io/Logging_2283/klagomål/A 62975-2025 FSC-klagomål.docx", "A 62975-2025")</f>
        <v/>
      </c>
      <c r="W170">
        <f>HYPERLINK("https://klasma.github.io/Logging_2283/klagomålsmail/A 62975-2025 FSC-klagomål mail.docx", "A 62975-2025")</f>
        <v/>
      </c>
      <c r="X170">
        <f>HYPERLINK("https://klasma.github.io/Logging_2283/tillsyn/A 62975-2025 tillsynsbegäran.docx", "A 62975-2025")</f>
        <v/>
      </c>
      <c r="Y170">
        <f>HYPERLINK("https://klasma.github.io/Logging_2283/tillsynsmail/A 62975-2025 tillsynsbegäran mail.docx", "A 62975-2025")</f>
        <v/>
      </c>
    </row>
    <row r="171" ht="15" customHeight="1">
      <c r="A171" t="inlineStr">
        <is>
          <t>A 34711-2023</t>
        </is>
      </c>
      <c r="B171" s="1" t="n">
        <v>45139</v>
      </c>
      <c r="C171" s="1" t="n">
        <v>46093</v>
      </c>
      <c r="D171" t="inlineStr">
        <is>
          <t>VÄSTERNORRLANDS LÄN</t>
        </is>
      </c>
      <c r="E171" t="inlineStr">
        <is>
          <t>HÄRNÖSAND</t>
        </is>
      </c>
      <c r="G171" t="n">
        <v>11.6</v>
      </c>
      <c r="H171" t="n">
        <v>0</v>
      </c>
      <c r="I171" t="n">
        <v>4</v>
      </c>
      <c r="J171" t="n">
        <v>4</v>
      </c>
      <c r="K171" t="n">
        <v>2</v>
      </c>
      <c r="L171" t="n">
        <v>0</v>
      </c>
      <c r="M171" t="n">
        <v>0</v>
      </c>
      <c r="N171" t="n">
        <v>0</v>
      </c>
      <c r="O171" t="n">
        <v>6</v>
      </c>
      <c r="P171" t="n">
        <v>2</v>
      </c>
      <c r="Q171" t="n">
        <v>10</v>
      </c>
      <c r="R171" s="2" t="inlineStr">
        <is>
          <t>Aspfjädermossa
Aspgelélav
Doftskinn
Granticka
Kolflarnlav
Ullticka
Korallblylav
Skinnlav
Stuplav
Vedticka</t>
        </is>
      </c>
      <c r="S171">
        <f>HYPERLINK("https://klasma.github.io/Logging_2280/artfynd/A 34711-2023 artfynd.xlsx", "A 34711-2023")</f>
        <v/>
      </c>
      <c r="T171">
        <f>HYPERLINK("https://klasma.github.io/Logging_2280/kartor/A 34711-2023 karta.png", "A 34711-2023")</f>
        <v/>
      </c>
      <c r="V171">
        <f>HYPERLINK("https://klasma.github.io/Logging_2280/klagomål/A 34711-2023 FSC-klagomål.docx", "A 34711-2023")</f>
        <v/>
      </c>
      <c r="W171">
        <f>HYPERLINK("https://klasma.github.io/Logging_2280/klagomålsmail/A 34711-2023 FSC-klagomål mail.docx", "A 34711-2023")</f>
        <v/>
      </c>
      <c r="X171">
        <f>HYPERLINK("https://klasma.github.io/Logging_2280/tillsyn/A 34711-2023 tillsynsbegäran.docx", "A 34711-2023")</f>
        <v/>
      </c>
      <c r="Y171">
        <f>HYPERLINK("https://klasma.github.io/Logging_2280/tillsynsmail/A 34711-2023 tillsynsbegäran mail.docx", "A 34711-2023")</f>
        <v/>
      </c>
    </row>
    <row r="172" ht="15" customHeight="1">
      <c r="A172" t="inlineStr">
        <is>
          <t>A 16398-2023</t>
        </is>
      </c>
      <c r="B172" s="1" t="n">
        <v>45022</v>
      </c>
      <c r="C172" s="1" t="n">
        <v>46093</v>
      </c>
      <c r="D172" t="inlineStr">
        <is>
          <t>VÄSTERNORRLANDS LÄN</t>
        </is>
      </c>
      <c r="E172" t="inlineStr">
        <is>
          <t>SUNDSVALL</t>
        </is>
      </c>
      <c r="G172" t="n">
        <v>10</v>
      </c>
      <c r="H172" t="n">
        <v>1</v>
      </c>
      <c r="I172" t="n">
        <v>4</v>
      </c>
      <c r="J172" t="n">
        <v>5</v>
      </c>
      <c r="K172" t="n">
        <v>1</v>
      </c>
      <c r="L172" t="n">
        <v>0</v>
      </c>
      <c r="M172" t="n">
        <v>0</v>
      </c>
      <c r="N172" t="n">
        <v>0</v>
      </c>
      <c r="O172" t="n">
        <v>6</v>
      </c>
      <c r="P172" t="n">
        <v>1</v>
      </c>
      <c r="Q172" t="n">
        <v>10</v>
      </c>
      <c r="R172" s="2" t="inlineStr">
        <is>
          <t>Knärot
Garnlav
Ullticka
Vedflamlav
Vedskivlav
Violettgrå tagellav
Björksplintborre
Bronshjon
Grönpyrola
Vågbandad barkbock</t>
        </is>
      </c>
      <c r="S172">
        <f>HYPERLINK("https://klasma.github.io/Logging_2281/artfynd/A 16398-2023 artfynd.xlsx", "A 16398-2023")</f>
        <v/>
      </c>
      <c r="T172">
        <f>HYPERLINK("https://klasma.github.io/Logging_2281/kartor/A 16398-2023 karta.png", "A 16398-2023")</f>
        <v/>
      </c>
      <c r="U172">
        <f>HYPERLINK("https://klasma.github.io/Logging_2281/knärot/A 16398-2023 karta knärot.png", "A 16398-2023")</f>
        <v/>
      </c>
      <c r="V172">
        <f>HYPERLINK("https://klasma.github.io/Logging_2281/klagomål/A 16398-2023 FSC-klagomål.docx", "A 16398-2023")</f>
        <v/>
      </c>
      <c r="W172">
        <f>HYPERLINK("https://klasma.github.io/Logging_2281/klagomålsmail/A 16398-2023 FSC-klagomål mail.docx", "A 16398-2023")</f>
        <v/>
      </c>
      <c r="X172">
        <f>HYPERLINK("https://klasma.github.io/Logging_2281/tillsyn/A 16398-2023 tillsynsbegäran.docx", "A 16398-2023")</f>
        <v/>
      </c>
      <c r="Y172">
        <f>HYPERLINK("https://klasma.github.io/Logging_2281/tillsynsmail/A 16398-2023 tillsynsbegäran mail.docx", "A 16398-2023")</f>
        <v/>
      </c>
    </row>
    <row r="173" ht="15" customHeight="1">
      <c r="A173" t="inlineStr">
        <is>
          <t>A 48961-2024</t>
        </is>
      </c>
      <c r="B173" s="1" t="n">
        <v>45594</v>
      </c>
      <c r="C173" s="1" t="n">
        <v>46093</v>
      </c>
      <c r="D173" t="inlineStr">
        <is>
          <t>VÄSTERNORRLANDS LÄN</t>
        </is>
      </c>
      <c r="E173" t="inlineStr">
        <is>
          <t>SUNDSVALL</t>
        </is>
      </c>
      <c r="F173" t="inlineStr">
        <is>
          <t>SCA</t>
        </is>
      </c>
      <c r="G173" t="n">
        <v>4.5</v>
      </c>
      <c r="H173" t="n">
        <v>7</v>
      </c>
      <c r="I173" t="n">
        <v>0</v>
      </c>
      <c r="J173" t="n">
        <v>7</v>
      </c>
      <c r="K173" t="n">
        <v>1</v>
      </c>
      <c r="L173" t="n">
        <v>0</v>
      </c>
      <c r="M173" t="n">
        <v>0</v>
      </c>
      <c r="N173" t="n">
        <v>0</v>
      </c>
      <c r="O173" t="n">
        <v>8</v>
      </c>
      <c r="P173" t="n">
        <v>1</v>
      </c>
      <c r="Q173" t="n">
        <v>10</v>
      </c>
      <c r="R173" s="2" t="inlineStr">
        <is>
          <t>Knärot
Garnlav
Järpe
Lunglav
Spillkråka
Svartvit flugsnappare
Tretåig hackspett
Ullticka
Tjäder
Revlummer</t>
        </is>
      </c>
      <c r="S173">
        <f>HYPERLINK("https://klasma.github.io/Logging_2281/artfynd/A 48961-2024 artfynd.xlsx", "A 48961-2024")</f>
        <v/>
      </c>
      <c r="T173">
        <f>HYPERLINK("https://klasma.github.io/Logging_2281/kartor/A 48961-2024 karta.png", "A 48961-2024")</f>
        <v/>
      </c>
      <c r="U173">
        <f>HYPERLINK("https://klasma.github.io/Logging_2281/knärot/A 48961-2024 karta knärot.png", "A 48961-2024")</f>
        <v/>
      </c>
      <c r="V173">
        <f>HYPERLINK("https://klasma.github.io/Logging_2281/klagomål/A 48961-2024 FSC-klagomål.docx", "A 48961-2024")</f>
        <v/>
      </c>
      <c r="W173">
        <f>HYPERLINK("https://klasma.github.io/Logging_2281/klagomålsmail/A 48961-2024 FSC-klagomål mail.docx", "A 48961-2024")</f>
        <v/>
      </c>
      <c r="X173">
        <f>HYPERLINK("https://klasma.github.io/Logging_2281/tillsyn/A 48961-2024 tillsynsbegäran.docx", "A 48961-2024")</f>
        <v/>
      </c>
      <c r="Y173">
        <f>HYPERLINK("https://klasma.github.io/Logging_2281/tillsynsmail/A 48961-2024 tillsynsbegäran mail.docx", "A 48961-2024")</f>
        <v/>
      </c>
      <c r="Z173">
        <f>HYPERLINK("https://klasma.github.io/Logging_2281/fåglar/A 48961-2024 prioriterade fågelarter.docx", "A 48961-2024")</f>
        <v/>
      </c>
    </row>
    <row r="174" ht="15" customHeight="1">
      <c r="A174" t="inlineStr">
        <is>
          <t>A 45976-2024</t>
        </is>
      </c>
      <c r="B174" s="1" t="n">
        <v>45580</v>
      </c>
      <c r="C174" s="1" t="n">
        <v>46093</v>
      </c>
      <c r="D174" t="inlineStr">
        <is>
          <t>VÄSTERNORRLANDS LÄN</t>
        </is>
      </c>
      <c r="E174" t="inlineStr">
        <is>
          <t>SUNDSVALL</t>
        </is>
      </c>
      <c r="F174" t="inlineStr">
        <is>
          <t>SCA</t>
        </is>
      </c>
      <c r="G174" t="n">
        <v>3</v>
      </c>
      <c r="H174" t="n">
        <v>6</v>
      </c>
      <c r="I174" t="n">
        <v>2</v>
      </c>
      <c r="J174" t="n">
        <v>5</v>
      </c>
      <c r="K174" t="n">
        <v>1</v>
      </c>
      <c r="L174" t="n">
        <v>0</v>
      </c>
      <c r="M174" t="n">
        <v>0</v>
      </c>
      <c r="N174" t="n">
        <v>0</v>
      </c>
      <c r="O174" t="n">
        <v>6</v>
      </c>
      <c r="P174" t="n">
        <v>1</v>
      </c>
      <c r="Q174" t="n">
        <v>10</v>
      </c>
      <c r="R174" s="2" t="inlineStr">
        <is>
          <t>Knärot
Lunglav
Spillkråka
Talltita
Tretåig hackspett
Ullticka
Grönpyrola
Jättesvampmal
Tjäder
Revlummer</t>
        </is>
      </c>
      <c r="S174">
        <f>HYPERLINK("https://klasma.github.io/Logging_2281/artfynd/A 45976-2024 artfynd.xlsx", "A 45976-2024")</f>
        <v/>
      </c>
      <c r="T174">
        <f>HYPERLINK("https://klasma.github.io/Logging_2281/kartor/A 45976-2024 karta.png", "A 45976-2024")</f>
        <v/>
      </c>
      <c r="U174">
        <f>HYPERLINK("https://klasma.github.io/Logging_2281/knärot/A 45976-2024 karta knärot.png", "A 45976-2024")</f>
        <v/>
      </c>
      <c r="V174">
        <f>HYPERLINK("https://klasma.github.io/Logging_2281/klagomål/A 45976-2024 FSC-klagomål.docx", "A 45976-2024")</f>
        <v/>
      </c>
      <c r="W174">
        <f>HYPERLINK("https://klasma.github.io/Logging_2281/klagomålsmail/A 45976-2024 FSC-klagomål mail.docx", "A 45976-2024")</f>
        <v/>
      </c>
      <c r="X174">
        <f>HYPERLINK("https://klasma.github.io/Logging_2281/tillsyn/A 45976-2024 tillsynsbegäran.docx", "A 45976-2024")</f>
        <v/>
      </c>
      <c r="Y174">
        <f>HYPERLINK("https://klasma.github.io/Logging_2281/tillsynsmail/A 45976-2024 tillsynsbegäran mail.docx", "A 45976-2024")</f>
        <v/>
      </c>
      <c r="Z174">
        <f>HYPERLINK("https://klasma.github.io/Logging_2281/fåglar/A 45976-2024 prioriterade fågelarter.docx", "A 45976-2024")</f>
        <v/>
      </c>
    </row>
    <row r="175" ht="15" customHeight="1">
      <c r="A175" t="inlineStr">
        <is>
          <t>A 23771-2025</t>
        </is>
      </c>
      <c r="B175" s="1" t="n">
        <v>45793.48614583333</v>
      </c>
      <c r="C175" s="1" t="n">
        <v>46093</v>
      </c>
      <c r="D175" t="inlineStr">
        <is>
          <t>VÄSTERNORRLANDS LÄN</t>
        </is>
      </c>
      <c r="E175" t="inlineStr">
        <is>
          <t>ÖRNSKÖLDSVIK</t>
        </is>
      </c>
      <c r="F175" t="inlineStr">
        <is>
          <t>Holmen skog AB</t>
        </is>
      </c>
      <c r="G175" t="n">
        <v>10.6</v>
      </c>
      <c r="H175" t="n">
        <v>5</v>
      </c>
      <c r="I175" t="n">
        <v>2</v>
      </c>
      <c r="J175" t="n">
        <v>6</v>
      </c>
      <c r="K175" t="n">
        <v>0</v>
      </c>
      <c r="L175" t="n">
        <v>0</v>
      </c>
      <c r="M175" t="n">
        <v>0</v>
      </c>
      <c r="N175" t="n">
        <v>0</v>
      </c>
      <c r="O175" t="n">
        <v>6</v>
      </c>
      <c r="P175" t="n">
        <v>0</v>
      </c>
      <c r="Q175" t="n">
        <v>10</v>
      </c>
      <c r="R175" s="2" t="inlineStr">
        <is>
          <t>Gammelgransskål
Garnlav
Granticka
Järpe
Spillkråka
Ullticka
Plattlummer
Vedticka
Fläcknycklar
Revlummer</t>
        </is>
      </c>
      <c r="S175">
        <f>HYPERLINK("https://klasma.github.io/Logging_2284/artfynd/A 23771-2025 artfynd.xlsx", "A 23771-2025")</f>
        <v/>
      </c>
      <c r="T175">
        <f>HYPERLINK("https://klasma.github.io/Logging_2284/kartor/A 23771-2025 karta.png", "A 23771-2025")</f>
        <v/>
      </c>
      <c r="V175">
        <f>HYPERLINK("https://klasma.github.io/Logging_2284/klagomål/A 23771-2025 FSC-klagomål.docx", "A 23771-2025")</f>
        <v/>
      </c>
      <c r="W175">
        <f>HYPERLINK("https://klasma.github.io/Logging_2284/klagomålsmail/A 23771-2025 FSC-klagomål mail.docx", "A 23771-2025")</f>
        <v/>
      </c>
      <c r="X175">
        <f>HYPERLINK("https://klasma.github.io/Logging_2284/tillsyn/A 23771-2025 tillsynsbegäran.docx", "A 23771-2025")</f>
        <v/>
      </c>
      <c r="Y175">
        <f>HYPERLINK("https://klasma.github.io/Logging_2284/tillsynsmail/A 23771-2025 tillsynsbegäran mail.docx", "A 23771-2025")</f>
        <v/>
      </c>
      <c r="Z175">
        <f>HYPERLINK("https://klasma.github.io/Logging_2284/fåglar/A 23771-2025 prioriterade fågelarter.docx", "A 23771-2025")</f>
        <v/>
      </c>
    </row>
    <row r="176" ht="15" customHeight="1">
      <c r="A176" t="inlineStr">
        <is>
          <t>A 62375-2025</t>
        </is>
      </c>
      <c r="B176" s="1" t="n">
        <v>46007.3446412037</v>
      </c>
      <c r="C176" s="1" t="n">
        <v>46093</v>
      </c>
      <c r="D176" t="inlineStr">
        <is>
          <t>VÄSTERNORRLANDS LÄN</t>
        </is>
      </c>
      <c r="E176" t="inlineStr">
        <is>
          <t>SUNDSVALL</t>
        </is>
      </c>
      <c r="G176" t="n">
        <v>14.2</v>
      </c>
      <c r="H176" t="n">
        <v>1</v>
      </c>
      <c r="I176" t="n">
        <v>3</v>
      </c>
      <c r="J176" t="n">
        <v>6</v>
      </c>
      <c r="K176" t="n">
        <v>1</v>
      </c>
      <c r="L176" t="n">
        <v>0</v>
      </c>
      <c r="M176" t="n">
        <v>0</v>
      </c>
      <c r="N176" t="n">
        <v>0</v>
      </c>
      <c r="O176" t="n">
        <v>7</v>
      </c>
      <c r="P176" t="n">
        <v>1</v>
      </c>
      <c r="Q176" t="n">
        <v>10</v>
      </c>
      <c r="R176" s="2" t="inlineStr">
        <is>
          <t>Rynkskinn
Gammelgransskål
Garnlav
Granticka
Lunglav
Tretåig hackspett
Ullticka
Bårdlav
Stor aspticka
Stuplav</t>
        </is>
      </c>
      <c r="S176">
        <f>HYPERLINK("https://klasma.github.io/Logging_2281/artfynd/A 62375-2025 artfynd.xlsx", "A 62375-2025")</f>
        <v/>
      </c>
      <c r="T176">
        <f>HYPERLINK("https://klasma.github.io/Logging_2281/kartor/A 62375-2025 karta.png", "A 62375-2025")</f>
        <v/>
      </c>
      <c r="V176">
        <f>HYPERLINK("https://klasma.github.io/Logging_2281/klagomål/A 62375-2025 FSC-klagomål.docx", "A 62375-2025")</f>
        <v/>
      </c>
      <c r="W176">
        <f>HYPERLINK("https://klasma.github.io/Logging_2281/klagomålsmail/A 62375-2025 FSC-klagomål mail.docx", "A 62375-2025")</f>
        <v/>
      </c>
      <c r="X176">
        <f>HYPERLINK("https://klasma.github.io/Logging_2281/tillsyn/A 62375-2025 tillsynsbegäran.docx", "A 62375-2025")</f>
        <v/>
      </c>
      <c r="Y176">
        <f>HYPERLINK("https://klasma.github.io/Logging_2281/tillsynsmail/A 62375-2025 tillsynsbegäran mail.docx", "A 62375-2025")</f>
        <v/>
      </c>
      <c r="Z176">
        <f>HYPERLINK("https://klasma.github.io/Logging_2281/fåglar/A 62375-2025 prioriterade fågelarter.docx", "A 62375-2025")</f>
        <v/>
      </c>
    </row>
    <row r="177" ht="15" customHeight="1">
      <c r="A177" t="inlineStr">
        <is>
          <t>A 45572-2025</t>
        </is>
      </c>
      <c r="B177" s="1" t="n">
        <v>45922</v>
      </c>
      <c r="C177" s="1" t="n">
        <v>46093</v>
      </c>
      <c r="D177" t="inlineStr">
        <is>
          <t>VÄSTERNORRLANDS LÄN</t>
        </is>
      </c>
      <c r="E177" t="inlineStr">
        <is>
          <t>SUNDSVALL</t>
        </is>
      </c>
      <c r="F177" t="inlineStr">
        <is>
          <t>SCA</t>
        </is>
      </c>
      <c r="G177" t="n">
        <v>4.1</v>
      </c>
      <c r="H177" t="n">
        <v>5</v>
      </c>
      <c r="I177" t="n">
        <v>3</v>
      </c>
      <c r="J177" t="n">
        <v>5</v>
      </c>
      <c r="K177" t="n">
        <v>0</v>
      </c>
      <c r="L177" t="n">
        <v>0</v>
      </c>
      <c r="M177" t="n">
        <v>0</v>
      </c>
      <c r="N177" t="n">
        <v>0</v>
      </c>
      <c r="O177" t="n">
        <v>5</v>
      </c>
      <c r="P177" t="n">
        <v>0</v>
      </c>
      <c r="Q177" t="n">
        <v>10</v>
      </c>
      <c r="R177" s="2" t="inlineStr">
        <is>
          <t>Lunglav
Spillkråka
Talltita
Tretåig hackspett
Ullticka
Bårdlav
Stuplav
Vedticka
Tjäder
Revlummer</t>
        </is>
      </c>
      <c r="S177">
        <f>HYPERLINK("https://klasma.github.io/Logging_2281/artfynd/A 45572-2025 artfynd.xlsx", "A 45572-2025")</f>
        <v/>
      </c>
      <c r="T177">
        <f>HYPERLINK("https://klasma.github.io/Logging_2281/kartor/A 45572-2025 karta.png", "A 45572-2025")</f>
        <v/>
      </c>
      <c r="V177">
        <f>HYPERLINK("https://klasma.github.io/Logging_2281/klagomål/A 45572-2025 FSC-klagomål.docx", "A 45572-2025")</f>
        <v/>
      </c>
      <c r="W177">
        <f>HYPERLINK("https://klasma.github.io/Logging_2281/klagomålsmail/A 45572-2025 FSC-klagomål mail.docx", "A 45572-2025")</f>
        <v/>
      </c>
      <c r="X177">
        <f>HYPERLINK("https://klasma.github.io/Logging_2281/tillsyn/A 45572-2025 tillsynsbegäran.docx", "A 45572-2025")</f>
        <v/>
      </c>
      <c r="Y177">
        <f>HYPERLINK("https://klasma.github.io/Logging_2281/tillsynsmail/A 45572-2025 tillsynsbegäran mail.docx", "A 45572-2025")</f>
        <v/>
      </c>
      <c r="Z177">
        <f>HYPERLINK("https://klasma.github.io/Logging_2281/fåglar/A 45572-2025 prioriterade fågelarter.docx", "A 45572-2025")</f>
        <v/>
      </c>
    </row>
    <row r="178" ht="15" customHeight="1">
      <c r="A178" t="inlineStr">
        <is>
          <t>A 44868-2025</t>
        </is>
      </c>
      <c r="B178" s="1" t="n">
        <v>45918</v>
      </c>
      <c r="C178" s="1" t="n">
        <v>46093</v>
      </c>
      <c r="D178" t="inlineStr">
        <is>
          <t>VÄSTERNORRLANDS LÄN</t>
        </is>
      </c>
      <c r="E178" t="inlineStr">
        <is>
          <t>ÖRNSKÖLDSVIK</t>
        </is>
      </c>
      <c r="F178" t="inlineStr">
        <is>
          <t>Holmen skog AB</t>
        </is>
      </c>
      <c r="G178" t="n">
        <v>13.9</v>
      </c>
      <c r="H178" t="n">
        <v>5</v>
      </c>
      <c r="I178" t="n">
        <v>2</v>
      </c>
      <c r="J178" t="n">
        <v>6</v>
      </c>
      <c r="K178" t="n">
        <v>2</v>
      </c>
      <c r="L178" t="n">
        <v>0</v>
      </c>
      <c r="M178" t="n">
        <v>0</v>
      </c>
      <c r="N178" t="n">
        <v>0</v>
      </c>
      <c r="O178" t="n">
        <v>8</v>
      </c>
      <c r="P178" t="n">
        <v>2</v>
      </c>
      <c r="Q178" t="n">
        <v>10</v>
      </c>
      <c r="R178" s="2" t="inlineStr">
        <is>
          <t>Knärot
Tallbit
Garnlav
Kolflarnlav
Spillkråka
Talltita
Tretåig hackspett
Vedskivlav
Norrlandslav
Vedticka</t>
        </is>
      </c>
      <c r="S178">
        <f>HYPERLINK("https://klasma.github.io/Logging_2284/artfynd/A 44868-2025 artfynd.xlsx", "A 44868-2025")</f>
        <v/>
      </c>
      <c r="T178">
        <f>HYPERLINK("https://klasma.github.io/Logging_2284/kartor/A 44868-2025 karta.png", "A 44868-2025")</f>
        <v/>
      </c>
      <c r="U178">
        <f>HYPERLINK("https://klasma.github.io/Logging_2284/knärot/A 44868-2025 karta knärot.png", "A 44868-2025")</f>
        <v/>
      </c>
      <c r="V178">
        <f>HYPERLINK("https://klasma.github.io/Logging_2284/klagomål/A 44868-2025 FSC-klagomål.docx", "A 44868-2025")</f>
        <v/>
      </c>
      <c r="W178">
        <f>HYPERLINK("https://klasma.github.io/Logging_2284/klagomålsmail/A 44868-2025 FSC-klagomål mail.docx", "A 44868-2025")</f>
        <v/>
      </c>
      <c r="X178">
        <f>HYPERLINK("https://klasma.github.io/Logging_2284/tillsyn/A 44868-2025 tillsynsbegäran.docx", "A 44868-2025")</f>
        <v/>
      </c>
      <c r="Y178">
        <f>HYPERLINK("https://klasma.github.io/Logging_2284/tillsynsmail/A 44868-2025 tillsynsbegäran mail.docx", "A 44868-2025")</f>
        <v/>
      </c>
      <c r="Z178">
        <f>HYPERLINK("https://klasma.github.io/Logging_2284/fåglar/A 44868-2025 prioriterade fågelarter.docx", "A 44868-2025")</f>
        <v/>
      </c>
    </row>
    <row r="179" ht="15" customHeight="1">
      <c r="A179" t="inlineStr">
        <is>
          <t>A 27491-2025</t>
        </is>
      </c>
      <c r="B179" s="1" t="n">
        <v>45813.39288194444</v>
      </c>
      <c r="C179" s="1" t="n">
        <v>46093</v>
      </c>
      <c r="D179" t="inlineStr">
        <is>
          <t>VÄSTERNORRLANDS LÄN</t>
        </is>
      </c>
      <c r="E179" t="inlineStr">
        <is>
          <t>ÖRNSKÖLDSVIK</t>
        </is>
      </c>
      <c r="G179" t="n">
        <v>11.6</v>
      </c>
      <c r="H179" t="n">
        <v>3</v>
      </c>
      <c r="I179" t="n">
        <v>1</v>
      </c>
      <c r="J179" t="n">
        <v>7</v>
      </c>
      <c r="K179" t="n">
        <v>1</v>
      </c>
      <c r="L179" t="n">
        <v>0</v>
      </c>
      <c r="M179" t="n">
        <v>0</v>
      </c>
      <c r="N179" t="n">
        <v>0</v>
      </c>
      <c r="O179" t="n">
        <v>8</v>
      </c>
      <c r="P179" t="n">
        <v>1</v>
      </c>
      <c r="Q179" t="n">
        <v>10</v>
      </c>
      <c r="R179" s="2" t="inlineStr">
        <is>
          <t>Rynkskinn
Garnlav
Granticka
Kådvaxskinn
Kötticka
Tretåig hackspett
Ullticka
Vedskivlav
Plattlummer
Tjäder</t>
        </is>
      </c>
      <c r="S179">
        <f>HYPERLINK("https://klasma.github.io/Logging_2284/artfynd/A 27491-2025 artfynd.xlsx", "A 27491-2025")</f>
        <v/>
      </c>
      <c r="T179">
        <f>HYPERLINK("https://klasma.github.io/Logging_2284/kartor/A 27491-2025 karta.png", "A 27491-2025")</f>
        <v/>
      </c>
      <c r="V179">
        <f>HYPERLINK("https://klasma.github.io/Logging_2284/klagomål/A 27491-2025 FSC-klagomål.docx", "A 27491-2025")</f>
        <v/>
      </c>
      <c r="W179">
        <f>HYPERLINK("https://klasma.github.io/Logging_2284/klagomålsmail/A 27491-2025 FSC-klagomål mail.docx", "A 27491-2025")</f>
        <v/>
      </c>
      <c r="X179">
        <f>HYPERLINK("https://klasma.github.io/Logging_2284/tillsyn/A 27491-2025 tillsynsbegäran.docx", "A 27491-2025")</f>
        <v/>
      </c>
      <c r="Y179">
        <f>HYPERLINK("https://klasma.github.io/Logging_2284/tillsynsmail/A 27491-2025 tillsynsbegäran mail.docx", "A 27491-2025")</f>
        <v/>
      </c>
      <c r="Z179">
        <f>HYPERLINK("https://klasma.github.io/Logging_2284/fåglar/A 27491-2025 prioriterade fågelarter.docx", "A 27491-2025")</f>
        <v/>
      </c>
    </row>
    <row r="180" ht="15" customHeight="1">
      <c r="A180" t="inlineStr">
        <is>
          <t>A 5435-2026</t>
        </is>
      </c>
      <c r="B180" s="1" t="n">
        <v>46050</v>
      </c>
      <c r="C180" s="1" t="n">
        <v>46093</v>
      </c>
      <c r="D180" t="inlineStr">
        <is>
          <t>VÄSTERNORRLANDS LÄN</t>
        </is>
      </c>
      <c r="E180" t="inlineStr">
        <is>
          <t>ÅNGE</t>
        </is>
      </c>
      <c r="F180" t="inlineStr">
        <is>
          <t>SCA</t>
        </is>
      </c>
      <c r="G180" t="n">
        <v>19.9</v>
      </c>
      <c r="H180" t="n">
        <v>0</v>
      </c>
      <c r="I180" t="n">
        <v>1</v>
      </c>
      <c r="J180" t="n">
        <v>8</v>
      </c>
      <c r="K180" t="n">
        <v>1</v>
      </c>
      <c r="L180" t="n">
        <v>0</v>
      </c>
      <c r="M180" t="n">
        <v>0</v>
      </c>
      <c r="N180" t="n">
        <v>0</v>
      </c>
      <c r="O180" t="n">
        <v>9</v>
      </c>
      <c r="P180" t="n">
        <v>1</v>
      </c>
      <c r="Q180" t="n">
        <v>10</v>
      </c>
      <c r="R180" s="2" t="inlineStr">
        <is>
          <t>Gräddporing
Blanksvart spiklav
Blågrå svartspik
Dvärgbägarlav
Kolflarnlav
Mörk kolflarnlav
Nordtagging
Vedflamlav
Vedskivlav
Dropptaggsvamp</t>
        </is>
      </c>
      <c r="S180">
        <f>HYPERLINK("https://klasma.github.io/Logging_2260/artfynd/A 5435-2026 artfynd.xlsx", "A 5435-2026")</f>
        <v/>
      </c>
      <c r="T180">
        <f>HYPERLINK("https://klasma.github.io/Logging_2260/kartor/A 5435-2026 karta.png", "A 5435-2026")</f>
        <v/>
      </c>
      <c r="V180">
        <f>HYPERLINK("https://klasma.github.io/Logging_2260/klagomål/A 5435-2026 FSC-klagomål.docx", "A 5435-2026")</f>
        <v/>
      </c>
      <c r="W180">
        <f>HYPERLINK("https://klasma.github.io/Logging_2260/klagomålsmail/A 5435-2026 FSC-klagomål mail.docx", "A 5435-2026")</f>
        <v/>
      </c>
      <c r="X180">
        <f>HYPERLINK("https://klasma.github.io/Logging_2260/tillsyn/A 5435-2026 tillsynsbegäran.docx", "A 5435-2026")</f>
        <v/>
      </c>
      <c r="Y180">
        <f>HYPERLINK("https://klasma.github.io/Logging_2260/tillsynsmail/A 5435-2026 tillsynsbegäran mail.docx", "A 5435-2026")</f>
        <v/>
      </c>
    </row>
    <row r="181" ht="15" customHeight="1">
      <c r="A181" t="inlineStr">
        <is>
          <t>A 30474-2025</t>
        </is>
      </c>
      <c r="B181" s="1" t="n">
        <v>45828.34430555555</v>
      </c>
      <c r="C181" s="1" t="n">
        <v>46093</v>
      </c>
      <c r="D181" t="inlineStr">
        <is>
          <t>VÄSTERNORRLANDS LÄN</t>
        </is>
      </c>
      <c r="E181" t="inlineStr">
        <is>
          <t>ÅNGE</t>
        </is>
      </c>
      <c r="F181" t="inlineStr">
        <is>
          <t>SCA</t>
        </is>
      </c>
      <c r="G181" t="n">
        <v>15.2</v>
      </c>
      <c r="H181" t="n">
        <v>1</v>
      </c>
      <c r="I181" t="n">
        <v>3</v>
      </c>
      <c r="J181" t="n">
        <v>5</v>
      </c>
      <c r="K181" t="n">
        <v>1</v>
      </c>
      <c r="L181" t="n">
        <v>0</v>
      </c>
      <c r="M181" t="n">
        <v>0</v>
      </c>
      <c r="N181" t="n">
        <v>0</v>
      </c>
      <c r="O181" t="n">
        <v>6</v>
      </c>
      <c r="P181" t="n">
        <v>1</v>
      </c>
      <c r="Q181" t="n">
        <v>10</v>
      </c>
      <c r="R181" s="2" t="inlineStr">
        <is>
          <t>Liten aspgelélav
Gammelgransskål
Garnlav
Lunglav
Skrovellav
Violettgrå tagellav
Bårdlav
Korallblylav
Stuplav
Revlummer</t>
        </is>
      </c>
      <c r="S181">
        <f>HYPERLINK("https://klasma.github.io/Logging_2260/artfynd/A 30474-2025 artfynd.xlsx", "A 30474-2025")</f>
        <v/>
      </c>
      <c r="T181">
        <f>HYPERLINK("https://klasma.github.io/Logging_2260/kartor/A 30474-2025 karta.png", "A 30474-2025")</f>
        <v/>
      </c>
      <c r="V181">
        <f>HYPERLINK("https://klasma.github.io/Logging_2260/klagomål/A 30474-2025 FSC-klagomål.docx", "A 30474-2025")</f>
        <v/>
      </c>
      <c r="W181">
        <f>HYPERLINK("https://klasma.github.io/Logging_2260/klagomålsmail/A 30474-2025 FSC-klagomål mail.docx", "A 30474-2025")</f>
        <v/>
      </c>
      <c r="X181">
        <f>HYPERLINK("https://klasma.github.io/Logging_2260/tillsyn/A 30474-2025 tillsynsbegäran.docx", "A 30474-2025")</f>
        <v/>
      </c>
      <c r="Y181">
        <f>HYPERLINK("https://klasma.github.io/Logging_2260/tillsynsmail/A 30474-2025 tillsynsbegäran mail.docx", "A 30474-2025")</f>
        <v/>
      </c>
    </row>
    <row r="182" ht="15" customHeight="1">
      <c r="A182" t="inlineStr">
        <is>
          <t>A 40545-2024</t>
        </is>
      </c>
      <c r="B182" s="1" t="n">
        <v>45555</v>
      </c>
      <c r="C182" s="1" t="n">
        <v>46093</v>
      </c>
      <c r="D182" t="inlineStr">
        <is>
          <t>VÄSTERNORRLANDS LÄN</t>
        </is>
      </c>
      <c r="E182" t="inlineStr">
        <is>
          <t>ÅNGE</t>
        </is>
      </c>
      <c r="F182" t="inlineStr">
        <is>
          <t>SCA</t>
        </is>
      </c>
      <c r="G182" t="n">
        <v>9.1</v>
      </c>
      <c r="H182" t="n">
        <v>4</v>
      </c>
      <c r="I182" t="n">
        <v>1</v>
      </c>
      <c r="J182" t="n">
        <v>7</v>
      </c>
      <c r="K182" t="n">
        <v>1</v>
      </c>
      <c r="L182" t="n">
        <v>0</v>
      </c>
      <c r="M182" t="n">
        <v>0</v>
      </c>
      <c r="N182" t="n">
        <v>0</v>
      </c>
      <c r="O182" t="n">
        <v>8</v>
      </c>
      <c r="P182" t="n">
        <v>1</v>
      </c>
      <c r="Q182" t="n">
        <v>9</v>
      </c>
      <c r="R182" s="2" t="inlineStr">
        <is>
          <t>Knärot
Garnlav
Granticka
Kungsörn
Lunglav
Talltita
Tretåig hackspett
Ullticka
Stuplav</t>
        </is>
      </c>
      <c r="S182">
        <f>HYPERLINK("https://klasma.github.io/Logging_2260/artfynd/A 40545-2024 artfynd.xlsx", "A 40545-2024")</f>
        <v/>
      </c>
      <c r="T182">
        <f>HYPERLINK("https://klasma.github.io/Logging_2260/kartor/A 40545-2024 karta.png", "A 40545-2024")</f>
        <v/>
      </c>
      <c r="U182">
        <f>HYPERLINK("https://klasma.github.io/Logging_2260/knärot/A 40545-2024 karta knärot.png", "A 40545-2024")</f>
        <v/>
      </c>
      <c r="V182">
        <f>HYPERLINK("https://klasma.github.io/Logging_2260/klagomål/A 40545-2024 FSC-klagomål.docx", "A 40545-2024")</f>
        <v/>
      </c>
      <c r="W182">
        <f>HYPERLINK("https://klasma.github.io/Logging_2260/klagomålsmail/A 40545-2024 FSC-klagomål mail.docx", "A 40545-2024")</f>
        <v/>
      </c>
      <c r="X182">
        <f>HYPERLINK("https://klasma.github.io/Logging_2260/tillsyn/A 40545-2024 tillsynsbegäran.docx", "A 40545-2024")</f>
        <v/>
      </c>
      <c r="Y182">
        <f>HYPERLINK("https://klasma.github.io/Logging_2260/tillsynsmail/A 40545-2024 tillsynsbegäran mail.docx", "A 40545-2024")</f>
        <v/>
      </c>
      <c r="Z182">
        <f>HYPERLINK("https://klasma.github.io/Logging_2260/fåglar/A 40545-2024 prioriterade fågelarter.docx", "A 40545-2024")</f>
        <v/>
      </c>
    </row>
    <row r="183" ht="15" customHeight="1">
      <c r="A183" t="inlineStr">
        <is>
          <t>A 45577-2021</t>
        </is>
      </c>
      <c r="B183" s="1" t="n">
        <v>44440</v>
      </c>
      <c r="C183" s="1" t="n">
        <v>46093</v>
      </c>
      <c r="D183" t="inlineStr">
        <is>
          <t>VÄSTERNORRLANDS LÄN</t>
        </is>
      </c>
      <c r="E183" t="inlineStr">
        <is>
          <t>KRAMFORS</t>
        </is>
      </c>
      <c r="F183" t="inlineStr">
        <is>
          <t>Kommuner</t>
        </is>
      </c>
      <c r="G183" t="n">
        <v>6.7</v>
      </c>
      <c r="H183" t="n">
        <v>9</v>
      </c>
      <c r="I183" t="n">
        <v>0</v>
      </c>
      <c r="J183" t="n">
        <v>5</v>
      </c>
      <c r="K183" t="n">
        <v>1</v>
      </c>
      <c r="L183" t="n">
        <v>2</v>
      </c>
      <c r="M183" t="n">
        <v>0</v>
      </c>
      <c r="N183" t="n">
        <v>0</v>
      </c>
      <c r="O183" t="n">
        <v>8</v>
      </c>
      <c r="P183" t="n">
        <v>3</v>
      </c>
      <c r="Q183" t="n">
        <v>9</v>
      </c>
      <c r="R183" s="2" t="inlineStr">
        <is>
          <t>Ejder
Grönfink
Hussvala
Fiskmås
Gulsparv
Spillkråka
Svartvit flugsnappare
Tobisgrissla
Trädlärka</t>
        </is>
      </c>
      <c r="S183">
        <f>HYPERLINK("https://klasma.github.io/Logging_2282/artfynd/A 45577-2021 artfynd.xlsx", "A 45577-2021")</f>
        <v/>
      </c>
      <c r="T183">
        <f>HYPERLINK("https://klasma.github.io/Logging_2282/kartor/A 45577-2021 karta.png", "A 45577-2021")</f>
        <v/>
      </c>
      <c r="V183">
        <f>HYPERLINK("https://klasma.github.io/Logging_2282/klagomål/A 45577-2021 FSC-klagomål.docx", "A 45577-2021")</f>
        <v/>
      </c>
      <c r="W183">
        <f>HYPERLINK("https://klasma.github.io/Logging_2282/klagomålsmail/A 45577-2021 FSC-klagomål mail.docx", "A 45577-2021")</f>
        <v/>
      </c>
      <c r="X183">
        <f>HYPERLINK("https://klasma.github.io/Logging_2282/tillsyn/A 45577-2021 tillsynsbegäran.docx", "A 45577-2021")</f>
        <v/>
      </c>
      <c r="Y183">
        <f>HYPERLINK("https://klasma.github.io/Logging_2282/tillsynsmail/A 45577-2021 tillsynsbegäran mail.docx", "A 45577-2021")</f>
        <v/>
      </c>
      <c r="Z183">
        <f>HYPERLINK("https://klasma.github.io/Logging_2282/fåglar/A 45577-2021 prioriterade fågelarter.docx", "A 45577-2021")</f>
        <v/>
      </c>
    </row>
    <row r="184" ht="15" customHeight="1">
      <c r="A184" t="inlineStr">
        <is>
          <t>A 30272-2023</t>
        </is>
      </c>
      <c r="B184" s="1" t="n">
        <v>45099</v>
      </c>
      <c r="C184" s="1" t="n">
        <v>46093</v>
      </c>
      <c r="D184" t="inlineStr">
        <is>
          <t>VÄSTERNORRLANDS LÄN</t>
        </is>
      </c>
      <c r="E184" t="inlineStr">
        <is>
          <t>SUNDSVALL</t>
        </is>
      </c>
      <c r="G184" t="n">
        <v>4.1</v>
      </c>
      <c r="H184" t="n">
        <v>2</v>
      </c>
      <c r="I184" t="n">
        <v>4</v>
      </c>
      <c r="J184" t="n">
        <v>4</v>
      </c>
      <c r="K184" t="n">
        <v>1</v>
      </c>
      <c r="L184" t="n">
        <v>0</v>
      </c>
      <c r="M184" t="n">
        <v>0</v>
      </c>
      <c r="N184" t="n">
        <v>0</v>
      </c>
      <c r="O184" t="n">
        <v>5</v>
      </c>
      <c r="P184" t="n">
        <v>1</v>
      </c>
      <c r="Q184" t="n">
        <v>9</v>
      </c>
      <c r="R184" s="2" t="inlineStr">
        <is>
          <t>Knärot
Järpe
Rosenticka
Ullticka
Äggvaxskivling
Bronshjon
Mörk husmossa
Skarp dropptaggsvamp
Vågbandad barkbock</t>
        </is>
      </c>
      <c r="S184">
        <f>HYPERLINK("https://klasma.github.io/Logging_2281/artfynd/A 30272-2023 artfynd.xlsx", "A 30272-2023")</f>
        <v/>
      </c>
      <c r="T184">
        <f>HYPERLINK("https://klasma.github.io/Logging_2281/kartor/A 30272-2023 karta.png", "A 30272-2023")</f>
        <v/>
      </c>
      <c r="U184">
        <f>HYPERLINK("https://klasma.github.io/Logging_2281/knärot/A 30272-2023 karta knärot.png", "A 30272-2023")</f>
        <v/>
      </c>
      <c r="V184">
        <f>HYPERLINK("https://klasma.github.io/Logging_2281/klagomål/A 30272-2023 FSC-klagomål.docx", "A 30272-2023")</f>
        <v/>
      </c>
      <c r="W184">
        <f>HYPERLINK("https://klasma.github.io/Logging_2281/klagomålsmail/A 30272-2023 FSC-klagomål mail.docx", "A 30272-2023")</f>
        <v/>
      </c>
      <c r="X184">
        <f>HYPERLINK("https://klasma.github.io/Logging_2281/tillsyn/A 30272-2023 tillsynsbegäran.docx", "A 30272-2023")</f>
        <v/>
      </c>
      <c r="Y184">
        <f>HYPERLINK("https://klasma.github.io/Logging_2281/tillsynsmail/A 30272-2023 tillsynsbegäran mail.docx", "A 30272-2023")</f>
        <v/>
      </c>
      <c r="Z184">
        <f>HYPERLINK("https://klasma.github.io/Logging_2281/fåglar/A 30272-2023 prioriterade fågelarter.docx", "A 30272-2023")</f>
        <v/>
      </c>
    </row>
    <row r="185" ht="15" customHeight="1">
      <c r="A185" t="inlineStr">
        <is>
          <t>A 34519-2022</t>
        </is>
      </c>
      <c r="B185" s="1" t="n">
        <v>44792</v>
      </c>
      <c r="C185" s="1" t="n">
        <v>46093</v>
      </c>
      <c r="D185" t="inlineStr">
        <is>
          <t>VÄSTERNORRLANDS LÄN</t>
        </is>
      </c>
      <c r="E185" t="inlineStr">
        <is>
          <t>ÅNGE</t>
        </is>
      </c>
      <c r="F185" t="inlineStr">
        <is>
          <t>SCA</t>
        </is>
      </c>
      <c r="G185" t="n">
        <v>6.3</v>
      </c>
      <c r="H185" t="n">
        <v>1</v>
      </c>
      <c r="I185" t="n">
        <v>3</v>
      </c>
      <c r="J185" t="n">
        <v>5</v>
      </c>
      <c r="K185" t="n">
        <v>1</v>
      </c>
      <c r="L185" t="n">
        <v>0</v>
      </c>
      <c r="M185" t="n">
        <v>0</v>
      </c>
      <c r="N185" t="n">
        <v>0</v>
      </c>
      <c r="O185" t="n">
        <v>6</v>
      </c>
      <c r="P185" t="n">
        <v>1</v>
      </c>
      <c r="Q185" t="n">
        <v>9</v>
      </c>
      <c r="R185" s="2" t="inlineStr">
        <is>
          <t>Knärot
Gammelgransskål
Lunglav
Skrovellav
Stiftgelélav
Vitgrynig nållav
Korallblylav
Luddlav
Stuplav</t>
        </is>
      </c>
      <c r="S185">
        <f>HYPERLINK("https://klasma.github.io/Logging_2260/artfynd/A 34519-2022 artfynd.xlsx", "A 34519-2022")</f>
        <v/>
      </c>
      <c r="T185">
        <f>HYPERLINK("https://klasma.github.io/Logging_2260/kartor/A 34519-2022 karta.png", "A 34519-2022")</f>
        <v/>
      </c>
      <c r="U185">
        <f>HYPERLINK("https://klasma.github.io/Logging_2260/knärot/A 34519-2022 karta knärot.png", "A 34519-2022")</f>
        <v/>
      </c>
      <c r="V185">
        <f>HYPERLINK("https://klasma.github.io/Logging_2260/klagomål/A 34519-2022 FSC-klagomål.docx", "A 34519-2022")</f>
        <v/>
      </c>
      <c r="W185">
        <f>HYPERLINK("https://klasma.github.io/Logging_2260/klagomålsmail/A 34519-2022 FSC-klagomål mail.docx", "A 34519-2022")</f>
        <v/>
      </c>
      <c r="X185">
        <f>HYPERLINK("https://klasma.github.io/Logging_2260/tillsyn/A 34519-2022 tillsynsbegäran.docx", "A 34519-2022")</f>
        <v/>
      </c>
      <c r="Y185">
        <f>HYPERLINK("https://klasma.github.io/Logging_2260/tillsynsmail/A 34519-2022 tillsynsbegäran mail.docx", "A 34519-2022")</f>
        <v/>
      </c>
    </row>
    <row r="186" ht="15" customHeight="1">
      <c r="A186" t="inlineStr">
        <is>
          <t>A 12865-2024</t>
        </is>
      </c>
      <c r="B186" s="1" t="n">
        <v>45384</v>
      </c>
      <c r="C186" s="1" t="n">
        <v>46093</v>
      </c>
      <c r="D186" t="inlineStr">
        <is>
          <t>VÄSTERNORRLANDS LÄN</t>
        </is>
      </c>
      <c r="E186" t="inlineStr">
        <is>
          <t>SOLLEFTEÅ</t>
        </is>
      </c>
      <c r="F186" t="inlineStr">
        <is>
          <t>SCA</t>
        </is>
      </c>
      <c r="G186" t="n">
        <v>3.2</v>
      </c>
      <c r="H186" t="n">
        <v>1</v>
      </c>
      <c r="I186" t="n">
        <v>2</v>
      </c>
      <c r="J186" t="n">
        <v>6</v>
      </c>
      <c r="K186" t="n">
        <v>1</v>
      </c>
      <c r="L186" t="n">
        <v>0</v>
      </c>
      <c r="M186" t="n">
        <v>0</v>
      </c>
      <c r="N186" t="n">
        <v>0</v>
      </c>
      <c r="O186" t="n">
        <v>7</v>
      </c>
      <c r="P186" t="n">
        <v>1</v>
      </c>
      <c r="Q186" t="n">
        <v>9</v>
      </c>
      <c r="R186" s="2" t="inlineStr">
        <is>
          <t>Knärot
Granticka
Lunglav
Myskmåra
Olisthaerus substriatus
Rosenticka
Vedtrappmossa
Blodticka
Skinnlav</t>
        </is>
      </c>
      <c r="S186">
        <f>HYPERLINK("https://klasma.github.io/Logging_2283/artfynd/A 12865-2024 artfynd.xlsx", "A 12865-2024")</f>
        <v/>
      </c>
      <c r="T186">
        <f>HYPERLINK("https://klasma.github.io/Logging_2283/kartor/A 12865-2024 karta.png", "A 12865-2024")</f>
        <v/>
      </c>
      <c r="U186">
        <f>HYPERLINK("https://klasma.github.io/Logging_2283/knärot/A 12865-2024 karta knärot.png", "A 12865-2024")</f>
        <v/>
      </c>
      <c r="V186">
        <f>HYPERLINK("https://klasma.github.io/Logging_2283/klagomål/A 12865-2024 FSC-klagomål.docx", "A 12865-2024")</f>
        <v/>
      </c>
      <c r="W186">
        <f>HYPERLINK("https://klasma.github.io/Logging_2283/klagomålsmail/A 12865-2024 FSC-klagomål mail.docx", "A 12865-2024")</f>
        <v/>
      </c>
      <c r="X186">
        <f>HYPERLINK("https://klasma.github.io/Logging_2283/tillsyn/A 12865-2024 tillsynsbegäran.docx", "A 12865-2024")</f>
        <v/>
      </c>
      <c r="Y186">
        <f>HYPERLINK("https://klasma.github.io/Logging_2283/tillsynsmail/A 12865-2024 tillsynsbegäran mail.docx", "A 12865-2024")</f>
        <v/>
      </c>
    </row>
    <row r="187" ht="15" customHeight="1">
      <c r="A187" t="inlineStr">
        <is>
          <t>A 20751-2024</t>
        </is>
      </c>
      <c r="B187" s="1" t="n">
        <v>45436</v>
      </c>
      <c r="C187" s="1" t="n">
        <v>46093</v>
      </c>
      <c r="D187" t="inlineStr">
        <is>
          <t>VÄSTERNORRLANDS LÄN</t>
        </is>
      </c>
      <c r="E187" t="inlineStr">
        <is>
          <t>SUNDSVALL</t>
        </is>
      </c>
      <c r="G187" t="n">
        <v>0.7</v>
      </c>
      <c r="H187" t="n">
        <v>2</v>
      </c>
      <c r="I187" t="n">
        <v>4</v>
      </c>
      <c r="J187" t="n">
        <v>3</v>
      </c>
      <c r="K187" t="n">
        <v>0</v>
      </c>
      <c r="L187" t="n">
        <v>0</v>
      </c>
      <c r="M187" t="n">
        <v>0</v>
      </c>
      <c r="N187" t="n">
        <v>0</v>
      </c>
      <c r="O187" t="n">
        <v>3</v>
      </c>
      <c r="P187" t="n">
        <v>0</v>
      </c>
      <c r="Q187" t="n">
        <v>9</v>
      </c>
      <c r="R187" s="2" t="inlineStr">
        <is>
          <t>Lunglav
Rosenticka
Ullticka
Stor aspticka
Svart trolldruva
Tibast
Vårärt
Blåsippa
Revlummer</t>
        </is>
      </c>
      <c r="S187">
        <f>HYPERLINK("https://klasma.github.io/Logging_2281/artfynd/A 20751-2024 artfynd.xlsx", "A 20751-2024")</f>
        <v/>
      </c>
      <c r="T187">
        <f>HYPERLINK("https://klasma.github.io/Logging_2281/kartor/A 20751-2024 karta.png", "A 20751-2024")</f>
        <v/>
      </c>
      <c r="V187">
        <f>HYPERLINK("https://klasma.github.io/Logging_2281/klagomål/A 20751-2024 FSC-klagomål.docx", "A 20751-2024")</f>
        <v/>
      </c>
      <c r="W187">
        <f>HYPERLINK("https://klasma.github.io/Logging_2281/klagomålsmail/A 20751-2024 FSC-klagomål mail.docx", "A 20751-2024")</f>
        <v/>
      </c>
      <c r="X187">
        <f>HYPERLINK("https://klasma.github.io/Logging_2281/tillsyn/A 20751-2024 tillsynsbegäran.docx", "A 20751-2024")</f>
        <v/>
      </c>
      <c r="Y187">
        <f>HYPERLINK("https://klasma.github.io/Logging_2281/tillsynsmail/A 20751-2024 tillsynsbegäran mail.docx", "A 20751-2024")</f>
        <v/>
      </c>
    </row>
    <row r="188" ht="15" customHeight="1">
      <c r="A188" t="inlineStr">
        <is>
          <t>A 34546-2025</t>
        </is>
      </c>
      <c r="B188" s="1" t="n">
        <v>45847.54039351852</v>
      </c>
      <c r="C188" s="1" t="n">
        <v>46093</v>
      </c>
      <c r="D188" t="inlineStr">
        <is>
          <t>VÄSTERNORRLANDS LÄN</t>
        </is>
      </c>
      <c r="E188" t="inlineStr">
        <is>
          <t>HÄRNÖSAND</t>
        </is>
      </c>
      <c r="F188" t="inlineStr">
        <is>
          <t>Kyrkan</t>
        </is>
      </c>
      <c r="G188" t="n">
        <v>6.9</v>
      </c>
      <c r="H188" t="n">
        <v>3</v>
      </c>
      <c r="I188" t="n">
        <v>2</v>
      </c>
      <c r="J188" t="n">
        <v>4</v>
      </c>
      <c r="K188" t="n">
        <v>1</v>
      </c>
      <c r="L188" t="n">
        <v>0</v>
      </c>
      <c r="M188" t="n">
        <v>0</v>
      </c>
      <c r="N188" t="n">
        <v>0</v>
      </c>
      <c r="O188" t="n">
        <v>5</v>
      </c>
      <c r="P188" t="n">
        <v>1</v>
      </c>
      <c r="Q188" t="n">
        <v>9</v>
      </c>
      <c r="R188" s="2" t="inlineStr">
        <is>
          <t>Rynkskinn
Garnlav
Rosenticka
Tretåig hackspett
Ullticka
Fjällig taggsvamp s.str.
Vedticka
Tjäder
Revlummer</t>
        </is>
      </c>
      <c r="S188">
        <f>HYPERLINK("https://klasma.github.io/Logging_2280/artfynd/A 34546-2025 artfynd.xlsx", "A 34546-2025")</f>
        <v/>
      </c>
      <c r="T188">
        <f>HYPERLINK("https://klasma.github.io/Logging_2280/kartor/A 34546-2025 karta.png", "A 34546-2025")</f>
        <v/>
      </c>
      <c r="V188">
        <f>HYPERLINK("https://klasma.github.io/Logging_2280/klagomål/A 34546-2025 FSC-klagomål.docx", "A 34546-2025")</f>
        <v/>
      </c>
      <c r="W188">
        <f>HYPERLINK("https://klasma.github.io/Logging_2280/klagomålsmail/A 34546-2025 FSC-klagomål mail.docx", "A 34546-2025")</f>
        <v/>
      </c>
      <c r="X188">
        <f>HYPERLINK("https://klasma.github.io/Logging_2280/tillsyn/A 34546-2025 tillsynsbegäran.docx", "A 34546-2025")</f>
        <v/>
      </c>
      <c r="Y188">
        <f>HYPERLINK("https://klasma.github.io/Logging_2280/tillsynsmail/A 34546-2025 tillsynsbegäran mail.docx", "A 34546-2025")</f>
        <v/>
      </c>
      <c r="Z188">
        <f>HYPERLINK("https://klasma.github.io/Logging_2280/fåglar/A 34546-2025 prioriterade fågelarter.docx", "A 34546-2025")</f>
        <v/>
      </c>
    </row>
    <row r="189" ht="15" customHeight="1">
      <c r="A189" t="inlineStr">
        <is>
          <t>A 26314-2024</t>
        </is>
      </c>
      <c r="B189" s="1" t="n">
        <v>45468</v>
      </c>
      <c r="C189" s="1" t="n">
        <v>46093</v>
      </c>
      <c r="D189" t="inlineStr">
        <is>
          <t>VÄSTERNORRLANDS LÄN</t>
        </is>
      </c>
      <c r="E189" t="inlineStr">
        <is>
          <t>ÅNGE</t>
        </is>
      </c>
      <c r="F189" t="inlineStr">
        <is>
          <t>SCA</t>
        </is>
      </c>
      <c r="G189" t="n">
        <v>11.9</v>
      </c>
      <c r="H189" t="n">
        <v>1</v>
      </c>
      <c r="I189" t="n">
        <v>1</v>
      </c>
      <c r="J189" t="n">
        <v>6</v>
      </c>
      <c r="K189" t="n">
        <v>2</v>
      </c>
      <c r="L189" t="n">
        <v>0</v>
      </c>
      <c r="M189" t="n">
        <v>0</v>
      </c>
      <c r="N189" t="n">
        <v>0</v>
      </c>
      <c r="O189" t="n">
        <v>8</v>
      </c>
      <c r="P189" t="n">
        <v>2</v>
      </c>
      <c r="Q189" t="n">
        <v>9</v>
      </c>
      <c r="R189" s="2" t="inlineStr">
        <is>
          <t>Fläckporing
Knärot
Dvärgbägarlav
Kolflarnlav
Lunglav
Mörk kolflarnlav
Vedflamlav
Vedskivlav
Dropptaggsvamp</t>
        </is>
      </c>
      <c r="S189">
        <f>HYPERLINK("https://klasma.github.io/Logging_2260/artfynd/A 26314-2024 artfynd.xlsx", "A 26314-2024")</f>
        <v/>
      </c>
      <c r="T189">
        <f>HYPERLINK("https://klasma.github.io/Logging_2260/kartor/A 26314-2024 karta.png", "A 26314-2024")</f>
        <v/>
      </c>
      <c r="U189">
        <f>HYPERLINK("https://klasma.github.io/Logging_2260/knärot/A 26314-2024 karta knärot.png", "A 26314-2024")</f>
        <v/>
      </c>
      <c r="V189">
        <f>HYPERLINK("https://klasma.github.io/Logging_2260/klagomål/A 26314-2024 FSC-klagomål.docx", "A 26314-2024")</f>
        <v/>
      </c>
      <c r="W189">
        <f>HYPERLINK("https://klasma.github.io/Logging_2260/klagomålsmail/A 26314-2024 FSC-klagomål mail.docx", "A 26314-2024")</f>
        <v/>
      </c>
      <c r="X189">
        <f>HYPERLINK("https://klasma.github.io/Logging_2260/tillsyn/A 26314-2024 tillsynsbegäran.docx", "A 26314-2024")</f>
        <v/>
      </c>
      <c r="Y189">
        <f>HYPERLINK("https://klasma.github.io/Logging_2260/tillsynsmail/A 26314-2024 tillsynsbegäran mail.docx", "A 26314-2024")</f>
        <v/>
      </c>
    </row>
    <row r="190" ht="15" customHeight="1">
      <c r="A190" t="inlineStr">
        <is>
          <t>A 17976-2025</t>
        </is>
      </c>
      <c r="B190" s="1" t="n">
        <v>45761</v>
      </c>
      <c r="C190" s="1" t="n">
        <v>46093</v>
      </c>
      <c r="D190" t="inlineStr">
        <is>
          <t>VÄSTERNORRLANDS LÄN</t>
        </is>
      </c>
      <c r="E190" t="inlineStr">
        <is>
          <t>TIMRÅ</t>
        </is>
      </c>
      <c r="F190" t="inlineStr">
        <is>
          <t>SCA</t>
        </is>
      </c>
      <c r="G190" t="n">
        <v>6.5</v>
      </c>
      <c r="H190" t="n">
        <v>1</v>
      </c>
      <c r="I190" t="n">
        <v>0</v>
      </c>
      <c r="J190" t="n">
        <v>6</v>
      </c>
      <c r="K190" t="n">
        <v>3</v>
      </c>
      <c r="L190" t="n">
        <v>0</v>
      </c>
      <c r="M190" t="n">
        <v>0</v>
      </c>
      <c r="N190" t="n">
        <v>0</v>
      </c>
      <c r="O190" t="n">
        <v>9</v>
      </c>
      <c r="P190" t="n">
        <v>3</v>
      </c>
      <c r="Q190" t="n">
        <v>9</v>
      </c>
      <c r="R190" s="2" t="inlineStr">
        <is>
          <t>Gräddporing
Knärot
Rynkskinn
Garnlav
Kolflarnlav
Lunglav
Rosenticka
Ullticka
Violettgrå tagellav</t>
        </is>
      </c>
      <c r="S190">
        <f>HYPERLINK("https://klasma.github.io/Logging_2262/artfynd/A 17976-2025 artfynd.xlsx", "A 17976-2025")</f>
        <v/>
      </c>
      <c r="T190">
        <f>HYPERLINK("https://klasma.github.io/Logging_2262/kartor/A 17976-2025 karta.png", "A 17976-2025")</f>
        <v/>
      </c>
      <c r="U190">
        <f>HYPERLINK("https://klasma.github.io/Logging_2262/knärot/A 17976-2025 karta knärot.png", "A 17976-2025")</f>
        <v/>
      </c>
      <c r="V190">
        <f>HYPERLINK("https://klasma.github.io/Logging_2262/klagomål/A 17976-2025 FSC-klagomål.docx", "A 17976-2025")</f>
        <v/>
      </c>
      <c r="W190">
        <f>HYPERLINK("https://klasma.github.io/Logging_2262/klagomålsmail/A 17976-2025 FSC-klagomål mail.docx", "A 17976-2025")</f>
        <v/>
      </c>
      <c r="X190">
        <f>HYPERLINK("https://klasma.github.io/Logging_2262/tillsyn/A 17976-2025 tillsynsbegäran.docx", "A 17976-2025")</f>
        <v/>
      </c>
      <c r="Y190">
        <f>HYPERLINK("https://klasma.github.io/Logging_2262/tillsynsmail/A 17976-2025 tillsynsbegäran mail.docx", "A 17976-2025")</f>
        <v/>
      </c>
    </row>
    <row r="191" ht="15" customHeight="1">
      <c r="A191" t="inlineStr">
        <is>
          <t>A 42962-2024</t>
        </is>
      </c>
      <c r="B191" s="1" t="n">
        <v>45567.37194444444</v>
      </c>
      <c r="C191" s="1" t="n">
        <v>46093</v>
      </c>
      <c r="D191" t="inlineStr">
        <is>
          <t>VÄSTERNORRLANDS LÄN</t>
        </is>
      </c>
      <c r="E191" t="inlineStr">
        <is>
          <t>ÅNGE</t>
        </is>
      </c>
      <c r="F191" t="inlineStr">
        <is>
          <t>SCA</t>
        </is>
      </c>
      <c r="G191" t="n">
        <v>11.2</v>
      </c>
      <c r="H191" t="n">
        <v>0</v>
      </c>
      <c r="I191" t="n">
        <v>0</v>
      </c>
      <c r="J191" t="n">
        <v>8</v>
      </c>
      <c r="K191" t="n">
        <v>1</v>
      </c>
      <c r="L191" t="n">
        <v>0</v>
      </c>
      <c r="M191" t="n">
        <v>0</v>
      </c>
      <c r="N191" t="n">
        <v>0</v>
      </c>
      <c r="O191" t="n">
        <v>9</v>
      </c>
      <c r="P191" t="n">
        <v>1</v>
      </c>
      <c r="Q191" t="n">
        <v>9</v>
      </c>
      <c r="R191" s="2" t="inlineStr">
        <is>
          <t>Gräddporing
Dvärgbägarlav
Lunglav
Mörk kolflarnlav
Vedflamlav
Vedskivlav
Vedtrappmossa
Violettgrå tagellav
Vitplätt</t>
        </is>
      </c>
      <c r="S191">
        <f>HYPERLINK("https://klasma.github.io/Logging_2260/artfynd/A 42962-2024 artfynd.xlsx", "A 42962-2024")</f>
        <v/>
      </c>
      <c r="T191">
        <f>HYPERLINK("https://klasma.github.io/Logging_2260/kartor/A 42962-2024 karta.png", "A 42962-2024")</f>
        <v/>
      </c>
      <c r="V191">
        <f>HYPERLINK("https://klasma.github.io/Logging_2260/klagomål/A 42962-2024 FSC-klagomål.docx", "A 42962-2024")</f>
        <v/>
      </c>
      <c r="W191">
        <f>HYPERLINK("https://klasma.github.io/Logging_2260/klagomålsmail/A 42962-2024 FSC-klagomål mail.docx", "A 42962-2024")</f>
        <v/>
      </c>
      <c r="X191">
        <f>HYPERLINK("https://klasma.github.io/Logging_2260/tillsyn/A 42962-2024 tillsynsbegäran.docx", "A 42962-2024")</f>
        <v/>
      </c>
      <c r="Y191">
        <f>HYPERLINK("https://klasma.github.io/Logging_2260/tillsynsmail/A 42962-2024 tillsynsbegäran mail.docx", "A 42962-2024")</f>
        <v/>
      </c>
    </row>
    <row r="192" ht="15" customHeight="1">
      <c r="A192" t="inlineStr">
        <is>
          <t>A 29686-2024</t>
        </is>
      </c>
      <c r="B192" s="1" t="n">
        <v>45484</v>
      </c>
      <c r="C192" s="1" t="n">
        <v>46093</v>
      </c>
      <c r="D192" t="inlineStr">
        <is>
          <t>VÄSTERNORRLANDS LÄN</t>
        </is>
      </c>
      <c r="E192" t="inlineStr">
        <is>
          <t>HÄRNÖSAND</t>
        </is>
      </c>
      <c r="F192" t="inlineStr">
        <is>
          <t>SCA</t>
        </is>
      </c>
      <c r="G192" t="n">
        <v>12.8</v>
      </c>
      <c r="H192" t="n">
        <v>1</v>
      </c>
      <c r="I192" t="n">
        <v>3</v>
      </c>
      <c r="J192" t="n">
        <v>6</v>
      </c>
      <c r="K192" t="n">
        <v>0</v>
      </c>
      <c r="L192" t="n">
        <v>0</v>
      </c>
      <c r="M192" t="n">
        <v>0</v>
      </c>
      <c r="N192" t="n">
        <v>0</v>
      </c>
      <c r="O192" t="n">
        <v>6</v>
      </c>
      <c r="P192" t="n">
        <v>0</v>
      </c>
      <c r="Q192" t="n">
        <v>9</v>
      </c>
      <c r="R192" s="2" t="inlineStr">
        <is>
          <t>Doftskinn
Garnlav
Granticka
Lunglav
Tretåig hackspett
Violettgrå tagellav
Gytterlav
Skinnlav
Stor aspticka</t>
        </is>
      </c>
      <c r="S192">
        <f>HYPERLINK("https://klasma.github.io/Logging_2280/artfynd/A 29686-2024 artfynd.xlsx", "A 29686-2024")</f>
        <v/>
      </c>
      <c r="T192">
        <f>HYPERLINK("https://klasma.github.io/Logging_2280/kartor/A 29686-2024 karta.png", "A 29686-2024")</f>
        <v/>
      </c>
      <c r="V192">
        <f>HYPERLINK("https://klasma.github.io/Logging_2280/klagomål/A 29686-2024 FSC-klagomål.docx", "A 29686-2024")</f>
        <v/>
      </c>
      <c r="W192">
        <f>HYPERLINK("https://klasma.github.io/Logging_2280/klagomålsmail/A 29686-2024 FSC-klagomål mail.docx", "A 29686-2024")</f>
        <v/>
      </c>
      <c r="X192">
        <f>HYPERLINK("https://klasma.github.io/Logging_2280/tillsyn/A 29686-2024 tillsynsbegäran.docx", "A 29686-2024")</f>
        <v/>
      </c>
      <c r="Y192">
        <f>HYPERLINK("https://klasma.github.io/Logging_2280/tillsynsmail/A 29686-2024 tillsynsbegäran mail.docx", "A 29686-2024")</f>
        <v/>
      </c>
      <c r="Z192">
        <f>HYPERLINK("https://klasma.github.io/Logging_2280/fåglar/A 29686-2024 prioriterade fågelarter.docx", "A 29686-2024")</f>
        <v/>
      </c>
    </row>
    <row r="193" ht="15" customHeight="1">
      <c r="A193" t="inlineStr">
        <is>
          <t>A 47177-2024</t>
        </is>
      </c>
      <c r="B193" s="1" t="n">
        <v>45586.61596064815</v>
      </c>
      <c r="C193" s="1" t="n">
        <v>46093</v>
      </c>
      <c r="D193" t="inlineStr">
        <is>
          <t>VÄSTERNORRLANDS LÄN</t>
        </is>
      </c>
      <c r="E193" t="inlineStr">
        <is>
          <t>SUNDSVALL</t>
        </is>
      </c>
      <c r="F193" t="inlineStr">
        <is>
          <t>SCA</t>
        </is>
      </c>
      <c r="G193" t="n">
        <v>12.3</v>
      </c>
      <c r="H193" t="n">
        <v>4</v>
      </c>
      <c r="I193" t="n">
        <v>1</v>
      </c>
      <c r="J193" t="n">
        <v>6</v>
      </c>
      <c r="K193" t="n">
        <v>2</v>
      </c>
      <c r="L193" t="n">
        <v>0</v>
      </c>
      <c r="M193" t="n">
        <v>0</v>
      </c>
      <c r="N193" t="n">
        <v>0</v>
      </c>
      <c r="O193" t="n">
        <v>8</v>
      </c>
      <c r="P193" t="n">
        <v>2</v>
      </c>
      <c r="Q193" t="n">
        <v>9</v>
      </c>
      <c r="R193" s="2" t="inlineStr">
        <is>
          <t>Knärot
Rynkskinn
Garnlav
Lunglav
Rosenticka
Spillkråka
Tretåig hackspett
Ullticka
Spindelblomster</t>
        </is>
      </c>
      <c r="S193">
        <f>HYPERLINK("https://klasma.github.io/Logging_2281/artfynd/A 47177-2024 artfynd.xlsx", "A 47177-2024")</f>
        <v/>
      </c>
      <c r="T193">
        <f>HYPERLINK("https://klasma.github.io/Logging_2281/kartor/A 47177-2024 karta.png", "A 47177-2024")</f>
        <v/>
      </c>
      <c r="U193">
        <f>HYPERLINK("https://klasma.github.io/Logging_2281/knärot/A 47177-2024 karta knärot.png", "A 47177-2024")</f>
        <v/>
      </c>
      <c r="V193">
        <f>HYPERLINK("https://klasma.github.io/Logging_2281/klagomål/A 47177-2024 FSC-klagomål.docx", "A 47177-2024")</f>
        <v/>
      </c>
      <c r="W193">
        <f>HYPERLINK("https://klasma.github.io/Logging_2281/klagomålsmail/A 47177-2024 FSC-klagomål mail.docx", "A 47177-2024")</f>
        <v/>
      </c>
      <c r="X193">
        <f>HYPERLINK("https://klasma.github.io/Logging_2281/tillsyn/A 47177-2024 tillsynsbegäran.docx", "A 47177-2024")</f>
        <v/>
      </c>
      <c r="Y193">
        <f>HYPERLINK("https://klasma.github.io/Logging_2281/tillsynsmail/A 47177-2024 tillsynsbegäran mail.docx", "A 47177-2024")</f>
        <v/>
      </c>
      <c r="Z193">
        <f>HYPERLINK("https://klasma.github.io/Logging_2281/fåglar/A 47177-2024 prioriterade fågelarter.docx", "A 47177-2024")</f>
        <v/>
      </c>
    </row>
    <row r="194" ht="15" customHeight="1">
      <c r="A194" t="inlineStr">
        <is>
          <t>A 41884-2025</t>
        </is>
      </c>
      <c r="B194" s="1" t="n">
        <v>45903</v>
      </c>
      <c r="C194" s="1" t="n">
        <v>46093</v>
      </c>
      <c r="D194" t="inlineStr">
        <is>
          <t>VÄSTERNORRLANDS LÄN</t>
        </is>
      </c>
      <c r="E194" t="inlineStr">
        <is>
          <t>SUNDSVALL</t>
        </is>
      </c>
      <c r="F194" t="inlineStr">
        <is>
          <t>SCA</t>
        </is>
      </c>
      <c r="G194" t="n">
        <v>16</v>
      </c>
      <c r="H194" t="n">
        <v>1</v>
      </c>
      <c r="I194" t="n">
        <v>5</v>
      </c>
      <c r="J194" t="n">
        <v>3</v>
      </c>
      <c r="K194" t="n">
        <v>0</v>
      </c>
      <c r="L194" t="n">
        <v>0</v>
      </c>
      <c r="M194" t="n">
        <v>0</v>
      </c>
      <c r="N194" t="n">
        <v>0</v>
      </c>
      <c r="O194" t="n">
        <v>3</v>
      </c>
      <c r="P194" t="n">
        <v>0</v>
      </c>
      <c r="Q194" t="n">
        <v>9</v>
      </c>
      <c r="R194" s="2" t="inlineStr">
        <is>
          <t>Garnlav
Kötticka
Lunglav
Luddlav
Mörk husmossa
Sotriska
Stubbspretmossa
Svavelriska
Nattviol</t>
        </is>
      </c>
      <c r="S194">
        <f>HYPERLINK("https://klasma.github.io/Logging_2281/artfynd/A 41884-2025 artfynd.xlsx", "A 41884-2025")</f>
        <v/>
      </c>
      <c r="T194">
        <f>HYPERLINK("https://klasma.github.io/Logging_2281/kartor/A 41884-2025 karta.png", "A 41884-2025")</f>
        <v/>
      </c>
      <c r="V194">
        <f>HYPERLINK("https://klasma.github.io/Logging_2281/klagomål/A 41884-2025 FSC-klagomål.docx", "A 41884-2025")</f>
        <v/>
      </c>
      <c r="W194">
        <f>HYPERLINK("https://klasma.github.io/Logging_2281/klagomålsmail/A 41884-2025 FSC-klagomål mail.docx", "A 41884-2025")</f>
        <v/>
      </c>
      <c r="X194">
        <f>HYPERLINK("https://klasma.github.io/Logging_2281/tillsyn/A 41884-2025 tillsynsbegäran.docx", "A 41884-2025")</f>
        <v/>
      </c>
      <c r="Y194">
        <f>HYPERLINK("https://klasma.github.io/Logging_2281/tillsynsmail/A 41884-2025 tillsynsbegäran mail.docx", "A 41884-2025")</f>
        <v/>
      </c>
    </row>
    <row r="195" ht="15" customHeight="1">
      <c r="A195" t="inlineStr">
        <is>
          <t>A 12146-2025</t>
        </is>
      </c>
      <c r="B195" s="1" t="n">
        <v>45729</v>
      </c>
      <c r="C195" s="1" t="n">
        <v>46093</v>
      </c>
      <c r="D195" t="inlineStr">
        <is>
          <t>VÄSTERNORRLANDS LÄN</t>
        </is>
      </c>
      <c r="E195" t="inlineStr">
        <is>
          <t>SOLLEFTEÅ</t>
        </is>
      </c>
      <c r="F195" t="inlineStr">
        <is>
          <t>SCA</t>
        </is>
      </c>
      <c r="G195" t="n">
        <v>7.4</v>
      </c>
      <c r="H195" t="n">
        <v>4</v>
      </c>
      <c r="I195" t="n">
        <v>1</v>
      </c>
      <c r="J195" t="n">
        <v>7</v>
      </c>
      <c r="K195" t="n">
        <v>0</v>
      </c>
      <c r="L195" t="n">
        <v>0</v>
      </c>
      <c r="M195" t="n">
        <v>0</v>
      </c>
      <c r="N195" t="n">
        <v>0</v>
      </c>
      <c r="O195" t="n">
        <v>7</v>
      </c>
      <c r="P195" t="n">
        <v>0</v>
      </c>
      <c r="Q195" t="n">
        <v>9</v>
      </c>
      <c r="R195" s="2" t="inlineStr">
        <is>
          <t>Gammelgransskål
Garnlav
Granticka
Harticka
Lunglav
Talltita
Tretåig hackspett
Lappranunkel
Tjäder</t>
        </is>
      </c>
      <c r="S195">
        <f>HYPERLINK("https://klasma.github.io/Logging_2283/artfynd/A 12146-2025 artfynd.xlsx", "A 12146-2025")</f>
        <v/>
      </c>
      <c r="T195">
        <f>HYPERLINK("https://klasma.github.io/Logging_2283/kartor/A 12146-2025 karta.png", "A 12146-2025")</f>
        <v/>
      </c>
      <c r="V195">
        <f>HYPERLINK("https://klasma.github.io/Logging_2283/klagomål/A 12146-2025 FSC-klagomål.docx", "A 12146-2025")</f>
        <v/>
      </c>
      <c r="W195">
        <f>HYPERLINK("https://klasma.github.io/Logging_2283/klagomålsmail/A 12146-2025 FSC-klagomål mail.docx", "A 12146-2025")</f>
        <v/>
      </c>
      <c r="X195">
        <f>HYPERLINK("https://klasma.github.io/Logging_2283/tillsyn/A 12146-2025 tillsynsbegäran.docx", "A 12146-2025")</f>
        <v/>
      </c>
      <c r="Y195">
        <f>HYPERLINK("https://klasma.github.io/Logging_2283/tillsynsmail/A 12146-2025 tillsynsbegäran mail.docx", "A 12146-2025")</f>
        <v/>
      </c>
      <c r="Z195">
        <f>HYPERLINK("https://klasma.github.io/Logging_2283/fåglar/A 12146-2025 prioriterade fågelarter.docx", "A 12146-2025")</f>
        <v/>
      </c>
    </row>
    <row r="196" ht="15" customHeight="1">
      <c r="A196" t="inlineStr">
        <is>
          <t>A 44496-2025</t>
        </is>
      </c>
      <c r="B196" s="1" t="n">
        <v>45916.66918981481</v>
      </c>
      <c r="C196" s="1" t="n">
        <v>46093</v>
      </c>
      <c r="D196" t="inlineStr">
        <is>
          <t>VÄSTERNORRLANDS LÄN</t>
        </is>
      </c>
      <c r="E196" t="inlineStr">
        <is>
          <t>KRAMFORS</t>
        </is>
      </c>
      <c r="G196" t="n">
        <v>5.1</v>
      </c>
      <c r="H196" t="n">
        <v>1</v>
      </c>
      <c r="I196" t="n">
        <v>0</v>
      </c>
      <c r="J196" t="n">
        <v>7</v>
      </c>
      <c r="K196" t="n">
        <v>1</v>
      </c>
      <c r="L196" t="n">
        <v>0</v>
      </c>
      <c r="M196" t="n">
        <v>0</v>
      </c>
      <c r="N196" t="n">
        <v>0</v>
      </c>
      <c r="O196" t="n">
        <v>8</v>
      </c>
      <c r="P196" t="n">
        <v>1</v>
      </c>
      <c r="Q196" t="n">
        <v>9</v>
      </c>
      <c r="R196" s="2" t="inlineStr">
        <is>
          <t>Ringlav
Blanksvart spiklav
Doftskinn
Garnlav
Kortskaftad ärgspik
Motaggsvamp
Ullticka
Vedskivlav
Fläcknycklar</t>
        </is>
      </c>
      <c r="S196">
        <f>HYPERLINK("https://klasma.github.io/Logging_2282/artfynd/A 44496-2025 artfynd.xlsx", "A 44496-2025")</f>
        <v/>
      </c>
      <c r="T196">
        <f>HYPERLINK("https://klasma.github.io/Logging_2282/kartor/A 44496-2025 karta.png", "A 44496-2025")</f>
        <v/>
      </c>
      <c r="V196">
        <f>HYPERLINK("https://klasma.github.io/Logging_2282/klagomål/A 44496-2025 FSC-klagomål.docx", "A 44496-2025")</f>
        <v/>
      </c>
      <c r="W196">
        <f>HYPERLINK("https://klasma.github.io/Logging_2282/klagomålsmail/A 44496-2025 FSC-klagomål mail.docx", "A 44496-2025")</f>
        <v/>
      </c>
      <c r="X196">
        <f>HYPERLINK("https://klasma.github.io/Logging_2282/tillsyn/A 44496-2025 tillsynsbegäran.docx", "A 44496-2025")</f>
        <v/>
      </c>
      <c r="Y196">
        <f>HYPERLINK("https://klasma.github.io/Logging_2282/tillsynsmail/A 44496-2025 tillsynsbegäran mail.docx", "A 44496-2025")</f>
        <v/>
      </c>
    </row>
    <row r="197" ht="15" customHeight="1">
      <c r="A197" t="inlineStr">
        <is>
          <t>A 46958-2023</t>
        </is>
      </c>
      <c r="B197" s="1" t="n">
        <v>45195</v>
      </c>
      <c r="C197" s="1" t="n">
        <v>46093</v>
      </c>
      <c r="D197" t="inlineStr">
        <is>
          <t>VÄSTERNORRLANDS LÄN</t>
        </is>
      </c>
      <c r="E197" t="inlineStr">
        <is>
          <t>ÖRNSKÖLDSVIK</t>
        </is>
      </c>
      <c r="G197" t="n">
        <v>6.1</v>
      </c>
      <c r="H197" t="n">
        <v>3</v>
      </c>
      <c r="I197" t="n">
        <v>1</v>
      </c>
      <c r="J197" t="n">
        <v>5</v>
      </c>
      <c r="K197" t="n">
        <v>2</v>
      </c>
      <c r="L197" t="n">
        <v>0</v>
      </c>
      <c r="M197" t="n">
        <v>0</v>
      </c>
      <c r="N197" t="n">
        <v>0</v>
      </c>
      <c r="O197" t="n">
        <v>7</v>
      </c>
      <c r="P197" t="n">
        <v>2</v>
      </c>
      <c r="Q197" t="n">
        <v>9</v>
      </c>
      <c r="R197" s="2" t="inlineStr">
        <is>
          <t>Knärot
Lappticka
Garnlav
Granticka
Rosenticka
Spillkråka
Ullticka
Stor aspticka
Lavskrika</t>
        </is>
      </c>
      <c r="S197">
        <f>HYPERLINK("https://klasma.github.io/Logging_2284/artfynd/A 46958-2023 artfynd.xlsx", "A 46958-2023")</f>
        <v/>
      </c>
      <c r="T197">
        <f>HYPERLINK("https://klasma.github.io/Logging_2284/kartor/A 46958-2023 karta.png", "A 46958-2023")</f>
        <v/>
      </c>
      <c r="U197">
        <f>HYPERLINK("https://klasma.github.io/Logging_2284/knärot/A 46958-2023 karta knärot.png", "A 46958-2023")</f>
        <v/>
      </c>
      <c r="V197">
        <f>HYPERLINK("https://klasma.github.io/Logging_2284/klagomål/A 46958-2023 FSC-klagomål.docx", "A 46958-2023")</f>
        <v/>
      </c>
      <c r="W197">
        <f>HYPERLINK("https://klasma.github.io/Logging_2284/klagomålsmail/A 46958-2023 FSC-klagomål mail.docx", "A 46958-2023")</f>
        <v/>
      </c>
      <c r="X197">
        <f>HYPERLINK("https://klasma.github.io/Logging_2284/tillsyn/A 46958-2023 tillsynsbegäran.docx", "A 46958-2023")</f>
        <v/>
      </c>
      <c r="Y197">
        <f>HYPERLINK("https://klasma.github.io/Logging_2284/tillsynsmail/A 46958-2023 tillsynsbegäran mail.docx", "A 46958-2023")</f>
        <v/>
      </c>
      <c r="Z197">
        <f>HYPERLINK("https://klasma.github.io/Logging_2284/fåglar/A 46958-2023 prioriterade fågelarter.docx", "A 46958-2023")</f>
        <v/>
      </c>
    </row>
    <row r="198" ht="15" customHeight="1">
      <c r="A198" t="inlineStr">
        <is>
          <t>A 46080-2025</t>
        </is>
      </c>
      <c r="B198" s="1" t="n">
        <v>45924.51101851852</v>
      </c>
      <c r="C198" s="1" t="n">
        <v>46093</v>
      </c>
      <c r="D198" t="inlineStr">
        <is>
          <t>VÄSTERNORRLANDS LÄN</t>
        </is>
      </c>
      <c r="E198" t="inlineStr">
        <is>
          <t>TIMRÅ</t>
        </is>
      </c>
      <c r="F198" t="inlineStr">
        <is>
          <t>SCA</t>
        </is>
      </c>
      <c r="G198" t="n">
        <v>1.3</v>
      </c>
      <c r="H198" t="n">
        <v>0</v>
      </c>
      <c r="I198" t="n">
        <v>1</v>
      </c>
      <c r="J198" t="n">
        <v>7</v>
      </c>
      <c r="K198" t="n">
        <v>1</v>
      </c>
      <c r="L198" t="n">
        <v>0</v>
      </c>
      <c r="M198" t="n">
        <v>0</v>
      </c>
      <c r="N198" t="n">
        <v>0</v>
      </c>
      <c r="O198" t="n">
        <v>8</v>
      </c>
      <c r="P198" t="n">
        <v>1</v>
      </c>
      <c r="Q198" t="n">
        <v>9</v>
      </c>
      <c r="R198" s="2" t="inlineStr">
        <is>
          <t>Smalfotad taggsvamp
Dvärgbägarlav
Garnlav
Kolflarnlav
Kortskaftad ärgspik
Mörk kolflarnlav
Vaddporing
Vedskivlav
Dropptaggsvamp</t>
        </is>
      </c>
      <c r="S198">
        <f>HYPERLINK("https://klasma.github.io/Logging_2262/artfynd/A 46080-2025 artfynd.xlsx", "A 46080-2025")</f>
        <v/>
      </c>
      <c r="T198">
        <f>HYPERLINK("https://klasma.github.io/Logging_2262/kartor/A 46080-2025 karta.png", "A 46080-2025")</f>
        <v/>
      </c>
      <c r="V198">
        <f>HYPERLINK("https://klasma.github.io/Logging_2262/klagomål/A 46080-2025 FSC-klagomål.docx", "A 46080-2025")</f>
        <v/>
      </c>
      <c r="W198">
        <f>HYPERLINK("https://klasma.github.io/Logging_2262/klagomålsmail/A 46080-2025 FSC-klagomål mail.docx", "A 46080-2025")</f>
        <v/>
      </c>
      <c r="X198">
        <f>HYPERLINK("https://klasma.github.io/Logging_2262/tillsyn/A 46080-2025 tillsynsbegäran.docx", "A 46080-2025")</f>
        <v/>
      </c>
      <c r="Y198">
        <f>HYPERLINK("https://klasma.github.io/Logging_2262/tillsynsmail/A 46080-2025 tillsynsbegäran mail.docx", "A 46080-2025")</f>
        <v/>
      </c>
    </row>
    <row r="199" ht="15" customHeight="1">
      <c r="A199" t="inlineStr">
        <is>
          <t>A 24755-2024</t>
        </is>
      </c>
      <c r="B199" s="1" t="n">
        <v>45460</v>
      </c>
      <c r="C199" s="1" t="n">
        <v>46093</v>
      </c>
      <c r="D199" t="inlineStr">
        <is>
          <t>VÄSTERNORRLANDS LÄN</t>
        </is>
      </c>
      <c r="E199" t="inlineStr">
        <is>
          <t>SOLLEFTEÅ</t>
        </is>
      </c>
      <c r="G199" t="n">
        <v>14</v>
      </c>
      <c r="H199" t="n">
        <v>4</v>
      </c>
      <c r="I199" t="n">
        <v>3</v>
      </c>
      <c r="J199" t="n">
        <v>4</v>
      </c>
      <c r="K199" t="n">
        <v>1</v>
      </c>
      <c r="L199" t="n">
        <v>0</v>
      </c>
      <c r="M199" t="n">
        <v>0</v>
      </c>
      <c r="N199" t="n">
        <v>0</v>
      </c>
      <c r="O199" t="n">
        <v>5</v>
      </c>
      <c r="P199" t="n">
        <v>1</v>
      </c>
      <c r="Q199" t="n">
        <v>9</v>
      </c>
      <c r="R199" s="2" t="inlineStr">
        <is>
          <t>Rynkskinn
Rosenticka
Spillkråka
Tretåig hackspett
Ullticka
Plattlummer
Tallfingersvamp
Vedticka
Revlummer</t>
        </is>
      </c>
      <c r="S199">
        <f>HYPERLINK("https://klasma.github.io/Logging_2283/artfynd/A 24755-2024 artfynd.xlsx", "A 24755-2024")</f>
        <v/>
      </c>
      <c r="T199">
        <f>HYPERLINK("https://klasma.github.io/Logging_2283/kartor/A 24755-2024 karta.png", "A 24755-2024")</f>
        <v/>
      </c>
      <c r="V199">
        <f>HYPERLINK("https://klasma.github.io/Logging_2283/klagomål/A 24755-2024 FSC-klagomål.docx", "A 24755-2024")</f>
        <v/>
      </c>
      <c r="W199">
        <f>HYPERLINK("https://klasma.github.io/Logging_2283/klagomålsmail/A 24755-2024 FSC-klagomål mail.docx", "A 24755-2024")</f>
        <v/>
      </c>
      <c r="X199">
        <f>HYPERLINK("https://klasma.github.io/Logging_2283/tillsyn/A 24755-2024 tillsynsbegäran.docx", "A 24755-2024")</f>
        <v/>
      </c>
      <c r="Y199">
        <f>HYPERLINK("https://klasma.github.io/Logging_2283/tillsynsmail/A 24755-2024 tillsynsbegäran mail.docx", "A 24755-2024")</f>
        <v/>
      </c>
      <c r="Z199">
        <f>HYPERLINK("https://klasma.github.io/Logging_2283/fåglar/A 24755-2024 prioriterade fågelarter.docx", "A 24755-2024")</f>
        <v/>
      </c>
    </row>
    <row r="200" ht="15" customHeight="1">
      <c r="A200" t="inlineStr">
        <is>
          <t>A 34699-2024</t>
        </is>
      </c>
      <c r="B200" s="1" t="n">
        <v>45526</v>
      </c>
      <c r="C200" s="1" t="n">
        <v>46093</v>
      </c>
      <c r="D200" t="inlineStr">
        <is>
          <t>VÄSTERNORRLANDS LÄN</t>
        </is>
      </c>
      <c r="E200" t="inlineStr">
        <is>
          <t>SUNDSVALL</t>
        </is>
      </c>
      <c r="G200" t="n">
        <v>16.5</v>
      </c>
      <c r="H200" t="n">
        <v>3</v>
      </c>
      <c r="I200" t="n">
        <v>1</v>
      </c>
      <c r="J200" t="n">
        <v>6</v>
      </c>
      <c r="K200" t="n">
        <v>1</v>
      </c>
      <c r="L200" t="n">
        <v>0</v>
      </c>
      <c r="M200" t="n">
        <v>0</v>
      </c>
      <c r="N200" t="n">
        <v>0</v>
      </c>
      <c r="O200" t="n">
        <v>7</v>
      </c>
      <c r="P200" t="n">
        <v>1</v>
      </c>
      <c r="Q200" t="n">
        <v>9</v>
      </c>
      <c r="R200" s="2" t="inlineStr">
        <is>
          <t>Rynkskinn
Garnlav
Gränsticka
Talltita
Ullticka
Vedflamlav
Vedskivlav
Spindelblomster
Nattviol</t>
        </is>
      </c>
      <c r="S200">
        <f>HYPERLINK("https://klasma.github.io/Logging_2281/artfynd/A 34699-2024 artfynd.xlsx", "A 34699-2024")</f>
        <v/>
      </c>
      <c r="T200">
        <f>HYPERLINK("https://klasma.github.io/Logging_2281/kartor/A 34699-2024 karta.png", "A 34699-2024")</f>
        <v/>
      </c>
      <c r="V200">
        <f>HYPERLINK("https://klasma.github.io/Logging_2281/klagomål/A 34699-2024 FSC-klagomål.docx", "A 34699-2024")</f>
        <v/>
      </c>
      <c r="W200">
        <f>HYPERLINK("https://klasma.github.io/Logging_2281/klagomålsmail/A 34699-2024 FSC-klagomål mail.docx", "A 34699-2024")</f>
        <v/>
      </c>
      <c r="X200">
        <f>HYPERLINK("https://klasma.github.io/Logging_2281/tillsyn/A 34699-2024 tillsynsbegäran.docx", "A 34699-2024")</f>
        <v/>
      </c>
      <c r="Y200">
        <f>HYPERLINK("https://klasma.github.io/Logging_2281/tillsynsmail/A 34699-2024 tillsynsbegäran mail.docx", "A 34699-2024")</f>
        <v/>
      </c>
      <c r="Z200">
        <f>HYPERLINK("https://klasma.github.io/Logging_2281/fåglar/A 34699-2024 prioriterade fågelarter.docx", "A 34699-2024")</f>
        <v/>
      </c>
    </row>
    <row r="201" ht="15" customHeight="1">
      <c r="A201" t="inlineStr">
        <is>
          <t>A 57790-2024</t>
        </is>
      </c>
      <c r="B201" s="1" t="n">
        <v>45631</v>
      </c>
      <c r="C201" s="1" t="n">
        <v>46093</v>
      </c>
      <c r="D201" t="inlineStr">
        <is>
          <t>VÄSTERNORRLANDS LÄN</t>
        </is>
      </c>
      <c r="E201" t="inlineStr">
        <is>
          <t>SOLLEFTEÅ</t>
        </is>
      </c>
      <c r="G201" t="n">
        <v>4.7</v>
      </c>
      <c r="H201" t="n">
        <v>4</v>
      </c>
      <c r="I201" t="n">
        <v>2</v>
      </c>
      <c r="J201" t="n">
        <v>6</v>
      </c>
      <c r="K201" t="n">
        <v>1</v>
      </c>
      <c r="L201" t="n">
        <v>0</v>
      </c>
      <c r="M201" t="n">
        <v>0</v>
      </c>
      <c r="N201" t="n">
        <v>0</v>
      </c>
      <c r="O201" t="n">
        <v>7</v>
      </c>
      <c r="P201" t="n">
        <v>1</v>
      </c>
      <c r="Q201" t="n">
        <v>9</v>
      </c>
      <c r="R201" s="2" t="inlineStr">
        <is>
          <t>Knärot
Garnlav
Rosenticka
Spillkråka
Talltita
Tretåig hackspett
Ullticka
Norrlandslav
Vedticka</t>
        </is>
      </c>
      <c r="S201">
        <f>HYPERLINK("https://klasma.github.io/Logging_2283/artfynd/A 57790-2024 artfynd.xlsx", "A 57790-2024")</f>
        <v/>
      </c>
      <c r="T201">
        <f>HYPERLINK("https://klasma.github.io/Logging_2283/kartor/A 57790-2024 karta.png", "A 57790-2024")</f>
        <v/>
      </c>
      <c r="U201">
        <f>HYPERLINK("https://klasma.github.io/Logging_2283/knärot/A 57790-2024 karta knärot.png", "A 57790-2024")</f>
        <v/>
      </c>
      <c r="V201">
        <f>HYPERLINK("https://klasma.github.io/Logging_2283/klagomål/A 57790-2024 FSC-klagomål.docx", "A 57790-2024")</f>
        <v/>
      </c>
      <c r="W201">
        <f>HYPERLINK("https://klasma.github.io/Logging_2283/klagomålsmail/A 57790-2024 FSC-klagomål mail.docx", "A 57790-2024")</f>
        <v/>
      </c>
      <c r="X201">
        <f>HYPERLINK("https://klasma.github.io/Logging_2283/tillsyn/A 57790-2024 tillsynsbegäran.docx", "A 57790-2024")</f>
        <v/>
      </c>
      <c r="Y201">
        <f>HYPERLINK("https://klasma.github.io/Logging_2283/tillsynsmail/A 57790-2024 tillsynsbegäran mail.docx", "A 57790-2024")</f>
        <v/>
      </c>
      <c r="Z201">
        <f>HYPERLINK("https://klasma.github.io/Logging_2283/fåglar/A 57790-2024 prioriterade fågelarter.docx", "A 57790-2024")</f>
        <v/>
      </c>
    </row>
    <row r="202" ht="15" customHeight="1">
      <c r="A202" t="inlineStr">
        <is>
          <t>A 46124-2024</t>
        </is>
      </c>
      <c r="B202" s="1" t="n">
        <v>45581</v>
      </c>
      <c r="C202" s="1" t="n">
        <v>46093</v>
      </c>
      <c r="D202" t="inlineStr">
        <is>
          <t>VÄSTERNORRLANDS LÄN</t>
        </is>
      </c>
      <c r="E202" t="inlineStr">
        <is>
          <t>SUNDSVALL</t>
        </is>
      </c>
      <c r="G202" t="n">
        <v>6.2</v>
      </c>
      <c r="H202" t="n">
        <v>4</v>
      </c>
      <c r="I202" t="n">
        <v>2</v>
      </c>
      <c r="J202" t="n">
        <v>4</v>
      </c>
      <c r="K202" t="n">
        <v>1</v>
      </c>
      <c r="L202" t="n">
        <v>0</v>
      </c>
      <c r="M202" t="n">
        <v>0</v>
      </c>
      <c r="N202" t="n">
        <v>0</v>
      </c>
      <c r="O202" t="n">
        <v>5</v>
      </c>
      <c r="P202" t="n">
        <v>1</v>
      </c>
      <c r="Q202" t="n">
        <v>9</v>
      </c>
      <c r="R202" s="2" t="inlineStr">
        <is>
          <t>Knärot
Gränsticka
Svart taggsvamp agg.
Ullticka
Violettgrå tagellav
Dropptaggsvamp
Grön sköldmossa
Gråspett
Blåsippa</t>
        </is>
      </c>
      <c r="S202">
        <f>HYPERLINK("https://klasma.github.io/Logging_2281/artfynd/A 46124-2024 artfynd.xlsx", "A 46124-2024")</f>
        <v/>
      </c>
      <c r="T202">
        <f>HYPERLINK("https://klasma.github.io/Logging_2281/kartor/A 46124-2024 karta.png", "A 46124-2024")</f>
        <v/>
      </c>
      <c r="U202">
        <f>HYPERLINK("https://klasma.github.io/Logging_2281/knärot/A 46124-2024 karta knärot.png", "A 46124-2024")</f>
        <v/>
      </c>
      <c r="V202">
        <f>HYPERLINK("https://klasma.github.io/Logging_2281/klagomål/A 46124-2024 FSC-klagomål.docx", "A 46124-2024")</f>
        <v/>
      </c>
      <c r="W202">
        <f>HYPERLINK("https://klasma.github.io/Logging_2281/klagomålsmail/A 46124-2024 FSC-klagomål mail.docx", "A 46124-2024")</f>
        <v/>
      </c>
      <c r="X202">
        <f>HYPERLINK("https://klasma.github.io/Logging_2281/tillsyn/A 46124-2024 tillsynsbegäran.docx", "A 46124-2024")</f>
        <v/>
      </c>
      <c r="Y202">
        <f>HYPERLINK("https://klasma.github.io/Logging_2281/tillsynsmail/A 46124-2024 tillsynsbegäran mail.docx", "A 46124-2024")</f>
        <v/>
      </c>
      <c r="Z202">
        <f>HYPERLINK("https://klasma.github.io/Logging_2281/fåglar/A 46124-2024 prioriterade fågelarter.docx", "A 46124-2024")</f>
        <v/>
      </c>
    </row>
    <row r="203" ht="15" customHeight="1">
      <c r="A203" t="inlineStr">
        <is>
          <t>A 50817-2025</t>
        </is>
      </c>
      <c r="B203" s="1" t="n">
        <v>45946.53168981482</v>
      </c>
      <c r="C203" s="1" t="n">
        <v>46093</v>
      </c>
      <c r="D203" t="inlineStr">
        <is>
          <t>VÄSTERNORRLANDS LÄN</t>
        </is>
      </c>
      <c r="E203" t="inlineStr">
        <is>
          <t>SUNDSVALL</t>
        </is>
      </c>
      <c r="F203" t="inlineStr">
        <is>
          <t>SCA</t>
        </is>
      </c>
      <c r="G203" t="n">
        <v>6.1</v>
      </c>
      <c r="H203" t="n">
        <v>5</v>
      </c>
      <c r="I203" t="n">
        <v>2</v>
      </c>
      <c r="J203" t="n">
        <v>4</v>
      </c>
      <c r="K203" t="n">
        <v>1</v>
      </c>
      <c r="L203" t="n">
        <v>0</v>
      </c>
      <c r="M203" t="n">
        <v>0</v>
      </c>
      <c r="N203" t="n">
        <v>0</v>
      </c>
      <c r="O203" t="n">
        <v>5</v>
      </c>
      <c r="P203" t="n">
        <v>1</v>
      </c>
      <c r="Q203" t="n">
        <v>9</v>
      </c>
      <c r="R203" s="2" t="inlineStr">
        <is>
          <t>Knärot
Garnlav
Lunglav
Talltita
Tretåig hackspett
Brandticka
Jättesvampmal
Tjäder
Fläcknycklar</t>
        </is>
      </c>
      <c r="S203">
        <f>HYPERLINK("https://klasma.github.io/Logging_2281/artfynd/A 50817-2025 artfynd.xlsx", "A 50817-2025")</f>
        <v/>
      </c>
      <c r="T203">
        <f>HYPERLINK("https://klasma.github.io/Logging_2281/kartor/A 50817-2025 karta.png", "A 50817-2025")</f>
        <v/>
      </c>
      <c r="U203">
        <f>HYPERLINK("https://klasma.github.io/Logging_2281/knärot/A 50817-2025 karta knärot.png", "A 50817-2025")</f>
        <v/>
      </c>
      <c r="V203">
        <f>HYPERLINK("https://klasma.github.io/Logging_2281/klagomål/A 50817-2025 FSC-klagomål.docx", "A 50817-2025")</f>
        <v/>
      </c>
      <c r="W203">
        <f>HYPERLINK("https://klasma.github.io/Logging_2281/klagomålsmail/A 50817-2025 FSC-klagomål mail.docx", "A 50817-2025")</f>
        <v/>
      </c>
      <c r="X203">
        <f>HYPERLINK("https://klasma.github.io/Logging_2281/tillsyn/A 50817-2025 tillsynsbegäran.docx", "A 50817-2025")</f>
        <v/>
      </c>
      <c r="Y203">
        <f>HYPERLINK("https://klasma.github.io/Logging_2281/tillsynsmail/A 50817-2025 tillsynsbegäran mail.docx", "A 50817-2025")</f>
        <v/>
      </c>
      <c r="Z203">
        <f>HYPERLINK("https://klasma.github.io/Logging_2281/fåglar/A 50817-2025 prioriterade fågelarter.docx", "A 50817-2025")</f>
        <v/>
      </c>
    </row>
    <row r="204" ht="15" customHeight="1">
      <c r="A204" t="inlineStr">
        <is>
          <t>A 14582-2024</t>
        </is>
      </c>
      <c r="B204" s="1" t="n">
        <v>45394</v>
      </c>
      <c r="C204" s="1" t="n">
        <v>46093</v>
      </c>
      <c r="D204" t="inlineStr">
        <is>
          <t>VÄSTERNORRLANDS LÄN</t>
        </is>
      </c>
      <c r="E204" t="inlineStr">
        <is>
          <t>HÄRNÖSAND</t>
        </is>
      </c>
      <c r="F204" t="inlineStr">
        <is>
          <t>SCA</t>
        </is>
      </c>
      <c r="G204" t="n">
        <v>4.1</v>
      </c>
      <c r="H204" t="n">
        <v>1</v>
      </c>
      <c r="I204" t="n">
        <v>0</v>
      </c>
      <c r="J204" t="n">
        <v>9</v>
      </c>
      <c r="K204" t="n">
        <v>0</v>
      </c>
      <c r="L204" t="n">
        <v>0</v>
      </c>
      <c r="M204" t="n">
        <v>0</v>
      </c>
      <c r="N204" t="n">
        <v>0</v>
      </c>
      <c r="O204" t="n">
        <v>9</v>
      </c>
      <c r="P204" t="n">
        <v>0</v>
      </c>
      <c r="Q204" t="n">
        <v>9</v>
      </c>
      <c r="R204" s="2" t="inlineStr">
        <is>
          <t>Dvärgbägarlav
Garnlav
Kortskaftad ärgspik
Mörk kolflarnlav
Nordtagging
Tretåig hackspett
Ullticka
Vedflamlav
Vedskivlav</t>
        </is>
      </c>
      <c r="S204">
        <f>HYPERLINK("https://klasma.github.io/Logging_2280/artfynd/A 14582-2024 artfynd.xlsx", "A 14582-2024")</f>
        <v/>
      </c>
      <c r="T204">
        <f>HYPERLINK("https://klasma.github.io/Logging_2280/kartor/A 14582-2024 karta.png", "A 14582-2024")</f>
        <v/>
      </c>
      <c r="V204">
        <f>HYPERLINK("https://klasma.github.io/Logging_2280/klagomål/A 14582-2024 FSC-klagomål.docx", "A 14582-2024")</f>
        <v/>
      </c>
      <c r="W204">
        <f>HYPERLINK("https://klasma.github.io/Logging_2280/klagomålsmail/A 14582-2024 FSC-klagomål mail.docx", "A 14582-2024")</f>
        <v/>
      </c>
      <c r="X204">
        <f>HYPERLINK("https://klasma.github.io/Logging_2280/tillsyn/A 14582-2024 tillsynsbegäran.docx", "A 14582-2024")</f>
        <v/>
      </c>
      <c r="Y204">
        <f>HYPERLINK("https://klasma.github.io/Logging_2280/tillsynsmail/A 14582-2024 tillsynsbegäran mail.docx", "A 14582-2024")</f>
        <v/>
      </c>
      <c r="Z204">
        <f>HYPERLINK("https://klasma.github.io/Logging_2280/fåglar/A 14582-2024 prioriterade fågelarter.docx", "A 14582-2024")</f>
        <v/>
      </c>
    </row>
    <row r="205" ht="15" customHeight="1">
      <c r="A205" t="inlineStr">
        <is>
          <t>A 43604-2023</t>
        </is>
      </c>
      <c r="B205" s="1" t="n">
        <v>45181</v>
      </c>
      <c r="C205" s="1" t="n">
        <v>46093</v>
      </c>
      <c r="D205" t="inlineStr">
        <is>
          <t>VÄSTERNORRLANDS LÄN</t>
        </is>
      </c>
      <c r="E205" t="inlineStr">
        <is>
          <t>ÖRNSKÖLDSVIK</t>
        </is>
      </c>
      <c r="F205" t="inlineStr">
        <is>
          <t>Kyrkan</t>
        </is>
      </c>
      <c r="G205" t="n">
        <v>38.7</v>
      </c>
      <c r="H205" t="n">
        <v>1</v>
      </c>
      <c r="I205" t="n">
        <v>1</v>
      </c>
      <c r="J205" t="n">
        <v>7</v>
      </c>
      <c r="K205" t="n">
        <v>1</v>
      </c>
      <c r="L205" t="n">
        <v>0</v>
      </c>
      <c r="M205" t="n">
        <v>0</v>
      </c>
      <c r="N205" t="n">
        <v>0</v>
      </c>
      <c r="O205" t="n">
        <v>8</v>
      </c>
      <c r="P205" t="n">
        <v>1</v>
      </c>
      <c r="Q205" t="n">
        <v>9</v>
      </c>
      <c r="R205" s="2" t="inlineStr">
        <is>
          <t>Vit aspticka
Garnlav
Kolflarnlav
Kötticka
Tallriska
Talltita
Ullticka
Vedskivlav
Stor aspticka</t>
        </is>
      </c>
      <c r="S205">
        <f>HYPERLINK("https://klasma.github.io/Logging_2284/artfynd/A 43604-2023 artfynd.xlsx", "A 43604-2023")</f>
        <v/>
      </c>
      <c r="T205">
        <f>HYPERLINK("https://klasma.github.io/Logging_2284/kartor/A 43604-2023 karta.png", "A 43604-2023")</f>
        <v/>
      </c>
      <c r="V205">
        <f>HYPERLINK("https://klasma.github.io/Logging_2284/klagomål/A 43604-2023 FSC-klagomål.docx", "A 43604-2023")</f>
        <v/>
      </c>
      <c r="W205">
        <f>HYPERLINK("https://klasma.github.io/Logging_2284/klagomålsmail/A 43604-2023 FSC-klagomål mail.docx", "A 43604-2023")</f>
        <v/>
      </c>
      <c r="X205">
        <f>HYPERLINK("https://klasma.github.io/Logging_2284/tillsyn/A 43604-2023 tillsynsbegäran.docx", "A 43604-2023")</f>
        <v/>
      </c>
      <c r="Y205">
        <f>HYPERLINK("https://klasma.github.io/Logging_2284/tillsynsmail/A 43604-2023 tillsynsbegäran mail.docx", "A 43604-2023")</f>
        <v/>
      </c>
      <c r="Z205">
        <f>HYPERLINK("https://klasma.github.io/Logging_2284/fåglar/A 43604-2023 prioriterade fågelarter.docx", "A 43604-2023")</f>
        <v/>
      </c>
    </row>
    <row r="206" ht="15" customHeight="1">
      <c r="A206" t="inlineStr">
        <is>
          <t>A 38409-2024</t>
        </is>
      </c>
      <c r="B206" s="1" t="n">
        <v>45546</v>
      </c>
      <c r="C206" s="1" t="n">
        <v>46093</v>
      </c>
      <c r="D206" t="inlineStr">
        <is>
          <t>VÄSTERNORRLANDS LÄN</t>
        </is>
      </c>
      <c r="E206" t="inlineStr">
        <is>
          <t>HÄRNÖSAND</t>
        </is>
      </c>
      <c r="F206" t="inlineStr">
        <is>
          <t>SCA</t>
        </is>
      </c>
      <c r="G206" t="n">
        <v>7.7</v>
      </c>
      <c r="H206" t="n">
        <v>3</v>
      </c>
      <c r="I206" t="n">
        <v>1</v>
      </c>
      <c r="J206" t="n">
        <v>7</v>
      </c>
      <c r="K206" t="n">
        <v>1</v>
      </c>
      <c r="L206" t="n">
        <v>0</v>
      </c>
      <c r="M206" t="n">
        <v>0</v>
      </c>
      <c r="N206" t="n">
        <v>0</v>
      </c>
      <c r="O206" t="n">
        <v>8</v>
      </c>
      <c r="P206" t="n">
        <v>1</v>
      </c>
      <c r="Q206" t="n">
        <v>9</v>
      </c>
      <c r="R206" s="2" t="inlineStr">
        <is>
          <t>Knärot
Garnlav
Lunglav
Mörk kolflarnlav
Talltita
Tretåig hackspett
Ullticka
Vedskivlav
Korallblylav</t>
        </is>
      </c>
      <c r="S206">
        <f>HYPERLINK("https://klasma.github.io/Logging_2280/artfynd/A 38409-2024 artfynd.xlsx", "A 38409-2024")</f>
        <v/>
      </c>
      <c r="T206">
        <f>HYPERLINK("https://klasma.github.io/Logging_2280/kartor/A 38409-2024 karta.png", "A 38409-2024")</f>
        <v/>
      </c>
      <c r="U206">
        <f>HYPERLINK("https://klasma.github.io/Logging_2280/knärot/A 38409-2024 karta knärot.png", "A 38409-2024")</f>
        <v/>
      </c>
      <c r="V206">
        <f>HYPERLINK("https://klasma.github.io/Logging_2280/klagomål/A 38409-2024 FSC-klagomål.docx", "A 38409-2024")</f>
        <v/>
      </c>
      <c r="W206">
        <f>HYPERLINK("https://klasma.github.io/Logging_2280/klagomålsmail/A 38409-2024 FSC-klagomål mail.docx", "A 38409-2024")</f>
        <v/>
      </c>
      <c r="X206">
        <f>HYPERLINK("https://klasma.github.io/Logging_2280/tillsyn/A 38409-2024 tillsynsbegäran.docx", "A 38409-2024")</f>
        <v/>
      </c>
      <c r="Y206">
        <f>HYPERLINK("https://klasma.github.io/Logging_2280/tillsynsmail/A 38409-2024 tillsynsbegäran mail.docx", "A 38409-2024")</f>
        <v/>
      </c>
      <c r="Z206">
        <f>HYPERLINK("https://klasma.github.io/Logging_2280/fåglar/A 38409-2024 prioriterade fågelarter.docx", "A 38409-2024")</f>
        <v/>
      </c>
    </row>
    <row r="207" ht="15" customHeight="1">
      <c r="A207" t="inlineStr">
        <is>
          <t>A 39197-2025</t>
        </is>
      </c>
      <c r="B207" s="1" t="n">
        <v>45888.69832175926</v>
      </c>
      <c r="C207" s="1" t="n">
        <v>46093</v>
      </c>
      <c r="D207" t="inlineStr">
        <is>
          <t>VÄSTERNORRLANDS LÄN</t>
        </is>
      </c>
      <c r="E207" t="inlineStr">
        <is>
          <t>SOLLEFTEÅ</t>
        </is>
      </c>
      <c r="G207" t="n">
        <v>1.8</v>
      </c>
      <c r="H207" t="n">
        <v>2</v>
      </c>
      <c r="I207" t="n">
        <v>3</v>
      </c>
      <c r="J207" t="n">
        <v>5</v>
      </c>
      <c r="K207" t="n">
        <v>1</v>
      </c>
      <c r="L207" t="n">
        <v>0</v>
      </c>
      <c r="M207" t="n">
        <v>0</v>
      </c>
      <c r="N207" t="n">
        <v>0</v>
      </c>
      <c r="O207" t="n">
        <v>6</v>
      </c>
      <c r="P207" t="n">
        <v>1</v>
      </c>
      <c r="Q207" t="n">
        <v>9</v>
      </c>
      <c r="R207" s="2" t="inlineStr">
        <is>
          <t>Knärot
Gammelgransskål
Lunglav
Skrovellav
Tretåig hackspett
Ullticka
Stuplav
Trådticka
Vedticka</t>
        </is>
      </c>
      <c r="S207">
        <f>HYPERLINK("https://klasma.github.io/Logging_2283/artfynd/A 39197-2025 artfynd.xlsx", "A 39197-2025")</f>
        <v/>
      </c>
      <c r="T207">
        <f>HYPERLINK("https://klasma.github.io/Logging_2283/kartor/A 39197-2025 karta.png", "A 39197-2025")</f>
        <v/>
      </c>
      <c r="U207">
        <f>HYPERLINK("https://klasma.github.io/Logging_2283/knärot/A 39197-2025 karta knärot.png", "A 39197-2025")</f>
        <v/>
      </c>
      <c r="V207">
        <f>HYPERLINK("https://klasma.github.io/Logging_2283/klagomål/A 39197-2025 FSC-klagomål.docx", "A 39197-2025")</f>
        <v/>
      </c>
      <c r="W207">
        <f>HYPERLINK("https://klasma.github.io/Logging_2283/klagomålsmail/A 39197-2025 FSC-klagomål mail.docx", "A 39197-2025")</f>
        <v/>
      </c>
      <c r="X207">
        <f>HYPERLINK("https://klasma.github.io/Logging_2283/tillsyn/A 39197-2025 tillsynsbegäran.docx", "A 39197-2025")</f>
        <v/>
      </c>
      <c r="Y207">
        <f>HYPERLINK("https://klasma.github.io/Logging_2283/tillsynsmail/A 39197-2025 tillsynsbegäran mail.docx", "A 39197-2025")</f>
        <v/>
      </c>
      <c r="Z207">
        <f>HYPERLINK("https://klasma.github.io/Logging_2283/fåglar/A 39197-2025 prioriterade fågelarter.docx", "A 39197-2025")</f>
        <v/>
      </c>
    </row>
    <row r="208" ht="15" customHeight="1">
      <c r="A208" t="inlineStr">
        <is>
          <t>A 40274-2022</t>
        </is>
      </c>
      <c r="B208" s="1" t="n">
        <v>44820</v>
      </c>
      <c r="C208" s="1" t="n">
        <v>46093</v>
      </c>
      <c r="D208" t="inlineStr">
        <is>
          <t>VÄSTERNORRLANDS LÄN</t>
        </is>
      </c>
      <c r="E208" t="inlineStr">
        <is>
          <t>SOLLEFTEÅ</t>
        </is>
      </c>
      <c r="F208" t="inlineStr">
        <is>
          <t>SCA</t>
        </is>
      </c>
      <c r="G208" t="n">
        <v>2.1</v>
      </c>
      <c r="H208" t="n">
        <v>3</v>
      </c>
      <c r="I208" t="n">
        <v>0</v>
      </c>
      <c r="J208" t="n">
        <v>7</v>
      </c>
      <c r="K208" t="n">
        <v>2</v>
      </c>
      <c r="L208" t="n">
        <v>0</v>
      </c>
      <c r="M208" t="n">
        <v>0</v>
      </c>
      <c r="N208" t="n">
        <v>0</v>
      </c>
      <c r="O208" t="n">
        <v>9</v>
      </c>
      <c r="P208" t="n">
        <v>2</v>
      </c>
      <c r="Q208" t="n">
        <v>9</v>
      </c>
      <c r="R208" s="2" t="inlineStr">
        <is>
          <t>Knärot
Rynkskinn
Garnlav
Kolflarnlav
Lunglav
Rosenticka
Talltita
Tretåig hackspett
Ullticka</t>
        </is>
      </c>
      <c r="S208">
        <f>HYPERLINK("https://klasma.github.io/Logging_2283/artfynd/A 40274-2022 artfynd.xlsx", "A 40274-2022")</f>
        <v/>
      </c>
      <c r="T208">
        <f>HYPERLINK("https://klasma.github.io/Logging_2283/kartor/A 40274-2022 karta.png", "A 40274-2022")</f>
        <v/>
      </c>
      <c r="U208">
        <f>HYPERLINK("https://klasma.github.io/Logging_2283/knärot/A 40274-2022 karta knärot.png", "A 40274-2022")</f>
        <v/>
      </c>
      <c r="V208">
        <f>HYPERLINK("https://klasma.github.io/Logging_2283/klagomål/A 40274-2022 FSC-klagomål.docx", "A 40274-2022")</f>
        <v/>
      </c>
      <c r="W208">
        <f>HYPERLINK("https://klasma.github.io/Logging_2283/klagomålsmail/A 40274-2022 FSC-klagomål mail.docx", "A 40274-2022")</f>
        <v/>
      </c>
      <c r="X208">
        <f>HYPERLINK("https://klasma.github.io/Logging_2283/tillsyn/A 40274-2022 tillsynsbegäran.docx", "A 40274-2022")</f>
        <v/>
      </c>
      <c r="Y208">
        <f>HYPERLINK("https://klasma.github.io/Logging_2283/tillsynsmail/A 40274-2022 tillsynsbegäran mail.docx", "A 40274-2022")</f>
        <v/>
      </c>
      <c r="Z208">
        <f>HYPERLINK("https://klasma.github.io/Logging_2283/fåglar/A 40274-2022 prioriterade fågelarter.docx", "A 40274-2022")</f>
        <v/>
      </c>
    </row>
    <row r="209" ht="15" customHeight="1">
      <c r="A209" t="inlineStr">
        <is>
          <t>A 20694-2022</t>
        </is>
      </c>
      <c r="B209" s="1" t="n">
        <v>44700</v>
      </c>
      <c r="C209" s="1" t="n">
        <v>46093</v>
      </c>
      <c r="D209" t="inlineStr">
        <is>
          <t>VÄSTERNORRLANDS LÄN</t>
        </is>
      </c>
      <c r="E209" t="inlineStr">
        <is>
          <t>ÅNGE</t>
        </is>
      </c>
      <c r="G209" t="n">
        <v>5</v>
      </c>
      <c r="H209" t="n">
        <v>2</v>
      </c>
      <c r="I209" t="n">
        <v>2</v>
      </c>
      <c r="J209" t="n">
        <v>5</v>
      </c>
      <c r="K209" t="n">
        <v>1</v>
      </c>
      <c r="L209" t="n">
        <v>0</v>
      </c>
      <c r="M209" t="n">
        <v>0</v>
      </c>
      <c r="N209" t="n">
        <v>0</v>
      </c>
      <c r="O209" t="n">
        <v>6</v>
      </c>
      <c r="P209" t="n">
        <v>1</v>
      </c>
      <c r="Q209" t="n">
        <v>9</v>
      </c>
      <c r="R209" s="2" t="inlineStr">
        <is>
          <t>Knärot
Gammelgransskål
Gränsticka
Ullticka
Vedtrappmossa
Vitgrynig nållav
Mörk husmossa
Vedticka
Blåsippa</t>
        </is>
      </c>
      <c r="S209">
        <f>HYPERLINK("https://klasma.github.io/Logging_2260/artfynd/A 20694-2022 artfynd.xlsx", "A 20694-2022")</f>
        <v/>
      </c>
      <c r="T209">
        <f>HYPERLINK("https://klasma.github.io/Logging_2260/kartor/A 20694-2022 karta.png", "A 20694-2022")</f>
        <v/>
      </c>
      <c r="U209">
        <f>HYPERLINK("https://klasma.github.io/Logging_2260/knärot/A 20694-2022 karta knärot.png", "A 20694-2022")</f>
        <v/>
      </c>
      <c r="V209">
        <f>HYPERLINK("https://klasma.github.io/Logging_2260/klagomål/A 20694-2022 FSC-klagomål.docx", "A 20694-2022")</f>
        <v/>
      </c>
      <c r="W209">
        <f>HYPERLINK("https://klasma.github.io/Logging_2260/klagomålsmail/A 20694-2022 FSC-klagomål mail.docx", "A 20694-2022")</f>
        <v/>
      </c>
      <c r="X209">
        <f>HYPERLINK("https://klasma.github.io/Logging_2260/tillsyn/A 20694-2022 tillsynsbegäran.docx", "A 20694-2022")</f>
        <v/>
      </c>
      <c r="Y209">
        <f>HYPERLINK("https://klasma.github.io/Logging_2260/tillsynsmail/A 20694-2022 tillsynsbegäran mail.docx", "A 20694-2022")</f>
        <v/>
      </c>
    </row>
    <row r="210" ht="15" customHeight="1">
      <c r="A210" t="inlineStr">
        <is>
          <t>A 26473-2025</t>
        </is>
      </c>
      <c r="B210" s="1" t="n">
        <v>45807</v>
      </c>
      <c r="C210" s="1" t="n">
        <v>46093</v>
      </c>
      <c r="D210" t="inlineStr">
        <is>
          <t>VÄSTERNORRLANDS LÄN</t>
        </is>
      </c>
      <c r="E210" t="inlineStr">
        <is>
          <t>ÅNGE</t>
        </is>
      </c>
      <c r="F210" t="inlineStr">
        <is>
          <t>SCA</t>
        </is>
      </c>
      <c r="G210" t="n">
        <v>1.1</v>
      </c>
      <c r="H210" t="n">
        <v>3</v>
      </c>
      <c r="I210" t="n">
        <v>4</v>
      </c>
      <c r="J210" t="n">
        <v>4</v>
      </c>
      <c r="K210" t="n">
        <v>1</v>
      </c>
      <c r="L210" t="n">
        <v>0</v>
      </c>
      <c r="M210" t="n">
        <v>0</v>
      </c>
      <c r="N210" t="n">
        <v>0</v>
      </c>
      <c r="O210" t="n">
        <v>5</v>
      </c>
      <c r="P210" t="n">
        <v>1</v>
      </c>
      <c r="Q210" t="n">
        <v>9</v>
      </c>
      <c r="R210" s="2" t="inlineStr">
        <is>
          <t>Knärot
Garnlav
Lunglav
Rosenticka
Spillkråka
Dropptaggsvamp
Luddlav
Skinnlav
Spindelblomster</t>
        </is>
      </c>
      <c r="S210">
        <f>HYPERLINK("https://klasma.github.io/Logging_2260/artfynd/A 26473-2025 artfynd.xlsx", "A 26473-2025")</f>
        <v/>
      </c>
      <c r="T210">
        <f>HYPERLINK("https://klasma.github.io/Logging_2260/kartor/A 26473-2025 karta.png", "A 26473-2025")</f>
        <v/>
      </c>
      <c r="U210">
        <f>HYPERLINK("https://klasma.github.io/Logging_2260/knärot/A 26473-2025 karta knärot.png", "A 26473-2025")</f>
        <v/>
      </c>
      <c r="V210">
        <f>HYPERLINK("https://klasma.github.io/Logging_2260/klagomål/A 26473-2025 FSC-klagomål.docx", "A 26473-2025")</f>
        <v/>
      </c>
      <c r="W210">
        <f>HYPERLINK("https://klasma.github.io/Logging_2260/klagomålsmail/A 26473-2025 FSC-klagomål mail.docx", "A 26473-2025")</f>
        <v/>
      </c>
      <c r="X210">
        <f>HYPERLINK("https://klasma.github.io/Logging_2260/tillsyn/A 26473-2025 tillsynsbegäran.docx", "A 26473-2025")</f>
        <v/>
      </c>
      <c r="Y210">
        <f>HYPERLINK("https://klasma.github.io/Logging_2260/tillsynsmail/A 26473-2025 tillsynsbegäran mail.docx", "A 26473-2025")</f>
        <v/>
      </c>
      <c r="Z210">
        <f>HYPERLINK("https://klasma.github.io/Logging_2260/fåglar/A 26473-2025 prioriterade fågelarter.docx", "A 26473-2025")</f>
        <v/>
      </c>
    </row>
    <row r="211" ht="15" customHeight="1">
      <c r="A211" t="inlineStr">
        <is>
          <t>A 50551-2024</t>
        </is>
      </c>
      <c r="B211" s="1" t="n">
        <v>45600</v>
      </c>
      <c r="C211" s="1" t="n">
        <v>46093</v>
      </c>
      <c r="D211" t="inlineStr">
        <is>
          <t>VÄSTERNORRLANDS LÄN</t>
        </is>
      </c>
      <c r="E211" t="inlineStr">
        <is>
          <t>SUNDSVALL</t>
        </is>
      </c>
      <c r="F211" t="inlineStr">
        <is>
          <t>Kommuner</t>
        </is>
      </c>
      <c r="G211" t="n">
        <v>19.7</v>
      </c>
      <c r="H211" t="n">
        <v>8</v>
      </c>
      <c r="I211" t="n">
        <v>0</v>
      </c>
      <c r="J211" t="n">
        <v>3</v>
      </c>
      <c r="K211" t="n">
        <v>1</v>
      </c>
      <c r="L211" t="n">
        <v>0</v>
      </c>
      <c r="M211" t="n">
        <v>0</v>
      </c>
      <c r="N211" t="n">
        <v>0</v>
      </c>
      <c r="O211" t="n">
        <v>4</v>
      </c>
      <c r="P211" t="n">
        <v>1</v>
      </c>
      <c r="Q211" t="n">
        <v>9</v>
      </c>
      <c r="R211" s="2" t="inlineStr">
        <is>
          <t>Havstrut
Flodsångare
Rödprick
Spillkråka
Gråspett
Näktergal
Sparvuggla
Trana
Sik</t>
        </is>
      </c>
      <c r="S211">
        <f>HYPERLINK("https://klasma.github.io/Logging_2281/artfynd/A 50551-2024 artfynd.xlsx", "A 50551-2024")</f>
        <v/>
      </c>
      <c r="T211">
        <f>HYPERLINK("https://klasma.github.io/Logging_2281/kartor/A 50551-2024 karta.png", "A 50551-2024")</f>
        <v/>
      </c>
      <c r="V211">
        <f>HYPERLINK("https://klasma.github.io/Logging_2281/klagomål/A 50551-2024 FSC-klagomål.docx", "A 50551-2024")</f>
        <v/>
      </c>
      <c r="W211">
        <f>HYPERLINK("https://klasma.github.io/Logging_2281/klagomålsmail/A 50551-2024 FSC-klagomål mail.docx", "A 50551-2024")</f>
        <v/>
      </c>
      <c r="X211">
        <f>HYPERLINK("https://klasma.github.io/Logging_2281/tillsyn/A 50551-2024 tillsynsbegäran.docx", "A 50551-2024")</f>
        <v/>
      </c>
      <c r="Y211">
        <f>HYPERLINK("https://klasma.github.io/Logging_2281/tillsynsmail/A 50551-2024 tillsynsbegäran mail.docx", "A 50551-2024")</f>
        <v/>
      </c>
      <c r="Z211">
        <f>HYPERLINK("https://klasma.github.io/Logging_2281/fåglar/A 50551-2024 prioriterade fågelarter.docx", "A 50551-2024")</f>
        <v/>
      </c>
    </row>
    <row r="212" ht="15" customHeight="1">
      <c r="A212" t="inlineStr">
        <is>
          <t>A 44607-2021</t>
        </is>
      </c>
      <c r="B212" s="1" t="n">
        <v>44435</v>
      </c>
      <c r="C212" s="1" t="n">
        <v>46093</v>
      </c>
      <c r="D212" t="inlineStr">
        <is>
          <t>VÄSTERNORRLANDS LÄN</t>
        </is>
      </c>
      <c r="E212" t="inlineStr">
        <is>
          <t>ÅNGE</t>
        </is>
      </c>
      <c r="F212" t="inlineStr">
        <is>
          <t>SCA</t>
        </is>
      </c>
      <c r="G212" t="n">
        <v>7.2</v>
      </c>
      <c r="H212" t="n">
        <v>1</v>
      </c>
      <c r="I212" t="n">
        <v>2</v>
      </c>
      <c r="J212" t="n">
        <v>6</v>
      </c>
      <c r="K212" t="n">
        <v>1</v>
      </c>
      <c r="L212" t="n">
        <v>0</v>
      </c>
      <c r="M212" t="n">
        <v>0</v>
      </c>
      <c r="N212" t="n">
        <v>0</v>
      </c>
      <c r="O212" t="n">
        <v>7</v>
      </c>
      <c r="P212" t="n">
        <v>1</v>
      </c>
      <c r="Q212" t="n">
        <v>9</v>
      </c>
      <c r="R212" s="2" t="inlineStr">
        <is>
          <t>Fläckporing
Dvärgbägarlav
Kolflarnlav
Mörk kolflarnlav
Skrovlig taggsvamp
Talltita
Vedflamlav
Dropptaggsvamp
Vedticka</t>
        </is>
      </c>
      <c r="S212">
        <f>HYPERLINK("https://klasma.github.io/Logging_2260/artfynd/A 44607-2021 artfynd.xlsx", "A 44607-2021")</f>
        <v/>
      </c>
      <c r="T212">
        <f>HYPERLINK("https://klasma.github.io/Logging_2260/kartor/A 44607-2021 karta.png", "A 44607-2021")</f>
        <v/>
      </c>
      <c r="V212">
        <f>HYPERLINK("https://klasma.github.io/Logging_2260/klagomål/A 44607-2021 FSC-klagomål.docx", "A 44607-2021")</f>
        <v/>
      </c>
      <c r="W212">
        <f>HYPERLINK("https://klasma.github.io/Logging_2260/klagomålsmail/A 44607-2021 FSC-klagomål mail.docx", "A 44607-2021")</f>
        <v/>
      </c>
      <c r="X212">
        <f>HYPERLINK("https://klasma.github.io/Logging_2260/tillsyn/A 44607-2021 tillsynsbegäran.docx", "A 44607-2021")</f>
        <v/>
      </c>
      <c r="Y212">
        <f>HYPERLINK("https://klasma.github.io/Logging_2260/tillsynsmail/A 44607-2021 tillsynsbegäran mail.docx", "A 44607-2021")</f>
        <v/>
      </c>
      <c r="Z212">
        <f>HYPERLINK("https://klasma.github.io/Logging_2260/fåglar/A 44607-2021 prioriterade fågelarter.docx", "A 44607-2021")</f>
        <v/>
      </c>
    </row>
    <row r="213" ht="15" customHeight="1">
      <c r="A213" t="inlineStr">
        <is>
          <t>A 4529-2026</t>
        </is>
      </c>
      <c r="B213" s="1" t="n">
        <v>46046</v>
      </c>
      <c r="C213" s="1" t="n">
        <v>46093</v>
      </c>
      <c r="D213" t="inlineStr">
        <is>
          <t>VÄSTERNORRLANDS LÄN</t>
        </is>
      </c>
      <c r="E213" t="inlineStr">
        <is>
          <t>KRAMFORS</t>
        </is>
      </c>
      <c r="G213" t="n">
        <v>9.9</v>
      </c>
      <c r="H213" t="n">
        <v>4</v>
      </c>
      <c r="I213" t="n">
        <v>0</v>
      </c>
      <c r="J213" t="n">
        <v>8</v>
      </c>
      <c r="K213" t="n">
        <v>0</v>
      </c>
      <c r="L213" t="n">
        <v>0</v>
      </c>
      <c r="M213" t="n">
        <v>0</v>
      </c>
      <c r="N213" t="n">
        <v>0</v>
      </c>
      <c r="O213" t="n">
        <v>8</v>
      </c>
      <c r="P213" t="n">
        <v>0</v>
      </c>
      <c r="Q213" t="n">
        <v>9</v>
      </c>
      <c r="R213" s="2" t="inlineStr">
        <is>
          <t>Garnlav
Rosenticka
Skogshare
Spillkråka
Tallticka
Talltita
Tretåig hackspett
Ullticka
Tjäder</t>
        </is>
      </c>
      <c r="S213">
        <f>HYPERLINK("https://klasma.github.io/Logging_2282/artfynd/A 4529-2026 artfynd.xlsx", "A 4529-2026")</f>
        <v/>
      </c>
      <c r="T213">
        <f>HYPERLINK("https://klasma.github.io/Logging_2282/kartor/A 4529-2026 karta.png", "A 4529-2026")</f>
        <v/>
      </c>
      <c r="V213">
        <f>HYPERLINK("https://klasma.github.io/Logging_2282/klagomål/A 4529-2026 FSC-klagomål.docx", "A 4529-2026")</f>
        <v/>
      </c>
      <c r="W213">
        <f>HYPERLINK("https://klasma.github.io/Logging_2282/klagomålsmail/A 4529-2026 FSC-klagomål mail.docx", "A 4529-2026")</f>
        <v/>
      </c>
      <c r="X213">
        <f>HYPERLINK("https://klasma.github.io/Logging_2282/tillsyn/A 4529-2026 tillsynsbegäran.docx", "A 4529-2026")</f>
        <v/>
      </c>
      <c r="Y213">
        <f>HYPERLINK("https://klasma.github.io/Logging_2282/tillsynsmail/A 4529-2026 tillsynsbegäran mail.docx", "A 4529-2026")</f>
        <v/>
      </c>
      <c r="Z213">
        <f>HYPERLINK("https://klasma.github.io/Logging_2282/fåglar/A 4529-2026 prioriterade fågelarter.docx", "A 4529-2026")</f>
        <v/>
      </c>
    </row>
    <row r="214" ht="15" customHeight="1">
      <c r="A214" t="inlineStr">
        <is>
          <t>A 22204-2025</t>
        </is>
      </c>
      <c r="B214" s="1" t="n">
        <v>45785.65672453704</v>
      </c>
      <c r="C214" s="1" t="n">
        <v>46093</v>
      </c>
      <c r="D214" t="inlineStr">
        <is>
          <t>VÄSTERNORRLANDS LÄN</t>
        </is>
      </c>
      <c r="E214" t="inlineStr">
        <is>
          <t>TIMRÅ</t>
        </is>
      </c>
      <c r="F214" t="inlineStr">
        <is>
          <t>SCA</t>
        </is>
      </c>
      <c r="G214" t="n">
        <v>7.1</v>
      </c>
      <c r="H214" t="n">
        <v>2</v>
      </c>
      <c r="I214" t="n">
        <v>4</v>
      </c>
      <c r="J214" t="n">
        <v>4</v>
      </c>
      <c r="K214" t="n">
        <v>0</v>
      </c>
      <c r="L214" t="n">
        <v>0</v>
      </c>
      <c r="M214" t="n">
        <v>0</v>
      </c>
      <c r="N214" t="n">
        <v>0</v>
      </c>
      <c r="O214" t="n">
        <v>4</v>
      </c>
      <c r="P214" t="n">
        <v>0</v>
      </c>
      <c r="Q214" t="n">
        <v>9</v>
      </c>
      <c r="R214" s="2" t="inlineStr">
        <is>
          <t>Garnlav
Rosenticka
Tretåig hackspett
Ullticka
Bårdlav
Stuplav
Trådticka
Vedticka
Fläcknycklar</t>
        </is>
      </c>
      <c r="S214">
        <f>HYPERLINK("https://klasma.github.io/Logging_2262/artfynd/A 22204-2025 artfynd.xlsx", "A 22204-2025")</f>
        <v/>
      </c>
      <c r="T214">
        <f>HYPERLINK("https://klasma.github.io/Logging_2262/kartor/A 22204-2025 karta.png", "A 22204-2025")</f>
        <v/>
      </c>
      <c r="V214">
        <f>HYPERLINK("https://klasma.github.io/Logging_2262/klagomål/A 22204-2025 FSC-klagomål.docx", "A 22204-2025")</f>
        <v/>
      </c>
      <c r="W214">
        <f>HYPERLINK("https://klasma.github.io/Logging_2262/klagomålsmail/A 22204-2025 FSC-klagomål mail.docx", "A 22204-2025")</f>
        <v/>
      </c>
      <c r="X214">
        <f>HYPERLINK("https://klasma.github.io/Logging_2262/tillsyn/A 22204-2025 tillsynsbegäran.docx", "A 22204-2025")</f>
        <v/>
      </c>
      <c r="Y214">
        <f>HYPERLINK("https://klasma.github.io/Logging_2262/tillsynsmail/A 22204-2025 tillsynsbegäran mail.docx", "A 22204-2025")</f>
        <v/>
      </c>
      <c r="Z214">
        <f>HYPERLINK("https://klasma.github.io/Logging_2262/fåglar/A 22204-2025 prioriterade fågelarter.docx", "A 22204-2025")</f>
        <v/>
      </c>
    </row>
    <row r="215" ht="15" customHeight="1">
      <c r="A215" t="inlineStr">
        <is>
          <t>A 24424-2025</t>
        </is>
      </c>
      <c r="B215" s="1" t="n">
        <v>45797</v>
      </c>
      <c r="C215" s="1" t="n">
        <v>46093</v>
      </c>
      <c r="D215" t="inlineStr">
        <is>
          <t>VÄSTERNORRLANDS LÄN</t>
        </is>
      </c>
      <c r="E215" t="inlineStr">
        <is>
          <t>SUNDSVALL</t>
        </is>
      </c>
      <c r="F215" t="inlineStr">
        <is>
          <t>SCA</t>
        </is>
      </c>
      <c r="G215" t="n">
        <v>4</v>
      </c>
      <c r="H215" t="n">
        <v>3</v>
      </c>
      <c r="I215" t="n">
        <v>2</v>
      </c>
      <c r="J215" t="n">
        <v>6</v>
      </c>
      <c r="K215" t="n">
        <v>0</v>
      </c>
      <c r="L215" t="n">
        <v>0</v>
      </c>
      <c r="M215" t="n">
        <v>0</v>
      </c>
      <c r="N215" t="n">
        <v>0</v>
      </c>
      <c r="O215" t="n">
        <v>6</v>
      </c>
      <c r="P215" t="n">
        <v>0</v>
      </c>
      <c r="Q215" t="n">
        <v>9</v>
      </c>
      <c r="R215" s="2" t="inlineStr">
        <is>
          <t>Garnlav
Lunglav
Rosenticka
Spillkråka
Tretåig hackspett
Ullticka
Skinnlav
Vedticka
Revlummer</t>
        </is>
      </c>
      <c r="S215">
        <f>HYPERLINK("https://klasma.github.io/Logging_2281/artfynd/A 24424-2025 artfynd.xlsx", "A 24424-2025")</f>
        <v/>
      </c>
      <c r="T215">
        <f>HYPERLINK("https://klasma.github.io/Logging_2281/kartor/A 24424-2025 karta.png", "A 24424-2025")</f>
        <v/>
      </c>
      <c r="V215">
        <f>HYPERLINK("https://klasma.github.io/Logging_2281/klagomål/A 24424-2025 FSC-klagomål.docx", "A 24424-2025")</f>
        <v/>
      </c>
      <c r="W215">
        <f>HYPERLINK("https://klasma.github.io/Logging_2281/klagomålsmail/A 24424-2025 FSC-klagomål mail.docx", "A 24424-2025")</f>
        <v/>
      </c>
      <c r="X215">
        <f>HYPERLINK("https://klasma.github.io/Logging_2281/tillsyn/A 24424-2025 tillsynsbegäran.docx", "A 24424-2025")</f>
        <v/>
      </c>
      <c r="Y215">
        <f>HYPERLINK("https://klasma.github.io/Logging_2281/tillsynsmail/A 24424-2025 tillsynsbegäran mail.docx", "A 24424-2025")</f>
        <v/>
      </c>
      <c r="Z215">
        <f>HYPERLINK("https://klasma.github.io/Logging_2281/fåglar/A 24424-2025 prioriterade fågelarter.docx", "A 24424-2025")</f>
        <v/>
      </c>
    </row>
    <row r="216" ht="15" customHeight="1">
      <c r="A216" t="inlineStr">
        <is>
          <t>A 34786-2021</t>
        </is>
      </c>
      <c r="B216" s="1" t="n">
        <v>44382</v>
      </c>
      <c r="C216" s="1" t="n">
        <v>46093</v>
      </c>
      <c r="D216" t="inlineStr">
        <is>
          <t>VÄSTERNORRLANDS LÄN</t>
        </is>
      </c>
      <c r="E216" t="inlineStr">
        <is>
          <t>ÅNGE</t>
        </is>
      </c>
      <c r="F216" t="inlineStr">
        <is>
          <t>SCA</t>
        </is>
      </c>
      <c r="G216" t="n">
        <v>10.3</v>
      </c>
      <c r="H216" t="n">
        <v>2</v>
      </c>
      <c r="I216" t="n">
        <v>4</v>
      </c>
      <c r="J216" t="n">
        <v>4</v>
      </c>
      <c r="K216" t="n">
        <v>0</v>
      </c>
      <c r="L216" t="n">
        <v>0</v>
      </c>
      <c r="M216" t="n">
        <v>0</v>
      </c>
      <c r="N216" t="n">
        <v>0</v>
      </c>
      <c r="O216" t="n">
        <v>4</v>
      </c>
      <c r="P216" t="n">
        <v>0</v>
      </c>
      <c r="Q216" t="n">
        <v>9</v>
      </c>
      <c r="R216" s="2" t="inlineStr">
        <is>
          <t>Garnlav
Lunglav
Skrovellav
Ullticka
Kransrams
Spindelblomster
Stuplav
Ögonpyrola
Fläcknycklar</t>
        </is>
      </c>
      <c r="S216">
        <f>HYPERLINK("https://klasma.github.io/Logging_2260/artfynd/A 34786-2021 artfynd.xlsx", "A 34786-2021")</f>
        <v/>
      </c>
      <c r="T216">
        <f>HYPERLINK("https://klasma.github.io/Logging_2260/kartor/A 34786-2021 karta.png", "A 34786-2021")</f>
        <v/>
      </c>
      <c r="V216">
        <f>HYPERLINK("https://klasma.github.io/Logging_2260/klagomål/A 34786-2021 FSC-klagomål.docx", "A 34786-2021")</f>
        <v/>
      </c>
      <c r="W216">
        <f>HYPERLINK("https://klasma.github.io/Logging_2260/klagomålsmail/A 34786-2021 FSC-klagomål mail.docx", "A 34786-2021")</f>
        <v/>
      </c>
      <c r="X216">
        <f>HYPERLINK("https://klasma.github.io/Logging_2260/tillsyn/A 34786-2021 tillsynsbegäran.docx", "A 34786-2021")</f>
        <v/>
      </c>
      <c r="Y216">
        <f>HYPERLINK("https://klasma.github.io/Logging_2260/tillsynsmail/A 34786-2021 tillsynsbegäran mail.docx", "A 34786-2021")</f>
        <v/>
      </c>
    </row>
    <row r="217" ht="15" customHeight="1">
      <c r="A217" t="inlineStr">
        <is>
          <t>A 4014-2026</t>
        </is>
      </c>
      <c r="B217" s="1" t="n">
        <v>46044</v>
      </c>
      <c r="C217" s="1" t="n">
        <v>46093</v>
      </c>
      <c r="D217" t="inlineStr">
        <is>
          <t>VÄSTERNORRLANDS LÄN</t>
        </is>
      </c>
      <c r="E217" t="inlineStr">
        <is>
          <t>KRAMFORS</t>
        </is>
      </c>
      <c r="G217" t="n">
        <v>12.2</v>
      </c>
      <c r="H217" t="n">
        <v>2</v>
      </c>
      <c r="I217" t="n">
        <v>1</v>
      </c>
      <c r="J217" t="n">
        <v>7</v>
      </c>
      <c r="K217" t="n">
        <v>1</v>
      </c>
      <c r="L217" t="n">
        <v>0</v>
      </c>
      <c r="M217" t="n">
        <v>0</v>
      </c>
      <c r="N217" t="n">
        <v>0</v>
      </c>
      <c r="O217" t="n">
        <v>8</v>
      </c>
      <c r="P217" t="n">
        <v>1</v>
      </c>
      <c r="Q217" t="n">
        <v>9</v>
      </c>
      <c r="R217" s="2" t="inlineStr">
        <is>
          <t>Rynkskinn
Garnlav
Lunglav
Rosenticka
Spillkråka
Tallticka
Tretåig hackspett
Ullticka
Stor aspticka</t>
        </is>
      </c>
      <c r="S217">
        <f>HYPERLINK("https://klasma.github.io/Logging_2282/artfynd/A 4014-2026 artfynd.xlsx", "A 4014-2026")</f>
        <v/>
      </c>
      <c r="T217">
        <f>HYPERLINK("https://klasma.github.io/Logging_2282/kartor/A 4014-2026 karta.png", "A 4014-2026")</f>
        <v/>
      </c>
      <c r="V217">
        <f>HYPERLINK("https://klasma.github.io/Logging_2282/klagomål/A 4014-2026 FSC-klagomål.docx", "A 4014-2026")</f>
        <v/>
      </c>
      <c r="W217">
        <f>HYPERLINK("https://klasma.github.io/Logging_2282/klagomålsmail/A 4014-2026 FSC-klagomål mail.docx", "A 4014-2026")</f>
        <v/>
      </c>
      <c r="X217">
        <f>HYPERLINK("https://klasma.github.io/Logging_2282/tillsyn/A 4014-2026 tillsynsbegäran.docx", "A 4014-2026")</f>
        <v/>
      </c>
      <c r="Y217">
        <f>HYPERLINK("https://klasma.github.io/Logging_2282/tillsynsmail/A 4014-2026 tillsynsbegäran mail.docx", "A 4014-2026")</f>
        <v/>
      </c>
      <c r="Z217">
        <f>HYPERLINK("https://klasma.github.io/Logging_2282/fåglar/A 4014-2026 prioriterade fågelarter.docx", "A 4014-2026")</f>
        <v/>
      </c>
    </row>
    <row r="218" ht="15" customHeight="1">
      <c r="A218" t="inlineStr">
        <is>
          <t>A 12336-2026</t>
        </is>
      </c>
      <c r="B218" s="1" t="n">
        <v>46087.63921296296</v>
      </c>
      <c r="C218" s="1" t="n">
        <v>46093</v>
      </c>
      <c r="D218" t="inlineStr">
        <is>
          <t>VÄSTERNORRLANDS LÄN</t>
        </is>
      </c>
      <c r="E218" t="inlineStr">
        <is>
          <t>ÖRNSKÖLDSVIK</t>
        </is>
      </c>
      <c r="F218" t="inlineStr">
        <is>
          <t>Kommuner</t>
        </is>
      </c>
      <c r="G218" t="n">
        <v>6.1</v>
      </c>
      <c r="H218" t="n">
        <v>3</v>
      </c>
      <c r="I218" t="n">
        <v>1</v>
      </c>
      <c r="J218" t="n">
        <v>6</v>
      </c>
      <c r="K218" t="n">
        <v>2</v>
      </c>
      <c r="L218" t="n">
        <v>0</v>
      </c>
      <c r="M218" t="n">
        <v>0</v>
      </c>
      <c r="N218" t="n">
        <v>0</v>
      </c>
      <c r="O218" t="n">
        <v>8</v>
      </c>
      <c r="P218" t="n">
        <v>2</v>
      </c>
      <c r="Q218" t="n">
        <v>9</v>
      </c>
      <c r="R218" s="2" t="inlineStr">
        <is>
          <t>Knärot
Rynkskinn
Garnlav
Gränsticka
Spillkråka
Stjärntagging
Talltita
Ullticka
Vedticka</t>
        </is>
      </c>
      <c r="S218">
        <f>HYPERLINK("https://klasma.github.io/Logging_2284/artfynd/A 12336-2026 artfynd.xlsx", "A 12336-2026")</f>
        <v/>
      </c>
      <c r="T218">
        <f>HYPERLINK("https://klasma.github.io/Logging_2284/kartor/A 12336-2026 karta.png", "A 12336-2026")</f>
        <v/>
      </c>
      <c r="U218">
        <f>HYPERLINK("https://klasma.github.io/Logging_2284/knärot/A 12336-2026 karta knärot.png", "A 12336-2026")</f>
        <v/>
      </c>
      <c r="V218">
        <f>HYPERLINK("https://klasma.github.io/Logging_2284/klagomål/A 12336-2026 FSC-klagomål.docx", "A 12336-2026")</f>
        <v/>
      </c>
      <c r="W218">
        <f>HYPERLINK("https://klasma.github.io/Logging_2284/klagomålsmail/A 12336-2026 FSC-klagomål mail.docx", "A 12336-2026")</f>
        <v/>
      </c>
      <c r="X218">
        <f>HYPERLINK("https://klasma.github.io/Logging_2284/tillsyn/A 12336-2026 tillsynsbegäran.docx", "A 12336-2026")</f>
        <v/>
      </c>
      <c r="Y218">
        <f>HYPERLINK("https://klasma.github.io/Logging_2284/tillsynsmail/A 12336-2026 tillsynsbegäran mail.docx", "A 12336-2026")</f>
        <v/>
      </c>
      <c r="Z218">
        <f>HYPERLINK("https://klasma.github.io/Logging_2284/fåglar/A 12336-2026 prioriterade fågelarter.docx", "A 12336-2026")</f>
        <v/>
      </c>
    </row>
    <row r="219" ht="15" customHeight="1">
      <c r="A219" t="inlineStr">
        <is>
          <t>A 22621-2023</t>
        </is>
      </c>
      <c r="B219" s="1" t="n">
        <v>45071</v>
      </c>
      <c r="C219" s="1" t="n">
        <v>46093</v>
      </c>
      <c r="D219" t="inlineStr">
        <is>
          <t>VÄSTERNORRLANDS LÄN</t>
        </is>
      </c>
      <c r="E219" t="inlineStr">
        <is>
          <t>SUNDSVALL</t>
        </is>
      </c>
      <c r="F219" t="inlineStr">
        <is>
          <t>Holmen skog AB</t>
        </is>
      </c>
      <c r="G219" t="n">
        <v>7.3</v>
      </c>
      <c r="H219" t="n">
        <v>0</v>
      </c>
      <c r="I219" t="n">
        <v>6</v>
      </c>
      <c r="J219" t="n">
        <v>3</v>
      </c>
      <c r="K219" t="n">
        <v>0</v>
      </c>
      <c r="L219" t="n">
        <v>0</v>
      </c>
      <c r="M219" t="n">
        <v>0</v>
      </c>
      <c r="N219" t="n">
        <v>0</v>
      </c>
      <c r="O219" t="n">
        <v>3</v>
      </c>
      <c r="P219" t="n">
        <v>0</v>
      </c>
      <c r="Q219" t="n">
        <v>9</v>
      </c>
      <c r="R219" s="2" t="inlineStr">
        <is>
          <t>Garnlav
Lunglav
Ullticka
Barkkornlav
Bårdlav
Korallblylav
Skinnlav
Stor aspticka
Stuplav</t>
        </is>
      </c>
      <c r="S219">
        <f>HYPERLINK("https://klasma.github.io/Logging_2281/artfynd/A 22621-2023 artfynd.xlsx", "A 22621-2023")</f>
        <v/>
      </c>
      <c r="T219">
        <f>HYPERLINK("https://klasma.github.io/Logging_2281/kartor/A 22621-2023 karta.png", "A 22621-2023")</f>
        <v/>
      </c>
      <c r="V219">
        <f>HYPERLINK("https://klasma.github.io/Logging_2281/klagomål/A 22621-2023 FSC-klagomål.docx", "A 22621-2023")</f>
        <v/>
      </c>
      <c r="W219">
        <f>HYPERLINK("https://klasma.github.io/Logging_2281/klagomålsmail/A 22621-2023 FSC-klagomål mail.docx", "A 22621-2023")</f>
        <v/>
      </c>
      <c r="X219">
        <f>HYPERLINK("https://klasma.github.io/Logging_2281/tillsyn/A 22621-2023 tillsynsbegäran.docx", "A 22621-2023")</f>
        <v/>
      </c>
      <c r="Y219">
        <f>HYPERLINK("https://klasma.github.io/Logging_2281/tillsynsmail/A 22621-2023 tillsynsbegäran mail.docx", "A 22621-2023")</f>
        <v/>
      </c>
    </row>
    <row r="220" ht="15" customHeight="1">
      <c r="A220" t="inlineStr">
        <is>
          <t>A 61830-2025</t>
        </is>
      </c>
      <c r="B220" s="1" t="n">
        <v>46003</v>
      </c>
      <c r="C220" s="1" t="n">
        <v>46093</v>
      </c>
      <c r="D220" t="inlineStr">
        <is>
          <t>VÄSTERNORRLANDS LÄN</t>
        </is>
      </c>
      <c r="E220" t="inlineStr">
        <is>
          <t>SUNDSVALL</t>
        </is>
      </c>
      <c r="G220" t="n">
        <v>5.1</v>
      </c>
      <c r="H220" t="n">
        <v>2</v>
      </c>
      <c r="I220" t="n">
        <v>2</v>
      </c>
      <c r="J220" t="n">
        <v>6</v>
      </c>
      <c r="K220" t="n">
        <v>1</v>
      </c>
      <c r="L220" t="n">
        <v>0</v>
      </c>
      <c r="M220" t="n">
        <v>0</v>
      </c>
      <c r="N220" t="n">
        <v>0</v>
      </c>
      <c r="O220" t="n">
        <v>7</v>
      </c>
      <c r="P220" t="n">
        <v>1</v>
      </c>
      <c r="Q220" t="n">
        <v>9</v>
      </c>
      <c r="R220" s="2" t="inlineStr">
        <is>
          <t>Knärot
Garnlav
Tretåig hackspett
Ullticka
Vedflamlav
Vedskivlav
Violettgrå tagellav
Vedticka
Vågbandad barkbock</t>
        </is>
      </c>
      <c r="S220">
        <f>HYPERLINK("https://klasma.github.io/Logging_2281/artfynd/A 61830-2025 artfynd.xlsx", "A 61830-2025")</f>
        <v/>
      </c>
      <c r="T220">
        <f>HYPERLINK("https://klasma.github.io/Logging_2281/kartor/A 61830-2025 karta.png", "A 61830-2025")</f>
        <v/>
      </c>
      <c r="U220">
        <f>HYPERLINK("https://klasma.github.io/Logging_2281/knärot/A 61830-2025 karta knärot.png", "A 61830-2025")</f>
        <v/>
      </c>
      <c r="V220">
        <f>HYPERLINK("https://klasma.github.io/Logging_2281/klagomål/A 61830-2025 FSC-klagomål.docx", "A 61830-2025")</f>
        <v/>
      </c>
      <c r="W220">
        <f>HYPERLINK("https://klasma.github.io/Logging_2281/klagomålsmail/A 61830-2025 FSC-klagomål mail.docx", "A 61830-2025")</f>
        <v/>
      </c>
      <c r="X220">
        <f>HYPERLINK("https://klasma.github.io/Logging_2281/tillsyn/A 61830-2025 tillsynsbegäran.docx", "A 61830-2025")</f>
        <v/>
      </c>
      <c r="Y220">
        <f>HYPERLINK("https://klasma.github.io/Logging_2281/tillsynsmail/A 61830-2025 tillsynsbegäran mail.docx", "A 61830-2025")</f>
        <v/>
      </c>
      <c r="Z220">
        <f>HYPERLINK("https://klasma.github.io/Logging_2281/fåglar/A 61830-2025 prioriterade fågelarter.docx", "A 61830-2025")</f>
        <v/>
      </c>
    </row>
    <row r="221" ht="15" customHeight="1">
      <c r="A221" t="inlineStr">
        <is>
          <t>A 26084-2025</t>
        </is>
      </c>
      <c r="B221" s="1" t="n">
        <v>45805</v>
      </c>
      <c r="C221" s="1" t="n">
        <v>46093</v>
      </c>
      <c r="D221" t="inlineStr">
        <is>
          <t>VÄSTERNORRLANDS LÄN</t>
        </is>
      </c>
      <c r="E221" t="inlineStr">
        <is>
          <t>HÄRNÖSAND</t>
        </is>
      </c>
      <c r="F221" t="inlineStr">
        <is>
          <t>SCA</t>
        </is>
      </c>
      <c r="G221" t="n">
        <v>3.5</v>
      </c>
      <c r="H221" t="n">
        <v>2</v>
      </c>
      <c r="I221" t="n">
        <v>2</v>
      </c>
      <c r="J221" t="n">
        <v>7</v>
      </c>
      <c r="K221" t="n">
        <v>0</v>
      </c>
      <c r="L221" t="n">
        <v>0</v>
      </c>
      <c r="M221" t="n">
        <v>0</v>
      </c>
      <c r="N221" t="n">
        <v>0</v>
      </c>
      <c r="O221" t="n">
        <v>7</v>
      </c>
      <c r="P221" t="n">
        <v>0</v>
      </c>
      <c r="Q221" t="n">
        <v>9</v>
      </c>
      <c r="R221" s="2" t="inlineStr">
        <is>
          <t>Gammelgransskål
Garnlav
Lunglav
Rosenticka
Spillkråka
Talltita
Ullticka
Stuplav
Vedticka</t>
        </is>
      </c>
      <c r="S221">
        <f>HYPERLINK("https://klasma.github.io/Logging_2280/artfynd/A 26084-2025 artfynd.xlsx", "A 26084-2025")</f>
        <v/>
      </c>
      <c r="T221">
        <f>HYPERLINK("https://klasma.github.io/Logging_2280/kartor/A 26084-2025 karta.png", "A 26084-2025")</f>
        <v/>
      </c>
      <c r="V221">
        <f>HYPERLINK("https://klasma.github.io/Logging_2280/klagomål/A 26084-2025 FSC-klagomål.docx", "A 26084-2025")</f>
        <v/>
      </c>
      <c r="W221">
        <f>HYPERLINK("https://klasma.github.io/Logging_2280/klagomålsmail/A 26084-2025 FSC-klagomål mail.docx", "A 26084-2025")</f>
        <v/>
      </c>
      <c r="X221">
        <f>HYPERLINK("https://klasma.github.io/Logging_2280/tillsyn/A 26084-2025 tillsynsbegäran.docx", "A 26084-2025")</f>
        <v/>
      </c>
      <c r="Y221">
        <f>HYPERLINK("https://klasma.github.io/Logging_2280/tillsynsmail/A 26084-2025 tillsynsbegäran mail.docx", "A 26084-2025")</f>
        <v/>
      </c>
      <c r="Z221">
        <f>HYPERLINK("https://klasma.github.io/Logging_2280/fåglar/A 26084-2025 prioriterade fågelarter.docx", "A 26084-2025")</f>
        <v/>
      </c>
    </row>
    <row r="222" ht="15" customHeight="1">
      <c r="A222" t="inlineStr">
        <is>
          <t>A 19977-2021</t>
        </is>
      </c>
      <c r="B222" s="1" t="n">
        <v>44313.6724537037</v>
      </c>
      <c r="C222" s="1" t="n">
        <v>46093</v>
      </c>
      <c r="D222" t="inlineStr">
        <is>
          <t>VÄSTERNORRLANDS LÄN</t>
        </is>
      </c>
      <c r="E222" t="inlineStr">
        <is>
          <t>HÄRNÖSAND</t>
        </is>
      </c>
      <c r="F222" t="inlineStr">
        <is>
          <t>Kommuner</t>
        </is>
      </c>
      <c r="G222" t="n">
        <v>2.8</v>
      </c>
      <c r="H222" t="n">
        <v>1</v>
      </c>
      <c r="I222" t="n">
        <v>2</v>
      </c>
      <c r="J222" t="n">
        <v>5</v>
      </c>
      <c r="K222" t="n">
        <v>1</v>
      </c>
      <c r="L222" t="n">
        <v>0</v>
      </c>
      <c r="M222" t="n">
        <v>0</v>
      </c>
      <c r="N222" t="n">
        <v>0</v>
      </c>
      <c r="O222" t="n">
        <v>6</v>
      </c>
      <c r="P222" t="n">
        <v>1</v>
      </c>
      <c r="Q222" t="n">
        <v>8</v>
      </c>
      <c r="R222" s="2" t="inlineStr">
        <is>
          <t>Rynkskinn
Garnlav
Gränsticka
Rosenticka
Spillkråka
Ullticka
Strutbräken
Vedticka</t>
        </is>
      </c>
      <c r="S222">
        <f>HYPERLINK("https://klasma.github.io/Logging_2280/artfynd/A 19977-2021 artfynd.xlsx", "A 19977-2021")</f>
        <v/>
      </c>
      <c r="T222">
        <f>HYPERLINK("https://klasma.github.io/Logging_2280/kartor/A 19977-2021 karta.png", "A 19977-2021")</f>
        <v/>
      </c>
      <c r="V222">
        <f>HYPERLINK("https://klasma.github.io/Logging_2280/klagomål/A 19977-2021 FSC-klagomål.docx", "A 19977-2021")</f>
        <v/>
      </c>
      <c r="W222">
        <f>HYPERLINK("https://klasma.github.io/Logging_2280/klagomålsmail/A 19977-2021 FSC-klagomål mail.docx", "A 19977-2021")</f>
        <v/>
      </c>
      <c r="X222">
        <f>HYPERLINK("https://klasma.github.io/Logging_2280/tillsyn/A 19977-2021 tillsynsbegäran.docx", "A 19977-2021")</f>
        <v/>
      </c>
      <c r="Y222">
        <f>HYPERLINK("https://klasma.github.io/Logging_2280/tillsynsmail/A 19977-2021 tillsynsbegäran mail.docx", "A 19977-2021")</f>
        <v/>
      </c>
      <c r="Z222">
        <f>HYPERLINK("https://klasma.github.io/Logging_2280/fåglar/A 19977-2021 prioriterade fågelarter.docx", "A 19977-2021")</f>
        <v/>
      </c>
    </row>
    <row r="223" ht="15" customHeight="1">
      <c r="A223" t="inlineStr">
        <is>
          <t>A 62083-2022</t>
        </is>
      </c>
      <c r="B223" s="1" t="n">
        <v>44918</v>
      </c>
      <c r="C223" s="1" t="n">
        <v>46093</v>
      </c>
      <c r="D223" t="inlineStr">
        <is>
          <t>VÄSTERNORRLANDS LÄN</t>
        </is>
      </c>
      <c r="E223" t="inlineStr">
        <is>
          <t>SUNDSVALL</t>
        </is>
      </c>
      <c r="F223" t="inlineStr">
        <is>
          <t>SCA</t>
        </is>
      </c>
      <c r="G223" t="n">
        <v>3.5</v>
      </c>
      <c r="H223" t="n">
        <v>1</v>
      </c>
      <c r="I223" t="n">
        <v>3</v>
      </c>
      <c r="J223" t="n">
        <v>4</v>
      </c>
      <c r="K223" t="n">
        <v>1</v>
      </c>
      <c r="L223" t="n">
        <v>0</v>
      </c>
      <c r="M223" t="n">
        <v>0</v>
      </c>
      <c r="N223" t="n">
        <v>0</v>
      </c>
      <c r="O223" t="n">
        <v>5</v>
      </c>
      <c r="P223" t="n">
        <v>1</v>
      </c>
      <c r="Q223" t="n">
        <v>8</v>
      </c>
      <c r="R223" s="2" t="inlineStr">
        <is>
          <t>Knärot
Garnlav
Lunglav
Ullticka
Vitgrynig nållav
Kattfotslav
Vedticka
Vågbandad barkbock</t>
        </is>
      </c>
      <c r="S223">
        <f>HYPERLINK("https://klasma.github.io/Logging_2281/artfynd/A 62083-2022 artfynd.xlsx", "A 62083-2022")</f>
        <v/>
      </c>
      <c r="T223">
        <f>HYPERLINK("https://klasma.github.io/Logging_2281/kartor/A 62083-2022 karta.png", "A 62083-2022")</f>
        <v/>
      </c>
      <c r="U223">
        <f>HYPERLINK("https://klasma.github.io/Logging_2281/knärot/A 62083-2022 karta knärot.png", "A 62083-2022")</f>
        <v/>
      </c>
      <c r="V223">
        <f>HYPERLINK("https://klasma.github.io/Logging_2281/klagomål/A 62083-2022 FSC-klagomål.docx", "A 62083-2022")</f>
        <v/>
      </c>
      <c r="W223">
        <f>HYPERLINK("https://klasma.github.io/Logging_2281/klagomålsmail/A 62083-2022 FSC-klagomål mail.docx", "A 62083-2022")</f>
        <v/>
      </c>
      <c r="X223">
        <f>HYPERLINK("https://klasma.github.io/Logging_2281/tillsyn/A 62083-2022 tillsynsbegäran.docx", "A 62083-2022")</f>
        <v/>
      </c>
      <c r="Y223">
        <f>HYPERLINK("https://klasma.github.io/Logging_2281/tillsynsmail/A 62083-2022 tillsynsbegäran mail.docx", "A 62083-2022")</f>
        <v/>
      </c>
    </row>
    <row r="224" ht="15" customHeight="1">
      <c r="A224" t="inlineStr">
        <is>
          <t>A 33746-2024</t>
        </is>
      </c>
      <c r="B224" s="1" t="n">
        <v>45520</v>
      </c>
      <c r="C224" s="1" t="n">
        <v>46093</v>
      </c>
      <c r="D224" t="inlineStr">
        <is>
          <t>VÄSTERNORRLANDS LÄN</t>
        </is>
      </c>
      <c r="E224" t="inlineStr">
        <is>
          <t>SUNDSVALL</t>
        </is>
      </c>
      <c r="F224" t="inlineStr">
        <is>
          <t>SCA</t>
        </is>
      </c>
      <c r="G224" t="n">
        <v>11.6</v>
      </c>
      <c r="H224" t="n">
        <v>2</v>
      </c>
      <c r="I224" t="n">
        <v>2</v>
      </c>
      <c r="J224" t="n">
        <v>4</v>
      </c>
      <c r="K224" t="n">
        <v>2</v>
      </c>
      <c r="L224" t="n">
        <v>0</v>
      </c>
      <c r="M224" t="n">
        <v>0</v>
      </c>
      <c r="N224" t="n">
        <v>0</v>
      </c>
      <c r="O224" t="n">
        <v>6</v>
      </c>
      <c r="P224" t="n">
        <v>2</v>
      </c>
      <c r="Q224" t="n">
        <v>8</v>
      </c>
      <c r="R224" s="2" t="inlineStr">
        <is>
          <t>Knärot
Rostskinn
Granticka
Rosenticka
Talltita
Ullticka
Brandticka
Vedticka</t>
        </is>
      </c>
      <c r="S224">
        <f>HYPERLINK("https://klasma.github.io/Logging_2281/artfynd/A 33746-2024 artfynd.xlsx", "A 33746-2024")</f>
        <v/>
      </c>
      <c r="T224">
        <f>HYPERLINK("https://klasma.github.io/Logging_2281/kartor/A 33746-2024 karta.png", "A 33746-2024")</f>
        <v/>
      </c>
      <c r="U224">
        <f>HYPERLINK("https://klasma.github.io/Logging_2281/knärot/A 33746-2024 karta knärot.png", "A 33746-2024")</f>
        <v/>
      </c>
      <c r="V224">
        <f>HYPERLINK("https://klasma.github.io/Logging_2281/klagomål/A 33746-2024 FSC-klagomål.docx", "A 33746-2024")</f>
        <v/>
      </c>
      <c r="W224">
        <f>HYPERLINK("https://klasma.github.io/Logging_2281/klagomålsmail/A 33746-2024 FSC-klagomål mail.docx", "A 33746-2024")</f>
        <v/>
      </c>
      <c r="X224">
        <f>HYPERLINK("https://klasma.github.io/Logging_2281/tillsyn/A 33746-2024 tillsynsbegäran.docx", "A 33746-2024")</f>
        <v/>
      </c>
      <c r="Y224">
        <f>HYPERLINK("https://klasma.github.io/Logging_2281/tillsynsmail/A 33746-2024 tillsynsbegäran mail.docx", "A 33746-2024")</f>
        <v/>
      </c>
      <c r="Z224">
        <f>HYPERLINK("https://klasma.github.io/Logging_2281/fåglar/A 33746-2024 prioriterade fågelarter.docx", "A 33746-2024")</f>
        <v/>
      </c>
    </row>
    <row r="225" ht="15" customHeight="1">
      <c r="A225" t="inlineStr">
        <is>
          <t>A 22737-2023</t>
        </is>
      </c>
      <c r="B225" s="1" t="n">
        <v>45071</v>
      </c>
      <c r="C225" s="1" t="n">
        <v>46093</v>
      </c>
      <c r="D225" t="inlineStr">
        <is>
          <t>VÄSTERNORRLANDS LÄN</t>
        </is>
      </c>
      <c r="E225" t="inlineStr">
        <is>
          <t>ÅNGE</t>
        </is>
      </c>
      <c r="G225" t="n">
        <v>9.9</v>
      </c>
      <c r="H225" t="n">
        <v>0</v>
      </c>
      <c r="I225" t="n">
        <v>3</v>
      </c>
      <c r="J225" t="n">
        <v>4</v>
      </c>
      <c r="K225" t="n">
        <v>1</v>
      </c>
      <c r="L225" t="n">
        <v>0</v>
      </c>
      <c r="M225" t="n">
        <v>0</v>
      </c>
      <c r="N225" t="n">
        <v>0</v>
      </c>
      <c r="O225" t="n">
        <v>5</v>
      </c>
      <c r="P225" t="n">
        <v>1</v>
      </c>
      <c r="Q225" t="n">
        <v>8</v>
      </c>
      <c r="R225" s="2" t="inlineStr">
        <is>
          <t>Aspgelélav
Lunglav
Skrovellav
Vedtrappmossa
Vitgrynig nållav
Bårdlav
Gytterlav
Skinnlav</t>
        </is>
      </c>
      <c r="S225">
        <f>HYPERLINK("https://klasma.github.io/Logging_2260/artfynd/A 22737-2023 artfynd.xlsx", "A 22737-2023")</f>
        <v/>
      </c>
      <c r="T225">
        <f>HYPERLINK("https://klasma.github.io/Logging_2260/kartor/A 22737-2023 karta.png", "A 22737-2023")</f>
        <v/>
      </c>
      <c r="U225">
        <f>HYPERLINK("https://klasma.github.io/Logging_2260/knärot/A 22737-2023 karta knärot.png", "A 22737-2023")</f>
        <v/>
      </c>
      <c r="V225">
        <f>HYPERLINK("https://klasma.github.io/Logging_2260/klagomål/A 22737-2023 FSC-klagomål.docx", "A 22737-2023")</f>
        <v/>
      </c>
      <c r="W225">
        <f>HYPERLINK("https://klasma.github.io/Logging_2260/klagomålsmail/A 22737-2023 FSC-klagomål mail.docx", "A 22737-2023")</f>
        <v/>
      </c>
      <c r="X225">
        <f>HYPERLINK("https://klasma.github.io/Logging_2260/tillsyn/A 22737-2023 tillsynsbegäran.docx", "A 22737-2023")</f>
        <v/>
      </c>
      <c r="Y225">
        <f>HYPERLINK("https://klasma.github.io/Logging_2260/tillsynsmail/A 22737-2023 tillsynsbegäran mail.docx", "A 22737-2023")</f>
        <v/>
      </c>
    </row>
    <row r="226" ht="15" customHeight="1">
      <c r="A226" t="inlineStr">
        <is>
          <t>A 5310-2024</t>
        </is>
      </c>
      <c r="B226" s="1" t="n">
        <v>45331</v>
      </c>
      <c r="C226" s="1" t="n">
        <v>46093</v>
      </c>
      <c r="D226" t="inlineStr">
        <is>
          <t>VÄSTERNORRLANDS LÄN</t>
        </is>
      </c>
      <c r="E226" t="inlineStr">
        <is>
          <t>SOLLEFTEÅ</t>
        </is>
      </c>
      <c r="G226" t="n">
        <v>8.5</v>
      </c>
      <c r="H226" t="n">
        <v>2</v>
      </c>
      <c r="I226" t="n">
        <v>3</v>
      </c>
      <c r="J226" t="n">
        <v>4</v>
      </c>
      <c r="K226" t="n">
        <v>1</v>
      </c>
      <c r="L226" t="n">
        <v>0</v>
      </c>
      <c r="M226" t="n">
        <v>0</v>
      </c>
      <c r="N226" t="n">
        <v>0</v>
      </c>
      <c r="O226" t="n">
        <v>5</v>
      </c>
      <c r="P226" t="n">
        <v>1</v>
      </c>
      <c r="Q226" t="n">
        <v>8</v>
      </c>
      <c r="R226" s="2" t="inlineStr">
        <is>
          <t>Knärot
Garnlav
Kortskaftad ärgspik
Rosenticka
Talltita
Barkticka
Bronshjon
Luddlav</t>
        </is>
      </c>
      <c r="S226">
        <f>HYPERLINK("https://klasma.github.io/Logging_2283/artfynd/A 5310-2024 artfynd.xlsx", "A 5310-2024")</f>
        <v/>
      </c>
      <c r="T226">
        <f>HYPERLINK("https://klasma.github.io/Logging_2283/kartor/A 5310-2024 karta.png", "A 5310-2024")</f>
        <v/>
      </c>
      <c r="U226">
        <f>HYPERLINK("https://klasma.github.io/Logging_2283/knärot/A 5310-2024 karta knärot.png", "A 5310-2024")</f>
        <v/>
      </c>
      <c r="V226">
        <f>HYPERLINK("https://klasma.github.io/Logging_2283/klagomål/A 5310-2024 FSC-klagomål.docx", "A 5310-2024")</f>
        <v/>
      </c>
      <c r="W226">
        <f>HYPERLINK("https://klasma.github.io/Logging_2283/klagomålsmail/A 5310-2024 FSC-klagomål mail.docx", "A 5310-2024")</f>
        <v/>
      </c>
      <c r="X226">
        <f>HYPERLINK("https://klasma.github.io/Logging_2283/tillsyn/A 5310-2024 tillsynsbegäran.docx", "A 5310-2024")</f>
        <v/>
      </c>
      <c r="Y226">
        <f>HYPERLINK("https://klasma.github.io/Logging_2283/tillsynsmail/A 5310-2024 tillsynsbegäran mail.docx", "A 5310-2024")</f>
        <v/>
      </c>
      <c r="Z226">
        <f>HYPERLINK("https://klasma.github.io/Logging_2283/fåglar/A 5310-2024 prioriterade fågelarter.docx", "A 5310-2024")</f>
        <v/>
      </c>
    </row>
    <row r="227" ht="15" customHeight="1">
      <c r="A227" t="inlineStr">
        <is>
          <t>A 32200-2023</t>
        </is>
      </c>
      <c r="B227" s="1" t="n">
        <v>45119</v>
      </c>
      <c r="C227" s="1" t="n">
        <v>46093</v>
      </c>
      <c r="D227" t="inlineStr">
        <is>
          <t>VÄSTERNORRLANDS LÄN</t>
        </is>
      </c>
      <c r="E227" t="inlineStr">
        <is>
          <t>SOLLEFTEÅ</t>
        </is>
      </c>
      <c r="G227" t="n">
        <v>1.5</v>
      </c>
      <c r="H227" t="n">
        <v>3</v>
      </c>
      <c r="I227" t="n">
        <v>2</v>
      </c>
      <c r="J227" t="n">
        <v>5</v>
      </c>
      <c r="K227" t="n">
        <v>1</v>
      </c>
      <c r="L227" t="n">
        <v>0</v>
      </c>
      <c r="M227" t="n">
        <v>0</v>
      </c>
      <c r="N227" t="n">
        <v>0</v>
      </c>
      <c r="O227" t="n">
        <v>6</v>
      </c>
      <c r="P227" t="n">
        <v>1</v>
      </c>
      <c r="Q227" t="n">
        <v>8</v>
      </c>
      <c r="R227" s="2" t="inlineStr">
        <is>
          <t>Knärot
Garnlav
Rosenticka
Spillkråka
Tretåig hackspett
Ullticka
Grönpyrola
Vedticka</t>
        </is>
      </c>
      <c r="S227">
        <f>HYPERLINK("https://klasma.github.io/Logging_2283/artfynd/A 32200-2023 artfynd.xlsx", "A 32200-2023")</f>
        <v/>
      </c>
      <c r="T227">
        <f>HYPERLINK("https://klasma.github.io/Logging_2283/kartor/A 32200-2023 karta.png", "A 32200-2023")</f>
        <v/>
      </c>
      <c r="U227">
        <f>HYPERLINK("https://klasma.github.io/Logging_2283/knärot/A 32200-2023 karta knärot.png", "A 32200-2023")</f>
        <v/>
      </c>
      <c r="V227">
        <f>HYPERLINK("https://klasma.github.io/Logging_2283/klagomål/A 32200-2023 FSC-klagomål.docx", "A 32200-2023")</f>
        <v/>
      </c>
      <c r="W227">
        <f>HYPERLINK("https://klasma.github.io/Logging_2283/klagomålsmail/A 32200-2023 FSC-klagomål mail.docx", "A 32200-2023")</f>
        <v/>
      </c>
      <c r="X227">
        <f>HYPERLINK("https://klasma.github.io/Logging_2283/tillsyn/A 32200-2023 tillsynsbegäran.docx", "A 32200-2023")</f>
        <v/>
      </c>
      <c r="Y227">
        <f>HYPERLINK("https://klasma.github.io/Logging_2283/tillsynsmail/A 32200-2023 tillsynsbegäran mail.docx", "A 32200-2023")</f>
        <v/>
      </c>
      <c r="Z227">
        <f>HYPERLINK("https://klasma.github.io/Logging_2283/fåglar/A 32200-2023 prioriterade fågelarter.docx", "A 32200-2023")</f>
        <v/>
      </c>
    </row>
    <row r="228" ht="15" customHeight="1">
      <c r="A228" t="inlineStr">
        <is>
          <t>A 32160-2024</t>
        </is>
      </c>
      <c r="B228" s="1" t="n">
        <v>45511</v>
      </c>
      <c r="C228" s="1" t="n">
        <v>46093</v>
      </c>
      <c r="D228" t="inlineStr">
        <is>
          <t>VÄSTERNORRLANDS LÄN</t>
        </is>
      </c>
      <c r="E228" t="inlineStr">
        <is>
          <t>KRAMFORS</t>
        </is>
      </c>
      <c r="G228" t="n">
        <v>11.1</v>
      </c>
      <c r="H228" t="n">
        <v>4</v>
      </c>
      <c r="I228" t="n">
        <v>0</v>
      </c>
      <c r="J228" t="n">
        <v>5</v>
      </c>
      <c r="K228" t="n">
        <v>1</v>
      </c>
      <c r="L228" t="n">
        <v>0</v>
      </c>
      <c r="M228" t="n">
        <v>0</v>
      </c>
      <c r="N228" t="n">
        <v>0</v>
      </c>
      <c r="O228" t="n">
        <v>6</v>
      </c>
      <c r="P228" t="n">
        <v>1</v>
      </c>
      <c r="Q228" t="n">
        <v>8</v>
      </c>
      <c r="R228" s="2" t="inlineStr">
        <is>
          <t>Ringlav
Garnlav
Orange taggsvamp
Spillkråka
Tallticka
Talltita
Tjäder
Fläcknycklar</t>
        </is>
      </c>
      <c r="S228">
        <f>HYPERLINK("https://klasma.github.io/Logging_2282/artfynd/A 32160-2024 artfynd.xlsx", "A 32160-2024")</f>
        <v/>
      </c>
      <c r="T228">
        <f>HYPERLINK("https://klasma.github.io/Logging_2282/kartor/A 32160-2024 karta.png", "A 32160-2024")</f>
        <v/>
      </c>
      <c r="V228">
        <f>HYPERLINK("https://klasma.github.io/Logging_2282/klagomål/A 32160-2024 FSC-klagomål.docx", "A 32160-2024")</f>
        <v/>
      </c>
      <c r="W228">
        <f>HYPERLINK("https://klasma.github.io/Logging_2282/klagomålsmail/A 32160-2024 FSC-klagomål mail.docx", "A 32160-2024")</f>
        <v/>
      </c>
      <c r="X228">
        <f>HYPERLINK("https://klasma.github.io/Logging_2282/tillsyn/A 32160-2024 tillsynsbegäran.docx", "A 32160-2024")</f>
        <v/>
      </c>
      <c r="Y228">
        <f>HYPERLINK("https://klasma.github.io/Logging_2282/tillsynsmail/A 32160-2024 tillsynsbegäran mail.docx", "A 32160-2024")</f>
        <v/>
      </c>
      <c r="Z228">
        <f>HYPERLINK("https://klasma.github.io/Logging_2282/fåglar/A 32160-2024 prioriterade fågelarter.docx", "A 32160-2024")</f>
        <v/>
      </c>
    </row>
    <row r="229" ht="15" customHeight="1">
      <c r="A229" t="inlineStr">
        <is>
          <t>A 29620-2023</t>
        </is>
      </c>
      <c r="B229" s="1" t="n">
        <v>45106</v>
      </c>
      <c r="C229" s="1" t="n">
        <v>46093</v>
      </c>
      <c r="D229" t="inlineStr">
        <is>
          <t>VÄSTERNORRLANDS LÄN</t>
        </is>
      </c>
      <c r="E229" t="inlineStr">
        <is>
          <t>SOLLEFTEÅ</t>
        </is>
      </c>
      <c r="F229" t="inlineStr">
        <is>
          <t>SCA</t>
        </is>
      </c>
      <c r="G229" t="n">
        <v>8.300000000000001</v>
      </c>
      <c r="H229" t="n">
        <v>4</v>
      </c>
      <c r="I229" t="n">
        <v>3</v>
      </c>
      <c r="J229" t="n">
        <v>3</v>
      </c>
      <c r="K229" t="n">
        <v>0</v>
      </c>
      <c r="L229" t="n">
        <v>0</v>
      </c>
      <c r="M229" t="n">
        <v>0</v>
      </c>
      <c r="N229" t="n">
        <v>0</v>
      </c>
      <c r="O229" t="n">
        <v>3</v>
      </c>
      <c r="P229" t="n">
        <v>0</v>
      </c>
      <c r="Q229" t="n">
        <v>8</v>
      </c>
      <c r="R229" s="2" t="inlineStr">
        <is>
          <t>Granticka
Rosenticka
Ullticka
Korallrot
Skinnlav
Spindelblomster
Fläcknycklar
Revlummer</t>
        </is>
      </c>
      <c r="S229">
        <f>HYPERLINK("https://klasma.github.io/Logging_2283/artfynd/A 29620-2023 artfynd.xlsx", "A 29620-2023")</f>
        <v/>
      </c>
      <c r="T229">
        <f>HYPERLINK("https://klasma.github.io/Logging_2283/kartor/A 29620-2023 karta.png", "A 29620-2023")</f>
        <v/>
      </c>
      <c r="V229">
        <f>HYPERLINK("https://klasma.github.io/Logging_2283/klagomål/A 29620-2023 FSC-klagomål.docx", "A 29620-2023")</f>
        <v/>
      </c>
      <c r="W229">
        <f>HYPERLINK("https://klasma.github.io/Logging_2283/klagomålsmail/A 29620-2023 FSC-klagomål mail.docx", "A 29620-2023")</f>
        <v/>
      </c>
      <c r="X229">
        <f>HYPERLINK("https://klasma.github.io/Logging_2283/tillsyn/A 29620-2023 tillsynsbegäran.docx", "A 29620-2023")</f>
        <v/>
      </c>
      <c r="Y229">
        <f>HYPERLINK("https://klasma.github.io/Logging_2283/tillsynsmail/A 29620-2023 tillsynsbegäran mail.docx", "A 29620-2023")</f>
        <v/>
      </c>
    </row>
    <row r="230" ht="15" customHeight="1">
      <c r="A230" t="inlineStr">
        <is>
          <t>A 26957-2024</t>
        </is>
      </c>
      <c r="B230" s="1" t="n">
        <v>45470</v>
      </c>
      <c r="C230" s="1" t="n">
        <v>46093</v>
      </c>
      <c r="D230" t="inlineStr">
        <is>
          <t>VÄSTERNORRLANDS LÄN</t>
        </is>
      </c>
      <c r="E230" t="inlineStr">
        <is>
          <t>ÅNGE</t>
        </is>
      </c>
      <c r="F230" t="inlineStr">
        <is>
          <t>SCA</t>
        </is>
      </c>
      <c r="G230" t="n">
        <v>4</v>
      </c>
      <c r="H230" t="n">
        <v>1</v>
      </c>
      <c r="I230" t="n">
        <v>1</v>
      </c>
      <c r="J230" t="n">
        <v>7</v>
      </c>
      <c r="K230" t="n">
        <v>0</v>
      </c>
      <c r="L230" t="n">
        <v>0</v>
      </c>
      <c r="M230" t="n">
        <v>0</v>
      </c>
      <c r="N230" t="n">
        <v>0</v>
      </c>
      <c r="O230" t="n">
        <v>7</v>
      </c>
      <c r="P230" t="n">
        <v>0</v>
      </c>
      <c r="Q230" t="n">
        <v>8</v>
      </c>
      <c r="R230" s="2" t="inlineStr">
        <is>
          <t>Gammelgransskål
Garnlav
Granticka
Harticka
Lunglav
Skrovellav
Tretåig hackspett
Bronshjon</t>
        </is>
      </c>
      <c r="S230">
        <f>HYPERLINK("https://klasma.github.io/Logging_2260/artfynd/A 26957-2024 artfynd.xlsx", "A 26957-2024")</f>
        <v/>
      </c>
      <c r="T230">
        <f>HYPERLINK("https://klasma.github.io/Logging_2260/kartor/A 26957-2024 karta.png", "A 26957-2024")</f>
        <v/>
      </c>
      <c r="V230">
        <f>HYPERLINK("https://klasma.github.io/Logging_2260/klagomål/A 26957-2024 FSC-klagomål.docx", "A 26957-2024")</f>
        <v/>
      </c>
      <c r="W230">
        <f>HYPERLINK("https://klasma.github.io/Logging_2260/klagomålsmail/A 26957-2024 FSC-klagomål mail.docx", "A 26957-2024")</f>
        <v/>
      </c>
      <c r="X230">
        <f>HYPERLINK("https://klasma.github.io/Logging_2260/tillsyn/A 26957-2024 tillsynsbegäran.docx", "A 26957-2024")</f>
        <v/>
      </c>
      <c r="Y230">
        <f>HYPERLINK("https://klasma.github.io/Logging_2260/tillsynsmail/A 26957-2024 tillsynsbegäran mail.docx", "A 26957-2024")</f>
        <v/>
      </c>
      <c r="Z230">
        <f>HYPERLINK("https://klasma.github.io/Logging_2260/fåglar/A 26957-2024 prioriterade fågelarter.docx", "A 26957-2024")</f>
        <v/>
      </c>
    </row>
    <row r="231" ht="15" customHeight="1">
      <c r="A231" t="inlineStr">
        <is>
          <t>A 24459-2024</t>
        </is>
      </c>
      <c r="B231" s="1" t="n">
        <v>45457.9678125</v>
      </c>
      <c r="C231" s="1" t="n">
        <v>46093</v>
      </c>
      <c r="D231" t="inlineStr">
        <is>
          <t>VÄSTERNORRLANDS LÄN</t>
        </is>
      </c>
      <c r="E231" t="inlineStr">
        <is>
          <t>SOLLEFTEÅ</t>
        </is>
      </c>
      <c r="F231" t="inlineStr">
        <is>
          <t>SCA</t>
        </is>
      </c>
      <c r="G231" t="n">
        <v>6.1</v>
      </c>
      <c r="H231" t="n">
        <v>0</v>
      </c>
      <c r="I231" t="n">
        <v>2</v>
      </c>
      <c r="J231" t="n">
        <v>6</v>
      </c>
      <c r="K231" t="n">
        <v>0</v>
      </c>
      <c r="L231" t="n">
        <v>0</v>
      </c>
      <c r="M231" t="n">
        <v>0</v>
      </c>
      <c r="N231" t="n">
        <v>0</v>
      </c>
      <c r="O231" t="n">
        <v>6</v>
      </c>
      <c r="P231" t="n">
        <v>0</v>
      </c>
      <c r="Q231" t="n">
        <v>8</v>
      </c>
      <c r="R231" s="2" t="inlineStr">
        <is>
          <t>Garnlav
Granticka
Lunglav
Rosenticka
Rödbrun blekspik
Ullticka
Luddlav
Vedticka</t>
        </is>
      </c>
      <c r="S231">
        <f>HYPERLINK("https://klasma.github.io/Logging_2283/artfynd/A 24459-2024 artfynd.xlsx", "A 24459-2024")</f>
        <v/>
      </c>
      <c r="T231">
        <f>HYPERLINK("https://klasma.github.io/Logging_2283/kartor/A 24459-2024 karta.png", "A 24459-2024")</f>
        <v/>
      </c>
      <c r="V231">
        <f>HYPERLINK("https://klasma.github.io/Logging_2283/klagomål/A 24459-2024 FSC-klagomål.docx", "A 24459-2024")</f>
        <v/>
      </c>
      <c r="W231">
        <f>HYPERLINK("https://klasma.github.io/Logging_2283/klagomålsmail/A 24459-2024 FSC-klagomål mail.docx", "A 24459-2024")</f>
        <v/>
      </c>
      <c r="X231">
        <f>HYPERLINK("https://klasma.github.io/Logging_2283/tillsyn/A 24459-2024 tillsynsbegäran.docx", "A 24459-2024")</f>
        <v/>
      </c>
      <c r="Y231">
        <f>HYPERLINK("https://klasma.github.io/Logging_2283/tillsynsmail/A 24459-2024 tillsynsbegäran mail.docx", "A 24459-2024")</f>
        <v/>
      </c>
    </row>
    <row r="232" ht="15" customHeight="1">
      <c r="A232" t="inlineStr">
        <is>
          <t>A 29250-2024</t>
        </is>
      </c>
      <c r="B232" s="1" t="n">
        <v>45482</v>
      </c>
      <c r="C232" s="1" t="n">
        <v>46093</v>
      </c>
      <c r="D232" t="inlineStr">
        <is>
          <t>VÄSTERNORRLANDS LÄN</t>
        </is>
      </c>
      <c r="E232" t="inlineStr">
        <is>
          <t>SOLLEFTEÅ</t>
        </is>
      </c>
      <c r="F232" t="inlineStr">
        <is>
          <t>SCA</t>
        </is>
      </c>
      <c r="G232" t="n">
        <v>14.4</v>
      </c>
      <c r="H232" t="n">
        <v>5</v>
      </c>
      <c r="I232" t="n">
        <v>2</v>
      </c>
      <c r="J232" t="n">
        <v>5</v>
      </c>
      <c r="K232" t="n">
        <v>1</v>
      </c>
      <c r="L232" t="n">
        <v>0</v>
      </c>
      <c r="M232" t="n">
        <v>0</v>
      </c>
      <c r="N232" t="n">
        <v>0</v>
      </c>
      <c r="O232" t="n">
        <v>6</v>
      </c>
      <c r="P232" t="n">
        <v>1</v>
      </c>
      <c r="Q232" t="n">
        <v>8</v>
      </c>
      <c r="R232" s="2" t="inlineStr">
        <is>
          <t>Knärot
Granticka
Harticka
Järpe
Rödvingetrast
Tretåig hackspett
Bollvitmossa
Lappranunkel</t>
        </is>
      </c>
      <c r="S232">
        <f>HYPERLINK("https://klasma.github.io/Logging_2283/artfynd/A 29250-2024 artfynd.xlsx", "A 29250-2024")</f>
        <v/>
      </c>
      <c r="T232">
        <f>HYPERLINK("https://klasma.github.io/Logging_2283/kartor/A 29250-2024 karta.png", "A 29250-2024")</f>
        <v/>
      </c>
      <c r="U232">
        <f>HYPERLINK("https://klasma.github.io/Logging_2283/knärot/A 29250-2024 karta knärot.png", "A 29250-2024")</f>
        <v/>
      </c>
      <c r="V232">
        <f>HYPERLINK("https://klasma.github.io/Logging_2283/klagomål/A 29250-2024 FSC-klagomål.docx", "A 29250-2024")</f>
        <v/>
      </c>
      <c r="W232">
        <f>HYPERLINK("https://klasma.github.io/Logging_2283/klagomålsmail/A 29250-2024 FSC-klagomål mail.docx", "A 29250-2024")</f>
        <v/>
      </c>
      <c r="X232">
        <f>HYPERLINK("https://klasma.github.io/Logging_2283/tillsyn/A 29250-2024 tillsynsbegäran.docx", "A 29250-2024")</f>
        <v/>
      </c>
      <c r="Y232">
        <f>HYPERLINK("https://klasma.github.io/Logging_2283/tillsynsmail/A 29250-2024 tillsynsbegäran mail.docx", "A 29250-2024")</f>
        <v/>
      </c>
      <c r="Z232">
        <f>HYPERLINK("https://klasma.github.io/Logging_2283/fåglar/A 29250-2024 prioriterade fågelarter.docx", "A 29250-2024")</f>
        <v/>
      </c>
    </row>
    <row r="233" ht="15" customHeight="1">
      <c r="A233" t="inlineStr">
        <is>
          <t>A 57843-2024</t>
        </is>
      </c>
      <c r="B233" s="1" t="n">
        <v>45631</v>
      </c>
      <c r="C233" s="1" t="n">
        <v>46093</v>
      </c>
      <c r="D233" t="inlineStr">
        <is>
          <t>VÄSTERNORRLANDS LÄN</t>
        </is>
      </c>
      <c r="E233" t="inlineStr">
        <is>
          <t>ÅNGE</t>
        </is>
      </c>
      <c r="G233" t="n">
        <v>6</v>
      </c>
      <c r="H233" t="n">
        <v>2</v>
      </c>
      <c r="I233" t="n">
        <v>3</v>
      </c>
      <c r="J233" t="n">
        <v>3</v>
      </c>
      <c r="K233" t="n">
        <v>0</v>
      </c>
      <c r="L233" t="n">
        <v>0</v>
      </c>
      <c r="M233" t="n">
        <v>0</v>
      </c>
      <c r="N233" t="n">
        <v>0</v>
      </c>
      <c r="O233" t="n">
        <v>3</v>
      </c>
      <c r="P233" t="n">
        <v>0</v>
      </c>
      <c r="Q233" t="n">
        <v>8</v>
      </c>
      <c r="R233" s="2" t="inlineStr">
        <is>
          <t>Garnlav
Lunglav
Skrovellav
Bårdlav
Luddlav
Stuplav
Fläcknycklar
Revlummer</t>
        </is>
      </c>
      <c r="S233">
        <f>HYPERLINK("https://klasma.github.io/Logging_2260/artfynd/A 57843-2024 artfynd.xlsx", "A 57843-2024")</f>
        <v/>
      </c>
      <c r="T233">
        <f>HYPERLINK("https://klasma.github.io/Logging_2260/kartor/A 57843-2024 karta.png", "A 57843-2024")</f>
        <v/>
      </c>
      <c r="V233">
        <f>HYPERLINK("https://klasma.github.io/Logging_2260/klagomål/A 57843-2024 FSC-klagomål.docx", "A 57843-2024")</f>
        <v/>
      </c>
      <c r="W233">
        <f>HYPERLINK("https://klasma.github.io/Logging_2260/klagomålsmail/A 57843-2024 FSC-klagomål mail.docx", "A 57843-2024")</f>
        <v/>
      </c>
      <c r="X233">
        <f>HYPERLINK("https://klasma.github.io/Logging_2260/tillsyn/A 57843-2024 tillsynsbegäran.docx", "A 57843-2024")</f>
        <v/>
      </c>
      <c r="Y233">
        <f>HYPERLINK("https://klasma.github.io/Logging_2260/tillsynsmail/A 57843-2024 tillsynsbegäran mail.docx", "A 57843-2024")</f>
        <v/>
      </c>
    </row>
    <row r="234" ht="15" customHeight="1">
      <c r="A234" t="inlineStr">
        <is>
          <t>A 57317-2024</t>
        </is>
      </c>
      <c r="B234" s="1" t="n">
        <v>45629</v>
      </c>
      <c r="C234" s="1" t="n">
        <v>46093</v>
      </c>
      <c r="D234" t="inlineStr">
        <is>
          <t>VÄSTERNORRLANDS LÄN</t>
        </is>
      </c>
      <c r="E234" t="inlineStr">
        <is>
          <t>SOLLEFTEÅ</t>
        </is>
      </c>
      <c r="F234" t="inlineStr">
        <is>
          <t>SCA</t>
        </is>
      </c>
      <c r="G234" t="n">
        <v>4</v>
      </c>
      <c r="H234" t="n">
        <v>3</v>
      </c>
      <c r="I234" t="n">
        <v>0</v>
      </c>
      <c r="J234" t="n">
        <v>7</v>
      </c>
      <c r="K234" t="n">
        <v>1</v>
      </c>
      <c r="L234" t="n">
        <v>0</v>
      </c>
      <c r="M234" t="n">
        <v>0</v>
      </c>
      <c r="N234" t="n">
        <v>0</v>
      </c>
      <c r="O234" t="n">
        <v>8</v>
      </c>
      <c r="P234" t="n">
        <v>1</v>
      </c>
      <c r="Q234" t="n">
        <v>8</v>
      </c>
      <c r="R234" s="2" t="inlineStr">
        <is>
          <t>Knärot
Gammelgransskål
Garnlav
Granticka
Lunglav
Spillkråka
Tretåig hackspett
Ullticka</t>
        </is>
      </c>
      <c r="S234">
        <f>HYPERLINK("https://klasma.github.io/Logging_2283/artfynd/A 57317-2024 artfynd.xlsx", "A 57317-2024")</f>
        <v/>
      </c>
      <c r="T234">
        <f>HYPERLINK("https://klasma.github.io/Logging_2283/kartor/A 57317-2024 karta.png", "A 57317-2024")</f>
        <v/>
      </c>
      <c r="U234">
        <f>HYPERLINK("https://klasma.github.io/Logging_2283/knärot/A 57317-2024 karta knärot.png", "A 57317-2024")</f>
        <v/>
      </c>
      <c r="V234">
        <f>HYPERLINK("https://klasma.github.io/Logging_2283/klagomål/A 57317-2024 FSC-klagomål.docx", "A 57317-2024")</f>
        <v/>
      </c>
      <c r="W234">
        <f>HYPERLINK("https://klasma.github.io/Logging_2283/klagomålsmail/A 57317-2024 FSC-klagomål mail.docx", "A 57317-2024")</f>
        <v/>
      </c>
      <c r="X234">
        <f>HYPERLINK("https://klasma.github.io/Logging_2283/tillsyn/A 57317-2024 tillsynsbegäran.docx", "A 57317-2024")</f>
        <v/>
      </c>
      <c r="Y234">
        <f>HYPERLINK("https://klasma.github.io/Logging_2283/tillsynsmail/A 57317-2024 tillsynsbegäran mail.docx", "A 57317-2024")</f>
        <v/>
      </c>
      <c r="Z234">
        <f>HYPERLINK("https://klasma.github.io/Logging_2283/fåglar/A 57317-2024 prioriterade fågelarter.docx", "A 57317-2024")</f>
        <v/>
      </c>
    </row>
    <row r="235" ht="15" customHeight="1">
      <c r="A235" t="inlineStr">
        <is>
          <t>A 41254-2021</t>
        </is>
      </c>
      <c r="B235" s="1" t="n">
        <v>44424</v>
      </c>
      <c r="C235" s="1" t="n">
        <v>46093</v>
      </c>
      <c r="D235" t="inlineStr">
        <is>
          <t>VÄSTERNORRLANDS LÄN</t>
        </is>
      </c>
      <c r="E235" t="inlineStr">
        <is>
          <t>ÖRNSKÖLDSVIK</t>
        </is>
      </c>
      <c r="F235" t="inlineStr">
        <is>
          <t>Holmen skog AB</t>
        </is>
      </c>
      <c r="G235" t="n">
        <v>2.6</v>
      </c>
      <c r="H235" t="n">
        <v>2</v>
      </c>
      <c r="I235" t="n">
        <v>1</v>
      </c>
      <c r="J235" t="n">
        <v>5</v>
      </c>
      <c r="K235" t="n">
        <v>2</v>
      </c>
      <c r="L235" t="n">
        <v>0</v>
      </c>
      <c r="M235" t="n">
        <v>0</v>
      </c>
      <c r="N235" t="n">
        <v>0</v>
      </c>
      <c r="O235" t="n">
        <v>7</v>
      </c>
      <c r="P235" t="n">
        <v>2</v>
      </c>
      <c r="Q235" t="n">
        <v>8</v>
      </c>
      <c r="R235" s="2" t="inlineStr">
        <is>
          <t>Knärot
Rynkskinn
Doftskinn
Garnlav
Rosenticka
Talltita
Ullticka
Vedticka</t>
        </is>
      </c>
      <c r="S235">
        <f>HYPERLINK("https://klasma.github.io/Logging_2284/artfynd/A 41254-2021 artfynd.xlsx", "A 41254-2021")</f>
        <v/>
      </c>
      <c r="T235">
        <f>HYPERLINK("https://klasma.github.io/Logging_2284/kartor/A 41254-2021 karta.png", "A 41254-2021")</f>
        <v/>
      </c>
      <c r="U235">
        <f>HYPERLINK("https://klasma.github.io/Logging_2284/knärot/A 41254-2021 karta knärot.png", "A 41254-2021")</f>
        <v/>
      </c>
      <c r="V235">
        <f>HYPERLINK("https://klasma.github.io/Logging_2284/klagomål/A 41254-2021 FSC-klagomål.docx", "A 41254-2021")</f>
        <v/>
      </c>
      <c r="W235">
        <f>HYPERLINK("https://klasma.github.io/Logging_2284/klagomålsmail/A 41254-2021 FSC-klagomål mail.docx", "A 41254-2021")</f>
        <v/>
      </c>
      <c r="X235">
        <f>HYPERLINK("https://klasma.github.io/Logging_2284/tillsyn/A 41254-2021 tillsynsbegäran.docx", "A 41254-2021")</f>
        <v/>
      </c>
      <c r="Y235">
        <f>HYPERLINK("https://klasma.github.io/Logging_2284/tillsynsmail/A 41254-2021 tillsynsbegäran mail.docx", "A 41254-2021")</f>
        <v/>
      </c>
      <c r="Z235">
        <f>HYPERLINK("https://klasma.github.io/Logging_2284/fåglar/A 41254-2021 prioriterade fågelarter.docx", "A 41254-2021")</f>
        <v/>
      </c>
    </row>
    <row r="236" ht="15" customHeight="1">
      <c r="A236" t="inlineStr">
        <is>
          <t>A 11540-2024</t>
        </is>
      </c>
      <c r="B236" s="1" t="n">
        <v>45372</v>
      </c>
      <c r="C236" s="1" t="n">
        <v>46093</v>
      </c>
      <c r="D236" t="inlineStr">
        <is>
          <t>VÄSTERNORRLANDS LÄN</t>
        </is>
      </c>
      <c r="E236" t="inlineStr">
        <is>
          <t>SOLLEFTEÅ</t>
        </is>
      </c>
      <c r="F236" t="inlineStr">
        <is>
          <t>SCA</t>
        </is>
      </c>
      <c r="G236" t="n">
        <v>2.2</v>
      </c>
      <c r="H236" t="n">
        <v>8</v>
      </c>
      <c r="I236" t="n">
        <v>1</v>
      </c>
      <c r="J236" t="n">
        <v>2</v>
      </c>
      <c r="K236" t="n">
        <v>1</v>
      </c>
      <c r="L236" t="n">
        <v>0</v>
      </c>
      <c r="M236" t="n">
        <v>0</v>
      </c>
      <c r="N236" t="n">
        <v>0</v>
      </c>
      <c r="O236" t="n">
        <v>3</v>
      </c>
      <c r="P236" t="n">
        <v>1</v>
      </c>
      <c r="Q236" t="n">
        <v>8</v>
      </c>
      <c r="R236" s="2" t="inlineStr">
        <is>
          <t>Knärot
Björktrast
Tretåig hackspett
Plattlummer
Grönsiska
Kungsfågel
Tjäder
Revlummer</t>
        </is>
      </c>
      <c r="S236">
        <f>HYPERLINK("https://klasma.github.io/Logging_2283/artfynd/A 11540-2024 artfynd.xlsx", "A 11540-2024")</f>
        <v/>
      </c>
      <c r="T236">
        <f>HYPERLINK("https://klasma.github.io/Logging_2283/kartor/A 11540-2024 karta.png", "A 11540-2024")</f>
        <v/>
      </c>
      <c r="U236">
        <f>HYPERLINK("https://klasma.github.io/Logging_2283/knärot/A 11540-2024 karta knärot.png", "A 11540-2024")</f>
        <v/>
      </c>
      <c r="V236">
        <f>HYPERLINK("https://klasma.github.io/Logging_2283/klagomål/A 11540-2024 FSC-klagomål.docx", "A 11540-2024")</f>
        <v/>
      </c>
      <c r="W236">
        <f>HYPERLINK("https://klasma.github.io/Logging_2283/klagomålsmail/A 11540-2024 FSC-klagomål mail.docx", "A 11540-2024")</f>
        <v/>
      </c>
      <c r="X236">
        <f>HYPERLINK("https://klasma.github.io/Logging_2283/tillsyn/A 11540-2024 tillsynsbegäran.docx", "A 11540-2024")</f>
        <v/>
      </c>
      <c r="Y236">
        <f>HYPERLINK("https://klasma.github.io/Logging_2283/tillsynsmail/A 11540-2024 tillsynsbegäran mail.docx", "A 11540-2024")</f>
        <v/>
      </c>
      <c r="Z236">
        <f>HYPERLINK("https://klasma.github.io/Logging_2283/fåglar/A 11540-2024 prioriterade fågelarter.docx", "A 11540-2024")</f>
        <v/>
      </c>
    </row>
    <row r="237" ht="15" customHeight="1">
      <c r="A237" t="inlineStr">
        <is>
          <t>A 46079-2025</t>
        </is>
      </c>
      <c r="B237" s="1" t="n">
        <v>45924.51083333333</v>
      </c>
      <c r="C237" s="1" t="n">
        <v>46093</v>
      </c>
      <c r="D237" t="inlineStr">
        <is>
          <t>VÄSTERNORRLANDS LÄN</t>
        </is>
      </c>
      <c r="E237" t="inlineStr">
        <is>
          <t>TIMRÅ</t>
        </is>
      </c>
      <c r="F237" t="inlineStr">
        <is>
          <t>SCA</t>
        </is>
      </c>
      <c r="G237" t="n">
        <v>2.7</v>
      </c>
      <c r="H237" t="n">
        <v>2</v>
      </c>
      <c r="I237" t="n">
        <v>3</v>
      </c>
      <c r="J237" t="n">
        <v>4</v>
      </c>
      <c r="K237" t="n">
        <v>1</v>
      </c>
      <c r="L237" t="n">
        <v>0</v>
      </c>
      <c r="M237" t="n">
        <v>0</v>
      </c>
      <c r="N237" t="n">
        <v>0</v>
      </c>
      <c r="O237" t="n">
        <v>5</v>
      </c>
      <c r="P237" t="n">
        <v>1</v>
      </c>
      <c r="Q237" t="n">
        <v>8</v>
      </c>
      <c r="R237" s="2" t="inlineStr">
        <is>
          <t>Aspgelélav
Kolflarnlav
Lunglav
Spillkråka
Tretåig hackspett
Korallblylav
Rävticka
Skinnlav</t>
        </is>
      </c>
      <c r="S237">
        <f>HYPERLINK("https://klasma.github.io/Logging_2262/artfynd/A 46079-2025 artfynd.xlsx", "A 46079-2025")</f>
        <v/>
      </c>
      <c r="T237">
        <f>HYPERLINK("https://klasma.github.io/Logging_2262/kartor/A 46079-2025 karta.png", "A 46079-2025")</f>
        <v/>
      </c>
      <c r="V237">
        <f>HYPERLINK("https://klasma.github.io/Logging_2262/klagomål/A 46079-2025 FSC-klagomål.docx", "A 46079-2025")</f>
        <v/>
      </c>
      <c r="W237">
        <f>HYPERLINK("https://klasma.github.io/Logging_2262/klagomålsmail/A 46079-2025 FSC-klagomål mail.docx", "A 46079-2025")</f>
        <v/>
      </c>
      <c r="X237">
        <f>HYPERLINK("https://klasma.github.io/Logging_2262/tillsyn/A 46079-2025 tillsynsbegäran.docx", "A 46079-2025")</f>
        <v/>
      </c>
      <c r="Y237">
        <f>HYPERLINK("https://klasma.github.io/Logging_2262/tillsynsmail/A 46079-2025 tillsynsbegäran mail.docx", "A 46079-2025")</f>
        <v/>
      </c>
      <c r="Z237">
        <f>HYPERLINK("https://klasma.github.io/Logging_2262/fåglar/A 46079-2025 prioriterade fågelarter.docx", "A 46079-2025")</f>
        <v/>
      </c>
    </row>
    <row r="238" ht="15" customHeight="1">
      <c r="A238" t="inlineStr">
        <is>
          <t>A 54345-2023</t>
        </is>
      </c>
      <c r="B238" s="1" t="n">
        <v>45232</v>
      </c>
      <c r="C238" s="1" t="n">
        <v>46093</v>
      </c>
      <c r="D238" t="inlineStr">
        <is>
          <t>VÄSTERNORRLANDS LÄN</t>
        </is>
      </c>
      <c r="E238" t="inlineStr">
        <is>
          <t>SUNDSVALL</t>
        </is>
      </c>
      <c r="F238" t="inlineStr">
        <is>
          <t>SCA</t>
        </is>
      </c>
      <c r="G238" t="n">
        <v>4.3</v>
      </c>
      <c r="H238" t="n">
        <v>4</v>
      </c>
      <c r="I238" t="n">
        <v>0</v>
      </c>
      <c r="J238" t="n">
        <v>5</v>
      </c>
      <c r="K238" t="n">
        <v>2</v>
      </c>
      <c r="L238" t="n">
        <v>0</v>
      </c>
      <c r="M238" t="n">
        <v>0</v>
      </c>
      <c r="N238" t="n">
        <v>0</v>
      </c>
      <c r="O238" t="n">
        <v>7</v>
      </c>
      <c r="P238" t="n">
        <v>2</v>
      </c>
      <c r="Q238" t="n">
        <v>8</v>
      </c>
      <c r="R238" s="2" t="inlineStr">
        <is>
          <t>Knärot
Rynkskinn
Duvhök
Garnlav
Granticka
Rosenticka
Tretåig hackspett
Revlummer</t>
        </is>
      </c>
      <c r="S238">
        <f>HYPERLINK("https://klasma.github.io/Logging_2281/artfynd/A 54345-2023 artfynd.xlsx", "A 54345-2023")</f>
        <v/>
      </c>
      <c r="T238">
        <f>HYPERLINK("https://klasma.github.io/Logging_2281/kartor/A 54345-2023 karta.png", "A 54345-2023")</f>
        <v/>
      </c>
      <c r="U238">
        <f>HYPERLINK("https://klasma.github.io/Logging_2281/knärot/A 54345-2023 karta knärot.png", "A 54345-2023")</f>
        <v/>
      </c>
      <c r="V238">
        <f>HYPERLINK("https://klasma.github.io/Logging_2281/klagomål/A 54345-2023 FSC-klagomål.docx", "A 54345-2023")</f>
        <v/>
      </c>
      <c r="W238">
        <f>HYPERLINK("https://klasma.github.io/Logging_2281/klagomålsmail/A 54345-2023 FSC-klagomål mail.docx", "A 54345-2023")</f>
        <v/>
      </c>
      <c r="X238">
        <f>HYPERLINK("https://klasma.github.io/Logging_2281/tillsyn/A 54345-2023 tillsynsbegäran.docx", "A 54345-2023")</f>
        <v/>
      </c>
      <c r="Y238">
        <f>HYPERLINK("https://klasma.github.io/Logging_2281/tillsynsmail/A 54345-2023 tillsynsbegäran mail.docx", "A 54345-2023")</f>
        <v/>
      </c>
      <c r="Z238">
        <f>HYPERLINK("https://klasma.github.io/Logging_2281/fåglar/A 54345-2023 prioriterade fågelarter.docx", "A 54345-2023")</f>
        <v/>
      </c>
    </row>
    <row r="239" ht="15" customHeight="1">
      <c r="A239" t="inlineStr">
        <is>
          <t>A 38294-2024</t>
        </is>
      </c>
      <c r="B239" s="1" t="n">
        <v>45545</v>
      </c>
      <c r="C239" s="1" t="n">
        <v>46093</v>
      </c>
      <c r="D239" t="inlineStr">
        <is>
          <t>VÄSTERNORRLANDS LÄN</t>
        </is>
      </c>
      <c r="E239" t="inlineStr">
        <is>
          <t>SOLLEFTEÅ</t>
        </is>
      </c>
      <c r="F239" t="inlineStr">
        <is>
          <t>Kommuner</t>
        </is>
      </c>
      <c r="G239" t="n">
        <v>18.8</v>
      </c>
      <c r="H239" t="n">
        <v>5</v>
      </c>
      <c r="I239" t="n">
        <v>0</v>
      </c>
      <c r="J239" t="n">
        <v>6</v>
      </c>
      <c r="K239" t="n">
        <v>1</v>
      </c>
      <c r="L239" t="n">
        <v>0</v>
      </c>
      <c r="M239" t="n">
        <v>0</v>
      </c>
      <c r="N239" t="n">
        <v>0</v>
      </c>
      <c r="O239" t="n">
        <v>7</v>
      </c>
      <c r="P239" t="n">
        <v>1</v>
      </c>
      <c r="Q239" t="n">
        <v>8</v>
      </c>
      <c r="R239" s="2" t="inlineStr">
        <is>
          <t>Knärot
Garnlav
Granticka
Spillkråka
Talltita
Tretåig hackspett
Ullticka
Revlummer</t>
        </is>
      </c>
      <c r="S239">
        <f>HYPERLINK("https://klasma.github.io/Logging_2283/artfynd/A 38294-2024 artfynd.xlsx", "A 38294-2024")</f>
        <v/>
      </c>
      <c r="T239">
        <f>HYPERLINK("https://klasma.github.io/Logging_2283/kartor/A 38294-2024 karta.png", "A 38294-2024")</f>
        <v/>
      </c>
      <c r="U239">
        <f>HYPERLINK("https://klasma.github.io/Logging_2283/knärot/A 38294-2024 karta knärot.png", "A 38294-2024")</f>
        <v/>
      </c>
      <c r="V239">
        <f>HYPERLINK("https://klasma.github.io/Logging_2283/klagomål/A 38294-2024 FSC-klagomål.docx", "A 38294-2024")</f>
        <v/>
      </c>
      <c r="W239">
        <f>HYPERLINK("https://klasma.github.io/Logging_2283/klagomålsmail/A 38294-2024 FSC-klagomål mail.docx", "A 38294-2024")</f>
        <v/>
      </c>
      <c r="X239">
        <f>HYPERLINK("https://klasma.github.io/Logging_2283/tillsyn/A 38294-2024 tillsynsbegäran.docx", "A 38294-2024")</f>
        <v/>
      </c>
      <c r="Y239">
        <f>HYPERLINK("https://klasma.github.io/Logging_2283/tillsynsmail/A 38294-2024 tillsynsbegäran mail.docx", "A 38294-2024")</f>
        <v/>
      </c>
      <c r="Z239">
        <f>HYPERLINK("https://klasma.github.io/Logging_2283/fåglar/A 38294-2024 prioriterade fågelarter.docx", "A 38294-2024")</f>
        <v/>
      </c>
    </row>
    <row r="240" ht="15" customHeight="1">
      <c r="A240" t="inlineStr">
        <is>
          <t>A 21345-2023</t>
        </is>
      </c>
      <c r="B240" s="1" t="n">
        <v>45062</v>
      </c>
      <c r="C240" s="1" t="n">
        <v>46093</v>
      </c>
      <c r="D240" t="inlineStr">
        <is>
          <t>VÄSTERNORRLANDS LÄN</t>
        </is>
      </c>
      <c r="E240" t="inlineStr">
        <is>
          <t>SOLLEFTEÅ</t>
        </is>
      </c>
      <c r="F240" t="inlineStr">
        <is>
          <t>SCA</t>
        </is>
      </c>
      <c r="G240" t="n">
        <v>3.3</v>
      </c>
      <c r="H240" t="n">
        <v>2</v>
      </c>
      <c r="I240" t="n">
        <v>2</v>
      </c>
      <c r="J240" t="n">
        <v>6</v>
      </c>
      <c r="K240" t="n">
        <v>0</v>
      </c>
      <c r="L240" t="n">
        <v>0</v>
      </c>
      <c r="M240" t="n">
        <v>0</v>
      </c>
      <c r="N240" t="n">
        <v>0</v>
      </c>
      <c r="O240" t="n">
        <v>6</v>
      </c>
      <c r="P240" t="n">
        <v>0</v>
      </c>
      <c r="Q240" t="n">
        <v>8</v>
      </c>
      <c r="R240" s="2" t="inlineStr">
        <is>
          <t>Gammelgransskål
Kolflarnlav
Lunglav
Mörk kolflarnlav
Talltita
Ullticka
Korallrot
Stuplav</t>
        </is>
      </c>
      <c r="S240">
        <f>HYPERLINK("https://klasma.github.io/Logging_2283/artfynd/A 21345-2023 artfynd.xlsx", "A 21345-2023")</f>
        <v/>
      </c>
      <c r="T240">
        <f>HYPERLINK("https://klasma.github.io/Logging_2283/kartor/A 21345-2023 karta.png", "A 21345-2023")</f>
        <v/>
      </c>
      <c r="V240">
        <f>HYPERLINK("https://klasma.github.io/Logging_2283/klagomål/A 21345-2023 FSC-klagomål.docx", "A 21345-2023")</f>
        <v/>
      </c>
      <c r="W240">
        <f>HYPERLINK("https://klasma.github.io/Logging_2283/klagomålsmail/A 21345-2023 FSC-klagomål mail.docx", "A 21345-2023")</f>
        <v/>
      </c>
      <c r="X240">
        <f>HYPERLINK("https://klasma.github.io/Logging_2283/tillsyn/A 21345-2023 tillsynsbegäran.docx", "A 21345-2023")</f>
        <v/>
      </c>
      <c r="Y240">
        <f>HYPERLINK("https://klasma.github.io/Logging_2283/tillsynsmail/A 21345-2023 tillsynsbegäran mail.docx", "A 21345-2023")</f>
        <v/>
      </c>
      <c r="Z240">
        <f>HYPERLINK("https://klasma.github.io/Logging_2283/fåglar/A 21345-2023 prioriterade fågelarter.docx", "A 21345-2023")</f>
        <v/>
      </c>
    </row>
    <row r="241" ht="15" customHeight="1">
      <c r="A241" t="inlineStr">
        <is>
          <t>A 47548-2025</t>
        </is>
      </c>
      <c r="B241" s="1" t="n">
        <v>45931.3653125</v>
      </c>
      <c r="C241" s="1" t="n">
        <v>46093</v>
      </c>
      <c r="D241" t="inlineStr">
        <is>
          <t>VÄSTERNORRLANDS LÄN</t>
        </is>
      </c>
      <c r="E241" t="inlineStr">
        <is>
          <t>SOLLEFTEÅ</t>
        </is>
      </c>
      <c r="G241" t="n">
        <v>6.6</v>
      </c>
      <c r="H241" t="n">
        <v>4</v>
      </c>
      <c r="I241" t="n">
        <v>0</v>
      </c>
      <c r="J241" t="n">
        <v>6</v>
      </c>
      <c r="K241" t="n">
        <v>1</v>
      </c>
      <c r="L241" t="n">
        <v>0</v>
      </c>
      <c r="M241" t="n">
        <v>0</v>
      </c>
      <c r="N241" t="n">
        <v>0</v>
      </c>
      <c r="O241" t="n">
        <v>7</v>
      </c>
      <c r="P241" t="n">
        <v>1</v>
      </c>
      <c r="Q241" t="n">
        <v>8</v>
      </c>
      <c r="R241" s="2" t="inlineStr">
        <is>
          <t>Knärot
Gammelgransskål
Garnlav
Rosenticka
Spillkråka
Talltita
Ullticka
Revlummer</t>
        </is>
      </c>
      <c r="S241">
        <f>HYPERLINK("https://klasma.github.io/Logging_2283/artfynd/A 47548-2025 artfynd.xlsx", "A 47548-2025")</f>
        <v/>
      </c>
      <c r="T241">
        <f>HYPERLINK("https://klasma.github.io/Logging_2283/kartor/A 47548-2025 karta.png", "A 47548-2025")</f>
        <v/>
      </c>
      <c r="U241">
        <f>HYPERLINK("https://klasma.github.io/Logging_2283/knärot/A 47548-2025 karta knärot.png", "A 47548-2025")</f>
        <v/>
      </c>
      <c r="V241">
        <f>HYPERLINK("https://klasma.github.io/Logging_2283/klagomål/A 47548-2025 FSC-klagomål.docx", "A 47548-2025")</f>
        <v/>
      </c>
      <c r="W241">
        <f>HYPERLINK("https://klasma.github.io/Logging_2283/klagomålsmail/A 47548-2025 FSC-klagomål mail.docx", "A 47548-2025")</f>
        <v/>
      </c>
      <c r="X241">
        <f>HYPERLINK("https://klasma.github.io/Logging_2283/tillsyn/A 47548-2025 tillsynsbegäran.docx", "A 47548-2025")</f>
        <v/>
      </c>
      <c r="Y241">
        <f>HYPERLINK("https://klasma.github.io/Logging_2283/tillsynsmail/A 47548-2025 tillsynsbegäran mail.docx", "A 47548-2025")</f>
        <v/>
      </c>
      <c r="Z241">
        <f>HYPERLINK("https://klasma.github.io/Logging_2283/fåglar/A 47548-2025 prioriterade fågelarter.docx", "A 47548-2025")</f>
        <v/>
      </c>
    </row>
    <row r="242" ht="15" customHeight="1">
      <c r="A242" t="inlineStr">
        <is>
          <t>A 45078-2025</t>
        </is>
      </c>
      <c r="B242" s="1" t="n">
        <v>45919</v>
      </c>
      <c r="C242" s="1" t="n">
        <v>46093</v>
      </c>
      <c r="D242" t="inlineStr">
        <is>
          <t>VÄSTERNORRLANDS LÄN</t>
        </is>
      </c>
      <c r="E242" t="inlineStr">
        <is>
          <t>SOLLEFTEÅ</t>
        </is>
      </c>
      <c r="F242" t="inlineStr">
        <is>
          <t>SCA</t>
        </is>
      </c>
      <c r="G242" t="n">
        <v>10.5</v>
      </c>
      <c r="H242" t="n">
        <v>1</v>
      </c>
      <c r="I242" t="n">
        <v>3</v>
      </c>
      <c r="J242" t="n">
        <v>4</v>
      </c>
      <c r="K242" t="n">
        <v>1</v>
      </c>
      <c r="L242" t="n">
        <v>0</v>
      </c>
      <c r="M242" t="n">
        <v>0</v>
      </c>
      <c r="N242" t="n">
        <v>0</v>
      </c>
      <c r="O242" t="n">
        <v>5</v>
      </c>
      <c r="P242" t="n">
        <v>1</v>
      </c>
      <c r="Q242" t="n">
        <v>8</v>
      </c>
      <c r="R242" s="2" t="inlineStr">
        <is>
          <t>Knärot
Garnlav
Lunglav
Mörk kolflarnlav
Vedskivlav
Dropptaggsvamp
Norrlandslav
Stuplav</t>
        </is>
      </c>
      <c r="S242">
        <f>HYPERLINK("https://klasma.github.io/Logging_2283/artfynd/A 45078-2025 artfynd.xlsx", "A 45078-2025")</f>
        <v/>
      </c>
      <c r="T242">
        <f>HYPERLINK("https://klasma.github.io/Logging_2283/kartor/A 45078-2025 karta.png", "A 45078-2025")</f>
        <v/>
      </c>
      <c r="U242">
        <f>HYPERLINK("https://klasma.github.io/Logging_2283/knärot/A 45078-2025 karta knärot.png", "A 45078-2025")</f>
        <v/>
      </c>
      <c r="V242">
        <f>HYPERLINK("https://klasma.github.io/Logging_2283/klagomål/A 45078-2025 FSC-klagomål.docx", "A 45078-2025")</f>
        <v/>
      </c>
      <c r="W242">
        <f>HYPERLINK("https://klasma.github.io/Logging_2283/klagomålsmail/A 45078-2025 FSC-klagomål mail.docx", "A 45078-2025")</f>
        <v/>
      </c>
      <c r="X242">
        <f>HYPERLINK("https://klasma.github.io/Logging_2283/tillsyn/A 45078-2025 tillsynsbegäran.docx", "A 45078-2025")</f>
        <v/>
      </c>
      <c r="Y242">
        <f>HYPERLINK("https://klasma.github.io/Logging_2283/tillsynsmail/A 45078-2025 tillsynsbegäran mail.docx", "A 45078-2025")</f>
        <v/>
      </c>
    </row>
    <row r="243" ht="15" customHeight="1">
      <c r="A243" t="inlineStr">
        <is>
          <t>A 39071-2023</t>
        </is>
      </c>
      <c r="B243" s="1" t="n">
        <v>45163</v>
      </c>
      <c r="C243" s="1" t="n">
        <v>46093</v>
      </c>
      <c r="D243" t="inlineStr">
        <is>
          <t>VÄSTERNORRLANDS LÄN</t>
        </is>
      </c>
      <c r="E243" t="inlineStr">
        <is>
          <t>SOLLEFTEÅ</t>
        </is>
      </c>
      <c r="F243" t="inlineStr">
        <is>
          <t>SCA</t>
        </is>
      </c>
      <c r="G243" t="n">
        <v>16.5</v>
      </c>
      <c r="H243" t="n">
        <v>1</v>
      </c>
      <c r="I243" t="n">
        <v>1</v>
      </c>
      <c r="J243" t="n">
        <v>6</v>
      </c>
      <c r="K243" t="n">
        <v>1</v>
      </c>
      <c r="L243" t="n">
        <v>0</v>
      </c>
      <c r="M243" t="n">
        <v>0</v>
      </c>
      <c r="N243" t="n">
        <v>0</v>
      </c>
      <c r="O243" t="n">
        <v>7</v>
      </c>
      <c r="P243" t="n">
        <v>1</v>
      </c>
      <c r="Q243" t="n">
        <v>8</v>
      </c>
      <c r="R243" s="2" t="inlineStr">
        <is>
          <t>Rynkskinn
Gammelgransskål
Granticka
Kötticka
Rosenticka
Spillkråka
Ullticka
Vedticka</t>
        </is>
      </c>
      <c r="S243">
        <f>HYPERLINK("https://klasma.github.io/Logging_2283/artfynd/A 39071-2023 artfynd.xlsx", "A 39071-2023")</f>
        <v/>
      </c>
      <c r="T243">
        <f>HYPERLINK("https://klasma.github.io/Logging_2283/kartor/A 39071-2023 karta.png", "A 39071-2023")</f>
        <v/>
      </c>
      <c r="V243">
        <f>HYPERLINK("https://klasma.github.io/Logging_2283/klagomål/A 39071-2023 FSC-klagomål.docx", "A 39071-2023")</f>
        <v/>
      </c>
      <c r="W243">
        <f>HYPERLINK("https://klasma.github.io/Logging_2283/klagomålsmail/A 39071-2023 FSC-klagomål mail.docx", "A 39071-2023")</f>
        <v/>
      </c>
      <c r="X243">
        <f>HYPERLINK("https://klasma.github.io/Logging_2283/tillsyn/A 39071-2023 tillsynsbegäran.docx", "A 39071-2023")</f>
        <v/>
      </c>
      <c r="Y243">
        <f>HYPERLINK("https://klasma.github.io/Logging_2283/tillsynsmail/A 39071-2023 tillsynsbegäran mail.docx", "A 39071-2023")</f>
        <v/>
      </c>
      <c r="Z243">
        <f>HYPERLINK("https://klasma.github.io/Logging_2283/fåglar/A 39071-2023 prioriterade fågelarter.docx", "A 39071-2023")</f>
        <v/>
      </c>
    </row>
    <row r="244" ht="15" customHeight="1">
      <c r="A244" t="inlineStr">
        <is>
          <t>A 36953-2025</t>
        </is>
      </c>
      <c r="B244" s="1" t="n">
        <v>45874.60950231482</v>
      </c>
      <c r="C244" s="1" t="n">
        <v>46093</v>
      </c>
      <c r="D244" t="inlineStr">
        <is>
          <t>VÄSTERNORRLANDS LÄN</t>
        </is>
      </c>
      <c r="E244" t="inlineStr">
        <is>
          <t>SUNDSVALL</t>
        </is>
      </c>
      <c r="G244" t="n">
        <v>11.1</v>
      </c>
      <c r="H244" t="n">
        <v>2</v>
      </c>
      <c r="I244" t="n">
        <v>1</v>
      </c>
      <c r="J244" t="n">
        <v>6</v>
      </c>
      <c r="K244" t="n">
        <v>1</v>
      </c>
      <c r="L244" t="n">
        <v>0</v>
      </c>
      <c r="M244" t="n">
        <v>0</v>
      </c>
      <c r="N244" t="n">
        <v>0</v>
      </c>
      <c r="O244" t="n">
        <v>7</v>
      </c>
      <c r="P244" t="n">
        <v>1</v>
      </c>
      <c r="Q244" t="n">
        <v>8</v>
      </c>
      <c r="R244" s="2" t="inlineStr">
        <is>
          <t>Rynkskinn
Garnlav
Orange taggsvamp
Rosenticka
Spillkråka
Tretåig hackspett
Violettgrå tagellav
Vedticka</t>
        </is>
      </c>
      <c r="S244">
        <f>HYPERLINK("https://klasma.github.io/Logging_2281/artfynd/A 36953-2025 artfynd.xlsx", "A 36953-2025")</f>
        <v/>
      </c>
      <c r="T244">
        <f>HYPERLINK("https://klasma.github.io/Logging_2281/kartor/A 36953-2025 karta.png", "A 36953-2025")</f>
        <v/>
      </c>
      <c r="V244">
        <f>HYPERLINK("https://klasma.github.io/Logging_2281/klagomål/A 36953-2025 FSC-klagomål.docx", "A 36953-2025")</f>
        <v/>
      </c>
      <c r="W244">
        <f>HYPERLINK("https://klasma.github.io/Logging_2281/klagomålsmail/A 36953-2025 FSC-klagomål mail.docx", "A 36953-2025")</f>
        <v/>
      </c>
      <c r="X244">
        <f>HYPERLINK("https://klasma.github.io/Logging_2281/tillsyn/A 36953-2025 tillsynsbegäran.docx", "A 36953-2025")</f>
        <v/>
      </c>
      <c r="Y244">
        <f>HYPERLINK("https://klasma.github.io/Logging_2281/tillsynsmail/A 36953-2025 tillsynsbegäran mail.docx", "A 36953-2025")</f>
        <v/>
      </c>
      <c r="Z244">
        <f>HYPERLINK("https://klasma.github.io/Logging_2281/fåglar/A 36953-2025 prioriterade fågelarter.docx", "A 36953-2025")</f>
        <v/>
      </c>
    </row>
    <row r="245" ht="15" customHeight="1">
      <c r="A245" t="inlineStr">
        <is>
          <t>A 50885-2025</t>
        </is>
      </c>
      <c r="B245" s="1" t="n">
        <v>45946.63587962963</v>
      </c>
      <c r="C245" s="1" t="n">
        <v>46093</v>
      </c>
      <c r="D245" t="inlineStr">
        <is>
          <t>VÄSTERNORRLANDS LÄN</t>
        </is>
      </c>
      <c r="E245" t="inlineStr">
        <is>
          <t>SUNDSVALL</t>
        </is>
      </c>
      <c r="F245" t="inlineStr">
        <is>
          <t>SCA</t>
        </is>
      </c>
      <c r="G245" t="n">
        <v>3.6</v>
      </c>
      <c r="H245" t="n">
        <v>7</v>
      </c>
      <c r="I245" t="n">
        <v>1</v>
      </c>
      <c r="J245" t="n">
        <v>3</v>
      </c>
      <c r="K245" t="n">
        <v>1</v>
      </c>
      <c r="L245" t="n">
        <v>0</v>
      </c>
      <c r="M245" t="n">
        <v>0</v>
      </c>
      <c r="N245" t="n">
        <v>0</v>
      </c>
      <c r="O245" t="n">
        <v>4</v>
      </c>
      <c r="P245" t="n">
        <v>1</v>
      </c>
      <c r="Q245" t="n">
        <v>8</v>
      </c>
      <c r="R245" s="2" t="inlineStr">
        <is>
          <t>Knärot
Järpe
Spillkråka
Tretåig hackspett
Vedticka
Lavskrika
Orre
Tjäder</t>
        </is>
      </c>
      <c r="S245">
        <f>HYPERLINK("https://klasma.github.io/Logging_2281/artfynd/A 50885-2025 artfynd.xlsx", "A 50885-2025")</f>
        <v/>
      </c>
      <c r="T245">
        <f>HYPERLINK("https://klasma.github.io/Logging_2281/kartor/A 50885-2025 karta.png", "A 50885-2025")</f>
        <v/>
      </c>
      <c r="U245">
        <f>HYPERLINK("https://klasma.github.io/Logging_2281/knärot/A 50885-2025 karta knärot.png", "A 50885-2025")</f>
        <v/>
      </c>
      <c r="V245">
        <f>HYPERLINK("https://klasma.github.io/Logging_2281/klagomål/A 50885-2025 FSC-klagomål.docx", "A 50885-2025")</f>
        <v/>
      </c>
      <c r="W245">
        <f>HYPERLINK("https://klasma.github.io/Logging_2281/klagomålsmail/A 50885-2025 FSC-klagomål mail.docx", "A 50885-2025")</f>
        <v/>
      </c>
      <c r="X245">
        <f>HYPERLINK("https://klasma.github.io/Logging_2281/tillsyn/A 50885-2025 tillsynsbegäran.docx", "A 50885-2025")</f>
        <v/>
      </c>
      <c r="Y245">
        <f>HYPERLINK("https://klasma.github.io/Logging_2281/tillsynsmail/A 50885-2025 tillsynsbegäran mail.docx", "A 50885-2025")</f>
        <v/>
      </c>
      <c r="Z245">
        <f>HYPERLINK("https://klasma.github.io/Logging_2281/fåglar/A 50885-2025 prioriterade fågelarter.docx", "A 50885-2025")</f>
        <v/>
      </c>
    </row>
    <row r="246" ht="15" customHeight="1">
      <c r="A246" t="inlineStr">
        <is>
          <t>A 50910-2025</t>
        </is>
      </c>
      <c r="B246" s="1" t="n">
        <v>45946.65672453704</v>
      </c>
      <c r="C246" s="1" t="n">
        <v>46093</v>
      </c>
      <c r="D246" t="inlineStr">
        <is>
          <t>VÄSTERNORRLANDS LÄN</t>
        </is>
      </c>
      <c r="E246" t="inlineStr">
        <is>
          <t>SUNDSVALL</t>
        </is>
      </c>
      <c r="F246" t="inlineStr">
        <is>
          <t>SCA</t>
        </is>
      </c>
      <c r="G246" t="n">
        <v>3.6</v>
      </c>
      <c r="H246" t="n">
        <v>7</v>
      </c>
      <c r="I246" t="n">
        <v>1</v>
      </c>
      <c r="J246" t="n">
        <v>3</v>
      </c>
      <c r="K246" t="n">
        <v>1</v>
      </c>
      <c r="L246" t="n">
        <v>0</v>
      </c>
      <c r="M246" t="n">
        <v>0</v>
      </c>
      <c r="N246" t="n">
        <v>0</v>
      </c>
      <c r="O246" t="n">
        <v>4</v>
      </c>
      <c r="P246" t="n">
        <v>1</v>
      </c>
      <c r="Q246" t="n">
        <v>8</v>
      </c>
      <c r="R246" s="2" t="inlineStr">
        <is>
          <t>Knärot
Järpe
Spillkråka
Tretåig hackspett
Vedticka
Lavskrika
Orre
Tjäder</t>
        </is>
      </c>
      <c r="S246">
        <f>HYPERLINK("https://klasma.github.io/Logging_2281/artfynd/A 50910-2025 artfynd.xlsx", "A 50910-2025")</f>
        <v/>
      </c>
      <c r="T246">
        <f>HYPERLINK("https://klasma.github.io/Logging_2281/kartor/A 50910-2025 karta.png", "A 50910-2025")</f>
        <v/>
      </c>
      <c r="U246">
        <f>HYPERLINK("https://klasma.github.io/Logging_2281/knärot/A 50910-2025 karta knärot.png", "A 50910-2025")</f>
        <v/>
      </c>
      <c r="V246">
        <f>HYPERLINK("https://klasma.github.io/Logging_2281/klagomål/A 50910-2025 FSC-klagomål.docx", "A 50910-2025")</f>
        <v/>
      </c>
      <c r="W246">
        <f>HYPERLINK("https://klasma.github.io/Logging_2281/klagomålsmail/A 50910-2025 FSC-klagomål mail.docx", "A 50910-2025")</f>
        <v/>
      </c>
      <c r="X246">
        <f>HYPERLINK("https://klasma.github.io/Logging_2281/tillsyn/A 50910-2025 tillsynsbegäran.docx", "A 50910-2025")</f>
        <v/>
      </c>
      <c r="Y246">
        <f>HYPERLINK("https://klasma.github.io/Logging_2281/tillsynsmail/A 50910-2025 tillsynsbegäran mail.docx", "A 50910-2025")</f>
        <v/>
      </c>
      <c r="Z246">
        <f>HYPERLINK("https://klasma.github.io/Logging_2281/fåglar/A 50910-2025 prioriterade fågelarter.docx", "A 50910-2025")</f>
        <v/>
      </c>
    </row>
    <row r="247" ht="15" customHeight="1">
      <c r="A247" t="inlineStr">
        <is>
          <t>A 26655-2022</t>
        </is>
      </c>
      <c r="B247" s="1" t="n">
        <v>44739</v>
      </c>
      <c r="C247" s="1" t="n">
        <v>46093</v>
      </c>
      <c r="D247" t="inlineStr">
        <is>
          <t>VÄSTERNORRLANDS LÄN</t>
        </is>
      </c>
      <c r="E247" t="inlineStr">
        <is>
          <t>SOLLEFTEÅ</t>
        </is>
      </c>
      <c r="F247" t="inlineStr">
        <is>
          <t>Holmen skog AB</t>
        </is>
      </c>
      <c r="G247" t="n">
        <v>5.8</v>
      </c>
      <c r="H247" t="n">
        <v>2</v>
      </c>
      <c r="I247" t="n">
        <v>1</v>
      </c>
      <c r="J247" t="n">
        <v>5</v>
      </c>
      <c r="K247" t="n">
        <v>2</v>
      </c>
      <c r="L247" t="n">
        <v>0</v>
      </c>
      <c r="M247" t="n">
        <v>0</v>
      </c>
      <c r="N247" t="n">
        <v>0</v>
      </c>
      <c r="O247" t="n">
        <v>7</v>
      </c>
      <c r="P247" t="n">
        <v>2</v>
      </c>
      <c r="Q247" t="n">
        <v>8</v>
      </c>
      <c r="R247" s="2" t="inlineStr">
        <is>
          <t>Knärot
Ulltickeporing
Garnlav
Lunglav
Rosenticka
Talltita
Ullticka
Vedticka</t>
        </is>
      </c>
      <c r="S247">
        <f>HYPERLINK("https://klasma.github.io/Logging_2283/artfynd/A 26655-2022 artfynd.xlsx", "A 26655-2022")</f>
        <v/>
      </c>
      <c r="T247">
        <f>HYPERLINK("https://klasma.github.io/Logging_2283/kartor/A 26655-2022 karta.png", "A 26655-2022")</f>
        <v/>
      </c>
      <c r="U247">
        <f>HYPERLINK("https://klasma.github.io/Logging_2283/knärot/A 26655-2022 karta knärot.png", "A 26655-2022")</f>
        <v/>
      </c>
      <c r="V247">
        <f>HYPERLINK("https://klasma.github.io/Logging_2283/klagomål/A 26655-2022 FSC-klagomål.docx", "A 26655-2022")</f>
        <v/>
      </c>
      <c r="W247">
        <f>HYPERLINK("https://klasma.github.io/Logging_2283/klagomålsmail/A 26655-2022 FSC-klagomål mail.docx", "A 26655-2022")</f>
        <v/>
      </c>
      <c r="X247">
        <f>HYPERLINK("https://klasma.github.io/Logging_2283/tillsyn/A 26655-2022 tillsynsbegäran.docx", "A 26655-2022")</f>
        <v/>
      </c>
      <c r="Y247">
        <f>HYPERLINK("https://klasma.github.io/Logging_2283/tillsynsmail/A 26655-2022 tillsynsbegäran mail.docx", "A 26655-2022")</f>
        <v/>
      </c>
      <c r="Z247">
        <f>HYPERLINK("https://klasma.github.io/Logging_2283/fåglar/A 26655-2022 prioriterade fågelarter.docx", "A 26655-2022")</f>
        <v/>
      </c>
    </row>
    <row r="248" ht="15" customHeight="1">
      <c r="A248" t="inlineStr">
        <is>
          <t>A 12205-2025</t>
        </is>
      </c>
      <c r="B248" s="1" t="n">
        <v>45729.51091435185</v>
      </c>
      <c r="C248" s="1" t="n">
        <v>46093</v>
      </c>
      <c r="D248" t="inlineStr">
        <is>
          <t>VÄSTERNORRLANDS LÄN</t>
        </is>
      </c>
      <c r="E248" t="inlineStr">
        <is>
          <t>SUNDSVALL</t>
        </is>
      </c>
      <c r="F248" t="inlineStr">
        <is>
          <t>SCA</t>
        </is>
      </c>
      <c r="G248" t="n">
        <v>2.1</v>
      </c>
      <c r="H248" t="n">
        <v>5</v>
      </c>
      <c r="I248" t="n">
        <v>0</v>
      </c>
      <c r="J248" t="n">
        <v>7</v>
      </c>
      <c r="K248" t="n">
        <v>0</v>
      </c>
      <c r="L248" t="n">
        <v>0</v>
      </c>
      <c r="M248" t="n">
        <v>0</v>
      </c>
      <c r="N248" t="n">
        <v>0</v>
      </c>
      <c r="O248" t="n">
        <v>7</v>
      </c>
      <c r="P248" t="n">
        <v>0</v>
      </c>
      <c r="Q248" t="n">
        <v>8</v>
      </c>
      <c r="R248" s="2" t="inlineStr">
        <is>
          <t>Järpe
Lunglav
Skogshare
Spillkråka
Talltita
Tretåig hackspett
Ullticka
Revlummer</t>
        </is>
      </c>
      <c r="S248">
        <f>HYPERLINK("https://klasma.github.io/Logging_2281/artfynd/A 12205-2025 artfynd.xlsx", "A 12205-2025")</f>
        <v/>
      </c>
      <c r="T248">
        <f>HYPERLINK("https://klasma.github.io/Logging_2281/kartor/A 12205-2025 karta.png", "A 12205-2025")</f>
        <v/>
      </c>
      <c r="V248">
        <f>HYPERLINK("https://klasma.github.io/Logging_2281/klagomål/A 12205-2025 FSC-klagomål.docx", "A 12205-2025")</f>
        <v/>
      </c>
      <c r="W248">
        <f>HYPERLINK("https://klasma.github.io/Logging_2281/klagomålsmail/A 12205-2025 FSC-klagomål mail.docx", "A 12205-2025")</f>
        <v/>
      </c>
      <c r="X248">
        <f>HYPERLINK("https://klasma.github.io/Logging_2281/tillsyn/A 12205-2025 tillsynsbegäran.docx", "A 12205-2025")</f>
        <v/>
      </c>
      <c r="Y248">
        <f>HYPERLINK("https://klasma.github.io/Logging_2281/tillsynsmail/A 12205-2025 tillsynsbegäran mail.docx", "A 12205-2025")</f>
        <v/>
      </c>
      <c r="Z248">
        <f>HYPERLINK("https://klasma.github.io/Logging_2281/fåglar/A 12205-2025 prioriterade fågelarter.docx", "A 12205-2025")</f>
        <v/>
      </c>
    </row>
    <row r="249" ht="15" customHeight="1">
      <c r="A249" t="inlineStr">
        <is>
          <t>A 10086-2023</t>
        </is>
      </c>
      <c r="B249" s="1" t="n">
        <v>44985</v>
      </c>
      <c r="C249" s="1" t="n">
        <v>46093</v>
      </c>
      <c r="D249" t="inlineStr">
        <is>
          <t>VÄSTERNORRLANDS LÄN</t>
        </is>
      </c>
      <c r="E249" t="inlineStr">
        <is>
          <t>ÅNGE</t>
        </is>
      </c>
      <c r="F249" t="inlineStr">
        <is>
          <t>SCA</t>
        </is>
      </c>
      <c r="G249" t="n">
        <v>2.4</v>
      </c>
      <c r="H249" t="n">
        <v>1</v>
      </c>
      <c r="I249" t="n">
        <v>3</v>
      </c>
      <c r="J249" t="n">
        <v>4</v>
      </c>
      <c r="K249" t="n">
        <v>0</v>
      </c>
      <c r="L249" t="n">
        <v>0</v>
      </c>
      <c r="M249" t="n">
        <v>0</v>
      </c>
      <c r="N249" t="n">
        <v>0</v>
      </c>
      <c r="O249" t="n">
        <v>4</v>
      </c>
      <c r="P249" t="n">
        <v>0</v>
      </c>
      <c r="Q249" t="n">
        <v>8</v>
      </c>
      <c r="R249" s="2" t="inlineStr">
        <is>
          <t>Gammelgransskål
Garnlav
Lunglav
Ullticka
Källpraktmossa
Vedticka
Vågbandad barkbock
Fläcknycklar</t>
        </is>
      </c>
      <c r="S249">
        <f>HYPERLINK("https://klasma.github.io/Logging_2260/artfynd/A 10086-2023 artfynd.xlsx", "A 10086-2023")</f>
        <v/>
      </c>
      <c r="T249">
        <f>HYPERLINK("https://klasma.github.io/Logging_2260/kartor/A 10086-2023 karta.png", "A 10086-2023")</f>
        <v/>
      </c>
      <c r="V249">
        <f>HYPERLINK("https://klasma.github.io/Logging_2260/klagomål/A 10086-2023 FSC-klagomål.docx", "A 10086-2023")</f>
        <v/>
      </c>
      <c r="W249">
        <f>HYPERLINK("https://klasma.github.io/Logging_2260/klagomålsmail/A 10086-2023 FSC-klagomål mail.docx", "A 10086-2023")</f>
        <v/>
      </c>
      <c r="X249">
        <f>HYPERLINK("https://klasma.github.io/Logging_2260/tillsyn/A 10086-2023 tillsynsbegäran.docx", "A 10086-2023")</f>
        <v/>
      </c>
      <c r="Y249">
        <f>HYPERLINK("https://klasma.github.io/Logging_2260/tillsynsmail/A 10086-2023 tillsynsbegäran mail.docx", "A 10086-2023")</f>
        <v/>
      </c>
    </row>
    <row r="250" ht="15" customHeight="1">
      <c r="A250" t="inlineStr">
        <is>
          <t>A 64131-2023</t>
        </is>
      </c>
      <c r="B250" s="1" t="n">
        <v>45279</v>
      </c>
      <c r="C250" s="1" t="n">
        <v>46093</v>
      </c>
      <c r="D250" t="inlineStr">
        <is>
          <t>VÄSTERNORRLANDS LÄN</t>
        </is>
      </c>
      <c r="E250" t="inlineStr">
        <is>
          <t>SOLLEFTEÅ</t>
        </is>
      </c>
      <c r="G250" t="n">
        <v>12.9</v>
      </c>
      <c r="H250" t="n">
        <v>2</v>
      </c>
      <c r="I250" t="n">
        <v>2</v>
      </c>
      <c r="J250" t="n">
        <v>4</v>
      </c>
      <c r="K250" t="n">
        <v>2</v>
      </c>
      <c r="L250" t="n">
        <v>0</v>
      </c>
      <c r="M250" t="n">
        <v>0</v>
      </c>
      <c r="N250" t="n">
        <v>0</v>
      </c>
      <c r="O250" t="n">
        <v>6</v>
      </c>
      <c r="P250" t="n">
        <v>2</v>
      </c>
      <c r="Q250" t="n">
        <v>8</v>
      </c>
      <c r="R250" s="2" t="inlineStr">
        <is>
          <t>Knärot
Rynkskinn
Lunglav
Rosenticka
Talltita
Ullticka
Grönpyrola
Vedticka</t>
        </is>
      </c>
      <c r="S250">
        <f>HYPERLINK("https://klasma.github.io/Logging_2283/artfynd/A 64131-2023 artfynd.xlsx", "A 64131-2023")</f>
        <v/>
      </c>
      <c r="T250">
        <f>HYPERLINK("https://klasma.github.io/Logging_2283/kartor/A 64131-2023 karta.png", "A 64131-2023")</f>
        <v/>
      </c>
      <c r="U250">
        <f>HYPERLINK("https://klasma.github.io/Logging_2283/knärot/A 64131-2023 karta knärot.png", "A 64131-2023")</f>
        <v/>
      </c>
      <c r="V250">
        <f>HYPERLINK("https://klasma.github.io/Logging_2283/klagomål/A 64131-2023 FSC-klagomål.docx", "A 64131-2023")</f>
        <v/>
      </c>
      <c r="W250">
        <f>HYPERLINK("https://klasma.github.io/Logging_2283/klagomålsmail/A 64131-2023 FSC-klagomål mail.docx", "A 64131-2023")</f>
        <v/>
      </c>
      <c r="X250">
        <f>HYPERLINK("https://klasma.github.io/Logging_2283/tillsyn/A 64131-2023 tillsynsbegäran.docx", "A 64131-2023")</f>
        <v/>
      </c>
      <c r="Y250">
        <f>HYPERLINK("https://klasma.github.io/Logging_2283/tillsynsmail/A 64131-2023 tillsynsbegäran mail.docx", "A 64131-2023")</f>
        <v/>
      </c>
      <c r="Z250">
        <f>HYPERLINK("https://klasma.github.io/Logging_2283/fåglar/A 64131-2023 prioriterade fågelarter.docx", "A 64131-2023")</f>
        <v/>
      </c>
    </row>
    <row r="251" ht="15" customHeight="1">
      <c r="A251" t="inlineStr">
        <is>
          <t>A 4856-2025</t>
        </is>
      </c>
      <c r="B251" s="1" t="n">
        <v>45688</v>
      </c>
      <c r="C251" s="1" t="n">
        <v>46093</v>
      </c>
      <c r="D251" t="inlineStr">
        <is>
          <t>VÄSTERNORRLANDS LÄN</t>
        </is>
      </c>
      <c r="E251" t="inlineStr">
        <is>
          <t>SUNDSVALL</t>
        </is>
      </c>
      <c r="F251" t="inlineStr">
        <is>
          <t>SCA</t>
        </is>
      </c>
      <c r="G251" t="n">
        <v>3.5</v>
      </c>
      <c r="H251" t="n">
        <v>4</v>
      </c>
      <c r="I251" t="n">
        <v>4</v>
      </c>
      <c r="J251" t="n">
        <v>1</v>
      </c>
      <c r="K251" t="n">
        <v>1</v>
      </c>
      <c r="L251" t="n">
        <v>0</v>
      </c>
      <c r="M251" t="n">
        <v>0</v>
      </c>
      <c r="N251" t="n">
        <v>0</v>
      </c>
      <c r="O251" t="n">
        <v>2</v>
      </c>
      <c r="P251" t="n">
        <v>1</v>
      </c>
      <c r="Q251" t="n">
        <v>8</v>
      </c>
      <c r="R251" s="2" t="inlineStr">
        <is>
          <t>Knärot
Spillkråka
Grönpyrola
Skinnlav
Stor aspticka
Vågbandad barkbock
Nattviol
Blåsippa</t>
        </is>
      </c>
      <c r="S251">
        <f>HYPERLINK("https://klasma.github.io/Logging_2281/artfynd/A 4856-2025 artfynd.xlsx", "A 4856-2025")</f>
        <v/>
      </c>
      <c r="T251">
        <f>HYPERLINK("https://klasma.github.io/Logging_2281/kartor/A 4856-2025 karta.png", "A 4856-2025")</f>
        <v/>
      </c>
      <c r="U251">
        <f>HYPERLINK("https://klasma.github.io/Logging_2281/knärot/A 4856-2025 karta knärot.png", "A 4856-2025")</f>
        <v/>
      </c>
      <c r="V251">
        <f>HYPERLINK("https://klasma.github.io/Logging_2281/klagomål/A 4856-2025 FSC-klagomål.docx", "A 4856-2025")</f>
        <v/>
      </c>
      <c r="W251">
        <f>HYPERLINK("https://klasma.github.io/Logging_2281/klagomålsmail/A 4856-2025 FSC-klagomål mail.docx", "A 4856-2025")</f>
        <v/>
      </c>
      <c r="X251">
        <f>HYPERLINK("https://klasma.github.io/Logging_2281/tillsyn/A 4856-2025 tillsynsbegäran.docx", "A 4856-2025")</f>
        <v/>
      </c>
      <c r="Y251">
        <f>HYPERLINK("https://klasma.github.io/Logging_2281/tillsynsmail/A 4856-2025 tillsynsbegäran mail.docx", "A 4856-2025")</f>
        <v/>
      </c>
      <c r="Z251">
        <f>HYPERLINK("https://klasma.github.io/Logging_2281/fåglar/A 4856-2025 prioriterade fågelarter.docx", "A 4856-2025")</f>
        <v/>
      </c>
    </row>
    <row r="252" ht="15" customHeight="1">
      <c r="A252" t="inlineStr">
        <is>
          <t>A 39065-2023</t>
        </is>
      </c>
      <c r="B252" s="1" t="n">
        <v>45163</v>
      </c>
      <c r="C252" s="1" t="n">
        <v>46093</v>
      </c>
      <c r="D252" t="inlineStr">
        <is>
          <t>VÄSTERNORRLANDS LÄN</t>
        </is>
      </c>
      <c r="E252" t="inlineStr">
        <is>
          <t>ÅNGE</t>
        </is>
      </c>
      <c r="F252" t="inlineStr">
        <is>
          <t>SCA</t>
        </is>
      </c>
      <c r="G252" t="n">
        <v>3.1</v>
      </c>
      <c r="H252" t="n">
        <v>2</v>
      </c>
      <c r="I252" t="n">
        <v>3</v>
      </c>
      <c r="J252" t="n">
        <v>3</v>
      </c>
      <c r="K252" t="n">
        <v>2</v>
      </c>
      <c r="L252" t="n">
        <v>0</v>
      </c>
      <c r="M252" t="n">
        <v>0</v>
      </c>
      <c r="N252" t="n">
        <v>0</v>
      </c>
      <c r="O252" t="n">
        <v>5</v>
      </c>
      <c r="P252" t="n">
        <v>2</v>
      </c>
      <c r="Q252" t="n">
        <v>8</v>
      </c>
      <c r="R252" s="2" t="inlineStr">
        <is>
          <t>Doftticka
Knärot
Koralltaggsvamp
Lunglav
Skrovellav
Bårdlav
Korallblylav
Stor aspticka</t>
        </is>
      </c>
      <c r="S252">
        <f>HYPERLINK("https://klasma.github.io/Logging_2260/artfynd/A 39065-2023 artfynd.xlsx", "A 39065-2023")</f>
        <v/>
      </c>
      <c r="T252">
        <f>HYPERLINK("https://klasma.github.io/Logging_2260/kartor/A 39065-2023 karta.png", "A 39065-2023")</f>
        <v/>
      </c>
      <c r="U252">
        <f>HYPERLINK("https://klasma.github.io/Logging_2260/knärot/A 39065-2023 karta knärot.png", "A 39065-2023")</f>
        <v/>
      </c>
      <c r="V252">
        <f>HYPERLINK("https://klasma.github.io/Logging_2260/klagomål/A 39065-2023 FSC-klagomål.docx", "A 39065-2023")</f>
        <v/>
      </c>
      <c r="W252">
        <f>HYPERLINK("https://klasma.github.io/Logging_2260/klagomålsmail/A 39065-2023 FSC-klagomål mail.docx", "A 39065-2023")</f>
        <v/>
      </c>
      <c r="X252">
        <f>HYPERLINK("https://klasma.github.io/Logging_2260/tillsyn/A 39065-2023 tillsynsbegäran.docx", "A 39065-2023")</f>
        <v/>
      </c>
      <c r="Y252">
        <f>HYPERLINK("https://klasma.github.io/Logging_2260/tillsynsmail/A 39065-2023 tillsynsbegäran mail.docx", "A 39065-2023")</f>
        <v/>
      </c>
    </row>
    <row r="253" ht="15" customHeight="1">
      <c r="A253" t="inlineStr">
        <is>
          <t>A 60499-2025</t>
        </is>
      </c>
      <c r="B253" s="1" t="n">
        <v>45995.61760416667</v>
      </c>
      <c r="C253" s="1" t="n">
        <v>46093</v>
      </c>
      <c r="D253" t="inlineStr">
        <is>
          <t>VÄSTERNORRLANDS LÄN</t>
        </is>
      </c>
      <c r="E253" t="inlineStr">
        <is>
          <t>SOLLEFTEÅ</t>
        </is>
      </c>
      <c r="G253" t="n">
        <v>9.5</v>
      </c>
      <c r="H253" t="n">
        <v>1</v>
      </c>
      <c r="I253" t="n">
        <v>2</v>
      </c>
      <c r="J253" t="n">
        <v>5</v>
      </c>
      <c r="K253" t="n">
        <v>1</v>
      </c>
      <c r="L253" t="n">
        <v>0</v>
      </c>
      <c r="M253" t="n">
        <v>0</v>
      </c>
      <c r="N253" t="n">
        <v>0</v>
      </c>
      <c r="O253" t="n">
        <v>6</v>
      </c>
      <c r="P253" t="n">
        <v>1</v>
      </c>
      <c r="Q253" t="n">
        <v>8</v>
      </c>
      <c r="R253" s="2" t="inlineStr">
        <is>
          <t>Rynkskinn
Garnlav
Lunglav
Rosenticka
Talltita
Ullticka
Stuplav
Vedticka</t>
        </is>
      </c>
      <c r="S253">
        <f>HYPERLINK("https://klasma.github.io/Logging_2283/artfynd/A 60499-2025 artfynd.xlsx", "A 60499-2025")</f>
        <v/>
      </c>
      <c r="T253">
        <f>HYPERLINK("https://klasma.github.io/Logging_2283/kartor/A 60499-2025 karta.png", "A 60499-2025")</f>
        <v/>
      </c>
      <c r="V253">
        <f>HYPERLINK("https://klasma.github.io/Logging_2283/klagomål/A 60499-2025 FSC-klagomål.docx", "A 60499-2025")</f>
        <v/>
      </c>
      <c r="W253">
        <f>HYPERLINK("https://klasma.github.io/Logging_2283/klagomålsmail/A 60499-2025 FSC-klagomål mail.docx", "A 60499-2025")</f>
        <v/>
      </c>
      <c r="X253">
        <f>HYPERLINK("https://klasma.github.io/Logging_2283/tillsyn/A 60499-2025 tillsynsbegäran.docx", "A 60499-2025")</f>
        <v/>
      </c>
      <c r="Y253">
        <f>HYPERLINK("https://klasma.github.io/Logging_2283/tillsynsmail/A 60499-2025 tillsynsbegäran mail.docx", "A 60499-2025")</f>
        <v/>
      </c>
      <c r="Z253">
        <f>HYPERLINK("https://klasma.github.io/Logging_2283/fåglar/A 60499-2025 prioriterade fågelarter.docx", "A 60499-2025")</f>
        <v/>
      </c>
    </row>
    <row r="254" ht="15" customHeight="1">
      <c r="A254" t="inlineStr">
        <is>
          <t>A 15142-2025</t>
        </is>
      </c>
      <c r="B254" s="1" t="n">
        <v>45744</v>
      </c>
      <c r="C254" s="1" t="n">
        <v>46093</v>
      </c>
      <c r="D254" t="inlineStr">
        <is>
          <t>VÄSTERNORRLANDS LÄN</t>
        </is>
      </c>
      <c r="E254" t="inlineStr">
        <is>
          <t>SUNDSVALL</t>
        </is>
      </c>
      <c r="F254" t="inlineStr">
        <is>
          <t>SCA</t>
        </is>
      </c>
      <c r="G254" t="n">
        <v>4.8</v>
      </c>
      <c r="H254" t="n">
        <v>1</v>
      </c>
      <c r="I254" t="n">
        <v>2</v>
      </c>
      <c r="J254" t="n">
        <v>4</v>
      </c>
      <c r="K254" t="n">
        <v>2</v>
      </c>
      <c r="L254" t="n">
        <v>0</v>
      </c>
      <c r="M254" t="n">
        <v>0</v>
      </c>
      <c r="N254" t="n">
        <v>0</v>
      </c>
      <c r="O254" t="n">
        <v>6</v>
      </c>
      <c r="P254" t="n">
        <v>2</v>
      </c>
      <c r="Q254" t="n">
        <v>8</v>
      </c>
      <c r="R254" s="2" t="inlineStr">
        <is>
          <t>Knärot
Rynkskinn
Lunglav
Rosenticka
Tallticka
Ullticka
Korallblylav
Stuplav</t>
        </is>
      </c>
      <c r="S254">
        <f>HYPERLINK("https://klasma.github.io/Logging_2281/artfynd/A 15142-2025 artfynd.xlsx", "A 15142-2025")</f>
        <v/>
      </c>
      <c r="T254">
        <f>HYPERLINK("https://klasma.github.io/Logging_2281/kartor/A 15142-2025 karta.png", "A 15142-2025")</f>
        <v/>
      </c>
      <c r="U254">
        <f>HYPERLINK("https://klasma.github.io/Logging_2281/knärot/A 15142-2025 karta knärot.png", "A 15142-2025")</f>
        <v/>
      </c>
      <c r="V254">
        <f>HYPERLINK("https://klasma.github.io/Logging_2281/klagomål/A 15142-2025 FSC-klagomål.docx", "A 15142-2025")</f>
        <v/>
      </c>
      <c r="W254">
        <f>HYPERLINK("https://klasma.github.io/Logging_2281/klagomålsmail/A 15142-2025 FSC-klagomål mail.docx", "A 15142-2025")</f>
        <v/>
      </c>
      <c r="X254">
        <f>HYPERLINK("https://klasma.github.io/Logging_2281/tillsyn/A 15142-2025 tillsynsbegäran.docx", "A 15142-2025")</f>
        <v/>
      </c>
      <c r="Y254">
        <f>HYPERLINK("https://klasma.github.io/Logging_2281/tillsynsmail/A 15142-2025 tillsynsbegäran mail.docx", "A 15142-2025")</f>
        <v/>
      </c>
    </row>
    <row r="255" ht="15" customHeight="1">
      <c r="A255" t="inlineStr">
        <is>
          <t>A 4930-2025</t>
        </is>
      </c>
      <c r="B255" s="1" t="n">
        <v>45688</v>
      </c>
      <c r="C255" s="1" t="n">
        <v>46093</v>
      </c>
      <c r="D255" t="inlineStr">
        <is>
          <t>VÄSTERNORRLANDS LÄN</t>
        </is>
      </c>
      <c r="E255" t="inlineStr">
        <is>
          <t>SOLLEFTEÅ</t>
        </is>
      </c>
      <c r="F255" t="inlineStr">
        <is>
          <t>Övriga statliga verk och myndigheter</t>
        </is>
      </c>
      <c r="G255" t="n">
        <v>15.3</v>
      </c>
      <c r="H255" t="n">
        <v>4</v>
      </c>
      <c r="I255" t="n">
        <v>1</v>
      </c>
      <c r="J255" t="n">
        <v>5</v>
      </c>
      <c r="K255" t="n">
        <v>2</v>
      </c>
      <c r="L255" t="n">
        <v>0</v>
      </c>
      <c r="M255" t="n">
        <v>0</v>
      </c>
      <c r="N255" t="n">
        <v>0</v>
      </c>
      <c r="O255" t="n">
        <v>7</v>
      </c>
      <c r="P255" t="n">
        <v>2</v>
      </c>
      <c r="Q255" t="n">
        <v>8</v>
      </c>
      <c r="R255" s="2" t="inlineStr">
        <is>
          <t>Doftticka
Rynkskinn
Björktrast
Rosenticka
Spillkråka
Tretåig hackspett
Ullticka
Underviol</t>
        </is>
      </c>
      <c r="S255">
        <f>HYPERLINK("https://klasma.github.io/Logging_2283/artfynd/A 4930-2025 artfynd.xlsx", "A 4930-2025")</f>
        <v/>
      </c>
      <c r="T255">
        <f>HYPERLINK("https://klasma.github.io/Logging_2283/kartor/A 4930-2025 karta.png", "A 4930-2025")</f>
        <v/>
      </c>
      <c r="V255">
        <f>HYPERLINK("https://klasma.github.io/Logging_2283/klagomål/A 4930-2025 FSC-klagomål.docx", "A 4930-2025")</f>
        <v/>
      </c>
      <c r="W255">
        <f>HYPERLINK("https://klasma.github.io/Logging_2283/klagomålsmail/A 4930-2025 FSC-klagomål mail.docx", "A 4930-2025")</f>
        <v/>
      </c>
      <c r="X255">
        <f>HYPERLINK("https://klasma.github.io/Logging_2283/tillsyn/A 4930-2025 tillsynsbegäran.docx", "A 4930-2025")</f>
        <v/>
      </c>
      <c r="Y255">
        <f>HYPERLINK("https://klasma.github.io/Logging_2283/tillsynsmail/A 4930-2025 tillsynsbegäran mail.docx", "A 4930-2025")</f>
        <v/>
      </c>
      <c r="Z255">
        <f>HYPERLINK("https://klasma.github.io/Logging_2283/fåglar/A 4930-2025 prioriterade fågelarter.docx", "A 4930-2025")</f>
        <v/>
      </c>
    </row>
    <row r="256" ht="15" customHeight="1">
      <c r="A256" t="inlineStr">
        <is>
          <t>A 9566-2025</t>
        </is>
      </c>
      <c r="B256" s="1" t="n">
        <v>45715.61511574074</v>
      </c>
      <c r="C256" s="1" t="n">
        <v>46093</v>
      </c>
      <c r="D256" t="inlineStr">
        <is>
          <t>VÄSTERNORRLANDS LÄN</t>
        </is>
      </c>
      <c r="E256" t="inlineStr">
        <is>
          <t>SUNDSVALL</t>
        </is>
      </c>
      <c r="F256" t="inlineStr">
        <is>
          <t>SCA</t>
        </is>
      </c>
      <c r="G256" t="n">
        <v>10.9</v>
      </c>
      <c r="H256" t="n">
        <v>6</v>
      </c>
      <c r="I256" t="n">
        <v>0</v>
      </c>
      <c r="J256" t="n">
        <v>5</v>
      </c>
      <c r="K256" t="n">
        <v>1</v>
      </c>
      <c r="L256" t="n">
        <v>0</v>
      </c>
      <c r="M256" t="n">
        <v>0</v>
      </c>
      <c r="N256" t="n">
        <v>0</v>
      </c>
      <c r="O256" t="n">
        <v>6</v>
      </c>
      <c r="P256" t="n">
        <v>1</v>
      </c>
      <c r="Q256" t="n">
        <v>8</v>
      </c>
      <c r="R256" s="2" t="inlineStr">
        <is>
          <t>Knärot
Garnlav
Spillkråka
Talltita
Tretåig hackspett
Ullticka
Tjäder
Revlummer</t>
        </is>
      </c>
      <c r="S256">
        <f>HYPERLINK("https://klasma.github.io/Logging_2281/artfynd/A 9566-2025 artfynd.xlsx", "A 9566-2025")</f>
        <v/>
      </c>
      <c r="T256">
        <f>HYPERLINK("https://klasma.github.io/Logging_2281/kartor/A 9566-2025 karta.png", "A 9566-2025")</f>
        <v/>
      </c>
      <c r="U256">
        <f>HYPERLINK("https://klasma.github.io/Logging_2281/knärot/A 9566-2025 karta knärot.png", "A 9566-2025")</f>
        <v/>
      </c>
      <c r="V256">
        <f>HYPERLINK("https://klasma.github.io/Logging_2281/klagomål/A 9566-2025 FSC-klagomål.docx", "A 9566-2025")</f>
        <v/>
      </c>
      <c r="W256">
        <f>HYPERLINK("https://klasma.github.io/Logging_2281/klagomålsmail/A 9566-2025 FSC-klagomål mail.docx", "A 9566-2025")</f>
        <v/>
      </c>
      <c r="X256">
        <f>HYPERLINK("https://klasma.github.io/Logging_2281/tillsyn/A 9566-2025 tillsynsbegäran.docx", "A 9566-2025")</f>
        <v/>
      </c>
      <c r="Y256">
        <f>HYPERLINK("https://klasma.github.io/Logging_2281/tillsynsmail/A 9566-2025 tillsynsbegäran mail.docx", "A 9566-2025")</f>
        <v/>
      </c>
      <c r="Z256">
        <f>HYPERLINK("https://klasma.github.io/Logging_2281/fåglar/A 9566-2025 prioriterade fågelarter.docx", "A 9566-2025")</f>
        <v/>
      </c>
    </row>
    <row r="257" ht="15" customHeight="1">
      <c r="A257" t="inlineStr">
        <is>
          <t>A 11132-2025</t>
        </is>
      </c>
      <c r="B257" s="1" t="n">
        <v>45723.64934027778</v>
      </c>
      <c r="C257" s="1" t="n">
        <v>46093</v>
      </c>
      <c r="D257" t="inlineStr">
        <is>
          <t>VÄSTERNORRLANDS LÄN</t>
        </is>
      </c>
      <c r="E257" t="inlineStr">
        <is>
          <t>SOLLEFTEÅ</t>
        </is>
      </c>
      <c r="G257" t="n">
        <v>18.2</v>
      </c>
      <c r="H257" t="n">
        <v>2</v>
      </c>
      <c r="I257" t="n">
        <v>0</v>
      </c>
      <c r="J257" t="n">
        <v>6</v>
      </c>
      <c r="K257" t="n">
        <v>1</v>
      </c>
      <c r="L257" t="n">
        <v>0</v>
      </c>
      <c r="M257" t="n">
        <v>0</v>
      </c>
      <c r="N257" t="n">
        <v>0</v>
      </c>
      <c r="O257" t="n">
        <v>7</v>
      </c>
      <c r="P257" t="n">
        <v>1</v>
      </c>
      <c r="Q257" t="n">
        <v>8</v>
      </c>
      <c r="R257" s="2" t="inlineStr">
        <is>
          <t>Knärot
Gropig brunbagge
Mörk kolflarnlav
Olisthaerus substriatus
Rosenticka
Ullticka
Vedskivlav
Vanlig padda</t>
        </is>
      </c>
      <c r="S257">
        <f>HYPERLINK("https://klasma.github.io/Logging_2283/artfynd/A 11132-2025 artfynd.xlsx", "A 11132-2025")</f>
        <v/>
      </c>
      <c r="T257">
        <f>HYPERLINK("https://klasma.github.io/Logging_2283/kartor/A 11132-2025 karta.png", "A 11132-2025")</f>
        <v/>
      </c>
      <c r="U257">
        <f>HYPERLINK("https://klasma.github.io/Logging_2283/knärot/A 11132-2025 karta knärot.png", "A 11132-2025")</f>
        <v/>
      </c>
      <c r="V257">
        <f>HYPERLINK("https://klasma.github.io/Logging_2283/klagomål/A 11132-2025 FSC-klagomål.docx", "A 11132-2025")</f>
        <v/>
      </c>
      <c r="W257">
        <f>HYPERLINK("https://klasma.github.io/Logging_2283/klagomålsmail/A 11132-2025 FSC-klagomål mail.docx", "A 11132-2025")</f>
        <v/>
      </c>
      <c r="X257">
        <f>HYPERLINK("https://klasma.github.io/Logging_2283/tillsyn/A 11132-2025 tillsynsbegäran.docx", "A 11132-2025")</f>
        <v/>
      </c>
      <c r="Y257">
        <f>HYPERLINK("https://klasma.github.io/Logging_2283/tillsynsmail/A 11132-2025 tillsynsbegäran mail.docx", "A 11132-2025")</f>
        <v/>
      </c>
    </row>
    <row r="258" ht="15" customHeight="1">
      <c r="A258" t="inlineStr">
        <is>
          <t>A 37450-2025</t>
        </is>
      </c>
      <c r="B258" s="1" t="n">
        <v>45877.55261574074</v>
      </c>
      <c r="C258" s="1" t="n">
        <v>46093</v>
      </c>
      <c r="D258" t="inlineStr">
        <is>
          <t>VÄSTERNORRLANDS LÄN</t>
        </is>
      </c>
      <c r="E258" t="inlineStr">
        <is>
          <t>ÅNGE</t>
        </is>
      </c>
      <c r="F258" t="inlineStr">
        <is>
          <t>SCA</t>
        </is>
      </c>
      <c r="G258" t="n">
        <v>1</v>
      </c>
      <c r="H258" t="n">
        <v>2</v>
      </c>
      <c r="I258" t="n">
        <v>3</v>
      </c>
      <c r="J258" t="n">
        <v>3</v>
      </c>
      <c r="K258" t="n">
        <v>1</v>
      </c>
      <c r="L258" t="n">
        <v>0</v>
      </c>
      <c r="M258" t="n">
        <v>0</v>
      </c>
      <c r="N258" t="n">
        <v>0</v>
      </c>
      <c r="O258" t="n">
        <v>4</v>
      </c>
      <c r="P258" t="n">
        <v>1</v>
      </c>
      <c r="Q258" t="n">
        <v>8</v>
      </c>
      <c r="R258" s="2" t="inlineStr">
        <is>
          <t>Knärot
Garnlav
Lunglav
Skrovellav
Skinnlav
Skuggblåslav
Stuplav
Revlummer</t>
        </is>
      </c>
      <c r="S258">
        <f>HYPERLINK("https://klasma.github.io/Logging_2260/artfynd/A 37450-2025 artfynd.xlsx", "A 37450-2025")</f>
        <v/>
      </c>
      <c r="T258">
        <f>HYPERLINK("https://klasma.github.io/Logging_2260/kartor/A 37450-2025 karta.png", "A 37450-2025")</f>
        <v/>
      </c>
      <c r="U258">
        <f>HYPERLINK("https://klasma.github.io/Logging_2260/knärot/A 37450-2025 karta knärot.png", "A 37450-2025")</f>
        <v/>
      </c>
      <c r="V258">
        <f>HYPERLINK("https://klasma.github.io/Logging_2260/klagomål/A 37450-2025 FSC-klagomål.docx", "A 37450-2025")</f>
        <v/>
      </c>
      <c r="W258">
        <f>HYPERLINK("https://klasma.github.io/Logging_2260/klagomålsmail/A 37450-2025 FSC-klagomål mail.docx", "A 37450-2025")</f>
        <v/>
      </c>
      <c r="X258">
        <f>HYPERLINK("https://klasma.github.io/Logging_2260/tillsyn/A 37450-2025 tillsynsbegäran.docx", "A 37450-2025")</f>
        <v/>
      </c>
      <c r="Y258">
        <f>HYPERLINK("https://klasma.github.io/Logging_2260/tillsynsmail/A 37450-2025 tillsynsbegäran mail.docx", "A 37450-2025")</f>
        <v/>
      </c>
    </row>
    <row r="259" ht="15" customHeight="1">
      <c r="A259" t="inlineStr">
        <is>
          <t>A 418-2026</t>
        </is>
      </c>
      <c r="B259" s="1" t="n">
        <v>46028</v>
      </c>
      <c r="C259" s="1" t="n">
        <v>46093</v>
      </c>
      <c r="D259" t="inlineStr">
        <is>
          <t>VÄSTERNORRLANDS LÄN</t>
        </is>
      </c>
      <c r="E259" t="inlineStr">
        <is>
          <t>SUNDSVALL</t>
        </is>
      </c>
      <c r="G259" t="n">
        <v>3.9</v>
      </c>
      <c r="H259" t="n">
        <v>1</v>
      </c>
      <c r="I259" t="n">
        <v>1</v>
      </c>
      <c r="J259" t="n">
        <v>6</v>
      </c>
      <c r="K259" t="n">
        <v>1</v>
      </c>
      <c r="L259" t="n">
        <v>0</v>
      </c>
      <c r="M259" t="n">
        <v>0</v>
      </c>
      <c r="N259" t="n">
        <v>0</v>
      </c>
      <c r="O259" t="n">
        <v>7</v>
      </c>
      <c r="P259" t="n">
        <v>1</v>
      </c>
      <c r="Q259" t="n">
        <v>8</v>
      </c>
      <c r="R259" s="2" t="inlineStr">
        <is>
          <t>Knärot
Garnlav
Gultoppig fingersvamp
Kötticka
Orange taggsvamp
Ullticka
Violettgrå tagellav
Skinnlav</t>
        </is>
      </c>
      <c r="S259">
        <f>HYPERLINK("https://klasma.github.io/Logging_2281/artfynd/A 418-2026 artfynd.xlsx", "A 418-2026")</f>
        <v/>
      </c>
      <c r="T259">
        <f>HYPERLINK("https://klasma.github.io/Logging_2281/kartor/A 418-2026 karta.png", "A 418-2026")</f>
        <v/>
      </c>
      <c r="U259">
        <f>HYPERLINK("https://klasma.github.io/Logging_2281/knärot/A 418-2026 karta knärot.png", "A 418-2026")</f>
        <v/>
      </c>
      <c r="V259">
        <f>HYPERLINK("https://klasma.github.io/Logging_2281/klagomål/A 418-2026 FSC-klagomål.docx", "A 418-2026")</f>
        <v/>
      </c>
      <c r="W259">
        <f>HYPERLINK("https://klasma.github.io/Logging_2281/klagomålsmail/A 418-2026 FSC-klagomål mail.docx", "A 418-2026")</f>
        <v/>
      </c>
      <c r="X259">
        <f>HYPERLINK("https://klasma.github.io/Logging_2281/tillsyn/A 418-2026 tillsynsbegäran.docx", "A 418-2026")</f>
        <v/>
      </c>
      <c r="Y259">
        <f>HYPERLINK("https://klasma.github.io/Logging_2281/tillsynsmail/A 418-2026 tillsynsbegäran mail.docx", "A 418-2026")</f>
        <v/>
      </c>
    </row>
    <row r="260" ht="15" customHeight="1">
      <c r="A260" t="inlineStr">
        <is>
          <t>A 18981-2025</t>
        </is>
      </c>
      <c r="B260" s="1" t="n">
        <v>45764</v>
      </c>
      <c r="C260" s="1" t="n">
        <v>46093</v>
      </c>
      <c r="D260" t="inlineStr">
        <is>
          <t>VÄSTERNORRLANDS LÄN</t>
        </is>
      </c>
      <c r="E260" t="inlineStr">
        <is>
          <t>SUNDSVALL</t>
        </is>
      </c>
      <c r="F260" t="inlineStr">
        <is>
          <t>SCA</t>
        </is>
      </c>
      <c r="G260" t="n">
        <v>1.8</v>
      </c>
      <c r="H260" t="n">
        <v>5</v>
      </c>
      <c r="I260" t="n">
        <v>1</v>
      </c>
      <c r="J260" t="n">
        <v>4</v>
      </c>
      <c r="K260" t="n">
        <v>0</v>
      </c>
      <c r="L260" t="n">
        <v>0</v>
      </c>
      <c r="M260" t="n">
        <v>0</v>
      </c>
      <c r="N260" t="n">
        <v>0</v>
      </c>
      <c r="O260" t="n">
        <v>4</v>
      </c>
      <c r="P260" t="n">
        <v>0</v>
      </c>
      <c r="Q260" t="n">
        <v>8</v>
      </c>
      <c r="R260" s="2" t="inlineStr">
        <is>
          <t>Garnlav
Rosenticka
Spillkråka
Tretåig hackspett
Vedticka
Tjäder
Nattviol
Revlummer</t>
        </is>
      </c>
      <c r="S260">
        <f>HYPERLINK("https://klasma.github.io/Logging_2281/artfynd/A 18981-2025 artfynd.xlsx", "A 18981-2025")</f>
        <v/>
      </c>
      <c r="T260">
        <f>HYPERLINK("https://klasma.github.io/Logging_2281/kartor/A 18981-2025 karta.png", "A 18981-2025")</f>
        <v/>
      </c>
      <c r="V260">
        <f>HYPERLINK("https://klasma.github.io/Logging_2281/klagomål/A 18981-2025 FSC-klagomål.docx", "A 18981-2025")</f>
        <v/>
      </c>
      <c r="W260">
        <f>HYPERLINK("https://klasma.github.io/Logging_2281/klagomålsmail/A 18981-2025 FSC-klagomål mail.docx", "A 18981-2025")</f>
        <v/>
      </c>
      <c r="X260">
        <f>HYPERLINK("https://klasma.github.io/Logging_2281/tillsyn/A 18981-2025 tillsynsbegäran.docx", "A 18981-2025")</f>
        <v/>
      </c>
      <c r="Y260">
        <f>HYPERLINK("https://klasma.github.io/Logging_2281/tillsynsmail/A 18981-2025 tillsynsbegäran mail.docx", "A 18981-2025")</f>
        <v/>
      </c>
      <c r="Z260">
        <f>HYPERLINK("https://klasma.github.io/Logging_2281/fåglar/A 18981-2025 prioriterade fågelarter.docx", "A 18981-2025")</f>
        <v/>
      </c>
    </row>
    <row r="261" ht="15" customHeight="1">
      <c r="A261" t="inlineStr">
        <is>
          <t>A 25941-2025</t>
        </is>
      </c>
      <c r="B261" s="1" t="n">
        <v>45804</v>
      </c>
      <c r="C261" s="1" t="n">
        <v>46093</v>
      </c>
      <c r="D261" t="inlineStr">
        <is>
          <t>VÄSTERNORRLANDS LÄN</t>
        </is>
      </c>
      <c r="E261" t="inlineStr">
        <is>
          <t>SOLLEFTEÅ</t>
        </is>
      </c>
      <c r="G261" t="n">
        <v>4.4</v>
      </c>
      <c r="H261" t="n">
        <v>1</v>
      </c>
      <c r="I261" t="n">
        <v>3</v>
      </c>
      <c r="J261" t="n">
        <v>3</v>
      </c>
      <c r="K261" t="n">
        <v>1</v>
      </c>
      <c r="L261" t="n">
        <v>1</v>
      </c>
      <c r="M261" t="n">
        <v>0</v>
      </c>
      <c r="N261" t="n">
        <v>0</v>
      </c>
      <c r="O261" t="n">
        <v>5</v>
      </c>
      <c r="P261" t="n">
        <v>2</v>
      </c>
      <c r="Q261" t="n">
        <v>8</v>
      </c>
      <c r="R261" s="2" t="inlineStr">
        <is>
          <t>Trolldruvemätare
Rynkskinn
Rosenticka
Talltita
Vedtrappmossa
Dvärghäxört
Strutbräken
Svart trolldruva</t>
        </is>
      </c>
      <c r="S261">
        <f>HYPERLINK("https://klasma.github.io/Logging_2283/artfynd/A 25941-2025 artfynd.xlsx", "A 25941-2025")</f>
        <v/>
      </c>
      <c r="T261">
        <f>HYPERLINK("https://klasma.github.io/Logging_2283/kartor/A 25941-2025 karta.png", "A 25941-2025")</f>
        <v/>
      </c>
      <c r="V261">
        <f>HYPERLINK("https://klasma.github.io/Logging_2283/klagomål/A 25941-2025 FSC-klagomål.docx", "A 25941-2025")</f>
        <v/>
      </c>
      <c r="W261">
        <f>HYPERLINK("https://klasma.github.io/Logging_2283/klagomålsmail/A 25941-2025 FSC-klagomål mail.docx", "A 25941-2025")</f>
        <v/>
      </c>
      <c r="X261">
        <f>HYPERLINK("https://klasma.github.io/Logging_2283/tillsyn/A 25941-2025 tillsynsbegäran.docx", "A 25941-2025")</f>
        <v/>
      </c>
      <c r="Y261">
        <f>HYPERLINK("https://klasma.github.io/Logging_2283/tillsynsmail/A 25941-2025 tillsynsbegäran mail.docx", "A 25941-2025")</f>
        <v/>
      </c>
      <c r="Z261">
        <f>HYPERLINK("https://klasma.github.io/Logging_2283/fåglar/A 25941-2025 prioriterade fågelarter.docx", "A 25941-2025")</f>
        <v/>
      </c>
    </row>
    <row r="262" ht="15" customHeight="1">
      <c r="A262" t="inlineStr">
        <is>
          <t>A 22215-2025</t>
        </is>
      </c>
      <c r="B262" s="1" t="n">
        <v>45785.65803240741</v>
      </c>
      <c r="C262" s="1" t="n">
        <v>46093</v>
      </c>
      <c r="D262" t="inlineStr">
        <is>
          <t>VÄSTERNORRLANDS LÄN</t>
        </is>
      </c>
      <c r="E262" t="inlineStr">
        <is>
          <t>SOLLEFTEÅ</t>
        </is>
      </c>
      <c r="F262" t="inlineStr">
        <is>
          <t>SCA</t>
        </is>
      </c>
      <c r="G262" t="n">
        <v>3.8</v>
      </c>
      <c r="H262" t="n">
        <v>1</v>
      </c>
      <c r="I262" t="n">
        <v>1</v>
      </c>
      <c r="J262" t="n">
        <v>4</v>
      </c>
      <c r="K262" t="n">
        <v>2</v>
      </c>
      <c r="L262" t="n">
        <v>0</v>
      </c>
      <c r="M262" t="n">
        <v>0</v>
      </c>
      <c r="N262" t="n">
        <v>0</v>
      </c>
      <c r="O262" t="n">
        <v>6</v>
      </c>
      <c r="P262" t="n">
        <v>2</v>
      </c>
      <c r="Q262" t="n">
        <v>8</v>
      </c>
      <c r="R262" s="2" t="inlineStr">
        <is>
          <t>Lappticka
Ulltickeporing
Garnlav
Lunglav
Rosenticka
Ullticka
Korallblylav
Blåsippa</t>
        </is>
      </c>
      <c r="S262">
        <f>HYPERLINK("https://klasma.github.io/Logging_2283/artfynd/A 22215-2025 artfynd.xlsx", "A 22215-2025")</f>
        <v/>
      </c>
      <c r="T262">
        <f>HYPERLINK("https://klasma.github.io/Logging_2283/kartor/A 22215-2025 karta.png", "A 22215-2025")</f>
        <v/>
      </c>
      <c r="V262">
        <f>HYPERLINK("https://klasma.github.io/Logging_2283/klagomål/A 22215-2025 FSC-klagomål.docx", "A 22215-2025")</f>
        <v/>
      </c>
      <c r="W262">
        <f>HYPERLINK("https://klasma.github.io/Logging_2283/klagomålsmail/A 22215-2025 FSC-klagomål mail.docx", "A 22215-2025")</f>
        <v/>
      </c>
      <c r="X262">
        <f>HYPERLINK("https://klasma.github.io/Logging_2283/tillsyn/A 22215-2025 tillsynsbegäran.docx", "A 22215-2025")</f>
        <v/>
      </c>
      <c r="Y262">
        <f>HYPERLINK("https://klasma.github.io/Logging_2283/tillsynsmail/A 22215-2025 tillsynsbegäran mail.docx", "A 22215-2025")</f>
        <v/>
      </c>
    </row>
    <row r="263" ht="15" customHeight="1">
      <c r="A263" t="inlineStr">
        <is>
          <t>A 44996-2025</t>
        </is>
      </c>
      <c r="B263" s="1" t="n">
        <v>45918</v>
      </c>
      <c r="C263" s="1" t="n">
        <v>46093</v>
      </c>
      <c r="D263" t="inlineStr">
        <is>
          <t>VÄSTERNORRLANDS LÄN</t>
        </is>
      </c>
      <c r="E263" t="inlineStr">
        <is>
          <t>ÖRNSKÖLDSVIK</t>
        </is>
      </c>
      <c r="F263" t="inlineStr">
        <is>
          <t>Holmen skog AB</t>
        </is>
      </c>
      <c r="G263" t="n">
        <v>8.6</v>
      </c>
      <c r="H263" t="n">
        <v>3</v>
      </c>
      <c r="I263" t="n">
        <v>2</v>
      </c>
      <c r="J263" t="n">
        <v>3</v>
      </c>
      <c r="K263" t="n">
        <v>2</v>
      </c>
      <c r="L263" t="n">
        <v>0</v>
      </c>
      <c r="M263" t="n">
        <v>0</v>
      </c>
      <c r="N263" t="n">
        <v>0</v>
      </c>
      <c r="O263" t="n">
        <v>5</v>
      </c>
      <c r="P263" t="n">
        <v>2</v>
      </c>
      <c r="Q263" t="n">
        <v>8</v>
      </c>
      <c r="R263" s="2" t="inlineStr">
        <is>
          <t>Knärot
Rynkskinn
Kötticka
Tretåig hackspett
Ullticka
Skinnlav
Vedticka
Revlummer</t>
        </is>
      </c>
      <c r="S263">
        <f>HYPERLINK("https://klasma.github.io/Logging_2284/artfynd/A 44996-2025 artfynd.xlsx", "A 44996-2025")</f>
        <v/>
      </c>
      <c r="T263">
        <f>HYPERLINK("https://klasma.github.io/Logging_2284/kartor/A 44996-2025 karta.png", "A 44996-2025")</f>
        <v/>
      </c>
      <c r="U263">
        <f>HYPERLINK("https://klasma.github.io/Logging_2284/knärot/A 44996-2025 karta knärot.png", "A 44996-2025")</f>
        <v/>
      </c>
      <c r="V263">
        <f>HYPERLINK("https://klasma.github.io/Logging_2284/klagomål/A 44996-2025 FSC-klagomål.docx", "A 44996-2025")</f>
        <v/>
      </c>
      <c r="W263">
        <f>HYPERLINK("https://klasma.github.io/Logging_2284/klagomålsmail/A 44996-2025 FSC-klagomål mail.docx", "A 44996-2025")</f>
        <v/>
      </c>
      <c r="X263">
        <f>HYPERLINK("https://klasma.github.io/Logging_2284/tillsyn/A 44996-2025 tillsynsbegäran.docx", "A 44996-2025")</f>
        <v/>
      </c>
      <c r="Y263">
        <f>HYPERLINK("https://klasma.github.io/Logging_2284/tillsynsmail/A 44996-2025 tillsynsbegäran mail.docx", "A 44996-2025")</f>
        <v/>
      </c>
      <c r="Z263">
        <f>HYPERLINK("https://klasma.github.io/Logging_2284/fåglar/A 44996-2025 prioriterade fågelarter.docx", "A 44996-2025")</f>
        <v/>
      </c>
    </row>
    <row r="264" ht="15" customHeight="1">
      <c r="A264" t="inlineStr">
        <is>
          <t>A 23282-2025</t>
        </is>
      </c>
      <c r="B264" s="1" t="n">
        <v>45791.57351851852</v>
      </c>
      <c r="C264" s="1" t="n">
        <v>46093</v>
      </c>
      <c r="D264" t="inlineStr">
        <is>
          <t>VÄSTERNORRLANDS LÄN</t>
        </is>
      </c>
      <c r="E264" t="inlineStr">
        <is>
          <t>TIMRÅ</t>
        </is>
      </c>
      <c r="F264" t="inlineStr">
        <is>
          <t>SCA</t>
        </is>
      </c>
      <c r="G264" t="n">
        <v>3.3</v>
      </c>
      <c r="H264" t="n">
        <v>2</v>
      </c>
      <c r="I264" t="n">
        <v>3</v>
      </c>
      <c r="J264" t="n">
        <v>4</v>
      </c>
      <c r="K264" t="n">
        <v>0</v>
      </c>
      <c r="L264" t="n">
        <v>0</v>
      </c>
      <c r="M264" t="n">
        <v>0</v>
      </c>
      <c r="N264" t="n">
        <v>0</v>
      </c>
      <c r="O264" t="n">
        <v>4</v>
      </c>
      <c r="P264" t="n">
        <v>0</v>
      </c>
      <c r="Q264" t="n">
        <v>8</v>
      </c>
      <c r="R264" s="2" t="inlineStr">
        <is>
          <t>Lunglav
Reliktbock
Spillkråka
Stiftgelélav
Skinnlav
Stuplav
Vedticka
Fläcknycklar</t>
        </is>
      </c>
      <c r="S264">
        <f>HYPERLINK("https://klasma.github.io/Logging_2262/artfynd/A 23282-2025 artfynd.xlsx", "A 23282-2025")</f>
        <v/>
      </c>
      <c r="T264">
        <f>HYPERLINK("https://klasma.github.io/Logging_2262/kartor/A 23282-2025 karta.png", "A 23282-2025")</f>
        <v/>
      </c>
      <c r="V264">
        <f>HYPERLINK("https://klasma.github.io/Logging_2262/klagomål/A 23282-2025 FSC-klagomål.docx", "A 23282-2025")</f>
        <v/>
      </c>
      <c r="W264">
        <f>HYPERLINK("https://klasma.github.io/Logging_2262/klagomålsmail/A 23282-2025 FSC-klagomål mail.docx", "A 23282-2025")</f>
        <v/>
      </c>
      <c r="X264">
        <f>HYPERLINK("https://klasma.github.io/Logging_2262/tillsyn/A 23282-2025 tillsynsbegäran.docx", "A 23282-2025")</f>
        <v/>
      </c>
      <c r="Y264">
        <f>HYPERLINK("https://klasma.github.io/Logging_2262/tillsynsmail/A 23282-2025 tillsynsbegäran mail.docx", "A 23282-2025")</f>
        <v/>
      </c>
      <c r="Z264">
        <f>HYPERLINK("https://klasma.github.io/Logging_2262/fåglar/A 23282-2025 prioriterade fågelarter.docx", "A 23282-2025")</f>
        <v/>
      </c>
    </row>
    <row r="265" ht="15" customHeight="1">
      <c r="A265" t="inlineStr">
        <is>
          <t>A 61754-2025</t>
        </is>
      </c>
      <c r="B265" s="1" t="n">
        <v>46002.61498842593</v>
      </c>
      <c r="C265" s="1" t="n">
        <v>46093</v>
      </c>
      <c r="D265" t="inlineStr">
        <is>
          <t>VÄSTERNORRLANDS LÄN</t>
        </is>
      </c>
      <c r="E265" t="inlineStr">
        <is>
          <t>KRAMFORS</t>
        </is>
      </c>
      <c r="G265" t="n">
        <v>4.6</v>
      </c>
      <c r="H265" t="n">
        <v>3</v>
      </c>
      <c r="I265" t="n">
        <v>2</v>
      </c>
      <c r="J265" t="n">
        <v>6</v>
      </c>
      <c r="K265" t="n">
        <v>0</v>
      </c>
      <c r="L265" t="n">
        <v>0</v>
      </c>
      <c r="M265" t="n">
        <v>0</v>
      </c>
      <c r="N265" t="n">
        <v>0</v>
      </c>
      <c r="O265" t="n">
        <v>6</v>
      </c>
      <c r="P265" t="n">
        <v>0</v>
      </c>
      <c r="Q265" t="n">
        <v>8</v>
      </c>
      <c r="R265" s="2" t="inlineStr">
        <is>
          <t>Garnlav
Rosenticka
Spillkråka
Talltita
Tretåig hackspett
Ullticka
Korallblylav
Vedticka</t>
        </is>
      </c>
      <c r="S265">
        <f>HYPERLINK("https://klasma.github.io/Logging_2282/artfynd/A 61754-2025 artfynd.xlsx", "A 61754-2025")</f>
        <v/>
      </c>
      <c r="T265">
        <f>HYPERLINK("https://klasma.github.io/Logging_2282/kartor/A 61754-2025 karta.png", "A 61754-2025")</f>
        <v/>
      </c>
      <c r="V265">
        <f>HYPERLINK("https://klasma.github.io/Logging_2282/klagomål/A 61754-2025 FSC-klagomål.docx", "A 61754-2025")</f>
        <v/>
      </c>
      <c r="W265">
        <f>HYPERLINK("https://klasma.github.io/Logging_2282/klagomålsmail/A 61754-2025 FSC-klagomål mail.docx", "A 61754-2025")</f>
        <v/>
      </c>
      <c r="X265">
        <f>HYPERLINK("https://klasma.github.io/Logging_2282/tillsyn/A 61754-2025 tillsynsbegäran.docx", "A 61754-2025")</f>
        <v/>
      </c>
      <c r="Y265">
        <f>HYPERLINK("https://klasma.github.io/Logging_2282/tillsynsmail/A 61754-2025 tillsynsbegäran mail.docx", "A 61754-2025")</f>
        <v/>
      </c>
      <c r="Z265">
        <f>HYPERLINK("https://klasma.github.io/Logging_2282/fåglar/A 61754-2025 prioriterade fågelarter.docx", "A 61754-2025")</f>
        <v/>
      </c>
    </row>
    <row r="266" ht="15" customHeight="1">
      <c r="A266" t="inlineStr">
        <is>
          <t>A 44424-2025</t>
        </is>
      </c>
      <c r="B266" s="1" t="n">
        <v>45916</v>
      </c>
      <c r="C266" s="1" t="n">
        <v>46093</v>
      </c>
      <c r="D266" t="inlineStr">
        <is>
          <t>VÄSTERNORRLANDS LÄN</t>
        </is>
      </c>
      <c r="E266" t="inlineStr">
        <is>
          <t>SOLLEFTEÅ</t>
        </is>
      </c>
      <c r="G266" t="n">
        <v>4.7</v>
      </c>
      <c r="H266" t="n">
        <v>4</v>
      </c>
      <c r="I266" t="n">
        <v>0</v>
      </c>
      <c r="J266" t="n">
        <v>5</v>
      </c>
      <c r="K266" t="n">
        <v>2</v>
      </c>
      <c r="L266" t="n">
        <v>1</v>
      </c>
      <c r="M266" t="n">
        <v>0</v>
      </c>
      <c r="N266" t="n">
        <v>0</v>
      </c>
      <c r="O266" t="n">
        <v>8</v>
      </c>
      <c r="P266" t="n">
        <v>3</v>
      </c>
      <c r="Q266" t="n">
        <v>8</v>
      </c>
      <c r="R266" s="2" t="inlineStr">
        <is>
          <t>Större barkplattbagge
Knärot
Rynkskinn
Harticka
Rosenticka
Spillkråka
Tretåig hackspett
Ullticka</t>
        </is>
      </c>
      <c r="S266">
        <f>HYPERLINK("https://klasma.github.io/Logging_2283/artfynd/A 44424-2025 artfynd.xlsx", "A 44424-2025")</f>
        <v/>
      </c>
      <c r="T266">
        <f>HYPERLINK("https://klasma.github.io/Logging_2283/kartor/A 44424-2025 karta.png", "A 44424-2025")</f>
        <v/>
      </c>
      <c r="U266">
        <f>HYPERLINK("https://klasma.github.io/Logging_2283/knärot/A 44424-2025 karta knärot.png", "A 44424-2025")</f>
        <v/>
      </c>
      <c r="V266">
        <f>HYPERLINK("https://klasma.github.io/Logging_2283/klagomål/A 44424-2025 FSC-klagomål.docx", "A 44424-2025")</f>
        <v/>
      </c>
      <c r="W266">
        <f>HYPERLINK("https://klasma.github.io/Logging_2283/klagomålsmail/A 44424-2025 FSC-klagomål mail.docx", "A 44424-2025")</f>
        <v/>
      </c>
      <c r="X266">
        <f>HYPERLINK("https://klasma.github.io/Logging_2283/tillsyn/A 44424-2025 tillsynsbegäran.docx", "A 44424-2025")</f>
        <v/>
      </c>
      <c r="Y266">
        <f>HYPERLINK("https://klasma.github.io/Logging_2283/tillsynsmail/A 44424-2025 tillsynsbegäran mail.docx", "A 44424-2025")</f>
        <v/>
      </c>
      <c r="Z266">
        <f>HYPERLINK("https://klasma.github.io/Logging_2283/fåglar/A 44424-2025 prioriterade fågelarter.docx", "A 44424-2025")</f>
        <v/>
      </c>
    </row>
    <row r="267" ht="15" customHeight="1">
      <c r="A267" t="inlineStr">
        <is>
          <t>A 44441-2025</t>
        </is>
      </c>
      <c r="B267" s="1" t="n">
        <v>45916</v>
      </c>
      <c r="C267" s="1" t="n">
        <v>46093</v>
      </c>
      <c r="D267" t="inlineStr">
        <is>
          <t>VÄSTERNORRLANDS LÄN</t>
        </is>
      </c>
      <c r="E267" t="inlineStr">
        <is>
          <t>SOLLEFTEÅ</t>
        </is>
      </c>
      <c r="G267" t="n">
        <v>0.9</v>
      </c>
      <c r="H267" t="n">
        <v>3</v>
      </c>
      <c r="I267" t="n">
        <v>2</v>
      </c>
      <c r="J267" t="n">
        <v>4</v>
      </c>
      <c r="K267" t="n">
        <v>1</v>
      </c>
      <c r="L267" t="n">
        <v>1</v>
      </c>
      <c r="M267" t="n">
        <v>0</v>
      </c>
      <c r="N267" t="n">
        <v>0</v>
      </c>
      <c r="O267" t="n">
        <v>6</v>
      </c>
      <c r="P267" t="n">
        <v>2</v>
      </c>
      <c r="Q267" t="n">
        <v>8</v>
      </c>
      <c r="R267" s="2" t="inlineStr">
        <is>
          <t>Reliktslända
Knärot
Rosenticka
Talltita
Tretåig hackspett
Ullticka
Trådticka
Vedticka</t>
        </is>
      </c>
      <c r="S267">
        <f>HYPERLINK("https://klasma.github.io/Logging_2283/artfynd/A 44441-2025 artfynd.xlsx", "A 44441-2025")</f>
        <v/>
      </c>
      <c r="T267">
        <f>HYPERLINK("https://klasma.github.io/Logging_2283/kartor/A 44441-2025 karta.png", "A 44441-2025")</f>
        <v/>
      </c>
      <c r="U267">
        <f>HYPERLINK("https://klasma.github.io/Logging_2283/knärot/A 44441-2025 karta knärot.png", "A 44441-2025")</f>
        <v/>
      </c>
      <c r="V267">
        <f>HYPERLINK("https://klasma.github.io/Logging_2283/klagomål/A 44441-2025 FSC-klagomål.docx", "A 44441-2025")</f>
        <v/>
      </c>
      <c r="W267">
        <f>HYPERLINK("https://klasma.github.io/Logging_2283/klagomålsmail/A 44441-2025 FSC-klagomål mail.docx", "A 44441-2025")</f>
        <v/>
      </c>
      <c r="X267">
        <f>HYPERLINK("https://klasma.github.io/Logging_2283/tillsyn/A 44441-2025 tillsynsbegäran.docx", "A 44441-2025")</f>
        <v/>
      </c>
      <c r="Y267">
        <f>HYPERLINK("https://klasma.github.io/Logging_2283/tillsynsmail/A 44441-2025 tillsynsbegäran mail.docx", "A 44441-2025")</f>
        <v/>
      </c>
      <c r="Z267">
        <f>HYPERLINK("https://klasma.github.io/Logging_2283/fåglar/A 44441-2025 prioriterade fågelarter.docx", "A 44441-2025")</f>
        <v/>
      </c>
    </row>
    <row r="268" ht="15" customHeight="1">
      <c r="A268" t="inlineStr">
        <is>
          <t>A 3222-2026</t>
        </is>
      </c>
      <c r="B268" s="1" t="n">
        <v>46041</v>
      </c>
      <c r="C268" s="1" t="n">
        <v>46093</v>
      </c>
      <c r="D268" t="inlineStr">
        <is>
          <t>VÄSTERNORRLANDS LÄN</t>
        </is>
      </c>
      <c r="E268" t="inlineStr">
        <is>
          <t>SOLLEFTEÅ</t>
        </is>
      </c>
      <c r="F268" t="inlineStr">
        <is>
          <t>SCA</t>
        </is>
      </c>
      <c r="G268" t="n">
        <v>11.7</v>
      </c>
      <c r="H268" t="n">
        <v>4</v>
      </c>
      <c r="I268" t="n">
        <v>1</v>
      </c>
      <c r="J268" t="n">
        <v>7</v>
      </c>
      <c r="K268" t="n">
        <v>0</v>
      </c>
      <c r="L268" t="n">
        <v>0</v>
      </c>
      <c r="M268" t="n">
        <v>0</v>
      </c>
      <c r="N268" t="n">
        <v>0</v>
      </c>
      <c r="O268" t="n">
        <v>7</v>
      </c>
      <c r="P268" t="n">
        <v>0</v>
      </c>
      <c r="Q268" t="n">
        <v>8</v>
      </c>
      <c r="R268" s="2" t="inlineStr">
        <is>
          <t>Garnlav
Granticka
Harticka
Järpe
Skogshare
Talltita
Tretåig hackspett
Lappranunkel</t>
        </is>
      </c>
      <c r="S268">
        <f>HYPERLINK("https://klasma.github.io/Logging_2283/artfynd/A 3222-2026 artfynd.xlsx", "A 3222-2026")</f>
        <v/>
      </c>
      <c r="T268">
        <f>HYPERLINK("https://klasma.github.io/Logging_2283/kartor/A 3222-2026 karta.png", "A 3222-2026")</f>
        <v/>
      </c>
      <c r="V268">
        <f>HYPERLINK("https://klasma.github.io/Logging_2283/klagomål/A 3222-2026 FSC-klagomål.docx", "A 3222-2026")</f>
        <v/>
      </c>
      <c r="W268">
        <f>HYPERLINK("https://klasma.github.io/Logging_2283/klagomålsmail/A 3222-2026 FSC-klagomål mail.docx", "A 3222-2026")</f>
        <v/>
      </c>
      <c r="X268">
        <f>HYPERLINK("https://klasma.github.io/Logging_2283/tillsyn/A 3222-2026 tillsynsbegäran.docx", "A 3222-2026")</f>
        <v/>
      </c>
      <c r="Y268">
        <f>HYPERLINK("https://klasma.github.io/Logging_2283/tillsynsmail/A 3222-2026 tillsynsbegäran mail.docx", "A 3222-2026")</f>
        <v/>
      </c>
      <c r="Z268">
        <f>HYPERLINK("https://klasma.github.io/Logging_2283/fåglar/A 3222-2026 prioriterade fågelarter.docx", "A 3222-2026")</f>
        <v/>
      </c>
    </row>
    <row r="269" ht="15" customHeight="1">
      <c r="A269" t="inlineStr">
        <is>
          <t>A 53736-2023</t>
        </is>
      </c>
      <c r="B269" s="1" t="n">
        <v>45230</v>
      </c>
      <c r="C269" s="1" t="n">
        <v>46093</v>
      </c>
      <c r="D269" t="inlineStr">
        <is>
          <t>VÄSTERNORRLANDS LÄN</t>
        </is>
      </c>
      <c r="E269" t="inlineStr">
        <is>
          <t>SUNDSVALL</t>
        </is>
      </c>
      <c r="G269" t="n">
        <v>4.4</v>
      </c>
      <c r="H269" t="n">
        <v>5</v>
      </c>
      <c r="I269" t="n">
        <v>1</v>
      </c>
      <c r="J269" t="n">
        <v>4</v>
      </c>
      <c r="K269" t="n">
        <v>1</v>
      </c>
      <c r="L269" t="n">
        <v>1</v>
      </c>
      <c r="M269" t="n">
        <v>0</v>
      </c>
      <c r="N269" t="n">
        <v>0</v>
      </c>
      <c r="O269" t="n">
        <v>6</v>
      </c>
      <c r="P269" t="n">
        <v>2</v>
      </c>
      <c r="Q269" t="n">
        <v>8</v>
      </c>
      <c r="R269" s="2" t="inlineStr">
        <is>
          <t>Tornseglare
Knärot
Garnlav
Mörk kolflarnlav
Talltita
Tretåig hackspett
Dropptaggsvamp
Fläcknycklar</t>
        </is>
      </c>
      <c r="S269">
        <f>HYPERLINK("https://klasma.github.io/Logging_2281/artfynd/A 53736-2023 artfynd.xlsx", "A 53736-2023")</f>
        <v/>
      </c>
      <c r="T269">
        <f>HYPERLINK("https://klasma.github.io/Logging_2281/kartor/A 53736-2023 karta.png", "A 53736-2023")</f>
        <v/>
      </c>
      <c r="U269">
        <f>HYPERLINK("https://klasma.github.io/Logging_2281/knärot/A 53736-2023 karta knärot.png", "A 53736-2023")</f>
        <v/>
      </c>
      <c r="V269">
        <f>HYPERLINK("https://klasma.github.io/Logging_2281/klagomål/A 53736-2023 FSC-klagomål.docx", "A 53736-2023")</f>
        <v/>
      </c>
      <c r="W269">
        <f>HYPERLINK("https://klasma.github.io/Logging_2281/klagomålsmail/A 53736-2023 FSC-klagomål mail.docx", "A 53736-2023")</f>
        <v/>
      </c>
      <c r="X269">
        <f>HYPERLINK("https://klasma.github.io/Logging_2281/tillsyn/A 53736-2023 tillsynsbegäran.docx", "A 53736-2023")</f>
        <v/>
      </c>
      <c r="Y269">
        <f>HYPERLINK("https://klasma.github.io/Logging_2281/tillsynsmail/A 53736-2023 tillsynsbegäran mail.docx", "A 53736-2023")</f>
        <v/>
      </c>
      <c r="Z269">
        <f>HYPERLINK("https://klasma.github.io/Logging_2281/fåglar/A 53736-2023 prioriterade fågelarter.docx", "A 53736-2023")</f>
        <v/>
      </c>
    </row>
    <row r="270" ht="15" customHeight="1">
      <c r="A270" t="inlineStr">
        <is>
          <t>A 31560-2024</t>
        </is>
      </c>
      <c r="B270" s="1" t="n">
        <v>45505</v>
      </c>
      <c r="C270" s="1" t="n">
        <v>46093</v>
      </c>
      <c r="D270" t="inlineStr">
        <is>
          <t>VÄSTERNORRLANDS LÄN</t>
        </is>
      </c>
      <c r="E270" t="inlineStr">
        <is>
          <t>SOLLEFTEÅ</t>
        </is>
      </c>
      <c r="F270" t="inlineStr">
        <is>
          <t>SCA</t>
        </is>
      </c>
      <c r="G270" t="n">
        <v>6</v>
      </c>
      <c r="H270" t="n">
        <v>3</v>
      </c>
      <c r="I270" t="n">
        <v>0</v>
      </c>
      <c r="J270" t="n">
        <v>6</v>
      </c>
      <c r="K270" t="n">
        <v>2</v>
      </c>
      <c r="L270" t="n">
        <v>0</v>
      </c>
      <c r="M270" t="n">
        <v>0</v>
      </c>
      <c r="N270" t="n">
        <v>0</v>
      </c>
      <c r="O270" t="n">
        <v>8</v>
      </c>
      <c r="P270" t="n">
        <v>2</v>
      </c>
      <c r="Q270" t="n">
        <v>8</v>
      </c>
      <c r="R270" s="2" t="inlineStr">
        <is>
          <t>Lappticka
Rynkskinn
Garnlav
Rosenticka
Spillkråka
Talltita
Tretåig hackspett
Ullticka</t>
        </is>
      </c>
      <c r="S270">
        <f>HYPERLINK("https://klasma.github.io/Logging_2283/artfynd/A 31560-2024 artfynd.xlsx", "A 31560-2024")</f>
        <v/>
      </c>
      <c r="T270">
        <f>HYPERLINK("https://klasma.github.io/Logging_2283/kartor/A 31560-2024 karta.png", "A 31560-2024")</f>
        <v/>
      </c>
      <c r="V270">
        <f>HYPERLINK("https://klasma.github.io/Logging_2283/klagomål/A 31560-2024 FSC-klagomål.docx", "A 31560-2024")</f>
        <v/>
      </c>
      <c r="W270">
        <f>HYPERLINK("https://klasma.github.io/Logging_2283/klagomålsmail/A 31560-2024 FSC-klagomål mail.docx", "A 31560-2024")</f>
        <v/>
      </c>
      <c r="X270">
        <f>HYPERLINK("https://klasma.github.io/Logging_2283/tillsyn/A 31560-2024 tillsynsbegäran.docx", "A 31560-2024")</f>
        <v/>
      </c>
      <c r="Y270">
        <f>HYPERLINK("https://klasma.github.io/Logging_2283/tillsynsmail/A 31560-2024 tillsynsbegäran mail.docx", "A 31560-2024")</f>
        <v/>
      </c>
      <c r="Z270">
        <f>HYPERLINK("https://klasma.github.io/Logging_2283/fåglar/A 31560-2024 prioriterade fågelarter.docx", "A 31560-2024")</f>
        <v/>
      </c>
    </row>
    <row r="271" ht="15" customHeight="1">
      <c r="A271" t="inlineStr">
        <is>
          <t>A 31186-2025</t>
        </is>
      </c>
      <c r="B271" s="1" t="n">
        <v>45832.6781712963</v>
      </c>
      <c r="C271" s="1" t="n">
        <v>46093</v>
      </c>
      <c r="D271" t="inlineStr">
        <is>
          <t>VÄSTERNORRLANDS LÄN</t>
        </is>
      </c>
      <c r="E271" t="inlineStr">
        <is>
          <t>ÖRNSKÖLDSVIK</t>
        </is>
      </c>
      <c r="F271" t="inlineStr">
        <is>
          <t>SCA</t>
        </is>
      </c>
      <c r="G271" t="n">
        <v>14.6</v>
      </c>
      <c r="H271" t="n">
        <v>1</v>
      </c>
      <c r="I271" t="n">
        <v>4</v>
      </c>
      <c r="J271" t="n">
        <v>3</v>
      </c>
      <c r="K271" t="n">
        <v>1</v>
      </c>
      <c r="L271" t="n">
        <v>0</v>
      </c>
      <c r="M271" t="n">
        <v>0</v>
      </c>
      <c r="N271" t="n">
        <v>0</v>
      </c>
      <c r="O271" t="n">
        <v>4</v>
      </c>
      <c r="P271" t="n">
        <v>1</v>
      </c>
      <c r="Q271" t="n">
        <v>8</v>
      </c>
      <c r="R271" s="2" t="inlineStr">
        <is>
          <t>Knärot
Garnlav
Lunglav
Ullticka
Bårdlav
Mörk husmossa
Stuplav
Vedticka</t>
        </is>
      </c>
      <c r="S271">
        <f>HYPERLINK("https://klasma.github.io/Logging_2284/artfynd/A 31186-2025 artfynd.xlsx", "A 31186-2025")</f>
        <v/>
      </c>
      <c r="T271">
        <f>HYPERLINK("https://klasma.github.io/Logging_2284/kartor/A 31186-2025 karta.png", "A 31186-2025")</f>
        <v/>
      </c>
      <c r="U271">
        <f>HYPERLINK("https://klasma.github.io/Logging_2284/knärot/A 31186-2025 karta knärot.png", "A 31186-2025")</f>
        <v/>
      </c>
      <c r="V271">
        <f>HYPERLINK("https://klasma.github.io/Logging_2284/klagomål/A 31186-2025 FSC-klagomål.docx", "A 31186-2025")</f>
        <v/>
      </c>
      <c r="W271">
        <f>HYPERLINK("https://klasma.github.io/Logging_2284/klagomålsmail/A 31186-2025 FSC-klagomål mail.docx", "A 31186-2025")</f>
        <v/>
      </c>
      <c r="X271">
        <f>HYPERLINK("https://klasma.github.io/Logging_2284/tillsyn/A 31186-2025 tillsynsbegäran.docx", "A 31186-2025")</f>
        <v/>
      </c>
      <c r="Y271">
        <f>HYPERLINK("https://klasma.github.io/Logging_2284/tillsynsmail/A 31186-2025 tillsynsbegäran mail.docx", "A 31186-2025")</f>
        <v/>
      </c>
    </row>
    <row r="272" ht="15" customHeight="1">
      <c r="A272" t="inlineStr">
        <is>
          <t>A 31113-2025</t>
        </is>
      </c>
      <c r="B272" s="1" t="n">
        <v>45832.61501157407</v>
      </c>
      <c r="C272" s="1" t="n">
        <v>46093</v>
      </c>
      <c r="D272" t="inlineStr">
        <is>
          <t>VÄSTERNORRLANDS LÄN</t>
        </is>
      </c>
      <c r="E272" t="inlineStr">
        <is>
          <t>ÅNGE</t>
        </is>
      </c>
      <c r="F272" t="inlineStr">
        <is>
          <t>SCA</t>
        </is>
      </c>
      <c r="G272" t="n">
        <v>1.5</v>
      </c>
      <c r="H272" t="n">
        <v>3</v>
      </c>
      <c r="I272" t="n">
        <v>4</v>
      </c>
      <c r="J272" t="n">
        <v>3</v>
      </c>
      <c r="K272" t="n">
        <v>0</v>
      </c>
      <c r="L272" t="n">
        <v>0</v>
      </c>
      <c r="M272" t="n">
        <v>0</v>
      </c>
      <c r="N272" t="n">
        <v>0</v>
      </c>
      <c r="O272" t="n">
        <v>3</v>
      </c>
      <c r="P272" t="n">
        <v>0</v>
      </c>
      <c r="Q272" t="n">
        <v>8</v>
      </c>
      <c r="R272" s="2" t="inlineStr">
        <is>
          <t>Brunklöver
Månlåsbräken
Skogsklocka
Finbräken
Guckusko
Trådfräken
Tvåblad
Brudsporre</t>
        </is>
      </c>
      <c r="S272">
        <f>HYPERLINK("https://klasma.github.io/Logging_2260/artfynd/A 31113-2025 artfynd.xlsx", "A 31113-2025")</f>
        <v/>
      </c>
      <c r="T272">
        <f>HYPERLINK("https://klasma.github.io/Logging_2260/kartor/A 31113-2025 karta.png", "A 31113-2025")</f>
        <v/>
      </c>
      <c r="V272">
        <f>HYPERLINK("https://klasma.github.io/Logging_2260/klagomål/A 31113-2025 FSC-klagomål.docx", "A 31113-2025")</f>
        <v/>
      </c>
      <c r="W272">
        <f>HYPERLINK("https://klasma.github.io/Logging_2260/klagomålsmail/A 31113-2025 FSC-klagomål mail.docx", "A 31113-2025")</f>
        <v/>
      </c>
      <c r="X272">
        <f>HYPERLINK("https://klasma.github.io/Logging_2260/tillsyn/A 31113-2025 tillsynsbegäran.docx", "A 31113-2025")</f>
        <v/>
      </c>
      <c r="Y272">
        <f>HYPERLINK("https://klasma.github.io/Logging_2260/tillsynsmail/A 31113-2025 tillsynsbegäran mail.docx", "A 31113-2025")</f>
        <v/>
      </c>
    </row>
    <row r="273" ht="15" customHeight="1">
      <c r="A273" t="inlineStr">
        <is>
          <t>A 31504-2025</t>
        </is>
      </c>
      <c r="B273" s="1" t="n">
        <v>45833.59438657408</v>
      </c>
      <c r="C273" s="1" t="n">
        <v>46093</v>
      </c>
      <c r="D273" t="inlineStr">
        <is>
          <t>VÄSTERNORRLANDS LÄN</t>
        </is>
      </c>
      <c r="E273" t="inlineStr">
        <is>
          <t>SOLLEFTEÅ</t>
        </is>
      </c>
      <c r="F273" t="inlineStr">
        <is>
          <t>SCA</t>
        </is>
      </c>
      <c r="G273" t="n">
        <v>4.1</v>
      </c>
      <c r="H273" t="n">
        <v>2</v>
      </c>
      <c r="I273" t="n">
        <v>1</v>
      </c>
      <c r="J273" t="n">
        <v>5</v>
      </c>
      <c r="K273" t="n">
        <v>2</v>
      </c>
      <c r="L273" t="n">
        <v>0</v>
      </c>
      <c r="M273" t="n">
        <v>0</v>
      </c>
      <c r="N273" t="n">
        <v>0</v>
      </c>
      <c r="O273" t="n">
        <v>7</v>
      </c>
      <c r="P273" t="n">
        <v>2</v>
      </c>
      <c r="Q273" t="n">
        <v>8</v>
      </c>
      <c r="R273" s="2" t="inlineStr">
        <is>
          <t>Knärot
Rynkskinn
Duvhök
Garnlav
Kortskaftad ärgspik
Rosenticka
Vedskivlav
Vedticka</t>
        </is>
      </c>
      <c r="S273">
        <f>HYPERLINK("https://klasma.github.io/Logging_2283/artfynd/A 31504-2025 artfynd.xlsx", "A 31504-2025")</f>
        <v/>
      </c>
      <c r="T273">
        <f>HYPERLINK("https://klasma.github.io/Logging_2283/kartor/A 31504-2025 karta.png", "A 31504-2025")</f>
        <v/>
      </c>
      <c r="U273">
        <f>HYPERLINK("https://klasma.github.io/Logging_2283/knärot/A 31504-2025 karta knärot.png", "A 31504-2025")</f>
        <v/>
      </c>
      <c r="V273">
        <f>HYPERLINK("https://klasma.github.io/Logging_2283/klagomål/A 31504-2025 FSC-klagomål.docx", "A 31504-2025")</f>
        <v/>
      </c>
      <c r="W273">
        <f>HYPERLINK("https://klasma.github.io/Logging_2283/klagomålsmail/A 31504-2025 FSC-klagomål mail.docx", "A 31504-2025")</f>
        <v/>
      </c>
      <c r="X273">
        <f>HYPERLINK("https://klasma.github.io/Logging_2283/tillsyn/A 31504-2025 tillsynsbegäran.docx", "A 31504-2025")</f>
        <v/>
      </c>
      <c r="Y273">
        <f>HYPERLINK("https://klasma.github.io/Logging_2283/tillsynsmail/A 31504-2025 tillsynsbegäran mail.docx", "A 31504-2025")</f>
        <v/>
      </c>
      <c r="Z273">
        <f>HYPERLINK("https://klasma.github.io/Logging_2283/fåglar/A 31504-2025 prioriterade fågelarter.docx", "A 31504-2025")</f>
        <v/>
      </c>
    </row>
    <row r="274" ht="15" customHeight="1">
      <c r="A274" t="inlineStr">
        <is>
          <t>A 25898-2022</t>
        </is>
      </c>
      <c r="B274" s="1" t="n">
        <v>44733</v>
      </c>
      <c r="C274" s="1" t="n">
        <v>46093</v>
      </c>
      <c r="D274" t="inlineStr">
        <is>
          <t>VÄSTERNORRLANDS LÄN</t>
        </is>
      </c>
      <c r="E274" t="inlineStr">
        <is>
          <t>ÅNGE</t>
        </is>
      </c>
      <c r="G274" t="n">
        <v>1.3</v>
      </c>
      <c r="H274" t="n">
        <v>0</v>
      </c>
      <c r="I274" t="n">
        <v>2</v>
      </c>
      <c r="J274" t="n">
        <v>4</v>
      </c>
      <c r="K274" t="n">
        <v>1</v>
      </c>
      <c r="L274" t="n">
        <v>0</v>
      </c>
      <c r="M274" t="n">
        <v>0</v>
      </c>
      <c r="N274" t="n">
        <v>0</v>
      </c>
      <c r="O274" t="n">
        <v>5</v>
      </c>
      <c r="P274" t="n">
        <v>1</v>
      </c>
      <c r="Q274" t="n">
        <v>7</v>
      </c>
      <c r="R274" s="2" t="inlineStr">
        <is>
          <t>Smalskaftslav
Garnlav
Kortskaftad ärgspik
Lunglav
Vedtrappmossa
Gulnål
Vedticka</t>
        </is>
      </c>
      <c r="S274">
        <f>HYPERLINK("https://klasma.github.io/Logging_2260/artfynd/A 25898-2022 artfynd.xlsx", "A 25898-2022")</f>
        <v/>
      </c>
      <c r="T274">
        <f>HYPERLINK("https://klasma.github.io/Logging_2260/kartor/A 25898-2022 karta.png", "A 25898-2022")</f>
        <v/>
      </c>
      <c r="V274">
        <f>HYPERLINK("https://klasma.github.io/Logging_2260/klagomål/A 25898-2022 FSC-klagomål.docx", "A 25898-2022")</f>
        <v/>
      </c>
      <c r="W274">
        <f>HYPERLINK("https://klasma.github.io/Logging_2260/klagomålsmail/A 25898-2022 FSC-klagomål mail.docx", "A 25898-2022")</f>
        <v/>
      </c>
      <c r="X274">
        <f>HYPERLINK("https://klasma.github.io/Logging_2260/tillsyn/A 25898-2022 tillsynsbegäran.docx", "A 25898-2022")</f>
        <v/>
      </c>
      <c r="Y274">
        <f>HYPERLINK("https://klasma.github.io/Logging_2260/tillsynsmail/A 25898-2022 tillsynsbegäran mail.docx", "A 25898-2022")</f>
        <v/>
      </c>
    </row>
    <row r="275" ht="15" customHeight="1">
      <c r="A275" t="inlineStr">
        <is>
          <t>A 25270-2022</t>
        </is>
      </c>
      <c r="B275" s="1" t="n">
        <v>44729</v>
      </c>
      <c r="C275" s="1" t="n">
        <v>46093</v>
      </c>
      <c r="D275" t="inlineStr">
        <is>
          <t>VÄSTERNORRLANDS LÄN</t>
        </is>
      </c>
      <c r="E275" t="inlineStr">
        <is>
          <t>SUNDSVALL</t>
        </is>
      </c>
      <c r="F275" t="inlineStr">
        <is>
          <t>SCA</t>
        </is>
      </c>
      <c r="G275" t="n">
        <v>6.2</v>
      </c>
      <c r="H275" t="n">
        <v>0</v>
      </c>
      <c r="I275" t="n">
        <v>5</v>
      </c>
      <c r="J275" t="n">
        <v>2</v>
      </c>
      <c r="K275" t="n">
        <v>0</v>
      </c>
      <c r="L275" t="n">
        <v>0</v>
      </c>
      <c r="M275" t="n">
        <v>0</v>
      </c>
      <c r="N275" t="n">
        <v>0</v>
      </c>
      <c r="O275" t="n">
        <v>2</v>
      </c>
      <c r="P275" t="n">
        <v>0</v>
      </c>
      <c r="Q275" t="n">
        <v>7</v>
      </c>
      <c r="R275" s="2" t="inlineStr">
        <is>
          <t>Lunglav
Violmussling
Skogshakmossa
Stuplav
Trådticka
Vedticka
Ögonpyrola</t>
        </is>
      </c>
      <c r="S275">
        <f>HYPERLINK("https://klasma.github.io/Logging_2281/artfynd/A 25270-2022 artfynd.xlsx", "A 25270-2022")</f>
        <v/>
      </c>
      <c r="T275">
        <f>HYPERLINK("https://klasma.github.io/Logging_2281/kartor/A 25270-2022 karta.png", "A 25270-2022")</f>
        <v/>
      </c>
      <c r="V275">
        <f>HYPERLINK("https://klasma.github.io/Logging_2281/klagomål/A 25270-2022 FSC-klagomål.docx", "A 25270-2022")</f>
        <v/>
      </c>
      <c r="W275">
        <f>HYPERLINK("https://klasma.github.io/Logging_2281/klagomålsmail/A 25270-2022 FSC-klagomål mail.docx", "A 25270-2022")</f>
        <v/>
      </c>
      <c r="X275">
        <f>HYPERLINK("https://klasma.github.io/Logging_2281/tillsyn/A 25270-2022 tillsynsbegäran.docx", "A 25270-2022")</f>
        <v/>
      </c>
      <c r="Y275">
        <f>HYPERLINK("https://klasma.github.io/Logging_2281/tillsynsmail/A 25270-2022 tillsynsbegäran mail.docx", "A 25270-2022")</f>
        <v/>
      </c>
    </row>
    <row r="276" ht="15" customHeight="1">
      <c r="A276" t="inlineStr">
        <is>
          <t>A 20365-2022</t>
        </is>
      </c>
      <c r="B276" s="1" t="n">
        <v>44699</v>
      </c>
      <c r="C276" s="1" t="n">
        <v>46093</v>
      </c>
      <c r="D276" t="inlineStr">
        <is>
          <t>VÄSTERNORRLANDS LÄN</t>
        </is>
      </c>
      <c r="E276" t="inlineStr">
        <is>
          <t>ÅNGE</t>
        </is>
      </c>
      <c r="G276" t="n">
        <v>18.5</v>
      </c>
      <c r="H276" t="n">
        <v>2</v>
      </c>
      <c r="I276" t="n">
        <v>1</v>
      </c>
      <c r="J276" t="n">
        <v>5</v>
      </c>
      <c r="K276" t="n">
        <v>0</v>
      </c>
      <c r="L276" t="n">
        <v>0</v>
      </c>
      <c r="M276" t="n">
        <v>0</v>
      </c>
      <c r="N276" t="n">
        <v>0</v>
      </c>
      <c r="O276" t="n">
        <v>5</v>
      </c>
      <c r="P276" t="n">
        <v>0</v>
      </c>
      <c r="Q276" t="n">
        <v>7</v>
      </c>
      <c r="R276" s="2" t="inlineStr">
        <is>
          <t>Garnlav
Granticka
Lunglav
Spillkråka
Ullticka
Vedticka
Revlummer</t>
        </is>
      </c>
      <c r="S276">
        <f>HYPERLINK("https://klasma.github.io/Logging_2260/artfynd/A 20365-2022 artfynd.xlsx", "A 20365-2022")</f>
        <v/>
      </c>
      <c r="T276">
        <f>HYPERLINK("https://klasma.github.io/Logging_2260/kartor/A 20365-2022 karta.png", "A 20365-2022")</f>
        <v/>
      </c>
      <c r="V276">
        <f>HYPERLINK("https://klasma.github.io/Logging_2260/klagomål/A 20365-2022 FSC-klagomål.docx", "A 20365-2022")</f>
        <v/>
      </c>
      <c r="W276">
        <f>HYPERLINK("https://klasma.github.io/Logging_2260/klagomålsmail/A 20365-2022 FSC-klagomål mail.docx", "A 20365-2022")</f>
        <v/>
      </c>
      <c r="X276">
        <f>HYPERLINK("https://klasma.github.io/Logging_2260/tillsyn/A 20365-2022 tillsynsbegäran.docx", "A 20365-2022")</f>
        <v/>
      </c>
      <c r="Y276">
        <f>HYPERLINK("https://klasma.github.io/Logging_2260/tillsynsmail/A 20365-2022 tillsynsbegäran mail.docx", "A 20365-2022")</f>
        <v/>
      </c>
      <c r="Z276">
        <f>HYPERLINK("https://klasma.github.io/Logging_2260/fåglar/A 20365-2022 prioriterade fågelarter.docx", "A 20365-2022")</f>
        <v/>
      </c>
    </row>
    <row r="277" ht="15" customHeight="1">
      <c r="A277" t="inlineStr">
        <is>
          <t>A 12174-2025</t>
        </is>
      </c>
      <c r="B277" s="1" t="n">
        <v>45729</v>
      </c>
      <c r="C277" s="1" t="n">
        <v>46093</v>
      </c>
      <c r="D277" t="inlineStr">
        <is>
          <t>VÄSTERNORRLANDS LÄN</t>
        </is>
      </c>
      <c r="E277" t="inlineStr">
        <is>
          <t>SOLLEFTEÅ</t>
        </is>
      </c>
      <c r="F277" t="inlineStr">
        <is>
          <t>SCA</t>
        </is>
      </c>
      <c r="G277" t="n">
        <v>1.8</v>
      </c>
      <c r="H277" t="n">
        <v>4</v>
      </c>
      <c r="I277" t="n">
        <v>0</v>
      </c>
      <c r="J277" t="n">
        <v>5</v>
      </c>
      <c r="K277" t="n">
        <v>0</v>
      </c>
      <c r="L277" t="n">
        <v>0</v>
      </c>
      <c r="M277" t="n">
        <v>0</v>
      </c>
      <c r="N277" t="n">
        <v>0</v>
      </c>
      <c r="O277" t="n">
        <v>5</v>
      </c>
      <c r="P277" t="n">
        <v>0</v>
      </c>
      <c r="Q277" t="n">
        <v>7</v>
      </c>
      <c r="R277" s="2" t="inlineStr">
        <is>
          <t>Garnlav
Lunglav
Mörk kolflarnlav
Spillkråka
Tretåig hackspett
Tjäder
Revlummer</t>
        </is>
      </c>
      <c r="S277">
        <f>HYPERLINK("https://klasma.github.io/Logging_2283/artfynd/A 12174-2025 artfynd.xlsx", "A 12174-2025")</f>
        <v/>
      </c>
      <c r="T277">
        <f>HYPERLINK("https://klasma.github.io/Logging_2283/kartor/A 12174-2025 karta.png", "A 12174-2025")</f>
        <v/>
      </c>
      <c r="V277">
        <f>HYPERLINK("https://klasma.github.io/Logging_2283/klagomål/A 12174-2025 FSC-klagomål.docx", "A 12174-2025")</f>
        <v/>
      </c>
      <c r="W277">
        <f>HYPERLINK("https://klasma.github.io/Logging_2283/klagomålsmail/A 12174-2025 FSC-klagomål mail.docx", "A 12174-2025")</f>
        <v/>
      </c>
      <c r="X277">
        <f>HYPERLINK("https://klasma.github.io/Logging_2283/tillsyn/A 12174-2025 tillsynsbegäran.docx", "A 12174-2025")</f>
        <v/>
      </c>
      <c r="Y277">
        <f>HYPERLINK("https://klasma.github.io/Logging_2283/tillsynsmail/A 12174-2025 tillsynsbegäran mail.docx", "A 12174-2025")</f>
        <v/>
      </c>
      <c r="Z277">
        <f>HYPERLINK("https://klasma.github.io/Logging_2283/fåglar/A 12174-2025 prioriterade fågelarter.docx", "A 12174-2025")</f>
        <v/>
      </c>
    </row>
    <row r="278" ht="15" customHeight="1">
      <c r="A278" t="inlineStr">
        <is>
          <t>A 54049-2023</t>
        </is>
      </c>
      <c r="B278" s="1" t="n">
        <v>45231</v>
      </c>
      <c r="C278" s="1" t="n">
        <v>46093</v>
      </c>
      <c r="D278" t="inlineStr">
        <is>
          <t>VÄSTERNORRLANDS LÄN</t>
        </is>
      </c>
      <c r="E278" t="inlineStr">
        <is>
          <t>SOLLEFTEÅ</t>
        </is>
      </c>
      <c r="F278" t="inlineStr">
        <is>
          <t>SCA</t>
        </is>
      </c>
      <c r="G278" t="n">
        <v>9.800000000000001</v>
      </c>
      <c r="H278" t="n">
        <v>0</v>
      </c>
      <c r="I278" t="n">
        <v>1</v>
      </c>
      <c r="J278" t="n">
        <v>6</v>
      </c>
      <c r="K278" t="n">
        <v>0</v>
      </c>
      <c r="L278" t="n">
        <v>0</v>
      </c>
      <c r="M278" t="n">
        <v>0</v>
      </c>
      <c r="N278" t="n">
        <v>0</v>
      </c>
      <c r="O278" t="n">
        <v>6</v>
      </c>
      <c r="P278" t="n">
        <v>0</v>
      </c>
      <c r="Q278" t="n">
        <v>7</v>
      </c>
      <c r="R278" s="2" t="inlineStr">
        <is>
          <t>Doftskinn
Gammelgransskål
Garnlav
Rosenticka
Ullticka
Violettgrå tagellav
Vedticka</t>
        </is>
      </c>
      <c r="S278">
        <f>HYPERLINK("https://klasma.github.io/Logging_2283/artfynd/A 54049-2023 artfynd.xlsx", "A 54049-2023")</f>
        <v/>
      </c>
      <c r="T278">
        <f>HYPERLINK("https://klasma.github.io/Logging_2283/kartor/A 54049-2023 karta.png", "A 54049-2023")</f>
        <v/>
      </c>
      <c r="V278">
        <f>HYPERLINK("https://klasma.github.io/Logging_2283/klagomål/A 54049-2023 FSC-klagomål.docx", "A 54049-2023")</f>
        <v/>
      </c>
      <c r="W278">
        <f>HYPERLINK("https://klasma.github.io/Logging_2283/klagomålsmail/A 54049-2023 FSC-klagomål mail.docx", "A 54049-2023")</f>
        <v/>
      </c>
      <c r="X278">
        <f>HYPERLINK("https://klasma.github.io/Logging_2283/tillsyn/A 54049-2023 tillsynsbegäran.docx", "A 54049-2023")</f>
        <v/>
      </c>
      <c r="Y278">
        <f>HYPERLINK("https://klasma.github.io/Logging_2283/tillsynsmail/A 54049-2023 tillsynsbegäran mail.docx", "A 54049-2023")</f>
        <v/>
      </c>
    </row>
    <row r="279" ht="15" customHeight="1">
      <c r="A279" t="inlineStr">
        <is>
          <t>A 53121-2022</t>
        </is>
      </c>
      <c r="B279" s="1" t="n">
        <v>44873</v>
      </c>
      <c r="C279" s="1" t="n">
        <v>46093</v>
      </c>
      <c r="D279" t="inlineStr">
        <is>
          <t>VÄSTERNORRLANDS LÄN</t>
        </is>
      </c>
      <c r="E279" t="inlineStr">
        <is>
          <t>SOLLEFTEÅ</t>
        </is>
      </c>
      <c r="G279" t="n">
        <v>3.6</v>
      </c>
      <c r="H279" t="n">
        <v>1</v>
      </c>
      <c r="I279" t="n">
        <v>1</v>
      </c>
      <c r="J279" t="n">
        <v>5</v>
      </c>
      <c r="K279" t="n">
        <v>1</v>
      </c>
      <c r="L279" t="n">
        <v>0</v>
      </c>
      <c r="M279" t="n">
        <v>0</v>
      </c>
      <c r="N279" t="n">
        <v>0</v>
      </c>
      <c r="O279" t="n">
        <v>6</v>
      </c>
      <c r="P279" t="n">
        <v>1</v>
      </c>
      <c r="Q279" t="n">
        <v>7</v>
      </c>
      <c r="R279" s="2" t="inlineStr">
        <is>
          <t>Rynkskinn
Garnlav
Lunglav
Rosenticka
Tretåig hackspett
Ullticka
Stuplav</t>
        </is>
      </c>
      <c r="S279">
        <f>HYPERLINK("https://klasma.github.io/Logging_2283/artfynd/A 53121-2022 artfynd.xlsx", "A 53121-2022")</f>
        <v/>
      </c>
      <c r="T279">
        <f>HYPERLINK("https://klasma.github.io/Logging_2283/kartor/A 53121-2022 karta.png", "A 53121-2022")</f>
        <v/>
      </c>
      <c r="V279">
        <f>HYPERLINK("https://klasma.github.io/Logging_2283/klagomål/A 53121-2022 FSC-klagomål.docx", "A 53121-2022")</f>
        <v/>
      </c>
      <c r="W279">
        <f>HYPERLINK("https://klasma.github.io/Logging_2283/klagomålsmail/A 53121-2022 FSC-klagomål mail.docx", "A 53121-2022")</f>
        <v/>
      </c>
      <c r="X279">
        <f>HYPERLINK("https://klasma.github.io/Logging_2283/tillsyn/A 53121-2022 tillsynsbegäran.docx", "A 53121-2022")</f>
        <v/>
      </c>
      <c r="Y279">
        <f>HYPERLINK("https://klasma.github.io/Logging_2283/tillsynsmail/A 53121-2022 tillsynsbegäran mail.docx", "A 53121-2022")</f>
        <v/>
      </c>
      <c r="Z279">
        <f>HYPERLINK("https://klasma.github.io/Logging_2283/fåglar/A 53121-2022 prioriterade fågelarter.docx", "A 53121-2022")</f>
        <v/>
      </c>
    </row>
    <row r="280" ht="15" customHeight="1">
      <c r="A280" t="inlineStr">
        <is>
          <t>A 27533-2024</t>
        </is>
      </c>
      <c r="B280" s="1" t="n">
        <v>45474</v>
      </c>
      <c r="C280" s="1" t="n">
        <v>46093</v>
      </c>
      <c r="D280" t="inlineStr">
        <is>
          <t>VÄSTERNORRLANDS LÄN</t>
        </is>
      </c>
      <c r="E280" t="inlineStr">
        <is>
          <t>ÖRNSKÖLDSVIK</t>
        </is>
      </c>
      <c r="G280" t="n">
        <v>8.699999999999999</v>
      </c>
      <c r="H280" t="n">
        <v>3</v>
      </c>
      <c r="I280" t="n">
        <v>2</v>
      </c>
      <c r="J280" t="n">
        <v>2</v>
      </c>
      <c r="K280" t="n">
        <v>2</v>
      </c>
      <c r="L280" t="n">
        <v>0</v>
      </c>
      <c r="M280" t="n">
        <v>0</v>
      </c>
      <c r="N280" t="n">
        <v>0</v>
      </c>
      <c r="O280" t="n">
        <v>4</v>
      </c>
      <c r="P280" t="n">
        <v>2</v>
      </c>
      <c r="Q280" t="n">
        <v>7</v>
      </c>
      <c r="R280" s="2" t="inlineStr">
        <is>
          <t>Knärot
Rynkskinn
Lunglav
Ullticka
Spindelblomster
Spädstarr
Fläcknycklar</t>
        </is>
      </c>
      <c r="S280">
        <f>HYPERLINK("https://klasma.github.io/Logging_2284/artfynd/A 27533-2024 artfynd.xlsx", "A 27533-2024")</f>
        <v/>
      </c>
      <c r="T280">
        <f>HYPERLINK("https://klasma.github.io/Logging_2284/kartor/A 27533-2024 karta.png", "A 27533-2024")</f>
        <v/>
      </c>
      <c r="U280">
        <f>HYPERLINK("https://klasma.github.io/Logging_2284/knärot/A 27533-2024 karta knärot.png", "A 27533-2024")</f>
        <v/>
      </c>
      <c r="V280">
        <f>HYPERLINK("https://klasma.github.io/Logging_2284/klagomål/A 27533-2024 FSC-klagomål.docx", "A 27533-2024")</f>
        <v/>
      </c>
      <c r="W280">
        <f>HYPERLINK("https://klasma.github.io/Logging_2284/klagomålsmail/A 27533-2024 FSC-klagomål mail.docx", "A 27533-2024")</f>
        <v/>
      </c>
      <c r="X280">
        <f>HYPERLINK("https://klasma.github.io/Logging_2284/tillsyn/A 27533-2024 tillsynsbegäran.docx", "A 27533-2024")</f>
        <v/>
      </c>
      <c r="Y280">
        <f>HYPERLINK("https://klasma.github.io/Logging_2284/tillsynsmail/A 27533-2024 tillsynsbegäran mail.docx", "A 27533-2024")</f>
        <v/>
      </c>
    </row>
    <row r="281" ht="15" customHeight="1">
      <c r="A281" t="inlineStr">
        <is>
          <t>A 715-2023</t>
        </is>
      </c>
      <c r="B281" s="1" t="n">
        <v>44930</v>
      </c>
      <c r="C281" s="1" t="n">
        <v>46093</v>
      </c>
      <c r="D281" t="inlineStr">
        <is>
          <t>VÄSTERNORRLANDS LÄN</t>
        </is>
      </c>
      <c r="E281" t="inlineStr">
        <is>
          <t>SOLLEFTEÅ</t>
        </is>
      </c>
      <c r="G281" t="n">
        <v>7.7</v>
      </c>
      <c r="H281" t="n">
        <v>0</v>
      </c>
      <c r="I281" t="n">
        <v>1</v>
      </c>
      <c r="J281" t="n">
        <v>3</v>
      </c>
      <c r="K281" t="n">
        <v>3</v>
      </c>
      <c r="L281" t="n">
        <v>0</v>
      </c>
      <c r="M281" t="n">
        <v>0</v>
      </c>
      <c r="N281" t="n">
        <v>0</v>
      </c>
      <c r="O281" t="n">
        <v>6</v>
      </c>
      <c r="P281" t="n">
        <v>3</v>
      </c>
      <c r="Q281" t="n">
        <v>7</v>
      </c>
      <c r="R281" s="2" t="inlineStr">
        <is>
          <t>Gräddporing
Gräddticka
Rynkskinn
Granticka
Rosenticka
Ullticka
Skinnlav</t>
        </is>
      </c>
      <c r="S281">
        <f>HYPERLINK("https://klasma.github.io/Logging_2283/artfynd/A 715-2023 artfynd.xlsx", "A 715-2023")</f>
        <v/>
      </c>
      <c r="T281">
        <f>HYPERLINK("https://klasma.github.io/Logging_2283/kartor/A 715-2023 karta.png", "A 715-2023")</f>
        <v/>
      </c>
      <c r="V281">
        <f>HYPERLINK("https://klasma.github.io/Logging_2283/klagomål/A 715-2023 FSC-klagomål.docx", "A 715-2023")</f>
        <v/>
      </c>
      <c r="W281">
        <f>HYPERLINK("https://klasma.github.io/Logging_2283/klagomålsmail/A 715-2023 FSC-klagomål mail.docx", "A 715-2023")</f>
        <v/>
      </c>
      <c r="X281">
        <f>HYPERLINK("https://klasma.github.io/Logging_2283/tillsyn/A 715-2023 tillsynsbegäran.docx", "A 715-2023")</f>
        <v/>
      </c>
      <c r="Y281">
        <f>HYPERLINK("https://klasma.github.io/Logging_2283/tillsynsmail/A 715-2023 tillsynsbegäran mail.docx", "A 715-2023")</f>
        <v/>
      </c>
    </row>
    <row r="282" ht="15" customHeight="1">
      <c r="A282" t="inlineStr">
        <is>
          <t>A 32491-2025</t>
        </is>
      </c>
      <c r="B282" s="1" t="n">
        <v>45838.44831018519</v>
      </c>
      <c r="C282" s="1" t="n">
        <v>46093</v>
      </c>
      <c r="D282" t="inlineStr">
        <is>
          <t>VÄSTERNORRLANDS LÄN</t>
        </is>
      </c>
      <c r="E282" t="inlineStr">
        <is>
          <t>SUNDSVALL</t>
        </is>
      </c>
      <c r="F282" t="inlineStr">
        <is>
          <t>SCA</t>
        </is>
      </c>
      <c r="G282" t="n">
        <v>2.5</v>
      </c>
      <c r="H282" t="n">
        <v>5</v>
      </c>
      <c r="I282" t="n">
        <v>1</v>
      </c>
      <c r="J282" t="n">
        <v>4</v>
      </c>
      <c r="K282" t="n">
        <v>0</v>
      </c>
      <c r="L282" t="n">
        <v>0</v>
      </c>
      <c r="M282" t="n">
        <v>0</v>
      </c>
      <c r="N282" t="n">
        <v>0</v>
      </c>
      <c r="O282" t="n">
        <v>4</v>
      </c>
      <c r="P282" t="n">
        <v>0</v>
      </c>
      <c r="Q282" t="n">
        <v>7</v>
      </c>
      <c r="R282" s="2" t="inlineStr">
        <is>
          <t>Rödvingetrast
Talltita
Tretåig hackspett
Ullticka
Svart trolldruva
Kungsfågel
Revlummer</t>
        </is>
      </c>
      <c r="S282">
        <f>HYPERLINK("https://klasma.github.io/Logging_2281/artfynd/A 32491-2025 artfynd.xlsx", "A 32491-2025")</f>
        <v/>
      </c>
      <c r="T282">
        <f>HYPERLINK("https://klasma.github.io/Logging_2281/kartor/A 32491-2025 karta.png", "A 32491-2025")</f>
        <v/>
      </c>
      <c r="V282">
        <f>HYPERLINK("https://klasma.github.io/Logging_2281/klagomål/A 32491-2025 FSC-klagomål.docx", "A 32491-2025")</f>
        <v/>
      </c>
      <c r="W282">
        <f>HYPERLINK("https://klasma.github.io/Logging_2281/klagomålsmail/A 32491-2025 FSC-klagomål mail.docx", "A 32491-2025")</f>
        <v/>
      </c>
      <c r="X282">
        <f>HYPERLINK("https://klasma.github.io/Logging_2281/tillsyn/A 32491-2025 tillsynsbegäran.docx", "A 32491-2025")</f>
        <v/>
      </c>
      <c r="Y282">
        <f>HYPERLINK("https://klasma.github.io/Logging_2281/tillsynsmail/A 32491-2025 tillsynsbegäran mail.docx", "A 32491-2025")</f>
        <v/>
      </c>
      <c r="Z282">
        <f>HYPERLINK("https://klasma.github.io/Logging_2281/fåglar/A 32491-2025 prioriterade fågelarter.docx", "A 32491-2025")</f>
        <v/>
      </c>
    </row>
    <row r="283" ht="15" customHeight="1">
      <c r="A283" t="inlineStr">
        <is>
          <t>A 47647-2022</t>
        </is>
      </c>
      <c r="B283" s="1" t="n">
        <v>44852</v>
      </c>
      <c r="C283" s="1" t="n">
        <v>46093</v>
      </c>
      <c r="D283" t="inlineStr">
        <is>
          <t>VÄSTERNORRLANDS LÄN</t>
        </is>
      </c>
      <c r="E283" t="inlineStr">
        <is>
          <t>SOLLEFTEÅ</t>
        </is>
      </c>
      <c r="G283" t="n">
        <v>5.3</v>
      </c>
      <c r="H283" t="n">
        <v>2</v>
      </c>
      <c r="I283" t="n">
        <v>0</v>
      </c>
      <c r="J283" t="n">
        <v>5</v>
      </c>
      <c r="K283" t="n">
        <v>1</v>
      </c>
      <c r="L283" t="n">
        <v>1</v>
      </c>
      <c r="M283" t="n">
        <v>0</v>
      </c>
      <c r="N283" t="n">
        <v>0</v>
      </c>
      <c r="O283" t="n">
        <v>7</v>
      </c>
      <c r="P283" t="n">
        <v>2</v>
      </c>
      <c r="Q283" t="n">
        <v>7</v>
      </c>
      <c r="R283" s="2" t="inlineStr">
        <is>
          <t>Större barkplattbagge
Rynkskinn
Garnlav
Rosenticka
Stjärntagging
Talltita
Ullticka</t>
        </is>
      </c>
      <c r="S283">
        <f>HYPERLINK("https://klasma.github.io/Logging_2283/artfynd/A 47647-2022 artfynd.xlsx", "A 47647-2022")</f>
        <v/>
      </c>
      <c r="T283">
        <f>HYPERLINK("https://klasma.github.io/Logging_2283/kartor/A 47647-2022 karta.png", "A 47647-2022")</f>
        <v/>
      </c>
      <c r="V283">
        <f>HYPERLINK("https://klasma.github.io/Logging_2283/klagomål/A 47647-2022 FSC-klagomål.docx", "A 47647-2022")</f>
        <v/>
      </c>
      <c r="W283">
        <f>HYPERLINK("https://klasma.github.io/Logging_2283/klagomålsmail/A 47647-2022 FSC-klagomål mail.docx", "A 47647-2022")</f>
        <v/>
      </c>
      <c r="X283">
        <f>HYPERLINK("https://klasma.github.io/Logging_2283/tillsyn/A 47647-2022 tillsynsbegäran.docx", "A 47647-2022")</f>
        <v/>
      </c>
      <c r="Y283">
        <f>HYPERLINK("https://klasma.github.io/Logging_2283/tillsynsmail/A 47647-2022 tillsynsbegäran mail.docx", "A 47647-2022")</f>
        <v/>
      </c>
      <c r="Z283">
        <f>HYPERLINK("https://klasma.github.io/Logging_2283/fåglar/A 47647-2022 prioriterade fågelarter.docx", "A 47647-2022")</f>
        <v/>
      </c>
    </row>
    <row r="284" ht="15" customHeight="1">
      <c r="A284" t="inlineStr">
        <is>
          <t>A 26313-2024</t>
        </is>
      </c>
      <c r="B284" s="1" t="n">
        <v>45468</v>
      </c>
      <c r="C284" s="1" t="n">
        <v>46093</v>
      </c>
      <c r="D284" t="inlineStr">
        <is>
          <t>VÄSTERNORRLANDS LÄN</t>
        </is>
      </c>
      <c r="E284" t="inlineStr">
        <is>
          <t>ÅNGE</t>
        </is>
      </c>
      <c r="F284" t="inlineStr">
        <is>
          <t>SCA</t>
        </is>
      </c>
      <c r="G284" t="n">
        <v>30.9</v>
      </c>
      <c r="H284" t="n">
        <v>3</v>
      </c>
      <c r="I284" t="n">
        <v>0</v>
      </c>
      <c r="J284" t="n">
        <v>4</v>
      </c>
      <c r="K284" t="n">
        <v>1</v>
      </c>
      <c r="L284" t="n">
        <v>0</v>
      </c>
      <c r="M284" t="n">
        <v>0</v>
      </c>
      <c r="N284" t="n">
        <v>0</v>
      </c>
      <c r="O284" t="n">
        <v>5</v>
      </c>
      <c r="P284" t="n">
        <v>1</v>
      </c>
      <c r="Q284" t="n">
        <v>7</v>
      </c>
      <c r="R284" s="2" t="inlineStr">
        <is>
          <t>Knärot
Kortskaftad ärgspik
Lunglav
Mörk kolflarnlav
Nordtagging
Tjäder
Revlummer</t>
        </is>
      </c>
      <c r="S284">
        <f>HYPERLINK("https://klasma.github.io/Logging_2260/artfynd/A 26313-2024 artfynd.xlsx", "A 26313-2024")</f>
        <v/>
      </c>
      <c r="T284">
        <f>HYPERLINK("https://klasma.github.io/Logging_2260/kartor/A 26313-2024 karta.png", "A 26313-2024")</f>
        <v/>
      </c>
      <c r="U284">
        <f>HYPERLINK("https://klasma.github.io/Logging_2260/knärot/A 26313-2024 karta knärot.png", "A 26313-2024")</f>
        <v/>
      </c>
      <c r="V284">
        <f>HYPERLINK("https://klasma.github.io/Logging_2260/klagomål/A 26313-2024 FSC-klagomål.docx", "A 26313-2024")</f>
        <v/>
      </c>
      <c r="W284">
        <f>HYPERLINK("https://klasma.github.io/Logging_2260/klagomålsmail/A 26313-2024 FSC-klagomål mail.docx", "A 26313-2024")</f>
        <v/>
      </c>
      <c r="X284">
        <f>HYPERLINK("https://klasma.github.io/Logging_2260/tillsyn/A 26313-2024 tillsynsbegäran.docx", "A 26313-2024")</f>
        <v/>
      </c>
      <c r="Y284">
        <f>HYPERLINK("https://klasma.github.io/Logging_2260/tillsynsmail/A 26313-2024 tillsynsbegäran mail.docx", "A 26313-2024")</f>
        <v/>
      </c>
      <c r="Z284">
        <f>HYPERLINK("https://klasma.github.io/Logging_2260/fåglar/A 26313-2024 prioriterade fågelarter.docx", "A 26313-2024")</f>
        <v/>
      </c>
    </row>
    <row r="285" ht="15" customHeight="1">
      <c r="A285" t="inlineStr">
        <is>
          <t>A 48084-2023</t>
        </is>
      </c>
      <c r="B285" s="1" t="n">
        <v>45204</v>
      </c>
      <c r="C285" s="1" t="n">
        <v>46093</v>
      </c>
      <c r="D285" t="inlineStr">
        <is>
          <t>VÄSTERNORRLANDS LÄN</t>
        </is>
      </c>
      <c r="E285" t="inlineStr">
        <is>
          <t>TIMRÅ</t>
        </is>
      </c>
      <c r="F285" t="inlineStr">
        <is>
          <t>SCA</t>
        </is>
      </c>
      <c r="G285" t="n">
        <v>2.3</v>
      </c>
      <c r="H285" t="n">
        <v>2</v>
      </c>
      <c r="I285" t="n">
        <v>2</v>
      </c>
      <c r="J285" t="n">
        <v>2</v>
      </c>
      <c r="K285" t="n">
        <v>2</v>
      </c>
      <c r="L285" t="n">
        <v>0</v>
      </c>
      <c r="M285" t="n">
        <v>0</v>
      </c>
      <c r="N285" t="n">
        <v>0</v>
      </c>
      <c r="O285" t="n">
        <v>4</v>
      </c>
      <c r="P285" t="n">
        <v>2</v>
      </c>
      <c r="Q285" t="n">
        <v>7</v>
      </c>
      <c r="R285" s="2" t="inlineStr">
        <is>
          <t>Knärot
Rynkskinn
Orange taggsvamp
Ullticka
Strutbräken
Stuplav
Revlummer</t>
        </is>
      </c>
      <c r="S285">
        <f>HYPERLINK("https://klasma.github.io/Logging_2262/artfynd/A 48084-2023 artfynd.xlsx", "A 48084-2023")</f>
        <v/>
      </c>
      <c r="T285">
        <f>HYPERLINK("https://klasma.github.io/Logging_2262/kartor/A 48084-2023 karta.png", "A 48084-2023")</f>
        <v/>
      </c>
      <c r="U285">
        <f>HYPERLINK("https://klasma.github.io/Logging_2262/knärot/A 48084-2023 karta knärot.png", "A 48084-2023")</f>
        <v/>
      </c>
      <c r="V285">
        <f>HYPERLINK("https://klasma.github.io/Logging_2262/klagomål/A 48084-2023 FSC-klagomål.docx", "A 48084-2023")</f>
        <v/>
      </c>
      <c r="W285">
        <f>HYPERLINK("https://klasma.github.io/Logging_2262/klagomålsmail/A 48084-2023 FSC-klagomål mail.docx", "A 48084-2023")</f>
        <v/>
      </c>
      <c r="X285">
        <f>HYPERLINK("https://klasma.github.io/Logging_2262/tillsyn/A 48084-2023 tillsynsbegäran.docx", "A 48084-2023")</f>
        <v/>
      </c>
      <c r="Y285">
        <f>HYPERLINK("https://klasma.github.io/Logging_2262/tillsynsmail/A 48084-2023 tillsynsbegäran mail.docx", "A 48084-2023")</f>
        <v/>
      </c>
    </row>
    <row r="286" ht="15" customHeight="1">
      <c r="A286" t="inlineStr">
        <is>
          <t>A 59045-2022</t>
        </is>
      </c>
      <c r="B286" s="1" t="n">
        <v>44903</v>
      </c>
      <c r="C286" s="1" t="n">
        <v>46093</v>
      </c>
      <c r="D286" t="inlineStr">
        <is>
          <t>VÄSTERNORRLANDS LÄN</t>
        </is>
      </c>
      <c r="E286" t="inlineStr">
        <is>
          <t>SOLLEFTEÅ</t>
        </is>
      </c>
      <c r="F286" t="inlineStr">
        <is>
          <t>SCA</t>
        </is>
      </c>
      <c r="G286" t="n">
        <v>23.4</v>
      </c>
      <c r="H286" t="n">
        <v>1</v>
      </c>
      <c r="I286" t="n">
        <v>1</v>
      </c>
      <c r="J286" t="n">
        <v>6</v>
      </c>
      <c r="K286" t="n">
        <v>0</v>
      </c>
      <c r="L286" t="n">
        <v>0</v>
      </c>
      <c r="M286" t="n">
        <v>0</v>
      </c>
      <c r="N286" t="n">
        <v>0</v>
      </c>
      <c r="O286" t="n">
        <v>6</v>
      </c>
      <c r="P286" t="n">
        <v>0</v>
      </c>
      <c r="Q286" t="n">
        <v>7</v>
      </c>
      <c r="R286" s="2" t="inlineStr">
        <is>
          <t>Gammelgransskål
Garnlav
Granticka
Lunglav
Tretåig hackspett
Ullticka
Strutbräken</t>
        </is>
      </c>
      <c r="S286">
        <f>HYPERLINK("https://klasma.github.io/Logging_2283/artfynd/A 59045-2022 artfynd.xlsx", "A 59045-2022")</f>
        <v/>
      </c>
      <c r="T286">
        <f>HYPERLINK("https://klasma.github.io/Logging_2283/kartor/A 59045-2022 karta.png", "A 59045-2022")</f>
        <v/>
      </c>
      <c r="V286">
        <f>HYPERLINK("https://klasma.github.io/Logging_2283/klagomål/A 59045-2022 FSC-klagomål.docx", "A 59045-2022")</f>
        <v/>
      </c>
      <c r="W286">
        <f>HYPERLINK("https://klasma.github.io/Logging_2283/klagomålsmail/A 59045-2022 FSC-klagomål mail.docx", "A 59045-2022")</f>
        <v/>
      </c>
      <c r="X286">
        <f>HYPERLINK("https://klasma.github.io/Logging_2283/tillsyn/A 59045-2022 tillsynsbegäran.docx", "A 59045-2022")</f>
        <v/>
      </c>
      <c r="Y286">
        <f>HYPERLINK("https://klasma.github.io/Logging_2283/tillsynsmail/A 59045-2022 tillsynsbegäran mail.docx", "A 59045-2022")</f>
        <v/>
      </c>
      <c r="Z286">
        <f>HYPERLINK("https://klasma.github.io/Logging_2283/fåglar/A 59045-2022 prioriterade fågelarter.docx", "A 59045-2022")</f>
        <v/>
      </c>
    </row>
    <row r="287" ht="15" customHeight="1">
      <c r="A287" t="inlineStr">
        <is>
          <t>A 16933-2025</t>
        </is>
      </c>
      <c r="B287" s="1" t="n">
        <v>45755.4065625</v>
      </c>
      <c r="C287" s="1" t="n">
        <v>46093</v>
      </c>
      <c r="D287" t="inlineStr">
        <is>
          <t>VÄSTERNORRLANDS LÄN</t>
        </is>
      </c>
      <c r="E287" t="inlineStr">
        <is>
          <t>SUNDSVALL</t>
        </is>
      </c>
      <c r="F287" t="inlineStr">
        <is>
          <t>SCA</t>
        </is>
      </c>
      <c r="G287" t="n">
        <v>1.7</v>
      </c>
      <c r="H287" t="n">
        <v>6</v>
      </c>
      <c r="I287" t="n">
        <v>2</v>
      </c>
      <c r="J287" t="n">
        <v>3</v>
      </c>
      <c r="K287" t="n">
        <v>0</v>
      </c>
      <c r="L287" t="n">
        <v>0</v>
      </c>
      <c r="M287" t="n">
        <v>0</v>
      </c>
      <c r="N287" t="n">
        <v>0</v>
      </c>
      <c r="O287" t="n">
        <v>3</v>
      </c>
      <c r="P287" t="n">
        <v>0</v>
      </c>
      <c r="Q287" t="n">
        <v>7</v>
      </c>
      <c r="R287" s="2" t="inlineStr">
        <is>
          <t>Garnlav
Spillkråka
Tretåig hackspett
Spindelblomster
Tvåblad
Tjäder
Fläcknycklar</t>
        </is>
      </c>
      <c r="S287">
        <f>HYPERLINK("https://klasma.github.io/Logging_2281/artfynd/A 16933-2025 artfynd.xlsx", "A 16933-2025")</f>
        <v/>
      </c>
      <c r="T287">
        <f>HYPERLINK("https://klasma.github.io/Logging_2281/kartor/A 16933-2025 karta.png", "A 16933-2025")</f>
        <v/>
      </c>
      <c r="V287">
        <f>HYPERLINK("https://klasma.github.io/Logging_2281/klagomål/A 16933-2025 FSC-klagomål.docx", "A 16933-2025")</f>
        <v/>
      </c>
      <c r="W287">
        <f>HYPERLINK("https://klasma.github.io/Logging_2281/klagomålsmail/A 16933-2025 FSC-klagomål mail.docx", "A 16933-2025")</f>
        <v/>
      </c>
      <c r="X287">
        <f>HYPERLINK("https://klasma.github.io/Logging_2281/tillsyn/A 16933-2025 tillsynsbegäran.docx", "A 16933-2025")</f>
        <v/>
      </c>
      <c r="Y287">
        <f>HYPERLINK("https://klasma.github.io/Logging_2281/tillsynsmail/A 16933-2025 tillsynsbegäran mail.docx", "A 16933-2025")</f>
        <v/>
      </c>
      <c r="Z287">
        <f>HYPERLINK("https://klasma.github.io/Logging_2281/fåglar/A 16933-2025 prioriterade fågelarter.docx", "A 16933-2025")</f>
        <v/>
      </c>
    </row>
    <row r="288" ht="15" customHeight="1">
      <c r="A288" t="inlineStr">
        <is>
          <t>A 21253-2025</t>
        </is>
      </c>
      <c r="B288" s="1" t="n">
        <v>45779</v>
      </c>
      <c r="C288" s="1" t="n">
        <v>46093</v>
      </c>
      <c r="D288" t="inlineStr">
        <is>
          <t>VÄSTERNORRLANDS LÄN</t>
        </is>
      </c>
      <c r="E288" t="inlineStr">
        <is>
          <t>SOLLEFTEÅ</t>
        </is>
      </c>
      <c r="G288" t="n">
        <v>10.2</v>
      </c>
      <c r="H288" t="n">
        <v>2</v>
      </c>
      <c r="I288" t="n">
        <v>1</v>
      </c>
      <c r="J288" t="n">
        <v>3</v>
      </c>
      <c r="K288" t="n">
        <v>1</v>
      </c>
      <c r="L288" t="n">
        <v>0</v>
      </c>
      <c r="M288" t="n">
        <v>0</v>
      </c>
      <c r="N288" t="n">
        <v>0</v>
      </c>
      <c r="O288" t="n">
        <v>4</v>
      </c>
      <c r="P288" t="n">
        <v>1</v>
      </c>
      <c r="Q288" t="n">
        <v>7</v>
      </c>
      <c r="R288" s="2" t="inlineStr">
        <is>
          <t>Rynkskinn
Doftskinn
Rosenticka
Ullticka
Stor aspticka
Fläcknycklar
Revlummer</t>
        </is>
      </c>
      <c r="S288">
        <f>HYPERLINK("https://klasma.github.io/Logging_2283/artfynd/A 21253-2025 artfynd.xlsx", "A 21253-2025")</f>
        <v/>
      </c>
      <c r="T288">
        <f>HYPERLINK("https://klasma.github.io/Logging_2283/kartor/A 21253-2025 karta.png", "A 21253-2025")</f>
        <v/>
      </c>
      <c r="V288">
        <f>HYPERLINK("https://klasma.github.io/Logging_2283/klagomål/A 21253-2025 FSC-klagomål.docx", "A 21253-2025")</f>
        <v/>
      </c>
      <c r="W288">
        <f>HYPERLINK("https://klasma.github.io/Logging_2283/klagomålsmail/A 21253-2025 FSC-klagomål mail.docx", "A 21253-2025")</f>
        <v/>
      </c>
      <c r="X288">
        <f>HYPERLINK("https://klasma.github.io/Logging_2283/tillsyn/A 21253-2025 tillsynsbegäran.docx", "A 21253-2025")</f>
        <v/>
      </c>
      <c r="Y288">
        <f>HYPERLINK("https://klasma.github.io/Logging_2283/tillsynsmail/A 21253-2025 tillsynsbegäran mail.docx", "A 21253-2025")</f>
        <v/>
      </c>
    </row>
    <row r="289" ht="15" customHeight="1">
      <c r="A289" t="inlineStr">
        <is>
          <t>A 46116-2025</t>
        </is>
      </c>
      <c r="B289" s="1" t="n">
        <v>45924.57364583333</v>
      </c>
      <c r="C289" s="1" t="n">
        <v>46093</v>
      </c>
      <c r="D289" t="inlineStr">
        <is>
          <t>VÄSTERNORRLANDS LÄN</t>
        </is>
      </c>
      <c r="E289" t="inlineStr">
        <is>
          <t>TIMRÅ</t>
        </is>
      </c>
      <c r="F289" t="inlineStr">
        <is>
          <t>SCA</t>
        </is>
      </c>
      <c r="G289" t="n">
        <v>4.5</v>
      </c>
      <c r="H289" t="n">
        <v>2</v>
      </c>
      <c r="I289" t="n">
        <v>1</v>
      </c>
      <c r="J289" t="n">
        <v>5</v>
      </c>
      <c r="K289" t="n">
        <v>1</v>
      </c>
      <c r="L289" t="n">
        <v>0</v>
      </c>
      <c r="M289" t="n">
        <v>0</v>
      </c>
      <c r="N289" t="n">
        <v>0</v>
      </c>
      <c r="O289" t="n">
        <v>6</v>
      </c>
      <c r="P289" t="n">
        <v>1</v>
      </c>
      <c r="Q289" t="n">
        <v>7</v>
      </c>
      <c r="R289" s="2" t="inlineStr">
        <is>
          <t>Knärot
Garnlav
Gränsticka
Lunglav
Tretåig hackspett
Ullticka
Vedticka</t>
        </is>
      </c>
      <c r="S289">
        <f>HYPERLINK("https://klasma.github.io/Logging_2262/artfynd/A 46116-2025 artfynd.xlsx", "A 46116-2025")</f>
        <v/>
      </c>
      <c r="T289">
        <f>HYPERLINK("https://klasma.github.io/Logging_2262/kartor/A 46116-2025 karta.png", "A 46116-2025")</f>
        <v/>
      </c>
      <c r="U289">
        <f>HYPERLINK("https://klasma.github.io/Logging_2262/knärot/A 46116-2025 karta knärot.png", "A 46116-2025")</f>
        <v/>
      </c>
      <c r="V289">
        <f>HYPERLINK("https://klasma.github.io/Logging_2262/klagomål/A 46116-2025 FSC-klagomål.docx", "A 46116-2025")</f>
        <v/>
      </c>
      <c r="W289">
        <f>HYPERLINK("https://klasma.github.io/Logging_2262/klagomålsmail/A 46116-2025 FSC-klagomål mail.docx", "A 46116-2025")</f>
        <v/>
      </c>
      <c r="X289">
        <f>HYPERLINK("https://klasma.github.io/Logging_2262/tillsyn/A 46116-2025 tillsynsbegäran.docx", "A 46116-2025")</f>
        <v/>
      </c>
      <c r="Y289">
        <f>HYPERLINK("https://klasma.github.io/Logging_2262/tillsynsmail/A 46116-2025 tillsynsbegäran mail.docx", "A 46116-2025")</f>
        <v/>
      </c>
      <c r="Z289">
        <f>HYPERLINK("https://klasma.github.io/Logging_2262/fåglar/A 46116-2025 prioriterade fågelarter.docx", "A 46116-2025")</f>
        <v/>
      </c>
    </row>
    <row r="290" ht="15" customHeight="1">
      <c r="A290" t="inlineStr">
        <is>
          <t>A 48506-2023</t>
        </is>
      </c>
      <c r="B290" s="1" t="n">
        <v>45207</v>
      </c>
      <c r="C290" s="1" t="n">
        <v>46093</v>
      </c>
      <c r="D290" t="inlineStr">
        <is>
          <t>VÄSTERNORRLANDS LÄN</t>
        </is>
      </c>
      <c r="E290" t="inlineStr">
        <is>
          <t>SUNDSVALL</t>
        </is>
      </c>
      <c r="F290" t="inlineStr">
        <is>
          <t>SCA</t>
        </is>
      </c>
      <c r="G290" t="n">
        <v>2.3</v>
      </c>
      <c r="H290" t="n">
        <v>2</v>
      </c>
      <c r="I290" t="n">
        <v>1</v>
      </c>
      <c r="J290" t="n">
        <v>5</v>
      </c>
      <c r="K290" t="n">
        <v>1</v>
      </c>
      <c r="L290" t="n">
        <v>0</v>
      </c>
      <c r="M290" t="n">
        <v>0</v>
      </c>
      <c r="N290" t="n">
        <v>0</v>
      </c>
      <c r="O290" t="n">
        <v>6</v>
      </c>
      <c r="P290" t="n">
        <v>1</v>
      </c>
      <c r="Q290" t="n">
        <v>7</v>
      </c>
      <c r="R290" s="2" t="inlineStr">
        <is>
          <t>Knärot
Gränsticka
Lunglav
Rosenticka
Tretåig hackspett
Ullticka
Bårdlav</t>
        </is>
      </c>
      <c r="S290">
        <f>HYPERLINK("https://klasma.github.io/Logging_2281/artfynd/A 48506-2023 artfynd.xlsx", "A 48506-2023")</f>
        <v/>
      </c>
      <c r="T290">
        <f>HYPERLINK("https://klasma.github.io/Logging_2281/kartor/A 48506-2023 karta.png", "A 48506-2023")</f>
        <v/>
      </c>
      <c r="U290">
        <f>HYPERLINK("https://klasma.github.io/Logging_2281/knärot/A 48506-2023 karta knärot.png", "A 48506-2023")</f>
        <v/>
      </c>
      <c r="V290">
        <f>HYPERLINK("https://klasma.github.io/Logging_2281/klagomål/A 48506-2023 FSC-klagomål.docx", "A 48506-2023")</f>
        <v/>
      </c>
      <c r="W290">
        <f>HYPERLINK("https://klasma.github.io/Logging_2281/klagomålsmail/A 48506-2023 FSC-klagomål mail.docx", "A 48506-2023")</f>
        <v/>
      </c>
      <c r="X290">
        <f>HYPERLINK("https://klasma.github.io/Logging_2281/tillsyn/A 48506-2023 tillsynsbegäran.docx", "A 48506-2023")</f>
        <v/>
      </c>
      <c r="Y290">
        <f>HYPERLINK("https://klasma.github.io/Logging_2281/tillsynsmail/A 48506-2023 tillsynsbegäran mail.docx", "A 48506-2023")</f>
        <v/>
      </c>
      <c r="Z290">
        <f>HYPERLINK("https://klasma.github.io/Logging_2281/fåglar/A 48506-2023 prioriterade fågelarter.docx", "A 48506-2023")</f>
        <v/>
      </c>
    </row>
    <row r="291" ht="15" customHeight="1">
      <c r="A291" t="inlineStr">
        <is>
          <t>A 21682-2023</t>
        </is>
      </c>
      <c r="B291" s="1" t="n">
        <v>45063.94219907407</v>
      </c>
      <c r="C291" s="1" t="n">
        <v>46093</v>
      </c>
      <c r="D291" t="inlineStr">
        <is>
          <t>VÄSTERNORRLANDS LÄN</t>
        </is>
      </c>
      <c r="E291" t="inlineStr">
        <is>
          <t>ÅNGE</t>
        </is>
      </c>
      <c r="F291" t="inlineStr">
        <is>
          <t>SCA</t>
        </is>
      </c>
      <c r="G291" t="n">
        <v>4.9</v>
      </c>
      <c r="H291" t="n">
        <v>1</v>
      </c>
      <c r="I291" t="n">
        <v>1</v>
      </c>
      <c r="J291" t="n">
        <v>5</v>
      </c>
      <c r="K291" t="n">
        <v>0</v>
      </c>
      <c r="L291" t="n">
        <v>0</v>
      </c>
      <c r="M291" t="n">
        <v>0</v>
      </c>
      <c r="N291" t="n">
        <v>0</v>
      </c>
      <c r="O291" t="n">
        <v>5</v>
      </c>
      <c r="P291" t="n">
        <v>0</v>
      </c>
      <c r="Q291" t="n">
        <v>7</v>
      </c>
      <c r="R291" s="2" t="inlineStr">
        <is>
          <t>Garnlav
Kolflarnlav
Lunglav
Mörk kolflarnlav
Vedskivlav
Dropptaggsvamp
Tjäder</t>
        </is>
      </c>
      <c r="S291">
        <f>HYPERLINK("https://klasma.github.io/Logging_2260/artfynd/A 21682-2023 artfynd.xlsx", "A 21682-2023")</f>
        <v/>
      </c>
      <c r="T291">
        <f>HYPERLINK("https://klasma.github.io/Logging_2260/kartor/A 21682-2023 karta.png", "A 21682-2023")</f>
        <v/>
      </c>
      <c r="V291">
        <f>HYPERLINK("https://klasma.github.io/Logging_2260/klagomål/A 21682-2023 FSC-klagomål.docx", "A 21682-2023")</f>
        <v/>
      </c>
      <c r="W291">
        <f>HYPERLINK("https://klasma.github.io/Logging_2260/klagomålsmail/A 21682-2023 FSC-klagomål mail.docx", "A 21682-2023")</f>
        <v/>
      </c>
      <c r="X291">
        <f>HYPERLINK("https://klasma.github.io/Logging_2260/tillsyn/A 21682-2023 tillsynsbegäran.docx", "A 21682-2023")</f>
        <v/>
      </c>
      <c r="Y291">
        <f>HYPERLINK("https://klasma.github.io/Logging_2260/tillsynsmail/A 21682-2023 tillsynsbegäran mail.docx", "A 21682-2023")</f>
        <v/>
      </c>
      <c r="Z291">
        <f>HYPERLINK("https://klasma.github.io/Logging_2260/fåglar/A 21682-2023 prioriterade fågelarter.docx", "A 21682-2023")</f>
        <v/>
      </c>
    </row>
    <row r="292" ht="15" customHeight="1">
      <c r="A292" t="inlineStr">
        <is>
          <t>A 62992-2023</t>
        </is>
      </c>
      <c r="B292" s="1" t="n">
        <v>45272</v>
      </c>
      <c r="C292" s="1" t="n">
        <v>46093</v>
      </c>
      <c r="D292" t="inlineStr">
        <is>
          <t>VÄSTERNORRLANDS LÄN</t>
        </is>
      </c>
      <c r="E292" t="inlineStr">
        <is>
          <t>SOLLEFTEÅ</t>
        </is>
      </c>
      <c r="F292" t="inlineStr">
        <is>
          <t>Övriga Aktiebolag</t>
        </is>
      </c>
      <c r="G292" t="n">
        <v>16.7</v>
      </c>
      <c r="H292" t="n">
        <v>2</v>
      </c>
      <c r="I292" t="n">
        <v>2</v>
      </c>
      <c r="J292" t="n">
        <v>5</v>
      </c>
      <c r="K292" t="n">
        <v>0</v>
      </c>
      <c r="L292" t="n">
        <v>0</v>
      </c>
      <c r="M292" t="n">
        <v>0</v>
      </c>
      <c r="N292" t="n">
        <v>0</v>
      </c>
      <c r="O292" t="n">
        <v>5</v>
      </c>
      <c r="P292" t="n">
        <v>0</v>
      </c>
      <c r="Q292" t="n">
        <v>7</v>
      </c>
      <c r="R292" s="2" t="inlineStr">
        <is>
          <t>Gammelgransskål
Garnlav
Harticka
Rosenticka
Tretåig hackspett
Mörk husmossa
Spindelblomster</t>
        </is>
      </c>
      <c r="S292">
        <f>HYPERLINK("https://klasma.github.io/Logging_2283/artfynd/A 62992-2023 artfynd.xlsx", "A 62992-2023")</f>
        <v/>
      </c>
      <c r="T292">
        <f>HYPERLINK("https://klasma.github.io/Logging_2283/kartor/A 62992-2023 karta.png", "A 62992-2023")</f>
        <v/>
      </c>
      <c r="V292">
        <f>HYPERLINK("https://klasma.github.io/Logging_2283/klagomål/A 62992-2023 FSC-klagomål.docx", "A 62992-2023")</f>
        <v/>
      </c>
      <c r="W292">
        <f>HYPERLINK("https://klasma.github.io/Logging_2283/klagomålsmail/A 62992-2023 FSC-klagomål mail.docx", "A 62992-2023")</f>
        <v/>
      </c>
      <c r="X292">
        <f>HYPERLINK("https://klasma.github.io/Logging_2283/tillsyn/A 62992-2023 tillsynsbegäran.docx", "A 62992-2023")</f>
        <v/>
      </c>
      <c r="Y292">
        <f>HYPERLINK("https://klasma.github.io/Logging_2283/tillsynsmail/A 62992-2023 tillsynsbegäran mail.docx", "A 62992-2023")</f>
        <v/>
      </c>
      <c r="Z292">
        <f>HYPERLINK("https://klasma.github.io/Logging_2283/fåglar/A 62992-2023 prioriterade fågelarter.docx", "A 62992-2023")</f>
        <v/>
      </c>
    </row>
    <row r="293" ht="15" customHeight="1">
      <c r="A293" t="inlineStr">
        <is>
          <t>A 26654-2024</t>
        </is>
      </c>
      <c r="B293" s="1" t="n">
        <v>45469</v>
      </c>
      <c r="C293" s="1" t="n">
        <v>46093</v>
      </c>
      <c r="D293" t="inlineStr">
        <is>
          <t>VÄSTERNORRLANDS LÄN</t>
        </is>
      </c>
      <c r="E293" t="inlineStr">
        <is>
          <t>SOLLEFTEÅ</t>
        </is>
      </c>
      <c r="F293" t="inlineStr">
        <is>
          <t>SCA</t>
        </is>
      </c>
      <c r="G293" t="n">
        <v>7</v>
      </c>
      <c r="H293" t="n">
        <v>1</v>
      </c>
      <c r="I293" t="n">
        <v>2</v>
      </c>
      <c r="J293" t="n">
        <v>3</v>
      </c>
      <c r="K293" t="n">
        <v>2</v>
      </c>
      <c r="L293" t="n">
        <v>0</v>
      </c>
      <c r="M293" t="n">
        <v>0</v>
      </c>
      <c r="N293" t="n">
        <v>0</v>
      </c>
      <c r="O293" t="n">
        <v>5</v>
      </c>
      <c r="P293" t="n">
        <v>2</v>
      </c>
      <c r="Q293" t="n">
        <v>7</v>
      </c>
      <c r="R293" s="2" t="inlineStr">
        <is>
          <t>Knärot
Ulltickeporing
Garnlav
Harticka
Ullticka
Bårdlav
Skinnlav</t>
        </is>
      </c>
      <c r="S293">
        <f>HYPERLINK("https://klasma.github.io/Logging_2283/artfynd/A 26654-2024 artfynd.xlsx", "A 26654-2024")</f>
        <v/>
      </c>
      <c r="T293">
        <f>HYPERLINK("https://klasma.github.io/Logging_2283/kartor/A 26654-2024 karta.png", "A 26654-2024")</f>
        <v/>
      </c>
      <c r="U293">
        <f>HYPERLINK("https://klasma.github.io/Logging_2283/knärot/A 26654-2024 karta knärot.png", "A 26654-2024")</f>
        <v/>
      </c>
      <c r="V293">
        <f>HYPERLINK("https://klasma.github.io/Logging_2283/klagomål/A 26654-2024 FSC-klagomål.docx", "A 26654-2024")</f>
        <v/>
      </c>
      <c r="W293">
        <f>HYPERLINK("https://klasma.github.io/Logging_2283/klagomålsmail/A 26654-2024 FSC-klagomål mail.docx", "A 26654-2024")</f>
        <v/>
      </c>
      <c r="X293">
        <f>HYPERLINK("https://klasma.github.io/Logging_2283/tillsyn/A 26654-2024 tillsynsbegäran.docx", "A 26654-2024")</f>
        <v/>
      </c>
      <c r="Y293">
        <f>HYPERLINK("https://klasma.github.io/Logging_2283/tillsynsmail/A 26654-2024 tillsynsbegäran mail.docx", "A 26654-2024")</f>
        <v/>
      </c>
    </row>
    <row r="294" ht="15" customHeight="1">
      <c r="A294" t="inlineStr">
        <is>
          <t>A 38157-2025</t>
        </is>
      </c>
      <c r="B294" s="1" t="n">
        <v>45882.61505787037</v>
      </c>
      <c r="C294" s="1" t="n">
        <v>46093</v>
      </c>
      <c r="D294" t="inlineStr">
        <is>
          <t>VÄSTERNORRLANDS LÄN</t>
        </is>
      </c>
      <c r="E294" t="inlineStr">
        <is>
          <t>SOLLEFTEÅ</t>
        </is>
      </c>
      <c r="F294" t="inlineStr">
        <is>
          <t>SCA</t>
        </is>
      </c>
      <c r="G294" t="n">
        <v>14.9</v>
      </c>
      <c r="H294" t="n">
        <v>0</v>
      </c>
      <c r="I294" t="n">
        <v>0</v>
      </c>
      <c r="J294" t="n">
        <v>4</v>
      </c>
      <c r="K294" t="n">
        <v>3</v>
      </c>
      <c r="L294" t="n">
        <v>0</v>
      </c>
      <c r="M294" t="n">
        <v>0</v>
      </c>
      <c r="N294" t="n">
        <v>0</v>
      </c>
      <c r="O294" t="n">
        <v>7</v>
      </c>
      <c r="P294" t="n">
        <v>3</v>
      </c>
      <c r="Q294" t="n">
        <v>7</v>
      </c>
      <c r="R294" s="2" t="inlineStr">
        <is>
          <t>Fläckporing
Smalfotad taggsvamp
Tajgataggsvamp
Blå taggsvamp
Dvärgbägarlav
Lunglav
Vedskivlav</t>
        </is>
      </c>
      <c r="S294">
        <f>HYPERLINK("https://klasma.github.io/Logging_2283/artfynd/A 38157-2025 artfynd.xlsx", "A 38157-2025")</f>
        <v/>
      </c>
      <c r="T294">
        <f>HYPERLINK("https://klasma.github.io/Logging_2283/kartor/A 38157-2025 karta.png", "A 38157-2025")</f>
        <v/>
      </c>
      <c r="V294">
        <f>HYPERLINK("https://klasma.github.io/Logging_2283/klagomål/A 38157-2025 FSC-klagomål.docx", "A 38157-2025")</f>
        <v/>
      </c>
      <c r="W294">
        <f>HYPERLINK("https://klasma.github.io/Logging_2283/klagomålsmail/A 38157-2025 FSC-klagomål mail.docx", "A 38157-2025")</f>
        <v/>
      </c>
      <c r="X294">
        <f>HYPERLINK("https://klasma.github.io/Logging_2283/tillsyn/A 38157-2025 tillsynsbegäran.docx", "A 38157-2025")</f>
        <v/>
      </c>
      <c r="Y294">
        <f>HYPERLINK("https://klasma.github.io/Logging_2283/tillsynsmail/A 38157-2025 tillsynsbegäran mail.docx", "A 38157-2025")</f>
        <v/>
      </c>
    </row>
    <row r="295" ht="15" customHeight="1">
      <c r="A295" t="inlineStr">
        <is>
          <t>A 55334-2025</t>
        </is>
      </c>
      <c r="B295" s="1" t="n">
        <v>45971.34430555555</v>
      </c>
      <c r="C295" s="1" t="n">
        <v>46093</v>
      </c>
      <c r="D295" t="inlineStr">
        <is>
          <t>VÄSTERNORRLANDS LÄN</t>
        </is>
      </c>
      <c r="E295" t="inlineStr">
        <is>
          <t>SOLLEFTEÅ</t>
        </is>
      </c>
      <c r="F295" t="inlineStr">
        <is>
          <t>SCA</t>
        </is>
      </c>
      <c r="G295" t="n">
        <v>3.7</v>
      </c>
      <c r="H295" t="n">
        <v>4</v>
      </c>
      <c r="I295" t="n">
        <v>1</v>
      </c>
      <c r="J295" t="n">
        <v>4</v>
      </c>
      <c r="K295" t="n">
        <v>0</v>
      </c>
      <c r="L295" t="n">
        <v>0</v>
      </c>
      <c r="M295" t="n">
        <v>0</v>
      </c>
      <c r="N295" t="n">
        <v>0</v>
      </c>
      <c r="O295" t="n">
        <v>4</v>
      </c>
      <c r="P295" t="n">
        <v>0</v>
      </c>
      <c r="Q295" t="n">
        <v>7</v>
      </c>
      <c r="R295" s="2" t="inlineStr">
        <is>
          <t>Gammelgransskål
Granticka
Tretåig hackspett
Ullticka
Korallrot
Vanlig padda
Fläcknycklar</t>
        </is>
      </c>
      <c r="S295">
        <f>HYPERLINK("https://klasma.github.io/Logging_2283/artfynd/A 55334-2025 artfynd.xlsx", "A 55334-2025")</f>
        <v/>
      </c>
      <c r="T295">
        <f>HYPERLINK("https://klasma.github.io/Logging_2283/kartor/A 55334-2025 karta.png", "A 55334-2025")</f>
        <v/>
      </c>
      <c r="V295">
        <f>HYPERLINK("https://klasma.github.io/Logging_2283/klagomål/A 55334-2025 FSC-klagomål.docx", "A 55334-2025")</f>
        <v/>
      </c>
      <c r="W295">
        <f>HYPERLINK("https://klasma.github.io/Logging_2283/klagomålsmail/A 55334-2025 FSC-klagomål mail.docx", "A 55334-2025")</f>
        <v/>
      </c>
      <c r="X295">
        <f>HYPERLINK("https://klasma.github.io/Logging_2283/tillsyn/A 55334-2025 tillsynsbegäran.docx", "A 55334-2025")</f>
        <v/>
      </c>
      <c r="Y295">
        <f>HYPERLINK("https://klasma.github.io/Logging_2283/tillsynsmail/A 55334-2025 tillsynsbegäran mail.docx", "A 55334-2025")</f>
        <v/>
      </c>
      <c r="Z295">
        <f>HYPERLINK("https://klasma.github.io/Logging_2283/fåglar/A 55334-2025 prioriterade fågelarter.docx", "A 55334-2025")</f>
        <v/>
      </c>
    </row>
    <row r="296" ht="15" customHeight="1">
      <c r="A296" t="inlineStr">
        <is>
          <t>A 59005-2025</t>
        </is>
      </c>
      <c r="B296" s="1" t="n">
        <v>45987</v>
      </c>
      <c r="C296" s="1" t="n">
        <v>46093</v>
      </c>
      <c r="D296" t="inlineStr">
        <is>
          <t>VÄSTERNORRLANDS LÄN</t>
        </is>
      </c>
      <c r="E296" t="inlineStr">
        <is>
          <t>ÖRNSKÖLDSVIK</t>
        </is>
      </c>
      <c r="F296" t="inlineStr">
        <is>
          <t>SCA</t>
        </is>
      </c>
      <c r="G296" t="n">
        <v>14.7</v>
      </c>
      <c r="H296" t="n">
        <v>1</v>
      </c>
      <c r="I296" t="n">
        <v>0</v>
      </c>
      <c r="J296" t="n">
        <v>6</v>
      </c>
      <c r="K296" t="n">
        <v>1</v>
      </c>
      <c r="L296" t="n">
        <v>0</v>
      </c>
      <c r="M296" t="n">
        <v>0</v>
      </c>
      <c r="N296" t="n">
        <v>0</v>
      </c>
      <c r="O296" t="n">
        <v>7</v>
      </c>
      <c r="P296" t="n">
        <v>1</v>
      </c>
      <c r="Q296" t="n">
        <v>7</v>
      </c>
      <c r="R296" s="2" t="inlineStr">
        <is>
          <t>Rynkskinn
Duvhök
Gammelgransskål
Garnlav
Lunglav
Rosenticka
Stjärntagging</t>
        </is>
      </c>
      <c r="S296">
        <f>HYPERLINK("https://klasma.github.io/Logging_2284/artfynd/A 59005-2025 artfynd.xlsx", "A 59005-2025")</f>
        <v/>
      </c>
      <c r="T296">
        <f>HYPERLINK("https://klasma.github.io/Logging_2284/kartor/A 59005-2025 karta.png", "A 59005-2025")</f>
        <v/>
      </c>
      <c r="V296">
        <f>HYPERLINK("https://klasma.github.io/Logging_2284/klagomål/A 59005-2025 FSC-klagomål.docx", "A 59005-2025")</f>
        <v/>
      </c>
      <c r="W296">
        <f>HYPERLINK("https://klasma.github.io/Logging_2284/klagomålsmail/A 59005-2025 FSC-klagomål mail.docx", "A 59005-2025")</f>
        <v/>
      </c>
      <c r="X296">
        <f>HYPERLINK("https://klasma.github.io/Logging_2284/tillsyn/A 59005-2025 tillsynsbegäran.docx", "A 59005-2025")</f>
        <v/>
      </c>
      <c r="Y296">
        <f>HYPERLINK("https://klasma.github.io/Logging_2284/tillsynsmail/A 59005-2025 tillsynsbegäran mail.docx", "A 59005-2025")</f>
        <v/>
      </c>
      <c r="Z296">
        <f>HYPERLINK("https://klasma.github.io/Logging_2284/fåglar/A 59005-2025 prioriterade fågelarter.docx", "A 59005-2025")</f>
        <v/>
      </c>
    </row>
    <row r="297" ht="15" customHeight="1">
      <c r="A297" t="inlineStr">
        <is>
          <t>A 57858-2022</t>
        </is>
      </c>
      <c r="B297" s="1" t="n">
        <v>44898</v>
      </c>
      <c r="C297" s="1" t="n">
        <v>46093</v>
      </c>
      <c r="D297" t="inlineStr">
        <is>
          <t>VÄSTERNORRLANDS LÄN</t>
        </is>
      </c>
      <c r="E297" t="inlineStr">
        <is>
          <t>ÖRNSKÖLDSVIK</t>
        </is>
      </c>
      <c r="F297" t="inlineStr">
        <is>
          <t>SCA</t>
        </is>
      </c>
      <c r="G297" t="n">
        <v>4.8</v>
      </c>
      <c r="H297" t="n">
        <v>4</v>
      </c>
      <c r="I297" t="n">
        <v>1</v>
      </c>
      <c r="J297" t="n">
        <v>4</v>
      </c>
      <c r="K297" t="n">
        <v>1</v>
      </c>
      <c r="L297" t="n">
        <v>0</v>
      </c>
      <c r="M297" t="n">
        <v>0</v>
      </c>
      <c r="N297" t="n">
        <v>0</v>
      </c>
      <c r="O297" t="n">
        <v>5</v>
      </c>
      <c r="P297" t="n">
        <v>1</v>
      </c>
      <c r="Q297" t="n">
        <v>7</v>
      </c>
      <c r="R297" s="2" t="inlineStr">
        <is>
          <t>Knärot
Garnlav
Kolflarnlav
Lunglav
Tretåig hackspett
Plattlummer
Lavskrika</t>
        </is>
      </c>
      <c r="S297">
        <f>HYPERLINK("https://klasma.github.io/Logging_2284/artfynd/A 57858-2022 artfynd.xlsx", "A 57858-2022")</f>
        <v/>
      </c>
      <c r="T297">
        <f>HYPERLINK("https://klasma.github.io/Logging_2284/kartor/A 57858-2022 karta.png", "A 57858-2022")</f>
        <v/>
      </c>
      <c r="U297">
        <f>HYPERLINK("https://klasma.github.io/Logging_2284/knärot/A 57858-2022 karta knärot.png", "A 57858-2022")</f>
        <v/>
      </c>
      <c r="V297">
        <f>HYPERLINK("https://klasma.github.io/Logging_2284/klagomål/A 57858-2022 FSC-klagomål.docx", "A 57858-2022")</f>
        <v/>
      </c>
      <c r="W297">
        <f>HYPERLINK("https://klasma.github.io/Logging_2284/klagomålsmail/A 57858-2022 FSC-klagomål mail.docx", "A 57858-2022")</f>
        <v/>
      </c>
      <c r="X297">
        <f>HYPERLINK("https://klasma.github.io/Logging_2284/tillsyn/A 57858-2022 tillsynsbegäran.docx", "A 57858-2022")</f>
        <v/>
      </c>
      <c r="Y297">
        <f>HYPERLINK("https://klasma.github.io/Logging_2284/tillsynsmail/A 57858-2022 tillsynsbegäran mail.docx", "A 57858-2022")</f>
        <v/>
      </c>
      <c r="Z297">
        <f>HYPERLINK("https://klasma.github.io/Logging_2284/fåglar/A 57858-2022 prioriterade fågelarter.docx", "A 57858-2022")</f>
        <v/>
      </c>
    </row>
    <row r="298" ht="15" customHeight="1">
      <c r="A298" t="inlineStr">
        <is>
          <t>A 13443-2025</t>
        </is>
      </c>
      <c r="B298" s="1" t="n">
        <v>45736</v>
      </c>
      <c r="C298" s="1" t="n">
        <v>46093</v>
      </c>
      <c r="D298" t="inlineStr">
        <is>
          <t>VÄSTERNORRLANDS LÄN</t>
        </is>
      </c>
      <c r="E298" t="inlineStr">
        <is>
          <t>SUNDSVALL</t>
        </is>
      </c>
      <c r="F298" t="inlineStr">
        <is>
          <t>SCA</t>
        </is>
      </c>
      <c r="G298" t="n">
        <v>12.5</v>
      </c>
      <c r="H298" t="n">
        <v>5</v>
      </c>
      <c r="I298" t="n">
        <v>3</v>
      </c>
      <c r="J298" t="n">
        <v>2</v>
      </c>
      <c r="K298" t="n">
        <v>0</v>
      </c>
      <c r="L298" t="n">
        <v>0</v>
      </c>
      <c r="M298" t="n">
        <v>0</v>
      </c>
      <c r="N298" t="n">
        <v>0</v>
      </c>
      <c r="O298" t="n">
        <v>2</v>
      </c>
      <c r="P298" t="n">
        <v>0</v>
      </c>
      <c r="Q298" t="n">
        <v>7</v>
      </c>
      <c r="R298" s="2" t="inlineStr">
        <is>
          <t>Orange taggsvamp
Skogsfru
Kattfotslav
Spindelblomster
Tvåblad
Fläcknycklar
Nattviol</t>
        </is>
      </c>
      <c r="S298">
        <f>HYPERLINK("https://klasma.github.io/Logging_2281/artfynd/A 13443-2025 artfynd.xlsx", "A 13443-2025")</f>
        <v/>
      </c>
      <c r="T298">
        <f>HYPERLINK("https://klasma.github.io/Logging_2281/kartor/A 13443-2025 karta.png", "A 13443-2025")</f>
        <v/>
      </c>
      <c r="U298">
        <f>HYPERLINK("https://klasma.github.io/Logging_2281/knärot/A 13443-2025 karta knärot.png", "A 13443-2025")</f>
        <v/>
      </c>
      <c r="V298">
        <f>HYPERLINK("https://klasma.github.io/Logging_2281/klagomål/A 13443-2025 FSC-klagomål.docx", "A 13443-2025")</f>
        <v/>
      </c>
      <c r="W298">
        <f>HYPERLINK("https://klasma.github.io/Logging_2281/klagomålsmail/A 13443-2025 FSC-klagomål mail.docx", "A 13443-2025")</f>
        <v/>
      </c>
      <c r="X298">
        <f>HYPERLINK("https://klasma.github.io/Logging_2281/tillsyn/A 13443-2025 tillsynsbegäran.docx", "A 13443-2025")</f>
        <v/>
      </c>
      <c r="Y298">
        <f>HYPERLINK("https://klasma.github.io/Logging_2281/tillsynsmail/A 13443-2025 tillsynsbegäran mail.docx", "A 13443-2025")</f>
        <v/>
      </c>
    </row>
    <row r="299" ht="15" customHeight="1">
      <c r="A299" t="inlineStr">
        <is>
          <t>A 60240-2025</t>
        </is>
      </c>
      <c r="B299" s="1" t="n">
        <v>45994.57857638889</v>
      </c>
      <c r="C299" s="1" t="n">
        <v>46093</v>
      </c>
      <c r="D299" t="inlineStr">
        <is>
          <t>VÄSTERNORRLANDS LÄN</t>
        </is>
      </c>
      <c r="E299" t="inlineStr">
        <is>
          <t>ÅNGE</t>
        </is>
      </c>
      <c r="F299" t="inlineStr">
        <is>
          <t>Sveaskog</t>
        </is>
      </c>
      <c r="G299" t="n">
        <v>5.5</v>
      </c>
      <c r="H299" t="n">
        <v>3</v>
      </c>
      <c r="I299" t="n">
        <v>1</v>
      </c>
      <c r="J299" t="n">
        <v>4</v>
      </c>
      <c r="K299" t="n">
        <v>1</v>
      </c>
      <c r="L299" t="n">
        <v>0</v>
      </c>
      <c r="M299" t="n">
        <v>0</v>
      </c>
      <c r="N299" t="n">
        <v>0</v>
      </c>
      <c r="O299" t="n">
        <v>5</v>
      </c>
      <c r="P299" t="n">
        <v>1</v>
      </c>
      <c r="Q299" t="n">
        <v>7</v>
      </c>
      <c r="R299" s="2" t="inlineStr">
        <is>
          <t>Knärot
Garnlav
Lunglav
Skrovellav
Tallticka
Plattlummer
Fläcknycklar</t>
        </is>
      </c>
      <c r="S299">
        <f>HYPERLINK("https://klasma.github.io/Logging_2260/artfynd/A 60240-2025 artfynd.xlsx", "A 60240-2025")</f>
        <v/>
      </c>
      <c r="T299">
        <f>HYPERLINK("https://klasma.github.io/Logging_2260/kartor/A 60240-2025 karta.png", "A 60240-2025")</f>
        <v/>
      </c>
      <c r="U299">
        <f>HYPERLINK("https://klasma.github.io/Logging_2260/knärot/A 60240-2025 karta knärot.png", "A 60240-2025")</f>
        <v/>
      </c>
      <c r="V299">
        <f>HYPERLINK("https://klasma.github.io/Logging_2260/klagomål/A 60240-2025 FSC-klagomål.docx", "A 60240-2025")</f>
        <v/>
      </c>
      <c r="W299">
        <f>HYPERLINK("https://klasma.github.io/Logging_2260/klagomålsmail/A 60240-2025 FSC-klagomål mail.docx", "A 60240-2025")</f>
        <v/>
      </c>
      <c r="X299">
        <f>HYPERLINK("https://klasma.github.io/Logging_2260/tillsyn/A 60240-2025 tillsynsbegäran.docx", "A 60240-2025")</f>
        <v/>
      </c>
      <c r="Y299">
        <f>HYPERLINK("https://klasma.github.io/Logging_2260/tillsynsmail/A 60240-2025 tillsynsbegäran mail.docx", "A 60240-2025")</f>
        <v/>
      </c>
    </row>
    <row r="300" ht="15" customHeight="1">
      <c r="A300" t="inlineStr">
        <is>
          <t>A 50264-2024</t>
        </is>
      </c>
      <c r="B300" s="1" t="n">
        <v>45600.58810185185</v>
      </c>
      <c r="C300" s="1" t="n">
        <v>46093</v>
      </c>
      <c r="D300" t="inlineStr">
        <is>
          <t>VÄSTERNORRLANDS LÄN</t>
        </is>
      </c>
      <c r="E300" t="inlineStr">
        <is>
          <t>ÖRNSKÖLDSVIK</t>
        </is>
      </c>
      <c r="F300" t="inlineStr">
        <is>
          <t>Holmen skog AB</t>
        </is>
      </c>
      <c r="G300" t="n">
        <v>3.6</v>
      </c>
      <c r="H300" t="n">
        <v>1</v>
      </c>
      <c r="I300" t="n">
        <v>3</v>
      </c>
      <c r="J300" t="n">
        <v>3</v>
      </c>
      <c r="K300" t="n">
        <v>1</v>
      </c>
      <c r="L300" t="n">
        <v>0</v>
      </c>
      <c r="M300" t="n">
        <v>0</v>
      </c>
      <c r="N300" t="n">
        <v>0</v>
      </c>
      <c r="O300" t="n">
        <v>4</v>
      </c>
      <c r="P300" t="n">
        <v>1</v>
      </c>
      <c r="Q300" t="n">
        <v>7</v>
      </c>
      <c r="R300" s="2" t="inlineStr">
        <is>
          <t>Knärot
Granticka
Lunglav
Ullticka
Bårdlav
Skinnlav
Stuplav</t>
        </is>
      </c>
      <c r="S300">
        <f>HYPERLINK("https://klasma.github.io/Logging_2284/artfynd/A 50264-2024 artfynd.xlsx", "A 50264-2024")</f>
        <v/>
      </c>
      <c r="T300">
        <f>HYPERLINK("https://klasma.github.io/Logging_2284/kartor/A 50264-2024 karta.png", "A 50264-2024")</f>
        <v/>
      </c>
      <c r="U300">
        <f>HYPERLINK("https://klasma.github.io/Logging_2284/knärot/A 50264-2024 karta knärot.png", "A 50264-2024")</f>
        <v/>
      </c>
      <c r="V300">
        <f>HYPERLINK("https://klasma.github.io/Logging_2284/klagomål/A 50264-2024 FSC-klagomål.docx", "A 50264-2024")</f>
        <v/>
      </c>
      <c r="W300">
        <f>HYPERLINK("https://klasma.github.io/Logging_2284/klagomålsmail/A 50264-2024 FSC-klagomål mail.docx", "A 50264-2024")</f>
        <v/>
      </c>
      <c r="X300">
        <f>HYPERLINK("https://klasma.github.io/Logging_2284/tillsyn/A 50264-2024 tillsynsbegäran.docx", "A 50264-2024")</f>
        <v/>
      </c>
      <c r="Y300">
        <f>HYPERLINK("https://klasma.github.io/Logging_2284/tillsynsmail/A 50264-2024 tillsynsbegäran mail.docx", "A 50264-2024")</f>
        <v/>
      </c>
    </row>
    <row r="301" ht="15" customHeight="1">
      <c r="A301" t="inlineStr">
        <is>
          <t>A 60116-2025</t>
        </is>
      </c>
      <c r="B301" s="1" t="n">
        <v>45994.318125</v>
      </c>
      <c r="C301" s="1" t="n">
        <v>46093</v>
      </c>
      <c r="D301" t="inlineStr">
        <is>
          <t>VÄSTERNORRLANDS LÄN</t>
        </is>
      </c>
      <c r="E301" t="inlineStr">
        <is>
          <t>ÅNGE</t>
        </is>
      </c>
      <c r="G301" t="n">
        <v>4.1</v>
      </c>
      <c r="H301" t="n">
        <v>1</v>
      </c>
      <c r="I301" t="n">
        <v>1</v>
      </c>
      <c r="J301" t="n">
        <v>5</v>
      </c>
      <c r="K301" t="n">
        <v>1</v>
      </c>
      <c r="L301" t="n">
        <v>0</v>
      </c>
      <c r="M301" t="n">
        <v>0</v>
      </c>
      <c r="N301" t="n">
        <v>0</v>
      </c>
      <c r="O301" t="n">
        <v>6</v>
      </c>
      <c r="P301" t="n">
        <v>1</v>
      </c>
      <c r="Q301" t="n">
        <v>7</v>
      </c>
      <c r="R301" s="2" t="inlineStr">
        <is>
          <t>Rynkskinn
Garnlav
Lunglav
Rosenticka
Tretåig hackspett
Ullticka
Luddlav</t>
        </is>
      </c>
      <c r="S301">
        <f>HYPERLINK("https://klasma.github.io/Logging_2260/artfynd/A 60116-2025 artfynd.xlsx", "A 60116-2025")</f>
        <v/>
      </c>
      <c r="T301">
        <f>HYPERLINK("https://klasma.github.io/Logging_2260/kartor/A 60116-2025 karta.png", "A 60116-2025")</f>
        <v/>
      </c>
      <c r="V301">
        <f>HYPERLINK("https://klasma.github.io/Logging_2260/klagomål/A 60116-2025 FSC-klagomål.docx", "A 60116-2025")</f>
        <v/>
      </c>
      <c r="W301">
        <f>HYPERLINK("https://klasma.github.io/Logging_2260/klagomålsmail/A 60116-2025 FSC-klagomål mail.docx", "A 60116-2025")</f>
        <v/>
      </c>
      <c r="X301">
        <f>HYPERLINK("https://klasma.github.io/Logging_2260/tillsyn/A 60116-2025 tillsynsbegäran.docx", "A 60116-2025")</f>
        <v/>
      </c>
      <c r="Y301">
        <f>HYPERLINK("https://klasma.github.io/Logging_2260/tillsynsmail/A 60116-2025 tillsynsbegäran mail.docx", "A 60116-2025")</f>
        <v/>
      </c>
      <c r="Z301">
        <f>HYPERLINK("https://klasma.github.io/Logging_2260/fåglar/A 60116-2025 prioriterade fågelarter.docx", "A 60116-2025")</f>
        <v/>
      </c>
    </row>
    <row r="302" ht="15" customHeight="1">
      <c r="A302" t="inlineStr">
        <is>
          <t>A 14580-2024</t>
        </is>
      </c>
      <c r="B302" s="1" t="n">
        <v>45394</v>
      </c>
      <c r="C302" s="1" t="n">
        <v>46093</v>
      </c>
      <c r="D302" t="inlineStr">
        <is>
          <t>VÄSTERNORRLANDS LÄN</t>
        </is>
      </c>
      <c r="E302" t="inlineStr">
        <is>
          <t>SOLLEFTEÅ</t>
        </is>
      </c>
      <c r="F302" t="inlineStr">
        <is>
          <t>SCA</t>
        </is>
      </c>
      <c r="G302" t="n">
        <v>4.1</v>
      </c>
      <c r="H302" t="n">
        <v>2</v>
      </c>
      <c r="I302" t="n">
        <v>1</v>
      </c>
      <c r="J302" t="n">
        <v>6</v>
      </c>
      <c r="K302" t="n">
        <v>0</v>
      </c>
      <c r="L302" t="n">
        <v>0</v>
      </c>
      <c r="M302" t="n">
        <v>0</v>
      </c>
      <c r="N302" t="n">
        <v>0</v>
      </c>
      <c r="O302" t="n">
        <v>6</v>
      </c>
      <c r="P302" t="n">
        <v>0</v>
      </c>
      <c r="Q302" t="n">
        <v>7</v>
      </c>
      <c r="R302" s="2" t="inlineStr">
        <is>
          <t>Garnlav
Lunglav
Rosenticka
Talltita
Tretåig hackspett
Ullticka
Vedticka</t>
        </is>
      </c>
      <c r="S302">
        <f>HYPERLINK("https://klasma.github.io/Logging_2283/artfynd/A 14580-2024 artfynd.xlsx", "A 14580-2024")</f>
        <v/>
      </c>
      <c r="T302">
        <f>HYPERLINK("https://klasma.github.io/Logging_2283/kartor/A 14580-2024 karta.png", "A 14580-2024")</f>
        <v/>
      </c>
      <c r="V302">
        <f>HYPERLINK("https://klasma.github.io/Logging_2283/klagomål/A 14580-2024 FSC-klagomål.docx", "A 14580-2024")</f>
        <v/>
      </c>
      <c r="W302">
        <f>HYPERLINK("https://klasma.github.io/Logging_2283/klagomålsmail/A 14580-2024 FSC-klagomål mail.docx", "A 14580-2024")</f>
        <v/>
      </c>
      <c r="X302">
        <f>HYPERLINK("https://klasma.github.io/Logging_2283/tillsyn/A 14580-2024 tillsynsbegäran.docx", "A 14580-2024")</f>
        <v/>
      </c>
      <c r="Y302">
        <f>HYPERLINK("https://klasma.github.io/Logging_2283/tillsynsmail/A 14580-2024 tillsynsbegäran mail.docx", "A 14580-2024")</f>
        <v/>
      </c>
      <c r="Z302">
        <f>HYPERLINK("https://klasma.github.io/Logging_2283/fåglar/A 14580-2024 prioriterade fågelarter.docx", "A 14580-2024")</f>
        <v/>
      </c>
    </row>
    <row r="303" ht="15" customHeight="1">
      <c r="A303" t="inlineStr">
        <is>
          <t>A 55422-2024</t>
        </is>
      </c>
      <c r="B303" s="1" t="n">
        <v>45622.38619212963</v>
      </c>
      <c r="C303" s="1" t="n">
        <v>46093</v>
      </c>
      <c r="D303" t="inlineStr">
        <is>
          <t>VÄSTERNORRLANDS LÄN</t>
        </is>
      </c>
      <c r="E303" t="inlineStr">
        <is>
          <t>SOLLEFTEÅ</t>
        </is>
      </c>
      <c r="F303" t="inlineStr">
        <is>
          <t>SCA</t>
        </is>
      </c>
      <c r="G303" t="n">
        <v>1.8</v>
      </c>
      <c r="H303" t="n">
        <v>2</v>
      </c>
      <c r="I303" t="n">
        <v>0</v>
      </c>
      <c r="J303" t="n">
        <v>7</v>
      </c>
      <c r="K303" t="n">
        <v>0</v>
      </c>
      <c r="L303" t="n">
        <v>0</v>
      </c>
      <c r="M303" t="n">
        <v>0</v>
      </c>
      <c r="N303" t="n">
        <v>0</v>
      </c>
      <c r="O303" t="n">
        <v>7</v>
      </c>
      <c r="P303" t="n">
        <v>0</v>
      </c>
      <c r="Q303" t="n">
        <v>7</v>
      </c>
      <c r="R303" s="2" t="inlineStr">
        <is>
          <t>Garnlav
Järpe
Lunglav
Rosenticka
Spillkråka
Tallticka
Ullticka</t>
        </is>
      </c>
      <c r="S303">
        <f>HYPERLINK("https://klasma.github.io/Logging_2283/artfynd/A 55422-2024 artfynd.xlsx", "A 55422-2024")</f>
        <v/>
      </c>
      <c r="T303">
        <f>HYPERLINK("https://klasma.github.io/Logging_2283/kartor/A 55422-2024 karta.png", "A 55422-2024")</f>
        <v/>
      </c>
      <c r="V303">
        <f>HYPERLINK("https://klasma.github.io/Logging_2283/klagomål/A 55422-2024 FSC-klagomål.docx", "A 55422-2024")</f>
        <v/>
      </c>
      <c r="W303">
        <f>HYPERLINK("https://klasma.github.io/Logging_2283/klagomålsmail/A 55422-2024 FSC-klagomål mail.docx", "A 55422-2024")</f>
        <v/>
      </c>
      <c r="X303">
        <f>HYPERLINK("https://klasma.github.io/Logging_2283/tillsyn/A 55422-2024 tillsynsbegäran.docx", "A 55422-2024")</f>
        <v/>
      </c>
      <c r="Y303">
        <f>HYPERLINK("https://klasma.github.io/Logging_2283/tillsynsmail/A 55422-2024 tillsynsbegäran mail.docx", "A 55422-2024")</f>
        <v/>
      </c>
      <c r="Z303">
        <f>HYPERLINK("https://klasma.github.io/Logging_2283/fåglar/A 55422-2024 prioriterade fågelarter.docx", "A 55422-2024")</f>
        <v/>
      </c>
    </row>
    <row r="304" ht="15" customHeight="1">
      <c r="A304" t="inlineStr">
        <is>
          <t>A 18695-2025</t>
        </is>
      </c>
      <c r="B304" s="1" t="n">
        <v>45763.615625</v>
      </c>
      <c r="C304" s="1" t="n">
        <v>46093</v>
      </c>
      <c r="D304" t="inlineStr">
        <is>
          <t>VÄSTERNORRLANDS LÄN</t>
        </is>
      </c>
      <c r="E304" t="inlineStr">
        <is>
          <t>HÄRNÖSAND</t>
        </is>
      </c>
      <c r="F304" t="inlineStr">
        <is>
          <t>SCA</t>
        </is>
      </c>
      <c r="G304" t="n">
        <v>2.2</v>
      </c>
      <c r="H304" t="n">
        <v>0</v>
      </c>
      <c r="I304" t="n">
        <v>4</v>
      </c>
      <c r="J304" t="n">
        <v>3</v>
      </c>
      <c r="K304" t="n">
        <v>0</v>
      </c>
      <c r="L304" t="n">
        <v>0</v>
      </c>
      <c r="M304" t="n">
        <v>0</v>
      </c>
      <c r="N304" t="n">
        <v>0</v>
      </c>
      <c r="O304" t="n">
        <v>3</v>
      </c>
      <c r="P304" t="n">
        <v>0</v>
      </c>
      <c r="Q304" t="n">
        <v>7</v>
      </c>
      <c r="R304" s="2" t="inlineStr">
        <is>
          <t>Garnlav
Ullticka
Violettgrå tagellav
Barkticka
Bårdlav
Dvärgtufs
Späd brosklav</t>
        </is>
      </c>
      <c r="S304">
        <f>HYPERLINK("https://klasma.github.io/Logging_2280/artfynd/A 18695-2025 artfynd.xlsx", "A 18695-2025")</f>
        <v/>
      </c>
      <c r="T304">
        <f>HYPERLINK("https://klasma.github.io/Logging_2280/kartor/A 18695-2025 karta.png", "A 18695-2025")</f>
        <v/>
      </c>
      <c r="V304">
        <f>HYPERLINK("https://klasma.github.io/Logging_2280/klagomål/A 18695-2025 FSC-klagomål.docx", "A 18695-2025")</f>
        <v/>
      </c>
      <c r="W304">
        <f>HYPERLINK("https://klasma.github.io/Logging_2280/klagomålsmail/A 18695-2025 FSC-klagomål mail.docx", "A 18695-2025")</f>
        <v/>
      </c>
      <c r="X304">
        <f>HYPERLINK("https://klasma.github.io/Logging_2280/tillsyn/A 18695-2025 tillsynsbegäran.docx", "A 18695-2025")</f>
        <v/>
      </c>
      <c r="Y304">
        <f>HYPERLINK("https://klasma.github.io/Logging_2280/tillsynsmail/A 18695-2025 tillsynsbegäran mail.docx", "A 18695-2025")</f>
        <v/>
      </c>
    </row>
    <row r="305" ht="15" customHeight="1">
      <c r="A305" t="inlineStr">
        <is>
          <t>A 16656-2025</t>
        </is>
      </c>
      <c r="B305" s="1" t="n">
        <v>45754.4068287037</v>
      </c>
      <c r="C305" s="1" t="n">
        <v>46093</v>
      </c>
      <c r="D305" t="inlineStr">
        <is>
          <t>VÄSTERNORRLANDS LÄN</t>
        </is>
      </c>
      <c r="E305" t="inlineStr">
        <is>
          <t>SUNDSVALL</t>
        </is>
      </c>
      <c r="F305" t="inlineStr">
        <is>
          <t>SCA</t>
        </is>
      </c>
      <c r="G305" t="n">
        <v>3.5</v>
      </c>
      <c r="H305" t="n">
        <v>4</v>
      </c>
      <c r="I305" t="n">
        <v>0</v>
      </c>
      <c r="J305" t="n">
        <v>5</v>
      </c>
      <c r="K305" t="n">
        <v>0</v>
      </c>
      <c r="L305" t="n">
        <v>0</v>
      </c>
      <c r="M305" t="n">
        <v>0</v>
      </c>
      <c r="N305" t="n">
        <v>0</v>
      </c>
      <c r="O305" t="n">
        <v>5</v>
      </c>
      <c r="P305" t="n">
        <v>0</v>
      </c>
      <c r="Q305" t="n">
        <v>7</v>
      </c>
      <c r="R305" s="2" t="inlineStr">
        <is>
          <t>Gammelgransskål
Garnlav
Lunglav
Spillkråka
Tretåig hackspett
Fläcknycklar
Revlummer</t>
        </is>
      </c>
      <c r="S305">
        <f>HYPERLINK("https://klasma.github.io/Logging_2281/artfynd/A 16656-2025 artfynd.xlsx", "A 16656-2025")</f>
        <v/>
      </c>
      <c r="T305">
        <f>HYPERLINK("https://klasma.github.io/Logging_2281/kartor/A 16656-2025 karta.png", "A 16656-2025")</f>
        <v/>
      </c>
      <c r="V305">
        <f>HYPERLINK("https://klasma.github.io/Logging_2281/klagomål/A 16656-2025 FSC-klagomål.docx", "A 16656-2025")</f>
        <v/>
      </c>
      <c r="W305">
        <f>HYPERLINK("https://klasma.github.io/Logging_2281/klagomålsmail/A 16656-2025 FSC-klagomål mail.docx", "A 16656-2025")</f>
        <v/>
      </c>
      <c r="X305">
        <f>HYPERLINK("https://klasma.github.io/Logging_2281/tillsyn/A 16656-2025 tillsynsbegäran.docx", "A 16656-2025")</f>
        <v/>
      </c>
      <c r="Y305">
        <f>HYPERLINK("https://klasma.github.io/Logging_2281/tillsynsmail/A 16656-2025 tillsynsbegäran mail.docx", "A 16656-2025")</f>
        <v/>
      </c>
      <c r="Z305">
        <f>HYPERLINK("https://klasma.github.io/Logging_2281/fåglar/A 16656-2025 prioriterade fågelarter.docx", "A 16656-2025")</f>
        <v/>
      </c>
    </row>
    <row r="306" ht="15" customHeight="1">
      <c r="A306" t="inlineStr">
        <is>
          <t>A 18014-2022</t>
        </is>
      </c>
      <c r="B306" s="1" t="n">
        <v>44683</v>
      </c>
      <c r="C306" s="1" t="n">
        <v>46093</v>
      </c>
      <c r="D306" t="inlineStr">
        <is>
          <t>VÄSTERNORRLANDS LÄN</t>
        </is>
      </c>
      <c r="E306" t="inlineStr">
        <is>
          <t>SOLLEFTEÅ</t>
        </is>
      </c>
      <c r="F306" t="inlineStr">
        <is>
          <t>SCA</t>
        </is>
      </c>
      <c r="G306" t="n">
        <v>2.5</v>
      </c>
      <c r="H306" t="n">
        <v>2</v>
      </c>
      <c r="I306" t="n">
        <v>0</v>
      </c>
      <c r="J306" t="n">
        <v>5</v>
      </c>
      <c r="K306" t="n">
        <v>2</v>
      </c>
      <c r="L306" t="n">
        <v>0</v>
      </c>
      <c r="M306" t="n">
        <v>0</v>
      </c>
      <c r="N306" t="n">
        <v>0</v>
      </c>
      <c r="O306" t="n">
        <v>7</v>
      </c>
      <c r="P306" t="n">
        <v>2</v>
      </c>
      <c r="Q306" t="n">
        <v>7</v>
      </c>
      <c r="R306" s="2" t="inlineStr">
        <is>
          <t>Goliatmusseron
Läderdoftande fingersvamp
Granticka
Gultoppig fingersvamp
Svart taggsvamp agg.
Talltita
Tretåig hackspett</t>
        </is>
      </c>
      <c r="S306">
        <f>HYPERLINK("https://klasma.github.io/Logging_2283/artfynd/A 18014-2022 artfynd.xlsx", "A 18014-2022")</f>
        <v/>
      </c>
      <c r="T306">
        <f>HYPERLINK("https://klasma.github.io/Logging_2283/kartor/A 18014-2022 karta.png", "A 18014-2022")</f>
        <v/>
      </c>
      <c r="U306">
        <f>HYPERLINK("https://klasma.github.io/Logging_2283/knärot/A 18014-2022 karta knärot.png", "A 18014-2022")</f>
        <v/>
      </c>
      <c r="V306">
        <f>HYPERLINK("https://klasma.github.io/Logging_2283/klagomål/A 18014-2022 FSC-klagomål.docx", "A 18014-2022")</f>
        <v/>
      </c>
      <c r="W306">
        <f>HYPERLINK("https://klasma.github.io/Logging_2283/klagomålsmail/A 18014-2022 FSC-klagomål mail.docx", "A 18014-2022")</f>
        <v/>
      </c>
      <c r="X306">
        <f>HYPERLINK("https://klasma.github.io/Logging_2283/tillsyn/A 18014-2022 tillsynsbegäran.docx", "A 18014-2022")</f>
        <v/>
      </c>
      <c r="Y306">
        <f>HYPERLINK("https://klasma.github.io/Logging_2283/tillsynsmail/A 18014-2022 tillsynsbegäran mail.docx", "A 18014-2022")</f>
        <v/>
      </c>
      <c r="Z306">
        <f>HYPERLINK("https://klasma.github.io/Logging_2283/fåglar/A 18014-2022 prioriterade fågelarter.docx", "A 18014-2022")</f>
        <v/>
      </c>
    </row>
    <row r="307" ht="15" customHeight="1">
      <c r="A307" t="inlineStr">
        <is>
          <t>A 48783-2023</t>
        </is>
      </c>
      <c r="B307" s="1" t="n">
        <v>45208</v>
      </c>
      <c r="C307" s="1" t="n">
        <v>46093</v>
      </c>
      <c r="D307" t="inlineStr">
        <is>
          <t>VÄSTERNORRLANDS LÄN</t>
        </is>
      </c>
      <c r="E307" t="inlineStr">
        <is>
          <t>SUNDSVALL</t>
        </is>
      </c>
      <c r="F307" t="inlineStr">
        <is>
          <t>SCA</t>
        </is>
      </c>
      <c r="G307" t="n">
        <v>2.3</v>
      </c>
      <c r="H307" t="n">
        <v>2</v>
      </c>
      <c r="I307" t="n">
        <v>1</v>
      </c>
      <c r="J307" t="n">
        <v>5</v>
      </c>
      <c r="K307" t="n">
        <v>1</v>
      </c>
      <c r="L307" t="n">
        <v>0</v>
      </c>
      <c r="M307" t="n">
        <v>0</v>
      </c>
      <c r="N307" t="n">
        <v>0</v>
      </c>
      <c r="O307" t="n">
        <v>6</v>
      </c>
      <c r="P307" t="n">
        <v>1</v>
      </c>
      <c r="Q307" t="n">
        <v>7</v>
      </c>
      <c r="R307" s="2" t="inlineStr">
        <is>
          <t>Knärot
Gränsticka
Lunglav
Rosenticka
Tretåig hackspett
Ullticka
Bårdlav</t>
        </is>
      </c>
      <c r="S307">
        <f>HYPERLINK("https://klasma.github.io/Logging_2281/artfynd/A 48783-2023 artfynd.xlsx", "A 48783-2023")</f>
        <v/>
      </c>
      <c r="T307">
        <f>HYPERLINK("https://klasma.github.io/Logging_2281/kartor/A 48783-2023 karta.png", "A 48783-2023")</f>
        <v/>
      </c>
      <c r="U307">
        <f>HYPERLINK("https://klasma.github.io/Logging_2281/knärot/A 48783-2023 karta knärot.png", "A 48783-2023")</f>
        <v/>
      </c>
      <c r="V307">
        <f>HYPERLINK("https://klasma.github.io/Logging_2281/klagomål/A 48783-2023 FSC-klagomål.docx", "A 48783-2023")</f>
        <v/>
      </c>
      <c r="W307">
        <f>HYPERLINK("https://klasma.github.io/Logging_2281/klagomålsmail/A 48783-2023 FSC-klagomål mail.docx", "A 48783-2023")</f>
        <v/>
      </c>
      <c r="X307">
        <f>HYPERLINK("https://klasma.github.io/Logging_2281/tillsyn/A 48783-2023 tillsynsbegäran.docx", "A 48783-2023")</f>
        <v/>
      </c>
      <c r="Y307">
        <f>HYPERLINK("https://klasma.github.io/Logging_2281/tillsynsmail/A 48783-2023 tillsynsbegäran mail.docx", "A 48783-2023")</f>
        <v/>
      </c>
      <c r="Z307">
        <f>HYPERLINK("https://klasma.github.io/Logging_2281/fåglar/A 48783-2023 prioriterade fågelarter.docx", "A 48783-2023")</f>
        <v/>
      </c>
    </row>
    <row r="308" ht="15" customHeight="1">
      <c r="A308" t="inlineStr">
        <is>
          <t>A 20695-2025</t>
        </is>
      </c>
      <c r="B308" s="1" t="n">
        <v>45776.46954861111</v>
      </c>
      <c r="C308" s="1" t="n">
        <v>46093</v>
      </c>
      <c r="D308" t="inlineStr">
        <is>
          <t>VÄSTERNORRLANDS LÄN</t>
        </is>
      </c>
      <c r="E308" t="inlineStr">
        <is>
          <t>SUNDSVALL</t>
        </is>
      </c>
      <c r="F308" t="inlineStr">
        <is>
          <t>Naturvårdsverket</t>
        </is>
      </c>
      <c r="G308" t="n">
        <v>9.199999999999999</v>
      </c>
      <c r="H308" t="n">
        <v>2</v>
      </c>
      <c r="I308" t="n">
        <v>2</v>
      </c>
      <c r="J308" t="n">
        <v>4</v>
      </c>
      <c r="K308" t="n">
        <v>0</v>
      </c>
      <c r="L308" t="n">
        <v>0</v>
      </c>
      <c r="M308" t="n">
        <v>0</v>
      </c>
      <c r="N308" t="n">
        <v>0</v>
      </c>
      <c r="O308" t="n">
        <v>4</v>
      </c>
      <c r="P308" t="n">
        <v>0</v>
      </c>
      <c r="Q308" t="n">
        <v>7</v>
      </c>
      <c r="R308" s="2" t="inlineStr">
        <is>
          <t>Kolflarnlav
Mörk kolflarnlav
Vedflamlav
Vedskivlav
Bårdlav
Spindelblomster
Fläcknycklar</t>
        </is>
      </c>
      <c r="S308">
        <f>HYPERLINK("https://klasma.github.io/Logging_2281/artfynd/A 20695-2025 artfynd.xlsx", "A 20695-2025")</f>
        <v/>
      </c>
      <c r="T308">
        <f>HYPERLINK("https://klasma.github.io/Logging_2281/kartor/A 20695-2025 karta.png", "A 20695-2025")</f>
        <v/>
      </c>
      <c r="V308">
        <f>HYPERLINK("https://klasma.github.io/Logging_2281/klagomål/A 20695-2025 FSC-klagomål.docx", "A 20695-2025")</f>
        <v/>
      </c>
      <c r="W308">
        <f>HYPERLINK("https://klasma.github.io/Logging_2281/klagomålsmail/A 20695-2025 FSC-klagomål mail.docx", "A 20695-2025")</f>
        <v/>
      </c>
      <c r="X308">
        <f>HYPERLINK("https://klasma.github.io/Logging_2281/tillsyn/A 20695-2025 tillsynsbegäran.docx", "A 20695-2025")</f>
        <v/>
      </c>
      <c r="Y308">
        <f>HYPERLINK("https://klasma.github.io/Logging_2281/tillsynsmail/A 20695-2025 tillsynsbegäran mail.docx", "A 20695-2025")</f>
        <v/>
      </c>
    </row>
    <row r="309" ht="15" customHeight="1">
      <c r="A309" t="inlineStr">
        <is>
          <t>A 38443-2025</t>
        </is>
      </c>
      <c r="B309" s="1" t="n">
        <v>45883</v>
      </c>
      <c r="C309" s="1" t="n">
        <v>46093</v>
      </c>
      <c r="D309" t="inlineStr">
        <is>
          <t>VÄSTERNORRLANDS LÄN</t>
        </is>
      </c>
      <c r="E309" t="inlineStr">
        <is>
          <t>SUNDSVALL</t>
        </is>
      </c>
      <c r="G309" t="n">
        <v>9.300000000000001</v>
      </c>
      <c r="H309" t="n">
        <v>4</v>
      </c>
      <c r="I309" t="n">
        <v>2</v>
      </c>
      <c r="J309" t="n">
        <v>3</v>
      </c>
      <c r="K309" t="n">
        <v>1</v>
      </c>
      <c r="L309" t="n">
        <v>0</v>
      </c>
      <c r="M309" t="n">
        <v>0</v>
      </c>
      <c r="N309" t="n">
        <v>0</v>
      </c>
      <c r="O309" t="n">
        <v>4</v>
      </c>
      <c r="P309" t="n">
        <v>1</v>
      </c>
      <c r="Q309" t="n">
        <v>7</v>
      </c>
      <c r="R309" s="2" t="inlineStr">
        <is>
          <t>Knärot
Garnlav
Spillkråka
Tretåig hackspett
Bårdlav
Vedticka
Revlummer</t>
        </is>
      </c>
      <c r="S309">
        <f>HYPERLINK("https://klasma.github.io/Logging_2281/artfynd/A 38443-2025 artfynd.xlsx", "A 38443-2025")</f>
        <v/>
      </c>
      <c r="T309">
        <f>HYPERLINK("https://klasma.github.io/Logging_2281/kartor/A 38443-2025 karta.png", "A 38443-2025")</f>
        <v/>
      </c>
      <c r="U309">
        <f>HYPERLINK("https://klasma.github.io/Logging_2281/knärot/A 38443-2025 karta knärot.png", "A 38443-2025")</f>
        <v/>
      </c>
      <c r="V309">
        <f>HYPERLINK("https://klasma.github.io/Logging_2281/klagomål/A 38443-2025 FSC-klagomål.docx", "A 38443-2025")</f>
        <v/>
      </c>
      <c r="W309">
        <f>HYPERLINK("https://klasma.github.io/Logging_2281/klagomålsmail/A 38443-2025 FSC-klagomål mail.docx", "A 38443-2025")</f>
        <v/>
      </c>
      <c r="X309">
        <f>HYPERLINK("https://klasma.github.io/Logging_2281/tillsyn/A 38443-2025 tillsynsbegäran.docx", "A 38443-2025")</f>
        <v/>
      </c>
      <c r="Y309">
        <f>HYPERLINK("https://klasma.github.io/Logging_2281/tillsynsmail/A 38443-2025 tillsynsbegäran mail.docx", "A 38443-2025")</f>
        <v/>
      </c>
      <c r="Z309">
        <f>HYPERLINK("https://klasma.github.io/Logging_2281/fåglar/A 38443-2025 prioriterade fågelarter.docx", "A 38443-2025")</f>
        <v/>
      </c>
    </row>
    <row r="310" ht="15" customHeight="1">
      <c r="A310" t="inlineStr">
        <is>
          <t>A 22377-2025</t>
        </is>
      </c>
      <c r="B310" s="1" t="n">
        <v>45786</v>
      </c>
      <c r="C310" s="1" t="n">
        <v>46093</v>
      </c>
      <c r="D310" t="inlineStr">
        <is>
          <t>VÄSTERNORRLANDS LÄN</t>
        </is>
      </c>
      <c r="E310" t="inlineStr">
        <is>
          <t>TIMRÅ</t>
        </is>
      </c>
      <c r="F310" t="inlineStr">
        <is>
          <t>SCA</t>
        </is>
      </c>
      <c r="G310" t="n">
        <v>10.1</v>
      </c>
      <c r="H310" t="n">
        <v>0</v>
      </c>
      <c r="I310" t="n">
        <v>2</v>
      </c>
      <c r="J310" t="n">
        <v>5</v>
      </c>
      <c r="K310" t="n">
        <v>0</v>
      </c>
      <c r="L310" t="n">
        <v>0</v>
      </c>
      <c r="M310" t="n">
        <v>0</v>
      </c>
      <c r="N310" t="n">
        <v>0</v>
      </c>
      <c r="O310" t="n">
        <v>5</v>
      </c>
      <c r="P310" t="n">
        <v>0</v>
      </c>
      <c r="Q310" t="n">
        <v>7</v>
      </c>
      <c r="R310" s="2" t="inlineStr">
        <is>
          <t>Gammelgransskål
Garnlav
Granticka
Lunglav
Rosenticka
Stor aspticka
Vedticka</t>
        </is>
      </c>
      <c r="S310">
        <f>HYPERLINK("https://klasma.github.io/Logging_2262/artfynd/A 22377-2025 artfynd.xlsx", "A 22377-2025")</f>
        <v/>
      </c>
      <c r="T310">
        <f>HYPERLINK("https://klasma.github.io/Logging_2262/kartor/A 22377-2025 karta.png", "A 22377-2025")</f>
        <v/>
      </c>
      <c r="V310">
        <f>HYPERLINK("https://klasma.github.io/Logging_2262/klagomål/A 22377-2025 FSC-klagomål.docx", "A 22377-2025")</f>
        <v/>
      </c>
      <c r="W310">
        <f>HYPERLINK("https://klasma.github.io/Logging_2262/klagomålsmail/A 22377-2025 FSC-klagomål mail.docx", "A 22377-2025")</f>
        <v/>
      </c>
      <c r="X310">
        <f>HYPERLINK("https://klasma.github.io/Logging_2262/tillsyn/A 22377-2025 tillsynsbegäran.docx", "A 22377-2025")</f>
        <v/>
      </c>
      <c r="Y310">
        <f>HYPERLINK("https://klasma.github.io/Logging_2262/tillsynsmail/A 22377-2025 tillsynsbegäran mail.docx", "A 22377-2025")</f>
        <v/>
      </c>
    </row>
    <row r="311" ht="15" customHeight="1">
      <c r="A311" t="inlineStr">
        <is>
          <t>A 37814-2023</t>
        </is>
      </c>
      <c r="B311" s="1" t="n">
        <v>45159</v>
      </c>
      <c r="C311" s="1" t="n">
        <v>46093</v>
      </c>
      <c r="D311" t="inlineStr">
        <is>
          <t>VÄSTERNORRLANDS LÄN</t>
        </is>
      </c>
      <c r="E311" t="inlineStr">
        <is>
          <t>SUNDSVALL</t>
        </is>
      </c>
      <c r="F311" t="inlineStr">
        <is>
          <t>SCA</t>
        </is>
      </c>
      <c r="G311" t="n">
        <v>1.8</v>
      </c>
      <c r="H311" t="n">
        <v>6</v>
      </c>
      <c r="I311" t="n">
        <v>0</v>
      </c>
      <c r="J311" t="n">
        <v>4</v>
      </c>
      <c r="K311" t="n">
        <v>0</v>
      </c>
      <c r="L311" t="n">
        <v>0</v>
      </c>
      <c r="M311" t="n">
        <v>0</v>
      </c>
      <c r="N311" t="n">
        <v>0</v>
      </c>
      <c r="O311" t="n">
        <v>4</v>
      </c>
      <c r="P311" t="n">
        <v>0</v>
      </c>
      <c r="Q311" t="n">
        <v>7</v>
      </c>
      <c r="R311" s="2" t="inlineStr">
        <is>
          <t>Garnlav
Spillkråka
Talltita
Tretåig hackspett
Kungsfågel
Tjäder
Revlummer</t>
        </is>
      </c>
      <c r="S311">
        <f>HYPERLINK("https://klasma.github.io/Logging_2281/artfynd/A 37814-2023 artfynd.xlsx", "A 37814-2023")</f>
        <v/>
      </c>
      <c r="T311">
        <f>HYPERLINK("https://klasma.github.io/Logging_2281/kartor/A 37814-2023 karta.png", "A 37814-2023")</f>
        <v/>
      </c>
      <c r="V311">
        <f>HYPERLINK("https://klasma.github.io/Logging_2281/klagomål/A 37814-2023 FSC-klagomål.docx", "A 37814-2023")</f>
        <v/>
      </c>
      <c r="W311">
        <f>HYPERLINK("https://klasma.github.io/Logging_2281/klagomålsmail/A 37814-2023 FSC-klagomål mail.docx", "A 37814-2023")</f>
        <v/>
      </c>
      <c r="X311">
        <f>HYPERLINK("https://klasma.github.io/Logging_2281/tillsyn/A 37814-2023 tillsynsbegäran.docx", "A 37814-2023")</f>
        <v/>
      </c>
      <c r="Y311">
        <f>HYPERLINK("https://klasma.github.io/Logging_2281/tillsynsmail/A 37814-2023 tillsynsbegäran mail.docx", "A 37814-2023")</f>
        <v/>
      </c>
      <c r="Z311">
        <f>HYPERLINK("https://klasma.github.io/Logging_2281/fåglar/A 37814-2023 prioriterade fågelarter.docx", "A 37814-2023")</f>
        <v/>
      </c>
    </row>
    <row r="312" ht="15" customHeight="1">
      <c r="A312" t="inlineStr">
        <is>
          <t>A 22783-2025</t>
        </is>
      </c>
      <c r="B312" s="1" t="n">
        <v>45789</v>
      </c>
      <c r="C312" s="1" t="n">
        <v>46093</v>
      </c>
      <c r="D312" t="inlineStr">
        <is>
          <t>VÄSTERNORRLANDS LÄN</t>
        </is>
      </c>
      <c r="E312" t="inlineStr">
        <is>
          <t>SOLLEFTEÅ</t>
        </is>
      </c>
      <c r="G312" t="n">
        <v>27.7</v>
      </c>
      <c r="H312" t="n">
        <v>3</v>
      </c>
      <c r="I312" t="n">
        <v>2</v>
      </c>
      <c r="J312" t="n">
        <v>3</v>
      </c>
      <c r="K312" t="n">
        <v>0</v>
      </c>
      <c r="L312" t="n">
        <v>0</v>
      </c>
      <c r="M312" t="n">
        <v>0</v>
      </c>
      <c r="N312" t="n">
        <v>0</v>
      </c>
      <c r="O312" t="n">
        <v>3</v>
      </c>
      <c r="P312" t="n">
        <v>0</v>
      </c>
      <c r="Q312" t="n">
        <v>7</v>
      </c>
      <c r="R312" s="2" t="inlineStr">
        <is>
          <t>Lunglav
Nordfladdermus
Skrovellav
Bårdlav
Stuplav
Lavskrika
Vattenfladdermus</t>
        </is>
      </c>
      <c r="S312">
        <f>HYPERLINK("https://klasma.github.io/Logging_2283/artfynd/A 22783-2025 artfynd.xlsx", "A 22783-2025")</f>
        <v/>
      </c>
      <c r="T312">
        <f>HYPERLINK("https://klasma.github.io/Logging_2283/kartor/A 22783-2025 karta.png", "A 22783-2025")</f>
        <v/>
      </c>
      <c r="V312">
        <f>HYPERLINK("https://klasma.github.io/Logging_2283/klagomål/A 22783-2025 FSC-klagomål.docx", "A 22783-2025")</f>
        <v/>
      </c>
      <c r="W312">
        <f>HYPERLINK("https://klasma.github.io/Logging_2283/klagomålsmail/A 22783-2025 FSC-klagomål mail.docx", "A 22783-2025")</f>
        <v/>
      </c>
      <c r="X312">
        <f>HYPERLINK("https://klasma.github.io/Logging_2283/tillsyn/A 22783-2025 tillsynsbegäran.docx", "A 22783-2025")</f>
        <v/>
      </c>
      <c r="Y312">
        <f>HYPERLINK("https://klasma.github.io/Logging_2283/tillsynsmail/A 22783-2025 tillsynsbegäran mail.docx", "A 22783-2025")</f>
        <v/>
      </c>
      <c r="Z312">
        <f>HYPERLINK("https://klasma.github.io/Logging_2283/fåglar/A 22783-2025 prioriterade fågelarter.docx", "A 22783-2025")</f>
        <v/>
      </c>
    </row>
    <row r="313" ht="15" customHeight="1">
      <c r="A313" t="inlineStr">
        <is>
          <t>A 41666-2024</t>
        </is>
      </c>
      <c r="B313" s="1" t="n">
        <v>45560.65010416666</v>
      </c>
      <c r="C313" s="1" t="n">
        <v>46093</v>
      </c>
      <c r="D313" t="inlineStr">
        <is>
          <t>VÄSTERNORRLANDS LÄN</t>
        </is>
      </c>
      <c r="E313" t="inlineStr">
        <is>
          <t>SOLLEFTEÅ</t>
        </is>
      </c>
      <c r="G313" t="n">
        <v>1</v>
      </c>
      <c r="H313" t="n">
        <v>1</v>
      </c>
      <c r="I313" t="n">
        <v>1</v>
      </c>
      <c r="J313" t="n">
        <v>4</v>
      </c>
      <c r="K313" t="n">
        <v>1</v>
      </c>
      <c r="L313" t="n">
        <v>0</v>
      </c>
      <c r="M313" t="n">
        <v>0</v>
      </c>
      <c r="N313" t="n">
        <v>0</v>
      </c>
      <c r="O313" t="n">
        <v>5</v>
      </c>
      <c r="P313" t="n">
        <v>1</v>
      </c>
      <c r="Q313" t="n">
        <v>7</v>
      </c>
      <c r="R313" s="2" t="inlineStr">
        <is>
          <t>Rynkskinn
Granticka
Lunglav
Rosenticka
Vedtrappmossa
Stor aspticka
Revlummer</t>
        </is>
      </c>
      <c r="S313">
        <f>HYPERLINK("https://klasma.github.io/Logging_2283/artfynd/A 41666-2024 artfynd.xlsx", "A 41666-2024")</f>
        <v/>
      </c>
      <c r="T313">
        <f>HYPERLINK("https://klasma.github.io/Logging_2283/kartor/A 41666-2024 karta.png", "A 41666-2024")</f>
        <v/>
      </c>
      <c r="V313">
        <f>HYPERLINK("https://klasma.github.io/Logging_2283/klagomål/A 41666-2024 FSC-klagomål.docx", "A 41666-2024")</f>
        <v/>
      </c>
      <c r="W313">
        <f>HYPERLINK("https://klasma.github.io/Logging_2283/klagomålsmail/A 41666-2024 FSC-klagomål mail.docx", "A 41666-2024")</f>
        <v/>
      </c>
      <c r="X313">
        <f>HYPERLINK("https://klasma.github.io/Logging_2283/tillsyn/A 41666-2024 tillsynsbegäran.docx", "A 41666-2024")</f>
        <v/>
      </c>
      <c r="Y313">
        <f>HYPERLINK("https://klasma.github.io/Logging_2283/tillsynsmail/A 41666-2024 tillsynsbegäran mail.docx", "A 41666-2024")</f>
        <v/>
      </c>
    </row>
    <row r="314" ht="15" customHeight="1">
      <c r="A314" t="inlineStr">
        <is>
          <t>A 56749-2025</t>
        </is>
      </c>
      <c r="B314" s="1" t="n">
        <v>45978</v>
      </c>
      <c r="C314" s="1" t="n">
        <v>46093</v>
      </c>
      <c r="D314" t="inlineStr">
        <is>
          <t>VÄSTERNORRLANDS LÄN</t>
        </is>
      </c>
      <c r="E314" t="inlineStr">
        <is>
          <t>HÄRNÖSAND</t>
        </is>
      </c>
      <c r="F314" t="inlineStr">
        <is>
          <t>SCA</t>
        </is>
      </c>
      <c r="G314" t="n">
        <v>7.8</v>
      </c>
      <c r="H314" t="n">
        <v>2</v>
      </c>
      <c r="I314" t="n">
        <v>1</v>
      </c>
      <c r="J314" t="n">
        <v>5</v>
      </c>
      <c r="K314" t="n">
        <v>1</v>
      </c>
      <c r="L314" t="n">
        <v>0</v>
      </c>
      <c r="M314" t="n">
        <v>0</v>
      </c>
      <c r="N314" t="n">
        <v>0</v>
      </c>
      <c r="O314" t="n">
        <v>6</v>
      </c>
      <c r="P314" t="n">
        <v>1</v>
      </c>
      <c r="Q314" t="n">
        <v>7</v>
      </c>
      <c r="R314" s="2" t="inlineStr">
        <is>
          <t>Lappticka
Garnlav
Rosenticka
Talltita
Tretåig hackspett
Ullticka
Trådticka</t>
        </is>
      </c>
      <c r="S314">
        <f>HYPERLINK("https://klasma.github.io/Logging_2280/artfynd/A 56749-2025 artfynd.xlsx", "A 56749-2025")</f>
        <v/>
      </c>
      <c r="T314">
        <f>HYPERLINK("https://klasma.github.io/Logging_2280/kartor/A 56749-2025 karta.png", "A 56749-2025")</f>
        <v/>
      </c>
      <c r="V314">
        <f>HYPERLINK("https://klasma.github.io/Logging_2280/klagomål/A 56749-2025 FSC-klagomål.docx", "A 56749-2025")</f>
        <v/>
      </c>
      <c r="W314">
        <f>HYPERLINK("https://klasma.github.io/Logging_2280/klagomålsmail/A 56749-2025 FSC-klagomål mail.docx", "A 56749-2025")</f>
        <v/>
      </c>
      <c r="X314">
        <f>HYPERLINK("https://klasma.github.io/Logging_2280/tillsyn/A 56749-2025 tillsynsbegäran.docx", "A 56749-2025")</f>
        <v/>
      </c>
      <c r="Y314">
        <f>HYPERLINK("https://klasma.github.io/Logging_2280/tillsynsmail/A 56749-2025 tillsynsbegäran mail.docx", "A 56749-2025")</f>
        <v/>
      </c>
      <c r="Z314">
        <f>HYPERLINK("https://klasma.github.io/Logging_2280/fåglar/A 56749-2025 prioriterade fågelarter.docx", "A 56749-2025")</f>
        <v/>
      </c>
    </row>
    <row r="315" ht="15" customHeight="1">
      <c r="A315" t="inlineStr">
        <is>
          <t>A 9158-2026</t>
        </is>
      </c>
      <c r="B315" s="1" t="n">
        <v>46070</v>
      </c>
      <c r="C315" s="1" t="n">
        <v>46093</v>
      </c>
      <c r="D315" t="inlineStr">
        <is>
          <t>VÄSTERNORRLANDS LÄN</t>
        </is>
      </c>
      <c r="E315" t="inlineStr">
        <is>
          <t>SOLLEFTEÅ</t>
        </is>
      </c>
      <c r="F315" t="inlineStr">
        <is>
          <t>SCA</t>
        </is>
      </c>
      <c r="G315" t="n">
        <v>19.9</v>
      </c>
      <c r="H315" t="n">
        <v>3</v>
      </c>
      <c r="I315" t="n">
        <v>1</v>
      </c>
      <c r="J315" t="n">
        <v>5</v>
      </c>
      <c r="K315" t="n">
        <v>1</v>
      </c>
      <c r="L315" t="n">
        <v>0</v>
      </c>
      <c r="M315" t="n">
        <v>0</v>
      </c>
      <c r="N315" t="n">
        <v>0</v>
      </c>
      <c r="O315" t="n">
        <v>6</v>
      </c>
      <c r="P315" t="n">
        <v>1</v>
      </c>
      <c r="Q315" t="n">
        <v>7</v>
      </c>
      <c r="R315" s="2" t="inlineStr">
        <is>
          <t>Knärot
Garnlav
Kolflarnlav
Lunglav
Talltita
Tretåig hackspett
Dropptaggsvamp</t>
        </is>
      </c>
      <c r="S315">
        <f>HYPERLINK("https://klasma.github.io/Logging_2283/artfynd/A 9158-2026 artfynd.xlsx", "A 9158-2026")</f>
        <v/>
      </c>
      <c r="T315">
        <f>HYPERLINK("https://klasma.github.io/Logging_2283/kartor/A 9158-2026 karta.png", "A 9158-2026")</f>
        <v/>
      </c>
      <c r="U315">
        <f>HYPERLINK("https://klasma.github.io/Logging_2283/knärot/A 9158-2026 karta knärot.png", "A 9158-2026")</f>
        <v/>
      </c>
      <c r="V315">
        <f>HYPERLINK("https://klasma.github.io/Logging_2283/klagomål/A 9158-2026 FSC-klagomål.docx", "A 9158-2026")</f>
        <v/>
      </c>
      <c r="W315">
        <f>HYPERLINK("https://klasma.github.io/Logging_2283/klagomålsmail/A 9158-2026 FSC-klagomål mail.docx", "A 9158-2026")</f>
        <v/>
      </c>
      <c r="X315">
        <f>HYPERLINK("https://klasma.github.io/Logging_2283/tillsyn/A 9158-2026 tillsynsbegäran.docx", "A 9158-2026")</f>
        <v/>
      </c>
      <c r="Y315">
        <f>HYPERLINK("https://klasma.github.io/Logging_2283/tillsynsmail/A 9158-2026 tillsynsbegäran mail.docx", "A 9158-2026")</f>
        <v/>
      </c>
      <c r="Z315">
        <f>HYPERLINK("https://klasma.github.io/Logging_2283/fåglar/A 9158-2026 prioriterade fågelarter.docx", "A 9158-2026")</f>
        <v/>
      </c>
    </row>
    <row r="316" ht="15" customHeight="1">
      <c r="A316" t="inlineStr">
        <is>
          <t>A 28997-2025</t>
        </is>
      </c>
      <c r="B316" s="1" t="n">
        <v>45821.38616898148</v>
      </c>
      <c r="C316" s="1" t="n">
        <v>46093</v>
      </c>
      <c r="D316" t="inlineStr">
        <is>
          <t>VÄSTERNORRLANDS LÄN</t>
        </is>
      </c>
      <c r="E316" t="inlineStr">
        <is>
          <t>SOLLEFTEÅ</t>
        </is>
      </c>
      <c r="F316" t="inlineStr">
        <is>
          <t>SCA</t>
        </is>
      </c>
      <c r="G316" t="n">
        <v>4.2</v>
      </c>
      <c r="H316" t="n">
        <v>0</v>
      </c>
      <c r="I316" t="n">
        <v>3</v>
      </c>
      <c r="J316" t="n">
        <v>4</v>
      </c>
      <c r="K316" t="n">
        <v>0</v>
      </c>
      <c r="L316" t="n">
        <v>0</v>
      </c>
      <c r="M316" t="n">
        <v>0</v>
      </c>
      <c r="N316" t="n">
        <v>0</v>
      </c>
      <c r="O316" t="n">
        <v>4</v>
      </c>
      <c r="P316" t="n">
        <v>0</v>
      </c>
      <c r="Q316" t="n">
        <v>7</v>
      </c>
      <c r="R316" s="2" t="inlineStr">
        <is>
          <t>Dvärgbägarlav
Garnlav
Vaddporing
Vedtrappmossa
Bollvitmossa
Norrlandslav
Skuggblåslav</t>
        </is>
      </c>
      <c r="S316">
        <f>HYPERLINK("https://klasma.github.io/Logging_2283/artfynd/A 28997-2025 artfynd.xlsx", "A 28997-2025")</f>
        <v/>
      </c>
      <c r="T316">
        <f>HYPERLINK("https://klasma.github.io/Logging_2283/kartor/A 28997-2025 karta.png", "A 28997-2025")</f>
        <v/>
      </c>
      <c r="V316">
        <f>HYPERLINK("https://klasma.github.io/Logging_2283/klagomål/A 28997-2025 FSC-klagomål.docx", "A 28997-2025")</f>
        <v/>
      </c>
      <c r="W316">
        <f>HYPERLINK("https://klasma.github.io/Logging_2283/klagomålsmail/A 28997-2025 FSC-klagomål mail.docx", "A 28997-2025")</f>
        <v/>
      </c>
      <c r="X316">
        <f>HYPERLINK("https://klasma.github.io/Logging_2283/tillsyn/A 28997-2025 tillsynsbegäran.docx", "A 28997-2025")</f>
        <v/>
      </c>
      <c r="Y316">
        <f>HYPERLINK("https://klasma.github.io/Logging_2283/tillsynsmail/A 28997-2025 tillsynsbegäran mail.docx", "A 28997-2025")</f>
        <v/>
      </c>
    </row>
    <row r="317" ht="15" customHeight="1">
      <c r="A317" t="inlineStr">
        <is>
          <t>A 36923-2022</t>
        </is>
      </c>
      <c r="B317" s="1" t="n">
        <v>44805.94631944445</v>
      </c>
      <c r="C317" s="1" t="n">
        <v>46093</v>
      </c>
      <c r="D317" t="inlineStr">
        <is>
          <t>VÄSTERNORRLANDS LÄN</t>
        </is>
      </c>
      <c r="E317" t="inlineStr">
        <is>
          <t>ÖRNSKÖLDSVIK</t>
        </is>
      </c>
      <c r="F317" t="inlineStr">
        <is>
          <t>SCA</t>
        </is>
      </c>
      <c r="G317" t="n">
        <v>2.4</v>
      </c>
      <c r="H317" t="n">
        <v>0</v>
      </c>
      <c r="I317" t="n">
        <v>3</v>
      </c>
      <c r="J317" t="n">
        <v>3</v>
      </c>
      <c r="K317" t="n">
        <v>0</v>
      </c>
      <c r="L317" t="n">
        <v>0</v>
      </c>
      <c r="M317" t="n">
        <v>0</v>
      </c>
      <c r="N317" t="n">
        <v>0</v>
      </c>
      <c r="O317" t="n">
        <v>3</v>
      </c>
      <c r="P317" t="n">
        <v>0</v>
      </c>
      <c r="Q317" t="n">
        <v>6</v>
      </c>
      <c r="R317" s="2" t="inlineStr">
        <is>
          <t>Blå taggsvamp
Garnlav
Kolflarnlav
Dropptaggsvamp
Skarp dropptaggsvamp
Skinnlav</t>
        </is>
      </c>
      <c r="S317">
        <f>HYPERLINK("https://klasma.github.io/Logging_2284/artfynd/A 36923-2022 artfynd.xlsx", "A 36923-2022")</f>
        <v/>
      </c>
      <c r="T317">
        <f>HYPERLINK("https://klasma.github.io/Logging_2284/kartor/A 36923-2022 karta.png", "A 36923-2022")</f>
        <v/>
      </c>
      <c r="V317">
        <f>HYPERLINK("https://klasma.github.io/Logging_2284/klagomål/A 36923-2022 FSC-klagomål.docx", "A 36923-2022")</f>
        <v/>
      </c>
      <c r="W317">
        <f>HYPERLINK("https://klasma.github.io/Logging_2284/klagomålsmail/A 36923-2022 FSC-klagomål mail.docx", "A 36923-2022")</f>
        <v/>
      </c>
      <c r="X317">
        <f>HYPERLINK("https://klasma.github.io/Logging_2284/tillsyn/A 36923-2022 tillsynsbegäran.docx", "A 36923-2022")</f>
        <v/>
      </c>
      <c r="Y317">
        <f>HYPERLINK("https://klasma.github.io/Logging_2284/tillsynsmail/A 36923-2022 tillsynsbegäran mail.docx", "A 36923-2022")</f>
        <v/>
      </c>
    </row>
    <row r="318" ht="15" customHeight="1">
      <c r="A318" t="inlineStr">
        <is>
          <t>A 16087-2022</t>
        </is>
      </c>
      <c r="B318" s="1" t="n">
        <v>44665</v>
      </c>
      <c r="C318" s="1" t="n">
        <v>46093</v>
      </c>
      <c r="D318" t="inlineStr">
        <is>
          <t>VÄSTERNORRLANDS LÄN</t>
        </is>
      </c>
      <c r="E318" t="inlineStr">
        <is>
          <t>SOLLEFTEÅ</t>
        </is>
      </c>
      <c r="F318" t="inlineStr">
        <is>
          <t>Holmen skog AB</t>
        </is>
      </c>
      <c r="G318" t="n">
        <v>7.5</v>
      </c>
      <c r="H318" t="n">
        <v>0</v>
      </c>
      <c r="I318" t="n">
        <v>1</v>
      </c>
      <c r="J318" t="n">
        <v>3</v>
      </c>
      <c r="K318" t="n">
        <v>2</v>
      </c>
      <c r="L318" t="n">
        <v>0</v>
      </c>
      <c r="M318" t="n">
        <v>0</v>
      </c>
      <c r="N318" t="n">
        <v>0</v>
      </c>
      <c r="O318" t="n">
        <v>5</v>
      </c>
      <c r="P318" t="n">
        <v>2</v>
      </c>
      <c r="Q318" t="n">
        <v>6</v>
      </c>
      <c r="R318" s="2" t="inlineStr">
        <is>
          <t>Bitter taggsvamp
Goliatmusseron
Blå taggsvamp
Orange taggsvamp
Skrovlig taggsvamp
Skarp dropptaggsvamp</t>
        </is>
      </c>
      <c r="S318">
        <f>HYPERLINK("https://klasma.github.io/Logging_2283/artfynd/A 16087-2022 artfynd.xlsx", "A 16087-2022")</f>
        <v/>
      </c>
      <c r="T318">
        <f>HYPERLINK("https://klasma.github.io/Logging_2283/kartor/A 16087-2022 karta.png", "A 16087-2022")</f>
        <v/>
      </c>
      <c r="V318">
        <f>HYPERLINK("https://klasma.github.io/Logging_2283/klagomål/A 16087-2022 FSC-klagomål.docx", "A 16087-2022")</f>
        <v/>
      </c>
      <c r="W318">
        <f>HYPERLINK("https://klasma.github.io/Logging_2283/klagomålsmail/A 16087-2022 FSC-klagomål mail.docx", "A 16087-2022")</f>
        <v/>
      </c>
      <c r="X318">
        <f>HYPERLINK("https://klasma.github.io/Logging_2283/tillsyn/A 16087-2022 tillsynsbegäran.docx", "A 16087-2022")</f>
        <v/>
      </c>
      <c r="Y318">
        <f>HYPERLINK("https://klasma.github.io/Logging_2283/tillsynsmail/A 16087-2022 tillsynsbegäran mail.docx", "A 16087-2022")</f>
        <v/>
      </c>
    </row>
    <row r="319" ht="15" customHeight="1">
      <c r="A319" t="inlineStr">
        <is>
          <t>A 4528-2022</t>
        </is>
      </c>
      <c r="B319" s="1" t="n">
        <v>44589.93622685185</v>
      </c>
      <c r="C319" s="1" t="n">
        <v>46093</v>
      </c>
      <c r="D319" t="inlineStr">
        <is>
          <t>VÄSTERNORRLANDS LÄN</t>
        </is>
      </c>
      <c r="E319" t="inlineStr">
        <is>
          <t>SOLLEFTEÅ</t>
        </is>
      </c>
      <c r="G319" t="n">
        <v>2.6</v>
      </c>
      <c r="H319" t="n">
        <v>2</v>
      </c>
      <c r="I319" t="n">
        <v>1</v>
      </c>
      <c r="J319" t="n">
        <v>4</v>
      </c>
      <c r="K319" t="n">
        <v>0</v>
      </c>
      <c r="L319" t="n">
        <v>0</v>
      </c>
      <c r="M319" t="n">
        <v>0</v>
      </c>
      <c r="N319" t="n">
        <v>0</v>
      </c>
      <c r="O319" t="n">
        <v>4</v>
      </c>
      <c r="P319" t="n">
        <v>0</v>
      </c>
      <c r="Q319" t="n">
        <v>6</v>
      </c>
      <c r="R319" s="2" t="inlineStr">
        <is>
          <t>Garnlav
Tallticka
Tretåig hackspett
Ullticka
Vedticka
Revlummer</t>
        </is>
      </c>
      <c r="S319">
        <f>HYPERLINK("https://klasma.github.io/Logging_2283/artfynd/A 4528-2022 artfynd.xlsx", "A 4528-2022")</f>
        <v/>
      </c>
      <c r="T319">
        <f>HYPERLINK("https://klasma.github.io/Logging_2283/kartor/A 4528-2022 karta.png", "A 4528-2022")</f>
        <v/>
      </c>
      <c r="V319">
        <f>HYPERLINK("https://klasma.github.io/Logging_2283/klagomål/A 4528-2022 FSC-klagomål.docx", "A 4528-2022")</f>
        <v/>
      </c>
      <c r="W319">
        <f>HYPERLINK("https://klasma.github.io/Logging_2283/klagomålsmail/A 4528-2022 FSC-klagomål mail.docx", "A 4528-2022")</f>
        <v/>
      </c>
      <c r="X319">
        <f>HYPERLINK("https://klasma.github.io/Logging_2283/tillsyn/A 4528-2022 tillsynsbegäran.docx", "A 4528-2022")</f>
        <v/>
      </c>
      <c r="Y319">
        <f>HYPERLINK("https://klasma.github.io/Logging_2283/tillsynsmail/A 4528-2022 tillsynsbegäran mail.docx", "A 4528-2022")</f>
        <v/>
      </c>
      <c r="Z319">
        <f>HYPERLINK("https://klasma.github.io/Logging_2283/fåglar/A 4528-2022 prioriterade fågelarter.docx", "A 4528-2022")</f>
        <v/>
      </c>
    </row>
    <row r="320" ht="15" customHeight="1">
      <c r="A320" t="inlineStr">
        <is>
          <t>A 33321-2025</t>
        </is>
      </c>
      <c r="B320" s="1" t="n">
        <v>45841.34490740741</v>
      </c>
      <c r="C320" s="1" t="n">
        <v>46093</v>
      </c>
      <c r="D320" t="inlineStr">
        <is>
          <t>VÄSTERNORRLANDS LÄN</t>
        </is>
      </c>
      <c r="E320" t="inlineStr">
        <is>
          <t>SOLLEFTEÅ</t>
        </is>
      </c>
      <c r="F320" t="inlineStr">
        <is>
          <t>SCA</t>
        </is>
      </c>
      <c r="G320" t="n">
        <v>3</v>
      </c>
      <c r="H320" t="n">
        <v>3</v>
      </c>
      <c r="I320" t="n">
        <v>2</v>
      </c>
      <c r="J320" t="n">
        <v>0</v>
      </c>
      <c r="K320" t="n">
        <v>3</v>
      </c>
      <c r="L320" t="n">
        <v>0</v>
      </c>
      <c r="M320" t="n">
        <v>0</v>
      </c>
      <c r="N320" t="n">
        <v>0</v>
      </c>
      <c r="O320" t="n">
        <v>3</v>
      </c>
      <c r="P320" t="n">
        <v>3</v>
      </c>
      <c r="Q320" t="n">
        <v>6</v>
      </c>
      <c r="R320" s="2" t="inlineStr">
        <is>
          <t>Gräddporing
Knärot
Laxporing
Grönpyrola
Plattlummer
Revlummer</t>
        </is>
      </c>
      <c r="S320">
        <f>HYPERLINK("https://klasma.github.io/Logging_2283/artfynd/A 33321-2025 artfynd.xlsx", "A 33321-2025")</f>
        <v/>
      </c>
      <c r="T320">
        <f>HYPERLINK("https://klasma.github.io/Logging_2283/kartor/A 33321-2025 karta.png", "A 33321-2025")</f>
        <v/>
      </c>
      <c r="U320">
        <f>HYPERLINK("https://klasma.github.io/Logging_2283/knärot/A 33321-2025 karta knärot.png", "A 33321-2025")</f>
        <v/>
      </c>
      <c r="V320">
        <f>HYPERLINK("https://klasma.github.io/Logging_2283/klagomål/A 33321-2025 FSC-klagomål.docx", "A 33321-2025")</f>
        <v/>
      </c>
      <c r="W320">
        <f>HYPERLINK("https://klasma.github.io/Logging_2283/klagomålsmail/A 33321-2025 FSC-klagomål mail.docx", "A 33321-2025")</f>
        <v/>
      </c>
      <c r="X320">
        <f>HYPERLINK("https://klasma.github.io/Logging_2283/tillsyn/A 33321-2025 tillsynsbegäran.docx", "A 33321-2025")</f>
        <v/>
      </c>
      <c r="Y320">
        <f>HYPERLINK("https://klasma.github.io/Logging_2283/tillsynsmail/A 33321-2025 tillsynsbegäran mail.docx", "A 33321-2025")</f>
        <v/>
      </c>
    </row>
    <row r="321" ht="15" customHeight="1">
      <c r="A321" t="inlineStr">
        <is>
          <t>A 11552-2024</t>
        </is>
      </c>
      <c r="B321" s="1" t="n">
        <v>45372</v>
      </c>
      <c r="C321" s="1" t="n">
        <v>46093</v>
      </c>
      <c r="D321" t="inlineStr">
        <is>
          <t>VÄSTERNORRLANDS LÄN</t>
        </is>
      </c>
      <c r="E321" t="inlineStr">
        <is>
          <t>SOLLEFTEÅ</t>
        </is>
      </c>
      <c r="F321" t="inlineStr">
        <is>
          <t>SCA</t>
        </is>
      </c>
      <c r="G321" t="n">
        <v>2.5</v>
      </c>
      <c r="H321" t="n">
        <v>1</v>
      </c>
      <c r="I321" t="n">
        <v>0</v>
      </c>
      <c r="J321" t="n">
        <v>6</v>
      </c>
      <c r="K321" t="n">
        <v>0</v>
      </c>
      <c r="L321" t="n">
        <v>0</v>
      </c>
      <c r="M321" t="n">
        <v>0</v>
      </c>
      <c r="N321" t="n">
        <v>0</v>
      </c>
      <c r="O321" t="n">
        <v>6</v>
      </c>
      <c r="P321" t="n">
        <v>0</v>
      </c>
      <c r="Q321" t="n">
        <v>6</v>
      </c>
      <c r="R321" s="2" t="inlineStr">
        <is>
          <t>Garnlav
Lunglav
Rosenticka
Tallticka
Tretåig hackspett
Ullticka</t>
        </is>
      </c>
      <c r="S321">
        <f>HYPERLINK("https://klasma.github.io/Logging_2283/artfynd/A 11552-2024 artfynd.xlsx", "A 11552-2024")</f>
        <v/>
      </c>
      <c r="T321">
        <f>HYPERLINK("https://klasma.github.io/Logging_2283/kartor/A 11552-2024 karta.png", "A 11552-2024")</f>
        <v/>
      </c>
      <c r="V321">
        <f>HYPERLINK("https://klasma.github.io/Logging_2283/klagomål/A 11552-2024 FSC-klagomål.docx", "A 11552-2024")</f>
        <v/>
      </c>
      <c r="W321">
        <f>HYPERLINK("https://klasma.github.io/Logging_2283/klagomålsmail/A 11552-2024 FSC-klagomål mail.docx", "A 11552-2024")</f>
        <v/>
      </c>
      <c r="X321">
        <f>HYPERLINK("https://klasma.github.io/Logging_2283/tillsyn/A 11552-2024 tillsynsbegäran.docx", "A 11552-2024")</f>
        <v/>
      </c>
      <c r="Y321">
        <f>HYPERLINK("https://klasma.github.io/Logging_2283/tillsynsmail/A 11552-2024 tillsynsbegäran mail.docx", "A 11552-2024")</f>
        <v/>
      </c>
      <c r="Z321">
        <f>HYPERLINK("https://klasma.github.io/Logging_2283/fåglar/A 11552-2024 prioriterade fågelarter.docx", "A 11552-2024")</f>
        <v/>
      </c>
    </row>
    <row r="322" ht="15" customHeight="1">
      <c r="A322" t="inlineStr">
        <is>
          <t>A 69250-2021</t>
        </is>
      </c>
      <c r="B322" s="1" t="n">
        <v>44531</v>
      </c>
      <c r="C322" s="1" t="n">
        <v>46093</v>
      </c>
      <c r="D322" t="inlineStr">
        <is>
          <t>VÄSTERNORRLANDS LÄN</t>
        </is>
      </c>
      <c r="E322" t="inlineStr">
        <is>
          <t>ÖRNSKÖLDSVIK</t>
        </is>
      </c>
      <c r="F322" t="inlineStr">
        <is>
          <t>Holmen skog AB</t>
        </is>
      </c>
      <c r="G322" t="n">
        <v>4.7</v>
      </c>
      <c r="H322" t="n">
        <v>1</v>
      </c>
      <c r="I322" t="n">
        <v>2</v>
      </c>
      <c r="J322" t="n">
        <v>4</v>
      </c>
      <c r="K322" t="n">
        <v>0</v>
      </c>
      <c r="L322" t="n">
        <v>0</v>
      </c>
      <c r="M322" t="n">
        <v>0</v>
      </c>
      <c r="N322" t="n">
        <v>0</v>
      </c>
      <c r="O322" t="n">
        <v>4</v>
      </c>
      <c r="P322" t="n">
        <v>0</v>
      </c>
      <c r="Q322" t="n">
        <v>6</v>
      </c>
      <c r="R322" s="2" t="inlineStr">
        <is>
          <t>Gammelgransskål
Garnlav
Kolflarnlav
Tretåig hackspett
Skinnlav
Vedticka</t>
        </is>
      </c>
      <c r="S322">
        <f>HYPERLINK("https://klasma.github.io/Logging_2284/artfynd/A 69250-2021 artfynd.xlsx", "A 69250-2021")</f>
        <v/>
      </c>
      <c r="T322">
        <f>HYPERLINK("https://klasma.github.io/Logging_2284/kartor/A 69250-2021 karta.png", "A 69250-2021")</f>
        <v/>
      </c>
      <c r="V322">
        <f>HYPERLINK("https://klasma.github.io/Logging_2284/klagomål/A 69250-2021 FSC-klagomål.docx", "A 69250-2021")</f>
        <v/>
      </c>
      <c r="W322">
        <f>HYPERLINK("https://klasma.github.io/Logging_2284/klagomålsmail/A 69250-2021 FSC-klagomål mail.docx", "A 69250-2021")</f>
        <v/>
      </c>
      <c r="X322">
        <f>HYPERLINK("https://klasma.github.io/Logging_2284/tillsyn/A 69250-2021 tillsynsbegäran.docx", "A 69250-2021")</f>
        <v/>
      </c>
      <c r="Y322">
        <f>HYPERLINK("https://klasma.github.io/Logging_2284/tillsynsmail/A 69250-2021 tillsynsbegäran mail.docx", "A 69250-2021")</f>
        <v/>
      </c>
      <c r="Z322">
        <f>HYPERLINK("https://klasma.github.io/Logging_2284/fåglar/A 69250-2021 prioriterade fågelarter.docx", "A 69250-2021")</f>
        <v/>
      </c>
    </row>
    <row r="323" ht="15" customHeight="1">
      <c r="A323" t="inlineStr">
        <is>
          <t>A 53456-2023</t>
        </is>
      </c>
      <c r="B323" s="1" t="n">
        <v>45229</v>
      </c>
      <c r="C323" s="1" t="n">
        <v>46093</v>
      </c>
      <c r="D323" t="inlineStr">
        <is>
          <t>VÄSTERNORRLANDS LÄN</t>
        </is>
      </c>
      <c r="E323" t="inlineStr">
        <is>
          <t>ÅNGE</t>
        </is>
      </c>
      <c r="F323" t="inlineStr">
        <is>
          <t>SCA</t>
        </is>
      </c>
      <c r="G323" t="n">
        <v>23.4</v>
      </c>
      <c r="H323" t="n">
        <v>4</v>
      </c>
      <c r="I323" t="n">
        <v>0</v>
      </c>
      <c r="J323" t="n">
        <v>4</v>
      </c>
      <c r="K323" t="n">
        <v>1</v>
      </c>
      <c r="L323" t="n">
        <v>0</v>
      </c>
      <c r="M323" t="n">
        <v>0</v>
      </c>
      <c r="N323" t="n">
        <v>0</v>
      </c>
      <c r="O323" t="n">
        <v>5</v>
      </c>
      <c r="P323" t="n">
        <v>1</v>
      </c>
      <c r="Q323" t="n">
        <v>6</v>
      </c>
      <c r="R323" s="2" t="inlineStr">
        <is>
          <t>Knärot
Garnlav
Mörk kolflarnlav
Talltita
Tretåig hackspett
Orre</t>
        </is>
      </c>
      <c r="S323">
        <f>HYPERLINK("https://klasma.github.io/Logging_2260/artfynd/A 53456-2023 artfynd.xlsx", "A 53456-2023")</f>
        <v/>
      </c>
      <c r="T323">
        <f>HYPERLINK("https://klasma.github.io/Logging_2260/kartor/A 53456-2023 karta.png", "A 53456-2023")</f>
        <v/>
      </c>
      <c r="U323">
        <f>HYPERLINK("https://klasma.github.io/Logging_2260/knärot/A 53456-2023 karta knärot.png", "A 53456-2023")</f>
        <v/>
      </c>
      <c r="V323">
        <f>HYPERLINK("https://klasma.github.io/Logging_2260/klagomål/A 53456-2023 FSC-klagomål.docx", "A 53456-2023")</f>
        <v/>
      </c>
      <c r="W323">
        <f>HYPERLINK("https://klasma.github.io/Logging_2260/klagomålsmail/A 53456-2023 FSC-klagomål mail.docx", "A 53456-2023")</f>
        <v/>
      </c>
      <c r="X323">
        <f>HYPERLINK("https://klasma.github.io/Logging_2260/tillsyn/A 53456-2023 tillsynsbegäran.docx", "A 53456-2023")</f>
        <v/>
      </c>
      <c r="Y323">
        <f>HYPERLINK("https://klasma.github.io/Logging_2260/tillsynsmail/A 53456-2023 tillsynsbegäran mail.docx", "A 53456-2023")</f>
        <v/>
      </c>
      <c r="Z323">
        <f>HYPERLINK("https://klasma.github.io/Logging_2260/fåglar/A 53456-2023 prioriterade fågelarter.docx", "A 53456-2023")</f>
        <v/>
      </c>
    </row>
    <row r="324" ht="15" customHeight="1">
      <c r="A324" t="inlineStr">
        <is>
          <t>A 23553-2024</t>
        </is>
      </c>
      <c r="B324" s="1" t="n">
        <v>45453</v>
      </c>
      <c r="C324" s="1" t="n">
        <v>46093</v>
      </c>
      <c r="D324" t="inlineStr">
        <is>
          <t>VÄSTERNORRLANDS LÄN</t>
        </is>
      </c>
      <c r="E324" t="inlineStr">
        <is>
          <t>SUNDSVALL</t>
        </is>
      </c>
      <c r="F324" t="inlineStr">
        <is>
          <t>SCA</t>
        </is>
      </c>
      <c r="G324" t="n">
        <v>2.8</v>
      </c>
      <c r="H324" t="n">
        <v>1</v>
      </c>
      <c r="I324" t="n">
        <v>3</v>
      </c>
      <c r="J324" t="n">
        <v>2</v>
      </c>
      <c r="K324" t="n">
        <v>1</v>
      </c>
      <c r="L324" t="n">
        <v>0</v>
      </c>
      <c r="M324" t="n">
        <v>0</v>
      </c>
      <c r="N324" t="n">
        <v>0</v>
      </c>
      <c r="O324" t="n">
        <v>3</v>
      </c>
      <c r="P324" t="n">
        <v>1</v>
      </c>
      <c r="Q324" t="n">
        <v>6</v>
      </c>
      <c r="R324" s="2" t="inlineStr">
        <is>
          <t>Knärot
Ullticka
Vedtrappmossa
Kattfotslav
Rödgul trumpetsvamp
Vedticka</t>
        </is>
      </c>
      <c r="S324">
        <f>HYPERLINK("https://klasma.github.io/Logging_2281/artfynd/A 23553-2024 artfynd.xlsx", "A 23553-2024")</f>
        <v/>
      </c>
      <c r="T324">
        <f>HYPERLINK("https://klasma.github.io/Logging_2281/kartor/A 23553-2024 karta.png", "A 23553-2024")</f>
        <v/>
      </c>
      <c r="U324">
        <f>HYPERLINK("https://klasma.github.io/Logging_2281/knärot/A 23553-2024 karta knärot.png", "A 23553-2024")</f>
        <v/>
      </c>
      <c r="V324">
        <f>HYPERLINK("https://klasma.github.io/Logging_2281/klagomål/A 23553-2024 FSC-klagomål.docx", "A 23553-2024")</f>
        <v/>
      </c>
      <c r="W324">
        <f>HYPERLINK("https://klasma.github.io/Logging_2281/klagomålsmail/A 23553-2024 FSC-klagomål mail.docx", "A 23553-2024")</f>
        <v/>
      </c>
      <c r="X324">
        <f>HYPERLINK("https://klasma.github.io/Logging_2281/tillsyn/A 23553-2024 tillsynsbegäran.docx", "A 23553-2024")</f>
        <v/>
      </c>
      <c r="Y324">
        <f>HYPERLINK("https://klasma.github.io/Logging_2281/tillsynsmail/A 23553-2024 tillsynsbegäran mail.docx", "A 23553-2024")</f>
        <v/>
      </c>
    </row>
    <row r="325" ht="15" customHeight="1">
      <c r="A325" t="inlineStr">
        <is>
          <t>A 31885-2024</t>
        </is>
      </c>
      <c r="B325" s="1" t="n">
        <v>45509.95769675926</v>
      </c>
      <c r="C325" s="1" t="n">
        <v>46093</v>
      </c>
      <c r="D325" t="inlineStr">
        <is>
          <t>VÄSTERNORRLANDS LÄN</t>
        </is>
      </c>
      <c r="E325" t="inlineStr">
        <is>
          <t>SOLLEFTEÅ</t>
        </is>
      </c>
      <c r="F325" t="inlineStr">
        <is>
          <t>SCA</t>
        </is>
      </c>
      <c r="G325" t="n">
        <v>4.1</v>
      </c>
      <c r="H325" t="n">
        <v>3</v>
      </c>
      <c r="I325" t="n">
        <v>1</v>
      </c>
      <c r="J325" t="n">
        <v>4</v>
      </c>
      <c r="K325" t="n">
        <v>1</v>
      </c>
      <c r="L325" t="n">
        <v>0</v>
      </c>
      <c r="M325" t="n">
        <v>0</v>
      </c>
      <c r="N325" t="n">
        <v>0</v>
      </c>
      <c r="O325" t="n">
        <v>5</v>
      </c>
      <c r="P325" t="n">
        <v>1</v>
      </c>
      <c r="Q325" t="n">
        <v>6</v>
      </c>
      <c r="R325" s="2" t="inlineStr">
        <is>
          <t>Knärot
Garnlav
Lunglav
Spillkråka
Talltita
Luddlav</t>
        </is>
      </c>
      <c r="S325">
        <f>HYPERLINK("https://klasma.github.io/Logging_2283/artfynd/A 31885-2024 artfynd.xlsx", "A 31885-2024")</f>
        <v/>
      </c>
      <c r="T325">
        <f>HYPERLINK("https://klasma.github.io/Logging_2283/kartor/A 31885-2024 karta.png", "A 31885-2024")</f>
        <v/>
      </c>
      <c r="U325">
        <f>HYPERLINK("https://klasma.github.io/Logging_2283/knärot/A 31885-2024 karta knärot.png", "A 31885-2024")</f>
        <v/>
      </c>
      <c r="V325">
        <f>HYPERLINK("https://klasma.github.io/Logging_2283/klagomål/A 31885-2024 FSC-klagomål.docx", "A 31885-2024")</f>
        <v/>
      </c>
      <c r="W325">
        <f>HYPERLINK("https://klasma.github.io/Logging_2283/klagomålsmail/A 31885-2024 FSC-klagomål mail.docx", "A 31885-2024")</f>
        <v/>
      </c>
      <c r="X325">
        <f>HYPERLINK("https://klasma.github.io/Logging_2283/tillsyn/A 31885-2024 tillsynsbegäran.docx", "A 31885-2024")</f>
        <v/>
      </c>
      <c r="Y325">
        <f>HYPERLINK("https://klasma.github.io/Logging_2283/tillsynsmail/A 31885-2024 tillsynsbegäran mail.docx", "A 31885-2024")</f>
        <v/>
      </c>
      <c r="Z325">
        <f>HYPERLINK("https://klasma.github.io/Logging_2283/fåglar/A 31885-2024 prioriterade fågelarter.docx", "A 31885-2024")</f>
        <v/>
      </c>
    </row>
    <row r="326" ht="15" customHeight="1">
      <c r="A326" t="inlineStr">
        <is>
          <t>A 7587-2024</t>
        </is>
      </c>
      <c r="B326" s="1" t="n">
        <v>45348</v>
      </c>
      <c r="C326" s="1" t="n">
        <v>46093</v>
      </c>
      <c r="D326" t="inlineStr">
        <is>
          <t>VÄSTERNORRLANDS LÄN</t>
        </is>
      </c>
      <c r="E326" t="inlineStr">
        <is>
          <t>ÖRNSKÖLDSVIK</t>
        </is>
      </c>
      <c r="F326" t="inlineStr">
        <is>
          <t>Holmen skog AB</t>
        </is>
      </c>
      <c r="G326" t="n">
        <v>10.6</v>
      </c>
      <c r="H326" t="n">
        <v>0</v>
      </c>
      <c r="I326" t="n">
        <v>0</v>
      </c>
      <c r="J326" t="n">
        <v>6</v>
      </c>
      <c r="K326" t="n">
        <v>0</v>
      </c>
      <c r="L326" t="n">
        <v>0</v>
      </c>
      <c r="M326" t="n">
        <v>0</v>
      </c>
      <c r="N326" t="n">
        <v>0</v>
      </c>
      <c r="O326" t="n">
        <v>6</v>
      </c>
      <c r="P326" t="n">
        <v>0</v>
      </c>
      <c r="Q326" t="n">
        <v>6</v>
      </c>
      <c r="R326" s="2" t="inlineStr">
        <is>
          <t>Dvärgbägarlav
Kolflarnlav
Orange taggsvamp
Skrovlig taggsvamp
Svart taggsvamp agg.
Vaddporing</t>
        </is>
      </c>
      <c r="S326">
        <f>HYPERLINK("https://klasma.github.io/Logging_2284/artfynd/A 7587-2024 artfynd.xlsx", "A 7587-2024")</f>
        <v/>
      </c>
      <c r="T326">
        <f>HYPERLINK("https://klasma.github.io/Logging_2284/kartor/A 7587-2024 karta.png", "A 7587-2024")</f>
        <v/>
      </c>
      <c r="V326">
        <f>HYPERLINK("https://klasma.github.io/Logging_2284/klagomål/A 7587-2024 FSC-klagomål.docx", "A 7587-2024")</f>
        <v/>
      </c>
      <c r="W326">
        <f>HYPERLINK("https://klasma.github.io/Logging_2284/klagomålsmail/A 7587-2024 FSC-klagomål mail.docx", "A 7587-2024")</f>
        <v/>
      </c>
      <c r="X326">
        <f>HYPERLINK("https://klasma.github.io/Logging_2284/tillsyn/A 7587-2024 tillsynsbegäran.docx", "A 7587-2024")</f>
        <v/>
      </c>
      <c r="Y326">
        <f>HYPERLINK("https://klasma.github.io/Logging_2284/tillsynsmail/A 7587-2024 tillsynsbegäran mail.docx", "A 7587-2024")</f>
        <v/>
      </c>
    </row>
    <row r="327" ht="15" customHeight="1">
      <c r="A327" t="inlineStr">
        <is>
          <t>A 14860-2023</t>
        </is>
      </c>
      <c r="B327" s="1" t="n">
        <v>45015.07157407407</v>
      </c>
      <c r="C327" s="1" t="n">
        <v>46093</v>
      </c>
      <c r="D327" t="inlineStr">
        <is>
          <t>VÄSTERNORRLANDS LÄN</t>
        </is>
      </c>
      <c r="E327" t="inlineStr">
        <is>
          <t>SOLLEFTEÅ</t>
        </is>
      </c>
      <c r="F327" t="inlineStr">
        <is>
          <t>SCA</t>
        </is>
      </c>
      <c r="G327" t="n">
        <v>5.8</v>
      </c>
      <c r="H327" t="n">
        <v>1</v>
      </c>
      <c r="I327" t="n">
        <v>2</v>
      </c>
      <c r="J327" t="n">
        <v>3</v>
      </c>
      <c r="K327" t="n">
        <v>1</v>
      </c>
      <c r="L327" t="n">
        <v>0</v>
      </c>
      <c r="M327" t="n">
        <v>0</v>
      </c>
      <c r="N327" t="n">
        <v>0</v>
      </c>
      <c r="O327" t="n">
        <v>4</v>
      </c>
      <c r="P327" t="n">
        <v>1</v>
      </c>
      <c r="Q327" t="n">
        <v>6</v>
      </c>
      <c r="R327" s="2" t="inlineStr">
        <is>
          <t>Knärot
Granticka
Lunglav
Ullticka
Skinnlav
Stuplav</t>
        </is>
      </c>
      <c r="S327">
        <f>HYPERLINK("https://klasma.github.io/Logging_2283/artfynd/A 14860-2023 artfynd.xlsx", "A 14860-2023")</f>
        <v/>
      </c>
      <c r="T327">
        <f>HYPERLINK("https://klasma.github.io/Logging_2283/kartor/A 14860-2023 karta.png", "A 14860-2023")</f>
        <v/>
      </c>
      <c r="U327">
        <f>HYPERLINK("https://klasma.github.io/Logging_2283/knärot/A 14860-2023 karta knärot.png", "A 14860-2023")</f>
        <v/>
      </c>
      <c r="V327">
        <f>HYPERLINK("https://klasma.github.io/Logging_2283/klagomål/A 14860-2023 FSC-klagomål.docx", "A 14860-2023")</f>
        <v/>
      </c>
      <c r="W327">
        <f>HYPERLINK("https://klasma.github.io/Logging_2283/klagomålsmail/A 14860-2023 FSC-klagomål mail.docx", "A 14860-2023")</f>
        <v/>
      </c>
      <c r="X327">
        <f>HYPERLINK("https://klasma.github.io/Logging_2283/tillsyn/A 14860-2023 tillsynsbegäran.docx", "A 14860-2023")</f>
        <v/>
      </c>
      <c r="Y327">
        <f>HYPERLINK("https://klasma.github.io/Logging_2283/tillsynsmail/A 14860-2023 tillsynsbegäran mail.docx", "A 14860-2023")</f>
        <v/>
      </c>
    </row>
    <row r="328" ht="15" customHeight="1">
      <c r="A328" t="inlineStr">
        <is>
          <t>A 18100-2025</t>
        </is>
      </c>
      <c r="B328" s="1" t="n">
        <v>45761.55240740741</v>
      </c>
      <c r="C328" s="1" t="n">
        <v>46093</v>
      </c>
      <c r="D328" t="inlineStr">
        <is>
          <t>VÄSTERNORRLANDS LÄN</t>
        </is>
      </c>
      <c r="E328" t="inlineStr">
        <is>
          <t>SOLLEFTEÅ</t>
        </is>
      </c>
      <c r="F328" t="inlineStr">
        <is>
          <t>SCA</t>
        </is>
      </c>
      <c r="G328" t="n">
        <v>3.6</v>
      </c>
      <c r="H328" t="n">
        <v>1</v>
      </c>
      <c r="I328" t="n">
        <v>0</v>
      </c>
      <c r="J328" t="n">
        <v>3</v>
      </c>
      <c r="K328" t="n">
        <v>3</v>
      </c>
      <c r="L328" t="n">
        <v>0</v>
      </c>
      <c r="M328" t="n">
        <v>0</v>
      </c>
      <c r="N328" t="n">
        <v>0</v>
      </c>
      <c r="O328" t="n">
        <v>6</v>
      </c>
      <c r="P328" t="n">
        <v>3</v>
      </c>
      <c r="Q328" t="n">
        <v>6</v>
      </c>
      <c r="R328" s="2" t="inlineStr">
        <is>
          <t>Knärot
Lappticka
Rynkskinn
Granticka
Lunglav
Ullticka</t>
        </is>
      </c>
      <c r="S328">
        <f>HYPERLINK("https://klasma.github.io/Logging_2283/artfynd/A 18100-2025 artfynd.xlsx", "A 18100-2025")</f>
        <v/>
      </c>
      <c r="T328">
        <f>HYPERLINK("https://klasma.github.io/Logging_2283/kartor/A 18100-2025 karta.png", "A 18100-2025")</f>
        <v/>
      </c>
      <c r="U328">
        <f>HYPERLINK("https://klasma.github.io/Logging_2283/knärot/A 18100-2025 karta knärot.png", "A 18100-2025")</f>
        <v/>
      </c>
      <c r="V328">
        <f>HYPERLINK("https://klasma.github.io/Logging_2283/klagomål/A 18100-2025 FSC-klagomål.docx", "A 18100-2025")</f>
        <v/>
      </c>
      <c r="W328">
        <f>HYPERLINK("https://klasma.github.io/Logging_2283/klagomålsmail/A 18100-2025 FSC-klagomål mail.docx", "A 18100-2025")</f>
        <v/>
      </c>
      <c r="X328">
        <f>HYPERLINK("https://klasma.github.io/Logging_2283/tillsyn/A 18100-2025 tillsynsbegäran.docx", "A 18100-2025")</f>
        <v/>
      </c>
      <c r="Y328">
        <f>HYPERLINK("https://klasma.github.io/Logging_2283/tillsynsmail/A 18100-2025 tillsynsbegäran mail.docx", "A 18100-2025")</f>
        <v/>
      </c>
    </row>
    <row r="329" ht="15" customHeight="1">
      <c r="A329" t="inlineStr">
        <is>
          <t>A 44376-2024</t>
        </is>
      </c>
      <c r="B329" s="1" t="n">
        <v>45573.6583912037</v>
      </c>
      <c r="C329" s="1" t="n">
        <v>46093</v>
      </c>
      <c r="D329" t="inlineStr">
        <is>
          <t>VÄSTERNORRLANDS LÄN</t>
        </is>
      </c>
      <c r="E329" t="inlineStr">
        <is>
          <t>ÖRNSKÖLDSVIK</t>
        </is>
      </c>
      <c r="F329" t="inlineStr">
        <is>
          <t>SCA</t>
        </is>
      </c>
      <c r="G329" t="n">
        <v>3.7</v>
      </c>
      <c r="H329" t="n">
        <v>1</v>
      </c>
      <c r="I329" t="n">
        <v>1</v>
      </c>
      <c r="J329" t="n">
        <v>3</v>
      </c>
      <c r="K329" t="n">
        <v>1</v>
      </c>
      <c r="L329" t="n">
        <v>0</v>
      </c>
      <c r="M329" t="n">
        <v>0</v>
      </c>
      <c r="N329" t="n">
        <v>0</v>
      </c>
      <c r="O329" t="n">
        <v>4</v>
      </c>
      <c r="P329" t="n">
        <v>1</v>
      </c>
      <c r="Q329" t="n">
        <v>6</v>
      </c>
      <c r="R329" s="2" t="inlineStr">
        <is>
          <t>Rynkskinn
Gammelgransskål
Lunglav
Ullticka
Stuplav
Lavskrika</t>
        </is>
      </c>
      <c r="S329">
        <f>HYPERLINK("https://klasma.github.io/Logging_2284/artfynd/A 44376-2024 artfynd.xlsx", "A 44376-2024")</f>
        <v/>
      </c>
      <c r="T329">
        <f>HYPERLINK("https://klasma.github.io/Logging_2284/kartor/A 44376-2024 karta.png", "A 44376-2024")</f>
        <v/>
      </c>
      <c r="V329">
        <f>HYPERLINK("https://klasma.github.io/Logging_2284/klagomål/A 44376-2024 FSC-klagomål.docx", "A 44376-2024")</f>
        <v/>
      </c>
      <c r="W329">
        <f>HYPERLINK("https://klasma.github.io/Logging_2284/klagomålsmail/A 44376-2024 FSC-klagomål mail.docx", "A 44376-2024")</f>
        <v/>
      </c>
      <c r="X329">
        <f>HYPERLINK("https://klasma.github.io/Logging_2284/tillsyn/A 44376-2024 tillsynsbegäran.docx", "A 44376-2024")</f>
        <v/>
      </c>
      <c r="Y329">
        <f>HYPERLINK("https://klasma.github.io/Logging_2284/tillsynsmail/A 44376-2024 tillsynsbegäran mail.docx", "A 44376-2024")</f>
        <v/>
      </c>
      <c r="Z329">
        <f>HYPERLINK("https://klasma.github.io/Logging_2284/fåglar/A 44376-2024 prioriterade fågelarter.docx", "A 44376-2024")</f>
        <v/>
      </c>
    </row>
    <row r="330" ht="15" customHeight="1">
      <c r="A330" t="inlineStr">
        <is>
          <t>A 31509-2024</t>
        </is>
      </c>
      <c r="B330" s="1" t="n">
        <v>45505</v>
      </c>
      <c r="C330" s="1" t="n">
        <v>46093</v>
      </c>
      <c r="D330" t="inlineStr">
        <is>
          <t>VÄSTERNORRLANDS LÄN</t>
        </is>
      </c>
      <c r="E330" t="inlineStr">
        <is>
          <t>ÅNGE</t>
        </is>
      </c>
      <c r="F330" t="inlineStr">
        <is>
          <t>SCA</t>
        </is>
      </c>
      <c r="G330" t="n">
        <v>21.3</v>
      </c>
      <c r="H330" t="n">
        <v>0</v>
      </c>
      <c r="I330" t="n">
        <v>2</v>
      </c>
      <c r="J330" t="n">
        <v>4</v>
      </c>
      <c r="K330" t="n">
        <v>0</v>
      </c>
      <c r="L330" t="n">
        <v>0</v>
      </c>
      <c r="M330" t="n">
        <v>0</v>
      </c>
      <c r="N330" t="n">
        <v>0</v>
      </c>
      <c r="O330" t="n">
        <v>4</v>
      </c>
      <c r="P330" t="n">
        <v>0</v>
      </c>
      <c r="Q330" t="n">
        <v>6</v>
      </c>
      <c r="R330" s="2" t="inlineStr">
        <is>
          <t>Doftskinn
Granticka
Rosenticka
Ullticka
Bollvitmossa
Trådticka</t>
        </is>
      </c>
      <c r="S330">
        <f>HYPERLINK("https://klasma.github.io/Logging_2260/artfynd/A 31509-2024 artfynd.xlsx", "A 31509-2024")</f>
        <v/>
      </c>
      <c r="T330">
        <f>HYPERLINK("https://klasma.github.io/Logging_2260/kartor/A 31509-2024 karta.png", "A 31509-2024")</f>
        <v/>
      </c>
      <c r="V330">
        <f>HYPERLINK("https://klasma.github.io/Logging_2260/klagomål/A 31509-2024 FSC-klagomål.docx", "A 31509-2024")</f>
        <v/>
      </c>
      <c r="W330">
        <f>HYPERLINK("https://klasma.github.io/Logging_2260/klagomålsmail/A 31509-2024 FSC-klagomål mail.docx", "A 31509-2024")</f>
        <v/>
      </c>
      <c r="X330">
        <f>HYPERLINK("https://klasma.github.io/Logging_2260/tillsyn/A 31509-2024 tillsynsbegäran.docx", "A 31509-2024")</f>
        <v/>
      </c>
      <c r="Y330">
        <f>HYPERLINK("https://klasma.github.io/Logging_2260/tillsynsmail/A 31509-2024 tillsynsbegäran mail.docx", "A 31509-2024")</f>
        <v/>
      </c>
    </row>
    <row r="331" ht="15" customHeight="1">
      <c r="A331" t="inlineStr">
        <is>
          <t>A 39570-2025</t>
        </is>
      </c>
      <c r="B331" s="1" t="n">
        <v>45890.49009259259</v>
      </c>
      <c r="C331" s="1" t="n">
        <v>46093</v>
      </c>
      <c r="D331" t="inlineStr">
        <is>
          <t>VÄSTERNORRLANDS LÄN</t>
        </is>
      </c>
      <c r="E331" t="inlineStr">
        <is>
          <t>ÅNGE</t>
        </is>
      </c>
      <c r="F331" t="inlineStr">
        <is>
          <t>SCA</t>
        </is>
      </c>
      <c r="G331" t="n">
        <v>2.4</v>
      </c>
      <c r="H331" t="n">
        <v>0</v>
      </c>
      <c r="I331" t="n">
        <v>2</v>
      </c>
      <c r="J331" t="n">
        <v>4</v>
      </c>
      <c r="K331" t="n">
        <v>0</v>
      </c>
      <c r="L331" t="n">
        <v>0</v>
      </c>
      <c r="M331" t="n">
        <v>0</v>
      </c>
      <c r="N331" t="n">
        <v>0</v>
      </c>
      <c r="O331" t="n">
        <v>4</v>
      </c>
      <c r="P331" t="n">
        <v>0</v>
      </c>
      <c r="Q331" t="n">
        <v>6</v>
      </c>
      <c r="R331" s="2" t="inlineStr">
        <is>
          <t>Garnlav
Lunglav
Skrovellav
Småflikig brosklav
Skinnlav
Stor aspticka</t>
        </is>
      </c>
      <c r="S331">
        <f>HYPERLINK("https://klasma.github.io/Logging_2260/artfynd/A 39570-2025 artfynd.xlsx", "A 39570-2025")</f>
        <v/>
      </c>
      <c r="T331">
        <f>HYPERLINK("https://klasma.github.io/Logging_2260/kartor/A 39570-2025 karta.png", "A 39570-2025")</f>
        <v/>
      </c>
      <c r="V331">
        <f>HYPERLINK("https://klasma.github.io/Logging_2260/klagomål/A 39570-2025 FSC-klagomål.docx", "A 39570-2025")</f>
        <v/>
      </c>
      <c r="W331">
        <f>HYPERLINK("https://klasma.github.io/Logging_2260/klagomålsmail/A 39570-2025 FSC-klagomål mail.docx", "A 39570-2025")</f>
        <v/>
      </c>
      <c r="X331">
        <f>HYPERLINK("https://klasma.github.io/Logging_2260/tillsyn/A 39570-2025 tillsynsbegäran.docx", "A 39570-2025")</f>
        <v/>
      </c>
      <c r="Y331">
        <f>HYPERLINK("https://klasma.github.io/Logging_2260/tillsynsmail/A 39570-2025 tillsynsbegäran mail.docx", "A 39570-2025")</f>
        <v/>
      </c>
    </row>
    <row r="332" ht="15" customHeight="1">
      <c r="A332" t="inlineStr">
        <is>
          <t>A 34694-2023</t>
        </is>
      </c>
      <c r="B332" s="1" t="n">
        <v>45140.96324074074</v>
      </c>
      <c r="C332" s="1" t="n">
        <v>46093</v>
      </c>
      <c r="D332" t="inlineStr">
        <is>
          <t>VÄSTERNORRLANDS LÄN</t>
        </is>
      </c>
      <c r="E332" t="inlineStr">
        <is>
          <t>ÅNGE</t>
        </is>
      </c>
      <c r="F332" t="inlineStr">
        <is>
          <t>SCA</t>
        </is>
      </c>
      <c r="G332" t="n">
        <v>3</v>
      </c>
      <c r="H332" t="n">
        <v>1</v>
      </c>
      <c r="I332" t="n">
        <v>3</v>
      </c>
      <c r="J332" t="n">
        <v>2</v>
      </c>
      <c r="K332" t="n">
        <v>1</v>
      </c>
      <c r="L332" t="n">
        <v>0</v>
      </c>
      <c r="M332" t="n">
        <v>0</v>
      </c>
      <c r="N332" t="n">
        <v>0</v>
      </c>
      <c r="O332" t="n">
        <v>3</v>
      </c>
      <c r="P332" t="n">
        <v>1</v>
      </c>
      <c r="Q332" t="n">
        <v>6</v>
      </c>
      <c r="R332" s="2" t="inlineStr">
        <is>
          <t>Laxgröppa
Garnlav
Vedskivlav
Dropptaggsvamp
Spindelblomster
Vedticka</t>
        </is>
      </c>
      <c r="S332">
        <f>HYPERLINK("https://klasma.github.io/Logging_2260/artfynd/A 34694-2023 artfynd.xlsx", "A 34694-2023")</f>
        <v/>
      </c>
      <c r="T332">
        <f>HYPERLINK("https://klasma.github.io/Logging_2260/kartor/A 34694-2023 karta.png", "A 34694-2023")</f>
        <v/>
      </c>
      <c r="V332">
        <f>HYPERLINK("https://klasma.github.io/Logging_2260/klagomål/A 34694-2023 FSC-klagomål.docx", "A 34694-2023")</f>
        <v/>
      </c>
      <c r="W332">
        <f>HYPERLINK("https://klasma.github.io/Logging_2260/klagomålsmail/A 34694-2023 FSC-klagomål mail.docx", "A 34694-2023")</f>
        <v/>
      </c>
      <c r="X332">
        <f>HYPERLINK("https://klasma.github.io/Logging_2260/tillsyn/A 34694-2023 tillsynsbegäran.docx", "A 34694-2023")</f>
        <v/>
      </c>
      <c r="Y332">
        <f>HYPERLINK("https://klasma.github.io/Logging_2260/tillsynsmail/A 34694-2023 tillsynsbegäran mail.docx", "A 34694-2023")</f>
        <v/>
      </c>
    </row>
    <row r="333" ht="15" customHeight="1">
      <c r="A333" t="inlineStr">
        <is>
          <t>A 35632-2025</t>
        </is>
      </c>
      <c r="B333" s="1" t="n">
        <v>45859.44893518519</v>
      </c>
      <c r="C333" s="1" t="n">
        <v>46093</v>
      </c>
      <c r="D333" t="inlineStr">
        <is>
          <t>VÄSTERNORRLANDS LÄN</t>
        </is>
      </c>
      <c r="E333" t="inlineStr">
        <is>
          <t>SOLLEFTEÅ</t>
        </is>
      </c>
      <c r="F333" t="inlineStr">
        <is>
          <t>SCA</t>
        </is>
      </c>
      <c r="G333" t="n">
        <v>6.1</v>
      </c>
      <c r="H333" t="n">
        <v>2</v>
      </c>
      <c r="I333" t="n">
        <v>3</v>
      </c>
      <c r="J333" t="n">
        <v>3</v>
      </c>
      <c r="K333" t="n">
        <v>0</v>
      </c>
      <c r="L333" t="n">
        <v>0</v>
      </c>
      <c r="M333" t="n">
        <v>0</v>
      </c>
      <c r="N333" t="n">
        <v>0</v>
      </c>
      <c r="O333" t="n">
        <v>3</v>
      </c>
      <c r="P333" t="n">
        <v>0</v>
      </c>
      <c r="Q333" t="n">
        <v>6</v>
      </c>
      <c r="R333" s="2" t="inlineStr">
        <is>
          <t>Björktrast
Kolflarnlav
Vaddporing
Bollvitmossa
Plattlummer
Zontaggsvamp</t>
        </is>
      </c>
      <c r="S333">
        <f>HYPERLINK("https://klasma.github.io/Logging_2283/artfynd/A 35632-2025 artfynd.xlsx", "A 35632-2025")</f>
        <v/>
      </c>
      <c r="T333">
        <f>HYPERLINK("https://klasma.github.io/Logging_2283/kartor/A 35632-2025 karta.png", "A 35632-2025")</f>
        <v/>
      </c>
      <c r="V333">
        <f>HYPERLINK("https://klasma.github.io/Logging_2283/klagomål/A 35632-2025 FSC-klagomål.docx", "A 35632-2025")</f>
        <v/>
      </c>
      <c r="W333">
        <f>HYPERLINK("https://klasma.github.io/Logging_2283/klagomålsmail/A 35632-2025 FSC-klagomål mail.docx", "A 35632-2025")</f>
        <v/>
      </c>
      <c r="X333">
        <f>HYPERLINK("https://klasma.github.io/Logging_2283/tillsyn/A 35632-2025 tillsynsbegäran.docx", "A 35632-2025")</f>
        <v/>
      </c>
      <c r="Y333">
        <f>HYPERLINK("https://klasma.github.io/Logging_2283/tillsynsmail/A 35632-2025 tillsynsbegäran mail.docx", "A 35632-2025")</f>
        <v/>
      </c>
      <c r="Z333">
        <f>HYPERLINK("https://klasma.github.io/Logging_2283/fåglar/A 35632-2025 prioriterade fågelarter.docx", "A 35632-2025")</f>
        <v/>
      </c>
    </row>
    <row r="334" ht="15" customHeight="1">
      <c r="A334" t="inlineStr">
        <is>
          <t>A 35994-2025</t>
        </is>
      </c>
      <c r="B334" s="1" t="n">
        <v>45863.49002314815</v>
      </c>
      <c r="C334" s="1" t="n">
        <v>46093</v>
      </c>
      <c r="D334" t="inlineStr">
        <is>
          <t>VÄSTERNORRLANDS LÄN</t>
        </is>
      </c>
      <c r="E334" t="inlineStr">
        <is>
          <t>ÖRNSKÖLDSVIK</t>
        </is>
      </c>
      <c r="F334" t="inlineStr">
        <is>
          <t>SCA</t>
        </is>
      </c>
      <c r="G334" t="n">
        <v>3.3</v>
      </c>
      <c r="H334" t="n">
        <v>0</v>
      </c>
      <c r="I334" t="n">
        <v>3</v>
      </c>
      <c r="J334" t="n">
        <v>3</v>
      </c>
      <c r="K334" t="n">
        <v>0</v>
      </c>
      <c r="L334" t="n">
        <v>0</v>
      </c>
      <c r="M334" t="n">
        <v>0</v>
      </c>
      <c r="N334" t="n">
        <v>0</v>
      </c>
      <c r="O334" t="n">
        <v>3</v>
      </c>
      <c r="P334" t="n">
        <v>0</v>
      </c>
      <c r="Q334" t="n">
        <v>6</v>
      </c>
      <c r="R334" s="2" t="inlineStr">
        <is>
          <t>Gammelgransskål
Garnlav
Ullticka
Barkkornlav
Mörk husmossa
Stuplav</t>
        </is>
      </c>
      <c r="S334">
        <f>HYPERLINK("https://klasma.github.io/Logging_2284/artfynd/A 35994-2025 artfynd.xlsx", "A 35994-2025")</f>
        <v/>
      </c>
      <c r="T334">
        <f>HYPERLINK("https://klasma.github.io/Logging_2284/kartor/A 35994-2025 karta.png", "A 35994-2025")</f>
        <v/>
      </c>
      <c r="V334">
        <f>HYPERLINK("https://klasma.github.io/Logging_2284/klagomål/A 35994-2025 FSC-klagomål.docx", "A 35994-2025")</f>
        <v/>
      </c>
      <c r="W334">
        <f>HYPERLINK("https://klasma.github.io/Logging_2284/klagomålsmail/A 35994-2025 FSC-klagomål mail.docx", "A 35994-2025")</f>
        <v/>
      </c>
      <c r="X334">
        <f>HYPERLINK("https://klasma.github.io/Logging_2284/tillsyn/A 35994-2025 tillsynsbegäran.docx", "A 35994-2025")</f>
        <v/>
      </c>
      <c r="Y334">
        <f>HYPERLINK("https://klasma.github.io/Logging_2284/tillsynsmail/A 35994-2025 tillsynsbegäran mail.docx", "A 35994-2025")</f>
        <v/>
      </c>
    </row>
    <row r="335" ht="15" customHeight="1">
      <c r="A335" t="inlineStr">
        <is>
          <t>A 13250-2025</t>
        </is>
      </c>
      <c r="B335" s="1" t="n">
        <v>45735.49013888889</v>
      </c>
      <c r="C335" s="1" t="n">
        <v>46093</v>
      </c>
      <c r="D335" t="inlineStr">
        <is>
          <t>VÄSTERNORRLANDS LÄN</t>
        </is>
      </c>
      <c r="E335" t="inlineStr">
        <is>
          <t>SOLLEFTEÅ</t>
        </is>
      </c>
      <c r="F335" t="inlineStr">
        <is>
          <t>SCA</t>
        </is>
      </c>
      <c r="G335" t="n">
        <v>1.4</v>
      </c>
      <c r="H335" t="n">
        <v>3</v>
      </c>
      <c r="I335" t="n">
        <v>1</v>
      </c>
      <c r="J335" t="n">
        <v>4</v>
      </c>
      <c r="K335" t="n">
        <v>0</v>
      </c>
      <c r="L335" t="n">
        <v>0</v>
      </c>
      <c r="M335" t="n">
        <v>0</v>
      </c>
      <c r="N335" t="n">
        <v>0</v>
      </c>
      <c r="O335" t="n">
        <v>4</v>
      </c>
      <c r="P335" t="n">
        <v>0</v>
      </c>
      <c r="Q335" t="n">
        <v>6</v>
      </c>
      <c r="R335" s="2" t="inlineStr">
        <is>
          <t>Lunglav
Spillkråka
Tretåig hackspett
Ullticka
Vedticka
Tjäder</t>
        </is>
      </c>
      <c r="S335">
        <f>HYPERLINK("https://klasma.github.io/Logging_2283/artfynd/A 13250-2025 artfynd.xlsx", "A 13250-2025")</f>
        <v/>
      </c>
      <c r="T335">
        <f>HYPERLINK("https://klasma.github.io/Logging_2283/kartor/A 13250-2025 karta.png", "A 13250-2025")</f>
        <v/>
      </c>
      <c r="V335">
        <f>HYPERLINK("https://klasma.github.io/Logging_2283/klagomål/A 13250-2025 FSC-klagomål.docx", "A 13250-2025")</f>
        <v/>
      </c>
      <c r="W335">
        <f>HYPERLINK("https://klasma.github.io/Logging_2283/klagomålsmail/A 13250-2025 FSC-klagomål mail.docx", "A 13250-2025")</f>
        <v/>
      </c>
      <c r="X335">
        <f>HYPERLINK("https://klasma.github.io/Logging_2283/tillsyn/A 13250-2025 tillsynsbegäran.docx", "A 13250-2025")</f>
        <v/>
      </c>
      <c r="Y335">
        <f>HYPERLINK("https://klasma.github.io/Logging_2283/tillsynsmail/A 13250-2025 tillsynsbegäran mail.docx", "A 13250-2025")</f>
        <v/>
      </c>
      <c r="Z335">
        <f>HYPERLINK("https://klasma.github.io/Logging_2283/fåglar/A 13250-2025 prioriterade fågelarter.docx", "A 13250-2025")</f>
        <v/>
      </c>
    </row>
    <row r="336" ht="15" customHeight="1">
      <c r="A336" t="inlineStr">
        <is>
          <t>A 19010-2025</t>
        </is>
      </c>
      <c r="B336" s="1" t="n">
        <v>45764</v>
      </c>
      <c r="C336" s="1" t="n">
        <v>46093</v>
      </c>
      <c r="D336" t="inlineStr">
        <is>
          <t>VÄSTERNORRLANDS LÄN</t>
        </is>
      </c>
      <c r="E336" t="inlineStr">
        <is>
          <t>ÅNGE</t>
        </is>
      </c>
      <c r="F336" t="inlineStr">
        <is>
          <t>SCA</t>
        </is>
      </c>
      <c r="G336" t="n">
        <v>72</v>
      </c>
      <c r="H336" t="n">
        <v>3</v>
      </c>
      <c r="I336" t="n">
        <v>0</v>
      </c>
      <c r="J336" t="n">
        <v>5</v>
      </c>
      <c r="K336" t="n">
        <v>1</v>
      </c>
      <c r="L336" t="n">
        <v>0</v>
      </c>
      <c r="M336" t="n">
        <v>0</v>
      </c>
      <c r="N336" t="n">
        <v>0</v>
      </c>
      <c r="O336" t="n">
        <v>6</v>
      </c>
      <c r="P336" t="n">
        <v>1</v>
      </c>
      <c r="Q336" t="n">
        <v>6</v>
      </c>
      <c r="R336" s="2" t="inlineStr">
        <is>
          <t>Knärot
Lunglav
Mörk kolflarnlav
Stiftgelélav
Talltita
Tretåig hackspett</t>
        </is>
      </c>
      <c r="S336">
        <f>HYPERLINK("https://klasma.github.io/Logging_2260/artfynd/A 19010-2025 artfynd.xlsx", "A 19010-2025")</f>
        <v/>
      </c>
      <c r="T336">
        <f>HYPERLINK("https://klasma.github.io/Logging_2260/kartor/A 19010-2025 karta.png", "A 19010-2025")</f>
        <v/>
      </c>
      <c r="U336">
        <f>HYPERLINK("https://klasma.github.io/Logging_2260/knärot/A 19010-2025 karta knärot.png", "A 19010-2025")</f>
        <v/>
      </c>
      <c r="V336">
        <f>HYPERLINK("https://klasma.github.io/Logging_2260/klagomål/A 19010-2025 FSC-klagomål.docx", "A 19010-2025")</f>
        <v/>
      </c>
      <c r="W336">
        <f>HYPERLINK("https://klasma.github.io/Logging_2260/klagomålsmail/A 19010-2025 FSC-klagomål mail.docx", "A 19010-2025")</f>
        <v/>
      </c>
      <c r="X336">
        <f>HYPERLINK("https://klasma.github.io/Logging_2260/tillsyn/A 19010-2025 tillsynsbegäran.docx", "A 19010-2025")</f>
        <v/>
      </c>
      <c r="Y336">
        <f>HYPERLINK("https://klasma.github.io/Logging_2260/tillsynsmail/A 19010-2025 tillsynsbegäran mail.docx", "A 19010-2025")</f>
        <v/>
      </c>
      <c r="Z336">
        <f>HYPERLINK("https://klasma.github.io/Logging_2260/fåglar/A 19010-2025 prioriterade fågelarter.docx", "A 19010-2025")</f>
        <v/>
      </c>
    </row>
    <row r="337" ht="15" customHeight="1">
      <c r="A337" t="inlineStr">
        <is>
          <t>A 10085-2023</t>
        </is>
      </c>
      <c r="B337" s="1" t="n">
        <v>44985.9447337963</v>
      </c>
      <c r="C337" s="1" t="n">
        <v>46093</v>
      </c>
      <c r="D337" t="inlineStr">
        <is>
          <t>VÄSTERNORRLANDS LÄN</t>
        </is>
      </c>
      <c r="E337" t="inlineStr">
        <is>
          <t>ÅNGE</t>
        </is>
      </c>
      <c r="F337" t="inlineStr">
        <is>
          <t>SCA</t>
        </is>
      </c>
      <c r="G337" t="n">
        <v>4.9</v>
      </c>
      <c r="H337" t="n">
        <v>0</v>
      </c>
      <c r="I337" t="n">
        <v>1</v>
      </c>
      <c r="J337" t="n">
        <v>5</v>
      </c>
      <c r="K337" t="n">
        <v>0</v>
      </c>
      <c r="L337" t="n">
        <v>0</v>
      </c>
      <c r="M337" t="n">
        <v>0</v>
      </c>
      <c r="N337" t="n">
        <v>0</v>
      </c>
      <c r="O337" t="n">
        <v>5</v>
      </c>
      <c r="P337" t="n">
        <v>0</v>
      </c>
      <c r="Q337" t="n">
        <v>6</v>
      </c>
      <c r="R337" s="2" t="inlineStr">
        <is>
          <t>Gammelgransskål
Garnlav
Lunglav
Ullticka
Vitgrynig nållav
Vedticka</t>
        </is>
      </c>
      <c r="S337">
        <f>HYPERLINK("https://klasma.github.io/Logging_2260/artfynd/A 10085-2023 artfynd.xlsx", "A 10085-2023")</f>
        <v/>
      </c>
      <c r="T337">
        <f>HYPERLINK("https://klasma.github.io/Logging_2260/kartor/A 10085-2023 karta.png", "A 10085-2023")</f>
        <v/>
      </c>
      <c r="V337">
        <f>HYPERLINK("https://klasma.github.io/Logging_2260/klagomål/A 10085-2023 FSC-klagomål.docx", "A 10085-2023")</f>
        <v/>
      </c>
      <c r="W337">
        <f>HYPERLINK("https://klasma.github.io/Logging_2260/klagomålsmail/A 10085-2023 FSC-klagomål mail.docx", "A 10085-2023")</f>
        <v/>
      </c>
      <c r="X337">
        <f>HYPERLINK("https://klasma.github.io/Logging_2260/tillsyn/A 10085-2023 tillsynsbegäran.docx", "A 10085-2023")</f>
        <v/>
      </c>
      <c r="Y337">
        <f>HYPERLINK("https://klasma.github.io/Logging_2260/tillsynsmail/A 10085-2023 tillsynsbegäran mail.docx", "A 10085-2023")</f>
        <v/>
      </c>
    </row>
    <row r="338" ht="15" customHeight="1">
      <c r="A338" t="inlineStr">
        <is>
          <t>A 4827-2025</t>
        </is>
      </c>
      <c r="B338" s="1" t="n">
        <v>45688</v>
      </c>
      <c r="C338" s="1" t="n">
        <v>46093</v>
      </c>
      <c r="D338" t="inlineStr">
        <is>
          <t>VÄSTERNORRLANDS LÄN</t>
        </is>
      </c>
      <c r="E338" t="inlineStr">
        <is>
          <t>SOLLEFTEÅ</t>
        </is>
      </c>
      <c r="G338" t="n">
        <v>33</v>
      </c>
      <c r="H338" t="n">
        <v>2</v>
      </c>
      <c r="I338" t="n">
        <v>0</v>
      </c>
      <c r="J338" t="n">
        <v>6</v>
      </c>
      <c r="K338" t="n">
        <v>0</v>
      </c>
      <c r="L338" t="n">
        <v>0</v>
      </c>
      <c r="M338" t="n">
        <v>0</v>
      </c>
      <c r="N338" t="n">
        <v>0</v>
      </c>
      <c r="O338" t="n">
        <v>6</v>
      </c>
      <c r="P338" t="n">
        <v>0</v>
      </c>
      <c r="Q338" t="n">
        <v>6</v>
      </c>
      <c r="R338" s="2" t="inlineStr">
        <is>
          <t>Garnlav
Granticka
Lunglav
Talltita
Tretåig hackspett
Ullticka</t>
        </is>
      </c>
      <c r="S338">
        <f>HYPERLINK("https://klasma.github.io/Logging_2283/artfynd/A 4827-2025 artfynd.xlsx", "A 4827-2025")</f>
        <v/>
      </c>
      <c r="T338">
        <f>HYPERLINK("https://klasma.github.io/Logging_2283/kartor/A 4827-2025 karta.png", "A 4827-2025")</f>
        <v/>
      </c>
      <c r="V338">
        <f>HYPERLINK("https://klasma.github.io/Logging_2283/klagomål/A 4827-2025 FSC-klagomål.docx", "A 4827-2025")</f>
        <v/>
      </c>
      <c r="W338">
        <f>HYPERLINK("https://klasma.github.io/Logging_2283/klagomålsmail/A 4827-2025 FSC-klagomål mail.docx", "A 4827-2025")</f>
        <v/>
      </c>
      <c r="X338">
        <f>HYPERLINK("https://klasma.github.io/Logging_2283/tillsyn/A 4827-2025 tillsynsbegäran.docx", "A 4827-2025")</f>
        <v/>
      </c>
      <c r="Y338">
        <f>HYPERLINK("https://klasma.github.io/Logging_2283/tillsynsmail/A 4827-2025 tillsynsbegäran mail.docx", "A 4827-2025")</f>
        <v/>
      </c>
      <c r="Z338">
        <f>HYPERLINK("https://klasma.github.io/Logging_2283/fåglar/A 4827-2025 prioriterade fågelarter.docx", "A 4827-2025")</f>
        <v/>
      </c>
    </row>
    <row r="339" ht="15" customHeight="1">
      <c r="A339" t="inlineStr">
        <is>
          <t>A 4130-2023</t>
        </is>
      </c>
      <c r="B339" s="1" t="n">
        <v>44952</v>
      </c>
      <c r="C339" s="1" t="n">
        <v>46093</v>
      </c>
      <c r="D339" t="inlineStr">
        <is>
          <t>VÄSTERNORRLANDS LÄN</t>
        </is>
      </c>
      <c r="E339" t="inlineStr">
        <is>
          <t>ÅNGE</t>
        </is>
      </c>
      <c r="F339" t="inlineStr">
        <is>
          <t>SCA</t>
        </is>
      </c>
      <c r="G339" t="n">
        <v>2.2</v>
      </c>
      <c r="H339" t="n">
        <v>3</v>
      </c>
      <c r="I339" t="n">
        <v>3</v>
      </c>
      <c r="J339" t="n">
        <v>3</v>
      </c>
      <c r="K339" t="n">
        <v>0</v>
      </c>
      <c r="L339" t="n">
        <v>0</v>
      </c>
      <c r="M339" t="n">
        <v>0</v>
      </c>
      <c r="N339" t="n">
        <v>0</v>
      </c>
      <c r="O339" t="n">
        <v>3</v>
      </c>
      <c r="P339" t="n">
        <v>0</v>
      </c>
      <c r="Q339" t="n">
        <v>6</v>
      </c>
      <c r="R339" s="2" t="inlineStr">
        <is>
          <t>Höstlåsbräken
Järpe
Månlåsbräken
Grönkulla
Spetsvaxing
Ängsfingersvamp</t>
        </is>
      </c>
      <c r="S339">
        <f>HYPERLINK("https://klasma.github.io/Logging_2260/artfynd/A 4130-2023 artfynd.xlsx", "A 4130-2023")</f>
        <v/>
      </c>
      <c r="T339">
        <f>HYPERLINK("https://klasma.github.io/Logging_2260/kartor/A 4130-2023 karta.png", "A 4130-2023")</f>
        <v/>
      </c>
      <c r="U339">
        <f>HYPERLINK("https://klasma.github.io/Logging_2260/knärot/A 4130-2023 karta knärot.png", "A 4130-2023")</f>
        <v/>
      </c>
      <c r="V339">
        <f>HYPERLINK("https://klasma.github.io/Logging_2260/klagomål/A 4130-2023 FSC-klagomål.docx", "A 4130-2023")</f>
        <v/>
      </c>
      <c r="W339">
        <f>HYPERLINK("https://klasma.github.io/Logging_2260/klagomålsmail/A 4130-2023 FSC-klagomål mail.docx", "A 4130-2023")</f>
        <v/>
      </c>
      <c r="X339">
        <f>HYPERLINK("https://klasma.github.io/Logging_2260/tillsyn/A 4130-2023 tillsynsbegäran.docx", "A 4130-2023")</f>
        <v/>
      </c>
      <c r="Y339">
        <f>HYPERLINK("https://klasma.github.io/Logging_2260/tillsynsmail/A 4130-2023 tillsynsbegäran mail.docx", "A 4130-2023")</f>
        <v/>
      </c>
      <c r="Z339">
        <f>HYPERLINK("https://klasma.github.io/Logging_2260/fåglar/A 4130-2023 prioriterade fågelarter.docx", "A 4130-2023")</f>
        <v/>
      </c>
    </row>
    <row r="340" ht="15" customHeight="1">
      <c r="A340" t="inlineStr">
        <is>
          <t>A 48777-2023</t>
        </is>
      </c>
      <c r="B340" s="1" t="n">
        <v>45208</v>
      </c>
      <c r="C340" s="1" t="n">
        <v>46093</v>
      </c>
      <c r="D340" t="inlineStr">
        <is>
          <t>VÄSTERNORRLANDS LÄN</t>
        </is>
      </c>
      <c r="E340" t="inlineStr">
        <is>
          <t>SUNDSVALL</t>
        </is>
      </c>
      <c r="F340" t="inlineStr">
        <is>
          <t>SCA</t>
        </is>
      </c>
      <c r="G340" t="n">
        <v>2.3</v>
      </c>
      <c r="H340" t="n">
        <v>2</v>
      </c>
      <c r="I340" t="n">
        <v>2</v>
      </c>
      <c r="J340" t="n">
        <v>4</v>
      </c>
      <c r="K340" t="n">
        <v>0</v>
      </c>
      <c r="L340" t="n">
        <v>0</v>
      </c>
      <c r="M340" t="n">
        <v>0</v>
      </c>
      <c r="N340" t="n">
        <v>0</v>
      </c>
      <c r="O340" t="n">
        <v>4</v>
      </c>
      <c r="P340" t="n">
        <v>0</v>
      </c>
      <c r="Q340" t="n">
        <v>6</v>
      </c>
      <c r="R340" s="2" t="inlineStr">
        <is>
          <t>Granticka
Harticka
Spillkråka
Tretåig hackspett
Trådticka
Vedticka</t>
        </is>
      </c>
      <c r="S340">
        <f>HYPERLINK("https://klasma.github.io/Logging_2281/artfynd/A 48777-2023 artfynd.xlsx", "A 48777-2023")</f>
        <v/>
      </c>
      <c r="T340">
        <f>HYPERLINK("https://klasma.github.io/Logging_2281/kartor/A 48777-2023 karta.png", "A 48777-2023")</f>
        <v/>
      </c>
      <c r="V340">
        <f>HYPERLINK("https://klasma.github.io/Logging_2281/klagomål/A 48777-2023 FSC-klagomål.docx", "A 48777-2023")</f>
        <v/>
      </c>
      <c r="W340">
        <f>HYPERLINK("https://klasma.github.io/Logging_2281/klagomålsmail/A 48777-2023 FSC-klagomål mail.docx", "A 48777-2023")</f>
        <v/>
      </c>
      <c r="X340">
        <f>HYPERLINK("https://klasma.github.io/Logging_2281/tillsyn/A 48777-2023 tillsynsbegäran.docx", "A 48777-2023")</f>
        <v/>
      </c>
      <c r="Y340">
        <f>HYPERLINK("https://klasma.github.io/Logging_2281/tillsynsmail/A 48777-2023 tillsynsbegäran mail.docx", "A 48777-2023")</f>
        <v/>
      </c>
      <c r="Z340">
        <f>HYPERLINK("https://klasma.github.io/Logging_2281/fåglar/A 48777-2023 prioriterade fågelarter.docx", "A 48777-2023")</f>
        <v/>
      </c>
    </row>
    <row r="341" ht="15" customHeight="1">
      <c r="A341" t="inlineStr">
        <is>
          <t>A 11037-2025</t>
        </is>
      </c>
      <c r="B341" s="1" t="n">
        <v>45723</v>
      </c>
      <c r="C341" s="1" t="n">
        <v>46093</v>
      </c>
      <c r="D341" t="inlineStr">
        <is>
          <t>VÄSTERNORRLANDS LÄN</t>
        </is>
      </c>
      <c r="E341" t="inlineStr">
        <is>
          <t>KRAMFORS</t>
        </is>
      </c>
      <c r="G341" t="n">
        <v>1.7</v>
      </c>
      <c r="H341" t="n">
        <v>0</v>
      </c>
      <c r="I341" t="n">
        <v>2</v>
      </c>
      <c r="J341" t="n">
        <v>3</v>
      </c>
      <c r="K341" t="n">
        <v>1</v>
      </c>
      <c r="L341" t="n">
        <v>0</v>
      </c>
      <c r="M341" t="n">
        <v>0</v>
      </c>
      <c r="N341" t="n">
        <v>0</v>
      </c>
      <c r="O341" t="n">
        <v>4</v>
      </c>
      <c r="P341" t="n">
        <v>1</v>
      </c>
      <c r="Q341" t="n">
        <v>6</v>
      </c>
      <c r="R341" s="2" t="inlineStr">
        <is>
          <t>Aspfjädermossa
Gränsticka
Lunglav
Ullticka
Korallblylav
Vedticka</t>
        </is>
      </c>
      <c r="S341">
        <f>HYPERLINK("https://klasma.github.io/Logging_2282/artfynd/A 11037-2025 artfynd.xlsx", "A 11037-2025")</f>
        <v/>
      </c>
      <c r="T341">
        <f>HYPERLINK("https://klasma.github.io/Logging_2282/kartor/A 11037-2025 karta.png", "A 11037-2025")</f>
        <v/>
      </c>
      <c r="V341">
        <f>HYPERLINK("https://klasma.github.io/Logging_2282/klagomål/A 11037-2025 FSC-klagomål.docx", "A 11037-2025")</f>
        <v/>
      </c>
      <c r="W341">
        <f>HYPERLINK("https://klasma.github.io/Logging_2282/klagomålsmail/A 11037-2025 FSC-klagomål mail.docx", "A 11037-2025")</f>
        <v/>
      </c>
      <c r="X341">
        <f>HYPERLINK("https://klasma.github.io/Logging_2282/tillsyn/A 11037-2025 tillsynsbegäran.docx", "A 11037-2025")</f>
        <v/>
      </c>
      <c r="Y341">
        <f>HYPERLINK("https://klasma.github.io/Logging_2282/tillsynsmail/A 11037-2025 tillsynsbegäran mail.docx", "A 11037-2025")</f>
        <v/>
      </c>
    </row>
    <row r="342" ht="15" customHeight="1">
      <c r="A342" t="inlineStr">
        <is>
          <t>A 43818-2024</t>
        </is>
      </c>
      <c r="B342" s="1" t="n">
        <v>45571</v>
      </c>
      <c r="C342" s="1" t="n">
        <v>46093</v>
      </c>
      <c r="D342" t="inlineStr">
        <is>
          <t>VÄSTERNORRLANDS LÄN</t>
        </is>
      </c>
      <c r="E342" t="inlineStr">
        <is>
          <t>SUNDSVALL</t>
        </is>
      </c>
      <c r="G342" t="n">
        <v>3.1</v>
      </c>
      <c r="H342" t="n">
        <v>2</v>
      </c>
      <c r="I342" t="n">
        <v>1</v>
      </c>
      <c r="J342" t="n">
        <v>4</v>
      </c>
      <c r="K342" t="n">
        <v>1</v>
      </c>
      <c r="L342" t="n">
        <v>0</v>
      </c>
      <c r="M342" t="n">
        <v>0</v>
      </c>
      <c r="N342" t="n">
        <v>0</v>
      </c>
      <c r="O342" t="n">
        <v>5</v>
      </c>
      <c r="P342" t="n">
        <v>1</v>
      </c>
      <c r="Q342" t="n">
        <v>6</v>
      </c>
      <c r="R342" s="2" t="inlineStr">
        <is>
          <t>Knärot
Tallticka
Tretåig hackspett
Ullticka
Vitgrynig nållav
Vedticka</t>
        </is>
      </c>
      <c r="S342">
        <f>HYPERLINK("https://klasma.github.io/Logging_2281/artfynd/A 43818-2024 artfynd.xlsx", "A 43818-2024")</f>
        <v/>
      </c>
      <c r="T342">
        <f>HYPERLINK("https://klasma.github.io/Logging_2281/kartor/A 43818-2024 karta.png", "A 43818-2024")</f>
        <v/>
      </c>
      <c r="U342">
        <f>HYPERLINK("https://klasma.github.io/Logging_2281/knärot/A 43818-2024 karta knärot.png", "A 43818-2024")</f>
        <v/>
      </c>
      <c r="V342">
        <f>HYPERLINK("https://klasma.github.io/Logging_2281/klagomål/A 43818-2024 FSC-klagomål.docx", "A 43818-2024")</f>
        <v/>
      </c>
      <c r="W342">
        <f>HYPERLINK("https://klasma.github.io/Logging_2281/klagomålsmail/A 43818-2024 FSC-klagomål mail.docx", "A 43818-2024")</f>
        <v/>
      </c>
      <c r="X342">
        <f>HYPERLINK("https://klasma.github.io/Logging_2281/tillsyn/A 43818-2024 tillsynsbegäran.docx", "A 43818-2024")</f>
        <v/>
      </c>
      <c r="Y342">
        <f>HYPERLINK("https://klasma.github.io/Logging_2281/tillsynsmail/A 43818-2024 tillsynsbegäran mail.docx", "A 43818-2024")</f>
        <v/>
      </c>
      <c r="Z342">
        <f>HYPERLINK("https://klasma.github.io/Logging_2281/fåglar/A 43818-2024 prioriterade fågelarter.docx", "A 43818-2024")</f>
        <v/>
      </c>
    </row>
    <row r="343" ht="15" customHeight="1">
      <c r="A343" t="inlineStr">
        <is>
          <t>A 20205-2025</t>
        </is>
      </c>
      <c r="B343" s="1" t="n">
        <v>45772.61548611111</v>
      </c>
      <c r="C343" s="1" t="n">
        <v>46093</v>
      </c>
      <c r="D343" t="inlineStr">
        <is>
          <t>VÄSTERNORRLANDS LÄN</t>
        </is>
      </c>
      <c r="E343" t="inlineStr">
        <is>
          <t>SOLLEFTEÅ</t>
        </is>
      </c>
      <c r="F343" t="inlineStr">
        <is>
          <t>SCA</t>
        </is>
      </c>
      <c r="G343" t="n">
        <v>3.2</v>
      </c>
      <c r="H343" t="n">
        <v>0</v>
      </c>
      <c r="I343" t="n">
        <v>2</v>
      </c>
      <c r="J343" t="n">
        <v>4</v>
      </c>
      <c r="K343" t="n">
        <v>0</v>
      </c>
      <c r="L343" t="n">
        <v>0</v>
      </c>
      <c r="M343" t="n">
        <v>0</v>
      </c>
      <c r="N343" t="n">
        <v>0</v>
      </c>
      <c r="O343" t="n">
        <v>4</v>
      </c>
      <c r="P343" t="n">
        <v>0</v>
      </c>
      <c r="Q343" t="n">
        <v>6</v>
      </c>
      <c r="R343" s="2" t="inlineStr">
        <is>
          <t>Gränsticka
Lunglav
Rosenticka
Ullticka
Korallblylav
Skinnlav</t>
        </is>
      </c>
      <c r="S343">
        <f>HYPERLINK("https://klasma.github.io/Logging_2283/artfynd/A 20205-2025 artfynd.xlsx", "A 20205-2025")</f>
        <v/>
      </c>
      <c r="T343">
        <f>HYPERLINK("https://klasma.github.io/Logging_2283/kartor/A 20205-2025 karta.png", "A 20205-2025")</f>
        <v/>
      </c>
      <c r="V343">
        <f>HYPERLINK("https://klasma.github.io/Logging_2283/klagomål/A 20205-2025 FSC-klagomål.docx", "A 20205-2025")</f>
        <v/>
      </c>
      <c r="W343">
        <f>HYPERLINK("https://klasma.github.io/Logging_2283/klagomålsmail/A 20205-2025 FSC-klagomål mail.docx", "A 20205-2025")</f>
        <v/>
      </c>
      <c r="X343">
        <f>HYPERLINK("https://klasma.github.io/Logging_2283/tillsyn/A 20205-2025 tillsynsbegäran.docx", "A 20205-2025")</f>
        <v/>
      </c>
      <c r="Y343">
        <f>HYPERLINK("https://klasma.github.io/Logging_2283/tillsynsmail/A 20205-2025 tillsynsbegäran mail.docx", "A 20205-2025")</f>
        <v/>
      </c>
    </row>
    <row r="344" ht="15" customHeight="1">
      <c r="A344" t="inlineStr">
        <is>
          <t>A 45402-2025</t>
        </is>
      </c>
      <c r="B344" s="1" t="n">
        <v>45922.4278587963</v>
      </c>
      <c r="C344" s="1" t="n">
        <v>46093</v>
      </c>
      <c r="D344" t="inlineStr">
        <is>
          <t>VÄSTERNORRLANDS LÄN</t>
        </is>
      </c>
      <c r="E344" t="inlineStr">
        <is>
          <t>ÅNGE</t>
        </is>
      </c>
      <c r="F344" t="inlineStr">
        <is>
          <t>SCA</t>
        </is>
      </c>
      <c r="G344" t="n">
        <v>2.9</v>
      </c>
      <c r="H344" t="n">
        <v>0</v>
      </c>
      <c r="I344" t="n">
        <v>2</v>
      </c>
      <c r="J344" t="n">
        <v>4</v>
      </c>
      <c r="K344" t="n">
        <v>0</v>
      </c>
      <c r="L344" t="n">
        <v>0</v>
      </c>
      <c r="M344" t="n">
        <v>0</v>
      </c>
      <c r="N344" t="n">
        <v>0</v>
      </c>
      <c r="O344" t="n">
        <v>4</v>
      </c>
      <c r="P344" t="n">
        <v>0</v>
      </c>
      <c r="Q344" t="n">
        <v>6</v>
      </c>
      <c r="R344" s="2" t="inlineStr">
        <is>
          <t>Garnlav
Kolflarnlav
Lunglav
Ullticka
Dropptaggsvamp
Vedticka</t>
        </is>
      </c>
      <c r="S344">
        <f>HYPERLINK("https://klasma.github.io/Logging_2260/artfynd/A 45402-2025 artfynd.xlsx", "A 45402-2025")</f>
        <v/>
      </c>
      <c r="T344">
        <f>HYPERLINK("https://klasma.github.io/Logging_2260/kartor/A 45402-2025 karta.png", "A 45402-2025")</f>
        <v/>
      </c>
      <c r="V344">
        <f>HYPERLINK("https://klasma.github.io/Logging_2260/klagomål/A 45402-2025 FSC-klagomål.docx", "A 45402-2025")</f>
        <v/>
      </c>
      <c r="W344">
        <f>HYPERLINK("https://klasma.github.io/Logging_2260/klagomålsmail/A 45402-2025 FSC-klagomål mail.docx", "A 45402-2025")</f>
        <v/>
      </c>
      <c r="X344">
        <f>HYPERLINK("https://klasma.github.io/Logging_2260/tillsyn/A 45402-2025 tillsynsbegäran.docx", "A 45402-2025")</f>
        <v/>
      </c>
      <c r="Y344">
        <f>HYPERLINK("https://klasma.github.io/Logging_2260/tillsynsmail/A 45402-2025 tillsynsbegäran mail.docx", "A 45402-2025")</f>
        <v/>
      </c>
    </row>
    <row r="345" ht="15" customHeight="1">
      <c r="A345" t="inlineStr">
        <is>
          <t>A 45606-2025</t>
        </is>
      </c>
      <c r="B345" s="1" t="n">
        <v>45922</v>
      </c>
      <c r="C345" s="1" t="n">
        <v>46093</v>
      </c>
      <c r="D345" t="inlineStr">
        <is>
          <t>VÄSTERNORRLANDS LÄN</t>
        </is>
      </c>
      <c r="E345" t="inlineStr">
        <is>
          <t>KRAMFORS</t>
        </is>
      </c>
      <c r="G345" t="n">
        <v>3.2</v>
      </c>
      <c r="H345" t="n">
        <v>0</v>
      </c>
      <c r="I345" t="n">
        <v>1</v>
      </c>
      <c r="J345" t="n">
        <v>4</v>
      </c>
      <c r="K345" t="n">
        <v>1</v>
      </c>
      <c r="L345" t="n">
        <v>0</v>
      </c>
      <c r="M345" t="n">
        <v>0</v>
      </c>
      <c r="N345" t="n">
        <v>0</v>
      </c>
      <c r="O345" t="n">
        <v>5</v>
      </c>
      <c r="P345" t="n">
        <v>1</v>
      </c>
      <c r="Q345" t="n">
        <v>6</v>
      </c>
      <c r="R345" s="2" t="inlineStr">
        <is>
          <t>Ringlav
Garnlav
Granticka
Ullticka
Violettgrå tagellav
Vedticka</t>
        </is>
      </c>
      <c r="S345">
        <f>HYPERLINK("https://klasma.github.io/Logging_2282/artfynd/A 45606-2025 artfynd.xlsx", "A 45606-2025")</f>
        <v/>
      </c>
      <c r="T345">
        <f>HYPERLINK("https://klasma.github.io/Logging_2282/kartor/A 45606-2025 karta.png", "A 45606-2025")</f>
        <v/>
      </c>
      <c r="V345">
        <f>HYPERLINK("https://klasma.github.io/Logging_2282/klagomål/A 45606-2025 FSC-klagomål.docx", "A 45606-2025")</f>
        <v/>
      </c>
      <c r="W345">
        <f>HYPERLINK("https://klasma.github.io/Logging_2282/klagomålsmail/A 45606-2025 FSC-klagomål mail.docx", "A 45606-2025")</f>
        <v/>
      </c>
      <c r="X345">
        <f>HYPERLINK("https://klasma.github.io/Logging_2282/tillsyn/A 45606-2025 tillsynsbegäran.docx", "A 45606-2025")</f>
        <v/>
      </c>
      <c r="Y345">
        <f>HYPERLINK("https://klasma.github.io/Logging_2282/tillsynsmail/A 45606-2025 tillsynsbegäran mail.docx", "A 45606-2025")</f>
        <v/>
      </c>
    </row>
    <row r="346" ht="15" customHeight="1">
      <c r="A346" t="inlineStr">
        <is>
          <t>A 58518-2022</t>
        </is>
      </c>
      <c r="B346" s="1" t="n">
        <v>44902</v>
      </c>
      <c r="C346" s="1" t="n">
        <v>46093</v>
      </c>
      <c r="D346" t="inlineStr">
        <is>
          <t>VÄSTERNORRLANDS LÄN</t>
        </is>
      </c>
      <c r="E346" t="inlineStr">
        <is>
          <t>SUNDSVALL</t>
        </is>
      </c>
      <c r="G346" t="n">
        <v>11.5</v>
      </c>
      <c r="H346" t="n">
        <v>6</v>
      </c>
      <c r="I346" t="n">
        <v>0</v>
      </c>
      <c r="J346" t="n">
        <v>6</v>
      </c>
      <c r="K346" t="n">
        <v>0</v>
      </c>
      <c r="L346" t="n">
        <v>0</v>
      </c>
      <c r="M346" t="n">
        <v>0</v>
      </c>
      <c r="N346" t="n">
        <v>0</v>
      </c>
      <c r="O346" t="n">
        <v>6</v>
      </c>
      <c r="P346" t="n">
        <v>0</v>
      </c>
      <c r="Q346" t="n">
        <v>6</v>
      </c>
      <c r="R346" s="2" t="inlineStr">
        <is>
          <t>Björktrast
Drillsnäppa
Havsörn
Spillkråka
Sötgräs
Tretåig hackspett</t>
        </is>
      </c>
      <c r="S346">
        <f>HYPERLINK("https://klasma.github.io/Logging_2281/artfynd/A 58518-2022 artfynd.xlsx", "A 58518-2022")</f>
        <v/>
      </c>
      <c r="T346">
        <f>HYPERLINK("https://klasma.github.io/Logging_2281/kartor/A 58518-2022 karta.png", "A 58518-2022")</f>
        <v/>
      </c>
      <c r="V346">
        <f>HYPERLINK("https://klasma.github.io/Logging_2281/klagomål/A 58518-2022 FSC-klagomål.docx", "A 58518-2022")</f>
        <v/>
      </c>
      <c r="W346">
        <f>HYPERLINK("https://klasma.github.io/Logging_2281/klagomålsmail/A 58518-2022 FSC-klagomål mail.docx", "A 58518-2022")</f>
        <v/>
      </c>
      <c r="X346">
        <f>HYPERLINK("https://klasma.github.io/Logging_2281/tillsyn/A 58518-2022 tillsynsbegäran.docx", "A 58518-2022")</f>
        <v/>
      </c>
      <c r="Y346">
        <f>HYPERLINK("https://klasma.github.io/Logging_2281/tillsynsmail/A 58518-2022 tillsynsbegäran mail.docx", "A 58518-2022")</f>
        <v/>
      </c>
      <c r="Z346">
        <f>HYPERLINK("https://klasma.github.io/Logging_2281/fåglar/A 58518-2022 prioriterade fågelarter.docx", "A 58518-2022")</f>
        <v/>
      </c>
    </row>
    <row r="347" ht="15" customHeight="1">
      <c r="A347" t="inlineStr">
        <is>
          <t>A 53829-2024</t>
        </is>
      </c>
      <c r="B347" s="1" t="n">
        <v>45615.6153125</v>
      </c>
      <c r="C347" s="1" t="n">
        <v>46093</v>
      </c>
      <c r="D347" t="inlineStr">
        <is>
          <t>VÄSTERNORRLANDS LÄN</t>
        </is>
      </c>
      <c r="E347" t="inlineStr">
        <is>
          <t>SOLLEFTEÅ</t>
        </is>
      </c>
      <c r="F347" t="inlineStr">
        <is>
          <t>SCA</t>
        </is>
      </c>
      <c r="G347" t="n">
        <v>12</v>
      </c>
      <c r="H347" t="n">
        <v>0</v>
      </c>
      <c r="I347" t="n">
        <v>1</v>
      </c>
      <c r="J347" t="n">
        <v>5</v>
      </c>
      <c r="K347" t="n">
        <v>0</v>
      </c>
      <c r="L347" t="n">
        <v>0</v>
      </c>
      <c r="M347" t="n">
        <v>0</v>
      </c>
      <c r="N347" t="n">
        <v>0</v>
      </c>
      <c r="O347" t="n">
        <v>5</v>
      </c>
      <c r="P347" t="n">
        <v>0</v>
      </c>
      <c r="Q347" t="n">
        <v>6</v>
      </c>
      <c r="R347" s="2" t="inlineStr">
        <is>
          <t>Blå taggsvamp
Granticka
Lunglav
Orange taggsvamp
Tallticka
Dropptaggsvamp</t>
        </is>
      </c>
      <c r="S347">
        <f>HYPERLINK("https://klasma.github.io/Logging_2283/artfynd/A 53829-2024 artfynd.xlsx", "A 53829-2024")</f>
        <v/>
      </c>
      <c r="T347">
        <f>HYPERLINK("https://klasma.github.io/Logging_2283/kartor/A 53829-2024 karta.png", "A 53829-2024")</f>
        <v/>
      </c>
      <c r="V347">
        <f>HYPERLINK("https://klasma.github.io/Logging_2283/klagomål/A 53829-2024 FSC-klagomål.docx", "A 53829-2024")</f>
        <v/>
      </c>
      <c r="W347">
        <f>HYPERLINK("https://klasma.github.io/Logging_2283/klagomålsmail/A 53829-2024 FSC-klagomål mail.docx", "A 53829-2024")</f>
        <v/>
      </c>
      <c r="X347">
        <f>HYPERLINK("https://klasma.github.io/Logging_2283/tillsyn/A 53829-2024 tillsynsbegäran.docx", "A 53829-2024")</f>
        <v/>
      </c>
      <c r="Y347">
        <f>HYPERLINK("https://klasma.github.io/Logging_2283/tillsynsmail/A 53829-2024 tillsynsbegäran mail.docx", "A 53829-2024")</f>
        <v/>
      </c>
    </row>
    <row r="348" ht="15" customHeight="1">
      <c r="A348" t="inlineStr">
        <is>
          <t>A 46423-2024</t>
        </is>
      </c>
      <c r="B348" s="1" t="n">
        <v>45582.4652199074</v>
      </c>
      <c r="C348" s="1" t="n">
        <v>46093</v>
      </c>
      <c r="D348" t="inlineStr">
        <is>
          <t>VÄSTERNORRLANDS LÄN</t>
        </is>
      </c>
      <c r="E348" t="inlineStr">
        <is>
          <t>ÖRNSKÖLDSVIK</t>
        </is>
      </c>
      <c r="G348" t="n">
        <v>2.4</v>
      </c>
      <c r="H348" t="n">
        <v>1</v>
      </c>
      <c r="I348" t="n">
        <v>0</v>
      </c>
      <c r="J348" t="n">
        <v>5</v>
      </c>
      <c r="K348" t="n">
        <v>1</v>
      </c>
      <c r="L348" t="n">
        <v>0</v>
      </c>
      <c r="M348" t="n">
        <v>0</v>
      </c>
      <c r="N348" t="n">
        <v>0</v>
      </c>
      <c r="O348" t="n">
        <v>6</v>
      </c>
      <c r="P348" t="n">
        <v>1</v>
      </c>
      <c r="Q348" t="n">
        <v>6</v>
      </c>
      <c r="R348" s="2" t="inlineStr">
        <is>
          <t>Rynkskinn
Garnlav
Lunglav
Rosenticka
Talltita
Ullticka</t>
        </is>
      </c>
      <c r="S348">
        <f>HYPERLINK("https://klasma.github.io/Logging_2284/artfynd/A 46423-2024 artfynd.xlsx", "A 46423-2024")</f>
        <v/>
      </c>
      <c r="T348">
        <f>HYPERLINK("https://klasma.github.io/Logging_2284/kartor/A 46423-2024 karta.png", "A 46423-2024")</f>
        <v/>
      </c>
      <c r="V348">
        <f>HYPERLINK("https://klasma.github.io/Logging_2284/klagomål/A 46423-2024 FSC-klagomål.docx", "A 46423-2024")</f>
        <v/>
      </c>
      <c r="W348">
        <f>HYPERLINK("https://klasma.github.io/Logging_2284/klagomålsmail/A 46423-2024 FSC-klagomål mail.docx", "A 46423-2024")</f>
        <v/>
      </c>
      <c r="X348">
        <f>HYPERLINK("https://klasma.github.io/Logging_2284/tillsyn/A 46423-2024 tillsynsbegäran.docx", "A 46423-2024")</f>
        <v/>
      </c>
      <c r="Y348">
        <f>HYPERLINK("https://klasma.github.io/Logging_2284/tillsynsmail/A 46423-2024 tillsynsbegäran mail.docx", "A 46423-2024")</f>
        <v/>
      </c>
      <c r="Z348">
        <f>HYPERLINK("https://klasma.github.io/Logging_2284/fåglar/A 46423-2024 prioriterade fågelarter.docx", "A 46423-2024")</f>
        <v/>
      </c>
    </row>
    <row r="349" ht="15" customHeight="1">
      <c r="A349" t="inlineStr">
        <is>
          <t>A 45692-2025</t>
        </is>
      </c>
      <c r="B349" s="1" t="n">
        <v>45923</v>
      </c>
      <c r="C349" s="1" t="n">
        <v>46093</v>
      </c>
      <c r="D349" t="inlineStr">
        <is>
          <t>VÄSTERNORRLANDS LÄN</t>
        </is>
      </c>
      <c r="E349" t="inlineStr">
        <is>
          <t>SOLLEFTEÅ</t>
        </is>
      </c>
      <c r="F349" t="inlineStr">
        <is>
          <t>SCA</t>
        </is>
      </c>
      <c r="G349" t="n">
        <v>4.9</v>
      </c>
      <c r="H349" t="n">
        <v>2</v>
      </c>
      <c r="I349" t="n">
        <v>1</v>
      </c>
      <c r="J349" t="n">
        <v>4</v>
      </c>
      <c r="K349" t="n">
        <v>1</v>
      </c>
      <c r="L349" t="n">
        <v>0</v>
      </c>
      <c r="M349" t="n">
        <v>0</v>
      </c>
      <c r="N349" t="n">
        <v>0</v>
      </c>
      <c r="O349" t="n">
        <v>5</v>
      </c>
      <c r="P349" t="n">
        <v>1</v>
      </c>
      <c r="Q349" t="n">
        <v>6</v>
      </c>
      <c r="R349" s="2" t="inlineStr">
        <is>
          <t>Knärot
Granticka
Rosenticka
Tretåig hackspett
Ullticka
Vedticka</t>
        </is>
      </c>
      <c r="S349">
        <f>HYPERLINK("https://klasma.github.io/Logging_2283/artfynd/A 45692-2025 artfynd.xlsx", "A 45692-2025")</f>
        <v/>
      </c>
      <c r="T349">
        <f>HYPERLINK("https://klasma.github.io/Logging_2283/kartor/A 45692-2025 karta.png", "A 45692-2025")</f>
        <v/>
      </c>
      <c r="U349">
        <f>HYPERLINK("https://klasma.github.io/Logging_2283/knärot/A 45692-2025 karta knärot.png", "A 45692-2025")</f>
        <v/>
      </c>
      <c r="V349">
        <f>HYPERLINK("https://klasma.github.io/Logging_2283/klagomål/A 45692-2025 FSC-klagomål.docx", "A 45692-2025")</f>
        <v/>
      </c>
      <c r="W349">
        <f>HYPERLINK("https://klasma.github.io/Logging_2283/klagomålsmail/A 45692-2025 FSC-klagomål mail.docx", "A 45692-2025")</f>
        <v/>
      </c>
      <c r="X349">
        <f>HYPERLINK("https://klasma.github.io/Logging_2283/tillsyn/A 45692-2025 tillsynsbegäran.docx", "A 45692-2025")</f>
        <v/>
      </c>
      <c r="Y349">
        <f>HYPERLINK("https://klasma.github.io/Logging_2283/tillsynsmail/A 45692-2025 tillsynsbegäran mail.docx", "A 45692-2025")</f>
        <v/>
      </c>
      <c r="Z349">
        <f>HYPERLINK("https://klasma.github.io/Logging_2283/fåglar/A 45692-2025 prioriterade fågelarter.docx", "A 45692-2025")</f>
        <v/>
      </c>
    </row>
    <row r="350" ht="15" customHeight="1">
      <c r="A350" t="inlineStr">
        <is>
          <t>A 15666-2025</t>
        </is>
      </c>
      <c r="B350" s="1" t="n">
        <v>45748.4315625</v>
      </c>
      <c r="C350" s="1" t="n">
        <v>46093</v>
      </c>
      <c r="D350" t="inlineStr">
        <is>
          <t>VÄSTERNORRLANDS LÄN</t>
        </is>
      </c>
      <c r="E350" t="inlineStr">
        <is>
          <t>SOLLEFTEÅ</t>
        </is>
      </c>
      <c r="G350" t="n">
        <v>3.9</v>
      </c>
      <c r="H350" t="n">
        <v>1</v>
      </c>
      <c r="I350" t="n">
        <v>2</v>
      </c>
      <c r="J350" t="n">
        <v>3</v>
      </c>
      <c r="K350" t="n">
        <v>1</v>
      </c>
      <c r="L350" t="n">
        <v>0</v>
      </c>
      <c r="M350" t="n">
        <v>0</v>
      </c>
      <c r="N350" t="n">
        <v>0</v>
      </c>
      <c r="O350" t="n">
        <v>4</v>
      </c>
      <c r="P350" t="n">
        <v>1</v>
      </c>
      <c r="Q350" t="n">
        <v>6</v>
      </c>
      <c r="R350" s="2" t="inlineStr">
        <is>
          <t>Knärot
Garnlav
Rosenticka
Vedskivlav
Bårdlav
Norrlandslav</t>
        </is>
      </c>
      <c r="S350">
        <f>HYPERLINK("https://klasma.github.io/Logging_2283/artfynd/A 15666-2025 artfynd.xlsx", "A 15666-2025")</f>
        <v/>
      </c>
      <c r="T350">
        <f>HYPERLINK("https://klasma.github.io/Logging_2283/kartor/A 15666-2025 karta.png", "A 15666-2025")</f>
        <v/>
      </c>
      <c r="U350">
        <f>HYPERLINK("https://klasma.github.io/Logging_2283/knärot/A 15666-2025 karta knärot.png", "A 15666-2025")</f>
        <v/>
      </c>
      <c r="V350">
        <f>HYPERLINK("https://klasma.github.io/Logging_2283/klagomål/A 15666-2025 FSC-klagomål.docx", "A 15666-2025")</f>
        <v/>
      </c>
      <c r="W350">
        <f>HYPERLINK("https://klasma.github.io/Logging_2283/klagomålsmail/A 15666-2025 FSC-klagomål mail.docx", "A 15666-2025")</f>
        <v/>
      </c>
      <c r="X350">
        <f>HYPERLINK("https://klasma.github.io/Logging_2283/tillsyn/A 15666-2025 tillsynsbegäran.docx", "A 15666-2025")</f>
        <v/>
      </c>
      <c r="Y350">
        <f>HYPERLINK("https://klasma.github.io/Logging_2283/tillsynsmail/A 15666-2025 tillsynsbegäran mail.docx", "A 15666-2025")</f>
        <v/>
      </c>
    </row>
    <row r="351" ht="15" customHeight="1">
      <c r="A351" t="inlineStr">
        <is>
          <t>A 48191-2025</t>
        </is>
      </c>
      <c r="B351" s="1" t="n">
        <v>45933.46956018519</v>
      </c>
      <c r="C351" s="1" t="n">
        <v>46093</v>
      </c>
      <c r="D351" t="inlineStr">
        <is>
          <t>VÄSTERNORRLANDS LÄN</t>
        </is>
      </c>
      <c r="E351" t="inlineStr">
        <is>
          <t>ÅNGE</t>
        </is>
      </c>
      <c r="F351" t="inlineStr">
        <is>
          <t>SCA</t>
        </is>
      </c>
      <c r="G351" t="n">
        <v>9.6</v>
      </c>
      <c r="H351" t="n">
        <v>1</v>
      </c>
      <c r="I351" t="n">
        <v>1</v>
      </c>
      <c r="J351" t="n">
        <v>5</v>
      </c>
      <c r="K351" t="n">
        <v>0</v>
      </c>
      <c r="L351" t="n">
        <v>0</v>
      </c>
      <c r="M351" t="n">
        <v>0</v>
      </c>
      <c r="N351" t="n">
        <v>0</v>
      </c>
      <c r="O351" t="n">
        <v>5</v>
      </c>
      <c r="P351" t="n">
        <v>0</v>
      </c>
      <c r="Q351" t="n">
        <v>6</v>
      </c>
      <c r="R351" s="2" t="inlineStr">
        <is>
          <t>Dvärgbägarlav
Kolflarnlav
Mörk kolflarnlav
Talltita
Vedskivlav
Dropptaggsvamp</t>
        </is>
      </c>
      <c r="S351">
        <f>HYPERLINK("https://klasma.github.io/Logging_2260/artfynd/A 48191-2025 artfynd.xlsx", "A 48191-2025")</f>
        <v/>
      </c>
      <c r="T351">
        <f>HYPERLINK("https://klasma.github.io/Logging_2260/kartor/A 48191-2025 karta.png", "A 48191-2025")</f>
        <v/>
      </c>
      <c r="V351">
        <f>HYPERLINK("https://klasma.github.io/Logging_2260/klagomål/A 48191-2025 FSC-klagomål.docx", "A 48191-2025")</f>
        <v/>
      </c>
      <c r="W351">
        <f>HYPERLINK("https://klasma.github.io/Logging_2260/klagomålsmail/A 48191-2025 FSC-klagomål mail.docx", "A 48191-2025")</f>
        <v/>
      </c>
      <c r="X351">
        <f>HYPERLINK("https://klasma.github.io/Logging_2260/tillsyn/A 48191-2025 tillsynsbegäran.docx", "A 48191-2025")</f>
        <v/>
      </c>
      <c r="Y351">
        <f>HYPERLINK("https://klasma.github.io/Logging_2260/tillsynsmail/A 48191-2025 tillsynsbegäran mail.docx", "A 48191-2025")</f>
        <v/>
      </c>
      <c r="Z351">
        <f>HYPERLINK("https://klasma.github.io/Logging_2260/fåglar/A 48191-2025 prioriterade fågelarter.docx", "A 48191-2025")</f>
        <v/>
      </c>
    </row>
    <row r="352" ht="15" customHeight="1">
      <c r="A352" t="inlineStr">
        <is>
          <t>A 49747-2025</t>
        </is>
      </c>
      <c r="B352" s="1" t="n">
        <v>45940.34461805555</v>
      </c>
      <c r="C352" s="1" t="n">
        <v>46093</v>
      </c>
      <c r="D352" t="inlineStr">
        <is>
          <t>VÄSTERNORRLANDS LÄN</t>
        </is>
      </c>
      <c r="E352" t="inlineStr">
        <is>
          <t>SOLLEFTEÅ</t>
        </is>
      </c>
      <c r="F352" t="inlineStr">
        <is>
          <t>SCA</t>
        </is>
      </c>
      <c r="G352" t="n">
        <v>3.9</v>
      </c>
      <c r="H352" t="n">
        <v>2</v>
      </c>
      <c r="I352" t="n">
        <v>4</v>
      </c>
      <c r="J352" t="n">
        <v>2</v>
      </c>
      <c r="K352" t="n">
        <v>0</v>
      </c>
      <c r="L352" t="n">
        <v>0</v>
      </c>
      <c r="M352" t="n">
        <v>0</v>
      </c>
      <c r="N352" t="n">
        <v>0</v>
      </c>
      <c r="O352" t="n">
        <v>2</v>
      </c>
      <c r="P352" t="n">
        <v>0</v>
      </c>
      <c r="Q352" t="n">
        <v>6</v>
      </c>
      <c r="R352" s="2" t="inlineStr">
        <is>
          <t>Garnlav
Spillkråka
Bollvitmossa
Lappranunkel
Norrlandslav
Vedticka</t>
        </is>
      </c>
      <c r="S352">
        <f>HYPERLINK("https://klasma.github.io/Logging_2283/artfynd/A 49747-2025 artfynd.xlsx", "A 49747-2025")</f>
        <v/>
      </c>
      <c r="T352">
        <f>HYPERLINK("https://klasma.github.io/Logging_2283/kartor/A 49747-2025 karta.png", "A 49747-2025")</f>
        <v/>
      </c>
      <c r="V352">
        <f>HYPERLINK("https://klasma.github.io/Logging_2283/klagomål/A 49747-2025 FSC-klagomål.docx", "A 49747-2025")</f>
        <v/>
      </c>
      <c r="W352">
        <f>HYPERLINK("https://klasma.github.io/Logging_2283/klagomålsmail/A 49747-2025 FSC-klagomål mail.docx", "A 49747-2025")</f>
        <v/>
      </c>
      <c r="X352">
        <f>HYPERLINK("https://klasma.github.io/Logging_2283/tillsyn/A 49747-2025 tillsynsbegäran.docx", "A 49747-2025")</f>
        <v/>
      </c>
      <c r="Y352">
        <f>HYPERLINK("https://klasma.github.io/Logging_2283/tillsynsmail/A 49747-2025 tillsynsbegäran mail.docx", "A 49747-2025")</f>
        <v/>
      </c>
      <c r="Z352">
        <f>HYPERLINK("https://klasma.github.io/Logging_2283/fåglar/A 49747-2025 prioriterade fågelarter.docx", "A 49747-2025")</f>
        <v/>
      </c>
    </row>
    <row r="353" ht="15" customHeight="1">
      <c r="A353" t="inlineStr">
        <is>
          <t>A 40420-2023</t>
        </is>
      </c>
      <c r="B353" s="1" t="n">
        <v>45169</v>
      </c>
      <c r="C353" s="1" t="n">
        <v>46093</v>
      </c>
      <c r="D353" t="inlineStr">
        <is>
          <t>VÄSTERNORRLANDS LÄN</t>
        </is>
      </c>
      <c r="E353" t="inlineStr">
        <is>
          <t>SOLLEFTEÅ</t>
        </is>
      </c>
      <c r="F353" t="inlineStr">
        <is>
          <t>SCA</t>
        </is>
      </c>
      <c r="G353" t="n">
        <v>10</v>
      </c>
      <c r="H353" t="n">
        <v>2</v>
      </c>
      <c r="I353" t="n">
        <v>0</v>
      </c>
      <c r="J353" t="n">
        <v>3</v>
      </c>
      <c r="K353" t="n">
        <v>2</v>
      </c>
      <c r="L353" t="n">
        <v>0</v>
      </c>
      <c r="M353" t="n">
        <v>0</v>
      </c>
      <c r="N353" t="n">
        <v>0</v>
      </c>
      <c r="O353" t="n">
        <v>5</v>
      </c>
      <c r="P353" t="n">
        <v>2</v>
      </c>
      <c r="Q353" t="n">
        <v>6</v>
      </c>
      <c r="R353" s="2" t="inlineStr">
        <is>
          <t>Knärot
Rynkskinn
Lunglav
Rosenticka
Ullticka
Tjäder</t>
        </is>
      </c>
      <c r="S353">
        <f>HYPERLINK("https://klasma.github.io/Logging_2283/artfynd/A 40420-2023 artfynd.xlsx", "A 40420-2023")</f>
        <v/>
      </c>
      <c r="T353">
        <f>HYPERLINK("https://klasma.github.io/Logging_2283/kartor/A 40420-2023 karta.png", "A 40420-2023")</f>
        <v/>
      </c>
      <c r="U353">
        <f>HYPERLINK("https://klasma.github.io/Logging_2283/knärot/A 40420-2023 karta knärot.png", "A 40420-2023")</f>
        <v/>
      </c>
      <c r="V353">
        <f>HYPERLINK("https://klasma.github.io/Logging_2283/klagomål/A 40420-2023 FSC-klagomål.docx", "A 40420-2023")</f>
        <v/>
      </c>
      <c r="W353">
        <f>HYPERLINK("https://klasma.github.io/Logging_2283/klagomålsmail/A 40420-2023 FSC-klagomål mail.docx", "A 40420-2023")</f>
        <v/>
      </c>
      <c r="X353">
        <f>HYPERLINK("https://klasma.github.io/Logging_2283/tillsyn/A 40420-2023 tillsynsbegäran.docx", "A 40420-2023")</f>
        <v/>
      </c>
      <c r="Y353">
        <f>HYPERLINK("https://klasma.github.io/Logging_2283/tillsynsmail/A 40420-2023 tillsynsbegäran mail.docx", "A 40420-2023")</f>
        <v/>
      </c>
      <c r="Z353">
        <f>HYPERLINK("https://klasma.github.io/Logging_2283/fåglar/A 40420-2023 prioriterade fågelarter.docx", "A 40420-2023")</f>
        <v/>
      </c>
    </row>
    <row r="354" ht="15" customHeight="1">
      <c r="A354" t="inlineStr">
        <is>
          <t>A 24887-2022</t>
        </is>
      </c>
      <c r="B354" s="1" t="n">
        <v>44728</v>
      </c>
      <c r="C354" s="1" t="n">
        <v>46093</v>
      </c>
      <c r="D354" t="inlineStr">
        <is>
          <t>VÄSTERNORRLANDS LÄN</t>
        </is>
      </c>
      <c r="E354" t="inlineStr">
        <is>
          <t>SOLLEFTEÅ</t>
        </is>
      </c>
      <c r="G354" t="n">
        <v>11.4</v>
      </c>
      <c r="H354" t="n">
        <v>2</v>
      </c>
      <c r="I354" t="n">
        <v>0</v>
      </c>
      <c r="J354" t="n">
        <v>5</v>
      </c>
      <c r="K354" t="n">
        <v>1</v>
      </c>
      <c r="L354" t="n">
        <v>0</v>
      </c>
      <c r="M354" t="n">
        <v>0</v>
      </c>
      <c r="N354" t="n">
        <v>0</v>
      </c>
      <c r="O354" t="n">
        <v>6</v>
      </c>
      <c r="P354" t="n">
        <v>1</v>
      </c>
      <c r="Q354" t="n">
        <v>6</v>
      </c>
      <c r="R354" s="2" t="inlineStr">
        <is>
          <t>Knärot
Garnlav
Gränsticka
Järpe
Rosenticka
Ullticka</t>
        </is>
      </c>
      <c r="S354">
        <f>HYPERLINK("https://klasma.github.io/Logging_2283/artfynd/A 24887-2022 artfynd.xlsx", "A 24887-2022")</f>
        <v/>
      </c>
      <c r="T354">
        <f>HYPERLINK("https://klasma.github.io/Logging_2283/kartor/A 24887-2022 karta.png", "A 24887-2022")</f>
        <v/>
      </c>
      <c r="U354">
        <f>HYPERLINK("https://klasma.github.io/Logging_2283/knärot/A 24887-2022 karta knärot.png", "A 24887-2022")</f>
        <v/>
      </c>
      <c r="V354">
        <f>HYPERLINK("https://klasma.github.io/Logging_2283/klagomål/A 24887-2022 FSC-klagomål.docx", "A 24887-2022")</f>
        <v/>
      </c>
      <c r="W354">
        <f>HYPERLINK("https://klasma.github.io/Logging_2283/klagomålsmail/A 24887-2022 FSC-klagomål mail.docx", "A 24887-2022")</f>
        <v/>
      </c>
      <c r="X354">
        <f>HYPERLINK("https://klasma.github.io/Logging_2283/tillsyn/A 24887-2022 tillsynsbegäran.docx", "A 24887-2022")</f>
        <v/>
      </c>
      <c r="Y354">
        <f>HYPERLINK("https://klasma.github.io/Logging_2283/tillsynsmail/A 24887-2022 tillsynsbegäran mail.docx", "A 24887-2022")</f>
        <v/>
      </c>
      <c r="Z354">
        <f>HYPERLINK("https://klasma.github.io/Logging_2283/fåglar/A 24887-2022 prioriterade fågelarter.docx", "A 24887-2022")</f>
        <v/>
      </c>
    </row>
    <row r="355" ht="15" customHeight="1">
      <c r="A355" t="inlineStr">
        <is>
          <t>A 55176-2024</t>
        </is>
      </c>
      <c r="B355" s="1" t="n">
        <v>45621</v>
      </c>
      <c r="C355" s="1" t="n">
        <v>46093</v>
      </c>
      <c r="D355" t="inlineStr">
        <is>
          <t>VÄSTERNORRLANDS LÄN</t>
        </is>
      </c>
      <c r="E355" t="inlineStr">
        <is>
          <t>ÅNGE</t>
        </is>
      </c>
      <c r="F355" t="inlineStr">
        <is>
          <t>SCA</t>
        </is>
      </c>
      <c r="G355" t="n">
        <v>7.3</v>
      </c>
      <c r="H355" t="n">
        <v>0</v>
      </c>
      <c r="I355" t="n">
        <v>2</v>
      </c>
      <c r="J355" t="n">
        <v>3</v>
      </c>
      <c r="K355" t="n">
        <v>1</v>
      </c>
      <c r="L355" t="n">
        <v>0</v>
      </c>
      <c r="M355" t="n">
        <v>0</v>
      </c>
      <c r="N355" t="n">
        <v>0</v>
      </c>
      <c r="O355" t="n">
        <v>4</v>
      </c>
      <c r="P355" t="n">
        <v>1</v>
      </c>
      <c r="Q355" t="n">
        <v>6</v>
      </c>
      <c r="R355" s="2" t="inlineStr">
        <is>
          <t>Läderlappslav
Lunglav
Mörk kolflarnlav
Stiftgelélav
Bårdlav
Skinnlav</t>
        </is>
      </c>
      <c r="S355">
        <f>HYPERLINK("https://klasma.github.io/Logging_2260/artfynd/A 55176-2024 artfynd.xlsx", "A 55176-2024")</f>
        <v/>
      </c>
      <c r="T355">
        <f>HYPERLINK("https://klasma.github.io/Logging_2260/kartor/A 55176-2024 karta.png", "A 55176-2024")</f>
        <v/>
      </c>
      <c r="V355">
        <f>HYPERLINK("https://klasma.github.io/Logging_2260/klagomål/A 55176-2024 FSC-klagomål.docx", "A 55176-2024")</f>
        <v/>
      </c>
      <c r="W355">
        <f>HYPERLINK("https://klasma.github.io/Logging_2260/klagomålsmail/A 55176-2024 FSC-klagomål mail.docx", "A 55176-2024")</f>
        <v/>
      </c>
      <c r="X355">
        <f>HYPERLINK("https://klasma.github.io/Logging_2260/tillsyn/A 55176-2024 tillsynsbegäran.docx", "A 55176-2024")</f>
        <v/>
      </c>
      <c r="Y355">
        <f>HYPERLINK("https://klasma.github.io/Logging_2260/tillsynsmail/A 55176-2024 tillsynsbegäran mail.docx", "A 55176-2024")</f>
        <v/>
      </c>
    </row>
    <row r="356" ht="15" customHeight="1">
      <c r="A356" t="inlineStr">
        <is>
          <t>A 61323-2024</t>
        </is>
      </c>
      <c r="B356" s="1" t="n">
        <v>45646</v>
      </c>
      <c r="C356" s="1" t="n">
        <v>46093</v>
      </c>
      <c r="D356" t="inlineStr">
        <is>
          <t>VÄSTERNORRLANDS LÄN</t>
        </is>
      </c>
      <c r="E356" t="inlineStr">
        <is>
          <t>SOLLEFTEÅ</t>
        </is>
      </c>
      <c r="F356" t="inlineStr">
        <is>
          <t>SCA</t>
        </is>
      </c>
      <c r="G356" t="n">
        <v>5.2</v>
      </c>
      <c r="H356" t="n">
        <v>0</v>
      </c>
      <c r="I356" t="n">
        <v>0</v>
      </c>
      <c r="J356" t="n">
        <v>5</v>
      </c>
      <c r="K356" t="n">
        <v>1</v>
      </c>
      <c r="L356" t="n">
        <v>0</v>
      </c>
      <c r="M356" t="n">
        <v>0</v>
      </c>
      <c r="N356" t="n">
        <v>0</v>
      </c>
      <c r="O356" t="n">
        <v>6</v>
      </c>
      <c r="P356" t="n">
        <v>1</v>
      </c>
      <c r="Q356" t="n">
        <v>6</v>
      </c>
      <c r="R356" s="2" t="inlineStr">
        <is>
          <t>Ulltickeporing
Garnlav
Harticka
Rosenticka
Ullticka
Vitgrynig nållav</t>
        </is>
      </c>
      <c r="S356">
        <f>HYPERLINK("https://klasma.github.io/Logging_2283/artfynd/A 61323-2024 artfynd.xlsx", "A 61323-2024")</f>
        <v/>
      </c>
      <c r="T356">
        <f>HYPERLINK("https://klasma.github.io/Logging_2283/kartor/A 61323-2024 karta.png", "A 61323-2024")</f>
        <v/>
      </c>
      <c r="V356">
        <f>HYPERLINK("https://klasma.github.io/Logging_2283/klagomål/A 61323-2024 FSC-klagomål.docx", "A 61323-2024")</f>
        <v/>
      </c>
      <c r="W356">
        <f>HYPERLINK("https://klasma.github.io/Logging_2283/klagomålsmail/A 61323-2024 FSC-klagomål mail.docx", "A 61323-2024")</f>
        <v/>
      </c>
      <c r="X356">
        <f>HYPERLINK("https://klasma.github.io/Logging_2283/tillsyn/A 61323-2024 tillsynsbegäran.docx", "A 61323-2024")</f>
        <v/>
      </c>
      <c r="Y356">
        <f>HYPERLINK("https://klasma.github.io/Logging_2283/tillsynsmail/A 61323-2024 tillsynsbegäran mail.docx", "A 61323-2024")</f>
        <v/>
      </c>
    </row>
    <row r="357" ht="15" customHeight="1">
      <c r="A357" t="inlineStr">
        <is>
          <t>A 52601-2025</t>
        </is>
      </c>
      <c r="B357" s="1" t="n">
        <v>45954</v>
      </c>
      <c r="C357" s="1" t="n">
        <v>46093</v>
      </c>
      <c r="D357" t="inlineStr">
        <is>
          <t>VÄSTERNORRLANDS LÄN</t>
        </is>
      </c>
      <c r="E357" t="inlineStr">
        <is>
          <t>ÅNGE</t>
        </is>
      </c>
      <c r="F357" t="inlineStr">
        <is>
          <t>SCA</t>
        </is>
      </c>
      <c r="G357" t="n">
        <v>3.1</v>
      </c>
      <c r="H357" t="n">
        <v>4</v>
      </c>
      <c r="I357" t="n">
        <v>4</v>
      </c>
      <c r="J357" t="n">
        <v>1</v>
      </c>
      <c r="K357" t="n">
        <v>1</v>
      </c>
      <c r="L357" t="n">
        <v>0</v>
      </c>
      <c r="M357" t="n">
        <v>0</v>
      </c>
      <c r="N357" t="n">
        <v>0</v>
      </c>
      <c r="O357" t="n">
        <v>2</v>
      </c>
      <c r="P357" t="n">
        <v>1</v>
      </c>
      <c r="Q357" t="n">
        <v>6</v>
      </c>
      <c r="R357" s="2" t="inlineStr">
        <is>
          <t>Knärot
Garnlav
Bågpraktmossa
Korallrot
Spindelblomster
Tvåblad</t>
        </is>
      </c>
      <c r="S357">
        <f>HYPERLINK("https://klasma.github.io/Logging_2260/artfynd/A 52601-2025 artfynd.xlsx", "A 52601-2025")</f>
        <v/>
      </c>
      <c r="T357">
        <f>HYPERLINK("https://klasma.github.io/Logging_2260/kartor/A 52601-2025 karta.png", "A 52601-2025")</f>
        <v/>
      </c>
      <c r="U357">
        <f>HYPERLINK("https://klasma.github.io/Logging_2260/knärot/A 52601-2025 karta knärot.png", "A 52601-2025")</f>
        <v/>
      </c>
      <c r="V357">
        <f>HYPERLINK("https://klasma.github.io/Logging_2260/klagomål/A 52601-2025 FSC-klagomål.docx", "A 52601-2025")</f>
        <v/>
      </c>
      <c r="W357">
        <f>HYPERLINK("https://klasma.github.io/Logging_2260/klagomålsmail/A 52601-2025 FSC-klagomål mail.docx", "A 52601-2025")</f>
        <v/>
      </c>
      <c r="X357">
        <f>HYPERLINK("https://klasma.github.io/Logging_2260/tillsyn/A 52601-2025 tillsynsbegäran.docx", "A 52601-2025")</f>
        <v/>
      </c>
      <c r="Y357">
        <f>HYPERLINK("https://klasma.github.io/Logging_2260/tillsynsmail/A 52601-2025 tillsynsbegäran mail.docx", "A 52601-2025")</f>
        <v/>
      </c>
    </row>
    <row r="358" ht="15" customHeight="1">
      <c r="A358" t="inlineStr">
        <is>
          <t>A 26363-2023</t>
        </is>
      </c>
      <c r="B358" s="1" t="n">
        <v>45091</v>
      </c>
      <c r="C358" s="1" t="n">
        <v>46093</v>
      </c>
      <c r="D358" t="inlineStr">
        <is>
          <t>VÄSTERNORRLANDS LÄN</t>
        </is>
      </c>
      <c r="E358" t="inlineStr">
        <is>
          <t>ÅNGE</t>
        </is>
      </c>
      <c r="F358" t="inlineStr">
        <is>
          <t>SCA</t>
        </is>
      </c>
      <c r="G358" t="n">
        <v>3.3</v>
      </c>
      <c r="H358" t="n">
        <v>1</v>
      </c>
      <c r="I358" t="n">
        <v>0</v>
      </c>
      <c r="J358" t="n">
        <v>5</v>
      </c>
      <c r="K358" t="n">
        <v>1</v>
      </c>
      <c r="L358" t="n">
        <v>0</v>
      </c>
      <c r="M358" t="n">
        <v>0</v>
      </c>
      <c r="N358" t="n">
        <v>0</v>
      </c>
      <c r="O358" t="n">
        <v>6</v>
      </c>
      <c r="P358" t="n">
        <v>1</v>
      </c>
      <c r="Q358" t="n">
        <v>6</v>
      </c>
      <c r="R358" s="2" t="inlineStr">
        <is>
          <t>Knärot
Garnlav
Kolflarnlav
Lunglav
Mörk kolflarnlav
Violettgrå tagellav</t>
        </is>
      </c>
      <c r="S358">
        <f>HYPERLINK("https://klasma.github.io/Logging_2260/artfynd/A 26363-2023 artfynd.xlsx", "A 26363-2023")</f>
        <v/>
      </c>
      <c r="T358">
        <f>HYPERLINK("https://klasma.github.io/Logging_2260/kartor/A 26363-2023 karta.png", "A 26363-2023")</f>
        <v/>
      </c>
      <c r="U358">
        <f>HYPERLINK("https://klasma.github.io/Logging_2260/knärot/A 26363-2023 karta knärot.png", "A 26363-2023")</f>
        <v/>
      </c>
      <c r="V358">
        <f>HYPERLINK("https://klasma.github.io/Logging_2260/klagomål/A 26363-2023 FSC-klagomål.docx", "A 26363-2023")</f>
        <v/>
      </c>
      <c r="W358">
        <f>HYPERLINK("https://klasma.github.io/Logging_2260/klagomålsmail/A 26363-2023 FSC-klagomål mail.docx", "A 26363-2023")</f>
        <v/>
      </c>
      <c r="X358">
        <f>HYPERLINK("https://klasma.github.io/Logging_2260/tillsyn/A 26363-2023 tillsynsbegäran.docx", "A 26363-2023")</f>
        <v/>
      </c>
      <c r="Y358">
        <f>HYPERLINK("https://klasma.github.io/Logging_2260/tillsynsmail/A 26363-2023 tillsynsbegäran mail.docx", "A 26363-2023")</f>
        <v/>
      </c>
    </row>
    <row r="359" ht="15" customHeight="1">
      <c r="A359" t="inlineStr">
        <is>
          <t>A 3056-2025</t>
        </is>
      </c>
      <c r="B359" s="1" t="n">
        <v>45678.61554398148</v>
      </c>
      <c r="C359" s="1" t="n">
        <v>46093</v>
      </c>
      <c r="D359" t="inlineStr">
        <is>
          <t>VÄSTERNORRLANDS LÄN</t>
        </is>
      </c>
      <c r="E359" t="inlineStr">
        <is>
          <t>SOLLEFTEÅ</t>
        </is>
      </c>
      <c r="F359" t="inlineStr">
        <is>
          <t>SCA</t>
        </is>
      </c>
      <c r="G359" t="n">
        <v>9.800000000000001</v>
      </c>
      <c r="H359" t="n">
        <v>3</v>
      </c>
      <c r="I359" t="n">
        <v>0</v>
      </c>
      <c r="J359" t="n">
        <v>5</v>
      </c>
      <c r="K359" t="n">
        <v>0</v>
      </c>
      <c r="L359" t="n">
        <v>0</v>
      </c>
      <c r="M359" t="n">
        <v>0</v>
      </c>
      <c r="N359" t="n">
        <v>0</v>
      </c>
      <c r="O359" t="n">
        <v>5</v>
      </c>
      <c r="P359" t="n">
        <v>0</v>
      </c>
      <c r="Q359" t="n">
        <v>6</v>
      </c>
      <c r="R359" s="2" t="inlineStr">
        <is>
          <t>Garnlav
Granticka
Lunglav
Talltita
Tretåig hackspett
Tjäder</t>
        </is>
      </c>
      <c r="S359">
        <f>HYPERLINK("https://klasma.github.io/Logging_2283/artfynd/A 3056-2025 artfynd.xlsx", "A 3056-2025")</f>
        <v/>
      </c>
      <c r="T359">
        <f>HYPERLINK("https://klasma.github.io/Logging_2283/kartor/A 3056-2025 karta.png", "A 3056-2025")</f>
        <v/>
      </c>
      <c r="V359">
        <f>HYPERLINK("https://klasma.github.io/Logging_2283/klagomål/A 3056-2025 FSC-klagomål.docx", "A 3056-2025")</f>
        <v/>
      </c>
      <c r="W359">
        <f>HYPERLINK("https://klasma.github.io/Logging_2283/klagomålsmail/A 3056-2025 FSC-klagomål mail.docx", "A 3056-2025")</f>
        <v/>
      </c>
      <c r="X359">
        <f>HYPERLINK("https://klasma.github.io/Logging_2283/tillsyn/A 3056-2025 tillsynsbegäran.docx", "A 3056-2025")</f>
        <v/>
      </c>
      <c r="Y359">
        <f>HYPERLINK("https://klasma.github.io/Logging_2283/tillsynsmail/A 3056-2025 tillsynsbegäran mail.docx", "A 3056-2025")</f>
        <v/>
      </c>
      <c r="Z359">
        <f>HYPERLINK("https://klasma.github.io/Logging_2283/fåglar/A 3056-2025 prioriterade fågelarter.docx", "A 3056-2025")</f>
        <v/>
      </c>
    </row>
    <row r="360" ht="15" customHeight="1">
      <c r="A360" t="inlineStr">
        <is>
          <t>A 33777-2024</t>
        </is>
      </c>
      <c r="B360" s="1" t="n">
        <v>45520</v>
      </c>
      <c r="C360" s="1" t="n">
        <v>46093</v>
      </c>
      <c r="D360" t="inlineStr">
        <is>
          <t>VÄSTERNORRLANDS LÄN</t>
        </is>
      </c>
      <c r="E360" t="inlineStr">
        <is>
          <t>SUNDSVALL</t>
        </is>
      </c>
      <c r="F360" t="inlineStr">
        <is>
          <t>SCA</t>
        </is>
      </c>
      <c r="G360" t="n">
        <v>7.5</v>
      </c>
      <c r="H360" t="n">
        <v>4</v>
      </c>
      <c r="I360" t="n">
        <v>0</v>
      </c>
      <c r="J360" t="n">
        <v>4</v>
      </c>
      <c r="K360" t="n">
        <v>1</v>
      </c>
      <c r="L360" t="n">
        <v>0</v>
      </c>
      <c r="M360" t="n">
        <v>0</v>
      </c>
      <c r="N360" t="n">
        <v>0</v>
      </c>
      <c r="O360" t="n">
        <v>5</v>
      </c>
      <c r="P360" t="n">
        <v>1</v>
      </c>
      <c r="Q360" t="n">
        <v>6</v>
      </c>
      <c r="R360" s="2" t="inlineStr">
        <is>
          <t>Knärot
Granticka
Spillkråka
Tretåig hackspett
Ullticka
Dubbelnycklar</t>
        </is>
      </c>
      <c r="S360">
        <f>HYPERLINK("https://klasma.github.io/Logging_2281/artfynd/A 33777-2024 artfynd.xlsx", "A 33777-2024")</f>
        <v/>
      </c>
      <c r="T360">
        <f>HYPERLINK("https://klasma.github.io/Logging_2281/kartor/A 33777-2024 karta.png", "A 33777-2024")</f>
        <v/>
      </c>
      <c r="U360">
        <f>HYPERLINK("https://klasma.github.io/Logging_2281/knärot/A 33777-2024 karta knärot.png", "A 33777-2024")</f>
        <v/>
      </c>
      <c r="V360">
        <f>HYPERLINK("https://klasma.github.io/Logging_2281/klagomål/A 33777-2024 FSC-klagomål.docx", "A 33777-2024")</f>
        <v/>
      </c>
      <c r="W360">
        <f>HYPERLINK("https://klasma.github.io/Logging_2281/klagomålsmail/A 33777-2024 FSC-klagomål mail.docx", "A 33777-2024")</f>
        <v/>
      </c>
      <c r="X360">
        <f>HYPERLINK("https://klasma.github.io/Logging_2281/tillsyn/A 33777-2024 tillsynsbegäran.docx", "A 33777-2024")</f>
        <v/>
      </c>
      <c r="Y360">
        <f>HYPERLINK("https://klasma.github.io/Logging_2281/tillsynsmail/A 33777-2024 tillsynsbegäran mail.docx", "A 33777-2024")</f>
        <v/>
      </c>
      <c r="Z360">
        <f>HYPERLINK("https://klasma.github.io/Logging_2281/fåglar/A 33777-2024 prioriterade fågelarter.docx", "A 33777-2024")</f>
        <v/>
      </c>
    </row>
    <row r="361" ht="15" customHeight="1">
      <c r="A361" t="inlineStr">
        <is>
          <t>A 59004-2025</t>
        </is>
      </c>
      <c r="B361" s="1" t="n">
        <v>45987</v>
      </c>
      <c r="C361" s="1" t="n">
        <v>46093</v>
      </c>
      <c r="D361" t="inlineStr">
        <is>
          <t>VÄSTERNORRLANDS LÄN</t>
        </is>
      </c>
      <c r="E361" t="inlineStr">
        <is>
          <t>SUNDSVALL</t>
        </is>
      </c>
      <c r="F361" t="inlineStr">
        <is>
          <t>Naturvårdsverket</t>
        </is>
      </c>
      <c r="G361" t="n">
        <v>2.2</v>
      </c>
      <c r="H361" t="n">
        <v>1</v>
      </c>
      <c r="I361" t="n">
        <v>4</v>
      </c>
      <c r="J361" t="n">
        <v>1</v>
      </c>
      <c r="K361" t="n">
        <v>1</v>
      </c>
      <c r="L361" t="n">
        <v>0</v>
      </c>
      <c r="M361" t="n">
        <v>0</v>
      </c>
      <c r="N361" t="n">
        <v>0</v>
      </c>
      <c r="O361" t="n">
        <v>2</v>
      </c>
      <c r="P361" t="n">
        <v>1</v>
      </c>
      <c r="Q361" t="n">
        <v>6</v>
      </c>
      <c r="R361" s="2" t="inlineStr">
        <is>
          <t>Knärot
Granticka
Bårdlav
Gytterlav
Skinnlav
Stuplav</t>
        </is>
      </c>
      <c r="S361">
        <f>HYPERLINK("https://klasma.github.io/Logging_2281/artfynd/A 59004-2025 artfynd.xlsx", "A 59004-2025")</f>
        <v/>
      </c>
      <c r="T361">
        <f>HYPERLINK("https://klasma.github.io/Logging_2281/kartor/A 59004-2025 karta.png", "A 59004-2025")</f>
        <v/>
      </c>
      <c r="U361">
        <f>HYPERLINK("https://klasma.github.io/Logging_2281/knärot/A 59004-2025 karta knärot.png", "A 59004-2025")</f>
        <v/>
      </c>
      <c r="V361">
        <f>HYPERLINK("https://klasma.github.io/Logging_2281/klagomål/A 59004-2025 FSC-klagomål.docx", "A 59004-2025")</f>
        <v/>
      </c>
      <c r="W361">
        <f>HYPERLINK("https://klasma.github.io/Logging_2281/klagomålsmail/A 59004-2025 FSC-klagomål mail.docx", "A 59004-2025")</f>
        <v/>
      </c>
      <c r="X361">
        <f>HYPERLINK("https://klasma.github.io/Logging_2281/tillsyn/A 59004-2025 tillsynsbegäran.docx", "A 59004-2025")</f>
        <v/>
      </c>
      <c r="Y361">
        <f>HYPERLINK("https://klasma.github.io/Logging_2281/tillsynsmail/A 59004-2025 tillsynsbegäran mail.docx", "A 59004-2025")</f>
        <v/>
      </c>
    </row>
    <row r="362" ht="15" customHeight="1">
      <c r="A362" t="inlineStr">
        <is>
          <t>A 24538-2023</t>
        </is>
      </c>
      <c r="B362" s="1" t="n">
        <v>45082.926875</v>
      </c>
      <c r="C362" s="1" t="n">
        <v>46093</v>
      </c>
      <c r="D362" t="inlineStr">
        <is>
          <t>VÄSTERNORRLANDS LÄN</t>
        </is>
      </c>
      <c r="E362" t="inlineStr">
        <is>
          <t>TIMRÅ</t>
        </is>
      </c>
      <c r="G362" t="n">
        <v>1.5</v>
      </c>
      <c r="H362" t="n">
        <v>1</v>
      </c>
      <c r="I362" t="n">
        <v>3</v>
      </c>
      <c r="J362" t="n">
        <v>2</v>
      </c>
      <c r="K362" t="n">
        <v>1</v>
      </c>
      <c r="L362" t="n">
        <v>0</v>
      </c>
      <c r="M362" t="n">
        <v>0</v>
      </c>
      <c r="N362" t="n">
        <v>0</v>
      </c>
      <c r="O362" t="n">
        <v>3</v>
      </c>
      <c r="P362" t="n">
        <v>1</v>
      </c>
      <c r="Q362" t="n">
        <v>6</v>
      </c>
      <c r="R362" s="2" t="inlineStr">
        <is>
          <t>Knärot
Grantaggsvamp
Orange taggsvamp
Dropptaggsvamp
Grönpyrola
Guldlockmossa</t>
        </is>
      </c>
      <c r="S362">
        <f>HYPERLINK("https://klasma.github.io/Logging_2262/artfynd/A 24538-2023 artfynd.xlsx", "A 24538-2023")</f>
        <v/>
      </c>
      <c r="T362">
        <f>HYPERLINK("https://klasma.github.io/Logging_2262/kartor/A 24538-2023 karta.png", "A 24538-2023")</f>
        <v/>
      </c>
      <c r="U362">
        <f>HYPERLINK("https://klasma.github.io/Logging_2262/knärot/A 24538-2023 karta knärot.png", "A 24538-2023")</f>
        <v/>
      </c>
      <c r="V362">
        <f>HYPERLINK("https://klasma.github.io/Logging_2262/klagomål/A 24538-2023 FSC-klagomål.docx", "A 24538-2023")</f>
        <v/>
      </c>
      <c r="W362">
        <f>HYPERLINK("https://klasma.github.io/Logging_2262/klagomålsmail/A 24538-2023 FSC-klagomål mail.docx", "A 24538-2023")</f>
        <v/>
      </c>
      <c r="X362">
        <f>HYPERLINK("https://klasma.github.io/Logging_2262/tillsyn/A 24538-2023 tillsynsbegäran.docx", "A 24538-2023")</f>
        <v/>
      </c>
      <c r="Y362">
        <f>HYPERLINK("https://klasma.github.io/Logging_2262/tillsynsmail/A 24538-2023 tillsynsbegäran mail.docx", "A 24538-2023")</f>
        <v/>
      </c>
    </row>
    <row r="363" ht="15" customHeight="1">
      <c r="A363" t="inlineStr">
        <is>
          <t>A 27955-2021</t>
        </is>
      </c>
      <c r="B363" s="1" t="n">
        <v>44354</v>
      </c>
      <c r="C363" s="1" t="n">
        <v>46093</v>
      </c>
      <c r="D363" t="inlineStr">
        <is>
          <t>VÄSTERNORRLANDS LÄN</t>
        </is>
      </c>
      <c r="E363" t="inlineStr">
        <is>
          <t>ÅNGE</t>
        </is>
      </c>
      <c r="G363" t="n">
        <v>12.3</v>
      </c>
      <c r="H363" t="n">
        <v>0</v>
      </c>
      <c r="I363" t="n">
        <v>2</v>
      </c>
      <c r="J363" t="n">
        <v>4</v>
      </c>
      <c r="K363" t="n">
        <v>0</v>
      </c>
      <c r="L363" t="n">
        <v>0</v>
      </c>
      <c r="M363" t="n">
        <v>0</v>
      </c>
      <c r="N363" t="n">
        <v>0</v>
      </c>
      <c r="O363" t="n">
        <v>4</v>
      </c>
      <c r="P363" t="n">
        <v>0</v>
      </c>
      <c r="Q363" t="n">
        <v>6</v>
      </c>
      <c r="R363" s="2" t="inlineStr">
        <is>
          <t>Garnlav
Kolflarnlav
Mörk kolflarnlav
Skrovlig taggsvamp
Dropptaggsvamp
Skarp dropptaggsvamp</t>
        </is>
      </c>
      <c r="S363">
        <f>HYPERLINK("https://klasma.github.io/Logging_2260/artfynd/A 27955-2021 artfynd.xlsx", "A 27955-2021")</f>
        <v/>
      </c>
      <c r="T363">
        <f>HYPERLINK("https://klasma.github.io/Logging_2260/kartor/A 27955-2021 karta.png", "A 27955-2021")</f>
        <v/>
      </c>
      <c r="V363">
        <f>HYPERLINK("https://klasma.github.io/Logging_2260/klagomål/A 27955-2021 FSC-klagomål.docx", "A 27955-2021")</f>
        <v/>
      </c>
      <c r="W363">
        <f>HYPERLINK("https://klasma.github.io/Logging_2260/klagomålsmail/A 27955-2021 FSC-klagomål mail.docx", "A 27955-2021")</f>
        <v/>
      </c>
      <c r="X363">
        <f>HYPERLINK("https://klasma.github.io/Logging_2260/tillsyn/A 27955-2021 tillsynsbegäran.docx", "A 27955-2021")</f>
        <v/>
      </c>
      <c r="Y363">
        <f>HYPERLINK("https://klasma.github.io/Logging_2260/tillsynsmail/A 27955-2021 tillsynsbegäran mail.docx", "A 27955-2021")</f>
        <v/>
      </c>
    </row>
    <row r="364" ht="15" customHeight="1">
      <c r="A364" t="inlineStr">
        <is>
          <t>A 2011-2023</t>
        </is>
      </c>
      <c r="B364" s="1" t="n">
        <v>44939</v>
      </c>
      <c r="C364" s="1" t="n">
        <v>46093</v>
      </c>
      <c r="D364" t="inlineStr">
        <is>
          <t>VÄSTERNORRLANDS LÄN</t>
        </is>
      </c>
      <c r="E364" t="inlineStr">
        <is>
          <t>ÖRNSKÖLDSVIK</t>
        </is>
      </c>
      <c r="F364" t="inlineStr">
        <is>
          <t>Holmen skog AB</t>
        </is>
      </c>
      <c r="G364" t="n">
        <v>7.4</v>
      </c>
      <c r="H364" t="n">
        <v>0</v>
      </c>
      <c r="I364" t="n">
        <v>1</v>
      </c>
      <c r="J364" t="n">
        <v>5</v>
      </c>
      <c r="K364" t="n">
        <v>0</v>
      </c>
      <c r="L364" t="n">
        <v>0</v>
      </c>
      <c r="M364" t="n">
        <v>0</v>
      </c>
      <c r="N364" t="n">
        <v>0</v>
      </c>
      <c r="O364" t="n">
        <v>5</v>
      </c>
      <c r="P364" t="n">
        <v>0</v>
      </c>
      <c r="Q364" t="n">
        <v>6</v>
      </c>
      <c r="R364" s="2" t="inlineStr">
        <is>
          <t>Garnlav
Kolflarnlav
Lunglav
Tallticka
Vedflamlav
Stuplav</t>
        </is>
      </c>
      <c r="S364">
        <f>HYPERLINK("https://klasma.github.io/Logging_2284/artfynd/A 2011-2023 artfynd.xlsx", "A 2011-2023")</f>
        <v/>
      </c>
      <c r="T364">
        <f>HYPERLINK("https://klasma.github.io/Logging_2284/kartor/A 2011-2023 karta.png", "A 2011-2023")</f>
        <v/>
      </c>
      <c r="V364">
        <f>HYPERLINK("https://klasma.github.io/Logging_2284/klagomål/A 2011-2023 FSC-klagomål.docx", "A 2011-2023")</f>
        <v/>
      </c>
      <c r="W364">
        <f>HYPERLINK("https://klasma.github.io/Logging_2284/klagomålsmail/A 2011-2023 FSC-klagomål mail.docx", "A 2011-2023")</f>
        <v/>
      </c>
      <c r="X364">
        <f>HYPERLINK("https://klasma.github.io/Logging_2284/tillsyn/A 2011-2023 tillsynsbegäran.docx", "A 2011-2023")</f>
        <v/>
      </c>
      <c r="Y364">
        <f>HYPERLINK("https://klasma.github.io/Logging_2284/tillsynsmail/A 2011-2023 tillsynsbegäran mail.docx", "A 2011-2023")</f>
        <v/>
      </c>
    </row>
    <row r="365" ht="15" customHeight="1">
      <c r="A365" t="inlineStr">
        <is>
          <t>A 61541-2024</t>
        </is>
      </c>
      <c r="B365" s="1" t="n">
        <v>45646</v>
      </c>
      <c r="C365" s="1" t="n">
        <v>46093</v>
      </c>
      <c r="D365" t="inlineStr">
        <is>
          <t>VÄSTERNORRLANDS LÄN</t>
        </is>
      </c>
      <c r="E365" t="inlineStr">
        <is>
          <t>SOLLEFTEÅ</t>
        </is>
      </c>
      <c r="F365" t="inlineStr">
        <is>
          <t>SCA</t>
        </is>
      </c>
      <c r="G365" t="n">
        <v>6.8</v>
      </c>
      <c r="H365" t="n">
        <v>1</v>
      </c>
      <c r="I365" t="n">
        <v>0</v>
      </c>
      <c r="J365" t="n">
        <v>6</v>
      </c>
      <c r="K365" t="n">
        <v>0</v>
      </c>
      <c r="L365" t="n">
        <v>0</v>
      </c>
      <c r="M365" t="n">
        <v>0</v>
      </c>
      <c r="N365" t="n">
        <v>0</v>
      </c>
      <c r="O365" t="n">
        <v>6</v>
      </c>
      <c r="P365" t="n">
        <v>0</v>
      </c>
      <c r="Q365" t="n">
        <v>6</v>
      </c>
      <c r="R365" s="2" t="inlineStr">
        <is>
          <t>Gammelgransskål
Garnlav
Skogshare
Tretåig hackspett
Ullticka
Vitgrynig nållav</t>
        </is>
      </c>
      <c r="S365">
        <f>HYPERLINK("https://klasma.github.io/Logging_2283/artfynd/A 61541-2024 artfynd.xlsx", "A 61541-2024")</f>
        <v/>
      </c>
      <c r="T365">
        <f>HYPERLINK("https://klasma.github.io/Logging_2283/kartor/A 61541-2024 karta.png", "A 61541-2024")</f>
        <v/>
      </c>
      <c r="V365">
        <f>HYPERLINK("https://klasma.github.io/Logging_2283/klagomål/A 61541-2024 FSC-klagomål.docx", "A 61541-2024")</f>
        <v/>
      </c>
      <c r="W365">
        <f>HYPERLINK("https://klasma.github.io/Logging_2283/klagomålsmail/A 61541-2024 FSC-klagomål mail.docx", "A 61541-2024")</f>
        <v/>
      </c>
      <c r="X365">
        <f>HYPERLINK("https://klasma.github.io/Logging_2283/tillsyn/A 61541-2024 tillsynsbegäran.docx", "A 61541-2024")</f>
        <v/>
      </c>
      <c r="Y365">
        <f>HYPERLINK("https://klasma.github.io/Logging_2283/tillsynsmail/A 61541-2024 tillsynsbegäran mail.docx", "A 61541-2024")</f>
        <v/>
      </c>
      <c r="Z365">
        <f>HYPERLINK("https://klasma.github.io/Logging_2283/fåglar/A 61541-2024 prioriterade fågelarter.docx", "A 61541-2024")</f>
        <v/>
      </c>
    </row>
    <row r="366" ht="15" customHeight="1">
      <c r="A366" t="inlineStr">
        <is>
          <t>A 8439-2025</t>
        </is>
      </c>
      <c r="B366" s="1" t="n">
        <v>45709.44822916666</v>
      </c>
      <c r="C366" s="1" t="n">
        <v>46093</v>
      </c>
      <c r="D366" t="inlineStr">
        <is>
          <t>VÄSTERNORRLANDS LÄN</t>
        </is>
      </c>
      <c r="E366" t="inlineStr">
        <is>
          <t>TIMRÅ</t>
        </is>
      </c>
      <c r="F366" t="inlineStr">
        <is>
          <t>SCA</t>
        </is>
      </c>
      <c r="G366" t="n">
        <v>7</v>
      </c>
      <c r="H366" t="n">
        <v>0</v>
      </c>
      <c r="I366" t="n">
        <v>2</v>
      </c>
      <c r="J366" t="n">
        <v>4</v>
      </c>
      <c r="K366" t="n">
        <v>0</v>
      </c>
      <c r="L366" t="n">
        <v>0</v>
      </c>
      <c r="M366" t="n">
        <v>0</v>
      </c>
      <c r="N366" t="n">
        <v>0</v>
      </c>
      <c r="O366" t="n">
        <v>4</v>
      </c>
      <c r="P366" t="n">
        <v>0</v>
      </c>
      <c r="Q366" t="n">
        <v>6</v>
      </c>
      <c r="R366" s="2" t="inlineStr">
        <is>
          <t>Gammelgransskål
Garnlav
Ullticka
Violettgrå tagellav
Dropptaggsvamp
Vedticka</t>
        </is>
      </c>
      <c r="S366">
        <f>HYPERLINK("https://klasma.github.io/Logging_2262/artfynd/A 8439-2025 artfynd.xlsx", "A 8439-2025")</f>
        <v/>
      </c>
      <c r="T366">
        <f>HYPERLINK("https://klasma.github.io/Logging_2262/kartor/A 8439-2025 karta.png", "A 8439-2025")</f>
        <v/>
      </c>
      <c r="V366">
        <f>HYPERLINK("https://klasma.github.io/Logging_2262/klagomål/A 8439-2025 FSC-klagomål.docx", "A 8439-2025")</f>
        <v/>
      </c>
      <c r="W366">
        <f>HYPERLINK("https://klasma.github.io/Logging_2262/klagomålsmail/A 8439-2025 FSC-klagomål mail.docx", "A 8439-2025")</f>
        <v/>
      </c>
      <c r="X366">
        <f>HYPERLINK("https://klasma.github.io/Logging_2262/tillsyn/A 8439-2025 tillsynsbegäran.docx", "A 8439-2025")</f>
        <v/>
      </c>
      <c r="Y366">
        <f>HYPERLINK("https://klasma.github.io/Logging_2262/tillsynsmail/A 8439-2025 tillsynsbegäran mail.docx", "A 8439-2025")</f>
        <v/>
      </c>
    </row>
    <row r="367" ht="15" customHeight="1">
      <c r="A367" t="inlineStr">
        <is>
          <t>A 29871-2024</t>
        </is>
      </c>
      <c r="B367" s="1" t="n">
        <v>45485.94521990741</v>
      </c>
      <c r="C367" s="1" t="n">
        <v>46093</v>
      </c>
      <c r="D367" t="inlineStr">
        <is>
          <t>VÄSTERNORRLANDS LÄN</t>
        </is>
      </c>
      <c r="E367" t="inlineStr">
        <is>
          <t>SOLLEFTEÅ</t>
        </is>
      </c>
      <c r="F367" t="inlineStr">
        <is>
          <t>SCA</t>
        </is>
      </c>
      <c r="G367" t="n">
        <v>6</v>
      </c>
      <c r="H367" t="n">
        <v>0</v>
      </c>
      <c r="I367" t="n">
        <v>1</v>
      </c>
      <c r="J367" t="n">
        <v>5</v>
      </c>
      <c r="K367" t="n">
        <v>0</v>
      </c>
      <c r="L367" t="n">
        <v>0</v>
      </c>
      <c r="M367" t="n">
        <v>0</v>
      </c>
      <c r="N367" t="n">
        <v>0</v>
      </c>
      <c r="O367" t="n">
        <v>5</v>
      </c>
      <c r="P367" t="n">
        <v>0</v>
      </c>
      <c r="Q367" t="n">
        <v>6</v>
      </c>
      <c r="R367" s="2" t="inlineStr">
        <is>
          <t>Dvärgbägarlav
Garnlav
Lunglav
Nordtagging
Tallticka
Dropptaggsvamp</t>
        </is>
      </c>
      <c r="S367">
        <f>HYPERLINK("https://klasma.github.io/Logging_2283/artfynd/A 29871-2024 artfynd.xlsx", "A 29871-2024")</f>
        <v/>
      </c>
      <c r="T367">
        <f>HYPERLINK("https://klasma.github.io/Logging_2283/kartor/A 29871-2024 karta.png", "A 29871-2024")</f>
        <v/>
      </c>
      <c r="V367">
        <f>HYPERLINK("https://klasma.github.io/Logging_2283/klagomål/A 29871-2024 FSC-klagomål.docx", "A 29871-2024")</f>
        <v/>
      </c>
      <c r="W367">
        <f>HYPERLINK("https://klasma.github.io/Logging_2283/klagomålsmail/A 29871-2024 FSC-klagomål mail.docx", "A 29871-2024")</f>
        <v/>
      </c>
      <c r="X367">
        <f>HYPERLINK("https://klasma.github.io/Logging_2283/tillsyn/A 29871-2024 tillsynsbegäran.docx", "A 29871-2024")</f>
        <v/>
      </c>
      <c r="Y367">
        <f>HYPERLINK("https://klasma.github.io/Logging_2283/tillsynsmail/A 29871-2024 tillsynsbegäran mail.docx", "A 29871-2024")</f>
        <v/>
      </c>
    </row>
    <row r="368" ht="15" customHeight="1">
      <c r="A368" t="inlineStr">
        <is>
          <t>A 36470-2024</t>
        </is>
      </c>
      <c r="B368" s="1" t="n">
        <v>45537</v>
      </c>
      <c r="C368" s="1" t="n">
        <v>46093</v>
      </c>
      <c r="D368" t="inlineStr">
        <is>
          <t>VÄSTERNORRLANDS LÄN</t>
        </is>
      </c>
      <c r="E368" t="inlineStr">
        <is>
          <t>SOLLEFTEÅ</t>
        </is>
      </c>
      <c r="F368" t="inlineStr">
        <is>
          <t>SCA</t>
        </is>
      </c>
      <c r="G368" t="n">
        <v>10.3</v>
      </c>
      <c r="H368" t="n">
        <v>3</v>
      </c>
      <c r="I368" t="n">
        <v>0</v>
      </c>
      <c r="J368" t="n">
        <v>6</v>
      </c>
      <c r="K368" t="n">
        <v>0</v>
      </c>
      <c r="L368" t="n">
        <v>0</v>
      </c>
      <c r="M368" t="n">
        <v>0</v>
      </c>
      <c r="N368" t="n">
        <v>0</v>
      </c>
      <c r="O368" t="n">
        <v>6</v>
      </c>
      <c r="P368" t="n">
        <v>0</v>
      </c>
      <c r="Q368" t="n">
        <v>6</v>
      </c>
      <c r="R368" s="2" t="inlineStr">
        <is>
          <t>Gammelgransskål
Granticka
Harticka
Spillkråka
Talltita
Tretåig hackspett</t>
        </is>
      </c>
      <c r="S368">
        <f>HYPERLINK("https://klasma.github.io/Logging_2283/artfynd/A 36470-2024 artfynd.xlsx", "A 36470-2024")</f>
        <v/>
      </c>
      <c r="T368">
        <f>HYPERLINK("https://klasma.github.io/Logging_2283/kartor/A 36470-2024 karta.png", "A 36470-2024")</f>
        <v/>
      </c>
      <c r="V368">
        <f>HYPERLINK("https://klasma.github.io/Logging_2283/klagomål/A 36470-2024 FSC-klagomål.docx", "A 36470-2024")</f>
        <v/>
      </c>
      <c r="W368">
        <f>HYPERLINK("https://klasma.github.io/Logging_2283/klagomålsmail/A 36470-2024 FSC-klagomål mail.docx", "A 36470-2024")</f>
        <v/>
      </c>
      <c r="X368">
        <f>HYPERLINK("https://klasma.github.io/Logging_2283/tillsyn/A 36470-2024 tillsynsbegäran.docx", "A 36470-2024")</f>
        <v/>
      </c>
      <c r="Y368">
        <f>HYPERLINK("https://klasma.github.io/Logging_2283/tillsynsmail/A 36470-2024 tillsynsbegäran mail.docx", "A 36470-2024")</f>
        <v/>
      </c>
      <c r="Z368">
        <f>HYPERLINK("https://klasma.github.io/Logging_2283/fåglar/A 36470-2024 prioriterade fågelarter.docx", "A 36470-2024")</f>
        <v/>
      </c>
    </row>
    <row r="369" ht="15" customHeight="1">
      <c r="A369" t="inlineStr">
        <is>
          <t>A 46087-2024</t>
        </is>
      </c>
      <c r="B369" s="1" t="n">
        <v>45581</v>
      </c>
      <c r="C369" s="1" t="n">
        <v>46093</v>
      </c>
      <c r="D369" t="inlineStr">
        <is>
          <t>VÄSTERNORRLANDS LÄN</t>
        </is>
      </c>
      <c r="E369" t="inlineStr">
        <is>
          <t>SUNDSVALL</t>
        </is>
      </c>
      <c r="F369" t="inlineStr">
        <is>
          <t>SCA</t>
        </is>
      </c>
      <c r="G369" t="n">
        <v>2.6</v>
      </c>
      <c r="H369" t="n">
        <v>4</v>
      </c>
      <c r="I369" t="n">
        <v>0</v>
      </c>
      <c r="J369" t="n">
        <v>5</v>
      </c>
      <c r="K369" t="n">
        <v>0</v>
      </c>
      <c r="L369" t="n">
        <v>0</v>
      </c>
      <c r="M369" t="n">
        <v>0</v>
      </c>
      <c r="N369" t="n">
        <v>0</v>
      </c>
      <c r="O369" t="n">
        <v>5</v>
      </c>
      <c r="P369" t="n">
        <v>0</v>
      </c>
      <c r="Q369" t="n">
        <v>6</v>
      </c>
      <c r="R369" s="2" t="inlineStr">
        <is>
          <t>Garnlav
Spillkråka
Talltita
Tretåig hackspett
Violettgrå tagellav
Revlummer</t>
        </is>
      </c>
      <c r="S369">
        <f>HYPERLINK("https://klasma.github.io/Logging_2281/artfynd/A 46087-2024 artfynd.xlsx", "A 46087-2024")</f>
        <v/>
      </c>
      <c r="T369">
        <f>HYPERLINK("https://klasma.github.io/Logging_2281/kartor/A 46087-2024 karta.png", "A 46087-2024")</f>
        <v/>
      </c>
      <c r="V369">
        <f>HYPERLINK("https://klasma.github.io/Logging_2281/klagomål/A 46087-2024 FSC-klagomål.docx", "A 46087-2024")</f>
        <v/>
      </c>
      <c r="W369">
        <f>HYPERLINK("https://klasma.github.io/Logging_2281/klagomålsmail/A 46087-2024 FSC-klagomål mail.docx", "A 46087-2024")</f>
        <v/>
      </c>
      <c r="X369">
        <f>HYPERLINK("https://klasma.github.io/Logging_2281/tillsyn/A 46087-2024 tillsynsbegäran.docx", "A 46087-2024")</f>
        <v/>
      </c>
      <c r="Y369">
        <f>HYPERLINK("https://klasma.github.io/Logging_2281/tillsynsmail/A 46087-2024 tillsynsbegäran mail.docx", "A 46087-2024")</f>
        <v/>
      </c>
      <c r="Z369">
        <f>HYPERLINK("https://klasma.github.io/Logging_2281/fåglar/A 46087-2024 prioriterade fågelarter.docx", "A 46087-2024")</f>
        <v/>
      </c>
    </row>
    <row r="370" ht="15" customHeight="1">
      <c r="A370" t="inlineStr">
        <is>
          <t>A 26594-2022</t>
        </is>
      </c>
      <c r="B370" s="1" t="n">
        <v>44739</v>
      </c>
      <c r="C370" s="1" t="n">
        <v>46093</v>
      </c>
      <c r="D370" t="inlineStr">
        <is>
          <t>VÄSTERNORRLANDS LÄN</t>
        </is>
      </c>
      <c r="E370" t="inlineStr">
        <is>
          <t>SOLLEFTEÅ</t>
        </is>
      </c>
      <c r="F370" t="inlineStr">
        <is>
          <t>Holmen skog AB</t>
        </is>
      </c>
      <c r="G370" t="n">
        <v>1.6</v>
      </c>
      <c r="H370" t="n">
        <v>4</v>
      </c>
      <c r="I370" t="n">
        <v>0</v>
      </c>
      <c r="J370" t="n">
        <v>4</v>
      </c>
      <c r="K370" t="n">
        <v>1</v>
      </c>
      <c r="L370" t="n">
        <v>0</v>
      </c>
      <c r="M370" t="n">
        <v>0</v>
      </c>
      <c r="N370" t="n">
        <v>0</v>
      </c>
      <c r="O370" t="n">
        <v>5</v>
      </c>
      <c r="P370" t="n">
        <v>1</v>
      </c>
      <c r="Q370" t="n">
        <v>6</v>
      </c>
      <c r="R370" s="2" t="inlineStr">
        <is>
          <t>Knärot
Garnlav
Granticka
Spillkråka
Talltita
Tjäder</t>
        </is>
      </c>
      <c r="S370">
        <f>HYPERLINK("https://klasma.github.io/Logging_2283/artfynd/A 26594-2022 artfynd.xlsx", "A 26594-2022")</f>
        <v/>
      </c>
      <c r="T370">
        <f>HYPERLINK("https://klasma.github.io/Logging_2283/kartor/A 26594-2022 karta.png", "A 26594-2022")</f>
        <v/>
      </c>
      <c r="U370">
        <f>HYPERLINK("https://klasma.github.io/Logging_2283/knärot/A 26594-2022 karta knärot.png", "A 26594-2022")</f>
        <v/>
      </c>
      <c r="V370">
        <f>HYPERLINK("https://klasma.github.io/Logging_2283/klagomål/A 26594-2022 FSC-klagomål.docx", "A 26594-2022")</f>
        <v/>
      </c>
      <c r="W370">
        <f>HYPERLINK("https://klasma.github.io/Logging_2283/klagomålsmail/A 26594-2022 FSC-klagomål mail.docx", "A 26594-2022")</f>
        <v/>
      </c>
      <c r="X370">
        <f>HYPERLINK("https://klasma.github.io/Logging_2283/tillsyn/A 26594-2022 tillsynsbegäran.docx", "A 26594-2022")</f>
        <v/>
      </c>
      <c r="Y370">
        <f>HYPERLINK("https://klasma.github.io/Logging_2283/tillsynsmail/A 26594-2022 tillsynsbegäran mail.docx", "A 26594-2022")</f>
        <v/>
      </c>
      <c r="Z370">
        <f>HYPERLINK("https://klasma.github.io/Logging_2283/fåglar/A 26594-2022 prioriterade fågelarter.docx", "A 26594-2022")</f>
        <v/>
      </c>
    </row>
    <row r="371" ht="15" customHeight="1">
      <c r="A371" t="inlineStr">
        <is>
          <t>A 49528-2025</t>
        </is>
      </c>
      <c r="B371" s="1" t="n">
        <v>45939.40664351852</v>
      </c>
      <c r="C371" s="1" t="n">
        <v>46093</v>
      </c>
      <c r="D371" t="inlineStr">
        <is>
          <t>VÄSTERNORRLANDS LÄN</t>
        </is>
      </c>
      <c r="E371" t="inlineStr">
        <is>
          <t>ÅNGE</t>
        </is>
      </c>
      <c r="F371" t="inlineStr">
        <is>
          <t>SCA</t>
        </is>
      </c>
      <c r="G371" t="n">
        <v>5.6</v>
      </c>
      <c r="H371" t="n">
        <v>1</v>
      </c>
      <c r="I371" t="n">
        <v>0</v>
      </c>
      <c r="J371" t="n">
        <v>4</v>
      </c>
      <c r="K371" t="n">
        <v>1</v>
      </c>
      <c r="L371" t="n">
        <v>0</v>
      </c>
      <c r="M371" t="n">
        <v>0</v>
      </c>
      <c r="N371" t="n">
        <v>0</v>
      </c>
      <c r="O371" t="n">
        <v>5</v>
      </c>
      <c r="P371" t="n">
        <v>1</v>
      </c>
      <c r="Q371" t="n">
        <v>6</v>
      </c>
      <c r="R371" s="2" t="inlineStr">
        <is>
          <t>Rynkskinn
Garnlav
Lunglav
Ullticka
Vitgrynig nållav
Fläcknycklar</t>
        </is>
      </c>
      <c r="S371">
        <f>HYPERLINK("https://klasma.github.io/Logging_2260/artfynd/A 49528-2025 artfynd.xlsx", "A 49528-2025")</f>
        <v/>
      </c>
      <c r="T371">
        <f>HYPERLINK("https://klasma.github.io/Logging_2260/kartor/A 49528-2025 karta.png", "A 49528-2025")</f>
        <v/>
      </c>
      <c r="V371">
        <f>HYPERLINK("https://klasma.github.io/Logging_2260/klagomål/A 49528-2025 FSC-klagomål.docx", "A 49528-2025")</f>
        <v/>
      </c>
      <c r="W371">
        <f>HYPERLINK("https://klasma.github.io/Logging_2260/klagomålsmail/A 49528-2025 FSC-klagomål mail.docx", "A 49528-2025")</f>
        <v/>
      </c>
      <c r="X371">
        <f>HYPERLINK("https://klasma.github.io/Logging_2260/tillsyn/A 49528-2025 tillsynsbegäran.docx", "A 49528-2025")</f>
        <v/>
      </c>
      <c r="Y371">
        <f>HYPERLINK("https://klasma.github.io/Logging_2260/tillsynsmail/A 49528-2025 tillsynsbegäran mail.docx", "A 49528-2025")</f>
        <v/>
      </c>
    </row>
    <row r="372" ht="15" customHeight="1">
      <c r="A372" t="inlineStr">
        <is>
          <t>A 5637-2026</t>
        </is>
      </c>
      <c r="B372" s="1" t="n">
        <v>46051</v>
      </c>
      <c r="C372" s="1" t="n">
        <v>46093</v>
      </c>
      <c r="D372" t="inlineStr">
        <is>
          <t>VÄSTERNORRLANDS LÄN</t>
        </is>
      </c>
      <c r="E372" t="inlineStr">
        <is>
          <t>ÅNGE</t>
        </is>
      </c>
      <c r="G372" t="n">
        <v>6.4</v>
      </c>
      <c r="H372" t="n">
        <v>2</v>
      </c>
      <c r="I372" t="n">
        <v>1</v>
      </c>
      <c r="J372" t="n">
        <v>5</v>
      </c>
      <c r="K372" t="n">
        <v>0</v>
      </c>
      <c r="L372" t="n">
        <v>0</v>
      </c>
      <c r="M372" t="n">
        <v>0</v>
      </c>
      <c r="N372" t="n">
        <v>0</v>
      </c>
      <c r="O372" t="n">
        <v>5</v>
      </c>
      <c r="P372" t="n">
        <v>0</v>
      </c>
      <c r="Q372" t="n">
        <v>6</v>
      </c>
      <c r="R372" s="2" t="inlineStr">
        <is>
          <t>Lunglav
Rosenticka
Talltita
Tretåig hackspett
Ullticka
Skinnlav</t>
        </is>
      </c>
      <c r="S372">
        <f>HYPERLINK("https://klasma.github.io/Logging_2260/artfynd/A 5637-2026 artfynd.xlsx", "A 5637-2026")</f>
        <v/>
      </c>
      <c r="T372">
        <f>HYPERLINK("https://klasma.github.io/Logging_2260/kartor/A 5637-2026 karta.png", "A 5637-2026")</f>
        <v/>
      </c>
      <c r="V372">
        <f>HYPERLINK("https://klasma.github.io/Logging_2260/klagomål/A 5637-2026 FSC-klagomål.docx", "A 5637-2026")</f>
        <v/>
      </c>
      <c r="W372">
        <f>HYPERLINK("https://klasma.github.io/Logging_2260/klagomålsmail/A 5637-2026 FSC-klagomål mail.docx", "A 5637-2026")</f>
        <v/>
      </c>
      <c r="X372">
        <f>HYPERLINK("https://klasma.github.io/Logging_2260/tillsyn/A 5637-2026 tillsynsbegäran.docx", "A 5637-2026")</f>
        <v/>
      </c>
      <c r="Y372">
        <f>HYPERLINK("https://klasma.github.io/Logging_2260/tillsynsmail/A 5637-2026 tillsynsbegäran mail.docx", "A 5637-2026")</f>
        <v/>
      </c>
      <c r="Z372">
        <f>HYPERLINK("https://klasma.github.io/Logging_2260/fåglar/A 5637-2026 prioriterade fågelarter.docx", "A 5637-2026")</f>
        <v/>
      </c>
    </row>
    <row r="373" ht="15" customHeight="1">
      <c r="A373" t="inlineStr">
        <is>
          <t>A 7334-2025</t>
        </is>
      </c>
      <c r="B373" s="1" t="n">
        <v>45703.35998842592</v>
      </c>
      <c r="C373" s="1" t="n">
        <v>46093</v>
      </c>
      <c r="D373" t="inlineStr">
        <is>
          <t>VÄSTERNORRLANDS LÄN</t>
        </is>
      </c>
      <c r="E373" t="inlineStr">
        <is>
          <t>SOLLEFTEÅ</t>
        </is>
      </c>
      <c r="G373" t="n">
        <v>2.2</v>
      </c>
      <c r="H373" t="n">
        <v>4</v>
      </c>
      <c r="I373" t="n">
        <v>2</v>
      </c>
      <c r="J373" t="n">
        <v>3</v>
      </c>
      <c r="K373" t="n">
        <v>0</v>
      </c>
      <c r="L373" t="n">
        <v>0</v>
      </c>
      <c r="M373" t="n">
        <v>0</v>
      </c>
      <c r="N373" t="n">
        <v>0</v>
      </c>
      <c r="O373" t="n">
        <v>3</v>
      </c>
      <c r="P373" t="n">
        <v>0</v>
      </c>
      <c r="Q373" t="n">
        <v>6</v>
      </c>
      <c r="R373" s="2" t="inlineStr">
        <is>
          <t>Björktrast
Gulsparv
Rödvingetrast
Skinnlav
Stor aspticka
Revlummer</t>
        </is>
      </c>
      <c r="S373">
        <f>HYPERLINK("https://klasma.github.io/Logging_2283/artfynd/A 7334-2025 artfynd.xlsx", "A 7334-2025")</f>
        <v/>
      </c>
      <c r="T373">
        <f>HYPERLINK("https://klasma.github.io/Logging_2283/kartor/A 7334-2025 karta.png", "A 7334-2025")</f>
        <v/>
      </c>
      <c r="V373">
        <f>HYPERLINK("https://klasma.github.io/Logging_2283/klagomål/A 7334-2025 FSC-klagomål.docx", "A 7334-2025")</f>
        <v/>
      </c>
      <c r="W373">
        <f>HYPERLINK("https://klasma.github.io/Logging_2283/klagomålsmail/A 7334-2025 FSC-klagomål mail.docx", "A 7334-2025")</f>
        <v/>
      </c>
      <c r="X373">
        <f>HYPERLINK("https://klasma.github.io/Logging_2283/tillsyn/A 7334-2025 tillsynsbegäran.docx", "A 7334-2025")</f>
        <v/>
      </c>
      <c r="Y373">
        <f>HYPERLINK("https://klasma.github.io/Logging_2283/tillsynsmail/A 7334-2025 tillsynsbegäran mail.docx", "A 7334-2025")</f>
        <v/>
      </c>
      <c r="Z373">
        <f>HYPERLINK("https://klasma.github.io/Logging_2283/fåglar/A 7334-2025 prioriterade fågelarter.docx", "A 7334-2025")</f>
        <v/>
      </c>
    </row>
    <row r="374" ht="15" customHeight="1">
      <c r="A374" t="inlineStr">
        <is>
          <t>A 55548-2024</t>
        </is>
      </c>
      <c r="B374" s="1" t="n">
        <v>45622</v>
      </c>
      <c r="C374" s="1" t="n">
        <v>46093</v>
      </c>
      <c r="D374" t="inlineStr">
        <is>
          <t>VÄSTERNORRLANDS LÄN</t>
        </is>
      </c>
      <c r="E374" t="inlineStr">
        <is>
          <t>SUNDSVALL</t>
        </is>
      </c>
      <c r="F374" t="inlineStr">
        <is>
          <t>SCA</t>
        </is>
      </c>
      <c r="G374" t="n">
        <v>7.8</v>
      </c>
      <c r="H374" t="n">
        <v>2</v>
      </c>
      <c r="I374" t="n">
        <v>3</v>
      </c>
      <c r="J374" t="n">
        <v>2</v>
      </c>
      <c r="K374" t="n">
        <v>1</v>
      </c>
      <c r="L374" t="n">
        <v>0</v>
      </c>
      <c r="M374" t="n">
        <v>0</v>
      </c>
      <c r="N374" t="n">
        <v>0</v>
      </c>
      <c r="O374" t="n">
        <v>3</v>
      </c>
      <c r="P374" t="n">
        <v>1</v>
      </c>
      <c r="Q374" t="n">
        <v>6</v>
      </c>
      <c r="R374" s="2" t="inlineStr">
        <is>
          <t>Knärot
Granticka
Tretåig hackspett
Barkticka
Bronshjon
Vedticka</t>
        </is>
      </c>
      <c r="S374">
        <f>HYPERLINK("https://klasma.github.io/Logging_2281/artfynd/A 55548-2024 artfynd.xlsx", "A 55548-2024")</f>
        <v/>
      </c>
      <c r="T374">
        <f>HYPERLINK("https://klasma.github.io/Logging_2281/kartor/A 55548-2024 karta.png", "A 55548-2024")</f>
        <v/>
      </c>
      <c r="U374">
        <f>HYPERLINK("https://klasma.github.io/Logging_2281/knärot/A 55548-2024 karta knärot.png", "A 55548-2024")</f>
        <v/>
      </c>
      <c r="V374">
        <f>HYPERLINK("https://klasma.github.io/Logging_2281/klagomål/A 55548-2024 FSC-klagomål.docx", "A 55548-2024")</f>
        <v/>
      </c>
      <c r="W374">
        <f>HYPERLINK("https://klasma.github.io/Logging_2281/klagomålsmail/A 55548-2024 FSC-klagomål mail.docx", "A 55548-2024")</f>
        <v/>
      </c>
      <c r="X374">
        <f>HYPERLINK("https://klasma.github.io/Logging_2281/tillsyn/A 55548-2024 tillsynsbegäran.docx", "A 55548-2024")</f>
        <v/>
      </c>
      <c r="Y374">
        <f>HYPERLINK("https://klasma.github.io/Logging_2281/tillsynsmail/A 55548-2024 tillsynsbegäran mail.docx", "A 55548-2024")</f>
        <v/>
      </c>
      <c r="Z374">
        <f>HYPERLINK("https://klasma.github.io/Logging_2281/fåglar/A 55548-2024 prioriterade fågelarter.docx", "A 55548-2024")</f>
        <v/>
      </c>
    </row>
    <row r="375" ht="15" customHeight="1">
      <c r="A375" t="inlineStr">
        <is>
          <t>A 24421-2025</t>
        </is>
      </c>
      <c r="B375" s="1" t="n">
        <v>45797.67784722222</v>
      </c>
      <c r="C375" s="1" t="n">
        <v>46093</v>
      </c>
      <c r="D375" t="inlineStr">
        <is>
          <t>VÄSTERNORRLANDS LÄN</t>
        </is>
      </c>
      <c r="E375" t="inlineStr">
        <is>
          <t>TIMRÅ</t>
        </is>
      </c>
      <c r="F375" t="inlineStr">
        <is>
          <t>SCA</t>
        </is>
      </c>
      <c r="G375" t="n">
        <v>1.3</v>
      </c>
      <c r="H375" t="n">
        <v>2</v>
      </c>
      <c r="I375" t="n">
        <v>1</v>
      </c>
      <c r="J375" t="n">
        <v>2</v>
      </c>
      <c r="K375" t="n">
        <v>1</v>
      </c>
      <c r="L375" t="n">
        <v>0</v>
      </c>
      <c r="M375" t="n">
        <v>0</v>
      </c>
      <c r="N375" t="n">
        <v>0</v>
      </c>
      <c r="O375" t="n">
        <v>3</v>
      </c>
      <c r="P375" t="n">
        <v>1</v>
      </c>
      <c r="Q375" t="n">
        <v>6</v>
      </c>
      <c r="R375" s="2" t="inlineStr">
        <is>
          <t>Rynkskinn
Gammelgransskål
Knottrig blåslav
Skuggblåslav
Fläcknycklar
Revlummer</t>
        </is>
      </c>
      <c r="S375">
        <f>HYPERLINK("https://klasma.github.io/Logging_2262/artfynd/A 24421-2025 artfynd.xlsx", "A 24421-2025")</f>
        <v/>
      </c>
      <c r="T375">
        <f>HYPERLINK("https://klasma.github.io/Logging_2262/kartor/A 24421-2025 karta.png", "A 24421-2025")</f>
        <v/>
      </c>
      <c r="V375">
        <f>HYPERLINK("https://klasma.github.io/Logging_2262/klagomål/A 24421-2025 FSC-klagomål.docx", "A 24421-2025")</f>
        <v/>
      </c>
      <c r="W375">
        <f>HYPERLINK("https://klasma.github.io/Logging_2262/klagomålsmail/A 24421-2025 FSC-klagomål mail.docx", "A 24421-2025")</f>
        <v/>
      </c>
      <c r="X375">
        <f>HYPERLINK("https://klasma.github.io/Logging_2262/tillsyn/A 24421-2025 tillsynsbegäran.docx", "A 24421-2025")</f>
        <v/>
      </c>
      <c r="Y375">
        <f>HYPERLINK("https://klasma.github.io/Logging_2262/tillsynsmail/A 24421-2025 tillsynsbegäran mail.docx", "A 24421-2025")</f>
        <v/>
      </c>
    </row>
    <row r="376" ht="15" customHeight="1">
      <c r="A376" t="inlineStr">
        <is>
          <t>A 25837-2025</t>
        </is>
      </c>
      <c r="B376" s="1" t="n">
        <v>45804.44876157407</v>
      </c>
      <c r="C376" s="1" t="n">
        <v>46093</v>
      </c>
      <c r="D376" t="inlineStr">
        <is>
          <t>VÄSTERNORRLANDS LÄN</t>
        </is>
      </c>
      <c r="E376" t="inlineStr">
        <is>
          <t>SUNDSVALL</t>
        </is>
      </c>
      <c r="F376" t="inlineStr">
        <is>
          <t>Naturvårdsverket</t>
        </is>
      </c>
      <c r="G376" t="n">
        <v>10.9</v>
      </c>
      <c r="H376" t="n">
        <v>5</v>
      </c>
      <c r="I376" t="n">
        <v>2</v>
      </c>
      <c r="J376" t="n">
        <v>2</v>
      </c>
      <c r="K376" t="n">
        <v>1</v>
      </c>
      <c r="L376" t="n">
        <v>0</v>
      </c>
      <c r="M376" t="n">
        <v>0</v>
      </c>
      <c r="N376" t="n">
        <v>0</v>
      </c>
      <c r="O376" t="n">
        <v>3</v>
      </c>
      <c r="P376" t="n">
        <v>1</v>
      </c>
      <c r="Q376" t="n">
        <v>6</v>
      </c>
      <c r="R376" s="2" t="inlineStr">
        <is>
          <t>Knärot
Lunglav
Rödvingetrast
Korallrot
Spindelblomster
Fläcknycklar</t>
        </is>
      </c>
      <c r="S376">
        <f>HYPERLINK("https://klasma.github.io/Logging_2281/artfynd/A 25837-2025 artfynd.xlsx", "A 25837-2025")</f>
        <v/>
      </c>
      <c r="T376">
        <f>HYPERLINK("https://klasma.github.io/Logging_2281/kartor/A 25837-2025 karta.png", "A 25837-2025")</f>
        <v/>
      </c>
      <c r="U376">
        <f>HYPERLINK("https://klasma.github.io/Logging_2281/knärot/A 25837-2025 karta knärot.png", "A 25837-2025")</f>
        <v/>
      </c>
      <c r="V376">
        <f>HYPERLINK("https://klasma.github.io/Logging_2281/klagomål/A 25837-2025 FSC-klagomål.docx", "A 25837-2025")</f>
        <v/>
      </c>
      <c r="W376">
        <f>HYPERLINK("https://klasma.github.io/Logging_2281/klagomålsmail/A 25837-2025 FSC-klagomål mail.docx", "A 25837-2025")</f>
        <v/>
      </c>
      <c r="X376">
        <f>HYPERLINK("https://klasma.github.io/Logging_2281/tillsyn/A 25837-2025 tillsynsbegäran.docx", "A 25837-2025")</f>
        <v/>
      </c>
      <c r="Y376">
        <f>HYPERLINK("https://klasma.github.io/Logging_2281/tillsynsmail/A 25837-2025 tillsynsbegäran mail.docx", "A 25837-2025")</f>
        <v/>
      </c>
      <c r="Z376">
        <f>HYPERLINK("https://klasma.github.io/Logging_2281/fåglar/A 25837-2025 prioriterade fågelarter.docx", "A 25837-2025")</f>
        <v/>
      </c>
    </row>
    <row r="377" ht="15" customHeight="1">
      <c r="A377" t="inlineStr">
        <is>
          <t>A 56141-2025</t>
        </is>
      </c>
      <c r="B377" s="1" t="n">
        <v>45974</v>
      </c>
      <c r="C377" s="1" t="n">
        <v>46093</v>
      </c>
      <c r="D377" t="inlineStr">
        <is>
          <t>VÄSTERNORRLANDS LÄN</t>
        </is>
      </c>
      <c r="E377" t="inlineStr">
        <is>
          <t>SOLLEFTEÅ</t>
        </is>
      </c>
      <c r="G377" t="n">
        <v>2.5</v>
      </c>
      <c r="H377" t="n">
        <v>1</v>
      </c>
      <c r="I377" t="n">
        <v>2</v>
      </c>
      <c r="J377" t="n">
        <v>2</v>
      </c>
      <c r="K377" t="n">
        <v>1</v>
      </c>
      <c r="L377" t="n">
        <v>0</v>
      </c>
      <c r="M377" t="n">
        <v>0</v>
      </c>
      <c r="N377" t="n">
        <v>0</v>
      </c>
      <c r="O377" t="n">
        <v>3</v>
      </c>
      <c r="P377" t="n">
        <v>1</v>
      </c>
      <c r="Q377" t="n">
        <v>6</v>
      </c>
      <c r="R377" s="2" t="inlineStr">
        <is>
          <t>Rynkskinn
Garnlav
Ullticka
Norrlandslav
Stuplav
Lavskrika</t>
        </is>
      </c>
      <c r="S377">
        <f>HYPERLINK("https://klasma.github.io/Logging_2283/artfynd/A 56141-2025 artfynd.xlsx", "A 56141-2025")</f>
        <v/>
      </c>
      <c r="T377">
        <f>HYPERLINK("https://klasma.github.io/Logging_2283/kartor/A 56141-2025 karta.png", "A 56141-2025")</f>
        <v/>
      </c>
      <c r="V377">
        <f>HYPERLINK("https://klasma.github.io/Logging_2283/klagomål/A 56141-2025 FSC-klagomål.docx", "A 56141-2025")</f>
        <v/>
      </c>
      <c r="W377">
        <f>HYPERLINK("https://klasma.github.io/Logging_2283/klagomålsmail/A 56141-2025 FSC-klagomål mail.docx", "A 56141-2025")</f>
        <v/>
      </c>
      <c r="X377">
        <f>HYPERLINK("https://klasma.github.io/Logging_2283/tillsyn/A 56141-2025 tillsynsbegäran.docx", "A 56141-2025")</f>
        <v/>
      </c>
      <c r="Y377">
        <f>HYPERLINK("https://klasma.github.io/Logging_2283/tillsynsmail/A 56141-2025 tillsynsbegäran mail.docx", "A 56141-2025")</f>
        <v/>
      </c>
      <c r="Z377">
        <f>HYPERLINK("https://klasma.github.io/Logging_2283/fåglar/A 56141-2025 prioriterade fågelarter.docx", "A 56141-2025")</f>
        <v/>
      </c>
    </row>
    <row r="378" ht="15" customHeight="1">
      <c r="A378" t="inlineStr">
        <is>
          <t>A 3579-2026</t>
        </is>
      </c>
      <c r="B378" s="1" t="n">
        <v>46042</v>
      </c>
      <c r="C378" s="1" t="n">
        <v>46093</v>
      </c>
      <c r="D378" t="inlineStr">
        <is>
          <t>VÄSTERNORRLANDS LÄN</t>
        </is>
      </c>
      <c r="E378" t="inlineStr">
        <is>
          <t>SUNDSVALL</t>
        </is>
      </c>
      <c r="G378" t="n">
        <v>18.9</v>
      </c>
      <c r="H378" t="n">
        <v>1</v>
      </c>
      <c r="I378" t="n">
        <v>1</v>
      </c>
      <c r="J378" t="n">
        <v>5</v>
      </c>
      <c r="K378" t="n">
        <v>0</v>
      </c>
      <c r="L378" t="n">
        <v>0</v>
      </c>
      <c r="M378" t="n">
        <v>0</v>
      </c>
      <c r="N378" t="n">
        <v>0</v>
      </c>
      <c r="O378" t="n">
        <v>5</v>
      </c>
      <c r="P378" t="n">
        <v>0</v>
      </c>
      <c r="Q378" t="n">
        <v>6</v>
      </c>
      <c r="R378" s="2" t="inlineStr">
        <is>
          <t>Garnlav
Granticka
Lunglav
Tretåig hackspett
Ullticka
Skinnlav</t>
        </is>
      </c>
      <c r="S378">
        <f>HYPERLINK("https://klasma.github.io/Logging_2281/artfynd/A 3579-2026 artfynd.xlsx", "A 3579-2026")</f>
        <v/>
      </c>
      <c r="T378">
        <f>HYPERLINK("https://klasma.github.io/Logging_2281/kartor/A 3579-2026 karta.png", "A 3579-2026")</f>
        <v/>
      </c>
      <c r="V378">
        <f>HYPERLINK("https://klasma.github.io/Logging_2281/klagomål/A 3579-2026 FSC-klagomål.docx", "A 3579-2026")</f>
        <v/>
      </c>
      <c r="W378">
        <f>HYPERLINK("https://klasma.github.io/Logging_2281/klagomålsmail/A 3579-2026 FSC-klagomål mail.docx", "A 3579-2026")</f>
        <v/>
      </c>
      <c r="X378">
        <f>HYPERLINK("https://klasma.github.io/Logging_2281/tillsyn/A 3579-2026 tillsynsbegäran.docx", "A 3579-2026")</f>
        <v/>
      </c>
      <c r="Y378">
        <f>HYPERLINK("https://klasma.github.io/Logging_2281/tillsynsmail/A 3579-2026 tillsynsbegäran mail.docx", "A 3579-2026")</f>
        <v/>
      </c>
      <c r="Z378">
        <f>HYPERLINK("https://klasma.github.io/Logging_2281/fåglar/A 3579-2026 prioriterade fågelarter.docx", "A 3579-2026")</f>
        <v/>
      </c>
    </row>
    <row r="379" ht="15" customHeight="1">
      <c r="A379" t="inlineStr">
        <is>
          <t>A 27209-2025</t>
        </is>
      </c>
      <c r="B379" s="1" t="n">
        <v>45812.40658564815</v>
      </c>
      <c r="C379" s="1" t="n">
        <v>46093</v>
      </c>
      <c r="D379" t="inlineStr">
        <is>
          <t>VÄSTERNORRLANDS LÄN</t>
        </is>
      </c>
      <c r="E379" t="inlineStr">
        <is>
          <t>SUNDSVALL</t>
        </is>
      </c>
      <c r="F379" t="inlineStr">
        <is>
          <t>SCA</t>
        </is>
      </c>
      <c r="G379" t="n">
        <v>4.7</v>
      </c>
      <c r="H379" t="n">
        <v>0</v>
      </c>
      <c r="I379" t="n">
        <v>1</v>
      </c>
      <c r="J379" t="n">
        <v>5</v>
      </c>
      <c r="K379" t="n">
        <v>0</v>
      </c>
      <c r="L379" t="n">
        <v>0</v>
      </c>
      <c r="M379" t="n">
        <v>0</v>
      </c>
      <c r="N379" t="n">
        <v>0</v>
      </c>
      <c r="O379" t="n">
        <v>5</v>
      </c>
      <c r="P379" t="n">
        <v>0</v>
      </c>
      <c r="Q379" t="n">
        <v>6</v>
      </c>
      <c r="R379" s="2" t="inlineStr">
        <is>
          <t>Garnlav
Mörk kolflarnlav
Orange taggsvamp
Ullticka
Vedflamlav
Dropptaggsvamp</t>
        </is>
      </c>
      <c r="S379">
        <f>HYPERLINK("https://klasma.github.io/Logging_2281/artfynd/A 27209-2025 artfynd.xlsx", "A 27209-2025")</f>
        <v/>
      </c>
      <c r="T379">
        <f>HYPERLINK("https://klasma.github.io/Logging_2281/kartor/A 27209-2025 karta.png", "A 27209-2025")</f>
        <v/>
      </c>
      <c r="V379">
        <f>HYPERLINK("https://klasma.github.io/Logging_2281/klagomål/A 27209-2025 FSC-klagomål.docx", "A 27209-2025")</f>
        <v/>
      </c>
      <c r="W379">
        <f>HYPERLINK("https://klasma.github.io/Logging_2281/klagomålsmail/A 27209-2025 FSC-klagomål mail.docx", "A 27209-2025")</f>
        <v/>
      </c>
      <c r="X379">
        <f>HYPERLINK("https://klasma.github.io/Logging_2281/tillsyn/A 27209-2025 tillsynsbegäran.docx", "A 27209-2025")</f>
        <v/>
      </c>
      <c r="Y379">
        <f>HYPERLINK("https://klasma.github.io/Logging_2281/tillsynsmail/A 27209-2025 tillsynsbegäran mail.docx", "A 27209-2025")</f>
        <v/>
      </c>
    </row>
    <row r="380" ht="15" customHeight="1">
      <c r="A380" t="inlineStr">
        <is>
          <t>A 35406-2024</t>
        </is>
      </c>
      <c r="B380" s="1" t="n">
        <v>45531.40607638889</v>
      </c>
      <c r="C380" s="1" t="n">
        <v>46093</v>
      </c>
      <c r="D380" t="inlineStr">
        <is>
          <t>VÄSTERNORRLANDS LÄN</t>
        </is>
      </c>
      <c r="E380" t="inlineStr">
        <is>
          <t>SOLLEFTEÅ</t>
        </is>
      </c>
      <c r="F380" t="inlineStr">
        <is>
          <t>SCA</t>
        </is>
      </c>
      <c r="G380" t="n">
        <v>3.5</v>
      </c>
      <c r="H380" t="n">
        <v>0</v>
      </c>
      <c r="I380" t="n">
        <v>2</v>
      </c>
      <c r="J380" t="n">
        <v>4</v>
      </c>
      <c r="K380" t="n">
        <v>0</v>
      </c>
      <c r="L380" t="n">
        <v>0</v>
      </c>
      <c r="M380" t="n">
        <v>0</v>
      </c>
      <c r="N380" t="n">
        <v>0</v>
      </c>
      <c r="O380" t="n">
        <v>4</v>
      </c>
      <c r="P380" t="n">
        <v>0</v>
      </c>
      <c r="Q380" t="n">
        <v>6</v>
      </c>
      <c r="R380" s="2" t="inlineStr">
        <is>
          <t>Blå taggsvamp
Kolflarnlav
Orange taggsvamp
Skrovlig taggsvamp
Dropptaggsvamp
Skarp dropptaggsvamp</t>
        </is>
      </c>
      <c r="S380">
        <f>HYPERLINK("https://klasma.github.io/Logging_2283/artfynd/A 35406-2024 artfynd.xlsx", "A 35406-2024")</f>
        <v/>
      </c>
      <c r="T380">
        <f>HYPERLINK("https://klasma.github.io/Logging_2283/kartor/A 35406-2024 karta.png", "A 35406-2024")</f>
        <v/>
      </c>
      <c r="V380">
        <f>HYPERLINK("https://klasma.github.io/Logging_2283/klagomål/A 35406-2024 FSC-klagomål.docx", "A 35406-2024")</f>
        <v/>
      </c>
      <c r="W380">
        <f>HYPERLINK("https://klasma.github.io/Logging_2283/klagomålsmail/A 35406-2024 FSC-klagomål mail.docx", "A 35406-2024")</f>
        <v/>
      </c>
      <c r="X380">
        <f>HYPERLINK("https://klasma.github.io/Logging_2283/tillsyn/A 35406-2024 tillsynsbegäran.docx", "A 35406-2024")</f>
        <v/>
      </c>
      <c r="Y380">
        <f>HYPERLINK("https://klasma.github.io/Logging_2283/tillsynsmail/A 35406-2024 tillsynsbegäran mail.docx", "A 35406-2024")</f>
        <v/>
      </c>
    </row>
    <row r="381" ht="15" customHeight="1">
      <c r="A381" t="inlineStr">
        <is>
          <t>A 28145-2025</t>
        </is>
      </c>
      <c r="B381" s="1" t="n">
        <v>45818.34563657407</v>
      </c>
      <c r="C381" s="1" t="n">
        <v>46093</v>
      </c>
      <c r="D381" t="inlineStr">
        <is>
          <t>VÄSTERNORRLANDS LÄN</t>
        </is>
      </c>
      <c r="E381" t="inlineStr">
        <is>
          <t>SUNDSVALL</t>
        </is>
      </c>
      <c r="F381" t="inlineStr">
        <is>
          <t>Naturvårdsverket</t>
        </is>
      </c>
      <c r="G381" t="n">
        <v>3.2</v>
      </c>
      <c r="H381" t="n">
        <v>3</v>
      </c>
      <c r="I381" t="n">
        <v>0</v>
      </c>
      <c r="J381" t="n">
        <v>5</v>
      </c>
      <c r="K381" t="n">
        <v>0</v>
      </c>
      <c r="L381" t="n">
        <v>0</v>
      </c>
      <c r="M381" t="n">
        <v>0</v>
      </c>
      <c r="N381" t="n">
        <v>0</v>
      </c>
      <c r="O381" t="n">
        <v>5</v>
      </c>
      <c r="P381" t="n">
        <v>0</v>
      </c>
      <c r="Q381" t="n">
        <v>6</v>
      </c>
      <c r="R381" s="2" t="inlineStr">
        <is>
          <t>Garnlav
Kolflarnlav
Talltita
Tretåig hackspett
Ullticka
Fläcknycklar</t>
        </is>
      </c>
      <c r="S381">
        <f>HYPERLINK("https://klasma.github.io/Logging_2281/artfynd/A 28145-2025 artfynd.xlsx", "A 28145-2025")</f>
        <v/>
      </c>
      <c r="T381">
        <f>HYPERLINK("https://klasma.github.io/Logging_2281/kartor/A 28145-2025 karta.png", "A 28145-2025")</f>
        <v/>
      </c>
      <c r="V381">
        <f>HYPERLINK("https://klasma.github.io/Logging_2281/klagomål/A 28145-2025 FSC-klagomål.docx", "A 28145-2025")</f>
        <v/>
      </c>
      <c r="W381">
        <f>HYPERLINK("https://klasma.github.io/Logging_2281/klagomålsmail/A 28145-2025 FSC-klagomål mail.docx", "A 28145-2025")</f>
        <v/>
      </c>
      <c r="X381">
        <f>HYPERLINK("https://klasma.github.io/Logging_2281/tillsyn/A 28145-2025 tillsynsbegäran.docx", "A 28145-2025")</f>
        <v/>
      </c>
      <c r="Y381">
        <f>HYPERLINK("https://klasma.github.io/Logging_2281/tillsynsmail/A 28145-2025 tillsynsbegäran mail.docx", "A 28145-2025")</f>
        <v/>
      </c>
      <c r="Z381">
        <f>HYPERLINK("https://klasma.github.io/Logging_2281/fåglar/A 28145-2025 prioriterade fågelarter.docx", "A 28145-2025")</f>
        <v/>
      </c>
    </row>
    <row r="382" ht="15" customHeight="1">
      <c r="A382" t="inlineStr">
        <is>
          <t>A 32938-2025</t>
        </is>
      </c>
      <c r="B382" s="1" t="n">
        <v>45839.67746527777</v>
      </c>
      <c r="C382" s="1" t="n">
        <v>46093</v>
      </c>
      <c r="D382" t="inlineStr">
        <is>
          <t>VÄSTERNORRLANDS LÄN</t>
        </is>
      </c>
      <c r="E382" t="inlineStr">
        <is>
          <t>SUNDSVALL</t>
        </is>
      </c>
      <c r="F382" t="inlineStr">
        <is>
          <t>SCA</t>
        </is>
      </c>
      <c r="G382" t="n">
        <v>2.4</v>
      </c>
      <c r="H382" t="n">
        <v>4</v>
      </c>
      <c r="I382" t="n">
        <v>0</v>
      </c>
      <c r="J382" t="n">
        <v>4</v>
      </c>
      <c r="K382" t="n">
        <v>1</v>
      </c>
      <c r="L382" t="n">
        <v>0</v>
      </c>
      <c r="M382" t="n">
        <v>0</v>
      </c>
      <c r="N382" t="n">
        <v>0</v>
      </c>
      <c r="O382" t="n">
        <v>5</v>
      </c>
      <c r="P382" t="n">
        <v>1</v>
      </c>
      <c r="Q382" t="n">
        <v>6</v>
      </c>
      <c r="R382" s="2" t="inlineStr">
        <is>
          <t>Knärot
Garnlav
Spillkråka
Tallticka
Tretåig hackspett
Revlummer</t>
        </is>
      </c>
      <c r="S382">
        <f>HYPERLINK("https://klasma.github.io/Logging_2281/artfynd/A 32938-2025 artfynd.xlsx", "A 32938-2025")</f>
        <v/>
      </c>
      <c r="T382">
        <f>HYPERLINK("https://klasma.github.io/Logging_2281/kartor/A 32938-2025 karta.png", "A 32938-2025")</f>
        <v/>
      </c>
      <c r="U382">
        <f>HYPERLINK("https://klasma.github.io/Logging_2281/knärot/A 32938-2025 karta knärot.png", "A 32938-2025")</f>
        <v/>
      </c>
      <c r="V382">
        <f>HYPERLINK("https://klasma.github.io/Logging_2281/klagomål/A 32938-2025 FSC-klagomål.docx", "A 32938-2025")</f>
        <v/>
      </c>
      <c r="W382">
        <f>HYPERLINK("https://klasma.github.io/Logging_2281/klagomålsmail/A 32938-2025 FSC-klagomål mail.docx", "A 32938-2025")</f>
        <v/>
      </c>
      <c r="X382">
        <f>HYPERLINK("https://klasma.github.io/Logging_2281/tillsyn/A 32938-2025 tillsynsbegäran.docx", "A 32938-2025")</f>
        <v/>
      </c>
      <c r="Y382">
        <f>HYPERLINK("https://klasma.github.io/Logging_2281/tillsynsmail/A 32938-2025 tillsynsbegäran mail.docx", "A 32938-2025")</f>
        <v/>
      </c>
      <c r="Z382">
        <f>HYPERLINK("https://klasma.github.io/Logging_2281/fåglar/A 32938-2025 prioriterade fågelarter.docx", "A 32938-2025")</f>
        <v/>
      </c>
    </row>
    <row r="383" ht="15" customHeight="1">
      <c r="A383" t="inlineStr">
        <is>
          <t>A 31364-2022</t>
        </is>
      </c>
      <c r="B383" s="1" t="n">
        <v>44774</v>
      </c>
      <c r="C383" s="1" t="n">
        <v>46093</v>
      </c>
      <c r="D383" t="inlineStr">
        <is>
          <t>VÄSTERNORRLANDS LÄN</t>
        </is>
      </c>
      <c r="E383" t="inlineStr">
        <is>
          <t>ÅNGE</t>
        </is>
      </c>
      <c r="F383" t="inlineStr">
        <is>
          <t>Sveaskog</t>
        </is>
      </c>
      <c r="G383" t="n">
        <v>5.4</v>
      </c>
      <c r="H383" t="n">
        <v>3</v>
      </c>
      <c r="I383" t="n">
        <v>1</v>
      </c>
      <c r="J383" t="n">
        <v>1</v>
      </c>
      <c r="K383" t="n">
        <v>0</v>
      </c>
      <c r="L383" t="n">
        <v>0</v>
      </c>
      <c r="M383" t="n">
        <v>0</v>
      </c>
      <c r="N383" t="n">
        <v>0</v>
      </c>
      <c r="O383" t="n">
        <v>1</v>
      </c>
      <c r="P383" t="n">
        <v>0</v>
      </c>
      <c r="Q383" t="n">
        <v>5</v>
      </c>
      <c r="R383" s="2" t="inlineStr">
        <is>
          <t>Violettgrå tagellav
Kransrams
Fläcknycklar
Nattviol
Blåsippa</t>
        </is>
      </c>
      <c r="S383">
        <f>HYPERLINK("https://klasma.github.io/Logging_2260/artfynd/A 31364-2022 artfynd.xlsx", "A 31364-2022")</f>
        <v/>
      </c>
      <c r="T383">
        <f>HYPERLINK("https://klasma.github.io/Logging_2260/kartor/A 31364-2022 karta.png", "A 31364-2022")</f>
        <v/>
      </c>
      <c r="V383">
        <f>HYPERLINK("https://klasma.github.io/Logging_2260/klagomål/A 31364-2022 FSC-klagomål.docx", "A 31364-2022")</f>
        <v/>
      </c>
      <c r="W383">
        <f>HYPERLINK("https://klasma.github.io/Logging_2260/klagomålsmail/A 31364-2022 FSC-klagomål mail.docx", "A 31364-2022")</f>
        <v/>
      </c>
      <c r="X383">
        <f>HYPERLINK("https://klasma.github.io/Logging_2260/tillsyn/A 31364-2022 tillsynsbegäran.docx", "A 31364-2022")</f>
        <v/>
      </c>
      <c r="Y383">
        <f>HYPERLINK("https://klasma.github.io/Logging_2260/tillsynsmail/A 31364-2022 tillsynsbegäran mail.docx", "A 31364-2022")</f>
        <v/>
      </c>
    </row>
    <row r="384" ht="15" customHeight="1">
      <c r="A384" t="inlineStr">
        <is>
          <t>A 20949-2022</t>
        </is>
      </c>
      <c r="B384" s="1" t="n">
        <v>44701.93967592593</v>
      </c>
      <c r="C384" s="1" t="n">
        <v>46093</v>
      </c>
      <c r="D384" t="inlineStr">
        <is>
          <t>VÄSTERNORRLANDS LÄN</t>
        </is>
      </c>
      <c r="E384" t="inlineStr">
        <is>
          <t>SOLLEFTEÅ</t>
        </is>
      </c>
      <c r="F384" t="inlineStr">
        <is>
          <t>SCA</t>
        </is>
      </c>
      <c r="G384" t="n">
        <v>2.2</v>
      </c>
      <c r="H384" t="n">
        <v>1</v>
      </c>
      <c r="I384" t="n">
        <v>0</v>
      </c>
      <c r="J384" t="n">
        <v>5</v>
      </c>
      <c r="K384" t="n">
        <v>0</v>
      </c>
      <c r="L384" t="n">
        <v>0</v>
      </c>
      <c r="M384" t="n">
        <v>0</v>
      </c>
      <c r="N384" t="n">
        <v>0</v>
      </c>
      <c r="O384" t="n">
        <v>5</v>
      </c>
      <c r="P384" t="n">
        <v>0</v>
      </c>
      <c r="Q384" t="n">
        <v>5</v>
      </c>
      <c r="R384" s="2" t="inlineStr">
        <is>
          <t>Garnlav
Kolflarnlav
Lunglav
Tretåig hackspett
Vedskivlav</t>
        </is>
      </c>
      <c r="S384">
        <f>HYPERLINK("https://klasma.github.io/Logging_2283/artfynd/A 20949-2022 artfynd.xlsx", "A 20949-2022")</f>
        <v/>
      </c>
      <c r="T384">
        <f>HYPERLINK("https://klasma.github.io/Logging_2283/kartor/A 20949-2022 karta.png", "A 20949-2022")</f>
        <v/>
      </c>
      <c r="V384">
        <f>HYPERLINK("https://klasma.github.io/Logging_2283/klagomål/A 20949-2022 FSC-klagomål.docx", "A 20949-2022")</f>
        <v/>
      </c>
      <c r="W384">
        <f>HYPERLINK("https://klasma.github.io/Logging_2283/klagomålsmail/A 20949-2022 FSC-klagomål mail.docx", "A 20949-2022")</f>
        <v/>
      </c>
      <c r="X384">
        <f>HYPERLINK("https://klasma.github.io/Logging_2283/tillsyn/A 20949-2022 tillsynsbegäran.docx", "A 20949-2022")</f>
        <v/>
      </c>
      <c r="Y384">
        <f>HYPERLINK("https://klasma.github.io/Logging_2283/tillsynsmail/A 20949-2022 tillsynsbegäran mail.docx", "A 20949-2022")</f>
        <v/>
      </c>
      <c r="Z384">
        <f>HYPERLINK("https://klasma.github.io/Logging_2283/fåglar/A 20949-2022 prioriterade fågelarter.docx", "A 20949-2022")</f>
        <v/>
      </c>
    </row>
    <row r="385" ht="15" customHeight="1">
      <c r="A385" t="inlineStr">
        <is>
          <t>A 59662-2023</t>
        </is>
      </c>
      <c r="B385" s="1" t="n">
        <v>45254.96438657407</v>
      </c>
      <c r="C385" s="1" t="n">
        <v>46093</v>
      </c>
      <c r="D385" t="inlineStr">
        <is>
          <t>VÄSTERNORRLANDS LÄN</t>
        </is>
      </c>
      <c r="E385" t="inlineStr">
        <is>
          <t>SOLLEFTEÅ</t>
        </is>
      </c>
      <c r="F385" t="inlineStr">
        <is>
          <t>SCA</t>
        </is>
      </c>
      <c r="G385" t="n">
        <v>4.8</v>
      </c>
      <c r="H385" t="n">
        <v>1</v>
      </c>
      <c r="I385" t="n">
        <v>0</v>
      </c>
      <c r="J385" t="n">
        <v>4</v>
      </c>
      <c r="K385" t="n">
        <v>1</v>
      </c>
      <c r="L385" t="n">
        <v>0</v>
      </c>
      <c r="M385" t="n">
        <v>0</v>
      </c>
      <c r="N385" t="n">
        <v>0</v>
      </c>
      <c r="O385" t="n">
        <v>5</v>
      </c>
      <c r="P385" t="n">
        <v>1</v>
      </c>
      <c r="Q385" t="n">
        <v>5</v>
      </c>
      <c r="R385" s="2" t="inlineStr">
        <is>
          <t>Knärot
Dvärgbägarlav
Kolflarnlav
Koralltaggsvamp
Tallticka</t>
        </is>
      </c>
      <c r="S385">
        <f>HYPERLINK("https://klasma.github.io/Logging_2283/artfynd/A 59662-2023 artfynd.xlsx", "A 59662-2023")</f>
        <v/>
      </c>
      <c r="T385">
        <f>HYPERLINK("https://klasma.github.io/Logging_2283/kartor/A 59662-2023 karta.png", "A 59662-2023")</f>
        <v/>
      </c>
      <c r="U385">
        <f>HYPERLINK("https://klasma.github.io/Logging_2283/knärot/A 59662-2023 karta knärot.png", "A 59662-2023")</f>
        <v/>
      </c>
      <c r="V385">
        <f>HYPERLINK("https://klasma.github.io/Logging_2283/klagomål/A 59662-2023 FSC-klagomål.docx", "A 59662-2023")</f>
        <v/>
      </c>
      <c r="W385">
        <f>HYPERLINK("https://klasma.github.io/Logging_2283/klagomålsmail/A 59662-2023 FSC-klagomål mail.docx", "A 59662-2023")</f>
        <v/>
      </c>
      <c r="X385">
        <f>HYPERLINK("https://klasma.github.io/Logging_2283/tillsyn/A 59662-2023 tillsynsbegäran.docx", "A 59662-2023")</f>
        <v/>
      </c>
      <c r="Y385">
        <f>HYPERLINK("https://klasma.github.io/Logging_2283/tillsynsmail/A 59662-2023 tillsynsbegäran mail.docx", "A 59662-2023")</f>
        <v/>
      </c>
    </row>
    <row r="386" ht="15" customHeight="1">
      <c r="A386" t="inlineStr">
        <is>
          <t>A 42090-2024</t>
        </is>
      </c>
      <c r="B386" s="1" t="n">
        <v>45562</v>
      </c>
      <c r="C386" s="1" t="n">
        <v>46093</v>
      </c>
      <c r="D386" t="inlineStr">
        <is>
          <t>VÄSTERNORRLANDS LÄN</t>
        </is>
      </c>
      <c r="E386" t="inlineStr">
        <is>
          <t>ÅNGE</t>
        </is>
      </c>
      <c r="F386" t="inlineStr">
        <is>
          <t>SCA</t>
        </is>
      </c>
      <c r="G386" t="n">
        <v>20.2</v>
      </c>
      <c r="H386" t="n">
        <v>0</v>
      </c>
      <c r="I386" t="n">
        <v>1</v>
      </c>
      <c r="J386" t="n">
        <v>4</v>
      </c>
      <c r="K386" t="n">
        <v>0</v>
      </c>
      <c r="L386" t="n">
        <v>0</v>
      </c>
      <c r="M386" t="n">
        <v>0</v>
      </c>
      <c r="N386" t="n">
        <v>0</v>
      </c>
      <c r="O386" t="n">
        <v>4</v>
      </c>
      <c r="P386" t="n">
        <v>0</v>
      </c>
      <c r="Q386" t="n">
        <v>5</v>
      </c>
      <c r="R386" s="2" t="inlineStr">
        <is>
          <t>Garnlav
Granticka
Rosenticka
Ullticka
Vedticka</t>
        </is>
      </c>
      <c r="S386">
        <f>HYPERLINK("https://klasma.github.io/Logging_2260/artfynd/A 42090-2024 artfynd.xlsx", "A 42090-2024")</f>
        <v/>
      </c>
      <c r="T386">
        <f>HYPERLINK("https://klasma.github.io/Logging_2260/kartor/A 42090-2024 karta.png", "A 42090-2024")</f>
        <v/>
      </c>
      <c r="V386">
        <f>HYPERLINK("https://klasma.github.io/Logging_2260/klagomål/A 42090-2024 FSC-klagomål.docx", "A 42090-2024")</f>
        <v/>
      </c>
      <c r="W386">
        <f>HYPERLINK("https://klasma.github.io/Logging_2260/klagomålsmail/A 42090-2024 FSC-klagomål mail.docx", "A 42090-2024")</f>
        <v/>
      </c>
      <c r="X386">
        <f>HYPERLINK("https://klasma.github.io/Logging_2260/tillsyn/A 42090-2024 tillsynsbegäran.docx", "A 42090-2024")</f>
        <v/>
      </c>
      <c r="Y386">
        <f>HYPERLINK("https://klasma.github.io/Logging_2260/tillsynsmail/A 42090-2024 tillsynsbegäran mail.docx", "A 42090-2024")</f>
        <v/>
      </c>
    </row>
    <row r="387" ht="15" customHeight="1">
      <c r="A387" t="inlineStr">
        <is>
          <t>A 41169-2022</t>
        </is>
      </c>
      <c r="B387" s="1" t="n">
        <v>44825</v>
      </c>
      <c r="C387" s="1" t="n">
        <v>46093</v>
      </c>
      <c r="D387" t="inlineStr">
        <is>
          <t>VÄSTERNORRLANDS LÄN</t>
        </is>
      </c>
      <c r="E387" t="inlineStr">
        <is>
          <t>SOLLEFTEÅ</t>
        </is>
      </c>
      <c r="F387" t="inlineStr">
        <is>
          <t>SCA</t>
        </is>
      </c>
      <c r="G387" t="n">
        <v>1.8</v>
      </c>
      <c r="H387" t="n">
        <v>2</v>
      </c>
      <c r="I387" t="n">
        <v>1</v>
      </c>
      <c r="J387" t="n">
        <v>4</v>
      </c>
      <c r="K387" t="n">
        <v>0</v>
      </c>
      <c r="L387" t="n">
        <v>0</v>
      </c>
      <c r="M387" t="n">
        <v>0</v>
      </c>
      <c r="N387" t="n">
        <v>0</v>
      </c>
      <c r="O387" t="n">
        <v>4</v>
      </c>
      <c r="P387" t="n">
        <v>0</v>
      </c>
      <c r="Q387" t="n">
        <v>5</v>
      </c>
      <c r="R387" s="2" t="inlineStr">
        <is>
          <t>Spillkråka
Tretåig hackspett
Ullticka
Vedskivlav
Vedticka</t>
        </is>
      </c>
      <c r="S387">
        <f>HYPERLINK("https://klasma.github.io/Logging_2283/artfynd/A 41169-2022 artfynd.xlsx", "A 41169-2022")</f>
        <v/>
      </c>
      <c r="T387">
        <f>HYPERLINK("https://klasma.github.io/Logging_2283/kartor/A 41169-2022 karta.png", "A 41169-2022")</f>
        <v/>
      </c>
      <c r="V387">
        <f>HYPERLINK("https://klasma.github.io/Logging_2283/klagomål/A 41169-2022 FSC-klagomål.docx", "A 41169-2022")</f>
        <v/>
      </c>
      <c r="W387">
        <f>HYPERLINK("https://klasma.github.io/Logging_2283/klagomålsmail/A 41169-2022 FSC-klagomål mail.docx", "A 41169-2022")</f>
        <v/>
      </c>
      <c r="X387">
        <f>HYPERLINK("https://klasma.github.io/Logging_2283/tillsyn/A 41169-2022 tillsynsbegäran.docx", "A 41169-2022")</f>
        <v/>
      </c>
      <c r="Y387">
        <f>HYPERLINK("https://klasma.github.io/Logging_2283/tillsynsmail/A 41169-2022 tillsynsbegäran mail.docx", "A 41169-2022")</f>
        <v/>
      </c>
      <c r="Z387">
        <f>HYPERLINK("https://klasma.github.io/Logging_2283/fåglar/A 41169-2022 prioriterade fågelarter.docx", "A 41169-2022")</f>
        <v/>
      </c>
    </row>
    <row r="388" ht="15" customHeight="1">
      <c r="A388" t="inlineStr">
        <is>
          <t>A 52269-2024</t>
        </is>
      </c>
      <c r="B388" s="1" t="n">
        <v>45608.65660879629</v>
      </c>
      <c r="C388" s="1" t="n">
        <v>46093</v>
      </c>
      <c r="D388" t="inlineStr">
        <is>
          <t>VÄSTERNORRLANDS LÄN</t>
        </is>
      </c>
      <c r="E388" t="inlineStr">
        <is>
          <t>ÅNGE</t>
        </is>
      </c>
      <c r="F388" t="inlineStr">
        <is>
          <t>SCA</t>
        </is>
      </c>
      <c r="G388" t="n">
        <v>5.1</v>
      </c>
      <c r="H388" t="n">
        <v>0</v>
      </c>
      <c r="I388" t="n">
        <v>2</v>
      </c>
      <c r="J388" t="n">
        <v>3</v>
      </c>
      <c r="K388" t="n">
        <v>0</v>
      </c>
      <c r="L388" t="n">
        <v>0</v>
      </c>
      <c r="M388" t="n">
        <v>0</v>
      </c>
      <c r="N388" t="n">
        <v>0</v>
      </c>
      <c r="O388" t="n">
        <v>3</v>
      </c>
      <c r="P388" t="n">
        <v>0</v>
      </c>
      <c r="Q388" t="n">
        <v>5</v>
      </c>
      <c r="R388" s="2" t="inlineStr">
        <is>
          <t>Lunglav
Rosenticka
Ullticka
Bårdlav
Stor aspticka</t>
        </is>
      </c>
      <c r="S388">
        <f>HYPERLINK("https://klasma.github.io/Logging_2260/artfynd/A 52269-2024 artfynd.xlsx", "A 52269-2024")</f>
        <v/>
      </c>
      <c r="T388">
        <f>HYPERLINK("https://klasma.github.io/Logging_2260/kartor/A 52269-2024 karta.png", "A 52269-2024")</f>
        <v/>
      </c>
      <c r="V388">
        <f>HYPERLINK("https://klasma.github.io/Logging_2260/klagomål/A 52269-2024 FSC-klagomål.docx", "A 52269-2024")</f>
        <v/>
      </c>
      <c r="W388">
        <f>HYPERLINK("https://klasma.github.io/Logging_2260/klagomålsmail/A 52269-2024 FSC-klagomål mail.docx", "A 52269-2024")</f>
        <v/>
      </c>
      <c r="X388">
        <f>HYPERLINK("https://klasma.github.io/Logging_2260/tillsyn/A 52269-2024 tillsynsbegäran.docx", "A 52269-2024")</f>
        <v/>
      </c>
      <c r="Y388">
        <f>HYPERLINK("https://klasma.github.io/Logging_2260/tillsynsmail/A 52269-2024 tillsynsbegäran mail.docx", "A 52269-2024")</f>
        <v/>
      </c>
    </row>
    <row r="389" ht="15" customHeight="1">
      <c r="A389" t="inlineStr">
        <is>
          <t>A 11490-2022</t>
        </is>
      </c>
      <c r="B389" s="1" t="n">
        <v>44630.93877314815</v>
      </c>
      <c r="C389" s="1" t="n">
        <v>46093</v>
      </c>
      <c r="D389" t="inlineStr">
        <is>
          <t>VÄSTERNORRLANDS LÄN</t>
        </is>
      </c>
      <c r="E389" t="inlineStr">
        <is>
          <t>SOLLEFTEÅ</t>
        </is>
      </c>
      <c r="F389" t="inlineStr">
        <is>
          <t>SCA</t>
        </is>
      </c>
      <c r="G389" t="n">
        <v>2</v>
      </c>
      <c r="H389" t="n">
        <v>2</v>
      </c>
      <c r="I389" t="n">
        <v>0</v>
      </c>
      <c r="J389" t="n">
        <v>5</v>
      </c>
      <c r="K389" t="n">
        <v>0</v>
      </c>
      <c r="L389" t="n">
        <v>0</v>
      </c>
      <c r="M389" t="n">
        <v>0</v>
      </c>
      <c r="N389" t="n">
        <v>0</v>
      </c>
      <c r="O389" t="n">
        <v>5</v>
      </c>
      <c r="P389" t="n">
        <v>0</v>
      </c>
      <c r="Q389" t="n">
        <v>5</v>
      </c>
      <c r="R389" s="2" t="inlineStr">
        <is>
          <t>Garnlav
Lunglav
Spillkråka
Tretåig hackspett
Ullticka</t>
        </is>
      </c>
      <c r="S389">
        <f>HYPERLINK("https://klasma.github.io/Logging_2283/artfynd/A 11490-2022 artfynd.xlsx", "A 11490-2022")</f>
        <v/>
      </c>
      <c r="T389">
        <f>HYPERLINK("https://klasma.github.io/Logging_2283/kartor/A 11490-2022 karta.png", "A 11490-2022")</f>
        <v/>
      </c>
      <c r="V389">
        <f>HYPERLINK("https://klasma.github.io/Logging_2283/klagomål/A 11490-2022 FSC-klagomål.docx", "A 11490-2022")</f>
        <v/>
      </c>
      <c r="W389">
        <f>HYPERLINK("https://klasma.github.io/Logging_2283/klagomålsmail/A 11490-2022 FSC-klagomål mail.docx", "A 11490-2022")</f>
        <v/>
      </c>
      <c r="X389">
        <f>HYPERLINK("https://klasma.github.io/Logging_2283/tillsyn/A 11490-2022 tillsynsbegäran.docx", "A 11490-2022")</f>
        <v/>
      </c>
      <c r="Y389">
        <f>HYPERLINK("https://klasma.github.io/Logging_2283/tillsynsmail/A 11490-2022 tillsynsbegäran mail.docx", "A 11490-2022")</f>
        <v/>
      </c>
      <c r="Z389">
        <f>HYPERLINK("https://klasma.github.io/Logging_2283/fåglar/A 11490-2022 prioriterade fågelarter.docx", "A 11490-2022")</f>
        <v/>
      </c>
    </row>
    <row r="390" ht="15" customHeight="1">
      <c r="A390" t="inlineStr">
        <is>
          <t>A 32217-2023</t>
        </is>
      </c>
      <c r="B390" s="1" t="n">
        <v>45119</v>
      </c>
      <c r="C390" s="1" t="n">
        <v>46093</v>
      </c>
      <c r="D390" t="inlineStr">
        <is>
          <t>VÄSTERNORRLANDS LÄN</t>
        </is>
      </c>
      <c r="E390" t="inlineStr">
        <is>
          <t>SOLLEFTEÅ</t>
        </is>
      </c>
      <c r="F390" t="inlineStr">
        <is>
          <t>SCA</t>
        </is>
      </c>
      <c r="G390" t="n">
        <v>1.8</v>
      </c>
      <c r="H390" t="n">
        <v>1</v>
      </c>
      <c r="I390" t="n">
        <v>0</v>
      </c>
      <c r="J390" t="n">
        <v>5</v>
      </c>
      <c r="K390" t="n">
        <v>0</v>
      </c>
      <c r="L390" t="n">
        <v>0</v>
      </c>
      <c r="M390" t="n">
        <v>0</v>
      </c>
      <c r="N390" t="n">
        <v>0</v>
      </c>
      <c r="O390" t="n">
        <v>5</v>
      </c>
      <c r="P390" t="n">
        <v>0</v>
      </c>
      <c r="Q390" t="n">
        <v>5</v>
      </c>
      <c r="R390" s="2" t="inlineStr">
        <is>
          <t>Garnlav
Lunglav
Rosenticka
Skogshare
Tretåig hackspett</t>
        </is>
      </c>
      <c r="S390">
        <f>HYPERLINK("https://klasma.github.io/Logging_2283/artfynd/A 32217-2023 artfynd.xlsx", "A 32217-2023")</f>
        <v/>
      </c>
      <c r="T390">
        <f>HYPERLINK("https://klasma.github.io/Logging_2283/kartor/A 32217-2023 karta.png", "A 32217-2023")</f>
        <v/>
      </c>
      <c r="V390">
        <f>HYPERLINK("https://klasma.github.io/Logging_2283/klagomål/A 32217-2023 FSC-klagomål.docx", "A 32217-2023")</f>
        <v/>
      </c>
      <c r="W390">
        <f>HYPERLINK("https://klasma.github.io/Logging_2283/klagomålsmail/A 32217-2023 FSC-klagomål mail.docx", "A 32217-2023")</f>
        <v/>
      </c>
      <c r="X390">
        <f>HYPERLINK("https://klasma.github.io/Logging_2283/tillsyn/A 32217-2023 tillsynsbegäran.docx", "A 32217-2023")</f>
        <v/>
      </c>
      <c r="Y390">
        <f>HYPERLINK("https://klasma.github.io/Logging_2283/tillsynsmail/A 32217-2023 tillsynsbegäran mail.docx", "A 32217-2023")</f>
        <v/>
      </c>
      <c r="Z390">
        <f>HYPERLINK("https://klasma.github.io/Logging_2283/fåglar/A 32217-2023 prioriterade fågelarter.docx", "A 32217-2023")</f>
        <v/>
      </c>
    </row>
    <row r="391" ht="15" customHeight="1">
      <c r="A391" t="inlineStr">
        <is>
          <t>A 38327-2025</t>
        </is>
      </c>
      <c r="B391" s="1" t="n">
        <v>45883.49084490741</v>
      </c>
      <c r="C391" s="1" t="n">
        <v>46093</v>
      </c>
      <c r="D391" t="inlineStr">
        <is>
          <t>VÄSTERNORRLANDS LÄN</t>
        </is>
      </c>
      <c r="E391" t="inlineStr">
        <is>
          <t>ÅNGE</t>
        </is>
      </c>
      <c r="F391" t="inlineStr">
        <is>
          <t>SCA</t>
        </is>
      </c>
      <c r="G391" t="n">
        <v>2.1</v>
      </c>
      <c r="H391" t="n">
        <v>1</v>
      </c>
      <c r="I391" t="n">
        <v>0</v>
      </c>
      <c r="J391" t="n">
        <v>4</v>
      </c>
      <c r="K391" t="n">
        <v>0</v>
      </c>
      <c r="L391" t="n">
        <v>0</v>
      </c>
      <c r="M391" t="n">
        <v>0</v>
      </c>
      <c r="N391" t="n">
        <v>0</v>
      </c>
      <c r="O391" t="n">
        <v>4</v>
      </c>
      <c r="P391" t="n">
        <v>0</v>
      </c>
      <c r="Q391" t="n">
        <v>5</v>
      </c>
      <c r="R391" s="2" t="inlineStr">
        <is>
          <t>Gammelgransskål
Garnlav
Ullticka
Violettgrå tagellav
Revlummer</t>
        </is>
      </c>
      <c r="S391">
        <f>HYPERLINK("https://klasma.github.io/Logging_2260/artfynd/A 38327-2025 artfynd.xlsx", "A 38327-2025")</f>
        <v/>
      </c>
      <c r="T391">
        <f>HYPERLINK("https://klasma.github.io/Logging_2260/kartor/A 38327-2025 karta.png", "A 38327-2025")</f>
        <v/>
      </c>
      <c r="V391">
        <f>HYPERLINK("https://klasma.github.io/Logging_2260/klagomål/A 38327-2025 FSC-klagomål.docx", "A 38327-2025")</f>
        <v/>
      </c>
      <c r="W391">
        <f>HYPERLINK("https://klasma.github.io/Logging_2260/klagomålsmail/A 38327-2025 FSC-klagomål mail.docx", "A 38327-2025")</f>
        <v/>
      </c>
      <c r="X391">
        <f>HYPERLINK("https://klasma.github.io/Logging_2260/tillsyn/A 38327-2025 tillsynsbegäran.docx", "A 38327-2025")</f>
        <v/>
      </c>
      <c r="Y391">
        <f>HYPERLINK("https://klasma.github.io/Logging_2260/tillsynsmail/A 38327-2025 tillsynsbegäran mail.docx", "A 38327-2025")</f>
        <v/>
      </c>
    </row>
    <row r="392" ht="15" customHeight="1">
      <c r="A392" t="inlineStr">
        <is>
          <t>A 57859-2024</t>
        </is>
      </c>
      <c r="B392" s="1" t="n">
        <v>45631.42853009259</v>
      </c>
      <c r="C392" s="1" t="n">
        <v>46093</v>
      </c>
      <c r="D392" t="inlineStr">
        <is>
          <t>VÄSTERNORRLANDS LÄN</t>
        </is>
      </c>
      <c r="E392" t="inlineStr">
        <is>
          <t>SUNDSVALL</t>
        </is>
      </c>
      <c r="G392" t="n">
        <v>2.3</v>
      </c>
      <c r="H392" t="n">
        <v>5</v>
      </c>
      <c r="I392" t="n">
        <v>0</v>
      </c>
      <c r="J392" t="n">
        <v>2</v>
      </c>
      <c r="K392" t="n">
        <v>0</v>
      </c>
      <c r="L392" t="n">
        <v>0</v>
      </c>
      <c r="M392" t="n">
        <v>0</v>
      </c>
      <c r="N392" t="n">
        <v>0</v>
      </c>
      <c r="O392" t="n">
        <v>2</v>
      </c>
      <c r="P392" t="n">
        <v>0</v>
      </c>
      <c r="Q392" t="n">
        <v>5</v>
      </c>
      <c r="R392" s="2" t="inlineStr">
        <is>
          <t>Spillkråka
Tretåig hackspett
Grönsiska
Fläcknycklar
Revlummer</t>
        </is>
      </c>
      <c r="S392">
        <f>HYPERLINK("https://klasma.github.io/Logging_2281/artfynd/A 57859-2024 artfynd.xlsx", "A 57859-2024")</f>
        <v/>
      </c>
      <c r="T392">
        <f>HYPERLINK("https://klasma.github.io/Logging_2281/kartor/A 57859-2024 karta.png", "A 57859-2024")</f>
        <v/>
      </c>
      <c r="V392">
        <f>HYPERLINK("https://klasma.github.io/Logging_2281/klagomål/A 57859-2024 FSC-klagomål.docx", "A 57859-2024")</f>
        <v/>
      </c>
      <c r="W392">
        <f>HYPERLINK("https://klasma.github.io/Logging_2281/klagomålsmail/A 57859-2024 FSC-klagomål mail.docx", "A 57859-2024")</f>
        <v/>
      </c>
      <c r="X392">
        <f>HYPERLINK("https://klasma.github.io/Logging_2281/tillsyn/A 57859-2024 tillsynsbegäran.docx", "A 57859-2024")</f>
        <v/>
      </c>
      <c r="Y392">
        <f>HYPERLINK("https://klasma.github.io/Logging_2281/tillsynsmail/A 57859-2024 tillsynsbegäran mail.docx", "A 57859-2024")</f>
        <v/>
      </c>
      <c r="Z392">
        <f>HYPERLINK("https://klasma.github.io/Logging_2281/fåglar/A 57859-2024 prioriterade fågelarter.docx", "A 57859-2024")</f>
        <v/>
      </c>
    </row>
    <row r="393" ht="15" customHeight="1">
      <c r="A393" t="inlineStr">
        <is>
          <t>A 48562-2024</t>
        </is>
      </c>
      <c r="B393" s="1" t="n">
        <v>45593.38597222222</v>
      </c>
      <c r="C393" s="1" t="n">
        <v>46093</v>
      </c>
      <c r="D393" t="inlineStr">
        <is>
          <t>VÄSTERNORRLANDS LÄN</t>
        </is>
      </c>
      <c r="E393" t="inlineStr">
        <is>
          <t>SOLLEFTEÅ</t>
        </is>
      </c>
      <c r="F393" t="inlineStr">
        <is>
          <t>SCA</t>
        </is>
      </c>
      <c r="G393" t="n">
        <v>5.3</v>
      </c>
      <c r="H393" t="n">
        <v>1</v>
      </c>
      <c r="I393" t="n">
        <v>1</v>
      </c>
      <c r="J393" t="n">
        <v>4</v>
      </c>
      <c r="K393" t="n">
        <v>0</v>
      </c>
      <c r="L393" t="n">
        <v>0</v>
      </c>
      <c r="M393" t="n">
        <v>0</v>
      </c>
      <c r="N393" t="n">
        <v>0</v>
      </c>
      <c r="O393" t="n">
        <v>4</v>
      </c>
      <c r="P393" t="n">
        <v>0</v>
      </c>
      <c r="Q393" t="n">
        <v>5</v>
      </c>
      <c r="R393" s="2" t="inlineStr">
        <is>
          <t>Gammelgransskål
Garnlav
Lunglav
Vitgrynig nållav
Lappranunkel</t>
        </is>
      </c>
      <c r="S393">
        <f>HYPERLINK("https://klasma.github.io/Logging_2283/artfynd/A 48562-2024 artfynd.xlsx", "A 48562-2024")</f>
        <v/>
      </c>
      <c r="T393">
        <f>HYPERLINK("https://klasma.github.io/Logging_2283/kartor/A 48562-2024 karta.png", "A 48562-2024")</f>
        <v/>
      </c>
      <c r="V393">
        <f>HYPERLINK("https://klasma.github.io/Logging_2283/klagomål/A 48562-2024 FSC-klagomål.docx", "A 48562-2024")</f>
        <v/>
      </c>
      <c r="W393">
        <f>HYPERLINK("https://klasma.github.io/Logging_2283/klagomålsmail/A 48562-2024 FSC-klagomål mail.docx", "A 48562-2024")</f>
        <v/>
      </c>
      <c r="X393">
        <f>HYPERLINK("https://klasma.github.io/Logging_2283/tillsyn/A 48562-2024 tillsynsbegäran.docx", "A 48562-2024")</f>
        <v/>
      </c>
      <c r="Y393">
        <f>HYPERLINK("https://klasma.github.io/Logging_2283/tillsynsmail/A 48562-2024 tillsynsbegäran mail.docx", "A 48562-2024")</f>
        <v/>
      </c>
    </row>
    <row r="394" ht="15" customHeight="1">
      <c r="A394" t="inlineStr">
        <is>
          <t>A 38322-2025</t>
        </is>
      </c>
      <c r="B394" s="1" t="n">
        <v>45883.49003472222</v>
      </c>
      <c r="C394" s="1" t="n">
        <v>46093</v>
      </c>
      <c r="D394" t="inlineStr">
        <is>
          <t>VÄSTERNORRLANDS LÄN</t>
        </is>
      </c>
      <c r="E394" t="inlineStr">
        <is>
          <t>ÅNGE</t>
        </is>
      </c>
      <c r="F394" t="inlineStr">
        <is>
          <t>SCA</t>
        </is>
      </c>
      <c r="G394" t="n">
        <v>5.4</v>
      </c>
      <c r="H394" t="n">
        <v>1</v>
      </c>
      <c r="I394" t="n">
        <v>0</v>
      </c>
      <c r="J394" t="n">
        <v>4</v>
      </c>
      <c r="K394" t="n">
        <v>0</v>
      </c>
      <c r="L394" t="n">
        <v>0</v>
      </c>
      <c r="M394" t="n">
        <v>0</v>
      </c>
      <c r="N394" t="n">
        <v>0</v>
      </c>
      <c r="O394" t="n">
        <v>4</v>
      </c>
      <c r="P394" t="n">
        <v>0</v>
      </c>
      <c r="Q394" t="n">
        <v>5</v>
      </c>
      <c r="R394" s="2" t="inlineStr">
        <is>
          <t>Gammelgransskål
Garnlav
Skrovellav
Violettgrå tagellav
Revlummer</t>
        </is>
      </c>
      <c r="S394">
        <f>HYPERLINK("https://klasma.github.io/Logging_2260/artfynd/A 38322-2025 artfynd.xlsx", "A 38322-2025")</f>
        <v/>
      </c>
      <c r="T394">
        <f>HYPERLINK("https://klasma.github.io/Logging_2260/kartor/A 38322-2025 karta.png", "A 38322-2025")</f>
        <v/>
      </c>
      <c r="V394">
        <f>HYPERLINK("https://klasma.github.io/Logging_2260/klagomål/A 38322-2025 FSC-klagomål.docx", "A 38322-2025")</f>
        <v/>
      </c>
      <c r="W394">
        <f>HYPERLINK("https://klasma.github.io/Logging_2260/klagomålsmail/A 38322-2025 FSC-klagomål mail.docx", "A 38322-2025")</f>
        <v/>
      </c>
      <c r="X394">
        <f>HYPERLINK("https://klasma.github.io/Logging_2260/tillsyn/A 38322-2025 tillsynsbegäran.docx", "A 38322-2025")</f>
        <v/>
      </c>
      <c r="Y394">
        <f>HYPERLINK("https://klasma.github.io/Logging_2260/tillsynsmail/A 38322-2025 tillsynsbegäran mail.docx", "A 38322-2025")</f>
        <v/>
      </c>
    </row>
    <row r="395" ht="15" customHeight="1">
      <c r="A395" t="inlineStr">
        <is>
          <t>A 15139-2024</t>
        </is>
      </c>
      <c r="B395" s="1" t="n">
        <v>45399</v>
      </c>
      <c r="C395" s="1" t="n">
        <v>46093</v>
      </c>
      <c r="D395" t="inlineStr">
        <is>
          <t>VÄSTERNORRLANDS LÄN</t>
        </is>
      </c>
      <c r="E395" t="inlineStr">
        <is>
          <t>KRAMFORS</t>
        </is>
      </c>
      <c r="F395" t="inlineStr">
        <is>
          <t>SCA</t>
        </is>
      </c>
      <c r="G395" t="n">
        <v>4.8</v>
      </c>
      <c r="H395" t="n">
        <v>0</v>
      </c>
      <c r="I395" t="n">
        <v>2</v>
      </c>
      <c r="J395" t="n">
        <v>2</v>
      </c>
      <c r="K395" t="n">
        <v>1</v>
      </c>
      <c r="L395" t="n">
        <v>0</v>
      </c>
      <c r="M395" t="n">
        <v>0</v>
      </c>
      <c r="N395" t="n">
        <v>0</v>
      </c>
      <c r="O395" t="n">
        <v>3</v>
      </c>
      <c r="P395" t="n">
        <v>1</v>
      </c>
      <c r="Q395" t="n">
        <v>5</v>
      </c>
      <c r="R395" s="2" t="inlineStr">
        <is>
          <t>Rynkskinn
Rosenticka
Ullticka
Trådticka
Vedticka</t>
        </is>
      </c>
      <c r="S395">
        <f>HYPERLINK("https://klasma.github.io/Logging_2282/artfynd/A 15139-2024 artfynd.xlsx", "A 15139-2024")</f>
        <v/>
      </c>
      <c r="T395">
        <f>HYPERLINK("https://klasma.github.io/Logging_2282/kartor/A 15139-2024 karta.png", "A 15139-2024")</f>
        <v/>
      </c>
      <c r="V395">
        <f>HYPERLINK("https://klasma.github.io/Logging_2282/klagomål/A 15139-2024 FSC-klagomål.docx", "A 15139-2024")</f>
        <v/>
      </c>
      <c r="W395">
        <f>HYPERLINK("https://klasma.github.io/Logging_2282/klagomålsmail/A 15139-2024 FSC-klagomål mail.docx", "A 15139-2024")</f>
        <v/>
      </c>
      <c r="X395">
        <f>HYPERLINK("https://klasma.github.io/Logging_2282/tillsyn/A 15139-2024 tillsynsbegäran.docx", "A 15139-2024")</f>
        <v/>
      </c>
      <c r="Y395">
        <f>HYPERLINK("https://klasma.github.io/Logging_2282/tillsynsmail/A 15139-2024 tillsynsbegäran mail.docx", "A 15139-2024")</f>
        <v/>
      </c>
    </row>
    <row r="396" ht="15" customHeight="1">
      <c r="A396" t="inlineStr">
        <is>
          <t>A 19081-2024</t>
        </is>
      </c>
      <c r="B396" s="1" t="n">
        <v>45428</v>
      </c>
      <c r="C396" s="1" t="n">
        <v>46093</v>
      </c>
      <c r="D396" t="inlineStr">
        <is>
          <t>VÄSTERNORRLANDS LÄN</t>
        </is>
      </c>
      <c r="E396" t="inlineStr">
        <is>
          <t>SOLLEFTEÅ</t>
        </is>
      </c>
      <c r="F396" t="inlineStr">
        <is>
          <t>SCA</t>
        </is>
      </c>
      <c r="G396" t="n">
        <v>21.5</v>
      </c>
      <c r="H396" t="n">
        <v>2</v>
      </c>
      <c r="I396" t="n">
        <v>0</v>
      </c>
      <c r="J396" t="n">
        <v>4</v>
      </c>
      <c r="K396" t="n">
        <v>0</v>
      </c>
      <c r="L396" t="n">
        <v>0</v>
      </c>
      <c r="M396" t="n">
        <v>0</v>
      </c>
      <c r="N396" t="n">
        <v>0</v>
      </c>
      <c r="O396" t="n">
        <v>4</v>
      </c>
      <c r="P396" t="n">
        <v>0</v>
      </c>
      <c r="Q396" t="n">
        <v>5</v>
      </c>
      <c r="R396" s="2" t="inlineStr">
        <is>
          <t>Garnlav
Granticka
Järpe
Ullticka
Fläcknycklar</t>
        </is>
      </c>
      <c r="S396">
        <f>HYPERLINK("https://klasma.github.io/Logging_2283/artfynd/A 19081-2024 artfynd.xlsx", "A 19081-2024")</f>
        <v/>
      </c>
      <c r="T396">
        <f>HYPERLINK("https://klasma.github.io/Logging_2283/kartor/A 19081-2024 karta.png", "A 19081-2024")</f>
        <v/>
      </c>
      <c r="V396">
        <f>HYPERLINK("https://klasma.github.io/Logging_2283/klagomål/A 19081-2024 FSC-klagomål.docx", "A 19081-2024")</f>
        <v/>
      </c>
      <c r="W396">
        <f>HYPERLINK("https://klasma.github.io/Logging_2283/klagomålsmail/A 19081-2024 FSC-klagomål mail.docx", "A 19081-2024")</f>
        <v/>
      </c>
      <c r="X396">
        <f>HYPERLINK("https://klasma.github.io/Logging_2283/tillsyn/A 19081-2024 tillsynsbegäran.docx", "A 19081-2024")</f>
        <v/>
      </c>
      <c r="Y396">
        <f>HYPERLINK("https://klasma.github.io/Logging_2283/tillsynsmail/A 19081-2024 tillsynsbegäran mail.docx", "A 19081-2024")</f>
        <v/>
      </c>
      <c r="Z396">
        <f>HYPERLINK("https://klasma.github.io/Logging_2283/fåglar/A 19081-2024 prioriterade fågelarter.docx", "A 19081-2024")</f>
        <v/>
      </c>
    </row>
    <row r="397" ht="15" customHeight="1">
      <c r="A397" t="inlineStr">
        <is>
          <t>A 50418-2024</t>
        </is>
      </c>
      <c r="B397" s="1" t="n">
        <v>45601.38575231482</v>
      </c>
      <c r="C397" s="1" t="n">
        <v>46093</v>
      </c>
      <c r="D397" t="inlineStr">
        <is>
          <t>VÄSTERNORRLANDS LÄN</t>
        </is>
      </c>
      <c r="E397" t="inlineStr">
        <is>
          <t>SOLLEFTEÅ</t>
        </is>
      </c>
      <c r="F397" t="inlineStr">
        <is>
          <t>SCA</t>
        </is>
      </c>
      <c r="G397" t="n">
        <v>3.4</v>
      </c>
      <c r="H397" t="n">
        <v>0</v>
      </c>
      <c r="I397" t="n">
        <v>0</v>
      </c>
      <c r="J397" t="n">
        <v>4</v>
      </c>
      <c r="K397" t="n">
        <v>1</v>
      </c>
      <c r="L397" t="n">
        <v>0</v>
      </c>
      <c r="M397" t="n">
        <v>0</v>
      </c>
      <c r="N397" t="n">
        <v>0</v>
      </c>
      <c r="O397" t="n">
        <v>5</v>
      </c>
      <c r="P397" t="n">
        <v>1</v>
      </c>
      <c r="Q397" t="n">
        <v>5</v>
      </c>
      <c r="R397" s="2" t="inlineStr">
        <is>
          <t>Rynkskinn
Garnlav
Granticka
Harticka
Lunglav</t>
        </is>
      </c>
      <c r="S397">
        <f>HYPERLINK("https://klasma.github.io/Logging_2283/artfynd/A 50418-2024 artfynd.xlsx", "A 50418-2024")</f>
        <v/>
      </c>
      <c r="T397">
        <f>HYPERLINK("https://klasma.github.io/Logging_2283/kartor/A 50418-2024 karta.png", "A 50418-2024")</f>
        <v/>
      </c>
      <c r="V397">
        <f>HYPERLINK("https://klasma.github.io/Logging_2283/klagomål/A 50418-2024 FSC-klagomål.docx", "A 50418-2024")</f>
        <v/>
      </c>
      <c r="W397">
        <f>HYPERLINK("https://klasma.github.io/Logging_2283/klagomålsmail/A 50418-2024 FSC-klagomål mail.docx", "A 50418-2024")</f>
        <v/>
      </c>
      <c r="X397">
        <f>HYPERLINK("https://klasma.github.io/Logging_2283/tillsyn/A 50418-2024 tillsynsbegäran.docx", "A 50418-2024")</f>
        <v/>
      </c>
      <c r="Y397">
        <f>HYPERLINK("https://klasma.github.io/Logging_2283/tillsynsmail/A 50418-2024 tillsynsbegäran mail.docx", "A 50418-2024")</f>
        <v/>
      </c>
    </row>
    <row r="398" ht="15" customHeight="1">
      <c r="A398" t="inlineStr">
        <is>
          <t>A 32911-2024</t>
        </is>
      </c>
      <c r="B398" s="1" t="n">
        <v>45516</v>
      </c>
      <c r="C398" s="1" t="n">
        <v>46093</v>
      </c>
      <c r="D398" t="inlineStr">
        <is>
          <t>VÄSTERNORRLANDS LÄN</t>
        </is>
      </c>
      <c r="E398" t="inlineStr">
        <is>
          <t>ÅNGE</t>
        </is>
      </c>
      <c r="F398" t="inlineStr">
        <is>
          <t>SCA</t>
        </is>
      </c>
      <c r="G398" t="n">
        <v>1</v>
      </c>
      <c r="H398" t="n">
        <v>3</v>
      </c>
      <c r="I398" t="n">
        <v>0</v>
      </c>
      <c r="J398" t="n">
        <v>2</v>
      </c>
      <c r="K398" t="n">
        <v>2</v>
      </c>
      <c r="L398" t="n">
        <v>0</v>
      </c>
      <c r="M398" t="n">
        <v>0</v>
      </c>
      <c r="N398" t="n">
        <v>0</v>
      </c>
      <c r="O398" t="n">
        <v>4</v>
      </c>
      <c r="P398" t="n">
        <v>2</v>
      </c>
      <c r="Q398" t="n">
        <v>5</v>
      </c>
      <c r="R398" s="2" t="inlineStr">
        <is>
          <t>Doftticka
Knärot
Garnlav
Lunglav
Revlummer</t>
        </is>
      </c>
      <c r="S398">
        <f>HYPERLINK("https://klasma.github.io/Logging_2260/artfynd/A 32911-2024 artfynd.xlsx", "A 32911-2024")</f>
        <v/>
      </c>
      <c r="T398">
        <f>HYPERLINK("https://klasma.github.io/Logging_2260/kartor/A 32911-2024 karta.png", "A 32911-2024")</f>
        <v/>
      </c>
      <c r="U398">
        <f>HYPERLINK("https://klasma.github.io/Logging_2260/knärot/A 32911-2024 karta knärot.png", "A 32911-2024")</f>
        <v/>
      </c>
      <c r="V398">
        <f>HYPERLINK("https://klasma.github.io/Logging_2260/klagomål/A 32911-2024 FSC-klagomål.docx", "A 32911-2024")</f>
        <v/>
      </c>
      <c r="W398">
        <f>HYPERLINK("https://klasma.github.io/Logging_2260/klagomålsmail/A 32911-2024 FSC-klagomål mail.docx", "A 32911-2024")</f>
        <v/>
      </c>
      <c r="X398">
        <f>HYPERLINK("https://klasma.github.io/Logging_2260/tillsyn/A 32911-2024 tillsynsbegäran.docx", "A 32911-2024")</f>
        <v/>
      </c>
      <c r="Y398">
        <f>HYPERLINK("https://klasma.github.io/Logging_2260/tillsynsmail/A 32911-2024 tillsynsbegäran mail.docx", "A 32911-2024")</f>
        <v/>
      </c>
    </row>
    <row r="399" ht="15" customHeight="1">
      <c r="A399" t="inlineStr">
        <is>
          <t>A 601-2025</t>
        </is>
      </c>
      <c r="B399" s="1" t="n">
        <v>45664</v>
      </c>
      <c r="C399" s="1" t="n">
        <v>46093</v>
      </c>
      <c r="D399" t="inlineStr">
        <is>
          <t>VÄSTERNORRLANDS LÄN</t>
        </is>
      </c>
      <c r="E399" t="inlineStr">
        <is>
          <t>KRAMFORS</t>
        </is>
      </c>
      <c r="G399" t="n">
        <v>12.9</v>
      </c>
      <c r="H399" t="n">
        <v>1</v>
      </c>
      <c r="I399" t="n">
        <v>1</v>
      </c>
      <c r="J399" t="n">
        <v>3</v>
      </c>
      <c r="K399" t="n">
        <v>1</v>
      </c>
      <c r="L399" t="n">
        <v>0</v>
      </c>
      <c r="M399" t="n">
        <v>0</v>
      </c>
      <c r="N399" t="n">
        <v>0</v>
      </c>
      <c r="O399" t="n">
        <v>4</v>
      </c>
      <c r="P399" t="n">
        <v>1</v>
      </c>
      <c r="Q399" t="n">
        <v>5</v>
      </c>
      <c r="R399" s="2" t="inlineStr">
        <is>
          <t>Aspgelélav
Doftskinn
Lunglav
Tretåig hackspett
Korallblylav</t>
        </is>
      </c>
      <c r="S399">
        <f>HYPERLINK("https://klasma.github.io/Logging_2282/artfynd/A 601-2025 artfynd.xlsx", "A 601-2025")</f>
        <v/>
      </c>
      <c r="T399">
        <f>HYPERLINK("https://klasma.github.io/Logging_2282/kartor/A 601-2025 karta.png", "A 601-2025")</f>
        <v/>
      </c>
      <c r="V399">
        <f>HYPERLINK("https://klasma.github.io/Logging_2282/klagomål/A 601-2025 FSC-klagomål.docx", "A 601-2025")</f>
        <v/>
      </c>
      <c r="W399">
        <f>HYPERLINK("https://klasma.github.io/Logging_2282/klagomålsmail/A 601-2025 FSC-klagomål mail.docx", "A 601-2025")</f>
        <v/>
      </c>
      <c r="X399">
        <f>HYPERLINK("https://klasma.github.io/Logging_2282/tillsyn/A 601-2025 tillsynsbegäran.docx", "A 601-2025")</f>
        <v/>
      </c>
      <c r="Y399">
        <f>HYPERLINK("https://klasma.github.io/Logging_2282/tillsynsmail/A 601-2025 tillsynsbegäran mail.docx", "A 601-2025")</f>
        <v/>
      </c>
      <c r="Z399">
        <f>HYPERLINK("https://klasma.github.io/Logging_2282/fåglar/A 601-2025 prioriterade fågelarter.docx", "A 601-2025")</f>
        <v/>
      </c>
    </row>
    <row r="400" ht="15" customHeight="1">
      <c r="A400" t="inlineStr">
        <is>
          <t>A 29076-2024</t>
        </is>
      </c>
      <c r="B400" s="1" t="n">
        <v>45481</v>
      </c>
      <c r="C400" s="1" t="n">
        <v>46093</v>
      </c>
      <c r="D400" t="inlineStr">
        <is>
          <t>VÄSTERNORRLANDS LÄN</t>
        </is>
      </c>
      <c r="E400" t="inlineStr">
        <is>
          <t>SUNDSVALL</t>
        </is>
      </c>
      <c r="G400" t="n">
        <v>5.6</v>
      </c>
      <c r="H400" t="n">
        <v>1</v>
      </c>
      <c r="I400" t="n">
        <v>3</v>
      </c>
      <c r="J400" t="n">
        <v>1</v>
      </c>
      <c r="K400" t="n">
        <v>1</v>
      </c>
      <c r="L400" t="n">
        <v>0</v>
      </c>
      <c r="M400" t="n">
        <v>0</v>
      </c>
      <c r="N400" t="n">
        <v>0</v>
      </c>
      <c r="O400" t="n">
        <v>2</v>
      </c>
      <c r="P400" t="n">
        <v>1</v>
      </c>
      <c r="Q400" t="n">
        <v>5</v>
      </c>
      <c r="R400" s="2" t="inlineStr">
        <is>
          <t>Knärot
Lunglav
Bårdlav
Stuplav
Svart trolldruva</t>
        </is>
      </c>
      <c r="S400">
        <f>HYPERLINK("https://klasma.github.io/Logging_2281/artfynd/A 29076-2024 artfynd.xlsx", "A 29076-2024")</f>
        <v/>
      </c>
      <c r="T400">
        <f>HYPERLINK("https://klasma.github.io/Logging_2281/kartor/A 29076-2024 karta.png", "A 29076-2024")</f>
        <v/>
      </c>
      <c r="U400">
        <f>HYPERLINK("https://klasma.github.io/Logging_2281/knärot/A 29076-2024 karta knärot.png", "A 29076-2024")</f>
        <v/>
      </c>
      <c r="V400">
        <f>HYPERLINK("https://klasma.github.io/Logging_2281/klagomål/A 29076-2024 FSC-klagomål.docx", "A 29076-2024")</f>
        <v/>
      </c>
      <c r="W400">
        <f>HYPERLINK("https://klasma.github.io/Logging_2281/klagomålsmail/A 29076-2024 FSC-klagomål mail.docx", "A 29076-2024")</f>
        <v/>
      </c>
      <c r="X400">
        <f>HYPERLINK("https://klasma.github.io/Logging_2281/tillsyn/A 29076-2024 tillsynsbegäran.docx", "A 29076-2024")</f>
        <v/>
      </c>
      <c r="Y400">
        <f>HYPERLINK("https://klasma.github.io/Logging_2281/tillsynsmail/A 29076-2024 tillsynsbegäran mail.docx", "A 29076-2024")</f>
        <v/>
      </c>
    </row>
    <row r="401" ht="15" customHeight="1">
      <c r="A401" t="inlineStr">
        <is>
          <t>A 27914-2024</t>
        </is>
      </c>
      <c r="B401" s="1" t="n">
        <v>45475</v>
      </c>
      <c r="C401" s="1" t="n">
        <v>46093</v>
      </c>
      <c r="D401" t="inlineStr">
        <is>
          <t>VÄSTERNORRLANDS LÄN</t>
        </is>
      </c>
      <c r="E401" t="inlineStr">
        <is>
          <t>ÅNGE</t>
        </is>
      </c>
      <c r="F401" t="inlineStr">
        <is>
          <t>SCA</t>
        </is>
      </c>
      <c r="G401" t="n">
        <v>1.4</v>
      </c>
      <c r="H401" t="n">
        <v>0</v>
      </c>
      <c r="I401" t="n">
        <v>2</v>
      </c>
      <c r="J401" t="n">
        <v>3</v>
      </c>
      <c r="K401" t="n">
        <v>0</v>
      </c>
      <c r="L401" t="n">
        <v>0</v>
      </c>
      <c r="M401" t="n">
        <v>0</v>
      </c>
      <c r="N401" t="n">
        <v>0</v>
      </c>
      <c r="O401" t="n">
        <v>3</v>
      </c>
      <c r="P401" t="n">
        <v>0</v>
      </c>
      <c r="Q401" t="n">
        <v>5</v>
      </c>
      <c r="R401" s="2" t="inlineStr">
        <is>
          <t>Granticka
Lunglav
Vedtrappmossa
Korallblylav
Stuplav</t>
        </is>
      </c>
      <c r="S401">
        <f>HYPERLINK("https://klasma.github.io/Logging_2260/artfynd/A 27914-2024 artfynd.xlsx", "A 27914-2024")</f>
        <v/>
      </c>
      <c r="T401">
        <f>HYPERLINK("https://klasma.github.io/Logging_2260/kartor/A 27914-2024 karta.png", "A 27914-2024")</f>
        <v/>
      </c>
      <c r="V401">
        <f>HYPERLINK("https://klasma.github.io/Logging_2260/klagomål/A 27914-2024 FSC-klagomål.docx", "A 27914-2024")</f>
        <v/>
      </c>
      <c r="W401">
        <f>HYPERLINK("https://klasma.github.io/Logging_2260/klagomålsmail/A 27914-2024 FSC-klagomål mail.docx", "A 27914-2024")</f>
        <v/>
      </c>
      <c r="X401">
        <f>HYPERLINK("https://klasma.github.io/Logging_2260/tillsyn/A 27914-2024 tillsynsbegäran.docx", "A 27914-2024")</f>
        <v/>
      </c>
      <c r="Y401">
        <f>HYPERLINK("https://klasma.github.io/Logging_2260/tillsynsmail/A 27914-2024 tillsynsbegäran mail.docx", "A 27914-2024")</f>
        <v/>
      </c>
    </row>
    <row r="402" ht="15" customHeight="1">
      <c r="A402" t="inlineStr">
        <is>
          <t>A 26958-2024</t>
        </is>
      </c>
      <c r="B402" s="1" t="n">
        <v>45470</v>
      </c>
      <c r="C402" s="1" t="n">
        <v>46093</v>
      </c>
      <c r="D402" t="inlineStr">
        <is>
          <t>VÄSTERNORRLANDS LÄN</t>
        </is>
      </c>
      <c r="E402" t="inlineStr">
        <is>
          <t>ÅNGE</t>
        </is>
      </c>
      <c r="F402" t="inlineStr">
        <is>
          <t>SCA</t>
        </is>
      </c>
      <c r="G402" t="n">
        <v>3.8</v>
      </c>
      <c r="H402" t="n">
        <v>2</v>
      </c>
      <c r="I402" t="n">
        <v>1</v>
      </c>
      <c r="J402" t="n">
        <v>3</v>
      </c>
      <c r="K402" t="n">
        <v>0</v>
      </c>
      <c r="L402" t="n">
        <v>0</v>
      </c>
      <c r="M402" t="n">
        <v>0</v>
      </c>
      <c r="N402" t="n">
        <v>0</v>
      </c>
      <c r="O402" t="n">
        <v>3</v>
      </c>
      <c r="P402" t="n">
        <v>0</v>
      </c>
      <c r="Q402" t="n">
        <v>5</v>
      </c>
      <c r="R402" s="2" t="inlineStr">
        <is>
          <t>Garnlav
Tretåig hackspett
Vitgrynig nållav
Gulnål
Tjäder</t>
        </is>
      </c>
      <c r="S402">
        <f>HYPERLINK("https://klasma.github.io/Logging_2260/artfynd/A 26958-2024 artfynd.xlsx", "A 26958-2024")</f>
        <v/>
      </c>
      <c r="T402">
        <f>HYPERLINK("https://klasma.github.io/Logging_2260/kartor/A 26958-2024 karta.png", "A 26958-2024")</f>
        <v/>
      </c>
      <c r="V402">
        <f>HYPERLINK("https://klasma.github.io/Logging_2260/klagomål/A 26958-2024 FSC-klagomål.docx", "A 26958-2024")</f>
        <v/>
      </c>
      <c r="W402">
        <f>HYPERLINK("https://klasma.github.io/Logging_2260/klagomålsmail/A 26958-2024 FSC-klagomål mail.docx", "A 26958-2024")</f>
        <v/>
      </c>
      <c r="X402">
        <f>HYPERLINK("https://klasma.github.io/Logging_2260/tillsyn/A 26958-2024 tillsynsbegäran.docx", "A 26958-2024")</f>
        <v/>
      </c>
      <c r="Y402">
        <f>HYPERLINK("https://klasma.github.io/Logging_2260/tillsynsmail/A 26958-2024 tillsynsbegäran mail.docx", "A 26958-2024")</f>
        <v/>
      </c>
      <c r="Z402">
        <f>HYPERLINK("https://klasma.github.io/Logging_2260/fåglar/A 26958-2024 prioriterade fågelarter.docx", "A 26958-2024")</f>
        <v/>
      </c>
    </row>
    <row r="403" ht="15" customHeight="1">
      <c r="A403" t="inlineStr">
        <is>
          <t>A 20286-2021</t>
        </is>
      </c>
      <c r="B403" s="1" t="n">
        <v>44314.94075231482</v>
      </c>
      <c r="C403" s="1" t="n">
        <v>46093</v>
      </c>
      <c r="D403" t="inlineStr">
        <is>
          <t>VÄSTERNORRLANDS LÄN</t>
        </is>
      </c>
      <c r="E403" t="inlineStr">
        <is>
          <t>KRAMFORS</t>
        </is>
      </c>
      <c r="F403" t="inlineStr">
        <is>
          <t>SCA</t>
        </is>
      </c>
      <c r="G403" t="n">
        <v>4.8</v>
      </c>
      <c r="H403" t="n">
        <v>2</v>
      </c>
      <c r="I403" t="n">
        <v>2</v>
      </c>
      <c r="J403" t="n">
        <v>2</v>
      </c>
      <c r="K403" t="n">
        <v>1</v>
      </c>
      <c r="L403" t="n">
        <v>0</v>
      </c>
      <c r="M403" t="n">
        <v>0</v>
      </c>
      <c r="N403" t="n">
        <v>0</v>
      </c>
      <c r="O403" t="n">
        <v>3</v>
      </c>
      <c r="P403" t="n">
        <v>1</v>
      </c>
      <c r="Q403" t="n">
        <v>5</v>
      </c>
      <c r="R403" s="2" t="inlineStr">
        <is>
          <t>Knärot
Spillkråka
Vedskivlav
Trådticka
Vågbandad barkbock</t>
        </is>
      </c>
      <c r="S403">
        <f>HYPERLINK("https://klasma.github.io/Logging_2282/artfynd/A 20286-2021 artfynd.xlsx", "A 20286-2021")</f>
        <v/>
      </c>
      <c r="T403">
        <f>HYPERLINK("https://klasma.github.io/Logging_2282/kartor/A 20286-2021 karta.png", "A 20286-2021")</f>
        <v/>
      </c>
      <c r="U403">
        <f>HYPERLINK("https://klasma.github.io/Logging_2282/knärot/A 20286-2021 karta knärot.png", "A 20286-2021")</f>
        <v/>
      </c>
      <c r="V403">
        <f>HYPERLINK("https://klasma.github.io/Logging_2282/klagomål/A 20286-2021 FSC-klagomål.docx", "A 20286-2021")</f>
        <v/>
      </c>
      <c r="W403">
        <f>HYPERLINK("https://klasma.github.io/Logging_2282/klagomålsmail/A 20286-2021 FSC-klagomål mail.docx", "A 20286-2021")</f>
        <v/>
      </c>
      <c r="X403">
        <f>HYPERLINK("https://klasma.github.io/Logging_2282/tillsyn/A 20286-2021 tillsynsbegäran.docx", "A 20286-2021")</f>
        <v/>
      </c>
      <c r="Y403">
        <f>HYPERLINK("https://klasma.github.io/Logging_2282/tillsynsmail/A 20286-2021 tillsynsbegäran mail.docx", "A 20286-2021")</f>
        <v/>
      </c>
      <c r="Z403">
        <f>HYPERLINK("https://klasma.github.io/Logging_2282/fåglar/A 20286-2021 prioriterade fågelarter.docx", "A 20286-2021")</f>
        <v/>
      </c>
    </row>
    <row r="404" ht="15" customHeight="1">
      <c r="A404" t="inlineStr">
        <is>
          <t>A 2438-2025</t>
        </is>
      </c>
      <c r="B404" s="1" t="n">
        <v>45674.41815972222</v>
      </c>
      <c r="C404" s="1" t="n">
        <v>46093</v>
      </c>
      <c r="D404" t="inlineStr">
        <is>
          <t>VÄSTERNORRLANDS LÄN</t>
        </is>
      </c>
      <c r="E404" t="inlineStr">
        <is>
          <t>SOLLEFTEÅ</t>
        </is>
      </c>
      <c r="G404" t="n">
        <v>6.4</v>
      </c>
      <c r="H404" t="n">
        <v>3</v>
      </c>
      <c r="I404" t="n">
        <v>0</v>
      </c>
      <c r="J404" t="n">
        <v>4</v>
      </c>
      <c r="K404" t="n">
        <v>1</v>
      </c>
      <c r="L404" t="n">
        <v>0</v>
      </c>
      <c r="M404" t="n">
        <v>0</v>
      </c>
      <c r="N404" t="n">
        <v>0</v>
      </c>
      <c r="O404" t="n">
        <v>5</v>
      </c>
      <c r="P404" t="n">
        <v>1</v>
      </c>
      <c r="Q404" t="n">
        <v>5</v>
      </c>
      <c r="R404" s="2" t="inlineStr">
        <is>
          <t>Knärot
Garnlav
Kolflarnlav
Talltita
Tretåig hackspett</t>
        </is>
      </c>
      <c r="S404">
        <f>HYPERLINK("https://klasma.github.io/Logging_2283/artfynd/A 2438-2025 artfynd.xlsx", "A 2438-2025")</f>
        <v/>
      </c>
      <c r="T404">
        <f>HYPERLINK("https://klasma.github.io/Logging_2283/kartor/A 2438-2025 karta.png", "A 2438-2025")</f>
        <v/>
      </c>
      <c r="U404">
        <f>HYPERLINK("https://klasma.github.io/Logging_2283/knärot/A 2438-2025 karta knärot.png", "A 2438-2025")</f>
        <v/>
      </c>
      <c r="V404">
        <f>HYPERLINK("https://klasma.github.io/Logging_2283/klagomål/A 2438-2025 FSC-klagomål.docx", "A 2438-2025")</f>
        <v/>
      </c>
      <c r="W404">
        <f>HYPERLINK("https://klasma.github.io/Logging_2283/klagomålsmail/A 2438-2025 FSC-klagomål mail.docx", "A 2438-2025")</f>
        <v/>
      </c>
      <c r="X404">
        <f>HYPERLINK("https://klasma.github.io/Logging_2283/tillsyn/A 2438-2025 tillsynsbegäran.docx", "A 2438-2025")</f>
        <v/>
      </c>
      <c r="Y404">
        <f>HYPERLINK("https://klasma.github.io/Logging_2283/tillsynsmail/A 2438-2025 tillsynsbegäran mail.docx", "A 2438-2025")</f>
        <v/>
      </c>
      <c r="Z404">
        <f>HYPERLINK("https://klasma.github.io/Logging_2283/fåglar/A 2438-2025 prioriterade fågelarter.docx", "A 2438-2025")</f>
        <v/>
      </c>
    </row>
    <row r="405" ht="15" customHeight="1">
      <c r="A405" t="inlineStr">
        <is>
          <t>A 16314-2025</t>
        </is>
      </c>
      <c r="B405" s="1" t="n">
        <v>45751.34763888889</v>
      </c>
      <c r="C405" s="1" t="n">
        <v>46093</v>
      </c>
      <c r="D405" t="inlineStr">
        <is>
          <t>VÄSTERNORRLANDS LÄN</t>
        </is>
      </c>
      <c r="E405" t="inlineStr">
        <is>
          <t>SOLLEFTEÅ</t>
        </is>
      </c>
      <c r="F405" t="inlineStr">
        <is>
          <t>SCA</t>
        </is>
      </c>
      <c r="G405" t="n">
        <v>2.7</v>
      </c>
      <c r="H405" t="n">
        <v>0</v>
      </c>
      <c r="I405" t="n">
        <v>0</v>
      </c>
      <c r="J405" t="n">
        <v>5</v>
      </c>
      <c r="K405" t="n">
        <v>0</v>
      </c>
      <c r="L405" t="n">
        <v>0</v>
      </c>
      <c r="M405" t="n">
        <v>0</v>
      </c>
      <c r="N405" t="n">
        <v>0</v>
      </c>
      <c r="O405" t="n">
        <v>5</v>
      </c>
      <c r="P405" t="n">
        <v>0</v>
      </c>
      <c r="Q405" t="n">
        <v>5</v>
      </c>
      <c r="R405" s="2" t="inlineStr">
        <is>
          <t>Gammelgransskål
Garnlav
Lunglav
Rosenticka
Ullticka</t>
        </is>
      </c>
      <c r="S405">
        <f>HYPERLINK("https://klasma.github.io/Logging_2283/artfynd/A 16314-2025 artfynd.xlsx", "A 16314-2025")</f>
        <v/>
      </c>
      <c r="T405">
        <f>HYPERLINK("https://klasma.github.io/Logging_2283/kartor/A 16314-2025 karta.png", "A 16314-2025")</f>
        <v/>
      </c>
      <c r="V405">
        <f>HYPERLINK("https://klasma.github.io/Logging_2283/klagomål/A 16314-2025 FSC-klagomål.docx", "A 16314-2025")</f>
        <v/>
      </c>
      <c r="W405">
        <f>HYPERLINK("https://klasma.github.io/Logging_2283/klagomålsmail/A 16314-2025 FSC-klagomål mail.docx", "A 16314-2025")</f>
        <v/>
      </c>
      <c r="X405">
        <f>HYPERLINK("https://klasma.github.io/Logging_2283/tillsyn/A 16314-2025 tillsynsbegäran.docx", "A 16314-2025")</f>
        <v/>
      </c>
      <c r="Y405">
        <f>HYPERLINK("https://klasma.github.io/Logging_2283/tillsynsmail/A 16314-2025 tillsynsbegäran mail.docx", "A 16314-2025")</f>
        <v/>
      </c>
    </row>
    <row r="406" ht="15" customHeight="1">
      <c r="A406" t="inlineStr">
        <is>
          <t>A 4816-2024</t>
        </is>
      </c>
      <c r="B406" s="1" t="n">
        <v>45328</v>
      </c>
      <c r="C406" s="1" t="n">
        <v>46093</v>
      </c>
      <c r="D406" t="inlineStr">
        <is>
          <t>VÄSTERNORRLANDS LÄN</t>
        </is>
      </c>
      <c r="E406" t="inlineStr">
        <is>
          <t>HÄRNÖSAND</t>
        </is>
      </c>
      <c r="F406" t="inlineStr">
        <is>
          <t>SCA</t>
        </is>
      </c>
      <c r="G406" t="n">
        <v>11.6</v>
      </c>
      <c r="H406" t="n">
        <v>1</v>
      </c>
      <c r="I406" t="n">
        <v>0</v>
      </c>
      <c r="J406" t="n">
        <v>5</v>
      </c>
      <c r="K406" t="n">
        <v>0</v>
      </c>
      <c r="L406" t="n">
        <v>0</v>
      </c>
      <c r="M406" t="n">
        <v>0</v>
      </c>
      <c r="N406" t="n">
        <v>0</v>
      </c>
      <c r="O406" t="n">
        <v>5</v>
      </c>
      <c r="P406" t="n">
        <v>0</v>
      </c>
      <c r="Q406" t="n">
        <v>5</v>
      </c>
      <c r="R406" s="2" t="inlineStr">
        <is>
          <t>Garnlav
Granticka
Rosenticka
Tretåig hackspett
Ullticka</t>
        </is>
      </c>
      <c r="S406">
        <f>HYPERLINK("https://klasma.github.io/Logging_2280/artfynd/A 4816-2024 artfynd.xlsx", "A 4816-2024")</f>
        <v/>
      </c>
      <c r="T406">
        <f>HYPERLINK("https://klasma.github.io/Logging_2280/kartor/A 4816-2024 karta.png", "A 4816-2024")</f>
        <v/>
      </c>
      <c r="V406">
        <f>HYPERLINK("https://klasma.github.io/Logging_2280/klagomål/A 4816-2024 FSC-klagomål.docx", "A 4816-2024")</f>
        <v/>
      </c>
      <c r="W406">
        <f>HYPERLINK("https://klasma.github.io/Logging_2280/klagomålsmail/A 4816-2024 FSC-klagomål mail.docx", "A 4816-2024")</f>
        <v/>
      </c>
      <c r="X406">
        <f>HYPERLINK("https://klasma.github.io/Logging_2280/tillsyn/A 4816-2024 tillsynsbegäran.docx", "A 4816-2024")</f>
        <v/>
      </c>
      <c r="Y406">
        <f>HYPERLINK("https://klasma.github.io/Logging_2280/tillsynsmail/A 4816-2024 tillsynsbegäran mail.docx", "A 4816-2024")</f>
        <v/>
      </c>
      <c r="Z406">
        <f>HYPERLINK("https://klasma.github.io/Logging_2280/fåglar/A 4816-2024 prioriterade fågelarter.docx", "A 4816-2024")</f>
        <v/>
      </c>
    </row>
    <row r="407" ht="15" customHeight="1">
      <c r="A407" t="inlineStr">
        <is>
          <t>A 52716-2022</t>
        </is>
      </c>
      <c r="B407" s="1" t="n">
        <v>44874</v>
      </c>
      <c r="C407" s="1" t="n">
        <v>46093</v>
      </c>
      <c r="D407" t="inlineStr">
        <is>
          <t>VÄSTERNORRLANDS LÄN</t>
        </is>
      </c>
      <c r="E407" t="inlineStr">
        <is>
          <t>HÄRNÖSAND</t>
        </is>
      </c>
      <c r="F407" t="inlineStr">
        <is>
          <t>SCA</t>
        </is>
      </c>
      <c r="G407" t="n">
        <v>7.9</v>
      </c>
      <c r="H407" t="n">
        <v>1</v>
      </c>
      <c r="I407" t="n">
        <v>2</v>
      </c>
      <c r="J407" t="n">
        <v>3</v>
      </c>
      <c r="K407" t="n">
        <v>0</v>
      </c>
      <c r="L407" t="n">
        <v>0</v>
      </c>
      <c r="M407" t="n">
        <v>0</v>
      </c>
      <c r="N407" t="n">
        <v>0</v>
      </c>
      <c r="O407" t="n">
        <v>3</v>
      </c>
      <c r="P407" t="n">
        <v>0</v>
      </c>
      <c r="Q407" t="n">
        <v>5</v>
      </c>
      <c r="R407" s="2" t="inlineStr">
        <is>
          <t>Granticka
Sötgräs
Violettgrå tagellav
Skinnlav
Strutbräken</t>
        </is>
      </c>
      <c r="S407">
        <f>HYPERLINK("https://klasma.github.io/Logging_2280/artfynd/A 52716-2022 artfynd.xlsx", "A 52716-2022")</f>
        <v/>
      </c>
      <c r="T407">
        <f>HYPERLINK("https://klasma.github.io/Logging_2280/kartor/A 52716-2022 karta.png", "A 52716-2022")</f>
        <v/>
      </c>
      <c r="V407">
        <f>HYPERLINK("https://klasma.github.io/Logging_2280/klagomål/A 52716-2022 FSC-klagomål.docx", "A 52716-2022")</f>
        <v/>
      </c>
      <c r="W407">
        <f>HYPERLINK("https://klasma.github.io/Logging_2280/klagomålsmail/A 52716-2022 FSC-klagomål mail.docx", "A 52716-2022")</f>
        <v/>
      </c>
      <c r="X407">
        <f>HYPERLINK("https://klasma.github.io/Logging_2280/tillsyn/A 52716-2022 tillsynsbegäran.docx", "A 52716-2022")</f>
        <v/>
      </c>
      <c r="Y407">
        <f>HYPERLINK("https://klasma.github.io/Logging_2280/tillsynsmail/A 52716-2022 tillsynsbegäran mail.docx", "A 52716-2022")</f>
        <v/>
      </c>
    </row>
    <row r="408" ht="15" customHeight="1">
      <c r="A408" t="inlineStr">
        <is>
          <t>A 4865-2025</t>
        </is>
      </c>
      <c r="B408" s="1" t="n">
        <v>45688.67528935185</v>
      </c>
      <c r="C408" s="1" t="n">
        <v>46093</v>
      </c>
      <c r="D408" t="inlineStr">
        <is>
          <t>VÄSTERNORRLANDS LÄN</t>
        </is>
      </c>
      <c r="E408" t="inlineStr">
        <is>
          <t>SUNDSVALL</t>
        </is>
      </c>
      <c r="F408" t="inlineStr">
        <is>
          <t>SCA</t>
        </is>
      </c>
      <c r="G408" t="n">
        <v>7.3</v>
      </c>
      <c r="H408" t="n">
        <v>4</v>
      </c>
      <c r="I408" t="n">
        <v>1</v>
      </c>
      <c r="J408" t="n">
        <v>3</v>
      </c>
      <c r="K408" t="n">
        <v>0</v>
      </c>
      <c r="L408" t="n">
        <v>0</v>
      </c>
      <c r="M408" t="n">
        <v>0</v>
      </c>
      <c r="N408" t="n">
        <v>0</v>
      </c>
      <c r="O408" t="n">
        <v>3</v>
      </c>
      <c r="P408" t="n">
        <v>0</v>
      </c>
      <c r="Q408" t="n">
        <v>5</v>
      </c>
      <c r="R408" s="2" t="inlineStr">
        <is>
          <t>Järpe
Lunglav
Tretåig hackspett
Spindelblomster
Tjäder</t>
        </is>
      </c>
      <c r="S408">
        <f>HYPERLINK("https://klasma.github.io/Logging_2281/artfynd/A 4865-2025 artfynd.xlsx", "A 4865-2025")</f>
        <v/>
      </c>
      <c r="T408">
        <f>HYPERLINK("https://klasma.github.io/Logging_2281/kartor/A 4865-2025 karta.png", "A 4865-2025")</f>
        <v/>
      </c>
      <c r="U408">
        <f>HYPERLINK("https://klasma.github.io/Logging_2281/knärot/A 4865-2025 karta knärot.png", "A 4865-2025")</f>
        <v/>
      </c>
      <c r="V408">
        <f>HYPERLINK("https://klasma.github.io/Logging_2281/klagomål/A 4865-2025 FSC-klagomål.docx", "A 4865-2025")</f>
        <v/>
      </c>
      <c r="W408">
        <f>HYPERLINK("https://klasma.github.io/Logging_2281/klagomålsmail/A 4865-2025 FSC-klagomål mail.docx", "A 4865-2025")</f>
        <v/>
      </c>
      <c r="X408">
        <f>HYPERLINK("https://klasma.github.io/Logging_2281/tillsyn/A 4865-2025 tillsynsbegäran.docx", "A 4865-2025")</f>
        <v/>
      </c>
      <c r="Y408">
        <f>HYPERLINK("https://klasma.github.io/Logging_2281/tillsynsmail/A 4865-2025 tillsynsbegäran mail.docx", "A 4865-2025")</f>
        <v/>
      </c>
      <c r="Z408">
        <f>HYPERLINK("https://klasma.github.io/Logging_2281/fåglar/A 4865-2025 prioriterade fågelarter.docx", "A 4865-2025")</f>
        <v/>
      </c>
    </row>
    <row r="409" ht="15" customHeight="1">
      <c r="A409" t="inlineStr">
        <is>
          <t>A 43520-2025</t>
        </is>
      </c>
      <c r="B409" s="1" t="n">
        <v>45911.57364583333</v>
      </c>
      <c r="C409" s="1" t="n">
        <v>46093</v>
      </c>
      <c r="D409" t="inlineStr">
        <is>
          <t>VÄSTERNORRLANDS LÄN</t>
        </is>
      </c>
      <c r="E409" t="inlineStr">
        <is>
          <t>ÅNGE</t>
        </is>
      </c>
      <c r="F409" t="inlineStr">
        <is>
          <t>SCA</t>
        </is>
      </c>
      <c r="G409" t="n">
        <v>2.5</v>
      </c>
      <c r="H409" t="n">
        <v>0</v>
      </c>
      <c r="I409" t="n">
        <v>2</v>
      </c>
      <c r="J409" t="n">
        <v>3</v>
      </c>
      <c r="K409" t="n">
        <v>0</v>
      </c>
      <c r="L409" t="n">
        <v>0</v>
      </c>
      <c r="M409" t="n">
        <v>0</v>
      </c>
      <c r="N409" t="n">
        <v>0</v>
      </c>
      <c r="O409" t="n">
        <v>3</v>
      </c>
      <c r="P409" t="n">
        <v>0</v>
      </c>
      <c r="Q409" t="n">
        <v>5</v>
      </c>
      <c r="R409" s="2" t="inlineStr">
        <is>
          <t>Garnlav
Lunglav
Vedtrappmossa
Bårdlav
Stuplav</t>
        </is>
      </c>
      <c r="S409">
        <f>HYPERLINK("https://klasma.github.io/Logging_2260/artfynd/A 43520-2025 artfynd.xlsx", "A 43520-2025")</f>
        <v/>
      </c>
      <c r="T409">
        <f>HYPERLINK("https://klasma.github.io/Logging_2260/kartor/A 43520-2025 karta.png", "A 43520-2025")</f>
        <v/>
      </c>
      <c r="V409">
        <f>HYPERLINK("https://klasma.github.io/Logging_2260/klagomål/A 43520-2025 FSC-klagomål.docx", "A 43520-2025")</f>
        <v/>
      </c>
      <c r="W409">
        <f>HYPERLINK("https://klasma.github.io/Logging_2260/klagomålsmail/A 43520-2025 FSC-klagomål mail.docx", "A 43520-2025")</f>
        <v/>
      </c>
      <c r="X409">
        <f>HYPERLINK("https://klasma.github.io/Logging_2260/tillsyn/A 43520-2025 tillsynsbegäran.docx", "A 43520-2025")</f>
        <v/>
      </c>
      <c r="Y409">
        <f>HYPERLINK("https://klasma.github.io/Logging_2260/tillsynsmail/A 43520-2025 tillsynsbegäran mail.docx", "A 43520-2025")</f>
        <v/>
      </c>
    </row>
    <row r="410" ht="15" customHeight="1">
      <c r="A410" t="inlineStr">
        <is>
          <t>A 44407-2025</t>
        </is>
      </c>
      <c r="B410" s="1" t="n">
        <v>45916.52679398148</v>
      </c>
      <c r="C410" s="1" t="n">
        <v>46093</v>
      </c>
      <c r="D410" t="inlineStr">
        <is>
          <t>VÄSTERNORRLANDS LÄN</t>
        </is>
      </c>
      <c r="E410" t="inlineStr">
        <is>
          <t>SOLLEFTEÅ</t>
        </is>
      </c>
      <c r="G410" t="n">
        <v>4.1</v>
      </c>
      <c r="H410" t="n">
        <v>1</v>
      </c>
      <c r="I410" t="n">
        <v>3</v>
      </c>
      <c r="J410" t="n">
        <v>1</v>
      </c>
      <c r="K410" t="n">
        <v>0</v>
      </c>
      <c r="L410" t="n">
        <v>0</v>
      </c>
      <c r="M410" t="n">
        <v>0</v>
      </c>
      <c r="N410" t="n">
        <v>0</v>
      </c>
      <c r="O410" t="n">
        <v>1</v>
      </c>
      <c r="P410" t="n">
        <v>0</v>
      </c>
      <c r="Q410" t="n">
        <v>5</v>
      </c>
      <c r="R410" s="2" t="inlineStr">
        <is>
          <t>Granticka
Dvärghäxört
Luddlav
Stuplav
Revlummer</t>
        </is>
      </c>
      <c r="S410">
        <f>HYPERLINK("https://klasma.github.io/Logging_2283/artfynd/A 44407-2025 artfynd.xlsx", "A 44407-2025")</f>
        <v/>
      </c>
      <c r="T410">
        <f>HYPERLINK("https://klasma.github.io/Logging_2283/kartor/A 44407-2025 karta.png", "A 44407-2025")</f>
        <v/>
      </c>
      <c r="V410">
        <f>HYPERLINK("https://klasma.github.io/Logging_2283/klagomål/A 44407-2025 FSC-klagomål.docx", "A 44407-2025")</f>
        <v/>
      </c>
      <c r="W410">
        <f>HYPERLINK("https://klasma.github.io/Logging_2283/klagomålsmail/A 44407-2025 FSC-klagomål mail.docx", "A 44407-2025")</f>
        <v/>
      </c>
      <c r="X410">
        <f>HYPERLINK("https://klasma.github.io/Logging_2283/tillsyn/A 44407-2025 tillsynsbegäran.docx", "A 44407-2025")</f>
        <v/>
      </c>
      <c r="Y410">
        <f>HYPERLINK("https://klasma.github.io/Logging_2283/tillsynsmail/A 44407-2025 tillsynsbegäran mail.docx", "A 44407-2025")</f>
        <v/>
      </c>
    </row>
    <row r="411" ht="15" customHeight="1">
      <c r="A411" t="inlineStr">
        <is>
          <t>A 51065-2024</t>
        </is>
      </c>
      <c r="B411" s="1" t="n">
        <v>45603</v>
      </c>
      <c r="C411" s="1" t="n">
        <v>46093</v>
      </c>
      <c r="D411" t="inlineStr">
        <is>
          <t>VÄSTERNORRLANDS LÄN</t>
        </is>
      </c>
      <c r="E411" t="inlineStr">
        <is>
          <t>ÅNGE</t>
        </is>
      </c>
      <c r="F411" t="inlineStr">
        <is>
          <t>SCA</t>
        </is>
      </c>
      <c r="G411" t="n">
        <v>4.1</v>
      </c>
      <c r="H411" t="n">
        <v>2</v>
      </c>
      <c r="I411" t="n">
        <v>0</v>
      </c>
      <c r="J411" t="n">
        <v>4</v>
      </c>
      <c r="K411" t="n">
        <v>1</v>
      </c>
      <c r="L411" t="n">
        <v>0</v>
      </c>
      <c r="M411" t="n">
        <v>0</v>
      </c>
      <c r="N411" t="n">
        <v>0</v>
      </c>
      <c r="O411" t="n">
        <v>5</v>
      </c>
      <c r="P411" t="n">
        <v>1</v>
      </c>
      <c r="Q411" t="n">
        <v>5</v>
      </c>
      <c r="R411" s="2" t="inlineStr">
        <is>
          <t>Knärot
Garnlav
Granticka
Järpe
Lunglav</t>
        </is>
      </c>
      <c r="S411">
        <f>HYPERLINK("https://klasma.github.io/Logging_2260/artfynd/A 51065-2024 artfynd.xlsx", "A 51065-2024")</f>
        <v/>
      </c>
      <c r="T411">
        <f>HYPERLINK("https://klasma.github.io/Logging_2260/kartor/A 51065-2024 karta.png", "A 51065-2024")</f>
        <v/>
      </c>
      <c r="U411">
        <f>HYPERLINK("https://klasma.github.io/Logging_2260/knärot/A 51065-2024 karta knärot.png", "A 51065-2024")</f>
        <v/>
      </c>
      <c r="V411">
        <f>HYPERLINK("https://klasma.github.io/Logging_2260/klagomål/A 51065-2024 FSC-klagomål.docx", "A 51065-2024")</f>
        <v/>
      </c>
      <c r="W411">
        <f>HYPERLINK("https://klasma.github.io/Logging_2260/klagomålsmail/A 51065-2024 FSC-klagomål mail.docx", "A 51065-2024")</f>
        <v/>
      </c>
      <c r="X411">
        <f>HYPERLINK("https://klasma.github.io/Logging_2260/tillsyn/A 51065-2024 tillsynsbegäran.docx", "A 51065-2024")</f>
        <v/>
      </c>
      <c r="Y411">
        <f>HYPERLINK("https://klasma.github.io/Logging_2260/tillsynsmail/A 51065-2024 tillsynsbegäran mail.docx", "A 51065-2024")</f>
        <v/>
      </c>
      <c r="Z411">
        <f>HYPERLINK("https://klasma.github.io/Logging_2260/fåglar/A 51065-2024 prioriterade fågelarter.docx", "A 51065-2024")</f>
        <v/>
      </c>
    </row>
    <row r="412" ht="15" customHeight="1">
      <c r="A412" t="inlineStr">
        <is>
          <t>A 39815-2023</t>
        </is>
      </c>
      <c r="B412" s="1" t="n">
        <v>45167</v>
      </c>
      <c r="C412" s="1" t="n">
        <v>46093</v>
      </c>
      <c r="D412" t="inlineStr">
        <is>
          <t>VÄSTERNORRLANDS LÄN</t>
        </is>
      </c>
      <c r="E412" t="inlineStr">
        <is>
          <t>TIMRÅ</t>
        </is>
      </c>
      <c r="F412" t="inlineStr">
        <is>
          <t>SCA</t>
        </is>
      </c>
      <c r="G412" t="n">
        <v>2.3</v>
      </c>
      <c r="H412" t="n">
        <v>0</v>
      </c>
      <c r="I412" t="n">
        <v>1</v>
      </c>
      <c r="J412" t="n">
        <v>4</v>
      </c>
      <c r="K412" t="n">
        <v>0</v>
      </c>
      <c r="L412" t="n">
        <v>0</v>
      </c>
      <c r="M412" t="n">
        <v>0</v>
      </c>
      <c r="N412" t="n">
        <v>0</v>
      </c>
      <c r="O412" t="n">
        <v>4</v>
      </c>
      <c r="P412" t="n">
        <v>0</v>
      </c>
      <c r="Q412" t="n">
        <v>5</v>
      </c>
      <c r="R412" s="2" t="inlineStr">
        <is>
          <t>Garnlav
Kortskaftad ärgspik
Vedflamlav
Vedskivlav
Dropptaggsvamp</t>
        </is>
      </c>
      <c r="S412">
        <f>HYPERLINK("https://klasma.github.io/Logging_2262/artfynd/A 39815-2023 artfynd.xlsx", "A 39815-2023")</f>
        <v/>
      </c>
      <c r="T412">
        <f>HYPERLINK("https://klasma.github.io/Logging_2262/kartor/A 39815-2023 karta.png", "A 39815-2023")</f>
        <v/>
      </c>
      <c r="V412">
        <f>HYPERLINK("https://klasma.github.io/Logging_2262/klagomål/A 39815-2023 FSC-klagomål.docx", "A 39815-2023")</f>
        <v/>
      </c>
      <c r="W412">
        <f>HYPERLINK("https://klasma.github.io/Logging_2262/klagomålsmail/A 39815-2023 FSC-klagomål mail.docx", "A 39815-2023")</f>
        <v/>
      </c>
      <c r="X412">
        <f>HYPERLINK("https://klasma.github.io/Logging_2262/tillsyn/A 39815-2023 tillsynsbegäran.docx", "A 39815-2023")</f>
        <v/>
      </c>
      <c r="Y412">
        <f>HYPERLINK("https://klasma.github.io/Logging_2262/tillsynsmail/A 39815-2023 tillsynsbegäran mail.docx", "A 39815-2023")</f>
        <v/>
      </c>
    </row>
    <row r="413" ht="15" customHeight="1">
      <c r="A413" t="inlineStr">
        <is>
          <t>A 44797-2025</t>
        </is>
      </c>
      <c r="B413" s="1" t="n">
        <v>45918.34486111111</v>
      </c>
      <c r="C413" s="1" t="n">
        <v>46093</v>
      </c>
      <c r="D413" t="inlineStr">
        <is>
          <t>VÄSTERNORRLANDS LÄN</t>
        </is>
      </c>
      <c r="E413" t="inlineStr">
        <is>
          <t>SOLLEFTEÅ</t>
        </is>
      </c>
      <c r="F413" t="inlineStr">
        <is>
          <t>SCA</t>
        </is>
      </c>
      <c r="G413" t="n">
        <v>2.4</v>
      </c>
      <c r="H413" t="n">
        <v>0</v>
      </c>
      <c r="I413" t="n">
        <v>1</v>
      </c>
      <c r="J413" t="n">
        <v>3</v>
      </c>
      <c r="K413" t="n">
        <v>1</v>
      </c>
      <c r="L413" t="n">
        <v>0</v>
      </c>
      <c r="M413" t="n">
        <v>0</v>
      </c>
      <c r="N413" t="n">
        <v>0</v>
      </c>
      <c r="O413" t="n">
        <v>4</v>
      </c>
      <c r="P413" t="n">
        <v>1</v>
      </c>
      <c r="Q413" t="n">
        <v>5</v>
      </c>
      <c r="R413" s="2" t="inlineStr">
        <is>
          <t>Goliatmusseron
Dvärgbägarlav
Orange taggsvamp
Skrovlig taggsvamp
Skarp dropptaggsvamp</t>
        </is>
      </c>
      <c r="S413">
        <f>HYPERLINK("https://klasma.github.io/Logging_2283/artfynd/A 44797-2025 artfynd.xlsx", "A 44797-2025")</f>
        <v/>
      </c>
      <c r="T413">
        <f>HYPERLINK("https://klasma.github.io/Logging_2283/kartor/A 44797-2025 karta.png", "A 44797-2025")</f>
        <v/>
      </c>
      <c r="V413">
        <f>HYPERLINK("https://klasma.github.io/Logging_2283/klagomål/A 44797-2025 FSC-klagomål.docx", "A 44797-2025")</f>
        <v/>
      </c>
      <c r="W413">
        <f>HYPERLINK("https://klasma.github.io/Logging_2283/klagomålsmail/A 44797-2025 FSC-klagomål mail.docx", "A 44797-2025")</f>
        <v/>
      </c>
      <c r="X413">
        <f>HYPERLINK("https://klasma.github.io/Logging_2283/tillsyn/A 44797-2025 tillsynsbegäran.docx", "A 44797-2025")</f>
        <v/>
      </c>
      <c r="Y413">
        <f>HYPERLINK("https://klasma.github.io/Logging_2283/tillsynsmail/A 44797-2025 tillsynsbegäran mail.docx", "A 44797-2025")</f>
        <v/>
      </c>
    </row>
    <row r="414" ht="15" customHeight="1">
      <c r="A414" t="inlineStr">
        <is>
          <t>A 33519-2024</t>
        </is>
      </c>
      <c r="B414" s="1" t="n">
        <v>45519</v>
      </c>
      <c r="C414" s="1" t="n">
        <v>46093</v>
      </c>
      <c r="D414" t="inlineStr">
        <is>
          <t>VÄSTERNORRLANDS LÄN</t>
        </is>
      </c>
      <c r="E414" t="inlineStr">
        <is>
          <t>SOLLEFTEÅ</t>
        </is>
      </c>
      <c r="G414" t="n">
        <v>3.6</v>
      </c>
      <c r="H414" t="n">
        <v>0</v>
      </c>
      <c r="I414" t="n">
        <v>1</v>
      </c>
      <c r="J414" t="n">
        <v>4</v>
      </c>
      <c r="K414" t="n">
        <v>0</v>
      </c>
      <c r="L414" t="n">
        <v>0</v>
      </c>
      <c r="M414" t="n">
        <v>0</v>
      </c>
      <c r="N414" t="n">
        <v>0</v>
      </c>
      <c r="O414" t="n">
        <v>4</v>
      </c>
      <c r="P414" t="n">
        <v>0</v>
      </c>
      <c r="Q414" t="n">
        <v>5</v>
      </c>
      <c r="R414" s="2" t="inlineStr">
        <is>
          <t>Garnlav
Kolflarnlav
Skrovlig taggsvamp
Vaddporing
Dropptaggsvamp</t>
        </is>
      </c>
      <c r="S414">
        <f>HYPERLINK("https://klasma.github.io/Logging_2283/artfynd/A 33519-2024 artfynd.xlsx", "A 33519-2024")</f>
        <v/>
      </c>
      <c r="T414">
        <f>HYPERLINK("https://klasma.github.io/Logging_2283/kartor/A 33519-2024 karta.png", "A 33519-2024")</f>
        <v/>
      </c>
      <c r="U414">
        <f>HYPERLINK("https://klasma.github.io/Logging_2283/knärot/A 33519-2024 karta knärot.png", "A 33519-2024")</f>
        <v/>
      </c>
      <c r="V414">
        <f>HYPERLINK("https://klasma.github.io/Logging_2283/klagomål/A 33519-2024 FSC-klagomål.docx", "A 33519-2024")</f>
        <v/>
      </c>
      <c r="W414">
        <f>HYPERLINK("https://klasma.github.io/Logging_2283/klagomålsmail/A 33519-2024 FSC-klagomål mail.docx", "A 33519-2024")</f>
        <v/>
      </c>
      <c r="X414">
        <f>HYPERLINK("https://klasma.github.io/Logging_2283/tillsyn/A 33519-2024 tillsynsbegäran.docx", "A 33519-2024")</f>
        <v/>
      </c>
      <c r="Y414">
        <f>HYPERLINK("https://klasma.github.io/Logging_2283/tillsynsmail/A 33519-2024 tillsynsbegäran mail.docx", "A 33519-2024")</f>
        <v/>
      </c>
    </row>
    <row r="415" ht="15" customHeight="1">
      <c r="A415" t="inlineStr">
        <is>
          <t>A 55004-2023</t>
        </is>
      </c>
      <c r="B415" s="1" t="n">
        <v>45236</v>
      </c>
      <c r="C415" s="1" t="n">
        <v>46093</v>
      </c>
      <c r="D415" t="inlineStr">
        <is>
          <t>VÄSTERNORRLANDS LÄN</t>
        </is>
      </c>
      <c r="E415" t="inlineStr">
        <is>
          <t>ÅNGE</t>
        </is>
      </c>
      <c r="F415" t="inlineStr">
        <is>
          <t>SCA</t>
        </is>
      </c>
      <c r="G415" t="n">
        <v>3.7</v>
      </c>
      <c r="H415" t="n">
        <v>2</v>
      </c>
      <c r="I415" t="n">
        <v>3</v>
      </c>
      <c r="J415" t="n">
        <v>1</v>
      </c>
      <c r="K415" t="n">
        <v>0</v>
      </c>
      <c r="L415" t="n">
        <v>0</v>
      </c>
      <c r="M415" t="n">
        <v>0</v>
      </c>
      <c r="N415" t="n">
        <v>0</v>
      </c>
      <c r="O415" t="n">
        <v>1</v>
      </c>
      <c r="P415" t="n">
        <v>0</v>
      </c>
      <c r="Q415" t="n">
        <v>5</v>
      </c>
      <c r="R415" s="2" t="inlineStr">
        <is>
          <t>Storgröe
Kransrams
Spädstarr
Tvåblad
Fläcknycklar</t>
        </is>
      </c>
      <c r="S415">
        <f>HYPERLINK("https://klasma.github.io/Logging_2260/artfynd/A 55004-2023 artfynd.xlsx", "A 55004-2023")</f>
        <v/>
      </c>
      <c r="T415">
        <f>HYPERLINK("https://klasma.github.io/Logging_2260/kartor/A 55004-2023 karta.png", "A 55004-2023")</f>
        <v/>
      </c>
      <c r="V415">
        <f>HYPERLINK("https://klasma.github.io/Logging_2260/klagomål/A 55004-2023 FSC-klagomål.docx", "A 55004-2023")</f>
        <v/>
      </c>
      <c r="W415">
        <f>HYPERLINK("https://klasma.github.io/Logging_2260/klagomålsmail/A 55004-2023 FSC-klagomål mail.docx", "A 55004-2023")</f>
        <v/>
      </c>
      <c r="X415">
        <f>HYPERLINK("https://klasma.github.io/Logging_2260/tillsyn/A 55004-2023 tillsynsbegäran.docx", "A 55004-2023")</f>
        <v/>
      </c>
      <c r="Y415">
        <f>HYPERLINK("https://klasma.github.io/Logging_2260/tillsynsmail/A 55004-2023 tillsynsbegäran mail.docx", "A 55004-2023")</f>
        <v/>
      </c>
    </row>
    <row r="416" ht="15" customHeight="1">
      <c r="A416" t="inlineStr">
        <is>
          <t>A 46375-2025</t>
        </is>
      </c>
      <c r="B416" s="1" t="n">
        <v>45925.51097222222</v>
      </c>
      <c r="C416" s="1" t="n">
        <v>46093</v>
      </c>
      <c r="D416" t="inlineStr">
        <is>
          <t>VÄSTERNORRLANDS LÄN</t>
        </is>
      </c>
      <c r="E416" t="inlineStr">
        <is>
          <t>ÅNGE</t>
        </is>
      </c>
      <c r="F416" t="inlineStr">
        <is>
          <t>SCA</t>
        </is>
      </c>
      <c r="G416" t="n">
        <v>4.7</v>
      </c>
      <c r="H416" t="n">
        <v>1</v>
      </c>
      <c r="I416" t="n">
        <v>1</v>
      </c>
      <c r="J416" t="n">
        <v>3</v>
      </c>
      <c r="K416" t="n">
        <v>0</v>
      </c>
      <c r="L416" t="n">
        <v>0</v>
      </c>
      <c r="M416" t="n">
        <v>0</v>
      </c>
      <c r="N416" t="n">
        <v>0</v>
      </c>
      <c r="O416" t="n">
        <v>3</v>
      </c>
      <c r="P416" t="n">
        <v>0</v>
      </c>
      <c r="Q416" t="n">
        <v>5</v>
      </c>
      <c r="R416" s="2" t="inlineStr">
        <is>
          <t>Garnlav
Lunglav
Ullticka
Dropptaggsvamp
Tjäder</t>
        </is>
      </c>
      <c r="S416">
        <f>HYPERLINK("https://klasma.github.io/Logging_2260/artfynd/A 46375-2025 artfynd.xlsx", "A 46375-2025")</f>
        <v/>
      </c>
      <c r="T416">
        <f>HYPERLINK("https://klasma.github.io/Logging_2260/kartor/A 46375-2025 karta.png", "A 46375-2025")</f>
        <v/>
      </c>
      <c r="V416">
        <f>HYPERLINK("https://klasma.github.io/Logging_2260/klagomål/A 46375-2025 FSC-klagomål.docx", "A 46375-2025")</f>
        <v/>
      </c>
      <c r="W416">
        <f>HYPERLINK("https://klasma.github.io/Logging_2260/klagomålsmail/A 46375-2025 FSC-klagomål mail.docx", "A 46375-2025")</f>
        <v/>
      </c>
      <c r="X416">
        <f>HYPERLINK("https://klasma.github.io/Logging_2260/tillsyn/A 46375-2025 tillsynsbegäran.docx", "A 46375-2025")</f>
        <v/>
      </c>
      <c r="Y416">
        <f>HYPERLINK("https://klasma.github.io/Logging_2260/tillsynsmail/A 46375-2025 tillsynsbegäran mail.docx", "A 46375-2025")</f>
        <v/>
      </c>
      <c r="Z416">
        <f>HYPERLINK("https://klasma.github.io/Logging_2260/fåglar/A 46375-2025 prioriterade fågelarter.docx", "A 46375-2025")</f>
        <v/>
      </c>
    </row>
    <row r="417" ht="15" customHeight="1">
      <c r="A417" t="inlineStr">
        <is>
          <t>A 47102-2025</t>
        </is>
      </c>
      <c r="B417" s="1" t="n">
        <v>45929</v>
      </c>
      <c r="C417" s="1" t="n">
        <v>46093</v>
      </c>
      <c r="D417" t="inlineStr">
        <is>
          <t>VÄSTERNORRLANDS LÄN</t>
        </is>
      </c>
      <c r="E417" t="inlineStr">
        <is>
          <t>ÅNGE</t>
        </is>
      </c>
      <c r="G417" t="n">
        <v>1.3</v>
      </c>
      <c r="H417" t="n">
        <v>1</v>
      </c>
      <c r="I417" t="n">
        <v>1</v>
      </c>
      <c r="J417" t="n">
        <v>3</v>
      </c>
      <c r="K417" t="n">
        <v>1</v>
      </c>
      <c r="L417" t="n">
        <v>0</v>
      </c>
      <c r="M417" t="n">
        <v>0</v>
      </c>
      <c r="N417" t="n">
        <v>0</v>
      </c>
      <c r="O417" t="n">
        <v>4</v>
      </c>
      <c r="P417" t="n">
        <v>1</v>
      </c>
      <c r="Q417" t="n">
        <v>5</v>
      </c>
      <c r="R417" s="2" t="inlineStr">
        <is>
          <t>Knärot
Garnlav
Rosenticka
Ullticka
Dropptaggsvamp</t>
        </is>
      </c>
      <c r="S417">
        <f>HYPERLINK("https://klasma.github.io/Logging_2260/artfynd/A 47102-2025 artfynd.xlsx", "A 47102-2025")</f>
        <v/>
      </c>
      <c r="T417">
        <f>HYPERLINK("https://klasma.github.io/Logging_2260/kartor/A 47102-2025 karta.png", "A 47102-2025")</f>
        <v/>
      </c>
      <c r="U417">
        <f>HYPERLINK("https://klasma.github.io/Logging_2260/knärot/A 47102-2025 karta knärot.png", "A 47102-2025")</f>
        <v/>
      </c>
      <c r="V417">
        <f>HYPERLINK("https://klasma.github.io/Logging_2260/klagomål/A 47102-2025 FSC-klagomål.docx", "A 47102-2025")</f>
        <v/>
      </c>
      <c r="W417">
        <f>HYPERLINK("https://klasma.github.io/Logging_2260/klagomålsmail/A 47102-2025 FSC-klagomål mail.docx", "A 47102-2025")</f>
        <v/>
      </c>
      <c r="X417">
        <f>HYPERLINK("https://klasma.github.io/Logging_2260/tillsyn/A 47102-2025 tillsynsbegäran.docx", "A 47102-2025")</f>
        <v/>
      </c>
      <c r="Y417">
        <f>HYPERLINK("https://klasma.github.io/Logging_2260/tillsynsmail/A 47102-2025 tillsynsbegäran mail.docx", "A 47102-2025")</f>
        <v/>
      </c>
    </row>
    <row r="418" ht="15" customHeight="1">
      <c r="A418" t="inlineStr">
        <is>
          <t>A 3544-2024</t>
        </is>
      </c>
      <c r="B418" s="1" t="n">
        <v>45320</v>
      </c>
      <c r="C418" s="1" t="n">
        <v>46093</v>
      </c>
      <c r="D418" t="inlineStr">
        <is>
          <t>VÄSTERNORRLANDS LÄN</t>
        </is>
      </c>
      <c r="E418" t="inlineStr">
        <is>
          <t>ÖRNSKÖLDSVIK</t>
        </is>
      </c>
      <c r="F418" t="inlineStr">
        <is>
          <t>Holmen skog AB</t>
        </is>
      </c>
      <c r="G418" t="n">
        <v>7.3</v>
      </c>
      <c r="H418" t="n">
        <v>0</v>
      </c>
      <c r="I418" t="n">
        <v>1</v>
      </c>
      <c r="J418" t="n">
        <v>3</v>
      </c>
      <c r="K418" t="n">
        <v>1</v>
      </c>
      <c r="L418" t="n">
        <v>0</v>
      </c>
      <c r="M418" t="n">
        <v>0</v>
      </c>
      <c r="N418" t="n">
        <v>0</v>
      </c>
      <c r="O418" t="n">
        <v>4</v>
      </c>
      <c r="P418" t="n">
        <v>1</v>
      </c>
      <c r="Q418" t="n">
        <v>5</v>
      </c>
      <c r="R418" s="2" t="inlineStr">
        <is>
          <t>Gräddporing
Doftskinn
Garnlav
Reliktbock
Grovticka</t>
        </is>
      </c>
      <c r="S418">
        <f>HYPERLINK("https://klasma.github.io/Logging_2284/artfynd/A 3544-2024 artfynd.xlsx", "A 3544-2024")</f>
        <v/>
      </c>
      <c r="T418">
        <f>HYPERLINK("https://klasma.github.io/Logging_2284/kartor/A 3544-2024 karta.png", "A 3544-2024")</f>
        <v/>
      </c>
      <c r="V418">
        <f>HYPERLINK("https://klasma.github.io/Logging_2284/klagomål/A 3544-2024 FSC-klagomål.docx", "A 3544-2024")</f>
        <v/>
      </c>
      <c r="W418">
        <f>HYPERLINK("https://klasma.github.io/Logging_2284/klagomålsmail/A 3544-2024 FSC-klagomål mail.docx", "A 3544-2024")</f>
        <v/>
      </c>
      <c r="X418">
        <f>HYPERLINK("https://klasma.github.io/Logging_2284/tillsyn/A 3544-2024 tillsynsbegäran.docx", "A 3544-2024")</f>
        <v/>
      </c>
      <c r="Y418">
        <f>HYPERLINK("https://klasma.github.io/Logging_2284/tillsynsmail/A 3544-2024 tillsynsbegäran mail.docx", "A 3544-2024")</f>
        <v/>
      </c>
    </row>
    <row r="419" ht="15" customHeight="1">
      <c r="A419" t="inlineStr">
        <is>
          <t>A 8412-2024</t>
        </is>
      </c>
      <c r="B419" s="1" t="n">
        <v>45352</v>
      </c>
      <c r="C419" s="1" t="n">
        <v>46093</v>
      </c>
      <c r="D419" t="inlineStr">
        <is>
          <t>VÄSTERNORRLANDS LÄN</t>
        </is>
      </c>
      <c r="E419" t="inlineStr">
        <is>
          <t>HÄRNÖSAND</t>
        </is>
      </c>
      <c r="F419" t="inlineStr">
        <is>
          <t>SCA</t>
        </is>
      </c>
      <c r="G419" t="n">
        <v>1.6</v>
      </c>
      <c r="H419" t="n">
        <v>1</v>
      </c>
      <c r="I419" t="n">
        <v>0</v>
      </c>
      <c r="J419" t="n">
        <v>2</v>
      </c>
      <c r="K419" t="n">
        <v>3</v>
      </c>
      <c r="L419" t="n">
        <v>0</v>
      </c>
      <c r="M419" t="n">
        <v>0</v>
      </c>
      <c r="N419" t="n">
        <v>0</v>
      </c>
      <c r="O419" t="n">
        <v>5</v>
      </c>
      <c r="P419" t="n">
        <v>3</v>
      </c>
      <c r="Q419" t="n">
        <v>5</v>
      </c>
      <c r="R419" s="2" t="inlineStr">
        <is>
          <t>Aspgelélav
Knärot
Liten aspgelélav
Apelsinticka
Lunglav</t>
        </is>
      </c>
      <c r="S419">
        <f>HYPERLINK("https://klasma.github.io/Logging_2280/artfynd/A 8412-2024 artfynd.xlsx", "A 8412-2024")</f>
        <v/>
      </c>
      <c r="T419">
        <f>HYPERLINK("https://klasma.github.io/Logging_2280/kartor/A 8412-2024 karta.png", "A 8412-2024")</f>
        <v/>
      </c>
      <c r="U419">
        <f>HYPERLINK("https://klasma.github.io/Logging_2280/knärot/A 8412-2024 karta knärot.png", "A 8412-2024")</f>
        <v/>
      </c>
      <c r="V419">
        <f>HYPERLINK("https://klasma.github.io/Logging_2280/klagomål/A 8412-2024 FSC-klagomål.docx", "A 8412-2024")</f>
        <v/>
      </c>
      <c r="W419">
        <f>HYPERLINK("https://klasma.github.io/Logging_2280/klagomålsmail/A 8412-2024 FSC-klagomål mail.docx", "A 8412-2024")</f>
        <v/>
      </c>
      <c r="X419">
        <f>HYPERLINK("https://klasma.github.io/Logging_2280/tillsyn/A 8412-2024 tillsynsbegäran.docx", "A 8412-2024")</f>
        <v/>
      </c>
      <c r="Y419">
        <f>HYPERLINK("https://klasma.github.io/Logging_2280/tillsynsmail/A 8412-2024 tillsynsbegäran mail.docx", "A 8412-2024")</f>
        <v/>
      </c>
    </row>
    <row r="420" ht="15" customHeight="1">
      <c r="A420" t="inlineStr">
        <is>
          <t>A 49642-2025</t>
        </is>
      </c>
      <c r="B420" s="1" t="n">
        <v>45939.61542824074</v>
      </c>
      <c r="C420" s="1" t="n">
        <v>46093</v>
      </c>
      <c r="D420" t="inlineStr">
        <is>
          <t>VÄSTERNORRLANDS LÄN</t>
        </is>
      </c>
      <c r="E420" t="inlineStr">
        <is>
          <t>SUNDSVALL</t>
        </is>
      </c>
      <c r="F420" t="inlineStr">
        <is>
          <t>SCA</t>
        </is>
      </c>
      <c r="G420" t="n">
        <v>3.9</v>
      </c>
      <c r="H420" t="n">
        <v>2</v>
      </c>
      <c r="I420" t="n">
        <v>2</v>
      </c>
      <c r="J420" t="n">
        <v>2</v>
      </c>
      <c r="K420" t="n">
        <v>0</v>
      </c>
      <c r="L420" t="n">
        <v>0</v>
      </c>
      <c r="M420" t="n">
        <v>0</v>
      </c>
      <c r="N420" t="n">
        <v>0</v>
      </c>
      <c r="O420" t="n">
        <v>2</v>
      </c>
      <c r="P420" t="n">
        <v>0</v>
      </c>
      <c r="Q420" t="n">
        <v>5</v>
      </c>
      <c r="R420" s="2" t="inlineStr">
        <is>
          <t>Lunglav
Spillkråka
Skinnlav
Stuplav
Lavskrika</t>
        </is>
      </c>
      <c r="S420">
        <f>HYPERLINK("https://klasma.github.io/Logging_2281/artfynd/A 49642-2025 artfynd.xlsx", "A 49642-2025")</f>
        <v/>
      </c>
      <c r="T420">
        <f>HYPERLINK("https://klasma.github.io/Logging_2281/kartor/A 49642-2025 karta.png", "A 49642-2025")</f>
        <v/>
      </c>
      <c r="V420">
        <f>HYPERLINK("https://klasma.github.io/Logging_2281/klagomål/A 49642-2025 FSC-klagomål.docx", "A 49642-2025")</f>
        <v/>
      </c>
      <c r="W420">
        <f>HYPERLINK("https://klasma.github.io/Logging_2281/klagomålsmail/A 49642-2025 FSC-klagomål mail.docx", "A 49642-2025")</f>
        <v/>
      </c>
      <c r="X420">
        <f>HYPERLINK("https://klasma.github.io/Logging_2281/tillsyn/A 49642-2025 tillsynsbegäran.docx", "A 49642-2025")</f>
        <v/>
      </c>
      <c r="Y420">
        <f>HYPERLINK("https://klasma.github.io/Logging_2281/tillsynsmail/A 49642-2025 tillsynsbegäran mail.docx", "A 49642-2025")</f>
        <v/>
      </c>
      <c r="Z420">
        <f>HYPERLINK("https://klasma.github.io/Logging_2281/fåglar/A 49642-2025 prioriterade fågelarter.docx", "A 49642-2025")</f>
        <v/>
      </c>
    </row>
    <row r="421" ht="15" customHeight="1">
      <c r="A421" t="inlineStr">
        <is>
          <t>A 49778-2025</t>
        </is>
      </c>
      <c r="B421" s="1" t="n">
        <v>45940.38585648148</v>
      </c>
      <c r="C421" s="1" t="n">
        <v>46093</v>
      </c>
      <c r="D421" t="inlineStr">
        <is>
          <t>VÄSTERNORRLANDS LÄN</t>
        </is>
      </c>
      <c r="E421" t="inlineStr">
        <is>
          <t>TIMRÅ</t>
        </is>
      </c>
      <c r="F421" t="inlineStr">
        <is>
          <t>SCA</t>
        </is>
      </c>
      <c r="G421" t="n">
        <v>2.7</v>
      </c>
      <c r="H421" t="n">
        <v>1</v>
      </c>
      <c r="I421" t="n">
        <v>0</v>
      </c>
      <c r="J421" t="n">
        <v>4</v>
      </c>
      <c r="K421" t="n">
        <v>1</v>
      </c>
      <c r="L421" t="n">
        <v>0</v>
      </c>
      <c r="M421" t="n">
        <v>0</v>
      </c>
      <c r="N421" t="n">
        <v>0</v>
      </c>
      <c r="O421" t="n">
        <v>5</v>
      </c>
      <c r="P421" t="n">
        <v>1</v>
      </c>
      <c r="Q421" t="n">
        <v>5</v>
      </c>
      <c r="R421" s="2" t="inlineStr">
        <is>
          <t>Knärot
Dvärgbägarlav
Garnlav
Lunglav
Vedskivlav</t>
        </is>
      </c>
      <c r="S421">
        <f>HYPERLINK("https://klasma.github.io/Logging_2262/artfynd/A 49778-2025 artfynd.xlsx", "A 49778-2025")</f>
        <v/>
      </c>
      <c r="T421">
        <f>HYPERLINK("https://klasma.github.io/Logging_2262/kartor/A 49778-2025 karta.png", "A 49778-2025")</f>
        <v/>
      </c>
      <c r="U421">
        <f>HYPERLINK("https://klasma.github.io/Logging_2262/knärot/A 49778-2025 karta knärot.png", "A 49778-2025")</f>
        <v/>
      </c>
      <c r="V421">
        <f>HYPERLINK("https://klasma.github.io/Logging_2262/klagomål/A 49778-2025 FSC-klagomål.docx", "A 49778-2025")</f>
        <v/>
      </c>
      <c r="W421">
        <f>HYPERLINK("https://klasma.github.io/Logging_2262/klagomålsmail/A 49778-2025 FSC-klagomål mail.docx", "A 49778-2025")</f>
        <v/>
      </c>
      <c r="X421">
        <f>HYPERLINK("https://klasma.github.io/Logging_2262/tillsyn/A 49778-2025 tillsynsbegäran.docx", "A 49778-2025")</f>
        <v/>
      </c>
      <c r="Y421">
        <f>HYPERLINK("https://klasma.github.io/Logging_2262/tillsynsmail/A 49778-2025 tillsynsbegäran mail.docx", "A 49778-2025")</f>
        <v/>
      </c>
    </row>
    <row r="422" ht="15" customHeight="1">
      <c r="A422" t="inlineStr">
        <is>
          <t>A 11547-2025</t>
        </is>
      </c>
      <c r="B422" s="1" t="n">
        <v>45727.34447916667</v>
      </c>
      <c r="C422" s="1" t="n">
        <v>46093</v>
      </c>
      <c r="D422" t="inlineStr">
        <is>
          <t>VÄSTERNORRLANDS LÄN</t>
        </is>
      </c>
      <c r="E422" t="inlineStr">
        <is>
          <t>SOLLEFTEÅ</t>
        </is>
      </c>
      <c r="F422" t="inlineStr">
        <is>
          <t>SCA</t>
        </is>
      </c>
      <c r="G422" t="n">
        <v>2.9</v>
      </c>
      <c r="H422" t="n">
        <v>2</v>
      </c>
      <c r="I422" t="n">
        <v>0</v>
      </c>
      <c r="J422" t="n">
        <v>5</v>
      </c>
      <c r="K422" t="n">
        <v>0</v>
      </c>
      <c r="L422" t="n">
        <v>0</v>
      </c>
      <c r="M422" t="n">
        <v>0</v>
      </c>
      <c r="N422" t="n">
        <v>0</v>
      </c>
      <c r="O422" t="n">
        <v>5</v>
      </c>
      <c r="P422" t="n">
        <v>0</v>
      </c>
      <c r="Q422" t="n">
        <v>5</v>
      </c>
      <c r="R422" s="2" t="inlineStr">
        <is>
          <t>Garnlav
Järpe
Lunglav
Tretåig hackspett
Ullticka</t>
        </is>
      </c>
      <c r="S422">
        <f>HYPERLINK("https://klasma.github.io/Logging_2283/artfynd/A 11547-2025 artfynd.xlsx", "A 11547-2025")</f>
        <v/>
      </c>
      <c r="T422">
        <f>HYPERLINK("https://klasma.github.io/Logging_2283/kartor/A 11547-2025 karta.png", "A 11547-2025")</f>
        <v/>
      </c>
      <c r="V422">
        <f>HYPERLINK("https://klasma.github.io/Logging_2283/klagomål/A 11547-2025 FSC-klagomål.docx", "A 11547-2025")</f>
        <v/>
      </c>
      <c r="W422">
        <f>HYPERLINK("https://klasma.github.io/Logging_2283/klagomålsmail/A 11547-2025 FSC-klagomål mail.docx", "A 11547-2025")</f>
        <v/>
      </c>
      <c r="X422">
        <f>HYPERLINK("https://klasma.github.io/Logging_2283/tillsyn/A 11547-2025 tillsynsbegäran.docx", "A 11547-2025")</f>
        <v/>
      </c>
      <c r="Y422">
        <f>HYPERLINK("https://klasma.github.io/Logging_2283/tillsynsmail/A 11547-2025 tillsynsbegäran mail.docx", "A 11547-2025")</f>
        <v/>
      </c>
      <c r="Z422">
        <f>HYPERLINK("https://klasma.github.io/Logging_2283/fåglar/A 11547-2025 prioriterade fågelarter.docx", "A 11547-2025")</f>
        <v/>
      </c>
    </row>
    <row r="423" ht="15" customHeight="1">
      <c r="A423" t="inlineStr">
        <is>
          <t>A 4552-2022</t>
        </is>
      </c>
      <c r="B423" s="1" t="n">
        <v>44590</v>
      </c>
      <c r="C423" s="1" t="n">
        <v>46093</v>
      </c>
      <c r="D423" t="inlineStr">
        <is>
          <t>VÄSTERNORRLANDS LÄN</t>
        </is>
      </c>
      <c r="E423" t="inlineStr">
        <is>
          <t>SOLLEFTEÅ</t>
        </is>
      </c>
      <c r="F423" t="inlineStr">
        <is>
          <t>SCA</t>
        </is>
      </c>
      <c r="G423" t="n">
        <v>4.4</v>
      </c>
      <c r="H423" t="n">
        <v>0</v>
      </c>
      <c r="I423" t="n">
        <v>1</v>
      </c>
      <c r="J423" t="n">
        <v>4</v>
      </c>
      <c r="K423" t="n">
        <v>0</v>
      </c>
      <c r="L423" t="n">
        <v>0</v>
      </c>
      <c r="M423" t="n">
        <v>0</v>
      </c>
      <c r="N423" t="n">
        <v>0</v>
      </c>
      <c r="O423" t="n">
        <v>4</v>
      </c>
      <c r="P423" t="n">
        <v>0</v>
      </c>
      <c r="Q423" t="n">
        <v>5</v>
      </c>
      <c r="R423" s="2" t="inlineStr">
        <is>
          <t>Gammelgransskål
Garnlav
Skrovlig taggsvamp
Vedskivlav
Skarp dropptaggsvamp</t>
        </is>
      </c>
      <c r="S423">
        <f>HYPERLINK("https://klasma.github.io/Logging_2283/artfynd/A 4552-2022 artfynd.xlsx", "A 4552-2022")</f>
        <v/>
      </c>
      <c r="T423">
        <f>HYPERLINK("https://klasma.github.io/Logging_2283/kartor/A 4552-2022 karta.png", "A 4552-2022")</f>
        <v/>
      </c>
      <c r="V423">
        <f>HYPERLINK("https://klasma.github.io/Logging_2283/klagomål/A 4552-2022 FSC-klagomål.docx", "A 4552-2022")</f>
        <v/>
      </c>
      <c r="W423">
        <f>HYPERLINK("https://klasma.github.io/Logging_2283/klagomålsmail/A 4552-2022 FSC-klagomål mail.docx", "A 4552-2022")</f>
        <v/>
      </c>
      <c r="X423">
        <f>HYPERLINK("https://klasma.github.io/Logging_2283/tillsyn/A 4552-2022 tillsynsbegäran.docx", "A 4552-2022")</f>
        <v/>
      </c>
      <c r="Y423">
        <f>HYPERLINK("https://klasma.github.io/Logging_2283/tillsynsmail/A 4552-2022 tillsynsbegäran mail.docx", "A 4552-2022")</f>
        <v/>
      </c>
    </row>
    <row r="424" ht="15" customHeight="1">
      <c r="A424" t="inlineStr">
        <is>
          <t>A 29249-2024</t>
        </is>
      </c>
      <c r="B424" s="1" t="n">
        <v>45482</v>
      </c>
      <c r="C424" s="1" t="n">
        <v>46093</v>
      </c>
      <c r="D424" t="inlineStr">
        <is>
          <t>VÄSTERNORRLANDS LÄN</t>
        </is>
      </c>
      <c r="E424" t="inlineStr">
        <is>
          <t>SOLLEFTEÅ</t>
        </is>
      </c>
      <c r="F424" t="inlineStr">
        <is>
          <t>SCA</t>
        </is>
      </c>
      <c r="G424" t="n">
        <v>7.3</v>
      </c>
      <c r="H424" t="n">
        <v>3</v>
      </c>
      <c r="I424" t="n">
        <v>1</v>
      </c>
      <c r="J424" t="n">
        <v>3</v>
      </c>
      <c r="K424" t="n">
        <v>1</v>
      </c>
      <c r="L424" t="n">
        <v>0</v>
      </c>
      <c r="M424" t="n">
        <v>0</v>
      </c>
      <c r="N424" t="n">
        <v>0</v>
      </c>
      <c r="O424" t="n">
        <v>4</v>
      </c>
      <c r="P424" t="n">
        <v>1</v>
      </c>
      <c r="Q424" t="n">
        <v>5</v>
      </c>
      <c r="R424" s="2" t="inlineStr">
        <is>
          <t>Knärot
Harticka
Talltita
Tretåig hackspett
Stuplav</t>
        </is>
      </c>
      <c r="S424">
        <f>HYPERLINK("https://klasma.github.io/Logging_2283/artfynd/A 29249-2024 artfynd.xlsx", "A 29249-2024")</f>
        <v/>
      </c>
      <c r="T424">
        <f>HYPERLINK("https://klasma.github.io/Logging_2283/kartor/A 29249-2024 karta.png", "A 29249-2024")</f>
        <v/>
      </c>
      <c r="U424">
        <f>HYPERLINK("https://klasma.github.io/Logging_2283/knärot/A 29249-2024 karta knärot.png", "A 29249-2024")</f>
        <v/>
      </c>
      <c r="V424">
        <f>HYPERLINK("https://klasma.github.io/Logging_2283/klagomål/A 29249-2024 FSC-klagomål.docx", "A 29249-2024")</f>
        <v/>
      </c>
      <c r="W424">
        <f>HYPERLINK("https://klasma.github.io/Logging_2283/klagomålsmail/A 29249-2024 FSC-klagomål mail.docx", "A 29249-2024")</f>
        <v/>
      </c>
      <c r="X424">
        <f>HYPERLINK("https://klasma.github.io/Logging_2283/tillsyn/A 29249-2024 tillsynsbegäran.docx", "A 29249-2024")</f>
        <v/>
      </c>
      <c r="Y424">
        <f>HYPERLINK("https://klasma.github.io/Logging_2283/tillsynsmail/A 29249-2024 tillsynsbegäran mail.docx", "A 29249-2024")</f>
        <v/>
      </c>
      <c r="Z424">
        <f>HYPERLINK("https://klasma.github.io/Logging_2283/fåglar/A 29249-2024 prioriterade fågelarter.docx", "A 29249-2024")</f>
        <v/>
      </c>
    </row>
    <row r="425" ht="15" customHeight="1">
      <c r="A425" t="inlineStr">
        <is>
          <t>A 51341-2025</t>
        </is>
      </c>
      <c r="B425" s="1" t="n">
        <v>45950.42761574074</v>
      </c>
      <c r="C425" s="1" t="n">
        <v>46093</v>
      </c>
      <c r="D425" t="inlineStr">
        <is>
          <t>VÄSTERNORRLANDS LÄN</t>
        </is>
      </c>
      <c r="E425" t="inlineStr">
        <is>
          <t>SOLLEFTEÅ</t>
        </is>
      </c>
      <c r="F425" t="inlineStr">
        <is>
          <t>SCA</t>
        </is>
      </c>
      <c r="G425" t="n">
        <v>5.3</v>
      </c>
      <c r="H425" t="n">
        <v>0</v>
      </c>
      <c r="I425" t="n">
        <v>2</v>
      </c>
      <c r="J425" t="n">
        <v>3</v>
      </c>
      <c r="K425" t="n">
        <v>0</v>
      </c>
      <c r="L425" t="n">
        <v>0</v>
      </c>
      <c r="M425" t="n">
        <v>0</v>
      </c>
      <c r="N425" t="n">
        <v>0</v>
      </c>
      <c r="O425" t="n">
        <v>3</v>
      </c>
      <c r="P425" t="n">
        <v>0</v>
      </c>
      <c r="Q425" t="n">
        <v>5</v>
      </c>
      <c r="R425" s="2" t="inlineStr">
        <is>
          <t>Garnlav
Mörk kolflarnlav
Rosenticka
Dropptaggsvamp
Vedticka</t>
        </is>
      </c>
      <c r="S425">
        <f>HYPERLINK("https://klasma.github.io/Logging_2283/artfynd/A 51341-2025 artfynd.xlsx", "A 51341-2025")</f>
        <v/>
      </c>
      <c r="T425">
        <f>HYPERLINK("https://klasma.github.io/Logging_2283/kartor/A 51341-2025 karta.png", "A 51341-2025")</f>
        <v/>
      </c>
      <c r="V425">
        <f>HYPERLINK("https://klasma.github.io/Logging_2283/klagomål/A 51341-2025 FSC-klagomål.docx", "A 51341-2025")</f>
        <v/>
      </c>
      <c r="W425">
        <f>HYPERLINK("https://klasma.github.io/Logging_2283/klagomålsmail/A 51341-2025 FSC-klagomål mail.docx", "A 51341-2025")</f>
        <v/>
      </c>
      <c r="X425">
        <f>HYPERLINK("https://klasma.github.io/Logging_2283/tillsyn/A 51341-2025 tillsynsbegäran.docx", "A 51341-2025")</f>
        <v/>
      </c>
      <c r="Y425">
        <f>HYPERLINK("https://klasma.github.io/Logging_2283/tillsynsmail/A 51341-2025 tillsynsbegäran mail.docx", "A 51341-2025")</f>
        <v/>
      </c>
    </row>
    <row r="426" ht="15" customHeight="1">
      <c r="A426" t="inlineStr">
        <is>
          <t>A 40482-2025</t>
        </is>
      </c>
      <c r="B426" s="1" t="n">
        <v>45895</v>
      </c>
      <c r="C426" s="1" t="n">
        <v>46093</v>
      </c>
      <c r="D426" t="inlineStr">
        <is>
          <t>VÄSTERNORRLANDS LÄN</t>
        </is>
      </c>
      <c r="E426" t="inlineStr">
        <is>
          <t>TIMRÅ</t>
        </is>
      </c>
      <c r="G426" t="n">
        <v>20.9</v>
      </c>
      <c r="H426" t="n">
        <v>2</v>
      </c>
      <c r="I426" t="n">
        <v>0</v>
      </c>
      <c r="J426" t="n">
        <v>3</v>
      </c>
      <c r="K426" t="n">
        <v>0</v>
      </c>
      <c r="L426" t="n">
        <v>0</v>
      </c>
      <c r="M426" t="n">
        <v>0</v>
      </c>
      <c r="N426" t="n">
        <v>0</v>
      </c>
      <c r="O426" t="n">
        <v>3</v>
      </c>
      <c r="P426" t="n">
        <v>0</v>
      </c>
      <c r="Q426" t="n">
        <v>5</v>
      </c>
      <c r="R426" s="2" t="inlineStr">
        <is>
          <t>Garnlav
Knottrig blåslav
Violettgrå tagellav
Fläcknycklar
Mattlummer</t>
        </is>
      </c>
      <c r="S426">
        <f>HYPERLINK("https://klasma.github.io/Logging_2262/artfynd/A 40482-2025 artfynd.xlsx", "A 40482-2025")</f>
        <v/>
      </c>
      <c r="T426">
        <f>HYPERLINK("https://klasma.github.io/Logging_2262/kartor/A 40482-2025 karta.png", "A 40482-2025")</f>
        <v/>
      </c>
      <c r="V426">
        <f>HYPERLINK("https://klasma.github.io/Logging_2262/klagomål/A 40482-2025 FSC-klagomål.docx", "A 40482-2025")</f>
        <v/>
      </c>
      <c r="W426">
        <f>HYPERLINK("https://klasma.github.io/Logging_2262/klagomålsmail/A 40482-2025 FSC-klagomål mail.docx", "A 40482-2025")</f>
        <v/>
      </c>
      <c r="X426">
        <f>HYPERLINK("https://klasma.github.io/Logging_2262/tillsyn/A 40482-2025 tillsynsbegäran.docx", "A 40482-2025")</f>
        <v/>
      </c>
      <c r="Y426">
        <f>HYPERLINK("https://klasma.github.io/Logging_2262/tillsynsmail/A 40482-2025 tillsynsbegäran mail.docx", "A 40482-2025")</f>
        <v/>
      </c>
    </row>
    <row r="427" ht="15" customHeight="1">
      <c r="A427" t="inlineStr">
        <is>
          <t>A 11288-2024</t>
        </is>
      </c>
      <c r="B427" s="1" t="n">
        <v>45371</v>
      </c>
      <c r="C427" s="1" t="n">
        <v>46093</v>
      </c>
      <c r="D427" t="inlineStr">
        <is>
          <t>VÄSTERNORRLANDS LÄN</t>
        </is>
      </c>
      <c r="E427" t="inlineStr">
        <is>
          <t>TIMRÅ</t>
        </is>
      </c>
      <c r="G427" t="n">
        <v>2.4</v>
      </c>
      <c r="H427" t="n">
        <v>3</v>
      </c>
      <c r="I427" t="n">
        <v>2</v>
      </c>
      <c r="J427" t="n">
        <v>1</v>
      </c>
      <c r="K427" t="n">
        <v>0</v>
      </c>
      <c r="L427" t="n">
        <v>0</v>
      </c>
      <c r="M427" t="n">
        <v>0</v>
      </c>
      <c r="N427" t="n">
        <v>0</v>
      </c>
      <c r="O427" t="n">
        <v>1</v>
      </c>
      <c r="P427" t="n">
        <v>0</v>
      </c>
      <c r="Q427" t="n">
        <v>5</v>
      </c>
      <c r="R427" s="2" t="inlineStr">
        <is>
          <t>Spillkråka
Skinnlav
Stor aspticka
Gråspett
Skogsduva</t>
        </is>
      </c>
      <c r="S427">
        <f>HYPERLINK("https://klasma.github.io/Logging_2262/artfynd/A 11288-2024 artfynd.xlsx", "A 11288-2024")</f>
        <v/>
      </c>
      <c r="T427">
        <f>HYPERLINK("https://klasma.github.io/Logging_2262/kartor/A 11288-2024 karta.png", "A 11288-2024")</f>
        <v/>
      </c>
      <c r="V427">
        <f>HYPERLINK("https://klasma.github.io/Logging_2262/klagomål/A 11288-2024 FSC-klagomål.docx", "A 11288-2024")</f>
        <v/>
      </c>
      <c r="W427">
        <f>HYPERLINK("https://klasma.github.io/Logging_2262/klagomålsmail/A 11288-2024 FSC-klagomål mail.docx", "A 11288-2024")</f>
        <v/>
      </c>
      <c r="X427">
        <f>HYPERLINK("https://klasma.github.io/Logging_2262/tillsyn/A 11288-2024 tillsynsbegäran.docx", "A 11288-2024")</f>
        <v/>
      </c>
      <c r="Y427">
        <f>HYPERLINK("https://klasma.github.io/Logging_2262/tillsynsmail/A 11288-2024 tillsynsbegäran mail.docx", "A 11288-2024")</f>
        <v/>
      </c>
      <c r="Z427">
        <f>HYPERLINK("https://klasma.github.io/Logging_2262/fåglar/A 11288-2024 prioriterade fågelarter.docx", "A 11288-2024")</f>
        <v/>
      </c>
    </row>
    <row r="428" ht="15" customHeight="1">
      <c r="A428" t="inlineStr">
        <is>
          <t>A 60009-2024</t>
        </is>
      </c>
      <c r="B428" s="1" t="n">
        <v>45642.42752314815</v>
      </c>
      <c r="C428" s="1" t="n">
        <v>46093</v>
      </c>
      <c r="D428" t="inlineStr">
        <is>
          <t>VÄSTERNORRLANDS LÄN</t>
        </is>
      </c>
      <c r="E428" t="inlineStr">
        <is>
          <t>SUNDSVALL</t>
        </is>
      </c>
      <c r="F428" t="inlineStr">
        <is>
          <t>SCA</t>
        </is>
      </c>
      <c r="G428" t="n">
        <v>9.6</v>
      </c>
      <c r="H428" t="n">
        <v>0</v>
      </c>
      <c r="I428" t="n">
        <v>0</v>
      </c>
      <c r="J428" t="n">
        <v>5</v>
      </c>
      <c r="K428" t="n">
        <v>0</v>
      </c>
      <c r="L428" t="n">
        <v>0</v>
      </c>
      <c r="M428" t="n">
        <v>0</v>
      </c>
      <c r="N428" t="n">
        <v>0</v>
      </c>
      <c r="O428" t="n">
        <v>5</v>
      </c>
      <c r="P428" t="n">
        <v>0</v>
      </c>
      <c r="Q428" t="n">
        <v>5</v>
      </c>
      <c r="R428" s="2" t="inlineStr">
        <is>
          <t>Garnlav
Kolflarnlav
Mörk kolflarnlav
Reliktbock
Vedskivlav</t>
        </is>
      </c>
      <c r="S428">
        <f>HYPERLINK("https://klasma.github.io/Logging_2281/artfynd/A 60009-2024 artfynd.xlsx", "A 60009-2024")</f>
        <v/>
      </c>
      <c r="T428">
        <f>HYPERLINK("https://klasma.github.io/Logging_2281/kartor/A 60009-2024 karta.png", "A 60009-2024")</f>
        <v/>
      </c>
      <c r="V428">
        <f>HYPERLINK("https://klasma.github.io/Logging_2281/klagomål/A 60009-2024 FSC-klagomål.docx", "A 60009-2024")</f>
        <v/>
      </c>
      <c r="W428">
        <f>HYPERLINK("https://klasma.github.io/Logging_2281/klagomålsmail/A 60009-2024 FSC-klagomål mail.docx", "A 60009-2024")</f>
        <v/>
      </c>
      <c r="X428">
        <f>HYPERLINK("https://klasma.github.io/Logging_2281/tillsyn/A 60009-2024 tillsynsbegäran.docx", "A 60009-2024")</f>
        <v/>
      </c>
      <c r="Y428">
        <f>HYPERLINK("https://klasma.github.io/Logging_2281/tillsynsmail/A 60009-2024 tillsynsbegäran mail.docx", "A 60009-2024")</f>
        <v/>
      </c>
    </row>
    <row r="429" ht="15" customHeight="1">
      <c r="A429" t="inlineStr">
        <is>
          <t>A 52392-2025</t>
        </is>
      </c>
      <c r="B429" s="1" t="n">
        <v>45954.34424768519</v>
      </c>
      <c r="C429" s="1" t="n">
        <v>46093</v>
      </c>
      <c r="D429" t="inlineStr">
        <is>
          <t>VÄSTERNORRLANDS LÄN</t>
        </is>
      </c>
      <c r="E429" t="inlineStr">
        <is>
          <t>ÅNGE</t>
        </is>
      </c>
      <c r="F429" t="inlineStr">
        <is>
          <t>SCA</t>
        </is>
      </c>
      <c r="G429" t="n">
        <v>2.6</v>
      </c>
      <c r="H429" t="n">
        <v>1</v>
      </c>
      <c r="I429" t="n">
        <v>1</v>
      </c>
      <c r="J429" t="n">
        <v>4</v>
      </c>
      <c r="K429" t="n">
        <v>0</v>
      </c>
      <c r="L429" t="n">
        <v>0</v>
      </c>
      <c r="M429" t="n">
        <v>0</v>
      </c>
      <c r="N429" t="n">
        <v>0</v>
      </c>
      <c r="O429" t="n">
        <v>4</v>
      </c>
      <c r="P429" t="n">
        <v>0</v>
      </c>
      <c r="Q429" t="n">
        <v>5</v>
      </c>
      <c r="R429" s="2" t="inlineStr">
        <is>
          <t>Garnlav
Rosenticka
Tretåig hackspett
Ullticka
Brandticka</t>
        </is>
      </c>
      <c r="S429">
        <f>HYPERLINK("https://klasma.github.io/Logging_2260/artfynd/A 52392-2025 artfynd.xlsx", "A 52392-2025")</f>
        <v/>
      </c>
      <c r="T429">
        <f>HYPERLINK("https://klasma.github.io/Logging_2260/kartor/A 52392-2025 karta.png", "A 52392-2025")</f>
        <v/>
      </c>
      <c r="V429">
        <f>HYPERLINK("https://klasma.github.io/Logging_2260/klagomål/A 52392-2025 FSC-klagomål.docx", "A 52392-2025")</f>
        <v/>
      </c>
      <c r="W429">
        <f>HYPERLINK("https://klasma.github.io/Logging_2260/klagomålsmail/A 52392-2025 FSC-klagomål mail.docx", "A 52392-2025")</f>
        <v/>
      </c>
      <c r="X429">
        <f>HYPERLINK("https://klasma.github.io/Logging_2260/tillsyn/A 52392-2025 tillsynsbegäran.docx", "A 52392-2025")</f>
        <v/>
      </c>
      <c r="Y429">
        <f>HYPERLINK("https://klasma.github.io/Logging_2260/tillsynsmail/A 52392-2025 tillsynsbegäran mail.docx", "A 52392-2025")</f>
        <v/>
      </c>
      <c r="Z429">
        <f>HYPERLINK("https://klasma.github.io/Logging_2260/fåglar/A 52392-2025 prioriterade fågelarter.docx", "A 52392-2025")</f>
        <v/>
      </c>
    </row>
    <row r="430" ht="15" customHeight="1">
      <c r="A430" t="inlineStr">
        <is>
          <t>A 18829-2023</t>
        </is>
      </c>
      <c r="B430" s="1" t="n">
        <v>45042</v>
      </c>
      <c r="C430" s="1" t="n">
        <v>46093</v>
      </c>
      <c r="D430" t="inlineStr">
        <is>
          <t>VÄSTERNORRLANDS LÄN</t>
        </is>
      </c>
      <c r="E430" t="inlineStr">
        <is>
          <t>SUNDSVALL</t>
        </is>
      </c>
      <c r="G430" t="n">
        <v>9.9</v>
      </c>
      <c r="H430" t="n">
        <v>4</v>
      </c>
      <c r="I430" t="n">
        <v>0</v>
      </c>
      <c r="J430" t="n">
        <v>3</v>
      </c>
      <c r="K430" t="n">
        <v>0</v>
      </c>
      <c r="L430" t="n">
        <v>0</v>
      </c>
      <c r="M430" t="n">
        <v>0</v>
      </c>
      <c r="N430" t="n">
        <v>0</v>
      </c>
      <c r="O430" t="n">
        <v>3</v>
      </c>
      <c r="P430" t="n">
        <v>0</v>
      </c>
      <c r="Q430" t="n">
        <v>5</v>
      </c>
      <c r="R430" s="2" t="inlineStr">
        <is>
          <t>Garnlav
Järpe
Rödvingetrast
Orre
Fläcknycklar</t>
        </is>
      </c>
      <c r="S430">
        <f>HYPERLINK("https://klasma.github.io/Logging_2281/artfynd/A 18829-2023 artfynd.xlsx", "A 18829-2023")</f>
        <v/>
      </c>
      <c r="T430">
        <f>HYPERLINK("https://klasma.github.io/Logging_2281/kartor/A 18829-2023 karta.png", "A 18829-2023")</f>
        <v/>
      </c>
      <c r="V430">
        <f>HYPERLINK("https://klasma.github.io/Logging_2281/klagomål/A 18829-2023 FSC-klagomål.docx", "A 18829-2023")</f>
        <v/>
      </c>
      <c r="W430">
        <f>HYPERLINK("https://klasma.github.io/Logging_2281/klagomålsmail/A 18829-2023 FSC-klagomål mail.docx", "A 18829-2023")</f>
        <v/>
      </c>
      <c r="X430">
        <f>HYPERLINK("https://klasma.github.io/Logging_2281/tillsyn/A 18829-2023 tillsynsbegäran.docx", "A 18829-2023")</f>
        <v/>
      </c>
      <c r="Y430">
        <f>HYPERLINK("https://klasma.github.io/Logging_2281/tillsynsmail/A 18829-2023 tillsynsbegäran mail.docx", "A 18829-2023")</f>
        <v/>
      </c>
      <c r="Z430">
        <f>HYPERLINK("https://klasma.github.io/Logging_2281/fåglar/A 18829-2023 prioriterade fågelarter.docx", "A 18829-2023")</f>
        <v/>
      </c>
    </row>
    <row r="431" ht="15" customHeight="1">
      <c r="A431" t="inlineStr">
        <is>
          <t>A 51286-2024</t>
        </is>
      </c>
      <c r="B431" s="1" t="n">
        <v>45600</v>
      </c>
      <c r="C431" s="1" t="n">
        <v>46093</v>
      </c>
      <c r="D431" t="inlineStr">
        <is>
          <t>VÄSTERNORRLANDS LÄN</t>
        </is>
      </c>
      <c r="E431" t="inlineStr">
        <is>
          <t>SUNDSVALL</t>
        </is>
      </c>
      <c r="F431" t="inlineStr">
        <is>
          <t>Kommuner</t>
        </is>
      </c>
      <c r="G431" t="n">
        <v>10</v>
      </c>
      <c r="H431" t="n">
        <v>2</v>
      </c>
      <c r="I431" t="n">
        <v>2</v>
      </c>
      <c r="J431" t="n">
        <v>2</v>
      </c>
      <c r="K431" t="n">
        <v>0</v>
      </c>
      <c r="L431" t="n">
        <v>0</v>
      </c>
      <c r="M431" t="n">
        <v>0</v>
      </c>
      <c r="N431" t="n">
        <v>0</v>
      </c>
      <c r="O431" t="n">
        <v>2</v>
      </c>
      <c r="P431" t="n">
        <v>0</v>
      </c>
      <c r="Q431" t="n">
        <v>5</v>
      </c>
      <c r="R431" s="2" t="inlineStr">
        <is>
          <t>Desmeknopp
Rödprick
Tvåblad
Ögonpyrola
Fläcknycklar</t>
        </is>
      </c>
      <c r="S431">
        <f>HYPERLINK("https://klasma.github.io/Logging_2281/artfynd/A 51286-2024 artfynd.xlsx", "A 51286-2024")</f>
        <v/>
      </c>
      <c r="T431">
        <f>HYPERLINK("https://klasma.github.io/Logging_2281/kartor/A 51286-2024 karta.png", "A 51286-2024")</f>
        <v/>
      </c>
      <c r="V431">
        <f>HYPERLINK("https://klasma.github.io/Logging_2281/klagomål/A 51286-2024 FSC-klagomål.docx", "A 51286-2024")</f>
        <v/>
      </c>
      <c r="W431">
        <f>HYPERLINK("https://klasma.github.io/Logging_2281/klagomålsmail/A 51286-2024 FSC-klagomål mail.docx", "A 51286-2024")</f>
        <v/>
      </c>
      <c r="X431">
        <f>HYPERLINK("https://klasma.github.io/Logging_2281/tillsyn/A 51286-2024 tillsynsbegäran.docx", "A 51286-2024")</f>
        <v/>
      </c>
      <c r="Y431">
        <f>HYPERLINK("https://klasma.github.io/Logging_2281/tillsynsmail/A 51286-2024 tillsynsbegäran mail.docx", "A 51286-2024")</f>
        <v/>
      </c>
    </row>
    <row r="432" ht="15" customHeight="1">
      <c r="A432" t="inlineStr">
        <is>
          <t>A 11397-2025</t>
        </is>
      </c>
      <c r="B432" s="1" t="n">
        <v>45726</v>
      </c>
      <c r="C432" s="1" t="n">
        <v>46093</v>
      </c>
      <c r="D432" t="inlineStr">
        <is>
          <t>VÄSTERNORRLANDS LÄN</t>
        </is>
      </c>
      <c r="E432" t="inlineStr">
        <is>
          <t>TIMRÅ</t>
        </is>
      </c>
      <c r="F432" t="inlineStr">
        <is>
          <t>SCA</t>
        </is>
      </c>
      <c r="G432" t="n">
        <v>5.3</v>
      </c>
      <c r="H432" t="n">
        <v>2</v>
      </c>
      <c r="I432" t="n">
        <v>2</v>
      </c>
      <c r="J432" t="n">
        <v>2</v>
      </c>
      <c r="K432" t="n">
        <v>1</v>
      </c>
      <c r="L432" t="n">
        <v>0</v>
      </c>
      <c r="M432" t="n">
        <v>0</v>
      </c>
      <c r="N432" t="n">
        <v>0</v>
      </c>
      <c r="O432" t="n">
        <v>3</v>
      </c>
      <c r="P432" t="n">
        <v>1</v>
      </c>
      <c r="Q432" t="n">
        <v>5</v>
      </c>
      <c r="R432" s="2" t="inlineStr">
        <is>
          <t>Knärot
Rosenticka
Spillkråka
Bollvitmossa
Vedticka</t>
        </is>
      </c>
      <c r="S432">
        <f>HYPERLINK("https://klasma.github.io/Logging_2262/artfynd/A 11397-2025 artfynd.xlsx", "A 11397-2025")</f>
        <v/>
      </c>
      <c r="T432">
        <f>HYPERLINK("https://klasma.github.io/Logging_2262/kartor/A 11397-2025 karta.png", "A 11397-2025")</f>
        <v/>
      </c>
      <c r="U432">
        <f>HYPERLINK("https://klasma.github.io/Logging_2262/knärot/A 11397-2025 karta knärot.png", "A 11397-2025")</f>
        <v/>
      </c>
      <c r="V432">
        <f>HYPERLINK("https://klasma.github.io/Logging_2262/klagomål/A 11397-2025 FSC-klagomål.docx", "A 11397-2025")</f>
        <v/>
      </c>
      <c r="W432">
        <f>HYPERLINK("https://klasma.github.io/Logging_2262/klagomålsmail/A 11397-2025 FSC-klagomål mail.docx", "A 11397-2025")</f>
        <v/>
      </c>
      <c r="X432">
        <f>HYPERLINK("https://klasma.github.io/Logging_2262/tillsyn/A 11397-2025 tillsynsbegäran.docx", "A 11397-2025")</f>
        <v/>
      </c>
      <c r="Y432">
        <f>HYPERLINK("https://klasma.github.io/Logging_2262/tillsynsmail/A 11397-2025 tillsynsbegäran mail.docx", "A 11397-2025")</f>
        <v/>
      </c>
      <c r="Z432">
        <f>HYPERLINK("https://klasma.github.io/Logging_2262/fåglar/A 11397-2025 prioriterade fågelarter.docx", "A 11397-2025")</f>
        <v/>
      </c>
    </row>
    <row r="433" ht="15" customHeight="1">
      <c r="A433" t="inlineStr">
        <is>
          <t>A 17925-2023</t>
        </is>
      </c>
      <c r="B433" s="1" t="n">
        <v>45040</v>
      </c>
      <c r="C433" s="1" t="n">
        <v>46093</v>
      </c>
      <c r="D433" t="inlineStr">
        <is>
          <t>VÄSTERNORRLANDS LÄN</t>
        </is>
      </c>
      <c r="E433" t="inlineStr">
        <is>
          <t>ÖRNSKÖLDSVIK</t>
        </is>
      </c>
      <c r="G433" t="n">
        <v>14.5</v>
      </c>
      <c r="H433" t="n">
        <v>1</v>
      </c>
      <c r="I433" t="n">
        <v>0</v>
      </c>
      <c r="J433" t="n">
        <v>3</v>
      </c>
      <c r="K433" t="n">
        <v>2</v>
      </c>
      <c r="L433" t="n">
        <v>0</v>
      </c>
      <c r="M433" t="n">
        <v>0</v>
      </c>
      <c r="N433" t="n">
        <v>0</v>
      </c>
      <c r="O433" t="n">
        <v>5</v>
      </c>
      <c r="P433" t="n">
        <v>2</v>
      </c>
      <c r="Q433" t="n">
        <v>5</v>
      </c>
      <c r="R433" s="2" t="inlineStr">
        <is>
          <t>Knärot
Rynkskinn
Lunglav
Rosenticka
Ullticka</t>
        </is>
      </c>
      <c r="S433">
        <f>HYPERLINK("https://klasma.github.io/Logging_2284/artfynd/A 17925-2023 artfynd.xlsx", "A 17925-2023")</f>
        <v/>
      </c>
      <c r="T433">
        <f>HYPERLINK("https://klasma.github.io/Logging_2284/kartor/A 17925-2023 karta.png", "A 17925-2023")</f>
        <v/>
      </c>
      <c r="U433">
        <f>HYPERLINK("https://klasma.github.io/Logging_2284/knärot/A 17925-2023 karta knärot.png", "A 17925-2023")</f>
        <v/>
      </c>
      <c r="V433">
        <f>HYPERLINK("https://klasma.github.io/Logging_2284/klagomål/A 17925-2023 FSC-klagomål.docx", "A 17925-2023")</f>
        <v/>
      </c>
      <c r="W433">
        <f>HYPERLINK("https://klasma.github.io/Logging_2284/klagomålsmail/A 17925-2023 FSC-klagomål mail.docx", "A 17925-2023")</f>
        <v/>
      </c>
      <c r="X433">
        <f>HYPERLINK("https://klasma.github.io/Logging_2284/tillsyn/A 17925-2023 tillsynsbegäran.docx", "A 17925-2023")</f>
        <v/>
      </c>
      <c r="Y433">
        <f>HYPERLINK("https://klasma.github.io/Logging_2284/tillsynsmail/A 17925-2023 tillsynsbegäran mail.docx", "A 17925-2023")</f>
        <v/>
      </c>
    </row>
    <row r="434" ht="15" customHeight="1">
      <c r="A434" t="inlineStr">
        <is>
          <t>A 55238-2025</t>
        </is>
      </c>
      <c r="B434" s="1" t="n">
        <v>45968</v>
      </c>
      <c r="C434" s="1" t="n">
        <v>46093</v>
      </c>
      <c r="D434" t="inlineStr">
        <is>
          <t>VÄSTERNORRLANDS LÄN</t>
        </is>
      </c>
      <c r="E434" t="inlineStr">
        <is>
          <t>ÖRNSKÖLDSVIK</t>
        </is>
      </c>
      <c r="G434" t="n">
        <v>8.1</v>
      </c>
      <c r="H434" t="n">
        <v>1</v>
      </c>
      <c r="I434" t="n">
        <v>0</v>
      </c>
      <c r="J434" t="n">
        <v>5</v>
      </c>
      <c r="K434" t="n">
        <v>0</v>
      </c>
      <c r="L434" t="n">
        <v>0</v>
      </c>
      <c r="M434" t="n">
        <v>0</v>
      </c>
      <c r="N434" t="n">
        <v>0</v>
      </c>
      <c r="O434" t="n">
        <v>5</v>
      </c>
      <c r="P434" t="n">
        <v>0</v>
      </c>
      <c r="Q434" t="n">
        <v>5</v>
      </c>
      <c r="R434" s="2" t="inlineStr">
        <is>
          <t>Gammelgransskål
Garnlav
Granticka
Tretåig hackspett
Ullticka</t>
        </is>
      </c>
      <c r="S434">
        <f>HYPERLINK("https://klasma.github.io/Logging_2284/artfynd/A 55238-2025 artfynd.xlsx", "A 55238-2025")</f>
        <v/>
      </c>
      <c r="T434">
        <f>HYPERLINK("https://klasma.github.io/Logging_2284/kartor/A 55238-2025 karta.png", "A 55238-2025")</f>
        <v/>
      </c>
      <c r="V434">
        <f>HYPERLINK("https://klasma.github.io/Logging_2284/klagomål/A 55238-2025 FSC-klagomål.docx", "A 55238-2025")</f>
        <v/>
      </c>
      <c r="W434">
        <f>HYPERLINK("https://klasma.github.io/Logging_2284/klagomålsmail/A 55238-2025 FSC-klagomål mail.docx", "A 55238-2025")</f>
        <v/>
      </c>
      <c r="X434">
        <f>HYPERLINK("https://klasma.github.io/Logging_2284/tillsyn/A 55238-2025 tillsynsbegäran.docx", "A 55238-2025")</f>
        <v/>
      </c>
      <c r="Y434">
        <f>HYPERLINK("https://klasma.github.io/Logging_2284/tillsynsmail/A 55238-2025 tillsynsbegäran mail.docx", "A 55238-2025")</f>
        <v/>
      </c>
      <c r="Z434">
        <f>HYPERLINK("https://klasma.github.io/Logging_2284/fåglar/A 55238-2025 prioriterade fågelarter.docx", "A 55238-2025")</f>
        <v/>
      </c>
    </row>
    <row r="435" ht="15" customHeight="1">
      <c r="A435" t="inlineStr">
        <is>
          <t>A 32216-2023</t>
        </is>
      </c>
      <c r="B435" s="1" t="n">
        <v>45119</v>
      </c>
      <c r="C435" s="1" t="n">
        <v>46093</v>
      </c>
      <c r="D435" t="inlineStr">
        <is>
          <t>VÄSTERNORRLANDS LÄN</t>
        </is>
      </c>
      <c r="E435" t="inlineStr">
        <is>
          <t>SOLLEFTEÅ</t>
        </is>
      </c>
      <c r="F435" t="inlineStr">
        <is>
          <t>SCA</t>
        </is>
      </c>
      <c r="G435" t="n">
        <v>2.2</v>
      </c>
      <c r="H435" t="n">
        <v>1</v>
      </c>
      <c r="I435" t="n">
        <v>0</v>
      </c>
      <c r="J435" t="n">
        <v>4</v>
      </c>
      <c r="K435" t="n">
        <v>1</v>
      </c>
      <c r="L435" t="n">
        <v>0</v>
      </c>
      <c r="M435" t="n">
        <v>0</v>
      </c>
      <c r="N435" t="n">
        <v>0</v>
      </c>
      <c r="O435" t="n">
        <v>5</v>
      </c>
      <c r="P435" t="n">
        <v>1</v>
      </c>
      <c r="Q435" t="n">
        <v>5</v>
      </c>
      <c r="R435" s="2" t="inlineStr">
        <is>
          <t>Rynkskinn
Lunglav
Rosenticka
Tretåig hackspett
Ullticka</t>
        </is>
      </c>
      <c r="S435">
        <f>HYPERLINK("https://klasma.github.io/Logging_2283/artfynd/A 32216-2023 artfynd.xlsx", "A 32216-2023")</f>
        <v/>
      </c>
      <c r="T435">
        <f>HYPERLINK("https://klasma.github.io/Logging_2283/kartor/A 32216-2023 karta.png", "A 32216-2023")</f>
        <v/>
      </c>
      <c r="V435">
        <f>HYPERLINK("https://klasma.github.io/Logging_2283/klagomål/A 32216-2023 FSC-klagomål.docx", "A 32216-2023")</f>
        <v/>
      </c>
      <c r="W435">
        <f>HYPERLINK("https://klasma.github.io/Logging_2283/klagomålsmail/A 32216-2023 FSC-klagomål mail.docx", "A 32216-2023")</f>
        <v/>
      </c>
      <c r="X435">
        <f>HYPERLINK("https://klasma.github.io/Logging_2283/tillsyn/A 32216-2023 tillsynsbegäran.docx", "A 32216-2023")</f>
        <v/>
      </c>
      <c r="Y435">
        <f>HYPERLINK("https://klasma.github.io/Logging_2283/tillsynsmail/A 32216-2023 tillsynsbegäran mail.docx", "A 32216-2023")</f>
        <v/>
      </c>
      <c r="Z435">
        <f>HYPERLINK("https://klasma.github.io/Logging_2283/fåglar/A 32216-2023 prioriterade fågelarter.docx", "A 32216-2023")</f>
        <v/>
      </c>
    </row>
    <row r="436" ht="15" customHeight="1">
      <c r="A436" t="inlineStr">
        <is>
          <t>A 27910-2024</t>
        </is>
      </c>
      <c r="B436" s="1" t="n">
        <v>45475</v>
      </c>
      <c r="C436" s="1" t="n">
        <v>46093</v>
      </c>
      <c r="D436" t="inlineStr">
        <is>
          <t>VÄSTERNORRLANDS LÄN</t>
        </is>
      </c>
      <c r="E436" t="inlineStr">
        <is>
          <t>SOLLEFTEÅ</t>
        </is>
      </c>
      <c r="F436" t="inlineStr">
        <is>
          <t>SCA</t>
        </is>
      </c>
      <c r="G436" t="n">
        <v>3.2</v>
      </c>
      <c r="H436" t="n">
        <v>0</v>
      </c>
      <c r="I436" t="n">
        <v>1</v>
      </c>
      <c r="J436" t="n">
        <v>3</v>
      </c>
      <c r="K436" t="n">
        <v>1</v>
      </c>
      <c r="L436" t="n">
        <v>0</v>
      </c>
      <c r="M436" t="n">
        <v>0</v>
      </c>
      <c r="N436" t="n">
        <v>0</v>
      </c>
      <c r="O436" t="n">
        <v>4</v>
      </c>
      <c r="P436" t="n">
        <v>1</v>
      </c>
      <c r="Q436" t="n">
        <v>5</v>
      </c>
      <c r="R436" s="2" t="inlineStr">
        <is>
          <t>Rynkskinn
Gammelgransskål
Rosenticka
Ullticka
Vedticka</t>
        </is>
      </c>
      <c r="S436">
        <f>HYPERLINK("https://klasma.github.io/Logging_2283/artfynd/A 27910-2024 artfynd.xlsx", "A 27910-2024")</f>
        <v/>
      </c>
      <c r="T436">
        <f>HYPERLINK("https://klasma.github.io/Logging_2283/kartor/A 27910-2024 karta.png", "A 27910-2024")</f>
        <v/>
      </c>
      <c r="V436">
        <f>HYPERLINK("https://klasma.github.io/Logging_2283/klagomål/A 27910-2024 FSC-klagomål.docx", "A 27910-2024")</f>
        <v/>
      </c>
      <c r="W436">
        <f>HYPERLINK("https://klasma.github.io/Logging_2283/klagomålsmail/A 27910-2024 FSC-klagomål mail.docx", "A 27910-2024")</f>
        <v/>
      </c>
      <c r="X436">
        <f>HYPERLINK("https://klasma.github.io/Logging_2283/tillsyn/A 27910-2024 tillsynsbegäran.docx", "A 27910-2024")</f>
        <v/>
      </c>
      <c r="Y436">
        <f>HYPERLINK("https://klasma.github.io/Logging_2283/tillsynsmail/A 27910-2024 tillsynsbegäran mail.docx", "A 27910-2024")</f>
        <v/>
      </c>
    </row>
    <row r="437" ht="15" customHeight="1">
      <c r="A437" t="inlineStr">
        <is>
          <t>A 57391-2025</t>
        </is>
      </c>
      <c r="B437" s="1" t="n">
        <v>45980.42244212963</v>
      </c>
      <c r="C437" s="1" t="n">
        <v>46093</v>
      </c>
      <c r="D437" t="inlineStr">
        <is>
          <t>VÄSTERNORRLANDS LÄN</t>
        </is>
      </c>
      <c r="E437" t="inlineStr">
        <is>
          <t>SUNDSVALL</t>
        </is>
      </c>
      <c r="G437" t="n">
        <v>4</v>
      </c>
      <c r="H437" t="n">
        <v>1</v>
      </c>
      <c r="I437" t="n">
        <v>0</v>
      </c>
      <c r="J437" t="n">
        <v>3</v>
      </c>
      <c r="K437" t="n">
        <v>2</v>
      </c>
      <c r="L437" t="n">
        <v>0</v>
      </c>
      <c r="M437" t="n">
        <v>0</v>
      </c>
      <c r="N437" t="n">
        <v>0</v>
      </c>
      <c r="O437" t="n">
        <v>5</v>
      </c>
      <c r="P437" t="n">
        <v>2</v>
      </c>
      <c r="Q437" t="n">
        <v>5</v>
      </c>
      <c r="R437" s="2" t="inlineStr">
        <is>
          <t>Laxporing
Rynkskinn
Rosenticka
Talltita
Ullticka</t>
        </is>
      </c>
      <c r="S437">
        <f>HYPERLINK("https://klasma.github.io/Logging_2281/artfynd/A 57391-2025 artfynd.xlsx", "A 57391-2025")</f>
        <v/>
      </c>
      <c r="T437">
        <f>HYPERLINK("https://klasma.github.io/Logging_2281/kartor/A 57391-2025 karta.png", "A 57391-2025")</f>
        <v/>
      </c>
      <c r="V437">
        <f>HYPERLINK("https://klasma.github.io/Logging_2281/klagomål/A 57391-2025 FSC-klagomål.docx", "A 57391-2025")</f>
        <v/>
      </c>
      <c r="W437">
        <f>HYPERLINK("https://klasma.github.io/Logging_2281/klagomålsmail/A 57391-2025 FSC-klagomål mail.docx", "A 57391-2025")</f>
        <v/>
      </c>
      <c r="X437">
        <f>HYPERLINK("https://klasma.github.io/Logging_2281/tillsyn/A 57391-2025 tillsynsbegäran.docx", "A 57391-2025")</f>
        <v/>
      </c>
      <c r="Y437">
        <f>HYPERLINK("https://klasma.github.io/Logging_2281/tillsynsmail/A 57391-2025 tillsynsbegäran mail.docx", "A 57391-2025")</f>
        <v/>
      </c>
      <c r="Z437">
        <f>HYPERLINK("https://klasma.github.io/Logging_2281/fåglar/A 57391-2025 prioriterade fågelarter.docx", "A 57391-2025")</f>
        <v/>
      </c>
    </row>
    <row r="438" ht="15" customHeight="1">
      <c r="A438" t="inlineStr">
        <is>
          <t>A 50231-2023</t>
        </is>
      </c>
      <c r="B438" s="1" t="n">
        <v>45215</v>
      </c>
      <c r="C438" s="1" t="n">
        <v>46093</v>
      </c>
      <c r="D438" t="inlineStr">
        <is>
          <t>VÄSTERNORRLANDS LÄN</t>
        </is>
      </c>
      <c r="E438" t="inlineStr">
        <is>
          <t>TIMRÅ</t>
        </is>
      </c>
      <c r="F438" t="inlineStr">
        <is>
          <t>SCA</t>
        </is>
      </c>
      <c r="G438" t="n">
        <v>1.6</v>
      </c>
      <c r="H438" t="n">
        <v>1</v>
      </c>
      <c r="I438" t="n">
        <v>2</v>
      </c>
      <c r="J438" t="n">
        <v>2</v>
      </c>
      <c r="K438" t="n">
        <v>0</v>
      </c>
      <c r="L438" t="n">
        <v>0</v>
      </c>
      <c r="M438" t="n">
        <v>0</v>
      </c>
      <c r="N438" t="n">
        <v>0</v>
      </c>
      <c r="O438" t="n">
        <v>2</v>
      </c>
      <c r="P438" t="n">
        <v>0</v>
      </c>
      <c r="Q438" t="n">
        <v>5</v>
      </c>
      <c r="R438" s="2" t="inlineStr">
        <is>
          <t>Orange taggsvamp
Ullticka
Strutbräken
Stuplav
Revlummer</t>
        </is>
      </c>
      <c r="S438">
        <f>HYPERLINK("https://klasma.github.io/Logging_2262/artfynd/A 50231-2023 artfynd.xlsx", "A 50231-2023")</f>
        <v/>
      </c>
      <c r="T438">
        <f>HYPERLINK("https://klasma.github.io/Logging_2262/kartor/A 50231-2023 karta.png", "A 50231-2023")</f>
        <v/>
      </c>
      <c r="U438">
        <f>HYPERLINK("https://klasma.github.io/Logging_2262/knärot/A 50231-2023 karta knärot.png", "A 50231-2023")</f>
        <v/>
      </c>
      <c r="V438">
        <f>HYPERLINK("https://klasma.github.io/Logging_2262/klagomål/A 50231-2023 FSC-klagomål.docx", "A 50231-2023")</f>
        <v/>
      </c>
      <c r="W438">
        <f>HYPERLINK("https://klasma.github.io/Logging_2262/klagomålsmail/A 50231-2023 FSC-klagomål mail.docx", "A 50231-2023")</f>
        <v/>
      </c>
      <c r="X438">
        <f>HYPERLINK("https://klasma.github.io/Logging_2262/tillsyn/A 50231-2023 tillsynsbegäran.docx", "A 50231-2023")</f>
        <v/>
      </c>
      <c r="Y438">
        <f>HYPERLINK("https://klasma.github.io/Logging_2262/tillsynsmail/A 50231-2023 tillsynsbegäran mail.docx", "A 50231-2023")</f>
        <v/>
      </c>
    </row>
    <row r="439" ht="15" customHeight="1">
      <c r="A439" t="inlineStr">
        <is>
          <t>A 58362-2025</t>
        </is>
      </c>
      <c r="B439" s="1" t="n">
        <v>45982</v>
      </c>
      <c r="C439" s="1" t="n">
        <v>46093</v>
      </c>
      <c r="D439" t="inlineStr">
        <is>
          <t>VÄSTERNORRLANDS LÄN</t>
        </is>
      </c>
      <c r="E439" t="inlineStr">
        <is>
          <t>SOLLEFTEÅ</t>
        </is>
      </c>
      <c r="G439" t="n">
        <v>11.3</v>
      </c>
      <c r="H439" t="n">
        <v>2</v>
      </c>
      <c r="I439" t="n">
        <v>3</v>
      </c>
      <c r="J439" t="n">
        <v>1</v>
      </c>
      <c r="K439" t="n">
        <v>0</v>
      </c>
      <c r="L439" t="n">
        <v>0</v>
      </c>
      <c r="M439" t="n">
        <v>0</v>
      </c>
      <c r="N439" t="n">
        <v>0</v>
      </c>
      <c r="O439" t="n">
        <v>1</v>
      </c>
      <c r="P439" t="n">
        <v>0</v>
      </c>
      <c r="Q439" t="n">
        <v>5</v>
      </c>
      <c r="R439" s="2" t="inlineStr">
        <is>
          <t>Lunglav
Bårdlav
Spindelblomster
Stuplav
Fläcknycklar</t>
        </is>
      </c>
      <c r="S439">
        <f>HYPERLINK("https://klasma.github.io/Logging_2283/artfynd/A 58362-2025 artfynd.xlsx", "A 58362-2025")</f>
        <v/>
      </c>
      <c r="T439">
        <f>HYPERLINK("https://klasma.github.io/Logging_2283/kartor/A 58362-2025 karta.png", "A 58362-2025")</f>
        <v/>
      </c>
      <c r="V439">
        <f>HYPERLINK("https://klasma.github.io/Logging_2283/klagomål/A 58362-2025 FSC-klagomål.docx", "A 58362-2025")</f>
        <v/>
      </c>
      <c r="W439">
        <f>HYPERLINK("https://klasma.github.io/Logging_2283/klagomålsmail/A 58362-2025 FSC-klagomål mail.docx", "A 58362-2025")</f>
        <v/>
      </c>
      <c r="X439">
        <f>HYPERLINK("https://klasma.github.io/Logging_2283/tillsyn/A 58362-2025 tillsynsbegäran.docx", "A 58362-2025")</f>
        <v/>
      </c>
      <c r="Y439">
        <f>HYPERLINK("https://klasma.github.io/Logging_2283/tillsynsmail/A 58362-2025 tillsynsbegäran mail.docx", "A 58362-2025")</f>
        <v/>
      </c>
    </row>
    <row r="440" ht="15" customHeight="1">
      <c r="A440" t="inlineStr">
        <is>
          <t>A 4878-2025</t>
        </is>
      </c>
      <c r="B440" s="1" t="n">
        <v>45688</v>
      </c>
      <c r="C440" s="1" t="n">
        <v>46093</v>
      </c>
      <c r="D440" t="inlineStr">
        <is>
          <t>VÄSTERNORRLANDS LÄN</t>
        </is>
      </c>
      <c r="E440" t="inlineStr">
        <is>
          <t>SUNDSVALL</t>
        </is>
      </c>
      <c r="F440" t="inlineStr">
        <is>
          <t>SCA</t>
        </is>
      </c>
      <c r="G440" t="n">
        <v>4.2</v>
      </c>
      <c r="H440" t="n">
        <v>3</v>
      </c>
      <c r="I440" t="n">
        <v>1</v>
      </c>
      <c r="J440" t="n">
        <v>3</v>
      </c>
      <c r="K440" t="n">
        <v>1</v>
      </c>
      <c r="L440" t="n">
        <v>0</v>
      </c>
      <c r="M440" t="n">
        <v>0</v>
      </c>
      <c r="N440" t="n">
        <v>0</v>
      </c>
      <c r="O440" t="n">
        <v>4</v>
      </c>
      <c r="P440" t="n">
        <v>1</v>
      </c>
      <c r="Q440" t="n">
        <v>5</v>
      </c>
      <c r="R440" s="2" t="inlineStr">
        <is>
          <t>Knärot
Doftskinn
Talltita
Tretåig hackspett
Vedticka</t>
        </is>
      </c>
      <c r="S440">
        <f>HYPERLINK("https://klasma.github.io/Logging_2281/artfynd/A 4878-2025 artfynd.xlsx", "A 4878-2025")</f>
        <v/>
      </c>
      <c r="T440">
        <f>HYPERLINK("https://klasma.github.io/Logging_2281/kartor/A 4878-2025 karta.png", "A 4878-2025")</f>
        <v/>
      </c>
      <c r="U440">
        <f>HYPERLINK("https://klasma.github.io/Logging_2281/knärot/A 4878-2025 karta knärot.png", "A 4878-2025")</f>
        <v/>
      </c>
      <c r="V440">
        <f>HYPERLINK("https://klasma.github.io/Logging_2281/klagomål/A 4878-2025 FSC-klagomål.docx", "A 4878-2025")</f>
        <v/>
      </c>
      <c r="W440">
        <f>HYPERLINK("https://klasma.github.io/Logging_2281/klagomålsmail/A 4878-2025 FSC-klagomål mail.docx", "A 4878-2025")</f>
        <v/>
      </c>
      <c r="X440">
        <f>HYPERLINK("https://klasma.github.io/Logging_2281/tillsyn/A 4878-2025 tillsynsbegäran.docx", "A 4878-2025")</f>
        <v/>
      </c>
      <c r="Y440">
        <f>HYPERLINK("https://klasma.github.io/Logging_2281/tillsynsmail/A 4878-2025 tillsynsbegäran mail.docx", "A 4878-2025")</f>
        <v/>
      </c>
      <c r="Z440">
        <f>HYPERLINK("https://klasma.github.io/Logging_2281/fåglar/A 4878-2025 prioriterade fågelarter.docx", "A 4878-2025")</f>
        <v/>
      </c>
    </row>
    <row r="441" ht="15" customHeight="1">
      <c r="A441" t="inlineStr">
        <is>
          <t>A 57864-2025</t>
        </is>
      </c>
      <c r="B441" s="1" t="n">
        <v>45981</v>
      </c>
      <c r="C441" s="1" t="n">
        <v>46093</v>
      </c>
      <c r="D441" t="inlineStr">
        <is>
          <t>VÄSTERNORRLANDS LÄN</t>
        </is>
      </c>
      <c r="E441" t="inlineStr">
        <is>
          <t>SUNDSVALL</t>
        </is>
      </c>
      <c r="G441" t="n">
        <v>1.9</v>
      </c>
      <c r="H441" t="n">
        <v>2</v>
      </c>
      <c r="I441" t="n">
        <v>2</v>
      </c>
      <c r="J441" t="n">
        <v>2</v>
      </c>
      <c r="K441" t="n">
        <v>1</v>
      </c>
      <c r="L441" t="n">
        <v>0</v>
      </c>
      <c r="M441" t="n">
        <v>0</v>
      </c>
      <c r="N441" t="n">
        <v>0</v>
      </c>
      <c r="O441" t="n">
        <v>3</v>
      </c>
      <c r="P441" t="n">
        <v>1</v>
      </c>
      <c r="Q441" t="n">
        <v>5</v>
      </c>
      <c r="R441" s="2" t="inlineStr">
        <is>
          <t>Knärot
Tretåig hackspett
Ullticka
Korallblylav
Vedticka</t>
        </is>
      </c>
      <c r="S441">
        <f>HYPERLINK("https://klasma.github.io/Logging_2281/artfynd/A 57864-2025 artfynd.xlsx", "A 57864-2025")</f>
        <v/>
      </c>
      <c r="T441">
        <f>HYPERLINK("https://klasma.github.io/Logging_2281/kartor/A 57864-2025 karta.png", "A 57864-2025")</f>
        <v/>
      </c>
      <c r="U441">
        <f>HYPERLINK("https://klasma.github.io/Logging_2281/knärot/A 57864-2025 karta knärot.png", "A 57864-2025")</f>
        <v/>
      </c>
      <c r="V441">
        <f>HYPERLINK("https://klasma.github.io/Logging_2281/klagomål/A 57864-2025 FSC-klagomål.docx", "A 57864-2025")</f>
        <v/>
      </c>
      <c r="W441">
        <f>HYPERLINK("https://klasma.github.io/Logging_2281/klagomålsmail/A 57864-2025 FSC-klagomål mail.docx", "A 57864-2025")</f>
        <v/>
      </c>
      <c r="X441">
        <f>HYPERLINK("https://klasma.github.io/Logging_2281/tillsyn/A 57864-2025 tillsynsbegäran.docx", "A 57864-2025")</f>
        <v/>
      </c>
      <c r="Y441">
        <f>HYPERLINK("https://klasma.github.io/Logging_2281/tillsynsmail/A 57864-2025 tillsynsbegäran mail.docx", "A 57864-2025")</f>
        <v/>
      </c>
      <c r="Z441">
        <f>HYPERLINK("https://klasma.github.io/Logging_2281/fåglar/A 57864-2025 prioriterade fågelarter.docx", "A 57864-2025")</f>
        <v/>
      </c>
    </row>
    <row r="442" ht="15" customHeight="1">
      <c r="A442" t="inlineStr">
        <is>
          <t>A 13696-2023</t>
        </is>
      </c>
      <c r="B442" s="1" t="n">
        <v>45006</v>
      </c>
      <c r="C442" s="1" t="n">
        <v>46093</v>
      </c>
      <c r="D442" t="inlineStr">
        <is>
          <t>VÄSTERNORRLANDS LÄN</t>
        </is>
      </c>
      <c r="E442" t="inlineStr">
        <is>
          <t>ÅNGE</t>
        </is>
      </c>
      <c r="F442" t="inlineStr">
        <is>
          <t>SCA</t>
        </is>
      </c>
      <c r="G442" t="n">
        <v>47.6</v>
      </c>
      <c r="H442" t="n">
        <v>1</v>
      </c>
      <c r="I442" t="n">
        <v>0</v>
      </c>
      <c r="J442" t="n">
        <v>4</v>
      </c>
      <c r="K442" t="n">
        <v>1</v>
      </c>
      <c r="L442" t="n">
        <v>0</v>
      </c>
      <c r="M442" t="n">
        <v>0</v>
      </c>
      <c r="N442" t="n">
        <v>0</v>
      </c>
      <c r="O442" t="n">
        <v>5</v>
      </c>
      <c r="P442" t="n">
        <v>1</v>
      </c>
      <c r="Q442" t="n">
        <v>5</v>
      </c>
      <c r="R442" s="2" t="inlineStr">
        <is>
          <t>Knärot
Dvärgbägarlav
Knottrig blåslav
Mörk kolflarnlav
Nordtagging</t>
        </is>
      </c>
      <c r="S442">
        <f>HYPERLINK("https://klasma.github.io/Logging_2260/artfynd/A 13696-2023 artfynd.xlsx", "A 13696-2023")</f>
        <v/>
      </c>
      <c r="T442">
        <f>HYPERLINK("https://klasma.github.io/Logging_2260/kartor/A 13696-2023 karta.png", "A 13696-2023")</f>
        <v/>
      </c>
      <c r="U442">
        <f>HYPERLINK("https://klasma.github.io/Logging_2260/knärot/A 13696-2023 karta knärot.png", "A 13696-2023")</f>
        <v/>
      </c>
      <c r="V442">
        <f>HYPERLINK("https://klasma.github.io/Logging_2260/klagomål/A 13696-2023 FSC-klagomål.docx", "A 13696-2023")</f>
        <v/>
      </c>
      <c r="W442">
        <f>HYPERLINK("https://klasma.github.io/Logging_2260/klagomålsmail/A 13696-2023 FSC-klagomål mail.docx", "A 13696-2023")</f>
        <v/>
      </c>
      <c r="X442">
        <f>HYPERLINK("https://klasma.github.io/Logging_2260/tillsyn/A 13696-2023 tillsynsbegäran.docx", "A 13696-2023")</f>
        <v/>
      </c>
      <c r="Y442">
        <f>HYPERLINK("https://klasma.github.io/Logging_2260/tillsynsmail/A 13696-2023 tillsynsbegäran mail.docx", "A 13696-2023")</f>
        <v/>
      </c>
    </row>
    <row r="443" ht="15" customHeight="1">
      <c r="A443" t="inlineStr">
        <is>
          <t>A 57655-2023</t>
        </is>
      </c>
      <c r="B443" s="1" t="n">
        <v>45246</v>
      </c>
      <c r="C443" s="1" t="n">
        <v>46093</v>
      </c>
      <c r="D443" t="inlineStr">
        <is>
          <t>VÄSTERNORRLANDS LÄN</t>
        </is>
      </c>
      <c r="E443" t="inlineStr">
        <is>
          <t>SOLLEFTEÅ</t>
        </is>
      </c>
      <c r="G443" t="n">
        <v>5.1</v>
      </c>
      <c r="H443" t="n">
        <v>0</v>
      </c>
      <c r="I443" t="n">
        <v>4</v>
      </c>
      <c r="J443" t="n">
        <v>1</v>
      </c>
      <c r="K443" t="n">
        <v>0</v>
      </c>
      <c r="L443" t="n">
        <v>0</v>
      </c>
      <c r="M443" t="n">
        <v>0</v>
      </c>
      <c r="N443" t="n">
        <v>0</v>
      </c>
      <c r="O443" t="n">
        <v>1</v>
      </c>
      <c r="P443" t="n">
        <v>0</v>
      </c>
      <c r="Q443" t="n">
        <v>5</v>
      </c>
      <c r="R443" s="2" t="inlineStr">
        <is>
          <t>Lunglav
Bårdlav
Luddlav
Norrlandslav
Stuplav</t>
        </is>
      </c>
      <c r="S443">
        <f>HYPERLINK("https://klasma.github.io/Logging_2283/artfynd/A 57655-2023 artfynd.xlsx", "A 57655-2023")</f>
        <v/>
      </c>
      <c r="T443">
        <f>HYPERLINK("https://klasma.github.io/Logging_2283/kartor/A 57655-2023 karta.png", "A 57655-2023")</f>
        <v/>
      </c>
      <c r="V443">
        <f>HYPERLINK("https://klasma.github.io/Logging_2283/klagomål/A 57655-2023 FSC-klagomål.docx", "A 57655-2023")</f>
        <v/>
      </c>
      <c r="W443">
        <f>HYPERLINK("https://klasma.github.io/Logging_2283/klagomålsmail/A 57655-2023 FSC-klagomål mail.docx", "A 57655-2023")</f>
        <v/>
      </c>
      <c r="X443">
        <f>HYPERLINK("https://klasma.github.io/Logging_2283/tillsyn/A 57655-2023 tillsynsbegäran.docx", "A 57655-2023")</f>
        <v/>
      </c>
      <c r="Y443">
        <f>HYPERLINK("https://klasma.github.io/Logging_2283/tillsynsmail/A 57655-2023 tillsynsbegäran mail.docx", "A 57655-2023")</f>
        <v/>
      </c>
    </row>
    <row r="444" ht="15" customHeight="1">
      <c r="A444" t="inlineStr">
        <is>
          <t>A 55854-2022</t>
        </is>
      </c>
      <c r="B444" s="1" t="n">
        <v>44886</v>
      </c>
      <c r="C444" s="1" t="n">
        <v>46093</v>
      </c>
      <c r="D444" t="inlineStr">
        <is>
          <t>VÄSTERNORRLANDS LÄN</t>
        </is>
      </c>
      <c r="E444" t="inlineStr">
        <is>
          <t>SUNDSVALL</t>
        </is>
      </c>
      <c r="G444" t="n">
        <v>3.8</v>
      </c>
      <c r="H444" t="n">
        <v>2</v>
      </c>
      <c r="I444" t="n">
        <v>0</v>
      </c>
      <c r="J444" t="n">
        <v>2</v>
      </c>
      <c r="K444" t="n">
        <v>1</v>
      </c>
      <c r="L444" t="n">
        <v>0</v>
      </c>
      <c r="M444" t="n">
        <v>0</v>
      </c>
      <c r="N444" t="n">
        <v>0</v>
      </c>
      <c r="O444" t="n">
        <v>3</v>
      </c>
      <c r="P444" t="n">
        <v>1</v>
      </c>
      <c r="Q444" t="n">
        <v>5</v>
      </c>
      <c r="R444" s="2" t="inlineStr">
        <is>
          <t>Sanddraba
Sminkrot
Vårstarr
Pärluggla
Gullviva</t>
        </is>
      </c>
      <c r="S444">
        <f>HYPERLINK("https://klasma.github.io/Logging_2281/artfynd/A 55854-2022 artfynd.xlsx", "A 55854-2022")</f>
        <v/>
      </c>
      <c r="T444">
        <f>HYPERLINK("https://klasma.github.io/Logging_2281/kartor/A 55854-2022 karta.png", "A 55854-2022")</f>
        <v/>
      </c>
      <c r="V444">
        <f>HYPERLINK("https://klasma.github.io/Logging_2281/klagomål/A 55854-2022 FSC-klagomål.docx", "A 55854-2022")</f>
        <v/>
      </c>
      <c r="W444">
        <f>HYPERLINK("https://klasma.github.io/Logging_2281/klagomålsmail/A 55854-2022 FSC-klagomål mail.docx", "A 55854-2022")</f>
        <v/>
      </c>
      <c r="X444">
        <f>HYPERLINK("https://klasma.github.io/Logging_2281/tillsyn/A 55854-2022 tillsynsbegäran.docx", "A 55854-2022")</f>
        <v/>
      </c>
      <c r="Y444">
        <f>HYPERLINK("https://klasma.github.io/Logging_2281/tillsynsmail/A 55854-2022 tillsynsbegäran mail.docx", "A 55854-2022")</f>
        <v/>
      </c>
      <c r="Z444">
        <f>HYPERLINK("https://klasma.github.io/Logging_2281/fåglar/A 55854-2022 prioriterade fågelarter.docx", "A 55854-2022")</f>
        <v/>
      </c>
    </row>
    <row r="445" ht="15" customHeight="1">
      <c r="A445" t="inlineStr">
        <is>
          <t>A 58293-2025</t>
        </is>
      </c>
      <c r="B445" s="1" t="n">
        <v>45985.44979166667</v>
      </c>
      <c r="C445" s="1" t="n">
        <v>46093</v>
      </c>
      <c r="D445" t="inlineStr">
        <is>
          <t>VÄSTERNORRLANDS LÄN</t>
        </is>
      </c>
      <c r="E445" t="inlineStr">
        <is>
          <t>ÖRNSKÖLDSVIK</t>
        </is>
      </c>
      <c r="F445" t="inlineStr">
        <is>
          <t>Holmen skog AB</t>
        </is>
      </c>
      <c r="G445" t="n">
        <v>1.3</v>
      </c>
      <c r="H445" t="n">
        <v>0</v>
      </c>
      <c r="I445" t="n">
        <v>1</v>
      </c>
      <c r="J445" t="n">
        <v>3</v>
      </c>
      <c r="K445" t="n">
        <v>1</v>
      </c>
      <c r="L445" t="n">
        <v>0</v>
      </c>
      <c r="M445" t="n">
        <v>0</v>
      </c>
      <c r="N445" t="n">
        <v>0</v>
      </c>
      <c r="O445" t="n">
        <v>4</v>
      </c>
      <c r="P445" t="n">
        <v>1</v>
      </c>
      <c r="Q445" t="n">
        <v>5</v>
      </c>
      <c r="R445" s="2" t="inlineStr">
        <is>
          <t>Goliatmusseron
Orange taggsvamp
Tallriska
Vedskivlav
Skarp dropptaggsvamp</t>
        </is>
      </c>
      <c r="S445">
        <f>HYPERLINK("https://klasma.github.io/Logging_2284/artfynd/A 58293-2025 artfynd.xlsx", "A 58293-2025")</f>
        <v/>
      </c>
      <c r="T445">
        <f>HYPERLINK("https://klasma.github.io/Logging_2284/kartor/A 58293-2025 karta.png", "A 58293-2025")</f>
        <v/>
      </c>
      <c r="V445">
        <f>HYPERLINK("https://klasma.github.io/Logging_2284/klagomål/A 58293-2025 FSC-klagomål.docx", "A 58293-2025")</f>
        <v/>
      </c>
      <c r="W445">
        <f>HYPERLINK("https://klasma.github.io/Logging_2284/klagomålsmail/A 58293-2025 FSC-klagomål mail.docx", "A 58293-2025")</f>
        <v/>
      </c>
      <c r="X445">
        <f>HYPERLINK("https://klasma.github.io/Logging_2284/tillsyn/A 58293-2025 tillsynsbegäran.docx", "A 58293-2025")</f>
        <v/>
      </c>
      <c r="Y445">
        <f>HYPERLINK("https://klasma.github.io/Logging_2284/tillsynsmail/A 58293-2025 tillsynsbegäran mail.docx", "A 58293-2025")</f>
        <v/>
      </c>
    </row>
    <row r="446" ht="15" customHeight="1">
      <c r="A446" t="inlineStr">
        <is>
          <t>A 27675-2023</t>
        </is>
      </c>
      <c r="B446" s="1" t="n">
        <v>45097</v>
      </c>
      <c r="C446" s="1" t="n">
        <v>46093</v>
      </c>
      <c r="D446" t="inlineStr">
        <is>
          <t>VÄSTERNORRLANDS LÄN</t>
        </is>
      </c>
      <c r="E446" t="inlineStr">
        <is>
          <t>SOLLEFTEÅ</t>
        </is>
      </c>
      <c r="G446" t="n">
        <v>4.7</v>
      </c>
      <c r="H446" t="n">
        <v>1</v>
      </c>
      <c r="I446" t="n">
        <v>1</v>
      </c>
      <c r="J446" t="n">
        <v>3</v>
      </c>
      <c r="K446" t="n">
        <v>1</v>
      </c>
      <c r="L446" t="n">
        <v>0</v>
      </c>
      <c r="M446" t="n">
        <v>0</v>
      </c>
      <c r="N446" t="n">
        <v>0</v>
      </c>
      <c r="O446" t="n">
        <v>4</v>
      </c>
      <c r="P446" t="n">
        <v>1</v>
      </c>
      <c r="Q446" t="n">
        <v>5</v>
      </c>
      <c r="R446" s="2" t="inlineStr">
        <is>
          <t>Knärot
Garnlav
Lunglav
Ullticka
Stuplav</t>
        </is>
      </c>
      <c r="S446">
        <f>HYPERLINK("https://klasma.github.io/Logging_2283/artfynd/A 27675-2023 artfynd.xlsx", "A 27675-2023")</f>
        <v/>
      </c>
      <c r="T446">
        <f>HYPERLINK("https://klasma.github.io/Logging_2283/kartor/A 27675-2023 karta.png", "A 27675-2023")</f>
        <v/>
      </c>
      <c r="U446">
        <f>HYPERLINK("https://klasma.github.io/Logging_2283/knärot/A 27675-2023 karta knärot.png", "A 27675-2023")</f>
        <v/>
      </c>
      <c r="V446">
        <f>HYPERLINK("https://klasma.github.io/Logging_2283/klagomål/A 27675-2023 FSC-klagomål.docx", "A 27675-2023")</f>
        <v/>
      </c>
      <c r="W446">
        <f>HYPERLINK("https://klasma.github.io/Logging_2283/klagomålsmail/A 27675-2023 FSC-klagomål mail.docx", "A 27675-2023")</f>
        <v/>
      </c>
      <c r="X446">
        <f>HYPERLINK("https://klasma.github.io/Logging_2283/tillsyn/A 27675-2023 tillsynsbegäran.docx", "A 27675-2023")</f>
        <v/>
      </c>
      <c r="Y446">
        <f>HYPERLINK("https://klasma.github.io/Logging_2283/tillsynsmail/A 27675-2023 tillsynsbegäran mail.docx", "A 27675-2023")</f>
        <v/>
      </c>
    </row>
    <row r="447" ht="15" customHeight="1">
      <c r="A447" t="inlineStr">
        <is>
          <t>A 59971-2025</t>
        </is>
      </c>
      <c r="B447" s="1" t="n">
        <v>45993.49002314815</v>
      </c>
      <c r="C447" s="1" t="n">
        <v>46093</v>
      </c>
      <c r="D447" t="inlineStr">
        <is>
          <t>VÄSTERNORRLANDS LÄN</t>
        </is>
      </c>
      <c r="E447" t="inlineStr">
        <is>
          <t>ÅNGE</t>
        </is>
      </c>
      <c r="F447" t="inlineStr">
        <is>
          <t>SCA</t>
        </is>
      </c>
      <c r="G447" t="n">
        <v>2.4</v>
      </c>
      <c r="H447" t="n">
        <v>3</v>
      </c>
      <c r="I447" t="n">
        <v>1</v>
      </c>
      <c r="J447" t="n">
        <v>3</v>
      </c>
      <c r="K447" t="n">
        <v>0</v>
      </c>
      <c r="L447" t="n">
        <v>0</v>
      </c>
      <c r="M447" t="n">
        <v>0</v>
      </c>
      <c r="N447" t="n">
        <v>0</v>
      </c>
      <c r="O447" t="n">
        <v>3</v>
      </c>
      <c r="P447" t="n">
        <v>0</v>
      </c>
      <c r="Q447" t="n">
        <v>5</v>
      </c>
      <c r="R447" s="2" t="inlineStr">
        <is>
          <t>Motaggsvamp
Talltita
Tretåig hackspett
Dropptaggsvamp
Lavskrika</t>
        </is>
      </c>
      <c r="S447">
        <f>HYPERLINK("https://klasma.github.io/Logging_2260/artfynd/A 59971-2025 artfynd.xlsx", "A 59971-2025")</f>
        <v/>
      </c>
      <c r="T447">
        <f>HYPERLINK("https://klasma.github.io/Logging_2260/kartor/A 59971-2025 karta.png", "A 59971-2025")</f>
        <v/>
      </c>
      <c r="V447">
        <f>HYPERLINK("https://klasma.github.io/Logging_2260/klagomål/A 59971-2025 FSC-klagomål.docx", "A 59971-2025")</f>
        <v/>
      </c>
      <c r="W447">
        <f>HYPERLINK("https://klasma.github.io/Logging_2260/klagomålsmail/A 59971-2025 FSC-klagomål mail.docx", "A 59971-2025")</f>
        <v/>
      </c>
      <c r="X447">
        <f>HYPERLINK("https://klasma.github.io/Logging_2260/tillsyn/A 59971-2025 tillsynsbegäran.docx", "A 59971-2025")</f>
        <v/>
      </c>
      <c r="Y447">
        <f>HYPERLINK("https://klasma.github.io/Logging_2260/tillsynsmail/A 59971-2025 tillsynsbegäran mail.docx", "A 59971-2025")</f>
        <v/>
      </c>
      <c r="Z447">
        <f>HYPERLINK("https://klasma.github.io/Logging_2260/fåglar/A 59971-2025 prioriterade fågelarter.docx", "A 59971-2025")</f>
        <v/>
      </c>
    </row>
    <row r="448" ht="15" customHeight="1">
      <c r="A448" t="inlineStr">
        <is>
          <t>A 2451-2024</t>
        </is>
      </c>
      <c r="B448" s="1" t="n">
        <v>45312.58627314815</v>
      </c>
      <c r="C448" s="1" t="n">
        <v>46093</v>
      </c>
      <c r="D448" t="inlineStr">
        <is>
          <t>VÄSTERNORRLANDS LÄN</t>
        </is>
      </c>
      <c r="E448" t="inlineStr">
        <is>
          <t>ÅNGE</t>
        </is>
      </c>
      <c r="G448" t="n">
        <v>3.5</v>
      </c>
      <c r="H448" t="n">
        <v>0</v>
      </c>
      <c r="I448" t="n">
        <v>1</v>
      </c>
      <c r="J448" t="n">
        <v>4</v>
      </c>
      <c r="K448" t="n">
        <v>0</v>
      </c>
      <c r="L448" t="n">
        <v>0</v>
      </c>
      <c r="M448" t="n">
        <v>0</v>
      </c>
      <c r="N448" t="n">
        <v>0</v>
      </c>
      <c r="O448" t="n">
        <v>4</v>
      </c>
      <c r="P448" t="n">
        <v>0</v>
      </c>
      <c r="Q448" t="n">
        <v>5</v>
      </c>
      <c r="R448" s="2" t="inlineStr">
        <is>
          <t>Garnlav
Mörk kolflarnlav
Rosenticka
Ullticka
Dropptaggsvamp</t>
        </is>
      </c>
      <c r="S448">
        <f>HYPERLINK("https://klasma.github.io/Logging_2260/artfynd/A 2451-2024 artfynd.xlsx", "A 2451-2024")</f>
        <v/>
      </c>
      <c r="T448">
        <f>HYPERLINK("https://klasma.github.io/Logging_2260/kartor/A 2451-2024 karta.png", "A 2451-2024")</f>
        <v/>
      </c>
      <c r="V448">
        <f>HYPERLINK("https://klasma.github.io/Logging_2260/klagomål/A 2451-2024 FSC-klagomål.docx", "A 2451-2024")</f>
        <v/>
      </c>
      <c r="W448">
        <f>HYPERLINK("https://klasma.github.io/Logging_2260/klagomålsmail/A 2451-2024 FSC-klagomål mail.docx", "A 2451-2024")</f>
        <v/>
      </c>
      <c r="X448">
        <f>HYPERLINK("https://klasma.github.io/Logging_2260/tillsyn/A 2451-2024 tillsynsbegäran.docx", "A 2451-2024")</f>
        <v/>
      </c>
      <c r="Y448">
        <f>HYPERLINK("https://klasma.github.io/Logging_2260/tillsynsmail/A 2451-2024 tillsynsbegäran mail.docx", "A 2451-2024")</f>
        <v/>
      </c>
    </row>
    <row r="449" ht="15" customHeight="1">
      <c r="A449" t="inlineStr">
        <is>
          <t>A 16943-2025</t>
        </is>
      </c>
      <c r="B449" s="1" t="n">
        <v>45755.42534722222</v>
      </c>
      <c r="C449" s="1" t="n">
        <v>46093</v>
      </c>
      <c r="D449" t="inlineStr">
        <is>
          <t>VÄSTERNORRLANDS LÄN</t>
        </is>
      </c>
      <c r="E449" t="inlineStr">
        <is>
          <t>SUNDSVALL</t>
        </is>
      </c>
      <c r="G449" t="n">
        <v>5.7</v>
      </c>
      <c r="H449" t="n">
        <v>3</v>
      </c>
      <c r="I449" t="n">
        <v>0</v>
      </c>
      <c r="J449" t="n">
        <v>3</v>
      </c>
      <c r="K449" t="n">
        <v>0</v>
      </c>
      <c r="L449" t="n">
        <v>0</v>
      </c>
      <c r="M449" t="n">
        <v>0</v>
      </c>
      <c r="N449" t="n">
        <v>0</v>
      </c>
      <c r="O449" t="n">
        <v>3</v>
      </c>
      <c r="P449" t="n">
        <v>0</v>
      </c>
      <c r="Q449" t="n">
        <v>5</v>
      </c>
      <c r="R449" s="2" t="inlineStr">
        <is>
          <t>Garnlav
Tretåig hackspett
Ullticka
Tjäder
Blåsippa</t>
        </is>
      </c>
      <c r="S449">
        <f>HYPERLINK("https://klasma.github.io/Logging_2281/artfynd/A 16943-2025 artfynd.xlsx", "A 16943-2025")</f>
        <v/>
      </c>
      <c r="T449">
        <f>HYPERLINK("https://klasma.github.io/Logging_2281/kartor/A 16943-2025 karta.png", "A 16943-2025")</f>
        <v/>
      </c>
      <c r="V449">
        <f>HYPERLINK("https://klasma.github.io/Logging_2281/klagomål/A 16943-2025 FSC-klagomål.docx", "A 16943-2025")</f>
        <v/>
      </c>
      <c r="W449">
        <f>HYPERLINK("https://klasma.github.io/Logging_2281/klagomålsmail/A 16943-2025 FSC-klagomål mail.docx", "A 16943-2025")</f>
        <v/>
      </c>
      <c r="X449">
        <f>HYPERLINK("https://klasma.github.io/Logging_2281/tillsyn/A 16943-2025 tillsynsbegäran.docx", "A 16943-2025")</f>
        <v/>
      </c>
      <c r="Y449">
        <f>HYPERLINK("https://klasma.github.io/Logging_2281/tillsynsmail/A 16943-2025 tillsynsbegäran mail.docx", "A 16943-2025")</f>
        <v/>
      </c>
      <c r="Z449">
        <f>HYPERLINK("https://klasma.github.io/Logging_2281/fåglar/A 16943-2025 prioriterade fågelarter.docx", "A 16943-2025")</f>
        <v/>
      </c>
    </row>
    <row r="450" ht="15" customHeight="1">
      <c r="A450" t="inlineStr">
        <is>
          <t>A 62584-2023</t>
        </is>
      </c>
      <c r="B450" s="1" t="n">
        <v>45270</v>
      </c>
      <c r="C450" s="1" t="n">
        <v>46093</v>
      </c>
      <c r="D450" t="inlineStr">
        <is>
          <t>VÄSTERNORRLANDS LÄN</t>
        </is>
      </c>
      <c r="E450" t="inlineStr">
        <is>
          <t>ÖRNSKÖLDSVIK</t>
        </is>
      </c>
      <c r="G450" t="n">
        <v>9.9</v>
      </c>
      <c r="H450" t="n">
        <v>4</v>
      </c>
      <c r="I450" t="n">
        <v>0</v>
      </c>
      <c r="J450" t="n">
        <v>1</v>
      </c>
      <c r="K450" t="n">
        <v>1</v>
      </c>
      <c r="L450" t="n">
        <v>0</v>
      </c>
      <c r="M450" t="n">
        <v>0</v>
      </c>
      <c r="N450" t="n">
        <v>0</v>
      </c>
      <c r="O450" t="n">
        <v>2</v>
      </c>
      <c r="P450" t="n">
        <v>1</v>
      </c>
      <c r="Q450" t="n">
        <v>5</v>
      </c>
      <c r="R450" s="2" t="inlineStr">
        <is>
          <t>Knärot
Ullticka
Tjäder
Fläcknycklar
Revlummer</t>
        </is>
      </c>
      <c r="S450">
        <f>HYPERLINK("https://klasma.github.io/Logging_2284/artfynd/A 62584-2023 artfynd.xlsx", "A 62584-2023")</f>
        <v/>
      </c>
      <c r="T450">
        <f>HYPERLINK("https://klasma.github.io/Logging_2284/kartor/A 62584-2023 karta.png", "A 62584-2023")</f>
        <v/>
      </c>
      <c r="U450">
        <f>HYPERLINK("https://klasma.github.io/Logging_2284/knärot/A 62584-2023 karta knärot.png", "A 62584-2023")</f>
        <v/>
      </c>
      <c r="V450">
        <f>HYPERLINK("https://klasma.github.io/Logging_2284/klagomål/A 62584-2023 FSC-klagomål.docx", "A 62584-2023")</f>
        <v/>
      </c>
      <c r="W450">
        <f>HYPERLINK("https://klasma.github.io/Logging_2284/klagomålsmail/A 62584-2023 FSC-klagomål mail.docx", "A 62584-2023")</f>
        <v/>
      </c>
      <c r="X450">
        <f>HYPERLINK("https://klasma.github.io/Logging_2284/tillsyn/A 62584-2023 tillsynsbegäran.docx", "A 62584-2023")</f>
        <v/>
      </c>
      <c r="Y450">
        <f>HYPERLINK("https://klasma.github.io/Logging_2284/tillsynsmail/A 62584-2023 tillsynsbegäran mail.docx", "A 62584-2023")</f>
        <v/>
      </c>
      <c r="Z450">
        <f>HYPERLINK("https://klasma.github.io/Logging_2284/fåglar/A 62584-2023 prioriterade fågelarter.docx", "A 62584-2023")</f>
        <v/>
      </c>
    </row>
    <row r="451" ht="15" customHeight="1">
      <c r="A451" t="inlineStr">
        <is>
          <t>A 63343-2025</t>
        </is>
      </c>
      <c r="B451" s="1" t="n">
        <v>46010.65679398148</v>
      </c>
      <c r="C451" s="1" t="n">
        <v>46093</v>
      </c>
      <c r="D451" t="inlineStr">
        <is>
          <t>VÄSTERNORRLANDS LÄN</t>
        </is>
      </c>
      <c r="E451" t="inlineStr">
        <is>
          <t>ÖRNSKÖLDSVIK</t>
        </is>
      </c>
      <c r="F451" t="inlineStr">
        <is>
          <t>SCA</t>
        </is>
      </c>
      <c r="G451" t="n">
        <v>4.5</v>
      </c>
      <c r="H451" t="n">
        <v>1</v>
      </c>
      <c r="I451" t="n">
        <v>1</v>
      </c>
      <c r="J451" t="n">
        <v>3</v>
      </c>
      <c r="K451" t="n">
        <v>1</v>
      </c>
      <c r="L451" t="n">
        <v>0</v>
      </c>
      <c r="M451" t="n">
        <v>0</v>
      </c>
      <c r="N451" t="n">
        <v>0</v>
      </c>
      <c r="O451" t="n">
        <v>4</v>
      </c>
      <c r="P451" t="n">
        <v>1</v>
      </c>
      <c r="Q451" t="n">
        <v>5</v>
      </c>
      <c r="R451" s="2" t="inlineStr">
        <is>
          <t>Knärot
Garnlav
Gränsticka
Lunglav
Stuplav</t>
        </is>
      </c>
      <c r="S451">
        <f>HYPERLINK("https://klasma.github.io/Logging_2284/artfynd/A 63343-2025 artfynd.xlsx", "A 63343-2025")</f>
        <v/>
      </c>
      <c r="T451">
        <f>HYPERLINK("https://klasma.github.io/Logging_2284/kartor/A 63343-2025 karta.png", "A 63343-2025")</f>
        <v/>
      </c>
      <c r="U451">
        <f>HYPERLINK("https://klasma.github.io/Logging_2284/knärot/A 63343-2025 karta knärot.png", "A 63343-2025")</f>
        <v/>
      </c>
      <c r="V451">
        <f>HYPERLINK("https://klasma.github.io/Logging_2284/klagomål/A 63343-2025 FSC-klagomål.docx", "A 63343-2025")</f>
        <v/>
      </c>
      <c r="W451">
        <f>HYPERLINK("https://klasma.github.io/Logging_2284/klagomålsmail/A 63343-2025 FSC-klagomål mail.docx", "A 63343-2025")</f>
        <v/>
      </c>
      <c r="X451">
        <f>HYPERLINK("https://klasma.github.io/Logging_2284/tillsyn/A 63343-2025 tillsynsbegäran.docx", "A 63343-2025")</f>
        <v/>
      </c>
      <c r="Y451">
        <f>HYPERLINK("https://klasma.github.io/Logging_2284/tillsynsmail/A 63343-2025 tillsynsbegäran mail.docx", "A 63343-2025")</f>
        <v/>
      </c>
    </row>
    <row r="452" ht="15" customHeight="1">
      <c r="A452" t="inlineStr">
        <is>
          <t>A 48831-2024</t>
        </is>
      </c>
      <c r="B452" s="1" t="n">
        <v>45593.7190625</v>
      </c>
      <c r="C452" s="1" t="n">
        <v>46093</v>
      </c>
      <c r="D452" t="inlineStr">
        <is>
          <t>VÄSTERNORRLANDS LÄN</t>
        </is>
      </c>
      <c r="E452" t="inlineStr">
        <is>
          <t>HÄRNÖSAND</t>
        </is>
      </c>
      <c r="F452" t="inlineStr">
        <is>
          <t>SCA</t>
        </is>
      </c>
      <c r="G452" t="n">
        <v>7.4</v>
      </c>
      <c r="H452" t="n">
        <v>2</v>
      </c>
      <c r="I452" t="n">
        <v>1</v>
      </c>
      <c r="J452" t="n">
        <v>3</v>
      </c>
      <c r="K452" t="n">
        <v>0</v>
      </c>
      <c r="L452" t="n">
        <v>0</v>
      </c>
      <c r="M452" t="n">
        <v>0</v>
      </c>
      <c r="N452" t="n">
        <v>0</v>
      </c>
      <c r="O452" t="n">
        <v>3</v>
      </c>
      <c r="P452" t="n">
        <v>0</v>
      </c>
      <c r="Q452" t="n">
        <v>5</v>
      </c>
      <c r="R452" s="2" t="inlineStr">
        <is>
          <t>Garnlav
Lunglav
Ullticka
Tvåblad
Blåsippa</t>
        </is>
      </c>
      <c r="S452">
        <f>HYPERLINK("https://klasma.github.io/Logging_2280/artfynd/A 48831-2024 artfynd.xlsx", "A 48831-2024")</f>
        <v/>
      </c>
      <c r="T452">
        <f>HYPERLINK("https://klasma.github.io/Logging_2280/kartor/A 48831-2024 karta.png", "A 48831-2024")</f>
        <v/>
      </c>
      <c r="V452">
        <f>HYPERLINK("https://klasma.github.io/Logging_2280/klagomål/A 48831-2024 FSC-klagomål.docx", "A 48831-2024")</f>
        <v/>
      </c>
      <c r="W452">
        <f>HYPERLINK("https://klasma.github.io/Logging_2280/klagomålsmail/A 48831-2024 FSC-klagomål mail.docx", "A 48831-2024")</f>
        <v/>
      </c>
      <c r="X452">
        <f>HYPERLINK("https://klasma.github.io/Logging_2280/tillsyn/A 48831-2024 tillsynsbegäran.docx", "A 48831-2024")</f>
        <v/>
      </c>
      <c r="Y452">
        <f>HYPERLINK("https://klasma.github.io/Logging_2280/tillsynsmail/A 48831-2024 tillsynsbegäran mail.docx", "A 48831-2024")</f>
        <v/>
      </c>
    </row>
    <row r="453" ht="15" customHeight="1">
      <c r="A453" t="inlineStr">
        <is>
          <t>A 3958-2024</t>
        </is>
      </c>
      <c r="B453" s="1" t="n">
        <v>45322</v>
      </c>
      <c r="C453" s="1" t="n">
        <v>46093</v>
      </c>
      <c r="D453" t="inlineStr">
        <is>
          <t>VÄSTERNORRLANDS LÄN</t>
        </is>
      </c>
      <c r="E453" t="inlineStr">
        <is>
          <t>SUNDSVALL</t>
        </is>
      </c>
      <c r="G453" t="n">
        <v>7.2</v>
      </c>
      <c r="H453" t="n">
        <v>1</v>
      </c>
      <c r="I453" t="n">
        <v>0</v>
      </c>
      <c r="J453" t="n">
        <v>5</v>
      </c>
      <c r="K453" t="n">
        <v>0</v>
      </c>
      <c r="L453" t="n">
        <v>0</v>
      </c>
      <c r="M453" t="n">
        <v>0</v>
      </c>
      <c r="N453" t="n">
        <v>0</v>
      </c>
      <c r="O453" t="n">
        <v>5</v>
      </c>
      <c r="P453" t="n">
        <v>0</v>
      </c>
      <c r="Q453" t="n">
        <v>5</v>
      </c>
      <c r="R453" s="2" t="inlineStr">
        <is>
          <t>Garnlav
Granticka
Lunglav
Tretåig hackspett
Ullticka</t>
        </is>
      </c>
      <c r="S453">
        <f>HYPERLINK("https://klasma.github.io/Logging_2281/artfynd/A 3958-2024 artfynd.xlsx", "A 3958-2024")</f>
        <v/>
      </c>
      <c r="T453">
        <f>HYPERLINK("https://klasma.github.io/Logging_2281/kartor/A 3958-2024 karta.png", "A 3958-2024")</f>
        <v/>
      </c>
      <c r="V453">
        <f>HYPERLINK("https://klasma.github.io/Logging_2281/klagomål/A 3958-2024 FSC-klagomål.docx", "A 3958-2024")</f>
        <v/>
      </c>
      <c r="W453">
        <f>HYPERLINK("https://klasma.github.io/Logging_2281/klagomålsmail/A 3958-2024 FSC-klagomål mail.docx", "A 3958-2024")</f>
        <v/>
      </c>
      <c r="X453">
        <f>HYPERLINK("https://klasma.github.io/Logging_2281/tillsyn/A 3958-2024 tillsynsbegäran.docx", "A 3958-2024")</f>
        <v/>
      </c>
      <c r="Y453">
        <f>HYPERLINK("https://klasma.github.io/Logging_2281/tillsynsmail/A 3958-2024 tillsynsbegäran mail.docx", "A 3958-2024")</f>
        <v/>
      </c>
      <c r="Z453">
        <f>HYPERLINK("https://klasma.github.io/Logging_2281/fåglar/A 3958-2024 prioriterade fågelarter.docx", "A 3958-2024")</f>
        <v/>
      </c>
    </row>
    <row r="454" ht="15" customHeight="1">
      <c r="A454" t="inlineStr">
        <is>
          <t>A 30235-2022</t>
        </is>
      </c>
      <c r="B454" s="1" t="n">
        <v>44757</v>
      </c>
      <c r="C454" s="1" t="n">
        <v>46093</v>
      </c>
      <c r="D454" t="inlineStr">
        <is>
          <t>VÄSTERNORRLANDS LÄN</t>
        </is>
      </c>
      <c r="E454" t="inlineStr">
        <is>
          <t>SOLLEFTEÅ</t>
        </is>
      </c>
      <c r="F454" t="inlineStr">
        <is>
          <t>SCA</t>
        </is>
      </c>
      <c r="G454" t="n">
        <v>4.7</v>
      </c>
      <c r="H454" t="n">
        <v>3</v>
      </c>
      <c r="I454" t="n">
        <v>0</v>
      </c>
      <c r="J454" t="n">
        <v>3</v>
      </c>
      <c r="K454" t="n">
        <v>2</v>
      </c>
      <c r="L454" t="n">
        <v>0</v>
      </c>
      <c r="M454" t="n">
        <v>0</v>
      </c>
      <c r="N454" t="n">
        <v>0</v>
      </c>
      <c r="O454" t="n">
        <v>5</v>
      </c>
      <c r="P454" t="n">
        <v>2</v>
      </c>
      <c r="Q454" t="n">
        <v>5</v>
      </c>
      <c r="R454" s="2" t="inlineStr">
        <is>
          <t>Doftticka
Knärot
Lunglav
Skrovellav
Tretåig hackspett</t>
        </is>
      </c>
      <c r="S454">
        <f>HYPERLINK("https://klasma.github.io/Logging_2283/artfynd/A 30235-2022 artfynd.xlsx", "A 30235-2022")</f>
        <v/>
      </c>
      <c r="T454">
        <f>HYPERLINK("https://klasma.github.io/Logging_2283/kartor/A 30235-2022 karta.png", "A 30235-2022")</f>
        <v/>
      </c>
      <c r="U454">
        <f>HYPERLINK("https://klasma.github.io/Logging_2283/knärot/A 30235-2022 karta knärot.png", "A 30235-2022")</f>
        <v/>
      </c>
      <c r="V454">
        <f>HYPERLINK("https://klasma.github.io/Logging_2283/klagomål/A 30235-2022 FSC-klagomål.docx", "A 30235-2022")</f>
        <v/>
      </c>
      <c r="W454">
        <f>HYPERLINK("https://klasma.github.io/Logging_2283/klagomålsmail/A 30235-2022 FSC-klagomål mail.docx", "A 30235-2022")</f>
        <v/>
      </c>
      <c r="X454">
        <f>HYPERLINK("https://klasma.github.io/Logging_2283/tillsyn/A 30235-2022 tillsynsbegäran.docx", "A 30235-2022")</f>
        <v/>
      </c>
      <c r="Y454">
        <f>HYPERLINK("https://klasma.github.io/Logging_2283/tillsynsmail/A 30235-2022 tillsynsbegäran mail.docx", "A 30235-2022")</f>
        <v/>
      </c>
      <c r="Z454">
        <f>HYPERLINK("https://klasma.github.io/Logging_2283/fåglar/A 30235-2022 prioriterade fågelarter.docx", "A 30235-2022")</f>
        <v/>
      </c>
    </row>
    <row r="455" ht="15" customHeight="1">
      <c r="A455" t="inlineStr">
        <is>
          <t>A 20628-2025</t>
        </is>
      </c>
      <c r="B455" s="1" t="n">
        <v>45776</v>
      </c>
      <c r="C455" s="1" t="n">
        <v>46093</v>
      </c>
      <c r="D455" t="inlineStr">
        <is>
          <t>VÄSTERNORRLANDS LÄN</t>
        </is>
      </c>
      <c r="E455" t="inlineStr">
        <is>
          <t>SUNDSVALL</t>
        </is>
      </c>
      <c r="F455" t="inlineStr">
        <is>
          <t>Naturvårdsverket</t>
        </is>
      </c>
      <c r="G455" t="n">
        <v>27.3</v>
      </c>
      <c r="H455" t="n">
        <v>0</v>
      </c>
      <c r="I455" t="n">
        <v>1</v>
      </c>
      <c r="J455" t="n">
        <v>4</v>
      </c>
      <c r="K455" t="n">
        <v>0</v>
      </c>
      <c r="L455" t="n">
        <v>0</v>
      </c>
      <c r="M455" t="n">
        <v>0</v>
      </c>
      <c r="N455" t="n">
        <v>0</v>
      </c>
      <c r="O455" t="n">
        <v>4</v>
      </c>
      <c r="P455" t="n">
        <v>0</v>
      </c>
      <c r="Q455" t="n">
        <v>5</v>
      </c>
      <c r="R455" s="2" t="inlineStr">
        <is>
          <t>Lunglav
Tallticka
Vedflamlav
Vedskivlav
Stuplav</t>
        </is>
      </c>
      <c r="S455">
        <f>HYPERLINK("https://klasma.github.io/Logging_2281/artfynd/A 20628-2025 artfynd.xlsx", "A 20628-2025")</f>
        <v/>
      </c>
      <c r="T455">
        <f>HYPERLINK("https://klasma.github.io/Logging_2281/kartor/A 20628-2025 karta.png", "A 20628-2025")</f>
        <v/>
      </c>
      <c r="V455">
        <f>HYPERLINK("https://klasma.github.io/Logging_2281/klagomål/A 20628-2025 FSC-klagomål.docx", "A 20628-2025")</f>
        <v/>
      </c>
      <c r="W455">
        <f>HYPERLINK("https://klasma.github.io/Logging_2281/klagomålsmail/A 20628-2025 FSC-klagomål mail.docx", "A 20628-2025")</f>
        <v/>
      </c>
      <c r="X455">
        <f>HYPERLINK("https://klasma.github.io/Logging_2281/tillsyn/A 20628-2025 tillsynsbegäran.docx", "A 20628-2025")</f>
        <v/>
      </c>
      <c r="Y455">
        <f>HYPERLINK("https://klasma.github.io/Logging_2281/tillsynsmail/A 20628-2025 tillsynsbegäran mail.docx", "A 20628-2025")</f>
        <v/>
      </c>
    </row>
    <row r="456" ht="15" customHeight="1">
      <c r="A456" t="inlineStr">
        <is>
          <t>A 21002-2025</t>
        </is>
      </c>
      <c r="B456" s="1" t="n">
        <v>45777.48998842593</v>
      </c>
      <c r="C456" s="1" t="n">
        <v>46093</v>
      </c>
      <c r="D456" t="inlineStr">
        <is>
          <t>VÄSTERNORRLANDS LÄN</t>
        </is>
      </c>
      <c r="E456" t="inlineStr">
        <is>
          <t>SOLLEFTEÅ</t>
        </is>
      </c>
      <c r="F456" t="inlineStr">
        <is>
          <t>SCA</t>
        </is>
      </c>
      <c r="G456" t="n">
        <v>3.1</v>
      </c>
      <c r="H456" t="n">
        <v>1</v>
      </c>
      <c r="I456" t="n">
        <v>2</v>
      </c>
      <c r="J456" t="n">
        <v>3</v>
      </c>
      <c r="K456" t="n">
        <v>0</v>
      </c>
      <c r="L456" t="n">
        <v>0</v>
      </c>
      <c r="M456" t="n">
        <v>0</v>
      </c>
      <c r="N456" t="n">
        <v>0</v>
      </c>
      <c r="O456" t="n">
        <v>3</v>
      </c>
      <c r="P456" t="n">
        <v>0</v>
      </c>
      <c r="Q456" t="n">
        <v>5</v>
      </c>
      <c r="R456" s="2" t="inlineStr">
        <is>
          <t>Granticka
Tretåig hackspett
Ullticka
Norrlandslav
Vedticka</t>
        </is>
      </c>
      <c r="S456">
        <f>HYPERLINK("https://klasma.github.io/Logging_2283/artfynd/A 21002-2025 artfynd.xlsx", "A 21002-2025")</f>
        <v/>
      </c>
      <c r="T456">
        <f>HYPERLINK("https://klasma.github.io/Logging_2283/kartor/A 21002-2025 karta.png", "A 21002-2025")</f>
        <v/>
      </c>
      <c r="V456">
        <f>HYPERLINK("https://klasma.github.io/Logging_2283/klagomål/A 21002-2025 FSC-klagomål.docx", "A 21002-2025")</f>
        <v/>
      </c>
      <c r="W456">
        <f>HYPERLINK("https://klasma.github.io/Logging_2283/klagomålsmail/A 21002-2025 FSC-klagomål mail.docx", "A 21002-2025")</f>
        <v/>
      </c>
      <c r="X456">
        <f>HYPERLINK("https://klasma.github.io/Logging_2283/tillsyn/A 21002-2025 tillsynsbegäran.docx", "A 21002-2025")</f>
        <v/>
      </c>
      <c r="Y456">
        <f>HYPERLINK("https://klasma.github.io/Logging_2283/tillsynsmail/A 21002-2025 tillsynsbegäran mail.docx", "A 21002-2025")</f>
        <v/>
      </c>
      <c r="Z456">
        <f>HYPERLINK("https://klasma.github.io/Logging_2283/fåglar/A 21002-2025 prioriterade fågelarter.docx", "A 21002-2025")</f>
        <v/>
      </c>
    </row>
    <row r="457" ht="15" customHeight="1">
      <c r="A457" t="inlineStr">
        <is>
          <t>A 19449-2024</t>
        </is>
      </c>
      <c r="B457" s="1" t="n">
        <v>45429</v>
      </c>
      <c r="C457" s="1" t="n">
        <v>46093</v>
      </c>
      <c r="D457" t="inlineStr">
        <is>
          <t>VÄSTERNORRLANDS LÄN</t>
        </is>
      </c>
      <c r="E457" t="inlineStr">
        <is>
          <t>TIMRÅ</t>
        </is>
      </c>
      <c r="G457" t="n">
        <v>2.5</v>
      </c>
      <c r="H457" t="n">
        <v>5</v>
      </c>
      <c r="I457" t="n">
        <v>0</v>
      </c>
      <c r="J457" t="n">
        <v>4</v>
      </c>
      <c r="K457" t="n">
        <v>0</v>
      </c>
      <c r="L457" t="n">
        <v>0</v>
      </c>
      <c r="M457" t="n">
        <v>0</v>
      </c>
      <c r="N457" t="n">
        <v>0</v>
      </c>
      <c r="O457" t="n">
        <v>4</v>
      </c>
      <c r="P457" t="n">
        <v>0</v>
      </c>
      <c r="Q457" t="n">
        <v>5</v>
      </c>
      <c r="R457" s="2" t="inlineStr">
        <is>
          <t>Buskskvätta
Hornuggla
Kråka
Rosenfink
Gråspett</t>
        </is>
      </c>
      <c r="S457">
        <f>HYPERLINK("https://klasma.github.io/Logging_2262/artfynd/A 19449-2024 artfynd.xlsx", "A 19449-2024")</f>
        <v/>
      </c>
      <c r="T457">
        <f>HYPERLINK("https://klasma.github.io/Logging_2262/kartor/A 19449-2024 karta.png", "A 19449-2024")</f>
        <v/>
      </c>
      <c r="V457">
        <f>HYPERLINK("https://klasma.github.io/Logging_2262/klagomål/A 19449-2024 FSC-klagomål.docx", "A 19449-2024")</f>
        <v/>
      </c>
      <c r="W457">
        <f>HYPERLINK("https://klasma.github.io/Logging_2262/klagomålsmail/A 19449-2024 FSC-klagomål mail.docx", "A 19449-2024")</f>
        <v/>
      </c>
      <c r="X457">
        <f>HYPERLINK("https://klasma.github.io/Logging_2262/tillsyn/A 19449-2024 tillsynsbegäran.docx", "A 19449-2024")</f>
        <v/>
      </c>
      <c r="Y457">
        <f>HYPERLINK("https://klasma.github.io/Logging_2262/tillsynsmail/A 19449-2024 tillsynsbegäran mail.docx", "A 19449-2024")</f>
        <v/>
      </c>
      <c r="Z457">
        <f>HYPERLINK("https://klasma.github.io/Logging_2262/fåglar/A 19449-2024 prioriterade fågelarter.docx", "A 19449-2024")</f>
        <v/>
      </c>
    </row>
    <row r="458" ht="15" customHeight="1">
      <c r="A458" t="inlineStr">
        <is>
          <t>A 22047-2025</t>
        </is>
      </c>
      <c r="B458" s="1" t="n">
        <v>45785.34423611111</v>
      </c>
      <c r="C458" s="1" t="n">
        <v>46093</v>
      </c>
      <c r="D458" t="inlineStr">
        <is>
          <t>VÄSTERNORRLANDS LÄN</t>
        </is>
      </c>
      <c r="E458" t="inlineStr">
        <is>
          <t>KRAMFORS</t>
        </is>
      </c>
      <c r="F458" t="inlineStr">
        <is>
          <t>SCA</t>
        </is>
      </c>
      <c r="G458" t="n">
        <v>12.4</v>
      </c>
      <c r="H458" t="n">
        <v>1</v>
      </c>
      <c r="I458" t="n">
        <v>0</v>
      </c>
      <c r="J458" t="n">
        <v>2</v>
      </c>
      <c r="K458" t="n">
        <v>3</v>
      </c>
      <c r="L458" t="n">
        <v>0</v>
      </c>
      <c r="M458" t="n">
        <v>0</v>
      </c>
      <c r="N458" t="n">
        <v>0</v>
      </c>
      <c r="O458" t="n">
        <v>5</v>
      </c>
      <c r="P458" t="n">
        <v>3</v>
      </c>
      <c r="Q458" t="n">
        <v>5</v>
      </c>
      <c r="R458" s="2" t="inlineStr">
        <is>
          <t>Knärot
Rynkskinn
Ulltickeporing
Rosenticka
Ullticka</t>
        </is>
      </c>
      <c r="S458">
        <f>HYPERLINK("https://klasma.github.io/Logging_2282/artfynd/A 22047-2025 artfynd.xlsx", "A 22047-2025")</f>
        <v/>
      </c>
      <c r="T458">
        <f>HYPERLINK("https://klasma.github.io/Logging_2282/kartor/A 22047-2025 karta.png", "A 22047-2025")</f>
        <v/>
      </c>
      <c r="U458">
        <f>HYPERLINK("https://klasma.github.io/Logging_2282/knärot/A 22047-2025 karta knärot.png", "A 22047-2025")</f>
        <v/>
      </c>
      <c r="V458">
        <f>HYPERLINK("https://klasma.github.io/Logging_2282/klagomål/A 22047-2025 FSC-klagomål.docx", "A 22047-2025")</f>
        <v/>
      </c>
      <c r="W458">
        <f>HYPERLINK("https://klasma.github.io/Logging_2282/klagomålsmail/A 22047-2025 FSC-klagomål mail.docx", "A 22047-2025")</f>
        <v/>
      </c>
      <c r="X458">
        <f>HYPERLINK("https://klasma.github.io/Logging_2282/tillsyn/A 22047-2025 tillsynsbegäran.docx", "A 22047-2025")</f>
        <v/>
      </c>
      <c r="Y458">
        <f>HYPERLINK("https://klasma.github.io/Logging_2282/tillsynsmail/A 22047-2025 tillsynsbegäran mail.docx", "A 22047-2025")</f>
        <v/>
      </c>
    </row>
    <row r="459" ht="15" customHeight="1">
      <c r="A459" t="inlineStr">
        <is>
          <t>A 22797-2025</t>
        </is>
      </c>
      <c r="B459" s="1" t="n">
        <v>45789</v>
      </c>
      <c r="C459" s="1" t="n">
        <v>46093</v>
      </c>
      <c r="D459" t="inlineStr">
        <is>
          <t>VÄSTERNORRLANDS LÄN</t>
        </is>
      </c>
      <c r="E459" t="inlineStr">
        <is>
          <t>SOLLEFTEÅ</t>
        </is>
      </c>
      <c r="G459" t="n">
        <v>0.9</v>
      </c>
      <c r="H459" t="n">
        <v>2</v>
      </c>
      <c r="I459" t="n">
        <v>0</v>
      </c>
      <c r="J459" t="n">
        <v>5</v>
      </c>
      <c r="K459" t="n">
        <v>0</v>
      </c>
      <c r="L459" t="n">
        <v>0</v>
      </c>
      <c r="M459" t="n">
        <v>0</v>
      </c>
      <c r="N459" t="n">
        <v>0</v>
      </c>
      <c r="O459" t="n">
        <v>5</v>
      </c>
      <c r="P459" t="n">
        <v>0</v>
      </c>
      <c r="Q459" t="n">
        <v>5</v>
      </c>
      <c r="R459" s="2" t="inlineStr">
        <is>
          <t>Blanksvart spiklav
Talltita
Tretåig hackspett
Vedskivlav
Vedtrappmossa</t>
        </is>
      </c>
      <c r="S459">
        <f>HYPERLINK("https://klasma.github.io/Logging_2283/artfynd/A 22797-2025 artfynd.xlsx", "A 22797-2025")</f>
        <v/>
      </c>
      <c r="T459">
        <f>HYPERLINK("https://klasma.github.io/Logging_2283/kartor/A 22797-2025 karta.png", "A 22797-2025")</f>
        <v/>
      </c>
      <c r="V459">
        <f>HYPERLINK("https://klasma.github.io/Logging_2283/klagomål/A 22797-2025 FSC-klagomål.docx", "A 22797-2025")</f>
        <v/>
      </c>
      <c r="W459">
        <f>HYPERLINK("https://klasma.github.io/Logging_2283/klagomålsmail/A 22797-2025 FSC-klagomål mail.docx", "A 22797-2025")</f>
        <v/>
      </c>
      <c r="X459">
        <f>HYPERLINK("https://klasma.github.io/Logging_2283/tillsyn/A 22797-2025 tillsynsbegäran.docx", "A 22797-2025")</f>
        <v/>
      </c>
      <c r="Y459">
        <f>HYPERLINK("https://klasma.github.io/Logging_2283/tillsynsmail/A 22797-2025 tillsynsbegäran mail.docx", "A 22797-2025")</f>
        <v/>
      </c>
      <c r="Z459">
        <f>HYPERLINK("https://klasma.github.io/Logging_2283/fåglar/A 22797-2025 prioriterade fågelarter.docx", "A 22797-2025")</f>
        <v/>
      </c>
    </row>
    <row r="460" ht="15" customHeight="1">
      <c r="A460" t="inlineStr">
        <is>
          <t>A 39049-2024</t>
        </is>
      </c>
      <c r="B460" s="1" t="n">
        <v>45548.48994212963</v>
      </c>
      <c r="C460" s="1" t="n">
        <v>46093</v>
      </c>
      <c r="D460" t="inlineStr">
        <is>
          <t>VÄSTERNORRLANDS LÄN</t>
        </is>
      </c>
      <c r="E460" t="inlineStr">
        <is>
          <t>HÄRNÖSAND</t>
        </is>
      </c>
      <c r="G460" t="n">
        <v>12.5</v>
      </c>
      <c r="H460" t="n">
        <v>0</v>
      </c>
      <c r="I460" t="n">
        <v>1</v>
      </c>
      <c r="J460" t="n">
        <v>4</v>
      </c>
      <c r="K460" t="n">
        <v>0</v>
      </c>
      <c r="L460" t="n">
        <v>0</v>
      </c>
      <c r="M460" t="n">
        <v>0</v>
      </c>
      <c r="N460" t="n">
        <v>0</v>
      </c>
      <c r="O460" t="n">
        <v>4</v>
      </c>
      <c r="P460" t="n">
        <v>0</v>
      </c>
      <c r="Q460" t="n">
        <v>5</v>
      </c>
      <c r="R460" s="2" t="inlineStr">
        <is>
          <t>Garnlav
Gränsticka
Kötticka
Ullticka
Vedticka</t>
        </is>
      </c>
      <c r="S460">
        <f>HYPERLINK("https://klasma.github.io/Logging_2280/artfynd/A 39049-2024 artfynd.xlsx", "A 39049-2024")</f>
        <v/>
      </c>
      <c r="T460">
        <f>HYPERLINK("https://klasma.github.io/Logging_2280/kartor/A 39049-2024 karta.png", "A 39049-2024")</f>
        <v/>
      </c>
      <c r="V460">
        <f>HYPERLINK("https://klasma.github.io/Logging_2280/klagomål/A 39049-2024 FSC-klagomål.docx", "A 39049-2024")</f>
        <v/>
      </c>
      <c r="W460">
        <f>HYPERLINK("https://klasma.github.io/Logging_2280/klagomålsmail/A 39049-2024 FSC-klagomål mail.docx", "A 39049-2024")</f>
        <v/>
      </c>
      <c r="X460">
        <f>HYPERLINK("https://klasma.github.io/Logging_2280/tillsyn/A 39049-2024 tillsynsbegäran.docx", "A 39049-2024")</f>
        <v/>
      </c>
      <c r="Y460">
        <f>HYPERLINK("https://klasma.github.io/Logging_2280/tillsynsmail/A 39049-2024 tillsynsbegäran mail.docx", "A 39049-2024")</f>
        <v/>
      </c>
    </row>
    <row r="461" ht="15" customHeight="1">
      <c r="A461" t="inlineStr">
        <is>
          <t>A 29620-2024</t>
        </is>
      </c>
      <c r="B461" s="1" t="n">
        <v>45484.65516203704</v>
      </c>
      <c r="C461" s="1" t="n">
        <v>46093</v>
      </c>
      <c r="D461" t="inlineStr">
        <is>
          <t>VÄSTERNORRLANDS LÄN</t>
        </is>
      </c>
      <c r="E461" t="inlineStr">
        <is>
          <t>KRAMFORS</t>
        </is>
      </c>
      <c r="G461" t="n">
        <v>5.4</v>
      </c>
      <c r="H461" t="n">
        <v>0</v>
      </c>
      <c r="I461" t="n">
        <v>0</v>
      </c>
      <c r="J461" t="n">
        <v>5</v>
      </c>
      <c r="K461" t="n">
        <v>0</v>
      </c>
      <c r="L461" t="n">
        <v>0</v>
      </c>
      <c r="M461" t="n">
        <v>0</v>
      </c>
      <c r="N461" t="n">
        <v>0</v>
      </c>
      <c r="O461" t="n">
        <v>5</v>
      </c>
      <c r="P461" t="n">
        <v>0</v>
      </c>
      <c r="Q461" t="n">
        <v>5</v>
      </c>
      <c r="R461" s="2" t="inlineStr">
        <is>
          <t>Dvärgbägarlav
Garnlav
Kolflarnlav
Mörk kolflarnlav
Vedskivlav</t>
        </is>
      </c>
      <c r="S461">
        <f>HYPERLINK("https://klasma.github.io/Logging_2282/artfynd/A 29620-2024 artfynd.xlsx", "A 29620-2024")</f>
        <v/>
      </c>
      <c r="T461">
        <f>HYPERLINK("https://klasma.github.io/Logging_2282/kartor/A 29620-2024 karta.png", "A 29620-2024")</f>
        <v/>
      </c>
      <c r="V461">
        <f>HYPERLINK("https://klasma.github.io/Logging_2282/klagomål/A 29620-2024 FSC-klagomål.docx", "A 29620-2024")</f>
        <v/>
      </c>
      <c r="W461">
        <f>HYPERLINK("https://klasma.github.io/Logging_2282/klagomålsmail/A 29620-2024 FSC-klagomål mail.docx", "A 29620-2024")</f>
        <v/>
      </c>
      <c r="X461">
        <f>HYPERLINK("https://klasma.github.io/Logging_2282/tillsyn/A 29620-2024 tillsynsbegäran.docx", "A 29620-2024")</f>
        <v/>
      </c>
      <c r="Y461">
        <f>HYPERLINK("https://klasma.github.io/Logging_2282/tillsynsmail/A 29620-2024 tillsynsbegäran mail.docx", "A 29620-2024")</f>
        <v/>
      </c>
    </row>
    <row r="462" ht="15" customHeight="1">
      <c r="A462" t="inlineStr">
        <is>
          <t>A 24422-2025</t>
        </is>
      </c>
      <c r="B462" s="1" t="n">
        <v>45797</v>
      </c>
      <c r="C462" s="1" t="n">
        <v>46093</v>
      </c>
      <c r="D462" t="inlineStr">
        <is>
          <t>VÄSTERNORRLANDS LÄN</t>
        </is>
      </c>
      <c r="E462" t="inlineStr">
        <is>
          <t>SUNDSVALL</t>
        </is>
      </c>
      <c r="F462" t="inlineStr">
        <is>
          <t>SCA</t>
        </is>
      </c>
      <c r="G462" t="n">
        <v>2.2</v>
      </c>
      <c r="H462" t="n">
        <v>2</v>
      </c>
      <c r="I462" t="n">
        <v>1</v>
      </c>
      <c r="J462" t="n">
        <v>3</v>
      </c>
      <c r="K462" t="n">
        <v>0</v>
      </c>
      <c r="L462" t="n">
        <v>0</v>
      </c>
      <c r="M462" t="n">
        <v>0</v>
      </c>
      <c r="N462" t="n">
        <v>0</v>
      </c>
      <c r="O462" t="n">
        <v>3</v>
      </c>
      <c r="P462" t="n">
        <v>0</v>
      </c>
      <c r="Q462" t="n">
        <v>5</v>
      </c>
      <c r="R462" s="2" t="inlineStr">
        <is>
          <t>Garnlav
Lunglav
Tretåig hackspett
Kattfotslav
Revlummer</t>
        </is>
      </c>
      <c r="S462">
        <f>HYPERLINK("https://klasma.github.io/Logging_2281/artfynd/A 24422-2025 artfynd.xlsx", "A 24422-2025")</f>
        <v/>
      </c>
      <c r="T462">
        <f>HYPERLINK("https://klasma.github.io/Logging_2281/kartor/A 24422-2025 karta.png", "A 24422-2025")</f>
        <v/>
      </c>
      <c r="V462">
        <f>HYPERLINK("https://klasma.github.io/Logging_2281/klagomål/A 24422-2025 FSC-klagomål.docx", "A 24422-2025")</f>
        <v/>
      </c>
      <c r="W462">
        <f>HYPERLINK("https://klasma.github.io/Logging_2281/klagomålsmail/A 24422-2025 FSC-klagomål mail.docx", "A 24422-2025")</f>
        <v/>
      </c>
      <c r="X462">
        <f>HYPERLINK("https://klasma.github.io/Logging_2281/tillsyn/A 24422-2025 tillsynsbegäran.docx", "A 24422-2025")</f>
        <v/>
      </c>
      <c r="Y462">
        <f>HYPERLINK("https://klasma.github.io/Logging_2281/tillsynsmail/A 24422-2025 tillsynsbegäran mail.docx", "A 24422-2025")</f>
        <v/>
      </c>
      <c r="Z462">
        <f>HYPERLINK("https://klasma.github.io/Logging_2281/fåglar/A 24422-2025 prioriterade fågelarter.docx", "A 24422-2025")</f>
        <v/>
      </c>
    </row>
    <row r="463" ht="15" customHeight="1">
      <c r="A463" t="inlineStr">
        <is>
          <t>A 3575-2026</t>
        </is>
      </c>
      <c r="B463" s="1" t="n">
        <v>46042.71269675926</v>
      </c>
      <c r="C463" s="1" t="n">
        <v>46093</v>
      </c>
      <c r="D463" t="inlineStr">
        <is>
          <t>VÄSTERNORRLANDS LÄN</t>
        </is>
      </c>
      <c r="E463" t="inlineStr">
        <is>
          <t>SOLLEFTEÅ</t>
        </is>
      </c>
      <c r="G463" t="n">
        <v>4.7</v>
      </c>
      <c r="H463" t="n">
        <v>0</v>
      </c>
      <c r="I463" t="n">
        <v>1</v>
      </c>
      <c r="J463" t="n">
        <v>4</v>
      </c>
      <c r="K463" t="n">
        <v>0</v>
      </c>
      <c r="L463" t="n">
        <v>0</v>
      </c>
      <c r="M463" t="n">
        <v>0</v>
      </c>
      <c r="N463" t="n">
        <v>0</v>
      </c>
      <c r="O463" t="n">
        <v>4</v>
      </c>
      <c r="P463" t="n">
        <v>0</v>
      </c>
      <c r="Q463" t="n">
        <v>5</v>
      </c>
      <c r="R463" s="2" t="inlineStr">
        <is>
          <t>Garnlav
Rosenticka
Stjärntagging
Ullticka
Vedticka</t>
        </is>
      </c>
      <c r="S463">
        <f>HYPERLINK("https://klasma.github.io/Logging_2283/artfynd/A 3575-2026 artfynd.xlsx", "A 3575-2026")</f>
        <v/>
      </c>
      <c r="T463">
        <f>HYPERLINK("https://klasma.github.io/Logging_2283/kartor/A 3575-2026 karta.png", "A 3575-2026")</f>
        <v/>
      </c>
      <c r="V463">
        <f>HYPERLINK("https://klasma.github.io/Logging_2283/klagomål/A 3575-2026 FSC-klagomål.docx", "A 3575-2026")</f>
        <v/>
      </c>
      <c r="W463">
        <f>HYPERLINK("https://klasma.github.io/Logging_2283/klagomålsmail/A 3575-2026 FSC-klagomål mail.docx", "A 3575-2026")</f>
        <v/>
      </c>
      <c r="X463">
        <f>HYPERLINK("https://klasma.github.io/Logging_2283/tillsyn/A 3575-2026 tillsynsbegäran.docx", "A 3575-2026")</f>
        <v/>
      </c>
      <c r="Y463">
        <f>HYPERLINK("https://klasma.github.io/Logging_2283/tillsynsmail/A 3575-2026 tillsynsbegäran mail.docx", "A 3575-2026")</f>
        <v/>
      </c>
    </row>
    <row r="464" ht="15" customHeight="1">
      <c r="A464" t="inlineStr">
        <is>
          <t>A 23601-2025</t>
        </is>
      </c>
      <c r="B464" s="1" t="n">
        <v>45792</v>
      </c>
      <c r="C464" s="1" t="n">
        <v>46093</v>
      </c>
      <c r="D464" t="inlineStr">
        <is>
          <t>VÄSTERNORRLANDS LÄN</t>
        </is>
      </c>
      <c r="E464" t="inlineStr">
        <is>
          <t>ÅNGE</t>
        </is>
      </c>
      <c r="G464" t="n">
        <v>13.3</v>
      </c>
      <c r="H464" t="n">
        <v>0</v>
      </c>
      <c r="I464" t="n">
        <v>1</v>
      </c>
      <c r="J464" t="n">
        <v>4</v>
      </c>
      <c r="K464" t="n">
        <v>0</v>
      </c>
      <c r="L464" t="n">
        <v>0</v>
      </c>
      <c r="M464" t="n">
        <v>0</v>
      </c>
      <c r="N464" t="n">
        <v>0</v>
      </c>
      <c r="O464" t="n">
        <v>4</v>
      </c>
      <c r="P464" t="n">
        <v>0</v>
      </c>
      <c r="Q464" t="n">
        <v>5</v>
      </c>
      <c r="R464" s="2" t="inlineStr">
        <is>
          <t>Garnlav
Lunglav
Mörk kolflarnlav
Småflikig brosklav
Korallblylav</t>
        </is>
      </c>
      <c r="S464">
        <f>HYPERLINK("https://klasma.github.io/Logging_2260/artfynd/A 23601-2025 artfynd.xlsx", "A 23601-2025")</f>
        <v/>
      </c>
      <c r="T464">
        <f>HYPERLINK("https://klasma.github.io/Logging_2260/kartor/A 23601-2025 karta.png", "A 23601-2025")</f>
        <v/>
      </c>
      <c r="U464">
        <f>HYPERLINK("https://klasma.github.io/Logging_2260/knärot/A 23601-2025 karta knärot.png", "A 23601-2025")</f>
        <v/>
      </c>
      <c r="V464">
        <f>HYPERLINK("https://klasma.github.io/Logging_2260/klagomål/A 23601-2025 FSC-klagomål.docx", "A 23601-2025")</f>
        <v/>
      </c>
      <c r="W464">
        <f>HYPERLINK("https://klasma.github.io/Logging_2260/klagomålsmail/A 23601-2025 FSC-klagomål mail.docx", "A 23601-2025")</f>
        <v/>
      </c>
      <c r="X464">
        <f>HYPERLINK("https://klasma.github.io/Logging_2260/tillsyn/A 23601-2025 tillsynsbegäran.docx", "A 23601-2025")</f>
        <v/>
      </c>
      <c r="Y464">
        <f>HYPERLINK("https://klasma.github.io/Logging_2260/tillsynsmail/A 23601-2025 tillsynsbegäran mail.docx", "A 23601-2025")</f>
        <v/>
      </c>
    </row>
    <row r="465" ht="15" customHeight="1">
      <c r="A465" t="inlineStr">
        <is>
          <t>A 26012-2024</t>
        </is>
      </c>
      <c r="B465" s="1" t="n">
        <v>45467</v>
      </c>
      <c r="C465" s="1" t="n">
        <v>46093</v>
      </c>
      <c r="D465" t="inlineStr">
        <is>
          <t>VÄSTERNORRLANDS LÄN</t>
        </is>
      </c>
      <c r="E465" t="inlineStr">
        <is>
          <t>ÅNGE</t>
        </is>
      </c>
      <c r="F465" t="inlineStr">
        <is>
          <t>SCA</t>
        </is>
      </c>
      <c r="G465" t="n">
        <v>7.5</v>
      </c>
      <c r="H465" t="n">
        <v>1</v>
      </c>
      <c r="I465" t="n">
        <v>0</v>
      </c>
      <c r="J465" t="n">
        <v>4</v>
      </c>
      <c r="K465" t="n">
        <v>1</v>
      </c>
      <c r="L465" t="n">
        <v>0</v>
      </c>
      <c r="M465" t="n">
        <v>0</v>
      </c>
      <c r="N465" t="n">
        <v>0</v>
      </c>
      <c r="O465" t="n">
        <v>5</v>
      </c>
      <c r="P465" t="n">
        <v>1</v>
      </c>
      <c r="Q465" t="n">
        <v>5</v>
      </c>
      <c r="R465" s="2" t="inlineStr">
        <is>
          <t>Rynkskinn
Garnlav
Granticka
Rosenticka
Tretåig hackspett</t>
        </is>
      </c>
      <c r="S465">
        <f>HYPERLINK("https://klasma.github.io/Logging_2260/artfynd/A 26012-2024 artfynd.xlsx", "A 26012-2024")</f>
        <v/>
      </c>
      <c r="T465">
        <f>HYPERLINK("https://klasma.github.io/Logging_2260/kartor/A 26012-2024 karta.png", "A 26012-2024")</f>
        <v/>
      </c>
      <c r="V465">
        <f>HYPERLINK("https://klasma.github.io/Logging_2260/klagomål/A 26012-2024 FSC-klagomål.docx", "A 26012-2024")</f>
        <v/>
      </c>
      <c r="W465">
        <f>HYPERLINK("https://klasma.github.io/Logging_2260/klagomålsmail/A 26012-2024 FSC-klagomål mail.docx", "A 26012-2024")</f>
        <v/>
      </c>
      <c r="X465">
        <f>HYPERLINK("https://klasma.github.io/Logging_2260/tillsyn/A 26012-2024 tillsynsbegäran.docx", "A 26012-2024")</f>
        <v/>
      </c>
      <c r="Y465">
        <f>HYPERLINK("https://klasma.github.io/Logging_2260/tillsynsmail/A 26012-2024 tillsynsbegäran mail.docx", "A 26012-2024")</f>
        <v/>
      </c>
      <c r="Z465">
        <f>HYPERLINK("https://klasma.github.io/Logging_2260/fåglar/A 26012-2024 prioriterade fågelarter.docx", "A 26012-2024")</f>
        <v/>
      </c>
    </row>
    <row r="466" ht="15" customHeight="1">
      <c r="A466" t="inlineStr">
        <is>
          <t>A 13556-2024</t>
        </is>
      </c>
      <c r="B466" s="1" t="n">
        <v>45387</v>
      </c>
      <c r="C466" s="1" t="n">
        <v>46093</v>
      </c>
      <c r="D466" t="inlineStr">
        <is>
          <t>VÄSTERNORRLANDS LÄN</t>
        </is>
      </c>
      <c r="E466" t="inlineStr">
        <is>
          <t>SUNDSVALL</t>
        </is>
      </c>
      <c r="F466" t="inlineStr">
        <is>
          <t>SCA</t>
        </is>
      </c>
      <c r="G466" t="n">
        <v>6.5</v>
      </c>
      <c r="H466" t="n">
        <v>2</v>
      </c>
      <c r="I466" t="n">
        <v>2</v>
      </c>
      <c r="J466" t="n">
        <v>2</v>
      </c>
      <c r="K466" t="n">
        <v>1</v>
      </c>
      <c r="L466" t="n">
        <v>0</v>
      </c>
      <c r="M466" t="n">
        <v>0</v>
      </c>
      <c r="N466" t="n">
        <v>0</v>
      </c>
      <c r="O466" t="n">
        <v>3</v>
      </c>
      <c r="P466" t="n">
        <v>1</v>
      </c>
      <c r="Q466" t="n">
        <v>5</v>
      </c>
      <c r="R466" s="2" t="inlineStr">
        <is>
          <t>Knärot
Mindre hackspett
Ullticka
Bronshjon
Thomsons trägnagare</t>
        </is>
      </c>
      <c r="S466">
        <f>HYPERLINK("https://klasma.github.io/Logging_2281/artfynd/A 13556-2024 artfynd.xlsx", "A 13556-2024")</f>
        <v/>
      </c>
      <c r="T466">
        <f>HYPERLINK("https://klasma.github.io/Logging_2281/kartor/A 13556-2024 karta.png", "A 13556-2024")</f>
        <v/>
      </c>
      <c r="U466">
        <f>HYPERLINK("https://klasma.github.io/Logging_2281/knärot/A 13556-2024 karta knärot.png", "A 13556-2024")</f>
        <v/>
      </c>
      <c r="V466">
        <f>HYPERLINK("https://klasma.github.io/Logging_2281/klagomål/A 13556-2024 FSC-klagomål.docx", "A 13556-2024")</f>
        <v/>
      </c>
      <c r="W466">
        <f>HYPERLINK("https://klasma.github.io/Logging_2281/klagomålsmail/A 13556-2024 FSC-klagomål mail.docx", "A 13556-2024")</f>
        <v/>
      </c>
      <c r="X466">
        <f>HYPERLINK("https://klasma.github.io/Logging_2281/tillsyn/A 13556-2024 tillsynsbegäran.docx", "A 13556-2024")</f>
        <v/>
      </c>
      <c r="Y466">
        <f>HYPERLINK("https://klasma.github.io/Logging_2281/tillsynsmail/A 13556-2024 tillsynsbegäran mail.docx", "A 13556-2024")</f>
        <v/>
      </c>
      <c r="Z466">
        <f>HYPERLINK("https://klasma.github.io/Logging_2281/fåglar/A 13556-2024 prioriterade fågelarter.docx", "A 13556-2024")</f>
        <v/>
      </c>
    </row>
    <row r="467" ht="15" customHeight="1">
      <c r="A467" t="inlineStr">
        <is>
          <t>A 25237-2025</t>
        </is>
      </c>
      <c r="B467" s="1" t="n">
        <v>45800</v>
      </c>
      <c r="C467" s="1" t="n">
        <v>46093</v>
      </c>
      <c r="D467" t="inlineStr">
        <is>
          <t>VÄSTERNORRLANDS LÄN</t>
        </is>
      </c>
      <c r="E467" t="inlineStr">
        <is>
          <t>TIMRÅ</t>
        </is>
      </c>
      <c r="F467" t="inlineStr">
        <is>
          <t>SCA</t>
        </is>
      </c>
      <c r="G467" t="n">
        <v>17</v>
      </c>
      <c r="H467" t="n">
        <v>1</v>
      </c>
      <c r="I467" t="n">
        <v>0</v>
      </c>
      <c r="J467" t="n">
        <v>4</v>
      </c>
      <c r="K467" t="n">
        <v>0</v>
      </c>
      <c r="L467" t="n">
        <v>0</v>
      </c>
      <c r="M467" t="n">
        <v>0</v>
      </c>
      <c r="N467" t="n">
        <v>0</v>
      </c>
      <c r="O467" t="n">
        <v>4</v>
      </c>
      <c r="P467" t="n">
        <v>0</v>
      </c>
      <c r="Q467" t="n">
        <v>5</v>
      </c>
      <c r="R467" s="2" t="inlineStr">
        <is>
          <t>Garnlav
Lunglav
Ullticka
Violettgrå tagellav
Tjäder</t>
        </is>
      </c>
      <c r="S467">
        <f>HYPERLINK("https://klasma.github.io/Logging_2262/artfynd/A 25237-2025 artfynd.xlsx", "A 25237-2025")</f>
        <v/>
      </c>
      <c r="T467">
        <f>HYPERLINK("https://klasma.github.io/Logging_2262/kartor/A 25237-2025 karta.png", "A 25237-2025")</f>
        <v/>
      </c>
      <c r="U467">
        <f>HYPERLINK("https://klasma.github.io/Logging_2262/knärot/A 25237-2025 karta knärot.png", "A 25237-2025")</f>
        <v/>
      </c>
      <c r="V467">
        <f>HYPERLINK("https://klasma.github.io/Logging_2262/klagomål/A 25237-2025 FSC-klagomål.docx", "A 25237-2025")</f>
        <v/>
      </c>
      <c r="W467">
        <f>HYPERLINK("https://klasma.github.io/Logging_2262/klagomålsmail/A 25237-2025 FSC-klagomål mail.docx", "A 25237-2025")</f>
        <v/>
      </c>
      <c r="X467">
        <f>HYPERLINK("https://klasma.github.io/Logging_2262/tillsyn/A 25237-2025 tillsynsbegäran.docx", "A 25237-2025")</f>
        <v/>
      </c>
      <c r="Y467">
        <f>HYPERLINK("https://klasma.github.io/Logging_2262/tillsynsmail/A 25237-2025 tillsynsbegäran mail.docx", "A 25237-2025")</f>
        <v/>
      </c>
      <c r="Z467">
        <f>HYPERLINK("https://klasma.github.io/Logging_2262/fåglar/A 25237-2025 prioriterade fågelarter.docx", "A 25237-2025")</f>
        <v/>
      </c>
    </row>
    <row r="468" ht="15" customHeight="1">
      <c r="A468" t="inlineStr">
        <is>
          <t>A 3598-2026</t>
        </is>
      </c>
      <c r="B468" s="1" t="n">
        <v>46042.81493055556</v>
      </c>
      <c r="C468" s="1" t="n">
        <v>46093</v>
      </c>
      <c r="D468" t="inlineStr">
        <is>
          <t>VÄSTERNORRLANDS LÄN</t>
        </is>
      </c>
      <c r="E468" t="inlineStr">
        <is>
          <t>SUNDSVALL</t>
        </is>
      </c>
      <c r="G468" t="n">
        <v>6.8</v>
      </c>
      <c r="H468" t="n">
        <v>2</v>
      </c>
      <c r="I468" t="n">
        <v>1</v>
      </c>
      <c r="J468" t="n">
        <v>4</v>
      </c>
      <c r="K468" t="n">
        <v>0</v>
      </c>
      <c r="L468" t="n">
        <v>0</v>
      </c>
      <c r="M468" t="n">
        <v>0</v>
      </c>
      <c r="N468" t="n">
        <v>0</v>
      </c>
      <c r="O468" t="n">
        <v>4</v>
      </c>
      <c r="P468" t="n">
        <v>0</v>
      </c>
      <c r="Q468" t="n">
        <v>5</v>
      </c>
      <c r="R468" s="2" t="inlineStr">
        <is>
          <t>Garnlav
Lunglav
Talltita
Tretåig hackspett
Kattfotslav</t>
        </is>
      </c>
      <c r="S468">
        <f>HYPERLINK("https://klasma.github.io/Logging_2281/artfynd/A 3598-2026 artfynd.xlsx", "A 3598-2026")</f>
        <v/>
      </c>
      <c r="T468">
        <f>HYPERLINK("https://klasma.github.io/Logging_2281/kartor/A 3598-2026 karta.png", "A 3598-2026")</f>
        <v/>
      </c>
      <c r="V468">
        <f>HYPERLINK("https://klasma.github.io/Logging_2281/klagomål/A 3598-2026 FSC-klagomål.docx", "A 3598-2026")</f>
        <v/>
      </c>
      <c r="W468">
        <f>HYPERLINK("https://klasma.github.io/Logging_2281/klagomålsmail/A 3598-2026 FSC-klagomål mail.docx", "A 3598-2026")</f>
        <v/>
      </c>
      <c r="X468">
        <f>HYPERLINK("https://klasma.github.io/Logging_2281/tillsyn/A 3598-2026 tillsynsbegäran.docx", "A 3598-2026")</f>
        <v/>
      </c>
      <c r="Y468">
        <f>HYPERLINK("https://klasma.github.io/Logging_2281/tillsynsmail/A 3598-2026 tillsynsbegäran mail.docx", "A 3598-2026")</f>
        <v/>
      </c>
      <c r="Z468">
        <f>HYPERLINK("https://klasma.github.io/Logging_2281/fåglar/A 3598-2026 prioriterade fågelarter.docx", "A 3598-2026")</f>
        <v/>
      </c>
    </row>
    <row r="469" ht="15" customHeight="1">
      <c r="A469" t="inlineStr">
        <is>
          <t>A 23319-2025</t>
        </is>
      </c>
      <c r="B469" s="1" t="n">
        <v>45791.61511574074</v>
      </c>
      <c r="C469" s="1" t="n">
        <v>46093</v>
      </c>
      <c r="D469" t="inlineStr">
        <is>
          <t>VÄSTERNORRLANDS LÄN</t>
        </is>
      </c>
      <c r="E469" t="inlineStr">
        <is>
          <t>SOLLEFTEÅ</t>
        </is>
      </c>
      <c r="F469" t="inlineStr">
        <is>
          <t>SCA</t>
        </is>
      </c>
      <c r="G469" t="n">
        <v>5.3</v>
      </c>
      <c r="H469" t="n">
        <v>2</v>
      </c>
      <c r="I469" t="n">
        <v>3</v>
      </c>
      <c r="J469" t="n">
        <v>1</v>
      </c>
      <c r="K469" t="n">
        <v>0</v>
      </c>
      <c r="L469" t="n">
        <v>0</v>
      </c>
      <c r="M469" t="n">
        <v>0</v>
      </c>
      <c r="N469" t="n">
        <v>0</v>
      </c>
      <c r="O469" t="n">
        <v>1</v>
      </c>
      <c r="P469" t="n">
        <v>0</v>
      </c>
      <c r="Q469" t="n">
        <v>5</v>
      </c>
      <c r="R469" s="2" t="inlineStr">
        <is>
          <t>Lunglav
Plattlummer
Skinnlav
Stor aspticka
Revlummer</t>
        </is>
      </c>
      <c r="S469">
        <f>HYPERLINK("https://klasma.github.io/Logging_2283/artfynd/A 23319-2025 artfynd.xlsx", "A 23319-2025")</f>
        <v/>
      </c>
      <c r="T469">
        <f>HYPERLINK("https://klasma.github.io/Logging_2283/kartor/A 23319-2025 karta.png", "A 23319-2025")</f>
        <v/>
      </c>
      <c r="V469">
        <f>HYPERLINK("https://klasma.github.io/Logging_2283/klagomål/A 23319-2025 FSC-klagomål.docx", "A 23319-2025")</f>
        <v/>
      </c>
      <c r="W469">
        <f>HYPERLINK("https://klasma.github.io/Logging_2283/klagomålsmail/A 23319-2025 FSC-klagomål mail.docx", "A 23319-2025")</f>
        <v/>
      </c>
      <c r="X469">
        <f>HYPERLINK("https://klasma.github.io/Logging_2283/tillsyn/A 23319-2025 tillsynsbegäran.docx", "A 23319-2025")</f>
        <v/>
      </c>
      <c r="Y469">
        <f>HYPERLINK("https://klasma.github.io/Logging_2283/tillsynsmail/A 23319-2025 tillsynsbegäran mail.docx", "A 23319-2025")</f>
        <v/>
      </c>
    </row>
    <row r="470" ht="15" customHeight="1">
      <c r="A470" t="inlineStr">
        <is>
          <t>A 56420-2025</t>
        </is>
      </c>
      <c r="B470" s="1" t="n">
        <v>45975</v>
      </c>
      <c r="C470" s="1" t="n">
        <v>46093</v>
      </c>
      <c r="D470" t="inlineStr">
        <is>
          <t>VÄSTERNORRLANDS LÄN</t>
        </is>
      </c>
      <c r="E470" t="inlineStr">
        <is>
          <t>SOLLEFTEÅ</t>
        </is>
      </c>
      <c r="F470" t="inlineStr">
        <is>
          <t>SCA</t>
        </is>
      </c>
      <c r="G470" t="n">
        <v>3.7</v>
      </c>
      <c r="H470" t="n">
        <v>1</v>
      </c>
      <c r="I470" t="n">
        <v>1</v>
      </c>
      <c r="J470" t="n">
        <v>4</v>
      </c>
      <c r="K470" t="n">
        <v>0</v>
      </c>
      <c r="L470" t="n">
        <v>0</v>
      </c>
      <c r="M470" t="n">
        <v>0</v>
      </c>
      <c r="N470" t="n">
        <v>0</v>
      </c>
      <c r="O470" t="n">
        <v>4</v>
      </c>
      <c r="P470" t="n">
        <v>0</v>
      </c>
      <c r="Q470" t="n">
        <v>5</v>
      </c>
      <c r="R470" s="2" t="inlineStr">
        <is>
          <t>Garnlav
Kolflarnlav
Tretåig hackspett
Vedskivlav
Dropptaggsvamp</t>
        </is>
      </c>
      <c r="S470">
        <f>HYPERLINK("https://klasma.github.io/Logging_2283/artfynd/A 56420-2025 artfynd.xlsx", "A 56420-2025")</f>
        <v/>
      </c>
      <c r="T470">
        <f>HYPERLINK("https://klasma.github.io/Logging_2283/kartor/A 56420-2025 karta.png", "A 56420-2025")</f>
        <v/>
      </c>
      <c r="V470">
        <f>HYPERLINK("https://klasma.github.io/Logging_2283/klagomål/A 56420-2025 FSC-klagomål.docx", "A 56420-2025")</f>
        <v/>
      </c>
      <c r="W470">
        <f>HYPERLINK("https://klasma.github.io/Logging_2283/klagomålsmail/A 56420-2025 FSC-klagomål mail.docx", "A 56420-2025")</f>
        <v/>
      </c>
      <c r="X470">
        <f>HYPERLINK("https://klasma.github.io/Logging_2283/tillsyn/A 56420-2025 tillsynsbegäran.docx", "A 56420-2025")</f>
        <v/>
      </c>
      <c r="Y470">
        <f>HYPERLINK("https://klasma.github.io/Logging_2283/tillsynsmail/A 56420-2025 tillsynsbegäran mail.docx", "A 56420-2025")</f>
        <v/>
      </c>
      <c r="Z470">
        <f>HYPERLINK("https://klasma.github.io/Logging_2283/fåglar/A 56420-2025 prioriterade fågelarter.docx", "A 56420-2025")</f>
        <v/>
      </c>
    </row>
    <row r="471" ht="15" customHeight="1">
      <c r="A471" t="inlineStr">
        <is>
          <t>A 1170-2026</t>
        </is>
      </c>
      <c r="B471" s="1" t="n">
        <v>46031.34459490741</v>
      </c>
      <c r="C471" s="1" t="n">
        <v>46093</v>
      </c>
      <c r="D471" t="inlineStr">
        <is>
          <t>VÄSTERNORRLANDS LÄN</t>
        </is>
      </c>
      <c r="E471" t="inlineStr">
        <is>
          <t>SOLLEFTEÅ</t>
        </is>
      </c>
      <c r="F471" t="inlineStr">
        <is>
          <t>SCA</t>
        </is>
      </c>
      <c r="G471" t="n">
        <v>5.2</v>
      </c>
      <c r="H471" t="n">
        <v>3</v>
      </c>
      <c r="I471" t="n">
        <v>0</v>
      </c>
      <c r="J471" t="n">
        <v>4</v>
      </c>
      <c r="K471" t="n">
        <v>0</v>
      </c>
      <c r="L471" t="n">
        <v>0</v>
      </c>
      <c r="M471" t="n">
        <v>0</v>
      </c>
      <c r="N471" t="n">
        <v>0</v>
      </c>
      <c r="O471" t="n">
        <v>4</v>
      </c>
      <c r="P471" t="n">
        <v>0</v>
      </c>
      <c r="Q471" t="n">
        <v>5</v>
      </c>
      <c r="R471" s="2" t="inlineStr">
        <is>
          <t>Garnlav
Lunglav
Talltita
Tretåig hackspett
Tjäder</t>
        </is>
      </c>
      <c r="S471">
        <f>HYPERLINK("https://klasma.github.io/Logging_2283/artfynd/A 1170-2026 artfynd.xlsx", "A 1170-2026")</f>
        <v/>
      </c>
      <c r="T471">
        <f>HYPERLINK("https://klasma.github.io/Logging_2283/kartor/A 1170-2026 karta.png", "A 1170-2026")</f>
        <v/>
      </c>
      <c r="V471">
        <f>HYPERLINK("https://klasma.github.io/Logging_2283/klagomål/A 1170-2026 FSC-klagomål.docx", "A 1170-2026")</f>
        <v/>
      </c>
      <c r="W471">
        <f>HYPERLINK("https://klasma.github.io/Logging_2283/klagomålsmail/A 1170-2026 FSC-klagomål mail.docx", "A 1170-2026")</f>
        <v/>
      </c>
      <c r="X471">
        <f>HYPERLINK("https://klasma.github.io/Logging_2283/tillsyn/A 1170-2026 tillsynsbegäran.docx", "A 1170-2026")</f>
        <v/>
      </c>
      <c r="Y471">
        <f>HYPERLINK("https://klasma.github.io/Logging_2283/tillsynsmail/A 1170-2026 tillsynsbegäran mail.docx", "A 1170-2026")</f>
        <v/>
      </c>
      <c r="Z471">
        <f>HYPERLINK("https://klasma.github.io/Logging_2283/fåglar/A 1170-2026 prioriterade fågelarter.docx", "A 1170-2026")</f>
        <v/>
      </c>
    </row>
    <row r="472" ht="15" customHeight="1">
      <c r="A472" t="inlineStr">
        <is>
          <t>A 28159-2025</t>
        </is>
      </c>
      <c r="B472" s="1" t="n">
        <v>45818.36550925926</v>
      </c>
      <c r="C472" s="1" t="n">
        <v>46093</v>
      </c>
      <c r="D472" t="inlineStr">
        <is>
          <t>VÄSTERNORRLANDS LÄN</t>
        </is>
      </c>
      <c r="E472" t="inlineStr">
        <is>
          <t>KRAMFORS</t>
        </is>
      </c>
      <c r="F472" t="inlineStr">
        <is>
          <t>SCA</t>
        </is>
      </c>
      <c r="G472" t="n">
        <v>2.9</v>
      </c>
      <c r="H472" t="n">
        <v>0</v>
      </c>
      <c r="I472" t="n">
        <v>1</v>
      </c>
      <c r="J472" t="n">
        <v>4</v>
      </c>
      <c r="K472" t="n">
        <v>0</v>
      </c>
      <c r="L472" t="n">
        <v>0</v>
      </c>
      <c r="M472" t="n">
        <v>0</v>
      </c>
      <c r="N472" t="n">
        <v>0</v>
      </c>
      <c r="O472" t="n">
        <v>4</v>
      </c>
      <c r="P472" t="n">
        <v>0</v>
      </c>
      <c r="Q472" t="n">
        <v>5</v>
      </c>
      <c r="R472" s="2" t="inlineStr">
        <is>
          <t>Gammelgransskål
Garnlav
Rosenticka
Ullticka
Svavelriska</t>
        </is>
      </c>
      <c r="S472">
        <f>HYPERLINK("https://klasma.github.io/Logging_2282/artfynd/A 28159-2025 artfynd.xlsx", "A 28159-2025")</f>
        <v/>
      </c>
      <c r="T472">
        <f>HYPERLINK("https://klasma.github.io/Logging_2282/kartor/A 28159-2025 karta.png", "A 28159-2025")</f>
        <v/>
      </c>
      <c r="V472">
        <f>HYPERLINK("https://klasma.github.io/Logging_2282/klagomål/A 28159-2025 FSC-klagomål.docx", "A 28159-2025")</f>
        <v/>
      </c>
      <c r="W472">
        <f>HYPERLINK("https://klasma.github.io/Logging_2282/klagomålsmail/A 28159-2025 FSC-klagomål mail.docx", "A 28159-2025")</f>
        <v/>
      </c>
      <c r="X472">
        <f>HYPERLINK("https://klasma.github.io/Logging_2282/tillsyn/A 28159-2025 tillsynsbegäran.docx", "A 28159-2025")</f>
        <v/>
      </c>
      <c r="Y472">
        <f>HYPERLINK("https://klasma.github.io/Logging_2282/tillsynsmail/A 28159-2025 tillsynsbegäran mail.docx", "A 28159-2025")</f>
        <v/>
      </c>
    </row>
    <row r="473" ht="15" customHeight="1">
      <c r="A473" t="inlineStr">
        <is>
          <t>A 28406-2025</t>
        </is>
      </c>
      <c r="B473" s="1" t="n">
        <v>45819.34565972222</v>
      </c>
      <c r="C473" s="1" t="n">
        <v>46093</v>
      </c>
      <c r="D473" t="inlineStr">
        <is>
          <t>VÄSTERNORRLANDS LÄN</t>
        </is>
      </c>
      <c r="E473" t="inlineStr">
        <is>
          <t>SUNDSVALL</t>
        </is>
      </c>
      <c r="F473" t="inlineStr">
        <is>
          <t>Naturvårdsverket</t>
        </is>
      </c>
      <c r="G473" t="n">
        <v>27.4</v>
      </c>
      <c r="H473" t="n">
        <v>2</v>
      </c>
      <c r="I473" t="n">
        <v>0</v>
      </c>
      <c r="J473" t="n">
        <v>3</v>
      </c>
      <c r="K473" t="n">
        <v>0</v>
      </c>
      <c r="L473" t="n">
        <v>0</v>
      </c>
      <c r="M473" t="n">
        <v>0</v>
      </c>
      <c r="N473" t="n">
        <v>0</v>
      </c>
      <c r="O473" t="n">
        <v>3</v>
      </c>
      <c r="P473" t="n">
        <v>0</v>
      </c>
      <c r="Q473" t="n">
        <v>5</v>
      </c>
      <c r="R473" s="2" t="inlineStr">
        <is>
          <t>Garnlav
Lunglav
Ullticka
Vanlig groda
Fläcknycklar</t>
        </is>
      </c>
      <c r="S473">
        <f>HYPERLINK("https://klasma.github.io/Logging_2281/artfynd/A 28406-2025 artfynd.xlsx", "A 28406-2025")</f>
        <v/>
      </c>
      <c r="T473">
        <f>HYPERLINK("https://klasma.github.io/Logging_2281/kartor/A 28406-2025 karta.png", "A 28406-2025")</f>
        <v/>
      </c>
      <c r="V473">
        <f>HYPERLINK("https://klasma.github.io/Logging_2281/klagomål/A 28406-2025 FSC-klagomål.docx", "A 28406-2025")</f>
        <v/>
      </c>
      <c r="W473">
        <f>HYPERLINK("https://klasma.github.io/Logging_2281/klagomålsmail/A 28406-2025 FSC-klagomål mail.docx", "A 28406-2025")</f>
        <v/>
      </c>
      <c r="X473">
        <f>HYPERLINK("https://klasma.github.io/Logging_2281/tillsyn/A 28406-2025 tillsynsbegäran.docx", "A 28406-2025")</f>
        <v/>
      </c>
      <c r="Y473">
        <f>HYPERLINK("https://klasma.github.io/Logging_2281/tillsynsmail/A 28406-2025 tillsynsbegäran mail.docx", "A 28406-2025")</f>
        <v/>
      </c>
    </row>
    <row r="474" ht="15" customHeight="1">
      <c r="A474" t="inlineStr">
        <is>
          <t>A 30394-2025</t>
        </is>
      </c>
      <c r="B474" s="1" t="n">
        <v>45827.57431712963</v>
      </c>
      <c r="C474" s="1" t="n">
        <v>46093</v>
      </c>
      <c r="D474" t="inlineStr">
        <is>
          <t>VÄSTERNORRLANDS LÄN</t>
        </is>
      </c>
      <c r="E474" t="inlineStr">
        <is>
          <t>SUNDSVALL</t>
        </is>
      </c>
      <c r="F474" t="inlineStr">
        <is>
          <t>SCA</t>
        </is>
      </c>
      <c r="G474" t="n">
        <v>3.6</v>
      </c>
      <c r="H474" t="n">
        <v>3</v>
      </c>
      <c r="I474" t="n">
        <v>2</v>
      </c>
      <c r="J474" t="n">
        <v>2</v>
      </c>
      <c r="K474" t="n">
        <v>0</v>
      </c>
      <c r="L474" t="n">
        <v>0</v>
      </c>
      <c r="M474" t="n">
        <v>0</v>
      </c>
      <c r="N474" t="n">
        <v>0</v>
      </c>
      <c r="O474" t="n">
        <v>2</v>
      </c>
      <c r="P474" t="n">
        <v>0</v>
      </c>
      <c r="Q474" t="n">
        <v>5</v>
      </c>
      <c r="R474" s="2" t="inlineStr">
        <is>
          <t>Spillkråka
Tretåig hackspett
Barkticka
Grönpyrola
Kungsfågel</t>
        </is>
      </c>
      <c r="S474">
        <f>HYPERLINK("https://klasma.github.io/Logging_2281/artfynd/A 30394-2025 artfynd.xlsx", "A 30394-2025")</f>
        <v/>
      </c>
      <c r="T474">
        <f>HYPERLINK("https://klasma.github.io/Logging_2281/kartor/A 30394-2025 karta.png", "A 30394-2025")</f>
        <v/>
      </c>
      <c r="V474">
        <f>HYPERLINK("https://klasma.github.io/Logging_2281/klagomål/A 30394-2025 FSC-klagomål.docx", "A 30394-2025")</f>
        <v/>
      </c>
      <c r="W474">
        <f>HYPERLINK("https://klasma.github.io/Logging_2281/klagomålsmail/A 30394-2025 FSC-klagomål mail.docx", "A 30394-2025")</f>
        <v/>
      </c>
      <c r="X474">
        <f>HYPERLINK("https://klasma.github.io/Logging_2281/tillsyn/A 30394-2025 tillsynsbegäran.docx", "A 30394-2025")</f>
        <v/>
      </c>
      <c r="Y474">
        <f>HYPERLINK("https://klasma.github.io/Logging_2281/tillsynsmail/A 30394-2025 tillsynsbegäran mail.docx", "A 30394-2025")</f>
        <v/>
      </c>
      <c r="Z474">
        <f>HYPERLINK("https://klasma.github.io/Logging_2281/fåglar/A 30394-2025 prioriterade fågelarter.docx", "A 30394-2025")</f>
        <v/>
      </c>
    </row>
    <row r="475" ht="15" customHeight="1">
      <c r="A475" t="inlineStr">
        <is>
          <t>A 31424-2025</t>
        </is>
      </c>
      <c r="B475" s="1" t="n">
        <v>45833.49002314815</v>
      </c>
      <c r="C475" s="1" t="n">
        <v>46093</v>
      </c>
      <c r="D475" t="inlineStr">
        <is>
          <t>VÄSTERNORRLANDS LÄN</t>
        </is>
      </c>
      <c r="E475" t="inlineStr">
        <is>
          <t>SUNDSVALL</t>
        </is>
      </c>
      <c r="F475" t="inlineStr">
        <is>
          <t>Naturvårdsverket</t>
        </is>
      </c>
      <c r="G475" t="n">
        <v>2.4</v>
      </c>
      <c r="H475" t="n">
        <v>3</v>
      </c>
      <c r="I475" t="n">
        <v>1</v>
      </c>
      <c r="J475" t="n">
        <v>3</v>
      </c>
      <c r="K475" t="n">
        <v>0</v>
      </c>
      <c r="L475" t="n">
        <v>0</v>
      </c>
      <c r="M475" t="n">
        <v>0</v>
      </c>
      <c r="N475" t="n">
        <v>0</v>
      </c>
      <c r="O475" t="n">
        <v>3</v>
      </c>
      <c r="P475" t="n">
        <v>0</v>
      </c>
      <c r="Q475" t="n">
        <v>5</v>
      </c>
      <c r="R475" s="2" t="inlineStr">
        <is>
          <t>Garnlav
Talltita
Vedskivlav
Spindelblomster
Fläcknycklar</t>
        </is>
      </c>
      <c r="S475">
        <f>HYPERLINK("https://klasma.github.io/Logging_2281/artfynd/A 31424-2025 artfynd.xlsx", "A 31424-2025")</f>
        <v/>
      </c>
      <c r="T475">
        <f>HYPERLINK("https://klasma.github.io/Logging_2281/kartor/A 31424-2025 karta.png", "A 31424-2025")</f>
        <v/>
      </c>
      <c r="V475">
        <f>HYPERLINK("https://klasma.github.io/Logging_2281/klagomål/A 31424-2025 FSC-klagomål.docx", "A 31424-2025")</f>
        <v/>
      </c>
      <c r="W475">
        <f>HYPERLINK("https://klasma.github.io/Logging_2281/klagomålsmail/A 31424-2025 FSC-klagomål mail.docx", "A 31424-2025")</f>
        <v/>
      </c>
      <c r="X475">
        <f>HYPERLINK("https://klasma.github.io/Logging_2281/tillsyn/A 31424-2025 tillsynsbegäran.docx", "A 31424-2025")</f>
        <v/>
      </c>
      <c r="Y475">
        <f>HYPERLINK("https://klasma.github.io/Logging_2281/tillsynsmail/A 31424-2025 tillsynsbegäran mail.docx", "A 31424-2025")</f>
        <v/>
      </c>
      <c r="Z475">
        <f>HYPERLINK("https://klasma.github.io/Logging_2281/fåglar/A 31424-2025 prioriterade fågelarter.docx", "A 31424-2025")</f>
        <v/>
      </c>
    </row>
    <row r="476" ht="15" customHeight="1">
      <c r="A476" t="inlineStr">
        <is>
          <t>A 32076-2025</t>
        </is>
      </c>
      <c r="B476" s="1" t="n">
        <v>45835.4509837963</v>
      </c>
      <c r="C476" s="1" t="n">
        <v>46093</v>
      </c>
      <c r="D476" t="inlineStr">
        <is>
          <t>VÄSTERNORRLANDS LÄN</t>
        </is>
      </c>
      <c r="E476" t="inlineStr">
        <is>
          <t>ÖRNSKÖLDSVIK</t>
        </is>
      </c>
      <c r="G476" t="n">
        <v>6.3</v>
      </c>
      <c r="H476" t="n">
        <v>2</v>
      </c>
      <c r="I476" t="n">
        <v>0</v>
      </c>
      <c r="J476" t="n">
        <v>4</v>
      </c>
      <c r="K476" t="n">
        <v>1</v>
      </c>
      <c r="L476" t="n">
        <v>0</v>
      </c>
      <c r="M476" t="n">
        <v>0</v>
      </c>
      <c r="N476" t="n">
        <v>0</v>
      </c>
      <c r="O476" t="n">
        <v>5</v>
      </c>
      <c r="P476" t="n">
        <v>1</v>
      </c>
      <c r="Q476" t="n">
        <v>5</v>
      </c>
      <c r="R476" s="2" t="inlineStr">
        <is>
          <t>Rynkskinn
Granticka
Järpe
Tretåig hackspett
Ullticka</t>
        </is>
      </c>
      <c r="S476">
        <f>HYPERLINK("https://klasma.github.io/Logging_2284/artfynd/A 32076-2025 artfynd.xlsx", "A 32076-2025")</f>
        <v/>
      </c>
      <c r="T476">
        <f>HYPERLINK("https://klasma.github.io/Logging_2284/kartor/A 32076-2025 karta.png", "A 32076-2025")</f>
        <v/>
      </c>
      <c r="V476">
        <f>HYPERLINK("https://klasma.github.io/Logging_2284/klagomål/A 32076-2025 FSC-klagomål.docx", "A 32076-2025")</f>
        <v/>
      </c>
      <c r="W476">
        <f>HYPERLINK("https://klasma.github.io/Logging_2284/klagomålsmail/A 32076-2025 FSC-klagomål mail.docx", "A 32076-2025")</f>
        <v/>
      </c>
      <c r="X476">
        <f>HYPERLINK("https://klasma.github.io/Logging_2284/tillsyn/A 32076-2025 tillsynsbegäran.docx", "A 32076-2025")</f>
        <v/>
      </c>
      <c r="Y476">
        <f>HYPERLINK("https://klasma.github.io/Logging_2284/tillsynsmail/A 32076-2025 tillsynsbegäran mail.docx", "A 32076-2025")</f>
        <v/>
      </c>
      <c r="Z476">
        <f>HYPERLINK("https://klasma.github.io/Logging_2284/fåglar/A 32076-2025 prioriterade fågelarter.docx", "A 32076-2025")</f>
        <v/>
      </c>
    </row>
    <row r="477" ht="15" customHeight="1">
      <c r="A477" t="inlineStr">
        <is>
          <t>A 26756-2021</t>
        </is>
      </c>
      <c r="B477" s="1" t="n">
        <v>44349.42372685186</v>
      </c>
      <c r="C477" s="1" t="n">
        <v>46093</v>
      </c>
      <c r="D477" t="inlineStr">
        <is>
          <t>VÄSTERNORRLANDS LÄN</t>
        </is>
      </c>
      <c r="E477" t="inlineStr">
        <is>
          <t>ÖRNSKÖLDSVIK</t>
        </is>
      </c>
      <c r="F477" t="inlineStr">
        <is>
          <t>Holmen skog AB</t>
        </is>
      </c>
      <c r="G477" t="n">
        <v>5.5</v>
      </c>
      <c r="H477" t="n">
        <v>0</v>
      </c>
      <c r="I477" t="n">
        <v>0</v>
      </c>
      <c r="J477" t="n">
        <v>4</v>
      </c>
      <c r="K477" t="n">
        <v>0</v>
      </c>
      <c r="L477" t="n">
        <v>0</v>
      </c>
      <c r="M477" t="n">
        <v>0</v>
      </c>
      <c r="N477" t="n">
        <v>0</v>
      </c>
      <c r="O477" t="n">
        <v>4</v>
      </c>
      <c r="P477" t="n">
        <v>0</v>
      </c>
      <c r="Q477" t="n">
        <v>4</v>
      </c>
      <c r="R477" s="2" t="inlineStr">
        <is>
          <t>Dvärgbägarlav
Orange taggsvamp
Skrovlig taggsvamp
Svart taggsvamp agg.</t>
        </is>
      </c>
      <c r="S477">
        <f>HYPERLINK("https://klasma.github.io/Logging_2284/artfynd/A 26756-2021 artfynd.xlsx", "A 26756-2021")</f>
        <v/>
      </c>
      <c r="T477">
        <f>HYPERLINK("https://klasma.github.io/Logging_2284/kartor/A 26756-2021 karta.png", "A 26756-2021")</f>
        <v/>
      </c>
      <c r="V477">
        <f>HYPERLINK("https://klasma.github.io/Logging_2284/klagomål/A 26756-2021 FSC-klagomål.docx", "A 26756-2021")</f>
        <v/>
      </c>
      <c r="W477">
        <f>HYPERLINK("https://klasma.github.io/Logging_2284/klagomålsmail/A 26756-2021 FSC-klagomål mail.docx", "A 26756-2021")</f>
        <v/>
      </c>
      <c r="X477">
        <f>HYPERLINK("https://klasma.github.io/Logging_2284/tillsyn/A 26756-2021 tillsynsbegäran.docx", "A 26756-2021")</f>
        <v/>
      </c>
      <c r="Y477">
        <f>HYPERLINK("https://klasma.github.io/Logging_2284/tillsynsmail/A 26756-2021 tillsynsbegäran mail.docx", "A 26756-2021")</f>
        <v/>
      </c>
    </row>
    <row r="478" ht="15" customHeight="1">
      <c r="A478" t="inlineStr">
        <is>
          <t>A 3795-2022</t>
        </is>
      </c>
      <c r="B478" s="1" t="n">
        <v>44586</v>
      </c>
      <c r="C478" s="1" t="n">
        <v>46093</v>
      </c>
      <c r="D478" t="inlineStr">
        <is>
          <t>VÄSTERNORRLANDS LÄN</t>
        </is>
      </c>
      <c r="E478" t="inlineStr">
        <is>
          <t>SOLLEFTEÅ</t>
        </is>
      </c>
      <c r="F478" t="inlineStr">
        <is>
          <t>SCA</t>
        </is>
      </c>
      <c r="G478" t="n">
        <v>1.3</v>
      </c>
      <c r="H478" t="n">
        <v>3</v>
      </c>
      <c r="I478" t="n">
        <v>0</v>
      </c>
      <c r="J478" t="n">
        <v>3</v>
      </c>
      <c r="K478" t="n">
        <v>1</v>
      </c>
      <c r="L478" t="n">
        <v>0</v>
      </c>
      <c r="M478" t="n">
        <v>0</v>
      </c>
      <c r="N478" t="n">
        <v>0</v>
      </c>
      <c r="O478" t="n">
        <v>4</v>
      </c>
      <c r="P478" t="n">
        <v>1</v>
      </c>
      <c r="Q478" t="n">
        <v>4</v>
      </c>
      <c r="R478" s="2" t="inlineStr">
        <is>
          <t>Knärot
Garnlav
Talltita
Tretåig hackspett</t>
        </is>
      </c>
      <c r="S478">
        <f>HYPERLINK("https://klasma.github.io/Logging_2283/artfynd/A 3795-2022 artfynd.xlsx", "A 3795-2022")</f>
        <v/>
      </c>
      <c r="T478">
        <f>HYPERLINK("https://klasma.github.io/Logging_2283/kartor/A 3795-2022 karta.png", "A 3795-2022")</f>
        <v/>
      </c>
      <c r="U478">
        <f>HYPERLINK("https://klasma.github.io/Logging_2283/knärot/A 3795-2022 karta knärot.png", "A 3795-2022")</f>
        <v/>
      </c>
      <c r="V478">
        <f>HYPERLINK("https://klasma.github.io/Logging_2283/klagomål/A 3795-2022 FSC-klagomål.docx", "A 3795-2022")</f>
        <v/>
      </c>
      <c r="W478">
        <f>HYPERLINK("https://klasma.github.io/Logging_2283/klagomålsmail/A 3795-2022 FSC-klagomål mail.docx", "A 3795-2022")</f>
        <v/>
      </c>
      <c r="X478">
        <f>HYPERLINK("https://klasma.github.io/Logging_2283/tillsyn/A 3795-2022 tillsynsbegäran.docx", "A 3795-2022")</f>
        <v/>
      </c>
      <c r="Y478">
        <f>HYPERLINK("https://klasma.github.io/Logging_2283/tillsynsmail/A 3795-2022 tillsynsbegäran mail.docx", "A 3795-2022")</f>
        <v/>
      </c>
      <c r="Z478">
        <f>HYPERLINK("https://klasma.github.io/Logging_2283/fåglar/A 3795-2022 prioriterade fågelarter.docx", "A 3795-2022")</f>
        <v/>
      </c>
    </row>
    <row r="479" ht="15" customHeight="1">
      <c r="A479" t="inlineStr">
        <is>
          <t>A 24268-2021</t>
        </is>
      </c>
      <c r="B479" s="1" t="n">
        <v>44336</v>
      </c>
      <c r="C479" s="1" t="n">
        <v>46093</v>
      </c>
      <c r="D479" t="inlineStr">
        <is>
          <t>VÄSTERNORRLANDS LÄN</t>
        </is>
      </c>
      <c r="E479" t="inlineStr">
        <is>
          <t>SUNDSVALL</t>
        </is>
      </c>
      <c r="F479" t="inlineStr">
        <is>
          <t>SCA</t>
        </is>
      </c>
      <c r="G479" t="n">
        <v>5.4</v>
      </c>
      <c r="H479" t="n">
        <v>3</v>
      </c>
      <c r="I479" t="n">
        <v>0</v>
      </c>
      <c r="J479" t="n">
        <v>1</v>
      </c>
      <c r="K479" t="n">
        <v>1</v>
      </c>
      <c r="L479" t="n">
        <v>0</v>
      </c>
      <c r="M479" t="n">
        <v>0</v>
      </c>
      <c r="N479" t="n">
        <v>0</v>
      </c>
      <c r="O479" t="n">
        <v>2</v>
      </c>
      <c r="P479" t="n">
        <v>1</v>
      </c>
      <c r="Q479" t="n">
        <v>4</v>
      </c>
      <c r="R479" s="2" t="inlineStr">
        <is>
          <t>Knärot
Lunglav
Fläcknycklar
Revlummer</t>
        </is>
      </c>
      <c r="S479">
        <f>HYPERLINK("https://klasma.github.io/Logging_2281/artfynd/A 24268-2021 artfynd.xlsx", "A 24268-2021")</f>
        <v/>
      </c>
      <c r="T479">
        <f>HYPERLINK("https://klasma.github.io/Logging_2281/kartor/A 24268-2021 karta.png", "A 24268-2021")</f>
        <v/>
      </c>
      <c r="U479">
        <f>HYPERLINK("https://klasma.github.io/Logging_2281/knärot/A 24268-2021 karta knärot.png", "A 24268-2021")</f>
        <v/>
      </c>
      <c r="V479">
        <f>HYPERLINK("https://klasma.github.io/Logging_2281/klagomål/A 24268-2021 FSC-klagomål.docx", "A 24268-2021")</f>
        <v/>
      </c>
      <c r="W479">
        <f>HYPERLINK("https://klasma.github.io/Logging_2281/klagomålsmail/A 24268-2021 FSC-klagomål mail.docx", "A 24268-2021")</f>
        <v/>
      </c>
      <c r="X479">
        <f>HYPERLINK("https://klasma.github.io/Logging_2281/tillsyn/A 24268-2021 tillsynsbegäran.docx", "A 24268-2021")</f>
        <v/>
      </c>
      <c r="Y479">
        <f>HYPERLINK("https://klasma.github.io/Logging_2281/tillsynsmail/A 24268-2021 tillsynsbegäran mail.docx", "A 24268-2021")</f>
        <v/>
      </c>
    </row>
    <row r="480" ht="15" customHeight="1">
      <c r="A480" t="inlineStr">
        <is>
          <t>A 26175-2021</t>
        </is>
      </c>
      <c r="B480" s="1" t="n">
        <v>44344</v>
      </c>
      <c r="C480" s="1" t="n">
        <v>46093</v>
      </c>
      <c r="D480" t="inlineStr">
        <is>
          <t>VÄSTERNORRLANDS LÄN</t>
        </is>
      </c>
      <c r="E480" t="inlineStr">
        <is>
          <t>ÖRNSKÖLDSVIK</t>
        </is>
      </c>
      <c r="G480" t="n">
        <v>0.5</v>
      </c>
      <c r="H480" t="n">
        <v>0</v>
      </c>
      <c r="I480" t="n">
        <v>0</v>
      </c>
      <c r="J480" t="n">
        <v>4</v>
      </c>
      <c r="K480" t="n">
        <v>0</v>
      </c>
      <c r="L480" t="n">
        <v>0</v>
      </c>
      <c r="M480" t="n">
        <v>0</v>
      </c>
      <c r="N480" t="n">
        <v>0</v>
      </c>
      <c r="O480" t="n">
        <v>4</v>
      </c>
      <c r="P480" t="n">
        <v>0</v>
      </c>
      <c r="Q480" t="n">
        <v>4</v>
      </c>
      <c r="R480" s="2" t="inlineStr">
        <is>
          <t>Kortskaftad ärgspik
Tallticka
Vedflamlav
Vedskivlav</t>
        </is>
      </c>
      <c r="S480">
        <f>HYPERLINK("https://klasma.github.io/Logging_2284/artfynd/A 26175-2021 artfynd.xlsx", "A 26175-2021")</f>
        <v/>
      </c>
      <c r="T480">
        <f>HYPERLINK("https://klasma.github.io/Logging_2284/kartor/A 26175-2021 karta.png", "A 26175-2021")</f>
        <v/>
      </c>
      <c r="V480">
        <f>HYPERLINK("https://klasma.github.io/Logging_2284/klagomål/A 26175-2021 FSC-klagomål.docx", "A 26175-2021")</f>
        <v/>
      </c>
      <c r="W480">
        <f>HYPERLINK("https://klasma.github.io/Logging_2284/klagomålsmail/A 26175-2021 FSC-klagomål mail.docx", "A 26175-2021")</f>
        <v/>
      </c>
      <c r="X480">
        <f>HYPERLINK("https://klasma.github.io/Logging_2284/tillsyn/A 26175-2021 tillsynsbegäran.docx", "A 26175-2021")</f>
        <v/>
      </c>
      <c r="Y480">
        <f>HYPERLINK("https://klasma.github.io/Logging_2284/tillsynsmail/A 26175-2021 tillsynsbegäran mail.docx", "A 26175-2021")</f>
        <v/>
      </c>
    </row>
    <row r="481" ht="15" customHeight="1">
      <c r="A481" t="inlineStr">
        <is>
          <t>A 21663-2022</t>
        </is>
      </c>
      <c r="B481" s="1" t="n">
        <v>44706.94302083334</v>
      </c>
      <c r="C481" s="1" t="n">
        <v>46093</v>
      </c>
      <c r="D481" t="inlineStr">
        <is>
          <t>VÄSTERNORRLANDS LÄN</t>
        </is>
      </c>
      <c r="E481" t="inlineStr">
        <is>
          <t>SUNDSVALL</t>
        </is>
      </c>
      <c r="F481" t="inlineStr">
        <is>
          <t>SCA</t>
        </is>
      </c>
      <c r="G481" t="n">
        <v>1.5</v>
      </c>
      <c r="H481" t="n">
        <v>2</v>
      </c>
      <c r="I481" t="n">
        <v>0</v>
      </c>
      <c r="J481" t="n">
        <v>4</v>
      </c>
      <c r="K481" t="n">
        <v>0</v>
      </c>
      <c r="L481" t="n">
        <v>0</v>
      </c>
      <c r="M481" t="n">
        <v>0</v>
      </c>
      <c r="N481" t="n">
        <v>0</v>
      </c>
      <c r="O481" t="n">
        <v>4</v>
      </c>
      <c r="P481" t="n">
        <v>0</v>
      </c>
      <c r="Q481" t="n">
        <v>4</v>
      </c>
      <c r="R481" s="2" t="inlineStr">
        <is>
          <t>Garnlav
Svartvit flugsnappare
Talltita
Ullticka</t>
        </is>
      </c>
      <c r="S481">
        <f>HYPERLINK("https://klasma.github.io/Logging_2281/artfynd/A 21663-2022 artfynd.xlsx", "A 21663-2022")</f>
        <v/>
      </c>
      <c r="T481">
        <f>HYPERLINK("https://klasma.github.io/Logging_2281/kartor/A 21663-2022 karta.png", "A 21663-2022")</f>
        <v/>
      </c>
      <c r="U481">
        <f>HYPERLINK("https://klasma.github.io/Logging_2281/knärot/A 21663-2022 karta knärot.png", "A 21663-2022")</f>
        <v/>
      </c>
      <c r="V481">
        <f>HYPERLINK("https://klasma.github.io/Logging_2281/klagomål/A 21663-2022 FSC-klagomål.docx", "A 21663-2022")</f>
        <v/>
      </c>
      <c r="W481">
        <f>HYPERLINK("https://klasma.github.io/Logging_2281/klagomålsmail/A 21663-2022 FSC-klagomål mail.docx", "A 21663-2022")</f>
        <v/>
      </c>
      <c r="X481">
        <f>HYPERLINK("https://klasma.github.io/Logging_2281/tillsyn/A 21663-2022 tillsynsbegäran.docx", "A 21663-2022")</f>
        <v/>
      </c>
      <c r="Y481">
        <f>HYPERLINK("https://klasma.github.io/Logging_2281/tillsynsmail/A 21663-2022 tillsynsbegäran mail.docx", "A 21663-2022")</f>
        <v/>
      </c>
      <c r="Z481">
        <f>HYPERLINK("https://klasma.github.io/Logging_2281/fåglar/A 21663-2022 prioriterade fågelarter.docx", "A 21663-2022")</f>
        <v/>
      </c>
    </row>
    <row r="482" ht="15" customHeight="1">
      <c r="A482" t="inlineStr">
        <is>
          <t>A 48061-2022</t>
        </is>
      </c>
      <c r="B482" s="1" t="n">
        <v>44855</v>
      </c>
      <c r="C482" s="1" t="n">
        <v>46093</v>
      </c>
      <c r="D482" t="inlineStr">
        <is>
          <t>VÄSTERNORRLANDS LÄN</t>
        </is>
      </c>
      <c r="E482" t="inlineStr">
        <is>
          <t>SOLLEFTEÅ</t>
        </is>
      </c>
      <c r="F482" t="inlineStr">
        <is>
          <t>SCA</t>
        </is>
      </c>
      <c r="G482" t="n">
        <v>4.1</v>
      </c>
      <c r="H482" t="n">
        <v>0</v>
      </c>
      <c r="I482" t="n">
        <v>1</v>
      </c>
      <c r="J482" t="n">
        <v>2</v>
      </c>
      <c r="K482" t="n">
        <v>1</v>
      </c>
      <c r="L482" t="n">
        <v>0</v>
      </c>
      <c r="M482" t="n">
        <v>0</v>
      </c>
      <c r="N482" t="n">
        <v>0</v>
      </c>
      <c r="O482" t="n">
        <v>3</v>
      </c>
      <c r="P482" t="n">
        <v>1</v>
      </c>
      <c r="Q482" t="n">
        <v>4</v>
      </c>
      <c r="R482" s="2" t="inlineStr">
        <is>
          <t>Rynkskinn
Rosenticka
Ullticka
Trådticka</t>
        </is>
      </c>
      <c r="S482">
        <f>HYPERLINK("https://klasma.github.io/Logging_2283/artfynd/A 48061-2022 artfynd.xlsx", "A 48061-2022")</f>
        <v/>
      </c>
      <c r="T482">
        <f>HYPERLINK("https://klasma.github.io/Logging_2283/kartor/A 48061-2022 karta.png", "A 48061-2022")</f>
        <v/>
      </c>
      <c r="V482">
        <f>HYPERLINK("https://klasma.github.io/Logging_2283/klagomål/A 48061-2022 FSC-klagomål.docx", "A 48061-2022")</f>
        <v/>
      </c>
      <c r="W482">
        <f>HYPERLINK("https://klasma.github.io/Logging_2283/klagomålsmail/A 48061-2022 FSC-klagomål mail.docx", "A 48061-2022")</f>
        <v/>
      </c>
      <c r="X482">
        <f>HYPERLINK("https://klasma.github.io/Logging_2283/tillsyn/A 48061-2022 tillsynsbegäran.docx", "A 48061-2022")</f>
        <v/>
      </c>
      <c r="Y482">
        <f>HYPERLINK("https://klasma.github.io/Logging_2283/tillsynsmail/A 48061-2022 tillsynsbegäran mail.docx", "A 48061-2022")</f>
        <v/>
      </c>
    </row>
    <row r="483" ht="15" customHeight="1">
      <c r="A483" t="inlineStr">
        <is>
          <t>A 27950-2022</t>
        </is>
      </c>
      <c r="B483" s="1" t="n">
        <v>44743.94391203704</v>
      </c>
      <c r="C483" s="1" t="n">
        <v>46093</v>
      </c>
      <c r="D483" t="inlineStr">
        <is>
          <t>VÄSTERNORRLANDS LÄN</t>
        </is>
      </c>
      <c r="E483" t="inlineStr">
        <is>
          <t>SUNDSVALL</t>
        </is>
      </c>
      <c r="F483" t="inlineStr">
        <is>
          <t>SCA</t>
        </is>
      </c>
      <c r="G483" t="n">
        <v>3.6</v>
      </c>
      <c r="H483" t="n">
        <v>4</v>
      </c>
      <c r="I483" t="n">
        <v>0</v>
      </c>
      <c r="J483" t="n">
        <v>3</v>
      </c>
      <c r="K483" t="n">
        <v>1</v>
      </c>
      <c r="L483" t="n">
        <v>0</v>
      </c>
      <c r="M483" t="n">
        <v>0</v>
      </c>
      <c r="N483" t="n">
        <v>0</v>
      </c>
      <c r="O483" t="n">
        <v>4</v>
      </c>
      <c r="P483" t="n">
        <v>1</v>
      </c>
      <c r="Q483" t="n">
        <v>4</v>
      </c>
      <c r="R483" s="2" t="inlineStr">
        <is>
          <t>Knärot
Järpe
Spillkråka
Tretåig hackspett</t>
        </is>
      </c>
      <c r="S483">
        <f>HYPERLINK("https://klasma.github.io/Logging_2281/artfynd/A 27950-2022 artfynd.xlsx", "A 27950-2022")</f>
        <v/>
      </c>
      <c r="T483">
        <f>HYPERLINK("https://klasma.github.io/Logging_2281/kartor/A 27950-2022 karta.png", "A 27950-2022")</f>
        <v/>
      </c>
      <c r="U483">
        <f>HYPERLINK("https://klasma.github.io/Logging_2281/knärot/A 27950-2022 karta knärot.png", "A 27950-2022")</f>
        <v/>
      </c>
      <c r="V483">
        <f>HYPERLINK("https://klasma.github.io/Logging_2281/klagomål/A 27950-2022 FSC-klagomål.docx", "A 27950-2022")</f>
        <v/>
      </c>
      <c r="W483">
        <f>HYPERLINK("https://klasma.github.io/Logging_2281/klagomålsmail/A 27950-2022 FSC-klagomål mail.docx", "A 27950-2022")</f>
        <v/>
      </c>
      <c r="X483">
        <f>HYPERLINK("https://klasma.github.io/Logging_2281/tillsyn/A 27950-2022 tillsynsbegäran.docx", "A 27950-2022")</f>
        <v/>
      </c>
      <c r="Y483">
        <f>HYPERLINK("https://klasma.github.io/Logging_2281/tillsynsmail/A 27950-2022 tillsynsbegäran mail.docx", "A 27950-2022")</f>
        <v/>
      </c>
      <c r="Z483">
        <f>HYPERLINK("https://klasma.github.io/Logging_2281/fåglar/A 27950-2022 prioriterade fågelarter.docx", "A 27950-2022")</f>
        <v/>
      </c>
    </row>
    <row r="484" ht="15" customHeight="1">
      <c r="A484" t="inlineStr">
        <is>
          <t>A 46548-2023</t>
        </is>
      </c>
      <c r="B484" s="1" t="n">
        <v>45197</v>
      </c>
      <c r="C484" s="1" t="n">
        <v>46093</v>
      </c>
      <c r="D484" t="inlineStr">
        <is>
          <t>VÄSTERNORRLANDS LÄN</t>
        </is>
      </c>
      <c r="E484" t="inlineStr">
        <is>
          <t>ÅNGE</t>
        </is>
      </c>
      <c r="F484" t="inlineStr">
        <is>
          <t>SCA</t>
        </is>
      </c>
      <c r="G484" t="n">
        <v>4.1</v>
      </c>
      <c r="H484" t="n">
        <v>3</v>
      </c>
      <c r="I484" t="n">
        <v>2</v>
      </c>
      <c r="J484" t="n">
        <v>0</v>
      </c>
      <c r="K484" t="n">
        <v>1</v>
      </c>
      <c r="L484" t="n">
        <v>0</v>
      </c>
      <c r="M484" t="n">
        <v>0</v>
      </c>
      <c r="N484" t="n">
        <v>0</v>
      </c>
      <c r="O484" t="n">
        <v>1</v>
      </c>
      <c r="P484" t="n">
        <v>1</v>
      </c>
      <c r="Q484" t="n">
        <v>4</v>
      </c>
      <c r="R484" s="2" t="inlineStr">
        <is>
          <t>Knärot
Spindelblomster
Svavelriska
Fläcknycklar</t>
        </is>
      </c>
      <c r="S484">
        <f>HYPERLINK("https://klasma.github.io/Logging_2260/artfynd/A 46548-2023 artfynd.xlsx", "A 46548-2023")</f>
        <v/>
      </c>
      <c r="T484">
        <f>HYPERLINK("https://klasma.github.io/Logging_2260/kartor/A 46548-2023 karta.png", "A 46548-2023")</f>
        <v/>
      </c>
      <c r="U484">
        <f>HYPERLINK("https://klasma.github.io/Logging_2260/knärot/A 46548-2023 karta knärot.png", "A 46548-2023")</f>
        <v/>
      </c>
      <c r="V484">
        <f>HYPERLINK("https://klasma.github.io/Logging_2260/klagomål/A 46548-2023 FSC-klagomål.docx", "A 46548-2023")</f>
        <v/>
      </c>
      <c r="W484">
        <f>HYPERLINK("https://klasma.github.io/Logging_2260/klagomålsmail/A 46548-2023 FSC-klagomål mail.docx", "A 46548-2023")</f>
        <v/>
      </c>
      <c r="X484">
        <f>HYPERLINK("https://klasma.github.io/Logging_2260/tillsyn/A 46548-2023 tillsynsbegäran.docx", "A 46548-2023")</f>
        <v/>
      </c>
      <c r="Y484">
        <f>HYPERLINK("https://klasma.github.io/Logging_2260/tillsynsmail/A 46548-2023 tillsynsbegäran mail.docx", "A 46548-2023")</f>
        <v/>
      </c>
    </row>
    <row r="485" ht="15" customHeight="1">
      <c r="A485" t="inlineStr">
        <is>
          <t>A 27556-2021</t>
        </is>
      </c>
      <c r="B485" s="1" t="n">
        <v>44351.9390162037</v>
      </c>
      <c r="C485" s="1" t="n">
        <v>46093</v>
      </c>
      <c r="D485" t="inlineStr">
        <is>
          <t>VÄSTERNORRLANDS LÄN</t>
        </is>
      </c>
      <c r="E485" t="inlineStr">
        <is>
          <t>SUNDSVALL</t>
        </is>
      </c>
      <c r="F485" t="inlineStr">
        <is>
          <t>SCA</t>
        </is>
      </c>
      <c r="G485" t="n">
        <v>9.4</v>
      </c>
      <c r="H485" t="n">
        <v>1</v>
      </c>
      <c r="I485" t="n">
        <v>0</v>
      </c>
      <c r="J485" t="n">
        <v>3</v>
      </c>
      <c r="K485" t="n">
        <v>0</v>
      </c>
      <c r="L485" t="n">
        <v>0</v>
      </c>
      <c r="M485" t="n">
        <v>0</v>
      </c>
      <c r="N485" t="n">
        <v>0</v>
      </c>
      <c r="O485" t="n">
        <v>3</v>
      </c>
      <c r="P485" t="n">
        <v>0</v>
      </c>
      <c r="Q485" t="n">
        <v>4</v>
      </c>
      <c r="R485" s="2" t="inlineStr">
        <is>
          <t>Doftskinn
Gränsticka
Ullticka
Revlummer</t>
        </is>
      </c>
      <c r="S485">
        <f>HYPERLINK("https://klasma.github.io/Logging_2281/artfynd/A 27556-2021 artfynd.xlsx", "A 27556-2021")</f>
        <v/>
      </c>
      <c r="T485">
        <f>HYPERLINK("https://klasma.github.io/Logging_2281/kartor/A 27556-2021 karta.png", "A 27556-2021")</f>
        <v/>
      </c>
      <c r="V485">
        <f>HYPERLINK("https://klasma.github.io/Logging_2281/klagomål/A 27556-2021 FSC-klagomål.docx", "A 27556-2021")</f>
        <v/>
      </c>
      <c r="W485">
        <f>HYPERLINK("https://klasma.github.io/Logging_2281/klagomålsmail/A 27556-2021 FSC-klagomål mail.docx", "A 27556-2021")</f>
        <v/>
      </c>
      <c r="X485">
        <f>HYPERLINK("https://klasma.github.io/Logging_2281/tillsyn/A 27556-2021 tillsynsbegäran.docx", "A 27556-2021")</f>
        <v/>
      </c>
      <c r="Y485">
        <f>HYPERLINK("https://klasma.github.io/Logging_2281/tillsynsmail/A 27556-2021 tillsynsbegäran mail.docx", "A 27556-2021")</f>
        <v/>
      </c>
    </row>
    <row r="486" ht="15" customHeight="1">
      <c r="A486" t="inlineStr">
        <is>
          <t>A 19898-2025</t>
        </is>
      </c>
      <c r="B486" s="1" t="n">
        <v>45771.58626157408</v>
      </c>
      <c r="C486" s="1" t="n">
        <v>46093</v>
      </c>
      <c r="D486" t="inlineStr">
        <is>
          <t>VÄSTERNORRLANDS LÄN</t>
        </is>
      </c>
      <c r="E486" t="inlineStr">
        <is>
          <t>SOLLEFTEÅ</t>
        </is>
      </c>
      <c r="G486" t="n">
        <v>12.4</v>
      </c>
      <c r="H486" t="n">
        <v>0</v>
      </c>
      <c r="I486" t="n">
        <v>1</v>
      </c>
      <c r="J486" t="n">
        <v>3</v>
      </c>
      <c r="K486" t="n">
        <v>0</v>
      </c>
      <c r="L486" t="n">
        <v>0</v>
      </c>
      <c r="M486" t="n">
        <v>0</v>
      </c>
      <c r="N486" t="n">
        <v>0</v>
      </c>
      <c r="O486" t="n">
        <v>3</v>
      </c>
      <c r="P486" t="n">
        <v>0</v>
      </c>
      <c r="Q486" t="n">
        <v>4</v>
      </c>
      <c r="R486" s="2" t="inlineStr">
        <is>
          <t>Garnlav
Rosenticka
Vitgrynig nållav
Barkticka</t>
        </is>
      </c>
      <c r="S486">
        <f>HYPERLINK("https://klasma.github.io/Logging_2283/artfynd/A 19898-2025 artfynd.xlsx", "A 19898-2025")</f>
        <v/>
      </c>
      <c r="T486">
        <f>HYPERLINK("https://klasma.github.io/Logging_2283/kartor/A 19898-2025 karta.png", "A 19898-2025")</f>
        <v/>
      </c>
      <c r="V486">
        <f>HYPERLINK("https://klasma.github.io/Logging_2283/klagomål/A 19898-2025 FSC-klagomål.docx", "A 19898-2025")</f>
        <v/>
      </c>
      <c r="W486">
        <f>HYPERLINK("https://klasma.github.io/Logging_2283/klagomålsmail/A 19898-2025 FSC-klagomål mail.docx", "A 19898-2025")</f>
        <v/>
      </c>
      <c r="X486">
        <f>HYPERLINK("https://klasma.github.io/Logging_2283/tillsyn/A 19898-2025 tillsynsbegäran.docx", "A 19898-2025")</f>
        <v/>
      </c>
      <c r="Y486">
        <f>HYPERLINK("https://klasma.github.io/Logging_2283/tillsynsmail/A 19898-2025 tillsynsbegäran mail.docx", "A 19898-2025")</f>
        <v/>
      </c>
    </row>
    <row r="487" ht="15" customHeight="1">
      <c r="A487" t="inlineStr">
        <is>
          <t>A 5881-2024</t>
        </is>
      </c>
      <c r="B487" s="1" t="n">
        <v>45335</v>
      </c>
      <c r="C487" s="1" t="n">
        <v>46093</v>
      </c>
      <c r="D487" t="inlineStr">
        <is>
          <t>VÄSTERNORRLANDS LÄN</t>
        </is>
      </c>
      <c r="E487" t="inlineStr">
        <is>
          <t>HÄRNÖSAND</t>
        </is>
      </c>
      <c r="G487" t="n">
        <v>22.9</v>
      </c>
      <c r="H487" t="n">
        <v>0</v>
      </c>
      <c r="I487" t="n">
        <v>1</v>
      </c>
      <c r="J487" t="n">
        <v>3</v>
      </c>
      <c r="K487" t="n">
        <v>0</v>
      </c>
      <c r="L487" t="n">
        <v>0</v>
      </c>
      <c r="M487" t="n">
        <v>0</v>
      </c>
      <c r="N487" t="n">
        <v>0</v>
      </c>
      <c r="O487" t="n">
        <v>3</v>
      </c>
      <c r="P487" t="n">
        <v>0</v>
      </c>
      <c r="Q487" t="n">
        <v>4</v>
      </c>
      <c r="R487" s="2" t="inlineStr">
        <is>
          <t>Motaggsvamp
Rosenticka
Ullticka
Dropptaggsvamp</t>
        </is>
      </c>
      <c r="S487">
        <f>HYPERLINK("https://klasma.github.io/Logging_2280/artfynd/A 5881-2024 artfynd.xlsx", "A 5881-2024")</f>
        <v/>
      </c>
      <c r="T487">
        <f>HYPERLINK("https://klasma.github.io/Logging_2280/kartor/A 5881-2024 karta.png", "A 5881-2024")</f>
        <v/>
      </c>
      <c r="V487">
        <f>HYPERLINK("https://klasma.github.io/Logging_2280/klagomål/A 5881-2024 FSC-klagomål.docx", "A 5881-2024")</f>
        <v/>
      </c>
      <c r="W487">
        <f>HYPERLINK("https://klasma.github.io/Logging_2280/klagomålsmail/A 5881-2024 FSC-klagomål mail.docx", "A 5881-2024")</f>
        <v/>
      </c>
      <c r="X487">
        <f>HYPERLINK("https://klasma.github.io/Logging_2280/tillsyn/A 5881-2024 tillsynsbegäran.docx", "A 5881-2024")</f>
        <v/>
      </c>
      <c r="Y487">
        <f>HYPERLINK("https://klasma.github.io/Logging_2280/tillsynsmail/A 5881-2024 tillsynsbegäran mail.docx", "A 5881-2024")</f>
        <v/>
      </c>
    </row>
    <row r="488" ht="15" customHeight="1">
      <c r="A488" t="inlineStr">
        <is>
          <t>A 26467-2024</t>
        </is>
      </c>
      <c r="B488" s="1" t="n">
        <v>45469</v>
      </c>
      <c r="C488" s="1" t="n">
        <v>46093</v>
      </c>
      <c r="D488" t="inlineStr">
        <is>
          <t>VÄSTERNORRLANDS LÄN</t>
        </is>
      </c>
      <c r="E488" t="inlineStr">
        <is>
          <t>SOLLEFTEÅ</t>
        </is>
      </c>
      <c r="G488" t="n">
        <v>1.1</v>
      </c>
      <c r="H488" t="n">
        <v>2</v>
      </c>
      <c r="I488" t="n">
        <v>1</v>
      </c>
      <c r="J488" t="n">
        <v>1</v>
      </c>
      <c r="K488" t="n">
        <v>0</v>
      </c>
      <c r="L488" t="n">
        <v>0</v>
      </c>
      <c r="M488" t="n">
        <v>0</v>
      </c>
      <c r="N488" t="n">
        <v>0</v>
      </c>
      <c r="O488" t="n">
        <v>1</v>
      </c>
      <c r="P488" t="n">
        <v>0</v>
      </c>
      <c r="Q488" t="n">
        <v>4</v>
      </c>
      <c r="R488" s="2" t="inlineStr">
        <is>
          <t>Rosenticka
Springkorn
Skogsrör
Revlummer</t>
        </is>
      </c>
      <c r="S488">
        <f>HYPERLINK("https://klasma.github.io/Logging_2283/artfynd/A 26467-2024 artfynd.xlsx", "A 26467-2024")</f>
        <v/>
      </c>
      <c r="T488">
        <f>HYPERLINK("https://klasma.github.io/Logging_2283/kartor/A 26467-2024 karta.png", "A 26467-2024")</f>
        <v/>
      </c>
      <c r="V488">
        <f>HYPERLINK("https://klasma.github.io/Logging_2283/klagomål/A 26467-2024 FSC-klagomål.docx", "A 26467-2024")</f>
        <v/>
      </c>
      <c r="W488">
        <f>HYPERLINK("https://klasma.github.io/Logging_2283/klagomålsmail/A 26467-2024 FSC-klagomål mail.docx", "A 26467-2024")</f>
        <v/>
      </c>
      <c r="X488">
        <f>HYPERLINK("https://klasma.github.io/Logging_2283/tillsyn/A 26467-2024 tillsynsbegäran.docx", "A 26467-2024")</f>
        <v/>
      </c>
      <c r="Y488">
        <f>HYPERLINK("https://klasma.github.io/Logging_2283/tillsynsmail/A 26467-2024 tillsynsbegäran mail.docx", "A 26467-2024")</f>
        <v/>
      </c>
    </row>
    <row r="489" ht="15" customHeight="1">
      <c r="A489" t="inlineStr">
        <is>
          <t>A 44558-2024</t>
        </is>
      </c>
      <c r="B489" s="1" t="n">
        <v>45574.47001157407</v>
      </c>
      <c r="C489" s="1" t="n">
        <v>46093</v>
      </c>
      <c r="D489" t="inlineStr">
        <is>
          <t>VÄSTERNORRLANDS LÄN</t>
        </is>
      </c>
      <c r="E489" t="inlineStr">
        <is>
          <t>ÅNGE</t>
        </is>
      </c>
      <c r="F489" t="inlineStr">
        <is>
          <t>SCA</t>
        </is>
      </c>
      <c r="G489" t="n">
        <v>6.1</v>
      </c>
      <c r="H489" t="n">
        <v>0</v>
      </c>
      <c r="I489" t="n">
        <v>0</v>
      </c>
      <c r="J489" t="n">
        <v>3</v>
      </c>
      <c r="K489" t="n">
        <v>1</v>
      </c>
      <c r="L489" t="n">
        <v>0</v>
      </c>
      <c r="M489" t="n">
        <v>0</v>
      </c>
      <c r="N489" t="n">
        <v>0</v>
      </c>
      <c r="O489" t="n">
        <v>4</v>
      </c>
      <c r="P489" t="n">
        <v>1</v>
      </c>
      <c r="Q489" t="n">
        <v>4</v>
      </c>
      <c r="R489" s="2" t="inlineStr">
        <is>
          <t>Gräddporing
Kortskaftad ärgspik
Reliktbock
Ullticka</t>
        </is>
      </c>
      <c r="S489">
        <f>HYPERLINK("https://klasma.github.io/Logging_2260/artfynd/A 44558-2024 artfynd.xlsx", "A 44558-2024")</f>
        <v/>
      </c>
      <c r="T489">
        <f>HYPERLINK("https://klasma.github.io/Logging_2260/kartor/A 44558-2024 karta.png", "A 44558-2024")</f>
        <v/>
      </c>
      <c r="V489">
        <f>HYPERLINK("https://klasma.github.io/Logging_2260/klagomål/A 44558-2024 FSC-klagomål.docx", "A 44558-2024")</f>
        <v/>
      </c>
      <c r="W489">
        <f>HYPERLINK("https://klasma.github.io/Logging_2260/klagomålsmail/A 44558-2024 FSC-klagomål mail.docx", "A 44558-2024")</f>
        <v/>
      </c>
      <c r="X489">
        <f>HYPERLINK("https://klasma.github.io/Logging_2260/tillsyn/A 44558-2024 tillsynsbegäran.docx", "A 44558-2024")</f>
        <v/>
      </c>
      <c r="Y489">
        <f>HYPERLINK("https://klasma.github.io/Logging_2260/tillsynsmail/A 44558-2024 tillsynsbegäran mail.docx", "A 44558-2024")</f>
        <v/>
      </c>
    </row>
    <row r="490" ht="15" customHeight="1">
      <c r="A490" t="inlineStr">
        <is>
          <t>A 28007-2023</t>
        </is>
      </c>
      <c r="B490" s="1" t="n">
        <v>45098</v>
      </c>
      <c r="C490" s="1" t="n">
        <v>46093</v>
      </c>
      <c r="D490" t="inlineStr">
        <is>
          <t>VÄSTERNORRLANDS LÄN</t>
        </is>
      </c>
      <c r="E490" t="inlineStr">
        <is>
          <t>TIMRÅ</t>
        </is>
      </c>
      <c r="F490" t="inlineStr">
        <is>
          <t>SCA</t>
        </is>
      </c>
      <c r="G490" t="n">
        <v>1.1</v>
      </c>
      <c r="H490" t="n">
        <v>3</v>
      </c>
      <c r="I490" t="n">
        <v>1</v>
      </c>
      <c r="J490" t="n">
        <v>1</v>
      </c>
      <c r="K490" t="n">
        <v>0</v>
      </c>
      <c r="L490" t="n">
        <v>0</v>
      </c>
      <c r="M490" t="n">
        <v>0</v>
      </c>
      <c r="N490" t="n">
        <v>0</v>
      </c>
      <c r="O490" t="n">
        <v>1</v>
      </c>
      <c r="P490" t="n">
        <v>0</v>
      </c>
      <c r="Q490" t="n">
        <v>4</v>
      </c>
      <c r="R490" s="2" t="inlineStr">
        <is>
          <t>Spillkråka
Svart trolldruva
Kungsfågel
Nattviol</t>
        </is>
      </c>
      <c r="S490">
        <f>HYPERLINK("https://klasma.github.io/Logging_2262/artfynd/A 28007-2023 artfynd.xlsx", "A 28007-2023")</f>
        <v/>
      </c>
      <c r="T490">
        <f>HYPERLINK("https://klasma.github.io/Logging_2262/kartor/A 28007-2023 karta.png", "A 28007-2023")</f>
        <v/>
      </c>
      <c r="V490">
        <f>HYPERLINK("https://klasma.github.io/Logging_2262/klagomål/A 28007-2023 FSC-klagomål.docx", "A 28007-2023")</f>
        <v/>
      </c>
      <c r="W490">
        <f>HYPERLINK("https://klasma.github.io/Logging_2262/klagomålsmail/A 28007-2023 FSC-klagomål mail.docx", "A 28007-2023")</f>
        <v/>
      </c>
      <c r="X490">
        <f>HYPERLINK("https://klasma.github.io/Logging_2262/tillsyn/A 28007-2023 tillsynsbegäran.docx", "A 28007-2023")</f>
        <v/>
      </c>
      <c r="Y490">
        <f>HYPERLINK("https://klasma.github.io/Logging_2262/tillsynsmail/A 28007-2023 tillsynsbegäran mail.docx", "A 28007-2023")</f>
        <v/>
      </c>
      <c r="Z490">
        <f>HYPERLINK("https://klasma.github.io/Logging_2262/fåglar/A 28007-2023 prioriterade fågelarter.docx", "A 28007-2023")</f>
        <v/>
      </c>
    </row>
    <row r="491" ht="15" customHeight="1">
      <c r="A491" t="inlineStr">
        <is>
          <t>A 53130-2022</t>
        </is>
      </c>
      <c r="B491" s="1" t="n">
        <v>44873</v>
      </c>
      <c r="C491" s="1" t="n">
        <v>46093</v>
      </c>
      <c r="D491" t="inlineStr">
        <is>
          <t>VÄSTERNORRLANDS LÄN</t>
        </is>
      </c>
      <c r="E491" t="inlineStr">
        <is>
          <t>SOLLEFTEÅ</t>
        </is>
      </c>
      <c r="G491" t="n">
        <v>19.8</v>
      </c>
      <c r="H491" t="n">
        <v>2</v>
      </c>
      <c r="I491" t="n">
        <v>1</v>
      </c>
      <c r="J491" t="n">
        <v>2</v>
      </c>
      <c r="K491" t="n">
        <v>0</v>
      </c>
      <c r="L491" t="n">
        <v>0</v>
      </c>
      <c r="M491" t="n">
        <v>0</v>
      </c>
      <c r="N491" t="n">
        <v>0</v>
      </c>
      <c r="O491" t="n">
        <v>2</v>
      </c>
      <c r="P491" t="n">
        <v>0</v>
      </c>
      <c r="Q491" t="n">
        <v>4</v>
      </c>
      <c r="R491" s="2" t="inlineStr">
        <is>
          <t>Lunglav
Myrbräcka
Bårdlav
Fläcknycklar</t>
        </is>
      </c>
      <c r="S491">
        <f>HYPERLINK("https://klasma.github.io/Logging_2283/artfynd/A 53130-2022 artfynd.xlsx", "A 53130-2022")</f>
        <v/>
      </c>
      <c r="T491">
        <f>HYPERLINK("https://klasma.github.io/Logging_2283/kartor/A 53130-2022 karta.png", "A 53130-2022")</f>
        <v/>
      </c>
      <c r="V491">
        <f>HYPERLINK("https://klasma.github.io/Logging_2283/klagomål/A 53130-2022 FSC-klagomål.docx", "A 53130-2022")</f>
        <v/>
      </c>
      <c r="W491">
        <f>HYPERLINK("https://klasma.github.io/Logging_2283/klagomålsmail/A 53130-2022 FSC-klagomål mail.docx", "A 53130-2022")</f>
        <v/>
      </c>
      <c r="X491">
        <f>HYPERLINK("https://klasma.github.io/Logging_2283/tillsyn/A 53130-2022 tillsynsbegäran.docx", "A 53130-2022")</f>
        <v/>
      </c>
      <c r="Y491">
        <f>HYPERLINK("https://klasma.github.io/Logging_2283/tillsynsmail/A 53130-2022 tillsynsbegäran mail.docx", "A 53130-2022")</f>
        <v/>
      </c>
    </row>
    <row r="492" ht="15" customHeight="1">
      <c r="A492" t="inlineStr">
        <is>
          <t>A 11973-2024</t>
        </is>
      </c>
      <c r="B492" s="1" t="n">
        <v>45376</v>
      </c>
      <c r="C492" s="1" t="n">
        <v>46093</v>
      </c>
      <c r="D492" t="inlineStr">
        <is>
          <t>VÄSTERNORRLANDS LÄN</t>
        </is>
      </c>
      <c r="E492" t="inlineStr">
        <is>
          <t>HÄRNÖSAND</t>
        </is>
      </c>
      <c r="F492" t="inlineStr">
        <is>
          <t>SCA</t>
        </is>
      </c>
      <c r="G492" t="n">
        <v>7.9</v>
      </c>
      <c r="H492" t="n">
        <v>0</v>
      </c>
      <c r="I492" t="n">
        <v>1</v>
      </c>
      <c r="J492" t="n">
        <v>3</v>
      </c>
      <c r="K492" t="n">
        <v>0</v>
      </c>
      <c r="L492" t="n">
        <v>0</v>
      </c>
      <c r="M492" t="n">
        <v>0</v>
      </c>
      <c r="N492" t="n">
        <v>0</v>
      </c>
      <c r="O492" t="n">
        <v>3</v>
      </c>
      <c r="P492" t="n">
        <v>0</v>
      </c>
      <c r="Q492" t="n">
        <v>4</v>
      </c>
      <c r="R492" s="2" t="inlineStr">
        <is>
          <t>Garnlav
Lunglav
Violettgrå tagellav
Skinnlav</t>
        </is>
      </c>
      <c r="S492">
        <f>HYPERLINK("https://klasma.github.io/Logging_2280/artfynd/A 11973-2024 artfynd.xlsx", "A 11973-2024")</f>
        <v/>
      </c>
      <c r="T492">
        <f>HYPERLINK("https://klasma.github.io/Logging_2280/kartor/A 11973-2024 karta.png", "A 11973-2024")</f>
        <v/>
      </c>
      <c r="V492">
        <f>HYPERLINK("https://klasma.github.io/Logging_2280/klagomål/A 11973-2024 FSC-klagomål.docx", "A 11973-2024")</f>
        <v/>
      </c>
      <c r="W492">
        <f>HYPERLINK("https://klasma.github.io/Logging_2280/klagomålsmail/A 11973-2024 FSC-klagomål mail.docx", "A 11973-2024")</f>
        <v/>
      </c>
      <c r="X492">
        <f>HYPERLINK("https://klasma.github.io/Logging_2280/tillsyn/A 11973-2024 tillsynsbegäran.docx", "A 11973-2024")</f>
        <v/>
      </c>
      <c r="Y492">
        <f>HYPERLINK("https://klasma.github.io/Logging_2280/tillsynsmail/A 11973-2024 tillsynsbegäran mail.docx", "A 11973-2024")</f>
        <v/>
      </c>
    </row>
    <row r="493" ht="15" customHeight="1">
      <c r="A493" t="inlineStr">
        <is>
          <t>A 32218-2023</t>
        </is>
      </c>
      <c r="B493" s="1" t="n">
        <v>45119</v>
      </c>
      <c r="C493" s="1" t="n">
        <v>46093</v>
      </c>
      <c r="D493" t="inlineStr">
        <is>
          <t>VÄSTERNORRLANDS LÄN</t>
        </is>
      </c>
      <c r="E493" t="inlineStr">
        <is>
          <t>SOLLEFTEÅ</t>
        </is>
      </c>
      <c r="F493" t="inlineStr">
        <is>
          <t>SCA</t>
        </is>
      </c>
      <c r="G493" t="n">
        <v>2.1</v>
      </c>
      <c r="H493" t="n">
        <v>1</v>
      </c>
      <c r="I493" t="n">
        <v>0</v>
      </c>
      <c r="J493" t="n">
        <v>4</v>
      </c>
      <c r="K493" t="n">
        <v>0</v>
      </c>
      <c r="L493" t="n">
        <v>0</v>
      </c>
      <c r="M493" t="n">
        <v>0</v>
      </c>
      <c r="N493" t="n">
        <v>0</v>
      </c>
      <c r="O493" t="n">
        <v>4</v>
      </c>
      <c r="P493" t="n">
        <v>0</v>
      </c>
      <c r="Q493" t="n">
        <v>4</v>
      </c>
      <c r="R493" s="2" t="inlineStr">
        <is>
          <t>Garnlav
Lunglav
Tretåig hackspett
Ullticka</t>
        </is>
      </c>
      <c r="S493">
        <f>HYPERLINK("https://klasma.github.io/Logging_2283/artfynd/A 32218-2023 artfynd.xlsx", "A 32218-2023")</f>
        <v/>
      </c>
      <c r="T493">
        <f>HYPERLINK("https://klasma.github.io/Logging_2283/kartor/A 32218-2023 karta.png", "A 32218-2023")</f>
        <v/>
      </c>
      <c r="V493">
        <f>HYPERLINK("https://klasma.github.io/Logging_2283/klagomål/A 32218-2023 FSC-klagomål.docx", "A 32218-2023")</f>
        <v/>
      </c>
      <c r="W493">
        <f>HYPERLINK("https://klasma.github.io/Logging_2283/klagomålsmail/A 32218-2023 FSC-klagomål mail.docx", "A 32218-2023")</f>
        <v/>
      </c>
      <c r="X493">
        <f>HYPERLINK("https://klasma.github.io/Logging_2283/tillsyn/A 32218-2023 tillsynsbegäran.docx", "A 32218-2023")</f>
        <v/>
      </c>
      <c r="Y493">
        <f>HYPERLINK("https://klasma.github.io/Logging_2283/tillsynsmail/A 32218-2023 tillsynsbegäran mail.docx", "A 32218-2023")</f>
        <v/>
      </c>
      <c r="Z493">
        <f>HYPERLINK("https://klasma.github.io/Logging_2283/fåglar/A 32218-2023 prioriterade fågelarter.docx", "A 32218-2023")</f>
        <v/>
      </c>
    </row>
    <row r="494" ht="15" customHeight="1">
      <c r="A494" t="inlineStr">
        <is>
          <t>A 26313-2021</t>
        </is>
      </c>
      <c r="B494" s="1" t="n">
        <v>44347</v>
      </c>
      <c r="C494" s="1" t="n">
        <v>46093</v>
      </c>
      <c r="D494" t="inlineStr">
        <is>
          <t>VÄSTERNORRLANDS LÄN</t>
        </is>
      </c>
      <c r="E494" t="inlineStr">
        <is>
          <t>ÖRNSKÖLDSVIK</t>
        </is>
      </c>
      <c r="F494" t="inlineStr">
        <is>
          <t>Holmen skog AB</t>
        </is>
      </c>
      <c r="G494" t="n">
        <v>3.1</v>
      </c>
      <c r="H494" t="n">
        <v>1</v>
      </c>
      <c r="I494" t="n">
        <v>1</v>
      </c>
      <c r="J494" t="n">
        <v>1</v>
      </c>
      <c r="K494" t="n">
        <v>2</v>
      </c>
      <c r="L494" t="n">
        <v>0</v>
      </c>
      <c r="M494" t="n">
        <v>0</v>
      </c>
      <c r="N494" t="n">
        <v>0</v>
      </c>
      <c r="O494" t="n">
        <v>3</v>
      </c>
      <c r="P494" t="n">
        <v>2</v>
      </c>
      <c r="Q494" t="n">
        <v>4</v>
      </c>
      <c r="R494" s="2" t="inlineStr">
        <is>
          <t>Bombmurkla
Rynkskinn
Ullticka
Vedticka</t>
        </is>
      </c>
      <c r="S494">
        <f>HYPERLINK("https://klasma.github.io/Logging_2284/artfynd/A 26313-2021 artfynd.xlsx", "A 26313-2021")</f>
        <v/>
      </c>
      <c r="T494">
        <f>HYPERLINK("https://klasma.github.io/Logging_2284/kartor/A 26313-2021 karta.png", "A 26313-2021")</f>
        <v/>
      </c>
      <c r="V494">
        <f>HYPERLINK("https://klasma.github.io/Logging_2284/klagomål/A 26313-2021 FSC-klagomål.docx", "A 26313-2021")</f>
        <v/>
      </c>
      <c r="W494">
        <f>HYPERLINK("https://klasma.github.io/Logging_2284/klagomålsmail/A 26313-2021 FSC-klagomål mail.docx", "A 26313-2021")</f>
        <v/>
      </c>
      <c r="X494">
        <f>HYPERLINK("https://klasma.github.io/Logging_2284/tillsyn/A 26313-2021 tillsynsbegäran.docx", "A 26313-2021")</f>
        <v/>
      </c>
      <c r="Y494">
        <f>HYPERLINK("https://klasma.github.io/Logging_2284/tillsynsmail/A 26313-2021 tillsynsbegäran mail.docx", "A 26313-2021")</f>
        <v/>
      </c>
    </row>
    <row r="495" ht="15" customHeight="1">
      <c r="A495" t="inlineStr">
        <is>
          <t>A 38488-2025</t>
        </is>
      </c>
      <c r="B495" s="1" t="n">
        <v>45884.34447916667</v>
      </c>
      <c r="C495" s="1" t="n">
        <v>46093</v>
      </c>
      <c r="D495" t="inlineStr">
        <is>
          <t>VÄSTERNORRLANDS LÄN</t>
        </is>
      </c>
      <c r="E495" t="inlineStr">
        <is>
          <t>TIMRÅ</t>
        </is>
      </c>
      <c r="F495" t="inlineStr">
        <is>
          <t>SCA</t>
        </is>
      </c>
      <c r="G495" t="n">
        <v>5.7</v>
      </c>
      <c r="H495" t="n">
        <v>0</v>
      </c>
      <c r="I495" t="n">
        <v>0</v>
      </c>
      <c r="J495" t="n">
        <v>4</v>
      </c>
      <c r="K495" t="n">
        <v>0</v>
      </c>
      <c r="L495" t="n">
        <v>0</v>
      </c>
      <c r="M495" t="n">
        <v>0</v>
      </c>
      <c r="N495" t="n">
        <v>0</v>
      </c>
      <c r="O495" t="n">
        <v>4</v>
      </c>
      <c r="P495" t="n">
        <v>0</v>
      </c>
      <c r="Q495" t="n">
        <v>4</v>
      </c>
      <c r="R495" s="2" t="inlineStr">
        <is>
          <t>Kandelabersvamp
Kötticka
Lunglav
Ullticka</t>
        </is>
      </c>
      <c r="S495">
        <f>HYPERLINK("https://klasma.github.io/Logging_2262/artfynd/A 38488-2025 artfynd.xlsx", "A 38488-2025")</f>
        <v/>
      </c>
      <c r="T495">
        <f>HYPERLINK("https://klasma.github.io/Logging_2262/kartor/A 38488-2025 karta.png", "A 38488-2025")</f>
        <v/>
      </c>
      <c r="U495">
        <f>HYPERLINK("https://klasma.github.io/Logging_2262/knärot/A 38488-2025 karta knärot.png", "A 38488-2025")</f>
        <v/>
      </c>
      <c r="V495">
        <f>HYPERLINK("https://klasma.github.io/Logging_2262/klagomål/A 38488-2025 FSC-klagomål.docx", "A 38488-2025")</f>
        <v/>
      </c>
      <c r="W495">
        <f>HYPERLINK("https://klasma.github.io/Logging_2262/klagomålsmail/A 38488-2025 FSC-klagomål mail.docx", "A 38488-2025")</f>
        <v/>
      </c>
      <c r="X495">
        <f>HYPERLINK("https://klasma.github.io/Logging_2262/tillsyn/A 38488-2025 tillsynsbegäran.docx", "A 38488-2025")</f>
        <v/>
      </c>
      <c r="Y495">
        <f>HYPERLINK("https://klasma.github.io/Logging_2262/tillsynsmail/A 38488-2025 tillsynsbegäran mail.docx", "A 38488-2025")</f>
        <v/>
      </c>
    </row>
    <row r="496" ht="15" customHeight="1">
      <c r="A496" t="inlineStr">
        <is>
          <t>A 13342-2024</t>
        </is>
      </c>
      <c r="B496" s="1" t="n">
        <v>45386</v>
      </c>
      <c r="C496" s="1" t="n">
        <v>46093</v>
      </c>
      <c r="D496" t="inlineStr">
        <is>
          <t>VÄSTERNORRLANDS LÄN</t>
        </is>
      </c>
      <c r="E496" t="inlineStr">
        <is>
          <t>SOLLEFTEÅ</t>
        </is>
      </c>
      <c r="F496" t="inlineStr">
        <is>
          <t>SCA</t>
        </is>
      </c>
      <c r="G496" t="n">
        <v>4.4</v>
      </c>
      <c r="H496" t="n">
        <v>0</v>
      </c>
      <c r="I496" t="n">
        <v>1</v>
      </c>
      <c r="J496" t="n">
        <v>3</v>
      </c>
      <c r="K496" t="n">
        <v>0</v>
      </c>
      <c r="L496" t="n">
        <v>0</v>
      </c>
      <c r="M496" t="n">
        <v>0</v>
      </c>
      <c r="N496" t="n">
        <v>0</v>
      </c>
      <c r="O496" t="n">
        <v>3</v>
      </c>
      <c r="P496" t="n">
        <v>0</v>
      </c>
      <c r="Q496" t="n">
        <v>4</v>
      </c>
      <c r="R496" s="2" t="inlineStr">
        <is>
          <t>Lunglav
Skrovellav
Ullticka
Stuplav</t>
        </is>
      </c>
      <c r="S496">
        <f>HYPERLINK("https://klasma.github.io/Logging_2283/artfynd/A 13342-2024 artfynd.xlsx", "A 13342-2024")</f>
        <v/>
      </c>
      <c r="T496">
        <f>HYPERLINK("https://klasma.github.io/Logging_2283/kartor/A 13342-2024 karta.png", "A 13342-2024")</f>
        <v/>
      </c>
      <c r="V496">
        <f>HYPERLINK("https://klasma.github.io/Logging_2283/klagomål/A 13342-2024 FSC-klagomål.docx", "A 13342-2024")</f>
        <v/>
      </c>
      <c r="W496">
        <f>HYPERLINK("https://klasma.github.io/Logging_2283/klagomålsmail/A 13342-2024 FSC-klagomål mail.docx", "A 13342-2024")</f>
        <v/>
      </c>
      <c r="X496">
        <f>HYPERLINK("https://klasma.github.io/Logging_2283/tillsyn/A 13342-2024 tillsynsbegäran.docx", "A 13342-2024")</f>
        <v/>
      </c>
      <c r="Y496">
        <f>HYPERLINK("https://klasma.github.io/Logging_2283/tillsynsmail/A 13342-2024 tillsynsbegäran mail.docx", "A 13342-2024")</f>
        <v/>
      </c>
    </row>
    <row r="497" ht="15" customHeight="1">
      <c r="A497" t="inlineStr">
        <is>
          <t>A 38326-2024</t>
        </is>
      </c>
      <c r="B497" s="1" t="n">
        <v>45545.67741898148</v>
      </c>
      <c r="C497" s="1" t="n">
        <v>46093</v>
      </c>
      <c r="D497" t="inlineStr">
        <is>
          <t>VÄSTERNORRLANDS LÄN</t>
        </is>
      </c>
      <c r="E497" t="inlineStr">
        <is>
          <t>ÅNGE</t>
        </is>
      </c>
      <c r="F497" t="inlineStr">
        <is>
          <t>SCA</t>
        </is>
      </c>
      <c r="G497" t="n">
        <v>15</v>
      </c>
      <c r="H497" t="n">
        <v>0</v>
      </c>
      <c r="I497" t="n">
        <v>1</v>
      </c>
      <c r="J497" t="n">
        <v>3</v>
      </c>
      <c r="K497" t="n">
        <v>0</v>
      </c>
      <c r="L497" t="n">
        <v>0</v>
      </c>
      <c r="M497" t="n">
        <v>0</v>
      </c>
      <c r="N497" t="n">
        <v>0</v>
      </c>
      <c r="O497" t="n">
        <v>3</v>
      </c>
      <c r="P497" t="n">
        <v>0</v>
      </c>
      <c r="Q497" t="n">
        <v>4</v>
      </c>
      <c r="R497" s="2" t="inlineStr">
        <is>
          <t>Gammelgransskål
Garnlav
Lunglav
Stuplav</t>
        </is>
      </c>
      <c r="S497">
        <f>HYPERLINK("https://klasma.github.io/Logging_2260/artfynd/A 38326-2024 artfynd.xlsx", "A 38326-2024")</f>
        <v/>
      </c>
      <c r="T497">
        <f>HYPERLINK("https://klasma.github.io/Logging_2260/kartor/A 38326-2024 karta.png", "A 38326-2024")</f>
        <v/>
      </c>
      <c r="V497">
        <f>HYPERLINK("https://klasma.github.io/Logging_2260/klagomål/A 38326-2024 FSC-klagomål.docx", "A 38326-2024")</f>
        <v/>
      </c>
      <c r="W497">
        <f>HYPERLINK("https://klasma.github.io/Logging_2260/klagomålsmail/A 38326-2024 FSC-klagomål mail.docx", "A 38326-2024")</f>
        <v/>
      </c>
      <c r="X497">
        <f>HYPERLINK("https://klasma.github.io/Logging_2260/tillsyn/A 38326-2024 tillsynsbegäran.docx", "A 38326-2024")</f>
        <v/>
      </c>
      <c r="Y497">
        <f>HYPERLINK("https://klasma.github.io/Logging_2260/tillsynsmail/A 38326-2024 tillsynsbegäran mail.docx", "A 38326-2024")</f>
        <v/>
      </c>
    </row>
    <row r="498" ht="15" customHeight="1">
      <c r="A498" t="inlineStr">
        <is>
          <t>A 34647-2025</t>
        </is>
      </c>
      <c r="B498" s="1" t="n">
        <v>45848.34471064815</v>
      </c>
      <c r="C498" s="1" t="n">
        <v>46093</v>
      </c>
      <c r="D498" t="inlineStr">
        <is>
          <t>VÄSTERNORRLANDS LÄN</t>
        </is>
      </c>
      <c r="E498" t="inlineStr">
        <is>
          <t>HÄRNÖSAND</t>
        </is>
      </c>
      <c r="F498" t="inlineStr">
        <is>
          <t>SCA</t>
        </is>
      </c>
      <c r="G498" t="n">
        <v>4.7</v>
      </c>
      <c r="H498" t="n">
        <v>0</v>
      </c>
      <c r="I498" t="n">
        <v>1</v>
      </c>
      <c r="J498" t="n">
        <v>3</v>
      </c>
      <c r="K498" t="n">
        <v>0</v>
      </c>
      <c r="L498" t="n">
        <v>0</v>
      </c>
      <c r="M498" t="n">
        <v>0</v>
      </c>
      <c r="N498" t="n">
        <v>0</v>
      </c>
      <c r="O498" t="n">
        <v>3</v>
      </c>
      <c r="P498" t="n">
        <v>0</v>
      </c>
      <c r="Q498" t="n">
        <v>4</v>
      </c>
      <c r="R498" s="2" t="inlineStr">
        <is>
          <t>Garnlav
Kolflarnlav
Lunglav
Korallblylav</t>
        </is>
      </c>
      <c r="S498">
        <f>HYPERLINK("https://klasma.github.io/Logging_2280/artfynd/A 34647-2025 artfynd.xlsx", "A 34647-2025")</f>
        <v/>
      </c>
      <c r="T498">
        <f>HYPERLINK("https://klasma.github.io/Logging_2280/kartor/A 34647-2025 karta.png", "A 34647-2025")</f>
        <v/>
      </c>
      <c r="V498">
        <f>HYPERLINK("https://klasma.github.io/Logging_2280/klagomål/A 34647-2025 FSC-klagomål.docx", "A 34647-2025")</f>
        <v/>
      </c>
      <c r="W498">
        <f>HYPERLINK("https://klasma.github.io/Logging_2280/klagomålsmail/A 34647-2025 FSC-klagomål mail.docx", "A 34647-2025")</f>
        <v/>
      </c>
      <c r="X498">
        <f>HYPERLINK("https://klasma.github.io/Logging_2280/tillsyn/A 34647-2025 tillsynsbegäran.docx", "A 34647-2025")</f>
        <v/>
      </c>
      <c r="Y498">
        <f>HYPERLINK("https://klasma.github.io/Logging_2280/tillsynsmail/A 34647-2025 tillsynsbegäran mail.docx", "A 34647-2025")</f>
        <v/>
      </c>
    </row>
    <row r="499" ht="15" customHeight="1">
      <c r="A499" t="inlineStr">
        <is>
          <t>A 38713-2025</t>
        </is>
      </c>
      <c r="B499" s="1" t="n">
        <v>45886.34479166667</v>
      </c>
      <c r="C499" s="1" t="n">
        <v>46093</v>
      </c>
      <c r="D499" t="inlineStr">
        <is>
          <t>VÄSTERNORRLANDS LÄN</t>
        </is>
      </c>
      <c r="E499" t="inlineStr">
        <is>
          <t>ÅNGE</t>
        </is>
      </c>
      <c r="F499" t="inlineStr">
        <is>
          <t>SCA</t>
        </is>
      </c>
      <c r="G499" t="n">
        <v>2</v>
      </c>
      <c r="H499" t="n">
        <v>1</v>
      </c>
      <c r="I499" t="n">
        <v>1</v>
      </c>
      <c r="J499" t="n">
        <v>2</v>
      </c>
      <c r="K499" t="n">
        <v>1</v>
      </c>
      <c r="L499" t="n">
        <v>0</v>
      </c>
      <c r="M499" t="n">
        <v>0</v>
      </c>
      <c r="N499" t="n">
        <v>0</v>
      </c>
      <c r="O499" t="n">
        <v>3</v>
      </c>
      <c r="P499" t="n">
        <v>1</v>
      </c>
      <c r="Q499" t="n">
        <v>4</v>
      </c>
      <c r="R499" s="2" t="inlineStr">
        <is>
          <t>Knärot
Garnlav
Vedtrappmossa
Bollvitmossa</t>
        </is>
      </c>
      <c r="S499">
        <f>HYPERLINK("https://klasma.github.io/Logging_2260/artfynd/A 38713-2025 artfynd.xlsx", "A 38713-2025")</f>
        <v/>
      </c>
      <c r="T499">
        <f>HYPERLINK("https://klasma.github.io/Logging_2260/kartor/A 38713-2025 karta.png", "A 38713-2025")</f>
        <v/>
      </c>
      <c r="U499">
        <f>HYPERLINK("https://klasma.github.io/Logging_2260/knärot/A 38713-2025 karta knärot.png", "A 38713-2025")</f>
        <v/>
      </c>
      <c r="V499">
        <f>HYPERLINK("https://klasma.github.io/Logging_2260/klagomål/A 38713-2025 FSC-klagomål.docx", "A 38713-2025")</f>
        <v/>
      </c>
      <c r="W499">
        <f>HYPERLINK("https://klasma.github.io/Logging_2260/klagomålsmail/A 38713-2025 FSC-klagomål mail.docx", "A 38713-2025")</f>
        <v/>
      </c>
      <c r="X499">
        <f>HYPERLINK("https://klasma.github.io/Logging_2260/tillsyn/A 38713-2025 tillsynsbegäran.docx", "A 38713-2025")</f>
        <v/>
      </c>
      <c r="Y499">
        <f>HYPERLINK("https://klasma.github.io/Logging_2260/tillsynsmail/A 38713-2025 tillsynsbegäran mail.docx", "A 38713-2025")</f>
        <v/>
      </c>
    </row>
    <row r="500" ht="15" customHeight="1">
      <c r="A500" t="inlineStr">
        <is>
          <t>A 2349-2025</t>
        </is>
      </c>
      <c r="B500" s="1" t="n">
        <v>45673.67807870371</v>
      </c>
      <c r="C500" s="1" t="n">
        <v>46093</v>
      </c>
      <c r="D500" t="inlineStr">
        <is>
          <t>VÄSTERNORRLANDS LÄN</t>
        </is>
      </c>
      <c r="E500" t="inlineStr">
        <is>
          <t>SOLLEFTEÅ</t>
        </is>
      </c>
      <c r="F500" t="inlineStr">
        <is>
          <t>SCA</t>
        </is>
      </c>
      <c r="G500" t="n">
        <v>3.5</v>
      </c>
      <c r="H500" t="n">
        <v>2</v>
      </c>
      <c r="I500" t="n">
        <v>0</v>
      </c>
      <c r="J500" t="n">
        <v>3</v>
      </c>
      <c r="K500" t="n">
        <v>0</v>
      </c>
      <c r="L500" t="n">
        <v>0</v>
      </c>
      <c r="M500" t="n">
        <v>0</v>
      </c>
      <c r="N500" t="n">
        <v>0</v>
      </c>
      <c r="O500" t="n">
        <v>3</v>
      </c>
      <c r="P500" t="n">
        <v>0</v>
      </c>
      <c r="Q500" t="n">
        <v>4</v>
      </c>
      <c r="R500" s="2" t="inlineStr">
        <is>
          <t>Garnlav
Spillkråka
Ullticka
Tjäder</t>
        </is>
      </c>
      <c r="S500">
        <f>HYPERLINK("https://klasma.github.io/Logging_2283/artfynd/A 2349-2025 artfynd.xlsx", "A 2349-2025")</f>
        <v/>
      </c>
      <c r="T500">
        <f>HYPERLINK("https://klasma.github.io/Logging_2283/kartor/A 2349-2025 karta.png", "A 2349-2025")</f>
        <v/>
      </c>
      <c r="V500">
        <f>HYPERLINK("https://klasma.github.io/Logging_2283/klagomål/A 2349-2025 FSC-klagomål.docx", "A 2349-2025")</f>
        <v/>
      </c>
      <c r="W500">
        <f>HYPERLINK("https://klasma.github.io/Logging_2283/klagomålsmail/A 2349-2025 FSC-klagomål mail.docx", "A 2349-2025")</f>
        <v/>
      </c>
      <c r="X500">
        <f>HYPERLINK("https://klasma.github.io/Logging_2283/tillsyn/A 2349-2025 tillsynsbegäran.docx", "A 2349-2025")</f>
        <v/>
      </c>
      <c r="Y500">
        <f>HYPERLINK("https://klasma.github.io/Logging_2283/tillsynsmail/A 2349-2025 tillsynsbegäran mail.docx", "A 2349-2025")</f>
        <v/>
      </c>
      <c r="Z500">
        <f>HYPERLINK("https://klasma.github.io/Logging_2283/fåglar/A 2349-2025 prioriterade fågelarter.docx", "A 2349-2025")</f>
        <v/>
      </c>
    </row>
    <row r="501" ht="15" customHeight="1">
      <c r="A501" t="inlineStr">
        <is>
          <t>A 40654-2025</t>
        </is>
      </c>
      <c r="B501" s="1" t="n">
        <v>45896.63640046296</v>
      </c>
      <c r="C501" s="1" t="n">
        <v>46093</v>
      </c>
      <c r="D501" t="inlineStr">
        <is>
          <t>VÄSTERNORRLANDS LÄN</t>
        </is>
      </c>
      <c r="E501" t="inlineStr">
        <is>
          <t>SUNDSVALL</t>
        </is>
      </c>
      <c r="F501" t="inlineStr">
        <is>
          <t>Naturvårdsverket</t>
        </is>
      </c>
      <c r="G501" t="n">
        <v>1.2</v>
      </c>
      <c r="H501" t="n">
        <v>0</v>
      </c>
      <c r="I501" t="n">
        <v>1</v>
      </c>
      <c r="J501" t="n">
        <v>3</v>
      </c>
      <c r="K501" t="n">
        <v>0</v>
      </c>
      <c r="L501" t="n">
        <v>0</v>
      </c>
      <c r="M501" t="n">
        <v>0</v>
      </c>
      <c r="N501" t="n">
        <v>0</v>
      </c>
      <c r="O501" t="n">
        <v>3</v>
      </c>
      <c r="P501" t="n">
        <v>0</v>
      </c>
      <c r="Q501" t="n">
        <v>4</v>
      </c>
      <c r="R501" s="2" t="inlineStr">
        <is>
          <t>Garnlav
Granticka
Lunglav
Gulnål</t>
        </is>
      </c>
      <c r="S501">
        <f>HYPERLINK("https://klasma.github.io/Logging_2281/artfynd/A 40654-2025 artfynd.xlsx", "A 40654-2025")</f>
        <v/>
      </c>
      <c r="T501">
        <f>HYPERLINK("https://klasma.github.io/Logging_2281/kartor/A 40654-2025 karta.png", "A 40654-2025")</f>
        <v/>
      </c>
      <c r="V501">
        <f>HYPERLINK("https://klasma.github.io/Logging_2281/klagomål/A 40654-2025 FSC-klagomål.docx", "A 40654-2025")</f>
        <v/>
      </c>
      <c r="W501">
        <f>HYPERLINK("https://klasma.github.io/Logging_2281/klagomålsmail/A 40654-2025 FSC-klagomål mail.docx", "A 40654-2025")</f>
        <v/>
      </c>
      <c r="X501">
        <f>HYPERLINK("https://klasma.github.io/Logging_2281/tillsyn/A 40654-2025 tillsynsbegäran.docx", "A 40654-2025")</f>
        <v/>
      </c>
      <c r="Y501">
        <f>HYPERLINK("https://klasma.github.io/Logging_2281/tillsynsmail/A 40654-2025 tillsynsbegäran mail.docx", "A 40654-2025")</f>
        <v/>
      </c>
    </row>
    <row r="502" ht="15" customHeight="1">
      <c r="A502" t="inlineStr">
        <is>
          <t>A 2409-2023</t>
        </is>
      </c>
      <c r="B502" s="1" t="n">
        <v>44942</v>
      </c>
      <c r="C502" s="1" t="n">
        <v>46093</v>
      </c>
      <c r="D502" t="inlineStr">
        <is>
          <t>VÄSTERNORRLANDS LÄN</t>
        </is>
      </c>
      <c r="E502" t="inlineStr">
        <is>
          <t>SOLLEFTEÅ</t>
        </is>
      </c>
      <c r="F502" t="inlineStr">
        <is>
          <t>SCA</t>
        </is>
      </c>
      <c r="G502" t="n">
        <v>2</v>
      </c>
      <c r="H502" t="n">
        <v>0</v>
      </c>
      <c r="I502" t="n">
        <v>1</v>
      </c>
      <c r="J502" t="n">
        <v>3</v>
      </c>
      <c r="K502" t="n">
        <v>0</v>
      </c>
      <c r="L502" t="n">
        <v>0</v>
      </c>
      <c r="M502" t="n">
        <v>0</v>
      </c>
      <c r="N502" t="n">
        <v>0</v>
      </c>
      <c r="O502" t="n">
        <v>3</v>
      </c>
      <c r="P502" t="n">
        <v>0</v>
      </c>
      <c r="Q502" t="n">
        <v>4</v>
      </c>
      <c r="R502" s="2" t="inlineStr">
        <is>
          <t>Rosenticka
Tallticka
Ullticka
Dropptaggsvamp</t>
        </is>
      </c>
      <c r="S502">
        <f>HYPERLINK("https://klasma.github.io/Logging_2283/artfynd/A 2409-2023 artfynd.xlsx", "A 2409-2023")</f>
        <v/>
      </c>
      <c r="T502">
        <f>HYPERLINK("https://klasma.github.io/Logging_2283/kartor/A 2409-2023 karta.png", "A 2409-2023")</f>
        <v/>
      </c>
      <c r="V502">
        <f>HYPERLINK("https://klasma.github.io/Logging_2283/klagomål/A 2409-2023 FSC-klagomål.docx", "A 2409-2023")</f>
        <v/>
      </c>
      <c r="W502">
        <f>HYPERLINK("https://klasma.github.io/Logging_2283/klagomålsmail/A 2409-2023 FSC-klagomål mail.docx", "A 2409-2023")</f>
        <v/>
      </c>
      <c r="X502">
        <f>HYPERLINK("https://klasma.github.io/Logging_2283/tillsyn/A 2409-2023 tillsynsbegäran.docx", "A 2409-2023")</f>
        <v/>
      </c>
      <c r="Y502">
        <f>HYPERLINK("https://klasma.github.io/Logging_2283/tillsynsmail/A 2409-2023 tillsynsbegäran mail.docx", "A 2409-2023")</f>
        <v/>
      </c>
    </row>
    <row r="503" ht="15" customHeight="1">
      <c r="A503" t="inlineStr">
        <is>
          <t>A 39176-2024</t>
        </is>
      </c>
      <c r="B503" s="1" t="n">
        <v>45548</v>
      </c>
      <c r="C503" s="1" t="n">
        <v>46093</v>
      </c>
      <c r="D503" t="inlineStr">
        <is>
          <t>VÄSTERNORRLANDS LÄN</t>
        </is>
      </c>
      <c r="E503" t="inlineStr">
        <is>
          <t>ÅNGE</t>
        </is>
      </c>
      <c r="F503" t="inlineStr">
        <is>
          <t>SCA</t>
        </is>
      </c>
      <c r="G503" t="n">
        <v>6.9</v>
      </c>
      <c r="H503" t="n">
        <v>1</v>
      </c>
      <c r="I503" t="n">
        <v>0</v>
      </c>
      <c r="J503" t="n">
        <v>3</v>
      </c>
      <c r="K503" t="n">
        <v>1</v>
      </c>
      <c r="L503" t="n">
        <v>0</v>
      </c>
      <c r="M503" t="n">
        <v>0</v>
      </c>
      <c r="N503" t="n">
        <v>0</v>
      </c>
      <c r="O503" t="n">
        <v>4</v>
      </c>
      <c r="P503" t="n">
        <v>1</v>
      </c>
      <c r="Q503" t="n">
        <v>4</v>
      </c>
      <c r="R503" s="2" t="inlineStr">
        <is>
          <t>Knärot
Doftskinn
Skrovellav
Violettgrå tagellav</t>
        </is>
      </c>
      <c r="S503">
        <f>HYPERLINK("https://klasma.github.io/Logging_2260/artfynd/A 39176-2024 artfynd.xlsx", "A 39176-2024")</f>
        <v/>
      </c>
      <c r="T503">
        <f>HYPERLINK("https://klasma.github.io/Logging_2260/kartor/A 39176-2024 karta.png", "A 39176-2024")</f>
        <v/>
      </c>
      <c r="U503">
        <f>HYPERLINK("https://klasma.github.io/Logging_2260/knärot/A 39176-2024 karta knärot.png", "A 39176-2024")</f>
        <v/>
      </c>
      <c r="V503">
        <f>HYPERLINK("https://klasma.github.io/Logging_2260/klagomål/A 39176-2024 FSC-klagomål.docx", "A 39176-2024")</f>
        <v/>
      </c>
      <c r="W503">
        <f>HYPERLINK("https://klasma.github.io/Logging_2260/klagomålsmail/A 39176-2024 FSC-klagomål mail.docx", "A 39176-2024")</f>
        <v/>
      </c>
      <c r="X503">
        <f>HYPERLINK("https://klasma.github.io/Logging_2260/tillsyn/A 39176-2024 tillsynsbegäran.docx", "A 39176-2024")</f>
        <v/>
      </c>
      <c r="Y503">
        <f>HYPERLINK("https://klasma.github.io/Logging_2260/tillsynsmail/A 39176-2024 tillsynsbegäran mail.docx", "A 39176-2024")</f>
        <v/>
      </c>
    </row>
    <row r="504" ht="15" customHeight="1">
      <c r="A504" t="inlineStr">
        <is>
          <t>A 40740-2025</t>
        </is>
      </c>
      <c r="B504" s="1" t="n">
        <v>45897.36840277778</v>
      </c>
      <c r="C504" s="1" t="n">
        <v>46093</v>
      </c>
      <c r="D504" t="inlineStr">
        <is>
          <t>VÄSTERNORRLANDS LÄN</t>
        </is>
      </c>
      <c r="E504" t="inlineStr">
        <is>
          <t>SOLLEFTEÅ</t>
        </is>
      </c>
      <c r="G504" t="n">
        <v>6.3</v>
      </c>
      <c r="H504" t="n">
        <v>0</v>
      </c>
      <c r="I504" t="n">
        <v>0</v>
      </c>
      <c r="J504" t="n">
        <v>4</v>
      </c>
      <c r="K504" t="n">
        <v>0</v>
      </c>
      <c r="L504" t="n">
        <v>0</v>
      </c>
      <c r="M504" t="n">
        <v>0</v>
      </c>
      <c r="N504" t="n">
        <v>0</v>
      </c>
      <c r="O504" t="n">
        <v>4</v>
      </c>
      <c r="P504" t="n">
        <v>0</v>
      </c>
      <c r="Q504" t="n">
        <v>4</v>
      </c>
      <c r="R504" s="2" t="inlineStr">
        <is>
          <t>Garnlav
Kolflarnlav
Vedflamlav
Vedskivlav</t>
        </is>
      </c>
      <c r="S504">
        <f>HYPERLINK("https://klasma.github.io/Logging_2283/artfynd/A 40740-2025 artfynd.xlsx", "A 40740-2025")</f>
        <v/>
      </c>
      <c r="T504">
        <f>HYPERLINK("https://klasma.github.io/Logging_2283/kartor/A 40740-2025 karta.png", "A 40740-2025")</f>
        <v/>
      </c>
      <c r="V504">
        <f>HYPERLINK("https://klasma.github.io/Logging_2283/klagomål/A 40740-2025 FSC-klagomål.docx", "A 40740-2025")</f>
        <v/>
      </c>
      <c r="W504">
        <f>HYPERLINK("https://klasma.github.io/Logging_2283/klagomålsmail/A 40740-2025 FSC-klagomål mail.docx", "A 40740-2025")</f>
        <v/>
      </c>
      <c r="X504">
        <f>HYPERLINK("https://klasma.github.io/Logging_2283/tillsyn/A 40740-2025 tillsynsbegäran.docx", "A 40740-2025")</f>
        <v/>
      </c>
      <c r="Y504">
        <f>HYPERLINK("https://klasma.github.io/Logging_2283/tillsynsmail/A 40740-2025 tillsynsbegäran mail.docx", "A 40740-2025")</f>
        <v/>
      </c>
    </row>
    <row r="505" ht="15" customHeight="1">
      <c r="A505" t="inlineStr">
        <is>
          <t>A 43613-2024</t>
        </is>
      </c>
      <c r="B505" s="1" t="n">
        <v>45569.46905092592</v>
      </c>
      <c r="C505" s="1" t="n">
        <v>46093</v>
      </c>
      <c r="D505" t="inlineStr">
        <is>
          <t>VÄSTERNORRLANDS LÄN</t>
        </is>
      </c>
      <c r="E505" t="inlineStr">
        <is>
          <t>TIMRÅ</t>
        </is>
      </c>
      <c r="F505" t="inlineStr">
        <is>
          <t>SCA</t>
        </is>
      </c>
      <c r="G505" t="n">
        <v>2.2</v>
      </c>
      <c r="H505" t="n">
        <v>0</v>
      </c>
      <c r="I505" t="n">
        <v>1</v>
      </c>
      <c r="J505" t="n">
        <v>3</v>
      </c>
      <c r="K505" t="n">
        <v>0</v>
      </c>
      <c r="L505" t="n">
        <v>0</v>
      </c>
      <c r="M505" t="n">
        <v>0</v>
      </c>
      <c r="N505" t="n">
        <v>0</v>
      </c>
      <c r="O505" t="n">
        <v>3</v>
      </c>
      <c r="P505" t="n">
        <v>0</v>
      </c>
      <c r="Q505" t="n">
        <v>4</v>
      </c>
      <c r="R505" s="2" t="inlineStr">
        <is>
          <t>Kolflarnlav
Lunglav
Mörk kolflarnlav
Skarp dropptaggsvamp</t>
        </is>
      </c>
      <c r="S505">
        <f>HYPERLINK("https://klasma.github.io/Logging_2262/artfynd/A 43613-2024 artfynd.xlsx", "A 43613-2024")</f>
        <v/>
      </c>
      <c r="T505">
        <f>HYPERLINK("https://klasma.github.io/Logging_2262/kartor/A 43613-2024 karta.png", "A 43613-2024")</f>
        <v/>
      </c>
      <c r="V505">
        <f>HYPERLINK("https://klasma.github.io/Logging_2262/klagomål/A 43613-2024 FSC-klagomål.docx", "A 43613-2024")</f>
        <v/>
      </c>
      <c r="W505">
        <f>HYPERLINK("https://klasma.github.io/Logging_2262/klagomålsmail/A 43613-2024 FSC-klagomål mail.docx", "A 43613-2024")</f>
        <v/>
      </c>
      <c r="X505">
        <f>HYPERLINK("https://klasma.github.io/Logging_2262/tillsyn/A 43613-2024 tillsynsbegäran.docx", "A 43613-2024")</f>
        <v/>
      </c>
      <c r="Y505">
        <f>HYPERLINK("https://klasma.github.io/Logging_2262/tillsynsmail/A 43613-2024 tillsynsbegäran mail.docx", "A 43613-2024")</f>
        <v/>
      </c>
    </row>
    <row r="506" ht="15" customHeight="1">
      <c r="A506" t="inlineStr">
        <is>
          <t>A 59381-2024</t>
        </is>
      </c>
      <c r="B506" s="1" t="n">
        <v>45638</v>
      </c>
      <c r="C506" s="1" t="n">
        <v>46093</v>
      </c>
      <c r="D506" t="inlineStr">
        <is>
          <t>VÄSTERNORRLANDS LÄN</t>
        </is>
      </c>
      <c r="E506" t="inlineStr">
        <is>
          <t>SOLLEFTEÅ</t>
        </is>
      </c>
      <c r="G506" t="n">
        <v>5.4</v>
      </c>
      <c r="H506" t="n">
        <v>2</v>
      </c>
      <c r="I506" t="n">
        <v>0</v>
      </c>
      <c r="J506" t="n">
        <v>3</v>
      </c>
      <c r="K506" t="n">
        <v>0</v>
      </c>
      <c r="L506" t="n">
        <v>0</v>
      </c>
      <c r="M506" t="n">
        <v>0</v>
      </c>
      <c r="N506" t="n">
        <v>0</v>
      </c>
      <c r="O506" t="n">
        <v>3</v>
      </c>
      <c r="P506" t="n">
        <v>0</v>
      </c>
      <c r="Q506" t="n">
        <v>4</v>
      </c>
      <c r="R506" s="2" t="inlineStr">
        <is>
          <t>Rosenticka
Talltita
Ullticka
Fläcknycklar</t>
        </is>
      </c>
      <c r="S506">
        <f>HYPERLINK("https://klasma.github.io/Logging_2283/artfynd/A 59381-2024 artfynd.xlsx", "A 59381-2024")</f>
        <v/>
      </c>
      <c r="T506">
        <f>HYPERLINK("https://klasma.github.io/Logging_2283/kartor/A 59381-2024 karta.png", "A 59381-2024")</f>
        <v/>
      </c>
      <c r="U506">
        <f>HYPERLINK("https://klasma.github.io/Logging_2283/knärot/A 59381-2024 karta knärot.png", "A 59381-2024")</f>
        <v/>
      </c>
      <c r="V506">
        <f>HYPERLINK("https://klasma.github.io/Logging_2283/klagomål/A 59381-2024 FSC-klagomål.docx", "A 59381-2024")</f>
        <v/>
      </c>
      <c r="W506">
        <f>HYPERLINK("https://klasma.github.io/Logging_2283/klagomålsmail/A 59381-2024 FSC-klagomål mail.docx", "A 59381-2024")</f>
        <v/>
      </c>
      <c r="X506">
        <f>HYPERLINK("https://klasma.github.io/Logging_2283/tillsyn/A 59381-2024 tillsynsbegäran.docx", "A 59381-2024")</f>
        <v/>
      </c>
      <c r="Y506">
        <f>HYPERLINK("https://klasma.github.io/Logging_2283/tillsynsmail/A 59381-2024 tillsynsbegäran mail.docx", "A 59381-2024")</f>
        <v/>
      </c>
      <c r="Z506">
        <f>HYPERLINK("https://klasma.github.io/Logging_2283/fåglar/A 59381-2024 prioriterade fågelarter.docx", "A 59381-2024")</f>
        <v/>
      </c>
    </row>
    <row r="507" ht="15" customHeight="1">
      <c r="A507" t="inlineStr">
        <is>
          <t>A 61109-2022</t>
        </is>
      </c>
      <c r="B507" s="1" t="n">
        <v>44908</v>
      </c>
      <c r="C507" s="1" t="n">
        <v>46093</v>
      </c>
      <c r="D507" t="inlineStr">
        <is>
          <t>VÄSTERNORRLANDS LÄN</t>
        </is>
      </c>
      <c r="E507" t="inlineStr">
        <is>
          <t>ÖRNSKÖLDSVIK</t>
        </is>
      </c>
      <c r="G507" t="n">
        <v>3.6</v>
      </c>
      <c r="H507" t="n">
        <v>4</v>
      </c>
      <c r="I507" t="n">
        <v>0</v>
      </c>
      <c r="J507" t="n">
        <v>1</v>
      </c>
      <c r="K507" t="n">
        <v>1</v>
      </c>
      <c r="L507" t="n">
        <v>1</v>
      </c>
      <c r="M507" t="n">
        <v>0</v>
      </c>
      <c r="N507" t="n">
        <v>0</v>
      </c>
      <c r="O507" t="n">
        <v>3</v>
      </c>
      <c r="P507" t="n">
        <v>2</v>
      </c>
      <c r="Q507" t="n">
        <v>4</v>
      </c>
      <c r="R507" s="2" t="inlineStr">
        <is>
          <t>Storspov
Knärot
Gulsparv
Grönsiska</t>
        </is>
      </c>
      <c r="S507">
        <f>HYPERLINK("https://klasma.github.io/Logging_2284/artfynd/A 61109-2022 artfynd.xlsx", "A 61109-2022")</f>
        <v/>
      </c>
      <c r="T507">
        <f>HYPERLINK("https://klasma.github.io/Logging_2284/kartor/A 61109-2022 karta.png", "A 61109-2022")</f>
        <v/>
      </c>
      <c r="U507">
        <f>HYPERLINK("https://klasma.github.io/Logging_2284/knärot/A 61109-2022 karta knärot.png", "A 61109-2022")</f>
        <v/>
      </c>
      <c r="V507">
        <f>HYPERLINK("https://klasma.github.io/Logging_2284/klagomål/A 61109-2022 FSC-klagomål.docx", "A 61109-2022")</f>
        <v/>
      </c>
      <c r="W507">
        <f>HYPERLINK("https://klasma.github.io/Logging_2284/klagomålsmail/A 61109-2022 FSC-klagomål mail.docx", "A 61109-2022")</f>
        <v/>
      </c>
      <c r="X507">
        <f>HYPERLINK("https://klasma.github.io/Logging_2284/tillsyn/A 61109-2022 tillsynsbegäran.docx", "A 61109-2022")</f>
        <v/>
      </c>
      <c r="Y507">
        <f>HYPERLINK("https://klasma.github.io/Logging_2284/tillsynsmail/A 61109-2022 tillsynsbegäran mail.docx", "A 61109-2022")</f>
        <v/>
      </c>
      <c r="Z507">
        <f>HYPERLINK("https://klasma.github.io/Logging_2284/fåglar/A 61109-2022 prioriterade fågelarter.docx", "A 61109-2022")</f>
        <v/>
      </c>
    </row>
    <row r="508" ht="15" customHeight="1">
      <c r="A508" t="inlineStr">
        <is>
          <t>A 62638-2022</t>
        </is>
      </c>
      <c r="B508" s="1" t="n">
        <v>44925</v>
      </c>
      <c r="C508" s="1" t="n">
        <v>46093</v>
      </c>
      <c r="D508" t="inlineStr">
        <is>
          <t>VÄSTERNORRLANDS LÄN</t>
        </is>
      </c>
      <c r="E508" t="inlineStr">
        <is>
          <t>SOLLEFTEÅ</t>
        </is>
      </c>
      <c r="F508" t="inlineStr">
        <is>
          <t>Holmen skog AB</t>
        </is>
      </c>
      <c r="G508" t="n">
        <v>4</v>
      </c>
      <c r="H508" t="n">
        <v>1</v>
      </c>
      <c r="I508" t="n">
        <v>1</v>
      </c>
      <c r="J508" t="n">
        <v>2</v>
      </c>
      <c r="K508" t="n">
        <v>1</v>
      </c>
      <c r="L508" t="n">
        <v>0</v>
      </c>
      <c r="M508" t="n">
        <v>0</v>
      </c>
      <c r="N508" t="n">
        <v>0</v>
      </c>
      <c r="O508" t="n">
        <v>3</v>
      </c>
      <c r="P508" t="n">
        <v>1</v>
      </c>
      <c r="Q508" t="n">
        <v>4</v>
      </c>
      <c r="R508" s="2" t="inlineStr">
        <is>
          <t>Knärot
Koralltaggsvamp
Lunglav
Skinnlav</t>
        </is>
      </c>
      <c r="S508">
        <f>HYPERLINK("https://klasma.github.io/Logging_2283/artfynd/A 62638-2022 artfynd.xlsx", "A 62638-2022")</f>
        <v/>
      </c>
      <c r="T508">
        <f>HYPERLINK("https://klasma.github.io/Logging_2283/kartor/A 62638-2022 karta.png", "A 62638-2022")</f>
        <v/>
      </c>
      <c r="U508">
        <f>HYPERLINK("https://klasma.github.io/Logging_2283/knärot/A 62638-2022 karta knärot.png", "A 62638-2022")</f>
        <v/>
      </c>
      <c r="V508">
        <f>HYPERLINK("https://klasma.github.io/Logging_2283/klagomål/A 62638-2022 FSC-klagomål.docx", "A 62638-2022")</f>
        <v/>
      </c>
      <c r="W508">
        <f>HYPERLINK("https://klasma.github.io/Logging_2283/klagomålsmail/A 62638-2022 FSC-klagomål mail.docx", "A 62638-2022")</f>
        <v/>
      </c>
      <c r="X508">
        <f>HYPERLINK("https://klasma.github.io/Logging_2283/tillsyn/A 62638-2022 tillsynsbegäran.docx", "A 62638-2022")</f>
        <v/>
      </c>
      <c r="Y508">
        <f>HYPERLINK("https://klasma.github.io/Logging_2283/tillsynsmail/A 62638-2022 tillsynsbegäran mail.docx", "A 62638-2022")</f>
        <v/>
      </c>
    </row>
    <row r="509" ht="15" customHeight="1">
      <c r="A509" t="inlineStr">
        <is>
          <t>A 38717-2024</t>
        </is>
      </c>
      <c r="B509" s="1" t="n">
        <v>45547.39003472222</v>
      </c>
      <c r="C509" s="1" t="n">
        <v>46093</v>
      </c>
      <c r="D509" t="inlineStr">
        <is>
          <t>VÄSTERNORRLANDS LÄN</t>
        </is>
      </c>
      <c r="E509" t="inlineStr">
        <is>
          <t>KRAMFORS</t>
        </is>
      </c>
      <c r="G509" t="n">
        <v>17.4</v>
      </c>
      <c r="H509" t="n">
        <v>1</v>
      </c>
      <c r="I509" t="n">
        <v>1</v>
      </c>
      <c r="J509" t="n">
        <v>2</v>
      </c>
      <c r="K509" t="n">
        <v>0</v>
      </c>
      <c r="L509" t="n">
        <v>0</v>
      </c>
      <c r="M509" t="n">
        <v>0</v>
      </c>
      <c r="N509" t="n">
        <v>0</v>
      </c>
      <c r="O509" t="n">
        <v>2</v>
      </c>
      <c r="P509" t="n">
        <v>0</v>
      </c>
      <c r="Q509" t="n">
        <v>4</v>
      </c>
      <c r="R509" s="2" t="inlineStr">
        <is>
          <t>Garnlav
Violettgrå tagellav
Vedticka
Fläcknycklar</t>
        </is>
      </c>
      <c r="S509">
        <f>HYPERLINK("https://klasma.github.io/Logging_2282/artfynd/A 38717-2024 artfynd.xlsx", "A 38717-2024")</f>
        <v/>
      </c>
      <c r="T509">
        <f>HYPERLINK("https://klasma.github.io/Logging_2282/kartor/A 38717-2024 karta.png", "A 38717-2024")</f>
        <v/>
      </c>
      <c r="V509">
        <f>HYPERLINK("https://klasma.github.io/Logging_2282/klagomål/A 38717-2024 FSC-klagomål.docx", "A 38717-2024")</f>
        <v/>
      </c>
      <c r="W509">
        <f>HYPERLINK("https://klasma.github.io/Logging_2282/klagomålsmail/A 38717-2024 FSC-klagomål mail.docx", "A 38717-2024")</f>
        <v/>
      </c>
      <c r="X509">
        <f>HYPERLINK("https://klasma.github.io/Logging_2282/tillsyn/A 38717-2024 tillsynsbegäran.docx", "A 38717-2024")</f>
        <v/>
      </c>
      <c r="Y509">
        <f>HYPERLINK("https://klasma.github.io/Logging_2282/tillsynsmail/A 38717-2024 tillsynsbegäran mail.docx", "A 38717-2024")</f>
        <v/>
      </c>
    </row>
    <row r="510" ht="15" customHeight="1">
      <c r="A510" t="inlineStr">
        <is>
          <t>A 20572-2025</t>
        </is>
      </c>
      <c r="B510" s="1" t="n">
        <v>45775.67054398148</v>
      </c>
      <c r="C510" s="1" t="n">
        <v>46093</v>
      </c>
      <c r="D510" t="inlineStr">
        <is>
          <t>VÄSTERNORRLANDS LÄN</t>
        </is>
      </c>
      <c r="E510" t="inlineStr">
        <is>
          <t>SOLLEFTEÅ</t>
        </is>
      </c>
      <c r="G510" t="n">
        <v>1.6</v>
      </c>
      <c r="H510" t="n">
        <v>4</v>
      </c>
      <c r="I510" t="n">
        <v>0</v>
      </c>
      <c r="J510" t="n">
        <v>2</v>
      </c>
      <c r="K510" t="n">
        <v>0</v>
      </c>
      <c r="L510" t="n">
        <v>0</v>
      </c>
      <c r="M510" t="n">
        <v>0</v>
      </c>
      <c r="N510" t="n">
        <v>0</v>
      </c>
      <c r="O510" t="n">
        <v>2</v>
      </c>
      <c r="P510" t="n">
        <v>0</v>
      </c>
      <c r="Q510" t="n">
        <v>4</v>
      </c>
      <c r="R510" s="2" t="inlineStr">
        <is>
          <t>Blå kärrhök
Spillkråka
Göktyta
Sångsvan</t>
        </is>
      </c>
      <c r="S510">
        <f>HYPERLINK("https://klasma.github.io/Logging_2283/artfynd/A 20572-2025 artfynd.xlsx", "A 20572-2025")</f>
        <v/>
      </c>
      <c r="T510">
        <f>HYPERLINK("https://klasma.github.io/Logging_2283/kartor/A 20572-2025 karta.png", "A 20572-2025")</f>
        <v/>
      </c>
      <c r="V510">
        <f>HYPERLINK("https://klasma.github.io/Logging_2283/klagomål/A 20572-2025 FSC-klagomål.docx", "A 20572-2025")</f>
        <v/>
      </c>
      <c r="W510">
        <f>HYPERLINK("https://klasma.github.io/Logging_2283/klagomålsmail/A 20572-2025 FSC-klagomål mail.docx", "A 20572-2025")</f>
        <v/>
      </c>
      <c r="X510">
        <f>HYPERLINK("https://klasma.github.io/Logging_2283/tillsyn/A 20572-2025 tillsynsbegäran.docx", "A 20572-2025")</f>
        <v/>
      </c>
      <c r="Y510">
        <f>HYPERLINK("https://klasma.github.io/Logging_2283/tillsynsmail/A 20572-2025 tillsynsbegäran mail.docx", "A 20572-2025")</f>
        <v/>
      </c>
      <c r="Z510">
        <f>HYPERLINK("https://klasma.github.io/Logging_2283/fåglar/A 20572-2025 prioriterade fågelarter.docx", "A 20572-2025")</f>
        <v/>
      </c>
    </row>
    <row r="511" ht="15" customHeight="1">
      <c r="A511" t="inlineStr">
        <is>
          <t>A 41592-2024</t>
        </is>
      </c>
      <c r="B511" s="1" t="n">
        <v>45560</v>
      </c>
      <c r="C511" s="1" t="n">
        <v>46093</v>
      </c>
      <c r="D511" t="inlineStr">
        <is>
          <t>VÄSTERNORRLANDS LÄN</t>
        </is>
      </c>
      <c r="E511" t="inlineStr">
        <is>
          <t>HÄRNÖSAND</t>
        </is>
      </c>
      <c r="F511" t="inlineStr">
        <is>
          <t>SCA</t>
        </is>
      </c>
      <c r="G511" t="n">
        <v>6.8</v>
      </c>
      <c r="H511" t="n">
        <v>0</v>
      </c>
      <c r="I511" t="n">
        <v>1</v>
      </c>
      <c r="J511" t="n">
        <v>3</v>
      </c>
      <c r="K511" t="n">
        <v>0</v>
      </c>
      <c r="L511" t="n">
        <v>0</v>
      </c>
      <c r="M511" t="n">
        <v>0</v>
      </c>
      <c r="N511" t="n">
        <v>0</v>
      </c>
      <c r="O511" t="n">
        <v>3</v>
      </c>
      <c r="P511" t="n">
        <v>0</v>
      </c>
      <c r="Q511" t="n">
        <v>4</v>
      </c>
      <c r="R511" s="2" t="inlineStr">
        <is>
          <t>Garnlav
Ullticka
Vedflamlav
Stuplav</t>
        </is>
      </c>
      <c r="S511">
        <f>HYPERLINK("https://klasma.github.io/Logging_2280/artfynd/A 41592-2024 artfynd.xlsx", "A 41592-2024")</f>
        <v/>
      </c>
      <c r="T511">
        <f>HYPERLINK("https://klasma.github.io/Logging_2280/kartor/A 41592-2024 karta.png", "A 41592-2024")</f>
        <v/>
      </c>
      <c r="V511">
        <f>HYPERLINK("https://klasma.github.io/Logging_2280/klagomål/A 41592-2024 FSC-klagomål.docx", "A 41592-2024")</f>
        <v/>
      </c>
      <c r="W511">
        <f>HYPERLINK("https://klasma.github.io/Logging_2280/klagomålsmail/A 41592-2024 FSC-klagomål mail.docx", "A 41592-2024")</f>
        <v/>
      </c>
      <c r="X511">
        <f>HYPERLINK("https://klasma.github.io/Logging_2280/tillsyn/A 41592-2024 tillsynsbegäran.docx", "A 41592-2024")</f>
        <v/>
      </c>
      <c r="Y511">
        <f>HYPERLINK("https://klasma.github.io/Logging_2280/tillsynsmail/A 41592-2024 tillsynsbegäran mail.docx", "A 41592-2024")</f>
        <v/>
      </c>
    </row>
    <row r="512" ht="15" customHeight="1">
      <c r="A512" t="inlineStr">
        <is>
          <t>A 44034-2025</t>
        </is>
      </c>
      <c r="B512" s="1" t="n">
        <v>45915.49065972222</v>
      </c>
      <c r="C512" s="1" t="n">
        <v>46093</v>
      </c>
      <c r="D512" t="inlineStr">
        <is>
          <t>VÄSTERNORRLANDS LÄN</t>
        </is>
      </c>
      <c r="E512" t="inlineStr">
        <is>
          <t>TIMRÅ</t>
        </is>
      </c>
      <c r="F512" t="inlineStr">
        <is>
          <t>SCA</t>
        </is>
      </c>
      <c r="G512" t="n">
        <v>5.2</v>
      </c>
      <c r="H512" t="n">
        <v>0</v>
      </c>
      <c r="I512" t="n">
        <v>2</v>
      </c>
      <c r="J512" t="n">
        <v>2</v>
      </c>
      <c r="K512" t="n">
        <v>0</v>
      </c>
      <c r="L512" t="n">
        <v>0</v>
      </c>
      <c r="M512" t="n">
        <v>0</v>
      </c>
      <c r="N512" t="n">
        <v>0</v>
      </c>
      <c r="O512" t="n">
        <v>2</v>
      </c>
      <c r="P512" t="n">
        <v>0</v>
      </c>
      <c r="Q512" t="n">
        <v>4</v>
      </c>
      <c r="R512" s="2" t="inlineStr">
        <is>
          <t>Garnlav
Äggvaxskivling
Dvärgtufs
Skinnlav</t>
        </is>
      </c>
      <c r="S512">
        <f>HYPERLINK("https://klasma.github.io/Logging_2262/artfynd/A 44034-2025 artfynd.xlsx", "A 44034-2025")</f>
        <v/>
      </c>
      <c r="T512">
        <f>HYPERLINK("https://klasma.github.io/Logging_2262/kartor/A 44034-2025 karta.png", "A 44034-2025")</f>
        <v/>
      </c>
      <c r="V512">
        <f>HYPERLINK("https://klasma.github.io/Logging_2262/klagomål/A 44034-2025 FSC-klagomål.docx", "A 44034-2025")</f>
        <v/>
      </c>
      <c r="W512">
        <f>HYPERLINK("https://klasma.github.io/Logging_2262/klagomålsmail/A 44034-2025 FSC-klagomål mail.docx", "A 44034-2025")</f>
        <v/>
      </c>
      <c r="X512">
        <f>HYPERLINK("https://klasma.github.io/Logging_2262/tillsyn/A 44034-2025 tillsynsbegäran.docx", "A 44034-2025")</f>
        <v/>
      </c>
      <c r="Y512">
        <f>HYPERLINK("https://klasma.github.io/Logging_2262/tillsynsmail/A 44034-2025 tillsynsbegäran mail.docx", "A 44034-2025")</f>
        <v/>
      </c>
    </row>
    <row r="513" ht="15" customHeight="1">
      <c r="A513" t="inlineStr">
        <is>
          <t>A 45030-2025</t>
        </is>
      </c>
      <c r="B513" s="1" t="n">
        <v>45918.69851851852</v>
      </c>
      <c r="C513" s="1" t="n">
        <v>46093</v>
      </c>
      <c r="D513" t="inlineStr">
        <is>
          <t>VÄSTERNORRLANDS LÄN</t>
        </is>
      </c>
      <c r="E513" t="inlineStr">
        <is>
          <t>SOLLEFTEÅ</t>
        </is>
      </c>
      <c r="F513" t="inlineStr">
        <is>
          <t>SCA</t>
        </is>
      </c>
      <c r="G513" t="n">
        <v>8.1</v>
      </c>
      <c r="H513" t="n">
        <v>3</v>
      </c>
      <c r="I513" t="n">
        <v>1</v>
      </c>
      <c r="J513" t="n">
        <v>2</v>
      </c>
      <c r="K513" t="n">
        <v>0</v>
      </c>
      <c r="L513" t="n">
        <v>0</v>
      </c>
      <c r="M513" t="n">
        <v>0</v>
      </c>
      <c r="N513" t="n">
        <v>0</v>
      </c>
      <c r="O513" t="n">
        <v>2</v>
      </c>
      <c r="P513" t="n">
        <v>0</v>
      </c>
      <c r="Q513" t="n">
        <v>4</v>
      </c>
      <c r="R513" s="2" t="inlineStr">
        <is>
          <t>Garnlav
Talltita
Korallrot
Revlummer</t>
        </is>
      </c>
      <c r="S513">
        <f>HYPERLINK("https://klasma.github.io/Logging_2283/artfynd/A 45030-2025 artfynd.xlsx", "A 45030-2025")</f>
        <v/>
      </c>
      <c r="T513">
        <f>HYPERLINK("https://klasma.github.io/Logging_2283/kartor/A 45030-2025 karta.png", "A 45030-2025")</f>
        <v/>
      </c>
      <c r="V513">
        <f>HYPERLINK("https://klasma.github.io/Logging_2283/klagomål/A 45030-2025 FSC-klagomål.docx", "A 45030-2025")</f>
        <v/>
      </c>
      <c r="W513">
        <f>HYPERLINK("https://klasma.github.io/Logging_2283/klagomålsmail/A 45030-2025 FSC-klagomål mail.docx", "A 45030-2025")</f>
        <v/>
      </c>
      <c r="X513">
        <f>HYPERLINK("https://klasma.github.io/Logging_2283/tillsyn/A 45030-2025 tillsynsbegäran.docx", "A 45030-2025")</f>
        <v/>
      </c>
      <c r="Y513">
        <f>HYPERLINK("https://klasma.github.io/Logging_2283/tillsynsmail/A 45030-2025 tillsynsbegäran mail.docx", "A 45030-2025")</f>
        <v/>
      </c>
      <c r="Z513">
        <f>HYPERLINK("https://klasma.github.io/Logging_2283/fåglar/A 45030-2025 prioriterade fågelarter.docx", "A 45030-2025")</f>
        <v/>
      </c>
    </row>
    <row r="514" ht="15" customHeight="1">
      <c r="A514" t="inlineStr">
        <is>
          <t>A 44917-2024</t>
        </is>
      </c>
      <c r="B514" s="1" t="n">
        <v>45575.40046296296</v>
      </c>
      <c r="C514" s="1" t="n">
        <v>46093</v>
      </c>
      <c r="D514" t="inlineStr">
        <is>
          <t>VÄSTERNORRLANDS LÄN</t>
        </is>
      </c>
      <c r="E514" t="inlineStr">
        <is>
          <t>HÄRNÖSAND</t>
        </is>
      </c>
      <c r="G514" t="n">
        <v>10.8</v>
      </c>
      <c r="H514" t="n">
        <v>0</v>
      </c>
      <c r="I514" t="n">
        <v>2</v>
      </c>
      <c r="J514" t="n">
        <v>2</v>
      </c>
      <c r="K514" t="n">
        <v>0</v>
      </c>
      <c r="L514" t="n">
        <v>0</v>
      </c>
      <c r="M514" t="n">
        <v>0</v>
      </c>
      <c r="N514" t="n">
        <v>0</v>
      </c>
      <c r="O514" t="n">
        <v>2</v>
      </c>
      <c r="P514" t="n">
        <v>0</v>
      </c>
      <c r="Q514" t="n">
        <v>4</v>
      </c>
      <c r="R514" s="2" t="inlineStr">
        <is>
          <t>Garnlav
Ullticka
Stor aspticka
Vedticka</t>
        </is>
      </c>
      <c r="S514">
        <f>HYPERLINK("https://klasma.github.io/Logging_2280/artfynd/A 44917-2024 artfynd.xlsx", "A 44917-2024")</f>
        <v/>
      </c>
      <c r="T514">
        <f>HYPERLINK("https://klasma.github.io/Logging_2280/kartor/A 44917-2024 karta.png", "A 44917-2024")</f>
        <v/>
      </c>
      <c r="V514">
        <f>HYPERLINK("https://klasma.github.io/Logging_2280/klagomål/A 44917-2024 FSC-klagomål.docx", "A 44917-2024")</f>
        <v/>
      </c>
      <c r="W514">
        <f>HYPERLINK("https://klasma.github.io/Logging_2280/klagomålsmail/A 44917-2024 FSC-klagomål mail.docx", "A 44917-2024")</f>
        <v/>
      </c>
      <c r="X514">
        <f>HYPERLINK("https://klasma.github.io/Logging_2280/tillsyn/A 44917-2024 tillsynsbegäran.docx", "A 44917-2024")</f>
        <v/>
      </c>
      <c r="Y514">
        <f>HYPERLINK("https://klasma.github.io/Logging_2280/tillsynsmail/A 44917-2024 tillsynsbegäran mail.docx", "A 44917-2024")</f>
        <v/>
      </c>
    </row>
    <row r="515" ht="15" customHeight="1">
      <c r="A515" t="inlineStr">
        <is>
          <t>A 11029-2025</t>
        </is>
      </c>
      <c r="B515" s="1" t="n">
        <v>45723</v>
      </c>
      <c r="C515" s="1" t="n">
        <v>46093</v>
      </c>
      <c r="D515" t="inlineStr">
        <is>
          <t>VÄSTERNORRLANDS LÄN</t>
        </is>
      </c>
      <c r="E515" t="inlineStr">
        <is>
          <t>ÅNGE</t>
        </is>
      </c>
      <c r="G515" t="n">
        <v>1.3</v>
      </c>
      <c r="H515" t="n">
        <v>3</v>
      </c>
      <c r="I515" t="n">
        <v>0</v>
      </c>
      <c r="J515" t="n">
        <v>1</v>
      </c>
      <c r="K515" t="n">
        <v>1</v>
      </c>
      <c r="L515" t="n">
        <v>0</v>
      </c>
      <c r="M515" t="n">
        <v>0</v>
      </c>
      <c r="N515" t="n">
        <v>0</v>
      </c>
      <c r="O515" t="n">
        <v>2</v>
      </c>
      <c r="P515" t="n">
        <v>1</v>
      </c>
      <c r="Q515" t="n">
        <v>4</v>
      </c>
      <c r="R515" s="2" t="inlineStr">
        <is>
          <t>Knärot
Garnlav
Vanlig groda
Revlummer</t>
        </is>
      </c>
      <c r="S515">
        <f>HYPERLINK("https://klasma.github.io/Logging_2260/artfynd/A 11029-2025 artfynd.xlsx", "A 11029-2025")</f>
        <v/>
      </c>
      <c r="T515">
        <f>HYPERLINK("https://klasma.github.io/Logging_2260/kartor/A 11029-2025 karta.png", "A 11029-2025")</f>
        <v/>
      </c>
      <c r="U515">
        <f>HYPERLINK("https://klasma.github.io/Logging_2260/knärot/A 11029-2025 karta knärot.png", "A 11029-2025")</f>
        <v/>
      </c>
      <c r="V515">
        <f>HYPERLINK("https://klasma.github.io/Logging_2260/klagomål/A 11029-2025 FSC-klagomål.docx", "A 11029-2025")</f>
        <v/>
      </c>
      <c r="W515">
        <f>HYPERLINK("https://klasma.github.io/Logging_2260/klagomålsmail/A 11029-2025 FSC-klagomål mail.docx", "A 11029-2025")</f>
        <v/>
      </c>
      <c r="X515">
        <f>HYPERLINK("https://klasma.github.io/Logging_2260/tillsyn/A 11029-2025 tillsynsbegäran.docx", "A 11029-2025")</f>
        <v/>
      </c>
      <c r="Y515">
        <f>HYPERLINK("https://klasma.github.io/Logging_2260/tillsynsmail/A 11029-2025 tillsynsbegäran mail.docx", "A 11029-2025")</f>
        <v/>
      </c>
    </row>
    <row r="516" ht="15" customHeight="1">
      <c r="A516" t="inlineStr">
        <is>
          <t>A 53436-2023</t>
        </is>
      </c>
      <c r="B516" s="1" t="n">
        <v>45229</v>
      </c>
      <c r="C516" s="1" t="n">
        <v>46093</v>
      </c>
      <c r="D516" t="inlineStr">
        <is>
          <t>VÄSTERNORRLANDS LÄN</t>
        </is>
      </c>
      <c r="E516" t="inlineStr">
        <is>
          <t>TIMRÅ</t>
        </is>
      </c>
      <c r="F516" t="inlineStr">
        <is>
          <t>SCA</t>
        </is>
      </c>
      <c r="G516" t="n">
        <v>4.2</v>
      </c>
      <c r="H516" t="n">
        <v>1</v>
      </c>
      <c r="I516" t="n">
        <v>2</v>
      </c>
      <c r="J516" t="n">
        <v>1</v>
      </c>
      <c r="K516" t="n">
        <v>0</v>
      </c>
      <c r="L516" t="n">
        <v>0</v>
      </c>
      <c r="M516" t="n">
        <v>0</v>
      </c>
      <c r="N516" t="n">
        <v>0</v>
      </c>
      <c r="O516" t="n">
        <v>1</v>
      </c>
      <c r="P516" t="n">
        <v>0</v>
      </c>
      <c r="Q516" t="n">
        <v>4</v>
      </c>
      <c r="R516" s="2" t="inlineStr">
        <is>
          <t>Ullticka
Strutbräken
Vårärt
Revlummer</t>
        </is>
      </c>
      <c r="S516">
        <f>HYPERLINK("https://klasma.github.io/Logging_2262/artfynd/A 53436-2023 artfynd.xlsx", "A 53436-2023")</f>
        <v/>
      </c>
      <c r="T516">
        <f>HYPERLINK("https://klasma.github.io/Logging_2262/kartor/A 53436-2023 karta.png", "A 53436-2023")</f>
        <v/>
      </c>
      <c r="V516">
        <f>HYPERLINK("https://klasma.github.io/Logging_2262/klagomål/A 53436-2023 FSC-klagomål.docx", "A 53436-2023")</f>
        <v/>
      </c>
      <c r="W516">
        <f>HYPERLINK("https://klasma.github.io/Logging_2262/klagomålsmail/A 53436-2023 FSC-klagomål mail.docx", "A 53436-2023")</f>
        <v/>
      </c>
      <c r="X516">
        <f>HYPERLINK("https://klasma.github.io/Logging_2262/tillsyn/A 53436-2023 tillsynsbegäran.docx", "A 53436-2023")</f>
        <v/>
      </c>
      <c r="Y516">
        <f>HYPERLINK("https://klasma.github.io/Logging_2262/tillsynsmail/A 53436-2023 tillsynsbegäran mail.docx", "A 53436-2023")</f>
        <v/>
      </c>
    </row>
    <row r="517" ht="15" customHeight="1">
      <c r="A517" t="inlineStr">
        <is>
          <t>A 24796-2024</t>
        </is>
      </c>
      <c r="B517" s="1" t="n">
        <v>45460</v>
      </c>
      <c r="C517" s="1" t="n">
        <v>46093</v>
      </c>
      <c r="D517" t="inlineStr">
        <is>
          <t>VÄSTERNORRLANDS LÄN</t>
        </is>
      </c>
      <c r="E517" t="inlineStr">
        <is>
          <t>ÅNGE</t>
        </is>
      </c>
      <c r="F517" t="inlineStr">
        <is>
          <t>SCA</t>
        </is>
      </c>
      <c r="G517" t="n">
        <v>6.7</v>
      </c>
      <c r="H517" t="n">
        <v>2</v>
      </c>
      <c r="I517" t="n">
        <v>2</v>
      </c>
      <c r="J517" t="n">
        <v>1</v>
      </c>
      <c r="K517" t="n">
        <v>0</v>
      </c>
      <c r="L517" t="n">
        <v>0</v>
      </c>
      <c r="M517" t="n">
        <v>0</v>
      </c>
      <c r="N517" t="n">
        <v>0</v>
      </c>
      <c r="O517" t="n">
        <v>1</v>
      </c>
      <c r="P517" t="n">
        <v>0</v>
      </c>
      <c r="Q517" t="n">
        <v>4</v>
      </c>
      <c r="R517" s="2" t="inlineStr">
        <is>
          <t>Doftskinn
Korallrot
Skinnlav
Kungsfågel</t>
        </is>
      </c>
      <c r="S517">
        <f>HYPERLINK("https://klasma.github.io/Logging_2260/artfynd/A 24796-2024 artfynd.xlsx", "A 24796-2024")</f>
        <v/>
      </c>
      <c r="T517">
        <f>HYPERLINK("https://klasma.github.io/Logging_2260/kartor/A 24796-2024 karta.png", "A 24796-2024")</f>
        <v/>
      </c>
      <c r="V517">
        <f>HYPERLINK("https://klasma.github.io/Logging_2260/klagomål/A 24796-2024 FSC-klagomål.docx", "A 24796-2024")</f>
        <v/>
      </c>
      <c r="W517">
        <f>HYPERLINK("https://klasma.github.io/Logging_2260/klagomålsmail/A 24796-2024 FSC-klagomål mail.docx", "A 24796-2024")</f>
        <v/>
      </c>
      <c r="X517">
        <f>HYPERLINK("https://klasma.github.io/Logging_2260/tillsyn/A 24796-2024 tillsynsbegäran.docx", "A 24796-2024")</f>
        <v/>
      </c>
      <c r="Y517">
        <f>HYPERLINK("https://klasma.github.io/Logging_2260/tillsynsmail/A 24796-2024 tillsynsbegäran mail.docx", "A 24796-2024")</f>
        <v/>
      </c>
      <c r="Z517">
        <f>HYPERLINK("https://klasma.github.io/Logging_2260/fåglar/A 24796-2024 prioriterade fågelarter.docx", "A 24796-2024")</f>
        <v/>
      </c>
    </row>
    <row r="518" ht="15" customHeight="1">
      <c r="A518" t="inlineStr">
        <is>
          <t>A 62364-2023</t>
        </is>
      </c>
      <c r="B518" s="1" t="n">
        <v>45267.95166666667</v>
      </c>
      <c r="C518" s="1" t="n">
        <v>46093</v>
      </c>
      <c r="D518" t="inlineStr">
        <is>
          <t>VÄSTERNORRLANDS LÄN</t>
        </is>
      </c>
      <c r="E518" t="inlineStr">
        <is>
          <t>SOLLEFTEÅ</t>
        </is>
      </c>
      <c r="F518" t="inlineStr">
        <is>
          <t>SCA</t>
        </is>
      </c>
      <c r="G518" t="n">
        <v>22.1</v>
      </c>
      <c r="H518" t="n">
        <v>1</v>
      </c>
      <c r="I518" t="n">
        <v>0</v>
      </c>
      <c r="J518" t="n">
        <v>3</v>
      </c>
      <c r="K518" t="n">
        <v>0</v>
      </c>
      <c r="L518" t="n">
        <v>0</v>
      </c>
      <c r="M518" t="n">
        <v>0</v>
      </c>
      <c r="N518" t="n">
        <v>0</v>
      </c>
      <c r="O518" t="n">
        <v>3</v>
      </c>
      <c r="P518" t="n">
        <v>0</v>
      </c>
      <c r="Q518" t="n">
        <v>4</v>
      </c>
      <c r="R518" s="2" t="inlineStr">
        <is>
          <t>Granticka
Harticka
Skogshare
Tjäder</t>
        </is>
      </c>
      <c r="S518">
        <f>HYPERLINK("https://klasma.github.io/Logging_2283/artfynd/A 62364-2023 artfynd.xlsx", "A 62364-2023")</f>
        <v/>
      </c>
      <c r="T518">
        <f>HYPERLINK("https://klasma.github.io/Logging_2283/kartor/A 62364-2023 karta.png", "A 62364-2023")</f>
        <v/>
      </c>
      <c r="V518">
        <f>HYPERLINK("https://klasma.github.io/Logging_2283/klagomål/A 62364-2023 FSC-klagomål.docx", "A 62364-2023")</f>
        <v/>
      </c>
      <c r="W518">
        <f>HYPERLINK("https://klasma.github.io/Logging_2283/klagomålsmail/A 62364-2023 FSC-klagomål mail.docx", "A 62364-2023")</f>
        <v/>
      </c>
      <c r="X518">
        <f>HYPERLINK("https://klasma.github.io/Logging_2283/tillsyn/A 62364-2023 tillsynsbegäran.docx", "A 62364-2023")</f>
        <v/>
      </c>
      <c r="Y518">
        <f>HYPERLINK("https://klasma.github.io/Logging_2283/tillsynsmail/A 62364-2023 tillsynsbegäran mail.docx", "A 62364-2023")</f>
        <v/>
      </c>
      <c r="Z518">
        <f>HYPERLINK("https://klasma.github.io/Logging_2283/fåglar/A 62364-2023 prioriterade fågelarter.docx", "A 62364-2023")</f>
        <v/>
      </c>
    </row>
    <row r="519" ht="15" customHeight="1">
      <c r="A519" t="inlineStr">
        <is>
          <t>A 36943-2025</t>
        </is>
      </c>
      <c r="B519" s="1" t="n">
        <v>45874.59422453704</v>
      </c>
      <c r="C519" s="1" t="n">
        <v>46093</v>
      </c>
      <c r="D519" t="inlineStr">
        <is>
          <t>VÄSTERNORRLANDS LÄN</t>
        </is>
      </c>
      <c r="E519" t="inlineStr">
        <is>
          <t>SOLLEFTEÅ</t>
        </is>
      </c>
      <c r="F519" t="inlineStr">
        <is>
          <t>SCA</t>
        </is>
      </c>
      <c r="G519" t="n">
        <v>5.3</v>
      </c>
      <c r="H519" t="n">
        <v>1</v>
      </c>
      <c r="I519" t="n">
        <v>1</v>
      </c>
      <c r="J519" t="n">
        <v>2</v>
      </c>
      <c r="K519" t="n">
        <v>1</v>
      </c>
      <c r="L519" t="n">
        <v>0</v>
      </c>
      <c r="M519" t="n">
        <v>0</v>
      </c>
      <c r="N519" t="n">
        <v>0</v>
      </c>
      <c r="O519" t="n">
        <v>3</v>
      </c>
      <c r="P519" t="n">
        <v>1</v>
      </c>
      <c r="Q519" t="n">
        <v>4</v>
      </c>
      <c r="R519" s="2" t="inlineStr">
        <is>
          <t>Doftticka
Garnlav
Lunglav
Luddlav</t>
        </is>
      </c>
      <c r="S519">
        <f>HYPERLINK("https://klasma.github.io/Logging_2283/artfynd/A 36943-2025 artfynd.xlsx", "A 36943-2025")</f>
        <v/>
      </c>
      <c r="T519">
        <f>HYPERLINK("https://klasma.github.io/Logging_2283/kartor/A 36943-2025 karta.png", "A 36943-2025")</f>
        <v/>
      </c>
      <c r="V519">
        <f>HYPERLINK("https://klasma.github.io/Logging_2283/klagomål/A 36943-2025 FSC-klagomål.docx", "A 36943-2025")</f>
        <v/>
      </c>
      <c r="W519">
        <f>HYPERLINK("https://klasma.github.io/Logging_2283/klagomålsmail/A 36943-2025 FSC-klagomål mail.docx", "A 36943-2025")</f>
        <v/>
      </c>
      <c r="X519">
        <f>HYPERLINK("https://klasma.github.io/Logging_2283/tillsyn/A 36943-2025 tillsynsbegäran.docx", "A 36943-2025")</f>
        <v/>
      </c>
      <c r="Y519">
        <f>HYPERLINK("https://klasma.github.io/Logging_2283/tillsynsmail/A 36943-2025 tillsynsbegäran mail.docx", "A 36943-2025")</f>
        <v/>
      </c>
    </row>
    <row r="520" ht="15" customHeight="1">
      <c r="A520" t="inlineStr">
        <is>
          <t>A 62632-2022</t>
        </is>
      </c>
      <c r="B520" s="1" t="n">
        <v>44925</v>
      </c>
      <c r="C520" s="1" t="n">
        <v>46093</v>
      </c>
      <c r="D520" t="inlineStr">
        <is>
          <t>VÄSTERNORRLANDS LÄN</t>
        </is>
      </c>
      <c r="E520" t="inlineStr">
        <is>
          <t>SOLLEFTEÅ</t>
        </is>
      </c>
      <c r="F520" t="inlineStr">
        <is>
          <t>Holmen skog AB</t>
        </is>
      </c>
      <c r="G520" t="n">
        <v>4.4</v>
      </c>
      <c r="H520" t="n">
        <v>1</v>
      </c>
      <c r="I520" t="n">
        <v>1</v>
      </c>
      <c r="J520" t="n">
        <v>2</v>
      </c>
      <c r="K520" t="n">
        <v>1</v>
      </c>
      <c r="L520" t="n">
        <v>0</v>
      </c>
      <c r="M520" t="n">
        <v>0</v>
      </c>
      <c r="N520" t="n">
        <v>0</v>
      </c>
      <c r="O520" t="n">
        <v>3</v>
      </c>
      <c r="P520" t="n">
        <v>1</v>
      </c>
      <c r="Q520" t="n">
        <v>4</v>
      </c>
      <c r="R520" s="2" t="inlineStr">
        <is>
          <t>Bitter taggsvamp
Blå taggsvamp
Orange taggsvamp
Plattlummer</t>
        </is>
      </c>
      <c r="S520">
        <f>HYPERLINK("https://klasma.github.io/Logging_2283/artfynd/A 62632-2022 artfynd.xlsx", "A 62632-2022")</f>
        <v/>
      </c>
      <c r="T520">
        <f>HYPERLINK("https://klasma.github.io/Logging_2283/kartor/A 62632-2022 karta.png", "A 62632-2022")</f>
        <v/>
      </c>
      <c r="V520">
        <f>HYPERLINK("https://klasma.github.io/Logging_2283/klagomål/A 62632-2022 FSC-klagomål.docx", "A 62632-2022")</f>
        <v/>
      </c>
      <c r="W520">
        <f>HYPERLINK("https://klasma.github.io/Logging_2283/klagomålsmail/A 62632-2022 FSC-klagomål mail.docx", "A 62632-2022")</f>
        <v/>
      </c>
      <c r="X520">
        <f>HYPERLINK("https://klasma.github.io/Logging_2283/tillsyn/A 62632-2022 tillsynsbegäran.docx", "A 62632-2022")</f>
        <v/>
      </c>
      <c r="Y520">
        <f>HYPERLINK("https://klasma.github.io/Logging_2283/tillsynsmail/A 62632-2022 tillsynsbegäran mail.docx", "A 62632-2022")</f>
        <v/>
      </c>
    </row>
    <row r="521" ht="15" customHeight="1">
      <c r="A521" t="inlineStr">
        <is>
          <t>A 49232-2025</t>
        </is>
      </c>
      <c r="B521" s="1" t="n">
        <v>45937</v>
      </c>
      <c r="C521" s="1" t="n">
        <v>46093</v>
      </c>
      <c r="D521" t="inlineStr">
        <is>
          <t>VÄSTERNORRLANDS LÄN</t>
        </is>
      </c>
      <c r="E521" t="inlineStr">
        <is>
          <t>TIMRÅ</t>
        </is>
      </c>
      <c r="G521" t="n">
        <v>4.2</v>
      </c>
      <c r="H521" t="n">
        <v>3</v>
      </c>
      <c r="I521" t="n">
        <v>0</v>
      </c>
      <c r="J521" t="n">
        <v>3</v>
      </c>
      <c r="K521" t="n">
        <v>0</v>
      </c>
      <c r="L521" t="n">
        <v>0</v>
      </c>
      <c r="M521" t="n">
        <v>0</v>
      </c>
      <c r="N521" t="n">
        <v>0</v>
      </c>
      <c r="O521" t="n">
        <v>3</v>
      </c>
      <c r="P521" t="n">
        <v>0</v>
      </c>
      <c r="Q521" t="n">
        <v>4</v>
      </c>
      <c r="R521" s="2" t="inlineStr">
        <is>
          <t>Grönsångare
Rödprick
Spillkråka
Gråspett</t>
        </is>
      </c>
      <c r="S521">
        <f>HYPERLINK("https://klasma.github.io/Logging_2262/artfynd/A 49232-2025 artfynd.xlsx", "A 49232-2025")</f>
        <v/>
      </c>
      <c r="T521">
        <f>HYPERLINK("https://klasma.github.io/Logging_2262/kartor/A 49232-2025 karta.png", "A 49232-2025")</f>
        <v/>
      </c>
      <c r="V521">
        <f>HYPERLINK("https://klasma.github.io/Logging_2262/klagomål/A 49232-2025 FSC-klagomål.docx", "A 49232-2025")</f>
        <v/>
      </c>
      <c r="W521">
        <f>HYPERLINK("https://klasma.github.io/Logging_2262/klagomålsmail/A 49232-2025 FSC-klagomål mail.docx", "A 49232-2025")</f>
        <v/>
      </c>
      <c r="X521">
        <f>HYPERLINK("https://klasma.github.io/Logging_2262/tillsyn/A 49232-2025 tillsynsbegäran.docx", "A 49232-2025")</f>
        <v/>
      </c>
      <c r="Y521">
        <f>HYPERLINK("https://klasma.github.io/Logging_2262/tillsynsmail/A 49232-2025 tillsynsbegäran mail.docx", "A 49232-2025")</f>
        <v/>
      </c>
      <c r="Z521">
        <f>HYPERLINK("https://klasma.github.io/Logging_2262/fåglar/A 49232-2025 prioriterade fågelarter.docx", "A 49232-2025")</f>
        <v/>
      </c>
    </row>
    <row r="522" ht="15" customHeight="1">
      <c r="A522" t="inlineStr">
        <is>
          <t>A 48844-2025</t>
        </is>
      </c>
      <c r="B522" s="1" t="n">
        <v>45937.4278125</v>
      </c>
      <c r="C522" s="1" t="n">
        <v>46093</v>
      </c>
      <c r="D522" t="inlineStr">
        <is>
          <t>VÄSTERNORRLANDS LÄN</t>
        </is>
      </c>
      <c r="E522" t="inlineStr">
        <is>
          <t>SUNDSVALL</t>
        </is>
      </c>
      <c r="F522" t="inlineStr">
        <is>
          <t>SCA</t>
        </is>
      </c>
      <c r="G522" t="n">
        <v>3.9</v>
      </c>
      <c r="H522" t="n">
        <v>0</v>
      </c>
      <c r="I522" t="n">
        <v>2</v>
      </c>
      <c r="J522" t="n">
        <v>2</v>
      </c>
      <c r="K522" t="n">
        <v>0</v>
      </c>
      <c r="L522" t="n">
        <v>0</v>
      </c>
      <c r="M522" t="n">
        <v>0</v>
      </c>
      <c r="N522" t="n">
        <v>0</v>
      </c>
      <c r="O522" t="n">
        <v>2</v>
      </c>
      <c r="P522" t="n">
        <v>0</v>
      </c>
      <c r="Q522" t="n">
        <v>4</v>
      </c>
      <c r="R522" s="2" t="inlineStr">
        <is>
          <t>Granticka
Ullticka
Stuplav
Vedticka</t>
        </is>
      </c>
      <c r="S522">
        <f>HYPERLINK("https://klasma.github.io/Logging_2281/artfynd/A 48844-2025 artfynd.xlsx", "A 48844-2025")</f>
        <v/>
      </c>
      <c r="T522">
        <f>HYPERLINK("https://klasma.github.io/Logging_2281/kartor/A 48844-2025 karta.png", "A 48844-2025")</f>
        <v/>
      </c>
      <c r="V522">
        <f>HYPERLINK("https://klasma.github.io/Logging_2281/klagomål/A 48844-2025 FSC-klagomål.docx", "A 48844-2025")</f>
        <v/>
      </c>
      <c r="W522">
        <f>HYPERLINK("https://klasma.github.io/Logging_2281/klagomålsmail/A 48844-2025 FSC-klagomål mail.docx", "A 48844-2025")</f>
        <v/>
      </c>
      <c r="X522">
        <f>HYPERLINK("https://klasma.github.io/Logging_2281/tillsyn/A 48844-2025 tillsynsbegäran.docx", "A 48844-2025")</f>
        <v/>
      </c>
      <c r="Y522">
        <f>HYPERLINK("https://klasma.github.io/Logging_2281/tillsynsmail/A 48844-2025 tillsynsbegäran mail.docx", "A 48844-2025")</f>
        <v/>
      </c>
    </row>
    <row r="523" ht="15" customHeight="1">
      <c r="A523" t="inlineStr">
        <is>
          <t>A 49997-2021</t>
        </is>
      </c>
      <c r="B523" s="1" t="n">
        <v>44456</v>
      </c>
      <c r="C523" s="1" t="n">
        <v>46093</v>
      </c>
      <c r="D523" t="inlineStr">
        <is>
          <t>VÄSTERNORRLANDS LÄN</t>
        </is>
      </c>
      <c r="E523" t="inlineStr">
        <is>
          <t>SUNDSVALL</t>
        </is>
      </c>
      <c r="G523" t="n">
        <v>1.7</v>
      </c>
      <c r="H523" t="n">
        <v>0</v>
      </c>
      <c r="I523" t="n">
        <v>0</v>
      </c>
      <c r="J523" t="n">
        <v>3</v>
      </c>
      <c r="K523" t="n">
        <v>1</v>
      </c>
      <c r="L523" t="n">
        <v>0</v>
      </c>
      <c r="M523" t="n">
        <v>0</v>
      </c>
      <c r="N523" t="n">
        <v>0</v>
      </c>
      <c r="O523" t="n">
        <v>4</v>
      </c>
      <c r="P523" t="n">
        <v>1</v>
      </c>
      <c r="Q523" t="n">
        <v>4</v>
      </c>
      <c r="R523" s="2" t="inlineStr">
        <is>
          <t>Rynkskinn
Gränsticka
Rosenticka
Ullticka</t>
        </is>
      </c>
      <c r="S523">
        <f>HYPERLINK("https://klasma.github.io/Logging_2281/artfynd/A 49997-2021 artfynd.xlsx", "A 49997-2021")</f>
        <v/>
      </c>
      <c r="T523">
        <f>HYPERLINK("https://klasma.github.io/Logging_2281/kartor/A 49997-2021 karta.png", "A 49997-2021")</f>
        <v/>
      </c>
      <c r="V523">
        <f>HYPERLINK("https://klasma.github.io/Logging_2281/klagomål/A 49997-2021 FSC-klagomål.docx", "A 49997-2021")</f>
        <v/>
      </c>
      <c r="W523">
        <f>HYPERLINK("https://klasma.github.io/Logging_2281/klagomålsmail/A 49997-2021 FSC-klagomål mail.docx", "A 49997-2021")</f>
        <v/>
      </c>
      <c r="X523">
        <f>HYPERLINK("https://klasma.github.io/Logging_2281/tillsyn/A 49997-2021 tillsynsbegäran.docx", "A 49997-2021")</f>
        <v/>
      </c>
      <c r="Y523">
        <f>HYPERLINK("https://klasma.github.io/Logging_2281/tillsynsmail/A 49997-2021 tillsynsbegäran mail.docx", "A 49997-2021")</f>
        <v/>
      </c>
    </row>
    <row r="524" ht="15" customHeight="1">
      <c r="A524" t="inlineStr">
        <is>
          <t>A 53296-2024</t>
        </is>
      </c>
      <c r="B524" s="1" t="n">
        <v>45614.38782407407</v>
      </c>
      <c r="C524" s="1" t="n">
        <v>46093</v>
      </c>
      <c r="D524" t="inlineStr">
        <is>
          <t>VÄSTERNORRLANDS LÄN</t>
        </is>
      </c>
      <c r="E524" t="inlineStr">
        <is>
          <t>TIMRÅ</t>
        </is>
      </c>
      <c r="F524" t="inlineStr">
        <is>
          <t>SCA</t>
        </is>
      </c>
      <c r="G524" t="n">
        <v>3.7</v>
      </c>
      <c r="H524" t="n">
        <v>0</v>
      </c>
      <c r="I524" t="n">
        <v>0</v>
      </c>
      <c r="J524" t="n">
        <v>2</v>
      </c>
      <c r="K524" t="n">
        <v>2</v>
      </c>
      <c r="L524" t="n">
        <v>0</v>
      </c>
      <c r="M524" t="n">
        <v>0</v>
      </c>
      <c r="N524" t="n">
        <v>0</v>
      </c>
      <c r="O524" t="n">
        <v>4</v>
      </c>
      <c r="P524" t="n">
        <v>2</v>
      </c>
      <c r="Q524" t="n">
        <v>4</v>
      </c>
      <c r="R524" s="2" t="inlineStr">
        <is>
          <t>Läderdoftande fingersvamp
Rynkskinn
Rosenticka
Ullticka</t>
        </is>
      </c>
      <c r="S524">
        <f>HYPERLINK("https://klasma.github.io/Logging_2262/artfynd/A 53296-2024 artfynd.xlsx", "A 53296-2024")</f>
        <v/>
      </c>
      <c r="T524">
        <f>HYPERLINK("https://klasma.github.io/Logging_2262/kartor/A 53296-2024 karta.png", "A 53296-2024")</f>
        <v/>
      </c>
      <c r="V524">
        <f>HYPERLINK("https://klasma.github.io/Logging_2262/klagomål/A 53296-2024 FSC-klagomål.docx", "A 53296-2024")</f>
        <v/>
      </c>
      <c r="W524">
        <f>HYPERLINK("https://klasma.github.io/Logging_2262/klagomålsmail/A 53296-2024 FSC-klagomål mail.docx", "A 53296-2024")</f>
        <v/>
      </c>
      <c r="X524">
        <f>HYPERLINK("https://klasma.github.io/Logging_2262/tillsyn/A 53296-2024 tillsynsbegäran.docx", "A 53296-2024")</f>
        <v/>
      </c>
      <c r="Y524">
        <f>HYPERLINK("https://klasma.github.io/Logging_2262/tillsynsmail/A 53296-2024 tillsynsbegäran mail.docx", "A 53296-2024")</f>
        <v/>
      </c>
    </row>
    <row r="525" ht="15" customHeight="1">
      <c r="A525" t="inlineStr">
        <is>
          <t>A 57553-2021</t>
        </is>
      </c>
      <c r="B525" s="1" t="n">
        <v>44483.94234953704</v>
      </c>
      <c r="C525" s="1" t="n">
        <v>46093</v>
      </c>
      <c r="D525" t="inlineStr">
        <is>
          <t>VÄSTERNORRLANDS LÄN</t>
        </is>
      </c>
      <c r="E525" t="inlineStr">
        <is>
          <t>TIMRÅ</t>
        </is>
      </c>
      <c r="F525" t="inlineStr">
        <is>
          <t>SCA</t>
        </is>
      </c>
      <c r="G525" t="n">
        <v>17.9</v>
      </c>
      <c r="H525" t="n">
        <v>1</v>
      </c>
      <c r="I525" t="n">
        <v>1</v>
      </c>
      <c r="J525" t="n">
        <v>2</v>
      </c>
      <c r="K525" t="n">
        <v>1</v>
      </c>
      <c r="L525" t="n">
        <v>0</v>
      </c>
      <c r="M525" t="n">
        <v>0</v>
      </c>
      <c r="N525" t="n">
        <v>0</v>
      </c>
      <c r="O525" t="n">
        <v>3</v>
      </c>
      <c r="P525" t="n">
        <v>1</v>
      </c>
      <c r="Q525" t="n">
        <v>4</v>
      </c>
      <c r="R525" s="2" t="inlineStr">
        <is>
          <t>Knärot
Garnlav
Tallticka
Vedticka</t>
        </is>
      </c>
      <c r="S525">
        <f>HYPERLINK("https://klasma.github.io/Logging_2262/artfynd/A 57553-2021 artfynd.xlsx", "A 57553-2021")</f>
        <v/>
      </c>
      <c r="T525">
        <f>HYPERLINK("https://klasma.github.io/Logging_2262/kartor/A 57553-2021 karta.png", "A 57553-2021")</f>
        <v/>
      </c>
      <c r="U525">
        <f>HYPERLINK("https://klasma.github.io/Logging_2262/knärot/A 57553-2021 karta knärot.png", "A 57553-2021")</f>
        <v/>
      </c>
      <c r="V525">
        <f>HYPERLINK("https://klasma.github.io/Logging_2262/klagomål/A 57553-2021 FSC-klagomål.docx", "A 57553-2021")</f>
        <v/>
      </c>
      <c r="W525">
        <f>HYPERLINK("https://klasma.github.io/Logging_2262/klagomålsmail/A 57553-2021 FSC-klagomål mail.docx", "A 57553-2021")</f>
        <v/>
      </c>
      <c r="X525">
        <f>HYPERLINK("https://klasma.github.io/Logging_2262/tillsyn/A 57553-2021 tillsynsbegäran.docx", "A 57553-2021")</f>
        <v/>
      </c>
      <c r="Y525">
        <f>HYPERLINK("https://klasma.github.io/Logging_2262/tillsynsmail/A 57553-2021 tillsynsbegäran mail.docx", "A 57553-2021")</f>
        <v/>
      </c>
    </row>
    <row r="526" ht="15" customHeight="1">
      <c r="A526" t="inlineStr">
        <is>
          <t>A 50982-2025</t>
        </is>
      </c>
      <c r="B526" s="1" t="n">
        <v>45947.34473379629</v>
      </c>
      <c r="C526" s="1" t="n">
        <v>46093</v>
      </c>
      <c r="D526" t="inlineStr">
        <is>
          <t>VÄSTERNORRLANDS LÄN</t>
        </is>
      </c>
      <c r="E526" t="inlineStr">
        <is>
          <t>SUNDSVALL</t>
        </is>
      </c>
      <c r="F526" t="inlineStr">
        <is>
          <t>SCA</t>
        </is>
      </c>
      <c r="G526" t="n">
        <v>3</v>
      </c>
      <c r="H526" t="n">
        <v>2</v>
      </c>
      <c r="I526" t="n">
        <v>1</v>
      </c>
      <c r="J526" t="n">
        <v>2</v>
      </c>
      <c r="K526" t="n">
        <v>1</v>
      </c>
      <c r="L526" t="n">
        <v>0</v>
      </c>
      <c r="M526" t="n">
        <v>0</v>
      </c>
      <c r="N526" t="n">
        <v>0</v>
      </c>
      <c r="O526" t="n">
        <v>3</v>
      </c>
      <c r="P526" t="n">
        <v>1</v>
      </c>
      <c r="Q526" t="n">
        <v>4</v>
      </c>
      <c r="R526" s="2" t="inlineStr">
        <is>
          <t>Knärot
Lunglav
Tretåig hackspett
Skinnlav</t>
        </is>
      </c>
      <c r="S526">
        <f>HYPERLINK("https://klasma.github.io/Logging_2281/artfynd/A 50982-2025 artfynd.xlsx", "A 50982-2025")</f>
        <v/>
      </c>
      <c r="T526">
        <f>HYPERLINK("https://klasma.github.io/Logging_2281/kartor/A 50982-2025 karta.png", "A 50982-2025")</f>
        <v/>
      </c>
      <c r="U526">
        <f>HYPERLINK("https://klasma.github.io/Logging_2281/knärot/A 50982-2025 karta knärot.png", "A 50982-2025")</f>
        <v/>
      </c>
      <c r="V526">
        <f>HYPERLINK("https://klasma.github.io/Logging_2281/klagomål/A 50982-2025 FSC-klagomål.docx", "A 50982-2025")</f>
        <v/>
      </c>
      <c r="W526">
        <f>HYPERLINK("https://klasma.github.io/Logging_2281/klagomålsmail/A 50982-2025 FSC-klagomål mail.docx", "A 50982-2025")</f>
        <v/>
      </c>
      <c r="X526">
        <f>HYPERLINK("https://klasma.github.io/Logging_2281/tillsyn/A 50982-2025 tillsynsbegäran.docx", "A 50982-2025")</f>
        <v/>
      </c>
      <c r="Y526">
        <f>HYPERLINK("https://klasma.github.io/Logging_2281/tillsynsmail/A 50982-2025 tillsynsbegäran mail.docx", "A 50982-2025")</f>
        <v/>
      </c>
      <c r="Z526">
        <f>HYPERLINK("https://klasma.github.io/Logging_2281/fåglar/A 50982-2025 prioriterade fågelarter.docx", "A 50982-2025")</f>
        <v/>
      </c>
    </row>
    <row r="527" ht="15" customHeight="1">
      <c r="A527" t="inlineStr">
        <is>
          <t>A 54093-2024</t>
        </is>
      </c>
      <c r="B527" s="1" t="n">
        <v>45616.51100694444</v>
      </c>
      <c r="C527" s="1" t="n">
        <v>46093</v>
      </c>
      <c r="D527" t="inlineStr">
        <is>
          <t>VÄSTERNORRLANDS LÄN</t>
        </is>
      </c>
      <c r="E527" t="inlineStr">
        <is>
          <t>SOLLEFTEÅ</t>
        </is>
      </c>
      <c r="F527" t="inlineStr">
        <is>
          <t>SCA</t>
        </is>
      </c>
      <c r="G527" t="n">
        <v>3.9</v>
      </c>
      <c r="H527" t="n">
        <v>0</v>
      </c>
      <c r="I527" t="n">
        <v>0</v>
      </c>
      <c r="J527" t="n">
        <v>4</v>
      </c>
      <c r="K527" t="n">
        <v>0</v>
      </c>
      <c r="L527" t="n">
        <v>0</v>
      </c>
      <c r="M527" t="n">
        <v>0</v>
      </c>
      <c r="N527" t="n">
        <v>0</v>
      </c>
      <c r="O527" t="n">
        <v>4</v>
      </c>
      <c r="P527" t="n">
        <v>0</v>
      </c>
      <c r="Q527" t="n">
        <v>4</v>
      </c>
      <c r="R527" s="2" t="inlineStr">
        <is>
          <t>Garnlav
Lunglav
Rosenticka
Ullticka</t>
        </is>
      </c>
      <c r="S527">
        <f>HYPERLINK("https://klasma.github.io/Logging_2283/artfynd/A 54093-2024 artfynd.xlsx", "A 54093-2024")</f>
        <v/>
      </c>
      <c r="T527">
        <f>HYPERLINK("https://klasma.github.io/Logging_2283/kartor/A 54093-2024 karta.png", "A 54093-2024")</f>
        <v/>
      </c>
      <c r="V527">
        <f>HYPERLINK("https://klasma.github.io/Logging_2283/klagomål/A 54093-2024 FSC-klagomål.docx", "A 54093-2024")</f>
        <v/>
      </c>
      <c r="W527">
        <f>HYPERLINK("https://klasma.github.io/Logging_2283/klagomålsmail/A 54093-2024 FSC-klagomål mail.docx", "A 54093-2024")</f>
        <v/>
      </c>
      <c r="X527">
        <f>HYPERLINK("https://klasma.github.io/Logging_2283/tillsyn/A 54093-2024 tillsynsbegäran.docx", "A 54093-2024")</f>
        <v/>
      </c>
      <c r="Y527">
        <f>HYPERLINK("https://klasma.github.io/Logging_2283/tillsynsmail/A 54093-2024 tillsynsbegäran mail.docx", "A 54093-2024")</f>
        <v/>
      </c>
    </row>
    <row r="528" ht="15" customHeight="1">
      <c r="A528" t="inlineStr">
        <is>
          <t>A 26338-2025</t>
        </is>
      </c>
      <c r="B528" s="1" t="n">
        <v>45805.69841435185</v>
      </c>
      <c r="C528" s="1" t="n">
        <v>46093</v>
      </c>
      <c r="D528" t="inlineStr">
        <is>
          <t>VÄSTERNORRLANDS LÄN</t>
        </is>
      </c>
      <c r="E528" t="inlineStr">
        <is>
          <t>SOLLEFTEÅ</t>
        </is>
      </c>
      <c r="F528" t="inlineStr">
        <is>
          <t>SCA</t>
        </is>
      </c>
      <c r="G528" t="n">
        <v>2.7</v>
      </c>
      <c r="H528" t="n">
        <v>2</v>
      </c>
      <c r="I528" t="n">
        <v>0</v>
      </c>
      <c r="J528" t="n">
        <v>4</v>
      </c>
      <c r="K528" t="n">
        <v>0</v>
      </c>
      <c r="L528" t="n">
        <v>0</v>
      </c>
      <c r="M528" t="n">
        <v>0</v>
      </c>
      <c r="N528" t="n">
        <v>0</v>
      </c>
      <c r="O528" t="n">
        <v>4</v>
      </c>
      <c r="P528" t="n">
        <v>0</v>
      </c>
      <c r="Q528" t="n">
        <v>4</v>
      </c>
      <c r="R528" s="2" t="inlineStr">
        <is>
          <t>Lunglav
Motaggsvamp
Talltita
Tretåig hackspett</t>
        </is>
      </c>
      <c r="S528">
        <f>HYPERLINK("https://klasma.github.io/Logging_2283/artfynd/A 26338-2025 artfynd.xlsx", "A 26338-2025")</f>
        <v/>
      </c>
      <c r="T528">
        <f>HYPERLINK("https://klasma.github.io/Logging_2283/kartor/A 26338-2025 karta.png", "A 26338-2025")</f>
        <v/>
      </c>
      <c r="V528">
        <f>HYPERLINK("https://klasma.github.io/Logging_2283/klagomål/A 26338-2025 FSC-klagomål.docx", "A 26338-2025")</f>
        <v/>
      </c>
      <c r="W528">
        <f>HYPERLINK("https://klasma.github.io/Logging_2283/klagomålsmail/A 26338-2025 FSC-klagomål mail.docx", "A 26338-2025")</f>
        <v/>
      </c>
      <c r="X528">
        <f>HYPERLINK("https://klasma.github.io/Logging_2283/tillsyn/A 26338-2025 tillsynsbegäran.docx", "A 26338-2025")</f>
        <v/>
      </c>
      <c r="Y528">
        <f>HYPERLINK("https://klasma.github.io/Logging_2283/tillsynsmail/A 26338-2025 tillsynsbegäran mail.docx", "A 26338-2025")</f>
        <v/>
      </c>
      <c r="Z528">
        <f>HYPERLINK("https://klasma.github.io/Logging_2283/fåglar/A 26338-2025 prioriterade fågelarter.docx", "A 26338-2025")</f>
        <v/>
      </c>
    </row>
    <row r="529" ht="15" customHeight="1">
      <c r="A529" t="inlineStr">
        <is>
          <t>A 52150-2025</t>
        </is>
      </c>
      <c r="B529" s="1" t="n">
        <v>45953.34493055556</v>
      </c>
      <c r="C529" s="1" t="n">
        <v>46093</v>
      </c>
      <c r="D529" t="inlineStr">
        <is>
          <t>VÄSTERNORRLANDS LÄN</t>
        </is>
      </c>
      <c r="E529" t="inlineStr">
        <is>
          <t>TIMRÅ</t>
        </is>
      </c>
      <c r="F529" t="inlineStr">
        <is>
          <t>SCA</t>
        </is>
      </c>
      <c r="G529" t="n">
        <v>7</v>
      </c>
      <c r="H529" t="n">
        <v>0</v>
      </c>
      <c r="I529" t="n">
        <v>0</v>
      </c>
      <c r="J529" t="n">
        <v>4</v>
      </c>
      <c r="K529" t="n">
        <v>0</v>
      </c>
      <c r="L529" t="n">
        <v>0</v>
      </c>
      <c r="M529" t="n">
        <v>0</v>
      </c>
      <c r="N529" t="n">
        <v>0</v>
      </c>
      <c r="O529" t="n">
        <v>4</v>
      </c>
      <c r="P529" t="n">
        <v>0</v>
      </c>
      <c r="Q529" t="n">
        <v>4</v>
      </c>
      <c r="R529" s="2" t="inlineStr">
        <is>
          <t>Granticka
Lunglav
Stjärntagging
Ullticka</t>
        </is>
      </c>
      <c r="S529">
        <f>HYPERLINK("https://klasma.github.io/Logging_2262/artfynd/A 52150-2025 artfynd.xlsx", "A 52150-2025")</f>
        <v/>
      </c>
      <c r="T529">
        <f>HYPERLINK("https://klasma.github.io/Logging_2262/kartor/A 52150-2025 karta.png", "A 52150-2025")</f>
        <v/>
      </c>
      <c r="V529">
        <f>HYPERLINK("https://klasma.github.io/Logging_2262/klagomål/A 52150-2025 FSC-klagomål.docx", "A 52150-2025")</f>
        <v/>
      </c>
      <c r="W529">
        <f>HYPERLINK("https://klasma.github.io/Logging_2262/klagomålsmail/A 52150-2025 FSC-klagomål mail.docx", "A 52150-2025")</f>
        <v/>
      </c>
      <c r="X529">
        <f>HYPERLINK("https://klasma.github.io/Logging_2262/tillsyn/A 52150-2025 tillsynsbegäran.docx", "A 52150-2025")</f>
        <v/>
      </c>
      <c r="Y529">
        <f>HYPERLINK("https://klasma.github.io/Logging_2262/tillsynsmail/A 52150-2025 tillsynsbegäran mail.docx", "A 52150-2025")</f>
        <v/>
      </c>
    </row>
    <row r="530" ht="15" customHeight="1">
      <c r="A530" t="inlineStr">
        <is>
          <t>A 48667-2024</t>
        </is>
      </c>
      <c r="B530" s="1" t="n">
        <v>45593.49023148148</v>
      </c>
      <c r="C530" s="1" t="n">
        <v>46093</v>
      </c>
      <c r="D530" t="inlineStr">
        <is>
          <t>VÄSTERNORRLANDS LÄN</t>
        </is>
      </c>
      <c r="E530" t="inlineStr">
        <is>
          <t>HÄRNÖSAND</t>
        </is>
      </c>
      <c r="F530" t="inlineStr">
        <is>
          <t>SCA</t>
        </is>
      </c>
      <c r="G530" t="n">
        <v>1</v>
      </c>
      <c r="H530" t="n">
        <v>0</v>
      </c>
      <c r="I530" t="n">
        <v>3</v>
      </c>
      <c r="J530" t="n">
        <v>1</v>
      </c>
      <c r="K530" t="n">
        <v>0</v>
      </c>
      <c r="L530" t="n">
        <v>0</v>
      </c>
      <c r="M530" t="n">
        <v>0</v>
      </c>
      <c r="N530" t="n">
        <v>0</v>
      </c>
      <c r="O530" t="n">
        <v>1</v>
      </c>
      <c r="P530" t="n">
        <v>0</v>
      </c>
      <c r="Q530" t="n">
        <v>4</v>
      </c>
      <c r="R530" s="2" t="inlineStr">
        <is>
          <t>Gränsticka
Kattfotslav
Skinnlav
Vedticka</t>
        </is>
      </c>
      <c r="S530">
        <f>HYPERLINK("https://klasma.github.io/Logging_2280/artfynd/A 48667-2024 artfynd.xlsx", "A 48667-2024")</f>
        <v/>
      </c>
      <c r="T530">
        <f>HYPERLINK("https://klasma.github.io/Logging_2280/kartor/A 48667-2024 karta.png", "A 48667-2024")</f>
        <v/>
      </c>
      <c r="V530">
        <f>HYPERLINK("https://klasma.github.io/Logging_2280/klagomål/A 48667-2024 FSC-klagomål.docx", "A 48667-2024")</f>
        <v/>
      </c>
      <c r="W530">
        <f>HYPERLINK("https://klasma.github.io/Logging_2280/klagomålsmail/A 48667-2024 FSC-klagomål mail.docx", "A 48667-2024")</f>
        <v/>
      </c>
      <c r="X530">
        <f>HYPERLINK("https://klasma.github.io/Logging_2280/tillsyn/A 48667-2024 tillsynsbegäran.docx", "A 48667-2024")</f>
        <v/>
      </c>
      <c r="Y530">
        <f>HYPERLINK("https://klasma.github.io/Logging_2280/tillsynsmail/A 48667-2024 tillsynsbegäran mail.docx", "A 48667-2024")</f>
        <v/>
      </c>
    </row>
    <row r="531" ht="15" customHeight="1">
      <c r="A531" t="inlineStr">
        <is>
          <t>A 38193-2025</t>
        </is>
      </c>
      <c r="B531" s="1" t="n">
        <v>45882.65716435185</v>
      </c>
      <c r="C531" s="1" t="n">
        <v>46093</v>
      </c>
      <c r="D531" t="inlineStr">
        <is>
          <t>VÄSTERNORRLANDS LÄN</t>
        </is>
      </c>
      <c r="E531" t="inlineStr">
        <is>
          <t>SUNDSVALL</t>
        </is>
      </c>
      <c r="F531" t="inlineStr">
        <is>
          <t>SCA</t>
        </is>
      </c>
      <c r="G531" t="n">
        <v>4</v>
      </c>
      <c r="H531" t="n">
        <v>0</v>
      </c>
      <c r="I531" t="n">
        <v>0</v>
      </c>
      <c r="J531" t="n">
        <v>4</v>
      </c>
      <c r="K531" t="n">
        <v>0</v>
      </c>
      <c r="L531" t="n">
        <v>0</v>
      </c>
      <c r="M531" t="n">
        <v>0</v>
      </c>
      <c r="N531" t="n">
        <v>0</v>
      </c>
      <c r="O531" t="n">
        <v>4</v>
      </c>
      <c r="P531" t="n">
        <v>0</v>
      </c>
      <c r="Q531" t="n">
        <v>4</v>
      </c>
      <c r="R531" s="2" t="inlineStr">
        <is>
          <t>Garnlav
Kolflarnlav
Mörk kolflarnlav
Vedskivlav</t>
        </is>
      </c>
      <c r="S531">
        <f>HYPERLINK("https://klasma.github.io/Logging_2281/artfynd/A 38193-2025 artfynd.xlsx", "A 38193-2025")</f>
        <v/>
      </c>
      <c r="T531">
        <f>HYPERLINK("https://klasma.github.io/Logging_2281/kartor/A 38193-2025 karta.png", "A 38193-2025")</f>
        <v/>
      </c>
      <c r="V531">
        <f>HYPERLINK("https://klasma.github.io/Logging_2281/klagomål/A 38193-2025 FSC-klagomål.docx", "A 38193-2025")</f>
        <v/>
      </c>
      <c r="W531">
        <f>HYPERLINK("https://klasma.github.io/Logging_2281/klagomålsmail/A 38193-2025 FSC-klagomål mail.docx", "A 38193-2025")</f>
        <v/>
      </c>
      <c r="X531">
        <f>HYPERLINK("https://klasma.github.io/Logging_2281/tillsyn/A 38193-2025 tillsynsbegäran.docx", "A 38193-2025")</f>
        <v/>
      </c>
      <c r="Y531">
        <f>HYPERLINK("https://klasma.github.io/Logging_2281/tillsynsmail/A 38193-2025 tillsynsbegäran mail.docx", "A 38193-2025")</f>
        <v/>
      </c>
    </row>
    <row r="532" ht="15" customHeight="1">
      <c r="A532" t="inlineStr">
        <is>
          <t>A 54095-2025</t>
        </is>
      </c>
      <c r="B532" s="1" t="n">
        <v>45964.40685185185</v>
      </c>
      <c r="C532" s="1" t="n">
        <v>46093</v>
      </c>
      <c r="D532" t="inlineStr">
        <is>
          <t>VÄSTERNORRLANDS LÄN</t>
        </is>
      </c>
      <c r="E532" t="inlineStr">
        <is>
          <t>ÅNGE</t>
        </is>
      </c>
      <c r="F532" t="inlineStr">
        <is>
          <t>SCA</t>
        </is>
      </c>
      <c r="G532" t="n">
        <v>14.1</v>
      </c>
      <c r="H532" t="n">
        <v>1</v>
      </c>
      <c r="I532" t="n">
        <v>1</v>
      </c>
      <c r="J532" t="n">
        <v>2</v>
      </c>
      <c r="K532" t="n">
        <v>1</v>
      </c>
      <c r="L532" t="n">
        <v>0</v>
      </c>
      <c r="M532" t="n">
        <v>0</v>
      </c>
      <c r="N532" t="n">
        <v>0</v>
      </c>
      <c r="O532" t="n">
        <v>3</v>
      </c>
      <c r="P532" t="n">
        <v>1</v>
      </c>
      <c r="Q532" t="n">
        <v>4</v>
      </c>
      <c r="R532" s="2" t="inlineStr">
        <is>
          <t>Knärot
Mörk kolflarnlav
Vedtrappmossa
Skarp dropptaggsvamp</t>
        </is>
      </c>
      <c r="S532">
        <f>HYPERLINK("https://klasma.github.io/Logging_2260/artfynd/A 54095-2025 artfynd.xlsx", "A 54095-2025")</f>
        <v/>
      </c>
      <c r="T532">
        <f>HYPERLINK("https://klasma.github.io/Logging_2260/kartor/A 54095-2025 karta.png", "A 54095-2025")</f>
        <v/>
      </c>
      <c r="U532">
        <f>HYPERLINK("https://klasma.github.io/Logging_2260/knärot/A 54095-2025 karta knärot.png", "A 54095-2025")</f>
        <v/>
      </c>
      <c r="V532">
        <f>HYPERLINK("https://klasma.github.io/Logging_2260/klagomål/A 54095-2025 FSC-klagomål.docx", "A 54095-2025")</f>
        <v/>
      </c>
      <c r="W532">
        <f>HYPERLINK("https://klasma.github.io/Logging_2260/klagomålsmail/A 54095-2025 FSC-klagomål mail.docx", "A 54095-2025")</f>
        <v/>
      </c>
      <c r="X532">
        <f>HYPERLINK("https://klasma.github.io/Logging_2260/tillsyn/A 54095-2025 tillsynsbegäran.docx", "A 54095-2025")</f>
        <v/>
      </c>
      <c r="Y532">
        <f>HYPERLINK("https://klasma.github.io/Logging_2260/tillsynsmail/A 54095-2025 tillsynsbegäran mail.docx", "A 54095-2025")</f>
        <v/>
      </c>
    </row>
    <row r="533" ht="15" customHeight="1">
      <c r="A533" t="inlineStr">
        <is>
          <t>A 5018-2025</t>
        </is>
      </c>
      <c r="B533" s="1" t="n">
        <v>45691</v>
      </c>
      <c r="C533" s="1" t="n">
        <v>46093</v>
      </c>
      <c r="D533" t="inlineStr">
        <is>
          <t>VÄSTERNORRLANDS LÄN</t>
        </is>
      </c>
      <c r="E533" t="inlineStr">
        <is>
          <t>SOLLEFTEÅ</t>
        </is>
      </c>
      <c r="G533" t="n">
        <v>11.5</v>
      </c>
      <c r="H533" t="n">
        <v>1</v>
      </c>
      <c r="I533" t="n">
        <v>0</v>
      </c>
      <c r="J533" t="n">
        <v>3</v>
      </c>
      <c r="K533" t="n">
        <v>0</v>
      </c>
      <c r="L533" t="n">
        <v>0</v>
      </c>
      <c r="M533" t="n">
        <v>0</v>
      </c>
      <c r="N533" t="n">
        <v>0</v>
      </c>
      <c r="O533" t="n">
        <v>3</v>
      </c>
      <c r="P533" t="n">
        <v>0</v>
      </c>
      <c r="Q533" t="n">
        <v>4</v>
      </c>
      <c r="R533" s="2" t="inlineStr">
        <is>
          <t>Garnlav
Granticka
Rosenticka
Tjäder</t>
        </is>
      </c>
      <c r="S533">
        <f>HYPERLINK("https://klasma.github.io/Logging_2283/artfynd/A 5018-2025 artfynd.xlsx", "A 5018-2025")</f>
        <v/>
      </c>
      <c r="T533">
        <f>HYPERLINK("https://klasma.github.io/Logging_2283/kartor/A 5018-2025 karta.png", "A 5018-2025")</f>
        <v/>
      </c>
      <c r="V533">
        <f>HYPERLINK("https://klasma.github.io/Logging_2283/klagomål/A 5018-2025 FSC-klagomål.docx", "A 5018-2025")</f>
        <v/>
      </c>
      <c r="W533">
        <f>HYPERLINK("https://klasma.github.io/Logging_2283/klagomålsmail/A 5018-2025 FSC-klagomål mail.docx", "A 5018-2025")</f>
        <v/>
      </c>
      <c r="X533">
        <f>HYPERLINK("https://klasma.github.io/Logging_2283/tillsyn/A 5018-2025 tillsynsbegäran.docx", "A 5018-2025")</f>
        <v/>
      </c>
      <c r="Y533">
        <f>HYPERLINK("https://klasma.github.io/Logging_2283/tillsynsmail/A 5018-2025 tillsynsbegäran mail.docx", "A 5018-2025")</f>
        <v/>
      </c>
      <c r="Z533">
        <f>HYPERLINK("https://klasma.github.io/Logging_2283/fåglar/A 5018-2025 prioriterade fågelarter.docx", "A 5018-2025")</f>
        <v/>
      </c>
    </row>
    <row r="534" ht="15" customHeight="1">
      <c r="A534" t="inlineStr">
        <is>
          <t>A 55337-2025</t>
        </is>
      </c>
      <c r="B534" s="1" t="n">
        <v>45971.34467592592</v>
      </c>
      <c r="C534" s="1" t="n">
        <v>46093</v>
      </c>
      <c r="D534" t="inlineStr">
        <is>
          <t>VÄSTERNORRLANDS LÄN</t>
        </is>
      </c>
      <c r="E534" t="inlineStr">
        <is>
          <t>HÄRNÖSAND</t>
        </is>
      </c>
      <c r="F534" t="inlineStr">
        <is>
          <t>SCA</t>
        </is>
      </c>
      <c r="G534" t="n">
        <v>2.9</v>
      </c>
      <c r="H534" t="n">
        <v>0</v>
      </c>
      <c r="I534" t="n">
        <v>2</v>
      </c>
      <c r="J534" t="n">
        <v>2</v>
      </c>
      <c r="K534" t="n">
        <v>0</v>
      </c>
      <c r="L534" t="n">
        <v>0</v>
      </c>
      <c r="M534" t="n">
        <v>0</v>
      </c>
      <c r="N534" t="n">
        <v>0</v>
      </c>
      <c r="O534" t="n">
        <v>2</v>
      </c>
      <c r="P534" t="n">
        <v>0</v>
      </c>
      <c r="Q534" t="n">
        <v>4</v>
      </c>
      <c r="R534" s="2" t="inlineStr">
        <is>
          <t>Garnlav
Lunglav
Korallblylav
Skinnlav</t>
        </is>
      </c>
      <c r="S534">
        <f>HYPERLINK("https://klasma.github.io/Logging_2280/artfynd/A 55337-2025 artfynd.xlsx", "A 55337-2025")</f>
        <v/>
      </c>
      <c r="T534">
        <f>HYPERLINK("https://klasma.github.io/Logging_2280/kartor/A 55337-2025 karta.png", "A 55337-2025")</f>
        <v/>
      </c>
      <c r="V534">
        <f>HYPERLINK("https://klasma.github.io/Logging_2280/klagomål/A 55337-2025 FSC-klagomål.docx", "A 55337-2025")</f>
        <v/>
      </c>
      <c r="W534">
        <f>HYPERLINK("https://klasma.github.io/Logging_2280/klagomålsmail/A 55337-2025 FSC-klagomål mail.docx", "A 55337-2025")</f>
        <v/>
      </c>
      <c r="X534">
        <f>HYPERLINK("https://klasma.github.io/Logging_2280/tillsyn/A 55337-2025 tillsynsbegäran.docx", "A 55337-2025")</f>
        <v/>
      </c>
      <c r="Y534">
        <f>HYPERLINK("https://klasma.github.io/Logging_2280/tillsynsmail/A 55337-2025 tillsynsbegäran mail.docx", "A 55337-2025")</f>
        <v/>
      </c>
    </row>
    <row r="535" ht="15" customHeight="1">
      <c r="A535" t="inlineStr">
        <is>
          <t>A 51546-2024</t>
        </is>
      </c>
      <c r="B535" s="1" t="n">
        <v>45604.59423611111</v>
      </c>
      <c r="C535" s="1" t="n">
        <v>46093</v>
      </c>
      <c r="D535" t="inlineStr">
        <is>
          <t>VÄSTERNORRLANDS LÄN</t>
        </is>
      </c>
      <c r="E535" t="inlineStr">
        <is>
          <t>TIMRÅ</t>
        </is>
      </c>
      <c r="F535" t="inlineStr">
        <is>
          <t>SCA</t>
        </is>
      </c>
      <c r="G535" t="n">
        <v>7.3</v>
      </c>
      <c r="H535" t="n">
        <v>0</v>
      </c>
      <c r="I535" t="n">
        <v>1</v>
      </c>
      <c r="J535" t="n">
        <v>3</v>
      </c>
      <c r="K535" t="n">
        <v>0</v>
      </c>
      <c r="L535" t="n">
        <v>0</v>
      </c>
      <c r="M535" t="n">
        <v>0</v>
      </c>
      <c r="N535" t="n">
        <v>0</v>
      </c>
      <c r="O535" t="n">
        <v>3</v>
      </c>
      <c r="P535" t="n">
        <v>0</v>
      </c>
      <c r="Q535" t="n">
        <v>4</v>
      </c>
      <c r="R535" s="2" t="inlineStr">
        <is>
          <t>Granticka
Lunglav
Ullticka
Stuplav</t>
        </is>
      </c>
      <c r="S535">
        <f>HYPERLINK("https://klasma.github.io/Logging_2262/artfynd/A 51546-2024 artfynd.xlsx", "A 51546-2024")</f>
        <v/>
      </c>
      <c r="T535">
        <f>HYPERLINK("https://klasma.github.io/Logging_2262/kartor/A 51546-2024 karta.png", "A 51546-2024")</f>
        <v/>
      </c>
      <c r="V535">
        <f>HYPERLINK("https://klasma.github.io/Logging_2262/klagomål/A 51546-2024 FSC-klagomål.docx", "A 51546-2024")</f>
        <v/>
      </c>
      <c r="W535">
        <f>HYPERLINK("https://klasma.github.io/Logging_2262/klagomålsmail/A 51546-2024 FSC-klagomål mail.docx", "A 51546-2024")</f>
        <v/>
      </c>
      <c r="X535">
        <f>HYPERLINK("https://klasma.github.io/Logging_2262/tillsyn/A 51546-2024 tillsynsbegäran.docx", "A 51546-2024")</f>
        <v/>
      </c>
      <c r="Y535">
        <f>HYPERLINK("https://klasma.github.io/Logging_2262/tillsynsmail/A 51546-2024 tillsynsbegäran mail.docx", "A 51546-2024")</f>
        <v/>
      </c>
    </row>
    <row r="536" ht="15" customHeight="1">
      <c r="A536" t="inlineStr">
        <is>
          <t>A 24540-2023</t>
        </is>
      </c>
      <c r="B536" s="1" t="n">
        <v>45082</v>
      </c>
      <c r="C536" s="1" t="n">
        <v>46093</v>
      </c>
      <c r="D536" t="inlineStr">
        <is>
          <t>VÄSTERNORRLANDS LÄN</t>
        </is>
      </c>
      <c r="E536" t="inlineStr">
        <is>
          <t>HÄRNÖSAND</t>
        </is>
      </c>
      <c r="F536" t="inlineStr">
        <is>
          <t>SCA</t>
        </is>
      </c>
      <c r="G536" t="n">
        <v>5.2</v>
      </c>
      <c r="H536" t="n">
        <v>0</v>
      </c>
      <c r="I536" t="n">
        <v>2</v>
      </c>
      <c r="J536" t="n">
        <v>2</v>
      </c>
      <c r="K536" t="n">
        <v>0</v>
      </c>
      <c r="L536" t="n">
        <v>0</v>
      </c>
      <c r="M536" t="n">
        <v>0</v>
      </c>
      <c r="N536" t="n">
        <v>0</v>
      </c>
      <c r="O536" t="n">
        <v>2</v>
      </c>
      <c r="P536" t="n">
        <v>0</v>
      </c>
      <c r="Q536" t="n">
        <v>4</v>
      </c>
      <c r="R536" s="2" t="inlineStr">
        <is>
          <t>Garnlav
Violettgrå tagellav
Skinnlav
Vedticka</t>
        </is>
      </c>
      <c r="S536">
        <f>HYPERLINK("https://klasma.github.io/Logging_2280/artfynd/A 24540-2023 artfynd.xlsx", "A 24540-2023")</f>
        <v/>
      </c>
      <c r="T536">
        <f>HYPERLINK("https://klasma.github.io/Logging_2280/kartor/A 24540-2023 karta.png", "A 24540-2023")</f>
        <v/>
      </c>
      <c r="V536">
        <f>HYPERLINK("https://klasma.github.io/Logging_2280/klagomål/A 24540-2023 FSC-klagomål.docx", "A 24540-2023")</f>
        <v/>
      </c>
      <c r="W536">
        <f>HYPERLINK("https://klasma.github.io/Logging_2280/klagomålsmail/A 24540-2023 FSC-klagomål mail.docx", "A 24540-2023")</f>
        <v/>
      </c>
      <c r="X536">
        <f>HYPERLINK("https://klasma.github.io/Logging_2280/tillsyn/A 24540-2023 tillsynsbegäran.docx", "A 24540-2023")</f>
        <v/>
      </c>
      <c r="Y536">
        <f>HYPERLINK("https://klasma.github.io/Logging_2280/tillsynsmail/A 24540-2023 tillsynsbegäran mail.docx", "A 24540-2023")</f>
        <v/>
      </c>
    </row>
    <row r="537" ht="15" customHeight="1">
      <c r="A537" t="inlineStr">
        <is>
          <t>A 50839-2023</t>
        </is>
      </c>
      <c r="B537" s="1" t="n">
        <v>45217</v>
      </c>
      <c r="C537" s="1" t="n">
        <v>46093</v>
      </c>
      <c r="D537" t="inlineStr">
        <is>
          <t>VÄSTERNORRLANDS LÄN</t>
        </is>
      </c>
      <c r="E537" t="inlineStr">
        <is>
          <t>SOLLEFTEÅ</t>
        </is>
      </c>
      <c r="F537" t="inlineStr">
        <is>
          <t>SCA</t>
        </is>
      </c>
      <c r="G537" t="n">
        <v>2.8</v>
      </c>
      <c r="H537" t="n">
        <v>0</v>
      </c>
      <c r="I537" t="n">
        <v>1</v>
      </c>
      <c r="J537" t="n">
        <v>3</v>
      </c>
      <c r="K537" t="n">
        <v>0</v>
      </c>
      <c r="L537" t="n">
        <v>0</v>
      </c>
      <c r="M537" t="n">
        <v>0</v>
      </c>
      <c r="N537" t="n">
        <v>0</v>
      </c>
      <c r="O537" t="n">
        <v>3</v>
      </c>
      <c r="P537" t="n">
        <v>0</v>
      </c>
      <c r="Q537" t="n">
        <v>4</v>
      </c>
      <c r="R537" s="2" t="inlineStr">
        <is>
          <t>Garnlav
Granticka
Vitskaftad svartspik
Gulnål</t>
        </is>
      </c>
      <c r="S537">
        <f>HYPERLINK("https://klasma.github.io/Logging_2283/artfynd/A 50839-2023 artfynd.xlsx", "A 50839-2023")</f>
        <v/>
      </c>
      <c r="T537">
        <f>HYPERLINK("https://klasma.github.io/Logging_2283/kartor/A 50839-2023 karta.png", "A 50839-2023")</f>
        <v/>
      </c>
      <c r="V537">
        <f>HYPERLINK("https://klasma.github.io/Logging_2283/klagomål/A 50839-2023 FSC-klagomål.docx", "A 50839-2023")</f>
        <v/>
      </c>
      <c r="W537">
        <f>HYPERLINK("https://klasma.github.io/Logging_2283/klagomålsmail/A 50839-2023 FSC-klagomål mail.docx", "A 50839-2023")</f>
        <v/>
      </c>
      <c r="X537">
        <f>HYPERLINK("https://klasma.github.io/Logging_2283/tillsyn/A 50839-2023 tillsynsbegäran.docx", "A 50839-2023")</f>
        <v/>
      </c>
      <c r="Y537">
        <f>HYPERLINK("https://klasma.github.io/Logging_2283/tillsynsmail/A 50839-2023 tillsynsbegäran mail.docx", "A 50839-2023")</f>
        <v/>
      </c>
    </row>
    <row r="538" ht="15" customHeight="1">
      <c r="A538" t="inlineStr">
        <is>
          <t>A 13391-2025</t>
        </is>
      </c>
      <c r="B538" s="1" t="n">
        <v>45735.69886574074</v>
      </c>
      <c r="C538" s="1" t="n">
        <v>46093</v>
      </c>
      <c r="D538" t="inlineStr">
        <is>
          <t>VÄSTERNORRLANDS LÄN</t>
        </is>
      </c>
      <c r="E538" t="inlineStr">
        <is>
          <t>SUNDSVALL</t>
        </is>
      </c>
      <c r="F538" t="inlineStr">
        <is>
          <t>SCA</t>
        </is>
      </c>
      <c r="G538" t="n">
        <v>3.4</v>
      </c>
      <c r="H538" t="n">
        <v>2</v>
      </c>
      <c r="I538" t="n">
        <v>0</v>
      </c>
      <c r="J538" t="n">
        <v>2</v>
      </c>
      <c r="K538" t="n">
        <v>0</v>
      </c>
      <c r="L538" t="n">
        <v>0</v>
      </c>
      <c r="M538" t="n">
        <v>0</v>
      </c>
      <c r="N538" t="n">
        <v>0</v>
      </c>
      <c r="O538" t="n">
        <v>2</v>
      </c>
      <c r="P538" t="n">
        <v>0</v>
      </c>
      <c r="Q538" t="n">
        <v>4</v>
      </c>
      <c r="R538" s="2" t="inlineStr">
        <is>
          <t>Rosenticka
Ullticka
Fiskgjuse
Kungsfågel</t>
        </is>
      </c>
      <c r="S538">
        <f>HYPERLINK("https://klasma.github.io/Logging_2281/artfynd/A 13391-2025 artfynd.xlsx", "A 13391-2025")</f>
        <v/>
      </c>
      <c r="T538">
        <f>HYPERLINK("https://klasma.github.io/Logging_2281/kartor/A 13391-2025 karta.png", "A 13391-2025")</f>
        <v/>
      </c>
      <c r="V538">
        <f>HYPERLINK("https://klasma.github.io/Logging_2281/klagomål/A 13391-2025 FSC-klagomål.docx", "A 13391-2025")</f>
        <v/>
      </c>
      <c r="W538">
        <f>HYPERLINK("https://klasma.github.io/Logging_2281/klagomålsmail/A 13391-2025 FSC-klagomål mail.docx", "A 13391-2025")</f>
        <v/>
      </c>
      <c r="X538">
        <f>HYPERLINK("https://klasma.github.io/Logging_2281/tillsyn/A 13391-2025 tillsynsbegäran.docx", "A 13391-2025")</f>
        <v/>
      </c>
      <c r="Y538">
        <f>HYPERLINK("https://klasma.github.io/Logging_2281/tillsynsmail/A 13391-2025 tillsynsbegäran mail.docx", "A 13391-2025")</f>
        <v/>
      </c>
      <c r="Z538">
        <f>HYPERLINK("https://klasma.github.io/Logging_2281/fåglar/A 13391-2025 prioriterade fågelarter.docx", "A 13391-2025")</f>
        <v/>
      </c>
    </row>
    <row r="539" ht="15" customHeight="1">
      <c r="A539" t="inlineStr">
        <is>
          <t>A 53898-2024</t>
        </is>
      </c>
      <c r="B539" s="1" t="n">
        <v>45615.69824074074</v>
      </c>
      <c r="C539" s="1" t="n">
        <v>46093</v>
      </c>
      <c r="D539" t="inlineStr">
        <is>
          <t>VÄSTERNORRLANDS LÄN</t>
        </is>
      </c>
      <c r="E539" t="inlineStr">
        <is>
          <t>SOLLEFTEÅ</t>
        </is>
      </c>
      <c r="F539" t="inlineStr">
        <is>
          <t>SCA</t>
        </is>
      </c>
      <c r="G539" t="n">
        <v>2</v>
      </c>
      <c r="H539" t="n">
        <v>0</v>
      </c>
      <c r="I539" t="n">
        <v>2</v>
      </c>
      <c r="J539" t="n">
        <v>2</v>
      </c>
      <c r="K539" t="n">
        <v>0</v>
      </c>
      <c r="L539" t="n">
        <v>0</v>
      </c>
      <c r="M539" t="n">
        <v>0</v>
      </c>
      <c r="N539" t="n">
        <v>0</v>
      </c>
      <c r="O539" t="n">
        <v>2</v>
      </c>
      <c r="P539" t="n">
        <v>0</v>
      </c>
      <c r="Q539" t="n">
        <v>4</v>
      </c>
      <c r="R539" s="2" t="inlineStr">
        <is>
          <t>Garnlav
Lunglav
Norrlandslav
Stuplav</t>
        </is>
      </c>
      <c r="S539">
        <f>HYPERLINK("https://klasma.github.io/Logging_2283/artfynd/A 53898-2024 artfynd.xlsx", "A 53898-2024")</f>
        <v/>
      </c>
      <c r="T539">
        <f>HYPERLINK("https://klasma.github.io/Logging_2283/kartor/A 53898-2024 karta.png", "A 53898-2024")</f>
        <v/>
      </c>
      <c r="V539">
        <f>HYPERLINK("https://klasma.github.io/Logging_2283/klagomål/A 53898-2024 FSC-klagomål.docx", "A 53898-2024")</f>
        <v/>
      </c>
      <c r="W539">
        <f>HYPERLINK("https://klasma.github.io/Logging_2283/klagomålsmail/A 53898-2024 FSC-klagomål mail.docx", "A 53898-2024")</f>
        <v/>
      </c>
      <c r="X539">
        <f>HYPERLINK("https://klasma.github.io/Logging_2283/tillsyn/A 53898-2024 tillsynsbegäran.docx", "A 53898-2024")</f>
        <v/>
      </c>
      <c r="Y539">
        <f>HYPERLINK("https://klasma.github.io/Logging_2283/tillsynsmail/A 53898-2024 tillsynsbegäran mail.docx", "A 53898-2024")</f>
        <v/>
      </c>
    </row>
    <row r="540" ht="15" customHeight="1">
      <c r="A540" t="inlineStr">
        <is>
          <t>A 56248-2023</t>
        </is>
      </c>
      <c r="B540" s="1" t="n">
        <v>45240</v>
      </c>
      <c r="C540" s="1" t="n">
        <v>46093</v>
      </c>
      <c r="D540" t="inlineStr">
        <is>
          <t>VÄSTERNORRLANDS LÄN</t>
        </is>
      </c>
      <c r="E540" t="inlineStr">
        <is>
          <t>SOLLEFTEÅ</t>
        </is>
      </c>
      <c r="F540" t="inlineStr">
        <is>
          <t>SCA</t>
        </is>
      </c>
      <c r="G540" t="n">
        <v>12.2</v>
      </c>
      <c r="H540" t="n">
        <v>3</v>
      </c>
      <c r="I540" t="n">
        <v>0</v>
      </c>
      <c r="J540" t="n">
        <v>3</v>
      </c>
      <c r="K540" t="n">
        <v>0</v>
      </c>
      <c r="L540" t="n">
        <v>0</v>
      </c>
      <c r="M540" t="n">
        <v>0</v>
      </c>
      <c r="N540" t="n">
        <v>0</v>
      </c>
      <c r="O540" t="n">
        <v>3</v>
      </c>
      <c r="P540" t="n">
        <v>0</v>
      </c>
      <c r="Q540" t="n">
        <v>4</v>
      </c>
      <c r="R540" s="2" t="inlineStr">
        <is>
          <t>Granticka
Mindre hackspett
Tretåig hackspett
Lavskrika</t>
        </is>
      </c>
      <c r="S540">
        <f>HYPERLINK("https://klasma.github.io/Logging_2283/artfynd/A 56248-2023 artfynd.xlsx", "A 56248-2023")</f>
        <v/>
      </c>
      <c r="T540">
        <f>HYPERLINK("https://klasma.github.io/Logging_2283/kartor/A 56248-2023 karta.png", "A 56248-2023")</f>
        <v/>
      </c>
      <c r="V540">
        <f>HYPERLINK("https://klasma.github.io/Logging_2283/klagomål/A 56248-2023 FSC-klagomål.docx", "A 56248-2023")</f>
        <v/>
      </c>
      <c r="W540">
        <f>HYPERLINK("https://klasma.github.io/Logging_2283/klagomålsmail/A 56248-2023 FSC-klagomål mail.docx", "A 56248-2023")</f>
        <v/>
      </c>
      <c r="X540">
        <f>HYPERLINK("https://klasma.github.io/Logging_2283/tillsyn/A 56248-2023 tillsynsbegäran.docx", "A 56248-2023")</f>
        <v/>
      </c>
      <c r="Y540">
        <f>HYPERLINK("https://klasma.github.io/Logging_2283/tillsynsmail/A 56248-2023 tillsynsbegäran mail.docx", "A 56248-2023")</f>
        <v/>
      </c>
      <c r="Z540">
        <f>HYPERLINK("https://klasma.github.io/Logging_2283/fåglar/A 56248-2023 prioriterade fågelarter.docx", "A 56248-2023")</f>
        <v/>
      </c>
    </row>
    <row r="541" ht="15" customHeight="1">
      <c r="A541" t="inlineStr">
        <is>
          <t>A 26953-2024</t>
        </is>
      </c>
      <c r="B541" s="1" t="n">
        <v>45470</v>
      </c>
      <c r="C541" s="1" t="n">
        <v>46093</v>
      </c>
      <c r="D541" t="inlineStr">
        <is>
          <t>VÄSTERNORRLANDS LÄN</t>
        </is>
      </c>
      <c r="E541" t="inlineStr">
        <is>
          <t>ÅNGE</t>
        </is>
      </c>
      <c r="F541" t="inlineStr">
        <is>
          <t>SCA</t>
        </is>
      </c>
      <c r="G541" t="n">
        <v>3.1</v>
      </c>
      <c r="H541" t="n">
        <v>0</v>
      </c>
      <c r="I541" t="n">
        <v>0</v>
      </c>
      <c r="J541" t="n">
        <v>4</v>
      </c>
      <c r="K541" t="n">
        <v>0</v>
      </c>
      <c r="L541" t="n">
        <v>0</v>
      </c>
      <c r="M541" t="n">
        <v>0</v>
      </c>
      <c r="N541" t="n">
        <v>0</v>
      </c>
      <c r="O541" t="n">
        <v>4</v>
      </c>
      <c r="P541" t="n">
        <v>0</v>
      </c>
      <c r="Q541" t="n">
        <v>4</v>
      </c>
      <c r="R541" s="2" t="inlineStr">
        <is>
          <t>Blågrå svartspik
Garnlav
Kolflarnlav
Mörk kolflarnlav</t>
        </is>
      </c>
      <c r="S541">
        <f>HYPERLINK("https://klasma.github.io/Logging_2260/artfynd/A 26953-2024 artfynd.xlsx", "A 26953-2024")</f>
        <v/>
      </c>
      <c r="T541">
        <f>HYPERLINK("https://klasma.github.io/Logging_2260/kartor/A 26953-2024 karta.png", "A 26953-2024")</f>
        <v/>
      </c>
      <c r="V541">
        <f>HYPERLINK("https://klasma.github.io/Logging_2260/klagomål/A 26953-2024 FSC-klagomål.docx", "A 26953-2024")</f>
        <v/>
      </c>
      <c r="W541">
        <f>HYPERLINK("https://klasma.github.io/Logging_2260/klagomålsmail/A 26953-2024 FSC-klagomål mail.docx", "A 26953-2024")</f>
        <v/>
      </c>
      <c r="X541">
        <f>HYPERLINK("https://klasma.github.io/Logging_2260/tillsyn/A 26953-2024 tillsynsbegäran.docx", "A 26953-2024")</f>
        <v/>
      </c>
      <c r="Y541">
        <f>HYPERLINK("https://klasma.github.io/Logging_2260/tillsynsmail/A 26953-2024 tillsynsbegäran mail.docx", "A 26953-2024")</f>
        <v/>
      </c>
    </row>
    <row r="542" ht="15" customHeight="1">
      <c r="A542" t="inlineStr">
        <is>
          <t>A 16767-2023</t>
        </is>
      </c>
      <c r="B542" s="1" t="n">
        <v>45030</v>
      </c>
      <c r="C542" s="1" t="n">
        <v>46093</v>
      </c>
      <c r="D542" t="inlineStr">
        <is>
          <t>VÄSTERNORRLANDS LÄN</t>
        </is>
      </c>
      <c r="E542" t="inlineStr">
        <is>
          <t>SUNDSVALL</t>
        </is>
      </c>
      <c r="F542" t="inlineStr">
        <is>
          <t>SCA</t>
        </is>
      </c>
      <c r="G542" t="n">
        <v>5.2</v>
      </c>
      <c r="H542" t="n">
        <v>0</v>
      </c>
      <c r="I542" t="n">
        <v>1</v>
      </c>
      <c r="J542" t="n">
        <v>3</v>
      </c>
      <c r="K542" t="n">
        <v>0</v>
      </c>
      <c r="L542" t="n">
        <v>0</v>
      </c>
      <c r="M542" t="n">
        <v>0</v>
      </c>
      <c r="N542" t="n">
        <v>0</v>
      </c>
      <c r="O542" t="n">
        <v>3</v>
      </c>
      <c r="P542" t="n">
        <v>0</v>
      </c>
      <c r="Q542" t="n">
        <v>4</v>
      </c>
      <c r="R542" s="2" t="inlineStr">
        <is>
          <t>Garnlav
Lunglav
Violettgrå tagellav
Stor aspticka</t>
        </is>
      </c>
      <c r="S542">
        <f>HYPERLINK("https://klasma.github.io/Logging_2281/artfynd/A 16767-2023 artfynd.xlsx", "A 16767-2023")</f>
        <v/>
      </c>
      <c r="T542">
        <f>HYPERLINK("https://klasma.github.io/Logging_2281/kartor/A 16767-2023 karta.png", "A 16767-2023")</f>
        <v/>
      </c>
      <c r="V542">
        <f>HYPERLINK("https://klasma.github.io/Logging_2281/klagomål/A 16767-2023 FSC-klagomål.docx", "A 16767-2023")</f>
        <v/>
      </c>
      <c r="W542">
        <f>HYPERLINK("https://klasma.github.io/Logging_2281/klagomålsmail/A 16767-2023 FSC-klagomål mail.docx", "A 16767-2023")</f>
        <v/>
      </c>
      <c r="X542">
        <f>HYPERLINK("https://klasma.github.io/Logging_2281/tillsyn/A 16767-2023 tillsynsbegäran.docx", "A 16767-2023")</f>
        <v/>
      </c>
      <c r="Y542">
        <f>HYPERLINK("https://klasma.github.io/Logging_2281/tillsynsmail/A 16767-2023 tillsynsbegäran mail.docx", "A 16767-2023")</f>
        <v/>
      </c>
    </row>
    <row r="543" ht="15" customHeight="1">
      <c r="A543" t="inlineStr">
        <is>
          <t>A 16319-2025</t>
        </is>
      </c>
      <c r="B543" s="1" t="n">
        <v>45751.34840277778</v>
      </c>
      <c r="C543" s="1" t="n">
        <v>46093</v>
      </c>
      <c r="D543" t="inlineStr">
        <is>
          <t>VÄSTERNORRLANDS LÄN</t>
        </is>
      </c>
      <c r="E543" t="inlineStr">
        <is>
          <t>SUNDSVALL</t>
        </is>
      </c>
      <c r="F543" t="inlineStr">
        <is>
          <t>SCA</t>
        </is>
      </c>
      <c r="G543" t="n">
        <v>2.1</v>
      </c>
      <c r="H543" t="n">
        <v>3</v>
      </c>
      <c r="I543" t="n">
        <v>0</v>
      </c>
      <c r="J543" t="n">
        <v>3</v>
      </c>
      <c r="K543" t="n">
        <v>0</v>
      </c>
      <c r="L543" t="n">
        <v>0</v>
      </c>
      <c r="M543" t="n">
        <v>0</v>
      </c>
      <c r="N543" t="n">
        <v>0</v>
      </c>
      <c r="O543" t="n">
        <v>3</v>
      </c>
      <c r="P543" t="n">
        <v>0</v>
      </c>
      <c r="Q543" t="n">
        <v>4</v>
      </c>
      <c r="R543" s="2" t="inlineStr">
        <is>
          <t>Lunglav
Spillkråka
Talltita
Tjäder</t>
        </is>
      </c>
      <c r="S543">
        <f>HYPERLINK("https://klasma.github.io/Logging_2281/artfynd/A 16319-2025 artfynd.xlsx", "A 16319-2025")</f>
        <v/>
      </c>
      <c r="T543">
        <f>HYPERLINK("https://klasma.github.io/Logging_2281/kartor/A 16319-2025 karta.png", "A 16319-2025")</f>
        <v/>
      </c>
      <c r="V543">
        <f>HYPERLINK("https://klasma.github.io/Logging_2281/klagomål/A 16319-2025 FSC-klagomål.docx", "A 16319-2025")</f>
        <v/>
      </c>
      <c r="W543">
        <f>HYPERLINK("https://klasma.github.io/Logging_2281/klagomålsmail/A 16319-2025 FSC-klagomål mail.docx", "A 16319-2025")</f>
        <v/>
      </c>
      <c r="X543">
        <f>HYPERLINK("https://klasma.github.io/Logging_2281/tillsyn/A 16319-2025 tillsynsbegäran.docx", "A 16319-2025")</f>
        <v/>
      </c>
      <c r="Y543">
        <f>HYPERLINK("https://klasma.github.io/Logging_2281/tillsynsmail/A 16319-2025 tillsynsbegäran mail.docx", "A 16319-2025")</f>
        <v/>
      </c>
      <c r="Z543">
        <f>HYPERLINK("https://klasma.github.io/Logging_2281/fåglar/A 16319-2025 prioriterade fågelarter.docx", "A 16319-2025")</f>
        <v/>
      </c>
    </row>
    <row r="544" ht="15" customHeight="1">
      <c r="A544" t="inlineStr">
        <is>
          <t>A 8885-2024</t>
        </is>
      </c>
      <c r="B544" s="1" t="n">
        <v>45357</v>
      </c>
      <c r="C544" s="1" t="n">
        <v>46093</v>
      </c>
      <c r="D544" t="inlineStr">
        <is>
          <t>VÄSTERNORRLANDS LÄN</t>
        </is>
      </c>
      <c r="E544" t="inlineStr">
        <is>
          <t>SOLLEFTEÅ</t>
        </is>
      </c>
      <c r="F544" t="inlineStr">
        <is>
          <t>SCA</t>
        </is>
      </c>
      <c r="G544" t="n">
        <v>4.5</v>
      </c>
      <c r="H544" t="n">
        <v>1</v>
      </c>
      <c r="I544" t="n">
        <v>1</v>
      </c>
      <c r="J544" t="n">
        <v>3</v>
      </c>
      <c r="K544" t="n">
        <v>0</v>
      </c>
      <c r="L544" t="n">
        <v>0</v>
      </c>
      <c r="M544" t="n">
        <v>0</v>
      </c>
      <c r="N544" t="n">
        <v>0</v>
      </c>
      <c r="O544" t="n">
        <v>3</v>
      </c>
      <c r="P544" t="n">
        <v>0</v>
      </c>
      <c r="Q544" t="n">
        <v>4</v>
      </c>
      <c r="R544" s="2" t="inlineStr">
        <is>
          <t>Gammelgransskål
Granticka
Tretåig hackspett
Vedticka</t>
        </is>
      </c>
      <c r="S544">
        <f>HYPERLINK("https://klasma.github.io/Logging_2283/artfynd/A 8885-2024 artfynd.xlsx", "A 8885-2024")</f>
        <v/>
      </c>
      <c r="T544">
        <f>HYPERLINK("https://klasma.github.io/Logging_2283/kartor/A 8885-2024 karta.png", "A 8885-2024")</f>
        <v/>
      </c>
      <c r="V544">
        <f>HYPERLINK("https://klasma.github.io/Logging_2283/klagomål/A 8885-2024 FSC-klagomål.docx", "A 8885-2024")</f>
        <v/>
      </c>
      <c r="W544">
        <f>HYPERLINK("https://klasma.github.io/Logging_2283/klagomålsmail/A 8885-2024 FSC-klagomål mail.docx", "A 8885-2024")</f>
        <v/>
      </c>
      <c r="X544">
        <f>HYPERLINK("https://klasma.github.io/Logging_2283/tillsyn/A 8885-2024 tillsynsbegäran.docx", "A 8885-2024")</f>
        <v/>
      </c>
      <c r="Y544">
        <f>HYPERLINK("https://klasma.github.io/Logging_2283/tillsynsmail/A 8885-2024 tillsynsbegäran mail.docx", "A 8885-2024")</f>
        <v/>
      </c>
      <c r="Z544">
        <f>HYPERLINK("https://klasma.github.io/Logging_2283/fåglar/A 8885-2024 prioriterade fågelarter.docx", "A 8885-2024")</f>
        <v/>
      </c>
    </row>
    <row r="545" ht="15" customHeight="1">
      <c r="A545" t="inlineStr">
        <is>
          <t>A 18870-2025</t>
        </is>
      </c>
      <c r="B545" s="1" t="n">
        <v>45764.43075231482</v>
      </c>
      <c r="C545" s="1" t="n">
        <v>46093</v>
      </c>
      <c r="D545" t="inlineStr">
        <is>
          <t>VÄSTERNORRLANDS LÄN</t>
        </is>
      </c>
      <c r="E545" t="inlineStr">
        <is>
          <t>ÖRNSKÖLDSVIK</t>
        </is>
      </c>
      <c r="F545" t="inlineStr">
        <is>
          <t>Holmen skog AB</t>
        </is>
      </c>
      <c r="G545" t="n">
        <v>20.1</v>
      </c>
      <c r="H545" t="n">
        <v>0</v>
      </c>
      <c r="I545" t="n">
        <v>1</v>
      </c>
      <c r="J545" t="n">
        <v>3</v>
      </c>
      <c r="K545" t="n">
        <v>0</v>
      </c>
      <c r="L545" t="n">
        <v>0</v>
      </c>
      <c r="M545" t="n">
        <v>0</v>
      </c>
      <c r="N545" t="n">
        <v>0</v>
      </c>
      <c r="O545" t="n">
        <v>3</v>
      </c>
      <c r="P545" t="n">
        <v>0</v>
      </c>
      <c r="Q545" t="n">
        <v>4</v>
      </c>
      <c r="R545" s="2" t="inlineStr">
        <is>
          <t>Lunglav
Skrovellav
Ullticka
Stuplav</t>
        </is>
      </c>
      <c r="S545">
        <f>HYPERLINK("https://klasma.github.io/Logging_2284/artfynd/A 18870-2025 artfynd.xlsx", "A 18870-2025")</f>
        <v/>
      </c>
      <c r="T545">
        <f>HYPERLINK("https://klasma.github.io/Logging_2284/kartor/A 18870-2025 karta.png", "A 18870-2025")</f>
        <v/>
      </c>
      <c r="V545">
        <f>HYPERLINK("https://klasma.github.io/Logging_2284/klagomål/A 18870-2025 FSC-klagomål.docx", "A 18870-2025")</f>
        <v/>
      </c>
      <c r="W545">
        <f>HYPERLINK("https://klasma.github.io/Logging_2284/klagomålsmail/A 18870-2025 FSC-klagomål mail.docx", "A 18870-2025")</f>
        <v/>
      </c>
      <c r="X545">
        <f>HYPERLINK("https://klasma.github.io/Logging_2284/tillsyn/A 18870-2025 tillsynsbegäran.docx", "A 18870-2025")</f>
        <v/>
      </c>
      <c r="Y545">
        <f>HYPERLINK("https://klasma.github.io/Logging_2284/tillsynsmail/A 18870-2025 tillsynsbegäran mail.docx", "A 18870-2025")</f>
        <v/>
      </c>
    </row>
    <row r="546" ht="15" customHeight="1">
      <c r="A546" t="inlineStr">
        <is>
          <t>A 60260-2025</t>
        </is>
      </c>
      <c r="B546" s="1" t="n">
        <v>45994.61025462963</v>
      </c>
      <c r="C546" s="1" t="n">
        <v>46093</v>
      </c>
      <c r="D546" t="inlineStr">
        <is>
          <t>VÄSTERNORRLANDS LÄN</t>
        </is>
      </c>
      <c r="E546" t="inlineStr">
        <is>
          <t>SOLLEFTEÅ</t>
        </is>
      </c>
      <c r="G546" t="n">
        <v>2.2</v>
      </c>
      <c r="H546" t="n">
        <v>0</v>
      </c>
      <c r="I546" t="n">
        <v>1</v>
      </c>
      <c r="J546" t="n">
        <v>1</v>
      </c>
      <c r="K546" t="n">
        <v>2</v>
      </c>
      <c r="L546" t="n">
        <v>0</v>
      </c>
      <c r="M546" t="n">
        <v>0</v>
      </c>
      <c r="N546" t="n">
        <v>0</v>
      </c>
      <c r="O546" t="n">
        <v>3</v>
      </c>
      <c r="P546" t="n">
        <v>2</v>
      </c>
      <c r="Q546" t="n">
        <v>4</v>
      </c>
      <c r="R546" s="2" t="inlineStr">
        <is>
          <t>Liten aspgelélav
Sprickporing
Lunglav
Korallblylav</t>
        </is>
      </c>
      <c r="S546">
        <f>HYPERLINK("https://klasma.github.io/Logging_2283/artfynd/A 60260-2025 artfynd.xlsx", "A 60260-2025")</f>
        <v/>
      </c>
      <c r="T546">
        <f>HYPERLINK("https://klasma.github.io/Logging_2283/kartor/A 60260-2025 karta.png", "A 60260-2025")</f>
        <v/>
      </c>
      <c r="V546">
        <f>HYPERLINK("https://klasma.github.io/Logging_2283/klagomål/A 60260-2025 FSC-klagomål.docx", "A 60260-2025")</f>
        <v/>
      </c>
      <c r="W546">
        <f>HYPERLINK("https://klasma.github.io/Logging_2283/klagomålsmail/A 60260-2025 FSC-klagomål mail.docx", "A 60260-2025")</f>
        <v/>
      </c>
      <c r="X546">
        <f>HYPERLINK("https://klasma.github.io/Logging_2283/tillsyn/A 60260-2025 tillsynsbegäran.docx", "A 60260-2025")</f>
        <v/>
      </c>
      <c r="Y546">
        <f>HYPERLINK("https://klasma.github.io/Logging_2283/tillsynsmail/A 60260-2025 tillsynsbegäran mail.docx", "A 60260-2025")</f>
        <v/>
      </c>
    </row>
    <row r="547" ht="15" customHeight="1">
      <c r="A547" t="inlineStr">
        <is>
          <t>A 55179-2024</t>
        </is>
      </c>
      <c r="B547" s="1" t="n">
        <v>45621.53204861111</v>
      </c>
      <c r="C547" s="1" t="n">
        <v>46093</v>
      </c>
      <c r="D547" t="inlineStr">
        <is>
          <t>VÄSTERNORRLANDS LÄN</t>
        </is>
      </c>
      <c r="E547" t="inlineStr">
        <is>
          <t>ÅNGE</t>
        </is>
      </c>
      <c r="F547" t="inlineStr">
        <is>
          <t>SCA</t>
        </is>
      </c>
      <c r="G547" t="n">
        <v>3</v>
      </c>
      <c r="H547" t="n">
        <v>2</v>
      </c>
      <c r="I547" t="n">
        <v>1</v>
      </c>
      <c r="J547" t="n">
        <v>1</v>
      </c>
      <c r="K547" t="n">
        <v>0</v>
      </c>
      <c r="L547" t="n">
        <v>0</v>
      </c>
      <c r="M547" t="n">
        <v>0</v>
      </c>
      <c r="N547" t="n">
        <v>0</v>
      </c>
      <c r="O547" t="n">
        <v>1</v>
      </c>
      <c r="P547" t="n">
        <v>0</v>
      </c>
      <c r="Q547" t="n">
        <v>4</v>
      </c>
      <c r="R547" s="2" t="inlineStr">
        <is>
          <t>Lunglav
Stuplav
Fläcknycklar
Blåsippa</t>
        </is>
      </c>
      <c r="S547">
        <f>HYPERLINK("https://klasma.github.io/Logging_2260/artfynd/A 55179-2024 artfynd.xlsx", "A 55179-2024")</f>
        <v/>
      </c>
      <c r="T547">
        <f>HYPERLINK("https://klasma.github.io/Logging_2260/kartor/A 55179-2024 karta.png", "A 55179-2024")</f>
        <v/>
      </c>
      <c r="V547">
        <f>HYPERLINK("https://klasma.github.io/Logging_2260/klagomål/A 55179-2024 FSC-klagomål.docx", "A 55179-2024")</f>
        <v/>
      </c>
      <c r="W547">
        <f>HYPERLINK("https://klasma.github.io/Logging_2260/klagomålsmail/A 55179-2024 FSC-klagomål mail.docx", "A 55179-2024")</f>
        <v/>
      </c>
      <c r="X547">
        <f>HYPERLINK("https://klasma.github.io/Logging_2260/tillsyn/A 55179-2024 tillsynsbegäran.docx", "A 55179-2024")</f>
        <v/>
      </c>
      <c r="Y547">
        <f>HYPERLINK("https://klasma.github.io/Logging_2260/tillsynsmail/A 55179-2024 tillsynsbegäran mail.docx", "A 55179-2024")</f>
        <v/>
      </c>
    </row>
    <row r="548" ht="15" customHeight="1">
      <c r="A548" t="inlineStr">
        <is>
          <t>A 47527-2024</t>
        </is>
      </c>
      <c r="B548" s="1" t="n">
        <v>45587.63574074074</v>
      </c>
      <c r="C548" s="1" t="n">
        <v>46093</v>
      </c>
      <c r="D548" t="inlineStr">
        <is>
          <t>VÄSTERNORRLANDS LÄN</t>
        </is>
      </c>
      <c r="E548" t="inlineStr">
        <is>
          <t>SOLLEFTEÅ</t>
        </is>
      </c>
      <c r="F548" t="inlineStr">
        <is>
          <t>SCA</t>
        </is>
      </c>
      <c r="G548" t="n">
        <v>3.6</v>
      </c>
      <c r="H548" t="n">
        <v>1</v>
      </c>
      <c r="I548" t="n">
        <v>1</v>
      </c>
      <c r="J548" t="n">
        <v>3</v>
      </c>
      <c r="K548" t="n">
        <v>0</v>
      </c>
      <c r="L548" t="n">
        <v>0</v>
      </c>
      <c r="M548" t="n">
        <v>0</v>
      </c>
      <c r="N548" t="n">
        <v>0</v>
      </c>
      <c r="O548" t="n">
        <v>3</v>
      </c>
      <c r="P548" t="n">
        <v>0</v>
      </c>
      <c r="Q548" t="n">
        <v>4</v>
      </c>
      <c r="R548" s="2" t="inlineStr">
        <is>
          <t>Garnlav
Lunglav
Ullticka
Lappranunkel</t>
        </is>
      </c>
      <c r="S548">
        <f>HYPERLINK("https://klasma.github.io/Logging_2283/artfynd/A 47527-2024 artfynd.xlsx", "A 47527-2024")</f>
        <v/>
      </c>
      <c r="T548">
        <f>HYPERLINK("https://klasma.github.io/Logging_2283/kartor/A 47527-2024 karta.png", "A 47527-2024")</f>
        <v/>
      </c>
      <c r="V548">
        <f>HYPERLINK("https://klasma.github.io/Logging_2283/klagomål/A 47527-2024 FSC-klagomål.docx", "A 47527-2024")</f>
        <v/>
      </c>
      <c r="W548">
        <f>HYPERLINK("https://klasma.github.io/Logging_2283/klagomålsmail/A 47527-2024 FSC-klagomål mail.docx", "A 47527-2024")</f>
        <v/>
      </c>
      <c r="X548">
        <f>HYPERLINK("https://klasma.github.io/Logging_2283/tillsyn/A 47527-2024 tillsynsbegäran.docx", "A 47527-2024")</f>
        <v/>
      </c>
      <c r="Y548">
        <f>HYPERLINK("https://klasma.github.io/Logging_2283/tillsynsmail/A 47527-2024 tillsynsbegäran mail.docx", "A 47527-2024")</f>
        <v/>
      </c>
    </row>
    <row r="549" ht="15" customHeight="1">
      <c r="A549" t="inlineStr">
        <is>
          <t>A 61007-2025</t>
        </is>
      </c>
      <c r="B549" s="1" t="n">
        <v>45998</v>
      </c>
      <c r="C549" s="1" t="n">
        <v>46093</v>
      </c>
      <c r="D549" t="inlineStr">
        <is>
          <t>VÄSTERNORRLANDS LÄN</t>
        </is>
      </c>
      <c r="E549" t="inlineStr">
        <is>
          <t>ÅNGE</t>
        </is>
      </c>
      <c r="F549" t="inlineStr">
        <is>
          <t>SCA</t>
        </is>
      </c>
      <c r="G549" t="n">
        <v>5.6</v>
      </c>
      <c r="H549" t="n">
        <v>0</v>
      </c>
      <c r="I549" t="n">
        <v>0</v>
      </c>
      <c r="J549" t="n">
        <v>4</v>
      </c>
      <c r="K549" t="n">
        <v>0</v>
      </c>
      <c r="L549" t="n">
        <v>0</v>
      </c>
      <c r="M549" t="n">
        <v>0</v>
      </c>
      <c r="N549" t="n">
        <v>0</v>
      </c>
      <c r="O549" t="n">
        <v>4</v>
      </c>
      <c r="P549" t="n">
        <v>0</v>
      </c>
      <c r="Q549" t="n">
        <v>4</v>
      </c>
      <c r="R549" s="2" t="inlineStr">
        <is>
          <t>Gammelgransskål
Garnlav
Granticka
Violettgrå tagellav</t>
        </is>
      </c>
      <c r="S549">
        <f>HYPERLINK("https://klasma.github.io/Logging_2260/artfynd/A 61007-2025 artfynd.xlsx", "A 61007-2025")</f>
        <v/>
      </c>
      <c r="T549">
        <f>HYPERLINK("https://klasma.github.io/Logging_2260/kartor/A 61007-2025 karta.png", "A 61007-2025")</f>
        <v/>
      </c>
      <c r="V549">
        <f>HYPERLINK("https://klasma.github.io/Logging_2260/klagomål/A 61007-2025 FSC-klagomål.docx", "A 61007-2025")</f>
        <v/>
      </c>
      <c r="W549">
        <f>HYPERLINK("https://klasma.github.io/Logging_2260/klagomålsmail/A 61007-2025 FSC-klagomål mail.docx", "A 61007-2025")</f>
        <v/>
      </c>
      <c r="X549">
        <f>HYPERLINK("https://klasma.github.io/Logging_2260/tillsyn/A 61007-2025 tillsynsbegäran.docx", "A 61007-2025")</f>
        <v/>
      </c>
      <c r="Y549">
        <f>HYPERLINK("https://klasma.github.io/Logging_2260/tillsynsmail/A 61007-2025 tillsynsbegäran mail.docx", "A 61007-2025")</f>
        <v/>
      </c>
    </row>
    <row r="550" ht="15" customHeight="1">
      <c r="A550" t="inlineStr">
        <is>
          <t>A 22663-2024</t>
        </is>
      </c>
      <c r="B550" s="1" t="n">
        <v>45447</v>
      </c>
      <c r="C550" s="1" t="n">
        <v>46093</v>
      </c>
      <c r="D550" t="inlineStr">
        <is>
          <t>VÄSTERNORRLANDS LÄN</t>
        </is>
      </c>
      <c r="E550" t="inlineStr">
        <is>
          <t>ÖRNSKÖLDSVIK</t>
        </is>
      </c>
      <c r="F550" t="inlineStr">
        <is>
          <t>SCA</t>
        </is>
      </c>
      <c r="G550" t="n">
        <v>1.9</v>
      </c>
      <c r="H550" t="n">
        <v>0</v>
      </c>
      <c r="I550" t="n">
        <v>1</v>
      </c>
      <c r="J550" t="n">
        <v>3</v>
      </c>
      <c r="K550" t="n">
        <v>0</v>
      </c>
      <c r="L550" t="n">
        <v>0</v>
      </c>
      <c r="M550" t="n">
        <v>0</v>
      </c>
      <c r="N550" t="n">
        <v>0</v>
      </c>
      <c r="O550" t="n">
        <v>3</v>
      </c>
      <c r="P550" t="n">
        <v>0</v>
      </c>
      <c r="Q550" t="n">
        <v>4</v>
      </c>
      <c r="R550" s="2" t="inlineStr">
        <is>
          <t>Garnlav
Lunglav
Ullticka
Korallblylav</t>
        </is>
      </c>
      <c r="S550">
        <f>HYPERLINK("https://klasma.github.io/Logging_2284/artfynd/A 22663-2024 artfynd.xlsx", "A 22663-2024")</f>
        <v/>
      </c>
      <c r="T550">
        <f>HYPERLINK("https://klasma.github.io/Logging_2284/kartor/A 22663-2024 karta.png", "A 22663-2024")</f>
        <v/>
      </c>
      <c r="V550">
        <f>HYPERLINK("https://klasma.github.io/Logging_2284/klagomål/A 22663-2024 FSC-klagomål.docx", "A 22663-2024")</f>
        <v/>
      </c>
      <c r="W550">
        <f>HYPERLINK("https://klasma.github.io/Logging_2284/klagomålsmail/A 22663-2024 FSC-klagomål mail.docx", "A 22663-2024")</f>
        <v/>
      </c>
      <c r="X550">
        <f>HYPERLINK("https://klasma.github.io/Logging_2284/tillsyn/A 22663-2024 tillsynsbegäran.docx", "A 22663-2024")</f>
        <v/>
      </c>
      <c r="Y550">
        <f>HYPERLINK("https://klasma.github.io/Logging_2284/tillsynsmail/A 22663-2024 tillsynsbegäran mail.docx", "A 22663-2024")</f>
        <v/>
      </c>
    </row>
    <row r="551" ht="15" customHeight="1">
      <c r="A551" t="inlineStr">
        <is>
          <t>A 14959-2023</t>
        </is>
      </c>
      <c r="B551" s="1" t="n">
        <v>45015</v>
      </c>
      <c r="C551" s="1" t="n">
        <v>46093</v>
      </c>
      <c r="D551" t="inlineStr">
        <is>
          <t>VÄSTERNORRLANDS LÄN</t>
        </is>
      </c>
      <c r="E551" t="inlineStr">
        <is>
          <t>ÖRNSKÖLDSVIK</t>
        </is>
      </c>
      <c r="F551" t="inlineStr">
        <is>
          <t>Holmen skog AB</t>
        </is>
      </c>
      <c r="G551" t="n">
        <v>8.4</v>
      </c>
      <c r="H551" t="n">
        <v>0</v>
      </c>
      <c r="I551" t="n">
        <v>3</v>
      </c>
      <c r="J551" t="n">
        <v>1</v>
      </c>
      <c r="K551" t="n">
        <v>0</v>
      </c>
      <c r="L551" t="n">
        <v>0</v>
      </c>
      <c r="M551" t="n">
        <v>0</v>
      </c>
      <c r="N551" t="n">
        <v>0</v>
      </c>
      <c r="O551" t="n">
        <v>1</v>
      </c>
      <c r="P551" t="n">
        <v>0</v>
      </c>
      <c r="Q551" t="n">
        <v>4</v>
      </c>
      <c r="R551" s="2" t="inlineStr">
        <is>
          <t>Lunglav
Korallblylav
Skinnlav
Stuplav</t>
        </is>
      </c>
      <c r="S551">
        <f>HYPERLINK("https://klasma.github.io/Logging_2284/artfynd/A 14959-2023 artfynd.xlsx", "A 14959-2023")</f>
        <v/>
      </c>
      <c r="T551">
        <f>HYPERLINK("https://klasma.github.io/Logging_2284/kartor/A 14959-2023 karta.png", "A 14959-2023")</f>
        <v/>
      </c>
      <c r="V551">
        <f>HYPERLINK("https://klasma.github.io/Logging_2284/klagomål/A 14959-2023 FSC-klagomål.docx", "A 14959-2023")</f>
        <v/>
      </c>
      <c r="W551">
        <f>HYPERLINK("https://klasma.github.io/Logging_2284/klagomålsmail/A 14959-2023 FSC-klagomål mail.docx", "A 14959-2023")</f>
        <v/>
      </c>
      <c r="X551">
        <f>HYPERLINK("https://klasma.github.io/Logging_2284/tillsyn/A 14959-2023 tillsynsbegäran.docx", "A 14959-2023")</f>
        <v/>
      </c>
      <c r="Y551">
        <f>HYPERLINK("https://klasma.github.io/Logging_2284/tillsynsmail/A 14959-2023 tillsynsbegäran mail.docx", "A 14959-2023")</f>
        <v/>
      </c>
    </row>
    <row r="552" ht="15" customHeight="1">
      <c r="A552" t="inlineStr">
        <is>
          <t>A 37270-2023</t>
        </is>
      </c>
      <c r="B552" s="1" t="n">
        <v>45155</v>
      </c>
      <c r="C552" s="1" t="n">
        <v>46093</v>
      </c>
      <c r="D552" t="inlineStr">
        <is>
          <t>VÄSTERNORRLANDS LÄN</t>
        </is>
      </c>
      <c r="E552" t="inlineStr">
        <is>
          <t>SOLLEFTEÅ</t>
        </is>
      </c>
      <c r="F552" t="inlineStr">
        <is>
          <t>SCA</t>
        </is>
      </c>
      <c r="G552" t="n">
        <v>2.3</v>
      </c>
      <c r="H552" t="n">
        <v>1</v>
      </c>
      <c r="I552" t="n">
        <v>1</v>
      </c>
      <c r="J552" t="n">
        <v>3</v>
      </c>
      <c r="K552" t="n">
        <v>0</v>
      </c>
      <c r="L552" t="n">
        <v>0</v>
      </c>
      <c r="M552" t="n">
        <v>0</v>
      </c>
      <c r="N552" t="n">
        <v>0</v>
      </c>
      <c r="O552" t="n">
        <v>3</v>
      </c>
      <c r="P552" t="n">
        <v>0</v>
      </c>
      <c r="Q552" t="n">
        <v>4</v>
      </c>
      <c r="R552" s="2" t="inlineStr">
        <is>
          <t>Orange taggsvamp
Tallticka
Tretåig hackspett
Dropptaggsvamp</t>
        </is>
      </c>
      <c r="S552">
        <f>HYPERLINK("https://klasma.github.io/Logging_2283/artfynd/A 37270-2023 artfynd.xlsx", "A 37270-2023")</f>
        <v/>
      </c>
      <c r="T552">
        <f>HYPERLINK("https://klasma.github.io/Logging_2283/kartor/A 37270-2023 karta.png", "A 37270-2023")</f>
        <v/>
      </c>
      <c r="V552">
        <f>HYPERLINK("https://klasma.github.io/Logging_2283/klagomål/A 37270-2023 FSC-klagomål.docx", "A 37270-2023")</f>
        <v/>
      </c>
      <c r="W552">
        <f>HYPERLINK("https://klasma.github.io/Logging_2283/klagomålsmail/A 37270-2023 FSC-klagomål mail.docx", "A 37270-2023")</f>
        <v/>
      </c>
      <c r="X552">
        <f>HYPERLINK("https://klasma.github.io/Logging_2283/tillsyn/A 37270-2023 tillsynsbegäran.docx", "A 37270-2023")</f>
        <v/>
      </c>
      <c r="Y552">
        <f>HYPERLINK("https://klasma.github.io/Logging_2283/tillsynsmail/A 37270-2023 tillsynsbegäran mail.docx", "A 37270-2023")</f>
        <v/>
      </c>
      <c r="Z552">
        <f>HYPERLINK("https://klasma.github.io/Logging_2283/fåglar/A 37270-2023 prioriterade fågelarter.docx", "A 37270-2023")</f>
        <v/>
      </c>
    </row>
    <row r="553" ht="15" customHeight="1">
      <c r="A553" t="inlineStr">
        <is>
          <t>A 51192-2024</t>
        </is>
      </c>
      <c r="B553" s="1" t="n">
        <v>45603.61493055556</v>
      </c>
      <c r="C553" s="1" t="n">
        <v>46093</v>
      </c>
      <c r="D553" t="inlineStr">
        <is>
          <t>VÄSTERNORRLANDS LÄN</t>
        </is>
      </c>
      <c r="E553" t="inlineStr">
        <is>
          <t>SOLLEFTEÅ</t>
        </is>
      </c>
      <c r="F553" t="inlineStr">
        <is>
          <t>SCA</t>
        </is>
      </c>
      <c r="G553" t="n">
        <v>3.9</v>
      </c>
      <c r="H553" t="n">
        <v>1</v>
      </c>
      <c r="I553" t="n">
        <v>0</v>
      </c>
      <c r="J553" t="n">
        <v>3</v>
      </c>
      <c r="K553" t="n">
        <v>1</v>
      </c>
      <c r="L553" t="n">
        <v>0</v>
      </c>
      <c r="M553" t="n">
        <v>0</v>
      </c>
      <c r="N553" t="n">
        <v>0</v>
      </c>
      <c r="O553" t="n">
        <v>4</v>
      </c>
      <c r="P553" t="n">
        <v>1</v>
      </c>
      <c r="Q553" t="n">
        <v>4</v>
      </c>
      <c r="R553" s="2" t="inlineStr">
        <is>
          <t>Rynkskinn
Garnlav
Lunglav
Talltita</t>
        </is>
      </c>
      <c r="S553">
        <f>HYPERLINK("https://klasma.github.io/Logging_2283/artfynd/A 51192-2024 artfynd.xlsx", "A 51192-2024")</f>
        <v/>
      </c>
      <c r="T553">
        <f>HYPERLINK("https://klasma.github.io/Logging_2283/kartor/A 51192-2024 karta.png", "A 51192-2024")</f>
        <v/>
      </c>
      <c r="V553">
        <f>HYPERLINK("https://klasma.github.io/Logging_2283/klagomål/A 51192-2024 FSC-klagomål.docx", "A 51192-2024")</f>
        <v/>
      </c>
      <c r="W553">
        <f>HYPERLINK("https://klasma.github.io/Logging_2283/klagomålsmail/A 51192-2024 FSC-klagomål mail.docx", "A 51192-2024")</f>
        <v/>
      </c>
      <c r="X553">
        <f>HYPERLINK("https://klasma.github.io/Logging_2283/tillsyn/A 51192-2024 tillsynsbegäran.docx", "A 51192-2024")</f>
        <v/>
      </c>
      <c r="Y553">
        <f>HYPERLINK("https://klasma.github.io/Logging_2283/tillsynsmail/A 51192-2024 tillsynsbegäran mail.docx", "A 51192-2024")</f>
        <v/>
      </c>
      <c r="Z553">
        <f>HYPERLINK("https://klasma.github.io/Logging_2283/fåglar/A 51192-2024 prioriterade fågelarter.docx", "A 51192-2024")</f>
        <v/>
      </c>
    </row>
    <row r="554" ht="15" customHeight="1">
      <c r="A554" t="inlineStr">
        <is>
          <t>A 13441-2025</t>
        </is>
      </c>
      <c r="B554" s="1" t="n">
        <v>45736</v>
      </c>
      <c r="C554" s="1" t="n">
        <v>46093</v>
      </c>
      <c r="D554" t="inlineStr">
        <is>
          <t>VÄSTERNORRLANDS LÄN</t>
        </is>
      </c>
      <c r="E554" t="inlineStr">
        <is>
          <t>SUNDSVALL</t>
        </is>
      </c>
      <c r="F554" t="inlineStr">
        <is>
          <t>SCA</t>
        </is>
      </c>
      <c r="G554" t="n">
        <v>0.8</v>
      </c>
      <c r="H554" t="n">
        <v>2</v>
      </c>
      <c r="I554" t="n">
        <v>2</v>
      </c>
      <c r="J554" t="n">
        <v>1</v>
      </c>
      <c r="K554" t="n">
        <v>1</v>
      </c>
      <c r="L554" t="n">
        <v>0</v>
      </c>
      <c r="M554" t="n">
        <v>0</v>
      </c>
      <c r="N554" t="n">
        <v>0</v>
      </c>
      <c r="O554" t="n">
        <v>2</v>
      </c>
      <c r="P554" t="n">
        <v>1</v>
      </c>
      <c r="Q554" t="n">
        <v>4</v>
      </c>
      <c r="R554" s="2" t="inlineStr">
        <is>
          <t>Knärot
Vedtrappmossa
Korallrot
Vedticka</t>
        </is>
      </c>
      <c r="S554">
        <f>HYPERLINK("https://klasma.github.io/Logging_2281/artfynd/A 13441-2025 artfynd.xlsx", "A 13441-2025")</f>
        <v/>
      </c>
      <c r="T554">
        <f>HYPERLINK("https://klasma.github.io/Logging_2281/kartor/A 13441-2025 karta.png", "A 13441-2025")</f>
        <v/>
      </c>
      <c r="U554">
        <f>HYPERLINK("https://klasma.github.io/Logging_2281/knärot/A 13441-2025 karta knärot.png", "A 13441-2025")</f>
        <v/>
      </c>
      <c r="V554">
        <f>HYPERLINK("https://klasma.github.io/Logging_2281/klagomål/A 13441-2025 FSC-klagomål.docx", "A 13441-2025")</f>
        <v/>
      </c>
      <c r="W554">
        <f>HYPERLINK("https://klasma.github.io/Logging_2281/klagomålsmail/A 13441-2025 FSC-klagomål mail.docx", "A 13441-2025")</f>
        <v/>
      </c>
      <c r="X554">
        <f>HYPERLINK("https://klasma.github.io/Logging_2281/tillsyn/A 13441-2025 tillsynsbegäran.docx", "A 13441-2025")</f>
        <v/>
      </c>
      <c r="Y554">
        <f>HYPERLINK("https://klasma.github.io/Logging_2281/tillsynsmail/A 13441-2025 tillsynsbegäran mail.docx", "A 13441-2025")</f>
        <v/>
      </c>
    </row>
    <row r="555" ht="15" customHeight="1">
      <c r="A555" t="inlineStr">
        <is>
          <t>A 39095-2025</t>
        </is>
      </c>
      <c r="B555" s="1" t="n">
        <v>45888</v>
      </c>
      <c r="C555" s="1" t="n">
        <v>46093</v>
      </c>
      <c r="D555" t="inlineStr">
        <is>
          <t>VÄSTERNORRLANDS LÄN</t>
        </is>
      </c>
      <c r="E555" t="inlineStr">
        <is>
          <t>SOLLEFTEÅ</t>
        </is>
      </c>
      <c r="F555" t="inlineStr">
        <is>
          <t>Holmen skog AB</t>
        </is>
      </c>
      <c r="G555" t="n">
        <v>1.3</v>
      </c>
      <c r="H555" t="n">
        <v>3</v>
      </c>
      <c r="I555" t="n">
        <v>0</v>
      </c>
      <c r="J555" t="n">
        <v>3</v>
      </c>
      <c r="K555" t="n">
        <v>0</v>
      </c>
      <c r="L555" t="n">
        <v>0</v>
      </c>
      <c r="M555" t="n">
        <v>0</v>
      </c>
      <c r="N555" t="n">
        <v>0</v>
      </c>
      <c r="O555" t="n">
        <v>3</v>
      </c>
      <c r="P555" t="n">
        <v>0</v>
      </c>
      <c r="Q555" t="n">
        <v>4</v>
      </c>
      <c r="R555" s="2" t="inlineStr">
        <is>
          <t>Garnlav
Talltita
Tretåig hackspett
Tjäder</t>
        </is>
      </c>
      <c r="S555">
        <f>HYPERLINK("https://klasma.github.io/Logging_2283/artfynd/A 39095-2025 artfynd.xlsx", "A 39095-2025")</f>
        <v/>
      </c>
      <c r="T555">
        <f>HYPERLINK("https://klasma.github.io/Logging_2283/kartor/A 39095-2025 karta.png", "A 39095-2025")</f>
        <v/>
      </c>
      <c r="V555">
        <f>HYPERLINK("https://klasma.github.io/Logging_2283/klagomål/A 39095-2025 FSC-klagomål.docx", "A 39095-2025")</f>
        <v/>
      </c>
      <c r="W555">
        <f>HYPERLINK("https://klasma.github.io/Logging_2283/klagomålsmail/A 39095-2025 FSC-klagomål mail.docx", "A 39095-2025")</f>
        <v/>
      </c>
      <c r="X555">
        <f>HYPERLINK("https://klasma.github.io/Logging_2283/tillsyn/A 39095-2025 tillsynsbegäran.docx", "A 39095-2025")</f>
        <v/>
      </c>
      <c r="Y555">
        <f>HYPERLINK("https://klasma.github.io/Logging_2283/tillsynsmail/A 39095-2025 tillsynsbegäran mail.docx", "A 39095-2025")</f>
        <v/>
      </c>
      <c r="Z555">
        <f>HYPERLINK("https://klasma.github.io/Logging_2283/fåglar/A 39095-2025 prioriterade fågelarter.docx", "A 39095-2025")</f>
        <v/>
      </c>
    </row>
    <row r="556" ht="15" customHeight="1">
      <c r="A556" t="inlineStr">
        <is>
          <t>A 57299-2022</t>
        </is>
      </c>
      <c r="B556" s="1" t="n">
        <v>44895.95090277777</v>
      </c>
      <c r="C556" s="1" t="n">
        <v>46093</v>
      </c>
      <c r="D556" t="inlineStr">
        <is>
          <t>VÄSTERNORRLANDS LÄN</t>
        </is>
      </c>
      <c r="E556" t="inlineStr">
        <is>
          <t>ÅNGE</t>
        </is>
      </c>
      <c r="F556" t="inlineStr">
        <is>
          <t>SCA</t>
        </is>
      </c>
      <c r="G556" t="n">
        <v>3.4</v>
      </c>
      <c r="H556" t="n">
        <v>0</v>
      </c>
      <c r="I556" t="n">
        <v>0</v>
      </c>
      <c r="J556" t="n">
        <v>4</v>
      </c>
      <c r="K556" t="n">
        <v>0</v>
      </c>
      <c r="L556" t="n">
        <v>0</v>
      </c>
      <c r="M556" t="n">
        <v>0</v>
      </c>
      <c r="N556" t="n">
        <v>0</v>
      </c>
      <c r="O556" t="n">
        <v>4</v>
      </c>
      <c r="P556" t="n">
        <v>0</v>
      </c>
      <c r="Q556" t="n">
        <v>4</v>
      </c>
      <c r="R556" s="2" t="inlineStr">
        <is>
          <t>Garnlav
Lunglav
Ullticka
Violmussling</t>
        </is>
      </c>
      <c r="S556">
        <f>HYPERLINK("https://klasma.github.io/Logging_2260/artfynd/A 57299-2022 artfynd.xlsx", "A 57299-2022")</f>
        <v/>
      </c>
      <c r="T556">
        <f>HYPERLINK("https://klasma.github.io/Logging_2260/kartor/A 57299-2022 karta.png", "A 57299-2022")</f>
        <v/>
      </c>
      <c r="V556">
        <f>HYPERLINK("https://klasma.github.io/Logging_2260/klagomål/A 57299-2022 FSC-klagomål.docx", "A 57299-2022")</f>
        <v/>
      </c>
      <c r="W556">
        <f>HYPERLINK("https://klasma.github.io/Logging_2260/klagomålsmail/A 57299-2022 FSC-klagomål mail.docx", "A 57299-2022")</f>
        <v/>
      </c>
      <c r="X556">
        <f>HYPERLINK("https://klasma.github.io/Logging_2260/tillsyn/A 57299-2022 tillsynsbegäran.docx", "A 57299-2022")</f>
        <v/>
      </c>
      <c r="Y556">
        <f>HYPERLINK("https://klasma.github.io/Logging_2260/tillsynsmail/A 57299-2022 tillsynsbegäran mail.docx", "A 57299-2022")</f>
        <v/>
      </c>
    </row>
    <row r="557" ht="15" customHeight="1">
      <c r="A557" t="inlineStr">
        <is>
          <t>A 61487-2025</t>
        </is>
      </c>
      <c r="B557" s="1" t="n">
        <v>46001.63628472222</v>
      </c>
      <c r="C557" s="1" t="n">
        <v>46093</v>
      </c>
      <c r="D557" t="inlineStr">
        <is>
          <t>VÄSTERNORRLANDS LÄN</t>
        </is>
      </c>
      <c r="E557" t="inlineStr">
        <is>
          <t>ÅNGE</t>
        </is>
      </c>
      <c r="F557" t="inlineStr">
        <is>
          <t>SCA</t>
        </is>
      </c>
      <c r="G557" t="n">
        <v>5.4</v>
      </c>
      <c r="H557" t="n">
        <v>1</v>
      </c>
      <c r="I557" t="n">
        <v>0</v>
      </c>
      <c r="J557" t="n">
        <v>3</v>
      </c>
      <c r="K557" t="n">
        <v>1</v>
      </c>
      <c r="L557" t="n">
        <v>0</v>
      </c>
      <c r="M557" t="n">
        <v>0</v>
      </c>
      <c r="N557" t="n">
        <v>0</v>
      </c>
      <c r="O557" t="n">
        <v>4</v>
      </c>
      <c r="P557" t="n">
        <v>1</v>
      </c>
      <c r="Q557" t="n">
        <v>4</v>
      </c>
      <c r="R557" s="2" t="inlineStr">
        <is>
          <t>Rynkskinn
Garnlav
Tretåig hackspett
Vedtrappmossa</t>
        </is>
      </c>
      <c r="S557">
        <f>HYPERLINK("https://klasma.github.io/Logging_2260/artfynd/A 61487-2025 artfynd.xlsx", "A 61487-2025")</f>
        <v/>
      </c>
      <c r="T557">
        <f>HYPERLINK("https://klasma.github.io/Logging_2260/kartor/A 61487-2025 karta.png", "A 61487-2025")</f>
        <v/>
      </c>
      <c r="V557">
        <f>HYPERLINK("https://klasma.github.io/Logging_2260/klagomål/A 61487-2025 FSC-klagomål.docx", "A 61487-2025")</f>
        <v/>
      </c>
      <c r="W557">
        <f>HYPERLINK("https://klasma.github.io/Logging_2260/klagomålsmail/A 61487-2025 FSC-klagomål mail.docx", "A 61487-2025")</f>
        <v/>
      </c>
      <c r="X557">
        <f>HYPERLINK("https://klasma.github.io/Logging_2260/tillsyn/A 61487-2025 tillsynsbegäran.docx", "A 61487-2025")</f>
        <v/>
      </c>
      <c r="Y557">
        <f>HYPERLINK("https://klasma.github.io/Logging_2260/tillsynsmail/A 61487-2025 tillsynsbegäran mail.docx", "A 61487-2025")</f>
        <v/>
      </c>
      <c r="Z557">
        <f>HYPERLINK("https://klasma.github.io/Logging_2260/fåglar/A 61487-2025 prioriterade fågelarter.docx", "A 61487-2025")</f>
        <v/>
      </c>
    </row>
    <row r="558" ht="15" customHeight="1">
      <c r="A558" t="inlineStr">
        <is>
          <t>A 24809-2024</t>
        </is>
      </c>
      <c r="B558" s="1" t="n">
        <v>45460</v>
      </c>
      <c r="C558" s="1" t="n">
        <v>46093</v>
      </c>
      <c r="D558" t="inlineStr">
        <is>
          <t>VÄSTERNORRLANDS LÄN</t>
        </is>
      </c>
      <c r="E558" t="inlineStr">
        <is>
          <t>ÖRNSKÖLDSVIK</t>
        </is>
      </c>
      <c r="F558" t="inlineStr">
        <is>
          <t>SCA</t>
        </is>
      </c>
      <c r="G558" t="n">
        <v>3.1</v>
      </c>
      <c r="H558" t="n">
        <v>0</v>
      </c>
      <c r="I558" t="n">
        <v>0</v>
      </c>
      <c r="J558" t="n">
        <v>3</v>
      </c>
      <c r="K558" t="n">
        <v>1</v>
      </c>
      <c r="L558" t="n">
        <v>0</v>
      </c>
      <c r="M558" t="n">
        <v>0</v>
      </c>
      <c r="N558" t="n">
        <v>0</v>
      </c>
      <c r="O558" t="n">
        <v>4</v>
      </c>
      <c r="P558" t="n">
        <v>1</v>
      </c>
      <c r="Q558" t="n">
        <v>4</v>
      </c>
      <c r="R558" s="2" t="inlineStr">
        <is>
          <t>Gräddporing
Kortskaftad ärgspik
Skrovellav
Vedskivlav</t>
        </is>
      </c>
      <c r="S558">
        <f>HYPERLINK("https://klasma.github.io/Logging_2284/artfynd/A 24809-2024 artfynd.xlsx", "A 24809-2024")</f>
        <v/>
      </c>
      <c r="T558">
        <f>HYPERLINK("https://klasma.github.io/Logging_2284/kartor/A 24809-2024 karta.png", "A 24809-2024")</f>
        <v/>
      </c>
      <c r="V558">
        <f>HYPERLINK("https://klasma.github.io/Logging_2284/klagomål/A 24809-2024 FSC-klagomål.docx", "A 24809-2024")</f>
        <v/>
      </c>
      <c r="W558">
        <f>HYPERLINK("https://klasma.github.io/Logging_2284/klagomålsmail/A 24809-2024 FSC-klagomål mail.docx", "A 24809-2024")</f>
        <v/>
      </c>
      <c r="X558">
        <f>HYPERLINK("https://klasma.github.io/Logging_2284/tillsyn/A 24809-2024 tillsynsbegäran.docx", "A 24809-2024")</f>
        <v/>
      </c>
      <c r="Y558">
        <f>HYPERLINK("https://klasma.github.io/Logging_2284/tillsynsmail/A 24809-2024 tillsynsbegäran mail.docx", "A 24809-2024")</f>
        <v/>
      </c>
    </row>
    <row r="559" ht="15" customHeight="1">
      <c r="A559" t="inlineStr">
        <is>
          <t>A 7905-2026</t>
        </is>
      </c>
      <c r="B559" s="1" t="n">
        <v>46063.35283564815</v>
      </c>
      <c r="C559" s="1" t="n">
        <v>46093</v>
      </c>
      <c r="D559" t="inlineStr">
        <is>
          <t>VÄSTERNORRLANDS LÄN</t>
        </is>
      </c>
      <c r="E559" t="inlineStr">
        <is>
          <t>SOLLEFTEÅ</t>
        </is>
      </c>
      <c r="G559" t="n">
        <v>3.2</v>
      </c>
      <c r="H559" t="n">
        <v>4</v>
      </c>
      <c r="I559" t="n">
        <v>0</v>
      </c>
      <c r="J559" t="n">
        <v>1</v>
      </c>
      <c r="K559" t="n">
        <v>0</v>
      </c>
      <c r="L559" t="n">
        <v>0</v>
      </c>
      <c r="M559" t="n">
        <v>0</v>
      </c>
      <c r="N559" t="n">
        <v>0</v>
      </c>
      <c r="O559" t="n">
        <v>1</v>
      </c>
      <c r="P559" t="n">
        <v>0</v>
      </c>
      <c r="Q559" t="n">
        <v>4</v>
      </c>
      <c r="R559" s="2" t="inlineStr">
        <is>
          <t>Talltita
Lavskrika
Orre
Tjäder</t>
        </is>
      </c>
      <c r="S559">
        <f>HYPERLINK("https://klasma.github.io/Logging_2283/artfynd/A 7905-2026 artfynd.xlsx", "A 7905-2026")</f>
        <v/>
      </c>
      <c r="T559">
        <f>HYPERLINK("https://klasma.github.io/Logging_2283/kartor/A 7905-2026 karta.png", "A 7905-2026")</f>
        <v/>
      </c>
      <c r="V559">
        <f>HYPERLINK("https://klasma.github.io/Logging_2283/klagomål/A 7905-2026 FSC-klagomål.docx", "A 7905-2026")</f>
        <v/>
      </c>
      <c r="W559">
        <f>HYPERLINK("https://klasma.github.io/Logging_2283/klagomålsmail/A 7905-2026 FSC-klagomål mail.docx", "A 7905-2026")</f>
        <v/>
      </c>
      <c r="X559">
        <f>HYPERLINK("https://klasma.github.io/Logging_2283/tillsyn/A 7905-2026 tillsynsbegäran.docx", "A 7905-2026")</f>
        <v/>
      </c>
      <c r="Y559">
        <f>HYPERLINK("https://klasma.github.io/Logging_2283/tillsynsmail/A 7905-2026 tillsynsbegäran mail.docx", "A 7905-2026")</f>
        <v/>
      </c>
      <c r="Z559">
        <f>HYPERLINK("https://klasma.github.io/Logging_2283/fåglar/A 7905-2026 prioriterade fågelarter.docx", "A 7905-2026")</f>
        <v/>
      </c>
    </row>
    <row r="560" ht="15" customHeight="1">
      <c r="A560" t="inlineStr">
        <is>
          <t>A 57081-2024</t>
        </is>
      </c>
      <c r="B560" s="1" t="n">
        <v>45629</v>
      </c>
      <c r="C560" s="1" t="n">
        <v>46093</v>
      </c>
      <c r="D560" t="inlineStr">
        <is>
          <t>VÄSTERNORRLANDS LÄN</t>
        </is>
      </c>
      <c r="E560" t="inlineStr">
        <is>
          <t>SOLLEFTEÅ</t>
        </is>
      </c>
      <c r="F560" t="inlineStr">
        <is>
          <t>SCA</t>
        </is>
      </c>
      <c r="G560" t="n">
        <v>0.7</v>
      </c>
      <c r="H560" t="n">
        <v>1</v>
      </c>
      <c r="I560" t="n">
        <v>0</v>
      </c>
      <c r="J560" t="n">
        <v>4</v>
      </c>
      <c r="K560" t="n">
        <v>0</v>
      </c>
      <c r="L560" t="n">
        <v>0</v>
      </c>
      <c r="M560" t="n">
        <v>0</v>
      </c>
      <c r="N560" t="n">
        <v>0</v>
      </c>
      <c r="O560" t="n">
        <v>4</v>
      </c>
      <c r="P560" t="n">
        <v>0</v>
      </c>
      <c r="Q560" t="n">
        <v>4</v>
      </c>
      <c r="R560" s="2" t="inlineStr">
        <is>
          <t>Garnlav
Lunglav
Tretåig hackspett
Ullticka</t>
        </is>
      </c>
      <c r="S560">
        <f>HYPERLINK("https://klasma.github.io/Logging_2283/artfynd/A 57081-2024 artfynd.xlsx", "A 57081-2024")</f>
        <v/>
      </c>
      <c r="T560">
        <f>HYPERLINK("https://klasma.github.io/Logging_2283/kartor/A 57081-2024 karta.png", "A 57081-2024")</f>
        <v/>
      </c>
      <c r="V560">
        <f>HYPERLINK("https://klasma.github.io/Logging_2283/klagomål/A 57081-2024 FSC-klagomål.docx", "A 57081-2024")</f>
        <v/>
      </c>
      <c r="W560">
        <f>HYPERLINK("https://klasma.github.io/Logging_2283/klagomålsmail/A 57081-2024 FSC-klagomål mail.docx", "A 57081-2024")</f>
        <v/>
      </c>
      <c r="X560">
        <f>HYPERLINK("https://klasma.github.io/Logging_2283/tillsyn/A 57081-2024 tillsynsbegäran.docx", "A 57081-2024")</f>
        <v/>
      </c>
      <c r="Y560">
        <f>HYPERLINK("https://klasma.github.io/Logging_2283/tillsynsmail/A 57081-2024 tillsynsbegäran mail.docx", "A 57081-2024")</f>
        <v/>
      </c>
      <c r="Z560">
        <f>HYPERLINK("https://klasma.github.io/Logging_2283/fåglar/A 57081-2024 prioriterade fågelarter.docx", "A 57081-2024")</f>
        <v/>
      </c>
    </row>
    <row r="561" ht="15" customHeight="1">
      <c r="A561" t="inlineStr">
        <is>
          <t>A 8691-2026</t>
        </is>
      </c>
      <c r="B561" s="1" t="n">
        <v>46066.4482175926</v>
      </c>
      <c r="C561" s="1" t="n">
        <v>46093</v>
      </c>
      <c r="D561" t="inlineStr">
        <is>
          <t>VÄSTERNORRLANDS LÄN</t>
        </is>
      </c>
      <c r="E561" t="inlineStr">
        <is>
          <t>SUNDSVALL</t>
        </is>
      </c>
      <c r="G561" t="n">
        <v>0.6</v>
      </c>
      <c r="H561" t="n">
        <v>3</v>
      </c>
      <c r="I561" t="n">
        <v>0</v>
      </c>
      <c r="J561" t="n">
        <v>2</v>
      </c>
      <c r="K561" t="n">
        <v>0</v>
      </c>
      <c r="L561" t="n">
        <v>0</v>
      </c>
      <c r="M561" t="n">
        <v>0</v>
      </c>
      <c r="N561" t="n">
        <v>0</v>
      </c>
      <c r="O561" t="n">
        <v>2</v>
      </c>
      <c r="P561" t="n">
        <v>0</v>
      </c>
      <c r="Q561" t="n">
        <v>4</v>
      </c>
      <c r="R561" s="2" t="inlineStr">
        <is>
          <t>Spillkråka
Ullticka
Vanlig padda
Revlummer</t>
        </is>
      </c>
      <c r="S561">
        <f>HYPERLINK("https://klasma.github.io/Logging_2281/artfynd/A 8691-2026 artfynd.xlsx", "A 8691-2026")</f>
        <v/>
      </c>
      <c r="T561">
        <f>HYPERLINK("https://klasma.github.io/Logging_2281/kartor/A 8691-2026 karta.png", "A 8691-2026")</f>
        <v/>
      </c>
      <c r="V561">
        <f>HYPERLINK("https://klasma.github.io/Logging_2281/klagomål/A 8691-2026 FSC-klagomål.docx", "A 8691-2026")</f>
        <v/>
      </c>
      <c r="W561">
        <f>HYPERLINK("https://klasma.github.io/Logging_2281/klagomålsmail/A 8691-2026 FSC-klagomål mail.docx", "A 8691-2026")</f>
        <v/>
      </c>
      <c r="X561">
        <f>HYPERLINK("https://klasma.github.io/Logging_2281/tillsyn/A 8691-2026 tillsynsbegäran.docx", "A 8691-2026")</f>
        <v/>
      </c>
      <c r="Y561">
        <f>HYPERLINK("https://klasma.github.io/Logging_2281/tillsynsmail/A 8691-2026 tillsynsbegäran mail.docx", "A 8691-2026")</f>
        <v/>
      </c>
      <c r="Z561">
        <f>HYPERLINK("https://klasma.github.io/Logging_2281/fåglar/A 8691-2026 prioriterade fågelarter.docx", "A 8691-2026")</f>
        <v/>
      </c>
    </row>
    <row r="562" ht="15" customHeight="1">
      <c r="A562" t="inlineStr">
        <is>
          <t>A 60194-2024</t>
        </is>
      </c>
      <c r="B562" s="1" t="n">
        <v>45642</v>
      </c>
      <c r="C562" s="1" t="n">
        <v>46093</v>
      </c>
      <c r="D562" t="inlineStr">
        <is>
          <t>VÄSTERNORRLANDS LÄN</t>
        </is>
      </c>
      <c r="E562" t="inlineStr">
        <is>
          <t>SUNDSVALL</t>
        </is>
      </c>
      <c r="F562" t="inlineStr">
        <is>
          <t>SCA</t>
        </is>
      </c>
      <c r="G562" t="n">
        <v>16.6</v>
      </c>
      <c r="H562" t="n">
        <v>3</v>
      </c>
      <c r="I562" t="n">
        <v>1</v>
      </c>
      <c r="J562" t="n">
        <v>2</v>
      </c>
      <c r="K562" t="n">
        <v>1</v>
      </c>
      <c r="L562" t="n">
        <v>0</v>
      </c>
      <c r="M562" t="n">
        <v>0</v>
      </c>
      <c r="N562" t="n">
        <v>0</v>
      </c>
      <c r="O562" t="n">
        <v>3</v>
      </c>
      <c r="P562" t="n">
        <v>1</v>
      </c>
      <c r="Q562" t="n">
        <v>4</v>
      </c>
      <c r="R562" s="2" t="inlineStr">
        <is>
          <t>Knärot
Mindre hackspett
Spillkråka
Björksplintborre</t>
        </is>
      </c>
      <c r="S562">
        <f>HYPERLINK("https://klasma.github.io/Logging_2281/artfynd/A 60194-2024 artfynd.xlsx", "A 60194-2024")</f>
        <v/>
      </c>
      <c r="T562">
        <f>HYPERLINK("https://klasma.github.io/Logging_2281/kartor/A 60194-2024 karta.png", "A 60194-2024")</f>
        <v/>
      </c>
      <c r="U562">
        <f>HYPERLINK("https://klasma.github.io/Logging_2281/knärot/A 60194-2024 karta knärot.png", "A 60194-2024")</f>
        <v/>
      </c>
      <c r="V562">
        <f>HYPERLINK("https://klasma.github.io/Logging_2281/klagomål/A 60194-2024 FSC-klagomål.docx", "A 60194-2024")</f>
        <v/>
      </c>
      <c r="W562">
        <f>HYPERLINK("https://klasma.github.io/Logging_2281/klagomålsmail/A 60194-2024 FSC-klagomål mail.docx", "A 60194-2024")</f>
        <v/>
      </c>
      <c r="X562">
        <f>HYPERLINK("https://klasma.github.io/Logging_2281/tillsyn/A 60194-2024 tillsynsbegäran.docx", "A 60194-2024")</f>
        <v/>
      </c>
      <c r="Y562">
        <f>HYPERLINK("https://klasma.github.io/Logging_2281/tillsynsmail/A 60194-2024 tillsynsbegäran mail.docx", "A 60194-2024")</f>
        <v/>
      </c>
      <c r="Z562">
        <f>HYPERLINK("https://klasma.github.io/Logging_2281/fåglar/A 60194-2024 prioriterade fågelarter.docx", "A 60194-2024")</f>
        <v/>
      </c>
    </row>
    <row r="563" ht="15" customHeight="1">
      <c r="A563" t="inlineStr">
        <is>
          <t>A 723-2025</t>
        </is>
      </c>
      <c r="B563" s="1" t="n">
        <v>45665.38576388889</v>
      </c>
      <c r="C563" s="1" t="n">
        <v>46093</v>
      </c>
      <c r="D563" t="inlineStr">
        <is>
          <t>VÄSTERNORRLANDS LÄN</t>
        </is>
      </c>
      <c r="E563" t="inlineStr">
        <is>
          <t>ÅNGE</t>
        </is>
      </c>
      <c r="G563" t="n">
        <v>4.1</v>
      </c>
      <c r="H563" t="n">
        <v>2</v>
      </c>
      <c r="I563" t="n">
        <v>1</v>
      </c>
      <c r="J563" t="n">
        <v>1</v>
      </c>
      <c r="K563" t="n">
        <v>0</v>
      </c>
      <c r="L563" t="n">
        <v>0</v>
      </c>
      <c r="M563" t="n">
        <v>0</v>
      </c>
      <c r="N563" t="n">
        <v>0</v>
      </c>
      <c r="O563" t="n">
        <v>1</v>
      </c>
      <c r="P563" t="n">
        <v>0</v>
      </c>
      <c r="Q563" t="n">
        <v>4</v>
      </c>
      <c r="R563" s="2" t="inlineStr">
        <is>
          <t>Lunglav
Stuplav
Fläcknycklar
Revlummer</t>
        </is>
      </c>
      <c r="S563">
        <f>HYPERLINK("https://klasma.github.io/Logging_2260/artfynd/A 723-2025 artfynd.xlsx", "A 723-2025")</f>
        <v/>
      </c>
      <c r="T563">
        <f>HYPERLINK("https://klasma.github.io/Logging_2260/kartor/A 723-2025 karta.png", "A 723-2025")</f>
        <v/>
      </c>
      <c r="V563">
        <f>HYPERLINK("https://klasma.github.io/Logging_2260/klagomål/A 723-2025 FSC-klagomål.docx", "A 723-2025")</f>
        <v/>
      </c>
      <c r="W563">
        <f>HYPERLINK("https://klasma.github.io/Logging_2260/klagomålsmail/A 723-2025 FSC-klagomål mail.docx", "A 723-2025")</f>
        <v/>
      </c>
      <c r="X563">
        <f>HYPERLINK("https://klasma.github.io/Logging_2260/tillsyn/A 723-2025 tillsynsbegäran.docx", "A 723-2025")</f>
        <v/>
      </c>
      <c r="Y563">
        <f>HYPERLINK("https://klasma.github.io/Logging_2260/tillsynsmail/A 723-2025 tillsynsbegäran mail.docx", "A 723-2025")</f>
        <v/>
      </c>
    </row>
    <row r="564" ht="15" customHeight="1">
      <c r="A564" t="inlineStr">
        <is>
          <t>A 12698-2024</t>
        </is>
      </c>
      <c r="B564" s="1" t="n">
        <v>45384</v>
      </c>
      <c r="C564" s="1" t="n">
        <v>46093</v>
      </c>
      <c r="D564" t="inlineStr">
        <is>
          <t>VÄSTERNORRLANDS LÄN</t>
        </is>
      </c>
      <c r="E564" t="inlineStr">
        <is>
          <t>ÖRNSKÖLDSVIK</t>
        </is>
      </c>
      <c r="F564" t="inlineStr">
        <is>
          <t>Holmen skog AB</t>
        </is>
      </c>
      <c r="G564" t="n">
        <v>7.3</v>
      </c>
      <c r="H564" t="n">
        <v>0</v>
      </c>
      <c r="I564" t="n">
        <v>0</v>
      </c>
      <c r="J564" t="n">
        <v>4</v>
      </c>
      <c r="K564" t="n">
        <v>0</v>
      </c>
      <c r="L564" t="n">
        <v>0</v>
      </c>
      <c r="M564" t="n">
        <v>0</v>
      </c>
      <c r="N564" t="n">
        <v>0</v>
      </c>
      <c r="O564" t="n">
        <v>4</v>
      </c>
      <c r="P564" t="n">
        <v>0</v>
      </c>
      <c r="Q564" t="n">
        <v>4</v>
      </c>
      <c r="R564" s="2" t="inlineStr">
        <is>
          <t>Garnlav
Kolflarnlav
Reliktbock
Tallticka</t>
        </is>
      </c>
      <c r="S564">
        <f>HYPERLINK("https://klasma.github.io/Logging_2284/artfynd/A 12698-2024 artfynd.xlsx", "A 12698-2024")</f>
        <v/>
      </c>
      <c r="T564">
        <f>HYPERLINK("https://klasma.github.io/Logging_2284/kartor/A 12698-2024 karta.png", "A 12698-2024")</f>
        <v/>
      </c>
      <c r="V564">
        <f>HYPERLINK("https://klasma.github.io/Logging_2284/klagomål/A 12698-2024 FSC-klagomål.docx", "A 12698-2024")</f>
        <v/>
      </c>
      <c r="W564">
        <f>HYPERLINK("https://klasma.github.io/Logging_2284/klagomålsmail/A 12698-2024 FSC-klagomål mail.docx", "A 12698-2024")</f>
        <v/>
      </c>
      <c r="X564">
        <f>HYPERLINK("https://klasma.github.io/Logging_2284/tillsyn/A 12698-2024 tillsynsbegäran.docx", "A 12698-2024")</f>
        <v/>
      </c>
      <c r="Y564">
        <f>HYPERLINK("https://klasma.github.io/Logging_2284/tillsynsmail/A 12698-2024 tillsynsbegäran mail.docx", "A 12698-2024")</f>
        <v/>
      </c>
    </row>
    <row r="565" ht="15" customHeight="1">
      <c r="A565" t="inlineStr">
        <is>
          <t>A 20933-2025</t>
        </is>
      </c>
      <c r="B565" s="1" t="n">
        <v>45777.42752314815</v>
      </c>
      <c r="C565" s="1" t="n">
        <v>46093</v>
      </c>
      <c r="D565" t="inlineStr">
        <is>
          <t>VÄSTERNORRLANDS LÄN</t>
        </is>
      </c>
      <c r="E565" t="inlineStr">
        <is>
          <t>SOLLEFTEÅ</t>
        </is>
      </c>
      <c r="F565" t="inlineStr">
        <is>
          <t>SCA</t>
        </is>
      </c>
      <c r="G565" t="n">
        <v>5.9</v>
      </c>
      <c r="H565" t="n">
        <v>0</v>
      </c>
      <c r="I565" t="n">
        <v>1</v>
      </c>
      <c r="J565" t="n">
        <v>3</v>
      </c>
      <c r="K565" t="n">
        <v>0</v>
      </c>
      <c r="L565" t="n">
        <v>0</v>
      </c>
      <c r="M565" t="n">
        <v>0</v>
      </c>
      <c r="N565" t="n">
        <v>0</v>
      </c>
      <c r="O565" t="n">
        <v>3</v>
      </c>
      <c r="P565" t="n">
        <v>0</v>
      </c>
      <c r="Q565" t="n">
        <v>4</v>
      </c>
      <c r="R565" s="2" t="inlineStr">
        <is>
          <t>Orange taggsvamp
Skrovlig taggsvamp
Vitgrynig nållav
Dropptaggsvamp</t>
        </is>
      </c>
      <c r="S565">
        <f>HYPERLINK("https://klasma.github.io/Logging_2283/artfynd/A 20933-2025 artfynd.xlsx", "A 20933-2025")</f>
        <v/>
      </c>
      <c r="T565">
        <f>HYPERLINK("https://klasma.github.io/Logging_2283/kartor/A 20933-2025 karta.png", "A 20933-2025")</f>
        <v/>
      </c>
      <c r="V565">
        <f>HYPERLINK("https://klasma.github.io/Logging_2283/klagomål/A 20933-2025 FSC-klagomål.docx", "A 20933-2025")</f>
        <v/>
      </c>
      <c r="W565">
        <f>HYPERLINK("https://klasma.github.io/Logging_2283/klagomålsmail/A 20933-2025 FSC-klagomål mail.docx", "A 20933-2025")</f>
        <v/>
      </c>
      <c r="X565">
        <f>HYPERLINK("https://klasma.github.io/Logging_2283/tillsyn/A 20933-2025 tillsynsbegäran.docx", "A 20933-2025")</f>
        <v/>
      </c>
      <c r="Y565">
        <f>HYPERLINK("https://klasma.github.io/Logging_2283/tillsynsmail/A 20933-2025 tillsynsbegäran mail.docx", "A 20933-2025")</f>
        <v/>
      </c>
    </row>
    <row r="566" ht="15" customHeight="1">
      <c r="A566" t="inlineStr">
        <is>
          <t>A 21594-2025</t>
        </is>
      </c>
      <c r="B566" s="1" t="n">
        <v>45783.34447916667</v>
      </c>
      <c r="C566" s="1" t="n">
        <v>46093</v>
      </c>
      <c r="D566" t="inlineStr">
        <is>
          <t>VÄSTERNORRLANDS LÄN</t>
        </is>
      </c>
      <c r="E566" t="inlineStr">
        <is>
          <t>SUNDSVALL</t>
        </is>
      </c>
      <c r="F566" t="inlineStr">
        <is>
          <t>Naturvårdsverket</t>
        </is>
      </c>
      <c r="G566" t="n">
        <v>3</v>
      </c>
      <c r="H566" t="n">
        <v>0</v>
      </c>
      <c r="I566" t="n">
        <v>0</v>
      </c>
      <c r="J566" t="n">
        <v>4</v>
      </c>
      <c r="K566" t="n">
        <v>0</v>
      </c>
      <c r="L566" t="n">
        <v>0</v>
      </c>
      <c r="M566" t="n">
        <v>0</v>
      </c>
      <c r="N566" t="n">
        <v>0</v>
      </c>
      <c r="O566" t="n">
        <v>4</v>
      </c>
      <c r="P566" t="n">
        <v>0</v>
      </c>
      <c r="Q566" t="n">
        <v>4</v>
      </c>
      <c r="R566" s="2" t="inlineStr">
        <is>
          <t>Blanksvart spiklav
Blågrå svartspik
Mörk kolflarnlav
Vedflamlav</t>
        </is>
      </c>
      <c r="S566">
        <f>HYPERLINK("https://klasma.github.io/Logging_2281/artfynd/A 21594-2025 artfynd.xlsx", "A 21594-2025")</f>
        <v/>
      </c>
      <c r="T566">
        <f>HYPERLINK("https://klasma.github.io/Logging_2281/kartor/A 21594-2025 karta.png", "A 21594-2025")</f>
        <v/>
      </c>
      <c r="V566">
        <f>HYPERLINK("https://klasma.github.io/Logging_2281/klagomål/A 21594-2025 FSC-klagomål.docx", "A 21594-2025")</f>
        <v/>
      </c>
      <c r="W566">
        <f>HYPERLINK("https://klasma.github.io/Logging_2281/klagomålsmail/A 21594-2025 FSC-klagomål mail.docx", "A 21594-2025")</f>
        <v/>
      </c>
      <c r="X566">
        <f>HYPERLINK("https://klasma.github.io/Logging_2281/tillsyn/A 21594-2025 tillsynsbegäran.docx", "A 21594-2025")</f>
        <v/>
      </c>
      <c r="Y566">
        <f>HYPERLINK("https://klasma.github.io/Logging_2281/tillsynsmail/A 21594-2025 tillsynsbegäran mail.docx", "A 21594-2025")</f>
        <v/>
      </c>
    </row>
    <row r="567" ht="15" customHeight="1">
      <c r="A567" t="inlineStr">
        <is>
          <t>A 21986-2025</t>
        </is>
      </c>
      <c r="B567" s="1" t="n">
        <v>45784.65700231482</v>
      </c>
      <c r="C567" s="1" t="n">
        <v>46093</v>
      </c>
      <c r="D567" t="inlineStr">
        <is>
          <t>VÄSTERNORRLANDS LÄN</t>
        </is>
      </c>
      <c r="E567" t="inlineStr">
        <is>
          <t>SUNDSVALL</t>
        </is>
      </c>
      <c r="F567" t="inlineStr">
        <is>
          <t>Naturvårdsverket</t>
        </is>
      </c>
      <c r="G567" t="n">
        <v>5.7</v>
      </c>
      <c r="H567" t="n">
        <v>0</v>
      </c>
      <c r="I567" t="n">
        <v>2</v>
      </c>
      <c r="J567" t="n">
        <v>1</v>
      </c>
      <c r="K567" t="n">
        <v>1</v>
      </c>
      <c r="L567" t="n">
        <v>0</v>
      </c>
      <c r="M567" t="n">
        <v>0</v>
      </c>
      <c r="N567" t="n">
        <v>0</v>
      </c>
      <c r="O567" t="n">
        <v>2</v>
      </c>
      <c r="P567" t="n">
        <v>1</v>
      </c>
      <c r="Q567" t="n">
        <v>4</v>
      </c>
      <c r="R567" s="2" t="inlineStr">
        <is>
          <t>Gräddporing
Blågrå svartspik
Barkticka
Mörk husmossa</t>
        </is>
      </c>
      <c r="S567">
        <f>HYPERLINK("https://klasma.github.io/Logging_2281/artfynd/A 21986-2025 artfynd.xlsx", "A 21986-2025")</f>
        <v/>
      </c>
      <c r="T567">
        <f>HYPERLINK("https://klasma.github.io/Logging_2281/kartor/A 21986-2025 karta.png", "A 21986-2025")</f>
        <v/>
      </c>
      <c r="V567">
        <f>HYPERLINK("https://klasma.github.io/Logging_2281/klagomål/A 21986-2025 FSC-klagomål.docx", "A 21986-2025")</f>
        <v/>
      </c>
      <c r="W567">
        <f>HYPERLINK("https://klasma.github.io/Logging_2281/klagomålsmail/A 21986-2025 FSC-klagomål mail.docx", "A 21986-2025")</f>
        <v/>
      </c>
      <c r="X567">
        <f>HYPERLINK("https://klasma.github.io/Logging_2281/tillsyn/A 21986-2025 tillsynsbegäran.docx", "A 21986-2025")</f>
        <v/>
      </c>
      <c r="Y567">
        <f>HYPERLINK("https://klasma.github.io/Logging_2281/tillsynsmail/A 21986-2025 tillsynsbegäran mail.docx", "A 21986-2025")</f>
        <v/>
      </c>
    </row>
    <row r="568" ht="15" customHeight="1">
      <c r="A568" t="inlineStr">
        <is>
          <t>A 25954-2025</t>
        </is>
      </c>
      <c r="B568" s="1" t="n">
        <v>45804</v>
      </c>
      <c r="C568" s="1" t="n">
        <v>46093</v>
      </c>
      <c r="D568" t="inlineStr">
        <is>
          <t>VÄSTERNORRLANDS LÄN</t>
        </is>
      </c>
      <c r="E568" t="inlineStr">
        <is>
          <t>SOLLEFTEÅ</t>
        </is>
      </c>
      <c r="G568" t="n">
        <v>3.2</v>
      </c>
      <c r="H568" t="n">
        <v>1</v>
      </c>
      <c r="I568" t="n">
        <v>3</v>
      </c>
      <c r="J568" t="n">
        <v>0</v>
      </c>
      <c r="K568" t="n">
        <v>0</v>
      </c>
      <c r="L568" t="n">
        <v>0</v>
      </c>
      <c r="M568" t="n">
        <v>0</v>
      </c>
      <c r="N568" t="n">
        <v>0</v>
      </c>
      <c r="O568" t="n">
        <v>0</v>
      </c>
      <c r="P568" t="n">
        <v>0</v>
      </c>
      <c r="Q568" t="n">
        <v>4</v>
      </c>
      <c r="R568" s="2" t="inlineStr">
        <is>
          <t>Dvärghäxört
Springkorn
Svart trolldruva
Revlummer</t>
        </is>
      </c>
      <c r="S568">
        <f>HYPERLINK("https://klasma.github.io/Logging_2283/artfynd/A 25954-2025 artfynd.xlsx", "A 25954-2025")</f>
        <v/>
      </c>
      <c r="T568">
        <f>HYPERLINK("https://klasma.github.io/Logging_2283/kartor/A 25954-2025 karta.png", "A 25954-2025")</f>
        <v/>
      </c>
      <c r="V568">
        <f>HYPERLINK("https://klasma.github.io/Logging_2283/klagomål/A 25954-2025 FSC-klagomål.docx", "A 25954-2025")</f>
        <v/>
      </c>
      <c r="W568">
        <f>HYPERLINK("https://klasma.github.io/Logging_2283/klagomålsmail/A 25954-2025 FSC-klagomål mail.docx", "A 25954-2025")</f>
        <v/>
      </c>
      <c r="X568">
        <f>HYPERLINK("https://klasma.github.io/Logging_2283/tillsyn/A 25954-2025 tillsynsbegäran.docx", "A 25954-2025")</f>
        <v/>
      </c>
      <c r="Y568">
        <f>HYPERLINK("https://klasma.github.io/Logging_2283/tillsynsmail/A 25954-2025 tillsynsbegäran mail.docx", "A 25954-2025")</f>
        <v/>
      </c>
    </row>
    <row r="569" ht="15" customHeight="1">
      <c r="A569" t="inlineStr">
        <is>
          <t>A 22426-2025</t>
        </is>
      </c>
      <c r="B569" s="1" t="n">
        <v>45786</v>
      </c>
      <c r="C569" s="1" t="n">
        <v>46093</v>
      </c>
      <c r="D569" t="inlineStr">
        <is>
          <t>VÄSTERNORRLANDS LÄN</t>
        </is>
      </c>
      <c r="E569" t="inlineStr">
        <is>
          <t>TIMRÅ</t>
        </is>
      </c>
      <c r="F569" t="inlineStr">
        <is>
          <t>SCA</t>
        </is>
      </c>
      <c r="G569" t="n">
        <v>6.2</v>
      </c>
      <c r="H569" t="n">
        <v>1</v>
      </c>
      <c r="I569" t="n">
        <v>0</v>
      </c>
      <c r="J569" t="n">
        <v>3</v>
      </c>
      <c r="K569" t="n">
        <v>1</v>
      </c>
      <c r="L569" t="n">
        <v>0</v>
      </c>
      <c r="M569" t="n">
        <v>0</v>
      </c>
      <c r="N569" t="n">
        <v>0</v>
      </c>
      <c r="O569" t="n">
        <v>4</v>
      </c>
      <c r="P569" t="n">
        <v>1</v>
      </c>
      <c r="Q569" t="n">
        <v>4</v>
      </c>
      <c r="R569" s="2" t="inlineStr">
        <is>
          <t>Aspgelélav
Garnlav
Lunglav
Tretåig hackspett</t>
        </is>
      </c>
      <c r="S569">
        <f>HYPERLINK("https://klasma.github.io/Logging_2262/artfynd/A 22426-2025 artfynd.xlsx", "A 22426-2025")</f>
        <v/>
      </c>
      <c r="T569">
        <f>HYPERLINK("https://klasma.github.io/Logging_2262/kartor/A 22426-2025 karta.png", "A 22426-2025")</f>
        <v/>
      </c>
      <c r="V569">
        <f>HYPERLINK("https://klasma.github.io/Logging_2262/klagomål/A 22426-2025 FSC-klagomål.docx", "A 22426-2025")</f>
        <v/>
      </c>
      <c r="W569">
        <f>HYPERLINK("https://klasma.github.io/Logging_2262/klagomålsmail/A 22426-2025 FSC-klagomål mail.docx", "A 22426-2025")</f>
        <v/>
      </c>
      <c r="X569">
        <f>HYPERLINK("https://klasma.github.io/Logging_2262/tillsyn/A 22426-2025 tillsynsbegäran.docx", "A 22426-2025")</f>
        <v/>
      </c>
      <c r="Y569">
        <f>HYPERLINK("https://klasma.github.io/Logging_2262/tillsynsmail/A 22426-2025 tillsynsbegäran mail.docx", "A 22426-2025")</f>
        <v/>
      </c>
      <c r="Z569">
        <f>HYPERLINK("https://klasma.github.io/Logging_2262/fåglar/A 22426-2025 prioriterade fågelarter.docx", "A 22426-2025")</f>
        <v/>
      </c>
    </row>
    <row r="570" ht="15" customHeight="1">
      <c r="A570" t="inlineStr">
        <is>
          <t>A 9819-2024</t>
        </is>
      </c>
      <c r="B570" s="1" t="n">
        <v>45363</v>
      </c>
      <c r="C570" s="1" t="n">
        <v>46093</v>
      </c>
      <c r="D570" t="inlineStr">
        <is>
          <t>VÄSTERNORRLANDS LÄN</t>
        </is>
      </c>
      <c r="E570" t="inlineStr">
        <is>
          <t>SOLLEFTEÅ</t>
        </is>
      </c>
      <c r="F570" t="inlineStr">
        <is>
          <t>SCA</t>
        </is>
      </c>
      <c r="G570" t="n">
        <v>6.8</v>
      </c>
      <c r="H570" t="n">
        <v>1</v>
      </c>
      <c r="I570" t="n">
        <v>1</v>
      </c>
      <c r="J570" t="n">
        <v>2</v>
      </c>
      <c r="K570" t="n">
        <v>1</v>
      </c>
      <c r="L570" t="n">
        <v>0</v>
      </c>
      <c r="M570" t="n">
        <v>0</v>
      </c>
      <c r="N570" t="n">
        <v>0</v>
      </c>
      <c r="O570" t="n">
        <v>3</v>
      </c>
      <c r="P570" t="n">
        <v>1</v>
      </c>
      <c r="Q570" t="n">
        <v>4</v>
      </c>
      <c r="R570" s="2" t="inlineStr">
        <is>
          <t>Knärot
Motaggsvamp
Vitgrynig nållav
Dropptaggsvamp</t>
        </is>
      </c>
      <c r="S570">
        <f>HYPERLINK("https://klasma.github.io/Logging_2283/artfynd/A 9819-2024 artfynd.xlsx", "A 9819-2024")</f>
        <v/>
      </c>
      <c r="T570">
        <f>HYPERLINK("https://klasma.github.io/Logging_2283/kartor/A 9819-2024 karta.png", "A 9819-2024")</f>
        <v/>
      </c>
      <c r="U570">
        <f>HYPERLINK("https://klasma.github.io/Logging_2283/knärot/A 9819-2024 karta knärot.png", "A 9819-2024")</f>
        <v/>
      </c>
      <c r="V570">
        <f>HYPERLINK("https://klasma.github.io/Logging_2283/klagomål/A 9819-2024 FSC-klagomål.docx", "A 9819-2024")</f>
        <v/>
      </c>
      <c r="W570">
        <f>HYPERLINK("https://klasma.github.io/Logging_2283/klagomålsmail/A 9819-2024 FSC-klagomål mail.docx", "A 9819-2024")</f>
        <v/>
      </c>
      <c r="X570">
        <f>HYPERLINK("https://klasma.github.io/Logging_2283/tillsyn/A 9819-2024 tillsynsbegäran.docx", "A 9819-2024")</f>
        <v/>
      </c>
      <c r="Y570">
        <f>HYPERLINK("https://klasma.github.io/Logging_2283/tillsynsmail/A 9819-2024 tillsynsbegäran mail.docx", "A 9819-2024")</f>
        <v/>
      </c>
    </row>
    <row r="571" ht="15" customHeight="1">
      <c r="A571" t="inlineStr">
        <is>
          <t>A 22114-2025</t>
        </is>
      </c>
      <c r="B571" s="1" t="n">
        <v>45785.51076388889</v>
      </c>
      <c r="C571" s="1" t="n">
        <v>46093</v>
      </c>
      <c r="D571" t="inlineStr">
        <is>
          <t>VÄSTERNORRLANDS LÄN</t>
        </is>
      </c>
      <c r="E571" t="inlineStr">
        <is>
          <t>SUNDSVALL</t>
        </is>
      </c>
      <c r="F571" t="inlineStr">
        <is>
          <t>SCA</t>
        </is>
      </c>
      <c r="G571" t="n">
        <v>2.3</v>
      </c>
      <c r="H571" t="n">
        <v>0</v>
      </c>
      <c r="I571" t="n">
        <v>2</v>
      </c>
      <c r="J571" t="n">
        <v>2</v>
      </c>
      <c r="K571" t="n">
        <v>0</v>
      </c>
      <c r="L571" t="n">
        <v>0</v>
      </c>
      <c r="M571" t="n">
        <v>0</v>
      </c>
      <c r="N571" t="n">
        <v>0</v>
      </c>
      <c r="O571" t="n">
        <v>2</v>
      </c>
      <c r="P571" t="n">
        <v>0</v>
      </c>
      <c r="Q571" t="n">
        <v>4</v>
      </c>
      <c r="R571" s="2" t="inlineStr">
        <is>
          <t>Kortskaftad ärgspik
Lunglav
Luddlav
Skinnlav</t>
        </is>
      </c>
      <c r="S571">
        <f>HYPERLINK("https://klasma.github.io/Logging_2281/artfynd/A 22114-2025 artfynd.xlsx", "A 22114-2025")</f>
        <v/>
      </c>
      <c r="T571">
        <f>HYPERLINK("https://klasma.github.io/Logging_2281/kartor/A 22114-2025 karta.png", "A 22114-2025")</f>
        <v/>
      </c>
      <c r="V571">
        <f>HYPERLINK("https://klasma.github.io/Logging_2281/klagomål/A 22114-2025 FSC-klagomål.docx", "A 22114-2025")</f>
        <v/>
      </c>
      <c r="W571">
        <f>HYPERLINK("https://klasma.github.io/Logging_2281/klagomålsmail/A 22114-2025 FSC-klagomål mail.docx", "A 22114-2025")</f>
        <v/>
      </c>
      <c r="X571">
        <f>HYPERLINK("https://klasma.github.io/Logging_2281/tillsyn/A 22114-2025 tillsynsbegäran.docx", "A 22114-2025")</f>
        <v/>
      </c>
      <c r="Y571">
        <f>HYPERLINK("https://klasma.github.io/Logging_2281/tillsynsmail/A 22114-2025 tillsynsbegäran mail.docx", "A 22114-2025")</f>
        <v/>
      </c>
    </row>
    <row r="572" ht="15" customHeight="1">
      <c r="A572" t="inlineStr">
        <is>
          <t>A 23296-2025</t>
        </is>
      </c>
      <c r="B572" s="1" t="n">
        <v>45791.59416666667</v>
      </c>
      <c r="C572" s="1" t="n">
        <v>46093</v>
      </c>
      <c r="D572" t="inlineStr">
        <is>
          <t>VÄSTERNORRLANDS LÄN</t>
        </is>
      </c>
      <c r="E572" t="inlineStr">
        <is>
          <t>TIMRÅ</t>
        </is>
      </c>
      <c r="F572" t="inlineStr">
        <is>
          <t>SCA</t>
        </is>
      </c>
      <c r="G572" t="n">
        <v>2.7</v>
      </c>
      <c r="H572" t="n">
        <v>1</v>
      </c>
      <c r="I572" t="n">
        <v>1</v>
      </c>
      <c r="J572" t="n">
        <v>3</v>
      </c>
      <c r="K572" t="n">
        <v>0</v>
      </c>
      <c r="L572" t="n">
        <v>0</v>
      </c>
      <c r="M572" t="n">
        <v>0</v>
      </c>
      <c r="N572" t="n">
        <v>0</v>
      </c>
      <c r="O572" t="n">
        <v>3</v>
      </c>
      <c r="P572" t="n">
        <v>0</v>
      </c>
      <c r="Q572" t="n">
        <v>4</v>
      </c>
      <c r="R572" s="2" t="inlineStr">
        <is>
          <t>Garnlav
Gränsticka
Järpe
Norrlandslav</t>
        </is>
      </c>
      <c r="S572">
        <f>HYPERLINK("https://klasma.github.io/Logging_2262/artfynd/A 23296-2025 artfynd.xlsx", "A 23296-2025")</f>
        <v/>
      </c>
      <c r="T572">
        <f>HYPERLINK("https://klasma.github.io/Logging_2262/kartor/A 23296-2025 karta.png", "A 23296-2025")</f>
        <v/>
      </c>
      <c r="V572">
        <f>HYPERLINK("https://klasma.github.io/Logging_2262/klagomål/A 23296-2025 FSC-klagomål.docx", "A 23296-2025")</f>
        <v/>
      </c>
      <c r="W572">
        <f>HYPERLINK("https://klasma.github.io/Logging_2262/klagomålsmail/A 23296-2025 FSC-klagomål mail.docx", "A 23296-2025")</f>
        <v/>
      </c>
      <c r="X572">
        <f>HYPERLINK("https://klasma.github.io/Logging_2262/tillsyn/A 23296-2025 tillsynsbegäran.docx", "A 23296-2025")</f>
        <v/>
      </c>
      <c r="Y572">
        <f>HYPERLINK("https://klasma.github.io/Logging_2262/tillsynsmail/A 23296-2025 tillsynsbegäran mail.docx", "A 23296-2025")</f>
        <v/>
      </c>
      <c r="Z572">
        <f>HYPERLINK("https://klasma.github.io/Logging_2262/fåglar/A 23296-2025 prioriterade fågelarter.docx", "A 23296-2025")</f>
        <v/>
      </c>
    </row>
    <row r="573" ht="15" customHeight="1">
      <c r="A573" t="inlineStr">
        <is>
          <t>A 25500-2025</t>
        </is>
      </c>
      <c r="B573" s="1" t="n">
        <v>45803</v>
      </c>
      <c r="C573" s="1" t="n">
        <v>46093</v>
      </c>
      <c r="D573" t="inlineStr">
        <is>
          <t>VÄSTERNORRLANDS LÄN</t>
        </is>
      </c>
      <c r="E573" t="inlineStr">
        <is>
          <t>SUNDSVALL</t>
        </is>
      </c>
      <c r="F573" t="inlineStr">
        <is>
          <t>SCA</t>
        </is>
      </c>
      <c r="G573" t="n">
        <v>1.6</v>
      </c>
      <c r="H573" t="n">
        <v>1</v>
      </c>
      <c r="I573" t="n">
        <v>1</v>
      </c>
      <c r="J573" t="n">
        <v>3</v>
      </c>
      <c r="K573" t="n">
        <v>0</v>
      </c>
      <c r="L573" t="n">
        <v>0</v>
      </c>
      <c r="M573" t="n">
        <v>0</v>
      </c>
      <c r="N573" t="n">
        <v>0</v>
      </c>
      <c r="O573" t="n">
        <v>3</v>
      </c>
      <c r="P573" t="n">
        <v>0</v>
      </c>
      <c r="Q573" t="n">
        <v>4</v>
      </c>
      <c r="R573" s="2" t="inlineStr">
        <is>
          <t>Garnlav
Lunglav
Tretåig hackspett
Skinnlav</t>
        </is>
      </c>
      <c r="S573">
        <f>HYPERLINK("https://klasma.github.io/Logging_2281/artfynd/A 25500-2025 artfynd.xlsx", "A 25500-2025")</f>
        <v/>
      </c>
      <c r="T573">
        <f>HYPERLINK("https://klasma.github.io/Logging_2281/kartor/A 25500-2025 karta.png", "A 25500-2025")</f>
        <v/>
      </c>
      <c r="V573">
        <f>HYPERLINK("https://klasma.github.io/Logging_2281/klagomål/A 25500-2025 FSC-klagomål.docx", "A 25500-2025")</f>
        <v/>
      </c>
      <c r="W573">
        <f>HYPERLINK("https://klasma.github.io/Logging_2281/klagomålsmail/A 25500-2025 FSC-klagomål mail.docx", "A 25500-2025")</f>
        <v/>
      </c>
      <c r="X573">
        <f>HYPERLINK("https://klasma.github.io/Logging_2281/tillsyn/A 25500-2025 tillsynsbegäran.docx", "A 25500-2025")</f>
        <v/>
      </c>
      <c r="Y573">
        <f>HYPERLINK("https://klasma.github.io/Logging_2281/tillsynsmail/A 25500-2025 tillsynsbegäran mail.docx", "A 25500-2025")</f>
        <v/>
      </c>
      <c r="Z573">
        <f>HYPERLINK("https://klasma.github.io/Logging_2281/fåglar/A 25500-2025 prioriterade fågelarter.docx", "A 25500-2025")</f>
        <v/>
      </c>
    </row>
    <row r="574" ht="15" customHeight="1">
      <c r="A574" t="inlineStr">
        <is>
          <t>A 24016-2025</t>
        </is>
      </c>
      <c r="B574" s="1" t="n">
        <v>45796.44878472222</v>
      </c>
      <c r="C574" s="1" t="n">
        <v>46093</v>
      </c>
      <c r="D574" t="inlineStr">
        <is>
          <t>VÄSTERNORRLANDS LÄN</t>
        </is>
      </c>
      <c r="E574" t="inlineStr">
        <is>
          <t>SUNDSVALL</t>
        </is>
      </c>
      <c r="F574" t="inlineStr">
        <is>
          <t>Naturvårdsverket</t>
        </is>
      </c>
      <c r="G574" t="n">
        <v>4.1</v>
      </c>
      <c r="H574" t="n">
        <v>0</v>
      </c>
      <c r="I574" t="n">
        <v>0</v>
      </c>
      <c r="J574" t="n">
        <v>4</v>
      </c>
      <c r="K574" t="n">
        <v>0</v>
      </c>
      <c r="L574" t="n">
        <v>0</v>
      </c>
      <c r="M574" t="n">
        <v>0</v>
      </c>
      <c r="N574" t="n">
        <v>0</v>
      </c>
      <c r="O574" t="n">
        <v>4</v>
      </c>
      <c r="P574" t="n">
        <v>0</v>
      </c>
      <c r="Q574" t="n">
        <v>4</v>
      </c>
      <c r="R574" s="2" t="inlineStr">
        <is>
          <t>Garnlav
Kolflarnlav
Vedflamlav
Vedskivlav</t>
        </is>
      </c>
      <c r="S574">
        <f>HYPERLINK("https://klasma.github.io/Logging_2281/artfynd/A 24016-2025 artfynd.xlsx", "A 24016-2025")</f>
        <v/>
      </c>
      <c r="T574">
        <f>HYPERLINK("https://klasma.github.io/Logging_2281/kartor/A 24016-2025 karta.png", "A 24016-2025")</f>
        <v/>
      </c>
      <c r="V574">
        <f>HYPERLINK("https://klasma.github.io/Logging_2281/klagomål/A 24016-2025 FSC-klagomål.docx", "A 24016-2025")</f>
        <v/>
      </c>
      <c r="W574">
        <f>HYPERLINK("https://klasma.github.io/Logging_2281/klagomålsmail/A 24016-2025 FSC-klagomål mail.docx", "A 24016-2025")</f>
        <v/>
      </c>
      <c r="X574">
        <f>HYPERLINK("https://klasma.github.io/Logging_2281/tillsyn/A 24016-2025 tillsynsbegäran.docx", "A 24016-2025")</f>
        <v/>
      </c>
      <c r="Y574">
        <f>HYPERLINK("https://klasma.github.io/Logging_2281/tillsynsmail/A 24016-2025 tillsynsbegäran mail.docx", "A 24016-2025")</f>
        <v/>
      </c>
    </row>
    <row r="575" ht="15" customHeight="1">
      <c r="A575" t="inlineStr">
        <is>
          <t>A 25117-2025</t>
        </is>
      </c>
      <c r="B575" s="1" t="n">
        <v>45800.365</v>
      </c>
      <c r="C575" s="1" t="n">
        <v>46093</v>
      </c>
      <c r="D575" t="inlineStr">
        <is>
          <t>VÄSTERNORRLANDS LÄN</t>
        </is>
      </c>
      <c r="E575" t="inlineStr">
        <is>
          <t>SUNDSVALL</t>
        </is>
      </c>
      <c r="F575" t="inlineStr">
        <is>
          <t>SCA</t>
        </is>
      </c>
      <c r="G575" t="n">
        <v>2</v>
      </c>
      <c r="H575" t="n">
        <v>1</v>
      </c>
      <c r="I575" t="n">
        <v>1</v>
      </c>
      <c r="J575" t="n">
        <v>3</v>
      </c>
      <c r="K575" t="n">
        <v>0</v>
      </c>
      <c r="L575" t="n">
        <v>0</v>
      </c>
      <c r="M575" t="n">
        <v>0</v>
      </c>
      <c r="N575" t="n">
        <v>0</v>
      </c>
      <c r="O575" t="n">
        <v>3</v>
      </c>
      <c r="P575" t="n">
        <v>0</v>
      </c>
      <c r="Q575" t="n">
        <v>4</v>
      </c>
      <c r="R575" s="2" t="inlineStr">
        <is>
          <t>Garnlav
Kolflarnlav
Spillkråka
Björksplintborre</t>
        </is>
      </c>
      <c r="S575">
        <f>HYPERLINK("https://klasma.github.io/Logging_2281/artfynd/A 25117-2025 artfynd.xlsx", "A 25117-2025")</f>
        <v/>
      </c>
      <c r="T575">
        <f>HYPERLINK("https://klasma.github.io/Logging_2281/kartor/A 25117-2025 karta.png", "A 25117-2025")</f>
        <v/>
      </c>
      <c r="V575">
        <f>HYPERLINK("https://klasma.github.io/Logging_2281/klagomål/A 25117-2025 FSC-klagomål.docx", "A 25117-2025")</f>
        <v/>
      </c>
      <c r="W575">
        <f>HYPERLINK("https://klasma.github.io/Logging_2281/klagomålsmail/A 25117-2025 FSC-klagomål mail.docx", "A 25117-2025")</f>
        <v/>
      </c>
      <c r="X575">
        <f>HYPERLINK("https://klasma.github.io/Logging_2281/tillsyn/A 25117-2025 tillsynsbegäran.docx", "A 25117-2025")</f>
        <v/>
      </c>
      <c r="Y575">
        <f>HYPERLINK("https://klasma.github.io/Logging_2281/tillsynsmail/A 25117-2025 tillsynsbegäran mail.docx", "A 25117-2025")</f>
        <v/>
      </c>
      <c r="Z575">
        <f>HYPERLINK("https://klasma.github.io/Logging_2281/fåglar/A 25117-2025 prioriterade fågelarter.docx", "A 25117-2025")</f>
        <v/>
      </c>
    </row>
    <row r="576" ht="15" customHeight="1">
      <c r="A576" t="inlineStr">
        <is>
          <t>A 58155-2025</t>
        </is>
      </c>
      <c r="B576" s="1" t="n">
        <v>45982</v>
      </c>
      <c r="C576" s="1" t="n">
        <v>46093</v>
      </c>
      <c r="D576" t="inlineStr">
        <is>
          <t>VÄSTERNORRLANDS LÄN</t>
        </is>
      </c>
      <c r="E576" t="inlineStr">
        <is>
          <t>SOLLEFTEÅ</t>
        </is>
      </c>
      <c r="G576" t="n">
        <v>16.1</v>
      </c>
      <c r="H576" t="n">
        <v>1</v>
      </c>
      <c r="I576" t="n">
        <v>1</v>
      </c>
      <c r="J576" t="n">
        <v>3</v>
      </c>
      <c r="K576" t="n">
        <v>0</v>
      </c>
      <c r="L576" t="n">
        <v>0</v>
      </c>
      <c r="M576" t="n">
        <v>0</v>
      </c>
      <c r="N576" t="n">
        <v>0</v>
      </c>
      <c r="O576" t="n">
        <v>3</v>
      </c>
      <c r="P576" t="n">
        <v>0</v>
      </c>
      <c r="Q576" t="n">
        <v>4</v>
      </c>
      <c r="R576" s="2" t="inlineStr">
        <is>
          <t>Garnlav
Järpe
Ullticka
Dropptaggsvamp</t>
        </is>
      </c>
      <c r="S576">
        <f>HYPERLINK("https://klasma.github.io/Logging_2283/artfynd/A 58155-2025 artfynd.xlsx", "A 58155-2025")</f>
        <v/>
      </c>
      <c r="T576">
        <f>HYPERLINK("https://klasma.github.io/Logging_2283/kartor/A 58155-2025 karta.png", "A 58155-2025")</f>
        <v/>
      </c>
      <c r="V576">
        <f>HYPERLINK("https://klasma.github.io/Logging_2283/klagomål/A 58155-2025 FSC-klagomål.docx", "A 58155-2025")</f>
        <v/>
      </c>
      <c r="W576">
        <f>HYPERLINK("https://klasma.github.io/Logging_2283/klagomålsmail/A 58155-2025 FSC-klagomål mail.docx", "A 58155-2025")</f>
        <v/>
      </c>
      <c r="X576">
        <f>HYPERLINK("https://klasma.github.io/Logging_2283/tillsyn/A 58155-2025 tillsynsbegäran.docx", "A 58155-2025")</f>
        <v/>
      </c>
      <c r="Y576">
        <f>HYPERLINK("https://klasma.github.io/Logging_2283/tillsynsmail/A 58155-2025 tillsynsbegäran mail.docx", "A 58155-2025")</f>
        <v/>
      </c>
      <c r="Z576">
        <f>HYPERLINK("https://klasma.github.io/Logging_2283/fåglar/A 58155-2025 prioriterade fågelarter.docx", "A 58155-2025")</f>
        <v/>
      </c>
    </row>
    <row r="577" ht="15" customHeight="1">
      <c r="A577" t="inlineStr">
        <is>
          <t>A 25707-2025</t>
        </is>
      </c>
      <c r="B577" s="1" t="n">
        <v>45803.67806712963</v>
      </c>
      <c r="C577" s="1" t="n">
        <v>46093</v>
      </c>
      <c r="D577" t="inlineStr">
        <is>
          <t>VÄSTERNORRLANDS LÄN</t>
        </is>
      </c>
      <c r="E577" t="inlineStr">
        <is>
          <t>SOLLEFTEÅ</t>
        </is>
      </c>
      <c r="F577" t="inlineStr">
        <is>
          <t>SCA</t>
        </is>
      </c>
      <c r="G577" t="n">
        <v>2.6</v>
      </c>
      <c r="H577" t="n">
        <v>2</v>
      </c>
      <c r="I577" t="n">
        <v>1</v>
      </c>
      <c r="J577" t="n">
        <v>2</v>
      </c>
      <c r="K577" t="n">
        <v>0</v>
      </c>
      <c r="L577" t="n">
        <v>0</v>
      </c>
      <c r="M577" t="n">
        <v>0</v>
      </c>
      <c r="N577" t="n">
        <v>0</v>
      </c>
      <c r="O577" t="n">
        <v>2</v>
      </c>
      <c r="P577" t="n">
        <v>0</v>
      </c>
      <c r="Q577" t="n">
        <v>4</v>
      </c>
      <c r="R577" s="2" t="inlineStr">
        <is>
          <t>Kolflarnlav
Talltita
Norrlandslav
Lopplummer (aggregat)</t>
        </is>
      </c>
      <c r="S577">
        <f>HYPERLINK("https://klasma.github.io/Logging_2283/artfynd/A 25707-2025 artfynd.xlsx", "A 25707-2025")</f>
        <v/>
      </c>
      <c r="T577">
        <f>HYPERLINK("https://klasma.github.io/Logging_2283/kartor/A 25707-2025 karta.png", "A 25707-2025")</f>
        <v/>
      </c>
      <c r="V577">
        <f>HYPERLINK("https://klasma.github.io/Logging_2283/klagomål/A 25707-2025 FSC-klagomål.docx", "A 25707-2025")</f>
        <v/>
      </c>
      <c r="W577">
        <f>HYPERLINK("https://klasma.github.io/Logging_2283/klagomålsmail/A 25707-2025 FSC-klagomål mail.docx", "A 25707-2025")</f>
        <v/>
      </c>
      <c r="X577">
        <f>HYPERLINK("https://klasma.github.io/Logging_2283/tillsyn/A 25707-2025 tillsynsbegäran.docx", "A 25707-2025")</f>
        <v/>
      </c>
      <c r="Y577">
        <f>HYPERLINK("https://klasma.github.io/Logging_2283/tillsynsmail/A 25707-2025 tillsynsbegäran mail.docx", "A 25707-2025")</f>
        <v/>
      </c>
      <c r="Z577">
        <f>HYPERLINK("https://klasma.github.io/Logging_2283/fåglar/A 25707-2025 prioriterade fågelarter.docx", "A 25707-2025")</f>
        <v/>
      </c>
    </row>
    <row r="578" ht="15" customHeight="1">
      <c r="A578" t="inlineStr">
        <is>
          <t>A 9741-2026</t>
        </is>
      </c>
      <c r="B578" s="1" t="n">
        <v>46072</v>
      </c>
      <c r="C578" s="1" t="n">
        <v>46093</v>
      </c>
      <c r="D578" t="inlineStr">
        <is>
          <t>VÄSTERNORRLANDS LÄN</t>
        </is>
      </c>
      <c r="E578" t="inlineStr">
        <is>
          <t>SOLLEFTEÅ</t>
        </is>
      </c>
      <c r="G578" t="n">
        <v>4.6</v>
      </c>
      <c r="H578" t="n">
        <v>0</v>
      </c>
      <c r="I578" t="n">
        <v>3</v>
      </c>
      <c r="J578" t="n">
        <v>1</v>
      </c>
      <c r="K578" t="n">
        <v>0</v>
      </c>
      <c r="L578" t="n">
        <v>0</v>
      </c>
      <c r="M578" t="n">
        <v>0</v>
      </c>
      <c r="N578" t="n">
        <v>0</v>
      </c>
      <c r="O578" t="n">
        <v>1</v>
      </c>
      <c r="P578" t="n">
        <v>0</v>
      </c>
      <c r="Q578" t="n">
        <v>4</v>
      </c>
      <c r="R578" s="2" t="inlineStr">
        <is>
          <t>Lunglav
Bårdlav
Dvärgtufs
Skinnlav</t>
        </is>
      </c>
      <c r="S578">
        <f>HYPERLINK("https://klasma.github.io/Logging_2283/artfynd/A 9741-2026 artfynd.xlsx", "A 9741-2026")</f>
        <v/>
      </c>
      <c r="T578">
        <f>HYPERLINK("https://klasma.github.io/Logging_2283/kartor/A 9741-2026 karta.png", "A 9741-2026")</f>
        <v/>
      </c>
      <c r="V578">
        <f>HYPERLINK("https://klasma.github.io/Logging_2283/klagomål/A 9741-2026 FSC-klagomål.docx", "A 9741-2026")</f>
        <v/>
      </c>
      <c r="W578">
        <f>HYPERLINK("https://klasma.github.io/Logging_2283/klagomålsmail/A 9741-2026 FSC-klagomål mail.docx", "A 9741-2026")</f>
        <v/>
      </c>
      <c r="X578">
        <f>HYPERLINK("https://klasma.github.io/Logging_2283/tillsyn/A 9741-2026 tillsynsbegäran.docx", "A 9741-2026")</f>
        <v/>
      </c>
      <c r="Y578">
        <f>HYPERLINK("https://klasma.github.io/Logging_2283/tillsynsmail/A 9741-2026 tillsynsbegäran mail.docx", "A 9741-2026")</f>
        <v/>
      </c>
    </row>
    <row r="579" ht="15" customHeight="1">
      <c r="A579" t="inlineStr">
        <is>
          <t>A 25940-2025</t>
        </is>
      </c>
      <c r="B579" s="1" t="n">
        <v>45804.59443287037</v>
      </c>
      <c r="C579" s="1" t="n">
        <v>46093</v>
      </c>
      <c r="D579" t="inlineStr">
        <is>
          <t>VÄSTERNORRLANDS LÄN</t>
        </is>
      </c>
      <c r="E579" t="inlineStr">
        <is>
          <t>TIMRÅ</t>
        </is>
      </c>
      <c r="F579" t="inlineStr">
        <is>
          <t>SCA</t>
        </is>
      </c>
      <c r="G579" t="n">
        <v>6.3</v>
      </c>
      <c r="H579" t="n">
        <v>0</v>
      </c>
      <c r="I579" t="n">
        <v>0</v>
      </c>
      <c r="J579" t="n">
        <v>3</v>
      </c>
      <c r="K579" t="n">
        <v>1</v>
      </c>
      <c r="L579" t="n">
        <v>0</v>
      </c>
      <c r="M579" t="n">
        <v>0</v>
      </c>
      <c r="N579" t="n">
        <v>0</v>
      </c>
      <c r="O579" t="n">
        <v>4</v>
      </c>
      <c r="P579" t="n">
        <v>1</v>
      </c>
      <c r="Q579" t="n">
        <v>4</v>
      </c>
      <c r="R579" s="2" t="inlineStr">
        <is>
          <t>Rynkskinn
Garnlav
Rosenticka
Ullticka</t>
        </is>
      </c>
      <c r="S579">
        <f>HYPERLINK("https://klasma.github.io/Logging_2262/artfynd/A 25940-2025 artfynd.xlsx", "A 25940-2025")</f>
        <v/>
      </c>
      <c r="T579">
        <f>HYPERLINK("https://klasma.github.io/Logging_2262/kartor/A 25940-2025 karta.png", "A 25940-2025")</f>
        <v/>
      </c>
      <c r="V579">
        <f>HYPERLINK("https://klasma.github.io/Logging_2262/klagomål/A 25940-2025 FSC-klagomål.docx", "A 25940-2025")</f>
        <v/>
      </c>
      <c r="W579">
        <f>HYPERLINK("https://klasma.github.io/Logging_2262/klagomålsmail/A 25940-2025 FSC-klagomål mail.docx", "A 25940-2025")</f>
        <v/>
      </c>
      <c r="X579">
        <f>HYPERLINK("https://klasma.github.io/Logging_2262/tillsyn/A 25940-2025 tillsynsbegäran.docx", "A 25940-2025")</f>
        <v/>
      </c>
      <c r="Y579">
        <f>HYPERLINK("https://klasma.github.io/Logging_2262/tillsynsmail/A 25940-2025 tillsynsbegäran mail.docx", "A 25940-2025")</f>
        <v/>
      </c>
    </row>
    <row r="580" ht="15" customHeight="1">
      <c r="A580" t="inlineStr">
        <is>
          <t>A 26810-2025</t>
        </is>
      </c>
      <c r="B580" s="1" t="n">
        <v>45810.61936342593</v>
      </c>
      <c r="C580" s="1" t="n">
        <v>46093</v>
      </c>
      <c r="D580" t="inlineStr">
        <is>
          <t>VÄSTERNORRLANDS LÄN</t>
        </is>
      </c>
      <c r="E580" t="inlineStr">
        <is>
          <t>ÖRNSKÖLDSVIK</t>
        </is>
      </c>
      <c r="F580" t="inlineStr">
        <is>
          <t>Holmen skog AB</t>
        </is>
      </c>
      <c r="G580" t="n">
        <v>4.7</v>
      </c>
      <c r="H580" t="n">
        <v>1</v>
      </c>
      <c r="I580" t="n">
        <v>1</v>
      </c>
      <c r="J580" t="n">
        <v>3</v>
      </c>
      <c r="K580" t="n">
        <v>0</v>
      </c>
      <c r="L580" t="n">
        <v>0</v>
      </c>
      <c r="M580" t="n">
        <v>0</v>
      </c>
      <c r="N580" t="n">
        <v>0</v>
      </c>
      <c r="O580" t="n">
        <v>3</v>
      </c>
      <c r="P580" t="n">
        <v>0</v>
      </c>
      <c r="Q580" t="n">
        <v>4</v>
      </c>
      <c r="R580" s="2" t="inlineStr">
        <is>
          <t>Garnlav
Granticka
Spillkråka
Stuplav</t>
        </is>
      </c>
      <c r="S580">
        <f>HYPERLINK("https://klasma.github.io/Logging_2284/artfynd/A 26810-2025 artfynd.xlsx", "A 26810-2025")</f>
        <v/>
      </c>
      <c r="T580">
        <f>HYPERLINK("https://klasma.github.io/Logging_2284/kartor/A 26810-2025 karta.png", "A 26810-2025")</f>
        <v/>
      </c>
      <c r="V580">
        <f>HYPERLINK("https://klasma.github.io/Logging_2284/klagomål/A 26810-2025 FSC-klagomål.docx", "A 26810-2025")</f>
        <v/>
      </c>
      <c r="W580">
        <f>HYPERLINK("https://klasma.github.io/Logging_2284/klagomålsmail/A 26810-2025 FSC-klagomål mail.docx", "A 26810-2025")</f>
        <v/>
      </c>
      <c r="X580">
        <f>HYPERLINK("https://klasma.github.io/Logging_2284/tillsyn/A 26810-2025 tillsynsbegäran.docx", "A 26810-2025")</f>
        <v/>
      </c>
      <c r="Y580">
        <f>HYPERLINK("https://klasma.github.io/Logging_2284/tillsynsmail/A 26810-2025 tillsynsbegäran mail.docx", "A 26810-2025")</f>
        <v/>
      </c>
      <c r="Z580">
        <f>HYPERLINK("https://klasma.github.io/Logging_2284/fåglar/A 26810-2025 prioriterade fågelarter.docx", "A 26810-2025")</f>
        <v/>
      </c>
    </row>
    <row r="581" ht="15" customHeight="1">
      <c r="A581" t="inlineStr">
        <is>
          <t>A 29561-2025</t>
        </is>
      </c>
      <c r="B581" s="1" t="n">
        <v>45825.36510416667</v>
      </c>
      <c r="C581" s="1" t="n">
        <v>46093</v>
      </c>
      <c r="D581" t="inlineStr">
        <is>
          <t>VÄSTERNORRLANDS LÄN</t>
        </is>
      </c>
      <c r="E581" t="inlineStr">
        <is>
          <t>SOLLEFTEÅ</t>
        </is>
      </c>
      <c r="F581" t="inlineStr">
        <is>
          <t>SCA</t>
        </is>
      </c>
      <c r="G581" t="n">
        <v>11.9</v>
      </c>
      <c r="H581" t="n">
        <v>0</v>
      </c>
      <c r="I581" t="n">
        <v>1</v>
      </c>
      <c r="J581" t="n">
        <v>3</v>
      </c>
      <c r="K581" t="n">
        <v>0</v>
      </c>
      <c r="L581" t="n">
        <v>0</v>
      </c>
      <c r="M581" t="n">
        <v>0</v>
      </c>
      <c r="N581" t="n">
        <v>0</v>
      </c>
      <c r="O581" t="n">
        <v>3</v>
      </c>
      <c r="P581" t="n">
        <v>0</v>
      </c>
      <c r="Q581" t="n">
        <v>4</v>
      </c>
      <c r="R581" s="2" t="inlineStr">
        <is>
          <t>Garnlav
Kolflarnlav
Vedskivlav
Stuplav</t>
        </is>
      </c>
      <c r="S581">
        <f>HYPERLINK("https://klasma.github.io/Logging_2283/artfynd/A 29561-2025 artfynd.xlsx", "A 29561-2025")</f>
        <v/>
      </c>
      <c r="T581">
        <f>HYPERLINK("https://klasma.github.io/Logging_2283/kartor/A 29561-2025 karta.png", "A 29561-2025")</f>
        <v/>
      </c>
      <c r="V581">
        <f>HYPERLINK("https://klasma.github.io/Logging_2283/klagomål/A 29561-2025 FSC-klagomål.docx", "A 29561-2025")</f>
        <v/>
      </c>
      <c r="W581">
        <f>HYPERLINK("https://klasma.github.io/Logging_2283/klagomålsmail/A 29561-2025 FSC-klagomål mail.docx", "A 29561-2025")</f>
        <v/>
      </c>
      <c r="X581">
        <f>HYPERLINK("https://klasma.github.io/Logging_2283/tillsyn/A 29561-2025 tillsynsbegäran.docx", "A 29561-2025")</f>
        <v/>
      </c>
      <c r="Y581">
        <f>HYPERLINK("https://klasma.github.io/Logging_2283/tillsynsmail/A 29561-2025 tillsynsbegäran mail.docx", "A 29561-2025")</f>
        <v/>
      </c>
    </row>
    <row r="582" ht="15" customHeight="1">
      <c r="A582" t="inlineStr">
        <is>
          <t>A 58121-2021</t>
        </is>
      </c>
      <c r="B582" s="1" t="n">
        <v>44487</v>
      </c>
      <c r="C582" s="1" t="n">
        <v>46093</v>
      </c>
      <c r="D582" t="inlineStr">
        <is>
          <t>VÄSTERNORRLANDS LÄN</t>
        </is>
      </c>
      <c r="E582" t="inlineStr">
        <is>
          <t>ÖRNSKÖLDSVIK</t>
        </is>
      </c>
      <c r="G582" t="n">
        <v>13.8</v>
      </c>
      <c r="H582" t="n">
        <v>0</v>
      </c>
      <c r="I582" t="n">
        <v>3</v>
      </c>
      <c r="J582" t="n">
        <v>1</v>
      </c>
      <c r="K582" t="n">
        <v>0</v>
      </c>
      <c r="L582" t="n">
        <v>0</v>
      </c>
      <c r="M582" t="n">
        <v>0</v>
      </c>
      <c r="N582" t="n">
        <v>0</v>
      </c>
      <c r="O582" t="n">
        <v>1</v>
      </c>
      <c r="P582" t="n">
        <v>0</v>
      </c>
      <c r="Q582" t="n">
        <v>4</v>
      </c>
      <c r="R582" s="2" t="inlineStr">
        <is>
          <t>Granticka
Bronshjon
Svart trolldruva
Thomsons trägnagare</t>
        </is>
      </c>
      <c r="S582">
        <f>HYPERLINK("https://klasma.github.io/Logging_2284/artfynd/A 58121-2021 artfynd.xlsx", "A 58121-2021")</f>
        <v/>
      </c>
      <c r="T582">
        <f>HYPERLINK("https://klasma.github.io/Logging_2284/kartor/A 58121-2021 karta.png", "A 58121-2021")</f>
        <v/>
      </c>
      <c r="V582">
        <f>HYPERLINK("https://klasma.github.io/Logging_2284/klagomål/A 58121-2021 FSC-klagomål.docx", "A 58121-2021")</f>
        <v/>
      </c>
      <c r="W582">
        <f>HYPERLINK("https://klasma.github.io/Logging_2284/klagomålsmail/A 58121-2021 FSC-klagomål mail.docx", "A 58121-2021")</f>
        <v/>
      </c>
      <c r="X582">
        <f>HYPERLINK("https://klasma.github.io/Logging_2284/tillsyn/A 58121-2021 tillsynsbegäran.docx", "A 58121-2021")</f>
        <v/>
      </c>
      <c r="Y582">
        <f>HYPERLINK("https://klasma.github.io/Logging_2284/tillsynsmail/A 58121-2021 tillsynsbegäran mail.docx", "A 58121-2021")</f>
        <v/>
      </c>
    </row>
    <row r="583" ht="15" customHeight="1">
      <c r="A583" t="inlineStr">
        <is>
          <t>A 49380-2021</t>
        </is>
      </c>
      <c r="B583" s="1" t="n">
        <v>44454</v>
      </c>
      <c r="C583" s="1" t="n">
        <v>46093</v>
      </c>
      <c r="D583" t="inlineStr">
        <is>
          <t>VÄSTERNORRLANDS LÄN</t>
        </is>
      </c>
      <c r="E583" t="inlineStr">
        <is>
          <t>SUNDSVALL</t>
        </is>
      </c>
      <c r="F583" t="inlineStr">
        <is>
          <t>Kommuner</t>
        </is>
      </c>
      <c r="G583" t="n">
        <v>4.5</v>
      </c>
      <c r="H583" t="n">
        <v>2</v>
      </c>
      <c r="I583" t="n">
        <v>1</v>
      </c>
      <c r="J583" t="n">
        <v>0</v>
      </c>
      <c r="K583" t="n">
        <v>0</v>
      </c>
      <c r="L583" t="n">
        <v>0</v>
      </c>
      <c r="M583" t="n">
        <v>0</v>
      </c>
      <c r="N583" t="n">
        <v>0</v>
      </c>
      <c r="O583" t="n">
        <v>0</v>
      </c>
      <c r="P583" t="n">
        <v>0</v>
      </c>
      <c r="Q583" t="n">
        <v>3</v>
      </c>
      <c r="R583" s="2" t="inlineStr">
        <is>
          <t>Tibast
Kungsfågel
Blåsippa</t>
        </is>
      </c>
      <c r="S583">
        <f>HYPERLINK("https://klasma.github.io/Logging_2281/artfynd/A 49380-2021 artfynd.xlsx", "A 49380-2021")</f>
        <v/>
      </c>
      <c r="T583">
        <f>HYPERLINK("https://klasma.github.io/Logging_2281/kartor/A 49380-2021 karta.png", "A 49380-2021")</f>
        <v/>
      </c>
      <c r="V583">
        <f>HYPERLINK("https://klasma.github.io/Logging_2281/klagomål/A 49380-2021 FSC-klagomål.docx", "A 49380-2021")</f>
        <v/>
      </c>
      <c r="W583">
        <f>HYPERLINK("https://klasma.github.io/Logging_2281/klagomålsmail/A 49380-2021 FSC-klagomål mail.docx", "A 49380-2021")</f>
        <v/>
      </c>
      <c r="X583">
        <f>HYPERLINK("https://klasma.github.io/Logging_2281/tillsyn/A 49380-2021 tillsynsbegäran.docx", "A 49380-2021")</f>
        <v/>
      </c>
      <c r="Y583">
        <f>HYPERLINK("https://klasma.github.io/Logging_2281/tillsynsmail/A 49380-2021 tillsynsbegäran mail.docx", "A 49380-2021")</f>
        <v/>
      </c>
      <c r="Z583">
        <f>HYPERLINK("https://klasma.github.io/Logging_2281/fåglar/A 49380-2021 prioriterade fågelarter.docx", "A 49380-2021")</f>
        <v/>
      </c>
    </row>
    <row r="584" ht="15" customHeight="1">
      <c r="A584" t="inlineStr">
        <is>
          <t>A 26694-2021</t>
        </is>
      </c>
      <c r="B584" s="1" t="n">
        <v>44349</v>
      </c>
      <c r="C584" s="1" t="n">
        <v>46093</v>
      </c>
      <c r="D584" t="inlineStr">
        <is>
          <t>VÄSTERNORRLANDS LÄN</t>
        </is>
      </c>
      <c r="E584" t="inlineStr">
        <is>
          <t>ÖRNSKÖLDSVIK</t>
        </is>
      </c>
      <c r="F584" t="inlineStr">
        <is>
          <t>Holmen skog AB</t>
        </is>
      </c>
      <c r="G584" t="n">
        <v>5.5</v>
      </c>
      <c r="H584" t="n">
        <v>1</v>
      </c>
      <c r="I584" t="n">
        <v>0</v>
      </c>
      <c r="J584" t="n">
        <v>2</v>
      </c>
      <c r="K584" t="n">
        <v>0</v>
      </c>
      <c r="L584" t="n">
        <v>0</v>
      </c>
      <c r="M584" t="n">
        <v>0</v>
      </c>
      <c r="N584" t="n">
        <v>0</v>
      </c>
      <c r="O584" t="n">
        <v>2</v>
      </c>
      <c r="P584" t="n">
        <v>0</v>
      </c>
      <c r="Q584" t="n">
        <v>3</v>
      </c>
      <c r="R584" s="2" t="inlineStr">
        <is>
          <t>Harticka
Ullticka
Blåsippa</t>
        </is>
      </c>
      <c r="S584">
        <f>HYPERLINK("https://klasma.github.io/Logging_2284/artfynd/A 26694-2021 artfynd.xlsx", "A 26694-2021")</f>
        <v/>
      </c>
      <c r="T584">
        <f>HYPERLINK("https://klasma.github.io/Logging_2284/kartor/A 26694-2021 karta.png", "A 26694-2021")</f>
        <v/>
      </c>
      <c r="V584">
        <f>HYPERLINK("https://klasma.github.io/Logging_2284/klagomål/A 26694-2021 FSC-klagomål.docx", "A 26694-2021")</f>
        <v/>
      </c>
      <c r="W584">
        <f>HYPERLINK("https://klasma.github.io/Logging_2284/klagomålsmail/A 26694-2021 FSC-klagomål mail.docx", "A 26694-2021")</f>
        <v/>
      </c>
      <c r="X584">
        <f>HYPERLINK("https://klasma.github.io/Logging_2284/tillsyn/A 26694-2021 tillsynsbegäran.docx", "A 26694-2021")</f>
        <v/>
      </c>
      <c r="Y584">
        <f>HYPERLINK("https://klasma.github.io/Logging_2284/tillsynsmail/A 26694-2021 tillsynsbegäran mail.docx", "A 26694-2021")</f>
        <v/>
      </c>
    </row>
    <row r="585" ht="15" customHeight="1">
      <c r="A585" t="inlineStr">
        <is>
          <t>A 27956-2021</t>
        </is>
      </c>
      <c r="B585" s="1" t="n">
        <v>44354</v>
      </c>
      <c r="C585" s="1" t="n">
        <v>46093</v>
      </c>
      <c r="D585" t="inlineStr">
        <is>
          <t>VÄSTERNORRLANDS LÄN</t>
        </is>
      </c>
      <c r="E585" t="inlineStr">
        <is>
          <t>ÅNGE</t>
        </is>
      </c>
      <c r="G585" t="n">
        <v>1.4</v>
      </c>
      <c r="H585" t="n">
        <v>0</v>
      </c>
      <c r="I585" t="n">
        <v>0</v>
      </c>
      <c r="J585" t="n">
        <v>3</v>
      </c>
      <c r="K585" t="n">
        <v>0</v>
      </c>
      <c r="L585" t="n">
        <v>0</v>
      </c>
      <c r="M585" t="n">
        <v>0</v>
      </c>
      <c r="N585" t="n">
        <v>0</v>
      </c>
      <c r="O585" t="n">
        <v>3</v>
      </c>
      <c r="P585" t="n">
        <v>0</v>
      </c>
      <c r="Q585" t="n">
        <v>3</v>
      </c>
      <c r="R585" s="2" t="inlineStr">
        <is>
          <t>Garnlav
Lunglav
Ullticka</t>
        </is>
      </c>
      <c r="S585">
        <f>HYPERLINK("https://klasma.github.io/Logging_2260/artfynd/A 27956-2021 artfynd.xlsx", "A 27956-2021")</f>
        <v/>
      </c>
      <c r="T585">
        <f>HYPERLINK("https://klasma.github.io/Logging_2260/kartor/A 27956-2021 karta.png", "A 27956-2021")</f>
        <v/>
      </c>
      <c r="V585">
        <f>HYPERLINK("https://klasma.github.io/Logging_2260/klagomål/A 27956-2021 FSC-klagomål.docx", "A 27956-2021")</f>
        <v/>
      </c>
      <c r="W585">
        <f>HYPERLINK("https://klasma.github.io/Logging_2260/klagomålsmail/A 27956-2021 FSC-klagomål mail.docx", "A 27956-2021")</f>
        <v/>
      </c>
      <c r="X585">
        <f>HYPERLINK("https://klasma.github.io/Logging_2260/tillsyn/A 27956-2021 tillsynsbegäran.docx", "A 27956-2021")</f>
        <v/>
      </c>
      <c r="Y585">
        <f>HYPERLINK("https://klasma.github.io/Logging_2260/tillsynsmail/A 27956-2021 tillsynsbegäran mail.docx", "A 27956-2021")</f>
        <v/>
      </c>
    </row>
    <row r="586" ht="15" customHeight="1">
      <c r="A586" t="inlineStr">
        <is>
          <t>A 10317-2022</t>
        </is>
      </c>
      <c r="B586" s="1" t="n">
        <v>44622</v>
      </c>
      <c r="C586" s="1" t="n">
        <v>46093</v>
      </c>
      <c r="D586" t="inlineStr">
        <is>
          <t>VÄSTERNORRLANDS LÄN</t>
        </is>
      </c>
      <c r="E586" t="inlineStr">
        <is>
          <t>ÅNGE</t>
        </is>
      </c>
      <c r="F586" t="inlineStr">
        <is>
          <t>SCA</t>
        </is>
      </c>
      <c r="G586" t="n">
        <v>3</v>
      </c>
      <c r="H586" t="n">
        <v>2</v>
      </c>
      <c r="I586" t="n">
        <v>1</v>
      </c>
      <c r="J586" t="n">
        <v>1</v>
      </c>
      <c r="K586" t="n">
        <v>1</v>
      </c>
      <c r="L586" t="n">
        <v>0</v>
      </c>
      <c r="M586" t="n">
        <v>0</v>
      </c>
      <c r="N586" t="n">
        <v>0</v>
      </c>
      <c r="O586" t="n">
        <v>2</v>
      </c>
      <c r="P586" t="n">
        <v>1</v>
      </c>
      <c r="Q586" t="n">
        <v>3</v>
      </c>
      <c r="R586" s="2" t="inlineStr">
        <is>
          <t>Knärot
Granticka
Tvåblad</t>
        </is>
      </c>
      <c r="S586">
        <f>HYPERLINK("https://klasma.github.io/Logging_2260/artfynd/A 10317-2022 artfynd.xlsx", "A 10317-2022")</f>
        <v/>
      </c>
      <c r="T586">
        <f>HYPERLINK("https://klasma.github.io/Logging_2260/kartor/A 10317-2022 karta.png", "A 10317-2022")</f>
        <v/>
      </c>
      <c r="U586">
        <f>HYPERLINK("https://klasma.github.io/Logging_2260/knärot/A 10317-2022 karta knärot.png", "A 10317-2022")</f>
        <v/>
      </c>
      <c r="V586">
        <f>HYPERLINK("https://klasma.github.io/Logging_2260/klagomål/A 10317-2022 FSC-klagomål.docx", "A 10317-2022")</f>
        <v/>
      </c>
      <c r="W586">
        <f>HYPERLINK("https://klasma.github.io/Logging_2260/klagomålsmail/A 10317-2022 FSC-klagomål mail.docx", "A 10317-2022")</f>
        <v/>
      </c>
      <c r="X586">
        <f>HYPERLINK("https://klasma.github.io/Logging_2260/tillsyn/A 10317-2022 tillsynsbegäran.docx", "A 10317-2022")</f>
        <v/>
      </c>
      <c r="Y586">
        <f>HYPERLINK("https://klasma.github.io/Logging_2260/tillsynsmail/A 10317-2022 tillsynsbegäran mail.docx", "A 10317-2022")</f>
        <v/>
      </c>
    </row>
    <row r="587" ht="15" customHeight="1">
      <c r="A587" t="inlineStr">
        <is>
          <t>A 33614-2021</t>
        </is>
      </c>
      <c r="B587" s="1" t="n">
        <v>44377</v>
      </c>
      <c r="C587" s="1" t="n">
        <v>46093</v>
      </c>
      <c r="D587" t="inlineStr">
        <is>
          <t>VÄSTERNORRLANDS LÄN</t>
        </is>
      </c>
      <c r="E587" t="inlineStr">
        <is>
          <t>KRAMFORS</t>
        </is>
      </c>
      <c r="G587" t="n">
        <v>4.7</v>
      </c>
      <c r="H587" t="n">
        <v>2</v>
      </c>
      <c r="I587" t="n">
        <v>2</v>
      </c>
      <c r="J587" t="n">
        <v>0</v>
      </c>
      <c r="K587" t="n">
        <v>0</v>
      </c>
      <c r="L587" t="n">
        <v>0</v>
      </c>
      <c r="M587" t="n">
        <v>0</v>
      </c>
      <c r="N587" t="n">
        <v>0</v>
      </c>
      <c r="O587" t="n">
        <v>0</v>
      </c>
      <c r="P587" t="n">
        <v>0</v>
      </c>
      <c r="Q587" t="n">
        <v>3</v>
      </c>
      <c r="R587" s="2" t="inlineStr">
        <is>
          <t>Grön sköldmossa
Stubbspretmossa
Blåsippa</t>
        </is>
      </c>
      <c r="S587">
        <f>HYPERLINK("https://klasma.github.io/Logging_2282/artfynd/A 33614-2021 artfynd.xlsx", "A 33614-2021")</f>
        <v/>
      </c>
      <c r="T587">
        <f>HYPERLINK("https://klasma.github.io/Logging_2282/kartor/A 33614-2021 karta.png", "A 33614-2021")</f>
        <v/>
      </c>
      <c r="V587">
        <f>HYPERLINK("https://klasma.github.io/Logging_2282/klagomål/A 33614-2021 FSC-klagomål.docx", "A 33614-2021")</f>
        <v/>
      </c>
      <c r="W587">
        <f>HYPERLINK("https://klasma.github.io/Logging_2282/klagomålsmail/A 33614-2021 FSC-klagomål mail.docx", "A 33614-2021")</f>
        <v/>
      </c>
      <c r="X587">
        <f>HYPERLINK("https://klasma.github.io/Logging_2282/tillsyn/A 33614-2021 tillsynsbegäran.docx", "A 33614-2021")</f>
        <v/>
      </c>
      <c r="Y587">
        <f>HYPERLINK("https://klasma.github.io/Logging_2282/tillsynsmail/A 33614-2021 tillsynsbegäran mail.docx", "A 33614-2021")</f>
        <v/>
      </c>
    </row>
    <row r="588" ht="15" customHeight="1">
      <c r="A588" t="inlineStr">
        <is>
          <t>A 44599-2021</t>
        </is>
      </c>
      <c r="B588" s="1" t="n">
        <v>44435.94106481481</v>
      </c>
      <c r="C588" s="1" t="n">
        <v>46093</v>
      </c>
      <c r="D588" t="inlineStr">
        <is>
          <t>VÄSTERNORRLANDS LÄN</t>
        </is>
      </c>
      <c r="E588" t="inlineStr">
        <is>
          <t>SOLLEFTEÅ</t>
        </is>
      </c>
      <c r="F588" t="inlineStr">
        <is>
          <t>SCA</t>
        </is>
      </c>
      <c r="G588" t="n">
        <v>6.1</v>
      </c>
      <c r="H588" t="n">
        <v>0</v>
      </c>
      <c r="I588" t="n">
        <v>2</v>
      </c>
      <c r="J588" t="n">
        <v>1</v>
      </c>
      <c r="K588" t="n">
        <v>0</v>
      </c>
      <c r="L588" t="n">
        <v>0</v>
      </c>
      <c r="M588" t="n">
        <v>0</v>
      </c>
      <c r="N588" t="n">
        <v>0</v>
      </c>
      <c r="O588" t="n">
        <v>1</v>
      </c>
      <c r="P588" t="n">
        <v>0</v>
      </c>
      <c r="Q588" t="n">
        <v>3</v>
      </c>
      <c r="R588" s="2" t="inlineStr">
        <is>
          <t>Rosenticka
Strutbräken
Stuplav</t>
        </is>
      </c>
      <c r="S588">
        <f>HYPERLINK("https://klasma.github.io/Logging_2283/artfynd/A 44599-2021 artfynd.xlsx", "A 44599-2021")</f>
        <v/>
      </c>
      <c r="T588">
        <f>HYPERLINK("https://klasma.github.io/Logging_2283/kartor/A 44599-2021 karta.png", "A 44599-2021")</f>
        <v/>
      </c>
      <c r="V588">
        <f>HYPERLINK("https://klasma.github.io/Logging_2283/klagomål/A 44599-2021 FSC-klagomål.docx", "A 44599-2021")</f>
        <v/>
      </c>
      <c r="W588">
        <f>HYPERLINK("https://klasma.github.io/Logging_2283/klagomålsmail/A 44599-2021 FSC-klagomål mail.docx", "A 44599-2021")</f>
        <v/>
      </c>
      <c r="X588">
        <f>HYPERLINK("https://klasma.github.io/Logging_2283/tillsyn/A 44599-2021 tillsynsbegäran.docx", "A 44599-2021")</f>
        <v/>
      </c>
      <c r="Y588">
        <f>HYPERLINK("https://klasma.github.io/Logging_2283/tillsynsmail/A 44599-2021 tillsynsbegäran mail.docx", "A 44599-2021")</f>
        <v/>
      </c>
    </row>
    <row r="589" ht="15" customHeight="1">
      <c r="A589" t="inlineStr">
        <is>
          <t>A 31354-2021</t>
        </is>
      </c>
      <c r="B589" s="1" t="n">
        <v>44368.93938657407</v>
      </c>
      <c r="C589" s="1" t="n">
        <v>46093</v>
      </c>
      <c r="D589" t="inlineStr">
        <is>
          <t>VÄSTERNORRLANDS LÄN</t>
        </is>
      </c>
      <c r="E589" t="inlineStr">
        <is>
          <t>SOLLEFTEÅ</t>
        </is>
      </c>
      <c r="F589" t="inlineStr">
        <is>
          <t>SCA</t>
        </is>
      </c>
      <c r="G589" t="n">
        <v>1.5</v>
      </c>
      <c r="H589" t="n">
        <v>1</v>
      </c>
      <c r="I589" t="n">
        <v>1</v>
      </c>
      <c r="J589" t="n">
        <v>1</v>
      </c>
      <c r="K589" t="n">
        <v>1</v>
      </c>
      <c r="L589" t="n">
        <v>0</v>
      </c>
      <c r="M589" t="n">
        <v>0</v>
      </c>
      <c r="N589" t="n">
        <v>0</v>
      </c>
      <c r="O589" t="n">
        <v>2</v>
      </c>
      <c r="P589" t="n">
        <v>1</v>
      </c>
      <c r="Q589" t="n">
        <v>3</v>
      </c>
      <c r="R589" s="2" t="inlineStr">
        <is>
          <t>Knärot
Garnlav
Norrlandslav</t>
        </is>
      </c>
      <c r="S589">
        <f>HYPERLINK("https://klasma.github.io/Logging_2283/artfynd/A 31354-2021 artfynd.xlsx", "A 31354-2021")</f>
        <v/>
      </c>
      <c r="T589">
        <f>HYPERLINK("https://klasma.github.io/Logging_2283/kartor/A 31354-2021 karta.png", "A 31354-2021")</f>
        <v/>
      </c>
      <c r="U589">
        <f>HYPERLINK("https://klasma.github.io/Logging_2283/knärot/A 31354-2021 karta knärot.png", "A 31354-2021")</f>
        <v/>
      </c>
      <c r="V589">
        <f>HYPERLINK("https://klasma.github.io/Logging_2283/klagomål/A 31354-2021 FSC-klagomål.docx", "A 31354-2021")</f>
        <v/>
      </c>
      <c r="W589">
        <f>HYPERLINK("https://klasma.github.io/Logging_2283/klagomålsmail/A 31354-2021 FSC-klagomål mail.docx", "A 31354-2021")</f>
        <v/>
      </c>
      <c r="X589">
        <f>HYPERLINK("https://klasma.github.io/Logging_2283/tillsyn/A 31354-2021 tillsynsbegäran.docx", "A 31354-2021")</f>
        <v/>
      </c>
      <c r="Y589">
        <f>HYPERLINK("https://klasma.github.io/Logging_2283/tillsynsmail/A 31354-2021 tillsynsbegäran mail.docx", "A 31354-2021")</f>
        <v/>
      </c>
    </row>
    <row r="590" ht="15" customHeight="1">
      <c r="A590" t="inlineStr">
        <is>
          <t>A 18555-2022</t>
        </is>
      </c>
      <c r="B590" s="1" t="n">
        <v>44686</v>
      </c>
      <c r="C590" s="1" t="n">
        <v>46093</v>
      </c>
      <c r="D590" t="inlineStr">
        <is>
          <t>VÄSTERNORRLANDS LÄN</t>
        </is>
      </c>
      <c r="E590" t="inlineStr">
        <is>
          <t>HÄRNÖSAND</t>
        </is>
      </c>
      <c r="F590" t="inlineStr">
        <is>
          <t>SCA</t>
        </is>
      </c>
      <c r="G590" t="n">
        <v>4.5</v>
      </c>
      <c r="H590" t="n">
        <v>1</v>
      </c>
      <c r="I590" t="n">
        <v>0</v>
      </c>
      <c r="J590" t="n">
        <v>2</v>
      </c>
      <c r="K590" t="n">
        <v>1</v>
      </c>
      <c r="L590" t="n">
        <v>0</v>
      </c>
      <c r="M590" t="n">
        <v>0</v>
      </c>
      <c r="N590" t="n">
        <v>0</v>
      </c>
      <c r="O590" t="n">
        <v>3</v>
      </c>
      <c r="P590" t="n">
        <v>1</v>
      </c>
      <c r="Q590" t="n">
        <v>3</v>
      </c>
      <c r="R590" s="2" t="inlineStr">
        <is>
          <t>Knärot
Garnlav
Lunglav</t>
        </is>
      </c>
      <c r="S590">
        <f>HYPERLINK("https://klasma.github.io/Logging_2280/artfynd/A 18555-2022 artfynd.xlsx", "A 18555-2022")</f>
        <v/>
      </c>
      <c r="T590">
        <f>HYPERLINK("https://klasma.github.io/Logging_2280/kartor/A 18555-2022 karta.png", "A 18555-2022")</f>
        <v/>
      </c>
      <c r="U590">
        <f>HYPERLINK("https://klasma.github.io/Logging_2280/knärot/A 18555-2022 karta knärot.png", "A 18555-2022")</f>
        <v/>
      </c>
      <c r="V590">
        <f>HYPERLINK("https://klasma.github.io/Logging_2280/klagomål/A 18555-2022 FSC-klagomål.docx", "A 18555-2022")</f>
        <v/>
      </c>
      <c r="W590">
        <f>HYPERLINK("https://klasma.github.io/Logging_2280/klagomålsmail/A 18555-2022 FSC-klagomål mail.docx", "A 18555-2022")</f>
        <v/>
      </c>
      <c r="X590">
        <f>HYPERLINK("https://klasma.github.io/Logging_2280/tillsyn/A 18555-2022 tillsynsbegäran.docx", "A 18555-2022")</f>
        <v/>
      </c>
      <c r="Y590">
        <f>HYPERLINK("https://klasma.github.io/Logging_2280/tillsynsmail/A 18555-2022 tillsynsbegäran mail.docx", "A 18555-2022")</f>
        <v/>
      </c>
    </row>
    <row r="591" ht="15" customHeight="1">
      <c r="A591" t="inlineStr">
        <is>
          <t>A 42301-2022</t>
        </is>
      </c>
      <c r="B591" s="1" t="n">
        <v>44830.95461805556</v>
      </c>
      <c r="C591" s="1" t="n">
        <v>46093</v>
      </c>
      <c r="D591" t="inlineStr">
        <is>
          <t>VÄSTERNORRLANDS LÄN</t>
        </is>
      </c>
      <c r="E591" t="inlineStr">
        <is>
          <t>SOLLEFTEÅ</t>
        </is>
      </c>
      <c r="F591" t="inlineStr">
        <is>
          <t>SCA</t>
        </is>
      </c>
      <c r="G591" t="n">
        <v>0.8</v>
      </c>
      <c r="H591" t="n">
        <v>1</v>
      </c>
      <c r="I591" t="n">
        <v>0</v>
      </c>
      <c r="J591" t="n">
        <v>3</v>
      </c>
      <c r="K591" t="n">
        <v>0</v>
      </c>
      <c r="L591" t="n">
        <v>0</v>
      </c>
      <c r="M591" t="n">
        <v>0</v>
      </c>
      <c r="N591" t="n">
        <v>0</v>
      </c>
      <c r="O591" t="n">
        <v>3</v>
      </c>
      <c r="P591" t="n">
        <v>0</v>
      </c>
      <c r="Q591" t="n">
        <v>3</v>
      </c>
      <c r="R591" s="2" t="inlineStr">
        <is>
          <t>Gammelgransskål
Harticka
Tretåig hackspett</t>
        </is>
      </c>
      <c r="S591">
        <f>HYPERLINK("https://klasma.github.io/Logging_2283/artfynd/A 42301-2022 artfynd.xlsx", "A 42301-2022")</f>
        <v/>
      </c>
      <c r="T591">
        <f>HYPERLINK("https://klasma.github.io/Logging_2283/kartor/A 42301-2022 karta.png", "A 42301-2022")</f>
        <v/>
      </c>
      <c r="V591">
        <f>HYPERLINK("https://klasma.github.io/Logging_2283/klagomål/A 42301-2022 FSC-klagomål.docx", "A 42301-2022")</f>
        <v/>
      </c>
      <c r="W591">
        <f>HYPERLINK("https://klasma.github.io/Logging_2283/klagomålsmail/A 42301-2022 FSC-klagomål mail.docx", "A 42301-2022")</f>
        <v/>
      </c>
      <c r="X591">
        <f>HYPERLINK("https://klasma.github.io/Logging_2283/tillsyn/A 42301-2022 tillsynsbegäran.docx", "A 42301-2022")</f>
        <v/>
      </c>
      <c r="Y591">
        <f>HYPERLINK("https://klasma.github.io/Logging_2283/tillsynsmail/A 42301-2022 tillsynsbegäran mail.docx", "A 42301-2022")</f>
        <v/>
      </c>
      <c r="Z591">
        <f>HYPERLINK("https://klasma.github.io/Logging_2283/fåglar/A 42301-2022 prioriterade fågelarter.docx", "A 42301-2022")</f>
        <v/>
      </c>
    </row>
    <row r="592" ht="15" customHeight="1">
      <c r="A592" t="inlineStr">
        <is>
          <t>A 16235-2022</t>
        </is>
      </c>
      <c r="B592" s="1" t="n">
        <v>44670</v>
      </c>
      <c r="C592" s="1" t="n">
        <v>46093</v>
      </c>
      <c r="D592" t="inlineStr">
        <is>
          <t>VÄSTERNORRLANDS LÄN</t>
        </is>
      </c>
      <c r="E592" t="inlineStr">
        <is>
          <t>ÖRNSKÖLDSVIK</t>
        </is>
      </c>
      <c r="F592" t="inlineStr">
        <is>
          <t>Holmen skog AB</t>
        </is>
      </c>
      <c r="G592" t="n">
        <v>12.9</v>
      </c>
      <c r="H592" t="n">
        <v>0</v>
      </c>
      <c r="I592" t="n">
        <v>0</v>
      </c>
      <c r="J592" t="n">
        <v>3</v>
      </c>
      <c r="K592" t="n">
        <v>0</v>
      </c>
      <c r="L592" t="n">
        <v>0</v>
      </c>
      <c r="M592" t="n">
        <v>0</v>
      </c>
      <c r="N592" t="n">
        <v>0</v>
      </c>
      <c r="O592" t="n">
        <v>3</v>
      </c>
      <c r="P592" t="n">
        <v>0</v>
      </c>
      <c r="Q592" t="n">
        <v>3</v>
      </c>
      <c r="R592" s="2" t="inlineStr">
        <is>
          <t>Dvärgbägarlav
Kolflarnlav
Tallticka</t>
        </is>
      </c>
      <c r="S592">
        <f>HYPERLINK("https://klasma.github.io/Logging_2284/artfynd/A 16235-2022 artfynd.xlsx", "A 16235-2022")</f>
        <v/>
      </c>
      <c r="T592">
        <f>HYPERLINK("https://klasma.github.io/Logging_2284/kartor/A 16235-2022 karta.png", "A 16235-2022")</f>
        <v/>
      </c>
      <c r="V592">
        <f>HYPERLINK("https://klasma.github.io/Logging_2284/klagomål/A 16235-2022 FSC-klagomål.docx", "A 16235-2022")</f>
        <v/>
      </c>
      <c r="W592">
        <f>HYPERLINK("https://klasma.github.io/Logging_2284/klagomålsmail/A 16235-2022 FSC-klagomål mail.docx", "A 16235-2022")</f>
        <v/>
      </c>
      <c r="X592">
        <f>HYPERLINK("https://klasma.github.io/Logging_2284/tillsyn/A 16235-2022 tillsynsbegäran.docx", "A 16235-2022")</f>
        <v/>
      </c>
      <c r="Y592">
        <f>HYPERLINK("https://klasma.github.io/Logging_2284/tillsynsmail/A 16235-2022 tillsynsbegäran mail.docx", "A 16235-2022")</f>
        <v/>
      </c>
    </row>
    <row r="593" ht="15" customHeight="1">
      <c r="A593" t="inlineStr">
        <is>
          <t>A 15098-2021</t>
        </is>
      </c>
      <c r="B593" s="1" t="n">
        <v>44281</v>
      </c>
      <c r="C593" s="1" t="n">
        <v>46093</v>
      </c>
      <c r="D593" t="inlineStr">
        <is>
          <t>VÄSTERNORRLANDS LÄN</t>
        </is>
      </c>
      <c r="E593" t="inlineStr">
        <is>
          <t>SOLLEFTEÅ</t>
        </is>
      </c>
      <c r="F593" t="inlineStr">
        <is>
          <t>SCA</t>
        </is>
      </c>
      <c r="G593" t="n">
        <v>4</v>
      </c>
      <c r="H593" t="n">
        <v>1</v>
      </c>
      <c r="I593" t="n">
        <v>0</v>
      </c>
      <c r="J593" t="n">
        <v>2</v>
      </c>
      <c r="K593" t="n">
        <v>0</v>
      </c>
      <c r="L593" t="n">
        <v>0</v>
      </c>
      <c r="M593" t="n">
        <v>0</v>
      </c>
      <c r="N593" t="n">
        <v>0</v>
      </c>
      <c r="O593" t="n">
        <v>2</v>
      </c>
      <c r="P593" t="n">
        <v>0</v>
      </c>
      <c r="Q593" t="n">
        <v>3</v>
      </c>
      <c r="R593" s="2" t="inlineStr">
        <is>
          <t>Garnlav
Lunglav
Lavskrika</t>
        </is>
      </c>
      <c r="S593">
        <f>HYPERLINK("https://klasma.github.io/Logging_2283/artfynd/A 15098-2021 artfynd.xlsx", "A 15098-2021")</f>
        <v/>
      </c>
      <c r="T593">
        <f>HYPERLINK("https://klasma.github.io/Logging_2283/kartor/A 15098-2021 karta.png", "A 15098-2021")</f>
        <v/>
      </c>
      <c r="V593">
        <f>HYPERLINK("https://klasma.github.io/Logging_2283/klagomål/A 15098-2021 FSC-klagomål.docx", "A 15098-2021")</f>
        <v/>
      </c>
      <c r="W593">
        <f>HYPERLINK("https://klasma.github.io/Logging_2283/klagomålsmail/A 15098-2021 FSC-klagomål mail.docx", "A 15098-2021")</f>
        <v/>
      </c>
      <c r="X593">
        <f>HYPERLINK("https://klasma.github.io/Logging_2283/tillsyn/A 15098-2021 tillsynsbegäran.docx", "A 15098-2021")</f>
        <v/>
      </c>
      <c r="Y593">
        <f>HYPERLINK("https://klasma.github.io/Logging_2283/tillsynsmail/A 15098-2021 tillsynsbegäran mail.docx", "A 15098-2021")</f>
        <v/>
      </c>
      <c r="Z593">
        <f>HYPERLINK("https://klasma.github.io/Logging_2283/fåglar/A 15098-2021 prioriterade fågelarter.docx", "A 15098-2021")</f>
        <v/>
      </c>
    </row>
    <row r="594" ht="15" customHeight="1">
      <c r="A594" t="inlineStr">
        <is>
          <t>A 10157-2024</t>
        </is>
      </c>
      <c r="B594" s="1" t="n">
        <v>45364</v>
      </c>
      <c r="C594" s="1" t="n">
        <v>46093</v>
      </c>
      <c r="D594" t="inlineStr">
        <is>
          <t>VÄSTERNORRLANDS LÄN</t>
        </is>
      </c>
      <c r="E594" t="inlineStr">
        <is>
          <t>ÖRNSKÖLDSVIK</t>
        </is>
      </c>
      <c r="F594" t="inlineStr">
        <is>
          <t>Holmen skog AB</t>
        </is>
      </c>
      <c r="G594" t="n">
        <v>3.1</v>
      </c>
      <c r="H594" t="n">
        <v>0</v>
      </c>
      <c r="I594" t="n">
        <v>1</v>
      </c>
      <c r="J594" t="n">
        <v>2</v>
      </c>
      <c r="K594" t="n">
        <v>0</v>
      </c>
      <c r="L594" t="n">
        <v>0</v>
      </c>
      <c r="M594" t="n">
        <v>0</v>
      </c>
      <c r="N594" t="n">
        <v>0</v>
      </c>
      <c r="O594" t="n">
        <v>2</v>
      </c>
      <c r="P594" t="n">
        <v>0</v>
      </c>
      <c r="Q594" t="n">
        <v>3</v>
      </c>
      <c r="R594" s="2" t="inlineStr">
        <is>
          <t>Lunglav
Ullticka
Bårdlav</t>
        </is>
      </c>
      <c r="S594">
        <f>HYPERLINK("https://klasma.github.io/Logging_2284/artfynd/A 10157-2024 artfynd.xlsx", "A 10157-2024")</f>
        <v/>
      </c>
      <c r="T594">
        <f>HYPERLINK("https://klasma.github.io/Logging_2284/kartor/A 10157-2024 karta.png", "A 10157-2024")</f>
        <v/>
      </c>
      <c r="V594">
        <f>HYPERLINK("https://klasma.github.io/Logging_2284/klagomål/A 10157-2024 FSC-klagomål.docx", "A 10157-2024")</f>
        <v/>
      </c>
      <c r="W594">
        <f>HYPERLINK("https://klasma.github.io/Logging_2284/klagomålsmail/A 10157-2024 FSC-klagomål mail.docx", "A 10157-2024")</f>
        <v/>
      </c>
      <c r="X594">
        <f>HYPERLINK("https://klasma.github.io/Logging_2284/tillsyn/A 10157-2024 tillsynsbegäran.docx", "A 10157-2024")</f>
        <v/>
      </c>
      <c r="Y594">
        <f>HYPERLINK("https://klasma.github.io/Logging_2284/tillsynsmail/A 10157-2024 tillsynsbegäran mail.docx", "A 10157-2024")</f>
        <v/>
      </c>
    </row>
    <row r="595" ht="15" customHeight="1">
      <c r="A595" t="inlineStr">
        <is>
          <t>A 5069-2024</t>
        </is>
      </c>
      <c r="B595" s="1" t="n">
        <v>45329</v>
      </c>
      <c r="C595" s="1" t="n">
        <v>46093</v>
      </c>
      <c r="D595" t="inlineStr">
        <is>
          <t>VÄSTERNORRLANDS LÄN</t>
        </is>
      </c>
      <c r="E595" t="inlineStr">
        <is>
          <t>TIMRÅ</t>
        </is>
      </c>
      <c r="F595" t="inlineStr">
        <is>
          <t>SCA</t>
        </is>
      </c>
      <c r="G595" t="n">
        <v>3.4</v>
      </c>
      <c r="H595" t="n">
        <v>1</v>
      </c>
      <c r="I595" t="n">
        <v>2</v>
      </c>
      <c r="J595" t="n">
        <v>1</v>
      </c>
      <c r="K595" t="n">
        <v>0</v>
      </c>
      <c r="L595" t="n">
        <v>0</v>
      </c>
      <c r="M595" t="n">
        <v>0</v>
      </c>
      <c r="N595" t="n">
        <v>0</v>
      </c>
      <c r="O595" t="n">
        <v>1</v>
      </c>
      <c r="P595" t="n">
        <v>0</v>
      </c>
      <c r="Q595" t="n">
        <v>3</v>
      </c>
      <c r="R595" s="2" t="inlineStr">
        <is>
          <t>Garnlav
Korallrot
Vedticka</t>
        </is>
      </c>
      <c r="S595">
        <f>HYPERLINK("https://klasma.github.io/Logging_2262/artfynd/A 5069-2024 artfynd.xlsx", "A 5069-2024")</f>
        <v/>
      </c>
      <c r="T595">
        <f>HYPERLINK("https://klasma.github.io/Logging_2262/kartor/A 5069-2024 karta.png", "A 5069-2024")</f>
        <v/>
      </c>
      <c r="V595">
        <f>HYPERLINK("https://klasma.github.io/Logging_2262/klagomål/A 5069-2024 FSC-klagomål.docx", "A 5069-2024")</f>
        <v/>
      </c>
      <c r="W595">
        <f>HYPERLINK("https://klasma.github.io/Logging_2262/klagomålsmail/A 5069-2024 FSC-klagomål mail.docx", "A 5069-2024")</f>
        <v/>
      </c>
      <c r="X595">
        <f>HYPERLINK("https://klasma.github.io/Logging_2262/tillsyn/A 5069-2024 tillsynsbegäran.docx", "A 5069-2024")</f>
        <v/>
      </c>
      <c r="Y595">
        <f>HYPERLINK("https://klasma.github.io/Logging_2262/tillsynsmail/A 5069-2024 tillsynsbegäran mail.docx", "A 5069-2024")</f>
        <v/>
      </c>
    </row>
    <row r="596" ht="15" customHeight="1">
      <c r="A596" t="inlineStr">
        <is>
          <t>A 48489-2023</t>
        </is>
      </c>
      <c r="B596" s="1" t="n">
        <v>45206</v>
      </c>
      <c r="C596" s="1" t="n">
        <v>46093</v>
      </c>
      <c r="D596" t="inlineStr">
        <is>
          <t>VÄSTERNORRLANDS LÄN</t>
        </is>
      </c>
      <c r="E596" t="inlineStr">
        <is>
          <t>SOLLEFTEÅ</t>
        </is>
      </c>
      <c r="F596" t="inlineStr">
        <is>
          <t>SCA</t>
        </is>
      </c>
      <c r="G596" t="n">
        <v>51.8</v>
      </c>
      <c r="H596" t="n">
        <v>3</v>
      </c>
      <c r="I596" t="n">
        <v>0</v>
      </c>
      <c r="J596" t="n">
        <v>2</v>
      </c>
      <c r="K596" t="n">
        <v>0</v>
      </c>
      <c r="L596" t="n">
        <v>0</v>
      </c>
      <c r="M596" t="n">
        <v>0</v>
      </c>
      <c r="N596" t="n">
        <v>0</v>
      </c>
      <c r="O596" t="n">
        <v>2</v>
      </c>
      <c r="P596" t="n">
        <v>0</v>
      </c>
      <c r="Q596" t="n">
        <v>3</v>
      </c>
      <c r="R596" s="2" t="inlineStr">
        <is>
          <t>Spillkråka
Talltita
Lavskrika</t>
        </is>
      </c>
      <c r="S596">
        <f>HYPERLINK("https://klasma.github.io/Logging_2283/artfynd/A 48489-2023 artfynd.xlsx", "A 48489-2023")</f>
        <v/>
      </c>
      <c r="T596">
        <f>HYPERLINK("https://klasma.github.io/Logging_2283/kartor/A 48489-2023 karta.png", "A 48489-2023")</f>
        <v/>
      </c>
      <c r="V596">
        <f>HYPERLINK("https://klasma.github.io/Logging_2283/klagomål/A 48489-2023 FSC-klagomål.docx", "A 48489-2023")</f>
        <v/>
      </c>
      <c r="W596">
        <f>HYPERLINK("https://klasma.github.io/Logging_2283/klagomålsmail/A 48489-2023 FSC-klagomål mail.docx", "A 48489-2023")</f>
        <v/>
      </c>
      <c r="X596">
        <f>HYPERLINK("https://klasma.github.io/Logging_2283/tillsyn/A 48489-2023 tillsynsbegäran.docx", "A 48489-2023")</f>
        <v/>
      </c>
      <c r="Y596">
        <f>HYPERLINK("https://klasma.github.io/Logging_2283/tillsynsmail/A 48489-2023 tillsynsbegäran mail.docx", "A 48489-2023")</f>
        <v/>
      </c>
      <c r="Z596">
        <f>HYPERLINK("https://klasma.github.io/Logging_2283/fåglar/A 48489-2023 prioriterade fågelarter.docx", "A 48489-2023")</f>
        <v/>
      </c>
    </row>
    <row r="597" ht="15" customHeight="1">
      <c r="A597" t="inlineStr">
        <is>
          <t>A 30410-2022</t>
        </is>
      </c>
      <c r="B597" s="1" t="n">
        <v>44761.38898148148</v>
      </c>
      <c r="C597" s="1" t="n">
        <v>46093</v>
      </c>
      <c r="D597" t="inlineStr">
        <is>
          <t>VÄSTERNORRLANDS LÄN</t>
        </is>
      </c>
      <c r="E597" t="inlineStr">
        <is>
          <t>ÖRNSKÖLDSVIK</t>
        </is>
      </c>
      <c r="F597" t="inlineStr">
        <is>
          <t>Holmen skog AB</t>
        </is>
      </c>
      <c r="G597" t="n">
        <v>0.8</v>
      </c>
      <c r="H597" t="n">
        <v>0</v>
      </c>
      <c r="I597" t="n">
        <v>0</v>
      </c>
      <c r="J597" t="n">
        <v>3</v>
      </c>
      <c r="K597" t="n">
        <v>0</v>
      </c>
      <c r="L597" t="n">
        <v>0</v>
      </c>
      <c r="M597" t="n">
        <v>0</v>
      </c>
      <c r="N597" t="n">
        <v>0</v>
      </c>
      <c r="O597" t="n">
        <v>3</v>
      </c>
      <c r="P597" t="n">
        <v>0</v>
      </c>
      <c r="Q597" t="n">
        <v>3</v>
      </c>
      <c r="R597" s="2" t="inlineStr">
        <is>
          <t>Garnlav
Granticka
Ullticka</t>
        </is>
      </c>
      <c r="S597">
        <f>HYPERLINK("https://klasma.github.io/Logging_2284/artfynd/A 30410-2022 artfynd.xlsx", "A 30410-2022")</f>
        <v/>
      </c>
      <c r="T597">
        <f>HYPERLINK("https://klasma.github.io/Logging_2284/kartor/A 30410-2022 karta.png", "A 30410-2022")</f>
        <v/>
      </c>
      <c r="V597">
        <f>HYPERLINK("https://klasma.github.io/Logging_2284/klagomål/A 30410-2022 FSC-klagomål.docx", "A 30410-2022")</f>
        <v/>
      </c>
      <c r="W597">
        <f>HYPERLINK("https://klasma.github.io/Logging_2284/klagomålsmail/A 30410-2022 FSC-klagomål mail.docx", "A 30410-2022")</f>
        <v/>
      </c>
      <c r="X597">
        <f>HYPERLINK("https://klasma.github.io/Logging_2284/tillsyn/A 30410-2022 tillsynsbegäran.docx", "A 30410-2022")</f>
        <v/>
      </c>
      <c r="Y597">
        <f>HYPERLINK("https://klasma.github.io/Logging_2284/tillsynsmail/A 30410-2022 tillsynsbegäran mail.docx", "A 30410-2022")</f>
        <v/>
      </c>
    </row>
    <row r="598" ht="15" customHeight="1">
      <c r="A598" t="inlineStr">
        <is>
          <t>A 20781-2023</t>
        </is>
      </c>
      <c r="B598" s="1" t="n">
        <v>45058</v>
      </c>
      <c r="C598" s="1" t="n">
        <v>46093</v>
      </c>
      <c r="D598" t="inlineStr">
        <is>
          <t>VÄSTERNORRLANDS LÄN</t>
        </is>
      </c>
      <c r="E598" t="inlineStr">
        <is>
          <t>SOLLEFTEÅ</t>
        </is>
      </c>
      <c r="F598" t="inlineStr">
        <is>
          <t>Kyrkan</t>
        </is>
      </c>
      <c r="G598" t="n">
        <v>11.1</v>
      </c>
      <c r="H598" t="n">
        <v>1</v>
      </c>
      <c r="I598" t="n">
        <v>0</v>
      </c>
      <c r="J598" t="n">
        <v>2</v>
      </c>
      <c r="K598" t="n">
        <v>1</v>
      </c>
      <c r="L598" t="n">
        <v>0</v>
      </c>
      <c r="M598" t="n">
        <v>0</v>
      </c>
      <c r="N598" t="n">
        <v>0</v>
      </c>
      <c r="O598" t="n">
        <v>3</v>
      </c>
      <c r="P598" t="n">
        <v>1</v>
      </c>
      <c r="Q598" t="n">
        <v>3</v>
      </c>
      <c r="R598" s="2" t="inlineStr">
        <is>
          <t>Knärot
Garnlav
Ullticka</t>
        </is>
      </c>
      <c r="S598">
        <f>HYPERLINK("https://klasma.github.io/Logging_2283/artfynd/A 20781-2023 artfynd.xlsx", "A 20781-2023")</f>
        <v/>
      </c>
      <c r="T598">
        <f>HYPERLINK("https://klasma.github.io/Logging_2283/kartor/A 20781-2023 karta.png", "A 20781-2023")</f>
        <v/>
      </c>
      <c r="U598">
        <f>HYPERLINK("https://klasma.github.io/Logging_2283/knärot/A 20781-2023 karta knärot.png", "A 20781-2023")</f>
        <v/>
      </c>
      <c r="V598">
        <f>HYPERLINK("https://klasma.github.io/Logging_2283/klagomål/A 20781-2023 FSC-klagomål.docx", "A 20781-2023")</f>
        <v/>
      </c>
      <c r="W598">
        <f>HYPERLINK("https://klasma.github.io/Logging_2283/klagomålsmail/A 20781-2023 FSC-klagomål mail.docx", "A 20781-2023")</f>
        <v/>
      </c>
      <c r="X598">
        <f>HYPERLINK("https://klasma.github.io/Logging_2283/tillsyn/A 20781-2023 tillsynsbegäran.docx", "A 20781-2023")</f>
        <v/>
      </c>
      <c r="Y598">
        <f>HYPERLINK("https://klasma.github.io/Logging_2283/tillsynsmail/A 20781-2023 tillsynsbegäran mail.docx", "A 20781-2023")</f>
        <v/>
      </c>
    </row>
    <row r="599" ht="15" customHeight="1">
      <c r="A599" t="inlineStr">
        <is>
          <t>A 12288-2024</t>
        </is>
      </c>
      <c r="B599" s="1" t="n">
        <v>45378</v>
      </c>
      <c r="C599" s="1" t="n">
        <v>46093</v>
      </c>
      <c r="D599" t="inlineStr">
        <is>
          <t>VÄSTERNORRLANDS LÄN</t>
        </is>
      </c>
      <c r="E599" t="inlineStr">
        <is>
          <t>ÖRNSKÖLDSVIK</t>
        </is>
      </c>
      <c r="F599" t="inlineStr">
        <is>
          <t>Holmen skog AB</t>
        </is>
      </c>
      <c r="G599" t="n">
        <v>4.7</v>
      </c>
      <c r="H599" t="n">
        <v>0</v>
      </c>
      <c r="I599" t="n">
        <v>1</v>
      </c>
      <c r="J599" t="n">
        <v>2</v>
      </c>
      <c r="K599" t="n">
        <v>0</v>
      </c>
      <c r="L599" t="n">
        <v>0</v>
      </c>
      <c r="M599" t="n">
        <v>0</v>
      </c>
      <c r="N599" t="n">
        <v>0</v>
      </c>
      <c r="O599" t="n">
        <v>2</v>
      </c>
      <c r="P599" t="n">
        <v>0</v>
      </c>
      <c r="Q599" t="n">
        <v>3</v>
      </c>
      <c r="R599" s="2" t="inlineStr">
        <is>
          <t>Lunglav
Vedskivlav
Luddlav</t>
        </is>
      </c>
      <c r="S599">
        <f>HYPERLINK("https://klasma.github.io/Logging_2284/artfynd/A 12288-2024 artfynd.xlsx", "A 12288-2024")</f>
        <v/>
      </c>
      <c r="T599">
        <f>HYPERLINK("https://klasma.github.io/Logging_2284/kartor/A 12288-2024 karta.png", "A 12288-2024")</f>
        <v/>
      </c>
      <c r="V599">
        <f>HYPERLINK("https://klasma.github.io/Logging_2284/klagomål/A 12288-2024 FSC-klagomål.docx", "A 12288-2024")</f>
        <v/>
      </c>
      <c r="W599">
        <f>HYPERLINK("https://klasma.github.io/Logging_2284/klagomålsmail/A 12288-2024 FSC-klagomål mail.docx", "A 12288-2024")</f>
        <v/>
      </c>
      <c r="X599">
        <f>HYPERLINK("https://klasma.github.io/Logging_2284/tillsyn/A 12288-2024 tillsynsbegäran.docx", "A 12288-2024")</f>
        <v/>
      </c>
      <c r="Y599">
        <f>HYPERLINK("https://klasma.github.io/Logging_2284/tillsynsmail/A 12288-2024 tillsynsbegäran mail.docx", "A 12288-2024")</f>
        <v/>
      </c>
    </row>
    <row r="600" ht="15" customHeight="1">
      <c r="A600" t="inlineStr">
        <is>
          <t>A 26374-2023</t>
        </is>
      </c>
      <c r="B600" s="1" t="n">
        <v>45091.94403935185</v>
      </c>
      <c r="C600" s="1" t="n">
        <v>46093</v>
      </c>
      <c r="D600" t="inlineStr">
        <is>
          <t>VÄSTERNORRLANDS LÄN</t>
        </is>
      </c>
      <c r="E600" t="inlineStr">
        <is>
          <t>SOLLEFTEÅ</t>
        </is>
      </c>
      <c r="F600" t="inlineStr">
        <is>
          <t>SCA</t>
        </is>
      </c>
      <c r="G600" t="n">
        <v>0.9</v>
      </c>
      <c r="H600" t="n">
        <v>0</v>
      </c>
      <c r="I600" t="n">
        <v>0</v>
      </c>
      <c r="J600" t="n">
        <v>2</v>
      </c>
      <c r="K600" t="n">
        <v>1</v>
      </c>
      <c r="L600" t="n">
        <v>0</v>
      </c>
      <c r="M600" t="n">
        <v>0</v>
      </c>
      <c r="N600" t="n">
        <v>0</v>
      </c>
      <c r="O600" t="n">
        <v>3</v>
      </c>
      <c r="P600" t="n">
        <v>1</v>
      </c>
      <c r="Q600" t="n">
        <v>3</v>
      </c>
      <c r="R600" s="2" t="inlineStr">
        <is>
          <t>Blackticka
Granticka
Ullticka</t>
        </is>
      </c>
      <c r="S600">
        <f>HYPERLINK("https://klasma.github.io/Logging_2283/artfynd/A 26374-2023 artfynd.xlsx", "A 26374-2023")</f>
        <v/>
      </c>
      <c r="T600">
        <f>HYPERLINK("https://klasma.github.io/Logging_2283/kartor/A 26374-2023 karta.png", "A 26374-2023")</f>
        <v/>
      </c>
      <c r="V600">
        <f>HYPERLINK("https://klasma.github.io/Logging_2283/klagomål/A 26374-2023 FSC-klagomål.docx", "A 26374-2023")</f>
        <v/>
      </c>
      <c r="W600">
        <f>HYPERLINK("https://klasma.github.io/Logging_2283/klagomålsmail/A 26374-2023 FSC-klagomål mail.docx", "A 26374-2023")</f>
        <v/>
      </c>
      <c r="X600">
        <f>HYPERLINK("https://klasma.github.io/Logging_2283/tillsyn/A 26374-2023 tillsynsbegäran.docx", "A 26374-2023")</f>
        <v/>
      </c>
      <c r="Y600">
        <f>HYPERLINK("https://klasma.github.io/Logging_2283/tillsynsmail/A 26374-2023 tillsynsbegäran mail.docx", "A 26374-2023")</f>
        <v/>
      </c>
    </row>
    <row r="601" ht="15" customHeight="1">
      <c r="A601" t="inlineStr">
        <is>
          <t>A 53682-2024</t>
        </is>
      </c>
      <c r="B601" s="1" t="n">
        <v>45615</v>
      </c>
      <c r="C601" s="1" t="n">
        <v>46093</v>
      </c>
      <c r="D601" t="inlineStr">
        <is>
          <t>VÄSTERNORRLANDS LÄN</t>
        </is>
      </c>
      <c r="E601" t="inlineStr">
        <is>
          <t>SOLLEFTEÅ</t>
        </is>
      </c>
      <c r="F601" t="inlineStr">
        <is>
          <t>SCA</t>
        </is>
      </c>
      <c r="G601" t="n">
        <v>9.5</v>
      </c>
      <c r="H601" t="n">
        <v>0</v>
      </c>
      <c r="I601" t="n">
        <v>0</v>
      </c>
      <c r="J601" t="n">
        <v>2</v>
      </c>
      <c r="K601" t="n">
        <v>1</v>
      </c>
      <c r="L601" t="n">
        <v>0</v>
      </c>
      <c r="M601" t="n">
        <v>0</v>
      </c>
      <c r="N601" t="n">
        <v>0</v>
      </c>
      <c r="O601" t="n">
        <v>3</v>
      </c>
      <c r="P601" t="n">
        <v>1</v>
      </c>
      <c r="Q601" t="n">
        <v>3</v>
      </c>
      <c r="R601" s="2" t="inlineStr">
        <is>
          <t>Tallgråticka
Blå taggsvamp
Skrovlig taggsvamp</t>
        </is>
      </c>
      <c r="S601">
        <f>HYPERLINK("https://klasma.github.io/Logging_2283/artfynd/A 53682-2024 artfynd.xlsx", "A 53682-2024")</f>
        <v/>
      </c>
      <c r="T601">
        <f>HYPERLINK("https://klasma.github.io/Logging_2283/kartor/A 53682-2024 karta.png", "A 53682-2024")</f>
        <v/>
      </c>
      <c r="V601">
        <f>HYPERLINK("https://klasma.github.io/Logging_2283/klagomål/A 53682-2024 FSC-klagomål.docx", "A 53682-2024")</f>
        <v/>
      </c>
      <c r="W601">
        <f>HYPERLINK("https://klasma.github.io/Logging_2283/klagomålsmail/A 53682-2024 FSC-klagomål mail.docx", "A 53682-2024")</f>
        <v/>
      </c>
      <c r="X601">
        <f>HYPERLINK("https://klasma.github.io/Logging_2283/tillsyn/A 53682-2024 tillsynsbegäran.docx", "A 53682-2024")</f>
        <v/>
      </c>
      <c r="Y601">
        <f>HYPERLINK("https://klasma.github.io/Logging_2283/tillsynsmail/A 53682-2024 tillsynsbegäran mail.docx", "A 53682-2024")</f>
        <v/>
      </c>
    </row>
    <row r="602" ht="15" customHeight="1">
      <c r="A602" t="inlineStr">
        <is>
          <t>A 27734-2023</t>
        </is>
      </c>
      <c r="B602" s="1" t="n">
        <v>45098.37017361111</v>
      </c>
      <c r="C602" s="1" t="n">
        <v>46093</v>
      </c>
      <c r="D602" t="inlineStr">
        <is>
          <t>VÄSTERNORRLANDS LÄN</t>
        </is>
      </c>
      <c r="E602" t="inlineStr">
        <is>
          <t>SUNDSVALL</t>
        </is>
      </c>
      <c r="G602" t="n">
        <v>0.8</v>
      </c>
      <c r="H602" t="n">
        <v>3</v>
      </c>
      <c r="I602" t="n">
        <v>0</v>
      </c>
      <c r="J602" t="n">
        <v>1</v>
      </c>
      <c r="K602" t="n">
        <v>0</v>
      </c>
      <c r="L602" t="n">
        <v>1</v>
      </c>
      <c r="M602" t="n">
        <v>0</v>
      </c>
      <c r="N602" t="n">
        <v>0</v>
      </c>
      <c r="O602" t="n">
        <v>2</v>
      </c>
      <c r="P602" t="n">
        <v>1</v>
      </c>
      <c r="Q602" t="n">
        <v>3</v>
      </c>
      <c r="R602" s="2" t="inlineStr">
        <is>
          <t>Grönfink
Björktrast
Skogsduva</t>
        </is>
      </c>
      <c r="S602">
        <f>HYPERLINK("https://klasma.github.io/Logging_2281/artfynd/A 27734-2023 artfynd.xlsx", "A 27734-2023")</f>
        <v/>
      </c>
      <c r="T602">
        <f>HYPERLINK("https://klasma.github.io/Logging_2281/kartor/A 27734-2023 karta.png", "A 27734-2023")</f>
        <v/>
      </c>
      <c r="V602">
        <f>HYPERLINK("https://klasma.github.io/Logging_2281/klagomål/A 27734-2023 FSC-klagomål.docx", "A 27734-2023")</f>
        <v/>
      </c>
      <c r="W602">
        <f>HYPERLINK("https://klasma.github.io/Logging_2281/klagomålsmail/A 27734-2023 FSC-klagomål mail.docx", "A 27734-2023")</f>
        <v/>
      </c>
      <c r="X602">
        <f>HYPERLINK("https://klasma.github.io/Logging_2281/tillsyn/A 27734-2023 tillsynsbegäran.docx", "A 27734-2023")</f>
        <v/>
      </c>
      <c r="Y602">
        <f>HYPERLINK("https://klasma.github.io/Logging_2281/tillsynsmail/A 27734-2023 tillsynsbegäran mail.docx", "A 27734-2023")</f>
        <v/>
      </c>
      <c r="Z602">
        <f>HYPERLINK("https://klasma.github.io/Logging_2281/fåglar/A 27734-2023 prioriterade fågelarter.docx", "A 27734-2023")</f>
        <v/>
      </c>
    </row>
    <row r="603" ht="15" customHeight="1">
      <c r="A603" t="inlineStr">
        <is>
          <t>A 24782-2024</t>
        </is>
      </c>
      <c r="B603" s="1" t="n">
        <v>45460.80252314815</v>
      </c>
      <c r="C603" s="1" t="n">
        <v>46093</v>
      </c>
      <c r="D603" t="inlineStr">
        <is>
          <t>VÄSTERNORRLANDS LÄN</t>
        </is>
      </c>
      <c r="E603" t="inlineStr">
        <is>
          <t>SUNDSVALL</t>
        </is>
      </c>
      <c r="F603" t="inlineStr">
        <is>
          <t>Kommuner</t>
        </is>
      </c>
      <c r="G603" t="n">
        <v>2.6</v>
      </c>
      <c r="H603" t="n">
        <v>3</v>
      </c>
      <c r="I603" t="n">
        <v>0</v>
      </c>
      <c r="J603" t="n">
        <v>3</v>
      </c>
      <c r="K603" t="n">
        <v>0</v>
      </c>
      <c r="L603" t="n">
        <v>0</v>
      </c>
      <c r="M603" t="n">
        <v>0</v>
      </c>
      <c r="N603" t="n">
        <v>0</v>
      </c>
      <c r="O603" t="n">
        <v>3</v>
      </c>
      <c r="P603" t="n">
        <v>0</v>
      </c>
      <c r="Q603" t="n">
        <v>3</v>
      </c>
      <c r="R603" s="2" t="inlineStr">
        <is>
          <t>Grönsångare
Talltita
Tretåig hackspett</t>
        </is>
      </c>
      <c r="S603">
        <f>HYPERLINK("https://klasma.github.io/Logging_2281/artfynd/A 24782-2024 artfynd.xlsx", "A 24782-2024")</f>
        <v/>
      </c>
      <c r="T603">
        <f>HYPERLINK("https://klasma.github.io/Logging_2281/kartor/A 24782-2024 karta.png", "A 24782-2024")</f>
        <v/>
      </c>
      <c r="V603">
        <f>HYPERLINK("https://klasma.github.io/Logging_2281/klagomål/A 24782-2024 FSC-klagomål.docx", "A 24782-2024")</f>
        <v/>
      </c>
      <c r="W603">
        <f>HYPERLINK("https://klasma.github.io/Logging_2281/klagomålsmail/A 24782-2024 FSC-klagomål mail.docx", "A 24782-2024")</f>
        <v/>
      </c>
      <c r="X603">
        <f>HYPERLINK("https://klasma.github.io/Logging_2281/tillsyn/A 24782-2024 tillsynsbegäran.docx", "A 24782-2024")</f>
        <v/>
      </c>
      <c r="Y603">
        <f>HYPERLINK("https://klasma.github.io/Logging_2281/tillsynsmail/A 24782-2024 tillsynsbegäran mail.docx", "A 24782-2024")</f>
        <v/>
      </c>
      <c r="Z603">
        <f>HYPERLINK("https://klasma.github.io/Logging_2281/fåglar/A 24782-2024 prioriterade fågelarter.docx", "A 24782-2024")</f>
        <v/>
      </c>
    </row>
    <row r="604" ht="15" customHeight="1">
      <c r="A604" t="inlineStr">
        <is>
          <t>A 47816-2022</t>
        </is>
      </c>
      <c r="B604" s="1" t="n">
        <v>44854</v>
      </c>
      <c r="C604" s="1" t="n">
        <v>46093</v>
      </c>
      <c r="D604" t="inlineStr">
        <is>
          <t>VÄSTERNORRLANDS LÄN</t>
        </is>
      </c>
      <c r="E604" t="inlineStr">
        <is>
          <t>TIMRÅ</t>
        </is>
      </c>
      <c r="F604" t="inlineStr">
        <is>
          <t>SCA</t>
        </is>
      </c>
      <c r="G604" t="n">
        <v>2.9</v>
      </c>
      <c r="H604" t="n">
        <v>0</v>
      </c>
      <c r="I604" t="n">
        <v>0</v>
      </c>
      <c r="J604" t="n">
        <v>3</v>
      </c>
      <c r="K604" t="n">
        <v>0</v>
      </c>
      <c r="L604" t="n">
        <v>0</v>
      </c>
      <c r="M604" t="n">
        <v>0</v>
      </c>
      <c r="N604" t="n">
        <v>0</v>
      </c>
      <c r="O604" t="n">
        <v>3</v>
      </c>
      <c r="P604" t="n">
        <v>0</v>
      </c>
      <c r="Q604" t="n">
        <v>3</v>
      </c>
      <c r="R604" s="2" t="inlineStr">
        <is>
          <t>Garnlav
Tallticka
Violettgrå tagellav</t>
        </is>
      </c>
      <c r="S604">
        <f>HYPERLINK("https://klasma.github.io/Logging_2262/artfynd/A 47816-2022 artfynd.xlsx", "A 47816-2022")</f>
        <v/>
      </c>
      <c r="T604">
        <f>HYPERLINK("https://klasma.github.io/Logging_2262/kartor/A 47816-2022 karta.png", "A 47816-2022")</f>
        <v/>
      </c>
      <c r="V604">
        <f>HYPERLINK("https://klasma.github.io/Logging_2262/klagomål/A 47816-2022 FSC-klagomål.docx", "A 47816-2022")</f>
        <v/>
      </c>
      <c r="W604">
        <f>HYPERLINK("https://klasma.github.io/Logging_2262/klagomålsmail/A 47816-2022 FSC-klagomål mail.docx", "A 47816-2022")</f>
        <v/>
      </c>
      <c r="X604">
        <f>HYPERLINK("https://klasma.github.io/Logging_2262/tillsyn/A 47816-2022 tillsynsbegäran.docx", "A 47816-2022")</f>
        <v/>
      </c>
      <c r="Y604">
        <f>HYPERLINK("https://klasma.github.io/Logging_2262/tillsynsmail/A 47816-2022 tillsynsbegäran mail.docx", "A 47816-2022")</f>
        <v/>
      </c>
    </row>
    <row r="605" ht="15" customHeight="1">
      <c r="A605" t="inlineStr">
        <is>
          <t>A 32487-2021</t>
        </is>
      </c>
      <c r="B605" s="1" t="n">
        <v>44371</v>
      </c>
      <c r="C605" s="1" t="n">
        <v>46093</v>
      </c>
      <c r="D605" t="inlineStr">
        <is>
          <t>VÄSTERNORRLANDS LÄN</t>
        </is>
      </c>
      <c r="E605" t="inlineStr">
        <is>
          <t>TIMRÅ</t>
        </is>
      </c>
      <c r="F605" t="inlineStr">
        <is>
          <t>Kyrkan</t>
        </is>
      </c>
      <c r="G605" t="n">
        <v>21</v>
      </c>
      <c r="H605" t="n">
        <v>1</v>
      </c>
      <c r="I605" t="n">
        <v>0</v>
      </c>
      <c r="J605" t="n">
        <v>3</v>
      </c>
      <c r="K605" t="n">
        <v>0</v>
      </c>
      <c r="L605" t="n">
        <v>0</v>
      </c>
      <c r="M605" t="n">
        <v>0</v>
      </c>
      <c r="N605" t="n">
        <v>0</v>
      </c>
      <c r="O605" t="n">
        <v>3</v>
      </c>
      <c r="P605" t="n">
        <v>0</v>
      </c>
      <c r="Q605" t="n">
        <v>3</v>
      </c>
      <c r="R605" s="2" t="inlineStr">
        <is>
          <t>Garnlav
Spillkråka
Vedskivlav</t>
        </is>
      </c>
      <c r="S605">
        <f>HYPERLINK("https://klasma.github.io/Logging_2262/artfynd/A 32487-2021 artfynd.xlsx", "A 32487-2021")</f>
        <v/>
      </c>
      <c r="T605">
        <f>HYPERLINK("https://klasma.github.io/Logging_2262/kartor/A 32487-2021 karta.png", "A 32487-2021")</f>
        <v/>
      </c>
      <c r="V605">
        <f>HYPERLINK("https://klasma.github.io/Logging_2262/klagomål/A 32487-2021 FSC-klagomål.docx", "A 32487-2021")</f>
        <v/>
      </c>
      <c r="W605">
        <f>HYPERLINK("https://klasma.github.io/Logging_2262/klagomålsmail/A 32487-2021 FSC-klagomål mail.docx", "A 32487-2021")</f>
        <v/>
      </c>
      <c r="X605">
        <f>HYPERLINK("https://klasma.github.io/Logging_2262/tillsyn/A 32487-2021 tillsynsbegäran.docx", "A 32487-2021")</f>
        <v/>
      </c>
      <c r="Y605">
        <f>HYPERLINK("https://klasma.github.io/Logging_2262/tillsynsmail/A 32487-2021 tillsynsbegäran mail.docx", "A 32487-2021")</f>
        <v/>
      </c>
      <c r="Z605">
        <f>HYPERLINK("https://klasma.github.io/Logging_2262/fåglar/A 32487-2021 prioriterade fågelarter.docx", "A 32487-2021")</f>
        <v/>
      </c>
    </row>
    <row r="606" ht="15" customHeight="1">
      <c r="A606" t="inlineStr">
        <is>
          <t>A 24795-2024</t>
        </is>
      </c>
      <c r="B606" s="1" t="n">
        <v>45460.95252314815</v>
      </c>
      <c r="C606" s="1" t="n">
        <v>46093</v>
      </c>
      <c r="D606" t="inlineStr">
        <is>
          <t>VÄSTERNORRLANDS LÄN</t>
        </is>
      </c>
      <c r="E606" t="inlineStr">
        <is>
          <t>ÅNGE</t>
        </is>
      </c>
      <c r="F606" t="inlineStr">
        <is>
          <t>SCA</t>
        </is>
      </c>
      <c r="G606" t="n">
        <v>2.2</v>
      </c>
      <c r="H606" t="n">
        <v>1</v>
      </c>
      <c r="I606" t="n">
        <v>2</v>
      </c>
      <c r="J606" t="n">
        <v>1</v>
      </c>
      <c r="K606" t="n">
        <v>0</v>
      </c>
      <c r="L606" t="n">
        <v>0</v>
      </c>
      <c r="M606" t="n">
        <v>0</v>
      </c>
      <c r="N606" t="n">
        <v>0</v>
      </c>
      <c r="O606" t="n">
        <v>1</v>
      </c>
      <c r="P606" t="n">
        <v>0</v>
      </c>
      <c r="Q606" t="n">
        <v>3</v>
      </c>
      <c r="R606" s="2" t="inlineStr">
        <is>
          <t>Lunglav
Plattlummer
Skinnlav</t>
        </is>
      </c>
      <c r="S606">
        <f>HYPERLINK("https://klasma.github.io/Logging_2260/artfynd/A 24795-2024 artfynd.xlsx", "A 24795-2024")</f>
        <v/>
      </c>
      <c r="T606">
        <f>HYPERLINK("https://klasma.github.io/Logging_2260/kartor/A 24795-2024 karta.png", "A 24795-2024")</f>
        <v/>
      </c>
      <c r="V606">
        <f>HYPERLINK("https://klasma.github.io/Logging_2260/klagomål/A 24795-2024 FSC-klagomål.docx", "A 24795-2024")</f>
        <v/>
      </c>
      <c r="W606">
        <f>HYPERLINK("https://klasma.github.io/Logging_2260/klagomålsmail/A 24795-2024 FSC-klagomål mail.docx", "A 24795-2024")</f>
        <v/>
      </c>
      <c r="X606">
        <f>HYPERLINK("https://klasma.github.io/Logging_2260/tillsyn/A 24795-2024 tillsynsbegäran.docx", "A 24795-2024")</f>
        <v/>
      </c>
      <c r="Y606">
        <f>HYPERLINK("https://klasma.github.io/Logging_2260/tillsynsmail/A 24795-2024 tillsynsbegäran mail.docx", "A 24795-2024")</f>
        <v/>
      </c>
    </row>
    <row r="607" ht="15" customHeight="1">
      <c r="A607" t="inlineStr">
        <is>
          <t>A 48017-2024</t>
        </is>
      </c>
      <c r="B607" s="1" t="n">
        <v>45589.46935185185</v>
      </c>
      <c r="C607" s="1" t="n">
        <v>46093</v>
      </c>
      <c r="D607" t="inlineStr">
        <is>
          <t>VÄSTERNORRLANDS LÄN</t>
        </is>
      </c>
      <c r="E607" t="inlineStr">
        <is>
          <t>SOLLEFTEÅ</t>
        </is>
      </c>
      <c r="F607" t="inlineStr">
        <is>
          <t>SCA</t>
        </is>
      </c>
      <c r="G607" t="n">
        <v>1.4</v>
      </c>
      <c r="H607" t="n">
        <v>0</v>
      </c>
      <c r="I607" t="n">
        <v>1</v>
      </c>
      <c r="J607" t="n">
        <v>2</v>
      </c>
      <c r="K607" t="n">
        <v>0</v>
      </c>
      <c r="L607" t="n">
        <v>0</v>
      </c>
      <c r="M607" t="n">
        <v>0</v>
      </c>
      <c r="N607" t="n">
        <v>0</v>
      </c>
      <c r="O607" t="n">
        <v>2</v>
      </c>
      <c r="P607" t="n">
        <v>0</v>
      </c>
      <c r="Q607" t="n">
        <v>3</v>
      </c>
      <c r="R607" s="2" t="inlineStr">
        <is>
          <t>Garnlav
Kolflarnlav
Dropptaggsvamp</t>
        </is>
      </c>
      <c r="S607">
        <f>HYPERLINK("https://klasma.github.io/Logging_2283/artfynd/A 48017-2024 artfynd.xlsx", "A 48017-2024")</f>
        <v/>
      </c>
      <c r="T607">
        <f>HYPERLINK("https://klasma.github.io/Logging_2283/kartor/A 48017-2024 karta.png", "A 48017-2024")</f>
        <v/>
      </c>
      <c r="V607">
        <f>HYPERLINK("https://klasma.github.io/Logging_2283/klagomål/A 48017-2024 FSC-klagomål.docx", "A 48017-2024")</f>
        <v/>
      </c>
      <c r="W607">
        <f>HYPERLINK("https://klasma.github.io/Logging_2283/klagomålsmail/A 48017-2024 FSC-klagomål mail.docx", "A 48017-2024")</f>
        <v/>
      </c>
      <c r="X607">
        <f>HYPERLINK("https://klasma.github.io/Logging_2283/tillsyn/A 48017-2024 tillsynsbegäran.docx", "A 48017-2024")</f>
        <v/>
      </c>
      <c r="Y607">
        <f>HYPERLINK("https://klasma.github.io/Logging_2283/tillsynsmail/A 48017-2024 tillsynsbegäran mail.docx", "A 48017-2024")</f>
        <v/>
      </c>
    </row>
    <row r="608" ht="15" customHeight="1">
      <c r="A608" t="inlineStr">
        <is>
          <t>A 61481-2021</t>
        </is>
      </c>
      <c r="B608" s="1" t="n">
        <v>44500</v>
      </c>
      <c r="C608" s="1" t="n">
        <v>46093</v>
      </c>
      <c r="D608" t="inlineStr">
        <is>
          <t>VÄSTERNORRLANDS LÄN</t>
        </is>
      </c>
      <c r="E608" t="inlineStr">
        <is>
          <t>SOLLEFTEÅ</t>
        </is>
      </c>
      <c r="F608" t="inlineStr">
        <is>
          <t>SCA</t>
        </is>
      </c>
      <c r="G608" t="n">
        <v>6.8</v>
      </c>
      <c r="H608" t="n">
        <v>0</v>
      </c>
      <c r="I608" t="n">
        <v>1</v>
      </c>
      <c r="J608" t="n">
        <v>2</v>
      </c>
      <c r="K608" t="n">
        <v>0</v>
      </c>
      <c r="L608" t="n">
        <v>0</v>
      </c>
      <c r="M608" t="n">
        <v>0</v>
      </c>
      <c r="N608" t="n">
        <v>0</v>
      </c>
      <c r="O608" t="n">
        <v>2</v>
      </c>
      <c r="P608" t="n">
        <v>0</v>
      </c>
      <c r="Q608" t="n">
        <v>3</v>
      </c>
      <c r="R608" s="2" t="inlineStr">
        <is>
          <t>Lunglav
Skrovellav
Kambräken</t>
        </is>
      </c>
      <c r="S608">
        <f>HYPERLINK("https://klasma.github.io/Logging_2283/artfynd/A 61481-2021 artfynd.xlsx", "A 61481-2021")</f>
        <v/>
      </c>
      <c r="T608">
        <f>HYPERLINK("https://klasma.github.io/Logging_2283/kartor/A 61481-2021 karta.png", "A 61481-2021")</f>
        <v/>
      </c>
      <c r="V608">
        <f>HYPERLINK("https://klasma.github.io/Logging_2283/klagomål/A 61481-2021 FSC-klagomål.docx", "A 61481-2021")</f>
        <v/>
      </c>
      <c r="W608">
        <f>HYPERLINK("https://klasma.github.io/Logging_2283/klagomålsmail/A 61481-2021 FSC-klagomål mail.docx", "A 61481-2021")</f>
        <v/>
      </c>
      <c r="X608">
        <f>HYPERLINK("https://klasma.github.io/Logging_2283/tillsyn/A 61481-2021 tillsynsbegäran.docx", "A 61481-2021")</f>
        <v/>
      </c>
      <c r="Y608">
        <f>HYPERLINK("https://klasma.github.io/Logging_2283/tillsynsmail/A 61481-2021 tillsynsbegäran mail.docx", "A 61481-2021")</f>
        <v/>
      </c>
    </row>
    <row r="609" ht="15" customHeight="1">
      <c r="A609" t="inlineStr">
        <is>
          <t>A 59046-2022</t>
        </is>
      </c>
      <c r="B609" s="1" t="n">
        <v>44903</v>
      </c>
      <c r="C609" s="1" t="n">
        <v>46093</v>
      </c>
      <c r="D609" t="inlineStr">
        <is>
          <t>VÄSTERNORRLANDS LÄN</t>
        </is>
      </c>
      <c r="E609" t="inlineStr">
        <is>
          <t>SOLLEFTEÅ</t>
        </is>
      </c>
      <c r="F609" t="inlineStr">
        <is>
          <t>SCA</t>
        </is>
      </c>
      <c r="G609" t="n">
        <v>10.3</v>
      </c>
      <c r="H609" t="n">
        <v>1</v>
      </c>
      <c r="I609" t="n">
        <v>0</v>
      </c>
      <c r="J609" t="n">
        <v>3</v>
      </c>
      <c r="K609" t="n">
        <v>0</v>
      </c>
      <c r="L609" t="n">
        <v>0</v>
      </c>
      <c r="M609" t="n">
        <v>0</v>
      </c>
      <c r="N609" t="n">
        <v>0</v>
      </c>
      <c r="O609" t="n">
        <v>3</v>
      </c>
      <c r="P609" t="n">
        <v>0</v>
      </c>
      <c r="Q609" t="n">
        <v>3</v>
      </c>
      <c r="R609" s="2" t="inlineStr">
        <is>
          <t>Lunglav
Orange taggsvamp
Tretåig hackspett</t>
        </is>
      </c>
      <c r="S609">
        <f>HYPERLINK("https://klasma.github.io/Logging_2283/artfynd/A 59046-2022 artfynd.xlsx", "A 59046-2022")</f>
        <v/>
      </c>
      <c r="T609">
        <f>HYPERLINK("https://klasma.github.io/Logging_2283/kartor/A 59046-2022 karta.png", "A 59046-2022")</f>
        <v/>
      </c>
      <c r="V609">
        <f>HYPERLINK("https://klasma.github.io/Logging_2283/klagomål/A 59046-2022 FSC-klagomål.docx", "A 59046-2022")</f>
        <v/>
      </c>
      <c r="W609">
        <f>HYPERLINK("https://klasma.github.io/Logging_2283/klagomålsmail/A 59046-2022 FSC-klagomål mail.docx", "A 59046-2022")</f>
        <v/>
      </c>
      <c r="X609">
        <f>HYPERLINK("https://klasma.github.io/Logging_2283/tillsyn/A 59046-2022 tillsynsbegäran.docx", "A 59046-2022")</f>
        <v/>
      </c>
      <c r="Y609">
        <f>HYPERLINK("https://klasma.github.io/Logging_2283/tillsynsmail/A 59046-2022 tillsynsbegäran mail.docx", "A 59046-2022")</f>
        <v/>
      </c>
      <c r="Z609">
        <f>HYPERLINK("https://klasma.github.io/Logging_2283/fåglar/A 59046-2022 prioriterade fågelarter.docx", "A 59046-2022")</f>
        <v/>
      </c>
    </row>
    <row r="610" ht="15" customHeight="1">
      <c r="A610" t="inlineStr">
        <is>
          <t>A 39029-2025</t>
        </is>
      </c>
      <c r="B610" s="1" t="n">
        <v>45888.40684027778</v>
      </c>
      <c r="C610" s="1" t="n">
        <v>46093</v>
      </c>
      <c r="D610" t="inlineStr">
        <is>
          <t>VÄSTERNORRLANDS LÄN</t>
        </is>
      </c>
      <c r="E610" t="inlineStr">
        <is>
          <t>ÅNGE</t>
        </is>
      </c>
      <c r="F610" t="inlineStr">
        <is>
          <t>SCA</t>
        </is>
      </c>
      <c r="G610" t="n">
        <v>2.4</v>
      </c>
      <c r="H610" t="n">
        <v>2</v>
      </c>
      <c r="I610" t="n">
        <v>0</v>
      </c>
      <c r="J610" t="n">
        <v>1</v>
      </c>
      <c r="K610" t="n">
        <v>0</v>
      </c>
      <c r="L610" t="n">
        <v>0</v>
      </c>
      <c r="M610" t="n">
        <v>0</v>
      </c>
      <c r="N610" t="n">
        <v>0</v>
      </c>
      <c r="O610" t="n">
        <v>1</v>
      </c>
      <c r="P610" t="n">
        <v>0</v>
      </c>
      <c r="Q610" t="n">
        <v>3</v>
      </c>
      <c r="R610" s="2" t="inlineStr">
        <is>
          <t>Kolflarnlav
Fläcknycklar
Revlummer</t>
        </is>
      </c>
      <c r="S610">
        <f>HYPERLINK("https://klasma.github.io/Logging_2260/artfynd/A 39029-2025 artfynd.xlsx", "A 39029-2025")</f>
        <v/>
      </c>
      <c r="T610">
        <f>HYPERLINK("https://klasma.github.io/Logging_2260/kartor/A 39029-2025 karta.png", "A 39029-2025")</f>
        <v/>
      </c>
      <c r="V610">
        <f>HYPERLINK("https://klasma.github.io/Logging_2260/klagomål/A 39029-2025 FSC-klagomål.docx", "A 39029-2025")</f>
        <v/>
      </c>
      <c r="W610">
        <f>HYPERLINK("https://klasma.github.io/Logging_2260/klagomålsmail/A 39029-2025 FSC-klagomål mail.docx", "A 39029-2025")</f>
        <v/>
      </c>
      <c r="X610">
        <f>HYPERLINK("https://klasma.github.io/Logging_2260/tillsyn/A 39029-2025 tillsynsbegäran.docx", "A 39029-2025")</f>
        <v/>
      </c>
      <c r="Y610">
        <f>HYPERLINK("https://klasma.github.io/Logging_2260/tillsynsmail/A 39029-2025 tillsynsbegäran mail.docx", "A 39029-2025")</f>
        <v/>
      </c>
    </row>
    <row r="611" ht="15" customHeight="1">
      <c r="A611" t="inlineStr">
        <is>
          <t>A 14820-2024</t>
        </is>
      </c>
      <c r="B611" s="1" t="n">
        <v>45397</v>
      </c>
      <c r="C611" s="1" t="n">
        <v>46093</v>
      </c>
      <c r="D611" t="inlineStr">
        <is>
          <t>VÄSTERNORRLANDS LÄN</t>
        </is>
      </c>
      <c r="E611" t="inlineStr">
        <is>
          <t>SUNDSVALL</t>
        </is>
      </c>
      <c r="F611" t="inlineStr">
        <is>
          <t>SCA</t>
        </is>
      </c>
      <c r="G611" t="n">
        <v>13.1</v>
      </c>
      <c r="H611" t="n">
        <v>0</v>
      </c>
      <c r="I611" t="n">
        <v>1</v>
      </c>
      <c r="J611" t="n">
        <v>2</v>
      </c>
      <c r="K611" t="n">
        <v>0</v>
      </c>
      <c r="L611" t="n">
        <v>0</v>
      </c>
      <c r="M611" t="n">
        <v>0</v>
      </c>
      <c r="N611" t="n">
        <v>0</v>
      </c>
      <c r="O611" t="n">
        <v>2</v>
      </c>
      <c r="P611" t="n">
        <v>0</v>
      </c>
      <c r="Q611" t="n">
        <v>3</v>
      </c>
      <c r="R611" s="2" t="inlineStr">
        <is>
          <t>Garnlav
Lunglav
Luddlav</t>
        </is>
      </c>
      <c r="S611">
        <f>HYPERLINK("https://klasma.github.io/Logging_2281/artfynd/A 14820-2024 artfynd.xlsx", "A 14820-2024")</f>
        <v/>
      </c>
      <c r="T611">
        <f>HYPERLINK("https://klasma.github.io/Logging_2281/kartor/A 14820-2024 karta.png", "A 14820-2024")</f>
        <v/>
      </c>
      <c r="V611">
        <f>HYPERLINK("https://klasma.github.io/Logging_2281/klagomål/A 14820-2024 FSC-klagomål.docx", "A 14820-2024")</f>
        <v/>
      </c>
      <c r="W611">
        <f>HYPERLINK("https://klasma.github.io/Logging_2281/klagomålsmail/A 14820-2024 FSC-klagomål mail.docx", "A 14820-2024")</f>
        <v/>
      </c>
      <c r="X611">
        <f>HYPERLINK("https://klasma.github.io/Logging_2281/tillsyn/A 14820-2024 tillsynsbegäran.docx", "A 14820-2024")</f>
        <v/>
      </c>
      <c r="Y611">
        <f>HYPERLINK("https://klasma.github.io/Logging_2281/tillsynsmail/A 14820-2024 tillsynsbegäran mail.docx", "A 14820-2024")</f>
        <v/>
      </c>
    </row>
    <row r="612" ht="15" customHeight="1">
      <c r="A612" t="inlineStr">
        <is>
          <t>A 39925-2025</t>
        </is>
      </c>
      <c r="B612" s="1" t="n">
        <v>45891.6775</v>
      </c>
      <c r="C612" s="1" t="n">
        <v>46093</v>
      </c>
      <c r="D612" t="inlineStr">
        <is>
          <t>VÄSTERNORRLANDS LÄN</t>
        </is>
      </c>
      <c r="E612" t="inlineStr">
        <is>
          <t>SUNDSVALL</t>
        </is>
      </c>
      <c r="F612" t="inlineStr">
        <is>
          <t>SCA</t>
        </is>
      </c>
      <c r="G612" t="n">
        <v>6.2</v>
      </c>
      <c r="H612" t="n">
        <v>1</v>
      </c>
      <c r="I612" t="n">
        <v>0</v>
      </c>
      <c r="J612" t="n">
        <v>3</v>
      </c>
      <c r="K612" t="n">
        <v>0</v>
      </c>
      <c r="L612" t="n">
        <v>0</v>
      </c>
      <c r="M612" t="n">
        <v>0</v>
      </c>
      <c r="N612" t="n">
        <v>0</v>
      </c>
      <c r="O612" t="n">
        <v>3</v>
      </c>
      <c r="P612" t="n">
        <v>0</v>
      </c>
      <c r="Q612" t="n">
        <v>3</v>
      </c>
      <c r="R612" s="2" t="inlineStr">
        <is>
          <t>Garnlav
Lunglav
Spillkråka</t>
        </is>
      </c>
      <c r="S612">
        <f>HYPERLINK("https://klasma.github.io/Logging_2281/artfynd/A 39925-2025 artfynd.xlsx", "A 39925-2025")</f>
        <v/>
      </c>
      <c r="T612">
        <f>HYPERLINK("https://klasma.github.io/Logging_2281/kartor/A 39925-2025 karta.png", "A 39925-2025")</f>
        <v/>
      </c>
      <c r="V612">
        <f>HYPERLINK("https://klasma.github.io/Logging_2281/klagomål/A 39925-2025 FSC-klagomål.docx", "A 39925-2025")</f>
        <v/>
      </c>
      <c r="W612">
        <f>HYPERLINK("https://klasma.github.io/Logging_2281/klagomålsmail/A 39925-2025 FSC-klagomål mail.docx", "A 39925-2025")</f>
        <v/>
      </c>
      <c r="X612">
        <f>HYPERLINK("https://klasma.github.io/Logging_2281/tillsyn/A 39925-2025 tillsynsbegäran.docx", "A 39925-2025")</f>
        <v/>
      </c>
      <c r="Y612">
        <f>HYPERLINK("https://klasma.github.io/Logging_2281/tillsynsmail/A 39925-2025 tillsynsbegäran mail.docx", "A 39925-2025")</f>
        <v/>
      </c>
      <c r="Z612">
        <f>HYPERLINK("https://klasma.github.io/Logging_2281/fåglar/A 39925-2025 prioriterade fågelarter.docx", "A 39925-2025")</f>
        <v/>
      </c>
    </row>
    <row r="613" ht="15" customHeight="1">
      <c r="A613" t="inlineStr">
        <is>
          <t>A 29665-2024</t>
        </is>
      </c>
      <c r="B613" s="1" t="n">
        <v>45484</v>
      </c>
      <c r="C613" s="1" t="n">
        <v>46093</v>
      </c>
      <c r="D613" t="inlineStr">
        <is>
          <t>VÄSTERNORRLANDS LÄN</t>
        </is>
      </c>
      <c r="E613" t="inlineStr">
        <is>
          <t>ÅNGE</t>
        </is>
      </c>
      <c r="F613" t="inlineStr">
        <is>
          <t>SCA</t>
        </is>
      </c>
      <c r="G613" t="n">
        <v>3.3</v>
      </c>
      <c r="H613" t="n">
        <v>1</v>
      </c>
      <c r="I613" t="n">
        <v>0</v>
      </c>
      <c r="J613" t="n">
        <v>3</v>
      </c>
      <c r="K613" t="n">
        <v>0</v>
      </c>
      <c r="L613" t="n">
        <v>0</v>
      </c>
      <c r="M613" t="n">
        <v>0</v>
      </c>
      <c r="N613" t="n">
        <v>0</v>
      </c>
      <c r="O613" t="n">
        <v>3</v>
      </c>
      <c r="P613" t="n">
        <v>0</v>
      </c>
      <c r="Q613" t="n">
        <v>3</v>
      </c>
      <c r="R613" s="2" t="inlineStr">
        <is>
          <t>Garnlav
Granticka
Utter</t>
        </is>
      </c>
      <c r="S613">
        <f>HYPERLINK("https://klasma.github.io/Logging_2260/artfynd/A 29665-2024 artfynd.xlsx", "A 29665-2024")</f>
        <v/>
      </c>
      <c r="T613">
        <f>HYPERLINK("https://klasma.github.io/Logging_2260/kartor/A 29665-2024 karta.png", "A 29665-2024")</f>
        <v/>
      </c>
      <c r="V613">
        <f>HYPERLINK("https://klasma.github.io/Logging_2260/klagomål/A 29665-2024 FSC-klagomål.docx", "A 29665-2024")</f>
        <v/>
      </c>
      <c r="W613">
        <f>HYPERLINK("https://klasma.github.io/Logging_2260/klagomålsmail/A 29665-2024 FSC-klagomål mail.docx", "A 29665-2024")</f>
        <v/>
      </c>
      <c r="X613">
        <f>HYPERLINK("https://klasma.github.io/Logging_2260/tillsyn/A 29665-2024 tillsynsbegäran.docx", "A 29665-2024")</f>
        <v/>
      </c>
      <c r="Y613">
        <f>HYPERLINK("https://klasma.github.io/Logging_2260/tillsynsmail/A 29665-2024 tillsynsbegäran mail.docx", "A 29665-2024")</f>
        <v/>
      </c>
    </row>
    <row r="614" ht="15" customHeight="1">
      <c r="A614" t="inlineStr">
        <is>
          <t>A 29691-2024</t>
        </is>
      </c>
      <c r="B614" s="1" t="n">
        <v>45484.9446875</v>
      </c>
      <c r="C614" s="1" t="n">
        <v>46093</v>
      </c>
      <c r="D614" t="inlineStr">
        <is>
          <t>VÄSTERNORRLANDS LÄN</t>
        </is>
      </c>
      <c r="E614" t="inlineStr">
        <is>
          <t>ÅNGE</t>
        </is>
      </c>
      <c r="F614" t="inlineStr">
        <is>
          <t>SCA</t>
        </is>
      </c>
      <c r="G614" t="n">
        <v>6.8</v>
      </c>
      <c r="H614" t="n">
        <v>0</v>
      </c>
      <c r="I614" t="n">
        <v>1</v>
      </c>
      <c r="J614" t="n">
        <v>2</v>
      </c>
      <c r="K614" t="n">
        <v>0</v>
      </c>
      <c r="L614" t="n">
        <v>0</v>
      </c>
      <c r="M614" t="n">
        <v>0</v>
      </c>
      <c r="N614" t="n">
        <v>0</v>
      </c>
      <c r="O614" t="n">
        <v>2</v>
      </c>
      <c r="P614" t="n">
        <v>0</v>
      </c>
      <c r="Q614" t="n">
        <v>3</v>
      </c>
      <c r="R614" s="2" t="inlineStr">
        <is>
          <t>Lunglav
Rosenticka
Vedticka</t>
        </is>
      </c>
      <c r="S614">
        <f>HYPERLINK("https://klasma.github.io/Logging_2260/artfynd/A 29691-2024 artfynd.xlsx", "A 29691-2024")</f>
        <v/>
      </c>
      <c r="T614">
        <f>HYPERLINK("https://klasma.github.io/Logging_2260/kartor/A 29691-2024 karta.png", "A 29691-2024")</f>
        <v/>
      </c>
      <c r="V614">
        <f>HYPERLINK("https://klasma.github.io/Logging_2260/klagomål/A 29691-2024 FSC-klagomål.docx", "A 29691-2024")</f>
        <v/>
      </c>
      <c r="W614">
        <f>HYPERLINK("https://klasma.github.io/Logging_2260/klagomålsmail/A 29691-2024 FSC-klagomål mail.docx", "A 29691-2024")</f>
        <v/>
      </c>
      <c r="X614">
        <f>HYPERLINK("https://klasma.github.io/Logging_2260/tillsyn/A 29691-2024 tillsynsbegäran.docx", "A 29691-2024")</f>
        <v/>
      </c>
      <c r="Y614">
        <f>HYPERLINK("https://klasma.github.io/Logging_2260/tillsynsmail/A 29691-2024 tillsynsbegäran mail.docx", "A 29691-2024")</f>
        <v/>
      </c>
    </row>
    <row r="615" ht="15" customHeight="1">
      <c r="A615" t="inlineStr">
        <is>
          <t>A 1285-2023</t>
        </is>
      </c>
      <c r="B615" s="1" t="n">
        <v>44936</v>
      </c>
      <c r="C615" s="1" t="n">
        <v>46093</v>
      </c>
      <c r="D615" t="inlineStr">
        <is>
          <t>VÄSTERNORRLANDS LÄN</t>
        </is>
      </c>
      <c r="E615" t="inlineStr">
        <is>
          <t>ÖRNSKÖLDSVIK</t>
        </is>
      </c>
      <c r="G615" t="n">
        <v>2.6</v>
      </c>
      <c r="H615" t="n">
        <v>0</v>
      </c>
      <c r="I615" t="n">
        <v>0</v>
      </c>
      <c r="J615" t="n">
        <v>2</v>
      </c>
      <c r="K615" t="n">
        <v>1</v>
      </c>
      <c r="L615" t="n">
        <v>0</v>
      </c>
      <c r="M615" t="n">
        <v>0</v>
      </c>
      <c r="N615" t="n">
        <v>0</v>
      </c>
      <c r="O615" t="n">
        <v>3</v>
      </c>
      <c r="P615" t="n">
        <v>1</v>
      </c>
      <c r="Q615" t="n">
        <v>3</v>
      </c>
      <c r="R615" s="2" t="inlineStr">
        <is>
          <t>Lappticka
Gammelgransskål
Ullticka</t>
        </is>
      </c>
      <c r="S615">
        <f>HYPERLINK("https://klasma.github.io/Logging_2284/artfynd/A 1285-2023 artfynd.xlsx", "A 1285-2023")</f>
        <v/>
      </c>
      <c r="T615">
        <f>HYPERLINK("https://klasma.github.io/Logging_2284/kartor/A 1285-2023 karta.png", "A 1285-2023")</f>
        <v/>
      </c>
      <c r="V615">
        <f>HYPERLINK("https://klasma.github.io/Logging_2284/klagomål/A 1285-2023 FSC-klagomål.docx", "A 1285-2023")</f>
        <v/>
      </c>
      <c r="W615">
        <f>HYPERLINK("https://klasma.github.io/Logging_2284/klagomålsmail/A 1285-2023 FSC-klagomål mail.docx", "A 1285-2023")</f>
        <v/>
      </c>
      <c r="X615">
        <f>HYPERLINK("https://klasma.github.io/Logging_2284/tillsyn/A 1285-2023 tillsynsbegäran.docx", "A 1285-2023")</f>
        <v/>
      </c>
      <c r="Y615">
        <f>HYPERLINK("https://klasma.github.io/Logging_2284/tillsynsmail/A 1285-2023 tillsynsbegäran mail.docx", "A 1285-2023")</f>
        <v/>
      </c>
    </row>
    <row r="616" ht="15" customHeight="1">
      <c r="A616" t="inlineStr">
        <is>
          <t>A 23939-2024</t>
        </is>
      </c>
      <c r="B616" s="1" t="n">
        <v>45455.96303240741</v>
      </c>
      <c r="C616" s="1" t="n">
        <v>46093</v>
      </c>
      <c r="D616" t="inlineStr">
        <is>
          <t>VÄSTERNORRLANDS LÄN</t>
        </is>
      </c>
      <c r="E616" t="inlineStr">
        <is>
          <t>SOLLEFTEÅ</t>
        </is>
      </c>
      <c r="F616" t="inlineStr">
        <is>
          <t>SCA</t>
        </is>
      </c>
      <c r="G616" t="n">
        <v>3</v>
      </c>
      <c r="H616" t="n">
        <v>1</v>
      </c>
      <c r="I616" t="n">
        <v>1</v>
      </c>
      <c r="J616" t="n">
        <v>2</v>
      </c>
      <c r="K616" t="n">
        <v>0</v>
      </c>
      <c r="L616" t="n">
        <v>0</v>
      </c>
      <c r="M616" t="n">
        <v>0</v>
      </c>
      <c r="N616" t="n">
        <v>0</v>
      </c>
      <c r="O616" t="n">
        <v>2</v>
      </c>
      <c r="P616" t="n">
        <v>0</v>
      </c>
      <c r="Q616" t="n">
        <v>3</v>
      </c>
      <c r="R616" s="2" t="inlineStr">
        <is>
          <t>Lunglav
Talltita
Stuplav</t>
        </is>
      </c>
      <c r="S616">
        <f>HYPERLINK("https://klasma.github.io/Logging_2283/artfynd/A 23939-2024 artfynd.xlsx", "A 23939-2024")</f>
        <v/>
      </c>
      <c r="T616">
        <f>HYPERLINK("https://klasma.github.io/Logging_2283/kartor/A 23939-2024 karta.png", "A 23939-2024")</f>
        <v/>
      </c>
      <c r="V616">
        <f>HYPERLINK("https://klasma.github.io/Logging_2283/klagomål/A 23939-2024 FSC-klagomål.docx", "A 23939-2024")</f>
        <v/>
      </c>
      <c r="W616">
        <f>HYPERLINK("https://klasma.github.io/Logging_2283/klagomålsmail/A 23939-2024 FSC-klagomål mail.docx", "A 23939-2024")</f>
        <v/>
      </c>
      <c r="X616">
        <f>HYPERLINK("https://klasma.github.io/Logging_2283/tillsyn/A 23939-2024 tillsynsbegäran.docx", "A 23939-2024")</f>
        <v/>
      </c>
      <c r="Y616">
        <f>HYPERLINK("https://klasma.github.io/Logging_2283/tillsynsmail/A 23939-2024 tillsynsbegäran mail.docx", "A 23939-2024")</f>
        <v/>
      </c>
      <c r="Z616">
        <f>HYPERLINK("https://klasma.github.io/Logging_2283/fåglar/A 23939-2024 prioriterade fågelarter.docx", "A 23939-2024")</f>
        <v/>
      </c>
    </row>
    <row r="617" ht="15" customHeight="1">
      <c r="A617" t="inlineStr">
        <is>
          <t>A 51212-2022</t>
        </is>
      </c>
      <c r="B617" s="1" t="n">
        <v>44868.62265046296</v>
      </c>
      <c r="C617" s="1" t="n">
        <v>46093</v>
      </c>
      <c r="D617" t="inlineStr">
        <is>
          <t>VÄSTERNORRLANDS LÄN</t>
        </is>
      </c>
      <c r="E617" t="inlineStr">
        <is>
          <t>SOLLEFTEÅ</t>
        </is>
      </c>
      <c r="F617" t="inlineStr">
        <is>
          <t>Holmen skog AB</t>
        </is>
      </c>
      <c r="G617" t="n">
        <v>18.3</v>
      </c>
      <c r="H617" t="n">
        <v>1</v>
      </c>
      <c r="I617" t="n">
        <v>1</v>
      </c>
      <c r="J617" t="n">
        <v>1</v>
      </c>
      <c r="K617" t="n">
        <v>1</v>
      </c>
      <c r="L617" t="n">
        <v>0</v>
      </c>
      <c r="M617" t="n">
        <v>0</v>
      </c>
      <c r="N617" t="n">
        <v>0</v>
      </c>
      <c r="O617" t="n">
        <v>2</v>
      </c>
      <c r="P617" t="n">
        <v>1</v>
      </c>
      <c r="Q617" t="n">
        <v>3</v>
      </c>
      <c r="R617" s="2" t="inlineStr">
        <is>
          <t>Doftticka
Lunglav
Stuplav</t>
        </is>
      </c>
      <c r="S617">
        <f>HYPERLINK("https://klasma.github.io/Logging_2283/artfynd/A 51212-2022 artfynd.xlsx", "A 51212-2022")</f>
        <v/>
      </c>
      <c r="T617">
        <f>HYPERLINK("https://klasma.github.io/Logging_2283/kartor/A 51212-2022 karta.png", "A 51212-2022")</f>
        <v/>
      </c>
      <c r="V617">
        <f>HYPERLINK("https://klasma.github.io/Logging_2283/klagomål/A 51212-2022 FSC-klagomål.docx", "A 51212-2022")</f>
        <v/>
      </c>
      <c r="W617">
        <f>HYPERLINK("https://klasma.github.io/Logging_2283/klagomålsmail/A 51212-2022 FSC-klagomål mail.docx", "A 51212-2022")</f>
        <v/>
      </c>
      <c r="X617">
        <f>HYPERLINK("https://klasma.github.io/Logging_2283/tillsyn/A 51212-2022 tillsynsbegäran.docx", "A 51212-2022")</f>
        <v/>
      </c>
      <c r="Y617">
        <f>HYPERLINK("https://klasma.github.io/Logging_2283/tillsynsmail/A 51212-2022 tillsynsbegäran mail.docx", "A 51212-2022")</f>
        <v/>
      </c>
    </row>
    <row r="618" ht="15" customHeight="1">
      <c r="A618" t="inlineStr">
        <is>
          <t>A 67478-2021</t>
        </is>
      </c>
      <c r="B618" s="1" t="n">
        <v>44524</v>
      </c>
      <c r="C618" s="1" t="n">
        <v>46093</v>
      </c>
      <c r="D618" t="inlineStr">
        <is>
          <t>VÄSTERNORRLANDS LÄN</t>
        </is>
      </c>
      <c r="E618" t="inlineStr">
        <is>
          <t>KRAMFORS</t>
        </is>
      </c>
      <c r="G618" t="n">
        <v>1.8</v>
      </c>
      <c r="H618" t="n">
        <v>0</v>
      </c>
      <c r="I618" t="n">
        <v>1</v>
      </c>
      <c r="J618" t="n">
        <v>1</v>
      </c>
      <c r="K618" t="n">
        <v>1</v>
      </c>
      <c r="L618" t="n">
        <v>0</v>
      </c>
      <c r="M618" t="n">
        <v>0</v>
      </c>
      <c r="N618" t="n">
        <v>0</v>
      </c>
      <c r="O618" t="n">
        <v>2</v>
      </c>
      <c r="P618" t="n">
        <v>1</v>
      </c>
      <c r="Q618" t="n">
        <v>3</v>
      </c>
      <c r="R618" s="2" t="inlineStr">
        <is>
          <t>Aspfjädermossa
Ullticka
Rävticka</t>
        </is>
      </c>
      <c r="S618">
        <f>HYPERLINK("https://klasma.github.io/Logging_2282/artfynd/A 67478-2021 artfynd.xlsx", "A 67478-2021")</f>
        <v/>
      </c>
      <c r="T618">
        <f>HYPERLINK("https://klasma.github.io/Logging_2282/kartor/A 67478-2021 karta.png", "A 67478-2021")</f>
        <v/>
      </c>
      <c r="V618">
        <f>HYPERLINK("https://klasma.github.io/Logging_2282/klagomål/A 67478-2021 FSC-klagomål.docx", "A 67478-2021")</f>
        <v/>
      </c>
      <c r="W618">
        <f>HYPERLINK("https://klasma.github.io/Logging_2282/klagomålsmail/A 67478-2021 FSC-klagomål mail.docx", "A 67478-2021")</f>
        <v/>
      </c>
      <c r="X618">
        <f>HYPERLINK("https://klasma.github.io/Logging_2282/tillsyn/A 67478-2021 tillsynsbegäran.docx", "A 67478-2021")</f>
        <v/>
      </c>
      <c r="Y618">
        <f>HYPERLINK("https://klasma.github.io/Logging_2282/tillsynsmail/A 67478-2021 tillsynsbegäran mail.docx", "A 67478-2021")</f>
        <v/>
      </c>
    </row>
    <row r="619" ht="15" customHeight="1">
      <c r="A619" t="inlineStr">
        <is>
          <t>A 28274-2023</t>
        </is>
      </c>
      <c r="B619" s="1" t="n">
        <v>45099</v>
      </c>
      <c r="C619" s="1" t="n">
        <v>46093</v>
      </c>
      <c r="D619" t="inlineStr">
        <is>
          <t>VÄSTERNORRLANDS LÄN</t>
        </is>
      </c>
      <c r="E619" t="inlineStr">
        <is>
          <t>ÅNGE</t>
        </is>
      </c>
      <c r="G619" t="n">
        <v>19.2</v>
      </c>
      <c r="H619" t="n">
        <v>1</v>
      </c>
      <c r="I619" t="n">
        <v>1</v>
      </c>
      <c r="J619" t="n">
        <v>1</v>
      </c>
      <c r="K619" t="n">
        <v>1</v>
      </c>
      <c r="L619" t="n">
        <v>0</v>
      </c>
      <c r="M619" t="n">
        <v>0</v>
      </c>
      <c r="N619" t="n">
        <v>0</v>
      </c>
      <c r="O619" t="n">
        <v>2</v>
      </c>
      <c r="P619" t="n">
        <v>1</v>
      </c>
      <c r="Q619" t="n">
        <v>3</v>
      </c>
      <c r="R619" s="2" t="inlineStr">
        <is>
          <t>Knärot
Lunglav
Grönpyrola</t>
        </is>
      </c>
      <c r="S619">
        <f>HYPERLINK("https://klasma.github.io/Logging_2260/artfynd/A 28274-2023 artfynd.xlsx", "A 28274-2023")</f>
        <v/>
      </c>
      <c r="T619">
        <f>HYPERLINK("https://klasma.github.io/Logging_2260/kartor/A 28274-2023 karta.png", "A 28274-2023")</f>
        <v/>
      </c>
      <c r="U619">
        <f>HYPERLINK("https://klasma.github.io/Logging_2260/knärot/A 28274-2023 karta knärot.png", "A 28274-2023")</f>
        <v/>
      </c>
      <c r="V619">
        <f>HYPERLINK("https://klasma.github.io/Logging_2260/klagomål/A 28274-2023 FSC-klagomål.docx", "A 28274-2023")</f>
        <v/>
      </c>
      <c r="W619">
        <f>HYPERLINK("https://klasma.github.io/Logging_2260/klagomålsmail/A 28274-2023 FSC-klagomål mail.docx", "A 28274-2023")</f>
        <v/>
      </c>
      <c r="X619">
        <f>HYPERLINK("https://klasma.github.io/Logging_2260/tillsyn/A 28274-2023 tillsynsbegäran.docx", "A 28274-2023")</f>
        <v/>
      </c>
      <c r="Y619">
        <f>HYPERLINK("https://klasma.github.io/Logging_2260/tillsynsmail/A 28274-2023 tillsynsbegäran mail.docx", "A 28274-2023")</f>
        <v/>
      </c>
    </row>
    <row r="620" ht="15" customHeight="1">
      <c r="A620" t="inlineStr">
        <is>
          <t>A 14955-2025</t>
        </is>
      </c>
      <c r="B620" s="1" t="n">
        <v>45743</v>
      </c>
      <c r="C620" s="1" t="n">
        <v>46093</v>
      </c>
      <c r="D620" t="inlineStr">
        <is>
          <t>VÄSTERNORRLANDS LÄN</t>
        </is>
      </c>
      <c r="E620" t="inlineStr">
        <is>
          <t>TIMRÅ</t>
        </is>
      </c>
      <c r="G620" t="n">
        <v>0.8</v>
      </c>
      <c r="H620" t="n">
        <v>1</v>
      </c>
      <c r="I620" t="n">
        <v>0</v>
      </c>
      <c r="J620" t="n">
        <v>1</v>
      </c>
      <c r="K620" t="n">
        <v>1</v>
      </c>
      <c r="L620" t="n">
        <v>0</v>
      </c>
      <c r="M620" t="n">
        <v>0</v>
      </c>
      <c r="N620" t="n">
        <v>0</v>
      </c>
      <c r="O620" t="n">
        <v>2</v>
      </c>
      <c r="P620" t="n">
        <v>1</v>
      </c>
      <c r="Q620" t="n">
        <v>3</v>
      </c>
      <c r="R620" s="2" t="inlineStr">
        <is>
          <t>Rynkskinn
Ullticka
Nattviol</t>
        </is>
      </c>
      <c r="S620">
        <f>HYPERLINK("https://klasma.github.io/Logging_2262/artfynd/A 14955-2025 artfynd.xlsx", "A 14955-2025")</f>
        <v/>
      </c>
      <c r="T620">
        <f>HYPERLINK("https://klasma.github.io/Logging_2262/kartor/A 14955-2025 karta.png", "A 14955-2025")</f>
        <v/>
      </c>
      <c r="V620">
        <f>HYPERLINK("https://klasma.github.io/Logging_2262/klagomål/A 14955-2025 FSC-klagomål.docx", "A 14955-2025")</f>
        <v/>
      </c>
      <c r="W620">
        <f>HYPERLINK("https://klasma.github.io/Logging_2262/klagomålsmail/A 14955-2025 FSC-klagomål mail.docx", "A 14955-2025")</f>
        <v/>
      </c>
      <c r="X620">
        <f>HYPERLINK("https://klasma.github.io/Logging_2262/tillsyn/A 14955-2025 tillsynsbegäran.docx", "A 14955-2025")</f>
        <v/>
      </c>
      <c r="Y620">
        <f>HYPERLINK("https://klasma.github.io/Logging_2262/tillsynsmail/A 14955-2025 tillsynsbegäran mail.docx", "A 14955-2025")</f>
        <v/>
      </c>
    </row>
    <row r="621" ht="15" customHeight="1">
      <c r="A621" t="inlineStr">
        <is>
          <t>A 30287-2023</t>
        </is>
      </c>
      <c r="B621" s="1" t="n">
        <v>45110</v>
      </c>
      <c r="C621" s="1" t="n">
        <v>46093</v>
      </c>
      <c r="D621" t="inlineStr">
        <is>
          <t>VÄSTERNORRLANDS LÄN</t>
        </is>
      </c>
      <c r="E621" t="inlineStr">
        <is>
          <t>SUNDSVALL</t>
        </is>
      </c>
      <c r="G621" t="n">
        <v>2.2</v>
      </c>
      <c r="H621" t="n">
        <v>3</v>
      </c>
      <c r="I621" t="n">
        <v>0</v>
      </c>
      <c r="J621" t="n">
        <v>1</v>
      </c>
      <c r="K621" t="n">
        <v>0</v>
      </c>
      <c r="L621" t="n">
        <v>1</v>
      </c>
      <c r="M621" t="n">
        <v>0</v>
      </c>
      <c r="N621" t="n">
        <v>0</v>
      </c>
      <c r="O621" t="n">
        <v>2</v>
      </c>
      <c r="P621" t="n">
        <v>1</v>
      </c>
      <c r="Q621" t="n">
        <v>3</v>
      </c>
      <c r="R621" s="2" t="inlineStr">
        <is>
          <t>Grönfink
Duvhök
Kungsfågel</t>
        </is>
      </c>
      <c r="S621">
        <f>HYPERLINK("https://klasma.github.io/Logging_2281/artfynd/A 30287-2023 artfynd.xlsx", "A 30287-2023")</f>
        <v/>
      </c>
      <c r="T621">
        <f>HYPERLINK("https://klasma.github.io/Logging_2281/kartor/A 30287-2023 karta.png", "A 30287-2023")</f>
        <v/>
      </c>
      <c r="V621">
        <f>HYPERLINK("https://klasma.github.io/Logging_2281/klagomål/A 30287-2023 FSC-klagomål.docx", "A 30287-2023")</f>
        <v/>
      </c>
      <c r="W621">
        <f>HYPERLINK("https://klasma.github.io/Logging_2281/klagomålsmail/A 30287-2023 FSC-klagomål mail.docx", "A 30287-2023")</f>
        <v/>
      </c>
      <c r="X621">
        <f>HYPERLINK("https://klasma.github.io/Logging_2281/tillsyn/A 30287-2023 tillsynsbegäran.docx", "A 30287-2023")</f>
        <v/>
      </c>
      <c r="Y621">
        <f>HYPERLINK("https://klasma.github.io/Logging_2281/tillsynsmail/A 30287-2023 tillsynsbegäran mail.docx", "A 30287-2023")</f>
        <v/>
      </c>
      <c r="Z621">
        <f>HYPERLINK("https://klasma.github.io/Logging_2281/fåglar/A 30287-2023 prioriterade fågelarter.docx", "A 30287-2023")</f>
        <v/>
      </c>
    </row>
    <row r="622" ht="15" customHeight="1">
      <c r="A622" t="inlineStr">
        <is>
          <t>A 42203-2025</t>
        </is>
      </c>
      <c r="B622" s="1" t="n">
        <v>45904.49039351852</v>
      </c>
      <c r="C622" s="1" t="n">
        <v>46093</v>
      </c>
      <c r="D622" t="inlineStr">
        <is>
          <t>VÄSTERNORRLANDS LÄN</t>
        </is>
      </c>
      <c r="E622" t="inlineStr">
        <is>
          <t>SUNDSVALL</t>
        </is>
      </c>
      <c r="F622" t="inlineStr">
        <is>
          <t>SCA</t>
        </is>
      </c>
      <c r="G622" t="n">
        <v>3.7</v>
      </c>
      <c r="H622" t="n">
        <v>0</v>
      </c>
      <c r="I622" t="n">
        <v>0</v>
      </c>
      <c r="J622" t="n">
        <v>3</v>
      </c>
      <c r="K622" t="n">
        <v>0</v>
      </c>
      <c r="L622" t="n">
        <v>0</v>
      </c>
      <c r="M622" t="n">
        <v>0</v>
      </c>
      <c r="N622" t="n">
        <v>0</v>
      </c>
      <c r="O622" t="n">
        <v>3</v>
      </c>
      <c r="P622" t="n">
        <v>0</v>
      </c>
      <c r="Q622" t="n">
        <v>3</v>
      </c>
      <c r="R622" s="2" t="inlineStr">
        <is>
          <t>Granticka
Kolflarnlav
Lunglav</t>
        </is>
      </c>
      <c r="S622">
        <f>HYPERLINK("https://klasma.github.io/Logging_2281/artfynd/A 42203-2025 artfynd.xlsx", "A 42203-2025")</f>
        <v/>
      </c>
      <c r="T622">
        <f>HYPERLINK("https://klasma.github.io/Logging_2281/kartor/A 42203-2025 karta.png", "A 42203-2025")</f>
        <v/>
      </c>
      <c r="V622">
        <f>HYPERLINK("https://klasma.github.io/Logging_2281/klagomål/A 42203-2025 FSC-klagomål.docx", "A 42203-2025")</f>
        <v/>
      </c>
      <c r="W622">
        <f>HYPERLINK("https://klasma.github.io/Logging_2281/klagomålsmail/A 42203-2025 FSC-klagomål mail.docx", "A 42203-2025")</f>
        <v/>
      </c>
      <c r="X622">
        <f>HYPERLINK("https://klasma.github.io/Logging_2281/tillsyn/A 42203-2025 tillsynsbegäran.docx", "A 42203-2025")</f>
        <v/>
      </c>
      <c r="Y622">
        <f>HYPERLINK("https://klasma.github.io/Logging_2281/tillsynsmail/A 42203-2025 tillsynsbegäran mail.docx", "A 42203-2025")</f>
        <v/>
      </c>
    </row>
    <row r="623" ht="15" customHeight="1">
      <c r="A623" t="inlineStr">
        <is>
          <t>A 11351-2022</t>
        </is>
      </c>
      <c r="B623" s="1" t="n">
        <v>44630</v>
      </c>
      <c r="C623" s="1" t="n">
        <v>46093</v>
      </c>
      <c r="D623" t="inlineStr">
        <is>
          <t>VÄSTERNORRLANDS LÄN</t>
        </is>
      </c>
      <c r="E623" t="inlineStr">
        <is>
          <t>SUNDSVALL</t>
        </is>
      </c>
      <c r="G623" t="n">
        <v>12.1</v>
      </c>
      <c r="H623" t="n">
        <v>1</v>
      </c>
      <c r="I623" t="n">
        <v>1</v>
      </c>
      <c r="J623" t="n">
        <v>1</v>
      </c>
      <c r="K623" t="n">
        <v>1</v>
      </c>
      <c r="L623" t="n">
        <v>0</v>
      </c>
      <c r="M623" t="n">
        <v>0</v>
      </c>
      <c r="N623" t="n">
        <v>0</v>
      </c>
      <c r="O623" t="n">
        <v>2</v>
      </c>
      <c r="P623" t="n">
        <v>1</v>
      </c>
      <c r="Q623" t="n">
        <v>3</v>
      </c>
      <c r="R623" s="2" t="inlineStr">
        <is>
          <t>Knärot
Vedskivlav
Kornig nållav</t>
        </is>
      </c>
      <c r="S623">
        <f>HYPERLINK("https://klasma.github.io/Logging_2281/artfynd/A 11351-2022 artfynd.xlsx", "A 11351-2022")</f>
        <v/>
      </c>
      <c r="T623">
        <f>HYPERLINK("https://klasma.github.io/Logging_2281/kartor/A 11351-2022 karta.png", "A 11351-2022")</f>
        <v/>
      </c>
      <c r="U623">
        <f>HYPERLINK("https://klasma.github.io/Logging_2281/knärot/A 11351-2022 karta knärot.png", "A 11351-2022")</f>
        <v/>
      </c>
      <c r="V623">
        <f>HYPERLINK("https://klasma.github.io/Logging_2281/klagomål/A 11351-2022 FSC-klagomål.docx", "A 11351-2022")</f>
        <v/>
      </c>
      <c r="W623">
        <f>HYPERLINK("https://klasma.github.io/Logging_2281/klagomålsmail/A 11351-2022 FSC-klagomål mail.docx", "A 11351-2022")</f>
        <v/>
      </c>
      <c r="X623">
        <f>HYPERLINK("https://klasma.github.io/Logging_2281/tillsyn/A 11351-2022 tillsynsbegäran.docx", "A 11351-2022")</f>
        <v/>
      </c>
      <c r="Y623">
        <f>HYPERLINK("https://klasma.github.io/Logging_2281/tillsynsmail/A 11351-2022 tillsynsbegäran mail.docx", "A 11351-2022")</f>
        <v/>
      </c>
    </row>
    <row r="624" ht="15" customHeight="1">
      <c r="A624" t="inlineStr">
        <is>
          <t>A 5121-2025</t>
        </is>
      </c>
      <c r="B624" s="1" t="n">
        <v>45691</v>
      </c>
      <c r="C624" s="1" t="n">
        <v>46093</v>
      </c>
      <c r="D624" t="inlineStr">
        <is>
          <t>VÄSTERNORRLANDS LÄN</t>
        </is>
      </c>
      <c r="E624" t="inlineStr">
        <is>
          <t>SOLLEFTEÅ</t>
        </is>
      </c>
      <c r="G624" t="n">
        <v>3.4</v>
      </c>
      <c r="H624" t="n">
        <v>1</v>
      </c>
      <c r="I624" t="n">
        <v>0</v>
      </c>
      <c r="J624" t="n">
        <v>3</v>
      </c>
      <c r="K624" t="n">
        <v>0</v>
      </c>
      <c r="L624" t="n">
        <v>0</v>
      </c>
      <c r="M624" t="n">
        <v>0</v>
      </c>
      <c r="N624" t="n">
        <v>0</v>
      </c>
      <c r="O624" t="n">
        <v>3</v>
      </c>
      <c r="P624" t="n">
        <v>0</v>
      </c>
      <c r="Q624" t="n">
        <v>3</v>
      </c>
      <c r="R624" s="2" t="inlineStr">
        <is>
          <t>Granticka
Tretåig hackspett
Ullticka</t>
        </is>
      </c>
      <c r="S624">
        <f>HYPERLINK("https://klasma.github.io/Logging_2283/artfynd/A 5121-2025 artfynd.xlsx", "A 5121-2025")</f>
        <v/>
      </c>
      <c r="T624">
        <f>HYPERLINK("https://klasma.github.io/Logging_2283/kartor/A 5121-2025 karta.png", "A 5121-2025")</f>
        <v/>
      </c>
      <c r="V624">
        <f>HYPERLINK("https://klasma.github.io/Logging_2283/klagomål/A 5121-2025 FSC-klagomål.docx", "A 5121-2025")</f>
        <v/>
      </c>
      <c r="W624">
        <f>HYPERLINK("https://klasma.github.io/Logging_2283/klagomålsmail/A 5121-2025 FSC-klagomål mail.docx", "A 5121-2025")</f>
        <v/>
      </c>
      <c r="X624">
        <f>HYPERLINK("https://klasma.github.io/Logging_2283/tillsyn/A 5121-2025 tillsynsbegäran.docx", "A 5121-2025")</f>
        <v/>
      </c>
      <c r="Y624">
        <f>HYPERLINK("https://klasma.github.io/Logging_2283/tillsynsmail/A 5121-2025 tillsynsbegäran mail.docx", "A 5121-2025")</f>
        <v/>
      </c>
      <c r="Z624">
        <f>HYPERLINK("https://klasma.github.io/Logging_2283/fåglar/A 5121-2025 prioriterade fågelarter.docx", "A 5121-2025")</f>
        <v/>
      </c>
    </row>
    <row r="625" ht="15" customHeight="1">
      <c r="A625" t="inlineStr">
        <is>
          <t>A 41868-2025</t>
        </is>
      </c>
      <c r="B625" s="1" t="n">
        <v>45903.34429398148</v>
      </c>
      <c r="C625" s="1" t="n">
        <v>46093</v>
      </c>
      <c r="D625" t="inlineStr">
        <is>
          <t>VÄSTERNORRLANDS LÄN</t>
        </is>
      </c>
      <c r="E625" t="inlineStr">
        <is>
          <t>ÅNGE</t>
        </is>
      </c>
      <c r="F625" t="inlineStr">
        <is>
          <t>SCA</t>
        </is>
      </c>
      <c r="G625" t="n">
        <v>5.4</v>
      </c>
      <c r="H625" t="n">
        <v>2</v>
      </c>
      <c r="I625" t="n">
        <v>1</v>
      </c>
      <c r="J625" t="n">
        <v>1</v>
      </c>
      <c r="K625" t="n">
        <v>0</v>
      </c>
      <c r="L625" t="n">
        <v>0</v>
      </c>
      <c r="M625" t="n">
        <v>0</v>
      </c>
      <c r="N625" t="n">
        <v>0</v>
      </c>
      <c r="O625" t="n">
        <v>1</v>
      </c>
      <c r="P625" t="n">
        <v>0</v>
      </c>
      <c r="Q625" t="n">
        <v>3</v>
      </c>
      <c r="R625" s="2" t="inlineStr">
        <is>
          <t>Garnlav
Spindelblomster
Revlummer</t>
        </is>
      </c>
      <c r="S625">
        <f>HYPERLINK("https://klasma.github.io/Logging_2260/artfynd/A 41868-2025 artfynd.xlsx", "A 41868-2025")</f>
        <v/>
      </c>
      <c r="T625">
        <f>HYPERLINK("https://klasma.github.io/Logging_2260/kartor/A 41868-2025 karta.png", "A 41868-2025")</f>
        <v/>
      </c>
      <c r="V625">
        <f>HYPERLINK("https://klasma.github.io/Logging_2260/klagomål/A 41868-2025 FSC-klagomål.docx", "A 41868-2025")</f>
        <v/>
      </c>
      <c r="W625">
        <f>HYPERLINK("https://klasma.github.io/Logging_2260/klagomålsmail/A 41868-2025 FSC-klagomål mail.docx", "A 41868-2025")</f>
        <v/>
      </c>
      <c r="X625">
        <f>HYPERLINK("https://klasma.github.io/Logging_2260/tillsyn/A 41868-2025 tillsynsbegäran.docx", "A 41868-2025")</f>
        <v/>
      </c>
      <c r="Y625">
        <f>HYPERLINK("https://klasma.github.io/Logging_2260/tillsynsmail/A 41868-2025 tillsynsbegäran mail.docx", "A 41868-2025")</f>
        <v/>
      </c>
    </row>
    <row r="626" ht="15" customHeight="1">
      <c r="A626" t="inlineStr">
        <is>
          <t>A 38096-2024</t>
        </is>
      </c>
      <c r="B626" s="1" t="n">
        <v>45545.345</v>
      </c>
      <c r="C626" s="1" t="n">
        <v>46093</v>
      </c>
      <c r="D626" t="inlineStr">
        <is>
          <t>VÄSTERNORRLANDS LÄN</t>
        </is>
      </c>
      <c r="E626" t="inlineStr">
        <is>
          <t>SOLLEFTEÅ</t>
        </is>
      </c>
      <c r="F626" t="inlineStr">
        <is>
          <t>SCA</t>
        </is>
      </c>
      <c r="G626" t="n">
        <v>5.2</v>
      </c>
      <c r="H626" t="n">
        <v>1</v>
      </c>
      <c r="I626" t="n">
        <v>2</v>
      </c>
      <c r="J626" t="n">
        <v>1</v>
      </c>
      <c r="K626" t="n">
        <v>0</v>
      </c>
      <c r="L626" t="n">
        <v>0</v>
      </c>
      <c r="M626" t="n">
        <v>0</v>
      </c>
      <c r="N626" t="n">
        <v>0</v>
      </c>
      <c r="O626" t="n">
        <v>1</v>
      </c>
      <c r="P626" t="n">
        <v>0</v>
      </c>
      <c r="Q626" t="n">
        <v>3</v>
      </c>
      <c r="R626" s="2" t="inlineStr">
        <is>
          <t>Lunglav
Bollvitmossa
Lappranunkel</t>
        </is>
      </c>
      <c r="S626">
        <f>HYPERLINK("https://klasma.github.io/Logging_2283/artfynd/A 38096-2024 artfynd.xlsx", "A 38096-2024")</f>
        <v/>
      </c>
      <c r="T626">
        <f>HYPERLINK("https://klasma.github.io/Logging_2283/kartor/A 38096-2024 karta.png", "A 38096-2024")</f>
        <v/>
      </c>
      <c r="V626">
        <f>HYPERLINK("https://klasma.github.io/Logging_2283/klagomål/A 38096-2024 FSC-klagomål.docx", "A 38096-2024")</f>
        <v/>
      </c>
      <c r="W626">
        <f>HYPERLINK("https://klasma.github.io/Logging_2283/klagomålsmail/A 38096-2024 FSC-klagomål mail.docx", "A 38096-2024")</f>
        <v/>
      </c>
      <c r="X626">
        <f>HYPERLINK("https://klasma.github.io/Logging_2283/tillsyn/A 38096-2024 tillsynsbegäran.docx", "A 38096-2024")</f>
        <v/>
      </c>
      <c r="Y626">
        <f>HYPERLINK("https://klasma.github.io/Logging_2283/tillsynsmail/A 38096-2024 tillsynsbegäran mail.docx", "A 38096-2024")</f>
        <v/>
      </c>
    </row>
    <row r="627" ht="15" customHeight="1">
      <c r="A627" t="inlineStr">
        <is>
          <t>A 49675-2024</t>
        </is>
      </c>
      <c r="B627" s="1" t="n">
        <v>45596.66052083333</v>
      </c>
      <c r="C627" s="1" t="n">
        <v>46093</v>
      </c>
      <c r="D627" t="inlineStr">
        <is>
          <t>VÄSTERNORRLANDS LÄN</t>
        </is>
      </c>
      <c r="E627" t="inlineStr">
        <is>
          <t>HÄRNÖSAND</t>
        </is>
      </c>
      <c r="F627" t="inlineStr">
        <is>
          <t>SCA</t>
        </is>
      </c>
      <c r="G627" t="n">
        <v>7.2</v>
      </c>
      <c r="H627" t="n">
        <v>0</v>
      </c>
      <c r="I627" t="n">
        <v>0</v>
      </c>
      <c r="J627" t="n">
        <v>2</v>
      </c>
      <c r="K627" t="n">
        <v>1</v>
      </c>
      <c r="L627" t="n">
        <v>0</v>
      </c>
      <c r="M627" t="n">
        <v>0</v>
      </c>
      <c r="N627" t="n">
        <v>0</v>
      </c>
      <c r="O627" t="n">
        <v>3</v>
      </c>
      <c r="P627" t="n">
        <v>1</v>
      </c>
      <c r="Q627" t="n">
        <v>3</v>
      </c>
      <c r="R627" s="2" t="inlineStr">
        <is>
          <t>Lappticka
Garnlav
Rosenticka</t>
        </is>
      </c>
      <c r="S627">
        <f>HYPERLINK("https://klasma.github.io/Logging_2280/artfynd/A 49675-2024 artfynd.xlsx", "A 49675-2024")</f>
        <v/>
      </c>
      <c r="T627">
        <f>HYPERLINK("https://klasma.github.io/Logging_2280/kartor/A 49675-2024 karta.png", "A 49675-2024")</f>
        <v/>
      </c>
      <c r="V627">
        <f>HYPERLINK("https://klasma.github.io/Logging_2280/klagomål/A 49675-2024 FSC-klagomål.docx", "A 49675-2024")</f>
        <v/>
      </c>
      <c r="W627">
        <f>HYPERLINK("https://klasma.github.io/Logging_2280/klagomålsmail/A 49675-2024 FSC-klagomål mail.docx", "A 49675-2024")</f>
        <v/>
      </c>
      <c r="X627">
        <f>HYPERLINK("https://klasma.github.io/Logging_2280/tillsyn/A 49675-2024 tillsynsbegäran.docx", "A 49675-2024")</f>
        <v/>
      </c>
      <c r="Y627">
        <f>HYPERLINK("https://klasma.github.io/Logging_2280/tillsynsmail/A 49675-2024 tillsynsbegäran mail.docx", "A 49675-2024")</f>
        <v/>
      </c>
    </row>
    <row r="628" ht="15" customHeight="1">
      <c r="A628" t="inlineStr">
        <is>
          <t>A 43319-2025</t>
        </is>
      </c>
      <c r="B628" s="1" t="n">
        <v>45910.65681712963</v>
      </c>
      <c r="C628" s="1" t="n">
        <v>46093</v>
      </c>
      <c r="D628" t="inlineStr">
        <is>
          <t>VÄSTERNORRLANDS LÄN</t>
        </is>
      </c>
      <c r="E628" t="inlineStr">
        <is>
          <t>ÅNGE</t>
        </is>
      </c>
      <c r="F628" t="inlineStr">
        <is>
          <t>SCA</t>
        </is>
      </c>
      <c r="G628" t="n">
        <v>6.6</v>
      </c>
      <c r="H628" t="n">
        <v>0</v>
      </c>
      <c r="I628" t="n">
        <v>1</v>
      </c>
      <c r="J628" t="n">
        <v>2</v>
      </c>
      <c r="K628" t="n">
        <v>0</v>
      </c>
      <c r="L628" t="n">
        <v>0</v>
      </c>
      <c r="M628" t="n">
        <v>0</v>
      </c>
      <c r="N628" t="n">
        <v>0</v>
      </c>
      <c r="O628" t="n">
        <v>2</v>
      </c>
      <c r="P628" t="n">
        <v>0</v>
      </c>
      <c r="Q628" t="n">
        <v>3</v>
      </c>
      <c r="R628" s="2" t="inlineStr">
        <is>
          <t>Ullticka
Violettgrå tagellav
Korallblylav</t>
        </is>
      </c>
      <c r="S628">
        <f>HYPERLINK("https://klasma.github.io/Logging_2260/artfynd/A 43319-2025 artfynd.xlsx", "A 43319-2025")</f>
        <v/>
      </c>
      <c r="T628">
        <f>HYPERLINK("https://klasma.github.io/Logging_2260/kartor/A 43319-2025 karta.png", "A 43319-2025")</f>
        <v/>
      </c>
      <c r="V628">
        <f>HYPERLINK("https://klasma.github.io/Logging_2260/klagomål/A 43319-2025 FSC-klagomål.docx", "A 43319-2025")</f>
        <v/>
      </c>
      <c r="W628">
        <f>HYPERLINK("https://klasma.github.io/Logging_2260/klagomålsmail/A 43319-2025 FSC-klagomål mail.docx", "A 43319-2025")</f>
        <v/>
      </c>
      <c r="X628">
        <f>HYPERLINK("https://klasma.github.io/Logging_2260/tillsyn/A 43319-2025 tillsynsbegäran.docx", "A 43319-2025")</f>
        <v/>
      </c>
      <c r="Y628">
        <f>HYPERLINK("https://klasma.github.io/Logging_2260/tillsynsmail/A 43319-2025 tillsynsbegäran mail.docx", "A 43319-2025")</f>
        <v/>
      </c>
    </row>
    <row r="629" ht="15" customHeight="1">
      <c r="A629" t="inlineStr">
        <is>
          <t>A 43279-2025</t>
        </is>
      </c>
      <c r="B629" s="1" t="n">
        <v>45910.59446759259</v>
      </c>
      <c r="C629" s="1" t="n">
        <v>46093</v>
      </c>
      <c r="D629" t="inlineStr">
        <is>
          <t>VÄSTERNORRLANDS LÄN</t>
        </is>
      </c>
      <c r="E629" t="inlineStr">
        <is>
          <t>SOLLEFTEÅ</t>
        </is>
      </c>
      <c r="F629" t="inlineStr">
        <is>
          <t>SCA</t>
        </is>
      </c>
      <c r="G629" t="n">
        <v>1.7</v>
      </c>
      <c r="H629" t="n">
        <v>0</v>
      </c>
      <c r="I629" t="n">
        <v>1</v>
      </c>
      <c r="J629" t="n">
        <v>2</v>
      </c>
      <c r="K629" t="n">
        <v>0</v>
      </c>
      <c r="L629" t="n">
        <v>0</v>
      </c>
      <c r="M629" t="n">
        <v>0</v>
      </c>
      <c r="N629" t="n">
        <v>0</v>
      </c>
      <c r="O629" t="n">
        <v>2</v>
      </c>
      <c r="P629" t="n">
        <v>0</v>
      </c>
      <c r="Q629" t="n">
        <v>3</v>
      </c>
      <c r="R629" s="2" t="inlineStr">
        <is>
          <t>Garnlav
Orange taggsvamp
Dropptaggsvamp</t>
        </is>
      </c>
      <c r="S629">
        <f>HYPERLINK("https://klasma.github.io/Logging_2283/artfynd/A 43279-2025 artfynd.xlsx", "A 43279-2025")</f>
        <v/>
      </c>
      <c r="T629">
        <f>HYPERLINK("https://klasma.github.io/Logging_2283/kartor/A 43279-2025 karta.png", "A 43279-2025")</f>
        <v/>
      </c>
      <c r="V629">
        <f>HYPERLINK("https://klasma.github.io/Logging_2283/klagomål/A 43279-2025 FSC-klagomål.docx", "A 43279-2025")</f>
        <v/>
      </c>
      <c r="W629">
        <f>HYPERLINK("https://klasma.github.io/Logging_2283/klagomålsmail/A 43279-2025 FSC-klagomål mail.docx", "A 43279-2025")</f>
        <v/>
      </c>
      <c r="X629">
        <f>HYPERLINK("https://klasma.github.io/Logging_2283/tillsyn/A 43279-2025 tillsynsbegäran.docx", "A 43279-2025")</f>
        <v/>
      </c>
      <c r="Y629">
        <f>HYPERLINK("https://klasma.github.io/Logging_2283/tillsynsmail/A 43279-2025 tillsynsbegäran mail.docx", "A 43279-2025")</f>
        <v/>
      </c>
    </row>
    <row r="630" ht="15" customHeight="1">
      <c r="A630" t="inlineStr">
        <is>
          <t>A 43435-2025</t>
        </is>
      </c>
      <c r="B630" s="1" t="n">
        <v>45911.42755787037</v>
      </c>
      <c r="C630" s="1" t="n">
        <v>46093</v>
      </c>
      <c r="D630" t="inlineStr">
        <is>
          <t>VÄSTERNORRLANDS LÄN</t>
        </is>
      </c>
      <c r="E630" t="inlineStr">
        <is>
          <t>SUNDSVALL</t>
        </is>
      </c>
      <c r="F630" t="inlineStr">
        <is>
          <t>SCA</t>
        </is>
      </c>
      <c r="G630" t="n">
        <v>1.4</v>
      </c>
      <c r="H630" t="n">
        <v>0</v>
      </c>
      <c r="I630" t="n">
        <v>0</v>
      </c>
      <c r="J630" t="n">
        <v>3</v>
      </c>
      <c r="K630" t="n">
        <v>0</v>
      </c>
      <c r="L630" t="n">
        <v>0</v>
      </c>
      <c r="M630" t="n">
        <v>0</v>
      </c>
      <c r="N630" t="n">
        <v>0</v>
      </c>
      <c r="O630" t="n">
        <v>3</v>
      </c>
      <c r="P630" t="n">
        <v>0</v>
      </c>
      <c r="Q630" t="n">
        <v>3</v>
      </c>
      <c r="R630" s="2" t="inlineStr">
        <is>
          <t>Doftskinn
Gammelgransskål
Garnlav</t>
        </is>
      </c>
      <c r="S630">
        <f>HYPERLINK("https://klasma.github.io/Logging_2281/artfynd/A 43435-2025 artfynd.xlsx", "A 43435-2025")</f>
        <v/>
      </c>
      <c r="T630">
        <f>HYPERLINK("https://klasma.github.io/Logging_2281/kartor/A 43435-2025 karta.png", "A 43435-2025")</f>
        <v/>
      </c>
      <c r="V630">
        <f>HYPERLINK("https://klasma.github.io/Logging_2281/klagomål/A 43435-2025 FSC-klagomål.docx", "A 43435-2025")</f>
        <v/>
      </c>
      <c r="W630">
        <f>HYPERLINK("https://klasma.github.io/Logging_2281/klagomålsmail/A 43435-2025 FSC-klagomål mail.docx", "A 43435-2025")</f>
        <v/>
      </c>
      <c r="X630">
        <f>HYPERLINK("https://klasma.github.io/Logging_2281/tillsyn/A 43435-2025 tillsynsbegäran.docx", "A 43435-2025")</f>
        <v/>
      </c>
      <c r="Y630">
        <f>HYPERLINK("https://klasma.github.io/Logging_2281/tillsynsmail/A 43435-2025 tillsynsbegäran mail.docx", "A 43435-2025")</f>
        <v/>
      </c>
    </row>
    <row r="631" ht="15" customHeight="1">
      <c r="A631" t="inlineStr">
        <is>
          <t>A 47567-2024</t>
        </is>
      </c>
      <c r="B631" s="1" t="n">
        <v>45587</v>
      </c>
      <c r="C631" s="1" t="n">
        <v>46093</v>
      </c>
      <c r="D631" t="inlineStr">
        <is>
          <t>VÄSTERNORRLANDS LÄN</t>
        </is>
      </c>
      <c r="E631" t="inlineStr">
        <is>
          <t>ÖRNSKÖLDSVIK</t>
        </is>
      </c>
      <c r="F631" t="inlineStr">
        <is>
          <t>SCA</t>
        </is>
      </c>
      <c r="G631" t="n">
        <v>8.4</v>
      </c>
      <c r="H631" t="n">
        <v>1</v>
      </c>
      <c r="I631" t="n">
        <v>0</v>
      </c>
      <c r="J631" t="n">
        <v>3</v>
      </c>
      <c r="K631" t="n">
        <v>0</v>
      </c>
      <c r="L631" t="n">
        <v>0</v>
      </c>
      <c r="M631" t="n">
        <v>0</v>
      </c>
      <c r="N631" t="n">
        <v>0</v>
      </c>
      <c r="O631" t="n">
        <v>3</v>
      </c>
      <c r="P631" t="n">
        <v>0</v>
      </c>
      <c r="Q631" t="n">
        <v>3</v>
      </c>
      <c r="R631" s="2" t="inlineStr">
        <is>
          <t>Gammelgransskål
Granticka
Tretåig hackspett</t>
        </is>
      </c>
      <c r="S631">
        <f>HYPERLINK("https://klasma.github.io/Logging_2284/artfynd/A 47567-2024 artfynd.xlsx", "A 47567-2024")</f>
        <v/>
      </c>
      <c r="T631">
        <f>HYPERLINK("https://klasma.github.io/Logging_2284/kartor/A 47567-2024 karta.png", "A 47567-2024")</f>
        <v/>
      </c>
      <c r="V631">
        <f>HYPERLINK("https://klasma.github.io/Logging_2284/klagomål/A 47567-2024 FSC-klagomål.docx", "A 47567-2024")</f>
        <v/>
      </c>
      <c r="W631">
        <f>HYPERLINK("https://klasma.github.io/Logging_2284/klagomålsmail/A 47567-2024 FSC-klagomål mail.docx", "A 47567-2024")</f>
        <v/>
      </c>
      <c r="X631">
        <f>HYPERLINK("https://klasma.github.io/Logging_2284/tillsyn/A 47567-2024 tillsynsbegäran.docx", "A 47567-2024")</f>
        <v/>
      </c>
      <c r="Y631">
        <f>HYPERLINK("https://klasma.github.io/Logging_2284/tillsynsmail/A 47567-2024 tillsynsbegäran mail.docx", "A 47567-2024")</f>
        <v/>
      </c>
      <c r="Z631">
        <f>HYPERLINK("https://klasma.github.io/Logging_2284/fåglar/A 47567-2024 prioriterade fågelarter.docx", "A 47567-2024")</f>
        <v/>
      </c>
    </row>
    <row r="632" ht="15" customHeight="1">
      <c r="A632" t="inlineStr">
        <is>
          <t>A 60864-2023</t>
        </is>
      </c>
      <c r="B632" s="1" t="n">
        <v>45260</v>
      </c>
      <c r="C632" s="1" t="n">
        <v>46093</v>
      </c>
      <c r="D632" t="inlineStr">
        <is>
          <t>VÄSTERNORRLANDS LÄN</t>
        </is>
      </c>
      <c r="E632" t="inlineStr">
        <is>
          <t>SUNDSVALL</t>
        </is>
      </c>
      <c r="F632" t="inlineStr">
        <is>
          <t>SCA</t>
        </is>
      </c>
      <c r="G632" t="n">
        <v>0.9</v>
      </c>
      <c r="H632" t="n">
        <v>1</v>
      </c>
      <c r="I632" t="n">
        <v>2</v>
      </c>
      <c r="J632" t="n">
        <v>1</v>
      </c>
      <c r="K632" t="n">
        <v>0</v>
      </c>
      <c r="L632" t="n">
        <v>0</v>
      </c>
      <c r="M632" t="n">
        <v>0</v>
      </c>
      <c r="N632" t="n">
        <v>0</v>
      </c>
      <c r="O632" t="n">
        <v>1</v>
      </c>
      <c r="P632" t="n">
        <v>0</v>
      </c>
      <c r="Q632" t="n">
        <v>3</v>
      </c>
      <c r="R632" s="2" t="inlineStr">
        <is>
          <t>Tretåig hackspett
Dropptaggsvamp
Vedticka</t>
        </is>
      </c>
      <c r="S632">
        <f>HYPERLINK("https://klasma.github.io/Logging_2281/artfynd/A 60864-2023 artfynd.xlsx", "A 60864-2023")</f>
        <v/>
      </c>
      <c r="T632">
        <f>HYPERLINK("https://klasma.github.io/Logging_2281/kartor/A 60864-2023 karta.png", "A 60864-2023")</f>
        <v/>
      </c>
      <c r="V632">
        <f>HYPERLINK("https://klasma.github.io/Logging_2281/klagomål/A 60864-2023 FSC-klagomål.docx", "A 60864-2023")</f>
        <v/>
      </c>
      <c r="W632">
        <f>HYPERLINK("https://klasma.github.io/Logging_2281/klagomålsmail/A 60864-2023 FSC-klagomål mail.docx", "A 60864-2023")</f>
        <v/>
      </c>
      <c r="X632">
        <f>HYPERLINK("https://klasma.github.io/Logging_2281/tillsyn/A 60864-2023 tillsynsbegäran.docx", "A 60864-2023")</f>
        <v/>
      </c>
      <c r="Y632">
        <f>HYPERLINK("https://klasma.github.io/Logging_2281/tillsynsmail/A 60864-2023 tillsynsbegäran mail.docx", "A 60864-2023")</f>
        <v/>
      </c>
      <c r="Z632">
        <f>HYPERLINK("https://klasma.github.io/Logging_2281/fåglar/A 60864-2023 prioriterade fågelarter.docx", "A 60864-2023")</f>
        <v/>
      </c>
    </row>
    <row r="633" ht="15" customHeight="1">
      <c r="A633" t="inlineStr">
        <is>
          <t>A 39179-2024</t>
        </is>
      </c>
      <c r="B633" s="1" t="n">
        <v>45548.65703703704</v>
      </c>
      <c r="C633" s="1" t="n">
        <v>46093</v>
      </c>
      <c r="D633" t="inlineStr">
        <is>
          <t>VÄSTERNORRLANDS LÄN</t>
        </is>
      </c>
      <c r="E633" t="inlineStr">
        <is>
          <t>ÅNGE</t>
        </is>
      </c>
      <c r="F633" t="inlineStr">
        <is>
          <t>SCA</t>
        </is>
      </c>
      <c r="G633" t="n">
        <v>4.2</v>
      </c>
      <c r="H633" t="n">
        <v>1</v>
      </c>
      <c r="I633" t="n">
        <v>2</v>
      </c>
      <c r="J633" t="n">
        <v>1</v>
      </c>
      <c r="K633" t="n">
        <v>0</v>
      </c>
      <c r="L633" t="n">
        <v>0</v>
      </c>
      <c r="M633" t="n">
        <v>0</v>
      </c>
      <c r="N633" t="n">
        <v>0</v>
      </c>
      <c r="O633" t="n">
        <v>1</v>
      </c>
      <c r="P633" t="n">
        <v>0</v>
      </c>
      <c r="Q633" t="n">
        <v>3</v>
      </c>
      <c r="R633" s="2" t="inlineStr">
        <is>
          <t>Rosenticka
Fjällig taggsvamp s.str.
Spindelblomster</t>
        </is>
      </c>
      <c r="S633">
        <f>HYPERLINK("https://klasma.github.io/Logging_2260/artfynd/A 39179-2024 artfynd.xlsx", "A 39179-2024")</f>
        <v/>
      </c>
      <c r="T633">
        <f>HYPERLINK("https://klasma.github.io/Logging_2260/kartor/A 39179-2024 karta.png", "A 39179-2024")</f>
        <v/>
      </c>
      <c r="V633">
        <f>HYPERLINK("https://klasma.github.io/Logging_2260/klagomål/A 39179-2024 FSC-klagomål.docx", "A 39179-2024")</f>
        <v/>
      </c>
      <c r="W633">
        <f>HYPERLINK("https://klasma.github.io/Logging_2260/klagomålsmail/A 39179-2024 FSC-klagomål mail.docx", "A 39179-2024")</f>
        <v/>
      </c>
      <c r="X633">
        <f>HYPERLINK("https://klasma.github.io/Logging_2260/tillsyn/A 39179-2024 tillsynsbegäran.docx", "A 39179-2024")</f>
        <v/>
      </c>
      <c r="Y633">
        <f>HYPERLINK("https://klasma.github.io/Logging_2260/tillsynsmail/A 39179-2024 tillsynsbegäran mail.docx", "A 39179-2024")</f>
        <v/>
      </c>
    </row>
    <row r="634" ht="15" customHeight="1">
      <c r="A634" t="inlineStr">
        <is>
          <t>A 39708-2024</t>
        </is>
      </c>
      <c r="B634" s="1" t="n">
        <v>45552.59408564815</v>
      </c>
      <c r="C634" s="1" t="n">
        <v>46093</v>
      </c>
      <c r="D634" t="inlineStr">
        <is>
          <t>VÄSTERNORRLANDS LÄN</t>
        </is>
      </c>
      <c r="E634" t="inlineStr">
        <is>
          <t>ÅNGE</t>
        </is>
      </c>
      <c r="F634" t="inlineStr">
        <is>
          <t>SCA</t>
        </is>
      </c>
      <c r="G634" t="n">
        <v>6.2</v>
      </c>
      <c r="H634" t="n">
        <v>0</v>
      </c>
      <c r="I634" t="n">
        <v>0</v>
      </c>
      <c r="J634" t="n">
        <v>3</v>
      </c>
      <c r="K634" t="n">
        <v>0</v>
      </c>
      <c r="L634" t="n">
        <v>0</v>
      </c>
      <c r="M634" t="n">
        <v>0</v>
      </c>
      <c r="N634" t="n">
        <v>0</v>
      </c>
      <c r="O634" t="n">
        <v>3</v>
      </c>
      <c r="P634" t="n">
        <v>0</v>
      </c>
      <c r="Q634" t="n">
        <v>3</v>
      </c>
      <c r="R634" s="2" t="inlineStr">
        <is>
          <t>Granticka
Ullticka
Vitgrynig nållav</t>
        </is>
      </c>
      <c r="S634">
        <f>HYPERLINK("https://klasma.github.io/Logging_2260/artfynd/A 39708-2024 artfynd.xlsx", "A 39708-2024")</f>
        <v/>
      </c>
      <c r="T634">
        <f>HYPERLINK("https://klasma.github.io/Logging_2260/kartor/A 39708-2024 karta.png", "A 39708-2024")</f>
        <v/>
      </c>
      <c r="V634">
        <f>HYPERLINK("https://klasma.github.io/Logging_2260/klagomål/A 39708-2024 FSC-klagomål.docx", "A 39708-2024")</f>
        <v/>
      </c>
      <c r="W634">
        <f>HYPERLINK("https://klasma.github.io/Logging_2260/klagomålsmail/A 39708-2024 FSC-klagomål mail.docx", "A 39708-2024")</f>
        <v/>
      </c>
      <c r="X634">
        <f>HYPERLINK("https://klasma.github.io/Logging_2260/tillsyn/A 39708-2024 tillsynsbegäran.docx", "A 39708-2024")</f>
        <v/>
      </c>
      <c r="Y634">
        <f>HYPERLINK("https://klasma.github.io/Logging_2260/tillsynsmail/A 39708-2024 tillsynsbegäran mail.docx", "A 39708-2024")</f>
        <v/>
      </c>
    </row>
    <row r="635" ht="15" customHeight="1">
      <c r="A635" t="inlineStr">
        <is>
          <t>A 13439-2025</t>
        </is>
      </c>
      <c r="B635" s="1" t="n">
        <v>45736.34435185185</v>
      </c>
      <c r="C635" s="1" t="n">
        <v>46093</v>
      </c>
      <c r="D635" t="inlineStr">
        <is>
          <t>VÄSTERNORRLANDS LÄN</t>
        </is>
      </c>
      <c r="E635" t="inlineStr">
        <is>
          <t>TIMRÅ</t>
        </is>
      </c>
      <c r="F635" t="inlineStr">
        <is>
          <t>SCA</t>
        </is>
      </c>
      <c r="G635" t="n">
        <v>3.2</v>
      </c>
      <c r="H635" t="n">
        <v>0</v>
      </c>
      <c r="I635" t="n">
        <v>1</v>
      </c>
      <c r="J635" t="n">
        <v>2</v>
      </c>
      <c r="K635" t="n">
        <v>0</v>
      </c>
      <c r="L635" t="n">
        <v>0</v>
      </c>
      <c r="M635" t="n">
        <v>0</v>
      </c>
      <c r="N635" t="n">
        <v>0</v>
      </c>
      <c r="O635" t="n">
        <v>2</v>
      </c>
      <c r="P635" t="n">
        <v>0</v>
      </c>
      <c r="Q635" t="n">
        <v>3</v>
      </c>
      <c r="R635" s="2" t="inlineStr">
        <is>
          <t>Garnlav
Granticka
Bårdlav</t>
        </is>
      </c>
      <c r="S635">
        <f>HYPERLINK("https://klasma.github.io/Logging_2262/artfynd/A 13439-2025 artfynd.xlsx", "A 13439-2025")</f>
        <v/>
      </c>
      <c r="T635">
        <f>HYPERLINK("https://klasma.github.io/Logging_2262/kartor/A 13439-2025 karta.png", "A 13439-2025")</f>
        <v/>
      </c>
      <c r="V635">
        <f>HYPERLINK("https://klasma.github.io/Logging_2262/klagomål/A 13439-2025 FSC-klagomål.docx", "A 13439-2025")</f>
        <v/>
      </c>
      <c r="W635">
        <f>HYPERLINK("https://klasma.github.io/Logging_2262/klagomålsmail/A 13439-2025 FSC-klagomål mail.docx", "A 13439-2025")</f>
        <v/>
      </c>
      <c r="X635">
        <f>HYPERLINK("https://klasma.github.io/Logging_2262/tillsyn/A 13439-2025 tillsynsbegäran.docx", "A 13439-2025")</f>
        <v/>
      </c>
      <c r="Y635">
        <f>HYPERLINK("https://klasma.github.io/Logging_2262/tillsynsmail/A 13439-2025 tillsynsbegäran mail.docx", "A 13439-2025")</f>
        <v/>
      </c>
    </row>
    <row r="636" ht="15" customHeight="1">
      <c r="A636" t="inlineStr">
        <is>
          <t>A 43880-2025</t>
        </is>
      </c>
      <c r="B636" s="1" t="n">
        <v>45912</v>
      </c>
      <c r="C636" s="1" t="n">
        <v>46093</v>
      </c>
      <c r="D636" t="inlineStr">
        <is>
          <t>VÄSTERNORRLANDS LÄN</t>
        </is>
      </c>
      <c r="E636" t="inlineStr">
        <is>
          <t>ÅNGE</t>
        </is>
      </c>
      <c r="F636" t="inlineStr">
        <is>
          <t>SCA</t>
        </is>
      </c>
      <c r="G636" t="n">
        <v>3.5</v>
      </c>
      <c r="H636" t="n">
        <v>1</v>
      </c>
      <c r="I636" t="n">
        <v>0</v>
      </c>
      <c r="J636" t="n">
        <v>3</v>
      </c>
      <c r="K636" t="n">
        <v>0</v>
      </c>
      <c r="L636" t="n">
        <v>0</v>
      </c>
      <c r="M636" t="n">
        <v>0</v>
      </c>
      <c r="N636" t="n">
        <v>0</v>
      </c>
      <c r="O636" t="n">
        <v>3</v>
      </c>
      <c r="P636" t="n">
        <v>0</v>
      </c>
      <c r="Q636" t="n">
        <v>3</v>
      </c>
      <c r="R636" s="2" t="inlineStr">
        <is>
          <t>Granticka
Tretåig hackspett
Vitgrynig nållav</t>
        </is>
      </c>
      <c r="S636">
        <f>HYPERLINK("https://klasma.github.io/Logging_2260/artfynd/A 43880-2025 artfynd.xlsx", "A 43880-2025")</f>
        <v/>
      </c>
      <c r="T636">
        <f>HYPERLINK("https://klasma.github.io/Logging_2260/kartor/A 43880-2025 karta.png", "A 43880-2025")</f>
        <v/>
      </c>
      <c r="V636">
        <f>HYPERLINK("https://klasma.github.io/Logging_2260/klagomål/A 43880-2025 FSC-klagomål.docx", "A 43880-2025")</f>
        <v/>
      </c>
      <c r="W636">
        <f>HYPERLINK("https://klasma.github.io/Logging_2260/klagomålsmail/A 43880-2025 FSC-klagomål mail.docx", "A 43880-2025")</f>
        <v/>
      </c>
      <c r="X636">
        <f>HYPERLINK("https://klasma.github.io/Logging_2260/tillsyn/A 43880-2025 tillsynsbegäran.docx", "A 43880-2025")</f>
        <v/>
      </c>
      <c r="Y636">
        <f>HYPERLINK("https://klasma.github.io/Logging_2260/tillsynsmail/A 43880-2025 tillsynsbegäran mail.docx", "A 43880-2025")</f>
        <v/>
      </c>
      <c r="Z636">
        <f>HYPERLINK("https://klasma.github.io/Logging_2260/fåglar/A 43880-2025 prioriterade fågelarter.docx", "A 43880-2025")</f>
        <v/>
      </c>
    </row>
    <row r="637" ht="15" customHeight="1">
      <c r="A637" t="inlineStr">
        <is>
          <t>A 45607-2025</t>
        </is>
      </c>
      <c r="B637" s="1" t="n">
        <v>45922</v>
      </c>
      <c r="C637" s="1" t="n">
        <v>46093</v>
      </c>
      <c r="D637" t="inlineStr">
        <is>
          <t>VÄSTERNORRLANDS LÄN</t>
        </is>
      </c>
      <c r="E637" t="inlineStr">
        <is>
          <t>KRAMFORS</t>
        </is>
      </c>
      <c r="G637" t="n">
        <v>1</v>
      </c>
      <c r="H637" t="n">
        <v>0</v>
      </c>
      <c r="I637" t="n">
        <v>0</v>
      </c>
      <c r="J637" t="n">
        <v>3</v>
      </c>
      <c r="K637" t="n">
        <v>0</v>
      </c>
      <c r="L637" t="n">
        <v>0</v>
      </c>
      <c r="M637" t="n">
        <v>0</v>
      </c>
      <c r="N637" t="n">
        <v>0</v>
      </c>
      <c r="O637" t="n">
        <v>3</v>
      </c>
      <c r="P637" t="n">
        <v>0</v>
      </c>
      <c r="Q637" t="n">
        <v>3</v>
      </c>
      <c r="R637" s="2" t="inlineStr">
        <is>
          <t>Garnlav
Motaggsvamp
Violettgrå tagellav</t>
        </is>
      </c>
      <c r="S637">
        <f>HYPERLINK("https://klasma.github.io/Logging_2282/artfynd/A 45607-2025 artfynd.xlsx", "A 45607-2025")</f>
        <v/>
      </c>
      <c r="T637">
        <f>HYPERLINK("https://klasma.github.io/Logging_2282/kartor/A 45607-2025 karta.png", "A 45607-2025")</f>
        <v/>
      </c>
      <c r="V637">
        <f>HYPERLINK("https://klasma.github.io/Logging_2282/klagomål/A 45607-2025 FSC-klagomål.docx", "A 45607-2025")</f>
        <v/>
      </c>
      <c r="W637">
        <f>HYPERLINK("https://klasma.github.io/Logging_2282/klagomålsmail/A 45607-2025 FSC-klagomål mail.docx", "A 45607-2025")</f>
        <v/>
      </c>
      <c r="X637">
        <f>HYPERLINK("https://klasma.github.io/Logging_2282/tillsyn/A 45607-2025 tillsynsbegäran.docx", "A 45607-2025")</f>
        <v/>
      </c>
      <c r="Y637">
        <f>HYPERLINK("https://klasma.github.io/Logging_2282/tillsynsmail/A 45607-2025 tillsynsbegäran mail.docx", "A 45607-2025")</f>
        <v/>
      </c>
    </row>
    <row r="638" ht="15" customHeight="1">
      <c r="A638" t="inlineStr">
        <is>
          <t>A 20841-2024</t>
        </is>
      </c>
      <c r="B638" s="1" t="n">
        <v>45439</v>
      </c>
      <c r="C638" s="1" t="n">
        <v>46093</v>
      </c>
      <c r="D638" t="inlineStr">
        <is>
          <t>VÄSTERNORRLANDS LÄN</t>
        </is>
      </c>
      <c r="E638" t="inlineStr">
        <is>
          <t>ÖRNSKÖLDSVIK</t>
        </is>
      </c>
      <c r="F638" t="inlineStr">
        <is>
          <t>Holmen skog AB</t>
        </is>
      </c>
      <c r="G638" t="n">
        <v>5.9</v>
      </c>
      <c r="H638" t="n">
        <v>0</v>
      </c>
      <c r="I638" t="n">
        <v>0</v>
      </c>
      <c r="J638" t="n">
        <v>3</v>
      </c>
      <c r="K638" t="n">
        <v>0</v>
      </c>
      <c r="L638" t="n">
        <v>0</v>
      </c>
      <c r="M638" t="n">
        <v>0</v>
      </c>
      <c r="N638" t="n">
        <v>0</v>
      </c>
      <c r="O638" t="n">
        <v>3</v>
      </c>
      <c r="P638" t="n">
        <v>0</v>
      </c>
      <c r="Q638" t="n">
        <v>3</v>
      </c>
      <c r="R638" s="2" t="inlineStr">
        <is>
          <t>Granticka
Lunglav
Tallticka</t>
        </is>
      </c>
      <c r="S638">
        <f>HYPERLINK("https://klasma.github.io/Logging_2284/artfynd/A 20841-2024 artfynd.xlsx", "A 20841-2024")</f>
        <v/>
      </c>
      <c r="T638">
        <f>HYPERLINK("https://klasma.github.io/Logging_2284/kartor/A 20841-2024 karta.png", "A 20841-2024")</f>
        <v/>
      </c>
      <c r="V638">
        <f>HYPERLINK("https://klasma.github.io/Logging_2284/klagomål/A 20841-2024 FSC-klagomål.docx", "A 20841-2024")</f>
        <v/>
      </c>
      <c r="W638">
        <f>HYPERLINK("https://klasma.github.io/Logging_2284/klagomålsmail/A 20841-2024 FSC-klagomål mail.docx", "A 20841-2024")</f>
        <v/>
      </c>
      <c r="X638">
        <f>HYPERLINK("https://klasma.github.io/Logging_2284/tillsyn/A 20841-2024 tillsynsbegäran.docx", "A 20841-2024")</f>
        <v/>
      </c>
      <c r="Y638">
        <f>HYPERLINK("https://klasma.github.io/Logging_2284/tillsynsmail/A 20841-2024 tillsynsbegäran mail.docx", "A 20841-2024")</f>
        <v/>
      </c>
    </row>
    <row r="639" ht="15" customHeight="1">
      <c r="A639" t="inlineStr">
        <is>
          <t>A 46417-2025</t>
        </is>
      </c>
      <c r="B639" s="1" t="n">
        <v>45925.59454861111</v>
      </c>
      <c r="C639" s="1" t="n">
        <v>46093</v>
      </c>
      <c r="D639" t="inlineStr">
        <is>
          <t>VÄSTERNORRLANDS LÄN</t>
        </is>
      </c>
      <c r="E639" t="inlineStr">
        <is>
          <t>ÅNGE</t>
        </is>
      </c>
      <c r="F639" t="inlineStr">
        <is>
          <t>SCA</t>
        </is>
      </c>
      <c r="G639" t="n">
        <v>6.6</v>
      </c>
      <c r="H639" t="n">
        <v>0</v>
      </c>
      <c r="I639" t="n">
        <v>0</v>
      </c>
      <c r="J639" t="n">
        <v>3</v>
      </c>
      <c r="K639" t="n">
        <v>0</v>
      </c>
      <c r="L639" t="n">
        <v>0</v>
      </c>
      <c r="M639" t="n">
        <v>0</v>
      </c>
      <c r="N639" t="n">
        <v>0</v>
      </c>
      <c r="O639" t="n">
        <v>3</v>
      </c>
      <c r="P639" t="n">
        <v>0</v>
      </c>
      <c r="Q639" t="n">
        <v>3</v>
      </c>
      <c r="R639" s="2" t="inlineStr">
        <is>
          <t>Garnlav
Kolflarnlav
Lunglav</t>
        </is>
      </c>
      <c r="S639">
        <f>HYPERLINK("https://klasma.github.io/Logging_2260/artfynd/A 46417-2025 artfynd.xlsx", "A 46417-2025")</f>
        <v/>
      </c>
      <c r="T639">
        <f>HYPERLINK("https://klasma.github.io/Logging_2260/kartor/A 46417-2025 karta.png", "A 46417-2025")</f>
        <v/>
      </c>
      <c r="V639">
        <f>HYPERLINK("https://klasma.github.io/Logging_2260/klagomål/A 46417-2025 FSC-klagomål.docx", "A 46417-2025")</f>
        <v/>
      </c>
      <c r="W639">
        <f>HYPERLINK("https://klasma.github.io/Logging_2260/klagomålsmail/A 46417-2025 FSC-klagomål mail.docx", "A 46417-2025")</f>
        <v/>
      </c>
      <c r="X639">
        <f>HYPERLINK("https://klasma.github.io/Logging_2260/tillsyn/A 46417-2025 tillsynsbegäran.docx", "A 46417-2025")</f>
        <v/>
      </c>
      <c r="Y639">
        <f>HYPERLINK("https://klasma.github.io/Logging_2260/tillsynsmail/A 46417-2025 tillsynsbegäran mail.docx", "A 46417-2025")</f>
        <v/>
      </c>
    </row>
    <row r="640" ht="15" customHeight="1">
      <c r="A640" t="inlineStr">
        <is>
          <t>A 22566-2022</t>
        </is>
      </c>
      <c r="B640" s="1" t="n">
        <v>44713.93861111111</v>
      </c>
      <c r="C640" s="1" t="n">
        <v>46093</v>
      </c>
      <c r="D640" t="inlineStr">
        <is>
          <t>VÄSTERNORRLANDS LÄN</t>
        </is>
      </c>
      <c r="E640" t="inlineStr">
        <is>
          <t>SUNDSVALL</t>
        </is>
      </c>
      <c r="F640" t="inlineStr">
        <is>
          <t>SCA</t>
        </is>
      </c>
      <c r="G640" t="n">
        <v>5.1</v>
      </c>
      <c r="H640" t="n">
        <v>2</v>
      </c>
      <c r="I640" t="n">
        <v>0</v>
      </c>
      <c r="J640" t="n">
        <v>2</v>
      </c>
      <c r="K640" t="n">
        <v>1</v>
      </c>
      <c r="L640" t="n">
        <v>0</v>
      </c>
      <c r="M640" t="n">
        <v>0</v>
      </c>
      <c r="N640" t="n">
        <v>0</v>
      </c>
      <c r="O640" t="n">
        <v>3</v>
      </c>
      <c r="P640" t="n">
        <v>1</v>
      </c>
      <c r="Q640" t="n">
        <v>3</v>
      </c>
      <c r="R640" s="2" t="inlineStr">
        <is>
          <t>Knärot
Lunglav
Tretåig hackspett</t>
        </is>
      </c>
      <c r="S640">
        <f>HYPERLINK("https://klasma.github.io/Logging_2281/artfynd/A 22566-2022 artfynd.xlsx", "A 22566-2022")</f>
        <v/>
      </c>
      <c r="T640">
        <f>HYPERLINK("https://klasma.github.io/Logging_2281/kartor/A 22566-2022 karta.png", "A 22566-2022")</f>
        <v/>
      </c>
      <c r="U640">
        <f>HYPERLINK("https://klasma.github.io/Logging_2281/knärot/A 22566-2022 karta knärot.png", "A 22566-2022")</f>
        <v/>
      </c>
      <c r="V640">
        <f>HYPERLINK("https://klasma.github.io/Logging_2281/klagomål/A 22566-2022 FSC-klagomål.docx", "A 22566-2022")</f>
        <v/>
      </c>
      <c r="W640">
        <f>HYPERLINK("https://klasma.github.io/Logging_2281/klagomålsmail/A 22566-2022 FSC-klagomål mail.docx", "A 22566-2022")</f>
        <v/>
      </c>
      <c r="X640">
        <f>HYPERLINK("https://klasma.github.io/Logging_2281/tillsyn/A 22566-2022 tillsynsbegäran.docx", "A 22566-2022")</f>
        <v/>
      </c>
      <c r="Y640">
        <f>HYPERLINK("https://klasma.github.io/Logging_2281/tillsynsmail/A 22566-2022 tillsynsbegäran mail.docx", "A 22566-2022")</f>
        <v/>
      </c>
      <c r="Z640">
        <f>HYPERLINK("https://klasma.github.io/Logging_2281/fåglar/A 22566-2022 prioriterade fågelarter.docx", "A 22566-2022")</f>
        <v/>
      </c>
    </row>
    <row r="641" ht="15" customHeight="1">
      <c r="A641" t="inlineStr">
        <is>
          <t>A 47617-2024</t>
        </is>
      </c>
      <c r="B641" s="1" t="n">
        <v>45588.32125</v>
      </c>
      <c r="C641" s="1" t="n">
        <v>46093</v>
      </c>
      <c r="D641" t="inlineStr">
        <is>
          <t>VÄSTERNORRLANDS LÄN</t>
        </is>
      </c>
      <c r="E641" t="inlineStr">
        <is>
          <t>ÅNGE</t>
        </is>
      </c>
      <c r="F641" t="inlineStr">
        <is>
          <t>Holmen skog AB</t>
        </is>
      </c>
      <c r="G641" t="n">
        <v>8.300000000000001</v>
      </c>
      <c r="H641" t="n">
        <v>0</v>
      </c>
      <c r="I641" t="n">
        <v>0</v>
      </c>
      <c r="J641" t="n">
        <v>3</v>
      </c>
      <c r="K641" t="n">
        <v>0</v>
      </c>
      <c r="L641" t="n">
        <v>0</v>
      </c>
      <c r="M641" t="n">
        <v>0</v>
      </c>
      <c r="N641" t="n">
        <v>0</v>
      </c>
      <c r="O641" t="n">
        <v>3</v>
      </c>
      <c r="P641" t="n">
        <v>0</v>
      </c>
      <c r="Q641" t="n">
        <v>3</v>
      </c>
      <c r="R641" s="2" t="inlineStr">
        <is>
          <t>Granticka
Gränsticka
Lunglav</t>
        </is>
      </c>
      <c r="S641">
        <f>HYPERLINK("https://klasma.github.io/Logging_2260/artfynd/A 47617-2024 artfynd.xlsx", "A 47617-2024")</f>
        <v/>
      </c>
      <c r="T641">
        <f>HYPERLINK("https://klasma.github.io/Logging_2260/kartor/A 47617-2024 karta.png", "A 47617-2024")</f>
        <v/>
      </c>
      <c r="V641">
        <f>HYPERLINK("https://klasma.github.io/Logging_2260/klagomål/A 47617-2024 FSC-klagomål.docx", "A 47617-2024")</f>
        <v/>
      </c>
      <c r="W641">
        <f>HYPERLINK("https://klasma.github.io/Logging_2260/klagomålsmail/A 47617-2024 FSC-klagomål mail.docx", "A 47617-2024")</f>
        <v/>
      </c>
      <c r="X641">
        <f>HYPERLINK("https://klasma.github.io/Logging_2260/tillsyn/A 47617-2024 tillsynsbegäran.docx", "A 47617-2024")</f>
        <v/>
      </c>
      <c r="Y641">
        <f>HYPERLINK("https://klasma.github.io/Logging_2260/tillsynsmail/A 47617-2024 tillsynsbegäran mail.docx", "A 47617-2024")</f>
        <v/>
      </c>
    </row>
    <row r="642" ht="15" customHeight="1">
      <c r="A642" t="inlineStr">
        <is>
          <t>A 50838-2023</t>
        </is>
      </c>
      <c r="B642" s="1" t="n">
        <v>45217</v>
      </c>
      <c r="C642" s="1" t="n">
        <v>46093</v>
      </c>
      <c r="D642" t="inlineStr">
        <is>
          <t>VÄSTERNORRLANDS LÄN</t>
        </is>
      </c>
      <c r="E642" t="inlineStr">
        <is>
          <t>SOLLEFTEÅ</t>
        </is>
      </c>
      <c r="F642" t="inlineStr">
        <is>
          <t>SCA</t>
        </is>
      </c>
      <c r="G642" t="n">
        <v>2.1</v>
      </c>
      <c r="H642" t="n">
        <v>2</v>
      </c>
      <c r="I642" t="n">
        <v>0</v>
      </c>
      <c r="J642" t="n">
        <v>1</v>
      </c>
      <c r="K642" t="n">
        <v>2</v>
      </c>
      <c r="L642" t="n">
        <v>0</v>
      </c>
      <c r="M642" t="n">
        <v>0</v>
      </c>
      <c r="N642" t="n">
        <v>0</v>
      </c>
      <c r="O642" t="n">
        <v>3</v>
      </c>
      <c r="P642" t="n">
        <v>2</v>
      </c>
      <c r="Q642" t="n">
        <v>3</v>
      </c>
      <c r="R642" s="2" t="inlineStr">
        <is>
          <t>Doftticka
Knärot
Lunglav</t>
        </is>
      </c>
      <c r="S642">
        <f>HYPERLINK("https://klasma.github.io/Logging_2283/artfynd/A 50838-2023 artfynd.xlsx", "A 50838-2023")</f>
        <v/>
      </c>
      <c r="T642">
        <f>HYPERLINK("https://klasma.github.io/Logging_2283/kartor/A 50838-2023 karta.png", "A 50838-2023")</f>
        <v/>
      </c>
      <c r="U642">
        <f>HYPERLINK("https://klasma.github.io/Logging_2283/knärot/A 50838-2023 karta knärot.png", "A 50838-2023")</f>
        <v/>
      </c>
      <c r="V642">
        <f>HYPERLINK("https://klasma.github.io/Logging_2283/klagomål/A 50838-2023 FSC-klagomål.docx", "A 50838-2023")</f>
        <v/>
      </c>
      <c r="W642">
        <f>HYPERLINK("https://klasma.github.io/Logging_2283/klagomålsmail/A 50838-2023 FSC-klagomål mail.docx", "A 50838-2023")</f>
        <v/>
      </c>
      <c r="X642">
        <f>HYPERLINK("https://klasma.github.io/Logging_2283/tillsyn/A 50838-2023 tillsynsbegäran.docx", "A 50838-2023")</f>
        <v/>
      </c>
      <c r="Y642">
        <f>HYPERLINK("https://klasma.github.io/Logging_2283/tillsynsmail/A 50838-2023 tillsynsbegäran mail.docx", "A 50838-2023")</f>
        <v/>
      </c>
    </row>
    <row r="643" ht="15" customHeight="1">
      <c r="A643" t="inlineStr">
        <is>
          <t>A 53852-2024</t>
        </is>
      </c>
      <c r="B643" s="1" t="n">
        <v>45615.63590277778</v>
      </c>
      <c r="C643" s="1" t="n">
        <v>46093</v>
      </c>
      <c r="D643" t="inlineStr">
        <is>
          <t>VÄSTERNORRLANDS LÄN</t>
        </is>
      </c>
      <c r="E643" t="inlineStr">
        <is>
          <t>SOLLEFTEÅ</t>
        </is>
      </c>
      <c r="F643" t="inlineStr">
        <is>
          <t>SCA</t>
        </is>
      </c>
      <c r="G643" t="n">
        <v>0.7</v>
      </c>
      <c r="H643" t="n">
        <v>1</v>
      </c>
      <c r="I643" t="n">
        <v>2</v>
      </c>
      <c r="J643" t="n">
        <v>1</v>
      </c>
      <c r="K643" t="n">
        <v>0</v>
      </c>
      <c r="L643" t="n">
        <v>0</v>
      </c>
      <c r="M643" t="n">
        <v>0</v>
      </c>
      <c r="N643" t="n">
        <v>0</v>
      </c>
      <c r="O643" t="n">
        <v>1</v>
      </c>
      <c r="P643" t="n">
        <v>0</v>
      </c>
      <c r="Q643" t="n">
        <v>3</v>
      </c>
      <c r="R643" s="2" t="inlineStr">
        <is>
          <t>Garnlav
Korallrot
Ögonpyrola</t>
        </is>
      </c>
      <c r="S643">
        <f>HYPERLINK("https://klasma.github.io/Logging_2283/artfynd/A 53852-2024 artfynd.xlsx", "A 53852-2024")</f>
        <v/>
      </c>
      <c r="T643">
        <f>HYPERLINK("https://klasma.github.io/Logging_2283/kartor/A 53852-2024 karta.png", "A 53852-2024")</f>
        <v/>
      </c>
      <c r="V643">
        <f>HYPERLINK("https://klasma.github.io/Logging_2283/klagomål/A 53852-2024 FSC-klagomål.docx", "A 53852-2024")</f>
        <v/>
      </c>
      <c r="W643">
        <f>HYPERLINK("https://klasma.github.io/Logging_2283/klagomålsmail/A 53852-2024 FSC-klagomål mail.docx", "A 53852-2024")</f>
        <v/>
      </c>
      <c r="X643">
        <f>HYPERLINK("https://klasma.github.io/Logging_2283/tillsyn/A 53852-2024 tillsynsbegäran.docx", "A 53852-2024")</f>
        <v/>
      </c>
      <c r="Y643">
        <f>HYPERLINK("https://klasma.github.io/Logging_2283/tillsynsmail/A 53852-2024 tillsynsbegäran mail.docx", "A 53852-2024")</f>
        <v/>
      </c>
    </row>
    <row r="644" ht="15" customHeight="1">
      <c r="A644" t="inlineStr">
        <is>
          <t>A 48798-2024</t>
        </is>
      </c>
      <c r="B644" s="1" t="n">
        <v>45593.65664351852</v>
      </c>
      <c r="C644" s="1" t="n">
        <v>46093</v>
      </c>
      <c r="D644" t="inlineStr">
        <is>
          <t>VÄSTERNORRLANDS LÄN</t>
        </is>
      </c>
      <c r="E644" t="inlineStr">
        <is>
          <t>TIMRÅ</t>
        </is>
      </c>
      <c r="F644" t="inlineStr">
        <is>
          <t>SCA</t>
        </is>
      </c>
      <c r="G644" t="n">
        <v>2.3</v>
      </c>
      <c r="H644" t="n">
        <v>0</v>
      </c>
      <c r="I644" t="n">
        <v>0</v>
      </c>
      <c r="J644" t="n">
        <v>3</v>
      </c>
      <c r="K644" t="n">
        <v>0</v>
      </c>
      <c r="L644" t="n">
        <v>0</v>
      </c>
      <c r="M644" t="n">
        <v>0</v>
      </c>
      <c r="N644" t="n">
        <v>0</v>
      </c>
      <c r="O644" t="n">
        <v>3</v>
      </c>
      <c r="P644" t="n">
        <v>0</v>
      </c>
      <c r="Q644" t="n">
        <v>3</v>
      </c>
      <c r="R644" s="2" t="inlineStr">
        <is>
          <t>Garnlav
Kolflarnlav
Kötticka</t>
        </is>
      </c>
      <c r="S644">
        <f>HYPERLINK("https://klasma.github.io/Logging_2262/artfynd/A 48798-2024 artfynd.xlsx", "A 48798-2024")</f>
        <v/>
      </c>
      <c r="T644">
        <f>HYPERLINK("https://klasma.github.io/Logging_2262/kartor/A 48798-2024 karta.png", "A 48798-2024")</f>
        <v/>
      </c>
      <c r="V644">
        <f>HYPERLINK("https://klasma.github.io/Logging_2262/klagomål/A 48798-2024 FSC-klagomål.docx", "A 48798-2024")</f>
        <v/>
      </c>
      <c r="W644">
        <f>HYPERLINK("https://klasma.github.io/Logging_2262/klagomålsmail/A 48798-2024 FSC-klagomål mail.docx", "A 48798-2024")</f>
        <v/>
      </c>
      <c r="X644">
        <f>HYPERLINK("https://klasma.github.io/Logging_2262/tillsyn/A 48798-2024 tillsynsbegäran.docx", "A 48798-2024")</f>
        <v/>
      </c>
      <c r="Y644">
        <f>HYPERLINK("https://klasma.github.io/Logging_2262/tillsynsmail/A 48798-2024 tillsynsbegäran mail.docx", "A 48798-2024")</f>
        <v/>
      </c>
    </row>
    <row r="645" ht="15" customHeight="1">
      <c r="A645" t="inlineStr">
        <is>
          <t>A 43251-2025</t>
        </is>
      </c>
      <c r="B645" s="1" t="n">
        <v>45910.55276620371</v>
      </c>
      <c r="C645" s="1" t="n">
        <v>46093</v>
      </c>
      <c r="D645" t="inlineStr">
        <is>
          <t>VÄSTERNORRLANDS LÄN</t>
        </is>
      </c>
      <c r="E645" t="inlineStr">
        <is>
          <t>HÄRNÖSAND</t>
        </is>
      </c>
      <c r="F645" t="inlineStr">
        <is>
          <t>SCA</t>
        </is>
      </c>
      <c r="G645" t="n">
        <v>4</v>
      </c>
      <c r="H645" t="n">
        <v>0</v>
      </c>
      <c r="I645" t="n">
        <v>0</v>
      </c>
      <c r="J645" t="n">
        <v>3</v>
      </c>
      <c r="K645" t="n">
        <v>0</v>
      </c>
      <c r="L645" t="n">
        <v>0</v>
      </c>
      <c r="M645" t="n">
        <v>0</v>
      </c>
      <c r="N645" t="n">
        <v>0</v>
      </c>
      <c r="O645" t="n">
        <v>3</v>
      </c>
      <c r="P645" t="n">
        <v>0</v>
      </c>
      <c r="Q645" t="n">
        <v>3</v>
      </c>
      <c r="R645" s="2" t="inlineStr">
        <is>
          <t>Gammelgransskål
Garnlav
Granticka</t>
        </is>
      </c>
      <c r="S645">
        <f>HYPERLINK("https://klasma.github.io/Logging_2280/artfynd/A 43251-2025 artfynd.xlsx", "A 43251-2025")</f>
        <v/>
      </c>
      <c r="T645">
        <f>HYPERLINK("https://klasma.github.io/Logging_2280/kartor/A 43251-2025 karta.png", "A 43251-2025")</f>
        <v/>
      </c>
      <c r="V645">
        <f>HYPERLINK("https://klasma.github.io/Logging_2280/klagomål/A 43251-2025 FSC-klagomål.docx", "A 43251-2025")</f>
        <v/>
      </c>
      <c r="W645">
        <f>HYPERLINK("https://klasma.github.io/Logging_2280/klagomålsmail/A 43251-2025 FSC-klagomål mail.docx", "A 43251-2025")</f>
        <v/>
      </c>
      <c r="X645">
        <f>HYPERLINK("https://klasma.github.io/Logging_2280/tillsyn/A 43251-2025 tillsynsbegäran.docx", "A 43251-2025")</f>
        <v/>
      </c>
      <c r="Y645">
        <f>HYPERLINK("https://klasma.github.io/Logging_2280/tillsynsmail/A 43251-2025 tillsynsbegäran mail.docx", "A 43251-2025")</f>
        <v/>
      </c>
    </row>
    <row r="646" ht="15" customHeight="1">
      <c r="A646" t="inlineStr">
        <is>
          <t>A 50259-2025</t>
        </is>
      </c>
      <c r="B646" s="1" t="n">
        <v>45944.34498842592</v>
      </c>
      <c r="C646" s="1" t="n">
        <v>46093</v>
      </c>
      <c r="D646" t="inlineStr">
        <is>
          <t>VÄSTERNORRLANDS LÄN</t>
        </is>
      </c>
      <c r="E646" t="inlineStr">
        <is>
          <t>ÅNGE</t>
        </is>
      </c>
      <c r="F646" t="inlineStr">
        <is>
          <t>SCA</t>
        </is>
      </c>
      <c r="G646" t="n">
        <v>1.7</v>
      </c>
      <c r="H646" t="n">
        <v>1</v>
      </c>
      <c r="I646" t="n">
        <v>1</v>
      </c>
      <c r="J646" t="n">
        <v>1</v>
      </c>
      <c r="K646" t="n">
        <v>0</v>
      </c>
      <c r="L646" t="n">
        <v>0</v>
      </c>
      <c r="M646" t="n">
        <v>0</v>
      </c>
      <c r="N646" t="n">
        <v>0</v>
      </c>
      <c r="O646" t="n">
        <v>1</v>
      </c>
      <c r="P646" t="n">
        <v>0</v>
      </c>
      <c r="Q646" t="n">
        <v>3</v>
      </c>
      <c r="R646" s="2" t="inlineStr">
        <is>
          <t>Lunglav
Bollvitmossa
Fläcknycklar</t>
        </is>
      </c>
      <c r="S646">
        <f>HYPERLINK("https://klasma.github.io/Logging_2260/artfynd/A 50259-2025 artfynd.xlsx", "A 50259-2025")</f>
        <v/>
      </c>
      <c r="T646">
        <f>HYPERLINK("https://klasma.github.io/Logging_2260/kartor/A 50259-2025 karta.png", "A 50259-2025")</f>
        <v/>
      </c>
      <c r="V646">
        <f>HYPERLINK("https://klasma.github.io/Logging_2260/klagomål/A 50259-2025 FSC-klagomål.docx", "A 50259-2025")</f>
        <v/>
      </c>
      <c r="W646">
        <f>HYPERLINK("https://klasma.github.io/Logging_2260/klagomålsmail/A 50259-2025 FSC-klagomål mail.docx", "A 50259-2025")</f>
        <v/>
      </c>
      <c r="X646">
        <f>HYPERLINK("https://klasma.github.io/Logging_2260/tillsyn/A 50259-2025 tillsynsbegäran.docx", "A 50259-2025")</f>
        <v/>
      </c>
      <c r="Y646">
        <f>HYPERLINK("https://klasma.github.io/Logging_2260/tillsynsmail/A 50259-2025 tillsynsbegäran mail.docx", "A 50259-2025")</f>
        <v/>
      </c>
    </row>
    <row r="647" ht="15" customHeight="1">
      <c r="A647" t="inlineStr">
        <is>
          <t>A 21097-2024</t>
        </is>
      </c>
      <c r="B647" s="1" t="n">
        <v>45439</v>
      </c>
      <c r="C647" s="1" t="n">
        <v>46093</v>
      </c>
      <c r="D647" t="inlineStr">
        <is>
          <t>VÄSTERNORRLANDS LÄN</t>
        </is>
      </c>
      <c r="E647" t="inlineStr">
        <is>
          <t>SOLLEFTEÅ</t>
        </is>
      </c>
      <c r="F647" t="inlineStr">
        <is>
          <t>SCA</t>
        </is>
      </c>
      <c r="G647" t="n">
        <v>7.7</v>
      </c>
      <c r="H647" t="n">
        <v>1</v>
      </c>
      <c r="I647" t="n">
        <v>1</v>
      </c>
      <c r="J647" t="n">
        <v>2</v>
      </c>
      <c r="K647" t="n">
        <v>0</v>
      </c>
      <c r="L647" t="n">
        <v>0</v>
      </c>
      <c r="M647" t="n">
        <v>0</v>
      </c>
      <c r="N647" t="n">
        <v>0</v>
      </c>
      <c r="O647" t="n">
        <v>2</v>
      </c>
      <c r="P647" t="n">
        <v>0</v>
      </c>
      <c r="Q647" t="n">
        <v>3</v>
      </c>
      <c r="R647" s="2" t="inlineStr">
        <is>
          <t>Lunglav
Ullticka
Lappranunkel</t>
        </is>
      </c>
      <c r="S647">
        <f>HYPERLINK("https://klasma.github.io/Logging_2283/artfynd/A 21097-2024 artfynd.xlsx", "A 21097-2024")</f>
        <v/>
      </c>
      <c r="T647">
        <f>HYPERLINK("https://klasma.github.io/Logging_2283/kartor/A 21097-2024 karta.png", "A 21097-2024")</f>
        <v/>
      </c>
      <c r="V647">
        <f>HYPERLINK("https://klasma.github.io/Logging_2283/klagomål/A 21097-2024 FSC-klagomål.docx", "A 21097-2024")</f>
        <v/>
      </c>
      <c r="W647">
        <f>HYPERLINK("https://klasma.github.io/Logging_2283/klagomålsmail/A 21097-2024 FSC-klagomål mail.docx", "A 21097-2024")</f>
        <v/>
      </c>
      <c r="X647">
        <f>HYPERLINK("https://klasma.github.io/Logging_2283/tillsyn/A 21097-2024 tillsynsbegäran.docx", "A 21097-2024")</f>
        <v/>
      </c>
      <c r="Y647">
        <f>HYPERLINK("https://klasma.github.io/Logging_2283/tillsynsmail/A 21097-2024 tillsynsbegäran mail.docx", "A 21097-2024")</f>
        <v/>
      </c>
    </row>
    <row r="648" ht="15" customHeight="1">
      <c r="A648" t="inlineStr">
        <is>
          <t>A 24757-2024</t>
        </is>
      </c>
      <c r="B648" s="1" t="n">
        <v>45460.67375</v>
      </c>
      <c r="C648" s="1" t="n">
        <v>46093</v>
      </c>
      <c r="D648" t="inlineStr">
        <is>
          <t>VÄSTERNORRLANDS LÄN</t>
        </is>
      </c>
      <c r="E648" t="inlineStr">
        <is>
          <t>SOLLEFTEÅ</t>
        </is>
      </c>
      <c r="G648" t="n">
        <v>1.4</v>
      </c>
      <c r="H648" t="n">
        <v>1</v>
      </c>
      <c r="I648" t="n">
        <v>0</v>
      </c>
      <c r="J648" t="n">
        <v>2</v>
      </c>
      <c r="K648" t="n">
        <v>0</v>
      </c>
      <c r="L648" t="n">
        <v>0</v>
      </c>
      <c r="M648" t="n">
        <v>0</v>
      </c>
      <c r="N648" t="n">
        <v>0</v>
      </c>
      <c r="O648" t="n">
        <v>2</v>
      </c>
      <c r="P648" t="n">
        <v>0</v>
      </c>
      <c r="Q648" t="n">
        <v>3</v>
      </c>
      <c r="R648" s="2" t="inlineStr">
        <is>
          <t>Harticka
Lunglav
Revlummer</t>
        </is>
      </c>
      <c r="S648">
        <f>HYPERLINK("https://klasma.github.io/Logging_2283/artfynd/A 24757-2024 artfynd.xlsx", "A 24757-2024")</f>
        <v/>
      </c>
      <c r="T648">
        <f>HYPERLINK("https://klasma.github.io/Logging_2283/kartor/A 24757-2024 karta.png", "A 24757-2024")</f>
        <v/>
      </c>
      <c r="V648">
        <f>HYPERLINK("https://klasma.github.io/Logging_2283/klagomål/A 24757-2024 FSC-klagomål.docx", "A 24757-2024")</f>
        <v/>
      </c>
      <c r="W648">
        <f>HYPERLINK("https://klasma.github.io/Logging_2283/klagomålsmail/A 24757-2024 FSC-klagomål mail.docx", "A 24757-2024")</f>
        <v/>
      </c>
      <c r="X648">
        <f>HYPERLINK("https://klasma.github.io/Logging_2283/tillsyn/A 24757-2024 tillsynsbegäran.docx", "A 24757-2024")</f>
        <v/>
      </c>
      <c r="Y648">
        <f>HYPERLINK("https://klasma.github.io/Logging_2283/tillsynsmail/A 24757-2024 tillsynsbegäran mail.docx", "A 24757-2024")</f>
        <v/>
      </c>
    </row>
    <row r="649" ht="15" customHeight="1">
      <c r="A649" t="inlineStr">
        <is>
          <t>A 37184-2025</t>
        </is>
      </c>
      <c r="B649" s="1" t="n">
        <v>45875.63591435185</v>
      </c>
      <c r="C649" s="1" t="n">
        <v>46093</v>
      </c>
      <c r="D649" t="inlineStr">
        <is>
          <t>VÄSTERNORRLANDS LÄN</t>
        </is>
      </c>
      <c r="E649" t="inlineStr">
        <is>
          <t>ÅNGE</t>
        </is>
      </c>
      <c r="F649" t="inlineStr">
        <is>
          <t>SCA</t>
        </is>
      </c>
      <c r="G649" t="n">
        <v>2.5</v>
      </c>
      <c r="H649" t="n">
        <v>0</v>
      </c>
      <c r="I649" t="n">
        <v>0</v>
      </c>
      <c r="J649" t="n">
        <v>3</v>
      </c>
      <c r="K649" t="n">
        <v>0</v>
      </c>
      <c r="L649" t="n">
        <v>0</v>
      </c>
      <c r="M649" t="n">
        <v>0</v>
      </c>
      <c r="N649" t="n">
        <v>0</v>
      </c>
      <c r="O649" t="n">
        <v>3</v>
      </c>
      <c r="P649" t="n">
        <v>0</v>
      </c>
      <c r="Q649" t="n">
        <v>3</v>
      </c>
      <c r="R649" s="2" t="inlineStr">
        <is>
          <t>Granticka
Lunglav
Rosenticka</t>
        </is>
      </c>
      <c r="S649">
        <f>HYPERLINK("https://klasma.github.io/Logging_2260/artfynd/A 37184-2025 artfynd.xlsx", "A 37184-2025")</f>
        <v/>
      </c>
      <c r="T649">
        <f>HYPERLINK("https://klasma.github.io/Logging_2260/kartor/A 37184-2025 karta.png", "A 37184-2025")</f>
        <v/>
      </c>
      <c r="V649">
        <f>HYPERLINK("https://klasma.github.io/Logging_2260/klagomål/A 37184-2025 FSC-klagomål.docx", "A 37184-2025")</f>
        <v/>
      </c>
      <c r="W649">
        <f>HYPERLINK("https://klasma.github.io/Logging_2260/klagomålsmail/A 37184-2025 FSC-klagomål mail.docx", "A 37184-2025")</f>
        <v/>
      </c>
      <c r="X649">
        <f>HYPERLINK("https://klasma.github.io/Logging_2260/tillsyn/A 37184-2025 tillsynsbegäran.docx", "A 37184-2025")</f>
        <v/>
      </c>
      <c r="Y649">
        <f>HYPERLINK("https://klasma.github.io/Logging_2260/tillsynsmail/A 37184-2025 tillsynsbegäran mail.docx", "A 37184-2025")</f>
        <v/>
      </c>
    </row>
    <row r="650" ht="15" customHeight="1">
      <c r="A650" t="inlineStr">
        <is>
          <t>A 26341-2025</t>
        </is>
      </c>
      <c r="B650" s="1" t="n">
        <v>45805.69878472222</v>
      </c>
      <c r="C650" s="1" t="n">
        <v>46093</v>
      </c>
      <c r="D650" t="inlineStr">
        <is>
          <t>VÄSTERNORRLANDS LÄN</t>
        </is>
      </c>
      <c r="E650" t="inlineStr">
        <is>
          <t>SOLLEFTEÅ</t>
        </is>
      </c>
      <c r="F650" t="inlineStr">
        <is>
          <t>SCA</t>
        </is>
      </c>
      <c r="G650" t="n">
        <v>3.2</v>
      </c>
      <c r="H650" t="n">
        <v>3</v>
      </c>
      <c r="I650" t="n">
        <v>0</v>
      </c>
      <c r="J650" t="n">
        <v>2</v>
      </c>
      <c r="K650" t="n">
        <v>0</v>
      </c>
      <c r="L650" t="n">
        <v>0</v>
      </c>
      <c r="M650" t="n">
        <v>0</v>
      </c>
      <c r="N650" t="n">
        <v>0</v>
      </c>
      <c r="O650" t="n">
        <v>2</v>
      </c>
      <c r="P650" t="n">
        <v>0</v>
      </c>
      <c r="Q650" t="n">
        <v>3</v>
      </c>
      <c r="R650" s="2" t="inlineStr">
        <is>
          <t>Talltita
Tretåig hackspett
Lavskrika</t>
        </is>
      </c>
      <c r="S650">
        <f>HYPERLINK("https://klasma.github.io/Logging_2283/artfynd/A 26341-2025 artfynd.xlsx", "A 26341-2025")</f>
        <v/>
      </c>
      <c r="T650">
        <f>HYPERLINK("https://klasma.github.io/Logging_2283/kartor/A 26341-2025 karta.png", "A 26341-2025")</f>
        <v/>
      </c>
      <c r="V650">
        <f>HYPERLINK("https://klasma.github.io/Logging_2283/klagomål/A 26341-2025 FSC-klagomål.docx", "A 26341-2025")</f>
        <v/>
      </c>
      <c r="W650">
        <f>HYPERLINK("https://klasma.github.io/Logging_2283/klagomålsmail/A 26341-2025 FSC-klagomål mail.docx", "A 26341-2025")</f>
        <v/>
      </c>
      <c r="X650">
        <f>HYPERLINK("https://klasma.github.io/Logging_2283/tillsyn/A 26341-2025 tillsynsbegäran.docx", "A 26341-2025")</f>
        <v/>
      </c>
      <c r="Y650">
        <f>HYPERLINK("https://klasma.github.io/Logging_2283/tillsynsmail/A 26341-2025 tillsynsbegäran mail.docx", "A 26341-2025")</f>
        <v/>
      </c>
      <c r="Z650">
        <f>HYPERLINK("https://klasma.github.io/Logging_2283/fåglar/A 26341-2025 prioriterade fågelarter.docx", "A 26341-2025")</f>
        <v/>
      </c>
    </row>
    <row r="651" ht="15" customHeight="1">
      <c r="A651" t="inlineStr">
        <is>
          <t>A 52937-2025</t>
        </is>
      </c>
      <c r="B651" s="1" t="n">
        <v>45957.63583333333</v>
      </c>
      <c r="C651" s="1" t="n">
        <v>46093</v>
      </c>
      <c r="D651" t="inlineStr">
        <is>
          <t>VÄSTERNORRLANDS LÄN</t>
        </is>
      </c>
      <c r="E651" t="inlineStr">
        <is>
          <t>KRAMFORS</t>
        </is>
      </c>
      <c r="F651" t="inlineStr">
        <is>
          <t>SCA</t>
        </is>
      </c>
      <c r="G651" t="n">
        <v>1.5</v>
      </c>
      <c r="H651" t="n">
        <v>0</v>
      </c>
      <c r="I651" t="n">
        <v>0</v>
      </c>
      <c r="J651" t="n">
        <v>3</v>
      </c>
      <c r="K651" t="n">
        <v>0</v>
      </c>
      <c r="L651" t="n">
        <v>0</v>
      </c>
      <c r="M651" t="n">
        <v>0</v>
      </c>
      <c r="N651" t="n">
        <v>0</v>
      </c>
      <c r="O651" t="n">
        <v>3</v>
      </c>
      <c r="P651" t="n">
        <v>0</v>
      </c>
      <c r="Q651" t="n">
        <v>3</v>
      </c>
      <c r="R651" s="2" t="inlineStr">
        <is>
          <t>Garnlav
Kortskaftad ärgspik
Vedflamlav</t>
        </is>
      </c>
      <c r="S651">
        <f>HYPERLINK("https://klasma.github.io/Logging_2282/artfynd/A 52937-2025 artfynd.xlsx", "A 52937-2025")</f>
        <v/>
      </c>
      <c r="T651">
        <f>HYPERLINK("https://klasma.github.io/Logging_2282/kartor/A 52937-2025 karta.png", "A 52937-2025")</f>
        <v/>
      </c>
      <c r="V651">
        <f>HYPERLINK("https://klasma.github.io/Logging_2282/klagomål/A 52937-2025 FSC-klagomål.docx", "A 52937-2025")</f>
        <v/>
      </c>
      <c r="W651">
        <f>HYPERLINK("https://klasma.github.io/Logging_2282/klagomålsmail/A 52937-2025 FSC-klagomål mail.docx", "A 52937-2025")</f>
        <v/>
      </c>
      <c r="X651">
        <f>HYPERLINK("https://klasma.github.io/Logging_2282/tillsyn/A 52937-2025 tillsynsbegäran.docx", "A 52937-2025")</f>
        <v/>
      </c>
      <c r="Y651">
        <f>HYPERLINK("https://klasma.github.io/Logging_2282/tillsynsmail/A 52937-2025 tillsynsbegäran mail.docx", "A 52937-2025")</f>
        <v/>
      </c>
    </row>
    <row r="652" ht="15" customHeight="1">
      <c r="A652" t="inlineStr">
        <is>
          <t>A 8077-2025</t>
        </is>
      </c>
      <c r="B652" s="1" t="n">
        <v>45707.65659722222</v>
      </c>
      <c r="C652" s="1" t="n">
        <v>46093</v>
      </c>
      <c r="D652" t="inlineStr">
        <is>
          <t>VÄSTERNORRLANDS LÄN</t>
        </is>
      </c>
      <c r="E652" t="inlineStr">
        <is>
          <t>SOLLEFTEÅ</t>
        </is>
      </c>
      <c r="F652" t="inlineStr">
        <is>
          <t>SCA</t>
        </is>
      </c>
      <c r="G652" t="n">
        <v>2.7</v>
      </c>
      <c r="H652" t="n">
        <v>3</v>
      </c>
      <c r="I652" t="n">
        <v>0</v>
      </c>
      <c r="J652" t="n">
        <v>2</v>
      </c>
      <c r="K652" t="n">
        <v>0</v>
      </c>
      <c r="L652" t="n">
        <v>0</v>
      </c>
      <c r="M652" t="n">
        <v>0</v>
      </c>
      <c r="N652" t="n">
        <v>0</v>
      </c>
      <c r="O652" t="n">
        <v>2</v>
      </c>
      <c r="P652" t="n">
        <v>0</v>
      </c>
      <c r="Q652" t="n">
        <v>3</v>
      </c>
      <c r="R652" s="2" t="inlineStr">
        <is>
          <t>Spillkråka
Tretåig hackspett
Tjäder</t>
        </is>
      </c>
      <c r="S652">
        <f>HYPERLINK("https://klasma.github.io/Logging_2283/artfynd/A 8077-2025 artfynd.xlsx", "A 8077-2025")</f>
        <v/>
      </c>
      <c r="T652">
        <f>HYPERLINK("https://klasma.github.io/Logging_2283/kartor/A 8077-2025 karta.png", "A 8077-2025")</f>
        <v/>
      </c>
      <c r="V652">
        <f>HYPERLINK("https://klasma.github.io/Logging_2283/klagomål/A 8077-2025 FSC-klagomål.docx", "A 8077-2025")</f>
        <v/>
      </c>
      <c r="W652">
        <f>HYPERLINK("https://klasma.github.io/Logging_2283/klagomålsmail/A 8077-2025 FSC-klagomål mail.docx", "A 8077-2025")</f>
        <v/>
      </c>
      <c r="X652">
        <f>HYPERLINK("https://klasma.github.io/Logging_2283/tillsyn/A 8077-2025 tillsynsbegäran.docx", "A 8077-2025")</f>
        <v/>
      </c>
      <c r="Y652">
        <f>HYPERLINK("https://klasma.github.io/Logging_2283/tillsynsmail/A 8077-2025 tillsynsbegäran mail.docx", "A 8077-2025")</f>
        <v/>
      </c>
      <c r="Z652">
        <f>HYPERLINK("https://klasma.github.io/Logging_2283/fåglar/A 8077-2025 prioriterade fågelarter.docx", "A 8077-2025")</f>
        <v/>
      </c>
    </row>
    <row r="653" ht="15" customHeight="1">
      <c r="A653" t="inlineStr">
        <is>
          <t>A 53710-2025</t>
        </is>
      </c>
      <c r="B653" s="1" t="n">
        <v>45960.6153125</v>
      </c>
      <c r="C653" s="1" t="n">
        <v>46093</v>
      </c>
      <c r="D653" t="inlineStr">
        <is>
          <t>VÄSTERNORRLANDS LÄN</t>
        </is>
      </c>
      <c r="E653" t="inlineStr">
        <is>
          <t>ÅNGE</t>
        </is>
      </c>
      <c r="F653" t="inlineStr">
        <is>
          <t>SCA</t>
        </is>
      </c>
      <c r="G653" t="n">
        <v>7.9</v>
      </c>
      <c r="H653" t="n">
        <v>1</v>
      </c>
      <c r="I653" t="n">
        <v>0</v>
      </c>
      <c r="J653" t="n">
        <v>3</v>
      </c>
      <c r="K653" t="n">
        <v>0</v>
      </c>
      <c r="L653" t="n">
        <v>0</v>
      </c>
      <c r="M653" t="n">
        <v>0</v>
      </c>
      <c r="N653" t="n">
        <v>0</v>
      </c>
      <c r="O653" t="n">
        <v>3</v>
      </c>
      <c r="P653" t="n">
        <v>0</v>
      </c>
      <c r="Q653" t="n">
        <v>3</v>
      </c>
      <c r="R653" s="2" t="inlineStr">
        <is>
          <t>Kolflarnlav
Spillkråka
Vedskivlav</t>
        </is>
      </c>
      <c r="S653">
        <f>HYPERLINK("https://klasma.github.io/Logging_2260/artfynd/A 53710-2025 artfynd.xlsx", "A 53710-2025")</f>
        <v/>
      </c>
      <c r="T653">
        <f>HYPERLINK("https://klasma.github.io/Logging_2260/kartor/A 53710-2025 karta.png", "A 53710-2025")</f>
        <v/>
      </c>
      <c r="V653">
        <f>HYPERLINK("https://klasma.github.io/Logging_2260/klagomål/A 53710-2025 FSC-klagomål.docx", "A 53710-2025")</f>
        <v/>
      </c>
      <c r="W653">
        <f>HYPERLINK("https://klasma.github.io/Logging_2260/klagomålsmail/A 53710-2025 FSC-klagomål mail.docx", "A 53710-2025")</f>
        <v/>
      </c>
      <c r="X653">
        <f>HYPERLINK("https://klasma.github.io/Logging_2260/tillsyn/A 53710-2025 tillsynsbegäran.docx", "A 53710-2025")</f>
        <v/>
      </c>
      <c r="Y653">
        <f>HYPERLINK("https://klasma.github.io/Logging_2260/tillsynsmail/A 53710-2025 tillsynsbegäran mail.docx", "A 53710-2025")</f>
        <v/>
      </c>
      <c r="Z653">
        <f>HYPERLINK("https://klasma.github.io/Logging_2260/fåglar/A 53710-2025 prioriterade fågelarter.docx", "A 53710-2025")</f>
        <v/>
      </c>
    </row>
    <row r="654" ht="15" customHeight="1">
      <c r="A654" t="inlineStr">
        <is>
          <t>A 59101-2023</t>
        </is>
      </c>
      <c r="B654" s="1" t="n">
        <v>45252</v>
      </c>
      <c r="C654" s="1" t="n">
        <v>46093</v>
      </c>
      <c r="D654" t="inlineStr">
        <is>
          <t>VÄSTERNORRLANDS LÄN</t>
        </is>
      </c>
      <c r="E654" t="inlineStr">
        <is>
          <t>ÖRNSKÖLDSVIK</t>
        </is>
      </c>
      <c r="F654" t="inlineStr">
        <is>
          <t>SCA</t>
        </is>
      </c>
      <c r="G654" t="n">
        <v>2.5</v>
      </c>
      <c r="H654" t="n">
        <v>0</v>
      </c>
      <c r="I654" t="n">
        <v>1</v>
      </c>
      <c r="J654" t="n">
        <v>1</v>
      </c>
      <c r="K654" t="n">
        <v>1</v>
      </c>
      <c r="L654" t="n">
        <v>0</v>
      </c>
      <c r="M654" t="n">
        <v>0</v>
      </c>
      <c r="N654" t="n">
        <v>0</v>
      </c>
      <c r="O654" t="n">
        <v>2</v>
      </c>
      <c r="P654" t="n">
        <v>1</v>
      </c>
      <c r="Q654" t="n">
        <v>3</v>
      </c>
      <c r="R654" s="2" t="inlineStr">
        <is>
          <t>Rynkskinn
Rosenticka
Stuplav</t>
        </is>
      </c>
      <c r="S654">
        <f>HYPERLINK("https://klasma.github.io/Logging_2284/artfynd/A 59101-2023 artfynd.xlsx", "A 59101-2023")</f>
        <v/>
      </c>
      <c r="T654">
        <f>HYPERLINK("https://klasma.github.io/Logging_2284/kartor/A 59101-2023 karta.png", "A 59101-2023")</f>
        <v/>
      </c>
      <c r="V654">
        <f>HYPERLINK("https://klasma.github.io/Logging_2284/klagomål/A 59101-2023 FSC-klagomål.docx", "A 59101-2023")</f>
        <v/>
      </c>
      <c r="W654">
        <f>HYPERLINK("https://klasma.github.io/Logging_2284/klagomålsmail/A 59101-2023 FSC-klagomål mail.docx", "A 59101-2023")</f>
        <v/>
      </c>
      <c r="X654">
        <f>HYPERLINK("https://klasma.github.io/Logging_2284/tillsyn/A 59101-2023 tillsynsbegäran.docx", "A 59101-2023")</f>
        <v/>
      </c>
      <c r="Y654">
        <f>HYPERLINK("https://klasma.github.io/Logging_2284/tillsynsmail/A 59101-2023 tillsynsbegäran mail.docx", "A 59101-2023")</f>
        <v/>
      </c>
    </row>
    <row r="655" ht="15" customHeight="1">
      <c r="A655" t="inlineStr">
        <is>
          <t>A 54254-2025</t>
        </is>
      </c>
      <c r="B655" s="1" t="n">
        <v>45964.65668981482</v>
      </c>
      <c r="C655" s="1" t="n">
        <v>46093</v>
      </c>
      <c r="D655" t="inlineStr">
        <is>
          <t>VÄSTERNORRLANDS LÄN</t>
        </is>
      </c>
      <c r="E655" t="inlineStr">
        <is>
          <t>SOLLEFTEÅ</t>
        </is>
      </c>
      <c r="F655" t="inlineStr">
        <is>
          <t>SCA</t>
        </is>
      </c>
      <c r="G655" t="n">
        <v>2.2</v>
      </c>
      <c r="H655" t="n">
        <v>0</v>
      </c>
      <c r="I655" t="n">
        <v>2</v>
      </c>
      <c r="J655" t="n">
        <v>1</v>
      </c>
      <c r="K655" t="n">
        <v>0</v>
      </c>
      <c r="L655" t="n">
        <v>0</v>
      </c>
      <c r="M655" t="n">
        <v>0</v>
      </c>
      <c r="N655" t="n">
        <v>0</v>
      </c>
      <c r="O655" t="n">
        <v>1</v>
      </c>
      <c r="P655" t="n">
        <v>0</v>
      </c>
      <c r="Q655" t="n">
        <v>3</v>
      </c>
      <c r="R655" s="2" t="inlineStr">
        <is>
          <t>Garnlav
Norrlandslav
Skarp dropptaggsvamp</t>
        </is>
      </c>
      <c r="S655">
        <f>HYPERLINK("https://klasma.github.io/Logging_2283/artfynd/A 54254-2025 artfynd.xlsx", "A 54254-2025")</f>
        <v/>
      </c>
      <c r="T655">
        <f>HYPERLINK("https://klasma.github.io/Logging_2283/kartor/A 54254-2025 karta.png", "A 54254-2025")</f>
        <v/>
      </c>
      <c r="V655">
        <f>HYPERLINK("https://klasma.github.io/Logging_2283/klagomål/A 54254-2025 FSC-klagomål.docx", "A 54254-2025")</f>
        <v/>
      </c>
      <c r="W655">
        <f>HYPERLINK("https://klasma.github.io/Logging_2283/klagomålsmail/A 54254-2025 FSC-klagomål mail.docx", "A 54254-2025")</f>
        <v/>
      </c>
      <c r="X655">
        <f>HYPERLINK("https://klasma.github.io/Logging_2283/tillsyn/A 54254-2025 tillsynsbegäran.docx", "A 54254-2025")</f>
        <v/>
      </c>
      <c r="Y655">
        <f>HYPERLINK("https://klasma.github.io/Logging_2283/tillsynsmail/A 54254-2025 tillsynsbegäran mail.docx", "A 54254-2025")</f>
        <v/>
      </c>
    </row>
    <row r="656" ht="15" customHeight="1">
      <c r="A656" t="inlineStr">
        <is>
          <t>A 38664-2025</t>
        </is>
      </c>
      <c r="B656" s="1" t="n">
        <v>45884.61503472222</v>
      </c>
      <c r="C656" s="1" t="n">
        <v>46093</v>
      </c>
      <c r="D656" t="inlineStr">
        <is>
          <t>VÄSTERNORRLANDS LÄN</t>
        </is>
      </c>
      <c r="E656" t="inlineStr">
        <is>
          <t>ÅNGE</t>
        </is>
      </c>
      <c r="F656" t="inlineStr">
        <is>
          <t>SCA</t>
        </is>
      </c>
      <c r="G656" t="n">
        <v>6.4</v>
      </c>
      <c r="H656" t="n">
        <v>1</v>
      </c>
      <c r="I656" t="n">
        <v>0</v>
      </c>
      <c r="J656" t="n">
        <v>2</v>
      </c>
      <c r="K656" t="n">
        <v>1</v>
      </c>
      <c r="L656" t="n">
        <v>0</v>
      </c>
      <c r="M656" t="n">
        <v>0</v>
      </c>
      <c r="N656" t="n">
        <v>0</v>
      </c>
      <c r="O656" t="n">
        <v>3</v>
      </c>
      <c r="P656" t="n">
        <v>1</v>
      </c>
      <c r="Q656" t="n">
        <v>3</v>
      </c>
      <c r="R656" s="2" t="inlineStr">
        <is>
          <t>Knärot
Kolflarnlav
Mörk kolflarnlav</t>
        </is>
      </c>
      <c r="S656">
        <f>HYPERLINK("https://klasma.github.io/Logging_2260/artfynd/A 38664-2025 artfynd.xlsx", "A 38664-2025")</f>
        <v/>
      </c>
      <c r="T656">
        <f>HYPERLINK("https://klasma.github.io/Logging_2260/kartor/A 38664-2025 karta.png", "A 38664-2025")</f>
        <v/>
      </c>
      <c r="U656">
        <f>HYPERLINK("https://klasma.github.io/Logging_2260/knärot/A 38664-2025 karta knärot.png", "A 38664-2025")</f>
        <v/>
      </c>
      <c r="V656">
        <f>HYPERLINK("https://klasma.github.io/Logging_2260/klagomål/A 38664-2025 FSC-klagomål.docx", "A 38664-2025")</f>
        <v/>
      </c>
      <c r="W656">
        <f>HYPERLINK("https://klasma.github.io/Logging_2260/klagomålsmail/A 38664-2025 FSC-klagomål mail.docx", "A 38664-2025")</f>
        <v/>
      </c>
      <c r="X656">
        <f>HYPERLINK("https://klasma.github.io/Logging_2260/tillsyn/A 38664-2025 tillsynsbegäran.docx", "A 38664-2025")</f>
        <v/>
      </c>
      <c r="Y656">
        <f>HYPERLINK("https://klasma.github.io/Logging_2260/tillsynsmail/A 38664-2025 tillsynsbegäran mail.docx", "A 38664-2025")</f>
        <v/>
      </c>
    </row>
    <row r="657" ht="15" customHeight="1">
      <c r="A657" t="inlineStr">
        <is>
          <t>A 32487-2021</t>
        </is>
      </c>
      <c r="B657" s="1" t="n">
        <v>44371</v>
      </c>
      <c r="C657" s="1" t="n">
        <v>46093</v>
      </c>
      <c r="D657" t="inlineStr">
        <is>
          <t>VÄSTERNORRLANDS LÄN</t>
        </is>
      </c>
      <c r="E657" t="inlineStr">
        <is>
          <t>TIMRÅ</t>
        </is>
      </c>
      <c r="F657" t="inlineStr">
        <is>
          <t>Kyrkan</t>
        </is>
      </c>
      <c r="G657" t="n">
        <v>21</v>
      </c>
      <c r="H657" t="n">
        <v>1</v>
      </c>
      <c r="I657" t="n">
        <v>0</v>
      </c>
      <c r="J657" t="n">
        <v>3</v>
      </c>
      <c r="K657" t="n">
        <v>0</v>
      </c>
      <c r="L657" t="n">
        <v>0</v>
      </c>
      <c r="M657" t="n">
        <v>0</v>
      </c>
      <c r="N657" t="n">
        <v>0</v>
      </c>
      <c r="O657" t="n">
        <v>3</v>
      </c>
      <c r="P657" t="n">
        <v>0</v>
      </c>
      <c r="Q657" t="n">
        <v>3</v>
      </c>
      <c r="R657" s="2" t="inlineStr">
        <is>
          <t>Garnlav
Spillkråka
Vedskivlav</t>
        </is>
      </c>
      <c r="S657">
        <f>HYPERLINK("https://klasma.github.io/Logging_2262/artfynd/A 32487-2021 artfynd.xlsx", "A 32487-2021")</f>
        <v/>
      </c>
      <c r="T657">
        <f>HYPERLINK("https://klasma.github.io/Logging_2262/kartor/A 32487-2021 karta.png", "A 32487-2021")</f>
        <v/>
      </c>
      <c r="V657">
        <f>HYPERLINK("https://klasma.github.io/Logging_2262/klagomål/A 32487-2021 FSC-klagomål.docx", "A 32487-2021")</f>
        <v/>
      </c>
      <c r="W657">
        <f>HYPERLINK("https://klasma.github.io/Logging_2262/klagomålsmail/A 32487-2021 FSC-klagomål mail.docx", "A 32487-2021")</f>
        <v/>
      </c>
      <c r="X657">
        <f>HYPERLINK("https://klasma.github.io/Logging_2262/tillsyn/A 32487-2021 tillsynsbegäran.docx", "A 32487-2021")</f>
        <v/>
      </c>
      <c r="Y657">
        <f>HYPERLINK("https://klasma.github.io/Logging_2262/tillsynsmail/A 32487-2021 tillsynsbegäran mail.docx", "A 32487-2021")</f>
        <v/>
      </c>
      <c r="Z657">
        <f>HYPERLINK("https://klasma.github.io/Logging_2262/fåglar/A 32487-2021 prioriterade fågelarter.docx", "A 32487-2021")</f>
        <v/>
      </c>
    </row>
    <row r="658" ht="15" customHeight="1">
      <c r="A658" t="inlineStr">
        <is>
          <t>A 38238-2025</t>
        </is>
      </c>
      <c r="B658" s="1" t="n">
        <v>45883.36497685185</v>
      </c>
      <c r="C658" s="1" t="n">
        <v>46093</v>
      </c>
      <c r="D658" t="inlineStr">
        <is>
          <t>VÄSTERNORRLANDS LÄN</t>
        </is>
      </c>
      <c r="E658" t="inlineStr">
        <is>
          <t>ÅNGE</t>
        </is>
      </c>
      <c r="F658" t="inlineStr">
        <is>
          <t>SCA</t>
        </is>
      </c>
      <c r="G658" t="n">
        <v>5.6</v>
      </c>
      <c r="H658" t="n">
        <v>0</v>
      </c>
      <c r="I658" t="n">
        <v>1</v>
      </c>
      <c r="J658" t="n">
        <v>1</v>
      </c>
      <c r="K658" t="n">
        <v>1</v>
      </c>
      <c r="L658" t="n">
        <v>0</v>
      </c>
      <c r="M658" t="n">
        <v>0</v>
      </c>
      <c r="N658" t="n">
        <v>0</v>
      </c>
      <c r="O658" t="n">
        <v>2</v>
      </c>
      <c r="P658" t="n">
        <v>1</v>
      </c>
      <c r="Q658" t="n">
        <v>3</v>
      </c>
      <c r="R658" s="2" t="inlineStr">
        <is>
          <t>Tajgataggsvamp
Vitplätt
Grönpyrola</t>
        </is>
      </c>
      <c r="S658">
        <f>HYPERLINK("https://klasma.github.io/Logging_2260/artfynd/A 38238-2025 artfynd.xlsx", "A 38238-2025")</f>
        <v/>
      </c>
      <c r="T658">
        <f>HYPERLINK("https://klasma.github.io/Logging_2260/kartor/A 38238-2025 karta.png", "A 38238-2025")</f>
        <v/>
      </c>
      <c r="U658">
        <f>HYPERLINK("https://klasma.github.io/Logging_2260/knärot/A 38238-2025 karta knärot.png", "A 38238-2025")</f>
        <v/>
      </c>
      <c r="V658">
        <f>HYPERLINK("https://klasma.github.io/Logging_2260/klagomål/A 38238-2025 FSC-klagomål.docx", "A 38238-2025")</f>
        <v/>
      </c>
      <c r="W658">
        <f>HYPERLINK("https://klasma.github.io/Logging_2260/klagomålsmail/A 38238-2025 FSC-klagomål mail.docx", "A 38238-2025")</f>
        <v/>
      </c>
      <c r="X658">
        <f>HYPERLINK("https://klasma.github.io/Logging_2260/tillsyn/A 38238-2025 tillsynsbegäran.docx", "A 38238-2025")</f>
        <v/>
      </c>
      <c r="Y658">
        <f>HYPERLINK("https://klasma.github.io/Logging_2260/tillsynsmail/A 38238-2025 tillsynsbegäran mail.docx", "A 38238-2025")</f>
        <v/>
      </c>
    </row>
    <row r="659" ht="15" customHeight="1">
      <c r="A659" t="inlineStr">
        <is>
          <t>A 7533-2023</t>
        </is>
      </c>
      <c r="B659" s="1" t="n">
        <v>44971</v>
      </c>
      <c r="C659" s="1" t="n">
        <v>46093</v>
      </c>
      <c r="D659" t="inlineStr">
        <is>
          <t>VÄSTERNORRLANDS LÄN</t>
        </is>
      </c>
      <c r="E659" t="inlineStr">
        <is>
          <t>ÅNGE</t>
        </is>
      </c>
      <c r="F659" t="inlineStr">
        <is>
          <t>SCA</t>
        </is>
      </c>
      <c r="G659" t="n">
        <v>15.7</v>
      </c>
      <c r="H659" t="n">
        <v>2</v>
      </c>
      <c r="I659" t="n">
        <v>0</v>
      </c>
      <c r="J659" t="n">
        <v>1</v>
      </c>
      <c r="K659" t="n">
        <v>1</v>
      </c>
      <c r="L659" t="n">
        <v>0</v>
      </c>
      <c r="M659" t="n">
        <v>0</v>
      </c>
      <c r="N659" t="n">
        <v>0</v>
      </c>
      <c r="O659" t="n">
        <v>2</v>
      </c>
      <c r="P659" t="n">
        <v>1</v>
      </c>
      <c r="Q659" t="n">
        <v>3</v>
      </c>
      <c r="R659" s="2" t="inlineStr">
        <is>
          <t>Doftticka
Lunglav
Blåsippa</t>
        </is>
      </c>
      <c r="S659">
        <f>HYPERLINK("https://klasma.github.io/Logging_2260/artfynd/A 7533-2023 artfynd.xlsx", "A 7533-2023")</f>
        <v/>
      </c>
      <c r="T659">
        <f>HYPERLINK("https://klasma.github.io/Logging_2260/kartor/A 7533-2023 karta.png", "A 7533-2023")</f>
        <v/>
      </c>
      <c r="V659">
        <f>HYPERLINK("https://klasma.github.io/Logging_2260/klagomål/A 7533-2023 FSC-klagomål.docx", "A 7533-2023")</f>
        <v/>
      </c>
      <c r="W659">
        <f>HYPERLINK("https://klasma.github.io/Logging_2260/klagomålsmail/A 7533-2023 FSC-klagomål mail.docx", "A 7533-2023")</f>
        <v/>
      </c>
      <c r="X659">
        <f>HYPERLINK("https://klasma.github.io/Logging_2260/tillsyn/A 7533-2023 tillsynsbegäran.docx", "A 7533-2023")</f>
        <v/>
      </c>
      <c r="Y659">
        <f>HYPERLINK("https://klasma.github.io/Logging_2260/tillsynsmail/A 7533-2023 tillsynsbegäran mail.docx", "A 7533-2023")</f>
        <v/>
      </c>
    </row>
    <row r="660" ht="15" customHeight="1">
      <c r="A660" t="inlineStr">
        <is>
          <t>A 19225-2025</t>
        </is>
      </c>
      <c r="B660" s="1" t="n">
        <v>45769.44872685185</v>
      </c>
      <c r="C660" s="1" t="n">
        <v>46093</v>
      </c>
      <c r="D660" t="inlineStr">
        <is>
          <t>VÄSTERNORRLANDS LÄN</t>
        </is>
      </c>
      <c r="E660" t="inlineStr">
        <is>
          <t>SUNDSVALL</t>
        </is>
      </c>
      <c r="F660" t="inlineStr">
        <is>
          <t>SCA</t>
        </is>
      </c>
      <c r="G660" t="n">
        <v>3.2</v>
      </c>
      <c r="H660" t="n">
        <v>3</v>
      </c>
      <c r="I660" t="n">
        <v>0</v>
      </c>
      <c r="J660" t="n">
        <v>1</v>
      </c>
      <c r="K660" t="n">
        <v>1</v>
      </c>
      <c r="L660" t="n">
        <v>0</v>
      </c>
      <c r="M660" t="n">
        <v>0</v>
      </c>
      <c r="N660" t="n">
        <v>0</v>
      </c>
      <c r="O660" t="n">
        <v>2</v>
      </c>
      <c r="P660" t="n">
        <v>1</v>
      </c>
      <c r="Q660" t="n">
        <v>3</v>
      </c>
      <c r="R660" s="2" t="inlineStr">
        <is>
          <t>Knärot
Tretåig hackspett
Fläcknycklar</t>
        </is>
      </c>
      <c r="S660">
        <f>HYPERLINK("https://klasma.github.io/Logging_2281/artfynd/A 19225-2025 artfynd.xlsx", "A 19225-2025")</f>
        <v/>
      </c>
      <c r="T660">
        <f>HYPERLINK("https://klasma.github.io/Logging_2281/kartor/A 19225-2025 karta.png", "A 19225-2025")</f>
        <v/>
      </c>
      <c r="U660">
        <f>HYPERLINK("https://klasma.github.io/Logging_2281/knärot/A 19225-2025 karta knärot.png", "A 19225-2025")</f>
        <v/>
      </c>
      <c r="V660">
        <f>HYPERLINK("https://klasma.github.io/Logging_2281/klagomål/A 19225-2025 FSC-klagomål.docx", "A 19225-2025")</f>
        <v/>
      </c>
      <c r="W660">
        <f>HYPERLINK("https://klasma.github.io/Logging_2281/klagomålsmail/A 19225-2025 FSC-klagomål mail.docx", "A 19225-2025")</f>
        <v/>
      </c>
      <c r="X660">
        <f>HYPERLINK("https://klasma.github.io/Logging_2281/tillsyn/A 19225-2025 tillsynsbegäran.docx", "A 19225-2025")</f>
        <v/>
      </c>
      <c r="Y660">
        <f>HYPERLINK("https://klasma.github.io/Logging_2281/tillsynsmail/A 19225-2025 tillsynsbegäran mail.docx", "A 19225-2025")</f>
        <v/>
      </c>
      <c r="Z660">
        <f>HYPERLINK("https://klasma.github.io/Logging_2281/fåglar/A 19225-2025 prioriterade fågelarter.docx", "A 19225-2025")</f>
        <v/>
      </c>
    </row>
    <row r="661" ht="15" customHeight="1">
      <c r="A661" t="inlineStr">
        <is>
          <t>A 55125-2025</t>
        </is>
      </c>
      <c r="B661" s="1" t="n">
        <v>45968.40688657408</v>
      </c>
      <c r="C661" s="1" t="n">
        <v>46093</v>
      </c>
      <c r="D661" t="inlineStr">
        <is>
          <t>VÄSTERNORRLANDS LÄN</t>
        </is>
      </c>
      <c r="E661" t="inlineStr">
        <is>
          <t>SOLLEFTEÅ</t>
        </is>
      </c>
      <c r="F661" t="inlineStr">
        <is>
          <t>SCA</t>
        </is>
      </c>
      <c r="G661" t="n">
        <v>6.1</v>
      </c>
      <c r="H661" t="n">
        <v>2</v>
      </c>
      <c r="I661" t="n">
        <v>0</v>
      </c>
      <c r="J661" t="n">
        <v>3</v>
      </c>
      <c r="K661" t="n">
        <v>0</v>
      </c>
      <c r="L661" t="n">
        <v>0</v>
      </c>
      <c r="M661" t="n">
        <v>0</v>
      </c>
      <c r="N661" t="n">
        <v>0</v>
      </c>
      <c r="O661" t="n">
        <v>3</v>
      </c>
      <c r="P661" t="n">
        <v>0</v>
      </c>
      <c r="Q661" t="n">
        <v>3</v>
      </c>
      <c r="R661" s="2" t="inlineStr">
        <is>
          <t>Harticka
Talltita
Tretåig hackspett</t>
        </is>
      </c>
      <c r="S661">
        <f>HYPERLINK("https://klasma.github.io/Logging_2283/artfynd/A 55125-2025 artfynd.xlsx", "A 55125-2025")</f>
        <v/>
      </c>
      <c r="T661">
        <f>HYPERLINK("https://klasma.github.io/Logging_2283/kartor/A 55125-2025 karta.png", "A 55125-2025")</f>
        <v/>
      </c>
      <c r="V661">
        <f>HYPERLINK("https://klasma.github.io/Logging_2283/klagomål/A 55125-2025 FSC-klagomål.docx", "A 55125-2025")</f>
        <v/>
      </c>
      <c r="W661">
        <f>HYPERLINK("https://klasma.github.io/Logging_2283/klagomålsmail/A 55125-2025 FSC-klagomål mail.docx", "A 55125-2025")</f>
        <v/>
      </c>
      <c r="X661">
        <f>HYPERLINK("https://klasma.github.io/Logging_2283/tillsyn/A 55125-2025 tillsynsbegäran.docx", "A 55125-2025")</f>
        <v/>
      </c>
      <c r="Y661">
        <f>HYPERLINK("https://klasma.github.io/Logging_2283/tillsynsmail/A 55125-2025 tillsynsbegäran mail.docx", "A 55125-2025")</f>
        <v/>
      </c>
      <c r="Z661">
        <f>HYPERLINK("https://klasma.github.io/Logging_2283/fåglar/A 55125-2025 prioriterade fågelarter.docx", "A 55125-2025")</f>
        <v/>
      </c>
    </row>
    <row r="662" ht="15" customHeight="1">
      <c r="A662" t="inlineStr">
        <is>
          <t>A 18826-2025</t>
        </is>
      </c>
      <c r="B662" s="1" t="n">
        <v>45764.38604166666</v>
      </c>
      <c r="C662" s="1" t="n">
        <v>46093</v>
      </c>
      <c r="D662" t="inlineStr">
        <is>
          <t>VÄSTERNORRLANDS LÄN</t>
        </is>
      </c>
      <c r="E662" t="inlineStr">
        <is>
          <t>SUNDSVALL</t>
        </is>
      </c>
      <c r="F662" t="inlineStr">
        <is>
          <t>Naturvårdsverket</t>
        </is>
      </c>
      <c r="G662" t="n">
        <v>3.5</v>
      </c>
      <c r="H662" t="n">
        <v>0</v>
      </c>
      <c r="I662" t="n">
        <v>0</v>
      </c>
      <c r="J662" t="n">
        <v>3</v>
      </c>
      <c r="K662" t="n">
        <v>0</v>
      </c>
      <c r="L662" t="n">
        <v>0</v>
      </c>
      <c r="M662" t="n">
        <v>0</v>
      </c>
      <c r="N662" t="n">
        <v>0</v>
      </c>
      <c r="O662" t="n">
        <v>3</v>
      </c>
      <c r="P662" t="n">
        <v>0</v>
      </c>
      <c r="Q662" t="n">
        <v>3</v>
      </c>
      <c r="R662" s="2" t="inlineStr">
        <is>
          <t>Garnlav
Kolflarnlav
Vedskivlav</t>
        </is>
      </c>
      <c r="S662">
        <f>HYPERLINK("https://klasma.github.io/Logging_2281/artfynd/A 18826-2025 artfynd.xlsx", "A 18826-2025")</f>
        <v/>
      </c>
      <c r="T662">
        <f>HYPERLINK("https://klasma.github.io/Logging_2281/kartor/A 18826-2025 karta.png", "A 18826-2025")</f>
        <v/>
      </c>
      <c r="V662">
        <f>HYPERLINK("https://klasma.github.io/Logging_2281/klagomål/A 18826-2025 FSC-klagomål.docx", "A 18826-2025")</f>
        <v/>
      </c>
      <c r="W662">
        <f>HYPERLINK("https://klasma.github.io/Logging_2281/klagomålsmail/A 18826-2025 FSC-klagomål mail.docx", "A 18826-2025")</f>
        <v/>
      </c>
      <c r="X662">
        <f>HYPERLINK("https://klasma.github.io/Logging_2281/tillsyn/A 18826-2025 tillsynsbegäran.docx", "A 18826-2025")</f>
        <v/>
      </c>
      <c r="Y662">
        <f>HYPERLINK("https://klasma.github.io/Logging_2281/tillsynsmail/A 18826-2025 tillsynsbegäran mail.docx", "A 18826-2025")</f>
        <v/>
      </c>
    </row>
    <row r="663" ht="15" customHeight="1">
      <c r="A663" t="inlineStr">
        <is>
          <t>A 41267-2021</t>
        </is>
      </c>
      <c r="B663" s="1" t="n">
        <v>44424</v>
      </c>
      <c r="C663" s="1" t="n">
        <v>46093</v>
      </c>
      <c r="D663" t="inlineStr">
        <is>
          <t>VÄSTERNORRLANDS LÄN</t>
        </is>
      </c>
      <c r="E663" t="inlineStr">
        <is>
          <t>ÖRNSKÖLDSVIK</t>
        </is>
      </c>
      <c r="F663" t="inlineStr">
        <is>
          <t>Holmen skog AB</t>
        </is>
      </c>
      <c r="G663" t="n">
        <v>1.5</v>
      </c>
      <c r="H663" t="n">
        <v>0</v>
      </c>
      <c r="I663" t="n">
        <v>1</v>
      </c>
      <c r="J663" t="n">
        <v>2</v>
      </c>
      <c r="K663" t="n">
        <v>0</v>
      </c>
      <c r="L663" t="n">
        <v>0</v>
      </c>
      <c r="M663" t="n">
        <v>0</v>
      </c>
      <c r="N663" t="n">
        <v>0</v>
      </c>
      <c r="O663" t="n">
        <v>2</v>
      </c>
      <c r="P663" t="n">
        <v>0</v>
      </c>
      <c r="Q663" t="n">
        <v>3</v>
      </c>
      <c r="R663" s="2" t="inlineStr">
        <is>
          <t>Gammelgransskål
Garnlav
Vedticka</t>
        </is>
      </c>
      <c r="S663">
        <f>HYPERLINK("https://klasma.github.io/Logging_2284/artfynd/A 41267-2021 artfynd.xlsx", "A 41267-2021")</f>
        <v/>
      </c>
      <c r="T663">
        <f>HYPERLINK("https://klasma.github.io/Logging_2284/kartor/A 41267-2021 karta.png", "A 41267-2021")</f>
        <v/>
      </c>
      <c r="V663">
        <f>HYPERLINK("https://klasma.github.io/Logging_2284/klagomål/A 41267-2021 FSC-klagomål.docx", "A 41267-2021")</f>
        <v/>
      </c>
      <c r="W663">
        <f>HYPERLINK("https://klasma.github.io/Logging_2284/klagomålsmail/A 41267-2021 FSC-klagomål mail.docx", "A 41267-2021")</f>
        <v/>
      </c>
      <c r="X663">
        <f>HYPERLINK("https://klasma.github.io/Logging_2284/tillsyn/A 41267-2021 tillsynsbegäran.docx", "A 41267-2021")</f>
        <v/>
      </c>
      <c r="Y663">
        <f>HYPERLINK("https://klasma.github.io/Logging_2284/tillsynsmail/A 41267-2021 tillsynsbegäran mail.docx", "A 41267-2021")</f>
        <v/>
      </c>
    </row>
    <row r="664" ht="15" customHeight="1">
      <c r="A664" t="inlineStr">
        <is>
          <t>A 47129-2025</t>
        </is>
      </c>
      <c r="B664" s="1" t="n">
        <v>45929</v>
      </c>
      <c r="C664" s="1" t="n">
        <v>46093</v>
      </c>
      <c r="D664" t="inlineStr">
        <is>
          <t>VÄSTERNORRLANDS LÄN</t>
        </is>
      </c>
      <c r="E664" t="inlineStr">
        <is>
          <t>SUNDSVALL</t>
        </is>
      </c>
      <c r="G664" t="n">
        <v>4.2</v>
      </c>
      <c r="H664" t="n">
        <v>2</v>
      </c>
      <c r="I664" t="n">
        <v>1</v>
      </c>
      <c r="J664" t="n">
        <v>2</v>
      </c>
      <c r="K664" t="n">
        <v>0</v>
      </c>
      <c r="L664" t="n">
        <v>0</v>
      </c>
      <c r="M664" t="n">
        <v>0</v>
      </c>
      <c r="N664" t="n">
        <v>0</v>
      </c>
      <c r="O664" t="n">
        <v>2</v>
      </c>
      <c r="P664" t="n">
        <v>0</v>
      </c>
      <c r="Q664" t="n">
        <v>3</v>
      </c>
      <c r="R664" s="2" t="inlineStr">
        <is>
          <t>Järpe
Tretåig hackspett
Grönpyrola</t>
        </is>
      </c>
      <c r="S664">
        <f>HYPERLINK("https://klasma.github.io/Logging_2281/artfynd/A 47129-2025 artfynd.xlsx", "A 47129-2025")</f>
        <v/>
      </c>
      <c r="T664">
        <f>HYPERLINK("https://klasma.github.io/Logging_2281/kartor/A 47129-2025 karta.png", "A 47129-2025")</f>
        <v/>
      </c>
      <c r="U664">
        <f>HYPERLINK("https://klasma.github.io/Logging_2281/knärot/A 47129-2025 karta knärot.png", "A 47129-2025")</f>
        <v/>
      </c>
      <c r="V664">
        <f>HYPERLINK("https://klasma.github.io/Logging_2281/klagomål/A 47129-2025 FSC-klagomål.docx", "A 47129-2025")</f>
        <v/>
      </c>
      <c r="W664">
        <f>HYPERLINK("https://klasma.github.io/Logging_2281/klagomålsmail/A 47129-2025 FSC-klagomål mail.docx", "A 47129-2025")</f>
        <v/>
      </c>
      <c r="X664">
        <f>HYPERLINK("https://klasma.github.io/Logging_2281/tillsyn/A 47129-2025 tillsynsbegäran.docx", "A 47129-2025")</f>
        <v/>
      </c>
      <c r="Y664">
        <f>HYPERLINK("https://klasma.github.io/Logging_2281/tillsynsmail/A 47129-2025 tillsynsbegäran mail.docx", "A 47129-2025")</f>
        <v/>
      </c>
      <c r="Z664">
        <f>HYPERLINK("https://klasma.github.io/Logging_2281/fåglar/A 47129-2025 prioriterade fågelarter.docx", "A 47129-2025")</f>
        <v/>
      </c>
    </row>
    <row r="665" ht="15" customHeight="1">
      <c r="A665" t="inlineStr">
        <is>
          <t>A 56783-2025</t>
        </is>
      </c>
      <c r="B665" s="1" t="n">
        <v>45978.40695601852</v>
      </c>
      <c r="C665" s="1" t="n">
        <v>46093</v>
      </c>
      <c r="D665" t="inlineStr">
        <is>
          <t>VÄSTERNORRLANDS LÄN</t>
        </is>
      </c>
      <c r="E665" t="inlineStr">
        <is>
          <t>SOLLEFTEÅ</t>
        </is>
      </c>
      <c r="F665" t="inlineStr">
        <is>
          <t>SCA</t>
        </is>
      </c>
      <c r="G665" t="n">
        <v>2.5</v>
      </c>
      <c r="H665" t="n">
        <v>0</v>
      </c>
      <c r="I665" t="n">
        <v>0</v>
      </c>
      <c r="J665" t="n">
        <v>3</v>
      </c>
      <c r="K665" t="n">
        <v>0</v>
      </c>
      <c r="L665" t="n">
        <v>0</v>
      </c>
      <c r="M665" t="n">
        <v>0</v>
      </c>
      <c r="N665" t="n">
        <v>0</v>
      </c>
      <c r="O665" t="n">
        <v>3</v>
      </c>
      <c r="P665" t="n">
        <v>0</v>
      </c>
      <c r="Q665" t="n">
        <v>3</v>
      </c>
      <c r="R665" s="2" t="inlineStr">
        <is>
          <t>Kolflarnlav
Lunglav
Orange taggsvamp</t>
        </is>
      </c>
      <c r="S665">
        <f>HYPERLINK("https://klasma.github.io/Logging_2283/artfynd/A 56783-2025 artfynd.xlsx", "A 56783-2025")</f>
        <v/>
      </c>
      <c r="T665">
        <f>HYPERLINK("https://klasma.github.io/Logging_2283/kartor/A 56783-2025 karta.png", "A 56783-2025")</f>
        <v/>
      </c>
      <c r="V665">
        <f>HYPERLINK("https://klasma.github.io/Logging_2283/klagomål/A 56783-2025 FSC-klagomål.docx", "A 56783-2025")</f>
        <v/>
      </c>
      <c r="W665">
        <f>HYPERLINK("https://klasma.github.io/Logging_2283/klagomålsmail/A 56783-2025 FSC-klagomål mail.docx", "A 56783-2025")</f>
        <v/>
      </c>
      <c r="X665">
        <f>HYPERLINK("https://klasma.github.io/Logging_2283/tillsyn/A 56783-2025 tillsynsbegäran.docx", "A 56783-2025")</f>
        <v/>
      </c>
      <c r="Y665">
        <f>HYPERLINK("https://klasma.github.io/Logging_2283/tillsynsmail/A 56783-2025 tillsynsbegäran mail.docx", "A 56783-2025")</f>
        <v/>
      </c>
    </row>
    <row r="666" ht="15" customHeight="1">
      <c r="A666" t="inlineStr">
        <is>
          <t>A 16182-2023</t>
        </is>
      </c>
      <c r="B666" s="1" t="n">
        <v>45027</v>
      </c>
      <c r="C666" s="1" t="n">
        <v>46093</v>
      </c>
      <c r="D666" t="inlineStr">
        <is>
          <t>VÄSTERNORRLANDS LÄN</t>
        </is>
      </c>
      <c r="E666" t="inlineStr">
        <is>
          <t>HÄRNÖSAND</t>
        </is>
      </c>
      <c r="G666" t="n">
        <v>16.4</v>
      </c>
      <c r="H666" t="n">
        <v>0</v>
      </c>
      <c r="I666" t="n">
        <v>0</v>
      </c>
      <c r="J666" t="n">
        <v>3</v>
      </c>
      <c r="K666" t="n">
        <v>0</v>
      </c>
      <c r="L666" t="n">
        <v>0</v>
      </c>
      <c r="M666" t="n">
        <v>0</v>
      </c>
      <c r="N666" t="n">
        <v>0</v>
      </c>
      <c r="O666" t="n">
        <v>3</v>
      </c>
      <c r="P666" t="n">
        <v>0</v>
      </c>
      <c r="Q666" t="n">
        <v>3</v>
      </c>
      <c r="R666" s="2" t="inlineStr">
        <is>
          <t>Garnlav
Lunglav
Violettgrå tagellav</t>
        </is>
      </c>
      <c r="S666">
        <f>HYPERLINK("https://klasma.github.io/Logging_2280/artfynd/A 16182-2023 artfynd.xlsx", "A 16182-2023")</f>
        <v/>
      </c>
      <c r="T666">
        <f>HYPERLINK("https://klasma.github.io/Logging_2280/kartor/A 16182-2023 karta.png", "A 16182-2023")</f>
        <v/>
      </c>
      <c r="V666">
        <f>HYPERLINK("https://klasma.github.io/Logging_2280/klagomål/A 16182-2023 FSC-klagomål.docx", "A 16182-2023")</f>
        <v/>
      </c>
      <c r="W666">
        <f>HYPERLINK("https://klasma.github.io/Logging_2280/klagomålsmail/A 16182-2023 FSC-klagomål mail.docx", "A 16182-2023")</f>
        <v/>
      </c>
      <c r="X666">
        <f>HYPERLINK("https://klasma.github.io/Logging_2280/tillsyn/A 16182-2023 tillsynsbegäran.docx", "A 16182-2023")</f>
        <v/>
      </c>
      <c r="Y666">
        <f>HYPERLINK("https://klasma.github.io/Logging_2280/tillsynsmail/A 16182-2023 tillsynsbegäran mail.docx", "A 16182-2023")</f>
        <v/>
      </c>
    </row>
    <row r="667" ht="15" customHeight="1">
      <c r="A667" t="inlineStr">
        <is>
          <t>A 54624-2024</t>
        </is>
      </c>
      <c r="B667" s="1" t="n">
        <v>45617</v>
      </c>
      <c r="C667" s="1" t="n">
        <v>46093</v>
      </c>
      <c r="D667" t="inlineStr">
        <is>
          <t>VÄSTERNORRLANDS LÄN</t>
        </is>
      </c>
      <c r="E667" t="inlineStr">
        <is>
          <t>SOLLEFTEÅ</t>
        </is>
      </c>
      <c r="G667" t="n">
        <v>11.5</v>
      </c>
      <c r="H667" t="n">
        <v>0</v>
      </c>
      <c r="I667" t="n">
        <v>2</v>
      </c>
      <c r="J667" t="n">
        <v>1</v>
      </c>
      <c r="K667" t="n">
        <v>0</v>
      </c>
      <c r="L667" t="n">
        <v>0</v>
      </c>
      <c r="M667" t="n">
        <v>0</v>
      </c>
      <c r="N667" t="n">
        <v>0</v>
      </c>
      <c r="O667" t="n">
        <v>1</v>
      </c>
      <c r="P667" t="n">
        <v>0</v>
      </c>
      <c r="Q667" t="n">
        <v>3</v>
      </c>
      <c r="R667" s="2" t="inlineStr">
        <is>
          <t>Ullticka
Stuplav
Vedticka</t>
        </is>
      </c>
      <c r="S667">
        <f>HYPERLINK("https://klasma.github.io/Logging_2283/artfynd/A 54624-2024 artfynd.xlsx", "A 54624-2024")</f>
        <v/>
      </c>
      <c r="T667">
        <f>HYPERLINK("https://klasma.github.io/Logging_2283/kartor/A 54624-2024 karta.png", "A 54624-2024")</f>
        <v/>
      </c>
      <c r="V667">
        <f>HYPERLINK("https://klasma.github.io/Logging_2283/klagomål/A 54624-2024 FSC-klagomål.docx", "A 54624-2024")</f>
        <v/>
      </c>
      <c r="W667">
        <f>HYPERLINK("https://klasma.github.io/Logging_2283/klagomålsmail/A 54624-2024 FSC-klagomål mail.docx", "A 54624-2024")</f>
        <v/>
      </c>
      <c r="X667">
        <f>HYPERLINK("https://klasma.github.io/Logging_2283/tillsyn/A 54624-2024 tillsynsbegäran.docx", "A 54624-2024")</f>
        <v/>
      </c>
      <c r="Y667">
        <f>HYPERLINK("https://klasma.github.io/Logging_2283/tillsynsmail/A 54624-2024 tillsynsbegäran mail.docx", "A 54624-2024")</f>
        <v/>
      </c>
    </row>
    <row r="668" ht="15" customHeight="1">
      <c r="A668" t="inlineStr">
        <is>
          <t>A 6235-2023</t>
        </is>
      </c>
      <c r="B668" s="1" t="n">
        <v>44964</v>
      </c>
      <c r="C668" s="1" t="n">
        <v>46093</v>
      </c>
      <c r="D668" t="inlineStr">
        <is>
          <t>VÄSTERNORRLANDS LÄN</t>
        </is>
      </c>
      <c r="E668" t="inlineStr">
        <is>
          <t>SOLLEFTEÅ</t>
        </is>
      </c>
      <c r="F668" t="inlineStr">
        <is>
          <t>SCA</t>
        </is>
      </c>
      <c r="G668" t="n">
        <v>0.6</v>
      </c>
      <c r="H668" t="n">
        <v>2</v>
      </c>
      <c r="I668" t="n">
        <v>0</v>
      </c>
      <c r="J668" t="n">
        <v>2</v>
      </c>
      <c r="K668" t="n">
        <v>0</v>
      </c>
      <c r="L668" t="n">
        <v>0</v>
      </c>
      <c r="M668" t="n">
        <v>0</v>
      </c>
      <c r="N668" t="n">
        <v>0</v>
      </c>
      <c r="O668" t="n">
        <v>2</v>
      </c>
      <c r="P668" t="n">
        <v>0</v>
      </c>
      <c r="Q668" t="n">
        <v>3</v>
      </c>
      <c r="R668" s="2" t="inlineStr">
        <is>
          <t>Harticka
Tretåig hackspett
Tjäder</t>
        </is>
      </c>
      <c r="S668">
        <f>HYPERLINK("https://klasma.github.io/Logging_2283/artfynd/A 6235-2023 artfynd.xlsx", "A 6235-2023")</f>
        <v/>
      </c>
      <c r="T668">
        <f>HYPERLINK("https://klasma.github.io/Logging_2283/kartor/A 6235-2023 karta.png", "A 6235-2023")</f>
        <v/>
      </c>
      <c r="V668">
        <f>HYPERLINK("https://klasma.github.io/Logging_2283/klagomål/A 6235-2023 FSC-klagomål.docx", "A 6235-2023")</f>
        <v/>
      </c>
      <c r="W668">
        <f>HYPERLINK("https://klasma.github.io/Logging_2283/klagomålsmail/A 6235-2023 FSC-klagomål mail.docx", "A 6235-2023")</f>
        <v/>
      </c>
      <c r="X668">
        <f>HYPERLINK("https://klasma.github.io/Logging_2283/tillsyn/A 6235-2023 tillsynsbegäran.docx", "A 6235-2023")</f>
        <v/>
      </c>
      <c r="Y668">
        <f>HYPERLINK("https://klasma.github.io/Logging_2283/tillsynsmail/A 6235-2023 tillsynsbegäran mail.docx", "A 6235-2023")</f>
        <v/>
      </c>
      <c r="Z668">
        <f>HYPERLINK("https://klasma.github.io/Logging_2283/fåglar/A 6235-2023 prioriterade fågelarter.docx", "A 6235-2023")</f>
        <v/>
      </c>
    </row>
    <row r="669" ht="15" customHeight="1">
      <c r="A669" t="inlineStr">
        <is>
          <t>A 64904-2023</t>
        </is>
      </c>
      <c r="B669" s="1" t="n">
        <v>45282</v>
      </c>
      <c r="C669" s="1" t="n">
        <v>46093</v>
      </c>
      <c r="D669" t="inlineStr">
        <is>
          <t>VÄSTERNORRLANDS LÄN</t>
        </is>
      </c>
      <c r="E669" t="inlineStr">
        <is>
          <t>KRAMFORS</t>
        </is>
      </c>
      <c r="G669" t="n">
        <v>1.1</v>
      </c>
      <c r="H669" t="n">
        <v>0</v>
      </c>
      <c r="I669" t="n">
        <v>2</v>
      </c>
      <c r="J669" t="n">
        <v>1</v>
      </c>
      <c r="K669" t="n">
        <v>0</v>
      </c>
      <c r="L669" t="n">
        <v>0</v>
      </c>
      <c r="M669" t="n">
        <v>0</v>
      </c>
      <c r="N669" t="n">
        <v>0</v>
      </c>
      <c r="O669" t="n">
        <v>1</v>
      </c>
      <c r="P669" t="n">
        <v>0</v>
      </c>
      <c r="Q669" t="n">
        <v>3</v>
      </c>
      <c r="R669" s="2" t="inlineStr">
        <is>
          <t>Ullticka
Strutbräken
Vågbandad barkbock</t>
        </is>
      </c>
      <c r="S669">
        <f>HYPERLINK("https://klasma.github.io/Logging_2282/artfynd/A 64904-2023 artfynd.xlsx", "A 64904-2023")</f>
        <v/>
      </c>
      <c r="T669">
        <f>HYPERLINK("https://klasma.github.io/Logging_2282/kartor/A 64904-2023 karta.png", "A 64904-2023")</f>
        <v/>
      </c>
      <c r="V669">
        <f>HYPERLINK("https://klasma.github.io/Logging_2282/klagomål/A 64904-2023 FSC-klagomål.docx", "A 64904-2023")</f>
        <v/>
      </c>
      <c r="W669">
        <f>HYPERLINK("https://klasma.github.io/Logging_2282/klagomålsmail/A 64904-2023 FSC-klagomål mail.docx", "A 64904-2023")</f>
        <v/>
      </c>
      <c r="X669">
        <f>HYPERLINK("https://klasma.github.io/Logging_2282/tillsyn/A 64904-2023 tillsynsbegäran.docx", "A 64904-2023")</f>
        <v/>
      </c>
      <c r="Y669">
        <f>HYPERLINK("https://klasma.github.io/Logging_2282/tillsynsmail/A 64904-2023 tillsynsbegäran mail.docx", "A 64904-2023")</f>
        <v/>
      </c>
    </row>
    <row r="670" ht="15" customHeight="1">
      <c r="A670" t="inlineStr">
        <is>
          <t>A 45007-2023</t>
        </is>
      </c>
      <c r="B670" s="1" t="n">
        <v>45190</v>
      </c>
      <c r="C670" s="1" t="n">
        <v>46093</v>
      </c>
      <c r="D670" t="inlineStr">
        <is>
          <t>VÄSTERNORRLANDS LÄN</t>
        </is>
      </c>
      <c r="E670" t="inlineStr">
        <is>
          <t>SOLLEFTEÅ</t>
        </is>
      </c>
      <c r="F670" t="inlineStr">
        <is>
          <t>SCA</t>
        </is>
      </c>
      <c r="G670" t="n">
        <v>2.1</v>
      </c>
      <c r="H670" t="n">
        <v>2</v>
      </c>
      <c r="I670" t="n">
        <v>0</v>
      </c>
      <c r="J670" t="n">
        <v>3</v>
      </c>
      <c r="K670" t="n">
        <v>0</v>
      </c>
      <c r="L670" t="n">
        <v>0</v>
      </c>
      <c r="M670" t="n">
        <v>0</v>
      </c>
      <c r="N670" t="n">
        <v>0</v>
      </c>
      <c r="O670" t="n">
        <v>3</v>
      </c>
      <c r="P670" t="n">
        <v>0</v>
      </c>
      <c r="Q670" t="n">
        <v>3</v>
      </c>
      <c r="R670" s="2" t="inlineStr">
        <is>
          <t>Spillkråka
Tretåig hackspett
Ullticka</t>
        </is>
      </c>
      <c r="S670">
        <f>HYPERLINK("https://klasma.github.io/Logging_2283/artfynd/A 45007-2023 artfynd.xlsx", "A 45007-2023")</f>
        <v/>
      </c>
      <c r="T670">
        <f>HYPERLINK("https://klasma.github.io/Logging_2283/kartor/A 45007-2023 karta.png", "A 45007-2023")</f>
        <v/>
      </c>
      <c r="V670">
        <f>HYPERLINK("https://klasma.github.io/Logging_2283/klagomål/A 45007-2023 FSC-klagomål.docx", "A 45007-2023")</f>
        <v/>
      </c>
      <c r="W670">
        <f>HYPERLINK("https://klasma.github.io/Logging_2283/klagomålsmail/A 45007-2023 FSC-klagomål mail.docx", "A 45007-2023")</f>
        <v/>
      </c>
      <c r="X670">
        <f>HYPERLINK("https://klasma.github.io/Logging_2283/tillsyn/A 45007-2023 tillsynsbegäran.docx", "A 45007-2023")</f>
        <v/>
      </c>
      <c r="Y670">
        <f>HYPERLINK("https://klasma.github.io/Logging_2283/tillsynsmail/A 45007-2023 tillsynsbegäran mail.docx", "A 45007-2023")</f>
        <v/>
      </c>
      <c r="Z670">
        <f>HYPERLINK("https://klasma.github.io/Logging_2283/fåglar/A 45007-2023 prioriterade fågelarter.docx", "A 45007-2023")</f>
        <v/>
      </c>
    </row>
    <row r="671" ht="15" customHeight="1">
      <c r="A671" t="inlineStr">
        <is>
          <t>A 54621-2023</t>
        </is>
      </c>
      <c r="B671" s="1" t="n">
        <v>45233</v>
      </c>
      <c r="C671" s="1" t="n">
        <v>46093</v>
      </c>
      <c r="D671" t="inlineStr">
        <is>
          <t>VÄSTERNORRLANDS LÄN</t>
        </is>
      </c>
      <c r="E671" t="inlineStr">
        <is>
          <t>SUNDSVALL</t>
        </is>
      </c>
      <c r="F671" t="inlineStr">
        <is>
          <t>Naturvårdsverket</t>
        </is>
      </c>
      <c r="G671" t="n">
        <v>3.9</v>
      </c>
      <c r="H671" t="n">
        <v>0</v>
      </c>
      <c r="I671" t="n">
        <v>0</v>
      </c>
      <c r="J671" t="n">
        <v>3</v>
      </c>
      <c r="K671" t="n">
        <v>0</v>
      </c>
      <c r="L671" t="n">
        <v>0</v>
      </c>
      <c r="M671" t="n">
        <v>0</v>
      </c>
      <c r="N671" t="n">
        <v>0</v>
      </c>
      <c r="O671" t="n">
        <v>3</v>
      </c>
      <c r="P671" t="n">
        <v>0</v>
      </c>
      <c r="Q671" t="n">
        <v>3</v>
      </c>
      <c r="R671" s="2" t="inlineStr">
        <is>
          <t>Kolflarnlav
Tallticka
Ullticka</t>
        </is>
      </c>
      <c r="S671">
        <f>HYPERLINK("https://klasma.github.io/Logging_2281/artfynd/A 54621-2023 artfynd.xlsx", "A 54621-2023")</f>
        <v/>
      </c>
      <c r="T671">
        <f>HYPERLINK("https://klasma.github.io/Logging_2281/kartor/A 54621-2023 karta.png", "A 54621-2023")</f>
        <v/>
      </c>
      <c r="V671">
        <f>HYPERLINK("https://klasma.github.io/Logging_2281/klagomål/A 54621-2023 FSC-klagomål.docx", "A 54621-2023")</f>
        <v/>
      </c>
      <c r="W671">
        <f>HYPERLINK("https://klasma.github.io/Logging_2281/klagomålsmail/A 54621-2023 FSC-klagomål mail.docx", "A 54621-2023")</f>
        <v/>
      </c>
      <c r="X671">
        <f>HYPERLINK("https://klasma.github.io/Logging_2281/tillsyn/A 54621-2023 tillsynsbegäran.docx", "A 54621-2023")</f>
        <v/>
      </c>
      <c r="Y671">
        <f>HYPERLINK("https://klasma.github.io/Logging_2281/tillsynsmail/A 54621-2023 tillsynsbegäran mail.docx", "A 54621-2023")</f>
        <v/>
      </c>
    </row>
    <row r="672" ht="15" customHeight="1">
      <c r="A672" t="inlineStr">
        <is>
          <t>A 21846-2024</t>
        </is>
      </c>
      <c r="B672" s="1" t="n">
        <v>45442</v>
      </c>
      <c r="C672" s="1" t="n">
        <v>46093</v>
      </c>
      <c r="D672" t="inlineStr">
        <is>
          <t>VÄSTERNORRLANDS LÄN</t>
        </is>
      </c>
      <c r="E672" t="inlineStr">
        <is>
          <t>TIMRÅ</t>
        </is>
      </c>
      <c r="F672" t="inlineStr">
        <is>
          <t>SCA</t>
        </is>
      </c>
      <c r="G672" t="n">
        <v>2.6</v>
      </c>
      <c r="H672" t="n">
        <v>1</v>
      </c>
      <c r="I672" t="n">
        <v>0</v>
      </c>
      <c r="J672" t="n">
        <v>3</v>
      </c>
      <c r="K672" t="n">
        <v>0</v>
      </c>
      <c r="L672" t="n">
        <v>0</v>
      </c>
      <c r="M672" t="n">
        <v>0</v>
      </c>
      <c r="N672" t="n">
        <v>0</v>
      </c>
      <c r="O672" t="n">
        <v>3</v>
      </c>
      <c r="P672" t="n">
        <v>0</v>
      </c>
      <c r="Q672" t="n">
        <v>3</v>
      </c>
      <c r="R672" s="2" t="inlineStr">
        <is>
          <t>Garnlav
Tretåig hackspett
Vedflamlav</t>
        </is>
      </c>
      <c r="S672">
        <f>HYPERLINK("https://klasma.github.io/Logging_2262/artfynd/A 21846-2024 artfynd.xlsx", "A 21846-2024")</f>
        <v/>
      </c>
      <c r="T672">
        <f>HYPERLINK("https://klasma.github.io/Logging_2262/kartor/A 21846-2024 karta.png", "A 21846-2024")</f>
        <v/>
      </c>
      <c r="V672">
        <f>HYPERLINK("https://klasma.github.io/Logging_2262/klagomål/A 21846-2024 FSC-klagomål.docx", "A 21846-2024")</f>
        <v/>
      </c>
      <c r="W672">
        <f>HYPERLINK("https://klasma.github.io/Logging_2262/klagomålsmail/A 21846-2024 FSC-klagomål mail.docx", "A 21846-2024")</f>
        <v/>
      </c>
      <c r="X672">
        <f>HYPERLINK("https://klasma.github.io/Logging_2262/tillsyn/A 21846-2024 tillsynsbegäran.docx", "A 21846-2024")</f>
        <v/>
      </c>
      <c r="Y672">
        <f>HYPERLINK("https://klasma.github.io/Logging_2262/tillsynsmail/A 21846-2024 tillsynsbegäran mail.docx", "A 21846-2024")</f>
        <v/>
      </c>
      <c r="Z672">
        <f>HYPERLINK("https://klasma.github.io/Logging_2262/fåglar/A 21846-2024 prioriterade fågelarter.docx", "A 21846-2024")</f>
        <v/>
      </c>
    </row>
    <row r="673" ht="15" customHeight="1">
      <c r="A673" t="inlineStr">
        <is>
          <t>A 39181-2024</t>
        </is>
      </c>
      <c r="B673" s="1" t="n">
        <v>45548</v>
      </c>
      <c r="C673" s="1" t="n">
        <v>46093</v>
      </c>
      <c r="D673" t="inlineStr">
        <is>
          <t>VÄSTERNORRLANDS LÄN</t>
        </is>
      </c>
      <c r="E673" t="inlineStr">
        <is>
          <t>ÅNGE</t>
        </is>
      </c>
      <c r="F673" t="inlineStr">
        <is>
          <t>SCA</t>
        </is>
      </c>
      <c r="G673" t="n">
        <v>21.1</v>
      </c>
      <c r="H673" t="n">
        <v>1</v>
      </c>
      <c r="I673" t="n">
        <v>1</v>
      </c>
      <c r="J673" t="n">
        <v>1</v>
      </c>
      <c r="K673" t="n">
        <v>1</v>
      </c>
      <c r="L673" t="n">
        <v>0</v>
      </c>
      <c r="M673" t="n">
        <v>0</v>
      </c>
      <c r="N673" t="n">
        <v>0</v>
      </c>
      <c r="O673" t="n">
        <v>2</v>
      </c>
      <c r="P673" t="n">
        <v>1</v>
      </c>
      <c r="Q673" t="n">
        <v>3</v>
      </c>
      <c r="R673" s="2" t="inlineStr">
        <is>
          <t>Knärot
Granticka
Kransrams</t>
        </is>
      </c>
      <c r="S673">
        <f>HYPERLINK("https://klasma.github.io/Logging_2260/artfynd/A 39181-2024 artfynd.xlsx", "A 39181-2024")</f>
        <v/>
      </c>
      <c r="T673">
        <f>HYPERLINK("https://klasma.github.io/Logging_2260/kartor/A 39181-2024 karta.png", "A 39181-2024")</f>
        <v/>
      </c>
      <c r="U673">
        <f>HYPERLINK("https://klasma.github.io/Logging_2260/knärot/A 39181-2024 karta knärot.png", "A 39181-2024")</f>
        <v/>
      </c>
      <c r="V673">
        <f>HYPERLINK("https://klasma.github.io/Logging_2260/klagomål/A 39181-2024 FSC-klagomål.docx", "A 39181-2024")</f>
        <v/>
      </c>
      <c r="W673">
        <f>HYPERLINK("https://klasma.github.io/Logging_2260/klagomålsmail/A 39181-2024 FSC-klagomål mail.docx", "A 39181-2024")</f>
        <v/>
      </c>
      <c r="X673">
        <f>HYPERLINK("https://klasma.github.io/Logging_2260/tillsyn/A 39181-2024 tillsynsbegäran.docx", "A 39181-2024")</f>
        <v/>
      </c>
      <c r="Y673">
        <f>HYPERLINK("https://klasma.github.io/Logging_2260/tillsynsmail/A 39181-2024 tillsynsbegäran mail.docx", "A 39181-2024")</f>
        <v/>
      </c>
    </row>
    <row r="674" ht="15" customHeight="1">
      <c r="A674" t="inlineStr">
        <is>
          <t>A 13877-2025</t>
        </is>
      </c>
      <c r="B674" s="1" t="n">
        <v>45737.59407407408</v>
      </c>
      <c r="C674" s="1" t="n">
        <v>46093</v>
      </c>
      <c r="D674" t="inlineStr">
        <is>
          <t>VÄSTERNORRLANDS LÄN</t>
        </is>
      </c>
      <c r="E674" t="inlineStr">
        <is>
          <t>SOLLEFTEÅ</t>
        </is>
      </c>
      <c r="F674" t="inlineStr">
        <is>
          <t>SCA</t>
        </is>
      </c>
      <c r="G674" t="n">
        <v>3.9</v>
      </c>
      <c r="H674" t="n">
        <v>2</v>
      </c>
      <c r="I674" t="n">
        <v>0</v>
      </c>
      <c r="J674" t="n">
        <v>2</v>
      </c>
      <c r="K674" t="n">
        <v>0</v>
      </c>
      <c r="L674" t="n">
        <v>0</v>
      </c>
      <c r="M674" t="n">
        <v>0</v>
      </c>
      <c r="N674" t="n">
        <v>0</v>
      </c>
      <c r="O674" t="n">
        <v>2</v>
      </c>
      <c r="P674" t="n">
        <v>0</v>
      </c>
      <c r="Q674" t="n">
        <v>3</v>
      </c>
      <c r="R674" s="2" t="inlineStr">
        <is>
          <t>Granticka
Spillkråka
Revlummer</t>
        </is>
      </c>
      <c r="S674">
        <f>HYPERLINK("https://klasma.github.io/Logging_2283/artfynd/A 13877-2025 artfynd.xlsx", "A 13877-2025")</f>
        <v/>
      </c>
      <c r="T674">
        <f>HYPERLINK("https://klasma.github.io/Logging_2283/kartor/A 13877-2025 karta.png", "A 13877-2025")</f>
        <v/>
      </c>
      <c r="V674">
        <f>HYPERLINK("https://klasma.github.io/Logging_2283/klagomål/A 13877-2025 FSC-klagomål.docx", "A 13877-2025")</f>
        <v/>
      </c>
      <c r="W674">
        <f>HYPERLINK("https://klasma.github.io/Logging_2283/klagomålsmail/A 13877-2025 FSC-klagomål mail.docx", "A 13877-2025")</f>
        <v/>
      </c>
      <c r="X674">
        <f>HYPERLINK("https://klasma.github.io/Logging_2283/tillsyn/A 13877-2025 tillsynsbegäran.docx", "A 13877-2025")</f>
        <v/>
      </c>
      <c r="Y674">
        <f>HYPERLINK("https://klasma.github.io/Logging_2283/tillsynsmail/A 13877-2025 tillsynsbegäran mail.docx", "A 13877-2025")</f>
        <v/>
      </c>
      <c r="Z674">
        <f>HYPERLINK("https://klasma.github.io/Logging_2283/fåglar/A 13877-2025 prioriterade fågelarter.docx", "A 13877-2025")</f>
        <v/>
      </c>
    </row>
    <row r="675" ht="15" customHeight="1">
      <c r="A675" t="inlineStr">
        <is>
          <t>A 61670-2025</t>
        </is>
      </c>
      <c r="B675" s="1" t="n">
        <v>46002.47004629629</v>
      </c>
      <c r="C675" s="1" t="n">
        <v>46093</v>
      </c>
      <c r="D675" t="inlineStr">
        <is>
          <t>VÄSTERNORRLANDS LÄN</t>
        </is>
      </c>
      <c r="E675" t="inlineStr">
        <is>
          <t>SOLLEFTEÅ</t>
        </is>
      </c>
      <c r="G675" t="n">
        <v>4.5</v>
      </c>
      <c r="H675" t="n">
        <v>0</v>
      </c>
      <c r="I675" t="n">
        <v>1</v>
      </c>
      <c r="J675" t="n">
        <v>2</v>
      </c>
      <c r="K675" t="n">
        <v>0</v>
      </c>
      <c r="L675" t="n">
        <v>0</v>
      </c>
      <c r="M675" t="n">
        <v>0</v>
      </c>
      <c r="N675" t="n">
        <v>0</v>
      </c>
      <c r="O675" t="n">
        <v>2</v>
      </c>
      <c r="P675" t="n">
        <v>0</v>
      </c>
      <c r="Q675" t="n">
        <v>3</v>
      </c>
      <c r="R675" s="2" t="inlineStr">
        <is>
          <t>Garnlav
Rosenticka
Vedticka</t>
        </is>
      </c>
      <c r="S675">
        <f>HYPERLINK("https://klasma.github.io/Logging_2283/artfynd/A 61670-2025 artfynd.xlsx", "A 61670-2025")</f>
        <v/>
      </c>
      <c r="T675">
        <f>HYPERLINK("https://klasma.github.io/Logging_2283/kartor/A 61670-2025 karta.png", "A 61670-2025")</f>
        <v/>
      </c>
      <c r="V675">
        <f>HYPERLINK("https://klasma.github.io/Logging_2283/klagomål/A 61670-2025 FSC-klagomål.docx", "A 61670-2025")</f>
        <v/>
      </c>
      <c r="W675">
        <f>HYPERLINK("https://klasma.github.io/Logging_2283/klagomålsmail/A 61670-2025 FSC-klagomål mail.docx", "A 61670-2025")</f>
        <v/>
      </c>
      <c r="X675">
        <f>HYPERLINK("https://klasma.github.io/Logging_2283/tillsyn/A 61670-2025 tillsynsbegäran.docx", "A 61670-2025")</f>
        <v/>
      </c>
      <c r="Y675">
        <f>HYPERLINK("https://klasma.github.io/Logging_2283/tillsynsmail/A 61670-2025 tillsynsbegäran mail.docx", "A 61670-2025")</f>
        <v/>
      </c>
    </row>
    <row r="676" ht="15" customHeight="1">
      <c r="A676" t="inlineStr">
        <is>
          <t>A 61936-2025</t>
        </is>
      </c>
      <c r="B676" s="1" t="n">
        <v>46003.55268518518</v>
      </c>
      <c r="C676" s="1" t="n">
        <v>46093</v>
      </c>
      <c r="D676" t="inlineStr">
        <is>
          <t>VÄSTERNORRLANDS LÄN</t>
        </is>
      </c>
      <c r="E676" t="inlineStr">
        <is>
          <t>HÄRNÖSAND</t>
        </is>
      </c>
      <c r="F676" t="inlineStr">
        <is>
          <t>SCA</t>
        </is>
      </c>
      <c r="G676" t="n">
        <v>5.1</v>
      </c>
      <c r="H676" t="n">
        <v>1</v>
      </c>
      <c r="I676" t="n">
        <v>0</v>
      </c>
      <c r="J676" t="n">
        <v>2</v>
      </c>
      <c r="K676" t="n">
        <v>1</v>
      </c>
      <c r="L676" t="n">
        <v>0</v>
      </c>
      <c r="M676" t="n">
        <v>0</v>
      </c>
      <c r="N676" t="n">
        <v>0</v>
      </c>
      <c r="O676" t="n">
        <v>3</v>
      </c>
      <c r="P676" t="n">
        <v>1</v>
      </c>
      <c r="Q676" t="n">
        <v>3</v>
      </c>
      <c r="R676" s="2" t="inlineStr">
        <is>
          <t>Rynkskinn
Gammelgransskål
Tretåig hackspett</t>
        </is>
      </c>
      <c r="S676">
        <f>HYPERLINK("https://klasma.github.io/Logging_2280/artfynd/A 61936-2025 artfynd.xlsx", "A 61936-2025")</f>
        <v/>
      </c>
      <c r="T676">
        <f>HYPERLINK("https://klasma.github.io/Logging_2280/kartor/A 61936-2025 karta.png", "A 61936-2025")</f>
        <v/>
      </c>
      <c r="V676">
        <f>HYPERLINK("https://klasma.github.io/Logging_2280/klagomål/A 61936-2025 FSC-klagomål.docx", "A 61936-2025")</f>
        <v/>
      </c>
      <c r="W676">
        <f>HYPERLINK("https://klasma.github.io/Logging_2280/klagomålsmail/A 61936-2025 FSC-klagomål mail.docx", "A 61936-2025")</f>
        <v/>
      </c>
      <c r="X676">
        <f>HYPERLINK("https://klasma.github.io/Logging_2280/tillsyn/A 61936-2025 tillsynsbegäran.docx", "A 61936-2025")</f>
        <v/>
      </c>
      <c r="Y676">
        <f>HYPERLINK("https://klasma.github.io/Logging_2280/tillsynsmail/A 61936-2025 tillsynsbegäran mail.docx", "A 61936-2025")</f>
        <v/>
      </c>
      <c r="Z676">
        <f>HYPERLINK("https://klasma.github.io/Logging_2280/fåglar/A 61936-2025 prioriterade fågelarter.docx", "A 61936-2025")</f>
        <v/>
      </c>
    </row>
    <row r="677" ht="15" customHeight="1">
      <c r="A677" t="inlineStr">
        <is>
          <t>A 11972-2025</t>
        </is>
      </c>
      <c r="B677" s="1" t="n">
        <v>45728</v>
      </c>
      <c r="C677" s="1" t="n">
        <v>46093</v>
      </c>
      <c r="D677" t="inlineStr">
        <is>
          <t>VÄSTERNORRLANDS LÄN</t>
        </is>
      </c>
      <c r="E677" t="inlineStr">
        <is>
          <t>KRAMFORS</t>
        </is>
      </c>
      <c r="G677" t="n">
        <v>2.7</v>
      </c>
      <c r="H677" t="n">
        <v>2</v>
      </c>
      <c r="I677" t="n">
        <v>1</v>
      </c>
      <c r="J677" t="n">
        <v>1</v>
      </c>
      <c r="K677" t="n">
        <v>0</v>
      </c>
      <c r="L677" t="n">
        <v>0</v>
      </c>
      <c r="M677" t="n">
        <v>0</v>
      </c>
      <c r="N677" t="n">
        <v>0</v>
      </c>
      <c r="O677" t="n">
        <v>1</v>
      </c>
      <c r="P677" t="n">
        <v>0</v>
      </c>
      <c r="Q677" t="n">
        <v>3</v>
      </c>
      <c r="R677" s="2" t="inlineStr">
        <is>
          <t>Spillkråka
Grov husmossa
Blåsippa</t>
        </is>
      </c>
      <c r="S677">
        <f>HYPERLINK("https://klasma.github.io/Logging_2282/artfynd/A 11972-2025 artfynd.xlsx", "A 11972-2025")</f>
        <v/>
      </c>
      <c r="T677">
        <f>HYPERLINK("https://klasma.github.io/Logging_2282/kartor/A 11972-2025 karta.png", "A 11972-2025")</f>
        <v/>
      </c>
      <c r="V677">
        <f>HYPERLINK("https://klasma.github.io/Logging_2282/klagomål/A 11972-2025 FSC-klagomål.docx", "A 11972-2025")</f>
        <v/>
      </c>
      <c r="W677">
        <f>HYPERLINK("https://klasma.github.io/Logging_2282/klagomålsmail/A 11972-2025 FSC-klagomål mail.docx", "A 11972-2025")</f>
        <v/>
      </c>
      <c r="X677">
        <f>HYPERLINK("https://klasma.github.io/Logging_2282/tillsyn/A 11972-2025 tillsynsbegäran.docx", "A 11972-2025")</f>
        <v/>
      </c>
      <c r="Y677">
        <f>HYPERLINK("https://klasma.github.io/Logging_2282/tillsynsmail/A 11972-2025 tillsynsbegäran mail.docx", "A 11972-2025")</f>
        <v/>
      </c>
      <c r="Z677">
        <f>HYPERLINK("https://klasma.github.io/Logging_2282/fåglar/A 11972-2025 prioriterade fågelarter.docx", "A 11972-2025")</f>
        <v/>
      </c>
    </row>
    <row r="678" ht="15" customHeight="1">
      <c r="A678" t="inlineStr">
        <is>
          <t>A 52865-2025</t>
        </is>
      </c>
      <c r="B678" s="1" t="n">
        <v>45957</v>
      </c>
      <c r="C678" s="1" t="n">
        <v>46093</v>
      </c>
      <c r="D678" t="inlineStr">
        <is>
          <t>VÄSTERNORRLANDS LÄN</t>
        </is>
      </c>
      <c r="E678" t="inlineStr">
        <is>
          <t>HÄRNÖSAND</t>
        </is>
      </c>
      <c r="F678" t="inlineStr">
        <is>
          <t>SCA</t>
        </is>
      </c>
      <c r="G678" t="n">
        <v>2.6</v>
      </c>
      <c r="H678" t="n">
        <v>0</v>
      </c>
      <c r="I678" t="n">
        <v>1</v>
      </c>
      <c r="J678" t="n">
        <v>2</v>
      </c>
      <c r="K678" t="n">
        <v>0</v>
      </c>
      <c r="L678" t="n">
        <v>0</v>
      </c>
      <c r="M678" t="n">
        <v>0</v>
      </c>
      <c r="N678" t="n">
        <v>0</v>
      </c>
      <c r="O678" t="n">
        <v>2</v>
      </c>
      <c r="P678" t="n">
        <v>0</v>
      </c>
      <c r="Q678" t="n">
        <v>3</v>
      </c>
      <c r="R678" s="2" t="inlineStr">
        <is>
          <t>Garnlav
Violettgrå tagellav
Nästlav</t>
        </is>
      </c>
      <c r="S678">
        <f>HYPERLINK("https://klasma.github.io/Logging_2280/artfynd/A 52865-2025 artfynd.xlsx", "A 52865-2025")</f>
        <v/>
      </c>
      <c r="T678">
        <f>HYPERLINK("https://klasma.github.io/Logging_2280/kartor/A 52865-2025 karta.png", "A 52865-2025")</f>
        <v/>
      </c>
      <c r="V678">
        <f>HYPERLINK("https://klasma.github.io/Logging_2280/klagomål/A 52865-2025 FSC-klagomål.docx", "A 52865-2025")</f>
        <v/>
      </c>
      <c r="W678">
        <f>HYPERLINK("https://klasma.github.io/Logging_2280/klagomålsmail/A 52865-2025 FSC-klagomål mail.docx", "A 52865-2025")</f>
        <v/>
      </c>
      <c r="X678">
        <f>HYPERLINK("https://klasma.github.io/Logging_2280/tillsyn/A 52865-2025 tillsynsbegäran.docx", "A 52865-2025")</f>
        <v/>
      </c>
      <c r="Y678">
        <f>HYPERLINK("https://klasma.github.io/Logging_2280/tillsynsmail/A 52865-2025 tillsynsbegäran mail.docx", "A 52865-2025")</f>
        <v/>
      </c>
    </row>
    <row r="679" ht="15" customHeight="1">
      <c r="A679" t="inlineStr">
        <is>
          <t>A 6571-2025</t>
        </is>
      </c>
      <c r="B679" s="1" t="n">
        <v>45699</v>
      </c>
      <c r="C679" s="1" t="n">
        <v>46093</v>
      </c>
      <c r="D679" t="inlineStr">
        <is>
          <t>VÄSTERNORRLANDS LÄN</t>
        </is>
      </c>
      <c r="E679" t="inlineStr">
        <is>
          <t>ÖRNSKÖLDSVIK</t>
        </is>
      </c>
      <c r="G679" t="n">
        <v>1.8</v>
      </c>
      <c r="H679" t="n">
        <v>1</v>
      </c>
      <c r="I679" t="n">
        <v>1</v>
      </c>
      <c r="J679" t="n">
        <v>1</v>
      </c>
      <c r="K679" t="n">
        <v>1</v>
      </c>
      <c r="L679" t="n">
        <v>0</v>
      </c>
      <c r="M679" t="n">
        <v>0</v>
      </c>
      <c r="N679" t="n">
        <v>0</v>
      </c>
      <c r="O679" t="n">
        <v>2</v>
      </c>
      <c r="P679" t="n">
        <v>1</v>
      </c>
      <c r="Q679" t="n">
        <v>3</v>
      </c>
      <c r="R679" s="2" t="inlineStr">
        <is>
          <t>Knärot
Ullticka
Vedticka</t>
        </is>
      </c>
      <c r="S679">
        <f>HYPERLINK("https://klasma.github.io/Logging_2284/artfynd/A 6571-2025 artfynd.xlsx", "A 6571-2025")</f>
        <v/>
      </c>
      <c r="T679">
        <f>HYPERLINK("https://klasma.github.io/Logging_2284/kartor/A 6571-2025 karta.png", "A 6571-2025")</f>
        <v/>
      </c>
      <c r="U679">
        <f>HYPERLINK("https://klasma.github.io/Logging_2284/knärot/A 6571-2025 karta knärot.png", "A 6571-2025")</f>
        <v/>
      </c>
      <c r="V679">
        <f>HYPERLINK("https://klasma.github.io/Logging_2284/klagomål/A 6571-2025 FSC-klagomål.docx", "A 6571-2025")</f>
        <v/>
      </c>
      <c r="W679">
        <f>HYPERLINK("https://klasma.github.io/Logging_2284/klagomålsmail/A 6571-2025 FSC-klagomål mail.docx", "A 6571-2025")</f>
        <v/>
      </c>
      <c r="X679">
        <f>HYPERLINK("https://klasma.github.io/Logging_2284/tillsyn/A 6571-2025 tillsynsbegäran.docx", "A 6571-2025")</f>
        <v/>
      </c>
      <c r="Y679">
        <f>HYPERLINK("https://klasma.github.io/Logging_2284/tillsynsmail/A 6571-2025 tillsynsbegäran mail.docx", "A 6571-2025")</f>
        <v/>
      </c>
    </row>
    <row r="680" ht="15" customHeight="1">
      <c r="A680" t="inlineStr">
        <is>
          <t>A 20077-2025</t>
        </is>
      </c>
      <c r="B680" s="1" t="n">
        <v>45772.44883101852</v>
      </c>
      <c r="C680" s="1" t="n">
        <v>46093</v>
      </c>
      <c r="D680" t="inlineStr">
        <is>
          <t>VÄSTERNORRLANDS LÄN</t>
        </is>
      </c>
      <c r="E680" t="inlineStr">
        <is>
          <t>SUNDSVALL</t>
        </is>
      </c>
      <c r="F680" t="inlineStr">
        <is>
          <t>Naturvårdsverket</t>
        </is>
      </c>
      <c r="G680" t="n">
        <v>7</v>
      </c>
      <c r="H680" t="n">
        <v>0</v>
      </c>
      <c r="I680" t="n">
        <v>0</v>
      </c>
      <c r="J680" t="n">
        <v>3</v>
      </c>
      <c r="K680" t="n">
        <v>0</v>
      </c>
      <c r="L680" t="n">
        <v>0</v>
      </c>
      <c r="M680" t="n">
        <v>0</v>
      </c>
      <c r="N680" t="n">
        <v>0</v>
      </c>
      <c r="O680" t="n">
        <v>3</v>
      </c>
      <c r="P680" t="n">
        <v>0</v>
      </c>
      <c r="Q680" t="n">
        <v>3</v>
      </c>
      <c r="R680" s="2" t="inlineStr">
        <is>
          <t>Kolflarnlav
Lunglav
Vedflamlav</t>
        </is>
      </c>
      <c r="S680">
        <f>HYPERLINK("https://klasma.github.io/Logging_2281/artfynd/A 20077-2025 artfynd.xlsx", "A 20077-2025")</f>
        <v/>
      </c>
      <c r="T680">
        <f>HYPERLINK("https://klasma.github.io/Logging_2281/kartor/A 20077-2025 karta.png", "A 20077-2025")</f>
        <v/>
      </c>
      <c r="V680">
        <f>HYPERLINK("https://klasma.github.io/Logging_2281/klagomål/A 20077-2025 FSC-klagomål.docx", "A 20077-2025")</f>
        <v/>
      </c>
      <c r="W680">
        <f>HYPERLINK("https://klasma.github.io/Logging_2281/klagomålsmail/A 20077-2025 FSC-klagomål mail.docx", "A 20077-2025")</f>
        <v/>
      </c>
      <c r="X680">
        <f>HYPERLINK("https://klasma.github.io/Logging_2281/tillsyn/A 20077-2025 tillsynsbegäran.docx", "A 20077-2025")</f>
        <v/>
      </c>
      <c r="Y680">
        <f>HYPERLINK("https://klasma.github.io/Logging_2281/tillsynsmail/A 20077-2025 tillsynsbegäran mail.docx", "A 20077-2025")</f>
        <v/>
      </c>
    </row>
    <row r="681" ht="15" customHeight="1">
      <c r="A681" t="inlineStr">
        <is>
          <t>A 40866-2023</t>
        </is>
      </c>
      <c r="B681" s="1" t="n">
        <v>45173</v>
      </c>
      <c r="C681" s="1" t="n">
        <v>46093</v>
      </c>
      <c r="D681" t="inlineStr">
        <is>
          <t>VÄSTERNORRLANDS LÄN</t>
        </is>
      </c>
      <c r="E681" t="inlineStr">
        <is>
          <t>SOLLEFTEÅ</t>
        </is>
      </c>
      <c r="G681" t="n">
        <v>1.7</v>
      </c>
      <c r="H681" t="n">
        <v>2</v>
      </c>
      <c r="I681" t="n">
        <v>1</v>
      </c>
      <c r="J681" t="n">
        <v>1</v>
      </c>
      <c r="K681" t="n">
        <v>0</v>
      </c>
      <c r="L681" t="n">
        <v>0</v>
      </c>
      <c r="M681" t="n">
        <v>0</v>
      </c>
      <c r="N681" t="n">
        <v>0</v>
      </c>
      <c r="O681" t="n">
        <v>1</v>
      </c>
      <c r="P681" t="n">
        <v>0</v>
      </c>
      <c r="Q681" t="n">
        <v>3</v>
      </c>
      <c r="R681" s="2" t="inlineStr">
        <is>
          <t>Spillkråka
Tibast
Skogsödla</t>
        </is>
      </c>
      <c r="S681">
        <f>HYPERLINK("https://klasma.github.io/Logging_2283/artfynd/A 40866-2023 artfynd.xlsx", "A 40866-2023")</f>
        <v/>
      </c>
      <c r="T681">
        <f>HYPERLINK("https://klasma.github.io/Logging_2283/kartor/A 40866-2023 karta.png", "A 40866-2023")</f>
        <v/>
      </c>
      <c r="V681">
        <f>HYPERLINK("https://klasma.github.io/Logging_2283/klagomål/A 40866-2023 FSC-klagomål.docx", "A 40866-2023")</f>
        <v/>
      </c>
      <c r="W681">
        <f>HYPERLINK("https://klasma.github.io/Logging_2283/klagomålsmail/A 40866-2023 FSC-klagomål mail.docx", "A 40866-2023")</f>
        <v/>
      </c>
      <c r="X681">
        <f>HYPERLINK("https://klasma.github.io/Logging_2283/tillsyn/A 40866-2023 tillsynsbegäran.docx", "A 40866-2023")</f>
        <v/>
      </c>
      <c r="Y681">
        <f>HYPERLINK("https://klasma.github.io/Logging_2283/tillsynsmail/A 40866-2023 tillsynsbegäran mail.docx", "A 40866-2023")</f>
        <v/>
      </c>
      <c r="Z681">
        <f>HYPERLINK("https://klasma.github.io/Logging_2283/fåglar/A 40866-2023 prioriterade fågelarter.docx", "A 40866-2023")</f>
        <v/>
      </c>
    </row>
    <row r="682" ht="15" customHeight="1">
      <c r="A682" t="inlineStr">
        <is>
          <t>A 45122-2021</t>
        </is>
      </c>
      <c r="B682" s="1" t="n">
        <v>44439</v>
      </c>
      <c r="C682" s="1" t="n">
        <v>46093</v>
      </c>
      <c r="D682" t="inlineStr">
        <is>
          <t>VÄSTERNORRLANDS LÄN</t>
        </is>
      </c>
      <c r="E682" t="inlineStr">
        <is>
          <t>ÅNGE</t>
        </is>
      </c>
      <c r="G682" t="n">
        <v>20.3</v>
      </c>
      <c r="H682" t="n">
        <v>0</v>
      </c>
      <c r="I682" t="n">
        <v>2</v>
      </c>
      <c r="J682" t="n">
        <v>1</v>
      </c>
      <c r="K682" t="n">
        <v>0</v>
      </c>
      <c r="L682" t="n">
        <v>0</v>
      </c>
      <c r="M682" t="n">
        <v>0</v>
      </c>
      <c r="N682" t="n">
        <v>0</v>
      </c>
      <c r="O682" t="n">
        <v>1</v>
      </c>
      <c r="P682" t="n">
        <v>0</v>
      </c>
      <c r="Q682" t="n">
        <v>3</v>
      </c>
      <c r="R682" s="2" t="inlineStr">
        <is>
          <t>Reliktbock
Cixidia
Skinnlav</t>
        </is>
      </c>
      <c r="S682">
        <f>HYPERLINK("https://klasma.github.io/Logging_2260/artfynd/A 45122-2021 artfynd.xlsx", "A 45122-2021")</f>
        <v/>
      </c>
      <c r="T682">
        <f>HYPERLINK("https://klasma.github.io/Logging_2260/kartor/A 45122-2021 karta.png", "A 45122-2021")</f>
        <v/>
      </c>
      <c r="V682">
        <f>HYPERLINK("https://klasma.github.io/Logging_2260/klagomål/A 45122-2021 FSC-klagomål.docx", "A 45122-2021")</f>
        <v/>
      </c>
      <c r="W682">
        <f>HYPERLINK("https://klasma.github.io/Logging_2260/klagomålsmail/A 45122-2021 FSC-klagomål mail.docx", "A 45122-2021")</f>
        <v/>
      </c>
      <c r="X682">
        <f>HYPERLINK("https://klasma.github.io/Logging_2260/tillsyn/A 45122-2021 tillsynsbegäran.docx", "A 45122-2021")</f>
        <v/>
      </c>
      <c r="Y682">
        <f>HYPERLINK("https://klasma.github.io/Logging_2260/tillsynsmail/A 45122-2021 tillsynsbegäran mail.docx", "A 45122-2021")</f>
        <v/>
      </c>
    </row>
    <row r="683" ht="15" customHeight="1">
      <c r="A683" t="inlineStr">
        <is>
          <t>A 21036-2025</t>
        </is>
      </c>
      <c r="B683" s="1" t="n">
        <v>45777.53175925926</v>
      </c>
      <c r="C683" s="1" t="n">
        <v>46093</v>
      </c>
      <c r="D683" t="inlineStr">
        <is>
          <t>VÄSTERNORRLANDS LÄN</t>
        </is>
      </c>
      <c r="E683" t="inlineStr">
        <is>
          <t>SUNDSVALL</t>
        </is>
      </c>
      <c r="F683" t="inlineStr">
        <is>
          <t>Naturvårdsverket</t>
        </is>
      </c>
      <c r="G683" t="n">
        <v>5.5</v>
      </c>
      <c r="H683" t="n">
        <v>0</v>
      </c>
      <c r="I683" t="n">
        <v>1</v>
      </c>
      <c r="J683" t="n">
        <v>2</v>
      </c>
      <c r="K683" t="n">
        <v>0</v>
      </c>
      <c r="L683" t="n">
        <v>0</v>
      </c>
      <c r="M683" t="n">
        <v>0</v>
      </c>
      <c r="N683" t="n">
        <v>0</v>
      </c>
      <c r="O683" t="n">
        <v>2</v>
      </c>
      <c r="P683" t="n">
        <v>0</v>
      </c>
      <c r="Q683" t="n">
        <v>3</v>
      </c>
      <c r="R683" s="2" t="inlineStr">
        <is>
          <t>Doftskinn
Lunglav
Stuplav</t>
        </is>
      </c>
      <c r="S683">
        <f>HYPERLINK("https://klasma.github.io/Logging_2281/artfynd/A 21036-2025 artfynd.xlsx", "A 21036-2025")</f>
        <v/>
      </c>
      <c r="T683">
        <f>HYPERLINK("https://klasma.github.io/Logging_2281/kartor/A 21036-2025 karta.png", "A 21036-2025")</f>
        <v/>
      </c>
      <c r="V683">
        <f>HYPERLINK("https://klasma.github.io/Logging_2281/klagomål/A 21036-2025 FSC-klagomål.docx", "A 21036-2025")</f>
        <v/>
      </c>
      <c r="W683">
        <f>HYPERLINK("https://klasma.github.io/Logging_2281/klagomålsmail/A 21036-2025 FSC-klagomål mail.docx", "A 21036-2025")</f>
        <v/>
      </c>
      <c r="X683">
        <f>HYPERLINK("https://klasma.github.io/Logging_2281/tillsyn/A 21036-2025 tillsynsbegäran.docx", "A 21036-2025")</f>
        <v/>
      </c>
      <c r="Y683">
        <f>HYPERLINK("https://klasma.github.io/Logging_2281/tillsynsmail/A 21036-2025 tillsynsbegäran mail.docx", "A 21036-2025")</f>
        <v/>
      </c>
    </row>
    <row r="684" ht="15" customHeight="1">
      <c r="A684" t="inlineStr">
        <is>
          <t>A 21267-2025</t>
        </is>
      </c>
      <c r="B684" s="1" t="n">
        <v>45779</v>
      </c>
      <c r="C684" s="1" t="n">
        <v>46093</v>
      </c>
      <c r="D684" t="inlineStr">
        <is>
          <t>VÄSTERNORRLANDS LÄN</t>
        </is>
      </c>
      <c r="E684" t="inlineStr">
        <is>
          <t>ÅNGE</t>
        </is>
      </c>
      <c r="F684" t="inlineStr">
        <is>
          <t>Sveaskog</t>
        </is>
      </c>
      <c r="G684" t="n">
        <v>3.7</v>
      </c>
      <c r="H684" t="n">
        <v>2</v>
      </c>
      <c r="I684" t="n">
        <v>2</v>
      </c>
      <c r="J684" t="n">
        <v>1</v>
      </c>
      <c r="K684" t="n">
        <v>0</v>
      </c>
      <c r="L684" t="n">
        <v>0</v>
      </c>
      <c r="M684" t="n">
        <v>0</v>
      </c>
      <c r="N684" t="n">
        <v>0</v>
      </c>
      <c r="O684" t="n">
        <v>1</v>
      </c>
      <c r="P684" t="n">
        <v>0</v>
      </c>
      <c r="Q684" t="n">
        <v>3</v>
      </c>
      <c r="R684" s="2" t="inlineStr">
        <is>
          <t>Lunglav
Korallrot
Spindelblomster</t>
        </is>
      </c>
      <c r="S684">
        <f>HYPERLINK("https://klasma.github.io/Logging_2260/artfynd/A 21267-2025 artfynd.xlsx", "A 21267-2025")</f>
        <v/>
      </c>
      <c r="T684">
        <f>HYPERLINK("https://klasma.github.io/Logging_2260/kartor/A 21267-2025 karta.png", "A 21267-2025")</f>
        <v/>
      </c>
      <c r="V684">
        <f>HYPERLINK("https://klasma.github.io/Logging_2260/klagomål/A 21267-2025 FSC-klagomål.docx", "A 21267-2025")</f>
        <v/>
      </c>
      <c r="W684">
        <f>HYPERLINK("https://klasma.github.io/Logging_2260/klagomålsmail/A 21267-2025 FSC-klagomål mail.docx", "A 21267-2025")</f>
        <v/>
      </c>
      <c r="X684">
        <f>HYPERLINK("https://klasma.github.io/Logging_2260/tillsyn/A 21267-2025 tillsynsbegäran.docx", "A 21267-2025")</f>
        <v/>
      </c>
      <c r="Y684">
        <f>HYPERLINK("https://klasma.github.io/Logging_2260/tillsynsmail/A 21267-2025 tillsynsbegäran mail.docx", "A 21267-2025")</f>
        <v/>
      </c>
    </row>
    <row r="685" ht="15" customHeight="1">
      <c r="A685" t="inlineStr">
        <is>
          <t>A 751-2026</t>
        </is>
      </c>
      <c r="B685" s="1" t="n">
        <v>46029.67748842593</v>
      </c>
      <c r="C685" s="1" t="n">
        <v>46093</v>
      </c>
      <c r="D685" t="inlineStr">
        <is>
          <t>VÄSTERNORRLANDS LÄN</t>
        </is>
      </c>
      <c r="E685" t="inlineStr">
        <is>
          <t>SOLLEFTEÅ</t>
        </is>
      </c>
      <c r="G685" t="n">
        <v>15.6</v>
      </c>
      <c r="H685" t="n">
        <v>1</v>
      </c>
      <c r="I685" t="n">
        <v>1</v>
      </c>
      <c r="J685" t="n">
        <v>2</v>
      </c>
      <c r="K685" t="n">
        <v>0</v>
      </c>
      <c r="L685" t="n">
        <v>0</v>
      </c>
      <c r="M685" t="n">
        <v>0</v>
      </c>
      <c r="N685" t="n">
        <v>0</v>
      </c>
      <c r="O685" t="n">
        <v>2</v>
      </c>
      <c r="P685" t="n">
        <v>0</v>
      </c>
      <c r="Q685" t="n">
        <v>3</v>
      </c>
      <c r="R685" s="2" t="inlineStr">
        <is>
          <t>Lunglav
Tretåig hackspett
Stuplav</t>
        </is>
      </c>
      <c r="S685">
        <f>HYPERLINK("https://klasma.github.io/Logging_2283/artfynd/A 751-2026 artfynd.xlsx", "A 751-2026")</f>
        <v/>
      </c>
      <c r="T685">
        <f>HYPERLINK("https://klasma.github.io/Logging_2283/kartor/A 751-2026 karta.png", "A 751-2026")</f>
        <v/>
      </c>
      <c r="V685">
        <f>HYPERLINK("https://klasma.github.io/Logging_2283/klagomål/A 751-2026 FSC-klagomål.docx", "A 751-2026")</f>
        <v/>
      </c>
      <c r="W685">
        <f>HYPERLINK("https://klasma.github.io/Logging_2283/klagomålsmail/A 751-2026 FSC-klagomål mail.docx", "A 751-2026")</f>
        <v/>
      </c>
      <c r="X685">
        <f>HYPERLINK("https://klasma.github.io/Logging_2283/tillsyn/A 751-2026 tillsynsbegäran.docx", "A 751-2026")</f>
        <v/>
      </c>
      <c r="Y685">
        <f>HYPERLINK("https://klasma.github.io/Logging_2283/tillsynsmail/A 751-2026 tillsynsbegäran mail.docx", "A 751-2026")</f>
        <v/>
      </c>
      <c r="Z685">
        <f>HYPERLINK("https://klasma.github.io/Logging_2283/fåglar/A 751-2026 prioriterade fågelarter.docx", "A 751-2026")</f>
        <v/>
      </c>
    </row>
    <row r="686" ht="15" customHeight="1">
      <c r="A686" t="inlineStr">
        <is>
          <t>A 22061-2025</t>
        </is>
      </c>
      <c r="B686" s="1" t="n">
        <v>45785.3747337963</v>
      </c>
      <c r="C686" s="1" t="n">
        <v>46093</v>
      </c>
      <c r="D686" t="inlineStr">
        <is>
          <t>VÄSTERNORRLANDS LÄN</t>
        </is>
      </c>
      <c r="E686" t="inlineStr">
        <is>
          <t>ÖRNSKÖLDSVIK</t>
        </is>
      </c>
      <c r="F686" t="inlineStr">
        <is>
          <t>Holmen skog AB</t>
        </is>
      </c>
      <c r="G686" t="n">
        <v>4.3</v>
      </c>
      <c r="H686" t="n">
        <v>0</v>
      </c>
      <c r="I686" t="n">
        <v>1</v>
      </c>
      <c r="J686" t="n">
        <v>2</v>
      </c>
      <c r="K686" t="n">
        <v>0</v>
      </c>
      <c r="L686" t="n">
        <v>0</v>
      </c>
      <c r="M686" t="n">
        <v>0</v>
      </c>
      <c r="N686" t="n">
        <v>0</v>
      </c>
      <c r="O686" t="n">
        <v>2</v>
      </c>
      <c r="P686" t="n">
        <v>0</v>
      </c>
      <c r="Q686" t="n">
        <v>3</v>
      </c>
      <c r="R686" s="2" t="inlineStr">
        <is>
          <t>Garnlav
Lunglav
Stuplav</t>
        </is>
      </c>
      <c r="S686">
        <f>HYPERLINK("https://klasma.github.io/Logging_2284/artfynd/A 22061-2025 artfynd.xlsx", "A 22061-2025")</f>
        <v/>
      </c>
      <c r="T686">
        <f>HYPERLINK("https://klasma.github.io/Logging_2284/kartor/A 22061-2025 karta.png", "A 22061-2025")</f>
        <v/>
      </c>
      <c r="V686">
        <f>HYPERLINK("https://klasma.github.io/Logging_2284/klagomål/A 22061-2025 FSC-klagomål.docx", "A 22061-2025")</f>
        <v/>
      </c>
      <c r="W686">
        <f>HYPERLINK("https://klasma.github.io/Logging_2284/klagomålsmail/A 22061-2025 FSC-klagomål mail.docx", "A 22061-2025")</f>
        <v/>
      </c>
      <c r="X686">
        <f>HYPERLINK("https://klasma.github.io/Logging_2284/tillsyn/A 22061-2025 tillsynsbegäran.docx", "A 22061-2025")</f>
        <v/>
      </c>
      <c r="Y686">
        <f>HYPERLINK("https://klasma.github.io/Logging_2284/tillsynsmail/A 22061-2025 tillsynsbegäran mail.docx", "A 22061-2025")</f>
        <v/>
      </c>
    </row>
    <row r="687" ht="15" customHeight="1">
      <c r="A687" t="inlineStr">
        <is>
          <t>A 22183-2025</t>
        </is>
      </c>
      <c r="B687" s="1" t="n">
        <v>45785.61677083333</v>
      </c>
      <c r="C687" s="1" t="n">
        <v>46093</v>
      </c>
      <c r="D687" t="inlineStr">
        <is>
          <t>VÄSTERNORRLANDS LÄN</t>
        </is>
      </c>
      <c r="E687" t="inlineStr">
        <is>
          <t>SOLLEFTEÅ</t>
        </is>
      </c>
      <c r="F687" t="inlineStr">
        <is>
          <t>SCA</t>
        </is>
      </c>
      <c r="G687" t="n">
        <v>0.3</v>
      </c>
      <c r="H687" t="n">
        <v>0</v>
      </c>
      <c r="I687" t="n">
        <v>1</v>
      </c>
      <c r="J687" t="n">
        <v>2</v>
      </c>
      <c r="K687" t="n">
        <v>0</v>
      </c>
      <c r="L687" t="n">
        <v>0</v>
      </c>
      <c r="M687" t="n">
        <v>0</v>
      </c>
      <c r="N687" t="n">
        <v>0</v>
      </c>
      <c r="O687" t="n">
        <v>2</v>
      </c>
      <c r="P687" t="n">
        <v>0</v>
      </c>
      <c r="Q687" t="n">
        <v>3</v>
      </c>
      <c r="R687" s="2" t="inlineStr">
        <is>
          <t>Garnlav
Rosenticka
Trådticka</t>
        </is>
      </c>
      <c r="S687">
        <f>HYPERLINK("https://klasma.github.io/Logging_2283/artfynd/A 22183-2025 artfynd.xlsx", "A 22183-2025")</f>
        <v/>
      </c>
      <c r="T687">
        <f>HYPERLINK("https://klasma.github.io/Logging_2283/kartor/A 22183-2025 karta.png", "A 22183-2025")</f>
        <v/>
      </c>
      <c r="V687">
        <f>HYPERLINK("https://klasma.github.io/Logging_2283/klagomål/A 22183-2025 FSC-klagomål.docx", "A 22183-2025")</f>
        <v/>
      </c>
      <c r="W687">
        <f>HYPERLINK("https://klasma.github.io/Logging_2283/klagomålsmail/A 22183-2025 FSC-klagomål mail.docx", "A 22183-2025")</f>
        <v/>
      </c>
      <c r="X687">
        <f>HYPERLINK("https://klasma.github.io/Logging_2283/tillsyn/A 22183-2025 tillsynsbegäran.docx", "A 22183-2025")</f>
        <v/>
      </c>
      <c r="Y687">
        <f>HYPERLINK("https://klasma.github.io/Logging_2283/tillsynsmail/A 22183-2025 tillsynsbegäran mail.docx", "A 22183-2025")</f>
        <v/>
      </c>
    </row>
    <row r="688" ht="15" customHeight="1">
      <c r="A688" t="inlineStr">
        <is>
          <t>A 22427-2025</t>
        </is>
      </c>
      <c r="B688" s="1" t="n">
        <v>45786</v>
      </c>
      <c r="C688" s="1" t="n">
        <v>46093</v>
      </c>
      <c r="D688" t="inlineStr">
        <is>
          <t>VÄSTERNORRLANDS LÄN</t>
        </is>
      </c>
      <c r="E688" t="inlineStr">
        <is>
          <t>TIMRÅ</t>
        </is>
      </c>
      <c r="F688" t="inlineStr">
        <is>
          <t>SCA</t>
        </is>
      </c>
      <c r="G688" t="n">
        <v>7.1</v>
      </c>
      <c r="H688" t="n">
        <v>2</v>
      </c>
      <c r="I688" t="n">
        <v>0</v>
      </c>
      <c r="J688" t="n">
        <v>2</v>
      </c>
      <c r="K688" t="n">
        <v>0</v>
      </c>
      <c r="L688" t="n">
        <v>0</v>
      </c>
      <c r="M688" t="n">
        <v>0</v>
      </c>
      <c r="N688" t="n">
        <v>0</v>
      </c>
      <c r="O688" t="n">
        <v>2</v>
      </c>
      <c r="P688" t="n">
        <v>0</v>
      </c>
      <c r="Q688" t="n">
        <v>3</v>
      </c>
      <c r="R688" s="2" t="inlineStr">
        <is>
          <t>Lunglav
Tretåig hackspett
Nattviol</t>
        </is>
      </c>
      <c r="S688">
        <f>HYPERLINK("https://klasma.github.io/Logging_2262/artfynd/A 22427-2025 artfynd.xlsx", "A 22427-2025")</f>
        <v/>
      </c>
      <c r="T688">
        <f>HYPERLINK("https://klasma.github.io/Logging_2262/kartor/A 22427-2025 karta.png", "A 22427-2025")</f>
        <v/>
      </c>
      <c r="V688">
        <f>HYPERLINK("https://klasma.github.io/Logging_2262/klagomål/A 22427-2025 FSC-klagomål.docx", "A 22427-2025")</f>
        <v/>
      </c>
      <c r="W688">
        <f>HYPERLINK("https://klasma.github.io/Logging_2262/klagomålsmail/A 22427-2025 FSC-klagomål mail.docx", "A 22427-2025")</f>
        <v/>
      </c>
      <c r="X688">
        <f>HYPERLINK("https://klasma.github.io/Logging_2262/tillsyn/A 22427-2025 tillsynsbegäran.docx", "A 22427-2025")</f>
        <v/>
      </c>
      <c r="Y688">
        <f>HYPERLINK("https://klasma.github.io/Logging_2262/tillsynsmail/A 22427-2025 tillsynsbegäran mail.docx", "A 22427-2025")</f>
        <v/>
      </c>
      <c r="Z688">
        <f>HYPERLINK("https://klasma.github.io/Logging_2262/fåglar/A 22427-2025 prioriterade fågelarter.docx", "A 22427-2025")</f>
        <v/>
      </c>
    </row>
    <row r="689" ht="15" customHeight="1">
      <c r="A689" t="inlineStr">
        <is>
          <t>A 25919-2025</t>
        </is>
      </c>
      <c r="B689" s="1" t="n">
        <v>45804</v>
      </c>
      <c r="C689" s="1" t="n">
        <v>46093</v>
      </c>
      <c r="D689" t="inlineStr">
        <is>
          <t>VÄSTERNORRLANDS LÄN</t>
        </is>
      </c>
      <c r="E689" t="inlineStr">
        <is>
          <t>SOLLEFTEÅ</t>
        </is>
      </c>
      <c r="G689" t="n">
        <v>8.5</v>
      </c>
      <c r="H689" t="n">
        <v>0</v>
      </c>
      <c r="I689" t="n">
        <v>2</v>
      </c>
      <c r="J689" t="n">
        <v>1</v>
      </c>
      <c r="K689" t="n">
        <v>0</v>
      </c>
      <c r="L689" t="n">
        <v>0</v>
      </c>
      <c r="M689" t="n">
        <v>0</v>
      </c>
      <c r="N689" t="n">
        <v>0</v>
      </c>
      <c r="O689" t="n">
        <v>1</v>
      </c>
      <c r="P689" t="n">
        <v>0</v>
      </c>
      <c r="Q689" t="n">
        <v>3</v>
      </c>
      <c r="R689" s="2" t="inlineStr">
        <is>
          <t>Granticka
Svart trolldruva
Vårärt</t>
        </is>
      </c>
      <c r="S689">
        <f>HYPERLINK("https://klasma.github.io/Logging_2283/artfynd/A 25919-2025 artfynd.xlsx", "A 25919-2025")</f>
        <v/>
      </c>
      <c r="T689">
        <f>HYPERLINK("https://klasma.github.io/Logging_2283/kartor/A 25919-2025 karta.png", "A 25919-2025")</f>
        <v/>
      </c>
      <c r="V689">
        <f>HYPERLINK("https://klasma.github.io/Logging_2283/klagomål/A 25919-2025 FSC-klagomål.docx", "A 25919-2025")</f>
        <v/>
      </c>
      <c r="W689">
        <f>HYPERLINK("https://klasma.github.io/Logging_2283/klagomålsmail/A 25919-2025 FSC-klagomål mail.docx", "A 25919-2025")</f>
        <v/>
      </c>
      <c r="X689">
        <f>HYPERLINK("https://klasma.github.io/Logging_2283/tillsyn/A 25919-2025 tillsynsbegäran.docx", "A 25919-2025")</f>
        <v/>
      </c>
      <c r="Y689">
        <f>HYPERLINK("https://klasma.github.io/Logging_2283/tillsynsmail/A 25919-2025 tillsynsbegäran mail.docx", "A 25919-2025")</f>
        <v/>
      </c>
    </row>
    <row r="690" ht="15" customHeight="1">
      <c r="A690" t="inlineStr">
        <is>
          <t>A 22210-2025</t>
        </is>
      </c>
      <c r="B690" s="1" t="n">
        <v>45785.65743055556</v>
      </c>
      <c r="C690" s="1" t="n">
        <v>46093</v>
      </c>
      <c r="D690" t="inlineStr">
        <is>
          <t>VÄSTERNORRLANDS LÄN</t>
        </is>
      </c>
      <c r="E690" t="inlineStr">
        <is>
          <t>TIMRÅ</t>
        </is>
      </c>
      <c r="F690" t="inlineStr">
        <is>
          <t>SCA</t>
        </is>
      </c>
      <c r="G690" t="n">
        <v>4.1</v>
      </c>
      <c r="H690" t="n">
        <v>0</v>
      </c>
      <c r="I690" t="n">
        <v>1</v>
      </c>
      <c r="J690" t="n">
        <v>2</v>
      </c>
      <c r="K690" t="n">
        <v>0</v>
      </c>
      <c r="L690" t="n">
        <v>0</v>
      </c>
      <c r="M690" t="n">
        <v>0</v>
      </c>
      <c r="N690" t="n">
        <v>0</v>
      </c>
      <c r="O690" t="n">
        <v>2</v>
      </c>
      <c r="P690" t="n">
        <v>0</v>
      </c>
      <c r="Q690" t="n">
        <v>3</v>
      </c>
      <c r="R690" s="2" t="inlineStr">
        <is>
          <t>Doftskinn
Gammelgransskål
Rävticka</t>
        </is>
      </c>
      <c r="S690">
        <f>HYPERLINK("https://klasma.github.io/Logging_2262/artfynd/A 22210-2025 artfynd.xlsx", "A 22210-2025")</f>
        <v/>
      </c>
      <c r="T690">
        <f>HYPERLINK("https://klasma.github.io/Logging_2262/kartor/A 22210-2025 karta.png", "A 22210-2025")</f>
        <v/>
      </c>
      <c r="V690">
        <f>HYPERLINK("https://klasma.github.io/Logging_2262/klagomål/A 22210-2025 FSC-klagomål.docx", "A 22210-2025")</f>
        <v/>
      </c>
      <c r="W690">
        <f>HYPERLINK("https://klasma.github.io/Logging_2262/klagomålsmail/A 22210-2025 FSC-klagomål mail.docx", "A 22210-2025")</f>
        <v/>
      </c>
      <c r="X690">
        <f>HYPERLINK("https://klasma.github.io/Logging_2262/tillsyn/A 22210-2025 tillsynsbegäran.docx", "A 22210-2025")</f>
        <v/>
      </c>
      <c r="Y690">
        <f>HYPERLINK("https://klasma.github.io/Logging_2262/tillsynsmail/A 22210-2025 tillsynsbegäran mail.docx", "A 22210-2025")</f>
        <v/>
      </c>
    </row>
    <row r="691" ht="15" customHeight="1">
      <c r="A691" t="inlineStr">
        <is>
          <t>A 22289-2025</t>
        </is>
      </c>
      <c r="B691" s="1" t="n">
        <v>45786.34436342592</v>
      </c>
      <c r="C691" s="1" t="n">
        <v>46093</v>
      </c>
      <c r="D691" t="inlineStr">
        <is>
          <t>VÄSTERNORRLANDS LÄN</t>
        </is>
      </c>
      <c r="E691" t="inlineStr">
        <is>
          <t>KRAMFORS</t>
        </is>
      </c>
      <c r="F691" t="inlineStr">
        <is>
          <t>SCA</t>
        </is>
      </c>
      <c r="G691" t="n">
        <v>5.6</v>
      </c>
      <c r="H691" t="n">
        <v>1</v>
      </c>
      <c r="I691" t="n">
        <v>0</v>
      </c>
      <c r="J691" t="n">
        <v>3</v>
      </c>
      <c r="K691" t="n">
        <v>0</v>
      </c>
      <c r="L691" t="n">
        <v>0</v>
      </c>
      <c r="M691" t="n">
        <v>0</v>
      </c>
      <c r="N691" t="n">
        <v>0</v>
      </c>
      <c r="O691" t="n">
        <v>3</v>
      </c>
      <c r="P691" t="n">
        <v>0</v>
      </c>
      <c r="Q691" t="n">
        <v>3</v>
      </c>
      <c r="R691" s="2" t="inlineStr">
        <is>
          <t>Garnlav
Granticka
Tretåig hackspett</t>
        </is>
      </c>
      <c r="S691">
        <f>HYPERLINK("https://klasma.github.io/Logging_2282/artfynd/A 22289-2025 artfynd.xlsx", "A 22289-2025")</f>
        <v/>
      </c>
      <c r="T691">
        <f>HYPERLINK("https://klasma.github.io/Logging_2282/kartor/A 22289-2025 karta.png", "A 22289-2025")</f>
        <v/>
      </c>
      <c r="V691">
        <f>HYPERLINK("https://klasma.github.io/Logging_2282/klagomål/A 22289-2025 FSC-klagomål.docx", "A 22289-2025")</f>
        <v/>
      </c>
      <c r="W691">
        <f>HYPERLINK("https://klasma.github.io/Logging_2282/klagomålsmail/A 22289-2025 FSC-klagomål mail.docx", "A 22289-2025")</f>
        <v/>
      </c>
      <c r="X691">
        <f>HYPERLINK("https://klasma.github.io/Logging_2282/tillsyn/A 22289-2025 tillsynsbegäran.docx", "A 22289-2025")</f>
        <v/>
      </c>
      <c r="Y691">
        <f>HYPERLINK("https://klasma.github.io/Logging_2282/tillsynsmail/A 22289-2025 tillsynsbegäran mail.docx", "A 22289-2025")</f>
        <v/>
      </c>
      <c r="Z691">
        <f>HYPERLINK("https://klasma.github.io/Logging_2282/fåglar/A 22289-2025 prioriterade fågelarter.docx", "A 22289-2025")</f>
        <v/>
      </c>
    </row>
    <row r="692" ht="15" customHeight="1">
      <c r="A692" t="inlineStr">
        <is>
          <t>A 49530-2025</t>
        </is>
      </c>
      <c r="B692" s="1" t="n">
        <v>45939.40700231482</v>
      </c>
      <c r="C692" s="1" t="n">
        <v>46093</v>
      </c>
      <c r="D692" t="inlineStr">
        <is>
          <t>VÄSTERNORRLANDS LÄN</t>
        </is>
      </c>
      <c r="E692" t="inlineStr">
        <is>
          <t>ÅNGE</t>
        </is>
      </c>
      <c r="F692" t="inlineStr">
        <is>
          <t>SCA</t>
        </is>
      </c>
      <c r="G692" t="n">
        <v>5.1</v>
      </c>
      <c r="H692" t="n">
        <v>1</v>
      </c>
      <c r="I692" t="n">
        <v>1</v>
      </c>
      <c r="J692" t="n">
        <v>1</v>
      </c>
      <c r="K692" t="n">
        <v>0</v>
      </c>
      <c r="L692" t="n">
        <v>0</v>
      </c>
      <c r="M692" t="n">
        <v>0</v>
      </c>
      <c r="N692" t="n">
        <v>0</v>
      </c>
      <c r="O692" t="n">
        <v>1</v>
      </c>
      <c r="P692" t="n">
        <v>0</v>
      </c>
      <c r="Q692" t="n">
        <v>3</v>
      </c>
      <c r="R692" s="2" t="inlineStr">
        <is>
          <t>Lunglav
Strutbräken
Revlummer</t>
        </is>
      </c>
      <c r="S692">
        <f>HYPERLINK("https://klasma.github.io/Logging_2260/artfynd/A 49530-2025 artfynd.xlsx", "A 49530-2025")</f>
        <v/>
      </c>
      <c r="T692">
        <f>HYPERLINK("https://klasma.github.io/Logging_2260/kartor/A 49530-2025 karta.png", "A 49530-2025")</f>
        <v/>
      </c>
      <c r="V692">
        <f>HYPERLINK("https://klasma.github.io/Logging_2260/klagomål/A 49530-2025 FSC-klagomål.docx", "A 49530-2025")</f>
        <v/>
      </c>
      <c r="W692">
        <f>HYPERLINK("https://klasma.github.io/Logging_2260/klagomålsmail/A 49530-2025 FSC-klagomål mail.docx", "A 49530-2025")</f>
        <v/>
      </c>
      <c r="X692">
        <f>HYPERLINK("https://klasma.github.io/Logging_2260/tillsyn/A 49530-2025 tillsynsbegäran.docx", "A 49530-2025")</f>
        <v/>
      </c>
      <c r="Y692">
        <f>HYPERLINK("https://klasma.github.io/Logging_2260/tillsynsmail/A 49530-2025 tillsynsbegäran mail.docx", "A 49530-2025")</f>
        <v/>
      </c>
    </row>
    <row r="693" ht="15" customHeight="1">
      <c r="A693" t="inlineStr">
        <is>
          <t>A 24392-2025</t>
        </is>
      </c>
      <c r="B693" s="1" t="n">
        <v>45797</v>
      </c>
      <c r="C693" s="1" t="n">
        <v>46093</v>
      </c>
      <c r="D693" t="inlineStr">
        <is>
          <t>VÄSTERNORRLANDS LÄN</t>
        </is>
      </c>
      <c r="E693" t="inlineStr">
        <is>
          <t>SUNDSVALL</t>
        </is>
      </c>
      <c r="F693" t="inlineStr">
        <is>
          <t>SCA</t>
        </is>
      </c>
      <c r="G693" t="n">
        <v>8.800000000000001</v>
      </c>
      <c r="H693" t="n">
        <v>3</v>
      </c>
      <c r="I693" t="n">
        <v>0</v>
      </c>
      <c r="J693" t="n">
        <v>2</v>
      </c>
      <c r="K693" t="n">
        <v>0</v>
      </c>
      <c r="L693" t="n">
        <v>0</v>
      </c>
      <c r="M693" t="n">
        <v>0</v>
      </c>
      <c r="N693" t="n">
        <v>0</v>
      </c>
      <c r="O693" t="n">
        <v>2</v>
      </c>
      <c r="P693" t="n">
        <v>0</v>
      </c>
      <c r="Q693" t="n">
        <v>3</v>
      </c>
      <c r="R693" s="2" t="inlineStr">
        <is>
          <t>Spillkråka
Tretåig hackspett
Tjäder</t>
        </is>
      </c>
      <c r="S693">
        <f>HYPERLINK("https://klasma.github.io/Logging_2281/artfynd/A 24392-2025 artfynd.xlsx", "A 24392-2025")</f>
        <v/>
      </c>
      <c r="T693">
        <f>HYPERLINK("https://klasma.github.io/Logging_2281/kartor/A 24392-2025 karta.png", "A 24392-2025")</f>
        <v/>
      </c>
      <c r="V693">
        <f>HYPERLINK("https://klasma.github.io/Logging_2281/klagomål/A 24392-2025 FSC-klagomål.docx", "A 24392-2025")</f>
        <v/>
      </c>
      <c r="W693">
        <f>HYPERLINK("https://klasma.github.io/Logging_2281/klagomålsmail/A 24392-2025 FSC-klagomål mail.docx", "A 24392-2025")</f>
        <v/>
      </c>
      <c r="X693">
        <f>HYPERLINK("https://klasma.github.io/Logging_2281/tillsyn/A 24392-2025 tillsynsbegäran.docx", "A 24392-2025")</f>
        <v/>
      </c>
      <c r="Y693">
        <f>HYPERLINK("https://klasma.github.io/Logging_2281/tillsynsmail/A 24392-2025 tillsynsbegäran mail.docx", "A 24392-2025")</f>
        <v/>
      </c>
      <c r="Z693">
        <f>HYPERLINK("https://klasma.github.io/Logging_2281/fåglar/A 24392-2025 prioriterade fågelarter.docx", "A 24392-2025")</f>
        <v/>
      </c>
    </row>
    <row r="694" ht="15" customHeight="1">
      <c r="A694" t="inlineStr">
        <is>
          <t>A 23158-2025</t>
        </is>
      </c>
      <c r="B694" s="1" t="n">
        <v>45791.4071875</v>
      </c>
      <c r="C694" s="1" t="n">
        <v>46093</v>
      </c>
      <c r="D694" t="inlineStr">
        <is>
          <t>VÄSTERNORRLANDS LÄN</t>
        </is>
      </c>
      <c r="E694" t="inlineStr">
        <is>
          <t>TIMRÅ</t>
        </is>
      </c>
      <c r="F694" t="inlineStr">
        <is>
          <t>SCA</t>
        </is>
      </c>
      <c r="G694" t="n">
        <v>4.9</v>
      </c>
      <c r="H694" t="n">
        <v>1</v>
      </c>
      <c r="I694" t="n">
        <v>0</v>
      </c>
      <c r="J694" t="n">
        <v>2</v>
      </c>
      <c r="K694" t="n">
        <v>0</v>
      </c>
      <c r="L694" t="n">
        <v>0</v>
      </c>
      <c r="M694" t="n">
        <v>0</v>
      </c>
      <c r="N694" t="n">
        <v>0</v>
      </c>
      <c r="O694" t="n">
        <v>2</v>
      </c>
      <c r="P694" t="n">
        <v>0</v>
      </c>
      <c r="Q694" t="n">
        <v>3</v>
      </c>
      <c r="R694" s="2" t="inlineStr">
        <is>
          <t>Garnlav
Violettgrå tagellav
Tjäder</t>
        </is>
      </c>
      <c r="S694">
        <f>HYPERLINK("https://klasma.github.io/Logging_2262/artfynd/A 23158-2025 artfynd.xlsx", "A 23158-2025")</f>
        <v/>
      </c>
      <c r="T694">
        <f>HYPERLINK("https://klasma.github.io/Logging_2262/kartor/A 23158-2025 karta.png", "A 23158-2025")</f>
        <v/>
      </c>
      <c r="V694">
        <f>HYPERLINK("https://klasma.github.io/Logging_2262/klagomål/A 23158-2025 FSC-klagomål.docx", "A 23158-2025")</f>
        <v/>
      </c>
      <c r="W694">
        <f>HYPERLINK("https://klasma.github.io/Logging_2262/klagomålsmail/A 23158-2025 FSC-klagomål mail.docx", "A 23158-2025")</f>
        <v/>
      </c>
      <c r="X694">
        <f>HYPERLINK("https://klasma.github.io/Logging_2262/tillsyn/A 23158-2025 tillsynsbegäran.docx", "A 23158-2025")</f>
        <v/>
      </c>
      <c r="Y694">
        <f>HYPERLINK("https://klasma.github.io/Logging_2262/tillsynsmail/A 23158-2025 tillsynsbegäran mail.docx", "A 23158-2025")</f>
        <v/>
      </c>
      <c r="Z694">
        <f>HYPERLINK("https://klasma.github.io/Logging_2262/fåglar/A 23158-2025 prioriterade fågelarter.docx", "A 23158-2025")</f>
        <v/>
      </c>
    </row>
    <row r="695" ht="15" customHeight="1">
      <c r="A695" t="inlineStr">
        <is>
          <t>A 23754-2025</t>
        </is>
      </c>
      <c r="B695" s="1" t="n">
        <v>45793.45782407407</v>
      </c>
      <c r="C695" s="1" t="n">
        <v>46093</v>
      </c>
      <c r="D695" t="inlineStr">
        <is>
          <t>VÄSTERNORRLANDS LÄN</t>
        </is>
      </c>
      <c r="E695" t="inlineStr">
        <is>
          <t>ÅNGE</t>
        </is>
      </c>
      <c r="F695" t="inlineStr">
        <is>
          <t>Sveaskog</t>
        </is>
      </c>
      <c r="G695" t="n">
        <v>4.3</v>
      </c>
      <c r="H695" t="n">
        <v>3</v>
      </c>
      <c r="I695" t="n">
        <v>0</v>
      </c>
      <c r="J695" t="n">
        <v>1</v>
      </c>
      <c r="K695" t="n">
        <v>0</v>
      </c>
      <c r="L695" t="n">
        <v>0</v>
      </c>
      <c r="M695" t="n">
        <v>0</v>
      </c>
      <c r="N695" t="n">
        <v>0</v>
      </c>
      <c r="O695" t="n">
        <v>1</v>
      </c>
      <c r="P695" t="n">
        <v>0</v>
      </c>
      <c r="Q695" t="n">
        <v>3</v>
      </c>
      <c r="R695" s="2" t="inlineStr">
        <is>
          <t>Spillkråka
Tjäder
Blåsippa</t>
        </is>
      </c>
      <c r="S695">
        <f>HYPERLINK("https://klasma.github.io/Logging_2260/artfynd/A 23754-2025 artfynd.xlsx", "A 23754-2025")</f>
        <v/>
      </c>
      <c r="T695">
        <f>HYPERLINK("https://klasma.github.io/Logging_2260/kartor/A 23754-2025 karta.png", "A 23754-2025")</f>
        <v/>
      </c>
      <c r="U695">
        <f>HYPERLINK("https://klasma.github.io/Logging_2260/knärot/A 23754-2025 karta knärot.png", "A 23754-2025")</f>
        <v/>
      </c>
      <c r="V695">
        <f>HYPERLINK("https://klasma.github.io/Logging_2260/klagomål/A 23754-2025 FSC-klagomål.docx", "A 23754-2025")</f>
        <v/>
      </c>
      <c r="W695">
        <f>HYPERLINK("https://klasma.github.io/Logging_2260/klagomålsmail/A 23754-2025 FSC-klagomål mail.docx", "A 23754-2025")</f>
        <v/>
      </c>
      <c r="X695">
        <f>HYPERLINK("https://klasma.github.io/Logging_2260/tillsyn/A 23754-2025 tillsynsbegäran.docx", "A 23754-2025")</f>
        <v/>
      </c>
      <c r="Y695">
        <f>HYPERLINK("https://klasma.github.io/Logging_2260/tillsynsmail/A 23754-2025 tillsynsbegäran mail.docx", "A 23754-2025")</f>
        <v/>
      </c>
      <c r="Z695">
        <f>HYPERLINK("https://klasma.github.io/Logging_2260/fåglar/A 23754-2025 prioriterade fågelarter.docx", "A 23754-2025")</f>
        <v/>
      </c>
    </row>
    <row r="696" ht="15" customHeight="1">
      <c r="A696" t="inlineStr">
        <is>
          <t>A 63330-2025</t>
        </is>
      </c>
      <c r="B696" s="1" t="n">
        <v>46010</v>
      </c>
      <c r="C696" s="1" t="n">
        <v>46093</v>
      </c>
      <c r="D696" t="inlineStr">
        <is>
          <t>VÄSTERNORRLANDS LÄN</t>
        </is>
      </c>
      <c r="E696" t="inlineStr">
        <is>
          <t>ÅNGE</t>
        </is>
      </c>
      <c r="G696" t="n">
        <v>2.1</v>
      </c>
      <c r="H696" t="n">
        <v>0</v>
      </c>
      <c r="I696" t="n">
        <v>0</v>
      </c>
      <c r="J696" t="n">
        <v>3</v>
      </c>
      <c r="K696" t="n">
        <v>0</v>
      </c>
      <c r="L696" t="n">
        <v>0</v>
      </c>
      <c r="M696" t="n">
        <v>0</v>
      </c>
      <c r="N696" t="n">
        <v>0</v>
      </c>
      <c r="O696" t="n">
        <v>3</v>
      </c>
      <c r="P696" t="n">
        <v>0</v>
      </c>
      <c r="Q696" t="n">
        <v>3</v>
      </c>
      <c r="R696" s="2" t="inlineStr">
        <is>
          <t>Garnlav
Granticka
Lunglav</t>
        </is>
      </c>
      <c r="S696">
        <f>HYPERLINK("https://klasma.github.io/Logging_2260/artfynd/A 63330-2025 artfynd.xlsx", "A 63330-2025")</f>
        <v/>
      </c>
      <c r="T696">
        <f>HYPERLINK("https://klasma.github.io/Logging_2260/kartor/A 63330-2025 karta.png", "A 63330-2025")</f>
        <v/>
      </c>
      <c r="V696">
        <f>HYPERLINK("https://klasma.github.io/Logging_2260/klagomål/A 63330-2025 FSC-klagomål.docx", "A 63330-2025")</f>
        <v/>
      </c>
      <c r="W696">
        <f>HYPERLINK("https://klasma.github.io/Logging_2260/klagomålsmail/A 63330-2025 FSC-klagomål mail.docx", "A 63330-2025")</f>
        <v/>
      </c>
      <c r="X696">
        <f>HYPERLINK("https://klasma.github.io/Logging_2260/tillsyn/A 63330-2025 tillsynsbegäran.docx", "A 63330-2025")</f>
        <v/>
      </c>
      <c r="Y696">
        <f>HYPERLINK("https://klasma.github.io/Logging_2260/tillsynsmail/A 63330-2025 tillsynsbegäran mail.docx", "A 63330-2025")</f>
        <v/>
      </c>
    </row>
    <row r="697" ht="15" customHeight="1">
      <c r="A697" t="inlineStr">
        <is>
          <t>A 23759-2025</t>
        </is>
      </c>
      <c r="B697" s="1" t="n">
        <v>45793.46409722222</v>
      </c>
      <c r="C697" s="1" t="n">
        <v>46093</v>
      </c>
      <c r="D697" t="inlineStr">
        <is>
          <t>VÄSTERNORRLANDS LÄN</t>
        </is>
      </c>
      <c r="E697" t="inlineStr">
        <is>
          <t>ÅNGE</t>
        </is>
      </c>
      <c r="F697" t="inlineStr">
        <is>
          <t>Sveaskog</t>
        </is>
      </c>
      <c r="G697" t="n">
        <v>5.2</v>
      </c>
      <c r="H697" t="n">
        <v>0</v>
      </c>
      <c r="I697" t="n">
        <v>1</v>
      </c>
      <c r="J697" t="n">
        <v>2</v>
      </c>
      <c r="K697" t="n">
        <v>0</v>
      </c>
      <c r="L697" t="n">
        <v>0</v>
      </c>
      <c r="M697" t="n">
        <v>0</v>
      </c>
      <c r="N697" t="n">
        <v>0</v>
      </c>
      <c r="O697" t="n">
        <v>2</v>
      </c>
      <c r="P697" t="n">
        <v>0</v>
      </c>
      <c r="Q697" t="n">
        <v>3</v>
      </c>
      <c r="R697" s="2" t="inlineStr">
        <is>
          <t>Lunglav
Skrovellav
Korallblylav</t>
        </is>
      </c>
      <c r="S697">
        <f>HYPERLINK("https://klasma.github.io/Logging_2260/artfynd/A 23759-2025 artfynd.xlsx", "A 23759-2025")</f>
        <v/>
      </c>
      <c r="T697">
        <f>HYPERLINK("https://klasma.github.io/Logging_2260/kartor/A 23759-2025 karta.png", "A 23759-2025")</f>
        <v/>
      </c>
      <c r="V697">
        <f>HYPERLINK("https://klasma.github.io/Logging_2260/klagomål/A 23759-2025 FSC-klagomål.docx", "A 23759-2025")</f>
        <v/>
      </c>
      <c r="W697">
        <f>HYPERLINK("https://klasma.github.io/Logging_2260/klagomålsmail/A 23759-2025 FSC-klagomål mail.docx", "A 23759-2025")</f>
        <v/>
      </c>
      <c r="X697">
        <f>HYPERLINK("https://klasma.github.io/Logging_2260/tillsyn/A 23759-2025 tillsynsbegäran.docx", "A 23759-2025")</f>
        <v/>
      </c>
      <c r="Y697">
        <f>HYPERLINK("https://klasma.github.io/Logging_2260/tillsynsmail/A 23759-2025 tillsynsbegäran mail.docx", "A 23759-2025")</f>
        <v/>
      </c>
    </row>
    <row r="698" ht="15" customHeight="1">
      <c r="A698" t="inlineStr">
        <is>
          <t>A 61676-2025</t>
        </is>
      </c>
      <c r="B698" s="1" t="n">
        <v>46002</v>
      </c>
      <c r="C698" s="1" t="n">
        <v>46093</v>
      </c>
      <c r="D698" t="inlineStr">
        <is>
          <t>VÄSTERNORRLANDS LÄN</t>
        </is>
      </c>
      <c r="E698" t="inlineStr">
        <is>
          <t>SOLLEFTEÅ</t>
        </is>
      </c>
      <c r="G698" t="n">
        <v>2.9</v>
      </c>
      <c r="H698" t="n">
        <v>1</v>
      </c>
      <c r="I698" t="n">
        <v>0</v>
      </c>
      <c r="J698" t="n">
        <v>3</v>
      </c>
      <c r="K698" t="n">
        <v>0</v>
      </c>
      <c r="L698" t="n">
        <v>0</v>
      </c>
      <c r="M698" t="n">
        <v>0</v>
      </c>
      <c r="N698" t="n">
        <v>0</v>
      </c>
      <c r="O698" t="n">
        <v>3</v>
      </c>
      <c r="P698" t="n">
        <v>0</v>
      </c>
      <c r="Q698" t="n">
        <v>3</v>
      </c>
      <c r="R698" s="2" t="inlineStr">
        <is>
          <t>Garnlav
Mörk kolflarnlav
Tretåig hackspett</t>
        </is>
      </c>
      <c r="S698">
        <f>HYPERLINK("https://klasma.github.io/Logging_2283/artfynd/A 61676-2025 artfynd.xlsx", "A 61676-2025")</f>
        <v/>
      </c>
      <c r="T698">
        <f>HYPERLINK("https://klasma.github.io/Logging_2283/kartor/A 61676-2025 karta.png", "A 61676-2025")</f>
        <v/>
      </c>
      <c r="V698">
        <f>HYPERLINK("https://klasma.github.io/Logging_2283/klagomål/A 61676-2025 FSC-klagomål.docx", "A 61676-2025")</f>
        <v/>
      </c>
      <c r="W698">
        <f>HYPERLINK("https://klasma.github.io/Logging_2283/klagomålsmail/A 61676-2025 FSC-klagomål mail.docx", "A 61676-2025")</f>
        <v/>
      </c>
      <c r="X698">
        <f>HYPERLINK("https://klasma.github.io/Logging_2283/tillsyn/A 61676-2025 tillsynsbegäran.docx", "A 61676-2025")</f>
        <v/>
      </c>
      <c r="Y698">
        <f>HYPERLINK("https://klasma.github.io/Logging_2283/tillsynsmail/A 61676-2025 tillsynsbegäran mail.docx", "A 61676-2025")</f>
        <v/>
      </c>
      <c r="Z698">
        <f>HYPERLINK("https://klasma.github.io/Logging_2283/fåglar/A 61676-2025 prioriterade fågelarter.docx", "A 61676-2025")</f>
        <v/>
      </c>
    </row>
    <row r="699" ht="15" customHeight="1">
      <c r="A699" t="inlineStr">
        <is>
          <t>A 24057-2025</t>
        </is>
      </c>
      <c r="B699" s="1" t="n">
        <v>45796.51077546296</v>
      </c>
      <c r="C699" s="1" t="n">
        <v>46093</v>
      </c>
      <c r="D699" t="inlineStr">
        <is>
          <t>VÄSTERNORRLANDS LÄN</t>
        </is>
      </c>
      <c r="E699" t="inlineStr">
        <is>
          <t>SUNDSVALL</t>
        </is>
      </c>
      <c r="F699" t="inlineStr">
        <is>
          <t>Naturvårdsverket</t>
        </is>
      </c>
      <c r="G699" t="n">
        <v>11.7</v>
      </c>
      <c r="H699" t="n">
        <v>1</v>
      </c>
      <c r="I699" t="n">
        <v>1</v>
      </c>
      <c r="J699" t="n">
        <v>1</v>
      </c>
      <c r="K699" t="n">
        <v>0</v>
      </c>
      <c r="L699" t="n">
        <v>0</v>
      </c>
      <c r="M699" t="n">
        <v>0</v>
      </c>
      <c r="N699" t="n">
        <v>0</v>
      </c>
      <c r="O699" t="n">
        <v>1</v>
      </c>
      <c r="P699" t="n">
        <v>0</v>
      </c>
      <c r="Q699" t="n">
        <v>3</v>
      </c>
      <c r="R699" s="2" t="inlineStr">
        <is>
          <t>Lunglav
Stuplav
Huggorm</t>
        </is>
      </c>
      <c r="S699">
        <f>HYPERLINK("https://klasma.github.io/Logging_2281/artfynd/A 24057-2025 artfynd.xlsx", "A 24057-2025")</f>
        <v/>
      </c>
      <c r="T699">
        <f>HYPERLINK("https://klasma.github.io/Logging_2281/kartor/A 24057-2025 karta.png", "A 24057-2025")</f>
        <v/>
      </c>
      <c r="V699">
        <f>HYPERLINK("https://klasma.github.io/Logging_2281/klagomål/A 24057-2025 FSC-klagomål.docx", "A 24057-2025")</f>
        <v/>
      </c>
      <c r="W699">
        <f>HYPERLINK("https://klasma.github.io/Logging_2281/klagomålsmail/A 24057-2025 FSC-klagomål mail.docx", "A 24057-2025")</f>
        <v/>
      </c>
      <c r="X699">
        <f>HYPERLINK("https://klasma.github.io/Logging_2281/tillsyn/A 24057-2025 tillsynsbegäran.docx", "A 24057-2025")</f>
        <v/>
      </c>
      <c r="Y699">
        <f>HYPERLINK("https://klasma.github.io/Logging_2281/tillsynsmail/A 24057-2025 tillsynsbegäran mail.docx", "A 24057-2025")</f>
        <v/>
      </c>
    </row>
    <row r="700" ht="15" customHeight="1">
      <c r="A700" t="inlineStr">
        <is>
          <t>A 55550-2024</t>
        </is>
      </c>
      <c r="B700" s="1" t="n">
        <v>45622</v>
      </c>
      <c r="C700" s="1" t="n">
        <v>46093</v>
      </c>
      <c r="D700" t="inlineStr">
        <is>
          <t>VÄSTERNORRLANDS LÄN</t>
        </is>
      </c>
      <c r="E700" t="inlineStr">
        <is>
          <t>SUNDSVALL</t>
        </is>
      </c>
      <c r="F700" t="inlineStr">
        <is>
          <t>SCA</t>
        </is>
      </c>
      <c r="G700" t="n">
        <v>4.4</v>
      </c>
      <c r="H700" t="n">
        <v>2</v>
      </c>
      <c r="I700" t="n">
        <v>1</v>
      </c>
      <c r="J700" t="n">
        <v>1</v>
      </c>
      <c r="K700" t="n">
        <v>1</v>
      </c>
      <c r="L700" t="n">
        <v>0</v>
      </c>
      <c r="M700" t="n">
        <v>0</v>
      </c>
      <c r="N700" t="n">
        <v>0</v>
      </c>
      <c r="O700" t="n">
        <v>2</v>
      </c>
      <c r="P700" t="n">
        <v>1</v>
      </c>
      <c r="Q700" t="n">
        <v>3</v>
      </c>
      <c r="R700" s="2" t="inlineStr">
        <is>
          <t>Knärot
Tretåig hackspett
Vedticka</t>
        </is>
      </c>
      <c r="S700">
        <f>HYPERLINK("https://klasma.github.io/Logging_2281/artfynd/A 55550-2024 artfynd.xlsx", "A 55550-2024")</f>
        <v/>
      </c>
      <c r="T700">
        <f>HYPERLINK("https://klasma.github.io/Logging_2281/kartor/A 55550-2024 karta.png", "A 55550-2024")</f>
        <v/>
      </c>
      <c r="U700">
        <f>HYPERLINK("https://klasma.github.io/Logging_2281/knärot/A 55550-2024 karta knärot.png", "A 55550-2024")</f>
        <v/>
      </c>
      <c r="V700">
        <f>HYPERLINK("https://klasma.github.io/Logging_2281/klagomål/A 55550-2024 FSC-klagomål.docx", "A 55550-2024")</f>
        <v/>
      </c>
      <c r="W700">
        <f>HYPERLINK("https://klasma.github.io/Logging_2281/klagomålsmail/A 55550-2024 FSC-klagomål mail.docx", "A 55550-2024")</f>
        <v/>
      </c>
      <c r="X700">
        <f>HYPERLINK("https://klasma.github.io/Logging_2281/tillsyn/A 55550-2024 tillsynsbegäran.docx", "A 55550-2024")</f>
        <v/>
      </c>
      <c r="Y700">
        <f>HYPERLINK("https://klasma.github.io/Logging_2281/tillsynsmail/A 55550-2024 tillsynsbegäran mail.docx", "A 55550-2024")</f>
        <v/>
      </c>
      <c r="Z700">
        <f>HYPERLINK("https://klasma.github.io/Logging_2281/fåglar/A 55550-2024 prioriterade fågelarter.docx", "A 55550-2024")</f>
        <v/>
      </c>
    </row>
    <row r="701" ht="15" customHeight="1">
      <c r="A701" t="inlineStr">
        <is>
          <t>A 24430-2025</t>
        </is>
      </c>
      <c r="B701" s="1" t="n">
        <v>45797</v>
      </c>
      <c r="C701" s="1" t="n">
        <v>46093</v>
      </c>
      <c r="D701" t="inlineStr">
        <is>
          <t>VÄSTERNORRLANDS LÄN</t>
        </is>
      </c>
      <c r="E701" t="inlineStr">
        <is>
          <t>TIMRÅ</t>
        </is>
      </c>
      <c r="F701" t="inlineStr">
        <is>
          <t>SCA</t>
        </is>
      </c>
      <c r="G701" t="n">
        <v>14</v>
      </c>
      <c r="H701" t="n">
        <v>0</v>
      </c>
      <c r="I701" t="n">
        <v>1</v>
      </c>
      <c r="J701" t="n">
        <v>2</v>
      </c>
      <c r="K701" t="n">
        <v>0</v>
      </c>
      <c r="L701" t="n">
        <v>0</v>
      </c>
      <c r="M701" t="n">
        <v>0</v>
      </c>
      <c r="N701" t="n">
        <v>0</v>
      </c>
      <c r="O701" t="n">
        <v>2</v>
      </c>
      <c r="P701" t="n">
        <v>0</v>
      </c>
      <c r="Q701" t="n">
        <v>3</v>
      </c>
      <c r="R701" s="2" t="inlineStr">
        <is>
          <t>Granticka
Lunglav
Stuplav</t>
        </is>
      </c>
      <c r="S701">
        <f>HYPERLINK("https://klasma.github.io/Logging_2262/artfynd/A 24430-2025 artfynd.xlsx", "A 24430-2025")</f>
        <v/>
      </c>
      <c r="T701">
        <f>HYPERLINK("https://klasma.github.io/Logging_2262/kartor/A 24430-2025 karta.png", "A 24430-2025")</f>
        <v/>
      </c>
      <c r="V701">
        <f>HYPERLINK("https://klasma.github.io/Logging_2262/klagomål/A 24430-2025 FSC-klagomål.docx", "A 24430-2025")</f>
        <v/>
      </c>
      <c r="W701">
        <f>HYPERLINK("https://klasma.github.io/Logging_2262/klagomålsmail/A 24430-2025 FSC-klagomål mail.docx", "A 24430-2025")</f>
        <v/>
      </c>
      <c r="X701">
        <f>HYPERLINK("https://klasma.github.io/Logging_2262/tillsyn/A 24430-2025 tillsynsbegäran.docx", "A 24430-2025")</f>
        <v/>
      </c>
      <c r="Y701">
        <f>HYPERLINK("https://klasma.github.io/Logging_2262/tillsynsmail/A 24430-2025 tillsynsbegäran mail.docx", "A 24430-2025")</f>
        <v/>
      </c>
    </row>
    <row r="702" ht="15" customHeight="1">
      <c r="A702" t="inlineStr">
        <is>
          <t>A 25009-2025</t>
        </is>
      </c>
      <c r="B702" s="1" t="n">
        <v>45799.62792824074</v>
      </c>
      <c r="C702" s="1" t="n">
        <v>46093</v>
      </c>
      <c r="D702" t="inlineStr">
        <is>
          <t>VÄSTERNORRLANDS LÄN</t>
        </is>
      </c>
      <c r="E702" t="inlineStr">
        <is>
          <t>ÖRNSKÖLDSVIK</t>
        </is>
      </c>
      <c r="F702" t="inlineStr">
        <is>
          <t>Holmen skog AB</t>
        </is>
      </c>
      <c r="G702" t="n">
        <v>6.5</v>
      </c>
      <c r="H702" t="n">
        <v>0</v>
      </c>
      <c r="I702" t="n">
        <v>0</v>
      </c>
      <c r="J702" t="n">
        <v>3</v>
      </c>
      <c r="K702" t="n">
        <v>0</v>
      </c>
      <c r="L702" t="n">
        <v>0</v>
      </c>
      <c r="M702" t="n">
        <v>0</v>
      </c>
      <c r="N702" t="n">
        <v>0</v>
      </c>
      <c r="O702" t="n">
        <v>3</v>
      </c>
      <c r="P702" t="n">
        <v>0</v>
      </c>
      <c r="Q702" t="n">
        <v>3</v>
      </c>
      <c r="R702" s="2" t="inlineStr">
        <is>
          <t>Garnlav
Kolflarnlav
Mörk kolflarnlav</t>
        </is>
      </c>
      <c r="S702">
        <f>HYPERLINK("https://klasma.github.io/Logging_2284/artfynd/A 25009-2025 artfynd.xlsx", "A 25009-2025")</f>
        <v/>
      </c>
      <c r="T702">
        <f>HYPERLINK("https://klasma.github.io/Logging_2284/kartor/A 25009-2025 karta.png", "A 25009-2025")</f>
        <v/>
      </c>
      <c r="V702">
        <f>HYPERLINK("https://klasma.github.io/Logging_2284/klagomål/A 25009-2025 FSC-klagomål.docx", "A 25009-2025")</f>
        <v/>
      </c>
      <c r="W702">
        <f>HYPERLINK("https://klasma.github.io/Logging_2284/klagomålsmail/A 25009-2025 FSC-klagomål mail.docx", "A 25009-2025")</f>
        <v/>
      </c>
      <c r="X702">
        <f>HYPERLINK("https://klasma.github.io/Logging_2284/tillsyn/A 25009-2025 tillsynsbegäran.docx", "A 25009-2025")</f>
        <v/>
      </c>
      <c r="Y702">
        <f>HYPERLINK("https://klasma.github.io/Logging_2284/tillsynsmail/A 25009-2025 tillsynsbegäran mail.docx", "A 25009-2025")</f>
        <v/>
      </c>
    </row>
    <row r="703" ht="15" customHeight="1">
      <c r="A703" t="inlineStr">
        <is>
          <t>A 22996-2023</t>
        </is>
      </c>
      <c r="B703" s="1" t="n">
        <v>45072</v>
      </c>
      <c r="C703" s="1" t="n">
        <v>46093</v>
      </c>
      <c r="D703" t="inlineStr">
        <is>
          <t>VÄSTERNORRLANDS LÄN</t>
        </is>
      </c>
      <c r="E703" t="inlineStr">
        <is>
          <t>ÅNGE</t>
        </is>
      </c>
      <c r="F703" t="inlineStr">
        <is>
          <t>SCA</t>
        </is>
      </c>
      <c r="G703" t="n">
        <v>2.2</v>
      </c>
      <c r="H703" t="n">
        <v>1</v>
      </c>
      <c r="I703" t="n">
        <v>0</v>
      </c>
      <c r="J703" t="n">
        <v>2</v>
      </c>
      <c r="K703" t="n">
        <v>1</v>
      </c>
      <c r="L703" t="n">
        <v>0</v>
      </c>
      <c r="M703" t="n">
        <v>0</v>
      </c>
      <c r="N703" t="n">
        <v>0</v>
      </c>
      <c r="O703" t="n">
        <v>3</v>
      </c>
      <c r="P703" t="n">
        <v>1</v>
      </c>
      <c r="Q703" t="n">
        <v>3</v>
      </c>
      <c r="R703" s="2" t="inlineStr">
        <is>
          <t>Knärot
Garnlav
Vedtrappmossa</t>
        </is>
      </c>
      <c r="S703">
        <f>HYPERLINK("https://klasma.github.io/Logging_2260/artfynd/A 22996-2023 artfynd.xlsx", "A 22996-2023")</f>
        <v/>
      </c>
      <c r="T703">
        <f>HYPERLINK("https://klasma.github.io/Logging_2260/kartor/A 22996-2023 karta.png", "A 22996-2023")</f>
        <v/>
      </c>
      <c r="U703">
        <f>HYPERLINK("https://klasma.github.io/Logging_2260/knärot/A 22996-2023 karta knärot.png", "A 22996-2023")</f>
        <v/>
      </c>
      <c r="V703">
        <f>HYPERLINK("https://klasma.github.io/Logging_2260/klagomål/A 22996-2023 FSC-klagomål.docx", "A 22996-2023")</f>
        <v/>
      </c>
      <c r="W703">
        <f>HYPERLINK("https://klasma.github.io/Logging_2260/klagomålsmail/A 22996-2023 FSC-klagomål mail.docx", "A 22996-2023")</f>
        <v/>
      </c>
      <c r="X703">
        <f>HYPERLINK("https://klasma.github.io/Logging_2260/tillsyn/A 22996-2023 tillsynsbegäran.docx", "A 22996-2023")</f>
        <v/>
      </c>
      <c r="Y703">
        <f>HYPERLINK("https://klasma.github.io/Logging_2260/tillsynsmail/A 22996-2023 tillsynsbegäran mail.docx", "A 22996-2023")</f>
        <v/>
      </c>
    </row>
    <row r="704" ht="15" customHeight="1">
      <c r="A704" t="inlineStr">
        <is>
          <t>A 3808-2026</t>
        </is>
      </c>
      <c r="B704" s="1" t="n">
        <v>46043.58349537037</v>
      </c>
      <c r="C704" s="1" t="n">
        <v>46093</v>
      </c>
      <c r="D704" t="inlineStr">
        <is>
          <t>VÄSTERNORRLANDS LÄN</t>
        </is>
      </c>
      <c r="E704" t="inlineStr">
        <is>
          <t>SOLLEFTEÅ</t>
        </is>
      </c>
      <c r="F704" t="inlineStr">
        <is>
          <t>SCA</t>
        </is>
      </c>
      <c r="G704" t="n">
        <v>1.6</v>
      </c>
      <c r="H704" t="n">
        <v>0</v>
      </c>
      <c r="I704" t="n">
        <v>0</v>
      </c>
      <c r="J704" t="n">
        <v>3</v>
      </c>
      <c r="K704" t="n">
        <v>0</v>
      </c>
      <c r="L704" t="n">
        <v>0</v>
      </c>
      <c r="M704" t="n">
        <v>0</v>
      </c>
      <c r="N704" t="n">
        <v>0</v>
      </c>
      <c r="O704" t="n">
        <v>3</v>
      </c>
      <c r="P704" t="n">
        <v>0</v>
      </c>
      <c r="Q704" t="n">
        <v>3</v>
      </c>
      <c r="R704" s="2" t="inlineStr">
        <is>
          <t>Dvärgbägarlav
Garnlav
Vedflamlav</t>
        </is>
      </c>
      <c r="S704">
        <f>HYPERLINK("https://klasma.github.io/Logging_2283/artfynd/A 3808-2026 artfynd.xlsx", "A 3808-2026")</f>
        <v/>
      </c>
      <c r="T704">
        <f>HYPERLINK("https://klasma.github.io/Logging_2283/kartor/A 3808-2026 karta.png", "A 3808-2026")</f>
        <v/>
      </c>
      <c r="V704">
        <f>HYPERLINK("https://klasma.github.io/Logging_2283/klagomål/A 3808-2026 FSC-klagomål.docx", "A 3808-2026")</f>
        <v/>
      </c>
      <c r="W704">
        <f>HYPERLINK("https://klasma.github.io/Logging_2283/klagomålsmail/A 3808-2026 FSC-klagomål mail.docx", "A 3808-2026")</f>
        <v/>
      </c>
      <c r="X704">
        <f>HYPERLINK("https://klasma.github.io/Logging_2283/tillsyn/A 3808-2026 tillsynsbegäran.docx", "A 3808-2026")</f>
        <v/>
      </c>
      <c r="Y704">
        <f>HYPERLINK("https://klasma.github.io/Logging_2283/tillsynsmail/A 3808-2026 tillsynsbegäran mail.docx", "A 3808-2026")</f>
        <v/>
      </c>
    </row>
    <row r="705" ht="15" customHeight="1">
      <c r="A705" t="inlineStr">
        <is>
          <t>A 56916-2025</t>
        </is>
      </c>
      <c r="B705" s="1" t="n">
        <v>45978</v>
      </c>
      <c r="C705" s="1" t="n">
        <v>46093</v>
      </c>
      <c r="D705" t="inlineStr">
        <is>
          <t>VÄSTERNORRLANDS LÄN</t>
        </is>
      </c>
      <c r="E705" t="inlineStr">
        <is>
          <t>TIMRÅ</t>
        </is>
      </c>
      <c r="G705" t="n">
        <v>1.3</v>
      </c>
      <c r="H705" t="n">
        <v>1</v>
      </c>
      <c r="I705" t="n">
        <v>0</v>
      </c>
      <c r="J705" t="n">
        <v>2</v>
      </c>
      <c r="K705" t="n">
        <v>1</v>
      </c>
      <c r="L705" t="n">
        <v>0</v>
      </c>
      <c r="M705" t="n">
        <v>0</v>
      </c>
      <c r="N705" t="n">
        <v>0</v>
      </c>
      <c r="O705" t="n">
        <v>3</v>
      </c>
      <c r="P705" t="n">
        <v>1</v>
      </c>
      <c r="Q705" t="n">
        <v>3</v>
      </c>
      <c r="R705" s="2" t="inlineStr">
        <is>
          <t>Vågticka
Mindre hackspett
Rödprick</t>
        </is>
      </c>
      <c r="S705">
        <f>HYPERLINK("https://klasma.github.io/Logging_2262/artfynd/A 56916-2025 artfynd.xlsx", "A 56916-2025")</f>
        <v/>
      </c>
      <c r="T705">
        <f>HYPERLINK("https://klasma.github.io/Logging_2262/kartor/A 56916-2025 karta.png", "A 56916-2025")</f>
        <v/>
      </c>
      <c r="V705">
        <f>HYPERLINK("https://klasma.github.io/Logging_2262/klagomål/A 56916-2025 FSC-klagomål.docx", "A 56916-2025")</f>
        <v/>
      </c>
      <c r="W705">
        <f>HYPERLINK("https://klasma.github.io/Logging_2262/klagomålsmail/A 56916-2025 FSC-klagomål mail.docx", "A 56916-2025")</f>
        <v/>
      </c>
      <c r="X705">
        <f>HYPERLINK("https://klasma.github.io/Logging_2262/tillsyn/A 56916-2025 tillsynsbegäran.docx", "A 56916-2025")</f>
        <v/>
      </c>
      <c r="Y705">
        <f>HYPERLINK("https://klasma.github.io/Logging_2262/tillsynsmail/A 56916-2025 tillsynsbegäran mail.docx", "A 56916-2025")</f>
        <v/>
      </c>
      <c r="Z705">
        <f>HYPERLINK("https://klasma.github.io/Logging_2262/fåglar/A 56916-2025 prioriterade fågelarter.docx", "A 56916-2025")</f>
        <v/>
      </c>
    </row>
    <row r="706" ht="15" customHeight="1">
      <c r="A706" t="inlineStr">
        <is>
          <t>A 10977-2026</t>
        </is>
      </c>
      <c r="B706" s="1" t="n">
        <v>46079</v>
      </c>
      <c r="C706" s="1" t="n">
        <v>46093</v>
      </c>
      <c r="D706" t="inlineStr">
        <is>
          <t>VÄSTERNORRLANDS LÄN</t>
        </is>
      </c>
      <c r="E706" t="inlineStr">
        <is>
          <t>SUNDSVALL</t>
        </is>
      </c>
      <c r="G706" t="n">
        <v>11.7</v>
      </c>
      <c r="H706" t="n">
        <v>2</v>
      </c>
      <c r="I706" t="n">
        <v>2</v>
      </c>
      <c r="J706" t="n">
        <v>0</v>
      </c>
      <c r="K706" t="n">
        <v>0</v>
      </c>
      <c r="L706" t="n">
        <v>0</v>
      </c>
      <c r="M706" t="n">
        <v>0</v>
      </c>
      <c r="N706" t="n">
        <v>0</v>
      </c>
      <c r="O706" t="n">
        <v>0</v>
      </c>
      <c r="P706" t="n">
        <v>0</v>
      </c>
      <c r="Q706" t="n">
        <v>3</v>
      </c>
      <c r="R706" s="2" t="inlineStr">
        <is>
          <t>Grönkulla
Vårärt
Nattviol</t>
        </is>
      </c>
      <c r="S706">
        <f>HYPERLINK("https://klasma.github.io/Logging_2281/artfynd/A 10977-2026 artfynd.xlsx", "A 10977-2026")</f>
        <v/>
      </c>
      <c r="T706">
        <f>HYPERLINK("https://klasma.github.io/Logging_2281/kartor/A 10977-2026 karta.png", "A 10977-2026")</f>
        <v/>
      </c>
      <c r="V706">
        <f>HYPERLINK("https://klasma.github.io/Logging_2281/klagomål/A 10977-2026 FSC-klagomål.docx", "A 10977-2026")</f>
        <v/>
      </c>
      <c r="W706">
        <f>HYPERLINK("https://klasma.github.io/Logging_2281/klagomålsmail/A 10977-2026 FSC-klagomål mail.docx", "A 10977-2026")</f>
        <v/>
      </c>
      <c r="X706">
        <f>HYPERLINK("https://klasma.github.io/Logging_2281/tillsyn/A 10977-2026 tillsynsbegäran.docx", "A 10977-2026")</f>
        <v/>
      </c>
      <c r="Y706">
        <f>HYPERLINK("https://klasma.github.io/Logging_2281/tillsynsmail/A 10977-2026 tillsynsbegäran mail.docx", "A 10977-2026")</f>
        <v/>
      </c>
    </row>
    <row r="707" ht="15" customHeight="1">
      <c r="A707" t="inlineStr">
        <is>
          <t>A 36127-2025</t>
        </is>
      </c>
      <c r="B707" s="1" t="n">
        <v>45866</v>
      </c>
      <c r="C707" s="1" t="n">
        <v>46093</v>
      </c>
      <c r="D707" t="inlineStr">
        <is>
          <t>VÄSTERNORRLANDS LÄN</t>
        </is>
      </c>
      <c r="E707" t="inlineStr">
        <is>
          <t>TIMRÅ</t>
        </is>
      </c>
      <c r="F707" t="inlineStr">
        <is>
          <t>SCA</t>
        </is>
      </c>
      <c r="G707" t="n">
        <v>1</v>
      </c>
      <c r="H707" t="n">
        <v>1</v>
      </c>
      <c r="I707" t="n">
        <v>0</v>
      </c>
      <c r="J707" t="n">
        <v>2</v>
      </c>
      <c r="K707" t="n">
        <v>1</v>
      </c>
      <c r="L707" t="n">
        <v>0</v>
      </c>
      <c r="M707" t="n">
        <v>0</v>
      </c>
      <c r="N707" t="n">
        <v>0</v>
      </c>
      <c r="O707" t="n">
        <v>3</v>
      </c>
      <c r="P707" t="n">
        <v>1</v>
      </c>
      <c r="Q707" t="n">
        <v>3</v>
      </c>
      <c r="R707" s="2" t="inlineStr">
        <is>
          <t>Knärot
Rosenticka
Violettgrå tagellav</t>
        </is>
      </c>
      <c r="S707">
        <f>HYPERLINK("https://klasma.github.io/Logging_2262/artfynd/A 36127-2025 artfynd.xlsx", "A 36127-2025")</f>
        <v/>
      </c>
      <c r="T707">
        <f>HYPERLINK("https://klasma.github.io/Logging_2262/kartor/A 36127-2025 karta.png", "A 36127-2025")</f>
        <v/>
      </c>
      <c r="U707">
        <f>HYPERLINK("https://klasma.github.io/Logging_2262/knärot/A 36127-2025 karta knärot.png", "A 36127-2025")</f>
        <v/>
      </c>
      <c r="V707">
        <f>HYPERLINK("https://klasma.github.io/Logging_2262/klagomål/A 36127-2025 FSC-klagomål.docx", "A 36127-2025")</f>
        <v/>
      </c>
      <c r="W707">
        <f>HYPERLINK("https://klasma.github.io/Logging_2262/klagomålsmail/A 36127-2025 FSC-klagomål mail.docx", "A 36127-2025")</f>
        <v/>
      </c>
      <c r="X707">
        <f>HYPERLINK("https://klasma.github.io/Logging_2262/tillsyn/A 36127-2025 tillsynsbegäran.docx", "A 36127-2025")</f>
        <v/>
      </c>
      <c r="Y707">
        <f>HYPERLINK("https://klasma.github.io/Logging_2262/tillsynsmail/A 36127-2025 tillsynsbegäran mail.docx", "A 36127-2025")</f>
        <v/>
      </c>
    </row>
    <row r="708" ht="15" customHeight="1">
      <c r="A708" t="inlineStr">
        <is>
          <t>A 26679-2025</t>
        </is>
      </c>
      <c r="B708" s="1" t="n">
        <v>45810</v>
      </c>
      <c r="C708" s="1" t="n">
        <v>46093</v>
      </c>
      <c r="D708" t="inlineStr">
        <is>
          <t>VÄSTERNORRLANDS LÄN</t>
        </is>
      </c>
      <c r="E708" t="inlineStr">
        <is>
          <t>ÅNGE</t>
        </is>
      </c>
      <c r="F708" t="inlineStr">
        <is>
          <t>SCA</t>
        </is>
      </c>
      <c r="G708" t="n">
        <v>5.9</v>
      </c>
      <c r="H708" t="n">
        <v>0</v>
      </c>
      <c r="I708" t="n">
        <v>1</v>
      </c>
      <c r="J708" t="n">
        <v>2</v>
      </c>
      <c r="K708" t="n">
        <v>0</v>
      </c>
      <c r="L708" t="n">
        <v>0</v>
      </c>
      <c r="M708" t="n">
        <v>0</v>
      </c>
      <c r="N708" t="n">
        <v>0</v>
      </c>
      <c r="O708" t="n">
        <v>2</v>
      </c>
      <c r="P708" t="n">
        <v>0</v>
      </c>
      <c r="Q708" t="n">
        <v>3</v>
      </c>
      <c r="R708" s="2" t="inlineStr">
        <is>
          <t>Garnlav
Lunglav
Rödgul trumpetsvamp</t>
        </is>
      </c>
      <c r="S708">
        <f>HYPERLINK("https://klasma.github.io/Logging_2260/artfynd/A 26679-2025 artfynd.xlsx", "A 26679-2025")</f>
        <v/>
      </c>
      <c r="T708">
        <f>HYPERLINK("https://klasma.github.io/Logging_2260/kartor/A 26679-2025 karta.png", "A 26679-2025")</f>
        <v/>
      </c>
      <c r="V708">
        <f>HYPERLINK("https://klasma.github.io/Logging_2260/klagomål/A 26679-2025 FSC-klagomål.docx", "A 26679-2025")</f>
        <v/>
      </c>
      <c r="W708">
        <f>HYPERLINK("https://klasma.github.io/Logging_2260/klagomålsmail/A 26679-2025 FSC-klagomål mail.docx", "A 26679-2025")</f>
        <v/>
      </c>
      <c r="X708">
        <f>HYPERLINK("https://klasma.github.io/Logging_2260/tillsyn/A 26679-2025 tillsynsbegäran.docx", "A 26679-2025")</f>
        <v/>
      </c>
      <c r="Y708">
        <f>HYPERLINK("https://klasma.github.io/Logging_2260/tillsynsmail/A 26679-2025 tillsynsbegäran mail.docx", "A 26679-2025")</f>
        <v/>
      </c>
    </row>
    <row r="709" ht="15" customHeight="1">
      <c r="A709" t="inlineStr">
        <is>
          <t>A 32256-2024</t>
        </is>
      </c>
      <c r="B709" s="1" t="n">
        <v>45511</v>
      </c>
      <c r="C709" s="1" t="n">
        <v>46093</v>
      </c>
      <c r="D709" t="inlineStr">
        <is>
          <t>VÄSTERNORRLANDS LÄN</t>
        </is>
      </c>
      <c r="E709" t="inlineStr">
        <is>
          <t>SOLLEFTEÅ</t>
        </is>
      </c>
      <c r="F709" t="inlineStr">
        <is>
          <t>SCA</t>
        </is>
      </c>
      <c r="G709" t="n">
        <v>3.9</v>
      </c>
      <c r="H709" t="n">
        <v>1</v>
      </c>
      <c r="I709" t="n">
        <v>1</v>
      </c>
      <c r="J709" t="n">
        <v>2</v>
      </c>
      <c r="K709" t="n">
        <v>0</v>
      </c>
      <c r="L709" t="n">
        <v>0</v>
      </c>
      <c r="M709" t="n">
        <v>0</v>
      </c>
      <c r="N709" t="n">
        <v>0</v>
      </c>
      <c r="O709" t="n">
        <v>2</v>
      </c>
      <c r="P709" t="n">
        <v>0</v>
      </c>
      <c r="Q709" t="n">
        <v>3</v>
      </c>
      <c r="R709" s="2" t="inlineStr">
        <is>
          <t>Tretåig hackspett
Vedtrappmossa
Fjällig taggsvamp s.str.</t>
        </is>
      </c>
      <c r="S709">
        <f>HYPERLINK("https://klasma.github.io/Logging_2283/artfynd/A 32256-2024 artfynd.xlsx", "A 32256-2024")</f>
        <v/>
      </c>
      <c r="T709">
        <f>HYPERLINK("https://klasma.github.io/Logging_2283/kartor/A 32256-2024 karta.png", "A 32256-2024")</f>
        <v/>
      </c>
      <c r="V709">
        <f>HYPERLINK("https://klasma.github.io/Logging_2283/klagomål/A 32256-2024 FSC-klagomål.docx", "A 32256-2024")</f>
        <v/>
      </c>
      <c r="W709">
        <f>HYPERLINK("https://klasma.github.io/Logging_2283/klagomålsmail/A 32256-2024 FSC-klagomål mail.docx", "A 32256-2024")</f>
        <v/>
      </c>
      <c r="X709">
        <f>HYPERLINK("https://klasma.github.io/Logging_2283/tillsyn/A 32256-2024 tillsynsbegäran.docx", "A 32256-2024")</f>
        <v/>
      </c>
      <c r="Y709">
        <f>HYPERLINK("https://klasma.github.io/Logging_2283/tillsynsmail/A 32256-2024 tillsynsbegäran mail.docx", "A 32256-2024")</f>
        <v/>
      </c>
      <c r="Z709">
        <f>HYPERLINK("https://klasma.github.io/Logging_2283/fåglar/A 32256-2024 prioriterade fågelarter.docx", "A 32256-2024")</f>
        <v/>
      </c>
    </row>
    <row r="710" ht="15" customHeight="1">
      <c r="A710" t="inlineStr">
        <is>
          <t>A 27307-2025</t>
        </is>
      </c>
      <c r="B710" s="1" t="n">
        <v>45812.57344907407</v>
      </c>
      <c r="C710" s="1" t="n">
        <v>46093</v>
      </c>
      <c r="D710" t="inlineStr">
        <is>
          <t>VÄSTERNORRLANDS LÄN</t>
        </is>
      </c>
      <c r="E710" t="inlineStr">
        <is>
          <t>TIMRÅ</t>
        </is>
      </c>
      <c r="F710" t="inlineStr">
        <is>
          <t>SCA</t>
        </is>
      </c>
      <c r="G710" t="n">
        <v>1.9</v>
      </c>
      <c r="H710" t="n">
        <v>0</v>
      </c>
      <c r="I710" t="n">
        <v>1</v>
      </c>
      <c r="J710" t="n">
        <v>2</v>
      </c>
      <c r="K710" t="n">
        <v>0</v>
      </c>
      <c r="L710" t="n">
        <v>0</v>
      </c>
      <c r="M710" t="n">
        <v>0</v>
      </c>
      <c r="N710" t="n">
        <v>0</v>
      </c>
      <c r="O710" t="n">
        <v>2</v>
      </c>
      <c r="P710" t="n">
        <v>0</v>
      </c>
      <c r="Q710" t="n">
        <v>3</v>
      </c>
      <c r="R710" s="2" t="inlineStr">
        <is>
          <t>Lunglav
Skrovellav
Stuplav</t>
        </is>
      </c>
      <c r="S710">
        <f>HYPERLINK("https://klasma.github.io/Logging_2262/artfynd/A 27307-2025 artfynd.xlsx", "A 27307-2025")</f>
        <v/>
      </c>
      <c r="T710">
        <f>HYPERLINK("https://klasma.github.io/Logging_2262/kartor/A 27307-2025 karta.png", "A 27307-2025")</f>
        <v/>
      </c>
      <c r="V710">
        <f>HYPERLINK("https://klasma.github.io/Logging_2262/klagomål/A 27307-2025 FSC-klagomål.docx", "A 27307-2025")</f>
        <v/>
      </c>
      <c r="W710">
        <f>HYPERLINK("https://klasma.github.io/Logging_2262/klagomålsmail/A 27307-2025 FSC-klagomål mail.docx", "A 27307-2025")</f>
        <v/>
      </c>
      <c r="X710">
        <f>HYPERLINK("https://klasma.github.io/Logging_2262/tillsyn/A 27307-2025 tillsynsbegäran.docx", "A 27307-2025")</f>
        <v/>
      </c>
      <c r="Y710">
        <f>HYPERLINK("https://klasma.github.io/Logging_2262/tillsynsmail/A 27307-2025 tillsynsbegäran mail.docx", "A 27307-2025")</f>
        <v/>
      </c>
    </row>
    <row r="711" ht="15" customHeight="1">
      <c r="A711" t="inlineStr">
        <is>
          <t>A 27337-2025</t>
        </is>
      </c>
      <c r="B711" s="1" t="n">
        <v>45812.6150462963</v>
      </c>
      <c r="C711" s="1" t="n">
        <v>46093</v>
      </c>
      <c r="D711" t="inlineStr">
        <is>
          <t>VÄSTERNORRLANDS LÄN</t>
        </is>
      </c>
      <c r="E711" t="inlineStr">
        <is>
          <t>TIMRÅ</t>
        </is>
      </c>
      <c r="F711" t="inlineStr">
        <is>
          <t>SCA</t>
        </is>
      </c>
      <c r="G711" t="n">
        <v>1.3</v>
      </c>
      <c r="H711" t="n">
        <v>0</v>
      </c>
      <c r="I711" t="n">
        <v>1</v>
      </c>
      <c r="J711" t="n">
        <v>2</v>
      </c>
      <c r="K711" t="n">
        <v>0</v>
      </c>
      <c r="L711" t="n">
        <v>0</v>
      </c>
      <c r="M711" t="n">
        <v>0</v>
      </c>
      <c r="N711" t="n">
        <v>0</v>
      </c>
      <c r="O711" t="n">
        <v>2</v>
      </c>
      <c r="P711" t="n">
        <v>0</v>
      </c>
      <c r="Q711" t="n">
        <v>3</v>
      </c>
      <c r="R711" s="2" t="inlineStr">
        <is>
          <t>Granticka
Ullticka
Vedticka</t>
        </is>
      </c>
      <c r="S711">
        <f>HYPERLINK("https://klasma.github.io/Logging_2262/artfynd/A 27337-2025 artfynd.xlsx", "A 27337-2025")</f>
        <v/>
      </c>
      <c r="T711">
        <f>HYPERLINK("https://klasma.github.io/Logging_2262/kartor/A 27337-2025 karta.png", "A 27337-2025")</f>
        <v/>
      </c>
      <c r="V711">
        <f>HYPERLINK("https://klasma.github.io/Logging_2262/klagomål/A 27337-2025 FSC-klagomål.docx", "A 27337-2025")</f>
        <v/>
      </c>
      <c r="W711">
        <f>HYPERLINK("https://klasma.github.io/Logging_2262/klagomålsmail/A 27337-2025 FSC-klagomål mail.docx", "A 27337-2025")</f>
        <v/>
      </c>
      <c r="X711">
        <f>HYPERLINK("https://klasma.github.io/Logging_2262/tillsyn/A 27337-2025 tillsynsbegäran.docx", "A 27337-2025")</f>
        <v/>
      </c>
      <c r="Y711">
        <f>HYPERLINK("https://klasma.github.io/Logging_2262/tillsynsmail/A 27337-2025 tillsynsbegäran mail.docx", "A 27337-2025")</f>
        <v/>
      </c>
    </row>
    <row r="712" ht="15" customHeight="1">
      <c r="A712" t="inlineStr">
        <is>
          <t>A 16307-2025</t>
        </is>
      </c>
      <c r="B712" s="1" t="n">
        <v>45751.34686342593</v>
      </c>
      <c r="C712" s="1" t="n">
        <v>46093</v>
      </c>
      <c r="D712" t="inlineStr">
        <is>
          <t>VÄSTERNORRLANDS LÄN</t>
        </is>
      </c>
      <c r="E712" t="inlineStr">
        <is>
          <t>ÅNGE</t>
        </is>
      </c>
      <c r="F712" t="inlineStr">
        <is>
          <t>SCA</t>
        </is>
      </c>
      <c r="G712" t="n">
        <v>12.3</v>
      </c>
      <c r="H712" t="n">
        <v>1</v>
      </c>
      <c r="I712" t="n">
        <v>2</v>
      </c>
      <c r="J712" t="n">
        <v>0</v>
      </c>
      <c r="K712" t="n">
        <v>0</v>
      </c>
      <c r="L712" t="n">
        <v>0</v>
      </c>
      <c r="M712" t="n">
        <v>0</v>
      </c>
      <c r="N712" t="n">
        <v>0</v>
      </c>
      <c r="O712" t="n">
        <v>0</v>
      </c>
      <c r="P712" t="n">
        <v>0</v>
      </c>
      <c r="Q712" t="n">
        <v>3</v>
      </c>
      <c r="R712" s="2" t="inlineStr">
        <is>
          <t>Stor aspticka
Vårärt
Blåsippa</t>
        </is>
      </c>
      <c r="S712">
        <f>HYPERLINK("https://klasma.github.io/Logging_2260/artfynd/A 16307-2025 artfynd.xlsx", "A 16307-2025")</f>
        <v/>
      </c>
      <c r="T712">
        <f>HYPERLINK("https://klasma.github.io/Logging_2260/kartor/A 16307-2025 karta.png", "A 16307-2025")</f>
        <v/>
      </c>
      <c r="V712">
        <f>HYPERLINK("https://klasma.github.io/Logging_2260/klagomål/A 16307-2025 FSC-klagomål.docx", "A 16307-2025")</f>
        <v/>
      </c>
      <c r="W712">
        <f>HYPERLINK("https://klasma.github.io/Logging_2260/klagomålsmail/A 16307-2025 FSC-klagomål mail.docx", "A 16307-2025")</f>
        <v/>
      </c>
      <c r="X712">
        <f>HYPERLINK("https://klasma.github.io/Logging_2260/tillsyn/A 16307-2025 tillsynsbegäran.docx", "A 16307-2025")</f>
        <v/>
      </c>
      <c r="Y712">
        <f>HYPERLINK("https://klasma.github.io/Logging_2260/tillsynsmail/A 16307-2025 tillsynsbegäran mail.docx", "A 16307-2025")</f>
        <v/>
      </c>
    </row>
    <row r="713" ht="15" customHeight="1">
      <c r="A713" t="inlineStr">
        <is>
          <t>A 28158-2025</t>
        </is>
      </c>
      <c r="B713" s="1" t="n">
        <v>45818.36548611111</v>
      </c>
      <c r="C713" s="1" t="n">
        <v>46093</v>
      </c>
      <c r="D713" t="inlineStr">
        <is>
          <t>VÄSTERNORRLANDS LÄN</t>
        </is>
      </c>
      <c r="E713" t="inlineStr">
        <is>
          <t>KRAMFORS</t>
        </is>
      </c>
      <c r="F713" t="inlineStr">
        <is>
          <t>SCA</t>
        </is>
      </c>
      <c r="G713" t="n">
        <v>2.9</v>
      </c>
      <c r="H713" t="n">
        <v>0</v>
      </c>
      <c r="I713" t="n">
        <v>1</v>
      </c>
      <c r="J713" t="n">
        <v>2</v>
      </c>
      <c r="K713" t="n">
        <v>0</v>
      </c>
      <c r="L713" t="n">
        <v>0</v>
      </c>
      <c r="M713" t="n">
        <v>0</v>
      </c>
      <c r="N713" t="n">
        <v>0</v>
      </c>
      <c r="O713" t="n">
        <v>2</v>
      </c>
      <c r="P713" t="n">
        <v>0</v>
      </c>
      <c r="Q713" t="n">
        <v>3</v>
      </c>
      <c r="R713" s="2" t="inlineStr">
        <is>
          <t>Lunglav
Ullticka
Vedticka</t>
        </is>
      </c>
      <c r="S713">
        <f>HYPERLINK("https://klasma.github.io/Logging_2282/artfynd/A 28158-2025 artfynd.xlsx", "A 28158-2025")</f>
        <v/>
      </c>
      <c r="T713">
        <f>HYPERLINK("https://klasma.github.io/Logging_2282/kartor/A 28158-2025 karta.png", "A 28158-2025")</f>
        <v/>
      </c>
      <c r="V713">
        <f>HYPERLINK("https://klasma.github.io/Logging_2282/klagomål/A 28158-2025 FSC-klagomål.docx", "A 28158-2025")</f>
        <v/>
      </c>
      <c r="W713">
        <f>HYPERLINK("https://klasma.github.io/Logging_2282/klagomålsmail/A 28158-2025 FSC-klagomål mail.docx", "A 28158-2025")</f>
        <v/>
      </c>
      <c r="X713">
        <f>HYPERLINK("https://klasma.github.io/Logging_2282/tillsyn/A 28158-2025 tillsynsbegäran.docx", "A 28158-2025")</f>
        <v/>
      </c>
      <c r="Y713">
        <f>HYPERLINK("https://klasma.github.io/Logging_2282/tillsynsmail/A 28158-2025 tillsynsbegäran mail.docx", "A 28158-2025")</f>
        <v/>
      </c>
    </row>
    <row r="714" ht="15" customHeight="1">
      <c r="A714" t="inlineStr">
        <is>
          <t>A 36160-2025</t>
        </is>
      </c>
      <c r="B714" s="1" t="n">
        <v>45867</v>
      </c>
      <c r="C714" s="1" t="n">
        <v>46093</v>
      </c>
      <c r="D714" t="inlineStr">
        <is>
          <t>VÄSTERNORRLANDS LÄN</t>
        </is>
      </c>
      <c r="E714" t="inlineStr">
        <is>
          <t>TIMRÅ</t>
        </is>
      </c>
      <c r="F714" t="inlineStr">
        <is>
          <t>SCA</t>
        </is>
      </c>
      <c r="G714" t="n">
        <v>2.5</v>
      </c>
      <c r="H714" t="n">
        <v>0</v>
      </c>
      <c r="I714" t="n">
        <v>0</v>
      </c>
      <c r="J714" t="n">
        <v>3</v>
      </c>
      <c r="K714" t="n">
        <v>0</v>
      </c>
      <c r="L714" t="n">
        <v>0</v>
      </c>
      <c r="M714" t="n">
        <v>0</v>
      </c>
      <c r="N714" t="n">
        <v>0</v>
      </c>
      <c r="O714" t="n">
        <v>3</v>
      </c>
      <c r="P714" t="n">
        <v>0</v>
      </c>
      <c r="Q714" t="n">
        <v>3</v>
      </c>
      <c r="R714" s="2" t="inlineStr">
        <is>
          <t>Garnlav
Rosenticka
Ullticka</t>
        </is>
      </c>
      <c r="S714">
        <f>HYPERLINK("https://klasma.github.io/Logging_2262/artfynd/A 36160-2025 artfynd.xlsx", "A 36160-2025")</f>
        <v/>
      </c>
      <c r="T714">
        <f>HYPERLINK("https://klasma.github.io/Logging_2262/kartor/A 36160-2025 karta.png", "A 36160-2025")</f>
        <v/>
      </c>
      <c r="V714">
        <f>HYPERLINK("https://klasma.github.io/Logging_2262/klagomål/A 36160-2025 FSC-klagomål.docx", "A 36160-2025")</f>
        <v/>
      </c>
      <c r="W714">
        <f>HYPERLINK("https://klasma.github.io/Logging_2262/klagomålsmail/A 36160-2025 FSC-klagomål mail.docx", "A 36160-2025")</f>
        <v/>
      </c>
      <c r="X714">
        <f>HYPERLINK("https://klasma.github.io/Logging_2262/tillsyn/A 36160-2025 tillsynsbegäran.docx", "A 36160-2025")</f>
        <v/>
      </c>
      <c r="Y714">
        <f>HYPERLINK("https://klasma.github.io/Logging_2262/tillsynsmail/A 36160-2025 tillsynsbegäran mail.docx", "A 36160-2025")</f>
        <v/>
      </c>
    </row>
    <row r="715" ht="15" customHeight="1">
      <c r="A715" t="inlineStr">
        <is>
          <t>A 30684-2025</t>
        </is>
      </c>
      <c r="B715" s="1" t="n">
        <v>45831.53170138889</v>
      </c>
      <c r="C715" s="1" t="n">
        <v>46093</v>
      </c>
      <c r="D715" t="inlineStr">
        <is>
          <t>VÄSTERNORRLANDS LÄN</t>
        </is>
      </c>
      <c r="E715" t="inlineStr">
        <is>
          <t>SUNDSVALL</t>
        </is>
      </c>
      <c r="F715" t="inlineStr">
        <is>
          <t>SCA</t>
        </is>
      </c>
      <c r="G715" t="n">
        <v>3</v>
      </c>
      <c r="H715" t="n">
        <v>0</v>
      </c>
      <c r="I715" t="n">
        <v>2</v>
      </c>
      <c r="J715" t="n">
        <v>1</v>
      </c>
      <c r="K715" t="n">
        <v>0</v>
      </c>
      <c r="L715" t="n">
        <v>0</v>
      </c>
      <c r="M715" t="n">
        <v>0</v>
      </c>
      <c r="N715" t="n">
        <v>0</v>
      </c>
      <c r="O715" t="n">
        <v>1</v>
      </c>
      <c r="P715" t="n">
        <v>0</v>
      </c>
      <c r="Q715" t="n">
        <v>3</v>
      </c>
      <c r="R715" s="2" t="inlineStr">
        <is>
          <t>Ullticka
Stuplav
Vedticka</t>
        </is>
      </c>
      <c r="S715">
        <f>HYPERLINK("https://klasma.github.io/Logging_2281/artfynd/A 30684-2025 artfynd.xlsx", "A 30684-2025")</f>
        <v/>
      </c>
      <c r="T715">
        <f>HYPERLINK("https://klasma.github.io/Logging_2281/kartor/A 30684-2025 karta.png", "A 30684-2025")</f>
        <v/>
      </c>
      <c r="U715">
        <f>HYPERLINK("https://klasma.github.io/Logging_2281/knärot/A 30684-2025 karta knärot.png", "A 30684-2025")</f>
        <v/>
      </c>
      <c r="V715">
        <f>HYPERLINK("https://klasma.github.io/Logging_2281/klagomål/A 30684-2025 FSC-klagomål.docx", "A 30684-2025")</f>
        <v/>
      </c>
      <c r="W715">
        <f>HYPERLINK("https://klasma.github.io/Logging_2281/klagomålsmail/A 30684-2025 FSC-klagomål mail.docx", "A 30684-2025")</f>
        <v/>
      </c>
      <c r="X715">
        <f>HYPERLINK("https://klasma.github.io/Logging_2281/tillsyn/A 30684-2025 tillsynsbegäran.docx", "A 30684-2025")</f>
        <v/>
      </c>
      <c r="Y715">
        <f>HYPERLINK("https://klasma.github.io/Logging_2281/tillsynsmail/A 30684-2025 tillsynsbegäran mail.docx", "A 30684-2025")</f>
        <v/>
      </c>
    </row>
    <row r="716" ht="15" customHeight="1">
      <c r="A716" t="inlineStr">
        <is>
          <t>A 31212-2025</t>
        </is>
      </c>
      <c r="B716" s="1" t="n">
        <v>45832.71978009259</v>
      </c>
      <c r="C716" s="1" t="n">
        <v>46093</v>
      </c>
      <c r="D716" t="inlineStr">
        <is>
          <t>VÄSTERNORRLANDS LÄN</t>
        </is>
      </c>
      <c r="E716" t="inlineStr">
        <is>
          <t>ÅNGE</t>
        </is>
      </c>
      <c r="F716" t="inlineStr">
        <is>
          <t>SCA</t>
        </is>
      </c>
      <c r="G716" t="n">
        <v>1.6</v>
      </c>
      <c r="H716" t="n">
        <v>0</v>
      </c>
      <c r="I716" t="n">
        <v>2</v>
      </c>
      <c r="J716" t="n">
        <v>1</v>
      </c>
      <c r="K716" t="n">
        <v>0</v>
      </c>
      <c r="L716" t="n">
        <v>0</v>
      </c>
      <c r="M716" t="n">
        <v>0</v>
      </c>
      <c r="N716" t="n">
        <v>0</v>
      </c>
      <c r="O716" t="n">
        <v>1</v>
      </c>
      <c r="P716" t="n">
        <v>0</v>
      </c>
      <c r="Q716" t="n">
        <v>3</v>
      </c>
      <c r="R716" s="2" t="inlineStr">
        <is>
          <t>Ullticka
Barkticka
Korallblylav</t>
        </is>
      </c>
      <c r="S716">
        <f>HYPERLINK("https://klasma.github.io/Logging_2260/artfynd/A 31212-2025 artfynd.xlsx", "A 31212-2025")</f>
        <v/>
      </c>
      <c r="T716">
        <f>HYPERLINK("https://klasma.github.io/Logging_2260/kartor/A 31212-2025 karta.png", "A 31212-2025")</f>
        <v/>
      </c>
      <c r="V716">
        <f>HYPERLINK("https://klasma.github.io/Logging_2260/klagomål/A 31212-2025 FSC-klagomål.docx", "A 31212-2025")</f>
        <v/>
      </c>
      <c r="W716">
        <f>HYPERLINK("https://klasma.github.io/Logging_2260/klagomålsmail/A 31212-2025 FSC-klagomål mail.docx", "A 31212-2025")</f>
        <v/>
      </c>
      <c r="X716">
        <f>HYPERLINK("https://klasma.github.io/Logging_2260/tillsyn/A 31212-2025 tillsynsbegäran.docx", "A 31212-2025")</f>
        <v/>
      </c>
      <c r="Y716">
        <f>HYPERLINK("https://klasma.github.io/Logging_2260/tillsynsmail/A 31212-2025 tillsynsbegäran mail.docx", "A 31212-2025")</f>
        <v/>
      </c>
    </row>
    <row r="717" ht="15" customHeight="1">
      <c r="A717" t="inlineStr">
        <is>
          <t>A 32070-2025</t>
        </is>
      </c>
      <c r="B717" s="1" t="n">
        <v>45835.44885416667</v>
      </c>
      <c r="C717" s="1" t="n">
        <v>46093</v>
      </c>
      <c r="D717" t="inlineStr">
        <is>
          <t>VÄSTERNORRLANDS LÄN</t>
        </is>
      </c>
      <c r="E717" t="inlineStr">
        <is>
          <t>SOLLEFTEÅ</t>
        </is>
      </c>
      <c r="F717" t="inlineStr">
        <is>
          <t>SCA</t>
        </is>
      </c>
      <c r="G717" t="n">
        <v>6.4</v>
      </c>
      <c r="H717" t="n">
        <v>0</v>
      </c>
      <c r="I717" t="n">
        <v>1</v>
      </c>
      <c r="J717" t="n">
        <v>1</v>
      </c>
      <c r="K717" t="n">
        <v>1</v>
      </c>
      <c r="L717" t="n">
        <v>0</v>
      </c>
      <c r="M717" t="n">
        <v>0</v>
      </c>
      <c r="N717" t="n">
        <v>0</v>
      </c>
      <c r="O717" t="n">
        <v>2</v>
      </c>
      <c r="P717" t="n">
        <v>1</v>
      </c>
      <c r="Q717" t="n">
        <v>3</v>
      </c>
      <c r="R717" s="2" t="inlineStr">
        <is>
          <t>Rynkskinn
Garnlav
Vedticka</t>
        </is>
      </c>
      <c r="S717">
        <f>HYPERLINK("https://klasma.github.io/Logging_2283/artfynd/A 32070-2025 artfynd.xlsx", "A 32070-2025")</f>
        <v/>
      </c>
      <c r="T717">
        <f>HYPERLINK("https://klasma.github.io/Logging_2283/kartor/A 32070-2025 karta.png", "A 32070-2025")</f>
        <v/>
      </c>
      <c r="V717">
        <f>HYPERLINK("https://klasma.github.io/Logging_2283/klagomål/A 32070-2025 FSC-klagomål.docx", "A 32070-2025")</f>
        <v/>
      </c>
      <c r="W717">
        <f>HYPERLINK("https://klasma.github.io/Logging_2283/klagomålsmail/A 32070-2025 FSC-klagomål mail.docx", "A 32070-2025")</f>
        <v/>
      </c>
      <c r="X717">
        <f>HYPERLINK("https://klasma.github.io/Logging_2283/tillsyn/A 32070-2025 tillsynsbegäran.docx", "A 32070-2025")</f>
        <v/>
      </c>
      <c r="Y717">
        <f>HYPERLINK("https://klasma.github.io/Logging_2283/tillsynsmail/A 32070-2025 tillsynsbegäran mail.docx", "A 32070-2025")</f>
        <v/>
      </c>
    </row>
    <row r="718" ht="15" customHeight="1">
      <c r="A718" t="inlineStr">
        <is>
          <t>A 32364-2025</t>
        </is>
      </c>
      <c r="B718" s="1" t="n">
        <v>45837.6565625</v>
      </c>
      <c r="C718" s="1" t="n">
        <v>46093</v>
      </c>
      <c r="D718" t="inlineStr">
        <is>
          <t>VÄSTERNORRLANDS LÄN</t>
        </is>
      </c>
      <c r="E718" t="inlineStr">
        <is>
          <t>TIMRÅ</t>
        </is>
      </c>
      <c r="F718" t="inlineStr">
        <is>
          <t>SCA</t>
        </is>
      </c>
      <c r="G718" t="n">
        <v>4.1</v>
      </c>
      <c r="H718" t="n">
        <v>0</v>
      </c>
      <c r="I718" t="n">
        <v>0</v>
      </c>
      <c r="J718" t="n">
        <v>3</v>
      </c>
      <c r="K718" t="n">
        <v>0</v>
      </c>
      <c r="L718" t="n">
        <v>0</v>
      </c>
      <c r="M718" t="n">
        <v>0</v>
      </c>
      <c r="N718" t="n">
        <v>0</v>
      </c>
      <c r="O718" t="n">
        <v>3</v>
      </c>
      <c r="P718" t="n">
        <v>0</v>
      </c>
      <c r="Q718" t="n">
        <v>3</v>
      </c>
      <c r="R718" s="2" t="inlineStr">
        <is>
          <t>Doftskinn
Gammelgransskål
Garnlav</t>
        </is>
      </c>
      <c r="S718">
        <f>HYPERLINK("https://klasma.github.io/Logging_2262/artfynd/A 32364-2025 artfynd.xlsx", "A 32364-2025")</f>
        <v/>
      </c>
      <c r="T718">
        <f>HYPERLINK("https://klasma.github.io/Logging_2262/kartor/A 32364-2025 karta.png", "A 32364-2025")</f>
        <v/>
      </c>
      <c r="V718">
        <f>HYPERLINK("https://klasma.github.io/Logging_2262/klagomål/A 32364-2025 FSC-klagomål.docx", "A 32364-2025")</f>
        <v/>
      </c>
      <c r="W718">
        <f>HYPERLINK("https://klasma.github.io/Logging_2262/klagomålsmail/A 32364-2025 FSC-klagomål mail.docx", "A 32364-2025")</f>
        <v/>
      </c>
      <c r="X718">
        <f>HYPERLINK("https://klasma.github.io/Logging_2262/tillsyn/A 32364-2025 tillsynsbegäran.docx", "A 32364-2025")</f>
        <v/>
      </c>
      <c r="Y718">
        <f>HYPERLINK("https://klasma.github.io/Logging_2262/tillsynsmail/A 32364-2025 tillsynsbegäran mail.docx", "A 32364-2025")</f>
        <v/>
      </c>
    </row>
    <row r="719" ht="15" customHeight="1">
      <c r="A719" t="inlineStr">
        <is>
          <t>A 33759-2025</t>
        </is>
      </c>
      <c r="B719" s="1" t="n">
        <v>45842.38101851852</v>
      </c>
      <c r="C719" s="1" t="n">
        <v>46093</v>
      </c>
      <c r="D719" t="inlineStr">
        <is>
          <t>VÄSTERNORRLANDS LÄN</t>
        </is>
      </c>
      <c r="E719" t="inlineStr">
        <is>
          <t>ÖRNSKÖLDSVIK</t>
        </is>
      </c>
      <c r="F719" t="inlineStr">
        <is>
          <t>Holmen skog AB</t>
        </is>
      </c>
      <c r="G719" t="n">
        <v>23.1</v>
      </c>
      <c r="H719" t="n">
        <v>0</v>
      </c>
      <c r="I719" t="n">
        <v>1</v>
      </c>
      <c r="J719" t="n">
        <v>2</v>
      </c>
      <c r="K719" t="n">
        <v>0</v>
      </c>
      <c r="L719" t="n">
        <v>0</v>
      </c>
      <c r="M719" t="n">
        <v>0</v>
      </c>
      <c r="N719" t="n">
        <v>0</v>
      </c>
      <c r="O719" t="n">
        <v>2</v>
      </c>
      <c r="P719" t="n">
        <v>0</v>
      </c>
      <c r="Q719" t="n">
        <v>3</v>
      </c>
      <c r="R719" s="2" t="inlineStr">
        <is>
          <t>Kolflarnlav
Lunglav
Stuplav</t>
        </is>
      </c>
      <c r="S719">
        <f>HYPERLINK("https://klasma.github.io/Logging_2284/artfynd/A 33759-2025 artfynd.xlsx", "A 33759-2025")</f>
        <v/>
      </c>
      <c r="T719">
        <f>HYPERLINK("https://klasma.github.io/Logging_2284/kartor/A 33759-2025 karta.png", "A 33759-2025")</f>
        <v/>
      </c>
      <c r="V719">
        <f>HYPERLINK("https://klasma.github.io/Logging_2284/klagomål/A 33759-2025 FSC-klagomål.docx", "A 33759-2025")</f>
        <v/>
      </c>
      <c r="W719">
        <f>HYPERLINK("https://klasma.github.io/Logging_2284/klagomålsmail/A 33759-2025 FSC-klagomål mail.docx", "A 33759-2025")</f>
        <v/>
      </c>
      <c r="X719">
        <f>HYPERLINK("https://klasma.github.io/Logging_2284/tillsyn/A 33759-2025 tillsynsbegäran.docx", "A 33759-2025")</f>
        <v/>
      </c>
      <c r="Y719">
        <f>HYPERLINK("https://klasma.github.io/Logging_2284/tillsynsmail/A 33759-2025 tillsynsbegäran mail.docx", "A 33759-2025")</f>
        <v/>
      </c>
    </row>
    <row r="720" ht="15" customHeight="1">
      <c r="A720" t="inlineStr">
        <is>
          <t>A 33806-2025</t>
        </is>
      </c>
      <c r="B720" s="1" t="n">
        <v>45842.44865740741</v>
      </c>
      <c r="C720" s="1" t="n">
        <v>46093</v>
      </c>
      <c r="D720" t="inlineStr">
        <is>
          <t>VÄSTERNORRLANDS LÄN</t>
        </is>
      </c>
      <c r="E720" t="inlineStr">
        <is>
          <t>ÅNGE</t>
        </is>
      </c>
      <c r="F720" t="inlineStr">
        <is>
          <t>SCA</t>
        </is>
      </c>
      <c r="G720" t="n">
        <v>24.6</v>
      </c>
      <c r="H720" t="n">
        <v>3</v>
      </c>
      <c r="I720" t="n">
        <v>1</v>
      </c>
      <c r="J720" t="n">
        <v>0</v>
      </c>
      <c r="K720" t="n">
        <v>1</v>
      </c>
      <c r="L720" t="n">
        <v>0</v>
      </c>
      <c r="M720" t="n">
        <v>0</v>
      </c>
      <c r="N720" t="n">
        <v>0</v>
      </c>
      <c r="O720" t="n">
        <v>1</v>
      </c>
      <c r="P720" t="n">
        <v>1</v>
      </c>
      <c r="Q720" t="n">
        <v>3</v>
      </c>
      <c r="R720" s="2" t="inlineStr">
        <is>
          <t>Knärot
Grönkulla
Nattviol</t>
        </is>
      </c>
      <c r="S720">
        <f>HYPERLINK("https://klasma.github.io/Logging_2260/artfynd/A 33806-2025 artfynd.xlsx", "A 33806-2025")</f>
        <v/>
      </c>
      <c r="T720">
        <f>HYPERLINK("https://klasma.github.io/Logging_2260/kartor/A 33806-2025 karta.png", "A 33806-2025")</f>
        <v/>
      </c>
      <c r="U720">
        <f>HYPERLINK("https://klasma.github.io/Logging_2260/knärot/A 33806-2025 karta knärot.png", "A 33806-2025")</f>
        <v/>
      </c>
      <c r="V720">
        <f>HYPERLINK("https://klasma.github.io/Logging_2260/klagomål/A 33806-2025 FSC-klagomål.docx", "A 33806-2025")</f>
        <v/>
      </c>
      <c r="W720">
        <f>HYPERLINK("https://klasma.github.io/Logging_2260/klagomålsmail/A 33806-2025 FSC-klagomål mail.docx", "A 33806-2025")</f>
        <v/>
      </c>
      <c r="X720">
        <f>HYPERLINK("https://klasma.github.io/Logging_2260/tillsyn/A 33806-2025 tillsynsbegäran.docx", "A 33806-2025")</f>
        <v/>
      </c>
      <c r="Y720">
        <f>HYPERLINK("https://klasma.github.io/Logging_2260/tillsynsmail/A 33806-2025 tillsynsbegäran mail.docx", "A 33806-2025")</f>
        <v/>
      </c>
    </row>
    <row r="721" ht="15" customHeight="1">
      <c r="A721" t="inlineStr">
        <is>
          <t>A 18510-2021</t>
        </is>
      </c>
      <c r="B721" s="1" t="n">
        <v>44306</v>
      </c>
      <c r="C721" s="1" t="n">
        <v>46093</v>
      </c>
      <c r="D721" t="inlineStr">
        <is>
          <t>VÄSTERNORRLANDS LÄN</t>
        </is>
      </c>
      <c r="E721" t="inlineStr">
        <is>
          <t>TIMRÅ</t>
        </is>
      </c>
      <c r="G721" t="n">
        <v>28</v>
      </c>
      <c r="H721" t="n">
        <v>1</v>
      </c>
      <c r="I721" t="n">
        <v>1</v>
      </c>
      <c r="J721" t="n">
        <v>1</v>
      </c>
      <c r="K721" t="n">
        <v>0</v>
      </c>
      <c r="L721" t="n">
        <v>0</v>
      </c>
      <c r="M721" t="n">
        <v>0</v>
      </c>
      <c r="N721" t="n">
        <v>0</v>
      </c>
      <c r="O721" t="n">
        <v>1</v>
      </c>
      <c r="P721" t="n">
        <v>0</v>
      </c>
      <c r="Q721" t="n">
        <v>2</v>
      </c>
      <c r="R721" s="2" t="inlineStr">
        <is>
          <t>Sötgräs
Strutbräken</t>
        </is>
      </c>
      <c r="S721">
        <f>HYPERLINK("https://klasma.github.io/Logging_2262/artfynd/A 18510-2021 artfynd.xlsx", "A 18510-2021")</f>
        <v/>
      </c>
      <c r="T721">
        <f>HYPERLINK("https://klasma.github.io/Logging_2262/kartor/A 18510-2021 karta.png", "A 18510-2021")</f>
        <v/>
      </c>
      <c r="V721">
        <f>HYPERLINK("https://klasma.github.io/Logging_2262/klagomål/A 18510-2021 FSC-klagomål.docx", "A 18510-2021")</f>
        <v/>
      </c>
      <c r="W721">
        <f>HYPERLINK("https://klasma.github.io/Logging_2262/klagomålsmail/A 18510-2021 FSC-klagomål mail.docx", "A 18510-2021")</f>
        <v/>
      </c>
      <c r="X721">
        <f>HYPERLINK("https://klasma.github.io/Logging_2262/tillsyn/A 18510-2021 tillsynsbegäran.docx", "A 18510-2021")</f>
        <v/>
      </c>
      <c r="Y721">
        <f>HYPERLINK("https://klasma.github.io/Logging_2262/tillsynsmail/A 18510-2021 tillsynsbegäran mail.docx", "A 18510-2021")</f>
        <v/>
      </c>
    </row>
    <row r="722" ht="15" customHeight="1">
      <c r="A722" t="inlineStr">
        <is>
          <t>A 13059-2022</t>
        </is>
      </c>
      <c r="B722" s="1" t="n">
        <v>44643</v>
      </c>
      <c r="C722" s="1" t="n">
        <v>46093</v>
      </c>
      <c r="D722" t="inlineStr">
        <is>
          <t>VÄSTERNORRLANDS LÄN</t>
        </is>
      </c>
      <c r="E722" t="inlineStr">
        <is>
          <t>SOLLEFTEÅ</t>
        </is>
      </c>
      <c r="G722" t="n">
        <v>9.9</v>
      </c>
      <c r="H722" t="n">
        <v>0</v>
      </c>
      <c r="I722" t="n">
        <v>0</v>
      </c>
      <c r="J722" t="n">
        <v>2</v>
      </c>
      <c r="K722" t="n">
        <v>0</v>
      </c>
      <c r="L722" t="n">
        <v>0</v>
      </c>
      <c r="M722" t="n">
        <v>0</v>
      </c>
      <c r="N722" t="n">
        <v>0</v>
      </c>
      <c r="O722" t="n">
        <v>2</v>
      </c>
      <c r="P722" t="n">
        <v>0</v>
      </c>
      <c r="Q722" t="n">
        <v>2</v>
      </c>
      <c r="R722" s="2" t="inlineStr">
        <is>
          <t>Garnlav
Ullticka</t>
        </is>
      </c>
      <c r="S722">
        <f>HYPERLINK("https://klasma.github.io/Logging_2283/artfynd/A 13059-2022 artfynd.xlsx", "A 13059-2022")</f>
        <v/>
      </c>
      <c r="T722">
        <f>HYPERLINK("https://klasma.github.io/Logging_2283/kartor/A 13059-2022 karta.png", "A 13059-2022")</f>
        <v/>
      </c>
      <c r="V722">
        <f>HYPERLINK("https://klasma.github.io/Logging_2283/klagomål/A 13059-2022 FSC-klagomål.docx", "A 13059-2022")</f>
        <v/>
      </c>
      <c r="W722">
        <f>HYPERLINK("https://klasma.github.io/Logging_2283/klagomålsmail/A 13059-2022 FSC-klagomål mail.docx", "A 13059-2022")</f>
        <v/>
      </c>
      <c r="X722">
        <f>HYPERLINK("https://klasma.github.io/Logging_2283/tillsyn/A 13059-2022 tillsynsbegäran.docx", "A 13059-2022")</f>
        <v/>
      </c>
      <c r="Y722">
        <f>HYPERLINK("https://klasma.github.io/Logging_2283/tillsynsmail/A 13059-2022 tillsynsbegäran mail.docx", "A 13059-2022")</f>
        <v/>
      </c>
    </row>
    <row r="723" ht="15" customHeight="1">
      <c r="A723" t="inlineStr">
        <is>
          <t>A 36635-2021</t>
        </is>
      </c>
      <c r="B723" s="1" t="n">
        <v>44391</v>
      </c>
      <c r="C723" s="1" t="n">
        <v>46093</v>
      </c>
      <c r="D723" t="inlineStr">
        <is>
          <t>VÄSTERNORRLANDS LÄN</t>
        </is>
      </c>
      <c r="E723" t="inlineStr">
        <is>
          <t>ÅNGE</t>
        </is>
      </c>
      <c r="F723" t="inlineStr">
        <is>
          <t>SCA</t>
        </is>
      </c>
      <c r="G723" t="n">
        <v>3.7</v>
      </c>
      <c r="H723" t="n">
        <v>1</v>
      </c>
      <c r="I723" t="n">
        <v>0</v>
      </c>
      <c r="J723" t="n">
        <v>1</v>
      </c>
      <c r="K723" t="n">
        <v>1</v>
      </c>
      <c r="L723" t="n">
        <v>0</v>
      </c>
      <c r="M723" t="n">
        <v>0</v>
      </c>
      <c r="N723" t="n">
        <v>0</v>
      </c>
      <c r="O723" t="n">
        <v>2</v>
      </c>
      <c r="P723" t="n">
        <v>1</v>
      </c>
      <c r="Q723" t="n">
        <v>2</v>
      </c>
      <c r="R723" s="2" t="inlineStr">
        <is>
          <t>Knärot
Tallticka</t>
        </is>
      </c>
      <c r="S723">
        <f>HYPERLINK("https://klasma.github.io/Logging_2260/artfynd/A 36635-2021 artfynd.xlsx", "A 36635-2021")</f>
        <v/>
      </c>
      <c r="T723">
        <f>HYPERLINK("https://klasma.github.io/Logging_2260/kartor/A 36635-2021 karta.png", "A 36635-2021")</f>
        <v/>
      </c>
      <c r="U723">
        <f>HYPERLINK("https://klasma.github.io/Logging_2260/knärot/A 36635-2021 karta knärot.png", "A 36635-2021")</f>
        <v/>
      </c>
      <c r="V723">
        <f>HYPERLINK("https://klasma.github.io/Logging_2260/klagomål/A 36635-2021 FSC-klagomål.docx", "A 36635-2021")</f>
        <v/>
      </c>
      <c r="W723">
        <f>HYPERLINK("https://klasma.github.io/Logging_2260/klagomålsmail/A 36635-2021 FSC-klagomål mail.docx", "A 36635-2021")</f>
        <v/>
      </c>
      <c r="X723">
        <f>HYPERLINK("https://klasma.github.io/Logging_2260/tillsyn/A 36635-2021 tillsynsbegäran.docx", "A 36635-2021")</f>
        <v/>
      </c>
      <c r="Y723">
        <f>HYPERLINK("https://klasma.github.io/Logging_2260/tillsynsmail/A 36635-2021 tillsynsbegäran mail.docx", "A 36635-2021")</f>
        <v/>
      </c>
    </row>
    <row r="724" ht="15" customHeight="1">
      <c r="A724" t="inlineStr">
        <is>
          <t>A 1082-2022</t>
        </is>
      </c>
      <c r="B724" s="1" t="n">
        <v>44571</v>
      </c>
      <c r="C724" s="1" t="n">
        <v>46093</v>
      </c>
      <c r="D724" t="inlineStr">
        <is>
          <t>VÄSTERNORRLANDS LÄN</t>
        </is>
      </c>
      <c r="E724" t="inlineStr">
        <is>
          <t>ÅNGE</t>
        </is>
      </c>
      <c r="G724" t="n">
        <v>0.9</v>
      </c>
      <c r="H724" t="n">
        <v>1</v>
      </c>
      <c r="I724" t="n">
        <v>0</v>
      </c>
      <c r="J724" t="n">
        <v>2</v>
      </c>
      <c r="K724" t="n">
        <v>0</v>
      </c>
      <c r="L724" t="n">
        <v>0</v>
      </c>
      <c r="M724" t="n">
        <v>0</v>
      </c>
      <c r="N724" t="n">
        <v>0</v>
      </c>
      <c r="O724" t="n">
        <v>2</v>
      </c>
      <c r="P724" t="n">
        <v>0</v>
      </c>
      <c r="Q724" t="n">
        <v>2</v>
      </c>
      <c r="R724" s="2" t="inlineStr">
        <is>
          <t>Garnlav
Talltita</t>
        </is>
      </c>
      <c r="S724">
        <f>HYPERLINK("https://klasma.github.io/Logging_2260/artfynd/A 1082-2022 artfynd.xlsx", "A 1082-2022")</f>
        <v/>
      </c>
      <c r="T724">
        <f>HYPERLINK("https://klasma.github.io/Logging_2260/kartor/A 1082-2022 karta.png", "A 1082-2022")</f>
        <v/>
      </c>
      <c r="V724">
        <f>HYPERLINK("https://klasma.github.io/Logging_2260/klagomål/A 1082-2022 FSC-klagomål.docx", "A 1082-2022")</f>
        <v/>
      </c>
      <c r="W724">
        <f>HYPERLINK("https://klasma.github.io/Logging_2260/klagomålsmail/A 1082-2022 FSC-klagomål mail.docx", "A 1082-2022")</f>
        <v/>
      </c>
      <c r="X724">
        <f>HYPERLINK("https://klasma.github.io/Logging_2260/tillsyn/A 1082-2022 tillsynsbegäran.docx", "A 1082-2022")</f>
        <v/>
      </c>
      <c r="Y724">
        <f>HYPERLINK("https://klasma.github.io/Logging_2260/tillsynsmail/A 1082-2022 tillsynsbegäran mail.docx", "A 1082-2022")</f>
        <v/>
      </c>
      <c r="Z724">
        <f>HYPERLINK("https://klasma.github.io/Logging_2260/fåglar/A 1082-2022 prioriterade fågelarter.docx", "A 1082-2022")</f>
        <v/>
      </c>
    </row>
    <row r="725" ht="15" customHeight="1">
      <c r="A725" t="inlineStr">
        <is>
          <t>A 47798-2022</t>
        </is>
      </c>
      <c r="B725" s="1" t="n">
        <v>44854.95365740741</v>
      </c>
      <c r="C725" s="1" t="n">
        <v>46093</v>
      </c>
      <c r="D725" t="inlineStr">
        <is>
          <t>VÄSTERNORRLANDS LÄN</t>
        </is>
      </c>
      <c r="E725" t="inlineStr">
        <is>
          <t>ÅNGE</t>
        </is>
      </c>
      <c r="F725" t="inlineStr">
        <is>
          <t>SCA</t>
        </is>
      </c>
      <c r="G725" t="n">
        <v>8.300000000000001</v>
      </c>
      <c r="H725" t="n">
        <v>0</v>
      </c>
      <c r="I725" t="n">
        <v>1</v>
      </c>
      <c r="J725" t="n">
        <v>1</v>
      </c>
      <c r="K725" t="n">
        <v>0</v>
      </c>
      <c r="L725" t="n">
        <v>0</v>
      </c>
      <c r="M725" t="n">
        <v>0</v>
      </c>
      <c r="N725" t="n">
        <v>0</v>
      </c>
      <c r="O725" t="n">
        <v>1</v>
      </c>
      <c r="P725" t="n">
        <v>0</v>
      </c>
      <c r="Q725" t="n">
        <v>2</v>
      </c>
      <c r="R725" s="2" t="inlineStr">
        <is>
          <t>Lunglav
Kransrams</t>
        </is>
      </c>
      <c r="S725">
        <f>HYPERLINK("https://klasma.github.io/Logging_2260/artfynd/A 47798-2022 artfynd.xlsx", "A 47798-2022")</f>
        <v/>
      </c>
      <c r="T725">
        <f>HYPERLINK("https://klasma.github.io/Logging_2260/kartor/A 47798-2022 karta.png", "A 47798-2022")</f>
        <v/>
      </c>
      <c r="V725">
        <f>HYPERLINK("https://klasma.github.io/Logging_2260/klagomål/A 47798-2022 FSC-klagomål.docx", "A 47798-2022")</f>
        <v/>
      </c>
      <c r="W725">
        <f>HYPERLINK("https://klasma.github.io/Logging_2260/klagomålsmail/A 47798-2022 FSC-klagomål mail.docx", "A 47798-2022")</f>
        <v/>
      </c>
      <c r="X725">
        <f>HYPERLINK("https://klasma.github.io/Logging_2260/tillsyn/A 47798-2022 tillsynsbegäran.docx", "A 47798-2022")</f>
        <v/>
      </c>
      <c r="Y725">
        <f>HYPERLINK("https://klasma.github.io/Logging_2260/tillsynsmail/A 47798-2022 tillsynsbegäran mail.docx", "A 47798-2022")</f>
        <v/>
      </c>
    </row>
    <row r="726" ht="15" customHeight="1">
      <c r="A726" t="inlineStr">
        <is>
          <t>A 9583-2022</t>
        </is>
      </c>
      <c r="B726" s="1" t="n">
        <v>44617</v>
      </c>
      <c r="C726" s="1" t="n">
        <v>46093</v>
      </c>
      <c r="D726" t="inlineStr">
        <is>
          <t>VÄSTERNORRLANDS LÄN</t>
        </is>
      </c>
      <c r="E726" t="inlineStr">
        <is>
          <t>SOLLEFTEÅ</t>
        </is>
      </c>
      <c r="F726" t="inlineStr">
        <is>
          <t>Övriga Aktiebolag</t>
        </is>
      </c>
      <c r="G726" t="n">
        <v>2.3</v>
      </c>
      <c r="H726" t="n">
        <v>0</v>
      </c>
      <c r="I726" t="n">
        <v>0</v>
      </c>
      <c r="J726" t="n">
        <v>2</v>
      </c>
      <c r="K726" t="n">
        <v>0</v>
      </c>
      <c r="L726" t="n">
        <v>0</v>
      </c>
      <c r="M726" t="n">
        <v>0</v>
      </c>
      <c r="N726" t="n">
        <v>0</v>
      </c>
      <c r="O726" t="n">
        <v>2</v>
      </c>
      <c r="P726" t="n">
        <v>0</v>
      </c>
      <c r="Q726" t="n">
        <v>2</v>
      </c>
      <c r="R726" s="2" t="inlineStr">
        <is>
          <t>Garnlav
Lunglav</t>
        </is>
      </c>
      <c r="S726">
        <f>HYPERLINK("https://klasma.github.io/Logging_2283/artfynd/A 9583-2022 artfynd.xlsx", "A 9583-2022")</f>
        <v/>
      </c>
      <c r="T726">
        <f>HYPERLINK("https://klasma.github.io/Logging_2283/kartor/A 9583-2022 karta.png", "A 9583-2022")</f>
        <v/>
      </c>
      <c r="V726">
        <f>HYPERLINK("https://klasma.github.io/Logging_2283/klagomål/A 9583-2022 FSC-klagomål.docx", "A 9583-2022")</f>
        <v/>
      </c>
      <c r="W726">
        <f>HYPERLINK("https://klasma.github.io/Logging_2283/klagomålsmail/A 9583-2022 FSC-klagomål mail.docx", "A 9583-2022")</f>
        <v/>
      </c>
      <c r="X726">
        <f>HYPERLINK("https://klasma.github.io/Logging_2283/tillsyn/A 9583-2022 tillsynsbegäran.docx", "A 9583-2022")</f>
        <v/>
      </c>
      <c r="Y726">
        <f>HYPERLINK("https://klasma.github.io/Logging_2283/tillsynsmail/A 9583-2022 tillsynsbegäran mail.docx", "A 9583-2022")</f>
        <v/>
      </c>
    </row>
    <row r="727" ht="15" customHeight="1">
      <c r="A727" t="inlineStr">
        <is>
          <t>A 45213-2021</t>
        </is>
      </c>
      <c r="B727" s="1" t="n">
        <v>44431</v>
      </c>
      <c r="C727" s="1" t="n">
        <v>46093</v>
      </c>
      <c r="D727" t="inlineStr">
        <is>
          <t>VÄSTERNORRLANDS LÄN</t>
        </is>
      </c>
      <c r="E727" t="inlineStr">
        <is>
          <t>SOLLEFTEÅ</t>
        </is>
      </c>
      <c r="F727" t="inlineStr">
        <is>
          <t>SCA</t>
        </is>
      </c>
      <c r="G727" t="n">
        <v>2.3</v>
      </c>
      <c r="H727" t="n">
        <v>0</v>
      </c>
      <c r="I727" t="n">
        <v>0</v>
      </c>
      <c r="J727" t="n">
        <v>2</v>
      </c>
      <c r="K727" t="n">
        <v>0</v>
      </c>
      <c r="L727" t="n">
        <v>0</v>
      </c>
      <c r="M727" t="n">
        <v>0</v>
      </c>
      <c r="N727" t="n">
        <v>0</v>
      </c>
      <c r="O727" t="n">
        <v>2</v>
      </c>
      <c r="P727" t="n">
        <v>0</v>
      </c>
      <c r="Q727" t="n">
        <v>2</v>
      </c>
      <c r="R727" s="2" t="inlineStr">
        <is>
          <t>Garnlav
Granticka</t>
        </is>
      </c>
      <c r="S727">
        <f>HYPERLINK("https://klasma.github.io/Logging_2283/artfynd/A 45213-2021 artfynd.xlsx", "A 45213-2021")</f>
        <v/>
      </c>
      <c r="T727">
        <f>HYPERLINK("https://klasma.github.io/Logging_2283/kartor/A 45213-2021 karta.png", "A 45213-2021")</f>
        <v/>
      </c>
      <c r="V727">
        <f>HYPERLINK("https://klasma.github.io/Logging_2283/klagomål/A 45213-2021 FSC-klagomål.docx", "A 45213-2021")</f>
        <v/>
      </c>
      <c r="W727">
        <f>HYPERLINK("https://klasma.github.io/Logging_2283/klagomålsmail/A 45213-2021 FSC-klagomål mail.docx", "A 45213-2021")</f>
        <v/>
      </c>
      <c r="X727">
        <f>HYPERLINK("https://klasma.github.io/Logging_2283/tillsyn/A 45213-2021 tillsynsbegäran.docx", "A 45213-2021")</f>
        <v/>
      </c>
      <c r="Y727">
        <f>HYPERLINK("https://klasma.github.io/Logging_2283/tillsynsmail/A 45213-2021 tillsynsbegäran mail.docx", "A 45213-2021")</f>
        <v/>
      </c>
    </row>
    <row r="728" ht="15" customHeight="1">
      <c r="A728" t="inlineStr">
        <is>
          <t>A 24321-2022</t>
        </is>
      </c>
      <c r="B728" s="1" t="n">
        <v>44725</v>
      </c>
      <c r="C728" s="1" t="n">
        <v>46093</v>
      </c>
      <c r="D728" t="inlineStr">
        <is>
          <t>VÄSTERNORRLANDS LÄN</t>
        </is>
      </c>
      <c r="E728" t="inlineStr">
        <is>
          <t>SOLLEFTEÅ</t>
        </is>
      </c>
      <c r="F728" t="inlineStr">
        <is>
          <t>SCA</t>
        </is>
      </c>
      <c r="G728" t="n">
        <v>1.1</v>
      </c>
      <c r="H728" t="n">
        <v>1</v>
      </c>
      <c r="I728" t="n">
        <v>0</v>
      </c>
      <c r="J728" t="n">
        <v>1</v>
      </c>
      <c r="K728" t="n">
        <v>1</v>
      </c>
      <c r="L728" t="n">
        <v>0</v>
      </c>
      <c r="M728" t="n">
        <v>0</v>
      </c>
      <c r="N728" t="n">
        <v>0</v>
      </c>
      <c r="O728" t="n">
        <v>2</v>
      </c>
      <c r="P728" t="n">
        <v>1</v>
      </c>
      <c r="Q728" t="n">
        <v>2</v>
      </c>
      <c r="R728" s="2" t="inlineStr">
        <is>
          <t>Knärot
Garnlav</t>
        </is>
      </c>
      <c r="S728">
        <f>HYPERLINK("https://klasma.github.io/Logging_2283/artfynd/A 24321-2022 artfynd.xlsx", "A 24321-2022")</f>
        <v/>
      </c>
      <c r="T728">
        <f>HYPERLINK("https://klasma.github.io/Logging_2283/kartor/A 24321-2022 karta.png", "A 24321-2022")</f>
        <v/>
      </c>
      <c r="U728">
        <f>HYPERLINK("https://klasma.github.io/Logging_2283/knärot/A 24321-2022 karta knärot.png", "A 24321-2022")</f>
        <v/>
      </c>
      <c r="V728">
        <f>HYPERLINK("https://klasma.github.io/Logging_2283/klagomål/A 24321-2022 FSC-klagomål.docx", "A 24321-2022")</f>
        <v/>
      </c>
      <c r="W728">
        <f>HYPERLINK("https://klasma.github.io/Logging_2283/klagomålsmail/A 24321-2022 FSC-klagomål mail.docx", "A 24321-2022")</f>
        <v/>
      </c>
      <c r="X728">
        <f>HYPERLINK("https://klasma.github.io/Logging_2283/tillsyn/A 24321-2022 tillsynsbegäran.docx", "A 24321-2022")</f>
        <v/>
      </c>
      <c r="Y728">
        <f>HYPERLINK("https://klasma.github.io/Logging_2283/tillsynsmail/A 24321-2022 tillsynsbegäran mail.docx", "A 24321-2022")</f>
        <v/>
      </c>
    </row>
    <row r="729" ht="15" customHeight="1">
      <c r="A729" t="inlineStr">
        <is>
          <t>A 41191-2022</t>
        </is>
      </c>
      <c r="B729" s="1" t="n">
        <v>44825</v>
      </c>
      <c r="C729" s="1" t="n">
        <v>46093</v>
      </c>
      <c r="D729" t="inlineStr">
        <is>
          <t>VÄSTERNORRLANDS LÄN</t>
        </is>
      </c>
      <c r="E729" t="inlineStr">
        <is>
          <t>ÖRNSKÖLDSVIK</t>
        </is>
      </c>
      <c r="F729" t="inlineStr">
        <is>
          <t>SCA</t>
        </is>
      </c>
      <c r="G729" t="n">
        <v>6.3</v>
      </c>
      <c r="H729" t="n">
        <v>0</v>
      </c>
      <c r="I729" t="n">
        <v>1</v>
      </c>
      <c r="J729" t="n">
        <v>1</v>
      </c>
      <c r="K729" t="n">
        <v>0</v>
      </c>
      <c r="L729" t="n">
        <v>0</v>
      </c>
      <c r="M729" t="n">
        <v>0</v>
      </c>
      <c r="N729" t="n">
        <v>0</v>
      </c>
      <c r="O729" t="n">
        <v>1</v>
      </c>
      <c r="P729" t="n">
        <v>0</v>
      </c>
      <c r="Q729" t="n">
        <v>2</v>
      </c>
      <c r="R729" s="2" t="inlineStr">
        <is>
          <t>Garnlav
Norrlandslav</t>
        </is>
      </c>
      <c r="S729">
        <f>HYPERLINK("https://klasma.github.io/Logging_2284/artfynd/A 41191-2022 artfynd.xlsx", "A 41191-2022")</f>
        <v/>
      </c>
      <c r="T729">
        <f>HYPERLINK("https://klasma.github.io/Logging_2284/kartor/A 41191-2022 karta.png", "A 41191-2022")</f>
        <v/>
      </c>
      <c r="V729">
        <f>HYPERLINK("https://klasma.github.io/Logging_2284/klagomål/A 41191-2022 FSC-klagomål.docx", "A 41191-2022")</f>
        <v/>
      </c>
      <c r="W729">
        <f>HYPERLINK("https://klasma.github.io/Logging_2284/klagomålsmail/A 41191-2022 FSC-klagomål mail.docx", "A 41191-2022")</f>
        <v/>
      </c>
      <c r="X729">
        <f>HYPERLINK("https://klasma.github.io/Logging_2284/tillsyn/A 41191-2022 tillsynsbegäran.docx", "A 41191-2022")</f>
        <v/>
      </c>
      <c r="Y729">
        <f>HYPERLINK("https://klasma.github.io/Logging_2284/tillsynsmail/A 41191-2022 tillsynsbegäran mail.docx", "A 41191-2022")</f>
        <v/>
      </c>
    </row>
    <row r="730" ht="15" customHeight="1">
      <c r="A730" t="inlineStr">
        <is>
          <t>A 33087-2022</t>
        </is>
      </c>
      <c r="B730" s="1" t="n">
        <v>44785</v>
      </c>
      <c r="C730" s="1" t="n">
        <v>46093</v>
      </c>
      <c r="D730" t="inlineStr">
        <is>
          <t>VÄSTERNORRLANDS LÄN</t>
        </is>
      </c>
      <c r="E730" t="inlineStr">
        <is>
          <t>SOLLEFTEÅ</t>
        </is>
      </c>
      <c r="G730" t="n">
        <v>0.5</v>
      </c>
      <c r="H730" t="n">
        <v>0</v>
      </c>
      <c r="I730" t="n">
        <v>0</v>
      </c>
      <c r="J730" t="n">
        <v>2</v>
      </c>
      <c r="K730" t="n">
        <v>0</v>
      </c>
      <c r="L730" t="n">
        <v>0</v>
      </c>
      <c r="M730" t="n">
        <v>0</v>
      </c>
      <c r="N730" t="n">
        <v>0</v>
      </c>
      <c r="O730" t="n">
        <v>2</v>
      </c>
      <c r="P730" t="n">
        <v>0</v>
      </c>
      <c r="Q730" t="n">
        <v>2</v>
      </c>
      <c r="R730" s="2" t="inlineStr">
        <is>
          <t>Garnlav
Lunglav</t>
        </is>
      </c>
      <c r="S730">
        <f>HYPERLINK("https://klasma.github.io/Logging_2283/artfynd/A 33087-2022 artfynd.xlsx", "A 33087-2022")</f>
        <v/>
      </c>
      <c r="T730">
        <f>HYPERLINK("https://klasma.github.io/Logging_2283/kartor/A 33087-2022 karta.png", "A 33087-2022")</f>
        <v/>
      </c>
      <c r="V730">
        <f>HYPERLINK("https://klasma.github.io/Logging_2283/klagomål/A 33087-2022 FSC-klagomål.docx", "A 33087-2022")</f>
        <v/>
      </c>
      <c r="W730">
        <f>HYPERLINK("https://klasma.github.io/Logging_2283/klagomålsmail/A 33087-2022 FSC-klagomål mail.docx", "A 33087-2022")</f>
        <v/>
      </c>
      <c r="X730">
        <f>HYPERLINK("https://klasma.github.io/Logging_2283/tillsyn/A 33087-2022 tillsynsbegäran.docx", "A 33087-2022")</f>
        <v/>
      </c>
      <c r="Y730">
        <f>HYPERLINK("https://klasma.github.io/Logging_2283/tillsynsmail/A 33087-2022 tillsynsbegäran mail.docx", "A 33087-2022")</f>
        <v/>
      </c>
    </row>
    <row r="731" ht="15" customHeight="1">
      <c r="A731" t="inlineStr">
        <is>
          <t>A 18019-2022</t>
        </is>
      </c>
      <c r="B731" s="1" t="n">
        <v>44683.94377314814</v>
      </c>
      <c r="C731" s="1" t="n">
        <v>46093</v>
      </c>
      <c r="D731" t="inlineStr">
        <is>
          <t>VÄSTERNORRLANDS LÄN</t>
        </is>
      </c>
      <c r="E731" t="inlineStr">
        <is>
          <t>SOLLEFTEÅ</t>
        </is>
      </c>
      <c r="F731" t="inlineStr">
        <is>
          <t>SCA</t>
        </is>
      </c>
      <c r="G731" t="n">
        <v>2.6</v>
      </c>
      <c r="H731" t="n">
        <v>0</v>
      </c>
      <c r="I731" t="n">
        <v>0</v>
      </c>
      <c r="J731" t="n">
        <v>2</v>
      </c>
      <c r="K731" t="n">
        <v>0</v>
      </c>
      <c r="L731" t="n">
        <v>0</v>
      </c>
      <c r="M731" t="n">
        <v>0</v>
      </c>
      <c r="N731" t="n">
        <v>0</v>
      </c>
      <c r="O731" t="n">
        <v>2</v>
      </c>
      <c r="P731" t="n">
        <v>0</v>
      </c>
      <c r="Q731" t="n">
        <v>2</v>
      </c>
      <c r="R731" s="2" t="inlineStr">
        <is>
          <t>Gammelgransskål
Ullticka</t>
        </is>
      </c>
      <c r="S731">
        <f>HYPERLINK("https://klasma.github.io/Logging_2283/artfynd/A 18019-2022 artfynd.xlsx", "A 18019-2022")</f>
        <v/>
      </c>
      <c r="T731">
        <f>HYPERLINK("https://klasma.github.io/Logging_2283/kartor/A 18019-2022 karta.png", "A 18019-2022")</f>
        <v/>
      </c>
      <c r="V731">
        <f>HYPERLINK("https://klasma.github.io/Logging_2283/klagomål/A 18019-2022 FSC-klagomål.docx", "A 18019-2022")</f>
        <v/>
      </c>
      <c r="W731">
        <f>HYPERLINK("https://klasma.github.io/Logging_2283/klagomålsmail/A 18019-2022 FSC-klagomål mail.docx", "A 18019-2022")</f>
        <v/>
      </c>
      <c r="X731">
        <f>HYPERLINK("https://klasma.github.io/Logging_2283/tillsyn/A 18019-2022 tillsynsbegäran.docx", "A 18019-2022")</f>
        <v/>
      </c>
      <c r="Y731">
        <f>HYPERLINK("https://klasma.github.io/Logging_2283/tillsynsmail/A 18019-2022 tillsynsbegäran mail.docx", "A 18019-2022")</f>
        <v/>
      </c>
    </row>
    <row r="732" ht="15" customHeight="1">
      <c r="A732" t="inlineStr">
        <is>
          <t>A 65419-2021</t>
        </is>
      </c>
      <c r="B732" s="1" t="n">
        <v>44515</v>
      </c>
      <c r="C732" s="1" t="n">
        <v>46093</v>
      </c>
      <c r="D732" t="inlineStr">
        <is>
          <t>VÄSTERNORRLANDS LÄN</t>
        </is>
      </c>
      <c r="E732" t="inlineStr">
        <is>
          <t>SOLLEFTEÅ</t>
        </is>
      </c>
      <c r="F732" t="inlineStr">
        <is>
          <t>SCA</t>
        </is>
      </c>
      <c r="G732" t="n">
        <v>2.3</v>
      </c>
      <c r="H732" t="n">
        <v>0</v>
      </c>
      <c r="I732" t="n">
        <v>0</v>
      </c>
      <c r="J732" t="n">
        <v>2</v>
      </c>
      <c r="K732" t="n">
        <v>0</v>
      </c>
      <c r="L732" t="n">
        <v>0</v>
      </c>
      <c r="M732" t="n">
        <v>0</v>
      </c>
      <c r="N732" t="n">
        <v>0</v>
      </c>
      <c r="O732" t="n">
        <v>2</v>
      </c>
      <c r="P732" t="n">
        <v>0</v>
      </c>
      <c r="Q732" t="n">
        <v>2</v>
      </c>
      <c r="R732" s="2" t="inlineStr">
        <is>
          <t>Garnlav
Granticka</t>
        </is>
      </c>
      <c r="S732">
        <f>HYPERLINK("https://klasma.github.io/Logging_2283/artfynd/A 65419-2021 artfynd.xlsx", "A 65419-2021")</f>
        <v/>
      </c>
      <c r="T732">
        <f>HYPERLINK("https://klasma.github.io/Logging_2283/kartor/A 65419-2021 karta.png", "A 65419-2021")</f>
        <v/>
      </c>
      <c r="V732">
        <f>HYPERLINK("https://klasma.github.io/Logging_2283/klagomål/A 65419-2021 FSC-klagomål.docx", "A 65419-2021")</f>
        <v/>
      </c>
      <c r="W732">
        <f>HYPERLINK("https://klasma.github.io/Logging_2283/klagomålsmail/A 65419-2021 FSC-klagomål mail.docx", "A 65419-2021")</f>
        <v/>
      </c>
      <c r="X732">
        <f>HYPERLINK("https://klasma.github.io/Logging_2283/tillsyn/A 65419-2021 tillsynsbegäran.docx", "A 65419-2021")</f>
        <v/>
      </c>
      <c r="Y732">
        <f>HYPERLINK("https://klasma.github.io/Logging_2283/tillsynsmail/A 65419-2021 tillsynsbegäran mail.docx", "A 65419-2021")</f>
        <v/>
      </c>
    </row>
    <row r="733" ht="15" customHeight="1">
      <c r="A733" t="inlineStr">
        <is>
          <t>A 48152-2022</t>
        </is>
      </c>
      <c r="B733" s="1" t="n">
        <v>44853</v>
      </c>
      <c r="C733" s="1" t="n">
        <v>46093</v>
      </c>
      <c r="D733" t="inlineStr">
        <is>
          <t>VÄSTERNORRLANDS LÄN</t>
        </is>
      </c>
      <c r="E733" t="inlineStr">
        <is>
          <t>ÅNGE</t>
        </is>
      </c>
      <c r="G733" t="n">
        <v>2.9</v>
      </c>
      <c r="H733" t="n">
        <v>0</v>
      </c>
      <c r="I733" t="n">
        <v>0</v>
      </c>
      <c r="J733" t="n">
        <v>2</v>
      </c>
      <c r="K733" t="n">
        <v>0</v>
      </c>
      <c r="L733" t="n">
        <v>0</v>
      </c>
      <c r="M733" t="n">
        <v>0</v>
      </c>
      <c r="N733" t="n">
        <v>0</v>
      </c>
      <c r="O733" t="n">
        <v>2</v>
      </c>
      <c r="P733" t="n">
        <v>0</v>
      </c>
      <c r="Q733" t="n">
        <v>2</v>
      </c>
      <c r="R733" s="2" t="inlineStr">
        <is>
          <t>Lunglav
Skrovellav</t>
        </is>
      </c>
      <c r="S733">
        <f>HYPERLINK("https://klasma.github.io/Logging_2260/artfynd/A 48152-2022 artfynd.xlsx", "A 48152-2022")</f>
        <v/>
      </c>
      <c r="T733">
        <f>HYPERLINK("https://klasma.github.io/Logging_2260/kartor/A 48152-2022 karta.png", "A 48152-2022")</f>
        <v/>
      </c>
      <c r="V733">
        <f>HYPERLINK("https://klasma.github.io/Logging_2260/klagomål/A 48152-2022 FSC-klagomål.docx", "A 48152-2022")</f>
        <v/>
      </c>
      <c r="W733">
        <f>HYPERLINK("https://klasma.github.io/Logging_2260/klagomålsmail/A 48152-2022 FSC-klagomål mail.docx", "A 48152-2022")</f>
        <v/>
      </c>
      <c r="X733">
        <f>HYPERLINK("https://klasma.github.io/Logging_2260/tillsyn/A 48152-2022 tillsynsbegäran.docx", "A 48152-2022")</f>
        <v/>
      </c>
      <c r="Y733">
        <f>HYPERLINK("https://klasma.github.io/Logging_2260/tillsynsmail/A 48152-2022 tillsynsbegäran mail.docx", "A 48152-2022")</f>
        <v/>
      </c>
    </row>
    <row r="734" ht="15" customHeight="1">
      <c r="A734" t="inlineStr">
        <is>
          <t>A 47799-2022</t>
        </is>
      </c>
      <c r="B734" s="1" t="n">
        <v>44854.95371527778</v>
      </c>
      <c r="C734" s="1" t="n">
        <v>46093</v>
      </c>
      <c r="D734" t="inlineStr">
        <is>
          <t>VÄSTERNORRLANDS LÄN</t>
        </is>
      </c>
      <c r="E734" t="inlineStr">
        <is>
          <t>ÅNGE</t>
        </is>
      </c>
      <c r="F734" t="inlineStr">
        <is>
          <t>SCA</t>
        </is>
      </c>
      <c r="G734" t="n">
        <v>5</v>
      </c>
      <c r="H734" t="n">
        <v>1</v>
      </c>
      <c r="I734" t="n">
        <v>0</v>
      </c>
      <c r="J734" t="n">
        <v>1</v>
      </c>
      <c r="K734" t="n">
        <v>0</v>
      </c>
      <c r="L734" t="n">
        <v>0</v>
      </c>
      <c r="M734" t="n">
        <v>0</v>
      </c>
      <c r="N734" t="n">
        <v>0</v>
      </c>
      <c r="O734" t="n">
        <v>1</v>
      </c>
      <c r="P734" t="n">
        <v>0</v>
      </c>
      <c r="Q734" t="n">
        <v>2</v>
      </c>
      <c r="R734" s="2" t="inlineStr">
        <is>
          <t>Lunglav
Fläcknycklar</t>
        </is>
      </c>
      <c r="S734">
        <f>HYPERLINK("https://klasma.github.io/Logging_2260/artfynd/A 47799-2022 artfynd.xlsx", "A 47799-2022")</f>
        <v/>
      </c>
      <c r="T734">
        <f>HYPERLINK("https://klasma.github.io/Logging_2260/kartor/A 47799-2022 karta.png", "A 47799-2022")</f>
        <v/>
      </c>
      <c r="V734">
        <f>HYPERLINK("https://klasma.github.io/Logging_2260/klagomål/A 47799-2022 FSC-klagomål.docx", "A 47799-2022")</f>
        <v/>
      </c>
      <c r="W734">
        <f>HYPERLINK("https://klasma.github.io/Logging_2260/klagomålsmail/A 47799-2022 FSC-klagomål mail.docx", "A 47799-2022")</f>
        <v/>
      </c>
      <c r="X734">
        <f>HYPERLINK("https://klasma.github.io/Logging_2260/tillsyn/A 47799-2022 tillsynsbegäran.docx", "A 47799-2022")</f>
        <v/>
      </c>
      <c r="Y734">
        <f>HYPERLINK("https://klasma.github.io/Logging_2260/tillsynsmail/A 47799-2022 tillsynsbegäran mail.docx", "A 47799-2022")</f>
        <v/>
      </c>
    </row>
    <row r="735" ht="15" customHeight="1">
      <c r="A735" t="inlineStr">
        <is>
          <t>A 39329-2021</t>
        </is>
      </c>
      <c r="B735" s="1" t="n">
        <v>44413.9345949074</v>
      </c>
      <c r="C735" s="1" t="n">
        <v>46093</v>
      </c>
      <c r="D735" t="inlineStr">
        <is>
          <t>VÄSTERNORRLANDS LÄN</t>
        </is>
      </c>
      <c r="E735" t="inlineStr">
        <is>
          <t>SOLLEFTEÅ</t>
        </is>
      </c>
      <c r="F735" t="inlineStr">
        <is>
          <t>SCA</t>
        </is>
      </c>
      <c r="G735" t="n">
        <v>2.7</v>
      </c>
      <c r="H735" t="n">
        <v>0</v>
      </c>
      <c r="I735" t="n">
        <v>1</v>
      </c>
      <c r="J735" t="n">
        <v>1</v>
      </c>
      <c r="K735" t="n">
        <v>0</v>
      </c>
      <c r="L735" t="n">
        <v>0</v>
      </c>
      <c r="M735" t="n">
        <v>0</v>
      </c>
      <c r="N735" t="n">
        <v>0</v>
      </c>
      <c r="O735" t="n">
        <v>1</v>
      </c>
      <c r="P735" t="n">
        <v>0</v>
      </c>
      <c r="Q735" t="n">
        <v>2</v>
      </c>
      <c r="R735" s="2" t="inlineStr">
        <is>
          <t>Mörk kolflarnlav
Bollvitmossa</t>
        </is>
      </c>
      <c r="S735">
        <f>HYPERLINK("https://klasma.github.io/Logging_2283/artfynd/A 39329-2021 artfynd.xlsx", "A 39329-2021")</f>
        <v/>
      </c>
      <c r="T735">
        <f>HYPERLINK("https://klasma.github.io/Logging_2283/kartor/A 39329-2021 karta.png", "A 39329-2021")</f>
        <v/>
      </c>
      <c r="V735">
        <f>HYPERLINK("https://klasma.github.io/Logging_2283/klagomål/A 39329-2021 FSC-klagomål.docx", "A 39329-2021")</f>
        <v/>
      </c>
      <c r="W735">
        <f>HYPERLINK("https://klasma.github.io/Logging_2283/klagomålsmail/A 39329-2021 FSC-klagomål mail.docx", "A 39329-2021")</f>
        <v/>
      </c>
      <c r="X735">
        <f>HYPERLINK("https://klasma.github.io/Logging_2283/tillsyn/A 39329-2021 tillsynsbegäran.docx", "A 39329-2021")</f>
        <v/>
      </c>
      <c r="Y735">
        <f>HYPERLINK("https://klasma.github.io/Logging_2283/tillsynsmail/A 39329-2021 tillsynsbegäran mail.docx", "A 39329-2021")</f>
        <v/>
      </c>
    </row>
    <row r="736" ht="15" customHeight="1">
      <c r="A736" t="inlineStr">
        <is>
          <t>A 41184-2022</t>
        </is>
      </c>
      <c r="B736" s="1" t="n">
        <v>44825</v>
      </c>
      <c r="C736" s="1" t="n">
        <v>46093</v>
      </c>
      <c r="D736" t="inlineStr">
        <is>
          <t>VÄSTERNORRLANDS LÄN</t>
        </is>
      </c>
      <c r="E736" t="inlineStr">
        <is>
          <t>ÖRNSKÖLDSVIK</t>
        </is>
      </c>
      <c r="F736" t="inlineStr">
        <is>
          <t>SCA</t>
        </is>
      </c>
      <c r="G736" t="n">
        <v>5.5</v>
      </c>
      <c r="H736" t="n">
        <v>0</v>
      </c>
      <c r="I736" t="n">
        <v>0</v>
      </c>
      <c r="J736" t="n">
        <v>2</v>
      </c>
      <c r="K736" t="n">
        <v>0</v>
      </c>
      <c r="L736" t="n">
        <v>0</v>
      </c>
      <c r="M736" t="n">
        <v>0</v>
      </c>
      <c r="N736" t="n">
        <v>0</v>
      </c>
      <c r="O736" t="n">
        <v>2</v>
      </c>
      <c r="P736" t="n">
        <v>0</v>
      </c>
      <c r="Q736" t="n">
        <v>2</v>
      </c>
      <c r="R736" s="2" t="inlineStr">
        <is>
          <t>Motaggsvamp
Mörk kolflarnlav</t>
        </is>
      </c>
      <c r="S736">
        <f>HYPERLINK("https://klasma.github.io/Logging_2284/artfynd/A 41184-2022 artfynd.xlsx", "A 41184-2022")</f>
        <v/>
      </c>
      <c r="T736">
        <f>HYPERLINK("https://klasma.github.io/Logging_2284/kartor/A 41184-2022 karta.png", "A 41184-2022")</f>
        <v/>
      </c>
      <c r="V736">
        <f>HYPERLINK("https://klasma.github.io/Logging_2284/klagomål/A 41184-2022 FSC-klagomål.docx", "A 41184-2022")</f>
        <v/>
      </c>
      <c r="W736">
        <f>HYPERLINK("https://klasma.github.io/Logging_2284/klagomålsmail/A 41184-2022 FSC-klagomål mail.docx", "A 41184-2022")</f>
        <v/>
      </c>
      <c r="X736">
        <f>HYPERLINK("https://klasma.github.io/Logging_2284/tillsyn/A 41184-2022 tillsynsbegäran.docx", "A 41184-2022")</f>
        <v/>
      </c>
      <c r="Y736">
        <f>HYPERLINK("https://klasma.github.io/Logging_2284/tillsynsmail/A 41184-2022 tillsynsbegäran mail.docx", "A 41184-2022")</f>
        <v/>
      </c>
    </row>
    <row r="737" ht="15" customHeight="1">
      <c r="A737" t="inlineStr">
        <is>
          <t>A 49289-2022</t>
        </is>
      </c>
      <c r="B737" s="1" t="n">
        <v>44861</v>
      </c>
      <c r="C737" s="1" t="n">
        <v>46093</v>
      </c>
      <c r="D737" t="inlineStr">
        <is>
          <t>VÄSTERNORRLANDS LÄN</t>
        </is>
      </c>
      <c r="E737" t="inlineStr">
        <is>
          <t>ÖRNSKÖLDSVIK</t>
        </is>
      </c>
      <c r="F737" t="inlineStr">
        <is>
          <t>Holmen skog AB</t>
        </is>
      </c>
      <c r="G737" t="n">
        <v>8.4</v>
      </c>
      <c r="H737" t="n">
        <v>0</v>
      </c>
      <c r="I737" t="n">
        <v>1</v>
      </c>
      <c r="J737" t="n">
        <v>1</v>
      </c>
      <c r="K737" t="n">
        <v>0</v>
      </c>
      <c r="L737" t="n">
        <v>0</v>
      </c>
      <c r="M737" t="n">
        <v>0</v>
      </c>
      <c r="N737" t="n">
        <v>0</v>
      </c>
      <c r="O737" t="n">
        <v>1</v>
      </c>
      <c r="P737" t="n">
        <v>0</v>
      </c>
      <c r="Q737" t="n">
        <v>2</v>
      </c>
      <c r="R737" s="2" t="inlineStr">
        <is>
          <t>Lunglav
Dropptaggsvamp</t>
        </is>
      </c>
      <c r="S737">
        <f>HYPERLINK("https://klasma.github.io/Logging_2284/artfynd/A 49289-2022 artfynd.xlsx", "A 49289-2022")</f>
        <v/>
      </c>
      <c r="T737">
        <f>HYPERLINK("https://klasma.github.io/Logging_2284/kartor/A 49289-2022 karta.png", "A 49289-2022")</f>
        <v/>
      </c>
      <c r="V737">
        <f>HYPERLINK("https://klasma.github.io/Logging_2284/klagomål/A 49289-2022 FSC-klagomål.docx", "A 49289-2022")</f>
        <v/>
      </c>
      <c r="W737">
        <f>HYPERLINK("https://klasma.github.io/Logging_2284/klagomålsmail/A 49289-2022 FSC-klagomål mail.docx", "A 49289-2022")</f>
        <v/>
      </c>
      <c r="X737">
        <f>HYPERLINK("https://klasma.github.io/Logging_2284/tillsyn/A 49289-2022 tillsynsbegäran.docx", "A 49289-2022")</f>
        <v/>
      </c>
      <c r="Y737">
        <f>HYPERLINK("https://klasma.github.io/Logging_2284/tillsynsmail/A 49289-2022 tillsynsbegäran mail.docx", "A 49289-2022")</f>
        <v/>
      </c>
    </row>
    <row r="738" ht="15" customHeight="1">
      <c r="A738" t="inlineStr">
        <is>
          <t>A 40965-2021</t>
        </is>
      </c>
      <c r="B738" s="1" t="n">
        <v>44421.57918981482</v>
      </c>
      <c r="C738" s="1" t="n">
        <v>46093</v>
      </c>
      <c r="D738" t="inlineStr">
        <is>
          <t>VÄSTERNORRLANDS LÄN</t>
        </is>
      </c>
      <c r="E738" t="inlineStr">
        <is>
          <t>ÅNGE</t>
        </is>
      </c>
      <c r="F738" t="inlineStr">
        <is>
          <t>Sveaskog</t>
        </is>
      </c>
      <c r="G738" t="n">
        <v>5.4</v>
      </c>
      <c r="H738" t="n">
        <v>1</v>
      </c>
      <c r="I738" t="n">
        <v>1</v>
      </c>
      <c r="J738" t="n">
        <v>1</v>
      </c>
      <c r="K738" t="n">
        <v>0</v>
      </c>
      <c r="L738" t="n">
        <v>0</v>
      </c>
      <c r="M738" t="n">
        <v>0</v>
      </c>
      <c r="N738" t="n">
        <v>0</v>
      </c>
      <c r="O738" t="n">
        <v>1</v>
      </c>
      <c r="P738" t="n">
        <v>0</v>
      </c>
      <c r="Q738" t="n">
        <v>2</v>
      </c>
      <c r="R738" s="2" t="inlineStr">
        <is>
          <t>Skogsfru
Skogsbräsma</t>
        </is>
      </c>
      <c r="S738">
        <f>HYPERLINK("https://klasma.github.io/Logging_2260/artfynd/A 40965-2021 artfynd.xlsx", "A 40965-2021")</f>
        <v/>
      </c>
      <c r="T738">
        <f>HYPERLINK("https://klasma.github.io/Logging_2260/kartor/A 40965-2021 karta.png", "A 40965-2021")</f>
        <v/>
      </c>
      <c r="V738">
        <f>HYPERLINK("https://klasma.github.io/Logging_2260/klagomål/A 40965-2021 FSC-klagomål.docx", "A 40965-2021")</f>
        <v/>
      </c>
      <c r="W738">
        <f>HYPERLINK("https://klasma.github.io/Logging_2260/klagomålsmail/A 40965-2021 FSC-klagomål mail.docx", "A 40965-2021")</f>
        <v/>
      </c>
      <c r="X738">
        <f>HYPERLINK("https://klasma.github.io/Logging_2260/tillsyn/A 40965-2021 tillsynsbegäran.docx", "A 40965-2021")</f>
        <v/>
      </c>
      <c r="Y738">
        <f>HYPERLINK("https://klasma.github.io/Logging_2260/tillsynsmail/A 40965-2021 tillsynsbegäran mail.docx", "A 40965-2021")</f>
        <v/>
      </c>
    </row>
    <row r="739" ht="15" customHeight="1">
      <c r="A739" t="inlineStr">
        <is>
          <t>A 35307-2022</t>
        </is>
      </c>
      <c r="B739" s="1" t="n">
        <v>44798.44170138889</v>
      </c>
      <c r="C739" s="1" t="n">
        <v>46093</v>
      </c>
      <c r="D739" t="inlineStr">
        <is>
          <t>VÄSTERNORRLANDS LÄN</t>
        </is>
      </c>
      <c r="E739" t="inlineStr">
        <is>
          <t>SUNDSVALL</t>
        </is>
      </c>
      <c r="F739" t="inlineStr">
        <is>
          <t>Holmen skog AB</t>
        </is>
      </c>
      <c r="G739" t="n">
        <v>13.4</v>
      </c>
      <c r="H739" t="n">
        <v>0</v>
      </c>
      <c r="I739" t="n">
        <v>1</v>
      </c>
      <c r="J739" t="n">
        <v>1</v>
      </c>
      <c r="K739" t="n">
        <v>0</v>
      </c>
      <c r="L739" t="n">
        <v>0</v>
      </c>
      <c r="M739" t="n">
        <v>0</v>
      </c>
      <c r="N739" t="n">
        <v>0</v>
      </c>
      <c r="O739" t="n">
        <v>1</v>
      </c>
      <c r="P739" t="n">
        <v>0</v>
      </c>
      <c r="Q739" t="n">
        <v>2</v>
      </c>
      <c r="R739" s="2" t="inlineStr">
        <is>
          <t>Månlåsbräken
Ögonpyrola</t>
        </is>
      </c>
      <c r="S739">
        <f>HYPERLINK("https://klasma.github.io/Logging_2281/artfynd/A 35307-2022 artfynd.xlsx", "A 35307-2022")</f>
        <v/>
      </c>
      <c r="T739">
        <f>HYPERLINK("https://klasma.github.io/Logging_2281/kartor/A 35307-2022 karta.png", "A 35307-2022")</f>
        <v/>
      </c>
      <c r="V739">
        <f>HYPERLINK("https://klasma.github.io/Logging_2281/klagomål/A 35307-2022 FSC-klagomål.docx", "A 35307-2022")</f>
        <v/>
      </c>
      <c r="W739">
        <f>HYPERLINK("https://klasma.github.io/Logging_2281/klagomålsmail/A 35307-2022 FSC-klagomål mail.docx", "A 35307-2022")</f>
        <v/>
      </c>
      <c r="X739">
        <f>HYPERLINK("https://klasma.github.io/Logging_2281/tillsyn/A 35307-2022 tillsynsbegäran.docx", "A 35307-2022")</f>
        <v/>
      </c>
      <c r="Y739">
        <f>HYPERLINK("https://klasma.github.io/Logging_2281/tillsynsmail/A 35307-2022 tillsynsbegäran mail.docx", "A 35307-2022")</f>
        <v/>
      </c>
    </row>
    <row r="740" ht="15" customHeight="1">
      <c r="A740" t="inlineStr">
        <is>
          <t>A 23222-2022</t>
        </is>
      </c>
      <c r="B740" s="1" t="n">
        <v>44719</v>
      </c>
      <c r="C740" s="1" t="n">
        <v>46093</v>
      </c>
      <c r="D740" t="inlineStr">
        <is>
          <t>VÄSTERNORRLANDS LÄN</t>
        </is>
      </c>
      <c r="E740" t="inlineStr">
        <is>
          <t>TIMRÅ</t>
        </is>
      </c>
      <c r="F740" t="inlineStr">
        <is>
          <t>SCA</t>
        </is>
      </c>
      <c r="G740" t="n">
        <v>4</v>
      </c>
      <c r="H740" t="n">
        <v>0</v>
      </c>
      <c r="I740" t="n">
        <v>0</v>
      </c>
      <c r="J740" t="n">
        <v>2</v>
      </c>
      <c r="K740" t="n">
        <v>0</v>
      </c>
      <c r="L740" t="n">
        <v>0</v>
      </c>
      <c r="M740" t="n">
        <v>0</v>
      </c>
      <c r="N740" t="n">
        <v>0</v>
      </c>
      <c r="O740" t="n">
        <v>2</v>
      </c>
      <c r="P740" t="n">
        <v>0</v>
      </c>
      <c r="Q740" t="n">
        <v>2</v>
      </c>
      <c r="R740" s="2" t="inlineStr">
        <is>
          <t>Gammelgransskål
Garnlav</t>
        </is>
      </c>
      <c r="S740">
        <f>HYPERLINK("https://klasma.github.io/Logging_2262/artfynd/A 23222-2022 artfynd.xlsx", "A 23222-2022")</f>
        <v/>
      </c>
      <c r="T740">
        <f>HYPERLINK("https://klasma.github.io/Logging_2262/kartor/A 23222-2022 karta.png", "A 23222-2022")</f>
        <v/>
      </c>
      <c r="V740">
        <f>HYPERLINK("https://klasma.github.io/Logging_2262/klagomål/A 23222-2022 FSC-klagomål.docx", "A 23222-2022")</f>
        <v/>
      </c>
      <c r="W740">
        <f>HYPERLINK("https://klasma.github.io/Logging_2262/klagomålsmail/A 23222-2022 FSC-klagomål mail.docx", "A 23222-2022")</f>
        <v/>
      </c>
      <c r="X740">
        <f>HYPERLINK("https://klasma.github.io/Logging_2262/tillsyn/A 23222-2022 tillsynsbegäran.docx", "A 23222-2022")</f>
        <v/>
      </c>
      <c r="Y740">
        <f>HYPERLINK("https://klasma.github.io/Logging_2262/tillsynsmail/A 23222-2022 tillsynsbegäran mail.docx", "A 23222-2022")</f>
        <v/>
      </c>
    </row>
    <row r="741" ht="15" customHeight="1">
      <c r="A741" t="inlineStr">
        <is>
          <t>A 51024-2021</t>
        </is>
      </c>
      <c r="B741" s="1" t="n">
        <v>44460.94056712963</v>
      </c>
      <c r="C741" s="1" t="n">
        <v>46093</v>
      </c>
      <c r="D741" t="inlineStr">
        <is>
          <t>VÄSTERNORRLANDS LÄN</t>
        </is>
      </c>
      <c r="E741" t="inlineStr">
        <is>
          <t>SOLLEFTEÅ</t>
        </is>
      </c>
      <c r="F741" t="inlineStr">
        <is>
          <t>SCA</t>
        </is>
      </c>
      <c r="G741" t="n">
        <v>7.1</v>
      </c>
      <c r="H741" t="n">
        <v>0</v>
      </c>
      <c r="I741" t="n">
        <v>0</v>
      </c>
      <c r="J741" t="n">
        <v>2</v>
      </c>
      <c r="K741" t="n">
        <v>0</v>
      </c>
      <c r="L741" t="n">
        <v>0</v>
      </c>
      <c r="M741" t="n">
        <v>0</v>
      </c>
      <c r="N741" t="n">
        <v>0</v>
      </c>
      <c r="O741" t="n">
        <v>2</v>
      </c>
      <c r="P741" t="n">
        <v>0</v>
      </c>
      <c r="Q741" t="n">
        <v>2</v>
      </c>
      <c r="R741" s="2" t="inlineStr">
        <is>
          <t>Tallticka
Ullticka</t>
        </is>
      </c>
      <c r="S741">
        <f>HYPERLINK("https://klasma.github.io/Logging_2283/artfynd/A 51024-2021 artfynd.xlsx", "A 51024-2021")</f>
        <v/>
      </c>
      <c r="T741">
        <f>HYPERLINK("https://klasma.github.io/Logging_2283/kartor/A 51024-2021 karta.png", "A 51024-2021")</f>
        <v/>
      </c>
      <c r="V741">
        <f>HYPERLINK("https://klasma.github.io/Logging_2283/klagomål/A 51024-2021 FSC-klagomål.docx", "A 51024-2021")</f>
        <v/>
      </c>
      <c r="W741">
        <f>HYPERLINK("https://klasma.github.io/Logging_2283/klagomålsmail/A 51024-2021 FSC-klagomål mail.docx", "A 51024-2021")</f>
        <v/>
      </c>
      <c r="X741">
        <f>HYPERLINK("https://klasma.github.io/Logging_2283/tillsyn/A 51024-2021 tillsynsbegäran.docx", "A 51024-2021")</f>
        <v/>
      </c>
      <c r="Y741">
        <f>HYPERLINK("https://klasma.github.io/Logging_2283/tillsynsmail/A 51024-2021 tillsynsbegäran mail.docx", "A 51024-2021")</f>
        <v/>
      </c>
    </row>
    <row r="742" ht="15" customHeight="1">
      <c r="A742" t="inlineStr">
        <is>
          <t>A 8234-2022</t>
        </is>
      </c>
      <c r="B742" s="1" t="n">
        <v>44609</v>
      </c>
      <c r="C742" s="1" t="n">
        <v>46093</v>
      </c>
      <c r="D742" t="inlineStr">
        <is>
          <t>VÄSTERNORRLANDS LÄN</t>
        </is>
      </c>
      <c r="E742" t="inlineStr">
        <is>
          <t>ÅNGE</t>
        </is>
      </c>
      <c r="F742" t="inlineStr">
        <is>
          <t>SCA</t>
        </is>
      </c>
      <c r="G742" t="n">
        <v>2.3</v>
      </c>
      <c r="H742" t="n">
        <v>1</v>
      </c>
      <c r="I742" t="n">
        <v>0</v>
      </c>
      <c r="J742" t="n">
        <v>1</v>
      </c>
      <c r="K742" t="n">
        <v>0</v>
      </c>
      <c r="L742" t="n">
        <v>0</v>
      </c>
      <c r="M742" t="n">
        <v>0</v>
      </c>
      <c r="N742" t="n">
        <v>0</v>
      </c>
      <c r="O742" t="n">
        <v>1</v>
      </c>
      <c r="P742" t="n">
        <v>0</v>
      </c>
      <c r="Q742" t="n">
        <v>2</v>
      </c>
      <c r="R742" s="2" t="inlineStr">
        <is>
          <t>Garnlav
Revlummer</t>
        </is>
      </c>
      <c r="S742">
        <f>HYPERLINK("https://klasma.github.io/Logging_2260/artfynd/A 8234-2022 artfynd.xlsx", "A 8234-2022")</f>
        <v/>
      </c>
      <c r="T742">
        <f>HYPERLINK("https://klasma.github.io/Logging_2260/kartor/A 8234-2022 karta.png", "A 8234-2022")</f>
        <v/>
      </c>
      <c r="V742">
        <f>HYPERLINK("https://klasma.github.io/Logging_2260/klagomål/A 8234-2022 FSC-klagomål.docx", "A 8234-2022")</f>
        <v/>
      </c>
      <c r="W742">
        <f>HYPERLINK("https://klasma.github.io/Logging_2260/klagomålsmail/A 8234-2022 FSC-klagomål mail.docx", "A 8234-2022")</f>
        <v/>
      </c>
      <c r="X742">
        <f>HYPERLINK("https://klasma.github.io/Logging_2260/tillsyn/A 8234-2022 tillsynsbegäran.docx", "A 8234-2022")</f>
        <v/>
      </c>
      <c r="Y742">
        <f>HYPERLINK("https://klasma.github.io/Logging_2260/tillsynsmail/A 8234-2022 tillsynsbegäran mail.docx", "A 8234-2022")</f>
        <v/>
      </c>
    </row>
    <row r="743" ht="15" customHeight="1">
      <c r="A743" t="inlineStr">
        <is>
          <t>A 13658-2022</t>
        </is>
      </c>
      <c r="B743" s="1" t="n">
        <v>44648</v>
      </c>
      <c r="C743" s="1" t="n">
        <v>46093</v>
      </c>
      <c r="D743" t="inlineStr">
        <is>
          <t>VÄSTERNORRLANDS LÄN</t>
        </is>
      </c>
      <c r="E743" t="inlineStr">
        <is>
          <t>SOLLEFTEÅ</t>
        </is>
      </c>
      <c r="G743" t="n">
        <v>7.4</v>
      </c>
      <c r="H743" t="n">
        <v>2</v>
      </c>
      <c r="I743" t="n">
        <v>0</v>
      </c>
      <c r="J743" t="n">
        <v>1</v>
      </c>
      <c r="K743" t="n">
        <v>0</v>
      </c>
      <c r="L743" t="n">
        <v>0</v>
      </c>
      <c r="M743" t="n">
        <v>0</v>
      </c>
      <c r="N743" t="n">
        <v>0</v>
      </c>
      <c r="O743" t="n">
        <v>1</v>
      </c>
      <c r="P743" t="n">
        <v>0</v>
      </c>
      <c r="Q743" t="n">
        <v>2</v>
      </c>
      <c r="R743" s="2" t="inlineStr">
        <is>
          <t>Nordfladdermus
Vattenfladdermus</t>
        </is>
      </c>
      <c r="S743">
        <f>HYPERLINK("https://klasma.github.io/Logging_2283/artfynd/A 13658-2022 artfynd.xlsx", "A 13658-2022")</f>
        <v/>
      </c>
      <c r="T743">
        <f>HYPERLINK("https://klasma.github.io/Logging_2283/kartor/A 13658-2022 karta.png", "A 13658-2022")</f>
        <v/>
      </c>
      <c r="V743">
        <f>HYPERLINK("https://klasma.github.io/Logging_2283/klagomål/A 13658-2022 FSC-klagomål.docx", "A 13658-2022")</f>
        <v/>
      </c>
      <c r="W743">
        <f>HYPERLINK("https://klasma.github.io/Logging_2283/klagomålsmail/A 13658-2022 FSC-klagomål mail.docx", "A 13658-2022")</f>
        <v/>
      </c>
      <c r="X743">
        <f>HYPERLINK("https://klasma.github.io/Logging_2283/tillsyn/A 13658-2022 tillsynsbegäran.docx", "A 13658-2022")</f>
        <v/>
      </c>
      <c r="Y743">
        <f>HYPERLINK("https://klasma.github.io/Logging_2283/tillsynsmail/A 13658-2022 tillsynsbegäran mail.docx", "A 13658-2022")</f>
        <v/>
      </c>
    </row>
    <row r="744" ht="15" customHeight="1">
      <c r="A744" t="inlineStr">
        <is>
          <t>A 68863-2021</t>
        </is>
      </c>
      <c r="B744" s="1" t="n">
        <v>44530</v>
      </c>
      <c r="C744" s="1" t="n">
        <v>46093</v>
      </c>
      <c r="D744" t="inlineStr">
        <is>
          <t>VÄSTERNORRLANDS LÄN</t>
        </is>
      </c>
      <c r="E744" t="inlineStr">
        <is>
          <t>SOLLEFTEÅ</t>
        </is>
      </c>
      <c r="F744" t="inlineStr">
        <is>
          <t>Holmen skog AB</t>
        </is>
      </c>
      <c r="G744" t="n">
        <v>16.8</v>
      </c>
      <c r="H744" t="n">
        <v>2</v>
      </c>
      <c r="I744" t="n">
        <v>0</v>
      </c>
      <c r="J744" t="n">
        <v>1</v>
      </c>
      <c r="K744" t="n">
        <v>0</v>
      </c>
      <c r="L744" t="n">
        <v>0</v>
      </c>
      <c r="M744" t="n">
        <v>0</v>
      </c>
      <c r="N744" t="n">
        <v>0</v>
      </c>
      <c r="O744" t="n">
        <v>1</v>
      </c>
      <c r="P744" t="n">
        <v>0</v>
      </c>
      <c r="Q744" t="n">
        <v>2</v>
      </c>
      <c r="R744" s="2" t="inlineStr">
        <is>
          <t>Tretåig hackspett
Lavskrika</t>
        </is>
      </c>
      <c r="S744">
        <f>HYPERLINK("https://klasma.github.io/Logging_2283/artfynd/A 68863-2021 artfynd.xlsx", "A 68863-2021")</f>
        <v/>
      </c>
      <c r="T744">
        <f>HYPERLINK("https://klasma.github.io/Logging_2283/kartor/A 68863-2021 karta.png", "A 68863-2021")</f>
        <v/>
      </c>
      <c r="V744">
        <f>HYPERLINK("https://klasma.github.io/Logging_2283/klagomål/A 68863-2021 FSC-klagomål.docx", "A 68863-2021")</f>
        <v/>
      </c>
      <c r="W744">
        <f>HYPERLINK("https://klasma.github.io/Logging_2283/klagomålsmail/A 68863-2021 FSC-klagomål mail.docx", "A 68863-2021")</f>
        <v/>
      </c>
      <c r="X744">
        <f>HYPERLINK("https://klasma.github.io/Logging_2283/tillsyn/A 68863-2021 tillsynsbegäran.docx", "A 68863-2021")</f>
        <v/>
      </c>
      <c r="Y744">
        <f>HYPERLINK("https://klasma.github.io/Logging_2283/tillsynsmail/A 68863-2021 tillsynsbegäran mail.docx", "A 68863-2021")</f>
        <v/>
      </c>
      <c r="Z744">
        <f>HYPERLINK("https://klasma.github.io/Logging_2283/fåglar/A 68863-2021 prioriterade fågelarter.docx", "A 68863-2021")</f>
        <v/>
      </c>
    </row>
    <row r="745" ht="15" customHeight="1">
      <c r="A745" t="inlineStr">
        <is>
          <t>A 35071-2021</t>
        </is>
      </c>
      <c r="B745" s="1" t="n">
        <v>44383</v>
      </c>
      <c r="C745" s="1" t="n">
        <v>46093</v>
      </c>
      <c r="D745" t="inlineStr">
        <is>
          <t>VÄSTERNORRLANDS LÄN</t>
        </is>
      </c>
      <c r="E745" t="inlineStr">
        <is>
          <t>SOLLEFTEÅ</t>
        </is>
      </c>
      <c r="F745" t="inlineStr">
        <is>
          <t>SCA</t>
        </is>
      </c>
      <c r="G745" t="n">
        <v>1.8</v>
      </c>
      <c r="H745" t="n">
        <v>0</v>
      </c>
      <c r="I745" t="n">
        <v>2</v>
      </c>
      <c r="J745" t="n">
        <v>0</v>
      </c>
      <c r="K745" t="n">
        <v>0</v>
      </c>
      <c r="L745" t="n">
        <v>0</v>
      </c>
      <c r="M745" t="n">
        <v>0</v>
      </c>
      <c r="N745" t="n">
        <v>0</v>
      </c>
      <c r="O745" t="n">
        <v>0</v>
      </c>
      <c r="P745" t="n">
        <v>0</v>
      </c>
      <c r="Q745" t="n">
        <v>2</v>
      </c>
      <c r="R745" s="2" t="inlineStr">
        <is>
          <t>Norrlandslav
Vedticka</t>
        </is>
      </c>
      <c r="S745">
        <f>HYPERLINK("https://klasma.github.io/Logging_2283/artfynd/A 35071-2021 artfynd.xlsx", "A 35071-2021")</f>
        <v/>
      </c>
      <c r="T745">
        <f>HYPERLINK("https://klasma.github.io/Logging_2283/kartor/A 35071-2021 karta.png", "A 35071-2021")</f>
        <v/>
      </c>
      <c r="V745">
        <f>HYPERLINK("https://klasma.github.io/Logging_2283/klagomål/A 35071-2021 FSC-klagomål.docx", "A 35071-2021")</f>
        <v/>
      </c>
      <c r="W745">
        <f>HYPERLINK("https://klasma.github.io/Logging_2283/klagomålsmail/A 35071-2021 FSC-klagomål mail.docx", "A 35071-2021")</f>
        <v/>
      </c>
      <c r="X745">
        <f>HYPERLINK("https://klasma.github.io/Logging_2283/tillsyn/A 35071-2021 tillsynsbegäran.docx", "A 35071-2021")</f>
        <v/>
      </c>
      <c r="Y745">
        <f>HYPERLINK("https://klasma.github.io/Logging_2283/tillsynsmail/A 35071-2021 tillsynsbegäran mail.docx", "A 35071-2021")</f>
        <v/>
      </c>
    </row>
    <row r="746" ht="15" customHeight="1">
      <c r="A746" t="inlineStr">
        <is>
          <t>A 30246-2022</t>
        </is>
      </c>
      <c r="B746" s="1" t="n">
        <v>44757.94475694445</v>
      </c>
      <c r="C746" s="1" t="n">
        <v>46093</v>
      </c>
      <c r="D746" t="inlineStr">
        <is>
          <t>VÄSTERNORRLANDS LÄN</t>
        </is>
      </c>
      <c r="E746" t="inlineStr">
        <is>
          <t>TIMRÅ</t>
        </is>
      </c>
      <c r="F746" t="inlineStr">
        <is>
          <t>SCA</t>
        </is>
      </c>
      <c r="G746" t="n">
        <v>0.8</v>
      </c>
      <c r="H746" t="n">
        <v>1</v>
      </c>
      <c r="I746" t="n">
        <v>0</v>
      </c>
      <c r="J746" t="n">
        <v>1</v>
      </c>
      <c r="K746" t="n">
        <v>0</v>
      </c>
      <c r="L746" t="n">
        <v>0</v>
      </c>
      <c r="M746" t="n">
        <v>0</v>
      </c>
      <c r="N746" t="n">
        <v>0</v>
      </c>
      <c r="O746" t="n">
        <v>1</v>
      </c>
      <c r="P746" t="n">
        <v>0</v>
      </c>
      <c r="Q746" t="n">
        <v>2</v>
      </c>
      <c r="R746" s="2" t="inlineStr">
        <is>
          <t>Garnlav
Vanlig padda</t>
        </is>
      </c>
      <c r="S746">
        <f>HYPERLINK("https://klasma.github.io/Logging_2262/artfynd/A 30246-2022 artfynd.xlsx", "A 30246-2022")</f>
        <v/>
      </c>
      <c r="T746">
        <f>HYPERLINK("https://klasma.github.io/Logging_2262/kartor/A 30246-2022 karta.png", "A 30246-2022")</f>
        <v/>
      </c>
      <c r="V746">
        <f>HYPERLINK("https://klasma.github.io/Logging_2262/klagomål/A 30246-2022 FSC-klagomål.docx", "A 30246-2022")</f>
        <v/>
      </c>
      <c r="W746">
        <f>HYPERLINK("https://klasma.github.io/Logging_2262/klagomålsmail/A 30246-2022 FSC-klagomål mail.docx", "A 30246-2022")</f>
        <v/>
      </c>
      <c r="X746">
        <f>HYPERLINK("https://klasma.github.io/Logging_2262/tillsyn/A 30246-2022 tillsynsbegäran.docx", "A 30246-2022")</f>
        <v/>
      </c>
      <c r="Y746">
        <f>HYPERLINK("https://klasma.github.io/Logging_2262/tillsynsmail/A 30246-2022 tillsynsbegäran mail.docx", "A 30246-2022")</f>
        <v/>
      </c>
    </row>
    <row r="747" ht="15" customHeight="1">
      <c r="A747" t="inlineStr">
        <is>
          <t>A 58191-2022</t>
        </is>
      </c>
      <c r="B747" s="1" t="n">
        <v>44900</v>
      </c>
      <c r="C747" s="1" t="n">
        <v>46093</v>
      </c>
      <c r="D747" t="inlineStr">
        <is>
          <t>VÄSTERNORRLANDS LÄN</t>
        </is>
      </c>
      <c r="E747" t="inlineStr">
        <is>
          <t>SUNDSVALL</t>
        </is>
      </c>
      <c r="F747" t="inlineStr">
        <is>
          <t>SCA</t>
        </is>
      </c>
      <c r="G747" t="n">
        <v>2</v>
      </c>
      <c r="H747" t="n">
        <v>1</v>
      </c>
      <c r="I747" t="n">
        <v>2</v>
      </c>
      <c r="J747" t="n">
        <v>0</v>
      </c>
      <c r="K747" t="n">
        <v>0</v>
      </c>
      <c r="L747" t="n">
        <v>0</v>
      </c>
      <c r="M747" t="n">
        <v>0</v>
      </c>
      <c r="N747" t="n">
        <v>0</v>
      </c>
      <c r="O747" t="n">
        <v>0</v>
      </c>
      <c r="P747" t="n">
        <v>0</v>
      </c>
      <c r="Q747" t="n">
        <v>2</v>
      </c>
      <c r="R747" s="2" t="inlineStr">
        <is>
          <t>Korallrot
Vedticka</t>
        </is>
      </c>
      <c r="S747">
        <f>HYPERLINK("https://klasma.github.io/Logging_2281/artfynd/A 58191-2022 artfynd.xlsx", "A 58191-2022")</f>
        <v/>
      </c>
      <c r="T747">
        <f>HYPERLINK("https://klasma.github.io/Logging_2281/kartor/A 58191-2022 karta.png", "A 58191-2022")</f>
        <v/>
      </c>
      <c r="U747">
        <f>HYPERLINK("https://klasma.github.io/Logging_2281/knärot/A 58191-2022 karta knärot.png", "A 58191-2022")</f>
        <v/>
      </c>
      <c r="V747">
        <f>HYPERLINK("https://klasma.github.io/Logging_2281/klagomål/A 58191-2022 FSC-klagomål.docx", "A 58191-2022")</f>
        <v/>
      </c>
      <c r="W747">
        <f>HYPERLINK("https://klasma.github.io/Logging_2281/klagomålsmail/A 58191-2022 FSC-klagomål mail.docx", "A 58191-2022")</f>
        <v/>
      </c>
      <c r="X747">
        <f>HYPERLINK("https://klasma.github.io/Logging_2281/tillsyn/A 58191-2022 tillsynsbegäran.docx", "A 58191-2022")</f>
        <v/>
      </c>
      <c r="Y747">
        <f>HYPERLINK("https://klasma.github.io/Logging_2281/tillsynsmail/A 58191-2022 tillsynsbegäran mail.docx", "A 58191-2022")</f>
        <v/>
      </c>
    </row>
    <row r="748" ht="15" customHeight="1">
      <c r="A748" t="inlineStr">
        <is>
          <t>A 44901-2024</t>
        </is>
      </c>
      <c r="B748" s="1" t="n">
        <v>45575.37862268519</v>
      </c>
      <c r="C748" s="1" t="n">
        <v>46093</v>
      </c>
      <c r="D748" t="inlineStr">
        <is>
          <t>VÄSTERNORRLANDS LÄN</t>
        </is>
      </c>
      <c r="E748" t="inlineStr">
        <is>
          <t>HÄRNÖSAND</t>
        </is>
      </c>
      <c r="G748" t="n">
        <v>3.3</v>
      </c>
      <c r="H748" t="n">
        <v>0</v>
      </c>
      <c r="I748" t="n">
        <v>1</v>
      </c>
      <c r="J748" t="n">
        <v>1</v>
      </c>
      <c r="K748" t="n">
        <v>0</v>
      </c>
      <c r="L748" t="n">
        <v>0</v>
      </c>
      <c r="M748" t="n">
        <v>0</v>
      </c>
      <c r="N748" t="n">
        <v>0</v>
      </c>
      <c r="O748" t="n">
        <v>1</v>
      </c>
      <c r="P748" t="n">
        <v>0</v>
      </c>
      <c r="Q748" t="n">
        <v>2</v>
      </c>
      <c r="R748" s="2" t="inlineStr">
        <is>
          <t>Garnlav
Vedticka</t>
        </is>
      </c>
      <c r="S748">
        <f>HYPERLINK("https://klasma.github.io/Logging_2280/artfynd/A 44901-2024 artfynd.xlsx", "A 44901-2024")</f>
        <v/>
      </c>
      <c r="T748">
        <f>HYPERLINK("https://klasma.github.io/Logging_2280/kartor/A 44901-2024 karta.png", "A 44901-2024")</f>
        <v/>
      </c>
      <c r="V748">
        <f>HYPERLINK("https://klasma.github.io/Logging_2280/klagomål/A 44901-2024 FSC-klagomål.docx", "A 44901-2024")</f>
        <v/>
      </c>
      <c r="W748">
        <f>HYPERLINK("https://klasma.github.io/Logging_2280/klagomålsmail/A 44901-2024 FSC-klagomål mail.docx", "A 44901-2024")</f>
        <v/>
      </c>
      <c r="X748">
        <f>HYPERLINK("https://klasma.github.io/Logging_2280/tillsyn/A 44901-2024 tillsynsbegäran.docx", "A 44901-2024")</f>
        <v/>
      </c>
      <c r="Y748">
        <f>HYPERLINK("https://klasma.github.io/Logging_2280/tillsynsmail/A 44901-2024 tillsynsbegäran mail.docx", "A 44901-2024")</f>
        <v/>
      </c>
    </row>
    <row r="749" ht="15" customHeight="1">
      <c r="A749" t="inlineStr">
        <is>
          <t>A 4093-2025</t>
        </is>
      </c>
      <c r="B749" s="1" t="n">
        <v>45684.67762731481</v>
      </c>
      <c r="C749" s="1" t="n">
        <v>46093</v>
      </c>
      <c r="D749" t="inlineStr">
        <is>
          <t>VÄSTERNORRLANDS LÄN</t>
        </is>
      </c>
      <c r="E749" t="inlineStr">
        <is>
          <t>ÅNGE</t>
        </is>
      </c>
      <c r="F749" t="inlineStr">
        <is>
          <t>SCA</t>
        </is>
      </c>
      <c r="G749" t="n">
        <v>2.6</v>
      </c>
      <c r="H749" t="n">
        <v>1</v>
      </c>
      <c r="I749" t="n">
        <v>2</v>
      </c>
      <c r="J749" t="n">
        <v>0</v>
      </c>
      <c r="K749" t="n">
        <v>0</v>
      </c>
      <c r="L749" t="n">
        <v>0</v>
      </c>
      <c r="M749" t="n">
        <v>0</v>
      </c>
      <c r="N749" t="n">
        <v>0</v>
      </c>
      <c r="O749" t="n">
        <v>0</v>
      </c>
      <c r="P749" t="n">
        <v>0</v>
      </c>
      <c r="Q749" t="n">
        <v>2</v>
      </c>
      <c r="R749" s="2" t="inlineStr">
        <is>
          <t>Kransrams
Spindelblomster</t>
        </is>
      </c>
      <c r="S749">
        <f>HYPERLINK("https://klasma.github.io/Logging_2260/artfynd/A 4093-2025 artfynd.xlsx", "A 4093-2025")</f>
        <v/>
      </c>
      <c r="T749">
        <f>HYPERLINK("https://klasma.github.io/Logging_2260/kartor/A 4093-2025 karta.png", "A 4093-2025")</f>
        <v/>
      </c>
      <c r="V749">
        <f>HYPERLINK("https://klasma.github.io/Logging_2260/klagomål/A 4093-2025 FSC-klagomål.docx", "A 4093-2025")</f>
        <v/>
      </c>
      <c r="W749">
        <f>HYPERLINK("https://klasma.github.io/Logging_2260/klagomålsmail/A 4093-2025 FSC-klagomål mail.docx", "A 4093-2025")</f>
        <v/>
      </c>
      <c r="X749">
        <f>HYPERLINK("https://klasma.github.io/Logging_2260/tillsyn/A 4093-2025 tillsynsbegäran.docx", "A 4093-2025")</f>
        <v/>
      </c>
      <c r="Y749">
        <f>HYPERLINK("https://klasma.github.io/Logging_2260/tillsynsmail/A 4093-2025 tillsynsbegäran mail.docx", "A 4093-2025")</f>
        <v/>
      </c>
    </row>
    <row r="750" ht="15" customHeight="1">
      <c r="A750" t="inlineStr">
        <is>
          <t>A 57781-2023</t>
        </is>
      </c>
      <c r="B750" s="1" t="n">
        <v>45246</v>
      </c>
      <c r="C750" s="1" t="n">
        <v>46093</v>
      </c>
      <c r="D750" t="inlineStr">
        <is>
          <t>VÄSTERNORRLANDS LÄN</t>
        </is>
      </c>
      <c r="E750" t="inlineStr">
        <is>
          <t>SUNDSVALL</t>
        </is>
      </c>
      <c r="F750" t="inlineStr">
        <is>
          <t>SCA</t>
        </is>
      </c>
      <c r="G750" t="n">
        <v>4.9</v>
      </c>
      <c r="H750" t="n">
        <v>0</v>
      </c>
      <c r="I750" t="n">
        <v>1</v>
      </c>
      <c r="J750" t="n">
        <v>1</v>
      </c>
      <c r="K750" t="n">
        <v>0</v>
      </c>
      <c r="L750" t="n">
        <v>0</v>
      </c>
      <c r="M750" t="n">
        <v>0</v>
      </c>
      <c r="N750" t="n">
        <v>0</v>
      </c>
      <c r="O750" t="n">
        <v>1</v>
      </c>
      <c r="P750" t="n">
        <v>0</v>
      </c>
      <c r="Q750" t="n">
        <v>2</v>
      </c>
      <c r="R750" s="2" t="inlineStr">
        <is>
          <t>Tallticka
Bollvitmossa</t>
        </is>
      </c>
      <c r="S750">
        <f>HYPERLINK("https://klasma.github.io/Logging_2281/artfynd/A 57781-2023 artfynd.xlsx", "A 57781-2023")</f>
        <v/>
      </c>
      <c r="T750">
        <f>HYPERLINK("https://klasma.github.io/Logging_2281/kartor/A 57781-2023 karta.png", "A 57781-2023")</f>
        <v/>
      </c>
      <c r="V750">
        <f>HYPERLINK("https://klasma.github.io/Logging_2281/klagomål/A 57781-2023 FSC-klagomål.docx", "A 57781-2023")</f>
        <v/>
      </c>
      <c r="W750">
        <f>HYPERLINK("https://klasma.github.io/Logging_2281/klagomålsmail/A 57781-2023 FSC-klagomål mail.docx", "A 57781-2023")</f>
        <v/>
      </c>
      <c r="X750">
        <f>HYPERLINK("https://klasma.github.io/Logging_2281/tillsyn/A 57781-2023 tillsynsbegäran.docx", "A 57781-2023")</f>
        <v/>
      </c>
      <c r="Y750">
        <f>HYPERLINK("https://klasma.github.io/Logging_2281/tillsynsmail/A 57781-2023 tillsynsbegäran mail.docx", "A 57781-2023")</f>
        <v/>
      </c>
    </row>
    <row r="751" ht="15" customHeight="1">
      <c r="A751" t="inlineStr">
        <is>
          <t>A 45119-2022</t>
        </is>
      </c>
      <c r="B751" s="1" t="n">
        <v>44843</v>
      </c>
      <c r="C751" s="1" t="n">
        <v>46093</v>
      </c>
      <c r="D751" t="inlineStr">
        <is>
          <t>VÄSTERNORRLANDS LÄN</t>
        </is>
      </c>
      <c r="E751" t="inlineStr">
        <is>
          <t>SOLLEFTEÅ</t>
        </is>
      </c>
      <c r="F751" t="inlineStr">
        <is>
          <t>SCA</t>
        </is>
      </c>
      <c r="G751" t="n">
        <v>1.3</v>
      </c>
      <c r="H751" t="n">
        <v>1</v>
      </c>
      <c r="I751" t="n">
        <v>0</v>
      </c>
      <c r="J751" t="n">
        <v>1</v>
      </c>
      <c r="K751" t="n">
        <v>1</v>
      </c>
      <c r="L751" t="n">
        <v>0</v>
      </c>
      <c r="M751" t="n">
        <v>0</v>
      </c>
      <c r="N751" t="n">
        <v>0</v>
      </c>
      <c r="O751" t="n">
        <v>2</v>
      </c>
      <c r="P751" t="n">
        <v>1</v>
      </c>
      <c r="Q751" t="n">
        <v>2</v>
      </c>
      <c r="R751" s="2" t="inlineStr">
        <is>
          <t>Knärot
Garnlav</t>
        </is>
      </c>
      <c r="S751">
        <f>HYPERLINK("https://klasma.github.io/Logging_2283/artfynd/A 45119-2022 artfynd.xlsx", "A 45119-2022")</f>
        <v/>
      </c>
      <c r="T751">
        <f>HYPERLINK("https://klasma.github.io/Logging_2283/kartor/A 45119-2022 karta.png", "A 45119-2022")</f>
        <v/>
      </c>
      <c r="U751">
        <f>HYPERLINK("https://klasma.github.io/Logging_2283/knärot/A 45119-2022 karta knärot.png", "A 45119-2022")</f>
        <v/>
      </c>
      <c r="V751">
        <f>HYPERLINK("https://klasma.github.io/Logging_2283/klagomål/A 45119-2022 FSC-klagomål.docx", "A 45119-2022")</f>
        <v/>
      </c>
      <c r="W751">
        <f>HYPERLINK("https://klasma.github.io/Logging_2283/klagomålsmail/A 45119-2022 FSC-klagomål mail.docx", "A 45119-2022")</f>
        <v/>
      </c>
      <c r="X751">
        <f>HYPERLINK("https://klasma.github.io/Logging_2283/tillsyn/A 45119-2022 tillsynsbegäran.docx", "A 45119-2022")</f>
        <v/>
      </c>
      <c r="Y751">
        <f>HYPERLINK("https://klasma.github.io/Logging_2283/tillsynsmail/A 45119-2022 tillsynsbegäran mail.docx", "A 45119-2022")</f>
        <v/>
      </c>
    </row>
    <row r="752" ht="15" customHeight="1">
      <c r="A752" t="inlineStr">
        <is>
          <t>A 13309-2022</t>
        </is>
      </c>
      <c r="B752" s="1" t="n">
        <v>44644.93670138889</v>
      </c>
      <c r="C752" s="1" t="n">
        <v>46093</v>
      </c>
      <c r="D752" t="inlineStr">
        <is>
          <t>VÄSTERNORRLANDS LÄN</t>
        </is>
      </c>
      <c r="E752" t="inlineStr">
        <is>
          <t>SOLLEFTEÅ</t>
        </is>
      </c>
      <c r="F752" t="inlineStr">
        <is>
          <t>SCA</t>
        </is>
      </c>
      <c r="G752" t="n">
        <v>2.3</v>
      </c>
      <c r="H752" t="n">
        <v>0</v>
      </c>
      <c r="I752" t="n">
        <v>0</v>
      </c>
      <c r="J752" t="n">
        <v>1</v>
      </c>
      <c r="K752" t="n">
        <v>1</v>
      </c>
      <c r="L752" t="n">
        <v>0</v>
      </c>
      <c r="M752" t="n">
        <v>0</v>
      </c>
      <c r="N752" t="n">
        <v>0</v>
      </c>
      <c r="O752" t="n">
        <v>2</v>
      </c>
      <c r="P752" t="n">
        <v>1</v>
      </c>
      <c r="Q752" t="n">
        <v>2</v>
      </c>
      <c r="R752" s="2" t="inlineStr">
        <is>
          <t>Rynkskinn
Koralltaggsvamp</t>
        </is>
      </c>
      <c r="S752">
        <f>HYPERLINK("https://klasma.github.io/Logging_2283/artfynd/A 13309-2022 artfynd.xlsx", "A 13309-2022")</f>
        <v/>
      </c>
      <c r="T752">
        <f>HYPERLINK("https://klasma.github.io/Logging_2283/kartor/A 13309-2022 karta.png", "A 13309-2022")</f>
        <v/>
      </c>
      <c r="V752">
        <f>HYPERLINK("https://klasma.github.io/Logging_2283/klagomål/A 13309-2022 FSC-klagomål.docx", "A 13309-2022")</f>
        <v/>
      </c>
      <c r="W752">
        <f>HYPERLINK("https://klasma.github.io/Logging_2283/klagomålsmail/A 13309-2022 FSC-klagomål mail.docx", "A 13309-2022")</f>
        <v/>
      </c>
      <c r="X752">
        <f>HYPERLINK("https://klasma.github.io/Logging_2283/tillsyn/A 13309-2022 tillsynsbegäran.docx", "A 13309-2022")</f>
        <v/>
      </c>
      <c r="Y752">
        <f>HYPERLINK("https://klasma.github.io/Logging_2283/tillsynsmail/A 13309-2022 tillsynsbegäran mail.docx", "A 13309-2022")</f>
        <v/>
      </c>
    </row>
    <row r="753" ht="15" customHeight="1">
      <c r="A753" t="inlineStr">
        <is>
          <t>A 13743-2025</t>
        </is>
      </c>
      <c r="B753" s="1" t="n">
        <v>45737.40663194445</v>
      </c>
      <c r="C753" s="1" t="n">
        <v>46093</v>
      </c>
      <c r="D753" t="inlineStr">
        <is>
          <t>VÄSTERNORRLANDS LÄN</t>
        </is>
      </c>
      <c r="E753" t="inlineStr">
        <is>
          <t>SOLLEFTEÅ</t>
        </is>
      </c>
      <c r="F753" t="inlineStr">
        <is>
          <t>SCA</t>
        </is>
      </c>
      <c r="G753" t="n">
        <v>2.1</v>
      </c>
      <c r="H753" t="n">
        <v>2</v>
      </c>
      <c r="I753" t="n">
        <v>0</v>
      </c>
      <c r="J753" t="n">
        <v>0</v>
      </c>
      <c r="K753" t="n">
        <v>0</v>
      </c>
      <c r="L753" t="n">
        <v>0</v>
      </c>
      <c r="M753" t="n">
        <v>0</v>
      </c>
      <c r="N753" t="n">
        <v>0</v>
      </c>
      <c r="O753" t="n">
        <v>0</v>
      </c>
      <c r="P753" t="n">
        <v>0</v>
      </c>
      <c r="Q753" t="n">
        <v>2</v>
      </c>
      <c r="R753" s="2" t="inlineStr">
        <is>
          <t>Vanlig groda
Revlummer</t>
        </is>
      </c>
      <c r="S753">
        <f>HYPERLINK("https://klasma.github.io/Logging_2283/artfynd/A 13743-2025 artfynd.xlsx", "A 13743-2025")</f>
        <v/>
      </c>
      <c r="T753">
        <f>HYPERLINK("https://klasma.github.io/Logging_2283/kartor/A 13743-2025 karta.png", "A 13743-2025")</f>
        <v/>
      </c>
      <c r="V753">
        <f>HYPERLINK("https://klasma.github.io/Logging_2283/klagomål/A 13743-2025 FSC-klagomål.docx", "A 13743-2025")</f>
        <v/>
      </c>
      <c r="W753">
        <f>HYPERLINK("https://klasma.github.io/Logging_2283/klagomålsmail/A 13743-2025 FSC-klagomål mail.docx", "A 13743-2025")</f>
        <v/>
      </c>
      <c r="X753">
        <f>HYPERLINK("https://klasma.github.io/Logging_2283/tillsyn/A 13743-2025 tillsynsbegäran.docx", "A 13743-2025")</f>
        <v/>
      </c>
      <c r="Y753">
        <f>HYPERLINK("https://klasma.github.io/Logging_2283/tillsynsmail/A 13743-2025 tillsynsbegäran mail.docx", "A 13743-2025")</f>
        <v/>
      </c>
    </row>
    <row r="754" ht="15" customHeight="1">
      <c r="A754" t="inlineStr">
        <is>
          <t>A 25034-2024</t>
        </is>
      </c>
      <c r="B754" s="1" t="n">
        <v>45461.96458333333</v>
      </c>
      <c r="C754" s="1" t="n">
        <v>46093</v>
      </c>
      <c r="D754" t="inlineStr">
        <is>
          <t>VÄSTERNORRLANDS LÄN</t>
        </is>
      </c>
      <c r="E754" t="inlineStr">
        <is>
          <t>ÅNGE</t>
        </is>
      </c>
      <c r="F754" t="inlineStr">
        <is>
          <t>SCA</t>
        </is>
      </c>
      <c r="G754" t="n">
        <v>3.3</v>
      </c>
      <c r="H754" t="n">
        <v>0</v>
      </c>
      <c r="I754" t="n">
        <v>0</v>
      </c>
      <c r="J754" t="n">
        <v>2</v>
      </c>
      <c r="K754" t="n">
        <v>0</v>
      </c>
      <c r="L754" t="n">
        <v>0</v>
      </c>
      <c r="M754" t="n">
        <v>0</v>
      </c>
      <c r="N754" t="n">
        <v>0</v>
      </c>
      <c r="O754" t="n">
        <v>2</v>
      </c>
      <c r="P754" t="n">
        <v>0</v>
      </c>
      <c r="Q754" t="n">
        <v>2</v>
      </c>
      <c r="R754" s="2" t="inlineStr">
        <is>
          <t>Rosenticka
Ullticka</t>
        </is>
      </c>
      <c r="S754">
        <f>HYPERLINK("https://klasma.github.io/Logging_2260/artfynd/A 25034-2024 artfynd.xlsx", "A 25034-2024")</f>
        <v/>
      </c>
      <c r="T754">
        <f>HYPERLINK("https://klasma.github.io/Logging_2260/kartor/A 25034-2024 karta.png", "A 25034-2024")</f>
        <v/>
      </c>
      <c r="V754">
        <f>HYPERLINK("https://klasma.github.io/Logging_2260/klagomål/A 25034-2024 FSC-klagomål.docx", "A 25034-2024")</f>
        <v/>
      </c>
      <c r="W754">
        <f>HYPERLINK("https://klasma.github.io/Logging_2260/klagomålsmail/A 25034-2024 FSC-klagomål mail.docx", "A 25034-2024")</f>
        <v/>
      </c>
      <c r="X754">
        <f>HYPERLINK("https://klasma.github.io/Logging_2260/tillsyn/A 25034-2024 tillsynsbegäran.docx", "A 25034-2024")</f>
        <v/>
      </c>
      <c r="Y754">
        <f>HYPERLINK("https://klasma.github.io/Logging_2260/tillsynsmail/A 25034-2024 tillsynsbegäran mail.docx", "A 25034-2024")</f>
        <v/>
      </c>
    </row>
    <row r="755" ht="15" customHeight="1">
      <c r="A755" t="inlineStr">
        <is>
          <t>A 34545-2025</t>
        </is>
      </c>
      <c r="B755" s="1" t="n">
        <v>45847.53387731482</v>
      </c>
      <c r="C755" s="1" t="n">
        <v>46093</v>
      </c>
      <c r="D755" t="inlineStr">
        <is>
          <t>VÄSTERNORRLANDS LÄN</t>
        </is>
      </c>
      <c r="E755" t="inlineStr">
        <is>
          <t>HÄRNÖSAND</t>
        </is>
      </c>
      <c r="F755" t="inlineStr">
        <is>
          <t>Kyrkan</t>
        </is>
      </c>
      <c r="G755" t="n">
        <v>9.699999999999999</v>
      </c>
      <c r="H755" t="n">
        <v>1</v>
      </c>
      <c r="I755" t="n">
        <v>1</v>
      </c>
      <c r="J755" t="n">
        <v>1</v>
      </c>
      <c r="K755" t="n">
        <v>0</v>
      </c>
      <c r="L755" t="n">
        <v>0</v>
      </c>
      <c r="M755" t="n">
        <v>0</v>
      </c>
      <c r="N755" t="n">
        <v>0</v>
      </c>
      <c r="O755" t="n">
        <v>1</v>
      </c>
      <c r="P755" t="n">
        <v>0</v>
      </c>
      <c r="Q755" t="n">
        <v>2</v>
      </c>
      <c r="R755" s="2" t="inlineStr">
        <is>
          <t>Tretåig hackspett
Korallblylav</t>
        </is>
      </c>
      <c r="S755">
        <f>HYPERLINK("https://klasma.github.io/Logging_2280/artfynd/A 34545-2025 artfynd.xlsx", "A 34545-2025")</f>
        <v/>
      </c>
      <c r="T755">
        <f>HYPERLINK("https://klasma.github.io/Logging_2280/kartor/A 34545-2025 karta.png", "A 34545-2025")</f>
        <v/>
      </c>
      <c r="V755">
        <f>HYPERLINK("https://klasma.github.io/Logging_2280/klagomål/A 34545-2025 FSC-klagomål.docx", "A 34545-2025")</f>
        <v/>
      </c>
      <c r="W755">
        <f>HYPERLINK("https://klasma.github.io/Logging_2280/klagomålsmail/A 34545-2025 FSC-klagomål mail.docx", "A 34545-2025")</f>
        <v/>
      </c>
      <c r="X755">
        <f>HYPERLINK("https://klasma.github.io/Logging_2280/tillsyn/A 34545-2025 tillsynsbegäran.docx", "A 34545-2025")</f>
        <v/>
      </c>
      <c r="Y755">
        <f>HYPERLINK("https://klasma.github.io/Logging_2280/tillsynsmail/A 34545-2025 tillsynsbegäran mail.docx", "A 34545-2025")</f>
        <v/>
      </c>
      <c r="Z755">
        <f>HYPERLINK("https://klasma.github.io/Logging_2280/fåglar/A 34545-2025 prioriterade fågelarter.docx", "A 34545-2025")</f>
        <v/>
      </c>
    </row>
    <row r="756" ht="15" customHeight="1">
      <c r="A756" t="inlineStr">
        <is>
          <t>A 22660-2024</t>
        </is>
      </c>
      <c r="B756" s="1" t="n">
        <v>45447</v>
      </c>
      <c r="C756" s="1" t="n">
        <v>46093</v>
      </c>
      <c r="D756" t="inlineStr">
        <is>
          <t>VÄSTERNORRLANDS LÄN</t>
        </is>
      </c>
      <c r="E756" t="inlineStr">
        <is>
          <t>KRAMFORS</t>
        </is>
      </c>
      <c r="F756" t="inlineStr">
        <is>
          <t>SCA</t>
        </is>
      </c>
      <c r="G756" t="n">
        <v>9.800000000000001</v>
      </c>
      <c r="H756" t="n">
        <v>0</v>
      </c>
      <c r="I756" t="n">
        <v>2</v>
      </c>
      <c r="J756" t="n">
        <v>0</v>
      </c>
      <c r="K756" t="n">
        <v>0</v>
      </c>
      <c r="L756" t="n">
        <v>0</v>
      </c>
      <c r="M756" t="n">
        <v>0</v>
      </c>
      <c r="N756" t="n">
        <v>0</v>
      </c>
      <c r="O756" t="n">
        <v>0</v>
      </c>
      <c r="P756" t="n">
        <v>0</v>
      </c>
      <c r="Q756" t="n">
        <v>2</v>
      </c>
      <c r="R756" s="2" t="inlineStr">
        <is>
          <t>Luddlav
Stor aspticka</t>
        </is>
      </c>
      <c r="S756">
        <f>HYPERLINK("https://klasma.github.io/Logging_2282/artfynd/A 22660-2024 artfynd.xlsx", "A 22660-2024")</f>
        <v/>
      </c>
      <c r="T756">
        <f>HYPERLINK("https://klasma.github.io/Logging_2282/kartor/A 22660-2024 karta.png", "A 22660-2024")</f>
        <v/>
      </c>
      <c r="V756">
        <f>HYPERLINK("https://klasma.github.io/Logging_2282/klagomål/A 22660-2024 FSC-klagomål.docx", "A 22660-2024")</f>
        <v/>
      </c>
      <c r="W756">
        <f>HYPERLINK("https://klasma.github.io/Logging_2282/klagomålsmail/A 22660-2024 FSC-klagomål mail.docx", "A 22660-2024")</f>
        <v/>
      </c>
      <c r="X756">
        <f>HYPERLINK("https://klasma.github.io/Logging_2282/tillsyn/A 22660-2024 tillsynsbegäran.docx", "A 22660-2024")</f>
        <v/>
      </c>
      <c r="Y756">
        <f>HYPERLINK("https://klasma.github.io/Logging_2282/tillsynsmail/A 22660-2024 tillsynsbegäran mail.docx", "A 22660-2024")</f>
        <v/>
      </c>
    </row>
    <row r="757" ht="15" customHeight="1">
      <c r="A757" t="inlineStr">
        <is>
          <t>A 42283-2022</t>
        </is>
      </c>
      <c r="B757" s="1" t="n">
        <v>44830</v>
      </c>
      <c r="C757" s="1" t="n">
        <v>46093</v>
      </c>
      <c r="D757" t="inlineStr">
        <is>
          <t>VÄSTERNORRLANDS LÄN</t>
        </is>
      </c>
      <c r="E757" t="inlineStr">
        <is>
          <t>TIMRÅ</t>
        </is>
      </c>
      <c r="F757" t="inlineStr">
        <is>
          <t>SCA</t>
        </is>
      </c>
      <c r="G757" t="n">
        <v>5.2</v>
      </c>
      <c r="H757" t="n">
        <v>0</v>
      </c>
      <c r="I757" t="n">
        <v>0</v>
      </c>
      <c r="J757" t="n">
        <v>2</v>
      </c>
      <c r="K757" t="n">
        <v>0</v>
      </c>
      <c r="L757" t="n">
        <v>0</v>
      </c>
      <c r="M757" t="n">
        <v>0</v>
      </c>
      <c r="N757" t="n">
        <v>0</v>
      </c>
      <c r="O757" t="n">
        <v>2</v>
      </c>
      <c r="P757" t="n">
        <v>0</v>
      </c>
      <c r="Q757" t="n">
        <v>2</v>
      </c>
      <c r="R757" s="2" t="inlineStr">
        <is>
          <t>Garnlav
Lunglav</t>
        </is>
      </c>
      <c r="S757">
        <f>HYPERLINK("https://klasma.github.io/Logging_2262/artfynd/A 42283-2022 artfynd.xlsx", "A 42283-2022")</f>
        <v/>
      </c>
      <c r="T757">
        <f>HYPERLINK("https://klasma.github.io/Logging_2262/kartor/A 42283-2022 karta.png", "A 42283-2022")</f>
        <v/>
      </c>
      <c r="V757">
        <f>HYPERLINK("https://klasma.github.io/Logging_2262/klagomål/A 42283-2022 FSC-klagomål.docx", "A 42283-2022")</f>
        <v/>
      </c>
      <c r="W757">
        <f>HYPERLINK("https://klasma.github.io/Logging_2262/klagomålsmail/A 42283-2022 FSC-klagomål mail.docx", "A 42283-2022")</f>
        <v/>
      </c>
      <c r="X757">
        <f>HYPERLINK("https://klasma.github.io/Logging_2262/tillsyn/A 42283-2022 tillsynsbegäran.docx", "A 42283-2022")</f>
        <v/>
      </c>
      <c r="Y757">
        <f>HYPERLINK("https://klasma.github.io/Logging_2262/tillsynsmail/A 42283-2022 tillsynsbegäran mail.docx", "A 42283-2022")</f>
        <v/>
      </c>
    </row>
    <row r="758" ht="15" customHeight="1">
      <c r="A758" t="inlineStr">
        <is>
          <t>A 13675-2024</t>
        </is>
      </c>
      <c r="B758" s="1" t="n">
        <v>45390</v>
      </c>
      <c r="C758" s="1" t="n">
        <v>46093</v>
      </c>
      <c r="D758" t="inlineStr">
        <is>
          <t>VÄSTERNORRLANDS LÄN</t>
        </is>
      </c>
      <c r="E758" t="inlineStr">
        <is>
          <t>SUNDSVALL</t>
        </is>
      </c>
      <c r="G758" t="n">
        <v>1.7</v>
      </c>
      <c r="H758" t="n">
        <v>0</v>
      </c>
      <c r="I758" t="n">
        <v>2</v>
      </c>
      <c r="J758" t="n">
        <v>0</v>
      </c>
      <c r="K758" t="n">
        <v>0</v>
      </c>
      <c r="L758" t="n">
        <v>0</v>
      </c>
      <c r="M758" t="n">
        <v>0</v>
      </c>
      <c r="N758" t="n">
        <v>0</v>
      </c>
      <c r="O758" t="n">
        <v>0</v>
      </c>
      <c r="P758" t="n">
        <v>0</v>
      </c>
      <c r="Q758" t="n">
        <v>2</v>
      </c>
      <c r="R758" s="2" t="inlineStr">
        <is>
          <t>Svart trolldruva
Tibast</t>
        </is>
      </c>
      <c r="S758">
        <f>HYPERLINK("https://klasma.github.io/Logging_2281/artfynd/A 13675-2024 artfynd.xlsx", "A 13675-2024")</f>
        <v/>
      </c>
      <c r="T758">
        <f>HYPERLINK("https://klasma.github.io/Logging_2281/kartor/A 13675-2024 karta.png", "A 13675-2024")</f>
        <v/>
      </c>
      <c r="V758">
        <f>HYPERLINK("https://klasma.github.io/Logging_2281/klagomål/A 13675-2024 FSC-klagomål.docx", "A 13675-2024")</f>
        <v/>
      </c>
      <c r="W758">
        <f>HYPERLINK("https://klasma.github.io/Logging_2281/klagomålsmail/A 13675-2024 FSC-klagomål mail.docx", "A 13675-2024")</f>
        <v/>
      </c>
      <c r="X758">
        <f>HYPERLINK("https://klasma.github.io/Logging_2281/tillsyn/A 13675-2024 tillsynsbegäran.docx", "A 13675-2024")</f>
        <v/>
      </c>
      <c r="Y758">
        <f>HYPERLINK("https://klasma.github.io/Logging_2281/tillsynsmail/A 13675-2024 tillsynsbegäran mail.docx", "A 13675-2024")</f>
        <v/>
      </c>
    </row>
    <row r="759" ht="15" customHeight="1">
      <c r="A759" t="inlineStr">
        <is>
          <t>A 50751-2024</t>
        </is>
      </c>
      <c r="B759" s="1" t="n">
        <v>45602</v>
      </c>
      <c r="C759" s="1" t="n">
        <v>46093</v>
      </c>
      <c r="D759" t="inlineStr">
        <is>
          <t>VÄSTERNORRLANDS LÄN</t>
        </is>
      </c>
      <c r="E759" t="inlineStr">
        <is>
          <t>SOLLEFTEÅ</t>
        </is>
      </c>
      <c r="G759" t="n">
        <v>4.4</v>
      </c>
      <c r="H759" t="n">
        <v>0</v>
      </c>
      <c r="I759" t="n">
        <v>1</v>
      </c>
      <c r="J759" t="n">
        <v>1</v>
      </c>
      <c r="K759" t="n">
        <v>0</v>
      </c>
      <c r="L759" t="n">
        <v>0</v>
      </c>
      <c r="M759" t="n">
        <v>0</v>
      </c>
      <c r="N759" t="n">
        <v>0</v>
      </c>
      <c r="O759" t="n">
        <v>1</v>
      </c>
      <c r="P759" t="n">
        <v>0</v>
      </c>
      <c r="Q759" t="n">
        <v>2</v>
      </c>
      <c r="R759" s="2" t="inlineStr">
        <is>
          <t>Garnlav
Norrlandslav</t>
        </is>
      </c>
      <c r="S759">
        <f>HYPERLINK("https://klasma.github.io/Logging_2283/artfynd/A 50751-2024 artfynd.xlsx", "A 50751-2024")</f>
        <v/>
      </c>
      <c r="T759">
        <f>HYPERLINK("https://klasma.github.io/Logging_2283/kartor/A 50751-2024 karta.png", "A 50751-2024")</f>
        <v/>
      </c>
      <c r="V759">
        <f>HYPERLINK("https://klasma.github.io/Logging_2283/klagomål/A 50751-2024 FSC-klagomål.docx", "A 50751-2024")</f>
        <v/>
      </c>
      <c r="W759">
        <f>HYPERLINK("https://klasma.github.io/Logging_2283/klagomålsmail/A 50751-2024 FSC-klagomål mail.docx", "A 50751-2024")</f>
        <v/>
      </c>
      <c r="X759">
        <f>HYPERLINK("https://klasma.github.io/Logging_2283/tillsyn/A 50751-2024 tillsynsbegäran.docx", "A 50751-2024")</f>
        <v/>
      </c>
      <c r="Y759">
        <f>HYPERLINK("https://klasma.github.io/Logging_2283/tillsynsmail/A 50751-2024 tillsynsbegäran mail.docx", "A 50751-2024")</f>
        <v/>
      </c>
    </row>
    <row r="760" ht="15" customHeight="1">
      <c r="A760" t="inlineStr">
        <is>
          <t>A 29600-2023</t>
        </is>
      </c>
      <c r="B760" s="1" t="n">
        <v>45106</v>
      </c>
      <c r="C760" s="1" t="n">
        <v>46093</v>
      </c>
      <c r="D760" t="inlineStr">
        <is>
          <t>VÄSTERNORRLANDS LÄN</t>
        </is>
      </c>
      <c r="E760" t="inlineStr">
        <is>
          <t>TIMRÅ</t>
        </is>
      </c>
      <c r="F760" t="inlineStr">
        <is>
          <t>Kyrkan</t>
        </is>
      </c>
      <c r="G760" t="n">
        <v>5</v>
      </c>
      <c r="H760" t="n">
        <v>0</v>
      </c>
      <c r="I760" t="n">
        <v>2</v>
      </c>
      <c r="J760" t="n">
        <v>0</v>
      </c>
      <c r="K760" t="n">
        <v>0</v>
      </c>
      <c r="L760" t="n">
        <v>0</v>
      </c>
      <c r="M760" t="n">
        <v>0</v>
      </c>
      <c r="N760" t="n">
        <v>0</v>
      </c>
      <c r="O760" t="n">
        <v>0</v>
      </c>
      <c r="P760" t="n">
        <v>0</v>
      </c>
      <c r="Q760" t="n">
        <v>2</v>
      </c>
      <c r="R760" s="2" t="inlineStr">
        <is>
          <t>Dvärghäxört
Svart trolldruva</t>
        </is>
      </c>
      <c r="S760">
        <f>HYPERLINK("https://klasma.github.io/Logging_2262/artfynd/A 29600-2023 artfynd.xlsx", "A 29600-2023")</f>
        <v/>
      </c>
      <c r="T760">
        <f>HYPERLINK("https://klasma.github.io/Logging_2262/kartor/A 29600-2023 karta.png", "A 29600-2023")</f>
        <v/>
      </c>
      <c r="V760">
        <f>HYPERLINK("https://klasma.github.io/Logging_2262/klagomål/A 29600-2023 FSC-klagomål.docx", "A 29600-2023")</f>
        <v/>
      </c>
      <c r="W760">
        <f>HYPERLINK("https://klasma.github.io/Logging_2262/klagomålsmail/A 29600-2023 FSC-klagomål mail.docx", "A 29600-2023")</f>
        <v/>
      </c>
      <c r="X760">
        <f>HYPERLINK("https://klasma.github.io/Logging_2262/tillsyn/A 29600-2023 tillsynsbegäran.docx", "A 29600-2023")</f>
        <v/>
      </c>
      <c r="Y760">
        <f>HYPERLINK("https://klasma.github.io/Logging_2262/tillsynsmail/A 29600-2023 tillsynsbegäran mail.docx", "A 29600-2023")</f>
        <v/>
      </c>
    </row>
    <row r="761" ht="15" customHeight="1">
      <c r="A761" t="inlineStr">
        <is>
          <t>A 32524-2024</t>
        </is>
      </c>
      <c r="B761" s="1" t="n">
        <v>45513.47335648148</v>
      </c>
      <c r="C761" s="1" t="n">
        <v>46093</v>
      </c>
      <c r="D761" t="inlineStr">
        <is>
          <t>VÄSTERNORRLANDS LÄN</t>
        </is>
      </c>
      <c r="E761" t="inlineStr">
        <is>
          <t>ÖRNSKÖLDSVIK</t>
        </is>
      </c>
      <c r="F761" t="inlineStr">
        <is>
          <t>Holmen skog AB</t>
        </is>
      </c>
      <c r="G761" t="n">
        <v>2.3</v>
      </c>
      <c r="H761" t="n">
        <v>0</v>
      </c>
      <c r="I761" t="n">
        <v>0</v>
      </c>
      <c r="J761" t="n">
        <v>2</v>
      </c>
      <c r="K761" t="n">
        <v>0</v>
      </c>
      <c r="L761" t="n">
        <v>0</v>
      </c>
      <c r="M761" t="n">
        <v>0</v>
      </c>
      <c r="N761" t="n">
        <v>0</v>
      </c>
      <c r="O761" t="n">
        <v>2</v>
      </c>
      <c r="P761" t="n">
        <v>0</v>
      </c>
      <c r="Q761" t="n">
        <v>2</v>
      </c>
      <c r="R761" s="2" t="inlineStr">
        <is>
          <t>Granticka
Kolflarnlav</t>
        </is>
      </c>
      <c r="S761">
        <f>HYPERLINK("https://klasma.github.io/Logging_2284/artfynd/A 32524-2024 artfynd.xlsx", "A 32524-2024")</f>
        <v/>
      </c>
      <c r="T761">
        <f>HYPERLINK("https://klasma.github.io/Logging_2284/kartor/A 32524-2024 karta.png", "A 32524-2024")</f>
        <v/>
      </c>
      <c r="V761">
        <f>HYPERLINK("https://klasma.github.io/Logging_2284/klagomål/A 32524-2024 FSC-klagomål.docx", "A 32524-2024")</f>
        <v/>
      </c>
      <c r="W761">
        <f>HYPERLINK("https://klasma.github.io/Logging_2284/klagomålsmail/A 32524-2024 FSC-klagomål mail.docx", "A 32524-2024")</f>
        <v/>
      </c>
      <c r="X761">
        <f>HYPERLINK("https://klasma.github.io/Logging_2284/tillsyn/A 32524-2024 tillsynsbegäran.docx", "A 32524-2024")</f>
        <v/>
      </c>
      <c r="Y761">
        <f>HYPERLINK("https://klasma.github.io/Logging_2284/tillsynsmail/A 32524-2024 tillsynsbegäran mail.docx", "A 32524-2024")</f>
        <v/>
      </c>
    </row>
    <row r="762" ht="15" customHeight="1">
      <c r="A762" t="inlineStr">
        <is>
          <t>A 57089-2024</t>
        </is>
      </c>
      <c r="B762" s="1" t="n">
        <v>45629.35665509259</v>
      </c>
      <c r="C762" s="1" t="n">
        <v>46093</v>
      </c>
      <c r="D762" t="inlineStr">
        <is>
          <t>VÄSTERNORRLANDS LÄN</t>
        </is>
      </c>
      <c r="E762" t="inlineStr">
        <is>
          <t>ÅNGE</t>
        </is>
      </c>
      <c r="F762" t="inlineStr">
        <is>
          <t>SCA</t>
        </is>
      </c>
      <c r="G762" t="n">
        <v>1.5</v>
      </c>
      <c r="H762" t="n">
        <v>0</v>
      </c>
      <c r="I762" t="n">
        <v>0</v>
      </c>
      <c r="J762" t="n">
        <v>2</v>
      </c>
      <c r="K762" t="n">
        <v>0</v>
      </c>
      <c r="L762" t="n">
        <v>0</v>
      </c>
      <c r="M762" t="n">
        <v>0</v>
      </c>
      <c r="N762" t="n">
        <v>0</v>
      </c>
      <c r="O762" t="n">
        <v>2</v>
      </c>
      <c r="P762" t="n">
        <v>0</v>
      </c>
      <c r="Q762" t="n">
        <v>2</v>
      </c>
      <c r="R762" s="2" t="inlineStr">
        <is>
          <t>Lunglav
Ullticka</t>
        </is>
      </c>
      <c r="S762">
        <f>HYPERLINK("https://klasma.github.io/Logging_2260/artfynd/A 57089-2024 artfynd.xlsx", "A 57089-2024")</f>
        <v/>
      </c>
      <c r="T762">
        <f>HYPERLINK("https://klasma.github.io/Logging_2260/kartor/A 57089-2024 karta.png", "A 57089-2024")</f>
        <v/>
      </c>
      <c r="V762">
        <f>HYPERLINK("https://klasma.github.io/Logging_2260/klagomål/A 57089-2024 FSC-klagomål.docx", "A 57089-2024")</f>
        <v/>
      </c>
      <c r="W762">
        <f>HYPERLINK("https://klasma.github.io/Logging_2260/klagomålsmail/A 57089-2024 FSC-klagomål mail.docx", "A 57089-2024")</f>
        <v/>
      </c>
      <c r="X762">
        <f>HYPERLINK("https://klasma.github.io/Logging_2260/tillsyn/A 57089-2024 tillsynsbegäran.docx", "A 57089-2024")</f>
        <v/>
      </c>
      <c r="Y762">
        <f>HYPERLINK("https://klasma.github.io/Logging_2260/tillsynsmail/A 57089-2024 tillsynsbegäran mail.docx", "A 57089-2024")</f>
        <v/>
      </c>
    </row>
    <row r="763" ht="15" customHeight="1">
      <c r="A763" t="inlineStr">
        <is>
          <t>A 38911-2025</t>
        </is>
      </c>
      <c r="B763" s="1" t="n">
        <v>45887.61534722222</v>
      </c>
      <c r="C763" s="1" t="n">
        <v>46093</v>
      </c>
      <c r="D763" t="inlineStr">
        <is>
          <t>VÄSTERNORRLANDS LÄN</t>
        </is>
      </c>
      <c r="E763" t="inlineStr">
        <is>
          <t>SOLLEFTEÅ</t>
        </is>
      </c>
      <c r="F763" t="inlineStr">
        <is>
          <t>SCA</t>
        </is>
      </c>
      <c r="G763" t="n">
        <v>10.5</v>
      </c>
      <c r="H763" t="n">
        <v>0</v>
      </c>
      <c r="I763" t="n">
        <v>1</v>
      </c>
      <c r="J763" t="n">
        <v>1</v>
      </c>
      <c r="K763" t="n">
        <v>0</v>
      </c>
      <c r="L763" t="n">
        <v>0</v>
      </c>
      <c r="M763" t="n">
        <v>0</v>
      </c>
      <c r="N763" t="n">
        <v>0</v>
      </c>
      <c r="O763" t="n">
        <v>1</v>
      </c>
      <c r="P763" t="n">
        <v>0</v>
      </c>
      <c r="Q763" t="n">
        <v>2</v>
      </c>
      <c r="R763" s="2" t="inlineStr">
        <is>
          <t>Garnlav
Vedticka</t>
        </is>
      </c>
      <c r="S763">
        <f>HYPERLINK("https://klasma.github.io/Logging_2283/artfynd/A 38911-2025 artfynd.xlsx", "A 38911-2025")</f>
        <v/>
      </c>
      <c r="T763">
        <f>HYPERLINK("https://klasma.github.io/Logging_2283/kartor/A 38911-2025 karta.png", "A 38911-2025")</f>
        <v/>
      </c>
      <c r="U763">
        <f>HYPERLINK("https://klasma.github.io/Logging_2283/knärot/A 38911-2025 karta knärot.png", "A 38911-2025")</f>
        <v/>
      </c>
      <c r="V763">
        <f>HYPERLINK("https://klasma.github.io/Logging_2283/klagomål/A 38911-2025 FSC-klagomål.docx", "A 38911-2025")</f>
        <v/>
      </c>
      <c r="W763">
        <f>HYPERLINK("https://klasma.github.io/Logging_2283/klagomålsmail/A 38911-2025 FSC-klagomål mail.docx", "A 38911-2025")</f>
        <v/>
      </c>
      <c r="X763">
        <f>HYPERLINK("https://klasma.github.io/Logging_2283/tillsyn/A 38911-2025 tillsynsbegäran.docx", "A 38911-2025")</f>
        <v/>
      </c>
      <c r="Y763">
        <f>HYPERLINK("https://klasma.github.io/Logging_2283/tillsynsmail/A 38911-2025 tillsynsbegäran mail.docx", "A 38911-2025")</f>
        <v/>
      </c>
    </row>
    <row r="764" ht="15" customHeight="1">
      <c r="A764" t="inlineStr">
        <is>
          <t>A 34766-2024</t>
        </is>
      </c>
      <c r="B764" s="1" t="n">
        <v>45526</v>
      </c>
      <c r="C764" s="1" t="n">
        <v>46093</v>
      </c>
      <c r="D764" t="inlineStr">
        <is>
          <t>VÄSTERNORRLANDS LÄN</t>
        </is>
      </c>
      <c r="E764" t="inlineStr">
        <is>
          <t>SUNDSVALL</t>
        </is>
      </c>
      <c r="F764" t="inlineStr">
        <is>
          <t>SCA</t>
        </is>
      </c>
      <c r="G764" t="n">
        <v>10</v>
      </c>
      <c r="H764" t="n">
        <v>1</v>
      </c>
      <c r="I764" t="n">
        <v>1</v>
      </c>
      <c r="J764" t="n">
        <v>0</v>
      </c>
      <c r="K764" t="n">
        <v>0</v>
      </c>
      <c r="L764" t="n">
        <v>0</v>
      </c>
      <c r="M764" t="n">
        <v>0</v>
      </c>
      <c r="N764" t="n">
        <v>0</v>
      </c>
      <c r="O764" t="n">
        <v>0</v>
      </c>
      <c r="P764" t="n">
        <v>0</v>
      </c>
      <c r="Q764" t="n">
        <v>2</v>
      </c>
      <c r="R764" s="2" t="inlineStr">
        <is>
          <t>Vårärt
Revlummer</t>
        </is>
      </c>
      <c r="S764">
        <f>HYPERLINK("https://klasma.github.io/Logging_2281/artfynd/A 34766-2024 artfynd.xlsx", "A 34766-2024")</f>
        <v/>
      </c>
      <c r="T764">
        <f>HYPERLINK("https://klasma.github.io/Logging_2281/kartor/A 34766-2024 karta.png", "A 34766-2024")</f>
        <v/>
      </c>
      <c r="V764">
        <f>HYPERLINK("https://klasma.github.io/Logging_2281/klagomål/A 34766-2024 FSC-klagomål.docx", "A 34766-2024")</f>
        <v/>
      </c>
      <c r="W764">
        <f>HYPERLINK("https://klasma.github.io/Logging_2281/klagomålsmail/A 34766-2024 FSC-klagomål mail.docx", "A 34766-2024")</f>
        <v/>
      </c>
      <c r="X764">
        <f>HYPERLINK("https://klasma.github.io/Logging_2281/tillsyn/A 34766-2024 tillsynsbegäran.docx", "A 34766-2024")</f>
        <v/>
      </c>
      <c r="Y764">
        <f>HYPERLINK("https://klasma.github.io/Logging_2281/tillsynsmail/A 34766-2024 tillsynsbegäran mail.docx", "A 34766-2024")</f>
        <v/>
      </c>
    </row>
    <row r="765" ht="15" customHeight="1">
      <c r="A765" t="inlineStr">
        <is>
          <t>A 165-2025</t>
        </is>
      </c>
      <c r="B765" s="1" t="n">
        <v>45659</v>
      </c>
      <c r="C765" s="1" t="n">
        <v>46093</v>
      </c>
      <c r="D765" t="inlineStr">
        <is>
          <t>VÄSTERNORRLANDS LÄN</t>
        </is>
      </c>
      <c r="E765" t="inlineStr">
        <is>
          <t>ÅNGE</t>
        </is>
      </c>
      <c r="G765" t="n">
        <v>13.9</v>
      </c>
      <c r="H765" t="n">
        <v>1</v>
      </c>
      <c r="I765" t="n">
        <v>0</v>
      </c>
      <c r="J765" t="n">
        <v>2</v>
      </c>
      <c r="K765" t="n">
        <v>0</v>
      </c>
      <c r="L765" t="n">
        <v>0</v>
      </c>
      <c r="M765" t="n">
        <v>0</v>
      </c>
      <c r="N765" t="n">
        <v>0</v>
      </c>
      <c r="O765" t="n">
        <v>2</v>
      </c>
      <c r="P765" t="n">
        <v>0</v>
      </c>
      <c r="Q765" t="n">
        <v>2</v>
      </c>
      <c r="R765" s="2" t="inlineStr">
        <is>
          <t>Doftskinn
Tretåig hackspett</t>
        </is>
      </c>
      <c r="S765">
        <f>HYPERLINK("https://klasma.github.io/Logging_2260/artfynd/A 165-2025 artfynd.xlsx", "A 165-2025")</f>
        <v/>
      </c>
      <c r="T765">
        <f>HYPERLINK("https://klasma.github.io/Logging_2260/kartor/A 165-2025 karta.png", "A 165-2025")</f>
        <v/>
      </c>
      <c r="V765">
        <f>HYPERLINK("https://klasma.github.io/Logging_2260/klagomål/A 165-2025 FSC-klagomål.docx", "A 165-2025")</f>
        <v/>
      </c>
      <c r="W765">
        <f>HYPERLINK("https://klasma.github.io/Logging_2260/klagomålsmail/A 165-2025 FSC-klagomål mail.docx", "A 165-2025")</f>
        <v/>
      </c>
      <c r="X765">
        <f>HYPERLINK("https://klasma.github.io/Logging_2260/tillsyn/A 165-2025 tillsynsbegäran.docx", "A 165-2025")</f>
        <v/>
      </c>
      <c r="Y765">
        <f>HYPERLINK("https://klasma.github.io/Logging_2260/tillsynsmail/A 165-2025 tillsynsbegäran mail.docx", "A 165-2025")</f>
        <v/>
      </c>
      <c r="Z765">
        <f>HYPERLINK("https://klasma.github.io/Logging_2260/fåglar/A 165-2025 prioriterade fågelarter.docx", "A 165-2025")</f>
        <v/>
      </c>
    </row>
    <row r="766" ht="15" customHeight="1">
      <c r="A766" t="inlineStr">
        <is>
          <t>A 45083-2022</t>
        </is>
      </c>
      <c r="B766" s="1" t="n">
        <v>44841</v>
      </c>
      <c r="C766" s="1" t="n">
        <v>46093</v>
      </c>
      <c r="D766" t="inlineStr">
        <is>
          <t>VÄSTERNORRLANDS LÄN</t>
        </is>
      </c>
      <c r="E766" t="inlineStr">
        <is>
          <t>SOLLEFTEÅ</t>
        </is>
      </c>
      <c r="F766" t="inlineStr">
        <is>
          <t>SCA</t>
        </is>
      </c>
      <c r="G766" t="n">
        <v>4.3</v>
      </c>
      <c r="H766" t="n">
        <v>2</v>
      </c>
      <c r="I766" t="n">
        <v>0</v>
      </c>
      <c r="J766" t="n">
        <v>1</v>
      </c>
      <c r="K766" t="n">
        <v>0</v>
      </c>
      <c r="L766" t="n">
        <v>0</v>
      </c>
      <c r="M766" t="n">
        <v>0</v>
      </c>
      <c r="N766" t="n">
        <v>0</v>
      </c>
      <c r="O766" t="n">
        <v>1</v>
      </c>
      <c r="P766" t="n">
        <v>0</v>
      </c>
      <c r="Q766" t="n">
        <v>2</v>
      </c>
      <c r="R766" s="2" t="inlineStr">
        <is>
          <t>Talltita
Blåsippa</t>
        </is>
      </c>
      <c r="S766">
        <f>HYPERLINK("https://klasma.github.io/Logging_2283/artfynd/A 45083-2022 artfynd.xlsx", "A 45083-2022")</f>
        <v/>
      </c>
      <c r="T766">
        <f>HYPERLINK("https://klasma.github.io/Logging_2283/kartor/A 45083-2022 karta.png", "A 45083-2022")</f>
        <v/>
      </c>
      <c r="V766">
        <f>HYPERLINK("https://klasma.github.io/Logging_2283/klagomål/A 45083-2022 FSC-klagomål.docx", "A 45083-2022")</f>
        <v/>
      </c>
      <c r="W766">
        <f>HYPERLINK("https://klasma.github.io/Logging_2283/klagomålsmail/A 45083-2022 FSC-klagomål mail.docx", "A 45083-2022")</f>
        <v/>
      </c>
      <c r="X766">
        <f>HYPERLINK("https://klasma.github.io/Logging_2283/tillsyn/A 45083-2022 tillsynsbegäran.docx", "A 45083-2022")</f>
        <v/>
      </c>
      <c r="Y766">
        <f>HYPERLINK("https://klasma.github.io/Logging_2283/tillsynsmail/A 45083-2022 tillsynsbegäran mail.docx", "A 45083-2022")</f>
        <v/>
      </c>
      <c r="Z766">
        <f>HYPERLINK("https://klasma.github.io/Logging_2283/fåglar/A 45083-2022 prioriterade fågelarter.docx", "A 45083-2022")</f>
        <v/>
      </c>
    </row>
    <row r="767" ht="15" customHeight="1">
      <c r="A767" t="inlineStr">
        <is>
          <t>A 36001-2025</t>
        </is>
      </c>
      <c r="B767" s="1" t="n">
        <v>45863.51965277778</v>
      </c>
      <c r="C767" s="1" t="n">
        <v>46093</v>
      </c>
      <c r="D767" t="inlineStr">
        <is>
          <t>VÄSTERNORRLANDS LÄN</t>
        </is>
      </c>
      <c r="E767" t="inlineStr">
        <is>
          <t>SUNDSVALL</t>
        </is>
      </c>
      <c r="G767" t="n">
        <v>2.2</v>
      </c>
      <c r="H767" t="n">
        <v>2</v>
      </c>
      <c r="I767" t="n">
        <v>0</v>
      </c>
      <c r="J767" t="n">
        <v>0</v>
      </c>
      <c r="K767" t="n">
        <v>1</v>
      </c>
      <c r="L767" t="n">
        <v>0</v>
      </c>
      <c r="M767" t="n">
        <v>0</v>
      </c>
      <c r="N767" t="n">
        <v>0</v>
      </c>
      <c r="O767" t="n">
        <v>1</v>
      </c>
      <c r="P767" t="n">
        <v>1</v>
      </c>
      <c r="Q767" t="n">
        <v>2</v>
      </c>
      <c r="R767" s="2" t="inlineStr">
        <is>
          <t>Knärot
Fläcknycklar</t>
        </is>
      </c>
      <c r="S767">
        <f>HYPERLINK("https://klasma.github.io/Logging_2281/artfynd/A 36001-2025 artfynd.xlsx", "A 36001-2025")</f>
        <v/>
      </c>
      <c r="T767">
        <f>HYPERLINK("https://klasma.github.io/Logging_2281/kartor/A 36001-2025 karta.png", "A 36001-2025")</f>
        <v/>
      </c>
      <c r="U767">
        <f>HYPERLINK("https://klasma.github.io/Logging_2281/knärot/A 36001-2025 karta knärot.png", "A 36001-2025")</f>
        <v/>
      </c>
      <c r="V767">
        <f>HYPERLINK("https://klasma.github.io/Logging_2281/klagomål/A 36001-2025 FSC-klagomål.docx", "A 36001-2025")</f>
        <v/>
      </c>
      <c r="W767">
        <f>HYPERLINK("https://klasma.github.io/Logging_2281/klagomålsmail/A 36001-2025 FSC-klagomål mail.docx", "A 36001-2025")</f>
        <v/>
      </c>
      <c r="X767">
        <f>HYPERLINK("https://klasma.github.io/Logging_2281/tillsyn/A 36001-2025 tillsynsbegäran.docx", "A 36001-2025")</f>
        <v/>
      </c>
      <c r="Y767">
        <f>HYPERLINK("https://klasma.github.io/Logging_2281/tillsynsmail/A 36001-2025 tillsynsbegäran mail.docx", "A 36001-2025")</f>
        <v/>
      </c>
    </row>
    <row r="768" ht="15" customHeight="1">
      <c r="A768" t="inlineStr">
        <is>
          <t>A 41814-2022</t>
        </is>
      </c>
      <c r="B768" s="1" t="n">
        <v>44827</v>
      </c>
      <c r="C768" s="1" t="n">
        <v>46093</v>
      </c>
      <c r="D768" t="inlineStr">
        <is>
          <t>VÄSTERNORRLANDS LÄN</t>
        </is>
      </c>
      <c r="E768" t="inlineStr">
        <is>
          <t>SUNDSVALL</t>
        </is>
      </c>
      <c r="F768" t="inlineStr">
        <is>
          <t>SCA</t>
        </is>
      </c>
      <c r="G768" t="n">
        <v>3.8</v>
      </c>
      <c r="H768" t="n">
        <v>1</v>
      </c>
      <c r="I768" t="n">
        <v>0</v>
      </c>
      <c r="J768" t="n">
        <v>1</v>
      </c>
      <c r="K768" t="n">
        <v>0</v>
      </c>
      <c r="L768" t="n">
        <v>0</v>
      </c>
      <c r="M768" t="n">
        <v>0</v>
      </c>
      <c r="N768" t="n">
        <v>0</v>
      </c>
      <c r="O768" t="n">
        <v>1</v>
      </c>
      <c r="P768" t="n">
        <v>0</v>
      </c>
      <c r="Q768" t="n">
        <v>2</v>
      </c>
      <c r="R768" s="2" t="inlineStr">
        <is>
          <t>Lunglav
Revlummer</t>
        </is>
      </c>
      <c r="S768">
        <f>HYPERLINK("https://klasma.github.io/Logging_2281/artfynd/A 41814-2022 artfynd.xlsx", "A 41814-2022")</f>
        <v/>
      </c>
      <c r="T768">
        <f>HYPERLINK("https://klasma.github.io/Logging_2281/kartor/A 41814-2022 karta.png", "A 41814-2022")</f>
        <v/>
      </c>
      <c r="V768">
        <f>HYPERLINK("https://klasma.github.io/Logging_2281/klagomål/A 41814-2022 FSC-klagomål.docx", "A 41814-2022")</f>
        <v/>
      </c>
      <c r="W768">
        <f>HYPERLINK("https://klasma.github.io/Logging_2281/klagomålsmail/A 41814-2022 FSC-klagomål mail.docx", "A 41814-2022")</f>
        <v/>
      </c>
      <c r="X768">
        <f>HYPERLINK("https://klasma.github.io/Logging_2281/tillsyn/A 41814-2022 tillsynsbegäran.docx", "A 41814-2022")</f>
        <v/>
      </c>
      <c r="Y768">
        <f>HYPERLINK("https://klasma.github.io/Logging_2281/tillsynsmail/A 41814-2022 tillsynsbegäran mail.docx", "A 41814-2022")</f>
        <v/>
      </c>
    </row>
    <row r="769" ht="15" customHeight="1">
      <c r="A769" t="inlineStr">
        <is>
          <t>A 39356-2025</t>
        </is>
      </c>
      <c r="B769" s="1" t="n">
        <v>45889.55267361111</v>
      </c>
      <c r="C769" s="1" t="n">
        <v>46093</v>
      </c>
      <c r="D769" t="inlineStr">
        <is>
          <t>VÄSTERNORRLANDS LÄN</t>
        </is>
      </c>
      <c r="E769" t="inlineStr">
        <is>
          <t>TIMRÅ</t>
        </is>
      </c>
      <c r="F769" t="inlineStr">
        <is>
          <t>SCA</t>
        </is>
      </c>
      <c r="G769" t="n">
        <v>2.3</v>
      </c>
      <c r="H769" t="n">
        <v>0</v>
      </c>
      <c r="I769" t="n">
        <v>0</v>
      </c>
      <c r="J769" t="n">
        <v>2</v>
      </c>
      <c r="K769" t="n">
        <v>0</v>
      </c>
      <c r="L769" t="n">
        <v>0</v>
      </c>
      <c r="M769" t="n">
        <v>0</v>
      </c>
      <c r="N769" t="n">
        <v>0</v>
      </c>
      <c r="O769" t="n">
        <v>2</v>
      </c>
      <c r="P769" t="n">
        <v>0</v>
      </c>
      <c r="Q769" t="n">
        <v>2</v>
      </c>
      <c r="R769" s="2" t="inlineStr">
        <is>
          <t>Rosenticka
Ullticka</t>
        </is>
      </c>
      <c r="S769">
        <f>HYPERLINK("https://klasma.github.io/Logging_2262/artfynd/A 39356-2025 artfynd.xlsx", "A 39356-2025")</f>
        <v/>
      </c>
      <c r="T769">
        <f>HYPERLINK("https://klasma.github.io/Logging_2262/kartor/A 39356-2025 karta.png", "A 39356-2025")</f>
        <v/>
      </c>
      <c r="V769">
        <f>HYPERLINK("https://klasma.github.io/Logging_2262/klagomål/A 39356-2025 FSC-klagomål.docx", "A 39356-2025")</f>
        <v/>
      </c>
      <c r="W769">
        <f>HYPERLINK("https://klasma.github.io/Logging_2262/klagomålsmail/A 39356-2025 FSC-klagomål mail.docx", "A 39356-2025")</f>
        <v/>
      </c>
      <c r="X769">
        <f>HYPERLINK("https://klasma.github.io/Logging_2262/tillsyn/A 39356-2025 tillsynsbegäran.docx", "A 39356-2025")</f>
        <v/>
      </c>
      <c r="Y769">
        <f>HYPERLINK("https://klasma.github.io/Logging_2262/tillsynsmail/A 39356-2025 tillsynsbegäran mail.docx", "A 39356-2025")</f>
        <v/>
      </c>
    </row>
    <row r="770" ht="15" customHeight="1">
      <c r="A770" t="inlineStr">
        <is>
          <t>A 29264-2024</t>
        </is>
      </c>
      <c r="B770" s="1" t="n">
        <v>45482</v>
      </c>
      <c r="C770" s="1" t="n">
        <v>46093</v>
      </c>
      <c r="D770" t="inlineStr">
        <is>
          <t>VÄSTERNORRLANDS LÄN</t>
        </is>
      </c>
      <c r="E770" t="inlineStr">
        <is>
          <t>SOLLEFTEÅ</t>
        </is>
      </c>
      <c r="F770" t="inlineStr">
        <is>
          <t>SCA</t>
        </is>
      </c>
      <c r="G770" t="n">
        <v>3</v>
      </c>
      <c r="H770" t="n">
        <v>2</v>
      </c>
      <c r="I770" t="n">
        <v>0</v>
      </c>
      <c r="J770" t="n">
        <v>1</v>
      </c>
      <c r="K770" t="n">
        <v>0</v>
      </c>
      <c r="L770" t="n">
        <v>0</v>
      </c>
      <c r="M770" t="n">
        <v>0</v>
      </c>
      <c r="N770" t="n">
        <v>0</v>
      </c>
      <c r="O770" t="n">
        <v>1</v>
      </c>
      <c r="P770" t="n">
        <v>0</v>
      </c>
      <c r="Q770" t="n">
        <v>2</v>
      </c>
      <c r="R770" s="2" t="inlineStr">
        <is>
          <t>Tretåig hackspett
Fläcknycklar</t>
        </is>
      </c>
      <c r="S770">
        <f>HYPERLINK("https://klasma.github.io/Logging_2283/artfynd/A 29264-2024 artfynd.xlsx", "A 29264-2024")</f>
        <v/>
      </c>
      <c r="T770">
        <f>HYPERLINK("https://klasma.github.io/Logging_2283/kartor/A 29264-2024 karta.png", "A 29264-2024")</f>
        <v/>
      </c>
      <c r="V770">
        <f>HYPERLINK("https://klasma.github.io/Logging_2283/klagomål/A 29264-2024 FSC-klagomål.docx", "A 29264-2024")</f>
        <v/>
      </c>
      <c r="W770">
        <f>HYPERLINK("https://klasma.github.io/Logging_2283/klagomålsmail/A 29264-2024 FSC-klagomål mail.docx", "A 29264-2024")</f>
        <v/>
      </c>
      <c r="X770">
        <f>HYPERLINK("https://klasma.github.io/Logging_2283/tillsyn/A 29264-2024 tillsynsbegäran.docx", "A 29264-2024")</f>
        <v/>
      </c>
      <c r="Y770">
        <f>HYPERLINK("https://klasma.github.io/Logging_2283/tillsynsmail/A 29264-2024 tillsynsbegäran mail.docx", "A 29264-2024")</f>
        <v/>
      </c>
      <c r="Z770">
        <f>HYPERLINK("https://klasma.github.io/Logging_2283/fåglar/A 29264-2024 prioriterade fågelarter.docx", "A 29264-2024")</f>
        <v/>
      </c>
    </row>
    <row r="771" ht="15" customHeight="1">
      <c r="A771" t="inlineStr">
        <is>
          <t>A 36912-2024</t>
        </is>
      </c>
      <c r="B771" s="1" t="n">
        <v>45538.63604166666</v>
      </c>
      <c r="C771" s="1" t="n">
        <v>46093</v>
      </c>
      <c r="D771" t="inlineStr">
        <is>
          <t>VÄSTERNORRLANDS LÄN</t>
        </is>
      </c>
      <c r="E771" t="inlineStr">
        <is>
          <t>SOLLEFTEÅ</t>
        </is>
      </c>
      <c r="F771" t="inlineStr">
        <is>
          <t>SCA</t>
        </is>
      </c>
      <c r="G771" t="n">
        <v>2</v>
      </c>
      <c r="H771" t="n">
        <v>1</v>
      </c>
      <c r="I771" t="n">
        <v>0</v>
      </c>
      <c r="J771" t="n">
        <v>2</v>
      </c>
      <c r="K771" t="n">
        <v>0</v>
      </c>
      <c r="L771" t="n">
        <v>0</v>
      </c>
      <c r="M771" t="n">
        <v>0</v>
      </c>
      <c r="N771" t="n">
        <v>0</v>
      </c>
      <c r="O771" t="n">
        <v>2</v>
      </c>
      <c r="P771" t="n">
        <v>0</v>
      </c>
      <c r="Q771" t="n">
        <v>2</v>
      </c>
      <c r="R771" s="2" t="inlineStr">
        <is>
          <t>Talltita
Ullticka</t>
        </is>
      </c>
      <c r="S771">
        <f>HYPERLINK("https://klasma.github.io/Logging_2283/artfynd/A 36912-2024 artfynd.xlsx", "A 36912-2024")</f>
        <v/>
      </c>
      <c r="T771">
        <f>HYPERLINK("https://klasma.github.io/Logging_2283/kartor/A 36912-2024 karta.png", "A 36912-2024")</f>
        <v/>
      </c>
      <c r="V771">
        <f>HYPERLINK("https://klasma.github.io/Logging_2283/klagomål/A 36912-2024 FSC-klagomål.docx", "A 36912-2024")</f>
        <v/>
      </c>
      <c r="W771">
        <f>HYPERLINK("https://klasma.github.io/Logging_2283/klagomålsmail/A 36912-2024 FSC-klagomål mail.docx", "A 36912-2024")</f>
        <v/>
      </c>
      <c r="X771">
        <f>HYPERLINK("https://klasma.github.io/Logging_2283/tillsyn/A 36912-2024 tillsynsbegäran.docx", "A 36912-2024")</f>
        <v/>
      </c>
      <c r="Y771">
        <f>HYPERLINK("https://klasma.github.io/Logging_2283/tillsynsmail/A 36912-2024 tillsynsbegäran mail.docx", "A 36912-2024")</f>
        <v/>
      </c>
      <c r="Z771">
        <f>HYPERLINK("https://klasma.github.io/Logging_2283/fåglar/A 36912-2024 prioriterade fågelarter.docx", "A 36912-2024")</f>
        <v/>
      </c>
    </row>
    <row r="772" ht="15" customHeight="1">
      <c r="A772" t="inlineStr">
        <is>
          <t>A 39999-2025</t>
        </is>
      </c>
      <c r="B772" s="1" t="n">
        <v>45894.32910879629</v>
      </c>
      <c r="C772" s="1" t="n">
        <v>46093</v>
      </c>
      <c r="D772" t="inlineStr">
        <is>
          <t>VÄSTERNORRLANDS LÄN</t>
        </is>
      </c>
      <c r="E772" t="inlineStr">
        <is>
          <t>ÖRNSKÖLDSVIK</t>
        </is>
      </c>
      <c r="F772" t="inlineStr">
        <is>
          <t>Holmen skog AB</t>
        </is>
      </c>
      <c r="G772" t="n">
        <v>3.5</v>
      </c>
      <c r="H772" t="n">
        <v>0</v>
      </c>
      <c r="I772" t="n">
        <v>1</v>
      </c>
      <c r="J772" t="n">
        <v>1</v>
      </c>
      <c r="K772" t="n">
        <v>0</v>
      </c>
      <c r="L772" t="n">
        <v>0</v>
      </c>
      <c r="M772" t="n">
        <v>0</v>
      </c>
      <c r="N772" t="n">
        <v>0</v>
      </c>
      <c r="O772" t="n">
        <v>1</v>
      </c>
      <c r="P772" t="n">
        <v>0</v>
      </c>
      <c r="Q772" t="n">
        <v>2</v>
      </c>
      <c r="R772" s="2" t="inlineStr">
        <is>
          <t>Lunglav
Korallblylav</t>
        </is>
      </c>
      <c r="S772">
        <f>HYPERLINK("https://klasma.github.io/Logging_2284/artfynd/A 39999-2025 artfynd.xlsx", "A 39999-2025")</f>
        <v/>
      </c>
      <c r="T772">
        <f>HYPERLINK("https://klasma.github.io/Logging_2284/kartor/A 39999-2025 karta.png", "A 39999-2025")</f>
        <v/>
      </c>
      <c r="V772">
        <f>HYPERLINK("https://klasma.github.io/Logging_2284/klagomål/A 39999-2025 FSC-klagomål.docx", "A 39999-2025")</f>
        <v/>
      </c>
      <c r="W772">
        <f>HYPERLINK("https://klasma.github.io/Logging_2284/klagomålsmail/A 39999-2025 FSC-klagomål mail.docx", "A 39999-2025")</f>
        <v/>
      </c>
      <c r="X772">
        <f>HYPERLINK("https://klasma.github.io/Logging_2284/tillsyn/A 39999-2025 tillsynsbegäran.docx", "A 39999-2025")</f>
        <v/>
      </c>
      <c r="Y772">
        <f>HYPERLINK("https://klasma.github.io/Logging_2284/tillsynsmail/A 39999-2025 tillsynsbegäran mail.docx", "A 39999-2025")</f>
        <v/>
      </c>
    </row>
    <row r="773" ht="15" customHeight="1">
      <c r="A773" t="inlineStr">
        <is>
          <t>A 40107-2025</t>
        </is>
      </c>
      <c r="B773" s="1" t="n">
        <v>45894.48993055556</v>
      </c>
      <c r="C773" s="1" t="n">
        <v>46093</v>
      </c>
      <c r="D773" t="inlineStr">
        <is>
          <t>VÄSTERNORRLANDS LÄN</t>
        </is>
      </c>
      <c r="E773" t="inlineStr">
        <is>
          <t>TIMRÅ</t>
        </is>
      </c>
      <c r="F773" t="inlineStr">
        <is>
          <t>SCA</t>
        </is>
      </c>
      <c r="G773" t="n">
        <v>4.9</v>
      </c>
      <c r="H773" t="n">
        <v>0</v>
      </c>
      <c r="I773" t="n">
        <v>0</v>
      </c>
      <c r="J773" t="n">
        <v>2</v>
      </c>
      <c r="K773" t="n">
        <v>0</v>
      </c>
      <c r="L773" t="n">
        <v>0</v>
      </c>
      <c r="M773" t="n">
        <v>0</v>
      </c>
      <c r="N773" t="n">
        <v>0</v>
      </c>
      <c r="O773" t="n">
        <v>2</v>
      </c>
      <c r="P773" t="n">
        <v>0</v>
      </c>
      <c r="Q773" t="n">
        <v>2</v>
      </c>
      <c r="R773" s="2" t="inlineStr">
        <is>
          <t>Blå taggsvamp
Svart taggsvamp agg.</t>
        </is>
      </c>
      <c r="S773">
        <f>HYPERLINK("https://klasma.github.io/Logging_2262/artfynd/A 40107-2025 artfynd.xlsx", "A 40107-2025")</f>
        <v/>
      </c>
      <c r="T773">
        <f>HYPERLINK("https://klasma.github.io/Logging_2262/kartor/A 40107-2025 karta.png", "A 40107-2025")</f>
        <v/>
      </c>
      <c r="V773">
        <f>HYPERLINK("https://klasma.github.io/Logging_2262/klagomål/A 40107-2025 FSC-klagomål.docx", "A 40107-2025")</f>
        <v/>
      </c>
      <c r="W773">
        <f>HYPERLINK("https://klasma.github.io/Logging_2262/klagomålsmail/A 40107-2025 FSC-klagomål mail.docx", "A 40107-2025")</f>
        <v/>
      </c>
      <c r="X773">
        <f>HYPERLINK("https://klasma.github.io/Logging_2262/tillsyn/A 40107-2025 tillsynsbegäran.docx", "A 40107-2025")</f>
        <v/>
      </c>
      <c r="Y773">
        <f>HYPERLINK("https://klasma.github.io/Logging_2262/tillsynsmail/A 40107-2025 tillsynsbegäran mail.docx", "A 40107-2025")</f>
        <v/>
      </c>
    </row>
    <row r="774" ht="15" customHeight="1">
      <c r="A774" t="inlineStr">
        <is>
          <t>A 22498-2024</t>
        </is>
      </c>
      <c r="B774" s="1" t="n">
        <v>45447</v>
      </c>
      <c r="C774" s="1" t="n">
        <v>46093</v>
      </c>
      <c r="D774" t="inlineStr">
        <is>
          <t>VÄSTERNORRLANDS LÄN</t>
        </is>
      </c>
      <c r="E774" t="inlineStr">
        <is>
          <t>ÖRNSKÖLDSVIK</t>
        </is>
      </c>
      <c r="F774" t="inlineStr">
        <is>
          <t>Holmen skog AB</t>
        </is>
      </c>
      <c r="G774" t="n">
        <v>0.6</v>
      </c>
      <c r="H774" t="n">
        <v>0</v>
      </c>
      <c r="I774" t="n">
        <v>0</v>
      </c>
      <c r="J774" t="n">
        <v>2</v>
      </c>
      <c r="K774" t="n">
        <v>0</v>
      </c>
      <c r="L774" t="n">
        <v>0</v>
      </c>
      <c r="M774" t="n">
        <v>0</v>
      </c>
      <c r="N774" t="n">
        <v>0</v>
      </c>
      <c r="O774" t="n">
        <v>2</v>
      </c>
      <c r="P774" t="n">
        <v>0</v>
      </c>
      <c r="Q774" t="n">
        <v>2</v>
      </c>
      <c r="R774" s="2" t="inlineStr">
        <is>
          <t>Lunglav
Ullticka</t>
        </is>
      </c>
      <c r="S774">
        <f>HYPERLINK("https://klasma.github.io/Logging_2284/artfynd/A 22498-2024 artfynd.xlsx", "A 22498-2024")</f>
        <v/>
      </c>
      <c r="T774">
        <f>HYPERLINK("https://klasma.github.io/Logging_2284/kartor/A 22498-2024 karta.png", "A 22498-2024")</f>
        <v/>
      </c>
      <c r="V774">
        <f>HYPERLINK("https://klasma.github.io/Logging_2284/klagomål/A 22498-2024 FSC-klagomål.docx", "A 22498-2024")</f>
        <v/>
      </c>
      <c r="W774">
        <f>HYPERLINK("https://klasma.github.io/Logging_2284/klagomålsmail/A 22498-2024 FSC-klagomål mail.docx", "A 22498-2024")</f>
        <v/>
      </c>
      <c r="X774">
        <f>HYPERLINK("https://klasma.github.io/Logging_2284/tillsyn/A 22498-2024 tillsynsbegäran.docx", "A 22498-2024")</f>
        <v/>
      </c>
      <c r="Y774">
        <f>HYPERLINK("https://klasma.github.io/Logging_2284/tillsynsmail/A 22498-2024 tillsynsbegäran mail.docx", "A 22498-2024")</f>
        <v/>
      </c>
    </row>
    <row r="775" ht="15" customHeight="1">
      <c r="A775" t="inlineStr">
        <is>
          <t>A 55709-2024</t>
        </is>
      </c>
      <c r="B775" s="1" t="n">
        <v>45622.69840277778</v>
      </c>
      <c r="C775" s="1" t="n">
        <v>46093</v>
      </c>
      <c r="D775" t="inlineStr">
        <is>
          <t>VÄSTERNORRLANDS LÄN</t>
        </is>
      </c>
      <c r="E775" t="inlineStr">
        <is>
          <t>TIMRÅ</t>
        </is>
      </c>
      <c r="F775" t="inlineStr">
        <is>
          <t>SCA</t>
        </is>
      </c>
      <c r="G775" t="n">
        <v>1.8</v>
      </c>
      <c r="H775" t="n">
        <v>0</v>
      </c>
      <c r="I775" t="n">
        <v>1</v>
      </c>
      <c r="J775" t="n">
        <v>1</v>
      </c>
      <c r="K775" t="n">
        <v>0</v>
      </c>
      <c r="L775" t="n">
        <v>0</v>
      </c>
      <c r="M775" t="n">
        <v>0</v>
      </c>
      <c r="N775" t="n">
        <v>0</v>
      </c>
      <c r="O775" t="n">
        <v>1</v>
      </c>
      <c r="P775" t="n">
        <v>0</v>
      </c>
      <c r="Q775" t="n">
        <v>2</v>
      </c>
      <c r="R775" s="2" t="inlineStr">
        <is>
          <t>Lunglav
Skinnlav</t>
        </is>
      </c>
      <c r="S775">
        <f>HYPERLINK("https://klasma.github.io/Logging_2262/artfynd/A 55709-2024 artfynd.xlsx", "A 55709-2024")</f>
        <v/>
      </c>
      <c r="T775">
        <f>HYPERLINK("https://klasma.github.io/Logging_2262/kartor/A 55709-2024 karta.png", "A 55709-2024")</f>
        <v/>
      </c>
      <c r="V775">
        <f>HYPERLINK("https://klasma.github.io/Logging_2262/klagomål/A 55709-2024 FSC-klagomål.docx", "A 55709-2024")</f>
        <v/>
      </c>
      <c r="W775">
        <f>HYPERLINK("https://klasma.github.io/Logging_2262/klagomålsmail/A 55709-2024 FSC-klagomål mail.docx", "A 55709-2024")</f>
        <v/>
      </c>
      <c r="X775">
        <f>HYPERLINK("https://klasma.github.io/Logging_2262/tillsyn/A 55709-2024 tillsynsbegäran.docx", "A 55709-2024")</f>
        <v/>
      </c>
      <c r="Y775">
        <f>HYPERLINK("https://klasma.github.io/Logging_2262/tillsynsmail/A 55709-2024 tillsynsbegäran mail.docx", "A 55709-2024")</f>
        <v/>
      </c>
    </row>
    <row r="776" ht="15" customHeight="1">
      <c r="A776" t="inlineStr">
        <is>
          <t>A 56530-2022</t>
        </is>
      </c>
      <c r="B776" s="1" t="n">
        <v>44893</v>
      </c>
      <c r="C776" s="1" t="n">
        <v>46093</v>
      </c>
      <c r="D776" t="inlineStr">
        <is>
          <t>VÄSTERNORRLANDS LÄN</t>
        </is>
      </c>
      <c r="E776" t="inlineStr">
        <is>
          <t>ÖRNSKÖLDSVIK</t>
        </is>
      </c>
      <c r="F776" t="inlineStr">
        <is>
          <t>Holmen skog AB</t>
        </is>
      </c>
      <c r="G776" t="n">
        <v>2.2</v>
      </c>
      <c r="H776" t="n">
        <v>0</v>
      </c>
      <c r="I776" t="n">
        <v>1</v>
      </c>
      <c r="J776" t="n">
        <v>1</v>
      </c>
      <c r="K776" t="n">
        <v>0</v>
      </c>
      <c r="L776" t="n">
        <v>0</v>
      </c>
      <c r="M776" t="n">
        <v>0</v>
      </c>
      <c r="N776" t="n">
        <v>0</v>
      </c>
      <c r="O776" t="n">
        <v>1</v>
      </c>
      <c r="P776" t="n">
        <v>0</v>
      </c>
      <c r="Q776" t="n">
        <v>2</v>
      </c>
      <c r="R776" s="2" t="inlineStr">
        <is>
          <t>Violettgrå tagellav
Skinnlav</t>
        </is>
      </c>
      <c r="S776">
        <f>HYPERLINK("https://klasma.github.io/Logging_2284/artfynd/A 56530-2022 artfynd.xlsx", "A 56530-2022")</f>
        <v/>
      </c>
      <c r="T776">
        <f>HYPERLINK("https://klasma.github.io/Logging_2284/kartor/A 56530-2022 karta.png", "A 56530-2022")</f>
        <v/>
      </c>
      <c r="V776">
        <f>HYPERLINK("https://klasma.github.io/Logging_2284/klagomål/A 56530-2022 FSC-klagomål.docx", "A 56530-2022")</f>
        <v/>
      </c>
      <c r="W776">
        <f>HYPERLINK("https://klasma.github.io/Logging_2284/klagomålsmail/A 56530-2022 FSC-klagomål mail.docx", "A 56530-2022")</f>
        <v/>
      </c>
      <c r="X776">
        <f>HYPERLINK("https://klasma.github.io/Logging_2284/tillsyn/A 56530-2022 tillsynsbegäran.docx", "A 56530-2022")</f>
        <v/>
      </c>
      <c r="Y776">
        <f>HYPERLINK("https://klasma.github.io/Logging_2284/tillsynsmail/A 56530-2022 tillsynsbegäran mail.docx", "A 56530-2022")</f>
        <v/>
      </c>
    </row>
    <row r="777" ht="15" customHeight="1">
      <c r="A777" t="inlineStr">
        <is>
          <t>A 52727-2022</t>
        </is>
      </c>
      <c r="B777" s="1" t="n">
        <v>44874</v>
      </c>
      <c r="C777" s="1" t="n">
        <v>46093</v>
      </c>
      <c r="D777" t="inlineStr">
        <is>
          <t>VÄSTERNORRLANDS LÄN</t>
        </is>
      </c>
      <c r="E777" t="inlineStr">
        <is>
          <t>HÄRNÖSAND</t>
        </is>
      </c>
      <c r="F777" t="inlineStr">
        <is>
          <t>SCA</t>
        </is>
      </c>
      <c r="G777" t="n">
        <v>3.4</v>
      </c>
      <c r="H777" t="n">
        <v>0</v>
      </c>
      <c r="I777" t="n">
        <v>2</v>
      </c>
      <c r="J777" t="n">
        <v>0</v>
      </c>
      <c r="K777" t="n">
        <v>0</v>
      </c>
      <c r="L777" t="n">
        <v>0</v>
      </c>
      <c r="M777" t="n">
        <v>0</v>
      </c>
      <c r="N777" t="n">
        <v>0</v>
      </c>
      <c r="O777" t="n">
        <v>0</v>
      </c>
      <c r="P777" t="n">
        <v>0</v>
      </c>
      <c r="Q777" t="n">
        <v>2</v>
      </c>
      <c r="R777" s="2" t="inlineStr">
        <is>
          <t>Korallblylav
Skinnlav</t>
        </is>
      </c>
      <c r="S777">
        <f>HYPERLINK("https://klasma.github.io/Logging_2280/artfynd/A 52727-2022 artfynd.xlsx", "A 52727-2022")</f>
        <v/>
      </c>
      <c r="T777">
        <f>HYPERLINK("https://klasma.github.io/Logging_2280/kartor/A 52727-2022 karta.png", "A 52727-2022")</f>
        <v/>
      </c>
      <c r="V777">
        <f>HYPERLINK("https://klasma.github.io/Logging_2280/klagomål/A 52727-2022 FSC-klagomål.docx", "A 52727-2022")</f>
        <v/>
      </c>
      <c r="W777">
        <f>HYPERLINK("https://klasma.github.io/Logging_2280/klagomålsmail/A 52727-2022 FSC-klagomål mail.docx", "A 52727-2022")</f>
        <v/>
      </c>
      <c r="X777">
        <f>HYPERLINK("https://klasma.github.io/Logging_2280/tillsyn/A 52727-2022 tillsynsbegäran.docx", "A 52727-2022")</f>
        <v/>
      </c>
      <c r="Y777">
        <f>HYPERLINK("https://klasma.github.io/Logging_2280/tillsynsmail/A 52727-2022 tillsynsbegäran mail.docx", "A 52727-2022")</f>
        <v/>
      </c>
    </row>
    <row r="778" ht="15" customHeight="1">
      <c r="A778" t="inlineStr">
        <is>
          <t>A 41024-2025</t>
        </is>
      </c>
      <c r="B778" s="1" t="n">
        <v>45898.36831018519</v>
      </c>
      <c r="C778" s="1" t="n">
        <v>46093</v>
      </c>
      <c r="D778" t="inlineStr">
        <is>
          <t>VÄSTERNORRLANDS LÄN</t>
        </is>
      </c>
      <c r="E778" t="inlineStr">
        <is>
          <t>KRAMFORS</t>
        </is>
      </c>
      <c r="G778" t="n">
        <v>5.2</v>
      </c>
      <c r="H778" t="n">
        <v>0</v>
      </c>
      <c r="I778" t="n">
        <v>2</v>
      </c>
      <c r="J778" t="n">
        <v>0</v>
      </c>
      <c r="K778" t="n">
        <v>0</v>
      </c>
      <c r="L778" t="n">
        <v>0</v>
      </c>
      <c r="M778" t="n">
        <v>0</v>
      </c>
      <c r="N778" t="n">
        <v>0</v>
      </c>
      <c r="O778" t="n">
        <v>0</v>
      </c>
      <c r="P778" t="n">
        <v>0</v>
      </c>
      <c r="Q778" t="n">
        <v>2</v>
      </c>
      <c r="R778" s="2" t="inlineStr">
        <is>
          <t>Stubbspretmossa
Svart trolldruva</t>
        </is>
      </c>
      <c r="S778">
        <f>HYPERLINK("https://klasma.github.io/Logging_2282/artfynd/A 41024-2025 artfynd.xlsx", "A 41024-2025")</f>
        <v/>
      </c>
      <c r="T778">
        <f>HYPERLINK("https://klasma.github.io/Logging_2282/kartor/A 41024-2025 karta.png", "A 41024-2025")</f>
        <v/>
      </c>
      <c r="V778">
        <f>HYPERLINK("https://klasma.github.io/Logging_2282/klagomål/A 41024-2025 FSC-klagomål.docx", "A 41024-2025")</f>
        <v/>
      </c>
      <c r="W778">
        <f>HYPERLINK("https://klasma.github.io/Logging_2282/klagomålsmail/A 41024-2025 FSC-klagomål mail.docx", "A 41024-2025")</f>
        <v/>
      </c>
      <c r="X778">
        <f>HYPERLINK("https://klasma.github.io/Logging_2282/tillsyn/A 41024-2025 tillsynsbegäran.docx", "A 41024-2025")</f>
        <v/>
      </c>
      <c r="Y778">
        <f>HYPERLINK("https://klasma.github.io/Logging_2282/tillsynsmail/A 41024-2025 tillsynsbegäran mail.docx", "A 41024-2025")</f>
        <v/>
      </c>
    </row>
    <row r="779" ht="15" customHeight="1">
      <c r="A779" t="inlineStr">
        <is>
          <t>A 41122-2025</t>
        </is>
      </c>
      <c r="B779" s="1" t="n">
        <v>45898.4693287037</v>
      </c>
      <c r="C779" s="1" t="n">
        <v>46093</v>
      </c>
      <c r="D779" t="inlineStr">
        <is>
          <t>VÄSTERNORRLANDS LÄN</t>
        </is>
      </c>
      <c r="E779" t="inlineStr">
        <is>
          <t>KRAMFORS</t>
        </is>
      </c>
      <c r="F779" t="inlineStr">
        <is>
          <t>SCA</t>
        </is>
      </c>
      <c r="G779" t="n">
        <v>6.7</v>
      </c>
      <c r="H779" t="n">
        <v>1</v>
      </c>
      <c r="I779" t="n">
        <v>0</v>
      </c>
      <c r="J779" t="n">
        <v>0</v>
      </c>
      <c r="K779" t="n">
        <v>1</v>
      </c>
      <c r="L779" t="n">
        <v>0</v>
      </c>
      <c r="M779" t="n">
        <v>0</v>
      </c>
      <c r="N779" t="n">
        <v>0</v>
      </c>
      <c r="O779" t="n">
        <v>1</v>
      </c>
      <c r="P779" t="n">
        <v>1</v>
      </c>
      <c r="Q779" t="n">
        <v>2</v>
      </c>
      <c r="R779" s="2" t="inlineStr">
        <is>
          <t>Läderdoftande fingersvamp
Nattviol</t>
        </is>
      </c>
      <c r="S779">
        <f>HYPERLINK("https://klasma.github.io/Logging_2282/artfynd/A 41122-2025 artfynd.xlsx", "A 41122-2025")</f>
        <v/>
      </c>
      <c r="T779">
        <f>HYPERLINK("https://klasma.github.io/Logging_2282/kartor/A 41122-2025 karta.png", "A 41122-2025")</f>
        <v/>
      </c>
      <c r="V779">
        <f>HYPERLINK("https://klasma.github.io/Logging_2282/klagomål/A 41122-2025 FSC-klagomål.docx", "A 41122-2025")</f>
        <v/>
      </c>
      <c r="W779">
        <f>HYPERLINK("https://klasma.github.io/Logging_2282/klagomålsmail/A 41122-2025 FSC-klagomål mail.docx", "A 41122-2025")</f>
        <v/>
      </c>
      <c r="X779">
        <f>HYPERLINK("https://klasma.github.io/Logging_2282/tillsyn/A 41122-2025 tillsynsbegäran.docx", "A 41122-2025")</f>
        <v/>
      </c>
      <c r="Y779">
        <f>HYPERLINK("https://klasma.github.io/Logging_2282/tillsynsmail/A 41122-2025 tillsynsbegäran mail.docx", "A 41122-2025")</f>
        <v/>
      </c>
    </row>
    <row r="780" ht="15" customHeight="1">
      <c r="A780" t="inlineStr">
        <is>
          <t>A 45016-2023</t>
        </is>
      </c>
      <c r="B780" s="1" t="n">
        <v>45190.96188657408</v>
      </c>
      <c r="C780" s="1" t="n">
        <v>46093</v>
      </c>
      <c r="D780" t="inlineStr">
        <is>
          <t>VÄSTERNORRLANDS LÄN</t>
        </is>
      </c>
      <c r="E780" t="inlineStr">
        <is>
          <t>SOLLEFTEÅ</t>
        </is>
      </c>
      <c r="F780" t="inlineStr">
        <is>
          <t>SCA</t>
        </is>
      </c>
      <c r="G780" t="n">
        <v>1.5</v>
      </c>
      <c r="H780" t="n">
        <v>0</v>
      </c>
      <c r="I780" t="n">
        <v>0</v>
      </c>
      <c r="J780" t="n">
        <v>2</v>
      </c>
      <c r="K780" t="n">
        <v>0</v>
      </c>
      <c r="L780" t="n">
        <v>0</v>
      </c>
      <c r="M780" t="n">
        <v>0</v>
      </c>
      <c r="N780" t="n">
        <v>0</v>
      </c>
      <c r="O780" t="n">
        <v>2</v>
      </c>
      <c r="P780" t="n">
        <v>0</v>
      </c>
      <c r="Q780" t="n">
        <v>2</v>
      </c>
      <c r="R780" s="2" t="inlineStr">
        <is>
          <t>Garnlav
Lunglav</t>
        </is>
      </c>
      <c r="S780">
        <f>HYPERLINK("https://klasma.github.io/Logging_2283/artfynd/A 45016-2023 artfynd.xlsx", "A 45016-2023")</f>
        <v/>
      </c>
      <c r="T780">
        <f>HYPERLINK("https://klasma.github.io/Logging_2283/kartor/A 45016-2023 karta.png", "A 45016-2023")</f>
        <v/>
      </c>
      <c r="V780">
        <f>HYPERLINK("https://klasma.github.io/Logging_2283/klagomål/A 45016-2023 FSC-klagomål.docx", "A 45016-2023")</f>
        <v/>
      </c>
      <c r="W780">
        <f>HYPERLINK("https://klasma.github.io/Logging_2283/klagomålsmail/A 45016-2023 FSC-klagomål mail.docx", "A 45016-2023")</f>
        <v/>
      </c>
      <c r="X780">
        <f>HYPERLINK("https://klasma.github.io/Logging_2283/tillsyn/A 45016-2023 tillsynsbegäran.docx", "A 45016-2023")</f>
        <v/>
      </c>
      <c r="Y780">
        <f>HYPERLINK("https://klasma.github.io/Logging_2283/tillsynsmail/A 45016-2023 tillsynsbegäran mail.docx", "A 45016-2023")</f>
        <v/>
      </c>
    </row>
    <row r="781" ht="15" customHeight="1">
      <c r="A781" t="inlineStr">
        <is>
          <t>A 36072-2025</t>
        </is>
      </c>
      <c r="B781" s="1" t="n">
        <v>45866.42975694445</v>
      </c>
      <c r="C781" s="1" t="n">
        <v>46093</v>
      </c>
      <c r="D781" t="inlineStr">
        <is>
          <t>VÄSTERNORRLANDS LÄN</t>
        </is>
      </c>
      <c r="E781" t="inlineStr">
        <is>
          <t>SUNDSVALL</t>
        </is>
      </c>
      <c r="G781" t="n">
        <v>0.6</v>
      </c>
      <c r="H781" t="n">
        <v>2</v>
      </c>
      <c r="I781" t="n">
        <v>0</v>
      </c>
      <c r="J781" t="n">
        <v>0</v>
      </c>
      <c r="K781" t="n">
        <v>1</v>
      </c>
      <c r="L781" t="n">
        <v>0</v>
      </c>
      <c r="M781" t="n">
        <v>0</v>
      </c>
      <c r="N781" t="n">
        <v>0</v>
      </c>
      <c r="O781" t="n">
        <v>1</v>
      </c>
      <c r="P781" t="n">
        <v>1</v>
      </c>
      <c r="Q781" t="n">
        <v>2</v>
      </c>
      <c r="R781" s="2" t="inlineStr">
        <is>
          <t>Knärot
Fläcknycklar</t>
        </is>
      </c>
      <c r="S781">
        <f>HYPERLINK("https://klasma.github.io/Logging_2281/artfynd/A 36072-2025 artfynd.xlsx", "A 36072-2025")</f>
        <v/>
      </c>
      <c r="T781">
        <f>HYPERLINK("https://klasma.github.io/Logging_2281/kartor/A 36072-2025 karta.png", "A 36072-2025")</f>
        <v/>
      </c>
      <c r="U781">
        <f>HYPERLINK("https://klasma.github.io/Logging_2281/knärot/A 36072-2025 karta knärot.png", "A 36072-2025")</f>
        <v/>
      </c>
      <c r="V781">
        <f>HYPERLINK("https://klasma.github.io/Logging_2281/klagomål/A 36072-2025 FSC-klagomål.docx", "A 36072-2025")</f>
        <v/>
      </c>
      <c r="W781">
        <f>HYPERLINK("https://klasma.github.io/Logging_2281/klagomålsmail/A 36072-2025 FSC-klagomål mail.docx", "A 36072-2025")</f>
        <v/>
      </c>
      <c r="X781">
        <f>HYPERLINK("https://klasma.github.io/Logging_2281/tillsyn/A 36072-2025 tillsynsbegäran.docx", "A 36072-2025")</f>
        <v/>
      </c>
      <c r="Y781">
        <f>HYPERLINK("https://klasma.github.io/Logging_2281/tillsynsmail/A 36072-2025 tillsynsbegäran mail.docx", "A 36072-2025")</f>
        <v/>
      </c>
    </row>
    <row r="782" ht="15" customHeight="1">
      <c r="A782" t="inlineStr">
        <is>
          <t>A 42864-2025</t>
        </is>
      </c>
      <c r="B782" s="1" t="n">
        <v>45908</v>
      </c>
      <c r="C782" s="1" t="n">
        <v>46093</v>
      </c>
      <c r="D782" t="inlineStr">
        <is>
          <t>VÄSTERNORRLANDS LÄN</t>
        </is>
      </c>
      <c r="E782" t="inlineStr">
        <is>
          <t>ÅNGE</t>
        </is>
      </c>
      <c r="G782" t="n">
        <v>2.9</v>
      </c>
      <c r="H782" t="n">
        <v>0</v>
      </c>
      <c r="I782" t="n">
        <v>0</v>
      </c>
      <c r="J782" t="n">
        <v>2</v>
      </c>
      <c r="K782" t="n">
        <v>0</v>
      </c>
      <c r="L782" t="n">
        <v>0</v>
      </c>
      <c r="M782" t="n">
        <v>0</v>
      </c>
      <c r="N782" t="n">
        <v>0</v>
      </c>
      <c r="O782" t="n">
        <v>2</v>
      </c>
      <c r="P782" t="n">
        <v>0</v>
      </c>
      <c r="Q782" t="n">
        <v>2</v>
      </c>
      <c r="R782" s="2" t="inlineStr">
        <is>
          <t>Mörk kolflarnlav
Vedflamlav</t>
        </is>
      </c>
      <c r="S782">
        <f>HYPERLINK("https://klasma.github.io/Logging_2260/artfynd/A 42864-2025 artfynd.xlsx", "A 42864-2025")</f>
        <v/>
      </c>
      <c r="T782">
        <f>HYPERLINK("https://klasma.github.io/Logging_2260/kartor/A 42864-2025 karta.png", "A 42864-2025")</f>
        <v/>
      </c>
      <c r="V782">
        <f>HYPERLINK("https://klasma.github.io/Logging_2260/klagomål/A 42864-2025 FSC-klagomål.docx", "A 42864-2025")</f>
        <v/>
      </c>
      <c r="W782">
        <f>HYPERLINK("https://klasma.github.io/Logging_2260/klagomålsmail/A 42864-2025 FSC-klagomål mail.docx", "A 42864-2025")</f>
        <v/>
      </c>
      <c r="X782">
        <f>HYPERLINK("https://klasma.github.io/Logging_2260/tillsyn/A 42864-2025 tillsynsbegäran.docx", "A 42864-2025")</f>
        <v/>
      </c>
      <c r="Y782">
        <f>HYPERLINK("https://klasma.github.io/Logging_2260/tillsynsmail/A 42864-2025 tillsynsbegäran mail.docx", "A 42864-2025")</f>
        <v/>
      </c>
    </row>
    <row r="783" ht="15" customHeight="1">
      <c r="A783" t="inlineStr">
        <is>
          <t>A 52350-2022</t>
        </is>
      </c>
      <c r="B783" s="1" t="n">
        <v>44873</v>
      </c>
      <c r="C783" s="1" t="n">
        <v>46093</v>
      </c>
      <c r="D783" t="inlineStr">
        <is>
          <t>VÄSTERNORRLANDS LÄN</t>
        </is>
      </c>
      <c r="E783" t="inlineStr">
        <is>
          <t>SUNDSVALL</t>
        </is>
      </c>
      <c r="F783" t="inlineStr">
        <is>
          <t>SCA</t>
        </is>
      </c>
      <c r="G783" t="n">
        <v>4.4</v>
      </c>
      <c r="H783" t="n">
        <v>0</v>
      </c>
      <c r="I783" t="n">
        <v>0</v>
      </c>
      <c r="J783" t="n">
        <v>2</v>
      </c>
      <c r="K783" t="n">
        <v>0</v>
      </c>
      <c r="L783" t="n">
        <v>0</v>
      </c>
      <c r="M783" t="n">
        <v>0</v>
      </c>
      <c r="N783" t="n">
        <v>0</v>
      </c>
      <c r="O783" t="n">
        <v>2</v>
      </c>
      <c r="P783" t="n">
        <v>0</v>
      </c>
      <c r="Q783" t="n">
        <v>2</v>
      </c>
      <c r="R783" s="2" t="inlineStr">
        <is>
          <t>Lunglav
Ullticka</t>
        </is>
      </c>
      <c r="S783">
        <f>HYPERLINK("https://klasma.github.io/Logging_2281/artfynd/A 52350-2022 artfynd.xlsx", "A 52350-2022")</f>
        <v/>
      </c>
      <c r="T783">
        <f>HYPERLINK("https://klasma.github.io/Logging_2281/kartor/A 52350-2022 karta.png", "A 52350-2022")</f>
        <v/>
      </c>
      <c r="V783">
        <f>HYPERLINK("https://klasma.github.io/Logging_2281/klagomål/A 52350-2022 FSC-klagomål.docx", "A 52350-2022")</f>
        <v/>
      </c>
      <c r="W783">
        <f>HYPERLINK("https://klasma.github.io/Logging_2281/klagomålsmail/A 52350-2022 FSC-klagomål mail.docx", "A 52350-2022")</f>
        <v/>
      </c>
      <c r="X783">
        <f>HYPERLINK("https://klasma.github.io/Logging_2281/tillsyn/A 52350-2022 tillsynsbegäran.docx", "A 52350-2022")</f>
        <v/>
      </c>
      <c r="Y783">
        <f>HYPERLINK("https://klasma.github.io/Logging_2281/tillsynsmail/A 52350-2022 tillsynsbegäran mail.docx", "A 52350-2022")</f>
        <v/>
      </c>
    </row>
    <row r="784" ht="15" customHeight="1">
      <c r="A784" t="inlineStr">
        <is>
          <t>A 43616-2025</t>
        </is>
      </c>
      <c r="B784" s="1" t="n">
        <v>45911.67792824074</v>
      </c>
      <c r="C784" s="1" t="n">
        <v>46093</v>
      </c>
      <c r="D784" t="inlineStr">
        <is>
          <t>VÄSTERNORRLANDS LÄN</t>
        </is>
      </c>
      <c r="E784" t="inlineStr">
        <is>
          <t>SUNDSVALL</t>
        </is>
      </c>
      <c r="F784" t="inlineStr">
        <is>
          <t>Naturvårdsverket</t>
        </is>
      </c>
      <c r="G784" t="n">
        <v>3.5</v>
      </c>
      <c r="H784" t="n">
        <v>2</v>
      </c>
      <c r="I784" t="n">
        <v>1</v>
      </c>
      <c r="J784" t="n">
        <v>0</v>
      </c>
      <c r="K784" t="n">
        <v>0</v>
      </c>
      <c r="L784" t="n">
        <v>0</v>
      </c>
      <c r="M784" t="n">
        <v>0</v>
      </c>
      <c r="N784" t="n">
        <v>0</v>
      </c>
      <c r="O784" t="n">
        <v>0</v>
      </c>
      <c r="P784" t="n">
        <v>0</v>
      </c>
      <c r="Q784" t="n">
        <v>2</v>
      </c>
      <c r="R784" s="2" t="inlineStr">
        <is>
          <t>Spindelblomster
Fläcknycklar</t>
        </is>
      </c>
      <c r="S784">
        <f>HYPERLINK("https://klasma.github.io/Logging_2281/artfynd/A 43616-2025 artfynd.xlsx", "A 43616-2025")</f>
        <v/>
      </c>
      <c r="T784">
        <f>HYPERLINK("https://klasma.github.io/Logging_2281/kartor/A 43616-2025 karta.png", "A 43616-2025")</f>
        <v/>
      </c>
      <c r="V784">
        <f>HYPERLINK("https://klasma.github.io/Logging_2281/klagomål/A 43616-2025 FSC-klagomål.docx", "A 43616-2025")</f>
        <v/>
      </c>
      <c r="W784">
        <f>HYPERLINK("https://klasma.github.io/Logging_2281/klagomålsmail/A 43616-2025 FSC-klagomål mail.docx", "A 43616-2025")</f>
        <v/>
      </c>
      <c r="X784">
        <f>HYPERLINK("https://klasma.github.io/Logging_2281/tillsyn/A 43616-2025 tillsynsbegäran.docx", "A 43616-2025")</f>
        <v/>
      </c>
      <c r="Y784">
        <f>HYPERLINK("https://klasma.github.io/Logging_2281/tillsynsmail/A 43616-2025 tillsynsbegäran mail.docx", "A 43616-2025")</f>
        <v/>
      </c>
    </row>
    <row r="785" ht="15" customHeight="1">
      <c r="A785" t="inlineStr">
        <is>
          <t>A 31493-2024</t>
        </is>
      </c>
      <c r="B785" s="1" t="n">
        <v>45505</v>
      </c>
      <c r="C785" s="1" t="n">
        <v>46093</v>
      </c>
      <c r="D785" t="inlineStr">
        <is>
          <t>VÄSTERNORRLANDS LÄN</t>
        </is>
      </c>
      <c r="E785" t="inlineStr">
        <is>
          <t>ÅNGE</t>
        </is>
      </c>
      <c r="F785" t="inlineStr">
        <is>
          <t>SCA</t>
        </is>
      </c>
      <c r="G785" t="n">
        <v>4.4</v>
      </c>
      <c r="H785" t="n">
        <v>1</v>
      </c>
      <c r="I785" t="n">
        <v>1</v>
      </c>
      <c r="J785" t="n">
        <v>0</v>
      </c>
      <c r="K785" t="n">
        <v>1</v>
      </c>
      <c r="L785" t="n">
        <v>0</v>
      </c>
      <c r="M785" t="n">
        <v>0</v>
      </c>
      <c r="N785" t="n">
        <v>0</v>
      </c>
      <c r="O785" t="n">
        <v>1</v>
      </c>
      <c r="P785" t="n">
        <v>1</v>
      </c>
      <c r="Q785" t="n">
        <v>2</v>
      </c>
      <c r="R785" s="2" t="inlineStr">
        <is>
          <t>Knärot
Korallblylav</t>
        </is>
      </c>
      <c r="S785">
        <f>HYPERLINK("https://klasma.github.io/Logging_2260/artfynd/A 31493-2024 artfynd.xlsx", "A 31493-2024")</f>
        <v/>
      </c>
      <c r="T785">
        <f>HYPERLINK("https://klasma.github.io/Logging_2260/kartor/A 31493-2024 karta.png", "A 31493-2024")</f>
        <v/>
      </c>
      <c r="U785">
        <f>HYPERLINK("https://klasma.github.io/Logging_2260/knärot/A 31493-2024 karta knärot.png", "A 31493-2024")</f>
        <v/>
      </c>
      <c r="V785">
        <f>HYPERLINK("https://klasma.github.io/Logging_2260/klagomål/A 31493-2024 FSC-klagomål.docx", "A 31493-2024")</f>
        <v/>
      </c>
      <c r="W785">
        <f>HYPERLINK("https://klasma.github.io/Logging_2260/klagomålsmail/A 31493-2024 FSC-klagomål mail.docx", "A 31493-2024")</f>
        <v/>
      </c>
      <c r="X785">
        <f>HYPERLINK("https://klasma.github.io/Logging_2260/tillsyn/A 31493-2024 tillsynsbegäran.docx", "A 31493-2024")</f>
        <v/>
      </c>
      <c r="Y785">
        <f>HYPERLINK("https://klasma.github.io/Logging_2260/tillsynsmail/A 31493-2024 tillsynsbegäran mail.docx", "A 31493-2024")</f>
        <v/>
      </c>
    </row>
    <row r="786" ht="15" customHeight="1">
      <c r="A786" t="inlineStr">
        <is>
          <t>A 34814-2024</t>
        </is>
      </c>
      <c r="B786" s="1" t="n">
        <v>45526.70703703703</v>
      </c>
      <c r="C786" s="1" t="n">
        <v>46093</v>
      </c>
      <c r="D786" t="inlineStr">
        <is>
          <t>VÄSTERNORRLANDS LÄN</t>
        </is>
      </c>
      <c r="E786" t="inlineStr">
        <is>
          <t>SOLLEFTEÅ</t>
        </is>
      </c>
      <c r="F786" t="inlineStr">
        <is>
          <t>SCA</t>
        </is>
      </c>
      <c r="G786" t="n">
        <v>6.9</v>
      </c>
      <c r="H786" t="n">
        <v>0</v>
      </c>
      <c r="I786" t="n">
        <v>0</v>
      </c>
      <c r="J786" t="n">
        <v>2</v>
      </c>
      <c r="K786" t="n">
        <v>0</v>
      </c>
      <c r="L786" t="n">
        <v>0</v>
      </c>
      <c r="M786" t="n">
        <v>0</v>
      </c>
      <c r="N786" t="n">
        <v>0</v>
      </c>
      <c r="O786" t="n">
        <v>2</v>
      </c>
      <c r="P786" t="n">
        <v>0</v>
      </c>
      <c r="Q786" t="n">
        <v>2</v>
      </c>
      <c r="R786" s="2" t="inlineStr">
        <is>
          <t>Kolflarnlav
Lunglav</t>
        </is>
      </c>
      <c r="S786">
        <f>HYPERLINK("https://klasma.github.io/Logging_2283/artfynd/A 34814-2024 artfynd.xlsx", "A 34814-2024")</f>
        <v/>
      </c>
      <c r="T786">
        <f>HYPERLINK("https://klasma.github.io/Logging_2283/kartor/A 34814-2024 karta.png", "A 34814-2024")</f>
        <v/>
      </c>
      <c r="V786">
        <f>HYPERLINK("https://klasma.github.io/Logging_2283/klagomål/A 34814-2024 FSC-klagomål.docx", "A 34814-2024")</f>
        <v/>
      </c>
      <c r="W786">
        <f>HYPERLINK("https://klasma.github.io/Logging_2283/klagomålsmail/A 34814-2024 FSC-klagomål mail.docx", "A 34814-2024")</f>
        <v/>
      </c>
      <c r="X786">
        <f>HYPERLINK("https://klasma.github.io/Logging_2283/tillsyn/A 34814-2024 tillsynsbegäran.docx", "A 34814-2024")</f>
        <v/>
      </c>
      <c r="Y786">
        <f>HYPERLINK("https://klasma.github.io/Logging_2283/tillsynsmail/A 34814-2024 tillsynsbegäran mail.docx", "A 34814-2024")</f>
        <v/>
      </c>
    </row>
    <row r="787" ht="15" customHeight="1">
      <c r="A787" t="inlineStr">
        <is>
          <t>A 43721-2025</t>
        </is>
      </c>
      <c r="B787" s="1" t="n">
        <v>45912.42800925926</v>
      </c>
      <c r="C787" s="1" t="n">
        <v>46093</v>
      </c>
      <c r="D787" t="inlineStr">
        <is>
          <t>VÄSTERNORRLANDS LÄN</t>
        </is>
      </c>
      <c r="E787" t="inlineStr">
        <is>
          <t>ÅNGE</t>
        </is>
      </c>
      <c r="F787" t="inlineStr">
        <is>
          <t>SCA</t>
        </is>
      </c>
      <c r="G787" t="n">
        <v>9.9</v>
      </c>
      <c r="H787" t="n">
        <v>1</v>
      </c>
      <c r="I787" t="n">
        <v>1</v>
      </c>
      <c r="J787" t="n">
        <v>0</v>
      </c>
      <c r="K787" t="n">
        <v>1</v>
      </c>
      <c r="L787" t="n">
        <v>0</v>
      </c>
      <c r="M787" t="n">
        <v>0</v>
      </c>
      <c r="N787" t="n">
        <v>0</v>
      </c>
      <c r="O787" t="n">
        <v>1</v>
      </c>
      <c r="P787" t="n">
        <v>1</v>
      </c>
      <c r="Q787" t="n">
        <v>2</v>
      </c>
      <c r="R787" s="2" t="inlineStr">
        <is>
          <t>Knärot
Svavelriska</t>
        </is>
      </c>
      <c r="S787">
        <f>HYPERLINK("https://klasma.github.io/Logging_2260/artfynd/A 43721-2025 artfynd.xlsx", "A 43721-2025")</f>
        <v/>
      </c>
      <c r="T787">
        <f>HYPERLINK("https://klasma.github.io/Logging_2260/kartor/A 43721-2025 karta.png", "A 43721-2025")</f>
        <v/>
      </c>
      <c r="U787">
        <f>HYPERLINK("https://klasma.github.io/Logging_2260/knärot/A 43721-2025 karta knärot.png", "A 43721-2025")</f>
        <v/>
      </c>
      <c r="V787">
        <f>HYPERLINK("https://klasma.github.io/Logging_2260/klagomål/A 43721-2025 FSC-klagomål.docx", "A 43721-2025")</f>
        <v/>
      </c>
      <c r="W787">
        <f>HYPERLINK("https://klasma.github.io/Logging_2260/klagomålsmail/A 43721-2025 FSC-klagomål mail.docx", "A 43721-2025")</f>
        <v/>
      </c>
      <c r="X787">
        <f>HYPERLINK("https://klasma.github.io/Logging_2260/tillsyn/A 43721-2025 tillsynsbegäran.docx", "A 43721-2025")</f>
        <v/>
      </c>
      <c r="Y787">
        <f>HYPERLINK("https://klasma.github.io/Logging_2260/tillsynsmail/A 43721-2025 tillsynsbegäran mail.docx", "A 43721-2025")</f>
        <v/>
      </c>
    </row>
    <row r="788" ht="15" customHeight="1">
      <c r="A788" t="inlineStr">
        <is>
          <t>A 15632-2025</t>
        </is>
      </c>
      <c r="B788" s="1" t="n">
        <v>45748.369375</v>
      </c>
      <c r="C788" s="1" t="n">
        <v>46093</v>
      </c>
      <c r="D788" t="inlineStr">
        <is>
          <t>VÄSTERNORRLANDS LÄN</t>
        </is>
      </c>
      <c r="E788" t="inlineStr">
        <is>
          <t>SUNDSVALL</t>
        </is>
      </c>
      <c r="G788" t="n">
        <v>4.8</v>
      </c>
      <c r="H788" t="n">
        <v>2</v>
      </c>
      <c r="I788" t="n">
        <v>0</v>
      </c>
      <c r="J788" t="n">
        <v>2</v>
      </c>
      <c r="K788" t="n">
        <v>0</v>
      </c>
      <c r="L788" t="n">
        <v>0</v>
      </c>
      <c r="M788" t="n">
        <v>0</v>
      </c>
      <c r="N788" t="n">
        <v>0</v>
      </c>
      <c r="O788" t="n">
        <v>2</v>
      </c>
      <c r="P788" t="n">
        <v>0</v>
      </c>
      <c r="Q788" t="n">
        <v>2</v>
      </c>
      <c r="R788" s="2" t="inlineStr">
        <is>
          <t>Spillkråka
Svartvit flugsnappare</t>
        </is>
      </c>
      <c r="S788">
        <f>HYPERLINK("https://klasma.github.io/Logging_2281/artfynd/A 15632-2025 artfynd.xlsx", "A 15632-2025")</f>
        <v/>
      </c>
      <c r="T788">
        <f>HYPERLINK("https://klasma.github.io/Logging_2281/kartor/A 15632-2025 karta.png", "A 15632-2025")</f>
        <v/>
      </c>
      <c r="V788">
        <f>HYPERLINK("https://klasma.github.io/Logging_2281/klagomål/A 15632-2025 FSC-klagomål.docx", "A 15632-2025")</f>
        <v/>
      </c>
      <c r="W788">
        <f>HYPERLINK("https://klasma.github.io/Logging_2281/klagomålsmail/A 15632-2025 FSC-klagomål mail.docx", "A 15632-2025")</f>
        <v/>
      </c>
      <c r="X788">
        <f>HYPERLINK("https://klasma.github.io/Logging_2281/tillsyn/A 15632-2025 tillsynsbegäran.docx", "A 15632-2025")</f>
        <v/>
      </c>
      <c r="Y788">
        <f>HYPERLINK("https://klasma.github.io/Logging_2281/tillsynsmail/A 15632-2025 tillsynsbegäran mail.docx", "A 15632-2025")</f>
        <v/>
      </c>
      <c r="Z788">
        <f>HYPERLINK("https://klasma.github.io/Logging_2281/fåglar/A 15632-2025 prioriterade fågelarter.docx", "A 15632-2025")</f>
        <v/>
      </c>
    </row>
    <row r="789" ht="15" customHeight="1">
      <c r="A789" t="inlineStr">
        <is>
          <t>A 36414-2025</t>
        </is>
      </c>
      <c r="B789" s="1" t="n">
        <v>45868.69246527777</v>
      </c>
      <c r="C789" s="1" t="n">
        <v>46093</v>
      </c>
      <c r="D789" t="inlineStr">
        <is>
          <t>VÄSTERNORRLANDS LÄN</t>
        </is>
      </c>
      <c r="E789" t="inlineStr">
        <is>
          <t>ÅNGE</t>
        </is>
      </c>
      <c r="G789" t="n">
        <v>5.4</v>
      </c>
      <c r="H789" t="n">
        <v>0</v>
      </c>
      <c r="I789" t="n">
        <v>0</v>
      </c>
      <c r="J789" t="n">
        <v>2</v>
      </c>
      <c r="K789" t="n">
        <v>0</v>
      </c>
      <c r="L789" t="n">
        <v>0</v>
      </c>
      <c r="M789" t="n">
        <v>0</v>
      </c>
      <c r="N789" t="n">
        <v>0</v>
      </c>
      <c r="O789" t="n">
        <v>2</v>
      </c>
      <c r="P789" t="n">
        <v>0</v>
      </c>
      <c r="Q789" t="n">
        <v>2</v>
      </c>
      <c r="R789" s="2" t="inlineStr">
        <is>
          <t>Kolflarnlav
Lunglav</t>
        </is>
      </c>
      <c r="S789">
        <f>HYPERLINK("https://klasma.github.io/Logging_2260/artfynd/A 36414-2025 artfynd.xlsx", "A 36414-2025")</f>
        <v/>
      </c>
      <c r="T789">
        <f>HYPERLINK("https://klasma.github.io/Logging_2260/kartor/A 36414-2025 karta.png", "A 36414-2025")</f>
        <v/>
      </c>
      <c r="V789">
        <f>HYPERLINK("https://klasma.github.io/Logging_2260/klagomål/A 36414-2025 FSC-klagomål.docx", "A 36414-2025")</f>
        <v/>
      </c>
      <c r="W789">
        <f>HYPERLINK("https://klasma.github.io/Logging_2260/klagomålsmail/A 36414-2025 FSC-klagomål mail.docx", "A 36414-2025")</f>
        <v/>
      </c>
      <c r="X789">
        <f>HYPERLINK("https://klasma.github.io/Logging_2260/tillsyn/A 36414-2025 tillsynsbegäran.docx", "A 36414-2025")</f>
        <v/>
      </c>
      <c r="Y789">
        <f>HYPERLINK("https://klasma.github.io/Logging_2260/tillsynsmail/A 36414-2025 tillsynsbegäran mail.docx", "A 36414-2025")</f>
        <v/>
      </c>
    </row>
    <row r="790" ht="15" customHeight="1">
      <c r="A790" t="inlineStr">
        <is>
          <t>A 44403-2025</t>
        </is>
      </c>
      <c r="B790" s="1" t="n">
        <v>45916.51086805556</v>
      </c>
      <c r="C790" s="1" t="n">
        <v>46093</v>
      </c>
      <c r="D790" t="inlineStr">
        <is>
          <t>VÄSTERNORRLANDS LÄN</t>
        </is>
      </c>
      <c r="E790" t="inlineStr">
        <is>
          <t>SUNDSVALL</t>
        </is>
      </c>
      <c r="F790" t="inlineStr">
        <is>
          <t>SCA</t>
        </is>
      </c>
      <c r="G790" t="n">
        <v>4.3</v>
      </c>
      <c r="H790" t="n">
        <v>0</v>
      </c>
      <c r="I790" t="n">
        <v>1</v>
      </c>
      <c r="J790" t="n">
        <v>0</v>
      </c>
      <c r="K790" t="n">
        <v>1</v>
      </c>
      <c r="L790" t="n">
        <v>0</v>
      </c>
      <c r="M790" t="n">
        <v>0</v>
      </c>
      <c r="N790" t="n">
        <v>0</v>
      </c>
      <c r="O790" t="n">
        <v>1</v>
      </c>
      <c r="P790" t="n">
        <v>1</v>
      </c>
      <c r="Q790" t="n">
        <v>2</v>
      </c>
      <c r="R790" s="2" t="inlineStr">
        <is>
          <t>Blackticka
Stuplav</t>
        </is>
      </c>
      <c r="S790">
        <f>HYPERLINK("https://klasma.github.io/Logging_2281/artfynd/A 44403-2025 artfynd.xlsx", "A 44403-2025")</f>
        <v/>
      </c>
      <c r="T790">
        <f>HYPERLINK("https://klasma.github.io/Logging_2281/kartor/A 44403-2025 karta.png", "A 44403-2025")</f>
        <v/>
      </c>
      <c r="V790">
        <f>HYPERLINK("https://klasma.github.io/Logging_2281/klagomål/A 44403-2025 FSC-klagomål.docx", "A 44403-2025")</f>
        <v/>
      </c>
      <c r="W790">
        <f>HYPERLINK("https://klasma.github.io/Logging_2281/klagomålsmail/A 44403-2025 FSC-klagomål mail.docx", "A 44403-2025")</f>
        <v/>
      </c>
      <c r="X790">
        <f>HYPERLINK("https://klasma.github.io/Logging_2281/tillsyn/A 44403-2025 tillsynsbegäran.docx", "A 44403-2025")</f>
        <v/>
      </c>
      <c r="Y790">
        <f>HYPERLINK("https://klasma.github.io/Logging_2281/tillsynsmail/A 44403-2025 tillsynsbegäran mail.docx", "A 44403-2025")</f>
        <v/>
      </c>
    </row>
    <row r="791" ht="15" customHeight="1">
      <c r="A791" t="inlineStr">
        <is>
          <t>A 44328-2025</t>
        </is>
      </c>
      <c r="B791" s="1" t="n">
        <v>45916.40769675926</v>
      </c>
      <c r="C791" s="1" t="n">
        <v>46093</v>
      </c>
      <c r="D791" t="inlineStr">
        <is>
          <t>VÄSTERNORRLANDS LÄN</t>
        </is>
      </c>
      <c r="E791" t="inlineStr">
        <is>
          <t>SUNDSVALL</t>
        </is>
      </c>
      <c r="F791" t="inlineStr">
        <is>
          <t>SCA</t>
        </is>
      </c>
      <c r="G791" t="n">
        <v>3.5</v>
      </c>
      <c r="H791" t="n">
        <v>1</v>
      </c>
      <c r="I791" t="n">
        <v>1</v>
      </c>
      <c r="J791" t="n">
        <v>0</v>
      </c>
      <c r="K791" t="n">
        <v>0</v>
      </c>
      <c r="L791" t="n">
        <v>0</v>
      </c>
      <c r="M791" t="n">
        <v>0</v>
      </c>
      <c r="N791" t="n">
        <v>0</v>
      </c>
      <c r="O791" t="n">
        <v>0</v>
      </c>
      <c r="P791" t="n">
        <v>0</v>
      </c>
      <c r="Q791" t="n">
        <v>2</v>
      </c>
      <c r="R791" s="2" t="inlineStr">
        <is>
          <t>Vårärt
Blåsippa</t>
        </is>
      </c>
      <c r="S791">
        <f>HYPERLINK("https://klasma.github.io/Logging_2281/artfynd/A 44328-2025 artfynd.xlsx", "A 44328-2025")</f>
        <v/>
      </c>
      <c r="T791">
        <f>HYPERLINK("https://klasma.github.io/Logging_2281/kartor/A 44328-2025 karta.png", "A 44328-2025")</f>
        <v/>
      </c>
      <c r="V791">
        <f>HYPERLINK("https://klasma.github.io/Logging_2281/klagomål/A 44328-2025 FSC-klagomål.docx", "A 44328-2025")</f>
        <v/>
      </c>
      <c r="W791">
        <f>HYPERLINK("https://klasma.github.io/Logging_2281/klagomålsmail/A 44328-2025 FSC-klagomål mail.docx", "A 44328-2025")</f>
        <v/>
      </c>
      <c r="X791">
        <f>HYPERLINK("https://klasma.github.io/Logging_2281/tillsyn/A 44328-2025 tillsynsbegäran.docx", "A 44328-2025")</f>
        <v/>
      </c>
      <c r="Y791">
        <f>HYPERLINK("https://klasma.github.io/Logging_2281/tillsynsmail/A 44328-2025 tillsynsbegäran mail.docx", "A 44328-2025")</f>
        <v/>
      </c>
    </row>
    <row r="792" ht="15" customHeight="1">
      <c r="A792" t="inlineStr">
        <is>
          <t>A 58070-2022</t>
        </is>
      </c>
      <c r="B792" s="1" t="n">
        <v>44893</v>
      </c>
      <c r="C792" s="1" t="n">
        <v>46093</v>
      </c>
      <c r="D792" t="inlineStr">
        <is>
          <t>VÄSTERNORRLANDS LÄN</t>
        </is>
      </c>
      <c r="E792" t="inlineStr">
        <is>
          <t>ÖRNSKÖLDSVIK</t>
        </is>
      </c>
      <c r="G792" t="n">
        <v>3.1</v>
      </c>
      <c r="H792" t="n">
        <v>1</v>
      </c>
      <c r="I792" t="n">
        <v>1</v>
      </c>
      <c r="J792" t="n">
        <v>1</v>
      </c>
      <c r="K792" t="n">
        <v>0</v>
      </c>
      <c r="L792" t="n">
        <v>0</v>
      </c>
      <c r="M792" t="n">
        <v>0</v>
      </c>
      <c r="N792" t="n">
        <v>0</v>
      </c>
      <c r="O792" t="n">
        <v>1</v>
      </c>
      <c r="P792" t="n">
        <v>0</v>
      </c>
      <c r="Q792" t="n">
        <v>2</v>
      </c>
      <c r="R792" s="2" t="inlineStr">
        <is>
          <t>Ärtsångare
Dropptaggsvamp</t>
        </is>
      </c>
      <c r="S792">
        <f>HYPERLINK("https://klasma.github.io/Logging_2284/artfynd/A 58070-2022 artfynd.xlsx", "A 58070-2022")</f>
        <v/>
      </c>
      <c r="T792">
        <f>HYPERLINK("https://klasma.github.io/Logging_2284/kartor/A 58070-2022 karta.png", "A 58070-2022")</f>
        <v/>
      </c>
      <c r="V792">
        <f>HYPERLINK("https://klasma.github.io/Logging_2284/klagomål/A 58070-2022 FSC-klagomål.docx", "A 58070-2022")</f>
        <v/>
      </c>
      <c r="W792">
        <f>HYPERLINK("https://klasma.github.io/Logging_2284/klagomålsmail/A 58070-2022 FSC-klagomål mail.docx", "A 58070-2022")</f>
        <v/>
      </c>
      <c r="X792">
        <f>HYPERLINK("https://klasma.github.io/Logging_2284/tillsyn/A 58070-2022 tillsynsbegäran.docx", "A 58070-2022")</f>
        <v/>
      </c>
      <c r="Y792">
        <f>HYPERLINK("https://klasma.github.io/Logging_2284/tillsynsmail/A 58070-2022 tillsynsbegäran mail.docx", "A 58070-2022")</f>
        <v/>
      </c>
      <c r="Z792">
        <f>HYPERLINK("https://klasma.github.io/Logging_2284/fåglar/A 58070-2022 prioriterade fågelarter.docx", "A 58070-2022")</f>
        <v/>
      </c>
    </row>
    <row r="793" ht="15" customHeight="1">
      <c r="A793" t="inlineStr">
        <is>
          <t>A 45343-2023</t>
        </is>
      </c>
      <c r="B793" s="1" t="n">
        <v>45191</v>
      </c>
      <c r="C793" s="1" t="n">
        <v>46093</v>
      </c>
      <c r="D793" t="inlineStr">
        <is>
          <t>VÄSTERNORRLANDS LÄN</t>
        </is>
      </c>
      <c r="E793" t="inlineStr">
        <is>
          <t>TIMRÅ</t>
        </is>
      </c>
      <c r="F793" t="inlineStr">
        <is>
          <t>SCA</t>
        </is>
      </c>
      <c r="G793" t="n">
        <v>9.5</v>
      </c>
      <c r="H793" t="n">
        <v>1</v>
      </c>
      <c r="I793" t="n">
        <v>1</v>
      </c>
      <c r="J793" t="n">
        <v>1</v>
      </c>
      <c r="K793" t="n">
        <v>0</v>
      </c>
      <c r="L793" t="n">
        <v>0</v>
      </c>
      <c r="M793" t="n">
        <v>0</v>
      </c>
      <c r="N793" t="n">
        <v>0</v>
      </c>
      <c r="O793" t="n">
        <v>1</v>
      </c>
      <c r="P793" t="n">
        <v>0</v>
      </c>
      <c r="Q793" t="n">
        <v>2</v>
      </c>
      <c r="R793" s="2" t="inlineStr">
        <is>
          <t>Garnlav
Plattlummer</t>
        </is>
      </c>
      <c r="S793">
        <f>HYPERLINK("https://klasma.github.io/Logging_2262/artfynd/A 45343-2023 artfynd.xlsx", "A 45343-2023")</f>
        <v/>
      </c>
      <c r="T793">
        <f>HYPERLINK("https://klasma.github.io/Logging_2262/kartor/A 45343-2023 karta.png", "A 45343-2023")</f>
        <v/>
      </c>
      <c r="V793">
        <f>HYPERLINK("https://klasma.github.io/Logging_2262/klagomål/A 45343-2023 FSC-klagomål.docx", "A 45343-2023")</f>
        <v/>
      </c>
      <c r="W793">
        <f>HYPERLINK("https://klasma.github.io/Logging_2262/klagomålsmail/A 45343-2023 FSC-klagomål mail.docx", "A 45343-2023")</f>
        <v/>
      </c>
      <c r="X793">
        <f>HYPERLINK("https://klasma.github.io/Logging_2262/tillsyn/A 45343-2023 tillsynsbegäran.docx", "A 45343-2023")</f>
        <v/>
      </c>
      <c r="Y793">
        <f>HYPERLINK("https://klasma.github.io/Logging_2262/tillsynsmail/A 45343-2023 tillsynsbegäran mail.docx", "A 45343-2023")</f>
        <v/>
      </c>
    </row>
    <row r="794" ht="15" customHeight="1">
      <c r="A794" t="inlineStr">
        <is>
          <t>A 54155-2023</t>
        </is>
      </c>
      <c r="B794" s="1" t="n">
        <v>45232</v>
      </c>
      <c r="C794" s="1" t="n">
        <v>46093</v>
      </c>
      <c r="D794" t="inlineStr">
        <is>
          <t>VÄSTERNORRLANDS LÄN</t>
        </is>
      </c>
      <c r="E794" t="inlineStr">
        <is>
          <t>ÖRNSKÖLDSVIK</t>
        </is>
      </c>
      <c r="G794" t="n">
        <v>2.5</v>
      </c>
      <c r="H794" t="n">
        <v>0</v>
      </c>
      <c r="I794" t="n">
        <v>0</v>
      </c>
      <c r="J794" t="n">
        <v>1</v>
      </c>
      <c r="K794" t="n">
        <v>1</v>
      </c>
      <c r="L794" t="n">
        <v>0</v>
      </c>
      <c r="M794" t="n">
        <v>0</v>
      </c>
      <c r="N794" t="n">
        <v>0</v>
      </c>
      <c r="O794" t="n">
        <v>2</v>
      </c>
      <c r="P794" t="n">
        <v>1</v>
      </c>
      <c r="Q794" t="n">
        <v>2</v>
      </c>
      <c r="R794" s="2" t="inlineStr">
        <is>
          <t>Liten hornflikmossa
Vedtrappmossa</t>
        </is>
      </c>
      <c r="S794">
        <f>HYPERLINK("https://klasma.github.io/Logging_2284/artfynd/A 54155-2023 artfynd.xlsx", "A 54155-2023")</f>
        <v/>
      </c>
      <c r="T794">
        <f>HYPERLINK("https://klasma.github.io/Logging_2284/kartor/A 54155-2023 karta.png", "A 54155-2023")</f>
        <v/>
      </c>
      <c r="V794">
        <f>HYPERLINK("https://klasma.github.io/Logging_2284/klagomål/A 54155-2023 FSC-klagomål.docx", "A 54155-2023")</f>
        <v/>
      </c>
      <c r="W794">
        <f>HYPERLINK("https://klasma.github.io/Logging_2284/klagomålsmail/A 54155-2023 FSC-klagomål mail.docx", "A 54155-2023")</f>
        <v/>
      </c>
      <c r="X794">
        <f>HYPERLINK("https://klasma.github.io/Logging_2284/tillsyn/A 54155-2023 tillsynsbegäran.docx", "A 54155-2023")</f>
        <v/>
      </c>
      <c r="Y794">
        <f>HYPERLINK("https://klasma.github.io/Logging_2284/tillsynsmail/A 54155-2023 tillsynsbegäran mail.docx", "A 54155-2023")</f>
        <v/>
      </c>
    </row>
    <row r="795" ht="15" customHeight="1">
      <c r="A795" t="inlineStr">
        <is>
          <t>A 36563-2025</t>
        </is>
      </c>
      <c r="B795" s="1" t="n">
        <v>45870.37332175926</v>
      </c>
      <c r="C795" s="1" t="n">
        <v>46093</v>
      </c>
      <c r="D795" t="inlineStr">
        <is>
          <t>VÄSTERNORRLANDS LÄN</t>
        </is>
      </c>
      <c r="E795" t="inlineStr">
        <is>
          <t>SOLLEFTEÅ</t>
        </is>
      </c>
      <c r="G795" t="n">
        <v>5.9</v>
      </c>
      <c r="H795" t="n">
        <v>1</v>
      </c>
      <c r="I795" t="n">
        <v>0</v>
      </c>
      <c r="J795" t="n">
        <v>0</v>
      </c>
      <c r="K795" t="n">
        <v>0</v>
      </c>
      <c r="L795" t="n">
        <v>1</v>
      </c>
      <c r="M795" t="n">
        <v>0</v>
      </c>
      <c r="N795" t="n">
        <v>0</v>
      </c>
      <c r="O795" t="n">
        <v>1</v>
      </c>
      <c r="P795" t="n">
        <v>1</v>
      </c>
      <c r="Q795" t="n">
        <v>2</v>
      </c>
      <c r="R795" s="2" t="inlineStr">
        <is>
          <t>Fältgentiana
Fläcknycklar</t>
        </is>
      </c>
      <c r="S795">
        <f>HYPERLINK("https://klasma.github.io/Logging_2283/artfynd/A 36563-2025 artfynd.xlsx", "A 36563-2025")</f>
        <v/>
      </c>
      <c r="T795">
        <f>HYPERLINK("https://klasma.github.io/Logging_2283/kartor/A 36563-2025 karta.png", "A 36563-2025")</f>
        <v/>
      </c>
      <c r="V795">
        <f>HYPERLINK("https://klasma.github.io/Logging_2283/klagomål/A 36563-2025 FSC-klagomål.docx", "A 36563-2025")</f>
        <v/>
      </c>
      <c r="W795">
        <f>HYPERLINK("https://klasma.github.io/Logging_2283/klagomålsmail/A 36563-2025 FSC-klagomål mail.docx", "A 36563-2025")</f>
        <v/>
      </c>
      <c r="X795">
        <f>HYPERLINK("https://klasma.github.io/Logging_2283/tillsyn/A 36563-2025 tillsynsbegäran.docx", "A 36563-2025")</f>
        <v/>
      </c>
      <c r="Y795">
        <f>HYPERLINK("https://klasma.github.io/Logging_2283/tillsynsmail/A 36563-2025 tillsynsbegäran mail.docx", "A 36563-2025")</f>
        <v/>
      </c>
    </row>
    <row r="796" ht="15" customHeight="1">
      <c r="A796" t="inlineStr">
        <is>
          <t>A 16043-2025</t>
        </is>
      </c>
      <c r="B796" s="1" t="n">
        <v>45749</v>
      </c>
      <c r="C796" s="1" t="n">
        <v>46093</v>
      </c>
      <c r="D796" t="inlineStr">
        <is>
          <t>VÄSTERNORRLANDS LÄN</t>
        </is>
      </c>
      <c r="E796" t="inlineStr">
        <is>
          <t>SUNDSVALL</t>
        </is>
      </c>
      <c r="G796" t="n">
        <v>10.5</v>
      </c>
      <c r="H796" t="n">
        <v>2</v>
      </c>
      <c r="I796" t="n">
        <v>0</v>
      </c>
      <c r="J796" t="n">
        <v>1</v>
      </c>
      <c r="K796" t="n">
        <v>0</v>
      </c>
      <c r="L796" t="n">
        <v>0</v>
      </c>
      <c r="M796" t="n">
        <v>0</v>
      </c>
      <c r="N796" t="n">
        <v>0</v>
      </c>
      <c r="O796" t="n">
        <v>1</v>
      </c>
      <c r="P796" t="n">
        <v>0</v>
      </c>
      <c r="Q796" t="n">
        <v>2</v>
      </c>
      <c r="R796" s="2" t="inlineStr">
        <is>
          <t>Pilgrimsfalk
Sparvuggla</t>
        </is>
      </c>
      <c r="S796">
        <f>HYPERLINK("https://klasma.github.io/Logging_2281/artfynd/A 16043-2025 artfynd.xlsx", "A 16043-2025")</f>
        <v/>
      </c>
      <c r="T796">
        <f>HYPERLINK("https://klasma.github.io/Logging_2281/kartor/A 16043-2025 karta.png", "A 16043-2025")</f>
        <v/>
      </c>
      <c r="V796">
        <f>HYPERLINK("https://klasma.github.io/Logging_2281/klagomål/A 16043-2025 FSC-klagomål.docx", "A 16043-2025")</f>
        <v/>
      </c>
      <c r="W796">
        <f>HYPERLINK("https://klasma.github.io/Logging_2281/klagomålsmail/A 16043-2025 FSC-klagomål mail.docx", "A 16043-2025")</f>
        <v/>
      </c>
      <c r="X796">
        <f>HYPERLINK("https://klasma.github.io/Logging_2281/tillsyn/A 16043-2025 tillsynsbegäran.docx", "A 16043-2025")</f>
        <v/>
      </c>
      <c r="Y796">
        <f>HYPERLINK("https://klasma.github.io/Logging_2281/tillsynsmail/A 16043-2025 tillsynsbegäran mail.docx", "A 16043-2025")</f>
        <v/>
      </c>
      <c r="Z796">
        <f>HYPERLINK("https://klasma.github.io/Logging_2281/fåglar/A 16043-2025 prioriterade fågelarter.docx", "A 16043-2025")</f>
        <v/>
      </c>
    </row>
    <row r="797" ht="15" customHeight="1">
      <c r="A797" t="inlineStr">
        <is>
          <t>A 47989-2024</t>
        </is>
      </c>
      <c r="B797" s="1" t="n">
        <v>45589.42767361111</v>
      </c>
      <c r="C797" s="1" t="n">
        <v>46093</v>
      </c>
      <c r="D797" t="inlineStr">
        <is>
          <t>VÄSTERNORRLANDS LÄN</t>
        </is>
      </c>
      <c r="E797" t="inlineStr">
        <is>
          <t>HÄRNÖSAND</t>
        </is>
      </c>
      <c r="F797" t="inlineStr">
        <is>
          <t>SCA</t>
        </is>
      </c>
      <c r="G797" t="n">
        <v>2.3</v>
      </c>
      <c r="H797" t="n">
        <v>0</v>
      </c>
      <c r="I797" t="n">
        <v>0</v>
      </c>
      <c r="J797" t="n">
        <v>2</v>
      </c>
      <c r="K797" t="n">
        <v>0</v>
      </c>
      <c r="L797" t="n">
        <v>0</v>
      </c>
      <c r="M797" t="n">
        <v>0</v>
      </c>
      <c r="N797" t="n">
        <v>0</v>
      </c>
      <c r="O797" t="n">
        <v>2</v>
      </c>
      <c r="P797" t="n">
        <v>0</v>
      </c>
      <c r="Q797" t="n">
        <v>2</v>
      </c>
      <c r="R797" s="2" t="inlineStr">
        <is>
          <t>Rosenticka
Ullticka</t>
        </is>
      </c>
      <c r="S797">
        <f>HYPERLINK("https://klasma.github.io/Logging_2280/artfynd/A 47989-2024 artfynd.xlsx", "A 47989-2024")</f>
        <v/>
      </c>
      <c r="T797">
        <f>HYPERLINK("https://klasma.github.io/Logging_2280/kartor/A 47989-2024 karta.png", "A 47989-2024")</f>
        <v/>
      </c>
      <c r="V797">
        <f>HYPERLINK("https://klasma.github.io/Logging_2280/klagomål/A 47989-2024 FSC-klagomål.docx", "A 47989-2024")</f>
        <v/>
      </c>
      <c r="W797">
        <f>HYPERLINK("https://klasma.github.io/Logging_2280/klagomålsmail/A 47989-2024 FSC-klagomål mail.docx", "A 47989-2024")</f>
        <v/>
      </c>
      <c r="X797">
        <f>HYPERLINK("https://klasma.github.io/Logging_2280/tillsyn/A 47989-2024 tillsynsbegäran.docx", "A 47989-2024")</f>
        <v/>
      </c>
      <c r="Y797">
        <f>HYPERLINK("https://klasma.github.io/Logging_2280/tillsynsmail/A 47989-2024 tillsynsbegäran mail.docx", "A 47989-2024")</f>
        <v/>
      </c>
    </row>
    <row r="798" ht="15" customHeight="1">
      <c r="A798" t="inlineStr">
        <is>
          <t>A 47711-2024</t>
        </is>
      </c>
      <c r="B798" s="1" t="n">
        <v>45588</v>
      </c>
      <c r="C798" s="1" t="n">
        <v>46093</v>
      </c>
      <c r="D798" t="inlineStr">
        <is>
          <t>VÄSTERNORRLANDS LÄN</t>
        </is>
      </c>
      <c r="E798" t="inlineStr">
        <is>
          <t>HÄRNÖSAND</t>
        </is>
      </c>
      <c r="G798" t="n">
        <v>39.5</v>
      </c>
      <c r="H798" t="n">
        <v>0</v>
      </c>
      <c r="I798" t="n">
        <v>1</v>
      </c>
      <c r="J798" t="n">
        <v>1</v>
      </c>
      <c r="K798" t="n">
        <v>0</v>
      </c>
      <c r="L798" t="n">
        <v>0</v>
      </c>
      <c r="M798" t="n">
        <v>0</v>
      </c>
      <c r="N798" t="n">
        <v>0</v>
      </c>
      <c r="O798" t="n">
        <v>1</v>
      </c>
      <c r="P798" t="n">
        <v>0</v>
      </c>
      <c r="Q798" t="n">
        <v>2</v>
      </c>
      <c r="R798" s="2" t="inlineStr">
        <is>
          <t>Motaggsvamp
Dropptaggsvamp</t>
        </is>
      </c>
      <c r="S798">
        <f>HYPERLINK("https://klasma.github.io/Logging_2280/artfynd/A 47711-2024 artfynd.xlsx", "A 47711-2024")</f>
        <v/>
      </c>
      <c r="T798">
        <f>HYPERLINK("https://klasma.github.io/Logging_2280/kartor/A 47711-2024 karta.png", "A 47711-2024")</f>
        <v/>
      </c>
      <c r="V798">
        <f>HYPERLINK("https://klasma.github.io/Logging_2280/klagomål/A 47711-2024 FSC-klagomål.docx", "A 47711-2024")</f>
        <v/>
      </c>
      <c r="W798">
        <f>HYPERLINK("https://klasma.github.io/Logging_2280/klagomålsmail/A 47711-2024 FSC-klagomål mail.docx", "A 47711-2024")</f>
        <v/>
      </c>
      <c r="X798">
        <f>HYPERLINK("https://klasma.github.io/Logging_2280/tillsyn/A 47711-2024 tillsynsbegäran.docx", "A 47711-2024")</f>
        <v/>
      </c>
      <c r="Y798">
        <f>HYPERLINK("https://klasma.github.io/Logging_2280/tillsynsmail/A 47711-2024 tillsynsbegäran mail.docx", "A 47711-2024")</f>
        <v/>
      </c>
    </row>
    <row r="799" ht="15" customHeight="1">
      <c r="A799" t="inlineStr">
        <is>
          <t>A 47719-2024</t>
        </is>
      </c>
      <c r="B799" s="1" t="n">
        <v>45588.48996527777</v>
      </c>
      <c r="C799" s="1" t="n">
        <v>46093</v>
      </c>
      <c r="D799" t="inlineStr">
        <is>
          <t>VÄSTERNORRLANDS LÄN</t>
        </is>
      </c>
      <c r="E799" t="inlineStr">
        <is>
          <t>ÅNGE</t>
        </is>
      </c>
      <c r="F799" t="inlineStr">
        <is>
          <t>SCA</t>
        </is>
      </c>
      <c r="G799" t="n">
        <v>1.4</v>
      </c>
      <c r="H799" t="n">
        <v>0</v>
      </c>
      <c r="I799" t="n">
        <v>0</v>
      </c>
      <c r="J799" t="n">
        <v>2</v>
      </c>
      <c r="K799" t="n">
        <v>0</v>
      </c>
      <c r="L799" t="n">
        <v>0</v>
      </c>
      <c r="M799" t="n">
        <v>0</v>
      </c>
      <c r="N799" t="n">
        <v>0</v>
      </c>
      <c r="O799" t="n">
        <v>2</v>
      </c>
      <c r="P799" t="n">
        <v>0</v>
      </c>
      <c r="Q799" t="n">
        <v>2</v>
      </c>
      <c r="R799" s="2" t="inlineStr">
        <is>
          <t>Dvärgbägarlav
Vedskivlav</t>
        </is>
      </c>
      <c r="S799">
        <f>HYPERLINK("https://klasma.github.io/Logging_2260/artfynd/A 47719-2024 artfynd.xlsx", "A 47719-2024")</f>
        <v/>
      </c>
      <c r="T799">
        <f>HYPERLINK("https://klasma.github.io/Logging_2260/kartor/A 47719-2024 karta.png", "A 47719-2024")</f>
        <v/>
      </c>
      <c r="V799">
        <f>HYPERLINK("https://klasma.github.io/Logging_2260/klagomål/A 47719-2024 FSC-klagomål.docx", "A 47719-2024")</f>
        <v/>
      </c>
      <c r="W799">
        <f>HYPERLINK("https://klasma.github.io/Logging_2260/klagomålsmail/A 47719-2024 FSC-klagomål mail.docx", "A 47719-2024")</f>
        <v/>
      </c>
      <c r="X799">
        <f>HYPERLINK("https://klasma.github.io/Logging_2260/tillsyn/A 47719-2024 tillsynsbegäran.docx", "A 47719-2024")</f>
        <v/>
      </c>
      <c r="Y799">
        <f>HYPERLINK("https://klasma.github.io/Logging_2260/tillsynsmail/A 47719-2024 tillsynsbegäran mail.docx", "A 47719-2024")</f>
        <v/>
      </c>
    </row>
    <row r="800" ht="15" customHeight="1">
      <c r="A800" t="inlineStr">
        <is>
          <t>A 46545-2025</t>
        </is>
      </c>
      <c r="B800" s="1" t="n">
        <v>45926.34505787037</v>
      </c>
      <c r="C800" s="1" t="n">
        <v>46093</v>
      </c>
      <c r="D800" t="inlineStr">
        <is>
          <t>VÄSTERNORRLANDS LÄN</t>
        </is>
      </c>
      <c r="E800" t="inlineStr">
        <is>
          <t>SUNDSVALL</t>
        </is>
      </c>
      <c r="F800" t="inlineStr">
        <is>
          <t>SCA</t>
        </is>
      </c>
      <c r="G800" t="n">
        <v>2.9</v>
      </c>
      <c r="H800" t="n">
        <v>0</v>
      </c>
      <c r="I800" t="n">
        <v>1</v>
      </c>
      <c r="J800" t="n">
        <v>1</v>
      </c>
      <c r="K800" t="n">
        <v>0</v>
      </c>
      <c r="L800" t="n">
        <v>0</v>
      </c>
      <c r="M800" t="n">
        <v>0</v>
      </c>
      <c r="N800" t="n">
        <v>0</v>
      </c>
      <c r="O800" t="n">
        <v>1</v>
      </c>
      <c r="P800" t="n">
        <v>0</v>
      </c>
      <c r="Q800" t="n">
        <v>2</v>
      </c>
      <c r="R800" s="2" t="inlineStr">
        <is>
          <t>Lunglav
Stuplav</t>
        </is>
      </c>
      <c r="S800">
        <f>HYPERLINK("https://klasma.github.io/Logging_2281/artfynd/A 46545-2025 artfynd.xlsx", "A 46545-2025")</f>
        <v/>
      </c>
      <c r="T800">
        <f>HYPERLINK("https://klasma.github.io/Logging_2281/kartor/A 46545-2025 karta.png", "A 46545-2025")</f>
        <v/>
      </c>
      <c r="V800">
        <f>HYPERLINK("https://klasma.github.io/Logging_2281/klagomål/A 46545-2025 FSC-klagomål.docx", "A 46545-2025")</f>
        <v/>
      </c>
      <c r="W800">
        <f>HYPERLINK("https://klasma.github.io/Logging_2281/klagomålsmail/A 46545-2025 FSC-klagomål mail.docx", "A 46545-2025")</f>
        <v/>
      </c>
      <c r="X800">
        <f>HYPERLINK("https://klasma.github.io/Logging_2281/tillsyn/A 46545-2025 tillsynsbegäran.docx", "A 46545-2025")</f>
        <v/>
      </c>
      <c r="Y800">
        <f>HYPERLINK("https://klasma.github.io/Logging_2281/tillsynsmail/A 46545-2025 tillsynsbegäran mail.docx", "A 46545-2025")</f>
        <v/>
      </c>
    </row>
    <row r="801" ht="15" customHeight="1">
      <c r="A801" t="inlineStr">
        <is>
          <t>A 54552-2024</t>
        </is>
      </c>
      <c r="B801" s="1" t="n">
        <v>45617.61793981482</v>
      </c>
      <c r="C801" s="1" t="n">
        <v>46093</v>
      </c>
      <c r="D801" t="inlineStr">
        <is>
          <t>VÄSTERNORRLANDS LÄN</t>
        </is>
      </c>
      <c r="E801" t="inlineStr">
        <is>
          <t>HÄRNÖSAND</t>
        </is>
      </c>
      <c r="F801" t="inlineStr">
        <is>
          <t>SCA</t>
        </is>
      </c>
      <c r="G801" t="n">
        <v>2.2</v>
      </c>
      <c r="H801" t="n">
        <v>0</v>
      </c>
      <c r="I801" t="n">
        <v>0</v>
      </c>
      <c r="J801" t="n">
        <v>2</v>
      </c>
      <c r="K801" t="n">
        <v>0</v>
      </c>
      <c r="L801" t="n">
        <v>0</v>
      </c>
      <c r="M801" t="n">
        <v>0</v>
      </c>
      <c r="N801" t="n">
        <v>0</v>
      </c>
      <c r="O801" t="n">
        <v>2</v>
      </c>
      <c r="P801" t="n">
        <v>0</v>
      </c>
      <c r="Q801" t="n">
        <v>2</v>
      </c>
      <c r="R801" s="2" t="inlineStr">
        <is>
          <t>Garnlav
Rosenticka</t>
        </is>
      </c>
      <c r="S801">
        <f>HYPERLINK("https://klasma.github.io/Logging_2280/artfynd/A 54552-2024 artfynd.xlsx", "A 54552-2024")</f>
        <v/>
      </c>
      <c r="T801">
        <f>HYPERLINK("https://klasma.github.io/Logging_2280/kartor/A 54552-2024 karta.png", "A 54552-2024")</f>
        <v/>
      </c>
      <c r="V801">
        <f>HYPERLINK("https://klasma.github.io/Logging_2280/klagomål/A 54552-2024 FSC-klagomål.docx", "A 54552-2024")</f>
        <v/>
      </c>
      <c r="W801">
        <f>HYPERLINK("https://klasma.github.io/Logging_2280/klagomålsmail/A 54552-2024 FSC-klagomål mail.docx", "A 54552-2024")</f>
        <v/>
      </c>
      <c r="X801">
        <f>HYPERLINK("https://klasma.github.io/Logging_2280/tillsyn/A 54552-2024 tillsynsbegäran.docx", "A 54552-2024")</f>
        <v/>
      </c>
      <c r="Y801">
        <f>HYPERLINK("https://klasma.github.io/Logging_2280/tillsynsmail/A 54552-2024 tillsynsbegäran mail.docx", "A 54552-2024")</f>
        <v/>
      </c>
    </row>
    <row r="802" ht="15" customHeight="1">
      <c r="A802" t="inlineStr">
        <is>
          <t>A 54153-2021</t>
        </is>
      </c>
      <c r="B802" s="1" t="n">
        <v>44469</v>
      </c>
      <c r="C802" s="1" t="n">
        <v>46093</v>
      </c>
      <c r="D802" t="inlineStr">
        <is>
          <t>VÄSTERNORRLANDS LÄN</t>
        </is>
      </c>
      <c r="E802" t="inlineStr">
        <is>
          <t>SOLLEFTEÅ</t>
        </is>
      </c>
      <c r="G802" t="n">
        <v>1.4</v>
      </c>
      <c r="H802" t="n">
        <v>0</v>
      </c>
      <c r="I802" t="n">
        <v>0</v>
      </c>
      <c r="J802" t="n">
        <v>2</v>
      </c>
      <c r="K802" t="n">
        <v>0</v>
      </c>
      <c r="L802" t="n">
        <v>0</v>
      </c>
      <c r="M802" t="n">
        <v>0</v>
      </c>
      <c r="N802" t="n">
        <v>0</v>
      </c>
      <c r="O802" t="n">
        <v>2</v>
      </c>
      <c r="P802" t="n">
        <v>0</v>
      </c>
      <c r="Q802" t="n">
        <v>2</v>
      </c>
      <c r="R802" s="2" t="inlineStr">
        <is>
          <t>Garnlav
Rosenticka</t>
        </is>
      </c>
      <c r="S802">
        <f>HYPERLINK("https://klasma.github.io/Logging_2283/artfynd/A 54153-2021 artfynd.xlsx", "A 54153-2021")</f>
        <v/>
      </c>
      <c r="T802">
        <f>HYPERLINK("https://klasma.github.io/Logging_2283/kartor/A 54153-2021 karta.png", "A 54153-2021")</f>
        <v/>
      </c>
      <c r="V802">
        <f>HYPERLINK("https://klasma.github.io/Logging_2283/klagomål/A 54153-2021 FSC-klagomål.docx", "A 54153-2021")</f>
        <v/>
      </c>
      <c r="W802">
        <f>HYPERLINK("https://klasma.github.io/Logging_2283/klagomålsmail/A 54153-2021 FSC-klagomål mail.docx", "A 54153-2021")</f>
        <v/>
      </c>
      <c r="X802">
        <f>HYPERLINK("https://klasma.github.io/Logging_2283/tillsyn/A 54153-2021 tillsynsbegäran.docx", "A 54153-2021")</f>
        <v/>
      </c>
      <c r="Y802">
        <f>HYPERLINK("https://klasma.github.io/Logging_2283/tillsynsmail/A 54153-2021 tillsynsbegäran mail.docx", "A 54153-2021")</f>
        <v/>
      </c>
    </row>
    <row r="803" ht="15" customHeight="1">
      <c r="A803" t="inlineStr">
        <is>
          <t>A 47485-2025</t>
        </is>
      </c>
      <c r="B803" s="1" t="n">
        <v>45930.69866898148</v>
      </c>
      <c r="C803" s="1" t="n">
        <v>46093</v>
      </c>
      <c r="D803" t="inlineStr">
        <is>
          <t>VÄSTERNORRLANDS LÄN</t>
        </is>
      </c>
      <c r="E803" t="inlineStr">
        <is>
          <t>HÄRNÖSAND</t>
        </is>
      </c>
      <c r="F803" t="inlineStr">
        <is>
          <t>SCA</t>
        </is>
      </c>
      <c r="G803" t="n">
        <v>10.6</v>
      </c>
      <c r="H803" t="n">
        <v>1</v>
      </c>
      <c r="I803" t="n">
        <v>0</v>
      </c>
      <c r="J803" t="n">
        <v>1</v>
      </c>
      <c r="K803" t="n">
        <v>0</v>
      </c>
      <c r="L803" t="n">
        <v>0</v>
      </c>
      <c r="M803" t="n">
        <v>0</v>
      </c>
      <c r="N803" t="n">
        <v>0</v>
      </c>
      <c r="O803" t="n">
        <v>1</v>
      </c>
      <c r="P803" t="n">
        <v>0</v>
      </c>
      <c r="Q803" t="n">
        <v>2</v>
      </c>
      <c r="R803" s="2" t="inlineStr">
        <is>
          <t>Vedskivlav
Tjäder</t>
        </is>
      </c>
      <c r="S803">
        <f>HYPERLINK("https://klasma.github.io/Logging_2280/artfynd/A 47485-2025 artfynd.xlsx", "A 47485-2025")</f>
        <v/>
      </c>
      <c r="T803">
        <f>HYPERLINK("https://klasma.github.io/Logging_2280/kartor/A 47485-2025 karta.png", "A 47485-2025")</f>
        <v/>
      </c>
      <c r="U803">
        <f>HYPERLINK("https://klasma.github.io/Logging_2280/knärot/A 47485-2025 karta knärot.png", "A 47485-2025")</f>
        <v/>
      </c>
      <c r="V803">
        <f>HYPERLINK("https://klasma.github.io/Logging_2280/klagomål/A 47485-2025 FSC-klagomål.docx", "A 47485-2025")</f>
        <v/>
      </c>
      <c r="W803">
        <f>HYPERLINK("https://klasma.github.io/Logging_2280/klagomålsmail/A 47485-2025 FSC-klagomål mail.docx", "A 47485-2025")</f>
        <v/>
      </c>
      <c r="X803">
        <f>HYPERLINK("https://klasma.github.io/Logging_2280/tillsyn/A 47485-2025 tillsynsbegäran.docx", "A 47485-2025")</f>
        <v/>
      </c>
      <c r="Y803">
        <f>HYPERLINK("https://klasma.github.io/Logging_2280/tillsynsmail/A 47485-2025 tillsynsbegäran mail.docx", "A 47485-2025")</f>
        <v/>
      </c>
      <c r="Z803">
        <f>HYPERLINK("https://klasma.github.io/Logging_2280/fåglar/A 47485-2025 prioriterade fågelarter.docx", "A 47485-2025")</f>
        <v/>
      </c>
    </row>
    <row r="804" ht="15" customHeight="1">
      <c r="A804" t="inlineStr">
        <is>
          <t>A 47484-2025</t>
        </is>
      </c>
      <c r="B804" s="1" t="n">
        <v>45930.6985300926</v>
      </c>
      <c r="C804" s="1" t="n">
        <v>46093</v>
      </c>
      <c r="D804" t="inlineStr">
        <is>
          <t>VÄSTERNORRLANDS LÄN</t>
        </is>
      </c>
      <c r="E804" t="inlineStr">
        <is>
          <t>HÄRNÖSAND</t>
        </is>
      </c>
      <c r="F804" t="inlineStr">
        <is>
          <t>SCA</t>
        </is>
      </c>
      <c r="G804" t="n">
        <v>2.7</v>
      </c>
      <c r="H804" t="n">
        <v>0</v>
      </c>
      <c r="I804" t="n">
        <v>0</v>
      </c>
      <c r="J804" t="n">
        <v>2</v>
      </c>
      <c r="K804" t="n">
        <v>0</v>
      </c>
      <c r="L804" t="n">
        <v>0</v>
      </c>
      <c r="M804" t="n">
        <v>0</v>
      </c>
      <c r="N804" t="n">
        <v>0</v>
      </c>
      <c r="O804" t="n">
        <v>2</v>
      </c>
      <c r="P804" t="n">
        <v>0</v>
      </c>
      <c r="Q804" t="n">
        <v>2</v>
      </c>
      <c r="R804" s="2" t="inlineStr">
        <is>
          <t>Ullticka
Vedflamlav</t>
        </is>
      </c>
      <c r="S804">
        <f>HYPERLINK("https://klasma.github.io/Logging_2280/artfynd/A 47484-2025 artfynd.xlsx", "A 47484-2025")</f>
        <v/>
      </c>
      <c r="T804">
        <f>HYPERLINK("https://klasma.github.io/Logging_2280/kartor/A 47484-2025 karta.png", "A 47484-2025")</f>
        <v/>
      </c>
      <c r="V804">
        <f>HYPERLINK("https://klasma.github.io/Logging_2280/klagomål/A 47484-2025 FSC-klagomål.docx", "A 47484-2025")</f>
        <v/>
      </c>
      <c r="W804">
        <f>HYPERLINK("https://klasma.github.io/Logging_2280/klagomålsmail/A 47484-2025 FSC-klagomål mail.docx", "A 47484-2025")</f>
        <v/>
      </c>
      <c r="X804">
        <f>HYPERLINK("https://klasma.github.io/Logging_2280/tillsyn/A 47484-2025 tillsynsbegäran.docx", "A 47484-2025")</f>
        <v/>
      </c>
      <c r="Y804">
        <f>HYPERLINK("https://klasma.github.io/Logging_2280/tillsynsmail/A 47484-2025 tillsynsbegäran mail.docx", "A 47484-2025")</f>
        <v/>
      </c>
    </row>
    <row r="805" ht="15" customHeight="1">
      <c r="A805" t="inlineStr">
        <is>
          <t>A 54486-2024</t>
        </is>
      </c>
      <c r="B805" s="1" t="n">
        <v>45617</v>
      </c>
      <c r="C805" s="1" t="n">
        <v>46093</v>
      </c>
      <c r="D805" t="inlineStr">
        <is>
          <t>VÄSTERNORRLANDS LÄN</t>
        </is>
      </c>
      <c r="E805" t="inlineStr">
        <is>
          <t>SOLLEFTEÅ</t>
        </is>
      </c>
      <c r="G805" t="n">
        <v>18.3</v>
      </c>
      <c r="H805" t="n">
        <v>2</v>
      </c>
      <c r="I805" t="n">
        <v>1</v>
      </c>
      <c r="J805" t="n">
        <v>0</v>
      </c>
      <c r="K805" t="n">
        <v>0</v>
      </c>
      <c r="L805" t="n">
        <v>0</v>
      </c>
      <c r="M805" t="n">
        <v>0</v>
      </c>
      <c r="N805" t="n">
        <v>0</v>
      </c>
      <c r="O805" t="n">
        <v>0</v>
      </c>
      <c r="P805" t="n">
        <v>0</v>
      </c>
      <c r="Q805" t="n">
        <v>2</v>
      </c>
      <c r="R805" s="2" t="inlineStr">
        <is>
          <t>Tvåblad
Ängsnycklar</t>
        </is>
      </c>
      <c r="S805">
        <f>HYPERLINK("https://klasma.github.io/Logging_2283/artfynd/A 54486-2024 artfynd.xlsx", "A 54486-2024")</f>
        <v/>
      </c>
      <c r="T805">
        <f>HYPERLINK("https://klasma.github.io/Logging_2283/kartor/A 54486-2024 karta.png", "A 54486-2024")</f>
        <v/>
      </c>
      <c r="V805">
        <f>HYPERLINK("https://klasma.github.io/Logging_2283/klagomål/A 54486-2024 FSC-klagomål.docx", "A 54486-2024")</f>
        <v/>
      </c>
      <c r="W805">
        <f>HYPERLINK("https://klasma.github.io/Logging_2283/klagomålsmail/A 54486-2024 FSC-klagomål mail.docx", "A 54486-2024")</f>
        <v/>
      </c>
      <c r="X805">
        <f>HYPERLINK("https://klasma.github.io/Logging_2283/tillsyn/A 54486-2024 tillsynsbegäran.docx", "A 54486-2024")</f>
        <v/>
      </c>
      <c r="Y805">
        <f>HYPERLINK("https://klasma.github.io/Logging_2283/tillsynsmail/A 54486-2024 tillsynsbegäran mail.docx", "A 54486-2024")</f>
        <v/>
      </c>
    </row>
    <row r="806" ht="15" customHeight="1">
      <c r="A806" t="inlineStr">
        <is>
          <t>A 47216-2025</t>
        </is>
      </c>
      <c r="B806" s="1" t="n">
        <v>45930.38612268519</v>
      </c>
      <c r="C806" s="1" t="n">
        <v>46093</v>
      </c>
      <c r="D806" t="inlineStr">
        <is>
          <t>VÄSTERNORRLANDS LÄN</t>
        </is>
      </c>
      <c r="E806" t="inlineStr">
        <is>
          <t>SOLLEFTEÅ</t>
        </is>
      </c>
      <c r="F806" t="inlineStr">
        <is>
          <t>SCA</t>
        </is>
      </c>
      <c r="G806" t="n">
        <v>13.6</v>
      </c>
      <c r="H806" t="n">
        <v>0</v>
      </c>
      <c r="I806" t="n">
        <v>0</v>
      </c>
      <c r="J806" t="n">
        <v>2</v>
      </c>
      <c r="K806" t="n">
        <v>0</v>
      </c>
      <c r="L806" t="n">
        <v>0</v>
      </c>
      <c r="M806" t="n">
        <v>0</v>
      </c>
      <c r="N806" t="n">
        <v>0</v>
      </c>
      <c r="O806" t="n">
        <v>2</v>
      </c>
      <c r="P806" t="n">
        <v>0</v>
      </c>
      <c r="Q806" t="n">
        <v>2</v>
      </c>
      <c r="R806" s="2" t="inlineStr">
        <is>
          <t>Lunglav
Skrovellav</t>
        </is>
      </c>
      <c r="S806">
        <f>HYPERLINK("https://klasma.github.io/Logging_2283/artfynd/A 47216-2025 artfynd.xlsx", "A 47216-2025")</f>
        <v/>
      </c>
      <c r="T806">
        <f>HYPERLINK("https://klasma.github.io/Logging_2283/kartor/A 47216-2025 karta.png", "A 47216-2025")</f>
        <v/>
      </c>
      <c r="V806">
        <f>HYPERLINK("https://klasma.github.io/Logging_2283/klagomål/A 47216-2025 FSC-klagomål.docx", "A 47216-2025")</f>
        <v/>
      </c>
      <c r="W806">
        <f>HYPERLINK("https://klasma.github.io/Logging_2283/klagomålsmail/A 47216-2025 FSC-klagomål mail.docx", "A 47216-2025")</f>
        <v/>
      </c>
      <c r="X806">
        <f>HYPERLINK("https://klasma.github.io/Logging_2283/tillsyn/A 47216-2025 tillsynsbegäran.docx", "A 47216-2025")</f>
        <v/>
      </c>
      <c r="Y806">
        <f>HYPERLINK("https://klasma.github.io/Logging_2283/tillsynsmail/A 47216-2025 tillsynsbegäran mail.docx", "A 47216-2025")</f>
        <v/>
      </c>
    </row>
    <row r="807" ht="15" customHeight="1">
      <c r="A807" t="inlineStr">
        <is>
          <t>A 57594-2022</t>
        </is>
      </c>
      <c r="B807" s="1" t="n">
        <v>44896.97854166666</v>
      </c>
      <c r="C807" s="1" t="n">
        <v>46093</v>
      </c>
      <c r="D807" t="inlineStr">
        <is>
          <t>VÄSTERNORRLANDS LÄN</t>
        </is>
      </c>
      <c r="E807" t="inlineStr">
        <is>
          <t>ÅNGE</t>
        </is>
      </c>
      <c r="F807" t="inlineStr">
        <is>
          <t>SCA</t>
        </is>
      </c>
      <c r="G807" t="n">
        <v>5.3</v>
      </c>
      <c r="H807" t="n">
        <v>0</v>
      </c>
      <c r="I807" t="n">
        <v>0</v>
      </c>
      <c r="J807" t="n">
        <v>2</v>
      </c>
      <c r="K807" t="n">
        <v>0</v>
      </c>
      <c r="L807" t="n">
        <v>0</v>
      </c>
      <c r="M807" t="n">
        <v>0</v>
      </c>
      <c r="N807" t="n">
        <v>0</v>
      </c>
      <c r="O807" t="n">
        <v>2</v>
      </c>
      <c r="P807" t="n">
        <v>0</v>
      </c>
      <c r="Q807" t="n">
        <v>2</v>
      </c>
      <c r="R807" s="2" t="inlineStr">
        <is>
          <t>Granticka
Lunglav</t>
        </is>
      </c>
      <c r="S807">
        <f>HYPERLINK("https://klasma.github.io/Logging_2260/artfynd/A 57594-2022 artfynd.xlsx", "A 57594-2022")</f>
        <v/>
      </c>
      <c r="T807">
        <f>HYPERLINK("https://klasma.github.io/Logging_2260/kartor/A 57594-2022 karta.png", "A 57594-2022")</f>
        <v/>
      </c>
      <c r="V807">
        <f>HYPERLINK("https://klasma.github.io/Logging_2260/klagomål/A 57594-2022 FSC-klagomål.docx", "A 57594-2022")</f>
        <v/>
      </c>
      <c r="W807">
        <f>HYPERLINK("https://klasma.github.io/Logging_2260/klagomålsmail/A 57594-2022 FSC-klagomål mail.docx", "A 57594-2022")</f>
        <v/>
      </c>
      <c r="X807">
        <f>HYPERLINK("https://klasma.github.io/Logging_2260/tillsyn/A 57594-2022 tillsynsbegäran.docx", "A 57594-2022")</f>
        <v/>
      </c>
      <c r="Y807">
        <f>HYPERLINK("https://klasma.github.io/Logging_2260/tillsynsmail/A 57594-2022 tillsynsbegäran mail.docx", "A 57594-2022")</f>
        <v/>
      </c>
    </row>
    <row r="808" ht="15" customHeight="1">
      <c r="A808" t="inlineStr">
        <is>
          <t>A 43101-2023</t>
        </is>
      </c>
      <c r="B808" s="1" t="n">
        <v>45182</v>
      </c>
      <c r="C808" s="1" t="n">
        <v>46093</v>
      </c>
      <c r="D808" t="inlineStr">
        <is>
          <t>VÄSTERNORRLANDS LÄN</t>
        </is>
      </c>
      <c r="E808" t="inlineStr">
        <is>
          <t>HÄRNÖSAND</t>
        </is>
      </c>
      <c r="F808" t="inlineStr">
        <is>
          <t>SCA</t>
        </is>
      </c>
      <c r="G808" t="n">
        <v>2.6</v>
      </c>
      <c r="H808" t="n">
        <v>0</v>
      </c>
      <c r="I808" t="n">
        <v>0</v>
      </c>
      <c r="J808" t="n">
        <v>2</v>
      </c>
      <c r="K808" t="n">
        <v>0</v>
      </c>
      <c r="L808" t="n">
        <v>0</v>
      </c>
      <c r="M808" t="n">
        <v>0</v>
      </c>
      <c r="N808" t="n">
        <v>0</v>
      </c>
      <c r="O808" t="n">
        <v>2</v>
      </c>
      <c r="P808" t="n">
        <v>0</v>
      </c>
      <c r="Q808" t="n">
        <v>2</v>
      </c>
      <c r="R808" s="2" t="inlineStr">
        <is>
          <t>Ullticka
Vedflamlav</t>
        </is>
      </c>
      <c r="S808">
        <f>HYPERLINK("https://klasma.github.io/Logging_2280/artfynd/A 43101-2023 artfynd.xlsx", "A 43101-2023")</f>
        <v/>
      </c>
      <c r="T808">
        <f>HYPERLINK("https://klasma.github.io/Logging_2280/kartor/A 43101-2023 karta.png", "A 43101-2023")</f>
        <v/>
      </c>
      <c r="V808">
        <f>HYPERLINK("https://klasma.github.io/Logging_2280/klagomål/A 43101-2023 FSC-klagomål.docx", "A 43101-2023")</f>
        <v/>
      </c>
      <c r="W808">
        <f>HYPERLINK("https://klasma.github.io/Logging_2280/klagomålsmail/A 43101-2023 FSC-klagomål mail.docx", "A 43101-2023")</f>
        <v/>
      </c>
      <c r="X808">
        <f>HYPERLINK("https://klasma.github.io/Logging_2280/tillsyn/A 43101-2023 tillsynsbegäran.docx", "A 43101-2023")</f>
        <v/>
      </c>
      <c r="Y808">
        <f>HYPERLINK("https://klasma.github.io/Logging_2280/tillsynsmail/A 43101-2023 tillsynsbegäran mail.docx", "A 43101-2023")</f>
        <v/>
      </c>
    </row>
    <row r="809" ht="15" customHeight="1">
      <c r="A809" t="inlineStr">
        <is>
          <t>A 39800-2024</t>
        </is>
      </c>
      <c r="B809" s="1" t="n">
        <v>45553.34428240741</v>
      </c>
      <c r="C809" s="1" t="n">
        <v>46093</v>
      </c>
      <c r="D809" t="inlineStr">
        <is>
          <t>VÄSTERNORRLANDS LÄN</t>
        </is>
      </c>
      <c r="E809" t="inlineStr">
        <is>
          <t>TIMRÅ</t>
        </is>
      </c>
      <c r="F809" t="inlineStr">
        <is>
          <t>SCA</t>
        </is>
      </c>
      <c r="G809" t="n">
        <v>2.9</v>
      </c>
      <c r="H809" t="n">
        <v>0</v>
      </c>
      <c r="I809" t="n">
        <v>1</v>
      </c>
      <c r="J809" t="n">
        <v>1</v>
      </c>
      <c r="K809" t="n">
        <v>0</v>
      </c>
      <c r="L809" t="n">
        <v>0</v>
      </c>
      <c r="M809" t="n">
        <v>0</v>
      </c>
      <c r="N809" t="n">
        <v>0</v>
      </c>
      <c r="O809" t="n">
        <v>1</v>
      </c>
      <c r="P809" t="n">
        <v>0</v>
      </c>
      <c r="Q809" t="n">
        <v>2</v>
      </c>
      <c r="R809" s="2" t="inlineStr">
        <is>
          <t>Garnlav
Vedticka</t>
        </is>
      </c>
      <c r="S809">
        <f>HYPERLINK("https://klasma.github.io/Logging_2262/artfynd/A 39800-2024 artfynd.xlsx", "A 39800-2024")</f>
        <v/>
      </c>
      <c r="T809">
        <f>HYPERLINK("https://klasma.github.io/Logging_2262/kartor/A 39800-2024 karta.png", "A 39800-2024")</f>
        <v/>
      </c>
      <c r="V809">
        <f>HYPERLINK("https://klasma.github.io/Logging_2262/klagomål/A 39800-2024 FSC-klagomål.docx", "A 39800-2024")</f>
        <v/>
      </c>
      <c r="W809">
        <f>HYPERLINK("https://klasma.github.io/Logging_2262/klagomålsmail/A 39800-2024 FSC-klagomål mail.docx", "A 39800-2024")</f>
        <v/>
      </c>
      <c r="X809">
        <f>HYPERLINK("https://klasma.github.io/Logging_2262/tillsyn/A 39800-2024 tillsynsbegäran.docx", "A 39800-2024")</f>
        <v/>
      </c>
      <c r="Y809">
        <f>HYPERLINK("https://klasma.github.io/Logging_2262/tillsynsmail/A 39800-2024 tillsynsbegäran mail.docx", "A 39800-2024")</f>
        <v/>
      </c>
    </row>
    <row r="810" ht="15" customHeight="1">
      <c r="A810" t="inlineStr">
        <is>
          <t>A 11578-2025</t>
        </is>
      </c>
      <c r="B810" s="1" t="n">
        <v>45727.38609953703</v>
      </c>
      <c r="C810" s="1" t="n">
        <v>46093</v>
      </c>
      <c r="D810" t="inlineStr">
        <is>
          <t>VÄSTERNORRLANDS LÄN</t>
        </is>
      </c>
      <c r="E810" t="inlineStr">
        <is>
          <t>SOLLEFTEÅ</t>
        </is>
      </c>
      <c r="F810" t="inlineStr">
        <is>
          <t>SCA</t>
        </is>
      </c>
      <c r="G810" t="n">
        <v>1</v>
      </c>
      <c r="H810" t="n">
        <v>2</v>
      </c>
      <c r="I810" t="n">
        <v>0</v>
      </c>
      <c r="J810" t="n">
        <v>2</v>
      </c>
      <c r="K810" t="n">
        <v>0</v>
      </c>
      <c r="L810" t="n">
        <v>0</v>
      </c>
      <c r="M810" t="n">
        <v>0</v>
      </c>
      <c r="N810" t="n">
        <v>0</v>
      </c>
      <c r="O810" t="n">
        <v>2</v>
      </c>
      <c r="P810" t="n">
        <v>0</v>
      </c>
      <c r="Q810" t="n">
        <v>2</v>
      </c>
      <c r="R810" s="2" t="inlineStr">
        <is>
          <t>Spillkråka
Tretåig hackspett</t>
        </is>
      </c>
      <c r="S810">
        <f>HYPERLINK("https://klasma.github.io/Logging_2283/artfynd/A 11578-2025 artfynd.xlsx", "A 11578-2025")</f>
        <v/>
      </c>
      <c r="T810">
        <f>HYPERLINK("https://klasma.github.io/Logging_2283/kartor/A 11578-2025 karta.png", "A 11578-2025")</f>
        <v/>
      </c>
      <c r="U810">
        <f>HYPERLINK("https://klasma.github.io/Logging_2283/knärot/A 11578-2025 karta knärot.png", "A 11578-2025")</f>
        <v/>
      </c>
      <c r="V810">
        <f>HYPERLINK("https://klasma.github.io/Logging_2283/klagomål/A 11578-2025 FSC-klagomål.docx", "A 11578-2025")</f>
        <v/>
      </c>
      <c r="W810">
        <f>HYPERLINK("https://klasma.github.io/Logging_2283/klagomålsmail/A 11578-2025 FSC-klagomål mail.docx", "A 11578-2025")</f>
        <v/>
      </c>
      <c r="X810">
        <f>HYPERLINK("https://klasma.github.io/Logging_2283/tillsyn/A 11578-2025 tillsynsbegäran.docx", "A 11578-2025")</f>
        <v/>
      </c>
      <c r="Y810">
        <f>HYPERLINK("https://klasma.github.io/Logging_2283/tillsynsmail/A 11578-2025 tillsynsbegäran mail.docx", "A 11578-2025")</f>
        <v/>
      </c>
      <c r="Z810">
        <f>HYPERLINK("https://klasma.github.io/Logging_2283/fåglar/A 11578-2025 prioriterade fågelarter.docx", "A 11578-2025")</f>
        <v/>
      </c>
    </row>
    <row r="811" ht="15" customHeight="1">
      <c r="A811" t="inlineStr">
        <is>
          <t>A 17377-2021</t>
        </is>
      </c>
      <c r="B811" s="1" t="n">
        <v>44298</v>
      </c>
      <c r="C811" s="1" t="n">
        <v>46093</v>
      </c>
      <c r="D811" t="inlineStr">
        <is>
          <t>VÄSTERNORRLANDS LÄN</t>
        </is>
      </c>
      <c r="E811" t="inlineStr">
        <is>
          <t>SOLLEFTEÅ</t>
        </is>
      </c>
      <c r="G811" t="n">
        <v>5.1</v>
      </c>
      <c r="H811" t="n">
        <v>1</v>
      </c>
      <c r="I811" t="n">
        <v>0</v>
      </c>
      <c r="J811" t="n">
        <v>2</v>
      </c>
      <c r="K811" t="n">
        <v>0</v>
      </c>
      <c r="L811" t="n">
        <v>0</v>
      </c>
      <c r="M811" t="n">
        <v>0</v>
      </c>
      <c r="N811" t="n">
        <v>0</v>
      </c>
      <c r="O811" t="n">
        <v>2</v>
      </c>
      <c r="P811" t="n">
        <v>0</v>
      </c>
      <c r="Q811" t="n">
        <v>2</v>
      </c>
      <c r="R811" s="2" t="inlineStr">
        <is>
          <t>Tretåig hackspett
Ullticka</t>
        </is>
      </c>
      <c r="S811">
        <f>HYPERLINK("https://klasma.github.io/Logging_2283/artfynd/A 17377-2021 artfynd.xlsx", "A 17377-2021")</f>
        <v/>
      </c>
      <c r="T811">
        <f>HYPERLINK("https://klasma.github.io/Logging_2283/kartor/A 17377-2021 karta.png", "A 17377-2021")</f>
        <v/>
      </c>
      <c r="V811">
        <f>HYPERLINK("https://klasma.github.io/Logging_2283/klagomål/A 17377-2021 FSC-klagomål.docx", "A 17377-2021")</f>
        <v/>
      </c>
      <c r="W811">
        <f>HYPERLINK("https://klasma.github.io/Logging_2283/klagomålsmail/A 17377-2021 FSC-klagomål mail.docx", "A 17377-2021")</f>
        <v/>
      </c>
      <c r="X811">
        <f>HYPERLINK("https://klasma.github.io/Logging_2283/tillsyn/A 17377-2021 tillsynsbegäran.docx", "A 17377-2021")</f>
        <v/>
      </c>
      <c r="Y811">
        <f>HYPERLINK("https://klasma.github.io/Logging_2283/tillsynsmail/A 17377-2021 tillsynsbegäran mail.docx", "A 17377-2021")</f>
        <v/>
      </c>
      <c r="Z811">
        <f>HYPERLINK("https://klasma.github.io/Logging_2283/fåglar/A 17377-2021 prioriterade fågelarter.docx", "A 17377-2021")</f>
        <v/>
      </c>
    </row>
    <row r="812" ht="15" customHeight="1">
      <c r="A812" t="inlineStr">
        <is>
          <t>A 49509-2025</t>
        </is>
      </c>
      <c r="B812" s="1" t="n">
        <v>45939.37962962963</v>
      </c>
      <c r="C812" s="1" t="n">
        <v>46093</v>
      </c>
      <c r="D812" t="inlineStr">
        <is>
          <t>VÄSTERNORRLANDS LÄN</t>
        </is>
      </c>
      <c r="E812" t="inlineStr">
        <is>
          <t>TIMRÅ</t>
        </is>
      </c>
      <c r="G812" t="n">
        <v>3.3</v>
      </c>
      <c r="H812" t="n">
        <v>2</v>
      </c>
      <c r="I812" t="n">
        <v>0</v>
      </c>
      <c r="J812" t="n">
        <v>1</v>
      </c>
      <c r="K812" t="n">
        <v>0</v>
      </c>
      <c r="L812" t="n">
        <v>0</v>
      </c>
      <c r="M812" t="n">
        <v>0</v>
      </c>
      <c r="N812" t="n">
        <v>0</v>
      </c>
      <c r="O812" t="n">
        <v>1</v>
      </c>
      <c r="P812" t="n">
        <v>0</v>
      </c>
      <c r="Q812" t="n">
        <v>2</v>
      </c>
      <c r="R812" s="2" t="inlineStr">
        <is>
          <t>Järpe
Revlummer</t>
        </is>
      </c>
      <c r="S812">
        <f>HYPERLINK("https://klasma.github.io/Logging_2262/artfynd/A 49509-2025 artfynd.xlsx", "A 49509-2025")</f>
        <v/>
      </c>
      <c r="T812">
        <f>HYPERLINK("https://klasma.github.io/Logging_2262/kartor/A 49509-2025 karta.png", "A 49509-2025")</f>
        <v/>
      </c>
      <c r="V812">
        <f>HYPERLINK("https://klasma.github.io/Logging_2262/klagomål/A 49509-2025 FSC-klagomål.docx", "A 49509-2025")</f>
        <v/>
      </c>
      <c r="W812">
        <f>HYPERLINK("https://klasma.github.io/Logging_2262/klagomålsmail/A 49509-2025 FSC-klagomål mail.docx", "A 49509-2025")</f>
        <v/>
      </c>
      <c r="X812">
        <f>HYPERLINK("https://klasma.github.io/Logging_2262/tillsyn/A 49509-2025 tillsynsbegäran.docx", "A 49509-2025")</f>
        <v/>
      </c>
      <c r="Y812">
        <f>HYPERLINK("https://klasma.github.io/Logging_2262/tillsynsmail/A 49509-2025 tillsynsbegäran mail.docx", "A 49509-2025")</f>
        <v/>
      </c>
      <c r="Z812">
        <f>HYPERLINK("https://klasma.github.io/Logging_2262/fåglar/A 49509-2025 prioriterade fågelarter.docx", "A 49509-2025")</f>
        <v/>
      </c>
    </row>
    <row r="813" ht="15" customHeight="1">
      <c r="A813" t="inlineStr">
        <is>
          <t>A 53287-2024</t>
        </is>
      </c>
      <c r="B813" s="1" t="n">
        <v>45614.38584490741</v>
      </c>
      <c r="C813" s="1" t="n">
        <v>46093</v>
      </c>
      <c r="D813" t="inlineStr">
        <is>
          <t>VÄSTERNORRLANDS LÄN</t>
        </is>
      </c>
      <c r="E813" t="inlineStr">
        <is>
          <t>TIMRÅ</t>
        </is>
      </c>
      <c r="F813" t="inlineStr">
        <is>
          <t>SCA</t>
        </is>
      </c>
      <c r="G813" t="n">
        <v>2</v>
      </c>
      <c r="H813" t="n">
        <v>0</v>
      </c>
      <c r="I813" t="n">
        <v>2</v>
      </c>
      <c r="J813" t="n">
        <v>0</v>
      </c>
      <c r="K813" t="n">
        <v>0</v>
      </c>
      <c r="L813" t="n">
        <v>0</v>
      </c>
      <c r="M813" t="n">
        <v>0</v>
      </c>
      <c r="N813" t="n">
        <v>0</v>
      </c>
      <c r="O813" t="n">
        <v>0</v>
      </c>
      <c r="P813" t="n">
        <v>0</v>
      </c>
      <c r="Q813" t="n">
        <v>2</v>
      </c>
      <c r="R813" s="2" t="inlineStr">
        <is>
          <t>Korallblylav
Slanklav</t>
        </is>
      </c>
      <c r="S813">
        <f>HYPERLINK("https://klasma.github.io/Logging_2262/artfynd/A 53287-2024 artfynd.xlsx", "A 53287-2024")</f>
        <v/>
      </c>
      <c r="T813">
        <f>HYPERLINK("https://klasma.github.io/Logging_2262/kartor/A 53287-2024 karta.png", "A 53287-2024")</f>
        <v/>
      </c>
      <c r="V813">
        <f>HYPERLINK("https://klasma.github.io/Logging_2262/klagomål/A 53287-2024 FSC-klagomål.docx", "A 53287-2024")</f>
        <v/>
      </c>
      <c r="W813">
        <f>HYPERLINK("https://klasma.github.io/Logging_2262/klagomålsmail/A 53287-2024 FSC-klagomål mail.docx", "A 53287-2024")</f>
        <v/>
      </c>
      <c r="X813">
        <f>HYPERLINK("https://klasma.github.io/Logging_2262/tillsyn/A 53287-2024 tillsynsbegäran.docx", "A 53287-2024")</f>
        <v/>
      </c>
      <c r="Y813">
        <f>HYPERLINK("https://klasma.github.io/Logging_2262/tillsynsmail/A 53287-2024 tillsynsbegäran mail.docx", "A 53287-2024")</f>
        <v/>
      </c>
    </row>
    <row r="814" ht="15" customHeight="1">
      <c r="A814" t="inlineStr">
        <is>
          <t>A 17861-2023</t>
        </is>
      </c>
      <c r="B814" s="1" t="n">
        <v>45037.94171296297</v>
      </c>
      <c r="C814" s="1" t="n">
        <v>46093</v>
      </c>
      <c r="D814" t="inlineStr">
        <is>
          <t>VÄSTERNORRLANDS LÄN</t>
        </is>
      </c>
      <c r="E814" t="inlineStr">
        <is>
          <t>ÅNGE</t>
        </is>
      </c>
      <c r="F814" t="inlineStr">
        <is>
          <t>SCA</t>
        </is>
      </c>
      <c r="G814" t="n">
        <v>1.1</v>
      </c>
      <c r="H814" t="n">
        <v>0</v>
      </c>
      <c r="I814" t="n">
        <v>1</v>
      </c>
      <c r="J814" t="n">
        <v>1</v>
      </c>
      <c r="K814" t="n">
        <v>0</v>
      </c>
      <c r="L814" t="n">
        <v>0</v>
      </c>
      <c r="M814" t="n">
        <v>0</v>
      </c>
      <c r="N814" t="n">
        <v>0</v>
      </c>
      <c r="O814" t="n">
        <v>1</v>
      </c>
      <c r="P814" t="n">
        <v>0</v>
      </c>
      <c r="Q814" t="n">
        <v>2</v>
      </c>
      <c r="R814" s="2" t="inlineStr">
        <is>
          <t>Skrovlig taggsvamp
Dropptaggsvamp</t>
        </is>
      </c>
      <c r="S814">
        <f>HYPERLINK("https://klasma.github.io/Logging_2260/artfynd/A 17861-2023 artfynd.xlsx", "A 17861-2023")</f>
        <v/>
      </c>
      <c r="T814">
        <f>HYPERLINK("https://klasma.github.io/Logging_2260/kartor/A 17861-2023 karta.png", "A 17861-2023")</f>
        <v/>
      </c>
      <c r="V814">
        <f>HYPERLINK("https://klasma.github.io/Logging_2260/klagomål/A 17861-2023 FSC-klagomål.docx", "A 17861-2023")</f>
        <v/>
      </c>
      <c r="W814">
        <f>HYPERLINK("https://klasma.github.io/Logging_2260/klagomålsmail/A 17861-2023 FSC-klagomål mail.docx", "A 17861-2023")</f>
        <v/>
      </c>
      <c r="X814">
        <f>HYPERLINK("https://klasma.github.io/Logging_2260/tillsyn/A 17861-2023 tillsynsbegäran.docx", "A 17861-2023")</f>
        <v/>
      </c>
      <c r="Y814">
        <f>HYPERLINK("https://klasma.github.io/Logging_2260/tillsynsmail/A 17861-2023 tillsynsbegäran mail.docx", "A 17861-2023")</f>
        <v/>
      </c>
    </row>
    <row r="815" ht="15" customHeight="1">
      <c r="A815" t="inlineStr">
        <is>
          <t>A 57597-2022</t>
        </is>
      </c>
      <c r="B815" s="1" t="n">
        <v>44896.97878472223</v>
      </c>
      <c r="C815" s="1" t="n">
        <v>46093</v>
      </c>
      <c r="D815" t="inlineStr">
        <is>
          <t>VÄSTERNORRLANDS LÄN</t>
        </is>
      </c>
      <c r="E815" t="inlineStr">
        <is>
          <t>ÅNGE</t>
        </is>
      </c>
      <c r="F815" t="inlineStr">
        <is>
          <t>SCA</t>
        </is>
      </c>
      <c r="G815" t="n">
        <v>6.2</v>
      </c>
      <c r="H815" t="n">
        <v>0</v>
      </c>
      <c r="I815" t="n">
        <v>0</v>
      </c>
      <c r="J815" t="n">
        <v>2</v>
      </c>
      <c r="K815" t="n">
        <v>0</v>
      </c>
      <c r="L815" t="n">
        <v>0</v>
      </c>
      <c r="M815" t="n">
        <v>0</v>
      </c>
      <c r="N815" t="n">
        <v>0</v>
      </c>
      <c r="O815" t="n">
        <v>2</v>
      </c>
      <c r="P815" t="n">
        <v>0</v>
      </c>
      <c r="Q815" t="n">
        <v>2</v>
      </c>
      <c r="R815" s="2" t="inlineStr">
        <is>
          <t>Garnlav
Lunglav</t>
        </is>
      </c>
      <c r="S815">
        <f>HYPERLINK("https://klasma.github.io/Logging_2260/artfynd/A 57597-2022 artfynd.xlsx", "A 57597-2022")</f>
        <v/>
      </c>
      <c r="T815">
        <f>HYPERLINK("https://klasma.github.io/Logging_2260/kartor/A 57597-2022 karta.png", "A 57597-2022")</f>
        <v/>
      </c>
      <c r="V815">
        <f>HYPERLINK("https://klasma.github.io/Logging_2260/klagomål/A 57597-2022 FSC-klagomål.docx", "A 57597-2022")</f>
        <v/>
      </c>
      <c r="W815">
        <f>HYPERLINK("https://klasma.github.io/Logging_2260/klagomålsmail/A 57597-2022 FSC-klagomål mail.docx", "A 57597-2022")</f>
        <v/>
      </c>
      <c r="X815">
        <f>HYPERLINK("https://klasma.github.io/Logging_2260/tillsyn/A 57597-2022 tillsynsbegäran.docx", "A 57597-2022")</f>
        <v/>
      </c>
      <c r="Y815">
        <f>HYPERLINK("https://klasma.github.io/Logging_2260/tillsynsmail/A 57597-2022 tillsynsbegäran mail.docx", "A 57597-2022")</f>
        <v/>
      </c>
    </row>
    <row r="816" ht="15" customHeight="1">
      <c r="A816" t="inlineStr">
        <is>
          <t>A 12269-2025</t>
        </is>
      </c>
      <c r="B816" s="1" t="n">
        <v>45729.63542824074</v>
      </c>
      <c r="C816" s="1" t="n">
        <v>46093</v>
      </c>
      <c r="D816" t="inlineStr">
        <is>
          <t>VÄSTERNORRLANDS LÄN</t>
        </is>
      </c>
      <c r="E816" t="inlineStr">
        <is>
          <t>SOLLEFTEÅ</t>
        </is>
      </c>
      <c r="G816" t="n">
        <v>10.9</v>
      </c>
      <c r="H816" t="n">
        <v>0</v>
      </c>
      <c r="I816" t="n">
        <v>0</v>
      </c>
      <c r="J816" t="n">
        <v>2</v>
      </c>
      <c r="K816" t="n">
        <v>0</v>
      </c>
      <c r="L816" t="n">
        <v>0</v>
      </c>
      <c r="M816" t="n">
        <v>0</v>
      </c>
      <c r="N816" t="n">
        <v>0</v>
      </c>
      <c r="O816" t="n">
        <v>2</v>
      </c>
      <c r="P816" t="n">
        <v>0</v>
      </c>
      <c r="Q816" t="n">
        <v>2</v>
      </c>
      <c r="R816" s="2" t="inlineStr">
        <is>
          <t>Garnlav
Lunglav</t>
        </is>
      </c>
      <c r="S816">
        <f>HYPERLINK("https://klasma.github.io/Logging_2283/artfynd/A 12269-2025 artfynd.xlsx", "A 12269-2025")</f>
        <v/>
      </c>
      <c r="T816">
        <f>HYPERLINK("https://klasma.github.io/Logging_2283/kartor/A 12269-2025 karta.png", "A 12269-2025")</f>
        <v/>
      </c>
      <c r="V816">
        <f>HYPERLINK("https://klasma.github.io/Logging_2283/klagomål/A 12269-2025 FSC-klagomål.docx", "A 12269-2025")</f>
        <v/>
      </c>
      <c r="W816">
        <f>HYPERLINK("https://klasma.github.io/Logging_2283/klagomålsmail/A 12269-2025 FSC-klagomål mail.docx", "A 12269-2025")</f>
        <v/>
      </c>
      <c r="X816">
        <f>HYPERLINK("https://klasma.github.io/Logging_2283/tillsyn/A 12269-2025 tillsynsbegäran.docx", "A 12269-2025")</f>
        <v/>
      </c>
      <c r="Y816">
        <f>HYPERLINK("https://klasma.github.io/Logging_2283/tillsynsmail/A 12269-2025 tillsynsbegäran mail.docx", "A 12269-2025")</f>
        <v/>
      </c>
    </row>
    <row r="817" ht="15" customHeight="1">
      <c r="A817" t="inlineStr">
        <is>
          <t>A 70072-2021</t>
        </is>
      </c>
      <c r="B817" s="1" t="n">
        <v>44533.52040509259</v>
      </c>
      <c r="C817" s="1" t="n">
        <v>46093</v>
      </c>
      <c r="D817" t="inlineStr">
        <is>
          <t>VÄSTERNORRLANDS LÄN</t>
        </is>
      </c>
      <c r="E817" t="inlineStr">
        <is>
          <t>SUNDSVALL</t>
        </is>
      </c>
      <c r="G817" t="n">
        <v>1.2</v>
      </c>
      <c r="H817" t="n">
        <v>0</v>
      </c>
      <c r="I817" t="n">
        <v>0</v>
      </c>
      <c r="J817" t="n">
        <v>2</v>
      </c>
      <c r="K817" t="n">
        <v>0</v>
      </c>
      <c r="L817" t="n">
        <v>0</v>
      </c>
      <c r="M817" t="n">
        <v>0</v>
      </c>
      <c r="N817" t="n">
        <v>0</v>
      </c>
      <c r="O817" t="n">
        <v>2</v>
      </c>
      <c r="P817" t="n">
        <v>0</v>
      </c>
      <c r="Q817" t="n">
        <v>2</v>
      </c>
      <c r="R817" s="2" t="inlineStr">
        <is>
          <t>Garnlav
Lunglav</t>
        </is>
      </c>
      <c r="S817">
        <f>HYPERLINK("https://klasma.github.io/Logging_2281/artfynd/A 70072-2021 artfynd.xlsx", "A 70072-2021")</f>
        <v/>
      </c>
      <c r="T817">
        <f>HYPERLINK("https://klasma.github.io/Logging_2281/kartor/A 70072-2021 karta.png", "A 70072-2021")</f>
        <v/>
      </c>
      <c r="V817">
        <f>HYPERLINK("https://klasma.github.io/Logging_2281/klagomål/A 70072-2021 FSC-klagomål.docx", "A 70072-2021")</f>
        <v/>
      </c>
      <c r="W817">
        <f>HYPERLINK("https://klasma.github.io/Logging_2281/klagomålsmail/A 70072-2021 FSC-klagomål mail.docx", "A 70072-2021")</f>
        <v/>
      </c>
      <c r="X817">
        <f>HYPERLINK("https://klasma.github.io/Logging_2281/tillsyn/A 70072-2021 tillsynsbegäran.docx", "A 70072-2021")</f>
        <v/>
      </c>
      <c r="Y817">
        <f>HYPERLINK("https://klasma.github.io/Logging_2281/tillsynsmail/A 70072-2021 tillsynsbegäran mail.docx", "A 70072-2021")</f>
        <v/>
      </c>
    </row>
    <row r="818" ht="15" customHeight="1">
      <c r="A818" t="inlineStr">
        <is>
          <t>A 50808-2025</t>
        </is>
      </c>
      <c r="B818" s="1" t="n">
        <v>45946.51084490741</v>
      </c>
      <c r="C818" s="1" t="n">
        <v>46093</v>
      </c>
      <c r="D818" t="inlineStr">
        <is>
          <t>VÄSTERNORRLANDS LÄN</t>
        </is>
      </c>
      <c r="E818" t="inlineStr">
        <is>
          <t>SUNDSVALL</t>
        </is>
      </c>
      <c r="F818" t="inlineStr">
        <is>
          <t>SCA</t>
        </is>
      </c>
      <c r="G818" t="n">
        <v>2.9</v>
      </c>
      <c r="H818" t="n">
        <v>0</v>
      </c>
      <c r="I818" t="n">
        <v>0</v>
      </c>
      <c r="J818" t="n">
        <v>2</v>
      </c>
      <c r="K818" t="n">
        <v>0</v>
      </c>
      <c r="L818" t="n">
        <v>0</v>
      </c>
      <c r="M818" t="n">
        <v>0</v>
      </c>
      <c r="N818" t="n">
        <v>0</v>
      </c>
      <c r="O818" t="n">
        <v>2</v>
      </c>
      <c r="P818" t="n">
        <v>0</v>
      </c>
      <c r="Q818" t="n">
        <v>2</v>
      </c>
      <c r="R818" s="2" t="inlineStr">
        <is>
          <t>Lunglav
Ullticka</t>
        </is>
      </c>
      <c r="S818">
        <f>HYPERLINK("https://klasma.github.io/Logging_2281/artfynd/A 50808-2025 artfynd.xlsx", "A 50808-2025")</f>
        <v/>
      </c>
      <c r="T818">
        <f>HYPERLINK("https://klasma.github.io/Logging_2281/kartor/A 50808-2025 karta.png", "A 50808-2025")</f>
        <v/>
      </c>
      <c r="U818">
        <f>HYPERLINK("https://klasma.github.io/Logging_2281/knärot/A 50808-2025 karta knärot.png", "A 50808-2025")</f>
        <v/>
      </c>
      <c r="V818">
        <f>HYPERLINK("https://klasma.github.io/Logging_2281/klagomål/A 50808-2025 FSC-klagomål.docx", "A 50808-2025")</f>
        <v/>
      </c>
      <c r="W818">
        <f>HYPERLINK("https://klasma.github.io/Logging_2281/klagomålsmail/A 50808-2025 FSC-klagomål mail.docx", "A 50808-2025")</f>
        <v/>
      </c>
      <c r="X818">
        <f>HYPERLINK("https://klasma.github.io/Logging_2281/tillsyn/A 50808-2025 tillsynsbegäran.docx", "A 50808-2025")</f>
        <v/>
      </c>
      <c r="Y818">
        <f>HYPERLINK("https://klasma.github.io/Logging_2281/tillsynsmail/A 50808-2025 tillsynsbegäran mail.docx", "A 50808-2025")</f>
        <v/>
      </c>
    </row>
    <row r="819" ht="15" customHeight="1">
      <c r="A819" t="inlineStr">
        <is>
          <t>A 35003-2023</t>
        </is>
      </c>
      <c r="B819" s="1" t="n">
        <v>45142</v>
      </c>
      <c r="C819" s="1" t="n">
        <v>46093</v>
      </c>
      <c r="D819" t="inlineStr">
        <is>
          <t>VÄSTERNORRLANDS LÄN</t>
        </is>
      </c>
      <c r="E819" t="inlineStr">
        <is>
          <t>TIMRÅ</t>
        </is>
      </c>
      <c r="F819" t="inlineStr">
        <is>
          <t>SCA</t>
        </is>
      </c>
      <c r="G819" t="n">
        <v>1.9</v>
      </c>
      <c r="H819" t="n">
        <v>0</v>
      </c>
      <c r="I819" t="n">
        <v>0</v>
      </c>
      <c r="J819" t="n">
        <v>2</v>
      </c>
      <c r="K819" t="n">
        <v>0</v>
      </c>
      <c r="L819" t="n">
        <v>0</v>
      </c>
      <c r="M819" t="n">
        <v>0</v>
      </c>
      <c r="N819" t="n">
        <v>0</v>
      </c>
      <c r="O819" t="n">
        <v>2</v>
      </c>
      <c r="P819" t="n">
        <v>0</v>
      </c>
      <c r="Q819" t="n">
        <v>2</v>
      </c>
      <c r="R819" s="2" t="inlineStr">
        <is>
          <t>Lunglav
Ullticka</t>
        </is>
      </c>
      <c r="S819">
        <f>HYPERLINK("https://klasma.github.io/Logging_2262/artfynd/A 35003-2023 artfynd.xlsx", "A 35003-2023")</f>
        <v/>
      </c>
      <c r="T819">
        <f>HYPERLINK("https://klasma.github.io/Logging_2262/kartor/A 35003-2023 karta.png", "A 35003-2023")</f>
        <v/>
      </c>
      <c r="V819">
        <f>HYPERLINK("https://klasma.github.io/Logging_2262/klagomål/A 35003-2023 FSC-klagomål.docx", "A 35003-2023")</f>
        <v/>
      </c>
      <c r="W819">
        <f>HYPERLINK("https://klasma.github.io/Logging_2262/klagomålsmail/A 35003-2023 FSC-klagomål mail.docx", "A 35003-2023")</f>
        <v/>
      </c>
      <c r="X819">
        <f>HYPERLINK("https://klasma.github.io/Logging_2262/tillsyn/A 35003-2023 tillsynsbegäran.docx", "A 35003-2023")</f>
        <v/>
      </c>
      <c r="Y819">
        <f>HYPERLINK("https://klasma.github.io/Logging_2262/tillsynsmail/A 35003-2023 tillsynsbegäran mail.docx", "A 35003-2023")</f>
        <v/>
      </c>
    </row>
    <row r="820" ht="15" customHeight="1">
      <c r="A820" t="inlineStr">
        <is>
          <t>A 2347-2025</t>
        </is>
      </c>
      <c r="B820" s="1" t="n">
        <v>45673.67782407408</v>
      </c>
      <c r="C820" s="1" t="n">
        <v>46093</v>
      </c>
      <c r="D820" t="inlineStr">
        <is>
          <t>VÄSTERNORRLANDS LÄN</t>
        </is>
      </c>
      <c r="E820" t="inlineStr">
        <is>
          <t>SOLLEFTEÅ</t>
        </is>
      </c>
      <c r="F820" t="inlineStr">
        <is>
          <t>SCA</t>
        </is>
      </c>
      <c r="G820" t="n">
        <v>3.3</v>
      </c>
      <c r="H820" t="n">
        <v>1</v>
      </c>
      <c r="I820" t="n">
        <v>0</v>
      </c>
      <c r="J820" t="n">
        <v>2</v>
      </c>
      <c r="K820" t="n">
        <v>0</v>
      </c>
      <c r="L820" t="n">
        <v>0</v>
      </c>
      <c r="M820" t="n">
        <v>0</v>
      </c>
      <c r="N820" t="n">
        <v>0</v>
      </c>
      <c r="O820" t="n">
        <v>2</v>
      </c>
      <c r="P820" t="n">
        <v>0</v>
      </c>
      <c r="Q820" t="n">
        <v>2</v>
      </c>
      <c r="R820" s="2" t="inlineStr">
        <is>
          <t>Garnlav
Spillkråka</t>
        </is>
      </c>
      <c r="S820">
        <f>HYPERLINK("https://klasma.github.io/Logging_2283/artfynd/A 2347-2025 artfynd.xlsx", "A 2347-2025")</f>
        <v/>
      </c>
      <c r="T820">
        <f>HYPERLINK("https://klasma.github.io/Logging_2283/kartor/A 2347-2025 karta.png", "A 2347-2025")</f>
        <v/>
      </c>
      <c r="V820">
        <f>HYPERLINK("https://klasma.github.io/Logging_2283/klagomål/A 2347-2025 FSC-klagomål.docx", "A 2347-2025")</f>
        <v/>
      </c>
      <c r="W820">
        <f>HYPERLINK("https://klasma.github.io/Logging_2283/klagomålsmail/A 2347-2025 FSC-klagomål mail.docx", "A 2347-2025")</f>
        <v/>
      </c>
      <c r="X820">
        <f>HYPERLINK("https://klasma.github.io/Logging_2283/tillsyn/A 2347-2025 tillsynsbegäran.docx", "A 2347-2025")</f>
        <v/>
      </c>
      <c r="Y820">
        <f>HYPERLINK("https://klasma.github.io/Logging_2283/tillsynsmail/A 2347-2025 tillsynsbegäran mail.docx", "A 2347-2025")</f>
        <v/>
      </c>
      <c r="Z820">
        <f>HYPERLINK("https://klasma.github.io/Logging_2283/fåglar/A 2347-2025 prioriterade fågelarter.docx", "A 2347-2025")</f>
        <v/>
      </c>
    </row>
    <row r="821" ht="15" customHeight="1">
      <c r="A821" t="inlineStr">
        <is>
          <t>A 50981-2025</t>
        </is>
      </c>
      <c r="B821" s="1" t="n">
        <v>45947.34456018519</v>
      </c>
      <c r="C821" s="1" t="n">
        <v>46093</v>
      </c>
      <c r="D821" t="inlineStr">
        <is>
          <t>VÄSTERNORRLANDS LÄN</t>
        </is>
      </c>
      <c r="E821" t="inlineStr">
        <is>
          <t>SUNDSVALL</t>
        </is>
      </c>
      <c r="F821" t="inlineStr">
        <is>
          <t>SCA</t>
        </is>
      </c>
      <c r="G821" t="n">
        <v>8.1</v>
      </c>
      <c r="H821" t="n">
        <v>1</v>
      </c>
      <c r="I821" t="n">
        <v>0</v>
      </c>
      <c r="J821" t="n">
        <v>1</v>
      </c>
      <c r="K821" t="n">
        <v>0</v>
      </c>
      <c r="L821" t="n">
        <v>0</v>
      </c>
      <c r="M821" t="n">
        <v>0</v>
      </c>
      <c r="N821" t="n">
        <v>0</v>
      </c>
      <c r="O821" t="n">
        <v>1</v>
      </c>
      <c r="P821" t="n">
        <v>0</v>
      </c>
      <c r="Q821" t="n">
        <v>2</v>
      </c>
      <c r="R821" s="2" t="inlineStr">
        <is>
          <t>Garnlav
Tjäder</t>
        </is>
      </c>
      <c r="S821">
        <f>HYPERLINK("https://klasma.github.io/Logging_2281/artfynd/A 50981-2025 artfynd.xlsx", "A 50981-2025")</f>
        <v/>
      </c>
      <c r="T821">
        <f>HYPERLINK("https://klasma.github.io/Logging_2281/kartor/A 50981-2025 karta.png", "A 50981-2025")</f>
        <v/>
      </c>
      <c r="U821">
        <f>HYPERLINK("https://klasma.github.io/Logging_2281/knärot/A 50981-2025 karta knärot.png", "A 50981-2025")</f>
        <v/>
      </c>
      <c r="V821">
        <f>HYPERLINK("https://klasma.github.io/Logging_2281/klagomål/A 50981-2025 FSC-klagomål.docx", "A 50981-2025")</f>
        <v/>
      </c>
      <c r="W821">
        <f>HYPERLINK("https://klasma.github.io/Logging_2281/klagomålsmail/A 50981-2025 FSC-klagomål mail.docx", "A 50981-2025")</f>
        <v/>
      </c>
      <c r="X821">
        <f>HYPERLINK("https://klasma.github.io/Logging_2281/tillsyn/A 50981-2025 tillsynsbegäran.docx", "A 50981-2025")</f>
        <v/>
      </c>
      <c r="Y821">
        <f>HYPERLINK("https://klasma.github.io/Logging_2281/tillsynsmail/A 50981-2025 tillsynsbegäran mail.docx", "A 50981-2025")</f>
        <v/>
      </c>
      <c r="Z821">
        <f>HYPERLINK("https://klasma.github.io/Logging_2281/fåglar/A 50981-2025 prioriterade fågelarter.docx", "A 50981-2025")</f>
        <v/>
      </c>
    </row>
    <row r="822" ht="15" customHeight="1">
      <c r="A822" t="inlineStr">
        <is>
          <t>A 51166-2025</t>
        </is>
      </c>
      <c r="B822" s="1" t="n">
        <v>45947.59516203704</v>
      </c>
      <c r="C822" s="1" t="n">
        <v>46093</v>
      </c>
      <c r="D822" t="inlineStr">
        <is>
          <t>VÄSTERNORRLANDS LÄN</t>
        </is>
      </c>
      <c r="E822" t="inlineStr">
        <is>
          <t>KRAMFORS</t>
        </is>
      </c>
      <c r="G822" t="n">
        <v>4.8</v>
      </c>
      <c r="H822" t="n">
        <v>1</v>
      </c>
      <c r="I822" t="n">
        <v>1</v>
      </c>
      <c r="J822" t="n">
        <v>0</v>
      </c>
      <c r="K822" t="n">
        <v>0</v>
      </c>
      <c r="L822" t="n">
        <v>0</v>
      </c>
      <c r="M822" t="n">
        <v>0</v>
      </c>
      <c r="N822" t="n">
        <v>0</v>
      </c>
      <c r="O822" t="n">
        <v>0</v>
      </c>
      <c r="P822" t="n">
        <v>0</v>
      </c>
      <c r="Q822" t="n">
        <v>2</v>
      </c>
      <c r="R822" s="2" t="inlineStr">
        <is>
          <t>Nordlig källmossa
Fläcknycklar</t>
        </is>
      </c>
      <c r="S822">
        <f>HYPERLINK("https://klasma.github.io/Logging_2282/artfynd/A 51166-2025 artfynd.xlsx", "A 51166-2025")</f>
        <v/>
      </c>
      <c r="T822">
        <f>HYPERLINK("https://klasma.github.io/Logging_2282/kartor/A 51166-2025 karta.png", "A 51166-2025")</f>
        <v/>
      </c>
      <c r="V822">
        <f>HYPERLINK("https://klasma.github.io/Logging_2282/klagomål/A 51166-2025 FSC-klagomål.docx", "A 51166-2025")</f>
        <v/>
      </c>
      <c r="W822">
        <f>HYPERLINK("https://klasma.github.io/Logging_2282/klagomålsmail/A 51166-2025 FSC-klagomål mail.docx", "A 51166-2025")</f>
        <v/>
      </c>
      <c r="X822">
        <f>HYPERLINK("https://klasma.github.io/Logging_2282/tillsyn/A 51166-2025 tillsynsbegäran.docx", "A 51166-2025")</f>
        <v/>
      </c>
      <c r="Y822">
        <f>HYPERLINK("https://klasma.github.io/Logging_2282/tillsynsmail/A 51166-2025 tillsynsbegäran mail.docx", "A 51166-2025")</f>
        <v/>
      </c>
    </row>
    <row r="823" ht="15" customHeight="1">
      <c r="A823" t="inlineStr">
        <is>
          <t>A 52113-2025</t>
        </is>
      </c>
      <c r="B823" s="1" t="n">
        <v>45952.69873842593</v>
      </c>
      <c r="C823" s="1" t="n">
        <v>46093</v>
      </c>
      <c r="D823" t="inlineStr">
        <is>
          <t>VÄSTERNORRLANDS LÄN</t>
        </is>
      </c>
      <c r="E823" t="inlineStr">
        <is>
          <t>TIMRÅ</t>
        </is>
      </c>
      <c r="F823" t="inlineStr">
        <is>
          <t>SCA</t>
        </is>
      </c>
      <c r="G823" t="n">
        <v>13.3</v>
      </c>
      <c r="H823" t="n">
        <v>1</v>
      </c>
      <c r="I823" t="n">
        <v>0</v>
      </c>
      <c r="J823" t="n">
        <v>0</v>
      </c>
      <c r="K823" t="n">
        <v>2</v>
      </c>
      <c r="L823" t="n">
        <v>0</v>
      </c>
      <c r="M823" t="n">
        <v>0</v>
      </c>
      <c r="N823" t="n">
        <v>0</v>
      </c>
      <c r="O823" t="n">
        <v>2</v>
      </c>
      <c r="P823" t="n">
        <v>2</v>
      </c>
      <c r="Q823" t="n">
        <v>2</v>
      </c>
      <c r="R823" s="2" t="inlineStr">
        <is>
          <t>Bergviol
Lake</t>
        </is>
      </c>
      <c r="S823">
        <f>HYPERLINK("https://klasma.github.io/Logging_2262/artfynd/A 52113-2025 artfynd.xlsx", "A 52113-2025")</f>
        <v/>
      </c>
      <c r="T823">
        <f>HYPERLINK("https://klasma.github.io/Logging_2262/kartor/A 52113-2025 karta.png", "A 52113-2025")</f>
        <v/>
      </c>
      <c r="V823">
        <f>HYPERLINK("https://klasma.github.io/Logging_2262/klagomål/A 52113-2025 FSC-klagomål.docx", "A 52113-2025")</f>
        <v/>
      </c>
      <c r="W823">
        <f>HYPERLINK("https://klasma.github.io/Logging_2262/klagomålsmail/A 52113-2025 FSC-klagomål mail.docx", "A 52113-2025")</f>
        <v/>
      </c>
      <c r="X823">
        <f>HYPERLINK("https://klasma.github.io/Logging_2262/tillsyn/A 52113-2025 tillsynsbegäran.docx", "A 52113-2025")</f>
        <v/>
      </c>
      <c r="Y823">
        <f>HYPERLINK("https://klasma.github.io/Logging_2262/tillsynsmail/A 52113-2025 tillsynsbegäran mail.docx", "A 52113-2025")</f>
        <v/>
      </c>
    </row>
    <row r="824" ht="15" customHeight="1">
      <c r="A824" t="inlineStr">
        <is>
          <t>A 32659-2024</t>
        </is>
      </c>
      <c r="B824" s="1" t="n">
        <v>45513</v>
      </c>
      <c r="C824" s="1" t="n">
        <v>46093</v>
      </c>
      <c r="D824" t="inlineStr">
        <is>
          <t>VÄSTERNORRLANDS LÄN</t>
        </is>
      </c>
      <c r="E824" t="inlineStr">
        <is>
          <t>ÅNGE</t>
        </is>
      </c>
      <c r="F824" t="inlineStr">
        <is>
          <t>SCA</t>
        </is>
      </c>
      <c r="G824" t="n">
        <v>6.9</v>
      </c>
      <c r="H824" t="n">
        <v>0</v>
      </c>
      <c r="I824" t="n">
        <v>0</v>
      </c>
      <c r="J824" t="n">
        <v>2</v>
      </c>
      <c r="K824" t="n">
        <v>0</v>
      </c>
      <c r="L824" t="n">
        <v>0</v>
      </c>
      <c r="M824" t="n">
        <v>0</v>
      </c>
      <c r="N824" t="n">
        <v>0</v>
      </c>
      <c r="O824" t="n">
        <v>2</v>
      </c>
      <c r="P824" t="n">
        <v>0</v>
      </c>
      <c r="Q824" t="n">
        <v>2</v>
      </c>
      <c r="R824" s="2" t="inlineStr">
        <is>
          <t>Lunglav
Stjärntagging</t>
        </is>
      </c>
      <c r="S824">
        <f>HYPERLINK("https://klasma.github.io/Logging_2260/artfynd/A 32659-2024 artfynd.xlsx", "A 32659-2024")</f>
        <v/>
      </c>
      <c r="T824">
        <f>HYPERLINK("https://klasma.github.io/Logging_2260/kartor/A 32659-2024 karta.png", "A 32659-2024")</f>
        <v/>
      </c>
      <c r="V824">
        <f>HYPERLINK("https://klasma.github.io/Logging_2260/klagomål/A 32659-2024 FSC-klagomål.docx", "A 32659-2024")</f>
        <v/>
      </c>
      <c r="W824">
        <f>HYPERLINK("https://klasma.github.io/Logging_2260/klagomålsmail/A 32659-2024 FSC-klagomål mail.docx", "A 32659-2024")</f>
        <v/>
      </c>
      <c r="X824">
        <f>HYPERLINK("https://klasma.github.io/Logging_2260/tillsyn/A 32659-2024 tillsynsbegäran.docx", "A 32659-2024")</f>
        <v/>
      </c>
      <c r="Y824">
        <f>HYPERLINK("https://klasma.github.io/Logging_2260/tillsynsmail/A 32659-2024 tillsynsbegäran mail.docx", "A 32659-2024")</f>
        <v/>
      </c>
    </row>
    <row r="825" ht="15" customHeight="1">
      <c r="A825" t="inlineStr">
        <is>
          <t>A 7108-2024</t>
        </is>
      </c>
      <c r="B825" s="1" t="n">
        <v>45343</v>
      </c>
      <c r="C825" s="1" t="n">
        <v>46093</v>
      </c>
      <c r="D825" t="inlineStr">
        <is>
          <t>VÄSTERNORRLANDS LÄN</t>
        </is>
      </c>
      <c r="E825" t="inlineStr">
        <is>
          <t>SOLLEFTEÅ</t>
        </is>
      </c>
      <c r="F825" t="inlineStr">
        <is>
          <t>SCA</t>
        </is>
      </c>
      <c r="G825" t="n">
        <v>3.8</v>
      </c>
      <c r="H825" t="n">
        <v>2</v>
      </c>
      <c r="I825" t="n">
        <v>0</v>
      </c>
      <c r="J825" t="n">
        <v>1</v>
      </c>
      <c r="K825" t="n">
        <v>0</v>
      </c>
      <c r="L825" t="n">
        <v>0</v>
      </c>
      <c r="M825" t="n">
        <v>0</v>
      </c>
      <c r="N825" t="n">
        <v>0</v>
      </c>
      <c r="O825" t="n">
        <v>1</v>
      </c>
      <c r="P825" t="n">
        <v>0</v>
      </c>
      <c r="Q825" t="n">
        <v>2</v>
      </c>
      <c r="R825" s="2" t="inlineStr">
        <is>
          <t>Nordfladdermus
Vattenfladdermus</t>
        </is>
      </c>
      <c r="S825">
        <f>HYPERLINK("https://klasma.github.io/Logging_2283/artfynd/A 7108-2024 artfynd.xlsx", "A 7108-2024")</f>
        <v/>
      </c>
      <c r="T825">
        <f>HYPERLINK("https://klasma.github.io/Logging_2283/kartor/A 7108-2024 karta.png", "A 7108-2024")</f>
        <v/>
      </c>
      <c r="V825">
        <f>HYPERLINK("https://klasma.github.io/Logging_2283/klagomål/A 7108-2024 FSC-klagomål.docx", "A 7108-2024")</f>
        <v/>
      </c>
      <c r="W825">
        <f>HYPERLINK("https://klasma.github.io/Logging_2283/klagomålsmail/A 7108-2024 FSC-klagomål mail.docx", "A 7108-2024")</f>
        <v/>
      </c>
      <c r="X825">
        <f>HYPERLINK("https://klasma.github.io/Logging_2283/tillsyn/A 7108-2024 tillsynsbegäran.docx", "A 7108-2024")</f>
        <v/>
      </c>
      <c r="Y825">
        <f>HYPERLINK("https://klasma.github.io/Logging_2283/tillsynsmail/A 7108-2024 tillsynsbegäran mail.docx", "A 7108-2024")</f>
        <v/>
      </c>
    </row>
    <row r="826" ht="15" customHeight="1">
      <c r="A826" t="inlineStr">
        <is>
          <t>A 58880-2024</t>
        </is>
      </c>
      <c r="B826" s="1" t="n">
        <v>45636.44836805556</v>
      </c>
      <c r="C826" s="1" t="n">
        <v>46093</v>
      </c>
      <c r="D826" t="inlineStr">
        <is>
          <t>VÄSTERNORRLANDS LÄN</t>
        </is>
      </c>
      <c r="E826" t="inlineStr">
        <is>
          <t>SOLLEFTEÅ</t>
        </is>
      </c>
      <c r="F826" t="inlineStr">
        <is>
          <t>SCA</t>
        </is>
      </c>
      <c r="G826" t="n">
        <v>2</v>
      </c>
      <c r="H826" t="n">
        <v>0</v>
      </c>
      <c r="I826" t="n">
        <v>0</v>
      </c>
      <c r="J826" t="n">
        <v>2</v>
      </c>
      <c r="K826" t="n">
        <v>0</v>
      </c>
      <c r="L826" t="n">
        <v>0</v>
      </c>
      <c r="M826" t="n">
        <v>0</v>
      </c>
      <c r="N826" t="n">
        <v>0</v>
      </c>
      <c r="O826" t="n">
        <v>2</v>
      </c>
      <c r="P826" t="n">
        <v>0</v>
      </c>
      <c r="Q826" t="n">
        <v>2</v>
      </c>
      <c r="R826" s="2" t="inlineStr">
        <is>
          <t>Gammelgransskål
Garnlav</t>
        </is>
      </c>
      <c r="S826">
        <f>HYPERLINK("https://klasma.github.io/Logging_2283/artfynd/A 58880-2024 artfynd.xlsx", "A 58880-2024")</f>
        <v/>
      </c>
      <c r="T826">
        <f>HYPERLINK("https://klasma.github.io/Logging_2283/kartor/A 58880-2024 karta.png", "A 58880-2024")</f>
        <v/>
      </c>
      <c r="V826">
        <f>HYPERLINK("https://klasma.github.io/Logging_2283/klagomål/A 58880-2024 FSC-klagomål.docx", "A 58880-2024")</f>
        <v/>
      </c>
      <c r="W826">
        <f>HYPERLINK("https://klasma.github.io/Logging_2283/klagomålsmail/A 58880-2024 FSC-klagomål mail.docx", "A 58880-2024")</f>
        <v/>
      </c>
      <c r="X826">
        <f>HYPERLINK("https://klasma.github.io/Logging_2283/tillsyn/A 58880-2024 tillsynsbegäran.docx", "A 58880-2024")</f>
        <v/>
      </c>
      <c r="Y826">
        <f>HYPERLINK("https://klasma.github.io/Logging_2283/tillsynsmail/A 58880-2024 tillsynsbegäran mail.docx", "A 58880-2024")</f>
        <v/>
      </c>
    </row>
    <row r="827" ht="15" customHeight="1">
      <c r="A827" t="inlineStr">
        <is>
          <t>A 62861-2021</t>
        </is>
      </c>
      <c r="B827" s="1" t="n">
        <v>44503</v>
      </c>
      <c r="C827" s="1" t="n">
        <v>46093</v>
      </c>
      <c r="D827" t="inlineStr">
        <is>
          <t>VÄSTERNORRLANDS LÄN</t>
        </is>
      </c>
      <c r="E827" t="inlineStr">
        <is>
          <t>ÅNGE</t>
        </is>
      </c>
      <c r="F827" t="inlineStr">
        <is>
          <t>Övriga statliga verk och myndigheter</t>
        </is>
      </c>
      <c r="G827" t="n">
        <v>12.1</v>
      </c>
      <c r="H827" t="n">
        <v>1</v>
      </c>
      <c r="I827" t="n">
        <v>0</v>
      </c>
      <c r="J827" t="n">
        <v>1</v>
      </c>
      <c r="K827" t="n">
        <v>1</v>
      </c>
      <c r="L827" t="n">
        <v>0</v>
      </c>
      <c r="M827" t="n">
        <v>0</v>
      </c>
      <c r="N827" t="n">
        <v>0</v>
      </c>
      <c r="O827" t="n">
        <v>2</v>
      </c>
      <c r="P827" t="n">
        <v>1</v>
      </c>
      <c r="Q827" t="n">
        <v>2</v>
      </c>
      <c r="R827" s="2" t="inlineStr">
        <is>
          <t>Knärot
Rosenticka</t>
        </is>
      </c>
      <c r="S827">
        <f>HYPERLINK("https://klasma.github.io/Logging_2260/artfynd/A 62861-2021 artfynd.xlsx", "A 62861-2021")</f>
        <v/>
      </c>
      <c r="T827">
        <f>HYPERLINK("https://klasma.github.io/Logging_2260/kartor/A 62861-2021 karta.png", "A 62861-2021")</f>
        <v/>
      </c>
      <c r="U827">
        <f>HYPERLINK("https://klasma.github.io/Logging_2260/knärot/A 62861-2021 karta knärot.png", "A 62861-2021")</f>
        <v/>
      </c>
      <c r="V827">
        <f>HYPERLINK("https://klasma.github.io/Logging_2260/klagomål/A 62861-2021 FSC-klagomål.docx", "A 62861-2021")</f>
        <v/>
      </c>
      <c r="W827">
        <f>HYPERLINK("https://klasma.github.io/Logging_2260/klagomålsmail/A 62861-2021 FSC-klagomål mail.docx", "A 62861-2021")</f>
        <v/>
      </c>
      <c r="X827">
        <f>HYPERLINK("https://klasma.github.io/Logging_2260/tillsyn/A 62861-2021 tillsynsbegäran.docx", "A 62861-2021")</f>
        <v/>
      </c>
      <c r="Y827">
        <f>HYPERLINK("https://klasma.github.io/Logging_2260/tillsynsmail/A 62861-2021 tillsynsbegäran mail.docx", "A 62861-2021")</f>
        <v/>
      </c>
    </row>
    <row r="828" ht="15" customHeight="1">
      <c r="A828" t="inlineStr">
        <is>
          <t>A 51933-2025</t>
        </is>
      </c>
      <c r="B828" s="1" t="n">
        <v>45952.51125</v>
      </c>
      <c r="C828" s="1" t="n">
        <v>46093</v>
      </c>
      <c r="D828" t="inlineStr">
        <is>
          <t>VÄSTERNORRLANDS LÄN</t>
        </is>
      </c>
      <c r="E828" t="inlineStr">
        <is>
          <t>SUNDSVALL</t>
        </is>
      </c>
      <c r="F828" t="inlineStr">
        <is>
          <t>SCA</t>
        </is>
      </c>
      <c r="G828" t="n">
        <v>7</v>
      </c>
      <c r="H828" t="n">
        <v>1</v>
      </c>
      <c r="I828" t="n">
        <v>1</v>
      </c>
      <c r="J828" t="n">
        <v>0</v>
      </c>
      <c r="K828" t="n">
        <v>0</v>
      </c>
      <c r="L828" t="n">
        <v>0</v>
      </c>
      <c r="M828" t="n">
        <v>0</v>
      </c>
      <c r="N828" t="n">
        <v>0</v>
      </c>
      <c r="O828" t="n">
        <v>0</v>
      </c>
      <c r="P828" t="n">
        <v>0</v>
      </c>
      <c r="Q828" t="n">
        <v>2</v>
      </c>
      <c r="R828" s="2" t="inlineStr">
        <is>
          <t>Tibast
Nattviol</t>
        </is>
      </c>
      <c r="S828">
        <f>HYPERLINK("https://klasma.github.io/Logging_2281/artfynd/A 51933-2025 artfynd.xlsx", "A 51933-2025")</f>
        <v/>
      </c>
      <c r="T828">
        <f>HYPERLINK("https://klasma.github.io/Logging_2281/kartor/A 51933-2025 karta.png", "A 51933-2025")</f>
        <v/>
      </c>
      <c r="V828">
        <f>HYPERLINK("https://klasma.github.io/Logging_2281/klagomål/A 51933-2025 FSC-klagomål.docx", "A 51933-2025")</f>
        <v/>
      </c>
      <c r="W828">
        <f>HYPERLINK("https://klasma.github.io/Logging_2281/klagomålsmail/A 51933-2025 FSC-klagomål mail.docx", "A 51933-2025")</f>
        <v/>
      </c>
      <c r="X828">
        <f>HYPERLINK("https://klasma.github.io/Logging_2281/tillsyn/A 51933-2025 tillsynsbegäran.docx", "A 51933-2025")</f>
        <v/>
      </c>
      <c r="Y828">
        <f>HYPERLINK("https://klasma.github.io/Logging_2281/tillsynsmail/A 51933-2025 tillsynsbegäran mail.docx", "A 51933-2025")</f>
        <v/>
      </c>
    </row>
    <row r="829" ht="15" customHeight="1">
      <c r="A829" t="inlineStr">
        <is>
          <t>A 59997-2024</t>
        </is>
      </c>
      <c r="B829" s="1" t="n">
        <v>45642.40715277778</v>
      </c>
      <c r="C829" s="1" t="n">
        <v>46093</v>
      </c>
      <c r="D829" t="inlineStr">
        <is>
          <t>VÄSTERNORRLANDS LÄN</t>
        </is>
      </c>
      <c r="E829" t="inlineStr">
        <is>
          <t>SOLLEFTEÅ</t>
        </is>
      </c>
      <c r="F829" t="inlineStr">
        <is>
          <t>SCA</t>
        </is>
      </c>
      <c r="G829" t="n">
        <v>2.8</v>
      </c>
      <c r="H829" t="n">
        <v>1</v>
      </c>
      <c r="I829" t="n">
        <v>0</v>
      </c>
      <c r="J829" t="n">
        <v>1</v>
      </c>
      <c r="K829" t="n">
        <v>1</v>
      </c>
      <c r="L829" t="n">
        <v>0</v>
      </c>
      <c r="M829" t="n">
        <v>0</v>
      </c>
      <c r="N829" t="n">
        <v>0</v>
      </c>
      <c r="O829" t="n">
        <v>2</v>
      </c>
      <c r="P829" t="n">
        <v>1</v>
      </c>
      <c r="Q829" t="n">
        <v>2</v>
      </c>
      <c r="R829" s="2" t="inlineStr">
        <is>
          <t>Knärot
Garnlav</t>
        </is>
      </c>
      <c r="S829">
        <f>HYPERLINK("https://klasma.github.io/Logging_2283/artfynd/A 59997-2024 artfynd.xlsx", "A 59997-2024")</f>
        <v/>
      </c>
      <c r="T829">
        <f>HYPERLINK("https://klasma.github.io/Logging_2283/kartor/A 59997-2024 karta.png", "A 59997-2024")</f>
        <v/>
      </c>
      <c r="U829">
        <f>HYPERLINK("https://klasma.github.io/Logging_2283/knärot/A 59997-2024 karta knärot.png", "A 59997-2024")</f>
        <v/>
      </c>
      <c r="V829">
        <f>HYPERLINK("https://klasma.github.io/Logging_2283/klagomål/A 59997-2024 FSC-klagomål.docx", "A 59997-2024")</f>
        <v/>
      </c>
      <c r="W829">
        <f>HYPERLINK("https://klasma.github.io/Logging_2283/klagomålsmail/A 59997-2024 FSC-klagomål mail.docx", "A 59997-2024")</f>
        <v/>
      </c>
      <c r="X829">
        <f>HYPERLINK("https://klasma.github.io/Logging_2283/tillsyn/A 59997-2024 tillsynsbegäran.docx", "A 59997-2024")</f>
        <v/>
      </c>
      <c r="Y829">
        <f>HYPERLINK("https://klasma.github.io/Logging_2283/tillsynsmail/A 59997-2024 tillsynsbegäran mail.docx", "A 59997-2024")</f>
        <v/>
      </c>
    </row>
    <row r="830" ht="15" customHeight="1">
      <c r="A830" t="inlineStr">
        <is>
          <t>A 55178-2024</t>
        </is>
      </c>
      <c r="B830" s="1" t="n">
        <v>45621</v>
      </c>
      <c r="C830" s="1" t="n">
        <v>46093</v>
      </c>
      <c r="D830" t="inlineStr">
        <is>
          <t>VÄSTERNORRLANDS LÄN</t>
        </is>
      </c>
      <c r="E830" t="inlineStr">
        <is>
          <t>ÅNGE</t>
        </is>
      </c>
      <c r="F830" t="inlineStr">
        <is>
          <t>SCA</t>
        </is>
      </c>
      <c r="G830" t="n">
        <v>4.8</v>
      </c>
      <c r="H830" t="n">
        <v>1</v>
      </c>
      <c r="I830" t="n">
        <v>0</v>
      </c>
      <c r="J830" t="n">
        <v>1</v>
      </c>
      <c r="K830" t="n">
        <v>1</v>
      </c>
      <c r="L830" t="n">
        <v>0</v>
      </c>
      <c r="M830" t="n">
        <v>0</v>
      </c>
      <c r="N830" t="n">
        <v>0</v>
      </c>
      <c r="O830" t="n">
        <v>2</v>
      </c>
      <c r="P830" t="n">
        <v>1</v>
      </c>
      <c r="Q830" t="n">
        <v>2</v>
      </c>
      <c r="R830" s="2" t="inlineStr">
        <is>
          <t>Knärot
Stiftgelélav</t>
        </is>
      </c>
      <c r="S830">
        <f>HYPERLINK("https://klasma.github.io/Logging_2260/artfynd/A 55178-2024 artfynd.xlsx", "A 55178-2024")</f>
        <v/>
      </c>
      <c r="T830">
        <f>HYPERLINK("https://klasma.github.io/Logging_2260/kartor/A 55178-2024 karta.png", "A 55178-2024")</f>
        <v/>
      </c>
      <c r="U830">
        <f>HYPERLINK("https://klasma.github.io/Logging_2260/knärot/A 55178-2024 karta knärot.png", "A 55178-2024")</f>
        <v/>
      </c>
      <c r="V830">
        <f>HYPERLINK("https://klasma.github.io/Logging_2260/klagomål/A 55178-2024 FSC-klagomål.docx", "A 55178-2024")</f>
        <v/>
      </c>
      <c r="W830">
        <f>HYPERLINK("https://klasma.github.io/Logging_2260/klagomålsmail/A 55178-2024 FSC-klagomål mail.docx", "A 55178-2024")</f>
        <v/>
      </c>
      <c r="X830">
        <f>HYPERLINK("https://klasma.github.io/Logging_2260/tillsyn/A 55178-2024 tillsynsbegäran.docx", "A 55178-2024")</f>
        <v/>
      </c>
      <c r="Y830">
        <f>HYPERLINK("https://klasma.github.io/Logging_2260/tillsynsmail/A 55178-2024 tillsynsbegäran mail.docx", "A 55178-2024")</f>
        <v/>
      </c>
    </row>
    <row r="831" ht="15" customHeight="1">
      <c r="A831" t="inlineStr">
        <is>
          <t>A 55591-2021</t>
        </is>
      </c>
      <c r="B831" s="1" t="n">
        <v>44475</v>
      </c>
      <c r="C831" s="1" t="n">
        <v>46093</v>
      </c>
      <c r="D831" t="inlineStr">
        <is>
          <t>VÄSTERNORRLANDS LÄN</t>
        </is>
      </c>
      <c r="E831" t="inlineStr">
        <is>
          <t>ÅNGE</t>
        </is>
      </c>
      <c r="G831" t="n">
        <v>3.6</v>
      </c>
      <c r="H831" t="n">
        <v>0</v>
      </c>
      <c r="I831" t="n">
        <v>0</v>
      </c>
      <c r="J831" t="n">
        <v>2</v>
      </c>
      <c r="K831" t="n">
        <v>0</v>
      </c>
      <c r="L831" t="n">
        <v>0</v>
      </c>
      <c r="M831" t="n">
        <v>0</v>
      </c>
      <c r="N831" t="n">
        <v>0</v>
      </c>
      <c r="O831" t="n">
        <v>2</v>
      </c>
      <c r="P831" t="n">
        <v>0</v>
      </c>
      <c r="Q831" t="n">
        <v>2</v>
      </c>
      <c r="R831" s="2" t="inlineStr">
        <is>
          <t>Kolflarnlav
Skrovlig taggsvamp</t>
        </is>
      </c>
      <c r="S831">
        <f>HYPERLINK("https://klasma.github.io/Logging_2260/artfynd/A 55591-2021 artfynd.xlsx", "A 55591-2021")</f>
        <v/>
      </c>
      <c r="T831">
        <f>HYPERLINK("https://klasma.github.io/Logging_2260/kartor/A 55591-2021 karta.png", "A 55591-2021")</f>
        <v/>
      </c>
      <c r="V831">
        <f>HYPERLINK("https://klasma.github.io/Logging_2260/klagomål/A 55591-2021 FSC-klagomål.docx", "A 55591-2021")</f>
        <v/>
      </c>
      <c r="W831">
        <f>HYPERLINK("https://klasma.github.io/Logging_2260/klagomålsmail/A 55591-2021 FSC-klagomål mail.docx", "A 55591-2021")</f>
        <v/>
      </c>
      <c r="X831">
        <f>HYPERLINK("https://klasma.github.io/Logging_2260/tillsyn/A 55591-2021 tillsynsbegäran.docx", "A 55591-2021")</f>
        <v/>
      </c>
      <c r="Y831">
        <f>HYPERLINK("https://klasma.github.io/Logging_2260/tillsynsmail/A 55591-2021 tillsynsbegäran mail.docx", "A 55591-2021")</f>
        <v/>
      </c>
    </row>
    <row r="832" ht="15" customHeight="1">
      <c r="A832" t="inlineStr">
        <is>
          <t>A 37800-2025</t>
        </is>
      </c>
      <c r="B832" s="1" t="n">
        <v>45881.34420138889</v>
      </c>
      <c r="C832" s="1" t="n">
        <v>46093</v>
      </c>
      <c r="D832" t="inlineStr">
        <is>
          <t>VÄSTERNORRLANDS LÄN</t>
        </is>
      </c>
      <c r="E832" t="inlineStr">
        <is>
          <t>ÅNGE</t>
        </is>
      </c>
      <c r="F832" t="inlineStr">
        <is>
          <t>SCA</t>
        </is>
      </c>
      <c r="G832" t="n">
        <v>4</v>
      </c>
      <c r="H832" t="n">
        <v>1</v>
      </c>
      <c r="I832" t="n">
        <v>0</v>
      </c>
      <c r="J832" t="n">
        <v>1</v>
      </c>
      <c r="K832" t="n">
        <v>0</v>
      </c>
      <c r="L832" t="n">
        <v>0</v>
      </c>
      <c r="M832" t="n">
        <v>0</v>
      </c>
      <c r="N832" t="n">
        <v>0</v>
      </c>
      <c r="O832" t="n">
        <v>1</v>
      </c>
      <c r="P832" t="n">
        <v>0</v>
      </c>
      <c r="Q832" t="n">
        <v>2</v>
      </c>
      <c r="R832" s="2" t="inlineStr">
        <is>
          <t>Garnlav
Revlummer</t>
        </is>
      </c>
      <c r="S832">
        <f>HYPERLINK("https://klasma.github.io/Logging_2260/artfynd/A 37800-2025 artfynd.xlsx", "A 37800-2025")</f>
        <v/>
      </c>
      <c r="T832">
        <f>HYPERLINK("https://klasma.github.io/Logging_2260/kartor/A 37800-2025 karta.png", "A 37800-2025")</f>
        <v/>
      </c>
      <c r="V832">
        <f>HYPERLINK("https://klasma.github.io/Logging_2260/klagomål/A 37800-2025 FSC-klagomål.docx", "A 37800-2025")</f>
        <v/>
      </c>
      <c r="W832">
        <f>HYPERLINK("https://klasma.github.io/Logging_2260/klagomålsmail/A 37800-2025 FSC-klagomål mail.docx", "A 37800-2025")</f>
        <v/>
      </c>
      <c r="X832">
        <f>HYPERLINK("https://klasma.github.io/Logging_2260/tillsyn/A 37800-2025 tillsynsbegäran.docx", "A 37800-2025")</f>
        <v/>
      </c>
      <c r="Y832">
        <f>HYPERLINK("https://klasma.github.io/Logging_2260/tillsynsmail/A 37800-2025 tillsynsbegäran mail.docx", "A 37800-2025")</f>
        <v/>
      </c>
    </row>
    <row r="833" ht="15" customHeight="1">
      <c r="A833" t="inlineStr">
        <is>
          <t>A 7837-2025</t>
        </is>
      </c>
      <c r="B833" s="1" t="n">
        <v>45706</v>
      </c>
      <c r="C833" s="1" t="n">
        <v>46093</v>
      </c>
      <c r="D833" t="inlineStr">
        <is>
          <t>VÄSTERNORRLANDS LÄN</t>
        </is>
      </c>
      <c r="E833" t="inlineStr">
        <is>
          <t>SOLLEFTEÅ</t>
        </is>
      </c>
      <c r="F833" t="inlineStr">
        <is>
          <t>SCA</t>
        </is>
      </c>
      <c r="G833" t="n">
        <v>2</v>
      </c>
      <c r="H833" t="n">
        <v>0</v>
      </c>
      <c r="I833" t="n">
        <v>1</v>
      </c>
      <c r="J833" t="n">
        <v>1</v>
      </c>
      <c r="K833" t="n">
        <v>0</v>
      </c>
      <c r="L833" t="n">
        <v>0</v>
      </c>
      <c r="M833" t="n">
        <v>0</v>
      </c>
      <c r="N833" t="n">
        <v>0</v>
      </c>
      <c r="O833" t="n">
        <v>1</v>
      </c>
      <c r="P833" t="n">
        <v>0</v>
      </c>
      <c r="Q833" t="n">
        <v>2</v>
      </c>
      <c r="R833" s="2" t="inlineStr">
        <is>
          <t>Gammelgransskål
Norrlandslav</t>
        </is>
      </c>
      <c r="S833">
        <f>HYPERLINK("https://klasma.github.io/Logging_2283/artfynd/A 7837-2025 artfynd.xlsx", "A 7837-2025")</f>
        <v/>
      </c>
      <c r="T833">
        <f>HYPERLINK("https://klasma.github.io/Logging_2283/kartor/A 7837-2025 karta.png", "A 7837-2025")</f>
        <v/>
      </c>
      <c r="V833">
        <f>HYPERLINK("https://klasma.github.io/Logging_2283/klagomål/A 7837-2025 FSC-klagomål.docx", "A 7837-2025")</f>
        <v/>
      </c>
      <c r="W833">
        <f>HYPERLINK("https://klasma.github.io/Logging_2283/klagomålsmail/A 7837-2025 FSC-klagomål mail.docx", "A 7837-2025")</f>
        <v/>
      </c>
      <c r="X833">
        <f>HYPERLINK("https://klasma.github.io/Logging_2283/tillsyn/A 7837-2025 tillsynsbegäran.docx", "A 7837-2025")</f>
        <v/>
      </c>
      <c r="Y833">
        <f>HYPERLINK("https://klasma.github.io/Logging_2283/tillsynsmail/A 7837-2025 tillsynsbegäran mail.docx", "A 7837-2025")</f>
        <v/>
      </c>
    </row>
    <row r="834" ht="15" customHeight="1">
      <c r="A834" t="inlineStr">
        <is>
          <t>A 53683-2025</t>
        </is>
      </c>
      <c r="B834" s="1" t="n">
        <v>45960</v>
      </c>
      <c r="C834" s="1" t="n">
        <v>46093</v>
      </c>
      <c r="D834" t="inlineStr">
        <is>
          <t>VÄSTERNORRLANDS LÄN</t>
        </is>
      </c>
      <c r="E834" t="inlineStr">
        <is>
          <t>ÅNGE</t>
        </is>
      </c>
      <c r="F834" t="inlineStr">
        <is>
          <t>SCA</t>
        </is>
      </c>
      <c r="G834" t="n">
        <v>3.6</v>
      </c>
      <c r="H834" t="n">
        <v>1</v>
      </c>
      <c r="I834" t="n">
        <v>1</v>
      </c>
      <c r="J834" t="n">
        <v>1</v>
      </c>
      <c r="K834" t="n">
        <v>0</v>
      </c>
      <c r="L834" t="n">
        <v>0</v>
      </c>
      <c r="M834" t="n">
        <v>0</v>
      </c>
      <c r="N834" t="n">
        <v>0</v>
      </c>
      <c r="O834" t="n">
        <v>1</v>
      </c>
      <c r="P834" t="n">
        <v>0</v>
      </c>
      <c r="Q834" t="n">
        <v>2</v>
      </c>
      <c r="R834" s="2" t="inlineStr">
        <is>
          <t>Talltita
Ögonpyrola</t>
        </is>
      </c>
      <c r="S834">
        <f>HYPERLINK("https://klasma.github.io/Logging_2260/artfynd/A 53683-2025 artfynd.xlsx", "A 53683-2025")</f>
        <v/>
      </c>
      <c r="T834">
        <f>HYPERLINK("https://klasma.github.io/Logging_2260/kartor/A 53683-2025 karta.png", "A 53683-2025")</f>
        <v/>
      </c>
      <c r="U834">
        <f>HYPERLINK("https://klasma.github.io/Logging_2260/knärot/A 53683-2025 karta knärot.png", "A 53683-2025")</f>
        <v/>
      </c>
      <c r="V834">
        <f>HYPERLINK("https://klasma.github.io/Logging_2260/klagomål/A 53683-2025 FSC-klagomål.docx", "A 53683-2025")</f>
        <v/>
      </c>
      <c r="W834">
        <f>HYPERLINK("https://klasma.github.io/Logging_2260/klagomålsmail/A 53683-2025 FSC-klagomål mail.docx", "A 53683-2025")</f>
        <v/>
      </c>
      <c r="X834">
        <f>HYPERLINK("https://klasma.github.io/Logging_2260/tillsyn/A 53683-2025 tillsynsbegäran.docx", "A 53683-2025")</f>
        <v/>
      </c>
      <c r="Y834">
        <f>HYPERLINK("https://klasma.github.io/Logging_2260/tillsynsmail/A 53683-2025 tillsynsbegäran mail.docx", "A 53683-2025")</f>
        <v/>
      </c>
      <c r="Z834">
        <f>HYPERLINK("https://klasma.github.io/Logging_2260/fåglar/A 53683-2025 prioriterade fågelarter.docx", "A 53683-2025")</f>
        <v/>
      </c>
    </row>
    <row r="835" ht="15" customHeight="1">
      <c r="A835" t="inlineStr">
        <is>
          <t>A 38060-2025</t>
        </is>
      </c>
      <c r="B835" s="1" t="n">
        <v>45882.42796296296</v>
      </c>
      <c r="C835" s="1" t="n">
        <v>46093</v>
      </c>
      <c r="D835" t="inlineStr">
        <is>
          <t>VÄSTERNORRLANDS LÄN</t>
        </is>
      </c>
      <c r="E835" t="inlineStr">
        <is>
          <t>SUNDSVALL</t>
        </is>
      </c>
      <c r="F835" t="inlineStr">
        <is>
          <t>SCA</t>
        </is>
      </c>
      <c r="G835" t="n">
        <v>5.1</v>
      </c>
      <c r="H835" t="n">
        <v>0</v>
      </c>
      <c r="I835" t="n">
        <v>1</v>
      </c>
      <c r="J835" t="n">
        <v>1</v>
      </c>
      <c r="K835" t="n">
        <v>0</v>
      </c>
      <c r="L835" t="n">
        <v>0</v>
      </c>
      <c r="M835" t="n">
        <v>0</v>
      </c>
      <c r="N835" t="n">
        <v>0</v>
      </c>
      <c r="O835" t="n">
        <v>1</v>
      </c>
      <c r="P835" t="n">
        <v>0</v>
      </c>
      <c r="Q835" t="n">
        <v>2</v>
      </c>
      <c r="R835" s="2" t="inlineStr">
        <is>
          <t>Ullticka
Vedticka</t>
        </is>
      </c>
      <c r="S835">
        <f>HYPERLINK("https://klasma.github.io/Logging_2281/artfynd/A 38060-2025 artfynd.xlsx", "A 38060-2025")</f>
        <v/>
      </c>
      <c r="T835">
        <f>HYPERLINK("https://klasma.github.io/Logging_2281/kartor/A 38060-2025 karta.png", "A 38060-2025")</f>
        <v/>
      </c>
      <c r="V835">
        <f>HYPERLINK("https://klasma.github.io/Logging_2281/klagomål/A 38060-2025 FSC-klagomål.docx", "A 38060-2025")</f>
        <v/>
      </c>
      <c r="W835">
        <f>HYPERLINK("https://klasma.github.io/Logging_2281/klagomålsmail/A 38060-2025 FSC-klagomål mail.docx", "A 38060-2025")</f>
        <v/>
      </c>
      <c r="X835">
        <f>HYPERLINK("https://klasma.github.io/Logging_2281/tillsyn/A 38060-2025 tillsynsbegäran.docx", "A 38060-2025")</f>
        <v/>
      </c>
      <c r="Y835">
        <f>HYPERLINK("https://klasma.github.io/Logging_2281/tillsynsmail/A 38060-2025 tillsynsbegäran mail.docx", "A 38060-2025")</f>
        <v/>
      </c>
    </row>
    <row r="836" ht="15" customHeight="1">
      <c r="A836" t="inlineStr">
        <is>
          <t>A 41090-2024</t>
        </is>
      </c>
      <c r="B836" s="1" t="n">
        <v>45559.42744212963</v>
      </c>
      <c r="C836" s="1" t="n">
        <v>46093</v>
      </c>
      <c r="D836" t="inlineStr">
        <is>
          <t>VÄSTERNORRLANDS LÄN</t>
        </is>
      </c>
      <c r="E836" t="inlineStr">
        <is>
          <t>SUNDSVALL</t>
        </is>
      </c>
      <c r="F836" t="inlineStr">
        <is>
          <t>SCA</t>
        </is>
      </c>
      <c r="G836" t="n">
        <v>1.7</v>
      </c>
      <c r="H836" t="n">
        <v>0</v>
      </c>
      <c r="I836" t="n">
        <v>1</v>
      </c>
      <c r="J836" t="n">
        <v>1</v>
      </c>
      <c r="K836" t="n">
        <v>0</v>
      </c>
      <c r="L836" t="n">
        <v>0</v>
      </c>
      <c r="M836" t="n">
        <v>0</v>
      </c>
      <c r="N836" t="n">
        <v>0</v>
      </c>
      <c r="O836" t="n">
        <v>1</v>
      </c>
      <c r="P836" t="n">
        <v>0</v>
      </c>
      <c r="Q836" t="n">
        <v>2</v>
      </c>
      <c r="R836" s="2" t="inlineStr">
        <is>
          <t>Lunglav
Stuplav</t>
        </is>
      </c>
      <c r="S836">
        <f>HYPERLINK("https://klasma.github.io/Logging_2281/artfynd/A 41090-2024 artfynd.xlsx", "A 41090-2024")</f>
        <v/>
      </c>
      <c r="T836">
        <f>HYPERLINK("https://klasma.github.io/Logging_2281/kartor/A 41090-2024 karta.png", "A 41090-2024")</f>
        <v/>
      </c>
      <c r="V836">
        <f>HYPERLINK("https://klasma.github.io/Logging_2281/klagomål/A 41090-2024 FSC-klagomål.docx", "A 41090-2024")</f>
        <v/>
      </c>
      <c r="W836">
        <f>HYPERLINK("https://klasma.github.io/Logging_2281/klagomålsmail/A 41090-2024 FSC-klagomål mail.docx", "A 41090-2024")</f>
        <v/>
      </c>
      <c r="X836">
        <f>HYPERLINK("https://klasma.github.io/Logging_2281/tillsyn/A 41090-2024 tillsynsbegäran.docx", "A 41090-2024")</f>
        <v/>
      </c>
      <c r="Y836">
        <f>HYPERLINK("https://klasma.github.io/Logging_2281/tillsynsmail/A 41090-2024 tillsynsbegäran mail.docx", "A 41090-2024")</f>
        <v/>
      </c>
    </row>
    <row r="837" ht="15" customHeight="1">
      <c r="A837" t="inlineStr">
        <is>
          <t>A 41784-2024</t>
        </is>
      </c>
      <c r="B837" s="1" t="n">
        <v>45561</v>
      </c>
      <c r="C837" s="1" t="n">
        <v>46093</v>
      </c>
      <c r="D837" t="inlineStr">
        <is>
          <t>VÄSTERNORRLANDS LÄN</t>
        </is>
      </c>
      <c r="E837" t="inlineStr">
        <is>
          <t>TIMRÅ</t>
        </is>
      </c>
      <c r="F837" t="inlineStr">
        <is>
          <t>SCA</t>
        </is>
      </c>
      <c r="G837" t="n">
        <v>10.7</v>
      </c>
      <c r="H837" t="n">
        <v>1</v>
      </c>
      <c r="I837" t="n">
        <v>0</v>
      </c>
      <c r="J837" t="n">
        <v>1</v>
      </c>
      <c r="K837" t="n">
        <v>1</v>
      </c>
      <c r="L837" t="n">
        <v>0</v>
      </c>
      <c r="M837" t="n">
        <v>0</v>
      </c>
      <c r="N837" t="n">
        <v>0</v>
      </c>
      <c r="O837" t="n">
        <v>2</v>
      </c>
      <c r="P837" t="n">
        <v>1</v>
      </c>
      <c r="Q837" t="n">
        <v>2</v>
      </c>
      <c r="R837" s="2" t="inlineStr">
        <is>
          <t>Knärot
Koralltaggsvamp</t>
        </is>
      </c>
      <c r="S837">
        <f>HYPERLINK("https://klasma.github.io/Logging_2262/artfynd/A 41784-2024 artfynd.xlsx", "A 41784-2024")</f>
        <v/>
      </c>
      <c r="T837">
        <f>HYPERLINK("https://klasma.github.io/Logging_2262/kartor/A 41784-2024 karta.png", "A 41784-2024")</f>
        <v/>
      </c>
      <c r="U837">
        <f>HYPERLINK("https://klasma.github.io/Logging_2262/knärot/A 41784-2024 karta knärot.png", "A 41784-2024")</f>
        <v/>
      </c>
      <c r="V837">
        <f>HYPERLINK("https://klasma.github.io/Logging_2262/klagomål/A 41784-2024 FSC-klagomål.docx", "A 41784-2024")</f>
        <v/>
      </c>
      <c r="W837">
        <f>HYPERLINK("https://klasma.github.io/Logging_2262/klagomålsmail/A 41784-2024 FSC-klagomål mail.docx", "A 41784-2024")</f>
        <v/>
      </c>
      <c r="X837">
        <f>HYPERLINK("https://klasma.github.io/Logging_2262/tillsyn/A 41784-2024 tillsynsbegäran.docx", "A 41784-2024")</f>
        <v/>
      </c>
      <c r="Y837">
        <f>HYPERLINK("https://klasma.github.io/Logging_2262/tillsynsmail/A 41784-2024 tillsynsbegäran mail.docx", "A 41784-2024")</f>
        <v/>
      </c>
    </row>
    <row r="838" ht="15" customHeight="1">
      <c r="A838" t="inlineStr">
        <is>
          <t>A 43413-2023</t>
        </is>
      </c>
      <c r="B838" s="1" t="n">
        <v>45183</v>
      </c>
      <c r="C838" s="1" t="n">
        <v>46093</v>
      </c>
      <c r="D838" t="inlineStr">
        <is>
          <t>VÄSTERNORRLANDS LÄN</t>
        </is>
      </c>
      <c r="E838" t="inlineStr">
        <is>
          <t>TIMRÅ</t>
        </is>
      </c>
      <c r="F838" t="inlineStr">
        <is>
          <t>SCA</t>
        </is>
      </c>
      <c r="G838" t="n">
        <v>4.1</v>
      </c>
      <c r="H838" t="n">
        <v>0</v>
      </c>
      <c r="I838" t="n">
        <v>0</v>
      </c>
      <c r="J838" t="n">
        <v>2</v>
      </c>
      <c r="K838" t="n">
        <v>0</v>
      </c>
      <c r="L838" t="n">
        <v>0</v>
      </c>
      <c r="M838" t="n">
        <v>0</v>
      </c>
      <c r="N838" t="n">
        <v>0</v>
      </c>
      <c r="O838" t="n">
        <v>2</v>
      </c>
      <c r="P838" t="n">
        <v>0</v>
      </c>
      <c r="Q838" t="n">
        <v>2</v>
      </c>
      <c r="R838" s="2" t="inlineStr">
        <is>
          <t>Garnlav
Harticka</t>
        </is>
      </c>
      <c r="S838">
        <f>HYPERLINK("https://klasma.github.io/Logging_2262/artfynd/A 43413-2023 artfynd.xlsx", "A 43413-2023")</f>
        <v/>
      </c>
      <c r="T838">
        <f>HYPERLINK("https://klasma.github.io/Logging_2262/kartor/A 43413-2023 karta.png", "A 43413-2023")</f>
        <v/>
      </c>
      <c r="V838">
        <f>HYPERLINK("https://klasma.github.io/Logging_2262/klagomål/A 43413-2023 FSC-klagomål.docx", "A 43413-2023")</f>
        <v/>
      </c>
      <c r="W838">
        <f>HYPERLINK("https://klasma.github.io/Logging_2262/klagomålsmail/A 43413-2023 FSC-klagomål mail.docx", "A 43413-2023")</f>
        <v/>
      </c>
      <c r="X838">
        <f>HYPERLINK("https://klasma.github.io/Logging_2262/tillsyn/A 43413-2023 tillsynsbegäran.docx", "A 43413-2023")</f>
        <v/>
      </c>
      <c r="Y838">
        <f>HYPERLINK("https://klasma.github.io/Logging_2262/tillsynsmail/A 43413-2023 tillsynsbegäran mail.docx", "A 43413-2023")</f>
        <v/>
      </c>
    </row>
    <row r="839" ht="15" customHeight="1">
      <c r="A839" t="inlineStr">
        <is>
          <t>A 45841-2025</t>
        </is>
      </c>
      <c r="B839" s="1" t="n">
        <v>45923</v>
      </c>
      <c r="C839" s="1" t="n">
        <v>46093</v>
      </c>
      <c r="D839" t="inlineStr">
        <is>
          <t>VÄSTERNORRLANDS LÄN</t>
        </is>
      </c>
      <c r="E839" t="inlineStr">
        <is>
          <t>SUNDSVALL</t>
        </is>
      </c>
      <c r="F839" t="inlineStr">
        <is>
          <t>SCA</t>
        </is>
      </c>
      <c r="G839" t="n">
        <v>16.5</v>
      </c>
      <c r="H839" t="n">
        <v>2</v>
      </c>
      <c r="I839" t="n">
        <v>0</v>
      </c>
      <c r="J839" t="n">
        <v>1</v>
      </c>
      <c r="K839" t="n">
        <v>1</v>
      </c>
      <c r="L839" t="n">
        <v>0</v>
      </c>
      <c r="M839" t="n">
        <v>0</v>
      </c>
      <c r="N839" t="n">
        <v>0</v>
      </c>
      <c r="O839" t="n">
        <v>2</v>
      </c>
      <c r="P839" t="n">
        <v>1</v>
      </c>
      <c r="Q839" t="n">
        <v>2</v>
      </c>
      <c r="R839" s="2" t="inlineStr">
        <is>
          <t>Knärot
Tretåig hackspett</t>
        </is>
      </c>
      <c r="S839">
        <f>HYPERLINK("https://klasma.github.io/Logging_2281/artfynd/A 45841-2025 artfynd.xlsx", "A 45841-2025")</f>
        <v/>
      </c>
      <c r="T839">
        <f>HYPERLINK("https://klasma.github.io/Logging_2281/kartor/A 45841-2025 karta.png", "A 45841-2025")</f>
        <v/>
      </c>
      <c r="U839">
        <f>HYPERLINK("https://klasma.github.io/Logging_2281/knärot/A 45841-2025 karta knärot.png", "A 45841-2025")</f>
        <v/>
      </c>
      <c r="V839">
        <f>HYPERLINK("https://klasma.github.io/Logging_2281/klagomål/A 45841-2025 FSC-klagomål.docx", "A 45841-2025")</f>
        <v/>
      </c>
      <c r="W839">
        <f>HYPERLINK("https://klasma.github.io/Logging_2281/klagomålsmail/A 45841-2025 FSC-klagomål mail.docx", "A 45841-2025")</f>
        <v/>
      </c>
      <c r="X839">
        <f>HYPERLINK("https://klasma.github.io/Logging_2281/tillsyn/A 45841-2025 tillsynsbegäran.docx", "A 45841-2025")</f>
        <v/>
      </c>
      <c r="Y839">
        <f>HYPERLINK("https://klasma.github.io/Logging_2281/tillsynsmail/A 45841-2025 tillsynsbegäran mail.docx", "A 45841-2025")</f>
        <v/>
      </c>
      <c r="Z839">
        <f>HYPERLINK("https://klasma.github.io/Logging_2281/fåglar/A 45841-2025 prioriterade fågelarter.docx", "A 45841-2025")</f>
        <v/>
      </c>
    </row>
    <row r="840" ht="15" customHeight="1">
      <c r="A840" t="inlineStr">
        <is>
          <t>A 54669-2025</t>
        </is>
      </c>
      <c r="B840" s="1" t="n">
        <v>45966.40872685185</v>
      </c>
      <c r="C840" s="1" t="n">
        <v>46093</v>
      </c>
      <c r="D840" t="inlineStr">
        <is>
          <t>VÄSTERNORRLANDS LÄN</t>
        </is>
      </c>
      <c r="E840" t="inlineStr">
        <is>
          <t>SUNDSVALL</t>
        </is>
      </c>
      <c r="G840" t="n">
        <v>4</v>
      </c>
      <c r="H840" t="n">
        <v>0</v>
      </c>
      <c r="I840" t="n">
        <v>0</v>
      </c>
      <c r="J840" t="n">
        <v>2</v>
      </c>
      <c r="K840" t="n">
        <v>0</v>
      </c>
      <c r="L840" t="n">
        <v>0</v>
      </c>
      <c r="M840" t="n">
        <v>0</v>
      </c>
      <c r="N840" t="n">
        <v>0</v>
      </c>
      <c r="O840" t="n">
        <v>2</v>
      </c>
      <c r="P840" t="n">
        <v>0</v>
      </c>
      <c r="Q840" t="n">
        <v>2</v>
      </c>
      <c r="R840" s="2" t="inlineStr">
        <is>
          <t>Garnlav
Vitgrynig nållav</t>
        </is>
      </c>
      <c r="S840">
        <f>HYPERLINK("https://klasma.github.io/Logging_2281/artfynd/A 54669-2025 artfynd.xlsx", "A 54669-2025")</f>
        <v/>
      </c>
      <c r="T840">
        <f>HYPERLINK("https://klasma.github.io/Logging_2281/kartor/A 54669-2025 karta.png", "A 54669-2025")</f>
        <v/>
      </c>
      <c r="V840">
        <f>HYPERLINK("https://klasma.github.io/Logging_2281/klagomål/A 54669-2025 FSC-klagomål.docx", "A 54669-2025")</f>
        <v/>
      </c>
      <c r="W840">
        <f>HYPERLINK("https://klasma.github.io/Logging_2281/klagomålsmail/A 54669-2025 FSC-klagomål mail.docx", "A 54669-2025")</f>
        <v/>
      </c>
      <c r="X840">
        <f>HYPERLINK("https://klasma.github.io/Logging_2281/tillsyn/A 54669-2025 tillsynsbegäran.docx", "A 54669-2025")</f>
        <v/>
      </c>
      <c r="Y840">
        <f>HYPERLINK("https://klasma.github.io/Logging_2281/tillsynsmail/A 54669-2025 tillsynsbegäran mail.docx", "A 54669-2025")</f>
        <v/>
      </c>
    </row>
    <row r="841" ht="15" customHeight="1">
      <c r="A841" t="inlineStr">
        <is>
          <t>A 38298-2025</t>
        </is>
      </c>
      <c r="B841" s="1" t="n">
        <v>45883.4568287037</v>
      </c>
      <c r="C841" s="1" t="n">
        <v>46093</v>
      </c>
      <c r="D841" t="inlineStr">
        <is>
          <t>VÄSTERNORRLANDS LÄN</t>
        </is>
      </c>
      <c r="E841" t="inlineStr">
        <is>
          <t>ÅNGE</t>
        </is>
      </c>
      <c r="G841" t="n">
        <v>4.5</v>
      </c>
      <c r="H841" t="n">
        <v>0</v>
      </c>
      <c r="I841" t="n">
        <v>0</v>
      </c>
      <c r="J841" t="n">
        <v>2</v>
      </c>
      <c r="K841" t="n">
        <v>0</v>
      </c>
      <c r="L841" t="n">
        <v>0</v>
      </c>
      <c r="M841" t="n">
        <v>0</v>
      </c>
      <c r="N841" t="n">
        <v>0</v>
      </c>
      <c r="O841" t="n">
        <v>2</v>
      </c>
      <c r="P841" t="n">
        <v>0</v>
      </c>
      <c r="Q841" t="n">
        <v>2</v>
      </c>
      <c r="R841" s="2" t="inlineStr">
        <is>
          <t>Kolflarnlav
Lunglav</t>
        </is>
      </c>
      <c r="S841">
        <f>HYPERLINK("https://klasma.github.io/Logging_2260/artfynd/A 38298-2025 artfynd.xlsx", "A 38298-2025")</f>
        <v/>
      </c>
      <c r="T841">
        <f>HYPERLINK("https://klasma.github.io/Logging_2260/kartor/A 38298-2025 karta.png", "A 38298-2025")</f>
        <v/>
      </c>
      <c r="V841">
        <f>HYPERLINK("https://klasma.github.io/Logging_2260/klagomål/A 38298-2025 FSC-klagomål.docx", "A 38298-2025")</f>
        <v/>
      </c>
      <c r="W841">
        <f>HYPERLINK("https://klasma.github.io/Logging_2260/klagomålsmail/A 38298-2025 FSC-klagomål mail.docx", "A 38298-2025")</f>
        <v/>
      </c>
      <c r="X841">
        <f>HYPERLINK("https://klasma.github.io/Logging_2260/tillsyn/A 38298-2025 tillsynsbegäran.docx", "A 38298-2025")</f>
        <v/>
      </c>
      <c r="Y841">
        <f>HYPERLINK("https://klasma.github.io/Logging_2260/tillsynsmail/A 38298-2025 tillsynsbegäran mail.docx", "A 38298-2025")</f>
        <v/>
      </c>
    </row>
    <row r="842" ht="15" customHeight="1">
      <c r="A842" t="inlineStr">
        <is>
          <t>A 54625-2025</t>
        </is>
      </c>
      <c r="B842" s="1" t="n">
        <v>45966.34552083333</v>
      </c>
      <c r="C842" s="1" t="n">
        <v>46093</v>
      </c>
      <c r="D842" t="inlineStr">
        <is>
          <t>VÄSTERNORRLANDS LÄN</t>
        </is>
      </c>
      <c r="E842" t="inlineStr">
        <is>
          <t>ÅNGE</t>
        </is>
      </c>
      <c r="F842" t="inlineStr">
        <is>
          <t>SCA</t>
        </is>
      </c>
      <c r="G842" t="n">
        <v>2.5</v>
      </c>
      <c r="H842" t="n">
        <v>1</v>
      </c>
      <c r="I842" t="n">
        <v>1</v>
      </c>
      <c r="J842" t="n">
        <v>1</v>
      </c>
      <c r="K842" t="n">
        <v>0</v>
      </c>
      <c r="L842" t="n">
        <v>0</v>
      </c>
      <c r="M842" t="n">
        <v>0</v>
      </c>
      <c r="N842" t="n">
        <v>0</v>
      </c>
      <c r="O842" t="n">
        <v>1</v>
      </c>
      <c r="P842" t="n">
        <v>0</v>
      </c>
      <c r="Q842" t="n">
        <v>2</v>
      </c>
      <c r="R842" s="2" t="inlineStr">
        <is>
          <t>Talltita
Dropptaggsvamp</t>
        </is>
      </c>
      <c r="S842">
        <f>HYPERLINK("https://klasma.github.io/Logging_2260/artfynd/A 54625-2025 artfynd.xlsx", "A 54625-2025")</f>
        <v/>
      </c>
      <c r="T842">
        <f>HYPERLINK("https://klasma.github.io/Logging_2260/kartor/A 54625-2025 karta.png", "A 54625-2025")</f>
        <v/>
      </c>
      <c r="V842">
        <f>HYPERLINK("https://klasma.github.io/Logging_2260/klagomål/A 54625-2025 FSC-klagomål.docx", "A 54625-2025")</f>
        <v/>
      </c>
      <c r="W842">
        <f>HYPERLINK("https://klasma.github.io/Logging_2260/klagomålsmail/A 54625-2025 FSC-klagomål mail.docx", "A 54625-2025")</f>
        <v/>
      </c>
      <c r="X842">
        <f>HYPERLINK("https://klasma.github.io/Logging_2260/tillsyn/A 54625-2025 tillsynsbegäran.docx", "A 54625-2025")</f>
        <v/>
      </c>
      <c r="Y842">
        <f>HYPERLINK("https://klasma.github.io/Logging_2260/tillsynsmail/A 54625-2025 tillsynsbegäran mail.docx", "A 54625-2025")</f>
        <v/>
      </c>
      <c r="Z842">
        <f>HYPERLINK("https://klasma.github.io/Logging_2260/fåglar/A 54625-2025 prioriterade fågelarter.docx", "A 54625-2025")</f>
        <v/>
      </c>
    </row>
    <row r="843" ht="15" customHeight="1">
      <c r="A843" t="inlineStr">
        <is>
          <t>A 24202-2024</t>
        </is>
      </c>
      <c r="B843" s="1" t="n">
        <v>45456.9669212963</v>
      </c>
      <c r="C843" s="1" t="n">
        <v>46093</v>
      </c>
      <c r="D843" t="inlineStr">
        <is>
          <t>VÄSTERNORRLANDS LÄN</t>
        </is>
      </c>
      <c r="E843" t="inlineStr">
        <is>
          <t>HÄRNÖSAND</t>
        </is>
      </c>
      <c r="F843" t="inlineStr">
        <is>
          <t>SCA</t>
        </is>
      </c>
      <c r="G843" t="n">
        <v>2.2</v>
      </c>
      <c r="H843" t="n">
        <v>0</v>
      </c>
      <c r="I843" t="n">
        <v>0</v>
      </c>
      <c r="J843" t="n">
        <v>2</v>
      </c>
      <c r="K843" t="n">
        <v>0</v>
      </c>
      <c r="L843" t="n">
        <v>0</v>
      </c>
      <c r="M843" t="n">
        <v>0</v>
      </c>
      <c r="N843" t="n">
        <v>0</v>
      </c>
      <c r="O843" t="n">
        <v>2</v>
      </c>
      <c r="P843" t="n">
        <v>0</v>
      </c>
      <c r="Q843" t="n">
        <v>2</v>
      </c>
      <c r="R843" s="2" t="inlineStr">
        <is>
          <t>Garnlav
Granticka</t>
        </is>
      </c>
      <c r="S843">
        <f>HYPERLINK("https://klasma.github.io/Logging_2280/artfynd/A 24202-2024 artfynd.xlsx", "A 24202-2024")</f>
        <v/>
      </c>
      <c r="T843">
        <f>HYPERLINK("https://klasma.github.io/Logging_2280/kartor/A 24202-2024 karta.png", "A 24202-2024")</f>
        <v/>
      </c>
      <c r="V843">
        <f>HYPERLINK("https://klasma.github.io/Logging_2280/klagomål/A 24202-2024 FSC-klagomål.docx", "A 24202-2024")</f>
        <v/>
      </c>
      <c r="W843">
        <f>HYPERLINK("https://klasma.github.io/Logging_2280/klagomålsmail/A 24202-2024 FSC-klagomål mail.docx", "A 24202-2024")</f>
        <v/>
      </c>
      <c r="X843">
        <f>HYPERLINK("https://klasma.github.io/Logging_2280/tillsyn/A 24202-2024 tillsynsbegäran.docx", "A 24202-2024")</f>
        <v/>
      </c>
      <c r="Y843">
        <f>HYPERLINK("https://klasma.github.io/Logging_2280/tillsynsmail/A 24202-2024 tillsynsbegäran mail.docx", "A 24202-2024")</f>
        <v/>
      </c>
    </row>
    <row r="844" ht="15" customHeight="1">
      <c r="A844" t="inlineStr">
        <is>
          <t>A 38017-2024</t>
        </is>
      </c>
      <c r="B844" s="1" t="n">
        <v>45544</v>
      </c>
      <c r="C844" s="1" t="n">
        <v>46093</v>
      </c>
      <c r="D844" t="inlineStr">
        <is>
          <t>VÄSTERNORRLANDS LÄN</t>
        </is>
      </c>
      <c r="E844" t="inlineStr">
        <is>
          <t>SOLLEFTEÅ</t>
        </is>
      </c>
      <c r="F844" t="inlineStr">
        <is>
          <t>SCA</t>
        </is>
      </c>
      <c r="G844" t="n">
        <v>1.9</v>
      </c>
      <c r="H844" t="n">
        <v>0</v>
      </c>
      <c r="I844" t="n">
        <v>1</v>
      </c>
      <c r="J844" t="n">
        <v>1</v>
      </c>
      <c r="K844" t="n">
        <v>0</v>
      </c>
      <c r="L844" t="n">
        <v>0</v>
      </c>
      <c r="M844" t="n">
        <v>0</v>
      </c>
      <c r="N844" t="n">
        <v>0</v>
      </c>
      <c r="O844" t="n">
        <v>1</v>
      </c>
      <c r="P844" t="n">
        <v>0</v>
      </c>
      <c r="Q844" t="n">
        <v>2</v>
      </c>
      <c r="R844" s="2" t="inlineStr">
        <is>
          <t>Garnlav
Bårdlav</t>
        </is>
      </c>
      <c r="S844">
        <f>HYPERLINK("https://klasma.github.io/Logging_2283/artfynd/A 38017-2024 artfynd.xlsx", "A 38017-2024")</f>
        <v/>
      </c>
      <c r="T844">
        <f>HYPERLINK("https://klasma.github.io/Logging_2283/kartor/A 38017-2024 karta.png", "A 38017-2024")</f>
        <v/>
      </c>
      <c r="V844">
        <f>HYPERLINK("https://klasma.github.io/Logging_2283/klagomål/A 38017-2024 FSC-klagomål.docx", "A 38017-2024")</f>
        <v/>
      </c>
      <c r="W844">
        <f>HYPERLINK("https://klasma.github.io/Logging_2283/klagomålsmail/A 38017-2024 FSC-klagomål mail.docx", "A 38017-2024")</f>
        <v/>
      </c>
      <c r="X844">
        <f>HYPERLINK("https://klasma.github.io/Logging_2283/tillsyn/A 38017-2024 tillsynsbegäran.docx", "A 38017-2024")</f>
        <v/>
      </c>
      <c r="Y844">
        <f>HYPERLINK("https://klasma.github.io/Logging_2283/tillsynsmail/A 38017-2024 tillsynsbegäran mail.docx", "A 38017-2024")</f>
        <v/>
      </c>
    </row>
    <row r="845" ht="15" customHeight="1">
      <c r="A845" t="inlineStr">
        <is>
          <t>A 54964-2025</t>
        </is>
      </c>
      <c r="B845" s="1" t="n">
        <v>45967.4900462963</v>
      </c>
      <c r="C845" s="1" t="n">
        <v>46093</v>
      </c>
      <c r="D845" t="inlineStr">
        <is>
          <t>VÄSTERNORRLANDS LÄN</t>
        </is>
      </c>
      <c r="E845" t="inlineStr">
        <is>
          <t>HÄRNÖSAND</t>
        </is>
      </c>
      <c r="F845" t="inlineStr">
        <is>
          <t>SCA</t>
        </is>
      </c>
      <c r="G845" t="n">
        <v>7.2</v>
      </c>
      <c r="H845" t="n">
        <v>0</v>
      </c>
      <c r="I845" t="n">
        <v>0</v>
      </c>
      <c r="J845" t="n">
        <v>2</v>
      </c>
      <c r="K845" t="n">
        <v>0</v>
      </c>
      <c r="L845" t="n">
        <v>0</v>
      </c>
      <c r="M845" t="n">
        <v>0</v>
      </c>
      <c r="N845" t="n">
        <v>0</v>
      </c>
      <c r="O845" t="n">
        <v>2</v>
      </c>
      <c r="P845" t="n">
        <v>0</v>
      </c>
      <c r="Q845" t="n">
        <v>2</v>
      </c>
      <c r="R845" s="2" t="inlineStr">
        <is>
          <t>Gammelgransskål
Garnlav</t>
        </is>
      </c>
      <c r="S845">
        <f>HYPERLINK("https://klasma.github.io/Logging_2280/artfynd/A 54964-2025 artfynd.xlsx", "A 54964-2025")</f>
        <v/>
      </c>
      <c r="T845">
        <f>HYPERLINK("https://klasma.github.io/Logging_2280/kartor/A 54964-2025 karta.png", "A 54964-2025")</f>
        <v/>
      </c>
      <c r="V845">
        <f>HYPERLINK("https://klasma.github.io/Logging_2280/klagomål/A 54964-2025 FSC-klagomål.docx", "A 54964-2025")</f>
        <v/>
      </c>
      <c r="W845">
        <f>HYPERLINK("https://klasma.github.io/Logging_2280/klagomålsmail/A 54964-2025 FSC-klagomål mail.docx", "A 54964-2025")</f>
        <v/>
      </c>
      <c r="X845">
        <f>HYPERLINK("https://klasma.github.io/Logging_2280/tillsyn/A 54964-2025 tillsynsbegäran.docx", "A 54964-2025")</f>
        <v/>
      </c>
      <c r="Y845">
        <f>HYPERLINK("https://klasma.github.io/Logging_2280/tillsynsmail/A 54964-2025 tillsynsbegäran mail.docx", "A 54964-2025")</f>
        <v/>
      </c>
    </row>
    <row r="846" ht="15" customHeight="1">
      <c r="A846" t="inlineStr">
        <is>
          <t>A 53949-2023</t>
        </is>
      </c>
      <c r="B846" s="1" t="n">
        <v>45224</v>
      </c>
      <c r="C846" s="1" t="n">
        <v>46093</v>
      </c>
      <c r="D846" t="inlineStr">
        <is>
          <t>VÄSTERNORRLANDS LÄN</t>
        </is>
      </c>
      <c r="E846" t="inlineStr">
        <is>
          <t>SOLLEFTEÅ</t>
        </is>
      </c>
      <c r="G846" t="n">
        <v>4</v>
      </c>
      <c r="H846" t="n">
        <v>1</v>
      </c>
      <c r="I846" t="n">
        <v>0</v>
      </c>
      <c r="J846" t="n">
        <v>1</v>
      </c>
      <c r="K846" t="n">
        <v>0</v>
      </c>
      <c r="L846" t="n">
        <v>0</v>
      </c>
      <c r="M846" t="n">
        <v>0</v>
      </c>
      <c r="N846" t="n">
        <v>0</v>
      </c>
      <c r="O846" t="n">
        <v>1</v>
      </c>
      <c r="P846" t="n">
        <v>0</v>
      </c>
      <c r="Q846" t="n">
        <v>2</v>
      </c>
      <c r="R846" s="2" t="inlineStr">
        <is>
          <t>Granticka
Fläcknycklar</t>
        </is>
      </c>
      <c r="S846">
        <f>HYPERLINK("https://klasma.github.io/Logging_2283/artfynd/A 53949-2023 artfynd.xlsx", "A 53949-2023")</f>
        <v/>
      </c>
      <c r="T846">
        <f>HYPERLINK("https://klasma.github.io/Logging_2283/kartor/A 53949-2023 karta.png", "A 53949-2023")</f>
        <v/>
      </c>
      <c r="V846">
        <f>HYPERLINK("https://klasma.github.io/Logging_2283/klagomål/A 53949-2023 FSC-klagomål.docx", "A 53949-2023")</f>
        <v/>
      </c>
      <c r="W846">
        <f>HYPERLINK("https://klasma.github.io/Logging_2283/klagomålsmail/A 53949-2023 FSC-klagomål mail.docx", "A 53949-2023")</f>
        <v/>
      </c>
      <c r="X846">
        <f>HYPERLINK("https://klasma.github.io/Logging_2283/tillsyn/A 53949-2023 tillsynsbegäran.docx", "A 53949-2023")</f>
        <v/>
      </c>
      <c r="Y846">
        <f>HYPERLINK("https://klasma.github.io/Logging_2283/tillsynsmail/A 53949-2023 tillsynsbegäran mail.docx", "A 53949-2023")</f>
        <v/>
      </c>
    </row>
    <row r="847" ht="15" customHeight="1">
      <c r="A847" t="inlineStr">
        <is>
          <t>A 20329-2025</t>
        </is>
      </c>
      <c r="B847" s="1" t="n">
        <v>45775</v>
      </c>
      <c r="C847" s="1" t="n">
        <v>46093</v>
      </c>
      <c r="D847" t="inlineStr">
        <is>
          <t>VÄSTERNORRLANDS LÄN</t>
        </is>
      </c>
      <c r="E847" t="inlineStr">
        <is>
          <t>SOLLEFTEÅ</t>
        </is>
      </c>
      <c r="G847" t="n">
        <v>9.5</v>
      </c>
      <c r="H847" t="n">
        <v>2</v>
      </c>
      <c r="I847" t="n">
        <v>1</v>
      </c>
      <c r="J847" t="n">
        <v>0</v>
      </c>
      <c r="K847" t="n">
        <v>0</v>
      </c>
      <c r="L847" t="n">
        <v>0</v>
      </c>
      <c r="M847" t="n">
        <v>0</v>
      </c>
      <c r="N847" t="n">
        <v>0</v>
      </c>
      <c r="O847" t="n">
        <v>0</v>
      </c>
      <c r="P847" t="n">
        <v>0</v>
      </c>
      <c r="Q847" t="n">
        <v>2</v>
      </c>
      <c r="R847" s="2" t="inlineStr">
        <is>
          <t>Tvåblad
Fläcknycklar</t>
        </is>
      </c>
      <c r="S847">
        <f>HYPERLINK("https://klasma.github.io/Logging_2283/artfynd/A 20329-2025 artfynd.xlsx", "A 20329-2025")</f>
        <v/>
      </c>
      <c r="T847">
        <f>HYPERLINK("https://klasma.github.io/Logging_2283/kartor/A 20329-2025 karta.png", "A 20329-2025")</f>
        <v/>
      </c>
      <c r="V847">
        <f>HYPERLINK("https://klasma.github.io/Logging_2283/klagomål/A 20329-2025 FSC-klagomål.docx", "A 20329-2025")</f>
        <v/>
      </c>
      <c r="W847">
        <f>HYPERLINK("https://klasma.github.io/Logging_2283/klagomålsmail/A 20329-2025 FSC-klagomål mail.docx", "A 20329-2025")</f>
        <v/>
      </c>
      <c r="X847">
        <f>HYPERLINK("https://klasma.github.io/Logging_2283/tillsyn/A 20329-2025 tillsynsbegäran.docx", "A 20329-2025")</f>
        <v/>
      </c>
      <c r="Y847">
        <f>HYPERLINK("https://klasma.github.io/Logging_2283/tillsynsmail/A 20329-2025 tillsynsbegäran mail.docx", "A 20329-2025")</f>
        <v/>
      </c>
    </row>
    <row r="848" ht="15" customHeight="1">
      <c r="A848" t="inlineStr">
        <is>
          <t>A 55845-2025</t>
        </is>
      </c>
      <c r="B848" s="1" t="n">
        <v>45973.31390046296</v>
      </c>
      <c r="C848" s="1" t="n">
        <v>46093</v>
      </c>
      <c r="D848" t="inlineStr">
        <is>
          <t>VÄSTERNORRLANDS LÄN</t>
        </is>
      </c>
      <c r="E848" t="inlineStr">
        <is>
          <t>KRAMFORS</t>
        </is>
      </c>
      <c r="G848" t="n">
        <v>4.7</v>
      </c>
      <c r="H848" t="n">
        <v>0</v>
      </c>
      <c r="I848" t="n">
        <v>2</v>
      </c>
      <c r="J848" t="n">
        <v>0</v>
      </c>
      <c r="K848" t="n">
        <v>0</v>
      </c>
      <c r="L848" t="n">
        <v>0</v>
      </c>
      <c r="M848" t="n">
        <v>0</v>
      </c>
      <c r="N848" t="n">
        <v>0</v>
      </c>
      <c r="O848" t="n">
        <v>0</v>
      </c>
      <c r="P848" t="n">
        <v>0</v>
      </c>
      <c r="Q848" t="n">
        <v>2</v>
      </c>
      <c r="R848" s="2" t="inlineStr">
        <is>
          <t>Stor aspticka
Vedticka</t>
        </is>
      </c>
      <c r="S848">
        <f>HYPERLINK("https://klasma.github.io/Logging_2282/artfynd/A 55845-2025 artfynd.xlsx", "A 55845-2025")</f>
        <v/>
      </c>
      <c r="T848">
        <f>HYPERLINK("https://klasma.github.io/Logging_2282/kartor/A 55845-2025 karta.png", "A 55845-2025")</f>
        <v/>
      </c>
      <c r="V848">
        <f>HYPERLINK("https://klasma.github.io/Logging_2282/klagomål/A 55845-2025 FSC-klagomål.docx", "A 55845-2025")</f>
        <v/>
      </c>
      <c r="W848">
        <f>HYPERLINK("https://klasma.github.io/Logging_2282/klagomålsmail/A 55845-2025 FSC-klagomål mail.docx", "A 55845-2025")</f>
        <v/>
      </c>
      <c r="X848">
        <f>HYPERLINK("https://klasma.github.io/Logging_2282/tillsyn/A 55845-2025 tillsynsbegäran.docx", "A 55845-2025")</f>
        <v/>
      </c>
      <c r="Y848">
        <f>HYPERLINK("https://klasma.github.io/Logging_2282/tillsynsmail/A 55845-2025 tillsynsbegäran mail.docx", "A 55845-2025")</f>
        <v/>
      </c>
    </row>
    <row r="849" ht="15" customHeight="1">
      <c r="A849" t="inlineStr">
        <is>
          <t>A 27983-2021</t>
        </is>
      </c>
      <c r="B849" s="1" t="n">
        <v>44354</v>
      </c>
      <c r="C849" s="1" t="n">
        <v>46093</v>
      </c>
      <c r="D849" t="inlineStr">
        <is>
          <t>VÄSTERNORRLANDS LÄN</t>
        </is>
      </c>
      <c r="E849" t="inlineStr">
        <is>
          <t>SOLLEFTEÅ</t>
        </is>
      </c>
      <c r="F849" t="inlineStr">
        <is>
          <t>SCA</t>
        </is>
      </c>
      <c r="G849" t="n">
        <v>5.4</v>
      </c>
      <c r="H849" t="n">
        <v>0</v>
      </c>
      <c r="I849" t="n">
        <v>0</v>
      </c>
      <c r="J849" t="n">
        <v>2</v>
      </c>
      <c r="K849" t="n">
        <v>0</v>
      </c>
      <c r="L849" t="n">
        <v>0</v>
      </c>
      <c r="M849" t="n">
        <v>0</v>
      </c>
      <c r="N849" t="n">
        <v>0</v>
      </c>
      <c r="O849" t="n">
        <v>2</v>
      </c>
      <c r="P849" t="n">
        <v>0</v>
      </c>
      <c r="Q849" t="n">
        <v>2</v>
      </c>
      <c r="R849" s="2" t="inlineStr">
        <is>
          <t>Rosenticka
Ullticka</t>
        </is>
      </c>
      <c r="S849">
        <f>HYPERLINK("https://klasma.github.io/Logging_2283/artfynd/A 27983-2021 artfynd.xlsx", "A 27983-2021")</f>
        <v/>
      </c>
      <c r="T849">
        <f>HYPERLINK("https://klasma.github.io/Logging_2283/kartor/A 27983-2021 karta.png", "A 27983-2021")</f>
        <v/>
      </c>
      <c r="V849">
        <f>HYPERLINK("https://klasma.github.io/Logging_2283/klagomål/A 27983-2021 FSC-klagomål.docx", "A 27983-2021")</f>
        <v/>
      </c>
      <c r="W849">
        <f>HYPERLINK("https://klasma.github.io/Logging_2283/klagomålsmail/A 27983-2021 FSC-klagomål mail.docx", "A 27983-2021")</f>
        <v/>
      </c>
      <c r="X849">
        <f>HYPERLINK("https://klasma.github.io/Logging_2283/tillsyn/A 27983-2021 tillsynsbegäran.docx", "A 27983-2021")</f>
        <v/>
      </c>
      <c r="Y849">
        <f>HYPERLINK("https://klasma.github.io/Logging_2283/tillsynsmail/A 27983-2021 tillsynsbegäran mail.docx", "A 27983-2021")</f>
        <v/>
      </c>
    </row>
    <row r="850" ht="15" customHeight="1">
      <c r="A850" t="inlineStr">
        <is>
          <t>A 31491-2024</t>
        </is>
      </c>
      <c r="B850" s="1" t="n">
        <v>45505</v>
      </c>
      <c r="C850" s="1" t="n">
        <v>46093</v>
      </c>
      <c r="D850" t="inlineStr">
        <is>
          <t>VÄSTERNORRLANDS LÄN</t>
        </is>
      </c>
      <c r="E850" t="inlineStr">
        <is>
          <t>SOLLEFTEÅ</t>
        </is>
      </c>
      <c r="F850" t="inlineStr">
        <is>
          <t>SCA</t>
        </is>
      </c>
      <c r="G850" t="n">
        <v>17.2</v>
      </c>
      <c r="H850" t="n">
        <v>1</v>
      </c>
      <c r="I850" t="n">
        <v>0</v>
      </c>
      <c r="J850" t="n">
        <v>2</v>
      </c>
      <c r="K850" t="n">
        <v>0</v>
      </c>
      <c r="L850" t="n">
        <v>0</v>
      </c>
      <c r="M850" t="n">
        <v>0</v>
      </c>
      <c r="N850" t="n">
        <v>0</v>
      </c>
      <c r="O850" t="n">
        <v>2</v>
      </c>
      <c r="P850" t="n">
        <v>0</v>
      </c>
      <c r="Q850" t="n">
        <v>2</v>
      </c>
      <c r="R850" s="2" t="inlineStr">
        <is>
          <t>Lunglav
Tretåig hackspett</t>
        </is>
      </c>
      <c r="S850">
        <f>HYPERLINK("https://klasma.github.io/Logging_2283/artfynd/A 31491-2024 artfynd.xlsx", "A 31491-2024")</f>
        <v/>
      </c>
      <c r="T850">
        <f>HYPERLINK("https://klasma.github.io/Logging_2283/kartor/A 31491-2024 karta.png", "A 31491-2024")</f>
        <v/>
      </c>
      <c r="V850">
        <f>HYPERLINK("https://klasma.github.io/Logging_2283/klagomål/A 31491-2024 FSC-klagomål.docx", "A 31491-2024")</f>
        <v/>
      </c>
      <c r="W850">
        <f>HYPERLINK("https://klasma.github.io/Logging_2283/klagomålsmail/A 31491-2024 FSC-klagomål mail.docx", "A 31491-2024")</f>
        <v/>
      </c>
      <c r="X850">
        <f>HYPERLINK("https://klasma.github.io/Logging_2283/tillsyn/A 31491-2024 tillsynsbegäran.docx", "A 31491-2024")</f>
        <v/>
      </c>
      <c r="Y850">
        <f>HYPERLINK("https://klasma.github.io/Logging_2283/tillsynsmail/A 31491-2024 tillsynsbegäran mail.docx", "A 31491-2024")</f>
        <v/>
      </c>
      <c r="Z850">
        <f>HYPERLINK("https://klasma.github.io/Logging_2283/fåglar/A 31491-2024 prioriterade fågelarter.docx", "A 31491-2024")</f>
        <v/>
      </c>
    </row>
    <row r="851" ht="15" customHeight="1">
      <c r="A851" t="inlineStr">
        <is>
          <t>A 14725-2024</t>
        </is>
      </c>
      <c r="B851" s="1" t="n">
        <v>45397</v>
      </c>
      <c r="C851" s="1" t="n">
        <v>46093</v>
      </c>
      <c r="D851" t="inlineStr">
        <is>
          <t>VÄSTERNORRLANDS LÄN</t>
        </is>
      </c>
      <c r="E851" t="inlineStr">
        <is>
          <t>SUNDSVALL</t>
        </is>
      </c>
      <c r="G851" t="n">
        <v>6.9</v>
      </c>
      <c r="H851" t="n">
        <v>1</v>
      </c>
      <c r="I851" t="n">
        <v>1</v>
      </c>
      <c r="J851" t="n">
        <v>0</v>
      </c>
      <c r="K851" t="n">
        <v>1</v>
      </c>
      <c r="L851" t="n">
        <v>0</v>
      </c>
      <c r="M851" t="n">
        <v>0</v>
      </c>
      <c r="N851" t="n">
        <v>0</v>
      </c>
      <c r="O851" t="n">
        <v>1</v>
      </c>
      <c r="P851" t="n">
        <v>1</v>
      </c>
      <c r="Q851" t="n">
        <v>2</v>
      </c>
      <c r="R851" s="2" t="inlineStr">
        <is>
          <t>Knärot
Blodticka</t>
        </is>
      </c>
      <c r="S851">
        <f>HYPERLINK("https://klasma.github.io/Logging_2281/artfynd/A 14725-2024 artfynd.xlsx", "A 14725-2024")</f>
        <v/>
      </c>
      <c r="T851">
        <f>HYPERLINK("https://klasma.github.io/Logging_2281/kartor/A 14725-2024 karta.png", "A 14725-2024")</f>
        <v/>
      </c>
      <c r="U851">
        <f>HYPERLINK("https://klasma.github.io/Logging_2281/knärot/A 14725-2024 karta knärot.png", "A 14725-2024")</f>
        <v/>
      </c>
      <c r="V851">
        <f>HYPERLINK("https://klasma.github.io/Logging_2281/klagomål/A 14725-2024 FSC-klagomål.docx", "A 14725-2024")</f>
        <v/>
      </c>
      <c r="W851">
        <f>HYPERLINK("https://klasma.github.io/Logging_2281/klagomålsmail/A 14725-2024 FSC-klagomål mail.docx", "A 14725-2024")</f>
        <v/>
      </c>
      <c r="X851">
        <f>HYPERLINK("https://klasma.github.io/Logging_2281/tillsyn/A 14725-2024 tillsynsbegäran.docx", "A 14725-2024")</f>
        <v/>
      </c>
      <c r="Y851">
        <f>HYPERLINK("https://klasma.github.io/Logging_2281/tillsynsmail/A 14725-2024 tillsynsbegäran mail.docx", "A 14725-2024")</f>
        <v/>
      </c>
    </row>
    <row r="852" ht="15" customHeight="1">
      <c r="A852" t="inlineStr">
        <is>
          <t>A 39929-2021</t>
        </is>
      </c>
      <c r="B852" s="1" t="n">
        <v>44417</v>
      </c>
      <c r="C852" s="1" t="n">
        <v>46093</v>
      </c>
      <c r="D852" t="inlineStr">
        <is>
          <t>VÄSTERNORRLANDS LÄN</t>
        </is>
      </c>
      <c r="E852" t="inlineStr">
        <is>
          <t>SUNDSVALL</t>
        </is>
      </c>
      <c r="F852" t="inlineStr">
        <is>
          <t>SCA</t>
        </is>
      </c>
      <c r="G852" t="n">
        <v>3.3</v>
      </c>
      <c r="H852" t="n">
        <v>2</v>
      </c>
      <c r="I852" t="n">
        <v>0</v>
      </c>
      <c r="J852" t="n">
        <v>1</v>
      </c>
      <c r="K852" t="n">
        <v>0</v>
      </c>
      <c r="L852" t="n">
        <v>0</v>
      </c>
      <c r="M852" t="n">
        <v>0</v>
      </c>
      <c r="N852" t="n">
        <v>0</v>
      </c>
      <c r="O852" t="n">
        <v>1</v>
      </c>
      <c r="P852" t="n">
        <v>0</v>
      </c>
      <c r="Q852" t="n">
        <v>2</v>
      </c>
      <c r="R852" s="2" t="inlineStr">
        <is>
          <t>Tretåig hackspett
Nattviol</t>
        </is>
      </c>
      <c r="S852">
        <f>HYPERLINK("https://klasma.github.io/Logging_2281/artfynd/A 39929-2021 artfynd.xlsx", "A 39929-2021")</f>
        <v/>
      </c>
      <c r="T852">
        <f>HYPERLINK("https://klasma.github.io/Logging_2281/kartor/A 39929-2021 karta.png", "A 39929-2021")</f>
        <v/>
      </c>
      <c r="V852">
        <f>HYPERLINK("https://klasma.github.io/Logging_2281/klagomål/A 39929-2021 FSC-klagomål.docx", "A 39929-2021")</f>
        <v/>
      </c>
      <c r="W852">
        <f>HYPERLINK("https://klasma.github.io/Logging_2281/klagomålsmail/A 39929-2021 FSC-klagomål mail.docx", "A 39929-2021")</f>
        <v/>
      </c>
      <c r="X852">
        <f>HYPERLINK("https://klasma.github.io/Logging_2281/tillsyn/A 39929-2021 tillsynsbegäran.docx", "A 39929-2021")</f>
        <v/>
      </c>
      <c r="Y852">
        <f>HYPERLINK("https://klasma.github.io/Logging_2281/tillsynsmail/A 39929-2021 tillsynsbegäran mail.docx", "A 39929-2021")</f>
        <v/>
      </c>
      <c r="Z852">
        <f>HYPERLINK("https://klasma.github.io/Logging_2281/fåglar/A 39929-2021 prioriterade fågelarter.docx", "A 39929-2021")</f>
        <v/>
      </c>
    </row>
    <row r="853" ht="15" customHeight="1">
      <c r="A853" t="inlineStr">
        <is>
          <t>A 4873-2025</t>
        </is>
      </c>
      <c r="B853" s="1" t="n">
        <v>45688.67633101852</v>
      </c>
      <c r="C853" s="1" t="n">
        <v>46093</v>
      </c>
      <c r="D853" t="inlineStr">
        <is>
          <t>VÄSTERNORRLANDS LÄN</t>
        </is>
      </c>
      <c r="E853" t="inlineStr">
        <is>
          <t>ÅNGE</t>
        </is>
      </c>
      <c r="F853" t="inlineStr">
        <is>
          <t>SCA</t>
        </is>
      </c>
      <c r="G853" t="n">
        <v>3.3</v>
      </c>
      <c r="H853" t="n">
        <v>0</v>
      </c>
      <c r="I853" t="n">
        <v>0</v>
      </c>
      <c r="J853" t="n">
        <v>2</v>
      </c>
      <c r="K853" t="n">
        <v>0</v>
      </c>
      <c r="L853" t="n">
        <v>0</v>
      </c>
      <c r="M853" t="n">
        <v>0</v>
      </c>
      <c r="N853" t="n">
        <v>0</v>
      </c>
      <c r="O853" t="n">
        <v>2</v>
      </c>
      <c r="P853" t="n">
        <v>0</v>
      </c>
      <c r="Q853" t="n">
        <v>2</v>
      </c>
      <c r="R853" s="2" t="inlineStr">
        <is>
          <t>Garnlav
Vitgrynig nållav</t>
        </is>
      </c>
      <c r="S853">
        <f>HYPERLINK("https://klasma.github.io/Logging_2260/artfynd/A 4873-2025 artfynd.xlsx", "A 4873-2025")</f>
        <v/>
      </c>
      <c r="T853">
        <f>HYPERLINK("https://klasma.github.io/Logging_2260/kartor/A 4873-2025 karta.png", "A 4873-2025")</f>
        <v/>
      </c>
      <c r="V853">
        <f>HYPERLINK("https://klasma.github.io/Logging_2260/klagomål/A 4873-2025 FSC-klagomål.docx", "A 4873-2025")</f>
        <v/>
      </c>
      <c r="W853">
        <f>HYPERLINK("https://klasma.github.io/Logging_2260/klagomålsmail/A 4873-2025 FSC-klagomål mail.docx", "A 4873-2025")</f>
        <v/>
      </c>
      <c r="X853">
        <f>HYPERLINK("https://klasma.github.io/Logging_2260/tillsyn/A 4873-2025 tillsynsbegäran.docx", "A 4873-2025")</f>
        <v/>
      </c>
      <c r="Y853">
        <f>HYPERLINK("https://klasma.github.io/Logging_2260/tillsynsmail/A 4873-2025 tillsynsbegäran mail.docx", "A 4873-2025")</f>
        <v/>
      </c>
    </row>
    <row r="854" ht="15" customHeight="1">
      <c r="A854" t="inlineStr">
        <is>
          <t>A 62532-2023</t>
        </is>
      </c>
      <c r="B854" s="1" t="n">
        <v>45268</v>
      </c>
      <c r="C854" s="1" t="n">
        <v>46093</v>
      </c>
      <c r="D854" t="inlineStr">
        <is>
          <t>VÄSTERNORRLANDS LÄN</t>
        </is>
      </c>
      <c r="E854" t="inlineStr">
        <is>
          <t>SUNDSVALL</t>
        </is>
      </c>
      <c r="G854" t="n">
        <v>0.7</v>
      </c>
      <c r="H854" t="n">
        <v>2</v>
      </c>
      <c r="I854" t="n">
        <v>0</v>
      </c>
      <c r="J854" t="n">
        <v>1</v>
      </c>
      <c r="K854" t="n">
        <v>0</v>
      </c>
      <c r="L854" t="n">
        <v>0</v>
      </c>
      <c r="M854" t="n">
        <v>0</v>
      </c>
      <c r="N854" t="n">
        <v>0</v>
      </c>
      <c r="O854" t="n">
        <v>1</v>
      </c>
      <c r="P854" t="n">
        <v>0</v>
      </c>
      <c r="Q854" t="n">
        <v>2</v>
      </c>
      <c r="R854" s="2" t="inlineStr">
        <is>
          <t>Spillkråka
Gråspett</t>
        </is>
      </c>
      <c r="S854">
        <f>HYPERLINK("https://klasma.github.io/Logging_2281/artfynd/A 62532-2023 artfynd.xlsx", "A 62532-2023")</f>
        <v/>
      </c>
      <c r="T854">
        <f>HYPERLINK("https://klasma.github.io/Logging_2281/kartor/A 62532-2023 karta.png", "A 62532-2023")</f>
        <v/>
      </c>
      <c r="V854">
        <f>HYPERLINK("https://klasma.github.io/Logging_2281/klagomål/A 62532-2023 FSC-klagomål.docx", "A 62532-2023")</f>
        <v/>
      </c>
      <c r="W854">
        <f>HYPERLINK("https://klasma.github.io/Logging_2281/klagomålsmail/A 62532-2023 FSC-klagomål mail.docx", "A 62532-2023")</f>
        <v/>
      </c>
      <c r="X854">
        <f>HYPERLINK("https://klasma.github.io/Logging_2281/tillsyn/A 62532-2023 tillsynsbegäran.docx", "A 62532-2023")</f>
        <v/>
      </c>
      <c r="Y854">
        <f>HYPERLINK("https://klasma.github.io/Logging_2281/tillsynsmail/A 62532-2023 tillsynsbegäran mail.docx", "A 62532-2023")</f>
        <v/>
      </c>
      <c r="Z854">
        <f>HYPERLINK("https://klasma.github.io/Logging_2281/fåglar/A 62532-2023 prioriterade fågelarter.docx", "A 62532-2023")</f>
        <v/>
      </c>
    </row>
    <row r="855" ht="15" customHeight="1">
      <c r="A855" t="inlineStr">
        <is>
          <t>A 26020-2024</t>
        </is>
      </c>
      <c r="B855" s="1" t="n">
        <v>45467.9603125</v>
      </c>
      <c r="C855" s="1" t="n">
        <v>46093</v>
      </c>
      <c r="D855" t="inlineStr">
        <is>
          <t>VÄSTERNORRLANDS LÄN</t>
        </is>
      </c>
      <c r="E855" t="inlineStr">
        <is>
          <t>ÅNGE</t>
        </is>
      </c>
      <c r="F855" t="inlineStr">
        <is>
          <t>SCA</t>
        </is>
      </c>
      <c r="G855" t="n">
        <v>4.8</v>
      </c>
      <c r="H855" t="n">
        <v>0</v>
      </c>
      <c r="I855" t="n">
        <v>1</v>
      </c>
      <c r="J855" t="n">
        <v>1</v>
      </c>
      <c r="K855" t="n">
        <v>0</v>
      </c>
      <c r="L855" t="n">
        <v>0</v>
      </c>
      <c r="M855" t="n">
        <v>0</v>
      </c>
      <c r="N855" t="n">
        <v>0</v>
      </c>
      <c r="O855" t="n">
        <v>1</v>
      </c>
      <c r="P855" t="n">
        <v>0</v>
      </c>
      <c r="Q855" t="n">
        <v>2</v>
      </c>
      <c r="R855" s="2" t="inlineStr">
        <is>
          <t>Lunglav
Stuplav</t>
        </is>
      </c>
      <c r="S855">
        <f>HYPERLINK("https://klasma.github.io/Logging_2260/artfynd/A 26020-2024 artfynd.xlsx", "A 26020-2024")</f>
        <v/>
      </c>
      <c r="T855">
        <f>HYPERLINK("https://klasma.github.io/Logging_2260/kartor/A 26020-2024 karta.png", "A 26020-2024")</f>
        <v/>
      </c>
      <c r="V855">
        <f>HYPERLINK("https://klasma.github.io/Logging_2260/klagomål/A 26020-2024 FSC-klagomål.docx", "A 26020-2024")</f>
        <v/>
      </c>
      <c r="W855">
        <f>HYPERLINK("https://klasma.github.io/Logging_2260/klagomålsmail/A 26020-2024 FSC-klagomål mail.docx", "A 26020-2024")</f>
        <v/>
      </c>
      <c r="X855">
        <f>HYPERLINK("https://klasma.github.io/Logging_2260/tillsyn/A 26020-2024 tillsynsbegäran.docx", "A 26020-2024")</f>
        <v/>
      </c>
      <c r="Y855">
        <f>HYPERLINK("https://klasma.github.io/Logging_2260/tillsynsmail/A 26020-2024 tillsynsbegäran mail.docx", "A 26020-2024")</f>
        <v/>
      </c>
    </row>
    <row r="856" ht="15" customHeight="1">
      <c r="A856" t="inlineStr">
        <is>
          <t>A 18825-2025</t>
        </is>
      </c>
      <c r="B856" s="1" t="n">
        <v>45764.38601851852</v>
      </c>
      <c r="C856" s="1" t="n">
        <v>46093</v>
      </c>
      <c r="D856" t="inlineStr">
        <is>
          <t>VÄSTERNORRLANDS LÄN</t>
        </is>
      </c>
      <c r="E856" t="inlineStr">
        <is>
          <t>SUNDSVALL</t>
        </is>
      </c>
      <c r="F856" t="inlineStr">
        <is>
          <t>Naturvårdsverket</t>
        </is>
      </c>
      <c r="G856" t="n">
        <v>5.8</v>
      </c>
      <c r="H856" t="n">
        <v>2</v>
      </c>
      <c r="I856" t="n">
        <v>1</v>
      </c>
      <c r="J856" t="n">
        <v>0</v>
      </c>
      <c r="K856" t="n">
        <v>0</v>
      </c>
      <c r="L856" t="n">
        <v>0</v>
      </c>
      <c r="M856" t="n">
        <v>0</v>
      </c>
      <c r="N856" t="n">
        <v>0</v>
      </c>
      <c r="O856" t="n">
        <v>0</v>
      </c>
      <c r="P856" t="n">
        <v>0</v>
      </c>
      <c r="Q856" t="n">
        <v>2</v>
      </c>
      <c r="R856" s="2" t="inlineStr">
        <is>
          <t>Korallrot
Fläcknycklar</t>
        </is>
      </c>
      <c r="S856">
        <f>HYPERLINK("https://klasma.github.io/Logging_2281/artfynd/A 18825-2025 artfynd.xlsx", "A 18825-2025")</f>
        <v/>
      </c>
      <c r="T856">
        <f>HYPERLINK("https://klasma.github.io/Logging_2281/kartor/A 18825-2025 karta.png", "A 18825-2025")</f>
        <v/>
      </c>
      <c r="V856">
        <f>HYPERLINK("https://klasma.github.io/Logging_2281/klagomål/A 18825-2025 FSC-klagomål.docx", "A 18825-2025")</f>
        <v/>
      </c>
      <c r="W856">
        <f>HYPERLINK("https://klasma.github.io/Logging_2281/klagomålsmail/A 18825-2025 FSC-klagomål mail.docx", "A 18825-2025")</f>
        <v/>
      </c>
      <c r="X856">
        <f>HYPERLINK("https://klasma.github.io/Logging_2281/tillsyn/A 18825-2025 tillsynsbegäran.docx", "A 18825-2025")</f>
        <v/>
      </c>
      <c r="Y856">
        <f>HYPERLINK("https://klasma.github.io/Logging_2281/tillsynsmail/A 18825-2025 tillsynsbegäran mail.docx", "A 18825-2025")</f>
        <v/>
      </c>
    </row>
    <row r="857" ht="15" customHeight="1">
      <c r="A857" t="inlineStr">
        <is>
          <t>A 18827-2025</t>
        </is>
      </c>
      <c r="B857" s="1" t="n">
        <v>45764.38619212963</v>
      </c>
      <c r="C857" s="1" t="n">
        <v>46093</v>
      </c>
      <c r="D857" t="inlineStr">
        <is>
          <t>VÄSTERNORRLANDS LÄN</t>
        </is>
      </c>
      <c r="E857" t="inlineStr">
        <is>
          <t>TIMRÅ</t>
        </is>
      </c>
      <c r="F857" t="inlineStr">
        <is>
          <t>SCA</t>
        </is>
      </c>
      <c r="G857" t="n">
        <v>6.5</v>
      </c>
      <c r="H857" t="n">
        <v>0</v>
      </c>
      <c r="I857" t="n">
        <v>0</v>
      </c>
      <c r="J857" t="n">
        <v>1</v>
      </c>
      <c r="K857" t="n">
        <v>1</v>
      </c>
      <c r="L857" t="n">
        <v>0</v>
      </c>
      <c r="M857" t="n">
        <v>0</v>
      </c>
      <c r="N857" t="n">
        <v>0</v>
      </c>
      <c r="O857" t="n">
        <v>2</v>
      </c>
      <c r="P857" t="n">
        <v>1</v>
      </c>
      <c r="Q857" t="n">
        <v>2</v>
      </c>
      <c r="R857" s="2" t="inlineStr">
        <is>
          <t>Laxporing
Doftskinn</t>
        </is>
      </c>
      <c r="S857">
        <f>HYPERLINK("https://klasma.github.io/Logging_2262/artfynd/A 18827-2025 artfynd.xlsx", "A 18827-2025")</f>
        <v/>
      </c>
      <c r="T857">
        <f>HYPERLINK("https://klasma.github.io/Logging_2262/kartor/A 18827-2025 karta.png", "A 18827-2025")</f>
        <v/>
      </c>
      <c r="V857">
        <f>HYPERLINK("https://klasma.github.io/Logging_2262/klagomål/A 18827-2025 FSC-klagomål.docx", "A 18827-2025")</f>
        <v/>
      </c>
      <c r="W857">
        <f>HYPERLINK("https://klasma.github.io/Logging_2262/klagomålsmail/A 18827-2025 FSC-klagomål mail.docx", "A 18827-2025")</f>
        <v/>
      </c>
      <c r="X857">
        <f>HYPERLINK("https://klasma.github.io/Logging_2262/tillsyn/A 18827-2025 tillsynsbegäran.docx", "A 18827-2025")</f>
        <v/>
      </c>
      <c r="Y857">
        <f>HYPERLINK("https://klasma.github.io/Logging_2262/tillsynsmail/A 18827-2025 tillsynsbegäran mail.docx", "A 18827-2025")</f>
        <v/>
      </c>
    </row>
    <row r="858" ht="15" customHeight="1">
      <c r="A858" t="inlineStr">
        <is>
          <t>A 49202-2022</t>
        </is>
      </c>
      <c r="B858" s="1" t="n">
        <v>44860</v>
      </c>
      <c r="C858" s="1" t="n">
        <v>46093</v>
      </c>
      <c r="D858" t="inlineStr">
        <is>
          <t>VÄSTERNORRLANDS LÄN</t>
        </is>
      </c>
      <c r="E858" t="inlineStr">
        <is>
          <t>TIMRÅ</t>
        </is>
      </c>
      <c r="F858" t="inlineStr">
        <is>
          <t>SCA</t>
        </is>
      </c>
      <c r="G858" t="n">
        <v>2.2</v>
      </c>
      <c r="H858" t="n">
        <v>0</v>
      </c>
      <c r="I858" t="n">
        <v>0</v>
      </c>
      <c r="J858" t="n">
        <v>2</v>
      </c>
      <c r="K858" t="n">
        <v>0</v>
      </c>
      <c r="L858" t="n">
        <v>0</v>
      </c>
      <c r="M858" t="n">
        <v>0</v>
      </c>
      <c r="N858" t="n">
        <v>0</v>
      </c>
      <c r="O858" t="n">
        <v>2</v>
      </c>
      <c r="P858" t="n">
        <v>0</v>
      </c>
      <c r="Q858" t="n">
        <v>2</v>
      </c>
      <c r="R858" s="2" t="inlineStr">
        <is>
          <t>Garnlav
Violettgrå tagellav</t>
        </is>
      </c>
      <c r="S858">
        <f>HYPERLINK("https://klasma.github.io/Logging_2262/artfynd/A 49202-2022 artfynd.xlsx", "A 49202-2022")</f>
        <v/>
      </c>
      <c r="T858">
        <f>HYPERLINK("https://klasma.github.io/Logging_2262/kartor/A 49202-2022 karta.png", "A 49202-2022")</f>
        <v/>
      </c>
      <c r="V858">
        <f>HYPERLINK("https://klasma.github.io/Logging_2262/klagomål/A 49202-2022 FSC-klagomål.docx", "A 49202-2022")</f>
        <v/>
      </c>
      <c r="W858">
        <f>HYPERLINK("https://klasma.github.io/Logging_2262/klagomålsmail/A 49202-2022 FSC-klagomål mail.docx", "A 49202-2022")</f>
        <v/>
      </c>
      <c r="X858">
        <f>HYPERLINK("https://klasma.github.io/Logging_2262/tillsyn/A 49202-2022 tillsynsbegäran.docx", "A 49202-2022")</f>
        <v/>
      </c>
      <c r="Y858">
        <f>HYPERLINK("https://klasma.github.io/Logging_2262/tillsynsmail/A 49202-2022 tillsynsbegäran mail.docx", "A 49202-2022")</f>
        <v/>
      </c>
    </row>
    <row r="859" ht="15" customHeight="1">
      <c r="A859" t="inlineStr">
        <is>
          <t>A 20347-2025</t>
        </is>
      </c>
      <c r="B859" s="1" t="n">
        <v>45775</v>
      </c>
      <c r="C859" s="1" t="n">
        <v>46093</v>
      </c>
      <c r="D859" t="inlineStr">
        <is>
          <t>VÄSTERNORRLANDS LÄN</t>
        </is>
      </c>
      <c r="E859" t="inlineStr">
        <is>
          <t>SOLLEFTEÅ</t>
        </is>
      </c>
      <c r="G859" t="n">
        <v>8.699999999999999</v>
      </c>
      <c r="H859" t="n">
        <v>1</v>
      </c>
      <c r="I859" t="n">
        <v>1</v>
      </c>
      <c r="J859" t="n">
        <v>0</v>
      </c>
      <c r="K859" t="n">
        <v>0</v>
      </c>
      <c r="L859" t="n">
        <v>0</v>
      </c>
      <c r="M859" t="n">
        <v>0</v>
      </c>
      <c r="N859" t="n">
        <v>0</v>
      </c>
      <c r="O859" t="n">
        <v>0</v>
      </c>
      <c r="P859" t="n">
        <v>0</v>
      </c>
      <c r="Q859" t="n">
        <v>2</v>
      </c>
      <c r="R859" s="2" t="inlineStr">
        <is>
          <t>Gräsull
Fläcknycklar</t>
        </is>
      </c>
      <c r="S859">
        <f>HYPERLINK("https://klasma.github.io/Logging_2283/artfynd/A 20347-2025 artfynd.xlsx", "A 20347-2025")</f>
        <v/>
      </c>
      <c r="T859">
        <f>HYPERLINK("https://klasma.github.io/Logging_2283/kartor/A 20347-2025 karta.png", "A 20347-2025")</f>
        <v/>
      </c>
      <c r="V859">
        <f>HYPERLINK("https://klasma.github.io/Logging_2283/klagomål/A 20347-2025 FSC-klagomål.docx", "A 20347-2025")</f>
        <v/>
      </c>
      <c r="W859">
        <f>HYPERLINK("https://klasma.github.io/Logging_2283/klagomålsmail/A 20347-2025 FSC-klagomål mail.docx", "A 20347-2025")</f>
        <v/>
      </c>
      <c r="X859">
        <f>HYPERLINK("https://klasma.github.io/Logging_2283/tillsyn/A 20347-2025 tillsynsbegäran.docx", "A 20347-2025")</f>
        <v/>
      </c>
      <c r="Y859">
        <f>HYPERLINK("https://klasma.github.io/Logging_2283/tillsynsmail/A 20347-2025 tillsynsbegäran mail.docx", "A 20347-2025")</f>
        <v/>
      </c>
    </row>
    <row r="860" ht="15" customHeight="1">
      <c r="A860" t="inlineStr">
        <is>
          <t>A 15386-2023</t>
        </is>
      </c>
      <c r="B860" s="1" t="n">
        <v>45019</v>
      </c>
      <c r="C860" s="1" t="n">
        <v>46093</v>
      </c>
      <c r="D860" t="inlineStr">
        <is>
          <t>VÄSTERNORRLANDS LÄN</t>
        </is>
      </c>
      <c r="E860" t="inlineStr">
        <is>
          <t>ÖRNSKÖLDSVIK</t>
        </is>
      </c>
      <c r="F860" t="inlineStr">
        <is>
          <t>Holmen skog AB</t>
        </is>
      </c>
      <c r="G860" t="n">
        <v>4.2</v>
      </c>
      <c r="H860" t="n">
        <v>0</v>
      </c>
      <c r="I860" t="n">
        <v>0</v>
      </c>
      <c r="J860" t="n">
        <v>2</v>
      </c>
      <c r="K860" t="n">
        <v>0</v>
      </c>
      <c r="L860" t="n">
        <v>0</v>
      </c>
      <c r="M860" t="n">
        <v>0</v>
      </c>
      <c r="N860" t="n">
        <v>0</v>
      </c>
      <c r="O860" t="n">
        <v>2</v>
      </c>
      <c r="P860" t="n">
        <v>0</v>
      </c>
      <c r="Q860" t="n">
        <v>2</v>
      </c>
      <c r="R860" s="2" t="inlineStr">
        <is>
          <t>Lunglav
Tallticka</t>
        </is>
      </c>
      <c r="S860">
        <f>HYPERLINK("https://klasma.github.io/Logging_2284/artfynd/A 15386-2023 artfynd.xlsx", "A 15386-2023")</f>
        <v/>
      </c>
      <c r="T860">
        <f>HYPERLINK("https://klasma.github.io/Logging_2284/kartor/A 15386-2023 karta.png", "A 15386-2023")</f>
        <v/>
      </c>
      <c r="V860">
        <f>HYPERLINK("https://klasma.github.io/Logging_2284/klagomål/A 15386-2023 FSC-klagomål.docx", "A 15386-2023")</f>
        <v/>
      </c>
      <c r="W860">
        <f>HYPERLINK("https://klasma.github.io/Logging_2284/klagomålsmail/A 15386-2023 FSC-klagomål mail.docx", "A 15386-2023")</f>
        <v/>
      </c>
      <c r="X860">
        <f>HYPERLINK("https://klasma.github.io/Logging_2284/tillsyn/A 15386-2023 tillsynsbegäran.docx", "A 15386-2023")</f>
        <v/>
      </c>
      <c r="Y860">
        <f>HYPERLINK("https://klasma.github.io/Logging_2284/tillsynsmail/A 15386-2023 tillsynsbegäran mail.docx", "A 15386-2023")</f>
        <v/>
      </c>
    </row>
    <row r="861" ht="15" customHeight="1">
      <c r="A861" t="inlineStr">
        <is>
          <t>A 4455-2023</t>
        </is>
      </c>
      <c r="B861" s="1" t="n">
        <v>44956</v>
      </c>
      <c r="C861" s="1" t="n">
        <v>46093</v>
      </c>
      <c r="D861" t="inlineStr">
        <is>
          <t>VÄSTERNORRLANDS LÄN</t>
        </is>
      </c>
      <c r="E861" t="inlineStr">
        <is>
          <t>ÖRNSKÖLDSVIK</t>
        </is>
      </c>
      <c r="F861" t="inlineStr">
        <is>
          <t>Holmen skog AB</t>
        </is>
      </c>
      <c r="G861" t="n">
        <v>22.4</v>
      </c>
      <c r="H861" t="n">
        <v>0</v>
      </c>
      <c r="I861" t="n">
        <v>0</v>
      </c>
      <c r="J861" t="n">
        <v>2</v>
      </c>
      <c r="K861" t="n">
        <v>0</v>
      </c>
      <c r="L861" t="n">
        <v>0</v>
      </c>
      <c r="M861" t="n">
        <v>0</v>
      </c>
      <c r="N861" t="n">
        <v>0</v>
      </c>
      <c r="O861" t="n">
        <v>2</v>
      </c>
      <c r="P861" t="n">
        <v>0</v>
      </c>
      <c r="Q861" t="n">
        <v>2</v>
      </c>
      <c r="R861" s="2" t="inlineStr">
        <is>
          <t>Lunglav
Skrovellav</t>
        </is>
      </c>
      <c r="S861">
        <f>HYPERLINK("https://klasma.github.io/Logging_2284/artfynd/A 4455-2023 artfynd.xlsx", "A 4455-2023")</f>
        <v/>
      </c>
      <c r="T861">
        <f>HYPERLINK("https://klasma.github.io/Logging_2284/kartor/A 4455-2023 karta.png", "A 4455-2023")</f>
        <v/>
      </c>
      <c r="V861">
        <f>HYPERLINK("https://klasma.github.io/Logging_2284/klagomål/A 4455-2023 FSC-klagomål.docx", "A 4455-2023")</f>
        <v/>
      </c>
      <c r="W861">
        <f>HYPERLINK("https://klasma.github.io/Logging_2284/klagomålsmail/A 4455-2023 FSC-klagomål mail.docx", "A 4455-2023")</f>
        <v/>
      </c>
      <c r="X861">
        <f>HYPERLINK("https://klasma.github.io/Logging_2284/tillsyn/A 4455-2023 tillsynsbegäran.docx", "A 4455-2023")</f>
        <v/>
      </c>
      <c r="Y861">
        <f>HYPERLINK("https://klasma.github.io/Logging_2284/tillsynsmail/A 4455-2023 tillsynsbegäran mail.docx", "A 4455-2023")</f>
        <v/>
      </c>
    </row>
    <row r="862" ht="15" customHeight="1">
      <c r="A862" t="inlineStr">
        <is>
          <t>A 60255-2025</t>
        </is>
      </c>
      <c r="B862" s="1" t="n">
        <v>45994.60180555555</v>
      </c>
      <c r="C862" s="1" t="n">
        <v>46093</v>
      </c>
      <c r="D862" t="inlineStr">
        <is>
          <t>VÄSTERNORRLANDS LÄN</t>
        </is>
      </c>
      <c r="E862" t="inlineStr">
        <is>
          <t>SOLLEFTEÅ</t>
        </is>
      </c>
      <c r="G862" t="n">
        <v>2.2</v>
      </c>
      <c r="H862" t="n">
        <v>1</v>
      </c>
      <c r="I862" t="n">
        <v>0</v>
      </c>
      <c r="J862" t="n">
        <v>1</v>
      </c>
      <c r="K862" t="n">
        <v>0</v>
      </c>
      <c r="L862" t="n">
        <v>0</v>
      </c>
      <c r="M862" t="n">
        <v>0</v>
      </c>
      <c r="N862" t="n">
        <v>0</v>
      </c>
      <c r="O862" t="n">
        <v>1</v>
      </c>
      <c r="P862" t="n">
        <v>0</v>
      </c>
      <c r="Q862" t="n">
        <v>2</v>
      </c>
      <c r="R862" s="2" t="inlineStr">
        <is>
          <t>Garnlav
Revlummer</t>
        </is>
      </c>
      <c r="S862">
        <f>HYPERLINK("https://klasma.github.io/Logging_2283/artfynd/A 60255-2025 artfynd.xlsx", "A 60255-2025")</f>
        <v/>
      </c>
      <c r="T862">
        <f>HYPERLINK("https://klasma.github.io/Logging_2283/kartor/A 60255-2025 karta.png", "A 60255-2025")</f>
        <v/>
      </c>
      <c r="V862">
        <f>HYPERLINK("https://klasma.github.io/Logging_2283/klagomål/A 60255-2025 FSC-klagomål.docx", "A 60255-2025")</f>
        <v/>
      </c>
      <c r="W862">
        <f>HYPERLINK("https://klasma.github.io/Logging_2283/klagomålsmail/A 60255-2025 FSC-klagomål mail.docx", "A 60255-2025")</f>
        <v/>
      </c>
      <c r="X862">
        <f>HYPERLINK("https://klasma.github.io/Logging_2283/tillsyn/A 60255-2025 tillsynsbegäran.docx", "A 60255-2025")</f>
        <v/>
      </c>
      <c r="Y862">
        <f>HYPERLINK("https://klasma.github.io/Logging_2283/tillsynsmail/A 60255-2025 tillsynsbegäran mail.docx", "A 60255-2025")</f>
        <v/>
      </c>
    </row>
    <row r="863" ht="15" customHeight="1">
      <c r="A863" t="inlineStr">
        <is>
          <t>A 29325-2023</t>
        </is>
      </c>
      <c r="B863" s="1" t="n">
        <v>45105</v>
      </c>
      <c r="C863" s="1" t="n">
        <v>46093</v>
      </c>
      <c r="D863" t="inlineStr">
        <is>
          <t>VÄSTERNORRLANDS LÄN</t>
        </is>
      </c>
      <c r="E863" t="inlineStr">
        <is>
          <t>ÅNGE</t>
        </is>
      </c>
      <c r="G863" t="n">
        <v>12.4</v>
      </c>
      <c r="H863" t="n">
        <v>0</v>
      </c>
      <c r="I863" t="n">
        <v>0</v>
      </c>
      <c r="J863" t="n">
        <v>2</v>
      </c>
      <c r="K863" t="n">
        <v>0</v>
      </c>
      <c r="L863" t="n">
        <v>0</v>
      </c>
      <c r="M863" t="n">
        <v>0</v>
      </c>
      <c r="N863" t="n">
        <v>0</v>
      </c>
      <c r="O863" t="n">
        <v>2</v>
      </c>
      <c r="P863" t="n">
        <v>0</v>
      </c>
      <c r="Q863" t="n">
        <v>2</v>
      </c>
      <c r="R863" s="2" t="inlineStr">
        <is>
          <t>Kolflarnlav
Mörk kolflarnlav</t>
        </is>
      </c>
      <c r="S863">
        <f>HYPERLINK("https://klasma.github.io/Logging_2260/artfynd/A 29325-2023 artfynd.xlsx", "A 29325-2023")</f>
        <v/>
      </c>
      <c r="T863">
        <f>HYPERLINK("https://klasma.github.io/Logging_2260/kartor/A 29325-2023 karta.png", "A 29325-2023")</f>
        <v/>
      </c>
      <c r="V863">
        <f>HYPERLINK("https://klasma.github.io/Logging_2260/klagomål/A 29325-2023 FSC-klagomål.docx", "A 29325-2023")</f>
        <v/>
      </c>
      <c r="W863">
        <f>HYPERLINK("https://klasma.github.io/Logging_2260/klagomålsmail/A 29325-2023 FSC-klagomål mail.docx", "A 29325-2023")</f>
        <v/>
      </c>
      <c r="X863">
        <f>HYPERLINK("https://klasma.github.io/Logging_2260/tillsyn/A 29325-2023 tillsynsbegäran.docx", "A 29325-2023")</f>
        <v/>
      </c>
      <c r="Y863">
        <f>HYPERLINK("https://klasma.github.io/Logging_2260/tillsynsmail/A 29325-2023 tillsynsbegäran mail.docx", "A 29325-2023")</f>
        <v/>
      </c>
    </row>
    <row r="864" ht="15" customHeight="1">
      <c r="A864" t="inlineStr">
        <is>
          <t>A 27380-2023</t>
        </is>
      </c>
      <c r="B864" s="1" t="n">
        <v>45096</v>
      </c>
      <c r="C864" s="1" t="n">
        <v>46093</v>
      </c>
      <c r="D864" t="inlineStr">
        <is>
          <t>VÄSTERNORRLANDS LÄN</t>
        </is>
      </c>
      <c r="E864" t="inlineStr">
        <is>
          <t>SUNDSVALL</t>
        </is>
      </c>
      <c r="F864" t="inlineStr">
        <is>
          <t>Naturvårdsverket</t>
        </is>
      </c>
      <c r="G864" t="n">
        <v>6.2</v>
      </c>
      <c r="H864" t="n">
        <v>0</v>
      </c>
      <c r="I864" t="n">
        <v>0</v>
      </c>
      <c r="J864" t="n">
        <v>2</v>
      </c>
      <c r="K864" t="n">
        <v>0</v>
      </c>
      <c r="L864" t="n">
        <v>0</v>
      </c>
      <c r="M864" t="n">
        <v>0</v>
      </c>
      <c r="N864" t="n">
        <v>0</v>
      </c>
      <c r="O864" t="n">
        <v>2</v>
      </c>
      <c r="P864" t="n">
        <v>0</v>
      </c>
      <c r="Q864" t="n">
        <v>2</v>
      </c>
      <c r="R864" s="2" t="inlineStr">
        <is>
          <t>Granticka
Gränsticka</t>
        </is>
      </c>
      <c r="S864">
        <f>HYPERLINK("https://klasma.github.io/Logging_2281/artfynd/A 27380-2023 artfynd.xlsx", "A 27380-2023")</f>
        <v/>
      </c>
      <c r="T864">
        <f>HYPERLINK("https://klasma.github.io/Logging_2281/kartor/A 27380-2023 karta.png", "A 27380-2023")</f>
        <v/>
      </c>
      <c r="V864">
        <f>HYPERLINK("https://klasma.github.io/Logging_2281/klagomål/A 27380-2023 FSC-klagomål.docx", "A 27380-2023")</f>
        <v/>
      </c>
      <c r="W864">
        <f>HYPERLINK("https://klasma.github.io/Logging_2281/klagomålsmail/A 27380-2023 FSC-klagomål mail.docx", "A 27380-2023")</f>
        <v/>
      </c>
      <c r="X864">
        <f>HYPERLINK("https://klasma.github.io/Logging_2281/tillsyn/A 27380-2023 tillsynsbegäran.docx", "A 27380-2023")</f>
        <v/>
      </c>
      <c r="Y864">
        <f>HYPERLINK("https://klasma.github.io/Logging_2281/tillsynsmail/A 27380-2023 tillsynsbegäran mail.docx", "A 27380-2023")</f>
        <v/>
      </c>
    </row>
    <row r="865" ht="15" customHeight="1">
      <c r="A865" t="inlineStr">
        <is>
          <t>A 60596-2025</t>
        </is>
      </c>
      <c r="B865" s="1" t="n">
        <v>45996.34466435185</v>
      </c>
      <c r="C865" s="1" t="n">
        <v>46093</v>
      </c>
      <c r="D865" t="inlineStr">
        <is>
          <t>VÄSTERNORRLANDS LÄN</t>
        </is>
      </c>
      <c r="E865" t="inlineStr">
        <is>
          <t>SOLLEFTEÅ</t>
        </is>
      </c>
      <c r="F865" t="inlineStr">
        <is>
          <t>SCA</t>
        </is>
      </c>
      <c r="G865" t="n">
        <v>2.1</v>
      </c>
      <c r="H865" t="n">
        <v>0</v>
      </c>
      <c r="I865" t="n">
        <v>0</v>
      </c>
      <c r="J865" t="n">
        <v>2</v>
      </c>
      <c r="K865" t="n">
        <v>0</v>
      </c>
      <c r="L865" t="n">
        <v>0</v>
      </c>
      <c r="M865" t="n">
        <v>0</v>
      </c>
      <c r="N865" t="n">
        <v>0</v>
      </c>
      <c r="O865" t="n">
        <v>2</v>
      </c>
      <c r="P865" t="n">
        <v>0</v>
      </c>
      <c r="Q865" t="n">
        <v>2</v>
      </c>
      <c r="R865" s="2" t="inlineStr">
        <is>
          <t>Rosenticka
Ullticka</t>
        </is>
      </c>
      <c r="S865">
        <f>HYPERLINK("https://klasma.github.io/Logging_2283/artfynd/A 60596-2025 artfynd.xlsx", "A 60596-2025")</f>
        <v/>
      </c>
      <c r="T865">
        <f>HYPERLINK("https://klasma.github.io/Logging_2283/kartor/A 60596-2025 karta.png", "A 60596-2025")</f>
        <v/>
      </c>
      <c r="V865">
        <f>HYPERLINK("https://klasma.github.io/Logging_2283/klagomål/A 60596-2025 FSC-klagomål.docx", "A 60596-2025")</f>
        <v/>
      </c>
      <c r="W865">
        <f>HYPERLINK("https://klasma.github.io/Logging_2283/klagomålsmail/A 60596-2025 FSC-klagomål mail.docx", "A 60596-2025")</f>
        <v/>
      </c>
      <c r="X865">
        <f>HYPERLINK("https://klasma.github.io/Logging_2283/tillsyn/A 60596-2025 tillsynsbegäran.docx", "A 60596-2025")</f>
        <v/>
      </c>
      <c r="Y865">
        <f>HYPERLINK("https://klasma.github.io/Logging_2283/tillsynsmail/A 60596-2025 tillsynsbegäran mail.docx", "A 60596-2025")</f>
        <v/>
      </c>
    </row>
    <row r="866" ht="15" customHeight="1">
      <c r="A866" t="inlineStr">
        <is>
          <t>A 4900-2025</t>
        </is>
      </c>
      <c r="B866" s="1" t="n">
        <v>45688</v>
      </c>
      <c r="C866" s="1" t="n">
        <v>46093</v>
      </c>
      <c r="D866" t="inlineStr">
        <is>
          <t>VÄSTERNORRLANDS LÄN</t>
        </is>
      </c>
      <c r="E866" t="inlineStr">
        <is>
          <t>SUNDSVALL</t>
        </is>
      </c>
      <c r="F866" t="inlineStr">
        <is>
          <t>SCA</t>
        </is>
      </c>
      <c r="G866" t="n">
        <v>10.4</v>
      </c>
      <c r="H866" t="n">
        <v>1</v>
      </c>
      <c r="I866" t="n">
        <v>0</v>
      </c>
      <c r="J866" t="n">
        <v>1</v>
      </c>
      <c r="K866" t="n">
        <v>1</v>
      </c>
      <c r="L866" t="n">
        <v>0</v>
      </c>
      <c r="M866" t="n">
        <v>0</v>
      </c>
      <c r="N866" t="n">
        <v>0</v>
      </c>
      <c r="O866" t="n">
        <v>2</v>
      </c>
      <c r="P866" t="n">
        <v>1</v>
      </c>
      <c r="Q866" t="n">
        <v>2</v>
      </c>
      <c r="R866" s="2" t="inlineStr">
        <is>
          <t>Knärot
Ullticka</t>
        </is>
      </c>
      <c r="S866">
        <f>HYPERLINK("https://klasma.github.io/Logging_2281/artfynd/A 4900-2025 artfynd.xlsx", "A 4900-2025")</f>
        <v/>
      </c>
      <c r="T866">
        <f>HYPERLINK("https://klasma.github.io/Logging_2281/kartor/A 4900-2025 karta.png", "A 4900-2025")</f>
        <v/>
      </c>
      <c r="U866">
        <f>HYPERLINK("https://klasma.github.io/Logging_2281/knärot/A 4900-2025 karta knärot.png", "A 4900-2025")</f>
        <v/>
      </c>
      <c r="V866">
        <f>HYPERLINK("https://klasma.github.io/Logging_2281/klagomål/A 4900-2025 FSC-klagomål.docx", "A 4900-2025")</f>
        <v/>
      </c>
      <c r="W866">
        <f>HYPERLINK("https://klasma.github.io/Logging_2281/klagomålsmail/A 4900-2025 FSC-klagomål mail.docx", "A 4900-2025")</f>
        <v/>
      </c>
      <c r="X866">
        <f>HYPERLINK("https://klasma.github.io/Logging_2281/tillsyn/A 4900-2025 tillsynsbegäran.docx", "A 4900-2025")</f>
        <v/>
      </c>
      <c r="Y866">
        <f>HYPERLINK("https://klasma.github.io/Logging_2281/tillsynsmail/A 4900-2025 tillsynsbegäran mail.docx", "A 4900-2025")</f>
        <v/>
      </c>
    </row>
    <row r="867" ht="15" customHeight="1">
      <c r="A867" t="inlineStr">
        <is>
          <t>A 39150-2024</t>
        </is>
      </c>
      <c r="B867" s="1" t="n">
        <v>45548</v>
      </c>
      <c r="C867" s="1" t="n">
        <v>46093</v>
      </c>
      <c r="D867" t="inlineStr">
        <is>
          <t>VÄSTERNORRLANDS LÄN</t>
        </is>
      </c>
      <c r="E867" t="inlineStr">
        <is>
          <t>TIMRÅ</t>
        </is>
      </c>
      <c r="G867" t="n">
        <v>4.4</v>
      </c>
      <c r="H867" t="n">
        <v>1</v>
      </c>
      <c r="I867" t="n">
        <v>1</v>
      </c>
      <c r="J867" t="n">
        <v>1</v>
      </c>
      <c r="K867" t="n">
        <v>0</v>
      </c>
      <c r="L867" t="n">
        <v>0</v>
      </c>
      <c r="M867" t="n">
        <v>0</v>
      </c>
      <c r="N867" t="n">
        <v>0</v>
      </c>
      <c r="O867" t="n">
        <v>1</v>
      </c>
      <c r="P867" t="n">
        <v>0</v>
      </c>
      <c r="Q867" t="n">
        <v>2</v>
      </c>
      <c r="R867" s="2" t="inlineStr">
        <is>
          <t>Rödvingetrast
Ögonpyrola</t>
        </is>
      </c>
      <c r="S867">
        <f>HYPERLINK("https://klasma.github.io/Logging_2262/artfynd/A 39150-2024 artfynd.xlsx", "A 39150-2024")</f>
        <v/>
      </c>
      <c r="T867">
        <f>HYPERLINK("https://klasma.github.io/Logging_2262/kartor/A 39150-2024 karta.png", "A 39150-2024")</f>
        <v/>
      </c>
      <c r="V867">
        <f>HYPERLINK("https://klasma.github.io/Logging_2262/klagomål/A 39150-2024 FSC-klagomål.docx", "A 39150-2024")</f>
        <v/>
      </c>
      <c r="W867">
        <f>HYPERLINK("https://klasma.github.io/Logging_2262/klagomålsmail/A 39150-2024 FSC-klagomål mail.docx", "A 39150-2024")</f>
        <v/>
      </c>
      <c r="X867">
        <f>HYPERLINK("https://klasma.github.io/Logging_2262/tillsyn/A 39150-2024 tillsynsbegäran.docx", "A 39150-2024")</f>
        <v/>
      </c>
      <c r="Y867">
        <f>HYPERLINK("https://klasma.github.io/Logging_2262/tillsynsmail/A 39150-2024 tillsynsbegäran mail.docx", "A 39150-2024")</f>
        <v/>
      </c>
      <c r="Z867">
        <f>HYPERLINK("https://klasma.github.io/Logging_2262/fåglar/A 39150-2024 prioriterade fågelarter.docx", "A 39150-2024")</f>
        <v/>
      </c>
    </row>
    <row r="868" ht="15" customHeight="1">
      <c r="A868" t="inlineStr">
        <is>
          <t>A 6698-2024</t>
        </is>
      </c>
      <c r="B868" s="1" t="n">
        <v>45341</v>
      </c>
      <c r="C868" s="1" t="n">
        <v>46093</v>
      </c>
      <c r="D868" t="inlineStr">
        <is>
          <t>VÄSTERNORRLANDS LÄN</t>
        </is>
      </c>
      <c r="E868" t="inlineStr">
        <is>
          <t>SOLLEFTEÅ</t>
        </is>
      </c>
      <c r="F868" t="inlineStr">
        <is>
          <t>SCA</t>
        </is>
      </c>
      <c r="G868" t="n">
        <v>3</v>
      </c>
      <c r="H868" t="n">
        <v>0</v>
      </c>
      <c r="I868" t="n">
        <v>0</v>
      </c>
      <c r="J868" t="n">
        <v>2</v>
      </c>
      <c r="K868" t="n">
        <v>0</v>
      </c>
      <c r="L868" t="n">
        <v>0</v>
      </c>
      <c r="M868" t="n">
        <v>0</v>
      </c>
      <c r="N868" t="n">
        <v>0</v>
      </c>
      <c r="O868" t="n">
        <v>2</v>
      </c>
      <c r="P868" t="n">
        <v>0</v>
      </c>
      <c r="Q868" t="n">
        <v>2</v>
      </c>
      <c r="R868" s="2" t="inlineStr">
        <is>
          <t>Granticka
Harticka</t>
        </is>
      </c>
      <c r="S868">
        <f>HYPERLINK("https://klasma.github.io/Logging_2283/artfynd/A 6698-2024 artfynd.xlsx", "A 6698-2024")</f>
        <v/>
      </c>
      <c r="T868">
        <f>HYPERLINK("https://klasma.github.io/Logging_2283/kartor/A 6698-2024 karta.png", "A 6698-2024")</f>
        <v/>
      </c>
      <c r="V868">
        <f>HYPERLINK("https://klasma.github.io/Logging_2283/klagomål/A 6698-2024 FSC-klagomål.docx", "A 6698-2024")</f>
        <v/>
      </c>
      <c r="W868">
        <f>HYPERLINK("https://klasma.github.io/Logging_2283/klagomålsmail/A 6698-2024 FSC-klagomål mail.docx", "A 6698-2024")</f>
        <v/>
      </c>
      <c r="X868">
        <f>HYPERLINK("https://klasma.github.io/Logging_2283/tillsyn/A 6698-2024 tillsynsbegäran.docx", "A 6698-2024")</f>
        <v/>
      </c>
      <c r="Y868">
        <f>HYPERLINK("https://klasma.github.io/Logging_2283/tillsynsmail/A 6698-2024 tillsynsbegäran mail.docx", "A 6698-2024")</f>
        <v/>
      </c>
    </row>
    <row r="869" ht="15" customHeight="1">
      <c r="A869" t="inlineStr">
        <is>
          <t>A 61511-2025</t>
        </is>
      </c>
      <c r="B869" s="1" t="n">
        <v>46001.68375</v>
      </c>
      <c r="C869" s="1" t="n">
        <v>46093</v>
      </c>
      <c r="D869" t="inlineStr">
        <is>
          <t>VÄSTERNORRLANDS LÄN</t>
        </is>
      </c>
      <c r="E869" t="inlineStr">
        <is>
          <t>SOLLEFTEÅ</t>
        </is>
      </c>
      <c r="F869" t="inlineStr">
        <is>
          <t>SCA</t>
        </is>
      </c>
      <c r="G869" t="n">
        <v>5.7</v>
      </c>
      <c r="H869" t="n">
        <v>0</v>
      </c>
      <c r="I869" t="n">
        <v>0</v>
      </c>
      <c r="J869" t="n">
        <v>2</v>
      </c>
      <c r="K869" t="n">
        <v>0</v>
      </c>
      <c r="L869" t="n">
        <v>0</v>
      </c>
      <c r="M869" t="n">
        <v>0</v>
      </c>
      <c r="N869" t="n">
        <v>0</v>
      </c>
      <c r="O869" t="n">
        <v>2</v>
      </c>
      <c r="P869" t="n">
        <v>0</v>
      </c>
      <c r="Q869" t="n">
        <v>2</v>
      </c>
      <c r="R869" s="2" t="inlineStr">
        <is>
          <t>Kolflarnlav
Lunglav</t>
        </is>
      </c>
      <c r="S869">
        <f>HYPERLINK("https://klasma.github.io/Logging_2283/artfynd/A 61511-2025 artfynd.xlsx", "A 61511-2025")</f>
        <v/>
      </c>
      <c r="T869">
        <f>HYPERLINK("https://klasma.github.io/Logging_2283/kartor/A 61511-2025 karta.png", "A 61511-2025")</f>
        <v/>
      </c>
      <c r="V869">
        <f>HYPERLINK("https://klasma.github.io/Logging_2283/klagomål/A 61511-2025 FSC-klagomål.docx", "A 61511-2025")</f>
        <v/>
      </c>
      <c r="W869">
        <f>HYPERLINK("https://klasma.github.io/Logging_2283/klagomålsmail/A 61511-2025 FSC-klagomål mail.docx", "A 61511-2025")</f>
        <v/>
      </c>
      <c r="X869">
        <f>HYPERLINK("https://klasma.github.io/Logging_2283/tillsyn/A 61511-2025 tillsynsbegäran.docx", "A 61511-2025")</f>
        <v/>
      </c>
      <c r="Y869">
        <f>HYPERLINK("https://klasma.github.io/Logging_2283/tillsynsmail/A 61511-2025 tillsynsbegäran mail.docx", "A 61511-2025")</f>
        <v/>
      </c>
    </row>
    <row r="870" ht="15" customHeight="1">
      <c r="A870" t="inlineStr">
        <is>
          <t>A 59020-2024</t>
        </is>
      </c>
      <c r="B870" s="1" t="n">
        <v>45636.67765046296</v>
      </c>
      <c r="C870" s="1" t="n">
        <v>46093</v>
      </c>
      <c r="D870" t="inlineStr">
        <is>
          <t>VÄSTERNORRLANDS LÄN</t>
        </is>
      </c>
      <c r="E870" t="inlineStr">
        <is>
          <t>SOLLEFTEÅ</t>
        </is>
      </c>
      <c r="F870" t="inlineStr">
        <is>
          <t>SCA</t>
        </is>
      </c>
      <c r="G870" t="n">
        <v>9.300000000000001</v>
      </c>
      <c r="H870" t="n">
        <v>0</v>
      </c>
      <c r="I870" t="n">
        <v>1</v>
      </c>
      <c r="J870" t="n">
        <v>1</v>
      </c>
      <c r="K870" t="n">
        <v>0</v>
      </c>
      <c r="L870" t="n">
        <v>0</v>
      </c>
      <c r="M870" t="n">
        <v>0</v>
      </c>
      <c r="N870" t="n">
        <v>0</v>
      </c>
      <c r="O870" t="n">
        <v>1</v>
      </c>
      <c r="P870" t="n">
        <v>0</v>
      </c>
      <c r="Q870" t="n">
        <v>2</v>
      </c>
      <c r="R870" s="2" t="inlineStr">
        <is>
          <t>Kortskaftad ärgspik
Bronshjon</t>
        </is>
      </c>
      <c r="S870">
        <f>HYPERLINK("https://klasma.github.io/Logging_2283/artfynd/A 59020-2024 artfynd.xlsx", "A 59020-2024")</f>
        <v/>
      </c>
      <c r="T870">
        <f>HYPERLINK("https://klasma.github.io/Logging_2283/kartor/A 59020-2024 karta.png", "A 59020-2024")</f>
        <v/>
      </c>
      <c r="V870">
        <f>HYPERLINK("https://klasma.github.io/Logging_2283/klagomål/A 59020-2024 FSC-klagomål.docx", "A 59020-2024")</f>
        <v/>
      </c>
      <c r="W870">
        <f>HYPERLINK("https://klasma.github.io/Logging_2283/klagomålsmail/A 59020-2024 FSC-klagomål mail.docx", "A 59020-2024")</f>
        <v/>
      </c>
      <c r="X870">
        <f>HYPERLINK("https://klasma.github.io/Logging_2283/tillsyn/A 59020-2024 tillsynsbegäran.docx", "A 59020-2024")</f>
        <v/>
      </c>
      <c r="Y870">
        <f>HYPERLINK("https://klasma.github.io/Logging_2283/tillsynsmail/A 59020-2024 tillsynsbegäran mail.docx", "A 59020-2024")</f>
        <v/>
      </c>
    </row>
    <row r="871" ht="15" customHeight="1">
      <c r="A871" t="inlineStr">
        <is>
          <t>A 18081-2025</t>
        </is>
      </c>
      <c r="B871" s="1" t="n">
        <v>45761.51086805556</v>
      </c>
      <c r="C871" s="1" t="n">
        <v>46093</v>
      </c>
      <c r="D871" t="inlineStr">
        <is>
          <t>VÄSTERNORRLANDS LÄN</t>
        </is>
      </c>
      <c r="E871" t="inlineStr">
        <is>
          <t>ÅNGE</t>
        </is>
      </c>
      <c r="F871" t="inlineStr">
        <is>
          <t>SCA</t>
        </is>
      </c>
      <c r="G871" t="n">
        <v>2.6</v>
      </c>
      <c r="H871" t="n">
        <v>1</v>
      </c>
      <c r="I871" t="n">
        <v>1</v>
      </c>
      <c r="J871" t="n">
        <v>0</v>
      </c>
      <c r="K871" t="n">
        <v>1</v>
      </c>
      <c r="L871" t="n">
        <v>0</v>
      </c>
      <c r="M871" t="n">
        <v>0</v>
      </c>
      <c r="N871" t="n">
        <v>0</v>
      </c>
      <c r="O871" t="n">
        <v>1</v>
      </c>
      <c r="P871" t="n">
        <v>1</v>
      </c>
      <c r="Q871" t="n">
        <v>2</v>
      </c>
      <c r="R871" s="2" t="inlineStr">
        <is>
          <t>Knärot
Dropptaggsvamp</t>
        </is>
      </c>
      <c r="S871">
        <f>HYPERLINK("https://klasma.github.io/Logging_2260/artfynd/A 18081-2025 artfynd.xlsx", "A 18081-2025")</f>
        <v/>
      </c>
      <c r="T871">
        <f>HYPERLINK("https://klasma.github.io/Logging_2260/kartor/A 18081-2025 karta.png", "A 18081-2025")</f>
        <v/>
      </c>
      <c r="U871">
        <f>HYPERLINK("https://klasma.github.io/Logging_2260/knärot/A 18081-2025 karta knärot.png", "A 18081-2025")</f>
        <v/>
      </c>
      <c r="V871">
        <f>HYPERLINK("https://klasma.github.io/Logging_2260/klagomål/A 18081-2025 FSC-klagomål.docx", "A 18081-2025")</f>
        <v/>
      </c>
      <c r="W871">
        <f>HYPERLINK("https://klasma.github.io/Logging_2260/klagomålsmail/A 18081-2025 FSC-klagomål mail.docx", "A 18081-2025")</f>
        <v/>
      </c>
      <c r="X871">
        <f>HYPERLINK("https://klasma.github.io/Logging_2260/tillsyn/A 18081-2025 tillsynsbegäran.docx", "A 18081-2025")</f>
        <v/>
      </c>
      <c r="Y871">
        <f>HYPERLINK("https://klasma.github.io/Logging_2260/tillsynsmail/A 18081-2025 tillsynsbegäran mail.docx", "A 18081-2025")</f>
        <v/>
      </c>
    </row>
    <row r="872" ht="15" customHeight="1">
      <c r="A872" t="inlineStr">
        <is>
          <t>A 33210-2023</t>
        </is>
      </c>
      <c r="B872" s="1" t="n">
        <v>45114</v>
      </c>
      <c r="C872" s="1" t="n">
        <v>46093</v>
      </c>
      <c r="D872" t="inlineStr">
        <is>
          <t>VÄSTERNORRLANDS LÄN</t>
        </is>
      </c>
      <c r="E872" t="inlineStr">
        <is>
          <t>KRAMFORS</t>
        </is>
      </c>
      <c r="G872" t="n">
        <v>20.1</v>
      </c>
      <c r="H872" t="n">
        <v>1</v>
      </c>
      <c r="I872" t="n">
        <v>1</v>
      </c>
      <c r="J872" t="n">
        <v>0</v>
      </c>
      <c r="K872" t="n">
        <v>0</v>
      </c>
      <c r="L872" t="n">
        <v>0</v>
      </c>
      <c r="M872" t="n">
        <v>0</v>
      </c>
      <c r="N872" t="n">
        <v>0</v>
      </c>
      <c r="O872" t="n">
        <v>0</v>
      </c>
      <c r="P872" t="n">
        <v>0</v>
      </c>
      <c r="Q872" t="n">
        <v>2</v>
      </c>
      <c r="R872" s="2" t="inlineStr">
        <is>
          <t>Svart trolldruva
Blåsippa</t>
        </is>
      </c>
      <c r="S872">
        <f>HYPERLINK("https://klasma.github.io/Logging_2282/artfynd/A 33210-2023 artfynd.xlsx", "A 33210-2023")</f>
        <v/>
      </c>
      <c r="T872">
        <f>HYPERLINK("https://klasma.github.io/Logging_2282/kartor/A 33210-2023 karta.png", "A 33210-2023")</f>
        <v/>
      </c>
      <c r="V872">
        <f>HYPERLINK("https://klasma.github.io/Logging_2282/klagomål/A 33210-2023 FSC-klagomål.docx", "A 33210-2023")</f>
        <v/>
      </c>
      <c r="W872">
        <f>HYPERLINK("https://klasma.github.io/Logging_2282/klagomålsmail/A 33210-2023 FSC-klagomål mail.docx", "A 33210-2023")</f>
        <v/>
      </c>
      <c r="X872">
        <f>HYPERLINK("https://klasma.github.io/Logging_2282/tillsyn/A 33210-2023 tillsynsbegäran.docx", "A 33210-2023")</f>
        <v/>
      </c>
      <c r="Y872">
        <f>HYPERLINK("https://klasma.github.io/Logging_2282/tillsynsmail/A 33210-2023 tillsynsbegäran mail.docx", "A 33210-2023")</f>
        <v/>
      </c>
    </row>
    <row r="873" ht="15" customHeight="1">
      <c r="A873" t="inlineStr">
        <is>
          <t>A 48374-2024</t>
        </is>
      </c>
      <c r="B873" s="1" t="n">
        <v>45590.58028935185</v>
      </c>
      <c r="C873" s="1" t="n">
        <v>46093</v>
      </c>
      <c r="D873" t="inlineStr">
        <is>
          <t>VÄSTERNORRLANDS LÄN</t>
        </is>
      </c>
      <c r="E873" t="inlineStr">
        <is>
          <t>ÅNGE</t>
        </is>
      </c>
      <c r="G873" t="n">
        <v>6.6</v>
      </c>
      <c r="H873" t="n">
        <v>0</v>
      </c>
      <c r="I873" t="n">
        <v>1</v>
      </c>
      <c r="J873" t="n">
        <v>1</v>
      </c>
      <c r="K873" t="n">
        <v>0</v>
      </c>
      <c r="L873" t="n">
        <v>0</v>
      </c>
      <c r="M873" t="n">
        <v>0</v>
      </c>
      <c r="N873" t="n">
        <v>0</v>
      </c>
      <c r="O873" t="n">
        <v>1</v>
      </c>
      <c r="P873" t="n">
        <v>0</v>
      </c>
      <c r="Q873" t="n">
        <v>2</v>
      </c>
      <c r="R873" s="2" t="inlineStr">
        <is>
          <t>Kolflarnlav
Bollvitmossa</t>
        </is>
      </c>
      <c r="S873">
        <f>HYPERLINK("https://klasma.github.io/Logging_2260/artfynd/A 48374-2024 artfynd.xlsx", "A 48374-2024")</f>
        <v/>
      </c>
      <c r="T873">
        <f>HYPERLINK("https://klasma.github.io/Logging_2260/kartor/A 48374-2024 karta.png", "A 48374-2024")</f>
        <v/>
      </c>
      <c r="V873">
        <f>HYPERLINK("https://klasma.github.io/Logging_2260/klagomål/A 48374-2024 FSC-klagomål.docx", "A 48374-2024")</f>
        <v/>
      </c>
      <c r="W873">
        <f>HYPERLINK("https://klasma.github.io/Logging_2260/klagomålsmail/A 48374-2024 FSC-klagomål mail.docx", "A 48374-2024")</f>
        <v/>
      </c>
      <c r="X873">
        <f>HYPERLINK("https://klasma.github.io/Logging_2260/tillsyn/A 48374-2024 tillsynsbegäran.docx", "A 48374-2024")</f>
        <v/>
      </c>
      <c r="Y873">
        <f>HYPERLINK("https://klasma.github.io/Logging_2260/tillsynsmail/A 48374-2024 tillsynsbegäran mail.docx", "A 48374-2024")</f>
        <v/>
      </c>
    </row>
    <row r="874" ht="15" customHeight="1">
      <c r="A874" t="inlineStr">
        <is>
          <t>A 44401-2023</t>
        </is>
      </c>
      <c r="B874" s="1" t="n">
        <v>45188</v>
      </c>
      <c r="C874" s="1" t="n">
        <v>46093</v>
      </c>
      <c r="D874" t="inlineStr">
        <is>
          <t>VÄSTERNORRLANDS LÄN</t>
        </is>
      </c>
      <c r="E874" t="inlineStr">
        <is>
          <t>HÄRNÖSAND</t>
        </is>
      </c>
      <c r="F874" t="inlineStr">
        <is>
          <t>SCA</t>
        </is>
      </c>
      <c r="G874" t="n">
        <v>5.9</v>
      </c>
      <c r="H874" t="n">
        <v>1</v>
      </c>
      <c r="I874" t="n">
        <v>0</v>
      </c>
      <c r="J874" t="n">
        <v>2</v>
      </c>
      <c r="K874" t="n">
        <v>0</v>
      </c>
      <c r="L874" t="n">
        <v>0</v>
      </c>
      <c r="M874" t="n">
        <v>0</v>
      </c>
      <c r="N874" t="n">
        <v>0</v>
      </c>
      <c r="O874" t="n">
        <v>2</v>
      </c>
      <c r="P874" t="n">
        <v>0</v>
      </c>
      <c r="Q874" t="n">
        <v>2</v>
      </c>
      <c r="R874" s="2" t="inlineStr">
        <is>
          <t>Spillkråka
Ullticka</t>
        </is>
      </c>
      <c r="S874">
        <f>HYPERLINK("https://klasma.github.io/Logging_2280/artfynd/A 44401-2023 artfynd.xlsx", "A 44401-2023")</f>
        <v/>
      </c>
      <c r="T874">
        <f>HYPERLINK("https://klasma.github.io/Logging_2280/kartor/A 44401-2023 karta.png", "A 44401-2023")</f>
        <v/>
      </c>
      <c r="V874">
        <f>HYPERLINK("https://klasma.github.io/Logging_2280/klagomål/A 44401-2023 FSC-klagomål.docx", "A 44401-2023")</f>
        <v/>
      </c>
      <c r="W874">
        <f>HYPERLINK("https://klasma.github.io/Logging_2280/klagomålsmail/A 44401-2023 FSC-klagomål mail.docx", "A 44401-2023")</f>
        <v/>
      </c>
      <c r="X874">
        <f>HYPERLINK("https://klasma.github.io/Logging_2280/tillsyn/A 44401-2023 tillsynsbegäran.docx", "A 44401-2023")</f>
        <v/>
      </c>
      <c r="Y874">
        <f>HYPERLINK("https://klasma.github.io/Logging_2280/tillsynsmail/A 44401-2023 tillsynsbegäran mail.docx", "A 44401-2023")</f>
        <v/>
      </c>
      <c r="Z874">
        <f>HYPERLINK("https://klasma.github.io/Logging_2280/fåglar/A 44401-2023 prioriterade fågelarter.docx", "A 44401-2023")</f>
        <v/>
      </c>
    </row>
    <row r="875" ht="15" customHeight="1">
      <c r="A875" t="inlineStr">
        <is>
          <t>A 2515-2024</t>
        </is>
      </c>
      <c r="B875" s="1" t="n">
        <v>45313</v>
      </c>
      <c r="C875" s="1" t="n">
        <v>46093</v>
      </c>
      <c r="D875" t="inlineStr">
        <is>
          <t>VÄSTERNORRLANDS LÄN</t>
        </is>
      </c>
      <c r="E875" t="inlineStr">
        <is>
          <t>SOLLEFTEÅ</t>
        </is>
      </c>
      <c r="F875" t="inlineStr">
        <is>
          <t>Kommuner</t>
        </is>
      </c>
      <c r="G875" t="n">
        <v>8.699999999999999</v>
      </c>
      <c r="H875" t="n">
        <v>1</v>
      </c>
      <c r="I875" t="n">
        <v>0</v>
      </c>
      <c r="J875" t="n">
        <v>2</v>
      </c>
      <c r="K875" t="n">
        <v>0</v>
      </c>
      <c r="L875" t="n">
        <v>0</v>
      </c>
      <c r="M875" t="n">
        <v>0</v>
      </c>
      <c r="N875" t="n">
        <v>0</v>
      </c>
      <c r="O875" t="n">
        <v>2</v>
      </c>
      <c r="P875" t="n">
        <v>0</v>
      </c>
      <c r="Q875" t="n">
        <v>2</v>
      </c>
      <c r="R875" s="2" t="inlineStr">
        <is>
          <t>Granticka
Talltita</t>
        </is>
      </c>
      <c r="S875">
        <f>HYPERLINK("https://klasma.github.io/Logging_2283/artfynd/A 2515-2024 artfynd.xlsx", "A 2515-2024")</f>
        <v/>
      </c>
      <c r="T875">
        <f>HYPERLINK("https://klasma.github.io/Logging_2283/kartor/A 2515-2024 karta.png", "A 2515-2024")</f>
        <v/>
      </c>
      <c r="V875">
        <f>HYPERLINK("https://klasma.github.io/Logging_2283/klagomål/A 2515-2024 FSC-klagomål.docx", "A 2515-2024")</f>
        <v/>
      </c>
      <c r="W875">
        <f>HYPERLINK("https://klasma.github.io/Logging_2283/klagomålsmail/A 2515-2024 FSC-klagomål mail.docx", "A 2515-2024")</f>
        <v/>
      </c>
      <c r="X875">
        <f>HYPERLINK("https://klasma.github.io/Logging_2283/tillsyn/A 2515-2024 tillsynsbegäran.docx", "A 2515-2024")</f>
        <v/>
      </c>
      <c r="Y875">
        <f>HYPERLINK("https://klasma.github.io/Logging_2283/tillsynsmail/A 2515-2024 tillsynsbegäran mail.docx", "A 2515-2024")</f>
        <v/>
      </c>
      <c r="Z875">
        <f>HYPERLINK("https://klasma.github.io/Logging_2283/fåglar/A 2515-2024 prioriterade fågelarter.docx", "A 2515-2024")</f>
        <v/>
      </c>
    </row>
    <row r="876" ht="15" customHeight="1">
      <c r="A876" t="inlineStr">
        <is>
          <t>A 48695-2024</t>
        </is>
      </c>
      <c r="B876" s="1" t="n">
        <v>45593.5109837963</v>
      </c>
      <c r="C876" s="1" t="n">
        <v>46093</v>
      </c>
      <c r="D876" t="inlineStr">
        <is>
          <t>VÄSTERNORRLANDS LÄN</t>
        </is>
      </c>
      <c r="E876" t="inlineStr">
        <is>
          <t>ÅNGE</t>
        </is>
      </c>
      <c r="F876" t="inlineStr">
        <is>
          <t>SCA</t>
        </is>
      </c>
      <c r="G876" t="n">
        <v>1.2</v>
      </c>
      <c r="H876" t="n">
        <v>0</v>
      </c>
      <c r="I876" t="n">
        <v>0</v>
      </c>
      <c r="J876" t="n">
        <v>2</v>
      </c>
      <c r="K876" t="n">
        <v>0</v>
      </c>
      <c r="L876" t="n">
        <v>0</v>
      </c>
      <c r="M876" t="n">
        <v>0</v>
      </c>
      <c r="N876" t="n">
        <v>0</v>
      </c>
      <c r="O876" t="n">
        <v>2</v>
      </c>
      <c r="P876" t="n">
        <v>0</v>
      </c>
      <c r="Q876" t="n">
        <v>2</v>
      </c>
      <c r="R876" s="2" t="inlineStr">
        <is>
          <t>Lunglav
Ullticka</t>
        </is>
      </c>
      <c r="S876">
        <f>HYPERLINK("https://klasma.github.io/Logging_2260/artfynd/A 48695-2024 artfynd.xlsx", "A 48695-2024")</f>
        <v/>
      </c>
      <c r="T876">
        <f>HYPERLINK("https://klasma.github.io/Logging_2260/kartor/A 48695-2024 karta.png", "A 48695-2024")</f>
        <v/>
      </c>
      <c r="V876">
        <f>HYPERLINK("https://klasma.github.io/Logging_2260/klagomål/A 48695-2024 FSC-klagomål.docx", "A 48695-2024")</f>
        <v/>
      </c>
      <c r="W876">
        <f>HYPERLINK("https://klasma.github.io/Logging_2260/klagomålsmail/A 48695-2024 FSC-klagomål mail.docx", "A 48695-2024")</f>
        <v/>
      </c>
      <c r="X876">
        <f>HYPERLINK("https://klasma.github.io/Logging_2260/tillsyn/A 48695-2024 tillsynsbegäran.docx", "A 48695-2024")</f>
        <v/>
      </c>
      <c r="Y876">
        <f>HYPERLINK("https://klasma.github.io/Logging_2260/tillsynsmail/A 48695-2024 tillsynsbegäran mail.docx", "A 48695-2024")</f>
        <v/>
      </c>
    </row>
    <row r="877" ht="15" customHeight="1">
      <c r="A877" t="inlineStr">
        <is>
          <t>A 37479-2024</t>
        </is>
      </c>
      <c r="B877" s="1" t="n">
        <v>45541.32978009259</v>
      </c>
      <c r="C877" s="1" t="n">
        <v>46093</v>
      </c>
      <c r="D877" t="inlineStr">
        <is>
          <t>VÄSTERNORRLANDS LÄN</t>
        </is>
      </c>
      <c r="E877" t="inlineStr">
        <is>
          <t>ÖRNSKÖLDSVIK</t>
        </is>
      </c>
      <c r="F877" t="inlineStr">
        <is>
          <t>Holmen skog AB</t>
        </is>
      </c>
      <c r="G877" t="n">
        <v>1.9</v>
      </c>
      <c r="H877" t="n">
        <v>0</v>
      </c>
      <c r="I877" t="n">
        <v>0</v>
      </c>
      <c r="J877" t="n">
        <v>2</v>
      </c>
      <c r="K877" t="n">
        <v>0</v>
      </c>
      <c r="L877" t="n">
        <v>0</v>
      </c>
      <c r="M877" t="n">
        <v>0</v>
      </c>
      <c r="N877" t="n">
        <v>0</v>
      </c>
      <c r="O877" t="n">
        <v>2</v>
      </c>
      <c r="P877" t="n">
        <v>0</v>
      </c>
      <c r="Q877" t="n">
        <v>2</v>
      </c>
      <c r="R877" s="2" t="inlineStr">
        <is>
          <t>Garnlav
Lunglav</t>
        </is>
      </c>
      <c r="S877">
        <f>HYPERLINK("https://klasma.github.io/Logging_2284/artfynd/A 37479-2024 artfynd.xlsx", "A 37479-2024")</f>
        <v/>
      </c>
      <c r="T877">
        <f>HYPERLINK("https://klasma.github.io/Logging_2284/kartor/A 37479-2024 karta.png", "A 37479-2024")</f>
        <v/>
      </c>
      <c r="V877">
        <f>HYPERLINK("https://klasma.github.io/Logging_2284/klagomål/A 37479-2024 FSC-klagomål.docx", "A 37479-2024")</f>
        <v/>
      </c>
      <c r="W877">
        <f>HYPERLINK("https://klasma.github.io/Logging_2284/klagomålsmail/A 37479-2024 FSC-klagomål mail.docx", "A 37479-2024")</f>
        <v/>
      </c>
      <c r="X877">
        <f>HYPERLINK("https://klasma.github.io/Logging_2284/tillsyn/A 37479-2024 tillsynsbegäran.docx", "A 37479-2024")</f>
        <v/>
      </c>
      <c r="Y877">
        <f>HYPERLINK("https://klasma.github.io/Logging_2284/tillsynsmail/A 37479-2024 tillsynsbegäran mail.docx", "A 37479-2024")</f>
        <v/>
      </c>
    </row>
    <row r="878" ht="15" customHeight="1">
      <c r="A878" t="inlineStr">
        <is>
          <t>A 27644-2024</t>
        </is>
      </c>
      <c r="B878" s="1" t="n">
        <v>45474</v>
      </c>
      <c r="C878" s="1" t="n">
        <v>46093</v>
      </c>
      <c r="D878" t="inlineStr">
        <is>
          <t>VÄSTERNORRLANDS LÄN</t>
        </is>
      </c>
      <c r="E878" t="inlineStr">
        <is>
          <t>SOLLEFTEÅ</t>
        </is>
      </c>
      <c r="F878" t="inlineStr">
        <is>
          <t>SCA</t>
        </is>
      </c>
      <c r="G878" t="n">
        <v>2.8</v>
      </c>
      <c r="H878" t="n">
        <v>1</v>
      </c>
      <c r="I878" t="n">
        <v>0</v>
      </c>
      <c r="J878" t="n">
        <v>1</v>
      </c>
      <c r="K878" t="n">
        <v>0</v>
      </c>
      <c r="L878" t="n">
        <v>0</v>
      </c>
      <c r="M878" t="n">
        <v>0</v>
      </c>
      <c r="N878" t="n">
        <v>0</v>
      </c>
      <c r="O878" t="n">
        <v>1</v>
      </c>
      <c r="P878" t="n">
        <v>0</v>
      </c>
      <c r="Q878" t="n">
        <v>2</v>
      </c>
      <c r="R878" s="2" t="inlineStr">
        <is>
          <t>Granticka
Fläcknycklar</t>
        </is>
      </c>
      <c r="S878">
        <f>HYPERLINK("https://klasma.github.io/Logging_2283/artfynd/A 27644-2024 artfynd.xlsx", "A 27644-2024")</f>
        <v/>
      </c>
      <c r="T878">
        <f>HYPERLINK("https://klasma.github.io/Logging_2283/kartor/A 27644-2024 karta.png", "A 27644-2024")</f>
        <v/>
      </c>
      <c r="V878">
        <f>HYPERLINK("https://klasma.github.io/Logging_2283/klagomål/A 27644-2024 FSC-klagomål.docx", "A 27644-2024")</f>
        <v/>
      </c>
      <c r="W878">
        <f>HYPERLINK("https://klasma.github.io/Logging_2283/klagomålsmail/A 27644-2024 FSC-klagomål mail.docx", "A 27644-2024")</f>
        <v/>
      </c>
      <c r="X878">
        <f>HYPERLINK("https://klasma.github.io/Logging_2283/tillsyn/A 27644-2024 tillsynsbegäran.docx", "A 27644-2024")</f>
        <v/>
      </c>
      <c r="Y878">
        <f>HYPERLINK("https://klasma.github.io/Logging_2283/tillsynsmail/A 27644-2024 tillsynsbegäran mail.docx", "A 27644-2024")</f>
        <v/>
      </c>
    </row>
    <row r="879" ht="15" customHeight="1">
      <c r="A879" t="inlineStr">
        <is>
          <t>A 63488-2025</t>
        </is>
      </c>
      <c r="B879" s="1" t="n">
        <v>46013.46922453704</v>
      </c>
      <c r="C879" s="1" t="n">
        <v>46093</v>
      </c>
      <c r="D879" t="inlineStr">
        <is>
          <t>VÄSTERNORRLANDS LÄN</t>
        </is>
      </c>
      <c r="E879" t="inlineStr">
        <is>
          <t>SUNDSVALL</t>
        </is>
      </c>
      <c r="F879" t="inlineStr">
        <is>
          <t>SCA</t>
        </is>
      </c>
      <c r="G879" t="n">
        <v>4.8</v>
      </c>
      <c r="H879" t="n">
        <v>0</v>
      </c>
      <c r="I879" t="n">
        <v>0</v>
      </c>
      <c r="J879" t="n">
        <v>2</v>
      </c>
      <c r="K879" t="n">
        <v>0</v>
      </c>
      <c r="L879" t="n">
        <v>0</v>
      </c>
      <c r="M879" t="n">
        <v>0</v>
      </c>
      <c r="N879" t="n">
        <v>0</v>
      </c>
      <c r="O879" t="n">
        <v>2</v>
      </c>
      <c r="P879" t="n">
        <v>0</v>
      </c>
      <c r="Q879" t="n">
        <v>2</v>
      </c>
      <c r="R879" s="2" t="inlineStr">
        <is>
          <t>Granticka
Ullticka</t>
        </is>
      </c>
      <c r="S879">
        <f>HYPERLINK("https://klasma.github.io/Logging_2281/artfynd/A 63488-2025 artfynd.xlsx", "A 63488-2025")</f>
        <v/>
      </c>
      <c r="T879">
        <f>HYPERLINK("https://klasma.github.io/Logging_2281/kartor/A 63488-2025 karta.png", "A 63488-2025")</f>
        <v/>
      </c>
      <c r="V879">
        <f>HYPERLINK("https://klasma.github.io/Logging_2281/klagomål/A 63488-2025 FSC-klagomål.docx", "A 63488-2025")</f>
        <v/>
      </c>
      <c r="W879">
        <f>HYPERLINK("https://klasma.github.io/Logging_2281/klagomålsmail/A 63488-2025 FSC-klagomål mail.docx", "A 63488-2025")</f>
        <v/>
      </c>
      <c r="X879">
        <f>HYPERLINK("https://klasma.github.io/Logging_2281/tillsyn/A 63488-2025 tillsynsbegäran.docx", "A 63488-2025")</f>
        <v/>
      </c>
      <c r="Y879">
        <f>HYPERLINK("https://klasma.github.io/Logging_2281/tillsynsmail/A 63488-2025 tillsynsbegäran mail.docx", "A 63488-2025")</f>
        <v/>
      </c>
    </row>
    <row r="880" ht="15" customHeight="1">
      <c r="A880" t="inlineStr">
        <is>
          <t>A 48016-2024</t>
        </is>
      </c>
      <c r="B880" s="1" t="n">
        <v>45589.46909722222</v>
      </c>
      <c r="C880" s="1" t="n">
        <v>46093</v>
      </c>
      <c r="D880" t="inlineStr">
        <is>
          <t>VÄSTERNORRLANDS LÄN</t>
        </is>
      </c>
      <c r="E880" t="inlineStr">
        <is>
          <t>SOLLEFTEÅ</t>
        </is>
      </c>
      <c r="F880" t="inlineStr">
        <is>
          <t>SCA</t>
        </is>
      </c>
      <c r="G880" t="n">
        <v>2.6</v>
      </c>
      <c r="H880" t="n">
        <v>1</v>
      </c>
      <c r="I880" t="n">
        <v>0</v>
      </c>
      <c r="J880" t="n">
        <v>2</v>
      </c>
      <c r="K880" t="n">
        <v>0</v>
      </c>
      <c r="L880" t="n">
        <v>0</v>
      </c>
      <c r="M880" t="n">
        <v>0</v>
      </c>
      <c r="N880" t="n">
        <v>0</v>
      </c>
      <c r="O880" t="n">
        <v>2</v>
      </c>
      <c r="P880" t="n">
        <v>0</v>
      </c>
      <c r="Q880" t="n">
        <v>2</v>
      </c>
      <c r="R880" s="2" t="inlineStr">
        <is>
          <t>Järpe
Ullticka</t>
        </is>
      </c>
      <c r="S880">
        <f>HYPERLINK("https://klasma.github.io/Logging_2283/artfynd/A 48016-2024 artfynd.xlsx", "A 48016-2024")</f>
        <v/>
      </c>
      <c r="T880">
        <f>HYPERLINK("https://klasma.github.io/Logging_2283/kartor/A 48016-2024 karta.png", "A 48016-2024")</f>
        <v/>
      </c>
      <c r="V880">
        <f>HYPERLINK("https://klasma.github.io/Logging_2283/klagomål/A 48016-2024 FSC-klagomål.docx", "A 48016-2024")</f>
        <v/>
      </c>
      <c r="W880">
        <f>HYPERLINK("https://klasma.github.io/Logging_2283/klagomålsmail/A 48016-2024 FSC-klagomål mail.docx", "A 48016-2024")</f>
        <v/>
      </c>
      <c r="X880">
        <f>HYPERLINK("https://klasma.github.io/Logging_2283/tillsyn/A 48016-2024 tillsynsbegäran.docx", "A 48016-2024")</f>
        <v/>
      </c>
      <c r="Y880">
        <f>HYPERLINK("https://klasma.github.io/Logging_2283/tillsynsmail/A 48016-2024 tillsynsbegäran mail.docx", "A 48016-2024")</f>
        <v/>
      </c>
      <c r="Z880">
        <f>HYPERLINK("https://klasma.github.io/Logging_2283/fåglar/A 48016-2024 prioriterade fågelarter.docx", "A 48016-2024")</f>
        <v/>
      </c>
    </row>
    <row r="881" ht="15" customHeight="1">
      <c r="A881" t="inlineStr">
        <is>
          <t>A 49871-2024</t>
        </is>
      </c>
      <c r="B881" s="1" t="n">
        <v>45597.4903125</v>
      </c>
      <c r="C881" s="1" t="n">
        <v>46093</v>
      </c>
      <c r="D881" t="inlineStr">
        <is>
          <t>VÄSTERNORRLANDS LÄN</t>
        </is>
      </c>
      <c r="E881" t="inlineStr">
        <is>
          <t>ÅNGE</t>
        </is>
      </c>
      <c r="F881" t="inlineStr">
        <is>
          <t>SCA</t>
        </is>
      </c>
      <c r="G881" t="n">
        <v>6.3</v>
      </c>
      <c r="H881" t="n">
        <v>1</v>
      </c>
      <c r="I881" t="n">
        <v>0</v>
      </c>
      <c r="J881" t="n">
        <v>1</v>
      </c>
      <c r="K881" t="n">
        <v>1</v>
      </c>
      <c r="L881" t="n">
        <v>0</v>
      </c>
      <c r="M881" t="n">
        <v>0</v>
      </c>
      <c r="N881" t="n">
        <v>0</v>
      </c>
      <c r="O881" t="n">
        <v>2</v>
      </c>
      <c r="P881" t="n">
        <v>1</v>
      </c>
      <c r="Q881" t="n">
        <v>2</v>
      </c>
      <c r="R881" s="2" t="inlineStr">
        <is>
          <t>Knärot
Garnlav</t>
        </is>
      </c>
      <c r="S881">
        <f>HYPERLINK("https://klasma.github.io/Logging_2260/artfynd/A 49871-2024 artfynd.xlsx", "A 49871-2024")</f>
        <v/>
      </c>
      <c r="T881">
        <f>HYPERLINK("https://klasma.github.io/Logging_2260/kartor/A 49871-2024 karta.png", "A 49871-2024")</f>
        <v/>
      </c>
      <c r="U881">
        <f>HYPERLINK("https://klasma.github.io/Logging_2260/knärot/A 49871-2024 karta knärot.png", "A 49871-2024")</f>
        <v/>
      </c>
      <c r="V881">
        <f>HYPERLINK("https://klasma.github.io/Logging_2260/klagomål/A 49871-2024 FSC-klagomål.docx", "A 49871-2024")</f>
        <v/>
      </c>
      <c r="W881">
        <f>HYPERLINK("https://klasma.github.io/Logging_2260/klagomålsmail/A 49871-2024 FSC-klagomål mail.docx", "A 49871-2024")</f>
        <v/>
      </c>
      <c r="X881">
        <f>HYPERLINK("https://klasma.github.io/Logging_2260/tillsyn/A 49871-2024 tillsynsbegäran.docx", "A 49871-2024")</f>
        <v/>
      </c>
      <c r="Y881">
        <f>HYPERLINK("https://klasma.github.io/Logging_2260/tillsynsmail/A 49871-2024 tillsynsbegäran mail.docx", "A 49871-2024")</f>
        <v/>
      </c>
    </row>
    <row r="882" ht="15" customHeight="1">
      <c r="A882" t="inlineStr">
        <is>
          <t>A 20836-2021</t>
        </is>
      </c>
      <c r="B882" s="1" t="n">
        <v>44318</v>
      </c>
      <c r="C882" s="1" t="n">
        <v>46093</v>
      </c>
      <c r="D882" t="inlineStr">
        <is>
          <t>VÄSTERNORRLANDS LÄN</t>
        </is>
      </c>
      <c r="E882" t="inlineStr">
        <is>
          <t>SOLLEFTEÅ</t>
        </is>
      </c>
      <c r="F882" t="inlineStr">
        <is>
          <t>SCA</t>
        </is>
      </c>
      <c r="G882" t="n">
        <v>4.8</v>
      </c>
      <c r="H882" t="n">
        <v>1</v>
      </c>
      <c r="I882" t="n">
        <v>0</v>
      </c>
      <c r="J882" t="n">
        <v>2</v>
      </c>
      <c r="K882" t="n">
        <v>0</v>
      </c>
      <c r="L882" t="n">
        <v>0</v>
      </c>
      <c r="M882" t="n">
        <v>0</v>
      </c>
      <c r="N882" t="n">
        <v>0</v>
      </c>
      <c r="O882" t="n">
        <v>2</v>
      </c>
      <c r="P882" t="n">
        <v>0</v>
      </c>
      <c r="Q882" t="n">
        <v>2</v>
      </c>
      <c r="R882" s="2" t="inlineStr">
        <is>
          <t>Garnlav
Talltita</t>
        </is>
      </c>
      <c r="S882">
        <f>HYPERLINK("https://klasma.github.io/Logging_2283/artfynd/A 20836-2021 artfynd.xlsx", "A 20836-2021")</f>
        <v/>
      </c>
      <c r="T882">
        <f>HYPERLINK("https://klasma.github.io/Logging_2283/kartor/A 20836-2021 karta.png", "A 20836-2021")</f>
        <v/>
      </c>
      <c r="V882">
        <f>HYPERLINK("https://klasma.github.io/Logging_2283/klagomål/A 20836-2021 FSC-klagomål.docx", "A 20836-2021")</f>
        <v/>
      </c>
      <c r="W882">
        <f>HYPERLINK("https://klasma.github.io/Logging_2283/klagomålsmail/A 20836-2021 FSC-klagomål mail.docx", "A 20836-2021")</f>
        <v/>
      </c>
      <c r="X882">
        <f>HYPERLINK("https://klasma.github.io/Logging_2283/tillsyn/A 20836-2021 tillsynsbegäran.docx", "A 20836-2021")</f>
        <v/>
      </c>
      <c r="Y882">
        <f>HYPERLINK("https://klasma.github.io/Logging_2283/tillsynsmail/A 20836-2021 tillsynsbegäran mail.docx", "A 20836-2021")</f>
        <v/>
      </c>
      <c r="Z882">
        <f>HYPERLINK("https://klasma.github.io/Logging_2283/fåglar/A 20836-2021 prioriterade fågelarter.docx", "A 20836-2021")</f>
        <v/>
      </c>
    </row>
    <row r="883" ht="15" customHeight="1">
      <c r="A883" t="inlineStr">
        <is>
          <t>A 58314-2024</t>
        </is>
      </c>
      <c r="B883" s="1" t="n">
        <v>45632.61516203704</v>
      </c>
      <c r="C883" s="1" t="n">
        <v>46093</v>
      </c>
      <c r="D883" t="inlineStr">
        <is>
          <t>VÄSTERNORRLANDS LÄN</t>
        </is>
      </c>
      <c r="E883" t="inlineStr">
        <is>
          <t>SOLLEFTEÅ</t>
        </is>
      </c>
      <c r="F883" t="inlineStr">
        <is>
          <t>SCA</t>
        </is>
      </c>
      <c r="G883" t="n">
        <v>3.3</v>
      </c>
      <c r="H883" t="n">
        <v>0</v>
      </c>
      <c r="I883" t="n">
        <v>0</v>
      </c>
      <c r="J883" t="n">
        <v>2</v>
      </c>
      <c r="K883" t="n">
        <v>0</v>
      </c>
      <c r="L883" t="n">
        <v>0</v>
      </c>
      <c r="M883" t="n">
        <v>0</v>
      </c>
      <c r="N883" t="n">
        <v>0</v>
      </c>
      <c r="O883" t="n">
        <v>2</v>
      </c>
      <c r="P883" t="n">
        <v>0</v>
      </c>
      <c r="Q883" t="n">
        <v>2</v>
      </c>
      <c r="R883" s="2" t="inlineStr">
        <is>
          <t>Garnlav
Gränsticka</t>
        </is>
      </c>
      <c r="S883">
        <f>HYPERLINK("https://klasma.github.io/Logging_2283/artfynd/A 58314-2024 artfynd.xlsx", "A 58314-2024")</f>
        <v/>
      </c>
      <c r="T883">
        <f>HYPERLINK("https://klasma.github.io/Logging_2283/kartor/A 58314-2024 karta.png", "A 58314-2024")</f>
        <v/>
      </c>
      <c r="V883">
        <f>HYPERLINK("https://klasma.github.io/Logging_2283/klagomål/A 58314-2024 FSC-klagomål.docx", "A 58314-2024")</f>
        <v/>
      </c>
      <c r="W883">
        <f>HYPERLINK("https://klasma.github.io/Logging_2283/klagomålsmail/A 58314-2024 FSC-klagomål mail.docx", "A 58314-2024")</f>
        <v/>
      </c>
      <c r="X883">
        <f>HYPERLINK("https://klasma.github.io/Logging_2283/tillsyn/A 58314-2024 tillsynsbegäran.docx", "A 58314-2024")</f>
        <v/>
      </c>
      <c r="Y883">
        <f>HYPERLINK("https://klasma.github.io/Logging_2283/tillsynsmail/A 58314-2024 tillsynsbegäran mail.docx", "A 58314-2024")</f>
        <v/>
      </c>
    </row>
    <row r="884" ht="15" customHeight="1">
      <c r="A884" t="inlineStr">
        <is>
          <t>A 61515-2024</t>
        </is>
      </c>
      <c r="B884" s="1" t="n">
        <v>45646.57324074074</v>
      </c>
      <c r="C884" s="1" t="n">
        <v>46093</v>
      </c>
      <c r="D884" t="inlineStr">
        <is>
          <t>VÄSTERNORRLANDS LÄN</t>
        </is>
      </c>
      <c r="E884" t="inlineStr">
        <is>
          <t>ÖRNSKÖLDSVIK</t>
        </is>
      </c>
      <c r="F884" t="inlineStr">
        <is>
          <t>SCA</t>
        </is>
      </c>
      <c r="G884" t="n">
        <v>2.5</v>
      </c>
      <c r="H884" t="n">
        <v>0</v>
      </c>
      <c r="I884" t="n">
        <v>1</v>
      </c>
      <c r="J884" t="n">
        <v>1</v>
      </c>
      <c r="K884" t="n">
        <v>0</v>
      </c>
      <c r="L884" t="n">
        <v>0</v>
      </c>
      <c r="M884" t="n">
        <v>0</v>
      </c>
      <c r="N884" t="n">
        <v>0</v>
      </c>
      <c r="O884" t="n">
        <v>1</v>
      </c>
      <c r="P884" t="n">
        <v>0</v>
      </c>
      <c r="Q884" t="n">
        <v>2</v>
      </c>
      <c r="R884" s="2" t="inlineStr">
        <is>
          <t>Motaggsvamp
Dropptaggsvamp</t>
        </is>
      </c>
      <c r="S884">
        <f>HYPERLINK("https://klasma.github.io/Logging_2284/artfynd/A 61515-2024 artfynd.xlsx", "A 61515-2024")</f>
        <v/>
      </c>
      <c r="T884">
        <f>HYPERLINK("https://klasma.github.io/Logging_2284/kartor/A 61515-2024 karta.png", "A 61515-2024")</f>
        <v/>
      </c>
      <c r="V884">
        <f>HYPERLINK("https://klasma.github.io/Logging_2284/klagomål/A 61515-2024 FSC-klagomål.docx", "A 61515-2024")</f>
        <v/>
      </c>
      <c r="W884">
        <f>HYPERLINK("https://klasma.github.io/Logging_2284/klagomålsmail/A 61515-2024 FSC-klagomål mail.docx", "A 61515-2024")</f>
        <v/>
      </c>
      <c r="X884">
        <f>HYPERLINK("https://klasma.github.io/Logging_2284/tillsyn/A 61515-2024 tillsynsbegäran.docx", "A 61515-2024")</f>
        <v/>
      </c>
      <c r="Y884">
        <f>HYPERLINK("https://klasma.github.io/Logging_2284/tillsynsmail/A 61515-2024 tillsynsbegäran mail.docx", "A 61515-2024")</f>
        <v/>
      </c>
    </row>
    <row r="885" ht="15" customHeight="1">
      <c r="A885" t="inlineStr">
        <is>
          <t>A 7763-2026</t>
        </is>
      </c>
      <c r="B885" s="1" t="n">
        <v>46062.55969907407</v>
      </c>
      <c r="C885" s="1" t="n">
        <v>46093</v>
      </c>
      <c r="D885" t="inlineStr">
        <is>
          <t>VÄSTERNORRLANDS LÄN</t>
        </is>
      </c>
      <c r="E885" t="inlineStr">
        <is>
          <t>SUNDSVALL</t>
        </is>
      </c>
      <c r="G885" t="n">
        <v>2.1</v>
      </c>
      <c r="H885" t="n">
        <v>1</v>
      </c>
      <c r="I885" t="n">
        <v>0</v>
      </c>
      <c r="J885" t="n">
        <v>2</v>
      </c>
      <c r="K885" t="n">
        <v>0</v>
      </c>
      <c r="L885" t="n">
        <v>0</v>
      </c>
      <c r="M885" t="n">
        <v>0</v>
      </c>
      <c r="N885" t="n">
        <v>0</v>
      </c>
      <c r="O885" t="n">
        <v>2</v>
      </c>
      <c r="P885" t="n">
        <v>0</v>
      </c>
      <c r="Q885" t="n">
        <v>2</v>
      </c>
      <c r="R885" s="2" t="inlineStr">
        <is>
          <t>Garnlav
Tretåig hackspett</t>
        </is>
      </c>
      <c r="S885">
        <f>HYPERLINK("https://klasma.github.io/Logging_2281/artfynd/A 7763-2026 artfynd.xlsx", "A 7763-2026")</f>
        <v/>
      </c>
      <c r="T885">
        <f>HYPERLINK("https://klasma.github.io/Logging_2281/kartor/A 7763-2026 karta.png", "A 7763-2026")</f>
        <v/>
      </c>
      <c r="V885">
        <f>HYPERLINK("https://klasma.github.io/Logging_2281/klagomål/A 7763-2026 FSC-klagomål.docx", "A 7763-2026")</f>
        <v/>
      </c>
      <c r="W885">
        <f>HYPERLINK("https://klasma.github.io/Logging_2281/klagomålsmail/A 7763-2026 FSC-klagomål mail.docx", "A 7763-2026")</f>
        <v/>
      </c>
      <c r="X885">
        <f>HYPERLINK("https://klasma.github.io/Logging_2281/tillsyn/A 7763-2026 tillsynsbegäran.docx", "A 7763-2026")</f>
        <v/>
      </c>
      <c r="Y885">
        <f>HYPERLINK("https://klasma.github.io/Logging_2281/tillsynsmail/A 7763-2026 tillsynsbegäran mail.docx", "A 7763-2026")</f>
        <v/>
      </c>
      <c r="Z885">
        <f>HYPERLINK("https://klasma.github.io/Logging_2281/fåglar/A 7763-2026 prioriterade fågelarter.docx", "A 7763-2026")</f>
        <v/>
      </c>
    </row>
    <row r="886" ht="15" customHeight="1">
      <c r="A886" t="inlineStr">
        <is>
          <t>A 54994-2025</t>
        </is>
      </c>
      <c r="B886" s="1" t="n">
        <v>45967.59415509259</v>
      </c>
      <c r="C886" s="1" t="n">
        <v>46093</v>
      </c>
      <c r="D886" t="inlineStr">
        <is>
          <t>VÄSTERNORRLANDS LÄN</t>
        </is>
      </c>
      <c r="E886" t="inlineStr">
        <is>
          <t>TIMRÅ</t>
        </is>
      </c>
      <c r="F886" t="inlineStr">
        <is>
          <t>SCA</t>
        </is>
      </c>
      <c r="G886" t="n">
        <v>3.2</v>
      </c>
      <c r="H886" t="n">
        <v>0</v>
      </c>
      <c r="I886" t="n">
        <v>1</v>
      </c>
      <c r="J886" t="n">
        <v>1</v>
      </c>
      <c r="K886" t="n">
        <v>0</v>
      </c>
      <c r="L886" t="n">
        <v>0</v>
      </c>
      <c r="M886" t="n">
        <v>0</v>
      </c>
      <c r="N886" t="n">
        <v>0</v>
      </c>
      <c r="O886" t="n">
        <v>1</v>
      </c>
      <c r="P886" t="n">
        <v>0</v>
      </c>
      <c r="Q886" t="n">
        <v>2</v>
      </c>
      <c r="R886" s="2" t="inlineStr">
        <is>
          <t>Garnlav
Skinnlav</t>
        </is>
      </c>
      <c r="S886">
        <f>HYPERLINK("https://klasma.github.io/Logging_2262/artfynd/A 54994-2025 artfynd.xlsx", "A 54994-2025")</f>
        <v/>
      </c>
      <c r="T886">
        <f>HYPERLINK("https://klasma.github.io/Logging_2262/kartor/A 54994-2025 karta.png", "A 54994-2025")</f>
        <v/>
      </c>
      <c r="V886">
        <f>HYPERLINK("https://klasma.github.io/Logging_2262/klagomål/A 54994-2025 FSC-klagomål.docx", "A 54994-2025")</f>
        <v/>
      </c>
      <c r="W886">
        <f>HYPERLINK("https://klasma.github.io/Logging_2262/klagomålsmail/A 54994-2025 FSC-klagomål mail.docx", "A 54994-2025")</f>
        <v/>
      </c>
      <c r="X886">
        <f>HYPERLINK("https://klasma.github.io/Logging_2262/tillsyn/A 54994-2025 tillsynsbegäran.docx", "A 54994-2025")</f>
        <v/>
      </c>
      <c r="Y886">
        <f>HYPERLINK("https://klasma.github.io/Logging_2262/tillsynsmail/A 54994-2025 tillsynsbegäran mail.docx", "A 54994-2025")</f>
        <v/>
      </c>
    </row>
    <row r="887" ht="15" customHeight="1">
      <c r="A887" t="inlineStr">
        <is>
          <t>A 52741-2022</t>
        </is>
      </c>
      <c r="B887" s="1" t="n">
        <v>44874</v>
      </c>
      <c r="C887" s="1" t="n">
        <v>46093</v>
      </c>
      <c r="D887" t="inlineStr">
        <is>
          <t>VÄSTERNORRLANDS LÄN</t>
        </is>
      </c>
      <c r="E887" t="inlineStr">
        <is>
          <t>SUNDSVALL</t>
        </is>
      </c>
      <c r="F887" t="inlineStr">
        <is>
          <t>SCA</t>
        </is>
      </c>
      <c r="G887" t="n">
        <v>5.2</v>
      </c>
      <c r="H887" t="n">
        <v>1</v>
      </c>
      <c r="I887" t="n">
        <v>1</v>
      </c>
      <c r="J887" t="n">
        <v>1</v>
      </c>
      <c r="K887" t="n">
        <v>0</v>
      </c>
      <c r="L887" t="n">
        <v>0</v>
      </c>
      <c r="M887" t="n">
        <v>0</v>
      </c>
      <c r="N887" t="n">
        <v>0</v>
      </c>
      <c r="O887" t="n">
        <v>1</v>
      </c>
      <c r="P887" t="n">
        <v>0</v>
      </c>
      <c r="Q887" t="n">
        <v>2</v>
      </c>
      <c r="R887" s="2" t="inlineStr">
        <is>
          <t>Videsparv
Skuggblåslav</t>
        </is>
      </c>
      <c r="S887">
        <f>HYPERLINK("https://klasma.github.io/Logging_2281/artfynd/A 52741-2022 artfynd.xlsx", "A 52741-2022")</f>
        <v/>
      </c>
      <c r="T887">
        <f>HYPERLINK("https://klasma.github.io/Logging_2281/kartor/A 52741-2022 karta.png", "A 52741-2022")</f>
        <v/>
      </c>
      <c r="V887">
        <f>HYPERLINK("https://klasma.github.io/Logging_2281/klagomål/A 52741-2022 FSC-klagomål.docx", "A 52741-2022")</f>
        <v/>
      </c>
      <c r="W887">
        <f>HYPERLINK("https://klasma.github.io/Logging_2281/klagomålsmail/A 52741-2022 FSC-klagomål mail.docx", "A 52741-2022")</f>
        <v/>
      </c>
      <c r="X887">
        <f>HYPERLINK("https://klasma.github.io/Logging_2281/tillsyn/A 52741-2022 tillsynsbegäran.docx", "A 52741-2022")</f>
        <v/>
      </c>
      <c r="Y887">
        <f>HYPERLINK("https://klasma.github.io/Logging_2281/tillsynsmail/A 52741-2022 tillsynsbegäran mail.docx", "A 52741-2022")</f>
        <v/>
      </c>
      <c r="Z887">
        <f>HYPERLINK("https://klasma.github.io/Logging_2281/fåglar/A 52741-2022 prioriterade fågelarter.docx", "A 52741-2022")</f>
        <v/>
      </c>
    </row>
    <row r="888" ht="15" customHeight="1">
      <c r="A888" t="inlineStr">
        <is>
          <t>A 62256-2022</t>
        </is>
      </c>
      <c r="B888" s="1" t="n">
        <v>44922.94278935185</v>
      </c>
      <c r="C888" s="1" t="n">
        <v>46093</v>
      </c>
      <c r="D888" t="inlineStr">
        <is>
          <t>VÄSTERNORRLANDS LÄN</t>
        </is>
      </c>
      <c r="E888" t="inlineStr">
        <is>
          <t>ÖRNSKÖLDSVIK</t>
        </is>
      </c>
      <c r="F888" t="inlineStr">
        <is>
          <t>SCA</t>
        </is>
      </c>
      <c r="G888" t="n">
        <v>2.4</v>
      </c>
      <c r="H888" t="n">
        <v>1</v>
      </c>
      <c r="I888" t="n">
        <v>0</v>
      </c>
      <c r="J888" t="n">
        <v>2</v>
      </c>
      <c r="K888" t="n">
        <v>0</v>
      </c>
      <c r="L888" t="n">
        <v>0</v>
      </c>
      <c r="M888" t="n">
        <v>0</v>
      </c>
      <c r="N888" t="n">
        <v>0</v>
      </c>
      <c r="O888" t="n">
        <v>2</v>
      </c>
      <c r="P888" t="n">
        <v>0</v>
      </c>
      <c r="Q888" t="n">
        <v>2</v>
      </c>
      <c r="R888" s="2" t="inlineStr">
        <is>
          <t>Granticka
Tretåig hackspett</t>
        </is>
      </c>
      <c r="S888">
        <f>HYPERLINK("https://klasma.github.io/Logging_2284/artfynd/A 62256-2022 artfynd.xlsx", "A 62256-2022")</f>
        <v/>
      </c>
      <c r="T888">
        <f>HYPERLINK("https://klasma.github.io/Logging_2284/kartor/A 62256-2022 karta.png", "A 62256-2022")</f>
        <v/>
      </c>
      <c r="V888">
        <f>HYPERLINK("https://klasma.github.io/Logging_2284/klagomål/A 62256-2022 FSC-klagomål.docx", "A 62256-2022")</f>
        <v/>
      </c>
      <c r="W888">
        <f>HYPERLINK("https://klasma.github.io/Logging_2284/klagomålsmail/A 62256-2022 FSC-klagomål mail.docx", "A 62256-2022")</f>
        <v/>
      </c>
      <c r="X888">
        <f>HYPERLINK("https://klasma.github.io/Logging_2284/tillsyn/A 62256-2022 tillsynsbegäran.docx", "A 62256-2022")</f>
        <v/>
      </c>
      <c r="Y888">
        <f>HYPERLINK("https://klasma.github.io/Logging_2284/tillsynsmail/A 62256-2022 tillsynsbegäran mail.docx", "A 62256-2022")</f>
        <v/>
      </c>
      <c r="Z888">
        <f>HYPERLINK("https://klasma.github.io/Logging_2284/fåglar/A 62256-2022 prioriterade fågelarter.docx", "A 62256-2022")</f>
        <v/>
      </c>
    </row>
    <row r="889" ht="15" customHeight="1">
      <c r="A889" t="inlineStr">
        <is>
          <t>A 8615-2026</t>
        </is>
      </c>
      <c r="B889" s="1" t="n">
        <v>46065.91516203704</v>
      </c>
      <c r="C889" s="1" t="n">
        <v>46093</v>
      </c>
      <c r="D889" t="inlineStr">
        <is>
          <t>VÄSTERNORRLANDS LÄN</t>
        </is>
      </c>
      <c r="E889" t="inlineStr">
        <is>
          <t>SOLLEFTEÅ</t>
        </is>
      </c>
      <c r="G889" t="n">
        <v>4.5</v>
      </c>
      <c r="H889" t="n">
        <v>0</v>
      </c>
      <c r="I889" t="n">
        <v>1</v>
      </c>
      <c r="J889" t="n">
        <v>1</v>
      </c>
      <c r="K889" t="n">
        <v>0</v>
      </c>
      <c r="L889" t="n">
        <v>0</v>
      </c>
      <c r="M889" t="n">
        <v>0</v>
      </c>
      <c r="N889" t="n">
        <v>0</v>
      </c>
      <c r="O889" t="n">
        <v>1</v>
      </c>
      <c r="P889" t="n">
        <v>0</v>
      </c>
      <c r="Q889" t="n">
        <v>2</v>
      </c>
      <c r="R889" s="2" t="inlineStr">
        <is>
          <t>Granticka
Springkorn</t>
        </is>
      </c>
      <c r="S889">
        <f>HYPERLINK("https://klasma.github.io/Logging_2283/artfynd/A 8615-2026 artfynd.xlsx", "A 8615-2026")</f>
        <v/>
      </c>
      <c r="T889">
        <f>HYPERLINK("https://klasma.github.io/Logging_2283/kartor/A 8615-2026 karta.png", "A 8615-2026")</f>
        <v/>
      </c>
      <c r="V889">
        <f>HYPERLINK("https://klasma.github.io/Logging_2283/klagomål/A 8615-2026 FSC-klagomål.docx", "A 8615-2026")</f>
        <v/>
      </c>
      <c r="W889">
        <f>HYPERLINK("https://klasma.github.io/Logging_2283/klagomålsmail/A 8615-2026 FSC-klagomål mail.docx", "A 8615-2026")</f>
        <v/>
      </c>
      <c r="X889">
        <f>HYPERLINK("https://klasma.github.io/Logging_2283/tillsyn/A 8615-2026 tillsynsbegäran.docx", "A 8615-2026")</f>
        <v/>
      </c>
      <c r="Y889">
        <f>HYPERLINK("https://klasma.github.io/Logging_2283/tillsynsmail/A 8615-2026 tillsynsbegäran mail.docx", "A 8615-2026")</f>
        <v/>
      </c>
    </row>
    <row r="890" ht="15" customHeight="1">
      <c r="A890" t="inlineStr">
        <is>
          <t>A 3960-2024</t>
        </is>
      </c>
      <c r="B890" s="1" t="n">
        <v>45322</v>
      </c>
      <c r="C890" s="1" t="n">
        <v>46093</v>
      </c>
      <c r="D890" t="inlineStr">
        <is>
          <t>VÄSTERNORRLANDS LÄN</t>
        </is>
      </c>
      <c r="E890" t="inlineStr">
        <is>
          <t>SUNDSVALL</t>
        </is>
      </c>
      <c r="G890" t="n">
        <v>3.1</v>
      </c>
      <c r="H890" t="n">
        <v>1</v>
      </c>
      <c r="I890" t="n">
        <v>1</v>
      </c>
      <c r="J890" t="n">
        <v>1</v>
      </c>
      <c r="K890" t="n">
        <v>0</v>
      </c>
      <c r="L890" t="n">
        <v>0</v>
      </c>
      <c r="M890" t="n">
        <v>0</v>
      </c>
      <c r="N890" t="n">
        <v>0</v>
      </c>
      <c r="O890" t="n">
        <v>1</v>
      </c>
      <c r="P890" t="n">
        <v>0</v>
      </c>
      <c r="Q890" t="n">
        <v>2</v>
      </c>
      <c r="R890" s="2" t="inlineStr">
        <is>
          <t>Tretåig hackspett
Skinnlav</t>
        </is>
      </c>
      <c r="S890">
        <f>HYPERLINK("https://klasma.github.io/Logging_2281/artfynd/A 3960-2024 artfynd.xlsx", "A 3960-2024")</f>
        <v/>
      </c>
      <c r="T890">
        <f>HYPERLINK("https://klasma.github.io/Logging_2281/kartor/A 3960-2024 karta.png", "A 3960-2024")</f>
        <v/>
      </c>
      <c r="V890">
        <f>HYPERLINK("https://klasma.github.io/Logging_2281/klagomål/A 3960-2024 FSC-klagomål.docx", "A 3960-2024")</f>
        <v/>
      </c>
      <c r="W890">
        <f>HYPERLINK("https://klasma.github.io/Logging_2281/klagomålsmail/A 3960-2024 FSC-klagomål mail.docx", "A 3960-2024")</f>
        <v/>
      </c>
      <c r="X890">
        <f>HYPERLINK("https://klasma.github.io/Logging_2281/tillsyn/A 3960-2024 tillsynsbegäran.docx", "A 3960-2024")</f>
        <v/>
      </c>
      <c r="Y890">
        <f>HYPERLINK("https://klasma.github.io/Logging_2281/tillsynsmail/A 3960-2024 tillsynsbegäran mail.docx", "A 3960-2024")</f>
        <v/>
      </c>
      <c r="Z890">
        <f>HYPERLINK("https://klasma.github.io/Logging_2281/fåglar/A 3960-2024 prioriterade fågelarter.docx", "A 3960-2024")</f>
        <v/>
      </c>
    </row>
    <row r="891" ht="15" customHeight="1">
      <c r="A891" t="inlineStr">
        <is>
          <t>A 8324-2025</t>
        </is>
      </c>
      <c r="B891" s="1" t="n">
        <v>45708.63621527778</v>
      </c>
      <c r="C891" s="1" t="n">
        <v>46093</v>
      </c>
      <c r="D891" t="inlineStr">
        <is>
          <t>VÄSTERNORRLANDS LÄN</t>
        </is>
      </c>
      <c r="E891" t="inlineStr">
        <is>
          <t>ÅNGE</t>
        </is>
      </c>
      <c r="F891" t="inlineStr">
        <is>
          <t>SCA</t>
        </is>
      </c>
      <c r="G891" t="n">
        <v>7.8</v>
      </c>
      <c r="H891" t="n">
        <v>0</v>
      </c>
      <c r="I891" t="n">
        <v>1</v>
      </c>
      <c r="J891" t="n">
        <v>1</v>
      </c>
      <c r="K891" t="n">
        <v>0</v>
      </c>
      <c r="L891" t="n">
        <v>0</v>
      </c>
      <c r="M891" t="n">
        <v>0</v>
      </c>
      <c r="N891" t="n">
        <v>0</v>
      </c>
      <c r="O891" t="n">
        <v>1</v>
      </c>
      <c r="P891" t="n">
        <v>0</v>
      </c>
      <c r="Q891" t="n">
        <v>2</v>
      </c>
      <c r="R891" s="2" t="inlineStr">
        <is>
          <t>Vitgrynig nållav
Bollvitmossa</t>
        </is>
      </c>
      <c r="S891">
        <f>HYPERLINK("https://klasma.github.io/Logging_2260/artfynd/A 8324-2025 artfynd.xlsx", "A 8324-2025")</f>
        <v/>
      </c>
      <c r="T891">
        <f>HYPERLINK("https://klasma.github.io/Logging_2260/kartor/A 8324-2025 karta.png", "A 8324-2025")</f>
        <v/>
      </c>
      <c r="V891">
        <f>HYPERLINK("https://klasma.github.io/Logging_2260/klagomål/A 8324-2025 FSC-klagomål.docx", "A 8324-2025")</f>
        <v/>
      </c>
      <c r="W891">
        <f>HYPERLINK("https://klasma.github.io/Logging_2260/klagomålsmail/A 8324-2025 FSC-klagomål mail.docx", "A 8324-2025")</f>
        <v/>
      </c>
      <c r="X891">
        <f>HYPERLINK("https://klasma.github.io/Logging_2260/tillsyn/A 8324-2025 tillsynsbegäran.docx", "A 8324-2025")</f>
        <v/>
      </c>
      <c r="Y891">
        <f>HYPERLINK("https://klasma.github.io/Logging_2260/tillsynsmail/A 8324-2025 tillsynsbegäran mail.docx", "A 8324-2025")</f>
        <v/>
      </c>
    </row>
    <row r="892" ht="15" customHeight="1">
      <c r="A892" t="inlineStr">
        <is>
          <t>A 18399-2025</t>
        </is>
      </c>
      <c r="B892" s="1" t="n">
        <v>45762.595</v>
      </c>
      <c r="C892" s="1" t="n">
        <v>46093</v>
      </c>
      <c r="D892" t="inlineStr">
        <is>
          <t>VÄSTERNORRLANDS LÄN</t>
        </is>
      </c>
      <c r="E892" t="inlineStr">
        <is>
          <t>TIMRÅ</t>
        </is>
      </c>
      <c r="G892" t="n">
        <v>1.8</v>
      </c>
      <c r="H892" t="n">
        <v>1</v>
      </c>
      <c r="I892" t="n">
        <v>0</v>
      </c>
      <c r="J892" t="n">
        <v>1</v>
      </c>
      <c r="K892" t="n">
        <v>0</v>
      </c>
      <c r="L892" t="n">
        <v>0</v>
      </c>
      <c r="M892" t="n">
        <v>0</v>
      </c>
      <c r="N892" t="n">
        <v>0</v>
      </c>
      <c r="O892" t="n">
        <v>1</v>
      </c>
      <c r="P892" t="n">
        <v>0</v>
      </c>
      <c r="Q892" t="n">
        <v>2</v>
      </c>
      <c r="R892" s="2" t="inlineStr">
        <is>
          <t>Slåtterfibbla
Kopparödla</t>
        </is>
      </c>
      <c r="S892">
        <f>HYPERLINK("https://klasma.github.io/Logging_2262/artfynd/A 18399-2025 artfynd.xlsx", "A 18399-2025")</f>
        <v/>
      </c>
      <c r="T892">
        <f>HYPERLINK("https://klasma.github.io/Logging_2262/kartor/A 18399-2025 karta.png", "A 18399-2025")</f>
        <v/>
      </c>
      <c r="V892">
        <f>HYPERLINK("https://klasma.github.io/Logging_2262/klagomål/A 18399-2025 FSC-klagomål.docx", "A 18399-2025")</f>
        <v/>
      </c>
      <c r="W892">
        <f>HYPERLINK("https://klasma.github.io/Logging_2262/klagomålsmail/A 18399-2025 FSC-klagomål mail.docx", "A 18399-2025")</f>
        <v/>
      </c>
      <c r="X892">
        <f>HYPERLINK("https://klasma.github.io/Logging_2262/tillsyn/A 18399-2025 tillsynsbegäran.docx", "A 18399-2025")</f>
        <v/>
      </c>
      <c r="Y892">
        <f>HYPERLINK("https://klasma.github.io/Logging_2262/tillsynsmail/A 18399-2025 tillsynsbegäran mail.docx", "A 18399-2025")</f>
        <v/>
      </c>
    </row>
    <row r="893" ht="15" customHeight="1">
      <c r="A893" t="inlineStr">
        <is>
          <t>A 16718-2025</t>
        </is>
      </c>
      <c r="B893" s="1" t="n">
        <v>45754.48990740741</v>
      </c>
      <c r="C893" s="1" t="n">
        <v>46093</v>
      </c>
      <c r="D893" t="inlineStr">
        <is>
          <t>VÄSTERNORRLANDS LÄN</t>
        </is>
      </c>
      <c r="E893" t="inlineStr">
        <is>
          <t>SOLLEFTEÅ</t>
        </is>
      </c>
      <c r="G893" t="n">
        <v>3.9</v>
      </c>
      <c r="H893" t="n">
        <v>1</v>
      </c>
      <c r="I893" t="n">
        <v>0</v>
      </c>
      <c r="J893" t="n">
        <v>1</v>
      </c>
      <c r="K893" t="n">
        <v>0</v>
      </c>
      <c r="L893" t="n">
        <v>0</v>
      </c>
      <c r="M893" t="n">
        <v>0</v>
      </c>
      <c r="N893" t="n">
        <v>0</v>
      </c>
      <c r="O893" t="n">
        <v>1</v>
      </c>
      <c r="P893" t="n">
        <v>0</v>
      </c>
      <c r="Q893" t="n">
        <v>2</v>
      </c>
      <c r="R893" s="2" t="inlineStr">
        <is>
          <t>Garnlav
Lavskrika</t>
        </is>
      </c>
      <c r="S893">
        <f>HYPERLINK("https://klasma.github.io/Logging_2283/artfynd/A 16718-2025 artfynd.xlsx", "A 16718-2025")</f>
        <v/>
      </c>
      <c r="T893">
        <f>HYPERLINK("https://klasma.github.io/Logging_2283/kartor/A 16718-2025 karta.png", "A 16718-2025")</f>
        <v/>
      </c>
      <c r="V893">
        <f>HYPERLINK("https://klasma.github.io/Logging_2283/klagomål/A 16718-2025 FSC-klagomål.docx", "A 16718-2025")</f>
        <v/>
      </c>
      <c r="W893">
        <f>HYPERLINK("https://klasma.github.io/Logging_2283/klagomålsmail/A 16718-2025 FSC-klagomål mail.docx", "A 16718-2025")</f>
        <v/>
      </c>
      <c r="X893">
        <f>HYPERLINK("https://klasma.github.io/Logging_2283/tillsyn/A 16718-2025 tillsynsbegäran.docx", "A 16718-2025")</f>
        <v/>
      </c>
      <c r="Y893">
        <f>HYPERLINK("https://klasma.github.io/Logging_2283/tillsynsmail/A 16718-2025 tillsynsbegäran mail.docx", "A 16718-2025")</f>
        <v/>
      </c>
      <c r="Z893">
        <f>HYPERLINK("https://klasma.github.io/Logging_2283/fåglar/A 16718-2025 prioriterade fågelarter.docx", "A 16718-2025")</f>
        <v/>
      </c>
    </row>
    <row r="894" ht="15" customHeight="1">
      <c r="A894" t="inlineStr">
        <is>
          <t>A 20882-2025</t>
        </is>
      </c>
      <c r="B894" s="1" t="n">
        <v>45777.36506944444</v>
      </c>
      <c r="C894" s="1" t="n">
        <v>46093</v>
      </c>
      <c r="D894" t="inlineStr">
        <is>
          <t>VÄSTERNORRLANDS LÄN</t>
        </is>
      </c>
      <c r="E894" t="inlineStr">
        <is>
          <t>TIMRÅ</t>
        </is>
      </c>
      <c r="F894" t="inlineStr">
        <is>
          <t>SCA</t>
        </is>
      </c>
      <c r="G894" t="n">
        <v>3.3</v>
      </c>
      <c r="H894" t="n">
        <v>0</v>
      </c>
      <c r="I894" t="n">
        <v>0</v>
      </c>
      <c r="J894" t="n">
        <v>2</v>
      </c>
      <c r="K894" t="n">
        <v>0</v>
      </c>
      <c r="L894" t="n">
        <v>0</v>
      </c>
      <c r="M894" t="n">
        <v>0</v>
      </c>
      <c r="N894" t="n">
        <v>0</v>
      </c>
      <c r="O894" t="n">
        <v>2</v>
      </c>
      <c r="P894" t="n">
        <v>0</v>
      </c>
      <c r="Q894" t="n">
        <v>2</v>
      </c>
      <c r="R894" s="2" t="inlineStr">
        <is>
          <t>Garnlav
Lunglav</t>
        </is>
      </c>
      <c r="S894">
        <f>HYPERLINK("https://klasma.github.io/Logging_2262/artfynd/A 20882-2025 artfynd.xlsx", "A 20882-2025")</f>
        <v/>
      </c>
      <c r="T894">
        <f>HYPERLINK("https://klasma.github.io/Logging_2262/kartor/A 20882-2025 karta.png", "A 20882-2025")</f>
        <v/>
      </c>
      <c r="V894">
        <f>HYPERLINK("https://klasma.github.io/Logging_2262/klagomål/A 20882-2025 FSC-klagomål.docx", "A 20882-2025")</f>
        <v/>
      </c>
      <c r="W894">
        <f>HYPERLINK("https://klasma.github.io/Logging_2262/klagomålsmail/A 20882-2025 FSC-klagomål mail.docx", "A 20882-2025")</f>
        <v/>
      </c>
      <c r="X894">
        <f>HYPERLINK("https://klasma.github.io/Logging_2262/tillsyn/A 20882-2025 tillsynsbegäran.docx", "A 20882-2025")</f>
        <v/>
      </c>
      <c r="Y894">
        <f>HYPERLINK("https://klasma.github.io/Logging_2262/tillsynsmail/A 20882-2025 tillsynsbegäran mail.docx", "A 20882-2025")</f>
        <v/>
      </c>
    </row>
    <row r="895" ht="15" customHeight="1">
      <c r="A895" t="inlineStr">
        <is>
          <t>A 21321-2025</t>
        </is>
      </c>
      <c r="B895" s="1" t="n">
        <v>45782.34512731482</v>
      </c>
      <c r="C895" s="1" t="n">
        <v>46093</v>
      </c>
      <c r="D895" t="inlineStr">
        <is>
          <t>VÄSTERNORRLANDS LÄN</t>
        </is>
      </c>
      <c r="E895" t="inlineStr">
        <is>
          <t>SUNDSVALL</t>
        </is>
      </c>
      <c r="F895" t="inlineStr">
        <is>
          <t>Naturvårdsverket</t>
        </is>
      </c>
      <c r="G895" t="n">
        <v>1.4</v>
      </c>
      <c r="H895" t="n">
        <v>0</v>
      </c>
      <c r="I895" t="n">
        <v>0</v>
      </c>
      <c r="J895" t="n">
        <v>2</v>
      </c>
      <c r="K895" t="n">
        <v>0</v>
      </c>
      <c r="L895" t="n">
        <v>0</v>
      </c>
      <c r="M895" t="n">
        <v>0</v>
      </c>
      <c r="N895" t="n">
        <v>0</v>
      </c>
      <c r="O895" t="n">
        <v>2</v>
      </c>
      <c r="P895" t="n">
        <v>0</v>
      </c>
      <c r="Q895" t="n">
        <v>2</v>
      </c>
      <c r="R895" s="2" t="inlineStr">
        <is>
          <t>Tallticka
Vedskivlav</t>
        </is>
      </c>
      <c r="S895">
        <f>HYPERLINK("https://klasma.github.io/Logging_2281/artfynd/A 21321-2025 artfynd.xlsx", "A 21321-2025")</f>
        <v/>
      </c>
      <c r="T895">
        <f>HYPERLINK("https://klasma.github.io/Logging_2281/kartor/A 21321-2025 karta.png", "A 21321-2025")</f>
        <v/>
      </c>
      <c r="V895">
        <f>HYPERLINK("https://klasma.github.io/Logging_2281/klagomål/A 21321-2025 FSC-klagomål.docx", "A 21321-2025")</f>
        <v/>
      </c>
      <c r="W895">
        <f>HYPERLINK("https://klasma.github.io/Logging_2281/klagomålsmail/A 21321-2025 FSC-klagomål mail.docx", "A 21321-2025")</f>
        <v/>
      </c>
      <c r="X895">
        <f>HYPERLINK("https://klasma.github.io/Logging_2281/tillsyn/A 21321-2025 tillsynsbegäran.docx", "A 21321-2025")</f>
        <v/>
      </c>
      <c r="Y895">
        <f>HYPERLINK("https://klasma.github.io/Logging_2281/tillsynsmail/A 21321-2025 tillsynsbegäran mail.docx", "A 21321-2025")</f>
        <v/>
      </c>
    </row>
    <row r="896" ht="15" customHeight="1">
      <c r="A896" t="inlineStr">
        <is>
          <t>A 21373-2025</t>
        </is>
      </c>
      <c r="B896" s="1" t="n">
        <v>45782.44880787037</v>
      </c>
      <c r="C896" s="1" t="n">
        <v>46093</v>
      </c>
      <c r="D896" t="inlineStr">
        <is>
          <t>VÄSTERNORRLANDS LÄN</t>
        </is>
      </c>
      <c r="E896" t="inlineStr">
        <is>
          <t>SUNDSVALL</t>
        </is>
      </c>
      <c r="F896" t="inlineStr">
        <is>
          <t>Naturvårdsverket</t>
        </is>
      </c>
      <c r="G896" t="n">
        <v>3.1</v>
      </c>
      <c r="H896" t="n">
        <v>0</v>
      </c>
      <c r="I896" t="n">
        <v>0</v>
      </c>
      <c r="J896" t="n">
        <v>2</v>
      </c>
      <c r="K896" t="n">
        <v>0</v>
      </c>
      <c r="L896" t="n">
        <v>0</v>
      </c>
      <c r="M896" t="n">
        <v>0</v>
      </c>
      <c r="N896" t="n">
        <v>0</v>
      </c>
      <c r="O896" t="n">
        <v>2</v>
      </c>
      <c r="P896" t="n">
        <v>0</v>
      </c>
      <c r="Q896" t="n">
        <v>2</v>
      </c>
      <c r="R896" s="2" t="inlineStr">
        <is>
          <t>Kolflarnlav
Lunglav</t>
        </is>
      </c>
      <c r="S896">
        <f>HYPERLINK("https://klasma.github.io/Logging_2281/artfynd/A 21373-2025 artfynd.xlsx", "A 21373-2025")</f>
        <v/>
      </c>
      <c r="T896">
        <f>HYPERLINK("https://klasma.github.io/Logging_2281/kartor/A 21373-2025 karta.png", "A 21373-2025")</f>
        <v/>
      </c>
      <c r="V896">
        <f>HYPERLINK("https://klasma.github.io/Logging_2281/klagomål/A 21373-2025 FSC-klagomål.docx", "A 21373-2025")</f>
        <v/>
      </c>
      <c r="W896">
        <f>HYPERLINK("https://klasma.github.io/Logging_2281/klagomålsmail/A 21373-2025 FSC-klagomål mail.docx", "A 21373-2025")</f>
        <v/>
      </c>
      <c r="X896">
        <f>HYPERLINK("https://klasma.github.io/Logging_2281/tillsyn/A 21373-2025 tillsynsbegäran.docx", "A 21373-2025")</f>
        <v/>
      </c>
      <c r="Y896">
        <f>HYPERLINK("https://klasma.github.io/Logging_2281/tillsynsmail/A 21373-2025 tillsynsbegäran mail.docx", "A 21373-2025")</f>
        <v/>
      </c>
    </row>
    <row r="897" ht="15" customHeight="1">
      <c r="A897" t="inlineStr">
        <is>
          <t>A 21453-2025</t>
        </is>
      </c>
      <c r="B897" s="1" t="n">
        <v>45782.55311342593</v>
      </c>
      <c r="C897" s="1" t="n">
        <v>46093</v>
      </c>
      <c r="D897" t="inlineStr">
        <is>
          <t>VÄSTERNORRLANDS LÄN</t>
        </is>
      </c>
      <c r="E897" t="inlineStr">
        <is>
          <t>ÅNGE</t>
        </is>
      </c>
      <c r="F897" t="inlineStr">
        <is>
          <t>SCA</t>
        </is>
      </c>
      <c r="G897" t="n">
        <v>1</v>
      </c>
      <c r="H897" t="n">
        <v>0</v>
      </c>
      <c r="I897" t="n">
        <v>2</v>
      </c>
      <c r="J897" t="n">
        <v>0</v>
      </c>
      <c r="K897" t="n">
        <v>0</v>
      </c>
      <c r="L897" t="n">
        <v>0</v>
      </c>
      <c r="M897" t="n">
        <v>0</v>
      </c>
      <c r="N897" t="n">
        <v>0</v>
      </c>
      <c r="O897" t="n">
        <v>0</v>
      </c>
      <c r="P897" t="n">
        <v>0</v>
      </c>
      <c r="Q897" t="n">
        <v>2</v>
      </c>
      <c r="R897" s="2" t="inlineStr">
        <is>
          <t>Svart trolldruva
Tibast</t>
        </is>
      </c>
      <c r="S897">
        <f>HYPERLINK("https://klasma.github.io/Logging_2260/artfynd/A 21453-2025 artfynd.xlsx", "A 21453-2025")</f>
        <v/>
      </c>
      <c r="T897">
        <f>HYPERLINK("https://klasma.github.io/Logging_2260/kartor/A 21453-2025 karta.png", "A 21453-2025")</f>
        <v/>
      </c>
      <c r="V897">
        <f>HYPERLINK("https://klasma.github.io/Logging_2260/klagomål/A 21453-2025 FSC-klagomål.docx", "A 21453-2025")</f>
        <v/>
      </c>
      <c r="W897">
        <f>HYPERLINK("https://klasma.github.io/Logging_2260/klagomålsmail/A 21453-2025 FSC-klagomål mail.docx", "A 21453-2025")</f>
        <v/>
      </c>
      <c r="X897">
        <f>HYPERLINK("https://klasma.github.io/Logging_2260/tillsyn/A 21453-2025 tillsynsbegäran.docx", "A 21453-2025")</f>
        <v/>
      </c>
      <c r="Y897">
        <f>HYPERLINK("https://klasma.github.io/Logging_2260/tillsynsmail/A 21453-2025 tillsynsbegäran mail.docx", "A 21453-2025")</f>
        <v/>
      </c>
    </row>
    <row r="898" ht="15" customHeight="1">
      <c r="A898" t="inlineStr">
        <is>
          <t>A 21485-2025</t>
        </is>
      </c>
      <c r="B898" s="1" t="n">
        <v>45782.59512731482</v>
      </c>
      <c r="C898" s="1" t="n">
        <v>46093</v>
      </c>
      <c r="D898" t="inlineStr">
        <is>
          <t>VÄSTERNORRLANDS LÄN</t>
        </is>
      </c>
      <c r="E898" t="inlineStr">
        <is>
          <t>SOLLEFTEÅ</t>
        </is>
      </c>
      <c r="F898" t="inlineStr">
        <is>
          <t>SCA</t>
        </is>
      </c>
      <c r="G898" t="n">
        <v>5.4</v>
      </c>
      <c r="H898" t="n">
        <v>0</v>
      </c>
      <c r="I898" t="n">
        <v>1</v>
      </c>
      <c r="J898" t="n">
        <v>1</v>
      </c>
      <c r="K898" t="n">
        <v>0</v>
      </c>
      <c r="L898" t="n">
        <v>0</v>
      </c>
      <c r="M898" t="n">
        <v>0</v>
      </c>
      <c r="N898" t="n">
        <v>0</v>
      </c>
      <c r="O898" t="n">
        <v>1</v>
      </c>
      <c r="P898" t="n">
        <v>0</v>
      </c>
      <c r="Q898" t="n">
        <v>2</v>
      </c>
      <c r="R898" s="2" t="inlineStr">
        <is>
          <t>Garnlav
Vågbandad barkbock</t>
        </is>
      </c>
      <c r="S898">
        <f>HYPERLINK("https://klasma.github.io/Logging_2283/artfynd/A 21485-2025 artfynd.xlsx", "A 21485-2025")</f>
        <v/>
      </c>
      <c r="T898">
        <f>HYPERLINK("https://klasma.github.io/Logging_2283/kartor/A 21485-2025 karta.png", "A 21485-2025")</f>
        <v/>
      </c>
      <c r="V898">
        <f>HYPERLINK("https://klasma.github.io/Logging_2283/klagomål/A 21485-2025 FSC-klagomål.docx", "A 21485-2025")</f>
        <v/>
      </c>
      <c r="W898">
        <f>HYPERLINK("https://klasma.github.io/Logging_2283/klagomålsmail/A 21485-2025 FSC-klagomål mail.docx", "A 21485-2025")</f>
        <v/>
      </c>
      <c r="X898">
        <f>HYPERLINK("https://klasma.github.io/Logging_2283/tillsyn/A 21485-2025 tillsynsbegäran.docx", "A 21485-2025")</f>
        <v/>
      </c>
      <c r="Y898">
        <f>HYPERLINK("https://klasma.github.io/Logging_2283/tillsynsmail/A 21485-2025 tillsynsbegäran mail.docx", "A 21485-2025")</f>
        <v/>
      </c>
    </row>
    <row r="899" ht="15" customHeight="1">
      <c r="A899" t="inlineStr">
        <is>
          <t>A 16114-2025</t>
        </is>
      </c>
      <c r="B899" s="1" t="n">
        <v>45750</v>
      </c>
      <c r="C899" s="1" t="n">
        <v>46093</v>
      </c>
      <c r="D899" t="inlineStr">
        <is>
          <t>VÄSTERNORRLANDS LÄN</t>
        </is>
      </c>
      <c r="E899" t="inlineStr">
        <is>
          <t>KRAMFORS</t>
        </is>
      </c>
      <c r="G899" t="n">
        <v>30.8</v>
      </c>
      <c r="H899" t="n">
        <v>2</v>
      </c>
      <c r="I899" t="n">
        <v>0</v>
      </c>
      <c r="J899" t="n">
        <v>2</v>
      </c>
      <c r="K899" t="n">
        <v>0</v>
      </c>
      <c r="L899" t="n">
        <v>0</v>
      </c>
      <c r="M899" t="n">
        <v>0</v>
      </c>
      <c r="N899" t="n">
        <v>0</v>
      </c>
      <c r="O899" t="n">
        <v>2</v>
      </c>
      <c r="P899" t="n">
        <v>0</v>
      </c>
      <c r="Q899" t="n">
        <v>2</v>
      </c>
      <c r="R899" s="2" t="inlineStr">
        <is>
          <t>Talltita
Tretåig hackspett</t>
        </is>
      </c>
      <c r="S899">
        <f>HYPERLINK("https://klasma.github.io/Logging_2282/artfynd/A 16114-2025 artfynd.xlsx", "A 16114-2025")</f>
        <v/>
      </c>
      <c r="T899">
        <f>HYPERLINK("https://klasma.github.io/Logging_2282/kartor/A 16114-2025 karta.png", "A 16114-2025")</f>
        <v/>
      </c>
      <c r="V899">
        <f>HYPERLINK("https://klasma.github.io/Logging_2282/klagomål/A 16114-2025 FSC-klagomål.docx", "A 16114-2025")</f>
        <v/>
      </c>
      <c r="W899">
        <f>HYPERLINK("https://klasma.github.io/Logging_2282/klagomålsmail/A 16114-2025 FSC-klagomål mail.docx", "A 16114-2025")</f>
        <v/>
      </c>
      <c r="X899">
        <f>HYPERLINK("https://klasma.github.io/Logging_2282/tillsyn/A 16114-2025 tillsynsbegäran.docx", "A 16114-2025")</f>
        <v/>
      </c>
      <c r="Y899">
        <f>HYPERLINK("https://klasma.github.io/Logging_2282/tillsynsmail/A 16114-2025 tillsynsbegäran mail.docx", "A 16114-2025")</f>
        <v/>
      </c>
      <c r="Z899">
        <f>HYPERLINK("https://klasma.github.io/Logging_2282/fåglar/A 16114-2025 prioriterade fågelarter.docx", "A 16114-2025")</f>
        <v/>
      </c>
    </row>
    <row r="900" ht="15" customHeight="1">
      <c r="A900" t="inlineStr">
        <is>
          <t>A 21742-2025</t>
        </is>
      </c>
      <c r="B900" s="1" t="n">
        <v>45783.59428240741</v>
      </c>
      <c r="C900" s="1" t="n">
        <v>46093</v>
      </c>
      <c r="D900" t="inlineStr">
        <is>
          <t>VÄSTERNORRLANDS LÄN</t>
        </is>
      </c>
      <c r="E900" t="inlineStr">
        <is>
          <t>SOLLEFTEÅ</t>
        </is>
      </c>
      <c r="F900" t="inlineStr">
        <is>
          <t>SCA</t>
        </is>
      </c>
      <c r="G900" t="n">
        <v>1.5</v>
      </c>
      <c r="H900" t="n">
        <v>1</v>
      </c>
      <c r="I900" t="n">
        <v>0</v>
      </c>
      <c r="J900" t="n">
        <v>1</v>
      </c>
      <c r="K900" t="n">
        <v>0</v>
      </c>
      <c r="L900" t="n">
        <v>0</v>
      </c>
      <c r="M900" t="n">
        <v>0</v>
      </c>
      <c r="N900" t="n">
        <v>0</v>
      </c>
      <c r="O900" t="n">
        <v>1</v>
      </c>
      <c r="P900" t="n">
        <v>0</v>
      </c>
      <c r="Q900" t="n">
        <v>2</v>
      </c>
      <c r="R900" s="2" t="inlineStr">
        <is>
          <t>Garnlav
Revlummer</t>
        </is>
      </c>
      <c r="S900">
        <f>HYPERLINK("https://klasma.github.io/Logging_2283/artfynd/A 21742-2025 artfynd.xlsx", "A 21742-2025")</f>
        <v/>
      </c>
      <c r="T900">
        <f>HYPERLINK("https://klasma.github.io/Logging_2283/kartor/A 21742-2025 karta.png", "A 21742-2025")</f>
        <v/>
      </c>
      <c r="V900">
        <f>HYPERLINK("https://klasma.github.io/Logging_2283/klagomål/A 21742-2025 FSC-klagomål.docx", "A 21742-2025")</f>
        <v/>
      </c>
      <c r="W900">
        <f>HYPERLINK("https://klasma.github.io/Logging_2283/klagomålsmail/A 21742-2025 FSC-klagomål mail.docx", "A 21742-2025")</f>
        <v/>
      </c>
      <c r="X900">
        <f>HYPERLINK("https://klasma.github.io/Logging_2283/tillsyn/A 21742-2025 tillsynsbegäran.docx", "A 21742-2025")</f>
        <v/>
      </c>
      <c r="Y900">
        <f>HYPERLINK("https://klasma.github.io/Logging_2283/tillsynsmail/A 21742-2025 tillsynsbegäran mail.docx", "A 21742-2025")</f>
        <v/>
      </c>
    </row>
    <row r="901" ht="15" customHeight="1">
      <c r="A901" t="inlineStr">
        <is>
          <t>A 21621-2025</t>
        </is>
      </c>
      <c r="B901" s="1" t="n">
        <v>45783.40657407408</v>
      </c>
      <c r="C901" s="1" t="n">
        <v>46093</v>
      </c>
      <c r="D901" t="inlineStr">
        <is>
          <t>VÄSTERNORRLANDS LÄN</t>
        </is>
      </c>
      <c r="E901" t="inlineStr">
        <is>
          <t>TIMRÅ</t>
        </is>
      </c>
      <c r="F901" t="inlineStr">
        <is>
          <t>SCA</t>
        </is>
      </c>
      <c r="G901" t="n">
        <v>1.6</v>
      </c>
      <c r="H901" t="n">
        <v>1</v>
      </c>
      <c r="I901" t="n">
        <v>0</v>
      </c>
      <c r="J901" t="n">
        <v>1</v>
      </c>
      <c r="K901" t="n">
        <v>1</v>
      </c>
      <c r="L901" t="n">
        <v>0</v>
      </c>
      <c r="M901" t="n">
        <v>0</v>
      </c>
      <c r="N901" t="n">
        <v>0</v>
      </c>
      <c r="O901" t="n">
        <v>2</v>
      </c>
      <c r="P901" t="n">
        <v>1</v>
      </c>
      <c r="Q901" t="n">
        <v>2</v>
      </c>
      <c r="R901" s="2" t="inlineStr">
        <is>
          <t>Knärot
Rosenticka</t>
        </is>
      </c>
      <c r="S901">
        <f>HYPERLINK("https://klasma.github.io/Logging_2262/artfynd/A 21621-2025 artfynd.xlsx", "A 21621-2025")</f>
        <v/>
      </c>
      <c r="T901">
        <f>HYPERLINK("https://klasma.github.io/Logging_2262/kartor/A 21621-2025 karta.png", "A 21621-2025")</f>
        <v/>
      </c>
      <c r="U901">
        <f>HYPERLINK("https://klasma.github.io/Logging_2262/knärot/A 21621-2025 karta knärot.png", "A 21621-2025")</f>
        <v/>
      </c>
      <c r="V901">
        <f>HYPERLINK("https://klasma.github.io/Logging_2262/klagomål/A 21621-2025 FSC-klagomål.docx", "A 21621-2025")</f>
        <v/>
      </c>
      <c r="W901">
        <f>HYPERLINK("https://klasma.github.io/Logging_2262/klagomålsmail/A 21621-2025 FSC-klagomål mail.docx", "A 21621-2025")</f>
        <v/>
      </c>
      <c r="X901">
        <f>HYPERLINK("https://klasma.github.io/Logging_2262/tillsyn/A 21621-2025 tillsynsbegäran.docx", "A 21621-2025")</f>
        <v/>
      </c>
      <c r="Y901">
        <f>HYPERLINK("https://klasma.github.io/Logging_2262/tillsynsmail/A 21621-2025 tillsynsbegäran mail.docx", "A 21621-2025")</f>
        <v/>
      </c>
    </row>
    <row r="902" ht="15" customHeight="1">
      <c r="A902" t="inlineStr">
        <is>
          <t>A 60670-2024</t>
        </is>
      </c>
      <c r="B902" s="1" t="n">
        <v>45642</v>
      </c>
      <c r="C902" s="1" t="n">
        <v>46093</v>
      </c>
      <c r="D902" t="inlineStr">
        <is>
          <t>VÄSTERNORRLANDS LÄN</t>
        </is>
      </c>
      <c r="E902" t="inlineStr">
        <is>
          <t>TIMRÅ</t>
        </is>
      </c>
      <c r="G902" t="n">
        <v>2.9</v>
      </c>
      <c r="H902" t="n">
        <v>1</v>
      </c>
      <c r="I902" t="n">
        <v>1</v>
      </c>
      <c r="J902" t="n">
        <v>0</v>
      </c>
      <c r="K902" t="n">
        <v>0</v>
      </c>
      <c r="L902" t="n">
        <v>0</v>
      </c>
      <c r="M902" t="n">
        <v>0</v>
      </c>
      <c r="N902" t="n">
        <v>0</v>
      </c>
      <c r="O902" t="n">
        <v>0</v>
      </c>
      <c r="P902" t="n">
        <v>0</v>
      </c>
      <c r="Q902" t="n">
        <v>2</v>
      </c>
      <c r="R902" s="2" t="inlineStr">
        <is>
          <t>Dvärghäxört
Fläcknycklar</t>
        </is>
      </c>
      <c r="S902">
        <f>HYPERLINK("https://klasma.github.io/Logging_2262/artfynd/A 60670-2024 artfynd.xlsx", "A 60670-2024")</f>
        <v/>
      </c>
      <c r="T902">
        <f>HYPERLINK("https://klasma.github.io/Logging_2262/kartor/A 60670-2024 karta.png", "A 60670-2024")</f>
        <v/>
      </c>
      <c r="V902">
        <f>HYPERLINK("https://klasma.github.io/Logging_2262/klagomål/A 60670-2024 FSC-klagomål.docx", "A 60670-2024")</f>
        <v/>
      </c>
      <c r="W902">
        <f>HYPERLINK("https://klasma.github.io/Logging_2262/klagomålsmail/A 60670-2024 FSC-klagomål mail.docx", "A 60670-2024")</f>
        <v/>
      </c>
      <c r="X902">
        <f>HYPERLINK("https://klasma.github.io/Logging_2262/tillsyn/A 60670-2024 tillsynsbegäran.docx", "A 60670-2024")</f>
        <v/>
      </c>
      <c r="Y902">
        <f>HYPERLINK("https://klasma.github.io/Logging_2262/tillsynsmail/A 60670-2024 tillsynsbegäran mail.docx", "A 60670-2024")</f>
        <v/>
      </c>
    </row>
    <row r="903" ht="15" customHeight="1">
      <c r="A903" t="inlineStr">
        <is>
          <t>A 22379-2025</t>
        </is>
      </c>
      <c r="B903" s="1" t="n">
        <v>45786</v>
      </c>
      <c r="C903" s="1" t="n">
        <v>46093</v>
      </c>
      <c r="D903" t="inlineStr">
        <is>
          <t>VÄSTERNORRLANDS LÄN</t>
        </is>
      </c>
      <c r="E903" t="inlineStr">
        <is>
          <t>TIMRÅ</t>
        </is>
      </c>
      <c r="F903" t="inlineStr">
        <is>
          <t>SCA</t>
        </is>
      </c>
      <c r="G903" t="n">
        <v>8.300000000000001</v>
      </c>
      <c r="H903" t="n">
        <v>0</v>
      </c>
      <c r="I903" t="n">
        <v>0</v>
      </c>
      <c r="J903" t="n">
        <v>2</v>
      </c>
      <c r="K903" t="n">
        <v>0</v>
      </c>
      <c r="L903" t="n">
        <v>0</v>
      </c>
      <c r="M903" t="n">
        <v>0</v>
      </c>
      <c r="N903" t="n">
        <v>0</v>
      </c>
      <c r="O903" t="n">
        <v>2</v>
      </c>
      <c r="P903" t="n">
        <v>0</v>
      </c>
      <c r="Q903" t="n">
        <v>2</v>
      </c>
      <c r="R903" s="2" t="inlineStr">
        <is>
          <t>Lunglav
Mörk kolflarnlav</t>
        </is>
      </c>
      <c r="S903">
        <f>HYPERLINK("https://klasma.github.io/Logging_2262/artfynd/A 22379-2025 artfynd.xlsx", "A 22379-2025")</f>
        <v/>
      </c>
      <c r="T903">
        <f>HYPERLINK("https://klasma.github.io/Logging_2262/kartor/A 22379-2025 karta.png", "A 22379-2025")</f>
        <v/>
      </c>
      <c r="V903">
        <f>HYPERLINK("https://klasma.github.io/Logging_2262/klagomål/A 22379-2025 FSC-klagomål.docx", "A 22379-2025")</f>
        <v/>
      </c>
      <c r="W903">
        <f>HYPERLINK("https://klasma.github.io/Logging_2262/klagomålsmail/A 22379-2025 FSC-klagomål mail.docx", "A 22379-2025")</f>
        <v/>
      </c>
      <c r="X903">
        <f>HYPERLINK("https://klasma.github.io/Logging_2262/tillsyn/A 22379-2025 tillsynsbegäran.docx", "A 22379-2025")</f>
        <v/>
      </c>
      <c r="Y903">
        <f>HYPERLINK("https://klasma.github.io/Logging_2262/tillsynsmail/A 22379-2025 tillsynsbegäran mail.docx", "A 22379-2025")</f>
        <v/>
      </c>
    </row>
    <row r="904" ht="15" customHeight="1">
      <c r="A904" t="inlineStr">
        <is>
          <t>A 34812-2024</t>
        </is>
      </c>
      <c r="B904" s="1" t="n">
        <v>45526</v>
      </c>
      <c r="C904" s="1" t="n">
        <v>46093</v>
      </c>
      <c r="D904" t="inlineStr">
        <is>
          <t>VÄSTERNORRLANDS LÄN</t>
        </is>
      </c>
      <c r="E904" t="inlineStr">
        <is>
          <t>SOLLEFTEÅ</t>
        </is>
      </c>
      <c r="G904" t="n">
        <v>8.1</v>
      </c>
      <c r="H904" t="n">
        <v>0</v>
      </c>
      <c r="I904" t="n">
        <v>1</v>
      </c>
      <c r="J904" t="n">
        <v>1</v>
      </c>
      <c r="K904" t="n">
        <v>0</v>
      </c>
      <c r="L904" t="n">
        <v>0</v>
      </c>
      <c r="M904" t="n">
        <v>0</v>
      </c>
      <c r="N904" t="n">
        <v>0</v>
      </c>
      <c r="O904" t="n">
        <v>1</v>
      </c>
      <c r="P904" t="n">
        <v>0</v>
      </c>
      <c r="Q904" t="n">
        <v>2</v>
      </c>
      <c r="R904" s="2" t="inlineStr">
        <is>
          <t>Garnlav
Dropptaggsvamp</t>
        </is>
      </c>
      <c r="S904">
        <f>HYPERLINK("https://klasma.github.io/Logging_2283/artfynd/A 34812-2024 artfynd.xlsx", "A 34812-2024")</f>
        <v/>
      </c>
      <c r="T904">
        <f>HYPERLINK("https://klasma.github.io/Logging_2283/kartor/A 34812-2024 karta.png", "A 34812-2024")</f>
        <v/>
      </c>
      <c r="V904">
        <f>HYPERLINK("https://klasma.github.io/Logging_2283/klagomål/A 34812-2024 FSC-klagomål.docx", "A 34812-2024")</f>
        <v/>
      </c>
      <c r="W904">
        <f>HYPERLINK("https://klasma.github.io/Logging_2283/klagomålsmail/A 34812-2024 FSC-klagomål mail.docx", "A 34812-2024")</f>
        <v/>
      </c>
      <c r="X904">
        <f>HYPERLINK("https://klasma.github.io/Logging_2283/tillsyn/A 34812-2024 tillsynsbegäran.docx", "A 34812-2024")</f>
        <v/>
      </c>
      <c r="Y904">
        <f>HYPERLINK("https://klasma.github.io/Logging_2283/tillsynsmail/A 34812-2024 tillsynsbegäran mail.docx", "A 34812-2024")</f>
        <v/>
      </c>
    </row>
    <row r="905" ht="15" customHeight="1">
      <c r="A905" t="inlineStr">
        <is>
          <t>A 22072-2025</t>
        </is>
      </c>
      <c r="B905" s="1" t="n">
        <v>45785.40699074074</v>
      </c>
      <c r="C905" s="1" t="n">
        <v>46093</v>
      </c>
      <c r="D905" t="inlineStr">
        <is>
          <t>VÄSTERNORRLANDS LÄN</t>
        </is>
      </c>
      <c r="E905" t="inlineStr">
        <is>
          <t>TIMRÅ</t>
        </is>
      </c>
      <c r="F905" t="inlineStr">
        <is>
          <t>SCA</t>
        </is>
      </c>
      <c r="G905" t="n">
        <v>1.1</v>
      </c>
      <c r="H905" t="n">
        <v>0</v>
      </c>
      <c r="I905" t="n">
        <v>0</v>
      </c>
      <c r="J905" t="n">
        <v>2</v>
      </c>
      <c r="K905" t="n">
        <v>0</v>
      </c>
      <c r="L905" t="n">
        <v>0</v>
      </c>
      <c r="M905" t="n">
        <v>0</v>
      </c>
      <c r="N905" t="n">
        <v>0</v>
      </c>
      <c r="O905" t="n">
        <v>2</v>
      </c>
      <c r="P905" t="n">
        <v>0</v>
      </c>
      <c r="Q905" t="n">
        <v>2</v>
      </c>
      <c r="R905" s="2" t="inlineStr">
        <is>
          <t>Gammelgransskål
Ullticka</t>
        </is>
      </c>
      <c r="S905">
        <f>HYPERLINK("https://klasma.github.io/Logging_2262/artfynd/A 22072-2025 artfynd.xlsx", "A 22072-2025")</f>
        <v/>
      </c>
      <c r="T905">
        <f>HYPERLINK("https://klasma.github.io/Logging_2262/kartor/A 22072-2025 karta.png", "A 22072-2025")</f>
        <v/>
      </c>
      <c r="V905">
        <f>HYPERLINK("https://klasma.github.io/Logging_2262/klagomål/A 22072-2025 FSC-klagomål.docx", "A 22072-2025")</f>
        <v/>
      </c>
      <c r="W905">
        <f>HYPERLINK("https://klasma.github.io/Logging_2262/klagomålsmail/A 22072-2025 FSC-klagomål mail.docx", "A 22072-2025")</f>
        <v/>
      </c>
      <c r="X905">
        <f>HYPERLINK("https://klasma.github.io/Logging_2262/tillsyn/A 22072-2025 tillsynsbegäran.docx", "A 22072-2025")</f>
        <v/>
      </c>
      <c r="Y905">
        <f>HYPERLINK("https://klasma.github.io/Logging_2262/tillsynsmail/A 22072-2025 tillsynsbegäran mail.docx", "A 22072-2025")</f>
        <v/>
      </c>
    </row>
    <row r="906" ht="15" customHeight="1">
      <c r="A906" t="inlineStr">
        <is>
          <t>A 22220-2025</t>
        </is>
      </c>
      <c r="B906" s="1" t="n">
        <v>45785.65862268519</v>
      </c>
      <c r="C906" s="1" t="n">
        <v>46093</v>
      </c>
      <c r="D906" t="inlineStr">
        <is>
          <t>VÄSTERNORRLANDS LÄN</t>
        </is>
      </c>
      <c r="E906" t="inlineStr">
        <is>
          <t>SOLLEFTEÅ</t>
        </is>
      </c>
      <c r="F906" t="inlineStr">
        <is>
          <t>SCA</t>
        </is>
      </c>
      <c r="G906" t="n">
        <v>4.6</v>
      </c>
      <c r="H906" t="n">
        <v>0</v>
      </c>
      <c r="I906" t="n">
        <v>1</v>
      </c>
      <c r="J906" t="n">
        <v>1</v>
      </c>
      <c r="K906" t="n">
        <v>0</v>
      </c>
      <c r="L906" t="n">
        <v>0</v>
      </c>
      <c r="M906" t="n">
        <v>0</v>
      </c>
      <c r="N906" t="n">
        <v>0</v>
      </c>
      <c r="O906" t="n">
        <v>1</v>
      </c>
      <c r="P906" t="n">
        <v>0</v>
      </c>
      <c r="Q906" t="n">
        <v>2</v>
      </c>
      <c r="R906" s="2" t="inlineStr">
        <is>
          <t>Lunglav
Stor aspticka</t>
        </is>
      </c>
      <c r="S906">
        <f>HYPERLINK("https://klasma.github.io/Logging_2283/artfynd/A 22220-2025 artfynd.xlsx", "A 22220-2025")</f>
        <v/>
      </c>
      <c r="T906">
        <f>HYPERLINK("https://klasma.github.io/Logging_2283/kartor/A 22220-2025 karta.png", "A 22220-2025")</f>
        <v/>
      </c>
      <c r="V906">
        <f>HYPERLINK("https://klasma.github.io/Logging_2283/klagomål/A 22220-2025 FSC-klagomål.docx", "A 22220-2025")</f>
        <v/>
      </c>
      <c r="W906">
        <f>HYPERLINK("https://klasma.github.io/Logging_2283/klagomålsmail/A 22220-2025 FSC-klagomål mail.docx", "A 22220-2025")</f>
        <v/>
      </c>
      <c r="X906">
        <f>HYPERLINK("https://klasma.github.io/Logging_2283/tillsyn/A 22220-2025 tillsynsbegäran.docx", "A 22220-2025")</f>
        <v/>
      </c>
      <c r="Y906">
        <f>HYPERLINK("https://klasma.github.io/Logging_2283/tillsynsmail/A 22220-2025 tillsynsbegäran mail.docx", "A 22220-2025")</f>
        <v/>
      </c>
    </row>
    <row r="907" ht="15" customHeight="1">
      <c r="A907" t="inlineStr">
        <is>
          <t>A 22808-2025</t>
        </is>
      </c>
      <c r="B907" s="1" t="n">
        <v>45789</v>
      </c>
      <c r="C907" s="1" t="n">
        <v>46093</v>
      </c>
      <c r="D907" t="inlineStr">
        <is>
          <t>VÄSTERNORRLANDS LÄN</t>
        </is>
      </c>
      <c r="E907" t="inlineStr">
        <is>
          <t>SOLLEFTEÅ</t>
        </is>
      </c>
      <c r="G907" t="n">
        <v>0.7</v>
      </c>
      <c r="H907" t="n">
        <v>0</v>
      </c>
      <c r="I907" t="n">
        <v>1</v>
      </c>
      <c r="J907" t="n">
        <v>1</v>
      </c>
      <c r="K907" t="n">
        <v>0</v>
      </c>
      <c r="L907" t="n">
        <v>0</v>
      </c>
      <c r="M907" t="n">
        <v>0</v>
      </c>
      <c r="N907" t="n">
        <v>0</v>
      </c>
      <c r="O907" t="n">
        <v>1</v>
      </c>
      <c r="P907" t="n">
        <v>0</v>
      </c>
      <c r="Q907" t="n">
        <v>2</v>
      </c>
      <c r="R907" s="2" t="inlineStr">
        <is>
          <t>Lunglav
Bårdlav</t>
        </is>
      </c>
      <c r="S907">
        <f>HYPERLINK("https://klasma.github.io/Logging_2283/artfynd/A 22808-2025 artfynd.xlsx", "A 22808-2025")</f>
        <v/>
      </c>
      <c r="T907">
        <f>HYPERLINK("https://klasma.github.io/Logging_2283/kartor/A 22808-2025 karta.png", "A 22808-2025")</f>
        <v/>
      </c>
      <c r="V907">
        <f>HYPERLINK("https://klasma.github.io/Logging_2283/klagomål/A 22808-2025 FSC-klagomål.docx", "A 22808-2025")</f>
        <v/>
      </c>
      <c r="W907">
        <f>HYPERLINK("https://klasma.github.io/Logging_2283/klagomålsmail/A 22808-2025 FSC-klagomål mail.docx", "A 22808-2025")</f>
        <v/>
      </c>
      <c r="X907">
        <f>HYPERLINK("https://klasma.github.io/Logging_2283/tillsyn/A 22808-2025 tillsynsbegäran.docx", "A 22808-2025")</f>
        <v/>
      </c>
      <c r="Y907">
        <f>HYPERLINK("https://klasma.github.io/Logging_2283/tillsynsmail/A 22808-2025 tillsynsbegäran mail.docx", "A 22808-2025")</f>
        <v/>
      </c>
    </row>
    <row r="908" ht="15" customHeight="1">
      <c r="A908" t="inlineStr">
        <is>
          <t>A 10792-2026</t>
        </is>
      </c>
      <c r="B908" s="1" t="n">
        <v>46078.58736111111</v>
      </c>
      <c r="C908" s="1" t="n">
        <v>46093</v>
      </c>
      <c r="D908" t="inlineStr">
        <is>
          <t>VÄSTERNORRLANDS LÄN</t>
        </is>
      </c>
      <c r="E908" t="inlineStr">
        <is>
          <t>SOLLEFTEÅ</t>
        </is>
      </c>
      <c r="G908" t="n">
        <v>2.4</v>
      </c>
      <c r="H908" t="n">
        <v>0</v>
      </c>
      <c r="I908" t="n">
        <v>0</v>
      </c>
      <c r="J908" t="n">
        <v>1</v>
      </c>
      <c r="K908" t="n">
        <v>1</v>
      </c>
      <c r="L908" t="n">
        <v>0</v>
      </c>
      <c r="M908" t="n">
        <v>0</v>
      </c>
      <c r="N908" t="n">
        <v>0</v>
      </c>
      <c r="O908" t="n">
        <v>2</v>
      </c>
      <c r="P908" t="n">
        <v>1</v>
      </c>
      <c r="Q908" t="n">
        <v>2</v>
      </c>
      <c r="R908" s="2" t="inlineStr">
        <is>
          <t>Mindre barkplattbagge
Garnlav</t>
        </is>
      </c>
      <c r="S908">
        <f>HYPERLINK("https://klasma.github.io/Logging_2283/artfynd/A 10792-2026 artfynd.xlsx", "A 10792-2026")</f>
        <v/>
      </c>
      <c r="T908">
        <f>HYPERLINK("https://klasma.github.io/Logging_2283/kartor/A 10792-2026 karta.png", "A 10792-2026")</f>
        <v/>
      </c>
      <c r="V908">
        <f>HYPERLINK("https://klasma.github.io/Logging_2283/klagomål/A 10792-2026 FSC-klagomål.docx", "A 10792-2026")</f>
        <v/>
      </c>
      <c r="W908">
        <f>HYPERLINK("https://klasma.github.io/Logging_2283/klagomålsmail/A 10792-2026 FSC-klagomål mail.docx", "A 10792-2026")</f>
        <v/>
      </c>
      <c r="X908">
        <f>HYPERLINK("https://klasma.github.io/Logging_2283/tillsyn/A 10792-2026 tillsynsbegäran.docx", "A 10792-2026")</f>
        <v/>
      </c>
      <c r="Y908">
        <f>HYPERLINK("https://klasma.github.io/Logging_2283/tillsynsmail/A 10792-2026 tillsynsbegäran mail.docx", "A 10792-2026")</f>
        <v/>
      </c>
    </row>
    <row r="909" ht="15" customHeight="1">
      <c r="A909" t="inlineStr">
        <is>
          <t>A 22518-2025</t>
        </is>
      </c>
      <c r="B909" s="1" t="n">
        <v>45786.67831018518</v>
      </c>
      <c r="C909" s="1" t="n">
        <v>46093</v>
      </c>
      <c r="D909" t="inlineStr">
        <is>
          <t>VÄSTERNORRLANDS LÄN</t>
        </is>
      </c>
      <c r="E909" t="inlineStr">
        <is>
          <t>SOLLEFTEÅ</t>
        </is>
      </c>
      <c r="F909" t="inlineStr">
        <is>
          <t>SCA</t>
        </is>
      </c>
      <c r="G909" t="n">
        <v>4</v>
      </c>
      <c r="H909" t="n">
        <v>0</v>
      </c>
      <c r="I909" t="n">
        <v>0</v>
      </c>
      <c r="J909" t="n">
        <v>2</v>
      </c>
      <c r="K909" t="n">
        <v>0</v>
      </c>
      <c r="L909" t="n">
        <v>0</v>
      </c>
      <c r="M909" t="n">
        <v>0</v>
      </c>
      <c r="N909" t="n">
        <v>0</v>
      </c>
      <c r="O909" t="n">
        <v>2</v>
      </c>
      <c r="P909" t="n">
        <v>0</v>
      </c>
      <c r="Q909" t="n">
        <v>2</v>
      </c>
      <c r="R909" s="2" t="inlineStr">
        <is>
          <t>Garnlav
Ullticka</t>
        </is>
      </c>
      <c r="S909">
        <f>HYPERLINK("https://klasma.github.io/Logging_2283/artfynd/A 22518-2025 artfynd.xlsx", "A 22518-2025")</f>
        <v/>
      </c>
      <c r="T909">
        <f>HYPERLINK("https://klasma.github.io/Logging_2283/kartor/A 22518-2025 karta.png", "A 22518-2025")</f>
        <v/>
      </c>
      <c r="V909">
        <f>HYPERLINK("https://klasma.github.io/Logging_2283/klagomål/A 22518-2025 FSC-klagomål.docx", "A 22518-2025")</f>
        <v/>
      </c>
      <c r="W909">
        <f>HYPERLINK("https://klasma.github.io/Logging_2283/klagomålsmail/A 22518-2025 FSC-klagomål mail.docx", "A 22518-2025")</f>
        <v/>
      </c>
      <c r="X909">
        <f>HYPERLINK("https://klasma.github.io/Logging_2283/tillsyn/A 22518-2025 tillsynsbegäran.docx", "A 22518-2025")</f>
        <v/>
      </c>
      <c r="Y909">
        <f>HYPERLINK("https://klasma.github.io/Logging_2283/tillsynsmail/A 22518-2025 tillsynsbegäran mail.docx", "A 22518-2025")</f>
        <v/>
      </c>
    </row>
    <row r="910" ht="15" customHeight="1">
      <c r="A910" t="inlineStr">
        <is>
          <t>A 23364-2025</t>
        </is>
      </c>
      <c r="B910" s="1" t="n">
        <v>45791</v>
      </c>
      <c r="C910" s="1" t="n">
        <v>46093</v>
      </c>
      <c r="D910" t="inlineStr">
        <is>
          <t>VÄSTERNORRLANDS LÄN</t>
        </is>
      </c>
      <c r="E910" t="inlineStr">
        <is>
          <t>SUNDSVALL</t>
        </is>
      </c>
      <c r="F910" t="inlineStr">
        <is>
          <t>SCA</t>
        </is>
      </c>
      <c r="G910" t="n">
        <v>4</v>
      </c>
      <c r="H910" t="n">
        <v>1</v>
      </c>
      <c r="I910" t="n">
        <v>0</v>
      </c>
      <c r="J910" t="n">
        <v>2</v>
      </c>
      <c r="K910" t="n">
        <v>0</v>
      </c>
      <c r="L910" t="n">
        <v>0</v>
      </c>
      <c r="M910" t="n">
        <v>0</v>
      </c>
      <c r="N910" t="n">
        <v>0</v>
      </c>
      <c r="O910" t="n">
        <v>2</v>
      </c>
      <c r="P910" t="n">
        <v>0</v>
      </c>
      <c r="Q910" t="n">
        <v>2</v>
      </c>
      <c r="R910" s="2" t="inlineStr">
        <is>
          <t>Garnlav
Tretåig hackspett</t>
        </is>
      </c>
      <c r="S910">
        <f>HYPERLINK("https://klasma.github.io/Logging_2281/artfynd/A 23364-2025 artfynd.xlsx", "A 23364-2025")</f>
        <v/>
      </c>
      <c r="T910">
        <f>HYPERLINK("https://klasma.github.io/Logging_2281/kartor/A 23364-2025 karta.png", "A 23364-2025")</f>
        <v/>
      </c>
      <c r="V910">
        <f>HYPERLINK("https://klasma.github.io/Logging_2281/klagomål/A 23364-2025 FSC-klagomål.docx", "A 23364-2025")</f>
        <v/>
      </c>
      <c r="W910">
        <f>HYPERLINK("https://klasma.github.io/Logging_2281/klagomålsmail/A 23364-2025 FSC-klagomål mail.docx", "A 23364-2025")</f>
        <v/>
      </c>
      <c r="X910">
        <f>HYPERLINK("https://klasma.github.io/Logging_2281/tillsyn/A 23364-2025 tillsynsbegäran.docx", "A 23364-2025")</f>
        <v/>
      </c>
      <c r="Y910">
        <f>HYPERLINK("https://klasma.github.io/Logging_2281/tillsynsmail/A 23364-2025 tillsynsbegäran mail.docx", "A 23364-2025")</f>
        <v/>
      </c>
      <c r="Z910">
        <f>HYPERLINK("https://klasma.github.io/Logging_2281/fåglar/A 23364-2025 prioriterade fågelarter.docx", "A 23364-2025")</f>
        <v/>
      </c>
    </row>
    <row r="911" ht="15" customHeight="1">
      <c r="A911" t="inlineStr">
        <is>
          <t>A 6680-2026</t>
        </is>
      </c>
      <c r="B911" s="1" t="n">
        <v>46056</v>
      </c>
      <c r="C911" s="1" t="n">
        <v>46093</v>
      </c>
      <c r="D911" t="inlineStr">
        <is>
          <t>VÄSTERNORRLANDS LÄN</t>
        </is>
      </c>
      <c r="E911" t="inlineStr">
        <is>
          <t>SUNDSVALL</t>
        </is>
      </c>
      <c r="F911" t="inlineStr">
        <is>
          <t>SCA</t>
        </is>
      </c>
      <c r="G911" t="n">
        <v>20.7</v>
      </c>
      <c r="H911" t="n">
        <v>1</v>
      </c>
      <c r="I911" t="n">
        <v>0</v>
      </c>
      <c r="J911" t="n">
        <v>1</v>
      </c>
      <c r="K911" t="n">
        <v>0</v>
      </c>
      <c r="L911" t="n">
        <v>0</v>
      </c>
      <c r="M911" t="n">
        <v>0</v>
      </c>
      <c r="N911" t="n">
        <v>0</v>
      </c>
      <c r="O911" t="n">
        <v>1</v>
      </c>
      <c r="P911" t="n">
        <v>0</v>
      </c>
      <c r="Q911" t="n">
        <v>2</v>
      </c>
      <c r="R911" s="2" t="inlineStr">
        <is>
          <t>Igelkott
Huggorm</t>
        </is>
      </c>
      <c r="S911">
        <f>HYPERLINK("https://klasma.github.io/Logging_2281/artfynd/A 6680-2026 artfynd.xlsx", "A 6680-2026")</f>
        <v/>
      </c>
      <c r="T911">
        <f>HYPERLINK("https://klasma.github.io/Logging_2281/kartor/A 6680-2026 karta.png", "A 6680-2026")</f>
        <v/>
      </c>
      <c r="V911">
        <f>HYPERLINK("https://klasma.github.io/Logging_2281/klagomål/A 6680-2026 FSC-klagomål.docx", "A 6680-2026")</f>
        <v/>
      </c>
      <c r="W911">
        <f>HYPERLINK("https://klasma.github.io/Logging_2281/klagomålsmail/A 6680-2026 FSC-klagomål mail.docx", "A 6680-2026")</f>
        <v/>
      </c>
      <c r="X911">
        <f>HYPERLINK("https://klasma.github.io/Logging_2281/tillsyn/A 6680-2026 tillsynsbegäran.docx", "A 6680-2026")</f>
        <v/>
      </c>
      <c r="Y911">
        <f>HYPERLINK("https://klasma.github.io/Logging_2281/tillsynsmail/A 6680-2026 tillsynsbegäran mail.docx", "A 6680-2026")</f>
        <v/>
      </c>
    </row>
    <row r="912" ht="15" customHeight="1">
      <c r="A912" t="inlineStr">
        <is>
          <t>A 3594-2026</t>
        </is>
      </c>
      <c r="B912" s="1" t="n">
        <v>46042</v>
      </c>
      <c r="C912" s="1" t="n">
        <v>46093</v>
      </c>
      <c r="D912" t="inlineStr">
        <is>
          <t>VÄSTERNORRLANDS LÄN</t>
        </is>
      </c>
      <c r="E912" t="inlineStr">
        <is>
          <t>SUNDSVALL</t>
        </is>
      </c>
      <c r="G912" t="n">
        <v>1.5</v>
      </c>
      <c r="H912" t="n">
        <v>1</v>
      </c>
      <c r="I912" t="n">
        <v>0</v>
      </c>
      <c r="J912" t="n">
        <v>2</v>
      </c>
      <c r="K912" t="n">
        <v>0</v>
      </c>
      <c r="L912" t="n">
        <v>0</v>
      </c>
      <c r="M912" t="n">
        <v>0</v>
      </c>
      <c r="N912" t="n">
        <v>0</v>
      </c>
      <c r="O912" t="n">
        <v>2</v>
      </c>
      <c r="P912" t="n">
        <v>0</v>
      </c>
      <c r="Q912" t="n">
        <v>2</v>
      </c>
      <c r="R912" s="2" t="inlineStr">
        <is>
          <t>Garnlav
Tretåig hackspett</t>
        </is>
      </c>
      <c r="S912">
        <f>HYPERLINK("https://klasma.github.io/Logging_2281/artfynd/A 3594-2026 artfynd.xlsx", "A 3594-2026")</f>
        <v/>
      </c>
      <c r="T912">
        <f>HYPERLINK("https://klasma.github.io/Logging_2281/kartor/A 3594-2026 karta.png", "A 3594-2026")</f>
        <v/>
      </c>
      <c r="V912">
        <f>HYPERLINK("https://klasma.github.io/Logging_2281/klagomål/A 3594-2026 FSC-klagomål.docx", "A 3594-2026")</f>
        <v/>
      </c>
      <c r="W912">
        <f>HYPERLINK("https://klasma.github.io/Logging_2281/klagomålsmail/A 3594-2026 FSC-klagomål mail.docx", "A 3594-2026")</f>
        <v/>
      </c>
      <c r="X912">
        <f>HYPERLINK("https://klasma.github.io/Logging_2281/tillsyn/A 3594-2026 tillsynsbegäran.docx", "A 3594-2026")</f>
        <v/>
      </c>
      <c r="Y912">
        <f>HYPERLINK("https://klasma.github.io/Logging_2281/tillsynsmail/A 3594-2026 tillsynsbegäran mail.docx", "A 3594-2026")</f>
        <v/>
      </c>
      <c r="Z912">
        <f>HYPERLINK("https://klasma.github.io/Logging_2281/fåglar/A 3594-2026 prioriterade fågelarter.docx", "A 3594-2026")</f>
        <v/>
      </c>
    </row>
    <row r="913" ht="15" customHeight="1">
      <c r="A913" t="inlineStr">
        <is>
          <t>A 24176-2025</t>
        </is>
      </c>
      <c r="B913" s="1" t="n">
        <v>45796.69832175926</v>
      </c>
      <c r="C913" s="1" t="n">
        <v>46093</v>
      </c>
      <c r="D913" t="inlineStr">
        <is>
          <t>VÄSTERNORRLANDS LÄN</t>
        </is>
      </c>
      <c r="E913" t="inlineStr">
        <is>
          <t>ÅNGE</t>
        </is>
      </c>
      <c r="F913" t="inlineStr">
        <is>
          <t>SCA</t>
        </is>
      </c>
      <c r="G913" t="n">
        <v>3.9</v>
      </c>
      <c r="H913" t="n">
        <v>0</v>
      </c>
      <c r="I913" t="n">
        <v>1</v>
      </c>
      <c r="J913" t="n">
        <v>1</v>
      </c>
      <c r="K913" t="n">
        <v>0</v>
      </c>
      <c r="L913" t="n">
        <v>0</v>
      </c>
      <c r="M913" t="n">
        <v>0</v>
      </c>
      <c r="N913" t="n">
        <v>0</v>
      </c>
      <c r="O913" t="n">
        <v>1</v>
      </c>
      <c r="P913" t="n">
        <v>0</v>
      </c>
      <c r="Q913" t="n">
        <v>2</v>
      </c>
      <c r="R913" s="2" t="inlineStr">
        <is>
          <t>Vitgrynig nållav
Vedticka</t>
        </is>
      </c>
      <c r="S913">
        <f>HYPERLINK("https://klasma.github.io/Logging_2260/artfynd/A 24176-2025 artfynd.xlsx", "A 24176-2025")</f>
        <v/>
      </c>
      <c r="T913">
        <f>HYPERLINK("https://klasma.github.io/Logging_2260/kartor/A 24176-2025 karta.png", "A 24176-2025")</f>
        <v/>
      </c>
      <c r="V913">
        <f>HYPERLINK("https://klasma.github.io/Logging_2260/klagomål/A 24176-2025 FSC-klagomål.docx", "A 24176-2025")</f>
        <v/>
      </c>
      <c r="W913">
        <f>HYPERLINK("https://klasma.github.io/Logging_2260/klagomålsmail/A 24176-2025 FSC-klagomål mail.docx", "A 24176-2025")</f>
        <v/>
      </c>
      <c r="X913">
        <f>HYPERLINK("https://klasma.github.io/Logging_2260/tillsyn/A 24176-2025 tillsynsbegäran.docx", "A 24176-2025")</f>
        <v/>
      </c>
      <c r="Y913">
        <f>HYPERLINK("https://klasma.github.io/Logging_2260/tillsynsmail/A 24176-2025 tillsynsbegäran mail.docx", "A 24176-2025")</f>
        <v/>
      </c>
    </row>
    <row r="914" ht="15" customHeight="1">
      <c r="A914" t="inlineStr">
        <is>
          <t>A 25522-2025</t>
        </is>
      </c>
      <c r="B914" s="1" t="n">
        <v>45803.38619212963</v>
      </c>
      <c r="C914" s="1" t="n">
        <v>46093</v>
      </c>
      <c r="D914" t="inlineStr">
        <is>
          <t>VÄSTERNORRLANDS LÄN</t>
        </is>
      </c>
      <c r="E914" t="inlineStr">
        <is>
          <t>SOLLEFTEÅ</t>
        </is>
      </c>
      <c r="F914" t="inlineStr">
        <is>
          <t>SCA</t>
        </is>
      </c>
      <c r="G914" t="n">
        <v>0.8</v>
      </c>
      <c r="H914" t="n">
        <v>0</v>
      </c>
      <c r="I914" t="n">
        <v>0</v>
      </c>
      <c r="J914" t="n">
        <v>2</v>
      </c>
      <c r="K914" t="n">
        <v>0</v>
      </c>
      <c r="L914" t="n">
        <v>0</v>
      </c>
      <c r="M914" t="n">
        <v>0</v>
      </c>
      <c r="N914" t="n">
        <v>0</v>
      </c>
      <c r="O914" t="n">
        <v>2</v>
      </c>
      <c r="P914" t="n">
        <v>0</v>
      </c>
      <c r="Q914" t="n">
        <v>2</v>
      </c>
      <c r="R914" s="2" t="inlineStr">
        <is>
          <t>Garnlav
Granticka</t>
        </is>
      </c>
      <c r="S914">
        <f>HYPERLINK("https://klasma.github.io/Logging_2283/artfynd/A 25522-2025 artfynd.xlsx", "A 25522-2025")</f>
        <v/>
      </c>
      <c r="T914">
        <f>HYPERLINK("https://klasma.github.io/Logging_2283/kartor/A 25522-2025 karta.png", "A 25522-2025")</f>
        <v/>
      </c>
      <c r="V914">
        <f>HYPERLINK("https://klasma.github.io/Logging_2283/klagomål/A 25522-2025 FSC-klagomål.docx", "A 25522-2025")</f>
        <v/>
      </c>
      <c r="W914">
        <f>HYPERLINK("https://klasma.github.io/Logging_2283/klagomålsmail/A 25522-2025 FSC-klagomål mail.docx", "A 25522-2025")</f>
        <v/>
      </c>
      <c r="X914">
        <f>HYPERLINK("https://klasma.github.io/Logging_2283/tillsyn/A 25522-2025 tillsynsbegäran.docx", "A 25522-2025")</f>
        <v/>
      </c>
      <c r="Y914">
        <f>HYPERLINK("https://klasma.github.io/Logging_2283/tillsynsmail/A 25522-2025 tillsynsbegäran mail.docx", "A 25522-2025")</f>
        <v/>
      </c>
    </row>
    <row r="915" ht="15" customHeight="1">
      <c r="A915" t="inlineStr">
        <is>
          <t>A 11741-2026</t>
        </is>
      </c>
      <c r="B915" s="1" t="n">
        <v>46084</v>
      </c>
      <c r="C915" s="1" t="n">
        <v>46093</v>
      </c>
      <c r="D915" t="inlineStr">
        <is>
          <t>VÄSTERNORRLANDS LÄN</t>
        </is>
      </c>
      <c r="E915" t="inlineStr">
        <is>
          <t>SOLLEFTEÅ</t>
        </is>
      </c>
      <c r="G915" t="n">
        <v>8</v>
      </c>
      <c r="H915" t="n">
        <v>0</v>
      </c>
      <c r="I915" t="n">
        <v>1</v>
      </c>
      <c r="J915" t="n">
        <v>1</v>
      </c>
      <c r="K915" t="n">
        <v>0</v>
      </c>
      <c r="L915" t="n">
        <v>0</v>
      </c>
      <c r="M915" t="n">
        <v>0</v>
      </c>
      <c r="N915" t="n">
        <v>0</v>
      </c>
      <c r="O915" t="n">
        <v>1</v>
      </c>
      <c r="P915" t="n">
        <v>0</v>
      </c>
      <c r="Q915" t="n">
        <v>2</v>
      </c>
      <c r="R915" s="2" t="inlineStr">
        <is>
          <t>Svart taggsvamp agg.
Dropptaggsvamp</t>
        </is>
      </c>
      <c r="S915">
        <f>HYPERLINK("https://klasma.github.io/Logging_2283/artfynd/A 11741-2026 artfynd.xlsx", "A 11741-2026")</f>
        <v/>
      </c>
      <c r="T915">
        <f>HYPERLINK("https://klasma.github.io/Logging_2283/kartor/A 11741-2026 karta.png", "A 11741-2026")</f>
        <v/>
      </c>
      <c r="V915">
        <f>HYPERLINK("https://klasma.github.io/Logging_2283/klagomål/A 11741-2026 FSC-klagomål.docx", "A 11741-2026")</f>
        <v/>
      </c>
      <c r="W915">
        <f>HYPERLINK("https://klasma.github.io/Logging_2283/klagomålsmail/A 11741-2026 FSC-klagomål mail.docx", "A 11741-2026")</f>
        <v/>
      </c>
      <c r="X915">
        <f>HYPERLINK("https://klasma.github.io/Logging_2283/tillsyn/A 11741-2026 tillsynsbegäran.docx", "A 11741-2026")</f>
        <v/>
      </c>
      <c r="Y915">
        <f>HYPERLINK("https://klasma.github.io/Logging_2283/tillsynsmail/A 11741-2026 tillsynsbegäran mail.docx", "A 11741-2026")</f>
        <v/>
      </c>
    </row>
    <row r="916" ht="15" customHeight="1">
      <c r="A916" t="inlineStr">
        <is>
          <t>A 25870-2025</t>
        </is>
      </c>
      <c r="B916" s="1" t="n">
        <v>45804.49010416667</v>
      </c>
      <c r="C916" s="1" t="n">
        <v>46093</v>
      </c>
      <c r="D916" t="inlineStr">
        <is>
          <t>VÄSTERNORRLANDS LÄN</t>
        </is>
      </c>
      <c r="E916" t="inlineStr">
        <is>
          <t>SUNDSVALL</t>
        </is>
      </c>
      <c r="F916" t="inlineStr">
        <is>
          <t>Naturvårdsverket</t>
        </is>
      </c>
      <c r="G916" t="n">
        <v>1.6</v>
      </c>
      <c r="H916" t="n">
        <v>1</v>
      </c>
      <c r="I916" t="n">
        <v>1</v>
      </c>
      <c r="J916" t="n">
        <v>1</v>
      </c>
      <c r="K916" t="n">
        <v>0</v>
      </c>
      <c r="L916" t="n">
        <v>0</v>
      </c>
      <c r="M916" t="n">
        <v>0</v>
      </c>
      <c r="N916" t="n">
        <v>0</v>
      </c>
      <c r="O916" t="n">
        <v>1</v>
      </c>
      <c r="P916" t="n">
        <v>0</v>
      </c>
      <c r="Q916" t="n">
        <v>2</v>
      </c>
      <c r="R916" s="2" t="inlineStr">
        <is>
          <t>Lunglav
Spindelblomster</t>
        </is>
      </c>
      <c r="S916">
        <f>HYPERLINK("https://klasma.github.io/Logging_2281/artfynd/A 25870-2025 artfynd.xlsx", "A 25870-2025")</f>
        <v/>
      </c>
      <c r="T916">
        <f>HYPERLINK("https://klasma.github.io/Logging_2281/kartor/A 25870-2025 karta.png", "A 25870-2025")</f>
        <v/>
      </c>
      <c r="U916">
        <f>HYPERLINK("https://klasma.github.io/Logging_2281/knärot/A 25870-2025 karta knärot.png", "A 25870-2025")</f>
        <v/>
      </c>
      <c r="V916">
        <f>HYPERLINK("https://klasma.github.io/Logging_2281/klagomål/A 25870-2025 FSC-klagomål.docx", "A 25870-2025")</f>
        <v/>
      </c>
      <c r="W916">
        <f>HYPERLINK("https://klasma.github.io/Logging_2281/klagomålsmail/A 25870-2025 FSC-klagomål mail.docx", "A 25870-2025")</f>
        <v/>
      </c>
      <c r="X916">
        <f>HYPERLINK("https://klasma.github.io/Logging_2281/tillsyn/A 25870-2025 tillsynsbegäran.docx", "A 25870-2025")</f>
        <v/>
      </c>
      <c r="Y916">
        <f>HYPERLINK("https://klasma.github.io/Logging_2281/tillsynsmail/A 25870-2025 tillsynsbegäran mail.docx", "A 25870-2025")</f>
        <v/>
      </c>
    </row>
    <row r="917" ht="15" customHeight="1">
      <c r="A917" t="inlineStr">
        <is>
          <t>A 25836-2025</t>
        </is>
      </c>
      <c r="B917" s="1" t="n">
        <v>45804.44865740741</v>
      </c>
      <c r="C917" s="1" t="n">
        <v>46093</v>
      </c>
      <c r="D917" t="inlineStr">
        <is>
          <t>VÄSTERNORRLANDS LÄN</t>
        </is>
      </c>
      <c r="E917" t="inlineStr">
        <is>
          <t>SUNDSVALL</t>
        </is>
      </c>
      <c r="F917" t="inlineStr">
        <is>
          <t>Naturvårdsverket</t>
        </is>
      </c>
      <c r="G917" t="n">
        <v>1.5</v>
      </c>
      <c r="H917" t="n">
        <v>1</v>
      </c>
      <c r="I917" t="n">
        <v>0</v>
      </c>
      <c r="J917" t="n">
        <v>1</v>
      </c>
      <c r="K917" t="n">
        <v>0</v>
      </c>
      <c r="L917" t="n">
        <v>0</v>
      </c>
      <c r="M917" t="n">
        <v>0</v>
      </c>
      <c r="N917" t="n">
        <v>0</v>
      </c>
      <c r="O917" t="n">
        <v>1</v>
      </c>
      <c r="P917" t="n">
        <v>0</v>
      </c>
      <c r="Q917" t="n">
        <v>2</v>
      </c>
      <c r="R917" s="2" t="inlineStr">
        <is>
          <t>Garnlav
Fläcknycklar</t>
        </is>
      </c>
      <c r="S917">
        <f>HYPERLINK("https://klasma.github.io/Logging_2281/artfynd/A 25836-2025 artfynd.xlsx", "A 25836-2025")</f>
        <v/>
      </c>
      <c r="T917">
        <f>HYPERLINK("https://klasma.github.io/Logging_2281/kartor/A 25836-2025 karta.png", "A 25836-2025")</f>
        <v/>
      </c>
      <c r="V917">
        <f>HYPERLINK("https://klasma.github.io/Logging_2281/klagomål/A 25836-2025 FSC-klagomål.docx", "A 25836-2025")</f>
        <v/>
      </c>
      <c r="W917">
        <f>HYPERLINK("https://klasma.github.io/Logging_2281/klagomålsmail/A 25836-2025 FSC-klagomål mail.docx", "A 25836-2025")</f>
        <v/>
      </c>
      <c r="X917">
        <f>HYPERLINK("https://klasma.github.io/Logging_2281/tillsyn/A 25836-2025 tillsynsbegäran.docx", "A 25836-2025")</f>
        <v/>
      </c>
      <c r="Y917">
        <f>HYPERLINK("https://klasma.github.io/Logging_2281/tillsynsmail/A 25836-2025 tillsynsbegäran mail.docx", "A 25836-2025")</f>
        <v/>
      </c>
    </row>
    <row r="918" ht="15" customHeight="1">
      <c r="A918" t="inlineStr">
        <is>
          <t>A 59994-2024</t>
        </is>
      </c>
      <c r="B918" s="1" t="n">
        <v>45642.40677083333</v>
      </c>
      <c r="C918" s="1" t="n">
        <v>46093</v>
      </c>
      <c r="D918" t="inlineStr">
        <is>
          <t>VÄSTERNORRLANDS LÄN</t>
        </is>
      </c>
      <c r="E918" t="inlineStr">
        <is>
          <t>SUNDSVALL</t>
        </is>
      </c>
      <c r="G918" t="n">
        <v>2.1</v>
      </c>
      <c r="H918" t="n">
        <v>0</v>
      </c>
      <c r="I918" t="n">
        <v>0</v>
      </c>
      <c r="J918" t="n">
        <v>2</v>
      </c>
      <c r="K918" t="n">
        <v>0</v>
      </c>
      <c r="L918" t="n">
        <v>0</v>
      </c>
      <c r="M918" t="n">
        <v>0</v>
      </c>
      <c r="N918" t="n">
        <v>0</v>
      </c>
      <c r="O918" t="n">
        <v>2</v>
      </c>
      <c r="P918" t="n">
        <v>0</v>
      </c>
      <c r="Q918" t="n">
        <v>2</v>
      </c>
      <c r="R918" s="2" t="inlineStr">
        <is>
          <t>Rosenticka
Ullticka</t>
        </is>
      </c>
      <c r="S918">
        <f>HYPERLINK("https://klasma.github.io/Logging_2281/artfynd/A 59994-2024 artfynd.xlsx", "A 59994-2024")</f>
        <v/>
      </c>
      <c r="T918">
        <f>HYPERLINK("https://klasma.github.io/Logging_2281/kartor/A 59994-2024 karta.png", "A 59994-2024")</f>
        <v/>
      </c>
      <c r="U918">
        <f>HYPERLINK("https://klasma.github.io/Logging_2281/knärot/A 59994-2024 karta knärot.png", "A 59994-2024")</f>
        <v/>
      </c>
      <c r="V918">
        <f>HYPERLINK("https://klasma.github.io/Logging_2281/klagomål/A 59994-2024 FSC-klagomål.docx", "A 59994-2024")</f>
        <v/>
      </c>
      <c r="W918">
        <f>HYPERLINK("https://klasma.github.io/Logging_2281/klagomålsmail/A 59994-2024 FSC-klagomål mail.docx", "A 59994-2024")</f>
        <v/>
      </c>
      <c r="X918">
        <f>HYPERLINK("https://klasma.github.io/Logging_2281/tillsyn/A 59994-2024 tillsynsbegäran.docx", "A 59994-2024")</f>
        <v/>
      </c>
      <c r="Y918">
        <f>HYPERLINK("https://klasma.github.io/Logging_2281/tillsynsmail/A 59994-2024 tillsynsbegäran mail.docx", "A 59994-2024")</f>
        <v/>
      </c>
    </row>
    <row r="919" ht="15" customHeight="1">
      <c r="A919" t="inlineStr">
        <is>
          <t>A 26834-2025</t>
        </is>
      </c>
      <c r="B919" s="1" t="n">
        <v>45810.65725694445</v>
      </c>
      <c r="C919" s="1" t="n">
        <v>46093</v>
      </c>
      <c r="D919" t="inlineStr">
        <is>
          <t>VÄSTERNORRLANDS LÄN</t>
        </is>
      </c>
      <c r="E919" t="inlineStr">
        <is>
          <t>SUNDSVALL</t>
        </is>
      </c>
      <c r="F919" t="inlineStr">
        <is>
          <t>SCA</t>
        </is>
      </c>
      <c r="G919" t="n">
        <v>1.9</v>
      </c>
      <c r="H919" t="n">
        <v>0</v>
      </c>
      <c r="I919" t="n">
        <v>0</v>
      </c>
      <c r="J919" t="n">
        <v>2</v>
      </c>
      <c r="K919" t="n">
        <v>0</v>
      </c>
      <c r="L919" t="n">
        <v>0</v>
      </c>
      <c r="M919" t="n">
        <v>0</v>
      </c>
      <c r="N919" t="n">
        <v>0</v>
      </c>
      <c r="O919" t="n">
        <v>2</v>
      </c>
      <c r="P919" t="n">
        <v>0</v>
      </c>
      <c r="Q919" t="n">
        <v>2</v>
      </c>
      <c r="R919" s="2" t="inlineStr">
        <is>
          <t>Garnlav
Kolflarnlav</t>
        </is>
      </c>
      <c r="S919">
        <f>HYPERLINK("https://klasma.github.io/Logging_2281/artfynd/A 26834-2025 artfynd.xlsx", "A 26834-2025")</f>
        <v/>
      </c>
      <c r="T919">
        <f>HYPERLINK("https://klasma.github.io/Logging_2281/kartor/A 26834-2025 karta.png", "A 26834-2025")</f>
        <v/>
      </c>
      <c r="V919">
        <f>HYPERLINK("https://klasma.github.io/Logging_2281/klagomål/A 26834-2025 FSC-klagomål.docx", "A 26834-2025")</f>
        <v/>
      </c>
      <c r="W919">
        <f>HYPERLINK("https://klasma.github.io/Logging_2281/klagomålsmail/A 26834-2025 FSC-klagomål mail.docx", "A 26834-2025")</f>
        <v/>
      </c>
      <c r="X919">
        <f>HYPERLINK("https://klasma.github.io/Logging_2281/tillsyn/A 26834-2025 tillsynsbegäran.docx", "A 26834-2025")</f>
        <v/>
      </c>
      <c r="Y919">
        <f>HYPERLINK("https://klasma.github.io/Logging_2281/tillsynsmail/A 26834-2025 tillsynsbegäran mail.docx", "A 26834-2025")</f>
        <v/>
      </c>
    </row>
    <row r="920" ht="15" customHeight="1">
      <c r="A920" t="inlineStr">
        <is>
          <t>A 12120-2025</t>
        </is>
      </c>
      <c r="B920" s="1" t="n">
        <v>45729.36545138889</v>
      </c>
      <c r="C920" s="1" t="n">
        <v>46093</v>
      </c>
      <c r="D920" t="inlineStr">
        <is>
          <t>VÄSTERNORRLANDS LÄN</t>
        </is>
      </c>
      <c r="E920" t="inlineStr">
        <is>
          <t>KRAMFORS</t>
        </is>
      </c>
      <c r="G920" t="n">
        <v>7.5</v>
      </c>
      <c r="H920" t="n">
        <v>0</v>
      </c>
      <c r="I920" t="n">
        <v>0</v>
      </c>
      <c r="J920" t="n">
        <v>2</v>
      </c>
      <c r="K920" t="n">
        <v>0</v>
      </c>
      <c r="L920" t="n">
        <v>0</v>
      </c>
      <c r="M920" t="n">
        <v>0</v>
      </c>
      <c r="N920" t="n">
        <v>0</v>
      </c>
      <c r="O920" t="n">
        <v>2</v>
      </c>
      <c r="P920" t="n">
        <v>0</v>
      </c>
      <c r="Q920" t="n">
        <v>2</v>
      </c>
      <c r="R920" s="2" t="inlineStr">
        <is>
          <t>Garnlav
Ullticka</t>
        </is>
      </c>
      <c r="S920">
        <f>HYPERLINK("https://klasma.github.io/Logging_2282/artfynd/A 12120-2025 artfynd.xlsx", "A 12120-2025")</f>
        <v/>
      </c>
      <c r="T920">
        <f>HYPERLINK("https://klasma.github.io/Logging_2282/kartor/A 12120-2025 karta.png", "A 12120-2025")</f>
        <v/>
      </c>
      <c r="V920">
        <f>HYPERLINK("https://klasma.github.io/Logging_2282/klagomål/A 12120-2025 FSC-klagomål.docx", "A 12120-2025")</f>
        <v/>
      </c>
      <c r="W920">
        <f>HYPERLINK("https://klasma.github.io/Logging_2282/klagomålsmail/A 12120-2025 FSC-klagomål mail.docx", "A 12120-2025")</f>
        <v/>
      </c>
      <c r="X920">
        <f>HYPERLINK("https://klasma.github.io/Logging_2282/tillsyn/A 12120-2025 tillsynsbegäran.docx", "A 12120-2025")</f>
        <v/>
      </c>
      <c r="Y920">
        <f>HYPERLINK("https://klasma.github.io/Logging_2282/tillsynsmail/A 12120-2025 tillsynsbegäran mail.docx", "A 12120-2025")</f>
        <v/>
      </c>
    </row>
    <row r="921" ht="15" customHeight="1">
      <c r="A921" t="inlineStr">
        <is>
          <t>A 26833-2025</t>
        </is>
      </c>
      <c r="B921" s="1" t="n">
        <v>45810.65706018519</v>
      </c>
      <c r="C921" s="1" t="n">
        <v>46093</v>
      </c>
      <c r="D921" t="inlineStr">
        <is>
          <t>VÄSTERNORRLANDS LÄN</t>
        </is>
      </c>
      <c r="E921" t="inlineStr">
        <is>
          <t>SUNDSVALL</t>
        </is>
      </c>
      <c r="F921" t="inlineStr">
        <is>
          <t>SCA</t>
        </is>
      </c>
      <c r="G921" t="n">
        <v>6</v>
      </c>
      <c r="H921" t="n">
        <v>0</v>
      </c>
      <c r="I921" t="n">
        <v>0</v>
      </c>
      <c r="J921" t="n">
        <v>2</v>
      </c>
      <c r="K921" t="n">
        <v>0</v>
      </c>
      <c r="L921" t="n">
        <v>0</v>
      </c>
      <c r="M921" t="n">
        <v>0</v>
      </c>
      <c r="N921" t="n">
        <v>0</v>
      </c>
      <c r="O921" t="n">
        <v>2</v>
      </c>
      <c r="P921" t="n">
        <v>0</v>
      </c>
      <c r="Q921" t="n">
        <v>2</v>
      </c>
      <c r="R921" s="2" t="inlineStr">
        <is>
          <t>Kolflarnlav
Vedskivlav</t>
        </is>
      </c>
      <c r="S921">
        <f>HYPERLINK("https://klasma.github.io/Logging_2281/artfynd/A 26833-2025 artfynd.xlsx", "A 26833-2025")</f>
        <v/>
      </c>
      <c r="T921">
        <f>HYPERLINK("https://klasma.github.io/Logging_2281/kartor/A 26833-2025 karta.png", "A 26833-2025")</f>
        <v/>
      </c>
      <c r="V921">
        <f>HYPERLINK("https://klasma.github.io/Logging_2281/klagomål/A 26833-2025 FSC-klagomål.docx", "A 26833-2025")</f>
        <v/>
      </c>
      <c r="W921">
        <f>HYPERLINK("https://klasma.github.io/Logging_2281/klagomålsmail/A 26833-2025 FSC-klagomål mail.docx", "A 26833-2025")</f>
        <v/>
      </c>
      <c r="X921">
        <f>HYPERLINK("https://klasma.github.io/Logging_2281/tillsyn/A 26833-2025 tillsynsbegäran.docx", "A 26833-2025")</f>
        <v/>
      </c>
      <c r="Y921">
        <f>HYPERLINK("https://klasma.github.io/Logging_2281/tillsynsmail/A 26833-2025 tillsynsbegäran mail.docx", "A 26833-2025")</f>
        <v/>
      </c>
    </row>
    <row r="922" ht="15" customHeight="1">
      <c r="A922" t="inlineStr">
        <is>
          <t>A 26906-2025</t>
        </is>
      </c>
      <c r="B922" s="1" t="n">
        <v>45811.34552083333</v>
      </c>
      <c r="C922" s="1" t="n">
        <v>46093</v>
      </c>
      <c r="D922" t="inlineStr">
        <is>
          <t>VÄSTERNORRLANDS LÄN</t>
        </is>
      </c>
      <c r="E922" t="inlineStr">
        <is>
          <t>ÅNGE</t>
        </is>
      </c>
      <c r="F922" t="inlineStr">
        <is>
          <t>SCA</t>
        </is>
      </c>
      <c r="G922" t="n">
        <v>7</v>
      </c>
      <c r="H922" t="n">
        <v>0</v>
      </c>
      <c r="I922" t="n">
        <v>0</v>
      </c>
      <c r="J922" t="n">
        <v>2</v>
      </c>
      <c r="K922" t="n">
        <v>0</v>
      </c>
      <c r="L922" t="n">
        <v>0</v>
      </c>
      <c r="M922" t="n">
        <v>0</v>
      </c>
      <c r="N922" t="n">
        <v>0</v>
      </c>
      <c r="O922" t="n">
        <v>2</v>
      </c>
      <c r="P922" t="n">
        <v>0</v>
      </c>
      <c r="Q922" t="n">
        <v>2</v>
      </c>
      <c r="R922" s="2" t="inlineStr">
        <is>
          <t>Garnlav
Vitgrynig nållav</t>
        </is>
      </c>
      <c r="S922">
        <f>HYPERLINK("https://klasma.github.io/Logging_2260/artfynd/A 26906-2025 artfynd.xlsx", "A 26906-2025")</f>
        <v/>
      </c>
      <c r="T922">
        <f>HYPERLINK("https://klasma.github.io/Logging_2260/kartor/A 26906-2025 karta.png", "A 26906-2025")</f>
        <v/>
      </c>
      <c r="V922">
        <f>HYPERLINK("https://klasma.github.io/Logging_2260/klagomål/A 26906-2025 FSC-klagomål.docx", "A 26906-2025")</f>
        <v/>
      </c>
      <c r="W922">
        <f>HYPERLINK("https://klasma.github.io/Logging_2260/klagomålsmail/A 26906-2025 FSC-klagomål mail.docx", "A 26906-2025")</f>
        <v/>
      </c>
      <c r="X922">
        <f>HYPERLINK("https://klasma.github.io/Logging_2260/tillsyn/A 26906-2025 tillsynsbegäran.docx", "A 26906-2025")</f>
        <v/>
      </c>
      <c r="Y922">
        <f>HYPERLINK("https://klasma.github.io/Logging_2260/tillsynsmail/A 26906-2025 tillsynsbegäran mail.docx", "A 26906-2025")</f>
        <v/>
      </c>
    </row>
    <row r="923" ht="15" customHeight="1">
      <c r="A923" t="inlineStr">
        <is>
          <t>A 5111-2026</t>
        </is>
      </c>
      <c r="B923" s="1" t="n">
        <v>46049.57377314815</v>
      </c>
      <c r="C923" s="1" t="n">
        <v>46093</v>
      </c>
      <c r="D923" t="inlineStr">
        <is>
          <t>VÄSTERNORRLANDS LÄN</t>
        </is>
      </c>
      <c r="E923" t="inlineStr">
        <is>
          <t>SOLLEFTEÅ</t>
        </is>
      </c>
      <c r="F923" t="inlineStr">
        <is>
          <t>SCA</t>
        </is>
      </c>
      <c r="G923" t="n">
        <v>4.4</v>
      </c>
      <c r="H923" t="n">
        <v>0</v>
      </c>
      <c r="I923" t="n">
        <v>0</v>
      </c>
      <c r="J923" t="n">
        <v>2</v>
      </c>
      <c r="K923" t="n">
        <v>0</v>
      </c>
      <c r="L923" t="n">
        <v>0</v>
      </c>
      <c r="M923" t="n">
        <v>0</v>
      </c>
      <c r="N923" t="n">
        <v>0</v>
      </c>
      <c r="O923" t="n">
        <v>2</v>
      </c>
      <c r="P923" t="n">
        <v>0</v>
      </c>
      <c r="Q923" t="n">
        <v>2</v>
      </c>
      <c r="R923" s="2" t="inlineStr">
        <is>
          <t>Lunglav
Ullticka</t>
        </is>
      </c>
      <c r="S923">
        <f>HYPERLINK("https://klasma.github.io/Logging_2283/artfynd/A 5111-2026 artfynd.xlsx", "A 5111-2026")</f>
        <v/>
      </c>
      <c r="T923">
        <f>HYPERLINK("https://klasma.github.io/Logging_2283/kartor/A 5111-2026 karta.png", "A 5111-2026")</f>
        <v/>
      </c>
      <c r="V923">
        <f>HYPERLINK("https://klasma.github.io/Logging_2283/klagomål/A 5111-2026 FSC-klagomål.docx", "A 5111-2026")</f>
        <v/>
      </c>
      <c r="W923">
        <f>HYPERLINK("https://klasma.github.io/Logging_2283/klagomålsmail/A 5111-2026 FSC-klagomål mail.docx", "A 5111-2026")</f>
        <v/>
      </c>
      <c r="X923">
        <f>HYPERLINK("https://klasma.github.io/Logging_2283/tillsyn/A 5111-2026 tillsynsbegäran.docx", "A 5111-2026")</f>
        <v/>
      </c>
      <c r="Y923">
        <f>HYPERLINK("https://klasma.github.io/Logging_2283/tillsynsmail/A 5111-2026 tillsynsbegäran mail.docx", "A 5111-2026")</f>
        <v/>
      </c>
    </row>
    <row r="924" ht="15" customHeight="1">
      <c r="A924" t="inlineStr">
        <is>
          <t>A 6672-2025</t>
        </is>
      </c>
      <c r="B924" s="1" t="n">
        <v>45700.46920138889</v>
      </c>
      <c r="C924" s="1" t="n">
        <v>46093</v>
      </c>
      <c r="D924" t="inlineStr">
        <is>
          <t>VÄSTERNORRLANDS LÄN</t>
        </is>
      </c>
      <c r="E924" t="inlineStr">
        <is>
          <t>SUNDSVALL</t>
        </is>
      </c>
      <c r="G924" t="n">
        <v>2.8</v>
      </c>
      <c r="H924" t="n">
        <v>0</v>
      </c>
      <c r="I924" t="n">
        <v>1</v>
      </c>
      <c r="J924" t="n">
        <v>1</v>
      </c>
      <c r="K924" t="n">
        <v>0</v>
      </c>
      <c r="L924" t="n">
        <v>0</v>
      </c>
      <c r="M924" t="n">
        <v>0</v>
      </c>
      <c r="N924" t="n">
        <v>0</v>
      </c>
      <c r="O924" t="n">
        <v>1</v>
      </c>
      <c r="P924" t="n">
        <v>0</v>
      </c>
      <c r="Q924" t="n">
        <v>2</v>
      </c>
      <c r="R924" s="2" t="inlineStr">
        <is>
          <t>Tallticka
Björksplintborre</t>
        </is>
      </c>
      <c r="S924">
        <f>HYPERLINK("https://klasma.github.io/Logging_2281/artfynd/A 6672-2025 artfynd.xlsx", "A 6672-2025")</f>
        <v/>
      </c>
      <c r="T924">
        <f>HYPERLINK("https://klasma.github.io/Logging_2281/kartor/A 6672-2025 karta.png", "A 6672-2025")</f>
        <v/>
      </c>
      <c r="V924">
        <f>HYPERLINK("https://klasma.github.io/Logging_2281/klagomål/A 6672-2025 FSC-klagomål.docx", "A 6672-2025")</f>
        <v/>
      </c>
      <c r="W924">
        <f>HYPERLINK("https://klasma.github.io/Logging_2281/klagomålsmail/A 6672-2025 FSC-klagomål mail.docx", "A 6672-2025")</f>
        <v/>
      </c>
      <c r="X924">
        <f>HYPERLINK("https://klasma.github.io/Logging_2281/tillsyn/A 6672-2025 tillsynsbegäran.docx", "A 6672-2025")</f>
        <v/>
      </c>
      <c r="Y924">
        <f>HYPERLINK("https://klasma.github.io/Logging_2281/tillsynsmail/A 6672-2025 tillsynsbegäran mail.docx", "A 6672-2025")</f>
        <v/>
      </c>
    </row>
    <row r="925" ht="15" customHeight="1">
      <c r="A925" t="inlineStr">
        <is>
          <t>A 36126-2025</t>
        </is>
      </c>
      <c r="B925" s="1" t="n">
        <v>45866</v>
      </c>
      <c r="C925" s="1" t="n">
        <v>46093</v>
      </c>
      <c r="D925" t="inlineStr">
        <is>
          <t>VÄSTERNORRLANDS LÄN</t>
        </is>
      </c>
      <c r="E925" t="inlineStr">
        <is>
          <t>TIMRÅ</t>
        </is>
      </c>
      <c r="F925" t="inlineStr">
        <is>
          <t>SCA</t>
        </is>
      </c>
      <c r="G925" t="n">
        <v>3.5</v>
      </c>
      <c r="H925" t="n">
        <v>0</v>
      </c>
      <c r="I925" t="n">
        <v>0</v>
      </c>
      <c r="J925" t="n">
        <v>2</v>
      </c>
      <c r="K925" t="n">
        <v>0</v>
      </c>
      <c r="L925" t="n">
        <v>0</v>
      </c>
      <c r="M925" t="n">
        <v>0</v>
      </c>
      <c r="N925" t="n">
        <v>0</v>
      </c>
      <c r="O925" t="n">
        <v>2</v>
      </c>
      <c r="P925" t="n">
        <v>0</v>
      </c>
      <c r="Q925" t="n">
        <v>2</v>
      </c>
      <c r="R925" s="2" t="inlineStr">
        <is>
          <t>Garnlav
Vedflamlav</t>
        </is>
      </c>
      <c r="S925">
        <f>HYPERLINK("https://klasma.github.io/Logging_2262/artfynd/A 36126-2025 artfynd.xlsx", "A 36126-2025")</f>
        <v/>
      </c>
      <c r="T925">
        <f>HYPERLINK("https://klasma.github.io/Logging_2262/kartor/A 36126-2025 karta.png", "A 36126-2025")</f>
        <v/>
      </c>
      <c r="U925">
        <f>HYPERLINK("https://klasma.github.io/Logging_2262/knärot/A 36126-2025 karta knärot.png", "A 36126-2025")</f>
        <v/>
      </c>
      <c r="V925">
        <f>HYPERLINK("https://klasma.github.io/Logging_2262/klagomål/A 36126-2025 FSC-klagomål.docx", "A 36126-2025")</f>
        <v/>
      </c>
      <c r="W925">
        <f>HYPERLINK("https://klasma.github.io/Logging_2262/klagomålsmail/A 36126-2025 FSC-klagomål mail.docx", "A 36126-2025")</f>
        <v/>
      </c>
      <c r="X925">
        <f>HYPERLINK("https://klasma.github.io/Logging_2262/tillsyn/A 36126-2025 tillsynsbegäran.docx", "A 36126-2025")</f>
        <v/>
      </c>
      <c r="Y925">
        <f>HYPERLINK("https://klasma.github.io/Logging_2262/tillsynsmail/A 36126-2025 tillsynsbegäran mail.docx", "A 36126-2025")</f>
        <v/>
      </c>
    </row>
    <row r="926" ht="15" customHeight="1">
      <c r="A926" t="inlineStr">
        <is>
          <t>A 29698-2025</t>
        </is>
      </c>
      <c r="B926" s="1" t="n">
        <v>45825.55240740741</v>
      </c>
      <c r="C926" s="1" t="n">
        <v>46093</v>
      </c>
      <c r="D926" t="inlineStr">
        <is>
          <t>VÄSTERNORRLANDS LÄN</t>
        </is>
      </c>
      <c r="E926" t="inlineStr">
        <is>
          <t>KRAMFORS</t>
        </is>
      </c>
      <c r="G926" t="n">
        <v>8.6</v>
      </c>
      <c r="H926" t="n">
        <v>2</v>
      </c>
      <c r="I926" t="n">
        <v>0</v>
      </c>
      <c r="J926" t="n">
        <v>2</v>
      </c>
      <c r="K926" t="n">
        <v>0</v>
      </c>
      <c r="L926" t="n">
        <v>0</v>
      </c>
      <c r="M926" t="n">
        <v>0</v>
      </c>
      <c r="N926" t="n">
        <v>0</v>
      </c>
      <c r="O926" t="n">
        <v>2</v>
      </c>
      <c r="P926" t="n">
        <v>0</v>
      </c>
      <c r="Q926" t="n">
        <v>2</v>
      </c>
      <c r="R926" s="2" t="inlineStr">
        <is>
          <t>Talltita
Tretåig hackspett</t>
        </is>
      </c>
      <c r="S926">
        <f>HYPERLINK("https://klasma.github.io/Logging_2282/artfynd/A 29698-2025 artfynd.xlsx", "A 29698-2025")</f>
        <v/>
      </c>
      <c r="T926">
        <f>HYPERLINK("https://klasma.github.io/Logging_2282/kartor/A 29698-2025 karta.png", "A 29698-2025")</f>
        <v/>
      </c>
      <c r="V926">
        <f>HYPERLINK("https://klasma.github.io/Logging_2282/klagomål/A 29698-2025 FSC-klagomål.docx", "A 29698-2025")</f>
        <v/>
      </c>
      <c r="W926">
        <f>HYPERLINK("https://klasma.github.io/Logging_2282/klagomålsmail/A 29698-2025 FSC-klagomål mail.docx", "A 29698-2025")</f>
        <v/>
      </c>
      <c r="X926">
        <f>HYPERLINK("https://klasma.github.io/Logging_2282/tillsyn/A 29698-2025 tillsynsbegäran.docx", "A 29698-2025")</f>
        <v/>
      </c>
      <c r="Y926">
        <f>HYPERLINK("https://klasma.github.io/Logging_2282/tillsynsmail/A 29698-2025 tillsynsbegäran mail.docx", "A 29698-2025")</f>
        <v/>
      </c>
      <c r="Z926">
        <f>HYPERLINK("https://klasma.github.io/Logging_2282/fåglar/A 29698-2025 prioriterade fågelarter.docx", "A 29698-2025")</f>
        <v/>
      </c>
    </row>
    <row r="927" ht="15" customHeight="1">
      <c r="A927" t="inlineStr">
        <is>
          <t>A 30187-2025</t>
        </is>
      </c>
      <c r="B927" s="1" t="n">
        <v>45827.3472800926</v>
      </c>
      <c r="C927" s="1" t="n">
        <v>46093</v>
      </c>
      <c r="D927" t="inlineStr">
        <is>
          <t>VÄSTERNORRLANDS LÄN</t>
        </is>
      </c>
      <c r="E927" t="inlineStr">
        <is>
          <t>TIMRÅ</t>
        </is>
      </c>
      <c r="F927" t="inlineStr">
        <is>
          <t>SCA</t>
        </is>
      </c>
      <c r="G927" t="n">
        <v>0.6</v>
      </c>
      <c r="H927" t="n">
        <v>0</v>
      </c>
      <c r="I927" t="n">
        <v>0</v>
      </c>
      <c r="J927" t="n">
        <v>2</v>
      </c>
      <c r="K927" t="n">
        <v>0</v>
      </c>
      <c r="L927" t="n">
        <v>0</v>
      </c>
      <c r="M927" t="n">
        <v>0</v>
      </c>
      <c r="N927" t="n">
        <v>0</v>
      </c>
      <c r="O927" t="n">
        <v>2</v>
      </c>
      <c r="P927" t="n">
        <v>0</v>
      </c>
      <c r="Q927" t="n">
        <v>2</v>
      </c>
      <c r="R927" s="2" t="inlineStr">
        <is>
          <t>Rosenticka
Ullticka</t>
        </is>
      </c>
      <c r="S927">
        <f>HYPERLINK("https://klasma.github.io/Logging_2262/artfynd/A 30187-2025 artfynd.xlsx", "A 30187-2025")</f>
        <v/>
      </c>
      <c r="T927">
        <f>HYPERLINK("https://klasma.github.io/Logging_2262/kartor/A 30187-2025 karta.png", "A 30187-2025")</f>
        <v/>
      </c>
      <c r="V927">
        <f>HYPERLINK("https://klasma.github.io/Logging_2262/klagomål/A 30187-2025 FSC-klagomål.docx", "A 30187-2025")</f>
        <v/>
      </c>
      <c r="W927">
        <f>HYPERLINK("https://klasma.github.io/Logging_2262/klagomålsmail/A 30187-2025 FSC-klagomål mail.docx", "A 30187-2025")</f>
        <v/>
      </c>
      <c r="X927">
        <f>HYPERLINK("https://klasma.github.io/Logging_2262/tillsyn/A 30187-2025 tillsynsbegäran.docx", "A 30187-2025")</f>
        <v/>
      </c>
      <c r="Y927">
        <f>HYPERLINK("https://klasma.github.io/Logging_2262/tillsynsmail/A 30187-2025 tillsynsbegäran mail.docx", "A 30187-2025")</f>
        <v/>
      </c>
    </row>
    <row r="928" ht="15" customHeight="1">
      <c r="A928" t="inlineStr">
        <is>
          <t>A 30972-2025</t>
        </is>
      </c>
      <c r="B928" s="1" t="n">
        <v>45832.4615625</v>
      </c>
      <c r="C928" s="1" t="n">
        <v>46093</v>
      </c>
      <c r="D928" t="inlineStr">
        <is>
          <t>VÄSTERNORRLANDS LÄN</t>
        </is>
      </c>
      <c r="E928" t="inlineStr">
        <is>
          <t>SOLLEFTEÅ</t>
        </is>
      </c>
      <c r="G928" t="n">
        <v>0.6</v>
      </c>
      <c r="H928" t="n">
        <v>0</v>
      </c>
      <c r="I928" t="n">
        <v>0</v>
      </c>
      <c r="J928" t="n">
        <v>2</v>
      </c>
      <c r="K928" t="n">
        <v>0</v>
      </c>
      <c r="L928" t="n">
        <v>0</v>
      </c>
      <c r="M928" t="n">
        <v>0</v>
      </c>
      <c r="N928" t="n">
        <v>0</v>
      </c>
      <c r="O928" t="n">
        <v>2</v>
      </c>
      <c r="P928" t="n">
        <v>0</v>
      </c>
      <c r="Q928" t="n">
        <v>2</v>
      </c>
      <c r="R928" s="2" t="inlineStr">
        <is>
          <t>Rosenticka
Ullticka</t>
        </is>
      </c>
      <c r="S928">
        <f>HYPERLINK("https://klasma.github.io/Logging_2283/artfynd/A 30972-2025 artfynd.xlsx", "A 30972-2025")</f>
        <v/>
      </c>
      <c r="T928">
        <f>HYPERLINK("https://klasma.github.io/Logging_2283/kartor/A 30972-2025 karta.png", "A 30972-2025")</f>
        <v/>
      </c>
      <c r="V928">
        <f>HYPERLINK("https://klasma.github.io/Logging_2283/klagomål/A 30972-2025 FSC-klagomål.docx", "A 30972-2025")</f>
        <v/>
      </c>
      <c r="W928">
        <f>HYPERLINK("https://klasma.github.io/Logging_2283/klagomålsmail/A 30972-2025 FSC-klagomål mail.docx", "A 30972-2025")</f>
        <v/>
      </c>
      <c r="X928">
        <f>HYPERLINK("https://klasma.github.io/Logging_2283/tillsyn/A 30972-2025 tillsynsbegäran.docx", "A 30972-2025")</f>
        <v/>
      </c>
      <c r="Y928">
        <f>HYPERLINK("https://klasma.github.io/Logging_2283/tillsynsmail/A 30972-2025 tillsynsbegäran mail.docx", "A 30972-2025")</f>
        <v/>
      </c>
    </row>
    <row r="929" ht="15" customHeight="1">
      <c r="A929" t="inlineStr">
        <is>
          <t>A 31503-2025</t>
        </is>
      </c>
      <c r="B929" s="1" t="n">
        <v>45833.59417824074</v>
      </c>
      <c r="C929" s="1" t="n">
        <v>46093</v>
      </c>
      <c r="D929" t="inlineStr">
        <is>
          <t>VÄSTERNORRLANDS LÄN</t>
        </is>
      </c>
      <c r="E929" t="inlineStr">
        <is>
          <t>SOLLEFTEÅ</t>
        </is>
      </c>
      <c r="F929" t="inlineStr">
        <is>
          <t>SCA</t>
        </is>
      </c>
      <c r="G929" t="n">
        <v>22.8</v>
      </c>
      <c r="H929" t="n">
        <v>2</v>
      </c>
      <c r="I929" t="n">
        <v>1</v>
      </c>
      <c r="J929" t="n">
        <v>0</v>
      </c>
      <c r="K929" t="n">
        <v>1</v>
      </c>
      <c r="L929" t="n">
        <v>0</v>
      </c>
      <c r="M929" t="n">
        <v>0</v>
      </c>
      <c r="N929" t="n">
        <v>0</v>
      </c>
      <c r="O929" t="n">
        <v>1</v>
      </c>
      <c r="P929" t="n">
        <v>1</v>
      </c>
      <c r="Q929" t="n">
        <v>2</v>
      </c>
      <c r="R929" s="2" t="inlineStr">
        <is>
          <t>Knärot
Plattlummer</t>
        </is>
      </c>
      <c r="S929">
        <f>HYPERLINK("https://klasma.github.io/Logging_2283/artfynd/A 31503-2025 artfynd.xlsx", "A 31503-2025")</f>
        <v/>
      </c>
      <c r="T929">
        <f>HYPERLINK("https://klasma.github.io/Logging_2283/kartor/A 31503-2025 karta.png", "A 31503-2025")</f>
        <v/>
      </c>
      <c r="U929">
        <f>HYPERLINK("https://klasma.github.io/Logging_2283/knärot/A 31503-2025 karta knärot.png", "A 31503-2025")</f>
        <v/>
      </c>
      <c r="V929">
        <f>HYPERLINK("https://klasma.github.io/Logging_2283/klagomål/A 31503-2025 FSC-klagomål.docx", "A 31503-2025")</f>
        <v/>
      </c>
      <c r="W929">
        <f>HYPERLINK("https://klasma.github.io/Logging_2283/klagomålsmail/A 31503-2025 FSC-klagomål mail.docx", "A 31503-2025")</f>
        <v/>
      </c>
      <c r="X929">
        <f>HYPERLINK("https://klasma.github.io/Logging_2283/tillsyn/A 31503-2025 tillsynsbegäran.docx", "A 31503-2025")</f>
        <v/>
      </c>
      <c r="Y929">
        <f>HYPERLINK("https://klasma.github.io/Logging_2283/tillsynsmail/A 31503-2025 tillsynsbegäran mail.docx", "A 31503-2025")</f>
        <v/>
      </c>
    </row>
    <row r="930" ht="15" customHeight="1">
      <c r="A930" t="inlineStr">
        <is>
          <t>A 32738-2025</t>
        </is>
      </c>
      <c r="B930" s="1" t="n">
        <v>45839.41827546297</v>
      </c>
      <c r="C930" s="1" t="n">
        <v>46093</v>
      </c>
      <c r="D930" t="inlineStr">
        <is>
          <t>VÄSTERNORRLANDS LÄN</t>
        </is>
      </c>
      <c r="E930" t="inlineStr">
        <is>
          <t>SOLLEFTEÅ</t>
        </is>
      </c>
      <c r="G930" t="n">
        <v>3.1</v>
      </c>
      <c r="H930" t="n">
        <v>2</v>
      </c>
      <c r="I930" t="n">
        <v>0</v>
      </c>
      <c r="J930" t="n">
        <v>1</v>
      </c>
      <c r="K930" t="n">
        <v>0</v>
      </c>
      <c r="L930" t="n">
        <v>0</v>
      </c>
      <c r="M930" t="n">
        <v>0</v>
      </c>
      <c r="N930" t="n">
        <v>0</v>
      </c>
      <c r="O930" t="n">
        <v>1</v>
      </c>
      <c r="P930" t="n">
        <v>0</v>
      </c>
      <c r="Q930" t="n">
        <v>2</v>
      </c>
      <c r="R930" s="2" t="inlineStr">
        <is>
          <t>Spillkråka
Tjäder</t>
        </is>
      </c>
      <c r="S930">
        <f>HYPERLINK("https://klasma.github.io/Logging_2283/artfynd/A 32738-2025 artfynd.xlsx", "A 32738-2025")</f>
        <v/>
      </c>
      <c r="T930">
        <f>HYPERLINK("https://klasma.github.io/Logging_2283/kartor/A 32738-2025 karta.png", "A 32738-2025")</f>
        <v/>
      </c>
      <c r="V930">
        <f>HYPERLINK("https://klasma.github.io/Logging_2283/klagomål/A 32738-2025 FSC-klagomål.docx", "A 32738-2025")</f>
        <v/>
      </c>
      <c r="W930">
        <f>HYPERLINK("https://klasma.github.io/Logging_2283/klagomålsmail/A 32738-2025 FSC-klagomål mail.docx", "A 32738-2025")</f>
        <v/>
      </c>
      <c r="X930">
        <f>HYPERLINK("https://klasma.github.io/Logging_2283/tillsyn/A 32738-2025 tillsynsbegäran.docx", "A 32738-2025")</f>
        <v/>
      </c>
      <c r="Y930">
        <f>HYPERLINK("https://klasma.github.io/Logging_2283/tillsynsmail/A 32738-2025 tillsynsbegäran mail.docx", "A 32738-2025")</f>
        <v/>
      </c>
      <c r="Z930">
        <f>HYPERLINK("https://klasma.github.io/Logging_2283/fåglar/A 32738-2025 prioriterade fågelarter.docx", "A 32738-2025")</f>
        <v/>
      </c>
    </row>
    <row r="931" ht="15" customHeight="1">
      <c r="A931" t="inlineStr">
        <is>
          <t>A 25455-2021</t>
        </is>
      </c>
      <c r="B931" s="1" t="n">
        <v>44342</v>
      </c>
      <c r="C931" s="1" t="n">
        <v>46093</v>
      </c>
      <c r="D931" t="inlineStr">
        <is>
          <t>VÄSTERNORRLANDS LÄN</t>
        </is>
      </c>
      <c r="E931" t="inlineStr">
        <is>
          <t>ÖRNSKÖLDSVIK</t>
        </is>
      </c>
      <c r="F931" t="inlineStr">
        <is>
          <t>Holmen skog AB</t>
        </is>
      </c>
      <c r="G931" t="n">
        <v>5.6</v>
      </c>
      <c r="H931" t="n">
        <v>0</v>
      </c>
      <c r="I931" t="n">
        <v>0</v>
      </c>
      <c r="J931" t="n">
        <v>1</v>
      </c>
      <c r="K931" t="n">
        <v>0</v>
      </c>
      <c r="L931" t="n">
        <v>0</v>
      </c>
      <c r="M931" t="n">
        <v>0</v>
      </c>
      <c r="N931" t="n">
        <v>0</v>
      </c>
      <c r="O931" t="n">
        <v>1</v>
      </c>
      <c r="P931" t="n">
        <v>0</v>
      </c>
      <c r="Q931" t="n">
        <v>1</v>
      </c>
      <c r="R931" s="2" t="inlineStr">
        <is>
          <t>Garnlav</t>
        </is>
      </c>
      <c r="S931">
        <f>HYPERLINK("https://klasma.github.io/Logging_2284/artfynd/A 25455-2021 artfynd.xlsx", "A 25455-2021")</f>
        <v/>
      </c>
      <c r="T931">
        <f>HYPERLINK("https://klasma.github.io/Logging_2284/kartor/A 25455-2021 karta.png", "A 25455-2021")</f>
        <v/>
      </c>
      <c r="V931">
        <f>HYPERLINK("https://klasma.github.io/Logging_2284/klagomål/A 25455-2021 FSC-klagomål.docx", "A 25455-2021")</f>
        <v/>
      </c>
      <c r="W931">
        <f>HYPERLINK("https://klasma.github.io/Logging_2284/klagomålsmail/A 25455-2021 FSC-klagomål mail.docx", "A 25455-2021")</f>
        <v/>
      </c>
      <c r="X931">
        <f>HYPERLINK("https://klasma.github.io/Logging_2284/tillsyn/A 25455-2021 tillsynsbegäran.docx", "A 25455-2021")</f>
        <v/>
      </c>
      <c r="Y931">
        <f>HYPERLINK("https://klasma.github.io/Logging_2284/tillsynsmail/A 25455-2021 tillsynsbegäran mail.docx", "A 25455-2021")</f>
        <v/>
      </c>
    </row>
    <row r="932" ht="15" customHeight="1">
      <c r="A932" t="inlineStr">
        <is>
          <t>A 20367-2022</t>
        </is>
      </c>
      <c r="B932" s="1" t="n">
        <v>44699</v>
      </c>
      <c r="C932" s="1" t="n">
        <v>46093</v>
      </c>
      <c r="D932" t="inlineStr">
        <is>
          <t>VÄSTERNORRLANDS LÄN</t>
        </is>
      </c>
      <c r="E932" t="inlineStr">
        <is>
          <t>ÅNGE</t>
        </is>
      </c>
      <c r="G932" t="n">
        <v>9.6</v>
      </c>
      <c r="H932" t="n">
        <v>1</v>
      </c>
      <c r="I932" t="n">
        <v>0</v>
      </c>
      <c r="J932" t="n">
        <v>0</v>
      </c>
      <c r="K932" t="n">
        <v>0</v>
      </c>
      <c r="L932" t="n">
        <v>0</v>
      </c>
      <c r="M932" t="n">
        <v>0</v>
      </c>
      <c r="N932" t="n">
        <v>0</v>
      </c>
      <c r="O932" t="n">
        <v>0</v>
      </c>
      <c r="P932" t="n">
        <v>0</v>
      </c>
      <c r="Q932" t="n">
        <v>1</v>
      </c>
      <c r="R932" s="2" t="inlineStr">
        <is>
          <t>Fläcknycklar</t>
        </is>
      </c>
      <c r="S932">
        <f>HYPERLINK("https://klasma.github.io/Logging_2260/artfynd/A 20367-2022 artfynd.xlsx", "A 20367-2022")</f>
        <v/>
      </c>
      <c r="T932">
        <f>HYPERLINK("https://klasma.github.io/Logging_2260/kartor/A 20367-2022 karta.png", "A 20367-2022")</f>
        <v/>
      </c>
      <c r="V932">
        <f>HYPERLINK("https://klasma.github.io/Logging_2260/klagomål/A 20367-2022 FSC-klagomål.docx", "A 20367-2022")</f>
        <v/>
      </c>
      <c r="W932">
        <f>HYPERLINK("https://klasma.github.io/Logging_2260/klagomålsmail/A 20367-2022 FSC-klagomål mail.docx", "A 20367-2022")</f>
        <v/>
      </c>
      <c r="X932">
        <f>HYPERLINK("https://klasma.github.io/Logging_2260/tillsyn/A 20367-2022 tillsynsbegäran.docx", "A 20367-2022")</f>
        <v/>
      </c>
      <c r="Y932">
        <f>HYPERLINK("https://klasma.github.io/Logging_2260/tillsynsmail/A 20367-2022 tillsynsbegäran mail.docx", "A 20367-2022")</f>
        <v/>
      </c>
    </row>
    <row r="933" ht="15" customHeight="1">
      <c r="A933" t="inlineStr">
        <is>
          <t>A 58572-2021</t>
        </is>
      </c>
      <c r="B933" s="1" t="n">
        <v>44488</v>
      </c>
      <c r="C933" s="1" t="n">
        <v>46093</v>
      </c>
      <c r="D933" t="inlineStr">
        <is>
          <t>VÄSTERNORRLANDS LÄN</t>
        </is>
      </c>
      <c r="E933" t="inlineStr">
        <is>
          <t>SOLLEFTEÅ</t>
        </is>
      </c>
      <c r="G933" t="n">
        <v>0.1</v>
      </c>
      <c r="H933" t="n">
        <v>0</v>
      </c>
      <c r="I933" t="n">
        <v>0</v>
      </c>
      <c r="J933" t="n">
        <v>1</v>
      </c>
      <c r="K933" t="n">
        <v>0</v>
      </c>
      <c r="L933" t="n">
        <v>0</v>
      </c>
      <c r="M933" t="n">
        <v>0</v>
      </c>
      <c r="N933" t="n">
        <v>0</v>
      </c>
      <c r="O933" t="n">
        <v>1</v>
      </c>
      <c r="P933" t="n">
        <v>0</v>
      </c>
      <c r="Q933" t="n">
        <v>1</v>
      </c>
      <c r="R933" s="2" t="inlineStr">
        <is>
          <t>Brunklöver</t>
        </is>
      </c>
      <c r="S933">
        <f>HYPERLINK("https://klasma.github.io/Logging_2283/artfynd/A 58572-2021 artfynd.xlsx", "A 58572-2021")</f>
        <v/>
      </c>
      <c r="T933">
        <f>HYPERLINK("https://klasma.github.io/Logging_2283/kartor/A 58572-2021 karta.png", "A 58572-2021")</f>
        <v/>
      </c>
      <c r="V933">
        <f>HYPERLINK("https://klasma.github.io/Logging_2283/klagomål/A 58572-2021 FSC-klagomål.docx", "A 58572-2021")</f>
        <v/>
      </c>
      <c r="W933">
        <f>HYPERLINK("https://klasma.github.io/Logging_2283/klagomålsmail/A 58572-2021 FSC-klagomål mail.docx", "A 58572-2021")</f>
        <v/>
      </c>
      <c r="X933">
        <f>HYPERLINK("https://klasma.github.io/Logging_2283/tillsyn/A 58572-2021 tillsynsbegäran.docx", "A 58572-2021")</f>
        <v/>
      </c>
      <c r="Y933">
        <f>HYPERLINK("https://klasma.github.io/Logging_2283/tillsynsmail/A 58572-2021 tillsynsbegäran mail.docx", "A 58572-2021")</f>
        <v/>
      </c>
    </row>
    <row r="934" ht="15" customHeight="1">
      <c r="A934" t="inlineStr">
        <is>
          <t>A 74384-2021</t>
        </is>
      </c>
      <c r="B934" s="1" t="n">
        <v>44559</v>
      </c>
      <c r="C934" s="1" t="n">
        <v>46093</v>
      </c>
      <c r="D934" t="inlineStr">
        <is>
          <t>VÄSTERNORRLANDS LÄN</t>
        </is>
      </c>
      <c r="E934" t="inlineStr">
        <is>
          <t>SUNDSVALL</t>
        </is>
      </c>
      <c r="G934" t="n">
        <v>4.2</v>
      </c>
      <c r="H934" t="n">
        <v>0</v>
      </c>
      <c r="I934" t="n">
        <v>1</v>
      </c>
      <c r="J934" t="n">
        <v>0</v>
      </c>
      <c r="K934" t="n">
        <v>0</v>
      </c>
      <c r="L934" t="n">
        <v>0</v>
      </c>
      <c r="M934" t="n">
        <v>0</v>
      </c>
      <c r="N934" t="n">
        <v>0</v>
      </c>
      <c r="O934" t="n">
        <v>0</v>
      </c>
      <c r="P934" t="n">
        <v>0</v>
      </c>
      <c r="Q934" t="n">
        <v>1</v>
      </c>
      <c r="R934" s="2" t="inlineStr">
        <is>
          <t>Tibast</t>
        </is>
      </c>
      <c r="S934">
        <f>HYPERLINK("https://klasma.github.io/Logging_2281/artfynd/A 74384-2021 artfynd.xlsx", "A 74384-2021")</f>
        <v/>
      </c>
      <c r="T934">
        <f>HYPERLINK("https://klasma.github.io/Logging_2281/kartor/A 74384-2021 karta.png", "A 74384-2021")</f>
        <v/>
      </c>
      <c r="V934">
        <f>HYPERLINK("https://klasma.github.io/Logging_2281/klagomål/A 74384-2021 FSC-klagomål.docx", "A 74384-2021")</f>
        <v/>
      </c>
      <c r="W934">
        <f>HYPERLINK("https://klasma.github.io/Logging_2281/klagomålsmail/A 74384-2021 FSC-klagomål mail.docx", "A 74384-2021")</f>
        <v/>
      </c>
      <c r="X934">
        <f>HYPERLINK("https://klasma.github.io/Logging_2281/tillsyn/A 74384-2021 tillsynsbegäran.docx", "A 74384-2021")</f>
        <v/>
      </c>
      <c r="Y934">
        <f>HYPERLINK("https://klasma.github.io/Logging_2281/tillsynsmail/A 74384-2021 tillsynsbegäran mail.docx", "A 74384-2021")</f>
        <v/>
      </c>
    </row>
    <row r="935" ht="15" customHeight="1">
      <c r="A935" t="inlineStr">
        <is>
          <t>A 20679-2021</t>
        </is>
      </c>
      <c r="B935" s="1" t="n">
        <v>44316</v>
      </c>
      <c r="C935" s="1" t="n">
        <v>46093</v>
      </c>
      <c r="D935" t="inlineStr">
        <is>
          <t>VÄSTERNORRLANDS LÄN</t>
        </is>
      </c>
      <c r="E935" t="inlineStr">
        <is>
          <t>TIMRÅ</t>
        </is>
      </c>
      <c r="G935" t="n">
        <v>12.6</v>
      </c>
      <c r="H935" t="n">
        <v>1</v>
      </c>
      <c r="I935" t="n">
        <v>0</v>
      </c>
      <c r="J935" t="n">
        <v>1</v>
      </c>
      <c r="K935" t="n">
        <v>0</v>
      </c>
      <c r="L935" t="n">
        <v>0</v>
      </c>
      <c r="M935" t="n">
        <v>0</v>
      </c>
      <c r="N935" t="n">
        <v>0</v>
      </c>
      <c r="O935" t="n">
        <v>1</v>
      </c>
      <c r="P935" t="n">
        <v>0</v>
      </c>
      <c r="Q935" t="n">
        <v>1</v>
      </c>
      <c r="R935" s="2" t="inlineStr">
        <is>
          <t>Havsörn</t>
        </is>
      </c>
      <c r="S935">
        <f>HYPERLINK("https://klasma.github.io/Logging_2262/artfynd/A 20679-2021 artfynd.xlsx", "A 20679-2021")</f>
        <v/>
      </c>
      <c r="T935">
        <f>HYPERLINK("https://klasma.github.io/Logging_2262/kartor/A 20679-2021 karta.png", "A 20679-2021")</f>
        <v/>
      </c>
      <c r="V935">
        <f>HYPERLINK("https://klasma.github.io/Logging_2262/klagomål/A 20679-2021 FSC-klagomål.docx", "A 20679-2021")</f>
        <v/>
      </c>
      <c r="W935">
        <f>HYPERLINK("https://klasma.github.io/Logging_2262/klagomålsmail/A 20679-2021 FSC-klagomål mail.docx", "A 20679-2021")</f>
        <v/>
      </c>
      <c r="X935">
        <f>HYPERLINK("https://klasma.github.io/Logging_2262/tillsyn/A 20679-2021 tillsynsbegäran.docx", "A 20679-2021")</f>
        <v/>
      </c>
      <c r="Y935">
        <f>HYPERLINK("https://klasma.github.io/Logging_2262/tillsynsmail/A 20679-2021 tillsynsbegäran mail.docx", "A 20679-2021")</f>
        <v/>
      </c>
      <c r="Z935">
        <f>HYPERLINK("https://klasma.github.io/Logging_2262/fåglar/A 20679-2021 prioriterade fågelarter.docx", "A 20679-2021")</f>
        <v/>
      </c>
    </row>
    <row r="936" ht="15" customHeight="1">
      <c r="A936" t="inlineStr">
        <is>
          <t>A 29037-2022</t>
        </is>
      </c>
      <c r="B936" s="1" t="n">
        <v>44749</v>
      </c>
      <c r="C936" s="1" t="n">
        <v>46093</v>
      </c>
      <c r="D936" t="inlineStr">
        <is>
          <t>VÄSTERNORRLANDS LÄN</t>
        </is>
      </c>
      <c r="E936" t="inlineStr">
        <is>
          <t>SOLLEFTEÅ</t>
        </is>
      </c>
      <c r="F936" t="inlineStr">
        <is>
          <t>SCA</t>
        </is>
      </c>
      <c r="G936" t="n">
        <v>1</v>
      </c>
      <c r="H936" t="n">
        <v>0</v>
      </c>
      <c r="I936" t="n">
        <v>1</v>
      </c>
      <c r="J936" t="n">
        <v>0</v>
      </c>
      <c r="K936" t="n">
        <v>0</v>
      </c>
      <c r="L936" t="n">
        <v>0</v>
      </c>
      <c r="M936" t="n">
        <v>0</v>
      </c>
      <c r="N936" t="n">
        <v>0</v>
      </c>
      <c r="O936" t="n">
        <v>0</v>
      </c>
      <c r="P936" t="n">
        <v>0</v>
      </c>
      <c r="Q936" t="n">
        <v>1</v>
      </c>
      <c r="R936" s="2" t="inlineStr">
        <is>
          <t>Vanlig flatbagge</t>
        </is>
      </c>
      <c r="S936">
        <f>HYPERLINK("https://klasma.github.io/Logging_2283/artfynd/A 29037-2022 artfynd.xlsx", "A 29037-2022")</f>
        <v/>
      </c>
      <c r="T936">
        <f>HYPERLINK("https://klasma.github.io/Logging_2283/kartor/A 29037-2022 karta.png", "A 29037-2022")</f>
        <v/>
      </c>
      <c r="V936">
        <f>HYPERLINK("https://klasma.github.io/Logging_2283/klagomål/A 29037-2022 FSC-klagomål.docx", "A 29037-2022")</f>
        <v/>
      </c>
      <c r="W936">
        <f>HYPERLINK("https://klasma.github.io/Logging_2283/klagomålsmail/A 29037-2022 FSC-klagomål mail.docx", "A 29037-2022")</f>
        <v/>
      </c>
      <c r="X936">
        <f>HYPERLINK("https://klasma.github.io/Logging_2283/tillsyn/A 29037-2022 tillsynsbegäran.docx", "A 29037-2022")</f>
        <v/>
      </c>
      <c r="Y936">
        <f>HYPERLINK("https://klasma.github.io/Logging_2283/tillsynsmail/A 29037-2022 tillsynsbegäran mail.docx", "A 29037-2022")</f>
        <v/>
      </c>
    </row>
    <row r="937" ht="15" customHeight="1">
      <c r="A937" t="inlineStr">
        <is>
          <t>A 14014-2022</t>
        </is>
      </c>
      <c r="B937" s="1" t="n">
        <v>44650</v>
      </c>
      <c r="C937" s="1" t="n">
        <v>46093</v>
      </c>
      <c r="D937" t="inlineStr">
        <is>
          <t>VÄSTERNORRLANDS LÄN</t>
        </is>
      </c>
      <c r="E937" t="inlineStr">
        <is>
          <t>SUNDSVALL</t>
        </is>
      </c>
      <c r="G937" t="n">
        <v>1.7</v>
      </c>
      <c r="H937" t="n">
        <v>0</v>
      </c>
      <c r="I937" t="n">
        <v>1</v>
      </c>
      <c r="J937" t="n">
        <v>0</v>
      </c>
      <c r="K937" t="n">
        <v>0</v>
      </c>
      <c r="L937" t="n">
        <v>0</v>
      </c>
      <c r="M937" t="n">
        <v>0</v>
      </c>
      <c r="N937" t="n">
        <v>0</v>
      </c>
      <c r="O937" t="n">
        <v>0</v>
      </c>
      <c r="P937" t="n">
        <v>0</v>
      </c>
      <c r="Q937" t="n">
        <v>1</v>
      </c>
      <c r="R937" s="2" t="inlineStr">
        <is>
          <t>Stor aspticka</t>
        </is>
      </c>
      <c r="S937">
        <f>HYPERLINK("https://klasma.github.io/Logging_2281/artfynd/A 14014-2022 artfynd.xlsx", "A 14014-2022")</f>
        <v/>
      </c>
      <c r="T937">
        <f>HYPERLINK("https://klasma.github.io/Logging_2281/kartor/A 14014-2022 karta.png", "A 14014-2022")</f>
        <v/>
      </c>
      <c r="V937">
        <f>HYPERLINK("https://klasma.github.io/Logging_2281/klagomål/A 14014-2022 FSC-klagomål.docx", "A 14014-2022")</f>
        <v/>
      </c>
      <c r="W937">
        <f>HYPERLINK("https://klasma.github.io/Logging_2281/klagomålsmail/A 14014-2022 FSC-klagomål mail.docx", "A 14014-2022")</f>
        <v/>
      </c>
      <c r="X937">
        <f>HYPERLINK("https://klasma.github.io/Logging_2281/tillsyn/A 14014-2022 tillsynsbegäran.docx", "A 14014-2022")</f>
        <v/>
      </c>
      <c r="Y937">
        <f>HYPERLINK("https://klasma.github.io/Logging_2281/tillsynsmail/A 14014-2022 tillsynsbegäran mail.docx", "A 14014-2022")</f>
        <v/>
      </c>
    </row>
    <row r="938" ht="15" customHeight="1">
      <c r="A938" t="inlineStr">
        <is>
          <t>A 31136-2022</t>
        </is>
      </c>
      <c r="B938" s="1" t="n">
        <v>44770.40920138889</v>
      </c>
      <c r="C938" s="1" t="n">
        <v>46093</v>
      </c>
      <c r="D938" t="inlineStr">
        <is>
          <t>VÄSTERNORRLANDS LÄN</t>
        </is>
      </c>
      <c r="E938" t="inlineStr">
        <is>
          <t>ÅNGE</t>
        </is>
      </c>
      <c r="F938" t="inlineStr">
        <is>
          <t>Övriga Aktiebolag</t>
        </is>
      </c>
      <c r="G938" t="n">
        <v>4.4</v>
      </c>
      <c r="H938" t="n">
        <v>1</v>
      </c>
      <c r="I938" t="n">
        <v>0</v>
      </c>
      <c r="J938" t="n">
        <v>0</v>
      </c>
      <c r="K938" t="n">
        <v>0</v>
      </c>
      <c r="L938" t="n">
        <v>0</v>
      </c>
      <c r="M938" t="n">
        <v>0</v>
      </c>
      <c r="N938" t="n">
        <v>0</v>
      </c>
      <c r="O938" t="n">
        <v>0</v>
      </c>
      <c r="P938" t="n">
        <v>0</v>
      </c>
      <c r="Q938" t="n">
        <v>1</v>
      </c>
      <c r="R938" s="2" t="inlineStr">
        <is>
          <t>Tjäder</t>
        </is>
      </c>
      <c r="S938">
        <f>HYPERLINK("https://klasma.github.io/Logging_2260/artfynd/A 31136-2022 artfynd.xlsx", "A 31136-2022")</f>
        <v/>
      </c>
      <c r="T938">
        <f>HYPERLINK("https://klasma.github.io/Logging_2260/kartor/A 31136-2022 karta.png", "A 31136-2022")</f>
        <v/>
      </c>
      <c r="V938">
        <f>HYPERLINK("https://klasma.github.io/Logging_2260/klagomål/A 31136-2022 FSC-klagomål.docx", "A 31136-2022")</f>
        <v/>
      </c>
      <c r="W938">
        <f>HYPERLINK("https://klasma.github.io/Logging_2260/klagomålsmail/A 31136-2022 FSC-klagomål mail.docx", "A 31136-2022")</f>
        <v/>
      </c>
      <c r="X938">
        <f>HYPERLINK("https://klasma.github.io/Logging_2260/tillsyn/A 31136-2022 tillsynsbegäran.docx", "A 31136-2022")</f>
        <v/>
      </c>
      <c r="Y938">
        <f>HYPERLINK("https://klasma.github.io/Logging_2260/tillsynsmail/A 31136-2022 tillsynsbegäran mail.docx", "A 31136-2022")</f>
        <v/>
      </c>
      <c r="Z938">
        <f>HYPERLINK("https://klasma.github.io/Logging_2260/fåglar/A 31136-2022 prioriterade fågelarter.docx", "A 31136-2022")</f>
        <v/>
      </c>
    </row>
    <row r="939" ht="15" customHeight="1">
      <c r="A939" t="inlineStr">
        <is>
          <t>A 51019-2021</t>
        </is>
      </c>
      <c r="B939" s="1" t="n">
        <v>44460</v>
      </c>
      <c r="C939" s="1" t="n">
        <v>46093</v>
      </c>
      <c r="D939" t="inlineStr">
        <is>
          <t>VÄSTERNORRLANDS LÄN</t>
        </is>
      </c>
      <c r="E939" t="inlineStr">
        <is>
          <t>SOLLEFTEÅ</t>
        </is>
      </c>
      <c r="F939" t="inlineStr">
        <is>
          <t>SCA</t>
        </is>
      </c>
      <c r="G939" t="n">
        <v>2.1</v>
      </c>
      <c r="H939" t="n">
        <v>1</v>
      </c>
      <c r="I939" t="n">
        <v>0</v>
      </c>
      <c r="J939" t="n">
        <v>0</v>
      </c>
      <c r="K939" t="n">
        <v>0</v>
      </c>
      <c r="L939" t="n">
        <v>0</v>
      </c>
      <c r="M939" t="n">
        <v>0</v>
      </c>
      <c r="N939" t="n">
        <v>0</v>
      </c>
      <c r="O939" t="n">
        <v>0</v>
      </c>
      <c r="P939" t="n">
        <v>0</v>
      </c>
      <c r="Q939" t="n">
        <v>1</v>
      </c>
      <c r="R939" s="2" t="inlineStr">
        <is>
          <t>Fläcknycklar</t>
        </is>
      </c>
      <c r="S939">
        <f>HYPERLINK("https://klasma.github.io/Logging_2283/artfynd/A 51019-2021 artfynd.xlsx", "A 51019-2021")</f>
        <v/>
      </c>
      <c r="T939">
        <f>HYPERLINK("https://klasma.github.io/Logging_2283/kartor/A 51019-2021 karta.png", "A 51019-2021")</f>
        <v/>
      </c>
      <c r="V939">
        <f>HYPERLINK("https://klasma.github.io/Logging_2283/klagomål/A 51019-2021 FSC-klagomål.docx", "A 51019-2021")</f>
        <v/>
      </c>
      <c r="W939">
        <f>HYPERLINK("https://klasma.github.io/Logging_2283/klagomålsmail/A 51019-2021 FSC-klagomål mail.docx", "A 51019-2021")</f>
        <v/>
      </c>
      <c r="X939">
        <f>HYPERLINK("https://klasma.github.io/Logging_2283/tillsyn/A 51019-2021 tillsynsbegäran.docx", "A 51019-2021")</f>
        <v/>
      </c>
      <c r="Y939">
        <f>HYPERLINK("https://klasma.github.io/Logging_2283/tillsynsmail/A 51019-2021 tillsynsbegäran mail.docx", "A 51019-2021")</f>
        <v/>
      </c>
    </row>
    <row r="940" ht="15" customHeight="1">
      <c r="A940" t="inlineStr">
        <is>
          <t>A 67402-2021</t>
        </is>
      </c>
      <c r="B940" s="1" t="n">
        <v>44523</v>
      </c>
      <c r="C940" s="1" t="n">
        <v>46093</v>
      </c>
      <c r="D940" t="inlineStr">
        <is>
          <t>VÄSTERNORRLANDS LÄN</t>
        </is>
      </c>
      <c r="E940" t="inlineStr">
        <is>
          <t>SOLLEFTEÅ</t>
        </is>
      </c>
      <c r="F940" t="inlineStr">
        <is>
          <t>SCA</t>
        </is>
      </c>
      <c r="G940" t="n">
        <v>11</v>
      </c>
      <c r="H940" t="n">
        <v>1</v>
      </c>
      <c r="I940" t="n">
        <v>0</v>
      </c>
      <c r="J940" t="n">
        <v>0</v>
      </c>
      <c r="K940" t="n">
        <v>1</v>
      </c>
      <c r="L940" t="n">
        <v>0</v>
      </c>
      <c r="M940" t="n">
        <v>0</v>
      </c>
      <c r="N940" t="n">
        <v>0</v>
      </c>
      <c r="O940" t="n">
        <v>1</v>
      </c>
      <c r="P940" t="n">
        <v>1</v>
      </c>
      <c r="Q940" t="n">
        <v>1</v>
      </c>
      <c r="R940" s="2" t="inlineStr">
        <is>
          <t>Knärot</t>
        </is>
      </c>
      <c r="S940">
        <f>HYPERLINK("https://klasma.github.io/Logging_2283/artfynd/A 67402-2021 artfynd.xlsx", "A 67402-2021")</f>
        <v/>
      </c>
      <c r="T940">
        <f>HYPERLINK("https://klasma.github.io/Logging_2283/kartor/A 67402-2021 karta.png", "A 67402-2021")</f>
        <v/>
      </c>
      <c r="U940">
        <f>HYPERLINK("https://klasma.github.io/Logging_2283/knärot/A 67402-2021 karta knärot.png", "A 67402-2021")</f>
        <v/>
      </c>
      <c r="V940">
        <f>HYPERLINK("https://klasma.github.io/Logging_2283/klagomål/A 67402-2021 FSC-klagomål.docx", "A 67402-2021")</f>
        <v/>
      </c>
      <c r="W940">
        <f>HYPERLINK("https://klasma.github.io/Logging_2283/klagomålsmail/A 67402-2021 FSC-klagomål mail.docx", "A 67402-2021")</f>
        <v/>
      </c>
      <c r="X940">
        <f>HYPERLINK("https://klasma.github.io/Logging_2283/tillsyn/A 67402-2021 tillsynsbegäran.docx", "A 67402-2021")</f>
        <v/>
      </c>
      <c r="Y940">
        <f>HYPERLINK("https://klasma.github.io/Logging_2283/tillsynsmail/A 67402-2021 tillsynsbegäran mail.docx", "A 67402-2021")</f>
        <v/>
      </c>
    </row>
    <row r="941" ht="15" customHeight="1">
      <c r="A941" t="inlineStr">
        <is>
          <t>A 15846-2022</t>
        </is>
      </c>
      <c r="B941" s="1" t="n">
        <v>44664</v>
      </c>
      <c r="C941" s="1" t="n">
        <v>46093</v>
      </c>
      <c r="D941" t="inlineStr">
        <is>
          <t>VÄSTERNORRLANDS LÄN</t>
        </is>
      </c>
      <c r="E941" t="inlineStr">
        <is>
          <t>HÄRNÖSAND</t>
        </is>
      </c>
      <c r="G941" t="n">
        <v>1.2</v>
      </c>
      <c r="H941" t="n">
        <v>1</v>
      </c>
      <c r="I941" t="n">
        <v>0</v>
      </c>
      <c r="J941" t="n">
        <v>0</v>
      </c>
      <c r="K941" t="n">
        <v>0</v>
      </c>
      <c r="L941" t="n">
        <v>0</v>
      </c>
      <c r="M941" t="n">
        <v>0</v>
      </c>
      <c r="N941" t="n">
        <v>0</v>
      </c>
      <c r="O941" t="n">
        <v>0</v>
      </c>
      <c r="P941" t="n">
        <v>0</v>
      </c>
      <c r="Q941" t="n">
        <v>1</v>
      </c>
      <c r="R941" s="2" t="inlineStr">
        <is>
          <t>Vanlig groda</t>
        </is>
      </c>
      <c r="S941">
        <f>HYPERLINK("https://klasma.github.io/Logging_2280/artfynd/A 15846-2022 artfynd.xlsx", "A 15846-2022")</f>
        <v/>
      </c>
      <c r="T941">
        <f>HYPERLINK("https://klasma.github.io/Logging_2280/kartor/A 15846-2022 karta.png", "A 15846-2022")</f>
        <v/>
      </c>
      <c r="V941">
        <f>HYPERLINK("https://klasma.github.io/Logging_2280/klagomål/A 15846-2022 FSC-klagomål.docx", "A 15846-2022")</f>
        <v/>
      </c>
      <c r="W941">
        <f>HYPERLINK("https://klasma.github.io/Logging_2280/klagomålsmail/A 15846-2022 FSC-klagomål mail.docx", "A 15846-2022")</f>
        <v/>
      </c>
      <c r="X941">
        <f>HYPERLINK("https://klasma.github.io/Logging_2280/tillsyn/A 15846-2022 tillsynsbegäran.docx", "A 15846-2022")</f>
        <v/>
      </c>
      <c r="Y941">
        <f>HYPERLINK("https://klasma.github.io/Logging_2280/tillsynsmail/A 15846-2022 tillsynsbegäran mail.docx", "A 15846-2022")</f>
        <v/>
      </c>
    </row>
    <row r="942" ht="15" customHeight="1">
      <c r="A942" t="inlineStr">
        <is>
          <t>A 12809-2021</t>
        </is>
      </c>
      <c r="B942" s="1" t="n">
        <v>44270</v>
      </c>
      <c r="C942" s="1" t="n">
        <v>46093</v>
      </c>
      <c r="D942" t="inlineStr">
        <is>
          <t>VÄSTERNORRLANDS LÄN</t>
        </is>
      </c>
      <c r="E942" t="inlineStr">
        <is>
          <t>HÄRNÖSAND</t>
        </is>
      </c>
      <c r="F942" t="inlineStr">
        <is>
          <t>SCA</t>
        </is>
      </c>
      <c r="G942" t="n">
        <v>2.8</v>
      </c>
      <c r="H942" t="n">
        <v>1</v>
      </c>
      <c r="I942" t="n">
        <v>0</v>
      </c>
      <c r="J942" t="n">
        <v>1</v>
      </c>
      <c r="K942" t="n">
        <v>0</v>
      </c>
      <c r="L942" t="n">
        <v>0</v>
      </c>
      <c r="M942" t="n">
        <v>0</v>
      </c>
      <c r="N942" t="n">
        <v>0</v>
      </c>
      <c r="O942" t="n">
        <v>1</v>
      </c>
      <c r="P942" t="n">
        <v>0</v>
      </c>
      <c r="Q942" t="n">
        <v>1</v>
      </c>
      <c r="R942" s="2" t="inlineStr">
        <is>
          <t>Utter</t>
        </is>
      </c>
      <c r="S942">
        <f>HYPERLINK("https://klasma.github.io/Logging_2280/artfynd/A 12809-2021 artfynd.xlsx", "A 12809-2021")</f>
        <v/>
      </c>
      <c r="T942">
        <f>HYPERLINK("https://klasma.github.io/Logging_2280/kartor/A 12809-2021 karta.png", "A 12809-2021")</f>
        <v/>
      </c>
      <c r="V942">
        <f>HYPERLINK("https://klasma.github.io/Logging_2280/klagomål/A 12809-2021 FSC-klagomål.docx", "A 12809-2021")</f>
        <v/>
      </c>
      <c r="W942">
        <f>HYPERLINK("https://klasma.github.io/Logging_2280/klagomålsmail/A 12809-2021 FSC-klagomål mail.docx", "A 12809-2021")</f>
        <v/>
      </c>
      <c r="X942">
        <f>HYPERLINK("https://klasma.github.io/Logging_2280/tillsyn/A 12809-2021 tillsynsbegäran.docx", "A 12809-2021")</f>
        <v/>
      </c>
      <c r="Y942">
        <f>HYPERLINK("https://klasma.github.io/Logging_2280/tillsynsmail/A 12809-2021 tillsynsbegäran mail.docx", "A 12809-2021")</f>
        <v/>
      </c>
    </row>
    <row r="943" ht="15" customHeight="1">
      <c r="A943" t="inlineStr">
        <is>
          <t>A 15101-2021</t>
        </is>
      </c>
      <c r="B943" s="1" t="n">
        <v>44281.93871527778</v>
      </c>
      <c r="C943" s="1" t="n">
        <v>46093</v>
      </c>
      <c r="D943" t="inlineStr">
        <is>
          <t>VÄSTERNORRLANDS LÄN</t>
        </is>
      </c>
      <c r="E943" t="inlineStr">
        <is>
          <t>SOLLEFTEÅ</t>
        </is>
      </c>
      <c r="F943" t="inlineStr">
        <is>
          <t>SCA</t>
        </is>
      </c>
      <c r="G943" t="n">
        <v>1.1</v>
      </c>
      <c r="H943" t="n">
        <v>0</v>
      </c>
      <c r="I943" t="n">
        <v>0</v>
      </c>
      <c r="J943" t="n">
        <v>1</v>
      </c>
      <c r="K943" t="n">
        <v>0</v>
      </c>
      <c r="L943" t="n">
        <v>0</v>
      </c>
      <c r="M943" t="n">
        <v>0</v>
      </c>
      <c r="N943" t="n">
        <v>0</v>
      </c>
      <c r="O943" t="n">
        <v>1</v>
      </c>
      <c r="P943" t="n">
        <v>0</v>
      </c>
      <c r="Q943" t="n">
        <v>1</v>
      </c>
      <c r="R943" s="2" t="inlineStr">
        <is>
          <t>Garnlav</t>
        </is>
      </c>
      <c r="S943">
        <f>HYPERLINK("https://klasma.github.io/Logging_2283/artfynd/A 15101-2021 artfynd.xlsx", "A 15101-2021")</f>
        <v/>
      </c>
      <c r="T943">
        <f>HYPERLINK("https://klasma.github.io/Logging_2283/kartor/A 15101-2021 karta.png", "A 15101-2021")</f>
        <v/>
      </c>
      <c r="V943">
        <f>HYPERLINK("https://klasma.github.io/Logging_2283/klagomål/A 15101-2021 FSC-klagomål.docx", "A 15101-2021")</f>
        <v/>
      </c>
      <c r="W943">
        <f>HYPERLINK("https://klasma.github.io/Logging_2283/klagomålsmail/A 15101-2021 FSC-klagomål mail.docx", "A 15101-2021")</f>
        <v/>
      </c>
      <c r="X943">
        <f>HYPERLINK("https://klasma.github.io/Logging_2283/tillsyn/A 15101-2021 tillsynsbegäran.docx", "A 15101-2021")</f>
        <v/>
      </c>
      <c r="Y943">
        <f>HYPERLINK("https://klasma.github.io/Logging_2283/tillsynsmail/A 15101-2021 tillsynsbegäran mail.docx", "A 15101-2021")</f>
        <v/>
      </c>
    </row>
    <row r="944" ht="15" customHeight="1">
      <c r="A944" t="inlineStr">
        <is>
          <t>A 71349-2021</t>
        </is>
      </c>
      <c r="B944" s="1" t="n">
        <v>44539</v>
      </c>
      <c r="C944" s="1" t="n">
        <v>46093</v>
      </c>
      <c r="D944" t="inlineStr">
        <is>
          <t>VÄSTERNORRLANDS LÄN</t>
        </is>
      </c>
      <c r="E944" t="inlineStr">
        <is>
          <t>SOLLEFTEÅ</t>
        </is>
      </c>
      <c r="G944" t="n">
        <v>0.5</v>
      </c>
      <c r="H944" t="n">
        <v>1</v>
      </c>
      <c r="I944" t="n">
        <v>0</v>
      </c>
      <c r="J944" t="n">
        <v>1</v>
      </c>
      <c r="K944" t="n">
        <v>0</v>
      </c>
      <c r="L944" t="n">
        <v>0</v>
      </c>
      <c r="M944" t="n">
        <v>0</v>
      </c>
      <c r="N944" t="n">
        <v>0</v>
      </c>
      <c r="O944" t="n">
        <v>1</v>
      </c>
      <c r="P944" t="n">
        <v>0</v>
      </c>
      <c r="Q944" t="n">
        <v>1</v>
      </c>
      <c r="R944" s="2" t="inlineStr">
        <is>
          <t>Björktrast</t>
        </is>
      </c>
      <c r="S944">
        <f>HYPERLINK("https://klasma.github.io/Logging_2283/artfynd/A 71349-2021 artfynd.xlsx", "A 71349-2021")</f>
        <v/>
      </c>
      <c r="T944">
        <f>HYPERLINK("https://klasma.github.io/Logging_2283/kartor/A 71349-2021 karta.png", "A 71349-2021")</f>
        <v/>
      </c>
      <c r="V944">
        <f>HYPERLINK("https://klasma.github.io/Logging_2283/klagomål/A 71349-2021 FSC-klagomål.docx", "A 71349-2021")</f>
        <v/>
      </c>
      <c r="W944">
        <f>HYPERLINK("https://klasma.github.io/Logging_2283/klagomålsmail/A 71349-2021 FSC-klagomål mail.docx", "A 71349-2021")</f>
        <v/>
      </c>
      <c r="X944">
        <f>HYPERLINK("https://klasma.github.io/Logging_2283/tillsyn/A 71349-2021 tillsynsbegäran.docx", "A 71349-2021")</f>
        <v/>
      </c>
      <c r="Y944">
        <f>HYPERLINK("https://klasma.github.io/Logging_2283/tillsynsmail/A 71349-2021 tillsynsbegäran mail.docx", "A 71349-2021")</f>
        <v/>
      </c>
      <c r="Z944">
        <f>HYPERLINK("https://klasma.github.io/Logging_2283/fåglar/A 71349-2021 prioriterade fågelarter.docx", "A 71349-2021")</f>
        <v/>
      </c>
    </row>
    <row r="945" ht="15" customHeight="1">
      <c r="A945" t="inlineStr">
        <is>
          <t>A 61479-2021</t>
        </is>
      </c>
      <c r="B945" s="1" t="n">
        <v>44500</v>
      </c>
      <c r="C945" s="1" t="n">
        <v>46093</v>
      </c>
      <c r="D945" t="inlineStr">
        <is>
          <t>VÄSTERNORRLANDS LÄN</t>
        </is>
      </c>
      <c r="E945" t="inlineStr">
        <is>
          <t>ÅNGE</t>
        </is>
      </c>
      <c r="F945" t="inlineStr">
        <is>
          <t>SCA</t>
        </is>
      </c>
      <c r="G945" t="n">
        <v>7.2</v>
      </c>
      <c r="H945" t="n">
        <v>1</v>
      </c>
      <c r="I945" t="n">
        <v>0</v>
      </c>
      <c r="J945" t="n">
        <v>0</v>
      </c>
      <c r="K945" t="n">
        <v>1</v>
      </c>
      <c r="L945" t="n">
        <v>0</v>
      </c>
      <c r="M945" t="n">
        <v>0</v>
      </c>
      <c r="N945" t="n">
        <v>0</v>
      </c>
      <c r="O945" t="n">
        <v>1</v>
      </c>
      <c r="P945" t="n">
        <v>1</v>
      </c>
      <c r="Q945" t="n">
        <v>1</v>
      </c>
      <c r="R945" s="2" t="inlineStr">
        <is>
          <t>Knärot</t>
        </is>
      </c>
      <c r="S945">
        <f>HYPERLINK("https://klasma.github.io/Logging_2260/artfynd/A 61479-2021 artfynd.xlsx", "A 61479-2021")</f>
        <v/>
      </c>
      <c r="T945">
        <f>HYPERLINK("https://klasma.github.io/Logging_2260/kartor/A 61479-2021 karta.png", "A 61479-2021")</f>
        <v/>
      </c>
      <c r="U945">
        <f>HYPERLINK("https://klasma.github.io/Logging_2260/knärot/A 61479-2021 karta knärot.png", "A 61479-2021")</f>
        <v/>
      </c>
      <c r="V945">
        <f>HYPERLINK("https://klasma.github.io/Logging_2260/klagomål/A 61479-2021 FSC-klagomål.docx", "A 61479-2021")</f>
        <v/>
      </c>
      <c r="W945">
        <f>HYPERLINK("https://klasma.github.io/Logging_2260/klagomålsmail/A 61479-2021 FSC-klagomål mail.docx", "A 61479-2021")</f>
        <v/>
      </c>
      <c r="X945">
        <f>HYPERLINK("https://klasma.github.io/Logging_2260/tillsyn/A 61479-2021 tillsynsbegäran.docx", "A 61479-2021")</f>
        <v/>
      </c>
      <c r="Y945">
        <f>HYPERLINK("https://klasma.github.io/Logging_2260/tillsynsmail/A 61479-2021 tillsynsbegäran mail.docx", "A 61479-2021")</f>
        <v/>
      </c>
    </row>
    <row r="946" ht="15" customHeight="1">
      <c r="A946" t="inlineStr">
        <is>
          <t>A 30047-2022</t>
        </is>
      </c>
      <c r="B946" s="1" t="n">
        <v>44756.94622685185</v>
      </c>
      <c r="C946" s="1" t="n">
        <v>46093</v>
      </c>
      <c r="D946" t="inlineStr">
        <is>
          <t>VÄSTERNORRLANDS LÄN</t>
        </is>
      </c>
      <c r="E946" t="inlineStr">
        <is>
          <t>SOLLEFTEÅ</t>
        </is>
      </c>
      <c r="F946" t="inlineStr">
        <is>
          <t>SCA</t>
        </is>
      </c>
      <c r="G946" t="n">
        <v>2.5</v>
      </c>
      <c r="H946" t="n">
        <v>0</v>
      </c>
      <c r="I946" t="n">
        <v>0</v>
      </c>
      <c r="J946" t="n">
        <v>1</v>
      </c>
      <c r="K946" t="n">
        <v>0</v>
      </c>
      <c r="L946" t="n">
        <v>0</v>
      </c>
      <c r="M946" t="n">
        <v>0</v>
      </c>
      <c r="N946" t="n">
        <v>0</v>
      </c>
      <c r="O946" t="n">
        <v>1</v>
      </c>
      <c r="P946" t="n">
        <v>0</v>
      </c>
      <c r="Q946" t="n">
        <v>1</v>
      </c>
      <c r="R946" s="2" t="inlineStr">
        <is>
          <t>Garnlav</t>
        </is>
      </c>
      <c r="S946">
        <f>HYPERLINK("https://klasma.github.io/Logging_2283/artfynd/A 30047-2022 artfynd.xlsx", "A 30047-2022")</f>
        <v/>
      </c>
      <c r="T946">
        <f>HYPERLINK("https://klasma.github.io/Logging_2283/kartor/A 30047-2022 karta.png", "A 30047-2022")</f>
        <v/>
      </c>
      <c r="V946">
        <f>HYPERLINK("https://klasma.github.io/Logging_2283/klagomål/A 30047-2022 FSC-klagomål.docx", "A 30047-2022")</f>
        <v/>
      </c>
      <c r="W946">
        <f>HYPERLINK("https://klasma.github.io/Logging_2283/klagomålsmail/A 30047-2022 FSC-klagomål mail.docx", "A 30047-2022")</f>
        <v/>
      </c>
      <c r="X946">
        <f>HYPERLINK("https://klasma.github.io/Logging_2283/tillsyn/A 30047-2022 tillsynsbegäran.docx", "A 30047-2022")</f>
        <v/>
      </c>
      <c r="Y946">
        <f>HYPERLINK("https://klasma.github.io/Logging_2283/tillsynsmail/A 30047-2022 tillsynsbegäran mail.docx", "A 30047-2022")</f>
        <v/>
      </c>
    </row>
    <row r="947" ht="15" customHeight="1">
      <c r="A947" t="inlineStr">
        <is>
          <t>A 31578-2021</t>
        </is>
      </c>
      <c r="B947" s="1" t="n">
        <v>44369</v>
      </c>
      <c r="C947" s="1" t="n">
        <v>46093</v>
      </c>
      <c r="D947" t="inlineStr">
        <is>
          <t>VÄSTERNORRLANDS LÄN</t>
        </is>
      </c>
      <c r="E947" t="inlineStr">
        <is>
          <t>ÅNGE</t>
        </is>
      </c>
      <c r="G947" t="n">
        <v>25.8</v>
      </c>
      <c r="H947" t="n">
        <v>1</v>
      </c>
      <c r="I947" t="n">
        <v>0</v>
      </c>
      <c r="J947" t="n">
        <v>0</v>
      </c>
      <c r="K947" t="n">
        <v>1</v>
      </c>
      <c r="L947" t="n">
        <v>0</v>
      </c>
      <c r="M947" t="n">
        <v>0</v>
      </c>
      <c r="N947" t="n">
        <v>0</v>
      </c>
      <c r="O947" t="n">
        <v>1</v>
      </c>
      <c r="P947" t="n">
        <v>1</v>
      </c>
      <c r="Q947" t="n">
        <v>1</v>
      </c>
      <c r="R947" s="2" t="inlineStr">
        <is>
          <t>Knärot</t>
        </is>
      </c>
      <c r="S947">
        <f>HYPERLINK("https://klasma.github.io/Logging_2260/artfynd/A 31578-2021 artfynd.xlsx", "A 31578-2021")</f>
        <v/>
      </c>
      <c r="T947">
        <f>HYPERLINK("https://klasma.github.io/Logging_2260/kartor/A 31578-2021 karta.png", "A 31578-2021")</f>
        <v/>
      </c>
      <c r="U947">
        <f>HYPERLINK("https://klasma.github.io/Logging_2260/knärot/A 31578-2021 karta knärot.png", "A 31578-2021")</f>
        <v/>
      </c>
      <c r="V947">
        <f>HYPERLINK("https://klasma.github.io/Logging_2260/klagomål/A 31578-2021 FSC-klagomål.docx", "A 31578-2021")</f>
        <v/>
      </c>
      <c r="W947">
        <f>HYPERLINK("https://klasma.github.io/Logging_2260/klagomålsmail/A 31578-2021 FSC-klagomål mail.docx", "A 31578-2021")</f>
        <v/>
      </c>
      <c r="X947">
        <f>HYPERLINK("https://klasma.github.io/Logging_2260/tillsyn/A 31578-2021 tillsynsbegäran.docx", "A 31578-2021")</f>
        <v/>
      </c>
      <c r="Y947">
        <f>HYPERLINK("https://klasma.github.io/Logging_2260/tillsynsmail/A 31578-2021 tillsynsbegäran mail.docx", "A 31578-2021")</f>
        <v/>
      </c>
    </row>
    <row r="948" ht="15" customHeight="1">
      <c r="A948" t="inlineStr">
        <is>
          <t>A 35018-2021</t>
        </is>
      </c>
      <c r="B948" s="1" t="n">
        <v>44383.69549768518</v>
      </c>
      <c r="C948" s="1" t="n">
        <v>46093</v>
      </c>
      <c r="D948" t="inlineStr">
        <is>
          <t>VÄSTERNORRLANDS LÄN</t>
        </is>
      </c>
      <c r="E948" t="inlineStr">
        <is>
          <t>ÅNGE</t>
        </is>
      </c>
      <c r="F948" t="inlineStr">
        <is>
          <t>Sveaskog</t>
        </is>
      </c>
      <c r="G948" t="n">
        <v>9.5</v>
      </c>
      <c r="H948" t="n">
        <v>1</v>
      </c>
      <c r="I948" t="n">
        <v>0</v>
      </c>
      <c r="J948" t="n">
        <v>1</v>
      </c>
      <c r="K948" t="n">
        <v>0</v>
      </c>
      <c r="L948" t="n">
        <v>0</v>
      </c>
      <c r="M948" t="n">
        <v>0</v>
      </c>
      <c r="N948" t="n">
        <v>0</v>
      </c>
      <c r="O948" t="n">
        <v>1</v>
      </c>
      <c r="P948" t="n">
        <v>0</v>
      </c>
      <c r="Q948" t="n">
        <v>1</v>
      </c>
      <c r="R948" s="2" t="inlineStr">
        <is>
          <t>Utter</t>
        </is>
      </c>
      <c r="S948">
        <f>HYPERLINK("https://klasma.github.io/Logging_2260/artfynd/A 35018-2021 artfynd.xlsx", "A 35018-2021")</f>
        <v/>
      </c>
      <c r="T948">
        <f>HYPERLINK("https://klasma.github.io/Logging_2260/kartor/A 35018-2021 karta.png", "A 35018-2021")</f>
        <v/>
      </c>
      <c r="V948">
        <f>HYPERLINK("https://klasma.github.io/Logging_2260/klagomål/A 35018-2021 FSC-klagomål.docx", "A 35018-2021")</f>
        <v/>
      </c>
      <c r="W948">
        <f>HYPERLINK("https://klasma.github.io/Logging_2260/klagomålsmail/A 35018-2021 FSC-klagomål mail.docx", "A 35018-2021")</f>
        <v/>
      </c>
      <c r="X948">
        <f>HYPERLINK("https://klasma.github.io/Logging_2260/tillsyn/A 35018-2021 tillsynsbegäran.docx", "A 35018-2021")</f>
        <v/>
      </c>
      <c r="Y948">
        <f>HYPERLINK("https://klasma.github.io/Logging_2260/tillsynsmail/A 35018-2021 tillsynsbegäran mail.docx", "A 35018-2021")</f>
        <v/>
      </c>
    </row>
    <row r="949" ht="15" customHeight="1">
      <c r="A949" t="inlineStr">
        <is>
          <t>A 22420-2021</t>
        </is>
      </c>
      <c r="B949" s="1" t="n">
        <v>44326</v>
      </c>
      <c r="C949" s="1" t="n">
        <v>46093</v>
      </c>
      <c r="D949" t="inlineStr">
        <is>
          <t>VÄSTERNORRLANDS LÄN</t>
        </is>
      </c>
      <c r="E949" t="inlineStr">
        <is>
          <t>SUNDSVALL</t>
        </is>
      </c>
      <c r="F949" t="inlineStr">
        <is>
          <t>Kyrkan</t>
        </is>
      </c>
      <c r="G949" t="n">
        <v>21.9</v>
      </c>
      <c r="H949" t="n">
        <v>1</v>
      </c>
      <c r="I949" t="n">
        <v>0</v>
      </c>
      <c r="J949" t="n">
        <v>1</v>
      </c>
      <c r="K949" t="n">
        <v>0</v>
      </c>
      <c r="L949" t="n">
        <v>0</v>
      </c>
      <c r="M949" t="n">
        <v>0</v>
      </c>
      <c r="N949" t="n">
        <v>0</v>
      </c>
      <c r="O949" t="n">
        <v>1</v>
      </c>
      <c r="P949" t="n">
        <v>0</v>
      </c>
      <c r="Q949" t="n">
        <v>1</v>
      </c>
      <c r="R949" s="2" t="inlineStr">
        <is>
          <t>Järpe</t>
        </is>
      </c>
      <c r="S949">
        <f>HYPERLINK("https://klasma.github.io/Logging_2281/artfynd/A 22420-2021 artfynd.xlsx", "A 22420-2021")</f>
        <v/>
      </c>
      <c r="T949">
        <f>HYPERLINK("https://klasma.github.io/Logging_2281/kartor/A 22420-2021 karta.png", "A 22420-2021")</f>
        <v/>
      </c>
      <c r="V949">
        <f>HYPERLINK("https://klasma.github.io/Logging_2281/klagomål/A 22420-2021 FSC-klagomål.docx", "A 22420-2021")</f>
        <v/>
      </c>
      <c r="W949">
        <f>HYPERLINK("https://klasma.github.io/Logging_2281/klagomålsmail/A 22420-2021 FSC-klagomål mail.docx", "A 22420-2021")</f>
        <v/>
      </c>
      <c r="X949">
        <f>HYPERLINK("https://klasma.github.io/Logging_2281/tillsyn/A 22420-2021 tillsynsbegäran.docx", "A 22420-2021")</f>
        <v/>
      </c>
      <c r="Y949">
        <f>HYPERLINK("https://klasma.github.io/Logging_2281/tillsynsmail/A 22420-2021 tillsynsbegäran mail.docx", "A 22420-2021")</f>
        <v/>
      </c>
      <c r="Z949">
        <f>HYPERLINK("https://klasma.github.io/Logging_2281/fåglar/A 22420-2021 prioriterade fågelarter.docx", "A 22420-2021")</f>
        <v/>
      </c>
    </row>
    <row r="950" ht="15" customHeight="1">
      <c r="A950" t="inlineStr">
        <is>
          <t>A 25025-2021</t>
        </is>
      </c>
      <c r="B950" s="1" t="n">
        <v>44341</v>
      </c>
      <c r="C950" s="1" t="n">
        <v>46093</v>
      </c>
      <c r="D950" t="inlineStr">
        <is>
          <t>VÄSTERNORRLANDS LÄN</t>
        </is>
      </c>
      <c r="E950" t="inlineStr">
        <is>
          <t>ÖRNSKÖLDSVIK</t>
        </is>
      </c>
      <c r="G950" t="n">
        <v>0.5</v>
      </c>
      <c r="H950" t="n">
        <v>1</v>
      </c>
      <c r="I950" t="n">
        <v>0</v>
      </c>
      <c r="J950" t="n">
        <v>0</v>
      </c>
      <c r="K950" t="n">
        <v>0</v>
      </c>
      <c r="L950" t="n">
        <v>0</v>
      </c>
      <c r="M950" t="n">
        <v>0</v>
      </c>
      <c r="N950" t="n">
        <v>0</v>
      </c>
      <c r="O950" t="n">
        <v>0</v>
      </c>
      <c r="P950" t="n">
        <v>0</v>
      </c>
      <c r="Q950" t="n">
        <v>1</v>
      </c>
      <c r="R950" s="2" t="inlineStr">
        <is>
          <t>Gröngöling</t>
        </is>
      </c>
      <c r="S950">
        <f>HYPERLINK("https://klasma.github.io/Logging_2284/artfynd/A 25025-2021 artfynd.xlsx", "A 25025-2021")</f>
        <v/>
      </c>
      <c r="T950">
        <f>HYPERLINK("https://klasma.github.io/Logging_2284/kartor/A 25025-2021 karta.png", "A 25025-2021")</f>
        <v/>
      </c>
      <c r="V950">
        <f>HYPERLINK("https://klasma.github.io/Logging_2284/klagomål/A 25025-2021 FSC-klagomål.docx", "A 25025-2021")</f>
        <v/>
      </c>
      <c r="W950">
        <f>HYPERLINK("https://klasma.github.io/Logging_2284/klagomålsmail/A 25025-2021 FSC-klagomål mail.docx", "A 25025-2021")</f>
        <v/>
      </c>
      <c r="X950">
        <f>HYPERLINK("https://klasma.github.io/Logging_2284/tillsyn/A 25025-2021 tillsynsbegäran.docx", "A 25025-2021")</f>
        <v/>
      </c>
      <c r="Y950">
        <f>HYPERLINK("https://klasma.github.io/Logging_2284/tillsynsmail/A 25025-2021 tillsynsbegäran mail.docx", "A 25025-2021")</f>
        <v/>
      </c>
      <c r="Z950">
        <f>HYPERLINK("https://klasma.github.io/Logging_2284/fåglar/A 25025-2021 prioriterade fågelarter.docx", "A 25025-2021")</f>
        <v/>
      </c>
    </row>
    <row r="951" ht="15" customHeight="1">
      <c r="A951" t="inlineStr">
        <is>
          <t>A 66531-2021</t>
        </is>
      </c>
      <c r="B951" s="1" t="n">
        <v>44518</v>
      </c>
      <c r="C951" s="1" t="n">
        <v>46093</v>
      </c>
      <c r="D951" t="inlineStr">
        <is>
          <t>VÄSTERNORRLANDS LÄN</t>
        </is>
      </c>
      <c r="E951" t="inlineStr">
        <is>
          <t>ÖRNSKÖLDSVIK</t>
        </is>
      </c>
      <c r="G951" t="n">
        <v>0.6</v>
      </c>
      <c r="H951" t="n">
        <v>1</v>
      </c>
      <c r="I951" t="n">
        <v>0</v>
      </c>
      <c r="J951" t="n">
        <v>0</v>
      </c>
      <c r="K951" t="n">
        <v>0</v>
      </c>
      <c r="L951" t="n">
        <v>0</v>
      </c>
      <c r="M951" t="n">
        <v>0</v>
      </c>
      <c r="N951" t="n">
        <v>0</v>
      </c>
      <c r="O951" t="n">
        <v>0</v>
      </c>
      <c r="P951" t="n">
        <v>0</v>
      </c>
      <c r="Q951" t="n">
        <v>1</v>
      </c>
      <c r="R951" s="2" t="inlineStr">
        <is>
          <t>Nattviol</t>
        </is>
      </c>
      <c r="S951">
        <f>HYPERLINK("https://klasma.github.io/Logging_2284/artfynd/A 66531-2021 artfynd.xlsx", "A 66531-2021")</f>
        <v/>
      </c>
      <c r="T951">
        <f>HYPERLINK("https://klasma.github.io/Logging_2284/kartor/A 66531-2021 karta.png", "A 66531-2021")</f>
        <v/>
      </c>
      <c r="V951">
        <f>HYPERLINK("https://klasma.github.io/Logging_2284/klagomål/A 66531-2021 FSC-klagomål.docx", "A 66531-2021")</f>
        <v/>
      </c>
      <c r="W951">
        <f>HYPERLINK("https://klasma.github.io/Logging_2284/klagomålsmail/A 66531-2021 FSC-klagomål mail.docx", "A 66531-2021")</f>
        <v/>
      </c>
      <c r="X951">
        <f>HYPERLINK("https://klasma.github.io/Logging_2284/tillsyn/A 66531-2021 tillsynsbegäran.docx", "A 66531-2021")</f>
        <v/>
      </c>
      <c r="Y951">
        <f>HYPERLINK("https://klasma.github.io/Logging_2284/tillsynsmail/A 66531-2021 tillsynsbegäran mail.docx", "A 66531-2021")</f>
        <v/>
      </c>
    </row>
    <row r="952" ht="15" customHeight="1">
      <c r="A952" t="inlineStr">
        <is>
          <t>A 44763-2022</t>
        </is>
      </c>
      <c r="B952" s="1" t="n">
        <v>44840</v>
      </c>
      <c r="C952" s="1" t="n">
        <v>46093</v>
      </c>
      <c r="D952" t="inlineStr">
        <is>
          <t>VÄSTERNORRLANDS LÄN</t>
        </is>
      </c>
      <c r="E952" t="inlineStr">
        <is>
          <t>SOLLEFTEÅ</t>
        </is>
      </c>
      <c r="F952" t="inlineStr">
        <is>
          <t>SCA</t>
        </is>
      </c>
      <c r="G952" t="n">
        <v>1.2</v>
      </c>
      <c r="H952" t="n">
        <v>0</v>
      </c>
      <c r="I952" t="n">
        <v>0</v>
      </c>
      <c r="J952" t="n">
        <v>1</v>
      </c>
      <c r="K952" t="n">
        <v>0</v>
      </c>
      <c r="L952" t="n">
        <v>0</v>
      </c>
      <c r="M952" t="n">
        <v>0</v>
      </c>
      <c r="N952" t="n">
        <v>0</v>
      </c>
      <c r="O952" t="n">
        <v>1</v>
      </c>
      <c r="P952" t="n">
        <v>0</v>
      </c>
      <c r="Q952" t="n">
        <v>1</v>
      </c>
      <c r="R952" s="2" t="inlineStr">
        <is>
          <t>Rosenticka</t>
        </is>
      </c>
      <c r="S952">
        <f>HYPERLINK("https://klasma.github.io/Logging_2283/artfynd/A 44763-2022 artfynd.xlsx", "A 44763-2022")</f>
        <v/>
      </c>
      <c r="T952">
        <f>HYPERLINK("https://klasma.github.io/Logging_2283/kartor/A 44763-2022 karta.png", "A 44763-2022")</f>
        <v/>
      </c>
      <c r="V952">
        <f>HYPERLINK("https://klasma.github.io/Logging_2283/klagomål/A 44763-2022 FSC-klagomål.docx", "A 44763-2022")</f>
        <v/>
      </c>
      <c r="W952">
        <f>HYPERLINK("https://klasma.github.io/Logging_2283/klagomålsmail/A 44763-2022 FSC-klagomål mail.docx", "A 44763-2022")</f>
        <v/>
      </c>
      <c r="X952">
        <f>HYPERLINK("https://klasma.github.io/Logging_2283/tillsyn/A 44763-2022 tillsynsbegäran.docx", "A 44763-2022")</f>
        <v/>
      </c>
      <c r="Y952">
        <f>HYPERLINK("https://klasma.github.io/Logging_2283/tillsynsmail/A 44763-2022 tillsynsbegäran mail.docx", "A 44763-2022")</f>
        <v/>
      </c>
    </row>
    <row r="953" ht="15" customHeight="1">
      <c r="A953" t="inlineStr">
        <is>
          <t>A 35003-2021</t>
        </is>
      </c>
      <c r="B953" s="1" t="n">
        <v>44383.67390046296</v>
      </c>
      <c r="C953" s="1" t="n">
        <v>46093</v>
      </c>
      <c r="D953" t="inlineStr">
        <is>
          <t>VÄSTERNORRLANDS LÄN</t>
        </is>
      </c>
      <c r="E953" t="inlineStr">
        <is>
          <t>ÖRNSKÖLDSVIK</t>
        </is>
      </c>
      <c r="G953" t="n">
        <v>25.5</v>
      </c>
      <c r="H953" t="n">
        <v>1</v>
      </c>
      <c r="I953" t="n">
        <v>1</v>
      </c>
      <c r="J953" t="n">
        <v>0</v>
      </c>
      <c r="K953" t="n">
        <v>0</v>
      </c>
      <c r="L953" t="n">
        <v>0</v>
      </c>
      <c r="M953" t="n">
        <v>0</v>
      </c>
      <c r="N953" t="n">
        <v>0</v>
      </c>
      <c r="O953" t="n">
        <v>0</v>
      </c>
      <c r="P953" t="n">
        <v>0</v>
      </c>
      <c r="Q953" t="n">
        <v>1</v>
      </c>
      <c r="R953" s="2" t="inlineStr">
        <is>
          <t>Lappranunkel</t>
        </is>
      </c>
      <c r="S953">
        <f>HYPERLINK("https://klasma.github.io/Logging_2284/artfynd/A 35003-2021 artfynd.xlsx", "A 35003-2021")</f>
        <v/>
      </c>
      <c r="T953">
        <f>HYPERLINK("https://klasma.github.io/Logging_2284/kartor/A 35003-2021 karta.png", "A 35003-2021")</f>
        <v/>
      </c>
      <c r="V953">
        <f>HYPERLINK("https://klasma.github.io/Logging_2284/klagomål/A 35003-2021 FSC-klagomål.docx", "A 35003-2021")</f>
        <v/>
      </c>
      <c r="W953">
        <f>HYPERLINK("https://klasma.github.io/Logging_2284/klagomålsmail/A 35003-2021 FSC-klagomål mail.docx", "A 35003-2021")</f>
        <v/>
      </c>
      <c r="X953">
        <f>HYPERLINK("https://klasma.github.io/Logging_2284/tillsyn/A 35003-2021 tillsynsbegäran.docx", "A 35003-2021")</f>
        <v/>
      </c>
      <c r="Y953">
        <f>HYPERLINK("https://klasma.github.io/Logging_2284/tillsynsmail/A 35003-2021 tillsynsbegäran mail.docx", "A 35003-2021")</f>
        <v/>
      </c>
    </row>
    <row r="954" ht="15" customHeight="1">
      <c r="A954" t="inlineStr">
        <is>
          <t>A 37618-2021</t>
        </is>
      </c>
      <c r="B954" s="1" t="n">
        <v>44399</v>
      </c>
      <c r="C954" s="1" t="n">
        <v>46093</v>
      </c>
      <c r="D954" t="inlineStr">
        <is>
          <t>VÄSTERNORRLANDS LÄN</t>
        </is>
      </c>
      <c r="E954" t="inlineStr">
        <is>
          <t>ÖRNSKÖLDSVIK</t>
        </is>
      </c>
      <c r="G954" t="n">
        <v>7.1</v>
      </c>
      <c r="H954" t="n">
        <v>0</v>
      </c>
      <c r="I954" t="n">
        <v>0</v>
      </c>
      <c r="J954" t="n">
        <v>1</v>
      </c>
      <c r="K954" t="n">
        <v>0</v>
      </c>
      <c r="L954" t="n">
        <v>0</v>
      </c>
      <c r="M954" t="n">
        <v>0</v>
      </c>
      <c r="N954" t="n">
        <v>0</v>
      </c>
      <c r="O954" t="n">
        <v>1</v>
      </c>
      <c r="P954" t="n">
        <v>0</v>
      </c>
      <c r="Q954" t="n">
        <v>1</v>
      </c>
      <c r="R954" s="2" t="inlineStr">
        <is>
          <t>Luddfingersvamp</t>
        </is>
      </c>
      <c r="S954">
        <f>HYPERLINK("https://klasma.github.io/Logging_2284/artfynd/A 37618-2021 artfynd.xlsx", "A 37618-2021")</f>
        <v/>
      </c>
      <c r="T954">
        <f>HYPERLINK("https://klasma.github.io/Logging_2284/kartor/A 37618-2021 karta.png", "A 37618-2021")</f>
        <v/>
      </c>
      <c r="V954">
        <f>HYPERLINK("https://klasma.github.io/Logging_2284/klagomål/A 37618-2021 FSC-klagomål.docx", "A 37618-2021")</f>
        <v/>
      </c>
      <c r="W954">
        <f>HYPERLINK("https://klasma.github.io/Logging_2284/klagomålsmail/A 37618-2021 FSC-klagomål mail.docx", "A 37618-2021")</f>
        <v/>
      </c>
      <c r="X954">
        <f>HYPERLINK("https://klasma.github.io/Logging_2284/tillsyn/A 37618-2021 tillsynsbegäran.docx", "A 37618-2021")</f>
        <v/>
      </c>
      <c r="Y954">
        <f>HYPERLINK("https://klasma.github.io/Logging_2284/tillsynsmail/A 37618-2021 tillsynsbegäran mail.docx", "A 37618-2021")</f>
        <v/>
      </c>
    </row>
    <row r="955" ht="15" customHeight="1">
      <c r="A955" t="inlineStr">
        <is>
          <t>A 30933-2022</t>
        </is>
      </c>
      <c r="B955" s="1" t="n">
        <v>44767.93952546296</v>
      </c>
      <c r="C955" s="1" t="n">
        <v>46093</v>
      </c>
      <c r="D955" t="inlineStr">
        <is>
          <t>VÄSTERNORRLANDS LÄN</t>
        </is>
      </c>
      <c r="E955" t="inlineStr">
        <is>
          <t>SUNDSVALL</t>
        </is>
      </c>
      <c r="F955" t="inlineStr">
        <is>
          <t>SCA</t>
        </is>
      </c>
      <c r="G955" t="n">
        <v>1.9</v>
      </c>
      <c r="H955" t="n">
        <v>1</v>
      </c>
      <c r="I955" t="n">
        <v>0</v>
      </c>
      <c r="J955" t="n">
        <v>1</v>
      </c>
      <c r="K955" t="n">
        <v>0</v>
      </c>
      <c r="L955" t="n">
        <v>0</v>
      </c>
      <c r="M955" t="n">
        <v>0</v>
      </c>
      <c r="N955" t="n">
        <v>0</v>
      </c>
      <c r="O955" t="n">
        <v>1</v>
      </c>
      <c r="P955" t="n">
        <v>0</v>
      </c>
      <c r="Q955" t="n">
        <v>1</v>
      </c>
      <c r="R955" s="2" t="inlineStr">
        <is>
          <t>Björktrast</t>
        </is>
      </c>
      <c r="S955">
        <f>HYPERLINK("https://klasma.github.io/Logging_2281/artfynd/A 30933-2022 artfynd.xlsx", "A 30933-2022")</f>
        <v/>
      </c>
      <c r="T955">
        <f>HYPERLINK("https://klasma.github.io/Logging_2281/kartor/A 30933-2022 karta.png", "A 30933-2022")</f>
        <v/>
      </c>
      <c r="V955">
        <f>HYPERLINK("https://klasma.github.io/Logging_2281/klagomål/A 30933-2022 FSC-klagomål.docx", "A 30933-2022")</f>
        <v/>
      </c>
      <c r="W955">
        <f>HYPERLINK("https://klasma.github.io/Logging_2281/klagomålsmail/A 30933-2022 FSC-klagomål mail.docx", "A 30933-2022")</f>
        <v/>
      </c>
      <c r="X955">
        <f>HYPERLINK("https://klasma.github.io/Logging_2281/tillsyn/A 30933-2022 tillsynsbegäran.docx", "A 30933-2022")</f>
        <v/>
      </c>
      <c r="Y955">
        <f>HYPERLINK("https://klasma.github.io/Logging_2281/tillsynsmail/A 30933-2022 tillsynsbegäran mail.docx", "A 30933-2022")</f>
        <v/>
      </c>
      <c r="Z955">
        <f>HYPERLINK("https://klasma.github.io/Logging_2281/fåglar/A 30933-2022 prioriterade fågelarter.docx", "A 30933-2022")</f>
        <v/>
      </c>
    </row>
    <row r="956" ht="15" customHeight="1">
      <c r="A956" t="inlineStr">
        <is>
          <t>A 22323-2022</t>
        </is>
      </c>
      <c r="B956" s="1" t="n">
        <v>44712.94081018519</v>
      </c>
      <c r="C956" s="1" t="n">
        <v>46093</v>
      </c>
      <c r="D956" t="inlineStr">
        <is>
          <t>VÄSTERNORRLANDS LÄN</t>
        </is>
      </c>
      <c r="E956" t="inlineStr">
        <is>
          <t>SOLLEFTEÅ</t>
        </is>
      </c>
      <c r="F956" t="inlineStr">
        <is>
          <t>SCA</t>
        </is>
      </c>
      <c r="G956" t="n">
        <v>1.8</v>
      </c>
      <c r="H956" t="n">
        <v>0</v>
      </c>
      <c r="I956" t="n">
        <v>0</v>
      </c>
      <c r="J956" t="n">
        <v>1</v>
      </c>
      <c r="K956" t="n">
        <v>0</v>
      </c>
      <c r="L956" t="n">
        <v>0</v>
      </c>
      <c r="M956" t="n">
        <v>0</v>
      </c>
      <c r="N956" t="n">
        <v>0</v>
      </c>
      <c r="O956" t="n">
        <v>1</v>
      </c>
      <c r="P956" t="n">
        <v>0</v>
      </c>
      <c r="Q956" t="n">
        <v>1</v>
      </c>
      <c r="R956" s="2" t="inlineStr">
        <is>
          <t>Granticka</t>
        </is>
      </c>
      <c r="S956">
        <f>HYPERLINK("https://klasma.github.io/Logging_2283/artfynd/A 22323-2022 artfynd.xlsx", "A 22323-2022")</f>
        <v/>
      </c>
      <c r="T956">
        <f>HYPERLINK("https://klasma.github.io/Logging_2283/kartor/A 22323-2022 karta.png", "A 22323-2022")</f>
        <v/>
      </c>
      <c r="V956">
        <f>HYPERLINK("https://klasma.github.io/Logging_2283/klagomål/A 22323-2022 FSC-klagomål.docx", "A 22323-2022")</f>
        <v/>
      </c>
      <c r="W956">
        <f>HYPERLINK("https://klasma.github.io/Logging_2283/klagomålsmail/A 22323-2022 FSC-klagomål mail.docx", "A 22323-2022")</f>
        <v/>
      </c>
      <c r="X956">
        <f>HYPERLINK("https://klasma.github.io/Logging_2283/tillsyn/A 22323-2022 tillsynsbegäran.docx", "A 22323-2022")</f>
        <v/>
      </c>
      <c r="Y956">
        <f>HYPERLINK("https://klasma.github.io/Logging_2283/tillsynsmail/A 22323-2022 tillsynsbegäran mail.docx", "A 22323-2022")</f>
        <v/>
      </c>
    </row>
    <row r="957" ht="15" customHeight="1">
      <c r="A957" t="inlineStr">
        <is>
          <t>A 40626-2022</t>
        </is>
      </c>
      <c r="B957" s="1" t="n">
        <v>44823.95071759259</v>
      </c>
      <c r="C957" s="1" t="n">
        <v>46093</v>
      </c>
      <c r="D957" t="inlineStr">
        <is>
          <t>VÄSTERNORRLANDS LÄN</t>
        </is>
      </c>
      <c r="E957" t="inlineStr">
        <is>
          <t>SOLLEFTEÅ</t>
        </is>
      </c>
      <c r="F957" t="inlineStr">
        <is>
          <t>SCA</t>
        </is>
      </c>
      <c r="G957" t="n">
        <v>2.5</v>
      </c>
      <c r="H957" t="n">
        <v>1</v>
      </c>
      <c r="I957" t="n">
        <v>0</v>
      </c>
      <c r="J957" t="n">
        <v>1</v>
      </c>
      <c r="K957" t="n">
        <v>0</v>
      </c>
      <c r="L957" t="n">
        <v>0</v>
      </c>
      <c r="M957" t="n">
        <v>0</v>
      </c>
      <c r="N957" t="n">
        <v>0</v>
      </c>
      <c r="O957" t="n">
        <v>1</v>
      </c>
      <c r="P957" t="n">
        <v>0</v>
      </c>
      <c r="Q957" t="n">
        <v>1</v>
      </c>
      <c r="R957" s="2" t="inlineStr">
        <is>
          <t>Spillkråka</t>
        </is>
      </c>
      <c r="S957">
        <f>HYPERLINK("https://klasma.github.io/Logging_2283/artfynd/A 40626-2022 artfynd.xlsx", "A 40626-2022")</f>
        <v/>
      </c>
      <c r="T957">
        <f>HYPERLINK("https://klasma.github.io/Logging_2283/kartor/A 40626-2022 karta.png", "A 40626-2022")</f>
        <v/>
      </c>
      <c r="V957">
        <f>HYPERLINK("https://klasma.github.io/Logging_2283/klagomål/A 40626-2022 FSC-klagomål.docx", "A 40626-2022")</f>
        <v/>
      </c>
      <c r="W957">
        <f>HYPERLINK("https://klasma.github.io/Logging_2283/klagomålsmail/A 40626-2022 FSC-klagomål mail.docx", "A 40626-2022")</f>
        <v/>
      </c>
      <c r="X957">
        <f>HYPERLINK("https://klasma.github.io/Logging_2283/tillsyn/A 40626-2022 tillsynsbegäran.docx", "A 40626-2022")</f>
        <v/>
      </c>
      <c r="Y957">
        <f>HYPERLINK("https://klasma.github.io/Logging_2283/tillsynsmail/A 40626-2022 tillsynsbegäran mail.docx", "A 40626-2022")</f>
        <v/>
      </c>
      <c r="Z957">
        <f>HYPERLINK("https://klasma.github.io/Logging_2283/fåglar/A 40626-2022 prioriterade fågelarter.docx", "A 40626-2022")</f>
        <v/>
      </c>
    </row>
    <row r="958" ht="15" customHeight="1">
      <c r="A958" t="inlineStr">
        <is>
          <t>A 33853-2025</t>
        </is>
      </c>
      <c r="B958" s="1" t="n">
        <v>45842.51097222222</v>
      </c>
      <c r="C958" s="1" t="n">
        <v>46093</v>
      </c>
      <c r="D958" t="inlineStr">
        <is>
          <t>VÄSTERNORRLANDS LÄN</t>
        </is>
      </c>
      <c r="E958" t="inlineStr">
        <is>
          <t>SOLLEFTEÅ</t>
        </is>
      </c>
      <c r="F958" t="inlineStr">
        <is>
          <t>SCA</t>
        </is>
      </c>
      <c r="G958" t="n">
        <v>6.5</v>
      </c>
      <c r="H958" t="n">
        <v>1</v>
      </c>
      <c r="I958" t="n">
        <v>0</v>
      </c>
      <c r="J958" t="n">
        <v>0</v>
      </c>
      <c r="K958" t="n">
        <v>0</v>
      </c>
      <c r="L958" t="n">
        <v>0</v>
      </c>
      <c r="M958" t="n">
        <v>0</v>
      </c>
      <c r="N958" t="n">
        <v>0</v>
      </c>
      <c r="O958" t="n">
        <v>0</v>
      </c>
      <c r="P958" t="n">
        <v>0</v>
      </c>
      <c r="Q958" t="n">
        <v>1</v>
      </c>
      <c r="R958" s="2" t="inlineStr">
        <is>
          <t>Tjäder</t>
        </is>
      </c>
      <c r="S958">
        <f>HYPERLINK("https://klasma.github.io/Logging_2283/artfynd/A 33853-2025 artfynd.xlsx", "A 33853-2025")</f>
        <v/>
      </c>
      <c r="T958">
        <f>HYPERLINK("https://klasma.github.io/Logging_2283/kartor/A 33853-2025 karta.png", "A 33853-2025")</f>
        <v/>
      </c>
      <c r="V958">
        <f>HYPERLINK("https://klasma.github.io/Logging_2283/klagomål/A 33853-2025 FSC-klagomål.docx", "A 33853-2025")</f>
        <v/>
      </c>
      <c r="W958">
        <f>HYPERLINK("https://klasma.github.io/Logging_2283/klagomålsmail/A 33853-2025 FSC-klagomål mail.docx", "A 33853-2025")</f>
        <v/>
      </c>
      <c r="X958">
        <f>HYPERLINK("https://klasma.github.io/Logging_2283/tillsyn/A 33853-2025 tillsynsbegäran.docx", "A 33853-2025")</f>
        <v/>
      </c>
      <c r="Y958">
        <f>HYPERLINK("https://klasma.github.io/Logging_2283/tillsynsmail/A 33853-2025 tillsynsbegäran mail.docx", "A 33853-2025")</f>
        <v/>
      </c>
      <c r="Z958">
        <f>HYPERLINK("https://klasma.github.io/Logging_2283/fåglar/A 33853-2025 prioriterade fågelarter.docx", "A 33853-2025")</f>
        <v/>
      </c>
    </row>
    <row r="959" ht="15" customHeight="1">
      <c r="A959" t="inlineStr">
        <is>
          <t>A 50651-2021</t>
        </is>
      </c>
      <c r="B959" s="1" t="n">
        <v>44459</v>
      </c>
      <c r="C959" s="1" t="n">
        <v>46093</v>
      </c>
      <c r="D959" t="inlineStr">
        <is>
          <t>VÄSTERNORRLANDS LÄN</t>
        </is>
      </c>
      <c r="E959" t="inlineStr">
        <is>
          <t>ÅNGE</t>
        </is>
      </c>
      <c r="G959" t="n">
        <v>20.6</v>
      </c>
      <c r="H959" t="n">
        <v>0</v>
      </c>
      <c r="I959" t="n">
        <v>0</v>
      </c>
      <c r="J959" t="n">
        <v>1</v>
      </c>
      <c r="K959" t="n">
        <v>0</v>
      </c>
      <c r="L959" t="n">
        <v>0</v>
      </c>
      <c r="M959" t="n">
        <v>0</v>
      </c>
      <c r="N959" t="n">
        <v>0</v>
      </c>
      <c r="O959" t="n">
        <v>1</v>
      </c>
      <c r="P959" t="n">
        <v>0</v>
      </c>
      <c r="Q959" t="n">
        <v>1</v>
      </c>
      <c r="R959" s="2" t="inlineStr">
        <is>
          <t>Garnlav</t>
        </is>
      </c>
      <c r="S959">
        <f>HYPERLINK("https://klasma.github.io/Logging_2260/artfynd/A 50651-2021 artfynd.xlsx", "A 50651-2021")</f>
        <v/>
      </c>
      <c r="T959">
        <f>HYPERLINK("https://klasma.github.io/Logging_2260/kartor/A 50651-2021 karta.png", "A 50651-2021")</f>
        <v/>
      </c>
      <c r="V959">
        <f>HYPERLINK("https://klasma.github.io/Logging_2260/klagomål/A 50651-2021 FSC-klagomål.docx", "A 50651-2021")</f>
        <v/>
      </c>
      <c r="W959">
        <f>HYPERLINK("https://klasma.github.io/Logging_2260/klagomålsmail/A 50651-2021 FSC-klagomål mail.docx", "A 50651-2021")</f>
        <v/>
      </c>
      <c r="X959">
        <f>HYPERLINK("https://klasma.github.io/Logging_2260/tillsyn/A 50651-2021 tillsynsbegäran.docx", "A 50651-2021")</f>
        <v/>
      </c>
      <c r="Y959">
        <f>HYPERLINK("https://klasma.github.io/Logging_2260/tillsynsmail/A 50651-2021 tillsynsbegäran mail.docx", "A 50651-2021")</f>
        <v/>
      </c>
    </row>
    <row r="960" ht="15" customHeight="1">
      <c r="A960" t="inlineStr">
        <is>
          <t>A 8677-2023</t>
        </is>
      </c>
      <c r="B960" s="1" t="n">
        <v>44977</v>
      </c>
      <c r="C960" s="1" t="n">
        <v>46093</v>
      </c>
      <c r="D960" t="inlineStr">
        <is>
          <t>VÄSTERNORRLANDS LÄN</t>
        </is>
      </c>
      <c r="E960" t="inlineStr">
        <is>
          <t>ÖRNSKÖLDSVIK</t>
        </is>
      </c>
      <c r="F960" t="inlineStr">
        <is>
          <t>SCA</t>
        </is>
      </c>
      <c r="G960" t="n">
        <v>18.6</v>
      </c>
      <c r="H960" t="n">
        <v>0</v>
      </c>
      <c r="I960" t="n">
        <v>0</v>
      </c>
      <c r="J960" t="n">
        <v>1</v>
      </c>
      <c r="K960" t="n">
        <v>0</v>
      </c>
      <c r="L960" t="n">
        <v>0</v>
      </c>
      <c r="M960" t="n">
        <v>0</v>
      </c>
      <c r="N960" t="n">
        <v>0</v>
      </c>
      <c r="O960" t="n">
        <v>1</v>
      </c>
      <c r="P960" t="n">
        <v>0</v>
      </c>
      <c r="Q960" t="n">
        <v>1</v>
      </c>
      <c r="R960" s="2" t="inlineStr">
        <is>
          <t>Lunglav</t>
        </is>
      </c>
      <c r="S960">
        <f>HYPERLINK("https://klasma.github.io/Logging_2284/artfynd/A 8677-2023 artfynd.xlsx", "A 8677-2023")</f>
        <v/>
      </c>
      <c r="T960">
        <f>HYPERLINK("https://klasma.github.io/Logging_2284/kartor/A 8677-2023 karta.png", "A 8677-2023")</f>
        <v/>
      </c>
      <c r="V960">
        <f>HYPERLINK("https://klasma.github.io/Logging_2284/klagomål/A 8677-2023 FSC-klagomål.docx", "A 8677-2023")</f>
        <v/>
      </c>
      <c r="W960">
        <f>HYPERLINK("https://klasma.github.io/Logging_2284/klagomålsmail/A 8677-2023 FSC-klagomål mail.docx", "A 8677-2023")</f>
        <v/>
      </c>
      <c r="X960">
        <f>HYPERLINK("https://klasma.github.io/Logging_2284/tillsyn/A 8677-2023 tillsynsbegäran.docx", "A 8677-2023")</f>
        <v/>
      </c>
      <c r="Y960">
        <f>HYPERLINK("https://klasma.github.io/Logging_2284/tillsynsmail/A 8677-2023 tillsynsbegäran mail.docx", "A 8677-2023")</f>
        <v/>
      </c>
    </row>
    <row r="961" ht="15" customHeight="1">
      <c r="A961" t="inlineStr">
        <is>
          <t>A 64510-2023</t>
        </is>
      </c>
      <c r="B961" s="1" t="n">
        <v>45281</v>
      </c>
      <c r="C961" s="1" t="n">
        <v>46093</v>
      </c>
      <c r="D961" t="inlineStr">
        <is>
          <t>VÄSTERNORRLANDS LÄN</t>
        </is>
      </c>
      <c r="E961" t="inlineStr">
        <is>
          <t>ÅNGE</t>
        </is>
      </c>
      <c r="G961" t="n">
        <v>3.7</v>
      </c>
      <c r="H961" t="n">
        <v>0</v>
      </c>
      <c r="I961" t="n">
        <v>1</v>
      </c>
      <c r="J961" t="n">
        <v>0</v>
      </c>
      <c r="K961" t="n">
        <v>0</v>
      </c>
      <c r="L961" t="n">
        <v>0</v>
      </c>
      <c r="M961" t="n">
        <v>0</v>
      </c>
      <c r="N961" t="n">
        <v>0</v>
      </c>
      <c r="O961" t="n">
        <v>0</v>
      </c>
      <c r="P961" t="n">
        <v>0</v>
      </c>
      <c r="Q961" t="n">
        <v>1</v>
      </c>
      <c r="R961" s="2" t="inlineStr">
        <is>
          <t>Dropptaggsvamp</t>
        </is>
      </c>
      <c r="S961">
        <f>HYPERLINK("https://klasma.github.io/Logging_2260/artfynd/A 64510-2023 artfynd.xlsx", "A 64510-2023")</f>
        <v/>
      </c>
      <c r="T961">
        <f>HYPERLINK("https://klasma.github.io/Logging_2260/kartor/A 64510-2023 karta.png", "A 64510-2023")</f>
        <v/>
      </c>
      <c r="V961">
        <f>HYPERLINK("https://klasma.github.io/Logging_2260/klagomål/A 64510-2023 FSC-klagomål.docx", "A 64510-2023")</f>
        <v/>
      </c>
      <c r="W961">
        <f>HYPERLINK("https://klasma.github.io/Logging_2260/klagomålsmail/A 64510-2023 FSC-klagomål mail.docx", "A 64510-2023")</f>
        <v/>
      </c>
      <c r="X961">
        <f>HYPERLINK("https://klasma.github.io/Logging_2260/tillsyn/A 64510-2023 tillsynsbegäran.docx", "A 64510-2023")</f>
        <v/>
      </c>
      <c r="Y961">
        <f>HYPERLINK("https://klasma.github.io/Logging_2260/tillsynsmail/A 64510-2023 tillsynsbegäran mail.docx", "A 64510-2023")</f>
        <v/>
      </c>
    </row>
    <row r="962" ht="15" customHeight="1">
      <c r="A962" t="inlineStr">
        <is>
          <t>A 38603-2024</t>
        </is>
      </c>
      <c r="B962" s="1" t="n">
        <v>45546</v>
      </c>
      <c r="C962" s="1" t="n">
        <v>46093</v>
      </c>
      <c r="D962" t="inlineStr">
        <is>
          <t>VÄSTERNORRLANDS LÄN</t>
        </is>
      </c>
      <c r="E962" t="inlineStr">
        <is>
          <t>ÅNGE</t>
        </is>
      </c>
      <c r="F962" t="inlineStr">
        <is>
          <t>SCA</t>
        </is>
      </c>
      <c r="G962" t="n">
        <v>5.6</v>
      </c>
      <c r="H962" t="n">
        <v>0</v>
      </c>
      <c r="I962" t="n">
        <v>0</v>
      </c>
      <c r="J962" t="n">
        <v>0</v>
      </c>
      <c r="K962" t="n">
        <v>1</v>
      </c>
      <c r="L962" t="n">
        <v>0</v>
      </c>
      <c r="M962" t="n">
        <v>0</v>
      </c>
      <c r="N962" t="n">
        <v>0</v>
      </c>
      <c r="O962" t="n">
        <v>1</v>
      </c>
      <c r="P962" t="n">
        <v>1</v>
      </c>
      <c r="Q962" t="n">
        <v>1</v>
      </c>
      <c r="R962" s="2" t="inlineStr">
        <is>
          <t>Rynkskinn</t>
        </is>
      </c>
      <c r="S962">
        <f>HYPERLINK("https://klasma.github.io/Logging_2260/artfynd/A 38603-2024 artfynd.xlsx", "A 38603-2024")</f>
        <v/>
      </c>
      <c r="T962">
        <f>HYPERLINK("https://klasma.github.io/Logging_2260/kartor/A 38603-2024 karta.png", "A 38603-2024")</f>
        <v/>
      </c>
      <c r="V962">
        <f>HYPERLINK("https://klasma.github.io/Logging_2260/klagomål/A 38603-2024 FSC-klagomål.docx", "A 38603-2024")</f>
        <v/>
      </c>
      <c r="W962">
        <f>HYPERLINK("https://klasma.github.io/Logging_2260/klagomålsmail/A 38603-2024 FSC-klagomål mail.docx", "A 38603-2024")</f>
        <v/>
      </c>
      <c r="X962">
        <f>HYPERLINK("https://klasma.github.io/Logging_2260/tillsyn/A 38603-2024 tillsynsbegäran.docx", "A 38603-2024")</f>
        <v/>
      </c>
      <c r="Y962">
        <f>HYPERLINK("https://klasma.github.io/Logging_2260/tillsynsmail/A 38603-2024 tillsynsbegäran mail.docx", "A 38603-2024")</f>
        <v/>
      </c>
    </row>
    <row r="963" ht="15" customHeight="1">
      <c r="A963" t="inlineStr">
        <is>
          <t>A 20192-2025</t>
        </is>
      </c>
      <c r="B963" s="1" t="n">
        <v>45772.60177083333</v>
      </c>
      <c r="C963" s="1" t="n">
        <v>46093</v>
      </c>
      <c r="D963" t="inlineStr">
        <is>
          <t>VÄSTERNORRLANDS LÄN</t>
        </is>
      </c>
      <c r="E963" t="inlineStr">
        <is>
          <t>ÅNGE</t>
        </is>
      </c>
      <c r="F963" t="inlineStr">
        <is>
          <t>Sveaskog</t>
        </is>
      </c>
      <c r="G963" t="n">
        <v>8.800000000000001</v>
      </c>
      <c r="H963" t="n">
        <v>1</v>
      </c>
      <c r="I963" t="n">
        <v>0</v>
      </c>
      <c r="J963" t="n">
        <v>0</v>
      </c>
      <c r="K963" t="n">
        <v>0</v>
      </c>
      <c r="L963" t="n">
        <v>0</v>
      </c>
      <c r="M963" t="n">
        <v>0</v>
      </c>
      <c r="N963" t="n">
        <v>0</v>
      </c>
      <c r="O963" t="n">
        <v>0</v>
      </c>
      <c r="P963" t="n">
        <v>0</v>
      </c>
      <c r="Q963" t="n">
        <v>1</v>
      </c>
      <c r="R963" s="2" t="inlineStr">
        <is>
          <t>Blåsippa</t>
        </is>
      </c>
      <c r="S963">
        <f>HYPERLINK("https://klasma.github.io/Logging_2260/artfynd/A 20192-2025 artfynd.xlsx", "A 20192-2025")</f>
        <v/>
      </c>
      <c r="T963">
        <f>HYPERLINK("https://klasma.github.io/Logging_2260/kartor/A 20192-2025 karta.png", "A 20192-2025")</f>
        <v/>
      </c>
      <c r="V963">
        <f>HYPERLINK("https://klasma.github.io/Logging_2260/klagomål/A 20192-2025 FSC-klagomål.docx", "A 20192-2025")</f>
        <v/>
      </c>
      <c r="W963">
        <f>HYPERLINK("https://klasma.github.io/Logging_2260/klagomålsmail/A 20192-2025 FSC-klagomål mail.docx", "A 20192-2025")</f>
        <v/>
      </c>
      <c r="X963">
        <f>HYPERLINK("https://klasma.github.io/Logging_2260/tillsyn/A 20192-2025 tillsynsbegäran.docx", "A 20192-2025")</f>
        <v/>
      </c>
      <c r="Y963">
        <f>HYPERLINK("https://klasma.github.io/Logging_2260/tillsynsmail/A 20192-2025 tillsynsbegäran mail.docx", "A 20192-2025")</f>
        <v/>
      </c>
    </row>
    <row r="964" ht="15" customHeight="1">
      <c r="A964" t="inlineStr">
        <is>
          <t>A 58186-2022</t>
        </is>
      </c>
      <c r="B964" s="1" t="n">
        <v>44900</v>
      </c>
      <c r="C964" s="1" t="n">
        <v>46093</v>
      </c>
      <c r="D964" t="inlineStr">
        <is>
          <t>VÄSTERNORRLANDS LÄN</t>
        </is>
      </c>
      <c r="E964" t="inlineStr">
        <is>
          <t>SUNDSVALL</t>
        </is>
      </c>
      <c r="F964" t="inlineStr">
        <is>
          <t>SCA</t>
        </is>
      </c>
      <c r="G964" t="n">
        <v>9.300000000000001</v>
      </c>
      <c r="H964" t="n">
        <v>1</v>
      </c>
      <c r="I964" t="n">
        <v>1</v>
      </c>
      <c r="J964" t="n">
        <v>0</v>
      </c>
      <c r="K964" t="n">
        <v>0</v>
      </c>
      <c r="L964" t="n">
        <v>0</v>
      </c>
      <c r="M964" t="n">
        <v>0</v>
      </c>
      <c r="N964" t="n">
        <v>0</v>
      </c>
      <c r="O964" t="n">
        <v>0</v>
      </c>
      <c r="P964" t="n">
        <v>0</v>
      </c>
      <c r="Q964" t="n">
        <v>1</v>
      </c>
      <c r="R964" s="2" t="inlineStr">
        <is>
          <t>Plattlummer</t>
        </is>
      </c>
      <c r="S964">
        <f>HYPERLINK("https://klasma.github.io/Logging_2281/artfynd/A 58186-2022 artfynd.xlsx", "A 58186-2022")</f>
        <v/>
      </c>
      <c r="T964">
        <f>HYPERLINK("https://klasma.github.io/Logging_2281/kartor/A 58186-2022 karta.png", "A 58186-2022")</f>
        <v/>
      </c>
      <c r="V964">
        <f>HYPERLINK("https://klasma.github.io/Logging_2281/klagomål/A 58186-2022 FSC-klagomål.docx", "A 58186-2022")</f>
        <v/>
      </c>
      <c r="W964">
        <f>HYPERLINK("https://klasma.github.io/Logging_2281/klagomålsmail/A 58186-2022 FSC-klagomål mail.docx", "A 58186-2022")</f>
        <v/>
      </c>
      <c r="X964">
        <f>HYPERLINK("https://klasma.github.io/Logging_2281/tillsyn/A 58186-2022 tillsynsbegäran.docx", "A 58186-2022")</f>
        <v/>
      </c>
      <c r="Y964">
        <f>HYPERLINK("https://klasma.github.io/Logging_2281/tillsynsmail/A 58186-2022 tillsynsbegäran mail.docx", "A 58186-2022")</f>
        <v/>
      </c>
    </row>
    <row r="965" ht="15" customHeight="1">
      <c r="A965" t="inlineStr">
        <is>
          <t>A 7272-2025</t>
        </is>
      </c>
      <c r="B965" s="1" t="n">
        <v>45702.61481481481</v>
      </c>
      <c r="C965" s="1" t="n">
        <v>46093</v>
      </c>
      <c r="D965" t="inlineStr">
        <is>
          <t>VÄSTERNORRLANDS LÄN</t>
        </is>
      </c>
      <c r="E965" t="inlineStr">
        <is>
          <t>TIMRÅ</t>
        </is>
      </c>
      <c r="G965" t="n">
        <v>2.9</v>
      </c>
      <c r="H965" t="n">
        <v>0</v>
      </c>
      <c r="I965" t="n">
        <v>0</v>
      </c>
      <c r="J965" t="n">
        <v>1</v>
      </c>
      <c r="K965" t="n">
        <v>0</v>
      </c>
      <c r="L965" t="n">
        <v>0</v>
      </c>
      <c r="M965" t="n">
        <v>0</v>
      </c>
      <c r="N965" t="n">
        <v>0</v>
      </c>
      <c r="O965" t="n">
        <v>1</v>
      </c>
      <c r="P965" t="n">
        <v>0</v>
      </c>
      <c r="Q965" t="n">
        <v>1</v>
      </c>
      <c r="R965" s="2" t="inlineStr">
        <is>
          <t>Reliktbock</t>
        </is>
      </c>
      <c r="S965">
        <f>HYPERLINK("https://klasma.github.io/Logging_2262/artfynd/A 7272-2025 artfynd.xlsx", "A 7272-2025")</f>
        <v/>
      </c>
      <c r="T965">
        <f>HYPERLINK("https://klasma.github.io/Logging_2262/kartor/A 7272-2025 karta.png", "A 7272-2025")</f>
        <v/>
      </c>
      <c r="V965">
        <f>HYPERLINK("https://klasma.github.io/Logging_2262/klagomål/A 7272-2025 FSC-klagomål.docx", "A 7272-2025")</f>
        <v/>
      </c>
      <c r="W965">
        <f>HYPERLINK("https://klasma.github.io/Logging_2262/klagomålsmail/A 7272-2025 FSC-klagomål mail.docx", "A 7272-2025")</f>
        <v/>
      </c>
      <c r="X965">
        <f>HYPERLINK("https://klasma.github.io/Logging_2262/tillsyn/A 7272-2025 tillsynsbegäran.docx", "A 7272-2025")</f>
        <v/>
      </c>
      <c r="Y965">
        <f>HYPERLINK("https://klasma.github.io/Logging_2262/tillsynsmail/A 7272-2025 tillsynsbegäran mail.docx", "A 7272-2025")</f>
        <v/>
      </c>
    </row>
    <row r="966" ht="15" customHeight="1">
      <c r="A966" t="inlineStr">
        <is>
          <t>A 38606-2024</t>
        </is>
      </c>
      <c r="B966" s="1" t="n">
        <v>45546.67804398148</v>
      </c>
      <c r="C966" s="1" t="n">
        <v>46093</v>
      </c>
      <c r="D966" t="inlineStr">
        <is>
          <t>VÄSTERNORRLANDS LÄN</t>
        </is>
      </c>
      <c r="E966" t="inlineStr">
        <is>
          <t>ÅNGE</t>
        </is>
      </c>
      <c r="F966" t="inlineStr">
        <is>
          <t>SCA</t>
        </is>
      </c>
      <c r="G966" t="n">
        <v>2.4</v>
      </c>
      <c r="H966" t="n">
        <v>0</v>
      </c>
      <c r="I966" t="n">
        <v>0</v>
      </c>
      <c r="J966" t="n">
        <v>1</v>
      </c>
      <c r="K966" t="n">
        <v>0</v>
      </c>
      <c r="L966" t="n">
        <v>0</v>
      </c>
      <c r="M966" t="n">
        <v>0</v>
      </c>
      <c r="N966" t="n">
        <v>0</v>
      </c>
      <c r="O966" t="n">
        <v>1</v>
      </c>
      <c r="P966" t="n">
        <v>0</v>
      </c>
      <c r="Q966" t="n">
        <v>1</v>
      </c>
      <c r="R966" s="2" t="inlineStr">
        <is>
          <t>Ullticka</t>
        </is>
      </c>
      <c r="S966">
        <f>HYPERLINK("https://klasma.github.io/Logging_2260/artfynd/A 38606-2024 artfynd.xlsx", "A 38606-2024")</f>
        <v/>
      </c>
      <c r="T966">
        <f>HYPERLINK("https://klasma.github.io/Logging_2260/kartor/A 38606-2024 karta.png", "A 38606-2024")</f>
        <v/>
      </c>
      <c r="V966">
        <f>HYPERLINK("https://klasma.github.io/Logging_2260/klagomål/A 38606-2024 FSC-klagomål.docx", "A 38606-2024")</f>
        <v/>
      </c>
      <c r="W966">
        <f>HYPERLINK("https://klasma.github.io/Logging_2260/klagomålsmail/A 38606-2024 FSC-klagomål mail.docx", "A 38606-2024")</f>
        <v/>
      </c>
      <c r="X966">
        <f>HYPERLINK("https://klasma.github.io/Logging_2260/tillsyn/A 38606-2024 tillsynsbegäran.docx", "A 38606-2024")</f>
        <v/>
      </c>
      <c r="Y966">
        <f>HYPERLINK("https://klasma.github.io/Logging_2260/tillsynsmail/A 38606-2024 tillsynsbegäran mail.docx", "A 38606-2024")</f>
        <v/>
      </c>
    </row>
    <row r="967" ht="15" customHeight="1">
      <c r="A967" t="inlineStr">
        <is>
          <t>A 27106-2022</t>
        </is>
      </c>
      <c r="B967" s="1" t="n">
        <v>44741</v>
      </c>
      <c r="C967" s="1" t="n">
        <v>46093</v>
      </c>
      <c r="D967" t="inlineStr">
        <is>
          <t>VÄSTERNORRLANDS LÄN</t>
        </is>
      </c>
      <c r="E967" t="inlineStr">
        <is>
          <t>SOLLEFTEÅ</t>
        </is>
      </c>
      <c r="G967" t="n">
        <v>1.3</v>
      </c>
      <c r="H967" t="n">
        <v>1</v>
      </c>
      <c r="I967" t="n">
        <v>0</v>
      </c>
      <c r="J967" t="n">
        <v>0</v>
      </c>
      <c r="K967" t="n">
        <v>0</v>
      </c>
      <c r="L967" t="n">
        <v>0</v>
      </c>
      <c r="M967" t="n">
        <v>0</v>
      </c>
      <c r="N967" t="n">
        <v>0</v>
      </c>
      <c r="O967" t="n">
        <v>0</v>
      </c>
      <c r="P967" t="n">
        <v>0</v>
      </c>
      <c r="Q967" t="n">
        <v>1</v>
      </c>
      <c r="R967" s="2" t="inlineStr">
        <is>
          <t>Revlummer</t>
        </is>
      </c>
      <c r="S967">
        <f>HYPERLINK("https://klasma.github.io/Logging_2283/artfynd/A 27106-2022 artfynd.xlsx", "A 27106-2022")</f>
        <v/>
      </c>
      <c r="T967">
        <f>HYPERLINK("https://klasma.github.io/Logging_2283/kartor/A 27106-2022 karta.png", "A 27106-2022")</f>
        <v/>
      </c>
      <c r="V967">
        <f>HYPERLINK("https://klasma.github.io/Logging_2283/klagomål/A 27106-2022 FSC-klagomål.docx", "A 27106-2022")</f>
        <v/>
      </c>
      <c r="W967">
        <f>HYPERLINK("https://klasma.github.io/Logging_2283/klagomålsmail/A 27106-2022 FSC-klagomål mail.docx", "A 27106-2022")</f>
        <v/>
      </c>
      <c r="X967">
        <f>HYPERLINK("https://klasma.github.io/Logging_2283/tillsyn/A 27106-2022 tillsynsbegäran.docx", "A 27106-2022")</f>
        <v/>
      </c>
      <c r="Y967">
        <f>HYPERLINK("https://klasma.github.io/Logging_2283/tillsynsmail/A 27106-2022 tillsynsbegäran mail.docx", "A 27106-2022")</f>
        <v/>
      </c>
    </row>
    <row r="968" ht="15" customHeight="1">
      <c r="A968" t="inlineStr">
        <is>
          <t>A 5033-2024</t>
        </is>
      </c>
      <c r="B968" s="1" t="n">
        <v>45329</v>
      </c>
      <c r="C968" s="1" t="n">
        <v>46093</v>
      </c>
      <c r="D968" t="inlineStr">
        <is>
          <t>VÄSTERNORRLANDS LÄN</t>
        </is>
      </c>
      <c r="E968" t="inlineStr">
        <is>
          <t>SOLLEFTEÅ</t>
        </is>
      </c>
      <c r="F968" t="inlineStr">
        <is>
          <t>Övriga Aktiebolag</t>
        </is>
      </c>
      <c r="G968" t="n">
        <v>3.2</v>
      </c>
      <c r="H968" t="n">
        <v>0</v>
      </c>
      <c r="I968" t="n">
        <v>1</v>
      </c>
      <c r="J968" t="n">
        <v>0</v>
      </c>
      <c r="K968" t="n">
        <v>0</v>
      </c>
      <c r="L968" t="n">
        <v>0</v>
      </c>
      <c r="M968" t="n">
        <v>0</v>
      </c>
      <c r="N968" t="n">
        <v>0</v>
      </c>
      <c r="O968" t="n">
        <v>0</v>
      </c>
      <c r="P968" t="n">
        <v>0</v>
      </c>
      <c r="Q968" t="n">
        <v>1</v>
      </c>
      <c r="R968" s="2" t="inlineStr">
        <is>
          <t>Kransrams</t>
        </is>
      </c>
      <c r="S968">
        <f>HYPERLINK("https://klasma.github.io/Logging_2283/artfynd/A 5033-2024 artfynd.xlsx", "A 5033-2024")</f>
        <v/>
      </c>
      <c r="T968">
        <f>HYPERLINK("https://klasma.github.io/Logging_2283/kartor/A 5033-2024 karta.png", "A 5033-2024")</f>
        <v/>
      </c>
      <c r="V968">
        <f>HYPERLINK("https://klasma.github.io/Logging_2283/klagomål/A 5033-2024 FSC-klagomål.docx", "A 5033-2024")</f>
        <v/>
      </c>
      <c r="W968">
        <f>HYPERLINK("https://klasma.github.io/Logging_2283/klagomålsmail/A 5033-2024 FSC-klagomål mail.docx", "A 5033-2024")</f>
        <v/>
      </c>
      <c r="X968">
        <f>HYPERLINK("https://klasma.github.io/Logging_2283/tillsyn/A 5033-2024 tillsynsbegäran.docx", "A 5033-2024")</f>
        <v/>
      </c>
      <c r="Y968">
        <f>HYPERLINK("https://klasma.github.io/Logging_2283/tillsynsmail/A 5033-2024 tillsynsbegäran mail.docx", "A 5033-2024")</f>
        <v/>
      </c>
    </row>
    <row r="969" ht="15" customHeight="1">
      <c r="A969" t="inlineStr">
        <is>
          <t>A 233-2024</t>
        </is>
      </c>
      <c r="B969" s="1" t="n">
        <v>45294</v>
      </c>
      <c r="C969" s="1" t="n">
        <v>46093</v>
      </c>
      <c r="D969" t="inlineStr">
        <is>
          <t>VÄSTERNORRLANDS LÄN</t>
        </is>
      </c>
      <c r="E969" t="inlineStr">
        <is>
          <t>SUNDSVALL</t>
        </is>
      </c>
      <c r="G969" t="n">
        <v>2.4</v>
      </c>
      <c r="H969" t="n">
        <v>1</v>
      </c>
      <c r="I969" t="n">
        <v>0</v>
      </c>
      <c r="J969" t="n">
        <v>1</v>
      </c>
      <c r="K969" t="n">
        <v>0</v>
      </c>
      <c r="L969" t="n">
        <v>0</v>
      </c>
      <c r="M969" t="n">
        <v>0</v>
      </c>
      <c r="N969" t="n">
        <v>0</v>
      </c>
      <c r="O969" t="n">
        <v>1</v>
      </c>
      <c r="P969" t="n">
        <v>0</v>
      </c>
      <c r="Q969" t="n">
        <v>1</v>
      </c>
      <c r="R969" s="2" t="inlineStr">
        <is>
          <t>Duvhök</t>
        </is>
      </c>
      <c r="S969">
        <f>HYPERLINK("https://klasma.github.io/Logging_2281/artfynd/A 233-2024 artfynd.xlsx", "A 233-2024")</f>
        <v/>
      </c>
      <c r="T969">
        <f>HYPERLINK("https://klasma.github.io/Logging_2281/kartor/A 233-2024 karta.png", "A 233-2024")</f>
        <v/>
      </c>
      <c r="V969">
        <f>HYPERLINK("https://klasma.github.io/Logging_2281/klagomål/A 233-2024 FSC-klagomål.docx", "A 233-2024")</f>
        <v/>
      </c>
      <c r="W969">
        <f>HYPERLINK("https://klasma.github.io/Logging_2281/klagomålsmail/A 233-2024 FSC-klagomål mail.docx", "A 233-2024")</f>
        <v/>
      </c>
      <c r="X969">
        <f>HYPERLINK("https://klasma.github.io/Logging_2281/tillsyn/A 233-2024 tillsynsbegäran.docx", "A 233-2024")</f>
        <v/>
      </c>
      <c r="Y969">
        <f>HYPERLINK("https://klasma.github.io/Logging_2281/tillsynsmail/A 233-2024 tillsynsbegäran mail.docx", "A 233-2024")</f>
        <v/>
      </c>
      <c r="Z969">
        <f>HYPERLINK("https://klasma.github.io/Logging_2281/fåglar/A 233-2024 prioriterade fågelarter.docx", "A 233-2024")</f>
        <v/>
      </c>
    </row>
    <row r="970" ht="15" customHeight="1">
      <c r="A970" t="inlineStr">
        <is>
          <t>A 51737-2023</t>
        </is>
      </c>
      <c r="B970" s="1" t="n">
        <v>45222</v>
      </c>
      <c r="C970" s="1" t="n">
        <v>46093</v>
      </c>
      <c r="D970" t="inlineStr">
        <is>
          <t>VÄSTERNORRLANDS LÄN</t>
        </is>
      </c>
      <c r="E970" t="inlineStr">
        <is>
          <t>SUNDSVALL</t>
        </is>
      </c>
      <c r="G970" t="n">
        <v>10.9</v>
      </c>
      <c r="H970" t="n">
        <v>0</v>
      </c>
      <c r="I970" t="n">
        <v>0</v>
      </c>
      <c r="J970" t="n">
        <v>1</v>
      </c>
      <c r="K970" t="n">
        <v>0</v>
      </c>
      <c r="L970" t="n">
        <v>0</v>
      </c>
      <c r="M970" t="n">
        <v>0</v>
      </c>
      <c r="N970" t="n">
        <v>0</v>
      </c>
      <c r="O970" t="n">
        <v>1</v>
      </c>
      <c r="P970" t="n">
        <v>0</v>
      </c>
      <c r="Q970" t="n">
        <v>1</v>
      </c>
      <c r="R970" s="2" t="inlineStr">
        <is>
          <t>Garnlav</t>
        </is>
      </c>
      <c r="S970">
        <f>HYPERLINK("https://klasma.github.io/Logging_2281/artfynd/A 51737-2023 artfynd.xlsx", "A 51737-2023")</f>
        <v/>
      </c>
      <c r="T970">
        <f>HYPERLINK("https://klasma.github.io/Logging_2281/kartor/A 51737-2023 karta.png", "A 51737-2023")</f>
        <v/>
      </c>
      <c r="V970">
        <f>HYPERLINK("https://klasma.github.io/Logging_2281/klagomål/A 51737-2023 FSC-klagomål.docx", "A 51737-2023")</f>
        <v/>
      </c>
      <c r="W970">
        <f>HYPERLINK("https://klasma.github.io/Logging_2281/klagomålsmail/A 51737-2023 FSC-klagomål mail.docx", "A 51737-2023")</f>
        <v/>
      </c>
      <c r="X970">
        <f>HYPERLINK("https://klasma.github.io/Logging_2281/tillsyn/A 51737-2023 tillsynsbegäran.docx", "A 51737-2023")</f>
        <v/>
      </c>
      <c r="Y970">
        <f>HYPERLINK("https://klasma.github.io/Logging_2281/tillsynsmail/A 51737-2023 tillsynsbegäran mail.docx", "A 51737-2023")</f>
        <v/>
      </c>
    </row>
    <row r="971" ht="15" customHeight="1">
      <c r="A971" t="inlineStr">
        <is>
          <t>A 19437-2021</t>
        </is>
      </c>
      <c r="B971" s="1" t="n">
        <v>44310</v>
      </c>
      <c r="C971" s="1" t="n">
        <v>46093</v>
      </c>
      <c r="D971" t="inlineStr">
        <is>
          <t>VÄSTERNORRLANDS LÄN</t>
        </is>
      </c>
      <c r="E971" t="inlineStr">
        <is>
          <t>KRAMFORS</t>
        </is>
      </c>
      <c r="G971" t="n">
        <v>6.7</v>
      </c>
      <c r="H971" t="n">
        <v>1</v>
      </c>
      <c r="I971" t="n">
        <v>0</v>
      </c>
      <c r="J971" t="n">
        <v>0</v>
      </c>
      <c r="K971" t="n">
        <v>0</v>
      </c>
      <c r="L971" t="n">
        <v>0</v>
      </c>
      <c r="M971" t="n">
        <v>0</v>
      </c>
      <c r="N971" t="n">
        <v>0</v>
      </c>
      <c r="O971" t="n">
        <v>0</v>
      </c>
      <c r="P971" t="n">
        <v>0</v>
      </c>
      <c r="Q971" t="n">
        <v>1</v>
      </c>
      <c r="R971" s="2" t="inlineStr">
        <is>
          <t>Tjäder</t>
        </is>
      </c>
      <c r="S971">
        <f>HYPERLINK("https://klasma.github.io/Logging_2282/artfynd/A 19437-2021 artfynd.xlsx", "A 19437-2021")</f>
        <v/>
      </c>
      <c r="T971">
        <f>HYPERLINK("https://klasma.github.io/Logging_2282/kartor/A 19437-2021 karta.png", "A 19437-2021")</f>
        <v/>
      </c>
      <c r="V971">
        <f>HYPERLINK("https://klasma.github.io/Logging_2282/klagomål/A 19437-2021 FSC-klagomål.docx", "A 19437-2021")</f>
        <v/>
      </c>
      <c r="W971">
        <f>HYPERLINK("https://klasma.github.io/Logging_2282/klagomålsmail/A 19437-2021 FSC-klagomål mail.docx", "A 19437-2021")</f>
        <v/>
      </c>
      <c r="X971">
        <f>HYPERLINK("https://klasma.github.io/Logging_2282/tillsyn/A 19437-2021 tillsynsbegäran.docx", "A 19437-2021")</f>
        <v/>
      </c>
      <c r="Y971">
        <f>HYPERLINK("https://klasma.github.io/Logging_2282/tillsynsmail/A 19437-2021 tillsynsbegäran mail.docx", "A 19437-2021")</f>
        <v/>
      </c>
      <c r="Z971">
        <f>HYPERLINK("https://klasma.github.io/Logging_2282/fåglar/A 19437-2021 prioriterade fågelarter.docx", "A 19437-2021")</f>
        <v/>
      </c>
    </row>
    <row r="972" ht="15" customHeight="1">
      <c r="A972" t="inlineStr">
        <is>
          <t>A 70901-2021</t>
        </is>
      </c>
      <c r="B972" s="1" t="n">
        <v>44538</v>
      </c>
      <c r="C972" s="1" t="n">
        <v>46093</v>
      </c>
      <c r="D972" t="inlineStr">
        <is>
          <t>VÄSTERNORRLANDS LÄN</t>
        </is>
      </c>
      <c r="E972" t="inlineStr">
        <is>
          <t>SUNDSVALL</t>
        </is>
      </c>
      <c r="F972" t="inlineStr">
        <is>
          <t>Kommuner</t>
        </is>
      </c>
      <c r="G972" t="n">
        <v>2.4</v>
      </c>
      <c r="H972" t="n">
        <v>0</v>
      </c>
      <c r="I972" t="n">
        <v>0</v>
      </c>
      <c r="J972" t="n">
        <v>1</v>
      </c>
      <c r="K972" t="n">
        <v>0</v>
      </c>
      <c r="L972" t="n">
        <v>0</v>
      </c>
      <c r="M972" t="n">
        <v>0</v>
      </c>
      <c r="N972" t="n">
        <v>0</v>
      </c>
      <c r="O972" t="n">
        <v>1</v>
      </c>
      <c r="P972" t="n">
        <v>0</v>
      </c>
      <c r="Q972" t="n">
        <v>1</v>
      </c>
      <c r="R972" s="2" t="inlineStr">
        <is>
          <t>Dvärgmalmätare</t>
        </is>
      </c>
      <c r="S972">
        <f>HYPERLINK("https://klasma.github.io/Logging_2281/artfynd/A 70901-2021 artfynd.xlsx", "A 70901-2021")</f>
        <v/>
      </c>
      <c r="T972">
        <f>HYPERLINK("https://klasma.github.io/Logging_2281/kartor/A 70901-2021 karta.png", "A 70901-2021")</f>
        <v/>
      </c>
      <c r="V972">
        <f>HYPERLINK("https://klasma.github.io/Logging_2281/klagomål/A 70901-2021 FSC-klagomål.docx", "A 70901-2021")</f>
        <v/>
      </c>
      <c r="W972">
        <f>HYPERLINK("https://klasma.github.io/Logging_2281/klagomålsmail/A 70901-2021 FSC-klagomål mail.docx", "A 70901-2021")</f>
        <v/>
      </c>
      <c r="X972">
        <f>HYPERLINK("https://klasma.github.io/Logging_2281/tillsyn/A 70901-2021 tillsynsbegäran.docx", "A 70901-2021")</f>
        <v/>
      </c>
      <c r="Y972">
        <f>HYPERLINK("https://klasma.github.io/Logging_2281/tillsynsmail/A 70901-2021 tillsynsbegäran mail.docx", "A 70901-2021")</f>
        <v/>
      </c>
    </row>
    <row r="973" ht="15" customHeight="1">
      <c r="A973" t="inlineStr">
        <is>
          <t>A 33504-2022</t>
        </is>
      </c>
      <c r="B973" s="1" t="n">
        <v>44788</v>
      </c>
      <c r="C973" s="1" t="n">
        <v>46093</v>
      </c>
      <c r="D973" t="inlineStr">
        <is>
          <t>VÄSTERNORRLANDS LÄN</t>
        </is>
      </c>
      <c r="E973" t="inlineStr">
        <is>
          <t>SOLLEFTEÅ</t>
        </is>
      </c>
      <c r="F973" t="inlineStr">
        <is>
          <t>SCA</t>
        </is>
      </c>
      <c r="G973" t="n">
        <v>5.2</v>
      </c>
      <c r="H973" t="n">
        <v>1</v>
      </c>
      <c r="I973" t="n">
        <v>0</v>
      </c>
      <c r="J973" t="n">
        <v>0</v>
      </c>
      <c r="K973" t="n">
        <v>1</v>
      </c>
      <c r="L973" t="n">
        <v>0</v>
      </c>
      <c r="M973" t="n">
        <v>0</v>
      </c>
      <c r="N973" t="n">
        <v>0</v>
      </c>
      <c r="O973" t="n">
        <v>1</v>
      </c>
      <c r="P973" t="n">
        <v>1</v>
      </c>
      <c r="Q973" t="n">
        <v>1</v>
      </c>
      <c r="R973" s="2" t="inlineStr">
        <is>
          <t>Knärot</t>
        </is>
      </c>
      <c r="S973">
        <f>HYPERLINK("https://klasma.github.io/Logging_2283/artfynd/A 33504-2022 artfynd.xlsx", "A 33504-2022")</f>
        <v/>
      </c>
      <c r="T973">
        <f>HYPERLINK("https://klasma.github.io/Logging_2283/kartor/A 33504-2022 karta.png", "A 33504-2022")</f>
        <v/>
      </c>
      <c r="U973">
        <f>HYPERLINK("https://klasma.github.io/Logging_2283/knärot/A 33504-2022 karta knärot.png", "A 33504-2022")</f>
        <v/>
      </c>
      <c r="V973">
        <f>HYPERLINK("https://klasma.github.io/Logging_2283/klagomål/A 33504-2022 FSC-klagomål.docx", "A 33504-2022")</f>
        <v/>
      </c>
      <c r="W973">
        <f>HYPERLINK("https://klasma.github.io/Logging_2283/klagomålsmail/A 33504-2022 FSC-klagomål mail.docx", "A 33504-2022")</f>
        <v/>
      </c>
      <c r="X973">
        <f>HYPERLINK("https://klasma.github.io/Logging_2283/tillsyn/A 33504-2022 tillsynsbegäran.docx", "A 33504-2022")</f>
        <v/>
      </c>
      <c r="Y973">
        <f>HYPERLINK("https://klasma.github.io/Logging_2283/tillsynsmail/A 33504-2022 tillsynsbegäran mail.docx", "A 33504-2022")</f>
        <v/>
      </c>
    </row>
    <row r="974" ht="15" customHeight="1">
      <c r="A974" t="inlineStr">
        <is>
          <t>A 53059-2023</t>
        </is>
      </c>
      <c r="B974" s="1" t="n">
        <v>45226</v>
      </c>
      <c r="C974" s="1" t="n">
        <v>46093</v>
      </c>
      <c r="D974" t="inlineStr">
        <is>
          <t>VÄSTERNORRLANDS LÄN</t>
        </is>
      </c>
      <c r="E974" t="inlineStr">
        <is>
          <t>SOLLEFTEÅ</t>
        </is>
      </c>
      <c r="F974" t="inlineStr">
        <is>
          <t>SCA</t>
        </is>
      </c>
      <c r="G974" t="n">
        <v>1.3</v>
      </c>
      <c r="H974" t="n">
        <v>1</v>
      </c>
      <c r="I974" t="n">
        <v>0</v>
      </c>
      <c r="J974" t="n">
        <v>0</v>
      </c>
      <c r="K974" t="n">
        <v>1</v>
      </c>
      <c r="L974" t="n">
        <v>0</v>
      </c>
      <c r="M974" t="n">
        <v>0</v>
      </c>
      <c r="N974" t="n">
        <v>0</v>
      </c>
      <c r="O974" t="n">
        <v>1</v>
      </c>
      <c r="P974" t="n">
        <v>1</v>
      </c>
      <c r="Q974" t="n">
        <v>1</v>
      </c>
      <c r="R974" s="2" t="inlineStr">
        <is>
          <t>Knärot</t>
        </is>
      </c>
      <c r="S974">
        <f>HYPERLINK("https://klasma.github.io/Logging_2283/artfynd/A 53059-2023 artfynd.xlsx", "A 53059-2023")</f>
        <v/>
      </c>
      <c r="T974">
        <f>HYPERLINK("https://klasma.github.io/Logging_2283/kartor/A 53059-2023 karta.png", "A 53059-2023")</f>
        <v/>
      </c>
      <c r="U974">
        <f>HYPERLINK("https://klasma.github.io/Logging_2283/knärot/A 53059-2023 karta knärot.png", "A 53059-2023")</f>
        <v/>
      </c>
      <c r="V974">
        <f>HYPERLINK("https://klasma.github.io/Logging_2283/klagomål/A 53059-2023 FSC-klagomål.docx", "A 53059-2023")</f>
        <v/>
      </c>
      <c r="W974">
        <f>HYPERLINK("https://klasma.github.io/Logging_2283/klagomålsmail/A 53059-2023 FSC-klagomål mail.docx", "A 53059-2023")</f>
        <v/>
      </c>
      <c r="X974">
        <f>HYPERLINK("https://klasma.github.io/Logging_2283/tillsyn/A 53059-2023 tillsynsbegäran.docx", "A 53059-2023")</f>
        <v/>
      </c>
      <c r="Y974">
        <f>HYPERLINK("https://klasma.github.io/Logging_2283/tillsynsmail/A 53059-2023 tillsynsbegäran mail.docx", "A 53059-2023")</f>
        <v/>
      </c>
    </row>
    <row r="975" ht="15" customHeight="1">
      <c r="A975" t="inlineStr">
        <is>
          <t>A 20075-2025</t>
        </is>
      </c>
      <c r="B975" s="1" t="n">
        <v>45772.44855324074</v>
      </c>
      <c r="C975" s="1" t="n">
        <v>46093</v>
      </c>
      <c r="D975" t="inlineStr">
        <is>
          <t>VÄSTERNORRLANDS LÄN</t>
        </is>
      </c>
      <c r="E975" t="inlineStr">
        <is>
          <t>SUNDSVALL</t>
        </is>
      </c>
      <c r="F975" t="inlineStr">
        <is>
          <t>Naturvårdsverket</t>
        </is>
      </c>
      <c r="G975" t="n">
        <v>8.9</v>
      </c>
      <c r="H975" t="n">
        <v>0</v>
      </c>
      <c r="I975" t="n">
        <v>0</v>
      </c>
      <c r="J975" t="n">
        <v>1</v>
      </c>
      <c r="K975" t="n">
        <v>0</v>
      </c>
      <c r="L975" t="n">
        <v>0</v>
      </c>
      <c r="M975" t="n">
        <v>0</v>
      </c>
      <c r="N975" t="n">
        <v>0</v>
      </c>
      <c r="O975" t="n">
        <v>1</v>
      </c>
      <c r="P975" t="n">
        <v>0</v>
      </c>
      <c r="Q975" t="n">
        <v>1</v>
      </c>
      <c r="R975" s="2" t="inlineStr">
        <is>
          <t>Lunglav</t>
        </is>
      </c>
      <c r="S975">
        <f>HYPERLINK("https://klasma.github.io/Logging_2281/artfynd/A 20075-2025 artfynd.xlsx", "A 20075-2025")</f>
        <v/>
      </c>
      <c r="T975">
        <f>HYPERLINK("https://klasma.github.io/Logging_2281/kartor/A 20075-2025 karta.png", "A 20075-2025")</f>
        <v/>
      </c>
      <c r="V975">
        <f>HYPERLINK("https://klasma.github.io/Logging_2281/klagomål/A 20075-2025 FSC-klagomål.docx", "A 20075-2025")</f>
        <v/>
      </c>
      <c r="W975">
        <f>HYPERLINK("https://klasma.github.io/Logging_2281/klagomålsmail/A 20075-2025 FSC-klagomål mail.docx", "A 20075-2025")</f>
        <v/>
      </c>
      <c r="X975">
        <f>HYPERLINK("https://klasma.github.io/Logging_2281/tillsyn/A 20075-2025 tillsynsbegäran.docx", "A 20075-2025")</f>
        <v/>
      </c>
      <c r="Y975">
        <f>HYPERLINK("https://klasma.github.io/Logging_2281/tillsynsmail/A 20075-2025 tillsynsbegäran mail.docx", "A 20075-2025")</f>
        <v/>
      </c>
    </row>
    <row r="976" ht="15" customHeight="1">
      <c r="A976" t="inlineStr">
        <is>
          <t>A 45551-2021</t>
        </is>
      </c>
      <c r="B976" s="1" t="n">
        <v>44440</v>
      </c>
      <c r="C976" s="1" t="n">
        <v>46093</v>
      </c>
      <c r="D976" t="inlineStr">
        <is>
          <t>VÄSTERNORRLANDS LÄN</t>
        </is>
      </c>
      <c r="E976" t="inlineStr">
        <is>
          <t>ÖRNSKÖLDSVIK</t>
        </is>
      </c>
      <c r="F976" t="inlineStr">
        <is>
          <t>Holmen skog AB</t>
        </is>
      </c>
      <c r="G976" t="n">
        <v>8.9</v>
      </c>
      <c r="H976" t="n">
        <v>0</v>
      </c>
      <c r="I976" t="n">
        <v>0</v>
      </c>
      <c r="J976" t="n">
        <v>1</v>
      </c>
      <c r="K976" t="n">
        <v>0</v>
      </c>
      <c r="L976" t="n">
        <v>0</v>
      </c>
      <c r="M976" t="n">
        <v>0</v>
      </c>
      <c r="N976" t="n">
        <v>0</v>
      </c>
      <c r="O976" t="n">
        <v>1</v>
      </c>
      <c r="P976" t="n">
        <v>0</v>
      </c>
      <c r="Q976" t="n">
        <v>1</v>
      </c>
      <c r="R976" s="2" t="inlineStr">
        <is>
          <t>Kolflarnlav</t>
        </is>
      </c>
      <c r="S976">
        <f>HYPERLINK("https://klasma.github.io/Logging_2284/artfynd/A 45551-2021 artfynd.xlsx", "A 45551-2021")</f>
        <v/>
      </c>
      <c r="T976">
        <f>HYPERLINK("https://klasma.github.io/Logging_2284/kartor/A 45551-2021 karta.png", "A 45551-2021")</f>
        <v/>
      </c>
      <c r="V976">
        <f>HYPERLINK("https://klasma.github.io/Logging_2284/klagomål/A 45551-2021 FSC-klagomål.docx", "A 45551-2021")</f>
        <v/>
      </c>
      <c r="W976">
        <f>HYPERLINK("https://klasma.github.io/Logging_2284/klagomålsmail/A 45551-2021 FSC-klagomål mail.docx", "A 45551-2021")</f>
        <v/>
      </c>
      <c r="X976">
        <f>HYPERLINK("https://klasma.github.io/Logging_2284/tillsyn/A 45551-2021 tillsynsbegäran.docx", "A 45551-2021")</f>
        <v/>
      </c>
      <c r="Y976">
        <f>HYPERLINK("https://klasma.github.io/Logging_2284/tillsynsmail/A 45551-2021 tillsynsbegäran mail.docx", "A 45551-2021")</f>
        <v/>
      </c>
    </row>
    <row r="977" ht="15" customHeight="1">
      <c r="A977" t="inlineStr">
        <is>
          <t>A 22382-2022</t>
        </is>
      </c>
      <c r="B977" s="1" t="n">
        <v>44713</v>
      </c>
      <c r="C977" s="1" t="n">
        <v>46093</v>
      </c>
      <c r="D977" t="inlineStr">
        <is>
          <t>VÄSTERNORRLANDS LÄN</t>
        </is>
      </c>
      <c r="E977" t="inlineStr">
        <is>
          <t>KRAMFORS</t>
        </is>
      </c>
      <c r="G977" t="n">
        <v>1.5</v>
      </c>
      <c r="H977" t="n">
        <v>1</v>
      </c>
      <c r="I977" t="n">
        <v>0</v>
      </c>
      <c r="J977" t="n">
        <v>1</v>
      </c>
      <c r="K977" t="n">
        <v>0</v>
      </c>
      <c r="L977" t="n">
        <v>0</v>
      </c>
      <c r="M977" t="n">
        <v>0</v>
      </c>
      <c r="N977" t="n">
        <v>0</v>
      </c>
      <c r="O977" t="n">
        <v>1</v>
      </c>
      <c r="P977" t="n">
        <v>0</v>
      </c>
      <c r="Q977" t="n">
        <v>1</v>
      </c>
      <c r="R977" s="2" t="inlineStr">
        <is>
          <t>Spillkråka</t>
        </is>
      </c>
      <c r="S977">
        <f>HYPERLINK("https://klasma.github.io/Logging_2282/artfynd/A 22382-2022 artfynd.xlsx", "A 22382-2022")</f>
        <v/>
      </c>
      <c r="T977">
        <f>HYPERLINK("https://klasma.github.io/Logging_2282/kartor/A 22382-2022 karta.png", "A 22382-2022")</f>
        <v/>
      </c>
      <c r="V977">
        <f>HYPERLINK("https://klasma.github.io/Logging_2282/klagomål/A 22382-2022 FSC-klagomål.docx", "A 22382-2022")</f>
        <v/>
      </c>
      <c r="W977">
        <f>HYPERLINK("https://klasma.github.io/Logging_2282/klagomålsmail/A 22382-2022 FSC-klagomål mail.docx", "A 22382-2022")</f>
        <v/>
      </c>
      <c r="X977">
        <f>HYPERLINK("https://klasma.github.io/Logging_2282/tillsyn/A 22382-2022 tillsynsbegäran.docx", "A 22382-2022")</f>
        <v/>
      </c>
      <c r="Y977">
        <f>HYPERLINK("https://klasma.github.io/Logging_2282/tillsynsmail/A 22382-2022 tillsynsbegäran mail.docx", "A 22382-2022")</f>
        <v/>
      </c>
      <c r="Z977">
        <f>HYPERLINK("https://klasma.github.io/Logging_2282/fåglar/A 22382-2022 prioriterade fågelarter.docx", "A 22382-2022")</f>
        <v/>
      </c>
    </row>
    <row r="978" ht="15" customHeight="1">
      <c r="A978" t="inlineStr">
        <is>
          <t>A 36209-2022</t>
        </is>
      </c>
      <c r="B978" s="1" t="n">
        <v>44803</v>
      </c>
      <c r="C978" s="1" t="n">
        <v>46093</v>
      </c>
      <c r="D978" t="inlineStr">
        <is>
          <t>VÄSTERNORRLANDS LÄN</t>
        </is>
      </c>
      <c r="E978" t="inlineStr">
        <is>
          <t>KRAMFORS</t>
        </is>
      </c>
      <c r="G978" t="n">
        <v>3.6</v>
      </c>
      <c r="H978" t="n">
        <v>1</v>
      </c>
      <c r="I978" t="n">
        <v>0</v>
      </c>
      <c r="J978" t="n">
        <v>1</v>
      </c>
      <c r="K978" t="n">
        <v>0</v>
      </c>
      <c r="L978" t="n">
        <v>0</v>
      </c>
      <c r="M978" t="n">
        <v>0</v>
      </c>
      <c r="N978" t="n">
        <v>0</v>
      </c>
      <c r="O978" t="n">
        <v>1</v>
      </c>
      <c r="P978" t="n">
        <v>0</v>
      </c>
      <c r="Q978" t="n">
        <v>1</v>
      </c>
      <c r="R978" s="2" t="inlineStr">
        <is>
          <t>Tretåig hackspett</t>
        </is>
      </c>
      <c r="S978">
        <f>HYPERLINK("https://klasma.github.io/Logging_2282/artfynd/A 36209-2022 artfynd.xlsx", "A 36209-2022")</f>
        <v/>
      </c>
      <c r="T978">
        <f>HYPERLINK("https://klasma.github.io/Logging_2282/kartor/A 36209-2022 karta.png", "A 36209-2022")</f>
        <v/>
      </c>
      <c r="V978">
        <f>HYPERLINK("https://klasma.github.io/Logging_2282/klagomål/A 36209-2022 FSC-klagomål.docx", "A 36209-2022")</f>
        <v/>
      </c>
      <c r="W978">
        <f>HYPERLINK("https://klasma.github.io/Logging_2282/klagomålsmail/A 36209-2022 FSC-klagomål mail.docx", "A 36209-2022")</f>
        <v/>
      </c>
      <c r="X978">
        <f>HYPERLINK("https://klasma.github.io/Logging_2282/tillsyn/A 36209-2022 tillsynsbegäran.docx", "A 36209-2022")</f>
        <v/>
      </c>
      <c r="Y978">
        <f>HYPERLINK("https://klasma.github.io/Logging_2282/tillsynsmail/A 36209-2022 tillsynsbegäran mail.docx", "A 36209-2022")</f>
        <v/>
      </c>
      <c r="Z978">
        <f>HYPERLINK("https://klasma.github.io/Logging_2282/fåglar/A 36209-2022 prioriterade fågelarter.docx", "A 36209-2022")</f>
        <v/>
      </c>
    </row>
    <row r="979" ht="15" customHeight="1">
      <c r="A979" t="inlineStr">
        <is>
          <t>A 43171-2024</t>
        </is>
      </c>
      <c r="B979" s="1" t="n">
        <v>45567</v>
      </c>
      <c r="C979" s="1" t="n">
        <v>46093</v>
      </c>
      <c r="D979" t="inlineStr">
        <is>
          <t>VÄSTERNORRLANDS LÄN</t>
        </is>
      </c>
      <c r="E979" t="inlineStr">
        <is>
          <t>ÅNGE</t>
        </is>
      </c>
      <c r="F979" t="inlineStr">
        <is>
          <t>SCA</t>
        </is>
      </c>
      <c r="G979" t="n">
        <v>3.4</v>
      </c>
      <c r="H979" t="n">
        <v>0</v>
      </c>
      <c r="I979" t="n">
        <v>0</v>
      </c>
      <c r="J979" t="n">
        <v>1</v>
      </c>
      <c r="K979" t="n">
        <v>0</v>
      </c>
      <c r="L979" t="n">
        <v>0</v>
      </c>
      <c r="M979" t="n">
        <v>0</v>
      </c>
      <c r="N979" t="n">
        <v>0</v>
      </c>
      <c r="O979" t="n">
        <v>1</v>
      </c>
      <c r="P979" t="n">
        <v>0</v>
      </c>
      <c r="Q979" t="n">
        <v>1</v>
      </c>
      <c r="R979" s="2" t="inlineStr">
        <is>
          <t>Rosenticka</t>
        </is>
      </c>
      <c r="S979">
        <f>HYPERLINK("https://klasma.github.io/Logging_2260/artfynd/A 43171-2024 artfynd.xlsx", "A 43171-2024")</f>
        <v/>
      </c>
      <c r="T979">
        <f>HYPERLINK("https://klasma.github.io/Logging_2260/kartor/A 43171-2024 karta.png", "A 43171-2024")</f>
        <v/>
      </c>
      <c r="V979">
        <f>HYPERLINK("https://klasma.github.io/Logging_2260/klagomål/A 43171-2024 FSC-klagomål.docx", "A 43171-2024")</f>
        <v/>
      </c>
      <c r="W979">
        <f>HYPERLINK("https://klasma.github.io/Logging_2260/klagomålsmail/A 43171-2024 FSC-klagomål mail.docx", "A 43171-2024")</f>
        <v/>
      </c>
      <c r="X979">
        <f>HYPERLINK("https://klasma.github.io/Logging_2260/tillsyn/A 43171-2024 tillsynsbegäran.docx", "A 43171-2024")</f>
        <v/>
      </c>
      <c r="Y979">
        <f>HYPERLINK("https://klasma.github.io/Logging_2260/tillsynsmail/A 43171-2024 tillsynsbegäran mail.docx", "A 43171-2024")</f>
        <v/>
      </c>
    </row>
    <row r="980" ht="15" customHeight="1">
      <c r="A980" t="inlineStr">
        <is>
          <t>A 51343-2024</t>
        </is>
      </c>
      <c r="B980" s="1" t="n">
        <v>45604.35097222222</v>
      </c>
      <c r="C980" s="1" t="n">
        <v>46093</v>
      </c>
      <c r="D980" t="inlineStr">
        <is>
          <t>VÄSTERNORRLANDS LÄN</t>
        </is>
      </c>
      <c r="E980" t="inlineStr">
        <is>
          <t>ÖRNSKÖLDSVIK</t>
        </is>
      </c>
      <c r="G980" t="n">
        <v>0.8</v>
      </c>
      <c r="H980" t="n">
        <v>1</v>
      </c>
      <c r="I980" t="n">
        <v>0</v>
      </c>
      <c r="J980" t="n">
        <v>0</v>
      </c>
      <c r="K980" t="n">
        <v>0</v>
      </c>
      <c r="L980" t="n">
        <v>0</v>
      </c>
      <c r="M980" t="n">
        <v>0</v>
      </c>
      <c r="N980" t="n">
        <v>0</v>
      </c>
      <c r="O980" t="n">
        <v>0</v>
      </c>
      <c r="P980" t="n">
        <v>0</v>
      </c>
      <c r="Q980" t="n">
        <v>1</v>
      </c>
      <c r="R980" s="2" t="inlineStr">
        <is>
          <t>Revlummer</t>
        </is>
      </c>
      <c r="S980">
        <f>HYPERLINK("https://klasma.github.io/Logging_2284/artfynd/A 51343-2024 artfynd.xlsx", "A 51343-2024")</f>
        <v/>
      </c>
      <c r="T980">
        <f>HYPERLINK("https://klasma.github.io/Logging_2284/kartor/A 51343-2024 karta.png", "A 51343-2024")</f>
        <v/>
      </c>
      <c r="V980">
        <f>HYPERLINK("https://klasma.github.io/Logging_2284/klagomål/A 51343-2024 FSC-klagomål.docx", "A 51343-2024")</f>
        <v/>
      </c>
      <c r="W980">
        <f>HYPERLINK("https://klasma.github.io/Logging_2284/klagomålsmail/A 51343-2024 FSC-klagomål mail.docx", "A 51343-2024")</f>
        <v/>
      </c>
      <c r="X980">
        <f>HYPERLINK("https://klasma.github.io/Logging_2284/tillsyn/A 51343-2024 tillsynsbegäran.docx", "A 51343-2024")</f>
        <v/>
      </c>
      <c r="Y980">
        <f>HYPERLINK("https://klasma.github.io/Logging_2284/tillsynsmail/A 51343-2024 tillsynsbegäran mail.docx", "A 51343-2024")</f>
        <v/>
      </c>
    </row>
    <row r="981" ht="15" customHeight="1">
      <c r="A981" t="inlineStr">
        <is>
          <t>A 62080-2022</t>
        </is>
      </c>
      <c r="B981" s="1" t="n">
        <v>44918.93556712963</v>
      </c>
      <c r="C981" s="1" t="n">
        <v>46093</v>
      </c>
      <c r="D981" t="inlineStr">
        <is>
          <t>VÄSTERNORRLANDS LÄN</t>
        </is>
      </c>
      <c r="E981" t="inlineStr">
        <is>
          <t>ÖRNSKÖLDSVIK</t>
        </is>
      </c>
      <c r="F981" t="inlineStr">
        <is>
          <t>SCA</t>
        </is>
      </c>
      <c r="G981" t="n">
        <v>4.8</v>
      </c>
      <c r="H981" t="n">
        <v>1</v>
      </c>
      <c r="I981" t="n">
        <v>0</v>
      </c>
      <c r="J981" t="n">
        <v>1</v>
      </c>
      <c r="K981" t="n">
        <v>0</v>
      </c>
      <c r="L981" t="n">
        <v>0</v>
      </c>
      <c r="M981" t="n">
        <v>0</v>
      </c>
      <c r="N981" t="n">
        <v>0</v>
      </c>
      <c r="O981" t="n">
        <v>1</v>
      </c>
      <c r="P981" t="n">
        <v>0</v>
      </c>
      <c r="Q981" t="n">
        <v>1</v>
      </c>
      <c r="R981" s="2" t="inlineStr">
        <is>
          <t>Tretåig hackspett</t>
        </is>
      </c>
      <c r="S981">
        <f>HYPERLINK("https://klasma.github.io/Logging_2284/artfynd/A 62080-2022 artfynd.xlsx", "A 62080-2022")</f>
        <v/>
      </c>
      <c r="T981">
        <f>HYPERLINK("https://klasma.github.io/Logging_2284/kartor/A 62080-2022 karta.png", "A 62080-2022")</f>
        <v/>
      </c>
      <c r="V981">
        <f>HYPERLINK("https://klasma.github.io/Logging_2284/klagomål/A 62080-2022 FSC-klagomål.docx", "A 62080-2022")</f>
        <v/>
      </c>
      <c r="W981">
        <f>HYPERLINK("https://klasma.github.io/Logging_2284/klagomålsmail/A 62080-2022 FSC-klagomål mail.docx", "A 62080-2022")</f>
        <v/>
      </c>
      <c r="X981">
        <f>HYPERLINK("https://klasma.github.io/Logging_2284/tillsyn/A 62080-2022 tillsynsbegäran.docx", "A 62080-2022")</f>
        <v/>
      </c>
      <c r="Y981">
        <f>HYPERLINK("https://klasma.github.io/Logging_2284/tillsynsmail/A 62080-2022 tillsynsbegäran mail.docx", "A 62080-2022")</f>
        <v/>
      </c>
      <c r="Z981">
        <f>HYPERLINK("https://klasma.github.io/Logging_2284/fåglar/A 62080-2022 prioriterade fågelarter.docx", "A 62080-2022")</f>
        <v/>
      </c>
    </row>
    <row r="982" ht="15" customHeight="1">
      <c r="A982" t="inlineStr">
        <is>
          <t>A 71366-2021</t>
        </is>
      </c>
      <c r="B982" s="1" t="n">
        <v>44539</v>
      </c>
      <c r="C982" s="1" t="n">
        <v>46093</v>
      </c>
      <c r="D982" t="inlineStr">
        <is>
          <t>VÄSTERNORRLANDS LÄN</t>
        </is>
      </c>
      <c r="E982" t="inlineStr">
        <is>
          <t>ÅNGE</t>
        </is>
      </c>
      <c r="F982" t="inlineStr">
        <is>
          <t>SCA</t>
        </is>
      </c>
      <c r="G982" t="n">
        <v>2.3</v>
      </c>
      <c r="H982" t="n">
        <v>1</v>
      </c>
      <c r="I982" t="n">
        <v>0</v>
      </c>
      <c r="J982" t="n">
        <v>0</v>
      </c>
      <c r="K982" t="n">
        <v>1</v>
      </c>
      <c r="L982" t="n">
        <v>0</v>
      </c>
      <c r="M982" t="n">
        <v>0</v>
      </c>
      <c r="N982" t="n">
        <v>0</v>
      </c>
      <c r="O982" t="n">
        <v>1</v>
      </c>
      <c r="P982" t="n">
        <v>1</v>
      </c>
      <c r="Q982" t="n">
        <v>1</v>
      </c>
      <c r="R982" s="2" t="inlineStr">
        <is>
          <t>Knärot</t>
        </is>
      </c>
      <c r="S982">
        <f>HYPERLINK("https://klasma.github.io/Logging_2260/artfynd/A 71366-2021 artfynd.xlsx", "A 71366-2021")</f>
        <v/>
      </c>
      <c r="T982">
        <f>HYPERLINK("https://klasma.github.io/Logging_2260/kartor/A 71366-2021 karta.png", "A 71366-2021")</f>
        <v/>
      </c>
      <c r="U982">
        <f>HYPERLINK("https://klasma.github.io/Logging_2260/knärot/A 71366-2021 karta knärot.png", "A 71366-2021")</f>
        <v/>
      </c>
      <c r="V982">
        <f>HYPERLINK("https://klasma.github.io/Logging_2260/klagomål/A 71366-2021 FSC-klagomål.docx", "A 71366-2021")</f>
        <v/>
      </c>
      <c r="W982">
        <f>HYPERLINK("https://klasma.github.io/Logging_2260/klagomålsmail/A 71366-2021 FSC-klagomål mail.docx", "A 71366-2021")</f>
        <v/>
      </c>
      <c r="X982">
        <f>HYPERLINK("https://klasma.github.io/Logging_2260/tillsyn/A 71366-2021 tillsynsbegäran.docx", "A 71366-2021")</f>
        <v/>
      </c>
      <c r="Y982">
        <f>HYPERLINK("https://klasma.github.io/Logging_2260/tillsynsmail/A 71366-2021 tillsynsbegäran mail.docx", "A 71366-2021")</f>
        <v/>
      </c>
    </row>
    <row r="983" ht="15" customHeight="1">
      <c r="A983" t="inlineStr">
        <is>
          <t>A 20741-2021</t>
        </is>
      </c>
      <c r="B983" s="1" t="n">
        <v>44316</v>
      </c>
      <c r="C983" s="1" t="n">
        <v>46093</v>
      </c>
      <c r="D983" t="inlineStr">
        <is>
          <t>VÄSTERNORRLANDS LÄN</t>
        </is>
      </c>
      <c r="E983" t="inlineStr">
        <is>
          <t>KRAMFORS</t>
        </is>
      </c>
      <c r="G983" t="n">
        <v>4.9</v>
      </c>
      <c r="H983" t="n">
        <v>0</v>
      </c>
      <c r="I983" t="n">
        <v>1</v>
      </c>
      <c r="J983" t="n">
        <v>0</v>
      </c>
      <c r="K983" t="n">
        <v>0</v>
      </c>
      <c r="L983" t="n">
        <v>0</v>
      </c>
      <c r="M983" t="n">
        <v>0</v>
      </c>
      <c r="N983" t="n">
        <v>0</v>
      </c>
      <c r="O983" t="n">
        <v>0</v>
      </c>
      <c r="P983" t="n">
        <v>0</v>
      </c>
      <c r="Q983" t="n">
        <v>1</v>
      </c>
      <c r="R983" s="2" t="inlineStr">
        <is>
          <t>Vedticka</t>
        </is>
      </c>
      <c r="S983">
        <f>HYPERLINK("https://klasma.github.io/Logging_2282/artfynd/A 20741-2021 artfynd.xlsx", "A 20741-2021")</f>
        <v/>
      </c>
      <c r="T983">
        <f>HYPERLINK("https://klasma.github.io/Logging_2282/kartor/A 20741-2021 karta.png", "A 20741-2021")</f>
        <v/>
      </c>
      <c r="V983">
        <f>HYPERLINK("https://klasma.github.io/Logging_2282/klagomål/A 20741-2021 FSC-klagomål.docx", "A 20741-2021")</f>
        <v/>
      </c>
      <c r="W983">
        <f>HYPERLINK("https://klasma.github.io/Logging_2282/klagomålsmail/A 20741-2021 FSC-klagomål mail.docx", "A 20741-2021")</f>
        <v/>
      </c>
      <c r="X983">
        <f>HYPERLINK("https://klasma.github.io/Logging_2282/tillsyn/A 20741-2021 tillsynsbegäran.docx", "A 20741-2021")</f>
        <v/>
      </c>
      <c r="Y983">
        <f>HYPERLINK("https://klasma.github.io/Logging_2282/tillsynsmail/A 20741-2021 tillsynsbegäran mail.docx", "A 20741-2021")</f>
        <v/>
      </c>
    </row>
    <row r="984" ht="15" customHeight="1">
      <c r="A984" t="inlineStr">
        <is>
          <t>A 46260-2023</t>
        </is>
      </c>
      <c r="B984" s="1" t="n">
        <v>45196</v>
      </c>
      <c r="C984" s="1" t="n">
        <v>46093</v>
      </c>
      <c r="D984" t="inlineStr">
        <is>
          <t>VÄSTERNORRLANDS LÄN</t>
        </is>
      </c>
      <c r="E984" t="inlineStr">
        <is>
          <t>SUNDSVALL</t>
        </is>
      </c>
      <c r="F984" t="inlineStr">
        <is>
          <t>SCA</t>
        </is>
      </c>
      <c r="G984" t="n">
        <v>3</v>
      </c>
      <c r="H984" t="n">
        <v>1</v>
      </c>
      <c r="I984" t="n">
        <v>0</v>
      </c>
      <c r="J984" t="n">
        <v>1</v>
      </c>
      <c r="K984" t="n">
        <v>0</v>
      </c>
      <c r="L984" t="n">
        <v>0</v>
      </c>
      <c r="M984" t="n">
        <v>0</v>
      </c>
      <c r="N984" t="n">
        <v>0</v>
      </c>
      <c r="O984" t="n">
        <v>1</v>
      </c>
      <c r="P984" t="n">
        <v>0</v>
      </c>
      <c r="Q984" t="n">
        <v>1</v>
      </c>
      <c r="R984" s="2" t="inlineStr">
        <is>
          <t>Spillkråka</t>
        </is>
      </c>
      <c r="S984">
        <f>HYPERLINK("https://klasma.github.io/Logging_2281/artfynd/A 46260-2023 artfynd.xlsx", "A 46260-2023")</f>
        <v/>
      </c>
      <c r="T984">
        <f>HYPERLINK("https://klasma.github.io/Logging_2281/kartor/A 46260-2023 karta.png", "A 46260-2023")</f>
        <v/>
      </c>
      <c r="V984">
        <f>HYPERLINK("https://klasma.github.io/Logging_2281/klagomål/A 46260-2023 FSC-klagomål.docx", "A 46260-2023")</f>
        <v/>
      </c>
      <c r="W984">
        <f>HYPERLINK("https://klasma.github.io/Logging_2281/klagomålsmail/A 46260-2023 FSC-klagomål mail.docx", "A 46260-2023")</f>
        <v/>
      </c>
      <c r="X984">
        <f>HYPERLINK("https://klasma.github.io/Logging_2281/tillsyn/A 46260-2023 tillsynsbegäran.docx", "A 46260-2023")</f>
        <v/>
      </c>
      <c r="Y984">
        <f>HYPERLINK("https://klasma.github.io/Logging_2281/tillsynsmail/A 46260-2023 tillsynsbegäran mail.docx", "A 46260-2023")</f>
        <v/>
      </c>
      <c r="Z984">
        <f>HYPERLINK("https://klasma.github.io/Logging_2281/fåglar/A 46260-2023 prioriterade fågelarter.docx", "A 46260-2023")</f>
        <v/>
      </c>
    </row>
    <row r="985" ht="15" customHeight="1">
      <c r="A985" t="inlineStr">
        <is>
          <t>A 49850-2022</t>
        </is>
      </c>
      <c r="B985" s="1" t="n">
        <v>44862</v>
      </c>
      <c r="C985" s="1" t="n">
        <v>46093</v>
      </c>
      <c r="D985" t="inlineStr">
        <is>
          <t>VÄSTERNORRLANDS LÄN</t>
        </is>
      </c>
      <c r="E985" t="inlineStr">
        <is>
          <t>SUNDSVALL</t>
        </is>
      </c>
      <c r="F985" t="inlineStr">
        <is>
          <t>SCA</t>
        </is>
      </c>
      <c r="G985" t="n">
        <v>5.5</v>
      </c>
      <c r="H985" t="n">
        <v>0</v>
      </c>
      <c r="I985" t="n">
        <v>0</v>
      </c>
      <c r="J985" t="n">
        <v>0</v>
      </c>
      <c r="K985" t="n">
        <v>1</v>
      </c>
      <c r="L985" t="n">
        <v>0</v>
      </c>
      <c r="M985" t="n">
        <v>0</v>
      </c>
      <c r="N985" t="n">
        <v>0</v>
      </c>
      <c r="O985" t="n">
        <v>1</v>
      </c>
      <c r="P985" t="n">
        <v>1</v>
      </c>
      <c r="Q985" t="n">
        <v>1</v>
      </c>
      <c r="R985" s="2" t="inlineStr">
        <is>
          <t>Rynkskinn</t>
        </is>
      </c>
      <c r="S985">
        <f>HYPERLINK("https://klasma.github.io/Logging_2281/artfynd/A 49850-2022 artfynd.xlsx", "A 49850-2022")</f>
        <v/>
      </c>
      <c r="T985">
        <f>HYPERLINK("https://klasma.github.io/Logging_2281/kartor/A 49850-2022 karta.png", "A 49850-2022")</f>
        <v/>
      </c>
      <c r="V985">
        <f>HYPERLINK("https://klasma.github.io/Logging_2281/klagomål/A 49850-2022 FSC-klagomål.docx", "A 49850-2022")</f>
        <v/>
      </c>
      <c r="W985">
        <f>HYPERLINK("https://klasma.github.io/Logging_2281/klagomålsmail/A 49850-2022 FSC-klagomål mail.docx", "A 49850-2022")</f>
        <v/>
      </c>
      <c r="X985">
        <f>HYPERLINK("https://klasma.github.io/Logging_2281/tillsyn/A 49850-2022 tillsynsbegäran.docx", "A 49850-2022")</f>
        <v/>
      </c>
      <c r="Y985">
        <f>HYPERLINK("https://klasma.github.io/Logging_2281/tillsynsmail/A 49850-2022 tillsynsbegäran mail.docx", "A 49850-2022")</f>
        <v/>
      </c>
    </row>
    <row r="986" ht="15" customHeight="1">
      <c r="A986" t="inlineStr">
        <is>
          <t>A 14676-2022</t>
        </is>
      </c>
      <c r="B986" s="1" t="n">
        <v>44655</v>
      </c>
      <c r="C986" s="1" t="n">
        <v>46093</v>
      </c>
      <c r="D986" t="inlineStr">
        <is>
          <t>VÄSTERNORRLANDS LÄN</t>
        </is>
      </c>
      <c r="E986" t="inlineStr">
        <is>
          <t>SUNDSVALL</t>
        </is>
      </c>
      <c r="G986" t="n">
        <v>10.1</v>
      </c>
      <c r="H986" t="n">
        <v>0</v>
      </c>
      <c r="I986" t="n">
        <v>0</v>
      </c>
      <c r="J986" t="n">
        <v>1</v>
      </c>
      <c r="K986" t="n">
        <v>0</v>
      </c>
      <c r="L986" t="n">
        <v>0</v>
      </c>
      <c r="M986" t="n">
        <v>0</v>
      </c>
      <c r="N986" t="n">
        <v>0</v>
      </c>
      <c r="O986" t="n">
        <v>1</v>
      </c>
      <c r="P986" t="n">
        <v>0</v>
      </c>
      <c r="Q986" t="n">
        <v>1</v>
      </c>
      <c r="R986" s="2" t="inlineStr">
        <is>
          <t>Granticka</t>
        </is>
      </c>
      <c r="S986">
        <f>HYPERLINK("https://klasma.github.io/Logging_2281/artfynd/A 14676-2022 artfynd.xlsx", "A 14676-2022")</f>
        <v/>
      </c>
      <c r="T986">
        <f>HYPERLINK("https://klasma.github.io/Logging_2281/kartor/A 14676-2022 karta.png", "A 14676-2022")</f>
        <v/>
      </c>
      <c r="V986">
        <f>HYPERLINK("https://klasma.github.io/Logging_2281/klagomål/A 14676-2022 FSC-klagomål.docx", "A 14676-2022")</f>
        <v/>
      </c>
      <c r="W986">
        <f>HYPERLINK("https://klasma.github.io/Logging_2281/klagomålsmail/A 14676-2022 FSC-klagomål mail.docx", "A 14676-2022")</f>
        <v/>
      </c>
      <c r="X986">
        <f>HYPERLINK("https://klasma.github.io/Logging_2281/tillsyn/A 14676-2022 tillsynsbegäran.docx", "A 14676-2022")</f>
        <v/>
      </c>
      <c r="Y986">
        <f>HYPERLINK("https://klasma.github.io/Logging_2281/tillsynsmail/A 14676-2022 tillsynsbegäran mail.docx", "A 14676-2022")</f>
        <v/>
      </c>
    </row>
    <row r="987" ht="15" customHeight="1">
      <c r="A987" t="inlineStr">
        <is>
          <t>A 31882-2024</t>
        </is>
      </c>
      <c r="B987" s="1" t="n">
        <v>45509.95708333333</v>
      </c>
      <c r="C987" s="1" t="n">
        <v>46093</v>
      </c>
      <c r="D987" t="inlineStr">
        <is>
          <t>VÄSTERNORRLANDS LÄN</t>
        </is>
      </c>
      <c r="E987" t="inlineStr">
        <is>
          <t>ÖRNSKÖLDSVIK</t>
        </is>
      </c>
      <c r="F987" t="inlineStr">
        <is>
          <t>SCA</t>
        </is>
      </c>
      <c r="G987" t="n">
        <v>9.1</v>
      </c>
      <c r="H987" t="n">
        <v>1</v>
      </c>
      <c r="I987" t="n">
        <v>0</v>
      </c>
      <c r="J987" t="n">
        <v>1</v>
      </c>
      <c r="K987" t="n">
        <v>0</v>
      </c>
      <c r="L987" t="n">
        <v>0</v>
      </c>
      <c r="M987" t="n">
        <v>0</v>
      </c>
      <c r="N987" t="n">
        <v>0</v>
      </c>
      <c r="O987" t="n">
        <v>1</v>
      </c>
      <c r="P987" t="n">
        <v>0</v>
      </c>
      <c r="Q987" t="n">
        <v>1</v>
      </c>
      <c r="R987" s="2" t="inlineStr">
        <is>
          <t>Tretåig hackspett</t>
        </is>
      </c>
      <c r="S987">
        <f>HYPERLINK("https://klasma.github.io/Logging_2284/artfynd/A 31882-2024 artfynd.xlsx", "A 31882-2024")</f>
        <v/>
      </c>
      <c r="T987">
        <f>HYPERLINK("https://klasma.github.io/Logging_2284/kartor/A 31882-2024 karta.png", "A 31882-2024")</f>
        <v/>
      </c>
      <c r="V987">
        <f>HYPERLINK("https://klasma.github.io/Logging_2284/klagomål/A 31882-2024 FSC-klagomål.docx", "A 31882-2024")</f>
        <v/>
      </c>
      <c r="W987">
        <f>HYPERLINK("https://klasma.github.io/Logging_2284/klagomålsmail/A 31882-2024 FSC-klagomål mail.docx", "A 31882-2024")</f>
        <v/>
      </c>
      <c r="X987">
        <f>HYPERLINK("https://klasma.github.io/Logging_2284/tillsyn/A 31882-2024 tillsynsbegäran.docx", "A 31882-2024")</f>
        <v/>
      </c>
      <c r="Y987">
        <f>HYPERLINK("https://klasma.github.io/Logging_2284/tillsynsmail/A 31882-2024 tillsynsbegäran mail.docx", "A 31882-2024")</f>
        <v/>
      </c>
      <c r="Z987">
        <f>HYPERLINK("https://klasma.github.io/Logging_2284/fåglar/A 31882-2024 prioriterade fågelarter.docx", "A 31882-2024")</f>
        <v/>
      </c>
    </row>
    <row r="988" ht="15" customHeight="1">
      <c r="A988" t="inlineStr">
        <is>
          <t>A 18692-2025</t>
        </is>
      </c>
      <c r="B988" s="1" t="n">
        <v>45763.61526620371</v>
      </c>
      <c r="C988" s="1" t="n">
        <v>46093</v>
      </c>
      <c r="D988" t="inlineStr">
        <is>
          <t>VÄSTERNORRLANDS LÄN</t>
        </is>
      </c>
      <c r="E988" t="inlineStr">
        <is>
          <t>KRAMFORS</t>
        </is>
      </c>
      <c r="F988" t="inlineStr">
        <is>
          <t>SCA</t>
        </is>
      </c>
      <c r="G988" t="n">
        <v>13.1</v>
      </c>
      <c r="H988" t="n">
        <v>1</v>
      </c>
      <c r="I988" t="n">
        <v>0</v>
      </c>
      <c r="J988" t="n">
        <v>1</v>
      </c>
      <c r="K988" t="n">
        <v>0</v>
      </c>
      <c r="L988" t="n">
        <v>0</v>
      </c>
      <c r="M988" t="n">
        <v>0</v>
      </c>
      <c r="N988" t="n">
        <v>0</v>
      </c>
      <c r="O988" t="n">
        <v>1</v>
      </c>
      <c r="P988" t="n">
        <v>0</v>
      </c>
      <c r="Q988" t="n">
        <v>1</v>
      </c>
      <c r="R988" s="2" t="inlineStr">
        <is>
          <t>Talltita</t>
        </is>
      </c>
      <c r="S988">
        <f>HYPERLINK("https://klasma.github.io/Logging_2282/artfynd/A 18692-2025 artfynd.xlsx", "A 18692-2025")</f>
        <v/>
      </c>
      <c r="T988">
        <f>HYPERLINK("https://klasma.github.io/Logging_2282/kartor/A 18692-2025 karta.png", "A 18692-2025")</f>
        <v/>
      </c>
      <c r="V988">
        <f>HYPERLINK("https://klasma.github.io/Logging_2282/klagomål/A 18692-2025 FSC-klagomål.docx", "A 18692-2025")</f>
        <v/>
      </c>
      <c r="W988">
        <f>HYPERLINK("https://klasma.github.io/Logging_2282/klagomålsmail/A 18692-2025 FSC-klagomål mail.docx", "A 18692-2025")</f>
        <v/>
      </c>
      <c r="X988">
        <f>HYPERLINK("https://klasma.github.io/Logging_2282/tillsyn/A 18692-2025 tillsynsbegäran.docx", "A 18692-2025")</f>
        <v/>
      </c>
      <c r="Y988">
        <f>HYPERLINK("https://klasma.github.io/Logging_2282/tillsynsmail/A 18692-2025 tillsynsbegäran mail.docx", "A 18692-2025")</f>
        <v/>
      </c>
      <c r="Z988">
        <f>HYPERLINK("https://klasma.github.io/Logging_2282/fåglar/A 18692-2025 prioriterade fågelarter.docx", "A 18692-2025")</f>
        <v/>
      </c>
    </row>
    <row r="989" ht="15" customHeight="1">
      <c r="A989" t="inlineStr">
        <is>
          <t>A 37589-2022</t>
        </is>
      </c>
      <c r="B989" s="1" t="n">
        <v>44809.94556712963</v>
      </c>
      <c r="C989" s="1" t="n">
        <v>46093</v>
      </c>
      <c r="D989" t="inlineStr">
        <is>
          <t>VÄSTERNORRLANDS LÄN</t>
        </is>
      </c>
      <c r="E989" t="inlineStr">
        <is>
          <t>SOLLEFTEÅ</t>
        </is>
      </c>
      <c r="F989" t="inlineStr">
        <is>
          <t>SCA</t>
        </is>
      </c>
      <c r="G989" t="n">
        <v>2.6</v>
      </c>
      <c r="H989" t="n">
        <v>1</v>
      </c>
      <c r="I989" t="n">
        <v>0</v>
      </c>
      <c r="J989" t="n">
        <v>0</v>
      </c>
      <c r="K989" t="n">
        <v>0</v>
      </c>
      <c r="L989" t="n">
        <v>0</v>
      </c>
      <c r="M989" t="n">
        <v>0</v>
      </c>
      <c r="N989" t="n">
        <v>0</v>
      </c>
      <c r="O989" t="n">
        <v>0</v>
      </c>
      <c r="P989" t="n">
        <v>0</v>
      </c>
      <c r="Q989" t="n">
        <v>1</v>
      </c>
      <c r="R989" s="2" t="inlineStr">
        <is>
          <t>Tjäder</t>
        </is>
      </c>
      <c r="S989">
        <f>HYPERLINK("https://klasma.github.io/Logging_2283/artfynd/A 37589-2022 artfynd.xlsx", "A 37589-2022")</f>
        <v/>
      </c>
      <c r="T989">
        <f>HYPERLINK("https://klasma.github.io/Logging_2283/kartor/A 37589-2022 karta.png", "A 37589-2022")</f>
        <v/>
      </c>
      <c r="V989">
        <f>HYPERLINK("https://klasma.github.io/Logging_2283/klagomål/A 37589-2022 FSC-klagomål.docx", "A 37589-2022")</f>
        <v/>
      </c>
      <c r="W989">
        <f>HYPERLINK("https://klasma.github.io/Logging_2283/klagomålsmail/A 37589-2022 FSC-klagomål mail.docx", "A 37589-2022")</f>
        <v/>
      </c>
      <c r="X989">
        <f>HYPERLINK("https://klasma.github.io/Logging_2283/tillsyn/A 37589-2022 tillsynsbegäran.docx", "A 37589-2022")</f>
        <v/>
      </c>
      <c r="Y989">
        <f>HYPERLINK("https://klasma.github.io/Logging_2283/tillsynsmail/A 37589-2022 tillsynsbegäran mail.docx", "A 37589-2022")</f>
        <v/>
      </c>
      <c r="Z989">
        <f>HYPERLINK("https://klasma.github.io/Logging_2283/fåglar/A 37589-2022 prioriterade fågelarter.docx", "A 37589-2022")</f>
        <v/>
      </c>
    </row>
    <row r="990" ht="15" customHeight="1">
      <c r="A990" t="inlineStr">
        <is>
          <t>A 37057-2021</t>
        </is>
      </c>
      <c r="B990" s="1" t="n">
        <v>44393.93881944445</v>
      </c>
      <c r="C990" s="1" t="n">
        <v>46093</v>
      </c>
      <c r="D990" t="inlineStr">
        <is>
          <t>VÄSTERNORRLANDS LÄN</t>
        </is>
      </c>
      <c r="E990" t="inlineStr">
        <is>
          <t>SUNDSVALL</t>
        </is>
      </c>
      <c r="F990" t="inlineStr">
        <is>
          <t>SCA</t>
        </is>
      </c>
      <c r="G990" t="n">
        <v>9.800000000000001</v>
      </c>
      <c r="H990" t="n">
        <v>1</v>
      </c>
      <c r="I990" t="n">
        <v>0</v>
      </c>
      <c r="J990" t="n">
        <v>1</v>
      </c>
      <c r="K990" t="n">
        <v>0</v>
      </c>
      <c r="L990" t="n">
        <v>0</v>
      </c>
      <c r="M990" t="n">
        <v>0</v>
      </c>
      <c r="N990" t="n">
        <v>0</v>
      </c>
      <c r="O990" t="n">
        <v>1</v>
      </c>
      <c r="P990" t="n">
        <v>0</v>
      </c>
      <c r="Q990" t="n">
        <v>1</v>
      </c>
      <c r="R990" s="2" t="inlineStr">
        <is>
          <t>Tretåig hackspett</t>
        </is>
      </c>
      <c r="S990">
        <f>HYPERLINK("https://klasma.github.io/Logging_2281/artfynd/A 37057-2021 artfynd.xlsx", "A 37057-2021")</f>
        <v/>
      </c>
      <c r="T990">
        <f>HYPERLINK("https://klasma.github.io/Logging_2281/kartor/A 37057-2021 karta.png", "A 37057-2021")</f>
        <v/>
      </c>
      <c r="V990">
        <f>HYPERLINK("https://klasma.github.io/Logging_2281/klagomål/A 37057-2021 FSC-klagomål.docx", "A 37057-2021")</f>
        <v/>
      </c>
      <c r="W990">
        <f>HYPERLINK("https://klasma.github.io/Logging_2281/klagomålsmail/A 37057-2021 FSC-klagomål mail.docx", "A 37057-2021")</f>
        <v/>
      </c>
      <c r="X990">
        <f>HYPERLINK("https://klasma.github.io/Logging_2281/tillsyn/A 37057-2021 tillsynsbegäran.docx", "A 37057-2021")</f>
        <v/>
      </c>
      <c r="Y990">
        <f>HYPERLINK("https://klasma.github.io/Logging_2281/tillsynsmail/A 37057-2021 tillsynsbegäran mail.docx", "A 37057-2021")</f>
        <v/>
      </c>
      <c r="Z990">
        <f>HYPERLINK("https://klasma.github.io/Logging_2281/fåglar/A 37057-2021 prioriterade fågelarter.docx", "A 37057-2021")</f>
        <v/>
      </c>
    </row>
    <row r="991" ht="15" customHeight="1">
      <c r="A991" t="inlineStr">
        <is>
          <t>A 24798-2024</t>
        </is>
      </c>
      <c r="B991" s="1" t="n">
        <v>45460.95277777778</v>
      </c>
      <c r="C991" s="1" t="n">
        <v>46093</v>
      </c>
      <c r="D991" t="inlineStr">
        <is>
          <t>VÄSTERNORRLANDS LÄN</t>
        </is>
      </c>
      <c r="E991" t="inlineStr">
        <is>
          <t>ÅNGE</t>
        </is>
      </c>
      <c r="F991" t="inlineStr">
        <is>
          <t>SCA</t>
        </is>
      </c>
      <c r="G991" t="n">
        <v>1.3</v>
      </c>
      <c r="H991" t="n">
        <v>0</v>
      </c>
      <c r="I991" t="n">
        <v>0</v>
      </c>
      <c r="J991" t="n">
        <v>1</v>
      </c>
      <c r="K991" t="n">
        <v>0</v>
      </c>
      <c r="L991" t="n">
        <v>0</v>
      </c>
      <c r="M991" t="n">
        <v>0</v>
      </c>
      <c r="N991" t="n">
        <v>0</v>
      </c>
      <c r="O991" t="n">
        <v>1</v>
      </c>
      <c r="P991" t="n">
        <v>0</v>
      </c>
      <c r="Q991" t="n">
        <v>1</v>
      </c>
      <c r="R991" s="2" t="inlineStr">
        <is>
          <t>Lunglav</t>
        </is>
      </c>
      <c r="S991">
        <f>HYPERLINK("https://klasma.github.io/Logging_2260/artfynd/A 24798-2024 artfynd.xlsx", "A 24798-2024")</f>
        <v/>
      </c>
      <c r="T991">
        <f>HYPERLINK("https://klasma.github.io/Logging_2260/kartor/A 24798-2024 karta.png", "A 24798-2024")</f>
        <v/>
      </c>
      <c r="V991">
        <f>HYPERLINK("https://klasma.github.io/Logging_2260/klagomål/A 24798-2024 FSC-klagomål.docx", "A 24798-2024")</f>
        <v/>
      </c>
      <c r="W991">
        <f>HYPERLINK("https://klasma.github.io/Logging_2260/klagomålsmail/A 24798-2024 FSC-klagomål mail.docx", "A 24798-2024")</f>
        <v/>
      </c>
      <c r="X991">
        <f>HYPERLINK("https://klasma.github.io/Logging_2260/tillsyn/A 24798-2024 tillsynsbegäran.docx", "A 24798-2024")</f>
        <v/>
      </c>
      <c r="Y991">
        <f>HYPERLINK("https://klasma.github.io/Logging_2260/tillsynsmail/A 24798-2024 tillsynsbegäran mail.docx", "A 24798-2024")</f>
        <v/>
      </c>
    </row>
    <row r="992" ht="15" customHeight="1">
      <c r="A992" t="inlineStr">
        <is>
          <t>A 24799-2024</t>
        </is>
      </c>
      <c r="B992" s="1" t="n">
        <v>45460</v>
      </c>
      <c r="C992" s="1" t="n">
        <v>46093</v>
      </c>
      <c r="D992" t="inlineStr">
        <is>
          <t>VÄSTERNORRLANDS LÄN</t>
        </is>
      </c>
      <c r="E992" t="inlineStr">
        <is>
          <t>ÅNGE</t>
        </is>
      </c>
      <c r="F992" t="inlineStr">
        <is>
          <t>SCA</t>
        </is>
      </c>
      <c r="G992" t="n">
        <v>2.8</v>
      </c>
      <c r="H992" t="n">
        <v>1</v>
      </c>
      <c r="I992" t="n">
        <v>0</v>
      </c>
      <c r="J992" t="n">
        <v>0</v>
      </c>
      <c r="K992" t="n">
        <v>1</v>
      </c>
      <c r="L992" t="n">
        <v>0</v>
      </c>
      <c r="M992" t="n">
        <v>0</v>
      </c>
      <c r="N992" t="n">
        <v>0</v>
      </c>
      <c r="O992" t="n">
        <v>1</v>
      </c>
      <c r="P992" t="n">
        <v>1</v>
      </c>
      <c r="Q992" t="n">
        <v>1</v>
      </c>
      <c r="R992" s="2" t="inlineStr">
        <is>
          <t>Doftticka</t>
        </is>
      </c>
      <c r="S992">
        <f>HYPERLINK("https://klasma.github.io/Logging_2260/artfynd/A 24799-2024 artfynd.xlsx", "A 24799-2024")</f>
        <v/>
      </c>
      <c r="T992">
        <f>HYPERLINK("https://klasma.github.io/Logging_2260/kartor/A 24799-2024 karta.png", "A 24799-2024")</f>
        <v/>
      </c>
      <c r="V992">
        <f>HYPERLINK("https://klasma.github.io/Logging_2260/klagomål/A 24799-2024 FSC-klagomål.docx", "A 24799-2024")</f>
        <v/>
      </c>
      <c r="W992">
        <f>HYPERLINK("https://klasma.github.io/Logging_2260/klagomålsmail/A 24799-2024 FSC-klagomål mail.docx", "A 24799-2024")</f>
        <v/>
      </c>
      <c r="X992">
        <f>HYPERLINK("https://klasma.github.io/Logging_2260/tillsyn/A 24799-2024 tillsynsbegäran.docx", "A 24799-2024")</f>
        <v/>
      </c>
      <c r="Y992">
        <f>HYPERLINK("https://klasma.github.io/Logging_2260/tillsynsmail/A 24799-2024 tillsynsbegäran mail.docx", "A 24799-2024")</f>
        <v/>
      </c>
    </row>
    <row r="993" ht="15" customHeight="1">
      <c r="A993" t="inlineStr">
        <is>
          <t>A 24808-2024</t>
        </is>
      </c>
      <c r="B993" s="1" t="n">
        <v>45460.95358796296</v>
      </c>
      <c r="C993" s="1" t="n">
        <v>46093</v>
      </c>
      <c r="D993" t="inlineStr">
        <is>
          <t>VÄSTERNORRLANDS LÄN</t>
        </is>
      </c>
      <c r="E993" t="inlineStr">
        <is>
          <t>ÖRNSKÖLDSVIK</t>
        </is>
      </c>
      <c r="F993" t="inlineStr">
        <is>
          <t>SCA</t>
        </is>
      </c>
      <c r="G993" t="n">
        <v>1.7</v>
      </c>
      <c r="H993" t="n">
        <v>1</v>
      </c>
      <c r="I993" t="n">
        <v>0</v>
      </c>
      <c r="J993" t="n">
        <v>1</v>
      </c>
      <c r="K993" t="n">
        <v>0</v>
      </c>
      <c r="L993" t="n">
        <v>0</v>
      </c>
      <c r="M993" t="n">
        <v>0</v>
      </c>
      <c r="N993" t="n">
        <v>0</v>
      </c>
      <c r="O993" t="n">
        <v>1</v>
      </c>
      <c r="P993" t="n">
        <v>0</v>
      </c>
      <c r="Q993" t="n">
        <v>1</v>
      </c>
      <c r="R993" s="2" t="inlineStr">
        <is>
          <t>Kungsörn</t>
        </is>
      </c>
      <c r="S993">
        <f>HYPERLINK("https://klasma.github.io/Logging_2284/artfynd/A 24808-2024 artfynd.xlsx", "A 24808-2024")</f>
        <v/>
      </c>
      <c r="T993">
        <f>HYPERLINK("https://klasma.github.io/Logging_2284/kartor/A 24808-2024 karta.png", "A 24808-2024")</f>
        <v/>
      </c>
      <c r="V993">
        <f>HYPERLINK("https://klasma.github.io/Logging_2284/klagomål/A 24808-2024 FSC-klagomål.docx", "A 24808-2024")</f>
        <v/>
      </c>
      <c r="W993">
        <f>HYPERLINK("https://klasma.github.io/Logging_2284/klagomålsmail/A 24808-2024 FSC-klagomål mail.docx", "A 24808-2024")</f>
        <v/>
      </c>
      <c r="X993">
        <f>HYPERLINK("https://klasma.github.io/Logging_2284/tillsyn/A 24808-2024 tillsynsbegäran.docx", "A 24808-2024")</f>
        <v/>
      </c>
      <c r="Y993">
        <f>HYPERLINK("https://klasma.github.io/Logging_2284/tillsynsmail/A 24808-2024 tillsynsbegäran mail.docx", "A 24808-2024")</f>
        <v/>
      </c>
      <c r="Z993">
        <f>HYPERLINK("https://klasma.github.io/Logging_2284/fåglar/A 24808-2024 prioriterade fågelarter.docx", "A 24808-2024")</f>
        <v/>
      </c>
    </row>
    <row r="994" ht="15" customHeight="1">
      <c r="A994" t="inlineStr">
        <is>
          <t>A 44632-2024</t>
        </is>
      </c>
      <c r="B994" s="1" t="n">
        <v>45574.51446759259</v>
      </c>
      <c r="C994" s="1" t="n">
        <v>46093</v>
      </c>
      <c r="D994" t="inlineStr">
        <is>
          <t>VÄSTERNORRLANDS LÄN</t>
        </is>
      </c>
      <c r="E994" t="inlineStr">
        <is>
          <t>SOLLEFTEÅ</t>
        </is>
      </c>
      <c r="F994" t="inlineStr">
        <is>
          <t>SCA</t>
        </is>
      </c>
      <c r="G994" t="n">
        <v>3.1</v>
      </c>
      <c r="H994" t="n">
        <v>0</v>
      </c>
      <c r="I994" t="n">
        <v>1</v>
      </c>
      <c r="J994" t="n">
        <v>0</v>
      </c>
      <c r="K994" t="n">
        <v>0</v>
      </c>
      <c r="L994" t="n">
        <v>0</v>
      </c>
      <c r="M994" t="n">
        <v>0</v>
      </c>
      <c r="N994" t="n">
        <v>0</v>
      </c>
      <c r="O994" t="n">
        <v>0</v>
      </c>
      <c r="P994" t="n">
        <v>0</v>
      </c>
      <c r="Q994" t="n">
        <v>1</v>
      </c>
      <c r="R994" s="2" t="inlineStr">
        <is>
          <t>Vedticka</t>
        </is>
      </c>
      <c r="S994">
        <f>HYPERLINK("https://klasma.github.io/Logging_2283/artfynd/A 44632-2024 artfynd.xlsx", "A 44632-2024")</f>
        <v/>
      </c>
      <c r="T994">
        <f>HYPERLINK("https://klasma.github.io/Logging_2283/kartor/A 44632-2024 karta.png", "A 44632-2024")</f>
        <v/>
      </c>
      <c r="V994">
        <f>HYPERLINK("https://klasma.github.io/Logging_2283/klagomål/A 44632-2024 FSC-klagomål.docx", "A 44632-2024")</f>
        <v/>
      </c>
      <c r="W994">
        <f>HYPERLINK("https://klasma.github.io/Logging_2283/klagomålsmail/A 44632-2024 FSC-klagomål mail.docx", "A 44632-2024")</f>
        <v/>
      </c>
      <c r="X994">
        <f>HYPERLINK("https://klasma.github.io/Logging_2283/tillsyn/A 44632-2024 tillsynsbegäran.docx", "A 44632-2024")</f>
        <v/>
      </c>
      <c r="Y994">
        <f>HYPERLINK("https://klasma.github.io/Logging_2283/tillsynsmail/A 44632-2024 tillsynsbegäran mail.docx", "A 44632-2024")</f>
        <v/>
      </c>
    </row>
    <row r="995" ht="15" customHeight="1">
      <c r="A995" t="inlineStr">
        <is>
          <t>A 34865-2025</t>
        </is>
      </c>
      <c r="B995" s="1" t="n">
        <v>45849.4421412037</v>
      </c>
      <c r="C995" s="1" t="n">
        <v>46093</v>
      </c>
      <c r="D995" t="inlineStr">
        <is>
          <t>VÄSTERNORRLANDS LÄN</t>
        </is>
      </c>
      <c r="E995" t="inlineStr">
        <is>
          <t>SOLLEFTEÅ</t>
        </is>
      </c>
      <c r="G995" t="n">
        <v>3.3</v>
      </c>
      <c r="H995" t="n">
        <v>1</v>
      </c>
      <c r="I995" t="n">
        <v>0</v>
      </c>
      <c r="J995" t="n">
        <v>1</v>
      </c>
      <c r="K995" t="n">
        <v>0</v>
      </c>
      <c r="L995" t="n">
        <v>0</v>
      </c>
      <c r="M995" t="n">
        <v>0</v>
      </c>
      <c r="N995" t="n">
        <v>0</v>
      </c>
      <c r="O995" t="n">
        <v>1</v>
      </c>
      <c r="P995" t="n">
        <v>0</v>
      </c>
      <c r="Q995" t="n">
        <v>1</v>
      </c>
      <c r="R995" s="2" t="inlineStr">
        <is>
          <t>Spillkråka</t>
        </is>
      </c>
      <c r="S995">
        <f>HYPERLINK("https://klasma.github.io/Logging_2283/artfynd/A 34865-2025 artfynd.xlsx", "A 34865-2025")</f>
        <v/>
      </c>
      <c r="T995">
        <f>HYPERLINK("https://klasma.github.io/Logging_2283/kartor/A 34865-2025 karta.png", "A 34865-2025")</f>
        <v/>
      </c>
      <c r="V995">
        <f>HYPERLINK("https://klasma.github.io/Logging_2283/klagomål/A 34865-2025 FSC-klagomål.docx", "A 34865-2025")</f>
        <v/>
      </c>
      <c r="W995">
        <f>HYPERLINK("https://klasma.github.io/Logging_2283/klagomålsmail/A 34865-2025 FSC-klagomål mail.docx", "A 34865-2025")</f>
        <v/>
      </c>
      <c r="X995">
        <f>HYPERLINK("https://klasma.github.io/Logging_2283/tillsyn/A 34865-2025 tillsynsbegäran.docx", "A 34865-2025")</f>
        <v/>
      </c>
      <c r="Y995">
        <f>HYPERLINK("https://klasma.github.io/Logging_2283/tillsynsmail/A 34865-2025 tillsynsbegäran mail.docx", "A 34865-2025")</f>
        <v/>
      </c>
      <c r="Z995">
        <f>HYPERLINK("https://klasma.github.io/Logging_2283/fåglar/A 34865-2025 prioriterade fågelarter.docx", "A 34865-2025")</f>
        <v/>
      </c>
    </row>
    <row r="996" ht="15" customHeight="1">
      <c r="A996" t="inlineStr">
        <is>
          <t>A 56091-2024</t>
        </is>
      </c>
      <c r="B996" s="1" t="n">
        <v>45624.40678240741</v>
      </c>
      <c r="C996" s="1" t="n">
        <v>46093</v>
      </c>
      <c r="D996" t="inlineStr">
        <is>
          <t>VÄSTERNORRLANDS LÄN</t>
        </is>
      </c>
      <c r="E996" t="inlineStr">
        <is>
          <t>ÅNGE</t>
        </is>
      </c>
      <c r="F996" t="inlineStr">
        <is>
          <t>SCA</t>
        </is>
      </c>
      <c r="G996" t="n">
        <v>2.5</v>
      </c>
      <c r="H996" t="n">
        <v>0</v>
      </c>
      <c r="I996" t="n">
        <v>0</v>
      </c>
      <c r="J996" t="n">
        <v>1</v>
      </c>
      <c r="K996" t="n">
        <v>0</v>
      </c>
      <c r="L996" t="n">
        <v>0</v>
      </c>
      <c r="M996" t="n">
        <v>0</v>
      </c>
      <c r="N996" t="n">
        <v>0</v>
      </c>
      <c r="O996" t="n">
        <v>1</v>
      </c>
      <c r="P996" t="n">
        <v>0</v>
      </c>
      <c r="Q996" t="n">
        <v>1</v>
      </c>
      <c r="R996" s="2" t="inlineStr">
        <is>
          <t>Mörk kolflarnlav</t>
        </is>
      </c>
      <c r="S996">
        <f>HYPERLINK("https://klasma.github.io/Logging_2260/artfynd/A 56091-2024 artfynd.xlsx", "A 56091-2024")</f>
        <v/>
      </c>
      <c r="T996">
        <f>HYPERLINK("https://klasma.github.io/Logging_2260/kartor/A 56091-2024 karta.png", "A 56091-2024")</f>
        <v/>
      </c>
      <c r="V996">
        <f>HYPERLINK("https://klasma.github.io/Logging_2260/klagomål/A 56091-2024 FSC-klagomål.docx", "A 56091-2024")</f>
        <v/>
      </c>
      <c r="W996">
        <f>HYPERLINK("https://klasma.github.io/Logging_2260/klagomålsmail/A 56091-2024 FSC-klagomål mail.docx", "A 56091-2024")</f>
        <v/>
      </c>
      <c r="X996">
        <f>HYPERLINK("https://klasma.github.io/Logging_2260/tillsyn/A 56091-2024 tillsynsbegäran.docx", "A 56091-2024")</f>
        <v/>
      </c>
      <c r="Y996">
        <f>HYPERLINK("https://klasma.github.io/Logging_2260/tillsynsmail/A 56091-2024 tillsynsbegäran mail.docx", "A 56091-2024")</f>
        <v/>
      </c>
    </row>
    <row r="997" ht="15" customHeight="1">
      <c r="A997" t="inlineStr">
        <is>
          <t>A 47067-2022</t>
        </is>
      </c>
      <c r="B997" s="1" t="n">
        <v>44852</v>
      </c>
      <c r="C997" s="1" t="n">
        <v>46093</v>
      </c>
      <c r="D997" t="inlineStr">
        <is>
          <t>VÄSTERNORRLANDS LÄN</t>
        </is>
      </c>
      <c r="E997" t="inlineStr">
        <is>
          <t>ÖRNSKÖLDSVIK</t>
        </is>
      </c>
      <c r="F997" t="inlineStr">
        <is>
          <t>Holmen skog AB</t>
        </is>
      </c>
      <c r="G997" t="n">
        <v>2.6</v>
      </c>
      <c r="H997" t="n">
        <v>0</v>
      </c>
      <c r="I997" t="n">
        <v>0</v>
      </c>
      <c r="J997" t="n">
        <v>1</v>
      </c>
      <c r="K997" t="n">
        <v>0</v>
      </c>
      <c r="L997" t="n">
        <v>0</v>
      </c>
      <c r="M997" t="n">
        <v>0</v>
      </c>
      <c r="N997" t="n">
        <v>0</v>
      </c>
      <c r="O997" t="n">
        <v>1</v>
      </c>
      <c r="P997" t="n">
        <v>0</v>
      </c>
      <c r="Q997" t="n">
        <v>1</v>
      </c>
      <c r="R997" s="2" t="inlineStr">
        <is>
          <t>Motaggsvamp</t>
        </is>
      </c>
      <c r="S997">
        <f>HYPERLINK("https://klasma.github.io/Logging_2284/artfynd/A 47067-2022 artfynd.xlsx", "A 47067-2022")</f>
        <v/>
      </c>
      <c r="T997">
        <f>HYPERLINK("https://klasma.github.io/Logging_2284/kartor/A 47067-2022 karta.png", "A 47067-2022")</f>
        <v/>
      </c>
      <c r="V997">
        <f>HYPERLINK("https://klasma.github.io/Logging_2284/klagomål/A 47067-2022 FSC-klagomål.docx", "A 47067-2022")</f>
        <v/>
      </c>
      <c r="W997">
        <f>HYPERLINK("https://klasma.github.io/Logging_2284/klagomålsmail/A 47067-2022 FSC-klagomål mail.docx", "A 47067-2022")</f>
        <v/>
      </c>
      <c r="X997">
        <f>HYPERLINK("https://klasma.github.io/Logging_2284/tillsyn/A 47067-2022 tillsynsbegäran.docx", "A 47067-2022")</f>
        <v/>
      </c>
      <c r="Y997">
        <f>HYPERLINK("https://klasma.github.io/Logging_2284/tillsynsmail/A 47067-2022 tillsynsbegäran mail.docx", "A 47067-2022")</f>
        <v/>
      </c>
    </row>
    <row r="998" ht="15" customHeight="1">
      <c r="A998" t="inlineStr">
        <is>
          <t>A 3347-2025</t>
        </is>
      </c>
      <c r="B998" s="1" t="n">
        <v>45679.78429398148</v>
      </c>
      <c r="C998" s="1" t="n">
        <v>46093</v>
      </c>
      <c r="D998" t="inlineStr">
        <is>
          <t>VÄSTERNORRLANDS LÄN</t>
        </is>
      </c>
      <c r="E998" t="inlineStr">
        <is>
          <t>SUNDSVALL</t>
        </is>
      </c>
      <c r="G998" t="n">
        <v>20.7</v>
      </c>
      <c r="H998" t="n">
        <v>0</v>
      </c>
      <c r="I998" t="n">
        <v>0</v>
      </c>
      <c r="J998" t="n">
        <v>1</v>
      </c>
      <c r="K998" t="n">
        <v>0</v>
      </c>
      <c r="L998" t="n">
        <v>0</v>
      </c>
      <c r="M998" t="n">
        <v>0</v>
      </c>
      <c r="N998" t="n">
        <v>0</v>
      </c>
      <c r="O998" t="n">
        <v>1</v>
      </c>
      <c r="P998" t="n">
        <v>0</v>
      </c>
      <c r="Q998" t="n">
        <v>1</v>
      </c>
      <c r="R998" s="2" t="inlineStr">
        <is>
          <t>Lunglav</t>
        </is>
      </c>
      <c r="S998">
        <f>HYPERLINK("https://klasma.github.io/Logging_2281/artfynd/A 3347-2025 artfynd.xlsx", "A 3347-2025")</f>
        <v/>
      </c>
      <c r="T998">
        <f>HYPERLINK("https://klasma.github.io/Logging_2281/kartor/A 3347-2025 karta.png", "A 3347-2025")</f>
        <v/>
      </c>
      <c r="V998">
        <f>HYPERLINK("https://klasma.github.io/Logging_2281/klagomål/A 3347-2025 FSC-klagomål.docx", "A 3347-2025")</f>
        <v/>
      </c>
      <c r="W998">
        <f>HYPERLINK("https://klasma.github.io/Logging_2281/klagomålsmail/A 3347-2025 FSC-klagomål mail.docx", "A 3347-2025")</f>
        <v/>
      </c>
      <c r="X998">
        <f>HYPERLINK("https://klasma.github.io/Logging_2281/tillsyn/A 3347-2025 tillsynsbegäran.docx", "A 3347-2025")</f>
        <v/>
      </c>
      <c r="Y998">
        <f>HYPERLINK("https://klasma.github.io/Logging_2281/tillsynsmail/A 3347-2025 tillsynsbegäran mail.docx", "A 3347-2025")</f>
        <v/>
      </c>
    </row>
    <row r="999" ht="15" customHeight="1">
      <c r="A999" t="inlineStr">
        <is>
          <t>A 13934-2024</t>
        </is>
      </c>
      <c r="B999" s="1" t="n">
        <v>45391</v>
      </c>
      <c r="C999" s="1" t="n">
        <v>46093</v>
      </c>
      <c r="D999" t="inlineStr">
        <is>
          <t>VÄSTERNORRLANDS LÄN</t>
        </is>
      </c>
      <c r="E999" t="inlineStr">
        <is>
          <t>ÅNGE</t>
        </is>
      </c>
      <c r="F999" t="inlineStr">
        <is>
          <t>SCA</t>
        </is>
      </c>
      <c r="G999" t="n">
        <v>5.8</v>
      </c>
      <c r="H999" t="n">
        <v>0</v>
      </c>
      <c r="I999" t="n">
        <v>0</v>
      </c>
      <c r="J999" t="n">
        <v>1</v>
      </c>
      <c r="K999" t="n">
        <v>0</v>
      </c>
      <c r="L999" t="n">
        <v>0</v>
      </c>
      <c r="M999" t="n">
        <v>0</v>
      </c>
      <c r="N999" t="n">
        <v>0</v>
      </c>
      <c r="O999" t="n">
        <v>1</v>
      </c>
      <c r="P999" t="n">
        <v>0</v>
      </c>
      <c r="Q999" t="n">
        <v>1</v>
      </c>
      <c r="R999" s="2" t="inlineStr">
        <is>
          <t>Ullticka</t>
        </is>
      </c>
      <c r="S999">
        <f>HYPERLINK("https://klasma.github.io/Logging_2260/artfynd/A 13934-2024 artfynd.xlsx", "A 13934-2024")</f>
        <v/>
      </c>
      <c r="T999">
        <f>HYPERLINK("https://klasma.github.io/Logging_2260/kartor/A 13934-2024 karta.png", "A 13934-2024")</f>
        <v/>
      </c>
      <c r="V999">
        <f>HYPERLINK("https://klasma.github.io/Logging_2260/klagomål/A 13934-2024 FSC-klagomål.docx", "A 13934-2024")</f>
        <v/>
      </c>
      <c r="W999">
        <f>HYPERLINK("https://klasma.github.io/Logging_2260/klagomålsmail/A 13934-2024 FSC-klagomål mail.docx", "A 13934-2024")</f>
        <v/>
      </c>
      <c r="X999">
        <f>HYPERLINK("https://klasma.github.io/Logging_2260/tillsyn/A 13934-2024 tillsynsbegäran.docx", "A 13934-2024")</f>
        <v/>
      </c>
      <c r="Y999">
        <f>HYPERLINK("https://klasma.github.io/Logging_2260/tillsynsmail/A 13934-2024 tillsynsbegäran mail.docx", "A 13934-2024")</f>
        <v/>
      </c>
    </row>
    <row r="1000" ht="15" customHeight="1">
      <c r="A1000" t="inlineStr">
        <is>
          <t>A 21683-2024</t>
        </is>
      </c>
      <c r="B1000" s="1" t="n">
        <v>45442.43640046296</v>
      </c>
      <c r="C1000" s="1" t="n">
        <v>46093</v>
      </c>
      <c r="D1000" t="inlineStr">
        <is>
          <t>VÄSTERNORRLANDS LÄN</t>
        </is>
      </c>
      <c r="E1000" t="inlineStr">
        <is>
          <t>ÖRNSKÖLDSVIK</t>
        </is>
      </c>
      <c r="F1000" t="inlineStr">
        <is>
          <t>Holmen skog AB</t>
        </is>
      </c>
      <c r="G1000" t="n">
        <v>2.5</v>
      </c>
      <c r="H1000" t="n">
        <v>0</v>
      </c>
      <c r="I1000" t="n">
        <v>1</v>
      </c>
      <c r="J1000" t="n">
        <v>0</v>
      </c>
      <c r="K1000" t="n">
        <v>0</v>
      </c>
      <c r="L1000" t="n">
        <v>0</v>
      </c>
      <c r="M1000" t="n">
        <v>0</v>
      </c>
      <c r="N1000" t="n">
        <v>0</v>
      </c>
      <c r="O1000" t="n">
        <v>0</v>
      </c>
      <c r="P1000" t="n">
        <v>0</v>
      </c>
      <c r="Q1000" t="n">
        <v>1</v>
      </c>
      <c r="R1000" s="2" t="inlineStr">
        <is>
          <t>Stor aspticka</t>
        </is>
      </c>
      <c r="S1000">
        <f>HYPERLINK("https://klasma.github.io/Logging_2284/artfynd/A 21683-2024 artfynd.xlsx", "A 21683-2024")</f>
        <v/>
      </c>
      <c r="T1000">
        <f>HYPERLINK("https://klasma.github.io/Logging_2284/kartor/A 21683-2024 karta.png", "A 21683-2024")</f>
        <v/>
      </c>
      <c r="V1000">
        <f>HYPERLINK("https://klasma.github.io/Logging_2284/klagomål/A 21683-2024 FSC-klagomål.docx", "A 21683-2024")</f>
        <v/>
      </c>
      <c r="W1000">
        <f>HYPERLINK("https://klasma.github.io/Logging_2284/klagomålsmail/A 21683-2024 FSC-klagomål mail.docx", "A 21683-2024")</f>
        <v/>
      </c>
      <c r="X1000">
        <f>HYPERLINK("https://klasma.github.io/Logging_2284/tillsyn/A 21683-2024 tillsynsbegäran.docx", "A 21683-2024")</f>
        <v/>
      </c>
      <c r="Y1000">
        <f>HYPERLINK("https://klasma.github.io/Logging_2284/tillsynsmail/A 21683-2024 tillsynsbegäran mail.docx", "A 21683-2024")</f>
        <v/>
      </c>
    </row>
    <row r="1001" ht="15" customHeight="1">
      <c r="A1001" t="inlineStr">
        <is>
          <t>A 35043-2025</t>
        </is>
      </c>
      <c r="B1001" s="1" t="n">
        <v>45852.34458333333</v>
      </c>
      <c r="C1001" s="1" t="n">
        <v>46093</v>
      </c>
      <c r="D1001" t="inlineStr">
        <is>
          <t>VÄSTERNORRLANDS LÄN</t>
        </is>
      </c>
      <c r="E1001" t="inlineStr">
        <is>
          <t>ÖRNSKÖLDSVIK</t>
        </is>
      </c>
      <c r="F1001" t="inlineStr">
        <is>
          <t>SCA</t>
        </is>
      </c>
      <c r="G1001" t="n">
        <v>1.3</v>
      </c>
      <c r="H1001" t="n">
        <v>0</v>
      </c>
      <c r="I1001" t="n">
        <v>0</v>
      </c>
      <c r="J1001" t="n">
        <v>1</v>
      </c>
      <c r="K1001" t="n">
        <v>0</v>
      </c>
      <c r="L1001" t="n">
        <v>0</v>
      </c>
      <c r="M1001" t="n">
        <v>0</v>
      </c>
      <c r="N1001" t="n">
        <v>0</v>
      </c>
      <c r="O1001" t="n">
        <v>1</v>
      </c>
      <c r="P1001" t="n">
        <v>0</v>
      </c>
      <c r="Q1001" t="n">
        <v>1</v>
      </c>
      <c r="R1001" s="2" t="inlineStr">
        <is>
          <t>Granticka</t>
        </is>
      </c>
      <c r="S1001">
        <f>HYPERLINK("https://klasma.github.io/Logging_2284/artfynd/A 35043-2025 artfynd.xlsx", "A 35043-2025")</f>
        <v/>
      </c>
      <c r="T1001">
        <f>HYPERLINK("https://klasma.github.io/Logging_2284/kartor/A 35043-2025 karta.png", "A 35043-2025")</f>
        <v/>
      </c>
      <c r="V1001">
        <f>HYPERLINK("https://klasma.github.io/Logging_2284/klagomål/A 35043-2025 FSC-klagomål.docx", "A 35043-2025")</f>
        <v/>
      </c>
      <c r="W1001">
        <f>HYPERLINK("https://klasma.github.io/Logging_2284/klagomålsmail/A 35043-2025 FSC-klagomål mail.docx", "A 35043-2025")</f>
        <v/>
      </c>
      <c r="X1001">
        <f>HYPERLINK("https://klasma.github.io/Logging_2284/tillsyn/A 35043-2025 tillsynsbegäran.docx", "A 35043-2025")</f>
        <v/>
      </c>
      <c r="Y1001">
        <f>HYPERLINK("https://klasma.github.io/Logging_2284/tillsynsmail/A 35043-2025 tillsynsbegäran mail.docx", "A 35043-2025")</f>
        <v/>
      </c>
    </row>
    <row r="1002" ht="15" customHeight="1">
      <c r="A1002" t="inlineStr">
        <is>
          <t>A 1343-2025</t>
        </is>
      </c>
      <c r="B1002" s="1" t="n">
        <v>45667.6043287037</v>
      </c>
      <c r="C1002" s="1" t="n">
        <v>46093</v>
      </c>
      <c r="D1002" t="inlineStr">
        <is>
          <t>VÄSTERNORRLANDS LÄN</t>
        </is>
      </c>
      <c r="E1002" t="inlineStr">
        <is>
          <t>SOLLEFTEÅ</t>
        </is>
      </c>
      <c r="G1002" t="n">
        <v>5.2</v>
      </c>
      <c r="H1002" t="n">
        <v>0</v>
      </c>
      <c r="I1002" t="n">
        <v>0</v>
      </c>
      <c r="J1002" t="n">
        <v>1</v>
      </c>
      <c r="K1002" t="n">
        <v>0</v>
      </c>
      <c r="L1002" t="n">
        <v>0</v>
      </c>
      <c r="M1002" t="n">
        <v>0</v>
      </c>
      <c r="N1002" t="n">
        <v>0</v>
      </c>
      <c r="O1002" t="n">
        <v>1</v>
      </c>
      <c r="P1002" t="n">
        <v>0</v>
      </c>
      <c r="Q1002" t="n">
        <v>1</v>
      </c>
      <c r="R1002" s="2" t="inlineStr">
        <is>
          <t>Granticka</t>
        </is>
      </c>
      <c r="S1002">
        <f>HYPERLINK("https://klasma.github.io/Logging_2283/artfynd/A 1343-2025 artfynd.xlsx", "A 1343-2025")</f>
        <v/>
      </c>
      <c r="T1002">
        <f>HYPERLINK("https://klasma.github.io/Logging_2283/kartor/A 1343-2025 karta.png", "A 1343-2025")</f>
        <v/>
      </c>
      <c r="V1002">
        <f>HYPERLINK("https://klasma.github.io/Logging_2283/klagomål/A 1343-2025 FSC-klagomål.docx", "A 1343-2025")</f>
        <v/>
      </c>
      <c r="W1002">
        <f>HYPERLINK("https://klasma.github.io/Logging_2283/klagomålsmail/A 1343-2025 FSC-klagomål mail.docx", "A 1343-2025")</f>
        <v/>
      </c>
      <c r="X1002">
        <f>HYPERLINK("https://klasma.github.io/Logging_2283/tillsyn/A 1343-2025 tillsynsbegäran.docx", "A 1343-2025")</f>
        <v/>
      </c>
      <c r="Y1002">
        <f>HYPERLINK("https://klasma.github.io/Logging_2283/tillsynsmail/A 1343-2025 tillsynsbegäran mail.docx", "A 1343-2025")</f>
        <v/>
      </c>
    </row>
    <row r="1003" ht="15" customHeight="1">
      <c r="A1003" t="inlineStr">
        <is>
          <t>A 74325-2021</t>
        </is>
      </c>
      <c r="B1003" s="1" t="n">
        <v>44559</v>
      </c>
      <c r="C1003" s="1" t="n">
        <v>46093</v>
      </c>
      <c r="D1003" t="inlineStr">
        <is>
          <t>VÄSTERNORRLANDS LÄN</t>
        </is>
      </c>
      <c r="E1003" t="inlineStr">
        <is>
          <t>HÄRNÖSAND</t>
        </is>
      </c>
      <c r="G1003" t="n">
        <v>4.6</v>
      </c>
      <c r="H1003" t="n">
        <v>0</v>
      </c>
      <c r="I1003" t="n">
        <v>0</v>
      </c>
      <c r="J1003" t="n">
        <v>1</v>
      </c>
      <c r="K1003" t="n">
        <v>0</v>
      </c>
      <c r="L1003" t="n">
        <v>0</v>
      </c>
      <c r="M1003" t="n">
        <v>0</v>
      </c>
      <c r="N1003" t="n">
        <v>0</v>
      </c>
      <c r="O1003" t="n">
        <v>1</v>
      </c>
      <c r="P1003" t="n">
        <v>0</v>
      </c>
      <c r="Q1003" t="n">
        <v>1</v>
      </c>
      <c r="R1003" s="2" t="inlineStr">
        <is>
          <t>Skogshare</t>
        </is>
      </c>
      <c r="S1003">
        <f>HYPERLINK("https://klasma.github.io/Logging_2280/artfynd/A 74325-2021 artfynd.xlsx", "A 74325-2021")</f>
        <v/>
      </c>
      <c r="T1003">
        <f>HYPERLINK("https://klasma.github.io/Logging_2280/kartor/A 74325-2021 karta.png", "A 74325-2021")</f>
        <v/>
      </c>
      <c r="V1003">
        <f>HYPERLINK("https://klasma.github.io/Logging_2280/klagomål/A 74325-2021 FSC-klagomål.docx", "A 74325-2021")</f>
        <v/>
      </c>
      <c r="W1003">
        <f>HYPERLINK("https://klasma.github.io/Logging_2280/klagomålsmail/A 74325-2021 FSC-klagomål mail.docx", "A 74325-2021")</f>
        <v/>
      </c>
      <c r="X1003">
        <f>HYPERLINK("https://klasma.github.io/Logging_2280/tillsyn/A 74325-2021 tillsynsbegäran.docx", "A 74325-2021")</f>
        <v/>
      </c>
      <c r="Y1003">
        <f>HYPERLINK("https://klasma.github.io/Logging_2280/tillsynsmail/A 74325-2021 tillsynsbegäran mail.docx", "A 74325-2021")</f>
        <v/>
      </c>
    </row>
    <row r="1004" ht="15" customHeight="1">
      <c r="A1004" t="inlineStr">
        <is>
          <t>A 9200-2022</t>
        </is>
      </c>
      <c r="B1004" s="1" t="n">
        <v>44615.92614583333</v>
      </c>
      <c r="C1004" s="1" t="n">
        <v>46093</v>
      </c>
      <c r="D1004" t="inlineStr">
        <is>
          <t>VÄSTERNORRLANDS LÄN</t>
        </is>
      </c>
      <c r="E1004" t="inlineStr">
        <is>
          <t>SUNDSVALL</t>
        </is>
      </c>
      <c r="G1004" t="n">
        <v>17.6</v>
      </c>
      <c r="H1004" t="n">
        <v>0</v>
      </c>
      <c r="I1004" t="n">
        <v>0</v>
      </c>
      <c r="J1004" t="n">
        <v>1</v>
      </c>
      <c r="K1004" t="n">
        <v>0</v>
      </c>
      <c r="L1004" t="n">
        <v>0</v>
      </c>
      <c r="M1004" t="n">
        <v>0</v>
      </c>
      <c r="N1004" t="n">
        <v>0</v>
      </c>
      <c r="O1004" t="n">
        <v>1</v>
      </c>
      <c r="P1004" t="n">
        <v>0</v>
      </c>
      <c r="Q1004" t="n">
        <v>1</v>
      </c>
      <c r="R1004" s="2" t="inlineStr">
        <is>
          <t>Blå taggsvamp</t>
        </is>
      </c>
      <c r="S1004">
        <f>HYPERLINK("https://klasma.github.io/Logging_2281/artfynd/A 9200-2022 artfynd.xlsx", "A 9200-2022")</f>
        <v/>
      </c>
      <c r="T1004">
        <f>HYPERLINK("https://klasma.github.io/Logging_2281/kartor/A 9200-2022 karta.png", "A 9200-2022")</f>
        <v/>
      </c>
      <c r="V1004">
        <f>HYPERLINK("https://klasma.github.io/Logging_2281/klagomål/A 9200-2022 FSC-klagomål.docx", "A 9200-2022")</f>
        <v/>
      </c>
      <c r="W1004">
        <f>HYPERLINK("https://klasma.github.io/Logging_2281/klagomålsmail/A 9200-2022 FSC-klagomål mail.docx", "A 9200-2022")</f>
        <v/>
      </c>
      <c r="X1004">
        <f>HYPERLINK("https://klasma.github.io/Logging_2281/tillsyn/A 9200-2022 tillsynsbegäran.docx", "A 9200-2022")</f>
        <v/>
      </c>
      <c r="Y1004">
        <f>HYPERLINK("https://klasma.github.io/Logging_2281/tillsynsmail/A 9200-2022 tillsynsbegäran mail.docx", "A 9200-2022")</f>
        <v/>
      </c>
    </row>
    <row r="1005" ht="15" customHeight="1">
      <c r="A1005" t="inlineStr">
        <is>
          <t>A 62351-2023</t>
        </is>
      </c>
      <c r="B1005" s="1" t="n">
        <v>45267</v>
      </c>
      <c r="C1005" s="1" t="n">
        <v>46093</v>
      </c>
      <c r="D1005" t="inlineStr">
        <is>
          <t>VÄSTERNORRLANDS LÄN</t>
        </is>
      </c>
      <c r="E1005" t="inlineStr">
        <is>
          <t>HÄRNÖSAND</t>
        </is>
      </c>
      <c r="F1005" t="inlineStr">
        <is>
          <t>SCA</t>
        </is>
      </c>
      <c r="G1005" t="n">
        <v>3.5</v>
      </c>
      <c r="H1005" t="n">
        <v>0</v>
      </c>
      <c r="I1005" t="n">
        <v>0</v>
      </c>
      <c r="J1005" t="n">
        <v>1</v>
      </c>
      <c r="K1005" t="n">
        <v>0</v>
      </c>
      <c r="L1005" t="n">
        <v>0</v>
      </c>
      <c r="M1005" t="n">
        <v>0</v>
      </c>
      <c r="N1005" t="n">
        <v>0</v>
      </c>
      <c r="O1005" t="n">
        <v>1</v>
      </c>
      <c r="P1005" t="n">
        <v>0</v>
      </c>
      <c r="Q1005" t="n">
        <v>1</v>
      </c>
      <c r="R1005" s="2" t="inlineStr">
        <is>
          <t>Lunglav</t>
        </is>
      </c>
      <c r="S1005">
        <f>HYPERLINK("https://klasma.github.io/Logging_2280/artfynd/A 62351-2023 artfynd.xlsx", "A 62351-2023")</f>
        <v/>
      </c>
      <c r="T1005">
        <f>HYPERLINK("https://klasma.github.io/Logging_2280/kartor/A 62351-2023 karta.png", "A 62351-2023")</f>
        <v/>
      </c>
      <c r="V1005">
        <f>HYPERLINK("https://klasma.github.io/Logging_2280/klagomål/A 62351-2023 FSC-klagomål.docx", "A 62351-2023")</f>
        <v/>
      </c>
      <c r="W1005">
        <f>HYPERLINK("https://klasma.github.io/Logging_2280/klagomålsmail/A 62351-2023 FSC-klagomål mail.docx", "A 62351-2023")</f>
        <v/>
      </c>
      <c r="X1005">
        <f>HYPERLINK("https://klasma.github.io/Logging_2280/tillsyn/A 62351-2023 tillsynsbegäran.docx", "A 62351-2023")</f>
        <v/>
      </c>
      <c r="Y1005">
        <f>HYPERLINK("https://klasma.github.io/Logging_2280/tillsynsmail/A 62351-2023 tillsynsbegäran mail.docx", "A 62351-2023")</f>
        <v/>
      </c>
    </row>
    <row r="1006" ht="15" customHeight="1">
      <c r="A1006" t="inlineStr">
        <is>
          <t>A 31878-2024</t>
        </is>
      </c>
      <c r="B1006" s="1" t="n">
        <v>45509</v>
      </c>
      <c r="C1006" s="1" t="n">
        <v>46093</v>
      </c>
      <c r="D1006" t="inlineStr">
        <is>
          <t>VÄSTERNORRLANDS LÄN</t>
        </is>
      </c>
      <c r="E1006" t="inlineStr">
        <is>
          <t>ÅNGE</t>
        </is>
      </c>
      <c r="F1006" t="inlineStr">
        <is>
          <t>SCA</t>
        </is>
      </c>
      <c r="G1006" t="n">
        <v>5.1</v>
      </c>
      <c r="H1006" t="n">
        <v>0</v>
      </c>
      <c r="I1006" t="n">
        <v>1</v>
      </c>
      <c r="J1006" t="n">
        <v>0</v>
      </c>
      <c r="K1006" t="n">
        <v>0</v>
      </c>
      <c r="L1006" t="n">
        <v>0</v>
      </c>
      <c r="M1006" t="n">
        <v>0</v>
      </c>
      <c r="N1006" t="n">
        <v>0</v>
      </c>
      <c r="O1006" t="n">
        <v>0</v>
      </c>
      <c r="P1006" t="n">
        <v>0</v>
      </c>
      <c r="Q1006" t="n">
        <v>1</v>
      </c>
      <c r="R1006" s="2" t="inlineStr">
        <is>
          <t>Grönpyrola</t>
        </is>
      </c>
      <c r="S1006">
        <f>HYPERLINK("https://klasma.github.io/Logging_2260/artfynd/A 31878-2024 artfynd.xlsx", "A 31878-2024")</f>
        <v/>
      </c>
      <c r="T1006">
        <f>HYPERLINK("https://klasma.github.io/Logging_2260/kartor/A 31878-2024 karta.png", "A 31878-2024")</f>
        <v/>
      </c>
      <c r="V1006">
        <f>HYPERLINK("https://klasma.github.io/Logging_2260/klagomål/A 31878-2024 FSC-klagomål.docx", "A 31878-2024")</f>
        <v/>
      </c>
      <c r="W1006">
        <f>HYPERLINK("https://klasma.github.io/Logging_2260/klagomålsmail/A 31878-2024 FSC-klagomål mail.docx", "A 31878-2024")</f>
        <v/>
      </c>
      <c r="X1006">
        <f>HYPERLINK("https://klasma.github.io/Logging_2260/tillsyn/A 31878-2024 tillsynsbegäran.docx", "A 31878-2024")</f>
        <v/>
      </c>
      <c r="Y1006">
        <f>HYPERLINK("https://klasma.github.io/Logging_2260/tillsynsmail/A 31878-2024 tillsynsbegäran mail.docx", "A 31878-2024")</f>
        <v/>
      </c>
    </row>
    <row r="1007" ht="15" customHeight="1">
      <c r="A1007" t="inlineStr">
        <is>
          <t>A 32388-2023</t>
        </is>
      </c>
      <c r="B1007" s="1" t="n">
        <v>45110</v>
      </c>
      <c r="C1007" s="1" t="n">
        <v>46093</v>
      </c>
      <c r="D1007" t="inlineStr">
        <is>
          <t>VÄSTERNORRLANDS LÄN</t>
        </is>
      </c>
      <c r="E1007" t="inlineStr">
        <is>
          <t>ÖRNSKÖLDSVIK</t>
        </is>
      </c>
      <c r="F1007" t="inlineStr">
        <is>
          <t>Kyrkan</t>
        </is>
      </c>
      <c r="G1007" t="n">
        <v>4.9</v>
      </c>
      <c r="H1007" t="n">
        <v>0</v>
      </c>
      <c r="I1007" t="n">
        <v>0</v>
      </c>
      <c r="J1007" t="n">
        <v>1</v>
      </c>
      <c r="K1007" t="n">
        <v>0</v>
      </c>
      <c r="L1007" t="n">
        <v>0</v>
      </c>
      <c r="M1007" t="n">
        <v>0</v>
      </c>
      <c r="N1007" t="n">
        <v>0</v>
      </c>
      <c r="O1007" t="n">
        <v>1</v>
      </c>
      <c r="P1007" t="n">
        <v>0</v>
      </c>
      <c r="Q1007" t="n">
        <v>1</v>
      </c>
      <c r="R1007" s="2" t="inlineStr">
        <is>
          <t>Ullticka</t>
        </is>
      </c>
      <c r="S1007">
        <f>HYPERLINK("https://klasma.github.io/Logging_2284/artfynd/A 32388-2023 artfynd.xlsx", "A 32388-2023")</f>
        <v/>
      </c>
      <c r="T1007">
        <f>HYPERLINK("https://klasma.github.io/Logging_2284/kartor/A 32388-2023 karta.png", "A 32388-2023")</f>
        <v/>
      </c>
      <c r="V1007">
        <f>HYPERLINK("https://klasma.github.io/Logging_2284/klagomål/A 32388-2023 FSC-klagomål.docx", "A 32388-2023")</f>
        <v/>
      </c>
      <c r="W1007">
        <f>HYPERLINK("https://klasma.github.io/Logging_2284/klagomålsmail/A 32388-2023 FSC-klagomål mail.docx", "A 32388-2023")</f>
        <v/>
      </c>
      <c r="X1007">
        <f>HYPERLINK("https://klasma.github.io/Logging_2284/tillsyn/A 32388-2023 tillsynsbegäran.docx", "A 32388-2023")</f>
        <v/>
      </c>
      <c r="Y1007">
        <f>HYPERLINK("https://klasma.github.io/Logging_2284/tillsynsmail/A 32388-2023 tillsynsbegäran mail.docx", "A 32388-2023")</f>
        <v/>
      </c>
    </row>
    <row r="1008" ht="15" customHeight="1">
      <c r="A1008" t="inlineStr">
        <is>
          <t>A 29533-2024</t>
        </is>
      </c>
      <c r="B1008" s="1" t="n">
        <v>45484.4816087963</v>
      </c>
      <c r="C1008" s="1" t="n">
        <v>46093</v>
      </c>
      <c r="D1008" t="inlineStr">
        <is>
          <t>VÄSTERNORRLANDS LÄN</t>
        </is>
      </c>
      <c r="E1008" t="inlineStr">
        <is>
          <t>ÖRNSKÖLDSVIK</t>
        </is>
      </c>
      <c r="G1008" t="n">
        <v>5.2</v>
      </c>
      <c r="H1008" t="n">
        <v>1</v>
      </c>
      <c r="I1008" t="n">
        <v>0</v>
      </c>
      <c r="J1008" t="n">
        <v>1</v>
      </c>
      <c r="K1008" t="n">
        <v>0</v>
      </c>
      <c r="L1008" t="n">
        <v>0</v>
      </c>
      <c r="M1008" t="n">
        <v>0</v>
      </c>
      <c r="N1008" t="n">
        <v>0</v>
      </c>
      <c r="O1008" t="n">
        <v>1</v>
      </c>
      <c r="P1008" t="n">
        <v>0</v>
      </c>
      <c r="Q1008" t="n">
        <v>1</v>
      </c>
      <c r="R1008" s="2" t="inlineStr">
        <is>
          <t>Utter</t>
        </is>
      </c>
      <c r="S1008">
        <f>HYPERLINK("https://klasma.github.io/Logging_2284/artfynd/A 29533-2024 artfynd.xlsx", "A 29533-2024")</f>
        <v/>
      </c>
      <c r="T1008">
        <f>HYPERLINK("https://klasma.github.io/Logging_2284/kartor/A 29533-2024 karta.png", "A 29533-2024")</f>
        <v/>
      </c>
      <c r="V1008">
        <f>HYPERLINK("https://klasma.github.io/Logging_2284/klagomål/A 29533-2024 FSC-klagomål.docx", "A 29533-2024")</f>
        <v/>
      </c>
      <c r="W1008">
        <f>HYPERLINK("https://klasma.github.io/Logging_2284/klagomålsmail/A 29533-2024 FSC-klagomål mail.docx", "A 29533-2024")</f>
        <v/>
      </c>
      <c r="X1008">
        <f>HYPERLINK("https://klasma.github.io/Logging_2284/tillsyn/A 29533-2024 tillsynsbegäran.docx", "A 29533-2024")</f>
        <v/>
      </c>
      <c r="Y1008">
        <f>HYPERLINK("https://klasma.github.io/Logging_2284/tillsynsmail/A 29533-2024 tillsynsbegäran mail.docx", "A 29533-2024")</f>
        <v/>
      </c>
    </row>
    <row r="1009" ht="15" customHeight="1">
      <c r="A1009" t="inlineStr">
        <is>
          <t>A 35190-2025</t>
        </is>
      </c>
      <c r="B1009" s="1" t="n">
        <v>45853.34451388889</v>
      </c>
      <c r="C1009" s="1" t="n">
        <v>46093</v>
      </c>
      <c r="D1009" t="inlineStr">
        <is>
          <t>VÄSTERNORRLANDS LÄN</t>
        </is>
      </c>
      <c r="E1009" t="inlineStr">
        <is>
          <t>TIMRÅ</t>
        </is>
      </c>
      <c r="G1009" t="n">
        <v>2.6</v>
      </c>
      <c r="H1009" t="n">
        <v>1</v>
      </c>
      <c r="I1009" t="n">
        <v>0</v>
      </c>
      <c r="J1009" t="n">
        <v>0</v>
      </c>
      <c r="K1009" t="n">
        <v>0</v>
      </c>
      <c r="L1009" t="n">
        <v>0</v>
      </c>
      <c r="M1009" t="n">
        <v>0</v>
      </c>
      <c r="N1009" t="n">
        <v>0</v>
      </c>
      <c r="O1009" t="n">
        <v>0</v>
      </c>
      <c r="P1009" t="n">
        <v>0</v>
      </c>
      <c r="Q1009" t="n">
        <v>1</v>
      </c>
      <c r="R1009" s="2" t="inlineStr">
        <is>
          <t>Revlummer</t>
        </is>
      </c>
      <c r="S1009">
        <f>HYPERLINK("https://klasma.github.io/Logging_2262/artfynd/A 35190-2025 artfynd.xlsx", "A 35190-2025")</f>
        <v/>
      </c>
      <c r="T1009">
        <f>HYPERLINK("https://klasma.github.io/Logging_2262/kartor/A 35190-2025 karta.png", "A 35190-2025")</f>
        <v/>
      </c>
      <c r="V1009">
        <f>HYPERLINK("https://klasma.github.io/Logging_2262/klagomål/A 35190-2025 FSC-klagomål.docx", "A 35190-2025")</f>
        <v/>
      </c>
      <c r="W1009">
        <f>HYPERLINK("https://klasma.github.io/Logging_2262/klagomålsmail/A 35190-2025 FSC-klagomål mail.docx", "A 35190-2025")</f>
        <v/>
      </c>
      <c r="X1009">
        <f>HYPERLINK("https://klasma.github.io/Logging_2262/tillsyn/A 35190-2025 tillsynsbegäran.docx", "A 35190-2025")</f>
        <v/>
      </c>
      <c r="Y1009">
        <f>HYPERLINK("https://klasma.github.io/Logging_2262/tillsynsmail/A 35190-2025 tillsynsbegäran mail.docx", "A 35190-2025")</f>
        <v/>
      </c>
    </row>
    <row r="1010" ht="15" customHeight="1">
      <c r="A1010" t="inlineStr">
        <is>
          <t>A 18347-2023</t>
        </is>
      </c>
      <c r="B1010" s="1" t="n">
        <v>45040</v>
      </c>
      <c r="C1010" s="1" t="n">
        <v>46093</v>
      </c>
      <c r="D1010" t="inlineStr">
        <is>
          <t>VÄSTERNORRLANDS LÄN</t>
        </is>
      </c>
      <c r="E1010" t="inlineStr">
        <is>
          <t>SUNDSVALL</t>
        </is>
      </c>
      <c r="G1010" t="n">
        <v>16.7</v>
      </c>
      <c r="H1010" t="n">
        <v>0</v>
      </c>
      <c r="I1010" t="n">
        <v>0</v>
      </c>
      <c r="J1010" t="n">
        <v>1</v>
      </c>
      <c r="K1010" t="n">
        <v>0</v>
      </c>
      <c r="L1010" t="n">
        <v>0</v>
      </c>
      <c r="M1010" t="n">
        <v>0</v>
      </c>
      <c r="N1010" t="n">
        <v>0</v>
      </c>
      <c r="O1010" t="n">
        <v>1</v>
      </c>
      <c r="P1010" t="n">
        <v>0</v>
      </c>
      <c r="Q1010" t="n">
        <v>1</v>
      </c>
      <c r="R1010" s="2" t="inlineStr">
        <is>
          <t>Garnlav</t>
        </is>
      </c>
      <c r="S1010">
        <f>HYPERLINK("https://klasma.github.io/Logging_2281/artfynd/A 18347-2023 artfynd.xlsx", "A 18347-2023")</f>
        <v/>
      </c>
      <c r="T1010">
        <f>HYPERLINK("https://klasma.github.io/Logging_2281/kartor/A 18347-2023 karta.png", "A 18347-2023")</f>
        <v/>
      </c>
      <c r="V1010">
        <f>HYPERLINK("https://klasma.github.io/Logging_2281/klagomål/A 18347-2023 FSC-klagomål.docx", "A 18347-2023")</f>
        <v/>
      </c>
      <c r="W1010">
        <f>HYPERLINK("https://klasma.github.io/Logging_2281/klagomålsmail/A 18347-2023 FSC-klagomål mail.docx", "A 18347-2023")</f>
        <v/>
      </c>
      <c r="X1010">
        <f>HYPERLINK("https://klasma.github.io/Logging_2281/tillsyn/A 18347-2023 tillsynsbegäran.docx", "A 18347-2023")</f>
        <v/>
      </c>
      <c r="Y1010">
        <f>HYPERLINK("https://klasma.github.io/Logging_2281/tillsynsmail/A 18347-2023 tillsynsbegäran mail.docx", "A 18347-2023")</f>
        <v/>
      </c>
    </row>
    <row r="1011" ht="15" customHeight="1">
      <c r="A1011" t="inlineStr">
        <is>
          <t>A 35217-2025</t>
        </is>
      </c>
      <c r="B1011" s="1" t="n">
        <v>45853.49020833334</v>
      </c>
      <c r="C1011" s="1" t="n">
        <v>46093</v>
      </c>
      <c r="D1011" t="inlineStr">
        <is>
          <t>VÄSTERNORRLANDS LÄN</t>
        </is>
      </c>
      <c r="E1011" t="inlineStr">
        <is>
          <t>SOLLEFTEÅ</t>
        </is>
      </c>
      <c r="F1011" t="inlineStr">
        <is>
          <t>SCA</t>
        </is>
      </c>
      <c r="G1011" t="n">
        <v>2.1</v>
      </c>
      <c r="H1011" t="n">
        <v>1</v>
      </c>
      <c r="I1011" t="n">
        <v>0</v>
      </c>
      <c r="J1011" t="n">
        <v>0</v>
      </c>
      <c r="K1011" t="n">
        <v>0</v>
      </c>
      <c r="L1011" t="n">
        <v>0</v>
      </c>
      <c r="M1011" t="n">
        <v>0</v>
      </c>
      <c r="N1011" t="n">
        <v>0</v>
      </c>
      <c r="O1011" t="n">
        <v>0</v>
      </c>
      <c r="P1011" t="n">
        <v>0</v>
      </c>
      <c r="Q1011" t="n">
        <v>1</v>
      </c>
      <c r="R1011" s="2" t="inlineStr">
        <is>
          <t>Mattlummer</t>
        </is>
      </c>
      <c r="S1011">
        <f>HYPERLINK("https://klasma.github.io/Logging_2283/artfynd/A 35217-2025 artfynd.xlsx", "A 35217-2025")</f>
        <v/>
      </c>
      <c r="T1011">
        <f>HYPERLINK("https://klasma.github.io/Logging_2283/kartor/A 35217-2025 karta.png", "A 35217-2025")</f>
        <v/>
      </c>
      <c r="V1011">
        <f>HYPERLINK("https://klasma.github.io/Logging_2283/klagomål/A 35217-2025 FSC-klagomål.docx", "A 35217-2025")</f>
        <v/>
      </c>
      <c r="W1011">
        <f>HYPERLINK("https://klasma.github.io/Logging_2283/klagomålsmail/A 35217-2025 FSC-klagomål mail.docx", "A 35217-2025")</f>
        <v/>
      </c>
      <c r="X1011">
        <f>HYPERLINK("https://klasma.github.io/Logging_2283/tillsyn/A 35217-2025 tillsynsbegäran.docx", "A 35217-2025")</f>
        <v/>
      </c>
      <c r="Y1011">
        <f>HYPERLINK("https://klasma.github.io/Logging_2283/tillsynsmail/A 35217-2025 tillsynsbegäran mail.docx", "A 35217-2025")</f>
        <v/>
      </c>
    </row>
    <row r="1012" ht="15" customHeight="1">
      <c r="A1012" t="inlineStr">
        <is>
          <t>A 25791-2025</t>
        </is>
      </c>
      <c r="B1012" s="1" t="n">
        <v>45804.38903935185</v>
      </c>
      <c r="C1012" s="1" t="n">
        <v>46093</v>
      </c>
      <c r="D1012" t="inlineStr">
        <is>
          <t>VÄSTERNORRLANDS LÄN</t>
        </is>
      </c>
      <c r="E1012" t="inlineStr">
        <is>
          <t>SUNDSVALL</t>
        </is>
      </c>
      <c r="G1012" t="n">
        <v>2.8</v>
      </c>
      <c r="H1012" t="n">
        <v>1</v>
      </c>
      <c r="I1012" t="n">
        <v>0</v>
      </c>
      <c r="J1012" t="n">
        <v>1</v>
      </c>
      <c r="K1012" t="n">
        <v>0</v>
      </c>
      <c r="L1012" t="n">
        <v>0</v>
      </c>
      <c r="M1012" t="n">
        <v>0</v>
      </c>
      <c r="N1012" t="n">
        <v>0</v>
      </c>
      <c r="O1012" t="n">
        <v>1</v>
      </c>
      <c r="P1012" t="n">
        <v>0</v>
      </c>
      <c r="Q1012" t="n">
        <v>1</v>
      </c>
      <c r="R1012" s="2" t="inlineStr">
        <is>
          <t>Hornuggla</t>
        </is>
      </c>
      <c r="S1012">
        <f>HYPERLINK("https://klasma.github.io/Logging_2281/artfynd/A 25791-2025 artfynd.xlsx", "A 25791-2025")</f>
        <v/>
      </c>
      <c r="T1012">
        <f>HYPERLINK("https://klasma.github.io/Logging_2281/kartor/A 25791-2025 karta.png", "A 25791-2025")</f>
        <v/>
      </c>
      <c r="V1012">
        <f>HYPERLINK("https://klasma.github.io/Logging_2281/klagomål/A 25791-2025 FSC-klagomål.docx", "A 25791-2025")</f>
        <v/>
      </c>
      <c r="W1012">
        <f>HYPERLINK("https://klasma.github.io/Logging_2281/klagomålsmail/A 25791-2025 FSC-klagomål mail.docx", "A 25791-2025")</f>
        <v/>
      </c>
      <c r="X1012">
        <f>HYPERLINK("https://klasma.github.io/Logging_2281/tillsyn/A 25791-2025 tillsynsbegäran.docx", "A 25791-2025")</f>
        <v/>
      </c>
      <c r="Y1012">
        <f>HYPERLINK("https://klasma.github.io/Logging_2281/tillsynsmail/A 25791-2025 tillsynsbegäran mail.docx", "A 25791-2025")</f>
        <v/>
      </c>
      <c r="Z1012">
        <f>HYPERLINK("https://klasma.github.io/Logging_2281/fåglar/A 25791-2025 prioriterade fågelarter.docx", "A 25791-2025")</f>
        <v/>
      </c>
    </row>
    <row r="1013" ht="15" customHeight="1">
      <c r="A1013" t="inlineStr">
        <is>
          <t>A 8921-2024</t>
        </is>
      </c>
      <c r="B1013" s="1" t="n">
        <v>45355</v>
      </c>
      <c r="C1013" s="1" t="n">
        <v>46093</v>
      </c>
      <c r="D1013" t="inlineStr">
        <is>
          <t>VÄSTERNORRLANDS LÄN</t>
        </is>
      </c>
      <c r="E1013" t="inlineStr">
        <is>
          <t>HÄRNÖSAND</t>
        </is>
      </c>
      <c r="G1013" t="n">
        <v>3.7</v>
      </c>
      <c r="H1013" t="n">
        <v>0</v>
      </c>
      <c r="I1013" t="n">
        <v>0</v>
      </c>
      <c r="J1013" t="n">
        <v>1</v>
      </c>
      <c r="K1013" t="n">
        <v>0</v>
      </c>
      <c r="L1013" t="n">
        <v>0</v>
      </c>
      <c r="M1013" t="n">
        <v>0</v>
      </c>
      <c r="N1013" t="n">
        <v>0</v>
      </c>
      <c r="O1013" t="n">
        <v>1</v>
      </c>
      <c r="P1013" t="n">
        <v>0</v>
      </c>
      <c r="Q1013" t="n">
        <v>1</v>
      </c>
      <c r="R1013" s="2" t="inlineStr">
        <is>
          <t>Apelsinticka</t>
        </is>
      </c>
      <c r="S1013">
        <f>HYPERLINK("https://klasma.github.io/Logging_2280/artfynd/A 8921-2024 artfynd.xlsx", "A 8921-2024")</f>
        <v/>
      </c>
      <c r="T1013">
        <f>HYPERLINK("https://klasma.github.io/Logging_2280/kartor/A 8921-2024 karta.png", "A 8921-2024")</f>
        <v/>
      </c>
      <c r="V1013">
        <f>HYPERLINK("https://klasma.github.io/Logging_2280/klagomål/A 8921-2024 FSC-klagomål.docx", "A 8921-2024")</f>
        <v/>
      </c>
      <c r="W1013">
        <f>HYPERLINK("https://klasma.github.io/Logging_2280/klagomålsmail/A 8921-2024 FSC-klagomål mail.docx", "A 8921-2024")</f>
        <v/>
      </c>
      <c r="X1013">
        <f>HYPERLINK("https://klasma.github.io/Logging_2280/tillsyn/A 8921-2024 tillsynsbegäran.docx", "A 8921-2024")</f>
        <v/>
      </c>
      <c r="Y1013">
        <f>HYPERLINK("https://klasma.github.io/Logging_2280/tillsynsmail/A 8921-2024 tillsynsbegäran mail.docx", "A 8921-2024")</f>
        <v/>
      </c>
    </row>
    <row r="1014" ht="15" customHeight="1">
      <c r="A1014" t="inlineStr">
        <is>
          <t>A 25310-2023</t>
        </is>
      </c>
      <c r="B1014" s="1" t="n">
        <v>45086</v>
      </c>
      <c r="C1014" s="1" t="n">
        <v>46093</v>
      </c>
      <c r="D1014" t="inlineStr">
        <is>
          <t>VÄSTERNORRLANDS LÄN</t>
        </is>
      </c>
      <c r="E1014" t="inlineStr">
        <is>
          <t>SOLLEFTEÅ</t>
        </is>
      </c>
      <c r="F1014" t="inlineStr">
        <is>
          <t>SCA</t>
        </is>
      </c>
      <c r="G1014" t="n">
        <v>1.1</v>
      </c>
      <c r="H1014" t="n">
        <v>1</v>
      </c>
      <c r="I1014" t="n">
        <v>0</v>
      </c>
      <c r="J1014" t="n">
        <v>1</v>
      </c>
      <c r="K1014" t="n">
        <v>0</v>
      </c>
      <c r="L1014" t="n">
        <v>0</v>
      </c>
      <c r="M1014" t="n">
        <v>0</v>
      </c>
      <c r="N1014" t="n">
        <v>0</v>
      </c>
      <c r="O1014" t="n">
        <v>1</v>
      </c>
      <c r="P1014" t="n">
        <v>0</v>
      </c>
      <c r="Q1014" t="n">
        <v>1</v>
      </c>
      <c r="R1014" s="2" t="inlineStr">
        <is>
          <t>Tretåig hackspett</t>
        </is>
      </c>
      <c r="S1014">
        <f>HYPERLINK("https://klasma.github.io/Logging_2283/artfynd/A 25310-2023 artfynd.xlsx", "A 25310-2023")</f>
        <v/>
      </c>
      <c r="T1014">
        <f>HYPERLINK("https://klasma.github.io/Logging_2283/kartor/A 25310-2023 karta.png", "A 25310-2023")</f>
        <v/>
      </c>
      <c r="V1014">
        <f>HYPERLINK("https://klasma.github.io/Logging_2283/klagomål/A 25310-2023 FSC-klagomål.docx", "A 25310-2023")</f>
        <v/>
      </c>
      <c r="W1014">
        <f>HYPERLINK("https://klasma.github.io/Logging_2283/klagomålsmail/A 25310-2023 FSC-klagomål mail.docx", "A 25310-2023")</f>
        <v/>
      </c>
      <c r="X1014">
        <f>HYPERLINK("https://klasma.github.io/Logging_2283/tillsyn/A 25310-2023 tillsynsbegäran.docx", "A 25310-2023")</f>
        <v/>
      </c>
      <c r="Y1014">
        <f>HYPERLINK("https://klasma.github.io/Logging_2283/tillsynsmail/A 25310-2023 tillsynsbegäran mail.docx", "A 25310-2023")</f>
        <v/>
      </c>
      <c r="Z1014">
        <f>HYPERLINK("https://klasma.github.io/Logging_2283/fåglar/A 25310-2023 prioriterade fågelarter.docx", "A 25310-2023")</f>
        <v/>
      </c>
    </row>
    <row r="1015" ht="15" customHeight="1">
      <c r="A1015" t="inlineStr">
        <is>
          <t>A 18793-2025</t>
        </is>
      </c>
      <c r="B1015" s="1" t="n">
        <v>45764.34525462963</v>
      </c>
      <c r="C1015" s="1" t="n">
        <v>46093</v>
      </c>
      <c r="D1015" t="inlineStr">
        <is>
          <t>VÄSTERNORRLANDS LÄN</t>
        </is>
      </c>
      <c r="E1015" t="inlineStr">
        <is>
          <t>KRAMFORS</t>
        </is>
      </c>
      <c r="F1015" t="inlineStr">
        <is>
          <t>SCA</t>
        </is>
      </c>
      <c r="G1015" t="n">
        <v>2.8</v>
      </c>
      <c r="H1015" t="n">
        <v>1</v>
      </c>
      <c r="I1015" t="n">
        <v>0</v>
      </c>
      <c r="J1015" t="n">
        <v>1</v>
      </c>
      <c r="K1015" t="n">
        <v>0</v>
      </c>
      <c r="L1015" t="n">
        <v>0</v>
      </c>
      <c r="M1015" t="n">
        <v>0</v>
      </c>
      <c r="N1015" t="n">
        <v>0</v>
      </c>
      <c r="O1015" t="n">
        <v>1</v>
      </c>
      <c r="P1015" t="n">
        <v>0</v>
      </c>
      <c r="Q1015" t="n">
        <v>1</v>
      </c>
      <c r="R1015" s="2" t="inlineStr">
        <is>
          <t>Nordfladdermus</t>
        </is>
      </c>
      <c r="S1015">
        <f>HYPERLINK("https://klasma.github.io/Logging_2282/artfynd/A 18793-2025 artfynd.xlsx", "A 18793-2025")</f>
        <v/>
      </c>
      <c r="T1015">
        <f>HYPERLINK("https://klasma.github.io/Logging_2282/kartor/A 18793-2025 karta.png", "A 18793-2025")</f>
        <v/>
      </c>
      <c r="V1015">
        <f>HYPERLINK("https://klasma.github.io/Logging_2282/klagomål/A 18793-2025 FSC-klagomål.docx", "A 18793-2025")</f>
        <v/>
      </c>
      <c r="W1015">
        <f>HYPERLINK("https://klasma.github.io/Logging_2282/klagomålsmail/A 18793-2025 FSC-klagomål mail.docx", "A 18793-2025")</f>
        <v/>
      </c>
      <c r="X1015">
        <f>HYPERLINK("https://klasma.github.io/Logging_2282/tillsyn/A 18793-2025 tillsynsbegäran.docx", "A 18793-2025")</f>
        <v/>
      </c>
      <c r="Y1015">
        <f>HYPERLINK("https://klasma.github.io/Logging_2282/tillsynsmail/A 18793-2025 tillsynsbegäran mail.docx", "A 18793-2025")</f>
        <v/>
      </c>
    </row>
    <row r="1016" ht="15" customHeight="1">
      <c r="A1016" t="inlineStr">
        <is>
          <t>A 48670-2024</t>
        </is>
      </c>
      <c r="B1016" s="1" t="n">
        <v>45593.49070601852</v>
      </c>
      <c r="C1016" s="1" t="n">
        <v>46093</v>
      </c>
      <c r="D1016" t="inlineStr">
        <is>
          <t>VÄSTERNORRLANDS LÄN</t>
        </is>
      </c>
      <c r="E1016" t="inlineStr">
        <is>
          <t>HÄRNÖSAND</t>
        </is>
      </c>
      <c r="F1016" t="inlineStr">
        <is>
          <t>SCA</t>
        </is>
      </c>
      <c r="G1016" t="n">
        <v>1.4</v>
      </c>
      <c r="H1016" t="n">
        <v>1</v>
      </c>
      <c r="I1016" t="n">
        <v>1</v>
      </c>
      <c r="J1016" t="n">
        <v>0</v>
      </c>
      <c r="K1016" t="n">
        <v>0</v>
      </c>
      <c r="L1016" t="n">
        <v>0</v>
      </c>
      <c r="M1016" t="n">
        <v>0</v>
      </c>
      <c r="N1016" t="n">
        <v>0</v>
      </c>
      <c r="O1016" t="n">
        <v>0</v>
      </c>
      <c r="P1016" t="n">
        <v>0</v>
      </c>
      <c r="Q1016" t="n">
        <v>1</v>
      </c>
      <c r="R1016" s="2" t="inlineStr">
        <is>
          <t>Spindelblomster</t>
        </is>
      </c>
      <c r="S1016">
        <f>HYPERLINK("https://klasma.github.io/Logging_2280/artfynd/A 48670-2024 artfynd.xlsx", "A 48670-2024")</f>
        <v/>
      </c>
      <c r="T1016">
        <f>HYPERLINK("https://klasma.github.io/Logging_2280/kartor/A 48670-2024 karta.png", "A 48670-2024")</f>
        <v/>
      </c>
      <c r="V1016">
        <f>HYPERLINK("https://klasma.github.io/Logging_2280/klagomål/A 48670-2024 FSC-klagomål.docx", "A 48670-2024")</f>
        <v/>
      </c>
      <c r="W1016">
        <f>HYPERLINK("https://klasma.github.io/Logging_2280/klagomålsmail/A 48670-2024 FSC-klagomål mail.docx", "A 48670-2024")</f>
        <v/>
      </c>
      <c r="X1016">
        <f>HYPERLINK("https://klasma.github.io/Logging_2280/tillsyn/A 48670-2024 tillsynsbegäran.docx", "A 48670-2024")</f>
        <v/>
      </c>
      <c r="Y1016">
        <f>HYPERLINK("https://klasma.github.io/Logging_2280/tillsynsmail/A 48670-2024 tillsynsbegäran mail.docx", "A 48670-2024")</f>
        <v/>
      </c>
    </row>
    <row r="1017" ht="15" customHeight="1">
      <c r="A1017" t="inlineStr">
        <is>
          <t>A 28512-2024</t>
        </is>
      </c>
      <c r="B1017" s="1" t="n">
        <v>45477</v>
      </c>
      <c r="C1017" s="1" t="n">
        <v>46093</v>
      </c>
      <c r="D1017" t="inlineStr">
        <is>
          <t>VÄSTERNORRLANDS LÄN</t>
        </is>
      </c>
      <c r="E1017" t="inlineStr">
        <is>
          <t>HÄRNÖSAND</t>
        </is>
      </c>
      <c r="G1017" t="n">
        <v>5.8</v>
      </c>
      <c r="H1017" t="n">
        <v>0</v>
      </c>
      <c r="I1017" t="n">
        <v>1</v>
      </c>
      <c r="J1017" t="n">
        <v>0</v>
      </c>
      <c r="K1017" t="n">
        <v>0</v>
      </c>
      <c r="L1017" t="n">
        <v>0</v>
      </c>
      <c r="M1017" t="n">
        <v>0</v>
      </c>
      <c r="N1017" t="n">
        <v>0</v>
      </c>
      <c r="O1017" t="n">
        <v>0</v>
      </c>
      <c r="P1017" t="n">
        <v>0</v>
      </c>
      <c r="Q1017" t="n">
        <v>1</v>
      </c>
      <c r="R1017" s="2" t="inlineStr">
        <is>
          <t>Scharlakansvårskål agg.</t>
        </is>
      </c>
      <c r="S1017">
        <f>HYPERLINK("https://klasma.github.io/Logging_2280/artfynd/A 28512-2024 artfynd.xlsx", "A 28512-2024")</f>
        <v/>
      </c>
      <c r="T1017">
        <f>HYPERLINK("https://klasma.github.io/Logging_2280/kartor/A 28512-2024 karta.png", "A 28512-2024")</f>
        <v/>
      </c>
      <c r="V1017">
        <f>HYPERLINK("https://klasma.github.io/Logging_2280/klagomål/A 28512-2024 FSC-klagomål.docx", "A 28512-2024")</f>
        <v/>
      </c>
      <c r="W1017">
        <f>HYPERLINK("https://klasma.github.io/Logging_2280/klagomålsmail/A 28512-2024 FSC-klagomål mail.docx", "A 28512-2024")</f>
        <v/>
      </c>
      <c r="X1017">
        <f>HYPERLINK("https://klasma.github.io/Logging_2280/tillsyn/A 28512-2024 tillsynsbegäran.docx", "A 28512-2024")</f>
        <v/>
      </c>
      <c r="Y1017">
        <f>HYPERLINK("https://klasma.github.io/Logging_2280/tillsynsmail/A 28512-2024 tillsynsbegäran mail.docx", "A 28512-2024")</f>
        <v/>
      </c>
    </row>
    <row r="1018" ht="15" customHeight="1">
      <c r="A1018" t="inlineStr">
        <is>
          <t>A 42961-2024</t>
        </is>
      </c>
      <c r="B1018" s="1" t="n">
        <v>45567</v>
      </c>
      <c r="C1018" s="1" t="n">
        <v>46093</v>
      </c>
      <c r="D1018" t="inlineStr">
        <is>
          <t>VÄSTERNORRLANDS LÄN</t>
        </is>
      </c>
      <c r="E1018" t="inlineStr">
        <is>
          <t>HÄRNÖSAND</t>
        </is>
      </c>
      <c r="F1018" t="inlineStr">
        <is>
          <t>SCA</t>
        </is>
      </c>
      <c r="G1018" t="n">
        <v>11.6</v>
      </c>
      <c r="H1018" t="n">
        <v>0</v>
      </c>
      <c r="I1018" t="n">
        <v>0</v>
      </c>
      <c r="J1018" t="n">
        <v>1</v>
      </c>
      <c r="K1018" t="n">
        <v>0</v>
      </c>
      <c r="L1018" t="n">
        <v>0</v>
      </c>
      <c r="M1018" t="n">
        <v>0</v>
      </c>
      <c r="N1018" t="n">
        <v>0</v>
      </c>
      <c r="O1018" t="n">
        <v>1</v>
      </c>
      <c r="P1018" t="n">
        <v>0</v>
      </c>
      <c r="Q1018" t="n">
        <v>1</v>
      </c>
      <c r="R1018" s="2" t="inlineStr">
        <is>
          <t>Garnlav</t>
        </is>
      </c>
      <c r="S1018">
        <f>HYPERLINK("https://klasma.github.io/Logging_2280/artfynd/A 42961-2024 artfynd.xlsx", "A 42961-2024")</f>
        <v/>
      </c>
      <c r="T1018">
        <f>HYPERLINK("https://klasma.github.io/Logging_2280/kartor/A 42961-2024 karta.png", "A 42961-2024")</f>
        <v/>
      </c>
      <c r="V1018">
        <f>HYPERLINK("https://klasma.github.io/Logging_2280/klagomål/A 42961-2024 FSC-klagomål.docx", "A 42961-2024")</f>
        <v/>
      </c>
      <c r="W1018">
        <f>HYPERLINK("https://klasma.github.io/Logging_2280/klagomålsmail/A 42961-2024 FSC-klagomål mail.docx", "A 42961-2024")</f>
        <v/>
      </c>
      <c r="X1018">
        <f>HYPERLINK("https://klasma.github.io/Logging_2280/tillsyn/A 42961-2024 tillsynsbegäran.docx", "A 42961-2024")</f>
        <v/>
      </c>
      <c r="Y1018">
        <f>HYPERLINK("https://klasma.github.io/Logging_2280/tillsynsmail/A 42961-2024 tillsynsbegäran mail.docx", "A 42961-2024")</f>
        <v/>
      </c>
    </row>
    <row r="1019" ht="15" customHeight="1">
      <c r="A1019" t="inlineStr">
        <is>
          <t>A 6770-2023</t>
        </is>
      </c>
      <c r="B1019" s="1" t="n">
        <v>44966</v>
      </c>
      <c r="C1019" s="1" t="n">
        <v>46093</v>
      </c>
      <c r="D1019" t="inlineStr">
        <is>
          <t>VÄSTERNORRLANDS LÄN</t>
        </is>
      </c>
      <c r="E1019" t="inlineStr">
        <is>
          <t>TIMRÅ</t>
        </is>
      </c>
      <c r="G1019" t="n">
        <v>3.3</v>
      </c>
      <c r="H1019" t="n">
        <v>0</v>
      </c>
      <c r="I1019" t="n">
        <v>0</v>
      </c>
      <c r="J1019" t="n">
        <v>1</v>
      </c>
      <c r="K1019" t="n">
        <v>0</v>
      </c>
      <c r="L1019" t="n">
        <v>0</v>
      </c>
      <c r="M1019" t="n">
        <v>0</v>
      </c>
      <c r="N1019" t="n">
        <v>0</v>
      </c>
      <c r="O1019" t="n">
        <v>1</v>
      </c>
      <c r="P1019" t="n">
        <v>0</v>
      </c>
      <c r="Q1019" t="n">
        <v>1</v>
      </c>
      <c r="R1019" s="2" t="inlineStr">
        <is>
          <t>Skogshare</t>
        </is>
      </c>
      <c r="S1019">
        <f>HYPERLINK("https://klasma.github.io/Logging_2262/artfynd/A 6770-2023 artfynd.xlsx", "A 6770-2023")</f>
        <v/>
      </c>
      <c r="T1019">
        <f>HYPERLINK("https://klasma.github.io/Logging_2262/kartor/A 6770-2023 karta.png", "A 6770-2023")</f>
        <v/>
      </c>
      <c r="V1019">
        <f>HYPERLINK("https://klasma.github.io/Logging_2262/klagomål/A 6770-2023 FSC-klagomål.docx", "A 6770-2023")</f>
        <v/>
      </c>
      <c r="W1019">
        <f>HYPERLINK("https://klasma.github.io/Logging_2262/klagomålsmail/A 6770-2023 FSC-klagomål mail.docx", "A 6770-2023")</f>
        <v/>
      </c>
      <c r="X1019">
        <f>HYPERLINK("https://klasma.github.io/Logging_2262/tillsyn/A 6770-2023 tillsynsbegäran.docx", "A 6770-2023")</f>
        <v/>
      </c>
      <c r="Y1019">
        <f>HYPERLINK("https://klasma.github.io/Logging_2262/tillsynsmail/A 6770-2023 tillsynsbegäran mail.docx", "A 6770-2023")</f>
        <v/>
      </c>
    </row>
    <row r="1020" ht="15" customHeight="1">
      <c r="A1020" t="inlineStr">
        <is>
          <t>A 22428-2025</t>
        </is>
      </c>
      <c r="B1020" s="1" t="n">
        <v>45786.57351851852</v>
      </c>
      <c r="C1020" s="1" t="n">
        <v>46093</v>
      </c>
      <c r="D1020" t="inlineStr">
        <is>
          <t>VÄSTERNORRLANDS LÄN</t>
        </is>
      </c>
      <c r="E1020" t="inlineStr">
        <is>
          <t>SOLLEFTEÅ</t>
        </is>
      </c>
      <c r="G1020" t="n">
        <v>11.6</v>
      </c>
      <c r="H1020" t="n">
        <v>1</v>
      </c>
      <c r="I1020" t="n">
        <v>0</v>
      </c>
      <c r="J1020" t="n">
        <v>1</v>
      </c>
      <c r="K1020" t="n">
        <v>0</v>
      </c>
      <c r="L1020" t="n">
        <v>0</v>
      </c>
      <c r="M1020" t="n">
        <v>0</v>
      </c>
      <c r="N1020" t="n">
        <v>0</v>
      </c>
      <c r="O1020" t="n">
        <v>1</v>
      </c>
      <c r="P1020" t="n">
        <v>0</v>
      </c>
      <c r="Q1020" t="n">
        <v>1</v>
      </c>
      <c r="R1020" s="2" t="inlineStr">
        <is>
          <t>Tretåig hackspett</t>
        </is>
      </c>
      <c r="S1020">
        <f>HYPERLINK("https://klasma.github.io/Logging_2283/artfynd/A 22428-2025 artfynd.xlsx", "A 22428-2025")</f>
        <v/>
      </c>
      <c r="T1020">
        <f>HYPERLINK("https://klasma.github.io/Logging_2283/kartor/A 22428-2025 karta.png", "A 22428-2025")</f>
        <v/>
      </c>
      <c r="V1020">
        <f>HYPERLINK("https://klasma.github.io/Logging_2283/klagomål/A 22428-2025 FSC-klagomål.docx", "A 22428-2025")</f>
        <v/>
      </c>
      <c r="W1020">
        <f>HYPERLINK("https://klasma.github.io/Logging_2283/klagomålsmail/A 22428-2025 FSC-klagomål mail.docx", "A 22428-2025")</f>
        <v/>
      </c>
      <c r="X1020">
        <f>HYPERLINK("https://klasma.github.io/Logging_2283/tillsyn/A 22428-2025 tillsynsbegäran.docx", "A 22428-2025")</f>
        <v/>
      </c>
      <c r="Y1020">
        <f>HYPERLINK("https://klasma.github.io/Logging_2283/tillsynsmail/A 22428-2025 tillsynsbegäran mail.docx", "A 22428-2025")</f>
        <v/>
      </c>
      <c r="Z1020">
        <f>HYPERLINK("https://klasma.github.io/Logging_2283/fåglar/A 22428-2025 prioriterade fågelarter.docx", "A 22428-2025")</f>
        <v/>
      </c>
    </row>
    <row r="1021" ht="15" customHeight="1">
      <c r="A1021" t="inlineStr">
        <is>
          <t>A 35648-2025</t>
        </is>
      </c>
      <c r="B1021" s="1" t="n">
        <v>45859.51670138889</v>
      </c>
      <c r="C1021" s="1" t="n">
        <v>46093</v>
      </c>
      <c r="D1021" t="inlineStr">
        <is>
          <t>VÄSTERNORRLANDS LÄN</t>
        </is>
      </c>
      <c r="E1021" t="inlineStr">
        <is>
          <t>ÅNGE</t>
        </is>
      </c>
      <c r="F1021" t="inlineStr">
        <is>
          <t>Sveaskog</t>
        </is>
      </c>
      <c r="G1021" t="n">
        <v>9.1</v>
      </c>
      <c r="H1021" t="n">
        <v>0</v>
      </c>
      <c r="I1021" t="n">
        <v>0</v>
      </c>
      <c r="J1021" t="n">
        <v>1</v>
      </c>
      <c r="K1021" t="n">
        <v>0</v>
      </c>
      <c r="L1021" t="n">
        <v>0</v>
      </c>
      <c r="M1021" t="n">
        <v>0</v>
      </c>
      <c r="N1021" t="n">
        <v>0</v>
      </c>
      <c r="O1021" t="n">
        <v>1</v>
      </c>
      <c r="P1021" t="n">
        <v>0</v>
      </c>
      <c r="Q1021" t="n">
        <v>1</v>
      </c>
      <c r="R1021" s="2" t="inlineStr">
        <is>
          <t>Lunglav</t>
        </is>
      </c>
      <c r="S1021">
        <f>HYPERLINK("https://klasma.github.io/Logging_2260/artfynd/A 35648-2025 artfynd.xlsx", "A 35648-2025")</f>
        <v/>
      </c>
      <c r="T1021">
        <f>HYPERLINK("https://klasma.github.io/Logging_2260/kartor/A 35648-2025 karta.png", "A 35648-2025")</f>
        <v/>
      </c>
      <c r="V1021">
        <f>HYPERLINK("https://klasma.github.io/Logging_2260/klagomål/A 35648-2025 FSC-klagomål.docx", "A 35648-2025")</f>
        <v/>
      </c>
      <c r="W1021">
        <f>HYPERLINK("https://klasma.github.io/Logging_2260/klagomålsmail/A 35648-2025 FSC-klagomål mail.docx", "A 35648-2025")</f>
        <v/>
      </c>
      <c r="X1021">
        <f>HYPERLINK("https://klasma.github.io/Logging_2260/tillsyn/A 35648-2025 tillsynsbegäran.docx", "A 35648-2025")</f>
        <v/>
      </c>
      <c r="Y1021">
        <f>HYPERLINK("https://klasma.github.io/Logging_2260/tillsynsmail/A 35648-2025 tillsynsbegäran mail.docx", "A 35648-2025")</f>
        <v/>
      </c>
    </row>
    <row r="1022" ht="15" customHeight="1">
      <c r="A1022" t="inlineStr">
        <is>
          <t>A 54734-2024</t>
        </is>
      </c>
      <c r="B1022" s="1" t="n">
        <v>45618.43879629629</v>
      </c>
      <c r="C1022" s="1" t="n">
        <v>46093</v>
      </c>
      <c r="D1022" t="inlineStr">
        <is>
          <t>VÄSTERNORRLANDS LÄN</t>
        </is>
      </c>
      <c r="E1022" t="inlineStr">
        <is>
          <t>SOLLEFTEÅ</t>
        </is>
      </c>
      <c r="F1022" t="inlineStr">
        <is>
          <t>SCA</t>
        </is>
      </c>
      <c r="G1022" t="n">
        <v>3.2</v>
      </c>
      <c r="H1022" t="n">
        <v>0</v>
      </c>
      <c r="I1022" t="n">
        <v>0</v>
      </c>
      <c r="J1022" t="n">
        <v>1</v>
      </c>
      <c r="K1022" t="n">
        <v>0</v>
      </c>
      <c r="L1022" t="n">
        <v>0</v>
      </c>
      <c r="M1022" t="n">
        <v>0</v>
      </c>
      <c r="N1022" t="n">
        <v>0</v>
      </c>
      <c r="O1022" t="n">
        <v>1</v>
      </c>
      <c r="P1022" t="n">
        <v>0</v>
      </c>
      <c r="Q1022" t="n">
        <v>1</v>
      </c>
      <c r="R1022" s="2" t="inlineStr">
        <is>
          <t>Ullticka</t>
        </is>
      </c>
      <c r="S1022">
        <f>HYPERLINK("https://klasma.github.io/Logging_2283/artfynd/A 54734-2024 artfynd.xlsx", "A 54734-2024")</f>
        <v/>
      </c>
      <c r="T1022">
        <f>HYPERLINK("https://klasma.github.io/Logging_2283/kartor/A 54734-2024 karta.png", "A 54734-2024")</f>
        <v/>
      </c>
      <c r="V1022">
        <f>HYPERLINK("https://klasma.github.io/Logging_2283/klagomål/A 54734-2024 FSC-klagomål.docx", "A 54734-2024")</f>
        <v/>
      </c>
      <c r="W1022">
        <f>HYPERLINK("https://klasma.github.io/Logging_2283/klagomålsmail/A 54734-2024 FSC-klagomål mail.docx", "A 54734-2024")</f>
        <v/>
      </c>
      <c r="X1022">
        <f>HYPERLINK("https://klasma.github.io/Logging_2283/tillsyn/A 54734-2024 tillsynsbegäran.docx", "A 54734-2024")</f>
        <v/>
      </c>
      <c r="Y1022">
        <f>HYPERLINK("https://klasma.github.io/Logging_2283/tillsynsmail/A 54734-2024 tillsynsbegäran mail.docx", "A 54734-2024")</f>
        <v/>
      </c>
    </row>
    <row r="1023" ht="15" customHeight="1">
      <c r="A1023" t="inlineStr">
        <is>
          <t>A 40571-2025</t>
        </is>
      </c>
      <c r="B1023" s="1" t="n">
        <v>45896.48994212963</v>
      </c>
      <c r="C1023" s="1" t="n">
        <v>46093</v>
      </c>
      <c r="D1023" t="inlineStr">
        <is>
          <t>VÄSTERNORRLANDS LÄN</t>
        </is>
      </c>
      <c r="E1023" t="inlineStr">
        <is>
          <t>ÖRNSKÖLDSVIK</t>
        </is>
      </c>
      <c r="F1023" t="inlineStr">
        <is>
          <t>SCA</t>
        </is>
      </c>
      <c r="G1023" t="n">
        <v>11.7</v>
      </c>
      <c r="H1023" t="n">
        <v>1</v>
      </c>
      <c r="I1023" t="n">
        <v>0</v>
      </c>
      <c r="J1023" t="n">
        <v>1</v>
      </c>
      <c r="K1023" t="n">
        <v>0</v>
      </c>
      <c r="L1023" t="n">
        <v>0</v>
      </c>
      <c r="M1023" t="n">
        <v>0</v>
      </c>
      <c r="N1023" t="n">
        <v>0</v>
      </c>
      <c r="O1023" t="n">
        <v>1</v>
      </c>
      <c r="P1023" t="n">
        <v>0</v>
      </c>
      <c r="Q1023" t="n">
        <v>1</v>
      </c>
      <c r="R1023" s="2" t="inlineStr">
        <is>
          <t>Järpe</t>
        </is>
      </c>
      <c r="S1023">
        <f>HYPERLINK("https://klasma.github.io/Logging_2284/artfynd/A 40571-2025 artfynd.xlsx", "A 40571-2025")</f>
        <v/>
      </c>
      <c r="T1023">
        <f>HYPERLINK("https://klasma.github.io/Logging_2284/kartor/A 40571-2025 karta.png", "A 40571-2025")</f>
        <v/>
      </c>
      <c r="V1023">
        <f>HYPERLINK("https://klasma.github.io/Logging_2284/klagomål/A 40571-2025 FSC-klagomål.docx", "A 40571-2025")</f>
        <v/>
      </c>
      <c r="W1023">
        <f>HYPERLINK("https://klasma.github.io/Logging_2284/klagomålsmail/A 40571-2025 FSC-klagomål mail.docx", "A 40571-2025")</f>
        <v/>
      </c>
      <c r="X1023">
        <f>HYPERLINK("https://klasma.github.io/Logging_2284/tillsyn/A 40571-2025 tillsynsbegäran.docx", "A 40571-2025")</f>
        <v/>
      </c>
      <c r="Y1023">
        <f>HYPERLINK("https://klasma.github.io/Logging_2284/tillsynsmail/A 40571-2025 tillsynsbegäran mail.docx", "A 40571-2025")</f>
        <v/>
      </c>
      <c r="Z1023">
        <f>HYPERLINK("https://klasma.github.io/Logging_2284/fåglar/A 40571-2025 prioriterade fågelarter.docx", "A 40571-2025")</f>
        <v/>
      </c>
    </row>
    <row r="1024" ht="15" customHeight="1">
      <c r="A1024" t="inlineStr">
        <is>
          <t>A 64922-2021</t>
        </is>
      </c>
      <c r="B1024" s="1" t="n">
        <v>44512</v>
      </c>
      <c r="C1024" s="1" t="n">
        <v>46093</v>
      </c>
      <c r="D1024" t="inlineStr">
        <is>
          <t>VÄSTERNORRLANDS LÄN</t>
        </is>
      </c>
      <c r="E1024" t="inlineStr">
        <is>
          <t>SUNDSVALL</t>
        </is>
      </c>
      <c r="F1024" t="inlineStr">
        <is>
          <t>Kommuner</t>
        </is>
      </c>
      <c r="G1024" t="n">
        <v>1.5</v>
      </c>
      <c r="H1024" t="n">
        <v>1</v>
      </c>
      <c r="I1024" t="n">
        <v>0</v>
      </c>
      <c r="J1024" t="n">
        <v>0</v>
      </c>
      <c r="K1024" t="n">
        <v>0</v>
      </c>
      <c r="L1024" t="n">
        <v>0</v>
      </c>
      <c r="M1024" t="n">
        <v>0</v>
      </c>
      <c r="N1024" t="n">
        <v>0</v>
      </c>
      <c r="O1024" t="n">
        <v>0</v>
      </c>
      <c r="P1024" t="n">
        <v>0</v>
      </c>
      <c r="Q1024" t="n">
        <v>1</v>
      </c>
      <c r="R1024" s="2" t="inlineStr">
        <is>
          <t>Näktergal</t>
        </is>
      </c>
      <c r="S1024">
        <f>HYPERLINK("https://klasma.github.io/Logging_2281/artfynd/A 64922-2021 artfynd.xlsx", "A 64922-2021")</f>
        <v/>
      </c>
      <c r="T1024">
        <f>HYPERLINK("https://klasma.github.io/Logging_2281/kartor/A 64922-2021 karta.png", "A 64922-2021")</f>
        <v/>
      </c>
      <c r="V1024">
        <f>HYPERLINK("https://klasma.github.io/Logging_2281/klagomål/A 64922-2021 FSC-klagomål.docx", "A 64922-2021")</f>
        <v/>
      </c>
      <c r="W1024">
        <f>HYPERLINK("https://klasma.github.io/Logging_2281/klagomålsmail/A 64922-2021 FSC-klagomål mail.docx", "A 64922-2021")</f>
        <v/>
      </c>
      <c r="X1024">
        <f>HYPERLINK("https://klasma.github.io/Logging_2281/tillsyn/A 64922-2021 tillsynsbegäran.docx", "A 64922-2021")</f>
        <v/>
      </c>
      <c r="Y1024">
        <f>HYPERLINK("https://klasma.github.io/Logging_2281/tillsynsmail/A 64922-2021 tillsynsbegäran mail.docx", "A 64922-2021")</f>
        <v/>
      </c>
      <c r="Z1024">
        <f>HYPERLINK("https://klasma.github.io/Logging_2281/fåglar/A 64922-2021 prioriterade fågelarter.docx", "A 64922-2021")</f>
        <v/>
      </c>
    </row>
    <row r="1025" ht="15" customHeight="1">
      <c r="A1025" t="inlineStr">
        <is>
          <t>A 35618-2025</t>
        </is>
      </c>
      <c r="B1025" s="1" t="n">
        <v>45859.41335648148</v>
      </c>
      <c r="C1025" s="1" t="n">
        <v>46093</v>
      </c>
      <c r="D1025" t="inlineStr">
        <is>
          <t>VÄSTERNORRLANDS LÄN</t>
        </is>
      </c>
      <c r="E1025" t="inlineStr">
        <is>
          <t>SOLLEFTEÅ</t>
        </is>
      </c>
      <c r="G1025" t="n">
        <v>6.9</v>
      </c>
      <c r="H1025" t="n">
        <v>1</v>
      </c>
      <c r="I1025" t="n">
        <v>0</v>
      </c>
      <c r="J1025" t="n">
        <v>1</v>
      </c>
      <c r="K1025" t="n">
        <v>0</v>
      </c>
      <c r="L1025" t="n">
        <v>0</v>
      </c>
      <c r="M1025" t="n">
        <v>0</v>
      </c>
      <c r="N1025" t="n">
        <v>0</v>
      </c>
      <c r="O1025" t="n">
        <v>1</v>
      </c>
      <c r="P1025" t="n">
        <v>0</v>
      </c>
      <c r="Q1025" t="n">
        <v>1</v>
      </c>
      <c r="R1025" s="2" t="inlineStr">
        <is>
          <t>Spillkråka</t>
        </is>
      </c>
      <c r="S1025">
        <f>HYPERLINK("https://klasma.github.io/Logging_2283/artfynd/A 35618-2025 artfynd.xlsx", "A 35618-2025")</f>
        <v/>
      </c>
      <c r="T1025">
        <f>HYPERLINK("https://klasma.github.io/Logging_2283/kartor/A 35618-2025 karta.png", "A 35618-2025")</f>
        <v/>
      </c>
      <c r="V1025">
        <f>HYPERLINK("https://klasma.github.io/Logging_2283/klagomål/A 35618-2025 FSC-klagomål.docx", "A 35618-2025")</f>
        <v/>
      </c>
      <c r="W1025">
        <f>HYPERLINK("https://klasma.github.io/Logging_2283/klagomålsmail/A 35618-2025 FSC-klagomål mail.docx", "A 35618-2025")</f>
        <v/>
      </c>
      <c r="X1025">
        <f>HYPERLINK("https://klasma.github.io/Logging_2283/tillsyn/A 35618-2025 tillsynsbegäran.docx", "A 35618-2025")</f>
        <v/>
      </c>
      <c r="Y1025">
        <f>HYPERLINK("https://klasma.github.io/Logging_2283/tillsynsmail/A 35618-2025 tillsynsbegäran mail.docx", "A 35618-2025")</f>
        <v/>
      </c>
      <c r="Z1025">
        <f>HYPERLINK("https://klasma.github.io/Logging_2283/fåglar/A 35618-2025 prioriterade fågelarter.docx", "A 35618-2025")</f>
        <v/>
      </c>
    </row>
    <row r="1026" ht="15" customHeight="1">
      <c r="A1026" t="inlineStr">
        <is>
          <t>A 1220-2023</t>
        </is>
      </c>
      <c r="B1026" s="1" t="n">
        <v>44935</v>
      </c>
      <c r="C1026" s="1" t="n">
        <v>46093</v>
      </c>
      <c r="D1026" t="inlineStr">
        <is>
          <t>VÄSTERNORRLANDS LÄN</t>
        </is>
      </c>
      <c r="E1026" t="inlineStr">
        <is>
          <t>SUNDSVALL</t>
        </is>
      </c>
      <c r="G1026" t="n">
        <v>2.7</v>
      </c>
      <c r="H1026" t="n">
        <v>1</v>
      </c>
      <c r="I1026" t="n">
        <v>0</v>
      </c>
      <c r="J1026" t="n">
        <v>1</v>
      </c>
      <c r="K1026" t="n">
        <v>0</v>
      </c>
      <c r="L1026" t="n">
        <v>0</v>
      </c>
      <c r="M1026" t="n">
        <v>0</v>
      </c>
      <c r="N1026" t="n">
        <v>0</v>
      </c>
      <c r="O1026" t="n">
        <v>1</v>
      </c>
      <c r="P1026" t="n">
        <v>0</v>
      </c>
      <c r="Q1026" t="n">
        <v>1</v>
      </c>
      <c r="R1026" s="2" t="inlineStr">
        <is>
          <t>Spillkråka</t>
        </is>
      </c>
      <c r="S1026">
        <f>HYPERLINK("https://klasma.github.io/Logging_2281/artfynd/A 1220-2023 artfynd.xlsx", "A 1220-2023")</f>
        <v/>
      </c>
      <c r="T1026">
        <f>HYPERLINK("https://klasma.github.io/Logging_2281/kartor/A 1220-2023 karta.png", "A 1220-2023")</f>
        <v/>
      </c>
      <c r="V1026">
        <f>HYPERLINK("https://klasma.github.io/Logging_2281/klagomål/A 1220-2023 FSC-klagomål.docx", "A 1220-2023")</f>
        <v/>
      </c>
      <c r="W1026">
        <f>HYPERLINK("https://klasma.github.io/Logging_2281/klagomålsmail/A 1220-2023 FSC-klagomål mail.docx", "A 1220-2023")</f>
        <v/>
      </c>
      <c r="X1026">
        <f>HYPERLINK("https://klasma.github.io/Logging_2281/tillsyn/A 1220-2023 tillsynsbegäran.docx", "A 1220-2023")</f>
        <v/>
      </c>
      <c r="Y1026">
        <f>HYPERLINK("https://klasma.github.io/Logging_2281/tillsynsmail/A 1220-2023 tillsynsbegäran mail.docx", "A 1220-2023")</f>
        <v/>
      </c>
      <c r="Z1026">
        <f>HYPERLINK("https://klasma.github.io/Logging_2281/fåglar/A 1220-2023 prioriterade fågelarter.docx", "A 1220-2023")</f>
        <v/>
      </c>
    </row>
    <row r="1027" ht="15" customHeight="1">
      <c r="A1027" t="inlineStr">
        <is>
          <t>A 31544-2024</t>
        </is>
      </c>
      <c r="B1027" s="1" t="n">
        <v>45505</v>
      </c>
      <c r="C1027" s="1" t="n">
        <v>46093</v>
      </c>
      <c r="D1027" t="inlineStr">
        <is>
          <t>VÄSTERNORRLANDS LÄN</t>
        </is>
      </c>
      <c r="E1027" t="inlineStr">
        <is>
          <t>ÅNGE</t>
        </is>
      </c>
      <c r="F1027" t="inlineStr">
        <is>
          <t>SCA</t>
        </is>
      </c>
      <c r="G1027" t="n">
        <v>3.5</v>
      </c>
      <c r="H1027" t="n">
        <v>0</v>
      </c>
      <c r="I1027" t="n">
        <v>0</v>
      </c>
      <c r="J1027" t="n">
        <v>1</v>
      </c>
      <c r="K1027" t="n">
        <v>0</v>
      </c>
      <c r="L1027" t="n">
        <v>0</v>
      </c>
      <c r="M1027" t="n">
        <v>0</v>
      </c>
      <c r="N1027" t="n">
        <v>0</v>
      </c>
      <c r="O1027" t="n">
        <v>1</v>
      </c>
      <c r="P1027" t="n">
        <v>0</v>
      </c>
      <c r="Q1027" t="n">
        <v>1</v>
      </c>
      <c r="R1027" s="2" t="inlineStr">
        <is>
          <t>Granticka</t>
        </is>
      </c>
      <c r="S1027">
        <f>HYPERLINK("https://klasma.github.io/Logging_2260/artfynd/A 31544-2024 artfynd.xlsx", "A 31544-2024")</f>
        <v/>
      </c>
      <c r="T1027">
        <f>HYPERLINK("https://klasma.github.io/Logging_2260/kartor/A 31544-2024 karta.png", "A 31544-2024")</f>
        <v/>
      </c>
      <c r="V1027">
        <f>HYPERLINK("https://klasma.github.io/Logging_2260/klagomål/A 31544-2024 FSC-klagomål.docx", "A 31544-2024")</f>
        <v/>
      </c>
      <c r="W1027">
        <f>HYPERLINK("https://klasma.github.io/Logging_2260/klagomålsmail/A 31544-2024 FSC-klagomål mail.docx", "A 31544-2024")</f>
        <v/>
      </c>
      <c r="X1027">
        <f>HYPERLINK("https://klasma.github.io/Logging_2260/tillsyn/A 31544-2024 tillsynsbegäran.docx", "A 31544-2024")</f>
        <v/>
      </c>
      <c r="Y1027">
        <f>HYPERLINK("https://klasma.github.io/Logging_2260/tillsynsmail/A 31544-2024 tillsynsbegäran mail.docx", "A 31544-2024")</f>
        <v/>
      </c>
    </row>
    <row r="1028" ht="15" customHeight="1">
      <c r="A1028" t="inlineStr">
        <is>
          <t>A 35839-2025</t>
        </is>
      </c>
      <c r="B1028" s="1" t="n">
        <v>45861.53943287037</v>
      </c>
      <c r="C1028" s="1" t="n">
        <v>46093</v>
      </c>
      <c r="D1028" t="inlineStr">
        <is>
          <t>VÄSTERNORRLANDS LÄN</t>
        </is>
      </c>
      <c r="E1028" t="inlineStr">
        <is>
          <t>ÅNGE</t>
        </is>
      </c>
      <c r="F1028" t="inlineStr">
        <is>
          <t>Sveaskog</t>
        </is>
      </c>
      <c r="G1028" t="n">
        <v>7.9</v>
      </c>
      <c r="H1028" t="n">
        <v>0</v>
      </c>
      <c r="I1028" t="n">
        <v>0</v>
      </c>
      <c r="J1028" t="n">
        <v>1</v>
      </c>
      <c r="K1028" t="n">
        <v>0</v>
      </c>
      <c r="L1028" t="n">
        <v>0</v>
      </c>
      <c r="M1028" t="n">
        <v>0</v>
      </c>
      <c r="N1028" t="n">
        <v>0</v>
      </c>
      <c r="O1028" t="n">
        <v>1</v>
      </c>
      <c r="P1028" t="n">
        <v>0</v>
      </c>
      <c r="Q1028" t="n">
        <v>1</v>
      </c>
      <c r="R1028" s="2" t="inlineStr">
        <is>
          <t>Lunglav</t>
        </is>
      </c>
      <c r="S1028">
        <f>HYPERLINK("https://klasma.github.io/Logging_2260/artfynd/A 35839-2025 artfynd.xlsx", "A 35839-2025")</f>
        <v/>
      </c>
      <c r="T1028">
        <f>HYPERLINK("https://klasma.github.io/Logging_2260/kartor/A 35839-2025 karta.png", "A 35839-2025")</f>
        <v/>
      </c>
      <c r="V1028">
        <f>HYPERLINK("https://klasma.github.io/Logging_2260/klagomål/A 35839-2025 FSC-klagomål.docx", "A 35839-2025")</f>
        <v/>
      </c>
      <c r="W1028">
        <f>HYPERLINK("https://klasma.github.io/Logging_2260/klagomålsmail/A 35839-2025 FSC-klagomål mail.docx", "A 35839-2025")</f>
        <v/>
      </c>
      <c r="X1028">
        <f>HYPERLINK("https://klasma.github.io/Logging_2260/tillsyn/A 35839-2025 tillsynsbegäran.docx", "A 35839-2025")</f>
        <v/>
      </c>
      <c r="Y1028">
        <f>HYPERLINK("https://klasma.github.io/Logging_2260/tillsynsmail/A 35839-2025 tillsynsbegäran mail.docx", "A 35839-2025")</f>
        <v/>
      </c>
    </row>
    <row r="1029" ht="15" customHeight="1">
      <c r="A1029" t="inlineStr">
        <is>
          <t>A 64642-2023</t>
        </is>
      </c>
      <c r="B1029" s="1" t="n">
        <v>45281</v>
      </c>
      <c r="C1029" s="1" t="n">
        <v>46093</v>
      </c>
      <c r="D1029" t="inlineStr">
        <is>
          <t>VÄSTERNORRLANDS LÄN</t>
        </is>
      </c>
      <c r="E1029" t="inlineStr">
        <is>
          <t>ÖRNSKÖLDSVIK</t>
        </is>
      </c>
      <c r="G1029" t="n">
        <v>0.7</v>
      </c>
      <c r="H1029" t="n">
        <v>0</v>
      </c>
      <c r="I1029" t="n">
        <v>1</v>
      </c>
      <c r="J1029" t="n">
        <v>0</v>
      </c>
      <c r="K1029" t="n">
        <v>0</v>
      </c>
      <c r="L1029" t="n">
        <v>0</v>
      </c>
      <c r="M1029" t="n">
        <v>0</v>
      </c>
      <c r="N1029" t="n">
        <v>0</v>
      </c>
      <c r="O1029" t="n">
        <v>0</v>
      </c>
      <c r="P1029" t="n">
        <v>0</v>
      </c>
      <c r="Q1029" t="n">
        <v>1</v>
      </c>
      <c r="R1029" s="2" t="inlineStr">
        <is>
          <t>Sotlav</t>
        </is>
      </c>
      <c r="S1029">
        <f>HYPERLINK("https://klasma.github.io/Logging_2284/artfynd/A 64642-2023 artfynd.xlsx", "A 64642-2023")</f>
        <v/>
      </c>
      <c r="T1029">
        <f>HYPERLINK("https://klasma.github.io/Logging_2284/kartor/A 64642-2023 karta.png", "A 64642-2023")</f>
        <v/>
      </c>
      <c r="V1029">
        <f>HYPERLINK("https://klasma.github.io/Logging_2284/klagomål/A 64642-2023 FSC-klagomål.docx", "A 64642-2023")</f>
        <v/>
      </c>
      <c r="W1029">
        <f>HYPERLINK("https://klasma.github.io/Logging_2284/klagomålsmail/A 64642-2023 FSC-klagomål mail.docx", "A 64642-2023")</f>
        <v/>
      </c>
      <c r="X1029">
        <f>HYPERLINK("https://klasma.github.io/Logging_2284/tillsyn/A 64642-2023 tillsynsbegäran.docx", "A 64642-2023")</f>
        <v/>
      </c>
      <c r="Y1029">
        <f>HYPERLINK("https://klasma.github.io/Logging_2284/tillsynsmail/A 64642-2023 tillsynsbegäran mail.docx", "A 64642-2023")</f>
        <v/>
      </c>
    </row>
    <row r="1030" ht="15" customHeight="1">
      <c r="A1030" t="inlineStr">
        <is>
          <t>A 49366-2024</t>
        </is>
      </c>
      <c r="B1030" s="1" t="n">
        <v>45595.63572916666</v>
      </c>
      <c r="C1030" s="1" t="n">
        <v>46093</v>
      </c>
      <c r="D1030" t="inlineStr">
        <is>
          <t>VÄSTERNORRLANDS LÄN</t>
        </is>
      </c>
      <c r="E1030" t="inlineStr">
        <is>
          <t>SOLLEFTEÅ</t>
        </is>
      </c>
      <c r="F1030" t="inlineStr">
        <is>
          <t>SCA</t>
        </is>
      </c>
      <c r="G1030" t="n">
        <v>1.6</v>
      </c>
      <c r="H1030" t="n">
        <v>1</v>
      </c>
      <c r="I1030" t="n">
        <v>0</v>
      </c>
      <c r="J1030" t="n">
        <v>0</v>
      </c>
      <c r="K1030" t="n">
        <v>1</v>
      </c>
      <c r="L1030" t="n">
        <v>0</v>
      </c>
      <c r="M1030" t="n">
        <v>0</v>
      </c>
      <c r="N1030" t="n">
        <v>0</v>
      </c>
      <c r="O1030" t="n">
        <v>1</v>
      </c>
      <c r="P1030" t="n">
        <v>1</v>
      </c>
      <c r="Q1030" t="n">
        <v>1</v>
      </c>
      <c r="R1030" s="2" t="inlineStr">
        <is>
          <t>Knärot</t>
        </is>
      </c>
      <c r="S1030">
        <f>HYPERLINK("https://klasma.github.io/Logging_2283/artfynd/A 49366-2024 artfynd.xlsx", "A 49366-2024")</f>
        <v/>
      </c>
      <c r="T1030">
        <f>HYPERLINK("https://klasma.github.io/Logging_2283/kartor/A 49366-2024 karta.png", "A 49366-2024")</f>
        <v/>
      </c>
      <c r="U1030">
        <f>HYPERLINK("https://klasma.github.io/Logging_2283/knärot/A 49366-2024 karta knärot.png", "A 49366-2024")</f>
        <v/>
      </c>
      <c r="V1030">
        <f>HYPERLINK("https://klasma.github.io/Logging_2283/klagomål/A 49366-2024 FSC-klagomål.docx", "A 49366-2024")</f>
        <v/>
      </c>
      <c r="W1030">
        <f>HYPERLINK("https://klasma.github.io/Logging_2283/klagomålsmail/A 49366-2024 FSC-klagomål mail.docx", "A 49366-2024")</f>
        <v/>
      </c>
      <c r="X1030">
        <f>HYPERLINK("https://klasma.github.io/Logging_2283/tillsyn/A 49366-2024 tillsynsbegäran.docx", "A 49366-2024")</f>
        <v/>
      </c>
      <c r="Y1030">
        <f>HYPERLINK("https://klasma.github.io/Logging_2283/tillsynsmail/A 49366-2024 tillsynsbegäran mail.docx", "A 49366-2024")</f>
        <v/>
      </c>
    </row>
    <row r="1031" ht="15" customHeight="1">
      <c r="A1031" t="inlineStr">
        <is>
          <t>A 37057-2021</t>
        </is>
      </c>
      <c r="B1031" s="1" t="n">
        <v>44393.93881944445</v>
      </c>
      <c r="C1031" s="1" t="n">
        <v>46093</v>
      </c>
      <c r="D1031" t="inlineStr">
        <is>
          <t>VÄSTERNORRLANDS LÄN</t>
        </is>
      </c>
      <c r="E1031" t="inlineStr">
        <is>
          <t>SUNDSVALL</t>
        </is>
      </c>
      <c r="F1031" t="inlineStr">
        <is>
          <t>SCA</t>
        </is>
      </c>
      <c r="G1031" t="n">
        <v>9.800000000000001</v>
      </c>
      <c r="H1031" t="n">
        <v>1</v>
      </c>
      <c r="I1031" t="n">
        <v>0</v>
      </c>
      <c r="J1031" t="n">
        <v>1</v>
      </c>
      <c r="K1031" t="n">
        <v>0</v>
      </c>
      <c r="L1031" t="n">
        <v>0</v>
      </c>
      <c r="M1031" t="n">
        <v>0</v>
      </c>
      <c r="N1031" t="n">
        <v>0</v>
      </c>
      <c r="O1031" t="n">
        <v>1</v>
      </c>
      <c r="P1031" t="n">
        <v>0</v>
      </c>
      <c r="Q1031" t="n">
        <v>1</v>
      </c>
      <c r="R1031" s="2" t="inlineStr">
        <is>
          <t>Tretåig hackspett</t>
        </is>
      </c>
      <c r="S1031">
        <f>HYPERLINK("https://klasma.github.io/Logging_2281/artfynd/A 37057-2021 artfynd.xlsx", "A 37057-2021")</f>
        <v/>
      </c>
      <c r="T1031">
        <f>HYPERLINK("https://klasma.github.io/Logging_2281/kartor/A 37057-2021 karta.png", "A 37057-2021")</f>
        <v/>
      </c>
      <c r="V1031">
        <f>HYPERLINK("https://klasma.github.io/Logging_2281/klagomål/A 37057-2021 FSC-klagomål.docx", "A 37057-2021")</f>
        <v/>
      </c>
      <c r="W1031">
        <f>HYPERLINK("https://klasma.github.io/Logging_2281/klagomålsmail/A 37057-2021 FSC-klagomål mail.docx", "A 37057-2021")</f>
        <v/>
      </c>
      <c r="X1031">
        <f>HYPERLINK("https://klasma.github.io/Logging_2281/tillsyn/A 37057-2021 tillsynsbegäran.docx", "A 37057-2021")</f>
        <v/>
      </c>
      <c r="Y1031">
        <f>HYPERLINK("https://klasma.github.io/Logging_2281/tillsynsmail/A 37057-2021 tillsynsbegäran mail.docx", "A 37057-2021")</f>
        <v/>
      </c>
      <c r="Z1031">
        <f>HYPERLINK("https://klasma.github.io/Logging_2281/fåglar/A 37057-2021 prioriterade fågelarter.docx", "A 37057-2021")</f>
        <v/>
      </c>
    </row>
    <row r="1032" ht="15" customHeight="1">
      <c r="A1032" t="inlineStr">
        <is>
          <t>A 54558-2022</t>
        </is>
      </c>
      <c r="B1032" s="1" t="n">
        <v>44882</v>
      </c>
      <c r="C1032" s="1" t="n">
        <v>46093</v>
      </c>
      <c r="D1032" t="inlineStr">
        <is>
          <t>VÄSTERNORRLANDS LÄN</t>
        </is>
      </c>
      <c r="E1032" t="inlineStr">
        <is>
          <t>SOLLEFTEÅ</t>
        </is>
      </c>
      <c r="G1032" t="n">
        <v>5.8</v>
      </c>
      <c r="H1032" t="n">
        <v>0</v>
      </c>
      <c r="I1032" t="n">
        <v>1</v>
      </c>
      <c r="J1032" t="n">
        <v>0</v>
      </c>
      <c r="K1032" t="n">
        <v>0</v>
      </c>
      <c r="L1032" t="n">
        <v>0</v>
      </c>
      <c r="M1032" t="n">
        <v>0</v>
      </c>
      <c r="N1032" t="n">
        <v>0</v>
      </c>
      <c r="O1032" t="n">
        <v>0</v>
      </c>
      <c r="P1032" t="n">
        <v>0</v>
      </c>
      <c r="Q1032" t="n">
        <v>1</v>
      </c>
      <c r="R1032" s="2" t="inlineStr">
        <is>
          <t>Strutbräken</t>
        </is>
      </c>
      <c r="S1032">
        <f>HYPERLINK("https://klasma.github.io/Logging_2283/artfynd/A 54558-2022 artfynd.xlsx", "A 54558-2022")</f>
        <v/>
      </c>
      <c r="T1032">
        <f>HYPERLINK("https://klasma.github.io/Logging_2283/kartor/A 54558-2022 karta.png", "A 54558-2022")</f>
        <v/>
      </c>
      <c r="V1032">
        <f>HYPERLINK("https://klasma.github.io/Logging_2283/klagomål/A 54558-2022 FSC-klagomål.docx", "A 54558-2022")</f>
        <v/>
      </c>
      <c r="W1032">
        <f>HYPERLINK("https://klasma.github.io/Logging_2283/klagomålsmail/A 54558-2022 FSC-klagomål mail.docx", "A 54558-2022")</f>
        <v/>
      </c>
      <c r="X1032">
        <f>HYPERLINK("https://klasma.github.io/Logging_2283/tillsyn/A 54558-2022 tillsynsbegäran.docx", "A 54558-2022")</f>
        <v/>
      </c>
      <c r="Y1032">
        <f>HYPERLINK("https://klasma.github.io/Logging_2283/tillsynsmail/A 54558-2022 tillsynsbegäran mail.docx", "A 54558-2022")</f>
        <v/>
      </c>
    </row>
    <row r="1033" ht="15" customHeight="1">
      <c r="A1033" t="inlineStr">
        <is>
          <t>A 12785-2022</t>
        </is>
      </c>
      <c r="B1033" s="1" t="n">
        <v>44641</v>
      </c>
      <c r="C1033" s="1" t="n">
        <v>46093</v>
      </c>
      <c r="D1033" t="inlineStr">
        <is>
          <t>VÄSTERNORRLANDS LÄN</t>
        </is>
      </c>
      <c r="E1033" t="inlineStr">
        <is>
          <t>TIMRÅ</t>
        </is>
      </c>
      <c r="G1033" t="n">
        <v>2.2</v>
      </c>
      <c r="H1033" t="n">
        <v>0</v>
      </c>
      <c r="I1033" t="n">
        <v>1</v>
      </c>
      <c r="J1033" t="n">
        <v>0</v>
      </c>
      <c r="K1033" t="n">
        <v>0</v>
      </c>
      <c r="L1033" t="n">
        <v>0</v>
      </c>
      <c r="M1033" t="n">
        <v>0</v>
      </c>
      <c r="N1033" t="n">
        <v>0</v>
      </c>
      <c r="O1033" t="n">
        <v>0</v>
      </c>
      <c r="P1033" t="n">
        <v>0</v>
      </c>
      <c r="Q1033" t="n">
        <v>1</v>
      </c>
      <c r="R1033" s="2" t="inlineStr">
        <is>
          <t>Ögonpyrola</t>
        </is>
      </c>
      <c r="S1033">
        <f>HYPERLINK("https://klasma.github.io/Logging_2262/artfynd/A 12785-2022 artfynd.xlsx", "A 12785-2022")</f>
        <v/>
      </c>
      <c r="T1033">
        <f>HYPERLINK("https://klasma.github.io/Logging_2262/kartor/A 12785-2022 karta.png", "A 12785-2022")</f>
        <v/>
      </c>
      <c r="V1033">
        <f>HYPERLINK("https://klasma.github.io/Logging_2262/klagomål/A 12785-2022 FSC-klagomål.docx", "A 12785-2022")</f>
        <v/>
      </c>
      <c r="W1033">
        <f>HYPERLINK("https://klasma.github.io/Logging_2262/klagomålsmail/A 12785-2022 FSC-klagomål mail.docx", "A 12785-2022")</f>
        <v/>
      </c>
      <c r="X1033">
        <f>HYPERLINK("https://klasma.github.io/Logging_2262/tillsyn/A 12785-2022 tillsynsbegäran.docx", "A 12785-2022")</f>
        <v/>
      </c>
      <c r="Y1033">
        <f>HYPERLINK("https://klasma.github.io/Logging_2262/tillsynsmail/A 12785-2022 tillsynsbegäran mail.docx", "A 12785-2022")</f>
        <v/>
      </c>
    </row>
    <row r="1034" ht="15" customHeight="1">
      <c r="A1034" t="inlineStr">
        <is>
          <t>A 37206-2024</t>
        </is>
      </c>
      <c r="B1034" s="1" t="n">
        <v>45539</v>
      </c>
      <c r="C1034" s="1" t="n">
        <v>46093</v>
      </c>
      <c r="D1034" t="inlineStr">
        <is>
          <t>VÄSTERNORRLANDS LÄN</t>
        </is>
      </c>
      <c r="E1034" t="inlineStr">
        <is>
          <t>SOLLEFTEÅ</t>
        </is>
      </c>
      <c r="F1034" t="inlineStr">
        <is>
          <t>SCA</t>
        </is>
      </c>
      <c r="G1034" t="n">
        <v>3.6</v>
      </c>
      <c r="H1034" t="n">
        <v>1</v>
      </c>
      <c r="I1034" t="n">
        <v>0</v>
      </c>
      <c r="J1034" t="n">
        <v>1</v>
      </c>
      <c r="K1034" t="n">
        <v>0</v>
      </c>
      <c r="L1034" t="n">
        <v>0</v>
      </c>
      <c r="M1034" t="n">
        <v>0</v>
      </c>
      <c r="N1034" t="n">
        <v>0</v>
      </c>
      <c r="O1034" t="n">
        <v>1</v>
      </c>
      <c r="P1034" t="n">
        <v>0</v>
      </c>
      <c r="Q1034" t="n">
        <v>1</v>
      </c>
      <c r="R1034" s="2" t="inlineStr">
        <is>
          <t>Tretåig hackspett</t>
        </is>
      </c>
      <c r="S1034">
        <f>HYPERLINK("https://klasma.github.io/Logging_2283/artfynd/A 37206-2024 artfynd.xlsx", "A 37206-2024")</f>
        <v/>
      </c>
      <c r="T1034">
        <f>HYPERLINK("https://klasma.github.io/Logging_2283/kartor/A 37206-2024 karta.png", "A 37206-2024")</f>
        <v/>
      </c>
      <c r="V1034">
        <f>HYPERLINK("https://klasma.github.io/Logging_2283/klagomål/A 37206-2024 FSC-klagomål.docx", "A 37206-2024")</f>
        <v/>
      </c>
      <c r="W1034">
        <f>HYPERLINK("https://klasma.github.io/Logging_2283/klagomålsmail/A 37206-2024 FSC-klagomål mail.docx", "A 37206-2024")</f>
        <v/>
      </c>
      <c r="X1034">
        <f>HYPERLINK("https://klasma.github.io/Logging_2283/tillsyn/A 37206-2024 tillsynsbegäran.docx", "A 37206-2024")</f>
        <v/>
      </c>
      <c r="Y1034">
        <f>HYPERLINK("https://klasma.github.io/Logging_2283/tillsynsmail/A 37206-2024 tillsynsbegäran mail.docx", "A 37206-2024")</f>
        <v/>
      </c>
      <c r="Z1034">
        <f>HYPERLINK("https://klasma.github.io/Logging_2283/fåglar/A 37206-2024 prioriterade fågelarter.docx", "A 37206-2024")</f>
        <v/>
      </c>
    </row>
    <row r="1035" ht="15" customHeight="1">
      <c r="A1035" t="inlineStr">
        <is>
          <t>A 41472-2025</t>
        </is>
      </c>
      <c r="B1035" s="1" t="n">
        <v>45901.4693287037</v>
      </c>
      <c r="C1035" s="1" t="n">
        <v>46093</v>
      </c>
      <c r="D1035" t="inlineStr">
        <is>
          <t>VÄSTERNORRLANDS LÄN</t>
        </is>
      </c>
      <c r="E1035" t="inlineStr">
        <is>
          <t>SOLLEFTEÅ</t>
        </is>
      </c>
      <c r="F1035" t="inlineStr">
        <is>
          <t>SCA</t>
        </is>
      </c>
      <c r="G1035" t="n">
        <v>6.1</v>
      </c>
      <c r="H1035" t="n">
        <v>0</v>
      </c>
      <c r="I1035" t="n">
        <v>0</v>
      </c>
      <c r="J1035" t="n">
        <v>1</v>
      </c>
      <c r="K1035" t="n">
        <v>0</v>
      </c>
      <c r="L1035" t="n">
        <v>0</v>
      </c>
      <c r="M1035" t="n">
        <v>0</v>
      </c>
      <c r="N1035" t="n">
        <v>0</v>
      </c>
      <c r="O1035" t="n">
        <v>1</v>
      </c>
      <c r="P1035" t="n">
        <v>0</v>
      </c>
      <c r="Q1035" t="n">
        <v>1</v>
      </c>
      <c r="R1035" s="2" t="inlineStr">
        <is>
          <t>Skogshare</t>
        </is>
      </c>
      <c r="S1035">
        <f>HYPERLINK("https://klasma.github.io/Logging_2283/artfynd/A 41472-2025 artfynd.xlsx", "A 41472-2025")</f>
        <v/>
      </c>
      <c r="T1035">
        <f>HYPERLINK("https://klasma.github.io/Logging_2283/kartor/A 41472-2025 karta.png", "A 41472-2025")</f>
        <v/>
      </c>
      <c r="V1035">
        <f>HYPERLINK("https://klasma.github.io/Logging_2283/klagomål/A 41472-2025 FSC-klagomål.docx", "A 41472-2025")</f>
        <v/>
      </c>
      <c r="W1035">
        <f>HYPERLINK("https://klasma.github.io/Logging_2283/klagomålsmail/A 41472-2025 FSC-klagomål mail.docx", "A 41472-2025")</f>
        <v/>
      </c>
      <c r="X1035">
        <f>HYPERLINK("https://klasma.github.io/Logging_2283/tillsyn/A 41472-2025 tillsynsbegäran.docx", "A 41472-2025")</f>
        <v/>
      </c>
      <c r="Y1035">
        <f>HYPERLINK("https://klasma.github.io/Logging_2283/tillsynsmail/A 41472-2025 tillsynsbegäran mail.docx", "A 41472-2025")</f>
        <v/>
      </c>
    </row>
    <row r="1036" ht="15" customHeight="1">
      <c r="A1036" t="inlineStr">
        <is>
          <t>A 3924-2025</t>
        </is>
      </c>
      <c r="B1036" s="1" t="n">
        <v>45684.44851851852</v>
      </c>
      <c r="C1036" s="1" t="n">
        <v>46093</v>
      </c>
      <c r="D1036" t="inlineStr">
        <is>
          <t>VÄSTERNORRLANDS LÄN</t>
        </is>
      </c>
      <c r="E1036" t="inlineStr">
        <is>
          <t>SUNDSVALL</t>
        </is>
      </c>
      <c r="F1036" t="inlineStr">
        <is>
          <t>SCA</t>
        </is>
      </c>
      <c r="G1036" t="n">
        <v>5.9</v>
      </c>
      <c r="H1036" t="n">
        <v>1</v>
      </c>
      <c r="I1036" t="n">
        <v>0</v>
      </c>
      <c r="J1036" t="n">
        <v>1</v>
      </c>
      <c r="K1036" t="n">
        <v>0</v>
      </c>
      <c r="L1036" t="n">
        <v>0</v>
      </c>
      <c r="M1036" t="n">
        <v>0</v>
      </c>
      <c r="N1036" t="n">
        <v>0</v>
      </c>
      <c r="O1036" t="n">
        <v>1</v>
      </c>
      <c r="P1036" t="n">
        <v>0</v>
      </c>
      <c r="Q1036" t="n">
        <v>1</v>
      </c>
      <c r="R1036" s="2" t="inlineStr">
        <is>
          <t>Järpe</t>
        </is>
      </c>
      <c r="S1036">
        <f>HYPERLINK("https://klasma.github.io/Logging_2281/artfynd/A 3924-2025 artfynd.xlsx", "A 3924-2025")</f>
        <v/>
      </c>
      <c r="T1036">
        <f>HYPERLINK("https://klasma.github.io/Logging_2281/kartor/A 3924-2025 karta.png", "A 3924-2025")</f>
        <v/>
      </c>
      <c r="V1036">
        <f>HYPERLINK("https://klasma.github.io/Logging_2281/klagomål/A 3924-2025 FSC-klagomål.docx", "A 3924-2025")</f>
        <v/>
      </c>
      <c r="W1036">
        <f>HYPERLINK("https://klasma.github.io/Logging_2281/klagomålsmail/A 3924-2025 FSC-klagomål mail.docx", "A 3924-2025")</f>
        <v/>
      </c>
      <c r="X1036">
        <f>HYPERLINK("https://klasma.github.io/Logging_2281/tillsyn/A 3924-2025 tillsynsbegäran.docx", "A 3924-2025")</f>
        <v/>
      </c>
      <c r="Y1036">
        <f>HYPERLINK("https://klasma.github.io/Logging_2281/tillsynsmail/A 3924-2025 tillsynsbegäran mail.docx", "A 3924-2025")</f>
        <v/>
      </c>
      <c r="Z1036">
        <f>HYPERLINK("https://klasma.github.io/Logging_2281/fåglar/A 3924-2025 prioriterade fågelarter.docx", "A 3924-2025")</f>
        <v/>
      </c>
    </row>
    <row r="1037" ht="15" customHeight="1">
      <c r="A1037" t="inlineStr">
        <is>
          <t>A 1488-2024</t>
        </is>
      </c>
      <c r="B1037" s="1" t="n">
        <v>45305</v>
      </c>
      <c r="C1037" s="1" t="n">
        <v>46093</v>
      </c>
      <c r="D1037" t="inlineStr">
        <is>
          <t>VÄSTERNORRLANDS LÄN</t>
        </is>
      </c>
      <c r="E1037" t="inlineStr">
        <is>
          <t>ÖRNSKÖLDSVIK</t>
        </is>
      </c>
      <c r="G1037" t="n">
        <v>2.6</v>
      </c>
      <c r="H1037" t="n">
        <v>1</v>
      </c>
      <c r="I1037" t="n">
        <v>0</v>
      </c>
      <c r="J1037" t="n">
        <v>0</v>
      </c>
      <c r="K1037" t="n">
        <v>0</v>
      </c>
      <c r="L1037" t="n">
        <v>0</v>
      </c>
      <c r="M1037" t="n">
        <v>0</v>
      </c>
      <c r="N1037" t="n">
        <v>0</v>
      </c>
      <c r="O1037" t="n">
        <v>0</v>
      </c>
      <c r="P1037" t="n">
        <v>0</v>
      </c>
      <c r="Q1037" t="n">
        <v>1</v>
      </c>
      <c r="R1037" s="2" t="inlineStr">
        <is>
          <t>Vanlig padda</t>
        </is>
      </c>
      <c r="S1037">
        <f>HYPERLINK("https://klasma.github.io/Logging_2284/artfynd/A 1488-2024 artfynd.xlsx", "A 1488-2024")</f>
        <v/>
      </c>
      <c r="T1037">
        <f>HYPERLINK("https://klasma.github.io/Logging_2284/kartor/A 1488-2024 karta.png", "A 1488-2024")</f>
        <v/>
      </c>
      <c r="V1037">
        <f>HYPERLINK("https://klasma.github.io/Logging_2284/klagomål/A 1488-2024 FSC-klagomål.docx", "A 1488-2024")</f>
        <v/>
      </c>
      <c r="W1037">
        <f>HYPERLINK("https://klasma.github.io/Logging_2284/klagomålsmail/A 1488-2024 FSC-klagomål mail.docx", "A 1488-2024")</f>
        <v/>
      </c>
      <c r="X1037">
        <f>HYPERLINK("https://klasma.github.io/Logging_2284/tillsyn/A 1488-2024 tillsynsbegäran.docx", "A 1488-2024")</f>
        <v/>
      </c>
      <c r="Y1037">
        <f>HYPERLINK("https://klasma.github.io/Logging_2284/tillsynsmail/A 1488-2024 tillsynsbegäran mail.docx", "A 1488-2024")</f>
        <v/>
      </c>
    </row>
    <row r="1038" ht="15" customHeight="1">
      <c r="A1038" t="inlineStr">
        <is>
          <t>A 41810-2025</t>
        </is>
      </c>
      <c r="B1038" s="1" t="n">
        <v>45902</v>
      </c>
      <c r="C1038" s="1" t="n">
        <v>46093</v>
      </c>
      <c r="D1038" t="inlineStr">
        <is>
          <t>VÄSTERNORRLANDS LÄN</t>
        </is>
      </c>
      <c r="E1038" t="inlineStr">
        <is>
          <t>ÖRNSKÖLDSVIK</t>
        </is>
      </c>
      <c r="G1038" t="n">
        <v>1.5</v>
      </c>
      <c r="H1038" t="n">
        <v>0</v>
      </c>
      <c r="I1038" t="n">
        <v>1</v>
      </c>
      <c r="J1038" t="n">
        <v>0</v>
      </c>
      <c r="K1038" t="n">
        <v>0</v>
      </c>
      <c r="L1038" t="n">
        <v>0</v>
      </c>
      <c r="M1038" t="n">
        <v>0</v>
      </c>
      <c r="N1038" t="n">
        <v>0</v>
      </c>
      <c r="O1038" t="n">
        <v>0</v>
      </c>
      <c r="P1038" t="n">
        <v>0</v>
      </c>
      <c r="Q1038" t="n">
        <v>1</v>
      </c>
      <c r="R1038" s="2" t="inlineStr">
        <is>
          <t>Skinnlav</t>
        </is>
      </c>
      <c r="S1038">
        <f>HYPERLINK("https://klasma.github.io/Logging_2284/artfynd/A 41810-2025 artfynd.xlsx", "A 41810-2025")</f>
        <v/>
      </c>
      <c r="T1038">
        <f>HYPERLINK("https://klasma.github.io/Logging_2284/kartor/A 41810-2025 karta.png", "A 41810-2025")</f>
        <v/>
      </c>
      <c r="V1038">
        <f>HYPERLINK("https://klasma.github.io/Logging_2284/klagomål/A 41810-2025 FSC-klagomål.docx", "A 41810-2025")</f>
        <v/>
      </c>
      <c r="W1038">
        <f>HYPERLINK("https://klasma.github.io/Logging_2284/klagomålsmail/A 41810-2025 FSC-klagomål mail.docx", "A 41810-2025")</f>
        <v/>
      </c>
      <c r="X1038">
        <f>HYPERLINK("https://klasma.github.io/Logging_2284/tillsyn/A 41810-2025 tillsynsbegäran.docx", "A 41810-2025")</f>
        <v/>
      </c>
      <c r="Y1038">
        <f>HYPERLINK("https://klasma.github.io/Logging_2284/tillsynsmail/A 41810-2025 tillsynsbegäran mail.docx", "A 41810-2025")</f>
        <v/>
      </c>
    </row>
    <row r="1039" ht="15" customHeight="1">
      <c r="A1039" t="inlineStr">
        <is>
          <t>A 53039-2023</t>
        </is>
      </c>
      <c r="B1039" s="1" t="n">
        <v>45226</v>
      </c>
      <c r="C1039" s="1" t="n">
        <v>46093</v>
      </c>
      <c r="D1039" t="inlineStr">
        <is>
          <t>VÄSTERNORRLANDS LÄN</t>
        </is>
      </c>
      <c r="E1039" t="inlineStr">
        <is>
          <t>SOLLEFTEÅ</t>
        </is>
      </c>
      <c r="F1039" t="inlineStr">
        <is>
          <t>SCA</t>
        </is>
      </c>
      <c r="G1039" t="n">
        <v>1.8</v>
      </c>
      <c r="H1039" t="n">
        <v>1</v>
      </c>
      <c r="I1039" t="n">
        <v>0</v>
      </c>
      <c r="J1039" t="n">
        <v>1</v>
      </c>
      <c r="K1039" t="n">
        <v>0</v>
      </c>
      <c r="L1039" t="n">
        <v>0</v>
      </c>
      <c r="M1039" t="n">
        <v>0</v>
      </c>
      <c r="N1039" t="n">
        <v>0</v>
      </c>
      <c r="O1039" t="n">
        <v>1</v>
      </c>
      <c r="P1039" t="n">
        <v>0</v>
      </c>
      <c r="Q1039" t="n">
        <v>1</v>
      </c>
      <c r="R1039" s="2" t="inlineStr">
        <is>
          <t>Nordfladdermus</t>
        </is>
      </c>
      <c r="S1039">
        <f>HYPERLINK("https://klasma.github.io/Logging_2283/artfynd/A 53039-2023 artfynd.xlsx", "A 53039-2023")</f>
        <v/>
      </c>
      <c r="T1039">
        <f>HYPERLINK("https://klasma.github.io/Logging_2283/kartor/A 53039-2023 karta.png", "A 53039-2023")</f>
        <v/>
      </c>
      <c r="V1039">
        <f>HYPERLINK("https://klasma.github.io/Logging_2283/klagomål/A 53039-2023 FSC-klagomål.docx", "A 53039-2023")</f>
        <v/>
      </c>
      <c r="W1039">
        <f>HYPERLINK("https://klasma.github.io/Logging_2283/klagomålsmail/A 53039-2023 FSC-klagomål mail.docx", "A 53039-2023")</f>
        <v/>
      </c>
      <c r="X1039">
        <f>HYPERLINK("https://klasma.github.io/Logging_2283/tillsyn/A 53039-2023 tillsynsbegäran.docx", "A 53039-2023")</f>
        <v/>
      </c>
      <c r="Y1039">
        <f>HYPERLINK("https://klasma.github.io/Logging_2283/tillsynsmail/A 53039-2023 tillsynsbegäran mail.docx", "A 53039-2023")</f>
        <v/>
      </c>
    </row>
    <row r="1040" ht="15" customHeight="1">
      <c r="A1040" t="inlineStr">
        <is>
          <t>A 19827-2022</t>
        </is>
      </c>
      <c r="B1040" s="1" t="n">
        <v>44694</v>
      </c>
      <c r="C1040" s="1" t="n">
        <v>46093</v>
      </c>
      <c r="D1040" t="inlineStr">
        <is>
          <t>VÄSTERNORRLANDS LÄN</t>
        </is>
      </c>
      <c r="E1040" t="inlineStr">
        <is>
          <t>HÄRNÖSAND</t>
        </is>
      </c>
      <c r="F1040" t="inlineStr">
        <is>
          <t>SCA</t>
        </is>
      </c>
      <c r="G1040" t="n">
        <v>4.3</v>
      </c>
      <c r="H1040" t="n">
        <v>0</v>
      </c>
      <c r="I1040" t="n">
        <v>0</v>
      </c>
      <c r="J1040" t="n">
        <v>1</v>
      </c>
      <c r="K1040" t="n">
        <v>0</v>
      </c>
      <c r="L1040" t="n">
        <v>0</v>
      </c>
      <c r="M1040" t="n">
        <v>0</v>
      </c>
      <c r="N1040" t="n">
        <v>0</v>
      </c>
      <c r="O1040" t="n">
        <v>1</v>
      </c>
      <c r="P1040" t="n">
        <v>0</v>
      </c>
      <c r="Q1040" t="n">
        <v>1</v>
      </c>
      <c r="R1040" s="2" t="inlineStr">
        <is>
          <t>Garnlav</t>
        </is>
      </c>
      <c r="S1040">
        <f>HYPERLINK("https://klasma.github.io/Logging_2280/artfynd/A 19827-2022 artfynd.xlsx", "A 19827-2022")</f>
        <v/>
      </c>
      <c r="T1040">
        <f>HYPERLINK("https://klasma.github.io/Logging_2280/kartor/A 19827-2022 karta.png", "A 19827-2022")</f>
        <v/>
      </c>
      <c r="V1040">
        <f>HYPERLINK("https://klasma.github.io/Logging_2280/klagomål/A 19827-2022 FSC-klagomål.docx", "A 19827-2022")</f>
        <v/>
      </c>
      <c r="W1040">
        <f>HYPERLINK("https://klasma.github.io/Logging_2280/klagomålsmail/A 19827-2022 FSC-klagomål mail.docx", "A 19827-2022")</f>
        <v/>
      </c>
      <c r="X1040">
        <f>HYPERLINK("https://klasma.github.io/Logging_2280/tillsyn/A 19827-2022 tillsynsbegäran.docx", "A 19827-2022")</f>
        <v/>
      </c>
      <c r="Y1040">
        <f>HYPERLINK("https://klasma.github.io/Logging_2280/tillsynsmail/A 19827-2022 tillsynsbegäran mail.docx", "A 19827-2022")</f>
        <v/>
      </c>
    </row>
    <row r="1041" ht="15" customHeight="1">
      <c r="A1041" t="inlineStr">
        <is>
          <t>A 8903-2024</t>
        </is>
      </c>
      <c r="B1041" s="1" t="n">
        <v>45355</v>
      </c>
      <c r="C1041" s="1" t="n">
        <v>46093</v>
      </c>
      <c r="D1041" t="inlineStr">
        <is>
          <t>VÄSTERNORRLANDS LÄN</t>
        </is>
      </c>
      <c r="E1041" t="inlineStr">
        <is>
          <t>SOLLEFTEÅ</t>
        </is>
      </c>
      <c r="G1041" t="n">
        <v>1.7</v>
      </c>
      <c r="H1041" t="n">
        <v>0</v>
      </c>
      <c r="I1041" t="n">
        <v>1</v>
      </c>
      <c r="J1041" t="n">
        <v>0</v>
      </c>
      <c r="K1041" t="n">
        <v>0</v>
      </c>
      <c r="L1041" t="n">
        <v>0</v>
      </c>
      <c r="M1041" t="n">
        <v>0</v>
      </c>
      <c r="N1041" t="n">
        <v>0</v>
      </c>
      <c r="O1041" t="n">
        <v>0</v>
      </c>
      <c r="P1041" t="n">
        <v>0</v>
      </c>
      <c r="Q1041" t="n">
        <v>1</v>
      </c>
      <c r="R1041" s="2" t="inlineStr">
        <is>
          <t>Strutbräken</t>
        </is>
      </c>
      <c r="S1041">
        <f>HYPERLINK("https://klasma.github.io/Logging_2283/artfynd/A 8903-2024 artfynd.xlsx", "A 8903-2024")</f>
        <v/>
      </c>
      <c r="T1041">
        <f>HYPERLINK("https://klasma.github.io/Logging_2283/kartor/A 8903-2024 karta.png", "A 8903-2024")</f>
        <v/>
      </c>
      <c r="V1041">
        <f>HYPERLINK("https://klasma.github.io/Logging_2283/klagomål/A 8903-2024 FSC-klagomål.docx", "A 8903-2024")</f>
        <v/>
      </c>
      <c r="W1041">
        <f>HYPERLINK("https://klasma.github.io/Logging_2283/klagomålsmail/A 8903-2024 FSC-klagomål mail.docx", "A 8903-2024")</f>
        <v/>
      </c>
      <c r="X1041">
        <f>HYPERLINK("https://klasma.github.io/Logging_2283/tillsyn/A 8903-2024 tillsynsbegäran.docx", "A 8903-2024")</f>
        <v/>
      </c>
      <c r="Y1041">
        <f>HYPERLINK("https://klasma.github.io/Logging_2283/tillsynsmail/A 8903-2024 tillsynsbegäran mail.docx", "A 8903-2024")</f>
        <v/>
      </c>
    </row>
    <row r="1042" ht="15" customHeight="1">
      <c r="A1042" t="inlineStr">
        <is>
          <t>A 49863-2023</t>
        </is>
      </c>
      <c r="B1042" s="1" t="n">
        <v>45212</v>
      </c>
      <c r="C1042" s="1" t="n">
        <v>46093</v>
      </c>
      <c r="D1042" t="inlineStr">
        <is>
          <t>VÄSTERNORRLANDS LÄN</t>
        </is>
      </c>
      <c r="E1042" t="inlineStr">
        <is>
          <t>SUNDSVALL</t>
        </is>
      </c>
      <c r="F1042" t="inlineStr">
        <is>
          <t>SCA</t>
        </is>
      </c>
      <c r="G1042" t="n">
        <v>2.3</v>
      </c>
      <c r="H1042" t="n">
        <v>1</v>
      </c>
      <c r="I1042" t="n">
        <v>0</v>
      </c>
      <c r="J1042" t="n">
        <v>1</v>
      </c>
      <c r="K1042" t="n">
        <v>0</v>
      </c>
      <c r="L1042" t="n">
        <v>0</v>
      </c>
      <c r="M1042" t="n">
        <v>0</v>
      </c>
      <c r="N1042" t="n">
        <v>0</v>
      </c>
      <c r="O1042" t="n">
        <v>1</v>
      </c>
      <c r="P1042" t="n">
        <v>0</v>
      </c>
      <c r="Q1042" t="n">
        <v>1</v>
      </c>
      <c r="R1042" s="2" t="inlineStr">
        <is>
          <t>Tretåig hackspett</t>
        </is>
      </c>
      <c r="S1042">
        <f>HYPERLINK("https://klasma.github.io/Logging_2281/artfynd/A 49863-2023 artfynd.xlsx", "A 49863-2023")</f>
        <v/>
      </c>
      <c r="T1042">
        <f>HYPERLINK("https://klasma.github.io/Logging_2281/kartor/A 49863-2023 karta.png", "A 49863-2023")</f>
        <v/>
      </c>
      <c r="V1042">
        <f>HYPERLINK("https://klasma.github.io/Logging_2281/klagomål/A 49863-2023 FSC-klagomål.docx", "A 49863-2023")</f>
        <v/>
      </c>
      <c r="W1042">
        <f>HYPERLINK("https://klasma.github.io/Logging_2281/klagomålsmail/A 49863-2023 FSC-klagomål mail.docx", "A 49863-2023")</f>
        <v/>
      </c>
      <c r="X1042">
        <f>HYPERLINK("https://klasma.github.io/Logging_2281/tillsyn/A 49863-2023 tillsynsbegäran.docx", "A 49863-2023")</f>
        <v/>
      </c>
      <c r="Y1042">
        <f>HYPERLINK("https://klasma.github.io/Logging_2281/tillsynsmail/A 49863-2023 tillsynsbegäran mail.docx", "A 49863-2023")</f>
        <v/>
      </c>
      <c r="Z1042">
        <f>HYPERLINK("https://klasma.github.io/Logging_2281/fåglar/A 49863-2023 prioriterade fågelarter.docx", "A 49863-2023")</f>
        <v/>
      </c>
    </row>
    <row r="1043" ht="15" customHeight="1">
      <c r="A1043" t="inlineStr">
        <is>
          <t>A 16301-2025</t>
        </is>
      </c>
      <c r="B1043" s="1" t="n">
        <v>45751.34609953704</v>
      </c>
      <c r="C1043" s="1" t="n">
        <v>46093</v>
      </c>
      <c r="D1043" t="inlineStr">
        <is>
          <t>VÄSTERNORRLANDS LÄN</t>
        </is>
      </c>
      <c r="E1043" t="inlineStr">
        <is>
          <t>TIMRÅ</t>
        </is>
      </c>
      <c r="F1043" t="inlineStr">
        <is>
          <t>SCA</t>
        </is>
      </c>
      <c r="G1043" t="n">
        <v>1.6</v>
      </c>
      <c r="H1043" t="n">
        <v>0</v>
      </c>
      <c r="I1043" t="n">
        <v>0</v>
      </c>
      <c r="J1043" t="n">
        <v>1</v>
      </c>
      <c r="K1043" t="n">
        <v>0</v>
      </c>
      <c r="L1043" t="n">
        <v>0</v>
      </c>
      <c r="M1043" t="n">
        <v>0</v>
      </c>
      <c r="N1043" t="n">
        <v>0</v>
      </c>
      <c r="O1043" t="n">
        <v>1</v>
      </c>
      <c r="P1043" t="n">
        <v>0</v>
      </c>
      <c r="Q1043" t="n">
        <v>1</v>
      </c>
      <c r="R1043" s="2" t="inlineStr">
        <is>
          <t>Lunglav</t>
        </is>
      </c>
      <c r="S1043">
        <f>HYPERLINK("https://klasma.github.io/Logging_2262/artfynd/A 16301-2025 artfynd.xlsx", "A 16301-2025")</f>
        <v/>
      </c>
      <c r="T1043">
        <f>HYPERLINK("https://klasma.github.io/Logging_2262/kartor/A 16301-2025 karta.png", "A 16301-2025")</f>
        <v/>
      </c>
      <c r="U1043">
        <f>HYPERLINK("https://klasma.github.io/Logging_2262/knärot/A 16301-2025 karta knärot.png", "A 16301-2025")</f>
        <v/>
      </c>
      <c r="V1043">
        <f>HYPERLINK("https://klasma.github.io/Logging_2262/klagomål/A 16301-2025 FSC-klagomål.docx", "A 16301-2025")</f>
        <v/>
      </c>
      <c r="W1043">
        <f>HYPERLINK("https://klasma.github.io/Logging_2262/klagomålsmail/A 16301-2025 FSC-klagomål mail.docx", "A 16301-2025")</f>
        <v/>
      </c>
      <c r="X1043">
        <f>HYPERLINK("https://klasma.github.io/Logging_2262/tillsyn/A 16301-2025 tillsynsbegäran.docx", "A 16301-2025")</f>
        <v/>
      </c>
      <c r="Y1043">
        <f>HYPERLINK("https://klasma.github.io/Logging_2262/tillsynsmail/A 16301-2025 tillsynsbegäran mail.docx", "A 16301-2025")</f>
        <v/>
      </c>
    </row>
    <row r="1044" ht="15" customHeight="1">
      <c r="A1044" t="inlineStr">
        <is>
          <t>A 54549-2024</t>
        </is>
      </c>
      <c r="B1044" s="1" t="n">
        <v>45617.61650462963</v>
      </c>
      <c r="C1044" s="1" t="n">
        <v>46093</v>
      </c>
      <c r="D1044" t="inlineStr">
        <is>
          <t>VÄSTERNORRLANDS LÄN</t>
        </is>
      </c>
      <c r="E1044" t="inlineStr">
        <is>
          <t>ÖRNSKÖLDSVIK</t>
        </is>
      </c>
      <c r="F1044" t="inlineStr">
        <is>
          <t>Holmen skog AB</t>
        </is>
      </c>
      <c r="G1044" t="n">
        <v>0.7</v>
      </c>
      <c r="H1044" t="n">
        <v>0</v>
      </c>
      <c r="I1044" t="n">
        <v>0</v>
      </c>
      <c r="J1044" t="n">
        <v>1</v>
      </c>
      <c r="K1044" t="n">
        <v>0</v>
      </c>
      <c r="L1044" t="n">
        <v>0</v>
      </c>
      <c r="M1044" t="n">
        <v>0</v>
      </c>
      <c r="N1044" t="n">
        <v>0</v>
      </c>
      <c r="O1044" t="n">
        <v>1</v>
      </c>
      <c r="P1044" t="n">
        <v>0</v>
      </c>
      <c r="Q1044" t="n">
        <v>1</v>
      </c>
      <c r="R1044" s="2" t="inlineStr">
        <is>
          <t>Lunglav</t>
        </is>
      </c>
      <c r="S1044">
        <f>HYPERLINK("https://klasma.github.io/Logging_2284/artfynd/A 54549-2024 artfynd.xlsx", "A 54549-2024")</f>
        <v/>
      </c>
      <c r="T1044">
        <f>HYPERLINK("https://klasma.github.io/Logging_2284/kartor/A 54549-2024 karta.png", "A 54549-2024")</f>
        <v/>
      </c>
      <c r="V1044">
        <f>HYPERLINK("https://klasma.github.io/Logging_2284/klagomål/A 54549-2024 FSC-klagomål.docx", "A 54549-2024")</f>
        <v/>
      </c>
      <c r="W1044">
        <f>HYPERLINK("https://klasma.github.io/Logging_2284/klagomålsmail/A 54549-2024 FSC-klagomål mail.docx", "A 54549-2024")</f>
        <v/>
      </c>
      <c r="X1044">
        <f>HYPERLINK("https://klasma.github.io/Logging_2284/tillsyn/A 54549-2024 tillsynsbegäran.docx", "A 54549-2024")</f>
        <v/>
      </c>
      <c r="Y1044">
        <f>HYPERLINK("https://klasma.github.io/Logging_2284/tillsynsmail/A 54549-2024 tillsynsbegäran mail.docx", "A 54549-2024")</f>
        <v/>
      </c>
    </row>
    <row r="1045" ht="15" customHeight="1">
      <c r="A1045" t="inlineStr">
        <is>
          <t>A 11146-2025</t>
        </is>
      </c>
      <c r="B1045" s="1" t="n">
        <v>45723.6775</v>
      </c>
      <c r="C1045" s="1" t="n">
        <v>46093</v>
      </c>
      <c r="D1045" t="inlineStr">
        <is>
          <t>VÄSTERNORRLANDS LÄN</t>
        </is>
      </c>
      <c r="E1045" t="inlineStr">
        <is>
          <t>SUNDSVALL</t>
        </is>
      </c>
      <c r="F1045" t="inlineStr">
        <is>
          <t>SCA</t>
        </is>
      </c>
      <c r="G1045" t="n">
        <v>17.4</v>
      </c>
      <c r="H1045" t="n">
        <v>0</v>
      </c>
      <c r="I1045" t="n">
        <v>0</v>
      </c>
      <c r="J1045" t="n">
        <v>1</v>
      </c>
      <c r="K1045" t="n">
        <v>0</v>
      </c>
      <c r="L1045" t="n">
        <v>0</v>
      </c>
      <c r="M1045" t="n">
        <v>0</v>
      </c>
      <c r="N1045" t="n">
        <v>0</v>
      </c>
      <c r="O1045" t="n">
        <v>1</v>
      </c>
      <c r="P1045" t="n">
        <v>0</v>
      </c>
      <c r="Q1045" t="n">
        <v>1</v>
      </c>
      <c r="R1045" s="2" t="inlineStr">
        <is>
          <t>Skogshare</t>
        </is>
      </c>
      <c r="S1045">
        <f>HYPERLINK("https://klasma.github.io/Logging_2281/artfynd/A 11146-2025 artfynd.xlsx", "A 11146-2025")</f>
        <v/>
      </c>
      <c r="T1045">
        <f>HYPERLINK("https://klasma.github.io/Logging_2281/kartor/A 11146-2025 karta.png", "A 11146-2025")</f>
        <v/>
      </c>
      <c r="V1045">
        <f>HYPERLINK("https://klasma.github.io/Logging_2281/klagomål/A 11146-2025 FSC-klagomål.docx", "A 11146-2025")</f>
        <v/>
      </c>
      <c r="W1045">
        <f>HYPERLINK("https://klasma.github.io/Logging_2281/klagomålsmail/A 11146-2025 FSC-klagomål mail.docx", "A 11146-2025")</f>
        <v/>
      </c>
      <c r="X1045">
        <f>HYPERLINK("https://klasma.github.io/Logging_2281/tillsyn/A 11146-2025 tillsynsbegäran.docx", "A 11146-2025")</f>
        <v/>
      </c>
      <c r="Y1045">
        <f>HYPERLINK("https://klasma.github.io/Logging_2281/tillsynsmail/A 11146-2025 tillsynsbegäran mail.docx", "A 11146-2025")</f>
        <v/>
      </c>
    </row>
    <row r="1046" ht="15" customHeight="1">
      <c r="A1046" t="inlineStr">
        <is>
          <t>A 42524-2025</t>
        </is>
      </c>
      <c r="B1046" s="1" t="n">
        <v>45905.55262731481</v>
      </c>
      <c r="C1046" s="1" t="n">
        <v>46093</v>
      </c>
      <c r="D1046" t="inlineStr">
        <is>
          <t>VÄSTERNORRLANDS LÄN</t>
        </is>
      </c>
      <c r="E1046" t="inlineStr">
        <is>
          <t>ÅNGE</t>
        </is>
      </c>
      <c r="F1046" t="inlineStr">
        <is>
          <t>SCA</t>
        </is>
      </c>
      <c r="G1046" t="n">
        <v>1.9</v>
      </c>
      <c r="H1046" t="n">
        <v>0</v>
      </c>
      <c r="I1046" t="n">
        <v>0</v>
      </c>
      <c r="J1046" t="n">
        <v>1</v>
      </c>
      <c r="K1046" t="n">
        <v>0</v>
      </c>
      <c r="L1046" t="n">
        <v>0</v>
      </c>
      <c r="M1046" t="n">
        <v>0</v>
      </c>
      <c r="N1046" t="n">
        <v>0</v>
      </c>
      <c r="O1046" t="n">
        <v>1</v>
      </c>
      <c r="P1046" t="n">
        <v>0</v>
      </c>
      <c r="Q1046" t="n">
        <v>1</v>
      </c>
      <c r="R1046" s="2" t="inlineStr">
        <is>
          <t>Lunglav</t>
        </is>
      </c>
      <c r="S1046">
        <f>HYPERLINK("https://klasma.github.io/Logging_2260/artfynd/A 42524-2025 artfynd.xlsx", "A 42524-2025")</f>
        <v/>
      </c>
      <c r="T1046">
        <f>HYPERLINK("https://klasma.github.io/Logging_2260/kartor/A 42524-2025 karta.png", "A 42524-2025")</f>
        <v/>
      </c>
      <c r="V1046">
        <f>HYPERLINK("https://klasma.github.io/Logging_2260/klagomål/A 42524-2025 FSC-klagomål.docx", "A 42524-2025")</f>
        <v/>
      </c>
      <c r="W1046">
        <f>HYPERLINK("https://klasma.github.io/Logging_2260/klagomålsmail/A 42524-2025 FSC-klagomål mail.docx", "A 42524-2025")</f>
        <v/>
      </c>
      <c r="X1046">
        <f>HYPERLINK("https://klasma.github.io/Logging_2260/tillsyn/A 42524-2025 tillsynsbegäran.docx", "A 42524-2025")</f>
        <v/>
      </c>
      <c r="Y1046">
        <f>HYPERLINK("https://klasma.github.io/Logging_2260/tillsynsmail/A 42524-2025 tillsynsbegäran mail.docx", "A 42524-2025")</f>
        <v/>
      </c>
    </row>
    <row r="1047" ht="15" customHeight="1">
      <c r="A1047" t="inlineStr">
        <is>
          <t>A 42554-2025</t>
        </is>
      </c>
      <c r="B1047" s="1" t="n">
        <v>45905.59445601852</v>
      </c>
      <c r="C1047" s="1" t="n">
        <v>46093</v>
      </c>
      <c r="D1047" t="inlineStr">
        <is>
          <t>VÄSTERNORRLANDS LÄN</t>
        </is>
      </c>
      <c r="E1047" t="inlineStr">
        <is>
          <t>SOLLEFTEÅ</t>
        </is>
      </c>
      <c r="F1047" t="inlineStr">
        <is>
          <t>SCA</t>
        </is>
      </c>
      <c r="G1047" t="n">
        <v>0.7</v>
      </c>
      <c r="H1047" t="n">
        <v>0</v>
      </c>
      <c r="I1047" t="n">
        <v>0</v>
      </c>
      <c r="J1047" t="n">
        <v>1</v>
      </c>
      <c r="K1047" t="n">
        <v>0</v>
      </c>
      <c r="L1047" t="n">
        <v>0</v>
      </c>
      <c r="M1047" t="n">
        <v>0</v>
      </c>
      <c r="N1047" t="n">
        <v>0</v>
      </c>
      <c r="O1047" t="n">
        <v>1</v>
      </c>
      <c r="P1047" t="n">
        <v>0</v>
      </c>
      <c r="Q1047" t="n">
        <v>1</v>
      </c>
      <c r="R1047" s="2" t="inlineStr">
        <is>
          <t>Harticka</t>
        </is>
      </c>
      <c r="S1047">
        <f>HYPERLINK("https://klasma.github.io/Logging_2283/artfynd/A 42554-2025 artfynd.xlsx", "A 42554-2025")</f>
        <v/>
      </c>
      <c r="T1047">
        <f>HYPERLINK("https://klasma.github.io/Logging_2283/kartor/A 42554-2025 karta.png", "A 42554-2025")</f>
        <v/>
      </c>
      <c r="V1047">
        <f>HYPERLINK("https://klasma.github.io/Logging_2283/klagomål/A 42554-2025 FSC-klagomål.docx", "A 42554-2025")</f>
        <v/>
      </c>
      <c r="W1047">
        <f>HYPERLINK("https://klasma.github.io/Logging_2283/klagomålsmail/A 42554-2025 FSC-klagomål mail.docx", "A 42554-2025")</f>
        <v/>
      </c>
      <c r="X1047">
        <f>HYPERLINK("https://klasma.github.io/Logging_2283/tillsyn/A 42554-2025 tillsynsbegäran.docx", "A 42554-2025")</f>
        <v/>
      </c>
      <c r="Y1047">
        <f>HYPERLINK("https://klasma.github.io/Logging_2283/tillsynsmail/A 42554-2025 tillsynsbegäran mail.docx", "A 42554-2025")</f>
        <v/>
      </c>
    </row>
    <row r="1048" ht="15" customHeight="1">
      <c r="A1048" t="inlineStr">
        <is>
          <t>A 31647-2023</t>
        </is>
      </c>
      <c r="B1048" s="1" t="n">
        <v>45105</v>
      </c>
      <c r="C1048" s="1" t="n">
        <v>46093</v>
      </c>
      <c r="D1048" t="inlineStr">
        <is>
          <t>VÄSTERNORRLANDS LÄN</t>
        </is>
      </c>
      <c r="E1048" t="inlineStr">
        <is>
          <t>ÖRNSKÖLDSVIK</t>
        </is>
      </c>
      <c r="G1048" t="n">
        <v>2.7</v>
      </c>
      <c r="H1048" t="n">
        <v>1</v>
      </c>
      <c r="I1048" t="n">
        <v>0</v>
      </c>
      <c r="J1048" t="n">
        <v>1</v>
      </c>
      <c r="K1048" t="n">
        <v>0</v>
      </c>
      <c r="L1048" t="n">
        <v>0</v>
      </c>
      <c r="M1048" t="n">
        <v>0</v>
      </c>
      <c r="N1048" t="n">
        <v>0</v>
      </c>
      <c r="O1048" t="n">
        <v>1</v>
      </c>
      <c r="P1048" t="n">
        <v>0</v>
      </c>
      <c r="Q1048" t="n">
        <v>1</v>
      </c>
      <c r="R1048" s="2" t="inlineStr">
        <is>
          <t>Kungsörn</t>
        </is>
      </c>
      <c r="S1048">
        <f>HYPERLINK("https://klasma.github.io/Logging_2284/artfynd/A 31647-2023 artfynd.xlsx", "A 31647-2023")</f>
        <v/>
      </c>
      <c r="T1048">
        <f>HYPERLINK("https://klasma.github.io/Logging_2284/kartor/A 31647-2023 karta.png", "A 31647-2023")</f>
        <v/>
      </c>
      <c r="V1048">
        <f>HYPERLINK("https://klasma.github.io/Logging_2284/klagomål/A 31647-2023 FSC-klagomål.docx", "A 31647-2023")</f>
        <v/>
      </c>
      <c r="W1048">
        <f>HYPERLINK("https://klasma.github.io/Logging_2284/klagomålsmail/A 31647-2023 FSC-klagomål mail.docx", "A 31647-2023")</f>
        <v/>
      </c>
      <c r="X1048">
        <f>HYPERLINK("https://klasma.github.io/Logging_2284/tillsyn/A 31647-2023 tillsynsbegäran.docx", "A 31647-2023")</f>
        <v/>
      </c>
      <c r="Y1048">
        <f>HYPERLINK("https://klasma.github.io/Logging_2284/tillsynsmail/A 31647-2023 tillsynsbegäran mail.docx", "A 31647-2023")</f>
        <v/>
      </c>
      <c r="Z1048">
        <f>HYPERLINK("https://klasma.github.io/Logging_2284/fåglar/A 31647-2023 prioriterade fågelarter.docx", "A 31647-2023")</f>
        <v/>
      </c>
    </row>
    <row r="1049" ht="15" customHeight="1">
      <c r="A1049" t="inlineStr">
        <is>
          <t>A 39897-2024</t>
        </is>
      </c>
      <c r="B1049" s="1" t="n">
        <v>45553.48841435185</v>
      </c>
      <c r="C1049" s="1" t="n">
        <v>46093</v>
      </c>
      <c r="D1049" t="inlineStr">
        <is>
          <t>VÄSTERNORRLANDS LÄN</t>
        </is>
      </c>
      <c r="E1049" t="inlineStr">
        <is>
          <t>SOLLEFTEÅ</t>
        </is>
      </c>
      <c r="G1049" t="n">
        <v>1.1</v>
      </c>
      <c r="H1049" t="n">
        <v>1</v>
      </c>
      <c r="I1049" t="n">
        <v>0</v>
      </c>
      <c r="J1049" t="n">
        <v>0</v>
      </c>
      <c r="K1049" t="n">
        <v>0</v>
      </c>
      <c r="L1049" t="n">
        <v>0</v>
      </c>
      <c r="M1049" t="n">
        <v>0</v>
      </c>
      <c r="N1049" t="n">
        <v>0</v>
      </c>
      <c r="O1049" t="n">
        <v>0</v>
      </c>
      <c r="P1049" t="n">
        <v>0</v>
      </c>
      <c r="Q1049" t="n">
        <v>1</v>
      </c>
      <c r="R1049" s="2" t="inlineStr">
        <is>
          <t>Revlummer</t>
        </is>
      </c>
      <c r="S1049">
        <f>HYPERLINK("https://klasma.github.io/Logging_2283/artfynd/A 39897-2024 artfynd.xlsx", "A 39897-2024")</f>
        <v/>
      </c>
      <c r="T1049">
        <f>HYPERLINK("https://klasma.github.io/Logging_2283/kartor/A 39897-2024 karta.png", "A 39897-2024")</f>
        <v/>
      </c>
      <c r="V1049">
        <f>HYPERLINK("https://klasma.github.io/Logging_2283/klagomål/A 39897-2024 FSC-klagomål.docx", "A 39897-2024")</f>
        <v/>
      </c>
      <c r="W1049">
        <f>HYPERLINK("https://klasma.github.io/Logging_2283/klagomålsmail/A 39897-2024 FSC-klagomål mail.docx", "A 39897-2024")</f>
        <v/>
      </c>
      <c r="X1049">
        <f>HYPERLINK("https://klasma.github.io/Logging_2283/tillsyn/A 39897-2024 tillsynsbegäran.docx", "A 39897-2024")</f>
        <v/>
      </c>
      <c r="Y1049">
        <f>HYPERLINK("https://klasma.github.io/Logging_2283/tillsynsmail/A 39897-2024 tillsynsbegäran mail.docx", "A 39897-2024")</f>
        <v/>
      </c>
    </row>
    <row r="1050" ht="15" customHeight="1">
      <c r="A1050" t="inlineStr">
        <is>
          <t>A 57056-2023</t>
        </is>
      </c>
      <c r="B1050" s="1" t="n">
        <v>45244</v>
      </c>
      <c r="C1050" s="1" t="n">
        <v>46093</v>
      </c>
      <c r="D1050" t="inlineStr">
        <is>
          <t>VÄSTERNORRLANDS LÄN</t>
        </is>
      </c>
      <c r="E1050" t="inlineStr">
        <is>
          <t>KRAMFORS</t>
        </is>
      </c>
      <c r="G1050" t="n">
        <v>15.9</v>
      </c>
      <c r="H1050" t="n">
        <v>0</v>
      </c>
      <c r="I1050" t="n">
        <v>0</v>
      </c>
      <c r="J1050" t="n">
        <v>1</v>
      </c>
      <c r="K1050" t="n">
        <v>0</v>
      </c>
      <c r="L1050" t="n">
        <v>0</v>
      </c>
      <c r="M1050" t="n">
        <v>0</v>
      </c>
      <c r="N1050" t="n">
        <v>0</v>
      </c>
      <c r="O1050" t="n">
        <v>1</v>
      </c>
      <c r="P1050" t="n">
        <v>0</v>
      </c>
      <c r="Q1050" t="n">
        <v>1</v>
      </c>
      <c r="R1050" s="2" t="inlineStr">
        <is>
          <t>Garnlav</t>
        </is>
      </c>
      <c r="S1050">
        <f>HYPERLINK("https://klasma.github.io/Logging_2282/artfynd/A 57056-2023 artfynd.xlsx", "A 57056-2023")</f>
        <v/>
      </c>
      <c r="T1050">
        <f>HYPERLINK("https://klasma.github.io/Logging_2282/kartor/A 57056-2023 karta.png", "A 57056-2023")</f>
        <v/>
      </c>
      <c r="V1050">
        <f>HYPERLINK("https://klasma.github.io/Logging_2282/klagomål/A 57056-2023 FSC-klagomål.docx", "A 57056-2023")</f>
        <v/>
      </c>
      <c r="W1050">
        <f>HYPERLINK("https://klasma.github.io/Logging_2282/klagomålsmail/A 57056-2023 FSC-klagomål mail.docx", "A 57056-2023")</f>
        <v/>
      </c>
      <c r="X1050">
        <f>HYPERLINK("https://klasma.github.io/Logging_2282/tillsyn/A 57056-2023 tillsynsbegäran.docx", "A 57056-2023")</f>
        <v/>
      </c>
      <c r="Y1050">
        <f>HYPERLINK("https://klasma.github.io/Logging_2282/tillsynsmail/A 57056-2023 tillsynsbegäran mail.docx", "A 57056-2023")</f>
        <v/>
      </c>
    </row>
    <row r="1051" ht="15" customHeight="1">
      <c r="A1051" t="inlineStr">
        <is>
          <t>A 15669-2022</t>
        </is>
      </c>
      <c r="B1051" s="1" t="n">
        <v>44662</v>
      </c>
      <c r="C1051" s="1" t="n">
        <v>46093</v>
      </c>
      <c r="D1051" t="inlineStr">
        <is>
          <t>VÄSTERNORRLANDS LÄN</t>
        </is>
      </c>
      <c r="E1051" t="inlineStr">
        <is>
          <t>SOLLEFTEÅ</t>
        </is>
      </c>
      <c r="G1051" t="n">
        <v>12.1</v>
      </c>
      <c r="H1051" t="n">
        <v>0</v>
      </c>
      <c r="I1051" t="n">
        <v>1</v>
      </c>
      <c r="J1051" t="n">
        <v>0</v>
      </c>
      <c r="K1051" t="n">
        <v>0</v>
      </c>
      <c r="L1051" t="n">
        <v>0</v>
      </c>
      <c r="M1051" t="n">
        <v>0</v>
      </c>
      <c r="N1051" t="n">
        <v>0</v>
      </c>
      <c r="O1051" t="n">
        <v>0</v>
      </c>
      <c r="P1051" t="n">
        <v>0</v>
      </c>
      <c r="Q1051" t="n">
        <v>1</v>
      </c>
      <c r="R1051" s="2" t="inlineStr">
        <is>
          <t>Skinnlav</t>
        </is>
      </c>
      <c r="S1051">
        <f>HYPERLINK("https://klasma.github.io/Logging_2283/artfynd/A 15669-2022 artfynd.xlsx", "A 15669-2022")</f>
        <v/>
      </c>
      <c r="T1051">
        <f>HYPERLINK("https://klasma.github.io/Logging_2283/kartor/A 15669-2022 karta.png", "A 15669-2022")</f>
        <v/>
      </c>
      <c r="V1051">
        <f>HYPERLINK("https://klasma.github.io/Logging_2283/klagomål/A 15669-2022 FSC-klagomål.docx", "A 15669-2022")</f>
        <v/>
      </c>
      <c r="W1051">
        <f>HYPERLINK("https://klasma.github.io/Logging_2283/klagomålsmail/A 15669-2022 FSC-klagomål mail.docx", "A 15669-2022")</f>
        <v/>
      </c>
      <c r="X1051">
        <f>HYPERLINK("https://klasma.github.io/Logging_2283/tillsyn/A 15669-2022 tillsynsbegäran.docx", "A 15669-2022")</f>
        <v/>
      </c>
      <c r="Y1051">
        <f>HYPERLINK("https://klasma.github.io/Logging_2283/tillsynsmail/A 15669-2022 tillsynsbegäran mail.docx", "A 15669-2022")</f>
        <v/>
      </c>
    </row>
    <row r="1052" ht="15" customHeight="1">
      <c r="A1052" t="inlineStr">
        <is>
          <t>A 45947-2023</t>
        </is>
      </c>
      <c r="B1052" s="1" t="n">
        <v>45195</v>
      </c>
      <c r="C1052" s="1" t="n">
        <v>46093</v>
      </c>
      <c r="D1052" t="inlineStr">
        <is>
          <t>VÄSTERNORRLANDS LÄN</t>
        </is>
      </c>
      <c r="E1052" t="inlineStr">
        <is>
          <t>KRAMFORS</t>
        </is>
      </c>
      <c r="F1052" t="inlineStr">
        <is>
          <t>SCA</t>
        </is>
      </c>
      <c r="G1052" t="n">
        <v>1.7</v>
      </c>
      <c r="H1052" t="n">
        <v>0</v>
      </c>
      <c r="I1052" t="n">
        <v>1</v>
      </c>
      <c r="J1052" t="n">
        <v>0</v>
      </c>
      <c r="K1052" t="n">
        <v>0</v>
      </c>
      <c r="L1052" t="n">
        <v>0</v>
      </c>
      <c r="M1052" t="n">
        <v>0</v>
      </c>
      <c r="N1052" t="n">
        <v>0</v>
      </c>
      <c r="O1052" t="n">
        <v>0</v>
      </c>
      <c r="P1052" t="n">
        <v>0</v>
      </c>
      <c r="Q1052" t="n">
        <v>1</v>
      </c>
      <c r="R1052" s="2" t="inlineStr">
        <is>
          <t>Kattfotslav</t>
        </is>
      </c>
      <c r="S1052">
        <f>HYPERLINK("https://klasma.github.io/Logging_2282/artfynd/A 45947-2023 artfynd.xlsx", "A 45947-2023")</f>
        <v/>
      </c>
      <c r="T1052">
        <f>HYPERLINK("https://klasma.github.io/Logging_2282/kartor/A 45947-2023 karta.png", "A 45947-2023")</f>
        <v/>
      </c>
      <c r="V1052">
        <f>HYPERLINK("https://klasma.github.io/Logging_2282/klagomål/A 45947-2023 FSC-klagomål.docx", "A 45947-2023")</f>
        <v/>
      </c>
      <c r="W1052">
        <f>HYPERLINK("https://klasma.github.io/Logging_2282/klagomålsmail/A 45947-2023 FSC-klagomål mail.docx", "A 45947-2023")</f>
        <v/>
      </c>
      <c r="X1052">
        <f>HYPERLINK("https://klasma.github.io/Logging_2282/tillsyn/A 45947-2023 tillsynsbegäran.docx", "A 45947-2023")</f>
        <v/>
      </c>
      <c r="Y1052">
        <f>HYPERLINK("https://klasma.github.io/Logging_2282/tillsynsmail/A 45947-2023 tillsynsbegäran mail.docx", "A 45947-2023")</f>
        <v/>
      </c>
    </row>
    <row r="1053" ht="15" customHeight="1">
      <c r="A1053" t="inlineStr">
        <is>
          <t>A 43362-2025</t>
        </is>
      </c>
      <c r="B1053" s="1" t="n">
        <v>45911</v>
      </c>
      <c r="C1053" s="1" t="n">
        <v>46093</v>
      </c>
      <c r="D1053" t="inlineStr">
        <is>
          <t>VÄSTERNORRLANDS LÄN</t>
        </is>
      </c>
      <c r="E1053" t="inlineStr">
        <is>
          <t>SUNDSVALL</t>
        </is>
      </c>
      <c r="F1053" t="inlineStr">
        <is>
          <t>Naturvårdsverket</t>
        </is>
      </c>
      <c r="G1053" t="n">
        <v>3.7</v>
      </c>
      <c r="H1053" t="n">
        <v>1</v>
      </c>
      <c r="I1053" t="n">
        <v>0</v>
      </c>
      <c r="J1053" t="n">
        <v>1</v>
      </c>
      <c r="K1053" t="n">
        <v>0</v>
      </c>
      <c r="L1053" t="n">
        <v>0</v>
      </c>
      <c r="M1053" t="n">
        <v>0</v>
      </c>
      <c r="N1053" t="n">
        <v>0</v>
      </c>
      <c r="O1053" t="n">
        <v>1</v>
      </c>
      <c r="P1053" t="n">
        <v>0</v>
      </c>
      <c r="Q1053" t="n">
        <v>1</v>
      </c>
      <c r="R1053" s="2" t="inlineStr">
        <is>
          <t>Utter</t>
        </is>
      </c>
      <c r="S1053">
        <f>HYPERLINK("https://klasma.github.io/Logging_2281/artfynd/A 43362-2025 artfynd.xlsx", "A 43362-2025")</f>
        <v/>
      </c>
      <c r="T1053">
        <f>HYPERLINK("https://klasma.github.io/Logging_2281/kartor/A 43362-2025 karta.png", "A 43362-2025")</f>
        <v/>
      </c>
      <c r="V1053">
        <f>HYPERLINK("https://klasma.github.io/Logging_2281/klagomål/A 43362-2025 FSC-klagomål.docx", "A 43362-2025")</f>
        <v/>
      </c>
      <c r="W1053">
        <f>HYPERLINK("https://klasma.github.io/Logging_2281/klagomålsmail/A 43362-2025 FSC-klagomål mail.docx", "A 43362-2025")</f>
        <v/>
      </c>
      <c r="X1053">
        <f>HYPERLINK("https://klasma.github.io/Logging_2281/tillsyn/A 43362-2025 tillsynsbegäran.docx", "A 43362-2025")</f>
        <v/>
      </c>
      <c r="Y1053">
        <f>HYPERLINK("https://klasma.github.io/Logging_2281/tillsynsmail/A 43362-2025 tillsynsbegäran mail.docx", "A 43362-2025")</f>
        <v/>
      </c>
    </row>
    <row r="1054" ht="15" customHeight="1">
      <c r="A1054" t="inlineStr">
        <is>
          <t>A 30827-2023</t>
        </is>
      </c>
      <c r="B1054" s="1" t="n">
        <v>45112</v>
      </c>
      <c r="C1054" s="1" t="n">
        <v>46093</v>
      </c>
      <c r="D1054" t="inlineStr">
        <is>
          <t>VÄSTERNORRLANDS LÄN</t>
        </is>
      </c>
      <c r="E1054" t="inlineStr">
        <is>
          <t>SUNDSVALL</t>
        </is>
      </c>
      <c r="F1054" t="inlineStr">
        <is>
          <t>SCA</t>
        </is>
      </c>
      <c r="G1054" t="n">
        <v>21.9</v>
      </c>
      <c r="H1054" t="n">
        <v>0</v>
      </c>
      <c r="I1054" t="n">
        <v>1</v>
      </c>
      <c r="J1054" t="n">
        <v>0</v>
      </c>
      <c r="K1054" t="n">
        <v>0</v>
      </c>
      <c r="L1054" t="n">
        <v>0</v>
      </c>
      <c r="M1054" t="n">
        <v>0</v>
      </c>
      <c r="N1054" t="n">
        <v>0</v>
      </c>
      <c r="O1054" t="n">
        <v>0</v>
      </c>
      <c r="P1054" t="n">
        <v>0</v>
      </c>
      <c r="Q1054" t="n">
        <v>1</v>
      </c>
      <c r="R1054" s="2" t="inlineStr">
        <is>
          <t>Dropptaggsvamp</t>
        </is>
      </c>
      <c r="S1054">
        <f>HYPERLINK("https://klasma.github.io/Logging_2281/artfynd/A 30827-2023 artfynd.xlsx", "A 30827-2023")</f>
        <v/>
      </c>
      <c r="T1054">
        <f>HYPERLINK("https://klasma.github.io/Logging_2281/kartor/A 30827-2023 karta.png", "A 30827-2023")</f>
        <v/>
      </c>
      <c r="V1054">
        <f>HYPERLINK("https://klasma.github.io/Logging_2281/klagomål/A 30827-2023 FSC-klagomål.docx", "A 30827-2023")</f>
        <v/>
      </c>
      <c r="W1054">
        <f>HYPERLINK("https://klasma.github.io/Logging_2281/klagomålsmail/A 30827-2023 FSC-klagomål mail.docx", "A 30827-2023")</f>
        <v/>
      </c>
      <c r="X1054">
        <f>HYPERLINK("https://klasma.github.io/Logging_2281/tillsyn/A 30827-2023 tillsynsbegäran.docx", "A 30827-2023")</f>
        <v/>
      </c>
      <c r="Y1054">
        <f>HYPERLINK("https://klasma.github.io/Logging_2281/tillsynsmail/A 30827-2023 tillsynsbegäran mail.docx", "A 30827-2023")</f>
        <v/>
      </c>
    </row>
    <row r="1055" ht="15" customHeight="1">
      <c r="A1055" t="inlineStr">
        <is>
          <t>A 39995-2024</t>
        </is>
      </c>
      <c r="B1055" s="1" t="n">
        <v>45553.63572916666</v>
      </c>
      <c r="C1055" s="1" t="n">
        <v>46093</v>
      </c>
      <c r="D1055" t="inlineStr">
        <is>
          <t>VÄSTERNORRLANDS LÄN</t>
        </is>
      </c>
      <c r="E1055" t="inlineStr">
        <is>
          <t>SOLLEFTEÅ</t>
        </is>
      </c>
      <c r="F1055" t="inlineStr">
        <is>
          <t>SCA</t>
        </is>
      </c>
      <c r="G1055" t="n">
        <v>3.5</v>
      </c>
      <c r="H1055" t="n">
        <v>0</v>
      </c>
      <c r="I1055" t="n">
        <v>0</v>
      </c>
      <c r="J1055" t="n">
        <v>1</v>
      </c>
      <c r="K1055" t="n">
        <v>0</v>
      </c>
      <c r="L1055" t="n">
        <v>0</v>
      </c>
      <c r="M1055" t="n">
        <v>0</v>
      </c>
      <c r="N1055" t="n">
        <v>0</v>
      </c>
      <c r="O1055" t="n">
        <v>1</v>
      </c>
      <c r="P1055" t="n">
        <v>0</v>
      </c>
      <c r="Q1055" t="n">
        <v>1</v>
      </c>
      <c r="R1055" s="2" t="inlineStr">
        <is>
          <t>Garnlav</t>
        </is>
      </c>
      <c r="S1055">
        <f>HYPERLINK("https://klasma.github.io/Logging_2283/artfynd/A 39995-2024 artfynd.xlsx", "A 39995-2024")</f>
        <v/>
      </c>
      <c r="T1055">
        <f>HYPERLINK("https://klasma.github.io/Logging_2283/kartor/A 39995-2024 karta.png", "A 39995-2024")</f>
        <v/>
      </c>
      <c r="V1055">
        <f>HYPERLINK("https://klasma.github.io/Logging_2283/klagomål/A 39995-2024 FSC-klagomål.docx", "A 39995-2024")</f>
        <v/>
      </c>
      <c r="W1055">
        <f>HYPERLINK("https://klasma.github.io/Logging_2283/klagomålsmail/A 39995-2024 FSC-klagomål mail.docx", "A 39995-2024")</f>
        <v/>
      </c>
      <c r="X1055">
        <f>HYPERLINK("https://klasma.github.io/Logging_2283/tillsyn/A 39995-2024 tillsynsbegäran.docx", "A 39995-2024")</f>
        <v/>
      </c>
      <c r="Y1055">
        <f>HYPERLINK("https://klasma.github.io/Logging_2283/tillsynsmail/A 39995-2024 tillsynsbegäran mail.docx", "A 39995-2024")</f>
        <v/>
      </c>
    </row>
    <row r="1056" ht="15" customHeight="1">
      <c r="A1056" t="inlineStr">
        <is>
          <t>A 31510-2024</t>
        </is>
      </c>
      <c r="B1056" s="1" t="n">
        <v>45505</v>
      </c>
      <c r="C1056" s="1" t="n">
        <v>46093</v>
      </c>
      <c r="D1056" t="inlineStr">
        <is>
          <t>VÄSTERNORRLANDS LÄN</t>
        </is>
      </c>
      <c r="E1056" t="inlineStr">
        <is>
          <t>ÅNGE</t>
        </is>
      </c>
      <c r="F1056" t="inlineStr">
        <is>
          <t>SCA</t>
        </is>
      </c>
      <c r="G1056" t="n">
        <v>6</v>
      </c>
      <c r="H1056" t="n">
        <v>1</v>
      </c>
      <c r="I1056" t="n">
        <v>0</v>
      </c>
      <c r="J1056" t="n">
        <v>0</v>
      </c>
      <c r="K1056" t="n">
        <v>1</v>
      </c>
      <c r="L1056" t="n">
        <v>0</v>
      </c>
      <c r="M1056" t="n">
        <v>0</v>
      </c>
      <c r="N1056" t="n">
        <v>0</v>
      </c>
      <c r="O1056" t="n">
        <v>1</v>
      </c>
      <c r="P1056" t="n">
        <v>1</v>
      </c>
      <c r="Q1056" t="n">
        <v>1</v>
      </c>
      <c r="R1056" s="2" t="inlineStr">
        <is>
          <t>Doftticka</t>
        </is>
      </c>
      <c r="S1056">
        <f>HYPERLINK("https://klasma.github.io/Logging_2260/artfynd/A 31510-2024 artfynd.xlsx", "A 31510-2024")</f>
        <v/>
      </c>
      <c r="T1056">
        <f>HYPERLINK("https://klasma.github.io/Logging_2260/kartor/A 31510-2024 karta.png", "A 31510-2024")</f>
        <v/>
      </c>
      <c r="V1056">
        <f>HYPERLINK("https://klasma.github.io/Logging_2260/klagomål/A 31510-2024 FSC-klagomål.docx", "A 31510-2024")</f>
        <v/>
      </c>
      <c r="W1056">
        <f>HYPERLINK("https://klasma.github.io/Logging_2260/klagomålsmail/A 31510-2024 FSC-klagomål mail.docx", "A 31510-2024")</f>
        <v/>
      </c>
      <c r="X1056">
        <f>HYPERLINK("https://klasma.github.io/Logging_2260/tillsyn/A 31510-2024 tillsynsbegäran.docx", "A 31510-2024")</f>
        <v/>
      </c>
      <c r="Y1056">
        <f>HYPERLINK("https://klasma.github.io/Logging_2260/tillsynsmail/A 31510-2024 tillsynsbegäran mail.docx", "A 31510-2024")</f>
        <v/>
      </c>
    </row>
    <row r="1057" ht="15" customHeight="1">
      <c r="A1057" t="inlineStr">
        <is>
          <t>A 12979-2023</t>
        </is>
      </c>
      <c r="B1057" s="1" t="n">
        <v>45002</v>
      </c>
      <c r="C1057" s="1" t="n">
        <v>46093</v>
      </c>
      <c r="D1057" t="inlineStr">
        <is>
          <t>VÄSTERNORRLANDS LÄN</t>
        </is>
      </c>
      <c r="E1057" t="inlineStr">
        <is>
          <t>ÖRNSKÖLDSVIK</t>
        </is>
      </c>
      <c r="F1057" t="inlineStr">
        <is>
          <t>SCA</t>
        </is>
      </c>
      <c r="G1057" t="n">
        <v>5.2</v>
      </c>
      <c r="H1057" t="n">
        <v>1</v>
      </c>
      <c r="I1057" t="n">
        <v>0</v>
      </c>
      <c r="J1057" t="n">
        <v>0</v>
      </c>
      <c r="K1057" t="n">
        <v>0</v>
      </c>
      <c r="L1057" t="n">
        <v>0</v>
      </c>
      <c r="M1057" t="n">
        <v>0</v>
      </c>
      <c r="N1057" t="n">
        <v>0</v>
      </c>
      <c r="O1057" t="n">
        <v>0</v>
      </c>
      <c r="P1057" t="n">
        <v>0</v>
      </c>
      <c r="Q1057" t="n">
        <v>1</v>
      </c>
      <c r="R1057" s="2" t="inlineStr">
        <is>
          <t>Tjäder</t>
        </is>
      </c>
      <c r="S1057">
        <f>HYPERLINK("https://klasma.github.io/Logging_2284/artfynd/A 12979-2023 artfynd.xlsx", "A 12979-2023")</f>
        <v/>
      </c>
      <c r="T1057">
        <f>HYPERLINK("https://klasma.github.io/Logging_2284/kartor/A 12979-2023 karta.png", "A 12979-2023")</f>
        <v/>
      </c>
      <c r="V1057">
        <f>HYPERLINK("https://klasma.github.io/Logging_2284/klagomål/A 12979-2023 FSC-klagomål.docx", "A 12979-2023")</f>
        <v/>
      </c>
      <c r="W1057">
        <f>HYPERLINK("https://klasma.github.io/Logging_2284/klagomålsmail/A 12979-2023 FSC-klagomål mail.docx", "A 12979-2023")</f>
        <v/>
      </c>
      <c r="X1057">
        <f>HYPERLINK("https://klasma.github.io/Logging_2284/tillsyn/A 12979-2023 tillsynsbegäran.docx", "A 12979-2023")</f>
        <v/>
      </c>
      <c r="Y1057">
        <f>HYPERLINK("https://klasma.github.io/Logging_2284/tillsynsmail/A 12979-2023 tillsynsbegäran mail.docx", "A 12979-2023")</f>
        <v/>
      </c>
      <c r="Z1057">
        <f>HYPERLINK("https://klasma.github.io/Logging_2284/fåglar/A 12979-2023 prioriterade fågelarter.docx", "A 12979-2023")</f>
        <v/>
      </c>
    </row>
    <row r="1058" ht="15" customHeight="1">
      <c r="A1058" t="inlineStr">
        <is>
          <t>A 37914-2024</t>
        </is>
      </c>
      <c r="B1058" s="1" t="n">
        <v>45544</v>
      </c>
      <c r="C1058" s="1" t="n">
        <v>46093</v>
      </c>
      <c r="D1058" t="inlineStr">
        <is>
          <t>VÄSTERNORRLANDS LÄN</t>
        </is>
      </c>
      <c r="E1058" t="inlineStr">
        <is>
          <t>ÅNGE</t>
        </is>
      </c>
      <c r="F1058" t="inlineStr">
        <is>
          <t>SCA</t>
        </is>
      </c>
      <c r="G1058" t="n">
        <v>9</v>
      </c>
      <c r="H1058" t="n">
        <v>0</v>
      </c>
      <c r="I1058" t="n">
        <v>0</v>
      </c>
      <c r="J1058" t="n">
        <v>1</v>
      </c>
      <c r="K1058" t="n">
        <v>0</v>
      </c>
      <c r="L1058" t="n">
        <v>0</v>
      </c>
      <c r="M1058" t="n">
        <v>0</v>
      </c>
      <c r="N1058" t="n">
        <v>0</v>
      </c>
      <c r="O1058" t="n">
        <v>1</v>
      </c>
      <c r="P1058" t="n">
        <v>0</v>
      </c>
      <c r="Q1058" t="n">
        <v>1</v>
      </c>
      <c r="R1058" s="2" t="inlineStr">
        <is>
          <t>Granticka</t>
        </is>
      </c>
      <c r="S1058">
        <f>HYPERLINK("https://klasma.github.io/Logging_2260/artfynd/A 37914-2024 artfynd.xlsx", "A 37914-2024")</f>
        <v/>
      </c>
      <c r="T1058">
        <f>HYPERLINK("https://klasma.github.io/Logging_2260/kartor/A 37914-2024 karta.png", "A 37914-2024")</f>
        <v/>
      </c>
      <c r="V1058">
        <f>HYPERLINK("https://klasma.github.io/Logging_2260/klagomål/A 37914-2024 FSC-klagomål.docx", "A 37914-2024")</f>
        <v/>
      </c>
      <c r="W1058">
        <f>HYPERLINK("https://klasma.github.io/Logging_2260/klagomålsmail/A 37914-2024 FSC-klagomål mail.docx", "A 37914-2024")</f>
        <v/>
      </c>
      <c r="X1058">
        <f>HYPERLINK("https://klasma.github.io/Logging_2260/tillsyn/A 37914-2024 tillsynsbegäran.docx", "A 37914-2024")</f>
        <v/>
      </c>
      <c r="Y1058">
        <f>HYPERLINK("https://klasma.github.io/Logging_2260/tillsynsmail/A 37914-2024 tillsynsbegäran mail.docx", "A 37914-2024")</f>
        <v/>
      </c>
    </row>
    <row r="1059" ht="15" customHeight="1">
      <c r="A1059" t="inlineStr">
        <is>
          <t>A 43590-2025</t>
        </is>
      </c>
      <c r="B1059" s="1" t="n">
        <v>45911.65665509259</v>
      </c>
      <c r="C1059" s="1" t="n">
        <v>46093</v>
      </c>
      <c r="D1059" t="inlineStr">
        <is>
          <t>VÄSTERNORRLANDS LÄN</t>
        </is>
      </c>
      <c r="E1059" t="inlineStr">
        <is>
          <t>ÅNGE</t>
        </is>
      </c>
      <c r="F1059" t="inlineStr">
        <is>
          <t>SCA</t>
        </is>
      </c>
      <c r="G1059" t="n">
        <v>2.9</v>
      </c>
      <c r="H1059" t="n">
        <v>0</v>
      </c>
      <c r="I1059" t="n">
        <v>0</v>
      </c>
      <c r="J1059" t="n">
        <v>1</v>
      </c>
      <c r="K1059" t="n">
        <v>0</v>
      </c>
      <c r="L1059" t="n">
        <v>0</v>
      </c>
      <c r="M1059" t="n">
        <v>0</v>
      </c>
      <c r="N1059" t="n">
        <v>0</v>
      </c>
      <c r="O1059" t="n">
        <v>1</v>
      </c>
      <c r="P1059" t="n">
        <v>0</v>
      </c>
      <c r="Q1059" t="n">
        <v>1</v>
      </c>
      <c r="R1059" s="2" t="inlineStr">
        <is>
          <t>Granticka</t>
        </is>
      </c>
      <c r="S1059">
        <f>HYPERLINK("https://klasma.github.io/Logging_2260/artfynd/A 43590-2025 artfynd.xlsx", "A 43590-2025")</f>
        <v/>
      </c>
      <c r="T1059">
        <f>HYPERLINK("https://klasma.github.io/Logging_2260/kartor/A 43590-2025 karta.png", "A 43590-2025")</f>
        <v/>
      </c>
      <c r="V1059">
        <f>HYPERLINK("https://klasma.github.io/Logging_2260/klagomål/A 43590-2025 FSC-klagomål.docx", "A 43590-2025")</f>
        <v/>
      </c>
      <c r="W1059">
        <f>HYPERLINK("https://klasma.github.io/Logging_2260/klagomålsmail/A 43590-2025 FSC-klagomål mail.docx", "A 43590-2025")</f>
        <v/>
      </c>
      <c r="X1059">
        <f>HYPERLINK("https://klasma.github.io/Logging_2260/tillsyn/A 43590-2025 tillsynsbegäran.docx", "A 43590-2025")</f>
        <v/>
      </c>
      <c r="Y1059">
        <f>HYPERLINK("https://klasma.github.io/Logging_2260/tillsynsmail/A 43590-2025 tillsynsbegäran mail.docx", "A 43590-2025")</f>
        <v/>
      </c>
    </row>
    <row r="1060" ht="15" customHeight="1">
      <c r="A1060" t="inlineStr">
        <is>
          <t>A 8429-2025</t>
        </is>
      </c>
      <c r="B1060" s="1" t="n">
        <v>45709.42633101852</v>
      </c>
      <c r="C1060" s="1" t="n">
        <v>46093</v>
      </c>
      <c r="D1060" t="inlineStr">
        <is>
          <t>VÄSTERNORRLANDS LÄN</t>
        </is>
      </c>
      <c r="E1060" t="inlineStr">
        <is>
          <t>ÖRNSKÖLDSVIK</t>
        </is>
      </c>
      <c r="G1060" t="n">
        <v>25.8</v>
      </c>
      <c r="H1060" t="n">
        <v>1</v>
      </c>
      <c r="I1060" t="n">
        <v>0</v>
      </c>
      <c r="J1060" t="n">
        <v>0</v>
      </c>
      <c r="K1060" t="n">
        <v>0</v>
      </c>
      <c r="L1060" t="n">
        <v>0</v>
      </c>
      <c r="M1060" t="n">
        <v>0</v>
      </c>
      <c r="N1060" t="n">
        <v>0</v>
      </c>
      <c r="O1060" t="n">
        <v>0</v>
      </c>
      <c r="P1060" t="n">
        <v>0</v>
      </c>
      <c r="Q1060" t="n">
        <v>1</v>
      </c>
      <c r="R1060" s="2" t="inlineStr">
        <is>
          <t>Fläcknycklar</t>
        </is>
      </c>
      <c r="S1060">
        <f>HYPERLINK("https://klasma.github.io/Logging_2284/artfynd/A 8429-2025 artfynd.xlsx", "A 8429-2025")</f>
        <v/>
      </c>
      <c r="T1060">
        <f>HYPERLINK("https://klasma.github.io/Logging_2284/kartor/A 8429-2025 karta.png", "A 8429-2025")</f>
        <v/>
      </c>
      <c r="V1060">
        <f>HYPERLINK("https://klasma.github.io/Logging_2284/klagomål/A 8429-2025 FSC-klagomål.docx", "A 8429-2025")</f>
        <v/>
      </c>
      <c r="W1060">
        <f>HYPERLINK("https://klasma.github.io/Logging_2284/klagomålsmail/A 8429-2025 FSC-klagomål mail.docx", "A 8429-2025")</f>
        <v/>
      </c>
      <c r="X1060">
        <f>HYPERLINK("https://klasma.github.io/Logging_2284/tillsyn/A 8429-2025 tillsynsbegäran.docx", "A 8429-2025")</f>
        <v/>
      </c>
      <c r="Y1060">
        <f>HYPERLINK("https://klasma.github.io/Logging_2284/tillsynsmail/A 8429-2025 tillsynsbegäran mail.docx", "A 8429-2025")</f>
        <v/>
      </c>
    </row>
    <row r="1061" ht="15" customHeight="1">
      <c r="A1061" t="inlineStr">
        <is>
          <t>A 15376-2024</t>
        </is>
      </c>
      <c r="B1061" s="1" t="n">
        <v>45400</v>
      </c>
      <c r="C1061" s="1" t="n">
        <v>46093</v>
      </c>
      <c r="D1061" t="inlineStr">
        <is>
          <t>VÄSTERNORRLANDS LÄN</t>
        </is>
      </c>
      <c r="E1061" t="inlineStr">
        <is>
          <t>SUNDSVALL</t>
        </is>
      </c>
      <c r="F1061" t="inlineStr">
        <is>
          <t>Naturvårdsverket</t>
        </is>
      </c>
      <c r="G1061" t="n">
        <v>1.2</v>
      </c>
      <c r="H1061" t="n">
        <v>0</v>
      </c>
      <c r="I1061" t="n">
        <v>0</v>
      </c>
      <c r="J1061" t="n">
        <v>1</v>
      </c>
      <c r="K1061" t="n">
        <v>0</v>
      </c>
      <c r="L1061" t="n">
        <v>0</v>
      </c>
      <c r="M1061" t="n">
        <v>0</v>
      </c>
      <c r="N1061" t="n">
        <v>0</v>
      </c>
      <c r="O1061" t="n">
        <v>1</v>
      </c>
      <c r="P1061" t="n">
        <v>0</v>
      </c>
      <c r="Q1061" t="n">
        <v>1</v>
      </c>
      <c r="R1061" s="2" t="inlineStr">
        <is>
          <t>Granticka</t>
        </is>
      </c>
      <c r="S1061">
        <f>HYPERLINK("https://klasma.github.io/Logging_2281/artfynd/A 15376-2024 artfynd.xlsx", "A 15376-2024")</f>
        <v/>
      </c>
      <c r="T1061">
        <f>HYPERLINK("https://klasma.github.io/Logging_2281/kartor/A 15376-2024 karta.png", "A 15376-2024")</f>
        <v/>
      </c>
      <c r="V1061">
        <f>HYPERLINK("https://klasma.github.io/Logging_2281/klagomål/A 15376-2024 FSC-klagomål.docx", "A 15376-2024")</f>
        <v/>
      </c>
      <c r="W1061">
        <f>HYPERLINK("https://klasma.github.io/Logging_2281/klagomålsmail/A 15376-2024 FSC-klagomål mail.docx", "A 15376-2024")</f>
        <v/>
      </c>
      <c r="X1061">
        <f>HYPERLINK("https://klasma.github.io/Logging_2281/tillsyn/A 15376-2024 tillsynsbegäran.docx", "A 15376-2024")</f>
        <v/>
      </c>
      <c r="Y1061">
        <f>HYPERLINK("https://klasma.github.io/Logging_2281/tillsynsmail/A 15376-2024 tillsynsbegäran mail.docx", "A 15376-2024")</f>
        <v/>
      </c>
    </row>
    <row r="1062" ht="15" customHeight="1">
      <c r="A1062" t="inlineStr">
        <is>
          <t>A 34689-2024</t>
        </is>
      </c>
      <c r="B1062" s="1" t="n">
        <v>45526</v>
      </c>
      <c r="C1062" s="1" t="n">
        <v>46093</v>
      </c>
      <c r="D1062" t="inlineStr">
        <is>
          <t>VÄSTERNORRLANDS LÄN</t>
        </is>
      </c>
      <c r="E1062" t="inlineStr">
        <is>
          <t>HÄRNÖSAND</t>
        </is>
      </c>
      <c r="F1062" t="inlineStr">
        <is>
          <t>SCA</t>
        </is>
      </c>
      <c r="G1062" t="n">
        <v>2.2</v>
      </c>
      <c r="H1062" t="n">
        <v>0</v>
      </c>
      <c r="I1062" t="n">
        <v>0</v>
      </c>
      <c r="J1062" t="n">
        <v>0</v>
      </c>
      <c r="K1062" t="n">
        <v>1</v>
      </c>
      <c r="L1062" t="n">
        <v>0</v>
      </c>
      <c r="M1062" t="n">
        <v>0</v>
      </c>
      <c r="N1062" t="n">
        <v>0</v>
      </c>
      <c r="O1062" t="n">
        <v>1</v>
      </c>
      <c r="P1062" t="n">
        <v>1</v>
      </c>
      <c r="Q1062" t="n">
        <v>1</v>
      </c>
      <c r="R1062" s="2" t="inlineStr">
        <is>
          <t>Rynkskinn</t>
        </is>
      </c>
      <c r="S1062">
        <f>HYPERLINK("https://klasma.github.io/Logging_2280/artfynd/A 34689-2024 artfynd.xlsx", "A 34689-2024")</f>
        <v/>
      </c>
      <c r="T1062">
        <f>HYPERLINK("https://klasma.github.io/Logging_2280/kartor/A 34689-2024 karta.png", "A 34689-2024")</f>
        <v/>
      </c>
      <c r="V1062">
        <f>HYPERLINK("https://klasma.github.io/Logging_2280/klagomål/A 34689-2024 FSC-klagomål.docx", "A 34689-2024")</f>
        <v/>
      </c>
      <c r="W1062">
        <f>HYPERLINK("https://klasma.github.io/Logging_2280/klagomålsmail/A 34689-2024 FSC-klagomål mail.docx", "A 34689-2024")</f>
        <v/>
      </c>
      <c r="X1062">
        <f>HYPERLINK("https://klasma.github.io/Logging_2280/tillsyn/A 34689-2024 tillsynsbegäran.docx", "A 34689-2024")</f>
        <v/>
      </c>
      <c r="Y1062">
        <f>HYPERLINK("https://klasma.github.io/Logging_2280/tillsynsmail/A 34689-2024 tillsynsbegäran mail.docx", "A 34689-2024")</f>
        <v/>
      </c>
    </row>
    <row r="1063" ht="15" customHeight="1">
      <c r="A1063" t="inlineStr">
        <is>
          <t>A 56287-2024</t>
        </is>
      </c>
      <c r="B1063" s="1" t="n">
        <v>45624.67935185185</v>
      </c>
      <c r="C1063" s="1" t="n">
        <v>46093</v>
      </c>
      <c r="D1063" t="inlineStr">
        <is>
          <t>VÄSTERNORRLANDS LÄN</t>
        </is>
      </c>
      <c r="E1063" t="inlineStr">
        <is>
          <t>TIMRÅ</t>
        </is>
      </c>
      <c r="F1063" t="inlineStr">
        <is>
          <t>SCA</t>
        </is>
      </c>
      <c r="G1063" t="n">
        <v>10.2</v>
      </c>
      <c r="H1063" t="n">
        <v>0</v>
      </c>
      <c r="I1063" t="n">
        <v>0</v>
      </c>
      <c r="J1063" t="n">
        <v>1</v>
      </c>
      <c r="K1063" t="n">
        <v>0</v>
      </c>
      <c r="L1063" t="n">
        <v>0</v>
      </c>
      <c r="M1063" t="n">
        <v>0</v>
      </c>
      <c r="N1063" t="n">
        <v>0</v>
      </c>
      <c r="O1063" t="n">
        <v>1</v>
      </c>
      <c r="P1063" t="n">
        <v>0</v>
      </c>
      <c r="Q1063" t="n">
        <v>1</v>
      </c>
      <c r="R1063" s="2" t="inlineStr">
        <is>
          <t>Garnlav</t>
        </is>
      </c>
      <c r="S1063">
        <f>HYPERLINK("https://klasma.github.io/Logging_2262/artfynd/A 56287-2024 artfynd.xlsx", "A 56287-2024")</f>
        <v/>
      </c>
      <c r="T1063">
        <f>HYPERLINK("https://klasma.github.io/Logging_2262/kartor/A 56287-2024 karta.png", "A 56287-2024")</f>
        <v/>
      </c>
      <c r="V1063">
        <f>HYPERLINK("https://klasma.github.io/Logging_2262/klagomål/A 56287-2024 FSC-klagomål.docx", "A 56287-2024")</f>
        <v/>
      </c>
      <c r="W1063">
        <f>HYPERLINK("https://klasma.github.io/Logging_2262/klagomålsmail/A 56287-2024 FSC-klagomål mail.docx", "A 56287-2024")</f>
        <v/>
      </c>
      <c r="X1063">
        <f>HYPERLINK("https://klasma.github.io/Logging_2262/tillsyn/A 56287-2024 tillsynsbegäran.docx", "A 56287-2024")</f>
        <v/>
      </c>
      <c r="Y1063">
        <f>HYPERLINK("https://klasma.github.io/Logging_2262/tillsynsmail/A 56287-2024 tillsynsbegäran mail.docx", "A 56287-2024")</f>
        <v/>
      </c>
    </row>
    <row r="1064" ht="15" customHeight="1">
      <c r="A1064" t="inlineStr">
        <is>
          <t>A 14665-2023</t>
        </is>
      </c>
      <c r="B1064" s="1" t="n">
        <v>45013.9258912037</v>
      </c>
      <c r="C1064" s="1" t="n">
        <v>46093</v>
      </c>
      <c r="D1064" t="inlineStr">
        <is>
          <t>VÄSTERNORRLANDS LÄN</t>
        </is>
      </c>
      <c r="E1064" t="inlineStr">
        <is>
          <t>SUNDSVALL</t>
        </is>
      </c>
      <c r="G1064" t="n">
        <v>1.8</v>
      </c>
      <c r="H1064" t="n">
        <v>1</v>
      </c>
      <c r="I1064" t="n">
        <v>0</v>
      </c>
      <c r="J1064" t="n">
        <v>0</v>
      </c>
      <c r="K1064" t="n">
        <v>0</v>
      </c>
      <c r="L1064" t="n">
        <v>0</v>
      </c>
      <c r="M1064" t="n">
        <v>0</v>
      </c>
      <c r="N1064" t="n">
        <v>0</v>
      </c>
      <c r="O1064" t="n">
        <v>0</v>
      </c>
      <c r="P1064" t="n">
        <v>0</v>
      </c>
      <c r="Q1064" t="n">
        <v>1</v>
      </c>
      <c r="R1064" s="2" t="inlineStr">
        <is>
          <t>Trana</t>
        </is>
      </c>
      <c r="S1064">
        <f>HYPERLINK("https://klasma.github.io/Logging_2281/artfynd/A 14665-2023 artfynd.xlsx", "A 14665-2023")</f>
        <v/>
      </c>
      <c r="T1064">
        <f>HYPERLINK("https://klasma.github.io/Logging_2281/kartor/A 14665-2023 karta.png", "A 14665-2023")</f>
        <v/>
      </c>
      <c r="V1064">
        <f>HYPERLINK("https://klasma.github.io/Logging_2281/klagomål/A 14665-2023 FSC-klagomål.docx", "A 14665-2023")</f>
        <v/>
      </c>
      <c r="W1064">
        <f>HYPERLINK("https://klasma.github.io/Logging_2281/klagomålsmail/A 14665-2023 FSC-klagomål mail.docx", "A 14665-2023")</f>
        <v/>
      </c>
      <c r="X1064">
        <f>HYPERLINK("https://klasma.github.io/Logging_2281/tillsyn/A 14665-2023 tillsynsbegäran.docx", "A 14665-2023")</f>
        <v/>
      </c>
      <c r="Y1064">
        <f>HYPERLINK("https://klasma.github.io/Logging_2281/tillsynsmail/A 14665-2023 tillsynsbegäran mail.docx", "A 14665-2023")</f>
        <v/>
      </c>
      <c r="Z1064">
        <f>HYPERLINK("https://klasma.github.io/Logging_2281/fåglar/A 14665-2023 prioriterade fågelarter.docx", "A 14665-2023")</f>
        <v/>
      </c>
    </row>
    <row r="1065" ht="15" customHeight="1">
      <c r="A1065" t="inlineStr">
        <is>
          <t>A 19762-2025</t>
        </is>
      </c>
      <c r="B1065" s="1" t="n">
        <v>45771.40686342592</v>
      </c>
      <c r="C1065" s="1" t="n">
        <v>46093</v>
      </c>
      <c r="D1065" t="inlineStr">
        <is>
          <t>VÄSTERNORRLANDS LÄN</t>
        </is>
      </c>
      <c r="E1065" t="inlineStr">
        <is>
          <t>SUNDSVALL</t>
        </is>
      </c>
      <c r="F1065" t="inlineStr">
        <is>
          <t>Naturvårdsverket</t>
        </is>
      </c>
      <c r="G1065" t="n">
        <v>2.3</v>
      </c>
      <c r="H1065" t="n">
        <v>0</v>
      </c>
      <c r="I1065" t="n">
        <v>1</v>
      </c>
      <c r="J1065" t="n">
        <v>0</v>
      </c>
      <c r="K1065" t="n">
        <v>0</v>
      </c>
      <c r="L1065" t="n">
        <v>0</v>
      </c>
      <c r="M1065" t="n">
        <v>0</v>
      </c>
      <c r="N1065" t="n">
        <v>0</v>
      </c>
      <c r="O1065" t="n">
        <v>0</v>
      </c>
      <c r="P1065" t="n">
        <v>0</v>
      </c>
      <c r="Q1065" t="n">
        <v>1</v>
      </c>
      <c r="R1065" s="2" t="inlineStr">
        <is>
          <t>Barkticka</t>
        </is>
      </c>
      <c r="S1065">
        <f>HYPERLINK("https://klasma.github.io/Logging_2281/artfynd/A 19762-2025 artfynd.xlsx", "A 19762-2025")</f>
        <v/>
      </c>
      <c r="T1065">
        <f>HYPERLINK("https://klasma.github.io/Logging_2281/kartor/A 19762-2025 karta.png", "A 19762-2025")</f>
        <v/>
      </c>
      <c r="V1065">
        <f>HYPERLINK("https://klasma.github.io/Logging_2281/klagomål/A 19762-2025 FSC-klagomål.docx", "A 19762-2025")</f>
        <v/>
      </c>
      <c r="W1065">
        <f>HYPERLINK("https://klasma.github.io/Logging_2281/klagomålsmail/A 19762-2025 FSC-klagomål mail.docx", "A 19762-2025")</f>
        <v/>
      </c>
      <c r="X1065">
        <f>HYPERLINK("https://klasma.github.io/Logging_2281/tillsyn/A 19762-2025 tillsynsbegäran.docx", "A 19762-2025")</f>
        <v/>
      </c>
      <c r="Y1065">
        <f>HYPERLINK("https://klasma.github.io/Logging_2281/tillsynsmail/A 19762-2025 tillsynsbegäran mail.docx", "A 19762-2025")</f>
        <v/>
      </c>
    </row>
    <row r="1066" ht="15" customHeight="1">
      <c r="A1066" t="inlineStr">
        <is>
          <t>A 19866-2024</t>
        </is>
      </c>
      <c r="B1066" s="1" t="n">
        <v>45433</v>
      </c>
      <c r="C1066" s="1" t="n">
        <v>46093</v>
      </c>
      <c r="D1066" t="inlineStr">
        <is>
          <t>VÄSTERNORRLANDS LÄN</t>
        </is>
      </c>
      <c r="E1066" t="inlineStr">
        <is>
          <t>SUNDSVALL</t>
        </is>
      </c>
      <c r="G1066" t="n">
        <v>4.2</v>
      </c>
      <c r="H1066" t="n">
        <v>1</v>
      </c>
      <c r="I1066" t="n">
        <v>0</v>
      </c>
      <c r="J1066" t="n">
        <v>0</v>
      </c>
      <c r="K1066" t="n">
        <v>0</v>
      </c>
      <c r="L1066" t="n">
        <v>0</v>
      </c>
      <c r="M1066" t="n">
        <v>0</v>
      </c>
      <c r="N1066" t="n">
        <v>0</v>
      </c>
      <c r="O1066" t="n">
        <v>0</v>
      </c>
      <c r="P1066" t="n">
        <v>0</v>
      </c>
      <c r="Q1066" t="n">
        <v>1</v>
      </c>
      <c r="R1066" s="2" t="inlineStr">
        <is>
          <t>Grönsiska</t>
        </is>
      </c>
      <c r="S1066">
        <f>HYPERLINK("https://klasma.github.io/Logging_2281/artfynd/A 19866-2024 artfynd.xlsx", "A 19866-2024")</f>
        <v/>
      </c>
      <c r="T1066">
        <f>HYPERLINK("https://klasma.github.io/Logging_2281/kartor/A 19866-2024 karta.png", "A 19866-2024")</f>
        <v/>
      </c>
      <c r="V1066">
        <f>HYPERLINK("https://klasma.github.io/Logging_2281/klagomål/A 19866-2024 FSC-klagomål.docx", "A 19866-2024")</f>
        <v/>
      </c>
      <c r="W1066">
        <f>HYPERLINK("https://klasma.github.io/Logging_2281/klagomålsmail/A 19866-2024 FSC-klagomål mail.docx", "A 19866-2024")</f>
        <v/>
      </c>
      <c r="X1066">
        <f>HYPERLINK("https://klasma.github.io/Logging_2281/tillsyn/A 19866-2024 tillsynsbegäran.docx", "A 19866-2024")</f>
        <v/>
      </c>
      <c r="Y1066">
        <f>HYPERLINK("https://klasma.github.io/Logging_2281/tillsynsmail/A 19866-2024 tillsynsbegäran mail.docx", "A 19866-2024")</f>
        <v/>
      </c>
      <c r="Z1066">
        <f>HYPERLINK("https://klasma.github.io/Logging_2281/fåglar/A 19866-2024 prioriterade fågelarter.docx", "A 19866-2024")</f>
        <v/>
      </c>
    </row>
    <row r="1067" ht="15" customHeight="1">
      <c r="A1067" t="inlineStr">
        <is>
          <t>A 6651-2025</t>
        </is>
      </c>
      <c r="B1067" s="1" t="n">
        <v>45700.42429398148</v>
      </c>
      <c r="C1067" s="1" t="n">
        <v>46093</v>
      </c>
      <c r="D1067" t="inlineStr">
        <is>
          <t>VÄSTERNORRLANDS LÄN</t>
        </is>
      </c>
      <c r="E1067" t="inlineStr">
        <is>
          <t>ÖRNSKÖLDSVIK</t>
        </is>
      </c>
      <c r="G1067" t="n">
        <v>4.5</v>
      </c>
      <c r="H1067" t="n">
        <v>0</v>
      </c>
      <c r="I1067" t="n">
        <v>0</v>
      </c>
      <c r="J1067" t="n">
        <v>1</v>
      </c>
      <c r="K1067" t="n">
        <v>0</v>
      </c>
      <c r="L1067" t="n">
        <v>0</v>
      </c>
      <c r="M1067" t="n">
        <v>0</v>
      </c>
      <c r="N1067" t="n">
        <v>0</v>
      </c>
      <c r="O1067" t="n">
        <v>1</v>
      </c>
      <c r="P1067" t="n">
        <v>0</v>
      </c>
      <c r="Q1067" t="n">
        <v>1</v>
      </c>
      <c r="R1067" s="2" t="inlineStr">
        <is>
          <t>Ullticka</t>
        </is>
      </c>
      <c r="S1067">
        <f>HYPERLINK("https://klasma.github.io/Logging_2284/artfynd/A 6651-2025 artfynd.xlsx", "A 6651-2025")</f>
        <v/>
      </c>
      <c r="T1067">
        <f>HYPERLINK("https://klasma.github.io/Logging_2284/kartor/A 6651-2025 karta.png", "A 6651-2025")</f>
        <v/>
      </c>
      <c r="V1067">
        <f>HYPERLINK("https://klasma.github.io/Logging_2284/klagomål/A 6651-2025 FSC-klagomål.docx", "A 6651-2025")</f>
        <v/>
      </c>
      <c r="W1067">
        <f>HYPERLINK("https://klasma.github.io/Logging_2284/klagomålsmail/A 6651-2025 FSC-klagomål mail.docx", "A 6651-2025")</f>
        <v/>
      </c>
      <c r="X1067">
        <f>HYPERLINK("https://klasma.github.io/Logging_2284/tillsyn/A 6651-2025 tillsynsbegäran.docx", "A 6651-2025")</f>
        <v/>
      </c>
      <c r="Y1067">
        <f>HYPERLINK("https://klasma.github.io/Logging_2284/tillsynsmail/A 6651-2025 tillsynsbegäran mail.docx", "A 6651-2025")</f>
        <v/>
      </c>
    </row>
    <row r="1068" ht="15" customHeight="1">
      <c r="A1068" t="inlineStr">
        <is>
          <t>A 36285-2025</t>
        </is>
      </c>
      <c r="B1068" s="1" t="n">
        <v>45867</v>
      </c>
      <c r="C1068" s="1" t="n">
        <v>46093</v>
      </c>
      <c r="D1068" t="inlineStr">
        <is>
          <t>VÄSTERNORRLANDS LÄN</t>
        </is>
      </c>
      <c r="E1068" t="inlineStr">
        <is>
          <t>KRAMFORS</t>
        </is>
      </c>
      <c r="G1068" t="n">
        <v>5.2</v>
      </c>
      <c r="H1068" t="n">
        <v>0</v>
      </c>
      <c r="I1068" t="n">
        <v>1</v>
      </c>
      <c r="J1068" t="n">
        <v>0</v>
      </c>
      <c r="K1068" t="n">
        <v>0</v>
      </c>
      <c r="L1068" t="n">
        <v>0</v>
      </c>
      <c r="M1068" t="n">
        <v>0</v>
      </c>
      <c r="N1068" t="n">
        <v>0</v>
      </c>
      <c r="O1068" t="n">
        <v>0</v>
      </c>
      <c r="P1068" t="n">
        <v>0</v>
      </c>
      <c r="Q1068" t="n">
        <v>1</v>
      </c>
      <c r="R1068" s="2" t="inlineStr">
        <is>
          <t>Källpraktmossa</t>
        </is>
      </c>
      <c r="S1068">
        <f>HYPERLINK("https://klasma.github.io/Logging_2282/artfynd/A 36285-2025 artfynd.xlsx", "A 36285-2025")</f>
        <v/>
      </c>
      <c r="T1068">
        <f>HYPERLINK("https://klasma.github.io/Logging_2282/kartor/A 36285-2025 karta.png", "A 36285-2025")</f>
        <v/>
      </c>
      <c r="V1068">
        <f>HYPERLINK("https://klasma.github.io/Logging_2282/klagomål/A 36285-2025 FSC-klagomål.docx", "A 36285-2025")</f>
        <v/>
      </c>
      <c r="W1068">
        <f>HYPERLINK("https://klasma.github.io/Logging_2282/klagomålsmail/A 36285-2025 FSC-klagomål mail.docx", "A 36285-2025")</f>
        <v/>
      </c>
      <c r="X1068">
        <f>HYPERLINK("https://klasma.github.io/Logging_2282/tillsyn/A 36285-2025 tillsynsbegäran.docx", "A 36285-2025")</f>
        <v/>
      </c>
      <c r="Y1068">
        <f>HYPERLINK("https://klasma.github.io/Logging_2282/tillsynsmail/A 36285-2025 tillsynsbegäran mail.docx", "A 36285-2025")</f>
        <v/>
      </c>
    </row>
    <row r="1069" ht="15" customHeight="1">
      <c r="A1069" t="inlineStr">
        <is>
          <t>A 17215-2025</t>
        </is>
      </c>
      <c r="B1069" s="1" t="n">
        <v>45756.44856481482</v>
      </c>
      <c r="C1069" s="1" t="n">
        <v>46093</v>
      </c>
      <c r="D1069" t="inlineStr">
        <is>
          <t>VÄSTERNORRLANDS LÄN</t>
        </is>
      </c>
      <c r="E1069" t="inlineStr">
        <is>
          <t>SOLLEFTEÅ</t>
        </is>
      </c>
      <c r="F1069" t="inlineStr">
        <is>
          <t>SCA</t>
        </is>
      </c>
      <c r="G1069" t="n">
        <v>5</v>
      </c>
      <c r="H1069" t="n">
        <v>0</v>
      </c>
      <c r="I1069" t="n">
        <v>0</v>
      </c>
      <c r="J1069" t="n">
        <v>1</v>
      </c>
      <c r="K1069" t="n">
        <v>0</v>
      </c>
      <c r="L1069" t="n">
        <v>0</v>
      </c>
      <c r="M1069" t="n">
        <v>0</v>
      </c>
      <c r="N1069" t="n">
        <v>0</v>
      </c>
      <c r="O1069" t="n">
        <v>1</v>
      </c>
      <c r="P1069" t="n">
        <v>0</v>
      </c>
      <c r="Q1069" t="n">
        <v>1</v>
      </c>
      <c r="R1069" s="2" t="inlineStr">
        <is>
          <t>Vitgrynig nållav</t>
        </is>
      </c>
      <c r="S1069">
        <f>HYPERLINK("https://klasma.github.io/Logging_2283/artfynd/A 17215-2025 artfynd.xlsx", "A 17215-2025")</f>
        <v/>
      </c>
      <c r="T1069">
        <f>HYPERLINK("https://klasma.github.io/Logging_2283/kartor/A 17215-2025 karta.png", "A 17215-2025")</f>
        <v/>
      </c>
      <c r="V1069">
        <f>HYPERLINK("https://klasma.github.io/Logging_2283/klagomål/A 17215-2025 FSC-klagomål.docx", "A 17215-2025")</f>
        <v/>
      </c>
      <c r="W1069">
        <f>HYPERLINK("https://klasma.github.io/Logging_2283/klagomålsmail/A 17215-2025 FSC-klagomål mail.docx", "A 17215-2025")</f>
        <v/>
      </c>
      <c r="X1069">
        <f>HYPERLINK("https://klasma.github.io/Logging_2283/tillsyn/A 17215-2025 tillsynsbegäran.docx", "A 17215-2025")</f>
        <v/>
      </c>
      <c r="Y1069">
        <f>HYPERLINK("https://klasma.github.io/Logging_2283/tillsynsmail/A 17215-2025 tillsynsbegäran mail.docx", "A 17215-2025")</f>
        <v/>
      </c>
    </row>
    <row r="1070" ht="15" customHeight="1">
      <c r="A1070" t="inlineStr">
        <is>
          <t>A 44556-2025</t>
        </is>
      </c>
      <c r="B1070" s="1" t="n">
        <v>45917.34424768519</v>
      </c>
      <c r="C1070" s="1" t="n">
        <v>46093</v>
      </c>
      <c r="D1070" t="inlineStr">
        <is>
          <t>VÄSTERNORRLANDS LÄN</t>
        </is>
      </c>
      <c r="E1070" t="inlineStr">
        <is>
          <t>SOLLEFTEÅ</t>
        </is>
      </c>
      <c r="F1070" t="inlineStr">
        <is>
          <t>SCA</t>
        </is>
      </c>
      <c r="G1070" t="n">
        <v>8.4</v>
      </c>
      <c r="H1070" t="n">
        <v>1</v>
      </c>
      <c r="I1070" t="n">
        <v>0</v>
      </c>
      <c r="J1070" t="n">
        <v>0</v>
      </c>
      <c r="K1070" t="n">
        <v>1</v>
      </c>
      <c r="L1070" t="n">
        <v>0</v>
      </c>
      <c r="M1070" t="n">
        <v>0</v>
      </c>
      <c r="N1070" t="n">
        <v>0</v>
      </c>
      <c r="O1070" t="n">
        <v>1</v>
      </c>
      <c r="P1070" t="n">
        <v>1</v>
      </c>
      <c r="Q1070" t="n">
        <v>1</v>
      </c>
      <c r="R1070" s="2" t="inlineStr">
        <is>
          <t>Lappuggla</t>
        </is>
      </c>
      <c r="S1070">
        <f>HYPERLINK("https://klasma.github.io/Logging_2283/artfynd/A 44556-2025 artfynd.xlsx", "A 44556-2025")</f>
        <v/>
      </c>
      <c r="T1070">
        <f>HYPERLINK("https://klasma.github.io/Logging_2283/kartor/A 44556-2025 karta.png", "A 44556-2025")</f>
        <v/>
      </c>
      <c r="V1070">
        <f>HYPERLINK("https://klasma.github.io/Logging_2283/klagomål/A 44556-2025 FSC-klagomål.docx", "A 44556-2025")</f>
        <v/>
      </c>
      <c r="W1070">
        <f>HYPERLINK("https://klasma.github.io/Logging_2283/klagomålsmail/A 44556-2025 FSC-klagomål mail.docx", "A 44556-2025")</f>
        <v/>
      </c>
      <c r="X1070">
        <f>HYPERLINK("https://klasma.github.io/Logging_2283/tillsyn/A 44556-2025 tillsynsbegäran.docx", "A 44556-2025")</f>
        <v/>
      </c>
      <c r="Y1070">
        <f>HYPERLINK("https://klasma.github.io/Logging_2283/tillsynsmail/A 44556-2025 tillsynsbegäran mail.docx", "A 44556-2025")</f>
        <v/>
      </c>
      <c r="Z1070">
        <f>HYPERLINK("https://klasma.github.io/Logging_2283/fåglar/A 44556-2025 prioriterade fågelarter.docx", "A 44556-2025")</f>
        <v/>
      </c>
    </row>
    <row r="1071" ht="15" customHeight="1">
      <c r="A1071" t="inlineStr">
        <is>
          <t>A 3819-2024</t>
        </is>
      </c>
      <c r="B1071" s="1" t="n">
        <v>45321</v>
      </c>
      <c r="C1071" s="1" t="n">
        <v>46093</v>
      </c>
      <c r="D1071" t="inlineStr">
        <is>
          <t>VÄSTERNORRLANDS LÄN</t>
        </is>
      </c>
      <c r="E1071" t="inlineStr">
        <is>
          <t>SUNDSVALL</t>
        </is>
      </c>
      <c r="G1071" t="n">
        <v>13.5</v>
      </c>
      <c r="H1071" t="n">
        <v>1</v>
      </c>
      <c r="I1071" t="n">
        <v>0</v>
      </c>
      <c r="J1071" t="n">
        <v>0</v>
      </c>
      <c r="K1071" t="n">
        <v>1</v>
      </c>
      <c r="L1071" t="n">
        <v>0</v>
      </c>
      <c r="M1071" t="n">
        <v>0</v>
      </c>
      <c r="N1071" t="n">
        <v>0</v>
      </c>
      <c r="O1071" t="n">
        <v>1</v>
      </c>
      <c r="P1071" t="n">
        <v>1</v>
      </c>
      <c r="Q1071" t="n">
        <v>1</v>
      </c>
      <c r="R1071" s="2" t="inlineStr">
        <is>
          <t>Bombmurkla</t>
        </is>
      </c>
      <c r="S1071">
        <f>HYPERLINK("https://klasma.github.io/Logging_2281/artfynd/A 3819-2024 artfynd.xlsx", "A 3819-2024")</f>
        <v/>
      </c>
      <c r="T1071">
        <f>HYPERLINK("https://klasma.github.io/Logging_2281/kartor/A 3819-2024 karta.png", "A 3819-2024")</f>
        <v/>
      </c>
      <c r="V1071">
        <f>HYPERLINK("https://klasma.github.io/Logging_2281/klagomål/A 3819-2024 FSC-klagomål.docx", "A 3819-2024")</f>
        <v/>
      </c>
      <c r="W1071">
        <f>HYPERLINK("https://klasma.github.io/Logging_2281/klagomålsmail/A 3819-2024 FSC-klagomål mail.docx", "A 3819-2024")</f>
        <v/>
      </c>
      <c r="X1071">
        <f>HYPERLINK("https://klasma.github.io/Logging_2281/tillsyn/A 3819-2024 tillsynsbegäran.docx", "A 3819-2024")</f>
        <v/>
      </c>
      <c r="Y1071">
        <f>HYPERLINK("https://klasma.github.io/Logging_2281/tillsynsmail/A 3819-2024 tillsynsbegäran mail.docx", "A 3819-2024")</f>
        <v/>
      </c>
    </row>
    <row r="1072" ht="15" customHeight="1">
      <c r="A1072" t="inlineStr">
        <is>
          <t>A 45500-2025</t>
        </is>
      </c>
      <c r="B1072" s="1" t="n">
        <v>45922.57185185186</v>
      </c>
      <c r="C1072" s="1" t="n">
        <v>46093</v>
      </c>
      <c r="D1072" t="inlineStr">
        <is>
          <t>VÄSTERNORRLANDS LÄN</t>
        </is>
      </c>
      <c r="E1072" t="inlineStr">
        <is>
          <t>SUNDSVALL</t>
        </is>
      </c>
      <c r="G1072" t="n">
        <v>4.5</v>
      </c>
      <c r="H1072" t="n">
        <v>1</v>
      </c>
      <c r="I1072" t="n">
        <v>0</v>
      </c>
      <c r="J1072" t="n">
        <v>0</v>
      </c>
      <c r="K1072" t="n">
        <v>0</v>
      </c>
      <c r="L1072" t="n">
        <v>0</v>
      </c>
      <c r="M1072" t="n">
        <v>0</v>
      </c>
      <c r="N1072" t="n">
        <v>0</v>
      </c>
      <c r="O1072" t="n">
        <v>0</v>
      </c>
      <c r="P1072" t="n">
        <v>0</v>
      </c>
      <c r="Q1072" t="n">
        <v>1</v>
      </c>
      <c r="R1072" s="2" t="inlineStr">
        <is>
          <t>Revlummer</t>
        </is>
      </c>
      <c r="S1072">
        <f>HYPERLINK("https://klasma.github.io/Logging_2281/artfynd/A 45500-2025 artfynd.xlsx", "A 45500-2025")</f>
        <v/>
      </c>
      <c r="T1072">
        <f>HYPERLINK("https://klasma.github.io/Logging_2281/kartor/A 45500-2025 karta.png", "A 45500-2025")</f>
        <v/>
      </c>
      <c r="V1072">
        <f>HYPERLINK("https://klasma.github.io/Logging_2281/klagomål/A 45500-2025 FSC-klagomål.docx", "A 45500-2025")</f>
        <v/>
      </c>
      <c r="W1072">
        <f>HYPERLINK("https://klasma.github.io/Logging_2281/klagomålsmail/A 45500-2025 FSC-klagomål mail.docx", "A 45500-2025")</f>
        <v/>
      </c>
      <c r="X1072">
        <f>HYPERLINK("https://klasma.github.io/Logging_2281/tillsyn/A 45500-2025 tillsynsbegäran.docx", "A 45500-2025")</f>
        <v/>
      </c>
      <c r="Y1072">
        <f>HYPERLINK("https://klasma.github.io/Logging_2281/tillsynsmail/A 45500-2025 tillsynsbegäran mail.docx", "A 45500-2025")</f>
        <v/>
      </c>
    </row>
    <row r="1073" ht="15" customHeight="1">
      <c r="A1073" t="inlineStr">
        <is>
          <t>A 45086-2025</t>
        </is>
      </c>
      <c r="B1073" s="1" t="n">
        <v>45919.37008101852</v>
      </c>
      <c r="C1073" s="1" t="n">
        <v>46093</v>
      </c>
      <c r="D1073" t="inlineStr">
        <is>
          <t>VÄSTERNORRLANDS LÄN</t>
        </is>
      </c>
      <c r="E1073" t="inlineStr">
        <is>
          <t>ÖRNSKÖLDSVIK</t>
        </is>
      </c>
      <c r="F1073" t="inlineStr">
        <is>
          <t>Holmen skog AB</t>
        </is>
      </c>
      <c r="G1073" t="n">
        <v>1.2</v>
      </c>
      <c r="H1073" t="n">
        <v>0</v>
      </c>
      <c r="I1073" t="n">
        <v>0</v>
      </c>
      <c r="J1073" t="n">
        <v>1</v>
      </c>
      <c r="K1073" t="n">
        <v>0</v>
      </c>
      <c r="L1073" t="n">
        <v>0</v>
      </c>
      <c r="M1073" t="n">
        <v>0</v>
      </c>
      <c r="N1073" t="n">
        <v>0</v>
      </c>
      <c r="O1073" t="n">
        <v>1</v>
      </c>
      <c r="P1073" t="n">
        <v>0</v>
      </c>
      <c r="Q1073" t="n">
        <v>1</v>
      </c>
      <c r="R1073" s="2" t="inlineStr">
        <is>
          <t>Lunglav</t>
        </is>
      </c>
      <c r="S1073">
        <f>HYPERLINK("https://klasma.github.io/Logging_2284/artfynd/A 45086-2025 artfynd.xlsx", "A 45086-2025")</f>
        <v/>
      </c>
      <c r="T1073">
        <f>HYPERLINK("https://klasma.github.io/Logging_2284/kartor/A 45086-2025 karta.png", "A 45086-2025")</f>
        <v/>
      </c>
      <c r="V1073">
        <f>HYPERLINK("https://klasma.github.io/Logging_2284/klagomål/A 45086-2025 FSC-klagomål.docx", "A 45086-2025")</f>
        <v/>
      </c>
      <c r="W1073">
        <f>HYPERLINK("https://klasma.github.io/Logging_2284/klagomålsmail/A 45086-2025 FSC-klagomål mail.docx", "A 45086-2025")</f>
        <v/>
      </c>
      <c r="X1073">
        <f>HYPERLINK("https://klasma.github.io/Logging_2284/tillsyn/A 45086-2025 tillsynsbegäran.docx", "A 45086-2025")</f>
        <v/>
      </c>
      <c r="Y1073">
        <f>HYPERLINK("https://klasma.github.io/Logging_2284/tillsynsmail/A 45086-2025 tillsynsbegäran mail.docx", "A 45086-2025")</f>
        <v/>
      </c>
    </row>
    <row r="1074" ht="15" customHeight="1">
      <c r="A1074" t="inlineStr">
        <is>
          <t>A 55015-2023</t>
        </is>
      </c>
      <c r="B1074" s="1" t="n">
        <v>45237.32185185186</v>
      </c>
      <c r="C1074" s="1" t="n">
        <v>46093</v>
      </c>
      <c r="D1074" t="inlineStr">
        <is>
          <t>VÄSTERNORRLANDS LÄN</t>
        </is>
      </c>
      <c r="E1074" t="inlineStr">
        <is>
          <t>ÅNGE</t>
        </is>
      </c>
      <c r="F1074" t="inlineStr">
        <is>
          <t>Sveaskog</t>
        </is>
      </c>
      <c r="G1074" t="n">
        <v>2.7</v>
      </c>
      <c r="H1074" t="n">
        <v>0</v>
      </c>
      <c r="I1074" t="n">
        <v>0</v>
      </c>
      <c r="J1074" t="n">
        <v>1</v>
      </c>
      <c r="K1074" t="n">
        <v>0</v>
      </c>
      <c r="L1074" t="n">
        <v>0</v>
      </c>
      <c r="M1074" t="n">
        <v>0</v>
      </c>
      <c r="N1074" t="n">
        <v>0</v>
      </c>
      <c r="O1074" t="n">
        <v>1</v>
      </c>
      <c r="P1074" t="n">
        <v>0</v>
      </c>
      <c r="Q1074" t="n">
        <v>1</v>
      </c>
      <c r="R1074" s="2" t="inlineStr">
        <is>
          <t>Lunglav</t>
        </is>
      </c>
      <c r="S1074">
        <f>HYPERLINK("https://klasma.github.io/Logging_2260/artfynd/A 55015-2023 artfynd.xlsx", "A 55015-2023")</f>
        <v/>
      </c>
      <c r="T1074">
        <f>HYPERLINK("https://klasma.github.io/Logging_2260/kartor/A 55015-2023 karta.png", "A 55015-2023")</f>
        <v/>
      </c>
      <c r="V1074">
        <f>HYPERLINK("https://klasma.github.io/Logging_2260/klagomål/A 55015-2023 FSC-klagomål.docx", "A 55015-2023")</f>
        <v/>
      </c>
      <c r="W1074">
        <f>HYPERLINK("https://klasma.github.io/Logging_2260/klagomålsmail/A 55015-2023 FSC-klagomål mail.docx", "A 55015-2023")</f>
        <v/>
      </c>
      <c r="X1074">
        <f>HYPERLINK("https://klasma.github.io/Logging_2260/tillsyn/A 55015-2023 tillsynsbegäran.docx", "A 55015-2023")</f>
        <v/>
      </c>
      <c r="Y1074">
        <f>HYPERLINK("https://klasma.github.io/Logging_2260/tillsynsmail/A 55015-2023 tillsynsbegäran mail.docx", "A 55015-2023")</f>
        <v/>
      </c>
    </row>
    <row r="1075" ht="15" customHeight="1">
      <c r="A1075" t="inlineStr">
        <is>
          <t>A 37231-2021</t>
        </is>
      </c>
      <c r="B1075" s="1" t="n">
        <v>44396</v>
      </c>
      <c r="C1075" s="1" t="n">
        <v>46093</v>
      </c>
      <c r="D1075" t="inlineStr">
        <is>
          <t>VÄSTERNORRLANDS LÄN</t>
        </is>
      </c>
      <c r="E1075" t="inlineStr">
        <is>
          <t>SUNDSVALL</t>
        </is>
      </c>
      <c r="F1075" t="inlineStr">
        <is>
          <t>SCA</t>
        </is>
      </c>
      <c r="G1075" t="n">
        <v>7.3</v>
      </c>
      <c r="H1075" t="n">
        <v>1</v>
      </c>
      <c r="I1075" t="n">
        <v>0</v>
      </c>
      <c r="J1075" t="n">
        <v>0</v>
      </c>
      <c r="K1075" t="n">
        <v>0</v>
      </c>
      <c r="L1075" t="n">
        <v>0</v>
      </c>
      <c r="M1075" t="n">
        <v>0</v>
      </c>
      <c r="N1075" t="n">
        <v>0</v>
      </c>
      <c r="O1075" t="n">
        <v>0</v>
      </c>
      <c r="P1075" t="n">
        <v>0</v>
      </c>
      <c r="Q1075" t="n">
        <v>1</v>
      </c>
      <c r="R1075" s="2" t="inlineStr">
        <is>
          <t>Orre</t>
        </is>
      </c>
      <c r="S1075">
        <f>HYPERLINK("https://klasma.github.io/Logging_2281/artfynd/A 37231-2021 artfynd.xlsx", "A 37231-2021")</f>
        <v/>
      </c>
      <c r="T1075">
        <f>HYPERLINK("https://klasma.github.io/Logging_2281/kartor/A 37231-2021 karta.png", "A 37231-2021")</f>
        <v/>
      </c>
      <c r="V1075">
        <f>HYPERLINK("https://klasma.github.io/Logging_2281/klagomål/A 37231-2021 FSC-klagomål.docx", "A 37231-2021")</f>
        <v/>
      </c>
      <c r="W1075">
        <f>HYPERLINK("https://klasma.github.io/Logging_2281/klagomålsmail/A 37231-2021 FSC-klagomål mail.docx", "A 37231-2021")</f>
        <v/>
      </c>
      <c r="X1075">
        <f>HYPERLINK("https://klasma.github.io/Logging_2281/tillsyn/A 37231-2021 tillsynsbegäran.docx", "A 37231-2021")</f>
        <v/>
      </c>
      <c r="Y1075">
        <f>HYPERLINK("https://klasma.github.io/Logging_2281/tillsynsmail/A 37231-2021 tillsynsbegäran mail.docx", "A 37231-2021")</f>
        <v/>
      </c>
      <c r="Z1075">
        <f>HYPERLINK("https://klasma.github.io/Logging_2281/fåglar/A 37231-2021 prioriterade fågelarter.docx", "A 37231-2021")</f>
        <v/>
      </c>
    </row>
    <row r="1076" ht="15" customHeight="1">
      <c r="A1076" t="inlineStr">
        <is>
          <t>A 58802-2023</t>
        </is>
      </c>
      <c r="B1076" s="1" t="n">
        <v>45247</v>
      </c>
      <c r="C1076" s="1" t="n">
        <v>46093</v>
      </c>
      <c r="D1076" t="inlineStr">
        <is>
          <t>VÄSTERNORRLANDS LÄN</t>
        </is>
      </c>
      <c r="E1076" t="inlineStr">
        <is>
          <t>ÖRNSKÖLDSVIK</t>
        </is>
      </c>
      <c r="F1076" t="inlineStr">
        <is>
          <t>Kommuner</t>
        </is>
      </c>
      <c r="G1076" t="n">
        <v>3.4</v>
      </c>
      <c r="H1076" t="n">
        <v>1</v>
      </c>
      <c r="I1076" t="n">
        <v>0</v>
      </c>
      <c r="J1076" t="n">
        <v>1</v>
      </c>
      <c r="K1076" t="n">
        <v>0</v>
      </c>
      <c r="L1076" t="n">
        <v>0</v>
      </c>
      <c r="M1076" t="n">
        <v>0</v>
      </c>
      <c r="N1076" t="n">
        <v>0</v>
      </c>
      <c r="O1076" t="n">
        <v>1</v>
      </c>
      <c r="P1076" t="n">
        <v>0</v>
      </c>
      <c r="Q1076" t="n">
        <v>1</v>
      </c>
      <c r="R1076" s="2" t="inlineStr">
        <is>
          <t>Svartvit flugsnappare</t>
        </is>
      </c>
      <c r="S1076">
        <f>HYPERLINK("https://klasma.github.io/Logging_2284/artfynd/A 58802-2023 artfynd.xlsx", "A 58802-2023")</f>
        <v/>
      </c>
      <c r="T1076">
        <f>HYPERLINK("https://klasma.github.io/Logging_2284/kartor/A 58802-2023 karta.png", "A 58802-2023")</f>
        <v/>
      </c>
      <c r="V1076">
        <f>HYPERLINK("https://klasma.github.io/Logging_2284/klagomål/A 58802-2023 FSC-klagomål.docx", "A 58802-2023")</f>
        <v/>
      </c>
      <c r="W1076">
        <f>HYPERLINK("https://klasma.github.io/Logging_2284/klagomålsmail/A 58802-2023 FSC-klagomål mail.docx", "A 58802-2023")</f>
        <v/>
      </c>
      <c r="X1076">
        <f>HYPERLINK("https://klasma.github.io/Logging_2284/tillsyn/A 58802-2023 tillsynsbegäran.docx", "A 58802-2023")</f>
        <v/>
      </c>
      <c r="Y1076">
        <f>HYPERLINK("https://klasma.github.io/Logging_2284/tillsynsmail/A 58802-2023 tillsynsbegäran mail.docx", "A 58802-2023")</f>
        <v/>
      </c>
      <c r="Z1076">
        <f>HYPERLINK("https://klasma.github.io/Logging_2284/fåglar/A 58802-2023 prioriterade fågelarter.docx", "A 58802-2023")</f>
        <v/>
      </c>
    </row>
    <row r="1077" ht="15" customHeight="1">
      <c r="A1077" t="inlineStr">
        <is>
          <t>A 47988-2024</t>
        </is>
      </c>
      <c r="B1077" s="1" t="n">
        <v>45589.42753472222</v>
      </c>
      <c r="C1077" s="1" t="n">
        <v>46093</v>
      </c>
      <c r="D1077" t="inlineStr">
        <is>
          <t>VÄSTERNORRLANDS LÄN</t>
        </is>
      </c>
      <c r="E1077" t="inlineStr">
        <is>
          <t>HÄRNÖSAND</t>
        </is>
      </c>
      <c r="F1077" t="inlineStr">
        <is>
          <t>SCA</t>
        </is>
      </c>
      <c r="G1077" t="n">
        <v>0.7</v>
      </c>
      <c r="H1077" t="n">
        <v>1</v>
      </c>
      <c r="I1077" t="n">
        <v>1</v>
      </c>
      <c r="J1077" t="n">
        <v>0</v>
      </c>
      <c r="K1077" t="n">
        <v>0</v>
      </c>
      <c r="L1077" t="n">
        <v>0</v>
      </c>
      <c r="M1077" t="n">
        <v>0</v>
      </c>
      <c r="N1077" t="n">
        <v>0</v>
      </c>
      <c r="O1077" t="n">
        <v>0</v>
      </c>
      <c r="P1077" t="n">
        <v>0</v>
      </c>
      <c r="Q1077" t="n">
        <v>1</v>
      </c>
      <c r="R1077" s="2" t="inlineStr">
        <is>
          <t>Spindelblomster</t>
        </is>
      </c>
      <c r="S1077">
        <f>HYPERLINK("https://klasma.github.io/Logging_2280/artfynd/A 47988-2024 artfynd.xlsx", "A 47988-2024")</f>
        <v/>
      </c>
      <c r="T1077">
        <f>HYPERLINK("https://klasma.github.io/Logging_2280/kartor/A 47988-2024 karta.png", "A 47988-2024")</f>
        <v/>
      </c>
      <c r="V1077">
        <f>HYPERLINK("https://klasma.github.io/Logging_2280/klagomål/A 47988-2024 FSC-klagomål.docx", "A 47988-2024")</f>
        <v/>
      </c>
      <c r="W1077">
        <f>HYPERLINK("https://klasma.github.io/Logging_2280/klagomålsmail/A 47988-2024 FSC-klagomål mail.docx", "A 47988-2024")</f>
        <v/>
      </c>
      <c r="X1077">
        <f>HYPERLINK("https://klasma.github.io/Logging_2280/tillsyn/A 47988-2024 tillsynsbegäran.docx", "A 47988-2024")</f>
        <v/>
      </c>
      <c r="Y1077">
        <f>HYPERLINK("https://klasma.github.io/Logging_2280/tillsynsmail/A 47988-2024 tillsynsbegäran mail.docx", "A 47988-2024")</f>
        <v/>
      </c>
    </row>
    <row r="1078" ht="15" customHeight="1">
      <c r="A1078" t="inlineStr">
        <is>
          <t>A 46094-2025</t>
        </is>
      </c>
      <c r="B1078" s="1" t="n">
        <v>45924</v>
      </c>
      <c r="C1078" s="1" t="n">
        <v>46093</v>
      </c>
      <c r="D1078" t="inlineStr">
        <is>
          <t>VÄSTERNORRLANDS LÄN</t>
        </is>
      </c>
      <c r="E1078" t="inlineStr">
        <is>
          <t>ÅNGE</t>
        </is>
      </c>
      <c r="F1078" t="inlineStr">
        <is>
          <t>SCA</t>
        </is>
      </c>
      <c r="G1078" t="n">
        <v>1.1</v>
      </c>
      <c r="H1078" t="n">
        <v>1</v>
      </c>
      <c r="I1078" t="n">
        <v>0</v>
      </c>
      <c r="J1078" t="n">
        <v>1</v>
      </c>
      <c r="K1078" t="n">
        <v>0</v>
      </c>
      <c r="L1078" t="n">
        <v>0</v>
      </c>
      <c r="M1078" t="n">
        <v>0</v>
      </c>
      <c r="N1078" t="n">
        <v>0</v>
      </c>
      <c r="O1078" t="n">
        <v>1</v>
      </c>
      <c r="P1078" t="n">
        <v>0</v>
      </c>
      <c r="Q1078" t="n">
        <v>1</v>
      </c>
      <c r="R1078" s="2" t="inlineStr">
        <is>
          <t>Utter</t>
        </is>
      </c>
      <c r="S1078">
        <f>HYPERLINK("https://klasma.github.io/Logging_2260/artfynd/A 46094-2025 artfynd.xlsx", "A 46094-2025")</f>
        <v/>
      </c>
      <c r="T1078">
        <f>HYPERLINK("https://klasma.github.io/Logging_2260/kartor/A 46094-2025 karta.png", "A 46094-2025")</f>
        <v/>
      </c>
      <c r="V1078">
        <f>HYPERLINK("https://klasma.github.io/Logging_2260/klagomål/A 46094-2025 FSC-klagomål.docx", "A 46094-2025")</f>
        <v/>
      </c>
      <c r="W1078">
        <f>HYPERLINK("https://klasma.github.io/Logging_2260/klagomålsmail/A 46094-2025 FSC-klagomål mail.docx", "A 46094-2025")</f>
        <v/>
      </c>
      <c r="X1078">
        <f>HYPERLINK("https://klasma.github.io/Logging_2260/tillsyn/A 46094-2025 tillsynsbegäran.docx", "A 46094-2025")</f>
        <v/>
      </c>
      <c r="Y1078">
        <f>HYPERLINK("https://klasma.github.io/Logging_2260/tillsynsmail/A 46094-2025 tillsynsbegäran mail.docx", "A 46094-2025")</f>
        <v/>
      </c>
    </row>
    <row r="1079" ht="15" customHeight="1">
      <c r="A1079" t="inlineStr">
        <is>
          <t>A 18792-2025</t>
        </is>
      </c>
      <c r="B1079" s="1" t="n">
        <v>45764.34509259259</v>
      </c>
      <c r="C1079" s="1" t="n">
        <v>46093</v>
      </c>
      <c r="D1079" t="inlineStr">
        <is>
          <t>VÄSTERNORRLANDS LÄN</t>
        </is>
      </c>
      <c r="E1079" t="inlineStr">
        <is>
          <t>KRAMFORS</t>
        </is>
      </c>
      <c r="F1079" t="inlineStr">
        <is>
          <t>SCA</t>
        </is>
      </c>
      <c r="G1079" t="n">
        <v>5.1</v>
      </c>
      <c r="H1079" t="n">
        <v>0</v>
      </c>
      <c r="I1079" t="n">
        <v>0</v>
      </c>
      <c r="J1079" t="n">
        <v>1</v>
      </c>
      <c r="K1079" t="n">
        <v>0</v>
      </c>
      <c r="L1079" t="n">
        <v>0</v>
      </c>
      <c r="M1079" t="n">
        <v>0</v>
      </c>
      <c r="N1079" t="n">
        <v>0</v>
      </c>
      <c r="O1079" t="n">
        <v>1</v>
      </c>
      <c r="P1079" t="n">
        <v>0</v>
      </c>
      <c r="Q1079" t="n">
        <v>1</v>
      </c>
      <c r="R1079" s="2" t="inlineStr">
        <is>
          <t>Gammelgransskål</t>
        </is>
      </c>
      <c r="S1079">
        <f>HYPERLINK("https://klasma.github.io/Logging_2282/artfynd/A 18792-2025 artfynd.xlsx", "A 18792-2025")</f>
        <v/>
      </c>
      <c r="T1079">
        <f>HYPERLINK("https://klasma.github.io/Logging_2282/kartor/A 18792-2025 karta.png", "A 18792-2025")</f>
        <v/>
      </c>
      <c r="V1079">
        <f>HYPERLINK("https://klasma.github.io/Logging_2282/klagomål/A 18792-2025 FSC-klagomål.docx", "A 18792-2025")</f>
        <v/>
      </c>
      <c r="W1079">
        <f>HYPERLINK("https://klasma.github.io/Logging_2282/klagomålsmail/A 18792-2025 FSC-klagomål mail.docx", "A 18792-2025")</f>
        <v/>
      </c>
      <c r="X1079">
        <f>HYPERLINK("https://klasma.github.io/Logging_2282/tillsyn/A 18792-2025 tillsynsbegäran.docx", "A 18792-2025")</f>
        <v/>
      </c>
      <c r="Y1079">
        <f>HYPERLINK("https://klasma.github.io/Logging_2282/tillsynsmail/A 18792-2025 tillsynsbegäran mail.docx", "A 18792-2025")</f>
        <v/>
      </c>
    </row>
    <row r="1080" ht="15" customHeight="1">
      <c r="A1080" t="inlineStr">
        <is>
          <t>A 46634-2025</t>
        </is>
      </c>
      <c r="B1080" s="1" t="n">
        <v>45926.46204861111</v>
      </c>
      <c r="C1080" s="1" t="n">
        <v>46093</v>
      </c>
      <c r="D1080" t="inlineStr">
        <is>
          <t>VÄSTERNORRLANDS LÄN</t>
        </is>
      </c>
      <c r="E1080" t="inlineStr">
        <is>
          <t>ÖRNSKÖLDSVIK</t>
        </is>
      </c>
      <c r="F1080" t="inlineStr">
        <is>
          <t>Holmen skog AB</t>
        </is>
      </c>
      <c r="G1080" t="n">
        <v>2.8</v>
      </c>
      <c r="H1080" t="n">
        <v>0</v>
      </c>
      <c r="I1080" t="n">
        <v>1</v>
      </c>
      <c r="J1080" t="n">
        <v>0</v>
      </c>
      <c r="K1080" t="n">
        <v>0</v>
      </c>
      <c r="L1080" t="n">
        <v>0</v>
      </c>
      <c r="M1080" t="n">
        <v>0</v>
      </c>
      <c r="N1080" t="n">
        <v>0</v>
      </c>
      <c r="O1080" t="n">
        <v>0</v>
      </c>
      <c r="P1080" t="n">
        <v>0</v>
      </c>
      <c r="Q1080" t="n">
        <v>1</v>
      </c>
      <c r="R1080" s="2" t="inlineStr">
        <is>
          <t>Dropptaggsvamp</t>
        </is>
      </c>
      <c r="S1080">
        <f>HYPERLINK("https://klasma.github.io/Logging_2284/artfynd/A 46634-2025 artfynd.xlsx", "A 46634-2025")</f>
        <v/>
      </c>
      <c r="T1080">
        <f>HYPERLINK("https://klasma.github.io/Logging_2284/kartor/A 46634-2025 karta.png", "A 46634-2025")</f>
        <v/>
      </c>
      <c r="V1080">
        <f>HYPERLINK("https://klasma.github.io/Logging_2284/klagomål/A 46634-2025 FSC-klagomål.docx", "A 46634-2025")</f>
        <v/>
      </c>
      <c r="W1080">
        <f>HYPERLINK("https://klasma.github.io/Logging_2284/klagomålsmail/A 46634-2025 FSC-klagomål mail.docx", "A 46634-2025")</f>
        <v/>
      </c>
      <c r="X1080">
        <f>HYPERLINK("https://klasma.github.io/Logging_2284/tillsyn/A 46634-2025 tillsynsbegäran.docx", "A 46634-2025")</f>
        <v/>
      </c>
      <c r="Y1080">
        <f>HYPERLINK("https://klasma.github.io/Logging_2284/tillsynsmail/A 46634-2025 tillsynsbegäran mail.docx", "A 46634-2025")</f>
        <v/>
      </c>
    </row>
    <row r="1081" ht="15" customHeight="1">
      <c r="A1081" t="inlineStr">
        <is>
          <t>A 48948-2024</t>
        </is>
      </c>
      <c r="B1081" s="1" t="n">
        <v>45594.42767361111</v>
      </c>
      <c r="C1081" s="1" t="n">
        <v>46093</v>
      </c>
      <c r="D1081" t="inlineStr">
        <is>
          <t>VÄSTERNORRLANDS LÄN</t>
        </is>
      </c>
      <c r="E1081" t="inlineStr">
        <is>
          <t>SOLLEFTEÅ</t>
        </is>
      </c>
      <c r="F1081" t="inlineStr">
        <is>
          <t>SCA</t>
        </is>
      </c>
      <c r="G1081" t="n">
        <v>15</v>
      </c>
      <c r="H1081" t="n">
        <v>1</v>
      </c>
      <c r="I1081" t="n">
        <v>0</v>
      </c>
      <c r="J1081" t="n">
        <v>0</v>
      </c>
      <c r="K1081" t="n">
        <v>0</v>
      </c>
      <c r="L1081" t="n">
        <v>0</v>
      </c>
      <c r="M1081" t="n">
        <v>0</v>
      </c>
      <c r="N1081" t="n">
        <v>0</v>
      </c>
      <c r="O1081" t="n">
        <v>0</v>
      </c>
      <c r="P1081" t="n">
        <v>0</v>
      </c>
      <c r="Q1081" t="n">
        <v>1</v>
      </c>
      <c r="R1081" s="2" t="inlineStr">
        <is>
          <t>Mattlummer</t>
        </is>
      </c>
      <c r="S1081">
        <f>HYPERLINK("https://klasma.github.io/Logging_2283/artfynd/A 48948-2024 artfynd.xlsx", "A 48948-2024")</f>
        <v/>
      </c>
      <c r="T1081">
        <f>HYPERLINK("https://klasma.github.io/Logging_2283/kartor/A 48948-2024 karta.png", "A 48948-2024")</f>
        <v/>
      </c>
      <c r="V1081">
        <f>HYPERLINK("https://klasma.github.io/Logging_2283/klagomål/A 48948-2024 FSC-klagomål.docx", "A 48948-2024")</f>
        <v/>
      </c>
      <c r="W1081">
        <f>HYPERLINK("https://klasma.github.io/Logging_2283/klagomålsmail/A 48948-2024 FSC-klagomål mail.docx", "A 48948-2024")</f>
        <v/>
      </c>
      <c r="X1081">
        <f>HYPERLINK("https://klasma.github.io/Logging_2283/tillsyn/A 48948-2024 tillsynsbegäran.docx", "A 48948-2024")</f>
        <v/>
      </c>
      <c r="Y1081">
        <f>HYPERLINK("https://klasma.github.io/Logging_2283/tillsynsmail/A 48948-2024 tillsynsbegäran mail.docx", "A 48948-2024")</f>
        <v/>
      </c>
    </row>
    <row r="1082" ht="15" customHeight="1">
      <c r="A1082" t="inlineStr">
        <is>
          <t>A 64483-2023</t>
        </is>
      </c>
      <c r="B1082" s="1" t="n">
        <v>45280</v>
      </c>
      <c r="C1082" s="1" t="n">
        <v>46093</v>
      </c>
      <c r="D1082" t="inlineStr">
        <is>
          <t>VÄSTERNORRLANDS LÄN</t>
        </is>
      </c>
      <c r="E1082" t="inlineStr">
        <is>
          <t>SUNDSVALL</t>
        </is>
      </c>
      <c r="G1082" t="n">
        <v>1.5</v>
      </c>
      <c r="H1082" t="n">
        <v>1</v>
      </c>
      <c r="I1082" t="n">
        <v>0</v>
      </c>
      <c r="J1082" t="n">
        <v>1</v>
      </c>
      <c r="K1082" t="n">
        <v>0</v>
      </c>
      <c r="L1082" t="n">
        <v>0</v>
      </c>
      <c r="M1082" t="n">
        <v>0</v>
      </c>
      <c r="N1082" t="n">
        <v>0</v>
      </c>
      <c r="O1082" t="n">
        <v>1</v>
      </c>
      <c r="P1082" t="n">
        <v>0</v>
      </c>
      <c r="Q1082" t="n">
        <v>1</v>
      </c>
      <c r="R1082" s="2" t="inlineStr">
        <is>
          <t>Tretåig hackspett</t>
        </is>
      </c>
      <c r="S1082">
        <f>HYPERLINK("https://klasma.github.io/Logging_2281/artfynd/A 64483-2023 artfynd.xlsx", "A 64483-2023")</f>
        <v/>
      </c>
      <c r="T1082">
        <f>HYPERLINK("https://klasma.github.io/Logging_2281/kartor/A 64483-2023 karta.png", "A 64483-2023")</f>
        <v/>
      </c>
      <c r="V1082">
        <f>HYPERLINK("https://klasma.github.io/Logging_2281/klagomål/A 64483-2023 FSC-klagomål.docx", "A 64483-2023")</f>
        <v/>
      </c>
      <c r="W1082">
        <f>HYPERLINK("https://klasma.github.io/Logging_2281/klagomålsmail/A 64483-2023 FSC-klagomål mail.docx", "A 64483-2023")</f>
        <v/>
      </c>
      <c r="X1082">
        <f>HYPERLINK("https://klasma.github.io/Logging_2281/tillsyn/A 64483-2023 tillsynsbegäran.docx", "A 64483-2023")</f>
        <v/>
      </c>
      <c r="Y1082">
        <f>HYPERLINK("https://klasma.github.io/Logging_2281/tillsynsmail/A 64483-2023 tillsynsbegäran mail.docx", "A 64483-2023")</f>
        <v/>
      </c>
      <c r="Z1082">
        <f>HYPERLINK("https://klasma.github.io/Logging_2281/fåglar/A 64483-2023 prioriterade fågelarter.docx", "A 64483-2023")</f>
        <v/>
      </c>
    </row>
    <row r="1083" ht="15" customHeight="1">
      <c r="A1083" t="inlineStr">
        <is>
          <t>A 46253-2025</t>
        </is>
      </c>
      <c r="B1083" s="1" t="n">
        <v>45925</v>
      </c>
      <c r="C1083" s="1" t="n">
        <v>46093</v>
      </c>
      <c r="D1083" t="inlineStr">
        <is>
          <t>VÄSTERNORRLANDS LÄN</t>
        </is>
      </c>
      <c r="E1083" t="inlineStr">
        <is>
          <t>SUNDSVALL</t>
        </is>
      </c>
      <c r="F1083" t="inlineStr">
        <is>
          <t>Naturvårdsverket</t>
        </is>
      </c>
      <c r="G1083" t="n">
        <v>19.4</v>
      </c>
      <c r="H1083" t="n">
        <v>1</v>
      </c>
      <c r="I1083" t="n">
        <v>0</v>
      </c>
      <c r="J1083" t="n">
        <v>1</v>
      </c>
      <c r="K1083" t="n">
        <v>0</v>
      </c>
      <c r="L1083" t="n">
        <v>0</v>
      </c>
      <c r="M1083" t="n">
        <v>0</v>
      </c>
      <c r="N1083" t="n">
        <v>0</v>
      </c>
      <c r="O1083" t="n">
        <v>1</v>
      </c>
      <c r="P1083" t="n">
        <v>0</v>
      </c>
      <c r="Q1083" t="n">
        <v>1</v>
      </c>
      <c r="R1083" s="2" t="inlineStr">
        <is>
          <t>Tretåig hackspett</t>
        </is>
      </c>
      <c r="S1083">
        <f>HYPERLINK("https://klasma.github.io/Logging_2281/artfynd/A 46253-2025 artfynd.xlsx", "A 46253-2025")</f>
        <v/>
      </c>
      <c r="T1083">
        <f>HYPERLINK("https://klasma.github.io/Logging_2281/kartor/A 46253-2025 karta.png", "A 46253-2025")</f>
        <v/>
      </c>
      <c r="V1083">
        <f>HYPERLINK("https://klasma.github.io/Logging_2281/klagomål/A 46253-2025 FSC-klagomål.docx", "A 46253-2025")</f>
        <v/>
      </c>
      <c r="W1083">
        <f>HYPERLINK("https://klasma.github.io/Logging_2281/klagomålsmail/A 46253-2025 FSC-klagomål mail.docx", "A 46253-2025")</f>
        <v/>
      </c>
      <c r="X1083">
        <f>HYPERLINK("https://klasma.github.io/Logging_2281/tillsyn/A 46253-2025 tillsynsbegäran.docx", "A 46253-2025")</f>
        <v/>
      </c>
      <c r="Y1083">
        <f>HYPERLINK("https://klasma.github.io/Logging_2281/tillsynsmail/A 46253-2025 tillsynsbegäran mail.docx", "A 46253-2025")</f>
        <v/>
      </c>
      <c r="Z1083">
        <f>HYPERLINK("https://klasma.github.io/Logging_2281/fåglar/A 46253-2025 prioriterade fågelarter.docx", "A 46253-2025")</f>
        <v/>
      </c>
    </row>
    <row r="1084" ht="15" customHeight="1">
      <c r="A1084" t="inlineStr">
        <is>
          <t>A 46898-2025</t>
        </is>
      </c>
      <c r="B1084" s="1" t="n">
        <v>45929.38613425926</v>
      </c>
      <c r="C1084" s="1" t="n">
        <v>46093</v>
      </c>
      <c r="D1084" t="inlineStr">
        <is>
          <t>VÄSTERNORRLANDS LÄN</t>
        </is>
      </c>
      <c r="E1084" t="inlineStr">
        <is>
          <t>SOLLEFTEÅ</t>
        </is>
      </c>
      <c r="F1084" t="inlineStr">
        <is>
          <t>SCA</t>
        </is>
      </c>
      <c r="G1084" t="n">
        <v>5.7</v>
      </c>
      <c r="H1084" t="n">
        <v>1</v>
      </c>
      <c r="I1084" t="n">
        <v>0</v>
      </c>
      <c r="J1084" t="n">
        <v>1</v>
      </c>
      <c r="K1084" t="n">
        <v>0</v>
      </c>
      <c r="L1084" t="n">
        <v>0</v>
      </c>
      <c r="M1084" t="n">
        <v>0</v>
      </c>
      <c r="N1084" t="n">
        <v>0</v>
      </c>
      <c r="O1084" t="n">
        <v>1</v>
      </c>
      <c r="P1084" t="n">
        <v>0</v>
      </c>
      <c r="Q1084" t="n">
        <v>1</v>
      </c>
      <c r="R1084" s="2" t="inlineStr">
        <is>
          <t>Talltita</t>
        </is>
      </c>
      <c r="S1084">
        <f>HYPERLINK("https://klasma.github.io/Logging_2283/artfynd/A 46898-2025 artfynd.xlsx", "A 46898-2025")</f>
        <v/>
      </c>
      <c r="T1084">
        <f>HYPERLINK("https://klasma.github.io/Logging_2283/kartor/A 46898-2025 karta.png", "A 46898-2025")</f>
        <v/>
      </c>
      <c r="V1084">
        <f>HYPERLINK("https://klasma.github.io/Logging_2283/klagomål/A 46898-2025 FSC-klagomål.docx", "A 46898-2025")</f>
        <v/>
      </c>
      <c r="W1084">
        <f>HYPERLINK("https://klasma.github.io/Logging_2283/klagomålsmail/A 46898-2025 FSC-klagomål mail.docx", "A 46898-2025")</f>
        <v/>
      </c>
      <c r="X1084">
        <f>HYPERLINK("https://klasma.github.io/Logging_2283/tillsyn/A 46898-2025 tillsynsbegäran.docx", "A 46898-2025")</f>
        <v/>
      </c>
      <c r="Y1084">
        <f>HYPERLINK("https://klasma.github.io/Logging_2283/tillsynsmail/A 46898-2025 tillsynsbegäran mail.docx", "A 46898-2025")</f>
        <v/>
      </c>
      <c r="Z1084">
        <f>HYPERLINK("https://klasma.github.io/Logging_2283/fåglar/A 46898-2025 prioriterade fågelarter.docx", "A 46898-2025")</f>
        <v/>
      </c>
    </row>
    <row r="1085" ht="15" customHeight="1">
      <c r="A1085" t="inlineStr">
        <is>
          <t>A 46829-2025</t>
        </is>
      </c>
      <c r="B1085" s="1" t="n">
        <v>45927.34513888889</v>
      </c>
      <c r="C1085" s="1" t="n">
        <v>46093</v>
      </c>
      <c r="D1085" t="inlineStr">
        <is>
          <t>VÄSTERNORRLANDS LÄN</t>
        </is>
      </c>
      <c r="E1085" t="inlineStr">
        <is>
          <t>ÅNGE</t>
        </is>
      </c>
      <c r="F1085" t="inlineStr">
        <is>
          <t>SCA</t>
        </is>
      </c>
      <c r="G1085" t="n">
        <v>3.1</v>
      </c>
      <c r="H1085" t="n">
        <v>1</v>
      </c>
      <c r="I1085" t="n">
        <v>0</v>
      </c>
      <c r="J1085" t="n">
        <v>0</v>
      </c>
      <c r="K1085" t="n">
        <v>1</v>
      </c>
      <c r="L1085" t="n">
        <v>0</v>
      </c>
      <c r="M1085" t="n">
        <v>0</v>
      </c>
      <c r="N1085" t="n">
        <v>0</v>
      </c>
      <c r="O1085" t="n">
        <v>1</v>
      </c>
      <c r="P1085" t="n">
        <v>1</v>
      </c>
      <c r="Q1085" t="n">
        <v>1</v>
      </c>
      <c r="R1085" s="2" t="inlineStr">
        <is>
          <t>Kricka</t>
        </is>
      </c>
      <c r="S1085">
        <f>HYPERLINK("https://klasma.github.io/Logging_2260/artfynd/A 46829-2025 artfynd.xlsx", "A 46829-2025")</f>
        <v/>
      </c>
      <c r="T1085">
        <f>HYPERLINK("https://klasma.github.io/Logging_2260/kartor/A 46829-2025 karta.png", "A 46829-2025")</f>
        <v/>
      </c>
      <c r="V1085">
        <f>HYPERLINK("https://klasma.github.io/Logging_2260/klagomål/A 46829-2025 FSC-klagomål.docx", "A 46829-2025")</f>
        <v/>
      </c>
      <c r="W1085">
        <f>HYPERLINK("https://klasma.github.io/Logging_2260/klagomålsmail/A 46829-2025 FSC-klagomål mail.docx", "A 46829-2025")</f>
        <v/>
      </c>
      <c r="X1085">
        <f>HYPERLINK("https://klasma.github.io/Logging_2260/tillsyn/A 46829-2025 tillsynsbegäran.docx", "A 46829-2025")</f>
        <v/>
      </c>
      <c r="Y1085">
        <f>HYPERLINK("https://klasma.github.io/Logging_2260/tillsynsmail/A 46829-2025 tillsynsbegäran mail.docx", "A 46829-2025")</f>
        <v/>
      </c>
      <c r="Z1085">
        <f>HYPERLINK("https://klasma.github.io/Logging_2260/fåglar/A 46829-2025 prioriterade fågelarter.docx", "A 46829-2025")</f>
        <v/>
      </c>
    </row>
    <row r="1086" ht="15" customHeight="1">
      <c r="A1086" t="inlineStr">
        <is>
          <t>A 14805-2024</t>
        </is>
      </c>
      <c r="B1086" s="1" t="n">
        <v>45397</v>
      </c>
      <c r="C1086" s="1" t="n">
        <v>46093</v>
      </c>
      <c r="D1086" t="inlineStr">
        <is>
          <t>VÄSTERNORRLANDS LÄN</t>
        </is>
      </c>
      <c r="E1086" t="inlineStr">
        <is>
          <t>SOLLEFTEÅ</t>
        </is>
      </c>
      <c r="F1086" t="inlineStr">
        <is>
          <t>SCA</t>
        </is>
      </c>
      <c r="G1086" t="n">
        <v>3.5</v>
      </c>
      <c r="H1086" t="n">
        <v>0</v>
      </c>
      <c r="I1086" t="n">
        <v>0</v>
      </c>
      <c r="J1086" t="n">
        <v>1</v>
      </c>
      <c r="K1086" t="n">
        <v>0</v>
      </c>
      <c r="L1086" t="n">
        <v>0</v>
      </c>
      <c r="M1086" t="n">
        <v>0</v>
      </c>
      <c r="N1086" t="n">
        <v>0</v>
      </c>
      <c r="O1086" t="n">
        <v>1</v>
      </c>
      <c r="P1086" t="n">
        <v>0</v>
      </c>
      <c r="Q1086" t="n">
        <v>1</v>
      </c>
      <c r="R1086" s="2" t="inlineStr">
        <is>
          <t>Dvärgbägarlav</t>
        </is>
      </c>
      <c r="S1086">
        <f>HYPERLINK("https://klasma.github.io/Logging_2283/artfynd/A 14805-2024 artfynd.xlsx", "A 14805-2024")</f>
        <v/>
      </c>
      <c r="T1086">
        <f>HYPERLINK("https://klasma.github.io/Logging_2283/kartor/A 14805-2024 karta.png", "A 14805-2024")</f>
        <v/>
      </c>
      <c r="V1086">
        <f>HYPERLINK("https://klasma.github.io/Logging_2283/klagomål/A 14805-2024 FSC-klagomål.docx", "A 14805-2024")</f>
        <v/>
      </c>
      <c r="W1086">
        <f>HYPERLINK("https://klasma.github.io/Logging_2283/klagomålsmail/A 14805-2024 FSC-klagomål mail.docx", "A 14805-2024")</f>
        <v/>
      </c>
      <c r="X1086">
        <f>HYPERLINK("https://klasma.github.io/Logging_2283/tillsyn/A 14805-2024 tillsynsbegäran.docx", "A 14805-2024")</f>
        <v/>
      </c>
      <c r="Y1086">
        <f>HYPERLINK("https://klasma.github.io/Logging_2283/tillsynsmail/A 14805-2024 tillsynsbegäran mail.docx", "A 14805-2024")</f>
        <v/>
      </c>
    </row>
    <row r="1087" ht="15" customHeight="1">
      <c r="A1087" t="inlineStr">
        <is>
          <t>A 47487-2025</t>
        </is>
      </c>
      <c r="B1087" s="1" t="n">
        <v>45930.69878472222</v>
      </c>
      <c r="C1087" s="1" t="n">
        <v>46093</v>
      </c>
      <c r="D1087" t="inlineStr">
        <is>
          <t>VÄSTERNORRLANDS LÄN</t>
        </is>
      </c>
      <c r="E1087" t="inlineStr">
        <is>
          <t>HÄRNÖSAND</t>
        </is>
      </c>
      <c r="F1087" t="inlineStr">
        <is>
          <t>SCA</t>
        </is>
      </c>
      <c r="G1087" t="n">
        <v>1.3</v>
      </c>
      <c r="H1087" t="n">
        <v>1</v>
      </c>
      <c r="I1087" t="n">
        <v>0</v>
      </c>
      <c r="J1087" t="n">
        <v>0</v>
      </c>
      <c r="K1087" t="n">
        <v>0</v>
      </c>
      <c r="L1087" t="n">
        <v>0</v>
      </c>
      <c r="M1087" t="n">
        <v>0</v>
      </c>
      <c r="N1087" t="n">
        <v>0</v>
      </c>
      <c r="O1087" t="n">
        <v>0</v>
      </c>
      <c r="P1087" t="n">
        <v>0</v>
      </c>
      <c r="Q1087" t="n">
        <v>1</v>
      </c>
      <c r="R1087" s="2" t="inlineStr">
        <is>
          <t>Tjäder</t>
        </is>
      </c>
      <c r="S1087">
        <f>HYPERLINK("https://klasma.github.io/Logging_2280/artfynd/A 47487-2025 artfynd.xlsx", "A 47487-2025")</f>
        <v/>
      </c>
      <c r="T1087">
        <f>HYPERLINK("https://klasma.github.io/Logging_2280/kartor/A 47487-2025 karta.png", "A 47487-2025")</f>
        <v/>
      </c>
      <c r="V1087">
        <f>HYPERLINK("https://klasma.github.io/Logging_2280/klagomål/A 47487-2025 FSC-klagomål.docx", "A 47487-2025")</f>
        <v/>
      </c>
      <c r="W1087">
        <f>HYPERLINK("https://klasma.github.io/Logging_2280/klagomålsmail/A 47487-2025 FSC-klagomål mail.docx", "A 47487-2025")</f>
        <v/>
      </c>
      <c r="X1087">
        <f>HYPERLINK("https://klasma.github.io/Logging_2280/tillsyn/A 47487-2025 tillsynsbegäran.docx", "A 47487-2025")</f>
        <v/>
      </c>
      <c r="Y1087">
        <f>HYPERLINK("https://klasma.github.io/Logging_2280/tillsynsmail/A 47487-2025 tillsynsbegäran mail.docx", "A 47487-2025")</f>
        <v/>
      </c>
      <c r="Z1087">
        <f>HYPERLINK("https://klasma.github.io/Logging_2280/fåglar/A 47487-2025 prioriterade fågelarter.docx", "A 47487-2025")</f>
        <v/>
      </c>
    </row>
    <row r="1088" ht="15" customHeight="1">
      <c r="A1088" t="inlineStr">
        <is>
          <t>A 21323-2024</t>
        </is>
      </c>
      <c r="B1088" s="1" t="n">
        <v>45440.75016203704</v>
      </c>
      <c r="C1088" s="1" t="n">
        <v>46093</v>
      </c>
      <c r="D1088" t="inlineStr">
        <is>
          <t>VÄSTERNORRLANDS LÄN</t>
        </is>
      </c>
      <c r="E1088" t="inlineStr">
        <is>
          <t>ÖRNSKÖLDSVIK</t>
        </is>
      </c>
      <c r="F1088" t="inlineStr">
        <is>
          <t>Holmen skog AB</t>
        </is>
      </c>
      <c r="G1088" t="n">
        <v>1.5</v>
      </c>
      <c r="H1088" t="n">
        <v>1</v>
      </c>
      <c r="I1088" t="n">
        <v>0</v>
      </c>
      <c r="J1088" t="n">
        <v>1</v>
      </c>
      <c r="K1088" t="n">
        <v>0</v>
      </c>
      <c r="L1088" t="n">
        <v>0</v>
      </c>
      <c r="M1088" t="n">
        <v>0</v>
      </c>
      <c r="N1088" t="n">
        <v>0</v>
      </c>
      <c r="O1088" t="n">
        <v>1</v>
      </c>
      <c r="P1088" t="n">
        <v>0</v>
      </c>
      <c r="Q1088" t="n">
        <v>1</v>
      </c>
      <c r="R1088" s="2" t="inlineStr">
        <is>
          <t>Tretåig hackspett</t>
        </is>
      </c>
      <c r="S1088">
        <f>HYPERLINK("https://klasma.github.io/Logging_2284/artfynd/A 21323-2024 artfynd.xlsx", "A 21323-2024")</f>
        <v/>
      </c>
      <c r="T1088">
        <f>HYPERLINK("https://klasma.github.io/Logging_2284/kartor/A 21323-2024 karta.png", "A 21323-2024")</f>
        <v/>
      </c>
      <c r="V1088">
        <f>HYPERLINK("https://klasma.github.io/Logging_2284/klagomål/A 21323-2024 FSC-klagomål.docx", "A 21323-2024")</f>
        <v/>
      </c>
      <c r="W1088">
        <f>HYPERLINK("https://klasma.github.io/Logging_2284/klagomålsmail/A 21323-2024 FSC-klagomål mail.docx", "A 21323-2024")</f>
        <v/>
      </c>
      <c r="X1088">
        <f>HYPERLINK("https://klasma.github.io/Logging_2284/tillsyn/A 21323-2024 tillsynsbegäran.docx", "A 21323-2024")</f>
        <v/>
      </c>
      <c r="Y1088">
        <f>HYPERLINK("https://klasma.github.io/Logging_2284/tillsynsmail/A 21323-2024 tillsynsbegäran mail.docx", "A 21323-2024")</f>
        <v/>
      </c>
      <c r="Z1088">
        <f>HYPERLINK("https://klasma.github.io/Logging_2284/fåglar/A 21323-2024 prioriterade fågelarter.docx", "A 21323-2024")</f>
        <v/>
      </c>
    </row>
    <row r="1089" ht="15" customHeight="1">
      <c r="A1089" t="inlineStr">
        <is>
          <t>A 27320-2024</t>
        </is>
      </c>
      <c r="B1089" s="1" t="n">
        <v>45471</v>
      </c>
      <c r="C1089" s="1" t="n">
        <v>46093</v>
      </c>
      <c r="D1089" t="inlineStr">
        <is>
          <t>VÄSTERNORRLANDS LÄN</t>
        </is>
      </c>
      <c r="E1089" t="inlineStr">
        <is>
          <t>SUNDSVALL</t>
        </is>
      </c>
      <c r="F1089" t="inlineStr">
        <is>
          <t>SCA</t>
        </is>
      </c>
      <c r="G1089" t="n">
        <v>4</v>
      </c>
      <c r="H1089" t="n">
        <v>0</v>
      </c>
      <c r="I1089" t="n">
        <v>0</v>
      </c>
      <c r="J1089" t="n">
        <v>1</v>
      </c>
      <c r="K1089" t="n">
        <v>0</v>
      </c>
      <c r="L1089" t="n">
        <v>0</v>
      </c>
      <c r="M1089" t="n">
        <v>0</v>
      </c>
      <c r="N1089" t="n">
        <v>0</v>
      </c>
      <c r="O1089" t="n">
        <v>1</v>
      </c>
      <c r="P1089" t="n">
        <v>0</v>
      </c>
      <c r="Q1089" t="n">
        <v>1</v>
      </c>
      <c r="R1089" s="2" t="inlineStr">
        <is>
          <t>Småflikig brosklav</t>
        </is>
      </c>
      <c r="S1089">
        <f>HYPERLINK("https://klasma.github.io/Logging_2281/artfynd/A 27320-2024 artfynd.xlsx", "A 27320-2024")</f>
        <v/>
      </c>
      <c r="T1089">
        <f>HYPERLINK("https://klasma.github.io/Logging_2281/kartor/A 27320-2024 karta.png", "A 27320-2024")</f>
        <v/>
      </c>
      <c r="V1089">
        <f>HYPERLINK("https://klasma.github.io/Logging_2281/klagomål/A 27320-2024 FSC-klagomål.docx", "A 27320-2024")</f>
        <v/>
      </c>
      <c r="W1089">
        <f>HYPERLINK("https://klasma.github.io/Logging_2281/klagomålsmail/A 27320-2024 FSC-klagomål mail.docx", "A 27320-2024")</f>
        <v/>
      </c>
      <c r="X1089">
        <f>HYPERLINK("https://klasma.github.io/Logging_2281/tillsyn/A 27320-2024 tillsynsbegäran.docx", "A 27320-2024")</f>
        <v/>
      </c>
      <c r="Y1089">
        <f>HYPERLINK("https://klasma.github.io/Logging_2281/tillsynsmail/A 27320-2024 tillsynsbegäran mail.docx", "A 27320-2024")</f>
        <v/>
      </c>
    </row>
    <row r="1090" ht="15" customHeight="1">
      <c r="A1090" t="inlineStr">
        <is>
          <t>A 47596-2025</t>
        </is>
      </c>
      <c r="B1090" s="1" t="n">
        <v>45931.45355324074</v>
      </c>
      <c r="C1090" s="1" t="n">
        <v>46093</v>
      </c>
      <c r="D1090" t="inlineStr">
        <is>
          <t>VÄSTERNORRLANDS LÄN</t>
        </is>
      </c>
      <c r="E1090" t="inlineStr">
        <is>
          <t>ÖRNSKÖLDSVIK</t>
        </is>
      </c>
      <c r="F1090" t="inlineStr">
        <is>
          <t>Holmen skog AB</t>
        </is>
      </c>
      <c r="G1090" t="n">
        <v>2.1</v>
      </c>
      <c r="H1090" t="n">
        <v>0</v>
      </c>
      <c r="I1090" t="n">
        <v>0</v>
      </c>
      <c r="J1090" t="n">
        <v>1</v>
      </c>
      <c r="K1090" t="n">
        <v>0</v>
      </c>
      <c r="L1090" t="n">
        <v>0</v>
      </c>
      <c r="M1090" t="n">
        <v>0</v>
      </c>
      <c r="N1090" t="n">
        <v>0</v>
      </c>
      <c r="O1090" t="n">
        <v>1</v>
      </c>
      <c r="P1090" t="n">
        <v>0</v>
      </c>
      <c r="Q1090" t="n">
        <v>1</v>
      </c>
      <c r="R1090" s="2" t="inlineStr">
        <is>
          <t>Lunglav</t>
        </is>
      </c>
      <c r="S1090">
        <f>HYPERLINK("https://klasma.github.io/Logging_2284/artfynd/A 47596-2025 artfynd.xlsx", "A 47596-2025")</f>
        <v/>
      </c>
      <c r="T1090">
        <f>HYPERLINK("https://klasma.github.io/Logging_2284/kartor/A 47596-2025 karta.png", "A 47596-2025")</f>
        <v/>
      </c>
      <c r="V1090">
        <f>HYPERLINK("https://klasma.github.io/Logging_2284/klagomål/A 47596-2025 FSC-klagomål.docx", "A 47596-2025")</f>
        <v/>
      </c>
      <c r="W1090">
        <f>HYPERLINK("https://klasma.github.io/Logging_2284/klagomålsmail/A 47596-2025 FSC-klagomål mail.docx", "A 47596-2025")</f>
        <v/>
      </c>
      <c r="X1090">
        <f>HYPERLINK("https://klasma.github.io/Logging_2284/tillsyn/A 47596-2025 tillsynsbegäran.docx", "A 47596-2025")</f>
        <v/>
      </c>
      <c r="Y1090">
        <f>HYPERLINK("https://klasma.github.io/Logging_2284/tillsynsmail/A 47596-2025 tillsynsbegäran mail.docx", "A 47596-2025")</f>
        <v/>
      </c>
    </row>
    <row r="1091" ht="15" customHeight="1">
      <c r="A1091" t="inlineStr">
        <is>
          <t>A 40059-2023</t>
        </is>
      </c>
      <c r="B1091" s="1" t="n">
        <v>45168</v>
      </c>
      <c r="C1091" s="1" t="n">
        <v>46093</v>
      </c>
      <c r="D1091" t="inlineStr">
        <is>
          <t>VÄSTERNORRLANDS LÄN</t>
        </is>
      </c>
      <c r="E1091" t="inlineStr">
        <is>
          <t>ÖRNSKÖLDSVIK</t>
        </is>
      </c>
      <c r="F1091" t="inlineStr">
        <is>
          <t>Holmen skog AB</t>
        </is>
      </c>
      <c r="G1091" t="n">
        <v>1.6</v>
      </c>
      <c r="H1091" t="n">
        <v>0</v>
      </c>
      <c r="I1091" t="n">
        <v>0</v>
      </c>
      <c r="J1091" t="n">
        <v>1</v>
      </c>
      <c r="K1091" t="n">
        <v>0</v>
      </c>
      <c r="L1091" t="n">
        <v>0</v>
      </c>
      <c r="M1091" t="n">
        <v>0</v>
      </c>
      <c r="N1091" t="n">
        <v>0</v>
      </c>
      <c r="O1091" t="n">
        <v>1</v>
      </c>
      <c r="P1091" t="n">
        <v>0</v>
      </c>
      <c r="Q1091" t="n">
        <v>1</v>
      </c>
      <c r="R1091" s="2" t="inlineStr">
        <is>
          <t>Ullticka</t>
        </is>
      </c>
      <c r="S1091">
        <f>HYPERLINK("https://klasma.github.io/Logging_2284/artfynd/A 40059-2023 artfynd.xlsx", "A 40059-2023")</f>
        <v/>
      </c>
      <c r="T1091">
        <f>HYPERLINK("https://klasma.github.io/Logging_2284/kartor/A 40059-2023 karta.png", "A 40059-2023")</f>
        <v/>
      </c>
      <c r="V1091">
        <f>HYPERLINK("https://klasma.github.io/Logging_2284/klagomål/A 40059-2023 FSC-klagomål.docx", "A 40059-2023")</f>
        <v/>
      </c>
      <c r="W1091">
        <f>HYPERLINK("https://klasma.github.io/Logging_2284/klagomålsmail/A 40059-2023 FSC-klagomål mail.docx", "A 40059-2023")</f>
        <v/>
      </c>
      <c r="X1091">
        <f>HYPERLINK("https://klasma.github.io/Logging_2284/tillsyn/A 40059-2023 tillsynsbegäran.docx", "A 40059-2023")</f>
        <v/>
      </c>
      <c r="Y1091">
        <f>HYPERLINK("https://klasma.github.io/Logging_2284/tillsynsmail/A 40059-2023 tillsynsbegäran mail.docx", "A 40059-2023")</f>
        <v/>
      </c>
    </row>
    <row r="1092" ht="15" customHeight="1">
      <c r="A1092" t="inlineStr">
        <is>
          <t>A 41118-2025</t>
        </is>
      </c>
      <c r="B1092" s="1" t="n">
        <v>45898</v>
      </c>
      <c r="C1092" s="1" t="n">
        <v>46093</v>
      </c>
      <c r="D1092" t="inlineStr">
        <is>
          <t>VÄSTERNORRLANDS LÄN</t>
        </is>
      </c>
      <c r="E1092" t="inlineStr">
        <is>
          <t>SUNDSVALL</t>
        </is>
      </c>
      <c r="G1092" t="n">
        <v>3.4</v>
      </c>
      <c r="H1092" t="n">
        <v>1</v>
      </c>
      <c r="I1092" t="n">
        <v>0</v>
      </c>
      <c r="J1092" t="n">
        <v>1</v>
      </c>
      <c r="K1092" t="n">
        <v>0</v>
      </c>
      <c r="L1092" t="n">
        <v>0</v>
      </c>
      <c r="M1092" t="n">
        <v>0</v>
      </c>
      <c r="N1092" t="n">
        <v>0</v>
      </c>
      <c r="O1092" t="n">
        <v>1</v>
      </c>
      <c r="P1092" t="n">
        <v>0</v>
      </c>
      <c r="Q1092" t="n">
        <v>1</v>
      </c>
      <c r="R1092" s="2" t="inlineStr">
        <is>
          <t>Tretåig hackspett</t>
        </is>
      </c>
      <c r="S1092">
        <f>HYPERLINK("https://klasma.github.io/Logging_2281/artfynd/A 41118-2025 artfynd.xlsx", "A 41118-2025")</f>
        <v/>
      </c>
      <c r="T1092">
        <f>HYPERLINK("https://klasma.github.io/Logging_2281/kartor/A 41118-2025 karta.png", "A 41118-2025")</f>
        <v/>
      </c>
      <c r="V1092">
        <f>HYPERLINK("https://klasma.github.io/Logging_2281/klagomål/A 41118-2025 FSC-klagomål.docx", "A 41118-2025")</f>
        <v/>
      </c>
      <c r="W1092">
        <f>HYPERLINK("https://klasma.github.io/Logging_2281/klagomålsmail/A 41118-2025 FSC-klagomål mail.docx", "A 41118-2025")</f>
        <v/>
      </c>
      <c r="X1092">
        <f>HYPERLINK("https://klasma.github.io/Logging_2281/tillsyn/A 41118-2025 tillsynsbegäran.docx", "A 41118-2025")</f>
        <v/>
      </c>
      <c r="Y1092">
        <f>HYPERLINK("https://klasma.github.io/Logging_2281/tillsynsmail/A 41118-2025 tillsynsbegäran mail.docx", "A 41118-2025")</f>
        <v/>
      </c>
      <c r="Z1092">
        <f>HYPERLINK("https://klasma.github.io/Logging_2281/fåglar/A 41118-2025 prioriterade fågelarter.docx", "A 41118-2025")</f>
        <v/>
      </c>
    </row>
    <row r="1093" ht="15" customHeight="1">
      <c r="A1093" t="inlineStr">
        <is>
          <t>A 47583-2025</t>
        </is>
      </c>
      <c r="B1093" s="1" t="n">
        <v>45931.42111111111</v>
      </c>
      <c r="C1093" s="1" t="n">
        <v>46093</v>
      </c>
      <c r="D1093" t="inlineStr">
        <is>
          <t>VÄSTERNORRLANDS LÄN</t>
        </is>
      </c>
      <c r="E1093" t="inlineStr">
        <is>
          <t>ÖRNSKÖLDSVIK</t>
        </is>
      </c>
      <c r="F1093" t="inlineStr">
        <is>
          <t>Holmen skog AB</t>
        </is>
      </c>
      <c r="G1093" t="n">
        <v>4.3</v>
      </c>
      <c r="H1093" t="n">
        <v>0</v>
      </c>
      <c r="I1093" t="n">
        <v>0</v>
      </c>
      <c r="J1093" t="n">
        <v>1</v>
      </c>
      <c r="K1093" t="n">
        <v>0</v>
      </c>
      <c r="L1093" t="n">
        <v>0</v>
      </c>
      <c r="M1093" t="n">
        <v>0</v>
      </c>
      <c r="N1093" t="n">
        <v>0</v>
      </c>
      <c r="O1093" t="n">
        <v>1</v>
      </c>
      <c r="P1093" t="n">
        <v>0</v>
      </c>
      <c r="Q1093" t="n">
        <v>1</v>
      </c>
      <c r="R1093" s="2" t="inlineStr">
        <is>
          <t>Kolflarnlav</t>
        </is>
      </c>
      <c r="S1093">
        <f>HYPERLINK("https://klasma.github.io/Logging_2284/artfynd/A 47583-2025 artfynd.xlsx", "A 47583-2025")</f>
        <v/>
      </c>
      <c r="T1093">
        <f>HYPERLINK("https://klasma.github.io/Logging_2284/kartor/A 47583-2025 karta.png", "A 47583-2025")</f>
        <v/>
      </c>
      <c r="V1093">
        <f>HYPERLINK("https://klasma.github.io/Logging_2284/klagomål/A 47583-2025 FSC-klagomål.docx", "A 47583-2025")</f>
        <v/>
      </c>
      <c r="W1093">
        <f>HYPERLINK("https://klasma.github.io/Logging_2284/klagomålsmail/A 47583-2025 FSC-klagomål mail.docx", "A 47583-2025")</f>
        <v/>
      </c>
      <c r="X1093">
        <f>HYPERLINK("https://klasma.github.io/Logging_2284/tillsyn/A 47583-2025 tillsynsbegäran.docx", "A 47583-2025")</f>
        <v/>
      </c>
      <c r="Y1093">
        <f>HYPERLINK("https://klasma.github.io/Logging_2284/tillsynsmail/A 47583-2025 tillsynsbegäran mail.docx", "A 47583-2025")</f>
        <v/>
      </c>
    </row>
    <row r="1094" ht="15" customHeight="1">
      <c r="A1094" t="inlineStr">
        <is>
          <t>A 47857-2025</t>
        </is>
      </c>
      <c r="B1094" s="1" t="n">
        <v>45932.4068287037</v>
      </c>
      <c r="C1094" s="1" t="n">
        <v>46093</v>
      </c>
      <c r="D1094" t="inlineStr">
        <is>
          <t>VÄSTERNORRLANDS LÄN</t>
        </is>
      </c>
      <c r="E1094" t="inlineStr">
        <is>
          <t>ÅNGE</t>
        </is>
      </c>
      <c r="G1094" t="n">
        <v>2.5</v>
      </c>
      <c r="H1094" t="n">
        <v>1</v>
      </c>
      <c r="I1094" t="n">
        <v>0</v>
      </c>
      <c r="J1094" t="n">
        <v>1</v>
      </c>
      <c r="K1094" t="n">
        <v>0</v>
      </c>
      <c r="L1094" t="n">
        <v>0</v>
      </c>
      <c r="M1094" t="n">
        <v>0</v>
      </c>
      <c r="N1094" t="n">
        <v>0</v>
      </c>
      <c r="O1094" t="n">
        <v>1</v>
      </c>
      <c r="P1094" t="n">
        <v>0</v>
      </c>
      <c r="Q1094" t="n">
        <v>1</v>
      </c>
      <c r="R1094" s="2" t="inlineStr">
        <is>
          <t>Kungsörn</t>
        </is>
      </c>
      <c r="S1094">
        <f>HYPERLINK("https://klasma.github.io/Logging_2260/artfynd/A 47857-2025 artfynd.xlsx", "A 47857-2025")</f>
        <v/>
      </c>
      <c r="T1094">
        <f>HYPERLINK("https://klasma.github.io/Logging_2260/kartor/A 47857-2025 karta.png", "A 47857-2025")</f>
        <v/>
      </c>
      <c r="V1094">
        <f>HYPERLINK("https://klasma.github.io/Logging_2260/klagomål/A 47857-2025 FSC-klagomål.docx", "A 47857-2025")</f>
        <v/>
      </c>
      <c r="W1094">
        <f>HYPERLINK("https://klasma.github.io/Logging_2260/klagomålsmail/A 47857-2025 FSC-klagomål mail.docx", "A 47857-2025")</f>
        <v/>
      </c>
      <c r="X1094">
        <f>HYPERLINK("https://klasma.github.io/Logging_2260/tillsyn/A 47857-2025 tillsynsbegäran.docx", "A 47857-2025")</f>
        <v/>
      </c>
      <c r="Y1094">
        <f>HYPERLINK("https://klasma.github.io/Logging_2260/tillsynsmail/A 47857-2025 tillsynsbegäran mail.docx", "A 47857-2025")</f>
        <v/>
      </c>
      <c r="Z1094">
        <f>HYPERLINK("https://klasma.github.io/Logging_2260/fåglar/A 47857-2025 prioriterade fågelarter.docx", "A 47857-2025")</f>
        <v/>
      </c>
    </row>
    <row r="1095" ht="15" customHeight="1">
      <c r="A1095" t="inlineStr">
        <is>
          <t>A 48526-2025</t>
        </is>
      </c>
      <c r="B1095" s="1" t="n">
        <v>45936.40723379629</v>
      </c>
      <c r="C1095" s="1" t="n">
        <v>46093</v>
      </c>
      <c r="D1095" t="inlineStr">
        <is>
          <t>VÄSTERNORRLANDS LÄN</t>
        </is>
      </c>
      <c r="E1095" t="inlineStr">
        <is>
          <t>SOLLEFTEÅ</t>
        </is>
      </c>
      <c r="F1095" t="inlineStr">
        <is>
          <t>SCA</t>
        </is>
      </c>
      <c r="G1095" t="n">
        <v>6.9</v>
      </c>
      <c r="H1095" t="n">
        <v>1</v>
      </c>
      <c r="I1095" t="n">
        <v>0</v>
      </c>
      <c r="J1095" t="n">
        <v>0</v>
      </c>
      <c r="K1095" t="n">
        <v>0</v>
      </c>
      <c r="L1095" t="n">
        <v>0</v>
      </c>
      <c r="M1095" t="n">
        <v>0</v>
      </c>
      <c r="N1095" t="n">
        <v>0</v>
      </c>
      <c r="O1095" t="n">
        <v>0</v>
      </c>
      <c r="P1095" t="n">
        <v>0</v>
      </c>
      <c r="Q1095" t="n">
        <v>1</v>
      </c>
      <c r="R1095" s="2" t="inlineStr">
        <is>
          <t>Revlummer</t>
        </is>
      </c>
      <c r="S1095">
        <f>HYPERLINK("https://klasma.github.io/Logging_2283/artfynd/A 48526-2025 artfynd.xlsx", "A 48526-2025")</f>
        <v/>
      </c>
      <c r="T1095">
        <f>HYPERLINK("https://klasma.github.io/Logging_2283/kartor/A 48526-2025 karta.png", "A 48526-2025")</f>
        <v/>
      </c>
      <c r="V1095">
        <f>HYPERLINK("https://klasma.github.io/Logging_2283/klagomål/A 48526-2025 FSC-klagomål.docx", "A 48526-2025")</f>
        <v/>
      </c>
      <c r="W1095">
        <f>HYPERLINK("https://klasma.github.io/Logging_2283/klagomålsmail/A 48526-2025 FSC-klagomål mail.docx", "A 48526-2025")</f>
        <v/>
      </c>
      <c r="X1095">
        <f>HYPERLINK("https://klasma.github.io/Logging_2283/tillsyn/A 48526-2025 tillsynsbegäran.docx", "A 48526-2025")</f>
        <v/>
      </c>
      <c r="Y1095">
        <f>HYPERLINK("https://klasma.github.io/Logging_2283/tillsynsmail/A 48526-2025 tillsynsbegäran mail.docx", "A 48526-2025")</f>
        <v/>
      </c>
    </row>
    <row r="1096" ht="15" customHeight="1">
      <c r="A1096" t="inlineStr">
        <is>
          <t>A 19202-2025</t>
        </is>
      </c>
      <c r="B1096" s="1" t="n">
        <v>45769.42828703704</v>
      </c>
      <c r="C1096" s="1" t="n">
        <v>46093</v>
      </c>
      <c r="D1096" t="inlineStr">
        <is>
          <t>VÄSTERNORRLANDS LÄN</t>
        </is>
      </c>
      <c r="E1096" t="inlineStr">
        <is>
          <t>HÄRNÖSAND</t>
        </is>
      </c>
      <c r="F1096" t="inlineStr">
        <is>
          <t>SCA</t>
        </is>
      </c>
      <c r="G1096" t="n">
        <v>6.1</v>
      </c>
      <c r="H1096" t="n">
        <v>1</v>
      </c>
      <c r="I1096" t="n">
        <v>0</v>
      </c>
      <c r="J1096" t="n">
        <v>1</v>
      </c>
      <c r="K1096" t="n">
        <v>0</v>
      </c>
      <c r="L1096" t="n">
        <v>0</v>
      </c>
      <c r="M1096" t="n">
        <v>0</v>
      </c>
      <c r="N1096" t="n">
        <v>0</v>
      </c>
      <c r="O1096" t="n">
        <v>1</v>
      </c>
      <c r="P1096" t="n">
        <v>0</v>
      </c>
      <c r="Q1096" t="n">
        <v>1</v>
      </c>
      <c r="R1096" s="2" t="inlineStr">
        <is>
          <t>Järpe</t>
        </is>
      </c>
      <c r="S1096">
        <f>HYPERLINK("https://klasma.github.io/Logging_2280/artfynd/A 19202-2025 artfynd.xlsx", "A 19202-2025")</f>
        <v/>
      </c>
      <c r="T1096">
        <f>HYPERLINK("https://klasma.github.io/Logging_2280/kartor/A 19202-2025 karta.png", "A 19202-2025")</f>
        <v/>
      </c>
      <c r="V1096">
        <f>HYPERLINK("https://klasma.github.io/Logging_2280/klagomål/A 19202-2025 FSC-klagomål.docx", "A 19202-2025")</f>
        <v/>
      </c>
      <c r="W1096">
        <f>HYPERLINK("https://klasma.github.io/Logging_2280/klagomålsmail/A 19202-2025 FSC-klagomål mail.docx", "A 19202-2025")</f>
        <v/>
      </c>
      <c r="X1096">
        <f>HYPERLINK("https://klasma.github.io/Logging_2280/tillsyn/A 19202-2025 tillsynsbegäran.docx", "A 19202-2025")</f>
        <v/>
      </c>
      <c r="Y1096">
        <f>HYPERLINK("https://klasma.github.io/Logging_2280/tillsynsmail/A 19202-2025 tillsynsbegäran mail.docx", "A 19202-2025")</f>
        <v/>
      </c>
      <c r="Z1096">
        <f>HYPERLINK("https://klasma.github.io/Logging_2280/fåglar/A 19202-2025 prioriterade fågelarter.docx", "A 19202-2025")</f>
        <v/>
      </c>
    </row>
    <row r="1097" ht="15" customHeight="1">
      <c r="A1097" t="inlineStr">
        <is>
          <t>A 50396-2024</t>
        </is>
      </c>
      <c r="B1097" s="1" t="n">
        <v>45601</v>
      </c>
      <c r="C1097" s="1" t="n">
        <v>46093</v>
      </c>
      <c r="D1097" t="inlineStr">
        <is>
          <t>VÄSTERNORRLANDS LÄN</t>
        </is>
      </c>
      <c r="E1097" t="inlineStr">
        <is>
          <t>SUNDSVALL</t>
        </is>
      </c>
      <c r="F1097" t="inlineStr">
        <is>
          <t>SCA</t>
        </is>
      </c>
      <c r="G1097" t="n">
        <v>8</v>
      </c>
      <c r="H1097" t="n">
        <v>1</v>
      </c>
      <c r="I1097" t="n">
        <v>0</v>
      </c>
      <c r="J1097" t="n">
        <v>1</v>
      </c>
      <c r="K1097" t="n">
        <v>0</v>
      </c>
      <c r="L1097" t="n">
        <v>0</v>
      </c>
      <c r="M1097" t="n">
        <v>0</v>
      </c>
      <c r="N1097" t="n">
        <v>0</v>
      </c>
      <c r="O1097" t="n">
        <v>1</v>
      </c>
      <c r="P1097" t="n">
        <v>0</v>
      </c>
      <c r="Q1097" t="n">
        <v>1</v>
      </c>
      <c r="R1097" s="2" t="inlineStr">
        <is>
          <t>Järpe</t>
        </is>
      </c>
      <c r="S1097">
        <f>HYPERLINK("https://klasma.github.io/Logging_2281/artfynd/A 50396-2024 artfynd.xlsx", "A 50396-2024")</f>
        <v/>
      </c>
      <c r="T1097">
        <f>HYPERLINK("https://klasma.github.io/Logging_2281/kartor/A 50396-2024 karta.png", "A 50396-2024")</f>
        <v/>
      </c>
      <c r="V1097">
        <f>HYPERLINK("https://klasma.github.io/Logging_2281/klagomål/A 50396-2024 FSC-klagomål.docx", "A 50396-2024")</f>
        <v/>
      </c>
      <c r="W1097">
        <f>HYPERLINK("https://klasma.github.io/Logging_2281/klagomålsmail/A 50396-2024 FSC-klagomål mail.docx", "A 50396-2024")</f>
        <v/>
      </c>
      <c r="X1097">
        <f>HYPERLINK("https://klasma.github.io/Logging_2281/tillsyn/A 50396-2024 tillsynsbegäran.docx", "A 50396-2024")</f>
        <v/>
      </c>
      <c r="Y1097">
        <f>HYPERLINK("https://klasma.github.io/Logging_2281/tillsynsmail/A 50396-2024 tillsynsbegäran mail.docx", "A 50396-2024")</f>
        <v/>
      </c>
      <c r="Z1097">
        <f>HYPERLINK("https://klasma.github.io/Logging_2281/fåglar/A 50396-2024 prioriterade fågelarter.docx", "A 50396-2024")</f>
        <v/>
      </c>
    </row>
    <row r="1098" ht="15" customHeight="1">
      <c r="A1098" t="inlineStr">
        <is>
          <t>A 48237-2025</t>
        </is>
      </c>
      <c r="B1098" s="1" t="n">
        <v>45933</v>
      </c>
      <c r="C1098" s="1" t="n">
        <v>46093</v>
      </c>
      <c r="D1098" t="inlineStr">
        <is>
          <t>VÄSTERNORRLANDS LÄN</t>
        </is>
      </c>
      <c r="E1098" t="inlineStr">
        <is>
          <t>ÅNGE</t>
        </is>
      </c>
      <c r="F1098" t="inlineStr">
        <is>
          <t>SCA</t>
        </is>
      </c>
      <c r="G1098" t="n">
        <v>1.9</v>
      </c>
      <c r="H1098" t="n">
        <v>1</v>
      </c>
      <c r="I1098" t="n">
        <v>0</v>
      </c>
      <c r="J1098" t="n">
        <v>0</v>
      </c>
      <c r="K1098" t="n">
        <v>1</v>
      </c>
      <c r="L1098" t="n">
        <v>0</v>
      </c>
      <c r="M1098" t="n">
        <v>0</v>
      </c>
      <c r="N1098" t="n">
        <v>0</v>
      </c>
      <c r="O1098" t="n">
        <v>1</v>
      </c>
      <c r="P1098" t="n">
        <v>1</v>
      </c>
      <c r="Q1098" t="n">
        <v>1</v>
      </c>
      <c r="R1098" s="2" t="inlineStr">
        <is>
          <t>Knärot</t>
        </is>
      </c>
      <c r="S1098">
        <f>HYPERLINK("https://klasma.github.io/Logging_2260/artfynd/A 48237-2025 artfynd.xlsx", "A 48237-2025")</f>
        <v/>
      </c>
      <c r="T1098">
        <f>HYPERLINK("https://klasma.github.io/Logging_2260/kartor/A 48237-2025 karta.png", "A 48237-2025")</f>
        <v/>
      </c>
      <c r="U1098">
        <f>HYPERLINK("https://klasma.github.io/Logging_2260/knärot/A 48237-2025 karta knärot.png", "A 48237-2025")</f>
        <v/>
      </c>
      <c r="V1098">
        <f>HYPERLINK("https://klasma.github.io/Logging_2260/klagomål/A 48237-2025 FSC-klagomål.docx", "A 48237-2025")</f>
        <v/>
      </c>
      <c r="W1098">
        <f>HYPERLINK("https://klasma.github.io/Logging_2260/klagomålsmail/A 48237-2025 FSC-klagomål mail.docx", "A 48237-2025")</f>
        <v/>
      </c>
      <c r="X1098">
        <f>HYPERLINK("https://klasma.github.io/Logging_2260/tillsyn/A 48237-2025 tillsynsbegäran.docx", "A 48237-2025")</f>
        <v/>
      </c>
      <c r="Y1098">
        <f>HYPERLINK("https://klasma.github.io/Logging_2260/tillsynsmail/A 48237-2025 tillsynsbegäran mail.docx", "A 48237-2025")</f>
        <v/>
      </c>
    </row>
    <row r="1099" ht="15" customHeight="1">
      <c r="A1099" t="inlineStr">
        <is>
          <t>A 7853-2024</t>
        </is>
      </c>
      <c r="B1099" s="1" t="n">
        <v>45350</v>
      </c>
      <c r="C1099" s="1" t="n">
        <v>46093</v>
      </c>
      <c r="D1099" t="inlineStr">
        <is>
          <t>VÄSTERNORRLANDS LÄN</t>
        </is>
      </c>
      <c r="E1099" t="inlineStr">
        <is>
          <t>HÄRNÖSAND</t>
        </is>
      </c>
      <c r="F1099" t="inlineStr">
        <is>
          <t>SCA</t>
        </is>
      </c>
      <c r="G1099" t="n">
        <v>4.1</v>
      </c>
      <c r="H1099" t="n">
        <v>0</v>
      </c>
      <c r="I1099" t="n">
        <v>0</v>
      </c>
      <c r="J1099" t="n">
        <v>1</v>
      </c>
      <c r="K1099" t="n">
        <v>0</v>
      </c>
      <c r="L1099" t="n">
        <v>0</v>
      </c>
      <c r="M1099" t="n">
        <v>0</v>
      </c>
      <c r="N1099" t="n">
        <v>0</v>
      </c>
      <c r="O1099" t="n">
        <v>1</v>
      </c>
      <c r="P1099" t="n">
        <v>0</v>
      </c>
      <c r="Q1099" t="n">
        <v>1</v>
      </c>
      <c r="R1099" s="2" t="inlineStr">
        <is>
          <t>Igelkott</t>
        </is>
      </c>
      <c r="S1099">
        <f>HYPERLINK("https://klasma.github.io/Logging_2280/artfynd/A 7853-2024 artfynd.xlsx", "A 7853-2024")</f>
        <v/>
      </c>
      <c r="T1099">
        <f>HYPERLINK("https://klasma.github.io/Logging_2280/kartor/A 7853-2024 karta.png", "A 7853-2024")</f>
        <v/>
      </c>
      <c r="V1099">
        <f>HYPERLINK("https://klasma.github.io/Logging_2280/klagomål/A 7853-2024 FSC-klagomål.docx", "A 7853-2024")</f>
        <v/>
      </c>
      <c r="W1099">
        <f>HYPERLINK("https://klasma.github.io/Logging_2280/klagomålsmail/A 7853-2024 FSC-klagomål mail.docx", "A 7853-2024")</f>
        <v/>
      </c>
      <c r="X1099">
        <f>HYPERLINK("https://klasma.github.io/Logging_2280/tillsyn/A 7853-2024 tillsynsbegäran.docx", "A 7853-2024")</f>
        <v/>
      </c>
      <c r="Y1099">
        <f>HYPERLINK("https://klasma.github.io/Logging_2280/tillsynsmail/A 7853-2024 tillsynsbegäran mail.docx", "A 7853-2024")</f>
        <v/>
      </c>
    </row>
    <row r="1100" ht="15" customHeight="1">
      <c r="A1100" t="inlineStr">
        <is>
          <t>A 16877-2024</t>
        </is>
      </c>
      <c r="B1100" s="1" t="n">
        <v>45411</v>
      </c>
      <c r="C1100" s="1" t="n">
        <v>46093</v>
      </c>
      <c r="D1100" t="inlineStr">
        <is>
          <t>VÄSTERNORRLANDS LÄN</t>
        </is>
      </c>
      <c r="E1100" t="inlineStr">
        <is>
          <t>ÖRNSKÖLDSVIK</t>
        </is>
      </c>
      <c r="F1100" t="inlineStr">
        <is>
          <t>Holmen skog AB</t>
        </is>
      </c>
      <c r="G1100" t="n">
        <v>2.1</v>
      </c>
      <c r="H1100" t="n">
        <v>0</v>
      </c>
      <c r="I1100" t="n">
        <v>0</v>
      </c>
      <c r="J1100" t="n">
        <v>1</v>
      </c>
      <c r="K1100" t="n">
        <v>0</v>
      </c>
      <c r="L1100" t="n">
        <v>0</v>
      </c>
      <c r="M1100" t="n">
        <v>0</v>
      </c>
      <c r="N1100" t="n">
        <v>0</v>
      </c>
      <c r="O1100" t="n">
        <v>1</v>
      </c>
      <c r="P1100" t="n">
        <v>0</v>
      </c>
      <c r="Q1100" t="n">
        <v>1</v>
      </c>
      <c r="R1100" s="2" t="inlineStr">
        <is>
          <t>Garnlav</t>
        </is>
      </c>
      <c r="S1100">
        <f>HYPERLINK("https://klasma.github.io/Logging_2284/artfynd/A 16877-2024 artfynd.xlsx", "A 16877-2024")</f>
        <v/>
      </c>
      <c r="T1100">
        <f>HYPERLINK("https://klasma.github.io/Logging_2284/kartor/A 16877-2024 karta.png", "A 16877-2024")</f>
        <v/>
      </c>
      <c r="V1100">
        <f>HYPERLINK("https://klasma.github.io/Logging_2284/klagomål/A 16877-2024 FSC-klagomål.docx", "A 16877-2024")</f>
        <v/>
      </c>
      <c r="W1100">
        <f>HYPERLINK("https://klasma.github.io/Logging_2284/klagomålsmail/A 16877-2024 FSC-klagomål mail.docx", "A 16877-2024")</f>
        <v/>
      </c>
      <c r="X1100">
        <f>HYPERLINK("https://klasma.github.io/Logging_2284/tillsyn/A 16877-2024 tillsynsbegäran.docx", "A 16877-2024")</f>
        <v/>
      </c>
      <c r="Y1100">
        <f>HYPERLINK("https://klasma.github.io/Logging_2284/tillsynsmail/A 16877-2024 tillsynsbegäran mail.docx", "A 16877-2024")</f>
        <v/>
      </c>
    </row>
    <row r="1101" ht="15" customHeight="1">
      <c r="A1101" t="inlineStr">
        <is>
          <t>A 23711-2022</t>
        </is>
      </c>
      <c r="B1101" s="1" t="n">
        <v>44722</v>
      </c>
      <c r="C1101" s="1" t="n">
        <v>46093</v>
      </c>
      <c r="D1101" t="inlineStr">
        <is>
          <t>VÄSTERNORRLANDS LÄN</t>
        </is>
      </c>
      <c r="E1101" t="inlineStr">
        <is>
          <t>SUNDSVALL</t>
        </is>
      </c>
      <c r="F1101" t="inlineStr">
        <is>
          <t>Holmen skog AB</t>
        </is>
      </c>
      <c r="G1101" t="n">
        <v>2.8</v>
      </c>
      <c r="H1101" t="n">
        <v>0</v>
      </c>
      <c r="I1101" t="n">
        <v>0</v>
      </c>
      <c r="J1101" t="n">
        <v>1</v>
      </c>
      <c r="K1101" t="n">
        <v>0</v>
      </c>
      <c r="L1101" t="n">
        <v>0</v>
      </c>
      <c r="M1101" t="n">
        <v>0</v>
      </c>
      <c r="N1101" t="n">
        <v>0</v>
      </c>
      <c r="O1101" t="n">
        <v>1</v>
      </c>
      <c r="P1101" t="n">
        <v>0</v>
      </c>
      <c r="Q1101" t="n">
        <v>1</v>
      </c>
      <c r="R1101" s="2" t="inlineStr">
        <is>
          <t>Garnlav</t>
        </is>
      </c>
      <c r="S1101">
        <f>HYPERLINK("https://klasma.github.io/Logging_2281/artfynd/A 23711-2022 artfynd.xlsx", "A 23711-2022")</f>
        <v/>
      </c>
      <c r="T1101">
        <f>HYPERLINK("https://klasma.github.io/Logging_2281/kartor/A 23711-2022 karta.png", "A 23711-2022")</f>
        <v/>
      </c>
      <c r="V1101">
        <f>HYPERLINK("https://klasma.github.io/Logging_2281/klagomål/A 23711-2022 FSC-klagomål.docx", "A 23711-2022")</f>
        <v/>
      </c>
      <c r="W1101">
        <f>HYPERLINK("https://klasma.github.io/Logging_2281/klagomålsmail/A 23711-2022 FSC-klagomål mail.docx", "A 23711-2022")</f>
        <v/>
      </c>
      <c r="X1101">
        <f>HYPERLINK("https://klasma.github.io/Logging_2281/tillsyn/A 23711-2022 tillsynsbegäran.docx", "A 23711-2022")</f>
        <v/>
      </c>
      <c r="Y1101">
        <f>HYPERLINK("https://klasma.github.io/Logging_2281/tillsynsmail/A 23711-2022 tillsynsbegäran mail.docx", "A 23711-2022")</f>
        <v/>
      </c>
    </row>
    <row r="1102" ht="15" customHeight="1">
      <c r="A1102" t="inlineStr">
        <is>
          <t>A 19826-2025</t>
        </is>
      </c>
      <c r="B1102" s="1" t="n">
        <v>45771.4690625</v>
      </c>
      <c r="C1102" s="1" t="n">
        <v>46093</v>
      </c>
      <c r="D1102" t="inlineStr">
        <is>
          <t>VÄSTERNORRLANDS LÄN</t>
        </is>
      </c>
      <c r="E1102" t="inlineStr">
        <is>
          <t>SUNDSVALL</t>
        </is>
      </c>
      <c r="F1102" t="inlineStr">
        <is>
          <t>Naturvårdsverket</t>
        </is>
      </c>
      <c r="G1102" t="n">
        <v>1.5</v>
      </c>
      <c r="H1102" t="n">
        <v>0</v>
      </c>
      <c r="I1102" t="n">
        <v>0</v>
      </c>
      <c r="J1102" t="n">
        <v>1</v>
      </c>
      <c r="K1102" t="n">
        <v>0</v>
      </c>
      <c r="L1102" t="n">
        <v>0</v>
      </c>
      <c r="M1102" t="n">
        <v>0</v>
      </c>
      <c r="N1102" t="n">
        <v>0</v>
      </c>
      <c r="O1102" t="n">
        <v>1</v>
      </c>
      <c r="P1102" t="n">
        <v>0</v>
      </c>
      <c r="Q1102" t="n">
        <v>1</v>
      </c>
      <c r="R1102" s="2" t="inlineStr">
        <is>
          <t>Lunglav</t>
        </is>
      </c>
      <c r="S1102">
        <f>HYPERLINK("https://klasma.github.io/Logging_2281/artfynd/A 19826-2025 artfynd.xlsx", "A 19826-2025")</f>
        <v/>
      </c>
      <c r="T1102">
        <f>HYPERLINK("https://klasma.github.io/Logging_2281/kartor/A 19826-2025 karta.png", "A 19826-2025")</f>
        <v/>
      </c>
      <c r="V1102">
        <f>HYPERLINK("https://klasma.github.io/Logging_2281/klagomål/A 19826-2025 FSC-klagomål.docx", "A 19826-2025")</f>
        <v/>
      </c>
      <c r="W1102">
        <f>HYPERLINK("https://klasma.github.io/Logging_2281/klagomålsmail/A 19826-2025 FSC-klagomål mail.docx", "A 19826-2025")</f>
        <v/>
      </c>
      <c r="X1102">
        <f>HYPERLINK("https://klasma.github.io/Logging_2281/tillsyn/A 19826-2025 tillsynsbegäran.docx", "A 19826-2025")</f>
        <v/>
      </c>
      <c r="Y1102">
        <f>HYPERLINK("https://klasma.github.io/Logging_2281/tillsynsmail/A 19826-2025 tillsynsbegäran mail.docx", "A 19826-2025")</f>
        <v/>
      </c>
    </row>
    <row r="1103" ht="15" customHeight="1">
      <c r="A1103" t="inlineStr">
        <is>
          <t>A 11546-2024</t>
        </is>
      </c>
      <c r="B1103" s="1" t="n">
        <v>45372</v>
      </c>
      <c r="C1103" s="1" t="n">
        <v>46093</v>
      </c>
      <c r="D1103" t="inlineStr">
        <is>
          <t>VÄSTERNORRLANDS LÄN</t>
        </is>
      </c>
      <c r="E1103" t="inlineStr">
        <is>
          <t>HÄRNÖSAND</t>
        </is>
      </c>
      <c r="F1103" t="inlineStr">
        <is>
          <t>SCA</t>
        </is>
      </c>
      <c r="G1103" t="n">
        <v>3.1</v>
      </c>
      <c r="H1103" t="n">
        <v>0</v>
      </c>
      <c r="I1103" t="n">
        <v>0</v>
      </c>
      <c r="J1103" t="n">
        <v>1</v>
      </c>
      <c r="K1103" t="n">
        <v>0</v>
      </c>
      <c r="L1103" t="n">
        <v>0</v>
      </c>
      <c r="M1103" t="n">
        <v>0</v>
      </c>
      <c r="N1103" t="n">
        <v>0</v>
      </c>
      <c r="O1103" t="n">
        <v>1</v>
      </c>
      <c r="P1103" t="n">
        <v>0</v>
      </c>
      <c r="Q1103" t="n">
        <v>1</v>
      </c>
      <c r="R1103" s="2" t="inlineStr">
        <is>
          <t>Garnlav</t>
        </is>
      </c>
      <c r="S1103">
        <f>HYPERLINK("https://klasma.github.io/Logging_2280/artfynd/A 11546-2024 artfynd.xlsx", "A 11546-2024")</f>
        <v/>
      </c>
      <c r="T1103">
        <f>HYPERLINK("https://klasma.github.io/Logging_2280/kartor/A 11546-2024 karta.png", "A 11546-2024")</f>
        <v/>
      </c>
      <c r="V1103">
        <f>HYPERLINK("https://klasma.github.io/Logging_2280/klagomål/A 11546-2024 FSC-klagomål.docx", "A 11546-2024")</f>
        <v/>
      </c>
      <c r="W1103">
        <f>HYPERLINK("https://klasma.github.io/Logging_2280/klagomålsmail/A 11546-2024 FSC-klagomål mail.docx", "A 11546-2024")</f>
        <v/>
      </c>
      <c r="X1103">
        <f>HYPERLINK("https://klasma.github.io/Logging_2280/tillsyn/A 11546-2024 tillsynsbegäran.docx", "A 11546-2024")</f>
        <v/>
      </c>
      <c r="Y1103">
        <f>HYPERLINK("https://klasma.github.io/Logging_2280/tillsynsmail/A 11546-2024 tillsynsbegäran mail.docx", "A 11546-2024")</f>
        <v/>
      </c>
    </row>
    <row r="1104" ht="15" customHeight="1">
      <c r="A1104" t="inlineStr">
        <is>
          <t>A 21708-2022</t>
        </is>
      </c>
      <c r="B1104" s="1" t="n">
        <v>44707</v>
      </c>
      <c r="C1104" s="1" t="n">
        <v>46093</v>
      </c>
      <c r="D1104" t="inlineStr">
        <is>
          <t>VÄSTERNORRLANDS LÄN</t>
        </is>
      </c>
      <c r="E1104" t="inlineStr">
        <is>
          <t>SOLLEFTEÅ</t>
        </is>
      </c>
      <c r="F1104" t="inlineStr">
        <is>
          <t>SCA</t>
        </is>
      </c>
      <c r="G1104" t="n">
        <v>2.6</v>
      </c>
      <c r="H1104" t="n">
        <v>0</v>
      </c>
      <c r="I1104" t="n">
        <v>0</v>
      </c>
      <c r="J1104" t="n">
        <v>1</v>
      </c>
      <c r="K1104" t="n">
        <v>0</v>
      </c>
      <c r="L1104" t="n">
        <v>0</v>
      </c>
      <c r="M1104" t="n">
        <v>0</v>
      </c>
      <c r="N1104" t="n">
        <v>0</v>
      </c>
      <c r="O1104" t="n">
        <v>1</v>
      </c>
      <c r="P1104" t="n">
        <v>0</v>
      </c>
      <c r="Q1104" t="n">
        <v>1</v>
      </c>
      <c r="R1104" s="2" t="inlineStr">
        <is>
          <t>Lunglav</t>
        </is>
      </c>
      <c r="S1104">
        <f>HYPERLINK("https://klasma.github.io/Logging_2283/artfynd/A 21708-2022 artfynd.xlsx", "A 21708-2022")</f>
        <v/>
      </c>
      <c r="T1104">
        <f>HYPERLINK("https://klasma.github.io/Logging_2283/kartor/A 21708-2022 karta.png", "A 21708-2022")</f>
        <v/>
      </c>
      <c r="V1104">
        <f>HYPERLINK("https://klasma.github.io/Logging_2283/klagomål/A 21708-2022 FSC-klagomål.docx", "A 21708-2022")</f>
        <v/>
      </c>
      <c r="W1104">
        <f>HYPERLINK("https://klasma.github.io/Logging_2283/klagomålsmail/A 21708-2022 FSC-klagomål mail.docx", "A 21708-2022")</f>
        <v/>
      </c>
      <c r="X1104">
        <f>HYPERLINK("https://klasma.github.io/Logging_2283/tillsyn/A 21708-2022 tillsynsbegäran.docx", "A 21708-2022")</f>
        <v/>
      </c>
      <c r="Y1104">
        <f>HYPERLINK("https://klasma.github.io/Logging_2283/tillsynsmail/A 21708-2022 tillsynsbegäran mail.docx", "A 21708-2022")</f>
        <v/>
      </c>
    </row>
    <row r="1105" ht="15" customHeight="1">
      <c r="A1105" t="inlineStr">
        <is>
          <t>A 1058-2024</t>
        </is>
      </c>
      <c r="B1105" s="1" t="n">
        <v>45301</v>
      </c>
      <c r="C1105" s="1" t="n">
        <v>46093</v>
      </c>
      <c r="D1105" t="inlineStr">
        <is>
          <t>VÄSTERNORRLANDS LÄN</t>
        </is>
      </c>
      <c r="E1105" t="inlineStr">
        <is>
          <t>SUNDSVALL</t>
        </is>
      </c>
      <c r="F1105" t="inlineStr">
        <is>
          <t>SCA</t>
        </is>
      </c>
      <c r="G1105" t="n">
        <v>8</v>
      </c>
      <c r="H1105" t="n">
        <v>0</v>
      </c>
      <c r="I1105" t="n">
        <v>0</v>
      </c>
      <c r="J1105" t="n">
        <v>1</v>
      </c>
      <c r="K1105" t="n">
        <v>0</v>
      </c>
      <c r="L1105" t="n">
        <v>0</v>
      </c>
      <c r="M1105" t="n">
        <v>0</v>
      </c>
      <c r="N1105" t="n">
        <v>0</v>
      </c>
      <c r="O1105" t="n">
        <v>1</v>
      </c>
      <c r="P1105" t="n">
        <v>0</v>
      </c>
      <c r="Q1105" t="n">
        <v>1</v>
      </c>
      <c r="R1105" s="2" t="inlineStr">
        <is>
          <t>Garnlav</t>
        </is>
      </c>
      <c r="S1105">
        <f>HYPERLINK("https://klasma.github.io/Logging_2281/artfynd/A 1058-2024 artfynd.xlsx", "A 1058-2024")</f>
        <v/>
      </c>
      <c r="T1105">
        <f>HYPERLINK("https://klasma.github.io/Logging_2281/kartor/A 1058-2024 karta.png", "A 1058-2024")</f>
        <v/>
      </c>
      <c r="V1105">
        <f>HYPERLINK("https://klasma.github.io/Logging_2281/klagomål/A 1058-2024 FSC-klagomål.docx", "A 1058-2024")</f>
        <v/>
      </c>
      <c r="W1105">
        <f>HYPERLINK("https://klasma.github.io/Logging_2281/klagomålsmail/A 1058-2024 FSC-klagomål mail.docx", "A 1058-2024")</f>
        <v/>
      </c>
      <c r="X1105">
        <f>HYPERLINK("https://klasma.github.io/Logging_2281/tillsyn/A 1058-2024 tillsynsbegäran.docx", "A 1058-2024")</f>
        <v/>
      </c>
      <c r="Y1105">
        <f>HYPERLINK("https://klasma.github.io/Logging_2281/tillsynsmail/A 1058-2024 tillsynsbegäran mail.docx", "A 1058-2024")</f>
        <v/>
      </c>
    </row>
    <row r="1106" ht="15" customHeight="1">
      <c r="A1106" t="inlineStr">
        <is>
          <t>A 11667-2025</t>
        </is>
      </c>
      <c r="B1106" s="1" t="n">
        <v>45727.51074074074</v>
      </c>
      <c r="C1106" s="1" t="n">
        <v>46093</v>
      </c>
      <c r="D1106" t="inlineStr">
        <is>
          <t>VÄSTERNORRLANDS LÄN</t>
        </is>
      </c>
      <c r="E1106" t="inlineStr">
        <is>
          <t>SOLLEFTEÅ</t>
        </is>
      </c>
      <c r="F1106" t="inlineStr">
        <is>
          <t>SCA</t>
        </is>
      </c>
      <c r="G1106" t="n">
        <v>4.5</v>
      </c>
      <c r="H1106" t="n">
        <v>1</v>
      </c>
      <c r="I1106" t="n">
        <v>0</v>
      </c>
      <c r="J1106" t="n">
        <v>1</v>
      </c>
      <c r="K1106" t="n">
        <v>0</v>
      </c>
      <c r="L1106" t="n">
        <v>0</v>
      </c>
      <c r="M1106" t="n">
        <v>0</v>
      </c>
      <c r="N1106" t="n">
        <v>0</v>
      </c>
      <c r="O1106" t="n">
        <v>1</v>
      </c>
      <c r="P1106" t="n">
        <v>0</v>
      </c>
      <c r="Q1106" t="n">
        <v>1</v>
      </c>
      <c r="R1106" s="2" t="inlineStr">
        <is>
          <t>Järpe</t>
        </is>
      </c>
      <c r="S1106">
        <f>HYPERLINK("https://klasma.github.io/Logging_2283/artfynd/A 11667-2025 artfynd.xlsx", "A 11667-2025")</f>
        <v/>
      </c>
      <c r="T1106">
        <f>HYPERLINK("https://klasma.github.io/Logging_2283/kartor/A 11667-2025 karta.png", "A 11667-2025")</f>
        <v/>
      </c>
      <c r="V1106">
        <f>HYPERLINK("https://klasma.github.io/Logging_2283/klagomål/A 11667-2025 FSC-klagomål.docx", "A 11667-2025")</f>
        <v/>
      </c>
      <c r="W1106">
        <f>HYPERLINK("https://klasma.github.io/Logging_2283/klagomålsmail/A 11667-2025 FSC-klagomål mail.docx", "A 11667-2025")</f>
        <v/>
      </c>
      <c r="X1106">
        <f>HYPERLINK("https://klasma.github.io/Logging_2283/tillsyn/A 11667-2025 tillsynsbegäran.docx", "A 11667-2025")</f>
        <v/>
      </c>
      <c r="Y1106">
        <f>HYPERLINK("https://klasma.github.io/Logging_2283/tillsynsmail/A 11667-2025 tillsynsbegäran mail.docx", "A 11667-2025")</f>
        <v/>
      </c>
      <c r="Z1106">
        <f>HYPERLINK("https://klasma.github.io/Logging_2283/fåglar/A 11667-2025 prioriterade fågelarter.docx", "A 11667-2025")</f>
        <v/>
      </c>
    </row>
    <row r="1107" ht="15" customHeight="1">
      <c r="A1107" t="inlineStr">
        <is>
          <t>A 52515-2024</t>
        </is>
      </c>
      <c r="B1107" s="1" t="n">
        <v>45609</v>
      </c>
      <c r="C1107" s="1" t="n">
        <v>46093</v>
      </c>
      <c r="D1107" t="inlineStr">
        <is>
          <t>VÄSTERNORRLANDS LÄN</t>
        </is>
      </c>
      <c r="E1107" t="inlineStr">
        <is>
          <t>SUNDSVALL</t>
        </is>
      </c>
      <c r="G1107" t="n">
        <v>2.4</v>
      </c>
      <c r="H1107" t="n">
        <v>0</v>
      </c>
      <c r="I1107" t="n">
        <v>1</v>
      </c>
      <c r="J1107" t="n">
        <v>0</v>
      </c>
      <c r="K1107" t="n">
        <v>0</v>
      </c>
      <c r="L1107" t="n">
        <v>0</v>
      </c>
      <c r="M1107" t="n">
        <v>0</v>
      </c>
      <c r="N1107" t="n">
        <v>0</v>
      </c>
      <c r="O1107" t="n">
        <v>0</v>
      </c>
      <c r="P1107" t="n">
        <v>0</v>
      </c>
      <c r="Q1107" t="n">
        <v>1</v>
      </c>
      <c r="R1107" s="2" t="inlineStr">
        <is>
          <t>Tibast</t>
        </is>
      </c>
      <c r="S1107">
        <f>HYPERLINK("https://klasma.github.io/Logging_2281/artfynd/A 52515-2024 artfynd.xlsx", "A 52515-2024")</f>
        <v/>
      </c>
      <c r="T1107">
        <f>HYPERLINK("https://klasma.github.io/Logging_2281/kartor/A 52515-2024 karta.png", "A 52515-2024")</f>
        <v/>
      </c>
      <c r="V1107">
        <f>HYPERLINK("https://klasma.github.io/Logging_2281/klagomål/A 52515-2024 FSC-klagomål.docx", "A 52515-2024")</f>
        <v/>
      </c>
      <c r="W1107">
        <f>HYPERLINK("https://klasma.github.io/Logging_2281/klagomålsmail/A 52515-2024 FSC-klagomål mail.docx", "A 52515-2024")</f>
        <v/>
      </c>
      <c r="X1107">
        <f>HYPERLINK("https://klasma.github.io/Logging_2281/tillsyn/A 52515-2024 tillsynsbegäran.docx", "A 52515-2024")</f>
        <v/>
      </c>
      <c r="Y1107">
        <f>HYPERLINK("https://klasma.github.io/Logging_2281/tillsynsmail/A 52515-2024 tillsynsbegäran mail.docx", "A 52515-2024")</f>
        <v/>
      </c>
    </row>
    <row r="1108" ht="15" customHeight="1">
      <c r="A1108" t="inlineStr">
        <is>
          <t>A 49626-2025</t>
        </is>
      </c>
      <c r="B1108" s="1" t="n">
        <v>45939.59484953704</v>
      </c>
      <c r="C1108" s="1" t="n">
        <v>46093</v>
      </c>
      <c r="D1108" t="inlineStr">
        <is>
          <t>VÄSTERNORRLANDS LÄN</t>
        </is>
      </c>
      <c r="E1108" t="inlineStr">
        <is>
          <t>SUNDSVALL</t>
        </is>
      </c>
      <c r="G1108" t="n">
        <v>4</v>
      </c>
      <c r="H1108" t="n">
        <v>0</v>
      </c>
      <c r="I1108" t="n">
        <v>0</v>
      </c>
      <c r="J1108" t="n">
        <v>1</v>
      </c>
      <c r="K1108" t="n">
        <v>0</v>
      </c>
      <c r="L1108" t="n">
        <v>0</v>
      </c>
      <c r="M1108" t="n">
        <v>0</v>
      </c>
      <c r="N1108" t="n">
        <v>0</v>
      </c>
      <c r="O1108" t="n">
        <v>1</v>
      </c>
      <c r="P1108" t="n">
        <v>0</v>
      </c>
      <c r="Q1108" t="n">
        <v>1</v>
      </c>
      <c r="R1108" s="2" t="inlineStr">
        <is>
          <t>Garnlav</t>
        </is>
      </c>
      <c r="S1108">
        <f>HYPERLINK("https://klasma.github.io/Logging_2281/artfynd/A 49626-2025 artfynd.xlsx", "A 49626-2025")</f>
        <v/>
      </c>
      <c r="T1108">
        <f>HYPERLINK("https://klasma.github.io/Logging_2281/kartor/A 49626-2025 karta.png", "A 49626-2025")</f>
        <v/>
      </c>
      <c r="V1108">
        <f>HYPERLINK("https://klasma.github.io/Logging_2281/klagomål/A 49626-2025 FSC-klagomål.docx", "A 49626-2025")</f>
        <v/>
      </c>
      <c r="W1108">
        <f>HYPERLINK("https://klasma.github.io/Logging_2281/klagomålsmail/A 49626-2025 FSC-klagomål mail.docx", "A 49626-2025")</f>
        <v/>
      </c>
      <c r="X1108">
        <f>HYPERLINK("https://klasma.github.io/Logging_2281/tillsyn/A 49626-2025 tillsynsbegäran.docx", "A 49626-2025")</f>
        <v/>
      </c>
      <c r="Y1108">
        <f>HYPERLINK("https://klasma.github.io/Logging_2281/tillsynsmail/A 49626-2025 tillsynsbegäran mail.docx", "A 49626-2025")</f>
        <v/>
      </c>
    </row>
    <row r="1109" ht="15" customHeight="1">
      <c r="A1109" t="inlineStr">
        <is>
          <t>A 17331-2021</t>
        </is>
      </c>
      <c r="B1109" s="1" t="n">
        <v>44298</v>
      </c>
      <c r="C1109" s="1" t="n">
        <v>46093</v>
      </c>
      <c r="D1109" t="inlineStr">
        <is>
          <t>VÄSTERNORRLANDS LÄN</t>
        </is>
      </c>
      <c r="E1109" t="inlineStr">
        <is>
          <t>SUNDSVALL</t>
        </is>
      </c>
      <c r="G1109" t="n">
        <v>3.7</v>
      </c>
      <c r="H1109" t="n">
        <v>0</v>
      </c>
      <c r="I1109" t="n">
        <v>0</v>
      </c>
      <c r="J1109" t="n">
        <v>1</v>
      </c>
      <c r="K1109" t="n">
        <v>0</v>
      </c>
      <c r="L1109" t="n">
        <v>0</v>
      </c>
      <c r="M1109" t="n">
        <v>0</v>
      </c>
      <c r="N1109" t="n">
        <v>0</v>
      </c>
      <c r="O1109" t="n">
        <v>1</v>
      </c>
      <c r="P1109" t="n">
        <v>0</v>
      </c>
      <c r="Q1109" t="n">
        <v>1</v>
      </c>
      <c r="R1109" s="2" t="inlineStr">
        <is>
          <t>Myskmåra</t>
        </is>
      </c>
      <c r="S1109">
        <f>HYPERLINK("https://klasma.github.io/Logging_2281/artfynd/A 17331-2021 artfynd.xlsx", "A 17331-2021")</f>
        <v/>
      </c>
      <c r="T1109">
        <f>HYPERLINK("https://klasma.github.io/Logging_2281/kartor/A 17331-2021 karta.png", "A 17331-2021")</f>
        <v/>
      </c>
      <c r="V1109">
        <f>HYPERLINK("https://klasma.github.io/Logging_2281/klagomål/A 17331-2021 FSC-klagomål.docx", "A 17331-2021")</f>
        <v/>
      </c>
      <c r="W1109">
        <f>HYPERLINK("https://klasma.github.io/Logging_2281/klagomålsmail/A 17331-2021 FSC-klagomål mail.docx", "A 17331-2021")</f>
        <v/>
      </c>
      <c r="X1109">
        <f>HYPERLINK("https://klasma.github.io/Logging_2281/tillsyn/A 17331-2021 tillsynsbegäran.docx", "A 17331-2021")</f>
        <v/>
      </c>
      <c r="Y1109">
        <f>HYPERLINK("https://klasma.github.io/Logging_2281/tillsynsmail/A 17331-2021 tillsynsbegäran mail.docx", "A 17331-2021")</f>
        <v/>
      </c>
    </row>
    <row r="1110" ht="15" customHeight="1">
      <c r="A1110" t="inlineStr">
        <is>
          <t>A 17333-2021</t>
        </is>
      </c>
      <c r="B1110" s="1" t="n">
        <v>44298</v>
      </c>
      <c r="C1110" s="1" t="n">
        <v>46093</v>
      </c>
      <c r="D1110" t="inlineStr">
        <is>
          <t>VÄSTERNORRLANDS LÄN</t>
        </is>
      </c>
      <c r="E1110" t="inlineStr">
        <is>
          <t>SUNDSVALL</t>
        </is>
      </c>
      <c r="G1110" t="n">
        <v>6.7</v>
      </c>
      <c r="H1110" t="n">
        <v>1</v>
      </c>
      <c r="I1110" t="n">
        <v>0</v>
      </c>
      <c r="J1110" t="n">
        <v>1</v>
      </c>
      <c r="K1110" t="n">
        <v>0</v>
      </c>
      <c r="L1110" t="n">
        <v>0</v>
      </c>
      <c r="M1110" t="n">
        <v>0</v>
      </c>
      <c r="N1110" t="n">
        <v>0</v>
      </c>
      <c r="O1110" t="n">
        <v>1</v>
      </c>
      <c r="P1110" t="n">
        <v>0</v>
      </c>
      <c r="Q1110" t="n">
        <v>1</v>
      </c>
      <c r="R1110" s="2" t="inlineStr">
        <is>
          <t>Mindre hackspett</t>
        </is>
      </c>
      <c r="S1110">
        <f>HYPERLINK("https://klasma.github.io/Logging_2281/artfynd/A 17333-2021 artfynd.xlsx", "A 17333-2021")</f>
        <v/>
      </c>
      <c r="T1110">
        <f>HYPERLINK("https://klasma.github.io/Logging_2281/kartor/A 17333-2021 karta.png", "A 17333-2021")</f>
        <v/>
      </c>
      <c r="V1110">
        <f>HYPERLINK("https://klasma.github.io/Logging_2281/klagomål/A 17333-2021 FSC-klagomål.docx", "A 17333-2021")</f>
        <v/>
      </c>
      <c r="W1110">
        <f>HYPERLINK("https://klasma.github.io/Logging_2281/klagomålsmail/A 17333-2021 FSC-klagomål mail.docx", "A 17333-2021")</f>
        <v/>
      </c>
      <c r="X1110">
        <f>HYPERLINK("https://klasma.github.io/Logging_2281/tillsyn/A 17333-2021 tillsynsbegäran.docx", "A 17333-2021")</f>
        <v/>
      </c>
      <c r="Y1110">
        <f>HYPERLINK("https://klasma.github.io/Logging_2281/tillsynsmail/A 17333-2021 tillsynsbegäran mail.docx", "A 17333-2021")</f>
        <v/>
      </c>
      <c r="Z1110">
        <f>HYPERLINK("https://klasma.github.io/Logging_2281/fåglar/A 17333-2021 prioriterade fågelarter.docx", "A 17333-2021")</f>
        <v/>
      </c>
    </row>
    <row r="1111" ht="15" customHeight="1">
      <c r="A1111" t="inlineStr">
        <is>
          <t>A 58470-2023</t>
        </is>
      </c>
      <c r="B1111" s="1" t="n">
        <v>45250</v>
      </c>
      <c r="C1111" s="1" t="n">
        <v>46093</v>
      </c>
      <c r="D1111" t="inlineStr">
        <is>
          <t>VÄSTERNORRLANDS LÄN</t>
        </is>
      </c>
      <c r="E1111" t="inlineStr">
        <is>
          <t>SUNDSVALL</t>
        </is>
      </c>
      <c r="F1111" t="inlineStr">
        <is>
          <t>SCA</t>
        </is>
      </c>
      <c r="G1111" t="n">
        <v>3.7</v>
      </c>
      <c r="H1111" t="n">
        <v>0</v>
      </c>
      <c r="I1111" t="n">
        <v>0</v>
      </c>
      <c r="J1111" t="n">
        <v>1</v>
      </c>
      <c r="K1111" t="n">
        <v>0</v>
      </c>
      <c r="L1111" t="n">
        <v>0</v>
      </c>
      <c r="M1111" t="n">
        <v>0</v>
      </c>
      <c r="N1111" t="n">
        <v>0</v>
      </c>
      <c r="O1111" t="n">
        <v>1</v>
      </c>
      <c r="P1111" t="n">
        <v>0</v>
      </c>
      <c r="Q1111" t="n">
        <v>1</v>
      </c>
      <c r="R1111" s="2" t="inlineStr">
        <is>
          <t>Granticka</t>
        </is>
      </c>
      <c r="S1111">
        <f>HYPERLINK("https://klasma.github.io/Logging_2281/artfynd/A 58470-2023 artfynd.xlsx", "A 58470-2023")</f>
        <v/>
      </c>
      <c r="T1111">
        <f>HYPERLINK("https://klasma.github.io/Logging_2281/kartor/A 58470-2023 karta.png", "A 58470-2023")</f>
        <v/>
      </c>
      <c r="V1111">
        <f>HYPERLINK("https://klasma.github.io/Logging_2281/klagomål/A 58470-2023 FSC-klagomål.docx", "A 58470-2023")</f>
        <v/>
      </c>
      <c r="W1111">
        <f>HYPERLINK("https://klasma.github.io/Logging_2281/klagomålsmail/A 58470-2023 FSC-klagomål mail.docx", "A 58470-2023")</f>
        <v/>
      </c>
      <c r="X1111">
        <f>HYPERLINK("https://klasma.github.io/Logging_2281/tillsyn/A 58470-2023 tillsynsbegäran.docx", "A 58470-2023")</f>
        <v/>
      </c>
      <c r="Y1111">
        <f>HYPERLINK("https://klasma.github.io/Logging_2281/tillsynsmail/A 58470-2023 tillsynsbegäran mail.docx", "A 58470-2023")</f>
        <v/>
      </c>
    </row>
    <row r="1112" ht="15" customHeight="1">
      <c r="A1112" t="inlineStr">
        <is>
          <t>A 49554-2025</t>
        </is>
      </c>
      <c r="B1112" s="1" t="n">
        <v>45939.44833333333</v>
      </c>
      <c r="C1112" s="1" t="n">
        <v>46093</v>
      </c>
      <c r="D1112" t="inlineStr">
        <is>
          <t>VÄSTERNORRLANDS LÄN</t>
        </is>
      </c>
      <c r="E1112" t="inlineStr">
        <is>
          <t>SUNDSVALL</t>
        </is>
      </c>
      <c r="G1112" t="n">
        <v>4.9</v>
      </c>
      <c r="H1112" t="n">
        <v>0</v>
      </c>
      <c r="I1112" t="n">
        <v>0</v>
      </c>
      <c r="J1112" t="n">
        <v>1</v>
      </c>
      <c r="K1112" t="n">
        <v>0</v>
      </c>
      <c r="L1112" t="n">
        <v>0</v>
      </c>
      <c r="M1112" t="n">
        <v>0</v>
      </c>
      <c r="N1112" t="n">
        <v>0</v>
      </c>
      <c r="O1112" t="n">
        <v>1</v>
      </c>
      <c r="P1112" t="n">
        <v>0</v>
      </c>
      <c r="Q1112" t="n">
        <v>1</v>
      </c>
      <c r="R1112" s="2" t="inlineStr">
        <is>
          <t>Lunglav</t>
        </is>
      </c>
      <c r="S1112">
        <f>HYPERLINK("https://klasma.github.io/Logging_2281/artfynd/A 49554-2025 artfynd.xlsx", "A 49554-2025")</f>
        <v/>
      </c>
      <c r="T1112">
        <f>HYPERLINK("https://klasma.github.io/Logging_2281/kartor/A 49554-2025 karta.png", "A 49554-2025")</f>
        <v/>
      </c>
      <c r="V1112">
        <f>HYPERLINK("https://klasma.github.io/Logging_2281/klagomål/A 49554-2025 FSC-klagomål.docx", "A 49554-2025")</f>
        <v/>
      </c>
      <c r="W1112">
        <f>HYPERLINK("https://klasma.github.io/Logging_2281/klagomålsmail/A 49554-2025 FSC-klagomål mail.docx", "A 49554-2025")</f>
        <v/>
      </c>
      <c r="X1112">
        <f>HYPERLINK("https://klasma.github.io/Logging_2281/tillsyn/A 49554-2025 tillsynsbegäran.docx", "A 49554-2025")</f>
        <v/>
      </c>
      <c r="Y1112">
        <f>HYPERLINK("https://klasma.github.io/Logging_2281/tillsynsmail/A 49554-2025 tillsynsbegäran mail.docx", "A 49554-2025")</f>
        <v/>
      </c>
    </row>
    <row r="1113" ht="15" customHeight="1">
      <c r="A1113" t="inlineStr">
        <is>
          <t>A 49651-2025</t>
        </is>
      </c>
      <c r="B1113" s="1" t="n">
        <v>45939.62670138889</v>
      </c>
      <c r="C1113" s="1" t="n">
        <v>46093</v>
      </c>
      <c r="D1113" t="inlineStr">
        <is>
          <t>VÄSTERNORRLANDS LÄN</t>
        </is>
      </c>
      <c r="E1113" t="inlineStr">
        <is>
          <t>SOLLEFTEÅ</t>
        </is>
      </c>
      <c r="G1113" t="n">
        <v>1.5</v>
      </c>
      <c r="H1113" t="n">
        <v>1</v>
      </c>
      <c r="I1113" t="n">
        <v>0</v>
      </c>
      <c r="J1113" t="n">
        <v>1</v>
      </c>
      <c r="K1113" t="n">
        <v>0</v>
      </c>
      <c r="L1113" t="n">
        <v>0</v>
      </c>
      <c r="M1113" t="n">
        <v>0</v>
      </c>
      <c r="N1113" t="n">
        <v>0</v>
      </c>
      <c r="O1113" t="n">
        <v>1</v>
      </c>
      <c r="P1113" t="n">
        <v>0</v>
      </c>
      <c r="Q1113" t="n">
        <v>1</v>
      </c>
      <c r="R1113" s="2" t="inlineStr">
        <is>
          <t>Järpe</t>
        </is>
      </c>
      <c r="S1113">
        <f>HYPERLINK("https://klasma.github.io/Logging_2283/artfynd/A 49651-2025 artfynd.xlsx", "A 49651-2025")</f>
        <v/>
      </c>
      <c r="T1113">
        <f>HYPERLINK("https://klasma.github.io/Logging_2283/kartor/A 49651-2025 karta.png", "A 49651-2025")</f>
        <v/>
      </c>
      <c r="V1113">
        <f>HYPERLINK("https://klasma.github.io/Logging_2283/klagomål/A 49651-2025 FSC-klagomål.docx", "A 49651-2025")</f>
        <v/>
      </c>
      <c r="W1113">
        <f>HYPERLINK("https://klasma.github.io/Logging_2283/klagomålsmail/A 49651-2025 FSC-klagomål mail.docx", "A 49651-2025")</f>
        <v/>
      </c>
      <c r="X1113">
        <f>HYPERLINK("https://klasma.github.io/Logging_2283/tillsyn/A 49651-2025 tillsynsbegäran.docx", "A 49651-2025")</f>
        <v/>
      </c>
      <c r="Y1113">
        <f>HYPERLINK("https://klasma.github.io/Logging_2283/tillsynsmail/A 49651-2025 tillsynsbegäran mail.docx", "A 49651-2025")</f>
        <v/>
      </c>
      <c r="Z1113">
        <f>HYPERLINK("https://klasma.github.io/Logging_2283/fåglar/A 49651-2025 prioriterade fågelarter.docx", "A 49651-2025")</f>
        <v/>
      </c>
    </row>
    <row r="1114" ht="15" customHeight="1">
      <c r="A1114" t="inlineStr">
        <is>
          <t>A 18694-2025</t>
        </is>
      </c>
      <c r="B1114" s="1" t="n">
        <v>45763.61552083334</v>
      </c>
      <c r="C1114" s="1" t="n">
        <v>46093</v>
      </c>
      <c r="D1114" t="inlineStr">
        <is>
          <t>VÄSTERNORRLANDS LÄN</t>
        </is>
      </c>
      <c r="E1114" t="inlineStr">
        <is>
          <t>HÄRNÖSAND</t>
        </is>
      </c>
      <c r="F1114" t="inlineStr">
        <is>
          <t>SCA</t>
        </is>
      </c>
      <c r="G1114" t="n">
        <v>10.5</v>
      </c>
      <c r="H1114" t="n">
        <v>1</v>
      </c>
      <c r="I1114" t="n">
        <v>0</v>
      </c>
      <c r="J1114" t="n">
        <v>1</v>
      </c>
      <c r="K1114" t="n">
        <v>0</v>
      </c>
      <c r="L1114" t="n">
        <v>0</v>
      </c>
      <c r="M1114" t="n">
        <v>0</v>
      </c>
      <c r="N1114" t="n">
        <v>0</v>
      </c>
      <c r="O1114" t="n">
        <v>1</v>
      </c>
      <c r="P1114" t="n">
        <v>0</v>
      </c>
      <c r="Q1114" t="n">
        <v>1</v>
      </c>
      <c r="R1114" s="2" t="inlineStr">
        <is>
          <t>Tretåig hackspett</t>
        </is>
      </c>
      <c r="S1114">
        <f>HYPERLINK("https://klasma.github.io/Logging_2280/artfynd/A 18694-2025 artfynd.xlsx", "A 18694-2025")</f>
        <v/>
      </c>
      <c r="T1114">
        <f>HYPERLINK("https://klasma.github.io/Logging_2280/kartor/A 18694-2025 karta.png", "A 18694-2025")</f>
        <v/>
      </c>
      <c r="V1114">
        <f>HYPERLINK("https://klasma.github.io/Logging_2280/klagomål/A 18694-2025 FSC-klagomål.docx", "A 18694-2025")</f>
        <v/>
      </c>
      <c r="W1114">
        <f>HYPERLINK("https://klasma.github.io/Logging_2280/klagomålsmail/A 18694-2025 FSC-klagomål mail.docx", "A 18694-2025")</f>
        <v/>
      </c>
      <c r="X1114">
        <f>HYPERLINK("https://klasma.github.io/Logging_2280/tillsyn/A 18694-2025 tillsynsbegäran.docx", "A 18694-2025")</f>
        <v/>
      </c>
      <c r="Y1114">
        <f>HYPERLINK("https://klasma.github.io/Logging_2280/tillsynsmail/A 18694-2025 tillsynsbegäran mail.docx", "A 18694-2025")</f>
        <v/>
      </c>
      <c r="Z1114">
        <f>HYPERLINK("https://klasma.github.io/Logging_2280/fåglar/A 18694-2025 prioriterade fågelarter.docx", "A 18694-2025")</f>
        <v/>
      </c>
    </row>
    <row r="1115" ht="15" customHeight="1">
      <c r="A1115" t="inlineStr">
        <is>
          <t>A 18697-2025</t>
        </is>
      </c>
      <c r="B1115" s="1" t="n">
        <v>45763.61592592593</v>
      </c>
      <c r="C1115" s="1" t="n">
        <v>46093</v>
      </c>
      <c r="D1115" t="inlineStr">
        <is>
          <t>VÄSTERNORRLANDS LÄN</t>
        </is>
      </c>
      <c r="E1115" t="inlineStr">
        <is>
          <t>SOLLEFTEÅ</t>
        </is>
      </c>
      <c r="F1115" t="inlineStr">
        <is>
          <t>SCA</t>
        </is>
      </c>
      <c r="G1115" t="n">
        <v>6.4</v>
      </c>
      <c r="H1115" t="n">
        <v>0</v>
      </c>
      <c r="I1115" t="n">
        <v>0</v>
      </c>
      <c r="J1115" t="n">
        <v>1</v>
      </c>
      <c r="K1115" t="n">
        <v>0</v>
      </c>
      <c r="L1115" t="n">
        <v>0</v>
      </c>
      <c r="M1115" t="n">
        <v>0</v>
      </c>
      <c r="N1115" t="n">
        <v>0</v>
      </c>
      <c r="O1115" t="n">
        <v>1</v>
      </c>
      <c r="P1115" t="n">
        <v>0</v>
      </c>
      <c r="Q1115" t="n">
        <v>1</v>
      </c>
      <c r="R1115" s="2" t="inlineStr">
        <is>
          <t>Kolflarnlav</t>
        </is>
      </c>
      <c r="S1115">
        <f>HYPERLINK("https://klasma.github.io/Logging_2283/artfynd/A 18697-2025 artfynd.xlsx", "A 18697-2025")</f>
        <v/>
      </c>
      <c r="T1115">
        <f>HYPERLINK("https://klasma.github.io/Logging_2283/kartor/A 18697-2025 karta.png", "A 18697-2025")</f>
        <v/>
      </c>
      <c r="V1115">
        <f>HYPERLINK("https://klasma.github.io/Logging_2283/klagomål/A 18697-2025 FSC-klagomål.docx", "A 18697-2025")</f>
        <v/>
      </c>
      <c r="W1115">
        <f>HYPERLINK("https://klasma.github.io/Logging_2283/klagomålsmail/A 18697-2025 FSC-klagomål mail.docx", "A 18697-2025")</f>
        <v/>
      </c>
      <c r="X1115">
        <f>HYPERLINK("https://klasma.github.io/Logging_2283/tillsyn/A 18697-2025 tillsynsbegäran.docx", "A 18697-2025")</f>
        <v/>
      </c>
      <c r="Y1115">
        <f>HYPERLINK("https://klasma.github.io/Logging_2283/tillsynsmail/A 18697-2025 tillsynsbegäran mail.docx", "A 18697-2025")</f>
        <v/>
      </c>
    </row>
    <row r="1116" ht="15" customHeight="1">
      <c r="A1116" t="inlineStr">
        <is>
          <t>A 53300-2024</t>
        </is>
      </c>
      <c r="B1116" s="1" t="n">
        <v>45614.38832175926</v>
      </c>
      <c r="C1116" s="1" t="n">
        <v>46093</v>
      </c>
      <c r="D1116" t="inlineStr">
        <is>
          <t>VÄSTERNORRLANDS LÄN</t>
        </is>
      </c>
      <c r="E1116" t="inlineStr">
        <is>
          <t>TIMRÅ</t>
        </is>
      </c>
      <c r="F1116" t="inlineStr">
        <is>
          <t>SCA</t>
        </is>
      </c>
      <c r="G1116" t="n">
        <v>1</v>
      </c>
      <c r="H1116" t="n">
        <v>0</v>
      </c>
      <c r="I1116" t="n">
        <v>0</v>
      </c>
      <c r="J1116" t="n">
        <v>1</v>
      </c>
      <c r="K1116" t="n">
        <v>0</v>
      </c>
      <c r="L1116" t="n">
        <v>0</v>
      </c>
      <c r="M1116" t="n">
        <v>0</v>
      </c>
      <c r="N1116" t="n">
        <v>0</v>
      </c>
      <c r="O1116" t="n">
        <v>1</v>
      </c>
      <c r="P1116" t="n">
        <v>0</v>
      </c>
      <c r="Q1116" t="n">
        <v>1</v>
      </c>
      <c r="R1116" s="2" t="inlineStr">
        <is>
          <t>Garnlav</t>
        </is>
      </c>
      <c r="S1116">
        <f>HYPERLINK("https://klasma.github.io/Logging_2262/artfynd/A 53300-2024 artfynd.xlsx", "A 53300-2024")</f>
        <v/>
      </c>
      <c r="T1116">
        <f>HYPERLINK("https://klasma.github.io/Logging_2262/kartor/A 53300-2024 karta.png", "A 53300-2024")</f>
        <v/>
      </c>
      <c r="V1116">
        <f>HYPERLINK("https://klasma.github.io/Logging_2262/klagomål/A 53300-2024 FSC-klagomål.docx", "A 53300-2024")</f>
        <v/>
      </c>
      <c r="W1116">
        <f>HYPERLINK("https://klasma.github.io/Logging_2262/klagomålsmail/A 53300-2024 FSC-klagomål mail.docx", "A 53300-2024")</f>
        <v/>
      </c>
      <c r="X1116">
        <f>HYPERLINK("https://klasma.github.io/Logging_2262/tillsyn/A 53300-2024 tillsynsbegäran.docx", "A 53300-2024")</f>
        <v/>
      </c>
      <c r="Y1116">
        <f>HYPERLINK("https://klasma.github.io/Logging_2262/tillsynsmail/A 53300-2024 tillsynsbegäran mail.docx", "A 53300-2024")</f>
        <v/>
      </c>
    </row>
    <row r="1117" ht="15" customHeight="1">
      <c r="A1117" t="inlineStr">
        <is>
          <t>A 51434-2024</t>
        </is>
      </c>
      <c r="B1117" s="1" t="n">
        <v>45604.47024305556</v>
      </c>
      <c r="C1117" s="1" t="n">
        <v>46093</v>
      </c>
      <c r="D1117" t="inlineStr">
        <is>
          <t>VÄSTERNORRLANDS LÄN</t>
        </is>
      </c>
      <c r="E1117" t="inlineStr">
        <is>
          <t>SUNDSVALL</t>
        </is>
      </c>
      <c r="G1117" t="n">
        <v>5.4</v>
      </c>
      <c r="H1117" t="n">
        <v>1</v>
      </c>
      <c r="I1117" t="n">
        <v>0</v>
      </c>
      <c r="J1117" t="n">
        <v>0</v>
      </c>
      <c r="K1117" t="n">
        <v>0</v>
      </c>
      <c r="L1117" t="n">
        <v>0</v>
      </c>
      <c r="M1117" t="n">
        <v>0</v>
      </c>
      <c r="N1117" t="n">
        <v>0</v>
      </c>
      <c r="O1117" t="n">
        <v>0</v>
      </c>
      <c r="P1117" t="n">
        <v>0</v>
      </c>
      <c r="Q1117" t="n">
        <v>1</v>
      </c>
      <c r="R1117" s="2" t="inlineStr">
        <is>
          <t>Fläcknycklar</t>
        </is>
      </c>
      <c r="S1117">
        <f>HYPERLINK("https://klasma.github.io/Logging_2281/artfynd/A 51434-2024 artfynd.xlsx", "A 51434-2024")</f>
        <v/>
      </c>
      <c r="T1117">
        <f>HYPERLINK("https://klasma.github.io/Logging_2281/kartor/A 51434-2024 karta.png", "A 51434-2024")</f>
        <v/>
      </c>
      <c r="V1117">
        <f>HYPERLINK("https://klasma.github.io/Logging_2281/klagomål/A 51434-2024 FSC-klagomål.docx", "A 51434-2024")</f>
        <v/>
      </c>
      <c r="W1117">
        <f>HYPERLINK("https://klasma.github.io/Logging_2281/klagomålsmail/A 51434-2024 FSC-klagomål mail.docx", "A 51434-2024")</f>
        <v/>
      </c>
      <c r="X1117">
        <f>HYPERLINK("https://klasma.github.io/Logging_2281/tillsyn/A 51434-2024 tillsynsbegäran.docx", "A 51434-2024")</f>
        <v/>
      </c>
      <c r="Y1117">
        <f>HYPERLINK("https://klasma.github.io/Logging_2281/tillsynsmail/A 51434-2024 tillsynsbegäran mail.docx", "A 51434-2024")</f>
        <v/>
      </c>
    </row>
    <row r="1118" ht="15" customHeight="1">
      <c r="A1118" t="inlineStr">
        <is>
          <t>A 50213-2025</t>
        </is>
      </c>
      <c r="B1118" s="1" t="n">
        <v>45943.67806712963</v>
      </c>
      <c r="C1118" s="1" t="n">
        <v>46093</v>
      </c>
      <c r="D1118" t="inlineStr">
        <is>
          <t>VÄSTERNORRLANDS LÄN</t>
        </is>
      </c>
      <c r="E1118" t="inlineStr">
        <is>
          <t>SUNDSVALL</t>
        </is>
      </c>
      <c r="F1118" t="inlineStr">
        <is>
          <t>SCA</t>
        </is>
      </c>
      <c r="G1118" t="n">
        <v>4</v>
      </c>
      <c r="H1118" t="n">
        <v>1</v>
      </c>
      <c r="I1118" t="n">
        <v>0</v>
      </c>
      <c r="J1118" t="n">
        <v>0</v>
      </c>
      <c r="K1118" t="n">
        <v>0</v>
      </c>
      <c r="L1118" t="n">
        <v>0</v>
      </c>
      <c r="M1118" t="n">
        <v>0</v>
      </c>
      <c r="N1118" t="n">
        <v>0</v>
      </c>
      <c r="O1118" t="n">
        <v>0</v>
      </c>
      <c r="P1118" t="n">
        <v>0</v>
      </c>
      <c r="Q1118" t="n">
        <v>1</v>
      </c>
      <c r="R1118" s="2" t="inlineStr">
        <is>
          <t>Nattviol</t>
        </is>
      </c>
      <c r="S1118">
        <f>HYPERLINK("https://klasma.github.io/Logging_2281/artfynd/A 50213-2025 artfynd.xlsx", "A 50213-2025")</f>
        <v/>
      </c>
      <c r="T1118">
        <f>HYPERLINK("https://klasma.github.io/Logging_2281/kartor/A 50213-2025 karta.png", "A 50213-2025")</f>
        <v/>
      </c>
      <c r="V1118">
        <f>HYPERLINK("https://klasma.github.io/Logging_2281/klagomål/A 50213-2025 FSC-klagomål.docx", "A 50213-2025")</f>
        <v/>
      </c>
      <c r="W1118">
        <f>HYPERLINK("https://klasma.github.io/Logging_2281/klagomålsmail/A 50213-2025 FSC-klagomål mail.docx", "A 50213-2025")</f>
        <v/>
      </c>
      <c r="X1118">
        <f>HYPERLINK("https://klasma.github.io/Logging_2281/tillsyn/A 50213-2025 tillsynsbegäran.docx", "A 50213-2025")</f>
        <v/>
      </c>
      <c r="Y1118">
        <f>HYPERLINK("https://klasma.github.io/Logging_2281/tillsynsmail/A 50213-2025 tillsynsbegäran mail.docx", "A 50213-2025")</f>
        <v/>
      </c>
    </row>
    <row r="1119" ht="15" customHeight="1">
      <c r="A1119" t="inlineStr">
        <is>
          <t>A 50460-2025</t>
        </is>
      </c>
      <c r="B1119" s="1" t="n">
        <v>45945.345</v>
      </c>
      <c r="C1119" s="1" t="n">
        <v>46093</v>
      </c>
      <c r="D1119" t="inlineStr">
        <is>
          <t>VÄSTERNORRLANDS LÄN</t>
        </is>
      </c>
      <c r="E1119" t="inlineStr">
        <is>
          <t>ÅNGE</t>
        </is>
      </c>
      <c r="F1119" t="inlineStr">
        <is>
          <t>SCA</t>
        </is>
      </c>
      <c r="G1119" t="n">
        <v>2.3</v>
      </c>
      <c r="H1119" t="n">
        <v>0</v>
      </c>
      <c r="I1119" t="n">
        <v>0</v>
      </c>
      <c r="J1119" t="n">
        <v>1</v>
      </c>
      <c r="K1119" t="n">
        <v>0</v>
      </c>
      <c r="L1119" t="n">
        <v>0</v>
      </c>
      <c r="M1119" t="n">
        <v>0</v>
      </c>
      <c r="N1119" t="n">
        <v>0</v>
      </c>
      <c r="O1119" t="n">
        <v>1</v>
      </c>
      <c r="P1119" t="n">
        <v>0</v>
      </c>
      <c r="Q1119" t="n">
        <v>1</v>
      </c>
      <c r="R1119" s="2" t="inlineStr">
        <is>
          <t>Skogshare</t>
        </is>
      </c>
      <c r="S1119">
        <f>HYPERLINK("https://klasma.github.io/Logging_2260/artfynd/A 50460-2025 artfynd.xlsx", "A 50460-2025")</f>
        <v/>
      </c>
      <c r="T1119">
        <f>HYPERLINK("https://klasma.github.io/Logging_2260/kartor/A 50460-2025 karta.png", "A 50460-2025")</f>
        <v/>
      </c>
      <c r="V1119">
        <f>HYPERLINK("https://klasma.github.io/Logging_2260/klagomål/A 50460-2025 FSC-klagomål.docx", "A 50460-2025")</f>
        <v/>
      </c>
      <c r="W1119">
        <f>HYPERLINK("https://klasma.github.io/Logging_2260/klagomålsmail/A 50460-2025 FSC-klagomål mail.docx", "A 50460-2025")</f>
        <v/>
      </c>
      <c r="X1119">
        <f>HYPERLINK("https://klasma.github.io/Logging_2260/tillsyn/A 50460-2025 tillsynsbegäran.docx", "A 50460-2025")</f>
        <v/>
      </c>
      <c r="Y1119">
        <f>HYPERLINK("https://klasma.github.io/Logging_2260/tillsynsmail/A 50460-2025 tillsynsbegäran mail.docx", "A 50460-2025")</f>
        <v/>
      </c>
    </row>
    <row r="1120" ht="15" customHeight="1">
      <c r="A1120" t="inlineStr">
        <is>
          <t>A 57272-2024</t>
        </is>
      </c>
      <c r="B1120" s="1" t="n">
        <v>45629.57380787037</v>
      </c>
      <c r="C1120" s="1" t="n">
        <v>46093</v>
      </c>
      <c r="D1120" t="inlineStr">
        <is>
          <t>VÄSTERNORRLANDS LÄN</t>
        </is>
      </c>
      <c r="E1120" t="inlineStr">
        <is>
          <t>ÅNGE</t>
        </is>
      </c>
      <c r="F1120" t="inlineStr">
        <is>
          <t>SCA</t>
        </is>
      </c>
      <c r="G1120" t="n">
        <v>5.4</v>
      </c>
      <c r="H1120" t="n">
        <v>0</v>
      </c>
      <c r="I1120" t="n">
        <v>0</v>
      </c>
      <c r="J1120" t="n">
        <v>1</v>
      </c>
      <c r="K1120" t="n">
        <v>0</v>
      </c>
      <c r="L1120" t="n">
        <v>0</v>
      </c>
      <c r="M1120" t="n">
        <v>0</v>
      </c>
      <c r="N1120" t="n">
        <v>0</v>
      </c>
      <c r="O1120" t="n">
        <v>1</v>
      </c>
      <c r="P1120" t="n">
        <v>0</v>
      </c>
      <c r="Q1120" t="n">
        <v>1</v>
      </c>
      <c r="R1120" s="2" t="inlineStr">
        <is>
          <t>Orange taggsvamp</t>
        </is>
      </c>
      <c r="S1120">
        <f>HYPERLINK("https://klasma.github.io/Logging_2260/artfynd/A 57272-2024 artfynd.xlsx", "A 57272-2024")</f>
        <v/>
      </c>
      <c r="T1120">
        <f>HYPERLINK("https://klasma.github.io/Logging_2260/kartor/A 57272-2024 karta.png", "A 57272-2024")</f>
        <v/>
      </c>
      <c r="V1120">
        <f>HYPERLINK("https://klasma.github.io/Logging_2260/klagomål/A 57272-2024 FSC-klagomål.docx", "A 57272-2024")</f>
        <v/>
      </c>
      <c r="W1120">
        <f>HYPERLINK("https://klasma.github.io/Logging_2260/klagomålsmail/A 57272-2024 FSC-klagomål mail.docx", "A 57272-2024")</f>
        <v/>
      </c>
      <c r="X1120">
        <f>HYPERLINK("https://klasma.github.io/Logging_2260/tillsyn/A 57272-2024 tillsynsbegäran.docx", "A 57272-2024")</f>
        <v/>
      </c>
      <c r="Y1120">
        <f>HYPERLINK("https://klasma.github.io/Logging_2260/tillsynsmail/A 57272-2024 tillsynsbegäran mail.docx", "A 57272-2024")</f>
        <v/>
      </c>
    </row>
    <row r="1121" ht="15" customHeight="1">
      <c r="A1121" t="inlineStr">
        <is>
          <t>A 37593-2023</t>
        </is>
      </c>
      <c r="B1121" s="1" t="n">
        <v>45156</v>
      </c>
      <c r="C1121" s="1" t="n">
        <v>46093</v>
      </c>
      <c r="D1121" t="inlineStr">
        <is>
          <t>VÄSTERNORRLANDS LÄN</t>
        </is>
      </c>
      <c r="E1121" t="inlineStr">
        <is>
          <t>KRAMFORS</t>
        </is>
      </c>
      <c r="G1121" t="n">
        <v>1.7</v>
      </c>
      <c r="H1121" t="n">
        <v>0</v>
      </c>
      <c r="I1121" t="n">
        <v>0</v>
      </c>
      <c r="J1121" t="n">
        <v>1</v>
      </c>
      <c r="K1121" t="n">
        <v>0</v>
      </c>
      <c r="L1121" t="n">
        <v>0</v>
      </c>
      <c r="M1121" t="n">
        <v>0</v>
      </c>
      <c r="N1121" t="n">
        <v>0</v>
      </c>
      <c r="O1121" t="n">
        <v>1</v>
      </c>
      <c r="P1121" t="n">
        <v>0</v>
      </c>
      <c r="Q1121" t="n">
        <v>1</v>
      </c>
      <c r="R1121" s="2" t="inlineStr">
        <is>
          <t>Ullticka</t>
        </is>
      </c>
      <c r="S1121">
        <f>HYPERLINK("https://klasma.github.io/Logging_2282/artfynd/A 37593-2023 artfynd.xlsx", "A 37593-2023")</f>
        <v/>
      </c>
      <c r="T1121">
        <f>HYPERLINK("https://klasma.github.io/Logging_2282/kartor/A 37593-2023 karta.png", "A 37593-2023")</f>
        <v/>
      </c>
      <c r="V1121">
        <f>HYPERLINK("https://klasma.github.io/Logging_2282/klagomål/A 37593-2023 FSC-klagomål.docx", "A 37593-2023")</f>
        <v/>
      </c>
      <c r="W1121">
        <f>HYPERLINK("https://klasma.github.io/Logging_2282/klagomålsmail/A 37593-2023 FSC-klagomål mail.docx", "A 37593-2023")</f>
        <v/>
      </c>
      <c r="X1121">
        <f>HYPERLINK("https://klasma.github.io/Logging_2282/tillsyn/A 37593-2023 tillsynsbegäran.docx", "A 37593-2023")</f>
        <v/>
      </c>
      <c r="Y1121">
        <f>HYPERLINK("https://klasma.github.io/Logging_2282/tillsynsmail/A 37593-2023 tillsynsbegäran mail.docx", "A 37593-2023")</f>
        <v/>
      </c>
    </row>
    <row r="1122" ht="15" customHeight="1">
      <c r="A1122" t="inlineStr">
        <is>
          <t>A 58464-2023</t>
        </is>
      </c>
      <c r="B1122" s="1" t="n">
        <v>45250</v>
      </c>
      <c r="C1122" s="1" t="n">
        <v>46093</v>
      </c>
      <c r="D1122" t="inlineStr">
        <is>
          <t>VÄSTERNORRLANDS LÄN</t>
        </is>
      </c>
      <c r="E1122" t="inlineStr">
        <is>
          <t>TIMRÅ</t>
        </is>
      </c>
      <c r="F1122" t="inlineStr">
        <is>
          <t>SCA</t>
        </is>
      </c>
      <c r="G1122" t="n">
        <v>6.5</v>
      </c>
      <c r="H1122" t="n">
        <v>0</v>
      </c>
      <c r="I1122" t="n">
        <v>0</v>
      </c>
      <c r="J1122" t="n">
        <v>1</v>
      </c>
      <c r="K1122" t="n">
        <v>0</v>
      </c>
      <c r="L1122" t="n">
        <v>0</v>
      </c>
      <c r="M1122" t="n">
        <v>0</v>
      </c>
      <c r="N1122" t="n">
        <v>0</v>
      </c>
      <c r="O1122" t="n">
        <v>1</v>
      </c>
      <c r="P1122" t="n">
        <v>0</v>
      </c>
      <c r="Q1122" t="n">
        <v>1</v>
      </c>
      <c r="R1122" s="2" t="inlineStr">
        <is>
          <t>Granticka</t>
        </is>
      </c>
      <c r="S1122">
        <f>HYPERLINK("https://klasma.github.io/Logging_2262/artfynd/A 58464-2023 artfynd.xlsx", "A 58464-2023")</f>
        <v/>
      </c>
      <c r="T1122">
        <f>HYPERLINK("https://klasma.github.io/Logging_2262/kartor/A 58464-2023 karta.png", "A 58464-2023")</f>
        <v/>
      </c>
      <c r="V1122">
        <f>HYPERLINK("https://klasma.github.io/Logging_2262/klagomål/A 58464-2023 FSC-klagomål.docx", "A 58464-2023")</f>
        <v/>
      </c>
      <c r="W1122">
        <f>HYPERLINK("https://klasma.github.io/Logging_2262/klagomålsmail/A 58464-2023 FSC-klagomål mail.docx", "A 58464-2023")</f>
        <v/>
      </c>
      <c r="X1122">
        <f>HYPERLINK("https://klasma.github.io/Logging_2262/tillsyn/A 58464-2023 tillsynsbegäran.docx", "A 58464-2023")</f>
        <v/>
      </c>
      <c r="Y1122">
        <f>HYPERLINK("https://klasma.github.io/Logging_2262/tillsynsmail/A 58464-2023 tillsynsbegäran mail.docx", "A 58464-2023")</f>
        <v/>
      </c>
    </row>
    <row r="1123" ht="15" customHeight="1">
      <c r="A1123" t="inlineStr">
        <is>
          <t>A 49251-2025</t>
        </is>
      </c>
      <c r="B1123" s="1" t="n">
        <v>45938</v>
      </c>
      <c r="C1123" s="1" t="n">
        <v>46093</v>
      </c>
      <c r="D1123" t="inlineStr">
        <is>
          <t>VÄSTERNORRLANDS LÄN</t>
        </is>
      </c>
      <c r="E1123" t="inlineStr">
        <is>
          <t>SOLLEFTEÅ</t>
        </is>
      </c>
      <c r="F1123" t="inlineStr">
        <is>
          <t>SCA</t>
        </is>
      </c>
      <c r="G1123" t="n">
        <v>2.5</v>
      </c>
      <c r="H1123" t="n">
        <v>0</v>
      </c>
      <c r="I1123" t="n">
        <v>0</v>
      </c>
      <c r="J1123" t="n">
        <v>1</v>
      </c>
      <c r="K1123" t="n">
        <v>0</v>
      </c>
      <c r="L1123" t="n">
        <v>0</v>
      </c>
      <c r="M1123" t="n">
        <v>0</v>
      </c>
      <c r="N1123" t="n">
        <v>0</v>
      </c>
      <c r="O1123" t="n">
        <v>1</v>
      </c>
      <c r="P1123" t="n">
        <v>0</v>
      </c>
      <c r="Q1123" t="n">
        <v>1</v>
      </c>
      <c r="R1123" s="2" t="inlineStr">
        <is>
          <t>Granticka</t>
        </is>
      </c>
      <c r="S1123">
        <f>HYPERLINK("https://klasma.github.io/Logging_2283/artfynd/A 49251-2025 artfynd.xlsx", "A 49251-2025")</f>
        <v/>
      </c>
      <c r="T1123">
        <f>HYPERLINK("https://klasma.github.io/Logging_2283/kartor/A 49251-2025 karta.png", "A 49251-2025")</f>
        <v/>
      </c>
      <c r="V1123">
        <f>HYPERLINK("https://klasma.github.io/Logging_2283/klagomål/A 49251-2025 FSC-klagomål.docx", "A 49251-2025")</f>
        <v/>
      </c>
      <c r="W1123">
        <f>HYPERLINK("https://klasma.github.io/Logging_2283/klagomålsmail/A 49251-2025 FSC-klagomål mail.docx", "A 49251-2025")</f>
        <v/>
      </c>
      <c r="X1123">
        <f>HYPERLINK("https://klasma.github.io/Logging_2283/tillsyn/A 49251-2025 tillsynsbegäran.docx", "A 49251-2025")</f>
        <v/>
      </c>
      <c r="Y1123">
        <f>HYPERLINK("https://klasma.github.io/Logging_2283/tillsynsmail/A 49251-2025 tillsynsbegäran mail.docx", "A 49251-2025")</f>
        <v/>
      </c>
    </row>
    <row r="1124" ht="15" customHeight="1">
      <c r="A1124" t="inlineStr">
        <is>
          <t>A 50987-2025</t>
        </is>
      </c>
      <c r="B1124" s="1" t="n">
        <v>45947.34546296296</v>
      </c>
      <c r="C1124" s="1" t="n">
        <v>46093</v>
      </c>
      <c r="D1124" t="inlineStr">
        <is>
          <t>VÄSTERNORRLANDS LÄN</t>
        </is>
      </c>
      <c r="E1124" t="inlineStr">
        <is>
          <t>SUNDSVALL</t>
        </is>
      </c>
      <c r="G1124" t="n">
        <v>2.9</v>
      </c>
      <c r="H1124" t="n">
        <v>0</v>
      </c>
      <c r="I1124" t="n">
        <v>0</v>
      </c>
      <c r="J1124" t="n">
        <v>1</v>
      </c>
      <c r="K1124" t="n">
        <v>0</v>
      </c>
      <c r="L1124" t="n">
        <v>0</v>
      </c>
      <c r="M1124" t="n">
        <v>0</v>
      </c>
      <c r="N1124" t="n">
        <v>0</v>
      </c>
      <c r="O1124" t="n">
        <v>1</v>
      </c>
      <c r="P1124" t="n">
        <v>0</v>
      </c>
      <c r="Q1124" t="n">
        <v>1</v>
      </c>
      <c r="R1124" s="2" t="inlineStr">
        <is>
          <t>Lunglav</t>
        </is>
      </c>
      <c r="S1124">
        <f>HYPERLINK("https://klasma.github.io/Logging_2281/artfynd/A 50987-2025 artfynd.xlsx", "A 50987-2025")</f>
        <v/>
      </c>
      <c r="T1124">
        <f>HYPERLINK("https://klasma.github.io/Logging_2281/kartor/A 50987-2025 karta.png", "A 50987-2025")</f>
        <v/>
      </c>
      <c r="V1124">
        <f>HYPERLINK("https://klasma.github.io/Logging_2281/klagomål/A 50987-2025 FSC-klagomål.docx", "A 50987-2025")</f>
        <v/>
      </c>
      <c r="W1124">
        <f>HYPERLINK("https://klasma.github.io/Logging_2281/klagomålsmail/A 50987-2025 FSC-klagomål mail.docx", "A 50987-2025")</f>
        <v/>
      </c>
      <c r="X1124">
        <f>HYPERLINK("https://klasma.github.io/Logging_2281/tillsyn/A 50987-2025 tillsynsbegäran.docx", "A 50987-2025")</f>
        <v/>
      </c>
      <c r="Y1124">
        <f>HYPERLINK("https://klasma.github.io/Logging_2281/tillsynsmail/A 50987-2025 tillsynsbegäran mail.docx", "A 50987-2025")</f>
        <v/>
      </c>
    </row>
    <row r="1125" ht="15" customHeight="1">
      <c r="A1125" t="inlineStr">
        <is>
          <t>A 54894-2024</t>
        </is>
      </c>
      <c r="B1125" s="1" t="n">
        <v>45618.63611111111</v>
      </c>
      <c r="C1125" s="1" t="n">
        <v>46093</v>
      </c>
      <c r="D1125" t="inlineStr">
        <is>
          <t>VÄSTERNORRLANDS LÄN</t>
        </is>
      </c>
      <c r="E1125" t="inlineStr">
        <is>
          <t>HÄRNÖSAND</t>
        </is>
      </c>
      <c r="F1125" t="inlineStr">
        <is>
          <t>SCA</t>
        </is>
      </c>
      <c r="G1125" t="n">
        <v>2.5</v>
      </c>
      <c r="H1125" t="n">
        <v>0</v>
      </c>
      <c r="I1125" t="n">
        <v>0</v>
      </c>
      <c r="J1125" t="n">
        <v>1</v>
      </c>
      <c r="K1125" t="n">
        <v>0</v>
      </c>
      <c r="L1125" t="n">
        <v>0</v>
      </c>
      <c r="M1125" t="n">
        <v>0</v>
      </c>
      <c r="N1125" t="n">
        <v>0</v>
      </c>
      <c r="O1125" t="n">
        <v>1</v>
      </c>
      <c r="P1125" t="n">
        <v>0</v>
      </c>
      <c r="Q1125" t="n">
        <v>1</v>
      </c>
      <c r="R1125" s="2" t="inlineStr">
        <is>
          <t>Garnlav</t>
        </is>
      </c>
      <c r="S1125">
        <f>HYPERLINK("https://klasma.github.io/Logging_2280/artfynd/A 54894-2024 artfynd.xlsx", "A 54894-2024")</f>
        <v/>
      </c>
      <c r="T1125">
        <f>HYPERLINK("https://klasma.github.io/Logging_2280/kartor/A 54894-2024 karta.png", "A 54894-2024")</f>
        <v/>
      </c>
      <c r="V1125">
        <f>HYPERLINK("https://klasma.github.io/Logging_2280/klagomål/A 54894-2024 FSC-klagomål.docx", "A 54894-2024")</f>
        <v/>
      </c>
      <c r="W1125">
        <f>HYPERLINK("https://klasma.github.io/Logging_2280/klagomålsmail/A 54894-2024 FSC-klagomål mail.docx", "A 54894-2024")</f>
        <v/>
      </c>
      <c r="X1125">
        <f>HYPERLINK("https://klasma.github.io/Logging_2280/tillsyn/A 54894-2024 tillsynsbegäran.docx", "A 54894-2024")</f>
        <v/>
      </c>
      <c r="Y1125">
        <f>HYPERLINK("https://klasma.github.io/Logging_2280/tillsynsmail/A 54894-2024 tillsynsbegäran mail.docx", "A 54894-2024")</f>
        <v/>
      </c>
    </row>
    <row r="1126" ht="15" customHeight="1">
      <c r="A1126" t="inlineStr">
        <is>
          <t>A 37564-2025</t>
        </is>
      </c>
      <c r="B1126" s="1" t="n">
        <v>45880</v>
      </c>
      <c r="C1126" s="1" t="n">
        <v>46093</v>
      </c>
      <c r="D1126" t="inlineStr">
        <is>
          <t>VÄSTERNORRLANDS LÄN</t>
        </is>
      </c>
      <c r="E1126" t="inlineStr">
        <is>
          <t>SUNDSVALL</t>
        </is>
      </c>
      <c r="G1126" t="n">
        <v>4</v>
      </c>
      <c r="H1126" t="n">
        <v>1</v>
      </c>
      <c r="I1126" t="n">
        <v>1</v>
      </c>
      <c r="J1126" t="n">
        <v>0</v>
      </c>
      <c r="K1126" t="n">
        <v>0</v>
      </c>
      <c r="L1126" t="n">
        <v>0</v>
      </c>
      <c r="M1126" t="n">
        <v>0</v>
      </c>
      <c r="N1126" t="n">
        <v>0</v>
      </c>
      <c r="O1126" t="n">
        <v>0</v>
      </c>
      <c r="P1126" t="n">
        <v>0</v>
      </c>
      <c r="Q1126" t="n">
        <v>1</v>
      </c>
      <c r="R1126" s="2" t="inlineStr">
        <is>
          <t>Korallrot</t>
        </is>
      </c>
      <c r="S1126">
        <f>HYPERLINK("https://klasma.github.io/Logging_2281/artfynd/A 37564-2025 artfynd.xlsx", "A 37564-2025")</f>
        <v/>
      </c>
      <c r="T1126">
        <f>HYPERLINK("https://klasma.github.io/Logging_2281/kartor/A 37564-2025 karta.png", "A 37564-2025")</f>
        <v/>
      </c>
      <c r="V1126">
        <f>HYPERLINK("https://klasma.github.io/Logging_2281/klagomål/A 37564-2025 FSC-klagomål.docx", "A 37564-2025")</f>
        <v/>
      </c>
      <c r="W1126">
        <f>HYPERLINK("https://klasma.github.io/Logging_2281/klagomålsmail/A 37564-2025 FSC-klagomål mail.docx", "A 37564-2025")</f>
        <v/>
      </c>
      <c r="X1126">
        <f>HYPERLINK("https://klasma.github.io/Logging_2281/tillsyn/A 37564-2025 tillsynsbegäran.docx", "A 37564-2025")</f>
        <v/>
      </c>
      <c r="Y1126">
        <f>HYPERLINK("https://klasma.github.io/Logging_2281/tillsynsmail/A 37564-2025 tillsynsbegäran mail.docx", "A 37564-2025")</f>
        <v/>
      </c>
    </row>
    <row r="1127" ht="15" customHeight="1">
      <c r="A1127" t="inlineStr">
        <is>
          <t>A 4501-2023</t>
        </is>
      </c>
      <c r="B1127" s="1" t="n">
        <v>44952</v>
      </c>
      <c r="C1127" s="1" t="n">
        <v>46093</v>
      </c>
      <c r="D1127" t="inlineStr">
        <is>
          <t>VÄSTERNORRLANDS LÄN</t>
        </is>
      </c>
      <c r="E1127" t="inlineStr">
        <is>
          <t>SOLLEFTEÅ</t>
        </is>
      </c>
      <c r="F1127" t="inlineStr">
        <is>
          <t>Övriga Aktiebolag</t>
        </is>
      </c>
      <c r="G1127" t="n">
        <v>5.4</v>
      </c>
      <c r="H1127" t="n">
        <v>1</v>
      </c>
      <c r="I1127" t="n">
        <v>0</v>
      </c>
      <c r="J1127" t="n">
        <v>1</v>
      </c>
      <c r="K1127" t="n">
        <v>0</v>
      </c>
      <c r="L1127" t="n">
        <v>0</v>
      </c>
      <c r="M1127" t="n">
        <v>0</v>
      </c>
      <c r="N1127" t="n">
        <v>0</v>
      </c>
      <c r="O1127" t="n">
        <v>1</v>
      </c>
      <c r="P1127" t="n">
        <v>0</v>
      </c>
      <c r="Q1127" t="n">
        <v>1</v>
      </c>
      <c r="R1127" s="2" t="inlineStr">
        <is>
          <t>Talltita</t>
        </is>
      </c>
      <c r="S1127">
        <f>HYPERLINK("https://klasma.github.io/Logging_2283/artfynd/A 4501-2023 artfynd.xlsx", "A 4501-2023")</f>
        <v/>
      </c>
      <c r="T1127">
        <f>HYPERLINK("https://klasma.github.io/Logging_2283/kartor/A 4501-2023 karta.png", "A 4501-2023")</f>
        <v/>
      </c>
      <c r="V1127">
        <f>HYPERLINK("https://klasma.github.io/Logging_2283/klagomål/A 4501-2023 FSC-klagomål.docx", "A 4501-2023")</f>
        <v/>
      </c>
      <c r="W1127">
        <f>HYPERLINK("https://klasma.github.io/Logging_2283/klagomålsmail/A 4501-2023 FSC-klagomål mail.docx", "A 4501-2023")</f>
        <v/>
      </c>
      <c r="X1127">
        <f>HYPERLINK("https://klasma.github.io/Logging_2283/tillsyn/A 4501-2023 tillsynsbegäran.docx", "A 4501-2023")</f>
        <v/>
      </c>
      <c r="Y1127">
        <f>HYPERLINK("https://klasma.github.io/Logging_2283/tillsynsmail/A 4501-2023 tillsynsbegäran mail.docx", "A 4501-2023")</f>
        <v/>
      </c>
      <c r="Z1127">
        <f>HYPERLINK("https://klasma.github.io/Logging_2283/fåglar/A 4501-2023 prioriterade fågelarter.docx", "A 4501-2023")</f>
        <v/>
      </c>
    </row>
    <row r="1128" ht="15" customHeight="1">
      <c r="A1128" t="inlineStr">
        <is>
          <t>A 12058-2023</t>
        </is>
      </c>
      <c r="B1128" s="1" t="n">
        <v>44995</v>
      </c>
      <c r="C1128" s="1" t="n">
        <v>46093</v>
      </c>
      <c r="D1128" t="inlineStr">
        <is>
          <t>VÄSTERNORRLANDS LÄN</t>
        </is>
      </c>
      <c r="E1128" t="inlineStr">
        <is>
          <t>SUNDSVALL</t>
        </is>
      </c>
      <c r="F1128" t="inlineStr">
        <is>
          <t>SCA</t>
        </is>
      </c>
      <c r="G1128" t="n">
        <v>4</v>
      </c>
      <c r="H1128" t="n">
        <v>1</v>
      </c>
      <c r="I1128" t="n">
        <v>0</v>
      </c>
      <c r="J1128" t="n">
        <v>1</v>
      </c>
      <c r="K1128" t="n">
        <v>0</v>
      </c>
      <c r="L1128" t="n">
        <v>0</v>
      </c>
      <c r="M1128" t="n">
        <v>0</v>
      </c>
      <c r="N1128" t="n">
        <v>0</v>
      </c>
      <c r="O1128" t="n">
        <v>1</v>
      </c>
      <c r="P1128" t="n">
        <v>0</v>
      </c>
      <c r="Q1128" t="n">
        <v>1</v>
      </c>
      <c r="R1128" s="2" t="inlineStr">
        <is>
          <t>Fiskmås</t>
        </is>
      </c>
      <c r="S1128">
        <f>HYPERLINK("https://klasma.github.io/Logging_2281/artfynd/A 12058-2023 artfynd.xlsx", "A 12058-2023")</f>
        <v/>
      </c>
      <c r="T1128">
        <f>HYPERLINK("https://klasma.github.io/Logging_2281/kartor/A 12058-2023 karta.png", "A 12058-2023")</f>
        <v/>
      </c>
      <c r="V1128">
        <f>HYPERLINK("https://klasma.github.io/Logging_2281/klagomål/A 12058-2023 FSC-klagomål.docx", "A 12058-2023")</f>
        <v/>
      </c>
      <c r="W1128">
        <f>HYPERLINK("https://klasma.github.io/Logging_2281/klagomålsmail/A 12058-2023 FSC-klagomål mail.docx", "A 12058-2023")</f>
        <v/>
      </c>
      <c r="X1128">
        <f>HYPERLINK("https://klasma.github.io/Logging_2281/tillsyn/A 12058-2023 tillsynsbegäran.docx", "A 12058-2023")</f>
        <v/>
      </c>
      <c r="Y1128">
        <f>HYPERLINK("https://klasma.github.io/Logging_2281/tillsynsmail/A 12058-2023 tillsynsbegäran mail.docx", "A 12058-2023")</f>
        <v/>
      </c>
    </row>
    <row r="1129" ht="15" customHeight="1">
      <c r="A1129" t="inlineStr">
        <is>
          <t>A 51586-2025</t>
        </is>
      </c>
      <c r="B1129" s="1" t="n">
        <v>45951.34594907407</v>
      </c>
      <c r="C1129" s="1" t="n">
        <v>46093</v>
      </c>
      <c r="D1129" t="inlineStr">
        <is>
          <t>VÄSTERNORRLANDS LÄN</t>
        </is>
      </c>
      <c r="E1129" t="inlineStr">
        <is>
          <t>SUNDSVALL</t>
        </is>
      </c>
      <c r="G1129" t="n">
        <v>2.1</v>
      </c>
      <c r="H1129" t="n">
        <v>1</v>
      </c>
      <c r="I1129" t="n">
        <v>0</v>
      </c>
      <c r="J1129" t="n">
        <v>0</v>
      </c>
      <c r="K1129" t="n">
        <v>0</v>
      </c>
      <c r="L1129" t="n">
        <v>0</v>
      </c>
      <c r="M1129" t="n">
        <v>0</v>
      </c>
      <c r="N1129" t="n">
        <v>0</v>
      </c>
      <c r="O1129" t="n">
        <v>0</v>
      </c>
      <c r="P1129" t="n">
        <v>0</v>
      </c>
      <c r="Q1129" t="n">
        <v>1</v>
      </c>
      <c r="R1129" s="2" t="inlineStr">
        <is>
          <t>Nattviol</t>
        </is>
      </c>
      <c r="S1129">
        <f>HYPERLINK("https://klasma.github.io/Logging_2281/artfynd/A 51586-2025 artfynd.xlsx", "A 51586-2025")</f>
        <v/>
      </c>
      <c r="T1129">
        <f>HYPERLINK("https://klasma.github.io/Logging_2281/kartor/A 51586-2025 karta.png", "A 51586-2025")</f>
        <v/>
      </c>
      <c r="V1129">
        <f>HYPERLINK("https://klasma.github.io/Logging_2281/klagomål/A 51586-2025 FSC-klagomål.docx", "A 51586-2025")</f>
        <v/>
      </c>
      <c r="W1129">
        <f>HYPERLINK("https://klasma.github.io/Logging_2281/klagomålsmail/A 51586-2025 FSC-klagomål mail.docx", "A 51586-2025")</f>
        <v/>
      </c>
      <c r="X1129">
        <f>HYPERLINK("https://klasma.github.io/Logging_2281/tillsyn/A 51586-2025 tillsynsbegäran.docx", "A 51586-2025")</f>
        <v/>
      </c>
      <c r="Y1129">
        <f>HYPERLINK("https://klasma.github.io/Logging_2281/tillsynsmail/A 51586-2025 tillsynsbegäran mail.docx", "A 51586-2025")</f>
        <v/>
      </c>
    </row>
    <row r="1130" ht="15" customHeight="1">
      <c r="A1130" t="inlineStr">
        <is>
          <t>A 60137-2021</t>
        </is>
      </c>
      <c r="B1130" s="1" t="n">
        <v>44494</v>
      </c>
      <c r="C1130" s="1" t="n">
        <v>46093</v>
      </c>
      <c r="D1130" t="inlineStr">
        <is>
          <t>VÄSTERNORRLANDS LÄN</t>
        </is>
      </c>
      <c r="E1130" t="inlineStr">
        <is>
          <t>ÖRNSKÖLDSVIK</t>
        </is>
      </c>
      <c r="G1130" t="n">
        <v>7.1</v>
      </c>
      <c r="H1130" t="n">
        <v>0</v>
      </c>
      <c r="I1130" t="n">
        <v>0</v>
      </c>
      <c r="J1130" t="n">
        <v>1</v>
      </c>
      <c r="K1130" t="n">
        <v>0</v>
      </c>
      <c r="L1130" t="n">
        <v>0</v>
      </c>
      <c r="M1130" t="n">
        <v>0</v>
      </c>
      <c r="N1130" t="n">
        <v>0</v>
      </c>
      <c r="O1130" t="n">
        <v>1</v>
      </c>
      <c r="P1130" t="n">
        <v>0</v>
      </c>
      <c r="Q1130" t="n">
        <v>1</v>
      </c>
      <c r="R1130" s="2" t="inlineStr">
        <is>
          <t>Harticka</t>
        </is>
      </c>
      <c r="S1130">
        <f>HYPERLINK("https://klasma.github.io/Logging_2284/artfynd/A 60137-2021 artfynd.xlsx", "A 60137-2021")</f>
        <v/>
      </c>
      <c r="T1130">
        <f>HYPERLINK("https://klasma.github.io/Logging_2284/kartor/A 60137-2021 karta.png", "A 60137-2021")</f>
        <v/>
      </c>
      <c r="V1130">
        <f>HYPERLINK("https://klasma.github.io/Logging_2284/klagomål/A 60137-2021 FSC-klagomål.docx", "A 60137-2021")</f>
        <v/>
      </c>
      <c r="W1130">
        <f>HYPERLINK("https://klasma.github.io/Logging_2284/klagomålsmail/A 60137-2021 FSC-klagomål mail.docx", "A 60137-2021")</f>
        <v/>
      </c>
      <c r="X1130">
        <f>HYPERLINK("https://klasma.github.io/Logging_2284/tillsyn/A 60137-2021 tillsynsbegäran.docx", "A 60137-2021")</f>
        <v/>
      </c>
      <c r="Y1130">
        <f>HYPERLINK("https://klasma.github.io/Logging_2284/tillsynsmail/A 60137-2021 tillsynsbegäran mail.docx", "A 60137-2021")</f>
        <v/>
      </c>
    </row>
    <row r="1131" ht="15" customHeight="1">
      <c r="A1131" t="inlineStr">
        <is>
          <t>A 51786-2025</t>
        </is>
      </c>
      <c r="B1131" s="1" t="n">
        <v>45951.67787037037</v>
      </c>
      <c r="C1131" s="1" t="n">
        <v>46093</v>
      </c>
      <c r="D1131" t="inlineStr">
        <is>
          <t>VÄSTERNORRLANDS LÄN</t>
        </is>
      </c>
      <c r="E1131" t="inlineStr">
        <is>
          <t>SOLLEFTEÅ</t>
        </is>
      </c>
      <c r="F1131" t="inlineStr">
        <is>
          <t>SCA</t>
        </is>
      </c>
      <c r="G1131" t="n">
        <v>19.8</v>
      </c>
      <c r="H1131" t="n">
        <v>0</v>
      </c>
      <c r="I1131" t="n">
        <v>0</v>
      </c>
      <c r="J1131" t="n">
        <v>1</v>
      </c>
      <c r="K1131" t="n">
        <v>0</v>
      </c>
      <c r="L1131" t="n">
        <v>0</v>
      </c>
      <c r="M1131" t="n">
        <v>0</v>
      </c>
      <c r="N1131" t="n">
        <v>0</v>
      </c>
      <c r="O1131" t="n">
        <v>1</v>
      </c>
      <c r="P1131" t="n">
        <v>0</v>
      </c>
      <c r="Q1131" t="n">
        <v>1</v>
      </c>
      <c r="R1131" s="2" t="inlineStr">
        <is>
          <t>Motaggsvamp</t>
        </is>
      </c>
      <c r="S1131">
        <f>HYPERLINK("https://klasma.github.io/Logging_2283/artfynd/A 51786-2025 artfynd.xlsx", "A 51786-2025")</f>
        <v/>
      </c>
      <c r="T1131">
        <f>HYPERLINK("https://klasma.github.io/Logging_2283/kartor/A 51786-2025 karta.png", "A 51786-2025")</f>
        <v/>
      </c>
      <c r="V1131">
        <f>HYPERLINK("https://klasma.github.io/Logging_2283/klagomål/A 51786-2025 FSC-klagomål.docx", "A 51786-2025")</f>
        <v/>
      </c>
      <c r="W1131">
        <f>HYPERLINK("https://klasma.github.io/Logging_2283/klagomålsmail/A 51786-2025 FSC-klagomål mail.docx", "A 51786-2025")</f>
        <v/>
      </c>
      <c r="X1131">
        <f>HYPERLINK("https://klasma.github.io/Logging_2283/tillsyn/A 51786-2025 tillsynsbegäran.docx", "A 51786-2025")</f>
        <v/>
      </c>
      <c r="Y1131">
        <f>HYPERLINK("https://klasma.github.io/Logging_2283/tillsynsmail/A 51786-2025 tillsynsbegäran mail.docx", "A 51786-2025")</f>
        <v/>
      </c>
    </row>
    <row r="1132" ht="15" customHeight="1">
      <c r="A1132" t="inlineStr">
        <is>
          <t>A 37432-2025</t>
        </is>
      </c>
      <c r="B1132" s="1" t="n">
        <v>45877.51106481482</v>
      </c>
      <c r="C1132" s="1" t="n">
        <v>46093</v>
      </c>
      <c r="D1132" t="inlineStr">
        <is>
          <t>VÄSTERNORRLANDS LÄN</t>
        </is>
      </c>
      <c r="E1132" t="inlineStr">
        <is>
          <t>ÅNGE</t>
        </is>
      </c>
      <c r="F1132" t="inlineStr">
        <is>
          <t>SCA</t>
        </is>
      </c>
      <c r="G1132" t="n">
        <v>1.2</v>
      </c>
      <c r="H1132" t="n">
        <v>1</v>
      </c>
      <c r="I1132" t="n">
        <v>1</v>
      </c>
      <c r="J1132" t="n">
        <v>0</v>
      </c>
      <c r="K1132" t="n">
        <v>0</v>
      </c>
      <c r="L1132" t="n">
        <v>0</v>
      </c>
      <c r="M1132" t="n">
        <v>0</v>
      </c>
      <c r="N1132" t="n">
        <v>0</v>
      </c>
      <c r="O1132" t="n">
        <v>0</v>
      </c>
      <c r="P1132" t="n">
        <v>0</v>
      </c>
      <c r="Q1132" t="n">
        <v>1</v>
      </c>
      <c r="R1132" s="2" t="inlineStr">
        <is>
          <t>Spindelblomster</t>
        </is>
      </c>
      <c r="S1132">
        <f>HYPERLINK("https://klasma.github.io/Logging_2260/artfynd/A 37432-2025 artfynd.xlsx", "A 37432-2025")</f>
        <v/>
      </c>
      <c r="T1132">
        <f>HYPERLINK("https://klasma.github.io/Logging_2260/kartor/A 37432-2025 karta.png", "A 37432-2025")</f>
        <v/>
      </c>
      <c r="V1132">
        <f>HYPERLINK("https://klasma.github.io/Logging_2260/klagomål/A 37432-2025 FSC-klagomål.docx", "A 37432-2025")</f>
        <v/>
      </c>
      <c r="W1132">
        <f>HYPERLINK("https://klasma.github.io/Logging_2260/klagomålsmail/A 37432-2025 FSC-klagomål mail.docx", "A 37432-2025")</f>
        <v/>
      </c>
      <c r="X1132">
        <f>HYPERLINK("https://klasma.github.io/Logging_2260/tillsyn/A 37432-2025 tillsynsbegäran.docx", "A 37432-2025")</f>
        <v/>
      </c>
      <c r="Y1132">
        <f>HYPERLINK("https://klasma.github.io/Logging_2260/tillsynsmail/A 37432-2025 tillsynsbegäran mail.docx", "A 37432-2025")</f>
        <v/>
      </c>
    </row>
    <row r="1133" ht="15" customHeight="1">
      <c r="A1133" t="inlineStr">
        <is>
          <t>A 21360-2021</t>
        </is>
      </c>
      <c r="B1133" s="1" t="n">
        <v>44320</v>
      </c>
      <c r="C1133" s="1" t="n">
        <v>46093</v>
      </c>
      <c r="D1133" t="inlineStr">
        <is>
          <t>VÄSTERNORRLANDS LÄN</t>
        </is>
      </c>
      <c r="E1133" t="inlineStr">
        <is>
          <t>SOLLEFTEÅ</t>
        </is>
      </c>
      <c r="G1133" t="n">
        <v>6.8</v>
      </c>
      <c r="H1133" t="n">
        <v>1</v>
      </c>
      <c r="I1133" t="n">
        <v>0</v>
      </c>
      <c r="J1133" t="n">
        <v>0</v>
      </c>
      <c r="K1133" t="n">
        <v>1</v>
      </c>
      <c r="L1133" t="n">
        <v>0</v>
      </c>
      <c r="M1133" t="n">
        <v>0</v>
      </c>
      <c r="N1133" t="n">
        <v>0</v>
      </c>
      <c r="O1133" t="n">
        <v>1</v>
      </c>
      <c r="P1133" t="n">
        <v>1</v>
      </c>
      <c r="Q1133" t="n">
        <v>1</v>
      </c>
      <c r="R1133" s="2" t="inlineStr">
        <is>
          <t>Knärot</t>
        </is>
      </c>
      <c r="S1133">
        <f>HYPERLINK("https://klasma.github.io/Logging_2283/artfynd/A 21360-2021 artfynd.xlsx", "A 21360-2021")</f>
        <v/>
      </c>
      <c r="T1133">
        <f>HYPERLINK("https://klasma.github.io/Logging_2283/kartor/A 21360-2021 karta.png", "A 21360-2021")</f>
        <v/>
      </c>
      <c r="U1133">
        <f>HYPERLINK("https://klasma.github.io/Logging_2283/knärot/A 21360-2021 karta knärot.png", "A 21360-2021")</f>
        <v/>
      </c>
      <c r="V1133">
        <f>HYPERLINK("https://klasma.github.io/Logging_2283/klagomål/A 21360-2021 FSC-klagomål.docx", "A 21360-2021")</f>
        <v/>
      </c>
      <c r="W1133">
        <f>HYPERLINK("https://klasma.github.io/Logging_2283/klagomålsmail/A 21360-2021 FSC-klagomål mail.docx", "A 21360-2021")</f>
        <v/>
      </c>
      <c r="X1133">
        <f>HYPERLINK("https://klasma.github.io/Logging_2283/tillsyn/A 21360-2021 tillsynsbegäran.docx", "A 21360-2021")</f>
        <v/>
      </c>
      <c r="Y1133">
        <f>HYPERLINK("https://klasma.github.io/Logging_2283/tillsynsmail/A 21360-2021 tillsynsbegäran mail.docx", "A 21360-2021")</f>
        <v/>
      </c>
    </row>
    <row r="1134" ht="15" customHeight="1">
      <c r="A1134" t="inlineStr">
        <is>
          <t>A 32160-2024</t>
        </is>
      </c>
      <c r="B1134" s="1" t="n">
        <v>45511</v>
      </c>
      <c r="C1134" s="1" t="n">
        <v>46093</v>
      </c>
      <c r="D1134" t="inlineStr">
        <is>
          <t>VÄSTERNORRLANDS LÄN</t>
        </is>
      </c>
      <c r="E1134" t="inlineStr">
        <is>
          <t>KRAMFORS</t>
        </is>
      </c>
      <c r="G1134" t="n">
        <v>0.3</v>
      </c>
      <c r="H1134" t="n">
        <v>0</v>
      </c>
      <c r="I1134" t="n">
        <v>0</v>
      </c>
      <c r="J1134" t="n">
        <v>0</v>
      </c>
      <c r="K1134" t="n">
        <v>1</v>
      </c>
      <c r="L1134" t="n">
        <v>0</v>
      </c>
      <c r="M1134" t="n">
        <v>0</v>
      </c>
      <c r="N1134" t="n">
        <v>0</v>
      </c>
      <c r="O1134" t="n">
        <v>1</v>
      </c>
      <c r="P1134" t="n">
        <v>1</v>
      </c>
      <c r="Q1134" t="n">
        <v>1</v>
      </c>
      <c r="R1134" s="2" t="inlineStr">
        <is>
          <t>Ringlav</t>
        </is>
      </c>
      <c r="S1134">
        <f>HYPERLINK("https://klasma.github.io/Logging_2282/artfynd/A 32160-2024 artfynd.xlsx", "A 32160-2024")</f>
        <v/>
      </c>
      <c r="T1134">
        <f>HYPERLINK("https://klasma.github.io/Logging_2282/kartor/A 32160-2024 karta.png", "A 32160-2024")</f>
        <v/>
      </c>
      <c r="V1134">
        <f>HYPERLINK("https://klasma.github.io/Logging_2282/klagomål/A 32160-2024 FSC-klagomål.docx", "A 32160-2024")</f>
        <v/>
      </c>
      <c r="W1134">
        <f>HYPERLINK("https://klasma.github.io/Logging_2282/klagomålsmail/A 32160-2024 FSC-klagomål mail.docx", "A 32160-2024")</f>
        <v/>
      </c>
      <c r="X1134">
        <f>HYPERLINK("https://klasma.github.io/Logging_2282/tillsyn/A 32160-2024 tillsynsbegäran.docx", "A 32160-2024")</f>
        <v/>
      </c>
      <c r="Y1134">
        <f>HYPERLINK("https://klasma.github.io/Logging_2282/tillsynsmail/A 32160-2024 tillsynsbegäran mail.docx", "A 32160-2024")</f>
        <v/>
      </c>
      <c r="Z1134">
        <f>HYPERLINK("https://klasma.github.io/Logging_2282/fåglar/A 32160-2024 prioriterade fågelarter.docx", "A 32160-2024")</f>
        <v/>
      </c>
    </row>
    <row r="1135" ht="15" customHeight="1">
      <c r="A1135" t="inlineStr">
        <is>
          <t>A 52218-2025</t>
        </is>
      </c>
      <c r="B1135" s="1" t="n">
        <v>45953.43634259259</v>
      </c>
      <c r="C1135" s="1" t="n">
        <v>46093</v>
      </c>
      <c r="D1135" t="inlineStr">
        <is>
          <t>VÄSTERNORRLANDS LÄN</t>
        </is>
      </c>
      <c r="E1135" t="inlineStr">
        <is>
          <t>SOLLEFTEÅ</t>
        </is>
      </c>
      <c r="G1135" t="n">
        <v>6.7</v>
      </c>
      <c r="H1135" t="n">
        <v>1</v>
      </c>
      <c r="I1135" t="n">
        <v>0</v>
      </c>
      <c r="J1135" t="n">
        <v>0</v>
      </c>
      <c r="K1135" t="n">
        <v>0</v>
      </c>
      <c r="L1135" t="n">
        <v>0</v>
      </c>
      <c r="M1135" t="n">
        <v>0</v>
      </c>
      <c r="N1135" t="n">
        <v>0</v>
      </c>
      <c r="O1135" t="n">
        <v>0</v>
      </c>
      <c r="P1135" t="n">
        <v>0</v>
      </c>
      <c r="Q1135" t="n">
        <v>1</v>
      </c>
      <c r="R1135" s="2" t="inlineStr">
        <is>
          <t>Revlummer</t>
        </is>
      </c>
      <c r="S1135">
        <f>HYPERLINK("https://klasma.github.io/Logging_2283/artfynd/A 52218-2025 artfynd.xlsx", "A 52218-2025")</f>
        <v/>
      </c>
      <c r="T1135">
        <f>HYPERLINK("https://klasma.github.io/Logging_2283/kartor/A 52218-2025 karta.png", "A 52218-2025")</f>
        <v/>
      </c>
      <c r="V1135">
        <f>HYPERLINK("https://klasma.github.io/Logging_2283/klagomål/A 52218-2025 FSC-klagomål.docx", "A 52218-2025")</f>
        <v/>
      </c>
      <c r="W1135">
        <f>HYPERLINK("https://klasma.github.io/Logging_2283/klagomålsmail/A 52218-2025 FSC-klagomål mail.docx", "A 52218-2025")</f>
        <v/>
      </c>
      <c r="X1135">
        <f>HYPERLINK("https://klasma.github.io/Logging_2283/tillsyn/A 52218-2025 tillsynsbegäran.docx", "A 52218-2025")</f>
        <v/>
      </c>
      <c r="Y1135">
        <f>HYPERLINK("https://klasma.github.io/Logging_2283/tillsynsmail/A 52218-2025 tillsynsbegäran mail.docx", "A 52218-2025")</f>
        <v/>
      </c>
    </row>
    <row r="1136" ht="15" customHeight="1">
      <c r="A1136" t="inlineStr">
        <is>
          <t>A 52276-2025</t>
        </is>
      </c>
      <c r="B1136" s="1" t="n">
        <v>45953.55266203704</v>
      </c>
      <c r="C1136" s="1" t="n">
        <v>46093</v>
      </c>
      <c r="D1136" t="inlineStr">
        <is>
          <t>VÄSTERNORRLANDS LÄN</t>
        </is>
      </c>
      <c r="E1136" t="inlineStr">
        <is>
          <t>TIMRÅ</t>
        </is>
      </c>
      <c r="F1136" t="inlineStr">
        <is>
          <t>SCA</t>
        </is>
      </c>
      <c r="G1136" t="n">
        <v>0.5</v>
      </c>
      <c r="H1136" t="n">
        <v>0</v>
      </c>
      <c r="I1136" t="n">
        <v>0</v>
      </c>
      <c r="J1136" t="n">
        <v>1</v>
      </c>
      <c r="K1136" t="n">
        <v>0</v>
      </c>
      <c r="L1136" t="n">
        <v>0</v>
      </c>
      <c r="M1136" t="n">
        <v>0</v>
      </c>
      <c r="N1136" t="n">
        <v>0</v>
      </c>
      <c r="O1136" t="n">
        <v>1</v>
      </c>
      <c r="P1136" t="n">
        <v>0</v>
      </c>
      <c r="Q1136" t="n">
        <v>1</v>
      </c>
      <c r="R1136" s="2" t="inlineStr">
        <is>
          <t>Ullticka</t>
        </is>
      </c>
      <c r="S1136">
        <f>HYPERLINK("https://klasma.github.io/Logging_2262/artfynd/A 52276-2025 artfynd.xlsx", "A 52276-2025")</f>
        <v/>
      </c>
      <c r="T1136">
        <f>HYPERLINK("https://klasma.github.io/Logging_2262/kartor/A 52276-2025 karta.png", "A 52276-2025")</f>
        <v/>
      </c>
      <c r="V1136">
        <f>HYPERLINK("https://klasma.github.io/Logging_2262/klagomål/A 52276-2025 FSC-klagomål.docx", "A 52276-2025")</f>
        <v/>
      </c>
      <c r="W1136">
        <f>HYPERLINK("https://klasma.github.io/Logging_2262/klagomålsmail/A 52276-2025 FSC-klagomål mail.docx", "A 52276-2025")</f>
        <v/>
      </c>
      <c r="X1136">
        <f>HYPERLINK("https://klasma.github.io/Logging_2262/tillsyn/A 52276-2025 tillsynsbegäran.docx", "A 52276-2025")</f>
        <v/>
      </c>
      <c r="Y1136">
        <f>HYPERLINK("https://klasma.github.io/Logging_2262/tillsynsmail/A 52276-2025 tillsynsbegäran mail.docx", "A 52276-2025")</f>
        <v/>
      </c>
    </row>
    <row r="1137" ht="15" customHeight="1">
      <c r="A1137" t="inlineStr">
        <is>
          <t>A 15775-2021</t>
        </is>
      </c>
      <c r="B1137" s="1" t="n">
        <v>44286</v>
      </c>
      <c r="C1137" s="1" t="n">
        <v>46093</v>
      </c>
      <c r="D1137" t="inlineStr">
        <is>
          <t>VÄSTERNORRLANDS LÄN</t>
        </is>
      </c>
      <c r="E1137" t="inlineStr">
        <is>
          <t>SUNDSVALL</t>
        </is>
      </c>
      <c r="F1137" t="inlineStr">
        <is>
          <t>Kommuner</t>
        </is>
      </c>
      <c r="G1137" t="n">
        <v>8.4</v>
      </c>
      <c r="H1137" t="n">
        <v>1</v>
      </c>
      <c r="I1137" t="n">
        <v>0</v>
      </c>
      <c r="J1137" t="n">
        <v>0</v>
      </c>
      <c r="K1137" t="n">
        <v>0</v>
      </c>
      <c r="L1137" t="n">
        <v>0</v>
      </c>
      <c r="M1137" t="n">
        <v>0</v>
      </c>
      <c r="N1137" t="n">
        <v>0</v>
      </c>
      <c r="O1137" t="n">
        <v>0</v>
      </c>
      <c r="P1137" t="n">
        <v>0</v>
      </c>
      <c r="Q1137" t="n">
        <v>1</v>
      </c>
      <c r="R1137" s="2" t="inlineStr">
        <is>
          <t>Vanlig padda</t>
        </is>
      </c>
      <c r="S1137">
        <f>HYPERLINK("https://klasma.github.io/Logging_2281/artfynd/A 15775-2021 artfynd.xlsx", "A 15775-2021")</f>
        <v/>
      </c>
      <c r="T1137">
        <f>HYPERLINK("https://klasma.github.io/Logging_2281/kartor/A 15775-2021 karta.png", "A 15775-2021")</f>
        <v/>
      </c>
      <c r="V1137">
        <f>HYPERLINK("https://klasma.github.io/Logging_2281/klagomål/A 15775-2021 FSC-klagomål.docx", "A 15775-2021")</f>
        <v/>
      </c>
      <c r="W1137">
        <f>HYPERLINK("https://klasma.github.io/Logging_2281/klagomålsmail/A 15775-2021 FSC-klagomål mail.docx", "A 15775-2021")</f>
        <v/>
      </c>
      <c r="X1137">
        <f>HYPERLINK("https://klasma.github.io/Logging_2281/tillsyn/A 15775-2021 tillsynsbegäran.docx", "A 15775-2021")</f>
        <v/>
      </c>
      <c r="Y1137">
        <f>HYPERLINK("https://klasma.github.io/Logging_2281/tillsynsmail/A 15775-2021 tillsynsbegäran mail.docx", "A 15775-2021")</f>
        <v/>
      </c>
    </row>
    <row r="1138" ht="15" customHeight="1">
      <c r="A1138" t="inlineStr">
        <is>
          <t>A 26368-2025</t>
        </is>
      </c>
      <c r="B1138" s="1" t="n">
        <v>45806</v>
      </c>
      <c r="C1138" s="1" t="n">
        <v>46093</v>
      </c>
      <c r="D1138" t="inlineStr">
        <is>
          <t>VÄSTERNORRLANDS LÄN</t>
        </is>
      </c>
      <c r="E1138" t="inlineStr">
        <is>
          <t>KRAMFORS</t>
        </is>
      </c>
      <c r="G1138" t="n">
        <v>8.199999999999999</v>
      </c>
      <c r="H1138" t="n">
        <v>1</v>
      </c>
      <c r="I1138" t="n">
        <v>0</v>
      </c>
      <c r="J1138" t="n">
        <v>1</v>
      </c>
      <c r="K1138" t="n">
        <v>0</v>
      </c>
      <c r="L1138" t="n">
        <v>0</v>
      </c>
      <c r="M1138" t="n">
        <v>0</v>
      </c>
      <c r="N1138" t="n">
        <v>0</v>
      </c>
      <c r="O1138" t="n">
        <v>1</v>
      </c>
      <c r="P1138" t="n">
        <v>0</v>
      </c>
      <c r="Q1138" t="n">
        <v>1</v>
      </c>
      <c r="R1138" s="2" t="inlineStr">
        <is>
          <t>Tretåig hackspett</t>
        </is>
      </c>
      <c r="S1138">
        <f>HYPERLINK("https://klasma.github.io/Logging_2282/artfynd/A 26368-2025 artfynd.xlsx", "A 26368-2025")</f>
        <v/>
      </c>
      <c r="T1138">
        <f>HYPERLINK("https://klasma.github.io/Logging_2282/kartor/A 26368-2025 karta.png", "A 26368-2025")</f>
        <v/>
      </c>
      <c r="V1138">
        <f>HYPERLINK("https://klasma.github.io/Logging_2282/klagomål/A 26368-2025 FSC-klagomål.docx", "A 26368-2025")</f>
        <v/>
      </c>
      <c r="W1138">
        <f>HYPERLINK("https://klasma.github.io/Logging_2282/klagomålsmail/A 26368-2025 FSC-klagomål mail.docx", "A 26368-2025")</f>
        <v/>
      </c>
      <c r="X1138">
        <f>HYPERLINK("https://klasma.github.io/Logging_2282/tillsyn/A 26368-2025 tillsynsbegäran.docx", "A 26368-2025")</f>
        <v/>
      </c>
      <c r="Y1138">
        <f>HYPERLINK("https://klasma.github.io/Logging_2282/tillsynsmail/A 26368-2025 tillsynsbegäran mail.docx", "A 26368-2025")</f>
        <v/>
      </c>
      <c r="Z1138">
        <f>HYPERLINK("https://klasma.github.io/Logging_2282/fåglar/A 26368-2025 prioriterade fågelarter.docx", "A 26368-2025")</f>
        <v/>
      </c>
    </row>
    <row r="1139" ht="15" customHeight="1">
      <c r="A1139" t="inlineStr">
        <is>
          <t>A 58162-2021</t>
        </is>
      </c>
      <c r="B1139" s="1" t="n">
        <v>44487</v>
      </c>
      <c r="C1139" s="1" t="n">
        <v>46093</v>
      </c>
      <c r="D1139" t="inlineStr">
        <is>
          <t>VÄSTERNORRLANDS LÄN</t>
        </is>
      </c>
      <c r="E1139" t="inlineStr">
        <is>
          <t>ÖRNSKÖLDSVIK</t>
        </is>
      </c>
      <c r="G1139" t="n">
        <v>4.9</v>
      </c>
      <c r="H1139" t="n">
        <v>1</v>
      </c>
      <c r="I1139" t="n">
        <v>0</v>
      </c>
      <c r="J1139" t="n">
        <v>0</v>
      </c>
      <c r="K1139" t="n">
        <v>1</v>
      </c>
      <c r="L1139" t="n">
        <v>0</v>
      </c>
      <c r="M1139" t="n">
        <v>0</v>
      </c>
      <c r="N1139" t="n">
        <v>0</v>
      </c>
      <c r="O1139" t="n">
        <v>1</v>
      </c>
      <c r="P1139" t="n">
        <v>1</v>
      </c>
      <c r="Q1139" t="n">
        <v>1</v>
      </c>
      <c r="R1139" s="2" t="inlineStr">
        <is>
          <t>Knottblomster</t>
        </is>
      </c>
      <c r="S1139">
        <f>HYPERLINK("https://klasma.github.io/Logging_2284/artfynd/A 58162-2021 artfynd.xlsx", "A 58162-2021")</f>
        <v/>
      </c>
      <c r="T1139">
        <f>HYPERLINK("https://klasma.github.io/Logging_2284/kartor/A 58162-2021 karta.png", "A 58162-2021")</f>
        <v/>
      </c>
      <c r="V1139">
        <f>HYPERLINK("https://klasma.github.io/Logging_2284/klagomål/A 58162-2021 FSC-klagomål.docx", "A 58162-2021")</f>
        <v/>
      </c>
      <c r="W1139">
        <f>HYPERLINK("https://klasma.github.io/Logging_2284/klagomålsmail/A 58162-2021 FSC-klagomål mail.docx", "A 58162-2021")</f>
        <v/>
      </c>
      <c r="X1139">
        <f>HYPERLINK("https://klasma.github.io/Logging_2284/tillsyn/A 58162-2021 tillsynsbegäran.docx", "A 58162-2021")</f>
        <v/>
      </c>
      <c r="Y1139">
        <f>HYPERLINK("https://klasma.github.io/Logging_2284/tillsynsmail/A 58162-2021 tillsynsbegäran mail.docx", "A 58162-2021")</f>
        <v/>
      </c>
    </row>
    <row r="1140" ht="15" customHeight="1">
      <c r="A1140" t="inlineStr">
        <is>
          <t>A 38206-2025</t>
        </is>
      </c>
      <c r="B1140" s="1" t="n">
        <v>45882.6987037037</v>
      </c>
      <c r="C1140" s="1" t="n">
        <v>46093</v>
      </c>
      <c r="D1140" t="inlineStr">
        <is>
          <t>VÄSTERNORRLANDS LÄN</t>
        </is>
      </c>
      <c r="E1140" t="inlineStr">
        <is>
          <t>SUNDSVALL</t>
        </is>
      </c>
      <c r="F1140" t="inlineStr">
        <is>
          <t>SCA</t>
        </is>
      </c>
      <c r="G1140" t="n">
        <v>2.1</v>
      </c>
      <c r="H1140" t="n">
        <v>0</v>
      </c>
      <c r="I1140" t="n">
        <v>1</v>
      </c>
      <c r="J1140" t="n">
        <v>0</v>
      </c>
      <c r="K1140" t="n">
        <v>0</v>
      </c>
      <c r="L1140" t="n">
        <v>0</v>
      </c>
      <c r="M1140" t="n">
        <v>0</v>
      </c>
      <c r="N1140" t="n">
        <v>0</v>
      </c>
      <c r="O1140" t="n">
        <v>0</v>
      </c>
      <c r="P1140" t="n">
        <v>0</v>
      </c>
      <c r="Q1140" t="n">
        <v>1</v>
      </c>
      <c r="R1140" s="2" t="inlineStr">
        <is>
          <t>Vedticka</t>
        </is>
      </c>
      <c r="S1140">
        <f>HYPERLINK("https://klasma.github.io/Logging_2281/artfynd/A 38206-2025 artfynd.xlsx", "A 38206-2025")</f>
        <v/>
      </c>
      <c r="T1140">
        <f>HYPERLINK("https://klasma.github.io/Logging_2281/kartor/A 38206-2025 karta.png", "A 38206-2025")</f>
        <v/>
      </c>
      <c r="V1140">
        <f>HYPERLINK("https://klasma.github.io/Logging_2281/klagomål/A 38206-2025 FSC-klagomål.docx", "A 38206-2025")</f>
        <v/>
      </c>
      <c r="W1140">
        <f>HYPERLINK("https://klasma.github.io/Logging_2281/klagomålsmail/A 38206-2025 FSC-klagomål mail.docx", "A 38206-2025")</f>
        <v/>
      </c>
      <c r="X1140">
        <f>HYPERLINK("https://klasma.github.io/Logging_2281/tillsyn/A 38206-2025 tillsynsbegäran.docx", "A 38206-2025")</f>
        <v/>
      </c>
      <c r="Y1140">
        <f>HYPERLINK("https://klasma.github.io/Logging_2281/tillsynsmail/A 38206-2025 tillsynsbegäran mail.docx", "A 38206-2025")</f>
        <v/>
      </c>
    </row>
    <row r="1141" ht="15" customHeight="1">
      <c r="A1141" t="inlineStr">
        <is>
          <t>A 31920-2023</t>
        </is>
      </c>
      <c r="B1141" s="1" t="n">
        <v>45118</v>
      </c>
      <c r="C1141" s="1" t="n">
        <v>46093</v>
      </c>
      <c r="D1141" t="inlineStr">
        <is>
          <t>VÄSTERNORRLANDS LÄN</t>
        </is>
      </c>
      <c r="E1141" t="inlineStr">
        <is>
          <t>SOLLEFTEÅ</t>
        </is>
      </c>
      <c r="F1141" t="inlineStr">
        <is>
          <t>SCA</t>
        </is>
      </c>
      <c r="G1141" t="n">
        <v>2</v>
      </c>
      <c r="H1141" t="n">
        <v>0</v>
      </c>
      <c r="I1141" t="n">
        <v>0</v>
      </c>
      <c r="J1141" t="n">
        <v>1</v>
      </c>
      <c r="K1141" t="n">
        <v>0</v>
      </c>
      <c r="L1141" t="n">
        <v>0</v>
      </c>
      <c r="M1141" t="n">
        <v>0</v>
      </c>
      <c r="N1141" t="n">
        <v>0</v>
      </c>
      <c r="O1141" t="n">
        <v>1</v>
      </c>
      <c r="P1141" t="n">
        <v>0</v>
      </c>
      <c r="Q1141" t="n">
        <v>1</v>
      </c>
      <c r="R1141" s="2" t="inlineStr">
        <is>
          <t>Ullticka</t>
        </is>
      </c>
      <c r="S1141">
        <f>HYPERLINK("https://klasma.github.io/Logging_2283/artfynd/A 31920-2023 artfynd.xlsx", "A 31920-2023")</f>
        <v/>
      </c>
      <c r="T1141">
        <f>HYPERLINK("https://klasma.github.io/Logging_2283/kartor/A 31920-2023 karta.png", "A 31920-2023")</f>
        <v/>
      </c>
      <c r="V1141">
        <f>HYPERLINK("https://klasma.github.io/Logging_2283/klagomål/A 31920-2023 FSC-klagomål.docx", "A 31920-2023")</f>
        <v/>
      </c>
      <c r="W1141">
        <f>HYPERLINK("https://klasma.github.io/Logging_2283/klagomålsmail/A 31920-2023 FSC-klagomål mail.docx", "A 31920-2023")</f>
        <v/>
      </c>
      <c r="X1141">
        <f>HYPERLINK("https://klasma.github.io/Logging_2283/tillsyn/A 31920-2023 tillsynsbegäran.docx", "A 31920-2023")</f>
        <v/>
      </c>
      <c r="Y1141">
        <f>HYPERLINK("https://klasma.github.io/Logging_2283/tillsynsmail/A 31920-2023 tillsynsbegäran mail.docx", "A 31920-2023")</f>
        <v/>
      </c>
    </row>
    <row r="1142" ht="15" customHeight="1">
      <c r="A1142" t="inlineStr">
        <is>
          <t>A 1449-2025</t>
        </is>
      </c>
      <c r="B1142" s="1" t="n">
        <v>45670.27537037037</v>
      </c>
      <c r="C1142" s="1" t="n">
        <v>46093</v>
      </c>
      <c r="D1142" t="inlineStr">
        <is>
          <t>VÄSTERNORRLANDS LÄN</t>
        </is>
      </c>
      <c r="E1142" t="inlineStr">
        <is>
          <t>ÅNGE</t>
        </is>
      </c>
      <c r="G1142" t="n">
        <v>6.3</v>
      </c>
      <c r="H1142" t="n">
        <v>0</v>
      </c>
      <c r="I1142" t="n">
        <v>1</v>
      </c>
      <c r="J1142" t="n">
        <v>0</v>
      </c>
      <c r="K1142" t="n">
        <v>0</v>
      </c>
      <c r="L1142" t="n">
        <v>0</v>
      </c>
      <c r="M1142" t="n">
        <v>0</v>
      </c>
      <c r="N1142" t="n">
        <v>0</v>
      </c>
      <c r="O1142" t="n">
        <v>0</v>
      </c>
      <c r="P1142" t="n">
        <v>0</v>
      </c>
      <c r="Q1142" t="n">
        <v>1</v>
      </c>
      <c r="R1142" s="2" t="inlineStr">
        <is>
          <t>Korallblylav</t>
        </is>
      </c>
      <c r="S1142">
        <f>HYPERLINK("https://klasma.github.io/Logging_2260/artfynd/A 1449-2025 artfynd.xlsx", "A 1449-2025")</f>
        <v/>
      </c>
      <c r="T1142">
        <f>HYPERLINK("https://klasma.github.io/Logging_2260/kartor/A 1449-2025 karta.png", "A 1449-2025")</f>
        <v/>
      </c>
      <c r="V1142">
        <f>HYPERLINK("https://klasma.github.io/Logging_2260/klagomål/A 1449-2025 FSC-klagomål.docx", "A 1449-2025")</f>
        <v/>
      </c>
      <c r="W1142">
        <f>HYPERLINK("https://klasma.github.io/Logging_2260/klagomålsmail/A 1449-2025 FSC-klagomål mail.docx", "A 1449-2025")</f>
        <v/>
      </c>
      <c r="X1142">
        <f>HYPERLINK("https://klasma.github.io/Logging_2260/tillsyn/A 1449-2025 tillsynsbegäran.docx", "A 1449-2025")</f>
        <v/>
      </c>
      <c r="Y1142">
        <f>HYPERLINK("https://klasma.github.io/Logging_2260/tillsynsmail/A 1449-2025 tillsynsbegäran mail.docx", "A 1449-2025")</f>
        <v/>
      </c>
    </row>
    <row r="1143" ht="15" customHeight="1">
      <c r="A1143" t="inlineStr">
        <is>
          <t>A 34696-2024</t>
        </is>
      </c>
      <c r="B1143" s="1" t="n">
        <v>45526</v>
      </c>
      <c r="C1143" s="1" t="n">
        <v>46093</v>
      </c>
      <c r="D1143" t="inlineStr">
        <is>
          <t>VÄSTERNORRLANDS LÄN</t>
        </is>
      </c>
      <c r="E1143" t="inlineStr">
        <is>
          <t>ÅNGE</t>
        </is>
      </c>
      <c r="G1143" t="n">
        <v>3.6</v>
      </c>
      <c r="H1143" t="n">
        <v>1</v>
      </c>
      <c r="I1143" t="n">
        <v>0</v>
      </c>
      <c r="J1143" t="n">
        <v>0</v>
      </c>
      <c r="K1143" t="n">
        <v>0</v>
      </c>
      <c r="L1143" t="n">
        <v>0</v>
      </c>
      <c r="M1143" t="n">
        <v>0</v>
      </c>
      <c r="N1143" t="n">
        <v>0</v>
      </c>
      <c r="O1143" t="n">
        <v>0</v>
      </c>
      <c r="P1143" t="n">
        <v>0</v>
      </c>
      <c r="Q1143" t="n">
        <v>1</v>
      </c>
      <c r="R1143" s="2" t="inlineStr">
        <is>
          <t>Revlummer</t>
        </is>
      </c>
      <c r="S1143">
        <f>HYPERLINK("https://klasma.github.io/Logging_2260/artfynd/A 34696-2024 artfynd.xlsx", "A 34696-2024")</f>
        <v/>
      </c>
      <c r="T1143">
        <f>HYPERLINK("https://klasma.github.io/Logging_2260/kartor/A 34696-2024 karta.png", "A 34696-2024")</f>
        <v/>
      </c>
      <c r="V1143">
        <f>HYPERLINK("https://klasma.github.io/Logging_2260/klagomål/A 34696-2024 FSC-klagomål.docx", "A 34696-2024")</f>
        <v/>
      </c>
      <c r="W1143">
        <f>HYPERLINK("https://klasma.github.io/Logging_2260/klagomålsmail/A 34696-2024 FSC-klagomål mail.docx", "A 34696-2024")</f>
        <v/>
      </c>
      <c r="X1143">
        <f>HYPERLINK("https://klasma.github.io/Logging_2260/tillsyn/A 34696-2024 tillsynsbegäran.docx", "A 34696-2024")</f>
        <v/>
      </c>
      <c r="Y1143">
        <f>HYPERLINK("https://klasma.github.io/Logging_2260/tillsynsmail/A 34696-2024 tillsynsbegäran mail.docx", "A 34696-2024")</f>
        <v/>
      </c>
    </row>
    <row r="1144" ht="15" customHeight="1">
      <c r="A1144" t="inlineStr">
        <is>
          <t>A 41493-2021</t>
        </is>
      </c>
      <c r="B1144" s="1" t="n">
        <v>44424</v>
      </c>
      <c r="C1144" s="1" t="n">
        <v>46093</v>
      </c>
      <c r="D1144" t="inlineStr">
        <is>
          <t>VÄSTERNORRLANDS LÄN</t>
        </is>
      </c>
      <c r="E1144" t="inlineStr">
        <is>
          <t>ÅNGE</t>
        </is>
      </c>
      <c r="F1144" t="inlineStr">
        <is>
          <t>SCA</t>
        </is>
      </c>
      <c r="G1144" t="n">
        <v>8</v>
      </c>
      <c r="H1144" t="n">
        <v>1</v>
      </c>
      <c r="I1144" t="n">
        <v>0</v>
      </c>
      <c r="J1144" t="n">
        <v>0</v>
      </c>
      <c r="K1144" t="n">
        <v>1</v>
      </c>
      <c r="L1144" t="n">
        <v>0</v>
      </c>
      <c r="M1144" t="n">
        <v>0</v>
      </c>
      <c r="N1144" t="n">
        <v>0</v>
      </c>
      <c r="O1144" t="n">
        <v>1</v>
      </c>
      <c r="P1144" t="n">
        <v>1</v>
      </c>
      <c r="Q1144" t="n">
        <v>1</v>
      </c>
      <c r="R1144" s="2" t="inlineStr">
        <is>
          <t>Knärot</t>
        </is>
      </c>
      <c r="S1144">
        <f>HYPERLINK("https://klasma.github.io/Logging_2260/artfynd/A 41493-2021 artfynd.xlsx", "A 41493-2021")</f>
        <v/>
      </c>
      <c r="T1144">
        <f>HYPERLINK("https://klasma.github.io/Logging_2260/kartor/A 41493-2021 karta.png", "A 41493-2021")</f>
        <v/>
      </c>
      <c r="U1144">
        <f>HYPERLINK("https://klasma.github.io/Logging_2260/knärot/A 41493-2021 karta knärot.png", "A 41493-2021")</f>
        <v/>
      </c>
      <c r="V1144">
        <f>HYPERLINK("https://klasma.github.io/Logging_2260/klagomål/A 41493-2021 FSC-klagomål.docx", "A 41493-2021")</f>
        <v/>
      </c>
      <c r="W1144">
        <f>HYPERLINK("https://klasma.github.io/Logging_2260/klagomålsmail/A 41493-2021 FSC-klagomål mail.docx", "A 41493-2021")</f>
        <v/>
      </c>
      <c r="X1144">
        <f>HYPERLINK("https://klasma.github.io/Logging_2260/tillsyn/A 41493-2021 tillsynsbegäran.docx", "A 41493-2021")</f>
        <v/>
      </c>
      <c r="Y1144">
        <f>HYPERLINK("https://klasma.github.io/Logging_2260/tillsynsmail/A 41493-2021 tillsynsbegäran mail.docx", "A 41493-2021")</f>
        <v/>
      </c>
    </row>
    <row r="1145" ht="15" customHeight="1">
      <c r="A1145" t="inlineStr">
        <is>
          <t>A 386-2024</t>
        </is>
      </c>
      <c r="B1145" s="1" t="n">
        <v>45296</v>
      </c>
      <c r="C1145" s="1" t="n">
        <v>46093</v>
      </c>
      <c r="D1145" t="inlineStr">
        <is>
          <t>VÄSTERNORRLANDS LÄN</t>
        </is>
      </c>
      <c r="E1145" t="inlineStr">
        <is>
          <t>SOLLEFTEÅ</t>
        </is>
      </c>
      <c r="G1145" t="n">
        <v>3.7</v>
      </c>
      <c r="H1145" t="n">
        <v>0</v>
      </c>
      <c r="I1145" t="n">
        <v>0</v>
      </c>
      <c r="J1145" t="n">
        <v>1</v>
      </c>
      <c r="K1145" t="n">
        <v>0</v>
      </c>
      <c r="L1145" t="n">
        <v>0</v>
      </c>
      <c r="M1145" t="n">
        <v>0</v>
      </c>
      <c r="N1145" t="n">
        <v>0</v>
      </c>
      <c r="O1145" t="n">
        <v>1</v>
      </c>
      <c r="P1145" t="n">
        <v>0</v>
      </c>
      <c r="Q1145" t="n">
        <v>1</v>
      </c>
      <c r="R1145" s="2" t="inlineStr">
        <is>
          <t>Kolflarnlav</t>
        </is>
      </c>
      <c r="S1145">
        <f>HYPERLINK("https://klasma.github.io/Logging_2283/artfynd/A 386-2024 artfynd.xlsx", "A 386-2024")</f>
        <v/>
      </c>
      <c r="T1145">
        <f>HYPERLINK("https://klasma.github.io/Logging_2283/kartor/A 386-2024 karta.png", "A 386-2024")</f>
        <v/>
      </c>
      <c r="V1145">
        <f>HYPERLINK("https://klasma.github.io/Logging_2283/klagomål/A 386-2024 FSC-klagomål.docx", "A 386-2024")</f>
        <v/>
      </c>
      <c r="W1145">
        <f>HYPERLINK("https://klasma.github.io/Logging_2283/klagomålsmail/A 386-2024 FSC-klagomål mail.docx", "A 386-2024")</f>
        <v/>
      </c>
      <c r="X1145">
        <f>HYPERLINK("https://klasma.github.io/Logging_2283/tillsyn/A 386-2024 tillsynsbegäran.docx", "A 386-2024")</f>
        <v/>
      </c>
      <c r="Y1145">
        <f>HYPERLINK("https://klasma.github.io/Logging_2283/tillsynsmail/A 386-2024 tillsynsbegäran mail.docx", "A 386-2024")</f>
        <v/>
      </c>
    </row>
    <row r="1146" ht="15" customHeight="1">
      <c r="A1146" t="inlineStr">
        <is>
          <t>A 53822-2025</t>
        </is>
      </c>
      <c r="B1146" s="1" t="n">
        <v>45961.32806712963</v>
      </c>
      <c r="C1146" s="1" t="n">
        <v>46093</v>
      </c>
      <c r="D1146" t="inlineStr">
        <is>
          <t>VÄSTERNORRLANDS LÄN</t>
        </is>
      </c>
      <c r="E1146" t="inlineStr">
        <is>
          <t>SOLLEFTEÅ</t>
        </is>
      </c>
      <c r="G1146" t="n">
        <v>2.1</v>
      </c>
      <c r="H1146" t="n">
        <v>1</v>
      </c>
      <c r="I1146" t="n">
        <v>0</v>
      </c>
      <c r="J1146" t="n">
        <v>0</v>
      </c>
      <c r="K1146" t="n">
        <v>0</v>
      </c>
      <c r="L1146" t="n">
        <v>0</v>
      </c>
      <c r="M1146" t="n">
        <v>0</v>
      </c>
      <c r="N1146" t="n">
        <v>0</v>
      </c>
      <c r="O1146" t="n">
        <v>0</v>
      </c>
      <c r="P1146" t="n">
        <v>0</v>
      </c>
      <c r="Q1146" t="n">
        <v>1</v>
      </c>
      <c r="R1146" s="2" t="inlineStr">
        <is>
          <t>Sångsvan</t>
        </is>
      </c>
      <c r="S1146">
        <f>HYPERLINK("https://klasma.github.io/Logging_2283/artfynd/A 53822-2025 artfynd.xlsx", "A 53822-2025")</f>
        <v/>
      </c>
      <c r="T1146">
        <f>HYPERLINK("https://klasma.github.io/Logging_2283/kartor/A 53822-2025 karta.png", "A 53822-2025")</f>
        <v/>
      </c>
      <c r="V1146">
        <f>HYPERLINK("https://klasma.github.io/Logging_2283/klagomål/A 53822-2025 FSC-klagomål.docx", "A 53822-2025")</f>
        <v/>
      </c>
      <c r="W1146">
        <f>HYPERLINK("https://klasma.github.io/Logging_2283/klagomålsmail/A 53822-2025 FSC-klagomål mail.docx", "A 53822-2025")</f>
        <v/>
      </c>
      <c r="X1146">
        <f>HYPERLINK("https://klasma.github.io/Logging_2283/tillsyn/A 53822-2025 tillsynsbegäran.docx", "A 53822-2025")</f>
        <v/>
      </c>
      <c r="Y1146">
        <f>HYPERLINK("https://klasma.github.io/Logging_2283/tillsynsmail/A 53822-2025 tillsynsbegäran mail.docx", "A 53822-2025")</f>
        <v/>
      </c>
      <c r="Z1146">
        <f>HYPERLINK("https://klasma.github.io/Logging_2283/fåglar/A 53822-2025 prioriterade fågelarter.docx", "A 53822-2025")</f>
        <v/>
      </c>
    </row>
    <row r="1147" ht="15" customHeight="1">
      <c r="A1147" t="inlineStr">
        <is>
          <t>A 40123-2021</t>
        </is>
      </c>
      <c r="B1147" s="1" t="n">
        <v>44418</v>
      </c>
      <c r="C1147" s="1" t="n">
        <v>46093</v>
      </c>
      <c r="D1147" t="inlineStr">
        <is>
          <t>VÄSTERNORRLANDS LÄN</t>
        </is>
      </c>
      <c r="E1147" t="inlineStr">
        <is>
          <t>SUNDSVALL</t>
        </is>
      </c>
      <c r="G1147" t="n">
        <v>12.2</v>
      </c>
      <c r="H1147" t="n">
        <v>1</v>
      </c>
      <c r="I1147" t="n">
        <v>0</v>
      </c>
      <c r="J1147" t="n">
        <v>1</v>
      </c>
      <c r="K1147" t="n">
        <v>0</v>
      </c>
      <c r="L1147" t="n">
        <v>0</v>
      </c>
      <c r="M1147" t="n">
        <v>0</v>
      </c>
      <c r="N1147" t="n">
        <v>0</v>
      </c>
      <c r="O1147" t="n">
        <v>1</v>
      </c>
      <c r="P1147" t="n">
        <v>0</v>
      </c>
      <c r="Q1147" t="n">
        <v>1</v>
      </c>
      <c r="R1147" s="2" t="inlineStr">
        <is>
          <t>Skogsfru</t>
        </is>
      </c>
      <c r="S1147">
        <f>HYPERLINK("https://klasma.github.io/Logging_2281/artfynd/A 40123-2021 artfynd.xlsx", "A 40123-2021")</f>
        <v/>
      </c>
      <c r="T1147">
        <f>HYPERLINK("https://klasma.github.io/Logging_2281/kartor/A 40123-2021 karta.png", "A 40123-2021")</f>
        <v/>
      </c>
      <c r="V1147">
        <f>HYPERLINK("https://klasma.github.io/Logging_2281/klagomål/A 40123-2021 FSC-klagomål.docx", "A 40123-2021")</f>
        <v/>
      </c>
      <c r="W1147">
        <f>HYPERLINK("https://klasma.github.io/Logging_2281/klagomålsmail/A 40123-2021 FSC-klagomål mail.docx", "A 40123-2021")</f>
        <v/>
      </c>
      <c r="X1147">
        <f>HYPERLINK("https://klasma.github.io/Logging_2281/tillsyn/A 40123-2021 tillsynsbegäran.docx", "A 40123-2021")</f>
        <v/>
      </c>
      <c r="Y1147">
        <f>HYPERLINK("https://klasma.github.io/Logging_2281/tillsynsmail/A 40123-2021 tillsynsbegäran mail.docx", "A 40123-2021")</f>
        <v/>
      </c>
    </row>
    <row r="1148" ht="15" customHeight="1">
      <c r="A1148" t="inlineStr">
        <is>
          <t>A 21962-2025</t>
        </is>
      </c>
      <c r="B1148" s="1" t="n">
        <v>45784</v>
      </c>
      <c r="C1148" s="1" t="n">
        <v>46093</v>
      </c>
      <c r="D1148" t="inlineStr">
        <is>
          <t>VÄSTERNORRLANDS LÄN</t>
        </is>
      </c>
      <c r="E1148" t="inlineStr">
        <is>
          <t>SOLLEFTEÅ</t>
        </is>
      </c>
      <c r="F1148" t="inlineStr">
        <is>
          <t>SCA</t>
        </is>
      </c>
      <c r="G1148" t="n">
        <v>22.5</v>
      </c>
      <c r="H1148" t="n">
        <v>1</v>
      </c>
      <c r="I1148" t="n">
        <v>0</v>
      </c>
      <c r="J1148" t="n">
        <v>1</v>
      </c>
      <c r="K1148" t="n">
        <v>0</v>
      </c>
      <c r="L1148" t="n">
        <v>0</v>
      </c>
      <c r="M1148" t="n">
        <v>0</v>
      </c>
      <c r="N1148" t="n">
        <v>0</v>
      </c>
      <c r="O1148" t="n">
        <v>1</v>
      </c>
      <c r="P1148" t="n">
        <v>0</v>
      </c>
      <c r="Q1148" t="n">
        <v>1</v>
      </c>
      <c r="R1148" s="2" t="inlineStr">
        <is>
          <t>Järpe</t>
        </is>
      </c>
      <c r="S1148">
        <f>HYPERLINK("https://klasma.github.io/Logging_2283/artfynd/A 21962-2025 artfynd.xlsx", "A 21962-2025")</f>
        <v/>
      </c>
      <c r="T1148">
        <f>HYPERLINK("https://klasma.github.io/Logging_2283/kartor/A 21962-2025 karta.png", "A 21962-2025")</f>
        <v/>
      </c>
      <c r="V1148">
        <f>HYPERLINK("https://klasma.github.io/Logging_2283/klagomål/A 21962-2025 FSC-klagomål.docx", "A 21962-2025")</f>
        <v/>
      </c>
      <c r="W1148">
        <f>HYPERLINK("https://klasma.github.io/Logging_2283/klagomålsmail/A 21962-2025 FSC-klagomål mail.docx", "A 21962-2025")</f>
        <v/>
      </c>
      <c r="X1148">
        <f>HYPERLINK("https://klasma.github.io/Logging_2283/tillsyn/A 21962-2025 tillsynsbegäran.docx", "A 21962-2025")</f>
        <v/>
      </c>
      <c r="Y1148">
        <f>HYPERLINK("https://klasma.github.io/Logging_2283/tillsynsmail/A 21962-2025 tillsynsbegäran mail.docx", "A 21962-2025")</f>
        <v/>
      </c>
      <c r="Z1148">
        <f>HYPERLINK("https://klasma.github.io/Logging_2283/fåglar/A 21962-2025 prioriterade fågelarter.docx", "A 21962-2025")</f>
        <v/>
      </c>
    </row>
    <row r="1149" ht="15" customHeight="1">
      <c r="A1149" t="inlineStr">
        <is>
          <t>A 37232-2021</t>
        </is>
      </c>
      <c r="B1149" s="1" t="n">
        <v>44396</v>
      </c>
      <c r="C1149" s="1" t="n">
        <v>46093</v>
      </c>
      <c r="D1149" t="inlineStr">
        <is>
          <t>VÄSTERNORRLANDS LÄN</t>
        </is>
      </c>
      <c r="E1149" t="inlineStr">
        <is>
          <t>SUNDSVALL</t>
        </is>
      </c>
      <c r="F1149" t="inlineStr">
        <is>
          <t>SCA</t>
        </is>
      </c>
      <c r="G1149" t="n">
        <v>1.6</v>
      </c>
      <c r="H1149" t="n">
        <v>0</v>
      </c>
      <c r="I1149" t="n">
        <v>0</v>
      </c>
      <c r="J1149" t="n">
        <v>1</v>
      </c>
      <c r="K1149" t="n">
        <v>0</v>
      </c>
      <c r="L1149" t="n">
        <v>0</v>
      </c>
      <c r="M1149" t="n">
        <v>0</v>
      </c>
      <c r="N1149" t="n">
        <v>0</v>
      </c>
      <c r="O1149" t="n">
        <v>1</v>
      </c>
      <c r="P1149" t="n">
        <v>0</v>
      </c>
      <c r="Q1149" t="n">
        <v>1</v>
      </c>
      <c r="R1149" s="2" t="inlineStr">
        <is>
          <t>Rosenticka</t>
        </is>
      </c>
      <c r="S1149">
        <f>HYPERLINK("https://klasma.github.io/Logging_2281/artfynd/A 37232-2021 artfynd.xlsx", "A 37232-2021")</f>
        <v/>
      </c>
      <c r="T1149">
        <f>HYPERLINK("https://klasma.github.io/Logging_2281/kartor/A 37232-2021 karta.png", "A 37232-2021")</f>
        <v/>
      </c>
      <c r="V1149">
        <f>HYPERLINK("https://klasma.github.io/Logging_2281/klagomål/A 37232-2021 FSC-klagomål.docx", "A 37232-2021")</f>
        <v/>
      </c>
      <c r="W1149">
        <f>HYPERLINK("https://klasma.github.io/Logging_2281/klagomålsmail/A 37232-2021 FSC-klagomål mail.docx", "A 37232-2021")</f>
        <v/>
      </c>
      <c r="X1149">
        <f>HYPERLINK("https://klasma.github.io/Logging_2281/tillsyn/A 37232-2021 tillsynsbegäran.docx", "A 37232-2021")</f>
        <v/>
      </c>
      <c r="Y1149">
        <f>HYPERLINK("https://klasma.github.io/Logging_2281/tillsynsmail/A 37232-2021 tillsynsbegäran mail.docx", "A 37232-2021")</f>
        <v/>
      </c>
    </row>
    <row r="1150" ht="15" customHeight="1">
      <c r="A1150" t="inlineStr">
        <is>
          <t>A 7323-2023</t>
        </is>
      </c>
      <c r="B1150" s="1" t="n">
        <v>44970</v>
      </c>
      <c r="C1150" s="1" t="n">
        <v>46093</v>
      </c>
      <c r="D1150" t="inlineStr">
        <is>
          <t>VÄSTERNORRLANDS LÄN</t>
        </is>
      </c>
      <c r="E1150" t="inlineStr">
        <is>
          <t>ÖRNSKÖLDSVIK</t>
        </is>
      </c>
      <c r="F1150" t="inlineStr">
        <is>
          <t>SCA</t>
        </is>
      </c>
      <c r="G1150" t="n">
        <v>18.6</v>
      </c>
      <c r="H1150" t="n">
        <v>0</v>
      </c>
      <c r="I1150" t="n">
        <v>0</v>
      </c>
      <c r="J1150" t="n">
        <v>1</v>
      </c>
      <c r="K1150" t="n">
        <v>0</v>
      </c>
      <c r="L1150" t="n">
        <v>0</v>
      </c>
      <c r="M1150" t="n">
        <v>0</v>
      </c>
      <c r="N1150" t="n">
        <v>0</v>
      </c>
      <c r="O1150" t="n">
        <v>1</v>
      </c>
      <c r="P1150" t="n">
        <v>0</v>
      </c>
      <c r="Q1150" t="n">
        <v>1</v>
      </c>
      <c r="R1150" s="2" t="inlineStr">
        <is>
          <t>Lunglav</t>
        </is>
      </c>
      <c r="S1150">
        <f>HYPERLINK("https://klasma.github.io/Logging_2284/artfynd/A 7323-2023 artfynd.xlsx", "A 7323-2023")</f>
        <v/>
      </c>
      <c r="T1150">
        <f>HYPERLINK("https://klasma.github.io/Logging_2284/kartor/A 7323-2023 karta.png", "A 7323-2023")</f>
        <v/>
      </c>
      <c r="V1150">
        <f>HYPERLINK("https://klasma.github.io/Logging_2284/klagomål/A 7323-2023 FSC-klagomål.docx", "A 7323-2023")</f>
        <v/>
      </c>
      <c r="W1150">
        <f>HYPERLINK("https://klasma.github.io/Logging_2284/klagomålsmail/A 7323-2023 FSC-klagomål mail.docx", "A 7323-2023")</f>
        <v/>
      </c>
      <c r="X1150">
        <f>HYPERLINK("https://klasma.github.io/Logging_2284/tillsyn/A 7323-2023 tillsynsbegäran.docx", "A 7323-2023")</f>
        <v/>
      </c>
      <c r="Y1150">
        <f>HYPERLINK("https://klasma.github.io/Logging_2284/tillsynsmail/A 7323-2023 tillsynsbegäran mail.docx", "A 7323-2023")</f>
        <v/>
      </c>
    </row>
    <row r="1151" ht="15" customHeight="1">
      <c r="A1151" t="inlineStr">
        <is>
          <t>A 44193-2023</t>
        </is>
      </c>
      <c r="B1151" s="1" t="n">
        <v>45188</v>
      </c>
      <c r="C1151" s="1" t="n">
        <v>46093</v>
      </c>
      <c r="D1151" t="inlineStr">
        <is>
          <t>VÄSTERNORRLANDS LÄN</t>
        </is>
      </c>
      <c r="E1151" t="inlineStr">
        <is>
          <t>SUNDSVALL</t>
        </is>
      </c>
      <c r="F1151" t="inlineStr">
        <is>
          <t>Holmen skog AB</t>
        </is>
      </c>
      <c r="G1151" t="n">
        <v>15.1</v>
      </c>
      <c r="H1151" t="n">
        <v>1</v>
      </c>
      <c r="I1151" t="n">
        <v>0</v>
      </c>
      <c r="J1151" t="n">
        <v>0</v>
      </c>
      <c r="K1151" t="n">
        <v>0</v>
      </c>
      <c r="L1151" t="n">
        <v>0</v>
      </c>
      <c r="M1151" t="n">
        <v>0</v>
      </c>
      <c r="N1151" t="n">
        <v>0</v>
      </c>
      <c r="O1151" t="n">
        <v>0</v>
      </c>
      <c r="P1151" t="n">
        <v>0</v>
      </c>
      <c r="Q1151" t="n">
        <v>1</v>
      </c>
      <c r="R1151" s="2" t="inlineStr">
        <is>
          <t>Tjäder</t>
        </is>
      </c>
      <c r="S1151">
        <f>HYPERLINK("https://klasma.github.io/Logging_2281/artfynd/A 44193-2023 artfynd.xlsx", "A 44193-2023")</f>
        <v/>
      </c>
      <c r="T1151">
        <f>HYPERLINK("https://klasma.github.io/Logging_2281/kartor/A 44193-2023 karta.png", "A 44193-2023")</f>
        <v/>
      </c>
      <c r="V1151">
        <f>HYPERLINK("https://klasma.github.io/Logging_2281/klagomål/A 44193-2023 FSC-klagomål.docx", "A 44193-2023")</f>
        <v/>
      </c>
      <c r="W1151">
        <f>HYPERLINK("https://klasma.github.io/Logging_2281/klagomålsmail/A 44193-2023 FSC-klagomål mail.docx", "A 44193-2023")</f>
        <v/>
      </c>
      <c r="X1151">
        <f>HYPERLINK("https://klasma.github.io/Logging_2281/tillsyn/A 44193-2023 tillsynsbegäran.docx", "A 44193-2023")</f>
        <v/>
      </c>
      <c r="Y1151">
        <f>HYPERLINK("https://klasma.github.io/Logging_2281/tillsynsmail/A 44193-2023 tillsynsbegäran mail.docx", "A 44193-2023")</f>
        <v/>
      </c>
      <c r="Z1151">
        <f>HYPERLINK("https://klasma.github.io/Logging_2281/fåglar/A 44193-2023 prioriterade fågelarter.docx", "A 44193-2023")</f>
        <v/>
      </c>
    </row>
    <row r="1152" ht="15" customHeight="1">
      <c r="A1152" t="inlineStr">
        <is>
          <t>A 13984-2023</t>
        </is>
      </c>
      <c r="B1152" s="1" t="n">
        <v>45008</v>
      </c>
      <c r="C1152" s="1" t="n">
        <v>46093</v>
      </c>
      <c r="D1152" t="inlineStr">
        <is>
          <t>VÄSTERNORRLANDS LÄN</t>
        </is>
      </c>
      <c r="E1152" t="inlineStr">
        <is>
          <t>HÄRNÖSAND</t>
        </is>
      </c>
      <c r="G1152" t="n">
        <v>2.3</v>
      </c>
      <c r="H1152" t="n">
        <v>1</v>
      </c>
      <c r="I1152" t="n">
        <v>0</v>
      </c>
      <c r="J1152" t="n">
        <v>0</v>
      </c>
      <c r="K1152" t="n">
        <v>0</v>
      </c>
      <c r="L1152" t="n">
        <v>0</v>
      </c>
      <c r="M1152" t="n">
        <v>0</v>
      </c>
      <c r="N1152" t="n">
        <v>0</v>
      </c>
      <c r="O1152" t="n">
        <v>0</v>
      </c>
      <c r="P1152" t="n">
        <v>0</v>
      </c>
      <c r="Q1152" t="n">
        <v>1</v>
      </c>
      <c r="R1152" s="2" t="inlineStr">
        <is>
          <t>Fläcknycklar</t>
        </is>
      </c>
      <c r="S1152">
        <f>HYPERLINK("https://klasma.github.io/Logging_2280/artfynd/A 13984-2023 artfynd.xlsx", "A 13984-2023")</f>
        <v/>
      </c>
      <c r="T1152">
        <f>HYPERLINK("https://klasma.github.io/Logging_2280/kartor/A 13984-2023 karta.png", "A 13984-2023")</f>
        <v/>
      </c>
      <c r="V1152">
        <f>HYPERLINK("https://klasma.github.io/Logging_2280/klagomål/A 13984-2023 FSC-klagomål.docx", "A 13984-2023")</f>
        <v/>
      </c>
      <c r="W1152">
        <f>HYPERLINK("https://klasma.github.io/Logging_2280/klagomålsmail/A 13984-2023 FSC-klagomål mail.docx", "A 13984-2023")</f>
        <v/>
      </c>
      <c r="X1152">
        <f>HYPERLINK("https://klasma.github.io/Logging_2280/tillsyn/A 13984-2023 tillsynsbegäran.docx", "A 13984-2023")</f>
        <v/>
      </c>
      <c r="Y1152">
        <f>HYPERLINK("https://klasma.github.io/Logging_2280/tillsynsmail/A 13984-2023 tillsynsbegäran mail.docx", "A 13984-2023")</f>
        <v/>
      </c>
    </row>
    <row r="1153" ht="15" customHeight="1">
      <c r="A1153" t="inlineStr">
        <is>
          <t>A 48087-2023</t>
        </is>
      </c>
      <c r="B1153" s="1" t="n">
        <v>45204</v>
      </c>
      <c r="C1153" s="1" t="n">
        <v>46093</v>
      </c>
      <c r="D1153" t="inlineStr">
        <is>
          <t>VÄSTERNORRLANDS LÄN</t>
        </is>
      </c>
      <c r="E1153" t="inlineStr">
        <is>
          <t>SOLLEFTEÅ</t>
        </is>
      </c>
      <c r="F1153" t="inlineStr">
        <is>
          <t>SCA</t>
        </is>
      </c>
      <c r="G1153" t="n">
        <v>0.6</v>
      </c>
      <c r="H1153" t="n">
        <v>0</v>
      </c>
      <c r="I1153" t="n">
        <v>0</v>
      </c>
      <c r="J1153" t="n">
        <v>1</v>
      </c>
      <c r="K1153" t="n">
        <v>0</v>
      </c>
      <c r="L1153" t="n">
        <v>0</v>
      </c>
      <c r="M1153" t="n">
        <v>0</v>
      </c>
      <c r="N1153" t="n">
        <v>0</v>
      </c>
      <c r="O1153" t="n">
        <v>1</v>
      </c>
      <c r="P1153" t="n">
        <v>0</v>
      </c>
      <c r="Q1153" t="n">
        <v>1</v>
      </c>
      <c r="R1153" s="2" t="inlineStr">
        <is>
          <t>Doftskinn</t>
        </is>
      </c>
      <c r="S1153">
        <f>HYPERLINK("https://klasma.github.io/Logging_2283/artfynd/A 48087-2023 artfynd.xlsx", "A 48087-2023")</f>
        <v/>
      </c>
      <c r="T1153">
        <f>HYPERLINK("https://klasma.github.io/Logging_2283/kartor/A 48087-2023 karta.png", "A 48087-2023")</f>
        <v/>
      </c>
      <c r="V1153">
        <f>HYPERLINK("https://klasma.github.io/Logging_2283/klagomål/A 48087-2023 FSC-klagomål.docx", "A 48087-2023")</f>
        <v/>
      </c>
      <c r="W1153">
        <f>HYPERLINK("https://klasma.github.io/Logging_2283/klagomålsmail/A 48087-2023 FSC-klagomål mail.docx", "A 48087-2023")</f>
        <v/>
      </c>
      <c r="X1153">
        <f>HYPERLINK("https://klasma.github.io/Logging_2283/tillsyn/A 48087-2023 tillsynsbegäran.docx", "A 48087-2023")</f>
        <v/>
      </c>
      <c r="Y1153">
        <f>HYPERLINK("https://klasma.github.io/Logging_2283/tillsynsmail/A 48087-2023 tillsynsbegäran mail.docx", "A 48087-2023")</f>
        <v/>
      </c>
    </row>
    <row r="1154" ht="15" customHeight="1">
      <c r="A1154" t="inlineStr">
        <is>
          <t>A 21845-2024</t>
        </is>
      </c>
      <c r="B1154" s="1" t="n">
        <v>45442</v>
      </c>
      <c r="C1154" s="1" t="n">
        <v>46093</v>
      </c>
      <c r="D1154" t="inlineStr">
        <is>
          <t>VÄSTERNORRLANDS LÄN</t>
        </is>
      </c>
      <c r="E1154" t="inlineStr">
        <is>
          <t>TIMRÅ</t>
        </is>
      </c>
      <c r="F1154" t="inlineStr">
        <is>
          <t>SCA</t>
        </is>
      </c>
      <c r="G1154" t="n">
        <v>14.7</v>
      </c>
      <c r="H1154" t="n">
        <v>0</v>
      </c>
      <c r="I1154" t="n">
        <v>0</v>
      </c>
      <c r="J1154" t="n">
        <v>1</v>
      </c>
      <c r="K1154" t="n">
        <v>0</v>
      </c>
      <c r="L1154" t="n">
        <v>0</v>
      </c>
      <c r="M1154" t="n">
        <v>0</v>
      </c>
      <c r="N1154" t="n">
        <v>0</v>
      </c>
      <c r="O1154" t="n">
        <v>1</v>
      </c>
      <c r="P1154" t="n">
        <v>0</v>
      </c>
      <c r="Q1154" t="n">
        <v>1</v>
      </c>
      <c r="R1154" s="2" t="inlineStr">
        <is>
          <t>Lunglav</t>
        </is>
      </c>
      <c r="S1154">
        <f>HYPERLINK("https://klasma.github.io/Logging_2262/artfynd/A 21845-2024 artfynd.xlsx", "A 21845-2024")</f>
        <v/>
      </c>
      <c r="T1154">
        <f>HYPERLINK("https://klasma.github.io/Logging_2262/kartor/A 21845-2024 karta.png", "A 21845-2024")</f>
        <v/>
      </c>
      <c r="V1154">
        <f>HYPERLINK("https://klasma.github.io/Logging_2262/klagomål/A 21845-2024 FSC-klagomål.docx", "A 21845-2024")</f>
        <v/>
      </c>
      <c r="W1154">
        <f>HYPERLINK("https://klasma.github.io/Logging_2262/klagomålsmail/A 21845-2024 FSC-klagomål mail.docx", "A 21845-2024")</f>
        <v/>
      </c>
      <c r="X1154">
        <f>HYPERLINK("https://klasma.github.io/Logging_2262/tillsyn/A 21845-2024 tillsynsbegäran.docx", "A 21845-2024")</f>
        <v/>
      </c>
      <c r="Y1154">
        <f>HYPERLINK("https://klasma.github.io/Logging_2262/tillsynsmail/A 21845-2024 tillsynsbegäran mail.docx", "A 21845-2024")</f>
        <v/>
      </c>
    </row>
    <row r="1155" ht="15" customHeight="1">
      <c r="A1155" t="inlineStr">
        <is>
          <t>A 25705-2024</t>
        </is>
      </c>
      <c r="B1155" s="1" t="n">
        <v>45463.9428587963</v>
      </c>
      <c r="C1155" s="1" t="n">
        <v>46093</v>
      </c>
      <c r="D1155" t="inlineStr">
        <is>
          <t>VÄSTERNORRLANDS LÄN</t>
        </is>
      </c>
      <c r="E1155" t="inlineStr">
        <is>
          <t>ÅNGE</t>
        </is>
      </c>
      <c r="F1155" t="inlineStr">
        <is>
          <t>SCA</t>
        </is>
      </c>
      <c r="G1155" t="n">
        <v>10.6</v>
      </c>
      <c r="H1155" t="n">
        <v>1</v>
      </c>
      <c r="I1155" t="n">
        <v>1</v>
      </c>
      <c r="J1155" t="n">
        <v>0</v>
      </c>
      <c r="K1155" t="n">
        <v>0</v>
      </c>
      <c r="L1155" t="n">
        <v>0</v>
      </c>
      <c r="M1155" t="n">
        <v>0</v>
      </c>
      <c r="N1155" t="n">
        <v>0</v>
      </c>
      <c r="O1155" t="n">
        <v>0</v>
      </c>
      <c r="P1155" t="n">
        <v>0</v>
      </c>
      <c r="Q1155" t="n">
        <v>1</v>
      </c>
      <c r="R1155" s="2" t="inlineStr">
        <is>
          <t>Korallrot</t>
        </is>
      </c>
      <c r="S1155">
        <f>HYPERLINK("https://klasma.github.io/Logging_2260/artfynd/A 25705-2024 artfynd.xlsx", "A 25705-2024")</f>
        <v/>
      </c>
      <c r="T1155">
        <f>HYPERLINK("https://klasma.github.io/Logging_2260/kartor/A 25705-2024 karta.png", "A 25705-2024")</f>
        <v/>
      </c>
      <c r="V1155">
        <f>HYPERLINK("https://klasma.github.io/Logging_2260/klagomål/A 25705-2024 FSC-klagomål.docx", "A 25705-2024")</f>
        <v/>
      </c>
      <c r="W1155">
        <f>HYPERLINK("https://klasma.github.io/Logging_2260/klagomålsmail/A 25705-2024 FSC-klagomål mail.docx", "A 25705-2024")</f>
        <v/>
      </c>
      <c r="X1155">
        <f>HYPERLINK("https://klasma.github.io/Logging_2260/tillsyn/A 25705-2024 tillsynsbegäran.docx", "A 25705-2024")</f>
        <v/>
      </c>
      <c r="Y1155">
        <f>HYPERLINK("https://klasma.github.io/Logging_2260/tillsynsmail/A 25705-2024 tillsynsbegäran mail.docx", "A 25705-2024")</f>
        <v/>
      </c>
    </row>
    <row r="1156" ht="15" customHeight="1">
      <c r="A1156" t="inlineStr">
        <is>
          <t>A 22993-2023</t>
        </is>
      </c>
      <c r="B1156" s="1" t="n">
        <v>45072</v>
      </c>
      <c r="C1156" s="1" t="n">
        <v>46093</v>
      </c>
      <c r="D1156" t="inlineStr">
        <is>
          <t>VÄSTERNORRLANDS LÄN</t>
        </is>
      </c>
      <c r="E1156" t="inlineStr">
        <is>
          <t>SUNDSVALL</t>
        </is>
      </c>
      <c r="F1156" t="inlineStr">
        <is>
          <t>SCA</t>
        </is>
      </c>
      <c r="G1156" t="n">
        <v>3.6</v>
      </c>
      <c r="H1156" t="n">
        <v>0</v>
      </c>
      <c r="I1156" t="n">
        <v>0</v>
      </c>
      <c r="J1156" t="n">
        <v>1</v>
      </c>
      <c r="K1156" t="n">
        <v>0</v>
      </c>
      <c r="L1156" t="n">
        <v>0</v>
      </c>
      <c r="M1156" t="n">
        <v>0</v>
      </c>
      <c r="N1156" t="n">
        <v>0</v>
      </c>
      <c r="O1156" t="n">
        <v>1</v>
      </c>
      <c r="P1156" t="n">
        <v>0</v>
      </c>
      <c r="Q1156" t="n">
        <v>1</v>
      </c>
      <c r="R1156" s="2" t="inlineStr">
        <is>
          <t>Lunglav</t>
        </is>
      </c>
      <c r="S1156">
        <f>HYPERLINK("https://klasma.github.io/Logging_2281/artfynd/A 22993-2023 artfynd.xlsx", "A 22993-2023")</f>
        <v/>
      </c>
      <c r="T1156">
        <f>HYPERLINK("https://klasma.github.io/Logging_2281/kartor/A 22993-2023 karta.png", "A 22993-2023")</f>
        <v/>
      </c>
      <c r="V1156">
        <f>HYPERLINK("https://klasma.github.io/Logging_2281/klagomål/A 22993-2023 FSC-klagomål.docx", "A 22993-2023")</f>
        <v/>
      </c>
      <c r="W1156">
        <f>HYPERLINK("https://klasma.github.io/Logging_2281/klagomålsmail/A 22993-2023 FSC-klagomål mail.docx", "A 22993-2023")</f>
        <v/>
      </c>
      <c r="X1156">
        <f>HYPERLINK("https://klasma.github.io/Logging_2281/tillsyn/A 22993-2023 tillsynsbegäran.docx", "A 22993-2023")</f>
        <v/>
      </c>
      <c r="Y1156">
        <f>HYPERLINK("https://klasma.github.io/Logging_2281/tillsynsmail/A 22993-2023 tillsynsbegäran mail.docx", "A 22993-2023")</f>
        <v/>
      </c>
    </row>
    <row r="1157" ht="15" customHeight="1">
      <c r="A1157" t="inlineStr">
        <is>
          <t>A 55799-2025</t>
        </is>
      </c>
      <c r="B1157" s="1" t="n">
        <v>45972.66321759259</v>
      </c>
      <c r="C1157" s="1" t="n">
        <v>46093</v>
      </c>
      <c r="D1157" t="inlineStr">
        <is>
          <t>VÄSTERNORRLANDS LÄN</t>
        </is>
      </c>
      <c r="E1157" t="inlineStr">
        <is>
          <t>ÖRNSKÖLDSVIK</t>
        </is>
      </c>
      <c r="F1157" t="inlineStr">
        <is>
          <t>Holmen skog AB</t>
        </is>
      </c>
      <c r="G1157" t="n">
        <v>2.1</v>
      </c>
      <c r="H1157" t="n">
        <v>0</v>
      </c>
      <c r="I1157" t="n">
        <v>0</v>
      </c>
      <c r="J1157" t="n">
        <v>1</v>
      </c>
      <c r="K1157" t="n">
        <v>0</v>
      </c>
      <c r="L1157" t="n">
        <v>0</v>
      </c>
      <c r="M1157" t="n">
        <v>0</v>
      </c>
      <c r="N1157" t="n">
        <v>0</v>
      </c>
      <c r="O1157" t="n">
        <v>1</v>
      </c>
      <c r="P1157" t="n">
        <v>0</v>
      </c>
      <c r="Q1157" t="n">
        <v>1</v>
      </c>
      <c r="R1157" s="2" t="inlineStr">
        <is>
          <t>Garnlav</t>
        </is>
      </c>
      <c r="S1157">
        <f>HYPERLINK("https://klasma.github.io/Logging_2284/artfynd/A 55799-2025 artfynd.xlsx", "A 55799-2025")</f>
        <v/>
      </c>
      <c r="T1157">
        <f>HYPERLINK("https://klasma.github.io/Logging_2284/kartor/A 55799-2025 karta.png", "A 55799-2025")</f>
        <v/>
      </c>
      <c r="V1157">
        <f>HYPERLINK("https://klasma.github.io/Logging_2284/klagomål/A 55799-2025 FSC-klagomål.docx", "A 55799-2025")</f>
        <v/>
      </c>
      <c r="W1157">
        <f>HYPERLINK("https://klasma.github.io/Logging_2284/klagomålsmail/A 55799-2025 FSC-klagomål mail.docx", "A 55799-2025")</f>
        <v/>
      </c>
      <c r="X1157">
        <f>HYPERLINK("https://klasma.github.io/Logging_2284/tillsyn/A 55799-2025 tillsynsbegäran.docx", "A 55799-2025")</f>
        <v/>
      </c>
      <c r="Y1157">
        <f>HYPERLINK("https://klasma.github.io/Logging_2284/tillsynsmail/A 55799-2025 tillsynsbegäran mail.docx", "A 55799-2025")</f>
        <v/>
      </c>
    </row>
    <row r="1158" ht="15" customHeight="1">
      <c r="A1158" t="inlineStr">
        <is>
          <t>A 55722-2025</t>
        </is>
      </c>
      <c r="B1158" s="1" t="n">
        <v>45972.51136574074</v>
      </c>
      <c r="C1158" s="1" t="n">
        <v>46093</v>
      </c>
      <c r="D1158" t="inlineStr">
        <is>
          <t>VÄSTERNORRLANDS LÄN</t>
        </is>
      </c>
      <c r="E1158" t="inlineStr">
        <is>
          <t>SOLLEFTEÅ</t>
        </is>
      </c>
      <c r="F1158" t="inlineStr">
        <is>
          <t>SCA</t>
        </is>
      </c>
      <c r="G1158" t="n">
        <v>3.3</v>
      </c>
      <c r="H1158" t="n">
        <v>0</v>
      </c>
      <c r="I1158" t="n">
        <v>0</v>
      </c>
      <c r="J1158" t="n">
        <v>1</v>
      </c>
      <c r="K1158" t="n">
        <v>0</v>
      </c>
      <c r="L1158" t="n">
        <v>0</v>
      </c>
      <c r="M1158" t="n">
        <v>0</v>
      </c>
      <c r="N1158" t="n">
        <v>0</v>
      </c>
      <c r="O1158" t="n">
        <v>1</v>
      </c>
      <c r="P1158" t="n">
        <v>0</v>
      </c>
      <c r="Q1158" t="n">
        <v>1</v>
      </c>
      <c r="R1158" s="2" t="inlineStr">
        <is>
          <t>Violettgrå tagellav</t>
        </is>
      </c>
      <c r="S1158">
        <f>HYPERLINK("https://klasma.github.io/Logging_2283/artfynd/A 55722-2025 artfynd.xlsx", "A 55722-2025")</f>
        <v/>
      </c>
      <c r="T1158">
        <f>HYPERLINK("https://klasma.github.io/Logging_2283/kartor/A 55722-2025 karta.png", "A 55722-2025")</f>
        <v/>
      </c>
      <c r="V1158">
        <f>HYPERLINK("https://klasma.github.io/Logging_2283/klagomål/A 55722-2025 FSC-klagomål.docx", "A 55722-2025")</f>
        <v/>
      </c>
      <c r="W1158">
        <f>HYPERLINK("https://klasma.github.io/Logging_2283/klagomålsmail/A 55722-2025 FSC-klagomål mail.docx", "A 55722-2025")</f>
        <v/>
      </c>
      <c r="X1158">
        <f>HYPERLINK("https://klasma.github.io/Logging_2283/tillsyn/A 55722-2025 tillsynsbegäran.docx", "A 55722-2025")</f>
        <v/>
      </c>
      <c r="Y1158">
        <f>HYPERLINK("https://klasma.github.io/Logging_2283/tillsynsmail/A 55722-2025 tillsynsbegäran mail.docx", "A 55722-2025")</f>
        <v/>
      </c>
    </row>
    <row r="1159" ht="15" customHeight="1">
      <c r="A1159" t="inlineStr">
        <is>
          <t>A 22862-2021</t>
        </is>
      </c>
      <c r="B1159" s="1" t="n">
        <v>44326</v>
      </c>
      <c r="C1159" s="1" t="n">
        <v>46093</v>
      </c>
      <c r="D1159" t="inlineStr">
        <is>
          <t>VÄSTERNORRLANDS LÄN</t>
        </is>
      </c>
      <c r="E1159" t="inlineStr">
        <is>
          <t>SOLLEFTEÅ</t>
        </is>
      </c>
      <c r="F1159" t="inlineStr">
        <is>
          <t>Kommuner</t>
        </is>
      </c>
      <c r="G1159" t="n">
        <v>2</v>
      </c>
      <c r="H1159" t="n">
        <v>1</v>
      </c>
      <c r="I1159" t="n">
        <v>0</v>
      </c>
      <c r="J1159" t="n">
        <v>0</v>
      </c>
      <c r="K1159" t="n">
        <v>1</v>
      </c>
      <c r="L1159" t="n">
        <v>0</v>
      </c>
      <c r="M1159" t="n">
        <v>0</v>
      </c>
      <c r="N1159" t="n">
        <v>0</v>
      </c>
      <c r="O1159" t="n">
        <v>1</v>
      </c>
      <c r="P1159" t="n">
        <v>1</v>
      </c>
      <c r="Q1159" t="n">
        <v>1</v>
      </c>
      <c r="R1159" s="2" t="inlineStr">
        <is>
          <t>Lappuggla</t>
        </is>
      </c>
      <c r="S1159">
        <f>HYPERLINK("https://klasma.github.io/Logging_2283/artfynd/A 22862-2021 artfynd.xlsx", "A 22862-2021")</f>
        <v/>
      </c>
      <c r="T1159">
        <f>HYPERLINK("https://klasma.github.io/Logging_2283/kartor/A 22862-2021 karta.png", "A 22862-2021")</f>
        <v/>
      </c>
      <c r="V1159">
        <f>HYPERLINK("https://klasma.github.io/Logging_2283/klagomål/A 22862-2021 FSC-klagomål.docx", "A 22862-2021")</f>
        <v/>
      </c>
      <c r="W1159">
        <f>HYPERLINK("https://klasma.github.io/Logging_2283/klagomålsmail/A 22862-2021 FSC-klagomål mail.docx", "A 22862-2021")</f>
        <v/>
      </c>
      <c r="X1159">
        <f>HYPERLINK("https://klasma.github.io/Logging_2283/tillsyn/A 22862-2021 tillsynsbegäran.docx", "A 22862-2021")</f>
        <v/>
      </c>
      <c r="Y1159">
        <f>HYPERLINK("https://klasma.github.io/Logging_2283/tillsynsmail/A 22862-2021 tillsynsbegäran mail.docx", "A 22862-2021")</f>
        <v/>
      </c>
      <c r="Z1159">
        <f>HYPERLINK("https://klasma.github.io/Logging_2283/fåglar/A 22862-2021 prioriterade fågelarter.docx", "A 22862-2021")</f>
        <v/>
      </c>
    </row>
    <row r="1160" ht="15" customHeight="1">
      <c r="A1160" t="inlineStr">
        <is>
          <t>A 5790-2025</t>
        </is>
      </c>
      <c r="B1160" s="1" t="n">
        <v>45694.65657407408</v>
      </c>
      <c r="C1160" s="1" t="n">
        <v>46093</v>
      </c>
      <c r="D1160" t="inlineStr">
        <is>
          <t>VÄSTERNORRLANDS LÄN</t>
        </is>
      </c>
      <c r="E1160" t="inlineStr">
        <is>
          <t>SOLLEFTEÅ</t>
        </is>
      </c>
      <c r="F1160" t="inlineStr">
        <is>
          <t>SCA</t>
        </is>
      </c>
      <c r="G1160" t="n">
        <v>32.7</v>
      </c>
      <c r="H1160" t="n">
        <v>0</v>
      </c>
      <c r="I1160" t="n">
        <v>0</v>
      </c>
      <c r="J1160" t="n">
        <v>1</v>
      </c>
      <c r="K1160" t="n">
        <v>0</v>
      </c>
      <c r="L1160" t="n">
        <v>0</v>
      </c>
      <c r="M1160" t="n">
        <v>0</v>
      </c>
      <c r="N1160" t="n">
        <v>0</v>
      </c>
      <c r="O1160" t="n">
        <v>1</v>
      </c>
      <c r="P1160" t="n">
        <v>0</v>
      </c>
      <c r="Q1160" t="n">
        <v>1</v>
      </c>
      <c r="R1160" s="2" t="inlineStr">
        <is>
          <t>Lunglav</t>
        </is>
      </c>
      <c r="S1160">
        <f>HYPERLINK("https://klasma.github.io/Logging_2283/artfynd/A 5790-2025 artfynd.xlsx", "A 5790-2025")</f>
        <v/>
      </c>
      <c r="T1160">
        <f>HYPERLINK("https://klasma.github.io/Logging_2283/kartor/A 5790-2025 karta.png", "A 5790-2025")</f>
        <v/>
      </c>
      <c r="V1160">
        <f>HYPERLINK("https://klasma.github.io/Logging_2283/klagomål/A 5790-2025 FSC-klagomål.docx", "A 5790-2025")</f>
        <v/>
      </c>
      <c r="W1160">
        <f>HYPERLINK("https://klasma.github.io/Logging_2283/klagomålsmail/A 5790-2025 FSC-klagomål mail.docx", "A 5790-2025")</f>
        <v/>
      </c>
      <c r="X1160">
        <f>HYPERLINK("https://klasma.github.io/Logging_2283/tillsyn/A 5790-2025 tillsynsbegäran.docx", "A 5790-2025")</f>
        <v/>
      </c>
      <c r="Y1160">
        <f>HYPERLINK("https://klasma.github.io/Logging_2283/tillsynsmail/A 5790-2025 tillsynsbegäran mail.docx", "A 5790-2025")</f>
        <v/>
      </c>
    </row>
    <row r="1161" ht="15" customHeight="1">
      <c r="A1161" t="inlineStr">
        <is>
          <t>A 37506-2024</t>
        </is>
      </c>
      <c r="B1161" s="1" t="n">
        <v>45541.38001157407</v>
      </c>
      <c r="C1161" s="1" t="n">
        <v>46093</v>
      </c>
      <c r="D1161" t="inlineStr">
        <is>
          <t>VÄSTERNORRLANDS LÄN</t>
        </is>
      </c>
      <c r="E1161" t="inlineStr">
        <is>
          <t>ÖRNSKÖLDSVIK</t>
        </is>
      </c>
      <c r="G1161" t="n">
        <v>13.3</v>
      </c>
      <c r="H1161" t="n">
        <v>0</v>
      </c>
      <c r="I1161" t="n">
        <v>0</v>
      </c>
      <c r="J1161" t="n">
        <v>1</v>
      </c>
      <c r="K1161" t="n">
        <v>0</v>
      </c>
      <c r="L1161" t="n">
        <v>0</v>
      </c>
      <c r="M1161" t="n">
        <v>0</v>
      </c>
      <c r="N1161" t="n">
        <v>0</v>
      </c>
      <c r="O1161" t="n">
        <v>1</v>
      </c>
      <c r="P1161" t="n">
        <v>0</v>
      </c>
      <c r="Q1161" t="n">
        <v>1</v>
      </c>
      <c r="R1161" s="2" t="inlineStr">
        <is>
          <t>Garnlav</t>
        </is>
      </c>
      <c r="S1161">
        <f>HYPERLINK("https://klasma.github.io/Logging_2284/artfynd/A 37506-2024 artfynd.xlsx", "A 37506-2024")</f>
        <v/>
      </c>
      <c r="T1161">
        <f>HYPERLINK("https://klasma.github.io/Logging_2284/kartor/A 37506-2024 karta.png", "A 37506-2024")</f>
        <v/>
      </c>
      <c r="V1161">
        <f>HYPERLINK("https://klasma.github.io/Logging_2284/klagomål/A 37506-2024 FSC-klagomål.docx", "A 37506-2024")</f>
        <v/>
      </c>
      <c r="W1161">
        <f>HYPERLINK("https://klasma.github.io/Logging_2284/klagomålsmail/A 37506-2024 FSC-klagomål mail.docx", "A 37506-2024")</f>
        <v/>
      </c>
      <c r="X1161">
        <f>HYPERLINK("https://klasma.github.io/Logging_2284/tillsyn/A 37506-2024 tillsynsbegäran.docx", "A 37506-2024")</f>
        <v/>
      </c>
      <c r="Y1161">
        <f>HYPERLINK("https://klasma.github.io/Logging_2284/tillsynsmail/A 37506-2024 tillsynsbegäran mail.docx", "A 37506-2024")</f>
        <v/>
      </c>
    </row>
    <row r="1162" ht="15" customHeight="1">
      <c r="A1162" t="inlineStr">
        <is>
          <t>A 56444-2025</t>
        </is>
      </c>
      <c r="B1162" s="1" t="n">
        <v>45975.3480324074</v>
      </c>
      <c r="C1162" s="1" t="n">
        <v>46093</v>
      </c>
      <c r="D1162" t="inlineStr">
        <is>
          <t>VÄSTERNORRLANDS LÄN</t>
        </is>
      </c>
      <c r="E1162" t="inlineStr">
        <is>
          <t>SOLLEFTEÅ</t>
        </is>
      </c>
      <c r="F1162" t="inlineStr">
        <is>
          <t>SCA</t>
        </is>
      </c>
      <c r="G1162" t="n">
        <v>4.1</v>
      </c>
      <c r="H1162" t="n">
        <v>1</v>
      </c>
      <c r="I1162" t="n">
        <v>1</v>
      </c>
      <c r="J1162" t="n">
        <v>0</v>
      </c>
      <c r="K1162" t="n">
        <v>0</v>
      </c>
      <c r="L1162" t="n">
        <v>0</v>
      </c>
      <c r="M1162" t="n">
        <v>0</v>
      </c>
      <c r="N1162" t="n">
        <v>0</v>
      </c>
      <c r="O1162" t="n">
        <v>0</v>
      </c>
      <c r="P1162" t="n">
        <v>0</v>
      </c>
      <c r="Q1162" t="n">
        <v>1</v>
      </c>
      <c r="R1162" s="2" t="inlineStr">
        <is>
          <t>Plattlummer</t>
        </is>
      </c>
      <c r="S1162">
        <f>HYPERLINK("https://klasma.github.io/Logging_2283/artfynd/A 56444-2025 artfynd.xlsx", "A 56444-2025")</f>
        <v/>
      </c>
      <c r="T1162">
        <f>HYPERLINK("https://klasma.github.io/Logging_2283/kartor/A 56444-2025 karta.png", "A 56444-2025")</f>
        <v/>
      </c>
      <c r="V1162">
        <f>HYPERLINK("https://klasma.github.io/Logging_2283/klagomål/A 56444-2025 FSC-klagomål.docx", "A 56444-2025")</f>
        <v/>
      </c>
      <c r="W1162">
        <f>HYPERLINK("https://klasma.github.io/Logging_2283/klagomålsmail/A 56444-2025 FSC-klagomål mail.docx", "A 56444-2025")</f>
        <v/>
      </c>
      <c r="X1162">
        <f>HYPERLINK("https://klasma.github.io/Logging_2283/tillsyn/A 56444-2025 tillsynsbegäran.docx", "A 56444-2025")</f>
        <v/>
      </c>
      <c r="Y1162">
        <f>HYPERLINK("https://klasma.github.io/Logging_2283/tillsynsmail/A 56444-2025 tillsynsbegäran mail.docx", "A 56444-2025")</f>
        <v/>
      </c>
    </row>
    <row r="1163" ht="15" customHeight="1">
      <c r="A1163" t="inlineStr">
        <is>
          <t>A 56479-2025</t>
        </is>
      </c>
      <c r="B1163" s="1" t="n">
        <v>45975.39144675926</v>
      </c>
      <c r="C1163" s="1" t="n">
        <v>46093</v>
      </c>
      <c r="D1163" t="inlineStr">
        <is>
          <t>VÄSTERNORRLANDS LÄN</t>
        </is>
      </c>
      <c r="E1163" t="inlineStr">
        <is>
          <t>ÖRNSKÖLDSVIK</t>
        </is>
      </c>
      <c r="F1163" t="inlineStr">
        <is>
          <t>Holmen skog AB</t>
        </is>
      </c>
      <c r="G1163" t="n">
        <v>3.5</v>
      </c>
      <c r="H1163" t="n">
        <v>1</v>
      </c>
      <c r="I1163" t="n">
        <v>0</v>
      </c>
      <c r="J1163" t="n">
        <v>1</v>
      </c>
      <c r="K1163" t="n">
        <v>0</v>
      </c>
      <c r="L1163" t="n">
        <v>0</v>
      </c>
      <c r="M1163" t="n">
        <v>0</v>
      </c>
      <c r="N1163" t="n">
        <v>0</v>
      </c>
      <c r="O1163" t="n">
        <v>1</v>
      </c>
      <c r="P1163" t="n">
        <v>0</v>
      </c>
      <c r="Q1163" t="n">
        <v>1</v>
      </c>
      <c r="R1163" s="2" t="inlineStr">
        <is>
          <t>Spillkråka</t>
        </is>
      </c>
      <c r="S1163">
        <f>HYPERLINK("https://klasma.github.io/Logging_2284/artfynd/A 56479-2025 artfynd.xlsx", "A 56479-2025")</f>
        <v/>
      </c>
      <c r="T1163">
        <f>HYPERLINK("https://klasma.github.io/Logging_2284/kartor/A 56479-2025 karta.png", "A 56479-2025")</f>
        <v/>
      </c>
      <c r="V1163">
        <f>HYPERLINK("https://klasma.github.io/Logging_2284/klagomål/A 56479-2025 FSC-klagomål.docx", "A 56479-2025")</f>
        <v/>
      </c>
      <c r="W1163">
        <f>HYPERLINK("https://klasma.github.io/Logging_2284/klagomålsmail/A 56479-2025 FSC-klagomål mail.docx", "A 56479-2025")</f>
        <v/>
      </c>
      <c r="X1163">
        <f>HYPERLINK("https://klasma.github.io/Logging_2284/tillsyn/A 56479-2025 tillsynsbegäran.docx", "A 56479-2025")</f>
        <v/>
      </c>
      <c r="Y1163">
        <f>HYPERLINK("https://klasma.github.io/Logging_2284/tillsynsmail/A 56479-2025 tillsynsbegäran mail.docx", "A 56479-2025")</f>
        <v/>
      </c>
      <c r="Z1163">
        <f>HYPERLINK("https://klasma.github.io/Logging_2284/fåglar/A 56479-2025 prioriterade fågelarter.docx", "A 56479-2025")</f>
        <v/>
      </c>
    </row>
    <row r="1164" ht="15" customHeight="1">
      <c r="A1164" t="inlineStr">
        <is>
          <t>A 11681-2024</t>
        </is>
      </c>
      <c r="B1164" s="1" t="n">
        <v>45373.58155092593</v>
      </c>
      <c r="C1164" s="1" t="n">
        <v>46093</v>
      </c>
      <c r="D1164" t="inlineStr">
        <is>
          <t>VÄSTERNORRLANDS LÄN</t>
        </is>
      </c>
      <c r="E1164" t="inlineStr">
        <is>
          <t>SUNDSVALL</t>
        </is>
      </c>
      <c r="F1164" t="inlineStr">
        <is>
          <t>Holmen skog AB</t>
        </is>
      </c>
      <c r="G1164" t="n">
        <v>9</v>
      </c>
      <c r="H1164" t="n">
        <v>1</v>
      </c>
      <c r="I1164" t="n">
        <v>0</v>
      </c>
      <c r="J1164" t="n">
        <v>0</v>
      </c>
      <c r="K1164" t="n">
        <v>0</v>
      </c>
      <c r="L1164" t="n">
        <v>0</v>
      </c>
      <c r="M1164" t="n">
        <v>0</v>
      </c>
      <c r="N1164" t="n">
        <v>0</v>
      </c>
      <c r="O1164" t="n">
        <v>0</v>
      </c>
      <c r="P1164" t="n">
        <v>0</v>
      </c>
      <c r="Q1164" t="n">
        <v>1</v>
      </c>
      <c r="R1164" s="2" t="inlineStr">
        <is>
          <t>Tjäder</t>
        </is>
      </c>
      <c r="S1164">
        <f>HYPERLINK("https://klasma.github.io/Logging_2281/artfynd/A 11681-2024 artfynd.xlsx", "A 11681-2024")</f>
        <v/>
      </c>
      <c r="T1164">
        <f>HYPERLINK("https://klasma.github.io/Logging_2281/kartor/A 11681-2024 karta.png", "A 11681-2024")</f>
        <v/>
      </c>
      <c r="V1164">
        <f>HYPERLINK("https://klasma.github.io/Logging_2281/klagomål/A 11681-2024 FSC-klagomål.docx", "A 11681-2024")</f>
        <v/>
      </c>
      <c r="W1164">
        <f>HYPERLINK("https://klasma.github.io/Logging_2281/klagomålsmail/A 11681-2024 FSC-klagomål mail.docx", "A 11681-2024")</f>
        <v/>
      </c>
      <c r="X1164">
        <f>HYPERLINK("https://klasma.github.io/Logging_2281/tillsyn/A 11681-2024 tillsynsbegäran.docx", "A 11681-2024")</f>
        <v/>
      </c>
      <c r="Y1164">
        <f>HYPERLINK("https://klasma.github.io/Logging_2281/tillsynsmail/A 11681-2024 tillsynsbegäran mail.docx", "A 11681-2024")</f>
        <v/>
      </c>
      <c r="Z1164">
        <f>HYPERLINK("https://klasma.github.io/Logging_2281/fåglar/A 11681-2024 prioriterade fågelarter.docx", "A 11681-2024")</f>
        <v/>
      </c>
    </row>
    <row r="1165" ht="15" customHeight="1">
      <c r="A1165" t="inlineStr">
        <is>
          <t>A 20078-2025</t>
        </is>
      </c>
      <c r="B1165" s="1" t="n">
        <v>45772.44892361111</v>
      </c>
      <c r="C1165" s="1" t="n">
        <v>46093</v>
      </c>
      <c r="D1165" t="inlineStr">
        <is>
          <t>VÄSTERNORRLANDS LÄN</t>
        </is>
      </c>
      <c r="E1165" t="inlineStr">
        <is>
          <t>SUNDSVALL</t>
        </is>
      </c>
      <c r="F1165" t="inlineStr">
        <is>
          <t>Naturvårdsverket</t>
        </is>
      </c>
      <c r="G1165" t="n">
        <v>6.9</v>
      </c>
      <c r="H1165" t="n">
        <v>0</v>
      </c>
      <c r="I1165" t="n">
        <v>0</v>
      </c>
      <c r="J1165" t="n">
        <v>1</v>
      </c>
      <c r="K1165" t="n">
        <v>0</v>
      </c>
      <c r="L1165" t="n">
        <v>0</v>
      </c>
      <c r="M1165" t="n">
        <v>0</v>
      </c>
      <c r="N1165" t="n">
        <v>0</v>
      </c>
      <c r="O1165" t="n">
        <v>1</v>
      </c>
      <c r="P1165" t="n">
        <v>0</v>
      </c>
      <c r="Q1165" t="n">
        <v>1</v>
      </c>
      <c r="R1165" s="2" t="inlineStr">
        <is>
          <t>Lunglav</t>
        </is>
      </c>
      <c r="S1165">
        <f>HYPERLINK("https://klasma.github.io/Logging_2281/artfynd/A 20078-2025 artfynd.xlsx", "A 20078-2025")</f>
        <v/>
      </c>
      <c r="T1165">
        <f>HYPERLINK("https://klasma.github.io/Logging_2281/kartor/A 20078-2025 karta.png", "A 20078-2025")</f>
        <v/>
      </c>
      <c r="V1165">
        <f>HYPERLINK("https://klasma.github.io/Logging_2281/klagomål/A 20078-2025 FSC-klagomål.docx", "A 20078-2025")</f>
        <v/>
      </c>
      <c r="W1165">
        <f>HYPERLINK("https://klasma.github.io/Logging_2281/klagomålsmail/A 20078-2025 FSC-klagomål mail.docx", "A 20078-2025")</f>
        <v/>
      </c>
      <c r="X1165">
        <f>HYPERLINK("https://klasma.github.io/Logging_2281/tillsyn/A 20078-2025 tillsynsbegäran.docx", "A 20078-2025")</f>
        <v/>
      </c>
      <c r="Y1165">
        <f>HYPERLINK("https://klasma.github.io/Logging_2281/tillsynsmail/A 20078-2025 tillsynsbegäran mail.docx", "A 20078-2025")</f>
        <v/>
      </c>
    </row>
    <row r="1166" ht="15" customHeight="1">
      <c r="A1166" t="inlineStr">
        <is>
          <t>A 56048-2025</t>
        </is>
      </c>
      <c r="B1166" s="1" t="n">
        <v>45973</v>
      </c>
      <c r="C1166" s="1" t="n">
        <v>46093</v>
      </c>
      <c r="D1166" t="inlineStr">
        <is>
          <t>VÄSTERNORRLANDS LÄN</t>
        </is>
      </c>
      <c r="E1166" t="inlineStr">
        <is>
          <t>SOLLEFTEÅ</t>
        </is>
      </c>
      <c r="G1166" t="n">
        <v>3.6</v>
      </c>
      <c r="H1166" t="n">
        <v>1</v>
      </c>
      <c r="I1166" t="n">
        <v>0</v>
      </c>
      <c r="J1166" t="n">
        <v>0</v>
      </c>
      <c r="K1166" t="n">
        <v>0</v>
      </c>
      <c r="L1166" t="n">
        <v>0</v>
      </c>
      <c r="M1166" t="n">
        <v>0</v>
      </c>
      <c r="N1166" t="n">
        <v>0</v>
      </c>
      <c r="O1166" t="n">
        <v>0</v>
      </c>
      <c r="P1166" t="n">
        <v>0</v>
      </c>
      <c r="Q1166" t="n">
        <v>1</v>
      </c>
      <c r="R1166" s="2" t="inlineStr">
        <is>
          <t>Tjäder</t>
        </is>
      </c>
      <c r="S1166">
        <f>HYPERLINK("https://klasma.github.io/Logging_2283/artfynd/A 56048-2025 artfynd.xlsx", "A 56048-2025")</f>
        <v/>
      </c>
      <c r="T1166">
        <f>HYPERLINK("https://klasma.github.io/Logging_2283/kartor/A 56048-2025 karta.png", "A 56048-2025")</f>
        <v/>
      </c>
      <c r="V1166">
        <f>HYPERLINK("https://klasma.github.io/Logging_2283/klagomål/A 56048-2025 FSC-klagomål.docx", "A 56048-2025")</f>
        <v/>
      </c>
      <c r="W1166">
        <f>HYPERLINK("https://klasma.github.io/Logging_2283/klagomålsmail/A 56048-2025 FSC-klagomål mail.docx", "A 56048-2025")</f>
        <v/>
      </c>
      <c r="X1166">
        <f>HYPERLINK("https://klasma.github.io/Logging_2283/tillsyn/A 56048-2025 tillsynsbegäran.docx", "A 56048-2025")</f>
        <v/>
      </c>
      <c r="Y1166">
        <f>HYPERLINK("https://klasma.github.io/Logging_2283/tillsynsmail/A 56048-2025 tillsynsbegäran mail.docx", "A 56048-2025")</f>
        <v/>
      </c>
      <c r="Z1166">
        <f>HYPERLINK("https://klasma.github.io/Logging_2283/fåglar/A 56048-2025 prioriterade fågelarter.docx", "A 56048-2025")</f>
        <v/>
      </c>
    </row>
    <row r="1167" ht="15" customHeight="1">
      <c r="A1167" t="inlineStr">
        <is>
          <t>A 56421-2025</t>
        </is>
      </c>
      <c r="B1167" s="1" t="n">
        <v>45975.34498842592</v>
      </c>
      <c r="C1167" s="1" t="n">
        <v>46093</v>
      </c>
      <c r="D1167" t="inlineStr">
        <is>
          <t>VÄSTERNORRLANDS LÄN</t>
        </is>
      </c>
      <c r="E1167" t="inlineStr">
        <is>
          <t>SOLLEFTEÅ</t>
        </is>
      </c>
      <c r="F1167" t="inlineStr">
        <is>
          <t>SCA</t>
        </is>
      </c>
      <c r="G1167" t="n">
        <v>2.2</v>
      </c>
      <c r="H1167" t="n">
        <v>0</v>
      </c>
      <c r="I1167" t="n">
        <v>0</v>
      </c>
      <c r="J1167" t="n">
        <v>1</v>
      </c>
      <c r="K1167" t="n">
        <v>0</v>
      </c>
      <c r="L1167" t="n">
        <v>0</v>
      </c>
      <c r="M1167" t="n">
        <v>0</v>
      </c>
      <c r="N1167" t="n">
        <v>0</v>
      </c>
      <c r="O1167" t="n">
        <v>1</v>
      </c>
      <c r="P1167" t="n">
        <v>0</v>
      </c>
      <c r="Q1167" t="n">
        <v>1</v>
      </c>
      <c r="R1167" s="2" t="inlineStr">
        <is>
          <t>Harticka</t>
        </is>
      </c>
      <c r="S1167">
        <f>HYPERLINK("https://klasma.github.io/Logging_2283/artfynd/A 56421-2025 artfynd.xlsx", "A 56421-2025")</f>
        <v/>
      </c>
      <c r="T1167">
        <f>HYPERLINK("https://klasma.github.io/Logging_2283/kartor/A 56421-2025 karta.png", "A 56421-2025")</f>
        <v/>
      </c>
      <c r="V1167">
        <f>HYPERLINK("https://klasma.github.io/Logging_2283/klagomål/A 56421-2025 FSC-klagomål.docx", "A 56421-2025")</f>
        <v/>
      </c>
      <c r="W1167">
        <f>HYPERLINK("https://klasma.github.io/Logging_2283/klagomålsmail/A 56421-2025 FSC-klagomål mail.docx", "A 56421-2025")</f>
        <v/>
      </c>
      <c r="X1167">
        <f>HYPERLINK("https://klasma.github.io/Logging_2283/tillsyn/A 56421-2025 tillsynsbegäran.docx", "A 56421-2025")</f>
        <v/>
      </c>
      <c r="Y1167">
        <f>HYPERLINK("https://klasma.github.io/Logging_2283/tillsynsmail/A 56421-2025 tillsynsbegäran mail.docx", "A 56421-2025")</f>
        <v/>
      </c>
    </row>
    <row r="1168" ht="15" customHeight="1">
      <c r="A1168" t="inlineStr">
        <is>
          <t>A 56427-2025</t>
        </is>
      </c>
      <c r="B1168" s="1" t="n">
        <v>45975.34572916666</v>
      </c>
      <c r="C1168" s="1" t="n">
        <v>46093</v>
      </c>
      <c r="D1168" t="inlineStr">
        <is>
          <t>VÄSTERNORRLANDS LÄN</t>
        </is>
      </c>
      <c r="E1168" t="inlineStr">
        <is>
          <t>SUNDSVALL</t>
        </is>
      </c>
      <c r="G1168" t="n">
        <v>0.5</v>
      </c>
      <c r="H1168" t="n">
        <v>1</v>
      </c>
      <c r="I1168" t="n">
        <v>0</v>
      </c>
      <c r="J1168" t="n">
        <v>0</v>
      </c>
      <c r="K1168" t="n">
        <v>0</v>
      </c>
      <c r="L1168" t="n">
        <v>0</v>
      </c>
      <c r="M1168" t="n">
        <v>0</v>
      </c>
      <c r="N1168" t="n">
        <v>0</v>
      </c>
      <c r="O1168" t="n">
        <v>0</v>
      </c>
      <c r="P1168" t="n">
        <v>0</v>
      </c>
      <c r="Q1168" t="n">
        <v>1</v>
      </c>
      <c r="R1168" s="2" t="inlineStr">
        <is>
          <t>Trana</t>
        </is>
      </c>
      <c r="S1168">
        <f>HYPERLINK("https://klasma.github.io/Logging_2281/artfynd/A 56427-2025 artfynd.xlsx", "A 56427-2025")</f>
        <v/>
      </c>
      <c r="T1168">
        <f>HYPERLINK("https://klasma.github.io/Logging_2281/kartor/A 56427-2025 karta.png", "A 56427-2025")</f>
        <v/>
      </c>
      <c r="V1168">
        <f>HYPERLINK("https://klasma.github.io/Logging_2281/klagomål/A 56427-2025 FSC-klagomål.docx", "A 56427-2025")</f>
        <v/>
      </c>
      <c r="W1168">
        <f>HYPERLINK("https://klasma.github.io/Logging_2281/klagomålsmail/A 56427-2025 FSC-klagomål mail.docx", "A 56427-2025")</f>
        <v/>
      </c>
      <c r="X1168">
        <f>HYPERLINK("https://klasma.github.io/Logging_2281/tillsyn/A 56427-2025 tillsynsbegäran.docx", "A 56427-2025")</f>
        <v/>
      </c>
      <c r="Y1168">
        <f>HYPERLINK("https://klasma.github.io/Logging_2281/tillsynsmail/A 56427-2025 tillsynsbegäran mail.docx", "A 56427-2025")</f>
        <v/>
      </c>
      <c r="Z1168">
        <f>HYPERLINK("https://klasma.github.io/Logging_2281/fåglar/A 56427-2025 prioriterade fågelarter.docx", "A 56427-2025")</f>
        <v/>
      </c>
    </row>
    <row r="1169" ht="15" customHeight="1">
      <c r="A1169" t="inlineStr">
        <is>
          <t>A 57049-2025</t>
        </is>
      </c>
      <c r="B1169" s="1" t="n">
        <v>45979.34706018519</v>
      </c>
      <c r="C1169" s="1" t="n">
        <v>46093</v>
      </c>
      <c r="D1169" t="inlineStr">
        <is>
          <t>VÄSTERNORRLANDS LÄN</t>
        </is>
      </c>
      <c r="E1169" t="inlineStr">
        <is>
          <t>SUNDSVALL</t>
        </is>
      </c>
      <c r="F1169" t="inlineStr">
        <is>
          <t>SCA</t>
        </is>
      </c>
      <c r="G1169" t="n">
        <v>7.8</v>
      </c>
      <c r="H1169" t="n">
        <v>1</v>
      </c>
      <c r="I1169" t="n">
        <v>0</v>
      </c>
      <c r="J1169" t="n">
        <v>0</v>
      </c>
      <c r="K1169" t="n">
        <v>0</v>
      </c>
      <c r="L1169" t="n">
        <v>0</v>
      </c>
      <c r="M1169" t="n">
        <v>0</v>
      </c>
      <c r="N1169" t="n">
        <v>0</v>
      </c>
      <c r="O1169" t="n">
        <v>0</v>
      </c>
      <c r="P1169" t="n">
        <v>0</v>
      </c>
      <c r="Q1169" t="n">
        <v>1</v>
      </c>
      <c r="R1169" s="2" t="inlineStr">
        <is>
          <t>Tjäder</t>
        </is>
      </c>
      <c r="S1169">
        <f>HYPERLINK("https://klasma.github.io/Logging_2281/artfynd/A 57049-2025 artfynd.xlsx", "A 57049-2025")</f>
        <v/>
      </c>
      <c r="T1169">
        <f>HYPERLINK("https://klasma.github.io/Logging_2281/kartor/A 57049-2025 karta.png", "A 57049-2025")</f>
        <v/>
      </c>
      <c r="V1169">
        <f>HYPERLINK("https://klasma.github.io/Logging_2281/klagomål/A 57049-2025 FSC-klagomål.docx", "A 57049-2025")</f>
        <v/>
      </c>
      <c r="W1169">
        <f>HYPERLINK("https://klasma.github.io/Logging_2281/klagomålsmail/A 57049-2025 FSC-klagomål mail.docx", "A 57049-2025")</f>
        <v/>
      </c>
      <c r="X1169">
        <f>HYPERLINK("https://klasma.github.io/Logging_2281/tillsyn/A 57049-2025 tillsynsbegäran.docx", "A 57049-2025")</f>
        <v/>
      </c>
      <c r="Y1169">
        <f>HYPERLINK("https://klasma.github.io/Logging_2281/tillsynsmail/A 57049-2025 tillsynsbegäran mail.docx", "A 57049-2025")</f>
        <v/>
      </c>
      <c r="Z1169">
        <f>HYPERLINK("https://klasma.github.io/Logging_2281/fåglar/A 57049-2025 prioriterade fågelarter.docx", "A 57049-2025")</f>
        <v/>
      </c>
    </row>
    <row r="1170" ht="15" customHeight="1">
      <c r="A1170" t="inlineStr">
        <is>
          <t>A 19305-2022</t>
        </is>
      </c>
      <c r="B1170" s="1" t="n">
        <v>44692</v>
      </c>
      <c r="C1170" s="1" t="n">
        <v>46093</v>
      </c>
      <c r="D1170" t="inlineStr">
        <is>
          <t>VÄSTERNORRLANDS LÄN</t>
        </is>
      </c>
      <c r="E1170" t="inlineStr">
        <is>
          <t>SUNDSVALL</t>
        </is>
      </c>
      <c r="G1170" t="n">
        <v>4.1</v>
      </c>
      <c r="H1170" t="n">
        <v>0</v>
      </c>
      <c r="I1170" t="n">
        <v>0</v>
      </c>
      <c r="J1170" t="n">
        <v>1</v>
      </c>
      <c r="K1170" t="n">
        <v>0</v>
      </c>
      <c r="L1170" t="n">
        <v>0</v>
      </c>
      <c r="M1170" t="n">
        <v>0</v>
      </c>
      <c r="N1170" t="n">
        <v>0</v>
      </c>
      <c r="O1170" t="n">
        <v>1</v>
      </c>
      <c r="P1170" t="n">
        <v>0</v>
      </c>
      <c r="Q1170" t="n">
        <v>1</v>
      </c>
      <c r="R1170" s="2" t="inlineStr">
        <is>
          <t>Månlåsbräken</t>
        </is>
      </c>
      <c r="S1170">
        <f>HYPERLINK("https://klasma.github.io/Logging_2281/artfynd/A 19305-2022 artfynd.xlsx", "A 19305-2022")</f>
        <v/>
      </c>
      <c r="T1170">
        <f>HYPERLINK("https://klasma.github.io/Logging_2281/kartor/A 19305-2022 karta.png", "A 19305-2022")</f>
        <v/>
      </c>
      <c r="V1170">
        <f>HYPERLINK("https://klasma.github.io/Logging_2281/klagomål/A 19305-2022 FSC-klagomål.docx", "A 19305-2022")</f>
        <v/>
      </c>
      <c r="W1170">
        <f>HYPERLINK("https://klasma.github.io/Logging_2281/klagomålsmail/A 19305-2022 FSC-klagomål mail.docx", "A 19305-2022")</f>
        <v/>
      </c>
      <c r="X1170">
        <f>HYPERLINK("https://klasma.github.io/Logging_2281/tillsyn/A 19305-2022 tillsynsbegäran.docx", "A 19305-2022")</f>
        <v/>
      </c>
      <c r="Y1170">
        <f>HYPERLINK("https://klasma.github.io/Logging_2281/tillsynsmail/A 19305-2022 tillsynsbegäran mail.docx", "A 19305-2022")</f>
        <v/>
      </c>
    </row>
    <row r="1171" ht="15" customHeight="1">
      <c r="A1171" t="inlineStr">
        <is>
          <t>A 58147-2021</t>
        </is>
      </c>
      <c r="B1171" s="1" t="n">
        <v>44487</v>
      </c>
      <c r="C1171" s="1" t="n">
        <v>46093</v>
      </c>
      <c r="D1171" t="inlineStr">
        <is>
          <t>VÄSTERNORRLANDS LÄN</t>
        </is>
      </c>
      <c r="E1171" t="inlineStr">
        <is>
          <t>ÖRNSKÖLDSVIK</t>
        </is>
      </c>
      <c r="G1171" t="n">
        <v>6.4</v>
      </c>
      <c r="H1171" t="n">
        <v>1</v>
      </c>
      <c r="I1171" t="n">
        <v>0</v>
      </c>
      <c r="J1171" t="n">
        <v>0</v>
      </c>
      <c r="K1171" t="n">
        <v>0</v>
      </c>
      <c r="L1171" t="n">
        <v>0</v>
      </c>
      <c r="M1171" t="n">
        <v>0</v>
      </c>
      <c r="N1171" t="n">
        <v>0</v>
      </c>
      <c r="O1171" t="n">
        <v>0</v>
      </c>
      <c r="P1171" t="n">
        <v>0</v>
      </c>
      <c r="Q1171" t="n">
        <v>1</v>
      </c>
      <c r="R1171" s="2" t="inlineStr">
        <is>
          <t>Fläcknycklar</t>
        </is>
      </c>
      <c r="S1171">
        <f>HYPERLINK("https://klasma.github.io/Logging_2284/artfynd/A 58147-2021 artfynd.xlsx", "A 58147-2021")</f>
        <v/>
      </c>
      <c r="T1171">
        <f>HYPERLINK("https://klasma.github.io/Logging_2284/kartor/A 58147-2021 karta.png", "A 58147-2021")</f>
        <v/>
      </c>
      <c r="V1171">
        <f>HYPERLINK("https://klasma.github.io/Logging_2284/klagomål/A 58147-2021 FSC-klagomål.docx", "A 58147-2021")</f>
        <v/>
      </c>
      <c r="W1171">
        <f>HYPERLINK("https://klasma.github.io/Logging_2284/klagomålsmail/A 58147-2021 FSC-klagomål mail.docx", "A 58147-2021")</f>
        <v/>
      </c>
      <c r="X1171">
        <f>HYPERLINK("https://klasma.github.io/Logging_2284/tillsyn/A 58147-2021 tillsynsbegäran.docx", "A 58147-2021")</f>
        <v/>
      </c>
      <c r="Y1171">
        <f>HYPERLINK("https://klasma.github.io/Logging_2284/tillsynsmail/A 58147-2021 tillsynsbegäran mail.docx", "A 58147-2021")</f>
        <v/>
      </c>
    </row>
    <row r="1172" ht="15" customHeight="1">
      <c r="A1172" t="inlineStr">
        <is>
          <t>A 29327-2023</t>
        </is>
      </c>
      <c r="B1172" s="1" t="n">
        <v>45105.94349537037</v>
      </c>
      <c r="C1172" s="1" t="n">
        <v>46093</v>
      </c>
      <c r="D1172" t="inlineStr">
        <is>
          <t>VÄSTERNORRLANDS LÄN</t>
        </is>
      </c>
      <c r="E1172" t="inlineStr">
        <is>
          <t>ÅNGE</t>
        </is>
      </c>
      <c r="G1172" t="n">
        <v>7.8</v>
      </c>
      <c r="H1172" t="n">
        <v>0</v>
      </c>
      <c r="I1172" t="n">
        <v>0</v>
      </c>
      <c r="J1172" t="n">
        <v>1</v>
      </c>
      <c r="K1172" t="n">
        <v>0</v>
      </c>
      <c r="L1172" t="n">
        <v>0</v>
      </c>
      <c r="M1172" t="n">
        <v>0</v>
      </c>
      <c r="N1172" t="n">
        <v>0</v>
      </c>
      <c r="O1172" t="n">
        <v>1</v>
      </c>
      <c r="P1172" t="n">
        <v>0</v>
      </c>
      <c r="Q1172" t="n">
        <v>1</v>
      </c>
      <c r="R1172" s="2" t="inlineStr">
        <is>
          <t>Mörk kolflarnlav</t>
        </is>
      </c>
      <c r="S1172">
        <f>HYPERLINK("https://klasma.github.io/Logging_2260/artfynd/A 29327-2023 artfynd.xlsx", "A 29327-2023")</f>
        <v/>
      </c>
      <c r="T1172">
        <f>HYPERLINK("https://klasma.github.io/Logging_2260/kartor/A 29327-2023 karta.png", "A 29327-2023")</f>
        <v/>
      </c>
      <c r="V1172">
        <f>HYPERLINK("https://klasma.github.io/Logging_2260/klagomål/A 29327-2023 FSC-klagomål.docx", "A 29327-2023")</f>
        <v/>
      </c>
      <c r="W1172">
        <f>HYPERLINK("https://klasma.github.io/Logging_2260/klagomålsmail/A 29327-2023 FSC-klagomål mail.docx", "A 29327-2023")</f>
        <v/>
      </c>
      <c r="X1172">
        <f>HYPERLINK("https://klasma.github.io/Logging_2260/tillsyn/A 29327-2023 tillsynsbegäran.docx", "A 29327-2023")</f>
        <v/>
      </c>
      <c r="Y1172">
        <f>HYPERLINK("https://klasma.github.io/Logging_2260/tillsynsmail/A 29327-2023 tillsynsbegäran mail.docx", "A 29327-2023")</f>
        <v/>
      </c>
    </row>
    <row r="1173" ht="15" customHeight="1">
      <c r="A1173" t="inlineStr">
        <is>
          <t>A 16269-2022</t>
        </is>
      </c>
      <c r="B1173" s="1" t="n">
        <v>44670</v>
      </c>
      <c r="C1173" s="1" t="n">
        <v>46093</v>
      </c>
      <c r="D1173" t="inlineStr">
        <is>
          <t>VÄSTERNORRLANDS LÄN</t>
        </is>
      </c>
      <c r="E1173" t="inlineStr">
        <is>
          <t>SOLLEFTEÅ</t>
        </is>
      </c>
      <c r="F1173" t="inlineStr">
        <is>
          <t>Holmen skog AB</t>
        </is>
      </c>
      <c r="G1173" t="n">
        <v>4.6</v>
      </c>
      <c r="H1173" t="n">
        <v>1</v>
      </c>
      <c r="I1173" t="n">
        <v>0</v>
      </c>
      <c r="J1173" t="n">
        <v>1</v>
      </c>
      <c r="K1173" t="n">
        <v>0</v>
      </c>
      <c r="L1173" t="n">
        <v>0</v>
      </c>
      <c r="M1173" t="n">
        <v>0</v>
      </c>
      <c r="N1173" t="n">
        <v>0</v>
      </c>
      <c r="O1173" t="n">
        <v>1</v>
      </c>
      <c r="P1173" t="n">
        <v>0</v>
      </c>
      <c r="Q1173" t="n">
        <v>1</v>
      </c>
      <c r="R1173" s="2" t="inlineStr">
        <is>
          <t>Tretåig hackspett</t>
        </is>
      </c>
      <c r="S1173">
        <f>HYPERLINK("https://klasma.github.io/Logging_2283/artfynd/A 16269-2022 artfynd.xlsx", "A 16269-2022")</f>
        <v/>
      </c>
      <c r="T1173">
        <f>HYPERLINK("https://klasma.github.io/Logging_2283/kartor/A 16269-2022 karta.png", "A 16269-2022")</f>
        <v/>
      </c>
      <c r="V1173">
        <f>HYPERLINK("https://klasma.github.io/Logging_2283/klagomål/A 16269-2022 FSC-klagomål.docx", "A 16269-2022")</f>
        <v/>
      </c>
      <c r="W1173">
        <f>HYPERLINK("https://klasma.github.io/Logging_2283/klagomålsmail/A 16269-2022 FSC-klagomål mail.docx", "A 16269-2022")</f>
        <v/>
      </c>
      <c r="X1173">
        <f>HYPERLINK("https://klasma.github.io/Logging_2283/tillsyn/A 16269-2022 tillsynsbegäran.docx", "A 16269-2022")</f>
        <v/>
      </c>
      <c r="Y1173">
        <f>HYPERLINK("https://klasma.github.io/Logging_2283/tillsynsmail/A 16269-2022 tillsynsbegäran mail.docx", "A 16269-2022")</f>
        <v/>
      </c>
      <c r="Z1173">
        <f>HYPERLINK("https://klasma.github.io/Logging_2283/fåglar/A 16269-2022 prioriterade fågelarter.docx", "A 16269-2022")</f>
        <v/>
      </c>
    </row>
    <row r="1174" ht="15" customHeight="1">
      <c r="A1174" t="inlineStr">
        <is>
          <t>A 57030-2025</t>
        </is>
      </c>
      <c r="B1174" s="1" t="n">
        <v>45979.33709490741</v>
      </c>
      <c r="C1174" s="1" t="n">
        <v>46093</v>
      </c>
      <c r="D1174" t="inlineStr">
        <is>
          <t>VÄSTERNORRLANDS LÄN</t>
        </is>
      </c>
      <c r="E1174" t="inlineStr">
        <is>
          <t>KRAMFORS</t>
        </is>
      </c>
      <c r="G1174" t="n">
        <v>2.5</v>
      </c>
      <c r="H1174" t="n">
        <v>1</v>
      </c>
      <c r="I1174" t="n">
        <v>0</v>
      </c>
      <c r="J1174" t="n">
        <v>0</v>
      </c>
      <c r="K1174" t="n">
        <v>0</v>
      </c>
      <c r="L1174" t="n">
        <v>0</v>
      </c>
      <c r="M1174" t="n">
        <v>0</v>
      </c>
      <c r="N1174" t="n">
        <v>0</v>
      </c>
      <c r="O1174" t="n">
        <v>0</v>
      </c>
      <c r="P1174" t="n">
        <v>0</v>
      </c>
      <c r="Q1174" t="n">
        <v>1</v>
      </c>
      <c r="R1174" s="2" t="inlineStr">
        <is>
          <t>Blåsippa</t>
        </is>
      </c>
      <c r="S1174">
        <f>HYPERLINK("https://klasma.github.io/Logging_2282/artfynd/A 57030-2025 artfynd.xlsx", "A 57030-2025")</f>
        <v/>
      </c>
      <c r="T1174">
        <f>HYPERLINK("https://klasma.github.io/Logging_2282/kartor/A 57030-2025 karta.png", "A 57030-2025")</f>
        <v/>
      </c>
      <c r="V1174">
        <f>HYPERLINK("https://klasma.github.io/Logging_2282/klagomål/A 57030-2025 FSC-klagomål.docx", "A 57030-2025")</f>
        <v/>
      </c>
      <c r="W1174">
        <f>HYPERLINK("https://klasma.github.io/Logging_2282/klagomålsmail/A 57030-2025 FSC-klagomål mail.docx", "A 57030-2025")</f>
        <v/>
      </c>
      <c r="X1174">
        <f>HYPERLINK("https://klasma.github.io/Logging_2282/tillsyn/A 57030-2025 tillsynsbegäran.docx", "A 57030-2025")</f>
        <v/>
      </c>
      <c r="Y1174">
        <f>HYPERLINK("https://klasma.github.io/Logging_2282/tillsynsmail/A 57030-2025 tillsynsbegäran mail.docx", "A 57030-2025")</f>
        <v/>
      </c>
    </row>
    <row r="1175" ht="15" customHeight="1">
      <c r="A1175" t="inlineStr">
        <is>
          <t>A 30462-2024</t>
        </is>
      </c>
      <c r="B1175" s="1" t="n">
        <v>45491</v>
      </c>
      <c r="C1175" s="1" t="n">
        <v>46093</v>
      </c>
      <c r="D1175" t="inlineStr">
        <is>
          <t>VÄSTERNORRLANDS LÄN</t>
        </is>
      </c>
      <c r="E1175" t="inlineStr">
        <is>
          <t>SUNDSVALL</t>
        </is>
      </c>
      <c r="F1175" t="inlineStr">
        <is>
          <t>SCA</t>
        </is>
      </c>
      <c r="G1175" t="n">
        <v>4.1</v>
      </c>
      <c r="H1175" t="n">
        <v>0</v>
      </c>
      <c r="I1175" t="n">
        <v>0</v>
      </c>
      <c r="J1175" t="n">
        <v>1</v>
      </c>
      <c r="K1175" t="n">
        <v>0</v>
      </c>
      <c r="L1175" t="n">
        <v>0</v>
      </c>
      <c r="M1175" t="n">
        <v>0</v>
      </c>
      <c r="N1175" t="n">
        <v>0</v>
      </c>
      <c r="O1175" t="n">
        <v>1</v>
      </c>
      <c r="P1175" t="n">
        <v>0</v>
      </c>
      <c r="Q1175" t="n">
        <v>1</v>
      </c>
      <c r="R1175" s="2" t="inlineStr">
        <is>
          <t>Igelkott</t>
        </is>
      </c>
      <c r="S1175">
        <f>HYPERLINK("https://klasma.github.io/Logging_2281/artfynd/A 30462-2024 artfynd.xlsx", "A 30462-2024")</f>
        <v/>
      </c>
      <c r="T1175">
        <f>HYPERLINK("https://klasma.github.io/Logging_2281/kartor/A 30462-2024 karta.png", "A 30462-2024")</f>
        <v/>
      </c>
      <c r="V1175">
        <f>HYPERLINK("https://klasma.github.io/Logging_2281/klagomål/A 30462-2024 FSC-klagomål.docx", "A 30462-2024")</f>
        <v/>
      </c>
      <c r="W1175">
        <f>HYPERLINK("https://klasma.github.io/Logging_2281/klagomålsmail/A 30462-2024 FSC-klagomål mail.docx", "A 30462-2024")</f>
        <v/>
      </c>
      <c r="X1175">
        <f>HYPERLINK("https://klasma.github.io/Logging_2281/tillsyn/A 30462-2024 tillsynsbegäran.docx", "A 30462-2024")</f>
        <v/>
      </c>
      <c r="Y1175">
        <f>HYPERLINK("https://klasma.github.io/Logging_2281/tillsynsmail/A 30462-2024 tillsynsbegäran mail.docx", "A 30462-2024")</f>
        <v/>
      </c>
    </row>
    <row r="1176" ht="15" customHeight="1">
      <c r="A1176" t="inlineStr">
        <is>
          <t>A 21740-2021</t>
        </is>
      </c>
      <c r="B1176" s="1" t="n">
        <v>44321</v>
      </c>
      <c r="C1176" s="1" t="n">
        <v>46093</v>
      </c>
      <c r="D1176" t="inlineStr">
        <is>
          <t>VÄSTERNORRLANDS LÄN</t>
        </is>
      </c>
      <c r="E1176" t="inlineStr">
        <is>
          <t>HÄRNÖSAND</t>
        </is>
      </c>
      <c r="G1176" t="n">
        <v>12.2</v>
      </c>
      <c r="H1176" t="n">
        <v>0</v>
      </c>
      <c r="I1176" t="n">
        <v>1</v>
      </c>
      <c r="J1176" t="n">
        <v>0</v>
      </c>
      <c r="K1176" t="n">
        <v>0</v>
      </c>
      <c r="L1176" t="n">
        <v>0</v>
      </c>
      <c r="M1176" t="n">
        <v>0</v>
      </c>
      <c r="N1176" t="n">
        <v>0</v>
      </c>
      <c r="O1176" t="n">
        <v>0</v>
      </c>
      <c r="P1176" t="n">
        <v>0</v>
      </c>
      <c r="Q1176" t="n">
        <v>1</v>
      </c>
      <c r="R1176" s="2" t="inlineStr">
        <is>
          <t>Bronshjon</t>
        </is>
      </c>
      <c r="S1176">
        <f>HYPERLINK("https://klasma.github.io/Logging_2280/artfynd/A 21740-2021 artfynd.xlsx", "A 21740-2021")</f>
        <v/>
      </c>
      <c r="T1176">
        <f>HYPERLINK("https://klasma.github.io/Logging_2280/kartor/A 21740-2021 karta.png", "A 21740-2021")</f>
        <v/>
      </c>
      <c r="V1176">
        <f>HYPERLINK("https://klasma.github.io/Logging_2280/klagomål/A 21740-2021 FSC-klagomål.docx", "A 21740-2021")</f>
        <v/>
      </c>
      <c r="W1176">
        <f>HYPERLINK("https://klasma.github.io/Logging_2280/klagomålsmail/A 21740-2021 FSC-klagomål mail.docx", "A 21740-2021")</f>
        <v/>
      </c>
      <c r="X1176">
        <f>HYPERLINK("https://klasma.github.io/Logging_2280/tillsyn/A 21740-2021 tillsynsbegäran.docx", "A 21740-2021")</f>
        <v/>
      </c>
      <c r="Y1176">
        <f>HYPERLINK("https://klasma.github.io/Logging_2280/tillsynsmail/A 21740-2021 tillsynsbegäran mail.docx", "A 21740-2021")</f>
        <v/>
      </c>
    </row>
    <row r="1177" ht="15" customHeight="1">
      <c r="A1177" t="inlineStr">
        <is>
          <t>A 57987-2025</t>
        </is>
      </c>
      <c r="B1177" s="1" t="n">
        <v>45982.41984953704</v>
      </c>
      <c r="C1177" s="1" t="n">
        <v>46093</v>
      </c>
      <c r="D1177" t="inlineStr">
        <is>
          <t>VÄSTERNORRLANDS LÄN</t>
        </is>
      </c>
      <c r="E1177" t="inlineStr">
        <is>
          <t>SOLLEFTEÅ</t>
        </is>
      </c>
      <c r="G1177" t="n">
        <v>2.8</v>
      </c>
      <c r="H1177" t="n">
        <v>0</v>
      </c>
      <c r="I1177" t="n">
        <v>1</v>
      </c>
      <c r="J1177" t="n">
        <v>0</v>
      </c>
      <c r="K1177" t="n">
        <v>0</v>
      </c>
      <c r="L1177" t="n">
        <v>0</v>
      </c>
      <c r="M1177" t="n">
        <v>0</v>
      </c>
      <c r="N1177" t="n">
        <v>0</v>
      </c>
      <c r="O1177" t="n">
        <v>0</v>
      </c>
      <c r="P1177" t="n">
        <v>0</v>
      </c>
      <c r="Q1177" t="n">
        <v>1</v>
      </c>
      <c r="R1177" s="2" t="inlineStr">
        <is>
          <t>Stuplav</t>
        </is>
      </c>
      <c r="S1177">
        <f>HYPERLINK("https://klasma.github.io/Logging_2283/artfynd/A 57987-2025 artfynd.xlsx", "A 57987-2025")</f>
        <v/>
      </c>
      <c r="T1177">
        <f>HYPERLINK("https://klasma.github.io/Logging_2283/kartor/A 57987-2025 karta.png", "A 57987-2025")</f>
        <v/>
      </c>
      <c r="V1177">
        <f>HYPERLINK("https://klasma.github.io/Logging_2283/klagomål/A 57987-2025 FSC-klagomål.docx", "A 57987-2025")</f>
        <v/>
      </c>
      <c r="W1177">
        <f>HYPERLINK("https://klasma.github.io/Logging_2283/klagomålsmail/A 57987-2025 FSC-klagomål mail.docx", "A 57987-2025")</f>
        <v/>
      </c>
      <c r="X1177">
        <f>HYPERLINK("https://klasma.github.io/Logging_2283/tillsyn/A 57987-2025 tillsynsbegäran.docx", "A 57987-2025")</f>
        <v/>
      </c>
      <c r="Y1177">
        <f>HYPERLINK("https://klasma.github.io/Logging_2283/tillsynsmail/A 57987-2025 tillsynsbegäran mail.docx", "A 57987-2025")</f>
        <v/>
      </c>
    </row>
    <row r="1178" ht="15" customHeight="1">
      <c r="A1178" t="inlineStr">
        <is>
          <t>A 2795-2024</t>
        </is>
      </c>
      <c r="B1178" s="1" t="n">
        <v>45314</v>
      </c>
      <c r="C1178" s="1" t="n">
        <v>46093</v>
      </c>
      <c r="D1178" t="inlineStr">
        <is>
          <t>VÄSTERNORRLANDS LÄN</t>
        </is>
      </c>
      <c r="E1178" t="inlineStr">
        <is>
          <t>HÄRNÖSAND</t>
        </is>
      </c>
      <c r="F1178" t="inlineStr">
        <is>
          <t>Kyrkan</t>
        </is>
      </c>
      <c r="G1178" t="n">
        <v>2.5</v>
      </c>
      <c r="H1178" t="n">
        <v>0</v>
      </c>
      <c r="I1178" t="n">
        <v>0</v>
      </c>
      <c r="J1178" t="n">
        <v>1</v>
      </c>
      <c r="K1178" t="n">
        <v>0</v>
      </c>
      <c r="L1178" t="n">
        <v>0</v>
      </c>
      <c r="M1178" t="n">
        <v>0</v>
      </c>
      <c r="N1178" t="n">
        <v>0</v>
      </c>
      <c r="O1178" t="n">
        <v>1</v>
      </c>
      <c r="P1178" t="n">
        <v>0</v>
      </c>
      <c r="Q1178" t="n">
        <v>1</v>
      </c>
      <c r="R1178" s="2" t="inlineStr">
        <is>
          <t>Ullticka</t>
        </is>
      </c>
      <c r="S1178">
        <f>HYPERLINK("https://klasma.github.io/Logging_2280/artfynd/A 2795-2024 artfynd.xlsx", "A 2795-2024")</f>
        <v/>
      </c>
      <c r="T1178">
        <f>HYPERLINK("https://klasma.github.io/Logging_2280/kartor/A 2795-2024 karta.png", "A 2795-2024")</f>
        <v/>
      </c>
      <c r="V1178">
        <f>HYPERLINK("https://klasma.github.io/Logging_2280/klagomål/A 2795-2024 FSC-klagomål.docx", "A 2795-2024")</f>
        <v/>
      </c>
      <c r="W1178">
        <f>HYPERLINK("https://klasma.github.io/Logging_2280/klagomålsmail/A 2795-2024 FSC-klagomål mail.docx", "A 2795-2024")</f>
        <v/>
      </c>
      <c r="X1178">
        <f>HYPERLINK("https://klasma.github.io/Logging_2280/tillsyn/A 2795-2024 tillsynsbegäran.docx", "A 2795-2024")</f>
        <v/>
      </c>
      <c r="Y1178">
        <f>HYPERLINK("https://klasma.github.io/Logging_2280/tillsynsmail/A 2795-2024 tillsynsbegäran mail.docx", "A 2795-2024")</f>
        <v/>
      </c>
    </row>
    <row r="1179" ht="15" customHeight="1">
      <c r="A1179" t="inlineStr">
        <is>
          <t>A 52424-2023</t>
        </is>
      </c>
      <c r="B1179" s="1" t="n">
        <v>45217</v>
      </c>
      <c r="C1179" s="1" t="n">
        <v>46093</v>
      </c>
      <c r="D1179" t="inlineStr">
        <is>
          <t>VÄSTERNORRLANDS LÄN</t>
        </is>
      </c>
      <c r="E1179" t="inlineStr">
        <is>
          <t>ÅNGE</t>
        </is>
      </c>
      <c r="F1179" t="inlineStr">
        <is>
          <t>SCA</t>
        </is>
      </c>
      <c r="G1179" t="n">
        <v>3.8</v>
      </c>
      <c r="H1179" t="n">
        <v>1</v>
      </c>
      <c r="I1179" t="n">
        <v>0</v>
      </c>
      <c r="J1179" t="n">
        <v>0</v>
      </c>
      <c r="K1179" t="n">
        <v>0</v>
      </c>
      <c r="L1179" t="n">
        <v>0</v>
      </c>
      <c r="M1179" t="n">
        <v>0</v>
      </c>
      <c r="N1179" t="n">
        <v>0</v>
      </c>
      <c r="O1179" t="n">
        <v>0</v>
      </c>
      <c r="P1179" t="n">
        <v>0</v>
      </c>
      <c r="Q1179" t="n">
        <v>1</v>
      </c>
      <c r="R1179" s="2" t="inlineStr">
        <is>
          <t>Revlummer</t>
        </is>
      </c>
      <c r="S1179">
        <f>HYPERLINK("https://klasma.github.io/Logging_2260/artfynd/A 52424-2023 artfynd.xlsx", "A 52424-2023")</f>
        <v/>
      </c>
      <c r="T1179">
        <f>HYPERLINK("https://klasma.github.io/Logging_2260/kartor/A 52424-2023 karta.png", "A 52424-2023")</f>
        <v/>
      </c>
      <c r="V1179">
        <f>HYPERLINK("https://klasma.github.io/Logging_2260/klagomål/A 52424-2023 FSC-klagomål.docx", "A 52424-2023")</f>
        <v/>
      </c>
      <c r="W1179">
        <f>HYPERLINK("https://klasma.github.io/Logging_2260/klagomålsmail/A 52424-2023 FSC-klagomål mail.docx", "A 52424-2023")</f>
        <v/>
      </c>
      <c r="X1179">
        <f>HYPERLINK("https://klasma.github.io/Logging_2260/tillsyn/A 52424-2023 tillsynsbegäran.docx", "A 52424-2023")</f>
        <v/>
      </c>
      <c r="Y1179">
        <f>HYPERLINK("https://klasma.github.io/Logging_2260/tillsynsmail/A 52424-2023 tillsynsbegäran mail.docx", "A 52424-2023")</f>
        <v/>
      </c>
    </row>
    <row r="1180" ht="15" customHeight="1">
      <c r="A1180" t="inlineStr">
        <is>
          <t>A 58534-2025</t>
        </is>
      </c>
      <c r="B1180" s="1" t="n">
        <v>45985.80396990741</v>
      </c>
      <c r="C1180" s="1" t="n">
        <v>46093</v>
      </c>
      <c r="D1180" t="inlineStr">
        <is>
          <t>VÄSTERNORRLANDS LÄN</t>
        </is>
      </c>
      <c r="E1180" t="inlineStr">
        <is>
          <t>ÅNGE</t>
        </is>
      </c>
      <c r="F1180" t="inlineStr">
        <is>
          <t>Holmen skog AB</t>
        </is>
      </c>
      <c r="G1180" t="n">
        <v>2.2</v>
      </c>
      <c r="H1180" t="n">
        <v>0</v>
      </c>
      <c r="I1180" t="n">
        <v>0</v>
      </c>
      <c r="J1180" t="n">
        <v>1</v>
      </c>
      <c r="K1180" t="n">
        <v>0</v>
      </c>
      <c r="L1180" t="n">
        <v>0</v>
      </c>
      <c r="M1180" t="n">
        <v>0</v>
      </c>
      <c r="N1180" t="n">
        <v>0</v>
      </c>
      <c r="O1180" t="n">
        <v>1</v>
      </c>
      <c r="P1180" t="n">
        <v>0</v>
      </c>
      <c r="Q1180" t="n">
        <v>1</v>
      </c>
      <c r="R1180" s="2" t="inlineStr">
        <is>
          <t>Ullticka</t>
        </is>
      </c>
      <c r="S1180">
        <f>HYPERLINK("https://klasma.github.io/Logging_2260/artfynd/A 58534-2025 artfynd.xlsx", "A 58534-2025")</f>
        <v/>
      </c>
      <c r="T1180">
        <f>HYPERLINK("https://klasma.github.io/Logging_2260/kartor/A 58534-2025 karta.png", "A 58534-2025")</f>
        <v/>
      </c>
      <c r="V1180">
        <f>HYPERLINK("https://klasma.github.io/Logging_2260/klagomål/A 58534-2025 FSC-klagomål.docx", "A 58534-2025")</f>
        <v/>
      </c>
      <c r="W1180">
        <f>HYPERLINK("https://klasma.github.io/Logging_2260/klagomålsmail/A 58534-2025 FSC-klagomål mail.docx", "A 58534-2025")</f>
        <v/>
      </c>
      <c r="X1180">
        <f>HYPERLINK("https://klasma.github.io/Logging_2260/tillsyn/A 58534-2025 tillsynsbegäran.docx", "A 58534-2025")</f>
        <v/>
      </c>
      <c r="Y1180">
        <f>HYPERLINK("https://klasma.github.io/Logging_2260/tillsynsmail/A 58534-2025 tillsynsbegäran mail.docx", "A 58534-2025")</f>
        <v/>
      </c>
    </row>
    <row r="1181" ht="15" customHeight="1">
      <c r="A1181" t="inlineStr">
        <is>
          <t>A 20277-2024</t>
        </is>
      </c>
      <c r="B1181" s="1" t="n">
        <v>45434</v>
      </c>
      <c r="C1181" s="1" t="n">
        <v>46093</v>
      </c>
      <c r="D1181" t="inlineStr">
        <is>
          <t>VÄSTERNORRLANDS LÄN</t>
        </is>
      </c>
      <c r="E1181" t="inlineStr">
        <is>
          <t>SUNDSVALL</t>
        </is>
      </c>
      <c r="F1181" t="inlineStr">
        <is>
          <t>SCA</t>
        </is>
      </c>
      <c r="G1181" t="n">
        <v>2.6</v>
      </c>
      <c r="H1181" t="n">
        <v>0</v>
      </c>
      <c r="I1181" t="n">
        <v>1</v>
      </c>
      <c r="J1181" t="n">
        <v>0</v>
      </c>
      <c r="K1181" t="n">
        <v>0</v>
      </c>
      <c r="L1181" t="n">
        <v>0</v>
      </c>
      <c r="M1181" t="n">
        <v>0</v>
      </c>
      <c r="N1181" t="n">
        <v>0</v>
      </c>
      <c r="O1181" t="n">
        <v>0</v>
      </c>
      <c r="P1181" t="n">
        <v>0</v>
      </c>
      <c r="Q1181" t="n">
        <v>1</v>
      </c>
      <c r="R1181" s="2" t="inlineStr">
        <is>
          <t>Vedticka</t>
        </is>
      </c>
      <c r="S1181">
        <f>HYPERLINK("https://klasma.github.io/Logging_2281/artfynd/A 20277-2024 artfynd.xlsx", "A 20277-2024")</f>
        <v/>
      </c>
      <c r="T1181">
        <f>HYPERLINK("https://klasma.github.io/Logging_2281/kartor/A 20277-2024 karta.png", "A 20277-2024")</f>
        <v/>
      </c>
      <c r="V1181">
        <f>HYPERLINK("https://klasma.github.io/Logging_2281/klagomål/A 20277-2024 FSC-klagomål.docx", "A 20277-2024")</f>
        <v/>
      </c>
      <c r="W1181">
        <f>HYPERLINK("https://klasma.github.io/Logging_2281/klagomålsmail/A 20277-2024 FSC-klagomål mail.docx", "A 20277-2024")</f>
        <v/>
      </c>
      <c r="X1181">
        <f>HYPERLINK("https://klasma.github.io/Logging_2281/tillsyn/A 20277-2024 tillsynsbegäran.docx", "A 20277-2024")</f>
        <v/>
      </c>
      <c r="Y1181">
        <f>HYPERLINK("https://klasma.github.io/Logging_2281/tillsynsmail/A 20277-2024 tillsynsbegäran mail.docx", "A 20277-2024")</f>
        <v/>
      </c>
    </row>
    <row r="1182" ht="15" customHeight="1">
      <c r="A1182" t="inlineStr">
        <is>
          <t>A 59075-2025</t>
        </is>
      </c>
      <c r="B1182" s="1" t="n">
        <v>45988.42923611111</v>
      </c>
      <c r="C1182" s="1" t="n">
        <v>46093</v>
      </c>
      <c r="D1182" t="inlineStr">
        <is>
          <t>VÄSTERNORRLANDS LÄN</t>
        </is>
      </c>
      <c r="E1182" t="inlineStr">
        <is>
          <t>SUNDSVALL</t>
        </is>
      </c>
      <c r="G1182" t="n">
        <v>4.2</v>
      </c>
      <c r="H1182" t="n">
        <v>0</v>
      </c>
      <c r="I1182" t="n">
        <v>1</v>
      </c>
      <c r="J1182" t="n">
        <v>0</v>
      </c>
      <c r="K1182" t="n">
        <v>0</v>
      </c>
      <c r="L1182" t="n">
        <v>0</v>
      </c>
      <c r="M1182" t="n">
        <v>0</v>
      </c>
      <c r="N1182" t="n">
        <v>0</v>
      </c>
      <c r="O1182" t="n">
        <v>0</v>
      </c>
      <c r="P1182" t="n">
        <v>0</v>
      </c>
      <c r="Q1182" t="n">
        <v>1</v>
      </c>
      <c r="R1182" s="2" t="inlineStr">
        <is>
          <t>Bronshjon</t>
        </is>
      </c>
      <c r="S1182">
        <f>HYPERLINK("https://klasma.github.io/Logging_2281/artfynd/A 59075-2025 artfynd.xlsx", "A 59075-2025")</f>
        <v/>
      </c>
      <c r="T1182">
        <f>HYPERLINK("https://klasma.github.io/Logging_2281/kartor/A 59075-2025 karta.png", "A 59075-2025")</f>
        <v/>
      </c>
      <c r="V1182">
        <f>HYPERLINK("https://klasma.github.io/Logging_2281/klagomål/A 59075-2025 FSC-klagomål.docx", "A 59075-2025")</f>
        <v/>
      </c>
      <c r="W1182">
        <f>HYPERLINK("https://klasma.github.io/Logging_2281/klagomålsmail/A 59075-2025 FSC-klagomål mail.docx", "A 59075-2025")</f>
        <v/>
      </c>
      <c r="X1182">
        <f>HYPERLINK("https://klasma.github.io/Logging_2281/tillsyn/A 59075-2025 tillsynsbegäran.docx", "A 59075-2025")</f>
        <v/>
      </c>
      <c r="Y1182">
        <f>HYPERLINK("https://klasma.github.io/Logging_2281/tillsynsmail/A 59075-2025 tillsynsbegäran mail.docx", "A 59075-2025")</f>
        <v/>
      </c>
    </row>
    <row r="1183" ht="15" customHeight="1">
      <c r="A1183" t="inlineStr">
        <is>
          <t>A 13347-2024</t>
        </is>
      </c>
      <c r="B1183" s="1" t="n">
        <v>45386</v>
      </c>
      <c r="C1183" s="1" t="n">
        <v>46093</v>
      </c>
      <c r="D1183" t="inlineStr">
        <is>
          <t>VÄSTERNORRLANDS LÄN</t>
        </is>
      </c>
      <c r="E1183" t="inlineStr">
        <is>
          <t>SUNDSVALL</t>
        </is>
      </c>
      <c r="G1183" t="n">
        <v>1.6</v>
      </c>
      <c r="H1183" t="n">
        <v>1</v>
      </c>
      <c r="I1183" t="n">
        <v>0</v>
      </c>
      <c r="J1183" t="n">
        <v>1</v>
      </c>
      <c r="K1183" t="n">
        <v>0</v>
      </c>
      <c r="L1183" t="n">
        <v>0</v>
      </c>
      <c r="M1183" t="n">
        <v>0</v>
      </c>
      <c r="N1183" t="n">
        <v>0</v>
      </c>
      <c r="O1183" t="n">
        <v>1</v>
      </c>
      <c r="P1183" t="n">
        <v>0</v>
      </c>
      <c r="Q1183" t="n">
        <v>1</v>
      </c>
      <c r="R1183" s="2" t="inlineStr">
        <is>
          <t>Tretåig hackspett</t>
        </is>
      </c>
      <c r="S1183">
        <f>HYPERLINK("https://klasma.github.io/Logging_2281/artfynd/A 13347-2024 artfynd.xlsx", "A 13347-2024")</f>
        <v/>
      </c>
      <c r="T1183">
        <f>HYPERLINK("https://klasma.github.io/Logging_2281/kartor/A 13347-2024 karta.png", "A 13347-2024")</f>
        <v/>
      </c>
      <c r="V1183">
        <f>HYPERLINK("https://klasma.github.io/Logging_2281/klagomål/A 13347-2024 FSC-klagomål.docx", "A 13347-2024")</f>
        <v/>
      </c>
      <c r="W1183">
        <f>HYPERLINK("https://klasma.github.io/Logging_2281/klagomålsmail/A 13347-2024 FSC-klagomål mail.docx", "A 13347-2024")</f>
        <v/>
      </c>
      <c r="X1183">
        <f>HYPERLINK("https://klasma.github.io/Logging_2281/tillsyn/A 13347-2024 tillsynsbegäran.docx", "A 13347-2024")</f>
        <v/>
      </c>
      <c r="Y1183">
        <f>HYPERLINK("https://klasma.github.io/Logging_2281/tillsynsmail/A 13347-2024 tillsynsbegäran mail.docx", "A 13347-2024")</f>
        <v/>
      </c>
      <c r="Z1183">
        <f>HYPERLINK("https://klasma.github.io/Logging_2281/fåglar/A 13347-2024 prioriterade fågelarter.docx", "A 13347-2024")</f>
        <v/>
      </c>
    </row>
    <row r="1184" ht="15" customHeight="1">
      <c r="A1184" t="inlineStr">
        <is>
          <t>A 39638-2024</t>
        </is>
      </c>
      <c r="B1184" s="1" t="n">
        <v>45552</v>
      </c>
      <c r="C1184" s="1" t="n">
        <v>46093</v>
      </c>
      <c r="D1184" t="inlineStr">
        <is>
          <t>VÄSTERNORRLANDS LÄN</t>
        </is>
      </c>
      <c r="E1184" t="inlineStr">
        <is>
          <t>ÅNGE</t>
        </is>
      </c>
      <c r="G1184" t="n">
        <v>3</v>
      </c>
      <c r="H1184" t="n">
        <v>1</v>
      </c>
      <c r="I1184" t="n">
        <v>0</v>
      </c>
      <c r="J1184" t="n">
        <v>0</v>
      </c>
      <c r="K1184" t="n">
        <v>0</v>
      </c>
      <c r="L1184" t="n">
        <v>0</v>
      </c>
      <c r="M1184" t="n">
        <v>0</v>
      </c>
      <c r="N1184" t="n">
        <v>0</v>
      </c>
      <c r="O1184" t="n">
        <v>0</v>
      </c>
      <c r="P1184" t="n">
        <v>0</v>
      </c>
      <c r="Q1184" t="n">
        <v>1</v>
      </c>
      <c r="R1184" s="2" t="inlineStr">
        <is>
          <t>Tjäder</t>
        </is>
      </c>
      <c r="S1184">
        <f>HYPERLINK("https://klasma.github.io/Logging_2260/artfynd/A 39638-2024 artfynd.xlsx", "A 39638-2024")</f>
        <v/>
      </c>
      <c r="T1184">
        <f>HYPERLINK("https://klasma.github.io/Logging_2260/kartor/A 39638-2024 karta.png", "A 39638-2024")</f>
        <v/>
      </c>
      <c r="V1184">
        <f>HYPERLINK("https://klasma.github.io/Logging_2260/klagomål/A 39638-2024 FSC-klagomål.docx", "A 39638-2024")</f>
        <v/>
      </c>
      <c r="W1184">
        <f>HYPERLINK("https://klasma.github.io/Logging_2260/klagomålsmail/A 39638-2024 FSC-klagomål mail.docx", "A 39638-2024")</f>
        <v/>
      </c>
      <c r="X1184">
        <f>HYPERLINK("https://klasma.github.io/Logging_2260/tillsyn/A 39638-2024 tillsynsbegäran.docx", "A 39638-2024")</f>
        <v/>
      </c>
      <c r="Y1184">
        <f>HYPERLINK("https://klasma.github.io/Logging_2260/tillsynsmail/A 39638-2024 tillsynsbegäran mail.docx", "A 39638-2024")</f>
        <v/>
      </c>
      <c r="Z1184">
        <f>HYPERLINK("https://klasma.github.io/Logging_2260/fåglar/A 39638-2024 prioriterade fågelarter.docx", "A 39638-2024")</f>
        <v/>
      </c>
    </row>
    <row r="1185" ht="15" customHeight="1">
      <c r="A1185" t="inlineStr">
        <is>
          <t>A 47948-2024</t>
        </is>
      </c>
      <c r="B1185" s="1" t="n">
        <v>45589.36137731482</v>
      </c>
      <c r="C1185" s="1" t="n">
        <v>46093</v>
      </c>
      <c r="D1185" t="inlineStr">
        <is>
          <t>VÄSTERNORRLANDS LÄN</t>
        </is>
      </c>
      <c r="E1185" t="inlineStr">
        <is>
          <t>ÖRNSKÖLDSVIK</t>
        </is>
      </c>
      <c r="F1185" t="inlineStr">
        <is>
          <t>Holmen skog AB</t>
        </is>
      </c>
      <c r="G1185" t="n">
        <v>2.3</v>
      </c>
      <c r="H1185" t="n">
        <v>0</v>
      </c>
      <c r="I1185" t="n">
        <v>0</v>
      </c>
      <c r="J1185" t="n">
        <v>1</v>
      </c>
      <c r="K1185" t="n">
        <v>0</v>
      </c>
      <c r="L1185" t="n">
        <v>0</v>
      </c>
      <c r="M1185" t="n">
        <v>0</v>
      </c>
      <c r="N1185" t="n">
        <v>0</v>
      </c>
      <c r="O1185" t="n">
        <v>1</v>
      </c>
      <c r="P1185" t="n">
        <v>0</v>
      </c>
      <c r="Q1185" t="n">
        <v>1</v>
      </c>
      <c r="R1185" s="2" t="inlineStr">
        <is>
          <t>Granticka</t>
        </is>
      </c>
      <c r="S1185">
        <f>HYPERLINK("https://klasma.github.io/Logging_2284/artfynd/A 47948-2024 artfynd.xlsx", "A 47948-2024")</f>
        <v/>
      </c>
      <c r="T1185">
        <f>HYPERLINK("https://klasma.github.io/Logging_2284/kartor/A 47948-2024 karta.png", "A 47948-2024")</f>
        <v/>
      </c>
      <c r="V1185">
        <f>HYPERLINK("https://klasma.github.io/Logging_2284/klagomål/A 47948-2024 FSC-klagomål.docx", "A 47948-2024")</f>
        <v/>
      </c>
      <c r="W1185">
        <f>HYPERLINK("https://klasma.github.io/Logging_2284/klagomålsmail/A 47948-2024 FSC-klagomål mail.docx", "A 47948-2024")</f>
        <v/>
      </c>
      <c r="X1185">
        <f>HYPERLINK("https://klasma.github.io/Logging_2284/tillsyn/A 47948-2024 tillsynsbegäran.docx", "A 47948-2024")</f>
        <v/>
      </c>
      <c r="Y1185">
        <f>HYPERLINK("https://klasma.github.io/Logging_2284/tillsynsmail/A 47948-2024 tillsynsbegäran mail.docx", "A 47948-2024")</f>
        <v/>
      </c>
    </row>
    <row r="1186" ht="15" customHeight="1">
      <c r="A1186" t="inlineStr">
        <is>
          <t>A 39004-2024</t>
        </is>
      </c>
      <c r="B1186" s="1" t="n">
        <v>45548</v>
      </c>
      <c r="C1186" s="1" t="n">
        <v>46093</v>
      </c>
      <c r="D1186" t="inlineStr">
        <is>
          <t>VÄSTERNORRLANDS LÄN</t>
        </is>
      </c>
      <c r="E1186" t="inlineStr">
        <is>
          <t>SUNDSVALL</t>
        </is>
      </c>
      <c r="G1186" t="n">
        <v>6.9</v>
      </c>
      <c r="H1186" t="n">
        <v>0</v>
      </c>
      <c r="I1186" t="n">
        <v>0</v>
      </c>
      <c r="J1186" t="n">
        <v>1</v>
      </c>
      <c r="K1186" t="n">
        <v>0</v>
      </c>
      <c r="L1186" t="n">
        <v>0</v>
      </c>
      <c r="M1186" t="n">
        <v>0</v>
      </c>
      <c r="N1186" t="n">
        <v>0</v>
      </c>
      <c r="O1186" t="n">
        <v>1</v>
      </c>
      <c r="P1186" t="n">
        <v>0</v>
      </c>
      <c r="Q1186" t="n">
        <v>1</v>
      </c>
      <c r="R1186" s="2" t="inlineStr">
        <is>
          <t>Liten parasollmossa</t>
        </is>
      </c>
      <c r="S1186">
        <f>HYPERLINK("https://klasma.github.io/Logging_2281/artfynd/A 39004-2024 artfynd.xlsx", "A 39004-2024")</f>
        <v/>
      </c>
      <c r="T1186">
        <f>HYPERLINK("https://klasma.github.io/Logging_2281/kartor/A 39004-2024 karta.png", "A 39004-2024")</f>
        <v/>
      </c>
      <c r="V1186">
        <f>HYPERLINK("https://klasma.github.io/Logging_2281/klagomål/A 39004-2024 FSC-klagomål.docx", "A 39004-2024")</f>
        <v/>
      </c>
      <c r="W1186">
        <f>HYPERLINK("https://klasma.github.io/Logging_2281/klagomålsmail/A 39004-2024 FSC-klagomål mail.docx", "A 39004-2024")</f>
        <v/>
      </c>
      <c r="X1186">
        <f>HYPERLINK("https://klasma.github.io/Logging_2281/tillsyn/A 39004-2024 tillsynsbegäran.docx", "A 39004-2024")</f>
        <v/>
      </c>
      <c r="Y1186">
        <f>HYPERLINK("https://klasma.github.io/Logging_2281/tillsynsmail/A 39004-2024 tillsynsbegäran mail.docx", "A 39004-2024")</f>
        <v/>
      </c>
    </row>
    <row r="1187" ht="15" customHeight="1">
      <c r="A1187" t="inlineStr">
        <is>
          <t>A 45721-2024</t>
        </is>
      </c>
      <c r="B1187" s="1" t="n">
        <v>45579.59434027778</v>
      </c>
      <c r="C1187" s="1" t="n">
        <v>46093</v>
      </c>
      <c r="D1187" t="inlineStr">
        <is>
          <t>VÄSTERNORRLANDS LÄN</t>
        </is>
      </c>
      <c r="E1187" t="inlineStr">
        <is>
          <t>TIMRÅ</t>
        </is>
      </c>
      <c r="F1187" t="inlineStr">
        <is>
          <t>SCA</t>
        </is>
      </c>
      <c r="G1187" t="n">
        <v>6</v>
      </c>
      <c r="H1187" t="n">
        <v>0</v>
      </c>
      <c r="I1187" t="n">
        <v>0</v>
      </c>
      <c r="J1187" t="n">
        <v>1</v>
      </c>
      <c r="K1187" t="n">
        <v>0</v>
      </c>
      <c r="L1187" t="n">
        <v>0</v>
      </c>
      <c r="M1187" t="n">
        <v>0</v>
      </c>
      <c r="N1187" t="n">
        <v>0</v>
      </c>
      <c r="O1187" t="n">
        <v>1</v>
      </c>
      <c r="P1187" t="n">
        <v>0</v>
      </c>
      <c r="Q1187" t="n">
        <v>1</v>
      </c>
      <c r="R1187" s="2" t="inlineStr">
        <is>
          <t>Gammelgransskål</t>
        </is>
      </c>
      <c r="S1187">
        <f>HYPERLINK("https://klasma.github.io/Logging_2262/artfynd/A 45721-2024 artfynd.xlsx", "A 45721-2024")</f>
        <v/>
      </c>
      <c r="T1187">
        <f>HYPERLINK("https://klasma.github.io/Logging_2262/kartor/A 45721-2024 karta.png", "A 45721-2024")</f>
        <v/>
      </c>
      <c r="V1187">
        <f>HYPERLINK("https://klasma.github.io/Logging_2262/klagomål/A 45721-2024 FSC-klagomål.docx", "A 45721-2024")</f>
        <v/>
      </c>
      <c r="W1187">
        <f>HYPERLINK("https://klasma.github.io/Logging_2262/klagomålsmail/A 45721-2024 FSC-klagomål mail.docx", "A 45721-2024")</f>
        <v/>
      </c>
      <c r="X1187">
        <f>HYPERLINK("https://klasma.github.io/Logging_2262/tillsyn/A 45721-2024 tillsynsbegäran.docx", "A 45721-2024")</f>
        <v/>
      </c>
      <c r="Y1187">
        <f>HYPERLINK("https://klasma.github.io/Logging_2262/tillsynsmail/A 45721-2024 tillsynsbegäran mail.docx", "A 45721-2024")</f>
        <v/>
      </c>
    </row>
    <row r="1188" ht="15" customHeight="1">
      <c r="A1188" t="inlineStr">
        <is>
          <t>A 54751-2021</t>
        </is>
      </c>
      <c r="B1188" s="1" t="n">
        <v>44473</v>
      </c>
      <c r="C1188" s="1" t="n">
        <v>46093</v>
      </c>
      <c r="D1188" t="inlineStr">
        <is>
          <t>VÄSTERNORRLANDS LÄN</t>
        </is>
      </c>
      <c r="E1188" t="inlineStr">
        <is>
          <t>ÅNGE</t>
        </is>
      </c>
      <c r="G1188" t="n">
        <v>6.5</v>
      </c>
      <c r="H1188" t="n">
        <v>0</v>
      </c>
      <c r="I1188" t="n">
        <v>0</v>
      </c>
      <c r="J1188" t="n">
        <v>0</v>
      </c>
      <c r="K1188" t="n">
        <v>1</v>
      </c>
      <c r="L1188" t="n">
        <v>0</v>
      </c>
      <c r="M1188" t="n">
        <v>0</v>
      </c>
      <c r="N1188" t="n">
        <v>0</v>
      </c>
      <c r="O1188" t="n">
        <v>1</v>
      </c>
      <c r="P1188" t="n">
        <v>1</v>
      </c>
      <c r="Q1188" t="n">
        <v>1</v>
      </c>
      <c r="R1188" s="2" t="inlineStr">
        <is>
          <t>Gräddporing</t>
        </is>
      </c>
      <c r="S1188">
        <f>HYPERLINK("https://klasma.github.io/Logging_2260/artfynd/A 54751-2021 artfynd.xlsx", "A 54751-2021")</f>
        <v/>
      </c>
      <c r="T1188">
        <f>HYPERLINK("https://klasma.github.io/Logging_2260/kartor/A 54751-2021 karta.png", "A 54751-2021")</f>
        <v/>
      </c>
      <c r="V1188">
        <f>HYPERLINK("https://klasma.github.io/Logging_2260/klagomål/A 54751-2021 FSC-klagomål.docx", "A 54751-2021")</f>
        <v/>
      </c>
      <c r="W1188">
        <f>HYPERLINK("https://klasma.github.io/Logging_2260/klagomålsmail/A 54751-2021 FSC-klagomål mail.docx", "A 54751-2021")</f>
        <v/>
      </c>
      <c r="X1188">
        <f>HYPERLINK("https://klasma.github.io/Logging_2260/tillsyn/A 54751-2021 tillsynsbegäran.docx", "A 54751-2021")</f>
        <v/>
      </c>
      <c r="Y1188">
        <f>HYPERLINK("https://klasma.github.io/Logging_2260/tillsynsmail/A 54751-2021 tillsynsbegäran mail.docx", "A 54751-2021")</f>
        <v/>
      </c>
    </row>
    <row r="1189" ht="15" customHeight="1">
      <c r="A1189" t="inlineStr">
        <is>
          <t>A 59895-2024</t>
        </is>
      </c>
      <c r="B1189" s="1" t="n">
        <v>45641.59408564815</v>
      </c>
      <c r="C1189" s="1" t="n">
        <v>46093</v>
      </c>
      <c r="D1189" t="inlineStr">
        <is>
          <t>VÄSTERNORRLANDS LÄN</t>
        </is>
      </c>
      <c r="E1189" t="inlineStr">
        <is>
          <t>SUNDSVALL</t>
        </is>
      </c>
      <c r="F1189" t="inlineStr">
        <is>
          <t>SCA</t>
        </is>
      </c>
      <c r="G1189" t="n">
        <v>3.4</v>
      </c>
      <c r="H1189" t="n">
        <v>1</v>
      </c>
      <c r="I1189" t="n">
        <v>0</v>
      </c>
      <c r="J1189" t="n">
        <v>0</v>
      </c>
      <c r="K1189" t="n">
        <v>1</v>
      </c>
      <c r="L1189" t="n">
        <v>0</v>
      </c>
      <c r="M1189" t="n">
        <v>0</v>
      </c>
      <c r="N1189" t="n">
        <v>0</v>
      </c>
      <c r="O1189" t="n">
        <v>1</v>
      </c>
      <c r="P1189" t="n">
        <v>1</v>
      </c>
      <c r="Q1189" t="n">
        <v>1</v>
      </c>
      <c r="R1189" s="2" t="inlineStr">
        <is>
          <t>Knärot</t>
        </is>
      </c>
      <c r="S1189">
        <f>HYPERLINK("https://klasma.github.io/Logging_2281/artfynd/A 59895-2024 artfynd.xlsx", "A 59895-2024")</f>
        <v/>
      </c>
      <c r="T1189">
        <f>HYPERLINK("https://klasma.github.io/Logging_2281/kartor/A 59895-2024 karta.png", "A 59895-2024")</f>
        <v/>
      </c>
      <c r="U1189">
        <f>HYPERLINK("https://klasma.github.io/Logging_2281/knärot/A 59895-2024 karta knärot.png", "A 59895-2024")</f>
        <v/>
      </c>
      <c r="V1189">
        <f>HYPERLINK("https://klasma.github.io/Logging_2281/klagomål/A 59895-2024 FSC-klagomål.docx", "A 59895-2024")</f>
        <v/>
      </c>
      <c r="W1189">
        <f>HYPERLINK("https://klasma.github.io/Logging_2281/klagomålsmail/A 59895-2024 FSC-klagomål mail.docx", "A 59895-2024")</f>
        <v/>
      </c>
      <c r="X1189">
        <f>HYPERLINK("https://klasma.github.io/Logging_2281/tillsyn/A 59895-2024 tillsynsbegäran.docx", "A 59895-2024")</f>
        <v/>
      </c>
      <c r="Y1189">
        <f>HYPERLINK("https://klasma.github.io/Logging_2281/tillsynsmail/A 59895-2024 tillsynsbegäran mail.docx", "A 59895-2024")</f>
        <v/>
      </c>
    </row>
    <row r="1190" ht="15" customHeight="1">
      <c r="A1190" t="inlineStr">
        <is>
          <t>A 43541-2022</t>
        </is>
      </c>
      <c r="B1190" s="1" t="n">
        <v>44837</v>
      </c>
      <c r="C1190" s="1" t="n">
        <v>46093</v>
      </c>
      <c r="D1190" t="inlineStr">
        <is>
          <t>VÄSTERNORRLANDS LÄN</t>
        </is>
      </c>
      <c r="E1190" t="inlineStr">
        <is>
          <t>HÄRNÖSAND</t>
        </is>
      </c>
      <c r="G1190" t="n">
        <v>2</v>
      </c>
      <c r="H1190" t="n">
        <v>1</v>
      </c>
      <c r="I1190" t="n">
        <v>0</v>
      </c>
      <c r="J1190" t="n">
        <v>1</v>
      </c>
      <c r="K1190" t="n">
        <v>0</v>
      </c>
      <c r="L1190" t="n">
        <v>0</v>
      </c>
      <c r="M1190" t="n">
        <v>0</v>
      </c>
      <c r="N1190" t="n">
        <v>0</v>
      </c>
      <c r="O1190" t="n">
        <v>1</v>
      </c>
      <c r="P1190" t="n">
        <v>0</v>
      </c>
      <c r="Q1190" t="n">
        <v>1</v>
      </c>
      <c r="R1190" s="2" t="inlineStr">
        <is>
          <t>Sötgräs</t>
        </is>
      </c>
      <c r="S1190">
        <f>HYPERLINK("https://klasma.github.io/Logging_2280/artfynd/A 43541-2022 artfynd.xlsx", "A 43541-2022")</f>
        <v/>
      </c>
      <c r="T1190">
        <f>HYPERLINK("https://klasma.github.io/Logging_2280/kartor/A 43541-2022 karta.png", "A 43541-2022")</f>
        <v/>
      </c>
      <c r="V1190">
        <f>HYPERLINK("https://klasma.github.io/Logging_2280/klagomål/A 43541-2022 FSC-klagomål.docx", "A 43541-2022")</f>
        <v/>
      </c>
      <c r="W1190">
        <f>HYPERLINK("https://klasma.github.io/Logging_2280/klagomålsmail/A 43541-2022 FSC-klagomål mail.docx", "A 43541-2022")</f>
        <v/>
      </c>
      <c r="X1190">
        <f>HYPERLINK("https://klasma.github.io/Logging_2280/tillsyn/A 43541-2022 tillsynsbegäran.docx", "A 43541-2022")</f>
        <v/>
      </c>
      <c r="Y1190">
        <f>HYPERLINK("https://klasma.github.io/Logging_2280/tillsynsmail/A 43541-2022 tillsynsbegäran mail.docx", "A 43541-2022")</f>
        <v/>
      </c>
    </row>
    <row r="1191" ht="15" customHeight="1">
      <c r="A1191" t="inlineStr">
        <is>
          <t>A 59412-2025</t>
        </is>
      </c>
      <c r="B1191" s="1" t="n">
        <v>45989</v>
      </c>
      <c r="C1191" s="1" t="n">
        <v>46093</v>
      </c>
      <c r="D1191" t="inlineStr">
        <is>
          <t>VÄSTERNORRLANDS LÄN</t>
        </is>
      </c>
      <c r="E1191" t="inlineStr">
        <is>
          <t>KRAMFORS</t>
        </is>
      </c>
      <c r="G1191" t="n">
        <v>2.7</v>
      </c>
      <c r="H1191" t="n">
        <v>1</v>
      </c>
      <c r="I1191" t="n">
        <v>0</v>
      </c>
      <c r="J1191" t="n">
        <v>1</v>
      </c>
      <c r="K1191" t="n">
        <v>0</v>
      </c>
      <c r="L1191" t="n">
        <v>0</v>
      </c>
      <c r="M1191" t="n">
        <v>0</v>
      </c>
      <c r="N1191" t="n">
        <v>0</v>
      </c>
      <c r="O1191" t="n">
        <v>1</v>
      </c>
      <c r="P1191" t="n">
        <v>0</v>
      </c>
      <c r="Q1191" t="n">
        <v>1</v>
      </c>
      <c r="R1191" s="2" t="inlineStr">
        <is>
          <t>Talltita</t>
        </is>
      </c>
      <c r="S1191">
        <f>HYPERLINK("https://klasma.github.io/Logging_2282/artfynd/A 59412-2025 artfynd.xlsx", "A 59412-2025")</f>
        <v/>
      </c>
      <c r="T1191">
        <f>HYPERLINK("https://klasma.github.io/Logging_2282/kartor/A 59412-2025 karta.png", "A 59412-2025")</f>
        <v/>
      </c>
      <c r="V1191">
        <f>HYPERLINK("https://klasma.github.io/Logging_2282/klagomål/A 59412-2025 FSC-klagomål.docx", "A 59412-2025")</f>
        <v/>
      </c>
      <c r="W1191">
        <f>HYPERLINK("https://klasma.github.io/Logging_2282/klagomålsmail/A 59412-2025 FSC-klagomål mail.docx", "A 59412-2025")</f>
        <v/>
      </c>
      <c r="X1191">
        <f>HYPERLINK("https://klasma.github.io/Logging_2282/tillsyn/A 59412-2025 tillsynsbegäran.docx", "A 59412-2025")</f>
        <v/>
      </c>
      <c r="Y1191">
        <f>HYPERLINK("https://klasma.github.io/Logging_2282/tillsynsmail/A 59412-2025 tillsynsbegäran mail.docx", "A 59412-2025")</f>
        <v/>
      </c>
      <c r="Z1191">
        <f>HYPERLINK("https://klasma.github.io/Logging_2282/fåglar/A 59412-2025 prioriterade fågelarter.docx", "A 59412-2025")</f>
        <v/>
      </c>
    </row>
    <row r="1192" ht="15" customHeight="1">
      <c r="A1192" t="inlineStr">
        <is>
          <t>A 50351-2023</t>
        </is>
      </c>
      <c r="B1192" s="1" t="n">
        <v>45216</v>
      </c>
      <c r="C1192" s="1" t="n">
        <v>46093</v>
      </c>
      <c r="D1192" t="inlineStr">
        <is>
          <t>VÄSTERNORRLANDS LÄN</t>
        </is>
      </c>
      <c r="E1192" t="inlineStr">
        <is>
          <t>ÖRNSKÖLDSVIK</t>
        </is>
      </c>
      <c r="F1192" t="inlineStr">
        <is>
          <t>Holmen skog AB</t>
        </is>
      </c>
      <c r="G1192" t="n">
        <v>4.9</v>
      </c>
      <c r="H1192" t="n">
        <v>0</v>
      </c>
      <c r="I1192" t="n">
        <v>1</v>
      </c>
      <c r="J1192" t="n">
        <v>0</v>
      </c>
      <c r="K1192" t="n">
        <v>0</v>
      </c>
      <c r="L1192" t="n">
        <v>0</v>
      </c>
      <c r="M1192" t="n">
        <v>0</v>
      </c>
      <c r="N1192" t="n">
        <v>0</v>
      </c>
      <c r="O1192" t="n">
        <v>0</v>
      </c>
      <c r="P1192" t="n">
        <v>0</v>
      </c>
      <c r="Q1192" t="n">
        <v>1</v>
      </c>
      <c r="R1192" s="2" t="inlineStr">
        <is>
          <t>Bårdlav</t>
        </is>
      </c>
      <c r="S1192">
        <f>HYPERLINK("https://klasma.github.io/Logging_2284/artfynd/A 50351-2023 artfynd.xlsx", "A 50351-2023")</f>
        <v/>
      </c>
      <c r="T1192">
        <f>HYPERLINK("https://klasma.github.io/Logging_2284/kartor/A 50351-2023 karta.png", "A 50351-2023")</f>
        <v/>
      </c>
      <c r="V1192">
        <f>HYPERLINK("https://klasma.github.io/Logging_2284/klagomål/A 50351-2023 FSC-klagomål.docx", "A 50351-2023")</f>
        <v/>
      </c>
      <c r="W1192">
        <f>HYPERLINK("https://klasma.github.io/Logging_2284/klagomålsmail/A 50351-2023 FSC-klagomål mail.docx", "A 50351-2023")</f>
        <v/>
      </c>
      <c r="X1192">
        <f>HYPERLINK("https://klasma.github.io/Logging_2284/tillsyn/A 50351-2023 tillsynsbegäran.docx", "A 50351-2023")</f>
        <v/>
      </c>
      <c r="Y1192">
        <f>HYPERLINK("https://klasma.github.io/Logging_2284/tillsynsmail/A 50351-2023 tillsynsbegäran mail.docx", "A 50351-2023")</f>
        <v/>
      </c>
    </row>
    <row r="1193" ht="15" customHeight="1">
      <c r="A1193" t="inlineStr">
        <is>
          <t>A 7153-2024</t>
        </is>
      </c>
      <c r="B1193" s="1" t="n">
        <v>45344</v>
      </c>
      <c r="C1193" s="1" t="n">
        <v>46093</v>
      </c>
      <c r="D1193" t="inlineStr">
        <is>
          <t>VÄSTERNORRLANDS LÄN</t>
        </is>
      </c>
      <c r="E1193" t="inlineStr">
        <is>
          <t>KRAMFORS</t>
        </is>
      </c>
      <c r="G1193" t="n">
        <v>7.6</v>
      </c>
      <c r="H1193" t="n">
        <v>0</v>
      </c>
      <c r="I1193" t="n">
        <v>0</v>
      </c>
      <c r="J1193" t="n">
        <v>1</v>
      </c>
      <c r="K1193" t="n">
        <v>0</v>
      </c>
      <c r="L1193" t="n">
        <v>0</v>
      </c>
      <c r="M1193" t="n">
        <v>0</v>
      </c>
      <c r="N1193" t="n">
        <v>0</v>
      </c>
      <c r="O1193" t="n">
        <v>1</v>
      </c>
      <c r="P1193" t="n">
        <v>0</v>
      </c>
      <c r="Q1193" t="n">
        <v>1</v>
      </c>
      <c r="R1193" s="2" t="inlineStr">
        <is>
          <t>Luddfingersvamp</t>
        </is>
      </c>
      <c r="S1193">
        <f>HYPERLINK("https://klasma.github.io/Logging_2282/artfynd/A 7153-2024 artfynd.xlsx", "A 7153-2024")</f>
        <v/>
      </c>
      <c r="T1193">
        <f>HYPERLINK("https://klasma.github.io/Logging_2282/kartor/A 7153-2024 karta.png", "A 7153-2024")</f>
        <v/>
      </c>
      <c r="V1193">
        <f>HYPERLINK("https://klasma.github.io/Logging_2282/klagomål/A 7153-2024 FSC-klagomål.docx", "A 7153-2024")</f>
        <v/>
      </c>
      <c r="W1193">
        <f>HYPERLINK("https://klasma.github.io/Logging_2282/klagomålsmail/A 7153-2024 FSC-klagomål mail.docx", "A 7153-2024")</f>
        <v/>
      </c>
      <c r="X1193">
        <f>HYPERLINK("https://klasma.github.io/Logging_2282/tillsyn/A 7153-2024 tillsynsbegäran.docx", "A 7153-2024")</f>
        <v/>
      </c>
      <c r="Y1193">
        <f>HYPERLINK("https://klasma.github.io/Logging_2282/tillsynsmail/A 7153-2024 tillsynsbegäran mail.docx", "A 7153-2024")</f>
        <v/>
      </c>
    </row>
    <row r="1194" ht="15" customHeight="1">
      <c r="A1194" t="inlineStr">
        <is>
          <t>A 52575-2022</t>
        </is>
      </c>
      <c r="B1194" s="1" t="n">
        <v>44874</v>
      </c>
      <c r="C1194" s="1" t="n">
        <v>46093</v>
      </c>
      <c r="D1194" t="inlineStr">
        <is>
          <t>VÄSTERNORRLANDS LÄN</t>
        </is>
      </c>
      <c r="E1194" t="inlineStr">
        <is>
          <t>ÖRNSKÖLDSVIK</t>
        </is>
      </c>
      <c r="F1194" t="inlineStr">
        <is>
          <t>Holmen skog AB</t>
        </is>
      </c>
      <c r="G1194" t="n">
        <v>1.6</v>
      </c>
      <c r="H1194" t="n">
        <v>0</v>
      </c>
      <c r="I1194" t="n">
        <v>0</v>
      </c>
      <c r="J1194" t="n">
        <v>1</v>
      </c>
      <c r="K1194" t="n">
        <v>0</v>
      </c>
      <c r="L1194" t="n">
        <v>0</v>
      </c>
      <c r="M1194" t="n">
        <v>0</v>
      </c>
      <c r="N1194" t="n">
        <v>0</v>
      </c>
      <c r="O1194" t="n">
        <v>1</v>
      </c>
      <c r="P1194" t="n">
        <v>0</v>
      </c>
      <c r="Q1194" t="n">
        <v>1</v>
      </c>
      <c r="R1194" s="2" t="inlineStr">
        <is>
          <t>Granticka</t>
        </is>
      </c>
      <c r="S1194">
        <f>HYPERLINK("https://klasma.github.io/Logging_2284/artfynd/A 52575-2022 artfynd.xlsx", "A 52575-2022")</f>
        <v/>
      </c>
      <c r="T1194">
        <f>HYPERLINK("https://klasma.github.io/Logging_2284/kartor/A 52575-2022 karta.png", "A 52575-2022")</f>
        <v/>
      </c>
      <c r="V1194">
        <f>HYPERLINK("https://klasma.github.io/Logging_2284/klagomål/A 52575-2022 FSC-klagomål.docx", "A 52575-2022")</f>
        <v/>
      </c>
      <c r="W1194">
        <f>HYPERLINK("https://klasma.github.io/Logging_2284/klagomålsmail/A 52575-2022 FSC-klagomål mail.docx", "A 52575-2022")</f>
        <v/>
      </c>
      <c r="X1194">
        <f>HYPERLINK("https://klasma.github.io/Logging_2284/tillsyn/A 52575-2022 tillsynsbegäran.docx", "A 52575-2022")</f>
        <v/>
      </c>
      <c r="Y1194">
        <f>HYPERLINK("https://klasma.github.io/Logging_2284/tillsynsmail/A 52575-2022 tillsynsbegäran mail.docx", "A 52575-2022")</f>
        <v/>
      </c>
    </row>
    <row r="1195" ht="15" customHeight="1">
      <c r="A1195" t="inlineStr">
        <is>
          <t>A 40214-2024</t>
        </is>
      </c>
      <c r="B1195" s="1" t="n">
        <v>45554.59460648148</v>
      </c>
      <c r="C1195" s="1" t="n">
        <v>46093</v>
      </c>
      <c r="D1195" t="inlineStr">
        <is>
          <t>VÄSTERNORRLANDS LÄN</t>
        </is>
      </c>
      <c r="E1195" t="inlineStr">
        <is>
          <t>ÅNGE</t>
        </is>
      </c>
      <c r="F1195" t="inlineStr">
        <is>
          <t>SCA</t>
        </is>
      </c>
      <c r="G1195" t="n">
        <v>7.7</v>
      </c>
      <c r="H1195" t="n">
        <v>0</v>
      </c>
      <c r="I1195" t="n">
        <v>0</v>
      </c>
      <c r="J1195" t="n">
        <v>1</v>
      </c>
      <c r="K1195" t="n">
        <v>0</v>
      </c>
      <c r="L1195" t="n">
        <v>0</v>
      </c>
      <c r="M1195" t="n">
        <v>0</v>
      </c>
      <c r="N1195" t="n">
        <v>0</v>
      </c>
      <c r="O1195" t="n">
        <v>1</v>
      </c>
      <c r="P1195" t="n">
        <v>0</v>
      </c>
      <c r="Q1195" t="n">
        <v>1</v>
      </c>
      <c r="R1195" s="2" t="inlineStr">
        <is>
          <t>Lunglav</t>
        </is>
      </c>
      <c r="S1195">
        <f>HYPERLINK("https://klasma.github.io/Logging_2260/artfynd/A 40214-2024 artfynd.xlsx", "A 40214-2024")</f>
        <v/>
      </c>
      <c r="T1195">
        <f>HYPERLINK("https://klasma.github.io/Logging_2260/kartor/A 40214-2024 karta.png", "A 40214-2024")</f>
        <v/>
      </c>
      <c r="V1195">
        <f>HYPERLINK("https://klasma.github.io/Logging_2260/klagomål/A 40214-2024 FSC-klagomål.docx", "A 40214-2024")</f>
        <v/>
      </c>
      <c r="W1195">
        <f>HYPERLINK("https://klasma.github.io/Logging_2260/klagomålsmail/A 40214-2024 FSC-klagomål mail.docx", "A 40214-2024")</f>
        <v/>
      </c>
      <c r="X1195">
        <f>HYPERLINK("https://klasma.github.io/Logging_2260/tillsyn/A 40214-2024 tillsynsbegäran.docx", "A 40214-2024")</f>
        <v/>
      </c>
      <c r="Y1195">
        <f>HYPERLINK("https://klasma.github.io/Logging_2260/tillsynsmail/A 40214-2024 tillsynsbegäran mail.docx", "A 40214-2024")</f>
        <v/>
      </c>
    </row>
    <row r="1196" ht="15" customHeight="1">
      <c r="A1196" t="inlineStr">
        <is>
          <t>A 7904-2024</t>
        </is>
      </c>
      <c r="B1196" s="1" t="n">
        <v>45349</v>
      </c>
      <c r="C1196" s="1" t="n">
        <v>46093</v>
      </c>
      <c r="D1196" t="inlineStr">
        <is>
          <t>VÄSTERNORRLANDS LÄN</t>
        </is>
      </c>
      <c r="E1196" t="inlineStr">
        <is>
          <t>TIMRÅ</t>
        </is>
      </c>
      <c r="G1196" t="n">
        <v>7.3</v>
      </c>
      <c r="H1196" t="n">
        <v>1</v>
      </c>
      <c r="I1196" t="n">
        <v>0</v>
      </c>
      <c r="J1196" t="n">
        <v>0</v>
      </c>
      <c r="K1196" t="n">
        <v>1</v>
      </c>
      <c r="L1196" t="n">
        <v>0</v>
      </c>
      <c r="M1196" t="n">
        <v>0</v>
      </c>
      <c r="N1196" t="n">
        <v>0</v>
      </c>
      <c r="O1196" t="n">
        <v>1</v>
      </c>
      <c r="P1196" t="n">
        <v>1</v>
      </c>
      <c r="Q1196" t="n">
        <v>1</v>
      </c>
      <c r="R1196" s="2" t="inlineStr">
        <is>
          <t>Bergviol</t>
        </is>
      </c>
      <c r="S1196">
        <f>HYPERLINK("https://klasma.github.io/Logging_2262/artfynd/A 7904-2024 artfynd.xlsx", "A 7904-2024")</f>
        <v/>
      </c>
      <c r="T1196">
        <f>HYPERLINK("https://klasma.github.io/Logging_2262/kartor/A 7904-2024 karta.png", "A 7904-2024")</f>
        <v/>
      </c>
      <c r="V1196">
        <f>HYPERLINK("https://klasma.github.io/Logging_2262/klagomål/A 7904-2024 FSC-klagomål.docx", "A 7904-2024")</f>
        <v/>
      </c>
      <c r="W1196">
        <f>HYPERLINK("https://klasma.github.io/Logging_2262/klagomålsmail/A 7904-2024 FSC-klagomål mail.docx", "A 7904-2024")</f>
        <v/>
      </c>
      <c r="X1196">
        <f>HYPERLINK("https://klasma.github.io/Logging_2262/tillsyn/A 7904-2024 tillsynsbegäran.docx", "A 7904-2024")</f>
        <v/>
      </c>
      <c r="Y1196">
        <f>HYPERLINK("https://klasma.github.io/Logging_2262/tillsynsmail/A 7904-2024 tillsynsbegäran mail.docx", "A 7904-2024")</f>
        <v/>
      </c>
    </row>
    <row r="1197" ht="15" customHeight="1">
      <c r="A1197" t="inlineStr">
        <is>
          <t>A 13301-2025</t>
        </is>
      </c>
      <c r="B1197" s="1" t="n">
        <v>45735.57451388889</v>
      </c>
      <c r="C1197" s="1" t="n">
        <v>46093</v>
      </c>
      <c r="D1197" t="inlineStr">
        <is>
          <t>VÄSTERNORRLANDS LÄN</t>
        </is>
      </c>
      <c r="E1197" t="inlineStr">
        <is>
          <t>SUNDSVALL</t>
        </is>
      </c>
      <c r="F1197" t="inlineStr">
        <is>
          <t>SCA</t>
        </is>
      </c>
      <c r="G1197" t="n">
        <v>13.4</v>
      </c>
      <c r="H1197" t="n">
        <v>1</v>
      </c>
      <c r="I1197" t="n">
        <v>0</v>
      </c>
      <c r="J1197" t="n">
        <v>0</v>
      </c>
      <c r="K1197" t="n">
        <v>0</v>
      </c>
      <c r="L1197" t="n">
        <v>0</v>
      </c>
      <c r="M1197" t="n">
        <v>0</v>
      </c>
      <c r="N1197" t="n">
        <v>0</v>
      </c>
      <c r="O1197" t="n">
        <v>0</v>
      </c>
      <c r="P1197" t="n">
        <v>0</v>
      </c>
      <c r="Q1197" t="n">
        <v>1</v>
      </c>
      <c r="R1197" s="2" t="inlineStr">
        <is>
          <t>Blåsippa</t>
        </is>
      </c>
      <c r="S1197">
        <f>HYPERLINK("https://klasma.github.io/Logging_2281/artfynd/A 13301-2025 artfynd.xlsx", "A 13301-2025")</f>
        <v/>
      </c>
      <c r="T1197">
        <f>HYPERLINK("https://klasma.github.io/Logging_2281/kartor/A 13301-2025 karta.png", "A 13301-2025")</f>
        <v/>
      </c>
      <c r="V1197">
        <f>HYPERLINK("https://klasma.github.io/Logging_2281/klagomål/A 13301-2025 FSC-klagomål.docx", "A 13301-2025")</f>
        <v/>
      </c>
      <c r="W1197">
        <f>HYPERLINK("https://klasma.github.io/Logging_2281/klagomålsmail/A 13301-2025 FSC-klagomål mail.docx", "A 13301-2025")</f>
        <v/>
      </c>
      <c r="X1197">
        <f>HYPERLINK("https://klasma.github.io/Logging_2281/tillsyn/A 13301-2025 tillsynsbegäran.docx", "A 13301-2025")</f>
        <v/>
      </c>
      <c r="Y1197">
        <f>HYPERLINK("https://klasma.github.io/Logging_2281/tillsynsmail/A 13301-2025 tillsynsbegäran mail.docx", "A 13301-2025")</f>
        <v/>
      </c>
    </row>
    <row r="1198" ht="15" customHeight="1">
      <c r="A1198" t="inlineStr">
        <is>
          <t>A 60595-2025</t>
        </is>
      </c>
      <c r="B1198" s="1" t="n">
        <v>45996.34443287037</v>
      </c>
      <c r="C1198" s="1" t="n">
        <v>46093</v>
      </c>
      <c r="D1198" t="inlineStr">
        <is>
          <t>VÄSTERNORRLANDS LÄN</t>
        </is>
      </c>
      <c r="E1198" t="inlineStr">
        <is>
          <t>SUNDSVALL</t>
        </is>
      </c>
      <c r="F1198" t="inlineStr">
        <is>
          <t>SCA</t>
        </is>
      </c>
      <c r="G1198" t="n">
        <v>2.9</v>
      </c>
      <c r="H1198" t="n">
        <v>1</v>
      </c>
      <c r="I1198" t="n">
        <v>1</v>
      </c>
      <c r="J1198" t="n">
        <v>0</v>
      </c>
      <c r="K1198" t="n">
        <v>0</v>
      </c>
      <c r="L1198" t="n">
        <v>0</v>
      </c>
      <c r="M1198" t="n">
        <v>0</v>
      </c>
      <c r="N1198" t="n">
        <v>0</v>
      </c>
      <c r="O1198" t="n">
        <v>0</v>
      </c>
      <c r="P1198" t="n">
        <v>0</v>
      </c>
      <c r="Q1198" t="n">
        <v>1</v>
      </c>
      <c r="R1198" s="2" t="inlineStr">
        <is>
          <t>Plattlummer</t>
        </is>
      </c>
      <c r="S1198">
        <f>HYPERLINK("https://klasma.github.io/Logging_2281/artfynd/A 60595-2025 artfynd.xlsx", "A 60595-2025")</f>
        <v/>
      </c>
      <c r="T1198">
        <f>HYPERLINK("https://klasma.github.io/Logging_2281/kartor/A 60595-2025 karta.png", "A 60595-2025")</f>
        <v/>
      </c>
      <c r="V1198">
        <f>HYPERLINK("https://klasma.github.io/Logging_2281/klagomål/A 60595-2025 FSC-klagomål.docx", "A 60595-2025")</f>
        <v/>
      </c>
      <c r="W1198">
        <f>HYPERLINK("https://klasma.github.io/Logging_2281/klagomålsmail/A 60595-2025 FSC-klagomål mail.docx", "A 60595-2025")</f>
        <v/>
      </c>
      <c r="X1198">
        <f>HYPERLINK("https://klasma.github.io/Logging_2281/tillsyn/A 60595-2025 tillsynsbegäran.docx", "A 60595-2025")</f>
        <v/>
      </c>
      <c r="Y1198">
        <f>HYPERLINK("https://klasma.github.io/Logging_2281/tillsynsmail/A 60595-2025 tillsynsbegäran mail.docx", "A 60595-2025")</f>
        <v/>
      </c>
    </row>
    <row r="1199" ht="15" customHeight="1">
      <c r="A1199" t="inlineStr">
        <is>
          <t>A 30774-2024</t>
        </is>
      </c>
      <c r="B1199" s="1" t="n">
        <v>45496.949375</v>
      </c>
      <c r="C1199" s="1" t="n">
        <v>46093</v>
      </c>
      <c r="D1199" t="inlineStr">
        <is>
          <t>VÄSTERNORRLANDS LÄN</t>
        </is>
      </c>
      <c r="E1199" t="inlineStr">
        <is>
          <t>ÅNGE</t>
        </is>
      </c>
      <c r="F1199" t="inlineStr">
        <is>
          <t>SCA</t>
        </is>
      </c>
      <c r="G1199" t="n">
        <v>2.2</v>
      </c>
      <c r="H1199" t="n">
        <v>1</v>
      </c>
      <c r="I1199" t="n">
        <v>0</v>
      </c>
      <c r="J1199" t="n">
        <v>0</v>
      </c>
      <c r="K1199" t="n">
        <v>0</v>
      </c>
      <c r="L1199" t="n">
        <v>0</v>
      </c>
      <c r="M1199" t="n">
        <v>0</v>
      </c>
      <c r="N1199" t="n">
        <v>0</v>
      </c>
      <c r="O1199" t="n">
        <v>0</v>
      </c>
      <c r="P1199" t="n">
        <v>0</v>
      </c>
      <c r="Q1199" t="n">
        <v>1</v>
      </c>
      <c r="R1199" s="2" t="inlineStr">
        <is>
          <t>Tjäder</t>
        </is>
      </c>
      <c r="S1199">
        <f>HYPERLINK("https://klasma.github.io/Logging_2260/artfynd/A 30774-2024 artfynd.xlsx", "A 30774-2024")</f>
        <v/>
      </c>
      <c r="T1199">
        <f>HYPERLINK("https://klasma.github.io/Logging_2260/kartor/A 30774-2024 karta.png", "A 30774-2024")</f>
        <v/>
      </c>
      <c r="V1199">
        <f>HYPERLINK("https://klasma.github.io/Logging_2260/klagomål/A 30774-2024 FSC-klagomål.docx", "A 30774-2024")</f>
        <v/>
      </c>
      <c r="W1199">
        <f>HYPERLINK("https://klasma.github.io/Logging_2260/klagomålsmail/A 30774-2024 FSC-klagomål mail.docx", "A 30774-2024")</f>
        <v/>
      </c>
      <c r="X1199">
        <f>HYPERLINK("https://klasma.github.io/Logging_2260/tillsyn/A 30774-2024 tillsynsbegäran.docx", "A 30774-2024")</f>
        <v/>
      </c>
      <c r="Y1199">
        <f>HYPERLINK("https://klasma.github.io/Logging_2260/tillsynsmail/A 30774-2024 tillsynsbegäran mail.docx", "A 30774-2024")</f>
        <v/>
      </c>
      <c r="Z1199">
        <f>HYPERLINK("https://klasma.github.io/Logging_2260/fåglar/A 30774-2024 prioriterade fågelarter.docx", "A 30774-2024")</f>
        <v/>
      </c>
    </row>
    <row r="1200" ht="15" customHeight="1">
      <c r="A1200" t="inlineStr">
        <is>
          <t>A 49189-2025</t>
        </is>
      </c>
      <c r="B1200" s="1" t="n">
        <v>45938</v>
      </c>
      <c r="C1200" s="1" t="n">
        <v>46093</v>
      </c>
      <c r="D1200" t="inlineStr">
        <is>
          <t>VÄSTERNORRLANDS LÄN</t>
        </is>
      </c>
      <c r="E1200" t="inlineStr">
        <is>
          <t>SOLLEFTEÅ</t>
        </is>
      </c>
      <c r="F1200" t="inlineStr">
        <is>
          <t>SCA</t>
        </is>
      </c>
      <c r="G1200" t="n">
        <v>7.5</v>
      </c>
      <c r="H1200" t="n">
        <v>0</v>
      </c>
      <c r="I1200" t="n">
        <v>0</v>
      </c>
      <c r="J1200" t="n">
        <v>1</v>
      </c>
      <c r="K1200" t="n">
        <v>0</v>
      </c>
      <c r="L1200" t="n">
        <v>0</v>
      </c>
      <c r="M1200" t="n">
        <v>0</v>
      </c>
      <c r="N1200" t="n">
        <v>0</v>
      </c>
      <c r="O1200" t="n">
        <v>1</v>
      </c>
      <c r="P1200" t="n">
        <v>0</v>
      </c>
      <c r="Q1200" t="n">
        <v>1</v>
      </c>
      <c r="R1200" s="2" t="inlineStr">
        <is>
          <t>Rosenticka</t>
        </is>
      </c>
      <c r="S1200">
        <f>HYPERLINK("https://klasma.github.io/Logging_2283/artfynd/A 49189-2025 artfynd.xlsx", "A 49189-2025")</f>
        <v/>
      </c>
      <c r="T1200">
        <f>HYPERLINK("https://klasma.github.io/Logging_2283/kartor/A 49189-2025 karta.png", "A 49189-2025")</f>
        <v/>
      </c>
      <c r="U1200">
        <f>HYPERLINK("https://klasma.github.io/Logging_2283/knärot/A 49189-2025 karta knärot.png", "A 49189-2025")</f>
        <v/>
      </c>
      <c r="V1200">
        <f>HYPERLINK("https://klasma.github.io/Logging_2283/klagomål/A 49189-2025 FSC-klagomål.docx", "A 49189-2025")</f>
        <v/>
      </c>
      <c r="W1200">
        <f>HYPERLINK("https://klasma.github.io/Logging_2283/klagomålsmail/A 49189-2025 FSC-klagomål mail.docx", "A 49189-2025")</f>
        <v/>
      </c>
      <c r="X1200">
        <f>HYPERLINK("https://klasma.github.io/Logging_2283/tillsyn/A 49189-2025 tillsynsbegäran.docx", "A 49189-2025")</f>
        <v/>
      </c>
      <c r="Y1200">
        <f>HYPERLINK("https://klasma.github.io/Logging_2283/tillsynsmail/A 49189-2025 tillsynsbegäran mail.docx", "A 49189-2025")</f>
        <v/>
      </c>
    </row>
    <row r="1201" ht="15" customHeight="1">
      <c r="A1201" t="inlineStr">
        <is>
          <t>A 61112-2025</t>
        </is>
      </c>
      <c r="B1201" s="1" t="n">
        <v>46000.45546296296</v>
      </c>
      <c r="C1201" s="1" t="n">
        <v>46093</v>
      </c>
      <c r="D1201" t="inlineStr">
        <is>
          <t>VÄSTERNORRLANDS LÄN</t>
        </is>
      </c>
      <c r="E1201" t="inlineStr">
        <is>
          <t>ÖRNSKÖLDSVIK</t>
        </is>
      </c>
      <c r="F1201" t="inlineStr">
        <is>
          <t>Holmen skog AB</t>
        </is>
      </c>
      <c r="G1201" t="n">
        <v>1.1</v>
      </c>
      <c r="H1201" t="n">
        <v>1</v>
      </c>
      <c r="I1201" t="n">
        <v>0</v>
      </c>
      <c r="J1201" t="n">
        <v>1</v>
      </c>
      <c r="K1201" t="n">
        <v>0</v>
      </c>
      <c r="L1201" t="n">
        <v>0</v>
      </c>
      <c r="M1201" t="n">
        <v>0</v>
      </c>
      <c r="N1201" t="n">
        <v>0</v>
      </c>
      <c r="O1201" t="n">
        <v>1</v>
      </c>
      <c r="P1201" t="n">
        <v>0</v>
      </c>
      <c r="Q1201" t="n">
        <v>1</v>
      </c>
      <c r="R1201" s="2" t="inlineStr">
        <is>
          <t>Havsörn</t>
        </is>
      </c>
      <c r="S1201">
        <f>HYPERLINK("https://klasma.github.io/Logging_2284/artfynd/A 61112-2025 artfynd.xlsx", "A 61112-2025")</f>
        <v/>
      </c>
      <c r="T1201">
        <f>HYPERLINK("https://klasma.github.io/Logging_2284/kartor/A 61112-2025 karta.png", "A 61112-2025")</f>
        <v/>
      </c>
      <c r="V1201">
        <f>HYPERLINK("https://klasma.github.io/Logging_2284/klagomål/A 61112-2025 FSC-klagomål.docx", "A 61112-2025")</f>
        <v/>
      </c>
      <c r="W1201">
        <f>HYPERLINK("https://klasma.github.io/Logging_2284/klagomålsmail/A 61112-2025 FSC-klagomål mail.docx", "A 61112-2025")</f>
        <v/>
      </c>
      <c r="X1201">
        <f>HYPERLINK("https://klasma.github.io/Logging_2284/tillsyn/A 61112-2025 tillsynsbegäran.docx", "A 61112-2025")</f>
        <v/>
      </c>
      <c r="Y1201">
        <f>HYPERLINK("https://klasma.github.io/Logging_2284/tillsynsmail/A 61112-2025 tillsynsbegäran mail.docx", "A 61112-2025")</f>
        <v/>
      </c>
      <c r="Z1201">
        <f>HYPERLINK("https://klasma.github.io/Logging_2284/fåglar/A 61112-2025 prioriterade fågelarter.docx", "A 61112-2025")</f>
        <v/>
      </c>
    </row>
    <row r="1202" ht="15" customHeight="1">
      <c r="A1202" t="inlineStr">
        <is>
          <t>A 517-2025</t>
        </is>
      </c>
      <c r="B1202" s="1" t="n">
        <v>45664.47754629629</v>
      </c>
      <c r="C1202" s="1" t="n">
        <v>46093</v>
      </c>
      <c r="D1202" t="inlineStr">
        <is>
          <t>VÄSTERNORRLANDS LÄN</t>
        </is>
      </c>
      <c r="E1202" t="inlineStr">
        <is>
          <t>KRAMFORS</t>
        </is>
      </c>
      <c r="G1202" t="n">
        <v>1.7</v>
      </c>
      <c r="H1202" t="n">
        <v>0</v>
      </c>
      <c r="I1202" t="n">
        <v>0</v>
      </c>
      <c r="J1202" t="n">
        <v>1</v>
      </c>
      <c r="K1202" t="n">
        <v>0</v>
      </c>
      <c r="L1202" t="n">
        <v>0</v>
      </c>
      <c r="M1202" t="n">
        <v>0</v>
      </c>
      <c r="N1202" t="n">
        <v>0</v>
      </c>
      <c r="O1202" t="n">
        <v>1</v>
      </c>
      <c r="P1202" t="n">
        <v>0</v>
      </c>
      <c r="Q1202" t="n">
        <v>1</v>
      </c>
      <c r="R1202" s="2" t="inlineStr">
        <is>
          <t>Storplattnos</t>
        </is>
      </c>
      <c r="S1202">
        <f>HYPERLINK("https://klasma.github.io/Logging_2282/artfynd/A 517-2025 artfynd.xlsx", "A 517-2025")</f>
        <v/>
      </c>
      <c r="T1202">
        <f>HYPERLINK("https://klasma.github.io/Logging_2282/kartor/A 517-2025 karta.png", "A 517-2025")</f>
        <v/>
      </c>
      <c r="V1202">
        <f>HYPERLINK("https://klasma.github.io/Logging_2282/klagomål/A 517-2025 FSC-klagomål.docx", "A 517-2025")</f>
        <v/>
      </c>
      <c r="W1202">
        <f>HYPERLINK("https://klasma.github.io/Logging_2282/klagomålsmail/A 517-2025 FSC-klagomål mail.docx", "A 517-2025")</f>
        <v/>
      </c>
      <c r="X1202">
        <f>HYPERLINK("https://klasma.github.io/Logging_2282/tillsyn/A 517-2025 tillsynsbegäran.docx", "A 517-2025")</f>
        <v/>
      </c>
      <c r="Y1202">
        <f>HYPERLINK("https://klasma.github.io/Logging_2282/tillsynsmail/A 517-2025 tillsynsbegäran mail.docx", "A 517-2025")</f>
        <v/>
      </c>
    </row>
    <row r="1203" ht="15" customHeight="1">
      <c r="A1203" t="inlineStr">
        <is>
          <t>A 39180-2024</t>
        </is>
      </c>
      <c r="B1203" s="1" t="n">
        <v>45548.6571412037</v>
      </c>
      <c r="C1203" s="1" t="n">
        <v>46093</v>
      </c>
      <c r="D1203" t="inlineStr">
        <is>
          <t>VÄSTERNORRLANDS LÄN</t>
        </is>
      </c>
      <c r="E1203" t="inlineStr">
        <is>
          <t>ÅNGE</t>
        </is>
      </c>
      <c r="F1203" t="inlineStr">
        <is>
          <t>SCA</t>
        </is>
      </c>
      <c r="G1203" t="n">
        <v>8.699999999999999</v>
      </c>
      <c r="H1203" t="n">
        <v>0</v>
      </c>
      <c r="I1203" t="n">
        <v>0</v>
      </c>
      <c r="J1203" t="n">
        <v>1</v>
      </c>
      <c r="K1203" t="n">
        <v>0</v>
      </c>
      <c r="L1203" t="n">
        <v>0</v>
      </c>
      <c r="M1203" t="n">
        <v>0</v>
      </c>
      <c r="N1203" t="n">
        <v>0</v>
      </c>
      <c r="O1203" t="n">
        <v>1</v>
      </c>
      <c r="P1203" t="n">
        <v>0</v>
      </c>
      <c r="Q1203" t="n">
        <v>1</v>
      </c>
      <c r="R1203" s="2" t="inlineStr">
        <is>
          <t>Lunglav</t>
        </is>
      </c>
      <c r="S1203">
        <f>HYPERLINK("https://klasma.github.io/Logging_2260/artfynd/A 39180-2024 artfynd.xlsx", "A 39180-2024")</f>
        <v/>
      </c>
      <c r="T1203">
        <f>HYPERLINK("https://klasma.github.io/Logging_2260/kartor/A 39180-2024 karta.png", "A 39180-2024")</f>
        <v/>
      </c>
      <c r="V1203">
        <f>HYPERLINK("https://klasma.github.io/Logging_2260/klagomål/A 39180-2024 FSC-klagomål.docx", "A 39180-2024")</f>
        <v/>
      </c>
      <c r="W1203">
        <f>HYPERLINK("https://klasma.github.io/Logging_2260/klagomålsmail/A 39180-2024 FSC-klagomål mail.docx", "A 39180-2024")</f>
        <v/>
      </c>
      <c r="X1203">
        <f>HYPERLINK("https://klasma.github.io/Logging_2260/tillsyn/A 39180-2024 tillsynsbegäran.docx", "A 39180-2024")</f>
        <v/>
      </c>
      <c r="Y1203">
        <f>HYPERLINK("https://klasma.github.io/Logging_2260/tillsynsmail/A 39180-2024 tillsynsbegäran mail.docx", "A 39180-2024")</f>
        <v/>
      </c>
    </row>
    <row r="1204" ht="15" customHeight="1">
      <c r="A1204" t="inlineStr">
        <is>
          <t>A 61076-2025</t>
        </is>
      </c>
      <c r="B1204" s="1" t="n">
        <v>46000.39689814814</v>
      </c>
      <c r="C1204" s="1" t="n">
        <v>46093</v>
      </c>
      <c r="D1204" t="inlineStr">
        <is>
          <t>VÄSTERNORRLANDS LÄN</t>
        </is>
      </c>
      <c r="E1204" t="inlineStr">
        <is>
          <t>ÅNGE</t>
        </is>
      </c>
      <c r="F1204" t="inlineStr">
        <is>
          <t>Holmen skog AB</t>
        </is>
      </c>
      <c r="G1204" t="n">
        <v>2.7</v>
      </c>
      <c r="H1204" t="n">
        <v>0</v>
      </c>
      <c r="I1204" t="n">
        <v>1</v>
      </c>
      <c r="J1204" t="n">
        <v>0</v>
      </c>
      <c r="K1204" t="n">
        <v>0</v>
      </c>
      <c r="L1204" t="n">
        <v>0</v>
      </c>
      <c r="M1204" t="n">
        <v>0</v>
      </c>
      <c r="N1204" t="n">
        <v>0</v>
      </c>
      <c r="O1204" t="n">
        <v>0</v>
      </c>
      <c r="P1204" t="n">
        <v>0</v>
      </c>
      <c r="Q1204" t="n">
        <v>1</v>
      </c>
      <c r="R1204" s="2" t="inlineStr">
        <is>
          <t>Stor aspticka</t>
        </is>
      </c>
      <c r="S1204">
        <f>HYPERLINK("https://klasma.github.io/Logging_2260/artfynd/A 61076-2025 artfynd.xlsx", "A 61076-2025")</f>
        <v/>
      </c>
      <c r="T1204">
        <f>HYPERLINK("https://klasma.github.io/Logging_2260/kartor/A 61076-2025 karta.png", "A 61076-2025")</f>
        <v/>
      </c>
      <c r="V1204">
        <f>HYPERLINK("https://klasma.github.io/Logging_2260/klagomål/A 61076-2025 FSC-klagomål.docx", "A 61076-2025")</f>
        <v/>
      </c>
      <c r="W1204">
        <f>HYPERLINK("https://klasma.github.io/Logging_2260/klagomålsmail/A 61076-2025 FSC-klagomål mail.docx", "A 61076-2025")</f>
        <v/>
      </c>
      <c r="X1204">
        <f>HYPERLINK("https://klasma.github.io/Logging_2260/tillsyn/A 61076-2025 tillsynsbegäran.docx", "A 61076-2025")</f>
        <v/>
      </c>
      <c r="Y1204">
        <f>HYPERLINK("https://klasma.github.io/Logging_2260/tillsynsmail/A 61076-2025 tillsynsbegäran mail.docx", "A 61076-2025")</f>
        <v/>
      </c>
    </row>
    <row r="1205" ht="15" customHeight="1">
      <c r="A1205" t="inlineStr">
        <is>
          <t>A 15346-2023</t>
        </is>
      </c>
      <c r="B1205" s="1" t="n">
        <v>45016</v>
      </c>
      <c r="C1205" s="1" t="n">
        <v>46093</v>
      </c>
      <c r="D1205" t="inlineStr">
        <is>
          <t>VÄSTERNORRLANDS LÄN</t>
        </is>
      </c>
      <c r="E1205" t="inlineStr">
        <is>
          <t>SUNDSVALL</t>
        </is>
      </c>
      <c r="G1205" t="n">
        <v>3.8</v>
      </c>
      <c r="H1205" t="n">
        <v>1</v>
      </c>
      <c r="I1205" t="n">
        <v>0</v>
      </c>
      <c r="J1205" t="n">
        <v>1</v>
      </c>
      <c r="K1205" t="n">
        <v>0</v>
      </c>
      <c r="L1205" t="n">
        <v>0</v>
      </c>
      <c r="M1205" t="n">
        <v>0</v>
      </c>
      <c r="N1205" t="n">
        <v>0</v>
      </c>
      <c r="O1205" t="n">
        <v>1</v>
      </c>
      <c r="P1205" t="n">
        <v>0</v>
      </c>
      <c r="Q1205" t="n">
        <v>1</v>
      </c>
      <c r="R1205" s="2" t="inlineStr">
        <is>
          <t>Tretåig hackspett</t>
        </is>
      </c>
      <c r="S1205">
        <f>HYPERLINK("https://klasma.github.io/Logging_2281/artfynd/A 15346-2023 artfynd.xlsx", "A 15346-2023")</f>
        <v/>
      </c>
      <c r="T1205">
        <f>HYPERLINK("https://klasma.github.io/Logging_2281/kartor/A 15346-2023 karta.png", "A 15346-2023")</f>
        <v/>
      </c>
      <c r="V1205">
        <f>HYPERLINK("https://klasma.github.io/Logging_2281/klagomål/A 15346-2023 FSC-klagomål.docx", "A 15346-2023")</f>
        <v/>
      </c>
      <c r="W1205">
        <f>HYPERLINK("https://klasma.github.io/Logging_2281/klagomålsmail/A 15346-2023 FSC-klagomål mail.docx", "A 15346-2023")</f>
        <v/>
      </c>
      <c r="X1205">
        <f>HYPERLINK("https://klasma.github.io/Logging_2281/tillsyn/A 15346-2023 tillsynsbegäran.docx", "A 15346-2023")</f>
        <v/>
      </c>
      <c r="Y1205">
        <f>HYPERLINK("https://klasma.github.io/Logging_2281/tillsynsmail/A 15346-2023 tillsynsbegäran mail.docx", "A 15346-2023")</f>
        <v/>
      </c>
      <c r="Z1205">
        <f>HYPERLINK("https://klasma.github.io/Logging_2281/fåglar/A 15346-2023 prioriterade fågelarter.docx", "A 15346-2023")</f>
        <v/>
      </c>
    </row>
    <row r="1206" ht="15" customHeight="1">
      <c r="A1206" t="inlineStr">
        <is>
          <t>A 57242-2022</t>
        </is>
      </c>
      <c r="B1206" s="1" t="n">
        <v>44889</v>
      </c>
      <c r="C1206" s="1" t="n">
        <v>46093</v>
      </c>
      <c r="D1206" t="inlineStr">
        <is>
          <t>VÄSTERNORRLANDS LÄN</t>
        </is>
      </c>
      <c r="E1206" t="inlineStr">
        <is>
          <t>TIMRÅ</t>
        </is>
      </c>
      <c r="G1206" t="n">
        <v>18.8</v>
      </c>
      <c r="H1206" t="n">
        <v>0</v>
      </c>
      <c r="I1206" t="n">
        <v>0</v>
      </c>
      <c r="J1206" t="n">
        <v>0</v>
      </c>
      <c r="K1206" t="n">
        <v>0</v>
      </c>
      <c r="L1206" t="n">
        <v>1</v>
      </c>
      <c r="M1206" t="n">
        <v>0</v>
      </c>
      <c r="N1206" t="n">
        <v>0</v>
      </c>
      <c r="O1206" t="n">
        <v>1</v>
      </c>
      <c r="P1206" t="n">
        <v>1</v>
      </c>
      <c r="Q1206" t="n">
        <v>1</v>
      </c>
      <c r="R1206" s="2" t="inlineStr">
        <is>
          <t>Flodpärlmussla</t>
        </is>
      </c>
      <c r="S1206">
        <f>HYPERLINK("https://klasma.github.io/Logging_2262/artfynd/A 57242-2022 artfynd.xlsx", "A 57242-2022")</f>
        <v/>
      </c>
      <c r="T1206">
        <f>HYPERLINK("https://klasma.github.io/Logging_2262/kartor/A 57242-2022 karta.png", "A 57242-2022")</f>
        <v/>
      </c>
      <c r="V1206">
        <f>HYPERLINK("https://klasma.github.io/Logging_2262/klagomål/A 57242-2022 FSC-klagomål.docx", "A 57242-2022")</f>
        <v/>
      </c>
      <c r="W1206">
        <f>HYPERLINK("https://klasma.github.io/Logging_2262/klagomålsmail/A 57242-2022 FSC-klagomål mail.docx", "A 57242-2022")</f>
        <v/>
      </c>
      <c r="X1206">
        <f>HYPERLINK("https://klasma.github.io/Logging_2262/tillsyn/A 57242-2022 tillsynsbegäran.docx", "A 57242-2022")</f>
        <v/>
      </c>
      <c r="Y1206">
        <f>HYPERLINK("https://klasma.github.io/Logging_2262/tillsynsmail/A 57242-2022 tillsynsbegäran mail.docx", "A 57242-2022")</f>
        <v/>
      </c>
    </row>
    <row r="1207" ht="15" customHeight="1">
      <c r="A1207" t="inlineStr">
        <is>
          <t>A 49367-2024</t>
        </is>
      </c>
      <c r="B1207" s="1" t="n">
        <v>45595.63591435185</v>
      </c>
      <c r="C1207" s="1" t="n">
        <v>46093</v>
      </c>
      <c r="D1207" t="inlineStr">
        <is>
          <t>VÄSTERNORRLANDS LÄN</t>
        </is>
      </c>
      <c r="E1207" t="inlineStr">
        <is>
          <t>SOLLEFTEÅ</t>
        </is>
      </c>
      <c r="F1207" t="inlineStr">
        <is>
          <t>SCA</t>
        </is>
      </c>
      <c r="G1207" t="n">
        <v>1.6</v>
      </c>
      <c r="H1207" t="n">
        <v>1</v>
      </c>
      <c r="I1207" t="n">
        <v>0</v>
      </c>
      <c r="J1207" t="n">
        <v>0</v>
      </c>
      <c r="K1207" t="n">
        <v>1</v>
      </c>
      <c r="L1207" t="n">
        <v>0</v>
      </c>
      <c r="M1207" t="n">
        <v>0</v>
      </c>
      <c r="N1207" t="n">
        <v>0</v>
      </c>
      <c r="O1207" t="n">
        <v>1</v>
      </c>
      <c r="P1207" t="n">
        <v>1</v>
      </c>
      <c r="Q1207" t="n">
        <v>1</v>
      </c>
      <c r="R1207" s="2" t="inlineStr">
        <is>
          <t>Knärot</t>
        </is>
      </c>
      <c r="S1207">
        <f>HYPERLINK("https://klasma.github.io/Logging_2283/artfynd/A 49367-2024 artfynd.xlsx", "A 49367-2024")</f>
        <v/>
      </c>
      <c r="T1207">
        <f>HYPERLINK("https://klasma.github.io/Logging_2283/kartor/A 49367-2024 karta.png", "A 49367-2024")</f>
        <v/>
      </c>
      <c r="U1207">
        <f>HYPERLINK("https://klasma.github.io/Logging_2283/knärot/A 49367-2024 karta knärot.png", "A 49367-2024")</f>
        <v/>
      </c>
      <c r="V1207">
        <f>HYPERLINK("https://klasma.github.io/Logging_2283/klagomål/A 49367-2024 FSC-klagomål.docx", "A 49367-2024")</f>
        <v/>
      </c>
      <c r="W1207">
        <f>HYPERLINK("https://klasma.github.io/Logging_2283/klagomålsmail/A 49367-2024 FSC-klagomål mail.docx", "A 49367-2024")</f>
        <v/>
      </c>
      <c r="X1207">
        <f>HYPERLINK("https://klasma.github.io/Logging_2283/tillsyn/A 49367-2024 tillsynsbegäran.docx", "A 49367-2024")</f>
        <v/>
      </c>
      <c r="Y1207">
        <f>HYPERLINK("https://klasma.github.io/Logging_2283/tillsynsmail/A 49367-2024 tillsynsbegäran mail.docx", "A 49367-2024")</f>
        <v/>
      </c>
    </row>
    <row r="1208" ht="15" customHeight="1">
      <c r="A1208" t="inlineStr">
        <is>
          <t>A 35295-2023</t>
        </is>
      </c>
      <c r="B1208" s="1" t="n">
        <v>45145</v>
      </c>
      <c r="C1208" s="1" t="n">
        <v>46093</v>
      </c>
      <c r="D1208" t="inlineStr">
        <is>
          <t>VÄSTERNORRLANDS LÄN</t>
        </is>
      </c>
      <c r="E1208" t="inlineStr">
        <is>
          <t>SOLLEFTEÅ</t>
        </is>
      </c>
      <c r="F1208" t="inlineStr">
        <is>
          <t>SCA</t>
        </is>
      </c>
      <c r="G1208" t="n">
        <v>8.9</v>
      </c>
      <c r="H1208" t="n">
        <v>1</v>
      </c>
      <c r="I1208" t="n">
        <v>0</v>
      </c>
      <c r="J1208" t="n">
        <v>1</v>
      </c>
      <c r="K1208" t="n">
        <v>0</v>
      </c>
      <c r="L1208" t="n">
        <v>0</v>
      </c>
      <c r="M1208" t="n">
        <v>0</v>
      </c>
      <c r="N1208" t="n">
        <v>0</v>
      </c>
      <c r="O1208" t="n">
        <v>1</v>
      </c>
      <c r="P1208" t="n">
        <v>0</v>
      </c>
      <c r="Q1208" t="n">
        <v>1</v>
      </c>
      <c r="R1208" s="2" t="inlineStr">
        <is>
          <t>Talltita</t>
        </is>
      </c>
      <c r="S1208">
        <f>HYPERLINK("https://klasma.github.io/Logging_2283/artfynd/A 35295-2023 artfynd.xlsx", "A 35295-2023")</f>
        <v/>
      </c>
      <c r="T1208">
        <f>HYPERLINK("https://klasma.github.io/Logging_2283/kartor/A 35295-2023 karta.png", "A 35295-2023")</f>
        <v/>
      </c>
      <c r="V1208">
        <f>HYPERLINK("https://klasma.github.io/Logging_2283/klagomål/A 35295-2023 FSC-klagomål.docx", "A 35295-2023")</f>
        <v/>
      </c>
      <c r="W1208">
        <f>HYPERLINK("https://klasma.github.io/Logging_2283/klagomålsmail/A 35295-2023 FSC-klagomål mail.docx", "A 35295-2023")</f>
        <v/>
      </c>
      <c r="X1208">
        <f>HYPERLINK("https://klasma.github.io/Logging_2283/tillsyn/A 35295-2023 tillsynsbegäran.docx", "A 35295-2023")</f>
        <v/>
      </c>
      <c r="Y1208">
        <f>HYPERLINK("https://klasma.github.io/Logging_2283/tillsynsmail/A 35295-2023 tillsynsbegäran mail.docx", "A 35295-2023")</f>
        <v/>
      </c>
      <c r="Z1208">
        <f>HYPERLINK("https://klasma.github.io/Logging_2283/fåglar/A 35295-2023 prioriterade fågelarter.docx", "A 35295-2023")</f>
        <v/>
      </c>
    </row>
    <row r="1209" ht="15" customHeight="1">
      <c r="A1209" t="inlineStr">
        <is>
          <t>A 7264-2025</t>
        </is>
      </c>
      <c r="B1209" s="1" t="n">
        <v>45702.59416666667</v>
      </c>
      <c r="C1209" s="1" t="n">
        <v>46093</v>
      </c>
      <c r="D1209" t="inlineStr">
        <is>
          <t>VÄSTERNORRLANDS LÄN</t>
        </is>
      </c>
      <c r="E1209" t="inlineStr">
        <is>
          <t>SUNDSVALL</t>
        </is>
      </c>
      <c r="F1209" t="inlineStr">
        <is>
          <t>SCA</t>
        </is>
      </c>
      <c r="G1209" t="n">
        <v>2.1</v>
      </c>
      <c r="H1209" t="n">
        <v>0</v>
      </c>
      <c r="I1209" t="n">
        <v>0</v>
      </c>
      <c r="J1209" t="n">
        <v>1</v>
      </c>
      <c r="K1209" t="n">
        <v>0</v>
      </c>
      <c r="L1209" t="n">
        <v>0</v>
      </c>
      <c r="M1209" t="n">
        <v>0</v>
      </c>
      <c r="N1209" t="n">
        <v>0</v>
      </c>
      <c r="O1209" t="n">
        <v>1</v>
      </c>
      <c r="P1209" t="n">
        <v>0</v>
      </c>
      <c r="Q1209" t="n">
        <v>1</v>
      </c>
      <c r="R1209" s="2" t="inlineStr">
        <is>
          <t>Ullticka</t>
        </is>
      </c>
      <c r="S1209">
        <f>HYPERLINK("https://klasma.github.io/Logging_2281/artfynd/A 7264-2025 artfynd.xlsx", "A 7264-2025")</f>
        <v/>
      </c>
      <c r="T1209">
        <f>HYPERLINK("https://klasma.github.io/Logging_2281/kartor/A 7264-2025 karta.png", "A 7264-2025")</f>
        <v/>
      </c>
      <c r="U1209">
        <f>HYPERLINK("https://klasma.github.io/Logging_2281/knärot/A 7264-2025 karta knärot.png", "A 7264-2025")</f>
        <v/>
      </c>
      <c r="V1209">
        <f>HYPERLINK("https://klasma.github.io/Logging_2281/klagomål/A 7264-2025 FSC-klagomål.docx", "A 7264-2025")</f>
        <v/>
      </c>
      <c r="W1209">
        <f>HYPERLINK("https://klasma.github.io/Logging_2281/klagomålsmail/A 7264-2025 FSC-klagomål mail.docx", "A 7264-2025")</f>
        <v/>
      </c>
      <c r="X1209">
        <f>HYPERLINK("https://klasma.github.io/Logging_2281/tillsyn/A 7264-2025 tillsynsbegäran.docx", "A 7264-2025")</f>
        <v/>
      </c>
      <c r="Y1209">
        <f>HYPERLINK("https://klasma.github.io/Logging_2281/tillsynsmail/A 7264-2025 tillsynsbegäran mail.docx", "A 7264-2025")</f>
        <v/>
      </c>
    </row>
    <row r="1210" ht="15" customHeight="1">
      <c r="A1210" t="inlineStr">
        <is>
          <t>A 62256-2025</t>
        </is>
      </c>
      <c r="B1210" s="1" t="n">
        <v>46006.61503472222</v>
      </c>
      <c r="C1210" s="1" t="n">
        <v>46093</v>
      </c>
      <c r="D1210" t="inlineStr">
        <is>
          <t>VÄSTERNORRLANDS LÄN</t>
        </is>
      </c>
      <c r="E1210" t="inlineStr">
        <is>
          <t>SOLLEFTEÅ</t>
        </is>
      </c>
      <c r="F1210" t="inlineStr">
        <is>
          <t>SCA</t>
        </is>
      </c>
      <c r="G1210" t="n">
        <v>9</v>
      </c>
      <c r="H1210" t="n">
        <v>0</v>
      </c>
      <c r="I1210" t="n">
        <v>0</v>
      </c>
      <c r="J1210" t="n">
        <v>1</v>
      </c>
      <c r="K1210" t="n">
        <v>0</v>
      </c>
      <c r="L1210" t="n">
        <v>0</v>
      </c>
      <c r="M1210" t="n">
        <v>0</v>
      </c>
      <c r="N1210" t="n">
        <v>0</v>
      </c>
      <c r="O1210" t="n">
        <v>1</v>
      </c>
      <c r="P1210" t="n">
        <v>0</v>
      </c>
      <c r="Q1210" t="n">
        <v>1</v>
      </c>
      <c r="R1210" s="2" t="inlineStr">
        <is>
          <t>Harticka</t>
        </is>
      </c>
      <c r="S1210">
        <f>HYPERLINK("https://klasma.github.io/Logging_2283/artfynd/A 62256-2025 artfynd.xlsx", "A 62256-2025")</f>
        <v/>
      </c>
      <c r="T1210">
        <f>HYPERLINK("https://klasma.github.io/Logging_2283/kartor/A 62256-2025 karta.png", "A 62256-2025")</f>
        <v/>
      </c>
      <c r="V1210">
        <f>HYPERLINK("https://klasma.github.io/Logging_2283/klagomål/A 62256-2025 FSC-klagomål.docx", "A 62256-2025")</f>
        <v/>
      </c>
      <c r="W1210">
        <f>HYPERLINK("https://klasma.github.io/Logging_2283/klagomålsmail/A 62256-2025 FSC-klagomål mail.docx", "A 62256-2025")</f>
        <v/>
      </c>
      <c r="X1210">
        <f>HYPERLINK("https://klasma.github.io/Logging_2283/tillsyn/A 62256-2025 tillsynsbegäran.docx", "A 62256-2025")</f>
        <v/>
      </c>
      <c r="Y1210">
        <f>HYPERLINK("https://klasma.github.io/Logging_2283/tillsynsmail/A 62256-2025 tillsynsbegäran mail.docx", "A 62256-2025")</f>
        <v/>
      </c>
    </row>
    <row r="1211" ht="15" customHeight="1">
      <c r="A1211" t="inlineStr">
        <is>
          <t>A 62864-2025</t>
        </is>
      </c>
      <c r="B1211" s="1" t="n">
        <v>46008</v>
      </c>
      <c r="C1211" s="1" t="n">
        <v>46093</v>
      </c>
      <c r="D1211" t="inlineStr">
        <is>
          <t>VÄSTERNORRLANDS LÄN</t>
        </is>
      </c>
      <c r="E1211" t="inlineStr">
        <is>
          <t>ÖRNSKÖLDSVIK</t>
        </is>
      </c>
      <c r="G1211" t="n">
        <v>10.1</v>
      </c>
      <c r="H1211" t="n">
        <v>1</v>
      </c>
      <c r="I1211" t="n">
        <v>1</v>
      </c>
      <c r="J1211" t="n">
        <v>0</v>
      </c>
      <c r="K1211" t="n">
        <v>0</v>
      </c>
      <c r="L1211" t="n">
        <v>0</v>
      </c>
      <c r="M1211" t="n">
        <v>0</v>
      </c>
      <c r="N1211" t="n">
        <v>0</v>
      </c>
      <c r="O1211" t="n">
        <v>0</v>
      </c>
      <c r="P1211" t="n">
        <v>0</v>
      </c>
      <c r="Q1211" t="n">
        <v>1</v>
      </c>
      <c r="R1211" s="2" t="inlineStr">
        <is>
          <t>Lappranunkel</t>
        </is>
      </c>
      <c r="S1211">
        <f>HYPERLINK("https://klasma.github.io/Logging_2284/artfynd/A 62864-2025 artfynd.xlsx", "A 62864-2025")</f>
        <v/>
      </c>
      <c r="T1211">
        <f>HYPERLINK("https://klasma.github.io/Logging_2284/kartor/A 62864-2025 karta.png", "A 62864-2025")</f>
        <v/>
      </c>
      <c r="V1211">
        <f>HYPERLINK("https://klasma.github.io/Logging_2284/klagomål/A 62864-2025 FSC-klagomål.docx", "A 62864-2025")</f>
        <v/>
      </c>
      <c r="W1211">
        <f>HYPERLINK("https://klasma.github.io/Logging_2284/klagomålsmail/A 62864-2025 FSC-klagomål mail.docx", "A 62864-2025")</f>
        <v/>
      </c>
      <c r="X1211">
        <f>HYPERLINK("https://klasma.github.io/Logging_2284/tillsyn/A 62864-2025 tillsynsbegäran.docx", "A 62864-2025")</f>
        <v/>
      </c>
      <c r="Y1211">
        <f>HYPERLINK("https://klasma.github.io/Logging_2284/tillsynsmail/A 62864-2025 tillsynsbegäran mail.docx", "A 62864-2025")</f>
        <v/>
      </c>
    </row>
    <row r="1212" ht="15" customHeight="1">
      <c r="A1212" t="inlineStr">
        <is>
          <t>A 53295-2024</t>
        </is>
      </c>
      <c r="B1212" s="1" t="n">
        <v>45614.38761574074</v>
      </c>
      <c r="C1212" s="1" t="n">
        <v>46093</v>
      </c>
      <c r="D1212" t="inlineStr">
        <is>
          <t>VÄSTERNORRLANDS LÄN</t>
        </is>
      </c>
      <c r="E1212" t="inlineStr">
        <is>
          <t>TIMRÅ</t>
        </is>
      </c>
      <c r="F1212" t="inlineStr">
        <is>
          <t>SCA</t>
        </is>
      </c>
      <c r="G1212" t="n">
        <v>1.9</v>
      </c>
      <c r="H1212" t="n">
        <v>0</v>
      </c>
      <c r="I1212" t="n">
        <v>0</v>
      </c>
      <c r="J1212" t="n">
        <v>1</v>
      </c>
      <c r="K1212" t="n">
        <v>0</v>
      </c>
      <c r="L1212" t="n">
        <v>0</v>
      </c>
      <c r="M1212" t="n">
        <v>0</v>
      </c>
      <c r="N1212" t="n">
        <v>0</v>
      </c>
      <c r="O1212" t="n">
        <v>1</v>
      </c>
      <c r="P1212" t="n">
        <v>0</v>
      </c>
      <c r="Q1212" t="n">
        <v>1</v>
      </c>
      <c r="R1212" s="2" t="inlineStr">
        <is>
          <t>Vedskivlav</t>
        </is>
      </c>
      <c r="S1212">
        <f>HYPERLINK("https://klasma.github.io/Logging_2262/artfynd/A 53295-2024 artfynd.xlsx", "A 53295-2024")</f>
        <v/>
      </c>
      <c r="T1212">
        <f>HYPERLINK("https://klasma.github.io/Logging_2262/kartor/A 53295-2024 karta.png", "A 53295-2024")</f>
        <v/>
      </c>
      <c r="V1212">
        <f>HYPERLINK("https://klasma.github.io/Logging_2262/klagomål/A 53295-2024 FSC-klagomål.docx", "A 53295-2024")</f>
        <v/>
      </c>
      <c r="W1212">
        <f>HYPERLINK("https://klasma.github.io/Logging_2262/klagomålsmail/A 53295-2024 FSC-klagomål mail.docx", "A 53295-2024")</f>
        <v/>
      </c>
      <c r="X1212">
        <f>HYPERLINK("https://klasma.github.io/Logging_2262/tillsyn/A 53295-2024 tillsynsbegäran.docx", "A 53295-2024")</f>
        <v/>
      </c>
      <c r="Y1212">
        <f>HYPERLINK("https://klasma.github.io/Logging_2262/tillsynsmail/A 53295-2024 tillsynsbegäran mail.docx", "A 53295-2024")</f>
        <v/>
      </c>
    </row>
    <row r="1213" ht="15" customHeight="1">
      <c r="A1213" t="inlineStr">
        <is>
          <t>A 39933-2022</t>
        </is>
      </c>
      <c r="B1213" s="1" t="n">
        <v>44819</v>
      </c>
      <c r="C1213" s="1" t="n">
        <v>46093</v>
      </c>
      <c r="D1213" t="inlineStr">
        <is>
          <t>VÄSTERNORRLANDS LÄN</t>
        </is>
      </c>
      <c r="E1213" t="inlineStr">
        <is>
          <t>ÅNGE</t>
        </is>
      </c>
      <c r="F1213" t="inlineStr">
        <is>
          <t>SCA</t>
        </is>
      </c>
      <c r="G1213" t="n">
        <v>13.8</v>
      </c>
      <c r="H1213" t="n">
        <v>1</v>
      </c>
      <c r="I1213" t="n">
        <v>0</v>
      </c>
      <c r="J1213" t="n">
        <v>0</v>
      </c>
      <c r="K1213" t="n">
        <v>1</v>
      </c>
      <c r="L1213" t="n">
        <v>0</v>
      </c>
      <c r="M1213" t="n">
        <v>0</v>
      </c>
      <c r="N1213" t="n">
        <v>0</v>
      </c>
      <c r="O1213" t="n">
        <v>1</v>
      </c>
      <c r="P1213" t="n">
        <v>1</v>
      </c>
      <c r="Q1213" t="n">
        <v>1</v>
      </c>
      <c r="R1213" s="2" t="inlineStr">
        <is>
          <t>Knärot</t>
        </is>
      </c>
      <c r="S1213">
        <f>HYPERLINK("https://klasma.github.io/Logging_2260/artfynd/A 39933-2022 artfynd.xlsx", "A 39933-2022")</f>
        <v/>
      </c>
      <c r="T1213">
        <f>HYPERLINK("https://klasma.github.io/Logging_2260/kartor/A 39933-2022 karta.png", "A 39933-2022")</f>
        <v/>
      </c>
      <c r="U1213">
        <f>HYPERLINK("https://klasma.github.io/Logging_2260/knärot/A 39933-2022 karta knärot.png", "A 39933-2022")</f>
        <v/>
      </c>
      <c r="V1213">
        <f>HYPERLINK("https://klasma.github.io/Logging_2260/klagomål/A 39933-2022 FSC-klagomål.docx", "A 39933-2022")</f>
        <v/>
      </c>
      <c r="W1213">
        <f>HYPERLINK("https://klasma.github.io/Logging_2260/klagomålsmail/A 39933-2022 FSC-klagomål mail.docx", "A 39933-2022")</f>
        <v/>
      </c>
      <c r="X1213">
        <f>HYPERLINK("https://klasma.github.io/Logging_2260/tillsyn/A 39933-2022 tillsynsbegäran.docx", "A 39933-2022")</f>
        <v/>
      </c>
      <c r="Y1213">
        <f>HYPERLINK("https://klasma.github.io/Logging_2260/tillsynsmail/A 39933-2022 tillsynsbegäran mail.docx", "A 39933-2022")</f>
        <v/>
      </c>
    </row>
    <row r="1214" ht="15" customHeight="1">
      <c r="A1214" t="inlineStr">
        <is>
          <t>A 63349-2025</t>
        </is>
      </c>
      <c r="B1214" s="1" t="n">
        <v>46010.6640625</v>
      </c>
      <c r="C1214" s="1" t="n">
        <v>46093</v>
      </c>
      <c r="D1214" t="inlineStr">
        <is>
          <t>VÄSTERNORRLANDS LÄN</t>
        </is>
      </c>
      <c r="E1214" t="inlineStr">
        <is>
          <t>ÖRNSKÖLDSVIK</t>
        </is>
      </c>
      <c r="F1214" t="inlineStr">
        <is>
          <t>Holmen skog AB</t>
        </is>
      </c>
      <c r="G1214" t="n">
        <v>3</v>
      </c>
      <c r="H1214" t="n">
        <v>0</v>
      </c>
      <c r="I1214" t="n">
        <v>1</v>
      </c>
      <c r="J1214" t="n">
        <v>0</v>
      </c>
      <c r="K1214" t="n">
        <v>0</v>
      </c>
      <c r="L1214" t="n">
        <v>0</v>
      </c>
      <c r="M1214" t="n">
        <v>0</v>
      </c>
      <c r="N1214" t="n">
        <v>0</v>
      </c>
      <c r="O1214" t="n">
        <v>0</v>
      </c>
      <c r="P1214" t="n">
        <v>0</v>
      </c>
      <c r="Q1214" t="n">
        <v>1</v>
      </c>
      <c r="R1214" s="2" t="inlineStr">
        <is>
          <t>Vågbandad barkbock</t>
        </is>
      </c>
      <c r="S1214">
        <f>HYPERLINK("https://klasma.github.io/Logging_2284/artfynd/A 63349-2025 artfynd.xlsx", "A 63349-2025")</f>
        <v/>
      </c>
      <c r="T1214">
        <f>HYPERLINK("https://klasma.github.io/Logging_2284/kartor/A 63349-2025 karta.png", "A 63349-2025")</f>
        <v/>
      </c>
      <c r="V1214">
        <f>HYPERLINK("https://klasma.github.io/Logging_2284/klagomål/A 63349-2025 FSC-klagomål.docx", "A 63349-2025")</f>
        <v/>
      </c>
      <c r="W1214">
        <f>HYPERLINK("https://klasma.github.io/Logging_2284/klagomålsmail/A 63349-2025 FSC-klagomål mail.docx", "A 63349-2025")</f>
        <v/>
      </c>
      <c r="X1214">
        <f>HYPERLINK("https://klasma.github.io/Logging_2284/tillsyn/A 63349-2025 tillsynsbegäran.docx", "A 63349-2025")</f>
        <v/>
      </c>
      <c r="Y1214">
        <f>HYPERLINK("https://klasma.github.io/Logging_2284/tillsynsmail/A 63349-2025 tillsynsbegäran mail.docx", "A 63349-2025")</f>
        <v/>
      </c>
    </row>
    <row r="1215" ht="15" customHeight="1">
      <c r="A1215" t="inlineStr">
        <is>
          <t>A 9584-2023</t>
        </is>
      </c>
      <c r="B1215" s="1" t="n">
        <v>44982</v>
      </c>
      <c r="C1215" s="1" t="n">
        <v>46093</v>
      </c>
      <c r="D1215" t="inlineStr">
        <is>
          <t>VÄSTERNORRLANDS LÄN</t>
        </is>
      </c>
      <c r="E1215" t="inlineStr">
        <is>
          <t>SUNDSVALL</t>
        </is>
      </c>
      <c r="F1215" t="inlineStr">
        <is>
          <t>SCA</t>
        </is>
      </c>
      <c r="G1215" t="n">
        <v>3.7</v>
      </c>
      <c r="H1215" t="n">
        <v>1</v>
      </c>
      <c r="I1215" t="n">
        <v>0</v>
      </c>
      <c r="J1215" t="n">
        <v>0</v>
      </c>
      <c r="K1215" t="n">
        <v>0</v>
      </c>
      <c r="L1215" t="n">
        <v>0</v>
      </c>
      <c r="M1215" t="n">
        <v>0</v>
      </c>
      <c r="N1215" t="n">
        <v>0</v>
      </c>
      <c r="O1215" t="n">
        <v>0</v>
      </c>
      <c r="P1215" t="n">
        <v>0</v>
      </c>
      <c r="Q1215" t="n">
        <v>1</v>
      </c>
      <c r="R1215" s="2" t="inlineStr">
        <is>
          <t>Orre</t>
        </is>
      </c>
      <c r="S1215">
        <f>HYPERLINK("https://klasma.github.io/Logging_2281/artfynd/A 9584-2023 artfynd.xlsx", "A 9584-2023")</f>
        <v/>
      </c>
      <c r="T1215">
        <f>HYPERLINK("https://klasma.github.io/Logging_2281/kartor/A 9584-2023 karta.png", "A 9584-2023")</f>
        <v/>
      </c>
      <c r="V1215">
        <f>HYPERLINK("https://klasma.github.io/Logging_2281/klagomål/A 9584-2023 FSC-klagomål.docx", "A 9584-2023")</f>
        <v/>
      </c>
      <c r="W1215">
        <f>HYPERLINK("https://klasma.github.io/Logging_2281/klagomålsmail/A 9584-2023 FSC-klagomål mail.docx", "A 9584-2023")</f>
        <v/>
      </c>
      <c r="X1215">
        <f>HYPERLINK("https://klasma.github.io/Logging_2281/tillsyn/A 9584-2023 tillsynsbegäran.docx", "A 9584-2023")</f>
        <v/>
      </c>
      <c r="Y1215">
        <f>HYPERLINK("https://klasma.github.io/Logging_2281/tillsynsmail/A 9584-2023 tillsynsbegäran mail.docx", "A 9584-2023")</f>
        <v/>
      </c>
      <c r="Z1215">
        <f>HYPERLINK("https://klasma.github.io/Logging_2281/fåglar/A 9584-2023 prioriterade fågelarter.docx", "A 9584-2023")</f>
        <v/>
      </c>
    </row>
    <row r="1216" ht="15" customHeight="1">
      <c r="A1216" t="inlineStr">
        <is>
          <t>A 32457-2024</t>
        </is>
      </c>
      <c r="B1216" s="1" t="n">
        <v>45512</v>
      </c>
      <c r="C1216" s="1" t="n">
        <v>46093</v>
      </c>
      <c r="D1216" t="inlineStr">
        <is>
          <t>VÄSTERNORRLANDS LÄN</t>
        </is>
      </c>
      <c r="E1216" t="inlineStr">
        <is>
          <t>ÅNGE</t>
        </is>
      </c>
      <c r="F1216" t="inlineStr">
        <is>
          <t>SCA</t>
        </is>
      </c>
      <c r="G1216" t="n">
        <v>1.3</v>
      </c>
      <c r="H1216" t="n">
        <v>0</v>
      </c>
      <c r="I1216" t="n">
        <v>0</v>
      </c>
      <c r="J1216" t="n">
        <v>1</v>
      </c>
      <c r="K1216" t="n">
        <v>0</v>
      </c>
      <c r="L1216" t="n">
        <v>0</v>
      </c>
      <c r="M1216" t="n">
        <v>0</v>
      </c>
      <c r="N1216" t="n">
        <v>0</v>
      </c>
      <c r="O1216" t="n">
        <v>1</v>
      </c>
      <c r="P1216" t="n">
        <v>0</v>
      </c>
      <c r="Q1216" t="n">
        <v>1</v>
      </c>
      <c r="R1216" s="2" t="inlineStr">
        <is>
          <t>Ullticka</t>
        </is>
      </c>
      <c r="S1216">
        <f>HYPERLINK("https://klasma.github.io/Logging_2260/artfynd/A 32457-2024 artfynd.xlsx", "A 32457-2024")</f>
        <v/>
      </c>
      <c r="T1216">
        <f>HYPERLINK("https://klasma.github.io/Logging_2260/kartor/A 32457-2024 karta.png", "A 32457-2024")</f>
        <v/>
      </c>
      <c r="V1216">
        <f>HYPERLINK("https://klasma.github.io/Logging_2260/klagomål/A 32457-2024 FSC-klagomål.docx", "A 32457-2024")</f>
        <v/>
      </c>
      <c r="W1216">
        <f>HYPERLINK("https://klasma.github.io/Logging_2260/klagomålsmail/A 32457-2024 FSC-klagomål mail.docx", "A 32457-2024")</f>
        <v/>
      </c>
      <c r="X1216">
        <f>HYPERLINK("https://klasma.github.io/Logging_2260/tillsyn/A 32457-2024 tillsynsbegäran.docx", "A 32457-2024")</f>
        <v/>
      </c>
      <c r="Y1216">
        <f>HYPERLINK("https://klasma.github.io/Logging_2260/tillsynsmail/A 32457-2024 tillsynsbegäran mail.docx", "A 32457-2024")</f>
        <v/>
      </c>
    </row>
    <row r="1217" ht="15" customHeight="1">
      <c r="A1217" t="inlineStr">
        <is>
          <t>A 10683-2025</t>
        </is>
      </c>
      <c r="B1217" s="1" t="n">
        <v>45721.94451388889</v>
      </c>
      <c r="C1217" s="1" t="n">
        <v>46093</v>
      </c>
      <c r="D1217" t="inlineStr">
        <is>
          <t>VÄSTERNORRLANDS LÄN</t>
        </is>
      </c>
      <c r="E1217" t="inlineStr">
        <is>
          <t>SUNDSVALL</t>
        </is>
      </c>
      <c r="G1217" t="n">
        <v>1.5</v>
      </c>
      <c r="H1217" t="n">
        <v>1</v>
      </c>
      <c r="I1217" t="n">
        <v>0</v>
      </c>
      <c r="J1217" t="n">
        <v>1</v>
      </c>
      <c r="K1217" t="n">
        <v>0</v>
      </c>
      <c r="L1217" t="n">
        <v>0</v>
      </c>
      <c r="M1217" t="n">
        <v>0</v>
      </c>
      <c r="N1217" t="n">
        <v>0</v>
      </c>
      <c r="O1217" t="n">
        <v>1</v>
      </c>
      <c r="P1217" t="n">
        <v>0</v>
      </c>
      <c r="Q1217" t="n">
        <v>1</v>
      </c>
      <c r="R1217" s="2" t="inlineStr">
        <is>
          <t>Björktrast</t>
        </is>
      </c>
      <c r="S1217">
        <f>HYPERLINK("https://klasma.github.io/Logging_2281/artfynd/A 10683-2025 artfynd.xlsx", "A 10683-2025")</f>
        <v/>
      </c>
      <c r="T1217">
        <f>HYPERLINK("https://klasma.github.io/Logging_2281/kartor/A 10683-2025 karta.png", "A 10683-2025")</f>
        <v/>
      </c>
      <c r="V1217">
        <f>HYPERLINK("https://klasma.github.io/Logging_2281/klagomål/A 10683-2025 FSC-klagomål.docx", "A 10683-2025")</f>
        <v/>
      </c>
      <c r="W1217">
        <f>HYPERLINK("https://klasma.github.io/Logging_2281/klagomålsmail/A 10683-2025 FSC-klagomål mail.docx", "A 10683-2025")</f>
        <v/>
      </c>
      <c r="X1217">
        <f>HYPERLINK("https://klasma.github.io/Logging_2281/tillsyn/A 10683-2025 tillsynsbegäran.docx", "A 10683-2025")</f>
        <v/>
      </c>
      <c r="Y1217">
        <f>HYPERLINK("https://klasma.github.io/Logging_2281/tillsynsmail/A 10683-2025 tillsynsbegäran mail.docx", "A 10683-2025")</f>
        <v/>
      </c>
      <c r="Z1217">
        <f>HYPERLINK("https://klasma.github.io/Logging_2281/fåglar/A 10683-2025 prioriterade fågelarter.docx", "A 10683-2025")</f>
        <v/>
      </c>
    </row>
    <row r="1218" ht="15" customHeight="1">
      <c r="A1218" t="inlineStr">
        <is>
          <t>A 56372-2023</t>
        </is>
      </c>
      <c r="B1218" s="1" t="n">
        <v>45243</v>
      </c>
      <c r="C1218" s="1" t="n">
        <v>46093</v>
      </c>
      <c r="D1218" t="inlineStr">
        <is>
          <t>VÄSTERNORRLANDS LÄN</t>
        </is>
      </c>
      <c r="E1218" t="inlineStr">
        <is>
          <t>TIMRÅ</t>
        </is>
      </c>
      <c r="G1218" t="n">
        <v>6.9</v>
      </c>
      <c r="H1218" t="n">
        <v>1</v>
      </c>
      <c r="I1218" t="n">
        <v>0</v>
      </c>
      <c r="J1218" t="n">
        <v>0</v>
      </c>
      <c r="K1218" t="n">
        <v>1</v>
      </c>
      <c r="L1218" t="n">
        <v>0</v>
      </c>
      <c r="M1218" t="n">
        <v>0</v>
      </c>
      <c r="N1218" t="n">
        <v>0</v>
      </c>
      <c r="O1218" t="n">
        <v>1</v>
      </c>
      <c r="P1218" t="n">
        <v>1</v>
      </c>
      <c r="Q1218" t="n">
        <v>1</v>
      </c>
      <c r="R1218" s="2" t="inlineStr">
        <is>
          <t>Knärot</t>
        </is>
      </c>
      <c r="S1218">
        <f>HYPERLINK("https://klasma.github.io/Logging_2262/artfynd/A 56372-2023 artfynd.xlsx", "A 56372-2023")</f>
        <v/>
      </c>
      <c r="T1218">
        <f>HYPERLINK("https://klasma.github.io/Logging_2262/kartor/A 56372-2023 karta.png", "A 56372-2023")</f>
        <v/>
      </c>
      <c r="U1218">
        <f>HYPERLINK("https://klasma.github.io/Logging_2262/knärot/A 56372-2023 karta knärot.png", "A 56372-2023")</f>
        <v/>
      </c>
      <c r="V1218">
        <f>HYPERLINK("https://klasma.github.io/Logging_2262/klagomål/A 56372-2023 FSC-klagomål.docx", "A 56372-2023")</f>
        <v/>
      </c>
      <c r="W1218">
        <f>HYPERLINK("https://klasma.github.io/Logging_2262/klagomålsmail/A 56372-2023 FSC-klagomål mail.docx", "A 56372-2023")</f>
        <v/>
      </c>
      <c r="X1218">
        <f>HYPERLINK("https://klasma.github.io/Logging_2262/tillsyn/A 56372-2023 tillsynsbegäran.docx", "A 56372-2023")</f>
        <v/>
      </c>
      <c r="Y1218">
        <f>HYPERLINK("https://klasma.github.io/Logging_2262/tillsynsmail/A 56372-2023 tillsynsbegäran mail.docx", "A 56372-2023")</f>
        <v/>
      </c>
    </row>
    <row r="1219" ht="15" customHeight="1">
      <c r="A1219" t="inlineStr">
        <is>
          <t>A 8541-2024</t>
        </is>
      </c>
      <c r="B1219" s="1" t="n">
        <v>45351</v>
      </c>
      <c r="C1219" s="1" t="n">
        <v>46093</v>
      </c>
      <c r="D1219" t="inlineStr">
        <is>
          <t>VÄSTERNORRLANDS LÄN</t>
        </is>
      </c>
      <c r="E1219" t="inlineStr">
        <is>
          <t>SOLLEFTEÅ</t>
        </is>
      </c>
      <c r="F1219" t="inlineStr">
        <is>
          <t>Kommuner</t>
        </is>
      </c>
      <c r="G1219" t="n">
        <v>0.6</v>
      </c>
      <c r="H1219" t="n">
        <v>0</v>
      </c>
      <c r="I1219" t="n">
        <v>0</v>
      </c>
      <c r="J1219" t="n">
        <v>1</v>
      </c>
      <c r="K1219" t="n">
        <v>0</v>
      </c>
      <c r="L1219" t="n">
        <v>0</v>
      </c>
      <c r="M1219" t="n">
        <v>0</v>
      </c>
      <c r="N1219" t="n">
        <v>0</v>
      </c>
      <c r="O1219" t="n">
        <v>1</v>
      </c>
      <c r="P1219" t="n">
        <v>0</v>
      </c>
      <c r="Q1219" t="n">
        <v>1</v>
      </c>
      <c r="R1219" s="2" t="inlineStr">
        <is>
          <t>Granticka</t>
        </is>
      </c>
      <c r="S1219">
        <f>HYPERLINK("https://klasma.github.io/Logging_2283/artfynd/A 8541-2024 artfynd.xlsx", "A 8541-2024")</f>
        <v/>
      </c>
      <c r="T1219">
        <f>HYPERLINK("https://klasma.github.io/Logging_2283/kartor/A 8541-2024 karta.png", "A 8541-2024")</f>
        <v/>
      </c>
      <c r="V1219">
        <f>HYPERLINK("https://klasma.github.io/Logging_2283/klagomål/A 8541-2024 FSC-klagomål.docx", "A 8541-2024")</f>
        <v/>
      </c>
      <c r="W1219">
        <f>HYPERLINK("https://klasma.github.io/Logging_2283/klagomålsmail/A 8541-2024 FSC-klagomål mail.docx", "A 8541-2024")</f>
        <v/>
      </c>
      <c r="X1219">
        <f>HYPERLINK("https://klasma.github.io/Logging_2283/tillsyn/A 8541-2024 tillsynsbegäran.docx", "A 8541-2024")</f>
        <v/>
      </c>
      <c r="Y1219">
        <f>HYPERLINK("https://klasma.github.io/Logging_2283/tillsynsmail/A 8541-2024 tillsynsbegäran mail.docx", "A 8541-2024")</f>
        <v/>
      </c>
    </row>
    <row r="1220" ht="15" customHeight="1">
      <c r="A1220" t="inlineStr">
        <is>
          <t>A 62081-2024</t>
        </is>
      </c>
      <c r="B1220" s="1" t="n">
        <v>45656</v>
      </c>
      <c r="C1220" s="1" t="n">
        <v>46093</v>
      </c>
      <c r="D1220" t="inlineStr">
        <is>
          <t>VÄSTERNORRLANDS LÄN</t>
        </is>
      </c>
      <c r="E1220" t="inlineStr">
        <is>
          <t>TIMRÅ</t>
        </is>
      </c>
      <c r="F1220" t="inlineStr">
        <is>
          <t>SCA</t>
        </is>
      </c>
      <c r="G1220" t="n">
        <v>6.3</v>
      </c>
      <c r="H1220" t="n">
        <v>1</v>
      </c>
      <c r="I1220" t="n">
        <v>0</v>
      </c>
      <c r="J1220" t="n">
        <v>0</v>
      </c>
      <c r="K1220" t="n">
        <v>1</v>
      </c>
      <c r="L1220" t="n">
        <v>0</v>
      </c>
      <c r="M1220" t="n">
        <v>0</v>
      </c>
      <c r="N1220" t="n">
        <v>0</v>
      </c>
      <c r="O1220" t="n">
        <v>1</v>
      </c>
      <c r="P1220" t="n">
        <v>1</v>
      </c>
      <c r="Q1220" t="n">
        <v>1</v>
      </c>
      <c r="R1220" s="2" t="inlineStr">
        <is>
          <t>Knärot</t>
        </is>
      </c>
      <c r="S1220">
        <f>HYPERLINK("https://klasma.github.io/Logging_2262/artfynd/A 62081-2024 artfynd.xlsx", "A 62081-2024")</f>
        <v/>
      </c>
      <c r="T1220">
        <f>HYPERLINK("https://klasma.github.io/Logging_2262/kartor/A 62081-2024 karta.png", "A 62081-2024")</f>
        <v/>
      </c>
      <c r="U1220">
        <f>HYPERLINK("https://klasma.github.io/Logging_2262/knärot/A 62081-2024 karta knärot.png", "A 62081-2024")</f>
        <v/>
      </c>
      <c r="V1220">
        <f>HYPERLINK("https://klasma.github.io/Logging_2262/klagomål/A 62081-2024 FSC-klagomål.docx", "A 62081-2024")</f>
        <v/>
      </c>
      <c r="W1220">
        <f>HYPERLINK("https://klasma.github.io/Logging_2262/klagomålsmail/A 62081-2024 FSC-klagomål mail.docx", "A 62081-2024")</f>
        <v/>
      </c>
      <c r="X1220">
        <f>HYPERLINK("https://klasma.github.io/Logging_2262/tillsyn/A 62081-2024 tillsynsbegäran.docx", "A 62081-2024")</f>
        <v/>
      </c>
      <c r="Y1220">
        <f>HYPERLINK("https://klasma.github.io/Logging_2262/tillsynsmail/A 62081-2024 tillsynsbegäran mail.docx", "A 62081-2024")</f>
        <v/>
      </c>
    </row>
    <row r="1221" ht="15" customHeight="1">
      <c r="A1221" t="inlineStr">
        <is>
          <t>A 38363-2022</t>
        </is>
      </c>
      <c r="B1221" s="1" t="n">
        <v>44812</v>
      </c>
      <c r="C1221" s="1" t="n">
        <v>46093</v>
      </c>
      <c r="D1221" t="inlineStr">
        <is>
          <t>VÄSTERNORRLANDS LÄN</t>
        </is>
      </c>
      <c r="E1221" t="inlineStr">
        <is>
          <t>SOLLEFTEÅ</t>
        </is>
      </c>
      <c r="F1221" t="inlineStr">
        <is>
          <t>Kommuner</t>
        </is>
      </c>
      <c r="G1221" t="n">
        <v>16</v>
      </c>
      <c r="H1221" t="n">
        <v>0</v>
      </c>
      <c r="I1221" t="n">
        <v>0</v>
      </c>
      <c r="J1221" t="n">
        <v>1</v>
      </c>
      <c r="K1221" t="n">
        <v>0</v>
      </c>
      <c r="L1221" t="n">
        <v>0</v>
      </c>
      <c r="M1221" t="n">
        <v>0</v>
      </c>
      <c r="N1221" t="n">
        <v>0</v>
      </c>
      <c r="O1221" t="n">
        <v>1</v>
      </c>
      <c r="P1221" t="n">
        <v>0</v>
      </c>
      <c r="Q1221" t="n">
        <v>1</v>
      </c>
      <c r="R1221" s="2" t="inlineStr">
        <is>
          <t>Garnlav</t>
        </is>
      </c>
      <c r="S1221">
        <f>HYPERLINK("https://klasma.github.io/Logging_2283/artfynd/A 38363-2022 artfynd.xlsx", "A 38363-2022")</f>
        <v/>
      </c>
      <c r="T1221">
        <f>HYPERLINK("https://klasma.github.io/Logging_2283/kartor/A 38363-2022 karta.png", "A 38363-2022")</f>
        <v/>
      </c>
      <c r="V1221">
        <f>HYPERLINK("https://klasma.github.io/Logging_2283/klagomål/A 38363-2022 FSC-klagomål.docx", "A 38363-2022")</f>
        <v/>
      </c>
      <c r="W1221">
        <f>HYPERLINK("https://klasma.github.io/Logging_2283/klagomålsmail/A 38363-2022 FSC-klagomål mail.docx", "A 38363-2022")</f>
        <v/>
      </c>
      <c r="X1221">
        <f>HYPERLINK("https://klasma.github.io/Logging_2283/tillsyn/A 38363-2022 tillsynsbegäran.docx", "A 38363-2022")</f>
        <v/>
      </c>
      <c r="Y1221">
        <f>HYPERLINK("https://klasma.github.io/Logging_2283/tillsynsmail/A 38363-2022 tillsynsbegäran mail.docx", "A 38363-2022")</f>
        <v/>
      </c>
    </row>
    <row r="1222" ht="15" customHeight="1">
      <c r="A1222" t="inlineStr">
        <is>
          <t>A 63874-2025</t>
        </is>
      </c>
      <c r="B1222" s="1" t="n">
        <v>46020.53168981482</v>
      </c>
      <c r="C1222" s="1" t="n">
        <v>46093</v>
      </c>
      <c r="D1222" t="inlineStr">
        <is>
          <t>VÄSTERNORRLANDS LÄN</t>
        </is>
      </c>
      <c r="E1222" t="inlineStr">
        <is>
          <t>SOLLEFTEÅ</t>
        </is>
      </c>
      <c r="G1222" t="n">
        <v>1.2</v>
      </c>
      <c r="H1222" t="n">
        <v>0</v>
      </c>
      <c r="I1222" t="n">
        <v>1</v>
      </c>
      <c r="J1222" t="n">
        <v>0</v>
      </c>
      <c r="K1222" t="n">
        <v>0</v>
      </c>
      <c r="L1222" t="n">
        <v>0</v>
      </c>
      <c r="M1222" t="n">
        <v>0</v>
      </c>
      <c r="N1222" t="n">
        <v>0</v>
      </c>
      <c r="O1222" t="n">
        <v>0</v>
      </c>
      <c r="P1222" t="n">
        <v>0</v>
      </c>
      <c r="Q1222" t="n">
        <v>1</v>
      </c>
      <c r="R1222" s="2" t="inlineStr">
        <is>
          <t>Stuplav</t>
        </is>
      </c>
      <c r="S1222">
        <f>HYPERLINK("https://klasma.github.io/Logging_2283/artfynd/A 63874-2025 artfynd.xlsx", "A 63874-2025")</f>
        <v/>
      </c>
      <c r="T1222">
        <f>HYPERLINK("https://klasma.github.io/Logging_2283/kartor/A 63874-2025 karta.png", "A 63874-2025")</f>
        <v/>
      </c>
      <c r="V1222">
        <f>HYPERLINK("https://klasma.github.io/Logging_2283/klagomål/A 63874-2025 FSC-klagomål.docx", "A 63874-2025")</f>
        <v/>
      </c>
      <c r="W1222">
        <f>HYPERLINK("https://klasma.github.io/Logging_2283/klagomålsmail/A 63874-2025 FSC-klagomål mail.docx", "A 63874-2025")</f>
        <v/>
      </c>
      <c r="X1222">
        <f>HYPERLINK("https://klasma.github.io/Logging_2283/tillsyn/A 63874-2025 tillsynsbegäran.docx", "A 63874-2025")</f>
        <v/>
      </c>
      <c r="Y1222">
        <f>HYPERLINK("https://klasma.github.io/Logging_2283/tillsynsmail/A 63874-2025 tillsynsbegäran mail.docx", "A 63874-2025")</f>
        <v/>
      </c>
    </row>
    <row r="1223" ht="15" customHeight="1">
      <c r="A1223" t="inlineStr">
        <is>
          <t>A 63915-2025</t>
        </is>
      </c>
      <c r="B1223" s="1" t="n">
        <v>46020.7175462963</v>
      </c>
      <c r="C1223" s="1" t="n">
        <v>46093</v>
      </c>
      <c r="D1223" t="inlineStr">
        <is>
          <t>VÄSTERNORRLANDS LÄN</t>
        </is>
      </c>
      <c r="E1223" t="inlineStr">
        <is>
          <t>KRAMFORS</t>
        </is>
      </c>
      <c r="G1223" t="n">
        <v>10.2</v>
      </c>
      <c r="H1223" t="n">
        <v>1</v>
      </c>
      <c r="I1223" t="n">
        <v>0</v>
      </c>
      <c r="J1223" t="n">
        <v>1</v>
      </c>
      <c r="K1223" t="n">
        <v>0</v>
      </c>
      <c r="L1223" t="n">
        <v>0</v>
      </c>
      <c r="M1223" t="n">
        <v>0</v>
      </c>
      <c r="N1223" t="n">
        <v>0</v>
      </c>
      <c r="O1223" t="n">
        <v>1</v>
      </c>
      <c r="P1223" t="n">
        <v>0</v>
      </c>
      <c r="Q1223" t="n">
        <v>1</v>
      </c>
      <c r="R1223" s="2" t="inlineStr">
        <is>
          <t>Mindre hackspett</t>
        </is>
      </c>
      <c r="S1223">
        <f>HYPERLINK("https://klasma.github.io/Logging_2282/artfynd/A 63915-2025 artfynd.xlsx", "A 63915-2025")</f>
        <v/>
      </c>
      <c r="T1223">
        <f>HYPERLINK("https://klasma.github.io/Logging_2282/kartor/A 63915-2025 karta.png", "A 63915-2025")</f>
        <v/>
      </c>
      <c r="V1223">
        <f>HYPERLINK("https://klasma.github.io/Logging_2282/klagomål/A 63915-2025 FSC-klagomål.docx", "A 63915-2025")</f>
        <v/>
      </c>
      <c r="W1223">
        <f>HYPERLINK("https://klasma.github.io/Logging_2282/klagomålsmail/A 63915-2025 FSC-klagomål mail.docx", "A 63915-2025")</f>
        <v/>
      </c>
      <c r="X1223">
        <f>HYPERLINK("https://klasma.github.io/Logging_2282/tillsyn/A 63915-2025 tillsynsbegäran.docx", "A 63915-2025")</f>
        <v/>
      </c>
      <c r="Y1223">
        <f>HYPERLINK("https://klasma.github.io/Logging_2282/tillsynsmail/A 63915-2025 tillsynsbegäran mail.docx", "A 63915-2025")</f>
        <v/>
      </c>
      <c r="Z1223">
        <f>HYPERLINK("https://klasma.github.io/Logging_2282/fåglar/A 63915-2025 prioriterade fågelarter.docx", "A 63915-2025")</f>
        <v/>
      </c>
    </row>
    <row r="1224" ht="15" customHeight="1">
      <c r="A1224" t="inlineStr">
        <is>
          <t>A 17395-2025</t>
        </is>
      </c>
      <c r="B1224" s="1" t="n">
        <v>45757</v>
      </c>
      <c r="C1224" s="1" t="n">
        <v>46093</v>
      </c>
      <c r="D1224" t="inlineStr">
        <is>
          <t>VÄSTERNORRLANDS LÄN</t>
        </is>
      </c>
      <c r="E1224" t="inlineStr">
        <is>
          <t>SUNDSVALL</t>
        </is>
      </c>
      <c r="F1224" t="inlineStr">
        <is>
          <t>SCA</t>
        </is>
      </c>
      <c r="G1224" t="n">
        <v>7.1</v>
      </c>
      <c r="H1224" t="n">
        <v>1</v>
      </c>
      <c r="I1224" t="n">
        <v>0</v>
      </c>
      <c r="J1224" t="n">
        <v>0</v>
      </c>
      <c r="K1224" t="n">
        <v>0</v>
      </c>
      <c r="L1224" t="n">
        <v>0</v>
      </c>
      <c r="M1224" t="n">
        <v>0</v>
      </c>
      <c r="N1224" t="n">
        <v>0</v>
      </c>
      <c r="O1224" t="n">
        <v>0</v>
      </c>
      <c r="P1224" t="n">
        <v>0</v>
      </c>
      <c r="Q1224" t="n">
        <v>1</v>
      </c>
      <c r="R1224" s="2" t="inlineStr">
        <is>
          <t>Nattviol</t>
        </is>
      </c>
      <c r="S1224">
        <f>HYPERLINK("https://klasma.github.io/Logging_2281/artfynd/A 17395-2025 artfynd.xlsx", "A 17395-2025")</f>
        <v/>
      </c>
      <c r="T1224">
        <f>HYPERLINK("https://klasma.github.io/Logging_2281/kartor/A 17395-2025 karta.png", "A 17395-2025")</f>
        <v/>
      </c>
      <c r="V1224">
        <f>HYPERLINK("https://klasma.github.io/Logging_2281/klagomål/A 17395-2025 FSC-klagomål.docx", "A 17395-2025")</f>
        <v/>
      </c>
      <c r="W1224">
        <f>HYPERLINK("https://klasma.github.io/Logging_2281/klagomålsmail/A 17395-2025 FSC-klagomål mail.docx", "A 17395-2025")</f>
        <v/>
      </c>
      <c r="X1224">
        <f>HYPERLINK("https://klasma.github.io/Logging_2281/tillsyn/A 17395-2025 tillsynsbegäran.docx", "A 17395-2025")</f>
        <v/>
      </c>
      <c r="Y1224">
        <f>HYPERLINK("https://klasma.github.io/Logging_2281/tillsynsmail/A 17395-2025 tillsynsbegäran mail.docx", "A 17395-2025")</f>
        <v/>
      </c>
    </row>
    <row r="1225" ht="15" customHeight="1">
      <c r="A1225" t="inlineStr">
        <is>
          <t>A 7412-2026</t>
        </is>
      </c>
      <c r="B1225" s="1" t="n">
        <v>46059.40758101852</v>
      </c>
      <c r="C1225" s="1" t="n">
        <v>46093</v>
      </c>
      <c r="D1225" t="inlineStr">
        <is>
          <t>VÄSTERNORRLANDS LÄN</t>
        </is>
      </c>
      <c r="E1225" t="inlineStr">
        <is>
          <t>ÖRNSKÖLDSVIK</t>
        </is>
      </c>
      <c r="G1225" t="n">
        <v>3.9</v>
      </c>
      <c r="H1225" t="n">
        <v>1</v>
      </c>
      <c r="I1225" t="n">
        <v>0</v>
      </c>
      <c r="J1225" t="n">
        <v>0</v>
      </c>
      <c r="K1225" t="n">
        <v>0</v>
      </c>
      <c r="L1225" t="n">
        <v>0</v>
      </c>
      <c r="M1225" t="n">
        <v>0</v>
      </c>
      <c r="N1225" t="n">
        <v>0</v>
      </c>
      <c r="O1225" t="n">
        <v>0</v>
      </c>
      <c r="P1225" t="n">
        <v>0</v>
      </c>
      <c r="Q1225" t="n">
        <v>1</v>
      </c>
      <c r="R1225" s="2" t="inlineStr">
        <is>
          <t>Vanlig padda</t>
        </is>
      </c>
      <c r="S1225">
        <f>HYPERLINK("https://klasma.github.io/Logging_2284/artfynd/A 7412-2026 artfynd.xlsx", "A 7412-2026")</f>
        <v/>
      </c>
      <c r="T1225">
        <f>HYPERLINK("https://klasma.github.io/Logging_2284/kartor/A 7412-2026 karta.png", "A 7412-2026")</f>
        <v/>
      </c>
      <c r="V1225">
        <f>HYPERLINK("https://klasma.github.io/Logging_2284/klagomål/A 7412-2026 FSC-klagomål.docx", "A 7412-2026")</f>
        <v/>
      </c>
      <c r="W1225">
        <f>HYPERLINK("https://klasma.github.io/Logging_2284/klagomålsmail/A 7412-2026 FSC-klagomål mail.docx", "A 7412-2026")</f>
        <v/>
      </c>
      <c r="X1225">
        <f>HYPERLINK("https://klasma.github.io/Logging_2284/tillsyn/A 7412-2026 tillsynsbegäran.docx", "A 7412-2026")</f>
        <v/>
      </c>
      <c r="Y1225">
        <f>HYPERLINK("https://klasma.github.io/Logging_2284/tillsynsmail/A 7412-2026 tillsynsbegäran mail.docx", "A 7412-2026")</f>
        <v/>
      </c>
    </row>
    <row r="1226" ht="15" customHeight="1">
      <c r="A1226" t="inlineStr">
        <is>
          <t>A 7686-2026</t>
        </is>
      </c>
      <c r="B1226" s="1" t="n">
        <v>46062.4353587963</v>
      </c>
      <c r="C1226" s="1" t="n">
        <v>46093</v>
      </c>
      <c r="D1226" t="inlineStr">
        <is>
          <t>VÄSTERNORRLANDS LÄN</t>
        </is>
      </c>
      <c r="E1226" t="inlineStr">
        <is>
          <t>ÖRNSKÖLDSVIK</t>
        </is>
      </c>
      <c r="G1226" t="n">
        <v>4.2</v>
      </c>
      <c r="H1226" t="n">
        <v>1</v>
      </c>
      <c r="I1226" t="n">
        <v>0</v>
      </c>
      <c r="J1226" t="n">
        <v>0</v>
      </c>
      <c r="K1226" t="n">
        <v>0</v>
      </c>
      <c r="L1226" t="n">
        <v>0</v>
      </c>
      <c r="M1226" t="n">
        <v>0</v>
      </c>
      <c r="N1226" t="n">
        <v>0</v>
      </c>
      <c r="O1226" t="n">
        <v>0</v>
      </c>
      <c r="P1226" t="n">
        <v>0</v>
      </c>
      <c r="Q1226" t="n">
        <v>1</v>
      </c>
      <c r="R1226" s="2" t="inlineStr">
        <is>
          <t>Skogsduva</t>
        </is>
      </c>
      <c r="S1226">
        <f>HYPERLINK("https://klasma.github.io/Logging_2284/artfynd/A 7686-2026 artfynd.xlsx", "A 7686-2026")</f>
        <v/>
      </c>
      <c r="T1226">
        <f>HYPERLINK("https://klasma.github.io/Logging_2284/kartor/A 7686-2026 karta.png", "A 7686-2026")</f>
        <v/>
      </c>
      <c r="V1226">
        <f>HYPERLINK("https://klasma.github.io/Logging_2284/klagomål/A 7686-2026 FSC-klagomål.docx", "A 7686-2026")</f>
        <v/>
      </c>
      <c r="W1226">
        <f>HYPERLINK("https://klasma.github.io/Logging_2284/klagomålsmail/A 7686-2026 FSC-klagomål mail.docx", "A 7686-2026")</f>
        <v/>
      </c>
      <c r="X1226">
        <f>HYPERLINK("https://klasma.github.io/Logging_2284/tillsyn/A 7686-2026 tillsynsbegäran.docx", "A 7686-2026")</f>
        <v/>
      </c>
      <c r="Y1226">
        <f>HYPERLINK("https://klasma.github.io/Logging_2284/tillsynsmail/A 7686-2026 tillsynsbegäran mail.docx", "A 7686-2026")</f>
        <v/>
      </c>
      <c r="Z1226">
        <f>HYPERLINK("https://klasma.github.io/Logging_2284/fåglar/A 7686-2026 prioriterade fågelarter.docx", "A 7686-2026")</f>
        <v/>
      </c>
    </row>
    <row r="1227" ht="15" customHeight="1">
      <c r="A1227" t="inlineStr">
        <is>
          <t>A 42565-2023</t>
        </is>
      </c>
      <c r="B1227" s="1" t="n">
        <v>45176</v>
      </c>
      <c r="C1227" s="1" t="n">
        <v>46093</v>
      </c>
      <c r="D1227" t="inlineStr">
        <is>
          <t>VÄSTERNORRLANDS LÄN</t>
        </is>
      </c>
      <c r="E1227" t="inlineStr">
        <is>
          <t>ÖRNSKÖLDSVIK</t>
        </is>
      </c>
      <c r="G1227" t="n">
        <v>1.9</v>
      </c>
      <c r="H1227" t="n">
        <v>0</v>
      </c>
      <c r="I1227" t="n">
        <v>0</v>
      </c>
      <c r="J1227" t="n">
        <v>1</v>
      </c>
      <c r="K1227" t="n">
        <v>0</v>
      </c>
      <c r="L1227" t="n">
        <v>0</v>
      </c>
      <c r="M1227" t="n">
        <v>0</v>
      </c>
      <c r="N1227" t="n">
        <v>0</v>
      </c>
      <c r="O1227" t="n">
        <v>1</v>
      </c>
      <c r="P1227" t="n">
        <v>0</v>
      </c>
      <c r="Q1227" t="n">
        <v>1</v>
      </c>
      <c r="R1227" s="2" t="inlineStr">
        <is>
          <t>Ullticka</t>
        </is>
      </c>
      <c r="S1227">
        <f>HYPERLINK("https://klasma.github.io/Logging_2284/artfynd/A 42565-2023 artfynd.xlsx", "A 42565-2023")</f>
        <v/>
      </c>
      <c r="T1227">
        <f>HYPERLINK("https://klasma.github.io/Logging_2284/kartor/A 42565-2023 karta.png", "A 42565-2023")</f>
        <v/>
      </c>
      <c r="V1227">
        <f>HYPERLINK("https://klasma.github.io/Logging_2284/klagomål/A 42565-2023 FSC-klagomål.docx", "A 42565-2023")</f>
        <v/>
      </c>
      <c r="W1227">
        <f>HYPERLINK("https://klasma.github.io/Logging_2284/klagomålsmail/A 42565-2023 FSC-klagomål mail.docx", "A 42565-2023")</f>
        <v/>
      </c>
      <c r="X1227">
        <f>HYPERLINK("https://klasma.github.io/Logging_2284/tillsyn/A 42565-2023 tillsynsbegäran.docx", "A 42565-2023")</f>
        <v/>
      </c>
      <c r="Y1227">
        <f>HYPERLINK("https://klasma.github.io/Logging_2284/tillsynsmail/A 42565-2023 tillsynsbegäran mail.docx", "A 42565-2023")</f>
        <v/>
      </c>
    </row>
    <row r="1228" ht="15" customHeight="1">
      <c r="A1228" t="inlineStr">
        <is>
          <t>A 7704-2026</t>
        </is>
      </c>
      <c r="B1228" s="1" t="n">
        <v>46062.46886574074</v>
      </c>
      <c r="C1228" s="1" t="n">
        <v>46093</v>
      </c>
      <c r="D1228" t="inlineStr">
        <is>
          <t>VÄSTERNORRLANDS LÄN</t>
        </is>
      </c>
      <c r="E1228" t="inlineStr">
        <is>
          <t>SUNDSVALL</t>
        </is>
      </c>
      <c r="G1228" t="n">
        <v>0.7</v>
      </c>
      <c r="H1228" t="n">
        <v>1</v>
      </c>
      <c r="I1228" t="n">
        <v>0</v>
      </c>
      <c r="J1228" t="n">
        <v>1</v>
      </c>
      <c r="K1228" t="n">
        <v>0</v>
      </c>
      <c r="L1228" t="n">
        <v>0</v>
      </c>
      <c r="M1228" t="n">
        <v>0</v>
      </c>
      <c r="N1228" t="n">
        <v>0</v>
      </c>
      <c r="O1228" t="n">
        <v>1</v>
      </c>
      <c r="P1228" t="n">
        <v>0</v>
      </c>
      <c r="Q1228" t="n">
        <v>1</v>
      </c>
      <c r="R1228" s="2" t="inlineStr">
        <is>
          <t>Tretåig hackspett</t>
        </is>
      </c>
      <c r="S1228">
        <f>HYPERLINK("https://klasma.github.io/Logging_2281/artfynd/A 7704-2026 artfynd.xlsx", "A 7704-2026")</f>
        <v/>
      </c>
      <c r="T1228">
        <f>HYPERLINK("https://klasma.github.io/Logging_2281/kartor/A 7704-2026 karta.png", "A 7704-2026")</f>
        <v/>
      </c>
      <c r="V1228">
        <f>HYPERLINK("https://klasma.github.io/Logging_2281/klagomål/A 7704-2026 FSC-klagomål.docx", "A 7704-2026")</f>
        <v/>
      </c>
      <c r="W1228">
        <f>HYPERLINK("https://klasma.github.io/Logging_2281/klagomålsmail/A 7704-2026 FSC-klagomål mail.docx", "A 7704-2026")</f>
        <v/>
      </c>
      <c r="X1228">
        <f>HYPERLINK("https://klasma.github.io/Logging_2281/tillsyn/A 7704-2026 tillsynsbegäran.docx", "A 7704-2026")</f>
        <v/>
      </c>
      <c r="Y1228">
        <f>HYPERLINK("https://klasma.github.io/Logging_2281/tillsynsmail/A 7704-2026 tillsynsbegäran mail.docx", "A 7704-2026")</f>
        <v/>
      </c>
      <c r="Z1228">
        <f>HYPERLINK("https://klasma.github.io/Logging_2281/fåglar/A 7704-2026 prioriterade fågelarter.docx", "A 7704-2026")</f>
        <v/>
      </c>
    </row>
    <row r="1229" ht="15" customHeight="1">
      <c r="A1229" t="inlineStr">
        <is>
          <t>A 19077-2024</t>
        </is>
      </c>
      <c r="B1229" s="1" t="n">
        <v>45428</v>
      </c>
      <c r="C1229" s="1" t="n">
        <v>46093</v>
      </c>
      <c r="D1229" t="inlineStr">
        <is>
          <t>VÄSTERNORRLANDS LÄN</t>
        </is>
      </c>
      <c r="E1229" t="inlineStr">
        <is>
          <t>HÄRNÖSAND</t>
        </is>
      </c>
      <c r="F1229" t="inlineStr">
        <is>
          <t>SCA</t>
        </is>
      </c>
      <c r="G1229" t="n">
        <v>3.3</v>
      </c>
      <c r="H1229" t="n">
        <v>0</v>
      </c>
      <c r="I1229" t="n">
        <v>0</v>
      </c>
      <c r="J1229" t="n">
        <v>1</v>
      </c>
      <c r="K1229" t="n">
        <v>0</v>
      </c>
      <c r="L1229" t="n">
        <v>0</v>
      </c>
      <c r="M1229" t="n">
        <v>0</v>
      </c>
      <c r="N1229" t="n">
        <v>0</v>
      </c>
      <c r="O1229" t="n">
        <v>1</v>
      </c>
      <c r="P1229" t="n">
        <v>0</v>
      </c>
      <c r="Q1229" t="n">
        <v>1</v>
      </c>
      <c r="R1229" s="2" t="inlineStr">
        <is>
          <t>Garnlav</t>
        </is>
      </c>
      <c r="S1229">
        <f>HYPERLINK("https://klasma.github.io/Logging_2280/artfynd/A 19077-2024 artfynd.xlsx", "A 19077-2024")</f>
        <v/>
      </c>
      <c r="T1229">
        <f>HYPERLINK("https://klasma.github.io/Logging_2280/kartor/A 19077-2024 karta.png", "A 19077-2024")</f>
        <v/>
      </c>
      <c r="V1229">
        <f>HYPERLINK("https://klasma.github.io/Logging_2280/klagomål/A 19077-2024 FSC-klagomål.docx", "A 19077-2024")</f>
        <v/>
      </c>
      <c r="W1229">
        <f>HYPERLINK("https://klasma.github.io/Logging_2280/klagomålsmail/A 19077-2024 FSC-klagomål mail.docx", "A 19077-2024")</f>
        <v/>
      </c>
      <c r="X1229">
        <f>HYPERLINK("https://klasma.github.io/Logging_2280/tillsyn/A 19077-2024 tillsynsbegäran.docx", "A 19077-2024")</f>
        <v/>
      </c>
      <c r="Y1229">
        <f>HYPERLINK("https://klasma.github.io/Logging_2280/tillsynsmail/A 19077-2024 tillsynsbegäran mail.docx", "A 19077-2024")</f>
        <v/>
      </c>
    </row>
    <row r="1230" ht="15" customHeight="1">
      <c r="A1230" t="inlineStr">
        <is>
          <t>A 8176-2026</t>
        </is>
      </c>
      <c r="B1230" s="1" t="n">
        <v>46064.40684027778</v>
      </c>
      <c r="C1230" s="1" t="n">
        <v>46093</v>
      </c>
      <c r="D1230" t="inlineStr">
        <is>
          <t>VÄSTERNORRLANDS LÄN</t>
        </is>
      </c>
      <c r="E1230" t="inlineStr">
        <is>
          <t>SUNDSVALL</t>
        </is>
      </c>
      <c r="F1230" t="inlineStr">
        <is>
          <t>SCA</t>
        </is>
      </c>
      <c r="G1230" t="n">
        <v>31.5</v>
      </c>
      <c r="H1230" t="n">
        <v>0</v>
      </c>
      <c r="I1230" t="n">
        <v>0</v>
      </c>
      <c r="J1230" t="n">
        <v>1</v>
      </c>
      <c r="K1230" t="n">
        <v>0</v>
      </c>
      <c r="L1230" t="n">
        <v>0</v>
      </c>
      <c r="M1230" t="n">
        <v>0</v>
      </c>
      <c r="N1230" t="n">
        <v>0</v>
      </c>
      <c r="O1230" t="n">
        <v>1</v>
      </c>
      <c r="P1230" t="n">
        <v>0</v>
      </c>
      <c r="Q1230" t="n">
        <v>1</v>
      </c>
      <c r="R1230" s="2" t="inlineStr">
        <is>
          <t>Brunklöver</t>
        </is>
      </c>
      <c r="S1230">
        <f>HYPERLINK("https://klasma.github.io/Logging_2281/artfynd/A 8176-2026 artfynd.xlsx", "A 8176-2026")</f>
        <v/>
      </c>
      <c r="T1230">
        <f>HYPERLINK("https://klasma.github.io/Logging_2281/kartor/A 8176-2026 karta.png", "A 8176-2026")</f>
        <v/>
      </c>
      <c r="V1230">
        <f>HYPERLINK("https://klasma.github.io/Logging_2281/klagomål/A 8176-2026 FSC-klagomål.docx", "A 8176-2026")</f>
        <v/>
      </c>
      <c r="W1230">
        <f>HYPERLINK("https://klasma.github.io/Logging_2281/klagomålsmail/A 8176-2026 FSC-klagomål mail.docx", "A 8176-2026")</f>
        <v/>
      </c>
      <c r="X1230">
        <f>HYPERLINK("https://klasma.github.io/Logging_2281/tillsyn/A 8176-2026 tillsynsbegäran.docx", "A 8176-2026")</f>
        <v/>
      </c>
      <c r="Y1230">
        <f>HYPERLINK("https://klasma.github.io/Logging_2281/tillsynsmail/A 8176-2026 tillsynsbegäran mail.docx", "A 8176-2026")</f>
        <v/>
      </c>
    </row>
    <row r="1231" ht="15" customHeight="1">
      <c r="A1231" t="inlineStr">
        <is>
          <t>A 7388-2026</t>
        </is>
      </c>
      <c r="B1231" s="1" t="n">
        <v>46059</v>
      </c>
      <c r="C1231" s="1" t="n">
        <v>46093</v>
      </c>
      <c r="D1231" t="inlineStr">
        <is>
          <t>VÄSTERNORRLANDS LÄN</t>
        </is>
      </c>
      <c r="E1231" t="inlineStr">
        <is>
          <t>TIMRÅ</t>
        </is>
      </c>
      <c r="G1231" t="n">
        <v>4.9</v>
      </c>
      <c r="H1231" t="n">
        <v>1</v>
      </c>
      <c r="I1231" t="n">
        <v>0</v>
      </c>
      <c r="J1231" t="n">
        <v>1</v>
      </c>
      <c r="K1231" t="n">
        <v>0</v>
      </c>
      <c r="L1231" t="n">
        <v>0</v>
      </c>
      <c r="M1231" t="n">
        <v>0</v>
      </c>
      <c r="N1231" t="n">
        <v>0</v>
      </c>
      <c r="O1231" t="n">
        <v>1</v>
      </c>
      <c r="P1231" t="n">
        <v>0</v>
      </c>
      <c r="Q1231" t="n">
        <v>1</v>
      </c>
      <c r="R1231" s="2" t="inlineStr">
        <is>
          <t>Tretåig hackspett</t>
        </is>
      </c>
      <c r="S1231">
        <f>HYPERLINK("https://klasma.github.io/Logging_2262/artfynd/A 7388-2026 artfynd.xlsx", "A 7388-2026")</f>
        <v/>
      </c>
      <c r="T1231">
        <f>HYPERLINK("https://klasma.github.io/Logging_2262/kartor/A 7388-2026 karta.png", "A 7388-2026")</f>
        <v/>
      </c>
      <c r="V1231">
        <f>HYPERLINK("https://klasma.github.io/Logging_2262/klagomål/A 7388-2026 FSC-klagomål.docx", "A 7388-2026")</f>
        <v/>
      </c>
      <c r="W1231">
        <f>HYPERLINK("https://klasma.github.io/Logging_2262/klagomålsmail/A 7388-2026 FSC-klagomål mail.docx", "A 7388-2026")</f>
        <v/>
      </c>
      <c r="X1231">
        <f>HYPERLINK("https://klasma.github.io/Logging_2262/tillsyn/A 7388-2026 tillsynsbegäran.docx", "A 7388-2026")</f>
        <v/>
      </c>
      <c r="Y1231">
        <f>HYPERLINK("https://klasma.github.io/Logging_2262/tillsynsmail/A 7388-2026 tillsynsbegäran mail.docx", "A 7388-2026")</f>
        <v/>
      </c>
      <c r="Z1231">
        <f>HYPERLINK("https://klasma.github.io/Logging_2262/fåglar/A 7388-2026 prioriterade fågelarter.docx", "A 7388-2026")</f>
        <v/>
      </c>
    </row>
    <row r="1232" ht="15" customHeight="1">
      <c r="A1232" t="inlineStr">
        <is>
          <t>A 11276-2025</t>
        </is>
      </c>
      <c r="B1232" s="1" t="n">
        <v>45726</v>
      </c>
      <c r="C1232" s="1" t="n">
        <v>46093</v>
      </c>
      <c r="D1232" t="inlineStr">
        <is>
          <t>VÄSTERNORRLANDS LÄN</t>
        </is>
      </c>
      <c r="E1232" t="inlineStr">
        <is>
          <t>KRAMFORS</t>
        </is>
      </c>
      <c r="G1232" t="n">
        <v>7.1</v>
      </c>
      <c r="H1232" t="n">
        <v>0</v>
      </c>
      <c r="I1232" t="n">
        <v>1</v>
      </c>
      <c r="J1232" t="n">
        <v>0</v>
      </c>
      <c r="K1232" t="n">
        <v>0</v>
      </c>
      <c r="L1232" t="n">
        <v>0</v>
      </c>
      <c r="M1232" t="n">
        <v>0</v>
      </c>
      <c r="N1232" t="n">
        <v>0</v>
      </c>
      <c r="O1232" t="n">
        <v>0</v>
      </c>
      <c r="P1232" t="n">
        <v>0</v>
      </c>
      <c r="Q1232" t="n">
        <v>1</v>
      </c>
      <c r="R1232" s="2" t="inlineStr">
        <is>
          <t>Skinnlav</t>
        </is>
      </c>
      <c r="S1232">
        <f>HYPERLINK("https://klasma.github.io/Logging_2282/artfynd/A 11276-2025 artfynd.xlsx", "A 11276-2025")</f>
        <v/>
      </c>
      <c r="T1232">
        <f>HYPERLINK("https://klasma.github.io/Logging_2282/kartor/A 11276-2025 karta.png", "A 11276-2025")</f>
        <v/>
      </c>
      <c r="V1232">
        <f>HYPERLINK("https://klasma.github.io/Logging_2282/klagomål/A 11276-2025 FSC-klagomål.docx", "A 11276-2025")</f>
        <v/>
      </c>
      <c r="W1232">
        <f>HYPERLINK("https://klasma.github.io/Logging_2282/klagomålsmail/A 11276-2025 FSC-klagomål mail.docx", "A 11276-2025")</f>
        <v/>
      </c>
      <c r="X1232">
        <f>HYPERLINK("https://klasma.github.io/Logging_2282/tillsyn/A 11276-2025 tillsynsbegäran.docx", "A 11276-2025")</f>
        <v/>
      </c>
      <c r="Y1232">
        <f>HYPERLINK("https://klasma.github.io/Logging_2282/tillsynsmail/A 11276-2025 tillsynsbegäran mail.docx", "A 11276-2025")</f>
        <v/>
      </c>
    </row>
    <row r="1233" ht="15" customHeight="1">
      <c r="A1233" t="inlineStr">
        <is>
          <t>A 93-2026</t>
        </is>
      </c>
      <c r="B1233" s="1" t="n">
        <v>46024.48998842593</v>
      </c>
      <c r="C1233" s="1" t="n">
        <v>46093</v>
      </c>
      <c r="D1233" t="inlineStr">
        <is>
          <t>VÄSTERNORRLANDS LÄN</t>
        </is>
      </c>
      <c r="E1233" t="inlineStr">
        <is>
          <t>KRAMFORS</t>
        </is>
      </c>
      <c r="G1233" t="n">
        <v>3.1</v>
      </c>
      <c r="H1233" t="n">
        <v>0</v>
      </c>
      <c r="I1233" t="n">
        <v>0</v>
      </c>
      <c r="J1233" t="n">
        <v>1</v>
      </c>
      <c r="K1233" t="n">
        <v>0</v>
      </c>
      <c r="L1233" t="n">
        <v>0</v>
      </c>
      <c r="M1233" t="n">
        <v>0</v>
      </c>
      <c r="N1233" t="n">
        <v>0</v>
      </c>
      <c r="O1233" t="n">
        <v>1</v>
      </c>
      <c r="P1233" t="n">
        <v>0</v>
      </c>
      <c r="Q1233" t="n">
        <v>1</v>
      </c>
      <c r="R1233" s="2" t="inlineStr">
        <is>
          <t>Skogshare</t>
        </is>
      </c>
      <c r="S1233">
        <f>HYPERLINK("https://klasma.github.io/Logging_2282/artfynd/A 93-2026 artfynd.xlsx", "A 93-2026")</f>
        <v/>
      </c>
      <c r="T1233">
        <f>HYPERLINK("https://klasma.github.io/Logging_2282/kartor/A 93-2026 karta.png", "A 93-2026")</f>
        <v/>
      </c>
      <c r="V1233">
        <f>HYPERLINK("https://klasma.github.io/Logging_2282/klagomål/A 93-2026 FSC-klagomål.docx", "A 93-2026")</f>
        <v/>
      </c>
      <c r="W1233">
        <f>HYPERLINK("https://klasma.github.io/Logging_2282/klagomålsmail/A 93-2026 FSC-klagomål mail.docx", "A 93-2026")</f>
        <v/>
      </c>
      <c r="X1233">
        <f>HYPERLINK("https://klasma.github.io/Logging_2282/tillsyn/A 93-2026 tillsynsbegäran.docx", "A 93-2026")</f>
        <v/>
      </c>
      <c r="Y1233">
        <f>HYPERLINK("https://klasma.github.io/Logging_2282/tillsynsmail/A 93-2026 tillsynsbegäran mail.docx", "A 93-2026")</f>
        <v/>
      </c>
    </row>
    <row r="1234" ht="15" customHeight="1">
      <c r="A1234" t="inlineStr">
        <is>
          <t>A 3959-2024</t>
        </is>
      </c>
      <c r="B1234" s="1" t="n">
        <v>45322</v>
      </c>
      <c r="C1234" s="1" t="n">
        <v>46093</v>
      </c>
      <c r="D1234" t="inlineStr">
        <is>
          <t>VÄSTERNORRLANDS LÄN</t>
        </is>
      </c>
      <c r="E1234" t="inlineStr">
        <is>
          <t>SOLLEFTEÅ</t>
        </is>
      </c>
      <c r="F1234" t="inlineStr">
        <is>
          <t>Kommuner</t>
        </is>
      </c>
      <c r="G1234" t="n">
        <v>1</v>
      </c>
      <c r="H1234" t="n">
        <v>0</v>
      </c>
      <c r="I1234" t="n">
        <v>0</v>
      </c>
      <c r="J1234" t="n">
        <v>1</v>
      </c>
      <c r="K1234" t="n">
        <v>0</v>
      </c>
      <c r="L1234" t="n">
        <v>0</v>
      </c>
      <c r="M1234" t="n">
        <v>0</v>
      </c>
      <c r="N1234" t="n">
        <v>0</v>
      </c>
      <c r="O1234" t="n">
        <v>1</v>
      </c>
      <c r="P1234" t="n">
        <v>0</v>
      </c>
      <c r="Q1234" t="n">
        <v>1</v>
      </c>
      <c r="R1234" s="2" t="inlineStr">
        <is>
          <t>Garnlav</t>
        </is>
      </c>
      <c r="S1234">
        <f>HYPERLINK("https://klasma.github.io/Logging_2283/artfynd/A 3959-2024 artfynd.xlsx", "A 3959-2024")</f>
        <v/>
      </c>
      <c r="T1234">
        <f>HYPERLINK("https://klasma.github.io/Logging_2283/kartor/A 3959-2024 karta.png", "A 3959-2024")</f>
        <v/>
      </c>
      <c r="V1234">
        <f>HYPERLINK("https://klasma.github.io/Logging_2283/klagomål/A 3959-2024 FSC-klagomål.docx", "A 3959-2024")</f>
        <v/>
      </c>
      <c r="W1234">
        <f>HYPERLINK("https://klasma.github.io/Logging_2283/klagomålsmail/A 3959-2024 FSC-klagomål mail.docx", "A 3959-2024")</f>
        <v/>
      </c>
      <c r="X1234">
        <f>HYPERLINK("https://klasma.github.io/Logging_2283/tillsyn/A 3959-2024 tillsynsbegäran.docx", "A 3959-2024")</f>
        <v/>
      </c>
      <c r="Y1234">
        <f>HYPERLINK("https://klasma.github.io/Logging_2283/tillsynsmail/A 3959-2024 tillsynsbegäran mail.docx", "A 3959-2024")</f>
        <v/>
      </c>
    </row>
    <row r="1235" ht="15" customHeight="1">
      <c r="A1235" t="inlineStr">
        <is>
          <t>A 4351-2024</t>
        </is>
      </c>
      <c r="B1235" s="1" t="n">
        <v>45324</v>
      </c>
      <c r="C1235" s="1" t="n">
        <v>46093</v>
      </c>
      <c r="D1235" t="inlineStr">
        <is>
          <t>VÄSTERNORRLANDS LÄN</t>
        </is>
      </c>
      <c r="E1235" t="inlineStr">
        <is>
          <t>ÅNGE</t>
        </is>
      </c>
      <c r="F1235" t="inlineStr">
        <is>
          <t>SCA</t>
        </is>
      </c>
      <c r="G1235" t="n">
        <v>0.5</v>
      </c>
      <c r="H1235" t="n">
        <v>0</v>
      </c>
      <c r="I1235" t="n">
        <v>0</v>
      </c>
      <c r="J1235" t="n">
        <v>1</v>
      </c>
      <c r="K1235" t="n">
        <v>0</v>
      </c>
      <c r="L1235" t="n">
        <v>0</v>
      </c>
      <c r="M1235" t="n">
        <v>0</v>
      </c>
      <c r="N1235" t="n">
        <v>0</v>
      </c>
      <c r="O1235" t="n">
        <v>1</v>
      </c>
      <c r="P1235" t="n">
        <v>0</v>
      </c>
      <c r="Q1235" t="n">
        <v>1</v>
      </c>
      <c r="R1235" s="2" t="inlineStr">
        <is>
          <t>Garnlav</t>
        </is>
      </c>
      <c r="S1235">
        <f>HYPERLINK("https://klasma.github.io/Logging_2260/artfynd/A 4351-2024 artfynd.xlsx", "A 4351-2024")</f>
        <v/>
      </c>
      <c r="T1235">
        <f>HYPERLINK("https://klasma.github.io/Logging_2260/kartor/A 4351-2024 karta.png", "A 4351-2024")</f>
        <v/>
      </c>
      <c r="V1235">
        <f>HYPERLINK("https://klasma.github.io/Logging_2260/klagomål/A 4351-2024 FSC-klagomål.docx", "A 4351-2024")</f>
        <v/>
      </c>
      <c r="W1235">
        <f>HYPERLINK("https://klasma.github.io/Logging_2260/klagomålsmail/A 4351-2024 FSC-klagomål mail.docx", "A 4351-2024")</f>
        <v/>
      </c>
      <c r="X1235">
        <f>HYPERLINK("https://klasma.github.io/Logging_2260/tillsyn/A 4351-2024 tillsynsbegäran.docx", "A 4351-2024")</f>
        <v/>
      </c>
      <c r="Y1235">
        <f>HYPERLINK("https://klasma.github.io/Logging_2260/tillsynsmail/A 4351-2024 tillsynsbegäran mail.docx", "A 4351-2024")</f>
        <v/>
      </c>
    </row>
    <row r="1236" ht="15" customHeight="1">
      <c r="A1236" t="inlineStr">
        <is>
          <t>A 27308-2024</t>
        </is>
      </c>
      <c r="B1236" s="1" t="n">
        <v>45471</v>
      </c>
      <c r="C1236" s="1" t="n">
        <v>46093</v>
      </c>
      <c r="D1236" t="inlineStr">
        <is>
          <t>VÄSTERNORRLANDS LÄN</t>
        </is>
      </c>
      <c r="E1236" t="inlineStr">
        <is>
          <t>ÅNGE</t>
        </is>
      </c>
      <c r="F1236" t="inlineStr">
        <is>
          <t>SCA</t>
        </is>
      </c>
      <c r="G1236" t="n">
        <v>15.9</v>
      </c>
      <c r="H1236" t="n">
        <v>0</v>
      </c>
      <c r="I1236" t="n">
        <v>0</v>
      </c>
      <c r="J1236" t="n">
        <v>1</v>
      </c>
      <c r="K1236" t="n">
        <v>0</v>
      </c>
      <c r="L1236" t="n">
        <v>0</v>
      </c>
      <c r="M1236" t="n">
        <v>0</v>
      </c>
      <c r="N1236" t="n">
        <v>0</v>
      </c>
      <c r="O1236" t="n">
        <v>1</v>
      </c>
      <c r="P1236" t="n">
        <v>0</v>
      </c>
      <c r="Q1236" t="n">
        <v>1</v>
      </c>
      <c r="R1236" s="2" t="inlineStr">
        <is>
          <t>Lunglav</t>
        </is>
      </c>
      <c r="S1236">
        <f>HYPERLINK("https://klasma.github.io/Logging_2260/artfynd/A 27308-2024 artfynd.xlsx", "A 27308-2024")</f>
        <v/>
      </c>
      <c r="T1236">
        <f>HYPERLINK("https://klasma.github.io/Logging_2260/kartor/A 27308-2024 karta.png", "A 27308-2024")</f>
        <v/>
      </c>
      <c r="V1236">
        <f>HYPERLINK("https://klasma.github.io/Logging_2260/klagomål/A 27308-2024 FSC-klagomål.docx", "A 27308-2024")</f>
        <v/>
      </c>
      <c r="W1236">
        <f>HYPERLINK("https://klasma.github.io/Logging_2260/klagomålsmail/A 27308-2024 FSC-klagomål mail.docx", "A 27308-2024")</f>
        <v/>
      </c>
      <c r="X1236">
        <f>HYPERLINK("https://klasma.github.io/Logging_2260/tillsyn/A 27308-2024 tillsynsbegäran.docx", "A 27308-2024")</f>
        <v/>
      </c>
      <c r="Y1236">
        <f>HYPERLINK("https://klasma.github.io/Logging_2260/tillsynsmail/A 27308-2024 tillsynsbegäran mail.docx", "A 27308-2024")</f>
        <v/>
      </c>
    </row>
    <row r="1237" ht="15" customHeight="1">
      <c r="A1237" t="inlineStr">
        <is>
          <t>A 329-2026</t>
        </is>
      </c>
      <c r="B1237" s="1" t="n">
        <v>46027.59431712963</v>
      </c>
      <c r="C1237" s="1" t="n">
        <v>46093</v>
      </c>
      <c r="D1237" t="inlineStr">
        <is>
          <t>VÄSTERNORRLANDS LÄN</t>
        </is>
      </c>
      <c r="E1237" t="inlineStr">
        <is>
          <t>ÅNGE</t>
        </is>
      </c>
      <c r="F1237" t="inlineStr">
        <is>
          <t>SCA</t>
        </is>
      </c>
      <c r="G1237" t="n">
        <v>3.3</v>
      </c>
      <c r="H1237" t="n">
        <v>1</v>
      </c>
      <c r="I1237" t="n">
        <v>0</v>
      </c>
      <c r="J1237" t="n">
        <v>0</v>
      </c>
      <c r="K1237" t="n">
        <v>0</v>
      </c>
      <c r="L1237" t="n">
        <v>0</v>
      </c>
      <c r="M1237" t="n">
        <v>0</v>
      </c>
      <c r="N1237" t="n">
        <v>0</v>
      </c>
      <c r="O1237" t="n">
        <v>0</v>
      </c>
      <c r="P1237" t="n">
        <v>0</v>
      </c>
      <c r="Q1237" t="n">
        <v>1</v>
      </c>
      <c r="R1237" s="2" t="inlineStr">
        <is>
          <t>Revlummer</t>
        </is>
      </c>
      <c r="S1237">
        <f>HYPERLINK("https://klasma.github.io/Logging_2260/artfynd/A 329-2026 artfynd.xlsx", "A 329-2026")</f>
        <v/>
      </c>
      <c r="T1237">
        <f>HYPERLINK("https://klasma.github.io/Logging_2260/kartor/A 329-2026 karta.png", "A 329-2026")</f>
        <v/>
      </c>
      <c r="V1237">
        <f>HYPERLINK("https://klasma.github.io/Logging_2260/klagomål/A 329-2026 FSC-klagomål.docx", "A 329-2026")</f>
        <v/>
      </c>
      <c r="W1237">
        <f>HYPERLINK("https://klasma.github.io/Logging_2260/klagomålsmail/A 329-2026 FSC-klagomål mail.docx", "A 329-2026")</f>
        <v/>
      </c>
      <c r="X1237">
        <f>HYPERLINK("https://klasma.github.io/Logging_2260/tillsyn/A 329-2026 tillsynsbegäran.docx", "A 329-2026")</f>
        <v/>
      </c>
      <c r="Y1237">
        <f>HYPERLINK("https://klasma.github.io/Logging_2260/tillsynsmail/A 329-2026 tillsynsbegäran mail.docx", "A 329-2026")</f>
        <v/>
      </c>
    </row>
    <row r="1238" ht="15" customHeight="1">
      <c r="A1238" t="inlineStr">
        <is>
          <t>A 39565-2023</t>
        </is>
      </c>
      <c r="B1238" s="1" t="n">
        <v>45167</v>
      </c>
      <c r="C1238" s="1" t="n">
        <v>46093</v>
      </c>
      <c r="D1238" t="inlineStr">
        <is>
          <t>VÄSTERNORRLANDS LÄN</t>
        </is>
      </c>
      <c r="E1238" t="inlineStr">
        <is>
          <t>SOLLEFTEÅ</t>
        </is>
      </c>
      <c r="G1238" t="n">
        <v>3.2</v>
      </c>
      <c r="H1238" t="n">
        <v>0</v>
      </c>
      <c r="I1238" t="n">
        <v>0</v>
      </c>
      <c r="J1238" t="n">
        <v>1</v>
      </c>
      <c r="K1238" t="n">
        <v>0</v>
      </c>
      <c r="L1238" t="n">
        <v>0</v>
      </c>
      <c r="M1238" t="n">
        <v>0</v>
      </c>
      <c r="N1238" t="n">
        <v>0</v>
      </c>
      <c r="O1238" t="n">
        <v>1</v>
      </c>
      <c r="P1238" t="n">
        <v>0</v>
      </c>
      <c r="Q1238" t="n">
        <v>1</v>
      </c>
      <c r="R1238" s="2" t="inlineStr">
        <is>
          <t>Ullticka</t>
        </is>
      </c>
      <c r="S1238">
        <f>HYPERLINK("https://klasma.github.io/Logging_2283/artfynd/A 39565-2023 artfynd.xlsx", "A 39565-2023")</f>
        <v/>
      </c>
      <c r="T1238">
        <f>HYPERLINK("https://klasma.github.io/Logging_2283/kartor/A 39565-2023 karta.png", "A 39565-2023")</f>
        <v/>
      </c>
      <c r="V1238">
        <f>HYPERLINK("https://klasma.github.io/Logging_2283/klagomål/A 39565-2023 FSC-klagomål.docx", "A 39565-2023")</f>
        <v/>
      </c>
      <c r="W1238">
        <f>HYPERLINK("https://klasma.github.io/Logging_2283/klagomålsmail/A 39565-2023 FSC-klagomål mail.docx", "A 39565-2023")</f>
        <v/>
      </c>
      <c r="X1238">
        <f>HYPERLINK("https://klasma.github.io/Logging_2283/tillsyn/A 39565-2023 tillsynsbegäran.docx", "A 39565-2023")</f>
        <v/>
      </c>
      <c r="Y1238">
        <f>HYPERLINK("https://klasma.github.io/Logging_2283/tillsynsmail/A 39565-2023 tillsynsbegäran mail.docx", "A 39565-2023")</f>
        <v/>
      </c>
    </row>
    <row r="1239" ht="15" customHeight="1">
      <c r="A1239" t="inlineStr">
        <is>
          <t>A 20690-2025</t>
        </is>
      </c>
      <c r="B1239" s="1" t="n">
        <v>45776.45857638889</v>
      </c>
      <c r="C1239" s="1" t="n">
        <v>46093</v>
      </c>
      <c r="D1239" t="inlineStr">
        <is>
          <t>VÄSTERNORRLANDS LÄN</t>
        </is>
      </c>
      <c r="E1239" t="inlineStr">
        <is>
          <t>ÖRNSKÖLDSVIK</t>
        </is>
      </c>
      <c r="F1239" t="inlineStr">
        <is>
          <t>Holmen skog AB</t>
        </is>
      </c>
      <c r="G1239" t="n">
        <v>1.4</v>
      </c>
      <c r="H1239" t="n">
        <v>0</v>
      </c>
      <c r="I1239" t="n">
        <v>0</v>
      </c>
      <c r="J1239" t="n">
        <v>1</v>
      </c>
      <c r="K1239" t="n">
        <v>0</v>
      </c>
      <c r="L1239" t="n">
        <v>0</v>
      </c>
      <c r="M1239" t="n">
        <v>0</v>
      </c>
      <c r="N1239" t="n">
        <v>0</v>
      </c>
      <c r="O1239" t="n">
        <v>1</v>
      </c>
      <c r="P1239" t="n">
        <v>0</v>
      </c>
      <c r="Q1239" t="n">
        <v>1</v>
      </c>
      <c r="R1239" s="2" t="inlineStr">
        <is>
          <t>Garnlav</t>
        </is>
      </c>
      <c r="S1239">
        <f>HYPERLINK("https://klasma.github.io/Logging_2284/artfynd/A 20690-2025 artfynd.xlsx", "A 20690-2025")</f>
        <v/>
      </c>
      <c r="T1239">
        <f>HYPERLINK("https://klasma.github.io/Logging_2284/kartor/A 20690-2025 karta.png", "A 20690-2025")</f>
        <v/>
      </c>
      <c r="V1239">
        <f>HYPERLINK("https://klasma.github.io/Logging_2284/klagomål/A 20690-2025 FSC-klagomål.docx", "A 20690-2025")</f>
        <v/>
      </c>
      <c r="W1239">
        <f>HYPERLINK("https://klasma.github.io/Logging_2284/klagomålsmail/A 20690-2025 FSC-klagomål mail.docx", "A 20690-2025")</f>
        <v/>
      </c>
      <c r="X1239">
        <f>HYPERLINK("https://klasma.github.io/Logging_2284/tillsyn/A 20690-2025 tillsynsbegäran.docx", "A 20690-2025")</f>
        <v/>
      </c>
      <c r="Y1239">
        <f>HYPERLINK("https://klasma.github.io/Logging_2284/tillsynsmail/A 20690-2025 tillsynsbegäran mail.docx", "A 20690-2025")</f>
        <v/>
      </c>
    </row>
    <row r="1240" ht="15" customHeight="1">
      <c r="A1240" t="inlineStr">
        <is>
          <t>A 9458-2026</t>
        </is>
      </c>
      <c r="B1240" s="1" t="n">
        <v>46071.49013888889</v>
      </c>
      <c r="C1240" s="1" t="n">
        <v>46093</v>
      </c>
      <c r="D1240" t="inlineStr">
        <is>
          <t>VÄSTERNORRLANDS LÄN</t>
        </is>
      </c>
      <c r="E1240" t="inlineStr">
        <is>
          <t>SOLLEFTEÅ</t>
        </is>
      </c>
      <c r="G1240" t="n">
        <v>3.4</v>
      </c>
      <c r="H1240" t="n">
        <v>1</v>
      </c>
      <c r="I1240" t="n">
        <v>0</v>
      </c>
      <c r="J1240" t="n">
        <v>1</v>
      </c>
      <c r="K1240" t="n">
        <v>0</v>
      </c>
      <c r="L1240" t="n">
        <v>0</v>
      </c>
      <c r="M1240" t="n">
        <v>0</v>
      </c>
      <c r="N1240" t="n">
        <v>0</v>
      </c>
      <c r="O1240" t="n">
        <v>1</v>
      </c>
      <c r="P1240" t="n">
        <v>0</v>
      </c>
      <c r="Q1240" t="n">
        <v>1</v>
      </c>
      <c r="R1240" s="2" t="inlineStr">
        <is>
          <t>Tretåig hackspett</t>
        </is>
      </c>
      <c r="S1240">
        <f>HYPERLINK("https://klasma.github.io/Logging_2283/artfynd/A 9458-2026 artfynd.xlsx", "A 9458-2026")</f>
        <v/>
      </c>
      <c r="T1240">
        <f>HYPERLINK("https://klasma.github.io/Logging_2283/kartor/A 9458-2026 karta.png", "A 9458-2026")</f>
        <v/>
      </c>
      <c r="U1240">
        <f>HYPERLINK("https://klasma.github.io/Logging_2283/knärot/A 9458-2026 karta knärot.png", "A 9458-2026")</f>
        <v/>
      </c>
      <c r="V1240">
        <f>HYPERLINK("https://klasma.github.io/Logging_2283/klagomål/A 9458-2026 FSC-klagomål.docx", "A 9458-2026")</f>
        <v/>
      </c>
      <c r="W1240">
        <f>HYPERLINK("https://klasma.github.io/Logging_2283/klagomålsmail/A 9458-2026 FSC-klagomål mail.docx", "A 9458-2026")</f>
        <v/>
      </c>
      <c r="X1240">
        <f>HYPERLINK("https://klasma.github.io/Logging_2283/tillsyn/A 9458-2026 tillsynsbegäran.docx", "A 9458-2026")</f>
        <v/>
      </c>
      <c r="Y1240">
        <f>HYPERLINK("https://klasma.github.io/Logging_2283/tillsynsmail/A 9458-2026 tillsynsbegäran mail.docx", "A 9458-2026")</f>
        <v/>
      </c>
      <c r="Z1240">
        <f>HYPERLINK("https://klasma.github.io/Logging_2283/fåglar/A 9458-2026 prioriterade fågelarter.docx", "A 9458-2026")</f>
        <v/>
      </c>
    </row>
    <row r="1241" ht="15" customHeight="1">
      <c r="A1241" t="inlineStr">
        <is>
          <t>A 20631-2025</t>
        </is>
      </c>
      <c r="B1241" s="1" t="n">
        <v>45776</v>
      </c>
      <c r="C1241" s="1" t="n">
        <v>46093</v>
      </c>
      <c r="D1241" t="inlineStr">
        <is>
          <t>VÄSTERNORRLANDS LÄN</t>
        </is>
      </c>
      <c r="E1241" t="inlineStr">
        <is>
          <t>SUNDSVALL</t>
        </is>
      </c>
      <c r="F1241" t="inlineStr">
        <is>
          <t>Naturvårdsverket</t>
        </is>
      </c>
      <c r="G1241" t="n">
        <v>9.6</v>
      </c>
      <c r="H1241" t="n">
        <v>0</v>
      </c>
      <c r="I1241" t="n">
        <v>0</v>
      </c>
      <c r="J1241" t="n">
        <v>1</v>
      </c>
      <c r="K1241" t="n">
        <v>0</v>
      </c>
      <c r="L1241" t="n">
        <v>0</v>
      </c>
      <c r="M1241" t="n">
        <v>0</v>
      </c>
      <c r="N1241" t="n">
        <v>0</v>
      </c>
      <c r="O1241" t="n">
        <v>1</v>
      </c>
      <c r="P1241" t="n">
        <v>0</v>
      </c>
      <c r="Q1241" t="n">
        <v>1</v>
      </c>
      <c r="R1241" s="2" t="inlineStr">
        <is>
          <t>Nordtagging</t>
        </is>
      </c>
      <c r="S1241">
        <f>HYPERLINK("https://klasma.github.io/Logging_2281/artfynd/A 20631-2025 artfynd.xlsx", "A 20631-2025")</f>
        <v/>
      </c>
      <c r="T1241">
        <f>HYPERLINK("https://klasma.github.io/Logging_2281/kartor/A 20631-2025 karta.png", "A 20631-2025")</f>
        <v/>
      </c>
      <c r="V1241">
        <f>HYPERLINK("https://klasma.github.io/Logging_2281/klagomål/A 20631-2025 FSC-klagomål.docx", "A 20631-2025")</f>
        <v/>
      </c>
      <c r="W1241">
        <f>HYPERLINK("https://klasma.github.io/Logging_2281/klagomålsmail/A 20631-2025 FSC-klagomål mail.docx", "A 20631-2025")</f>
        <v/>
      </c>
      <c r="X1241">
        <f>HYPERLINK("https://klasma.github.io/Logging_2281/tillsyn/A 20631-2025 tillsynsbegäran.docx", "A 20631-2025")</f>
        <v/>
      </c>
      <c r="Y1241">
        <f>HYPERLINK("https://klasma.github.io/Logging_2281/tillsynsmail/A 20631-2025 tillsynsbegäran mail.docx", "A 20631-2025")</f>
        <v/>
      </c>
    </row>
    <row r="1242" ht="15" customHeight="1">
      <c r="A1242" t="inlineStr">
        <is>
          <t>A 21318-2025</t>
        </is>
      </c>
      <c r="B1242" s="1" t="n">
        <v>45782.34424768519</v>
      </c>
      <c r="C1242" s="1" t="n">
        <v>46093</v>
      </c>
      <c r="D1242" t="inlineStr">
        <is>
          <t>VÄSTERNORRLANDS LÄN</t>
        </is>
      </c>
      <c r="E1242" t="inlineStr">
        <is>
          <t>SUNDSVALL</t>
        </is>
      </c>
      <c r="F1242" t="inlineStr">
        <is>
          <t>Naturvårdsverket</t>
        </is>
      </c>
      <c r="G1242" t="n">
        <v>3.7</v>
      </c>
      <c r="H1242" t="n">
        <v>0</v>
      </c>
      <c r="I1242" t="n">
        <v>0</v>
      </c>
      <c r="J1242" t="n">
        <v>1</v>
      </c>
      <c r="K1242" t="n">
        <v>0</v>
      </c>
      <c r="L1242" t="n">
        <v>0</v>
      </c>
      <c r="M1242" t="n">
        <v>0</v>
      </c>
      <c r="N1242" t="n">
        <v>0</v>
      </c>
      <c r="O1242" t="n">
        <v>1</v>
      </c>
      <c r="P1242" t="n">
        <v>0</v>
      </c>
      <c r="Q1242" t="n">
        <v>1</v>
      </c>
      <c r="R1242" s="2" t="inlineStr">
        <is>
          <t>Reliktbock</t>
        </is>
      </c>
      <c r="S1242">
        <f>HYPERLINK("https://klasma.github.io/Logging_2281/artfynd/A 21318-2025 artfynd.xlsx", "A 21318-2025")</f>
        <v/>
      </c>
      <c r="T1242">
        <f>HYPERLINK("https://klasma.github.io/Logging_2281/kartor/A 21318-2025 karta.png", "A 21318-2025")</f>
        <v/>
      </c>
      <c r="V1242">
        <f>HYPERLINK("https://klasma.github.io/Logging_2281/klagomål/A 21318-2025 FSC-klagomål.docx", "A 21318-2025")</f>
        <v/>
      </c>
      <c r="W1242">
        <f>HYPERLINK("https://klasma.github.io/Logging_2281/klagomålsmail/A 21318-2025 FSC-klagomål mail.docx", "A 21318-2025")</f>
        <v/>
      </c>
      <c r="X1242">
        <f>HYPERLINK("https://klasma.github.io/Logging_2281/tillsyn/A 21318-2025 tillsynsbegäran.docx", "A 21318-2025")</f>
        <v/>
      </c>
      <c r="Y1242">
        <f>HYPERLINK("https://klasma.github.io/Logging_2281/tillsynsmail/A 21318-2025 tillsynsbegäran mail.docx", "A 21318-2025")</f>
        <v/>
      </c>
    </row>
    <row r="1243" ht="15" customHeight="1">
      <c r="A1243" t="inlineStr">
        <is>
          <t>A 21356-2025</t>
        </is>
      </c>
      <c r="B1243" s="1" t="n">
        <v>45782.42341435186</v>
      </c>
      <c r="C1243" s="1" t="n">
        <v>46093</v>
      </c>
      <c r="D1243" t="inlineStr">
        <is>
          <t>VÄSTERNORRLANDS LÄN</t>
        </is>
      </c>
      <c r="E1243" t="inlineStr">
        <is>
          <t>ÖRNSKÖLDSVIK</t>
        </is>
      </c>
      <c r="F1243" t="inlineStr">
        <is>
          <t>Holmen skog AB</t>
        </is>
      </c>
      <c r="G1243" t="n">
        <v>7.3</v>
      </c>
      <c r="H1243" t="n">
        <v>0</v>
      </c>
      <c r="I1243" t="n">
        <v>0</v>
      </c>
      <c r="J1243" t="n">
        <v>1</v>
      </c>
      <c r="K1243" t="n">
        <v>0</v>
      </c>
      <c r="L1243" t="n">
        <v>0</v>
      </c>
      <c r="M1243" t="n">
        <v>0</v>
      </c>
      <c r="N1243" t="n">
        <v>0</v>
      </c>
      <c r="O1243" t="n">
        <v>1</v>
      </c>
      <c r="P1243" t="n">
        <v>0</v>
      </c>
      <c r="Q1243" t="n">
        <v>1</v>
      </c>
      <c r="R1243" s="2" t="inlineStr">
        <is>
          <t>Garnlav</t>
        </is>
      </c>
      <c r="S1243">
        <f>HYPERLINK("https://klasma.github.io/Logging_2284/artfynd/A 21356-2025 artfynd.xlsx", "A 21356-2025")</f>
        <v/>
      </c>
      <c r="T1243">
        <f>HYPERLINK("https://klasma.github.io/Logging_2284/kartor/A 21356-2025 karta.png", "A 21356-2025")</f>
        <v/>
      </c>
      <c r="V1243">
        <f>HYPERLINK("https://klasma.github.io/Logging_2284/klagomål/A 21356-2025 FSC-klagomål.docx", "A 21356-2025")</f>
        <v/>
      </c>
      <c r="W1243">
        <f>HYPERLINK("https://klasma.github.io/Logging_2284/klagomålsmail/A 21356-2025 FSC-klagomål mail.docx", "A 21356-2025")</f>
        <v/>
      </c>
      <c r="X1243">
        <f>HYPERLINK("https://klasma.github.io/Logging_2284/tillsyn/A 21356-2025 tillsynsbegäran.docx", "A 21356-2025")</f>
        <v/>
      </c>
      <c r="Y1243">
        <f>HYPERLINK("https://klasma.github.io/Logging_2284/tillsynsmail/A 21356-2025 tillsynsbegäran mail.docx", "A 21356-2025")</f>
        <v/>
      </c>
    </row>
    <row r="1244" ht="15" customHeight="1">
      <c r="A1244" t="inlineStr">
        <is>
          <t>A 535-2026</t>
        </is>
      </c>
      <c r="B1244" s="1" t="n">
        <v>46029</v>
      </c>
      <c r="C1244" s="1" t="n">
        <v>46093</v>
      </c>
      <c r="D1244" t="inlineStr">
        <is>
          <t>VÄSTERNORRLANDS LÄN</t>
        </is>
      </c>
      <c r="E1244" t="inlineStr">
        <is>
          <t>KRAMFORS</t>
        </is>
      </c>
      <c r="G1244" t="n">
        <v>29.2</v>
      </c>
      <c r="H1244" t="n">
        <v>0</v>
      </c>
      <c r="I1244" t="n">
        <v>1</v>
      </c>
      <c r="J1244" t="n">
        <v>0</v>
      </c>
      <c r="K1244" t="n">
        <v>0</v>
      </c>
      <c r="L1244" t="n">
        <v>0</v>
      </c>
      <c r="M1244" t="n">
        <v>0</v>
      </c>
      <c r="N1244" t="n">
        <v>0</v>
      </c>
      <c r="O1244" t="n">
        <v>0</v>
      </c>
      <c r="P1244" t="n">
        <v>0</v>
      </c>
      <c r="Q1244" t="n">
        <v>1</v>
      </c>
      <c r="R1244" s="2" t="inlineStr">
        <is>
          <t>Vedticka</t>
        </is>
      </c>
      <c r="S1244">
        <f>HYPERLINK("https://klasma.github.io/Logging_2282/artfynd/A 535-2026 artfynd.xlsx", "A 535-2026")</f>
        <v/>
      </c>
      <c r="T1244">
        <f>HYPERLINK("https://klasma.github.io/Logging_2282/kartor/A 535-2026 karta.png", "A 535-2026")</f>
        <v/>
      </c>
      <c r="V1244">
        <f>HYPERLINK("https://klasma.github.io/Logging_2282/klagomål/A 535-2026 FSC-klagomål.docx", "A 535-2026")</f>
        <v/>
      </c>
      <c r="W1244">
        <f>HYPERLINK("https://klasma.github.io/Logging_2282/klagomålsmail/A 535-2026 FSC-klagomål mail.docx", "A 535-2026")</f>
        <v/>
      </c>
      <c r="X1244">
        <f>HYPERLINK("https://klasma.github.io/Logging_2282/tillsyn/A 535-2026 tillsynsbegäran.docx", "A 535-2026")</f>
        <v/>
      </c>
      <c r="Y1244">
        <f>HYPERLINK("https://klasma.github.io/Logging_2282/tillsynsmail/A 535-2026 tillsynsbegäran mail.docx", "A 535-2026")</f>
        <v/>
      </c>
    </row>
    <row r="1245" ht="15" customHeight="1">
      <c r="A1245" t="inlineStr">
        <is>
          <t>A 1190-2026</t>
        </is>
      </c>
      <c r="B1245" s="1" t="n">
        <v>46031</v>
      </c>
      <c r="C1245" s="1" t="n">
        <v>46093</v>
      </c>
      <c r="D1245" t="inlineStr">
        <is>
          <t>VÄSTERNORRLANDS LÄN</t>
        </is>
      </c>
      <c r="E1245" t="inlineStr">
        <is>
          <t>HÄRNÖSAND</t>
        </is>
      </c>
      <c r="G1245" t="n">
        <v>3.5</v>
      </c>
      <c r="H1245" t="n">
        <v>1</v>
      </c>
      <c r="I1245" t="n">
        <v>0</v>
      </c>
      <c r="J1245" t="n">
        <v>1</v>
      </c>
      <c r="K1245" t="n">
        <v>0</v>
      </c>
      <c r="L1245" t="n">
        <v>0</v>
      </c>
      <c r="M1245" t="n">
        <v>0</v>
      </c>
      <c r="N1245" t="n">
        <v>0</v>
      </c>
      <c r="O1245" t="n">
        <v>1</v>
      </c>
      <c r="P1245" t="n">
        <v>0</v>
      </c>
      <c r="Q1245" t="n">
        <v>1</v>
      </c>
      <c r="R1245" s="2" t="inlineStr">
        <is>
          <t>Tretåig hackspett</t>
        </is>
      </c>
      <c r="S1245">
        <f>HYPERLINK("https://klasma.github.io/Logging_2280/artfynd/A 1190-2026 artfynd.xlsx", "A 1190-2026")</f>
        <v/>
      </c>
      <c r="T1245">
        <f>HYPERLINK("https://klasma.github.io/Logging_2280/kartor/A 1190-2026 karta.png", "A 1190-2026")</f>
        <v/>
      </c>
      <c r="V1245">
        <f>HYPERLINK("https://klasma.github.io/Logging_2280/klagomål/A 1190-2026 FSC-klagomål.docx", "A 1190-2026")</f>
        <v/>
      </c>
      <c r="W1245">
        <f>HYPERLINK("https://klasma.github.io/Logging_2280/klagomålsmail/A 1190-2026 FSC-klagomål mail.docx", "A 1190-2026")</f>
        <v/>
      </c>
      <c r="X1245">
        <f>HYPERLINK("https://klasma.github.io/Logging_2280/tillsyn/A 1190-2026 tillsynsbegäran.docx", "A 1190-2026")</f>
        <v/>
      </c>
      <c r="Y1245">
        <f>HYPERLINK("https://klasma.github.io/Logging_2280/tillsynsmail/A 1190-2026 tillsynsbegäran mail.docx", "A 1190-2026")</f>
        <v/>
      </c>
      <c r="Z1245">
        <f>HYPERLINK("https://klasma.github.io/Logging_2280/fåglar/A 1190-2026 prioriterade fågelarter.docx", "A 1190-2026")</f>
        <v/>
      </c>
    </row>
    <row r="1246" ht="15" customHeight="1">
      <c r="A1246" t="inlineStr">
        <is>
          <t>A 22050-2025</t>
        </is>
      </c>
      <c r="B1246" s="1" t="n">
        <v>45785.34451388889</v>
      </c>
      <c r="C1246" s="1" t="n">
        <v>46093</v>
      </c>
      <c r="D1246" t="inlineStr">
        <is>
          <t>VÄSTERNORRLANDS LÄN</t>
        </is>
      </c>
      <c r="E1246" t="inlineStr">
        <is>
          <t>TIMRÅ</t>
        </is>
      </c>
      <c r="F1246" t="inlineStr">
        <is>
          <t>SCA</t>
        </is>
      </c>
      <c r="G1246" t="n">
        <v>2.4</v>
      </c>
      <c r="H1246" t="n">
        <v>0</v>
      </c>
      <c r="I1246" t="n">
        <v>0</v>
      </c>
      <c r="J1246" t="n">
        <v>1</v>
      </c>
      <c r="K1246" t="n">
        <v>0</v>
      </c>
      <c r="L1246" t="n">
        <v>0</v>
      </c>
      <c r="M1246" t="n">
        <v>0</v>
      </c>
      <c r="N1246" t="n">
        <v>0</v>
      </c>
      <c r="O1246" t="n">
        <v>1</v>
      </c>
      <c r="P1246" t="n">
        <v>0</v>
      </c>
      <c r="Q1246" t="n">
        <v>1</v>
      </c>
      <c r="R1246" s="2" t="inlineStr">
        <is>
          <t>Lunglav</t>
        </is>
      </c>
      <c r="S1246">
        <f>HYPERLINK("https://klasma.github.io/Logging_2262/artfynd/A 22050-2025 artfynd.xlsx", "A 22050-2025")</f>
        <v/>
      </c>
      <c r="T1246">
        <f>HYPERLINK("https://klasma.github.io/Logging_2262/kartor/A 22050-2025 karta.png", "A 22050-2025")</f>
        <v/>
      </c>
      <c r="V1246">
        <f>HYPERLINK("https://klasma.github.io/Logging_2262/klagomål/A 22050-2025 FSC-klagomål.docx", "A 22050-2025")</f>
        <v/>
      </c>
      <c r="W1246">
        <f>HYPERLINK("https://klasma.github.io/Logging_2262/klagomålsmail/A 22050-2025 FSC-klagomål mail.docx", "A 22050-2025")</f>
        <v/>
      </c>
      <c r="X1246">
        <f>HYPERLINK("https://klasma.github.io/Logging_2262/tillsyn/A 22050-2025 tillsynsbegäran.docx", "A 22050-2025")</f>
        <v/>
      </c>
      <c r="Y1246">
        <f>HYPERLINK("https://klasma.github.io/Logging_2262/tillsynsmail/A 22050-2025 tillsynsbegäran mail.docx", "A 22050-2025")</f>
        <v/>
      </c>
    </row>
    <row r="1247" ht="15" customHeight="1">
      <c r="A1247" t="inlineStr">
        <is>
          <t>A 10067-2026</t>
        </is>
      </c>
      <c r="B1247" s="1" t="n">
        <v>46073.6360300926</v>
      </c>
      <c r="C1247" s="1" t="n">
        <v>46093</v>
      </c>
      <c r="D1247" t="inlineStr">
        <is>
          <t>VÄSTERNORRLANDS LÄN</t>
        </is>
      </c>
      <c r="E1247" t="inlineStr">
        <is>
          <t>SOLLEFTEÅ</t>
        </is>
      </c>
      <c r="F1247" t="inlineStr">
        <is>
          <t>SCA</t>
        </is>
      </c>
      <c r="G1247" t="n">
        <v>1.3</v>
      </c>
      <c r="H1247" t="n">
        <v>0</v>
      </c>
      <c r="I1247" t="n">
        <v>0</v>
      </c>
      <c r="J1247" t="n">
        <v>1</v>
      </c>
      <c r="K1247" t="n">
        <v>0</v>
      </c>
      <c r="L1247" t="n">
        <v>0</v>
      </c>
      <c r="M1247" t="n">
        <v>0</v>
      </c>
      <c r="N1247" t="n">
        <v>0</v>
      </c>
      <c r="O1247" t="n">
        <v>1</v>
      </c>
      <c r="P1247" t="n">
        <v>0</v>
      </c>
      <c r="Q1247" t="n">
        <v>1</v>
      </c>
      <c r="R1247" s="2" t="inlineStr">
        <is>
          <t>Ullticka</t>
        </is>
      </c>
      <c r="S1247">
        <f>HYPERLINK("https://klasma.github.io/Logging_2283/artfynd/A 10067-2026 artfynd.xlsx", "A 10067-2026")</f>
        <v/>
      </c>
      <c r="T1247">
        <f>HYPERLINK("https://klasma.github.io/Logging_2283/kartor/A 10067-2026 karta.png", "A 10067-2026")</f>
        <v/>
      </c>
      <c r="V1247">
        <f>HYPERLINK("https://klasma.github.io/Logging_2283/klagomål/A 10067-2026 FSC-klagomål.docx", "A 10067-2026")</f>
        <v/>
      </c>
      <c r="W1247">
        <f>HYPERLINK("https://klasma.github.io/Logging_2283/klagomålsmail/A 10067-2026 FSC-klagomål mail.docx", "A 10067-2026")</f>
        <v/>
      </c>
      <c r="X1247">
        <f>HYPERLINK("https://klasma.github.io/Logging_2283/tillsyn/A 10067-2026 tillsynsbegäran.docx", "A 10067-2026")</f>
        <v/>
      </c>
      <c r="Y1247">
        <f>HYPERLINK("https://klasma.github.io/Logging_2283/tillsynsmail/A 10067-2026 tillsynsbegäran mail.docx", "A 10067-2026")</f>
        <v/>
      </c>
    </row>
    <row r="1248" ht="15" customHeight="1">
      <c r="A1248" t="inlineStr">
        <is>
          <t>A 22212-2025</t>
        </is>
      </c>
      <c r="B1248" s="1" t="n">
        <v>45785.65763888889</v>
      </c>
      <c r="C1248" s="1" t="n">
        <v>46093</v>
      </c>
      <c r="D1248" t="inlineStr">
        <is>
          <t>VÄSTERNORRLANDS LÄN</t>
        </is>
      </c>
      <c r="E1248" t="inlineStr">
        <is>
          <t>TIMRÅ</t>
        </is>
      </c>
      <c r="F1248" t="inlineStr">
        <is>
          <t>SCA</t>
        </is>
      </c>
      <c r="G1248" t="n">
        <v>6.9</v>
      </c>
      <c r="H1248" t="n">
        <v>0</v>
      </c>
      <c r="I1248" t="n">
        <v>0</v>
      </c>
      <c r="J1248" t="n">
        <v>1</v>
      </c>
      <c r="K1248" t="n">
        <v>0</v>
      </c>
      <c r="L1248" t="n">
        <v>0</v>
      </c>
      <c r="M1248" t="n">
        <v>0</v>
      </c>
      <c r="N1248" t="n">
        <v>0</v>
      </c>
      <c r="O1248" t="n">
        <v>1</v>
      </c>
      <c r="P1248" t="n">
        <v>0</v>
      </c>
      <c r="Q1248" t="n">
        <v>1</v>
      </c>
      <c r="R1248" s="2" t="inlineStr">
        <is>
          <t>Ullticka</t>
        </is>
      </c>
      <c r="S1248">
        <f>HYPERLINK("https://klasma.github.io/Logging_2262/artfynd/A 22212-2025 artfynd.xlsx", "A 22212-2025")</f>
        <v/>
      </c>
      <c r="T1248">
        <f>HYPERLINK("https://klasma.github.io/Logging_2262/kartor/A 22212-2025 karta.png", "A 22212-2025")</f>
        <v/>
      </c>
      <c r="V1248">
        <f>HYPERLINK("https://klasma.github.io/Logging_2262/klagomål/A 22212-2025 FSC-klagomål.docx", "A 22212-2025")</f>
        <v/>
      </c>
      <c r="W1248">
        <f>HYPERLINK("https://klasma.github.io/Logging_2262/klagomålsmail/A 22212-2025 FSC-klagomål mail.docx", "A 22212-2025")</f>
        <v/>
      </c>
      <c r="X1248">
        <f>HYPERLINK("https://klasma.github.io/Logging_2262/tillsyn/A 22212-2025 tillsynsbegäran.docx", "A 22212-2025")</f>
        <v/>
      </c>
      <c r="Y1248">
        <f>HYPERLINK("https://klasma.github.io/Logging_2262/tillsynsmail/A 22212-2025 tillsynsbegäran mail.docx", "A 22212-2025")</f>
        <v/>
      </c>
    </row>
    <row r="1249" ht="15" customHeight="1">
      <c r="A1249" t="inlineStr">
        <is>
          <t>A 12753-2022</t>
        </is>
      </c>
      <c r="B1249" s="1" t="n">
        <v>44641</v>
      </c>
      <c r="C1249" s="1" t="n">
        <v>46093</v>
      </c>
      <c r="D1249" t="inlineStr">
        <is>
          <t>VÄSTERNORRLANDS LÄN</t>
        </is>
      </c>
      <c r="E1249" t="inlineStr">
        <is>
          <t>TIMRÅ</t>
        </is>
      </c>
      <c r="G1249" t="n">
        <v>1.6</v>
      </c>
      <c r="H1249" t="n">
        <v>0</v>
      </c>
      <c r="I1249" t="n">
        <v>1</v>
      </c>
      <c r="J1249" t="n">
        <v>0</v>
      </c>
      <c r="K1249" t="n">
        <v>0</v>
      </c>
      <c r="L1249" t="n">
        <v>0</v>
      </c>
      <c r="M1249" t="n">
        <v>0</v>
      </c>
      <c r="N1249" t="n">
        <v>0</v>
      </c>
      <c r="O1249" t="n">
        <v>0</v>
      </c>
      <c r="P1249" t="n">
        <v>0</v>
      </c>
      <c r="Q1249" t="n">
        <v>1</v>
      </c>
      <c r="R1249" s="2" t="inlineStr">
        <is>
          <t>Strutbräken</t>
        </is>
      </c>
      <c r="S1249">
        <f>HYPERLINK("https://klasma.github.io/Logging_2262/artfynd/A 12753-2022 artfynd.xlsx", "A 12753-2022")</f>
        <v/>
      </c>
      <c r="T1249">
        <f>HYPERLINK("https://klasma.github.io/Logging_2262/kartor/A 12753-2022 karta.png", "A 12753-2022")</f>
        <v/>
      </c>
      <c r="V1249">
        <f>HYPERLINK("https://klasma.github.io/Logging_2262/klagomål/A 12753-2022 FSC-klagomål.docx", "A 12753-2022")</f>
        <v/>
      </c>
      <c r="W1249">
        <f>HYPERLINK("https://klasma.github.io/Logging_2262/klagomålsmail/A 12753-2022 FSC-klagomål mail.docx", "A 12753-2022")</f>
        <v/>
      </c>
      <c r="X1249">
        <f>HYPERLINK("https://klasma.github.io/Logging_2262/tillsyn/A 12753-2022 tillsynsbegäran.docx", "A 12753-2022")</f>
        <v/>
      </c>
      <c r="Y1249">
        <f>HYPERLINK("https://klasma.github.io/Logging_2262/tillsynsmail/A 12753-2022 tillsynsbegäran mail.docx", "A 12753-2022")</f>
        <v/>
      </c>
    </row>
    <row r="1250" ht="15" customHeight="1">
      <c r="A1250" t="inlineStr">
        <is>
          <t>A 10793-2026</t>
        </is>
      </c>
      <c r="B1250" s="1" t="n">
        <v>46078.59078703704</v>
      </c>
      <c r="C1250" s="1" t="n">
        <v>46093</v>
      </c>
      <c r="D1250" t="inlineStr">
        <is>
          <t>VÄSTERNORRLANDS LÄN</t>
        </is>
      </c>
      <c r="E1250" t="inlineStr">
        <is>
          <t>SOLLEFTEÅ</t>
        </is>
      </c>
      <c r="G1250" t="n">
        <v>1.5</v>
      </c>
      <c r="H1250" t="n">
        <v>0</v>
      </c>
      <c r="I1250" t="n">
        <v>0</v>
      </c>
      <c r="J1250" t="n">
        <v>1</v>
      </c>
      <c r="K1250" t="n">
        <v>0</v>
      </c>
      <c r="L1250" t="n">
        <v>0</v>
      </c>
      <c r="M1250" t="n">
        <v>0</v>
      </c>
      <c r="N1250" t="n">
        <v>0</v>
      </c>
      <c r="O1250" t="n">
        <v>1</v>
      </c>
      <c r="P1250" t="n">
        <v>0</v>
      </c>
      <c r="Q1250" t="n">
        <v>1</v>
      </c>
      <c r="R1250" s="2" t="inlineStr">
        <is>
          <t>Garnlav</t>
        </is>
      </c>
      <c r="S1250">
        <f>HYPERLINK("https://klasma.github.io/Logging_2283/artfynd/A 10793-2026 artfynd.xlsx", "A 10793-2026")</f>
        <v/>
      </c>
      <c r="T1250">
        <f>HYPERLINK("https://klasma.github.io/Logging_2283/kartor/A 10793-2026 karta.png", "A 10793-2026")</f>
        <v/>
      </c>
      <c r="V1250">
        <f>HYPERLINK("https://klasma.github.io/Logging_2283/klagomål/A 10793-2026 FSC-klagomål.docx", "A 10793-2026")</f>
        <v/>
      </c>
      <c r="W1250">
        <f>HYPERLINK("https://klasma.github.io/Logging_2283/klagomålsmail/A 10793-2026 FSC-klagomål mail.docx", "A 10793-2026")</f>
        <v/>
      </c>
      <c r="X1250">
        <f>HYPERLINK("https://klasma.github.io/Logging_2283/tillsyn/A 10793-2026 tillsynsbegäran.docx", "A 10793-2026")</f>
        <v/>
      </c>
      <c r="Y1250">
        <f>HYPERLINK("https://klasma.github.io/Logging_2283/tillsynsmail/A 10793-2026 tillsynsbegäran mail.docx", "A 10793-2026")</f>
        <v/>
      </c>
    </row>
    <row r="1251" ht="15" customHeight="1">
      <c r="A1251" t="inlineStr">
        <is>
          <t>A 2167-2026</t>
        </is>
      </c>
      <c r="B1251" s="1" t="n">
        <v>46036</v>
      </c>
      <c r="C1251" s="1" t="n">
        <v>46093</v>
      </c>
      <c r="D1251" t="inlineStr">
        <is>
          <t>VÄSTERNORRLANDS LÄN</t>
        </is>
      </c>
      <c r="E1251" t="inlineStr">
        <is>
          <t>KRAMFORS</t>
        </is>
      </c>
      <c r="G1251" t="n">
        <v>0.8</v>
      </c>
      <c r="H1251" t="n">
        <v>1</v>
      </c>
      <c r="I1251" t="n">
        <v>0</v>
      </c>
      <c r="J1251" t="n">
        <v>0</v>
      </c>
      <c r="K1251" t="n">
        <v>0</v>
      </c>
      <c r="L1251" t="n">
        <v>0</v>
      </c>
      <c r="M1251" t="n">
        <v>0</v>
      </c>
      <c r="N1251" t="n">
        <v>0</v>
      </c>
      <c r="O1251" t="n">
        <v>0</v>
      </c>
      <c r="P1251" t="n">
        <v>0</v>
      </c>
      <c r="Q1251" t="n">
        <v>1</v>
      </c>
      <c r="R1251" s="2" t="inlineStr">
        <is>
          <t>Blåsippa</t>
        </is>
      </c>
      <c r="S1251">
        <f>HYPERLINK("https://klasma.github.io/Logging_2282/artfynd/A 2167-2026 artfynd.xlsx", "A 2167-2026")</f>
        <v/>
      </c>
      <c r="T1251">
        <f>HYPERLINK("https://klasma.github.io/Logging_2282/kartor/A 2167-2026 karta.png", "A 2167-2026")</f>
        <v/>
      </c>
      <c r="V1251">
        <f>HYPERLINK("https://klasma.github.io/Logging_2282/klagomål/A 2167-2026 FSC-klagomål.docx", "A 2167-2026")</f>
        <v/>
      </c>
      <c r="W1251">
        <f>HYPERLINK("https://klasma.github.io/Logging_2282/klagomålsmail/A 2167-2026 FSC-klagomål mail.docx", "A 2167-2026")</f>
        <v/>
      </c>
      <c r="X1251">
        <f>HYPERLINK("https://klasma.github.io/Logging_2282/tillsyn/A 2167-2026 tillsynsbegäran.docx", "A 2167-2026")</f>
        <v/>
      </c>
      <c r="Y1251">
        <f>HYPERLINK("https://klasma.github.io/Logging_2282/tillsynsmail/A 2167-2026 tillsynsbegäran mail.docx", "A 2167-2026")</f>
        <v/>
      </c>
    </row>
    <row r="1252" ht="15" customHeight="1">
      <c r="A1252" t="inlineStr">
        <is>
          <t>A 27901-2024</t>
        </is>
      </c>
      <c r="B1252" s="1" t="n">
        <v>45475.92859953704</v>
      </c>
      <c r="C1252" s="1" t="n">
        <v>46093</v>
      </c>
      <c r="D1252" t="inlineStr">
        <is>
          <t>VÄSTERNORRLANDS LÄN</t>
        </is>
      </c>
      <c r="E1252" t="inlineStr">
        <is>
          <t>SOLLEFTEÅ</t>
        </is>
      </c>
      <c r="G1252" t="n">
        <v>12.7</v>
      </c>
      <c r="H1252" t="n">
        <v>0</v>
      </c>
      <c r="I1252" t="n">
        <v>0</v>
      </c>
      <c r="J1252" t="n">
        <v>1</v>
      </c>
      <c r="K1252" t="n">
        <v>0</v>
      </c>
      <c r="L1252" t="n">
        <v>0</v>
      </c>
      <c r="M1252" t="n">
        <v>0</v>
      </c>
      <c r="N1252" t="n">
        <v>0</v>
      </c>
      <c r="O1252" t="n">
        <v>1</v>
      </c>
      <c r="P1252" t="n">
        <v>0</v>
      </c>
      <c r="Q1252" t="n">
        <v>1</v>
      </c>
      <c r="R1252" s="2" t="inlineStr">
        <is>
          <t>Garnlav</t>
        </is>
      </c>
      <c r="S1252">
        <f>HYPERLINK("https://klasma.github.io/Logging_2283/artfynd/A 27901-2024 artfynd.xlsx", "A 27901-2024")</f>
        <v/>
      </c>
      <c r="T1252">
        <f>HYPERLINK("https://klasma.github.io/Logging_2283/kartor/A 27901-2024 karta.png", "A 27901-2024")</f>
        <v/>
      </c>
      <c r="V1252">
        <f>HYPERLINK("https://klasma.github.io/Logging_2283/klagomål/A 27901-2024 FSC-klagomål.docx", "A 27901-2024")</f>
        <v/>
      </c>
      <c r="W1252">
        <f>HYPERLINK("https://klasma.github.io/Logging_2283/klagomålsmail/A 27901-2024 FSC-klagomål mail.docx", "A 27901-2024")</f>
        <v/>
      </c>
      <c r="X1252">
        <f>HYPERLINK("https://klasma.github.io/Logging_2283/tillsyn/A 27901-2024 tillsynsbegäran.docx", "A 27901-2024")</f>
        <v/>
      </c>
      <c r="Y1252">
        <f>HYPERLINK("https://klasma.github.io/Logging_2283/tillsynsmail/A 27901-2024 tillsynsbegäran mail.docx", "A 27901-2024")</f>
        <v/>
      </c>
    </row>
    <row r="1253" ht="15" customHeight="1">
      <c r="A1253" t="inlineStr">
        <is>
          <t>A 22345-2025</t>
        </is>
      </c>
      <c r="B1253" s="1" t="n">
        <v>45786.44869212963</v>
      </c>
      <c r="C1253" s="1" t="n">
        <v>46093</v>
      </c>
      <c r="D1253" t="inlineStr">
        <is>
          <t>VÄSTERNORRLANDS LÄN</t>
        </is>
      </c>
      <c r="E1253" t="inlineStr">
        <is>
          <t>SOLLEFTEÅ</t>
        </is>
      </c>
      <c r="F1253" t="inlineStr">
        <is>
          <t>SCA</t>
        </is>
      </c>
      <c r="G1253" t="n">
        <v>7.2</v>
      </c>
      <c r="H1253" t="n">
        <v>0</v>
      </c>
      <c r="I1253" t="n">
        <v>0</v>
      </c>
      <c r="J1253" t="n">
        <v>1</v>
      </c>
      <c r="K1253" t="n">
        <v>0</v>
      </c>
      <c r="L1253" t="n">
        <v>0</v>
      </c>
      <c r="M1253" t="n">
        <v>0</v>
      </c>
      <c r="N1253" t="n">
        <v>0</v>
      </c>
      <c r="O1253" t="n">
        <v>1</v>
      </c>
      <c r="P1253" t="n">
        <v>0</v>
      </c>
      <c r="Q1253" t="n">
        <v>1</v>
      </c>
      <c r="R1253" s="2" t="inlineStr">
        <is>
          <t>Gammelgransskål</t>
        </is>
      </c>
      <c r="S1253">
        <f>HYPERLINK("https://klasma.github.io/Logging_2283/artfynd/A 22345-2025 artfynd.xlsx", "A 22345-2025")</f>
        <v/>
      </c>
      <c r="T1253">
        <f>HYPERLINK("https://klasma.github.io/Logging_2283/kartor/A 22345-2025 karta.png", "A 22345-2025")</f>
        <v/>
      </c>
      <c r="V1253">
        <f>HYPERLINK("https://klasma.github.io/Logging_2283/klagomål/A 22345-2025 FSC-klagomål.docx", "A 22345-2025")</f>
        <v/>
      </c>
      <c r="W1253">
        <f>HYPERLINK("https://klasma.github.io/Logging_2283/klagomålsmail/A 22345-2025 FSC-klagomål mail.docx", "A 22345-2025")</f>
        <v/>
      </c>
      <c r="X1253">
        <f>HYPERLINK("https://klasma.github.io/Logging_2283/tillsyn/A 22345-2025 tillsynsbegäran.docx", "A 22345-2025")</f>
        <v/>
      </c>
      <c r="Y1253">
        <f>HYPERLINK("https://klasma.github.io/Logging_2283/tillsynsmail/A 22345-2025 tillsynsbegäran mail.docx", "A 22345-2025")</f>
        <v/>
      </c>
    </row>
    <row r="1254" ht="15" customHeight="1">
      <c r="A1254" t="inlineStr">
        <is>
          <t>A 1924-2026</t>
        </is>
      </c>
      <c r="B1254" s="1" t="n">
        <v>46035</v>
      </c>
      <c r="C1254" s="1" t="n">
        <v>46093</v>
      </c>
      <c r="D1254" t="inlineStr">
        <is>
          <t>VÄSTERNORRLANDS LÄN</t>
        </is>
      </c>
      <c r="E1254" t="inlineStr">
        <is>
          <t>SUNDSVALL</t>
        </is>
      </c>
      <c r="G1254" t="n">
        <v>7</v>
      </c>
      <c r="H1254" t="n">
        <v>1</v>
      </c>
      <c r="I1254" t="n">
        <v>0</v>
      </c>
      <c r="J1254" t="n">
        <v>1</v>
      </c>
      <c r="K1254" t="n">
        <v>0</v>
      </c>
      <c r="L1254" t="n">
        <v>0</v>
      </c>
      <c r="M1254" t="n">
        <v>0</v>
      </c>
      <c r="N1254" t="n">
        <v>0</v>
      </c>
      <c r="O1254" t="n">
        <v>1</v>
      </c>
      <c r="P1254" t="n">
        <v>0</v>
      </c>
      <c r="Q1254" t="n">
        <v>1</v>
      </c>
      <c r="R1254" s="2" t="inlineStr">
        <is>
          <t>Spillkråka</t>
        </is>
      </c>
      <c r="S1254">
        <f>HYPERLINK("https://klasma.github.io/Logging_2281/artfynd/A 1924-2026 artfynd.xlsx", "A 1924-2026")</f>
        <v/>
      </c>
      <c r="T1254">
        <f>HYPERLINK("https://klasma.github.io/Logging_2281/kartor/A 1924-2026 karta.png", "A 1924-2026")</f>
        <v/>
      </c>
      <c r="V1254">
        <f>HYPERLINK("https://klasma.github.io/Logging_2281/klagomål/A 1924-2026 FSC-klagomål.docx", "A 1924-2026")</f>
        <v/>
      </c>
      <c r="W1254">
        <f>HYPERLINK("https://klasma.github.io/Logging_2281/klagomålsmail/A 1924-2026 FSC-klagomål mail.docx", "A 1924-2026")</f>
        <v/>
      </c>
      <c r="X1254">
        <f>HYPERLINK("https://klasma.github.io/Logging_2281/tillsyn/A 1924-2026 tillsynsbegäran.docx", "A 1924-2026")</f>
        <v/>
      </c>
      <c r="Y1254">
        <f>HYPERLINK("https://klasma.github.io/Logging_2281/tillsynsmail/A 1924-2026 tillsynsbegäran mail.docx", "A 1924-2026")</f>
        <v/>
      </c>
      <c r="Z1254">
        <f>HYPERLINK("https://klasma.github.io/Logging_2281/fåglar/A 1924-2026 prioriterade fågelarter.docx", "A 1924-2026")</f>
        <v/>
      </c>
    </row>
    <row r="1255" ht="15" customHeight="1">
      <c r="A1255" t="inlineStr">
        <is>
          <t>A 22897-2025</t>
        </is>
      </c>
      <c r="B1255" s="1" t="n">
        <v>45790</v>
      </c>
      <c r="C1255" s="1" t="n">
        <v>46093</v>
      </c>
      <c r="D1255" t="inlineStr">
        <is>
          <t>VÄSTERNORRLANDS LÄN</t>
        </is>
      </c>
      <c r="E1255" t="inlineStr">
        <is>
          <t>TIMRÅ</t>
        </is>
      </c>
      <c r="F1255" t="inlineStr">
        <is>
          <t>SCA</t>
        </is>
      </c>
      <c r="G1255" t="n">
        <v>6.2</v>
      </c>
      <c r="H1255" t="n">
        <v>0</v>
      </c>
      <c r="I1255" t="n">
        <v>0</v>
      </c>
      <c r="J1255" t="n">
        <v>1</v>
      </c>
      <c r="K1255" t="n">
        <v>0</v>
      </c>
      <c r="L1255" t="n">
        <v>0</v>
      </c>
      <c r="M1255" t="n">
        <v>0</v>
      </c>
      <c r="N1255" t="n">
        <v>0</v>
      </c>
      <c r="O1255" t="n">
        <v>1</v>
      </c>
      <c r="P1255" t="n">
        <v>0</v>
      </c>
      <c r="Q1255" t="n">
        <v>1</v>
      </c>
      <c r="R1255" s="2" t="inlineStr">
        <is>
          <t>Garnlav</t>
        </is>
      </c>
      <c r="S1255">
        <f>HYPERLINK("https://klasma.github.io/Logging_2262/artfynd/A 22897-2025 artfynd.xlsx", "A 22897-2025")</f>
        <v/>
      </c>
      <c r="T1255">
        <f>HYPERLINK("https://klasma.github.io/Logging_2262/kartor/A 22897-2025 karta.png", "A 22897-2025")</f>
        <v/>
      </c>
      <c r="V1255">
        <f>HYPERLINK("https://klasma.github.io/Logging_2262/klagomål/A 22897-2025 FSC-klagomål.docx", "A 22897-2025")</f>
        <v/>
      </c>
      <c r="W1255">
        <f>HYPERLINK("https://klasma.github.io/Logging_2262/klagomålsmail/A 22897-2025 FSC-klagomål mail.docx", "A 22897-2025")</f>
        <v/>
      </c>
      <c r="X1255">
        <f>HYPERLINK("https://klasma.github.io/Logging_2262/tillsyn/A 22897-2025 tillsynsbegäran.docx", "A 22897-2025")</f>
        <v/>
      </c>
      <c r="Y1255">
        <f>HYPERLINK("https://klasma.github.io/Logging_2262/tillsynsmail/A 22897-2025 tillsynsbegäran mail.docx", "A 22897-2025")</f>
        <v/>
      </c>
    </row>
    <row r="1256" ht="15" customHeight="1">
      <c r="A1256" t="inlineStr">
        <is>
          <t>A 22768-2025</t>
        </is>
      </c>
      <c r="B1256" s="1" t="n">
        <v>45789.63329861111</v>
      </c>
      <c r="C1256" s="1" t="n">
        <v>46093</v>
      </c>
      <c r="D1256" t="inlineStr">
        <is>
          <t>VÄSTERNORRLANDS LÄN</t>
        </is>
      </c>
      <c r="E1256" t="inlineStr">
        <is>
          <t>SOLLEFTEÅ</t>
        </is>
      </c>
      <c r="G1256" t="n">
        <v>1.9</v>
      </c>
      <c r="H1256" t="n">
        <v>0</v>
      </c>
      <c r="I1256" t="n">
        <v>0</v>
      </c>
      <c r="J1256" t="n">
        <v>1</v>
      </c>
      <c r="K1256" t="n">
        <v>0</v>
      </c>
      <c r="L1256" t="n">
        <v>0</v>
      </c>
      <c r="M1256" t="n">
        <v>0</v>
      </c>
      <c r="N1256" t="n">
        <v>0</v>
      </c>
      <c r="O1256" t="n">
        <v>1</v>
      </c>
      <c r="P1256" t="n">
        <v>0</v>
      </c>
      <c r="Q1256" t="n">
        <v>1</v>
      </c>
      <c r="R1256" s="2" t="inlineStr">
        <is>
          <t>Granticka</t>
        </is>
      </c>
      <c r="S1256">
        <f>HYPERLINK("https://klasma.github.io/Logging_2283/artfynd/A 22768-2025 artfynd.xlsx", "A 22768-2025")</f>
        <v/>
      </c>
      <c r="T1256">
        <f>HYPERLINK("https://klasma.github.io/Logging_2283/kartor/A 22768-2025 karta.png", "A 22768-2025")</f>
        <v/>
      </c>
      <c r="V1256">
        <f>HYPERLINK("https://klasma.github.io/Logging_2283/klagomål/A 22768-2025 FSC-klagomål.docx", "A 22768-2025")</f>
        <v/>
      </c>
      <c r="W1256">
        <f>HYPERLINK("https://klasma.github.io/Logging_2283/klagomålsmail/A 22768-2025 FSC-klagomål mail.docx", "A 22768-2025")</f>
        <v/>
      </c>
      <c r="X1256">
        <f>HYPERLINK("https://klasma.github.io/Logging_2283/tillsyn/A 22768-2025 tillsynsbegäran.docx", "A 22768-2025")</f>
        <v/>
      </c>
      <c r="Y1256">
        <f>HYPERLINK("https://klasma.github.io/Logging_2283/tillsynsmail/A 22768-2025 tillsynsbegäran mail.docx", "A 22768-2025")</f>
        <v/>
      </c>
    </row>
    <row r="1257" ht="15" customHeight="1">
      <c r="A1257" t="inlineStr">
        <is>
          <t>A 8998-2024</t>
        </is>
      </c>
      <c r="B1257" s="1" t="n">
        <v>45356</v>
      </c>
      <c r="C1257" s="1" t="n">
        <v>46093</v>
      </c>
      <c r="D1257" t="inlineStr">
        <is>
          <t>VÄSTERNORRLANDS LÄN</t>
        </is>
      </c>
      <c r="E1257" t="inlineStr">
        <is>
          <t>TIMRÅ</t>
        </is>
      </c>
      <c r="G1257" t="n">
        <v>2.1</v>
      </c>
      <c r="H1257" t="n">
        <v>0</v>
      </c>
      <c r="I1257" t="n">
        <v>1</v>
      </c>
      <c r="J1257" t="n">
        <v>0</v>
      </c>
      <c r="K1257" t="n">
        <v>0</v>
      </c>
      <c r="L1257" t="n">
        <v>0</v>
      </c>
      <c r="M1257" t="n">
        <v>0</v>
      </c>
      <c r="N1257" t="n">
        <v>0</v>
      </c>
      <c r="O1257" t="n">
        <v>0</v>
      </c>
      <c r="P1257" t="n">
        <v>0</v>
      </c>
      <c r="Q1257" t="n">
        <v>1</v>
      </c>
      <c r="R1257" s="2" t="inlineStr">
        <is>
          <t>Strutbräken</t>
        </is>
      </c>
      <c r="S1257">
        <f>HYPERLINK("https://klasma.github.io/Logging_2262/artfynd/A 8998-2024 artfynd.xlsx", "A 8998-2024")</f>
        <v/>
      </c>
      <c r="T1257">
        <f>HYPERLINK("https://klasma.github.io/Logging_2262/kartor/A 8998-2024 karta.png", "A 8998-2024")</f>
        <v/>
      </c>
      <c r="V1257">
        <f>HYPERLINK("https://klasma.github.io/Logging_2262/klagomål/A 8998-2024 FSC-klagomål.docx", "A 8998-2024")</f>
        <v/>
      </c>
      <c r="W1257">
        <f>HYPERLINK("https://klasma.github.io/Logging_2262/klagomålsmail/A 8998-2024 FSC-klagomål mail.docx", "A 8998-2024")</f>
        <v/>
      </c>
      <c r="X1257">
        <f>HYPERLINK("https://klasma.github.io/Logging_2262/tillsyn/A 8998-2024 tillsynsbegäran.docx", "A 8998-2024")</f>
        <v/>
      </c>
      <c r="Y1257">
        <f>HYPERLINK("https://klasma.github.io/Logging_2262/tillsynsmail/A 8998-2024 tillsynsbegäran mail.docx", "A 8998-2024")</f>
        <v/>
      </c>
    </row>
    <row r="1258" ht="15" customHeight="1">
      <c r="A1258" t="inlineStr">
        <is>
          <t>A 7873-2026</t>
        </is>
      </c>
      <c r="B1258" s="1" t="n">
        <v>46062</v>
      </c>
      <c r="C1258" s="1" t="n">
        <v>46093</v>
      </c>
      <c r="D1258" t="inlineStr">
        <is>
          <t>VÄSTERNORRLANDS LÄN</t>
        </is>
      </c>
      <c r="E1258" t="inlineStr">
        <is>
          <t>HÄRNÖSAND</t>
        </is>
      </c>
      <c r="G1258" t="n">
        <v>1.4</v>
      </c>
      <c r="H1258" t="n">
        <v>0</v>
      </c>
      <c r="I1258" t="n">
        <v>0</v>
      </c>
      <c r="J1258" t="n">
        <v>1</v>
      </c>
      <c r="K1258" t="n">
        <v>0</v>
      </c>
      <c r="L1258" t="n">
        <v>0</v>
      </c>
      <c r="M1258" t="n">
        <v>0</v>
      </c>
      <c r="N1258" t="n">
        <v>0</v>
      </c>
      <c r="O1258" t="n">
        <v>1</v>
      </c>
      <c r="P1258" t="n">
        <v>0</v>
      </c>
      <c r="Q1258" t="n">
        <v>1</v>
      </c>
      <c r="R1258" s="2" t="inlineStr">
        <is>
          <t>Granticka</t>
        </is>
      </c>
      <c r="S1258">
        <f>HYPERLINK("https://klasma.github.io/Logging_2280/artfynd/A 7873-2026 artfynd.xlsx", "A 7873-2026")</f>
        <v/>
      </c>
      <c r="T1258">
        <f>HYPERLINK("https://klasma.github.io/Logging_2280/kartor/A 7873-2026 karta.png", "A 7873-2026")</f>
        <v/>
      </c>
      <c r="V1258">
        <f>HYPERLINK("https://klasma.github.io/Logging_2280/klagomål/A 7873-2026 FSC-klagomål.docx", "A 7873-2026")</f>
        <v/>
      </c>
      <c r="W1258">
        <f>HYPERLINK("https://klasma.github.io/Logging_2280/klagomålsmail/A 7873-2026 FSC-klagomål mail.docx", "A 7873-2026")</f>
        <v/>
      </c>
      <c r="X1258">
        <f>HYPERLINK("https://klasma.github.io/Logging_2280/tillsyn/A 7873-2026 tillsynsbegäran.docx", "A 7873-2026")</f>
        <v/>
      </c>
      <c r="Y1258">
        <f>HYPERLINK("https://klasma.github.io/Logging_2280/tillsynsmail/A 7873-2026 tillsynsbegäran mail.docx", "A 7873-2026")</f>
        <v/>
      </c>
    </row>
    <row r="1259" ht="15" customHeight="1">
      <c r="A1259" t="inlineStr">
        <is>
          <t>A 22819-2025</t>
        </is>
      </c>
      <c r="B1259" s="1" t="n">
        <v>45789.71935185185</v>
      </c>
      <c r="C1259" s="1" t="n">
        <v>46093</v>
      </c>
      <c r="D1259" t="inlineStr">
        <is>
          <t>VÄSTERNORRLANDS LÄN</t>
        </is>
      </c>
      <c r="E1259" t="inlineStr">
        <is>
          <t>TIMRÅ</t>
        </is>
      </c>
      <c r="G1259" t="n">
        <v>1.2</v>
      </c>
      <c r="H1259" t="n">
        <v>1</v>
      </c>
      <c r="I1259" t="n">
        <v>0</v>
      </c>
      <c r="J1259" t="n">
        <v>0</v>
      </c>
      <c r="K1259" t="n">
        <v>0</v>
      </c>
      <c r="L1259" t="n">
        <v>0</v>
      </c>
      <c r="M1259" t="n">
        <v>0</v>
      </c>
      <c r="N1259" t="n">
        <v>0</v>
      </c>
      <c r="O1259" t="n">
        <v>0</v>
      </c>
      <c r="P1259" t="n">
        <v>0</v>
      </c>
      <c r="Q1259" t="n">
        <v>1</v>
      </c>
      <c r="R1259" s="2" t="inlineStr">
        <is>
          <t>Orre</t>
        </is>
      </c>
      <c r="S1259">
        <f>HYPERLINK("https://klasma.github.io/Logging_2262/artfynd/A 22819-2025 artfynd.xlsx", "A 22819-2025")</f>
        <v/>
      </c>
      <c r="T1259">
        <f>HYPERLINK("https://klasma.github.io/Logging_2262/kartor/A 22819-2025 karta.png", "A 22819-2025")</f>
        <v/>
      </c>
      <c r="V1259">
        <f>HYPERLINK("https://klasma.github.io/Logging_2262/klagomål/A 22819-2025 FSC-klagomål.docx", "A 22819-2025")</f>
        <v/>
      </c>
      <c r="W1259">
        <f>HYPERLINK("https://klasma.github.io/Logging_2262/klagomålsmail/A 22819-2025 FSC-klagomål mail.docx", "A 22819-2025")</f>
        <v/>
      </c>
      <c r="X1259">
        <f>HYPERLINK("https://klasma.github.io/Logging_2262/tillsyn/A 22819-2025 tillsynsbegäran.docx", "A 22819-2025")</f>
        <v/>
      </c>
      <c r="Y1259">
        <f>HYPERLINK("https://klasma.github.io/Logging_2262/tillsynsmail/A 22819-2025 tillsynsbegäran mail.docx", "A 22819-2025")</f>
        <v/>
      </c>
      <c r="Z1259">
        <f>HYPERLINK("https://klasma.github.io/Logging_2262/fåglar/A 22819-2025 prioriterade fågelarter.docx", "A 22819-2025")</f>
        <v/>
      </c>
    </row>
    <row r="1260" ht="15" customHeight="1">
      <c r="A1260" t="inlineStr">
        <is>
          <t>A 23490-2025</t>
        </is>
      </c>
      <c r="B1260" s="1" t="n">
        <v>45792.46907407408</v>
      </c>
      <c r="C1260" s="1" t="n">
        <v>46093</v>
      </c>
      <c r="D1260" t="inlineStr">
        <is>
          <t>VÄSTERNORRLANDS LÄN</t>
        </is>
      </c>
      <c r="E1260" t="inlineStr">
        <is>
          <t>ÅNGE</t>
        </is>
      </c>
      <c r="F1260" t="inlineStr">
        <is>
          <t>SCA</t>
        </is>
      </c>
      <c r="G1260" t="n">
        <v>3.3</v>
      </c>
      <c r="H1260" t="n">
        <v>0</v>
      </c>
      <c r="I1260" t="n">
        <v>0</v>
      </c>
      <c r="J1260" t="n">
        <v>1</v>
      </c>
      <c r="K1260" t="n">
        <v>0</v>
      </c>
      <c r="L1260" t="n">
        <v>0</v>
      </c>
      <c r="M1260" t="n">
        <v>0</v>
      </c>
      <c r="N1260" t="n">
        <v>0</v>
      </c>
      <c r="O1260" t="n">
        <v>1</v>
      </c>
      <c r="P1260" t="n">
        <v>0</v>
      </c>
      <c r="Q1260" t="n">
        <v>1</v>
      </c>
      <c r="R1260" s="2" t="inlineStr">
        <is>
          <t>Garnlav</t>
        </is>
      </c>
      <c r="S1260">
        <f>HYPERLINK("https://klasma.github.io/Logging_2260/artfynd/A 23490-2025 artfynd.xlsx", "A 23490-2025")</f>
        <v/>
      </c>
      <c r="T1260">
        <f>HYPERLINK("https://klasma.github.io/Logging_2260/kartor/A 23490-2025 karta.png", "A 23490-2025")</f>
        <v/>
      </c>
      <c r="V1260">
        <f>HYPERLINK("https://klasma.github.io/Logging_2260/klagomål/A 23490-2025 FSC-klagomål.docx", "A 23490-2025")</f>
        <v/>
      </c>
      <c r="W1260">
        <f>HYPERLINK("https://klasma.github.io/Logging_2260/klagomålsmail/A 23490-2025 FSC-klagomål mail.docx", "A 23490-2025")</f>
        <v/>
      </c>
      <c r="X1260">
        <f>HYPERLINK("https://klasma.github.io/Logging_2260/tillsyn/A 23490-2025 tillsynsbegäran.docx", "A 23490-2025")</f>
        <v/>
      </c>
      <c r="Y1260">
        <f>HYPERLINK("https://klasma.github.io/Logging_2260/tillsynsmail/A 23490-2025 tillsynsbegäran mail.docx", "A 23490-2025")</f>
        <v/>
      </c>
    </row>
    <row r="1261" ht="15" customHeight="1">
      <c r="A1261" t="inlineStr">
        <is>
          <t>A 23171-2025</t>
        </is>
      </c>
      <c r="B1261" s="1" t="n">
        <v>45791.4278587963</v>
      </c>
      <c r="C1261" s="1" t="n">
        <v>46093</v>
      </c>
      <c r="D1261" t="inlineStr">
        <is>
          <t>VÄSTERNORRLANDS LÄN</t>
        </is>
      </c>
      <c r="E1261" t="inlineStr">
        <is>
          <t>TIMRÅ</t>
        </is>
      </c>
      <c r="F1261" t="inlineStr">
        <is>
          <t>SCA</t>
        </is>
      </c>
      <c r="G1261" t="n">
        <v>3.4</v>
      </c>
      <c r="H1261" t="n">
        <v>0</v>
      </c>
      <c r="I1261" t="n">
        <v>0</v>
      </c>
      <c r="J1261" t="n">
        <v>1</v>
      </c>
      <c r="K1261" t="n">
        <v>0</v>
      </c>
      <c r="L1261" t="n">
        <v>0</v>
      </c>
      <c r="M1261" t="n">
        <v>0</v>
      </c>
      <c r="N1261" t="n">
        <v>0</v>
      </c>
      <c r="O1261" t="n">
        <v>1</v>
      </c>
      <c r="P1261" t="n">
        <v>0</v>
      </c>
      <c r="Q1261" t="n">
        <v>1</v>
      </c>
      <c r="R1261" s="2" t="inlineStr">
        <is>
          <t>Lunglav</t>
        </is>
      </c>
      <c r="S1261">
        <f>HYPERLINK("https://klasma.github.io/Logging_2262/artfynd/A 23171-2025 artfynd.xlsx", "A 23171-2025")</f>
        <v/>
      </c>
      <c r="T1261">
        <f>HYPERLINK("https://klasma.github.io/Logging_2262/kartor/A 23171-2025 karta.png", "A 23171-2025")</f>
        <v/>
      </c>
      <c r="V1261">
        <f>HYPERLINK("https://klasma.github.io/Logging_2262/klagomål/A 23171-2025 FSC-klagomål.docx", "A 23171-2025")</f>
        <v/>
      </c>
      <c r="W1261">
        <f>HYPERLINK("https://klasma.github.io/Logging_2262/klagomålsmail/A 23171-2025 FSC-klagomål mail.docx", "A 23171-2025")</f>
        <v/>
      </c>
      <c r="X1261">
        <f>HYPERLINK("https://klasma.github.io/Logging_2262/tillsyn/A 23171-2025 tillsynsbegäran.docx", "A 23171-2025")</f>
        <v/>
      </c>
      <c r="Y1261">
        <f>HYPERLINK("https://klasma.github.io/Logging_2262/tillsynsmail/A 23171-2025 tillsynsbegäran mail.docx", "A 23171-2025")</f>
        <v/>
      </c>
    </row>
    <row r="1262" ht="15" customHeight="1">
      <c r="A1262" t="inlineStr">
        <is>
          <t>A 24431-2025</t>
        </is>
      </c>
      <c r="B1262" s="1" t="n">
        <v>45797</v>
      </c>
      <c r="C1262" s="1" t="n">
        <v>46093</v>
      </c>
      <c r="D1262" t="inlineStr">
        <is>
          <t>VÄSTERNORRLANDS LÄN</t>
        </is>
      </c>
      <c r="E1262" t="inlineStr">
        <is>
          <t>SUNDSVALL</t>
        </is>
      </c>
      <c r="F1262" t="inlineStr">
        <is>
          <t>SCA</t>
        </is>
      </c>
      <c r="G1262" t="n">
        <v>2.3</v>
      </c>
      <c r="H1262" t="n">
        <v>1</v>
      </c>
      <c r="I1262" t="n">
        <v>0</v>
      </c>
      <c r="J1262" t="n">
        <v>1</v>
      </c>
      <c r="K1262" t="n">
        <v>0</v>
      </c>
      <c r="L1262" t="n">
        <v>0</v>
      </c>
      <c r="M1262" t="n">
        <v>0</v>
      </c>
      <c r="N1262" t="n">
        <v>0</v>
      </c>
      <c r="O1262" t="n">
        <v>1</v>
      </c>
      <c r="P1262" t="n">
        <v>0</v>
      </c>
      <c r="Q1262" t="n">
        <v>1</v>
      </c>
      <c r="R1262" s="2" t="inlineStr">
        <is>
          <t>Tretåig hackspett</t>
        </is>
      </c>
      <c r="S1262">
        <f>HYPERLINK("https://klasma.github.io/Logging_2281/artfynd/A 24431-2025 artfynd.xlsx", "A 24431-2025")</f>
        <v/>
      </c>
      <c r="T1262">
        <f>HYPERLINK("https://klasma.github.io/Logging_2281/kartor/A 24431-2025 karta.png", "A 24431-2025")</f>
        <v/>
      </c>
      <c r="V1262">
        <f>HYPERLINK("https://klasma.github.io/Logging_2281/klagomål/A 24431-2025 FSC-klagomål.docx", "A 24431-2025")</f>
        <v/>
      </c>
      <c r="W1262">
        <f>HYPERLINK("https://klasma.github.io/Logging_2281/klagomålsmail/A 24431-2025 FSC-klagomål mail.docx", "A 24431-2025")</f>
        <v/>
      </c>
      <c r="X1262">
        <f>HYPERLINK("https://klasma.github.io/Logging_2281/tillsyn/A 24431-2025 tillsynsbegäran.docx", "A 24431-2025")</f>
        <v/>
      </c>
      <c r="Y1262">
        <f>HYPERLINK("https://klasma.github.io/Logging_2281/tillsynsmail/A 24431-2025 tillsynsbegäran mail.docx", "A 24431-2025")</f>
        <v/>
      </c>
      <c r="Z1262">
        <f>HYPERLINK("https://klasma.github.io/Logging_2281/fåglar/A 24431-2025 prioriterade fågelarter.docx", "A 24431-2025")</f>
        <v/>
      </c>
    </row>
    <row r="1263" ht="15" customHeight="1">
      <c r="A1263" t="inlineStr">
        <is>
          <t>A 23159-2025</t>
        </is>
      </c>
      <c r="B1263" s="1" t="n">
        <v>45791.40748842592</v>
      </c>
      <c r="C1263" s="1" t="n">
        <v>46093</v>
      </c>
      <c r="D1263" t="inlineStr">
        <is>
          <t>VÄSTERNORRLANDS LÄN</t>
        </is>
      </c>
      <c r="E1263" t="inlineStr">
        <is>
          <t>TIMRÅ</t>
        </is>
      </c>
      <c r="F1263" t="inlineStr">
        <is>
          <t>SCA</t>
        </is>
      </c>
      <c r="G1263" t="n">
        <v>1.1</v>
      </c>
      <c r="H1263" t="n">
        <v>1</v>
      </c>
      <c r="I1263" t="n">
        <v>0</v>
      </c>
      <c r="J1263" t="n">
        <v>0</v>
      </c>
      <c r="K1263" t="n">
        <v>0</v>
      </c>
      <c r="L1263" t="n">
        <v>0</v>
      </c>
      <c r="M1263" t="n">
        <v>0</v>
      </c>
      <c r="N1263" t="n">
        <v>0</v>
      </c>
      <c r="O1263" t="n">
        <v>0</v>
      </c>
      <c r="P1263" t="n">
        <v>0</v>
      </c>
      <c r="Q1263" t="n">
        <v>1</v>
      </c>
      <c r="R1263" s="2" t="inlineStr">
        <is>
          <t>Revlummer</t>
        </is>
      </c>
      <c r="S1263">
        <f>HYPERLINK("https://klasma.github.io/Logging_2262/artfynd/A 23159-2025 artfynd.xlsx", "A 23159-2025")</f>
        <v/>
      </c>
      <c r="T1263">
        <f>HYPERLINK("https://klasma.github.io/Logging_2262/kartor/A 23159-2025 karta.png", "A 23159-2025")</f>
        <v/>
      </c>
      <c r="V1263">
        <f>HYPERLINK("https://klasma.github.io/Logging_2262/klagomål/A 23159-2025 FSC-klagomål.docx", "A 23159-2025")</f>
        <v/>
      </c>
      <c r="W1263">
        <f>HYPERLINK("https://klasma.github.io/Logging_2262/klagomålsmail/A 23159-2025 FSC-klagomål mail.docx", "A 23159-2025")</f>
        <v/>
      </c>
      <c r="X1263">
        <f>HYPERLINK("https://klasma.github.io/Logging_2262/tillsyn/A 23159-2025 tillsynsbegäran.docx", "A 23159-2025")</f>
        <v/>
      </c>
      <c r="Y1263">
        <f>HYPERLINK("https://klasma.github.io/Logging_2262/tillsynsmail/A 23159-2025 tillsynsbegäran mail.docx", "A 23159-2025")</f>
        <v/>
      </c>
    </row>
    <row r="1264" ht="15" customHeight="1">
      <c r="A1264" t="inlineStr">
        <is>
          <t>A 7692-2026</t>
        </is>
      </c>
      <c r="B1264" s="1" t="n">
        <v>46059</v>
      </c>
      <c r="C1264" s="1" t="n">
        <v>46093</v>
      </c>
      <c r="D1264" t="inlineStr">
        <is>
          <t>VÄSTERNORRLANDS LÄN</t>
        </is>
      </c>
      <c r="E1264" t="inlineStr">
        <is>
          <t>TIMRÅ</t>
        </is>
      </c>
      <c r="G1264" t="n">
        <v>2.4</v>
      </c>
      <c r="H1264" t="n">
        <v>0</v>
      </c>
      <c r="I1264" t="n">
        <v>1</v>
      </c>
      <c r="J1264" t="n">
        <v>0</v>
      </c>
      <c r="K1264" t="n">
        <v>0</v>
      </c>
      <c r="L1264" t="n">
        <v>0</v>
      </c>
      <c r="M1264" t="n">
        <v>0</v>
      </c>
      <c r="N1264" t="n">
        <v>0</v>
      </c>
      <c r="O1264" t="n">
        <v>0</v>
      </c>
      <c r="P1264" t="n">
        <v>0</v>
      </c>
      <c r="Q1264" t="n">
        <v>1</v>
      </c>
      <c r="R1264" s="2" t="inlineStr">
        <is>
          <t>Stor aspticka</t>
        </is>
      </c>
      <c r="S1264">
        <f>HYPERLINK("https://klasma.github.io/Logging_2262/artfynd/A 7692-2026 artfynd.xlsx", "A 7692-2026")</f>
        <v/>
      </c>
      <c r="T1264">
        <f>HYPERLINK("https://klasma.github.io/Logging_2262/kartor/A 7692-2026 karta.png", "A 7692-2026")</f>
        <v/>
      </c>
      <c r="V1264">
        <f>HYPERLINK("https://klasma.github.io/Logging_2262/klagomål/A 7692-2026 FSC-klagomål.docx", "A 7692-2026")</f>
        <v/>
      </c>
      <c r="W1264">
        <f>HYPERLINK("https://klasma.github.io/Logging_2262/klagomålsmail/A 7692-2026 FSC-klagomål mail.docx", "A 7692-2026")</f>
        <v/>
      </c>
      <c r="X1264">
        <f>HYPERLINK("https://klasma.github.io/Logging_2262/tillsyn/A 7692-2026 tillsynsbegäran.docx", "A 7692-2026")</f>
        <v/>
      </c>
      <c r="Y1264">
        <f>HYPERLINK("https://klasma.github.io/Logging_2262/tillsynsmail/A 7692-2026 tillsynsbegäran mail.docx", "A 7692-2026")</f>
        <v/>
      </c>
    </row>
    <row r="1265" ht="15" customHeight="1">
      <c r="A1265" t="inlineStr">
        <is>
          <t>A 23283-2025</t>
        </is>
      </c>
      <c r="B1265" s="1" t="n">
        <v>45791.57354166666</v>
      </c>
      <c r="C1265" s="1" t="n">
        <v>46093</v>
      </c>
      <c r="D1265" t="inlineStr">
        <is>
          <t>VÄSTERNORRLANDS LÄN</t>
        </is>
      </c>
      <c r="E1265" t="inlineStr">
        <is>
          <t>TIMRÅ</t>
        </is>
      </c>
      <c r="F1265" t="inlineStr">
        <is>
          <t>SCA</t>
        </is>
      </c>
      <c r="G1265" t="n">
        <v>1.3</v>
      </c>
      <c r="H1265" t="n">
        <v>0</v>
      </c>
      <c r="I1265" t="n">
        <v>0</v>
      </c>
      <c r="J1265" t="n">
        <v>1</v>
      </c>
      <c r="K1265" t="n">
        <v>0</v>
      </c>
      <c r="L1265" t="n">
        <v>0</v>
      </c>
      <c r="M1265" t="n">
        <v>0</v>
      </c>
      <c r="N1265" t="n">
        <v>0</v>
      </c>
      <c r="O1265" t="n">
        <v>1</v>
      </c>
      <c r="P1265" t="n">
        <v>0</v>
      </c>
      <c r="Q1265" t="n">
        <v>1</v>
      </c>
      <c r="R1265" s="2" t="inlineStr">
        <is>
          <t>Lunglav</t>
        </is>
      </c>
      <c r="S1265">
        <f>HYPERLINK("https://klasma.github.io/Logging_2262/artfynd/A 23283-2025 artfynd.xlsx", "A 23283-2025")</f>
        <v/>
      </c>
      <c r="T1265">
        <f>HYPERLINK("https://klasma.github.io/Logging_2262/kartor/A 23283-2025 karta.png", "A 23283-2025")</f>
        <v/>
      </c>
      <c r="V1265">
        <f>HYPERLINK("https://klasma.github.io/Logging_2262/klagomål/A 23283-2025 FSC-klagomål.docx", "A 23283-2025")</f>
        <v/>
      </c>
      <c r="W1265">
        <f>HYPERLINK("https://klasma.github.io/Logging_2262/klagomålsmail/A 23283-2025 FSC-klagomål mail.docx", "A 23283-2025")</f>
        <v/>
      </c>
      <c r="X1265">
        <f>HYPERLINK("https://klasma.github.io/Logging_2262/tillsyn/A 23283-2025 tillsynsbegäran.docx", "A 23283-2025")</f>
        <v/>
      </c>
      <c r="Y1265">
        <f>HYPERLINK("https://klasma.github.io/Logging_2262/tillsynsmail/A 23283-2025 tillsynsbegäran mail.docx", "A 23283-2025")</f>
        <v/>
      </c>
    </row>
    <row r="1266" ht="15" customHeight="1">
      <c r="A1266" t="inlineStr">
        <is>
          <t>A 23708-2025</t>
        </is>
      </c>
      <c r="B1266" s="1" t="n">
        <v>45793.37701388889</v>
      </c>
      <c r="C1266" s="1" t="n">
        <v>46093</v>
      </c>
      <c r="D1266" t="inlineStr">
        <is>
          <t>VÄSTERNORRLANDS LÄN</t>
        </is>
      </c>
      <c r="E1266" t="inlineStr">
        <is>
          <t>ÖRNSKÖLDSVIK</t>
        </is>
      </c>
      <c r="F1266" t="inlineStr">
        <is>
          <t>Holmen skog AB</t>
        </is>
      </c>
      <c r="G1266" t="n">
        <v>2.2</v>
      </c>
      <c r="H1266" t="n">
        <v>0</v>
      </c>
      <c r="I1266" t="n">
        <v>1</v>
      </c>
      <c r="J1266" t="n">
        <v>0</v>
      </c>
      <c r="K1266" t="n">
        <v>0</v>
      </c>
      <c r="L1266" t="n">
        <v>0</v>
      </c>
      <c r="M1266" t="n">
        <v>0</v>
      </c>
      <c r="N1266" t="n">
        <v>0</v>
      </c>
      <c r="O1266" t="n">
        <v>0</v>
      </c>
      <c r="P1266" t="n">
        <v>0</v>
      </c>
      <c r="Q1266" t="n">
        <v>1</v>
      </c>
      <c r="R1266" s="2" t="inlineStr">
        <is>
          <t>Stuplav</t>
        </is>
      </c>
      <c r="S1266">
        <f>HYPERLINK("https://klasma.github.io/Logging_2284/artfynd/A 23708-2025 artfynd.xlsx", "A 23708-2025")</f>
        <v/>
      </c>
      <c r="T1266">
        <f>HYPERLINK("https://klasma.github.io/Logging_2284/kartor/A 23708-2025 karta.png", "A 23708-2025")</f>
        <v/>
      </c>
      <c r="V1266">
        <f>HYPERLINK("https://klasma.github.io/Logging_2284/klagomål/A 23708-2025 FSC-klagomål.docx", "A 23708-2025")</f>
        <v/>
      </c>
      <c r="W1266">
        <f>HYPERLINK("https://klasma.github.io/Logging_2284/klagomålsmail/A 23708-2025 FSC-klagomål mail.docx", "A 23708-2025")</f>
        <v/>
      </c>
      <c r="X1266">
        <f>HYPERLINK("https://klasma.github.io/Logging_2284/tillsyn/A 23708-2025 tillsynsbegäran.docx", "A 23708-2025")</f>
        <v/>
      </c>
      <c r="Y1266">
        <f>HYPERLINK("https://klasma.github.io/Logging_2284/tillsynsmail/A 23708-2025 tillsynsbegäran mail.docx", "A 23708-2025")</f>
        <v/>
      </c>
    </row>
    <row r="1267" ht="15" customHeight="1">
      <c r="A1267" t="inlineStr">
        <is>
          <t>A 3582-2026</t>
        </is>
      </c>
      <c r="B1267" s="1" t="n">
        <v>46042.72751157408</v>
      </c>
      <c r="C1267" s="1" t="n">
        <v>46093</v>
      </c>
      <c r="D1267" t="inlineStr">
        <is>
          <t>VÄSTERNORRLANDS LÄN</t>
        </is>
      </c>
      <c r="E1267" t="inlineStr">
        <is>
          <t>SUNDSVALL</t>
        </is>
      </c>
      <c r="G1267" t="n">
        <v>3.8</v>
      </c>
      <c r="H1267" t="n">
        <v>1</v>
      </c>
      <c r="I1267" t="n">
        <v>0</v>
      </c>
      <c r="J1267" t="n">
        <v>0</v>
      </c>
      <c r="K1267" t="n">
        <v>0</v>
      </c>
      <c r="L1267" t="n">
        <v>0</v>
      </c>
      <c r="M1267" t="n">
        <v>0</v>
      </c>
      <c r="N1267" t="n">
        <v>0</v>
      </c>
      <c r="O1267" t="n">
        <v>0</v>
      </c>
      <c r="P1267" t="n">
        <v>0</v>
      </c>
      <c r="Q1267" t="n">
        <v>1</v>
      </c>
      <c r="R1267" s="2" t="inlineStr">
        <is>
          <t>Nattviol</t>
        </is>
      </c>
      <c r="S1267">
        <f>HYPERLINK("https://klasma.github.io/Logging_2281/artfynd/A 3582-2026 artfynd.xlsx", "A 3582-2026")</f>
        <v/>
      </c>
      <c r="T1267">
        <f>HYPERLINK("https://klasma.github.io/Logging_2281/kartor/A 3582-2026 karta.png", "A 3582-2026")</f>
        <v/>
      </c>
      <c r="V1267">
        <f>HYPERLINK("https://klasma.github.io/Logging_2281/klagomål/A 3582-2026 FSC-klagomål.docx", "A 3582-2026")</f>
        <v/>
      </c>
      <c r="W1267">
        <f>HYPERLINK("https://klasma.github.io/Logging_2281/klagomålsmail/A 3582-2026 FSC-klagomål mail.docx", "A 3582-2026")</f>
        <v/>
      </c>
      <c r="X1267">
        <f>HYPERLINK("https://klasma.github.io/Logging_2281/tillsyn/A 3582-2026 tillsynsbegäran.docx", "A 3582-2026")</f>
        <v/>
      </c>
      <c r="Y1267">
        <f>HYPERLINK("https://klasma.github.io/Logging_2281/tillsynsmail/A 3582-2026 tillsynsbegäran mail.docx", "A 3582-2026")</f>
        <v/>
      </c>
    </row>
    <row r="1268" ht="15" customHeight="1">
      <c r="A1268" t="inlineStr">
        <is>
          <t>A 1152-2024</t>
        </is>
      </c>
      <c r="B1268" s="1" t="n">
        <v>45302</v>
      </c>
      <c r="C1268" s="1" t="n">
        <v>46093</v>
      </c>
      <c r="D1268" t="inlineStr">
        <is>
          <t>VÄSTERNORRLANDS LÄN</t>
        </is>
      </c>
      <c r="E1268" t="inlineStr">
        <is>
          <t>TIMRÅ</t>
        </is>
      </c>
      <c r="G1268" t="n">
        <v>5.8</v>
      </c>
      <c r="H1268" t="n">
        <v>0</v>
      </c>
      <c r="I1268" t="n">
        <v>1</v>
      </c>
      <c r="J1268" t="n">
        <v>0</v>
      </c>
      <c r="K1268" t="n">
        <v>0</v>
      </c>
      <c r="L1268" t="n">
        <v>0</v>
      </c>
      <c r="M1268" t="n">
        <v>0</v>
      </c>
      <c r="N1268" t="n">
        <v>0</v>
      </c>
      <c r="O1268" t="n">
        <v>0</v>
      </c>
      <c r="P1268" t="n">
        <v>0</v>
      </c>
      <c r="Q1268" t="n">
        <v>1</v>
      </c>
      <c r="R1268" s="2" t="inlineStr">
        <is>
          <t>Tibast</t>
        </is>
      </c>
      <c r="S1268">
        <f>HYPERLINK("https://klasma.github.io/Logging_2262/artfynd/A 1152-2024 artfynd.xlsx", "A 1152-2024")</f>
        <v/>
      </c>
      <c r="T1268">
        <f>HYPERLINK("https://klasma.github.io/Logging_2262/kartor/A 1152-2024 karta.png", "A 1152-2024")</f>
        <v/>
      </c>
      <c r="V1268">
        <f>HYPERLINK("https://klasma.github.io/Logging_2262/klagomål/A 1152-2024 FSC-klagomål.docx", "A 1152-2024")</f>
        <v/>
      </c>
      <c r="W1268">
        <f>HYPERLINK("https://klasma.github.io/Logging_2262/klagomålsmail/A 1152-2024 FSC-klagomål mail.docx", "A 1152-2024")</f>
        <v/>
      </c>
      <c r="X1268">
        <f>HYPERLINK("https://klasma.github.io/Logging_2262/tillsyn/A 1152-2024 tillsynsbegäran.docx", "A 1152-2024")</f>
        <v/>
      </c>
      <c r="Y1268">
        <f>HYPERLINK("https://klasma.github.io/Logging_2262/tillsynsmail/A 1152-2024 tillsynsbegäran mail.docx", "A 1152-2024")</f>
        <v/>
      </c>
    </row>
    <row r="1269" ht="15" customHeight="1">
      <c r="A1269" t="inlineStr">
        <is>
          <t>A 23825-2025</t>
        </is>
      </c>
      <c r="B1269" s="1" t="n">
        <v>45793.59447916667</v>
      </c>
      <c r="C1269" s="1" t="n">
        <v>46093</v>
      </c>
      <c r="D1269" t="inlineStr">
        <is>
          <t>VÄSTERNORRLANDS LÄN</t>
        </is>
      </c>
      <c r="E1269" t="inlineStr">
        <is>
          <t>HÄRNÖSAND</t>
        </is>
      </c>
      <c r="F1269" t="inlineStr">
        <is>
          <t>SCA</t>
        </is>
      </c>
      <c r="G1269" t="n">
        <v>2.1</v>
      </c>
      <c r="H1269" t="n">
        <v>0</v>
      </c>
      <c r="I1269" t="n">
        <v>0</v>
      </c>
      <c r="J1269" t="n">
        <v>1</v>
      </c>
      <c r="K1269" t="n">
        <v>0</v>
      </c>
      <c r="L1269" t="n">
        <v>0</v>
      </c>
      <c r="M1269" t="n">
        <v>0</v>
      </c>
      <c r="N1269" t="n">
        <v>0</v>
      </c>
      <c r="O1269" t="n">
        <v>1</v>
      </c>
      <c r="P1269" t="n">
        <v>0</v>
      </c>
      <c r="Q1269" t="n">
        <v>1</v>
      </c>
      <c r="R1269" s="2" t="inlineStr">
        <is>
          <t>Garnlav</t>
        </is>
      </c>
      <c r="S1269">
        <f>HYPERLINK("https://klasma.github.io/Logging_2280/artfynd/A 23825-2025 artfynd.xlsx", "A 23825-2025")</f>
        <v/>
      </c>
      <c r="T1269">
        <f>HYPERLINK("https://klasma.github.io/Logging_2280/kartor/A 23825-2025 karta.png", "A 23825-2025")</f>
        <v/>
      </c>
      <c r="V1269">
        <f>HYPERLINK("https://klasma.github.io/Logging_2280/klagomål/A 23825-2025 FSC-klagomål.docx", "A 23825-2025")</f>
        <v/>
      </c>
      <c r="W1269">
        <f>HYPERLINK("https://klasma.github.io/Logging_2280/klagomålsmail/A 23825-2025 FSC-klagomål mail.docx", "A 23825-2025")</f>
        <v/>
      </c>
      <c r="X1269">
        <f>HYPERLINK("https://klasma.github.io/Logging_2280/tillsyn/A 23825-2025 tillsynsbegäran.docx", "A 23825-2025")</f>
        <v/>
      </c>
      <c r="Y1269">
        <f>HYPERLINK("https://klasma.github.io/Logging_2280/tillsynsmail/A 23825-2025 tillsynsbegäran mail.docx", "A 23825-2025")</f>
        <v/>
      </c>
    </row>
    <row r="1270" ht="15" customHeight="1">
      <c r="A1270" t="inlineStr">
        <is>
          <t>A 24423-2025</t>
        </is>
      </c>
      <c r="B1270" s="1" t="n">
        <v>45797.67813657408</v>
      </c>
      <c r="C1270" s="1" t="n">
        <v>46093</v>
      </c>
      <c r="D1270" t="inlineStr">
        <is>
          <t>VÄSTERNORRLANDS LÄN</t>
        </is>
      </c>
      <c r="E1270" t="inlineStr">
        <is>
          <t>TIMRÅ</t>
        </is>
      </c>
      <c r="F1270" t="inlineStr">
        <is>
          <t>SCA</t>
        </is>
      </c>
      <c r="G1270" t="n">
        <v>2.4</v>
      </c>
      <c r="H1270" t="n">
        <v>0</v>
      </c>
      <c r="I1270" t="n">
        <v>0</v>
      </c>
      <c r="J1270" t="n">
        <v>1</v>
      </c>
      <c r="K1270" t="n">
        <v>0</v>
      </c>
      <c r="L1270" t="n">
        <v>0</v>
      </c>
      <c r="M1270" t="n">
        <v>0</v>
      </c>
      <c r="N1270" t="n">
        <v>0</v>
      </c>
      <c r="O1270" t="n">
        <v>1</v>
      </c>
      <c r="P1270" t="n">
        <v>0</v>
      </c>
      <c r="Q1270" t="n">
        <v>1</v>
      </c>
      <c r="R1270" s="2" t="inlineStr">
        <is>
          <t>Gammelgransskål</t>
        </is>
      </c>
      <c r="S1270">
        <f>HYPERLINK("https://klasma.github.io/Logging_2262/artfynd/A 24423-2025 artfynd.xlsx", "A 24423-2025")</f>
        <v/>
      </c>
      <c r="T1270">
        <f>HYPERLINK("https://klasma.github.io/Logging_2262/kartor/A 24423-2025 karta.png", "A 24423-2025")</f>
        <v/>
      </c>
      <c r="V1270">
        <f>HYPERLINK("https://klasma.github.io/Logging_2262/klagomål/A 24423-2025 FSC-klagomål.docx", "A 24423-2025")</f>
        <v/>
      </c>
      <c r="W1270">
        <f>HYPERLINK("https://klasma.github.io/Logging_2262/klagomålsmail/A 24423-2025 FSC-klagomål mail.docx", "A 24423-2025")</f>
        <v/>
      </c>
      <c r="X1270">
        <f>HYPERLINK("https://klasma.github.io/Logging_2262/tillsyn/A 24423-2025 tillsynsbegäran.docx", "A 24423-2025")</f>
        <v/>
      </c>
      <c r="Y1270">
        <f>HYPERLINK("https://klasma.github.io/Logging_2262/tillsynsmail/A 24423-2025 tillsynsbegäran mail.docx", "A 24423-2025")</f>
        <v/>
      </c>
    </row>
    <row r="1271" ht="15" customHeight="1">
      <c r="A1271" t="inlineStr">
        <is>
          <t>A 58723-2024</t>
        </is>
      </c>
      <c r="B1271" s="1" t="n">
        <v>45635.66302083333</v>
      </c>
      <c r="C1271" s="1" t="n">
        <v>46093</v>
      </c>
      <c r="D1271" t="inlineStr">
        <is>
          <t>VÄSTERNORRLANDS LÄN</t>
        </is>
      </c>
      <c r="E1271" t="inlineStr">
        <is>
          <t>SUNDSVALL</t>
        </is>
      </c>
      <c r="G1271" t="n">
        <v>2.2</v>
      </c>
      <c r="H1271" t="n">
        <v>1</v>
      </c>
      <c r="I1271" t="n">
        <v>0</v>
      </c>
      <c r="J1271" t="n">
        <v>1</v>
      </c>
      <c r="K1271" t="n">
        <v>0</v>
      </c>
      <c r="L1271" t="n">
        <v>0</v>
      </c>
      <c r="M1271" t="n">
        <v>0</v>
      </c>
      <c r="N1271" t="n">
        <v>0</v>
      </c>
      <c r="O1271" t="n">
        <v>1</v>
      </c>
      <c r="P1271" t="n">
        <v>0</v>
      </c>
      <c r="Q1271" t="n">
        <v>1</v>
      </c>
      <c r="R1271" s="2" t="inlineStr">
        <is>
          <t>Talltita</t>
        </is>
      </c>
      <c r="S1271">
        <f>HYPERLINK("https://klasma.github.io/Logging_2281/artfynd/A 58723-2024 artfynd.xlsx", "A 58723-2024")</f>
        <v/>
      </c>
      <c r="T1271">
        <f>HYPERLINK("https://klasma.github.io/Logging_2281/kartor/A 58723-2024 karta.png", "A 58723-2024")</f>
        <v/>
      </c>
      <c r="V1271">
        <f>HYPERLINK("https://klasma.github.io/Logging_2281/klagomål/A 58723-2024 FSC-klagomål.docx", "A 58723-2024")</f>
        <v/>
      </c>
      <c r="W1271">
        <f>HYPERLINK("https://klasma.github.io/Logging_2281/klagomålsmail/A 58723-2024 FSC-klagomål mail.docx", "A 58723-2024")</f>
        <v/>
      </c>
      <c r="X1271">
        <f>HYPERLINK("https://klasma.github.io/Logging_2281/tillsyn/A 58723-2024 tillsynsbegäran.docx", "A 58723-2024")</f>
        <v/>
      </c>
      <c r="Y1271">
        <f>HYPERLINK("https://klasma.github.io/Logging_2281/tillsynsmail/A 58723-2024 tillsynsbegäran mail.docx", "A 58723-2024")</f>
        <v/>
      </c>
      <c r="Z1271">
        <f>HYPERLINK("https://klasma.github.io/Logging_2281/fåglar/A 58723-2024 prioriterade fågelarter.docx", "A 58723-2024")</f>
        <v/>
      </c>
    </row>
    <row r="1272" ht="15" customHeight="1">
      <c r="A1272" t="inlineStr">
        <is>
          <t>A 25054-2025</t>
        </is>
      </c>
      <c r="B1272" s="1" t="n">
        <v>45799.67668981481</v>
      </c>
      <c r="C1272" s="1" t="n">
        <v>46093</v>
      </c>
      <c r="D1272" t="inlineStr">
        <is>
          <t>VÄSTERNORRLANDS LÄN</t>
        </is>
      </c>
      <c r="E1272" t="inlineStr">
        <is>
          <t>ÖRNSKÖLDSVIK</t>
        </is>
      </c>
      <c r="F1272" t="inlineStr">
        <is>
          <t>Holmen skog AB</t>
        </is>
      </c>
      <c r="G1272" t="n">
        <v>5.8</v>
      </c>
      <c r="H1272" t="n">
        <v>0</v>
      </c>
      <c r="I1272" t="n">
        <v>0</v>
      </c>
      <c r="J1272" t="n">
        <v>1</v>
      </c>
      <c r="K1272" t="n">
        <v>0</v>
      </c>
      <c r="L1272" t="n">
        <v>0</v>
      </c>
      <c r="M1272" t="n">
        <v>0</v>
      </c>
      <c r="N1272" t="n">
        <v>0</v>
      </c>
      <c r="O1272" t="n">
        <v>1</v>
      </c>
      <c r="P1272" t="n">
        <v>0</v>
      </c>
      <c r="Q1272" t="n">
        <v>1</v>
      </c>
      <c r="R1272" s="2" t="inlineStr">
        <is>
          <t>Lunglav</t>
        </is>
      </c>
      <c r="S1272">
        <f>HYPERLINK("https://klasma.github.io/Logging_2284/artfynd/A 25054-2025 artfynd.xlsx", "A 25054-2025")</f>
        <v/>
      </c>
      <c r="T1272">
        <f>HYPERLINK("https://klasma.github.io/Logging_2284/kartor/A 25054-2025 karta.png", "A 25054-2025")</f>
        <v/>
      </c>
      <c r="V1272">
        <f>HYPERLINK("https://klasma.github.io/Logging_2284/klagomål/A 25054-2025 FSC-klagomål.docx", "A 25054-2025")</f>
        <v/>
      </c>
      <c r="W1272">
        <f>HYPERLINK("https://klasma.github.io/Logging_2284/klagomålsmail/A 25054-2025 FSC-klagomål mail.docx", "A 25054-2025")</f>
        <v/>
      </c>
      <c r="X1272">
        <f>HYPERLINK("https://klasma.github.io/Logging_2284/tillsyn/A 25054-2025 tillsynsbegäran.docx", "A 25054-2025")</f>
        <v/>
      </c>
      <c r="Y1272">
        <f>HYPERLINK("https://klasma.github.io/Logging_2284/tillsynsmail/A 25054-2025 tillsynsbegäran mail.docx", "A 25054-2025")</f>
        <v/>
      </c>
    </row>
    <row r="1273" ht="15" customHeight="1">
      <c r="A1273" t="inlineStr">
        <is>
          <t>A 3804-2026</t>
        </is>
      </c>
      <c r="B1273" s="1" t="n">
        <v>46043.58314814815</v>
      </c>
      <c r="C1273" s="1" t="n">
        <v>46093</v>
      </c>
      <c r="D1273" t="inlineStr">
        <is>
          <t>VÄSTERNORRLANDS LÄN</t>
        </is>
      </c>
      <c r="E1273" t="inlineStr">
        <is>
          <t>SOLLEFTEÅ</t>
        </is>
      </c>
      <c r="F1273" t="inlineStr">
        <is>
          <t>SCA</t>
        </is>
      </c>
      <c r="G1273" t="n">
        <v>11.8</v>
      </c>
      <c r="H1273" t="n">
        <v>0</v>
      </c>
      <c r="I1273" t="n">
        <v>0</v>
      </c>
      <c r="J1273" t="n">
        <v>1</v>
      </c>
      <c r="K1273" t="n">
        <v>0</v>
      </c>
      <c r="L1273" t="n">
        <v>0</v>
      </c>
      <c r="M1273" t="n">
        <v>0</v>
      </c>
      <c r="N1273" t="n">
        <v>0</v>
      </c>
      <c r="O1273" t="n">
        <v>1</v>
      </c>
      <c r="P1273" t="n">
        <v>0</v>
      </c>
      <c r="Q1273" t="n">
        <v>1</v>
      </c>
      <c r="R1273" s="2" t="inlineStr">
        <is>
          <t>Dofttaggsvamp</t>
        </is>
      </c>
      <c r="S1273">
        <f>HYPERLINK("https://klasma.github.io/Logging_2283/artfynd/A 3804-2026 artfynd.xlsx", "A 3804-2026")</f>
        <v/>
      </c>
      <c r="T1273">
        <f>HYPERLINK("https://klasma.github.io/Logging_2283/kartor/A 3804-2026 karta.png", "A 3804-2026")</f>
        <v/>
      </c>
      <c r="V1273">
        <f>HYPERLINK("https://klasma.github.io/Logging_2283/klagomål/A 3804-2026 FSC-klagomål.docx", "A 3804-2026")</f>
        <v/>
      </c>
      <c r="W1273">
        <f>HYPERLINK("https://klasma.github.io/Logging_2283/klagomålsmail/A 3804-2026 FSC-klagomål mail.docx", "A 3804-2026")</f>
        <v/>
      </c>
      <c r="X1273">
        <f>HYPERLINK("https://klasma.github.io/Logging_2283/tillsyn/A 3804-2026 tillsynsbegäran.docx", "A 3804-2026")</f>
        <v/>
      </c>
      <c r="Y1273">
        <f>HYPERLINK("https://klasma.github.io/Logging_2283/tillsynsmail/A 3804-2026 tillsynsbegäran mail.docx", "A 3804-2026")</f>
        <v/>
      </c>
    </row>
    <row r="1274" ht="15" customHeight="1">
      <c r="A1274" t="inlineStr">
        <is>
          <t>A 25332-2025</t>
        </is>
      </c>
      <c r="B1274" s="1" t="n">
        <v>45800.59418981482</v>
      </c>
      <c r="C1274" s="1" t="n">
        <v>46093</v>
      </c>
      <c r="D1274" t="inlineStr">
        <is>
          <t>VÄSTERNORRLANDS LÄN</t>
        </is>
      </c>
      <c r="E1274" t="inlineStr">
        <is>
          <t>ÅNGE</t>
        </is>
      </c>
      <c r="F1274" t="inlineStr">
        <is>
          <t>SCA</t>
        </is>
      </c>
      <c r="G1274" t="n">
        <v>1.6</v>
      </c>
      <c r="H1274" t="n">
        <v>0</v>
      </c>
      <c r="I1274" t="n">
        <v>0</v>
      </c>
      <c r="J1274" t="n">
        <v>1</v>
      </c>
      <c r="K1274" t="n">
        <v>0</v>
      </c>
      <c r="L1274" t="n">
        <v>0</v>
      </c>
      <c r="M1274" t="n">
        <v>0</v>
      </c>
      <c r="N1274" t="n">
        <v>0</v>
      </c>
      <c r="O1274" t="n">
        <v>1</v>
      </c>
      <c r="P1274" t="n">
        <v>0</v>
      </c>
      <c r="Q1274" t="n">
        <v>1</v>
      </c>
      <c r="R1274" s="2" t="inlineStr">
        <is>
          <t>Lunglav</t>
        </is>
      </c>
      <c r="S1274">
        <f>HYPERLINK("https://klasma.github.io/Logging_2260/artfynd/A 25332-2025 artfynd.xlsx", "A 25332-2025")</f>
        <v/>
      </c>
      <c r="T1274">
        <f>HYPERLINK("https://klasma.github.io/Logging_2260/kartor/A 25332-2025 karta.png", "A 25332-2025")</f>
        <v/>
      </c>
      <c r="V1274">
        <f>HYPERLINK("https://klasma.github.io/Logging_2260/klagomål/A 25332-2025 FSC-klagomål.docx", "A 25332-2025")</f>
        <v/>
      </c>
      <c r="W1274">
        <f>HYPERLINK("https://klasma.github.io/Logging_2260/klagomålsmail/A 25332-2025 FSC-klagomål mail.docx", "A 25332-2025")</f>
        <v/>
      </c>
      <c r="X1274">
        <f>HYPERLINK("https://klasma.github.io/Logging_2260/tillsyn/A 25332-2025 tillsynsbegäran.docx", "A 25332-2025")</f>
        <v/>
      </c>
      <c r="Y1274">
        <f>HYPERLINK("https://klasma.github.io/Logging_2260/tillsynsmail/A 25332-2025 tillsynsbegäran mail.docx", "A 25332-2025")</f>
        <v/>
      </c>
    </row>
    <row r="1275" ht="15" customHeight="1">
      <c r="A1275" t="inlineStr">
        <is>
          <t>A 25591-2025</t>
        </is>
      </c>
      <c r="B1275" s="1" t="n">
        <v>45803.50528935185</v>
      </c>
      <c r="C1275" s="1" t="n">
        <v>46093</v>
      </c>
      <c r="D1275" t="inlineStr">
        <is>
          <t>VÄSTERNORRLANDS LÄN</t>
        </is>
      </c>
      <c r="E1275" t="inlineStr">
        <is>
          <t>KRAMFORS</t>
        </is>
      </c>
      <c r="G1275" t="n">
        <v>13.5</v>
      </c>
      <c r="H1275" t="n">
        <v>0</v>
      </c>
      <c r="I1275" t="n">
        <v>0</v>
      </c>
      <c r="J1275" t="n">
        <v>1</v>
      </c>
      <c r="K1275" t="n">
        <v>0</v>
      </c>
      <c r="L1275" t="n">
        <v>0</v>
      </c>
      <c r="M1275" t="n">
        <v>0</v>
      </c>
      <c r="N1275" t="n">
        <v>0</v>
      </c>
      <c r="O1275" t="n">
        <v>1</v>
      </c>
      <c r="P1275" t="n">
        <v>0</v>
      </c>
      <c r="Q1275" t="n">
        <v>1</v>
      </c>
      <c r="R1275" s="2" t="inlineStr">
        <is>
          <t>Slåtterfibbla</t>
        </is>
      </c>
      <c r="S1275">
        <f>HYPERLINK("https://klasma.github.io/Logging_2282/artfynd/A 25591-2025 artfynd.xlsx", "A 25591-2025")</f>
        <v/>
      </c>
      <c r="T1275">
        <f>HYPERLINK("https://klasma.github.io/Logging_2282/kartor/A 25591-2025 karta.png", "A 25591-2025")</f>
        <v/>
      </c>
      <c r="V1275">
        <f>HYPERLINK("https://klasma.github.io/Logging_2282/klagomål/A 25591-2025 FSC-klagomål.docx", "A 25591-2025")</f>
        <v/>
      </c>
      <c r="W1275">
        <f>HYPERLINK("https://klasma.github.io/Logging_2282/klagomålsmail/A 25591-2025 FSC-klagomål mail.docx", "A 25591-2025")</f>
        <v/>
      </c>
      <c r="X1275">
        <f>HYPERLINK("https://klasma.github.io/Logging_2282/tillsyn/A 25591-2025 tillsynsbegäran.docx", "A 25591-2025")</f>
        <v/>
      </c>
      <c r="Y1275">
        <f>HYPERLINK("https://klasma.github.io/Logging_2282/tillsynsmail/A 25591-2025 tillsynsbegäran mail.docx", "A 25591-2025")</f>
        <v/>
      </c>
    </row>
    <row r="1276" ht="15" customHeight="1">
      <c r="A1276" t="inlineStr">
        <is>
          <t>A 28332-2021</t>
        </is>
      </c>
      <c r="B1276" s="1" t="n">
        <v>44356.36717592592</v>
      </c>
      <c r="C1276" s="1" t="n">
        <v>46093</v>
      </c>
      <c r="D1276" t="inlineStr">
        <is>
          <t>VÄSTERNORRLANDS LÄN</t>
        </is>
      </c>
      <c r="E1276" t="inlineStr">
        <is>
          <t>SUNDSVALL</t>
        </is>
      </c>
      <c r="G1276" t="n">
        <v>11.8</v>
      </c>
      <c r="H1276" t="n">
        <v>0</v>
      </c>
      <c r="I1276" t="n">
        <v>1</v>
      </c>
      <c r="J1276" t="n">
        <v>0</v>
      </c>
      <c r="K1276" t="n">
        <v>0</v>
      </c>
      <c r="L1276" t="n">
        <v>0</v>
      </c>
      <c r="M1276" t="n">
        <v>0</v>
      </c>
      <c r="N1276" t="n">
        <v>0</v>
      </c>
      <c r="O1276" t="n">
        <v>0</v>
      </c>
      <c r="P1276" t="n">
        <v>0</v>
      </c>
      <c r="Q1276" t="n">
        <v>1</v>
      </c>
      <c r="R1276" s="2" t="inlineStr">
        <is>
          <t>Fjällig taggsvamp s.str.</t>
        </is>
      </c>
      <c r="S1276">
        <f>HYPERLINK("https://klasma.github.io/Logging_2281/artfynd/A 28332-2021 artfynd.xlsx", "A 28332-2021")</f>
        <v/>
      </c>
      <c r="T1276">
        <f>HYPERLINK("https://klasma.github.io/Logging_2281/kartor/A 28332-2021 karta.png", "A 28332-2021")</f>
        <v/>
      </c>
      <c r="V1276">
        <f>HYPERLINK("https://klasma.github.io/Logging_2281/klagomål/A 28332-2021 FSC-klagomål.docx", "A 28332-2021")</f>
        <v/>
      </c>
      <c r="W1276">
        <f>HYPERLINK("https://klasma.github.io/Logging_2281/klagomålsmail/A 28332-2021 FSC-klagomål mail.docx", "A 28332-2021")</f>
        <v/>
      </c>
      <c r="X1276">
        <f>HYPERLINK("https://klasma.github.io/Logging_2281/tillsyn/A 28332-2021 tillsynsbegäran.docx", "A 28332-2021")</f>
        <v/>
      </c>
      <c r="Y1276">
        <f>HYPERLINK("https://klasma.github.io/Logging_2281/tillsynsmail/A 28332-2021 tillsynsbegäran mail.docx", "A 28332-2021")</f>
        <v/>
      </c>
    </row>
    <row r="1277" ht="15" customHeight="1">
      <c r="A1277" t="inlineStr">
        <is>
          <t>A 22214-2025</t>
        </is>
      </c>
      <c r="B1277" s="1" t="n">
        <v>45785.65792824074</v>
      </c>
      <c r="C1277" s="1" t="n">
        <v>46093</v>
      </c>
      <c r="D1277" t="inlineStr">
        <is>
          <t>VÄSTERNORRLANDS LÄN</t>
        </is>
      </c>
      <c r="E1277" t="inlineStr">
        <is>
          <t>SOLLEFTEÅ</t>
        </is>
      </c>
      <c r="F1277" t="inlineStr">
        <is>
          <t>SCA</t>
        </is>
      </c>
      <c r="G1277" t="n">
        <v>4.6</v>
      </c>
      <c r="H1277" t="n">
        <v>0</v>
      </c>
      <c r="I1277" t="n">
        <v>0</v>
      </c>
      <c r="J1277" t="n">
        <v>1</v>
      </c>
      <c r="K1277" t="n">
        <v>0</v>
      </c>
      <c r="L1277" t="n">
        <v>0</v>
      </c>
      <c r="M1277" t="n">
        <v>0</v>
      </c>
      <c r="N1277" t="n">
        <v>0</v>
      </c>
      <c r="O1277" t="n">
        <v>1</v>
      </c>
      <c r="P1277" t="n">
        <v>0</v>
      </c>
      <c r="Q1277" t="n">
        <v>1</v>
      </c>
      <c r="R1277" s="2" t="inlineStr">
        <is>
          <t>Reliktbock</t>
        </is>
      </c>
      <c r="S1277">
        <f>HYPERLINK("https://klasma.github.io/Logging_2283/artfynd/A 22214-2025 artfynd.xlsx", "A 22214-2025")</f>
        <v/>
      </c>
      <c r="T1277">
        <f>HYPERLINK("https://klasma.github.io/Logging_2283/kartor/A 22214-2025 karta.png", "A 22214-2025")</f>
        <v/>
      </c>
      <c r="V1277">
        <f>HYPERLINK("https://klasma.github.io/Logging_2283/klagomål/A 22214-2025 FSC-klagomål.docx", "A 22214-2025")</f>
        <v/>
      </c>
      <c r="W1277">
        <f>HYPERLINK("https://klasma.github.io/Logging_2283/klagomålsmail/A 22214-2025 FSC-klagomål mail.docx", "A 22214-2025")</f>
        <v/>
      </c>
      <c r="X1277">
        <f>HYPERLINK("https://klasma.github.io/Logging_2283/tillsyn/A 22214-2025 tillsynsbegäran.docx", "A 22214-2025")</f>
        <v/>
      </c>
      <c r="Y1277">
        <f>HYPERLINK("https://klasma.github.io/Logging_2283/tillsynsmail/A 22214-2025 tillsynsbegäran mail.docx", "A 22214-2025")</f>
        <v/>
      </c>
    </row>
    <row r="1278" ht="15" customHeight="1">
      <c r="A1278" t="inlineStr">
        <is>
          <t>A 26019-2025</t>
        </is>
      </c>
      <c r="B1278" s="1" t="n">
        <v>45804.67811342593</v>
      </c>
      <c r="C1278" s="1" t="n">
        <v>46093</v>
      </c>
      <c r="D1278" t="inlineStr">
        <is>
          <t>VÄSTERNORRLANDS LÄN</t>
        </is>
      </c>
      <c r="E1278" t="inlineStr">
        <is>
          <t>SOLLEFTEÅ</t>
        </is>
      </c>
      <c r="F1278" t="inlineStr">
        <is>
          <t>SCA</t>
        </is>
      </c>
      <c r="G1278" t="n">
        <v>3.7</v>
      </c>
      <c r="H1278" t="n">
        <v>0</v>
      </c>
      <c r="I1278" t="n">
        <v>0</v>
      </c>
      <c r="J1278" t="n">
        <v>1</v>
      </c>
      <c r="K1278" t="n">
        <v>0</v>
      </c>
      <c r="L1278" t="n">
        <v>0</v>
      </c>
      <c r="M1278" t="n">
        <v>0</v>
      </c>
      <c r="N1278" t="n">
        <v>0</v>
      </c>
      <c r="O1278" t="n">
        <v>1</v>
      </c>
      <c r="P1278" t="n">
        <v>0</v>
      </c>
      <c r="Q1278" t="n">
        <v>1</v>
      </c>
      <c r="R1278" s="2" t="inlineStr">
        <is>
          <t>Rosenticka</t>
        </is>
      </c>
      <c r="S1278">
        <f>HYPERLINK("https://klasma.github.io/Logging_2283/artfynd/A 26019-2025 artfynd.xlsx", "A 26019-2025")</f>
        <v/>
      </c>
      <c r="T1278">
        <f>HYPERLINK("https://klasma.github.io/Logging_2283/kartor/A 26019-2025 karta.png", "A 26019-2025")</f>
        <v/>
      </c>
      <c r="V1278">
        <f>HYPERLINK("https://klasma.github.io/Logging_2283/klagomål/A 26019-2025 FSC-klagomål.docx", "A 26019-2025")</f>
        <v/>
      </c>
      <c r="W1278">
        <f>HYPERLINK("https://klasma.github.io/Logging_2283/klagomålsmail/A 26019-2025 FSC-klagomål mail.docx", "A 26019-2025")</f>
        <v/>
      </c>
      <c r="X1278">
        <f>HYPERLINK("https://klasma.github.io/Logging_2283/tillsyn/A 26019-2025 tillsynsbegäran.docx", "A 26019-2025")</f>
        <v/>
      </c>
      <c r="Y1278">
        <f>HYPERLINK("https://klasma.github.io/Logging_2283/tillsynsmail/A 26019-2025 tillsynsbegäran mail.docx", "A 26019-2025")</f>
        <v/>
      </c>
    </row>
    <row r="1279" ht="15" customHeight="1">
      <c r="A1279" t="inlineStr">
        <is>
          <t>A 23169-2025</t>
        </is>
      </c>
      <c r="B1279" s="1" t="n">
        <v>45791.42752314815</v>
      </c>
      <c r="C1279" s="1" t="n">
        <v>46093</v>
      </c>
      <c r="D1279" t="inlineStr">
        <is>
          <t>VÄSTERNORRLANDS LÄN</t>
        </is>
      </c>
      <c r="E1279" t="inlineStr">
        <is>
          <t>SOLLEFTEÅ</t>
        </is>
      </c>
      <c r="F1279" t="inlineStr">
        <is>
          <t>SCA</t>
        </is>
      </c>
      <c r="G1279" t="n">
        <v>1.8</v>
      </c>
      <c r="H1279" t="n">
        <v>1</v>
      </c>
      <c r="I1279" t="n">
        <v>0</v>
      </c>
      <c r="J1279" t="n">
        <v>1</v>
      </c>
      <c r="K1279" t="n">
        <v>0</v>
      </c>
      <c r="L1279" t="n">
        <v>0</v>
      </c>
      <c r="M1279" t="n">
        <v>0</v>
      </c>
      <c r="N1279" t="n">
        <v>0</v>
      </c>
      <c r="O1279" t="n">
        <v>1</v>
      </c>
      <c r="P1279" t="n">
        <v>0</v>
      </c>
      <c r="Q1279" t="n">
        <v>1</v>
      </c>
      <c r="R1279" s="2" t="inlineStr">
        <is>
          <t>Järpe</t>
        </is>
      </c>
      <c r="S1279">
        <f>HYPERLINK("https://klasma.github.io/Logging_2283/artfynd/A 23169-2025 artfynd.xlsx", "A 23169-2025")</f>
        <v/>
      </c>
      <c r="T1279">
        <f>HYPERLINK("https://klasma.github.io/Logging_2283/kartor/A 23169-2025 karta.png", "A 23169-2025")</f>
        <v/>
      </c>
      <c r="V1279">
        <f>HYPERLINK("https://klasma.github.io/Logging_2283/klagomål/A 23169-2025 FSC-klagomål.docx", "A 23169-2025")</f>
        <v/>
      </c>
      <c r="W1279">
        <f>HYPERLINK("https://klasma.github.io/Logging_2283/klagomålsmail/A 23169-2025 FSC-klagomål mail.docx", "A 23169-2025")</f>
        <v/>
      </c>
      <c r="X1279">
        <f>HYPERLINK("https://klasma.github.io/Logging_2283/tillsyn/A 23169-2025 tillsynsbegäran.docx", "A 23169-2025")</f>
        <v/>
      </c>
      <c r="Y1279">
        <f>HYPERLINK("https://klasma.github.io/Logging_2283/tillsynsmail/A 23169-2025 tillsynsbegäran mail.docx", "A 23169-2025")</f>
        <v/>
      </c>
      <c r="Z1279">
        <f>HYPERLINK("https://klasma.github.io/Logging_2283/fåglar/A 23169-2025 prioriterade fågelarter.docx", "A 23169-2025")</f>
        <v/>
      </c>
    </row>
    <row r="1280" ht="15" customHeight="1">
      <c r="A1280" t="inlineStr">
        <is>
          <t>A 33503-2023</t>
        </is>
      </c>
      <c r="B1280" s="1" t="n">
        <v>45131</v>
      </c>
      <c r="C1280" s="1" t="n">
        <v>46093</v>
      </c>
      <c r="D1280" t="inlineStr">
        <is>
          <t>VÄSTERNORRLANDS LÄN</t>
        </is>
      </c>
      <c r="E1280" t="inlineStr">
        <is>
          <t>TIMRÅ</t>
        </is>
      </c>
      <c r="G1280" t="n">
        <v>28.3</v>
      </c>
      <c r="H1280" t="n">
        <v>1</v>
      </c>
      <c r="I1280" t="n">
        <v>0</v>
      </c>
      <c r="J1280" t="n">
        <v>1</v>
      </c>
      <c r="K1280" t="n">
        <v>0</v>
      </c>
      <c r="L1280" t="n">
        <v>0</v>
      </c>
      <c r="M1280" t="n">
        <v>0</v>
      </c>
      <c r="N1280" t="n">
        <v>0</v>
      </c>
      <c r="O1280" t="n">
        <v>1</v>
      </c>
      <c r="P1280" t="n">
        <v>0</v>
      </c>
      <c r="Q1280" t="n">
        <v>1</v>
      </c>
      <c r="R1280" s="2" t="inlineStr">
        <is>
          <t>Utter</t>
        </is>
      </c>
      <c r="S1280">
        <f>HYPERLINK("https://klasma.github.io/Logging_2262/artfynd/A 33503-2023 artfynd.xlsx", "A 33503-2023")</f>
        <v/>
      </c>
      <c r="T1280">
        <f>HYPERLINK("https://klasma.github.io/Logging_2262/kartor/A 33503-2023 karta.png", "A 33503-2023")</f>
        <v/>
      </c>
      <c r="V1280">
        <f>HYPERLINK("https://klasma.github.io/Logging_2262/klagomål/A 33503-2023 FSC-klagomål.docx", "A 33503-2023")</f>
        <v/>
      </c>
      <c r="W1280">
        <f>HYPERLINK("https://klasma.github.io/Logging_2262/klagomålsmail/A 33503-2023 FSC-klagomål mail.docx", "A 33503-2023")</f>
        <v/>
      </c>
      <c r="X1280">
        <f>HYPERLINK("https://klasma.github.io/Logging_2262/tillsyn/A 33503-2023 tillsynsbegäran.docx", "A 33503-2023")</f>
        <v/>
      </c>
      <c r="Y1280">
        <f>HYPERLINK("https://klasma.github.io/Logging_2262/tillsynsmail/A 33503-2023 tillsynsbegäran mail.docx", "A 33503-2023")</f>
        <v/>
      </c>
    </row>
    <row r="1281" ht="15" customHeight="1">
      <c r="A1281" t="inlineStr">
        <is>
          <t>A 12535-2026</t>
        </is>
      </c>
      <c r="B1281" s="1" t="n">
        <v>46090.60684027777</v>
      </c>
      <c r="C1281" s="1" t="n">
        <v>46093</v>
      </c>
      <c r="D1281" t="inlineStr">
        <is>
          <t>VÄSTERNORRLANDS LÄN</t>
        </is>
      </c>
      <c r="E1281" t="inlineStr">
        <is>
          <t>KRAMFORS</t>
        </is>
      </c>
      <c r="G1281" t="n">
        <v>4.9</v>
      </c>
      <c r="H1281" t="n">
        <v>1</v>
      </c>
      <c r="I1281" t="n">
        <v>0</v>
      </c>
      <c r="J1281" t="n">
        <v>1</v>
      </c>
      <c r="K1281" t="n">
        <v>0</v>
      </c>
      <c r="L1281" t="n">
        <v>0</v>
      </c>
      <c r="M1281" t="n">
        <v>0</v>
      </c>
      <c r="N1281" t="n">
        <v>0</v>
      </c>
      <c r="O1281" t="n">
        <v>1</v>
      </c>
      <c r="P1281" t="n">
        <v>0</v>
      </c>
      <c r="Q1281" t="n">
        <v>1</v>
      </c>
      <c r="R1281" s="2" t="inlineStr">
        <is>
          <t>Mindre hackspett</t>
        </is>
      </c>
      <c r="S1281">
        <f>HYPERLINK("https://klasma.github.io/Logging_2282/artfynd/A 12535-2026 artfynd.xlsx", "A 12535-2026")</f>
        <v/>
      </c>
      <c r="T1281">
        <f>HYPERLINK("https://klasma.github.io/Logging_2282/kartor/A 12535-2026 karta.png", "A 12535-2026")</f>
        <v/>
      </c>
      <c r="V1281">
        <f>HYPERLINK("https://klasma.github.io/Logging_2282/klagomål/A 12535-2026 FSC-klagomål.docx", "A 12535-2026")</f>
        <v/>
      </c>
      <c r="W1281">
        <f>HYPERLINK("https://klasma.github.io/Logging_2282/klagomålsmail/A 12535-2026 FSC-klagomål mail.docx", "A 12535-2026")</f>
        <v/>
      </c>
      <c r="X1281">
        <f>HYPERLINK("https://klasma.github.io/Logging_2282/tillsyn/A 12535-2026 tillsynsbegäran.docx", "A 12535-2026")</f>
        <v/>
      </c>
      <c r="Y1281">
        <f>HYPERLINK("https://klasma.github.io/Logging_2282/tillsynsmail/A 12535-2026 tillsynsbegäran mail.docx", "A 12535-2026")</f>
        <v/>
      </c>
      <c r="Z1281">
        <f>HYPERLINK("https://klasma.github.io/Logging_2282/fåglar/A 12535-2026 prioriterade fågelarter.docx", "A 12535-2026")</f>
        <v/>
      </c>
    </row>
    <row r="1282" ht="15" customHeight="1">
      <c r="A1282" t="inlineStr">
        <is>
          <t>A 54386-2024</t>
        </is>
      </c>
      <c r="B1282" s="1" t="n">
        <v>45617.44822916666</v>
      </c>
      <c r="C1282" s="1" t="n">
        <v>46093</v>
      </c>
      <c r="D1282" t="inlineStr">
        <is>
          <t>VÄSTERNORRLANDS LÄN</t>
        </is>
      </c>
      <c r="E1282" t="inlineStr">
        <is>
          <t>ÅNGE</t>
        </is>
      </c>
      <c r="F1282" t="inlineStr">
        <is>
          <t>SCA</t>
        </is>
      </c>
      <c r="G1282" t="n">
        <v>1.9</v>
      </c>
      <c r="H1282" t="n">
        <v>0</v>
      </c>
      <c r="I1282" t="n">
        <v>0</v>
      </c>
      <c r="J1282" t="n">
        <v>1</v>
      </c>
      <c r="K1282" t="n">
        <v>0</v>
      </c>
      <c r="L1282" t="n">
        <v>0</v>
      </c>
      <c r="M1282" t="n">
        <v>0</v>
      </c>
      <c r="N1282" t="n">
        <v>0</v>
      </c>
      <c r="O1282" t="n">
        <v>1</v>
      </c>
      <c r="P1282" t="n">
        <v>0</v>
      </c>
      <c r="Q1282" t="n">
        <v>1</v>
      </c>
      <c r="R1282" s="2" t="inlineStr">
        <is>
          <t>Reliktbock</t>
        </is>
      </c>
      <c r="S1282">
        <f>HYPERLINK("https://klasma.github.io/Logging_2260/artfynd/A 54386-2024 artfynd.xlsx", "A 54386-2024")</f>
        <v/>
      </c>
      <c r="T1282">
        <f>HYPERLINK("https://klasma.github.io/Logging_2260/kartor/A 54386-2024 karta.png", "A 54386-2024")</f>
        <v/>
      </c>
      <c r="V1282">
        <f>HYPERLINK("https://klasma.github.io/Logging_2260/klagomål/A 54386-2024 FSC-klagomål.docx", "A 54386-2024")</f>
        <v/>
      </c>
      <c r="W1282">
        <f>HYPERLINK("https://klasma.github.io/Logging_2260/klagomålsmail/A 54386-2024 FSC-klagomål mail.docx", "A 54386-2024")</f>
        <v/>
      </c>
      <c r="X1282">
        <f>HYPERLINK("https://klasma.github.io/Logging_2260/tillsyn/A 54386-2024 tillsynsbegäran.docx", "A 54386-2024")</f>
        <v/>
      </c>
      <c r="Y1282">
        <f>HYPERLINK("https://klasma.github.io/Logging_2260/tillsynsmail/A 54386-2024 tillsynsbegäran mail.docx", "A 54386-2024")</f>
        <v/>
      </c>
    </row>
    <row r="1283" ht="15" customHeight="1">
      <c r="A1283" t="inlineStr">
        <is>
          <t>A 26400-2025</t>
        </is>
      </c>
      <c r="B1283" s="1" t="n">
        <v>45807.33248842593</v>
      </c>
      <c r="C1283" s="1" t="n">
        <v>46093</v>
      </c>
      <c r="D1283" t="inlineStr">
        <is>
          <t>VÄSTERNORRLANDS LÄN</t>
        </is>
      </c>
      <c r="E1283" t="inlineStr">
        <is>
          <t>ÖRNSKÖLDSVIK</t>
        </is>
      </c>
      <c r="F1283" t="inlineStr">
        <is>
          <t>Holmen skog AB</t>
        </is>
      </c>
      <c r="G1283" t="n">
        <v>8</v>
      </c>
      <c r="H1283" t="n">
        <v>0</v>
      </c>
      <c r="I1283" t="n">
        <v>0</v>
      </c>
      <c r="J1283" t="n">
        <v>1</v>
      </c>
      <c r="K1283" t="n">
        <v>0</v>
      </c>
      <c r="L1283" t="n">
        <v>0</v>
      </c>
      <c r="M1283" t="n">
        <v>0</v>
      </c>
      <c r="N1283" t="n">
        <v>0</v>
      </c>
      <c r="O1283" t="n">
        <v>1</v>
      </c>
      <c r="P1283" t="n">
        <v>0</v>
      </c>
      <c r="Q1283" t="n">
        <v>1</v>
      </c>
      <c r="R1283" s="2" t="inlineStr">
        <is>
          <t>Lunglav</t>
        </is>
      </c>
      <c r="S1283">
        <f>HYPERLINK("https://klasma.github.io/Logging_2284/artfynd/A 26400-2025 artfynd.xlsx", "A 26400-2025")</f>
        <v/>
      </c>
      <c r="T1283">
        <f>HYPERLINK("https://klasma.github.io/Logging_2284/kartor/A 26400-2025 karta.png", "A 26400-2025")</f>
        <v/>
      </c>
      <c r="V1283">
        <f>HYPERLINK("https://klasma.github.io/Logging_2284/klagomål/A 26400-2025 FSC-klagomål.docx", "A 26400-2025")</f>
        <v/>
      </c>
      <c r="W1283">
        <f>HYPERLINK("https://klasma.github.io/Logging_2284/klagomålsmail/A 26400-2025 FSC-klagomål mail.docx", "A 26400-2025")</f>
        <v/>
      </c>
      <c r="X1283">
        <f>HYPERLINK("https://klasma.github.io/Logging_2284/tillsyn/A 26400-2025 tillsynsbegäran.docx", "A 26400-2025")</f>
        <v/>
      </c>
      <c r="Y1283">
        <f>HYPERLINK("https://klasma.github.io/Logging_2284/tillsynsmail/A 26400-2025 tillsynsbegäran mail.docx", "A 26400-2025")</f>
        <v/>
      </c>
    </row>
    <row r="1284" ht="15" customHeight="1">
      <c r="A1284" t="inlineStr">
        <is>
          <t>A 4265-2026</t>
        </is>
      </c>
      <c r="B1284" s="1" t="n">
        <v>46045.34465277778</v>
      </c>
      <c r="C1284" s="1" t="n">
        <v>46093</v>
      </c>
      <c r="D1284" t="inlineStr">
        <is>
          <t>VÄSTERNORRLANDS LÄN</t>
        </is>
      </c>
      <c r="E1284" t="inlineStr">
        <is>
          <t>SUNDSVALL</t>
        </is>
      </c>
      <c r="G1284" t="n">
        <v>5.5</v>
      </c>
      <c r="H1284" t="n">
        <v>1</v>
      </c>
      <c r="I1284" t="n">
        <v>1</v>
      </c>
      <c r="J1284" t="n">
        <v>0</v>
      </c>
      <c r="K1284" t="n">
        <v>0</v>
      </c>
      <c r="L1284" t="n">
        <v>0</v>
      </c>
      <c r="M1284" t="n">
        <v>0</v>
      </c>
      <c r="N1284" t="n">
        <v>0</v>
      </c>
      <c r="O1284" t="n">
        <v>0</v>
      </c>
      <c r="P1284" t="n">
        <v>0</v>
      </c>
      <c r="Q1284" t="n">
        <v>1</v>
      </c>
      <c r="R1284" s="2" t="inlineStr">
        <is>
          <t>Korallrot</t>
        </is>
      </c>
      <c r="S1284">
        <f>HYPERLINK("https://klasma.github.io/Logging_2281/artfynd/A 4265-2026 artfynd.xlsx", "A 4265-2026")</f>
        <v/>
      </c>
      <c r="T1284">
        <f>HYPERLINK("https://klasma.github.io/Logging_2281/kartor/A 4265-2026 karta.png", "A 4265-2026")</f>
        <v/>
      </c>
      <c r="V1284">
        <f>HYPERLINK("https://klasma.github.io/Logging_2281/klagomål/A 4265-2026 FSC-klagomål.docx", "A 4265-2026")</f>
        <v/>
      </c>
      <c r="W1284">
        <f>HYPERLINK("https://klasma.github.io/Logging_2281/klagomålsmail/A 4265-2026 FSC-klagomål mail.docx", "A 4265-2026")</f>
        <v/>
      </c>
      <c r="X1284">
        <f>HYPERLINK("https://klasma.github.io/Logging_2281/tillsyn/A 4265-2026 tillsynsbegäran.docx", "A 4265-2026")</f>
        <v/>
      </c>
      <c r="Y1284">
        <f>HYPERLINK("https://klasma.github.io/Logging_2281/tillsynsmail/A 4265-2026 tillsynsbegäran mail.docx", "A 4265-2026")</f>
        <v/>
      </c>
    </row>
    <row r="1285" ht="15" customHeight="1">
      <c r="A1285" t="inlineStr">
        <is>
          <t>A 26501-2025</t>
        </is>
      </c>
      <c r="B1285" s="1" t="n">
        <v>45807</v>
      </c>
      <c r="C1285" s="1" t="n">
        <v>46093</v>
      </c>
      <c r="D1285" t="inlineStr">
        <is>
          <t>VÄSTERNORRLANDS LÄN</t>
        </is>
      </c>
      <c r="E1285" t="inlineStr">
        <is>
          <t>SOLLEFTEÅ</t>
        </is>
      </c>
      <c r="F1285" t="inlineStr">
        <is>
          <t>SCA</t>
        </is>
      </c>
      <c r="G1285" t="n">
        <v>3.9</v>
      </c>
      <c r="H1285" t="n">
        <v>0</v>
      </c>
      <c r="I1285" t="n">
        <v>0</v>
      </c>
      <c r="J1285" t="n">
        <v>1</v>
      </c>
      <c r="K1285" t="n">
        <v>0</v>
      </c>
      <c r="L1285" t="n">
        <v>0</v>
      </c>
      <c r="M1285" t="n">
        <v>0</v>
      </c>
      <c r="N1285" t="n">
        <v>0</v>
      </c>
      <c r="O1285" t="n">
        <v>1</v>
      </c>
      <c r="P1285" t="n">
        <v>0</v>
      </c>
      <c r="Q1285" t="n">
        <v>1</v>
      </c>
      <c r="R1285" s="2" t="inlineStr">
        <is>
          <t>Vedflikmossa</t>
        </is>
      </c>
      <c r="S1285">
        <f>HYPERLINK("https://klasma.github.io/Logging_2283/artfynd/A 26501-2025 artfynd.xlsx", "A 26501-2025")</f>
        <v/>
      </c>
      <c r="T1285">
        <f>HYPERLINK("https://klasma.github.io/Logging_2283/kartor/A 26501-2025 karta.png", "A 26501-2025")</f>
        <v/>
      </c>
      <c r="V1285">
        <f>HYPERLINK("https://klasma.github.io/Logging_2283/klagomål/A 26501-2025 FSC-klagomål.docx", "A 26501-2025")</f>
        <v/>
      </c>
      <c r="W1285">
        <f>HYPERLINK("https://klasma.github.io/Logging_2283/klagomålsmail/A 26501-2025 FSC-klagomål mail.docx", "A 26501-2025")</f>
        <v/>
      </c>
      <c r="X1285">
        <f>HYPERLINK("https://klasma.github.io/Logging_2283/tillsyn/A 26501-2025 tillsynsbegäran.docx", "A 26501-2025")</f>
        <v/>
      </c>
      <c r="Y1285">
        <f>HYPERLINK("https://klasma.github.io/Logging_2283/tillsynsmail/A 26501-2025 tillsynsbegäran mail.docx", "A 26501-2025")</f>
        <v/>
      </c>
    </row>
    <row r="1286" ht="15" customHeight="1">
      <c r="A1286" t="inlineStr">
        <is>
          <t>A 27211-2025</t>
        </is>
      </c>
      <c r="B1286" s="1" t="n">
        <v>45812.4068287037</v>
      </c>
      <c r="C1286" s="1" t="n">
        <v>46093</v>
      </c>
      <c r="D1286" t="inlineStr">
        <is>
          <t>VÄSTERNORRLANDS LÄN</t>
        </is>
      </c>
      <c r="E1286" t="inlineStr">
        <is>
          <t>SUNDSVALL</t>
        </is>
      </c>
      <c r="F1286" t="inlineStr">
        <is>
          <t>SCA</t>
        </is>
      </c>
      <c r="G1286" t="n">
        <v>0.6</v>
      </c>
      <c r="H1286" t="n">
        <v>0</v>
      </c>
      <c r="I1286" t="n">
        <v>0</v>
      </c>
      <c r="J1286" t="n">
        <v>1</v>
      </c>
      <c r="K1286" t="n">
        <v>0</v>
      </c>
      <c r="L1286" t="n">
        <v>0</v>
      </c>
      <c r="M1286" t="n">
        <v>0</v>
      </c>
      <c r="N1286" t="n">
        <v>0</v>
      </c>
      <c r="O1286" t="n">
        <v>1</v>
      </c>
      <c r="P1286" t="n">
        <v>0</v>
      </c>
      <c r="Q1286" t="n">
        <v>1</v>
      </c>
      <c r="R1286" s="2" t="inlineStr">
        <is>
          <t>Garnlav</t>
        </is>
      </c>
      <c r="S1286">
        <f>HYPERLINK("https://klasma.github.io/Logging_2281/artfynd/A 27211-2025 artfynd.xlsx", "A 27211-2025")</f>
        <v/>
      </c>
      <c r="T1286">
        <f>HYPERLINK("https://klasma.github.io/Logging_2281/kartor/A 27211-2025 karta.png", "A 27211-2025")</f>
        <v/>
      </c>
      <c r="V1286">
        <f>HYPERLINK("https://klasma.github.io/Logging_2281/klagomål/A 27211-2025 FSC-klagomål.docx", "A 27211-2025")</f>
        <v/>
      </c>
      <c r="W1286">
        <f>HYPERLINK("https://klasma.github.io/Logging_2281/klagomålsmail/A 27211-2025 FSC-klagomål mail.docx", "A 27211-2025")</f>
        <v/>
      </c>
      <c r="X1286">
        <f>HYPERLINK("https://klasma.github.io/Logging_2281/tillsyn/A 27211-2025 tillsynsbegäran.docx", "A 27211-2025")</f>
        <v/>
      </c>
      <c r="Y1286">
        <f>HYPERLINK("https://klasma.github.io/Logging_2281/tillsynsmail/A 27211-2025 tillsynsbegäran mail.docx", "A 27211-2025")</f>
        <v/>
      </c>
    </row>
    <row r="1287" ht="15" customHeight="1">
      <c r="A1287" t="inlineStr">
        <is>
          <t>A 12977-2026</t>
        </is>
      </c>
      <c r="B1287" s="1" t="n">
        <v>46092.65753472222</v>
      </c>
      <c r="C1287" s="1" t="n">
        <v>46093</v>
      </c>
      <c r="D1287" t="inlineStr">
        <is>
          <t>VÄSTERNORRLANDS LÄN</t>
        </is>
      </c>
      <c r="E1287" t="inlineStr">
        <is>
          <t>TIMRÅ</t>
        </is>
      </c>
      <c r="F1287" t="inlineStr">
        <is>
          <t>SCA</t>
        </is>
      </c>
      <c r="G1287" t="n">
        <v>0.5</v>
      </c>
      <c r="H1287" t="n">
        <v>0</v>
      </c>
      <c r="I1287" t="n">
        <v>0</v>
      </c>
      <c r="J1287" t="n">
        <v>1</v>
      </c>
      <c r="K1287" t="n">
        <v>0</v>
      </c>
      <c r="L1287" t="n">
        <v>0</v>
      </c>
      <c r="M1287" t="n">
        <v>0</v>
      </c>
      <c r="N1287" t="n">
        <v>0</v>
      </c>
      <c r="O1287" t="n">
        <v>1</v>
      </c>
      <c r="P1287" t="n">
        <v>0</v>
      </c>
      <c r="Q1287" t="n">
        <v>1</v>
      </c>
      <c r="R1287" s="2" t="inlineStr">
        <is>
          <t>Ullticka</t>
        </is>
      </c>
      <c r="S1287">
        <f>HYPERLINK("https://klasma.github.io/Logging_2262/artfynd/A 12977-2026 artfynd.xlsx", "A 12977-2026")</f>
        <v/>
      </c>
      <c r="T1287">
        <f>HYPERLINK("https://klasma.github.io/Logging_2262/kartor/A 12977-2026 karta.png", "A 12977-2026")</f>
        <v/>
      </c>
      <c r="V1287">
        <f>HYPERLINK("https://klasma.github.io/Logging_2262/klagomål/A 12977-2026 FSC-klagomål.docx", "A 12977-2026")</f>
        <v/>
      </c>
      <c r="W1287">
        <f>HYPERLINK("https://klasma.github.io/Logging_2262/klagomålsmail/A 12977-2026 FSC-klagomål mail.docx", "A 12977-2026")</f>
        <v/>
      </c>
      <c r="X1287">
        <f>HYPERLINK("https://klasma.github.io/Logging_2262/tillsyn/A 12977-2026 tillsynsbegäran.docx", "A 12977-2026")</f>
        <v/>
      </c>
      <c r="Y1287">
        <f>HYPERLINK("https://klasma.github.io/Logging_2262/tillsynsmail/A 12977-2026 tillsynsbegäran mail.docx", "A 12977-2026")</f>
        <v/>
      </c>
    </row>
    <row r="1288" ht="15" customHeight="1">
      <c r="A1288" t="inlineStr">
        <is>
          <t>A 35680-2025</t>
        </is>
      </c>
      <c r="B1288" s="1" t="n">
        <v>45859</v>
      </c>
      <c r="C1288" s="1" t="n">
        <v>46093</v>
      </c>
      <c r="D1288" t="inlineStr">
        <is>
          <t>VÄSTERNORRLANDS LÄN</t>
        </is>
      </c>
      <c r="E1288" t="inlineStr">
        <is>
          <t>TIMRÅ</t>
        </is>
      </c>
      <c r="F1288" t="inlineStr">
        <is>
          <t>SCA</t>
        </is>
      </c>
      <c r="G1288" t="n">
        <v>10.6</v>
      </c>
      <c r="H1288" t="n">
        <v>1</v>
      </c>
      <c r="I1288" t="n">
        <v>0</v>
      </c>
      <c r="J1288" t="n">
        <v>0</v>
      </c>
      <c r="K1288" t="n">
        <v>1</v>
      </c>
      <c r="L1288" t="n">
        <v>0</v>
      </c>
      <c r="M1288" t="n">
        <v>0</v>
      </c>
      <c r="N1288" t="n">
        <v>0</v>
      </c>
      <c r="O1288" t="n">
        <v>1</v>
      </c>
      <c r="P1288" t="n">
        <v>1</v>
      </c>
      <c r="Q1288" t="n">
        <v>1</v>
      </c>
      <c r="R1288" s="2" t="inlineStr">
        <is>
          <t>Knärot</t>
        </is>
      </c>
      <c r="S1288">
        <f>HYPERLINK("https://klasma.github.io/Logging_2262/artfynd/A 35680-2025 artfynd.xlsx", "A 35680-2025")</f>
        <v/>
      </c>
      <c r="T1288">
        <f>HYPERLINK("https://klasma.github.io/Logging_2262/kartor/A 35680-2025 karta.png", "A 35680-2025")</f>
        <v/>
      </c>
      <c r="U1288">
        <f>HYPERLINK("https://klasma.github.io/Logging_2262/knärot/A 35680-2025 karta knärot.png", "A 35680-2025")</f>
        <v/>
      </c>
      <c r="V1288">
        <f>HYPERLINK("https://klasma.github.io/Logging_2262/klagomål/A 35680-2025 FSC-klagomål.docx", "A 35680-2025")</f>
        <v/>
      </c>
      <c r="W1288">
        <f>HYPERLINK("https://klasma.github.io/Logging_2262/klagomålsmail/A 35680-2025 FSC-klagomål mail.docx", "A 35680-2025")</f>
        <v/>
      </c>
      <c r="X1288">
        <f>HYPERLINK("https://klasma.github.io/Logging_2262/tillsyn/A 35680-2025 tillsynsbegäran.docx", "A 35680-2025")</f>
        <v/>
      </c>
      <c r="Y1288">
        <f>HYPERLINK("https://klasma.github.io/Logging_2262/tillsynsmail/A 35680-2025 tillsynsbegäran mail.docx", "A 35680-2025")</f>
        <v/>
      </c>
    </row>
    <row r="1289" ht="15" customHeight="1">
      <c r="A1289" t="inlineStr">
        <is>
          <t>A 5048-2026</t>
        </is>
      </c>
      <c r="B1289" s="1" t="n">
        <v>46049.46950231482</v>
      </c>
      <c r="C1289" s="1" t="n">
        <v>46093</v>
      </c>
      <c r="D1289" t="inlineStr">
        <is>
          <t>VÄSTERNORRLANDS LÄN</t>
        </is>
      </c>
      <c r="E1289" t="inlineStr">
        <is>
          <t>SOLLEFTEÅ</t>
        </is>
      </c>
      <c r="F1289" t="inlineStr">
        <is>
          <t>SCA</t>
        </is>
      </c>
      <c r="G1289" t="n">
        <v>5.2</v>
      </c>
      <c r="H1289" t="n">
        <v>0</v>
      </c>
      <c r="I1289" t="n">
        <v>0</v>
      </c>
      <c r="J1289" t="n">
        <v>1</v>
      </c>
      <c r="K1289" t="n">
        <v>0</v>
      </c>
      <c r="L1289" t="n">
        <v>0</v>
      </c>
      <c r="M1289" t="n">
        <v>0</v>
      </c>
      <c r="N1289" t="n">
        <v>0</v>
      </c>
      <c r="O1289" t="n">
        <v>1</v>
      </c>
      <c r="P1289" t="n">
        <v>0</v>
      </c>
      <c r="Q1289" t="n">
        <v>1</v>
      </c>
      <c r="R1289" s="2" t="inlineStr">
        <is>
          <t>Motaggsvamp</t>
        </is>
      </c>
      <c r="S1289">
        <f>HYPERLINK("https://klasma.github.io/Logging_2283/artfynd/A 5048-2026 artfynd.xlsx", "A 5048-2026")</f>
        <v/>
      </c>
      <c r="T1289">
        <f>HYPERLINK("https://klasma.github.io/Logging_2283/kartor/A 5048-2026 karta.png", "A 5048-2026")</f>
        <v/>
      </c>
      <c r="V1289">
        <f>HYPERLINK("https://klasma.github.io/Logging_2283/klagomål/A 5048-2026 FSC-klagomål.docx", "A 5048-2026")</f>
        <v/>
      </c>
      <c r="W1289">
        <f>HYPERLINK("https://klasma.github.io/Logging_2283/klagomålsmail/A 5048-2026 FSC-klagomål mail.docx", "A 5048-2026")</f>
        <v/>
      </c>
      <c r="X1289">
        <f>HYPERLINK("https://klasma.github.io/Logging_2283/tillsyn/A 5048-2026 tillsynsbegäran.docx", "A 5048-2026")</f>
        <v/>
      </c>
      <c r="Y1289">
        <f>HYPERLINK("https://klasma.github.io/Logging_2283/tillsynsmail/A 5048-2026 tillsynsbegäran mail.docx", "A 5048-2026")</f>
        <v/>
      </c>
    </row>
    <row r="1290" ht="15" customHeight="1">
      <c r="A1290" t="inlineStr">
        <is>
          <t>A 28452-2025</t>
        </is>
      </c>
      <c r="B1290" s="1" t="n">
        <v>45819.40657407408</v>
      </c>
      <c r="C1290" s="1" t="n">
        <v>46093</v>
      </c>
      <c r="D1290" t="inlineStr">
        <is>
          <t>VÄSTERNORRLANDS LÄN</t>
        </is>
      </c>
      <c r="E1290" t="inlineStr">
        <is>
          <t>SUNDSVALL</t>
        </is>
      </c>
      <c r="F1290" t="inlineStr">
        <is>
          <t>Naturvårdsverket</t>
        </is>
      </c>
      <c r="G1290" t="n">
        <v>11</v>
      </c>
      <c r="H1290" t="n">
        <v>0</v>
      </c>
      <c r="I1290" t="n">
        <v>0</v>
      </c>
      <c r="J1290" t="n">
        <v>1</v>
      </c>
      <c r="K1290" t="n">
        <v>0</v>
      </c>
      <c r="L1290" t="n">
        <v>0</v>
      </c>
      <c r="M1290" t="n">
        <v>0</v>
      </c>
      <c r="N1290" t="n">
        <v>0</v>
      </c>
      <c r="O1290" t="n">
        <v>1</v>
      </c>
      <c r="P1290" t="n">
        <v>0</v>
      </c>
      <c r="Q1290" t="n">
        <v>1</v>
      </c>
      <c r="R1290" s="2" t="inlineStr">
        <is>
          <t>Lunglav</t>
        </is>
      </c>
      <c r="S1290">
        <f>HYPERLINK("https://klasma.github.io/Logging_2281/artfynd/A 28452-2025 artfynd.xlsx", "A 28452-2025")</f>
        <v/>
      </c>
      <c r="T1290">
        <f>HYPERLINK("https://klasma.github.io/Logging_2281/kartor/A 28452-2025 karta.png", "A 28452-2025")</f>
        <v/>
      </c>
      <c r="V1290">
        <f>HYPERLINK("https://klasma.github.io/Logging_2281/klagomål/A 28452-2025 FSC-klagomål.docx", "A 28452-2025")</f>
        <v/>
      </c>
      <c r="W1290">
        <f>HYPERLINK("https://klasma.github.io/Logging_2281/klagomålsmail/A 28452-2025 FSC-klagomål mail.docx", "A 28452-2025")</f>
        <v/>
      </c>
      <c r="X1290">
        <f>HYPERLINK("https://klasma.github.io/Logging_2281/tillsyn/A 28452-2025 tillsynsbegäran.docx", "A 28452-2025")</f>
        <v/>
      </c>
      <c r="Y1290">
        <f>HYPERLINK("https://klasma.github.io/Logging_2281/tillsynsmail/A 28452-2025 tillsynsbegäran mail.docx", "A 28452-2025")</f>
        <v/>
      </c>
    </row>
    <row r="1291" ht="15" customHeight="1">
      <c r="A1291" t="inlineStr">
        <is>
          <t>A 21765-2025</t>
        </is>
      </c>
      <c r="B1291" s="1" t="n">
        <v>45783.64675925926</v>
      </c>
      <c r="C1291" s="1" t="n">
        <v>46093</v>
      </c>
      <c r="D1291" t="inlineStr">
        <is>
          <t>VÄSTERNORRLANDS LÄN</t>
        </is>
      </c>
      <c r="E1291" t="inlineStr">
        <is>
          <t>SUNDSVALL</t>
        </is>
      </c>
      <c r="G1291" t="n">
        <v>8</v>
      </c>
      <c r="H1291" t="n">
        <v>1</v>
      </c>
      <c r="I1291" t="n">
        <v>0</v>
      </c>
      <c r="J1291" t="n">
        <v>0</v>
      </c>
      <c r="K1291" t="n">
        <v>0</v>
      </c>
      <c r="L1291" t="n">
        <v>0</v>
      </c>
      <c r="M1291" t="n">
        <v>0</v>
      </c>
      <c r="N1291" t="n">
        <v>0</v>
      </c>
      <c r="O1291" t="n">
        <v>0</v>
      </c>
      <c r="P1291" t="n">
        <v>0</v>
      </c>
      <c r="Q1291" t="n">
        <v>1</v>
      </c>
      <c r="R1291" s="2" t="inlineStr">
        <is>
          <t>Orre</t>
        </is>
      </c>
      <c r="S1291">
        <f>HYPERLINK("https://klasma.github.io/Logging_2281/artfynd/A 21765-2025 artfynd.xlsx", "A 21765-2025")</f>
        <v/>
      </c>
      <c r="T1291">
        <f>HYPERLINK("https://klasma.github.io/Logging_2281/kartor/A 21765-2025 karta.png", "A 21765-2025")</f>
        <v/>
      </c>
      <c r="V1291">
        <f>HYPERLINK("https://klasma.github.io/Logging_2281/klagomål/A 21765-2025 FSC-klagomål.docx", "A 21765-2025")</f>
        <v/>
      </c>
      <c r="W1291">
        <f>HYPERLINK("https://klasma.github.io/Logging_2281/klagomålsmail/A 21765-2025 FSC-klagomål mail.docx", "A 21765-2025")</f>
        <v/>
      </c>
      <c r="X1291">
        <f>HYPERLINK("https://klasma.github.io/Logging_2281/tillsyn/A 21765-2025 tillsynsbegäran.docx", "A 21765-2025")</f>
        <v/>
      </c>
      <c r="Y1291">
        <f>HYPERLINK("https://klasma.github.io/Logging_2281/tillsynsmail/A 21765-2025 tillsynsbegäran mail.docx", "A 21765-2025")</f>
        <v/>
      </c>
      <c r="Z1291">
        <f>HYPERLINK("https://klasma.github.io/Logging_2281/fåglar/A 21765-2025 prioriterade fågelarter.docx", "A 21765-2025")</f>
        <v/>
      </c>
    </row>
    <row r="1292" ht="15" customHeight="1">
      <c r="A1292" t="inlineStr">
        <is>
          <t>A 30072-2025</t>
        </is>
      </c>
      <c r="B1292" s="1" t="n">
        <v>45826.63604166666</v>
      </c>
      <c r="C1292" s="1" t="n">
        <v>46093</v>
      </c>
      <c r="D1292" t="inlineStr">
        <is>
          <t>VÄSTERNORRLANDS LÄN</t>
        </is>
      </c>
      <c r="E1292" t="inlineStr">
        <is>
          <t>TIMRÅ</t>
        </is>
      </c>
      <c r="F1292" t="inlineStr">
        <is>
          <t>SCA</t>
        </is>
      </c>
      <c r="G1292" t="n">
        <v>1.9</v>
      </c>
      <c r="H1292" t="n">
        <v>1</v>
      </c>
      <c r="I1292" t="n">
        <v>0</v>
      </c>
      <c r="J1292" t="n">
        <v>0</v>
      </c>
      <c r="K1292" t="n">
        <v>1</v>
      </c>
      <c r="L1292" t="n">
        <v>0</v>
      </c>
      <c r="M1292" t="n">
        <v>0</v>
      </c>
      <c r="N1292" t="n">
        <v>0</v>
      </c>
      <c r="O1292" t="n">
        <v>1</v>
      </c>
      <c r="P1292" t="n">
        <v>1</v>
      </c>
      <c r="Q1292" t="n">
        <v>1</v>
      </c>
      <c r="R1292" s="2" t="inlineStr">
        <is>
          <t>Knärot</t>
        </is>
      </c>
      <c r="S1292">
        <f>HYPERLINK("https://klasma.github.io/Logging_2262/artfynd/A 30072-2025 artfynd.xlsx", "A 30072-2025")</f>
        <v/>
      </c>
      <c r="T1292">
        <f>HYPERLINK("https://klasma.github.io/Logging_2262/kartor/A 30072-2025 karta.png", "A 30072-2025")</f>
        <v/>
      </c>
      <c r="U1292">
        <f>HYPERLINK("https://klasma.github.io/Logging_2262/knärot/A 30072-2025 karta knärot.png", "A 30072-2025")</f>
        <v/>
      </c>
      <c r="V1292">
        <f>HYPERLINK("https://klasma.github.io/Logging_2262/klagomål/A 30072-2025 FSC-klagomål.docx", "A 30072-2025")</f>
        <v/>
      </c>
      <c r="W1292">
        <f>HYPERLINK("https://klasma.github.io/Logging_2262/klagomålsmail/A 30072-2025 FSC-klagomål mail.docx", "A 30072-2025")</f>
        <v/>
      </c>
      <c r="X1292">
        <f>HYPERLINK("https://klasma.github.io/Logging_2262/tillsyn/A 30072-2025 tillsynsbegäran.docx", "A 30072-2025")</f>
        <v/>
      </c>
      <c r="Y1292">
        <f>HYPERLINK("https://klasma.github.io/Logging_2262/tillsynsmail/A 30072-2025 tillsynsbegäran mail.docx", "A 30072-2025")</f>
        <v/>
      </c>
    </row>
    <row r="1293" ht="15" customHeight="1">
      <c r="A1293" t="inlineStr">
        <is>
          <t>A 30948-2025</t>
        </is>
      </c>
      <c r="B1293" s="1" t="n">
        <v>45832.42745370371</v>
      </c>
      <c r="C1293" s="1" t="n">
        <v>46093</v>
      </c>
      <c r="D1293" t="inlineStr">
        <is>
          <t>VÄSTERNORRLANDS LÄN</t>
        </is>
      </c>
      <c r="E1293" t="inlineStr">
        <is>
          <t>SOLLEFTEÅ</t>
        </is>
      </c>
      <c r="F1293" t="inlineStr">
        <is>
          <t>SCA</t>
        </is>
      </c>
      <c r="G1293" t="n">
        <v>1.7</v>
      </c>
      <c r="H1293" t="n">
        <v>1</v>
      </c>
      <c r="I1293" t="n">
        <v>0</v>
      </c>
      <c r="J1293" t="n">
        <v>0</v>
      </c>
      <c r="K1293" t="n">
        <v>1</v>
      </c>
      <c r="L1293" t="n">
        <v>0</v>
      </c>
      <c r="M1293" t="n">
        <v>0</v>
      </c>
      <c r="N1293" t="n">
        <v>0</v>
      </c>
      <c r="O1293" t="n">
        <v>1</v>
      </c>
      <c r="P1293" t="n">
        <v>1</v>
      </c>
      <c r="Q1293" t="n">
        <v>1</v>
      </c>
      <c r="R1293" s="2" t="inlineStr">
        <is>
          <t>Knärot</t>
        </is>
      </c>
      <c r="S1293">
        <f>HYPERLINK("https://klasma.github.io/Logging_2283/artfynd/A 30948-2025 artfynd.xlsx", "A 30948-2025")</f>
        <v/>
      </c>
      <c r="T1293">
        <f>HYPERLINK("https://klasma.github.io/Logging_2283/kartor/A 30948-2025 karta.png", "A 30948-2025")</f>
        <v/>
      </c>
      <c r="U1293">
        <f>HYPERLINK("https://klasma.github.io/Logging_2283/knärot/A 30948-2025 karta knärot.png", "A 30948-2025")</f>
        <v/>
      </c>
      <c r="V1293">
        <f>HYPERLINK("https://klasma.github.io/Logging_2283/klagomål/A 30948-2025 FSC-klagomål.docx", "A 30948-2025")</f>
        <v/>
      </c>
      <c r="W1293">
        <f>HYPERLINK("https://klasma.github.io/Logging_2283/klagomålsmail/A 30948-2025 FSC-klagomål mail.docx", "A 30948-2025")</f>
        <v/>
      </c>
      <c r="X1293">
        <f>HYPERLINK("https://klasma.github.io/Logging_2283/tillsyn/A 30948-2025 tillsynsbegäran.docx", "A 30948-2025")</f>
        <v/>
      </c>
      <c r="Y1293">
        <f>HYPERLINK("https://klasma.github.io/Logging_2283/tillsynsmail/A 30948-2025 tillsynsbegäran mail.docx", "A 30948-2025")</f>
        <v/>
      </c>
    </row>
    <row r="1294" ht="15" customHeight="1">
      <c r="A1294" t="inlineStr">
        <is>
          <t>A 27025-2025</t>
        </is>
      </c>
      <c r="B1294" s="1" t="n">
        <v>45811</v>
      </c>
      <c r="C1294" s="1" t="n">
        <v>46093</v>
      </c>
      <c r="D1294" t="inlineStr">
        <is>
          <t>VÄSTERNORRLANDS LÄN</t>
        </is>
      </c>
      <c r="E1294" t="inlineStr">
        <is>
          <t>ÅNGE</t>
        </is>
      </c>
      <c r="G1294" t="n">
        <v>25.5</v>
      </c>
      <c r="H1294" t="n">
        <v>0</v>
      </c>
      <c r="I1294" t="n">
        <v>0</v>
      </c>
      <c r="J1294" t="n">
        <v>1</v>
      </c>
      <c r="K1294" t="n">
        <v>0</v>
      </c>
      <c r="L1294" t="n">
        <v>0</v>
      </c>
      <c r="M1294" t="n">
        <v>0</v>
      </c>
      <c r="N1294" t="n">
        <v>0</v>
      </c>
      <c r="O1294" t="n">
        <v>1</v>
      </c>
      <c r="P1294" t="n">
        <v>0</v>
      </c>
      <c r="Q1294" t="n">
        <v>1</v>
      </c>
      <c r="R1294" s="2" t="inlineStr">
        <is>
          <t>Garnlav</t>
        </is>
      </c>
      <c r="S1294">
        <f>HYPERLINK("https://klasma.github.io/Logging_2260/artfynd/A 27025-2025 artfynd.xlsx", "A 27025-2025")</f>
        <v/>
      </c>
      <c r="T1294">
        <f>HYPERLINK("https://klasma.github.io/Logging_2260/kartor/A 27025-2025 karta.png", "A 27025-2025")</f>
        <v/>
      </c>
      <c r="U1294">
        <f>HYPERLINK("https://klasma.github.io/Logging_2260/knärot/A 27025-2025 karta knärot.png", "A 27025-2025")</f>
        <v/>
      </c>
      <c r="V1294">
        <f>HYPERLINK("https://klasma.github.io/Logging_2260/klagomål/A 27025-2025 FSC-klagomål.docx", "A 27025-2025")</f>
        <v/>
      </c>
      <c r="W1294">
        <f>HYPERLINK("https://klasma.github.io/Logging_2260/klagomålsmail/A 27025-2025 FSC-klagomål mail.docx", "A 27025-2025")</f>
        <v/>
      </c>
      <c r="X1294">
        <f>HYPERLINK("https://klasma.github.io/Logging_2260/tillsyn/A 27025-2025 tillsynsbegäran.docx", "A 27025-2025")</f>
        <v/>
      </c>
      <c r="Y1294">
        <f>HYPERLINK("https://klasma.github.io/Logging_2260/tillsynsmail/A 27025-2025 tillsynsbegäran mail.docx", "A 27025-2025")</f>
        <v/>
      </c>
    </row>
    <row r="1295" ht="15" customHeight="1">
      <c r="A1295" t="inlineStr">
        <is>
          <t>A 32367-2025</t>
        </is>
      </c>
      <c r="B1295" s="1" t="n">
        <v>45837.65688657408</v>
      </c>
      <c r="C1295" s="1" t="n">
        <v>46093</v>
      </c>
      <c r="D1295" t="inlineStr">
        <is>
          <t>VÄSTERNORRLANDS LÄN</t>
        </is>
      </c>
      <c r="E1295" t="inlineStr">
        <is>
          <t>TIMRÅ</t>
        </is>
      </c>
      <c r="F1295" t="inlineStr">
        <is>
          <t>SCA</t>
        </is>
      </c>
      <c r="G1295" t="n">
        <v>11.8</v>
      </c>
      <c r="H1295" t="n">
        <v>0</v>
      </c>
      <c r="I1295" t="n">
        <v>0</v>
      </c>
      <c r="J1295" t="n">
        <v>1</v>
      </c>
      <c r="K1295" t="n">
        <v>0</v>
      </c>
      <c r="L1295" t="n">
        <v>0</v>
      </c>
      <c r="M1295" t="n">
        <v>0</v>
      </c>
      <c r="N1295" t="n">
        <v>0</v>
      </c>
      <c r="O1295" t="n">
        <v>1</v>
      </c>
      <c r="P1295" t="n">
        <v>0</v>
      </c>
      <c r="Q1295" t="n">
        <v>1</v>
      </c>
      <c r="R1295" s="2" t="inlineStr">
        <is>
          <t>Garnlav</t>
        </is>
      </c>
      <c r="S1295">
        <f>HYPERLINK("https://klasma.github.io/Logging_2262/artfynd/A 32367-2025 artfynd.xlsx", "A 32367-2025")</f>
        <v/>
      </c>
      <c r="T1295">
        <f>HYPERLINK("https://klasma.github.io/Logging_2262/kartor/A 32367-2025 karta.png", "A 32367-2025")</f>
        <v/>
      </c>
      <c r="V1295">
        <f>HYPERLINK("https://klasma.github.io/Logging_2262/klagomål/A 32367-2025 FSC-klagomål.docx", "A 32367-2025")</f>
        <v/>
      </c>
      <c r="W1295">
        <f>HYPERLINK("https://klasma.github.io/Logging_2262/klagomålsmail/A 32367-2025 FSC-klagomål mail.docx", "A 32367-2025")</f>
        <v/>
      </c>
      <c r="X1295">
        <f>HYPERLINK("https://klasma.github.io/Logging_2262/tillsyn/A 32367-2025 tillsynsbegäran.docx", "A 32367-2025")</f>
        <v/>
      </c>
      <c r="Y1295">
        <f>HYPERLINK("https://klasma.github.io/Logging_2262/tillsynsmail/A 32367-2025 tillsynsbegäran mail.docx", "A 32367-2025")</f>
        <v/>
      </c>
    </row>
    <row r="1296" ht="15" customHeight="1">
      <c r="A1296" t="inlineStr">
        <is>
          <t>A 32101-2025</t>
        </is>
      </c>
      <c r="B1296" s="1" t="n">
        <v>45835.46914351852</v>
      </c>
      <c r="C1296" s="1" t="n">
        <v>46093</v>
      </c>
      <c r="D1296" t="inlineStr">
        <is>
          <t>VÄSTERNORRLANDS LÄN</t>
        </is>
      </c>
      <c r="E1296" t="inlineStr">
        <is>
          <t>SOLLEFTEÅ</t>
        </is>
      </c>
      <c r="F1296" t="inlineStr">
        <is>
          <t>SCA</t>
        </is>
      </c>
      <c r="G1296" t="n">
        <v>2.2</v>
      </c>
      <c r="H1296" t="n">
        <v>1</v>
      </c>
      <c r="I1296" t="n">
        <v>0</v>
      </c>
      <c r="J1296" t="n">
        <v>1</v>
      </c>
      <c r="K1296" t="n">
        <v>0</v>
      </c>
      <c r="L1296" t="n">
        <v>0</v>
      </c>
      <c r="M1296" t="n">
        <v>0</v>
      </c>
      <c r="N1296" t="n">
        <v>0</v>
      </c>
      <c r="O1296" t="n">
        <v>1</v>
      </c>
      <c r="P1296" t="n">
        <v>0</v>
      </c>
      <c r="Q1296" t="n">
        <v>1</v>
      </c>
      <c r="R1296" s="2" t="inlineStr">
        <is>
          <t>Tretåig hackspett</t>
        </is>
      </c>
      <c r="S1296">
        <f>HYPERLINK("https://klasma.github.io/Logging_2283/artfynd/A 32101-2025 artfynd.xlsx", "A 32101-2025")</f>
        <v/>
      </c>
      <c r="T1296">
        <f>HYPERLINK("https://klasma.github.io/Logging_2283/kartor/A 32101-2025 karta.png", "A 32101-2025")</f>
        <v/>
      </c>
      <c r="V1296">
        <f>HYPERLINK("https://klasma.github.io/Logging_2283/klagomål/A 32101-2025 FSC-klagomål.docx", "A 32101-2025")</f>
        <v/>
      </c>
      <c r="W1296">
        <f>HYPERLINK("https://klasma.github.io/Logging_2283/klagomålsmail/A 32101-2025 FSC-klagomål mail.docx", "A 32101-2025")</f>
        <v/>
      </c>
      <c r="X1296">
        <f>HYPERLINK("https://klasma.github.io/Logging_2283/tillsyn/A 32101-2025 tillsynsbegäran.docx", "A 32101-2025")</f>
        <v/>
      </c>
      <c r="Y1296">
        <f>HYPERLINK("https://klasma.github.io/Logging_2283/tillsynsmail/A 32101-2025 tillsynsbegäran mail.docx", "A 32101-2025")</f>
        <v/>
      </c>
      <c r="Z1296">
        <f>HYPERLINK("https://klasma.github.io/Logging_2283/fåglar/A 32101-2025 prioriterade fågelarter.docx", "A 32101-2025")</f>
        <v/>
      </c>
    </row>
    <row r="1297" ht="15" customHeight="1">
      <c r="A1297" t="inlineStr">
        <is>
          <t>A 32171-2025</t>
        </is>
      </c>
      <c r="B1297" s="1" t="n">
        <v>45835.55256944444</v>
      </c>
      <c r="C1297" s="1" t="n">
        <v>46093</v>
      </c>
      <c r="D1297" t="inlineStr">
        <is>
          <t>VÄSTERNORRLANDS LÄN</t>
        </is>
      </c>
      <c r="E1297" t="inlineStr">
        <is>
          <t>TIMRÅ</t>
        </is>
      </c>
      <c r="F1297" t="inlineStr">
        <is>
          <t>SCA</t>
        </is>
      </c>
      <c r="G1297" t="n">
        <v>3.9</v>
      </c>
      <c r="H1297" t="n">
        <v>0</v>
      </c>
      <c r="I1297" t="n">
        <v>0</v>
      </c>
      <c r="J1297" t="n">
        <v>1</v>
      </c>
      <c r="K1297" t="n">
        <v>0</v>
      </c>
      <c r="L1297" t="n">
        <v>0</v>
      </c>
      <c r="M1297" t="n">
        <v>0</v>
      </c>
      <c r="N1297" t="n">
        <v>0</v>
      </c>
      <c r="O1297" t="n">
        <v>1</v>
      </c>
      <c r="P1297" t="n">
        <v>0</v>
      </c>
      <c r="Q1297" t="n">
        <v>1</v>
      </c>
      <c r="R1297" s="2" t="inlineStr">
        <is>
          <t>Garnlav</t>
        </is>
      </c>
      <c r="S1297">
        <f>HYPERLINK("https://klasma.github.io/Logging_2262/artfynd/A 32171-2025 artfynd.xlsx", "A 32171-2025")</f>
        <v/>
      </c>
      <c r="T1297">
        <f>HYPERLINK("https://klasma.github.io/Logging_2262/kartor/A 32171-2025 karta.png", "A 32171-2025")</f>
        <v/>
      </c>
      <c r="V1297">
        <f>HYPERLINK("https://klasma.github.io/Logging_2262/klagomål/A 32171-2025 FSC-klagomål.docx", "A 32171-2025")</f>
        <v/>
      </c>
      <c r="W1297">
        <f>HYPERLINK("https://klasma.github.io/Logging_2262/klagomålsmail/A 32171-2025 FSC-klagomål mail.docx", "A 32171-2025")</f>
        <v/>
      </c>
      <c r="X1297">
        <f>HYPERLINK("https://klasma.github.io/Logging_2262/tillsyn/A 32171-2025 tillsynsbegäran.docx", "A 32171-2025")</f>
        <v/>
      </c>
      <c r="Y1297">
        <f>HYPERLINK("https://klasma.github.io/Logging_2262/tillsynsmail/A 32171-2025 tillsynsbegäran mail.docx", "A 32171-2025")</f>
        <v/>
      </c>
    </row>
    <row r="1298" ht="15" customHeight="1">
      <c r="A1298" t="inlineStr">
        <is>
          <t>A 53989-2022</t>
        </is>
      </c>
      <c r="B1298" s="1" t="n">
        <v>44881</v>
      </c>
      <c r="C1298" s="1" t="n">
        <v>46093</v>
      </c>
      <c r="D1298" t="inlineStr">
        <is>
          <t>VÄSTERNORRLANDS LÄN</t>
        </is>
      </c>
      <c r="E1298" t="inlineStr">
        <is>
          <t>ÖRNSKÖLDSVIK</t>
        </is>
      </c>
      <c r="F1298" t="inlineStr">
        <is>
          <t>Holmen skog AB</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44610-2021</t>
        </is>
      </c>
      <c r="B1299" s="1" t="n">
        <v>44435.94177083333</v>
      </c>
      <c r="C1299" s="1" t="n">
        <v>46093</v>
      </c>
      <c r="D1299" t="inlineStr">
        <is>
          <t>VÄSTERNORRLANDS LÄN</t>
        </is>
      </c>
      <c r="E1299" t="inlineStr">
        <is>
          <t>SUNDSVALL</t>
        </is>
      </c>
      <c r="F1299" t="inlineStr">
        <is>
          <t>SCA</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20328-2021</t>
        </is>
      </c>
      <c r="B1300" s="1" t="n">
        <v>44315</v>
      </c>
      <c r="C1300" s="1" t="n">
        <v>46093</v>
      </c>
      <c r="D1300" t="inlineStr">
        <is>
          <t>VÄSTERNORRLANDS LÄN</t>
        </is>
      </c>
      <c r="E1300" t="inlineStr">
        <is>
          <t>ÖRNSKÖLDSVIK</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39364-2022</t>
        </is>
      </c>
      <c r="B1301" s="1" t="n">
        <v>44817</v>
      </c>
      <c r="C1301" s="1" t="n">
        <v>46093</v>
      </c>
      <c r="D1301" t="inlineStr">
        <is>
          <t>VÄSTERNORRLANDS LÄN</t>
        </is>
      </c>
      <c r="E1301" t="inlineStr">
        <is>
          <t>KRAMFORS</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36644-2022</t>
        </is>
      </c>
      <c r="B1302" s="1" t="n">
        <v>44804.74203703704</v>
      </c>
      <c r="C1302" s="1" t="n">
        <v>46093</v>
      </c>
      <c r="D1302" t="inlineStr">
        <is>
          <t>VÄSTERNORRLANDS LÄN</t>
        </is>
      </c>
      <c r="E1302" t="inlineStr">
        <is>
          <t>KRAMFORS</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49181-2022</t>
        </is>
      </c>
      <c r="B1303" s="1" t="n">
        <v>44860.95321759259</v>
      </c>
      <c r="C1303" s="1" t="n">
        <v>46093</v>
      </c>
      <c r="D1303" t="inlineStr">
        <is>
          <t>VÄSTERNORRLANDS LÄN</t>
        </is>
      </c>
      <c r="E1303" t="inlineStr">
        <is>
          <t>SOLLEFTEÅ</t>
        </is>
      </c>
      <c r="F1303" t="inlineStr">
        <is>
          <t>SCA</t>
        </is>
      </c>
      <c r="G1303" t="n">
        <v>6</v>
      </c>
      <c r="H1303" t="n">
        <v>0</v>
      </c>
      <c r="I1303" t="n">
        <v>0</v>
      </c>
      <c r="J1303" t="n">
        <v>0</v>
      </c>
      <c r="K1303" t="n">
        <v>0</v>
      </c>
      <c r="L1303" t="n">
        <v>0</v>
      </c>
      <c r="M1303" t="n">
        <v>0</v>
      </c>
      <c r="N1303" t="n">
        <v>0</v>
      </c>
      <c r="O1303" t="n">
        <v>0</v>
      </c>
      <c r="P1303" t="n">
        <v>0</v>
      </c>
      <c r="Q1303" t="n">
        <v>0</v>
      </c>
      <c r="R1303" s="2" t="inlineStr"/>
    </row>
    <row r="1304" ht="15" customHeight="1">
      <c r="A1304" t="inlineStr">
        <is>
          <t>A 53095-2022</t>
        </is>
      </c>
      <c r="B1304" s="1" t="n">
        <v>44873</v>
      </c>
      <c r="C1304" s="1" t="n">
        <v>46093</v>
      </c>
      <c r="D1304" t="inlineStr">
        <is>
          <t>VÄSTERNORRLANDS LÄN</t>
        </is>
      </c>
      <c r="E1304" t="inlineStr">
        <is>
          <t>ÖRNSKÖLDSVIK</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43660-2022</t>
        </is>
      </c>
      <c r="B1305" s="1" t="n">
        <v>44837</v>
      </c>
      <c r="C1305" s="1" t="n">
        <v>46093</v>
      </c>
      <c r="D1305" t="inlineStr">
        <is>
          <t>VÄSTERNORRLANDS LÄN</t>
        </is>
      </c>
      <c r="E1305" t="inlineStr">
        <is>
          <t>ÖRNSKÖLDSVIK</t>
        </is>
      </c>
      <c r="F1305" t="inlineStr">
        <is>
          <t>Holmen skog AB</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44528-2022</t>
        </is>
      </c>
      <c r="B1306" s="1" t="n">
        <v>44840.43861111111</v>
      </c>
      <c r="C1306" s="1" t="n">
        <v>46093</v>
      </c>
      <c r="D1306" t="inlineStr">
        <is>
          <t>VÄSTERNORRLANDS LÄN</t>
        </is>
      </c>
      <c r="E1306" t="inlineStr">
        <is>
          <t>ÖRNSKÖLDSVIK</t>
        </is>
      </c>
      <c r="F1306" t="inlineStr">
        <is>
          <t>Holmen skog AB</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20354-2021</t>
        </is>
      </c>
      <c r="B1307" s="1" t="n">
        <v>44312</v>
      </c>
      <c r="C1307" s="1" t="n">
        <v>46093</v>
      </c>
      <c r="D1307" t="inlineStr">
        <is>
          <t>VÄSTERNORRLANDS LÄN</t>
        </is>
      </c>
      <c r="E1307" t="inlineStr">
        <is>
          <t>ÅNGE</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20837-2021</t>
        </is>
      </c>
      <c r="B1308" s="1" t="n">
        <v>44318</v>
      </c>
      <c r="C1308" s="1" t="n">
        <v>46093</v>
      </c>
      <c r="D1308" t="inlineStr">
        <is>
          <t>VÄSTERNORRLANDS LÄN</t>
        </is>
      </c>
      <c r="E1308" t="inlineStr">
        <is>
          <t>ÖRNSKÖLDSVIK</t>
        </is>
      </c>
      <c r="G1308" t="n">
        <v>5.2</v>
      </c>
      <c r="H1308" t="n">
        <v>0</v>
      </c>
      <c r="I1308" t="n">
        <v>0</v>
      </c>
      <c r="J1308" t="n">
        <v>0</v>
      </c>
      <c r="K1308" t="n">
        <v>0</v>
      </c>
      <c r="L1308" t="n">
        <v>0</v>
      </c>
      <c r="M1308" t="n">
        <v>0</v>
      </c>
      <c r="N1308" t="n">
        <v>0</v>
      </c>
      <c r="O1308" t="n">
        <v>0</v>
      </c>
      <c r="P1308" t="n">
        <v>0</v>
      </c>
      <c r="Q1308" t="n">
        <v>0</v>
      </c>
      <c r="R1308" s="2" t="inlineStr"/>
    </row>
    <row r="1309" ht="15" customHeight="1">
      <c r="A1309" t="inlineStr">
        <is>
          <t>A 18453-2021</t>
        </is>
      </c>
      <c r="B1309" s="1" t="n">
        <v>44305.92042824074</v>
      </c>
      <c r="C1309" s="1" t="n">
        <v>46093</v>
      </c>
      <c r="D1309" t="inlineStr">
        <is>
          <t>VÄSTERNORRLANDS LÄN</t>
        </is>
      </c>
      <c r="E1309" t="inlineStr">
        <is>
          <t>SUNDSVALL</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44399-2022</t>
        </is>
      </c>
      <c r="B1310" s="1" t="n">
        <v>44838</v>
      </c>
      <c r="C1310" s="1" t="n">
        <v>46093</v>
      </c>
      <c r="D1310" t="inlineStr">
        <is>
          <t>VÄSTERNORRLANDS LÄN</t>
        </is>
      </c>
      <c r="E1310" t="inlineStr">
        <is>
          <t>SUNDSVALL</t>
        </is>
      </c>
      <c r="G1310" t="n">
        <v>0.2</v>
      </c>
      <c r="H1310" t="n">
        <v>0</v>
      </c>
      <c r="I1310" t="n">
        <v>0</v>
      </c>
      <c r="J1310" t="n">
        <v>0</v>
      </c>
      <c r="K1310" t="n">
        <v>0</v>
      </c>
      <c r="L1310" t="n">
        <v>0</v>
      </c>
      <c r="M1310" t="n">
        <v>0</v>
      </c>
      <c r="N1310" t="n">
        <v>0</v>
      </c>
      <c r="O1310" t="n">
        <v>0</v>
      </c>
      <c r="P1310" t="n">
        <v>0</v>
      </c>
      <c r="Q1310" t="n">
        <v>0</v>
      </c>
      <c r="R1310" s="2" t="inlineStr"/>
    </row>
    <row r="1311" ht="15" customHeight="1">
      <c r="A1311" t="inlineStr">
        <is>
          <t>A 14254-2021</t>
        </is>
      </c>
      <c r="B1311" s="1" t="n">
        <v>44278</v>
      </c>
      <c r="C1311" s="1" t="n">
        <v>46093</v>
      </c>
      <c r="D1311" t="inlineStr">
        <is>
          <t>VÄSTERNORRLANDS LÄN</t>
        </is>
      </c>
      <c r="E1311" t="inlineStr">
        <is>
          <t>KRAMFORS</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28519-2021</t>
        </is>
      </c>
      <c r="B1312" s="1" t="n">
        <v>44356</v>
      </c>
      <c r="C1312" s="1" t="n">
        <v>46093</v>
      </c>
      <c r="D1312" t="inlineStr">
        <is>
          <t>VÄSTERNORRLANDS LÄN</t>
        </is>
      </c>
      <c r="E1312" t="inlineStr">
        <is>
          <t>KRAMFORS</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28264-2021</t>
        </is>
      </c>
      <c r="B1313" s="1" t="n">
        <v>44355</v>
      </c>
      <c r="C1313" s="1" t="n">
        <v>46093</v>
      </c>
      <c r="D1313" t="inlineStr">
        <is>
          <t>VÄSTERNORRLANDS LÄN</t>
        </is>
      </c>
      <c r="E1313" t="inlineStr">
        <is>
          <t>SUNDSVALL</t>
        </is>
      </c>
      <c r="G1313" t="n">
        <v>0.1</v>
      </c>
      <c r="H1313" t="n">
        <v>0</v>
      </c>
      <c r="I1313" t="n">
        <v>0</v>
      </c>
      <c r="J1313" t="n">
        <v>0</v>
      </c>
      <c r="K1313" t="n">
        <v>0</v>
      </c>
      <c r="L1313" t="n">
        <v>0</v>
      </c>
      <c r="M1313" t="n">
        <v>0</v>
      </c>
      <c r="N1313" t="n">
        <v>0</v>
      </c>
      <c r="O1313" t="n">
        <v>0</v>
      </c>
      <c r="P1313" t="n">
        <v>0</v>
      </c>
      <c r="Q1313" t="n">
        <v>0</v>
      </c>
      <c r="R1313" s="2" t="inlineStr"/>
    </row>
    <row r="1314" ht="15" customHeight="1">
      <c r="A1314" t="inlineStr">
        <is>
          <t>A 19128-2021</t>
        </is>
      </c>
      <c r="B1314" s="1" t="n">
        <v>44308</v>
      </c>
      <c r="C1314" s="1" t="n">
        <v>46093</v>
      </c>
      <c r="D1314" t="inlineStr">
        <is>
          <t>VÄSTERNORRLANDS LÄN</t>
        </is>
      </c>
      <c r="E1314" t="inlineStr">
        <is>
          <t>KRAMFORS</t>
        </is>
      </c>
      <c r="G1314" t="n">
        <v>6.9</v>
      </c>
      <c r="H1314" t="n">
        <v>0</v>
      </c>
      <c r="I1314" t="n">
        <v>0</v>
      </c>
      <c r="J1314" t="n">
        <v>0</v>
      </c>
      <c r="K1314" t="n">
        <v>0</v>
      </c>
      <c r="L1314" t="n">
        <v>0</v>
      </c>
      <c r="M1314" t="n">
        <v>0</v>
      </c>
      <c r="N1314" t="n">
        <v>0</v>
      </c>
      <c r="O1314" t="n">
        <v>0</v>
      </c>
      <c r="P1314" t="n">
        <v>0</v>
      </c>
      <c r="Q1314" t="n">
        <v>0</v>
      </c>
      <c r="R1314" s="2" t="inlineStr"/>
    </row>
    <row r="1315" ht="15" customHeight="1">
      <c r="A1315" t="inlineStr">
        <is>
          <t>A 50127-2021</t>
        </is>
      </c>
      <c r="B1315" s="1" t="n">
        <v>44456</v>
      </c>
      <c r="C1315" s="1" t="n">
        <v>46093</v>
      </c>
      <c r="D1315" t="inlineStr">
        <is>
          <t>VÄSTERNORRLANDS LÄN</t>
        </is>
      </c>
      <c r="E1315" t="inlineStr">
        <is>
          <t>SUNDSVALL</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40367-2021</t>
        </is>
      </c>
      <c r="B1316" s="1" t="n">
        <v>44419.60454861111</v>
      </c>
      <c r="C1316" s="1" t="n">
        <v>46093</v>
      </c>
      <c r="D1316" t="inlineStr">
        <is>
          <t>VÄSTERNORRLANDS LÄN</t>
        </is>
      </c>
      <c r="E1316" t="inlineStr">
        <is>
          <t>ÖRNSKÖLDSVIK</t>
        </is>
      </c>
      <c r="F1316" t="inlineStr">
        <is>
          <t>Holmen skog AB</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48350-2021</t>
        </is>
      </c>
      <c r="B1317" s="1" t="n">
        <v>44451</v>
      </c>
      <c r="C1317" s="1" t="n">
        <v>46093</v>
      </c>
      <c r="D1317" t="inlineStr">
        <is>
          <t>VÄSTERNORRLANDS LÄN</t>
        </is>
      </c>
      <c r="E1317" t="inlineStr">
        <is>
          <t>ÖRNSKÖLDSVIK</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51104-2021</t>
        </is>
      </c>
      <c r="B1318" s="1" t="n">
        <v>44459</v>
      </c>
      <c r="C1318" s="1" t="n">
        <v>46093</v>
      </c>
      <c r="D1318" t="inlineStr">
        <is>
          <t>VÄSTERNORRLANDS LÄN</t>
        </is>
      </c>
      <c r="E1318" t="inlineStr">
        <is>
          <t>SOLLEFTEÅ</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18761-2021</t>
        </is>
      </c>
      <c r="B1319" s="1" t="n">
        <v>44307</v>
      </c>
      <c r="C1319" s="1" t="n">
        <v>46093</v>
      </c>
      <c r="D1319" t="inlineStr">
        <is>
          <t>VÄSTERNORRLANDS LÄN</t>
        </is>
      </c>
      <c r="E1319" t="inlineStr">
        <is>
          <t>SOLLEFTEÅ</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50237-2021</t>
        </is>
      </c>
      <c r="B1320" s="1" t="n">
        <v>44457.94170138889</v>
      </c>
      <c r="C1320" s="1" t="n">
        <v>46093</v>
      </c>
      <c r="D1320" t="inlineStr">
        <is>
          <t>VÄSTERNORRLANDS LÄN</t>
        </is>
      </c>
      <c r="E1320" t="inlineStr">
        <is>
          <t>SUNDSVALL</t>
        </is>
      </c>
      <c r="F1320" t="inlineStr">
        <is>
          <t>SCA</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21350-2021</t>
        </is>
      </c>
      <c r="B1321" s="1" t="n">
        <v>44320.95533564815</v>
      </c>
      <c r="C1321" s="1" t="n">
        <v>46093</v>
      </c>
      <c r="D1321" t="inlineStr">
        <is>
          <t>VÄSTERNORRLANDS LÄN</t>
        </is>
      </c>
      <c r="E1321" t="inlineStr">
        <is>
          <t>SOLLEFTEÅ</t>
        </is>
      </c>
      <c r="F1321" t="inlineStr">
        <is>
          <t>SCA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33915-2021</t>
        </is>
      </c>
      <c r="B1322" s="1" t="n">
        <v>44378</v>
      </c>
      <c r="C1322" s="1" t="n">
        <v>46093</v>
      </c>
      <c r="D1322" t="inlineStr">
        <is>
          <t>VÄSTERNORRLANDS LÄN</t>
        </is>
      </c>
      <c r="E1322" t="inlineStr">
        <is>
          <t>ÖRNSKÖLDSVIK</t>
        </is>
      </c>
      <c r="F1322" t="inlineStr">
        <is>
          <t>Holmen skog AB</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21532-2021</t>
        </is>
      </c>
      <c r="B1323" s="1" t="n">
        <v>44321</v>
      </c>
      <c r="C1323" s="1" t="n">
        <v>46093</v>
      </c>
      <c r="D1323" t="inlineStr">
        <is>
          <t>VÄSTERNORRLANDS LÄN</t>
        </is>
      </c>
      <c r="E1323" t="inlineStr">
        <is>
          <t>SOLLEFTEÅ</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24309-2021</t>
        </is>
      </c>
      <c r="B1324" s="1" t="n">
        <v>44336</v>
      </c>
      <c r="C1324" s="1" t="n">
        <v>46093</v>
      </c>
      <c r="D1324" t="inlineStr">
        <is>
          <t>VÄSTERNORRLANDS LÄN</t>
        </is>
      </c>
      <c r="E1324" t="inlineStr">
        <is>
          <t>ÖRNSKÖLDSVIK</t>
        </is>
      </c>
      <c r="G1324" t="n">
        <v>0.2</v>
      </c>
      <c r="H1324" t="n">
        <v>0</v>
      </c>
      <c r="I1324" t="n">
        <v>0</v>
      </c>
      <c r="J1324" t="n">
        <v>0</v>
      </c>
      <c r="K1324" t="n">
        <v>0</v>
      </c>
      <c r="L1324" t="n">
        <v>0</v>
      </c>
      <c r="M1324" t="n">
        <v>0</v>
      </c>
      <c r="N1324" t="n">
        <v>0</v>
      </c>
      <c r="O1324" t="n">
        <v>0</v>
      </c>
      <c r="P1324" t="n">
        <v>0</v>
      </c>
      <c r="Q1324" t="n">
        <v>0</v>
      </c>
      <c r="R1324" s="2" t="inlineStr"/>
    </row>
    <row r="1325" ht="15" customHeight="1">
      <c r="A1325" t="inlineStr">
        <is>
          <t>A 24311-2021</t>
        </is>
      </c>
      <c r="B1325" s="1" t="n">
        <v>44336</v>
      </c>
      <c r="C1325" s="1" t="n">
        <v>46093</v>
      </c>
      <c r="D1325" t="inlineStr">
        <is>
          <t>VÄSTERNORRLANDS LÄN</t>
        </is>
      </c>
      <c r="E1325" t="inlineStr">
        <is>
          <t>ÖRNSKÖLDSVIK</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42042-2021</t>
        </is>
      </c>
      <c r="B1326" s="1" t="n">
        <v>44426</v>
      </c>
      <c r="C1326" s="1" t="n">
        <v>46093</v>
      </c>
      <c r="D1326" t="inlineStr">
        <is>
          <t>VÄSTERNORRLANDS LÄN</t>
        </is>
      </c>
      <c r="E1326" t="inlineStr">
        <is>
          <t>ÖRNSKÖLDSVIK</t>
        </is>
      </c>
      <c r="G1326" t="n">
        <v>4.7</v>
      </c>
      <c r="H1326" t="n">
        <v>0</v>
      </c>
      <c r="I1326" t="n">
        <v>0</v>
      </c>
      <c r="J1326" t="n">
        <v>0</v>
      </c>
      <c r="K1326" t="n">
        <v>0</v>
      </c>
      <c r="L1326" t="n">
        <v>0</v>
      </c>
      <c r="M1326" t="n">
        <v>0</v>
      </c>
      <c r="N1326" t="n">
        <v>0</v>
      </c>
      <c r="O1326" t="n">
        <v>0</v>
      </c>
      <c r="P1326" t="n">
        <v>0</v>
      </c>
      <c r="Q1326" t="n">
        <v>0</v>
      </c>
      <c r="R1326" s="2" t="inlineStr"/>
    </row>
    <row r="1327" ht="15" customHeight="1">
      <c r="A1327" t="inlineStr">
        <is>
          <t>A 21740-2022</t>
        </is>
      </c>
      <c r="B1327" s="1" t="n">
        <v>44708.37472222222</v>
      </c>
      <c r="C1327" s="1" t="n">
        <v>46093</v>
      </c>
      <c r="D1327" t="inlineStr">
        <is>
          <t>VÄSTERNORRLANDS LÄN</t>
        </is>
      </c>
      <c r="E1327" t="inlineStr">
        <is>
          <t>ÅNGE</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26424-2021</t>
        </is>
      </c>
      <c r="B1328" s="1" t="n">
        <v>44347</v>
      </c>
      <c r="C1328" s="1" t="n">
        <v>46093</v>
      </c>
      <c r="D1328" t="inlineStr">
        <is>
          <t>VÄSTERNORRLANDS LÄN</t>
        </is>
      </c>
      <c r="E1328" t="inlineStr">
        <is>
          <t>SUNDSVALL</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53578-2021</t>
        </is>
      </c>
      <c r="B1329" s="1" t="n">
        <v>44469</v>
      </c>
      <c r="C1329" s="1" t="n">
        <v>46093</v>
      </c>
      <c r="D1329" t="inlineStr">
        <is>
          <t>VÄSTERNORRLANDS LÄN</t>
        </is>
      </c>
      <c r="E1329" t="inlineStr">
        <is>
          <t>KRAMFORS</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53626-2021</t>
        </is>
      </c>
      <c r="B1330" s="1" t="n">
        <v>44469</v>
      </c>
      <c r="C1330" s="1" t="n">
        <v>46093</v>
      </c>
      <c r="D1330" t="inlineStr">
        <is>
          <t>VÄSTERNORRLANDS LÄN</t>
        </is>
      </c>
      <c r="E1330" t="inlineStr">
        <is>
          <t>ÖRNSKÖLDSVIK</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36251-2021</t>
        </is>
      </c>
      <c r="B1331" s="1" t="n">
        <v>44390.3167824074</v>
      </c>
      <c r="C1331" s="1" t="n">
        <v>46093</v>
      </c>
      <c r="D1331" t="inlineStr">
        <is>
          <t>VÄSTERNORRLANDS LÄN</t>
        </is>
      </c>
      <c r="E1331" t="inlineStr">
        <is>
          <t>SUNDSVALL</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37624-2021</t>
        </is>
      </c>
      <c r="B1332" s="1" t="n">
        <v>44399</v>
      </c>
      <c r="C1332" s="1" t="n">
        <v>46093</v>
      </c>
      <c r="D1332" t="inlineStr">
        <is>
          <t>VÄSTERNORRLANDS LÄN</t>
        </is>
      </c>
      <c r="E1332" t="inlineStr">
        <is>
          <t>ÅNGE</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47203-2021</t>
        </is>
      </c>
      <c r="B1333" s="1" t="n">
        <v>44447.3393287037</v>
      </c>
      <c r="C1333" s="1" t="n">
        <v>46093</v>
      </c>
      <c r="D1333" t="inlineStr">
        <is>
          <t>VÄSTERNORRLANDS LÄN</t>
        </is>
      </c>
      <c r="E1333" t="inlineStr">
        <is>
          <t>TIMRÅ</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64478-2021</t>
        </is>
      </c>
      <c r="B1334" s="1" t="n">
        <v>44511</v>
      </c>
      <c r="C1334" s="1" t="n">
        <v>46093</v>
      </c>
      <c r="D1334" t="inlineStr">
        <is>
          <t>VÄSTERNORRLANDS LÄN</t>
        </is>
      </c>
      <c r="E1334" t="inlineStr">
        <is>
          <t>SUNDSVALL</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24353-2022</t>
        </is>
      </c>
      <c r="B1335" s="1" t="n">
        <v>44726.37769675926</v>
      </c>
      <c r="C1335" s="1" t="n">
        <v>46093</v>
      </c>
      <c r="D1335" t="inlineStr">
        <is>
          <t>VÄSTERNORRLANDS LÄN</t>
        </is>
      </c>
      <c r="E1335" t="inlineStr">
        <is>
          <t>ÅNGE</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61851-2021</t>
        </is>
      </c>
      <c r="B1336" s="1" t="n">
        <v>44501</v>
      </c>
      <c r="C1336" s="1" t="n">
        <v>46093</v>
      </c>
      <c r="D1336" t="inlineStr">
        <is>
          <t>VÄSTERNORRLANDS LÄN</t>
        </is>
      </c>
      <c r="E1336" t="inlineStr">
        <is>
          <t>SUNDSVALL</t>
        </is>
      </c>
      <c r="F1336" t="inlineStr">
        <is>
          <t>SCA</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12564-2022</t>
        </is>
      </c>
      <c r="B1337" s="1" t="n">
        <v>44638.94256944444</v>
      </c>
      <c r="C1337" s="1" t="n">
        <v>46093</v>
      </c>
      <c r="D1337" t="inlineStr">
        <is>
          <t>VÄSTERNORRLANDS LÄN</t>
        </is>
      </c>
      <c r="E1337" t="inlineStr">
        <is>
          <t>SOLLEFTEÅ</t>
        </is>
      </c>
      <c r="F1337" t="inlineStr">
        <is>
          <t>SCA</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974-2022</t>
        </is>
      </c>
      <c r="B1338" s="1" t="n">
        <v>44571.57930555556</v>
      </c>
      <c r="C1338" s="1" t="n">
        <v>46093</v>
      </c>
      <c r="D1338" t="inlineStr">
        <is>
          <t>VÄSTERNORRLANDS LÄN</t>
        </is>
      </c>
      <c r="E1338" t="inlineStr">
        <is>
          <t>ÖRNSKÖLDSVIK</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21111-2021</t>
        </is>
      </c>
      <c r="B1339" s="1" t="n">
        <v>44319</v>
      </c>
      <c r="C1339" s="1" t="n">
        <v>46093</v>
      </c>
      <c r="D1339" t="inlineStr">
        <is>
          <t>VÄSTERNORRLANDS LÄN</t>
        </is>
      </c>
      <c r="E1339" t="inlineStr">
        <is>
          <t>KRAMFORS</t>
        </is>
      </c>
      <c r="F1339" t="inlineStr">
        <is>
          <t>Kommuner</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33737-2021</t>
        </is>
      </c>
      <c r="B1340" s="1" t="n">
        <v>44377</v>
      </c>
      <c r="C1340" s="1" t="n">
        <v>46093</v>
      </c>
      <c r="D1340" t="inlineStr">
        <is>
          <t>VÄSTERNORRLANDS LÄN</t>
        </is>
      </c>
      <c r="E1340" t="inlineStr">
        <is>
          <t>ÖRNSKÖLDSVIK</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11838-2022</t>
        </is>
      </c>
      <c r="B1341" s="1" t="n">
        <v>44634.92177083333</v>
      </c>
      <c r="C1341" s="1" t="n">
        <v>46093</v>
      </c>
      <c r="D1341" t="inlineStr">
        <is>
          <t>VÄSTERNORRLANDS LÄN</t>
        </is>
      </c>
      <c r="E1341" t="inlineStr">
        <is>
          <t>KRAMFORS</t>
        </is>
      </c>
      <c r="G1341" t="n">
        <v>0.2</v>
      </c>
      <c r="H1341" t="n">
        <v>0</v>
      </c>
      <c r="I1341" t="n">
        <v>0</v>
      </c>
      <c r="J1341" t="n">
        <v>0</v>
      </c>
      <c r="K1341" t="n">
        <v>0</v>
      </c>
      <c r="L1341" t="n">
        <v>0</v>
      </c>
      <c r="M1341" t="n">
        <v>0</v>
      </c>
      <c r="N1341" t="n">
        <v>0</v>
      </c>
      <c r="O1341" t="n">
        <v>0</v>
      </c>
      <c r="P1341" t="n">
        <v>0</v>
      </c>
      <c r="Q1341" t="n">
        <v>0</v>
      </c>
      <c r="R1341" s="2" t="inlineStr"/>
    </row>
    <row r="1342" ht="15" customHeight="1">
      <c r="A1342" t="inlineStr">
        <is>
          <t>A 73344-2021</t>
        </is>
      </c>
      <c r="B1342" s="1" t="n">
        <v>44550</v>
      </c>
      <c r="C1342" s="1" t="n">
        <v>46093</v>
      </c>
      <c r="D1342" t="inlineStr">
        <is>
          <t>VÄSTERNORRLANDS LÄN</t>
        </is>
      </c>
      <c r="E1342" t="inlineStr">
        <is>
          <t>ÖRNSKÖLDSVIK</t>
        </is>
      </c>
      <c r="G1342" t="n">
        <v>6.8</v>
      </c>
      <c r="H1342" t="n">
        <v>0</v>
      </c>
      <c r="I1342" t="n">
        <v>0</v>
      </c>
      <c r="J1342" t="n">
        <v>0</v>
      </c>
      <c r="K1342" t="n">
        <v>0</v>
      </c>
      <c r="L1342" t="n">
        <v>0</v>
      </c>
      <c r="M1342" t="n">
        <v>0</v>
      </c>
      <c r="N1342" t="n">
        <v>0</v>
      </c>
      <c r="O1342" t="n">
        <v>0</v>
      </c>
      <c r="P1342" t="n">
        <v>0</v>
      </c>
      <c r="Q1342" t="n">
        <v>0</v>
      </c>
      <c r="R1342" s="2" t="inlineStr"/>
    </row>
    <row r="1343" ht="15" customHeight="1">
      <c r="A1343" t="inlineStr">
        <is>
          <t>A 52413-2021</t>
        </is>
      </c>
      <c r="B1343" s="1" t="n">
        <v>44466.32505787037</v>
      </c>
      <c r="C1343" s="1" t="n">
        <v>46093</v>
      </c>
      <c r="D1343" t="inlineStr">
        <is>
          <t>VÄSTERNORRLANDS LÄN</t>
        </is>
      </c>
      <c r="E1343" t="inlineStr">
        <is>
          <t>ÖRNSKÖLDSVIK</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45001-2022</t>
        </is>
      </c>
      <c r="B1344" s="1" t="n">
        <v>44841</v>
      </c>
      <c r="C1344" s="1" t="n">
        <v>46093</v>
      </c>
      <c r="D1344" t="inlineStr">
        <is>
          <t>VÄSTERNORRLANDS LÄN</t>
        </is>
      </c>
      <c r="E1344" t="inlineStr">
        <is>
          <t>ÖRNSKÖLDSVIK</t>
        </is>
      </c>
      <c r="F1344" t="inlineStr">
        <is>
          <t>Holmen skog AB</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29484-2021</t>
        </is>
      </c>
      <c r="B1345" s="1" t="n">
        <v>44361.64238425926</v>
      </c>
      <c r="C1345" s="1" t="n">
        <v>46093</v>
      </c>
      <c r="D1345" t="inlineStr">
        <is>
          <t>VÄSTERNORRLANDS LÄN</t>
        </is>
      </c>
      <c r="E1345" t="inlineStr">
        <is>
          <t>SUNDSVALL</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25196-2022</t>
        </is>
      </c>
      <c r="B1346" s="1" t="n">
        <v>44729.64677083334</v>
      </c>
      <c r="C1346" s="1" t="n">
        <v>46093</v>
      </c>
      <c r="D1346" t="inlineStr">
        <is>
          <t>VÄSTERNORRLANDS LÄN</t>
        </is>
      </c>
      <c r="E1346" t="inlineStr">
        <is>
          <t>SUNDSVALL</t>
        </is>
      </c>
      <c r="F1346" t="inlineStr">
        <is>
          <t>Holmen skog AB</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69799-2021</t>
        </is>
      </c>
      <c r="B1347" s="1" t="n">
        <v>44532</v>
      </c>
      <c r="C1347" s="1" t="n">
        <v>46093</v>
      </c>
      <c r="D1347" t="inlineStr">
        <is>
          <t>VÄSTERNORRLANDS LÄN</t>
        </is>
      </c>
      <c r="E1347" t="inlineStr">
        <is>
          <t>ÖRNSKÖLDSVIK</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43323-2021</t>
        </is>
      </c>
      <c r="B1348" s="1" t="n">
        <v>44432</v>
      </c>
      <c r="C1348" s="1" t="n">
        <v>46093</v>
      </c>
      <c r="D1348" t="inlineStr">
        <is>
          <t>VÄSTERNORRLANDS LÄN</t>
        </is>
      </c>
      <c r="E1348" t="inlineStr">
        <is>
          <t>ÖRNSKÖLDSVIK</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37040-2021</t>
        </is>
      </c>
      <c r="B1349" s="1" t="n">
        <v>44393.93452546297</v>
      </c>
      <c r="C1349" s="1" t="n">
        <v>46093</v>
      </c>
      <c r="D1349" t="inlineStr">
        <is>
          <t>VÄSTERNORRLANDS LÄN</t>
        </is>
      </c>
      <c r="E1349" t="inlineStr">
        <is>
          <t>SUNDSVALL</t>
        </is>
      </c>
      <c r="F1349" t="inlineStr">
        <is>
          <t>SCA</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43360-2021</t>
        </is>
      </c>
      <c r="B1350" s="1" t="n">
        <v>44432</v>
      </c>
      <c r="C1350" s="1" t="n">
        <v>46093</v>
      </c>
      <c r="D1350" t="inlineStr">
        <is>
          <t>VÄSTERNORRLANDS LÄN</t>
        </is>
      </c>
      <c r="E1350" t="inlineStr">
        <is>
          <t>ÖRNSKÖLDSVIK</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49434-2022</t>
        </is>
      </c>
      <c r="B1351" s="1" t="n">
        <v>44859</v>
      </c>
      <c r="C1351" s="1" t="n">
        <v>46093</v>
      </c>
      <c r="D1351" t="inlineStr">
        <is>
          <t>VÄSTERNORRLANDS LÄN</t>
        </is>
      </c>
      <c r="E1351" t="inlineStr">
        <is>
          <t>KRAMFORS</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22434-2022</t>
        </is>
      </c>
      <c r="B1352" s="1" t="n">
        <v>44713</v>
      </c>
      <c r="C1352" s="1" t="n">
        <v>46093</v>
      </c>
      <c r="D1352" t="inlineStr">
        <is>
          <t>VÄSTERNORRLANDS LÄN</t>
        </is>
      </c>
      <c r="E1352" t="inlineStr">
        <is>
          <t>ÖRNSKÖLDSVIK</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37835-2022</t>
        </is>
      </c>
      <c r="B1353" s="1" t="n">
        <v>44810</v>
      </c>
      <c r="C1353" s="1" t="n">
        <v>46093</v>
      </c>
      <c r="D1353" t="inlineStr">
        <is>
          <t>VÄSTERNORRLANDS LÄN</t>
        </is>
      </c>
      <c r="E1353" t="inlineStr">
        <is>
          <t>SOLLEFTEÅ</t>
        </is>
      </c>
      <c r="F1353" t="inlineStr">
        <is>
          <t>SCA</t>
        </is>
      </c>
      <c r="G1353" t="n">
        <v>8.5</v>
      </c>
      <c r="H1353" t="n">
        <v>0</v>
      </c>
      <c r="I1353" t="n">
        <v>0</v>
      </c>
      <c r="J1353" t="n">
        <v>0</v>
      </c>
      <c r="K1353" t="n">
        <v>0</v>
      </c>
      <c r="L1353" t="n">
        <v>0</v>
      </c>
      <c r="M1353" t="n">
        <v>0</v>
      </c>
      <c r="N1353" t="n">
        <v>0</v>
      </c>
      <c r="O1353" t="n">
        <v>0</v>
      </c>
      <c r="P1353" t="n">
        <v>0</v>
      </c>
      <c r="Q1353" t="n">
        <v>0</v>
      </c>
      <c r="R1353" s="2" t="inlineStr"/>
    </row>
    <row r="1354" ht="15" customHeight="1">
      <c r="A1354" t="inlineStr">
        <is>
          <t>A 38087-2021</t>
        </is>
      </c>
      <c r="B1354" s="1" t="n">
        <v>44404</v>
      </c>
      <c r="C1354" s="1" t="n">
        <v>46093</v>
      </c>
      <c r="D1354" t="inlineStr">
        <is>
          <t>VÄSTERNORRLANDS LÄN</t>
        </is>
      </c>
      <c r="E1354" t="inlineStr">
        <is>
          <t>ÖRNSKÖLDSVIK</t>
        </is>
      </c>
      <c r="G1354" t="n">
        <v>5.3</v>
      </c>
      <c r="H1354" t="n">
        <v>0</v>
      </c>
      <c r="I1354" t="n">
        <v>0</v>
      </c>
      <c r="J1354" t="n">
        <v>0</v>
      </c>
      <c r="K1354" t="n">
        <v>0</v>
      </c>
      <c r="L1354" t="n">
        <v>0</v>
      </c>
      <c r="M1354" t="n">
        <v>0</v>
      </c>
      <c r="N1354" t="n">
        <v>0</v>
      </c>
      <c r="O1354" t="n">
        <v>0</v>
      </c>
      <c r="P1354" t="n">
        <v>0</v>
      </c>
      <c r="Q1354" t="n">
        <v>0</v>
      </c>
      <c r="R1354" s="2" t="inlineStr"/>
    </row>
    <row r="1355" ht="15" customHeight="1">
      <c r="A1355" t="inlineStr">
        <is>
          <t>A 5381-2022</t>
        </is>
      </c>
      <c r="B1355" s="1" t="n">
        <v>44594.9337037037</v>
      </c>
      <c r="C1355" s="1" t="n">
        <v>46093</v>
      </c>
      <c r="D1355" t="inlineStr">
        <is>
          <t>VÄSTERNORRLANDS LÄN</t>
        </is>
      </c>
      <c r="E1355" t="inlineStr">
        <is>
          <t>ÅNGE</t>
        </is>
      </c>
      <c r="F1355" t="inlineStr">
        <is>
          <t>SCA</t>
        </is>
      </c>
      <c r="G1355" t="n">
        <v>4.3</v>
      </c>
      <c r="H1355" t="n">
        <v>0</v>
      </c>
      <c r="I1355" t="n">
        <v>0</v>
      </c>
      <c r="J1355" t="n">
        <v>0</v>
      </c>
      <c r="K1355" t="n">
        <v>0</v>
      </c>
      <c r="L1355" t="n">
        <v>0</v>
      </c>
      <c r="M1355" t="n">
        <v>0</v>
      </c>
      <c r="N1355" t="n">
        <v>0</v>
      </c>
      <c r="O1355" t="n">
        <v>0</v>
      </c>
      <c r="P1355" t="n">
        <v>0</v>
      </c>
      <c r="Q1355" t="n">
        <v>0</v>
      </c>
      <c r="R1355" s="2" t="inlineStr"/>
    </row>
    <row r="1356" ht="15" customHeight="1">
      <c r="A1356" t="inlineStr">
        <is>
          <t>A 25643-2022</t>
        </is>
      </c>
      <c r="B1356" s="1" t="n">
        <v>44732.94244212963</v>
      </c>
      <c r="C1356" s="1" t="n">
        <v>46093</v>
      </c>
      <c r="D1356" t="inlineStr">
        <is>
          <t>VÄSTERNORRLANDS LÄN</t>
        </is>
      </c>
      <c r="E1356" t="inlineStr">
        <is>
          <t>SUNDSVALL</t>
        </is>
      </c>
      <c r="F1356" t="inlineStr">
        <is>
          <t>Naturvårdsverket</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38432-2021</t>
        </is>
      </c>
      <c r="B1357" s="1" t="n">
        <v>44406</v>
      </c>
      <c r="C1357" s="1" t="n">
        <v>46093</v>
      </c>
      <c r="D1357" t="inlineStr">
        <is>
          <t>VÄSTERNORRLANDS LÄN</t>
        </is>
      </c>
      <c r="E1357" t="inlineStr">
        <is>
          <t>ÅNGE</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14433-2022</t>
        </is>
      </c>
      <c r="B1358" s="1" t="n">
        <v>44652</v>
      </c>
      <c r="C1358" s="1" t="n">
        <v>46093</v>
      </c>
      <c r="D1358" t="inlineStr">
        <is>
          <t>VÄSTERNORRLANDS LÄN</t>
        </is>
      </c>
      <c r="E1358" t="inlineStr">
        <is>
          <t>ÅNGE</t>
        </is>
      </c>
      <c r="F1358" t="inlineStr">
        <is>
          <t>SCA</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17039-2022</t>
        </is>
      </c>
      <c r="B1359" s="1" t="n">
        <v>44676.92622685185</v>
      </c>
      <c r="C1359" s="1" t="n">
        <v>46093</v>
      </c>
      <c r="D1359" t="inlineStr">
        <is>
          <t>VÄSTERNORRLANDS LÄN</t>
        </is>
      </c>
      <c r="E1359" t="inlineStr">
        <is>
          <t>SUNDSVALL</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50240-2022</t>
        </is>
      </c>
      <c r="B1360" s="1" t="n">
        <v>44865</v>
      </c>
      <c r="C1360" s="1" t="n">
        <v>46093</v>
      </c>
      <c r="D1360" t="inlineStr">
        <is>
          <t>VÄSTERNORRLANDS LÄN</t>
        </is>
      </c>
      <c r="E1360" t="inlineStr">
        <is>
          <t>ÖRNSKÖLDSVIK</t>
        </is>
      </c>
      <c r="F1360" t="inlineStr">
        <is>
          <t>Holmen skog AB</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45812-2022</t>
        </is>
      </c>
      <c r="B1361" s="1" t="n">
        <v>44846.47394675926</v>
      </c>
      <c r="C1361" s="1" t="n">
        <v>46093</v>
      </c>
      <c r="D1361" t="inlineStr">
        <is>
          <t>VÄSTERNORRLANDS LÄN</t>
        </is>
      </c>
      <c r="E1361" t="inlineStr">
        <is>
          <t>ÖRNSKÖLDSVIK</t>
        </is>
      </c>
      <c r="F1361" t="inlineStr">
        <is>
          <t>Holmen skog AB</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51798-2021</t>
        </is>
      </c>
      <c r="B1362" s="1" t="n">
        <v>44462</v>
      </c>
      <c r="C1362" s="1" t="n">
        <v>46093</v>
      </c>
      <c r="D1362" t="inlineStr">
        <is>
          <t>VÄSTERNORRLANDS LÄN</t>
        </is>
      </c>
      <c r="E1362" t="inlineStr">
        <is>
          <t>ÖRNSKÖLDSVIK</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48990-2021</t>
        </is>
      </c>
      <c r="B1363" s="1" t="n">
        <v>44453</v>
      </c>
      <c r="C1363" s="1" t="n">
        <v>46093</v>
      </c>
      <c r="D1363" t="inlineStr">
        <is>
          <t>VÄSTERNORRLANDS LÄN</t>
        </is>
      </c>
      <c r="E1363" t="inlineStr">
        <is>
          <t>ÅNGE</t>
        </is>
      </c>
      <c r="F1363" t="inlineStr">
        <is>
          <t>Sveaskog</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47879-2022</t>
        </is>
      </c>
      <c r="B1364" s="1" t="n">
        <v>44855</v>
      </c>
      <c r="C1364" s="1" t="n">
        <v>46093</v>
      </c>
      <c r="D1364" t="inlineStr">
        <is>
          <t>VÄSTERNORRLANDS LÄN</t>
        </is>
      </c>
      <c r="E1364" t="inlineStr">
        <is>
          <t>ÖRNSKÖLDSVIK</t>
        </is>
      </c>
      <c r="F1364" t="inlineStr">
        <is>
          <t>Holmen skog AB</t>
        </is>
      </c>
      <c r="G1364" t="n">
        <v>7.7</v>
      </c>
      <c r="H1364" t="n">
        <v>0</v>
      </c>
      <c r="I1364" t="n">
        <v>0</v>
      </c>
      <c r="J1364" t="n">
        <v>0</v>
      </c>
      <c r="K1364" t="n">
        <v>0</v>
      </c>
      <c r="L1364" t="n">
        <v>0</v>
      </c>
      <c r="M1364" t="n">
        <v>0</v>
      </c>
      <c r="N1364" t="n">
        <v>0</v>
      </c>
      <c r="O1364" t="n">
        <v>0</v>
      </c>
      <c r="P1364" t="n">
        <v>0</v>
      </c>
      <c r="Q1364" t="n">
        <v>0</v>
      </c>
      <c r="R1364" s="2" t="inlineStr"/>
    </row>
    <row r="1365" ht="15" customHeight="1">
      <c r="A1365" t="inlineStr">
        <is>
          <t>A 30937-2022</t>
        </is>
      </c>
      <c r="B1365" s="1" t="n">
        <v>44767.94092592593</v>
      </c>
      <c r="C1365" s="1" t="n">
        <v>46093</v>
      </c>
      <c r="D1365" t="inlineStr">
        <is>
          <t>VÄSTERNORRLANDS LÄN</t>
        </is>
      </c>
      <c r="E1365" t="inlineStr">
        <is>
          <t>SOLLEFTEÅ</t>
        </is>
      </c>
      <c r="F1365" t="inlineStr">
        <is>
          <t>SCA</t>
        </is>
      </c>
      <c r="G1365" t="n">
        <v>10.2</v>
      </c>
      <c r="H1365" t="n">
        <v>0</v>
      </c>
      <c r="I1365" t="n">
        <v>0</v>
      </c>
      <c r="J1365" t="n">
        <v>0</v>
      </c>
      <c r="K1365" t="n">
        <v>0</v>
      </c>
      <c r="L1365" t="n">
        <v>0</v>
      </c>
      <c r="M1365" t="n">
        <v>0</v>
      </c>
      <c r="N1365" t="n">
        <v>0</v>
      </c>
      <c r="O1365" t="n">
        <v>0</v>
      </c>
      <c r="P1365" t="n">
        <v>0</v>
      </c>
      <c r="Q1365" t="n">
        <v>0</v>
      </c>
      <c r="R1365" s="2" t="inlineStr"/>
    </row>
    <row r="1366" ht="15" customHeight="1">
      <c r="A1366" t="inlineStr">
        <is>
          <t>A 41455-2022</t>
        </is>
      </c>
      <c r="B1366" s="1" t="n">
        <v>44826</v>
      </c>
      <c r="C1366" s="1" t="n">
        <v>46093</v>
      </c>
      <c r="D1366" t="inlineStr">
        <is>
          <t>VÄSTERNORRLANDS LÄN</t>
        </is>
      </c>
      <c r="E1366" t="inlineStr">
        <is>
          <t>SOLLEFTEÅ</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52700-2022</t>
        </is>
      </c>
      <c r="B1367" s="1" t="n">
        <v>44874</v>
      </c>
      <c r="C1367" s="1" t="n">
        <v>46093</v>
      </c>
      <c r="D1367" t="inlineStr">
        <is>
          <t>VÄSTERNORRLANDS LÄN</t>
        </is>
      </c>
      <c r="E1367" t="inlineStr">
        <is>
          <t>HÄRNÖSAND</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48860-2021</t>
        </is>
      </c>
      <c r="B1368" s="1" t="n">
        <v>44452.94059027778</v>
      </c>
      <c r="C1368" s="1" t="n">
        <v>46093</v>
      </c>
      <c r="D1368" t="inlineStr">
        <is>
          <t>VÄSTERNORRLANDS LÄN</t>
        </is>
      </c>
      <c r="E1368" t="inlineStr">
        <is>
          <t>HÄRNÖSAND</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48876-2021</t>
        </is>
      </c>
      <c r="B1369" s="1" t="n">
        <v>44452</v>
      </c>
      <c r="C1369" s="1" t="n">
        <v>46093</v>
      </c>
      <c r="D1369" t="inlineStr">
        <is>
          <t>VÄSTERNORRLANDS LÄN</t>
        </is>
      </c>
      <c r="E1369" t="inlineStr">
        <is>
          <t>ÅNGE</t>
        </is>
      </c>
      <c r="F1369" t="inlineStr">
        <is>
          <t>SCA</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45187-2021</t>
        </is>
      </c>
      <c r="B1370" s="1" t="n">
        <v>44439</v>
      </c>
      <c r="C1370" s="1" t="n">
        <v>46093</v>
      </c>
      <c r="D1370" t="inlineStr">
        <is>
          <t>VÄSTERNORRLANDS LÄN</t>
        </is>
      </c>
      <c r="E1370" t="inlineStr">
        <is>
          <t>SOLLEFTEÅ</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20902-2021</t>
        </is>
      </c>
      <c r="B1371" s="1" t="n">
        <v>44319</v>
      </c>
      <c r="C1371" s="1" t="n">
        <v>46093</v>
      </c>
      <c r="D1371" t="inlineStr">
        <is>
          <t>VÄSTERNORRLANDS LÄN</t>
        </is>
      </c>
      <c r="E1371" t="inlineStr">
        <is>
          <t>ÖRNSKÖLDSVIK</t>
        </is>
      </c>
      <c r="F1371" t="inlineStr">
        <is>
          <t>Holmen skog AB</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49001-2022</t>
        </is>
      </c>
      <c r="B1372" s="1" t="n">
        <v>44860</v>
      </c>
      <c r="C1372" s="1" t="n">
        <v>46093</v>
      </c>
      <c r="D1372" t="inlineStr">
        <is>
          <t>VÄSTERNORRLANDS LÄN</t>
        </is>
      </c>
      <c r="E1372" t="inlineStr">
        <is>
          <t>ÖRNSKÖLDSVIK</t>
        </is>
      </c>
      <c r="F1372" t="inlineStr">
        <is>
          <t>Holmen skog AB</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44047-2021</t>
        </is>
      </c>
      <c r="B1373" s="1" t="n">
        <v>44434</v>
      </c>
      <c r="C1373" s="1" t="n">
        <v>46093</v>
      </c>
      <c r="D1373" t="inlineStr">
        <is>
          <t>VÄSTERNORRLANDS LÄN</t>
        </is>
      </c>
      <c r="E1373" t="inlineStr">
        <is>
          <t>HÄRNÖSAND</t>
        </is>
      </c>
      <c r="G1373" t="n">
        <v>5.1</v>
      </c>
      <c r="H1373" t="n">
        <v>0</v>
      </c>
      <c r="I1373" t="n">
        <v>0</v>
      </c>
      <c r="J1373" t="n">
        <v>0</v>
      </c>
      <c r="K1373" t="n">
        <v>0</v>
      </c>
      <c r="L1373" t="n">
        <v>0</v>
      </c>
      <c r="M1373" t="n">
        <v>0</v>
      </c>
      <c r="N1373" t="n">
        <v>0</v>
      </c>
      <c r="O1373" t="n">
        <v>0</v>
      </c>
      <c r="P1373" t="n">
        <v>0</v>
      </c>
      <c r="Q1373" t="n">
        <v>0</v>
      </c>
      <c r="R1373" s="2" t="inlineStr"/>
    </row>
    <row r="1374" ht="15" customHeight="1">
      <c r="A1374" t="inlineStr">
        <is>
          <t>A 54626-2021</t>
        </is>
      </c>
      <c r="B1374" s="1" t="n">
        <v>44473</v>
      </c>
      <c r="C1374" s="1" t="n">
        <v>46093</v>
      </c>
      <c r="D1374" t="inlineStr">
        <is>
          <t>VÄSTERNORRLANDS LÄN</t>
        </is>
      </c>
      <c r="E1374" t="inlineStr">
        <is>
          <t>ÖRNSKÖLDSVIK</t>
        </is>
      </c>
      <c r="G1374" t="n">
        <v>5.1</v>
      </c>
      <c r="H1374" t="n">
        <v>0</v>
      </c>
      <c r="I1374" t="n">
        <v>0</v>
      </c>
      <c r="J1374" t="n">
        <v>0</v>
      </c>
      <c r="K1374" t="n">
        <v>0</v>
      </c>
      <c r="L1374" t="n">
        <v>0</v>
      </c>
      <c r="M1374" t="n">
        <v>0</v>
      </c>
      <c r="N1374" t="n">
        <v>0</v>
      </c>
      <c r="O1374" t="n">
        <v>0</v>
      </c>
      <c r="P1374" t="n">
        <v>0</v>
      </c>
      <c r="Q1374" t="n">
        <v>0</v>
      </c>
      <c r="R1374" s="2" t="inlineStr"/>
    </row>
    <row r="1375" ht="15" customHeight="1">
      <c r="A1375" t="inlineStr">
        <is>
          <t>A 39744-2021</t>
        </is>
      </c>
      <c r="B1375" s="1" t="n">
        <v>44417</v>
      </c>
      <c r="C1375" s="1" t="n">
        <v>46093</v>
      </c>
      <c r="D1375" t="inlineStr">
        <is>
          <t>VÄSTERNORRLANDS LÄN</t>
        </is>
      </c>
      <c r="E1375" t="inlineStr">
        <is>
          <t>ÅNGE</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52074-2021</t>
        </is>
      </c>
      <c r="B1376" s="1" t="n">
        <v>44463.4021875</v>
      </c>
      <c r="C1376" s="1" t="n">
        <v>46093</v>
      </c>
      <c r="D1376" t="inlineStr">
        <is>
          <t>VÄSTERNORRLANDS LÄN</t>
        </is>
      </c>
      <c r="E1376" t="inlineStr">
        <is>
          <t>ÖRNSKÖLDSVIK</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40247-2021</t>
        </is>
      </c>
      <c r="B1377" s="1" t="n">
        <v>44419</v>
      </c>
      <c r="C1377" s="1" t="n">
        <v>46093</v>
      </c>
      <c r="D1377" t="inlineStr">
        <is>
          <t>VÄSTERNORRLANDS LÄN</t>
        </is>
      </c>
      <c r="E1377" t="inlineStr">
        <is>
          <t>ÖRNSKÖLDSVIK</t>
        </is>
      </c>
      <c r="G1377" t="n">
        <v>6.1</v>
      </c>
      <c r="H1377" t="n">
        <v>0</v>
      </c>
      <c r="I1377" t="n">
        <v>0</v>
      </c>
      <c r="J1377" t="n">
        <v>0</v>
      </c>
      <c r="K1377" t="n">
        <v>0</v>
      </c>
      <c r="L1377" t="n">
        <v>0</v>
      </c>
      <c r="M1377" t="n">
        <v>0</v>
      </c>
      <c r="N1377" t="n">
        <v>0</v>
      </c>
      <c r="O1377" t="n">
        <v>0</v>
      </c>
      <c r="P1377" t="n">
        <v>0</v>
      </c>
      <c r="Q1377" t="n">
        <v>0</v>
      </c>
      <c r="R1377" s="2" t="inlineStr"/>
    </row>
    <row r="1378" ht="15" customHeight="1">
      <c r="A1378" t="inlineStr">
        <is>
          <t>A 53222-2021</t>
        </is>
      </c>
      <c r="B1378" s="1" t="n">
        <v>44468.4224537037</v>
      </c>
      <c r="C1378" s="1" t="n">
        <v>46093</v>
      </c>
      <c r="D1378" t="inlineStr">
        <is>
          <t>VÄSTERNORRLANDS LÄN</t>
        </is>
      </c>
      <c r="E1378" t="inlineStr">
        <is>
          <t>ÖRNSKÖLDSVIK</t>
        </is>
      </c>
      <c r="F1378" t="inlineStr">
        <is>
          <t>Holmen skog AB</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54416-2021</t>
        </is>
      </c>
      <c r="B1379" s="1" t="n">
        <v>44472</v>
      </c>
      <c r="C1379" s="1" t="n">
        <v>46093</v>
      </c>
      <c r="D1379" t="inlineStr">
        <is>
          <t>VÄSTERNORRLANDS LÄN</t>
        </is>
      </c>
      <c r="E1379" t="inlineStr">
        <is>
          <t>ÖRNSKÖLDSVIK</t>
        </is>
      </c>
      <c r="G1379" t="n">
        <v>6.3</v>
      </c>
      <c r="H1379" t="n">
        <v>0</v>
      </c>
      <c r="I1379" t="n">
        <v>0</v>
      </c>
      <c r="J1379" t="n">
        <v>0</v>
      </c>
      <c r="K1379" t="n">
        <v>0</v>
      </c>
      <c r="L1379" t="n">
        <v>0</v>
      </c>
      <c r="M1379" t="n">
        <v>0</v>
      </c>
      <c r="N1379" t="n">
        <v>0</v>
      </c>
      <c r="O1379" t="n">
        <v>0</v>
      </c>
      <c r="P1379" t="n">
        <v>0</v>
      </c>
      <c r="Q1379" t="n">
        <v>0</v>
      </c>
      <c r="R1379" s="2" t="inlineStr"/>
    </row>
    <row r="1380" ht="15" customHeight="1">
      <c r="A1380" t="inlineStr">
        <is>
          <t>A 12851-2021</t>
        </is>
      </c>
      <c r="B1380" s="1" t="n">
        <v>44270</v>
      </c>
      <c r="C1380" s="1" t="n">
        <v>46093</v>
      </c>
      <c r="D1380" t="inlineStr">
        <is>
          <t>VÄSTERNORRLANDS LÄN</t>
        </is>
      </c>
      <c r="E1380" t="inlineStr">
        <is>
          <t>ÖRNSKÖLDSVIK</t>
        </is>
      </c>
      <c r="G1380" t="n">
        <v>0.2</v>
      </c>
      <c r="H1380" t="n">
        <v>0</v>
      </c>
      <c r="I1380" t="n">
        <v>0</v>
      </c>
      <c r="J1380" t="n">
        <v>0</v>
      </c>
      <c r="K1380" t="n">
        <v>0</v>
      </c>
      <c r="L1380" t="n">
        <v>0</v>
      </c>
      <c r="M1380" t="n">
        <v>0</v>
      </c>
      <c r="N1380" t="n">
        <v>0</v>
      </c>
      <c r="O1380" t="n">
        <v>0</v>
      </c>
      <c r="P1380" t="n">
        <v>0</v>
      </c>
      <c r="Q1380" t="n">
        <v>0</v>
      </c>
      <c r="R1380" s="2" t="inlineStr"/>
    </row>
    <row r="1381" ht="15" customHeight="1">
      <c r="A1381" t="inlineStr">
        <is>
          <t>A 54436-2021</t>
        </is>
      </c>
      <c r="B1381" s="1" t="n">
        <v>44473</v>
      </c>
      <c r="C1381" s="1" t="n">
        <v>46093</v>
      </c>
      <c r="D1381" t="inlineStr">
        <is>
          <t>VÄSTERNORRLANDS LÄN</t>
        </is>
      </c>
      <c r="E1381" t="inlineStr">
        <is>
          <t>ÖRNSKÖLDSVIK</t>
        </is>
      </c>
      <c r="F1381" t="inlineStr">
        <is>
          <t>Holmen skog AB</t>
        </is>
      </c>
      <c r="G1381" t="n">
        <v>0.3</v>
      </c>
      <c r="H1381" t="n">
        <v>0</v>
      </c>
      <c r="I1381" t="n">
        <v>0</v>
      </c>
      <c r="J1381" t="n">
        <v>0</v>
      </c>
      <c r="K1381" t="n">
        <v>0</v>
      </c>
      <c r="L1381" t="n">
        <v>0</v>
      </c>
      <c r="M1381" t="n">
        <v>0</v>
      </c>
      <c r="N1381" t="n">
        <v>0</v>
      </c>
      <c r="O1381" t="n">
        <v>0</v>
      </c>
      <c r="P1381" t="n">
        <v>0</v>
      </c>
      <c r="Q1381" t="n">
        <v>0</v>
      </c>
      <c r="R1381" s="2" t="inlineStr"/>
    </row>
    <row r="1382" ht="15" customHeight="1">
      <c r="A1382" t="inlineStr">
        <is>
          <t>A 13574-2021</t>
        </is>
      </c>
      <c r="B1382" s="1" t="n">
        <v>44273.94049768519</v>
      </c>
      <c r="C1382" s="1" t="n">
        <v>46093</v>
      </c>
      <c r="D1382" t="inlineStr">
        <is>
          <t>VÄSTERNORRLANDS LÄN</t>
        </is>
      </c>
      <c r="E1382" t="inlineStr">
        <is>
          <t>SUNDSVALL</t>
        </is>
      </c>
      <c r="F1382" t="inlineStr">
        <is>
          <t>Naturvårdsverket</t>
        </is>
      </c>
      <c r="G1382" t="n">
        <v>3.6</v>
      </c>
      <c r="H1382" t="n">
        <v>0</v>
      </c>
      <c r="I1382" t="n">
        <v>0</v>
      </c>
      <c r="J1382" t="n">
        <v>0</v>
      </c>
      <c r="K1382" t="n">
        <v>0</v>
      </c>
      <c r="L1382" t="n">
        <v>0</v>
      </c>
      <c r="M1382" t="n">
        <v>0</v>
      </c>
      <c r="N1382" t="n">
        <v>0</v>
      </c>
      <c r="O1382" t="n">
        <v>0</v>
      </c>
      <c r="P1382" t="n">
        <v>0</v>
      </c>
      <c r="Q1382" t="n">
        <v>0</v>
      </c>
      <c r="R1382" s="2" t="inlineStr"/>
    </row>
    <row r="1383" ht="15" customHeight="1">
      <c r="A1383" t="inlineStr">
        <is>
          <t>A 13645-2021</t>
        </is>
      </c>
      <c r="B1383" s="1" t="n">
        <v>44274</v>
      </c>
      <c r="C1383" s="1" t="n">
        <v>46093</v>
      </c>
      <c r="D1383" t="inlineStr">
        <is>
          <t>VÄSTERNORRLANDS LÄN</t>
        </is>
      </c>
      <c r="E1383" t="inlineStr">
        <is>
          <t>ÖRNSKÖLDSVIK</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47570-2021</t>
        </is>
      </c>
      <c r="B1384" s="1" t="n">
        <v>44447.94371527778</v>
      </c>
      <c r="C1384" s="1" t="n">
        <v>46093</v>
      </c>
      <c r="D1384" t="inlineStr">
        <is>
          <t>VÄSTERNORRLANDS LÄN</t>
        </is>
      </c>
      <c r="E1384" t="inlineStr">
        <is>
          <t>TIMRÅ</t>
        </is>
      </c>
      <c r="F1384" t="inlineStr">
        <is>
          <t>SCA</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54461-2021</t>
        </is>
      </c>
      <c r="B1385" s="1" t="n">
        <v>44473</v>
      </c>
      <c r="C1385" s="1" t="n">
        <v>46093</v>
      </c>
      <c r="D1385" t="inlineStr">
        <is>
          <t>VÄSTERNORRLANDS LÄN</t>
        </is>
      </c>
      <c r="E1385" t="inlineStr">
        <is>
          <t>ÖRNSKÖLDSVIK</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15461-2021</t>
        </is>
      </c>
      <c r="B1386" s="1" t="n">
        <v>44285</v>
      </c>
      <c r="C1386" s="1" t="n">
        <v>46093</v>
      </c>
      <c r="D1386" t="inlineStr">
        <is>
          <t>VÄSTERNORRLANDS LÄN</t>
        </is>
      </c>
      <c r="E1386" t="inlineStr">
        <is>
          <t>SOLLEFTEÅ</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25562-2021</t>
        </is>
      </c>
      <c r="B1387" s="1" t="n">
        <v>44343</v>
      </c>
      <c r="C1387" s="1" t="n">
        <v>46093</v>
      </c>
      <c r="D1387" t="inlineStr">
        <is>
          <t>VÄSTERNORRLANDS LÄN</t>
        </is>
      </c>
      <c r="E1387" t="inlineStr">
        <is>
          <t>KRAMFORS</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28695-2021</t>
        </is>
      </c>
      <c r="B1388" s="1" t="n">
        <v>44357</v>
      </c>
      <c r="C1388" s="1" t="n">
        <v>46093</v>
      </c>
      <c r="D1388" t="inlineStr">
        <is>
          <t>VÄSTERNORRLANDS LÄN</t>
        </is>
      </c>
      <c r="E1388" t="inlineStr">
        <is>
          <t>TIMRÅ</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16902-2021</t>
        </is>
      </c>
      <c r="B1389" s="1" t="n">
        <v>44294</v>
      </c>
      <c r="C1389" s="1" t="n">
        <v>46093</v>
      </c>
      <c r="D1389" t="inlineStr">
        <is>
          <t>VÄSTERNORRLANDS LÄN</t>
        </is>
      </c>
      <c r="E1389" t="inlineStr">
        <is>
          <t>KRAMFORS</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28288-2021</t>
        </is>
      </c>
      <c r="B1390" s="1" t="n">
        <v>44355</v>
      </c>
      <c r="C1390" s="1" t="n">
        <v>46093</v>
      </c>
      <c r="D1390" t="inlineStr">
        <is>
          <t>VÄSTERNORRLANDS LÄN</t>
        </is>
      </c>
      <c r="E1390" t="inlineStr">
        <is>
          <t>SOLLEFTEÅ</t>
        </is>
      </c>
      <c r="F1390" t="inlineStr">
        <is>
          <t>SCA</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20115-2021</t>
        </is>
      </c>
      <c r="B1391" s="1" t="n">
        <v>44314</v>
      </c>
      <c r="C1391" s="1" t="n">
        <v>46093</v>
      </c>
      <c r="D1391" t="inlineStr">
        <is>
          <t>VÄSTERNORRLANDS LÄN</t>
        </is>
      </c>
      <c r="E1391" t="inlineStr">
        <is>
          <t>ÖRNSKÖLDSVIK</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74088-2021</t>
        </is>
      </c>
      <c r="B1392" s="1" t="n">
        <v>44557.59435185185</v>
      </c>
      <c r="C1392" s="1" t="n">
        <v>46093</v>
      </c>
      <c r="D1392" t="inlineStr">
        <is>
          <t>VÄSTERNORRLANDS LÄN</t>
        </is>
      </c>
      <c r="E1392" t="inlineStr">
        <is>
          <t>ÅNGE</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20487-2021</t>
        </is>
      </c>
      <c r="B1393" s="1" t="n">
        <v>44315</v>
      </c>
      <c r="C1393" s="1" t="n">
        <v>46093</v>
      </c>
      <c r="D1393" t="inlineStr">
        <is>
          <t>VÄSTERNORRLANDS LÄN</t>
        </is>
      </c>
      <c r="E1393" t="inlineStr">
        <is>
          <t>TIMRÅ</t>
        </is>
      </c>
      <c r="G1393" t="n">
        <v>8.199999999999999</v>
      </c>
      <c r="H1393" t="n">
        <v>0</v>
      </c>
      <c r="I1393" t="n">
        <v>0</v>
      </c>
      <c r="J1393" t="n">
        <v>0</v>
      </c>
      <c r="K1393" t="n">
        <v>0</v>
      </c>
      <c r="L1393" t="n">
        <v>0</v>
      </c>
      <c r="M1393" t="n">
        <v>0</v>
      </c>
      <c r="N1393" t="n">
        <v>0</v>
      </c>
      <c r="O1393" t="n">
        <v>0</v>
      </c>
      <c r="P1393" t="n">
        <v>0</v>
      </c>
      <c r="Q1393" t="n">
        <v>0</v>
      </c>
      <c r="R1393" s="2" t="inlineStr"/>
    </row>
    <row r="1394" ht="15" customHeight="1">
      <c r="A1394" t="inlineStr">
        <is>
          <t>A 28238-2021</t>
        </is>
      </c>
      <c r="B1394" s="1" t="n">
        <v>44355</v>
      </c>
      <c r="C1394" s="1" t="n">
        <v>46093</v>
      </c>
      <c r="D1394" t="inlineStr">
        <is>
          <t>VÄSTERNORRLANDS LÄN</t>
        </is>
      </c>
      <c r="E1394" t="inlineStr">
        <is>
          <t>SUNDSVALL</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64367-2021</t>
        </is>
      </c>
      <c r="B1395" s="1" t="n">
        <v>44511</v>
      </c>
      <c r="C1395" s="1" t="n">
        <v>46093</v>
      </c>
      <c r="D1395" t="inlineStr">
        <is>
          <t>VÄSTERNORRLANDS LÄN</t>
        </is>
      </c>
      <c r="E1395" t="inlineStr">
        <is>
          <t>SUNDSVALL</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68145-2021</t>
        </is>
      </c>
      <c r="B1396" s="1" t="n">
        <v>44526</v>
      </c>
      <c r="C1396" s="1" t="n">
        <v>46093</v>
      </c>
      <c r="D1396" t="inlineStr">
        <is>
          <t>VÄSTERNORRLANDS LÄN</t>
        </is>
      </c>
      <c r="E1396" t="inlineStr">
        <is>
          <t>ÖRNSKÖLDSVIK</t>
        </is>
      </c>
      <c r="F1396" t="inlineStr">
        <is>
          <t>Holmen skog AB</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63424-2021</t>
        </is>
      </c>
      <c r="B1397" s="1" t="n">
        <v>44508</v>
      </c>
      <c r="C1397" s="1" t="n">
        <v>46093</v>
      </c>
      <c r="D1397" t="inlineStr">
        <is>
          <t>VÄSTERNORRLANDS LÄN</t>
        </is>
      </c>
      <c r="E1397" t="inlineStr">
        <is>
          <t>KRAMFORS</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63426-2021</t>
        </is>
      </c>
      <c r="B1398" s="1" t="n">
        <v>44508</v>
      </c>
      <c r="C1398" s="1" t="n">
        <v>46093</v>
      </c>
      <c r="D1398" t="inlineStr">
        <is>
          <t>VÄSTERNORRLANDS LÄN</t>
        </is>
      </c>
      <c r="E1398" t="inlineStr">
        <is>
          <t>ÖRNSKÖLDSVIK</t>
        </is>
      </c>
      <c r="F1398" t="inlineStr">
        <is>
          <t>Holmen skog AB</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63446-2021</t>
        </is>
      </c>
      <c r="B1399" s="1" t="n">
        <v>44508</v>
      </c>
      <c r="C1399" s="1" t="n">
        <v>46093</v>
      </c>
      <c r="D1399" t="inlineStr">
        <is>
          <t>VÄSTERNORRLANDS LÄN</t>
        </is>
      </c>
      <c r="E1399" t="inlineStr">
        <is>
          <t>KRAMFORS</t>
        </is>
      </c>
      <c r="G1399" t="n">
        <v>4.5</v>
      </c>
      <c r="H1399" t="n">
        <v>0</v>
      </c>
      <c r="I1399" t="n">
        <v>0</v>
      </c>
      <c r="J1399" t="n">
        <v>0</v>
      </c>
      <c r="K1399" t="n">
        <v>0</v>
      </c>
      <c r="L1399" t="n">
        <v>0</v>
      </c>
      <c r="M1399" t="n">
        <v>0</v>
      </c>
      <c r="N1399" t="n">
        <v>0</v>
      </c>
      <c r="O1399" t="n">
        <v>0</v>
      </c>
      <c r="P1399" t="n">
        <v>0</v>
      </c>
      <c r="Q1399" t="n">
        <v>0</v>
      </c>
      <c r="R1399" s="2" t="inlineStr"/>
    </row>
    <row r="1400" ht="15" customHeight="1">
      <c r="A1400" t="inlineStr">
        <is>
          <t>A 63447-2021</t>
        </is>
      </c>
      <c r="B1400" s="1" t="n">
        <v>44508.58561342592</v>
      </c>
      <c r="C1400" s="1" t="n">
        <v>46093</v>
      </c>
      <c r="D1400" t="inlineStr">
        <is>
          <t>VÄSTERNORRLANDS LÄN</t>
        </is>
      </c>
      <c r="E1400" t="inlineStr">
        <is>
          <t>ÖRNSKÖLDSVIK</t>
        </is>
      </c>
      <c r="G1400" t="n">
        <v>3.9</v>
      </c>
      <c r="H1400" t="n">
        <v>0</v>
      </c>
      <c r="I1400" t="n">
        <v>0</v>
      </c>
      <c r="J1400" t="n">
        <v>0</v>
      </c>
      <c r="K1400" t="n">
        <v>0</v>
      </c>
      <c r="L1400" t="n">
        <v>0</v>
      </c>
      <c r="M1400" t="n">
        <v>0</v>
      </c>
      <c r="N1400" t="n">
        <v>0</v>
      </c>
      <c r="O1400" t="n">
        <v>0</v>
      </c>
      <c r="P1400" t="n">
        <v>0</v>
      </c>
      <c r="Q1400" t="n">
        <v>0</v>
      </c>
      <c r="R1400" s="2" t="inlineStr"/>
    </row>
    <row r="1401" ht="15" customHeight="1">
      <c r="A1401" t="inlineStr">
        <is>
          <t>A 20186-2021</t>
        </is>
      </c>
      <c r="B1401" s="1" t="n">
        <v>44314</v>
      </c>
      <c r="C1401" s="1" t="n">
        <v>46093</v>
      </c>
      <c r="D1401" t="inlineStr">
        <is>
          <t>VÄSTERNORRLANDS LÄN</t>
        </is>
      </c>
      <c r="E1401" t="inlineStr">
        <is>
          <t>SUNDSVALL</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36810-2021</t>
        </is>
      </c>
      <c r="B1402" s="1" t="n">
        <v>44392</v>
      </c>
      <c r="C1402" s="1" t="n">
        <v>46093</v>
      </c>
      <c r="D1402" t="inlineStr">
        <is>
          <t>VÄSTERNORRLANDS LÄN</t>
        </is>
      </c>
      <c r="E1402" t="inlineStr">
        <is>
          <t>HÄRNÖSAND</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18867-2021</t>
        </is>
      </c>
      <c r="B1403" s="1" t="n">
        <v>44307</v>
      </c>
      <c r="C1403" s="1" t="n">
        <v>46093</v>
      </c>
      <c r="D1403" t="inlineStr">
        <is>
          <t>VÄSTERNORRLANDS LÄN</t>
        </is>
      </c>
      <c r="E1403" t="inlineStr">
        <is>
          <t>SOLLEFTEÅ</t>
        </is>
      </c>
      <c r="F1403" t="inlineStr">
        <is>
          <t>SCA</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66154-2021</t>
        </is>
      </c>
      <c r="B1404" s="1" t="n">
        <v>44517</v>
      </c>
      <c r="C1404" s="1" t="n">
        <v>46093</v>
      </c>
      <c r="D1404" t="inlineStr">
        <is>
          <t>VÄSTERNORRLANDS LÄN</t>
        </is>
      </c>
      <c r="E1404" t="inlineStr">
        <is>
          <t>TIMRÅ</t>
        </is>
      </c>
      <c r="G1404" t="n">
        <v>5.6</v>
      </c>
      <c r="H1404" t="n">
        <v>0</v>
      </c>
      <c r="I1404" t="n">
        <v>0</v>
      </c>
      <c r="J1404" t="n">
        <v>0</v>
      </c>
      <c r="K1404" t="n">
        <v>0</v>
      </c>
      <c r="L1404" t="n">
        <v>0</v>
      </c>
      <c r="M1404" t="n">
        <v>0</v>
      </c>
      <c r="N1404" t="n">
        <v>0</v>
      </c>
      <c r="O1404" t="n">
        <v>0</v>
      </c>
      <c r="P1404" t="n">
        <v>0</v>
      </c>
      <c r="Q1404" t="n">
        <v>0</v>
      </c>
      <c r="R1404" s="2" t="inlineStr"/>
    </row>
    <row r="1405" ht="15" customHeight="1">
      <c r="A1405" t="inlineStr">
        <is>
          <t>A 19102-2021</t>
        </is>
      </c>
      <c r="B1405" s="1" t="n">
        <v>44308</v>
      </c>
      <c r="C1405" s="1" t="n">
        <v>46093</v>
      </c>
      <c r="D1405" t="inlineStr">
        <is>
          <t>VÄSTERNORRLANDS LÄN</t>
        </is>
      </c>
      <c r="E1405" t="inlineStr">
        <is>
          <t>ÅNGE</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19425-2021</t>
        </is>
      </c>
      <c r="B1406" s="1" t="n">
        <v>44309</v>
      </c>
      <c r="C1406" s="1" t="n">
        <v>46093</v>
      </c>
      <c r="D1406" t="inlineStr">
        <is>
          <t>VÄSTERNORRLANDS LÄN</t>
        </is>
      </c>
      <c r="E1406" t="inlineStr">
        <is>
          <t>KRAMFORS</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71396-2021</t>
        </is>
      </c>
      <c r="B1407" s="1" t="n">
        <v>44540.35644675926</v>
      </c>
      <c r="C1407" s="1" t="n">
        <v>46093</v>
      </c>
      <c r="D1407" t="inlineStr">
        <is>
          <t>VÄSTERNORRLANDS LÄN</t>
        </is>
      </c>
      <c r="E1407" t="inlineStr">
        <is>
          <t>ÅNGE</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67452-2021</t>
        </is>
      </c>
      <c r="B1408" s="1" t="n">
        <v>44524.37556712963</v>
      </c>
      <c r="C1408" s="1" t="n">
        <v>46093</v>
      </c>
      <c r="D1408" t="inlineStr">
        <is>
          <t>VÄSTERNORRLANDS LÄN</t>
        </is>
      </c>
      <c r="E1408" t="inlineStr">
        <is>
          <t>ÖRNSKÖLDSVIK</t>
        </is>
      </c>
      <c r="F1408" t="inlineStr">
        <is>
          <t>Holmen skog AB</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5300-2022</t>
        </is>
      </c>
      <c r="B1409" s="1" t="n">
        <v>44594</v>
      </c>
      <c r="C1409" s="1" t="n">
        <v>46093</v>
      </c>
      <c r="D1409" t="inlineStr">
        <is>
          <t>VÄSTERNORRLANDS LÄN</t>
        </is>
      </c>
      <c r="E1409" t="inlineStr">
        <is>
          <t>KRAMFORS</t>
        </is>
      </c>
      <c r="G1409" t="n">
        <v>0.2</v>
      </c>
      <c r="H1409" t="n">
        <v>0</v>
      </c>
      <c r="I1409" t="n">
        <v>0</v>
      </c>
      <c r="J1409" t="n">
        <v>0</v>
      </c>
      <c r="K1409" t="n">
        <v>0</v>
      </c>
      <c r="L1409" t="n">
        <v>0</v>
      </c>
      <c r="M1409" t="n">
        <v>0</v>
      </c>
      <c r="N1409" t="n">
        <v>0</v>
      </c>
      <c r="O1409" t="n">
        <v>0</v>
      </c>
      <c r="P1409" t="n">
        <v>0</v>
      </c>
      <c r="Q1409" t="n">
        <v>0</v>
      </c>
      <c r="R1409" s="2" t="inlineStr"/>
    </row>
    <row r="1410" ht="15" customHeight="1">
      <c r="A1410" t="inlineStr">
        <is>
          <t>A 36198-2021</t>
        </is>
      </c>
      <c r="B1410" s="1" t="n">
        <v>44388</v>
      </c>
      <c r="C1410" s="1" t="n">
        <v>46093</v>
      </c>
      <c r="D1410" t="inlineStr">
        <is>
          <t>VÄSTERNORRLANDS LÄN</t>
        </is>
      </c>
      <c r="E1410" t="inlineStr">
        <is>
          <t>KRAMFORS</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25080-2021</t>
        </is>
      </c>
      <c r="B1411" s="1" t="n">
        <v>44341</v>
      </c>
      <c r="C1411" s="1" t="n">
        <v>46093</v>
      </c>
      <c r="D1411" t="inlineStr">
        <is>
          <t>VÄSTERNORRLANDS LÄN</t>
        </is>
      </c>
      <c r="E1411" t="inlineStr">
        <is>
          <t>ÖRNSKÖLDSVIK</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63394-2021</t>
        </is>
      </c>
      <c r="B1412" s="1" t="n">
        <v>44505</v>
      </c>
      <c r="C1412" s="1" t="n">
        <v>46093</v>
      </c>
      <c r="D1412" t="inlineStr">
        <is>
          <t>VÄSTERNORRLANDS LÄN</t>
        </is>
      </c>
      <c r="E1412" t="inlineStr">
        <is>
          <t>ÖRNSKÖLDSVIK</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7437-2022</t>
        </is>
      </c>
      <c r="B1413" s="1" t="n">
        <v>44606</v>
      </c>
      <c r="C1413" s="1" t="n">
        <v>46093</v>
      </c>
      <c r="D1413" t="inlineStr">
        <is>
          <t>VÄSTERNORRLANDS LÄN</t>
        </is>
      </c>
      <c r="E1413" t="inlineStr">
        <is>
          <t>SUNDSVALL</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1232-2022</t>
        </is>
      </c>
      <c r="B1414" s="1" t="n">
        <v>44572.57984953704</v>
      </c>
      <c r="C1414" s="1" t="n">
        <v>46093</v>
      </c>
      <c r="D1414" t="inlineStr">
        <is>
          <t>VÄSTERNORRLANDS LÄN</t>
        </is>
      </c>
      <c r="E1414" t="inlineStr">
        <is>
          <t>SUNDSVALL</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34542-2022</t>
        </is>
      </c>
      <c r="B1415" s="1" t="n">
        <v>44793</v>
      </c>
      <c r="C1415" s="1" t="n">
        <v>46093</v>
      </c>
      <c r="D1415" t="inlineStr">
        <is>
          <t>VÄSTERNORRLANDS LÄN</t>
        </is>
      </c>
      <c r="E1415" t="inlineStr">
        <is>
          <t>SOLLEFTEÅ</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7822-2022</t>
        </is>
      </c>
      <c r="B1416" s="1" t="n">
        <v>44608</v>
      </c>
      <c r="C1416" s="1" t="n">
        <v>46093</v>
      </c>
      <c r="D1416" t="inlineStr">
        <is>
          <t>VÄSTERNORRLANDS LÄN</t>
        </is>
      </c>
      <c r="E1416" t="inlineStr">
        <is>
          <t>KRAMFORS</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15895-2022</t>
        </is>
      </c>
      <c r="B1417" s="1" t="n">
        <v>44664</v>
      </c>
      <c r="C1417" s="1" t="n">
        <v>46093</v>
      </c>
      <c r="D1417" t="inlineStr">
        <is>
          <t>VÄSTERNORRLANDS LÄN</t>
        </is>
      </c>
      <c r="E1417" t="inlineStr">
        <is>
          <t>HÄRNÖSAND</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23001-2021</t>
        </is>
      </c>
      <c r="B1418" s="1" t="n">
        <v>44328</v>
      </c>
      <c r="C1418" s="1" t="n">
        <v>46093</v>
      </c>
      <c r="D1418" t="inlineStr">
        <is>
          <t>VÄSTERNORRLANDS LÄN</t>
        </is>
      </c>
      <c r="E1418" t="inlineStr">
        <is>
          <t>ÖRNSKÖLDSVIK</t>
        </is>
      </c>
      <c r="F1418" t="inlineStr">
        <is>
          <t>Holmen skog AB</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42365-2021</t>
        </is>
      </c>
      <c r="B1419" s="1" t="n">
        <v>44427</v>
      </c>
      <c r="C1419" s="1" t="n">
        <v>46093</v>
      </c>
      <c r="D1419" t="inlineStr">
        <is>
          <t>VÄSTERNORRLANDS LÄN</t>
        </is>
      </c>
      <c r="E1419" t="inlineStr">
        <is>
          <t>ÖRNSKÖLDSVIK</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62404-2021</t>
        </is>
      </c>
      <c r="B1420" s="1" t="n">
        <v>44503.48112268518</v>
      </c>
      <c r="C1420" s="1" t="n">
        <v>46093</v>
      </c>
      <c r="D1420" t="inlineStr">
        <is>
          <t>VÄSTERNORRLANDS LÄN</t>
        </is>
      </c>
      <c r="E1420" t="inlineStr">
        <is>
          <t>ÖRNSKÖLDSVIK</t>
        </is>
      </c>
      <c r="F1420" t="inlineStr">
        <is>
          <t>Holmen skog AB</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58486-2021</t>
        </is>
      </c>
      <c r="B1421" s="1" t="n">
        <v>44488</v>
      </c>
      <c r="C1421" s="1" t="n">
        <v>46093</v>
      </c>
      <c r="D1421" t="inlineStr">
        <is>
          <t>VÄSTERNORRLANDS LÄN</t>
        </is>
      </c>
      <c r="E1421" t="inlineStr">
        <is>
          <t>SOLLEFTEÅ</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35262-2022</t>
        </is>
      </c>
      <c r="B1422" s="1" t="n">
        <v>44797</v>
      </c>
      <c r="C1422" s="1" t="n">
        <v>46093</v>
      </c>
      <c r="D1422" t="inlineStr">
        <is>
          <t>VÄSTERNORRLANDS LÄN</t>
        </is>
      </c>
      <c r="E1422" t="inlineStr">
        <is>
          <t>ÖRNSKÖLDSVIK</t>
        </is>
      </c>
      <c r="G1422" t="n">
        <v>5.2</v>
      </c>
      <c r="H1422" t="n">
        <v>0</v>
      </c>
      <c r="I1422" t="n">
        <v>0</v>
      </c>
      <c r="J1422" t="n">
        <v>0</v>
      </c>
      <c r="K1422" t="n">
        <v>0</v>
      </c>
      <c r="L1422" t="n">
        <v>0</v>
      </c>
      <c r="M1422" t="n">
        <v>0</v>
      </c>
      <c r="N1422" t="n">
        <v>0</v>
      </c>
      <c r="O1422" t="n">
        <v>0</v>
      </c>
      <c r="P1422" t="n">
        <v>0</v>
      </c>
      <c r="Q1422" t="n">
        <v>0</v>
      </c>
      <c r="R1422" s="2" t="inlineStr"/>
    </row>
    <row r="1423" ht="15" customHeight="1">
      <c r="A1423" t="inlineStr">
        <is>
          <t>A 228-2022</t>
        </is>
      </c>
      <c r="B1423" s="1" t="n">
        <v>44564</v>
      </c>
      <c r="C1423" s="1" t="n">
        <v>46093</v>
      </c>
      <c r="D1423" t="inlineStr">
        <is>
          <t>VÄSTERNORRLANDS LÄN</t>
        </is>
      </c>
      <c r="E1423" t="inlineStr">
        <is>
          <t>SUNDSVALL</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26349-2021</t>
        </is>
      </c>
      <c r="B1424" s="1" t="n">
        <v>44347</v>
      </c>
      <c r="C1424" s="1" t="n">
        <v>46093</v>
      </c>
      <c r="D1424" t="inlineStr">
        <is>
          <t>VÄSTERNORRLANDS LÄN</t>
        </is>
      </c>
      <c r="E1424" t="inlineStr">
        <is>
          <t>ÖRNSKÖLDSVIK</t>
        </is>
      </c>
      <c r="F1424" t="inlineStr">
        <is>
          <t>Holmen skog AB</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29623-2021</t>
        </is>
      </c>
      <c r="B1425" s="1" t="n">
        <v>44361</v>
      </c>
      <c r="C1425" s="1" t="n">
        <v>46093</v>
      </c>
      <c r="D1425" t="inlineStr">
        <is>
          <t>VÄSTERNORRLANDS LÄN</t>
        </is>
      </c>
      <c r="E1425" t="inlineStr">
        <is>
          <t>SOLLEFTEÅ</t>
        </is>
      </c>
      <c r="F1425" t="inlineStr">
        <is>
          <t>SCA</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55496-2022</t>
        </is>
      </c>
      <c r="B1426" s="1" t="n">
        <v>44887.72143518519</v>
      </c>
      <c r="C1426" s="1" t="n">
        <v>46093</v>
      </c>
      <c r="D1426" t="inlineStr">
        <is>
          <t>VÄSTERNORRLANDS LÄN</t>
        </is>
      </c>
      <c r="E1426" t="inlineStr">
        <is>
          <t>SUNDSVALL</t>
        </is>
      </c>
      <c r="F1426" t="inlineStr">
        <is>
          <t>Holmen skog AB</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67388-2021</t>
        </is>
      </c>
      <c r="B1427" s="1" t="n">
        <v>44523.92046296296</v>
      </c>
      <c r="C1427" s="1" t="n">
        <v>46093</v>
      </c>
      <c r="D1427" t="inlineStr">
        <is>
          <t>VÄSTERNORRLANDS LÄN</t>
        </is>
      </c>
      <c r="E1427" t="inlineStr">
        <is>
          <t>SUNDSVALL</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54377-2021</t>
        </is>
      </c>
      <c r="B1428" s="1" t="n">
        <v>44473.36232638889</v>
      </c>
      <c r="C1428" s="1" t="n">
        <v>46093</v>
      </c>
      <c r="D1428" t="inlineStr">
        <is>
          <t>VÄSTERNORRLANDS LÄN</t>
        </is>
      </c>
      <c r="E1428" t="inlineStr">
        <is>
          <t>ÖRNSKÖLDSVIK</t>
        </is>
      </c>
      <c r="F1428" t="inlineStr">
        <is>
          <t>Holmen skog AB</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63974-2021</t>
        </is>
      </c>
      <c r="B1429" s="1" t="n">
        <v>44509.91273148148</v>
      </c>
      <c r="C1429" s="1" t="n">
        <v>46093</v>
      </c>
      <c r="D1429" t="inlineStr">
        <is>
          <t>VÄSTERNORRLANDS LÄN</t>
        </is>
      </c>
      <c r="E1429" t="inlineStr">
        <is>
          <t>KRAMFORS</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66265-2021</t>
        </is>
      </c>
      <c r="B1430" s="1" t="n">
        <v>44518.45263888889</v>
      </c>
      <c r="C1430" s="1" t="n">
        <v>46093</v>
      </c>
      <c r="D1430" t="inlineStr">
        <is>
          <t>VÄSTERNORRLANDS LÄN</t>
        </is>
      </c>
      <c r="E1430" t="inlineStr">
        <is>
          <t>ÅNGE</t>
        </is>
      </c>
      <c r="G1430" t="n">
        <v>6</v>
      </c>
      <c r="H1430" t="n">
        <v>0</v>
      </c>
      <c r="I1430" t="n">
        <v>0</v>
      </c>
      <c r="J1430" t="n">
        <v>0</v>
      </c>
      <c r="K1430" t="n">
        <v>0</v>
      </c>
      <c r="L1430" t="n">
        <v>0</v>
      </c>
      <c r="M1430" t="n">
        <v>0</v>
      </c>
      <c r="N1430" t="n">
        <v>0</v>
      </c>
      <c r="O1430" t="n">
        <v>0</v>
      </c>
      <c r="P1430" t="n">
        <v>0</v>
      </c>
      <c r="Q1430" t="n">
        <v>0</v>
      </c>
      <c r="R1430" s="2" t="inlineStr"/>
    </row>
    <row r="1431" ht="15" customHeight="1">
      <c r="A1431" t="inlineStr">
        <is>
          <t>A 66751-2021</t>
        </is>
      </c>
      <c r="B1431" s="1" t="n">
        <v>44521</v>
      </c>
      <c r="C1431" s="1" t="n">
        <v>46093</v>
      </c>
      <c r="D1431" t="inlineStr">
        <is>
          <t>VÄSTERNORRLANDS LÄN</t>
        </is>
      </c>
      <c r="E1431" t="inlineStr">
        <is>
          <t>ÖRNSKÖLDSVIK</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74044-2021</t>
        </is>
      </c>
      <c r="B1432" s="1" t="n">
        <v>44557</v>
      </c>
      <c r="C1432" s="1" t="n">
        <v>46093</v>
      </c>
      <c r="D1432" t="inlineStr">
        <is>
          <t>VÄSTERNORRLANDS LÄN</t>
        </is>
      </c>
      <c r="E1432" t="inlineStr">
        <is>
          <t>TIMRÅ</t>
        </is>
      </c>
      <c r="G1432" t="n">
        <v>0.2</v>
      </c>
      <c r="H1432" t="n">
        <v>0</v>
      </c>
      <c r="I1432" t="n">
        <v>0</v>
      </c>
      <c r="J1432" t="n">
        <v>0</v>
      </c>
      <c r="K1432" t="n">
        <v>0</v>
      </c>
      <c r="L1432" t="n">
        <v>0</v>
      </c>
      <c r="M1432" t="n">
        <v>0</v>
      </c>
      <c r="N1432" t="n">
        <v>0</v>
      </c>
      <c r="O1432" t="n">
        <v>0</v>
      </c>
      <c r="P1432" t="n">
        <v>0</v>
      </c>
      <c r="Q1432" t="n">
        <v>0</v>
      </c>
      <c r="R1432" s="2" t="inlineStr"/>
    </row>
    <row r="1433" ht="15" customHeight="1">
      <c r="A1433" t="inlineStr">
        <is>
          <t>A 71350-2021</t>
        </is>
      </c>
      <c r="B1433" s="1" t="n">
        <v>44539</v>
      </c>
      <c r="C1433" s="1" t="n">
        <v>46093</v>
      </c>
      <c r="D1433" t="inlineStr">
        <is>
          <t>VÄSTERNORRLANDS LÄN</t>
        </is>
      </c>
      <c r="E1433" t="inlineStr">
        <is>
          <t>SOLLEFTEÅ</t>
        </is>
      </c>
      <c r="G1433" t="n">
        <v>0</v>
      </c>
      <c r="H1433" t="n">
        <v>0</v>
      </c>
      <c r="I1433" t="n">
        <v>0</v>
      </c>
      <c r="J1433" t="n">
        <v>0</v>
      </c>
      <c r="K1433" t="n">
        <v>0</v>
      </c>
      <c r="L1433" t="n">
        <v>0</v>
      </c>
      <c r="M1433" t="n">
        <v>0</v>
      </c>
      <c r="N1433" t="n">
        <v>0</v>
      </c>
      <c r="O1433" t="n">
        <v>0</v>
      </c>
      <c r="P1433" t="n">
        <v>0</v>
      </c>
      <c r="Q1433" t="n">
        <v>0</v>
      </c>
      <c r="R1433" s="2" t="inlineStr"/>
    </row>
    <row r="1434" ht="15" customHeight="1">
      <c r="A1434" t="inlineStr">
        <is>
          <t>A 32779-2022</t>
        </is>
      </c>
      <c r="B1434" s="1" t="n">
        <v>44783.94623842592</v>
      </c>
      <c r="C1434" s="1" t="n">
        <v>46093</v>
      </c>
      <c r="D1434" t="inlineStr">
        <is>
          <t>VÄSTERNORRLANDS LÄN</t>
        </is>
      </c>
      <c r="E1434" t="inlineStr">
        <is>
          <t>SOLLEFTEÅ</t>
        </is>
      </c>
      <c r="F1434" t="inlineStr">
        <is>
          <t>SCA</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71669-2021</t>
        </is>
      </c>
      <c r="B1435" s="1" t="n">
        <v>44538</v>
      </c>
      <c r="C1435" s="1" t="n">
        <v>46093</v>
      </c>
      <c r="D1435" t="inlineStr">
        <is>
          <t>VÄSTERNORRLANDS LÄN</t>
        </is>
      </c>
      <c r="E1435" t="inlineStr">
        <is>
          <t>ÅNGE</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16334-2021</t>
        </is>
      </c>
      <c r="B1436" s="1" t="n">
        <v>44292</v>
      </c>
      <c r="C1436" s="1" t="n">
        <v>46093</v>
      </c>
      <c r="D1436" t="inlineStr">
        <is>
          <t>VÄSTERNORRLANDS LÄN</t>
        </is>
      </c>
      <c r="E1436" t="inlineStr">
        <is>
          <t>SUNDSVALL</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12177-2022</t>
        </is>
      </c>
      <c r="B1437" s="1" t="n">
        <v>44636.77550925926</v>
      </c>
      <c r="C1437" s="1" t="n">
        <v>46093</v>
      </c>
      <c r="D1437" t="inlineStr">
        <is>
          <t>VÄSTERNORRLANDS LÄN</t>
        </is>
      </c>
      <c r="E1437" t="inlineStr">
        <is>
          <t>SUNDSVALL</t>
        </is>
      </c>
      <c r="G1437" t="n">
        <v>5.3</v>
      </c>
      <c r="H1437" t="n">
        <v>0</v>
      </c>
      <c r="I1437" t="n">
        <v>0</v>
      </c>
      <c r="J1437" t="n">
        <v>0</v>
      </c>
      <c r="K1437" t="n">
        <v>0</v>
      </c>
      <c r="L1437" t="n">
        <v>0</v>
      </c>
      <c r="M1437" t="n">
        <v>0</v>
      </c>
      <c r="N1437" t="n">
        <v>0</v>
      </c>
      <c r="O1437" t="n">
        <v>0</v>
      </c>
      <c r="P1437" t="n">
        <v>0</v>
      </c>
      <c r="Q1437" t="n">
        <v>0</v>
      </c>
      <c r="R1437" s="2" t="inlineStr"/>
    </row>
    <row r="1438" ht="15" customHeight="1">
      <c r="A1438" t="inlineStr">
        <is>
          <t>A 15769-2021</t>
        </is>
      </c>
      <c r="B1438" s="1" t="n">
        <v>44286</v>
      </c>
      <c r="C1438" s="1" t="n">
        <v>46093</v>
      </c>
      <c r="D1438" t="inlineStr">
        <is>
          <t>VÄSTERNORRLANDS LÄN</t>
        </is>
      </c>
      <c r="E1438" t="inlineStr">
        <is>
          <t>SUNDSVALL</t>
        </is>
      </c>
      <c r="F1438" t="inlineStr">
        <is>
          <t>Kommuner</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16354-2021</t>
        </is>
      </c>
      <c r="B1439" s="1" t="n">
        <v>44292</v>
      </c>
      <c r="C1439" s="1" t="n">
        <v>46093</v>
      </c>
      <c r="D1439" t="inlineStr">
        <is>
          <t>VÄSTERNORRLANDS LÄN</t>
        </is>
      </c>
      <c r="E1439" t="inlineStr">
        <is>
          <t>KRAMFORS</t>
        </is>
      </c>
      <c r="F1439" t="inlineStr">
        <is>
          <t>Kyrkan</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39372-2022</t>
        </is>
      </c>
      <c r="B1440" s="1" t="n">
        <v>44817.94298611111</v>
      </c>
      <c r="C1440" s="1" t="n">
        <v>46093</v>
      </c>
      <c r="D1440" t="inlineStr">
        <is>
          <t>VÄSTERNORRLANDS LÄN</t>
        </is>
      </c>
      <c r="E1440" t="inlineStr">
        <is>
          <t>SOLLEFTEÅ</t>
        </is>
      </c>
      <c r="F1440" t="inlineStr">
        <is>
          <t>SCA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69260-2021</t>
        </is>
      </c>
      <c r="B1441" s="1" t="n">
        <v>44530</v>
      </c>
      <c r="C1441" s="1" t="n">
        <v>46093</v>
      </c>
      <c r="D1441" t="inlineStr">
        <is>
          <t>VÄSTERNORRLANDS LÄN</t>
        </is>
      </c>
      <c r="E1441" t="inlineStr">
        <is>
          <t>SUNDSVALL</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67123-2021</t>
        </is>
      </c>
      <c r="B1442" s="1" t="n">
        <v>44522</v>
      </c>
      <c r="C1442" s="1" t="n">
        <v>46093</v>
      </c>
      <c r="D1442" t="inlineStr">
        <is>
          <t>VÄSTERNORRLANDS LÄN</t>
        </is>
      </c>
      <c r="E1442" t="inlineStr">
        <is>
          <t>SUNDSVALL</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14812-2021</t>
        </is>
      </c>
      <c r="B1443" s="1" t="n">
        <v>44280</v>
      </c>
      <c r="C1443" s="1" t="n">
        <v>46093</v>
      </c>
      <c r="D1443" t="inlineStr">
        <is>
          <t>VÄSTERNORRLANDS LÄN</t>
        </is>
      </c>
      <c r="E1443" t="inlineStr">
        <is>
          <t>ÅNGE</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17045-2022</t>
        </is>
      </c>
      <c r="B1444" s="1" t="n">
        <v>44676</v>
      </c>
      <c r="C1444" s="1" t="n">
        <v>46093</v>
      </c>
      <c r="D1444" t="inlineStr">
        <is>
          <t>VÄSTERNORRLANDS LÄN</t>
        </is>
      </c>
      <c r="E1444" t="inlineStr">
        <is>
          <t>SOLLEFTEÅ</t>
        </is>
      </c>
      <c r="F1444" t="inlineStr">
        <is>
          <t>SCA</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38117-2022</t>
        </is>
      </c>
      <c r="B1445" s="1" t="n">
        <v>44811</v>
      </c>
      <c r="C1445" s="1" t="n">
        <v>46093</v>
      </c>
      <c r="D1445" t="inlineStr">
        <is>
          <t>VÄSTERNORRLANDS LÄN</t>
        </is>
      </c>
      <c r="E1445" t="inlineStr">
        <is>
          <t>ÖRNSKÖLDSVIK</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37149-2022</t>
        </is>
      </c>
      <c r="B1446" s="1" t="n">
        <v>44806</v>
      </c>
      <c r="C1446" s="1" t="n">
        <v>46093</v>
      </c>
      <c r="D1446" t="inlineStr">
        <is>
          <t>VÄSTERNORRLANDS LÄN</t>
        </is>
      </c>
      <c r="E1446" t="inlineStr">
        <is>
          <t>HÄRNÖSAND</t>
        </is>
      </c>
      <c r="G1446" t="n">
        <v>4.5</v>
      </c>
      <c r="H1446" t="n">
        <v>0</v>
      </c>
      <c r="I1446" t="n">
        <v>0</v>
      </c>
      <c r="J1446" t="n">
        <v>0</v>
      </c>
      <c r="K1446" t="n">
        <v>0</v>
      </c>
      <c r="L1446" t="n">
        <v>0</v>
      </c>
      <c r="M1446" t="n">
        <v>0</v>
      </c>
      <c r="N1446" t="n">
        <v>0</v>
      </c>
      <c r="O1446" t="n">
        <v>0</v>
      </c>
      <c r="P1446" t="n">
        <v>0</v>
      </c>
      <c r="Q1446" t="n">
        <v>0</v>
      </c>
      <c r="R1446" s="2" t="inlineStr"/>
    </row>
    <row r="1447" ht="15" customHeight="1">
      <c r="A1447" t="inlineStr">
        <is>
          <t>A 36316-2021</t>
        </is>
      </c>
      <c r="B1447" s="1" t="n">
        <v>44390.45508101852</v>
      </c>
      <c r="C1447" s="1" t="n">
        <v>46093</v>
      </c>
      <c r="D1447" t="inlineStr">
        <is>
          <t>VÄSTERNORRLANDS LÄN</t>
        </is>
      </c>
      <c r="E1447" t="inlineStr">
        <is>
          <t>SUNDSVALL</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47413-2021</t>
        </is>
      </c>
      <c r="B1448" s="1" t="n">
        <v>44447</v>
      </c>
      <c r="C1448" s="1" t="n">
        <v>46093</v>
      </c>
      <c r="D1448" t="inlineStr">
        <is>
          <t>VÄSTERNORRLANDS LÄN</t>
        </is>
      </c>
      <c r="E1448" t="inlineStr">
        <is>
          <t>ÖRNSKÖLDSVIK</t>
        </is>
      </c>
      <c r="F1448" t="inlineStr">
        <is>
          <t>Holmen skog AB</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21099-2021</t>
        </is>
      </c>
      <c r="B1449" s="1" t="n">
        <v>44319</v>
      </c>
      <c r="C1449" s="1" t="n">
        <v>46093</v>
      </c>
      <c r="D1449" t="inlineStr">
        <is>
          <t>VÄSTERNORRLANDS LÄN</t>
        </is>
      </c>
      <c r="E1449" t="inlineStr">
        <is>
          <t>SUNDSVALL</t>
        </is>
      </c>
      <c r="F1449" t="inlineStr">
        <is>
          <t>SCA</t>
        </is>
      </c>
      <c r="G1449" t="n">
        <v>3.9</v>
      </c>
      <c r="H1449" t="n">
        <v>0</v>
      </c>
      <c r="I1449" t="n">
        <v>0</v>
      </c>
      <c r="J1449" t="n">
        <v>0</v>
      </c>
      <c r="K1449" t="n">
        <v>0</v>
      </c>
      <c r="L1449" t="n">
        <v>0</v>
      </c>
      <c r="M1449" t="n">
        <v>0</v>
      </c>
      <c r="N1449" t="n">
        <v>0</v>
      </c>
      <c r="O1449" t="n">
        <v>0</v>
      </c>
      <c r="P1449" t="n">
        <v>0</v>
      </c>
      <c r="Q1449" t="n">
        <v>0</v>
      </c>
      <c r="R1449" s="2" t="inlineStr"/>
    </row>
    <row r="1450" ht="15" customHeight="1">
      <c r="A1450" t="inlineStr">
        <is>
          <t>A 29853-2021</t>
        </is>
      </c>
      <c r="B1450" s="1" t="n">
        <v>44362</v>
      </c>
      <c r="C1450" s="1" t="n">
        <v>46093</v>
      </c>
      <c r="D1450" t="inlineStr">
        <is>
          <t>VÄSTERNORRLANDS LÄN</t>
        </is>
      </c>
      <c r="E1450" t="inlineStr">
        <is>
          <t>ÖRNSKÖLDSVIK</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41482-2021</t>
        </is>
      </c>
      <c r="B1451" s="1" t="n">
        <v>44424.92148148148</v>
      </c>
      <c r="C1451" s="1" t="n">
        <v>46093</v>
      </c>
      <c r="D1451" t="inlineStr">
        <is>
          <t>VÄSTERNORRLANDS LÄN</t>
        </is>
      </c>
      <c r="E1451" t="inlineStr">
        <is>
          <t>HÄRNÖSAND</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45775-2021</t>
        </is>
      </c>
      <c r="B1452" s="1" t="n">
        <v>44441</v>
      </c>
      <c r="C1452" s="1" t="n">
        <v>46093</v>
      </c>
      <c r="D1452" t="inlineStr">
        <is>
          <t>VÄSTERNORRLANDS LÄN</t>
        </is>
      </c>
      <c r="E1452" t="inlineStr">
        <is>
          <t>SUNDSVALL</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46350-2022</t>
        </is>
      </c>
      <c r="B1453" s="1" t="n">
        <v>44847.95120370371</v>
      </c>
      <c r="C1453" s="1" t="n">
        <v>46093</v>
      </c>
      <c r="D1453" t="inlineStr">
        <is>
          <t>VÄSTERNORRLANDS LÄN</t>
        </is>
      </c>
      <c r="E1453" t="inlineStr">
        <is>
          <t>ÅNGE</t>
        </is>
      </c>
      <c r="F1453" t="inlineStr">
        <is>
          <t>SCA</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14233-2022</t>
        </is>
      </c>
      <c r="B1454" s="1" t="n">
        <v>44651</v>
      </c>
      <c r="C1454" s="1" t="n">
        <v>46093</v>
      </c>
      <c r="D1454" t="inlineStr">
        <is>
          <t>VÄSTERNORRLANDS LÄN</t>
        </is>
      </c>
      <c r="E1454" t="inlineStr">
        <is>
          <t>SUNDSVALL</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18015-2022</t>
        </is>
      </c>
      <c r="B1455" s="1" t="n">
        <v>44683.94319444444</v>
      </c>
      <c r="C1455" s="1" t="n">
        <v>46093</v>
      </c>
      <c r="D1455" t="inlineStr">
        <is>
          <t>VÄSTERNORRLANDS LÄN</t>
        </is>
      </c>
      <c r="E1455" t="inlineStr">
        <is>
          <t>SOLLEFTEÅ</t>
        </is>
      </c>
      <c r="F1455" t="inlineStr">
        <is>
          <t>SCA</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43205-2021</t>
        </is>
      </c>
      <c r="B1456" s="1" t="n">
        <v>44431</v>
      </c>
      <c r="C1456" s="1" t="n">
        <v>46093</v>
      </c>
      <c r="D1456" t="inlineStr">
        <is>
          <t>VÄSTERNORRLANDS LÄN</t>
        </is>
      </c>
      <c r="E1456" t="inlineStr">
        <is>
          <t>SUNDSVALL</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43233-2022</t>
        </is>
      </c>
      <c r="B1457" s="1" t="n">
        <v>44833</v>
      </c>
      <c r="C1457" s="1" t="n">
        <v>46093</v>
      </c>
      <c r="D1457" t="inlineStr">
        <is>
          <t>VÄSTERNORRLANDS LÄN</t>
        </is>
      </c>
      <c r="E1457" t="inlineStr">
        <is>
          <t>TIMRÅ</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25484-2021</t>
        </is>
      </c>
      <c r="B1458" s="1" t="n">
        <v>44342</v>
      </c>
      <c r="C1458" s="1" t="n">
        <v>46093</v>
      </c>
      <c r="D1458" t="inlineStr">
        <is>
          <t>VÄSTERNORRLANDS LÄN</t>
        </is>
      </c>
      <c r="E1458" t="inlineStr">
        <is>
          <t>SUNDSVALL</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11293-2022</t>
        </is>
      </c>
      <c r="B1459" s="1" t="n">
        <v>44629</v>
      </c>
      <c r="C1459" s="1" t="n">
        <v>46093</v>
      </c>
      <c r="D1459" t="inlineStr">
        <is>
          <t>VÄSTERNORRLANDS LÄN</t>
        </is>
      </c>
      <c r="E1459" t="inlineStr">
        <is>
          <t>KRAMFORS</t>
        </is>
      </c>
      <c r="G1459" t="n">
        <v>6.9</v>
      </c>
      <c r="H1459" t="n">
        <v>0</v>
      </c>
      <c r="I1459" t="n">
        <v>0</v>
      </c>
      <c r="J1459" t="n">
        <v>0</v>
      </c>
      <c r="K1459" t="n">
        <v>0</v>
      </c>
      <c r="L1459" t="n">
        <v>0</v>
      </c>
      <c r="M1459" t="n">
        <v>0</v>
      </c>
      <c r="N1459" t="n">
        <v>0</v>
      </c>
      <c r="O1459" t="n">
        <v>0</v>
      </c>
      <c r="P1459" t="n">
        <v>0</v>
      </c>
      <c r="Q1459" t="n">
        <v>0</v>
      </c>
      <c r="R1459" s="2" t="inlineStr"/>
    </row>
    <row r="1460" ht="15" customHeight="1">
      <c r="A1460" t="inlineStr">
        <is>
          <t>A 24255-2021</t>
        </is>
      </c>
      <c r="B1460" s="1" t="n">
        <v>44336</v>
      </c>
      <c r="C1460" s="1" t="n">
        <v>46093</v>
      </c>
      <c r="D1460" t="inlineStr">
        <is>
          <t>VÄSTERNORRLANDS LÄN</t>
        </is>
      </c>
      <c r="E1460" t="inlineStr">
        <is>
          <t>KRAMFORS</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851-2022</t>
        </is>
      </c>
      <c r="B1461" s="1" t="n">
        <v>44568</v>
      </c>
      <c r="C1461" s="1" t="n">
        <v>46093</v>
      </c>
      <c r="D1461" t="inlineStr">
        <is>
          <t>VÄSTERNORRLANDS LÄN</t>
        </is>
      </c>
      <c r="E1461" t="inlineStr">
        <is>
          <t>ÖRNSKÖLDSVIK</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56361-2021</t>
        </is>
      </c>
      <c r="B1462" s="1" t="n">
        <v>44480.42358796296</v>
      </c>
      <c r="C1462" s="1" t="n">
        <v>46093</v>
      </c>
      <c r="D1462" t="inlineStr">
        <is>
          <t>VÄSTERNORRLANDS LÄN</t>
        </is>
      </c>
      <c r="E1462" t="inlineStr">
        <is>
          <t>ÖRNSKÖLDSVIK</t>
        </is>
      </c>
      <c r="F1462" t="inlineStr">
        <is>
          <t>Holmen skog AB</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3557-2022</t>
        </is>
      </c>
      <c r="B1463" s="1" t="n">
        <v>44585.93833333333</v>
      </c>
      <c r="C1463" s="1" t="n">
        <v>46093</v>
      </c>
      <c r="D1463" t="inlineStr">
        <is>
          <t>VÄSTERNORRLANDS LÄN</t>
        </is>
      </c>
      <c r="E1463" t="inlineStr">
        <is>
          <t>SOLLEFTEÅ</t>
        </is>
      </c>
      <c r="F1463" t="inlineStr">
        <is>
          <t>SCA</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67390-2021</t>
        </is>
      </c>
      <c r="B1464" s="1" t="n">
        <v>44523.93848379629</v>
      </c>
      <c r="C1464" s="1" t="n">
        <v>46093</v>
      </c>
      <c r="D1464" t="inlineStr">
        <is>
          <t>VÄSTERNORRLANDS LÄN</t>
        </is>
      </c>
      <c r="E1464" t="inlineStr">
        <is>
          <t>SOLLEFTEÅ</t>
        </is>
      </c>
      <c r="F1464" t="inlineStr">
        <is>
          <t>SCA</t>
        </is>
      </c>
      <c r="G1464" t="n">
        <v>6.8</v>
      </c>
      <c r="H1464" t="n">
        <v>0</v>
      </c>
      <c r="I1464" t="n">
        <v>0</v>
      </c>
      <c r="J1464" t="n">
        <v>0</v>
      </c>
      <c r="K1464" t="n">
        <v>0</v>
      </c>
      <c r="L1464" t="n">
        <v>0</v>
      </c>
      <c r="M1464" t="n">
        <v>0</v>
      </c>
      <c r="N1464" t="n">
        <v>0</v>
      </c>
      <c r="O1464" t="n">
        <v>0</v>
      </c>
      <c r="P1464" t="n">
        <v>0</v>
      </c>
      <c r="Q1464" t="n">
        <v>0</v>
      </c>
      <c r="R1464" s="2" t="inlineStr"/>
    </row>
    <row r="1465" ht="15" customHeight="1">
      <c r="A1465" t="inlineStr">
        <is>
          <t>A 63806-2021</t>
        </is>
      </c>
      <c r="B1465" s="1" t="n">
        <v>44508</v>
      </c>
      <c r="C1465" s="1" t="n">
        <v>46093</v>
      </c>
      <c r="D1465" t="inlineStr">
        <is>
          <t>VÄSTERNORRLANDS LÄN</t>
        </is>
      </c>
      <c r="E1465" t="inlineStr">
        <is>
          <t>ÖRNSKÖLDSVIK</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19220-2021</t>
        </is>
      </c>
      <c r="B1466" s="1" t="n">
        <v>44309</v>
      </c>
      <c r="C1466" s="1" t="n">
        <v>46093</v>
      </c>
      <c r="D1466" t="inlineStr">
        <is>
          <t>VÄSTERNORRLANDS LÄN</t>
        </is>
      </c>
      <c r="E1466" t="inlineStr">
        <is>
          <t>SOLLEFTEÅ</t>
        </is>
      </c>
      <c r="F1466" t="inlineStr">
        <is>
          <t>Holmen skog AB</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47572-2021</t>
        </is>
      </c>
      <c r="B1467" s="1" t="n">
        <v>44447</v>
      </c>
      <c r="C1467" s="1" t="n">
        <v>46093</v>
      </c>
      <c r="D1467" t="inlineStr">
        <is>
          <t>VÄSTERNORRLANDS LÄN</t>
        </is>
      </c>
      <c r="E1467" t="inlineStr">
        <is>
          <t>KRAMFORS</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64108-2021</t>
        </is>
      </c>
      <c r="B1468" s="1" t="n">
        <v>44509</v>
      </c>
      <c r="C1468" s="1" t="n">
        <v>46093</v>
      </c>
      <c r="D1468" t="inlineStr">
        <is>
          <t>VÄSTERNORRLANDS LÄN</t>
        </is>
      </c>
      <c r="E1468" t="inlineStr">
        <is>
          <t>ÖRNSKÖLDSVIK</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74043-2021</t>
        </is>
      </c>
      <c r="B1469" s="1" t="n">
        <v>44557</v>
      </c>
      <c r="C1469" s="1" t="n">
        <v>46093</v>
      </c>
      <c r="D1469" t="inlineStr">
        <is>
          <t>VÄSTERNORRLANDS LÄN</t>
        </is>
      </c>
      <c r="E1469" t="inlineStr">
        <is>
          <t>TIMRÅ</t>
        </is>
      </c>
      <c r="G1469" t="n">
        <v>0.1</v>
      </c>
      <c r="H1469" t="n">
        <v>0</v>
      </c>
      <c r="I1469" t="n">
        <v>0</v>
      </c>
      <c r="J1469" t="n">
        <v>0</v>
      </c>
      <c r="K1469" t="n">
        <v>0</v>
      </c>
      <c r="L1469" t="n">
        <v>0</v>
      </c>
      <c r="M1469" t="n">
        <v>0</v>
      </c>
      <c r="N1469" t="n">
        <v>0</v>
      </c>
      <c r="O1469" t="n">
        <v>0</v>
      </c>
      <c r="P1469" t="n">
        <v>0</v>
      </c>
      <c r="Q1469" t="n">
        <v>0</v>
      </c>
      <c r="R1469" s="2" t="inlineStr"/>
    </row>
    <row r="1470" ht="15" customHeight="1">
      <c r="A1470" t="inlineStr">
        <is>
          <t>A 29292-2021</t>
        </is>
      </c>
      <c r="B1470" s="1" t="n">
        <v>44358</v>
      </c>
      <c r="C1470" s="1" t="n">
        <v>46093</v>
      </c>
      <c r="D1470" t="inlineStr">
        <is>
          <t>VÄSTERNORRLANDS LÄN</t>
        </is>
      </c>
      <c r="E1470" t="inlineStr">
        <is>
          <t>SUNDSVALL</t>
        </is>
      </c>
      <c r="G1470" t="n">
        <v>0.2</v>
      </c>
      <c r="H1470" t="n">
        <v>0</v>
      </c>
      <c r="I1470" t="n">
        <v>0</v>
      </c>
      <c r="J1470" t="n">
        <v>0</v>
      </c>
      <c r="K1470" t="n">
        <v>0</v>
      </c>
      <c r="L1470" t="n">
        <v>0</v>
      </c>
      <c r="M1470" t="n">
        <v>0</v>
      </c>
      <c r="N1470" t="n">
        <v>0</v>
      </c>
      <c r="O1470" t="n">
        <v>0</v>
      </c>
      <c r="P1470" t="n">
        <v>0</v>
      </c>
      <c r="Q1470" t="n">
        <v>0</v>
      </c>
      <c r="R1470" s="2" t="inlineStr"/>
    </row>
    <row r="1471" ht="15" customHeight="1">
      <c r="A1471" t="inlineStr">
        <is>
          <t>A 4555-2022</t>
        </is>
      </c>
      <c r="B1471" s="1" t="n">
        <v>44590.93231481482</v>
      </c>
      <c r="C1471" s="1" t="n">
        <v>46093</v>
      </c>
      <c r="D1471" t="inlineStr">
        <is>
          <t>VÄSTERNORRLANDS LÄN</t>
        </is>
      </c>
      <c r="E1471" t="inlineStr">
        <is>
          <t>SOLLEFTEÅ</t>
        </is>
      </c>
      <c r="F1471" t="inlineStr">
        <is>
          <t>SCA</t>
        </is>
      </c>
      <c r="G1471" t="n">
        <v>5.6</v>
      </c>
      <c r="H1471" t="n">
        <v>0</v>
      </c>
      <c r="I1471" t="n">
        <v>0</v>
      </c>
      <c r="J1471" t="n">
        <v>0</v>
      </c>
      <c r="K1471" t="n">
        <v>0</v>
      </c>
      <c r="L1471" t="n">
        <v>0</v>
      </c>
      <c r="M1471" t="n">
        <v>0</v>
      </c>
      <c r="N1471" t="n">
        <v>0</v>
      </c>
      <c r="O1471" t="n">
        <v>0</v>
      </c>
      <c r="P1471" t="n">
        <v>0</v>
      </c>
      <c r="Q1471" t="n">
        <v>0</v>
      </c>
      <c r="R1471" s="2" t="inlineStr"/>
    </row>
    <row r="1472" ht="15" customHeight="1">
      <c r="A1472" t="inlineStr">
        <is>
          <t>A 10927-2022</t>
        </is>
      </c>
      <c r="B1472" s="1" t="n">
        <v>44627.94453703704</v>
      </c>
      <c r="C1472" s="1" t="n">
        <v>46093</v>
      </c>
      <c r="D1472" t="inlineStr">
        <is>
          <t>VÄSTERNORRLANDS LÄN</t>
        </is>
      </c>
      <c r="E1472" t="inlineStr">
        <is>
          <t>SOLLEFTEÅ</t>
        </is>
      </c>
      <c r="F1472" t="inlineStr">
        <is>
          <t>SCA</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21790-2022</t>
        </is>
      </c>
      <c r="B1473" s="1" t="n">
        <v>44708.56934027778</v>
      </c>
      <c r="C1473" s="1" t="n">
        <v>46093</v>
      </c>
      <c r="D1473" t="inlineStr">
        <is>
          <t>VÄSTERNORRLANDS LÄN</t>
        </is>
      </c>
      <c r="E1473" t="inlineStr">
        <is>
          <t>ÖRNSKÖLDSVIK</t>
        </is>
      </c>
      <c r="F1473" t="inlineStr">
        <is>
          <t>Holmen skog AB</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24433-2021</t>
        </is>
      </c>
      <c r="B1474" s="1" t="n">
        <v>44337.56453703704</v>
      </c>
      <c r="C1474" s="1" t="n">
        <v>46093</v>
      </c>
      <c r="D1474" t="inlineStr">
        <is>
          <t>VÄSTERNORRLANDS LÄN</t>
        </is>
      </c>
      <c r="E1474" t="inlineStr">
        <is>
          <t>SUNDSVALL</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70309-2021</t>
        </is>
      </c>
      <c r="B1475" s="1" t="n">
        <v>44533</v>
      </c>
      <c r="C1475" s="1" t="n">
        <v>46093</v>
      </c>
      <c r="D1475" t="inlineStr">
        <is>
          <t>VÄSTERNORRLANDS LÄN</t>
        </is>
      </c>
      <c r="E1475" t="inlineStr">
        <is>
          <t>SUNDSVALL</t>
        </is>
      </c>
      <c r="G1475" t="n">
        <v>18.8</v>
      </c>
      <c r="H1475" t="n">
        <v>0</v>
      </c>
      <c r="I1475" t="n">
        <v>0</v>
      </c>
      <c r="J1475" t="n">
        <v>0</v>
      </c>
      <c r="K1475" t="n">
        <v>0</v>
      </c>
      <c r="L1475" t="n">
        <v>0</v>
      </c>
      <c r="M1475" t="n">
        <v>0</v>
      </c>
      <c r="N1475" t="n">
        <v>0</v>
      </c>
      <c r="O1475" t="n">
        <v>0</v>
      </c>
      <c r="P1475" t="n">
        <v>0</v>
      </c>
      <c r="Q1475" t="n">
        <v>0</v>
      </c>
      <c r="R1475" s="2" t="inlineStr"/>
    </row>
    <row r="1476" ht="15" customHeight="1">
      <c r="A1476" t="inlineStr">
        <is>
          <t>A 24819-2021</t>
        </is>
      </c>
      <c r="B1476" s="1" t="n">
        <v>44340</v>
      </c>
      <c r="C1476" s="1" t="n">
        <v>46093</v>
      </c>
      <c r="D1476" t="inlineStr">
        <is>
          <t>VÄSTERNORRLANDS LÄN</t>
        </is>
      </c>
      <c r="E1476" t="inlineStr">
        <is>
          <t>ÅNGE</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67277-2021</t>
        </is>
      </c>
      <c r="B1477" s="1" t="n">
        <v>44523.6065162037</v>
      </c>
      <c r="C1477" s="1" t="n">
        <v>46093</v>
      </c>
      <c r="D1477" t="inlineStr">
        <is>
          <t>VÄSTERNORRLANDS LÄN</t>
        </is>
      </c>
      <c r="E1477" t="inlineStr">
        <is>
          <t>SUNDSVALL</t>
        </is>
      </c>
      <c r="G1477" t="n">
        <v>4.9</v>
      </c>
      <c r="H1477" t="n">
        <v>0</v>
      </c>
      <c r="I1477" t="n">
        <v>0</v>
      </c>
      <c r="J1477" t="n">
        <v>0</v>
      </c>
      <c r="K1477" t="n">
        <v>0</v>
      </c>
      <c r="L1477" t="n">
        <v>0</v>
      </c>
      <c r="M1477" t="n">
        <v>0</v>
      </c>
      <c r="N1477" t="n">
        <v>0</v>
      </c>
      <c r="O1477" t="n">
        <v>0</v>
      </c>
      <c r="P1477" t="n">
        <v>0</v>
      </c>
      <c r="Q1477" t="n">
        <v>0</v>
      </c>
      <c r="R1477" s="2" t="inlineStr"/>
    </row>
    <row r="1478" ht="15" customHeight="1">
      <c r="A1478" t="inlineStr">
        <is>
          <t>A 19516-2021</t>
        </is>
      </c>
      <c r="B1478" s="1" t="n">
        <v>44309</v>
      </c>
      <c r="C1478" s="1" t="n">
        <v>46093</v>
      </c>
      <c r="D1478" t="inlineStr">
        <is>
          <t>VÄSTERNORRLANDS LÄN</t>
        </is>
      </c>
      <c r="E1478" t="inlineStr">
        <is>
          <t>SOLLEFTEÅ</t>
        </is>
      </c>
      <c r="G1478" t="n">
        <v>15.6</v>
      </c>
      <c r="H1478" t="n">
        <v>0</v>
      </c>
      <c r="I1478" t="n">
        <v>0</v>
      </c>
      <c r="J1478" t="n">
        <v>0</v>
      </c>
      <c r="K1478" t="n">
        <v>0</v>
      </c>
      <c r="L1478" t="n">
        <v>0</v>
      </c>
      <c r="M1478" t="n">
        <v>0</v>
      </c>
      <c r="N1478" t="n">
        <v>0</v>
      </c>
      <c r="O1478" t="n">
        <v>0</v>
      </c>
      <c r="P1478" t="n">
        <v>0</v>
      </c>
      <c r="Q1478" t="n">
        <v>0</v>
      </c>
      <c r="R1478" s="2" t="inlineStr"/>
    </row>
    <row r="1479" ht="15" customHeight="1">
      <c r="A1479" t="inlineStr">
        <is>
          <t>A 27282-2022</t>
        </is>
      </c>
      <c r="B1479" s="1" t="n">
        <v>44741</v>
      </c>
      <c r="C1479" s="1" t="n">
        <v>46093</v>
      </c>
      <c r="D1479" t="inlineStr">
        <is>
          <t>VÄSTERNORRLANDS LÄN</t>
        </is>
      </c>
      <c r="E1479" t="inlineStr">
        <is>
          <t>SOLLEFTEÅ</t>
        </is>
      </c>
      <c r="F1479" t="inlineStr">
        <is>
          <t>SCA</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47767-2021</t>
        </is>
      </c>
      <c r="B1480" s="1" t="n">
        <v>44448</v>
      </c>
      <c r="C1480" s="1" t="n">
        <v>46093</v>
      </c>
      <c r="D1480" t="inlineStr">
        <is>
          <t>VÄSTERNORRLANDS LÄN</t>
        </is>
      </c>
      <c r="E1480" t="inlineStr">
        <is>
          <t>ÖRNSKÖLDSVIK</t>
        </is>
      </c>
      <c r="F1480" t="inlineStr">
        <is>
          <t>Holmen skog AB</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47783-2021</t>
        </is>
      </c>
      <c r="B1481" s="1" t="n">
        <v>44448.59229166667</v>
      </c>
      <c r="C1481" s="1" t="n">
        <v>46093</v>
      </c>
      <c r="D1481" t="inlineStr">
        <is>
          <t>VÄSTERNORRLANDS LÄN</t>
        </is>
      </c>
      <c r="E1481" t="inlineStr">
        <is>
          <t>ÖRNSKÖLDSVIK</t>
        </is>
      </c>
      <c r="F1481" t="inlineStr">
        <is>
          <t>Holmen skog AB</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23503-2021</t>
        </is>
      </c>
      <c r="B1482" s="1" t="n">
        <v>44333.94502314815</v>
      </c>
      <c r="C1482" s="1" t="n">
        <v>46093</v>
      </c>
      <c r="D1482" t="inlineStr">
        <is>
          <t>VÄSTERNORRLANDS LÄN</t>
        </is>
      </c>
      <c r="E1482" t="inlineStr">
        <is>
          <t>KRAMFORS</t>
        </is>
      </c>
      <c r="F1482" t="inlineStr">
        <is>
          <t>SCA</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39006-2022</t>
        </is>
      </c>
      <c r="B1483" s="1" t="n">
        <v>44816.94675925926</v>
      </c>
      <c r="C1483" s="1" t="n">
        <v>46093</v>
      </c>
      <c r="D1483" t="inlineStr">
        <is>
          <t>VÄSTERNORRLANDS LÄN</t>
        </is>
      </c>
      <c r="E1483" t="inlineStr">
        <is>
          <t>SOLLEFTEÅ</t>
        </is>
      </c>
      <c r="F1483" t="inlineStr">
        <is>
          <t>SCA</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23574-2021</t>
        </is>
      </c>
      <c r="B1484" s="1" t="n">
        <v>44334</v>
      </c>
      <c r="C1484" s="1" t="n">
        <v>46093</v>
      </c>
      <c r="D1484" t="inlineStr">
        <is>
          <t>VÄSTERNORRLANDS LÄN</t>
        </is>
      </c>
      <c r="E1484" t="inlineStr">
        <is>
          <t>ÖRNSKÖLDSVIK</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26276-2021</t>
        </is>
      </c>
      <c r="B1485" s="1" t="n">
        <v>44347</v>
      </c>
      <c r="C1485" s="1" t="n">
        <v>46093</v>
      </c>
      <c r="D1485" t="inlineStr">
        <is>
          <t>VÄSTERNORRLANDS LÄN</t>
        </is>
      </c>
      <c r="E1485" t="inlineStr">
        <is>
          <t>HÄRNÖSAND</t>
        </is>
      </c>
      <c r="G1485" t="n">
        <v>9</v>
      </c>
      <c r="H1485" t="n">
        <v>0</v>
      </c>
      <c r="I1485" t="n">
        <v>0</v>
      </c>
      <c r="J1485" t="n">
        <v>0</v>
      </c>
      <c r="K1485" t="n">
        <v>0</v>
      </c>
      <c r="L1485" t="n">
        <v>0</v>
      </c>
      <c r="M1485" t="n">
        <v>0</v>
      </c>
      <c r="N1485" t="n">
        <v>0</v>
      </c>
      <c r="O1485" t="n">
        <v>0</v>
      </c>
      <c r="P1485" t="n">
        <v>0</v>
      </c>
      <c r="Q1485" t="n">
        <v>0</v>
      </c>
      <c r="R1485" s="2" t="inlineStr"/>
    </row>
    <row r="1486" ht="15" customHeight="1">
      <c r="A1486" t="inlineStr">
        <is>
          <t>A 53969-2021</t>
        </is>
      </c>
      <c r="B1486" s="1" t="n">
        <v>44469</v>
      </c>
      <c r="C1486" s="1" t="n">
        <v>46093</v>
      </c>
      <c r="D1486" t="inlineStr">
        <is>
          <t>VÄSTERNORRLANDS LÄN</t>
        </is>
      </c>
      <c r="E1486" t="inlineStr">
        <is>
          <t>ÅNGE</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24322-2022</t>
        </is>
      </c>
      <c r="B1487" s="1" t="n">
        <v>44725.94471064815</v>
      </c>
      <c r="C1487" s="1" t="n">
        <v>46093</v>
      </c>
      <c r="D1487" t="inlineStr">
        <is>
          <t>VÄSTERNORRLANDS LÄN</t>
        </is>
      </c>
      <c r="E1487" t="inlineStr">
        <is>
          <t>SOLLEFTEÅ</t>
        </is>
      </c>
      <c r="F1487" t="inlineStr">
        <is>
          <t>SCA</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48589-2021</t>
        </is>
      </c>
      <c r="B1488" s="1" t="n">
        <v>44452</v>
      </c>
      <c r="C1488" s="1" t="n">
        <v>46093</v>
      </c>
      <c r="D1488" t="inlineStr">
        <is>
          <t>VÄSTERNORRLANDS LÄN</t>
        </is>
      </c>
      <c r="E1488" t="inlineStr">
        <is>
          <t>ÖRNSKÖLDSVIK</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74383-2021</t>
        </is>
      </c>
      <c r="B1489" s="1" t="n">
        <v>44559</v>
      </c>
      <c r="C1489" s="1" t="n">
        <v>46093</v>
      </c>
      <c r="D1489" t="inlineStr">
        <is>
          <t>VÄSTERNORRLANDS LÄN</t>
        </is>
      </c>
      <c r="E1489" t="inlineStr">
        <is>
          <t>SUNDSVALL</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26203-2021</t>
        </is>
      </c>
      <c r="B1490" s="1" t="n">
        <v>44347.4090162037</v>
      </c>
      <c r="C1490" s="1" t="n">
        <v>46093</v>
      </c>
      <c r="D1490" t="inlineStr">
        <is>
          <t>VÄSTERNORRLANDS LÄN</t>
        </is>
      </c>
      <c r="E1490" t="inlineStr">
        <is>
          <t>HÄRNÖSAND</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44784-2022</t>
        </is>
      </c>
      <c r="B1491" s="1" t="n">
        <v>44841.35232638889</v>
      </c>
      <c r="C1491" s="1" t="n">
        <v>46093</v>
      </c>
      <c r="D1491" t="inlineStr">
        <is>
          <t>VÄSTERNORRLANDS LÄN</t>
        </is>
      </c>
      <c r="E1491" t="inlineStr">
        <is>
          <t>ÖRNSKÖLDSVIK</t>
        </is>
      </c>
      <c r="F1491" t="inlineStr">
        <is>
          <t>Holmen skog AB</t>
        </is>
      </c>
      <c r="G1491" t="n">
        <v>7.5</v>
      </c>
      <c r="H1491" t="n">
        <v>0</v>
      </c>
      <c r="I1491" t="n">
        <v>0</v>
      </c>
      <c r="J1491" t="n">
        <v>0</v>
      </c>
      <c r="K1491" t="n">
        <v>0</v>
      </c>
      <c r="L1491" t="n">
        <v>0</v>
      </c>
      <c r="M1491" t="n">
        <v>0</v>
      </c>
      <c r="N1491" t="n">
        <v>0</v>
      </c>
      <c r="O1491" t="n">
        <v>0</v>
      </c>
      <c r="P1491" t="n">
        <v>0</v>
      </c>
      <c r="Q1491" t="n">
        <v>0</v>
      </c>
      <c r="R1491" s="2" t="inlineStr"/>
    </row>
    <row r="1492" ht="15" customHeight="1">
      <c r="A1492" t="inlineStr">
        <is>
          <t>A 21711-2021</t>
        </is>
      </c>
      <c r="B1492" s="1" t="n">
        <v>44322</v>
      </c>
      <c r="C1492" s="1" t="n">
        <v>46093</v>
      </c>
      <c r="D1492" t="inlineStr">
        <is>
          <t>VÄSTERNORRLANDS LÄN</t>
        </is>
      </c>
      <c r="E1492" t="inlineStr">
        <is>
          <t>SOLLEFTEÅ</t>
        </is>
      </c>
      <c r="F1492" t="inlineStr">
        <is>
          <t>Kyrkan</t>
        </is>
      </c>
      <c r="G1492" t="n">
        <v>22.2</v>
      </c>
      <c r="H1492" t="n">
        <v>0</v>
      </c>
      <c r="I1492" t="n">
        <v>0</v>
      </c>
      <c r="J1492" t="n">
        <v>0</v>
      </c>
      <c r="K1492" t="n">
        <v>0</v>
      </c>
      <c r="L1492" t="n">
        <v>0</v>
      </c>
      <c r="M1492" t="n">
        <v>0</v>
      </c>
      <c r="N1492" t="n">
        <v>0</v>
      </c>
      <c r="O1492" t="n">
        <v>0</v>
      </c>
      <c r="P1492" t="n">
        <v>0</v>
      </c>
      <c r="Q1492" t="n">
        <v>0</v>
      </c>
      <c r="R1492" s="2" t="inlineStr"/>
    </row>
    <row r="1493" ht="15" customHeight="1">
      <c r="A1493" t="inlineStr">
        <is>
          <t>A 9028-2022</t>
        </is>
      </c>
      <c r="B1493" s="1" t="n">
        <v>44615</v>
      </c>
      <c r="C1493" s="1" t="n">
        <v>46093</v>
      </c>
      <c r="D1493" t="inlineStr">
        <is>
          <t>VÄSTERNORRLANDS LÄN</t>
        </is>
      </c>
      <c r="E1493" t="inlineStr">
        <is>
          <t>ÖRNSKÖLDSVIK</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26287-2022</t>
        </is>
      </c>
      <c r="B1494" s="1" t="n">
        <v>44735</v>
      </c>
      <c r="C1494" s="1" t="n">
        <v>46093</v>
      </c>
      <c r="D1494" t="inlineStr">
        <is>
          <t>VÄSTERNORRLANDS LÄN</t>
        </is>
      </c>
      <c r="E1494" t="inlineStr">
        <is>
          <t>SUNDSVALL</t>
        </is>
      </c>
      <c r="G1494" t="n">
        <v>0.2</v>
      </c>
      <c r="H1494" t="n">
        <v>0</v>
      </c>
      <c r="I1494" t="n">
        <v>0</v>
      </c>
      <c r="J1494" t="n">
        <v>0</v>
      </c>
      <c r="K1494" t="n">
        <v>0</v>
      </c>
      <c r="L1494" t="n">
        <v>0</v>
      </c>
      <c r="M1494" t="n">
        <v>0</v>
      </c>
      <c r="N1494" t="n">
        <v>0</v>
      </c>
      <c r="O1494" t="n">
        <v>0</v>
      </c>
      <c r="P1494" t="n">
        <v>0</v>
      </c>
      <c r="Q1494" t="n">
        <v>0</v>
      </c>
      <c r="R1494" s="2" t="inlineStr"/>
    </row>
    <row r="1495" ht="15" customHeight="1">
      <c r="A1495" t="inlineStr">
        <is>
          <t>A 23693-2022</t>
        </is>
      </c>
      <c r="B1495" s="1" t="n">
        <v>44721</v>
      </c>
      <c r="C1495" s="1" t="n">
        <v>46093</v>
      </c>
      <c r="D1495" t="inlineStr">
        <is>
          <t>VÄSTERNORRLANDS LÄN</t>
        </is>
      </c>
      <c r="E1495" t="inlineStr">
        <is>
          <t>TIMRÅ</t>
        </is>
      </c>
      <c r="F1495" t="inlineStr">
        <is>
          <t>SCA</t>
        </is>
      </c>
      <c r="G1495" t="n">
        <v>5</v>
      </c>
      <c r="H1495" t="n">
        <v>0</v>
      </c>
      <c r="I1495" t="n">
        <v>0</v>
      </c>
      <c r="J1495" t="n">
        <v>0</v>
      </c>
      <c r="K1495" t="n">
        <v>0</v>
      </c>
      <c r="L1495" t="n">
        <v>0</v>
      </c>
      <c r="M1495" t="n">
        <v>0</v>
      </c>
      <c r="N1495" t="n">
        <v>0</v>
      </c>
      <c r="O1495" t="n">
        <v>0</v>
      </c>
      <c r="P1495" t="n">
        <v>0</v>
      </c>
      <c r="Q1495" t="n">
        <v>0</v>
      </c>
      <c r="R1495" s="2" t="inlineStr"/>
    </row>
    <row r="1496" ht="15" customHeight="1">
      <c r="A1496" t="inlineStr">
        <is>
          <t>A 29842-2022</t>
        </is>
      </c>
      <c r="B1496" s="1" t="n">
        <v>44756.32835648148</v>
      </c>
      <c r="C1496" s="1" t="n">
        <v>46093</v>
      </c>
      <c r="D1496" t="inlineStr">
        <is>
          <t>VÄSTERNORRLANDS LÄN</t>
        </is>
      </c>
      <c r="E1496" t="inlineStr">
        <is>
          <t>SOLLEFTEÅ</t>
        </is>
      </c>
      <c r="F1496" t="inlineStr">
        <is>
          <t>Holmen skog AB</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19830-2021</t>
        </is>
      </c>
      <c r="B1497" s="1" t="n">
        <v>44312</v>
      </c>
      <c r="C1497" s="1" t="n">
        <v>46093</v>
      </c>
      <c r="D1497" t="inlineStr">
        <is>
          <t>VÄSTERNORRLANDS LÄN</t>
        </is>
      </c>
      <c r="E1497" t="inlineStr">
        <is>
          <t>SOLLEFTEÅ</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30043-2022</t>
        </is>
      </c>
      <c r="B1498" s="1" t="n">
        <v>44756</v>
      </c>
      <c r="C1498" s="1" t="n">
        <v>46093</v>
      </c>
      <c r="D1498" t="inlineStr">
        <is>
          <t>VÄSTERNORRLANDS LÄN</t>
        </is>
      </c>
      <c r="E1498" t="inlineStr">
        <is>
          <t>SOLLEFTEÅ</t>
        </is>
      </c>
      <c r="F1498" t="inlineStr">
        <is>
          <t>SCA</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22336-2021</t>
        </is>
      </c>
      <c r="B1499" s="1" t="n">
        <v>44326</v>
      </c>
      <c r="C1499" s="1" t="n">
        <v>46093</v>
      </c>
      <c r="D1499" t="inlineStr">
        <is>
          <t>VÄSTERNORRLANDS LÄN</t>
        </is>
      </c>
      <c r="E1499" t="inlineStr">
        <is>
          <t>SUNDSVALL</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22351-2021</t>
        </is>
      </c>
      <c r="B1500" s="1" t="n">
        <v>44326</v>
      </c>
      <c r="C1500" s="1" t="n">
        <v>46093</v>
      </c>
      <c r="D1500" t="inlineStr">
        <is>
          <t>VÄSTERNORRLANDS LÄN</t>
        </is>
      </c>
      <c r="E1500" t="inlineStr">
        <is>
          <t>ÖRNSKÖLDSVIK</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44442-2021</t>
        </is>
      </c>
      <c r="B1501" s="1" t="n">
        <v>44435</v>
      </c>
      <c r="C1501" s="1" t="n">
        <v>46093</v>
      </c>
      <c r="D1501" t="inlineStr">
        <is>
          <t>VÄSTERNORRLANDS LÄN</t>
        </is>
      </c>
      <c r="E1501" t="inlineStr">
        <is>
          <t>ÖRNSKÖLDSVIK</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30716-2022</t>
        </is>
      </c>
      <c r="B1502" s="1" t="n">
        <v>44763.94292824074</v>
      </c>
      <c r="C1502" s="1" t="n">
        <v>46093</v>
      </c>
      <c r="D1502" t="inlineStr">
        <is>
          <t>VÄSTERNORRLANDS LÄN</t>
        </is>
      </c>
      <c r="E1502" t="inlineStr">
        <is>
          <t>ÖRNSKÖLDSVIK</t>
        </is>
      </c>
      <c r="F1502" t="inlineStr">
        <is>
          <t>SCA</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22441-2021</t>
        </is>
      </c>
      <c r="B1503" s="1" t="n">
        <v>44323</v>
      </c>
      <c r="C1503" s="1" t="n">
        <v>46093</v>
      </c>
      <c r="D1503" t="inlineStr">
        <is>
          <t>VÄSTERNORRLANDS LÄN</t>
        </is>
      </c>
      <c r="E1503" t="inlineStr">
        <is>
          <t>SOLLEFTEÅ</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47058-2022</t>
        </is>
      </c>
      <c r="B1504" s="1" t="n">
        <v>44852</v>
      </c>
      <c r="C1504" s="1" t="n">
        <v>46093</v>
      </c>
      <c r="D1504" t="inlineStr">
        <is>
          <t>VÄSTERNORRLANDS LÄN</t>
        </is>
      </c>
      <c r="E1504" t="inlineStr">
        <is>
          <t>ÖRNSKÖLDSVIK</t>
        </is>
      </c>
      <c r="F1504" t="inlineStr">
        <is>
          <t>Holmen skog AB</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26190-2021</t>
        </is>
      </c>
      <c r="B1505" s="1" t="n">
        <v>44347</v>
      </c>
      <c r="C1505" s="1" t="n">
        <v>46093</v>
      </c>
      <c r="D1505" t="inlineStr">
        <is>
          <t>VÄSTERNORRLANDS LÄN</t>
        </is>
      </c>
      <c r="E1505" t="inlineStr">
        <is>
          <t>ÖRNSKÖLDSVIK</t>
        </is>
      </c>
      <c r="F1505" t="inlineStr">
        <is>
          <t>Holmen skog AB</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22344-2021</t>
        </is>
      </c>
      <c r="B1506" s="1" t="n">
        <v>44326.54659722222</v>
      </c>
      <c r="C1506" s="1" t="n">
        <v>46093</v>
      </c>
      <c r="D1506" t="inlineStr">
        <is>
          <t>VÄSTERNORRLANDS LÄN</t>
        </is>
      </c>
      <c r="E1506" t="inlineStr">
        <is>
          <t>ÖRNSKÖLDSVIK</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31959-2022</t>
        </is>
      </c>
      <c r="B1507" s="1" t="n">
        <v>44777.92671296297</v>
      </c>
      <c r="C1507" s="1" t="n">
        <v>46093</v>
      </c>
      <c r="D1507" t="inlineStr">
        <is>
          <t>VÄSTERNORRLANDS LÄN</t>
        </is>
      </c>
      <c r="E1507" t="inlineStr">
        <is>
          <t>SUNDSVALL</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35359-2021</t>
        </is>
      </c>
      <c r="B1508" s="1" t="n">
        <v>44384.93608796296</v>
      </c>
      <c r="C1508" s="1" t="n">
        <v>46093</v>
      </c>
      <c r="D1508" t="inlineStr">
        <is>
          <t>VÄSTERNORRLANDS LÄN</t>
        </is>
      </c>
      <c r="E1508" t="inlineStr">
        <is>
          <t>ÅNGE</t>
        </is>
      </c>
      <c r="F1508" t="inlineStr">
        <is>
          <t>SCA</t>
        </is>
      </c>
      <c r="G1508" t="n">
        <v>10.1</v>
      </c>
      <c r="H1508" t="n">
        <v>0</v>
      </c>
      <c r="I1508" t="n">
        <v>0</v>
      </c>
      <c r="J1508" t="n">
        <v>0</v>
      </c>
      <c r="K1508" t="n">
        <v>0</v>
      </c>
      <c r="L1508" t="n">
        <v>0</v>
      </c>
      <c r="M1508" t="n">
        <v>0</v>
      </c>
      <c r="N1508" t="n">
        <v>0</v>
      </c>
      <c r="O1508" t="n">
        <v>0</v>
      </c>
      <c r="P1508" t="n">
        <v>0</v>
      </c>
      <c r="Q1508" t="n">
        <v>0</v>
      </c>
      <c r="R1508" s="2" t="inlineStr"/>
    </row>
    <row r="1509" ht="15" customHeight="1">
      <c r="A1509" t="inlineStr">
        <is>
          <t>A 56741-2021</t>
        </is>
      </c>
      <c r="B1509" s="1" t="n">
        <v>44481</v>
      </c>
      <c r="C1509" s="1" t="n">
        <v>46093</v>
      </c>
      <c r="D1509" t="inlineStr">
        <is>
          <t>VÄSTERNORRLANDS LÄN</t>
        </is>
      </c>
      <c r="E1509" t="inlineStr">
        <is>
          <t>ÖRNSKÖLDSVIK</t>
        </is>
      </c>
      <c r="F1509" t="inlineStr">
        <is>
          <t>Holmen skog AB</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21706-2022</t>
        </is>
      </c>
      <c r="B1510" s="1" t="n">
        <v>44707</v>
      </c>
      <c r="C1510" s="1" t="n">
        <v>46093</v>
      </c>
      <c r="D1510" t="inlineStr">
        <is>
          <t>VÄSTERNORRLANDS LÄN</t>
        </is>
      </c>
      <c r="E1510" t="inlineStr">
        <is>
          <t>ÖRNSKÖLDSVIK</t>
        </is>
      </c>
      <c r="F1510" t="inlineStr">
        <is>
          <t>SCA</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45006-2021</t>
        </is>
      </c>
      <c r="B1511" s="1" t="n">
        <v>44438.91969907407</v>
      </c>
      <c r="C1511" s="1" t="n">
        <v>46093</v>
      </c>
      <c r="D1511" t="inlineStr">
        <is>
          <t>VÄSTERNORRLANDS LÄN</t>
        </is>
      </c>
      <c r="E1511" t="inlineStr">
        <is>
          <t>SUNDSVALL</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69962-2021</t>
        </is>
      </c>
      <c r="B1512" s="1" t="n">
        <v>44533</v>
      </c>
      <c r="C1512" s="1" t="n">
        <v>46093</v>
      </c>
      <c r="D1512" t="inlineStr">
        <is>
          <t>VÄSTERNORRLANDS LÄN</t>
        </is>
      </c>
      <c r="E1512" t="inlineStr">
        <is>
          <t>ÖRNSKÖLDSVIK</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2271-2022</t>
        </is>
      </c>
      <c r="B1513" s="1" t="n">
        <v>44578</v>
      </c>
      <c r="C1513" s="1" t="n">
        <v>46093</v>
      </c>
      <c r="D1513" t="inlineStr">
        <is>
          <t>VÄSTERNORRLANDS LÄN</t>
        </is>
      </c>
      <c r="E1513" t="inlineStr">
        <is>
          <t>ÖRNSKÖLDSVIK</t>
        </is>
      </c>
      <c r="G1513" t="n">
        <v>4.2</v>
      </c>
      <c r="H1513" t="n">
        <v>0</v>
      </c>
      <c r="I1513" t="n">
        <v>0</v>
      </c>
      <c r="J1513" t="n">
        <v>0</v>
      </c>
      <c r="K1513" t="n">
        <v>0</v>
      </c>
      <c r="L1513" t="n">
        <v>0</v>
      </c>
      <c r="M1513" t="n">
        <v>0</v>
      </c>
      <c r="N1513" t="n">
        <v>0</v>
      </c>
      <c r="O1513" t="n">
        <v>0</v>
      </c>
      <c r="P1513" t="n">
        <v>0</v>
      </c>
      <c r="Q1513" t="n">
        <v>0</v>
      </c>
      <c r="R1513" s="2" t="inlineStr"/>
    </row>
    <row r="1514" ht="15" customHeight="1">
      <c r="A1514" t="inlineStr">
        <is>
          <t>A 49175-2022</t>
        </is>
      </c>
      <c r="B1514" s="1" t="n">
        <v>44860.92922453704</v>
      </c>
      <c r="C1514" s="1" t="n">
        <v>46093</v>
      </c>
      <c r="D1514" t="inlineStr">
        <is>
          <t>VÄSTERNORRLANDS LÄN</t>
        </is>
      </c>
      <c r="E1514" t="inlineStr">
        <is>
          <t>SOLLEFTEÅ</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47569-2021</t>
        </is>
      </c>
      <c r="B1515" s="1" t="n">
        <v>44447</v>
      </c>
      <c r="C1515" s="1" t="n">
        <v>46093</v>
      </c>
      <c r="D1515" t="inlineStr">
        <is>
          <t>VÄSTERNORRLANDS LÄN</t>
        </is>
      </c>
      <c r="E1515" t="inlineStr">
        <is>
          <t>TIMRÅ</t>
        </is>
      </c>
      <c r="F1515" t="inlineStr">
        <is>
          <t>SCA</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21714-2022</t>
        </is>
      </c>
      <c r="B1516" s="1" t="n">
        <v>44707.94015046296</v>
      </c>
      <c r="C1516" s="1" t="n">
        <v>46093</v>
      </c>
      <c r="D1516" t="inlineStr">
        <is>
          <t>VÄSTERNORRLANDS LÄN</t>
        </is>
      </c>
      <c r="E1516" t="inlineStr">
        <is>
          <t>SOLLEFTEÅ</t>
        </is>
      </c>
      <c r="F1516" t="inlineStr">
        <is>
          <t>SCA</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31191-2021</t>
        </is>
      </c>
      <c r="B1517" s="1" t="n">
        <v>44368</v>
      </c>
      <c r="C1517" s="1" t="n">
        <v>46093</v>
      </c>
      <c r="D1517" t="inlineStr">
        <is>
          <t>VÄSTERNORRLANDS LÄN</t>
        </is>
      </c>
      <c r="E1517" t="inlineStr">
        <is>
          <t>ÅNGE</t>
        </is>
      </c>
      <c r="F1517" t="inlineStr">
        <is>
          <t>Sveaskog</t>
        </is>
      </c>
      <c r="G1517" t="n">
        <v>21.6</v>
      </c>
      <c r="H1517" t="n">
        <v>0</v>
      </c>
      <c r="I1517" t="n">
        <v>0</v>
      </c>
      <c r="J1517" t="n">
        <v>0</v>
      </c>
      <c r="K1517" t="n">
        <v>0</v>
      </c>
      <c r="L1517" t="n">
        <v>0</v>
      </c>
      <c r="M1517" t="n">
        <v>0</v>
      </c>
      <c r="N1517" t="n">
        <v>0</v>
      </c>
      <c r="O1517" t="n">
        <v>0</v>
      </c>
      <c r="P1517" t="n">
        <v>0</v>
      </c>
      <c r="Q1517" t="n">
        <v>0</v>
      </c>
      <c r="R1517" s="2" t="inlineStr"/>
    </row>
    <row r="1518" ht="15" customHeight="1">
      <c r="A1518" t="inlineStr">
        <is>
          <t>A 27398-2021</t>
        </is>
      </c>
      <c r="B1518" s="1" t="n">
        <v>44351</v>
      </c>
      <c r="C1518" s="1" t="n">
        <v>46093</v>
      </c>
      <c r="D1518" t="inlineStr">
        <is>
          <t>VÄSTERNORRLANDS LÄN</t>
        </is>
      </c>
      <c r="E1518" t="inlineStr">
        <is>
          <t>ÖRNSKÖLDSVIK</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67085-2021</t>
        </is>
      </c>
      <c r="B1519" s="1" t="n">
        <v>44522.94458333333</v>
      </c>
      <c r="C1519" s="1" t="n">
        <v>46093</v>
      </c>
      <c r="D1519" t="inlineStr">
        <is>
          <t>VÄSTERNORRLANDS LÄN</t>
        </is>
      </c>
      <c r="E1519" t="inlineStr">
        <is>
          <t>SOLLEFTEÅ</t>
        </is>
      </c>
      <c r="F1519" t="inlineStr">
        <is>
          <t>SCA</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10417-2022</t>
        </is>
      </c>
      <c r="B1520" s="1" t="n">
        <v>44623</v>
      </c>
      <c r="C1520" s="1" t="n">
        <v>46093</v>
      </c>
      <c r="D1520" t="inlineStr">
        <is>
          <t>VÄSTERNORRLANDS LÄN</t>
        </is>
      </c>
      <c r="E1520" t="inlineStr">
        <is>
          <t>SOLLEFTEÅ</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17940-2022</t>
        </is>
      </c>
      <c r="B1521" s="1" t="n">
        <v>44683</v>
      </c>
      <c r="C1521" s="1" t="n">
        <v>46093</v>
      </c>
      <c r="D1521" t="inlineStr">
        <is>
          <t>VÄSTERNORRLANDS LÄN</t>
        </is>
      </c>
      <c r="E1521" t="inlineStr">
        <is>
          <t>ÖRNSKÖLDSVIK</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59127-2021</t>
        </is>
      </c>
      <c r="B1522" s="1" t="n">
        <v>44490</v>
      </c>
      <c r="C1522" s="1" t="n">
        <v>46093</v>
      </c>
      <c r="D1522" t="inlineStr">
        <is>
          <t>VÄSTERNORRLANDS LÄN</t>
        </is>
      </c>
      <c r="E1522" t="inlineStr">
        <is>
          <t>SUNDSVALL</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27519-2021</t>
        </is>
      </c>
      <c r="B1523" s="1" t="n">
        <v>44351</v>
      </c>
      <c r="C1523" s="1" t="n">
        <v>46093</v>
      </c>
      <c r="D1523" t="inlineStr">
        <is>
          <t>VÄSTERNORRLANDS LÄN</t>
        </is>
      </c>
      <c r="E1523" t="inlineStr">
        <is>
          <t>ÖRNSKÖLDSVIK</t>
        </is>
      </c>
      <c r="F1523" t="inlineStr">
        <is>
          <t>Holmen skog AB</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23054-2022</t>
        </is>
      </c>
      <c r="B1524" s="1" t="n">
        <v>44719.43481481481</v>
      </c>
      <c r="C1524" s="1" t="n">
        <v>46093</v>
      </c>
      <c r="D1524" t="inlineStr">
        <is>
          <t>VÄSTERNORRLANDS LÄN</t>
        </is>
      </c>
      <c r="E1524" t="inlineStr">
        <is>
          <t>SUNDSVALL</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38445-2022</t>
        </is>
      </c>
      <c r="B1525" s="1" t="n">
        <v>44813</v>
      </c>
      <c r="C1525" s="1" t="n">
        <v>46093</v>
      </c>
      <c r="D1525" t="inlineStr">
        <is>
          <t>VÄSTERNORRLANDS LÄN</t>
        </is>
      </c>
      <c r="E1525" t="inlineStr">
        <is>
          <t>TIMRÅ</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45423-2022</t>
        </is>
      </c>
      <c r="B1526" s="1" t="n">
        <v>44844.95256944445</v>
      </c>
      <c r="C1526" s="1" t="n">
        <v>46093</v>
      </c>
      <c r="D1526" t="inlineStr">
        <is>
          <t>VÄSTERNORRLANDS LÄN</t>
        </is>
      </c>
      <c r="E1526" t="inlineStr">
        <is>
          <t>SOLLEFTEÅ</t>
        </is>
      </c>
      <c r="F1526" t="inlineStr">
        <is>
          <t>SCA</t>
        </is>
      </c>
      <c r="G1526" t="n">
        <v>5</v>
      </c>
      <c r="H1526" t="n">
        <v>0</v>
      </c>
      <c r="I1526" t="n">
        <v>0</v>
      </c>
      <c r="J1526" t="n">
        <v>0</v>
      </c>
      <c r="K1526" t="n">
        <v>0</v>
      </c>
      <c r="L1526" t="n">
        <v>0</v>
      </c>
      <c r="M1526" t="n">
        <v>0</v>
      </c>
      <c r="N1526" t="n">
        <v>0</v>
      </c>
      <c r="O1526" t="n">
        <v>0</v>
      </c>
      <c r="P1526" t="n">
        <v>0</v>
      </c>
      <c r="Q1526" t="n">
        <v>0</v>
      </c>
      <c r="R1526" s="2" t="inlineStr"/>
    </row>
    <row r="1527" ht="15" customHeight="1">
      <c r="A1527" t="inlineStr">
        <is>
          <t>A 30460-2021</t>
        </is>
      </c>
      <c r="B1527" s="1" t="n">
        <v>44364</v>
      </c>
      <c r="C1527" s="1" t="n">
        <v>46093</v>
      </c>
      <c r="D1527" t="inlineStr">
        <is>
          <t>VÄSTERNORRLANDS LÄN</t>
        </is>
      </c>
      <c r="E1527" t="inlineStr">
        <is>
          <t>SUNDSVALL</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46045-2022</t>
        </is>
      </c>
      <c r="B1528" s="1" t="n">
        <v>44846</v>
      </c>
      <c r="C1528" s="1" t="n">
        <v>46093</v>
      </c>
      <c r="D1528" t="inlineStr">
        <is>
          <t>VÄSTERNORRLANDS LÄN</t>
        </is>
      </c>
      <c r="E1528" t="inlineStr">
        <is>
          <t>HÄRNÖSAND</t>
        </is>
      </c>
      <c r="F1528" t="inlineStr">
        <is>
          <t>SCA</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59496-2021</t>
        </is>
      </c>
      <c r="B1529" s="1" t="n">
        <v>44491</v>
      </c>
      <c r="C1529" s="1" t="n">
        <v>46093</v>
      </c>
      <c r="D1529" t="inlineStr">
        <is>
          <t>VÄSTERNORRLANDS LÄN</t>
        </is>
      </c>
      <c r="E1529" t="inlineStr">
        <is>
          <t>SUNDSVALL</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67698-2021</t>
        </is>
      </c>
      <c r="B1530" s="1" t="n">
        <v>44524.94635416667</v>
      </c>
      <c r="C1530" s="1" t="n">
        <v>46093</v>
      </c>
      <c r="D1530" t="inlineStr">
        <is>
          <t>VÄSTERNORRLANDS LÄN</t>
        </is>
      </c>
      <c r="E1530" t="inlineStr">
        <is>
          <t>SUNDSVALL</t>
        </is>
      </c>
      <c r="F1530" t="inlineStr">
        <is>
          <t>SCA</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42219-2021</t>
        </is>
      </c>
      <c r="B1531" s="1" t="n">
        <v>44426.87444444445</v>
      </c>
      <c r="C1531" s="1" t="n">
        <v>46093</v>
      </c>
      <c r="D1531" t="inlineStr">
        <is>
          <t>VÄSTERNORRLANDS LÄN</t>
        </is>
      </c>
      <c r="E1531" t="inlineStr">
        <is>
          <t>SOLLEFTEÅ</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38157-2021</t>
        </is>
      </c>
      <c r="B1532" s="1" t="n">
        <v>44405.4246412037</v>
      </c>
      <c r="C1532" s="1" t="n">
        <v>46093</v>
      </c>
      <c r="D1532" t="inlineStr">
        <is>
          <t>VÄSTERNORRLANDS LÄN</t>
        </is>
      </c>
      <c r="E1532" t="inlineStr">
        <is>
          <t>ÖRNSKÖLDSVIK</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63609-2021</t>
        </is>
      </c>
      <c r="B1533" s="1" t="n">
        <v>44508.94660879629</v>
      </c>
      <c r="C1533" s="1" t="n">
        <v>46093</v>
      </c>
      <c r="D1533" t="inlineStr">
        <is>
          <t>VÄSTERNORRLANDS LÄN</t>
        </is>
      </c>
      <c r="E1533" t="inlineStr">
        <is>
          <t>ÅNGE</t>
        </is>
      </c>
      <c r="F1533" t="inlineStr">
        <is>
          <t>SCA</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69929-2021</t>
        </is>
      </c>
      <c r="B1534" s="1" t="n">
        <v>44532</v>
      </c>
      <c r="C1534" s="1" t="n">
        <v>46093</v>
      </c>
      <c r="D1534" t="inlineStr">
        <is>
          <t>VÄSTERNORRLANDS LÄN</t>
        </is>
      </c>
      <c r="E1534" t="inlineStr">
        <is>
          <t>HÄRNÖSAND</t>
        </is>
      </c>
      <c r="G1534" t="n">
        <v>7.4</v>
      </c>
      <c r="H1534" t="n">
        <v>0</v>
      </c>
      <c r="I1534" t="n">
        <v>0</v>
      </c>
      <c r="J1534" t="n">
        <v>0</v>
      </c>
      <c r="K1534" t="n">
        <v>0</v>
      </c>
      <c r="L1534" t="n">
        <v>0</v>
      </c>
      <c r="M1534" t="n">
        <v>0</v>
      </c>
      <c r="N1534" t="n">
        <v>0</v>
      </c>
      <c r="O1534" t="n">
        <v>0</v>
      </c>
      <c r="P1534" t="n">
        <v>0</v>
      </c>
      <c r="Q1534" t="n">
        <v>0</v>
      </c>
      <c r="R1534" s="2" t="inlineStr"/>
    </row>
    <row r="1535" ht="15" customHeight="1">
      <c r="A1535" t="inlineStr">
        <is>
          <t>A 60630-2021</t>
        </is>
      </c>
      <c r="B1535" s="1" t="n">
        <v>44496</v>
      </c>
      <c r="C1535" s="1" t="n">
        <v>46093</v>
      </c>
      <c r="D1535" t="inlineStr">
        <is>
          <t>VÄSTERNORRLANDS LÄN</t>
        </is>
      </c>
      <c r="E1535" t="inlineStr">
        <is>
          <t>KRAMFORS</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52985-2022</t>
        </is>
      </c>
      <c r="B1536" s="1" t="n">
        <v>44875.92774305555</v>
      </c>
      <c r="C1536" s="1" t="n">
        <v>46093</v>
      </c>
      <c r="D1536" t="inlineStr">
        <is>
          <t>VÄSTERNORRLANDS LÄN</t>
        </is>
      </c>
      <c r="E1536" t="inlineStr">
        <is>
          <t>HÄRNÖSAND</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41166-2022</t>
        </is>
      </c>
      <c r="B1537" s="1" t="n">
        <v>44825.94456018518</v>
      </c>
      <c r="C1537" s="1" t="n">
        <v>46093</v>
      </c>
      <c r="D1537" t="inlineStr">
        <is>
          <t>VÄSTERNORRLANDS LÄN</t>
        </is>
      </c>
      <c r="E1537" t="inlineStr">
        <is>
          <t>ÖRNSKÖLDSVIK</t>
        </is>
      </c>
      <c r="F1537" t="inlineStr">
        <is>
          <t>SCA</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41172-2022</t>
        </is>
      </c>
      <c r="B1538" s="1" t="n">
        <v>44825.94738425926</v>
      </c>
      <c r="C1538" s="1" t="n">
        <v>46093</v>
      </c>
      <c r="D1538" t="inlineStr">
        <is>
          <t>VÄSTERNORRLANDS LÄN</t>
        </is>
      </c>
      <c r="E1538" t="inlineStr">
        <is>
          <t>SOLLEFTEÅ</t>
        </is>
      </c>
      <c r="F1538" t="inlineStr">
        <is>
          <t>SCA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7158-2022</t>
        </is>
      </c>
      <c r="B1539" s="1" t="n">
        <v>44603.96534722222</v>
      </c>
      <c r="C1539" s="1" t="n">
        <v>46093</v>
      </c>
      <c r="D1539" t="inlineStr">
        <is>
          <t>VÄSTERNORRLANDS LÄN</t>
        </is>
      </c>
      <c r="E1539" t="inlineStr">
        <is>
          <t>ÅNGE</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52474-2022</t>
        </is>
      </c>
      <c r="B1540" s="1" t="n">
        <v>44874.48275462963</v>
      </c>
      <c r="C1540" s="1" t="n">
        <v>46093</v>
      </c>
      <c r="D1540" t="inlineStr">
        <is>
          <t>VÄSTERNORRLANDS LÄN</t>
        </is>
      </c>
      <c r="E1540" t="inlineStr">
        <is>
          <t>TIMRÅ</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1987-2022</t>
        </is>
      </c>
      <c r="B1541" s="1" t="n">
        <v>44575</v>
      </c>
      <c r="C1541" s="1" t="n">
        <v>46093</v>
      </c>
      <c r="D1541" t="inlineStr">
        <is>
          <t>VÄSTERNORRLANDS LÄN</t>
        </is>
      </c>
      <c r="E1541" t="inlineStr">
        <is>
          <t>SOLLEFTEÅ</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28702-2021</t>
        </is>
      </c>
      <c r="B1542" s="1" t="n">
        <v>44357</v>
      </c>
      <c r="C1542" s="1" t="n">
        <v>46093</v>
      </c>
      <c r="D1542" t="inlineStr">
        <is>
          <t>VÄSTERNORRLANDS LÄN</t>
        </is>
      </c>
      <c r="E1542" t="inlineStr">
        <is>
          <t>TIMRÅ</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29602-2021</t>
        </is>
      </c>
      <c r="B1543" s="1" t="n">
        <v>44361.93674768518</v>
      </c>
      <c r="C1543" s="1" t="n">
        <v>46093</v>
      </c>
      <c r="D1543" t="inlineStr">
        <is>
          <t>VÄSTERNORRLANDS LÄN</t>
        </is>
      </c>
      <c r="E1543" t="inlineStr">
        <is>
          <t>SOLLEFTEÅ</t>
        </is>
      </c>
      <c r="F1543" t="inlineStr">
        <is>
          <t>SCA</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52096-2022</t>
        </is>
      </c>
      <c r="B1544" s="1" t="n">
        <v>44868</v>
      </c>
      <c r="C1544" s="1" t="n">
        <v>46093</v>
      </c>
      <c r="D1544" t="inlineStr">
        <is>
          <t>VÄSTERNORRLANDS LÄN</t>
        </is>
      </c>
      <c r="E1544" t="inlineStr">
        <is>
          <t>TIMRÅ</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38663-2022</t>
        </is>
      </c>
      <c r="B1545" s="1" t="n">
        <v>44813.94670138889</v>
      </c>
      <c r="C1545" s="1" t="n">
        <v>46093</v>
      </c>
      <c r="D1545" t="inlineStr">
        <is>
          <t>VÄSTERNORRLANDS LÄN</t>
        </is>
      </c>
      <c r="E1545" t="inlineStr">
        <is>
          <t>SOLLEFTEÅ</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38670-2022</t>
        </is>
      </c>
      <c r="B1546" s="1" t="n">
        <v>44813.94760416666</v>
      </c>
      <c r="C1546" s="1" t="n">
        <v>46093</v>
      </c>
      <c r="D1546" t="inlineStr">
        <is>
          <t>VÄSTERNORRLANDS LÄN</t>
        </is>
      </c>
      <c r="E1546" t="inlineStr">
        <is>
          <t>SUNDSVALL</t>
        </is>
      </c>
      <c r="F1546" t="inlineStr">
        <is>
          <t>SCA</t>
        </is>
      </c>
      <c r="G1546" t="n">
        <v>4.5</v>
      </c>
      <c r="H1546" t="n">
        <v>0</v>
      </c>
      <c r="I1546" t="n">
        <v>0</v>
      </c>
      <c r="J1546" t="n">
        <v>0</v>
      </c>
      <c r="K1546" t="n">
        <v>0</v>
      </c>
      <c r="L1546" t="n">
        <v>0</v>
      </c>
      <c r="M1546" t="n">
        <v>0</v>
      </c>
      <c r="N1546" t="n">
        <v>0</v>
      </c>
      <c r="O1546" t="n">
        <v>0</v>
      </c>
      <c r="P1546" t="n">
        <v>0</v>
      </c>
      <c r="Q1546" t="n">
        <v>0</v>
      </c>
      <c r="R1546" s="2" t="inlineStr"/>
    </row>
    <row r="1547" ht="15" customHeight="1">
      <c r="A1547" t="inlineStr">
        <is>
          <t>A 32103-2021</t>
        </is>
      </c>
      <c r="B1547" s="1" t="n">
        <v>44370</v>
      </c>
      <c r="C1547" s="1" t="n">
        <v>46093</v>
      </c>
      <c r="D1547" t="inlineStr">
        <is>
          <t>VÄSTERNORRLANDS LÄN</t>
        </is>
      </c>
      <c r="E1547" t="inlineStr">
        <is>
          <t>HÄRNÖSAND</t>
        </is>
      </c>
      <c r="F1547" t="inlineStr">
        <is>
          <t>SCA</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41515-2021</t>
        </is>
      </c>
      <c r="B1548" s="1" t="n">
        <v>44424</v>
      </c>
      <c r="C1548" s="1" t="n">
        <v>46093</v>
      </c>
      <c r="D1548" t="inlineStr">
        <is>
          <t>VÄSTERNORRLANDS LÄN</t>
        </is>
      </c>
      <c r="E1548" t="inlineStr">
        <is>
          <t>ÖRNSKÖLDSVIK</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31490-2022</t>
        </is>
      </c>
      <c r="B1549" s="1" t="n">
        <v>44774.94451388889</v>
      </c>
      <c r="C1549" s="1" t="n">
        <v>46093</v>
      </c>
      <c r="D1549" t="inlineStr">
        <is>
          <t>VÄSTERNORRLANDS LÄN</t>
        </is>
      </c>
      <c r="E1549" t="inlineStr">
        <is>
          <t>SOLLEFTEÅ</t>
        </is>
      </c>
      <c r="F1549" t="inlineStr">
        <is>
          <t>SCA</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37611-2021</t>
        </is>
      </c>
      <c r="B1550" s="1" t="n">
        <v>44399</v>
      </c>
      <c r="C1550" s="1" t="n">
        <v>46093</v>
      </c>
      <c r="D1550" t="inlineStr">
        <is>
          <t>VÄSTERNORRLANDS LÄN</t>
        </is>
      </c>
      <c r="E1550" t="inlineStr">
        <is>
          <t>SUNDSVALL</t>
        </is>
      </c>
      <c r="F1550" t="inlineStr">
        <is>
          <t>SCA</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29727-2021</t>
        </is>
      </c>
      <c r="B1551" s="1" t="n">
        <v>44362</v>
      </c>
      <c r="C1551" s="1" t="n">
        <v>46093</v>
      </c>
      <c r="D1551" t="inlineStr">
        <is>
          <t>VÄSTERNORRLANDS LÄN</t>
        </is>
      </c>
      <c r="E1551" t="inlineStr">
        <is>
          <t>ÖRNSKÖLDSVIK</t>
        </is>
      </c>
      <c r="F1551" t="inlineStr">
        <is>
          <t>Holmen skog AB</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41374-2021</t>
        </is>
      </c>
      <c r="B1552" s="1" t="n">
        <v>44424</v>
      </c>
      <c r="C1552" s="1" t="n">
        <v>46093</v>
      </c>
      <c r="D1552" t="inlineStr">
        <is>
          <t>VÄSTERNORRLANDS LÄN</t>
        </is>
      </c>
      <c r="E1552" t="inlineStr">
        <is>
          <t>ÖRNSKÖLDSVIK</t>
        </is>
      </c>
      <c r="F1552" t="inlineStr">
        <is>
          <t>Holmen skog AB</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21870-2022</t>
        </is>
      </c>
      <c r="B1553" s="1" t="n">
        <v>44711</v>
      </c>
      <c r="C1553" s="1" t="n">
        <v>46093</v>
      </c>
      <c r="D1553" t="inlineStr">
        <is>
          <t>VÄSTERNORRLANDS LÄN</t>
        </is>
      </c>
      <c r="E1553" t="inlineStr">
        <is>
          <t>ÖRNSKÖLDSVIK</t>
        </is>
      </c>
      <c r="G1553" t="n">
        <v>9.699999999999999</v>
      </c>
      <c r="H1553" t="n">
        <v>0</v>
      </c>
      <c r="I1553" t="n">
        <v>0</v>
      </c>
      <c r="J1553" t="n">
        <v>0</v>
      </c>
      <c r="K1553" t="n">
        <v>0</v>
      </c>
      <c r="L1553" t="n">
        <v>0</v>
      </c>
      <c r="M1553" t="n">
        <v>0</v>
      </c>
      <c r="N1553" t="n">
        <v>0</v>
      </c>
      <c r="O1553" t="n">
        <v>0</v>
      </c>
      <c r="P1553" t="n">
        <v>0</v>
      </c>
      <c r="Q1553" t="n">
        <v>0</v>
      </c>
      <c r="R1553" s="2" t="inlineStr"/>
    </row>
    <row r="1554" ht="15" customHeight="1">
      <c r="A1554" t="inlineStr">
        <is>
          <t>A 689-2022</t>
        </is>
      </c>
      <c r="B1554" s="1" t="n">
        <v>44566</v>
      </c>
      <c r="C1554" s="1" t="n">
        <v>46093</v>
      </c>
      <c r="D1554" t="inlineStr">
        <is>
          <t>VÄSTERNORRLANDS LÄN</t>
        </is>
      </c>
      <c r="E1554" t="inlineStr">
        <is>
          <t>ÖRNSKÖLDSVIK</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11862-2022</t>
        </is>
      </c>
      <c r="B1555" s="1" t="n">
        <v>44635.34825231481</v>
      </c>
      <c r="C1555" s="1" t="n">
        <v>46093</v>
      </c>
      <c r="D1555" t="inlineStr">
        <is>
          <t>VÄSTERNORRLANDS LÄN</t>
        </is>
      </c>
      <c r="E1555" t="inlineStr">
        <is>
          <t>SUNDSVALL</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56004-2021</t>
        </is>
      </c>
      <c r="B1556" s="1" t="n">
        <v>44477.43289351852</v>
      </c>
      <c r="C1556" s="1" t="n">
        <v>46093</v>
      </c>
      <c r="D1556" t="inlineStr">
        <is>
          <t>VÄSTERNORRLANDS LÄN</t>
        </is>
      </c>
      <c r="E1556" t="inlineStr">
        <is>
          <t>HÄRNÖSAND</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39594-2021</t>
        </is>
      </c>
      <c r="B1557" s="1" t="n">
        <v>44413</v>
      </c>
      <c r="C1557" s="1" t="n">
        <v>46093</v>
      </c>
      <c r="D1557" t="inlineStr">
        <is>
          <t>VÄSTERNORRLANDS LÄN</t>
        </is>
      </c>
      <c r="E1557" t="inlineStr">
        <is>
          <t>SOLLEFTEÅ</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49200-2022</t>
        </is>
      </c>
      <c r="B1558" s="1" t="n">
        <v>44860.95540509259</v>
      </c>
      <c r="C1558" s="1" t="n">
        <v>46093</v>
      </c>
      <c r="D1558" t="inlineStr">
        <is>
          <t>VÄSTERNORRLANDS LÄN</t>
        </is>
      </c>
      <c r="E1558" t="inlineStr">
        <is>
          <t>SOLLEFTEÅ</t>
        </is>
      </c>
      <c r="F1558" t="inlineStr">
        <is>
          <t>SCA</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64434-2021</t>
        </is>
      </c>
      <c r="B1559" s="1" t="n">
        <v>44511.47248842593</v>
      </c>
      <c r="C1559" s="1" t="n">
        <v>46093</v>
      </c>
      <c r="D1559" t="inlineStr">
        <is>
          <t>VÄSTERNORRLANDS LÄN</t>
        </is>
      </c>
      <c r="E1559" t="inlineStr">
        <is>
          <t>ÖRNSKÖLDSVIK</t>
        </is>
      </c>
      <c r="F1559" t="inlineStr">
        <is>
          <t>Holmen skog AB</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38818-2021</t>
        </is>
      </c>
      <c r="B1560" s="1" t="n">
        <v>44411.31755787037</v>
      </c>
      <c r="C1560" s="1" t="n">
        <v>46093</v>
      </c>
      <c r="D1560" t="inlineStr">
        <is>
          <t>VÄSTERNORRLANDS LÄN</t>
        </is>
      </c>
      <c r="E1560" t="inlineStr">
        <is>
          <t>ÖRNSKÖLDSVIK</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45799-2021</t>
        </is>
      </c>
      <c r="B1561" s="1" t="n">
        <v>44441.48052083333</v>
      </c>
      <c r="C1561" s="1" t="n">
        <v>46093</v>
      </c>
      <c r="D1561" t="inlineStr">
        <is>
          <t>VÄSTERNORRLANDS LÄN</t>
        </is>
      </c>
      <c r="E1561" t="inlineStr">
        <is>
          <t>ÖRNSKÖLDSVIK</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22317-2021</t>
        </is>
      </c>
      <c r="B1562" s="1" t="n">
        <v>44323</v>
      </c>
      <c r="C1562" s="1" t="n">
        <v>46093</v>
      </c>
      <c r="D1562" t="inlineStr">
        <is>
          <t>VÄSTERNORRLANDS LÄN</t>
        </is>
      </c>
      <c r="E1562" t="inlineStr">
        <is>
          <t>KRAMFORS</t>
        </is>
      </c>
      <c r="G1562" t="n">
        <v>4.2</v>
      </c>
      <c r="H1562" t="n">
        <v>0</v>
      </c>
      <c r="I1562" t="n">
        <v>0</v>
      </c>
      <c r="J1562" t="n">
        <v>0</v>
      </c>
      <c r="K1562" t="n">
        <v>0</v>
      </c>
      <c r="L1562" t="n">
        <v>0</v>
      </c>
      <c r="M1562" t="n">
        <v>0</v>
      </c>
      <c r="N1562" t="n">
        <v>0</v>
      </c>
      <c r="O1562" t="n">
        <v>0</v>
      </c>
      <c r="P1562" t="n">
        <v>0</v>
      </c>
      <c r="Q1562" t="n">
        <v>0</v>
      </c>
      <c r="R1562" s="2" t="inlineStr"/>
    </row>
    <row r="1563" ht="15" customHeight="1">
      <c r="A1563" t="inlineStr">
        <is>
          <t>A 64440-2021</t>
        </is>
      </c>
      <c r="B1563" s="1" t="n">
        <v>44511</v>
      </c>
      <c r="C1563" s="1" t="n">
        <v>46093</v>
      </c>
      <c r="D1563" t="inlineStr">
        <is>
          <t>VÄSTERNORRLANDS LÄN</t>
        </is>
      </c>
      <c r="E1563" t="inlineStr">
        <is>
          <t>KRAMFORS</t>
        </is>
      </c>
      <c r="G1563" t="n">
        <v>7.5</v>
      </c>
      <c r="H1563" t="n">
        <v>0</v>
      </c>
      <c r="I1563" t="n">
        <v>0</v>
      </c>
      <c r="J1563" t="n">
        <v>0</v>
      </c>
      <c r="K1563" t="n">
        <v>0</v>
      </c>
      <c r="L1563" t="n">
        <v>0</v>
      </c>
      <c r="M1563" t="n">
        <v>0</v>
      </c>
      <c r="N1563" t="n">
        <v>0</v>
      </c>
      <c r="O1563" t="n">
        <v>0</v>
      </c>
      <c r="P1563" t="n">
        <v>0</v>
      </c>
      <c r="Q1563" t="n">
        <v>0</v>
      </c>
      <c r="R1563" s="2" t="inlineStr"/>
    </row>
    <row r="1564" ht="15" customHeight="1">
      <c r="A1564" t="inlineStr">
        <is>
          <t>A 4021-2022</t>
        </is>
      </c>
      <c r="B1564" s="1" t="n">
        <v>44587</v>
      </c>
      <c r="C1564" s="1" t="n">
        <v>46093</v>
      </c>
      <c r="D1564" t="inlineStr">
        <is>
          <t>VÄSTERNORRLANDS LÄN</t>
        </is>
      </c>
      <c r="E1564" t="inlineStr">
        <is>
          <t>KRAMFORS</t>
        </is>
      </c>
      <c r="F1564" t="inlineStr">
        <is>
          <t>SCA</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15598-2022</t>
        </is>
      </c>
      <c r="B1565" s="1" t="n">
        <v>44662</v>
      </c>
      <c r="C1565" s="1" t="n">
        <v>46093</v>
      </c>
      <c r="D1565" t="inlineStr">
        <is>
          <t>VÄSTERNORRLANDS LÄN</t>
        </is>
      </c>
      <c r="E1565" t="inlineStr">
        <is>
          <t>SUNDSVALL</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64542-2021</t>
        </is>
      </c>
      <c r="B1566" s="1" t="n">
        <v>44511</v>
      </c>
      <c r="C1566" s="1" t="n">
        <v>46093</v>
      </c>
      <c r="D1566" t="inlineStr">
        <is>
          <t>VÄSTERNORRLANDS LÄN</t>
        </is>
      </c>
      <c r="E1566" t="inlineStr">
        <is>
          <t>ÖRNSKÖLDSVIK</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58941-2021</t>
        </is>
      </c>
      <c r="B1567" s="1" t="n">
        <v>44489.92215277778</v>
      </c>
      <c r="C1567" s="1" t="n">
        <v>46093</v>
      </c>
      <c r="D1567" t="inlineStr">
        <is>
          <t>VÄSTERNORRLANDS LÄN</t>
        </is>
      </c>
      <c r="E1567" t="inlineStr">
        <is>
          <t>ÅNGE</t>
        </is>
      </c>
      <c r="G1567" t="n">
        <v>6.7</v>
      </c>
      <c r="H1567" t="n">
        <v>0</v>
      </c>
      <c r="I1567" t="n">
        <v>0</v>
      </c>
      <c r="J1567" t="n">
        <v>0</v>
      </c>
      <c r="K1567" t="n">
        <v>0</v>
      </c>
      <c r="L1567" t="n">
        <v>0</v>
      </c>
      <c r="M1567" t="n">
        <v>0</v>
      </c>
      <c r="N1567" t="n">
        <v>0</v>
      </c>
      <c r="O1567" t="n">
        <v>0</v>
      </c>
      <c r="P1567" t="n">
        <v>0</v>
      </c>
      <c r="Q1567" t="n">
        <v>0</v>
      </c>
      <c r="R1567" s="2" t="inlineStr"/>
    </row>
    <row r="1568" ht="15" customHeight="1">
      <c r="A1568" t="inlineStr">
        <is>
          <t>A 64947-2021</t>
        </is>
      </c>
      <c r="B1568" s="1" t="n">
        <v>44512.94497685185</v>
      </c>
      <c r="C1568" s="1" t="n">
        <v>46093</v>
      </c>
      <c r="D1568" t="inlineStr">
        <is>
          <t>VÄSTERNORRLANDS LÄN</t>
        </is>
      </c>
      <c r="E1568" t="inlineStr">
        <is>
          <t>SOLLEFTEÅ</t>
        </is>
      </c>
      <c r="F1568" t="inlineStr">
        <is>
          <t>SCA</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1094-2022</t>
        </is>
      </c>
      <c r="B1569" s="1" t="n">
        <v>44571</v>
      </c>
      <c r="C1569" s="1" t="n">
        <v>46093</v>
      </c>
      <c r="D1569" t="inlineStr">
        <is>
          <t>VÄSTERNORRLANDS LÄN</t>
        </is>
      </c>
      <c r="E1569" t="inlineStr">
        <is>
          <t>SOLLEFTEÅ</t>
        </is>
      </c>
      <c r="F1569" t="inlineStr">
        <is>
          <t>SCA</t>
        </is>
      </c>
      <c r="G1569" t="n">
        <v>6</v>
      </c>
      <c r="H1569" t="n">
        <v>0</v>
      </c>
      <c r="I1569" t="n">
        <v>0</v>
      </c>
      <c r="J1569" t="n">
        <v>0</v>
      </c>
      <c r="K1569" t="n">
        <v>0</v>
      </c>
      <c r="L1569" t="n">
        <v>0</v>
      </c>
      <c r="M1569" t="n">
        <v>0</v>
      </c>
      <c r="N1569" t="n">
        <v>0</v>
      </c>
      <c r="O1569" t="n">
        <v>0</v>
      </c>
      <c r="P1569" t="n">
        <v>0</v>
      </c>
      <c r="Q1569" t="n">
        <v>0</v>
      </c>
      <c r="R1569" s="2" t="inlineStr"/>
    </row>
    <row r="1570" ht="15" customHeight="1">
      <c r="A1570" t="inlineStr">
        <is>
          <t>A 25976-2022</t>
        </is>
      </c>
      <c r="B1570" s="1" t="n">
        <v>44734</v>
      </c>
      <c r="C1570" s="1" t="n">
        <v>46093</v>
      </c>
      <c r="D1570" t="inlineStr">
        <is>
          <t>VÄSTERNORRLANDS LÄN</t>
        </is>
      </c>
      <c r="E1570" t="inlineStr">
        <is>
          <t>ÖRNSKÖLDSVIK</t>
        </is>
      </c>
      <c r="F1570" t="inlineStr">
        <is>
          <t>Holmen skog AB</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52705-2021</t>
        </is>
      </c>
      <c r="B1571" s="1" t="n">
        <v>44466</v>
      </c>
      <c r="C1571" s="1" t="n">
        <v>46093</v>
      </c>
      <c r="D1571" t="inlineStr">
        <is>
          <t>VÄSTERNORRLANDS LÄN</t>
        </is>
      </c>
      <c r="E1571" t="inlineStr">
        <is>
          <t>ÅNGE</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52726-2021</t>
        </is>
      </c>
      <c r="B1572" s="1" t="n">
        <v>44466</v>
      </c>
      <c r="C1572" s="1" t="n">
        <v>46093</v>
      </c>
      <c r="D1572" t="inlineStr">
        <is>
          <t>VÄSTERNORRLANDS LÄN</t>
        </is>
      </c>
      <c r="E1572" t="inlineStr">
        <is>
          <t>ÅNGE</t>
        </is>
      </c>
      <c r="F1572" t="inlineStr">
        <is>
          <t>SCA</t>
        </is>
      </c>
      <c r="G1572" t="n">
        <v>9.5</v>
      </c>
      <c r="H1572" t="n">
        <v>0</v>
      </c>
      <c r="I1572" t="n">
        <v>0</v>
      </c>
      <c r="J1572" t="n">
        <v>0</v>
      </c>
      <c r="K1572" t="n">
        <v>0</v>
      </c>
      <c r="L1572" t="n">
        <v>0</v>
      </c>
      <c r="M1572" t="n">
        <v>0</v>
      </c>
      <c r="N1572" t="n">
        <v>0</v>
      </c>
      <c r="O1572" t="n">
        <v>0</v>
      </c>
      <c r="P1572" t="n">
        <v>0</v>
      </c>
      <c r="Q1572" t="n">
        <v>0</v>
      </c>
      <c r="R1572" s="2" t="inlineStr"/>
    </row>
    <row r="1573" ht="15" customHeight="1">
      <c r="A1573" t="inlineStr">
        <is>
          <t>A 26453-2022</t>
        </is>
      </c>
      <c r="B1573" s="1" t="n">
        <v>44739</v>
      </c>
      <c r="C1573" s="1" t="n">
        <v>46093</v>
      </c>
      <c r="D1573" t="inlineStr">
        <is>
          <t>VÄSTERNORRLANDS LÄN</t>
        </is>
      </c>
      <c r="E1573" t="inlineStr">
        <is>
          <t>SUNDSVALL</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65503-2021</t>
        </is>
      </c>
      <c r="B1574" s="1" t="n">
        <v>44516.39268518519</v>
      </c>
      <c r="C1574" s="1" t="n">
        <v>46093</v>
      </c>
      <c r="D1574" t="inlineStr">
        <is>
          <t>VÄSTERNORRLANDS LÄN</t>
        </is>
      </c>
      <c r="E1574" t="inlineStr">
        <is>
          <t>ÖRNSKÖLDSVIK</t>
        </is>
      </c>
      <c r="F1574" t="inlineStr">
        <is>
          <t>Holmen skog AB</t>
        </is>
      </c>
      <c r="G1574" t="n">
        <v>4.5</v>
      </c>
      <c r="H1574" t="n">
        <v>0</v>
      </c>
      <c r="I1574" t="n">
        <v>0</v>
      </c>
      <c r="J1574" t="n">
        <v>0</v>
      </c>
      <c r="K1574" t="n">
        <v>0</v>
      </c>
      <c r="L1574" t="n">
        <v>0</v>
      </c>
      <c r="M1574" t="n">
        <v>0</v>
      </c>
      <c r="N1574" t="n">
        <v>0</v>
      </c>
      <c r="O1574" t="n">
        <v>0</v>
      </c>
      <c r="P1574" t="n">
        <v>0</v>
      </c>
      <c r="Q1574" t="n">
        <v>0</v>
      </c>
      <c r="R1574" s="2" t="inlineStr"/>
    </row>
    <row r="1575" ht="15" customHeight="1">
      <c r="A1575" t="inlineStr">
        <is>
          <t>A 48923-2022</t>
        </is>
      </c>
      <c r="B1575" s="1" t="n">
        <v>44859.95590277778</v>
      </c>
      <c r="C1575" s="1" t="n">
        <v>46093</v>
      </c>
      <c r="D1575" t="inlineStr">
        <is>
          <t>VÄSTERNORRLANDS LÄN</t>
        </is>
      </c>
      <c r="E1575" t="inlineStr">
        <is>
          <t>SOLLEFTEÅ</t>
        </is>
      </c>
      <c r="F1575" t="inlineStr">
        <is>
          <t>SCA</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62569-2021</t>
        </is>
      </c>
      <c r="B1576" s="1" t="n">
        <v>44503.64755787037</v>
      </c>
      <c r="C1576" s="1" t="n">
        <v>46093</v>
      </c>
      <c r="D1576" t="inlineStr">
        <is>
          <t>VÄSTERNORRLANDS LÄN</t>
        </is>
      </c>
      <c r="E1576" t="inlineStr">
        <is>
          <t>ÖRNSKÖLDSVIK</t>
        </is>
      </c>
      <c r="F1576" t="inlineStr">
        <is>
          <t>Holmen skog AB</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7784-2022</t>
        </is>
      </c>
      <c r="B1577" s="1" t="n">
        <v>44608</v>
      </c>
      <c r="C1577" s="1" t="n">
        <v>46093</v>
      </c>
      <c r="D1577" t="inlineStr">
        <is>
          <t>VÄSTERNORRLANDS LÄN</t>
        </is>
      </c>
      <c r="E1577" t="inlineStr">
        <is>
          <t>HÄRNÖSAND</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33719-2022</t>
        </is>
      </c>
      <c r="B1578" s="1" t="n">
        <v>44789.92700231481</v>
      </c>
      <c r="C1578" s="1" t="n">
        <v>46093</v>
      </c>
      <c r="D1578" t="inlineStr">
        <is>
          <t>VÄSTERNORRLANDS LÄN</t>
        </is>
      </c>
      <c r="E1578" t="inlineStr">
        <is>
          <t>TIMRÅ</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40413-2022</t>
        </is>
      </c>
      <c r="B1579" s="1" t="n">
        <v>44823</v>
      </c>
      <c r="C1579" s="1" t="n">
        <v>46093</v>
      </c>
      <c r="D1579" t="inlineStr">
        <is>
          <t>VÄSTERNORRLANDS LÄN</t>
        </is>
      </c>
      <c r="E1579" t="inlineStr">
        <is>
          <t>ÖRNSKÖLDSVIK</t>
        </is>
      </c>
      <c r="F1579" t="inlineStr">
        <is>
          <t>Holmen skog AB</t>
        </is>
      </c>
      <c r="G1579" t="n">
        <v>23.3</v>
      </c>
      <c r="H1579" t="n">
        <v>0</v>
      </c>
      <c r="I1579" t="n">
        <v>0</v>
      </c>
      <c r="J1579" t="n">
        <v>0</v>
      </c>
      <c r="K1579" t="n">
        <v>0</v>
      </c>
      <c r="L1579" t="n">
        <v>0</v>
      </c>
      <c r="M1579" t="n">
        <v>0</v>
      </c>
      <c r="N1579" t="n">
        <v>0</v>
      </c>
      <c r="O1579" t="n">
        <v>0</v>
      </c>
      <c r="P1579" t="n">
        <v>0</v>
      </c>
      <c r="Q1579" t="n">
        <v>0</v>
      </c>
      <c r="R1579" s="2" t="inlineStr"/>
    </row>
    <row r="1580" ht="15" customHeight="1">
      <c r="A1580" t="inlineStr">
        <is>
          <t>A 47672-2021</t>
        </is>
      </c>
      <c r="B1580" s="1" t="n">
        <v>44448</v>
      </c>
      <c r="C1580" s="1" t="n">
        <v>46093</v>
      </c>
      <c r="D1580" t="inlineStr">
        <is>
          <t>VÄSTERNORRLANDS LÄN</t>
        </is>
      </c>
      <c r="E1580" t="inlineStr">
        <is>
          <t>ÖRNSKÖLDSVIK</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18196-2022</t>
        </is>
      </c>
      <c r="B1581" s="1" t="n">
        <v>44684.94048611111</v>
      </c>
      <c r="C1581" s="1" t="n">
        <v>46093</v>
      </c>
      <c r="D1581" t="inlineStr">
        <is>
          <t>VÄSTERNORRLANDS LÄN</t>
        </is>
      </c>
      <c r="E1581" t="inlineStr">
        <is>
          <t>SOLLEFTEÅ</t>
        </is>
      </c>
      <c r="F1581" t="inlineStr">
        <is>
          <t>SCA</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55345-2022</t>
        </is>
      </c>
      <c r="B1582" s="1" t="n">
        <v>44882</v>
      </c>
      <c r="C1582" s="1" t="n">
        <v>46093</v>
      </c>
      <c r="D1582" t="inlineStr">
        <is>
          <t>VÄSTERNORRLANDS LÄN</t>
        </is>
      </c>
      <c r="E1582" t="inlineStr">
        <is>
          <t>SUNDSVALL</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47282-2022</t>
        </is>
      </c>
      <c r="B1583" s="1" t="n">
        <v>44852.95091435185</v>
      </c>
      <c r="C1583" s="1" t="n">
        <v>46093</v>
      </c>
      <c r="D1583" t="inlineStr">
        <is>
          <t>VÄSTERNORRLANDS LÄN</t>
        </is>
      </c>
      <c r="E1583" t="inlineStr">
        <is>
          <t>ÅNGE</t>
        </is>
      </c>
      <c r="F1583" t="inlineStr">
        <is>
          <t>SCA</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35075-2022</t>
        </is>
      </c>
      <c r="B1584" s="1" t="n">
        <v>44797</v>
      </c>
      <c r="C1584" s="1" t="n">
        <v>46093</v>
      </c>
      <c r="D1584" t="inlineStr">
        <is>
          <t>VÄSTERNORRLANDS LÄN</t>
        </is>
      </c>
      <c r="E1584" t="inlineStr">
        <is>
          <t>ÖRNSKÖLDSVIK</t>
        </is>
      </c>
      <c r="F1584" t="inlineStr">
        <is>
          <t>Holmen skog AB</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35204-2022</t>
        </is>
      </c>
      <c r="B1585" s="1" t="n">
        <v>44797</v>
      </c>
      <c r="C1585" s="1" t="n">
        <v>46093</v>
      </c>
      <c r="D1585" t="inlineStr">
        <is>
          <t>VÄSTERNORRLANDS LÄN</t>
        </is>
      </c>
      <c r="E1585" t="inlineStr">
        <is>
          <t>ÖRNSKÖLDSVIK</t>
        </is>
      </c>
      <c r="F1585" t="inlineStr">
        <is>
          <t>Holmen skog AB</t>
        </is>
      </c>
      <c r="G1585" t="n">
        <v>6.8</v>
      </c>
      <c r="H1585" t="n">
        <v>0</v>
      </c>
      <c r="I1585" t="n">
        <v>0</v>
      </c>
      <c r="J1585" t="n">
        <v>0</v>
      </c>
      <c r="K1585" t="n">
        <v>0</v>
      </c>
      <c r="L1585" t="n">
        <v>0</v>
      </c>
      <c r="M1585" t="n">
        <v>0</v>
      </c>
      <c r="N1585" t="n">
        <v>0</v>
      </c>
      <c r="O1585" t="n">
        <v>0</v>
      </c>
      <c r="P1585" t="n">
        <v>0</v>
      </c>
      <c r="Q1585" t="n">
        <v>0</v>
      </c>
      <c r="R1585" s="2" t="inlineStr"/>
    </row>
    <row r="1586" ht="15" customHeight="1">
      <c r="A1586" t="inlineStr">
        <is>
          <t>A 6677-2022</t>
        </is>
      </c>
      <c r="B1586" s="1" t="n">
        <v>44602.39258101852</v>
      </c>
      <c r="C1586" s="1" t="n">
        <v>46093</v>
      </c>
      <c r="D1586" t="inlineStr">
        <is>
          <t>VÄSTERNORRLANDS LÄN</t>
        </is>
      </c>
      <c r="E1586" t="inlineStr">
        <is>
          <t>ÅNGE</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17781-2022</t>
        </is>
      </c>
      <c r="B1587" s="1" t="n">
        <v>44682</v>
      </c>
      <c r="C1587" s="1" t="n">
        <v>46093</v>
      </c>
      <c r="D1587" t="inlineStr">
        <is>
          <t>VÄSTERNORRLANDS LÄN</t>
        </is>
      </c>
      <c r="E1587" t="inlineStr">
        <is>
          <t>ÖRNSKÖLDSVIK</t>
        </is>
      </c>
      <c r="G1587" t="n">
        <v>0.3</v>
      </c>
      <c r="H1587" t="n">
        <v>0</v>
      </c>
      <c r="I1587" t="n">
        <v>0</v>
      </c>
      <c r="J1587" t="n">
        <v>0</v>
      </c>
      <c r="K1587" t="n">
        <v>0</v>
      </c>
      <c r="L1587" t="n">
        <v>0</v>
      </c>
      <c r="M1587" t="n">
        <v>0</v>
      </c>
      <c r="N1587" t="n">
        <v>0</v>
      </c>
      <c r="O1587" t="n">
        <v>0</v>
      </c>
      <c r="P1587" t="n">
        <v>0</v>
      </c>
      <c r="Q1587" t="n">
        <v>0</v>
      </c>
      <c r="R1587" s="2" t="inlineStr"/>
    </row>
    <row r="1588" ht="15" customHeight="1">
      <c r="A1588" t="inlineStr">
        <is>
          <t>A 7649-2022</t>
        </is>
      </c>
      <c r="B1588" s="1" t="n">
        <v>44607</v>
      </c>
      <c r="C1588" s="1" t="n">
        <v>46093</v>
      </c>
      <c r="D1588" t="inlineStr">
        <is>
          <t>VÄSTERNORRLANDS LÄN</t>
        </is>
      </c>
      <c r="E1588" t="inlineStr">
        <is>
          <t>ÅNGE</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25329-2021</t>
        </is>
      </c>
      <c r="B1589" s="1" t="n">
        <v>44342</v>
      </c>
      <c r="C1589" s="1" t="n">
        <v>46093</v>
      </c>
      <c r="D1589" t="inlineStr">
        <is>
          <t>VÄSTERNORRLANDS LÄN</t>
        </is>
      </c>
      <c r="E1589" t="inlineStr">
        <is>
          <t>SOLLEFTEÅ</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19940-2021</t>
        </is>
      </c>
      <c r="B1590" s="1" t="n">
        <v>44313</v>
      </c>
      <c r="C1590" s="1" t="n">
        <v>46093</v>
      </c>
      <c r="D1590" t="inlineStr">
        <is>
          <t>VÄSTERNORRLANDS LÄN</t>
        </is>
      </c>
      <c r="E1590" t="inlineStr">
        <is>
          <t>ÖRNSKÖLDSVIK</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32519-2022</t>
        </is>
      </c>
      <c r="B1591" s="1" t="n">
        <v>44782</v>
      </c>
      <c r="C1591" s="1" t="n">
        <v>46093</v>
      </c>
      <c r="D1591" t="inlineStr">
        <is>
          <t>VÄSTERNORRLANDS LÄN</t>
        </is>
      </c>
      <c r="E1591" t="inlineStr">
        <is>
          <t>TIMRÅ</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68815-2021</t>
        </is>
      </c>
      <c r="B1592" s="1" t="n">
        <v>44529</v>
      </c>
      <c r="C1592" s="1" t="n">
        <v>46093</v>
      </c>
      <c r="D1592" t="inlineStr">
        <is>
          <t>VÄSTERNORRLANDS LÄN</t>
        </is>
      </c>
      <c r="E1592" t="inlineStr">
        <is>
          <t>ÖRNSKÖLDSVIK</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68843-2021</t>
        </is>
      </c>
      <c r="B1593" s="1" t="n">
        <v>44530</v>
      </c>
      <c r="C1593" s="1" t="n">
        <v>46093</v>
      </c>
      <c r="D1593" t="inlineStr">
        <is>
          <t>VÄSTERNORRLANDS LÄN</t>
        </is>
      </c>
      <c r="E1593" t="inlineStr">
        <is>
          <t>SOLLEFTEÅ</t>
        </is>
      </c>
      <c r="F1593" t="inlineStr">
        <is>
          <t>Holmen skog AB</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44603-2022</t>
        </is>
      </c>
      <c r="B1594" s="1" t="n">
        <v>44839</v>
      </c>
      <c r="C1594" s="1" t="n">
        <v>46093</v>
      </c>
      <c r="D1594" t="inlineStr">
        <is>
          <t>VÄSTERNORRLANDS LÄN</t>
        </is>
      </c>
      <c r="E1594" t="inlineStr">
        <is>
          <t>SUNDSVALL</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25609-2021</t>
        </is>
      </c>
      <c r="B1595" s="1" t="n">
        <v>44343</v>
      </c>
      <c r="C1595" s="1" t="n">
        <v>46093</v>
      </c>
      <c r="D1595" t="inlineStr">
        <is>
          <t>VÄSTERNORRLANDS LÄN</t>
        </is>
      </c>
      <c r="E1595" t="inlineStr">
        <is>
          <t>ÖRNSKÖLDSVIK</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32802-2021</t>
        </is>
      </c>
      <c r="B1596" s="1" t="n">
        <v>44375</v>
      </c>
      <c r="C1596" s="1" t="n">
        <v>46093</v>
      </c>
      <c r="D1596" t="inlineStr">
        <is>
          <t>VÄSTERNORRLANDS LÄN</t>
        </is>
      </c>
      <c r="E1596" t="inlineStr">
        <is>
          <t>KRAMFORS</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50243-2022</t>
        </is>
      </c>
      <c r="B1597" s="1" t="n">
        <v>44865</v>
      </c>
      <c r="C1597" s="1" t="n">
        <v>46093</v>
      </c>
      <c r="D1597" t="inlineStr">
        <is>
          <t>VÄSTERNORRLANDS LÄN</t>
        </is>
      </c>
      <c r="E1597" t="inlineStr">
        <is>
          <t>ÖRNSKÖLDSVIK</t>
        </is>
      </c>
      <c r="F1597" t="inlineStr">
        <is>
          <t>Holmen skog AB</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24313-2022</t>
        </is>
      </c>
      <c r="B1598" s="1" t="n">
        <v>44725.94418981481</v>
      </c>
      <c r="C1598" s="1" t="n">
        <v>46093</v>
      </c>
      <c r="D1598" t="inlineStr">
        <is>
          <t>VÄSTERNORRLANDS LÄN</t>
        </is>
      </c>
      <c r="E1598" t="inlineStr">
        <is>
          <t>SUNDSVALL</t>
        </is>
      </c>
      <c r="F1598" t="inlineStr">
        <is>
          <t>SCA</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55019-2022</t>
        </is>
      </c>
      <c r="B1599" s="1" t="n">
        <v>44881</v>
      </c>
      <c r="C1599" s="1" t="n">
        <v>46093</v>
      </c>
      <c r="D1599" t="inlineStr">
        <is>
          <t>VÄSTERNORRLANDS LÄN</t>
        </is>
      </c>
      <c r="E1599" t="inlineStr">
        <is>
          <t>SUNDSVALL</t>
        </is>
      </c>
      <c r="G1599" t="n">
        <v>4.3</v>
      </c>
      <c r="H1599" t="n">
        <v>0</v>
      </c>
      <c r="I1599" t="n">
        <v>0</v>
      </c>
      <c r="J1599" t="n">
        <v>0</v>
      </c>
      <c r="K1599" t="n">
        <v>0</v>
      </c>
      <c r="L1599" t="n">
        <v>0</v>
      </c>
      <c r="M1599" t="n">
        <v>0</v>
      </c>
      <c r="N1599" t="n">
        <v>0</v>
      </c>
      <c r="O1599" t="n">
        <v>0</v>
      </c>
      <c r="P1599" t="n">
        <v>0</v>
      </c>
      <c r="Q1599" t="n">
        <v>0</v>
      </c>
      <c r="R1599" s="2" t="inlineStr"/>
    </row>
    <row r="1600" ht="15" customHeight="1">
      <c r="A1600" t="inlineStr">
        <is>
          <t>A 35862-2021</t>
        </is>
      </c>
      <c r="B1600" s="1" t="n">
        <v>44386</v>
      </c>
      <c r="C1600" s="1" t="n">
        <v>46093</v>
      </c>
      <c r="D1600" t="inlineStr">
        <is>
          <t>VÄSTERNORRLANDS LÄN</t>
        </is>
      </c>
      <c r="E1600" t="inlineStr">
        <is>
          <t>SOLLEFTEÅ</t>
        </is>
      </c>
      <c r="G1600" t="n">
        <v>5.5</v>
      </c>
      <c r="H1600" t="n">
        <v>0</v>
      </c>
      <c r="I1600" t="n">
        <v>0</v>
      </c>
      <c r="J1600" t="n">
        <v>0</v>
      </c>
      <c r="K1600" t="n">
        <v>0</v>
      </c>
      <c r="L1600" t="n">
        <v>0</v>
      </c>
      <c r="M1600" t="n">
        <v>0</v>
      </c>
      <c r="N1600" t="n">
        <v>0</v>
      </c>
      <c r="O1600" t="n">
        <v>0</v>
      </c>
      <c r="P1600" t="n">
        <v>0</v>
      </c>
      <c r="Q1600" t="n">
        <v>0</v>
      </c>
      <c r="R1600" s="2" t="inlineStr"/>
    </row>
    <row r="1601" ht="15" customHeight="1">
      <c r="A1601" t="inlineStr">
        <is>
          <t>A 62647-2021</t>
        </is>
      </c>
      <c r="B1601" s="1" t="n">
        <v>44503</v>
      </c>
      <c r="C1601" s="1" t="n">
        <v>46093</v>
      </c>
      <c r="D1601" t="inlineStr">
        <is>
          <t>VÄSTERNORRLANDS LÄN</t>
        </is>
      </c>
      <c r="E1601" t="inlineStr">
        <is>
          <t>ÖRNSKÖLDSVIK</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70770-2021</t>
        </is>
      </c>
      <c r="B1602" s="1" t="n">
        <v>44536</v>
      </c>
      <c r="C1602" s="1" t="n">
        <v>46093</v>
      </c>
      <c r="D1602" t="inlineStr">
        <is>
          <t>VÄSTERNORRLANDS LÄN</t>
        </is>
      </c>
      <c r="E1602" t="inlineStr">
        <is>
          <t>ÖRNSKÖLDSVIK</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70809-2021</t>
        </is>
      </c>
      <c r="B1603" s="1" t="n">
        <v>44537.91950231481</v>
      </c>
      <c r="C1603" s="1" t="n">
        <v>46093</v>
      </c>
      <c r="D1603" t="inlineStr">
        <is>
          <t>VÄSTERNORRLANDS LÄN</t>
        </is>
      </c>
      <c r="E1603" t="inlineStr">
        <is>
          <t>ÅNGE</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5110-2022</t>
        </is>
      </c>
      <c r="B1604" s="1" t="n">
        <v>44593.92141203704</v>
      </c>
      <c r="C1604" s="1" t="n">
        <v>46093</v>
      </c>
      <c r="D1604" t="inlineStr">
        <is>
          <t>VÄSTERNORRLANDS LÄN</t>
        </is>
      </c>
      <c r="E1604" t="inlineStr">
        <is>
          <t>SOLLEFTEÅ</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19970-2021</t>
        </is>
      </c>
      <c r="B1605" s="1" t="n">
        <v>44313</v>
      </c>
      <c r="C1605" s="1" t="n">
        <v>46093</v>
      </c>
      <c r="D1605" t="inlineStr">
        <is>
          <t>VÄSTERNORRLANDS LÄN</t>
        </is>
      </c>
      <c r="E1605" t="inlineStr">
        <is>
          <t>ÅNGE</t>
        </is>
      </c>
      <c r="F1605" t="inlineStr">
        <is>
          <t>Holmen skog AB</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27948-2022</t>
        </is>
      </c>
      <c r="B1606" s="1" t="n">
        <v>44743</v>
      </c>
      <c r="C1606" s="1" t="n">
        <v>46093</v>
      </c>
      <c r="D1606" t="inlineStr">
        <is>
          <t>VÄSTERNORRLANDS LÄN</t>
        </is>
      </c>
      <c r="E1606" t="inlineStr">
        <is>
          <t>SUNDSVALL</t>
        </is>
      </c>
      <c r="F1606" t="inlineStr">
        <is>
          <t>SCA</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44454-2022</t>
        </is>
      </c>
      <c r="B1607" s="1" t="n">
        <v>44839.95543981482</v>
      </c>
      <c r="C1607" s="1" t="n">
        <v>46093</v>
      </c>
      <c r="D1607" t="inlineStr">
        <is>
          <t>VÄSTERNORRLANDS LÄN</t>
        </is>
      </c>
      <c r="E1607" t="inlineStr">
        <is>
          <t>SOLLEFTEÅ</t>
        </is>
      </c>
      <c r="F1607" t="inlineStr">
        <is>
          <t>SCA</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21703-2022</t>
        </is>
      </c>
      <c r="B1608" s="1" t="n">
        <v>44707</v>
      </c>
      <c r="C1608" s="1" t="n">
        <v>46093</v>
      </c>
      <c r="D1608" t="inlineStr">
        <is>
          <t>VÄSTERNORRLANDS LÄN</t>
        </is>
      </c>
      <c r="E1608" t="inlineStr">
        <is>
          <t>ÖRNSKÖLDSVIK</t>
        </is>
      </c>
      <c r="F1608" t="inlineStr">
        <is>
          <t>SCA</t>
        </is>
      </c>
      <c r="G1608" t="n">
        <v>6</v>
      </c>
      <c r="H1608" t="n">
        <v>0</v>
      </c>
      <c r="I1608" t="n">
        <v>0</v>
      </c>
      <c r="J1608" t="n">
        <v>0</v>
      </c>
      <c r="K1608" t="n">
        <v>0</v>
      </c>
      <c r="L1608" t="n">
        <v>0</v>
      </c>
      <c r="M1608" t="n">
        <v>0</v>
      </c>
      <c r="N1608" t="n">
        <v>0</v>
      </c>
      <c r="O1608" t="n">
        <v>0</v>
      </c>
      <c r="P1608" t="n">
        <v>0</v>
      </c>
      <c r="Q1608" t="n">
        <v>0</v>
      </c>
      <c r="R1608" s="2" t="inlineStr"/>
    </row>
    <row r="1609" ht="15" customHeight="1">
      <c r="A1609" t="inlineStr">
        <is>
          <t>A 21705-2022</t>
        </is>
      </c>
      <c r="B1609" s="1" t="n">
        <v>44707.93960648148</v>
      </c>
      <c r="C1609" s="1" t="n">
        <v>46093</v>
      </c>
      <c r="D1609" t="inlineStr">
        <is>
          <t>VÄSTERNORRLANDS LÄN</t>
        </is>
      </c>
      <c r="E1609" t="inlineStr">
        <is>
          <t>ÖRNSKÖLDSVIK</t>
        </is>
      </c>
      <c r="F1609" t="inlineStr">
        <is>
          <t>SCA</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20698-2021</t>
        </is>
      </c>
      <c r="B1610" s="1" t="n">
        <v>44316</v>
      </c>
      <c r="C1610" s="1" t="n">
        <v>46093</v>
      </c>
      <c r="D1610" t="inlineStr">
        <is>
          <t>VÄSTERNORRLANDS LÄN</t>
        </is>
      </c>
      <c r="E1610" t="inlineStr">
        <is>
          <t>SUNDSVALL</t>
        </is>
      </c>
      <c r="G1610" t="n">
        <v>5.2</v>
      </c>
      <c r="H1610" t="n">
        <v>0</v>
      </c>
      <c r="I1610" t="n">
        <v>0</v>
      </c>
      <c r="J1610" t="n">
        <v>0</v>
      </c>
      <c r="K1610" t="n">
        <v>0</v>
      </c>
      <c r="L1610" t="n">
        <v>0</v>
      </c>
      <c r="M1610" t="n">
        <v>0</v>
      </c>
      <c r="N1610" t="n">
        <v>0</v>
      </c>
      <c r="O1610" t="n">
        <v>0</v>
      </c>
      <c r="P1610" t="n">
        <v>0</v>
      </c>
      <c r="Q1610" t="n">
        <v>0</v>
      </c>
      <c r="R1610" s="2" t="inlineStr"/>
    </row>
    <row r="1611" ht="15" customHeight="1">
      <c r="A1611" t="inlineStr">
        <is>
          <t>A 20713-2021</t>
        </is>
      </c>
      <c r="B1611" s="1" t="n">
        <v>44316</v>
      </c>
      <c r="C1611" s="1" t="n">
        <v>46093</v>
      </c>
      <c r="D1611" t="inlineStr">
        <is>
          <t>VÄSTERNORRLANDS LÄN</t>
        </is>
      </c>
      <c r="E1611" t="inlineStr">
        <is>
          <t>SUNDSVALL</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11299-2022</t>
        </is>
      </c>
      <c r="B1612" s="1" t="n">
        <v>44629</v>
      </c>
      <c r="C1612" s="1" t="n">
        <v>46093</v>
      </c>
      <c r="D1612" t="inlineStr">
        <is>
          <t>VÄSTERNORRLANDS LÄN</t>
        </is>
      </c>
      <c r="E1612" t="inlineStr">
        <is>
          <t>KRAMFORS</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51585-2022</t>
        </is>
      </c>
      <c r="B1613" s="1" t="n">
        <v>44870.95725694444</v>
      </c>
      <c r="C1613" s="1" t="n">
        <v>46093</v>
      </c>
      <c r="D1613" t="inlineStr">
        <is>
          <t>VÄSTERNORRLANDS LÄN</t>
        </is>
      </c>
      <c r="E1613" t="inlineStr">
        <is>
          <t>SUNDSVALL</t>
        </is>
      </c>
      <c r="F1613" t="inlineStr">
        <is>
          <t>SCA</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23381-2022</t>
        </is>
      </c>
      <c r="B1614" s="1" t="n">
        <v>44720</v>
      </c>
      <c r="C1614" s="1" t="n">
        <v>46093</v>
      </c>
      <c r="D1614" t="inlineStr">
        <is>
          <t>VÄSTERNORRLANDS LÄN</t>
        </is>
      </c>
      <c r="E1614" t="inlineStr">
        <is>
          <t>HÄRNÖSAND</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14299-2022</t>
        </is>
      </c>
      <c r="B1615" s="1" t="n">
        <v>44651.93903935186</v>
      </c>
      <c r="C1615" s="1" t="n">
        <v>46093</v>
      </c>
      <c r="D1615" t="inlineStr">
        <is>
          <t>VÄSTERNORRLANDS LÄN</t>
        </is>
      </c>
      <c r="E1615" t="inlineStr">
        <is>
          <t>SOLLEFTEÅ</t>
        </is>
      </c>
      <c r="F1615" t="inlineStr">
        <is>
          <t>SCA</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65696-2021</t>
        </is>
      </c>
      <c r="B1616" s="1" t="n">
        <v>44516</v>
      </c>
      <c r="C1616" s="1" t="n">
        <v>46093</v>
      </c>
      <c r="D1616" t="inlineStr">
        <is>
          <t>VÄSTERNORRLANDS LÄN</t>
        </is>
      </c>
      <c r="E1616" t="inlineStr">
        <is>
          <t>SUNDSVALL</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65437-2021</t>
        </is>
      </c>
      <c r="B1617" s="1" t="n">
        <v>44515.93900462963</v>
      </c>
      <c r="C1617" s="1" t="n">
        <v>46093</v>
      </c>
      <c r="D1617" t="inlineStr">
        <is>
          <t>VÄSTERNORRLANDS LÄN</t>
        </is>
      </c>
      <c r="E1617" t="inlineStr">
        <is>
          <t>ÅNGE</t>
        </is>
      </c>
      <c r="F1617" t="inlineStr">
        <is>
          <t>SCA</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45894-2022</t>
        </is>
      </c>
      <c r="B1618" s="1" t="n">
        <v>44846</v>
      </c>
      <c r="C1618" s="1" t="n">
        <v>46093</v>
      </c>
      <c r="D1618" t="inlineStr">
        <is>
          <t>VÄSTERNORRLANDS LÄN</t>
        </is>
      </c>
      <c r="E1618" t="inlineStr">
        <is>
          <t>ÖRNSKÖLDSVIK</t>
        </is>
      </c>
      <c r="G1618" t="n">
        <v>8.5</v>
      </c>
      <c r="H1618" t="n">
        <v>0</v>
      </c>
      <c r="I1618" t="n">
        <v>0</v>
      </c>
      <c r="J1618" t="n">
        <v>0</v>
      </c>
      <c r="K1618" t="n">
        <v>0</v>
      </c>
      <c r="L1618" t="n">
        <v>0</v>
      </c>
      <c r="M1618" t="n">
        <v>0</v>
      </c>
      <c r="N1618" t="n">
        <v>0</v>
      </c>
      <c r="O1618" t="n">
        <v>0</v>
      </c>
      <c r="P1618" t="n">
        <v>0</v>
      </c>
      <c r="Q1618" t="n">
        <v>0</v>
      </c>
      <c r="R1618" s="2" t="inlineStr"/>
    </row>
    <row r="1619" ht="15" customHeight="1">
      <c r="A1619" t="inlineStr">
        <is>
          <t>A 46712-2022</t>
        </is>
      </c>
      <c r="B1619" s="1" t="n">
        <v>44851.39305555556</v>
      </c>
      <c r="C1619" s="1" t="n">
        <v>46093</v>
      </c>
      <c r="D1619" t="inlineStr">
        <is>
          <t>VÄSTERNORRLANDS LÄN</t>
        </is>
      </c>
      <c r="E1619" t="inlineStr">
        <is>
          <t>ÖRNSKÖLDSVIK</t>
        </is>
      </c>
      <c r="F1619" t="inlineStr">
        <is>
          <t>Holmen skog AB</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46664-2022</t>
        </is>
      </c>
      <c r="B1620" s="1" t="n">
        <v>44850.94962962963</v>
      </c>
      <c r="C1620" s="1" t="n">
        <v>46093</v>
      </c>
      <c r="D1620" t="inlineStr">
        <is>
          <t>VÄSTERNORRLANDS LÄN</t>
        </is>
      </c>
      <c r="E1620" t="inlineStr">
        <is>
          <t>SOLLEFTEÅ</t>
        </is>
      </c>
      <c r="F1620" t="inlineStr">
        <is>
          <t>SCA</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41475-2022</t>
        </is>
      </c>
      <c r="B1621" s="1" t="n">
        <v>44826</v>
      </c>
      <c r="C1621" s="1" t="n">
        <v>46093</v>
      </c>
      <c r="D1621" t="inlineStr">
        <is>
          <t>VÄSTERNORRLANDS LÄN</t>
        </is>
      </c>
      <c r="E1621" t="inlineStr">
        <is>
          <t>SOLLEFTEÅ</t>
        </is>
      </c>
      <c r="F1621" t="inlineStr">
        <is>
          <t>SCA</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25295-2021</t>
        </is>
      </c>
      <c r="B1622" s="1" t="n">
        <v>44342.4872337963</v>
      </c>
      <c r="C1622" s="1" t="n">
        <v>46093</v>
      </c>
      <c r="D1622" t="inlineStr">
        <is>
          <t>VÄSTERNORRLANDS LÄN</t>
        </is>
      </c>
      <c r="E1622" t="inlineStr">
        <is>
          <t>ÖRNSKÖLDSVIK</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3699-2022</t>
        </is>
      </c>
      <c r="B1623" s="1" t="n">
        <v>44586.58597222222</v>
      </c>
      <c r="C1623" s="1" t="n">
        <v>46093</v>
      </c>
      <c r="D1623" t="inlineStr">
        <is>
          <t>VÄSTERNORRLANDS LÄN</t>
        </is>
      </c>
      <c r="E1623" t="inlineStr">
        <is>
          <t>SOLLEFTEÅ</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29403-2021</t>
        </is>
      </c>
      <c r="B1624" s="1" t="n">
        <v>44361</v>
      </c>
      <c r="C1624" s="1" t="n">
        <v>46093</v>
      </c>
      <c r="D1624" t="inlineStr">
        <is>
          <t>VÄSTERNORRLANDS LÄN</t>
        </is>
      </c>
      <c r="E1624" t="inlineStr">
        <is>
          <t>SUNDSVALL</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32861-2022</t>
        </is>
      </c>
      <c r="B1625" s="1" t="n">
        <v>44784.49347222222</v>
      </c>
      <c r="C1625" s="1" t="n">
        <v>46093</v>
      </c>
      <c r="D1625" t="inlineStr">
        <is>
          <t>VÄSTERNORRLANDS LÄN</t>
        </is>
      </c>
      <c r="E1625" t="inlineStr">
        <is>
          <t>ÖRNSKÖLDSVIK</t>
        </is>
      </c>
      <c r="G1625" t="n">
        <v>5.2</v>
      </c>
      <c r="H1625" t="n">
        <v>0</v>
      </c>
      <c r="I1625" t="n">
        <v>0</v>
      </c>
      <c r="J1625" t="n">
        <v>0</v>
      </c>
      <c r="K1625" t="n">
        <v>0</v>
      </c>
      <c r="L1625" t="n">
        <v>0</v>
      </c>
      <c r="M1625" t="n">
        <v>0</v>
      </c>
      <c r="N1625" t="n">
        <v>0</v>
      </c>
      <c r="O1625" t="n">
        <v>0</v>
      </c>
      <c r="P1625" t="n">
        <v>0</v>
      </c>
      <c r="Q1625" t="n">
        <v>0</v>
      </c>
      <c r="R1625" s="2" t="inlineStr"/>
    </row>
    <row r="1626" ht="15" customHeight="1">
      <c r="A1626" t="inlineStr">
        <is>
          <t>A 17844-2021</t>
        </is>
      </c>
      <c r="B1626" s="1" t="n">
        <v>44300.9187962963</v>
      </c>
      <c r="C1626" s="1" t="n">
        <v>46093</v>
      </c>
      <c r="D1626" t="inlineStr">
        <is>
          <t>VÄSTERNORRLANDS LÄN</t>
        </is>
      </c>
      <c r="E1626" t="inlineStr">
        <is>
          <t>ÅNGE</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31918-2022</t>
        </is>
      </c>
      <c r="B1627" s="1" t="n">
        <v>44777.59334490741</v>
      </c>
      <c r="C1627" s="1" t="n">
        <v>46093</v>
      </c>
      <c r="D1627" t="inlineStr">
        <is>
          <t>VÄSTERNORRLANDS LÄN</t>
        </is>
      </c>
      <c r="E1627" t="inlineStr">
        <is>
          <t>ÖRNSKÖLDSVIK</t>
        </is>
      </c>
      <c r="F1627" t="inlineStr">
        <is>
          <t>Holmen skog AB</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35483-2022</t>
        </is>
      </c>
      <c r="B1628" s="1" t="n">
        <v>44798.92721064815</v>
      </c>
      <c r="C1628" s="1" t="n">
        <v>46093</v>
      </c>
      <c r="D1628" t="inlineStr">
        <is>
          <t>VÄSTERNORRLANDS LÄN</t>
        </is>
      </c>
      <c r="E1628" t="inlineStr">
        <is>
          <t>SUNDSVALL</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23999-2022</t>
        </is>
      </c>
      <c r="B1629" s="1" t="n">
        <v>44722.94055555556</v>
      </c>
      <c r="C1629" s="1" t="n">
        <v>46093</v>
      </c>
      <c r="D1629" t="inlineStr">
        <is>
          <t>VÄSTERNORRLANDS LÄN</t>
        </is>
      </c>
      <c r="E1629" t="inlineStr">
        <is>
          <t>ÅNGE</t>
        </is>
      </c>
      <c r="F1629" t="inlineStr">
        <is>
          <t>SCA</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18197-2022</t>
        </is>
      </c>
      <c r="B1630" s="1" t="n">
        <v>44684</v>
      </c>
      <c r="C1630" s="1" t="n">
        <v>46093</v>
      </c>
      <c r="D1630" t="inlineStr">
        <is>
          <t>VÄSTERNORRLANDS LÄN</t>
        </is>
      </c>
      <c r="E1630" t="inlineStr">
        <is>
          <t>SOLLEFTEÅ</t>
        </is>
      </c>
      <c r="F1630" t="inlineStr">
        <is>
          <t>SCA</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4794-2022</t>
        </is>
      </c>
      <c r="B1631" s="1" t="n">
        <v>44592</v>
      </c>
      <c r="C1631" s="1" t="n">
        <v>46093</v>
      </c>
      <c r="D1631" t="inlineStr">
        <is>
          <t>VÄSTERNORRLANDS LÄN</t>
        </is>
      </c>
      <c r="E1631" t="inlineStr">
        <is>
          <t>ÖRNSKÖLDSVIK</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4678-2022</t>
        </is>
      </c>
      <c r="B1632" s="1" t="n">
        <v>44592</v>
      </c>
      <c r="C1632" s="1" t="n">
        <v>46093</v>
      </c>
      <c r="D1632" t="inlineStr">
        <is>
          <t>VÄSTERNORRLANDS LÄN</t>
        </is>
      </c>
      <c r="E1632" t="inlineStr">
        <is>
          <t>KRAMFORS</t>
        </is>
      </c>
      <c r="G1632" t="n">
        <v>16.1</v>
      </c>
      <c r="H1632" t="n">
        <v>0</v>
      </c>
      <c r="I1632" t="n">
        <v>0</v>
      </c>
      <c r="J1632" t="n">
        <v>0</v>
      </c>
      <c r="K1632" t="n">
        <v>0</v>
      </c>
      <c r="L1632" t="n">
        <v>0</v>
      </c>
      <c r="M1632" t="n">
        <v>0</v>
      </c>
      <c r="N1632" t="n">
        <v>0</v>
      </c>
      <c r="O1632" t="n">
        <v>0</v>
      </c>
      <c r="P1632" t="n">
        <v>0</v>
      </c>
      <c r="Q1632" t="n">
        <v>0</v>
      </c>
      <c r="R1632" s="2" t="inlineStr"/>
    </row>
    <row r="1633" ht="15" customHeight="1">
      <c r="A1633" t="inlineStr">
        <is>
          <t>A 4684-2022</t>
        </is>
      </c>
      <c r="B1633" s="1" t="n">
        <v>44592.47915509259</v>
      </c>
      <c r="C1633" s="1" t="n">
        <v>46093</v>
      </c>
      <c r="D1633" t="inlineStr">
        <is>
          <t>VÄSTERNORRLANDS LÄN</t>
        </is>
      </c>
      <c r="E1633" t="inlineStr">
        <is>
          <t>KRAMFORS</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27297-2021</t>
        </is>
      </c>
      <c r="B1634" s="1" t="n">
        <v>44351</v>
      </c>
      <c r="C1634" s="1" t="n">
        <v>46093</v>
      </c>
      <c r="D1634" t="inlineStr">
        <is>
          <t>VÄSTERNORRLANDS LÄN</t>
        </is>
      </c>
      <c r="E1634" t="inlineStr">
        <is>
          <t>ÖRNSKÖLDSVIK</t>
        </is>
      </c>
      <c r="F1634" t="inlineStr">
        <is>
          <t>Holmen skog AB</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69771-2021</t>
        </is>
      </c>
      <c r="B1635" s="1" t="n">
        <v>44532</v>
      </c>
      <c r="C1635" s="1" t="n">
        <v>46093</v>
      </c>
      <c r="D1635" t="inlineStr">
        <is>
          <t>VÄSTERNORRLANDS LÄN</t>
        </is>
      </c>
      <c r="E1635" t="inlineStr">
        <is>
          <t>ÖRNSKÖLDSVIK</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6431-2022</t>
        </is>
      </c>
      <c r="B1636" s="1" t="n">
        <v>44600</v>
      </c>
      <c r="C1636" s="1" t="n">
        <v>46093</v>
      </c>
      <c r="D1636" t="inlineStr">
        <is>
          <t>VÄSTERNORRLANDS LÄN</t>
        </is>
      </c>
      <c r="E1636" t="inlineStr">
        <is>
          <t>HÄRNÖSAND</t>
        </is>
      </c>
      <c r="F1636" t="inlineStr">
        <is>
          <t>SCA</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39729-2021</t>
        </is>
      </c>
      <c r="B1637" s="1" t="n">
        <v>44417.48267361111</v>
      </c>
      <c r="C1637" s="1" t="n">
        <v>46093</v>
      </c>
      <c r="D1637" t="inlineStr">
        <is>
          <t>VÄSTERNORRLANDS LÄN</t>
        </is>
      </c>
      <c r="E1637" t="inlineStr">
        <is>
          <t>ÅNGE</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33723-2022</t>
        </is>
      </c>
      <c r="B1638" s="1" t="n">
        <v>44789.9271875</v>
      </c>
      <c r="C1638" s="1" t="n">
        <v>46093</v>
      </c>
      <c r="D1638" t="inlineStr">
        <is>
          <t>VÄSTERNORRLANDS LÄN</t>
        </is>
      </c>
      <c r="E1638" t="inlineStr">
        <is>
          <t>SUNDSVALL</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12562-2022</t>
        </is>
      </c>
      <c r="B1639" s="1" t="n">
        <v>44638.94247685185</v>
      </c>
      <c r="C1639" s="1" t="n">
        <v>46093</v>
      </c>
      <c r="D1639" t="inlineStr">
        <is>
          <t>VÄSTERNORRLANDS LÄN</t>
        </is>
      </c>
      <c r="E1639" t="inlineStr">
        <is>
          <t>SOLLEFTEÅ</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29760-2021</t>
        </is>
      </c>
      <c r="B1640" s="1" t="n">
        <v>44362</v>
      </c>
      <c r="C1640" s="1" t="n">
        <v>46093</v>
      </c>
      <c r="D1640" t="inlineStr">
        <is>
          <t>VÄSTERNORRLANDS LÄN</t>
        </is>
      </c>
      <c r="E1640" t="inlineStr">
        <is>
          <t>ÖRNSKÖLDSVIK</t>
        </is>
      </c>
      <c r="F1640" t="inlineStr">
        <is>
          <t>Holmen skog AB</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29904-2021</t>
        </is>
      </c>
      <c r="B1641" s="1" t="n">
        <v>44362.91961805556</v>
      </c>
      <c r="C1641" s="1" t="n">
        <v>46093</v>
      </c>
      <c r="D1641" t="inlineStr">
        <is>
          <t>VÄSTERNORRLANDS LÄN</t>
        </is>
      </c>
      <c r="E1641" t="inlineStr">
        <is>
          <t>KRAMFORS</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31649-2022</t>
        </is>
      </c>
      <c r="B1642" s="1" t="n">
        <v>44775.94340277778</v>
      </c>
      <c r="C1642" s="1" t="n">
        <v>46093</v>
      </c>
      <c r="D1642" t="inlineStr">
        <is>
          <t>VÄSTERNORRLANDS LÄN</t>
        </is>
      </c>
      <c r="E1642" t="inlineStr">
        <is>
          <t>ÅNGE</t>
        </is>
      </c>
      <c r="F1642" t="inlineStr">
        <is>
          <t>SCA</t>
        </is>
      </c>
      <c r="G1642" t="n">
        <v>3.8</v>
      </c>
      <c r="H1642" t="n">
        <v>0</v>
      </c>
      <c r="I1642" t="n">
        <v>0</v>
      </c>
      <c r="J1642" t="n">
        <v>0</v>
      </c>
      <c r="K1642" t="n">
        <v>0</v>
      </c>
      <c r="L1642" t="n">
        <v>0</v>
      </c>
      <c r="M1642" t="n">
        <v>0</v>
      </c>
      <c r="N1642" t="n">
        <v>0</v>
      </c>
      <c r="O1642" t="n">
        <v>0</v>
      </c>
      <c r="P1642" t="n">
        <v>0</v>
      </c>
      <c r="Q1642" t="n">
        <v>0</v>
      </c>
      <c r="R1642" s="2" t="inlineStr"/>
    </row>
    <row r="1643" ht="15" customHeight="1">
      <c r="A1643" t="inlineStr">
        <is>
          <t>A 32197-2021</t>
        </is>
      </c>
      <c r="B1643" s="1" t="n">
        <v>44371</v>
      </c>
      <c r="C1643" s="1" t="n">
        <v>46093</v>
      </c>
      <c r="D1643" t="inlineStr">
        <is>
          <t>VÄSTERNORRLANDS LÄN</t>
        </is>
      </c>
      <c r="E1643" t="inlineStr">
        <is>
          <t>ÖRNSKÖLDSVIK</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6808-2022</t>
        </is>
      </c>
      <c r="B1644" s="1" t="n">
        <v>44602</v>
      </c>
      <c r="C1644" s="1" t="n">
        <v>46093</v>
      </c>
      <c r="D1644" t="inlineStr">
        <is>
          <t>VÄSTERNORRLANDS LÄN</t>
        </is>
      </c>
      <c r="E1644" t="inlineStr">
        <is>
          <t>SUNDSVALL</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49857-2022</t>
        </is>
      </c>
      <c r="B1645" s="1" t="n">
        <v>44862</v>
      </c>
      <c r="C1645" s="1" t="n">
        <v>46093</v>
      </c>
      <c r="D1645" t="inlineStr">
        <is>
          <t>VÄSTERNORRLANDS LÄN</t>
        </is>
      </c>
      <c r="E1645" t="inlineStr">
        <is>
          <t>SUNDSVALL</t>
        </is>
      </c>
      <c r="F1645" t="inlineStr">
        <is>
          <t>SCA</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32172-2021</t>
        </is>
      </c>
      <c r="B1646" s="1" t="n">
        <v>44371</v>
      </c>
      <c r="C1646" s="1" t="n">
        <v>46093</v>
      </c>
      <c r="D1646" t="inlineStr">
        <is>
          <t>VÄSTERNORRLANDS LÄN</t>
        </is>
      </c>
      <c r="E1646" t="inlineStr">
        <is>
          <t>SUNDSVALL</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41000-2022</t>
        </is>
      </c>
      <c r="B1647" s="1" t="n">
        <v>44824</v>
      </c>
      <c r="C1647" s="1" t="n">
        <v>46093</v>
      </c>
      <c r="D1647" t="inlineStr">
        <is>
          <t>VÄSTERNORRLANDS LÄN</t>
        </is>
      </c>
      <c r="E1647" t="inlineStr">
        <is>
          <t>HÄRNÖSAND</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16974-2022</t>
        </is>
      </c>
      <c r="B1648" s="1" t="n">
        <v>44676</v>
      </c>
      <c r="C1648" s="1" t="n">
        <v>46093</v>
      </c>
      <c r="D1648" t="inlineStr">
        <is>
          <t>VÄSTERNORRLANDS LÄN</t>
        </is>
      </c>
      <c r="E1648" t="inlineStr">
        <is>
          <t>HÄRNÖSAND</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23972-2022</t>
        </is>
      </c>
      <c r="B1649" s="1" t="n">
        <v>44722</v>
      </c>
      <c r="C1649" s="1" t="n">
        <v>46093</v>
      </c>
      <c r="D1649" t="inlineStr">
        <is>
          <t>VÄSTERNORRLANDS LÄN</t>
        </is>
      </c>
      <c r="E1649" t="inlineStr">
        <is>
          <t>KRAMFORS</t>
        </is>
      </c>
      <c r="G1649" t="n">
        <v>4.3</v>
      </c>
      <c r="H1649" t="n">
        <v>0</v>
      </c>
      <c r="I1649" t="n">
        <v>0</v>
      </c>
      <c r="J1649" t="n">
        <v>0</v>
      </c>
      <c r="K1649" t="n">
        <v>0</v>
      </c>
      <c r="L1649" t="n">
        <v>0</v>
      </c>
      <c r="M1649" t="n">
        <v>0</v>
      </c>
      <c r="N1649" t="n">
        <v>0</v>
      </c>
      <c r="O1649" t="n">
        <v>0</v>
      </c>
      <c r="P1649" t="n">
        <v>0</v>
      </c>
      <c r="Q1649" t="n">
        <v>0</v>
      </c>
      <c r="R1649" s="2" t="inlineStr"/>
    </row>
    <row r="1650" ht="15" customHeight="1">
      <c r="A1650" t="inlineStr">
        <is>
          <t>A 55209-2022</t>
        </is>
      </c>
      <c r="B1650" s="1" t="n">
        <v>44886.96086805555</v>
      </c>
      <c r="C1650" s="1" t="n">
        <v>46093</v>
      </c>
      <c r="D1650" t="inlineStr">
        <is>
          <t>VÄSTERNORRLANDS LÄN</t>
        </is>
      </c>
      <c r="E1650" t="inlineStr">
        <is>
          <t>SOLLEFTEÅ</t>
        </is>
      </c>
      <c r="F1650" t="inlineStr">
        <is>
          <t>SCA</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55217-2022</t>
        </is>
      </c>
      <c r="B1651" s="1" t="n">
        <v>44886.96212962963</v>
      </c>
      <c r="C1651" s="1" t="n">
        <v>46093</v>
      </c>
      <c r="D1651" t="inlineStr">
        <is>
          <t>VÄSTERNORRLANDS LÄN</t>
        </is>
      </c>
      <c r="E1651" t="inlineStr">
        <is>
          <t>SUNDSVALL</t>
        </is>
      </c>
      <c r="F1651" t="inlineStr">
        <is>
          <t>SCA</t>
        </is>
      </c>
      <c r="G1651" t="n">
        <v>7.5</v>
      </c>
      <c r="H1651" t="n">
        <v>0</v>
      </c>
      <c r="I1651" t="n">
        <v>0</v>
      </c>
      <c r="J1651" t="n">
        <v>0</v>
      </c>
      <c r="K1651" t="n">
        <v>0</v>
      </c>
      <c r="L1651" t="n">
        <v>0</v>
      </c>
      <c r="M1651" t="n">
        <v>0</v>
      </c>
      <c r="N1651" t="n">
        <v>0</v>
      </c>
      <c r="O1651" t="n">
        <v>0</v>
      </c>
      <c r="P1651" t="n">
        <v>0</v>
      </c>
      <c r="Q1651" t="n">
        <v>0</v>
      </c>
      <c r="R1651" s="2" t="inlineStr"/>
    </row>
    <row r="1652" ht="15" customHeight="1">
      <c r="A1652" t="inlineStr">
        <is>
          <t>A 48360-2022</t>
        </is>
      </c>
      <c r="B1652" s="1" t="n">
        <v>44854</v>
      </c>
      <c r="C1652" s="1" t="n">
        <v>46093</v>
      </c>
      <c r="D1652" t="inlineStr">
        <is>
          <t>VÄSTERNORRLANDS LÄN</t>
        </is>
      </c>
      <c r="E1652" t="inlineStr">
        <is>
          <t>KRAMFORS</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48121-2022</t>
        </is>
      </c>
      <c r="B1653" s="1" t="n">
        <v>44857.71650462963</v>
      </c>
      <c r="C1653" s="1" t="n">
        <v>46093</v>
      </c>
      <c r="D1653" t="inlineStr">
        <is>
          <t>VÄSTERNORRLANDS LÄN</t>
        </is>
      </c>
      <c r="E1653" t="inlineStr">
        <is>
          <t>ÖRNSKÖLDSVIK</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20994-2022</t>
        </is>
      </c>
      <c r="B1654" s="1" t="n">
        <v>44703</v>
      </c>
      <c r="C1654" s="1" t="n">
        <v>46093</v>
      </c>
      <c r="D1654" t="inlineStr">
        <is>
          <t>VÄSTERNORRLANDS LÄN</t>
        </is>
      </c>
      <c r="E1654" t="inlineStr">
        <is>
          <t>SOLLEFTEÅ</t>
        </is>
      </c>
      <c r="F1654" t="inlineStr">
        <is>
          <t>SCA</t>
        </is>
      </c>
      <c r="G1654" t="n">
        <v>4.1</v>
      </c>
      <c r="H1654" t="n">
        <v>0</v>
      </c>
      <c r="I1654" t="n">
        <v>0</v>
      </c>
      <c r="J1654" t="n">
        <v>0</v>
      </c>
      <c r="K1654" t="n">
        <v>0</v>
      </c>
      <c r="L1654" t="n">
        <v>0</v>
      </c>
      <c r="M1654" t="n">
        <v>0</v>
      </c>
      <c r="N1654" t="n">
        <v>0</v>
      </c>
      <c r="O1654" t="n">
        <v>0</v>
      </c>
      <c r="P1654" t="n">
        <v>0</v>
      </c>
      <c r="Q1654" t="n">
        <v>0</v>
      </c>
      <c r="R1654" s="2" t="inlineStr"/>
    </row>
    <row r="1655" ht="15" customHeight="1">
      <c r="A1655" t="inlineStr">
        <is>
          <t>A 20996-2022</t>
        </is>
      </c>
      <c r="B1655" s="1" t="n">
        <v>44703</v>
      </c>
      <c r="C1655" s="1" t="n">
        <v>46093</v>
      </c>
      <c r="D1655" t="inlineStr">
        <is>
          <t>VÄSTERNORRLANDS LÄN</t>
        </is>
      </c>
      <c r="E1655" t="inlineStr">
        <is>
          <t>SOLLEFTEÅ</t>
        </is>
      </c>
      <c r="F1655" t="inlineStr">
        <is>
          <t>SCA</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26635-2022</t>
        </is>
      </c>
      <c r="B1656" s="1" t="n">
        <v>44739</v>
      </c>
      <c r="C1656" s="1" t="n">
        <v>46093</v>
      </c>
      <c r="D1656" t="inlineStr">
        <is>
          <t>VÄSTERNORRLANDS LÄN</t>
        </is>
      </c>
      <c r="E1656" t="inlineStr">
        <is>
          <t>ÖRNSKÖLDSVIK</t>
        </is>
      </c>
      <c r="F1656" t="inlineStr">
        <is>
          <t>Holmen skog AB</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44039-2021</t>
        </is>
      </c>
      <c r="B1657" s="1" t="n">
        <v>44434</v>
      </c>
      <c r="C1657" s="1" t="n">
        <v>46093</v>
      </c>
      <c r="D1657" t="inlineStr">
        <is>
          <t>VÄSTERNORRLANDS LÄN</t>
        </is>
      </c>
      <c r="E1657" t="inlineStr">
        <is>
          <t>SUNDSVALL</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26844-2022</t>
        </is>
      </c>
      <c r="B1658" s="1" t="n">
        <v>44740</v>
      </c>
      <c r="C1658" s="1" t="n">
        <v>46093</v>
      </c>
      <c r="D1658" t="inlineStr">
        <is>
          <t>VÄSTERNORRLANDS LÄN</t>
        </is>
      </c>
      <c r="E1658" t="inlineStr">
        <is>
          <t>ÖRNSKÖLDSVIK</t>
        </is>
      </c>
      <c r="G1658" t="n">
        <v>6</v>
      </c>
      <c r="H1658" t="n">
        <v>0</v>
      </c>
      <c r="I1658" t="n">
        <v>0</v>
      </c>
      <c r="J1658" t="n">
        <v>0</v>
      </c>
      <c r="K1658" t="n">
        <v>0</v>
      </c>
      <c r="L1658" t="n">
        <v>0</v>
      </c>
      <c r="M1658" t="n">
        <v>0</v>
      </c>
      <c r="N1658" t="n">
        <v>0</v>
      </c>
      <c r="O1658" t="n">
        <v>0</v>
      </c>
      <c r="P1658" t="n">
        <v>0</v>
      </c>
      <c r="Q1658" t="n">
        <v>0</v>
      </c>
      <c r="R1658" s="2" t="inlineStr"/>
    </row>
    <row r="1659" ht="15" customHeight="1">
      <c r="A1659" t="inlineStr">
        <is>
          <t>A 26847-2022</t>
        </is>
      </c>
      <c r="B1659" s="1" t="n">
        <v>44740.49112268518</v>
      </c>
      <c r="C1659" s="1" t="n">
        <v>46093</v>
      </c>
      <c r="D1659" t="inlineStr">
        <is>
          <t>VÄSTERNORRLANDS LÄN</t>
        </is>
      </c>
      <c r="E1659" t="inlineStr">
        <is>
          <t>ÖRNSKÖLDSVIK</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49694-2022</t>
        </is>
      </c>
      <c r="B1660" s="1" t="n">
        <v>44859</v>
      </c>
      <c r="C1660" s="1" t="n">
        <v>46093</v>
      </c>
      <c r="D1660" t="inlineStr">
        <is>
          <t>VÄSTERNORRLANDS LÄN</t>
        </is>
      </c>
      <c r="E1660" t="inlineStr">
        <is>
          <t>SOLLEFTEÅ</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70873-2021</t>
        </is>
      </c>
      <c r="B1661" s="1" t="n">
        <v>44538</v>
      </c>
      <c r="C1661" s="1" t="n">
        <v>46093</v>
      </c>
      <c r="D1661" t="inlineStr">
        <is>
          <t>VÄSTERNORRLANDS LÄN</t>
        </is>
      </c>
      <c r="E1661" t="inlineStr">
        <is>
          <t>SUNDSVALL</t>
        </is>
      </c>
      <c r="G1661" t="n">
        <v>3.9</v>
      </c>
      <c r="H1661" t="n">
        <v>0</v>
      </c>
      <c r="I1661" t="n">
        <v>0</v>
      </c>
      <c r="J1661" t="n">
        <v>0</v>
      </c>
      <c r="K1661" t="n">
        <v>0</v>
      </c>
      <c r="L1661" t="n">
        <v>0</v>
      </c>
      <c r="M1661" t="n">
        <v>0</v>
      </c>
      <c r="N1661" t="n">
        <v>0</v>
      </c>
      <c r="O1661" t="n">
        <v>0</v>
      </c>
      <c r="P1661" t="n">
        <v>0</v>
      </c>
      <c r="Q1661" t="n">
        <v>0</v>
      </c>
      <c r="R1661" s="2" t="inlineStr"/>
    </row>
    <row r="1662" ht="15" customHeight="1">
      <c r="A1662" t="inlineStr">
        <is>
          <t>A 50567-2021</t>
        </is>
      </c>
      <c r="B1662" s="1" t="n">
        <v>44459</v>
      </c>
      <c r="C1662" s="1" t="n">
        <v>46093</v>
      </c>
      <c r="D1662" t="inlineStr">
        <is>
          <t>VÄSTERNORRLANDS LÄN</t>
        </is>
      </c>
      <c r="E1662" t="inlineStr">
        <is>
          <t>KRAMFORS</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33555-2022</t>
        </is>
      </c>
      <c r="B1663" s="1" t="n">
        <v>44789</v>
      </c>
      <c r="C1663" s="1" t="n">
        <v>46093</v>
      </c>
      <c r="D1663" t="inlineStr">
        <is>
          <t>VÄSTERNORRLANDS LÄN</t>
        </is>
      </c>
      <c r="E1663" t="inlineStr">
        <is>
          <t>ÖRNSKÖLDSVIK</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53215-2021</t>
        </is>
      </c>
      <c r="B1664" s="1" t="n">
        <v>44468</v>
      </c>
      <c r="C1664" s="1" t="n">
        <v>46093</v>
      </c>
      <c r="D1664" t="inlineStr">
        <is>
          <t>VÄSTERNORRLANDS LÄN</t>
        </is>
      </c>
      <c r="E1664" t="inlineStr">
        <is>
          <t>ÖRNSKÖLDSVIK</t>
        </is>
      </c>
      <c r="G1664" t="n">
        <v>7.2</v>
      </c>
      <c r="H1664" t="n">
        <v>0</v>
      </c>
      <c r="I1664" t="n">
        <v>0</v>
      </c>
      <c r="J1664" t="n">
        <v>0</v>
      </c>
      <c r="K1664" t="n">
        <v>0</v>
      </c>
      <c r="L1664" t="n">
        <v>0</v>
      </c>
      <c r="M1664" t="n">
        <v>0</v>
      </c>
      <c r="N1664" t="n">
        <v>0</v>
      </c>
      <c r="O1664" t="n">
        <v>0</v>
      </c>
      <c r="P1664" t="n">
        <v>0</v>
      </c>
      <c r="Q1664" t="n">
        <v>0</v>
      </c>
      <c r="R1664" s="2" t="inlineStr"/>
    </row>
    <row r="1665" ht="15" customHeight="1">
      <c r="A1665" t="inlineStr">
        <is>
          <t>A 44437-2021</t>
        </is>
      </c>
      <c r="B1665" s="1" t="n">
        <v>44435</v>
      </c>
      <c r="C1665" s="1" t="n">
        <v>46093</v>
      </c>
      <c r="D1665" t="inlineStr">
        <is>
          <t>VÄSTERNORRLANDS LÄN</t>
        </is>
      </c>
      <c r="E1665" t="inlineStr">
        <is>
          <t>ÖRNSKÖLDSVIK</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58149-2021</t>
        </is>
      </c>
      <c r="B1666" s="1" t="n">
        <v>44487</v>
      </c>
      <c r="C1666" s="1" t="n">
        <v>46093</v>
      </c>
      <c r="D1666" t="inlineStr">
        <is>
          <t>VÄSTERNORRLANDS LÄN</t>
        </is>
      </c>
      <c r="E1666" t="inlineStr">
        <is>
          <t>HÄRNÖSAND</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51427-2021</t>
        </is>
      </c>
      <c r="B1667" s="1" t="n">
        <v>44461</v>
      </c>
      <c r="C1667" s="1" t="n">
        <v>46093</v>
      </c>
      <c r="D1667" t="inlineStr">
        <is>
          <t>VÄSTERNORRLANDS LÄN</t>
        </is>
      </c>
      <c r="E1667" t="inlineStr">
        <is>
          <t>ÅNGE</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9998-2022</t>
        </is>
      </c>
      <c r="B1668" s="1" t="n">
        <v>44621.46462962963</v>
      </c>
      <c r="C1668" s="1" t="n">
        <v>46093</v>
      </c>
      <c r="D1668" t="inlineStr">
        <is>
          <t>VÄSTERNORRLANDS LÄN</t>
        </is>
      </c>
      <c r="E1668" t="inlineStr">
        <is>
          <t>ÅNGE</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18764-2022</t>
        </is>
      </c>
      <c r="B1669" s="1" t="n">
        <v>44688</v>
      </c>
      <c r="C1669" s="1" t="n">
        <v>46093</v>
      </c>
      <c r="D1669" t="inlineStr">
        <is>
          <t>VÄSTERNORRLANDS LÄN</t>
        </is>
      </c>
      <c r="E1669" t="inlineStr">
        <is>
          <t>KRAMFORS</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35004-2022</t>
        </is>
      </c>
      <c r="B1670" s="1" t="n">
        <v>44796</v>
      </c>
      <c r="C1670" s="1" t="n">
        <v>46093</v>
      </c>
      <c r="D1670" t="inlineStr">
        <is>
          <t>VÄSTERNORRLANDS LÄN</t>
        </is>
      </c>
      <c r="E1670" t="inlineStr">
        <is>
          <t>SUNDSVALL</t>
        </is>
      </c>
      <c r="G1670" t="n">
        <v>0.2</v>
      </c>
      <c r="H1670" t="n">
        <v>0</v>
      </c>
      <c r="I1670" t="n">
        <v>0</v>
      </c>
      <c r="J1670" t="n">
        <v>0</v>
      </c>
      <c r="K1670" t="n">
        <v>0</v>
      </c>
      <c r="L1670" t="n">
        <v>0</v>
      </c>
      <c r="M1670" t="n">
        <v>0</v>
      </c>
      <c r="N1670" t="n">
        <v>0</v>
      </c>
      <c r="O1670" t="n">
        <v>0</v>
      </c>
      <c r="P1670" t="n">
        <v>0</v>
      </c>
      <c r="Q1670" t="n">
        <v>0</v>
      </c>
      <c r="R1670" s="2" t="inlineStr"/>
    </row>
    <row r="1671" ht="15" customHeight="1">
      <c r="A1671" t="inlineStr">
        <is>
          <t>A 26072-2022</t>
        </is>
      </c>
      <c r="B1671" s="1" t="n">
        <v>44734</v>
      </c>
      <c r="C1671" s="1" t="n">
        <v>46093</v>
      </c>
      <c r="D1671" t="inlineStr">
        <is>
          <t>VÄSTERNORRLANDS LÄN</t>
        </is>
      </c>
      <c r="E1671" t="inlineStr">
        <is>
          <t>HÄRNÖSAND</t>
        </is>
      </c>
      <c r="G1671" t="n">
        <v>3.2</v>
      </c>
      <c r="H1671" t="n">
        <v>0</v>
      </c>
      <c r="I1671" t="n">
        <v>0</v>
      </c>
      <c r="J1671" t="n">
        <v>0</v>
      </c>
      <c r="K1671" t="n">
        <v>0</v>
      </c>
      <c r="L1671" t="n">
        <v>0</v>
      </c>
      <c r="M1671" t="n">
        <v>0</v>
      </c>
      <c r="N1671" t="n">
        <v>0</v>
      </c>
      <c r="O1671" t="n">
        <v>0</v>
      </c>
      <c r="P1671" t="n">
        <v>0</v>
      </c>
      <c r="Q1671" t="n">
        <v>0</v>
      </c>
      <c r="R1671" s="2" t="inlineStr"/>
    </row>
    <row r="1672" ht="15" customHeight="1">
      <c r="A1672" t="inlineStr">
        <is>
          <t>A 47654-2022</t>
        </is>
      </c>
      <c r="B1672" s="1" t="n">
        <v>44854.45208333333</v>
      </c>
      <c r="C1672" s="1" t="n">
        <v>46093</v>
      </c>
      <c r="D1672" t="inlineStr">
        <is>
          <t>VÄSTERNORRLANDS LÄN</t>
        </is>
      </c>
      <c r="E1672" t="inlineStr">
        <is>
          <t>ÅNGE</t>
        </is>
      </c>
      <c r="F1672" t="inlineStr">
        <is>
          <t>Holmen skog AB</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29959-2021</t>
        </is>
      </c>
      <c r="B1673" s="1" t="n">
        <v>44362</v>
      </c>
      <c r="C1673" s="1" t="n">
        <v>46093</v>
      </c>
      <c r="D1673" t="inlineStr">
        <is>
          <t>VÄSTERNORRLANDS LÄN</t>
        </is>
      </c>
      <c r="E1673" t="inlineStr">
        <is>
          <t>ÖRNSKÖLDSVIK</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67673-2021</t>
        </is>
      </c>
      <c r="B1674" s="1" t="n">
        <v>44524</v>
      </c>
      <c r="C1674" s="1" t="n">
        <v>46093</v>
      </c>
      <c r="D1674" t="inlineStr">
        <is>
          <t>VÄSTERNORRLANDS LÄN</t>
        </is>
      </c>
      <c r="E1674" t="inlineStr">
        <is>
          <t>TIMRÅ</t>
        </is>
      </c>
      <c r="G1674" t="n">
        <v>6.8</v>
      </c>
      <c r="H1674" t="n">
        <v>0</v>
      </c>
      <c r="I1674" t="n">
        <v>0</v>
      </c>
      <c r="J1674" t="n">
        <v>0</v>
      </c>
      <c r="K1674" t="n">
        <v>0</v>
      </c>
      <c r="L1674" t="n">
        <v>0</v>
      </c>
      <c r="M1674" t="n">
        <v>0</v>
      </c>
      <c r="N1674" t="n">
        <v>0</v>
      </c>
      <c r="O1674" t="n">
        <v>0</v>
      </c>
      <c r="P1674" t="n">
        <v>0</v>
      </c>
      <c r="Q1674" t="n">
        <v>0</v>
      </c>
      <c r="R1674" s="2" t="inlineStr"/>
    </row>
    <row r="1675" ht="15" customHeight="1">
      <c r="A1675" t="inlineStr">
        <is>
          <t>A 45506-2021</t>
        </is>
      </c>
      <c r="B1675" s="1" t="n">
        <v>44440</v>
      </c>
      <c r="C1675" s="1" t="n">
        <v>46093</v>
      </c>
      <c r="D1675" t="inlineStr">
        <is>
          <t>VÄSTERNORRLANDS LÄN</t>
        </is>
      </c>
      <c r="E1675" t="inlineStr">
        <is>
          <t>SUNDSVALL</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67562-2021</t>
        </is>
      </c>
      <c r="B1676" s="1" t="n">
        <v>44524</v>
      </c>
      <c r="C1676" s="1" t="n">
        <v>46093</v>
      </c>
      <c r="D1676" t="inlineStr">
        <is>
          <t>VÄSTERNORRLANDS LÄN</t>
        </is>
      </c>
      <c r="E1676" t="inlineStr">
        <is>
          <t>SUNDSVALL</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70899-2021</t>
        </is>
      </c>
      <c r="B1677" s="1" t="n">
        <v>44537</v>
      </c>
      <c r="C1677" s="1" t="n">
        <v>46093</v>
      </c>
      <c r="D1677" t="inlineStr">
        <is>
          <t>VÄSTERNORRLANDS LÄN</t>
        </is>
      </c>
      <c r="E1677" t="inlineStr">
        <is>
          <t>ÅNGE</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30032-2022</t>
        </is>
      </c>
      <c r="B1678" s="1" t="n">
        <v>44756</v>
      </c>
      <c r="C1678" s="1" t="n">
        <v>46093</v>
      </c>
      <c r="D1678" t="inlineStr">
        <is>
          <t>VÄSTERNORRLANDS LÄN</t>
        </is>
      </c>
      <c r="E1678" t="inlineStr">
        <is>
          <t>SOLLEFTEÅ</t>
        </is>
      </c>
      <c r="F1678" t="inlineStr">
        <is>
          <t>SCA</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41392-2021</t>
        </is>
      </c>
      <c r="B1679" s="1" t="n">
        <v>44424</v>
      </c>
      <c r="C1679" s="1" t="n">
        <v>46093</v>
      </c>
      <c r="D1679" t="inlineStr">
        <is>
          <t>VÄSTERNORRLANDS LÄN</t>
        </is>
      </c>
      <c r="E1679" t="inlineStr">
        <is>
          <t>ÖRNSKÖLDSVIK</t>
        </is>
      </c>
      <c r="G1679" t="n">
        <v>0.1</v>
      </c>
      <c r="H1679" t="n">
        <v>0</v>
      </c>
      <c r="I1679" t="n">
        <v>0</v>
      </c>
      <c r="J1679" t="n">
        <v>0</v>
      </c>
      <c r="K1679" t="n">
        <v>0</v>
      </c>
      <c r="L1679" t="n">
        <v>0</v>
      </c>
      <c r="M1679" t="n">
        <v>0</v>
      </c>
      <c r="N1679" t="n">
        <v>0</v>
      </c>
      <c r="O1679" t="n">
        <v>0</v>
      </c>
      <c r="P1679" t="n">
        <v>0</v>
      </c>
      <c r="Q1679" t="n">
        <v>0</v>
      </c>
      <c r="R1679" s="2" t="inlineStr"/>
    </row>
    <row r="1680" ht="15" customHeight="1">
      <c r="A1680" t="inlineStr">
        <is>
          <t>A 4428-2022</t>
        </is>
      </c>
      <c r="B1680" s="1" t="n">
        <v>44589</v>
      </c>
      <c r="C1680" s="1" t="n">
        <v>46093</v>
      </c>
      <c r="D1680" t="inlineStr">
        <is>
          <t>VÄSTERNORRLANDS LÄN</t>
        </is>
      </c>
      <c r="E1680" t="inlineStr">
        <is>
          <t>ÖRNSKÖLDSVIK</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7670-2022</t>
        </is>
      </c>
      <c r="B1681" s="1" t="n">
        <v>44607</v>
      </c>
      <c r="C1681" s="1" t="n">
        <v>46093</v>
      </c>
      <c r="D1681" t="inlineStr">
        <is>
          <t>VÄSTERNORRLANDS LÄN</t>
        </is>
      </c>
      <c r="E1681" t="inlineStr">
        <is>
          <t>TIMRÅ</t>
        </is>
      </c>
      <c r="G1681" t="n">
        <v>3.6</v>
      </c>
      <c r="H1681" t="n">
        <v>0</v>
      </c>
      <c r="I1681" t="n">
        <v>0</v>
      </c>
      <c r="J1681" t="n">
        <v>0</v>
      </c>
      <c r="K1681" t="n">
        <v>0</v>
      </c>
      <c r="L1681" t="n">
        <v>0</v>
      </c>
      <c r="M1681" t="n">
        <v>0</v>
      </c>
      <c r="N1681" t="n">
        <v>0</v>
      </c>
      <c r="O1681" t="n">
        <v>0</v>
      </c>
      <c r="P1681" t="n">
        <v>0</v>
      </c>
      <c r="Q1681" t="n">
        <v>0</v>
      </c>
      <c r="R1681" s="2" t="inlineStr"/>
    </row>
    <row r="1682" ht="15" customHeight="1">
      <c r="A1682" t="inlineStr">
        <is>
          <t>A 63508-2021</t>
        </is>
      </c>
      <c r="B1682" s="1" t="n">
        <v>44508.63643518519</v>
      </c>
      <c r="C1682" s="1" t="n">
        <v>46093</v>
      </c>
      <c r="D1682" t="inlineStr">
        <is>
          <t>VÄSTERNORRLANDS LÄN</t>
        </is>
      </c>
      <c r="E1682" t="inlineStr">
        <is>
          <t>ÖRNSKÖLDSVIK</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74148-2021</t>
        </is>
      </c>
      <c r="B1683" s="1" t="n">
        <v>44557</v>
      </c>
      <c r="C1683" s="1" t="n">
        <v>46093</v>
      </c>
      <c r="D1683" t="inlineStr">
        <is>
          <t>VÄSTERNORRLANDS LÄN</t>
        </is>
      </c>
      <c r="E1683" t="inlineStr">
        <is>
          <t>TIMRÅ</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65577-2021</t>
        </is>
      </c>
      <c r="B1684" s="1" t="n">
        <v>44516</v>
      </c>
      <c r="C1684" s="1" t="n">
        <v>46093</v>
      </c>
      <c r="D1684" t="inlineStr">
        <is>
          <t>VÄSTERNORRLANDS LÄN</t>
        </is>
      </c>
      <c r="E1684" t="inlineStr">
        <is>
          <t>ÖRNSKÖLDSVIK</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1215-2022</t>
        </is>
      </c>
      <c r="B1685" s="1" t="n">
        <v>44572</v>
      </c>
      <c r="C1685" s="1" t="n">
        <v>46093</v>
      </c>
      <c r="D1685" t="inlineStr">
        <is>
          <t>VÄSTERNORRLANDS LÄN</t>
        </is>
      </c>
      <c r="E1685" t="inlineStr">
        <is>
          <t>KRAMFORS</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35497-2022</t>
        </is>
      </c>
      <c r="B1686" s="1" t="n">
        <v>44798</v>
      </c>
      <c r="C1686" s="1" t="n">
        <v>46093</v>
      </c>
      <c r="D1686" t="inlineStr">
        <is>
          <t>VÄSTERNORRLANDS LÄN</t>
        </is>
      </c>
      <c r="E1686" t="inlineStr">
        <is>
          <t>ÅNGE</t>
        </is>
      </c>
      <c r="F1686" t="inlineStr">
        <is>
          <t>SCA</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19035-2022</t>
        </is>
      </c>
      <c r="B1687" s="1" t="n">
        <v>44691</v>
      </c>
      <c r="C1687" s="1" t="n">
        <v>46093</v>
      </c>
      <c r="D1687" t="inlineStr">
        <is>
          <t>VÄSTERNORRLANDS LÄN</t>
        </is>
      </c>
      <c r="E1687" t="inlineStr">
        <is>
          <t>ÅNGE</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64113-2021</t>
        </is>
      </c>
      <c r="B1688" s="1" t="n">
        <v>44509</v>
      </c>
      <c r="C1688" s="1" t="n">
        <v>46093</v>
      </c>
      <c r="D1688" t="inlineStr">
        <is>
          <t>VÄSTERNORRLANDS LÄN</t>
        </is>
      </c>
      <c r="E1688" t="inlineStr">
        <is>
          <t>ÖRNSKÖLDSVIK</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19061-2022</t>
        </is>
      </c>
      <c r="B1689" s="1" t="n">
        <v>44697</v>
      </c>
      <c r="C1689" s="1" t="n">
        <v>46093</v>
      </c>
      <c r="D1689" t="inlineStr">
        <is>
          <t>VÄSTERNORRLANDS LÄN</t>
        </is>
      </c>
      <c r="E1689" t="inlineStr">
        <is>
          <t>ÖRNSKÖLDSVIK</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38830-2022</t>
        </is>
      </c>
      <c r="B1690" s="1" t="n">
        <v>44816</v>
      </c>
      <c r="C1690" s="1" t="n">
        <v>46093</v>
      </c>
      <c r="D1690" t="inlineStr">
        <is>
          <t>VÄSTERNORRLANDS LÄN</t>
        </is>
      </c>
      <c r="E1690" t="inlineStr">
        <is>
          <t>HÄRNÖSAND</t>
        </is>
      </c>
      <c r="G1690" t="n">
        <v>10.8</v>
      </c>
      <c r="H1690" t="n">
        <v>0</v>
      </c>
      <c r="I1690" t="n">
        <v>0</v>
      </c>
      <c r="J1690" t="n">
        <v>0</v>
      </c>
      <c r="K1690" t="n">
        <v>0</v>
      </c>
      <c r="L1690" t="n">
        <v>0</v>
      </c>
      <c r="M1690" t="n">
        <v>0</v>
      </c>
      <c r="N1690" t="n">
        <v>0</v>
      </c>
      <c r="O1690" t="n">
        <v>0</v>
      </c>
      <c r="P1690" t="n">
        <v>0</v>
      </c>
      <c r="Q1690" t="n">
        <v>0</v>
      </c>
      <c r="R1690" s="2" t="inlineStr"/>
    </row>
    <row r="1691" ht="15" customHeight="1">
      <c r="A1691" t="inlineStr">
        <is>
          <t>A 15726-2022</t>
        </is>
      </c>
      <c r="B1691" s="1" t="n">
        <v>44663.49225694445</v>
      </c>
      <c r="C1691" s="1" t="n">
        <v>46093</v>
      </c>
      <c r="D1691" t="inlineStr">
        <is>
          <t>VÄSTERNORRLANDS LÄN</t>
        </is>
      </c>
      <c r="E1691" t="inlineStr">
        <is>
          <t>SUNDSVALL</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64933-2021</t>
        </is>
      </c>
      <c r="B1692" s="1" t="n">
        <v>44512</v>
      </c>
      <c r="C1692" s="1" t="n">
        <v>46093</v>
      </c>
      <c r="D1692" t="inlineStr">
        <is>
          <t>VÄSTERNORRLANDS LÄN</t>
        </is>
      </c>
      <c r="E1692" t="inlineStr">
        <is>
          <t>HÄRNÖSAND</t>
        </is>
      </c>
      <c r="G1692" t="n">
        <v>7.1</v>
      </c>
      <c r="H1692" t="n">
        <v>0</v>
      </c>
      <c r="I1692" t="n">
        <v>0</v>
      </c>
      <c r="J1692" t="n">
        <v>0</v>
      </c>
      <c r="K1692" t="n">
        <v>0</v>
      </c>
      <c r="L1692" t="n">
        <v>0</v>
      </c>
      <c r="M1692" t="n">
        <v>0</v>
      </c>
      <c r="N1692" t="n">
        <v>0</v>
      </c>
      <c r="O1692" t="n">
        <v>0</v>
      </c>
      <c r="P1692" t="n">
        <v>0</v>
      </c>
      <c r="Q1692" t="n">
        <v>0</v>
      </c>
      <c r="R1692" s="2" t="inlineStr"/>
    </row>
    <row r="1693" ht="15" customHeight="1">
      <c r="A1693" t="inlineStr">
        <is>
          <t>A 27524-2022</t>
        </is>
      </c>
      <c r="B1693" s="1" t="n">
        <v>44742</v>
      </c>
      <c r="C1693" s="1" t="n">
        <v>46093</v>
      </c>
      <c r="D1693" t="inlineStr">
        <is>
          <t>VÄSTERNORRLANDS LÄN</t>
        </is>
      </c>
      <c r="E1693" t="inlineStr">
        <is>
          <t>ÖRNSKÖLDSVIK</t>
        </is>
      </c>
      <c r="F1693" t="inlineStr">
        <is>
          <t>Holmen skog AB</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21240-2022</t>
        </is>
      </c>
      <c r="B1694" s="1" t="n">
        <v>44705.3641087963</v>
      </c>
      <c r="C1694" s="1" t="n">
        <v>46093</v>
      </c>
      <c r="D1694" t="inlineStr">
        <is>
          <t>VÄSTERNORRLANDS LÄN</t>
        </is>
      </c>
      <c r="E1694" t="inlineStr">
        <is>
          <t>ÖRNSKÖLDSVIK</t>
        </is>
      </c>
      <c r="F1694" t="inlineStr">
        <is>
          <t>Holmen skog AB</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72769-2021</t>
        </is>
      </c>
      <c r="B1695" s="1" t="n">
        <v>44546.944375</v>
      </c>
      <c r="C1695" s="1" t="n">
        <v>46093</v>
      </c>
      <c r="D1695" t="inlineStr">
        <is>
          <t>VÄSTERNORRLANDS LÄN</t>
        </is>
      </c>
      <c r="E1695" t="inlineStr">
        <is>
          <t>SUNDSVALL</t>
        </is>
      </c>
      <c r="F1695" t="inlineStr">
        <is>
          <t>SCA</t>
        </is>
      </c>
      <c r="G1695" t="n">
        <v>7.5</v>
      </c>
      <c r="H1695" t="n">
        <v>0</v>
      </c>
      <c r="I1695" t="n">
        <v>0</v>
      </c>
      <c r="J1695" t="n">
        <v>0</v>
      </c>
      <c r="K1695" t="n">
        <v>0</v>
      </c>
      <c r="L1695" t="n">
        <v>0</v>
      </c>
      <c r="M1695" t="n">
        <v>0</v>
      </c>
      <c r="N1695" t="n">
        <v>0</v>
      </c>
      <c r="O1695" t="n">
        <v>0</v>
      </c>
      <c r="P1695" t="n">
        <v>0</v>
      </c>
      <c r="Q1695" t="n">
        <v>0</v>
      </c>
      <c r="R1695" s="2" t="inlineStr"/>
    </row>
    <row r="1696" ht="15" customHeight="1">
      <c r="A1696" t="inlineStr">
        <is>
          <t>A 42730-2022</t>
        </is>
      </c>
      <c r="B1696" s="1" t="n">
        <v>44832</v>
      </c>
      <c r="C1696" s="1" t="n">
        <v>46093</v>
      </c>
      <c r="D1696" t="inlineStr">
        <is>
          <t>VÄSTERNORRLANDS LÄN</t>
        </is>
      </c>
      <c r="E1696" t="inlineStr">
        <is>
          <t>ÖRNSKÖLDSVIK</t>
        </is>
      </c>
      <c r="F1696" t="inlineStr">
        <is>
          <t>Holmen skog AB</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16249-2022</t>
        </is>
      </c>
      <c r="B1697" s="1" t="n">
        <v>44670</v>
      </c>
      <c r="C1697" s="1" t="n">
        <v>46093</v>
      </c>
      <c r="D1697" t="inlineStr">
        <is>
          <t>VÄSTERNORRLANDS LÄN</t>
        </is>
      </c>
      <c r="E1697" t="inlineStr">
        <is>
          <t>ÖRNSKÖLDSVIK</t>
        </is>
      </c>
      <c r="F1697" t="inlineStr">
        <is>
          <t>Holmen skog AB</t>
        </is>
      </c>
      <c r="G1697" t="n">
        <v>5</v>
      </c>
      <c r="H1697" t="n">
        <v>0</v>
      </c>
      <c r="I1697" t="n">
        <v>0</v>
      </c>
      <c r="J1697" t="n">
        <v>0</v>
      </c>
      <c r="K1697" t="n">
        <v>0</v>
      </c>
      <c r="L1697" t="n">
        <v>0</v>
      </c>
      <c r="M1697" t="n">
        <v>0</v>
      </c>
      <c r="N1697" t="n">
        <v>0</v>
      </c>
      <c r="O1697" t="n">
        <v>0</v>
      </c>
      <c r="P1697" t="n">
        <v>0</v>
      </c>
      <c r="Q1697" t="n">
        <v>0</v>
      </c>
      <c r="R1697" s="2" t="inlineStr"/>
    </row>
    <row r="1698" ht="15" customHeight="1">
      <c r="A1698" t="inlineStr">
        <is>
          <t>A 19468-2022</t>
        </is>
      </c>
      <c r="B1698" s="1" t="n">
        <v>44693</v>
      </c>
      <c r="C1698" s="1" t="n">
        <v>46093</v>
      </c>
      <c r="D1698" t="inlineStr">
        <is>
          <t>VÄSTERNORRLANDS LÄN</t>
        </is>
      </c>
      <c r="E1698" t="inlineStr">
        <is>
          <t>SUNDSVALL</t>
        </is>
      </c>
      <c r="G1698" t="n">
        <v>0.1</v>
      </c>
      <c r="H1698" t="n">
        <v>0</v>
      </c>
      <c r="I1698" t="n">
        <v>0</v>
      </c>
      <c r="J1698" t="n">
        <v>0</v>
      </c>
      <c r="K1698" t="n">
        <v>0</v>
      </c>
      <c r="L1698" t="n">
        <v>0</v>
      </c>
      <c r="M1698" t="n">
        <v>0</v>
      </c>
      <c r="N1698" t="n">
        <v>0</v>
      </c>
      <c r="O1698" t="n">
        <v>0</v>
      </c>
      <c r="P1698" t="n">
        <v>0</v>
      </c>
      <c r="Q1698" t="n">
        <v>0</v>
      </c>
      <c r="R1698" s="2" t="inlineStr"/>
    </row>
    <row r="1699" ht="15" customHeight="1">
      <c r="A1699" t="inlineStr">
        <is>
          <t>A 44285-2022</t>
        </is>
      </c>
      <c r="B1699" s="1" t="n">
        <v>44839</v>
      </c>
      <c r="C1699" s="1" t="n">
        <v>46093</v>
      </c>
      <c r="D1699" t="inlineStr">
        <is>
          <t>VÄSTERNORRLANDS LÄN</t>
        </is>
      </c>
      <c r="E1699" t="inlineStr">
        <is>
          <t>SOLLEFTEÅ</t>
        </is>
      </c>
      <c r="F1699" t="inlineStr">
        <is>
          <t>Holmen skog AB</t>
        </is>
      </c>
      <c r="G1699" t="n">
        <v>13.9</v>
      </c>
      <c r="H1699" t="n">
        <v>0</v>
      </c>
      <c r="I1699" t="n">
        <v>0</v>
      </c>
      <c r="J1699" t="n">
        <v>0</v>
      </c>
      <c r="K1699" t="n">
        <v>0</v>
      </c>
      <c r="L1699" t="n">
        <v>0</v>
      </c>
      <c r="M1699" t="n">
        <v>0</v>
      </c>
      <c r="N1699" t="n">
        <v>0</v>
      </c>
      <c r="O1699" t="n">
        <v>0</v>
      </c>
      <c r="P1699" t="n">
        <v>0</v>
      </c>
      <c r="Q1699" t="n">
        <v>0</v>
      </c>
      <c r="R1699" s="2" t="inlineStr"/>
    </row>
    <row r="1700" ht="15" customHeight="1">
      <c r="A1700" t="inlineStr">
        <is>
          <t>A 12007-2022</t>
        </is>
      </c>
      <c r="B1700" s="1" t="n">
        <v>44635.925</v>
      </c>
      <c r="C1700" s="1" t="n">
        <v>46093</v>
      </c>
      <c r="D1700" t="inlineStr">
        <is>
          <t>VÄSTERNORRLANDS LÄN</t>
        </is>
      </c>
      <c r="E1700" t="inlineStr">
        <is>
          <t>SOLLEFTEÅ</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47171-2022</t>
        </is>
      </c>
      <c r="B1701" s="1" t="n">
        <v>44852</v>
      </c>
      <c r="C1701" s="1" t="n">
        <v>46093</v>
      </c>
      <c r="D1701" t="inlineStr">
        <is>
          <t>VÄSTERNORRLANDS LÄN</t>
        </is>
      </c>
      <c r="E1701" t="inlineStr">
        <is>
          <t>KRAMFORS</t>
        </is>
      </c>
      <c r="G1701" t="n">
        <v>7.9</v>
      </c>
      <c r="H1701" t="n">
        <v>0</v>
      </c>
      <c r="I1701" t="n">
        <v>0</v>
      </c>
      <c r="J1701" t="n">
        <v>0</v>
      </c>
      <c r="K1701" t="n">
        <v>0</v>
      </c>
      <c r="L1701" t="n">
        <v>0</v>
      </c>
      <c r="M1701" t="n">
        <v>0</v>
      </c>
      <c r="N1701" t="n">
        <v>0</v>
      </c>
      <c r="O1701" t="n">
        <v>0</v>
      </c>
      <c r="P1701" t="n">
        <v>0</v>
      </c>
      <c r="Q1701" t="n">
        <v>0</v>
      </c>
      <c r="R1701" s="2" t="inlineStr"/>
    </row>
    <row r="1702" ht="15" customHeight="1">
      <c r="A1702" t="inlineStr">
        <is>
          <t>A 44322-2022</t>
        </is>
      </c>
      <c r="B1702" s="1" t="n">
        <v>44839.64940972222</v>
      </c>
      <c r="C1702" s="1" t="n">
        <v>46093</v>
      </c>
      <c r="D1702" t="inlineStr">
        <is>
          <t>VÄSTERNORRLANDS LÄN</t>
        </is>
      </c>
      <c r="E1702" t="inlineStr">
        <is>
          <t>ÖRNSKÖLDSVIK</t>
        </is>
      </c>
      <c r="F1702" t="inlineStr">
        <is>
          <t>Holmen skog AB</t>
        </is>
      </c>
      <c r="G1702" t="n">
        <v>6.8</v>
      </c>
      <c r="H1702" t="n">
        <v>0</v>
      </c>
      <c r="I1702" t="n">
        <v>0</v>
      </c>
      <c r="J1702" t="n">
        <v>0</v>
      </c>
      <c r="K1702" t="n">
        <v>0</v>
      </c>
      <c r="L1702" t="n">
        <v>0</v>
      </c>
      <c r="M1702" t="n">
        <v>0</v>
      </c>
      <c r="N1702" t="n">
        <v>0</v>
      </c>
      <c r="O1702" t="n">
        <v>0</v>
      </c>
      <c r="P1702" t="n">
        <v>0</v>
      </c>
      <c r="Q1702" t="n">
        <v>0</v>
      </c>
      <c r="R1702" s="2" t="inlineStr"/>
    </row>
    <row r="1703" ht="15" customHeight="1">
      <c r="A1703" t="inlineStr">
        <is>
          <t>A 47249-2022</t>
        </is>
      </c>
      <c r="B1703" s="1" t="n">
        <v>44852</v>
      </c>
      <c r="C1703" s="1" t="n">
        <v>46093</v>
      </c>
      <c r="D1703" t="inlineStr">
        <is>
          <t>VÄSTERNORRLANDS LÄN</t>
        </is>
      </c>
      <c r="E1703" t="inlineStr">
        <is>
          <t>SUNDSVALL</t>
        </is>
      </c>
      <c r="F1703" t="inlineStr">
        <is>
          <t>SCA</t>
        </is>
      </c>
      <c r="G1703" t="n">
        <v>4.4</v>
      </c>
      <c r="H1703" t="n">
        <v>0</v>
      </c>
      <c r="I1703" t="n">
        <v>0</v>
      </c>
      <c r="J1703" t="n">
        <v>0</v>
      </c>
      <c r="K1703" t="n">
        <v>0</v>
      </c>
      <c r="L1703" t="n">
        <v>0</v>
      </c>
      <c r="M1703" t="n">
        <v>0</v>
      </c>
      <c r="N1703" t="n">
        <v>0</v>
      </c>
      <c r="O1703" t="n">
        <v>0</v>
      </c>
      <c r="P1703" t="n">
        <v>0</v>
      </c>
      <c r="Q1703" t="n">
        <v>0</v>
      </c>
      <c r="R1703" s="2" t="inlineStr"/>
    </row>
    <row r="1704" ht="15" customHeight="1">
      <c r="A1704" t="inlineStr">
        <is>
          <t>A 32536-2022</t>
        </is>
      </c>
      <c r="B1704" s="1" t="n">
        <v>44783.30246527777</v>
      </c>
      <c r="C1704" s="1" t="n">
        <v>46093</v>
      </c>
      <c r="D1704" t="inlineStr">
        <is>
          <t>VÄSTERNORRLANDS LÄN</t>
        </is>
      </c>
      <c r="E1704" t="inlineStr">
        <is>
          <t>ÅNGE</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46324-2022</t>
        </is>
      </c>
      <c r="B1705" s="1" t="n">
        <v>44847</v>
      </c>
      <c r="C1705" s="1" t="n">
        <v>46093</v>
      </c>
      <c r="D1705" t="inlineStr">
        <is>
          <t>VÄSTERNORRLANDS LÄN</t>
        </is>
      </c>
      <c r="E1705" t="inlineStr">
        <is>
          <t>SOLLEFTEÅ</t>
        </is>
      </c>
      <c r="F1705" t="inlineStr">
        <is>
          <t>SCA</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44610-2022</t>
        </is>
      </c>
      <c r="B1706" s="1" t="n">
        <v>44839</v>
      </c>
      <c r="C1706" s="1" t="n">
        <v>46093</v>
      </c>
      <c r="D1706" t="inlineStr">
        <is>
          <t>VÄSTERNORRLANDS LÄN</t>
        </is>
      </c>
      <c r="E1706" t="inlineStr">
        <is>
          <t>SUNDSVALL</t>
        </is>
      </c>
      <c r="G1706" t="n">
        <v>15.2</v>
      </c>
      <c r="H1706" t="n">
        <v>0</v>
      </c>
      <c r="I1706" t="n">
        <v>0</v>
      </c>
      <c r="J1706" t="n">
        <v>0</v>
      </c>
      <c r="K1706" t="n">
        <v>0</v>
      </c>
      <c r="L1706" t="n">
        <v>0</v>
      </c>
      <c r="M1706" t="n">
        <v>0</v>
      </c>
      <c r="N1706" t="n">
        <v>0</v>
      </c>
      <c r="O1706" t="n">
        <v>0</v>
      </c>
      <c r="P1706" t="n">
        <v>0</v>
      </c>
      <c r="Q1706" t="n">
        <v>0</v>
      </c>
      <c r="R1706" s="2" t="inlineStr"/>
    </row>
    <row r="1707" ht="15" customHeight="1">
      <c r="A1707" t="inlineStr">
        <is>
          <t>A 32631-2022</t>
        </is>
      </c>
      <c r="B1707" s="1" t="n">
        <v>44783</v>
      </c>
      <c r="C1707" s="1" t="n">
        <v>46093</v>
      </c>
      <c r="D1707" t="inlineStr">
        <is>
          <t>VÄSTERNORRLANDS LÄN</t>
        </is>
      </c>
      <c r="E1707" t="inlineStr">
        <is>
          <t>ÅNGE</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47580-2022</t>
        </is>
      </c>
      <c r="B1708" s="1" t="n">
        <v>44853.95252314815</v>
      </c>
      <c r="C1708" s="1" t="n">
        <v>46093</v>
      </c>
      <c r="D1708" t="inlineStr">
        <is>
          <t>VÄSTERNORRLANDS LÄN</t>
        </is>
      </c>
      <c r="E1708" t="inlineStr">
        <is>
          <t>SOLLEFTEÅ</t>
        </is>
      </c>
      <c r="F1708" t="inlineStr">
        <is>
          <t>SCA</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53932-2022</t>
        </is>
      </c>
      <c r="B1709" s="1" t="n">
        <v>44880.95572916666</v>
      </c>
      <c r="C1709" s="1" t="n">
        <v>46093</v>
      </c>
      <c r="D1709" t="inlineStr">
        <is>
          <t>VÄSTERNORRLANDS LÄN</t>
        </is>
      </c>
      <c r="E1709" t="inlineStr">
        <is>
          <t>SUNDSVALL</t>
        </is>
      </c>
      <c r="F1709" t="inlineStr">
        <is>
          <t>SCA</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63434-2021</t>
        </is>
      </c>
      <c r="B1710" s="1" t="n">
        <v>44508</v>
      </c>
      <c r="C1710" s="1" t="n">
        <v>46093</v>
      </c>
      <c r="D1710" t="inlineStr">
        <is>
          <t>VÄSTERNORRLANDS LÄN</t>
        </is>
      </c>
      <c r="E1710" t="inlineStr">
        <is>
          <t>KRAMFORS</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63443-2021</t>
        </is>
      </c>
      <c r="B1711" s="1" t="n">
        <v>44508.58262731481</v>
      </c>
      <c r="C1711" s="1" t="n">
        <v>46093</v>
      </c>
      <c r="D1711" t="inlineStr">
        <is>
          <t>VÄSTERNORRLANDS LÄN</t>
        </is>
      </c>
      <c r="E1711" t="inlineStr">
        <is>
          <t>ÖRNSKÖLDSVIK</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63452-2021</t>
        </is>
      </c>
      <c r="B1712" s="1" t="n">
        <v>44508</v>
      </c>
      <c r="C1712" s="1" t="n">
        <v>46093</v>
      </c>
      <c r="D1712" t="inlineStr">
        <is>
          <t>VÄSTERNORRLANDS LÄN</t>
        </is>
      </c>
      <c r="E1712" t="inlineStr">
        <is>
          <t>ÖRNSKÖLDSVIK</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63464-2021</t>
        </is>
      </c>
      <c r="B1713" s="1" t="n">
        <v>44504</v>
      </c>
      <c r="C1713" s="1" t="n">
        <v>46093</v>
      </c>
      <c r="D1713" t="inlineStr">
        <is>
          <t>VÄSTERNORRLANDS LÄN</t>
        </is>
      </c>
      <c r="E1713" t="inlineStr">
        <is>
          <t>SUNDSVALL</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46224-2022</t>
        </is>
      </c>
      <c r="B1714" s="1" t="n">
        <v>44847.59831018518</v>
      </c>
      <c r="C1714" s="1" t="n">
        <v>46093</v>
      </c>
      <c r="D1714" t="inlineStr">
        <is>
          <t>VÄSTERNORRLANDS LÄN</t>
        </is>
      </c>
      <c r="E1714" t="inlineStr">
        <is>
          <t>ÖRNSKÖLDSVIK</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47197-2022</t>
        </is>
      </c>
      <c r="B1715" s="1" t="n">
        <v>44851</v>
      </c>
      <c r="C1715" s="1" t="n">
        <v>46093</v>
      </c>
      <c r="D1715" t="inlineStr">
        <is>
          <t>VÄSTERNORRLANDS LÄN</t>
        </is>
      </c>
      <c r="E1715" t="inlineStr">
        <is>
          <t>SUNDSVALL</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39470-2022</t>
        </is>
      </c>
      <c r="B1716" s="1" t="n">
        <v>44818.40696759259</v>
      </c>
      <c r="C1716" s="1" t="n">
        <v>46093</v>
      </c>
      <c r="D1716" t="inlineStr">
        <is>
          <t>VÄSTERNORRLANDS LÄN</t>
        </is>
      </c>
      <c r="E1716" t="inlineStr">
        <is>
          <t>ÖRNSKÖLDSVIK</t>
        </is>
      </c>
      <c r="F1716" t="inlineStr">
        <is>
          <t>Holmen skog AB</t>
        </is>
      </c>
      <c r="G1716" t="n">
        <v>5.5</v>
      </c>
      <c r="H1716" t="n">
        <v>0</v>
      </c>
      <c r="I1716" t="n">
        <v>0</v>
      </c>
      <c r="J1716" t="n">
        <v>0</v>
      </c>
      <c r="K1716" t="n">
        <v>0</v>
      </c>
      <c r="L1716" t="n">
        <v>0</v>
      </c>
      <c r="M1716" t="n">
        <v>0</v>
      </c>
      <c r="N1716" t="n">
        <v>0</v>
      </c>
      <c r="O1716" t="n">
        <v>0</v>
      </c>
      <c r="P1716" t="n">
        <v>0</v>
      </c>
      <c r="Q1716" t="n">
        <v>0</v>
      </c>
      <c r="R1716" s="2" t="inlineStr"/>
    </row>
    <row r="1717" ht="15" customHeight="1">
      <c r="A1717" t="inlineStr">
        <is>
          <t>A 54981-2022</t>
        </is>
      </c>
      <c r="B1717" s="1" t="n">
        <v>44886.49253472222</v>
      </c>
      <c r="C1717" s="1" t="n">
        <v>46093</v>
      </c>
      <c r="D1717" t="inlineStr">
        <is>
          <t>VÄSTERNORRLANDS LÄN</t>
        </is>
      </c>
      <c r="E1717" t="inlineStr">
        <is>
          <t>ÖRNSKÖLDSVIK</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68378-2021</t>
        </is>
      </c>
      <c r="B1718" s="1" t="n">
        <v>44529</v>
      </c>
      <c r="C1718" s="1" t="n">
        <v>46093</v>
      </c>
      <c r="D1718" t="inlineStr">
        <is>
          <t>VÄSTERNORRLANDS LÄN</t>
        </is>
      </c>
      <c r="E1718" t="inlineStr">
        <is>
          <t>ÖRNSKÖLDSVIK</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69786-2021</t>
        </is>
      </c>
      <c r="B1719" s="1" t="n">
        <v>44532</v>
      </c>
      <c r="C1719" s="1" t="n">
        <v>46093</v>
      </c>
      <c r="D1719" t="inlineStr">
        <is>
          <t>VÄSTERNORRLANDS LÄN</t>
        </is>
      </c>
      <c r="E1719" t="inlineStr">
        <is>
          <t>ÖRNSKÖLDSVIK</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39365-2022</t>
        </is>
      </c>
      <c r="B1720" s="1" t="n">
        <v>44817</v>
      </c>
      <c r="C1720" s="1" t="n">
        <v>46093</v>
      </c>
      <c r="D1720" t="inlineStr">
        <is>
          <t>VÄSTERNORRLANDS LÄN</t>
        </is>
      </c>
      <c r="E1720" t="inlineStr">
        <is>
          <t>KRAMFORS</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39366-2022</t>
        </is>
      </c>
      <c r="B1721" s="1" t="n">
        <v>44817.92686342593</v>
      </c>
      <c r="C1721" s="1" t="n">
        <v>46093</v>
      </c>
      <c r="D1721" t="inlineStr">
        <is>
          <t>VÄSTERNORRLANDS LÄN</t>
        </is>
      </c>
      <c r="E1721" t="inlineStr">
        <is>
          <t>KRAMFORS</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30495-2022</t>
        </is>
      </c>
      <c r="B1722" s="1" t="n">
        <v>44761.9424074074</v>
      </c>
      <c r="C1722" s="1" t="n">
        <v>46093</v>
      </c>
      <c r="D1722" t="inlineStr">
        <is>
          <t>VÄSTERNORRLANDS LÄN</t>
        </is>
      </c>
      <c r="E1722" t="inlineStr">
        <is>
          <t>ÅNGE</t>
        </is>
      </c>
      <c r="F1722" t="inlineStr">
        <is>
          <t>SCA</t>
        </is>
      </c>
      <c r="G1722" t="n">
        <v>9.300000000000001</v>
      </c>
      <c r="H1722" t="n">
        <v>0</v>
      </c>
      <c r="I1722" t="n">
        <v>0</v>
      </c>
      <c r="J1722" t="n">
        <v>0</v>
      </c>
      <c r="K1722" t="n">
        <v>0</v>
      </c>
      <c r="L1722" t="n">
        <v>0</v>
      </c>
      <c r="M1722" t="n">
        <v>0</v>
      </c>
      <c r="N1722" t="n">
        <v>0</v>
      </c>
      <c r="O1722" t="n">
        <v>0</v>
      </c>
      <c r="P1722" t="n">
        <v>0</v>
      </c>
      <c r="Q1722" t="n">
        <v>0</v>
      </c>
      <c r="R1722" s="2" t="inlineStr"/>
    </row>
    <row r="1723" ht="15" customHeight="1">
      <c r="A1723" t="inlineStr">
        <is>
          <t>A 43770-2022</t>
        </is>
      </c>
      <c r="B1723" s="1" t="n">
        <v>44837</v>
      </c>
      <c r="C1723" s="1" t="n">
        <v>46093</v>
      </c>
      <c r="D1723" t="inlineStr">
        <is>
          <t>VÄSTERNORRLANDS LÄN</t>
        </is>
      </c>
      <c r="E1723" t="inlineStr">
        <is>
          <t>SUNDSVALL</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30519-2022</t>
        </is>
      </c>
      <c r="B1724" s="1" t="n">
        <v>44762</v>
      </c>
      <c r="C1724" s="1" t="n">
        <v>46093</v>
      </c>
      <c r="D1724" t="inlineStr">
        <is>
          <t>VÄSTERNORRLANDS LÄN</t>
        </is>
      </c>
      <c r="E1724" t="inlineStr">
        <is>
          <t>KRAMFORS</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69000-2021</t>
        </is>
      </c>
      <c r="B1725" s="1" t="n">
        <v>44530</v>
      </c>
      <c r="C1725" s="1" t="n">
        <v>46093</v>
      </c>
      <c r="D1725" t="inlineStr">
        <is>
          <t>VÄSTERNORRLANDS LÄN</t>
        </is>
      </c>
      <c r="E1725" t="inlineStr">
        <is>
          <t>ÖRNSKÖLDSVIK</t>
        </is>
      </c>
      <c r="G1725" t="n">
        <v>4.4</v>
      </c>
      <c r="H1725" t="n">
        <v>0</v>
      </c>
      <c r="I1725" t="n">
        <v>0</v>
      </c>
      <c r="J1725" t="n">
        <v>0</v>
      </c>
      <c r="K1725" t="n">
        <v>0</v>
      </c>
      <c r="L1725" t="n">
        <v>0</v>
      </c>
      <c r="M1725" t="n">
        <v>0</v>
      </c>
      <c r="N1725" t="n">
        <v>0</v>
      </c>
      <c r="O1725" t="n">
        <v>0</v>
      </c>
      <c r="P1725" t="n">
        <v>0</v>
      </c>
      <c r="Q1725" t="n">
        <v>0</v>
      </c>
      <c r="R1725" s="2" t="inlineStr"/>
    </row>
    <row r="1726" ht="15" customHeight="1">
      <c r="A1726" t="inlineStr">
        <is>
          <t>A 25183-2021</t>
        </is>
      </c>
      <c r="B1726" s="1" t="n">
        <v>44341</v>
      </c>
      <c r="C1726" s="1" t="n">
        <v>46093</v>
      </c>
      <c r="D1726" t="inlineStr">
        <is>
          <t>VÄSTERNORRLANDS LÄN</t>
        </is>
      </c>
      <c r="E1726" t="inlineStr">
        <is>
          <t>SOLLEFTEÅ</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25539-2021</t>
        </is>
      </c>
      <c r="B1727" s="1" t="n">
        <v>44343.3071875</v>
      </c>
      <c r="C1727" s="1" t="n">
        <v>46093</v>
      </c>
      <c r="D1727" t="inlineStr">
        <is>
          <t>VÄSTERNORRLANDS LÄN</t>
        </is>
      </c>
      <c r="E1727" t="inlineStr">
        <is>
          <t>SUNDSVALL</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43442-2022</t>
        </is>
      </c>
      <c r="B1728" s="1" t="n">
        <v>44834</v>
      </c>
      <c r="C1728" s="1" t="n">
        <v>46093</v>
      </c>
      <c r="D1728" t="inlineStr">
        <is>
          <t>VÄSTERNORRLANDS LÄN</t>
        </is>
      </c>
      <c r="E1728" t="inlineStr">
        <is>
          <t>SOLLEFTEÅ</t>
        </is>
      </c>
      <c r="F1728" t="inlineStr">
        <is>
          <t>Kyrkan</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66159-2021</t>
        </is>
      </c>
      <c r="B1729" s="1" t="n">
        <v>44517</v>
      </c>
      <c r="C1729" s="1" t="n">
        <v>46093</v>
      </c>
      <c r="D1729" t="inlineStr">
        <is>
          <t>VÄSTERNORRLANDS LÄN</t>
        </is>
      </c>
      <c r="E1729" t="inlineStr">
        <is>
          <t>HÄRNÖSAND</t>
        </is>
      </c>
      <c r="F1729" t="inlineStr">
        <is>
          <t>SCA</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67474-2021</t>
        </is>
      </c>
      <c r="B1730" s="1" t="n">
        <v>44524</v>
      </c>
      <c r="C1730" s="1" t="n">
        <v>46093</v>
      </c>
      <c r="D1730" t="inlineStr">
        <is>
          <t>VÄSTERNORRLANDS LÄN</t>
        </is>
      </c>
      <c r="E1730" t="inlineStr">
        <is>
          <t>SUNDSVALL</t>
        </is>
      </c>
      <c r="G1730" t="n">
        <v>8</v>
      </c>
      <c r="H1730" t="n">
        <v>0</v>
      </c>
      <c r="I1730" t="n">
        <v>0</v>
      </c>
      <c r="J1730" t="n">
        <v>0</v>
      </c>
      <c r="K1730" t="n">
        <v>0</v>
      </c>
      <c r="L1730" t="n">
        <v>0</v>
      </c>
      <c r="M1730" t="n">
        <v>0</v>
      </c>
      <c r="N1730" t="n">
        <v>0</v>
      </c>
      <c r="O1730" t="n">
        <v>0</v>
      </c>
      <c r="P1730" t="n">
        <v>0</v>
      </c>
      <c r="Q1730" t="n">
        <v>0</v>
      </c>
      <c r="R1730" s="2" t="inlineStr"/>
    </row>
    <row r="1731" ht="15" customHeight="1">
      <c r="A1731" t="inlineStr">
        <is>
          <t>A 63701-2021</t>
        </is>
      </c>
      <c r="B1731" s="1" t="n">
        <v>44509.4091087963</v>
      </c>
      <c r="C1731" s="1" t="n">
        <v>46093</v>
      </c>
      <c r="D1731" t="inlineStr">
        <is>
          <t>VÄSTERNORRLANDS LÄN</t>
        </is>
      </c>
      <c r="E1731" t="inlineStr">
        <is>
          <t>KRAMFORS</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17379-2021</t>
        </is>
      </c>
      <c r="B1732" s="1" t="n">
        <v>44298</v>
      </c>
      <c r="C1732" s="1" t="n">
        <v>46093</v>
      </c>
      <c r="D1732" t="inlineStr">
        <is>
          <t>VÄSTERNORRLANDS LÄN</t>
        </is>
      </c>
      <c r="E1732" t="inlineStr">
        <is>
          <t>SUNDSVALL</t>
        </is>
      </c>
      <c r="F1732" t="inlineStr">
        <is>
          <t>SCA</t>
        </is>
      </c>
      <c r="G1732" t="n">
        <v>8.199999999999999</v>
      </c>
      <c r="H1732" t="n">
        <v>0</v>
      </c>
      <c r="I1732" t="n">
        <v>0</v>
      </c>
      <c r="J1732" t="n">
        <v>0</v>
      </c>
      <c r="K1732" t="n">
        <v>0</v>
      </c>
      <c r="L1732" t="n">
        <v>0</v>
      </c>
      <c r="M1732" t="n">
        <v>0</v>
      </c>
      <c r="N1732" t="n">
        <v>0</v>
      </c>
      <c r="O1732" t="n">
        <v>0</v>
      </c>
      <c r="P1732" t="n">
        <v>0</v>
      </c>
      <c r="Q1732" t="n">
        <v>0</v>
      </c>
      <c r="R1732" s="2" t="inlineStr"/>
    </row>
    <row r="1733" ht="15" customHeight="1">
      <c r="A1733" t="inlineStr">
        <is>
          <t>A 49438-2022</t>
        </is>
      </c>
      <c r="B1733" s="1" t="n">
        <v>44859</v>
      </c>
      <c r="C1733" s="1" t="n">
        <v>46093</v>
      </c>
      <c r="D1733" t="inlineStr">
        <is>
          <t>VÄSTERNORRLANDS LÄN</t>
        </is>
      </c>
      <c r="E1733" t="inlineStr">
        <is>
          <t>KRAMFORS</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47443-2022</t>
        </is>
      </c>
      <c r="B1734" s="1" t="n">
        <v>44853.59686342593</v>
      </c>
      <c r="C1734" s="1" t="n">
        <v>46093</v>
      </c>
      <c r="D1734" t="inlineStr">
        <is>
          <t>VÄSTERNORRLANDS LÄN</t>
        </is>
      </c>
      <c r="E1734" t="inlineStr">
        <is>
          <t>ÅNGE</t>
        </is>
      </c>
      <c r="F1734" t="inlineStr">
        <is>
          <t>Sveaskog</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34534-2022</t>
        </is>
      </c>
      <c r="B1735" s="1" t="n">
        <v>44792.94587962963</v>
      </c>
      <c r="C1735" s="1" t="n">
        <v>46093</v>
      </c>
      <c r="D1735" t="inlineStr">
        <is>
          <t>VÄSTERNORRLANDS LÄN</t>
        </is>
      </c>
      <c r="E1735" t="inlineStr">
        <is>
          <t>SOLLEFTEÅ</t>
        </is>
      </c>
      <c r="F1735" t="inlineStr">
        <is>
          <t>SCA</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43124-2022</t>
        </is>
      </c>
      <c r="B1736" s="1" t="n">
        <v>44833.92898148148</v>
      </c>
      <c r="C1736" s="1" t="n">
        <v>46093</v>
      </c>
      <c r="D1736" t="inlineStr">
        <is>
          <t>VÄSTERNORRLANDS LÄN</t>
        </is>
      </c>
      <c r="E1736" t="inlineStr">
        <is>
          <t>SOLLEFTEÅ</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135-2022</t>
        </is>
      </c>
      <c r="B1737" s="1" t="n">
        <v>44564.57266203704</v>
      </c>
      <c r="C1737" s="1" t="n">
        <v>46093</v>
      </c>
      <c r="D1737" t="inlineStr">
        <is>
          <t>VÄSTERNORRLANDS LÄN</t>
        </is>
      </c>
      <c r="E1737" t="inlineStr">
        <is>
          <t>ÖRNSKÖLDSVIK</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18224-2021</t>
        </is>
      </c>
      <c r="B1738" s="1" t="n">
        <v>44302.93605324074</v>
      </c>
      <c r="C1738" s="1" t="n">
        <v>46093</v>
      </c>
      <c r="D1738" t="inlineStr">
        <is>
          <t>VÄSTERNORRLANDS LÄN</t>
        </is>
      </c>
      <c r="E1738" t="inlineStr">
        <is>
          <t>KRAMFORS</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27809-2021</t>
        </is>
      </c>
      <c r="B1739" s="1" t="n">
        <v>44354</v>
      </c>
      <c r="C1739" s="1" t="n">
        <v>46093</v>
      </c>
      <c r="D1739" t="inlineStr">
        <is>
          <t>VÄSTERNORRLANDS LÄN</t>
        </is>
      </c>
      <c r="E1739" t="inlineStr">
        <is>
          <t>SOLLEFTEÅ</t>
        </is>
      </c>
      <c r="F1739" t="inlineStr">
        <is>
          <t>Holmen skog AB</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13510-2021</t>
        </is>
      </c>
      <c r="B1740" s="1" t="n">
        <v>44273</v>
      </c>
      <c r="C1740" s="1" t="n">
        <v>46093</v>
      </c>
      <c r="D1740" t="inlineStr">
        <is>
          <t>VÄSTERNORRLANDS LÄN</t>
        </is>
      </c>
      <c r="E1740" t="inlineStr">
        <is>
          <t>ÅNGE</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29829-2021</t>
        </is>
      </c>
      <c r="B1741" s="1" t="n">
        <v>44362</v>
      </c>
      <c r="C1741" s="1" t="n">
        <v>46093</v>
      </c>
      <c r="D1741" t="inlineStr">
        <is>
          <t>VÄSTERNORRLANDS LÄN</t>
        </is>
      </c>
      <c r="E1741" t="inlineStr">
        <is>
          <t>SOLLEFTEÅ</t>
        </is>
      </c>
      <c r="G1741" t="n">
        <v>4</v>
      </c>
      <c r="H1741" t="n">
        <v>0</v>
      </c>
      <c r="I1741" t="n">
        <v>0</v>
      </c>
      <c r="J1741" t="n">
        <v>0</v>
      </c>
      <c r="K1741" t="n">
        <v>0</v>
      </c>
      <c r="L1741" t="n">
        <v>0</v>
      </c>
      <c r="M1741" t="n">
        <v>0</v>
      </c>
      <c r="N1741" t="n">
        <v>0</v>
      </c>
      <c r="O1741" t="n">
        <v>0</v>
      </c>
      <c r="P1741" t="n">
        <v>0</v>
      </c>
      <c r="Q1741" t="n">
        <v>0</v>
      </c>
      <c r="R1741" s="2" t="inlineStr"/>
    </row>
    <row r="1742" ht="15" customHeight="1">
      <c r="A1742" t="inlineStr">
        <is>
          <t>A 16444-2021</t>
        </is>
      </c>
      <c r="B1742" s="1" t="n">
        <v>44293</v>
      </c>
      <c r="C1742" s="1" t="n">
        <v>46093</v>
      </c>
      <c r="D1742" t="inlineStr">
        <is>
          <t>VÄSTERNORRLANDS LÄN</t>
        </is>
      </c>
      <c r="E1742" t="inlineStr">
        <is>
          <t>KRAMFORS</t>
        </is>
      </c>
      <c r="G1742" t="n">
        <v>14.1</v>
      </c>
      <c r="H1742" t="n">
        <v>0</v>
      </c>
      <c r="I1742" t="n">
        <v>0</v>
      </c>
      <c r="J1742" t="n">
        <v>0</v>
      </c>
      <c r="K1742" t="n">
        <v>0</v>
      </c>
      <c r="L1742" t="n">
        <v>0</v>
      </c>
      <c r="M1742" t="n">
        <v>0</v>
      </c>
      <c r="N1742" t="n">
        <v>0</v>
      </c>
      <c r="O1742" t="n">
        <v>0</v>
      </c>
      <c r="P1742" t="n">
        <v>0</v>
      </c>
      <c r="Q1742" t="n">
        <v>0</v>
      </c>
      <c r="R1742" s="2" t="inlineStr"/>
    </row>
    <row r="1743" ht="15" customHeight="1">
      <c r="A1743" t="inlineStr">
        <is>
          <t>A 31510-2021</t>
        </is>
      </c>
      <c r="B1743" s="1" t="n">
        <v>44369.45827546297</v>
      </c>
      <c r="C1743" s="1" t="n">
        <v>46093</v>
      </c>
      <c r="D1743" t="inlineStr">
        <is>
          <t>VÄSTERNORRLANDS LÄN</t>
        </is>
      </c>
      <c r="E1743" t="inlineStr">
        <is>
          <t>SUNDSVALL</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73989-2021</t>
        </is>
      </c>
      <c r="B1744" s="1" t="n">
        <v>44556</v>
      </c>
      <c r="C1744" s="1" t="n">
        <v>46093</v>
      </c>
      <c r="D1744" t="inlineStr">
        <is>
          <t>VÄSTERNORRLANDS LÄN</t>
        </is>
      </c>
      <c r="E1744" t="inlineStr">
        <is>
          <t>KRAMFORS</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45513-2022</t>
        </is>
      </c>
      <c r="B1745" s="1" t="n">
        <v>44845.44377314814</v>
      </c>
      <c r="C1745" s="1" t="n">
        <v>46093</v>
      </c>
      <c r="D1745" t="inlineStr">
        <is>
          <t>VÄSTERNORRLANDS LÄN</t>
        </is>
      </c>
      <c r="E1745" t="inlineStr">
        <is>
          <t>ÖRNSKÖLDSVIK</t>
        </is>
      </c>
      <c r="F1745" t="inlineStr">
        <is>
          <t>Holmen skog AB</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13479-2021</t>
        </is>
      </c>
      <c r="B1746" s="1" t="n">
        <v>44273</v>
      </c>
      <c r="C1746" s="1" t="n">
        <v>46093</v>
      </c>
      <c r="D1746" t="inlineStr">
        <is>
          <t>VÄSTERNORRLANDS LÄN</t>
        </is>
      </c>
      <c r="E1746" t="inlineStr">
        <is>
          <t>ÅNGE</t>
        </is>
      </c>
      <c r="G1746" t="n">
        <v>0.1</v>
      </c>
      <c r="H1746" t="n">
        <v>0</v>
      </c>
      <c r="I1746" t="n">
        <v>0</v>
      </c>
      <c r="J1746" t="n">
        <v>0</v>
      </c>
      <c r="K1746" t="n">
        <v>0</v>
      </c>
      <c r="L1746" t="n">
        <v>0</v>
      </c>
      <c r="M1746" t="n">
        <v>0</v>
      </c>
      <c r="N1746" t="n">
        <v>0</v>
      </c>
      <c r="O1746" t="n">
        <v>0</v>
      </c>
      <c r="P1746" t="n">
        <v>0</v>
      </c>
      <c r="Q1746" t="n">
        <v>0</v>
      </c>
      <c r="R1746" s="2" t="inlineStr"/>
    </row>
    <row r="1747" ht="15" customHeight="1">
      <c r="A1747" t="inlineStr">
        <is>
          <t>A 33849-2021</t>
        </is>
      </c>
      <c r="B1747" s="1" t="n">
        <v>44378.60858796296</v>
      </c>
      <c r="C1747" s="1" t="n">
        <v>46093</v>
      </c>
      <c r="D1747" t="inlineStr">
        <is>
          <t>VÄSTERNORRLANDS LÄN</t>
        </is>
      </c>
      <c r="E1747" t="inlineStr">
        <is>
          <t>HÄRNÖSAND</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16424-2021</t>
        </is>
      </c>
      <c r="B1748" s="1" t="n">
        <v>44292</v>
      </c>
      <c r="C1748" s="1" t="n">
        <v>46093</v>
      </c>
      <c r="D1748" t="inlineStr">
        <is>
          <t>VÄSTERNORRLANDS LÄN</t>
        </is>
      </c>
      <c r="E1748" t="inlineStr">
        <is>
          <t>SUNDSVALL</t>
        </is>
      </c>
      <c r="G1748" t="n">
        <v>0.2</v>
      </c>
      <c r="H1748" t="n">
        <v>0</v>
      </c>
      <c r="I1748" t="n">
        <v>0</v>
      </c>
      <c r="J1748" t="n">
        <v>0</v>
      </c>
      <c r="K1748" t="n">
        <v>0</v>
      </c>
      <c r="L1748" t="n">
        <v>0</v>
      </c>
      <c r="M1748" t="n">
        <v>0</v>
      </c>
      <c r="N1748" t="n">
        <v>0</v>
      </c>
      <c r="O1748" t="n">
        <v>0</v>
      </c>
      <c r="P1748" t="n">
        <v>0</v>
      </c>
      <c r="Q1748" t="n">
        <v>0</v>
      </c>
      <c r="R1748" s="2" t="inlineStr"/>
    </row>
    <row r="1749" ht="15" customHeight="1">
      <c r="A1749" t="inlineStr">
        <is>
          <t>A 42881-2021</t>
        </is>
      </c>
      <c r="B1749" s="1" t="n">
        <v>44431.31181712963</v>
      </c>
      <c r="C1749" s="1" t="n">
        <v>46093</v>
      </c>
      <c r="D1749" t="inlineStr">
        <is>
          <t>VÄSTERNORRLANDS LÄN</t>
        </is>
      </c>
      <c r="E1749" t="inlineStr">
        <is>
          <t>ÅNGE</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20542-2021</t>
        </is>
      </c>
      <c r="B1750" s="1" t="n">
        <v>44315.94444444445</v>
      </c>
      <c r="C1750" s="1" t="n">
        <v>46093</v>
      </c>
      <c r="D1750" t="inlineStr">
        <is>
          <t>VÄSTERNORRLANDS LÄN</t>
        </is>
      </c>
      <c r="E1750" t="inlineStr">
        <is>
          <t>KRAMFORS</t>
        </is>
      </c>
      <c r="F1750" t="inlineStr">
        <is>
          <t>SCA</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55273-2022</t>
        </is>
      </c>
      <c r="B1751" s="1" t="n">
        <v>44882</v>
      </c>
      <c r="C1751" s="1" t="n">
        <v>46093</v>
      </c>
      <c r="D1751" t="inlineStr">
        <is>
          <t>VÄSTERNORRLANDS LÄN</t>
        </is>
      </c>
      <c r="E1751" t="inlineStr">
        <is>
          <t>ÖRNSKÖLDSVIK</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25033-2022</t>
        </is>
      </c>
      <c r="B1752" s="1" t="n">
        <v>44728.94432870371</v>
      </c>
      <c r="C1752" s="1" t="n">
        <v>46093</v>
      </c>
      <c r="D1752" t="inlineStr">
        <is>
          <t>VÄSTERNORRLANDS LÄN</t>
        </is>
      </c>
      <c r="E1752" t="inlineStr">
        <is>
          <t>HÄRNÖSAND</t>
        </is>
      </c>
      <c r="F1752" t="inlineStr">
        <is>
          <t>SCA</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22910-2021</t>
        </is>
      </c>
      <c r="B1753" s="1" t="n">
        <v>44328</v>
      </c>
      <c r="C1753" s="1" t="n">
        <v>46093</v>
      </c>
      <c r="D1753" t="inlineStr">
        <is>
          <t>VÄSTERNORRLANDS LÄN</t>
        </is>
      </c>
      <c r="E1753" t="inlineStr">
        <is>
          <t>KRAMFORS</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18873-2021</t>
        </is>
      </c>
      <c r="B1754" s="1" t="n">
        <v>44307.934375</v>
      </c>
      <c r="C1754" s="1" t="n">
        <v>46093</v>
      </c>
      <c r="D1754" t="inlineStr">
        <is>
          <t>VÄSTERNORRLANDS LÄN</t>
        </is>
      </c>
      <c r="E1754" t="inlineStr">
        <is>
          <t>SOLLEFTEÅ</t>
        </is>
      </c>
      <c r="F1754" t="inlineStr">
        <is>
          <t>SCA</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12762-2021</t>
        </is>
      </c>
      <c r="B1755" s="1" t="n">
        <v>44270.67614583333</v>
      </c>
      <c r="C1755" s="1" t="n">
        <v>46093</v>
      </c>
      <c r="D1755" t="inlineStr">
        <is>
          <t>VÄSTERNORRLANDS LÄN</t>
        </is>
      </c>
      <c r="E1755" t="inlineStr">
        <is>
          <t>ÖRNSKÖLDSVIK</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18070-2021</t>
        </is>
      </c>
      <c r="B1756" s="1" t="n">
        <v>44301</v>
      </c>
      <c r="C1756" s="1" t="n">
        <v>46093</v>
      </c>
      <c r="D1756" t="inlineStr">
        <is>
          <t>VÄSTERNORRLANDS LÄN</t>
        </is>
      </c>
      <c r="E1756" t="inlineStr">
        <is>
          <t>HÄRNÖSAND</t>
        </is>
      </c>
      <c r="G1756" t="n">
        <v>0.3</v>
      </c>
      <c r="H1756" t="n">
        <v>0</v>
      </c>
      <c r="I1756" t="n">
        <v>0</v>
      </c>
      <c r="J1756" t="n">
        <v>0</v>
      </c>
      <c r="K1756" t="n">
        <v>0</v>
      </c>
      <c r="L1756" t="n">
        <v>0</v>
      </c>
      <c r="M1756" t="n">
        <v>0</v>
      </c>
      <c r="N1756" t="n">
        <v>0</v>
      </c>
      <c r="O1756" t="n">
        <v>0</v>
      </c>
      <c r="P1756" t="n">
        <v>0</v>
      </c>
      <c r="Q1756" t="n">
        <v>0</v>
      </c>
      <c r="R1756" s="2" t="inlineStr"/>
    </row>
    <row r="1757" ht="15" customHeight="1">
      <c r="A1757" t="inlineStr">
        <is>
          <t>A 25321-2021</t>
        </is>
      </c>
      <c r="B1757" s="1" t="n">
        <v>44342</v>
      </c>
      <c r="C1757" s="1" t="n">
        <v>46093</v>
      </c>
      <c r="D1757" t="inlineStr">
        <is>
          <t>VÄSTERNORRLANDS LÄN</t>
        </is>
      </c>
      <c r="E1757" t="inlineStr">
        <is>
          <t>ÖRNSKÖLDSVIK</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25345-2021</t>
        </is>
      </c>
      <c r="B1758" s="1" t="n">
        <v>44342</v>
      </c>
      <c r="C1758" s="1" t="n">
        <v>46093</v>
      </c>
      <c r="D1758" t="inlineStr">
        <is>
          <t>VÄSTERNORRLANDS LÄN</t>
        </is>
      </c>
      <c r="E1758" t="inlineStr">
        <is>
          <t>SOLLEFTEÅ</t>
        </is>
      </c>
      <c r="G1758" t="n">
        <v>0.2</v>
      </c>
      <c r="H1758" t="n">
        <v>0</v>
      </c>
      <c r="I1758" t="n">
        <v>0</v>
      </c>
      <c r="J1758" t="n">
        <v>0</v>
      </c>
      <c r="K1758" t="n">
        <v>0</v>
      </c>
      <c r="L1758" t="n">
        <v>0</v>
      </c>
      <c r="M1758" t="n">
        <v>0</v>
      </c>
      <c r="N1758" t="n">
        <v>0</v>
      </c>
      <c r="O1758" t="n">
        <v>0</v>
      </c>
      <c r="P1758" t="n">
        <v>0</v>
      </c>
      <c r="Q1758" t="n">
        <v>0</v>
      </c>
      <c r="R1758" s="2" t="inlineStr"/>
    </row>
    <row r="1759" ht="15" customHeight="1">
      <c r="A1759" t="inlineStr">
        <is>
          <t>A 30064-2021</t>
        </is>
      </c>
      <c r="B1759" s="1" t="n">
        <v>44363.48902777778</v>
      </c>
      <c r="C1759" s="1" t="n">
        <v>46093</v>
      </c>
      <c r="D1759" t="inlineStr">
        <is>
          <t>VÄSTERNORRLANDS LÄN</t>
        </is>
      </c>
      <c r="E1759" t="inlineStr">
        <is>
          <t>ÖRNSKÖLDSVIK</t>
        </is>
      </c>
      <c r="F1759" t="inlineStr">
        <is>
          <t>Holmen skog AB</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17708-2021</t>
        </is>
      </c>
      <c r="B1760" s="1" t="n">
        <v>44300</v>
      </c>
      <c r="C1760" s="1" t="n">
        <v>46093</v>
      </c>
      <c r="D1760" t="inlineStr">
        <is>
          <t>VÄSTERNORRLANDS LÄN</t>
        </is>
      </c>
      <c r="E1760" t="inlineStr">
        <is>
          <t>ÖRNSKÖLDSVIK</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53807-2021</t>
        </is>
      </c>
      <c r="B1761" s="1" t="n">
        <v>44469</v>
      </c>
      <c r="C1761" s="1" t="n">
        <v>46093</v>
      </c>
      <c r="D1761" t="inlineStr">
        <is>
          <t>VÄSTERNORRLANDS LÄN</t>
        </is>
      </c>
      <c r="E1761" t="inlineStr">
        <is>
          <t>ÖRNSKÖLDSVIK</t>
        </is>
      </c>
      <c r="F1761" t="inlineStr">
        <is>
          <t>Holmen skog AB</t>
        </is>
      </c>
      <c r="G1761" t="n">
        <v>5.6</v>
      </c>
      <c r="H1761" t="n">
        <v>0</v>
      </c>
      <c r="I1761" t="n">
        <v>0</v>
      </c>
      <c r="J1761" t="n">
        <v>0</v>
      </c>
      <c r="K1761" t="n">
        <v>0</v>
      </c>
      <c r="L1761" t="n">
        <v>0</v>
      </c>
      <c r="M1761" t="n">
        <v>0</v>
      </c>
      <c r="N1761" t="n">
        <v>0</v>
      </c>
      <c r="O1761" t="n">
        <v>0</v>
      </c>
      <c r="P1761" t="n">
        <v>0</v>
      </c>
      <c r="Q1761" t="n">
        <v>0</v>
      </c>
      <c r="R1761" s="2" t="inlineStr"/>
    </row>
    <row r="1762" ht="15" customHeight="1">
      <c r="A1762" t="inlineStr">
        <is>
          <t>A 66872-2021</t>
        </is>
      </c>
      <c r="B1762" s="1" t="n">
        <v>44522</v>
      </c>
      <c r="C1762" s="1" t="n">
        <v>46093</v>
      </c>
      <c r="D1762" t="inlineStr">
        <is>
          <t>VÄSTERNORRLANDS LÄN</t>
        </is>
      </c>
      <c r="E1762" t="inlineStr">
        <is>
          <t>SUNDSVALL</t>
        </is>
      </c>
      <c r="G1762" t="n">
        <v>4.3</v>
      </c>
      <c r="H1762" t="n">
        <v>0</v>
      </c>
      <c r="I1762" t="n">
        <v>0</v>
      </c>
      <c r="J1762" t="n">
        <v>0</v>
      </c>
      <c r="K1762" t="n">
        <v>0</v>
      </c>
      <c r="L1762" t="n">
        <v>0</v>
      </c>
      <c r="M1762" t="n">
        <v>0</v>
      </c>
      <c r="N1762" t="n">
        <v>0</v>
      </c>
      <c r="O1762" t="n">
        <v>0</v>
      </c>
      <c r="P1762" t="n">
        <v>0</v>
      </c>
      <c r="Q1762" t="n">
        <v>0</v>
      </c>
      <c r="R1762" s="2" t="inlineStr"/>
    </row>
    <row r="1763" ht="15" customHeight="1">
      <c r="A1763" t="inlineStr">
        <is>
          <t>A 67065-2021</t>
        </is>
      </c>
      <c r="B1763" s="1" t="n">
        <v>44522.92057870371</v>
      </c>
      <c r="C1763" s="1" t="n">
        <v>46093</v>
      </c>
      <c r="D1763" t="inlineStr">
        <is>
          <t>VÄSTERNORRLANDS LÄN</t>
        </is>
      </c>
      <c r="E1763" t="inlineStr">
        <is>
          <t>TIMRÅ</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54424-2021</t>
        </is>
      </c>
      <c r="B1764" s="1" t="n">
        <v>44473.43869212963</v>
      </c>
      <c r="C1764" s="1" t="n">
        <v>46093</v>
      </c>
      <c r="D1764" t="inlineStr">
        <is>
          <t>VÄSTERNORRLANDS LÄN</t>
        </is>
      </c>
      <c r="E1764" t="inlineStr">
        <is>
          <t>ÖRNSKÖLDSVIK</t>
        </is>
      </c>
      <c r="F1764" t="inlineStr">
        <is>
          <t>Holmen skog AB</t>
        </is>
      </c>
      <c r="G1764" t="n">
        <v>0.2</v>
      </c>
      <c r="H1764" t="n">
        <v>0</v>
      </c>
      <c r="I1764" t="n">
        <v>0</v>
      </c>
      <c r="J1764" t="n">
        <v>0</v>
      </c>
      <c r="K1764" t="n">
        <v>0</v>
      </c>
      <c r="L1764" t="n">
        <v>0</v>
      </c>
      <c r="M1764" t="n">
        <v>0</v>
      </c>
      <c r="N1764" t="n">
        <v>0</v>
      </c>
      <c r="O1764" t="n">
        <v>0</v>
      </c>
      <c r="P1764" t="n">
        <v>0</v>
      </c>
      <c r="Q1764" t="n">
        <v>0</v>
      </c>
      <c r="R1764" s="2" t="inlineStr"/>
    </row>
    <row r="1765" ht="15" customHeight="1">
      <c r="A1765" t="inlineStr">
        <is>
          <t>A 59570-2021</t>
        </is>
      </c>
      <c r="B1765" s="1" t="n">
        <v>44491</v>
      </c>
      <c r="C1765" s="1" t="n">
        <v>46093</v>
      </c>
      <c r="D1765" t="inlineStr">
        <is>
          <t>VÄSTERNORRLANDS LÄN</t>
        </is>
      </c>
      <c r="E1765" t="inlineStr">
        <is>
          <t>TIMRÅ</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29904-2022</t>
        </is>
      </c>
      <c r="B1766" s="1" t="n">
        <v>44756.50890046296</v>
      </c>
      <c r="C1766" s="1" t="n">
        <v>46093</v>
      </c>
      <c r="D1766" t="inlineStr">
        <is>
          <t>VÄSTERNORRLANDS LÄN</t>
        </is>
      </c>
      <c r="E1766" t="inlineStr">
        <is>
          <t>ÖRNSKÖLDSVIK</t>
        </is>
      </c>
      <c r="F1766" t="inlineStr">
        <is>
          <t>Holmen skog AB</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51442-2021</t>
        </is>
      </c>
      <c r="B1767" s="1" t="n">
        <v>44461.94450231481</v>
      </c>
      <c r="C1767" s="1" t="n">
        <v>46093</v>
      </c>
      <c r="D1767" t="inlineStr">
        <is>
          <t>VÄSTERNORRLANDS LÄN</t>
        </is>
      </c>
      <c r="E1767" t="inlineStr">
        <is>
          <t>SOLLEFTEÅ</t>
        </is>
      </c>
      <c r="F1767" t="inlineStr">
        <is>
          <t>SCA</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57533-2021</t>
        </is>
      </c>
      <c r="B1768" s="1" t="n">
        <v>44483.92024305555</v>
      </c>
      <c r="C1768" s="1" t="n">
        <v>46093</v>
      </c>
      <c r="D1768" t="inlineStr">
        <is>
          <t>VÄSTERNORRLANDS LÄN</t>
        </is>
      </c>
      <c r="E1768" t="inlineStr">
        <is>
          <t>SUNDSVALL</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51443-2021</t>
        </is>
      </c>
      <c r="B1769" s="1" t="n">
        <v>44461</v>
      </c>
      <c r="C1769" s="1" t="n">
        <v>46093</v>
      </c>
      <c r="D1769" t="inlineStr">
        <is>
          <t>VÄSTERNORRLANDS LÄN</t>
        </is>
      </c>
      <c r="E1769" t="inlineStr">
        <is>
          <t>SOLLEFTEÅ</t>
        </is>
      </c>
      <c r="F1769" t="inlineStr">
        <is>
          <t>SCA</t>
        </is>
      </c>
      <c r="G1769" t="n">
        <v>6.7</v>
      </c>
      <c r="H1769" t="n">
        <v>0</v>
      </c>
      <c r="I1769" t="n">
        <v>0</v>
      </c>
      <c r="J1769" t="n">
        <v>0</v>
      </c>
      <c r="K1769" t="n">
        <v>0</v>
      </c>
      <c r="L1769" t="n">
        <v>0</v>
      </c>
      <c r="M1769" t="n">
        <v>0</v>
      </c>
      <c r="N1769" t="n">
        <v>0</v>
      </c>
      <c r="O1769" t="n">
        <v>0</v>
      </c>
      <c r="P1769" t="n">
        <v>0</v>
      </c>
      <c r="Q1769" t="n">
        <v>0</v>
      </c>
      <c r="R1769" s="2" t="inlineStr"/>
    </row>
    <row r="1770" ht="15" customHeight="1">
      <c r="A1770" t="inlineStr">
        <is>
          <t>A 18223-2021</t>
        </is>
      </c>
      <c r="B1770" s="1" t="n">
        <v>44302.93600694444</v>
      </c>
      <c r="C1770" s="1" t="n">
        <v>46093</v>
      </c>
      <c r="D1770" t="inlineStr">
        <is>
          <t>VÄSTERNORRLANDS LÄN</t>
        </is>
      </c>
      <c r="E1770" t="inlineStr">
        <is>
          <t>KRAMFORS</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2328-2022</t>
        </is>
      </c>
      <c r="B1771" s="1" t="n">
        <v>44578.91508101852</v>
      </c>
      <c r="C1771" s="1" t="n">
        <v>46093</v>
      </c>
      <c r="D1771" t="inlineStr">
        <is>
          <t>VÄSTERNORRLANDS LÄN</t>
        </is>
      </c>
      <c r="E1771" t="inlineStr">
        <is>
          <t>KRAMFORS</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30098-2021</t>
        </is>
      </c>
      <c r="B1772" s="1" t="n">
        <v>44363</v>
      </c>
      <c r="C1772" s="1" t="n">
        <v>46093</v>
      </c>
      <c r="D1772" t="inlineStr">
        <is>
          <t>VÄSTERNORRLANDS LÄN</t>
        </is>
      </c>
      <c r="E1772" t="inlineStr">
        <is>
          <t>TIMRÅ</t>
        </is>
      </c>
      <c r="G1772" t="n">
        <v>6.1</v>
      </c>
      <c r="H1772" t="n">
        <v>0</v>
      </c>
      <c r="I1772" t="n">
        <v>0</v>
      </c>
      <c r="J1772" t="n">
        <v>0</v>
      </c>
      <c r="K1772" t="n">
        <v>0</v>
      </c>
      <c r="L1772" t="n">
        <v>0</v>
      </c>
      <c r="M1772" t="n">
        <v>0</v>
      </c>
      <c r="N1772" t="n">
        <v>0</v>
      </c>
      <c r="O1772" t="n">
        <v>0</v>
      </c>
      <c r="P1772" t="n">
        <v>0</v>
      </c>
      <c r="Q1772" t="n">
        <v>0</v>
      </c>
      <c r="R1772" s="2" t="inlineStr"/>
    </row>
    <row r="1773" ht="15" customHeight="1">
      <c r="A1773" t="inlineStr">
        <is>
          <t>A 51952-2021</t>
        </is>
      </c>
      <c r="B1773" s="1" t="n">
        <v>44462.95631944444</v>
      </c>
      <c r="C1773" s="1" t="n">
        <v>46093</v>
      </c>
      <c r="D1773" t="inlineStr">
        <is>
          <t>VÄSTERNORRLANDS LÄN</t>
        </is>
      </c>
      <c r="E1773" t="inlineStr">
        <is>
          <t>SOLLEFTEÅ</t>
        </is>
      </c>
      <c r="F1773" t="inlineStr">
        <is>
          <t>SCA</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22254-2021</t>
        </is>
      </c>
      <c r="B1774" s="1" t="n">
        <v>44326.41182870371</v>
      </c>
      <c r="C1774" s="1" t="n">
        <v>46093</v>
      </c>
      <c r="D1774" t="inlineStr">
        <is>
          <t>VÄSTERNORRLANDS LÄN</t>
        </is>
      </c>
      <c r="E1774" t="inlineStr">
        <is>
          <t>ÖRNSKÖLDSVIK</t>
        </is>
      </c>
      <c r="F1774" t="inlineStr">
        <is>
          <t>Holmen skog AB</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71074-2021</t>
        </is>
      </c>
      <c r="B1775" s="1" t="n">
        <v>44538.94474537037</v>
      </c>
      <c r="C1775" s="1" t="n">
        <v>46093</v>
      </c>
      <c r="D1775" t="inlineStr">
        <is>
          <t>VÄSTERNORRLANDS LÄN</t>
        </is>
      </c>
      <c r="E1775" t="inlineStr">
        <is>
          <t>ÖRNSKÖLDSVIK</t>
        </is>
      </c>
      <c r="F1775" t="inlineStr">
        <is>
          <t>SCA</t>
        </is>
      </c>
      <c r="G1775" t="n">
        <v>6.6</v>
      </c>
      <c r="H1775" t="n">
        <v>0</v>
      </c>
      <c r="I1775" t="n">
        <v>0</v>
      </c>
      <c r="J1775" t="n">
        <v>0</v>
      </c>
      <c r="K1775" t="n">
        <v>0</v>
      </c>
      <c r="L1775" t="n">
        <v>0</v>
      </c>
      <c r="M1775" t="n">
        <v>0</v>
      </c>
      <c r="N1775" t="n">
        <v>0</v>
      </c>
      <c r="O1775" t="n">
        <v>0</v>
      </c>
      <c r="P1775" t="n">
        <v>0</v>
      </c>
      <c r="Q1775" t="n">
        <v>0</v>
      </c>
      <c r="R1775" s="2" t="inlineStr"/>
    </row>
    <row r="1776" ht="15" customHeight="1">
      <c r="A1776" t="inlineStr">
        <is>
          <t>A 18013-2022</t>
        </is>
      </c>
      <c r="B1776" s="1" t="n">
        <v>44683.94355324074</v>
      </c>
      <c r="C1776" s="1" t="n">
        <v>46093</v>
      </c>
      <c r="D1776" t="inlineStr">
        <is>
          <t>VÄSTERNORRLANDS LÄN</t>
        </is>
      </c>
      <c r="E1776" t="inlineStr">
        <is>
          <t>SOLLEFTEÅ</t>
        </is>
      </c>
      <c r="F1776" t="inlineStr">
        <is>
          <t>SCA</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20544-2021</t>
        </is>
      </c>
      <c r="B1777" s="1" t="n">
        <v>44315.94458333333</v>
      </c>
      <c r="C1777" s="1" t="n">
        <v>46093</v>
      </c>
      <c r="D1777" t="inlineStr">
        <is>
          <t>VÄSTERNORRLANDS LÄN</t>
        </is>
      </c>
      <c r="E1777" t="inlineStr">
        <is>
          <t>KRAMFORS</t>
        </is>
      </c>
      <c r="F1777" t="inlineStr">
        <is>
          <t>SCA</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21404-2022</t>
        </is>
      </c>
      <c r="B1778" s="1" t="n">
        <v>44705.94037037037</v>
      </c>
      <c r="C1778" s="1" t="n">
        <v>46093</v>
      </c>
      <c r="D1778" t="inlineStr">
        <is>
          <t>VÄSTERNORRLANDS LÄN</t>
        </is>
      </c>
      <c r="E1778" t="inlineStr">
        <is>
          <t>SOLLEFTEÅ</t>
        </is>
      </c>
      <c r="F1778" t="inlineStr">
        <is>
          <t>SCA</t>
        </is>
      </c>
      <c r="G1778" t="n">
        <v>6.7</v>
      </c>
      <c r="H1778" t="n">
        <v>0</v>
      </c>
      <c r="I1778" t="n">
        <v>0</v>
      </c>
      <c r="J1778" t="n">
        <v>0</v>
      </c>
      <c r="K1778" t="n">
        <v>0</v>
      </c>
      <c r="L1778" t="n">
        <v>0</v>
      </c>
      <c r="M1778" t="n">
        <v>0</v>
      </c>
      <c r="N1778" t="n">
        <v>0</v>
      </c>
      <c r="O1778" t="n">
        <v>0</v>
      </c>
      <c r="P1778" t="n">
        <v>0</v>
      </c>
      <c r="Q1778" t="n">
        <v>0</v>
      </c>
      <c r="R1778" s="2" t="inlineStr"/>
    </row>
    <row r="1779" ht="15" customHeight="1">
      <c r="A1779" t="inlineStr">
        <is>
          <t>A 52250-2021</t>
        </is>
      </c>
      <c r="B1779" s="1" t="n">
        <v>44463.61827546296</v>
      </c>
      <c r="C1779" s="1" t="n">
        <v>46093</v>
      </c>
      <c r="D1779" t="inlineStr">
        <is>
          <t>VÄSTERNORRLANDS LÄN</t>
        </is>
      </c>
      <c r="E1779" t="inlineStr">
        <is>
          <t>ÖRNSKÖLDSVIK</t>
        </is>
      </c>
      <c r="F1779" t="inlineStr">
        <is>
          <t>Holmen skog AB</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48705-2021</t>
        </is>
      </c>
      <c r="B1780" s="1" t="n">
        <v>44452</v>
      </c>
      <c r="C1780" s="1" t="n">
        <v>46093</v>
      </c>
      <c r="D1780" t="inlineStr">
        <is>
          <t>VÄSTERNORRLANDS LÄN</t>
        </is>
      </c>
      <c r="E1780" t="inlineStr">
        <is>
          <t>SUNDSVALL</t>
        </is>
      </c>
      <c r="G1780" t="n">
        <v>0.1</v>
      </c>
      <c r="H1780" t="n">
        <v>0</v>
      </c>
      <c r="I1780" t="n">
        <v>0</v>
      </c>
      <c r="J1780" t="n">
        <v>0</v>
      </c>
      <c r="K1780" t="n">
        <v>0</v>
      </c>
      <c r="L1780" t="n">
        <v>0</v>
      </c>
      <c r="M1780" t="n">
        <v>0</v>
      </c>
      <c r="N1780" t="n">
        <v>0</v>
      </c>
      <c r="O1780" t="n">
        <v>0</v>
      </c>
      <c r="P1780" t="n">
        <v>0</v>
      </c>
      <c r="Q1780" t="n">
        <v>0</v>
      </c>
      <c r="R1780" s="2" t="inlineStr"/>
    </row>
    <row r="1781" ht="15" customHeight="1">
      <c r="A1781" t="inlineStr">
        <is>
          <t>A 48897-2021</t>
        </is>
      </c>
      <c r="B1781" s="1" t="n">
        <v>44452</v>
      </c>
      <c r="C1781" s="1" t="n">
        <v>46093</v>
      </c>
      <c r="D1781" t="inlineStr">
        <is>
          <t>VÄSTERNORRLANDS LÄN</t>
        </is>
      </c>
      <c r="E1781" t="inlineStr">
        <is>
          <t>KRAMFORS</t>
        </is>
      </c>
      <c r="G1781" t="n">
        <v>18.3</v>
      </c>
      <c r="H1781" t="n">
        <v>0</v>
      </c>
      <c r="I1781" t="n">
        <v>0</v>
      </c>
      <c r="J1781" t="n">
        <v>0</v>
      </c>
      <c r="K1781" t="n">
        <v>0</v>
      </c>
      <c r="L1781" t="n">
        <v>0</v>
      </c>
      <c r="M1781" t="n">
        <v>0</v>
      </c>
      <c r="N1781" t="n">
        <v>0</v>
      </c>
      <c r="O1781" t="n">
        <v>0</v>
      </c>
      <c r="P1781" t="n">
        <v>0</v>
      </c>
      <c r="Q1781" t="n">
        <v>0</v>
      </c>
      <c r="R1781" s="2" t="inlineStr"/>
    </row>
    <row r="1782" ht="15" customHeight="1">
      <c r="A1782" t="inlineStr">
        <is>
          <t>A 23755-2021</t>
        </is>
      </c>
      <c r="B1782" s="1" t="n">
        <v>44334</v>
      </c>
      <c r="C1782" s="1" t="n">
        <v>46093</v>
      </c>
      <c r="D1782" t="inlineStr">
        <is>
          <t>VÄSTERNORRLANDS LÄN</t>
        </is>
      </c>
      <c r="E1782" t="inlineStr">
        <is>
          <t>KRAMFORS</t>
        </is>
      </c>
      <c r="G1782" t="n">
        <v>11.2</v>
      </c>
      <c r="H1782" t="n">
        <v>0</v>
      </c>
      <c r="I1782" t="n">
        <v>0</v>
      </c>
      <c r="J1782" t="n">
        <v>0</v>
      </c>
      <c r="K1782" t="n">
        <v>0</v>
      </c>
      <c r="L1782" t="n">
        <v>0</v>
      </c>
      <c r="M1782" t="n">
        <v>0</v>
      </c>
      <c r="N1782" t="n">
        <v>0</v>
      </c>
      <c r="O1782" t="n">
        <v>0</v>
      </c>
      <c r="P1782" t="n">
        <v>0</v>
      </c>
      <c r="Q1782" t="n">
        <v>0</v>
      </c>
      <c r="R1782" s="2" t="inlineStr"/>
    </row>
    <row r="1783" ht="15" customHeight="1">
      <c r="A1783" t="inlineStr">
        <is>
          <t>A 57856-2021</t>
        </is>
      </c>
      <c r="B1783" s="1" t="n">
        <v>44484.98627314815</v>
      </c>
      <c r="C1783" s="1" t="n">
        <v>46093</v>
      </c>
      <c r="D1783" t="inlineStr">
        <is>
          <t>VÄSTERNORRLANDS LÄN</t>
        </is>
      </c>
      <c r="E1783" t="inlineStr">
        <is>
          <t>SOLLEFTEÅ</t>
        </is>
      </c>
      <c r="F1783" t="inlineStr">
        <is>
          <t>SCA</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19440-2021</t>
        </is>
      </c>
      <c r="B1784" s="1" t="n">
        <v>44310</v>
      </c>
      <c r="C1784" s="1" t="n">
        <v>46093</v>
      </c>
      <c r="D1784" t="inlineStr">
        <is>
          <t>VÄSTERNORRLANDS LÄN</t>
        </is>
      </c>
      <c r="E1784" t="inlineStr">
        <is>
          <t>KRAMFORS</t>
        </is>
      </c>
      <c r="G1784" t="n">
        <v>10.3</v>
      </c>
      <c r="H1784" t="n">
        <v>0</v>
      </c>
      <c r="I1784" t="n">
        <v>0</v>
      </c>
      <c r="J1784" t="n">
        <v>0</v>
      </c>
      <c r="K1784" t="n">
        <v>0</v>
      </c>
      <c r="L1784" t="n">
        <v>0</v>
      </c>
      <c r="M1784" t="n">
        <v>0</v>
      </c>
      <c r="N1784" t="n">
        <v>0</v>
      </c>
      <c r="O1784" t="n">
        <v>0</v>
      </c>
      <c r="P1784" t="n">
        <v>0</v>
      </c>
      <c r="Q1784" t="n">
        <v>0</v>
      </c>
      <c r="R1784" s="2" t="inlineStr"/>
    </row>
    <row r="1785" ht="15" customHeight="1">
      <c r="A1785" t="inlineStr">
        <is>
          <t>A 39723-2021</t>
        </is>
      </c>
      <c r="B1785" s="1" t="n">
        <v>44417.47886574074</v>
      </c>
      <c r="C1785" s="1" t="n">
        <v>46093</v>
      </c>
      <c r="D1785" t="inlineStr">
        <is>
          <t>VÄSTERNORRLANDS LÄN</t>
        </is>
      </c>
      <c r="E1785" t="inlineStr">
        <is>
          <t>ÅNGE</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26320-2021</t>
        </is>
      </c>
      <c r="B1786" s="1" t="n">
        <v>44347</v>
      </c>
      <c r="C1786" s="1" t="n">
        <v>46093</v>
      </c>
      <c r="D1786" t="inlineStr">
        <is>
          <t>VÄSTERNORRLANDS LÄN</t>
        </is>
      </c>
      <c r="E1786" t="inlineStr">
        <is>
          <t>KRAMFORS</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30501-2021</t>
        </is>
      </c>
      <c r="B1787" s="1" t="n">
        <v>44364.63420138889</v>
      </c>
      <c r="C1787" s="1" t="n">
        <v>46093</v>
      </c>
      <c r="D1787" t="inlineStr">
        <is>
          <t>VÄSTERNORRLANDS LÄN</t>
        </is>
      </c>
      <c r="E1787" t="inlineStr">
        <is>
          <t>ÖRNSKÖLDSVIK</t>
        </is>
      </c>
      <c r="F1787" t="inlineStr">
        <is>
          <t>Holmen skog AB</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64939-2021</t>
        </is>
      </c>
      <c r="B1788" s="1" t="n">
        <v>44512</v>
      </c>
      <c r="C1788" s="1" t="n">
        <v>46093</v>
      </c>
      <c r="D1788" t="inlineStr">
        <is>
          <t>VÄSTERNORRLANDS LÄN</t>
        </is>
      </c>
      <c r="E1788" t="inlineStr">
        <is>
          <t>SOLLEFTEÅ</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25339-2022</t>
        </is>
      </c>
      <c r="B1789" s="1" t="n">
        <v>44731.9378125</v>
      </c>
      <c r="C1789" s="1" t="n">
        <v>46093</v>
      </c>
      <c r="D1789" t="inlineStr">
        <is>
          <t>VÄSTERNORRLANDS LÄN</t>
        </is>
      </c>
      <c r="E1789" t="inlineStr">
        <is>
          <t>SOLLEFTEÅ</t>
        </is>
      </c>
      <c r="F1789" t="inlineStr">
        <is>
          <t>SCA</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28650-2021</t>
        </is>
      </c>
      <c r="B1790" s="1" t="n">
        <v>44357.3500462963</v>
      </c>
      <c r="C1790" s="1" t="n">
        <v>46093</v>
      </c>
      <c r="D1790" t="inlineStr">
        <is>
          <t>VÄSTERNORRLANDS LÄN</t>
        </is>
      </c>
      <c r="E1790" t="inlineStr">
        <is>
          <t>TIMRÅ</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28651-2021</t>
        </is>
      </c>
      <c r="B1791" s="1" t="n">
        <v>44356</v>
      </c>
      <c r="C1791" s="1" t="n">
        <v>46093</v>
      </c>
      <c r="D1791" t="inlineStr">
        <is>
          <t>VÄSTERNORRLANDS LÄN</t>
        </is>
      </c>
      <c r="E1791" t="inlineStr">
        <is>
          <t>KRAMFORS</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45320-2022</t>
        </is>
      </c>
      <c r="B1792" s="1" t="n">
        <v>44844.58571759259</v>
      </c>
      <c r="C1792" s="1" t="n">
        <v>46093</v>
      </c>
      <c r="D1792" t="inlineStr">
        <is>
          <t>VÄSTERNORRLANDS LÄN</t>
        </is>
      </c>
      <c r="E1792" t="inlineStr">
        <is>
          <t>ÖRNSKÖLDSVIK</t>
        </is>
      </c>
      <c r="F1792" t="inlineStr">
        <is>
          <t>Holmen skog AB</t>
        </is>
      </c>
      <c r="G1792" t="n">
        <v>5.3</v>
      </c>
      <c r="H1792" t="n">
        <v>0</v>
      </c>
      <c r="I1792" t="n">
        <v>0</v>
      </c>
      <c r="J1792" t="n">
        <v>0</v>
      </c>
      <c r="K1792" t="n">
        <v>0</v>
      </c>
      <c r="L1792" t="n">
        <v>0</v>
      </c>
      <c r="M1792" t="n">
        <v>0</v>
      </c>
      <c r="N1792" t="n">
        <v>0</v>
      </c>
      <c r="O1792" t="n">
        <v>0</v>
      </c>
      <c r="P1792" t="n">
        <v>0</v>
      </c>
      <c r="Q1792" t="n">
        <v>0</v>
      </c>
      <c r="R1792" s="2" t="inlineStr"/>
    </row>
    <row r="1793" ht="15" customHeight="1">
      <c r="A1793" t="inlineStr">
        <is>
          <t>A 58442-2021</t>
        </is>
      </c>
      <c r="B1793" s="1" t="n">
        <v>44488</v>
      </c>
      <c r="C1793" s="1" t="n">
        <v>46093</v>
      </c>
      <c r="D1793" t="inlineStr">
        <is>
          <t>VÄSTERNORRLANDS LÄN</t>
        </is>
      </c>
      <c r="E1793" t="inlineStr">
        <is>
          <t>ÖRNSKÖLDSVIK</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41192-2022</t>
        </is>
      </c>
      <c r="B1794" s="1" t="n">
        <v>44825.94971064815</v>
      </c>
      <c r="C1794" s="1" t="n">
        <v>46093</v>
      </c>
      <c r="D1794" t="inlineStr">
        <is>
          <t>VÄSTERNORRLANDS LÄN</t>
        </is>
      </c>
      <c r="E1794" t="inlineStr">
        <is>
          <t>SOLLEFTEÅ</t>
        </is>
      </c>
      <c r="F1794" t="inlineStr">
        <is>
          <t>SCA</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41195-2022</t>
        </is>
      </c>
      <c r="B1795" s="1" t="n">
        <v>44825.94988425926</v>
      </c>
      <c r="C1795" s="1" t="n">
        <v>46093</v>
      </c>
      <c r="D1795" t="inlineStr">
        <is>
          <t>VÄSTERNORRLANDS LÄN</t>
        </is>
      </c>
      <c r="E1795" t="inlineStr">
        <is>
          <t>SOLLEFTEÅ</t>
        </is>
      </c>
      <c r="F1795" t="inlineStr">
        <is>
          <t>SCA</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56008-2021</t>
        </is>
      </c>
      <c r="B1796" s="1" t="n">
        <v>44477.43844907408</v>
      </c>
      <c r="C1796" s="1" t="n">
        <v>46093</v>
      </c>
      <c r="D1796" t="inlineStr">
        <is>
          <t>VÄSTERNORRLANDS LÄN</t>
        </is>
      </c>
      <c r="E1796" t="inlineStr">
        <is>
          <t>HÄRNÖSAND</t>
        </is>
      </c>
      <c r="G1796" t="n">
        <v>10.7</v>
      </c>
      <c r="H1796" t="n">
        <v>0</v>
      </c>
      <c r="I1796" t="n">
        <v>0</v>
      </c>
      <c r="J1796" t="n">
        <v>0</v>
      </c>
      <c r="K1796" t="n">
        <v>0</v>
      </c>
      <c r="L1796" t="n">
        <v>0</v>
      </c>
      <c r="M1796" t="n">
        <v>0</v>
      </c>
      <c r="N1796" t="n">
        <v>0</v>
      </c>
      <c r="O1796" t="n">
        <v>0</v>
      </c>
      <c r="P1796" t="n">
        <v>0</v>
      </c>
      <c r="Q1796" t="n">
        <v>0</v>
      </c>
      <c r="R1796" s="2" t="inlineStr"/>
    </row>
    <row r="1797" ht="15" customHeight="1">
      <c r="A1797" t="inlineStr">
        <is>
          <t>A 36694-2022</t>
        </is>
      </c>
      <c r="B1797" s="1" t="n">
        <v>44804.94784722223</v>
      </c>
      <c r="C1797" s="1" t="n">
        <v>46093</v>
      </c>
      <c r="D1797" t="inlineStr">
        <is>
          <t>VÄSTERNORRLANDS LÄN</t>
        </is>
      </c>
      <c r="E1797" t="inlineStr">
        <is>
          <t>SUNDSVALL</t>
        </is>
      </c>
      <c r="F1797" t="inlineStr">
        <is>
          <t>SCA</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58942-2021</t>
        </is>
      </c>
      <c r="B1798" s="1" t="n">
        <v>44489.9221875</v>
      </c>
      <c r="C1798" s="1" t="n">
        <v>46093</v>
      </c>
      <c r="D1798" t="inlineStr">
        <is>
          <t>VÄSTERNORRLANDS LÄN</t>
        </is>
      </c>
      <c r="E1798" t="inlineStr">
        <is>
          <t>ÅNGE</t>
        </is>
      </c>
      <c r="G1798" t="n">
        <v>5.6</v>
      </c>
      <c r="H1798" t="n">
        <v>0</v>
      </c>
      <c r="I1798" t="n">
        <v>0</v>
      </c>
      <c r="J1798" t="n">
        <v>0</v>
      </c>
      <c r="K1798" t="n">
        <v>0</v>
      </c>
      <c r="L1798" t="n">
        <v>0</v>
      </c>
      <c r="M1798" t="n">
        <v>0</v>
      </c>
      <c r="N1798" t="n">
        <v>0</v>
      </c>
      <c r="O1798" t="n">
        <v>0</v>
      </c>
      <c r="P1798" t="n">
        <v>0</v>
      </c>
      <c r="Q1798" t="n">
        <v>0</v>
      </c>
      <c r="R1798" s="2" t="inlineStr"/>
    </row>
    <row r="1799" ht="15" customHeight="1">
      <c r="A1799" t="inlineStr">
        <is>
          <t>A 39500-2022</t>
        </is>
      </c>
      <c r="B1799" s="1" t="n">
        <v>44818</v>
      </c>
      <c r="C1799" s="1" t="n">
        <v>46093</v>
      </c>
      <c r="D1799" t="inlineStr">
        <is>
          <t>VÄSTERNORRLANDS LÄN</t>
        </is>
      </c>
      <c r="E1799" t="inlineStr">
        <is>
          <t>ÖRNSKÖLDSVIK</t>
        </is>
      </c>
      <c r="F1799" t="inlineStr">
        <is>
          <t>Holmen skog AB</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34267-2022</t>
        </is>
      </c>
      <c r="B1800" s="1" t="n">
        <v>44791.9455787037</v>
      </c>
      <c r="C1800" s="1" t="n">
        <v>46093</v>
      </c>
      <c r="D1800" t="inlineStr">
        <is>
          <t>VÄSTERNORRLANDS LÄN</t>
        </is>
      </c>
      <c r="E1800" t="inlineStr">
        <is>
          <t>SOLLEFTEÅ</t>
        </is>
      </c>
      <c r="F1800" t="inlineStr">
        <is>
          <t>SCA</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42705-2022</t>
        </is>
      </c>
      <c r="B1801" s="1" t="n">
        <v>44832.38866898148</v>
      </c>
      <c r="C1801" s="1" t="n">
        <v>46093</v>
      </c>
      <c r="D1801" t="inlineStr">
        <is>
          <t>VÄSTERNORRLANDS LÄN</t>
        </is>
      </c>
      <c r="E1801" t="inlineStr">
        <is>
          <t>ÖRNSKÖLDSVIK</t>
        </is>
      </c>
      <c r="F1801" t="inlineStr">
        <is>
          <t>Holmen skog AB</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29844-2021</t>
        </is>
      </c>
      <c r="B1802" s="1" t="n">
        <v>44362</v>
      </c>
      <c r="C1802" s="1" t="n">
        <v>46093</v>
      </c>
      <c r="D1802" t="inlineStr">
        <is>
          <t>VÄSTERNORRLANDS LÄN</t>
        </is>
      </c>
      <c r="E1802" t="inlineStr">
        <is>
          <t>ÖRNSKÖLDSVIK</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44799-2022</t>
        </is>
      </c>
      <c r="B1803" s="1" t="n">
        <v>44841.37050925926</v>
      </c>
      <c r="C1803" s="1" t="n">
        <v>46093</v>
      </c>
      <c r="D1803" t="inlineStr">
        <is>
          <t>VÄSTERNORRLANDS LÄN</t>
        </is>
      </c>
      <c r="E1803" t="inlineStr">
        <is>
          <t>ÖRNSKÖLDSVIK</t>
        </is>
      </c>
      <c r="F1803" t="inlineStr">
        <is>
          <t>Holmen skog AB</t>
        </is>
      </c>
      <c r="G1803" t="n">
        <v>7</v>
      </c>
      <c r="H1803" t="n">
        <v>0</v>
      </c>
      <c r="I1803" t="n">
        <v>0</v>
      </c>
      <c r="J1803" t="n">
        <v>0</v>
      </c>
      <c r="K1803" t="n">
        <v>0</v>
      </c>
      <c r="L1803" t="n">
        <v>0</v>
      </c>
      <c r="M1803" t="n">
        <v>0</v>
      </c>
      <c r="N1803" t="n">
        <v>0</v>
      </c>
      <c r="O1803" t="n">
        <v>0</v>
      </c>
      <c r="P1803" t="n">
        <v>0</v>
      </c>
      <c r="Q1803" t="n">
        <v>0</v>
      </c>
      <c r="R1803" s="2" t="inlineStr"/>
    </row>
    <row r="1804" ht="15" customHeight="1">
      <c r="A1804" t="inlineStr">
        <is>
          <t>A 45248-2022</t>
        </is>
      </c>
      <c r="B1804" s="1" t="n">
        <v>44844</v>
      </c>
      <c r="C1804" s="1" t="n">
        <v>46093</v>
      </c>
      <c r="D1804" t="inlineStr">
        <is>
          <t>VÄSTERNORRLANDS LÄN</t>
        </is>
      </c>
      <c r="E1804" t="inlineStr">
        <is>
          <t>ÖRNSKÖLDSVIK</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45254-2022</t>
        </is>
      </c>
      <c r="B1805" s="1" t="n">
        <v>44844</v>
      </c>
      <c r="C1805" s="1" t="n">
        <v>46093</v>
      </c>
      <c r="D1805" t="inlineStr">
        <is>
          <t>VÄSTERNORRLANDS LÄN</t>
        </is>
      </c>
      <c r="E1805" t="inlineStr">
        <is>
          <t>ÖRNSKÖLDSVIK</t>
        </is>
      </c>
      <c r="G1805" t="n">
        <v>0.3</v>
      </c>
      <c r="H1805" t="n">
        <v>0</v>
      </c>
      <c r="I1805" t="n">
        <v>0</v>
      </c>
      <c r="J1805" t="n">
        <v>0</v>
      </c>
      <c r="K1805" t="n">
        <v>0</v>
      </c>
      <c r="L1805" t="n">
        <v>0</v>
      </c>
      <c r="M1805" t="n">
        <v>0</v>
      </c>
      <c r="N1805" t="n">
        <v>0</v>
      </c>
      <c r="O1805" t="n">
        <v>0</v>
      </c>
      <c r="P1805" t="n">
        <v>0</v>
      </c>
      <c r="Q1805" t="n">
        <v>0</v>
      </c>
      <c r="R1805" s="2" t="inlineStr"/>
    </row>
    <row r="1806" ht="15" customHeight="1">
      <c r="A1806" t="inlineStr">
        <is>
          <t>A 71651-2021</t>
        </is>
      </c>
      <c r="B1806" s="1" t="n">
        <v>44538</v>
      </c>
      <c r="C1806" s="1" t="n">
        <v>46093</v>
      </c>
      <c r="D1806" t="inlineStr">
        <is>
          <t>VÄSTERNORRLANDS LÄN</t>
        </is>
      </c>
      <c r="E1806" t="inlineStr">
        <is>
          <t>ÅNGE</t>
        </is>
      </c>
      <c r="G1806" t="n">
        <v>4.4</v>
      </c>
      <c r="H1806" t="n">
        <v>0</v>
      </c>
      <c r="I1806" t="n">
        <v>0</v>
      </c>
      <c r="J1806" t="n">
        <v>0</v>
      </c>
      <c r="K1806" t="n">
        <v>0</v>
      </c>
      <c r="L1806" t="n">
        <v>0</v>
      </c>
      <c r="M1806" t="n">
        <v>0</v>
      </c>
      <c r="N1806" t="n">
        <v>0</v>
      </c>
      <c r="O1806" t="n">
        <v>0</v>
      </c>
      <c r="P1806" t="n">
        <v>0</v>
      </c>
      <c r="Q1806" t="n">
        <v>0</v>
      </c>
      <c r="R1806" s="2" t="inlineStr"/>
    </row>
    <row r="1807" ht="15" customHeight="1">
      <c r="A1807" t="inlineStr">
        <is>
          <t>A 29468-2021</t>
        </is>
      </c>
      <c r="B1807" s="1" t="n">
        <v>44361</v>
      </c>
      <c r="C1807" s="1" t="n">
        <v>46093</v>
      </c>
      <c r="D1807" t="inlineStr">
        <is>
          <t>VÄSTERNORRLANDS LÄN</t>
        </is>
      </c>
      <c r="E1807" t="inlineStr">
        <is>
          <t>SUNDSVALL</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29576-2021</t>
        </is>
      </c>
      <c r="B1808" s="1" t="n">
        <v>44361</v>
      </c>
      <c r="C1808" s="1" t="n">
        <v>46093</v>
      </c>
      <c r="D1808" t="inlineStr">
        <is>
          <t>VÄSTERNORRLANDS LÄN</t>
        </is>
      </c>
      <c r="E1808" t="inlineStr">
        <is>
          <t>SUNDSVALL</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23032-2021</t>
        </is>
      </c>
      <c r="B1809" s="1" t="n">
        <v>44328.9410300926</v>
      </c>
      <c r="C1809" s="1" t="n">
        <v>46093</v>
      </c>
      <c r="D1809" t="inlineStr">
        <is>
          <t>VÄSTERNORRLANDS LÄN</t>
        </is>
      </c>
      <c r="E1809" t="inlineStr">
        <is>
          <t>SOLLEFTEÅ</t>
        </is>
      </c>
      <c r="F1809" t="inlineStr">
        <is>
          <t>SCA</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32183-2021</t>
        </is>
      </c>
      <c r="B1810" s="1" t="n">
        <v>44371</v>
      </c>
      <c r="C1810" s="1" t="n">
        <v>46093</v>
      </c>
      <c r="D1810" t="inlineStr">
        <is>
          <t>VÄSTERNORRLANDS LÄN</t>
        </is>
      </c>
      <c r="E1810" t="inlineStr">
        <is>
          <t>SUNDSVALL</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62080-2021</t>
        </is>
      </c>
      <c r="B1811" s="1" t="n">
        <v>44502</v>
      </c>
      <c r="C1811" s="1" t="n">
        <v>46093</v>
      </c>
      <c r="D1811" t="inlineStr">
        <is>
          <t>VÄSTERNORRLANDS LÄN</t>
        </is>
      </c>
      <c r="E1811" t="inlineStr">
        <is>
          <t>SUNDSVALL</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32210-2021</t>
        </is>
      </c>
      <c r="B1812" s="1" t="n">
        <v>44371</v>
      </c>
      <c r="C1812" s="1" t="n">
        <v>46093</v>
      </c>
      <c r="D1812" t="inlineStr">
        <is>
          <t>VÄSTERNORRLANDS LÄN</t>
        </is>
      </c>
      <c r="E1812" t="inlineStr">
        <is>
          <t>TIMRÅ</t>
        </is>
      </c>
      <c r="G1812" t="n">
        <v>4.9</v>
      </c>
      <c r="H1812" t="n">
        <v>0</v>
      </c>
      <c r="I1812" t="n">
        <v>0</v>
      </c>
      <c r="J1812" t="n">
        <v>0</v>
      </c>
      <c r="K1812" t="n">
        <v>0</v>
      </c>
      <c r="L1812" t="n">
        <v>0</v>
      </c>
      <c r="M1812" t="n">
        <v>0</v>
      </c>
      <c r="N1812" t="n">
        <v>0</v>
      </c>
      <c r="O1812" t="n">
        <v>0</v>
      </c>
      <c r="P1812" t="n">
        <v>0</v>
      </c>
      <c r="Q1812" t="n">
        <v>0</v>
      </c>
      <c r="R1812" s="2" t="inlineStr"/>
    </row>
    <row r="1813" ht="15" customHeight="1">
      <c r="A1813" t="inlineStr">
        <is>
          <t>A 32285-2021</t>
        </is>
      </c>
      <c r="B1813" s="1" t="n">
        <v>44371</v>
      </c>
      <c r="C1813" s="1" t="n">
        <v>46093</v>
      </c>
      <c r="D1813" t="inlineStr">
        <is>
          <t>VÄSTERNORRLANDS LÄN</t>
        </is>
      </c>
      <c r="E1813" t="inlineStr">
        <is>
          <t>SUNDSVALL</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41847-2022</t>
        </is>
      </c>
      <c r="B1814" s="1" t="n">
        <v>44828</v>
      </c>
      <c r="C1814" s="1" t="n">
        <v>46093</v>
      </c>
      <c r="D1814" t="inlineStr">
        <is>
          <t>VÄSTERNORRLANDS LÄN</t>
        </is>
      </c>
      <c r="E1814" t="inlineStr">
        <is>
          <t>ÖRNSKÖLDSVIK</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41469-2021</t>
        </is>
      </c>
      <c r="B1815" s="1" t="n">
        <v>44424</v>
      </c>
      <c r="C1815" s="1" t="n">
        <v>46093</v>
      </c>
      <c r="D1815" t="inlineStr">
        <is>
          <t>VÄSTERNORRLANDS LÄN</t>
        </is>
      </c>
      <c r="E1815" t="inlineStr">
        <is>
          <t>SUNDSVALL</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41800-2022</t>
        </is>
      </c>
      <c r="B1816" s="1" t="n">
        <v>44827.9250462963</v>
      </c>
      <c r="C1816" s="1" t="n">
        <v>46093</v>
      </c>
      <c r="D1816" t="inlineStr">
        <is>
          <t>VÄSTERNORRLANDS LÄN</t>
        </is>
      </c>
      <c r="E1816" t="inlineStr">
        <is>
          <t>SUNDSVALL</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32287-2021</t>
        </is>
      </c>
      <c r="B1817" s="1" t="n">
        <v>44371</v>
      </c>
      <c r="C1817" s="1" t="n">
        <v>46093</v>
      </c>
      <c r="D1817" t="inlineStr">
        <is>
          <t>VÄSTERNORRLANDS LÄN</t>
        </is>
      </c>
      <c r="E1817" t="inlineStr">
        <is>
          <t>TIMRÅ</t>
        </is>
      </c>
      <c r="F1817" t="inlineStr">
        <is>
          <t>Kyrkan</t>
        </is>
      </c>
      <c r="G1817" t="n">
        <v>5</v>
      </c>
      <c r="H1817" t="n">
        <v>0</v>
      </c>
      <c r="I1817" t="n">
        <v>0</v>
      </c>
      <c r="J1817" t="n">
        <v>0</v>
      </c>
      <c r="K1817" t="n">
        <v>0</v>
      </c>
      <c r="L1817" t="n">
        <v>0</v>
      </c>
      <c r="M1817" t="n">
        <v>0</v>
      </c>
      <c r="N1817" t="n">
        <v>0</v>
      </c>
      <c r="O1817" t="n">
        <v>0</v>
      </c>
      <c r="P1817" t="n">
        <v>0</v>
      </c>
      <c r="Q1817" t="n">
        <v>0</v>
      </c>
      <c r="R1817" s="2" t="inlineStr"/>
    </row>
    <row r="1818" ht="15" customHeight="1">
      <c r="A1818" t="inlineStr">
        <is>
          <t>A 42363-2022</t>
        </is>
      </c>
      <c r="B1818" s="1" t="n">
        <v>44831</v>
      </c>
      <c r="C1818" s="1" t="n">
        <v>46093</v>
      </c>
      <c r="D1818" t="inlineStr">
        <is>
          <t>VÄSTERNORRLANDS LÄN</t>
        </is>
      </c>
      <c r="E1818" t="inlineStr">
        <is>
          <t>ÖRNSKÖLDSVIK</t>
        </is>
      </c>
      <c r="F1818" t="inlineStr">
        <is>
          <t>Holmen skog AB</t>
        </is>
      </c>
      <c r="G1818" t="n">
        <v>0.3</v>
      </c>
      <c r="H1818" t="n">
        <v>0</v>
      </c>
      <c r="I1818" t="n">
        <v>0</v>
      </c>
      <c r="J1818" t="n">
        <v>0</v>
      </c>
      <c r="K1818" t="n">
        <v>0</v>
      </c>
      <c r="L1818" t="n">
        <v>0</v>
      </c>
      <c r="M1818" t="n">
        <v>0</v>
      </c>
      <c r="N1818" t="n">
        <v>0</v>
      </c>
      <c r="O1818" t="n">
        <v>0</v>
      </c>
      <c r="P1818" t="n">
        <v>0</v>
      </c>
      <c r="Q1818" t="n">
        <v>0</v>
      </c>
      <c r="R1818" s="2" t="inlineStr"/>
    </row>
    <row r="1819" ht="15" customHeight="1">
      <c r="A1819" t="inlineStr">
        <is>
          <t>A 26832-2021</t>
        </is>
      </c>
      <c r="B1819" s="1" t="n">
        <v>44349</v>
      </c>
      <c r="C1819" s="1" t="n">
        <v>46093</v>
      </c>
      <c r="D1819" t="inlineStr">
        <is>
          <t>VÄSTERNORRLANDS LÄN</t>
        </is>
      </c>
      <c r="E1819" t="inlineStr">
        <is>
          <t>KRAMFORS</t>
        </is>
      </c>
      <c r="G1819" t="n">
        <v>0.2</v>
      </c>
      <c r="H1819" t="n">
        <v>0</v>
      </c>
      <c r="I1819" t="n">
        <v>0</v>
      </c>
      <c r="J1819" t="n">
        <v>0</v>
      </c>
      <c r="K1819" t="n">
        <v>0</v>
      </c>
      <c r="L1819" t="n">
        <v>0</v>
      </c>
      <c r="M1819" t="n">
        <v>0</v>
      </c>
      <c r="N1819" t="n">
        <v>0</v>
      </c>
      <c r="O1819" t="n">
        <v>0</v>
      </c>
      <c r="P1819" t="n">
        <v>0</v>
      </c>
      <c r="Q1819" t="n">
        <v>0</v>
      </c>
      <c r="R1819" s="2" t="inlineStr"/>
    </row>
    <row r="1820" ht="15" customHeight="1">
      <c r="A1820" t="inlineStr">
        <is>
          <t>A 72519-2021</t>
        </is>
      </c>
      <c r="B1820" s="1" t="n">
        <v>44546.34795138889</v>
      </c>
      <c r="C1820" s="1" t="n">
        <v>46093</v>
      </c>
      <c r="D1820" t="inlineStr">
        <is>
          <t>VÄSTERNORRLANDS LÄN</t>
        </is>
      </c>
      <c r="E1820" t="inlineStr">
        <is>
          <t>ÖRNSKÖLDSVIK</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39821-2021</t>
        </is>
      </c>
      <c r="B1821" s="1" t="n">
        <v>44417</v>
      </c>
      <c r="C1821" s="1" t="n">
        <v>46093</v>
      </c>
      <c r="D1821" t="inlineStr">
        <is>
          <t>VÄSTERNORRLANDS LÄN</t>
        </is>
      </c>
      <c r="E1821" t="inlineStr">
        <is>
          <t>TIMRÅ</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30345-2021</t>
        </is>
      </c>
      <c r="B1822" s="1" t="n">
        <v>44364</v>
      </c>
      <c r="C1822" s="1" t="n">
        <v>46093</v>
      </c>
      <c r="D1822" t="inlineStr">
        <is>
          <t>VÄSTERNORRLANDS LÄN</t>
        </is>
      </c>
      <c r="E1822" t="inlineStr">
        <is>
          <t>ÅNGE</t>
        </is>
      </c>
      <c r="G1822" t="n">
        <v>7.7</v>
      </c>
      <c r="H1822" t="n">
        <v>0</v>
      </c>
      <c r="I1822" t="n">
        <v>0</v>
      </c>
      <c r="J1822" t="n">
        <v>0</v>
      </c>
      <c r="K1822" t="n">
        <v>0</v>
      </c>
      <c r="L1822" t="n">
        <v>0</v>
      </c>
      <c r="M1822" t="n">
        <v>0</v>
      </c>
      <c r="N1822" t="n">
        <v>0</v>
      </c>
      <c r="O1822" t="n">
        <v>0</v>
      </c>
      <c r="P1822" t="n">
        <v>0</v>
      </c>
      <c r="Q1822" t="n">
        <v>0</v>
      </c>
      <c r="R1822" s="2" t="inlineStr"/>
    </row>
    <row r="1823" ht="15" customHeight="1">
      <c r="A1823" t="inlineStr">
        <is>
          <t>A 36136-2021</t>
        </is>
      </c>
      <c r="B1823" s="1" t="n">
        <v>44386</v>
      </c>
      <c r="C1823" s="1" t="n">
        <v>46093</v>
      </c>
      <c r="D1823" t="inlineStr">
        <is>
          <t>VÄSTERNORRLANDS LÄN</t>
        </is>
      </c>
      <c r="E1823" t="inlineStr">
        <is>
          <t>HÄRNÖSAND</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2852-2022</t>
        </is>
      </c>
      <c r="B1824" s="1" t="n">
        <v>44581</v>
      </c>
      <c r="C1824" s="1" t="n">
        <v>46093</v>
      </c>
      <c r="D1824" t="inlineStr">
        <is>
          <t>VÄSTERNORRLANDS LÄN</t>
        </is>
      </c>
      <c r="E1824" t="inlineStr">
        <is>
          <t>KRAMFORS</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46865-2021</t>
        </is>
      </c>
      <c r="B1825" s="1" t="n">
        <v>44446.39883101852</v>
      </c>
      <c r="C1825" s="1" t="n">
        <v>46093</v>
      </c>
      <c r="D1825" t="inlineStr">
        <is>
          <t>VÄSTERNORRLANDS LÄN</t>
        </is>
      </c>
      <c r="E1825" t="inlineStr">
        <is>
          <t>ÅNGE</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56334-2021</t>
        </is>
      </c>
      <c r="B1826" s="1" t="n">
        <v>44480</v>
      </c>
      <c r="C1826" s="1" t="n">
        <v>46093</v>
      </c>
      <c r="D1826" t="inlineStr">
        <is>
          <t>VÄSTERNORRLANDS LÄN</t>
        </is>
      </c>
      <c r="E1826" t="inlineStr">
        <is>
          <t>ÖRNSKÖLDSVIK</t>
        </is>
      </c>
      <c r="F1826" t="inlineStr">
        <is>
          <t>Holmen skog AB</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52448-2022</t>
        </is>
      </c>
      <c r="B1827" s="1" t="n">
        <v>44874.46287037037</v>
      </c>
      <c r="C1827" s="1" t="n">
        <v>46093</v>
      </c>
      <c r="D1827" t="inlineStr">
        <is>
          <t>VÄSTERNORRLANDS LÄN</t>
        </is>
      </c>
      <c r="E1827" t="inlineStr">
        <is>
          <t>TIMRÅ</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37010-2021</t>
        </is>
      </c>
      <c r="B1828" s="1" t="n">
        <v>44393</v>
      </c>
      <c r="C1828" s="1" t="n">
        <v>46093</v>
      </c>
      <c r="D1828" t="inlineStr">
        <is>
          <t>VÄSTERNORRLANDS LÄN</t>
        </is>
      </c>
      <c r="E1828" t="inlineStr">
        <is>
          <t>ÅNGE</t>
        </is>
      </c>
      <c r="F1828" t="inlineStr">
        <is>
          <t>Kyrkan</t>
        </is>
      </c>
      <c r="G1828" t="n">
        <v>16.8</v>
      </c>
      <c r="H1828" t="n">
        <v>0</v>
      </c>
      <c r="I1828" t="n">
        <v>0</v>
      </c>
      <c r="J1828" t="n">
        <v>0</v>
      </c>
      <c r="K1828" t="n">
        <v>0</v>
      </c>
      <c r="L1828" t="n">
        <v>0</v>
      </c>
      <c r="M1828" t="n">
        <v>0</v>
      </c>
      <c r="N1828" t="n">
        <v>0</v>
      </c>
      <c r="O1828" t="n">
        <v>0</v>
      </c>
      <c r="P1828" t="n">
        <v>0</v>
      </c>
      <c r="Q1828" t="n">
        <v>0</v>
      </c>
      <c r="R1828" s="2" t="inlineStr"/>
    </row>
    <row r="1829" ht="15" customHeight="1">
      <c r="A1829" t="inlineStr">
        <is>
          <t>A 43293-2021</t>
        </is>
      </c>
      <c r="B1829" s="1" t="n">
        <v>44432</v>
      </c>
      <c r="C1829" s="1" t="n">
        <v>46093</v>
      </c>
      <c r="D1829" t="inlineStr">
        <is>
          <t>VÄSTERNORRLANDS LÄN</t>
        </is>
      </c>
      <c r="E1829" t="inlineStr">
        <is>
          <t>KRAMFORS</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23639-2021</t>
        </is>
      </c>
      <c r="B1830" s="1" t="n">
        <v>44334</v>
      </c>
      <c r="C1830" s="1" t="n">
        <v>46093</v>
      </c>
      <c r="D1830" t="inlineStr">
        <is>
          <t>VÄSTERNORRLANDS LÄN</t>
        </is>
      </c>
      <c r="E1830" t="inlineStr">
        <is>
          <t>SOLLEFTEÅ</t>
        </is>
      </c>
      <c r="F1830" t="inlineStr">
        <is>
          <t>Kyrkan</t>
        </is>
      </c>
      <c r="G1830" t="n">
        <v>5.4</v>
      </c>
      <c r="H1830" t="n">
        <v>0</v>
      </c>
      <c r="I1830" t="n">
        <v>0</v>
      </c>
      <c r="J1830" t="n">
        <v>0</v>
      </c>
      <c r="K1830" t="n">
        <v>0</v>
      </c>
      <c r="L1830" t="n">
        <v>0</v>
      </c>
      <c r="M1830" t="n">
        <v>0</v>
      </c>
      <c r="N1830" t="n">
        <v>0</v>
      </c>
      <c r="O1830" t="n">
        <v>0</v>
      </c>
      <c r="P1830" t="n">
        <v>0</v>
      </c>
      <c r="Q1830" t="n">
        <v>0</v>
      </c>
      <c r="R1830" s="2" t="inlineStr"/>
    </row>
    <row r="1831" ht="15" customHeight="1">
      <c r="A1831" t="inlineStr">
        <is>
          <t>A 65829-2021</t>
        </is>
      </c>
      <c r="B1831" s="1" t="n">
        <v>44516</v>
      </c>
      <c r="C1831" s="1" t="n">
        <v>46093</v>
      </c>
      <c r="D1831" t="inlineStr">
        <is>
          <t>VÄSTERNORRLANDS LÄN</t>
        </is>
      </c>
      <c r="E1831" t="inlineStr">
        <is>
          <t>KRAMFORS</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44771-2021</t>
        </is>
      </c>
      <c r="B1832" s="1" t="n">
        <v>44438</v>
      </c>
      <c r="C1832" s="1" t="n">
        <v>46093</v>
      </c>
      <c r="D1832" t="inlineStr">
        <is>
          <t>VÄSTERNORRLANDS LÄN</t>
        </is>
      </c>
      <c r="E1832" t="inlineStr">
        <is>
          <t>HÄRNÖSAND</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72977-2021</t>
        </is>
      </c>
      <c r="B1833" s="1" t="n">
        <v>44548</v>
      </c>
      <c r="C1833" s="1" t="n">
        <v>46093</v>
      </c>
      <c r="D1833" t="inlineStr">
        <is>
          <t>VÄSTERNORRLANDS LÄN</t>
        </is>
      </c>
      <c r="E1833" t="inlineStr">
        <is>
          <t>SOLLEFTEÅ</t>
        </is>
      </c>
      <c r="F1833" t="inlineStr">
        <is>
          <t>SCA</t>
        </is>
      </c>
      <c r="G1833" t="n">
        <v>6.1</v>
      </c>
      <c r="H1833" t="n">
        <v>0</v>
      </c>
      <c r="I1833" t="n">
        <v>0</v>
      </c>
      <c r="J1833" t="n">
        <v>0</v>
      </c>
      <c r="K1833" t="n">
        <v>0</v>
      </c>
      <c r="L1833" t="n">
        <v>0</v>
      </c>
      <c r="M1833" t="n">
        <v>0</v>
      </c>
      <c r="N1833" t="n">
        <v>0</v>
      </c>
      <c r="O1833" t="n">
        <v>0</v>
      </c>
      <c r="P1833" t="n">
        <v>0</v>
      </c>
      <c r="Q1833" t="n">
        <v>0</v>
      </c>
      <c r="R1833" s="2" t="inlineStr"/>
    </row>
    <row r="1834" ht="15" customHeight="1">
      <c r="A1834" t="inlineStr">
        <is>
          <t>A 55584-2021</t>
        </is>
      </c>
      <c r="B1834" s="1" t="n">
        <v>44475.87886574074</v>
      </c>
      <c r="C1834" s="1" t="n">
        <v>46093</v>
      </c>
      <c r="D1834" t="inlineStr">
        <is>
          <t>VÄSTERNORRLANDS LÄN</t>
        </is>
      </c>
      <c r="E1834" t="inlineStr">
        <is>
          <t>HÄRNÖSAND</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55594-2021</t>
        </is>
      </c>
      <c r="B1835" s="1" t="n">
        <v>44475</v>
      </c>
      <c r="C1835" s="1" t="n">
        <v>46093</v>
      </c>
      <c r="D1835" t="inlineStr">
        <is>
          <t>VÄSTERNORRLANDS LÄN</t>
        </is>
      </c>
      <c r="E1835" t="inlineStr">
        <is>
          <t>SUNDSVALL</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71357-2021</t>
        </is>
      </c>
      <c r="B1836" s="1" t="n">
        <v>44539.92232638889</v>
      </c>
      <c r="C1836" s="1" t="n">
        <v>46093</v>
      </c>
      <c r="D1836" t="inlineStr">
        <is>
          <t>VÄSTERNORRLANDS LÄN</t>
        </is>
      </c>
      <c r="E1836" t="inlineStr">
        <is>
          <t>ÅNGE</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49137-2021</t>
        </is>
      </c>
      <c r="B1837" s="1" t="n">
        <v>44453</v>
      </c>
      <c r="C1837" s="1" t="n">
        <v>46093</v>
      </c>
      <c r="D1837" t="inlineStr">
        <is>
          <t>VÄSTERNORRLANDS LÄN</t>
        </is>
      </c>
      <c r="E1837" t="inlineStr">
        <is>
          <t>ÅNGE</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43199-2021</t>
        </is>
      </c>
      <c r="B1838" s="1" t="n">
        <v>44431.91931712963</v>
      </c>
      <c r="C1838" s="1" t="n">
        <v>46093</v>
      </c>
      <c r="D1838" t="inlineStr">
        <is>
          <t>VÄSTERNORRLANDS LÄN</t>
        </is>
      </c>
      <c r="E1838" t="inlineStr">
        <is>
          <t>SUNDSVALL</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62288-2021</t>
        </is>
      </c>
      <c r="B1839" s="1" t="n">
        <v>44503</v>
      </c>
      <c r="C1839" s="1" t="n">
        <v>46093</v>
      </c>
      <c r="D1839" t="inlineStr">
        <is>
          <t>VÄSTERNORRLANDS LÄN</t>
        </is>
      </c>
      <c r="E1839" t="inlineStr">
        <is>
          <t>ÖRNSKÖLDSVIK</t>
        </is>
      </c>
      <c r="F1839" t="inlineStr">
        <is>
          <t>Holmen skog AB</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37805-2021</t>
        </is>
      </c>
      <c r="B1840" s="1" t="n">
        <v>44402.41153935185</v>
      </c>
      <c r="C1840" s="1" t="n">
        <v>46093</v>
      </c>
      <c r="D1840" t="inlineStr">
        <is>
          <t>VÄSTERNORRLANDS LÄN</t>
        </is>
      </c>
      <c r="E1840" t="inlineStr">
        <is>
          <t>HÄRNÖSAND</t>
        </is>
      </c>
      <c r="G1840" t="n">
        <v>7.2</v>
      </c>
      <c r="H1840" t="n">
        <v>0</v>
      </c>
      <c r="I1840" t="n">
        <v>0</v>
      </c>
      <c r="J1840" t="n">
        <v>0</v>
      </c>
      <c r="K1840" t="n">
        <v>0</v>
      </c>
      <c r="L1840" t="n">
        <v>0</v>
      </c>
      <c r="M1840" t="n">
        <v>0</v>
      </c>
      <c r="N1840" t="n">
        <v>0</v>
      </c>
      <c r="O1840" t="n">
        <v>0</v>
      </c>
      <c r="P1840" t="n">
        <v>0</v>
      </c>
      <c r="Q1840" t="n">
        <v>0</v>
      </c>
      <c r="R1840" s="2" t="inlineStr"/>
    </row>
    <row r="1841" ht="15" customHeight="1">
      <c r="A1841" t="inlineStr">
        <is>
          <t>A 14705-2021</t>
        </is>
      </c>
      <c r="B1841" s="1" t="n">
        <v>44280</v>
      </c>
      <c r="C1841" s="1" t="n">
        <v>46093</v>
      </c>
      <c r="D1841" t="inlineStr">
        <is>
          <t>VÄSTERNORRLANDS LÄN</t>
        </is>
      </c>
      <c r="E1841" t="inlineStr">
        <is>
          <t>KRAMFORS</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6115-2022</t>
        </is>
      </c>
      <c r="B1842" s="1" t="n">
        <v>44599</v>
      </c>
      <c r="C1842" s="1" t="n">
        <v>46093</v>
      </c>
      <c r="D1842" t="inlineStr">
        <is>
          <t>VÄSTERNORRLANDS LÄN</t>
        </is>
      </c>
      <c r="E1842" t="inlineStr">
        <is>
          <t>ÅNGE</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6121-2022</t>
        </is>
      </c>
      <c r="B1843" s="1" t="n">
        <v>44599</v>
      </c>
      <c r="C1843" s="1" t="n">
        <v>46093</v>
      </c>
      <c r="D1843" t="inlineStr">
        <is>
          <t>VÄSTERNORRLANDS LÄN</t>
        </is>
      </c>
      <c r="E1843" t="inlineStr">
        <is>
          <t>SOLLEFTEÅ</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48705-2021</t>
        </is>
      </c>
      <c r="B1844" s="1" t="n">
        <v>44452</v>
      </c>
      <c r="C1844" s="1" t="n">
        <v>46093</v>
      </c>
      <c r="D1844" t="inlineStr">
        <is>
          <t>VÄSTERNORRLANDS LÄN</t>
        </is>
      </c>
      <c r="E1844" t="inlineStr">
        <is>
          <t>SUNDSVALL</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32753-2022</t>
        </is>
      </c>
      <c r="B1845" s="1" t="n">
        <v>44783</v>
      </c>
      <c r="C1845" s="1" t="n">
        <v>46093</v>
      </c>
      <c r="D1845" t="inlineStr">
        <is>
          <t>VÄSTERNORRLANDS LÄN</t>
        </is>
      </c>
      <c r="E1845" t="inlineStr">
        <is>
          <t>ÖRNSKÖLDSVIK</t>
        </is>
      </c>
      <c r="G1845" t="n">
        <v>14.2</v>
      </c>
      <c r="H1845" t="n">
        <v>0</v>
      </c>
      <c r="I1845" t="n">
        <v>0</v>
      </c>
      <c r="J1845" t="n">
        <v>0</v>
      </c>
      <c r="K1845" t="n">
        <v>0</v>
      </c>
      <c r="L1845" t="n">
        <v>0</v>
      </c>
      <c r="M1845" t="n">
        <v>0</v>
      </c>
      <c r="N1845" t="n">
        <v>0</v>
      </c>
      <c r="O1845" t="n">
        <v>0</v>
      </c>
      <c r="P1845" t="n">
        <v>0</v>
      </c>
      <c r="Q1845" t="n">
        <v>0</v>
      </c>
      <c r="R1845" s="2" t="inlineStr"/>
    </row>
    <row r="1846" ht="15" customHeight="1">
      <c r="A1846" t="inlineStr">
        <is>
          <t>A 48511-2022</t>
        </is>
      </c>
      <c r="B1846" s="1" t="n">
        <v>44858.94972222222</v>
      </c>
      <c r="C1846" s="1" t="n">
        <v>46093</v>
      </c>
      <c r="D1846" t="inlineStr">
        <is>
          <t>VÄSTERNORRLANDS LÄN</t>
        </is>
      </c>
      <c r="E1846" t="inlineStr">
        <is>
          <t>SOLLEFTEÅ</t>
        </is>
      </c>
      <c r="F1846" t="inlineStr">
        <is>
          <t>SCA</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12647-2021</t>
        </is>
      </c>
      <c r="B1847" s="1" t="n">
        <v>44270</v>
      </c>
      <c r="C1847" s="1" t="n">
        <v>46093</v>
      </c>
      <c r="D1847" t="inlineStr">
        <is>
          <t>VÄSTERNORRLANDS LÄN</t>
        </is>
      </c>
      <c r="E1847" t="inlineStr">
        <is>
          <t>ÖRNSKÖLDSVIK</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18049-2021</t>
        </is>
      </c>
      <c r="B1848" s="1" t="n">
        <v>44301</v>
      </c>
      <c r="C1848" s="1" t="n">
        <v>46093</v>
      </c>
      <c r="D1848" t="inlineStr">
        <is>
          <t>VÄSTERNORRLANDS LÄN</t>
        </is>
      </c>
      <c r="E1848" t="inlineStr">
        <is>
          <t>HÄRNÖSAND</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59533-2021</t>
        </is>
      </c>
      <c r="B1849" s="1" t="n">
        <v>44491</v>
      </c>
      <c r="C1849" s="1" t="n">
        <v>46093</v>
      </c>
      <c r="D1849" t="inlineStr">
        <is>
          <t>VÄSTERNORRLANDS LÄN</t>
        </is>
      </c>
      <c r="E1849" t="inlineStr">
        <is>
          <t>ÖRNSKÖLDSVIK</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47143-2021</t>
        </is>
      </c>
      <c r="B1850" s="1" t="n">
        <v>44446</v>
      </c>
      <c r="C1850" s="1" t="n">
        <v>46093</v>
      </c>
      <c r="D1850" t="inlineStr">
        <is>
          <t>VÄSTERNORRLANDS LÄN</t>
        </is>
      </c>
      <c r="E1850" t="inlineStr">
        <is>
          <t>ÖRNSKÖLDSVIK</t>
        </is>
      </c>
      <c r="G1850" t="n">
        <v>32.5</v>
      </c>
      <c r="H1850" t="n">
        <v>0</v>
      </c>
      <c r="I1850" t="n">
        <v>0</v>
      </c>
      <c r="J1850" t="n">
        <v>0</v>
      </c>
      <c r="K1850" t="n">
        <v>0</v>
      </c>
      <c r="L1850" t="n">
        <v>0</v>
      </c>
      <c r="M1850" t="n">
        <v>0</v>
      </c>
      <c r="N1850" t="n">
        <v>0</v>
      </c>
      <c r="O1850" t="n">
        <v>0</v>
      </c>
      <c r="P1850" t="n">
        <v>0</v>
      </c>
      <c r="Q1850" t="n">
        <v>0</v>
      </c>
      <c r="R1850" s="2" t="inlineStr"/>
    </row>
    <row r="1851" ht="15" customHeight="1">
      <c r="A1851" t="inlineStr">
        <is>
          <t>A 45105-2021</t>
        </is>
      </c>
      <c r="B1851" s="1" t="n">
        <v>44439</v>
      </c>
      <c r="C1851" s="1" t="n">
        <v>46093</v>
      </c>
      <c r="D1851" t="inlineStr">
        <is>
          <t>VÄSTERNORRLANDS LÄN</t>
        </is>
      </c>
      <c r="E1851" t="inlineStr">
        <is>
          <t>SOLLEFTEÅ</t>
        </is>
      </c>
      <c r="F1851" t="inlineStr">
        <is>
          <t>Kommuner</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15090-2022</t>
        </is>
      </c>
      <c r="B1852" s="1" t="n">
        <v>44657.95271990741</v>
      </c>
      <c r="C1852" s="1" t="n">
        <v>46093</v>
      </c>
      <c r="D1852" t="inlineStr">
        <is>
          <t>VÄSTERNORRLANDS LÄN</t>
        </is>
      </c>
      <c r="E1852" t="inlineStr">
        <is>
          <t>SOLLEFTEÅ</t>
        </is>
      </c>
      <c r="F1852" t="inlineStr">
        <is>
          <t>SCA</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50333-2021</t>
        </is>
      </c>
      <c r="B1853" s="1" t="n">
        <v>44454</v>
      </c>
      <c r="C1853" s="1" t="n">
        <v>46093</v>
      </c>
      <c r="D1853" t="inlineStr">
        <is>
          <t>VÄSTERNORRLANDS LÄN</t>
        </is>
      </c>
      <c r="E1853" t="inlineStr">
        <is>
          <t>ÅNGE</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53289-2022</t>
        </is>
      </c>
      <c r="B1854" s="1" t="n">
        <v>44876.95109953704</v>
      </c>
      <c r="C1854" s="1" t="n">
        <v>46093</v>
      </c>
      <c r="D1854" t="inlineStr">
        <is>
          <t>VÄSTERNORRLANDS LÄN</t>
        </is>
      </c>
      <c r="E1854" t="inlineStr">
        <is>
          <t>SUNDSVALL</t>
        </is>
      </c>
      <c r="F1854" t="inlineStr">
        <is>
          <t>SCA</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54993-2022</t>
        </is>
      </c>
      <c r="B1855" s="1" t="n">
        <v>44881</v>
      </c>
      <c r="C1855" s="1" t="n">
        <v>46093</v>
      </c>
      <c r="D1855" t="inlineStr">
        <is>
          <t>VÄSTERNORRLANDS LÄN</t>
        </is>
      </c>
      <c r="E1855" t="inlineStr">
        <is>
          <t>SUNDSVALL</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58268-2021</t>
        </is>
      </c>
      <c r="B1856" s="1" t="n">
        <v>44487</v>
      </c>
      <c r="C1856" s="1" t="n">
        <v>46093</v>
      </c>
      <c r="D1856" t="inlineStr">
        <is>
          <t>VÄSTERNORRLANDS LÄN</t>
        </is>
      </c>
      <c r="E1856" t="inlineStr">
        <is>
          <t>SOLLEFTEÅ</t>
        </is>
      </c>
      <c r="F1856" t="inlineStr">
        <is>
          <t>SCA</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65790-2021</t>
        </is>
      </c>
      <c r="B1857" s="1" t="n">
        <v>44516.94785879629</v>
      </c>
      <c r="C1857" s="1" t="n">
        <v>46093</v>
      </c>
      <c r="D1857" t="inlineStr">
        <is>
          <t>VÄSTERNORRLANDS LÄN</t>
        </is>
      </c>
      <c r="E1857" t="inlineStr">
        <is>
          <t>ÅNGE</t>
        </is>
      </c>
      <c r="F1857" t="inlineStr">
        <is>
          <t>SCA</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66753-2021</t>
        </is>
      </c>
      <c r="B1858" s="1" t="n">
        <v>44521</v>
      </c>
      <c r="C1858" s="1" t="n">
        <v>46093</v>
      </c>
      <c r="D1858" t="inlineStr">
        <is>
          <t>VÄSTERNORRLANDS LÄN</t>
        </is>
      </c>
      <c r="E1858" t="inlineStr">
        <is>
          <t>ÖRNSKÖLDSVIK</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48633-2022</t>
        </is>
      </c>
      <c r="B1859" s="1" t="n">
        <v>44859.41239583334</v>
      </c>
      <c r="C1859" s="1" t="n">
        <v>46093</v>
      </c>
      <c r="D1859" t="inlineStr">
        <is>
          <t>VÄSTERNORRLANDS LÄN</t>
        </is>
      </c>
      <c r="E1859" t="inlineStr">
        <is>
          <t>ÖRNSKÖLDSVIK</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18816-2021</t>
        </is>
      </c>
      <c r="B1860" s="1" t="n">
        <v>44307.62890046297</v>
      </c>
      <c r="C1860" s="1" t="n">
        <v>46093</v>
      </c>
      <c r="D1860" t="inlineStr">
        <is>
          <t>VÄSTERNORRLANDS LÄN</t>
        </is>
      </c>
      <c r="E1860" t="inlineStr">
        <is>
          <t>ÖRNSKÖLDSVIK</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60469-2021</t>
        </is>
      </c>
      <c r="B1861" s="1" t="n">
        <v>44496</v>
      </c>
      <c r="C1861" s="1" t="n">
        <v>46093</v>
      </c>
      <c r="D1861" t="inlineStr">
        <is>
          <t>VÄSTERNORRLANDS LÄN</t>
        </is>
      </c>
      <c r="E1861" t="inlineStr">
        <is>
          <t>ÖRNSKÖLDSVIK</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16336-2022</t>
        </is>
      </c>
      <c r="B1862" s="1" t="n">
        <v>44670</v>
      </c>
      <c r="C1862" s="1" t="n">
        <v>46093</v>
      </c>
      <c r="D1862" t="inlineStr">
        <is>
          <t>VÄSTERNORRLANDS LÄN</t>
        </is>
      </c>
      <c r="E1862" t="inlineStr">
        <is>
          <t>ÖRNSKÖLDSVIK</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49056-2021</t>
        </is>
      </c>
      <c r="B1863" s="1" t="n">
        <v>44453</v>
      </c>
      <c r="C1863" s="1" t="n">
        <v>46093</v>
      </c>
      <c r="D1863" t="inlineStr">
        <is>
          <t>VÄSTERNORRLANDS LÄN</t>
        </is>
      </c>
      <c r="E1863" t="inlineStr">
        <is>
          <t>TIMRÅ</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55915-2022</t>
        </is>
      </c>
      <c r="B1864" s="1" t="n">
        <v>44889.32309027778</v>
      </c>
      <c r="C1864" s="1" t="n">
        <v>46093</v>
      </c>
      <c r="D1864" t="inlineStr">
        <is>
          <t>VÄSTERNORRLANDS LÄN</t>
        </is>
      </c>
      <c r="E1864" t="inlineStr">
        <is>
          <t>ÖRNSKÖLDSVIK</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63971-2021</t>
        </is>
      </c>
      <c r="B1865" s="1" t="n">
        <v>44509.88978009259</v>
      </c>
      <c r="C1865" s="1" t="n">
        <v>46093</v>
      </c>
      <c r="D1865" t="inlineStr">
        <is>
          <t>VÄSTERNORRLANDS LÄN</t>
        </is>
      </c>
      <c r="E1865" t="inlineStr">
        <is>
          <t>KRAMFORS</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47293-2022</t>
        </is>
      </c>
      <c r="B1866" s="1" t="n">
        <v>44852.95229166667</v>
      </c>
      <c r="C1866" s="1" t="n">
        <v>46093</v>
      </c>
      <c r="D1866" t="inlineStr">
        <is>
          <t>VÄSTERNORRLANDS LÄN</t>
        </is>
      </c>
      <c r="E1866" t="inlineStr">
        <is>
          <t>TIMRÅ</t>
        </is>
      </c>
      <c r="F1866" t="inlineStr">
        <is>
          <t>SCA</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57911-2021</t>
        </is>
      </c>
      <c r="B1867" s="1" t="n">
        <v>44486.90736111111</v>
      </c>
      <c r="C1867" s="1" t="n">
        <v>46093</v>
      </c>
      <c r="D1867" t="inlineStr">
        <is>
          <t>VÄSTERNORRLANDS LÄN</t>
        </is>
      </c>
      <c r="E1867" t="inlineStr">
        <is>
          <t>SOLLEFTEÅ</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52652-2021</t>
        </is>
      </c>
      <c r="B1868" s="1" t="n">
        <v>44466</v>
      </c>
      <c r="C1868" s="1" t="n">
        <v>46093</v>
      </c>
      <c r="D1868" t="inlineStr">
        <is>
          <t>VÄSTERNORRLANDS LÄN</t>
        </is>
      </c>
      <c r="E1868" t="inlineStr">
        <is>
          <t>ÖRNSKÖLDSVIK</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23482-2021</t>
        </is>
      </c>
      <c r="B1869" s="1" t="n">
        <v>44333.93880787037</v>
      </c>
      <c r="C1869" s="1" t="n">
        <v>46093</v>
      </c>
      <c r="D1869" t="inlineStr">
        <is>
          <t>VÄSTERNORRLANDS LÄN</t>
        </is>
      </c>
      <c r="E1869" t="inlineStr">
        <is>
          <t>KRAMFORS</t>
        </is>
      </c>
      <c r="F1869" t="inlineStr">
        <is>
          <t>SCA</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61355-2021</t>
        </is>
      </c>
      <c r="B1870" s="1" t="n">
        <v>44498.91465277778</v>
      </c>
      <c r="C1870" s="1" t="n">
        <v>46093</v>
      </c>
      <c r="D1870" t="inlineStr">
        <is>
          <t>VÄSTERNORRLANDS LÄN</t>
        </is>
      </c>
      <c r="E1870" t="inlineStr">
        <is>
          <t>ÖRNSKÖLDSVIK</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71348-2021</t>
        </is>
      </c>
      <c r="B1871" s="1" t="n">
        <v>44539</v>
      </c>
      <c r="C1871" s="1" t="n">
        <v>46093</v>
      </c>
      <c r="D1871" t="inlineStr">
        <is>
          <t>VÄSTERNORRLANDS LÄN</t>
        </is>
      </c>
      <c r="E1871" t="inlineStr">
        <is>
          <t>SOLLEFTEÅ</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71351-2021</t>
        </is>
      </c>
      <c r="B1872" s="1" t="n">
        <v>44539</v>
      </c>
      <c r="C1872" s="1" t="n">
        <v>46093</v>
      </c>
      <c r="D1872" t="inlineStr">
        <is>
          <t>VÄSTERNORRLANDS LÄN</t>
        </is>
      </c>
      <c r="E1872" t="inlineStr">
        <is>
          <t>SOLLEFTEÅ</t>
        </is>
      </c>
      <c r="G1872" t="n">
        <v>0.1</v>
      </c>
      <c r="H1872" t="n">
        <v>0</v>
      </c>
      <c r="I1872" t="n">
        <v>0</v>
      </c>
      <c r="J1872" t="n">
        <v>0</v>
      </c>
      <c r="K1872" t="n">
        <v>0</v>
      </c>
      <c r="L1872" t="n">
        <v>0</v>
      </c>
      <c r="M1872" t="n">
        <v>0</v>
      </c>
      <c r="N1872" t="n">
        <v>0</v>
      </c>
      <c r="O1872" t="n">
        <v>0</v>
      </c>
      <c r="P1872" t="n">
        <v>0</v>
      </c>
      <c r="Q1872" t="n">
        <v>0</v>
      </c>
      <c r="R1872" s="2" t="inlineStr"/>
    </row>
    <row r="1873" ht="15" customHeight="1">
      <c r="A1873" t="inlineStr">
        <is>
          <t>A 71722-2021</t>
        </is>
      </c>
      <c r="B1873" s="1" t="n">
        <v>44539</v>
      </c>
      <c r="C1873" s="1" t="n">
        <v>46093</v>
      </c>
      <c r="D1873" t="inlineStr">
        <is>
          <t>VÄSTERNORRLANDS LÄN</t>
        </is>
      </c>
      <c r="E1873" t="inlineStr">
        <is>
          <t>KRAMFORS</t>
        </is>
      </c>
      <c r="G1873" t="n">
        <v>3.9</v>
      </c>
      <c r="H1873" t="n">
        <v>0</v>
      </c>
      <c r="I1873" t="n">
        <v>0</v>
      </c>
      <c r="J1873" t="n">
        <v>0</v>
      </c>
      <c r="K1873" t="n">
        <v>0</v>
      </c>
      <c r="L1873" t="n">
        <v>0</v>
      </c>
      <c r="M1873" t="n">
        <v>0</v>
      </c>
      <c r="N1873" t="n">
        <v>0</v>
      </c>
      <c r="O1873" t="n">
        <v>0</v>
      </c>
      <c r="P1873" t="n">
        <v>0</v>
      </c>
      <c r="Q1873" t="n">
        <v>0</v>
      </c>
      <c r="R1873" s="2" t="inlineStr"/>
    </row>
    <row r="1874" ht="15" customHeight="1">
      <c r="A1874" t="inlineStr">
        <is>
          <t>A 55790-2021</t>
        </is>
      </c>
      <c r="B1874" s="1" t="n">
        <v>44476</v>
      </c>
      <c r="C1874" s="1" t="n">
        <v>46093</v>
      </c>
      <c r="D1874" t="inlineStr">
        <is>
          <t>VÄSTERNORRLANDS LÄN</t>
        </is>
      </c>
      <c r="E1874" t="inlineStr">
        <is>
          <t>HÄRNÖSAND</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30152-2021</t>
        </is>
      </c>
      <c r="B1875" s="1" t="n">
        <v>44363</v>
      </c>
      <c r="C1875" s="1" t="n">
        <v>46093</v>
      </c>
      <c r="D1875" t="inlineStr">
        <is>
          <t>VÄSTERNORRLANDS LÄN</t>
        </is>
      </c>
      <c r="E1875" t="inlineStr">
        <is>
          <t>ÖRNSKÖLDSVIK</t>
        </is>
      </c>
      <c r="G1875" t="n">
        <v>5.6</v>
      </c>
      <c r="H1875" t="n">
        <v>0</v>
      </c>
      <c r="I1875" t="n">
        <v>0</v>
      </c>
      <c r="J1875" t="n">
        <v>0</v>
      </c>
      <c r="K1875" t="n">
        <v>0</v>
      </c>
      <c r="L1875" t="n">
        <v>0</v>
      </c>
      <c r="M1875" t="n">
        <v>0</v>
      </c>
      <c r="N1875" t="n">
        <v>0</v>
      </c>
      <c r="O1875" t="n">
        <v>0</v>
      </c>
      <c r="P1875" t="n">
        <v>0</v>
      </c>
      <c r="Q1875" t="n">
        <v>0</v>
      </c>
      <c r="R1875" s="2" t="inlineStr"/>
    </row>
    <row r="1876" ht="15" customHeight="1">
      <c r="A1876" t="inlineStr">
        <is>
          <t>A 25980-2021</t>
        </is>
      </c>
      <c r="B1876" s="1" t="n">
        <v>44344.56225694445</v>
      </c>
      <c r="C1876" s="1" t="n">
        <v>46093</v>
      </c>
      <c r="D1876" t="inlineStr">
        <is>
          <t>VÄSTERNORRLANDS LÄN</t>
        </is>
      </c>
      <c r="E1876" t="inlineStr">
        <is>
          <t>SUNDSVALL</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34126-2021</t>
        </is>
      </c>
      <c r="B1877" s="1" t="n">
        <v>44379.46511574074</v>
      </c>
      <c r="C1877" s="1" t="n">
        <v>46093</v>
      </c>
      <c r="D1877" t="inlineStr">
        <is>
          <t>VÄSTERNORRLANDS LÄN</t>
        </is>
      </c>
      <c r="E1877" t="inlineStr">
        <is>
          <t>ÖRNSKÖLDSVIK</t>
        </is>
      </c>
      <c r="F1877" t="inlineStr">
        <is>
          <t>Holmen skog AB</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34181-2021</t>
        </is>
      </c>
      <c r="B1878" s="1" t="n">
        <v>44379</v>
      </c>
      <c r="C1878" s="1" t="n">
        <v>46093</v>
      </c>
      <c r="D1878" t="inlineStr">
        <is>
          <t>VÄSTERNORRLANDS LÄN</t>
        </is>
      </c>
      <c r="E1878" t="inlineStr">
        <is>
          <t>KRAMFORS</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55912-2021</t>
        </is>
      </c>
      <c r="B1879" s="1" t="n">
        <v>44476.91979166667</v>
      </c>
      <c r="C1879" s="1" t="n">
        <v>46093</v>
      </c>
      <c r="D1879" t="inlineStr">
        <is>
          <t>VÄSTERNORRLANDS LÄN</t>
        </is>
      </c>
      <c r="E1879" t="inlineStr">
        <is>
          <t>ÅNGE</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3531-2022</t>
        </is>
      </c>
      <c r="B1880" s="1" t="n">
        <v>44585</v>
      </c>
      <c r="C1880" s="1" t="n">
        <v>46093</v>
      </c>
      <c r="D1880" t="inlineStr">
        <is>
          <t>VÄSTERNORRLANDS LÄN</t>
        </is>
      </c>
      <c r="E1880" t="inlineStr">
        <is>
          <t>HÄRNÖSAND</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5565-2022</t>
        </is>
      </c>
      <c r="B1881" s="1" t="n">
        <v>44595</v>
      </c>
      <c r="C1881" s="1" t="n">
        <v>46093</v>
      </c>
      <c r="D1881" t="inlineStr">
        <is>
          <t>VÄSTERNORRLANDS LÄN</t>
        </is>
      </c>
      <c r="E1881" t="inlineStr">
        <is>
          <t>ÅNGE</t>
        </is>
      </c>
      <c r="G1881" t="n">
        <v>0.3</v>
      </c>
      <c r="H1881" t="n">
        <v>0</v>
      </c>
      <c r="I1881" t="n">
        <v>0</v>
      </c>
      <c r="J1881" t="n">
        <v>0</v>
      </c>
      <c r="K1881" t="n">
        <v>0</v>
      </c>
      <c r="L1881" t="n">
        <v>0</v>
      </c>
      <c r="M1881" t="n">
        <v>0</v>
      </c>
      <c r="N1881" t="n">
        <v>0</v>
      </c>
      <c r="O1881" t="n">
        <v>0</v>
      </c>
      <c r="P1881" t="n">
        <v>0</v>
      </c>
      <c r="Q1881" t="n">
        <v>0</v>
      </c>
      <c r="R1881" s="2" t="inlineStr"/>
    </row>
    <row r="1882" ht="15" customHeight="1">
      <c r="A1882" t="inlineStr">
        <is>
          <t>A 30606-2021</t>
        </is>
      </c>
      <c r="B1882" s="1" t="n">
        <v>44364</v>
      </c>
      <c r="C1882" s="1" t="n">
        <v>46093</v>
      </c>
      <c r="D1882" t="inlineStr">
        <is>
          <t>VÄSTERNORRLANDS LÄN</t>
        </is>
      </c>
      <c r="E1882" t="inlineStr">
        <is>
          <t>ÖRNSKÖLDSVIK</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23016-2021</t>
        </is>
      </c>
      <c r="B1883" s="1" t="n">
        <v>44328.92197916667</v>
      </c>
      <c r="C1883" s="1" t="n">
        <v>46093</v>
      </c>
      <c r="D1883" t="inlineStr">
        <is>
          <t>VÄSTERNORRLANDS LÄN</t>
        </is>
      </c>
      <c r="E1883" t="inlineStr">
        <is>
          <t>ÅNGE</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23034-2021</t>
        </is>
      </c>
      <c r="B1884" s="1" t="n">
        <v>44328.94113425926</v>
      </c>
      <c r="C1884" s="1" t="n">
        <v>46093</v>
      </c>
      <c r="D1884" t="inlineStr">
        <is>
          <t>VÄSTERNORRLANDS LÄN</t>
        </is>
      </c>
      <c r="E1884" t="inlineStr">
        <is>
          <t>SOLLEFTEÅ</t>
        </is>
      </c>
      <c r="F1884" t="inlineStr">
        <is>
          <t>SCA</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61426-2021</t>
        </is>
      </c>
      <c r="B1885" s="1" t="n">
        <v>44500</v>
      </c>
      <c r="C1885" s="1" t="n">
        <v>46093</v>
      </c>
      <c r="D1885" t="inlineStr">
        <is>
          <t>VÄSTERNORRLANDS LÄN</t>
        </is>
      </c>
      <c r="E1885" t="inlineStr">
        <is>
          <t>SOLLEFTEÅ</t>
        </is>
      </c>
      <c r="F1885" t="inlineStr">
        <is>
          <t>SCA</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28829-2021</t>
        </is>
      </c>
      <c r="B1886" s="1" t="n">
        <v>44357</v>
      </c>
      <c r="C1886" s="1" t="n">
        <v>46093</v>
      </c>
      <c r="D1886" t="inlineStr">
        <is>
          <t>VÄSTERNORRLANDS LÄN</t>
        </is>
      </c>
      <c r="E1886" t="inlineStr">
        <is>
          <t>SUNDSVALL</t>
        </is>
      </c>
      <c r="F1886" t="inlineStr">
        <is>
          <t>Holmen skog AB</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22101-2022</t>
        </is>
      </c>
      <c r="B1887" s="1" t="n">
        <v>44711.94153935185</v>
      </c>
      <c r="C1887" s="1" t="n">
        <v>46093</v>
      </c>
      <c r="D1887" t="inlineStr">
        <is>
          <t>VÄSTERNORRLANDS LÄN</t>
        </is>
      </c>
      <c r="E1887" t="inlineStr">
        <is>
          <t>SOLLEFTEÅ</t>
        </is>
      </c>
      <c r="F1887" t="inlineStr">
        <is>
          <t>SCA</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60620-2021</t>
        </is>
      </c>
      <c r="B1888" s="1" t="n">
        <v>44496</v>
      </c>
      <c r="C1888" s="1" t="n">
        <v>46093</v>
      </c>
      <c r="D1888" t="inlineStr">
        <is>
          <t>VÄSTERNORRLANDS LÄN</t>
        </is>
      </c>
      <c r="E1888" t="inlineStr">
        <is>
          <t>ÖRNSKÖLDSVIK</t>
        </is>
      </c>
      <c r="F1888" t="inlineStr">
        <is>
          <t>Holmen skog AB</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20296-2021</t>
        </is>
      </c>
      <c r="B1889" s="1" t="n">
        <v>44314</v>
      </c>
      <c r="C1889" s="1" t="n">
        <v>46093</v>
      </c>
      <c r="D1889" t="inlineStr">
        <is>
          <t>VÄSTERNORRLANDS LÄN</t>
        </is>
      </c>
      <c r="E1889" t="inlineStr">
        <is>
          <t>KRAMFORS</t>
        </is>
      </c>
      <c r="F1889" t="inlineStr">
        <is>
          <t>SCA</t>
        </is>
      </c>
      <c r="G1889" t="n">
        <v>5.4</v>
      </c>
      <c r="H1889" t="n">
        <v>0</v>
      </c>
      <c r="I1889" t="n">
        <v>0</v>
      </c>
      <c r="J1889" t="n">
        <v>0</v>
      </c>
      <c r="K1889" t="n">
        <v>0</v>
      </c>
      <c r="L1889" t="n">
        <v>0</v>
      </c>
      <c r="M1889" t="n">
        <v>0</v>
      </c>
      <c r="N1889" t="n">
        <v>0</v>
      </c>
      <c r="O1889" t="n">
        <v>0</v>
      </c>
      <c r="P1889" t="n">
        <v>0</v>
      </c>
      <c r="Q1889" t="n">
        <v>0</v>
      </c>
      <c r="R1889" s="2" t="inlineStr"/>
    </row>
    <row r="1890" ht="15" customHeight="1">
      <c r="A1890" t="inlineStr">
        <is>
          <t>A 24505-2021</t>
        </is>
      </c>
      <c r="B1890" s="1" t="n">
        <v>44337.92274305555</v>
      </c>
      <c r="C1890" s="1" t="n">
        <v>46093</v>
      </c>
      <c r="D1890" t="inlineStr">
        <is>
          <t>VÄSTERNORRLANDS LÄN</t>
        </is>
      </c>
      <c r="E1890" t="inlineStr">
        <is>
          <t>SUNDSVALL</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21427-2021</t>
        </is>
      </c>
      <c r="B1891" s="1" t="n">
        <v>44320</v>
      </c>
      <c r="C1891" s="1" t="n">
        <v>46093</v>
      </c>
      <c r="D1891" t="inlineStr">
        <is>
          <t>VÄSTERNORRLANDS LÄN</t>
        </is>
      </c>
      <c r="E1891" t="inlineStr">
        <is>
          <t>SUNDSVALL</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21501-2021</t>
        </is>
      </c>
      <c r="B1892" s="1" t="n">
        <v>44320</v>
      </c>
      <c r="C1892" s="1" t="n">
        <v>46093</v>
      </c>
      <c r="D1892" t="inlineStr">
        <is>
          <t>VÄSTERNORRLANDS LÄN</t>
        </is>
      </c>
      <c r="E1892" t="inlineStr">
        <is>
          <t>KRAMFORS</t>
        </is>
      </c>
      <c r="G1892" t="n">
        <v>3.8</v>
      </c>
      <c r="H1892" t="n">
        <v>0</v>
      </c>
      <c r="I1892" t="n">
        <v>0</v>
      </c>
      <c r="J1892" t="n">
        <v>0</v>
      </c>
      <c r="K1892" t="n">
        <v>0</v>
      </c>
      <c r="L1892" t="n">
        <v>0</v>
      </c>
      <c r="M1892" t="n">
        <v>0</v>
      </c>
      <c r="N1892" t="n">
        <v>0</v>
      </c>
      <c r="O1892" t="n">
        <v>0</v>
      </c>
      <c r="P1892" t="n">
        <v>0</v>
      </c>
      <c r="Q1892" t="n">
        <v>0</v>
      </c>
      <c r="R1892" s="2" t="inlineStr"/>
    </row>
    <row r="1893" ht="15" customHeight="1">
      <c r="A1893" t="inlineStr">
        <is>
          <t>A 26416-2022</t>
        </is>
      </c>
      <c r="B1893" s="1" t="n">
        <v>44735.94130787037</v>
      </c>
      <c r="C1893" s="1" t="n">
        <v>46093</v>
      </c>
      <c r="D1893" t="inlineStr">
        <is>
          <t>VÄSTERNORRLANDS LÄN</t>
        </is>
      </c>
      <c r="E1893" t="inlineStr">
        <is>
          <t>SOLLEFTEÅ</t>
        </is>
      </c>
      <c r="F1893" t="inlineStr">
        <is>
          <t>SCA</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35151-2021</t>
        </is>
      </c>
      <c r="B1894" s="1" t="n">
        <v>44384</v>
      </c>
      <c r="C1894" s="1" t="n">
        <v>46093</v>
      </c>
      <c r="D1894" t="inlineStr">
        <is>
          <t>VÄSTERNORRLANDS LÄN</t>
        </is>
      </c>
      <c r="E1894" t="inlineStr">
        <is>
          <t>ÖRNSKÖLDSVIK</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66191-2021</t>
        </is>
      </c>
      <c r="B1895" s="1" t="n">
        <v>44517</v>
      </c>
      <c r="C1895" s="1" t="n">
        <v>46093</v>
      </c>
      <c r="D1895" t="inlineStr">
        <is>
          <t>VÄSTERNORRLANDS LÄN</t>
        </is>
      </c>
      <c r="E1895" t="inlineStr">
        <is>
          <t>SUNDSVALL</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51163-2021</t>
        </is>
      </c>
      <c r="B1896" s="1" t="n">
        <v>44461.4665625</v>
      </c>
      <c r="C1896" s="1" t="n">
        <v>46093</v>
      </c>
      <c r="D1896" t="inlineStr">
        <is>
          <t>VÄSTERNORRLANDS LÄN</t>
        </is>
      </c>
      <c r="E1896" t="inlineStr">
        <is>
          <t>ÅNGE</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51599-2021</t>
        </is>
      </c>
      <c r="B1897" s="1" t="n">
        <v>44461</v>
      </c>
      <c r="C1897" s="1" t="n">
        <v>46093</v>
      </c>
      <c r="D1897" t="inlineStr">
        <is>
          <t>VÄSTERNORRLANDS LÄN</t>
        </is>
      </c>
      <c r="E1897" t="inlineStr">
        <is>
          <t>SUNDSVALL</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51601-2021</t>
        </is>
      </c>
      <c r="B1898" s="1" t="n">
        <v>44461</v>
      </c>
      <c r="C1898" s="1" t="n">
        <v>46093</v>
      </c>
      <c r="D1898" t="inlineStr">
        <is>
          <t>VÄSTERNORRLANDS LÄN</t>
        </is>
      </c>
      <c r="E1898" t="inlineStr">
        <is>
          <t>ÖRNSKÖLDSVIK</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30039-2022</t>
        </is>
      </c>
      <c r="B1899" s="1" t="n">
        <v>44756.94572916667</v>
      </c>
      <c r="C1899" s="1" t="n">
        <v>46093</v>
      </c>
      <c r="D1899" t="inlineStr">
        <is>
          <t>VÄSTERNORRLANDS LÄN</t>
        </is>
      </c>
      <c r="E1899" t="inlineStr">
        <is>
          <t>SOLLEFTEÅ</t>
        </is>
      </c>
      <c r="F1899" t="inlineStr">
        <is>
          <t>SCA</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47547-2021</t>
        </is>
      </c>
      <c r="B1900" s="1" t="n">
        <v>44447</v>
      </c>
      <c r="C1900" s="1" t="n">
        <v>46093</v>
      </c>
      <c r="D1900" t="inlineStr">
        <is>
          <t>VÄSTERNORRLANDS LÄN</t>
        </is>
      </c>
      <c r="E1900" t="inlineStr">
        <is>
          <t>HÄRNÖSAND</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65597-2021</t>
        </is>
      </c>
      <c r="B1901" s="1" t="n">
        <v>44516</v>
      </c>
      <c r="C1901" s="1" t="n">
        <v>46093</v>
      </c>
      <c r="D1901" t="inlineStr">
        <is>
          <t>VÄSTERNORRLANDS LÄN</t>
        </is>
      </c>
      <c r="E1901" t="inlineStr">
        <is>
          <t>SUNDSVALL</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40483-2022</t>
        </is>
      </c>
      <c r="B1902" s="1" t="n">
        <v>44823.56631944444</v>
      </c>
      <c r="C1902" s="1" t="n">
        <v>46093</v>
      </c>
      <c r="D1902" t="inlineStr">
        <is>
          <t>VÄSTERNORRLANDS LÄN</t>
        </is>
      </c>
      <c r="E1902" t="inlineStr">
        <is>
          <t>ÖRNSKÖLDSVIK</t>
        </is>
      </c>
      <c r="F1902" t="inlineStr">
        <is>
          <t>Holmen skog AB</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33722-2021</t>
        </is>
      </c>
      <c r="B1903" s="1" t="n">
        <v>44378</v>
      </c>
      <c r="C1903" s="1" t="n">
        <v>46093</v>
      </c>
      <c r="D1903" t="inlineStr">
        <is>
          <t>VÄSTERNORRLANDS LÄN</t>
        </is>
      </c>
      <c r="E1903" t="inlineStr">
        <is>
          <t>ÖRNSKÖLDSVIK</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61424-2021</t>
        </is>
      </c>
      <c r="B1904" s="1" t="n">
        <v>44500.93637731481</v>
      </c>
      <c r="C1904" s="1" t="n">
        <v>46093</v>
      </c>
      <c r="D1904" t="inlineStr">
        <is>
          <t>VÄSTERNORRLANDS LÄN</t>
        </is>
      </c>
      <c r="E1904" t="inlineStr">
        <is>
          <t>SOLLEFTEÅ</t>
        </is>
      </c>
      <c r="F1904" t="inlineStr">
        <is>
          <t>SCA</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692-2022</t>
        </is>
      </c>
      <c r="B1905" s="1" t="n">
        <v>44566</v>
      </c>
      <c r="C1905" s="1" t="n">
        <v>46093</v>
      </c>
      <c r="D1905" t="inlineStr">
        <is>
          <t>VÄSTERNORRLANDS LÄN</t>
        </is>
      </c>
      <c r="E1905" t="inlineStr">
        <is>
          <t>KRAMFORS</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699-2022</t>
        </is>
      </c>
      <c r="B1906" s="1" t="n">
        <v>44568</v>
      </c>
      <c r="C1906" s="1" t="n">
        <v>46093</v>
      </c>
      <c r="D1906" t="inlineStr">
        <is>
          <t>VÄSTERNORRLANDS LÄN</t>
        </is>
      </c>
      <c r="E1906" t="inlineStr">
        <is>
          <t>ÖRNSKÖLDSVIK</t>
        </is>
      </c>
      <c r="G1906" t="n">
        <v>4.5</v>
      </c>
      <c r="H1906" t="n">
        <v>0</v>
      </c>
      <c r="I1906" t="n">
        <v>0</v>
      </c>
      <c r="J1906" t="n">
        <v>0</v>
      </c>
      <c r="K1906" t="n">
        <v>0</v>
      </c>
      <c r="L1906" t="n">
        <v>0</v>
      </c>
      <c r="M1906" t="n">
        <v>0</v>
      </c>
      <c r="N1906" t="n">
        <v>0</v>
      </c>
      <c r="O1906" t="n">
        <v>0</v>
      </c>
      <c r="P1906" t="n">
        <v>0</v>
      </c>
      <c r="Q1906" t="n">
        <v>0</v>
      </c>
      <c r="R1906" s="2" t="inlineStr"/>
    </row>
    <row r="1907" ht="15" customHeight="1">
      <c r="A1907" t="inlineStr">
        <is>
          <t>A 58755-2021</t>
        </is>
      </c>
      <c r="B1907" s="1" t="n">
        <v>44489</v>
      </c>
      <c r="C1907" s="1" t="n">
        <v>46093</v>
      </c>
      <c r="D1907" t="inlineStr">
        <is>
          <t>VÄSTERNORRLANDS LÄN</t>
        </is>
      </c>
      <c r="E1907" t="inlineStr">
        <is>
          <t>SOLLEFTEÅ</t>
        </is>
      </c>
      <c r="G1907" t="n">
        <v>12.2</v>
      </c>
      <c r="H1907" t="n">
        <v>0</v>
      </c>
      <c r="I1907" t="n">
        <v>0</v>
      </c>
      <c r="J1907" t="n">
        <v>0</v>
      </c>
      <c r="K1907" t="n">
        <v>0</v>
      </c>
      <c r="L1907" t="n">
        <v>0</v>
      </c>
      <c r="M1907" t="n">
        <v>0</v>
      </c>
      <c r="N1907" t="n">
        <v>0</v>
      </c>
      <c r="O1907" t="n">
        <v>0</v>
      </c>
      <c r="P1907" t="n">
        <v>0</v>
      </c>
      <c r="Q1907" t="n">
        <v>0</v>
      </c>
      <c r="R1907" s="2" t="inlineStr"/>
    </row>
    <row r="1908" ht="15" customHeight="1">
      <c r="A1908" t="inlineStr">
        <is>
          <t>A 63163-2021</t>
        </is>
      </c>
      <c r="B1908" s="1" t="n">
        <v>44505</v>
      </c>
      <c r="C1908" s="1" t="n">
        <v>46093</v>
      </c>
      <c r="D1908" t="inlineStr">
        <is>
          <t>VÄSTERNORRLANDS LÄN</t>
        </is>
      </c>
      <c r="E1908" t="inlineStr">
        <is>
          <t>SUNDSVALL</t>
        </is>
      </c>
      <c r="F1908" t="inlineStr">
        <is>
          <t>SCA</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32483-2021</t>
        </is>
      </c>
      <c r="B1909" s="1" t="n">
        <v>44371</v>
      </c>
      <c r="C1909" s="1" t="n">
        <v>46093</v>
      </c>
      <c r="D1909" t="inlineStr">
        <is>
          <t>VÄSTERNORRLANDS LÄN</t>
        </is>
      </c>
      <c r="E1909" t="inlineStr">
        <is>
          <t>TIMRÅ</t>
        </is>
      </c>
      <c r="F1909" t="inlineStr">
        <is>
          <t>Kyrkan</t>
        </is>
      </c>
      <c r="G1909" t="n">
        <v>6.3</v>
      </c>
      <c r="H1909" t="n">
        <v>0</v>
      </c>
      <c r="I1909" t="n">
        <v>0</v>
      </c>
      <c r="J1909" t="n">
        <v>0</v>
      </c>
      <c r="K1909" t="n">
        <v>0</v>
      </c>
      <c r="L1909" t="n">
        <v>0</v>
      </c>
      <c r="M1909" t="n">
        <v>0</v>
      </c>
      <c r="N1909" t="n">
        <v>0</v>
      </c>
      <c r="O1909" t="n">
        <v>0</v>
      </c>
      <c r="P1909" t="n">
        <v>0</v>
      </c>
      <c r="Q1909" t="n">
        <v>0</v>
      </c>
      <c r="R1909" s="2" t="inlineStr"/>
    </row>
    <row r="1910" ht="15" customHeight="1">
      <c r="A1910" t="inlineStr">
        <is>
          <t>A 66229-2021</t>
        </is>
      </c>
      <c r="B1910" s="1" t="n">
        <v>44518.3875</v>
      </c>
      <c r="C1910" s="1" t="n">
        <v>46093</v>
      </c>
      <c r="D1910" t="inlineStr">
        <is>
          <t>VÄSTERNORRLANDS LÄN</t>
        </is>
      </c>
      <c r="E1910" t="inlineStr">
        <is>
          <t>ÅNGE</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17643-2021</t>
        </is>
      </c>
      <c r="B1911" s="1" t="n">
        <v>44299</v>
      </c>
      <c r="C1911" s="1" t="n">
        <v>46093</v>
      </c>
      <c r="D1911" t="inlineStr">
        <is>
          <t>VÄSTERNORRLANDS LÄN</t>
        </is>
      </c>
      <c r="E1911" t="inlineStr">
        <is>
          <t>ÖRNSKÖLDSVIK</t>
        </is>
      </c>
      <c r="G1911" t="n">
        <v>4</v>
      </c>
      <c r="H1911" t="n">
        <v>0</v>
      </c>
      <c r="I1911" t="n">
        <v>0</v>
      </c>
      <c r="J1911" t="n">
        <v>0</v>
      </c>
      <c r="K1911" t="n">
        <v>0</v>
      </c>
      <c r="L1911" t="n">
        <v>0</v>
      </c>
      <c r="M1911" t="n">
        <v>0</v>
      </c>
      <c r="N1911" t="n">
        <v>0</v>
      </c>
      <c r="O1911" t="n">
        <v>0</v>
      </c>
      <c r="P1911" t="n">
        <v>0</v>
      </c>
      <c r="Q1911" t="n">
        <v>0</v>
      </c>
      <c r="R1911" s="2" t="inlineStr"/>
    </row>
    <row r="1912" ht="15" customHeight="1">
      <c r="A1912" t="inlineStr">
        <is>
          <t>A 72008-2021</t>
        </is>
      </c>
      <c r="B1912" s="1" t="n">
        <v>44540</v>
      </c>
      <c r="C1912" s="1" t="n">
        <v>46093</v>
      </c>
      <c r="D1912" t="inlineStr">
        <is>
          <t>VÄSTERNORRLANDS LÄN</t>
        </is>
      </c>
      <c r="E1912" t="inlineStr">
        <is>
          <t>KRAMFORS</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33911-2022</t>
        </is>
      </c>
      <c r="B1913" s="1" t="n">
        <v>44790.63175925926</v>
      </c>
      <c r="C1913" s="1" t="n">
        <v>46093</v>
      </c>
      <c r="D1913" t="inlineStr">
        <is>
          <t>VÄSTERNORRLANDS LÄN</t>
        </is>
      </c>
      <c r="E1913" t="inlineStr">
        <is>
          <t>ÖRNSKÖLDSVIK</t>
        </is>
      </c>
      <c r="F1913" t="inlineStr">
        <is>
          <t>Holmen skog AB</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32091-2021</t>
        </is>
      </c>
      <c r="B1914" s="1" t="n">
        <v>44370</v>
      </c>
      <c r="C1914" s="1" t="n">
        <v>46093</v>
      </c>
      <c r="D1914" t="inlineStr">
        <is>
          <t>VÄSTERNORRLANDS LÄN</t>
        </is>
      </c>
      <c r="E1914" t="inlineStr">
        <is>
          <t>SOLLEFTEÅ</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35058-2021</t>
        </is>
      </c>
      <c r="B1915" s="1" t="n">
        <v>44383</v>
      </c>
      <c r="C1915" s="1" t="n">
        <v>46093</v>
      </c>
      <c r="D1915" t="inlineStr">
        <is>
          <t>VÄSTERNORRLANDS LÄN</t>
        </is>
      </c>
      <c r="E1915" t="inlineStr">
        <is>
          <t>ÅNGE</t>
        </is>
      </c>
      <c r="F1915" t="inlineStr">
        <is>
          <t>SCA</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35079-2021</t>
        </is>
      </c>
      <c r="B1916" s="1" t="n">
        <v>44383</v>
      </c>
      <c r="C1916" s="1" t="n">
        <v>46093</v>
      </c>
      <c r="D1916" t="inlineStr">
        <is>
          <t>VÄSTERNORRLANDS LÄN</t>
        </is>
      </c>
      <c r="E1916" t="inlineStr">
        <is>
          <t>ÅNGE</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20005-2022</t>
        </is>
      </c>
      <c r="B1917" s="1" t="n">
        <v>44697</v>
      </c>
      <c r="C1917" s="1" t="n">
        <v>46093</v>
      </c>
      <c r="D1917" t="inlineStr">
        <is>
          <t>VÄSTERNORRLANDS LÄN</t>
        </is>
      </c>
      <c r="E1917" t="inlineStr">
        <is>
          <t>HÄRNÖSAND</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15943-2021</t>
        </is>
      </c>
      <c r="B1918" s="1" t="n">
        <v>44287.44434027778</v>
      </c>
      <c r="C1918" s="1" t="n">
        <v>46093</v>
      </c>
      <c r="D1918" t="inlineStr">
        <is>
          <t>VÄSTERNORRLANDS LÄN</t>
        </is>
      </c>
      <c r="E1918" t="inlineStr">
        <is>
          <t>ÖRNSKÖLDSVIK</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68792-2021</t>
        </is>
      </c>
      <c r="B1919" s="1" t="n">
        <v>44529.94640046296</v>
      </c>
      <c r="C1919" s="1" t="n">
        <v>46093</v>
      </c>
      <c r="D1919" t="inlineStr">
        <is>
          <t>VÄSTERNORRLANDS LÄN</t>
        </is>
      </c>
      <c r="E1919" t="inlineStr">
        <is>
          <t>SOLLEFTEÅ</t>
        </is>
      </c>
      <c r="F1919" t="inlineStr">
        <is>
          <t>SCA</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40539-2021</t>
        </is>
      </c>
      <c r="B1920" s="1" t="n">
        <v>44420</v>
      </c>
      <c r="C1920" s="1" t="n">
        <v>46093</v>
      </c>
      <c r="D1920" t="inlineStr">
        <is>
          <t>VÄSTERNORRLANDS LÄN</t>
        </is>
      </c>
      <c r="E1920" t="inlineStr">
        <is>
          <t>SOLLEFTEÅ</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19178-2022</t>
        </is>
      </c>
      <c r="B1921" s="1" t="n">
        <v>44691</v>
      </c>
      <c r="C1921" s="1" t="n">
        <v>46093</v>
      </c>
      <c r="D1921" t="inlineStr">
        <is>
          <t>VÄSTERNORRLANDS LÄN</t>
        </is>
      </c>
      <c r="E1921" t="inlineStr">
        <is>
          <t>SUNDSVALL</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40160-2021</t>
        </is>
      </c>
      <c r="B1922" s="1" t="n">
        <v>44418.6568287037</v>
      </c>
      <c r="C1922" s="1" t="n">
        <v>46093</v>
      </c>
      <c r="D1922" t="inlineStr">
        <is>
          <t>VÄSTERNORRLANDS LÄN</t>
        </is>
      </c>
      <c r="E1922" t="inlineStr">
        <is>
          <t>SUNDSVALL</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4939-2022</t>
        </is>
      </c>
      <c r="B1923" s="1" t="n">
        <v>44593.50019675926</v>
      </c>
      <c r="C1923" s="1" t="n">
        <v>46093</v>
      </c>
      <c r="D1923" t="inlineStr">
        <is>
          <t>VÄSTERNORRLANDS LÄN</t>
        </is>
      </c>
      <c r="E1923" t="inlineStr">
        <is>
          <t>ÅNGE</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35448-2022</t>
        </is>
      </c>
      <c r="B1924" s="1" t="n">
        <v>44798</v>
      </c>
      <c r="C1924" s="1" t="n">
        <v>46093</v>
      </c>
      <c r="D1924" t="inlineStr">
        <is>
          <t>VÄSTERNORRLANDS LÄN</t>
        </is>
      </c>
      <c r="E1924" t="inlineStr">
        <is>
          <t>TIMRÅ</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42344-2021</t>
        </is>
      </c>
      <c r="B1925" s="1" t="n">
        <v>44427</v>
      </c>
      <c r="C1925" s="1" t="n">
        <v>46093</v>
      </c>
      <c r="D1925" t="inlineStr">
        <is>
          <t>VÄSTERNORRLANDS LÄN</t>
        </is>
      </c>
      <c r="E1925" t="inlineStr">
        <is>
          <t>ÖRNSKÖLDSVIK</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1335-2022</t>
        </is>
      </c>
      <c r="B1926" s="1" t="n">
        <v>44572.92060185185</v>
      </c>
      <c r="C1926" s="1" t="n">
        <v>46093</v>
      </c>
      <c r="D1926" t="inlineStr">
        <is>
          <t>VÄSTERNORRLANDS LÄN</t>
        </is>
      </c>
      <c r="E1926" t="inlineStr">
        <is>
          <t>SUNDSVALL</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33201-2022</t>
        </is>
      </c>
      <c r="B1927" s="1" t="n">
        <v>44785</v>
      </c>
      <c r="C1927" s="1" t="n">
        <v>46093</v>
      </c>
      <c r="D1927" t="inlineStr">
        <is>
          <t>VÄSTERNORRLANDS LÄN</t>
        </is>
      </c>
      <c r="E1927" t="inlineStr">
        <is>
          <t>ÖRNSKÖLDSVIK</t>
        </is>
      </c>
      <c r="F1927" t="inlineStr">
        <is>
          <t>Kyrkan</t>
        </is>
      </c>
      <c r="G1927" t="n">
        <v>10</v>
      </c>
      <c r="H1927" t="n">
        <v>0</v>
      </c>
      <c r="I1927" t="n">
        <v>0</v>
      </c>
      <c r="J1927" t="n">
        <v>0</v>
      </c>
      <c r="K1927" t="n">
        <v>0</v>
      </c>
      <c r="L1927" t="n">
        <v>0</v>
      </c>
      <c r="M1927" t="n">
        <v>0</v>
      </c>
      <c r="N1927" t="n">
        <v>0</v>
      </c>
      <c r="O1927" t="n">
        <v>0</v>
      </c>
      <c r="P1927" t="n">
        <v>0</v>
      </c>
      <c r="Q1927" t="n">
        <v>0</v>
      </c>
      <c r="R1927" s="2" t="inlineStr"/>
    </row>
    <row r="1928" ht="15" customHeight="1">
      <c r="A1928" t="inlineStr">
        <is>
          <t>A 50411-2021</t>
        </is>
      </c>
      <c r="B1928" s="1" t="n">
        <v>44459</v>
      </c>
      <c r="C1928" s="1" t="n">
        <v>46093</v>
      </c>
      <c r="D1928" t="inlineStr">
        <is>
          <t>VÄSTERNORRLANDS LÄN</t>
        </is>
      </c>
      <c r="E1928" t="inlineStr">
        <is>
          <t>ÖRNSKÖLDSVIK</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12758-2022</t>
        </is>
      </c>
      <c r="B1929" s="1" t="n">
        <v>44641</v>
      </c>
      <c r="C1929" s="1" t="n">
        <v>46093</v>
      </c>
      <c r="D1929" t="inlineStr">
        <is>
          <t>VÄSTERNORRLANDS LÄN</t>
        </is>
      </c>
      <c r="E1929" t="inlineStr">
        <is>
          <t>SOLLEFTEÅ</t>
        </is>
      </c>
      <c r="G1929" t="n">
        <v>0.1</v>
      </c>
      <c r="H1929" t="n">
        <v>0</v>
      </c>
      <c r="I1929" t="n">
        <v>0</v>
      </c>
      <c r="J1929" t="n">
        <v>0</v>
      </c>
      <c r="K1929" t="n">
        <v>0</v>
      </c>
      <c r="L1929" t="n">
        <v>0</v>
      </c>
      <c r="M1929" t="n">
        <v>0</v>
      </c>
      <c r="N1929" t="n">
        <v>0</v>
      </c>
      <c r="O1929" t="n">
        <v>0</v>
      </c>
      <c r="P1929" t="n">
        <v>0</v>
      </c>
      <c r="Q1929" t="n">
        <v>0</v>
      </c>
      <c r="R1929" s="2" t="inlineStr"/>
    </row>
    <row r="1930" ht="15" customHeight="1">
      <c r="A1930" t="inlineStr">
        <is>
          <t>A 68829-2021</t>
        </is>
      </c>
      <c r="B1930" s="1" t="n">
        <v>44529</v>
      </c>
      <c r="C1930" s="1" t="n">
        <v>46093</v>
      </c>
      <c r="D1930" t="inlineStr">
        <is>
          <t>VÄSTERNORRLANDS LÄN</t>
        </is>
      </c>
      <c r="E1930" t="inlineStr">
        <is>
          <t>ÖRNSKÖLDSVIK</t>
        </is>
      </c>
      <c r="G1930" t="n">
        <v>4.9</v>
      </c>
      <c r="H1930" t="n">
        <v>0</v>
      </c>
      <c r="I1930" t="n">
        <v>0</v>
      </c>
      <c r="J1930" t="n">
        <v>0</v>
      </c>
      <c r="K1930" t="n">
        <v>0</v>
      </c>
      <c r="L1930" t="n">
        <v>0</v>
      </c>
      <c r="M1930" t="n">
        <v>0</v>
      </c>
      <c r="N1930" t="n">
        <v>0</v>
      </c>
      <c r="O1930" t="n">
        <v>0</v>
      </c>
      <c r="P1930" t="n">
        <v>0</v>
      </c>
      <c r="Q1930" t="n">
        <v>0</v>
      </c>
      <c r="R1930" s="2" t="inlineStr"/>
    </row>
    <row r="1931" ht="15" customHeight="1">
      <c r="A1931" t="inlineStr">
        <is>
          <t>A 35109-2022</t>
        </is>
      </c>
      <c r="B1931" s="1" t="n">
        <v>44797.44364583334</v>
      </c>
      <c r="C1931" s="1" t="n">
        <v>46093</v>
      </c>
      <c r="D1931" t="inlineStr">
        <is>
          <t>VÄSTERNORRLANDS LÄN</t>
        </is>
      </c>
      <c r="E1931" t="inlineStr">
        <is>
          <t>ÖRNSKÖLDSVIK</t>
        </is>
      </c>
      <c r="F1931" t="inlineStr">
        <is>
          <t>Holmen skog AB</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39503-2021</t>
        </is>
      </c>
      <c r="B1932" s="1" t="n">
        <v>44414</v>
      </c>
      <c r="C1932" s="1" t="n">
        <v>46093</v>
      </c>
      <c r="D1932" t="inlineStr">
        <is>
          <t>VÄSTERNORRLANDS LÄN</t>
        </is>
      </c>
      <c r="E1932" t="inlineStr">
        <is>
          <t>SUNDSVALL</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18612-2022</t>
        </is>
      </c>
      <c r="B1933" s="1" t="n">
        <v>44687</v>
      </c>
      <c r="C1933" s="1" t="n">
        <v>46093</v>
      </c>
      <c r="D1933" t="inlineStr">
        <is>
          <t>VÄSTERNORRLANDS LÄN</t>
        </is>
      </c>
      <c r="E1933" t="inlineStr">
        <is>
          <t>KRAMFORS</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47914-2021</t>
        </is>
      </c>
      <c r="B1934" s="1" t="n">
        <v>44448.92056712963</v>
      </c>
      <c r="C1934" s="1" t="n">
        <v>46093</v>
      </c>
      <c r="D1934" t="inlineStr">
        <is>
          <t>VÄSTERNORRLANDS LÄN</t>
        </is>
      </c>
      <c r="E1934" t="inlineStr">
        <is>
          <t>SUNDSVALL</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25295-2022</t>
        </is>
      </c>
      <c r="B1935" s="1" t="n">
        <v>44730.94094907407</v>
      </c>
      <c r="C1935" s="1" t="n">
        <v>46093</v>
      </c>
      <c r="D1935" t="inlineStr">
        <is>
          <t>VÄSTERNORRLANDS LÄN</t>
        </is>
      </c>
      <c r="E1935" t="inlineStr">
        <is>
          <t>SOLLEFTEÅ</t>
        </is>
      </c>
      <c r="F1935" t="inlineStr">
        <is>
          <t>SCA</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832-2022</t>
        </is>
      </c>
      <c r="B1936" s="1" t="n">
        <v>44568</v>
      </c>
      <c r="C1936" s="1" t="n">
        <v>46093</v>
      </c>
      <c r="D1936" t="inlineStr">
        <is>
          <t>VÄSTERNORRLANDS LÄN</t>
        </is>
      </c>
      <c r="E1936" t="inlineStr">
        <is>
          <t>ÖRNSKÖLDSVIK</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50125-2021</t>
        </is>
      </c>
      <c r="B1937" s="1" t="n">
        <v>44456</v>
      </c>
      <c r="C1937" s="1" t="n">
        <v>46093</v>
      </c>
      <c r="D1937" t="inlineStr">
        <is>
          <t>VÄSTERNORRLANDS LÄN</t>
        </is>
      </c>
      <c r="E1937" t="inlineStr">
        <is>
          <t>ÅNGE</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24277-2021</t>
        </is>
      </c>
      <c r="B1938" s="1" t="n">
        <v>44336</v>
      </c>
      <c r="C1938" s="1" t="n">
        <v>46093</v>
      </c>
      <c r="D1938" t="inlineStr">
        <is>
          <t>VÄSTERNORRLANDS LÄN</t>
        </is>
      </c>
      <c r="E1938" t="inlineStr">
        <is>
          <t>ÖRNSKÖLDSVIK</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5303-2022</t>
        </is>
      </c>
      <c r="B1939" s="1" t="n">
        <v>44594</v>
      </c>
      <c r="C1939" s="1" t="n">
        <v>46093</v>
      </c>
      <c r="D1939" t="inlineStr">
        <is>
          <t>VÄSTERNORRLANDS LÄN</t>
        </is>
      </c>
      <c r="E1939" t="inlineStr">
        <is>
          <t>KRAMFORS</t>
        </is>
      </c>
      <c r="G1939" t="n">
        <v>0.2</v>
      </c>
      <c r="H1939" t="n">
        <v>0</v>
      </c>
      <c r="I1939" t="n">
        <v>0</v>
      </c>
      <c r="J1939" t="n">
        <v>0</v>
      </c>
      <c r="K1939" t="n">
        <v>0</v>
      </c>
      <c r="L1939" t="n">
        <v>0</v>
      </c>
      <c r="M1939" t="n">
        <v>0</v>
      </c>
      <c r="N1939" t="n">
        <v>0</v>
      </c>
      <c r="O1939" t="n">
        <v>0</v>
      </c>
      <c r="P1939" t="n">
        <v>0</v>
      </c>
      <c r="Q1939" t="n">
        <v>0</v>
      </c>
      <c r="R1939" s="2" t="inlineStr"/>
    </row>
    <row r="1940" ht="15" customHeight="1">
      <c r="A1940" t="inlineStr">
        <is>
          <t>A 20947-2022</t>
        </is>
      </c>
      <c r="B1940" s="1" t="n">
        <v>44701.93956018519</v>
      </c>
      <c r="C1940" s="1" t="n">
        <v>46093</v>
      </c>
      <c r="D1940" t="inlineStr">
        <is>
          <t>VÄSTERNORRLANDS LÄN</t>
        </is>
      </c>
      <c r="E1940" t="inlineStr">
        <is>
          <t>SUNDSVALL</t>
        </is>
      </c>
      <c r="F1940" t="inlineStr">
        <is>
          <t>SCA</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11133-2022</t>
        </is>
      </c>
      <c r="B1941" s="1" t="n">
        <v>44628</v>
      </c>
      <c r="C1941" s="1" t="n">
        <v>46093</v>
      </c>
      <c r="D1941" t="inlineStr">
        <is>
          <t>VÄSTERNORRLANDS LÄN</t>
        </is>
      </c>
      <c r="E1941" t="inlineStr">
        <is>
          <t>SOLLEFTEÅ</t>
        </is>
      </c>
      <c r="F1941" t="inlineStr">
        <is>
          <t>SCA</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46948-2021</t>
        </is>
      </c>
      <c r="B1942" s="1" t="n">
        <v>44446</v>
      </c>
      <c r="C1942" s="1" t="n">
        <v>46093</v>
      </c>
      <c r="D1942" t="inlineStr">
        <is>
          <t>VÄSTERNORRLANDS LÄN</t>
        </is>
      </c>
      <c r="E1942" t="inlineStr">
        <is>
          <t>ÖRNSKÖLDSVIK</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33121-2021</t>
        </is>
      </c>
      <c r="B1943" s="1" t="n">
        <v>44376.64336805556</v>
      </c>
      <c r="C1943" s="1" t="n">
        <v>46093</v>
      </c>
      <c r="D1943" t="inlineStr">
        <is>
          <t>VÄSTERNORRLANDS LÄN</t>
        </is>
      </c>
      <c r="E1943" t="inlineStr">
        <is>
          <t>ÖRNSKÖLDSVIK</t>
        </is>
      </c>
      <c r="G1943" t="n">
        <v>16.6</v>
      </c>
      <c r="H1943" t="n">
        <v>0</v>
      </c>
      <c r="I1943" t="n">
        <v>0</v>
      </c>
      <c r="J1943" t="n">
        <v>0</v>
      </c>
      <c r="K1943" t="n">
        <v>0</v>
      </c>
      <c r="L1943" t="n">
        <v>0</v>
      </c>
      <c r="M1943" t="n">
        <v>0</v>
      </c>
      <c r="N1943" t="n">
        <v>0</v>
      </c>
      <c r="O1943" t="n">
        <v>0</v>
      </c>
      <c r="P1943" t="n">
        <v>0</v>
      </c>
      <c r="Q1943" t="n">
        <v>0</v>
      </c>
      <c r="R1943" s="2" t="inlineStr"/>
    </row>
    <row r="1944" ht="15" customHeight="1">
      <c r="A1944" t="inlineStr">
        <is>
          <t>A 23200-2022</t>
        </is>
      </c>
      <c r="B1944" s="1" t="n">
        <v>44719.92601851852</v>
      </c>
      <c r="C1944" s="1" t="n">
        <v>46093</v>
      </c>
      <c r="D1944" t="inlineStr">
        <is>
          <t>VÄSTERNORRLANDS LÄN</t>
        </is>
      </c>
      <c r="E1944" t="inlineStr">
        <is>
          <t>KRAMFORS</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6898-2022</t>
        </is>
      </c>
      <c r="B1945" s="1" t="n">
        <v>44602.92141203704</v>
      </c>
      <c r="C1945" s="1" t="n">
        <v>46093</v>
      </c>
      <c r="D1945" t="inlineStr">
        <is>
          <t>VÄSTERNORRLANDS LÄN</t>
        </is>
      </c>
      <c r="E1945" t="inlineStr">
        <is>
          <t>ÅNGE</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18570-2022</t>
        </is>
      </c>
      <c r="B1946" s="1" t="n">
        <v>44686.94278935185</v>
      </c>
      <c r="C1946" s="1" t="n">
        <v>46093</v>
      </c>
      <c r="D1946" t="inlineStr">
        <is>
          <t>VÄSTERNORRLANDS LÄN</t>
        </is>
      </c>
      <c r="E1946" t="inlineStr">
        <is>
          <t>SOLLEFTEÅ</t>
        </is>
      </c>
      <c r="F1946" t="inlineStr">
        <is>
          <t>SCA</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56892-2021</t>
        </is>
      </c>
      <c r="B1947" s="1" t="n">
        <v>44481</v>
      </c>
      <c r="C1947" s="1" t="n">
        <v>46093</v>
      </c>
      <c r="D1947" t="inlineStr">
        <is>
          <t>VÄSTERNORRLANDS LÄN</t>
        </is>
      </c>
      <c r="E1947" t="inlineStr">
        <is>
          <t>SUNDSVALL</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54146-2021</t>
        </is>
      </c>
      <c r="B1948" s="1" t="n">
        <v>44469</v>
      </c>
      <c r="C1948" s="1" t="n">
        <v>46093</v>
      </c>
      <c r="D1948" t="inlineStr">
        <is>
          <t>VÄSTERNORRLANDS LÄN</t>
        </is>
      </c>
      <c r="E1948" t="inlineStr">
        <is>
          <t>SOLLEFTEÅ</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37891-2022</t>
        </is>
      </c>
      <c r="B1949" s="1" t="n">
        <v>44811</v>
      </c>
      <c r="C1949" s="1" t="n">
        <v>46093</v>
      </c>
      <c r="D1949" t="inlineStr">
        <is>
          <t>VÄSTERNORRLANDS LÄN</t>
        </is>
      </c>
      <c r="E1949" t="inlineStr">
        <is>
          <t>ÖRNSKÖLDSVIK</t>
        </is>
      </c>
      <c r="F1949" t="inlineStr">
        <is>
          <t>Holmen skog AB</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683-2022</t>
        </is>
      </c>
      <c r="B1950" s="1" t="n">
        <v>44566</v>
      </c>
      <c r="C1950" s="1" t="n">
        <v>46093</v>
      </c>
      <c r="D1950" t="inlineStr">
        <is>
          <t>VÄSTERNORRLANDS LÄN</t>
        </is>
      </c>
      <c r="E1950" t="inlineStr">
        <is>
          <t>ÖRNSKÖLDSVIK</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22949-2022</t>
        </is>
      </c>
      <c r="B1951" s="1" t="n">
        <v>44715</v>
      </c>
      <c r="C1951" s="1" t="n">
        <v>46093</v>
      </c>
      <c r="D1951" t="inlineStr">
        <is>
          <t>VÄSTERNORRLANDS LÄN</t>
        </is>
      </c>
      <c r="E1951" t="inlineStr">
        <is>
          <t>KRAMFORS</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37238-2022</t>
        </is>
      </c>
      <c r="B1952" s="1" t="n">
        <v>44806</v>
      </c>
      <c r="C1952" s="1" t="n">
        <v>46093</v>
      </c>
      <c r="D1952" t="inlineStr">
        <is>
          <t>VÄSTERNORRLANDS LÄN</t>
        </is>
      </c>
      <c r="E1952" t="inlineStr">
        <is>
          <t>SUNDSVALL</t>
        </is>
      </c>
      <c r="F1952" t="inlineStr">
        <is>
          <t>SCA</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37242-2022</t>
        </is>
      </c>
      <c r="B1953" s="1" t="n">
        <v>44806.94675925926</v>
      </c>
      <c r="C1953" s="1" t="n">
        <v>46093</v>
      </c>
      <c r="D1953" t="inlineStr">
        <is>
          <t>VÄSTERNORRLANDS LÄN</t>
        </is>
      </c>
      <c r="E1953" t="inlineStr">
        <is>
          <t>SOLLEFTEÅ</t>
        </is>
      </c>
      <c r="F1953" t="inlineStr">
        <is>
          <t>SCA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37247-2022</t>
        </is>
      </c>
      <c r="B1954" s="1" t="n">
        <v>44806.94701388889</v>
      </c>
      <c r="C1954" s="1" t="n">
        <v>46093</v>
      </c>
      <c r="D1954" t="inlineStr">
        <is>
          <t>VÄSTERNORRLANDS LÄN</t>
        </is>
      </c>
      <c r="E1954" t="inlineStr">
        <is>
          <t>ÖRNSKÖLDSVIK</t>
        </is>
      </c>
      <c r="F1954" t="inlineStr">
        <is>
          <t>SCA</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15262-2021</t>
        </is>
      </c>
      <c r="B1955" s="1" t="n">
        <v>44284</v>
      </c>
      <c r="C1955" s="1" t="n">
        <v>46093</v>
      </c>
      <c r="D1955" t="inlineStr">
        <is>
          <t>VÄSTERNORRLANDS LÄN</t>
        </is>
      </c>
      <c r="E1955" t="inlineStr">
        <is>
          <t>KRAMFORS</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61562-2021</t>
        </is>
      </c>
      <c r="B1956" s="1" t="n">
        <v>44501</v>
      </c>
      <c r="C1956" s="1" t="n">
        <v>46093</v>
      </c>
      <c r="D1956" t="inlineStr">
        <is>
          <t>VÄSTERNORRLANDS LÄN</t>
        </is>
      </c>
      <c r="E1956" t="inlineStr">
        <is>
          <t>SUNDSVALL</t>
        </is>
      </c>
      <c r="G1956" t="n">
        <v>6</v>
      </c>
      <c r="H1956" t="n">
        <v>0</v>
      </c>
      <c r="I1956" t="n">
        <v>0</v>
      </c>
      <c r="J1956" t="n">
        <v>0</v>
      </c>
      <c r="K1956" t="n">
        <v>0</v>
      </c>
      <c r="L1956" t="n">
        <v>0</v>
      </c>
      <c r="M1956" t="n">
        <v>0</v>
      </c>
      <c r="N1956" t="n">
        <v>0</v>
      </c>
      <c r="O1956" t="n">
        <v>0</v>
      </c>
      <c r="P1956" t="n">
        <v>0</v>
      </c>
      <c r="Q1956" t="n">
        <v>0</v>
      </c>
      <c r="R1956" s="2" t="inlineStr"/>
    </row>
    <row r="1957" ht="15" customHeight="1">
      <c r="A1957" t="inlineStr">
        <is>
          <t>A 5279-2022</t>
        </is>
      </c>
      <c r="B1957" s="1" t="n">
        <v>44594</v>
      </c>
      <c r="C1957" s="1" t="n">
        <v>46093</v>
      </c>
      <c r="D1957" t="inlineStr">
        <is>
          <t>VÄSTERNORRLANDS LÄN</t>
        </is>
      </c>
      <c r="E1957" t="inlineStr">
        <is>
          <t>ÅNGE</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27634-2022</t>
        </is>
      </c>
      <c r="B1958" s="1" t="n">
        <v>44742</v>
      </c>
      <c r="C1958" s="1" t="n">
        <v>46093</v>
      </c>
      <c r="D1958" t="inlineStr">
        <is>
          <t>VÄSTERNORRLANDS LÄN</t>
        </is>
      </c>
      <c r="E1958" t="inlineStr">
        <is>
          <t>ÖRNSKÖLDSVIK</t>
        </is>
      </c>
      <c r="G1958" t="n">
        <v>3.9</v>
      </c>
      <c r="H1958" t="n">
        <v>0</v>
      </c>
      <c r="I1958" t="n">
        <v>0</v>
      </c>
      <c r="J1958" t="n">
        <v>0</v>
      </c>
      <c r="K1958" t="n">
        <v>0</v>
      </c>
      <c r="L1958" t="n">
        <v>0</v>
      </c>
      <c r="M1958" t="n">
        <v>0</v>
      </c>
      <c r="N1958" t="n">
        <v>0</v>
      </c>
      <c r="O1958" t="n">
        <v>0</v>
      </c>
      <c r="P1958" t="n">
        <v>0</v>
      </c>
      <c r="Q1958" t="n">
        <v>0</v>
      </c>
      <c r="R1958" s="2" t="inlineStr"/>
    </row>
    <row r="1959" ht="15" customHeight="1">
      <c r="A1959" t="inlineStr">
        <is>
          <t>A 59227-2021</t>
        </is>
      </c>
      <c r="B1959" s="1" t="n">
        <v>44490</v>
      </c>
      <c r="C1959" s="1" t="n">
        <v>46093</v>
      </c>
      <c r="D1959" t="inlineStr">
        <is>
          <t>VÄSTERNORRLANDS LÄN</t>
        </is>
      </c>
      <c r="E1959" t="inlineStr">
        <is>
          <t>ÖRNSKÖLDSVIK</t>
        </is>
      </c>
      <c r="G1959" t="n">
        <v>5.1</v>
      </c>
      <c r="H1959" t="n">
        <v>0</v>
      </c>
      <c r="I1959" t="n">
        <v>0</v>
      </c>
      <c r="J1959" t="n">
        <v>0</v>
      </c>
      <c r="K1959" t="n">
        <v>0</v>
      </c>
      <c r="L1959" t="n">
        <v>0</v>
      </c>
      <c r="M1959" t="n">
        <v>0</v>
      </c>
      <c r="N1959" t="n">
        <v>0</v>
      </c>
      <c r="O1959" t="n">
        <v>0</v>
      </c>
      <c r="P1959" t="n">
        <v>0</v>
      </c>
      <c r="Q1959" t="n">
        <v>0</v>
      </c>
      <c r="R1959" s="2" t="inlineStr"/>
    </row>
    <row r="1960" ht="15" customHeight="1">
      <c r="A1960" t="inlineStr">
        <is>
          <t>A 55873-2022</t>
        </is>
      </c>
      <c r="B1960" s="1" t="n">
        <v>44888.92850694444</v>
      </c>
      <c r="C1960" s="1" t="n">
        <v>46093</v>
      </c>
      <c r="D1960" t="inlineStr">
        <is>
          <t>VÄSTERNORRLANDS LÄN</t>
        </is>
      </c>
      <c r="E1960" t="inlineStr">
        <is>
          <t>SUNDSVALL</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57162-2021</t>
        </is>
      </c>
      <c r="B1961" s="1" t="n">
        <v>44482</v>
      </c>
      <c r="C1961" s="1" t="n">
        <v>46093</v>
      </c>
      <c r="D1961" t="inlineStr">
        <is>
          <t>VÄSTERNORRLANDS LÄN</t>
        </is>
      </c>
      <c r="E1961" t="inlineStr">
        <is>
          <t>ÅNGE</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57212-2021</t>
        </is>
      </c>
      <c r="B1962" s="1" t="n">
        <v>44482.9406712963</v>
      </c>
      <c r="C1962" s="1" t="n">
        <v>46093</v>
      </c>
      <c r="D1962" t="inlineStr">
        <is>
          <t>VÄSTERNORRLANDS LÄN</t>
        </is>
      </c>
      <c r="E1962" t="inlineStr">
        <is>
          <t>SUNDSVALL</t>
        </is>
      </c>
      <c r="F1962" t="inlineStr">
        <is>
          <t>SCA</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57234-2021</t>
        </is>
      </c>
      <c r="B1963" s="1" t="n">
        <v>44482</v>
      </c>
      <c r="C1963" s="1" t="n">
        <v>46093</v>
      </c>
      <c r="D1963" t="inlineStr">
        <is>
          <t>VÄSTERNORRLANDS LÄN</t>
        </is>
      </c>
      <c r="E1963" t="inlineStr">
        <is>
          <t>SUNDSVALL</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28737-2021</t>
        </is>
      </c>
      <c r="B1964" s="1" t="n">
        <v>44357</v>
      </c>
      <c r="C1964" s="1" t="n">
        <v>46093</v>
      </c>
      <c r="D1964" t="inlineStr">
        <is>
          <t>VÄSTERNORRLANDS LÄN</t>
        </is>
      </c>
      <c r="E1964" t="inlineStr">
        <is>
          <t>ÖRNSKÖLDSVIK</t>
        </is>
      </c>
      <c r="G1964" t="n">
        <v>7.7</v>
      </c>
      <c r="H1964" t="n">
        <v>0</v>
      </c>
      <c r="I1964" t="n">
        <v>0</v>
      </c>
      <c r="J1964" t="n">
        <v>0</v>
      </c>
      <c r="K1964" t="n">
        <v>0</v>
      </c>
      <c r="L1964" t="n">
        <v>0</v>
      </c>
      <c r="M1964" t="n">
        <v>0</v>
      </c>
      <c r="N1964" t="n">
        <v>0</v>
      </c>
      <c r="O1964" t="n">
        <v>0</v>
      </c>
      <c r="P1964" t="n">
        <v>0</v>
      </c>
      <c r="Q1964" t="n">
        <v>0</v>
      </c>
      <c r="R1964" s="2" t="inlineStr"/>
    </row>
    <row r="1965" ht="15" customHeight="1">
      <c r="A1965" t="inlineStr">
        <is>
          <t>A 22447-2021</t>
        </is>
      </c>
      <c r="B1965" s="1" t="n">
        <v>44323</v>
      </c>
      <c r="C1965" s="1" t="n">
        <v>46093</v>
      </c>
      <c r="D1965" t="inlineStr">
        <is>
          <t>VÄSTERNORRLANDS LÄN</t>
        </is>
      </c>
      <c r="E1965" t="inlineStr">
        <is>
          <t>SOLLEFTEÅ</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31439-2022</t>
        </is>
      </c>
      <c r="B1966" s="1" t="n">
        <v>44774</v>
      </c>
      <c r="C1966" s="1" t="n">
        <v>46093</v>
      </c>
      <c r="D1966" t="inlineStr">
        <is>
          <t>VÄSTERNORRLANDS LÄN</t>
        </is>
      </c>
      <c r="E1966" t="inlineStr">
        <is>
          <t>SUNDSVALL</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31452-2022</t>
        </is>
      </c>
      <c r="B1967" s="1" t="n">
        <v>44774.9415162037</v>
      </c>
      <c r="C1967" s="1" t="n">
        <v>46093</v>
      </c>
      <c r="D1967" t="inlineStr">
        <is>
          <t>VÄSTERNORRLANDS LÄN</t>
        </is>
      </c>
      <c r="E1967" t="inlineStr">
        <is>
          <t>SOLLEFTEÅ</t>
        </is>
      </c>
      <c r="F1967" t="inlineStr">
        <is>
          <t>SCA</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21630-2021</t>
        </is>
      </c>
      <c r="B1968" s="1" t="n">
        <v>44321</v>
      </c>
      <c r="C1968" s="1" t="n">
        <v>46093</v>
      </c>
      <c r="D1968" t="inlineStr">
        <is>
          <t>VÄSTERNORRLANDS LÄN</t>
        </is>
      </c>
      <c r="E1968" t="inlineStr">
        <is>
          <t>ÖRNSKÖLDSVIK</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51020-2021</t>
        </is>
      </c>
      <c r="B1969" s="1" t="n">
        <v>44460</v>
      </c>
      <c r="C1969" s="1" t="n">
        <v>46093</v>
      </c>
      <c r="D1969" t="inlineStr">
        <is>
          <t>VÄSTERNORRLANDS LÄN</t>
        </is>
      </c>
      <c r="E1969" t="inlineStr">
        <is>
          <t>SOLLEFTEÅ</t>
        </is>
      </c>
      <c r="F1969" t="inlineStr">
        <is>
          <t>SCA</t>
        </is>
      </c>
      <c r="G1969" t="n">
        <v>3.9</v>
      </c>
      <c r="H1969" t="n">
        <v>0</v>
      </c>
      <c r="I1969" t="n">
        <v>0</v>
      </c>
      <c r="J1969" t="n">
        <v>0</v>
      </c>
      <c r="K1969" t="n">
        <v>0</v>
      </c>
      <c r="L1969" t="n">
        <v>0</v>
      </c>
      <c r="M1969" t="n">
        <v>0</v>
      </c>
      <c r="N1969" t="n">
        <v>0</v>
      </c>
      <c r="O1969" t="n">
        <v>0</v>
      </c>
      <c r="P1969" t="n">
        <v>0</v>
      </c>
      <c r="Q1969" t="n">
        <v>0</v>
      </c>
      <c r="R1969" s="2" t="inlineStr"/>
    </row>
    <row r="1970" ht="15" customHeight="1">
      <c r="A1970" t="inlineStr">
        <is>
          <t>A 57737-2021</t>
        </is>
      </c>
      <c r="B1970" s="1" t="n">
        <v>44484</v>
      </c>
      <c r="C1970" s="1" t="n">
        <v>46093</v>
      </c>
      <c r="D1970" t="inlineStr">
        <is>
          <t>VÄSTERNORRLANDS LÄN</t>
        </is>
      </c>
      <c r="E1970" t="inlineStr">
        <is>
          <t>KRAMFORS</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55897-2022</t>
        </is>
      </c>
      <c r="B1971" s="1" t="n">
        <v>44888.95325231482</v>
      </c>
      <c r="C1971" s="1" t="n">
        <v>46093</v>
      </c>
      <c r="D1971" t="inlineStr">
        <is>
          <t>VÄSTERNORRLANDS LÄN</t>
        </is>
      </c>
      <c r="E1971" t="inlineStr">
        <is>
          <t>SUNDSVALL</t>
        </is>
      </c>
      <c r="F1971" t="inlineStr">
        <is>
          <t>SCA</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55907-2022</t>
        </is>
      </c>
      <c r="B1972" s="1" t="n">
        <v>44888.95457175926</v>
      </c>
      <c r="C1972" s="1" t="n">
        <v>46093</v>
      </c>
      <c r="D1972" t="inlineStr">
        <is>
          <t>VÄSTERNORRLANDS LÄN</t>
        </is>
      </c>
      <c r="E1972" t="inlineStr">
        <is>
          <t>ÅNGE</t>
        </is>
      </c>
      <c r="F1972" t="inlineStr">
        <is>
          <t>SCA</t>
        </is>
      </c>
      <c r="G1972" t="n">
        <v>8.4</v>
      </c>
      <c r="H1972" t="n">
        <v>0</v>
      </c>
      <c r="I1972" t="n">
        <v>0</v>
      </c>
      <c r="J1972" t="n">
        <v>0</v>
      </c>
      <c r="K1972" t="n">
        <v>0</v>
      </c>
      <c r="L1972" t="n">
        <v>0</v>
      </c>
      <c r="M1972" t="n">
        <v>0</v>
      </c>
      <c r="N1972" t="n">
        <v>0</v>
      </c>
      <c r="O1972" t="n">
        <v>0</v>
      </c>
      <c r="P1972" t="n">
        <v>0</v>
      </c>
      <c r="Q1972" t="n">
        <v>0</v>
      </c>
      <c r="R1972" s="2" t="inlineStr"/>
    </row>
    <row r="1973" ht="15" customHeight="1">
      <c r="A1973" t="inlineStr">
        <is>
          <t>A 61356-2021</t>
        </is>
      </c>
      <c r="B1973" s="1" t="n">
        <v>44498.91827546297</v>
      </c>
      <c r="C1973" s="1" t="n">
        <v>46093</v>
      </c>
      <c r="D1973" t="inlineStr">
        <is>
          <t>VÄSTERNORRLANDS LÄN</t>
        </is>
      </c>
      <c r="E1973" t="inlineStr">
        <is>
          <t>ÖRNSKÖLDSVIK</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13624-2021</t>
        </is>
      </c>
      <c r="B1974" s="1" t="n">
        <v>44274</v>
      </c>
      <c r="C1974" s="1" t="n">
        <v>46093</v>
      </c>
      <c r="D1974" t="inlineStr">
        <is>
          <t>VÄSTERNORRLANDS LÄN</t>
        </is>
      </c>
      <c r="E1974" t="inlineStr">
        <is>
          <t>ÖRNSKÖLDSVIK</t>
        </is>
      </c>
      <c r="G1974" t="n">
        <v>6.5</v>
      </c>
      <c r="H1974" t="n">
        <v>0</v>
      </c>
      <c r="I1974" t="n">
        <v>0</v>
      </c>
      <c r="J1974" t="n">
        <v>0</v>
      </c>
      <c r="K1974" t="n">
        <v>0</v>
      </c>
      <c r="L1974" t="n">
        <v>0</v>
      </c>
      <c r="M1974" t="n">
        <v>0</v>
      </c>
      <c r="N1974" t="n">
        <v>0</v>
      </c>
      <c r="O1974" t="n">
        <v>0</v>
      </c>
      <c r="P1974" t="n">
        <v>0</v>
      </c>
      <c r="Q1974" t="n">
        <v>0</v>
      </c>
      <c r="R1974" s="2" t="inlineStr"/>
    </row>
    <row r="1975" ht="15" customHeight="1">
      <c r="A1975" t="inlineStr">
        <is>
          <t>A 25964-2022</t>
        </is>
      </c>
      <c r="B1975" s="1" t="n">
        <v>44734</v>
      </c>
      <c r="C1975" s="1" t="n">
        <v>46093</v>
      </c>
      <c r="D1975" t="inlineStr">
        <is>
          <t>VÄSTERNORRLANDS LÄN</t>
        </is>
      </c>
      <c r="E1975" t="inlineStr">
        <is>
          <t>SUNDSVALL</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32713-2022</t>
        </is>
      </c>
      <c r="B1976" s="1" t="n">
        <v>44783.64645833334</v>
      </c>
      <c r="C1976" s="1" t="n">
        <v>46093</v>
      </c>
      <c r="D1976" t="inlineStr">
        <is>
          <t>VÄSTERNORRLANDS LÄN</t>
        </is>
      </c>
      <c r="E1976" t="inlineStr">
        <is>
          <t>ÖRNSKÖLDSVIK</t>
        </is>
      </c>
      <c r="F1976" t="inlineStr">
        <is>
          <t>Holmen skog AB</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47410-2021</t>
        </is>
      </c>
      <c r="B1977" s="1" t="n">
        <v>44447.593125</v>
      </c>
      <c r="C1977" s="1" t="n">
        <v>46093</v>
      </c>
      <c r="D1977" t="inlineStr">
        <is>
          <t>VÄSTERNORRLANDS LÄN</t>
        </is>
      </c>
      <c r="E1977" t="inlineStr">
        <is>
          <t>ÖRNSKÖLDSVIK</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66560-2021</t>
        </is>
      </c>
      <c r="B1978" s="1" t="n">
        <v>44519</v>
      </c>
      <c r="C1978" s="1" t="n">
        <v>46093</v>
      </c>
      <c r="D1978" t="inlineStr">
        <is>
          <t>VÄSTERNORRLANDS LÄN</t>
        </is>
      </c>
      <c r="E1978" t="inlineStr">
        <is>
          <t>ÅNGE</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53659-2022</t>
        </is>
      </c>
      <c r="B1979" s="1" t="n">
        <v>44879.9560300926</v>
      </c>
      <c r="C1979" s="1" t="n">
        <v>46093</v>
      </c>
      <c r="D1979" t="inlineStr">
        <is>
          <t>VÄSTERNORRLANDS LÄN</t>
        </is>
      </c>
      <c r="E1979" t="inlineStr">
        <is>
          <t>TIMRÅ</t>
        </is>
      </c>
      <c r="F1979" t="inlineStr">
        <is>
          <t>SCA</t>
        </is>
      </c>
      <c r="G1979" t="n">
        <v>3.7</v>
      </c>
      <c r="H1979" t="n">
        <v>0</v>
      </c>
      <c r="I1979" t="n">
        <v>0</v>
      </c>
      <c r="J1979" t="n">
        <v>0</v>
      </c>
      <c r="K1979" t="n">
        <v>0</v>
      </c>
      <c r="L1979" t="n">
        <v>0</v>
      </c>
      <c r="M1979" t="n">
        <v>0</v>
      </c>
      <c r="N1979" t="n">
        <v>0</v>
      </c>
      <c r="O1979" t="n">
        <v>0</v>
      </c>
      <c r="P1979" t="n">
        <v>0</v>
      </c>
      <c r="Q1979" t="n">
        <v>0</v>
      </c>
      <c r="R1979" s="2" t="inlineStr"/>
    </row>
    <row r="1980" ht="15" customHeight="1">
      <c r="A1980" t="inlineStr">
        <is>
          <t>A 15849-2022</t>
        </is>
      </c>
      <c r="B1980" s="1" t="n">
        <v>44664</v>
      </c>
      <c r="C1980" s="1" t="n">
        <v>46093</v>
      </c>
      <c r="D1980" t="inlineStr">
        <is>
          <t>VÄSTERNORRLANDS LÄN</t>
        </is>
      </c>
      <c r="E1980" t="inlineStr">
        <is>
          <t>HÄRNÖSAND</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21569-2022</t>
        </is>
      </c>
      <c r="B1981" s="1" t="n">
        <v>44706.59162037037</v>
      </c>
      <c r="C1981" s="1" t="n">
        <v>46093</v>
      </c>
      <c r="D1981" t="inlineStr">
        <is>
          <t>VÄSTERNORRLANDS LÄN</t>
        </is>
      </c>
      <c r="E1981" t="inlineStr">
        <is>
          <t>ÖRNSKÖLDSVIK</t>
        </is>
      </c>
      <c r="F1981" t="inlineStr">
        <is>
          <t>Holmen skog AB</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69736-2021</t>
        </is>
      </c>
      <c r="B1982" s="1" t="n">
        <v>44532</v>
      </c>
      <c r="C1982" s="1" t="n">
        <v>46093</v>
      </c>
      <c r="D1982" t="inlineStr">
        <is>
          <t>VÄSTERNORRLANDS LÄN</t>
        </is>
      </c>
      <c r="E1982" t="inlineStr">
        <is>
          <t>ÅNGE</t>
        </is>
      </c>
      <c r="G1982" t="n">
        <v>5</v>
      </c>
      <c r="H1982" t="n">
        <v>0</v>
      </c>
      <c r="I1982" t="n">
        <v>0</v>
      </c>
      <c r="J1982" t="n">
        <v>0</v>
      </c>
      <c r="K1982" t="n">
        <v>0</v>
      </c>
      <c r="L1982" t="n">
        <v>0</v>
      </c>
      <c r="M1982" t="n">
        <v>0</v>
      </c>
      <c r="N1982" t="n">
        <v>0</v>
      </c>
      <c r="O1982" t="n">
        <v>0</v>
      </c>
      <c r="P1982" t="n">
        <v>0</v>
      </c>
      <c r="Q1982" t="n">
        <v>0</v>
      </c>
      <c r="R1982" s="2" t="inlineStr"/>
    </row>
    <row r="1983" ht="15" customHeight="1">
      <c r="A1983" t="inlineStr">
        <is>
          <t>A 69916-2021</t>
        </is>
      </c>
      <c r="B1983" s="1" t="n">
        <v>44532</v>
      </c>
      <c r="C1983" s="1" t="n">
        <v>46093</v>
      </c>
      <c r="D1983" t="inlineStr">
        <is>
          <t>VÄSTERNORRLANDS LÄN</t>
        </is>
      </c>
      <c r="E1983" t="inlineStr">
        <is>
          <t>SOLLEFTEÅ</t>
        </is>
      </c>
      <c r="F1983" t="inlineStr">
        <is>
          <t>SCA</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69919-2021</t>
        </is>
      </c>
      <c r="B1984" s="1" t="n">
        <v>44532.94325231481</v>
      </c>
      <c r="C1984" s="1" t="n">
        <v>46093</v>
      </c>
      <c r="D1984" t="inlineStr">
        <is>
          <t>VÄSTERNORRLANDS LÄN</t>
        </is>
      </c>
      <c r="E1984" t="inlineStr">
        <is>
          <t>SOLLEFTEÅ</t>
        </is>
      </c>
      <c r="F1984" t="inlineStr">
        <is>
          <t>SCA</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31647-2022</t>
        </is>
      </c>
      <c r="B1985" s="1" t="n">
        <v>44775.94328703704</v>
      </c>
      <c r="C1985" s="1" t="n">
        <v>46093</v>
      </c>
      <c r="D1985" t="inlineStr">
        <is>
          <t>VÄSTERNORRLANDS LÄN</t>
        </is>
      </c>
      <c r="E1985" t="inlineStr">
        <is>
          <t>ÅNGE</t>
        </is>
      </c>
      <c r="F1985" t="inlineStr">
        <is>
          <t>SCA</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60891-2021</t>
        </is>
      </c>
      <c r="B1986" s="1" t="n">
        <v>44497</v>
      </c>
      <c r="C1986" s="1" t="n">
        <v>46093</v>
      </c>
      <c r="D1986" t="inlineStr">
        <is>
          <t>VÄSTERNORRLANDS LÄN</t>
        </is>
      </c>
      <c r="E1986" t="inlineStr">
        <is>
          <t>SUNDSVALL</t>
        </is>
      </c>
      <c r="F1986" t="inlineStr">
        <is>
          <t>Kommuner</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19207-2022</t>
        </is>
      </c>
      <c r="B1987" s="1" t="n">
        <v>44691</v>
      </c>
      <c r="C1987" s="1" t="n">
        <v>46093</v>
      </c>
      <c r="D1987" t="inlineStr">
        <is>
          <t>VÄSTERNORRLANDS LÄN</t>
        </is>
      </c>
      <c r="E1987" t="inlineStr">
        <is>
          <t>HÄRNÖSAND</t>
        </is>
      </c>
      <c r="F1987" t="inlineStr">
        <is>
          <t>SCA</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51506-2022</t>
        </is>
      </c>
      <c r="B1988" s="1" t="n">
        <v>44869</v>
      </c>
      <c r="C1988" s="1" t="n">
        <v>46093</v>
      </c>
      <c r="D1988" t="inlineStr">
        <is>
          <t>VÄSTERNORRLANDS LÄN</t>
        </is>
      </c>
      <c r="E1988" t="inlineStr">
        <is>
          <t>ÖRNSKÖLDSVIK</t>
        </is>
      </c>
      <c r="F1988" t="inlineStr">
        <is>
          <t>Holmen skog AB</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36212-2022</t>
        </is>
      </c>
      <c r="B1989" s="1" t="n">
        <v>44803</v>
      </c>
      <c r="C1989" s="1" t="n">
        <v>46093</v>
      </c>
      <c r="D1989" t="inlineStr">
        <is>
          <t>VÄSTERNORRLANDS LÄN</t>
        </is>
      </c>
      <c r="E1989" t="inlineStr">
        <is>
          <t>KRAMFORS</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55283-2022</t>
        </is>
      </c>
      <c r="B1990" s="1" t="n">
        <v>44882</v>
      </c>
      <c r="C1990" s="1" t="n">
        <v>46093</v>
      </c>
      <c r="D1990" t="inlineStr">
        <is>
          <t>VÄSTERNORRLANDS LÄN</t>
        </is>
      </c>
      <c r="E1990" t="inlineStr">
        <is>
          <t>ÖRNSKÖLDSVIK</t>
        </is>
      </c>
      <c r="G1990" t="n">
        <v>0.2</v>
      </c>
      <c r="H1990" t="n">
        <v>0</v>
      </c>
      <c r="I1990" t="n">
        <v>0</v>
      </c>
      <c r="J1990" t="n">
        <v>0</v>
      </c>
      <c r="K1990" t="n">
        <v>0</v>
      </c>
      <c r="L1990" t="n">
        <v>0</v>
      </c>
      <c r="M1990" t="n">
        <v>0</v>
      </c>
      <c r="N1990" t="n">
        <v>0</v>
      </c>
      <c r="O1990" t="n">
        <v>0</v>
      </c>
      <c r="P1990" t="n">
        <v>0</v>
      </c>
      <c r="Q1990" t="n">
        <v>0</v>
      </c>
      <c r="R1990" s="2" t="inlineStr"/>
    </row>
    <row r="1991" ht="15" customHeight="1">
      <c r="A1991" t="inlineStr">
        <is>
          <t>A 51317-2022</t>
        </is>
      </c>
      <c r="B1991" s="1" t="n">
        <v>44868</v>
      </c>
      <c r="C1991" s="1" t="n">
        <v>46093</v>
      </c>
      <c r="D1991" t="inlineStr">
        <is>
          <t>VÄSTERNORRLANDS LÄN</t>
        </is>
      </c>
      <c r="E1991" t="inlineStr">
        <is>
          <t>SOLLEFTEÅ</t>
        </is>
      </c>
      <c r="F1991" t="inlineStr">
        <is>
          <t>SCA</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30247-2022</t>
        </is>
      </c>
      <c r="B1992" s="1" t="n">
        <v>44758</v>
      </c>
      <c r="C1992" s="1" t="n">
        <v>46093</v>
      </c>
      <c r="D1992" t="inlineStr">
        <is>
          <t>VÄSTERNORRLANDS LÄN</t>
        </is>
      </c>
      <c r="E1992" t="inlineStr">
        <is>
          <t>ÖRNSKÖLDSVIK</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24355-2022</t>
        </is>
      </c>
      <c r="B1993" s="1" t="n">
        <v>44726.3816087963</v>
      </c>
      <c r="C1993" s="1" t="n">
        <v>46093</v>
      </c>
      <c r="D1993" t="inlineStr">
        <is>
          <t>VÄSTERNORRLANDS LÄN</t>
        </is>
      </c>
      <c r="E1993" t="inlineStr">
        <is>
          <t>ÅNGE</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30237-2022</t>
        </is>
      </c>
      <c r="B1994" s="1" t="n">
        <v>44757.94412037037</v>
      </c>
      <c r="C1994" s="1" t="n">
        <v>46093</v>
      </c>
      <c r="D1994" t="inlineStr">
        <is>
          <t>VÄSTERNORRLANDS LÄN</t>
        </is>
      </c>
      <c r="E1994" t="inlineStr">
        <is>
          <t>SOLLEFTEÅ</t>
        </is>
      </c>
      <c r="F1994" t="inlineStr">
        <is>
          <t>SCA</t>
        </is>
      </c>
      <c r="G1994" t="n">
        <v>8.1</v>
      </c>
      <c r="H1994" t="n">
        <v>0</v>
      </c>
      <c r="I1994" t="n">
        <v>0</v>
      </c>
      <c r="J1994" t="n">
        <v>0</v>
      </c>
      <c r="K1994" t="n">
        <v>0</v>
      </c>
      <c r="L1994" t="n">
        <v>0</v>
      </c>
      <c r="M1994" t="n">
        <v>0</v>
      </c>
      <c r="N1994" t="n">
        <v>0</v>
      </c>
      <c r="O1994" t="n">
        <v>0</v>
      </c>
      <c r="P1994" t="n">
        <v>0</v>
      </c>
      <c r="Q1994" t="n">
        <v>0</v>
      </c>
      <c r="R1994" s="2" t="inlineStr"/>
    </row>
    <row r="1995" ht="15" customHeight="1">
      <c r="A1995" t="inlineStr">
        <is>
          <t>A 24008-2022</t>
        </is>
      </c>
      <c r="B1995" s="1" t="n">
        <v>44722.94112268519</v>
      </c>
      <c r="C1995" s="1" t="n">
        <v>46093</v>
      </c>
      <c r="D1995" t="inlineStr">
        <is>
          <t>VÄSTERNORRLANDS LÄN</t>
        </is>
      </c>
      <c r="E1995" t="inlineStr">
        <is>
          <t>SOLLEFTEÅ</t>
        </is>
      </c>
      <c r="F1995" t="inlineStr">
        <is>
          <t>SCA</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26023-2022</t>
        </is>
      </c>
      <c r="B1996" s="1" t="n">
        <v>44734</v>
      </c>
      <c r="C1996" s="1" t="n">
        <v>46093</v>
      </c>
      <c r="D1996" t="inlineStr">
        <is>
          <t>VÄSTERNORRLANDS LÄN</t>
        </is>
      </c>
      <c r="E1996" t="inlineStr">
        <is>
          <t>ÖRNSKÖLDSVIK</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64433-2021</t>
        </is>
      </c>
      <c r="B1997" s="1" t="n">
        <v>44511</v>
      </c>
      <c r="C1997" s="1" t="n">
        <v>46093</v>
      </c>
      <c r="D1997" t="inlineStr">
        <is>
          <t>VÄSTERNORRLANDS LÄN</t>
        </is>
      </c>
      <c r="E1997" t="inlineStr">
        <is>
          <t>TIMRÅ</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35507-2022</t>
        </is>
      </c>
      <c r="B1998" s="1" t="n">
        <v>44798</v>
      </c>
      <c r="C1998" s="1" t="n">
        <v>46093</v>
      </c>
      <c r="D1998" t="inlineStr">
        <is>
          <t>VÄSTERNORRLANDS LÄN</t>
        </is>
      </c>
      <c r="E1998" t="inlineStr">
        <is>
          <t>ÅNGE</t>
        </is>
      </c>
      <c r="F1998" t="inlineStr">
        <is>
          <t>SCA</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59545-2021</t>
        </is>
      </c>
      <c r="B1999" s="1" t="n">
        <v>44491</v>
      </c>
      <c r="C1999" s="1" t="n">
        <v>46093</v>
      </c>
      <c r="D1999" t="inlineStr">
        <is>
          <t>VÄSTERNORRLANDS LÄN</t>
        </is>
      </c>
      <c r="E1999" t="inlineStr">
        <is>
          <t>ÖRNSKÖLDSVIK</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25748-2021</t>
        </is>
      </c>
      <c r="B2000" s="1" t="n">
        <v>44343</v>
      </c>
      <c r="C2000" s="1" t="n">
        <v>46093</v>
      </c>
      <c r="D2000" t="inlineStr">
        <is>
          <t>VÄSTERNORRLANDS LÄN</t>
        </is>
      </c>
      <c r="E2000" t="inlineStr">
        <is>
          <t>SUNDSVALL</t>
        </is>
      </c>
      <c r="F2000" t="inlineStr">
        <is>
          <t>Kyrkan</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28700-2022</t>
        </is>
      </c>
      <c r="B2001" s="1" t="n">
        <v>44748</v>
      </c>
      <c r="C2001" s="1" t="n">
        <v>46093</v>
      </c>
      <c r="D2001" t="inlineStr">
        <is>
          <t>VÄSTERNORRLANDS LÄN</t>
        </is>
      </c>
      <c r="E2001" t="inlineStr">
        <is>
          <t>SOLLEFTEÅ</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28708-2022</t>
        </is>
      </c>
      <c r="B2002" s="1" t="n">
        <v>44748</v>
      </c>
      <c r="C2002" s="1" t="n">
        <v>46093</v>
      </c>
      <c r="D2002" t="inlineStr">
        <is>
          <t>VÄSTERNORRLANDS LÄN</t>
        </is>
      </c>
      <c r="E2002" t="inlineStr">
        <is>
          <t>SUNDSVALL</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62870-2021</t>
        </is>
      </c>
      <c r="B2003" s="1" t="n">
        <v>44503</v>
      </c>
      <c r="C2003" s="1" t="n">
        <v>46093</v>
      </c>
      <c r="D2003" t="inlineStr">
        <is>
          <t>VÄSTERNORRLANDS LÄN</t>
        </is>
      </c>
      <c r="E2003" t="inlineStr">
        <is>
          <t>ÅNGE</t>
        </is>
      </c>
      <c r="F2003" t="inlineStr">
        <is>
          <t>Övriga statliga verk och myndigheter</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30408-2022</t>
        </is>
      </c>
      <c r="B2004" s="1" t="n">
        <v>44761.37563657408</v>
      </c>
      <c r="C2004" s="1" t="n">
        <v>46093</v>
      </c>
      <c r="D2004" t="inlineStr">
        <is>
          <t>VÄSTERNORRLANDS LÄN</t>
        </is>
      </c>
      <c r="E2004" t="inlineStr">
        <is>
          <t>ÖRNSKÖLDSVIK</t>
        </is>
      </c>
      <c r="F2004" t="inlineStr">
        <is>
          <t>Holmen skog AB</t>
        </is>
      </c>
      <c r="G2004" t="n">
        <v>0.3</v>
      </c>
      <c r="H2004" t="n">
        <v>0</v>
      </c>
      <c r="I2004" t="n">
        <v>0</v>
      </c>
      <c r="J2004" t="n">
        <v>0</v>
      </c>
      <c r="K2004" t="n">
        <v>0</v>
      </c>
      <c r="L2004" t="n">
        <v>0</v>
      </c>
      <c r="M2004" t="n">
        <v>0</v>
      </c>
      <c r="N2004" t="n">
        <v>0</v>
      </c>
      <c r="O2004" t="n">
        <v>0</v>
      </c>
      <c r="P2004" t="n">
        <v>0</v>
      </c>
      <c r="Q2004" t="n">
        <v>0</v>
      </c>
      <c r="R2004" s="2" t="inlineStr"/>
    </row>
    <row r="2005" ht="15" customHeight="1">
      <c r="A2005" t="inlineStr">
        <is>
          <t>A 10680-2022</t>
        </is>
      </c>
      <c r="B2005" s="1" t="n">
        <v>44624</v>
      </c>
      <c r="C2005" s="1" t="n">
        <v>46093</v>
      </c>
      <c r="D2005" t="inlineStr">
        <is>
          <t>VÄSTERNORRLANDS LÄN</t>
        </is>
      </c>
      <c r="E2005" t="inlineStr">
        <is>
          <t>ÅNGE</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10686-2022</t>
        </is>
      </c>
      <c r="B2006" s="1" t="n">
        <v>44624.92680555556</v>
      </c>
      <c r="C2006" s="1" t="n">
        <v>46093</v>
      </c>
      <c r="D2006" t="inlineStr">
        <is>
          <t>VÄSTERNORRLANDS LÄN</t>
        </is>
      </c>
      <c r="E2006" t="inlineStr">
        <is>
          <t>ÅNGE</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19943-2021</t>
        </is>
      </c>
      <c r="B2007" s="1" t="n">
        <v>44313</v>
      </c>
      <c r="C2007" s="1" t="n">
        <v>46093</v>
      </c>
      <c r="D2007" t="inlineStr">
        <is>
          <t>VÄSTERNORRLANDS LÄN</t>
        </is>
      </c>
      <c r="E2007" t="inlineStr">
        <is>
          <t>ÖRNSKÖLDSVIK</t>
        </is>
      </c>
      <c r="G2007" t="n">
        <v>4</v>
      </c>
      <c r="H2007" t="n">
        <v>0</v>
      </c>
      <c r="I2007" t="n">
        <v>0</v>
      </c>
      <c r="J2007" t="n">
        <v>0</v>
      </c>
      <c r="K2007" t="n">
        <v>0</v>
      </c>
      <c r="L2007" t="n">
        <v>0</v>
      </c>
      <c r="M2007" t="n">
        <v>0</v>
      </c>
      <c r="N2007" t="n">
        <v>0</v>
      </c>
      <c r="O2007" t="n">
        <v>0</v>
      </c>
      <c r="P2007" t="n">
        <v>0</v>
      </c>
      <c r="Q2007" t="n">
        <v>0</v>
      </c>
      <c r="R2007" s="2" t="inlineStr"/>
    </row>
    <row r="2008" ht="15" customHeight="1">
      <c r="A2008" t="inlineStr">
        <is>
          <t>A 30013-2022</t>
        </is>
      </c>
      <c r="B2008" s="1" t="n">
        <v>44756</v>
      </c>
      <c r="C2008" s="1" t="n">
        <v>46093</v>
      </c>
      <c r="D2008" t="inlineStr">
        <is>
          <t>VÄSTERNORRLANDS LÄN</t>
        </is>
      </c>
      <c r="E2008" t="inlineStr">
        <is>
          <t>SOLLEFTEÅ</t>
        </is>
      </c>
      <c r="F2008" t="inlineStr">
        <is>
          <t>SCA</t>
        </is>
      </c>
      <c r="G2008" t="n">
        <v>4.5</v>
      </c>
      <c r="H2008" t="n">
        <v>0</v>
      </c>
      <c r="I2008" t="n">
        <v>0</v>
      </c>
      <c r="J2008" t="n">
        <v>0</v>
      </c>
      <c r="K2008" t="n">
        <v>0</v>
      </c>
      <c r="L2008" t="n">
        <v>0</v>
      </c>
      <c r="M2008" t="n">
        <v>0</v>
      </c>
      <c r="N2008" t="n">
        <v>0</v>
      </c>
      <c r="O2008" t="n">
        <v>0</v>
      </c>
      <c r="P2008" t="n">
        <v>0</v>
      </c>
      <c r="Q2008" t="n">
        <v>0</v>
      </c>
      <c r="R2008" s="2" t="inlineStr"/>
    </row>
    <row r="2009" ht="15" customHeight="1">
      <c r="A2009" t="inlineStr">
        <is>
          <t>A 36554-2022</t>
        </is>
      </c>
      <c r="B2009" s="1" t="n">
        <v>44804</v>
      </c>
      <c r="C2009" s="1" t="n">
        <v>46093</v>
      </c>
      <c r="D2009" t="inlineStr">
        <is>
          <t>VÄSTERNORRLANDS LÄN</t>
        </is>
      </c>
      <c r="E2009" t="inlineStr">
        <is>
          <t>ÖRNSKÖLDSVIK</t>
        </is>
      </c>
      <c r="G2009" t="n">
        <v>4.7</v>
      </c>
      <c r="H2009" t="n">
        <v>0</v>
      </c>
      <c r="I2009" t="n">
        <v>0</v>
      </c>
      <c r="J2009" t="n">
        <v>0</v>
      </c>
      <c r="K2009" t="n">
        <v>0</v>
      </c>
      <c r="L2009" t="n">
        <v>0</v>
      </c>
      <c r="M2009" t="n">
        <v>0</v>
      </c>
      <c r="N2009" t="n">
        <v>0</v>
      </c>
      <c r="O2009" t="n">
        <v>0</v>
      </c>
      <c r="P2009" t="n">
        <v>0</v>
      </c>
      <c r="Q2009" t="n">
        <v>0</v>
      </c>
      <c r="R2009" s="2" t="inlineStr"/>
    </row>
    <row r="2010" ht="15" customHeight="1">
      <c r="A2010" t="inlineStr">
        <is>
          <t>A 36649-2022</t>
        </is>
      </c>
      <c r="B2010" s="1" t="n">
        <v>44804</v>
      </c>
      <c r="C2010" s="1" t="n">
        <v>46093</v>
      </c>
      <c r="D2010" t="inlineStr">
        <is>
          <t>VÄSTERNORRLANDS LÄN</t>
        </is>
      </c>
      <c r="E2010" t="inlineStr">
        <is>
          <t>HÄRNÖSAND</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15974-2022</t>
        </is>
      </c>
      <c r="B2011" s="1" t="n">
        <v>44664.94778935185</v>
      </c>
      <c r="C2011" s="1" t="n">
        <v>46093</v>
      </c>
      <c r="D2011" t="inlineStr">
        <is>
          <t>VÄSTERNORRLANDS LÄN</t>
        </is>
      </c>
      <c r="E2011" t="inlineStr">
        <is>
          <t>SOLLEFTEÅ</t>
        </is>
      </c>
      <c r="F2011" t="inlineStr">
        <is>
          <t>SCA</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39943-2022</t>
        </is>
      </c>
      <c r="B2012" s="1" t="n">
        <v>44819.94916666667</v>
      </c>
      <c r="C2012" s="1" t="n">
        <v>46093</v>
      </c>
      <c r="D2012" t="inlineStr">
        <is>
          <t>VÄSTERNORRLANDS LÄN</t>
        </is>
      </c>
      <c r="E2012" t="inlineStr">
        <is>
          <t>SOLLEFTEÅ</t>
        </is>
      </c>
      <c r="F2012" t="inlineStr">
        <is>
          <t>SCA</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30041-2022</t>
        </is>
      </c>
      <c r="B2013" s="1" t="n">
        <v>44756</v>
      </c>
      <c r="C2013" s="1" t="n">
        <v>46093</v>
      </c>
      <c r="D2013" t="inlineStr">
        <is>
          <t>VÄSTERNORRLANDS LÄN</t>
        </is>
      </c>
      <c r="E2013" t="inlineStr">
        <is>
          <t>SOLLEFTEÅ</t>
        </is>
      </c>
      <c r="F2013" t="inlineStr">
        <is>
          <t>SCA</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21189-2021</t>
        </is>
      </c>
      <c r="B2014" s="1" t="n">
        <v>44320</v>
      </c>
      <c r="C2014" s="1" t="n">
        <v>46093</v>
      </c>
      <c r="D2014" t="inlineStr">
        <is>
          <t>VÄSTERNORRLANDS LÄN</t>
        </is>
      </c>
      <c r="E2014" t="inlineStr">
        <is>
          <t>ÅNGE</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42281-2022</t>
        </is>
      </c>
      <c r="B2015" s="1" t="n">
        <v>44830</v>
      </c>
      <c r="C2015" s="1" t="n">
        <v>46093</v>
      </c>
      <c r="D2015" t="inlineStr">
        <is>
          <t>VÄSTERNORRLANDS LÄN</t>
        </is>
      </c>
      <c r="E2015" t="inlineStr">
        <is>
          <t>TIMRÅ</t>
        </is>
      </c>
      <c r="F2015" t="inlineStr">
        <is>
          <t>SCA</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44094-2022</t>
        </is>
      </c>
      <c r="B2016" s="1" t="n">
        <v>44839</v>
      </c>
      <c r="C2016" s="1" t="n">
        <v>46093</v>
      </c>
      <c r="D2016" t="inlineStr">
        <is>
          <t>VÄSTERNORRLANDS LÄN</t>
        </is>
      </c>
      <c r="E2016" t="inlineStr">
        <is>
          <t>ÖRNSKÖLDSVIK</t>
        </is>
      </c>
      <c r="F2016" t="inlineStr">
        <is>
          <t>Holmen skog AB</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14084-2022</t>
        </is>
      </c>
      <c r="B2017" s="1" t="n">
        <v>44651</v>
      </c>
      <c r="C2017" s="1" t="n">
        <v>46093</v>
      </c>
      <c r="D2017" t="inlineStr">
        <is>
          <t>VÄSTERNORRLANDS LÄN</t>
        </is>
      </c>
      <c r="E2017" t="inlineStr">
        <is>
          <t>ÅNGE</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14091-2022</t>
        </is>
      </c>
      <c r="B2018" s="1" t="n">
        <v>44651</v>
      </c>
      <c r="C2018" s="1" t="n">
        <v>46093</v>
      </c>
      <c r="D2018" t="inlineStr">
        <is>
          <t>VÄSTERNORRLANDS LÄN</t>
        </is>
      </c>
      <c r="E2018" t="inlineStr">
        <is>
          <t>ÅNGE</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45829-2022</t>
        </is>
      </c>
      <c r="B2019" s="1" t="n">
        <v>44846.48697916666</v>
      </c>
      <c r="C2019" s="1" t="n">
        <v>46093</v>
      </c>
      <c r="D2019" t="inlineStr">
        <is>
          <t>VÄSTERNORRLANDS LÄN</t>
        </is>
      </c>
      <c r="E2019" t="inlineStr">
        <is>
          <t>ÖRNSKÖLDSVIK</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38430-2022</t>
        </is>
      </c>
      <c r="B2020" s="1" t="n">
        <v>44812</v>
      </c>
      <c r="C2020" s="1" t="n">
        <v>46093</v>
      </c>
      <c r="D2020" t="inlineStr">
        <is>
          <t>VÄSTERNORRLANDS LÄN</t>
        </is>
      </c>
      <c r="E2020" t="inlineStr">
        <is>
          <t>SOLLEFTEÅ</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23556-2022</t>
        </is>
      </c>
      <c r="B2021" s="1" t="n">
        <v>44721</v>
      </c>
      <c r="C2021" s="1" t="n">
        <v>46093</v>
      </c>
      <c r="D2021" t="inlineStr">
        <is>
          <t>VÄSTERNORRLANDS LÄN</t>
        </is>
      </c>
      <c r="E2021" t="inlineStr">
        <is>
          <t>SUNDSVALL</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27015-2021</t>
        </is>
      </c>
      <c r="B2022" s="1" t="n">
        <v>44349</v>
      </c>
      <c r="C2022" s="1" t="n">
        <v>46093</v>
      </c>
      <c r="D2022" t="inlineStr">
        <is>
          <t>VÄSTERNORRLANDS LÄN</t>
        </is>
      </c>
      <c r="E2022" t="inlineStr">
        <is>
          <t>SUNDSVALL</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11294-2022</t>
        </is>
      </c>
      <c r="B2023" s="1" t="n">
        <v>44629</v>
      </c>
      <c r="C2023" s="1" t="n">
        <v>46093</v>
      </c>
      <c r="D2023" t="inlineStr">
        <is>
          <t>VÄSTERNORRLANDS LÄN</t>
        </is>
      </c>
      <c r="E2023" t="inlineStr">
        <is>
          <t>KRAMFORS</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42320-2022</t>
        </is>
      </c>
      <c r="B2024" s="1" t="n">
        <v>44831</v>
      </c>
      <c r="C2024" s="1" t="n">
        <v>46093</v>
      </c>
      <c r="D2024" t="inlineStr">
        <is>
          <t>VÄSTERNORRLANDS LÄN</t>
        </is>
      </c>
      <c r="E2024" t="inlineStr">
        <is>
          <t>ÖRNSKÖLDSVIK</t>
        </is>
      </c>
      <c r="G2024" t="n">
        <v>0.1</v>
      </c>
      <c r="H2024" t="n">
        <v>0</v>
      </c>
      <c r="I2024" t="n">
        <v>0</v>
      </c>
      <c r="J2024" t="n">
        <v>0</v>
      </c>
      <c r="K2024" t="n">
        <v>0</v>
      </c>
      <c r="L2024" t="n">
        <v>0</v>
      </c>
      <c r="M2024" t="n">
        <v>0</v>
      </c>
      <c r="N2024" t="n">
        <v>0</v>
      </c>
      <c r="O2024" t="n">
        <v>0</v>
      </c>
      <c r="P2024" t="n">
        <v>0</v>
      </c>
      <c r="Q2024" t="n">
        <v>0</v>
      </c>
      <c r="R2024" s="2" t="inlineStr"/>
    </row>
    <row r="2025" ht="15" customHeight="1">
      <c r="A2025" t="inlineStr">
        <is>
          <t>A 5297-2022</t>
        </is>
      </c>
      <c r="B2025" s="1" t="n">
        <v>44594</v>
      </c>
      <c r="C2025" s="1" t="n">
        <v>46093</v>
      </c>
      <c r="D2025" t="inlineStr">
        <is>
          <t>VÄSTERNORRLANDS LÄN</t>
        </is>
      </c>
      <c r="E2025" t="inlineStr">
        <is>
          <t>KRAMFORS</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28848-2022</t>
        </is>
      </c>
      <c r="B2026" s="1" t="n">
        <v>44749.47483796296</v>
      </c>
      <c r="C2026" s="1" t="n">
        <v>46093</v>
      </c>
      <c r="D2026" t="inlineStr">
        <is>
          <t>VÄSTERNORRLANDS LÄN</t>
        </is>
      </c>
      <c r="E2026" t="inlineStr">
        <is>
          <t>ÖRNSKÖLDSVIK</t>
        </is>
      </c>
      <c r="F2026" t="inlineStr">
        <is>
          <t>Holmen skog AB</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42303-2022</t>
        </is>
      </c>
      <c r="B2027" s="1" t="n">
        <v>44830.95473379629</v>
      </c>
      <c r="C2027" s="1" t="n">
        <v>46093</v>
      </c>
      <c r="D2027" t="inlineStr">
        <is>
          <t>VÄSTERNORRLANDS LÄN</t>
        </is>
      </c>
      <c r="E2027" t="inlineStr">
        <is>
          <t>SOLLEFTEÅ</t>
        </is>
      </c>
      <c r="F2027" t="inlineStr">
        <is>
          <t>SCA</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42319-2021</t>
        </is>
      </c>
      <c r="B2028" s="1" t="n">
        <v>44427</v>
      </c>
      <c r="C2028" s="1" t="n">
        <v>46093</v>
      </c>
      <c r="D2028" t="inlineStr">
        <is>
          <t>VÄSTERNORRLANDS LÄN</t>
        </is>
      </c>
      <c r="E2028" t="inlineStr">
        <is>
          <t>ÖRNSKÖLDSVIK</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5366-2022</t>
        </is>
      </c>
      <c r="B2029" s="1" t="n">
        <v>44594.92107638889</v>
      </c>
      <c r="C2029" s="1" t="n">
        <v>46093</v>
      </c>
      <c r="D2029" t="inlineStr">
        <is>
          <t>VÄSTERNORRLANDS LÄN</t>
        </is>
      </c>
      <c r="E2029" t="inlineStr">
        <is>
          <t>ÅNGE</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42339-2021</t>
        </is>
      </c>
      <c r="B2030" s="1" t="n">
        <v>44427</v>
      </c>
      <c r="C2030" s="1" t="n">
        <v>46093</v>
      </c>
      <c r="D2030" t="inlineStr">
        <is>
          <t>VÄSTERNORRLANDS LÄN</t>
        </is>
      </c>
      <c r="E2030" t="inlineStr">
        <is>
          <t>ÖRNSKÖLDSVIK</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41248-2022</t>
        </is>
      </c>
      <c r="B2031" s="1" t="n">
        <v>44826.36435185185</v>
      </c>
      <c r="C2031" s="1" t="n">
        <v>46093</v>
      </c>
      <c r="D2031" t="inlineStr">
        <is>
          <t>VÄSTERNORRLANDS LÄN</t>
        </is>
      </c>
      <c r="E2031" t="inlineStr">
        <is>
          <t>ÖRNSKÖLDSVIK</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26415-2022</t>
        </is>
      </c>
      <c r="B2032" s="1" t="n">
        <v>44735</v>
      </c>
      <c r="C2032" s="1" t="n">
        <v>46093</v>
      </c>
      <c r="D2032" t="inlineStr">
        <is>
          <t>VÄSTERNORRLANDS LÄN</t>
        </is>
      </c>
      <c r="E2032" t="inlineStr">
        <is>
          <t>SOLLEFTEÅ</t>
        </is>
      </c>
      <c r="F2032" t="inlineStr">
        <is>
          <t>SCA</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3549-2022</t>
        </is>
      </c>
      <c r="B2033" s="1" t="n">
        <v>44585</v>
      </c>
      <c r="C2033" s="1" t="n">
        <v>46093</v>
      </c>
      <c r="D2033" t="inlineStr">
        <is>
          <t>VÄSTERNORRLANDS LÄN</t>
        </is>
      </c>
      <c r="E2033" t="inlineStr">
        <is>
          <t>SOLLEFTEÅ</t>
        </is>
      </c>
      <c r="F2033" t="inlineStr">
        <is>
          <t>SCA</t>
        </is>
      </c>
      <c r="G2033" t="n">
        <v>4.9</v>
      </c>
      <c r="H2033" t="n">
        <v>0</v>
      </c>
      <c r="I2033" t="n">
        <v>0</v>
      </c>
      <c r="J2033" t="n">
        <v>0</v>
      </c>
      <c r="K2033" t="n">
        <v>0</v>
      </c>
      <c r="L2033" t="n">
        <v>0</v>
      </c>
      <c r="M2033" t="n">
        <v>0</v>
      </c>
      <c r="N2033" t="n">
        <v>0</v>
      </c>
      <c r="O2033" t="n">
        <v>0</v>
      </c>
      <c r="P2033" t="n">
        <v>0</v>
      </c>
      <c r="Q2033" t="n">
        <v>0</v>
      </c>
      <c r="R2033" s="2" t="inlineStr"/>
    </row>
    <row r="2034" ht="15" customHeight="1">
      <c r="A2034" t="inlineStr">
        <is>
          <t>A 5654-2022</t>
        </is>
      </c>
      <c r="B2034" s="1" t="n">
        <v>44595</v>
      </c>
      <c r="C2034" s="1" t="n">
        <v>46093</v>
      </c>
      <c r="D2034" t="inlineStr">
        <is>
          <t>VÄSTERNORRLANDS LÄN</t>
        </is>
      </c>
      <c r="E2034" t="inlineStr">
        <is>
          <t>SUNDSVALL</t>
        </is>
      </c>
      <c r="F2034" t="inlineStr">
        <is>
          <t>SCA</t>
        </is>
      </c>
      <c r="G2034" t="n">
        <v>7</v>
      </c>
      <c r="H2034" t="n">
        <v>0</v>
      </c>
      <c r="I2034" t="n">
        <v>0</v>
      </c>
      <c r="J2034" t="n">
        <v>0</v>
      </c>
      <c r="K2034" t="n">
        <v>0</v>
      </c>
      <c r="L2034" t="n">
        <v>0</v>
      </c>
      <c r="M2034" t="n">
        <v>0</v>
      </c>
      <c r="N2034" t="n">
        <v>0</v>
      </c>
      <c r="O2034" t="n">
        <v>0</v>
      </c>
      <c r="P2034" t="n">
        <v>0</v>
      </c>
      <c r="Q2034" t="n">
        <v>0</v>
      </c>
      <c r="R2034" s="2" t="inlineStr"/>
    </row>
    <row r="2035" ht="15" customHeight="1">
      <c r="A2035" t="inlineStr">
        <is>
          <t>A 68876-2021</t>
        </is>
      </c>
      <c r="B2035" s="1" t="n">
        <v>44530</v>
      </c>
      <c r="C2035" s="1" t="n">
        <v>46093</v>
      </c>
      <c r="D2035" t="inlineStr">
        <is>
          <t>VÄSTERNORRLANDS LÄN</t>
        </is>
      </c>
      <c r="E2035" t="inlineStr">
        <is>
          <t>ÖRNSKÖLDSVIK</t>
        </is>
      </c>
      <c r="G2035" t="n">
        <v>7.3</v>
      </c>
      <c r="H2035" t="n">
        <v>0</v>
      </c>
      <c r="I2035" t="n">
        <v>0</v>
      </c>
      <c r="J2035" t="n">
        <v>0</v>
      </c>
      <c r="K2035" t="n">
        <v>0</v>
      </c>
      <c r="L2035" t="n">
        <v>0</v>
      </c>
      <c r="M2035" t="n">
        <v>0</v>
      </c>
      <c r="N2035" t="n">
        <v>0</v>
      </c>
      <c r="O2035" t="n">
        <v>0</v>
      </c>
      <c r="P2035" t="n">
        <v>0</v>
      </c>
      <c r="Q2035" t="n">
        <v>0</v>
      </c>
      <c r="R2035" s="2" t="inlineStr"/>
    </row>
    <row r="2036" ht="15" customHeight="1">
      <c r="A2036" t="inlineStr">
        <is>
          <t>A 44843-2022</t>
        </is>
      </c>
      <c r="B2036" s="1" t="n">
        <v>44839</v>
      </c>
      <c r="C2036" s="1" t="n">
        <v>46093</v>
      </c>
      <c r="D2036" t="inlineStr">
        <is>
          <t>VÄSTERNORRLANDS LÄN</t>
        </is>
      </c>
      <c r="E2036" t="inlineStr">
        <is>
          <t>ÖRNSKÖLDSVIK</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73886-2021</t>
        </is>
      </c>
      <c r="B2037" s="1" t="n">
        <v>44553</v>
      </c>
      <c r="C2037" s="1" t="n">
        <v>46093</v>
      </c>
      <c r="D2037" t="inlineStr">
        <is>
          <t>VÄSTERNORRLANDS LÄN</t>
        </is>
      </c>
      <c r="E2037" t="inlineStr">
        <is>
          <t>SOLLEFTEÅ</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8581-2022</t>
        </is>
      </c>
      <c r="B2038" s="1" t="n">
        <v>44613</v>
      </c>
      <c r="C2038" s="1" t="n">
        <v>46093</v>
      </c>
      <c r="D2038" t="inlineStr">
        <is>
          <t>VÄSTERNORRLANDS LÄN</t>
        </is>
      </c>
      <c r="E2038" t="inlineStr">
        <is>
          <t>ÖRNSKÖLDSVIK</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41196-2022</t>
        </is>
      </c>
      <c r="B2039" s="1" t="n">
        <v>44825.94994212963</v>
      </c>
      <c r="C2039" s="1" t="n">
        <v>46093</v>
      </c>
      <c r="D2039" t="inlineStr">
        <is>
          <t>VÄSTERNORRLANDS LÄN</t>
        </is>
      </c>
      <c r="E2039" t="inlineStr">
        <is>
          <t>SOLLEFTEÅ</t>
        </is>
      </c>
      <c r="F2039" t="inlineStr">
        <is>
          <t>SCA</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38095-2022</t>
        </is>
      </c>
      <c r="B2040" s="1" t="n">
        <v>44811</v>
      </c>
      <c r="C2040" s="1" t="n">
        <v>46093</v>
      </c>
      <c r="D2040" t="inlineStr">
        <is>
          <t>VÄSTERNORRLANDS LÄN</t>
        </is>
      </c>
      <c r="E2040" t="inlineStr">
        <is>
          <t>SOLLEFTEÅ</t>
        </is>
      </c>
      <c r="F2040" t="inlineStr">
        <is>
          <t>SCA</t>
        </is>
      </c>
      <c r="G2040" t="n">
        <v>4.4</v>
      </c>
      <c r="H2040" t="n">
        <v>0</v>
      </c>
      <c r="I2040" t="n">
        <v>0</v>
      </c>
      <c r="J2040" t="n">
        <v>0</v>
      </c>
      <c r="K2040" t="n">
        <v>0</v>
      </c>
      <c r="L2040" t="n">
        <v>0</v>
      </c>
      <c r="M2040" t="n">
        <v>0</v>
      </c>
      <c r="N2040" t="n">
        <v>0</v>
      </c>
      <c r="O2040" t="n">
        <v>0</v>
      </c>
      <c r="P2040" t="n">
        <v>0</v>
      </c>
      <c r="Q2040" t="n">
        <v>0</v>
      </c>
      <c r="R2040" s="2" t="inlineStr"/>
    </row>
    <row r="2041" ht="15" customHeight="1">
      <c r="A2041" t="inlineStr">
        <is>
          <t>A 35181-2021</t>
        </is>
      </c>
      <c r="B2041" s="1" t="n">
        <v>44384</v>
      </c>
      <c r="C2041" s="1" t="n">
        <v>46093</v>
      </c>
      <c r="D2041" t="inlineStr">
        <is>
          <t>VÄSTERNORRLANDS LÄN</t>
        </is>
      </c>
      <c r="E2041" t="inlineStr">
        <is>
          <t>HÄRNÖSAND</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3551-2022</t>
        </is>
      </c>
      <c r="B2042" s="1" t="n">
        <v>44585.93800925926</v>
      </c>
      <c r="C2042" s="1" t="n">
        <v>46093</v>
      </c>
      <c r="D2042" t="inlineStr">
        <is>
          <t>VÄSTERNORRLANDS LÄN</t>
        </is>
      </c>
      <c r="E2042" t="inlineStr">
        <is>
          <t>SOLLEFTEÅ</t>
        </is>
      </c>
      <c r="F2042" t="inlineStr">
        <is>
          <t>SCA</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35867-2022</t>
        </is>
      </c>
      <c r="B2043" s="1" t="n">
        <v>44802</v>
      </c>
      <c r="C2043" s="1" t="n">
        <v>46093</v>
      </c>
      <c r="D2043" t="inlineStr">
        <is>
          <t>VÄSTERNORRLANDS LÄN</t>
        </is>
      </c>
      <c r="E2043" t="inlineStr">
        <is>
          <t>KRAMFORS</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46351-2022</t>
        </is>
      </c>
      <c r="B2044" s="1" t="n">
        <v>44847</v>
      </c>
      <c r="C2044" s="1" t="n">
        <v>46093</v>
      </c>
      <c r="D2044" t="inlineStr">
        <is>
          <t>VÄSTERNORRLANDS LÄN</t>
        </is>
      </c>
      <c r="E2044" t="inlineStr">
        <is>
          <t>ÅNGE</t>
        </is>
      </c>
      <c r="F2044" t="inlineStr">
        <is>
          <t>SCA</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36034-2021</t>
        </is>
      </c>
      <c r="B2045" s="1" t="n">
        <v>44385</v>
      </c>
      <c r="C2045" s="1" t="n">
        <v>46093</v>
      </c>
      <c r="D2045" t="inlineStr">
        <is>
          <t>VÄSTERNORRLANDS LÄN</t>
        </is>
      </c>
      <c r="E2045" t="inlineStr">
        <is>
          <t>ÖRNSKÖLDSVIK</t>
        </is>
      </c>
      <c r="G2045" t="n">
        <v>15.6</v>
      </c>
      <c r="H2045" t="n">
        <v>0</v>
      </c>
      <c r="I2045" t="n">
        <v>0</v>
      </c>
      <c r="J2045" t="n">
        <v>0</v>
      </c>
      <c r="K2045" t="n">
        <v>0</v>
      </c>
      <c r="L2045" t="n">
        <v>0</v>
      </c>
      <c r="M2045" t="n">
        <v>0</v>
      </c>
      <c r="N2045" t="n">
        <v>0</v>
      </c>
      <c r="O2045" t="n">
        <v>0</v>
      </c>
      <c r="P2045" t="n">
        <v>0</v>
      </c>
      <c r="Q2045" t="n">
        <v>0</v>
      </c>
      <c r="R2045" s="2" t="inlineStr"/>
    </row>
    <row r="2046" ht="15" customHeight="1">
      <c r="A2046" t="inlineStr">
        <is>
          <t>A 44406-2022</t>
        </is>
      </c>
      <c r="B2046" s="1" t="n">
        <v>44838</v>
      </c>
      <c r="C2046" s="1" t="n">
        <v>46093</v>
      </c>
      <c r="D2046" t="inlineStr">
        <is>
          <t>VÄSTERNORRLANDS LÄN</t>
        </is>
      </c>
      <c r="E2046" t="inlineStr">
        <is>
          <t>SUNDSVALL</t>
        </is>
      </c>
      <c r="G2046" t="n">
        <v>0.3</v>
      </c>
      <c r="H2046" t="n">
        <v>0</v>
      </c>
      <c r="I2046" t="n">
        <v>0</v>
      </c>
      <c r="J2046" t="n">
        <v>0</v>
      </c>
      <c r="K2046" t="n">
        <v>0</v>
      </c>
      <c r="L2046" t="n">
        <v>0</v>
      </c>
      <c r="M2046" t="n">
        <v>0</v>
      </c>
      <c r="N2046" t="n">
        <v>0</v>
      </c>
      <c r="O2046" t="n">
        <v>0</v>
      </c>
      <c r="P2046" t="n">
        <v>0</v>
      </c>
      <c r="Q2046" t="n">
        <v>0</v>
      </c>
      <c r="R2046" s="2" t="inlineStr"/>
    </row>
    <row r="2047" ht="15" customHeight="1">
      <c r="A2047" t="inlineStr">
        <is>
          <t>A 44413-2022</t>
        </is>
      </c>
      <c r="B2047" s="1" t="n">
        <v>44839.92630787037</v>
      </c>
      <c r="C2047" s="1" t="n">
        <v>46093</v>
      </c>
      <c r="D2047" t="inlineStr">
        <is>
          <t>VÄSTERNORRLANDS LÄN</t>
        </is>
      </c>
      <c r="E2047" t="inlineStr">
        <is>
          <t>ÅNGE</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44415-2022</t>
        </is>
      </c>
      <c r="B2048" s="1" t="n">
        <v>44839</v>
      </c>
      <c r="C2048" s="1" t="n">
        <v>46093</v>
      </c>
      <c r="D2048" t="inlineStr">
        <is>
          <t>VÄSTERNORRLANDS LÄN</t>
        </is>
      </c>
      <c r="E2048" t="inlineStr">
        <is>
          <t>SUNDSVALL</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44416-2022</t>
        </is>
      </c>
      <c r="B2049" s="1" t="n">
        <v>44839</v>
      </c>
      <c r="C2049" s="1" t="n">
        <v>46093</v>
      </c>
      <c r="D2049" t="inlineStr">
        <is>
          <t>VÄSTERNORRLANDS LÄN</t>
        </is>
      </c>
      <c r="E2049" t="inlineStr">
        <is>
          <t>SUNDSVALL</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35574-2021</t>
        </is>
      </c>
      <c r="B2050" s="1" t="n">
        <v>44385.93663194445</v>
      </c>
      <c r="C2050" s="1" t="n">
        <v>46093</v>
      </c>
      <c r="D2050" t="inlineStr">
        <is>
          <t>VÄSTERNORRLANDS LÄN</t>
        </is>
      </c>
      <c r="E2050" t="inlineStr">
        <is>
          <t>SOLLEFTEÅ</t>
        </is>
      </c>
      <c r="F2050" t="inlineStr">
        <is>
          <t>SCA</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44446-2021</t>
        </is>
      </c>
      <c r="B2051" s="1" t="n">
        <v>44435</v>
      </c>
      <c r="C2051" s="1" t="n">
        <v>46093</v>
      </c>
      <c r="D2051" t="inlineStr">
        <is>
          <t>VÄSTERNORRLANDS LÄN</t>
        </is>
      </c>
      <c r="E2051" t="inlineStr">
        <is>
          <t>ÖRNSKÖLDSVIK</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53012-2022</t>
        </is>
      </c>
      <c r="B2052" s="1" t="n">
        <v>44875.95450231482</v>
      </c>
      <c r="C2052" s="1" t="n">
        <v>46093</v>
      </c>
      <c r="D2052" t="inlineStr">
        <is>
          <t>VÄSTERNORRLANDS LÄN</t>
        </is>
      </c>
      <c r="E2052" t="inlineStr">
        <is>
          <t>SOLLEFTEÅ</t>
        </is>
      </c>
      <c r="F2052" t="inlineStr">
        <is>
          <t>SCA</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10308-2022</t>
        </is>
      </c>
      <c r="B2053" s="1" t="n">
        <v>44622</v>
      </c>
      <c r="C2053" s="1" t="n">
        <v>46093</v>
      </c>
      <c r="D2053" t="inlineStr">
        <is>
          <t>VÄSTERNORRLANDS LÄN</t>
        </is>
      </c>
      <c r="E2053" t="inlineStr">
        <is>
          <t>SOLLEFTEÅ</t>
        </is>
      </c>
      <c r="F2053" t="inlineStr">
        <is>
          <t>SCA</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10311-2022</t>
        </is>
      </c>
      <c r="B2054" s="1" t="n">
        <v>44622.94049768519</v>
      </c>
      <c r="C2054" s="1" t="n">
        <v>46093</v>
      </c>
      <c r="D2054" t="inlineStr">
        <is>
          <t>VÄSTERNORRLANDS LÄN</t>
        </is>
      </c>
      <c r="E2054" t="inlineStr">
        <is>
          <t>SOLLEFTEÅ</t>
        </is>
      </c>
      <c r="F2054" t="inlineStr">
        <is>
          <t>SCA</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10141-2022</t>
        </is>
      </c>
      <c r="B2055" s="1" t="n">
        <v>44621</v>
      </c>
      <c r="C2055" s="1" t="n">
        <v>46093</v>
      </c>
      <c r="D2055" t="inlineStr">
        <is>
          <t>VÄSTERNORRLANDS LÄN</t>
        </is>
      </c>
      <c r="E2055" t="inlineStr">
        <is>
          <t>SOLLEFTEÅ</t>
        </is>
      </c>
      <c r="F2055" t="inlineStr">
        <is>
          <t>SCA</t>
        </is>
      </c>
      <c r="G2055" t="n">
        <v>15.5</v>
      </c>
      <c r="H2055" t="n">
        <v>0</v>
      </c>
      <c r="I2055" t="n">
        <v>0</v>
      </c>
      <c r="J2055" t="n">
        <v>0</v>
      </c>
      <c r="K2055" t="n">
        <v>0</v>
      </c>
      <c r="L2055" t="n">
        <v>0</v>
      </c>
      <c r="M2055" t="n">
        <v>0</v>
      </c>
      <c r="N2055" t="n">
        <v>0</v>
      </c>
      <c r="O2055" t="n">
        <v>0</v>
      </c>
      <c r="P2055" t="n">
        <v>0</v>
      </c>
      <c r="Q2055" t="n">
        <v>0</v>
      </c>
      <c r="R2055" s="2" t="inlineStr"/>
    </row>
    <row r="2056" ht="15" customHeight="1">
      <c r="A2056" t="inlineStr">
        <is>
          <t>A 43848-2021</t>
        </is>
      </c>
      <c r="B2056" s="1" t="n">
        <v>44433.94230324074</v>
      </c>
      <c r="C2056" s="1" t="n">
        <v>46093</v>
      </c>
      <c r="D2056" t="inlineStr">
        <is>
          <t>VÄSTERNORRLANDS LÄN</t>
        </is>
      </c>
      <c r="E2056" t="inlineStr">
        <is>
          <t>TIMRÅ</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10198-2022</t>
        </is>
      </c>
      <c r="B2057" s="1" t="n">
        <v>44622.44116898148</v>
      </c>
      <c r="C2057" s="1" t="n">
        <v>46093</v>
      </c>
      <c r="D2057" t="inlineStr">
        <is>
          <t>VÄSTERNORRLANDS LÄN</t>
        </is>
      </c>
      <c r="E2057" t="inlineStr">
        <is>
          <t>SOLLEFTEÅ</t>
        </is>
      </c>
      <c r="G2057" t="n">
        <v>5.9</v>
      </c>
      <c r="H2057" t="n">
        <v>0</v>
      </c>
      <c r="I2057" t="n">
        <v>0</v>
      </c>
      <c r="J2057" t="n">
        <v>0</v>
      </c>
      <c r="K2057" t="n">
        <v>0</v>
      </c>
      <c r="L2057" t="n">
        <v>0</v>
      </c>
      <c r="M2057" t="n">
        <v>0</v>
      </c>
      <c r="N2057" t="n">
        <v>0</v>
      </c>
      <c r="O2057" t="n">
        <v>0</v>
      </c>
      <c r="P2057" t="n">
        <v>0</v>
      </c>
      <c r="Q2057" t="n">
        <v>0</v>
      </c>
      <c r="R2057" s="2" t="inlineStr"/>
    </row>
    <row r="2058" ht="15" customHeight="1">
      <c r="A2058" t="inlineStr">
        <is>
          <t>A 10309-2022</t>
        </is>
      </c>
      <c r="B2058" s="1" t="n">
        <v>44622</v>
      </c>
      <c r="C2058" s="1" t="n">
        <v>46093</v>
      </c>
      <c r="D2058" t="inlineStr">
        <is>
          <t>VÄSTERNORRLANDS LÄN</t>
        </is>
      </c>
      <c r="E2058" t="inlineStr">
        <is>
          <t>SOLLEFTEÅ</t>
        </is>
      </c>
      <c r="F2058" t="inlineStr">
        <is>
          <t>SCA</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12800-2021</t>
        </is>
      </c>
      <c r="B2059" s="1" t="n">
        <v>44270.92056712963</v>
      </c>
      <c r="C2059" s="1" t="n">
        <v>46093</v>
      </c>
      <c r="D2059" t="inlineStr">
        <is>
          <t>VÄSTERNORRLANDS LÄN</t>
        </is>
      </c>
      <c r="E2059" t="inlineStr">
        <is>
          <t>ÅNGE</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10310-2022</t>
        </is>
      </c>
      <c r="B2060" s="1" t="n">
        <v>44622.94043981482</v>
      </c>
      <c r="C2060" s="1" t="n">
        <v>46093</v>
      </c>
      <c r="D2060" t="inlineStr">
        <is>
          <t>VÄSTERNORRLANDS LÄN</t>
        </is>
      </c>
      <c r="E2060" t="inlineStr">
        <is>
          <t>SOLLEFTEÅ</t>
        </is>
      </c>
      <c r="F2060" t="inlineStr">
        <is>
          <t>SCA</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19136-2021</t>
        </is>
      </c>
      <c r="B2061" s="1" t="n">
        <v>44308</v>
      </c>
      <c r="C2061" s="1" t="n">
        <v>46093</v>
      </c>
      <c r="D2061" t="inlineStr">
        <is>
          <t>VÄSTERNORRLANDS LÄN</t>
        </is>
      </c>
      <c r="E2061" t="inlineStr">
        <is>
          <t>KRAMFORS</t>
        </is>
      </c>
      <c r="G2061" t="n">
        <v>4</v>
      </c>
      <c r="H2061" t="n">
        <v>0</v>
      </c>
      <c r="I2061" t="n">
        <v>0</v>
      </c>
      <c r="J2061" t="n">
        <v>0</v>
      </c>
      <c r="K2061" t="n">
        <v>0</v>
      </c>
      <c r="L2061" t="n">
        <v>0</v>
      </c>
      <c r="M2061" t="n">
        <v>0</v>
      </c>
      <c r="N2061" t="n">
        <v>0</v>
      </c>
      <c r="O2061" t="n">
        <v>0</v>
      </c>
      <c r="P2061" t="n">
        <v>0</v>
      </c>
      <c r="Q2061" t="n">
        <v>0</v>
      </c>
      <c r="R2061" s="2" t="inlineStr"/>
    </row>
    <row r="2062" ht="15" customHeight="1">
      <c r="A2062" t="inlineStr">
        <is>
          <t>A 45441-2021</t>
        </is>
      </c>
      <c r="B2062" s="1" t="n">
        <v>44440</v>
      </c>
      <c r="C2062" s="1" t="n">
        <v>46093</v>
      </c>
      <c r="D2062" t="inlineStr">
        <is>
          <t>VÄSTERNORRLANDS LÄN</t>
        </is>
      </c>
      <c r="E2062" t="inlineStr">
        <is>
          <t>TIMRÅ</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63699-2021</t>
        </is>
      </c>
      <c r="B2063" s="1" t="n">
        <v>44509.40767361111</v>
      </c>
      <c r="C2063" s="1" t="n">
        <v>46093</v>
      </c>
      <c r="D2063" t="inlineStr">
        <is>
          <t>VÄSTERNORRLANDS LÄN</t>
        </is>
      </c>
      <c r="E2063" t="inlineStr">
        <is>
          <t>KRAMFORS</t>
        </is>
      </c>
      <c r="G2063" t="n">
        <v>5</v>
      </c>
      <c r="H2063" t="n">
        <v>0</v>
      </c>
      <c r="I2063" t="n">
        <v>0</v>
      </c>
      <c r="J2063" t="n">
        <v>0</v>
      </c>
      <c r="K2063" t="n">
        <v>0</v>
      </c>
      <c r="L2063" t="n">
        <v>0</v>
      </c>
      <c r="M2063" t="n">
        <v>0</v>
      </c>
      <c r="N2063" t="n">
        <v>0</v>
      </c>
      <c r="O2063" t="n">
        <v>0</v>
      </c>
      <c r="P2063" t="n">
        <v>0</v>
      </c>
      <c r="Q2063" t="n">
        <v>0</v>
      </c>
      <c r="R2063" s="2" t="inlineStr"/>
    </row>
    <row r="2064" ht="15" customHeight="1">
      <c r="A2064" t="inlineStr">
        <is>
          <t>A 22194-2022</t>
        </is>
      </c>
      <c r="B2064" s="1" t="n">
        <v>44712</v>
      </c>
      <c r="C2064" s="1" t="n">
        <v>46093</v>
      </c>
      <c r="D2064" t="inlineStr">
        <is>
          <t>VÄSTERNORRLANDS LÄN</t>
        </is>
      </c>
      <c r="E2064" t="inlineStr">
        <is>
          <t>TIMRÅ</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42195-2021</t>
        </is>
      </c>
      <c r="B2065" s="1" t="n">
        <v>44426.69466435185</v>
      </c>
      <c r="C2065" s="1" t="n">
        <v>46093</v>
      </c>
      <c r="D2065" t="inlineStr">
        <is>
          <t>VÄSTERNORRLANDS LÄN</t>
        </is>
      </c>
      <c r="E2065" t="inlineStr">
        <is>
          <t>SUNDSVALL</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24735-2022</t>
        </is>
      </c>
      <c r="B2066" s="1" t="n">
        <v>44727.94346064814</v>
      </c>
      <c r="C2066" s="1" t="n">
        <v>46093</v>
      </c>
      <c r="D2066" t="inlineStr">
        <is>
          <t>VÄSTERNORRLANDS LÄN</t>
        </is>
      </c>
      <c r="E2066" t="inlineStr">
        <is>
          <t>SOLLEFTEÅ</t>
        </is>
      </c>
      <c r="F2066" t="inlineStr">
        <is>
          <t>SCA</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14477-2022</t>
        </is>
      </c>
      <c r="B2067" s="1" t="n">
        <v>44654.93954861111</v>
      </c>
      <c r="C2067" s="1" t="n">
        <v>46093</v>
      </c>
      <c r="D2067" t="inlineStr">
        <is>
          <t>VÄSTERNORRLANDS LÄN</t>
        </is>
      </c>
      <c r="E2067" t="inlineStr">
        <is>
          <t>SOLLEFTEÅ</t>
        </is>
      </c>
      <c r="F2067" t="inlineStr">
        <is>
          <t>SCA</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53010-2022</t>
        </is>
      </c>
      <c r="B2068" s="1" t="n">
        <v>44875</v>
      </c>
      <c r="C2068" s="1" t="n">
        <v>46093</v>
      </c>
      <c r="D2068" t="inlineStr">
        <is>
          <t>VÄSTERNORRLANDS LÄN</t>
        </is>
      </c>
      <c r="E2068" t="inlineStr">
        <is>
          <t>ÅNGE</t>
        </is>
      </c>
      <c r="F2068" t="inlineStr">
        <is>
          <t>SCA</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55896-2022</t>
        </is>
      </c>
      <c r="B2069" s="1" t="n">
        <v>44888.95318287037</v>
      </c>
      <c r="C2069" s="1" t="n">
        <v>46093</v>
      </c>
      <c r="D2069" t="inlineStr">
        <is>
          <t>VÄSTERNORRLANDS LÄN</t>
        </is>
      </c>
      <c r="E2069" t="inlineStr">
        <is>
          <t>SUNDSVALL</t>
        </is>
      </c>
      <c r="F2069" t="inlineStr">
        <is>
          <t>SCA</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59326-2021</t>
        </is>
      </c>
      <c r="B2070" s="1" t="n">
        <v>44490.94144675926</v>
      </c>
      <c r="C2070" s="1" t="n">
        <v>46093</v>
      </c>
      <c r="D2070" t="inlineStr">
        <is>
          <t>VÄSTERNORRLANDS LÄN</t>
        </is>
      </c>
      <c r="E2070" t="inlineStr">
        <is>
          <t>SUNDSVALL</t>
        </is>
      </c>
      <c r="F2070" t="inlineStr">
        <is>
          <t>SCA</t>
        </is>
      </c>
      <c r="G2070" t="n">
        <v>3.8</v>
      </c>
      <c r="H2070" t="n">
        <v>0</v>
      </c>
      <c r="I2070" t="n">
        <v>0</v>
      </c>
      <c r="J2070" t="n">
        <v>0</v>
      </c>
      <c r="K2070" t="n">
        <v>0</v>
      </c>
      <c r="L2070" t="n">
        <v>0</v>
      </c>
      <c r="M2070" t="n">
        <v>0</v>
      </c>
      <c r="N2070" t="n">
        <v>0</v>
      </c>
      <c r="O2070" t="n">
        <v>0</v>
      </c>
      <c r="P2070" t="n">
        <v>0</v>
      </c>
      <c r="Q2070" t="n">
        <v>0</v>
      </c>
      <c r="R2070" s="2" t="inlineStr"/>
    </row>
    <row r="2071" ht="15" customHeight="1">
      <c r="A2071" t="inlineStr">
        <is>
          <t>A 59343-2021</t>
        </is>
      </c>
      <c r="B2071" s="1" t="n">
        <v>44490</v>
      </c>
      <c r="C2071" s="1" t="n">
        <v>46093</v>
      </c>
      <c r="D2071" t="inlineStr">
        <is>
          <t>VÄSTERNORRLANDS LÄN</t>
        </is>
      </c>
      <c r="E2071" t="inlineStr">
        <is>
          <t>SOLLEFTEÅ</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50867-2022</t>
        </is>
      </c>
      <c r="B2072" s="1" t="n">
        <v>44867</v>
      </c>
      <c r="C2072" s="1" t="n">
        <v>46093</v>
      </c>
      <c r="D2072" t="inlineStr">
        <is>
          <t>VÄSTERNORRLANDS LÄN</t>
        </is>
      </c>
      <c r="E2072" t="inlineStr">
        <is>
          <t>ÖRNSKÖLDSVIK</t>
        </is>
      </c>
      <c r="F2072" t="inlineStr">
        <is>
          <t>Holmen skog AB</t>
        </is>
      </c>
      <c r="G2072" t="n">
        <v>14.5</v>
      </c>
      <c r="H2072" t="n">
        <v>0</v>
      </c>
      <c r="I2072" t="n">
        <v>0</v>
      </c>
      <c r="J2072" t="n">
        <v>0</v>
      </c>
      <c r="K2072" t="n">
        <v>0</v>
      </c>
      <c r="L2072" t="n">
        <v>0</v>
      </c>
      <c r="M2072" t="n">
        <v>0</v>
      </c>
      <c r="N2072" t="n">
        <v>0</v>
      </c>
      <c r="O2072" t="n">
        <v>0</v>
      </c>
      <c r="P2072" t="n">
        <v>0</v>
      </c>
      <c r="Q2072" t="n">
        <v>0</v>
      </c>
      <c r="R2072" s="2" t="inlineStr"/>
    </row>
    <row r="2073" ht="15" customHeight="1">
      <c r="A2073" t="inlineStr">
        <is>
          <t>A 71559-2021</t>
        </is>
      </c>
      <c r="B2073" s="1" t="n">
        <v>44540.71927083333</v>
      </c>
      <c r="C2073" s="1" t="n">
        <v>46093</v>
      </c>
      <c r="D2073" t="inlineStr">
        <is>
          <t>VÄSTERNORRLANDS LÄN</t>
        </is>
      </c>
      <c r="E2073" t="inlineStr">
        <is>
          <t>KRAMFORS</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21644-2021</t>
        </is>
      </c>
      <c r="B2074" s="1" t="n">
        <v>44321</v>
      </c>
      <c r="C2074" s="1" t="n">
        <v>46093</v>
      </c>
      <c r="D2074" t="inlineStr">
        <is>
          <t>VÄSTERNORRLANDS LÄN</t>
        </is>
      </c>
      <c r="E2074" t="inlineStr">
        <is>
          <t>KRAMFORS</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14447-2022</t>
        </is>
      </c>
      <c r="B2075" s="1" t="n">
        <v>44652.94510416667</v>
      </c>
      <c r="C2075" s="1" t="n">
        <v>46093</v>
      </c>
      <c r="D2075" t="inlineStr">
        <is>
          <t>VÄSTERNORRLANDS LÄN</t>
        </is>
      </c>
      <c r="E2075" t="inlineStr">
        <is>
          <t>SOLLEFTEÅ</t>
        </is>
      </c>
      <c r="F2075" t="inlineStr">
        <is>
          <t>SCA</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27283-2022</t>
        </is>
      </c>
      <c r="B2076" s="1" t="n">
        <v>44741.94023148148</v>
      </c>
      <c r="C2076" s="1" t="n">
        <v>46093</v>
      </c>
      <c r="D2076" t="inlineStr">
        <is>
          <t>VÄSTERNORRLANDS LÄN</t>
        </is>
      </c>
      <c r="E2076" t="inlineStr">
        <is>
          <t>SOLLEFTEÅ</t>
        </is>
      </c>
      <c r="F2076" t="inlineStr">
        <is>
          <t>SCA</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33030-2021</t>
        </is>
      </c>
      <c r="B2077" s="1" t="n">
        <v>44376.49277777778</v>
      </c>
      <c r="C2077" s="1" t="n">
        <v>46093</v>
      </c>
      <c r="D2077" t="inlineStr">
        <is>
          <t>VÄSTERNORRLANDS LÄN</t>
        </is>
      </c>
      <c r="E2077" t="inlineStr">
        <is>
          <t>ÖRNSKÖLDSVIK</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53289-2021</t>
        </is>
      </c>
      <c r="B2078" s="1" t="n">
        <v>44467</v>
      </c>
      <c r="C2078" s="1" t="n">
        <v>46093</v>
      </c>
      <c r="D2078" t="inlineStr">
        <is>
          <t>VÄSTERNORRLANDS LÄN</t>
        </is>
      </c>
      <c r="E2078" t="inlineStr">
        <is>
          <t>SOLLEFTEÅ</t>
        </is>
      </c>
      <c r="G2078" t="n">
        <v>6.5</v>
      </c>
      <c r="H2078" t="n">
        <v>0</v>
      </c>
      <c r="I2078" t="n">
        <v>0</v>
      </c>
      <c r="J2078" t="n">
        <v>0</v>
      </c>
      <c r="K2078" t="n">
        <v>0</v>
      </c>
      <c r="L2078" t="n">
        <v>0</v>
      </c>
      <c r="M2078" t="n">
        <v>0</v>
      </c>
      <c r="N2078" t="n">
        <v>0</v>
      </c>
      <c r="O2078" t="n">
        <v>0</v>
      </c>
      <c r="P2078" t="n">
        <v>0</v>
      </c>
      <c r="Q2078" t="n">
        <v>0</v>
      </c>
      <c r="R2078" s="2" t="inlineStr"/>
    </row>
    <row r="2079" ht="15" customHeight="1">
      <c r="A2079" t="inlineStr">
        <is>
          <t>A 21595-2022</t>
        </is>
      </c>
      <c r="B2079" s="1" t="n">
        <v>44706</v>
      </c>
      <c r="C2079" s="1" t="n">
        <v>46093</v>
      </c>
      <c r="D2079" t="inlineStr">
        <is>
          <t>VÄSTERNORRLANDS LÄN</t>
        </is>
      </c>
      <c r="E2079" t="inlineStr">
        <is>
          <t>ÖRNSKÖLDSVIK</t>
        </is>
      </c>
      <c r="F2079" t="inlineStr">
        <is>
          <t>Holmen skog AB</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21635-2022</t>
        </is>
      </c>
      <c r="B2080" s="1" t="n">
        <v>44706.92628472222</v>
      </c>
      <c r="C2080" s="1" t="n">
        <v>46093</v>
      </c>
      <c r="D2080" t="inlineStr">
        <is>
          <t>VÄSTERNORRLANDS LÄN</t>
        </is>
      </c>
      <c r="E2080" t="inlineStr">
        <is>
          <t>SOLLEFTEÅ</t>
        </is>
      </c>
      <c r="G2080" t="n">
        <v>0.3</v>
      </c>
      <c r="H2080" t="n">
        <v>0</v>
      </c>
      <c r="I2080" t="n">
        <v>0</v>
      </c>
      <c r="J2080" t="n">
        <v>0</v>
      </c>
      <c r="K2080" t="n">
        <v>0</v>
      </c>
      <c r="L2080" t="n">
        <v>0</v>
      </c>
      <c r="M2080" t="n">
        <v>0</v>
      </c>
      <c r="N2080" t="n">
        <v>0</v>
      </c>
      <c r="O2080" t="n">
        <v>0</v>
      </c>
      <c r="P2080" t="n">
        <v>0</v>
      </c>
      <c r="Q2080" t="n">
        <v>0</v>
      </c>
      <c r="R2080" s="2" t="inlineStr"/>
    </row>
    <row r="2081" ht="15" customHeight="1">
      <c r="A2081" t="inlineStr">
        <is>
          <t>A 21642-2021</t>
        </is>
      </c>
      <c r="B2081" s="1" t="n">
        <v>44321.94239583334</v>
      </c>
      <c r="C2081" s="1" t="n">
        <v>46093</v>
      </c>
      <c r="D2081" t="inlineStr">
        <is>
          <t>VÄSTERNORRLANDS LÄN</t>
        </is>
      </c>
      <c r="E2081" t="inlineStr">
        <is>
          <t>ÅNGE</t>
        </is>
      </c>
      <c r="F2081" t="inlineStr">
        <is>
          <t>SCA</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25592-2021</t>
        </is>
      </c>
      <c r="B2082" s="1" t="n">
        <v>44343</v>
      </c>
      <c r="C2082" s="1" t="n">
        <v>46093</v>
      </c>
      <c r="D2082" t="inlineStr">
        <is>
          <t>VÄSTERNORRLANDS LÄN</t>
        </is>
      </c>
      <c r="E2082" t="inlineStr">
        <is>
          <t>KRAMFORS</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53934-2022</t>
        </is>
      </c>
      <c r="B2083" s="1" t="n">
        <v>44880.95587962963</v>
      </c>
      <c r="C2083" s="1" t="n">
        <v>46093</v>
      </c>
      <c r="D2083" t="inlineStr">
        <is>
          <t>VÄSTERNORRLANDS LÄN</t>
        </is>
      </c>
      <c r="E2083" t="inlineStr">
        <is>
          <t>SUNDSVALL</t>
        </is>
      </c>
      <c r="F2083" t="inlineStr">
        <is>
          <t>SCA</t>
        </is>
      </c>
      <c r="G2083" t="n">
        <v>4.2</v>
      </c>
      <c r="H2083" t="n">
        <v>0</v>
      </c>
      <c r="I2083" t="n">
        <v>0</v>
      </c>
      <c r="J2083" t="n">
        <v>0</v>
      </c>
      <c r="K2083" t="n">
        <v>0</v>
      </c>
      <c r="L2083" t="n">
        <v>0</v>
      </c>
      <c r="M2083" t="n">
        <v>0</v>
      </c>
      <c r="N2083" t="n">
        <v>0</v>
      </c>
      <c r="O2083" t="n">
        <v>0</v>
      </c>
      <c r="P2083" t="n">
        <v>0</v>
      </c>
      <c r="Q2083" t="n">
        <v>0</v>
      </c>
      <c r="R2083" s="2" t="inlineStr"/>
    </row>
    <row r="2084" ht="15" customHeight="1">
      <c r="A2084" t="inlineStr">
        <is>
          <t>A 56907-2021</t>
        </is>
      </c>
      <c r="B2084" s="1" t="n">
        <v>44481.93837962963</v>
      </c>
      <c r="C2084" s="1" t="n">
        <v>46093</v>
      </c>
      <c r="D2084" t="inlineStr">
        <is>
          <t>VÄSTERNORRLANDS LÄN</t>
        </is>
      </c>
      <c r="E2084" t="inlineStr">
        <is>
          <t>ÅNGE</t>
        </is>
      </c>
      <c r="F2084" t="inlineStr">
        <is>
          <t>SCA</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57213-2021</t>
        </is>
      </c>
      <c r="B2085" s="1" t="n">
        <v>44482</v>
      </c>
      <c r="C2085" s="1" t="n">
        <v>46093</v>
      </c>
      <c r="D2085" t="inlineStr">
        <is>
          <t>VÄSTERNORRLANDS LÄN</t>
        </is>
      </c>
      <c r="E2085" t="inlineStr">
        <is>
          <t>KRAMFORS</t>
        </is>
      </c>
      <c r="F2085" t="inlineStr">
        <is>
          <t>SCA</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52364-2021</t>
        </is>
      </c>
      <c r="B2086" s="1" t="n">
        <v>44465.42189814815</v>
      </c>
      <c r="C2086" s="1" t="n">
        <v>46093</v>
      </c>
      <c r="D2086" t="inlineStr">
        <is>
          <t>VÄSTERNORRLANDS LÄN</t>
        </is>
      </c>
      <c r="E2086" t="inlineStr">
        <is>
          <t>KRAMFORS</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29301-2021</t>
        </is>
      </c>
      <c r="B2087" s="1" t="n">
        <v>44361.40407407407</v>
      </c>
      <c r="C2087" s="1" t="n">
        <v>46093</v>
      </c>
      <c r="D2087" t="inlineStr">
        <is>
          <t>VÄSTERNORRLANDS LÄN</t>
        </is>
      </c>
      <c r="E2087" t="inlineStr">
        <is>
          <t>SUNDSVALL</t>
        </is>
      </c>
      <c r="G2087" t="n">
        <v>3.8</v>
      </c>
      <c r="H2087" t="n">
        <v>0</v>
      </c>
      <c r="I2087" t="n">
        <v>0</v>
      </c>
      <c r="J2087" t="n">
        <v>0</v>
      </c>
      <c r="K2087" t="n">
        <v>0</v>
      </c>
      <c r="L2087" t="n">
        <v>0</v>
      </c>
      <c r="M2087" t="n">
        <v>0</v>
      </c>
      <c r="N2087" t="n">
        <v>0</v>
      </c>
      <c r="O2087" t="n">
        <v>0</v>
      </c>
      <c r="P2087" t="n">
        <v>0</v>
      </c>
      <c r="Q2087" t="n">
        <v>0</v>
      </c>
      <c r="R2087" s="2" t="inlineStr"/>
    </row>
    <row r="2088" ht="15" customHeight="1">
      <c r="A2088" t="inlineStr">
        <is>
          <t>A 52258-2021</t>
        </is>
      </c>
      <c r="B2088" s="1" t="n">
        <v>44463</v>
      </c>
      <c r="C2088" s="1" t="n">
        <v>46093</v>
      </c>
      <c r="D2088" t="inlineStr">
        <is>
          <t>VÄSTERNORRLANDS LÄN</t>
        </is>
      </c>
      <c r="E2088" t="inlineStr">
        <is>
          <t>ÖRNSKÖLDSVIK</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57082-2021</t>
        </is>
      </c>
      <c r="B2089" s="1" t="n">
        <v>44482</v>
      </c>
      <c r="C2089" s="1" t="n">
        <v>46093</v>
      </c>
      <c r="D2089" t="inlineStr">
        <is>
          <t>VÄSTERNORRLANDS LÄN</t>
        </is>
      </c>
      <c r="E2089" t="inlineStr">
        <is>
          <t>SUNDSVALL</t>
        </is>
      </c>
      <c r="G2089" t="n">
        <v>0.3</v>
      </c>
      <c r="H2089" t="n">
        <v>0</v>
      </c>
      <c r="I2089" t="n">
        <v>0</v>
      </c>
      <c r="J2089" t="n">
        <v>0</v>
      </c>
      <c r="K2089" t="n">
        <v>0</v>
      </c>
      <c r="L2089" t="n">
        <v>0</v>
      </c>
      <c r="M2089" t="n">
        <v>0</v>
      </c>
      <c r="N2089" t="n">
        <v>0</v>
      </c>
      <c r="O2089" t="n">
        <v>0</v>
      </c>
      <c r="P2089" t="n">
        <v>0</v>
      </c>
      <c r="Q2089" t="n">
        <v>0</v>
      </c>
      <c r="R2089" s="2" t="inlineStr"/>
    </row>
    <row r="2090" ht="15" customHeight="1">
      <c r="A2090" t="inlineStr">
        <is>
          <t>A 23081-2022</t>
        </is>
      </c>
      <c r="B2090" s="1" t="n">
        <v>44719.46951388889</v>
      </c>
      <c r="C2090" s="1" t="n">
        <v>46093</v>
      </c>
      <c r="D2090" t="inlineStr">
        <is>
          <t>VÄSTERNORRLANDS LÄN</t>
        </is>
      </c>
      <c r="E2090" t="inlineStr">
        <is>
          <t>SUNDSVALL</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32078-2022</t>
        </is>
      </c>
      <c r="B2091" s="1" t="n">
        <v>44778</v>
      </c>
      <c r="C2091" s="1" t="n">
        <v>46093</v>
      </c>
      <c r="D2091" t="inlineStr">
        <is>
          <t>VÄSTERNORRLANDS LÄN</t>
        </is>
      </c>
      <c r="E2091" t="inlineStr">
        <is>
          <t>ÖRNSKÖLDSVIK</t>
        </is>
      </c>
      <c r="F2091" t="inlineStr">
        <is>
          <t>Holmen skog AB</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32079-2022</t>
        </is>
      </c>
      <c r="B2092" s="1" t="n">
        <v>44778</v>
      </c>
      <c r="C2092" s="1" t="n">
        <v>46093</v>
      </c>
      <c r="D2092" t="inlineStr">
        <is>
          <t>VÄSTERNORRLANDS LÄN</t>
        </is>
      </c>
      <c r="E2092" t="inlineStr">
        <is>
          <t>ÖRNSKÖLDSVIK</t>
        </is>
      </c>
      <c r="F2092" t="inlineStr">
        <is>
          <t>Holmen skog AB</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18060-2021</t>
        </is>
      </c>
      <c r="B2093" s="1" t="n">
        <v>44301</v>
      </c>
      <c r="C2093" s="1" t="n">
        <v>46093</v>
      </c>
      <c r="D2093" t="inlineStr">
        <is>
          <t>VÄSTERNORRLANDS LÄN</t>
        </is>
      </c>
      <c r="E2093" t="inlineStr">
        <is>
          <t>HÄRNÖSAND</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18097-2021</t>
        </is>
      </c>
      <c r="B2094" s="1" t="n">
        <v>44302.48136574074</v>
      </c>
      <c r="C2094" s="1" t="n">
        <v>46093</v>
      </c>
      <c r="D2094" t="inlineStr">
        <is>
          <t>VÄSTERNORRLANDS LÄN</t>
        </is>
      </c>
      <c r="E2094" t="inlineStr">
        <is>
          <t>SOLLEFTEÅ</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18662-2021</t>
        </is>
      </c>
      <c r="B2095" s="1" t="n">
        <v>44306</v>
      </c>
      <c r="C2095" s="1" t="n">
        <v>46093</v>
      </c>
      <c r="D2095" t="inlineStr">
        <is>
          <t>VÄSTERNORRLANDS LÄN</t>
        </is>
      </c>
      <c r="E2095" t="inlineStr">
        <is>
          <t>SOLLEFTEÅ</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18682-2021</t>
        </is>
      </c>
      <c r="B2096" s="1" t="n">
        <v>44306.93505787037</v>
      </c>
      <c r="C2096" s="1" t="n">
        <v>46093</v>
      </c>
      <c r="D2096" t="inlineStr">
        <is>
          <t>VÄSTERNORRLANDS LÄN</t>
        </is>
      </c>
      <c r="E2096" t="inlineStr">
        <is>
          <t>KRAMFORS</t>
        </is>
      </c>
      <c r="G2096" t="n">
        <v>4.8</v>
      </c>
      <c r="H2096" t="n">
        <v>0</v>
      </c>
      <c r="I2096" t="n">
        <v>0</v>
      </c>
      <c r="J2096" t="n">
        <v>0</v>
      </c>
      <c r="K2096" t="n">
        <v>0</v>
      </c>
      <c r="L2096" t="n">
        <v>0</v>
      </c>
      <c r="M2096" t="n">
        <v>0</v>
      </c>
      <c r="N2096" t="n">
        <v>0</v>
      </c>
      <c r="O2096" t="n">
        <v>0</v>
      </c>
      <c r="P2096" t="n">
        <v>0</v>
      </c>
      <c r="Q2096" t="n">
        <v>0</v>
      </c>
      <c r="R2096" s="2" t="inlineStr"/>
    </row>
    <row r="2097" ht="15" customHeight="1">
      <c r="A2097" t="inlineStr">
        <is>
          <t>A 20510-2022</t>
        </is>
      </c>
      <c r="B2097" s="1" t="n">
        <v>44699.92501157407</v>
      </c>
      <c r="C2097" s="1" t="n">
        <v>46093</v>
      </c>
      <c r="D2097" t="inlineStr">
        <is>
          <t>VÄSTERNORRLANDS LÄN</t>
        </is>
      </c>
      <c r="E2097" t="inlineStr">
        <is>
          <t>SUNDSVALL</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20516-2022</t>
        </is>
      </c>
      <c r="B2098" s="1" t="n">
        <v>44699.92626157407</v>
      </c>
      <c r="C2098" s="1" t="n">
        <v>46093</v>
      </c>
      <c r="D2098" t="inlineStr">
        <is>
          <t>VÄSTERNORRLANDS LÄN</t>
        </is>
      </c>
      <c r="E2098" t="inlineStr">
        <is>
          <t>SUNDSVALL</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20532-2022</t>
        </is>
      </c>
      <c r="B2099" s="1" t="n">
        <v>44699.94347222222</v>
      </c>
      <c r="C2099" s="1" t="n">
        <v>46093</v>
      </c>
      <c r="D2099" t="inlineStr">
        <is>
          <t>VÄSTERNORRLANDS LÄN</t>
        </is>
      </c>
      <c r="E2099" t="inlineStr">
        <is>
          <t>ÖRNSKÖLDSVIK</t>
        </is>
      </c>
      <c r="F2099" t="inlineStr">
        <is>
          <t>SCA</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61496-2021</t>
        </is>
      </c>
      <c r="B2100" s="1" t="n">
        <v>44501</v>
      </c>
      <c r="C2100" s="1" t="n">
        <v>46093</v>
      </c>
      <c r="D2100" t="inlineStr">
        <is>
          <t>VÄSTERNORRLANDS LÄN</t>
        </is>
      </c>
      <c r="E2100" t="inlineStr">
        <is>
          <t>SOLLEFTEÅ</t>
        </is>
      </c>
      <c r="F2100" t="inlineStr">
        <is>
          <t>Holmen skog AB</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73285-2021</t>
        </is>
      </c>
      <c r="B2101" s="1" t="n">
        <v>44550.94386574074</v>
      </c>
      <c r="C2101" s="1" t="n">
        <v>46093</v>
      </c>
      <c r="D2101" t="inlineStr">
        <is>
          <t>VÄSTERNORRLANDS LÄN</t>
        </is>
      </c>
      <c r="E2101" t="inlineStr">
        <is>
          <t>SOLLEFTEÅ</t>
        </is>
      </c>
      <c r="F2101" t="inlineStr">
        <is>
          <t>SCA</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63230-2021</t>
        </is>
      </c>
      <c r="B2102" s="1" t="n">
        <v>44505</v>
      </c>
      <c r="C2102" s="1" t="n">
        <v>46093</v>
      </c>
      <c r="D2102" t="inlineStr">
        <is>
          <t>VÄSTERNORRLANDS LÄN</t>
        </is>
      </c>
      <c r="E2102" t="inlineStr">
        <is>
          <t>ÖRNSKÖLDSVIK</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73277-2021</t>
        </is>
      </c>
      <c r="B2103" s="1" t="n">
        <v>44550</v>
      </c>
      <c r="C2103" s="1" t="n">
        <v>46093</v>
      </c>
      <c r="D2103" t="inlineStr">
        <is>
          <t>VÄSTERNORRLANDS LÄN</t>
        </is>
      </c>
      <c r="E2103" t="inlineStr">
        <is>
          <t>KRAMFORS</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65034-2021</t>
        </is>
      </c>
      <c r="B2104" s="1" t="n">
        <v>44512</v>
      </c>
      <c r="C2104" s="1" t="n">
        <v>46093</v>
      </c>
      <c r="D2104" t="inlineStr">
        <is>
          <t>VÄSTERNORRLANDS LÄN</t>
        </is>
      </c>
      <c r="E2104" t="inlineStr">
        <is>
          <t>HÄRNÖSAND</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25937-2022</t>
        </is>
      </c>
      <c r="B2105" s="1" t="n">
        <v>44734.39086805555</v>
      </c>
      <c r="C2105" s="1" t="n">
        <v>46093</v>
      </c>
      <c r="D2105" t="inlineStr">
        <is>
          <t>VÄSTERNORRLANDS LÄN</t>
        </is>
      </c>
      <c r="E2105" t="inlineStr">
        <is>
          <t>SUNDSVALL</t>
        </is>
      </c>
      <c r="F2105" t="inlineStr">
        <is>
          <t>Holmen skog AB</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62300-2021</t>
        </is>
      </c>
      <c r="B2106" s="1" t="n">
        <v>44503.38335648148</v>
      </c>
      <c r="C2106" s="1" t="n">
        <v>46093</v>
      </c>
      <c r="D2106" t="inlineStr">
        <is>
          <t>VÄSTERNORRLANDS LÄN</t>
        </is>
      </c>
      <c r="E2106" t="inlineStr">
        <is>
          <t>HÄRNÖSAND</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55905-2021</t>
        </is>
      </c>
      <c r="B2107" s="1" t="n">
        <v>44476.91895833334</v>
      </c>
      <c r="C2107" s="1" t="n">
        <v>46093</v>
      </c>
      <c r="D2107" t="inlineStr">
        <is>
          <t>VÄSTERNORRLANDS LÄN</t>
        </is>
      </c>
      <c r="E2107" t="inlineStr">
        <is>
          <t>ÅNGE</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17580-2022</t>
        </is>
      </c>
      <c r="B2108" s="1" t="n">
        <v>44679</v>
      </c>
      <c r="C2108" s="1" t="n">
        <v>46093</v>
      </c>
      <c r="D2108" t="inlineStr">
        <is>
          <t>VÄSTERNORRLANDS LÄN</t>
        </is>
      </c>
      <c r="E2108" t="inlineStr">
        <is>
          <t>ÅNGE</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31008-2022</t>
        </is>
      </c>
      <c r="B2109" s="1" t="n">
        <v>44768</v>
      </c>
      <c r="C2109" s="1" t="n">
        <v>46093</v>
      </c>
      <c r="D2109" t="inlineStr">
        <is>
          <t>VÄSTERNORRLANDS LÄN</t>
        </is>
      </c>
      <c r="E2109" t="inlineStr">
        <is>
          <t>ÖRNSKÖLDSVIK</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27869-2022</t>
        </is>
      </c>
      <c r="B2110" s="1" t="n">
        <v>44743</v>
      </c>
      <c r="C2110" s="1" t="n">
        <v>46093</v>
      </c>
      <c r="D2110" t="inlineStr">
        <is>
          <t>VÄSTERNORRLANDS LÄN</t>
        </is>
      </c>
      <c r="E2110" t="inlineStr">
        <is>
          <t>ÖRNSKÖLDSVIK</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18088-2021</t>
        </is>
      </c>
      <c r="B2111" s="1" t="n">
        <v>44301</v>
      </c>
      <c r="C2111" s="1" t="n">
        <v>46093</v>
      </c>
      <c r="D2111" t="inlineStr">
        <is>
          <t>VÄSTERNORRLANDS LÄN</t>
        </is>
      </c>
      <c r="E2111" t="inlineStr">
        <is>
          <t>HÄRNÖSAND</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18878-2021</t>
        </is>
      </c>
      <c r="B2112" s="1" t="n">
        <v>44307</v>
      </c>
      <c r="C2112" s="1" t="n">
        <v>46093</v>
      </c>
      <c r="D2112" t="inlineStr">
        <is>
          <t>VÄSTERNORRLANDS LÄN</t>
        </is>
      </c>
      <c r="E2112" t="inlineStr">
        <is>
          <t>SOLLEFTEÅ</t>
        </is>
      </c>
      <c r="F2112" t="inlineStr">
        <is>
          <t>SCA</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27018-2022</t>
        </is>
      </c>
      <c r="B2113" s="1" t="n">
        <v>44740</v>
      </c>
      <c r="C2113" s="1" t="n">
        <v>46093</v>
      </c>
      <c r="D2113" t="inlineStr">
        <is>
          <t>VÄSTERNORRLANDS LÄN</t>
        </is>
      </c>
      <c r="E2113" t="inlineStr">
        <is>
          <t>SOLLEFTEÅ</t>
        </is>
      </c>
      <c r="F2113" t="inlineStr">
        <is>
          <t>SCA</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6170-2022</t>
        </is>
      </c>
      <c r="B2114" s="1" t="n">
        <v>44599</v>
      </c>
      <c r="C2114" s="1" t="n">
        <v>46093</v>
      </c>
      <c r="D2114" t="inlineStr">
        <is>
          <t>VÄSTERNORRLANDS LÄN</t>
        </is>
      </c>
      <c r="E2114" t="inlineStr">
        <is>
          <t>SOLLEFTEÅ</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40046-2022</t>
        </is>
      </c>
      <c r="B2115" s="1" t="n">
        <v>44820</v>
      </c>
      <c r="C2115" s="1" t="n">
        <v>46093</v>
      </c>
      <c r="D2115" t="inlineStr">
        <is>
          <t>VÄSTERNORRLANDS LÄN</t>
        </is>
      </c>
      <c r="E2115" t="inlineStr">
        <is>
          <t>ÖRNSKÖLDSVIK</t>
        </is>
      </c>
      <c r="F2115" t="inlineStr">
        <is>
          <t>Holmen skog AB</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39169-2021</t>
        </is>
      </c>
      <c r="B2116" s="1" t="n">
        <v>44412</v>
      </c>
      <c r="C2116" s="1" t="n">
        <v>46093</v>
      </c>
      <c r="D2116" t="inlineStr">
        <is>
          <t>VÄSTERNORRLANDS LÄN</t>
        </is>
      </c>
      <c r="E2116" t="inlineStr">
        <is>
          <t>SUNDSVALL</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32031-2022</t>
        </is>
      </c>
      <c r="B2117" s="1" t="n">
        <v>44778.45743055556</v>
      </c>
      <c r="C2117" s="1" t="n">
        <v>46093</v>
      </c>
      <c r="D2117" t="inlineStr">
        <is>
          <t>VÄSTERNORRLANDS LÄN</t>
        </is>
      </c>
      <c r="E2117" t="inlineStr">
        <is>
          <t>ÖRNSKÖLDSVIK</t>
        </is>
      </c>
      <c r="F2117" t="inlineStr">
        <is>
          <t>Holmen skog AB</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39931-2022</t>
        </is>
      </c>
      <c r="B2118" s="1" t="n">
        <v>44819.94847222222</v>
      </c>
      <c r="C2118" s="1" t="n">
        <v>46093</v>
      </c>
      <c r="D2118" t="inlineStr">
        <is>
          <t>VÄSTERNORRLANDS LÄN</t>
        </is>
      </c>
      <c r="E2118" t="inlineStr">
        <is>
          <t>ÖRNSKÖLDSVIK</t>
        </is>
      </c>
      <c r="F2118" t="inlineStr">
        <is>
          <t>SCA</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37190-2022</t>
        </is>
      </c>
      <c r="B2119" s="1" t="n">
        <v>44806</v>
      </c>
      <c r="C2119" s="1" t="n">
        <v>46093</v>
      </c>
      <c r="D2119" t="inlineStr">
        <is>
          <t>VÄSTERNORRLANDS LÄN</t>
        </is>
      </c>
      <c r="E2119" t="inlineStr">
        <is>
          <t>HÄRNÖSAND</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35408-2022</t>
        </is>
      </c>
      <c r="B2120" s="1" t="n">
        <v>44798</v>
      </c>
      <c r="C2120" s="1" t="n">
        <v>46093</v>
      </c>
      <c r="D2120" t="inlineStr">
        <is>
          <t>VÄSTERNORRLANDS LÄN</t>
        </is>
      </c>
      <c r="E2120" t="inlineStr">
        <is>
          <t>ÖRNSKÖLDSVIK</t>
        </is>
      </c>
      <c r="F2120" t="inlineStr">
        <is>
          <t>Holmen skog AB</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35415-2022</t>
        </is>
      </c>
      <c r="B2121" s="1" t="n">
        <v>44798</v>
      </c>
      <c r="C2121" s="1" t="n">
        <v>46093</v>
      </c>
      <c r="D2121" t="inlineStr">
        <is>
          <t>VÄSTERNORRLANDS LÄN</t>
        </is>
      </c>
      <c r="E2121" t="inlineStr">
        <is>
          <t>ÖRNSKÖLDSVIK</t>
        </is>
      </c>
      <c r="G2121" t="n">
        <v>0.2</v>
      </c>
      <c r="H2121" t="n">
        <v>0</v>
      </c>
      <c r="I2121" t="n">
        <v>0</v>
      </c>
      <c r="J2121" t="n">
        <v>0</v>
      </c>
      <c r="K2121" t="n">
        <v>0</v>
      </c>
      <c r="L2121" t="n">
        <v>0</v>
      </c>
      <c r="M2121" t="n">
        <v>0</v>
      </c>
      <c r="N2121" t="n">
        <v>0</v>
      </c>
      <c r="O2121" t="n">
        <v>0</v>
      </c>
      <c r="P2121" t="n">
        <v>0</v>
      </c>
      <c r="Q2121" t="n">
        <v>0</v>
      </c>
      <c r="R2121" s="2" t="inlineStr"/>
    </row>
    <row r="2122" ht="15" customHeight="1">
      <c r="A2122" t="inlineStr">
        <is>
          <t>A 36226-2021</t>
        </is>
      </c>
      <c r="B2122" s="1" t="n">
        <v>44389.92116898148</v>
      </c>
      <c r="C2122" s="1" t="n">
        <v>46093</v>
      </c>
      <c r="D2122" t="inlineStr">
        <is>
          <t>VÄSTERNORRLANDS LÄN</t>
        </is>
      </c>
      <c r="E2122" t="inlineStr">
        <is>
          <t>SUNDSVALL</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14065-2022</t>
        </is>
      </c>
      <c r="B2123" s="1" t="n">
        <v>44650</v>
      </c>
      <c r="C2123" s="1" t="n">
        <v>46093</v>
      </c>
      <c r="D2123" t="inlineStr">
        <is>
          <t>VÄSTERNORRLANDS LÄN</t>
        </is>
      </c>
      <c r="E2123" t="inlineStr">
        <is>
          <t>SOLLEFTEÅ</t>
        </is>
      </c>
      <c r="F2123" t="inlineStr">
        <is>
          <t>SCA</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39873-2021</t>
        </is>
      </c>
      <c r="B2124" s="1" t="n">
        <v>44417.67548611111</v>
      </c>
      <c r="C2124" s="1" t="n">
        <v>46093</v>
      </c>
      <c r="D2124" t="inlineStr">
        <is>
          <t>VÄSTERNORRLANDS LÄN</t>
        </is>
      </c>
      <c r="E2124" t="inlineStr">
        <is>
          <t>ÖRNSKÖLDSVIK</t>
        </is>
      </c>
      <c r="F2124" t="inlineStr">
        <is>
          <t>Holmen skog AB</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7716-2022</t>
        </is>
      </c>
      <c r="B2125" s="1" t="n">
        <v>44607</v>
      </c>
      <c r="C2125" s="1" t="n">
        <v>46093</v>
      </c>
      <c r="D2125" t="inlineStr">
        <is>
          <t>VÄSTERNORRLANDS LÄN</t>
        </is>
      </c>
      <c r="E2125" t="inlineStr">
        <is>
          <t>KRAMFORS</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45704-2022</t>
        </is>
      </c>
      <c r="B2126" s="1" t="n">
        <v>44845.95418981482</v>
      </c>
      <c r="C2126" s="1" t="n">
        <v>46093</v>
      </c>
      <c r="D2126" t="inlineStr">
        <is>
          <t>VÄSTERNORRLANDS LÄN</t>
        </is>
      </c>
      <c r="E2126" t="inlineStr">
        <is>
          <t>SUNDSVALL</t>
        </is>
      </c>
      <c r="F2126" t="inlineStr">
        <is>
          <t>SCA</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37605-2021</t>
        </is>
      </c>
      <c r="B2127" s="1" t="n">
        <v>44399</v>
      </c>
      <c r="C2127" s="1" t="n">
        <v>46093</v>
      </c>
      <c r="D2127" t="inlineStr">
        <is>
          <t>VÄSTERNORRLANDS LÄN</t>
        </is>
      </c>
      <c r="E2127" t="inlineStr">
        <is>
          <t>ÅNGE</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37620-2021</t>
        </is>
      </c>
      <c r="B2128" s="1" t="n">
        <v>44399</v>
      </c>
      <c r="C2128" s="1" t="n">
        <v>46093</v>
      </c>
      <c r="D2128" t="inlineStr">
        <is>
          <t>VÄSTERNORRLANDS LÄN</t>
        </is>
      </c>
      <c r="E2128" t="inlineStr">
        <is>
          <t>ÅNGE</t>
        </is>
      </c>
      <c r="G2128" t="n">
        <v>4.3</v>
      </c>
      <c r="H2128" t="n">
        <v>0</v>
      </c>
      <c r="I2128" t="n">
        <v>0</v>
      </c>
      <c r="J2128" t="n">
        <v>0</v>
      </c>
      <c r="K2128" t="n">
        <v>0</v>
      </c>
      <c r="L2128" t="n">
        <v>0</v>
      </c>
      <c r="M2128" t="n">
        <v>0</v>
      </c>
      <c r="N2128" t="n">
        <v>0</v>
      </c>
      <c r="O2128" t="n">
        <v>0</v>
      </c>
      <c r="P2128" t="n">
        <v>0</v>
      </c>
      <c r="Q2128" t="n">
        <v>0</v>
      </c>
      <c r="R2128" s="2" t="inlineStr"/>
    </row>
    <row r="2129" ht="15" customHeight="1">
      <c r="A2129" t="inlineStr">
        <is>
          <t>A 42368-2021</t>
        </is>
      </c>
      <c r="B2129" s="1" t="n">
        <v>44427.46450231481</v>
      </c>
      <c r="C2129" s="1" t="n">
        <v>46093</v>
      </c>
      <c r="D2129" t="inlineStr">
        <is>
          <t>VÄSTERNORRLANDS LÄN</t>
        </is>
      </c>
      <c r="E2129" t="inlineStr">
        <is>
          <t>ÖRNSKÖLDSVIK</t>
        </is>
      </c>
      <c r="F2129" t="inlineStr">
        <is>
          <t>Holmen skog AB</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46650-2022</t>
        </is>
      </c>
      <c r="B2130" s="1" t="n">
        <v>44849</v>
      </c>
      <c r="C2130" s="1" t="n">
        <v>46093</v>
      </c>
      <c r="D2130" t="inlineStr">
        <is>
          <t>VÄSTERNORRLANDS LÄN</t>
        </is>
      </c>
      <c r="E2130" t="inlineStr">
        <is>
          <t>TIMRÅ</t>
        </is>
      </c>
      <c r="F2130" t="inlineStr">
        <is>
          <t>SCA</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46702-2022</t>
        </is>
      </c>
      <c r="B2131" s="1" t="n">
        <v>44851.38083333334</v>
      </c>
      <c r="C2131" s="1" t="n">
        <v>46093</v>
      </c>
      <c r="D2131" t="inlineStr">
        <is>
          <t>VÄSTERNORRLANDS LÄN</t>
        </is>
      </c>
      <c r="E2131" t="inlineStr">
        <is>
          <t>ÖRNSKÖLDSVIK</t>
        </is>
      </c>
      <c r="F2131" t="inlineStr">
        <is>
          <t>Holmen skog AB</t>
        </is>
      </c>
      <c r="G2131" t="n">
        <v>3.3</v>
      </c>
      <c r="H2131" t="n">
        <v>0</v>
      </c>
      <c r="I2131" t="n">
        <v>0</v>
      </c>
      <c r="J2131" t="n">
        <v>0</v>
      </c>
      <c r="K2131" t="n">
        <v>0</v>
      </c>
      <c r="L2131" t="n">
        <v>0</v>
      </c>
      <c r="M2131" t="n">
        <v>0</v>
      </c>
      <c r="N2131" t="n">
        <v>0</v>
      </c>
      <c r="O2131" t="n">
        <v>0</v>
      </c>
      <c r="P2131" t="n">
        <v>0</v>
      </c>
      <c r="Q2131" t="n">
        <v>0</v>
      </c>
      <c r="R2131" s="2" t="inlineStr"/>
    </row>
    <row r="2132" ht="15" customHeight="1">
      <c r="A2132" t="inlineStr">
        <is>
          <t>A 36579-2021</t>
        </is>
      </c>
      <c r="B2132" s="1" t="n">
        <v>44391.59509259259</v>
      </c>
      <c r="C2132" s="1" t="n">
        <v>46093</v>
      </c>
      <c r="D2132" t="inlineStr">
        <is>
          <t>VÄSTERNORRLANDS LÄN</t>
        </is>
      </c>
      <c r="E2132" t="inlineStr">
        <is>
          <t>SOLLEFTEÅ</t>
        </is>
      </c>
      <c r="G2132" t="n">
        <v>6.9</v>
      </c>
      <c r="H2132" t="n">
        <v>0</v>
      </c>
      <c r="I2132" t="n">
        <v>0</v>
      </c>
      <c r="J2132" t="n">
        <v>0</v>
      </c>
      <c r="K2132" t="n">
        <v>0</v>
      </c>
      <c r="L2132" t="n">
        <v>0</v>
      </c>
      <c r="M2132" t="n">
        <v>0</v>
      </c>
      <c r="N2132" t="n">
        <v>0</v>
      </c>
      <c r="O2132" t="n">
        <v>0</v>
      </c>
      <c r="P2132" t="n">
        <v>0</v>
      </c>
      <c r="Q2132" t="n">
        <v>0</v>
      </c>
      <c r="R2132" s="2" t="inlineStr"/>
    </row>
    <row r="2133" ht="15" customHeight="1">
      <c r="A2133" t="inlineStr">
        <is>
          <t>A 34612-2021</t>
        </is>
      </c>
      <c r="B2133" s="1" t="n">
        <v>44379</v>
      </c>
      <c r="C2133" s="1" t="n">
        <v>46093</v>
      </c>
      <c r="D2133" t="inlineStr">
        <is>
          <t>VÄSTERNORRLANDS LÄN</t>
        </is>
      </c>
      <c r="E2133" t="inlineStr">
        <is>
          <t>SUNDSVALL</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34643-2021</t>
        </is>
      </c>
      <c r="B2134" s="1" t="n">
        <v>44379</v>
      </c>
      <c r="C2134" s="1" t="n">
        <v>46093</v>
      </c>
      <c r="D2134" t="inlineStr">
        <is>
          <t>VÄSTERNORRLANDS LÄN</t>
        </is>
      </c>
      <c r="E2134" t="inlineStr">
        <is>
          <t>SUNDSVALL</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70893-2021</t>
        </is>
      </c>
      <c r="B2135" s="1" t="n">
        <v>44538</v>
      </c>
      <c r="C2135" s="1" t="n">
        <v>46093</v>
      </c>
      <c r="D2135" t="inlineStr">
        <is>
          <t>VÄSTERNORRLANDS LÄN</t>
        </is>
      </c>
      <c r="E2135" t="inlineStr">
        <is>
          <t>ÅNGE</t>
        </is>
      </c>
      <c r="G2135" t="n">
        <v>6.2</v>
      </c>
      <c r="H2135" t="n">
        <v>0</v>
      </c>
      <c r="I2135" t="n">
        <v>0</v>
      </c>
      <c r="J2135" t="n">
        <v>0</v>
      </c>
      <c r="K2135" t="n">
        <v>0</v>
      </c>
      <c r="L2135" t="n">
        <v>0</v>
      </c>
      <c r="M2135" t="n">
        <v>0</v>
      </c>
      <c r="N2135" t="n">
        <v>0</v>
      </c>
      <c r="O2135" t="n">
        <v>0</v>
      </c>
      <c r="P2135" t="n">
        <v>0</v>
      </c>
      <c r="Q2135" t="n">
        <v>0</v>
      </c>
      <c r="R2135" s="2" t="inlineStr"/>
    </row>
    <row r="2136" ht="15" customHeight="1">
      <c r="A2136" t="inlineStr">
        <is>
          <t>A 42628-2021</t>
        </is>
      </c>
      <c r="B2136" s="1" t="n">
        <v>44428</v>
      </c>
      <c r="C2136" s="1" t="n">
        <v>46093</v>
      </c>
      <c r="D2136" t="inlineStr">
        <is>
          <t>VÄSTERNORRLANDS LÄN</t>
        </is>
      </c>
      <c r="E2136" t="inlineStr">
        <is>
          <t>ÖRNSKÖLDSVIK</t>
        </is>
      </c>
      <c r="F2136" t="inlineStr">
        <is>
          <t>Holmen skog AB</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42632-2021</t>
        </is>
      </c>
      <c r="B2137" s="1" t="n">
        <v>44428</v>
      </c>
      <c r="C2137" s="1" t="n">
        <v>46093</v>
      </c>
      <c r="D2137" t="inlineStr">
        <is>
          <t>VÄSTERNORRLANDS LÄN</t>
        </is>
      </c>
      <c r="E2137" t="inlineStr">
        <is>
          <t>ÖRNSKÖLDSVIK</t>
        </is>
      </c>
      <c r="F2137" t="inlineStr">
        <is>
          <t>Holmen skog AB</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20545-2021</t>
        </is>
      </c>
      <c r="B2138" s="1" t="n">
        <v>44315</v>
      </c>
      <c r="C2138" s="1" t="n">
        <v>46093</v>
      </c>
      <c r="D2138" t="inlineStr">
        <is>
          <t>VÄSTERNORRLANDS LÄN</t>
        </is>
      </c>
      <c r="E2138" t="inlineStr">
        <is>
          <t>KRAMFORS</t>
        </is>
      </c>
      <c r="F2138" t="inlineStr">
        <is>
          <t>SCA</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42739-2021</t>
        </is>
      </c>
      <c r="B2139" s="1" t="n">
        <v>44428</v>
      </c>
      <c r="C2139" s="1" t="n">
        <v>46093</v>
      </c>
      <c r="D2139" t="inlineStr">
        <is>
          <t>VÄSTERNORRLANDS LÄN</t>
        </is>
      </c>
      <c r="E2139" t="inlineStr">
        <is>
          <t>ÖRNSKÖLDSVIK</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55874-2022</t>
        </is>
      </c>
      <c r="B2140" s="1" t="n">
        <v>44888.92855324074</v>
      </c>
      <c r="C2140" s="1" t="n">
        <v>46093</v>
      </c>
      <c r="D2140" t="inlineStr">
        <is>
          <t>VÄSTERNORRLANDS LÄN</t>
        </is>
      </c>
      <c r="E2140" t="inlineStr">
        <is>
          <t>SUNDSVALL</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46028-2022</t>
        </is>
      </c>
      <c r="B2141" s="1" t="n">
        <v>44846</v>
      </c>
      <c r="C2141" s="1" t="n">
        <v>46093</v>
      </c>
      <c r="D2141" t="inlineStr">
        <is>
          <t>VÄSTERNORRLANDS LÄN</t>
        </is>
      </c>
      <c r="E2141" t="inlineStr">
        <is>
          <t>TIMRÅ</t>
        </is>
      </c>
      <c r="F2141" t="inlineStr">
        <is>
          <t>Kyrkan</t>
        </is>
      </c>
      <c r="G2141" t="n">
        <v>7.9</v>
      </c>
      <c r="H2141" t="n">
        <v>0</v>
      </c>
      <c r="I2141" t="n">
        <v>0</v>
      </c>
      <c r="J2141" t="n">
        <v>0</v>
      </c>
      <c r="K2141" t="n">
        <v>0</v>
      </c>
      <c r="L2141" t="n">
        <v>0</v>
      </c>
      <c r="M2141" t="n">
        <v>0</v>
      </c>
      <c r="N2141" t="n">
        <v>0</v>
      </c>
      <c r="O2141" t="n">
        <v>0</v>
      </c>
      <c r="P2141" t="n">
        <v>0</v>
      </c>
      <c r="Q2141" t="n">
        <v>0</v>
      </c>
      <c r="R2141" s="2" t="inlineStr"/>
    </row>
    <row r="2142" ht="15" customHeight="1">
      <c r="A2142" t="inlineStr">
        <is>
          <t>A 47268-2022</t>
        </is>
      </c>
      <c r="B2142" s="1" t="n">
        <v>44852.94989583334</v>
      </c>
      <c r="C2142" s="1" t="n">
        <v>46093</v>
      </c>
      <c r="D2142" t="inlineStr">
        <is>
          <t>VÄSTERNORRLANDS LÄN</t>
        </is>
      </c>
      <c r="E2142" t="inlineStr">
        <is>
          <t>SOLLEFTEÅ</t>
        </is>
      </c>
      <c r="F2142" t="inlineStr">
        <is>
          <t>SCA</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58688-2021</t>
        </is>
      </c>
      <c r="B2143" s="1" t="n">
        <v>44489</v>
      </c>
      <c r="C2143" s="1" t="n">
        <v>46093</v>
      </c>
      <c r="D2143" t="inlineStr">
        <is>
          <t>VÄSTERNORRLANDS LÄN</t>
        </is>
      </c>
      <c r="E2143" t="inlineStr">
        <is>
          <t>SOLLEFTEÅ</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19414-2022</t>
        </is>
      </c>
      <c r="B2144" s="1" t="n">
        <v>44693</v>
      </c>
      <c r="C2144" s="1" t="n">
        <v>46093</v>
      </c>
      <c r="D2144" t="inlineStr">
        <is>
          <t>VÄSTERNORRLANDS LÄN</t>
        </is>
      </c>
      <c r="E2144" t="inlineStr">
        <is>
          <t>SOLLEFTEÅ</t>
        </is>
      </c>
      <c r="G2144" t="n">
        <v>0.3</v>
      </c>
      <c r="H2144" t="n">
        <v>0</v>
      </c>
      <c r="I2144" t="n">
        <v>0</v>
      </c>
      <c r="J2144" t="n">
        <v>0</v>
      </c>
      <c r="K2144" t="n">
        <v>0</v>
      </c>
      <c r="L2144" t="n">
        <v>0</v>
      </c>
      <c r="M2144" t="n">
        <v>0</v>
      </c>
      <c r="N2144" t="n">
        <v>0</v>
      </c>
      <c r="O2144" t="n">
        <v>0</v>
      </c>
      <c r="P2144" t="n">
        <v>0</v>
      </c>
      <c r="Q2144" t="n">
        <v>0</v>
      </c>
      <c r="R2144" s="2" t="inlineStr"/>
    </row>
    <row r="2145" ht="15" customHeight="1">
      <c r="A2145" t="inlineStr">
        <is>
          <t>A 47512-2022</t>
        </is>
      </c>
      <c r="B2145" s="1" t="n">
        <v>44852</v>
      </c>
      <c r="C2145" s="1" t="n">
        <v>46093</v>
      </c>
      <c r="D2145" t="inlineStr">
        <is>
          <t>VÄSTERNORRLANDS LÄN</t>
        </is>
      </c>
      <c r="E2145" t="inlineStr">
        <is>
          <t>SUNDSVALL</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20369-2022</t>
        </is>
      </c>
      <c r="B2146" s="1" t="n">
        <v>44699.41140046297</v>
      </c>
      <c r="C2146" s="1" t="n">
        <v>46093</v>
      </c>
      <c r="D2146" t="inlineStr">
        <is>
          <t>VÄSTERNORRLANDS LÄN</t>
        </is>
      </c>
      <c r="E2146" t="inlineStr">
        <is>
          <t>ÅNGE</t>
        </is>
      </c>
      <c r="G2146" t="n">
        <v>5.5</v>
      </c>
      <c r="H2146" t="n">
        <v>0</v>
      </c>
      <c r="I2146" t="n">
        <v>0</v>
      </c>
      <c r="J2146" t="n">
        <v>0</v>
      </c>
      <c r="K2146" t="n">
        <v>0</v>
      </c>
      <c r="L2146" t="n">
        <v>0</v>
      </c>
      <c r="M2146" t="n">
        <v>0</v>
      </c>
      <c r="N2146" t="n">
        <v>0</v>
      </c>
      <c r="O2146" t="n">
        <v>0</v>
      </c>
      <c r="P2146" t="n">
        <v>0</v>
      </c>
      <c r="Q2146" t="n">
        <v>0</v>
      </c>
      <c r="R2146" s="2" t="inlineStr"/>
    </row>
    <row r="2147" ht="15" customHeight="1">
      <c r="A2147" t="inlineStr">
        <is>
          <t>A 46711-2022</t>
        </is>
      </c>
      <c r="B2147" s="1" t="n">
        <v>44851.39113425926</v>
      </c>
      <c r="C2147" s="1" t="n">
        <v>46093</v>
      </c>
      <c r="D2147" t="inlineStr">
        <is>
          <t>VÄSTERNORRLANDS LÄN</t>
        </is>
      </c>
      <c r="E2147" t="inlineStr">
        <is>
          <t>ÖRNSKÖLDSVIK</t>
        </is>
      </c>
      <c r="F2147" t="inlineStr">
        <is>
          <t>Holmen skog AB</t>
        </is>
      </c>
      <c r="G2147" t="n">
        <v>9.1</v>
      </c>
      <c r="H2147" t="n">
        <v>0</v>
      </c>
      <c r="I2147" t="n">
        <v>0</v>
      </c>
      <c r="J2147" t="n">
        <v>0</v>
      </c>
      <c r="K2147" t="n">
        <v>0</v>
      </c>
      <c r="L2147" t="n">
        <v>0</v>
      </c>
      <c r="M2147" t="n">
        <v>0</v>
      </c>
      <c r="N2147" t="n">
        <v>0</v>
      </c>
      <c r="O2147" t="n">
        <v>0</v>
      </c>
      <c r="P2147" t="n">
        <v>0</v>
      </c>
      <c r="Q2147" t="n">
        <v>0</v>
      </c>
      <c r="R2147" s="2" t="inlineStr"/>
    </row>
    <row r="2148" ht="15" customHeight="1">
      <c r="A2148" t="inlineStr">
        <is>
          <t>A 72397-2021</t>
        </is>
      </c>
      <c r="B2148" s="1" t="n">
        <v>44545</v>
      </c>
      <c r="C2148" s="1" t="n">
        <v>46093</v>
      </c>
      <c r="D2148" t="inlineStr">
        <is>
          <t>VÄSTERNORRLANDS LÄN</t>
        </is>
      </c>
      <c r="E2148" t="inlineStr">
        <is>
          <t>ÖRNSKÖLDSVIK</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18222-2021</t>
        </is>
      </c>
      <c r="B2149" s="1" t="n">
        <v>44302</v>
      </c>
      <c r="C2149" s="1" t="n">
        <v>46093</v>
      </c>
      <c r="D2149" t="inlineStr">
        <is>
          <t>VÄSTERNORRLANDS LÄN</t>
        </is>
      </c>
      <c r="E2149" t="inlineStr">
        <is>
          <t>KRAMFORS</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18225-2021</t>
        </is>
      </c>
      <c r="B2150" s="1" t="n">
        <v>44302</v>
      </c>
      <c r="C2150" s="1" t="n">
        <v>46093</v>
      </c>
      <c r="D2150" t="inlineStr">
        <is>
          <t>VÄSTERNORRLANDS LÄN</t>
        </is>
      </c>
      <c r="E2150" t="inlineStr">
        <is>
          <t>KRAMFORS</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32328-2021</t>
        </is>
      </c>
      <c r="B2151" s="1" t="n">
        <v>44371.55924768518</v>
      </c>
      <c r="C2151" s="1" t="n">
        <v>46093</v>
      </c>
      <c r="D2151" t="inlineStr">
        <is>
          <t>VÄSTERNORRLANDS LÄN</t>
        </is>
      </c>
      <c r="E2151" t="inlineStr">
        <is>
          <t>ÅNGE</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32335-2021</t>
        </is>
      </c>
      <c r="B2152" s="1" t="n">
        <v>44371</v>
      </c>
      <c r="C2152" s="1" t="n">
        <v>46093</v>
      </c>
      <c r="D2152" t="inlineStr">
        <is>
          <t>VÄSTERNORRLANDS LÄN</t>
        </is>
      </c>
      <c r="E2152" t="inlineStr">
        <is>
          <t>SUNDSVALL</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58573-2021</t>
        </is>
      </c>
      <c r="B2153" s="1" t="n">
        <v>44488</v>
      </c>
      <c r="C2153" s="1" t="n">
        <v>46093</v>
      </c>
      <c r="D2153" t="inlineStr">
        <is>
          <t>VÄSTERNORRLANDS LÄN</t>
        </is>
      </c>
      <c r="E2153" t="inlineStr">
        <is>
          <t>SOLLEFTEÅ</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5113-2022</t>
        </is>
      </c>
      <c r="B2154" s="1" t="n">
        <v>44593.93362268519</v>
      </c>
      <c r="C2154" s="1" t="n">
        <v>46093</v>
      </c>
      <c r="D2154" t="inlineStr">
        <is>
          <t>VÄSTERNORRLANDS LÄN</t>
        </is>
      </c>
      <c r="E2154" t="inlineStr">
        <is>
          <t>ÅNGE</t>
        </is>
      </c>
      <c r="F2154" t="inlineStr">
        <is>
          <t>SCA</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31668-2021</t>
        </is>
      </c>
      <c r="B2155" s="1" t="n">
        <v>44369</v>
      </c>
      <c r="C2155" s="1" t="n">
        <v>46093</v>
      </c>
      <c r="D2155" t="inlineStr">
        <is>
          <t>VÄSTERNORRLANDS LÄN</t>
        </is>
      </c>
      <c r="E2155" t="inlineStr">
        <is>
          <t>ÅNGE</t>
        </is>
      </c>
      <c r="F2155" t="inlineStr">
        <is>
          <t>Kyrkan</t>
        </is>
      </c>
      <c r="G2155" t="n">
        <v>3.6</v>
      </c>
      <c r="H2155" t="n">
        <v>0</v>
      </c>
      <c r="I2155" t="n">
        <v>0</v>
      </c>
      <c r="J2155" t="n">
        <v>0</v>
      </c>
      <c r="K2155" t="n">
        <v>0</v>
      </c>
      <c r="L2155" t="n">
        <v>0</v>
      </c>
      <c r="M2155" t="n">
        <v>0</v>
      </c>
      <c r="N2155" t="n">
        <v>0</v>
      </c>
      <c r="O2155" t="n">
        <v>0</v>
      </c>
      <c r="P2155" t="n">
        <v>0</v>
      </c>
      <c r="Q2155" t="n">
        <v>0</v>
      </c>
      <c r="R2155" s="2" t="inlineStr"/>
    </row>
    <row r="2156" ht="15" customHeight="1">
      <c r="A2156" t="inlineStr">
        <is>
          <t>A 43766-2022</t>
        </is>
      </c>
      <c r="B2156" s="1" t="n">
        <v>44837.92642361111</v>
      </c>
      <c r="C2156" s="1" t="n">
        <v>46093</v>
      </c>
      <c r="D2156" t="inlineStr">
        <is>
          <t>VÄSTERNORRLANDS LÄN</t>
        </is>
      </c>
      <c r="E2156" t="inlineStr">
        <is>
          <t>SOLLEFTEÅ</t>
        </is>
      </c>
      <c r="F2156" t="inlineStr">
        <is>
          <t>Kyrkan</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21715-2022</t>
        </is>
      </c>
      <c r="B2157" s="1" t="n">
        <v>44707.94020833333</v>
      </c>
      <c r="C2157" s="1" t="n">
        <v>46093</v>
      </c>
      <c r="D2157" t="inlineStr">
        <is>
          <t>VÄSTERNORRLANDS LÄN</t>
        </is>
      </c>
      <c r="E2157" t="inlineStr">
        <is>
          <t>SOLLEFTEÅ</t>
        </is>
      </c>
      <c r="F2157" t="inlineStr">
        <is>
          <t>SCA</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32203-2021</t>
        </is>
      </c>
      <c r="B2158" s="1" t="n">
        <v>44371</v>
      </c>
      <c r="C2158" s="1" t="n">
        <v>46093</v>
      </c>
      <c r="D2158" t="inlineStr">
        <is>
          <t>VÄSTERNORRLANDS LÄN</t>
        </is>
      </c>
      <c r="E2158" t="inlineStr">
        <is>
          <t>SUNDSVALL</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11142-2022</t>
        </is>
      </c>
      <c r="B2159" s="1" t="n">
        <v>44629.33833333333</v>
      </c>
      <c r="C2159" s="1" t="n">
        <v>46093</v>
      </c>
      <c r="D2159" t="inlineStr">
        <is>
          <t>VÄSTERNORRLANDS LÄN</t>
        </is>
      </c>
      <c r="E2159" t="inlineStr">
        <is>
          <t>ÖRNSKÖLDSVIK</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26498-2021</t>
        </is>
      </c>
      <c r="B2160" s="1" t="n">
        <v>44348</v>
      </c>
      <c r="C2160" s="1" t="n">
        <v>46093</v>
      </c>
      <c r="D2160" t="inlineStr">
        <is>
          <t>VÄSTERNORRLANDS LÄN</t>
        </is>
      </c>
      <c r="E2160" t="inlineStr">
        <is>
          <t>SOLLEFTEÅ</t>
        </is>
      </c>
      <c r="G2160" t="n">
        <v>7.8</v>
      </c>
      <c r="H2160" t="n">
        <v>0</v>
      </c>
      <c r="I2160" t="n">
        <v>0</v>
      </c>
      <c r="J2160" t="n">
        <v>0</v>
      </c>
      <c r="K2160" t="n">
        <v>0</v>
      </c>
      <c r="L2160" t="n">
        <v>0</v>
      </c>
      <c r="M2160" t="n">
        <v>0</v>
      </c>
      <c r="N2160" t="n">
        <v>0</v>
      </c>
      <c r="O2160" t="n">
        <v>0</v>
      </c>
      <c r="P2160" t="n">
        <v>0</v>
      </c>
      <c r="Q2160" t="n">
        <v>0</v>
      </c>
      <c r="R2160" s="2" t="inlineStr"/>
    </row>
    <row r="2161" ht="15" customHeight="1">
      <c r="A2161" t="inlineStr">
        <is>
          <t>A 11038-2022</t>
        </is>
      </c>
      <c r="B2161" s="1" t="n">
        <v>44628</v>
      </c>
      <c r="C2161" s="1" t="n">
        <v>46093</v>
      </c>
      <c r="D2161" t="inlineStr">
        <is>
          <t>VÄSTERNORRLANDS LÄN</t>
        </is>
      </c>
      <c r="E2161" t="inlineStr">
        <is>
          <t>KRAMFORS</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53270-2022</t>
        </is>
      </c>
      <c r="B2162" s="1" t="n">
        <v>44876.92712962963</v>
      </c>
      <c r="C2162" s="1" t="n">
        <v>46093</v>
      </c>
      <c r="D2162" t="inlineStr">
        <is>
          <t>VÄSTERNORRLANDS LÄN</t>
        </is>
      </c>
      <c r="E2162" t="inlineStr">
        <is>
          <t>KRAMFORS</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15687-2022</t>
        </is>
      </c>
      <c r="B2163" s="1" t="n">
        <v>44663.37660879629</v>
      </c>
      <c r="C2163" s="1" t="n">
        <v>46093</v>
      </c>
      <c r="D2163" t="inlineStr">
        <is>
          <t>VÄSTERNORRLANDS LÄN</t>
        </is>
      </c>
      <c r="E2163" t="inlineStr">
        <is>
          <t>SUNDSVALL</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61761-2021</t>
        </is>
      </c>
      <c r="B2164" s="1" t="n">
        <v>44501</v>
      </c>
      <c r="C2164" s="1" t="n">
        <v>46093</v>
      </c>
      <c r="D2164" t="inlineStr">
        <is>
          <t>VÄSTERNORRLANDS LÄN</t>
        </is>
      </c>
      <c r="E2164" t="inlineStr">
        <is>
          <t>ÅNGE</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55570-2021</t>
        </is>
      </c>
      <c r="B2165" s="1" t="n">
        <v>44475</v>
      </c>
      <c r="C2165" s="1" t="n">
        <v>46093</v>
      </c>
      <c r="D2165" t="inlineStr">
        <is>
          <t>VÄSTERNORRLANDS LÄN</t>
        </is>
      </c>
      <c r="E2165" t="inlineStr">
        <is>
          <t>ÖRNSKÖLDSVIK</t>
        </is>
      </c>
      <c r="F2165" t="inlineStr">
        <is>
          <t>Holmen skog AB</t>
        </is>
      </c>
      <c r="G2165" t="n">
        <v>4.9</v>
      </c>
      <c r="H2165" t="n">
        <v>0</v>
      </c>
      <c r="I2165" t="n">
        <v>0</v>
      </c>
      <c r="J2165" t="n">
        <v>0</v>
      </c>
      <c r="K2165" t="n">
        <v>0</v>
      </c>
      <c r="L2165" t="n">
        <v>0</v>
      </c>
      <c r="M2165" t="n">
        <v>0</v>
      </c>
      <c r="N2165" t="n">
        <v>0</v>
      </c>
      <c r="O2165" t="n">
        <v>0</v>
      </c>
      <c r="P2165" t="n">
        <v>0</v>
      </c>
      <c r="Q2165" t="n">
        <v>0</v>
      </c>
      <c r="R2165" s="2" t="inlineStr"/>
    </row>
    <row r="2166" ht="15" customHeight="1">
      <c r="A2166" t="inlineStr">
        <is>
          <t>A 44852-2022</t>
        </is>
      </c>
      <c r="B2166" s="1" t="n">
        <v>44841.45820601852</v>
      </c>
      <c r="C2166" s="1" t="n">
        <v>46093</v>
      </c>
      <c r="D2166" t="inlineStr">
        <is>
          <t>VÄSTERNORRLANDS LÄN</t>
        </is>
      </c>
      <c r="E2166" t="inlineStr">
        <is>
          <t>ÖRNSKÖLDSVIK</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51003-2022</t>
        </is>
      </c>
      <c r="B2167" s="1" t="n">
        <v>44867.92760416667</v>
      </c>
      <c r="C2167" s="1" t="n">
        <v>46093</v>
      </c>
      <c r="D2167" t="inlineStr">
        <is>
          <t>VÄSTERNORRLANDS LÄN</t>
        </is>
      </c>
      <c r="E2167" t="inlineStr">
        <is>
          <t>ÖRNSKÖLDSVIK</t>
        </is>
      </c>
      <c r="G2167" t="n">
        <v>6.7</v>
      </c>
      <c r="H2167" t="n">
        <v>0</v>
      </c>
      <c r="I2167" t="n">
        <v>0</v>
      </c>
      <c r="J2167" t="n">
        <v>0</v>
      </c>
      <c r="K2167" t="n">
        <v>0</v>
      </c>
      <c r="L2167" t="n">
        <v>0</v>
      </c>
      <c r="M2167" t="n">
        <v>0</v>
      </c>
      <c r="N2167" t="n">
        <v>0</v>
      </c>
      <c r="O2167" t="n">
        <v>0</v>
      </c>
      <c r="P2167" t="n">
        <v>0</v>
      </c>
      <c r="Q2167" t="n">
        <v>0</v>
      </c>
      <c r="R2167" s="2" t="inlineStr"/>
    </row>
    <row r="2168" ht="15" customHeight="1">
      <c r="A2168" t="inlineStr">
        <is>
          <t>A 51454-2022</t>
        </is>
      </c>
      <c r="B2168" s="1" t="n">
        <v>44869</v>
      </c>
      <c r="C2168" s="1" t="n">
        <v>46093</v>
      </c>
      <c r="D2168" t="inlineStr">
        <is>
          <t>VÄSTERNORRLANDS LÄN</t>
        </is>
      </c>
      <c r="E2168" t="inlineStr">
        <is>
          <t>ÖRNSKÖLDSVIK</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44596-2022</t>
        </is>
      </c>
      <c r="B2169" s="1" t="n">
        <v>44839</v>
      </c>
      <c r="C2169" s="1" t="n">
        <v>46093</v>
      </c>
      <c r="D2169" t="inlineStr">
        <is>
          <t>VÄSTERNORRLANDS LÄN</t>
        </is>
      </c>
      <c r="E2169" t="inlineStr">
        <is>
          <t>SUNDSVALL</t>
        </is>
      </c>
      <c r="G2169" t="n">
        <v>6.9</v>
      </c>
      <c r="H2169" t="n">
        <v>0</v>
      </c>
      <c r="I2169" t="n">
        <v>0</v>
      </c>
      <c r="J2169" t="n">
        <v>0</v>
      </c>
      <c r="K2169" t="n">
        <v>0</v>
      </c>
      <c r="L2169" t="n">
        <v>0</v>
      </c>
      <c r="M2169" t="n">
        <v>0</v>
      </c>
      <c r="N2169" t="n">
        <v>0</v>
      </c>
      <c r="O2169" t="n">
        <v>0</v>
      </c>
      <c r="P2169" t="n">
        <v>0</v>
      </c>
      <c r="Q2169" t="n">
        <v>0</v>
      </c>
      <c r="R2169" s="2" t="inlineStr"/>
    </row>
    <row r="2170" ht="15" customHeight="1">
      <c r="A2170" t="inlineStr">
        <is>
          <t>A 44605-2022</t>
        </is>
      </c>
      <c r="B2170" s="1" t="n">
        <v>44839</v>
      </c>
      <c r="C2170" s="1" t="n">
        <v>46093</v>
      </c>
      <c r="D2170" t="inlineStr">
        <is>
          <t>VÄSTERNORRLANDS LÄN</t>
        </is>
      </c>
      <c r="E2170" t="inlineStr">
        <is>
          <t>SUNDSVALL</t>
        </is>
      </c>
      <c r="G2170" t="n">
        <v>5.9</v>
      </c>
      <c r="H2170" t="n">
        <v>0</v>
      </c>
      <c r="I2170" t="n">
        <v>0</v>
      </c>
      <c r="J2170" t="n">
        <v>0</v>
      </c>
      <c r="K2170" t="n">
        <v>0</v>
      </c>
      <c r="L2170" t="n">
        <v>0</v>
      </c>
      <c r="M2170" t="n">
        <v>0</v>
      </c>
      <c r="N2170" t="n">
        <v>0</v>
      </c>
      <c r="O2170" t="n">
        <v>0</v>
      </c>
      <c r="P2170" t="n">
        <v>0</v>
      </c>
      <c r="Q2170" t="n">
        <v>0</v>
      </c>
      <c r="R2170" s="2" t="inlineStr"/>
    </row>
    <row r="2171" ht="15" customHeight="1">
      <c r="A2171" t="inlineStr">
        <is>
          <t>A 41324-2021</t>
        </is>
      </c>
      <c r="B2171" s="1" t="n">
        <v>44424</v>
      </c>
      <c r="C2171" s="1" t="n">
        <v>46093</v>
      </c>
      <c r="D2171" t="inlineStr">
        <is>
          <t>VÄSTERNORRLANDS LÄN</t>
        </is>
      </c>
      <c r="E2171" t="inlineStr">
        <is>
          <t>KRAMFORS</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37621-2021</t>
        </is>
      </c>
      <c r="B2172" s="1" t="n">
        <v>44399</v>
      </c>
      <c r="C2172" s="1" t="n">
        <v>46093</v>
      </c>
      <c r="D2172" t="inlineStr">
        <is>
          <t>VÄSTERNORRLANDS LÄN</t>
        </is>
      </c>
      <c r="E2172" t="inlineStr">
        <is>
          <t>ÅNGE</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9256-2022</t>
        </is>
      </c>
      <c r="B2173" s="1" t="n">
        <v>44616</v>
      </c>
      <c r="C2173" s="1" t="n">
        <v>46093</v>
      </c>
      <c r="D2173" t="inlineStr">
        <is>
          <t>VÄSTERNORRLANDS LÄN</t>
        </is>
      </c>
      <c r="E2173" t="inlineStr">
        <is>
          <t>TIMRÅ</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9257-2022</t>
        </is>
      </c>
      <c r="B2174" s="1" t="n">
        <v>44616</v>
      </c>
      <c r="C2174" s="1" t="n">
        <v>46093</v>
      </c>
      <c r="D2174" t="inlineStr">
        <is>
          <t>VÄSTERNORRLANDS LÄN</t>
        </is>
      </c>
      <c r="E2174" t="inlineStr">
        <is>
          <t>KRAMFORS</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30768-2022</t>
        </is>
      </c>
      <c r="B2175" s="1" t="n">
        <v>44764.53608796297</v>
      </c>
      <c r="C2175" s="1" t="n">
        <v>46093</v>
      </c>
      <c r="D2175" t="inlineStr">
        <is>
          <t>VÄSTERNORRLANDS LÄN</t>
        </is>
      </c>
      <c r="E2175" t="inlineStr">
        <is>
          <t>ÅNGE</t>
        </is>
      </c>
      <c r="F2175" t="inlineStr">
        <is>
          <t>Sveaskog</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14061-2022</t>
        </is>
      </c>
      <c r="B2176" s="1" t="n">
        <v>44650.94005787037</v>
      </c>
      <c r="C2176" s="1" t="n">
        <v>46093</v>
      </c>
      <c r="D2176" t="inlineStr">
        <is>
          <t>VÄSTERNORRLANDS LÄN</t>
        </is>
      </c>
      <c r="E2176" t="inlineStr">
        <is>
          <t>SOLLEFTEÅ</t>
        </is>
      </c>
      <c r="F2176" t="inlineStr">
        <is>
          <t>SCA</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13293-2022</t>
        </is>
      </c>
      <c r="B2177" s="1" t="n">
        <v>44644</v>
      </c>
      <c r="C2177" s="1" t="n">
        <v>46093</v>
      </c>
      <c r="D2177" t="inlineStr">
        <is>
          <t>VÄSTERNORRLANDS LÄN</t>
        </is>
      </c>
      <c r="E2177" t="inlineStr">
        <is>
          <t>SUNDSVALL</t>
        </is>
      </c>
      <c r="G2177" t="n">
        <v>18.5</v>
      </c>
      <c r="H2177" t="n">
        <v>0</v>
      </c>
      <c r="I2177" t="n">
        <v>0</v>
      </c>
      <c r="J2177" t="n">
        <v>0</v>
      </c>
      <c r="K2177" t="n">
        <v>0</v>
      </c>
      <c r="L2177" t="n">
        <v>0</v>
      </c>
      <c r="M2177" t="n">
        <v>0</v>
      </c>
      <c r="N2177" t="n">
        <v>0</v>
      </c>
      <c r="O2177" t="n">
        <v>0</v>
      </c>
      <c r="P2177" t="n">
        <v>0</v>
      </c>
      <c r="Q2177" t="n">
        <v>0</v>
      </c>
      <c r="R2177" s="2" t="inlineStr"/>
    </row>
    <row r="2178" ht="15" customHeight="1">
      <c r="A2178" t="inlineStr">
        <is>
          <t>A 14302-2022</t>
        </is>
      </c>
      <c r="B2178" s="1" t="n">
        <v>44651</v>
      </c>
      <c r="C2178" s="1" t="n">
        <v>46093</v>
      </c>
      <c r="D2178" t="inlineStr">
        <is>
          <t>VÄSTERNORRLANDS LÄN</t>
        </is>
      </c>
      <c r="E2178" t="inlineStr">
        <is>
          <t>SOLLEFTEÅ</t>
        </is>
      </c>
      <c r="F2178" t="inlineStr">
        <is>
          <t>SCA</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27082-2022</t>
        </is>
      </c>
      <c r="B2179" s="1" t="n">
        <v>44741</v>
      </c>
      <c r="C2179" s="1" t="n">
        <v>46093</v>
      </c>
      <c r="D2179" t="inlineStr">
        <is>
          <t>VÄSTERNORRLANDS LÄN</t>
        </is>
      </c>
      <c r="E2179" t="inlineStr">
        <is>
          <t>SOLLEFTEÅ</t>
        </is>
      </c>
      <c r="G2179" t="n">
        <v>8.199999999999999</v>
      </c>
      <c r="H2179" t="n">
        <v>0</v>
      </c>
      <c r="I2179" t="n">
        <v>0</v>
      </c>
      <c r="J2179" t="n">
        <v>0</v>
      </c>
      <c r="K2179" t="n">
        <v>0</v>
      </c>
      <c r="L2179" t="n">
        <v>0</v>
      </c>
      <c r="M2179" t="n">
        <v>0</v>
      </c>
      <c r="N2179" t="n">
        <v>0</v>
      </c>
      <c r="O2179" t="n">
        <v>0</v>
      </c>
      <c r="P2179" t="n">
        <v>0</v>
      </c>
      <c r="Q2179" t="n">
        <v>0</v>
      </c>
      <c r="R2179" s="2" t="inlineStr"/>
    </row>
    <row r="2180" ht="15" customHeight="1">
      <c r="A2180" t="inlineStr">
        <is>
          <t>A 48240-2022</t>
        </is>
      </c>
      <c r="B2180" s="1" t="n">
        <v>44858</v>
      </c>
      <c r="C2180" s="1" t="n">
        <v>46093</v>
      </c>
      <c r="D2180" t="inlineStr">
        <is>
          <t>VÄSTERNORRLANDS LÄN</t>
        </is>
      </c>
      <c r="E2180" t="inlineStr">
        <is>
          <t>SOLLEFTEÅ</t>
        </is>
      </c>
      <c r="G2180" t="n">
        <v>0.3</v>
      </c>
      <c r="H2180" t="n">
        <v>0</v>
      </c>
      <c r="I2180" t="n">
        <v>0</v>
      </c>
      <c r="J2180" t="n">
        <v>0</v>
      </c>
      <c r="K2180" t="n">
        <v>0</v>
      </c>
      <c r="L2180" t="n">
        <v>0</v>
      </c>
      <c r="M2180" t="n">
        <v>0</v>
      </c>
      <c r="N2180" t="n">
        <v>0</v>
      </c>
      <c r="O2180" t="n">
        <v>0</v>
      </c>
      <c r="P2180" t="n">
        <v>0</v>
      </c>
      <c r="Q2180" t="n">
        <v>0</v>
      </c>
      <c r="R2180" s="2" t="inlineStr"/>
    </row>
    <row r="2181" ht="15" customHeight="1">
      <c r="A2181" t="inlineStr">
        <is>
          <t>A 51555-2022</t>
        </is>
      </c>
      <c r="B2181" s="1" t="n">
        <v>44869.9495949074</v>
      </c>
      <c r="C2181" s="1" t="n">
        <v>46093</v>
      </c>
      <c r="D2181" t="inlineStr">
        <is>
          <t>VÄSTERNORRLANDS LÄN</t>
        </is>
      </c>
      <c r="E2181" t="inlineStr">
        <is>
          <t>ÅNGE</t>
        </is>
      </c>
      <c r="F2181" t="inlineStr">
        <is>
          <t>SCA</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29012-2021</t>
        </is>
      </c>
      <c r="B2182" s="1" t="n">
        <v>44358</v>
      </c>
      <c r="C2182" s="1" t="n">
        <v>46093</v>
      </c>
      <c r="D2182" t="inlineStr">
        <is>
          <t>VÄSTERNORRLANDS LÄN</t>
        </is>
      </c>
      <c r="E2182" t="inlineStr">
        <is>
          <t>ÖRNSKÖLDSVIK</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63458-2021</t>
        </is>
      </c>
      <c r="B2183" s="1" t="n">
        <v>44508</v>
      </c>
      <c r="C2183" s="1" t="n">
        <v>46093</v>
      </c>
      <c r="D2183" t="inlineStr">
        <is>
          <t>VÄSTERNORRLANDS LÄN</t>
        </is>
      </c>
      <c r="E2183" t="inlineStr">
        <is>
          <t>ÖRNSKÖLDSVIK</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61407-2021</t>
        </is>
      </c>
      <c r="B2184" s="1" t="n">
        <v>44500</v>
      </c>
      <c r="C2184" s="1" t="n">
        <v>46093</v>
      </c>
      <c r="D2184" t="inlineStr">
        <is>
          <t>VÄSTERNORRLANDS LÄN</t>
        </is>
      </c>
      <c r="E2184" t="inlineStr">
        <is>
          <t>SUNDSVALL</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51494-2022</t>
        </is>
      </c>
      <c r="B2185" s="1" t="n">
        <v>44869</v>
      </c>
      <c r="C2185" s="1" t="n">
        <v>46093</v>
      </c>
      <c r="D2185" t="inlineStr">
        <is>
          <t>VÄSTERNORRLANDS LÄN</t>
        </is>
      </c>
      <c r="E2185" t="inlineStr">
        <is>
          <t>ÅNGE</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66233-2021</t>
        </is>
      </c>
      <c r="B2186" s="1" t="n">
        <v>44518.39234953704</v>
      </c>
      <c r="C2186" s="1" t="n">
        <v>46093</v>
      </c>
      <c r="D2186" t="inlineStr">
        <is>
          <t>VÄSTERNORRLANDS LÄN</t>
        </is>
      </c>
      <c r="E2186" t="inlineStr">
        <is>
          <t>ÅNGE</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31824-2021</t>
        </is>
      </c>
      <c r="B2187" s="1" t="n">
        <v>44370.39030092592</v>
      </c>
      <c r="C2187" s="1" t="n">
        <v>46093</v>
      </c>
      <c r="D2187" t="inlineStr">
        <is>
          <t>VÄSTERNORRLANDS LÄN</t>
        </is>
      </c>
      <c r="E2187" t="inlineStr">
        <is>
          <t>ÖRNSKÖLDSVIK</t>
        </is>
      </c>
      <c r="F2187" t="inlineStr">
        <is>
          <t>Holmen skog AB</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63449-2021</t>
        </is>
      </c>
      <c r="B2188" s="1" t="n">
        <v>44508</v>
      </c>
      <c r="C2188" s="1" t="n">
        <v>46093</v>
      </c>
      <c r="D2188" t="inlineStr">
        <is>
          <t>VÄSTERNORRLANDS LÄN</t>
        </is>
      </c>
      <c r="E2188" t="inlineStr">
        <is>
          <t>ÖRNSKÖLDSVIK</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32275-2021</t>
        </is>
      </c>
      <c r="B2189" s="1" t="n">
        <v>44371</v>
      </c>
      <c r="C2189" s="1" t="n">
        <v>46093</v>
      </c>
      <c r="D2189" t="inlineStr">
        <is>
          <t>VÄSTERNORRLANDS LÄN</t>
        </is>
      </c>
      <c r="E2189" t="inlineStr">
        <is>
          <t>SUNDSVALL</t>
        </is>
      </c>
      <c r="G2189" t="n">
        <v>3.9</v>
      </c>
      <c r="H2189" t="n">
        <v>0</v>
      </c>
      <c r="I2189" t="n">
        <v>0</v>
      </c>
      <c r="J2189" t="n">
        <v>0</v>
      </c>
      <c r="K2189" t="n">
        <v>0</v>
      </c>
      <c r="L2189" t="n">
        <v>0</v>
      </c>
      <c r="M2189" t="n">
        <v>0</v>
      </c>
      <c r="N2189" t="n">
        <v>0</v>
      </c>
      <c r="O2189" t="n">
        <v>0</v>
      </c>
      <c r="P2189" t="n">
        <v>0</v>
      </c>
      <c r="Q2189" t="n">
        <v>0</v>
      </c>
      <c r="R2189" s="2" t="inlineStr"/>
    </row>
    <row r="2190" ht="15" customHeight="1">
      <c r="A2190" t="inlineStr">
        <is>
          <t>A 30236-2022</t>
        </is>
      </c>
      <c r="B2190" s="1" t="n">
        <v>44757</v>
      </c>
      <c r="C2190" s="1" t="n">
        <v>46093</v>
      </c>
      <c r="D2190" t="inlineStr">
        <is>
          <t>VÄSTERNORRLANDS LÄN</t>
        </is>
      </c>
      <c r="E2190" t="inlineStr">
        <is>
          <t>SOLLEFTEÅ</t>
        </is>
      </c>
      <c r="F2190" t="inlineStr">
        <is>
          <t>SCA</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42351-2021</t>
        </is>
      </c>
      <c r="B2191" s="1" t="n">
        <v>44427</v>
      </c>
      <c r="C2191" s="1" t="n">
        <v>46093</v>
      </c>
      <c r="D2191" t="inlineStr">
        <is>
          <t>VÄSTERNORRLANDS LÄN</t>
        </is>
      </c>
      <c r="E2191" t="inlineStr">
        <is>
          <t>ÖRNSKÖLDSVIK</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67822-2021</t>
        </is>
      </c>
      <c r="B2192" s="1" t="n">
        <v>44525.45137731481</v>
      </c>
      <c r="C2192" s="1" t="n">
        <v>46093</v>
      </c>
      <c r="D2192" t="inlineStr">
        <is>
          <t>VÄSTERNORRLANDS LÄN</t>
        </is>
      </c>
      <c r="E2192" t="inlineStr">
        <is>
          <t>SOLLEFTEÅ</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28943-2022</t>
        </is>
      </c>
      <c r="B2193" s="1" t="n">
        <v>44749</v>
      </c>
      <c r="C2193" s="1" t="n">
        <v>46093</v>
      </c>
      <c r="D2193" t="inlineStr">
        <is>
          <t>VÄSTERNORRLANDS LÄN</t>
        </is>
      </c>
      <c r="E2193" t="inlineStr">
        <is>
          <t>KRAMFORS</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26398-2022</t>
        </is>
      </c>
      <c r="B2194" s="1" t="n">
        <v>44735</v>
      </c>
      <c r="C2194" s="1" t="n">
        <v>46093</v>
      </c>
      <c r="D2194" t="inlineStr">
        <is>
          <t>VÄSTERNORRLANDS LÄN</t>
        </is>
      </c>
      <c r="E2194" t="inlineStr">
        <is>
          <t>HÄRNÖSAND</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29294-2022</t>
        </is>
      </c>
      <c r="B2195" s="1" t="n">
        <v>44750.9431712963</v>
      </c>
      <c r="C2195" s="1" t="n">
        <v>46093</v>
      </c>
      <c r="D2195" t="inlineStr">
        <is>
          <t>VÄSTERNORRLANDS LÄN</t>
        </is>
      </c>
      <c r="E2195" t="inlineStr">
        <is>
          <t>SOLLEFTEÅ</t>
        </is>
      </c>
      <c r="F2195" t="inlineStr">
        <is>
          <t>SCA</t>
        </is>
      </c>
      <c r="G2195" t="n">
        <v>6.7</v>
      </c>
      <c r="H2195" t="n">
        <v>0</v>
      </c>
      <c r="I2195" t="n">
        <v>0</v>
      </c>
      <c r="J2195" t="n">
        <v>0</v>
      </c>
      <c r="K2195" t="n">
        <v>0</v>
      </c>
      <c r="L2195" t="n">
        <v>0</v>
      </c>
      <c r="M2195" t="n">
        <v>0</v>
      </c>
      <c r="N2195" t="n">
        <v>0</v>
      </c>
      <c r="O2195" t="n">
        <v>0</v>
      </c>
      <c r="P2195" t="n">
        <v>0</v>
      </c>
      <c r="Q2195" t="n">
        <v>0</v>
      </c>
      <c r="R2195" s="2" t="inlineStr"/>
    </row>
    <row r="2196" ht="15" customHeight="1">
      <c r="A2196" t="inlineStr">
        <is>
          <t>A 29298-2022</t>
        </is>
      </c>
      <c r="B2196" s="1" t="n">
        <v>44750.94349537037</v>
      </c>
      <c r="C2196" s="1" t="n">
        <v>46093</v>
      </c>
      <c r="D2196" t="inlineStr">
        <is>
          <t>VÄSTERNORRLANDS LÄN</t>
        </is>
      </c>
      <c r="E2196" t="inlineStr">
        <is>
          <t>SUNDSVALL</t>
        </is>
      </c>
      <c r="F2196" t="inlineStr">
        <is>
          <t>Naturvårdsverket</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69971-2021</t>
        </is>
      </c>
      <c r="B2197" s="1" t="n">
        <v>44533</v>
      </c>
      <c r="C2197" s="1" t="n">
        <v>46093</v>
      </c>
      <c r="D2197" t="inlineStr">
        <is>
          <t>VÄSTERNORRLANDS LÄN</t>
        </is>
      </c>
      <c r="E2197" t="inlineStr">
        <is>
          <t>ÖRNSKÖLDSVIK</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59146-2021</t>
        </is>
      </c>
      <c r="B2198" s="1" t="n">
        <v>44490</v>
      </c>
      <c r="C2198" s="1" t="n">
        <v>46093</v>
      </c>
      <c r="D2198" t="inlineStr">
        <is>
          <t>VÄSTERNORRLANDS LÄN</t>
        </is>
      </c>
      <c r="E2198" t="inlineStr">
        <is>
          <t>SUNDSVALL</t>
        </is>
      </c>
      <c r="G2198" t="n">
        <v>4</v>
      </c>
      <c r="H2198" t="n">
        <v>0</v>
      </c>
      <c r="I2198" t="n">
        <v>0</v>
      </c>
      <c r="J2198" t="n">
        <v>0</v>
      </c>
      <c r="K2198" t="n">
        <v>0</v>
      </c>
      <c r="L2198" t="n">
        <v>0</v>
      </c>
      <c r="M2198" t="n">
        <v>0</v>
      </c>
      <c r="N2198" t="n">
        <v>0</v>
      </c>
      <c r="O2198" t="n">
        <v>0</v>
      </c>
      <c r="P2198" t="n">
        <v>0</v>
      </c>
      <c r="Q2198" t="n">
        <v>0</v>
      </c>
      <c r="R2198" s="2" t="inlineStr"/>
    </row>
    <row r="2199" ht="15" customHeight="1">
      <c r="A2199" t="inlineStr">
        <is>
          <t>A 30286-2021</t>
        </is>
      </c>
      <c r="B2199" s="1" t="n">
        <v>44363</v>
      </c>
      <c r="C2199" s="1" t="n">
        <v>46093</v>
      </c>
      <c r="D2199" t="inlineStr">
        <is>
          <t>VÄSTERNORRLANDS LÄN</t>
        </is>
      </c>
      <c r="E2199" t="inlineStr">
        <is>
          <t>ÅNGE</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24734-2022</t>
        </is>
      </c>
      <c r="B2200" s="1" t="n">
        <v>44727.94329861111</v>
      </c>
      <c r="C2200" s="1" t="n">
        <v>46093</v>
      </c>
      <c r="D2200" t="inlineStr">
        <is>
          <t>VÄSTERNORRLANDS LÄN</t>
        </is>
      </c>
      <c r="E2200" t="inlineStr">
        <is>
          <t>SOLLEFTEÅ</t>
        </is>
      </c>
      <c r="F2200" t="inlineStr">
        <is>
          <t>SCA</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20056-2022</t>
        </is>
      </c>
      <c r="B2201" s="1" t="n">
        <v>44697.92469907407</v>
      </c>
      <c r="C2201" s="1" t="n">
        <v>46093</v>
      </c>
      <c r="D2201" t="inlineStr">
        <is>
          <t>VÄSTERNORRLANDS LÄN</t>
        </is>
      </c>
      <c r="E2201" t="inlineStr">
        <is>
          <t>KRAMFORS</t>
        </is>
      </c>
      <c r="G2201" t="n">
        <v>0.3</v>
      </c>
      <c r="H2201" t="n">
        <v>0</v>
      </c>
      <c r="I2201" t="n">
        <v>0</v>
      </c>
      <c r="J2201" t="n">
        <v>0</v>
      </c>
      <c r="K2201" t="n">
        <v>0</v>
      </c>
      <c r="L2201" t="n">
        <v>0</v>
      </c>
      <c r="M2201" t="n">
        <v>0</v>
      </c>
      <c r="N2201" t="n">
        <v>0</v>
      </c>
      <c r="O2201" t="n">
        <v>0</v>
      </c>
      <c r="P2201" t="n">
        <v>0</v>
      </c>
      <c r="Q2201" t="n">
        <v>0</v>
      </c>
      <c r="R2201" s="2" t="inlineStr"/>
    </row>
    <row r="2202" ht="15" customHeight="1">
      <c r="A2202" t="inlineStr">
        <is>
          <t>A 48004-2022</t>
        </is>
      </c>
      <c r="B2202" s="1" t="n">
        <v>44855</v>
      </c>
      <c r="C2202" s="1" t="n">
        <v>46093</v>
      </c>
      <c r="D2202" t="inlineStr">
        <is>
          <t>VÄSTERNORRLANDS LÄN</t>
        </is>
      </c>
      <c r="E2202" t="inlineStr">
        <is>
          <t>ÖRNSKÖLDSVIK</t>
        </is>
      </c>
      <c r="F2202" t="inlineStr">
        <is>
          <t>Holmen skog AB</t>
        </is>
      </c>
      <c r="G2202" t="n">
        <v>6.6</v>
      </c>
      <c r="H2202" t="n">
        <v>0</v>
      </c>
      <c r="I2202" t="n">
        <v>0</v>
      </c>
      <c r="J2202" t="n">
        <v>0</v>
      </c>
      <c r="K2202" t="n">
        <v>0</v>
      </c>
      <c r="L2202" t="n">
        <v>0</v>
      </c>
      <c r="M2202" t="n">
        <v>0</v>
      </c>
      <c r="N2202" t="n">
        <v>0</v>
      </c>
      <c r="O2202" t="n">
        <v>0</v>
      </c>
      <c r="P2202" t="n">
        <v>0</v>
      </c>
      <c r="Q2202" t="n">
        <v>0</v>
      </c>
      <c r="R2202" s="2" t="inlineStr"/>
    </row>
    <row r="2203" ht="15" customHeight="1">
      <c r="A2203" t="inlineStr">
        <is>
          <t>A 73566-2021</t>
        </is>
      </c>
      <c r="B2203" s="1" t="n">
        <v>44551.94106481481</v>
      </c>
      <c r="C2203" s="1" t="n">
        <v>46093</v>
      </c>
      <c r="D2203" t="inlineStr">
        <is>
          <t>VÄSTERNORRLANDS LÄN</t>
        </is>
      </c>
      <c r="E2203" t="inlineStr">
        <is>
          <t>SOLLEFTEÅ</t>
        </is>
      </c>
      <c r="F2203" t="inlineStr">
        <is>
          <t>SCA</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73637-2021</t>
        </is>
      </c>
      <c r="B2204" s="1" t="n">
        <v>44552.4337962963</v>
      </c>
      <c r="C2204" s="1" t="n">
        <v>46093</v>
      </c>
      <c r="D2204" t="inlineStr">
        <is>
          <t>VÄSTERNORRLANDS LÄN</t>
        </is>
      </c>
      <c r="E2204" t="inlineStr">
        <is>
          <t>ÖRNSKÖLDSVIK</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39944-2022</t>
        </is>
      </c>
      <c r="B2205" s="1" t="n">
        <v>44819</v>
      </c>
      <c r="C2205" s="1" t="n">
        <v>46093</v>
      </c>
      <c r="D2205" t="inlineStr">
        <is>
          <t>VÄSTERNORRLANDS LÄN</t>
        </is>
      </c>
      <c r="E2205" t="inlineStr">
        <is>
          <t>SOLLEFTEÅ</t>
        </is>
      </c>
      <c r="F2205" t="inlineStr">
        <is>
          <t>SCA</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36564-2022</t>
        </is>
      </c>
      <c r="B2206" s="1" t="n">
        <v>44804</v>
      </c>
      <c r="C2206" s="1" t="n">
        <v>46093</v>
      </c>
      <c r="D2206" t="inlineStr">
        <is>
          <t>VÄSTERNORRLANDS LÄN</t>
        </is>
      </c>
      <c r="E2206" t="inlineStr">
        <is>
          <t>TIMRÅ</t>
        </is>
      </c>
      <c r="G2206" t="n">
        <v>16.6</v>
      </c>
      <c r="H2206" t="n">
        <v>0</v>
      </c>
      <c r="I2206" t="n">
        <v>0</v>
      </c>
      <c r="J2206" t="n">
        <v>0</v>
      </c>
      <c r="K2206" t="n">
        <v>0</v>
      </c>
      <c r="L2206" t="n">
        <v>0</v>
      </c>
      <c r="M2206" t="n">
        <v>0</v>
      </c>
      <c r="N2206" t="n">
        <v>0</v>
      </c>
      <c r="O2206" t="n">
        <v>0</v>
      </c>
      <c r="P2206" t="n">
        <v>0</v>
      </c>
      <c r="Q2206" t="n">
        <v>0</v>
      </c>
      <c r="R2206" s="2" t="inlineStr"/>
    </row>
    <row r="2207" ht="15" customHeight="1">
      <c r="A2207" t="inlineStr">
        <is>
          <t>A 36605-2022</t>
        </is>
      </c>
      <c r="B2207" s="1" t="n">
        <v>44804</v>
      </c>
      <c r="C2207" s="1" t="n">
        <v>46093</v>
      </c>
      <c r="D2207" t="inlineStr">
        <is>
          <t>VÄSTERNORRLANDS LÄN</t>
        </is>
      </c>
      <c r="E2207" t="inlineStr">
        <is>
          <t>KRAMFORS</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62073-2021</t>
        </is>
      </c>
      <c r="B2208" s="1" t="n">
        <v>44502.59737268519</v>
      </c>
      <c r="C2208" s="1" t="n">
        <v>46093</v>
      </c>
      <c r="D2208" t="inlineStr">
        <is>
          <t>VÄSTERNORRLANDS LÄN</t>
        </is>
      </c>
      <c r="E2208" t="inlineStr">
        <is>
          <t>SUNDSVALL</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11098-2022</t>
        </is>
      </c>
      <c r="B2209" s="1" t="n">
        <v>44628</v>
      </c>
      <c r="C2209" s="1" t="n">
        <v>46093</v>
      </c>
      <c r="D2209" t="inlineStr">
        <is>
          <t>VÄSTERNORRLANDS LÄN</t>
        </is>
      </c>
      <c r="E2209" t="inlineStr">
        <is>
          <t>ÅNGE</t>
        </is>
      </c>
      <c r="G2209" t="n">
        <v>8.9</v>
      </c>
      <c r="H2209" t="n">
        <v>0</v>
      </c>
      <c r="I2209" t="n">
        <v>0</v>
      </c>
      <c r="J2209" t="n">
        <v>0</v>
      </c>
      <c r="K2209" t="n">
        <v>0</v>
      </c>
      <c r="L2209" t="n">
        <v>0</v>
      </c>
      <c r="M2209" t="n">
        <v>0</v>
      </c>
      <c r="N2209" t="n">
        <v>0</v>
      </c>
      <c r="O2209" t="n">
        <v>0</v>
      </c>
      <c r="P2209" t="n">
        <v>0</v>
      </c>
      <c r="Q2209" t="n">
        <v>0</v>
      </c>
      <c r="R2209" s="2" t="inlineStr"/>
    </row>
    <row r="2210" ht="15" customHeight="1">
      <c r="A2210" t="inlineStr">
        <is>
          <t>A 33684-2022</t>
        </is>
      </c>
      <c r="B2210" s="1" t="n">
        <v>44789</v>
      </c>
      <c r="C2210" s="1" t="n">
        <v>46093</v>
      </c>
      <c r="D2210" t="inlineStr">
        <is>
          <t>VÄSTERNORRLANDS LÄN</t>
        </is>
      </c>
      <c r="E2210" t="inlineStr">
        <is>
          <t>ÖRNSKÖLDSVIK</t>
        </is>
      </c>
      <c r="F2210" t="inlineStr">
        <is>
          <t>Holmen skog AB</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2775-2022</t>
        </is>
      </c>
      <c r="B2211" s="1" t="n">
        <v>44581</v>
      </c>
      <c r="C2211" s="1" t="n">
        <v>46093</v>
      </c>
      <c r="D2211" t="inlineStr">
        <is>
          <t>VÄSTERNORRLANDS LÄN</t>
        </is>
      </c>
      <c r="E2211" t="inlineStr">
        <is>
          <t>KRAMFORS</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2786-2022</t>
        </is>
      </c>
      <c r="B2212" s="1" t="n">
        <v>44581</v>
      </c>
      <c r="C2212" s="1" t="n">
        <v>46093</v>
      </c>
      <c r="D2212" t="inlineStr">
        <is>
          <t>VÄSTERNORRLANDS LÄN</t>
        </is>
      </c>
      <c r="E2212" t="inlineStr">
        <is>
          <t>HÄRNÖSAND</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30936-2022</t>
        </is>
      </c>
      <c r="B2213" s="1" t="n">
        <v>44767.94028935185</v>
      </c>
      <c r="C2213" s="1" t="n">
        <v>46093</v>
      </c>
      <c r="D2213" t="inlineStr">
        <is>
          <t>VÄSTERNORRLANDS LÄN</t>
        </is>
      </c>
      <c r="E2213" t="inlineStr">
        <is>
          <t>SOLLEFTEÅ</t>
        </is>
      </c>
      <c r="F2213" t="inlineStr">
        <is>
          <t>SCA</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18422-2022</t>
        </is>
      </c>
      <c r="B2214" s="1" t="n">
        <v>44687</v>
      </c>
      <c r="C2214" s="1" t="n">
        <v>46093</v>
      </c>
      <c r="D2214" t="inlineStr">
        <is>
          <t>VÄSTERNORRLANDS LÄN</t>
        </is>
      </c>
      <c r="E2214" t="inlineStr">
        <is>
          <t>ÖRNSKÖLDSVIK</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46837-2022</t>
        </is>
      </c>
      <c r="B2215" s="1" t="n">
        <v>44848</v>
      </c>
      <c r="C2215" s="1" t="n">
        <v>46093</v>
      </c>
      <c r="D2215" t="inlineStr">
        <is>
          <t>VÄSTERNORRLANDS LÄN</t>
        </is>
      </c>
      <c r="E2215" t="inlineStr">
        <is>
          <t>HÄRNÖSAND</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26089-2021</t>
        </is>
      </c>
      <c r="B2216" s="1" t="n">
        <v>44344</v>
      </c>
      <c r="C2216" s="1" t="n">
        <v>46093</v>
      </c>
      <c r="D2216" t="inlineStr">
        <is>
          <t>VÄSTERNORRLANDS LÄN</t>
        </is>
      </c>
      <c r="E2216" t="inlineStr">
        <is>
          <t>SUNDSVALL</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29509-2021</t>
        </is>
      </c>
      <c r="B2217" s="1" t="n">
        <v>44361</v>
      </c>
      <c r="C2217" s="1" t="n">
        <v>46093</v>
      </c>
      <c r="D2217" t="inlineStr">
        <is>
          <t>VÄSTERNORRLANDS LÄN</t>
        </is>
      </c>
      <c r="E2217" t="inlineStr">
        <is>
          <t>ÅNGE</t>
        </is>
      </c>
      <c r="G2217" t="n">
        <v>3.6</v>
      </c>
      <c r="H2217" t="n">
        <v>0</v>
      </c>
      <c r="I2217" t="n">
        <v>0</v>
      </c>
      <c r="J2217" t="n">
        <v>0</v>
      </c>
      <c r="K2217" t="n">
        <v>0</v>
      </c>
      <c r="L2217" t="n">
        <v>0</v>
      </c>
      <c r="M2217" t="n">
        <v>0</v>
      </c>
      <c r="N2217" t="n">
        <v>0</v>
      </c>
      <c r="O2217" t="n">
        <v>0</v>
      </c>
      <c r="P2217" t="n">
        <v>0</v>
      </c>
      <c r="Q2217" t="n">
        <v>0</v>
      </c>
      <c r="R2217" s="2" t="inlineStr"/>
    </row>
    <row r="2218" ht="15" customHeight="1">
      <c r="A2218" t="inlineStr">
        <is>
          <t>A 35283-2022</t>
        </is>
      </c>
      <c r="B2218" s="1" t="n">
        <v>44798.39916666667</v>
      </c>
      <c r="C2218" s="1" t="n">
        <v>46093</v>
      </c>
      <c r="D2218" t="inlineStr">
        <is>
          <t>VÄSTERNORRLANDS LÄN</t>
        </is>
      </c>
      <c r="E2218" t="inlineStr">
        <is>
          <t>ÅNGE</t>
        </is>
      </c>
      <c r="G2218" t="n">
        <v>4.5</v>
      </c>
      <c r="H2218" t="n">
        <v>0</v>
      </c>
      <c r="I2218" t="n">
        <v>0</v>
      </c>
      <c r="J2218" t="n">
        <v>0</v>
      </c>
      <c r="K2218" t="n">
        <v>0</v>
      </c>
      <c r="L2218" t="n">
        <v>0</v>
      </c>
      <c r="M2218" t="n">
        <v>0</v>
      </c>
      <c r="N2218" t="n">
        <v>0</v>
      </c>
      <c r="O2218" t="n">
        <v>0</v>
      </c>
      <c r="P2218" t="n">
        <v>0</v>
      </c>
      <c r="Q2218" t="n">
        <v>0</v>
      </c>
      <c r="R2218" s="2" t="inlineStr"/>
    </row>
    <row r="2219" ht="15" customHeight="1">
      <c r="A2219" t="inlineStr">
        <is>
          <t>A 35276-2022</t>
        </is>
      </c>
      <c r="B2219" s="1" t="n">
        <v>44798</v>
      </c>
      <c r="C2219" s="1" t="n">
        <v>46093</v>
      </c>
      <c r="D2219" t="inlineStr">
        <is>
          <t>VÄSTERNORRLANDS LÄN</t>
        </is>
      </c>
      <c r="E2219" t="inlineStr">
        <is>
          <t>ÅNGE</t>
        </is>
      </c>
      <c r="G2219" t="n">
        <v>15.2</v>
      </c>
      <c r="H2219" t="n">
        <v>0</v>
      </c>
      <c r="I2219" t="n">
        <v>0</v>
      </c>
      <c r="J2219" t="n">
        <v>0</v>
      </c>
      <c r="K2219" t="n">
        <v>0</v>
      </c>
      <c r="L2219" t="n">
        <v>0</v>
      </c>
      <c r="M2219" t="n">
        <v>0</v>
      </c>
      <c r="N2219" t="n">
        <v>0</v>
      </c>
      <c r="O2219" t="n">
        <v>0</v>
      </c>
      <c r="P2219" t="n">
        <v>0</v>
      </c>
      <c r="Q2219" t="n">
        <v>0</v>
      </c>
      <c r="R2219" s="2" t="inlineStr"/>
    </row>
    <row r="2220" ht="15" customHeight="1">
      <c r="A2220" t="inlineStr">
        <is>
          <t>A 13149-2021</t>
        </is>
      </c>
      <c r="B2220" s="1" t="n">
        <v>44272</v>
      </c>
      <c r="C2220" s="1" t="n">
        <v>46093</v>
      </c>
      <c r="D2220" t="inlineStr">
        <is>
          <t>VÄSTERNORRLANDS LÄN</t>
        </is>
      </c>
      <c r="E2220" t="inlineStr">
        <is>
          <t>ÅNGE</t>
        </is>
      </c>
      <c r="G2220" t="n">
        <v>3.4</v>
      </c>
      <c r="H2220" t="n">
        <v>0</v>
      </c>
      <c r="I2220" t="n">
        <v>0</v>
      </c>
      <c r="J2220" t="n">
        <v>0</v>
      </c>
      <c r="K2220" t="n">
        <v>0</v>
      </c>
      <c r="L2220" t="n">
        <v>0</v>
      </c>
      <c r="M2220" t="n">
        <v>0</v>
      </c>
      <c r="N2220" t="n">
        <v>0</v>
      </c>
      <c r="O2220" t="n">
        <v>0</v>
      </c>
      <c r="P2220" t="n">
        <v>0</v>
      </c>
      <c r="Q2220" t="n">
        <v>0</v>
      </c>
      <c r="R2220" s="2" t="inlineStr"/>
    </row>
    <row r="2221" ht="15" customHeight="1">
      <c r="A2221" t="inlineStr">
        <is>
          <t>A 31957-2022</t>
        </is>
      </c>
      <c r="B2221" s="1" t="n">
        <v>44777</v>
      </c>
      <c r="C2221" s="1" t="n">
        <v>46093</v>
      </c>
      <c r="D2221" t="inlineStr">
        <is>
          <t>VÄSTERNORRLANDS LÄN</t>
        </is>
      </c>
      <c r="E2221" t="inlineStr">
        <is>
          <t>SUNDSVALL</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57438-2021</t>
        </is>
      </c>
      <c r="B2222" s="1" t="n">
        <v>44483</v>
      </c>
      <c r="C2222" s="1" t="n">
        <v>46093</v>
      </c>
      <c r="D2222" t="inlineStr">
        <is>
          <t>VÄSTERNORRLANDS LÄN</t>
        </is>
      </c>
      <c r="E2222" t="inlineStr">
        <is>
          <t>ÖRNSKÖLDSVIK</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33274-2022</t>
        </is>
      </c>
      <c r="B2223" s="1" t="n">
        <v>44788</v>
      </c>
      <c r="C2223" s="1" t="n">
        <v>46093</v>
      </c>
      <c r="D2223" t="inlineStr">
        <is>
          <t>VÄSTERNORRLANDS LÄN</t>
        </is>
      </c>
      <c r="E2223" t="inlineStr">
        <is>
          <t>ÅNGE</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53568-2021</t>
        </is>
      </c>
      <c r="B2224" s="1" t="n">
        <v>44469</v>
      </c>
      <c r="C2224" s="1" t="n">
        <v>46093</v>
      </c>
      <c r="D2224" t="inlineStr">
        <is>
          <t>VÄSTERNORRLANDS LÄN</t>
        </is>
      </c>
      <c r="E2224" t="inlineStr">
        <is>
          <t>HÄRNÖSAND</t>
        </is>
      </c>
      <c r="G2224" t="n">
        <v>3.9</v>
      </c>
      <c r="H2224" t="n">
        <v>0</v>
      </c>
      <c r="I2224" t="n">
        <v>0</v>
      </c>
      <c r="J2224" t="n">
        <v>0</v>
      </c>
      <c r="K2224" t="n">
        <v>0</v>
      </c>
      <c r="L2224" t="n">
        <v>0</v>
      </c>
      <c r="M2224" t="n">
        <v>0</v>
      </c>
      <c r="N2224" t="n">
        <v>0</v>
      </c>
      <c r="O2224" t="n">
        <v>0</v>
      </c>
      <c r="P2224" t="n">
        <v>0</v>
      </c>
      <c r="Q2224" t="n">
        <v>0</v>
      </c>
      <c r="R2224" s="2" t="inlineStr"/>
    </row>
    <row r="2225" ht="15" customHeight="1">
      <c r="A2225" t="inlineStr">
        <is>
          <t>A 16209-2022</t>
        </is>
      </c>
      <c r="B2225" s="1" t="n">
        <v>44670</v>
      </c>
      <c r="C2225" s="1" t="n">
        <v>46093</v>
      </c>
      <c r="D2225" t="inlineStr">
        <is>
          <t>VÄSTERNORRLANDS LÄN</t>
        </is>
      </c>
      <c r="E2225" t="inlineStr">
        <is>
          <t>ÖRNSKÖLDSVIK</t>
        </is>
      </c>
      <c r="F2225" t="inlineStr">
        <is>
          <t>Holmen skog AB</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16211-2022</t>
        </is>
      </c>
      <c r="B2226" s="1" t="n">
        <v>44670</v>
      </c>
      <c r="C2226" s="1" t="n">
        <v>46093</v>
      </c>
      <c r="D2226" t="inlineStr">
        <is>
          <t>VÄSTERNORRLANDS LÄN</t>
        </is>
      </c>
      <c r="E2226" t="inlineStr">
        <is>
          <t>ÖRNSKÖLDSVIK</t>
        </is>
      </c>
      <c r="F2226" t="inlineStr">
        <is>
          <t>Holmen skog AB</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47660-2022</t>
        </is>
      </c>
      <c r="B2227" s="1" t="n">
        <v>44854.45766203704</v>
      </c>
      <c r="C2227" s="1" t="n">
        <v>46093</v>
      </c>
      <c r="D2227" t="inlineStr">
        <is>
          <t>VÄSTERNORRLANDS LÄN</t>
        </is>
      </c>
      <c r="E2227" t="inlineStr">
        <is>
          <t>ÅNGE</t>
        </is>
      </c>
      <c r="F2227" t="inlineStr">
        <is>
          <t>Holmen skog AB</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50710-2021</t>
        </is>
      </c>
      <c r="B2228" s="1" t="n">
        <v>44460.366875</v>
      </c>
      <c r="C2228" s="1" t="n">
        <v>46093</v>
      </c>
      <c r="D2228" t="inlineStr">
        <is>
          <t>VÄSTERNORRLANDS LÄN</t>
        </is>
      </c>
      <c r="E2228" t="inlineStr">
        <is>
          <t>ÅNGE</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45050-2021</t>
        </is>
      </c>
      <c r="B2229" s="1" t="n">
        <v>44439</v>
      </c>
      <c r="C2229" s="1" t="n">
        <v>46093</v>
      </c>
      <c r="D2229" t="inlineStr">
        <is>
          <t>VÄSTERNORRLANDS LÄN</t>
        </is>
      </c>
      <c r="E2229" t="inlineStr">
        <is>
          <t>ÖRNSKÖLDSVIK</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66899-2021</t>
        </is>
      </c>
      <c r="B2230" s="1" t="n">
        <v>44522</v>
      </c>
      <c r="C2230" s="1" t="n">
        <v>46093</v>
      </c>
      <c r="D2230" t="inlineStr">
        <is>
          <t>VÄSTERNORRLANDS LÄN</t>
        </is>
      </c>
      <c r="E2230" t="inlineStr">
        <is>
          <t>HÄRNÖSAND</t>
        </is>
      </c>
      <c r="G2230" t="n">
        <v>8.4</v>
      </c>
      <c r="H2230" t="n">
        <v>0</v>
      </c>
      <c r="I2230" t="n">
        <v>0</v>
      </c>
      <c r="J2230" t="n">
        <v>0</v>
      </c>
      <c r="K2230" t="n">
        <v>0</v>
      </c>
      <c r="L2230" t="n">
        <v>0</v>
      </c>
      <c r="M2230" t="n">
        <v>0</v>
      </c>
      <c r="N2230" t="n">
        <v>0</v>
      </c>
      <c r="O2230" t="n">
        <v>0</v>
      </c>
      <c r="P2230" t="n">
        <v>0</v>
      </c>
      <c r="Q2230" t="n">
        <v>0</v>
      </c>
      <c r="R2230" s="2" t="inlineStr"/>
    </row>
    <row r="2231" ht="15" customHeight="1">
      <c r="A2231" t="inlineStr">
        <is>
          <t>A 7633-2022</t>
        </is>
      </c>
      <c r="B2231" s="1" t="n">
        <v>44607.71378472223</v>
      </c>
      <c r="C2231" s="1" t="n">
        <v>46093</v>
      </c>
      <c r="D2231" t="inlineStr">
        <is>
          <t>VÄSTERNORRLANDS LÄN</t>
        </is>
      </c>
      <c r="E2231" t="inlineStr">
        <is>
          <t>ÅNGE</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16147-2022</t>
        </is>
      </c>
      <c r="B2232" s="1" t="n">
        <v>44665</v>
      </c>
      <c r="C2232" s="1" t="n">
        <v>46093</v>
      </c>
      <c r="D2232" t="inlineStr">
        <is>
          <t>VÄSTERNORRLANDS LÄN</t>
        </is>
      </c>
      <c r="E2232" t="inlineStr">
        <is>
          <t>SUNDSVALL</t>
        </is>
      </c>
      <c r="F2232" t="inlineStr">
        <is>
          <t>SCA</t>
        </is>
      </c>
      <c r="G2232" t="n">
        <v>8.800000000000001</v>
      </c>
      <c r="H2232" t="n">
        <v>0</v>
      </c>
      <c r="I2232" t="n">
        <v>0</v>
      </c>
      <c r="J2232" t="n">
        <v>0</v>
      </c>
      <c r="K2232" t="n">
        <v>0</v>
      </c>
      <c r="L2232" t="n">
        <v>0</v>
      </c>
      <c r="M2232" t="n">
        <v>0</v>
      </c>
      <c r="N2232" t="n">
        <v>0</v>
      </c>
      <c r="O2232" t="n">
        <v>0</v>
      </c>
      <c r="P2232" t="n">
        <v>0</v>
      </c>
      <c r="Q2232" t="n">
        <v>0</v>
      </c>
      <c r="R2232" s="2" t="inlineStr"/>
    </row>
    <row r="2233" ht="15" customHeight="1">
      <c r="A2233" t="inlineStr">
        <is>
          <t>A 51832-2022</t>
        </is>
      </c>
      <c r="B2233" s="1" t="n">
        <v>44872</v>
      </c>
      <c r="C2233" s="1" t="n">
        <v>46093</v>
      </c>
      <c r="D2233" t="inlineStr">
        <is>
          <t>VÄSTERNORRLANDS LÄN</t>
        </is>
      </c>
      <c r="E2233" t="inlineStr">
        <is>
          <t>ÖRNSKÖLDSVIK</t>
        </is>
      </c>
      <c r="F2233" t="inlineStr">
        <is>
          <t>Holmen skog AB</t>
        </is>
      </c>
      <c r="G2233" t="n">
        <v>13.8</v>
      </c>
      <c r="H2233" t="n">
        <v>0</v>
      </c>
      <c r="I2233" t="n">
        <v>0</v>
      </c>
      <c r="J2233" t="n">
        <v>0</v>
      </c>
      <c r="K2233" t="n">
        <v>0</v>
      </c>
      <c r="L2233" t="n">
        <v>0</v>
      </c>
      <c r="M2233" t="n">
        <v>0</v>
      </c>
      <c r="N2233" t="n">
        <v>0</v>
      </c>
      <c r="O2233" t="n">
        <v>0</v>
      </c>
      <c r="P2233" t="n">
        <v>0</v>
      </c>
      <c r="Q2233" t="n">
        <v>0</v>
      </c>
      <c r="R2233" s="2" t="inlineStr"/>
    </row>
    <row r="2234" ht="15" customHeight="1">
      <c r="A2234" t="inlineStr">
        <is>
          <t>A 6644-2022</t>
        </is>
      </c>
      <c r="B2234" s="1" t="n">
        <v>44601.93631944444</v>
      </c>
      <c r="C2234" s="1" t="n">
        <v>46093</v>
      </c>
      <c r="D2234" t="inlineStr">
        <is>
          <t>VÄSTERNORRLANDS LÄN</t>
        </is>
      </c>
      <c r="E2234" t="inlineStr">
        <is>
          <t>SUNDSVALL</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66752-2021</t>
        </is>
      </c>
      <c r="B2235" s="1" t="n">
        <v>44521</v>
      </c>
      <c r="C2235" s="1" t="n">
        <v>46093</v>
      </c>
      <c r="D2235" t="inlineStr">
        <is>
          <t>VÄSTERNORRLANDS LÄN</t>
        </is>
      </c>
      <c r="E2235" t="inlineStr">
        <is>
          <t>ÖRNSKÖLDSVIK</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576-2022</t>
        </is>
      </c>
      <c r="B2236" s="1" t="n">
        <v>44566.92086805555</v>
      </c>
      <c r="C2236" s="1" t="n">
        <v>46093</v>
      </c>
      <c r="D2236" t="inlineStr">
        <is>
          <t>VÄSTERNORRLANDS LÄN</t>
        </is>
      </c>
      <c r="E2236" t="inlineStr">
        <is>
          <t>SOLLEFTEÅ</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64714-2021</t>
        </is>
      </c>
      <c r="B2237" s="1" t="n">
        <v>44512</v>
      </c>
      <c r="C2237" s="1" t="n">
        <v>46093</v>
      </c>
      <c r="D2237" t="inlineStr">
        <is>
          <t>VÄSTERNORRLANDS LÄN</t>
        </is>
      </c>
      <c r="E2237" t="inlineStr">
        <is>
          <t>ÖRNSKÖLDSVIK</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40476-2022</t>
        </is>
      </c>
      <c r="B2238" s="1" t="n">
        <v>44823.54685185185</v>
      </c>
      <c r="C2238" s="1" t="n">
        <v>46093</v>
      </c>
      <c r="D2238" t="inlineStr">
        <is>
          <t>VÄSTERNORRLANDS LÄN</t>
        </is>
      </c>
      <c r="E2238" t="inlineStr">
        <is>
          <t>ÅNGE</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16616-2022</t>
        </is>
      </c>
      <c r="B2239" s="1" t="n">
        <v>44672</v>
      </c>
      <c r="C2239" s="1" t="n">
        <v>46093</v>
      </c>
      <c r="D2239" t="inlineStr">
        <is>
          <t>VÄSTERNORRLANDS LÄN</t>
        </is>
      </c>
      <c r="E2239" t="inlineStr">
        <is>
          <t>HÄRNÖSAND</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14372-2022</t>
        </is>
      </c>
      <c r="B2240" s="1" t="n">
        <v>44652</v>
      </c>
      <c r="C2240" s="1" t="n">
        <v>46093</v>
      </c>
      <c r="D2240" t="inlineStr">
        <is>
          <t>VÄSTERNORRLANDS LÄN</t>
        </is>
      </c>
      <c r="E2240" t="inlineStr">
        <is>
          <t>HÄRNÖSAND</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20600-2022</t>
        </is>
      </c>
      <c r="B2241" s="1" t="n">
        <v>44700</v>
      </c>
      <c r="C2241" s="1" t="n">
        <v>46093</v>
      </c>
      <c r="D2241" t="inlineStr">
        <is>
          <t>VÄSTERNORRLANDS LÄN</t>
        </is>
      </c>
      <c r="E2241" t="inlineStr">
        <is>
          <t>ÖRNSKÖLDSVIK</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14813-2022</t>
        </is>
      </c>
      <c r="B2242" s="1" t="n">
        <v>44656</v>
      </c>
      <c r="C2242" s="1" t="n">
        <v>46093</v>
      </c>
      <c r="D2242" t="inlineStr">
        <is>
          <t>VÄSTERNORRLANDS LÄN</t>
        </is>
      </c>
      <c r="E2242" t="inlineStr">
        <is>
          <t>ÅNGE</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33990-2022</t>
        </is>
      </c>
      <c r="B2243" s="1" t="n">
        <v>44790</v>
      </c>
      <c r="C2243" s="1" t="n">
        <v>46093</v>
      </c>
      <c r="D2243" t="inlineStr">
        <is>
          <t>VÄSTERNORRLANDS LÄN</t>
        </is>
      </c>
      <c r="E2243" t="inlineStr">
        <is>
          <t>SOLLEFTEÅ</t>
        </is>
      </c>
      <c r="F2243" t="inlineStr">
        <is>
          <t>SCA</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35758-2022</t>
        </is>
      </c>
      <c r="B2244" s="1" t="n">
        <v>44799</v>
      </c>
      <c r="C2244" s="1" t="n">
        <v>46093</v>
      </c>
      <c r="D2244" t="inlineStr">
        <is>
          <t>VÄSTERNORRLANDS LÄN</t>
        </is>
      </c>
      <c r="E2244" t="inlineStr">
        <is>
          <t>TIMRÅ</t>
        </is>
      </c>
      <c r="F2244" t="inlineStr">
        <is>
          <t>SCA</t>
        </is>
      </c>
      <c r="G2244" t="n">
        <v>3.6</v>
      </c>
      <c r="H2244" t="n">
        <v>0</v>
      </c>
      <c r="I2244" t="n">
        <v>0</v>
      </c>
      <c r="J2244" t="n">
        <v>0</v>
      </c>
      <c r="K2244" t="n">
        <v>0</v>
      </c>
      <c r="L2244" t="n">
        <v>0</v>
      </c>
      <c r="M2244" t="n">
        <v>0</v>
      </c>
      <c r="N2244" t="n">
        <v>0</v>
      </c>
      <c r="O2244" t="n">
        <v>0</v>
      </c>
      <c r="P2244" t="n">
        <v>0</v>
      </c>
      <c r="Q2244" t="n">
        <v>0</v>
      </c>
      <c r="R2244" s="2" t="inlineStr"/>
    </row>
    <row r="2245" ht="15" customHeight="1">
      <c r="A2245" t="inlineStr">
        <is>
          <t>A 42878-2022</t>
        </is>
      </c>
      <c r="B2245" s="1" t="n">
        <v>44832.92944444445</v>
      </c>
      <c r="C2245" s="1" t="n">
        <v>46093</v>
      </c>
      <c r="D2245" t="inlineStr">
        <is>
          <t>VÄSTERNORRLANDS LÄN</t>
        </is>
      </c>
      <c r="E2245" t="inlineStr">
        <is>
          <t>SUNDSVALL</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57418-2021</t>
        </is>
      </c>
      <c r="B2246" s="1" t="n">
        <v>44483</v>
      </c>
      <c r="C2246" s="1" t="n">
        <v>46093</v>
      </c>
      <c r="D2246" t="inlineStr">
        <is>
          <t>VÄSTERNORRLANDS LÄN</t>
        </is>
      </c>
      <c r="E2246" t="inlineStr">
        <is>
          <t>ÅNGE</t>
        </is>
      </c>
      <c r="G2246" t="n">
        <v>4.4</v>
      </c>
      <c r="H2246" t="n">
        <v>0</v>
      </c>
      <c r="I2246" t="n">
        <v>0</v>
      </c>
      <c r="J2246" t="n">
        <v>0</v>
      </c>
      <c r="K2246" t="n">
        <v>0</v>
      </c>
      <c r="L2246" t="n">
        <v>0</v>
      </c>
      <c r="M2246" t="n">
        <v>0</v>
      </c>
      <c r="N2246" t="n">
        <v>0</v>
      </c>
      <c r="O2246" t="n">
        <v>0</v>
      </c>
      <c r="P2246" t="n">
        <v>0</v>
      </c>
      <c r="Q2246" t="n">
        <v>0</v>
      </c>
      <c r="R2246" s="2" t="inlineStr"/>
    </row>
    <row r="2247" ht="15" customHeight="1">
      <c r="A2247" t="inlineStr">
        <is>
          <t>A 62317-2021</t>
        </is>
      </c>
      <c r="B2247" s="1" t="n">
        <v>44503</v>
      </c>
      <c r="C2247" s="1" t="n">
        <v>46093</v>
      </c>
      <c r="D2247" t="inlineStr">
        <is>
          <t>VÄSTERNORRLANDS LÄN</t>
        </is>
      </c>
      <c r="E2247" t="inlineStr">
        <is>
          <t>KRAMFORS</t>
        </is>
      </c>
      <c r="G2247" t="n">
        <v>8.9</v>
      </c>
      <c r="H2247" t="n">
        <v>0</v>
      </c>
      <c r="I2247" t="n">
        <v>0</v>
      </c>
      <c r="J2247" t="n">
        <v>0</v>
      </c>
      <c r="K2247" t="n">
        <v>0</v>
      </c>
      <c r="L2247" t="n">
        <v>0</v>
      </c>
      <c r="M2247" t="n">
        <v>0</v>
      </c>
      <c r="N2247" t="n">
        <v>0</v>
      </c>
      <c r="O2247" t="n">
        <v>0</v>
      </c>
      <c r="P2247" t="n">
        <v>0</v>
      </c>
      <c r="Q2247" t="n">
        <v>0</v>
      </c>
      <c r="R2247" s="2" t="inlineStr"/>
    </row>
    <row r="2248" ht="15" customHeight="1">
      <c r="A2248" t="inlineStr">
        <is>
          <t>A 16419-2022</t>
        </is>
      </c>
      <c r="B2248" s="1" t="n">
        <v>44671</v>
      </c>
      <c r="C2248" s="1" t="n">
        <v>46093</v>
      </c>
      <c r="D2248" t="inlineStr">
        <is>
          <t>VÄSTERNORRLANDS LÄN</t>
        </is>
      </c>
      <c r="E2248" t="inlineStr">
        <is>
          <t>SOLLEFTEÅ</t>
        </is>
      </c>
      <c r="F2248" t="inlineStr">
        <is>
          <t>Kommuner</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20127-2022</t>
        </is>
      </c>
      <c r="B2249" s="1" t="n">
        <v>44698</v>
      </c>
      <c r="C2249" s="1" t="n">
        <v>46093</v>
      </c>
      <c r="D2249" t="inlineStr">
        <is>
          <t>VÄSTERNORRLANDS LÄN</t>
        </is>
      </c>
      <c r="E2249" t="inlineStr">
        <is>
          <t>ÖRNSKÖLDSVIK</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65024-2021</t>
        </is>
      </c>
      <c r="B2250" s="1" t="n">
        <v>44515.31559027778</v>
      </c>
      <c r="C2250" s="1" t="n">
        <v>46093</v>
      </c>
      <c r="D2250" t="inlineStr">
        <is>
          <t>VÄSTERNORRLANDS LÄN</t>
        </is>
      </c>
      <c r="E2250" t="inlineStr">
        <is>
          <t>HÄRNÖSAND</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39947-2022</t>
        </is>
      </c>
      <c r="B2251" s="1" t="n">
        <v>44819</v>
      </c>
      <c r="C2251" s="1" t="n">
        <v>46093</v>
      </c>
      <c r="D2251" t="inlineStr">
        <is>
          <t>VÄSTERNORRLANDS LÄN</t>
        </is>
      </c>
      <c r="E2251" t="inlineStr">
        <is>
          <t>SOLLEFTEÅ</t>
        </is>
      </c>
      <c r="F2251" t="inlineStr">
        <is>
          <t>SCA</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40827-2022</t>
        </is>
      </c>
      <c r="B2252" s="1" t="n">
        <v>44824</v>
      </c>
      <c r="C2252" s="1" t="n">
        <v>46093</v>
      </c>
      <c r="D2252" t="inlineStr">
        <is>
          <t>VÄSTERNORRLANDS LÄN</t>
        </is>
      </c>
      <c r="E2252" t="inlineStr">
        <is>
          <t>SUNDSVALL</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40610-2022</t>
        </is>
      </c>
      <c r="B2253" s="1" t="n">
        <v>44823.94981481481</v>
      </c>
      <c r="C2253" s="1" t="n">
        <v>46093</v>
      </c>
      <c r="D2253" t="inlineStr">
        <is>
          <t>VÄSTERNORRLANDS LÄN</t>
        </is>
      </c>
      <c r="E2253" t="inlineStr">
        <is>
          <t>SOLLEFTEÅ</t>
        </is>
      </c>
      <c r="F2253" t="inlineStr">
        <is>
          <t>SCA</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45117-2022</t>
        </is>
      </c>
      <c r="B2254" s="1" t="n">
        <v>44843.94648148148</v>
      </c>
      <c r="C2254" s="1" t="n">
        <v>46093</v>
      </c>
      <c r="D2254" t="inlineStr">
        <is>
          <t>VÄSTERNORRLANDS LÄN</t>
        </is>
      </c>
      <c r="E2254" t="inlineStr">
        <is>
          <t>SOLLEFTEÅ</t>
        </is>
      </c>
      <c r="F2254" t="inlineStr">
        <is>
          <t>SCA</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11677-2022</t>
        </is>
      </c>
      <c r="B2255" s="1" t="n">
        <v>44633</v>
      </c>
      <c r="C2255" s="1" t="n">
        <v>46093</v>
      </c>
      <c r="D2255" t="inlineStr">
        <is>
          <t>VÄSTERNORRLANDS LÄN</t>
        </is>
      </c>
      <c r="E2255" t="inlineStr">
        <is>
          <t>SOLLEFTEÅ</t>
        </is>
      </c>
      <c r="F2255" t="inlineStr">
        <is>
          <t>SCA</t>
        </is>
      </c>
      <c r="G2255" t="n">
        <v>6.1</v>
      </c>
      <c r="H2255" t="n">
        <v>0</v>
      </c>
      <c r="I2255" t="n">
        <v>0</v>
      </c>
      <c r="J2255" t="n">
        <v>0</v>
      </c>
      <c r="K2255" t="n">
        <v>0</v>
      </c>
      <c r="L2255" t="n">
        <v>0</v>
      </c>
      <c r="M2255" t="n">
        <v>0</v>
      </c>
      <c r="N2255" t="n">
        <v>0</v>
      </c>
      <c r="O2255" t="n">
        <v>0</v>
      </c>
      <c r="P2255" t="n">
        <v>0</v>
      </c>
      <c r="Q2255" t="n">
        <v>0</v>
      </c>
      <c r="R2255" s="2" t="inlineStr"/>
    </row>
    <row r="2256" ht="15" customHeight="1">
      <c r="A2256" t="inlineStr">
        <is>
          <t>A 53664-2022</t>
        </is>
      </c>
      <c r="B2256" s="1" t="n">
        <v>44879.95643518519</v>
      </c>
      <c r="C2256" s="1" t="n">
        <v>46093</v>
      </c>
      <c r="D2256" t="inlineStr">
        <is>
          <t>VÄSTERNORRLANDS LÄN</t>
        </is>
      </c>
      <c r="E2256" t="inlineStr">
        <is>
          <t>ÅNGE</t>
        </is>
      </c>
      <c r="F2256" t="inlineStr">
        <is>
          <t>SCA</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40950-2022</t>
        </is>
      </c>
      <c r="B2257" s="1" t="n">
        <v>44823</v>
      </c>
      <c r="C2257" s="1" t="n">
        <v>46093</v>
      </c>
      <c r="D2257" t="inlineStr">
        <is>
          <t>VÄSTERNORRLANDS LÄN</t>
        </is>
      </c>
      <c r="E2257" t="inlineStr">
        <is>
          <t>SUNDSVALL</t>
        </is>
      </c>
      <c r="G2257" t="n">
        <v>0.1</v>
      </c>
      <c r="H2257" t="n">
        <v>0</v>
      </c>
      <c r="I2257" t="n">
        <v>0</v>
      </c>
      <c r="J2257" t="n">
        <v>0</v>
      </c>
      <c r="K2257" t="n">
        <v>0</v>
      </c>
      <c r="L2257" t="n">
        <v>0</v>
      </c>
      <c r="M2257" t="n">
        <v>0</v>
      </c>
      <c r="N2257" t="n">
        <v>0</v>
      </c>
      <c r="O2257" t="n">
        <v>0</v>
      </c>
      <c r="P2257" t="n">
        <v>0</v>
      </c>
      <c r="Q2257" t="n">
        <v>0</v>
      </c>
      <c r="R2257" s="2" t="inlineStr"/>
    </row>
    <row r="2258" ht="15" customHeight="1">
      <c r="A2258" t="inlineStr">
        <is>
          <t>A 1297-2022</t>
        </is>
      </c>
      <c r="B2258" s="1" t="n">
        <v>44572.69135416667</v>
      </c>
      <c r="C2258" s="1" t="n">
        <v>46093</v>
      </c>
      <c r="D2258" t="inlineStr">
        <is>
          <t>VÄSTERNORRLANDS LÄN</t>
        </is>
      </c>
      <c r="E2258" t="inlineStr">
        <is>
          <t>ÅNGE</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64018-2021</t>
        </is>
      </c>
      <c r="B2259" s="1" t="n">
        <v>44510</v>
      </c>
      <c r="C2259" s="1" t="n">
        <v>46093</v>
      </c>
      <c r="D2259" t="inlineStr">
        <is>
          <t>VÄSTERNORRLANDS LÄN</t>
        </is>
      </c>
      <c r="E2259" t="inlineStr">
        <is>
          <t>ÖRNSKÖLDSVIK</t>
        </is>
      </c>
      <c r="F2259" t="inlineStr">
        <is>
          <t>Holmen skog AB</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15844-2022</t>
        </is>
      </c>
      <c r="B2260" s="1" t="n">
        <v>44664</v>
      </c>
      <c r="C2260" s="1" t="n">
        <v>46093</v>
      </c>
      <c r="D2260" t="inlineStr">
        <is>
          <t>VÄSTERNORRLANDS LÄN</t>
        </is>
      </c>
      <c r="E2260" t="inlineStr">
        <is>
          <t>HÄRNÖSAND</t>
        </is>
      </c>
      <c r="G2260" t="n">
        <v>4</v>
      </c>
      <c r="H2260" t="n">
        <v>0</v>
      </c>
      <c r="I2260" t="n">
        <v>0</v>
      </c>
      <c r="J2260" t="n">
        <v>0</v>
      </c>
      <c r="K2260" t="n">
        <v>0</v>
      </c>
      <c r="L2260" t="n">
        <v>0</v>
      </c>
      <c r="M2260" t="n">
        <v>0</v>
      </c>
      <c r="N2260" t="n">
        <v>0</v>
      </c>
      <c r="O2260" t="n">
        <v>0</v>
      </c>
      <c r="P2260" t="n">
        <v>0</v>
      </c>
      <c r="Q2260" t="n">
        <v>0</v>
      </c>
      <c r="R2260" s="2" t="inlineStr"/>
    </row>
    <row r="2261" ht="15" customHeight="1">
      <c r="A2261" t="inlineStr">
        <is>
          <t>A 12307-2021</t>
        </is>
      </c>
      <c r="B2261" s="1" t="n">
        <v>44267</v>
      </c>
      <c r="C2261" s="1" t="n">
        <v>46093</v>
      </c>
      <c r="D2261" t="inlineStr">
        <is>
          <t>VÄSTERNORRLANDS LÄN</t>
        </is>
      </c>
      <c r="E2261" t="inlineStr">
        <is>
          <t>KRAMFORS</t>
        </is>
      </c>
      <c r="G2261" t="n">
        <v>0.1</v>
      </c>
      <c r="H2261" t="n">
        <v>0</v>
      </c>
      <c r="I2261" t="n">
        <v>0</v>
      </c>
      <c r="J2261" t="n">
        <v>0</v>
      </c>
      <c r="K2261" t="n">
        <v>0</v>
      </c>
      <c r="L2261" t="n">
        <v>0</v>
      </c>
      <c r="M2261" t="n">
        <v>0</v>
      </c>
      <c r="N2261" t="n">
        <v>0</v>
      </c>
      <c r="O2261" t="n">
        <v>0</v>
      </c>
      <c r="P2261" t="n">
        <v>0</v>
      </c>
      <c r="Q2261" t="n">
        <v>0</v>
      </c>
      <c r="R2261" s="2" t="inlineStr"/>
    </row>
    <row r="2262" ht="15" customHeight="1">
      <c r="A2262" t="inlineStr">
        <is>
          <t>A 32119-2022</t>
        </is>
      </c>
      <c r="B2262" s="1" t="n">
        <v>44778.94293981481</v>
      </c>
      <c r="C2262" s="1" t="n">
        <v>46093</v>
      </c>
      <c r="D2262" t="inlineStr">
        <is>
          <t>VÄSTERNORRLANDS LÄN</t>
        </is>
      </c>
      <c r="E2262" t="inlineStr">
        <is>
          <t>SUNDSVALL</t>
        </is>
      </c>
      <c r="F2262" t="inlineStr">
        <is>
          <t>SCA</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70885-2021</t>
        </is>
      </c>
      <c r="B2263" s="1" t="n">
        <v>44537</v>
      </c>
      <c r="C2263" s="1" t="n">
        <v>46093</v>
      </c>
      <c r="D2263" t="inlineStr">
        <is>
          <t>VÄSTERNORRLANDS LÄN</t>
        </is>
      </c>
      <c r="E2263" t="inlineStr">
        <is>
          <t>ÖRNSKÖLDSVIK</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47815-2022</t>
        </is>
      </c>
      <c r="B2264" s="1" t="n">
        <v>44854</v>
      </c>
      <c r="C2264" s="1" t="n">
        <v>46093</v>
      </c>
      <c r="D2264" t="inlineStr">
        <is>
          <t>VÄSTERNORRLANDS LÄN</t>
        </is>
      </c>
      <c r="E2264" t="inlineStr">
        <is>
          <t>TIMRÅ</t>
        </is>
      </c>
      <c r="F2264" t="inlineStr">
        <is>
          <t>SCA</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44961-2022</t>
        </is>
      </c>
      <c r="B2265" s="1" t="n">
        <v>44841.58369212963</v>
      </c>
      <c r="C2265" s="1" t="n">
        <v>46093</v>
      </c>
      <c r="D2265" t="inlineStr">
        <is>
          <t>VÄSTERNORRLANDS LÄN</t>
        </is>
      </c>
      <c r="E2265" t="inlineStr">
        <is>
          <t>ÖRNSKÖLDSVIK</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42634-2022</t>
        </is>
      </c>
      <c r="B2266" s="1" t="n">
        <v>44831.94565972222</v>
      </c>
      <c r="C2266" s="1" t="n">
        <v>46093</v>
      </c>
      <c r="D2266" t="inlineStr">
        <is>
          <t>VÄSTERNORRLANDS LÄN</t>
        </is>
      </c>
      <c r="E2266" t="inlineStr">
        <is>
          <t>SOLLEFTEÅ</t>
        </is>
      </c>
      <c r="F2266" t="inlineStr">
        <is>
          <t>SCA</t>
        </is>
      </c>
      <c r="G2266" t="n">
        <v>5.5</v>
      </c>
      <c r="H2266" t="n">
        <v>0</v>
      </c>
      <c r="I2266" t="n">
        <v>0</v>
      </c>
      <c r="J2266" t="n">
        <v>0</v>
      </c>
      <c r="K2266" t="n">
        <v>0</v>
      </c>
      <c r="L2266" t="n">
        <v>0</v>
      </c>
      <c r="M2266" t="n">
        <v>0</v>
      </c>
      <c r="N2266" t="n">
        <v>0</v>
      </c>
      <c r="O2266" t="n">
        <v>0</v>
      </c>
      <c r="P2266" t="n">
        <v>0</v>
      </c>
      <c r="Q2266" t="n">
        <v>0</v>
      </c>
      <c r="R2266" s="2" t="inlineStr"/>
    </row>
    <row r="2267" ht="15" customHeight="1">
      <c r="A2267" t="inlineStr">
        <is>
          <t>A 9452-2022</t>
        </is>
      </c>
      <c r="B2267" s="1" t="n">
        <v>44616.70839120371</v>
      </c>
      <c r="C2267" s="1" t="n">
        <v>46093</v>
      </c>
      <c r="D2267" t="inlineStr">
        <is>
          <t>VÄSTERNORRLANDS LÄN</t>
        </is>
      </c>
      <c r="E2267" t="inlineStr">
        <is>
          <t>HÄRNÖSAND</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9586-2022</t>
        </is>
      </c>
      <c r="B2268" s="1" t="n">
        <v>44617</v>
      </c>
      <c r="C2268" s="1" t="n">
        <v>46093</v>
      </c>
      <c r="D2268" t="inlineStr">
        <is>
          <t>VÄSTERNORRLANDS LÄN</t>
        </is>
      </c>
      <c r="E2268" t="inlineStr">
        <is>
          <t>SOLLEFTEÅ</t>
        </is>
      </c>
      <c r="F2268" t="inlineStr">
        <is>
          <t>Övriga Aktiebolag</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20807-2021</t>
        </is>
      </c>
      <c r="B2269" s="1" t="n">
        <v>44316.93965277778</v>
      </c>
      <c r="C2269" s="1" t="n">
        <v>46093</v>
      </c>
      <c r="D2269" t="inlineStr">
        <is>
          <t>VÄSTERNORRLANDS LÄN</t>
        </is>
      </c>
      <c r="E2269" t="inlineStr">
        <is>
          <t>ÅNGE</t>
        </is>
      </c>
      <c r="F2269" t="inlineStr">
        <is>
          <t>SCA</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16475-2021</t>
        </is>
      </c>
      <c r="B2270" s="1" t="n">
        <v>44293</v>
      </c>
      <c r="C2270" s="1" t="n">
        <v>46093</v>
      </c>
      <c r="D2270" t="inlineStr">
        <is>
          <t>VÄSTERNORRLANDS LÄN</t>
        </is>
      </c>
      <c r="E2270" t="inlineStr">
        <is>
          <t>ÖRNSKÖLDSVIK</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55511-2022</t>
        </is>
      </c>
      <c r="B2271" s="1" t="n">
        <v>44887.9284375</v>
      </c>
      <c r="C2271" s="1" t="n">
        <v>46093</v>
      </c>
      <c r="D2271" t="inlineStr">
        <is>
          <t>VÄSTERNORRLANDS LÄN</t>
        </is>
      </c>
      <c r="E2271" t="inlineStr">
        <is>
          <t>TIMRÅ</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45695-2022</t>
        </is>
      </c>
      <c r="B2272" s="1" t="n">
        <v>44845.95347222222</v>
      </c>
      <c r="C2272" s="1" t="n">
        <v>46093</v>
      </c>
      <c r="D2272" t="inlineStr">
        <is>
          <t>VÄSTERNORRLANDS LÄN</t>
        </is>
      </c>
      <c r="E2272" t="inlineStr">
        <is>
          <t>TIMRÅ</t>
        </is>
      </c>
      <c r="F2272" t="inlineStr">
        <is>
          <t>SCA</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45700-2022</t>
        </is>
      </c>
      <c r="B2273" s="1" t="n">
        <v>44845</v>
      </c>
      <c r="C2273" s="1" t="n">
        <v>46093</v>
      </c>
      <c r="D2273" t="inlineStr">
        <is>
          <t>VÄSTERNORRLANDS LÄN</t>
        </is>
      </c>
      <c r="E2273" t="inlineStr">
        <is>
          <t>SUNDSVALL</t>
        </is>
      </c>
      <c r="F2273" t="inlineStr">
        <is>
          <t>SCA</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17594-2021</t>
        </is>
      </c>
      <c r="B2274" s="1" t="n">
        <v>44299</v>
      </c>
      <c r="C2274" s="1" t="n">
        <v>46093</v>
      </c>
      <c r="D2274" t="inlineStr">
        <is>
          <t>VÄSTERNORRLANDS LÄN</t>
        </is>
      </c>
      <c r="E2274" t="inlineStr">
        <is>
          <t>ÅNGE</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15698-2022</t>
        </is>
      </c>
      <c r="B2275" s="1" t="n">
        <v>44663</v>
      </c>
      <c r="C2275" s="1" t="n">
        <v>46093</v>
      </c>
      <c r="D2275" t="inlineStr">
        <is>
          <t>VÄSTERNORRLANDS LÄN</t>
        </is>
      </c>
      <c r="E2275" t="inlineStr">
        <is>
          <t>SUNDSVALL</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15733-2022</t>
        </is>
      </c>
      <c r="B2276" s="1" t="n">
        <v>44663.5059837963</v>
      </c>
      <c r="C2276" s="1" t="n">
        <v>46093</v>
      </c>
      <c r="D2276" t="inlineStr">
        <is>
          <t>VÄSTERNORRLANDS LÄN</t>
        </is>
      </c>
      <c r="E2276" t="inlineStr">
        <is>
          <t>SUNDSVALL</t>
        </is>
      </c>
      <c r="G2276" t="n">
        <v>6.8</v>
      </c>
      <c r="H2276" t="n">
        <v>0</v>
      </c>
      <c r="I2276" t="n">
        <v>0</v>
      </c>
      <c r="J2276" t="n">
        <v>0</v>
      </c>
      <c r="K2276" t="n">
        <v>0</v>
      </c>
      <c r="L2276" t="n">
        <v>0</v>
      </c>
      <c r="M2276" t="n">
        <v>0</v>
      </c>
      <c r="N2276" t="n">
        <v>0</v>
      </c>
      <c r="O2276" t="n">
        <v>0</v>
      </c>
      <c r="P2276" t="n">
        <v>0</v>
      </c>
      <c r="Q2276" t="n">
        <v>0</v>
      </c>
      <c r="R2276" s="2" t="inlineStr"/>
    </row>
    <row r="2277" ht="15" customHeight="1">
      <c r="A2277" t="inlineStr">
        <is>
          <t>A 12568-2022</t>
        </is>
      </c>
      <c r="B2277" s="1" t="n">
        <v>44638.94277777777</v>
      </c>
      <c r="C2277" s="1" t="n">
        <v>46093</v>
      </c>
      <c r="D2277" t="inlineStr">
        <is>
          <t>VÄSTERNORRLANDS LÄN</t>
        </is>
      </c>
      <c r="E2277" t="inlineStr">
        <is>
          <t>SOLLEFTEÅ</t>
        </is>
      </c>
      <c r="F2277" t="inlineStr">
        <is>
          <t>SCA</t>
        </is>
      </c>
      <c r="G2277" t="n">
        <v>5.4</v>
      </c>
      <c r="H2277" t="n">
        <v>0</v>
      </c>
      <c r="I2277" t="n">
        <v>0</v>
      </c>
      <c r="J2277" t="n">
        <v>0</v>
      </c>
      <c r="K2277" t="n">
        <v>0</v>
      </c>
      <c r="L2277" t="n">
        <v>0</v>
      </c>
      <c r="M2277" t="n">
        <v>0</v>
      </c>
      <c r="N2277" t="n">
        <v>0</v>
      </c>
      <c r="O2277" t="n">
        <v>0</v>
      </c>
      <c r="P2277" t="n">
        <v>0</v>
      </c>
      <c r="Q2277" t="n">
        <v>0</v>
      </c>
      <c r="R2277" s="2" t="inlineStr"/>
    </row>
    <row r="2278" ht="15" customHeight="1">
      <c r="A2278" t="inlineStr">
        <is>
          <t>A 45716-2022</t>
        </is>
      </c>
      <c r="B2278" s="1" t="n">
        <v>44845</v>
      </c>
      <c r="C2278" s="1" t="n">
        <v>46093</v>
      </c>
      <c r="D2278" t="inlineStr">
        <is>
          <t>VÄSTERNORRLANDS LÄN</t>
        </is>
      </c>
      <c r="E2278" t="inlineStr">
        <is>
          <t>SUNDSVALL</t>
        </is>
      </c>
      <c r="F2278" t="inlineStr">
        <is>
          <t>Naturvårdsverket</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13987-2021</t>
        </is>
      </c>
      <c r="B2279" s="1" t="n">
        <v>44277</v>
      </c>
      <c r="C2279" s="1" t="n">
        <v>46093</v>
      </c>
      <c r="D2279" t="inlineStr">
        <is>
          <t>VÄSTERNORRLANDS LÄN</t>
        </is>
      </c>
      <c r="E2279" t="inlineStr">
        <is>
          <t>SUNDSVALL</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26481-2021</t>
        </is>
      </c>
      <c r="B2280" s="1" t="n">
        <v>44347</v>
      </c>
      <c r="C2280" s="1" t="n">
        <v>46093</v>
      </c>
      <c r="D2280" t="inlineStr">
        <is>
          <t>VÄSTERNORRLANDS LÄN</t>
        </is>
      </c>
      <c r="E2280" t="inlineStr">
        <is>
          <t>ÖRNSKÖLDSVIK</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46512-2022</t>
        </is>
      </c>
      <c r="B2281" s="1" t="n">
        <v>44847</v>
      </c>
      <c r="C2281" s="1" t="n">
        <v>46093</v>
      </c>
      <c r="D2281" t="inlineStr">
        <is>
          <t>VÄSTERNORRLANDS LÄN</t>
        </is>
      </c>
      <c r="E2281" t="inlineStr">
        <is>
          <t>KRAMFORS</t>
        </is>
      </c>
      <c r="G2281" t="n">
        <v>4.5</v>
      </c>
      <c r="H2281" t="n">
        <v>0</v>
      </c>
      <c r="I2281" t="n">
        <v>0</v>
      </c>
      <c r="J2281" t="n">
        <v>0</v>
      </c>
      <c r="K2281" t="n">
        <v>0</v>
      </c>
      <c r="L2281" t="n">
        <v>0</v>
      </c>
      <c r="M2281" t="n">
        <v>0</v>
      </c>
      <c r="N2281" t="n">
        <v>0</v>
      </c>
      <c r="O2281" t="n">
        <v>0</v>
      </c>
      <c r="P2281" t="n">
        <v>0</v>
      </c>
      <c r="Q2281" t="n">
        <v>0</v>
      </c>
      <c r="R2281" s="2" t="inlineStr"/>
    </row>
    <row r="2282" ht="15" customHeight="1">
      <c r="A2282" t="inlineStr">
        <is>
          <t>A 38366-2022</t>
        </is>
      </c>
      <c r="B2282" s="1" t="n">
        <v>44812.66975694444</v>
      </c>
      <c r="C2282" s="1" t="n">
        <v>46093</v>
      </c>
      <c r="D2282" t="inlineStr">
        <is>
          <t>VÄSTERNORRLANDS LÄN</t>
        </is>
      </c>
      <c r="E2282" t="inlineStr">
        <is>
          <t>ÖRNSKÖLDSVIK</t>
        </is>
      </c>
      <c r="F2282" t="inlineStr">
        <is>
          <t>Holmen skog AB</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24202-2022</t>
        </is>
      </c>
      <c r="B2283" s="1" t="n">
        <v>44725.58482638889</v>
      </c>
      <c r="C2283" s="1" t="n">
        <v>46093</v>
      </c>
      <c r="D2283" t="inlineStr">
        <is>
          <t>VÄSTERNORRLANDS LÄN</t>
        </is>
      </c>
      <c r="E2283" t="inlineStr">
        <is>
          <t>ÖRNSKÖLDSVIK</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40608-2022</t>
        </is>
      </c>
      <c r="B2284" s="1" t="n">
        <v>44823.94972222222</v>
      </c>
      <c r="C2284" s="1" t="n">
        <v>46093</v>
      </c>
      <c r="D2284" t="inlineStr">
        <is>
          <t>VÄSTERNORRLANDS LÄN</t>
        </is>
      </c>
      <c r="E2284" t="inlineStr">
        <is>
          <t>SOLLEFTEÅ</t>
        </is>
      </c>
      <c r="F2284" t="inlineStr">
        <is>
          <t>SCA</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54573-2022</t>
        </is>
      </c>
      <c r="B2285" s="1" t="n">
        <v>44882.95532407407</v>
      </c>
      <c r="C2285" s="1" t="n">
        <v>46093</v>
      </c>
      <c r="D2285" t="inlineStr">
        <is>
          <t>VÄSTERNORRLANDS LÄN</t>
        </is>
      </c>
      <c r="E2285" t="inlineStr">
        <is>
          <t>SOLLEFTEÅ</t>
        </is>
      </c>
      <c r="F2285" t="inlineStr">
        <is>
          <t>SCA</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23052-2021</t>
        </is>
      </c>
      <c r="B2286" s="1" t="n">
        <v>44329.57568287037</v>
      </c>
      <c r="C2286" s="1" t="n">
        <v>46093</v>
      </c>
      <c r="D2286" t="inlineStr">
        <is>
          <t>VÄSTERNORRLANDS LÄN</t>
        </is>
      </c>
      <c r="E2286" t="inlineStr">
        <is>
          <t>SUNDSVALL</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19236-2021</t>
        </is>
      </c>
      <c r="B2287" s="1" t="n">
        <v>44309</v>
      </c>
      <c r="C2287" s="1" t="n">
        <v>46093</v>
      </c>
      <c r="D2287" t="inlineStr">
        <is>
          <t>VÄSTERNORRLANDS LÄN</t>
        </is>
      </c>
      <c r="E2287" t="inlineStr">
        <is>
          <t>SUNDSVALL</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26921-2021</t>
        </is>
      </c>
      <c r="B2288" s="1" t="n">
        <v>44349</v>
      </c>
      <c r="C2288" s="1" t="n">
        <v>46093</v>
      </c>
      <c r="D2288" t="inlineStr">
        <is>
          <t>VÄSTERNORRLANDS LÄN</t>
        </is>
      </c>
      <c r="E2288" t="inlineStr">
        <is>
          <t>TIMRÅ</t>
        </is>
      </c>
      <c r="G2288" t="n">
        <v>6.6</v>
      </c>
      <c r="H2288" t="n">
        <v>0</v>
      </c>
      <c r="I2288" t="n">
        <v>0</v>
      </c>
      <c r="J2288" t="n">
        <v>0</v>
      </c>
      <c r="K2288" t="n">
        <v>0</v>
      </c>
      <c r="L2288" t="n">
        <v>0</v>
      </c>
      <c r="M2288" t="n">
        <v>0</v>
      </c>
      <c r="N2288" t="n">
        <v>0</v>
      </c>
      <c r="O2288" t="n">
        <v>0</v>
      </c>
      <c r="P2288" t="n">
        <v>0</v>
      </c>
      <c r="Q2288" t="n">
        <v>0</v>
      </c>
      <c r="R2288" s="2" t="inlineStr"/>
    </row>
    <row r="2289" ht="15" customHeight="1">
      <c r="A2289" t="inlineStr">
        <is>
          <t>A 50654-2022</t>
        </is>
      </c>
      <c r="B2289" s="1" t="n">
        <v>44866</v>
      </c>
      <c r="C2289" s="1" t="n">
        <v>46093</v>
      </c>
      <c r="D2289" t="inlineStr">
        <is>
          <t>VÄSTERNORRLANDS LÄN</t>
        </is>
      </c>
      <c r="E2289" t="inlineStr">
        <is>
          <t>SUNDSVALL</t>
        </is>
      </c>
      <c r="F2289" t="inlineStr">
        <is>
          <t>SCA</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50656-2022</t>
        </is>
      </c>
      <c r="B2290" s="1" t="n">
        <v>44866</v>
      </c>
      <c r="C2290" s="1" t="n">
        <v>46093</v>
      </c>
      <c r="D2290" t="inlineStr">
        <is>
          <t>VÄSTERNORRLANDS LÄN</t>
        </is>
      </c>
      <c r="E2290" t="inlineStr">
        <is>
          <t>SOLLEFTEÅ</t>
        </is>
      </c>
      <c r="F2290" t="inlineStr">
        <is>
          <t>SCA</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33471-2025</t>
        </is>
      </c>
      <c r="B2291" s="1" t="n">
        <v>45841.48929398148</v>
      </c>
      <c r="C2291" s="1" t="n">
        <v>46093</v>
      </c>
      <c r="D2291" t="inlineStr">
        <is>
          <t>VÄSTERNORRLANDS LÄN</t>
        </is>
      </c>
      <c r="E2291" t="inlineStr">
        <is>
          <t>ÖRNSKÖLDSVIK</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33558-2025</t>
        </is>
      </c>
      <c r="B2292" s="1" t="n">
        <v>45841.57547453704</v>
      </c>
      <c r="C2292" s="1" t="n">
        <v>46093</v>
      </c>
      <c r="D2292" t="inlineStr">
        <is>
          <t>VÄSTERNORRLANDS LÄN</t>
        </is>
      </c>
      <c r="E2292" t="inlineStr">
        <is>
          <t>ÖRNSKÖLDSVIK</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12682-2024</t>
        </is>
      </c>
      <c r="B2293" s="1" t="n">
        <v>45384</v>
      </c>
      <c r="C2293" s="1" t="n">
        <v>46093</v>
      </c>
      <c r="D2293" t="inlineStr">
        <is>
          <t>VÄSTERNORRLANDS LÄN</t>
        </is>
      </c>
      <c r="E2293" t="inlineStr">
        <is>
          <t>ÖRNSKÖLDSVIK</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33607-2025</t>
        </is>
      </c>
      <c r="B2294" s="1" t="n">
        <v>45841.61521990741</v>
      </c>
      <c r="C2294" s="1" t="n">
        <v>46093</v>
      </c>
      <c r="D2294" t="inlineStr">
        <is>
          <t>VÄSTERNORRLANDS LÄN</t>
        </is>
      </c>
      <c r="E2294" t="inlineStr">
        <is>
          <t>SOLLEFTEÅ</t>
        </is>
      </c>
      <c r="F2294" t="inlineStr">
        <is>
          <t>SCA</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33673-2025</t>
        </is>
      </c>
      <c r="B2295" s="1" t="n">
        <v>45841.67761574074</v>
      </c>
      <c r="C2295" s="1" t="n">
        <v>46093</v>
      </c>
      <c r="D2295" t="inlineStr">
        <is>
          <t>VÄSTERNORRLANDS LÄN</t>
        </is>
      </c>
      <c r="E2295" t="inlineStr">
        <is>
          <t>SOLLEFTEÅ</t>
        </is>
      </c>
      <c r="F2295" t="inlineStr">
        <is>
          <t>SCA</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1095-2023</t>
        </is>
      </c>
      <c r="B2296" s="1" t="n">
        <v>44929</v>
      </c>
      <c r="C2296" s="1" t="n">
        <v>46093</v>
      </c>
      <c r="D2296" t="inlineStr">
        <is>
          <t>VÄSTERNORRLANDS LÄN</t>
        </is>
      </c>
      <c r="E2296" t="inlineStr">
        <is>
          <t>ÅNGE</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64121-2021</t>
        </is>
      </c>
      <c r="B2297" s="1" t="n">
        <v>44510.4730787037</v>
      </c>
      <c r="C2297" s="1" t="n">
        <v>46093</v>
      </c>
      <c r="D2297" t="inlineStr">
        <is>
          <t>VÄSTERNORRLANDS LÄN</t>
        </is>
      </c>
      <c r="E2297" t="inlineStr">
        <is>
          <t>ÅNGE</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18024-2022</t>
        </is>
      </c>
      <c r="B2298" s="1" t="n">
        <v>44683.94383101852</v>
      </c>
      <c r="C2298" s="1" t="n">
        <v>46093</v>
      </c>
      <c r="D2298" t="inlineStr">
        <is>
          <t>VÄSTERNORRLANDS LÄN</t>
        </is>
      </c>
      <c r="E2298" t="inlineStr">
        <is>
          <t>ÅNGE</t>
        </is>
      </c>
      <c r="F2298" t="inlineStr">
        <is>
          <t>SCA</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18074-2022</t>
        </is>
      </c>
      <c r="B2299" s="1" t="n">
        <v>44684</v>
      </c>
      <c r="C2299" s="1" t="n">
        <v>46093</v>
      </c>
      <c r="D2299" t="inlineStr">
        <is>
          <t>VÄSTERNORRLANDS LÄN</t>
        </is>
      </c>
      <c r="E2299" t="inlineStr">
        <is>
          <t>ÖRNSKÖLDSVIK</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20096-2022</t>
        </is>
      </c>
      <c r="B2300" s="1" t="n">
        <v>44698</v>
      </c>
      <c r="C2300" s="1" t="n">
        <v>46093</v>
      </c>
      <c r="D2300" t="inlineStr">
        <is>
          <t>VÄSTERNORRLANDS LÄN</t>
        </is>
      </c>
      <c r="E2300" t="inlineStr">
        <is>
          <t>ÖRNSKÖLDSVIK</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60650-2022</t>
        </is>
      </c>
      <c r="B2301" s="1" t="n">
        <v>44911</v>
      </c>
      <c r="C2301" s="1" t="n">
        <v>46093</v>
      </c>
      <c r="D2301" t="inlineStr">
        <is>
          <t>VÄSTERNORRLANDS LÄN</t>
        </is>
      </c>
      <c r="E2301" t="inlineStr">
        <is>
          <t>SUNDSVALL</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33919-2025</t>
        </is>
      </c>
      <c r="B2302" s="1" t="n">
        <v>45842.61515046296</v>
      </c>
      <c r="C2302" s="1" t="n">
        <v>46093</v>
      </c>
      <c r="D2302" t="inlineStr">
        <is>
          <t>VÄSTERNORRLANDS LÄN</t>
        </is>
      </c>
      <c r="E2302" t="inlineStr">
        <is>
          <t>KRAMFORS</t>
        </is>
      </c>
      <c r="G2302" t="n">
        <v>4</v>
      </c>
      <c r="H2302" t="n">
        <v>0</v>
      </c>
      <c r="I2302" t="n">
        <v>0</v>
      </c>
      <c r="J2302" t="n">
        <v>0</v>
      </c>
      <c r="K2302" t="n">
        <v>0</v>
      </c>
      <c r="L2302" t="n">
        <v>0</v>
      </c>
      <c r="M2302" t="n">
        <v>0</v>
      </c>
      <c r="N2302" t="n">
        <v>0</v>
      </c>
      <c r="O2302" t="n">
        <v>0</v>
      </c>
      <c r="P2302" t="n">
        <v>0</v>
      </c>
      <c r="Q2302" t="n">
        <v>0</v>
      </c>
      <c r="R2302" s="2" t="inlineStr"/>
    </row>
    <row r="2303" ht="15" customHeight="1">
      <c r="A2303" t="inlineStr">
        <is>
          <t>A 33935-2025</t>
        </is>
      </c>
      <c r="B2303" s="1" t="n">
        <v>45842.63614583333</v>
      </c>
      <c r="C2303" s="1" t="n">
        <v>46093</v>
      </c>
      <c r="D2303" t="inlineStr">
        <is>
          <t>VÄSTERNORRLANDS LÄN</t>
        </is>
      </c>
      <c r="E2303" t="inlineStr">
        <is>
          <t>SOLLEFTEÅ</t>
        </is>
      </c>
      <c r="F2303" t="inlineStr">
        <is>
          <t>SCA</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6067-2024</t>
        </is>
      </c>
      <c r="B2304" s="1" t="n">
        <v>45336.89018518518</v>
      </c>
      <c r="C2304" s="1" t="n">
        <v>46093</v>
      </c>
      <c r="D2304" t="inlineStr">
        <is>
          <t>VÄSTERNORRLANDS LÄN</t>
        </is>
      </c>
      <c r="E2304" t="inlineStr">
        <is>
          <t>SOLLEFTEÅ</t>
        </is>
      </c>
      <c r="F2304" t="inlineStr">
        <is>
          <t>Övriga Aktiebolag</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17963-2022</t>
        </is>
      </c>
      <c r="B2305" s="1" t="n">
        <v>44683</v>
      </c>
      <c r="C2305" s="1" t="n">
        <v>46093</v>
      </c>
      <c r="D2305" t="inlineStr">
        <is>
          <t>VÄSTERNORRLANDS LÄN</t>
        </is>
      </c>
      <c r="E2305" t="inlineStr">
        <is>
          <t>ÅNGE</t>
        </is>
      </c>
      <c r="G2305" t="n">
        <v>0.2</v>
      </c>
      <c r="H2305" t="n">
        <v>0</v>
      </c>
      <c r="I2305" t="n">
        <v>0</v>
      </c>
      <c r="J2305" t="n">
        <v>0</v>
      </c>
      <c r="K2305" t="n">
        <v>0</v>
      </c>
      <c r="L2305" t="n">
        <v>0</v>
      </c>
      <c r="M2305" t="n">
        <v>0</v>
      </c>
      <c r="N2305" t="n">
        <v>0</v>
      </c>
      <c r="O2305" t="n">
        <v>0</v>
      </c>
      <c r="P2305" t="n">
        <v>0</v>
      </c>
      <c r="Q2305" t="n">
        <v>0</v>
      </c>
      <c r="R2305" s="2" t="inlineStr"/>
    </row>
    <row r="2306" ht="15" customHeight="1">
      <c r="A2306" t="inlineStr">
        <is>
          <t>A 33408-2021</t>
        </is>
      </c>
      <c r="B2306" s="1" t="n">
        <v>44377</v>
      </c>
      <c r="C2306" s="1" t="n">
        <v>46093</v>
      </c>
      <c r="D2306" t="inlineStr">
        <is>
          <t>VÄSTERNORRLANDS LÄN</t>
        </is>
      </c>
      <c r="E2306" t="inlineStr">
        <is>
          <t>ÅNGE</t>
        </is>
      </c>
      <c r="G2306" t="n">
        <v>8.199999999999999</v>
      </c>
      <c r="H2306" t="n">
        <v>0</v>
      </c>
      <c r="I2306" t="n">
        <v>0</v>
      </c>
      <c r="J2306" t="n">
        <v>0</v>
      </c>
      <c r="K2306" t="n">
        <v>0</v>
      </c>
      <c r="L2306" t="n">
        <v>0</v>
      </c>
      <c r="M2306" t="n">
        <v>0</v>
      </c>
      <c r="N2306" t="n">
        <v>0</v>
      </c>
      <c r="O2306" t="n">
        <v>0</v>
      </c>
      <c r="P2306" t="n">
        <v>0</v>
      </c>
      <c r="Q2306" t="n">
        <v>0</v>
      </c>
      <c r="R2306" s="2" t="inlineStr"/>
    </row>
    <row r="2307" ht="15" customHeight="1">
      <c r="A2307" t="inlineStr">
        <is>
          <t>A 26936-2021</t>
        </is>
      </c>
      <c r="B2307" s="1" t="n">
        <v>44349</v>
      </c>
      <c r="C2307" s="1" t="n">
        <v>46093</v>
      </c>
      <c r="D2307" t="inlineStr">
        <is>
          <t>VÄSTERNORRLANDS LÄN</t>
        </is>
      </c>
      <c r="E2307" t="inlineStr">
        <is>
          <t>TIMRÅ</t>
        </is>
      </c>
      <c r="G2307" t="n">
        <v>4.1</v>
      </c>
      <c r="H2307" t="n">
        <v>0</v>
      </c>
      <c r="I2307" t="n">
        <v>0</v>
      </c>
      <c r="J2307" t="n">
        <v>0</v>
      </c>
      <c r="K2307" t="n">
        <v>0</v>
      </c>
      <c r="L2307" t="n">
        <v>0</v>
      </c>
      <c r="M2307" t="n">
        <v>0</v>
      </c>
      <c r="N2307" t="n">
        <v>0</v>
      </c>
      <c r="O2307" t="n">
        <v>0</v>
      </c>
      <c r="P2307" t="n">
        <v>0</v>
      </c>
      <c r="Q2307" t="n">
        <v>0</v>
      </c>
      <c r="R2307" s="2" t="inlineStr"/>
    </row>
    <row r="2308" ht="15" customHeight="1">
      <c r="A2308" t="inlineStr">
        <is>
          <t>A 26950-2021</t>
        </is>
      </c>
      <c r="B2308" s="1" t="n">
        <v>44349</v>
      </c>
      <c r="C2308" s="1" t="n">
        <v>46093</v>
      </c>
      <c r="D2308" t="inlineStr">
        <is>
          <t>VÄSTERNORRLANDS LÄN</t>
        </is>
      </c>
      <c r="E2308" t="inlineStr">
        <is>
          <t>SUNDSVALL</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38303-2024</t>
        </is>
      </c>
      <c r="B2309" s="1" t="n">
        <v>45545.63769675926</v>
      </c>
      <c r="C2309" s="1" t="n">
        <v>46093</v>
      </c>
      <c r="D2309" t="inlineStr">
        <is>
          <t>VÄSTERNORRLANDS LÄN</t>
        </is>
      </c>
      <c r="E2309" t="inlineStr">
        <is>
          <t>SUNDSVALL</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33502-2025</t>
        </is>
      </c>
      <c r="B2310" s="1" t="n">
        <v>45841.51101851852</v>
      </c>
      <c r="C2310" s="1" t="n">
        <v>46093</v>
      </c>
      <c r="D2310" t="inlineStr">
        <is>
          <t>VÄSTERNORRLANDS LÄN</t>
        </is>
      </c>
      <c r="E2310" t="inlineStr">
        <is>
          <t>SOLLEFTEÅ</t>
        </is>
      </c>
      <c r="F2310" t="inlineStr">
        <is>
          <t>SCA</t>
        </is>
      </c>
      <c r="G2310" t="n">
        <v>6.4</v>
      </c>
      <c r="H2310" t="n">
        <v>0</v>
      </c>
      <c r="I2310" t="n">
        <v>0</v>
      </c>
      <c r="J2310" t="n">
        <v>0</v>
      </c>
      <c r="K2310" t="n">
        <v>0</v>
      </c>
      <c r="L2310" t="n">
        <v>0</v>
      </c>
      <c r="M2310" t="n">
        <v>0</v>
      </c>
      <c r="N2310" t="n">
        <v>0</v>
      </c>
      <c r="O2310" t="n">
        <v>0</v>
      </c>
      <c r="P2310" t="n">
        <v>0</v>
      </c>
      <c r="Q2310" t="n">
        <v>0</v>
      </c>
      <c r="R2310" s="2" t="inlineStr"/>
    </row>
    <row r="2311" ht="15" customHeight="1">
      <c r="A2311" t="inlineStr">
        <is>
          <t>A 33717-2025</t>
        </is>
      </c>
      <c r="B2311" s="1" t="n">
        <v>45841.89357638889</v>
      </c>
      <c r="C2311" s="1" t="n">
        <v>46093</v>
      </c>
      <c r="D2311" t="inlineStr">
        <is>
          <t>VÄSTERNORRLANDS LÄN</t>
        </is>
      </c>
      <c r="E2311" t="inlineStr">
        <is>
          <t>ÅNGE</t>
        </is>
      </c>
      <c r="G2311" t="n">
        <v>14.3</v>
      </c>
      <c r="H2311" t="n">
        <v>0</v>
      </c>
      <c r="I2311" t="n">
        <v>0</v>
      </c>
      <c r="J2311" t="n">
        <v>0</v>
      </c>
      <c r="K2311" t="n">
        <v>0</v>
      </c>
      <c r="L2311" t="n">
        <v>0</v>
      </c>
      <c r="M2311" t="n">
        <v>0</v>
      </c>
      <c r="N2311" t="n">
        <v>0</v>
      </c>
      <c r="O2311" t="n">
        <v>0</v>
      </c>
      <c r="P2311" t="n">
        <v>0</v>
      </c>
      <c r="Q2311" t="n">
        <v>0</v>
      </c>
      <c r="R2311" s="2" t="inlineStr"/>
    </row>
    <row r="2312" ht="15" customHeight="1">
      <c r="A2312" t="inlineStr">
        <is>
          <t>A 33735-2025</t>
        </is>
      </c>
      <c r="B2312" s="1" t="n">
        <v>45842.33105324074</v>
      </c>
      <c r="C2312" s="1" t="n">
        <v>46093</v>
      </c>
      <c r="D2312" t="inlineStr">
        <is>
          <t>VÄSTERNORRLANDS LÄN</t>
        </is>
      </c>
      <c r="E2312" t="inlineStr">
        <is>
          <t>ÖRNSKÖLDSVIK</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33739-2025</t>
        </is>
      </c>
      <c r="B2313" s="1" t="n">
        <v>45842.34015046297</v>
      </c>
      <c r="C2313" s="1" t="n">
        <v>46093</v>
      </c>
      <c r="D2313" t="inlineStr">
        <is>
          <t>VÄSTERNORRLANDS LÄN</t>
        </is>
      </c>
      <c r="E2313" t="inlineStr">
        <is>
          <t>ÖRNSKÖLDSVIK</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33522-2025</t>
        </is>
      </c>
      <c r="B2314" s="1" t="n">
        <v>45841.54479166667</v>
      </c>
      <c r="C2314" s="1" t="n">
        <v>46093</v>
      </c>
      <c r="D2314" t="inlineStr">
        <is>
          <t>VÄSTERNORRLANDS LÄN</t>
        </is>
      </c>
      <c r="E2314" t="inlineStr">
        <is>
          <t>KRAMFORS</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20702-2022</t>
        </is>
      </c>
      <c r="B2315" s="1" t="n">
        <v>44700.92697916667</v>
      </c>
      <c r="C2315" s="1" t="n">
        <v>46093</v>
      </c>
      <c r="D2315" t="inlineStr">
        <is>
          <t>VÄSTERNORRLANDS LÄN</t>
        </is>
      </c>
      <c r="E2315" t="inlineStr">
        <is>
          <t>SOLLEFTEÅ</t>
        </is>
      </c>
      <c r="G2315" t="n">
        <v>5.1</v>
      </c>
      <c r="H2315" t="n">
        <v>0</v>
      </c>
      <c r="I2315" t="n">
        <v>0</v>
      </c>
      <c r="J2315" t="n">
        <v>0</v>
      </c>
      <c r="K2315" t="n">
        <v>0</v>
      </c>
      <c r="L2315" t="n">
        <v>0</v>
      </c>
      <c r="M2315" t="n">
        <v>0</v>
      </c>
      <c r="N2315" t="n">
        <v>0</v>
      </c>
      <c r="O2315" t="n">
        <v>0</v>
      </c>
      <c r="P2315" t="n">
        <v>0</v>
      </c>
      <c r="Q2315" t="n">
        <v>0</v>
      </c>
      <c r="R2315" s="2" t="inlineStr"/>
    </row>
    <row r="2316" ht="15" customHeight="1">
      <c r="A2316" t="inlineStr">
        <is>
          <t>A 21601-2022</t>
        </is>
      </c>
      <c r="B2316" s="1" t="n">
        <v>44706</v>
      </c>
      <c r="C2316" s="1" t="n">
        <v>46093</v>
      </c>
      <c r="D2316" t="inlineStr">
        <is>
          <t>VÄSTERNORRLANDS LÄN</t>
        </is>
      </c>
      <c r="E2316" t="inlineStr">
        <is>
          <t>ÖRNSKÖLDSVIK</t>
        </is>
      </c>
      <c r="F2316" t="inlineStr">
        <is>
          <t>Holmen skog AB</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33738-2025</t>
        </is>
      </c>
      <c r="B2317" s="1" t="n">
        <v>45842.33795138889</v>
      </c>
      <c r="C2317" s="1" t="n">
        <v>46093</v>
      </c>
      <c r="D2317" t="inlineStr">
        <is>
          <t>VÄSTERNORRLANDS LÄN</t>
        </is>
      </c>
      <c r="E2317" t="inlineStr">
        <is>
          <t>ÅNGE</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11250-2025</t>
        </is>
      </c>
      <c r="B2318" s="1" t="n">
        <v>45726</v>
      </c>
      <c r="C2318" s="1" t="n">
        <v>46093</v>
      </c>
      <c r="D2318" t="inlineStr">
        <is>
          <t>VÄSTERNORRLANDS LÄN</t>
        </is>
      </c>
      <c r="E2318" t="inlineStr">
        <is>
          <t>KRAMFORS</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11251-2025</t>
        </is>
      </c>
      <c r="B2319" s="1" t="n">
        <v>45726.38609953703</v>
      </c>
      <c r="C2319" s="1" t="n">
        <v>46093</v>
      </c>
      <c r="D2319" t="inlineStr">
        <is>
          <t>VÄSTERNORRLANDS LÄN</t>
        </is>
      </c>
      <c r="E2319" t="inlineStr">
        <is>
          <t>KRAMFORS</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22077-2022</t>
        </is>
      </c>
      <c r="B2320" s="1" t="n">
        <v>44711.92616898148</v>
      </c>
      <c r="C2320" s="1" t="n">
        <v>46093</v>
      </c>
      <c r="D2320" t="inlineStr">
        <is>
          <t>VÄSTERNORRLANDS LÄN</t>
        </is>
      </c>
      <c r="E2320" t="inlineStr">
        <is>
          <t>ÖRNSKÖLDSVIK</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28706-2021</t>
        </is>
      </c>
      <c r="B2321" s="1" t="n">
        <v>44357</v>
      </c>
      <c r="C2321" s="1" t="n">
        <v>46093</v>
      </c>
      <c r="D2321" t="inlineStr">
        <is>
          <t>VÄSTERNORRLANDS LÄN</t>
        </is>
      </c>
      <c r="E2321" t="inlineStr">
        <is>
          <t>TIMRÅ</t>
        </is>
      </c>
      <c r="G2321" t="n">
        <v>9.699999999999999</v>
      </c>
      <c r="H2321" t="n">
        <v>0</v>
      </c>
      <c r="I2321" t="n">
        <v>0</v>
      </c>
      <c r="J2321" t="n">
        <v>0</v>
      </c>
      <c r="K2321" t="n">
        <v>0</v>
      </c>
      <c r="L2321" t="n">
        <v>0</v>
      </c>
      <c r="M2321" t="n">
        <v>0</v>
      </c>
      <c r="N2321" t="n">
        <v>0</v>
      </c>
      <c r="O2321" t="n">
        <v>0</v>
      </c>
      <c r="P2321" t="n">
        <v>0</v>
      </c>
      <c r="Q2321" t="n">
        <v>0</v>
      </c>
      <c r="R2321" s="2" t="inlineStr"/>
    </row>
    <row r="2322" ht="15" customHeight="1">
      <c r="A2322" t="inlineStr">
        <is>
          <t>A 49598-2022</t>
        </is>
      </c>
      <c r="B2322" s="1" t="n">
        <v>44862</v>
      </c>
      <c r="C2322" s="1" t="n">
        <v>46093</v>
      </c>
      <c r="D2322" t="inlineStr">
        <is>
          <t>VÄSTERNORRLANDS LÄN</t>
        </is>
      </c>
      <c r="E2322" t="inlineStr">
        <is>
          <t>ÖRNSKÖLDSVIK</t>
        </is>
      </c>
      <c r="F2322" t="inlineStr">
        <is>
          <t>Holmen skog AB</t>
        </is>
      </c>
      <c r="G2322" t="n">
        <v>16.6</v>
      </c>
      <c r="H2322" t="n">
        <v>0</v>
      </c>
      <c r="I2322" t="n">
        <v>0</v>
      </c>
      <c r="J2322" t="n">
        <v>0</v>
      </c>
      <c r="K2322" t="n">
        <v>0</v>
      </c>
      <c r="L2322" t="n">
        <v>0</v>
      </c>
      <c r="M2322" t="n">
        <v>0</v>
      </c>
      <c r="N2322" t="n">
        <v>0</v>
      </c>
      <c r="O2322" t="n">
        <v>0</v>
      </c>
      <c r="P2322" t="n">
        <v>0</v>
      </c>
      <c r="Q2322" t="n">
        <v>0</v>
      </c>
      <c r="R2322" s="2" t="inlineStr"/>
    </row>
    <row r="2323" ht="15" customHeight="1">
      <c r="A2323" t="inlineStr">
        <is>
          <t>A 14468-2022</t>
        </is>
      </c>
      <c r="B2323" s="1" t="n">
        <v>44654.67935185185</v>
      </c>
      <c r="C2323" s="1" t="n">
        <v>46093</v>
      </c>
      <c r="D2323" t="inlineStr">
        <is>
          <t>VÄSTERNORRLANDS LÄN</t>
        </is>
      </c>
      <c r="E2323" t="inlineStr">
        <is>
          <t>SUNDSVALL</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30418-2021</t>
        </is>
      </c>
      <c r="B2324" s="1" t="n">
        <v>44364</v>
      </c>
      <c r="C2324" s="1" t="n">
        <v>46093</v>
      </c>
      <c r="D2324" t="inlineStr">
        <is>
          <t>VÄSTERNORRLANDS LÄN</t>
        </is>
      </c>
      <c r="E2324" t="inlineStr">
        <is>
          <t>KRAMFORS</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30450-2021</t>
        </is>
      </c>
      <c r="B2325" s="1" t="n">
        <v>44364</v>
      </c>
      <c r="C2325" s="1" t="n">
        <v>46093</v>
      </c>
      <c r="D2325" t="inlineStr">
        <is>
          <t>VÄSTERNORRLANDS LÄN</t>
        </is>
      </c>
      <c r="E2325" t="inlineStr">
        <is>
          <t>SUNDSVALL</t>
        </is>
      </c>
      <c r="G2325" t="n">
        <v>6.3</v>
      </c>
      <c r="H2325" t="n">
        <v>0</v>
      </c>
      <c r="I2325" t="n">
        <v>0</v>
      </c>
      <c r="J2325" t="n">
        <v>0</v>
      </c>
      <c r="K2325" t="n">
        <v>0</v>
      </c>
      <c r="L2325" t="n">
        <v>0</v>
      </c>
      <c r="M2325" t="n">
        <v>0</v>
      </c>
      <c r="N2325" t="n">
        <v>0</v>
      </c>
      <c r="O2325" t="n">
        <v>0</v>
      </c>
      <c r="P2325" t="n">
        <v>0</v>
      </c>
      <c r="Q2325" t="n">
        <v>0</v>
      </c>
      <c r="R2325" s="2" t="inlineStr"/>
    </row>
    <row r="2326" ht="15" customHeight="1">
      <c r="A2326" t="inlineStr">
        <is>
          <t>A 33588-2025</t>
        </is>
      </c>
      <c r="B2326" s="1" t="n">
        <v>45841.59636574074</v>
      </c>
      <c r="C2326" s="1" t="n">
        <v>46093</v>
      </c>
      <c r="D2326" t="inlineStr">
        <is>
          <t>VÄSTERNORRLANDS LÄN</t>
        </is>
      </c>
      <c r="E2326" t="inlineStr">
        <is>
          <t>ÖRNSKÖLDSVIK</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33596-2025</t>
        </is>
      </c>
      <c r="B2327" s="1" t="n">
        <v>45841.6034375</v>
      </c>
      <c r="C2327" s="1" t="n">
        <v>46093</v>
      </c>
      <c r="D2327" t="inlineStr">
        <is>
          <t>VÄSTERNORRLANDS LÄN</t>
        </is>
      </c>
      <c r="E2327" t="inlineStr">
        <is>
          <t>ÖRNSKÖLDSVIK</t>
        </is>
      </c>
      <c r="F2327" t="inlineStr">
        <is>
          <t>Holmen skog AB</t>
        </is>
      </c>
      <c r="G2327" t="n">
        <v>0.3</v>
      </c>
      <c r="H2327" t="n">
        <v>0</v>
      </c>
      <c r="I2327" t="n">
        <v>0</v>
      </c>
      <c r="J2327" t="n">
        <v>0</v>
      </c>
      <c r="K2327" t="n">
        <v>0</v>
      </c>
      <c r="L2327" t="n">
        <v>0</v>
      </c>
      <c r="M2327" t="n">
        <v>0</v>
      </c>
      <c r="N2327" t="n">
        <v>0</v>
      </c>
      <c r="O2327" t="n">
        <v>0</v>
      </c>
      <c r="P2327" t="n">
        <v>0</v>
      </c>
      <c r="Q2327" t="n">
        <v>0</v>
      </c>
      <c r="R2327" s="2" t="inlineStr"/>
    </row>
    <row r="2328" ht="15" customHeight="1">
      <c r="A2328" t="inlineStr">
        <is>
          <t>A 31444-2022</t>
        </is>
      </c>
      <c r="B2328" s="1" t="n">
        <v>44774</v>
      </c>
      <c r="C2328" s="1" t="n">
        <v>46093</v>
      </c>
      <c r="D2328" t="inlineStr">
        <is>
          <t>VÄSTERNORRLANDS LÄN</t>
        </is>
      </c>
      <c r="E2328" t="inlineStr">
        <is>
          <t>SOLLEFTEÅ</t>
        </is>
      </c>
      <c r="F2328" t="inlineStr">
        <is>
          <t>SCA</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35496-2022</t>
        </is>
      </c>
      <c r="B2329" s="1" t="n">
        <v>44798</v>
      </c>
      <c r="C2329" s="1" t="n">
        <v>46093</v>
      </c>
      <c r="D2329" t="inlineStr">
        <is>
          <t>VÄSTERNORRLANDS LÄN</t>
        </is>
      </c>
      <c r="E2329" t="inlineStr">
        <is>
          <t>ÅNGE</t>
        </is>
      </c>
      <c r="F2329" t="inlineStr">
        <is>
          <t>SCA</t>
        </is>
      </c>
      <c r="G2329" t="n">
        <v>15.6</v>
      </c>
      <c r="H2329" t="n">
        <v>0</v>
      </c>
      <c r="I2329" t="n">
        <v>0</v>
      </c>
      <c r="J2329" t="n">
        <v>0</v>
      </c>
      <c r="K2329" t="n">
        <v>0</v>
      </c>
      <c r="L2329" t="n">
        <v>0</v>
      </c>
      <c r="M2329" t="n">
        <v>0</v>
      </c>
      <c r="N2329" t="n">
        <v>0</v>
      </c>
      <c r="O2329" t="n">
        <v>0</v>
      </c>
      <c r="P2329" t="n">
        <v>0</v>
      </c>
      <c r="Q2329" t="n">
        <v>0</v>
      </c>
      <c r="R2329" s="2" t="inlineStr"/>
    </row>
    <row r="2330" ht="15" customHeight="1">
      <c r="A2330" t="inlineStr">
        <is>
          <t>A 42881-2024</t>
        </is>
      </c>
      <c r="B2330" s="1" t="n">
        <v>45566.70916666667</v>
      </c>
      <c r="C2330" s="1" t="n">
        <v>46093</v>
      </c>
      <c r="D2330" t="inlineStr">
        <is>
          <t>VÄSTERNORRLANDS LÄN</t>
        </is>
      </c>
      <c r="E2330" t="inlineStr">
        <is>
          <t>ÅNGE</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33808-2025</t>
        </is>
      </c>
      <c r="B2331" s="1" t="n">
        <v>45842.4488425926</v>
      </c>
      <c r="C2331" s="1" t="n">
        <v>46093</v>
      </c>
      <c r="D2331" t="inlineStr">
        <is>
          <t>VÄSTERNORRLANDS LÄN</t>
        </is>
      </c>
      <c r="E2331" t="inlineStr">
        <is>
          <t>KRAMFORS</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33649-2025</t>
        </is>
      </c>
      <c r="B2332" s="1" t="n">
        <v>45841.65697916667</v>
      </c>
      <c r="C2332" s="1" t="n">
        <v>46093</v>
      </c>
      <c r="D2332" t="inlineStr">
        <is>
          <t>VÄSTERNORRLANDS LÄN</t>
        </is>
      </c>
      <c r="E2332" t="inlineStr">
        <is>
          <t>SUNDSVALL</t>
        </is>
      </c>
      <c r="F2332" t="inlineStr">
        <is>
          <t>SCA</t>
        </is>
      </c>
      <c r="G2332" t="n">
        <v>7.8</v>
      </c>
      <c r="H2332" t="n">
        <v>0</v>
      </c>
      <c r="I2332" t="n">
        <v>0</v>
      </c>
      <c r="J2332" t="n">
        <v>0</v>
      </c>
      <c r="K2332" t="n">
        <v>0</v>
      </c>
      <c r="L2332" t="n">
        <v>0</v>
      </c>
      <c r="M2332" t="n">
        <v>0</v>
      </c>
      <c r="N2332" t="n">
        <v>0</v>
      </c>
      <c r="O2332" t="n">
        <v>0</v>
      </c>
      <c r="P2332" t="n">
        <v>0</v>
      </c>
      <c r="Q2332" t="n">
        <v>0</v>
      </c>
      <c r="R2332" s="2" t="inlineStr"/>
    </row>
    <row r="2333" ht="15" customHeight="1">
      <c r="A2333" t="inlineStr">
        <is>
          <t>A 30492-2023</t>
        </is>
      </c>
      <c r="B2333" s="1" t="n">
        <v>45111</v>
      </c>
      <c r="C2333" s="1" t="n">
        <v>46093</v>
      </c>
      <c r="D2333" t="inlineStr">
        <is>
          <t>VÄSTERNORRLANDS LÄN</t>
        </is>
      </c>
      <c r="E2333" t="inlineStr">
        <is>
          <t>ÖRNSKÖLDSVIK</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33401-2025</t>
        </is>
      </c>
      <c r="B2334" s="1" t="n">
        <v>45841.42359953704</v>
      </c>
      <c r="C2334" s="1" t="n">
        <v>46093</v>
      </c>
      <c r="D2334" t="inlineStr">
        <is>
          <t>VÄSTERNORRLANDS LÄN</t>
        </is>
      </c>
      <c r="E2334" t="inlineStr">
        <is>
          <t>ÖRNSKÖLDSVIK</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33452-2025</t>
        </is>
      </c>
      <c r="B2335" s="1" t="n">
        <v>45841.46940972222</v>
      </c>
      <c r="C2335" s="1" t="n">
        <v>46093</v>
      </c>
      <c r="D2335" t="inlineStr">
        <is>
          <t>VÄSTERNORRLANDS LÄN</t>
        </is>
      </c>
      <c r="E2335" t="inlineStr">
        <is>
          <t>SOLLEFTEÅ</t>
        </is>
      </c>
      <c r="F2335" t="inlineStr">
        <is>
          <t>SCA</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33357-2025</t>
        </is>
      </c>
      <c r="B2336" s="1" t="n">
        <v>45841</v>
      </c>
      <c r="C2336" s="1" t="n">
        <v>46093</v>
      </c>
      <c r="D2336" t="inlineStr">
        <is>
          <t>VÄSTERNORRLANDS LÄN</t>
        </is>
      </c>
      <c r="E2336" t="inlineStr">
        <is>
          <t>ÖRNSKÖLDSVIK</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33359-2025</t>
        </is>
      </c>
      <c r="B2337" s="1" t="n">
        <v>45841.38116898148</v>
      </c>
      <c r="C2337" s="1" t="n">
        <v>46093</v>
      </c>
      <c r="D2337" t="inlineStr">
        <is>
          <t>VÄSTERNORRLANDS LÄN</t>
        </is>
      </c>
      <c r="E2337" t="inlineStr">
        <is>
          <t>ÖRNSKÖLDSVIK</t>
        </is>
      </c>
      <c r="F2337" t="inlineStr">
        <is>
          <t>Holmen skog AB</t>
        </is>
      </c>
      <c r="G2337" t="n">
        <v>11.2</v>
      </c>
      <c r="H2337" t="n">
        <v>0</v>
      </c>
      <c r="I2337" t="n">
        <v>0</v>
      </c>
      <c r="J2337" t="n">
        <v>0</v>
      </c>
      <c r="K2337" t="n">
        <v>0</v>
      </c>
      <c r="L2337" t="n">
        <v>0</v>
      </c>
      <c r="M2337" t="n">
        <v>0</v>
      </c>
      <c r="N2337" t="n">
        <v>0</v>
      </c>
      <c r="O2337" t="n">
        <v>0</v>
      </c>
      <c r="P2337" t="n">
        <v>0</v>
      </c>
      <c r="Q2337" t="n">
        <v>0</v>
      </c>
      <c r="R2337" s="2" t="inlineStr"/>
    </row>
    <row r="2338" ht="15" customHeight="1">
      <c r="A2338" t="inlineStr">
        <is>
          <t>A 26189-2021</t>
        </is>
      </c>
      <c r="B2338" s="1" t="n">
        <v>44347.38006944444</v>
      </c>
      <c r="C2338" s="1" t="n">
        <v>46093</v>
      </c>
      <c r="D2338" t="inlineStr">
        <is>
          <t>VÄSTERNORRLANDS LÄN</t>
        </is>
      </c>
      <c r="E2338" t="inlineStr">
        <is>
          <t>HÄRNÖSAND</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33852-2025</t>
        </is>
      </c>
      <c r="B2339" s="1" t="n">
        <v>45842.51079861111</v>
      </c>
      <c r="C2339" s="1" t="n">
        <v>46093</v>
      </c>
      <c r="D2339" t="inlineStr">
        <is>
          <t>VÄSTERNORRLANDS LÄN</t>
        </is>
      </c>
      <c r="E2339" t="inlineStr">
        <is>
          <t>SOLLEFTEÅ</t>
        </is>
      </c>
      <c r="F2339" t="inlineStr">
        <is>
          <t>SCA</t>
        </is>
      </c>
      <c r="G2339" t="n">
        <v>3.7</v>
      </c>
      <c r="H2339" t="n">
        <v>0</v>
      </c>
      <c r="I2339" t="n">
        <v>0</v>
      </c>
      <c r="J2339" t="n">
        <v>0</v>
      </c>
      <c r="K2339" t="n">
        <v>0</v>
      </c>
      <c r="L2339" t="n">
        <v>0</v>
      </c>
      <c r="M2339" t="n">
        <v>0</v>
      </c>
      <c r="N2339" t="n">
        <v>0</v>
      </c>
      <c r="O2339" t="n">
        <v>0</v>
      </c>
      <c r="P2339" t="n">
        <v>0</v>
      </c>
      <c r="Q2339" t="n">
        <v>0</v>
      </c>
      <c r="R2339" s="2" t="inlineStr"/>
    </row>
    <row r="2340" ht="15" customHeight="1">
      <c r="A2340" t="inlineStr">
        <is>
          <t>A 33906-2023</t>
        </is>
      </c>
      <c r="B2340" s="1" t="n">
        <v>45134.40055555556</v>
      </c>
      <c r="C2340" s="1" t="n">
        <v>46093</v>
      </c>
      <c r="D2340" t="inlineStr">
        <is>
          <t>VÄSTERNORRLANDS LÄN</t>
        </is>
      </c>
      <c r="E2340" t="inlineStr">
        <is>
          <t>ÖRNSKÖLDSVIK</t>
        </is>
      </c>
      <c r="F2340" t="inlineStr">
        <is>
          <t>Holmen skog AB</t>
        </is>
      </c>
      <c r="G2340" t="n">
        <v>4.3</v>
      </c>
      <c r="H2340" t="n">
        <v>0</v>
      </c>
      <c r="I2340" t="n">
        <v>0</v>
      </c>
      <c r="J2340" t="n">
        <v>0</v>
      </c>
      <c r="K2340" t="n">
        <v>0</v>
      </c>
      <c r="L2340" t="n">
        <v>0</v>
      </c>
      <c r="M2340" t="n">
        <v>0</v>
      </c>
      <c r="N2340" t="n">
        <v>0</v>
      </c>
      <c r="O2340" t="n">
        <v>0</v>
      </c>
      <c r="P2340" t="n">
        <v>0</v>
      </c>
      <c r="Q2340" t="n">
        <v>0</v>
      </c>
      <c r="R2340" s="2" t="inlineStr"/>
    </row>
    <row r="2341" ht="15" customHeight="1">
      <c r="A2341" t="inlineStr">
        <is>
          <t>A 33856-2025</t>
        </is>
      </c>
      <c r="B2341" s="1" t="n">
        <v>45842.5114699074</v>
      </c>
      <c r="C2341" s="1" t="n">
        <v>46093</v>
      </c>
      <c r="D2341" t="inlineStr">
        <is>
          <t>VÄSTERNORRLANDS LÄN</t>
        </is>
      </c>
      <c r="E2341" t="inlineStr">
        <is>
          <t>KRAMFORS</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22662-2021</t>
        </is>
      </c>
      <c r="B2342" s="1" t="n">
        <v>44321</v>
      </c>
      <c r="C2342" s="1" t="n">
        <v>46093</v>
      </c>
      <c r="D2342" t="inlineStr">
        <is>
          <t>VÄSTERNORRLANDS LÄN</t>
        </is>
      </c>
      <c r="E2342" t="inlineStr">
        <is>
          <t>HÄRNÖSAND</t>
        </is>
      </c>
      <c r="G2342" t="n">
        <v>12.7</v>
      </c>
      <c r="H2342" t="n">
        <v>0</v>
      </c>
      <c r="I2342" t="n">
        <v>0</v>
      </c>
      <c r="J2342" t="n">
        <v>0</v>
      </c>
      <c r="K2342" t="n">
        <v>0</v>
      </c>
      <c r="L2342" t="n">
        <v>0</v>
      </c>
      <c r="M2342" t="n">
        <v>0</v>
      </c>
      <c r="N2342" t="n">
        <v>0</v>
      </c>
      <c r="O2342" t="n">
        <v>0</v>
      </c>
      <c r="P2342" t="n">
        <v>0</v>
      </c>
      <c r="Q2342" t="n">
        <v>0</v>
      </c>
      <c r="R2342" s="2" t="inlineStr"/>
    </row>
    <row r="2343" ht="15" customHeight="1">
      <c r="A2343" t="inlineStr">
        <is>
          <t>A 33886-2025</t>
        </is>
      </c>
      <c r="B2343" s="1" t="n">
        <v>45842.57224537037</v>
      </c>
      <c r="C2343" s="1" t="n">
        <v>46093</v>
      </c>
      <c r="D2343" t="inlineStr">
        <is>
          <t>VÄSTERNORRLANDS LÄN</t>
        </is>
      </c>
      <c r="E2343" t="inlineStr">
        <is>
          <t>ÖRNSKÖLDSVIK</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33041-2023</t>
        </is>
      </c>
      <c r="B2344" s="1" t="n">
        <v>45125</v>
      </c>
      <c r="C2344" s="1" t="n">
        <v>46093</v>
      </c>
      <c r="D2344" t="inlineStr">
        <is>
          <t>VÄSTERNORRLANDS LÄN</t>
        </is>
      </c>
      <c r="E2344" t="inlineStr">
        <is>
          <t>SUNDSVALL</t>
        </is>
      </c>
      <c r="F2344" t="inlineStr">
        <is>
          <t>SCA</t>
        </is>
      </c>
      <c r="G2344" t="n">
        <v>7.2</v>
      </c>
      <c r="H2344" t="n">
        <v>0</v>
      </c>
      <c r="I2344" t="n">
        <v>0</v>
      </c>
      <c r="J2344" t="n">
        <v>0</v>
      </c>
      <c r="K2344" t="n">
        <v>0</v>
      </c>
      <c r="L2344" t="n">
        <v>0</v>
      </c>
      <c r="M2344" t="n">
        <v>0</v>
      </c>
      <c r="N2344" t="n">
        <v>0</v>
      </c>
      <c r="O2344" t="n">
        <v>0</v>
      </c>
      <c r="P2344" t="n">
        <v>0</v>
      </c>
      <c r="Q2344" t="n">
        <v>0</v>
      </c>
      <c r="R2344" s="2" t="inlineStr"/>
    </row>
    <row r="2345" ht="15" customHeight="1">
      <c r="A2345" t="inlineStr">
        <is>
          <t>A 33044-2023</t>
        </is>
      </c>
      <c r="B2345" s="1" t="n">
        <v>45125</v>
      </c>
      <c r="C2345" s="1" t="n">
        <v>46093</v>
      </c>
      <c r="D2345" t="inlineStr">
        <is>
          <t>VÄSTERNORRLANDS LÄN</t>
        </is>
      </c>
      <c r="E2345" t="inlineStr">
        <is>
          <t>SUNDSVALL</t>
        </is>
      </c>
      <c r="F2345" t="inlineStr">
        <is>
          <t>SCA</t>
        </is>
      </c>
      <c r="G2345" t="n">
        <v>7.3</v>
      </c>
      <c r="H2345" t="n">
        <v>0</v>
      </c>
      <c r="I2345" t="n">
        <v>0</v>
      </c>
      <c r="J2345" t="n">
        <v>0</v>
      </c>
      <c r="K2345" t="n">
        <v>0</v>
      </c>
      <c r="L2345" t="n">
        <v>0</v>
      </c>
      <c r="M2345" t="n">
        <v>0</v>
      </c>
      <c r="N2345" t="n">
        <v>0</v>
      </c>
      <c r="O2345" t="n">
        <v>0</v>
      </c>
      <c r="P2345" t="n">
        <v>0</v>
      </c>
      <c r="Q2345" t="n">
        <v>0</v>
      </c>
      <c r="R2345" s="2" t="inlineStr"/>
    </row>
    <row r="2346" ht="15" customHeight="1">
      <c r="A2346" t="inlineStr">
        <is>
          <t>A 62507-2022</t>
        </is>
      </c>
      <c r="B2346" s="1" t="n">
        <v>44924</v>
      </c>
      <c r="C2346" s="1" t="n">
        <v>46093</v>
      </c>
      <c r="D2346" t="inlineStr">
        <is>
          <t>VÄSTERNORRLANDS LÄN</t>
        </is>
      </c>
      <c r="E2346" t="inlineStr">
        <is>
          <t>SOLLEFTEÅ</t>
        </is>
      </c>
      <c r="F2346" t="inlineStr">
        <is>
          <t>Holmen skog AB</t>
        </is>
      </c>
      <c r="G2346" t="n">
        <v>4.8</v>
      </c>
      <c r="H2346" t="n">
        <v>0</v>
      </c>
      <c r="I2346" t="n">
        <v>0</v>
      </c>
      <c r="J2346" t="n">
        <v>0</v>
      </c>
      <c r="K2346" t="n">
        <v>0</v>
      </c>
      <c r="L2346" t="n">
        <v>0</v>
      </c>
      <c r="M2346" t="n">
        <v>0</v>
      </c>
      <c r="N2346" t="n">
        <v>0</v>
      </c>
      <c r="O2346" t="n">
        <v>0</v>
      </c>
      <c r="P2346" t="n">
        <v>0</v>
      </c>
      <c r="Q2346" t="n">
        <v>0</v>
      </c>
      <c r="R2346" s="2" t="inlineStr"/>
    </row>
    <row r="2347" ht="15" customHeight="1">
      <c r="A2347" t="inlineStr">
        <is>
          <t>A 16088-2022</t>
        </is>
      </c>
      <c r="B2347" s="1" t="n">
        <v>44665</v>
      </c>
      <c r="C2347" s="1" t="n">
        <v>46093</v>
      </c>
      <c r="D2347" t="inlineStr">
        <is>
          <t>VÄSTERNORRLANDS LÄN</t>
        </is>
      </c>
      <c r="E2347" t="inlineStr">
        <is>
          <t>SOLLEFTEÅ</t>
        </is>
      </c>
      <c r="F2347" t="inlineStr">
        <is>
          <t>Holmen skog AB</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60935-2021</t>
        </is>
      </c>
      <c r="B2348" s="1" t="n">
        <v>44496</v>
      </c>
      <c r="C2348" s="1" t="n">
        <v>46093</v>
      </c>
      <c r="D2348" t="inlineStr">
        <is>
          <t>VÄSTERNORRLANDS LÄN</t>
        </is>
      </c>
      <c r="E2348" t="inlineStr">
        <is>
          <t>HÄRNÖSAND</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44727-2023</t>
        </is>
      </c>
      <c r="B2349" s="1" t="n">
        <v>45190</v>
      </c>
      <c r="C2349" s="1" t="n">
        <v>46093</v>
      </c>
      <c r="D2349" t="inlineStr">
        <is>
          <t>VÄSTERNORRLANDS LÄN</t>
        </is>
      </c>
      <c r="E2349" t="inlineStr">
        <is>
          <t>ÖRNSKÖLDSVIK</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39534-2021</t>
        </is>
      </c>
      <c r="B2350" s="1" t="n">
        <v>44415.93429398148</v>
      </c>
      <c r="C2350" s="1" t="n">
        <v>46093</v>
      </c>
      <c r="D2350" t="inlineStr">
        <is>
          <t>VÄSTERNORRLANDS LÄN</t>
        </is>
      </c>
      <c r="E2350" t="inlineStr">
        <is>
          <t>TIMRÅ</t>
        </is>
      </c>
      <c r="F2350" t="inlineStr">
        <is>
          <t>SCA</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70563-2021</t>
        </is>
      </c>
      <c r="B2351" s="1" t="n">
        <v>44532</v>
      </c>
      <c r="C2351" s="1" t="n">
        <v>46093</v>
      </c>
      <c r="D2351" t="inlineStr">
        <is>
          <t>VÄSTERNORRLANDS LÄN</t>
        </is>
      </c>
      <c r="E2351" t="inlineStr">
        <is>
          <t>HÄRNÖSAND</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16345-2021</t>
        </is>
      </c>
      <c r="B2352" s="1" t="n">
        <v>44292</v>
      </c>
      <c r="C2352" s="1" t="n">
        <v>46093</v>
      </c>
      <c r="D2352" t="inlineStr">
        <is>
          <t>VÄSTERNORRLANDS LÄN</t>
        </is>
      </c>
      <c r="E2352" t="inlineStr">
        <is>
          <t>KRAMFORS</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48541-2021</t>
        </is>
      </c>
      <c r="B2353" s="1" t="n">
        <v>44452</v>
      </c>
      <c r="C2353" s="1" t="n">
        <v>46093</v>
      </c>
      <c r="D2353" t="inlineStr">
        <is>
          <t>VÄSTERNORRLANDS LÄN</t>
        </is>
      </c>
      <c r="E2353" t="inlineStr">
        <is>
          <t>ÖRNSKÖLDSVIK</t>
        </is>
      </c>
      <c r="G2353" t="n">
        <v>4.1</v>
      </c>
      <c r="H2353" t="n">
        <v>0</v>
      </c>
      <c r="I2353" t="n">
        <v>0</v>
      </c>
      <c r="J2353" t="n">
        <v>0</v>
      </c>
      <c r="K2353" t="n">
        <v>0</v>
      </c>
      <c r="L2353" t="n">
        <v>0</v>
      </c>
      <c r="M2353" t="n">
        <v>0</v>
      </c>
      <c r="N2353" t="n">
        <v>0</v>
      </c>
      <c r="O2353" t="n">
        <v>0</v>
      </c>
      <c r="P2353" t="n">
        <v>0</v>
      </c>
      <c r="Q2353" t="n">
        <v>0</v>
      </c>
      <c r="R2353" s="2" t="inlineStr"/>
    </row>
    <row r="2354" ht="15" customHeight="1">
      <c r="A2354" t="inlineStr">
        <is>
          <t>A 23483-2021</t>
        </is>
      </c>
      <c r="B2354" s="1" t="n">
        <v>44333</v>
      </c>
      <c r="C2354" s="1" t="n">
        <v>46093</v>
      </c>
      <c r="D2354" t="inlineStr">
        <is>
          <t>VÄSTERNORRLANDS LÄN</t>
        </is>
      </c>
      <c r="E2354" t="inlineStr">
        <is>
          <t>KRAMFORS</t>
        </is>
      </c>
      <c r="F2354" t="inlineStr">
        <is>
          <t>SCA</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19510-2021</t>
        </is>
      </c>
      <c r="B2355" s="1" t="n">
        <v>44308</v>
      </c>
      <c r="C2355" s="1" t="n">
        <v>46093</v>
      </c>
      <c r="D2355" t="inlineStr">
        <is>
          <t>VÄSTERNORRLANDS LÄN</t>
        </is>
      </c>
      <c r="E2355" t="inlineStr">
        <is>
          <t>SOLLEFTEÅ</t>
        </is>
      </c>
      <c r="F2355" t="inlineStr">
        <is>
          <t>Kyrkan</t>
        </is>
      </c>
      <c r="G2355" t="n">
        <v>19.6</v>
      </c>
      <c r="H2355" t="n">
        <v>0</v>
      </c>
      <c r="I2355" t="n">
        <v>0</v>
      </c>
      <c r="J2355" t="n">
        <v>0</v>
      </c>
      <c r="K2355" t="n">
        <v>0</v>
      </c>
      <c r="L2355" t="n">
        <v>0</v>
      </c>
      <c r="M2355" t="n">
        <v>0</v>
      </c>
      <c r="N2355" t="n">
        <v>0</v>
      </c>
      <c r="O2355" t="n">
        <v>0</v>
      </c>
      <c r="P2355" t="n">
        <v>0</v>
      </c>
      <c r="Q2355" t="n">
        <v>0</v>
      </c>
      <c r="R2355" s="2" t="inlineStr"/>
    </row>
    <row r="2356" ht="15" customHeight="1">
      <c r="A2356" t="inlineStr">
        <is>
          <t>A 22752-2023</t>
        </is>
      </c>
      <c r="B2356" s="1" t="n">
        <v>45071.94104166667</v>
      </c>
      <c r="C2356" s="1" t="n">
        <v>46093</v>
      </c>
      <c r="D2356" t="inlineStr">
        <is>
          <t>VÄSTERNORRLANDS LÄN</t>
        </is>
      </c>
      <c r="E2356" t="inlineStr">
        <is>
          <t>ÅNGE</t>
        </is>
      </c>
      <c r="F2356" t="inlineStr">
        <is>
          <t>SCA</t>
        </is>
      </c>
      <c r="G2356" t="n">
        <v>4.6</v>
      </c>
      <c r="H2356" t="n">
        <v>0</v>
      </c>
      <c r="I2356" t="n">
        <v>0</v>
      </c>
      <c r="J2356" t="n">
        <v>0</v>
      </c>
      <c r="K2356" t="n">
        <v>0</v>
      </c>
      <c r="L2356" t="n">
        <v>0</v>
      </c>
      <c r="M2356" t="n">
        <v>0</v>
      </c>
      <c r="N2356" t="n">
        <v>0</v>
      </c>
      <c r="O2356" t="n">
        <v>0</v>
      </c>
      <c r="P2356" t="n">
        <v>0</v>
      </c>
      <c r="Q2356" t="n">
        <v>0</v>
      </c>
      <c r="R2356" s="2" t="inlineStr"/>
    </row>
    <row r="2357" ht="15" customHeight="1">
      <c r="A2357" t="inlineStr">
        <is>
          <t>A 47671-2022</t>
        </is>
      </c>
      <c r="B2357" s="1" t="n">
        <v>44854</v>
      </c>
      <c r="C2357" s="1" t="n">
        <v>46093</v>
      </c>
      <c r="D2357" t="inlineStr">
        <is>
          <t>VÄSTERNORRLANDS LÄN</t>
        </is>
      </c>
      <c r="E2357" t="inlineStr">
        <is>
          <t>ÖRNSKÖLDSVIK</t>
        </is>
      </c>
      <c r="F2357" t="inlineStr">
        <is>
          <t>Holmen skog AB</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52290-2021</t>
        </is>
      </c>
      <c r="B2358" s="1" t="n">
        <v>44463.66857638889</v>
      </c>
      <c r="C2358" s="1" t="n">
        <v>46093</v>
      </c>
      <c r="D2358" t="inlineStr">
        <is>
          <t>VÄSTERNORRLANDS LÄN</t>
        </is>
      </c>
      <c r="E2358" t="inlineStr">
        <is>
          <t>ÖRNSKÖLDSVIK</t>
        </is>
      </c>
      <c r="F2358" t="inlineStr">
        <is>
          <t>Holmen skog AB</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54857-2021</t>
        </is>
      </c>
      <c r="B2359" s="1" t="n">
        <v>44474.33015046296</v>
      </c>
      <c r="C2359" s="1" t="n">
        <v>46093</v>
      </c>
      <c r="D2359" t="inlineStr">
        <is>
          <t>VÄSTERNORRLANDS LÄN</t>
        </is>
      </c>
      <c r="E2359" t="inlineStr">
        <is>
          <t>KRAMFORS</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70690-2021</t>
        </is>
      </c>
      <c r="B2360" s="1" t="n">
        <v>44537</v>
      </c>
      <c r="C2360" s="1" t="n">
        <v>46093</v>
      </c>
      <c r="D2360" t="inlineStr">
        <is>
          <t>VÄSTERNORRLANDS LÄN</t>
        </is>
      </c>
      <c r="E2360" t="inlineStr">
        <is>
          <t>SUNDSVALL</t>
        </is>
      </c>
      <c r="G2360" t="n">
        <v>8.1</v>
      </c>
      <c r="H2360" t="n">
        <v>0</v>
      </c>
      <c r="I2360" t="n">
        <v>0</v>
      </c>
      <c r="J2360" t="n">
        <v>0</v>
      </c>
      <c r="K2360" t="n">
        <v>0</v>
      </c>
      <c r="L2360" t="n">
        <v>0</v>
      </c>
      <c r="M2360" t="n">
        <v>0</v>
      </c>
      <c r="N2360" t="n">
        <v>0</v>
      </c>
      <c r="O2360" t="n">
        <v>0</v>
      </c>
      <c r="P2360" t="n">
        <v>0</v>
      </c>
      <c r="Q2360" t="n">
        <v>0</v>
      </c>
      <c r="R2360" s="2" t="inlineStr"/>
    </row>
    <row r="2361" ht="15" customHeight="1">
      <c r="A2361" t="inlineStr">
        <is>
          <t>A 12739-2025</t>
        </is>
      </c>
      <c r="B2361" s="1" t="n">
        <v>45733.54219907407</v>
      </c>
      <c r="C2361" s="1" t="n">
        <v>46093</v>
      </c>
      <c r="D2361" t="inlineStr">
        <is>
          <t>VÄSTERNORRLANDS LÄN</t>
        </is>
      </c>
      <c r="E2361" t="inlineStr">
        <is>
          <t>ÖRNSKÖLDSVIK</t>
        </is>
      </c>
      <c r="G2361" t="n">
        <v>8.300000000000001</v>
      </c>
      <c r="H2361" t="n">
        <v>0</v>
      </c>
      <c r="I2361" t="n">
        <v>0</v>
      </c>
      <c r="J2361" t="n">
        <v>0</v>
      </c>
      <c r="K2361" t="n">
        <v>0</v>
      </c>
      <c r="L2361" t="n">
        <v>0</v>
      </c>
      <c r="M2361" t="n">
        <v>0</v>
      </c>
      <c r="N2361" t="n">
        <v>0</v>
      </c>
      <c r="O2361" t="n">
        <v>0</v>
      </c>
      <c r="P2361" t="n">
        <v>0</v>
      </c>
      <c r="Q2361" t="n">
        <v>0</v>
      </c>
      <c r="R2361" s="2" t="inlineStr"/>
    </row>
    <row r="2362" ht="15" customHeight="1">
      <c r="A2362" t="inlineStr">
        <is>
          <t>A 18422-2021</t>
        </is>
      </c>
      <c r="B2362" s="1" t="n">
        <v>44305</v>
      </c>
      <c r="C2362" s="1" t="n">
        <v>46093</v>
      </c>
      <c r="D2362" t="inlineStr">
        <is>
          <t>VÄSTERNORRLANDS LÄN</t>
        </is>
      </c>
      <c r="E2362" t="inlineStr">
        <is>
          <t>ÅNGE</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13638-2021</t>
        </is>
      </c>
      <c r="B2363" s="1" t="n">
        <v>44274</v>
      </c>
      <c r="C2363" s="1" t="n">
        <v>46093</v>
      </c>
      <c r="D2363" t="inlineStr">
        <is>
          <t>VÄSTERNORRLANDS LÄN</t>
        </is>
      </c>
      <c r="E2363" t="inlineStr">
        <is>
          <t>ÖRNSKÖLDSVIK</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67834-2021</t>
        </is>
      </c>
      <c r="B2364" s="1" t="n">
        <v>44525.45952546296</v>
      </c>
      <c r="C2364" s="1" t="n">
        <v>46093</v>
      </c>
      <c r="D2364" t="inlineStr">
        <is>
          <t>VÄSTERNORRLANDS LÄN</t>
        </is>
      </c>
      <c r="E2364" t="inlineStr">
        <is>
          <t>ÖRNSKÖLDSVIK</t>
        </is>
      </c>
      <c r="F2364" t="inlineStr">
        <is>
          <t>Holmen skog AB</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41334-2021</t>
        </is>
      </c>
      <c r="B2365" s="1" t="n">
        <v>44424</v>
      </c>
      <c r="C2365" s="1" t="n">
        <v>46093</v>
      </c>
      <c r="D2365" t="inlineStr">
        <is>
          <t>VÄSTERNORRLANDS LÄN</t>
        </is>
      </c>
      <c r="E2365" t="inlineStr">
        <is>
          <t>SOLLEFTEÅ</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52062-2021</t>
        </is>
      </c>
      <c r="B2366" s="1" t="n">
        <v>44463.38034722222</v>
      </c>
      <c r="C2366" s="1" t="n">
        <v>46093</v>
      </c>
      <c r="D2366" t="inlineStr">
        <is>
          <t>VÄSTERNORRLANDS LÄN</t>
        </is>
      </c>
      <c r="E2366" t="inlineStr">
        <is>
          <t>ÖRNSKÖLDSVIK</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30118-2021</t>
        </is>
      </c>
      <c r="B2367" s="1" t="n">
        <v>44363</v>
      </c>
      <c r="C2367" s="1" t="n">
        <v>46093</v>
      </c>
      <c r="D2367" t="inlineStr">
        <is>
          <t>VÄSTERNORRLANDS LÄN</t>
        </is>
      </c>
      <c r="E2367" t="inlineStr">
        <is>
          <t>ÖRNSKÖLDSVIK</t>
        </is>
      </c>
      <c r="G2367" t="n">
        <v>10.4</v>
      </c>
      <c r="H2367" t="n">
        <v>0</v>
      </c>
      <c r="I2367" t="n">
        <v>0</v>
      </c>
      <c r="J2367" t="n">
        <v>0</v>
      </c>
      <c r="K2367" t="n">
        <v>0</v>
      </c>
      <c r="L2367" t="n">
        <v>0</v>
      </c>
      <c r="M2367" t="n">
        <v>0</v>
      </c>
      <c r="N2367" t="n">
        <v>0</v>
      </c>
      <c r="O2367" t="n">
        <v>0</v>
      </c>
      <c r="P2367" t="n">
        <v>0</v>
      </c>
      <c r="Q2367" t="n">
        <v>0</v>
      </c>
      <c r="R2367" s="2" t="inlineStr"/>
    </row>
    <row r="2368" ht="15" customHeight="1">
      <c r="A2368" t="inlineStr">
        <is>
          <t>A 58475-2021</t>
        </is>
      </c>
      <c r="B2368" s="1" t="n">
        <v>44488</v>
      </c>
      <c r="C2368" s="1" t="n">
        <v>46093</v>
      </c>
      <c r="D2368" t="inlineStr">
        <is>
          <t>VÄSTERNORRLANDS LÄN</t>
        </is>
      </c>
      <c r="E2368" t="inlineStr">
        <is>
          <t>ÖRNSKÖLDSVIK</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70899-2021</t>
        </is>
      </c>
      <c r="B2369" s="1" t="n">
        <v>44537</v>
      </c>
      <c r="C2369" s="1" t="n">
        <v>46093</v>
      </c>
      <c r="D2369" t="inlineStr">
        <is>
          <t>VÄSTERNORRLANDS LÄN</t>
        </is>
      </c>
      <c r="E2369" t="inlineStr">
        <is>
          <t>ÅNGE</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20134-2025</t>
        </is>
      </c>
      <c r="B2370" s="1" t="n">
        <v>45772.51105324074</v>
      </c>
      <c r="C2370" s="1" t="n">
        <v>46093</v>
      </c>
      <c r="D2370" t="inlineStr">
        <is>
          <t>VÄSTERNORRLANDS LÄN</t>
        </is>
      </c>
      <c r="E2370" t="inlineStr">
        <is>
          <t>SUNDSVALL</t>
        </is>
      </c>
      <c r="F2370" t="inlineStr">
        <is>
          <t>Naturvårdsverket</t>
        </is>
      </c>
      <c r="G2370" t="n">
        <v>9.5</v>
      </c>
      <c r="H2370" t="n">
        <v>0</v>
      </c>
      <c r="I2370" t="n">
        <v>0</v>
      </c>
      <c r="J2370" t="n">
        <v>0</v>
      </c>
      <c r="K2370" t="n">
        <v>0</v>
      </c>
      <c r="L2370" t="n">
        <v>0</v>
      </c>
      <c r="M2370" t="n">
        <v>0</v>
      </c>
      <c r="N2370" t="n">
        <v>0</v>
      </c>
      <c r="O2370" t="n">
        <v>0</v>
      </c>
      <c r="P2370" t="n">
        <v>0</v>
      </c>
      <c r="Q2370" t="n">
        <v>0</v>
      </c>
      <c r="R2370" s="2" t="inlineStr"/>
    </row>
    <row r="2371" ht="15" customHeight="1">
      <c r="A2371" t="inlineStr">
        <is>
          <t>A 49842-2024</t>
        </is>
      </c>
      <c r="B2371" s="1" t="n">
        <v>45597.44688657407</v>
      </c>
      <c r="C2371" s="1" t="n">
        <v>46093</v>
      </c>
      <c r="D2371" t="inlineStr">
        <is>
          <t>VÄSTERNORRLANDS LÄN</t>
        </is>
      </c>
      <c r="E2371" t="inlineStr">
        <is>
          <t>ÖRNSKÖLDSVIK</t>
        </is>
      </c>
      <c r="F2371" t="inlineStr">
        <is>
          <t>Holmen skog AB</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46824-2021</t>
        </is>
      </c>
      <c r="B2372" s="1" t="n">
        <v>44446.34271990741</v>
      </c>
      <c r="C2372" s="1" t="n">
        <v>46093</v>
      </c>
      <c r="D2372" t="inlineStr">
        <is>
          <t>VÄSTERNORRLANDS LÄN</t>
        </is>
      </c>
      <c r="E2372" t="inlineStr">
        <is>
          <t>ÅNGE</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44404-2022</t>
        </is>
      </c>
      <c r="B2373" s="1" t="n">
        <v>44838</v>
      </c>
      <c r="C2373" s="1" t="n">
        <v>46093</v>
      </c>
      <c r="D2373" t="inlineStr">
        <is>
          <t>VÄSTERNORRLANDS LÄN</t>
        </is>
      </c>
      <c r="E2373" t="inlineStr">
        <is>
          <t>SUNDSVALL</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44405-2022</t>
        </is>
      </c>
      <c r="B2374" s="1" t="n">
        <v>44838</v>
      </c>
      <c r="C2374" s="1" t="n">
        <v>46093</v>
      </c>
      <c r="D2374" t="inlineStr">
        <is>
          <t>VÄSTERNORRLANDS LÄN</t>
        </is>
      </c>
      <c r="E2374" t="inlineStr">
        <is>
          <t>SUNDSVALL</t>
        </is>
      </c>
      <c r="G2374" t="n">
        <v>0.2</v>
      </c>
      <c r="H2374" t="n">
        <v>0</v>
      </c>
      <c r="I2374" t="n">
        <v>0</v>
      </c>
      <c r="J2374" t="n">
        <v>0</v>
      </c>
      <c r="K2374" t="n">
        <v>0</v>
      </c>
      <c r="L2374" t="n">
        <v>0</v>
      </c>
      <c r="M2374" t="n">
        <v>0</v>
      </c>
      <c r="N2374" t="n">
        <v>0</v>
      </c>
      <c r="O2374" t="n">
        <v>0</v>
      </c>
      <c r="P2374" t="n">
        <v>0</v>
      </c>
      <c r="Q2374" t="n">
        <v>0</v>
      </c>
      <c r="R2374" s="2" t="inlineStr"/>
    </row>
    <row r="2375" ht="15" customHeight="1">
      <c r="A2375" t="inlineStr">
        <is>
          <t>A 44409-2022</t>
        </is>
      </c>
      <c r="B2375" s="1" t="n">
        <v>44839.88365740741</v>
      </c>
      <c r="C2375" s="1" t="n">
        <v>46093</v>
      </c>
      <c r="D2375" t="inlineStr">
        <is>
          <t>VÄSTERNORRLANDS LÄN</t>
        </is>
      </c>
      <c r="E2375" t="inlineStr">
        <is>
          <t>SUNDSVALL</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60779-2024</t>
        </is>
      </c>
      <c r="B2376" s="1" t="n">
        <v>45644</v>
      </c>
      <c r="C2376" s="1" t="n">
        <v>46093</v>
      </c>
      <c r="D2376" t="inlineStr">
        <is>
          <t>VÄSTERNORRLANDS LÄN</t>
        </is>
      </c>
      <c r="E2376" t="inlineStr">
        <is>
          <t>ÅNGE</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74194-2021</t>
        </is>
      </c>
      <c r="B2377" s="1" t="n">
        <v>44558.47333333334</v>
      </c>
      <c r="C2377" s="1" t="n">
        <v>46093</v>
      </c>
      <c r="D2377" t="inlineStr">
        <is>
          <t>VÄSTERNORRLANDS LÄN</t>
        </is>
      </c>
      <c r="E2377" t="inlineStr">
        <is>
          <t>ÅNGE</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19814-2022</t>
        </is>
      </c>
      <c r="B2378" s="1" t="n">
        <v>44694.93945601852</v>
      </c>
      <c r="C2378" s="1" t="n">
        <v>46093</v>
      </c>
      <c r="D2378" t="inlineStr">
        <is>
          <t>VÄSTERNORRLANDS LÄN</t>
        </is>
      </c>
      <c r="E2378" t="inlineStr">
        <is>
          <t>SOLLEFTEÅ</t>
        </is>
      </c>
      <c r="F2378" t="inlineStr">
        <is>
          <t>SCA</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59660-2021</t>
        </is>
      </c>
      <c r="B2379" s="1" t="n">
        <v>44494</v>
      </c>
      <c r="C2379" s="1" t="n">
        <v>46093</v>
      </c>
      <c r="D2379" t="inlineStr">
        <is>
          <t>VÄSTERNORRLANDS LÄN</t>
        </is>
      </c>
      <c r="E2379" t="inlineStr">
        <is>
          <t>ÖRNSKÖLDSVIK</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26588-2021</t>
        </is>
      </c>
      <c r="B2380" s="1" t="n">
        <v>44348</v>
      </c>
      <c r="C2380" s="1" t="n">
        <v>46093</v>
      </c>
      <c r="D2380" t="inlineStr">
        <is>
          <t>VÄSTERNORRLANDS LÄN</t>
        </is>
      </c>
      <c r="E2380" t="inlineStr">
        <is>
          <t>TIMRÅ</t>
        </is>
      </c>
      <c r="F2380" t="inlineStr">
        <is>
          <t>Kyrkan</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44022-2023</t>
        </is>
      </c>
      <c r="B2381" s="1" t="n">
        <v>45188.34800925926</v>
      </c>
      <c r="C2381" s="1" t="n">
        <v>46093</v>
      </c>
      <c r="D2381" t="inlineStr">
        <is>
          <t>VÄSTERNORRLANDS LÄN</t>
        </is>
      </c>
      <c r="E2381" t="inlineStr">
        <is>
          <t>SUNDSVALL</t>
        </is>
      </c>
      <c r="G2381" t="n">
        <v>3.3</v>
      </c>
      <c r="H2381" t="n">
        <v>0</v>
      </c>
      <c r="I2381" t="n">
        <v>0</v>
      </c>
      <c r="J2381" t="n">
        <v>0</v>
      </c>
      <c r="K2381" t="n">
        <v>0</v>
      </c>
      <c r="L2381" t="n">
        <v>0</v>
      </c>
      <c r="M2381" t="n">
        <v>0</v>
      </c>
      <c r="N2381" t="n">
        <v>0</v>
      </c>
      <c r="O2381" t="n">
        <v>0</v>
      </c>
      <c r="P2381" t="n">
        <v>0</v>
      </c>
      <c r="Q2381" t="n">
        <v>0</v>
      </c>
      <c r="R2381" s="2" t="inlineStr"/>
    </row>
    <row r="2382" ht="15" customHeight="1">
      <c r="A2382" t="inlineStr">
        <is>
          <t>A 68391-2021</t>
        </is>
      </c>
      <c r="B2382" s="1" t="n">
        <v>44526</v>
      </c>
      <c r="C2382" s="1" t="n">
        <v>46093</v>
      </c>
      <c r="D2382" t="inlineStr">
        <is>
          <t>VÄSTERNORRLANDS LÄN</t>
        </is>
      </c>
      <c r="E2382" t="inlineStr">
        <is>
          <t>TIMRÅ</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34447-2025</t>
        </is>
      </c>
      <c r="B2383" s="1" t="n">
        <v>45845</v>
      </c>
      <c r="C2383" s="1" t="n">
        <v>46093</v>
      </c>
      <c r="D2383" t="inlineStr">
        <is>
          <t>VÄSTERNORRLANDS LÄN</t>
        </is>
      </c>
      <c r="E2383" t="inlineStr">
        <is>
          <t>ÖRNSKÖLDSVIK</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28428-2023</t>
        </is>
      </c>
      <c r="B2384" s="1" t="n">
        <v>45102</v>
      </c>
      <c r="C2384" s="1" t="n">
        <v>46093</v>
      </c>
      <c r="D2384" t="inlineStr">
        <is>
          <t>VÄSTERNORRLANDS LÄN</t>
        </is>
      </c>
      <c r="E2384" t="inlineStr">
        <is>
          <t>ÅNGE</t>
        </is>
      </c>
      <c r="F2384" t="inlineStr">
        <is>
          <t>Kyrkan</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28467-2023</t>
        </is>
      </c>
      <c r="B2385" s="1" t="n">
        <v>45103</v>
      </c>
      <c r="C2385" s="1" t="n">
        <v>46093</v>
      </c>
      <c r="D2385" t="inlineStr">
        <is>
          <t>VÄSTERNORRLANDS LÄN</t>
        </is>
      </c>
      <c r="E2385" t="inlineStr">
        <is>
          <t>ÖRNSKÖLDSVIK</t>
        </is>
      </c>
      <c r="G2385" t="n">
        <v>8.1</v>
      </c>
      <c r="H2385" t="n">
        <v>0</v>
      </c>
      <c r="I2385" t="n">
        <v>0</v>
      </c>
      <c r="J2385" t="n">
        <v>0</v>
      </c>
      <c r="K2385" t="n">
        <v>0</v>
      </c>
      <c r="L2385" t="n">
        <v>0</v>
      </c>
      <c r="M2385" t="n">
        <v>0</v>
      </c>
      <c r="N2385" t="n">
        <v>0</v>
      </c>
      <c r="O2385" t="n">
        <v>0</v>
      </c>
      <c r="P2385" t="n">
        <v>0</v>
      </c>
      <c r="Q2385" t="n">
        <v>0</v>
      </c>
      <c r="R2385" s="2" t="inlineStr"/>
    </row>
    <row r="2386" ht="15" customHeight="1">
      <c r="A2386" t="inlineStr">
        <is>
          <t>A 3532-2022</t>
        </is>
      </c>
      <c r="B2386" s="1" t="n">
        <v>44585.89016203704</v>
      </c>
      <c r="C2386" s="1" t="n">
        <v>46093</v>
      </c>
      <c r="D2386" t="inlineStr">
        <is>
          <t>VÄSTERNORRLANDS LÄN</t>
        </is>
      </c>
      <c r="E2386" t="inlineStr">
        <is>
          <t>HÄRNÖSAND</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43366-2024</t>
        </is>
      </c>
      <c r="B2387" s="1" t="n">
        <v>45568</v>
      </c>
      <c r="C2387" s="1" t="n">
        <v>46093</v>
      </c>
      <c r="D2387" t="inlineStr">
        <is>
          <t>VÄSTERNORRLANDS LÄN</t>
        </is>
      </c>
      <c r="E2387" t="inlineStr">
        <is>
          <t>ÅNGE</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22749-2022</t>
        </is>
      </c>
      <c r="B2388" s="1" t="n">
        <v>44714</v>
      </c>
      <c r="C2388" s="1" t="n">
        <v>46093</v>
      </c>
      <c r="D2388" t="inlineStr">
        <is>
          <t>VÄSTERNORRLANDS LÄN</t>
        </is>
      </c>
      <c r="E2388" t="inlineStr">
        <is>
          <t>ÖRNSKÖLDSVIK</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43373-2024</t>
        </is>
      </c>
      <c r="B2389" s="1" t="n">
        <v>45568.58913194444</v>
      </c>
      <c r="C2389" s="1" t="n">
        <v>46093</v>
      </c>
      <c r="D2389" t="inlineStr">
        <is>
          <t>VÄSTERNORRLANDS LÄN</t>
        </is>
      </c>
      <c r="E2389" t="inlineStr">
        <is>
          <t>ÖRNSKÖLDSVIK</t>
        </is>
      </c>
      <c r="F2389" t="inlineStr">
        <is>
          <t>Holmen skog AB</t>
        </is>
      </c>
      <c r="G2389" t="n">
        <v>6.1</v>
      </c>
      <c r="H2389" t="n">
        <v>0</v>
      </c>
      <c r="I2389" t="n">
        <v>0</v>
      </c>
      <c r="J2389" t="n">
        <v>0</v>
      </c>
      <c r="K2389" t="n">
        <v>0</v>
      </c>
      <c r="L2389" t="n">
        <v>0</v>
      </c>
      <c r="M2389" t="n">
        <v>0</v>
      </c>
      <c r="N2389" t="n">
        <v>0</v>
      </c>
      <c r="O2389" t="n">
        <v>0</v>
      </c>
      <c r="P2389" t="n">
        <v>0</v>
      </c>
      <c r="Q2389" t="n">
        <v>0</v>
      </c>
      <c r="R2389" s="2" t="inlineStr"/>
    </row>
    <row r="2390" ht="15" customHeight="1">
      <c r="A2390" t="inlineStr">
        <is>
          <t>A 22139-2023</t>
        </is>
      </c>
      <c r="B2390" s="1" t="n">
        <v>45068</v>
      </c>
      <c r="C2390" s="1" t="n">
        <v>46093</v>
      </c>
      <c r="D2390" t="inlineStr">
        <is>
          <t>VÄSTERNORRLANDS LÄN</t>
        </is>
      </c>
      <c r="E2390" t="inlineStr">
        <is>
          <t>SUNDSVALL</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62089-2022</t>
        </is>
      </c>
      <c r="B2391" s="1" t="n">
        <v>44919</v>
      </c>
      <c r="C2391" s="1" t="n">
        <v>46093</v>
      </c>
      <c r="D2391" t="inlineStr">
        <is>
          <t>VÄSTERNORRLANDS LÄN</t>
        </is>
      </c>
      <c r="E2391" t="inlineStr">
        <is>
          <t>ÖRNSKÖLDSVIK</t>
        </is>
      </c>
      <c r="G2391" t="n">
        <v>24.7</v>
      </c>
      <c r="H2391" t="n">
        <v>0</v>
      </c>
      <c r="I2391" t="n">
        <v>0</v>
      </c>
      <c r="J2391" t="n">
        <v>0</v>
      </c>
      <c r="K2391" t="n">
        <v>0</v>
      </c>
      <c r="L2391" t="n">
        <v>0</v>
      </c>
      <c r="M2391" t="n">
        <v>0</v>
      </c>
      <c r="N2391" t="n">
        <v>0</v>
      </c>
      <c r="O2391" t="n">
        <v>0</v>
      </c>
      <c r="P2391" t="n">
        <v>0</v>
      </c>
      <c r="Q2391" t="n">
        <v>0</v>
      </c>
      <c r="R2391" s="2" t="inlineStr"/>
    </row>
    <row r="2392" ht="15" customHeight="1">
      <c r="A2392" t="inlineStr">
        <is>
          <t>A 34053-2022</t>
        </is>
      </c>
      <c r="B2392" s="1" t="n">
        <v>44790</v>
      </c>
      <c r="C2392" s="1" t="n">
        <v>46093</v>
      </c>
      <c r="D2392" t="inlineStr">
        <is>
          <t>VÄSTERNORRLANDS LÄN</t>
        </is>
      </c>
      <c r="E2392" t="inlineStr">
        <is>
          <t>TIMRÅ</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20517-2022</t>
        </is>
      </c>
      <c r="B2393" s="1" t="n">
        <v>44699.92630787037</v>
      </c>
      <c r="C2393" s="1" t="n">
        <v>46093</v>
      </c>
      <c r="D2393" t="inlineStr">
        <is>
          <t>VÄSTERNORRLANDS LÄN</t>
        </is>
      </c>
      <c r="E2393" t="inlineStr">
        <is>
          <t>SUNDSVALL</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65317-2021</t>
        </is>
      </c>
      <c r="B2394" s="1" t="n">
        <v>44515.62831018519</v>
      </c>
      <c r="C2394" s="1" t="n">
        <v>46093</v>
      </c>
      <c r="D2394" t="inlineStr">
        <is>
          <t>VÄSTERNORRLANDS LÄN</t>
        </is>
      </c>
      <c r="E2394" t="inlineStr">
        <is>
          <t>ÖRNSKÖLDSVIK</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5001-2023</t>
        </is>
      </c>
      <c r="B2395" s="1" t="n">
        <v>44956</v>
      </c>
      <c r="C2395" s="1" t="n">
        <v>46093</v>
      </c>
      <c r="D2395" t="inlineStr">
        <is>
          <t>VÄSTERNORRLANDS LÄN</t>
        </is>
      </c>
      <c r="E2395" t="inlineStr">
        <is>
          <t>SOLLEFTEÅ</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58290-2022</t>
        </is>
      </c>
      <c r="B2396" s="1" t="n">
        <v>44901.50284722223</v>
      </c>
      <c r="C2396" s="1" t="n">
        <v>46093</v>
      </c>
      <c r="D2396" t="inlineStr">
        <is>
          <t>VÄSTERNORRLANDS LÄN</t>
        </is>
      </c>
      <c r="E2396" t="inlineStr">
        <is>
          <t>SUNDSVALL</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52029-2022</t>
        </is>
      </c>
      <c r="B2397" s="1" t="n">
        <v>44872.95721064815</v>
      </c>
      <c r="C2397" s="1" t="n">
        <v>46093</v>
      </c>
      <c r="D2397" t="inlineStr">
        <is>
          <t>VÄSTERNORRLANDS LÄN</t>
        </is>
      </c>
      <c r="E2397" t="inlineStr">
        <is>
          <t>SUNDSVALL</t>
        </is>
      </c>
      <c r="F2397" t="inlineStr">
        <is>
          <t>SCA</t>
        </is>
      </c>
      <c r="G2397" t="n">
        <v>3.6</v>
      </c>
      <c r="H2397" t="n">
        <v>0</v>
      </c>
      <c r="I2397" t="n">
        <v>0</v>
      </c>
      <c r="J2397" t="n">
        <v>0</v>
      </c>
      <c r="K2397" t="n">
        <v>0</v>
      </c>
      <c r="L2397" t="n">
        <v>0</v>
      </c>
      <c r="M2397" t="n">
        <v>0</v>
      </c>
      <c r="N2397" t="n">
        <v>0</v>
      </c>
      <c r="O2397" t="n">
        <v>0</v>
      </c>
      <c r="P2397" t="n">
        <v>0</v>
      </c>
      <c r="Q2397" t="n">
        <v>0</v>
      </c>
      <c r="R2397" s="2" t="inlineStr"/>
    </row>
    <row r="2398" ht="15" customHeight="1">
      <c r="A2398" t="inlineStr">
        <is>
          <t>A 12779-2022</t>
        </is>
      </c>
      <c r="B2398" s="1" t="n">
        <v>44641</v>
      </c>
      <c r="C2398" s="1" t="n">
        <v>46093</v>
      </c>
      <c r="D2398" t="inlineStr">
        <is>
          <t>VÄSTERNORRLANDS LÄN</t>
        </is>
      </c>
      <c r="E2398" t="inlineStr">
        <is>
          <t>TIMRÅ</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33698-2021</t>
        </is>
      </c>
      <c r="B2399" s="1" t="n">
        <v>44378</v>
      </c>
      <c r="C2399" s="1" t="n">
        <v>46093</v>
      </c>
      <c r="D2399" t="inlineStr">
        <is>
          <t>VÄSTERNORRLANDS LÄN</t>
        </is>
      </c>
      <c r="E2399" t="inlineStr">
        <is>
          <t>ÖRNSKÖLDSVIK</t>
        </is>
      </c>
      <c r="G2399" t="n">
        <v>4.2</v>
      </c>
      <c r="H2399" t="n">
        <v>0</v>
      </c>
      <c r="I2399" t="n">
        <v>0</v>
      </c>
      <c r="J2399" t="n">
        <v>0</v>
      </c>
      <c r="K2399" t="n">
        <v>0</v>
      </c>
      <c r="L2399" t="n">
        <v>0</v>
      </c>
      <c r="M2399" t="n">
        <v>0</v>
      </c>
      <c r="N2399" t="n">
        <v>0</v>
      </c>
      <c r="O2399" t="n">
        <v>0</v>
      </c>
      <c r="P2399" t="n">
        <v>0</v>
      </c>
      <c r="Q2399" t="n">
        <v>0</v>
      </c>
      <c r="R2399" s="2" t="inlineStr"/>
    </row>
    <row r="2400" ht="15" customHeight="1">
      <c r="A2400" t="inlineStr">
        <is>
          <t>A 2823-2022</t>
        </is>
      </c>
      <c r="B2400" s="1" t="n">
        <v>44581.41922453704</v>
      </c>
      <c r="C2400" s="1" t="n">
        <v>46093</v>
      </c>
      <c r="D2400" t="inlineStr">
        <is>
          <t>VÄSTERNORRLANDS LÄN</t>
        </is>
      </c>
      <c r="E2400" t="inlineStr">
        <is>
          <t>KRAMFORS</t>
        </is>
      </c>
      <c r="G2400" t="n">
        <v>4.3</v>
      </c>
      <c r="H2400" t="n">
        <v>0</v>
      </c>
      <c r="I2400" t="n">
        <v>0</v>
      </c>
      <c r="J2400" t="n">
        <v>0</v>
      </c>
      <c r="K2400" t="n">
        <v>0</v>
      </c>
      <c r="L2400" t="n">
        <v>0</v>
      </c>
      <c r="M2400" t="n">
        <v>0</v>
      </c>
      <c r="N2400" t="n">
        <v>0</v>
      </c>
      <c r="O2400" t="n">
        <v>0</v>
      </c>
      <c r="P2400" t="n">
        <v>0</v>
      </c>
      <c r="Q2400" t="n">
        <v>0</v>
      </c>
      <c r="R2400" s="2" t="inlineStr"/>
    </row>
    <row r="2401" ht="15" customHeight="1">
      <c r="A2401" t="inlineStr">
        <is>
          <t>A 62636-2021</t>
        </is>
      </c>
      <c r="B2401" s="1" t="n">
        <v>44503</v>
      </c>
      <c r="C2401" s="1" t="n">
        <v>46093</v>
      </c>
      <c r="D2401" t="inlineStr">
        <is>
          <t>VÄSTERNORRLANDS LÄN</t>
        </is>
      </c>
      <c r="E2401" t="inlineStr">
        <is>
          <t>ÖRNSKÖLDSVIK</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11653-2022</t>
        </is>
      </c>
      <c r="B2402" s="1" t="n">
        <v>44631</v>
      </c>
      <c r="C2402" s="1" t="n">
        <v>46093</v>
      </c>
      <c r="D2402" t="inlineStr">
        <is>
          <t>VÄSTERNORRLANDS LÄN</t>
        </is>
      </c>
      <c r="E2402" t="inlineStr">
        <is>
          <t>SOLLEFTEÅ</t>
        </is>
      </c>
      <c r="F2402" t="inlineStr">
        <is>
          <t>SCA</t>
        </is>
      </c>
      <c r="G2402" t="n">
        <v>6.4</v>
      </c>
      <c r="H2402" t="n">
        <v>0</v>
      </c>
      <c r="I2402" t="n">
        <v>0</v>
      </c>
      <c r="J2402" t="n">
        <v>0</v>
      </c>
      <c r="K2402" t="n">
        <v>0</v>
      </c>
      <c r="L2402" t="n">
        <v>0</v>
      </c>
      <c r="M2402" t="n">
        <v>0</v>
      </c>
      <c r="N2402" t="n">
        <v>0</v>
      </c>
      <c r="O2402" t="n">
        <v>0</v>
      </c>
      <c r="P2402" t="n">
        <v>0</v>
      </c>
      <c r="Q2402" t="n">
        <v>0</v>
      </c>
      <c r="R2402" s="2" t="inlineStr"/>
    </row>
    <row r="2403" ht="15" customHeight="1">
      <c r="A2403" t="inlineStr">
        <is>
          <t>A 13641-2022</t>
        </is>
      </c>
      <c r="B2403" s="1" t="n">
        <v>44648</v>
      </c>
      <c r="C2403" s="1" t="n">
        <v>46093</v>
      </c>
      <c r="D2403" t="inlineStr">
        <is>
          <t>VÄSTERNORRLANDS LÄN</t>
        </is>
      </c>
      <c r="E2403" t="inlineStr">
        <is>
          <t>ÅNGE</t>
        </is>
      </c>
      <c r="G2403" t="n">
        <v>4.9</v>
      </c>
      <c r="H2403" t="n">
        <v>0</v>
      </c>
      <c r="I2403" t="n">
        <v>0</v>
      </c>
      <c r="J2403" t="n">
        <v>0</v>
      </c>
      <c r="K2403" t="n">
        <v>0</v>
      </c>
      <c r="L2403" t="n">
        <v>0</v>
      </c>
      <c r="M2403" t="n">
        <v>0</v>
      </c>
      <c r="N2403" t="n">
        <v>0</v>
      </c>
      <c r="O2403" t="n">
        <v>0</v>
      </c>
      <c r="P2403" t="n">
        <v>0</v>
      </c>
      <c r="Q2403" t="n">
        <v>0</v>
      </c>
      <c r="R2403" s="2" t="inlineStr"/>
    </row>
    <row r="2404" ht="15" customHeight="1">
      <c r="A2404" t="inlineStr">
        <is>
          <t>A 66409-2021</t>
        </is>
      </c>
      <c r="B2404" s="1" t="n">
        <v>44518</v>
      </c>
      <c r="C2404" s="1" t="n">
        <v>46093</v>
      </c>
      <c r="D2404" t="inlineStr">
        <is>
          <t>VÄSTERNORRLANDS LÄN</t>
        </is>
      </c>
      <c r="E2404" t="inlineStr">
        <is>
          <t>TIMRÅ</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30591-2021</t>
        </is>
      </c>
      <c r="B2405" s="1" t="n">
        <v>44364</v>
      </c>
      <c r="C2405" s="1" t="n">
        <v>46093</v>
      </c>
      <c r="D2405" t="inlineStr">
        <is>
          <t>VÄSTERNORRLANDS LÄN</t>
        </is>
      </c>
      <c r="E2405" t="inlineStr">
        <is>
          <t>TIMRÅ</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30598-2021</t>
        </is>
      </c>
      <c r="B2406" s="1" t="n">
        <v>44364</v>
      </c>
      <c r="C2406" s="1" t="n">
        <v>46093</v>
      </c>
      <c r="D2406" t="inlineStr">
        <is>
          <t>VÄSTERNORRLANDS LÄN</t>
        </is>
      </c>
      <c r="E2406" t="inlineStr">
        <is>
          <t>ÖRNSKÖLDSVIK</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72876-2021</t>
        </is>
      </c>
      <c r="B2407" s="1" t="n">
        <v>44547.55855324074</v>
      </c>
      <c r="C2407" s="1" t="n">
        <v>46093</v>
      </c>
      <c r="D2407" t="inlineStr">
        <is>
          <t>VÄSTERNORRLANDS LÄN</t>
        </is>
      </c>
      <c r="E2407" t="inlineStr">
        <is>
          <t>ÖRNSKÖLDSVIK</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34299-2025</t>
        </is>
      </c>
      <c r="B2408" s="1" t="n">
        <v>45846.34501157407</v>
      </c>
      <c r="C2408" s="1" t="n">
        <v>46093</v>
      </c>
      <c r="D2408" t="inlineStr">
        <is>
          <t>VÄSTERNORRLANDS LÄN</t>
        </is>
      </c>
      <c r="E2408" t="inlineStr">
        <is>
          <t>TIMRÅ</t>
        </is>
      </c>
      <c r="F2408" t="inlineStr">
        <is>
          <t>SCA</t>
        </is>
      </c>
      <c r="G2408" t="n">
        <v>9</v>
      </c>
      <c r="H2408" t="n">
        <v>0</v>
      </c>
      <c r="I2408" t="n">
        <v>0</v>
      </c>
      <c r="J2408" t="n">
        <v>0</v>
      </c>
      <c r="K2408" t="n">
        <v>0</v>
      </c>
      <c r="L2408" t="n">
        <v>0</v>
      </c>
      <c r="M2408" t="n">
        <v>0</v>
      </c>
      <c r="N2408" t="n">
        <v>0</v>
      </c>
      <c r="O2408" t="n">
        <v>0</v>
      </c>
      <c r="P2408" t="n">
        <v>0</v>
      </c>
      <c r="Q2408" t="n">
        <v>0</v>
      </c>
      <c r="R2408" s="2" t="inlineStr"/>
    </row>
    <row r="2409" ht="15" customHeight="1">
      <c r="A2409" t="inlineStr">
        <is>
          <t>A 22342-2022</t>
        </is>
      </c>
      <c r="B2409" s="1" t="n">
        <v>44712.94203703704</v>
      </c>
      <c r="C2409" s="1" t="n">
        <v>46093</v>
      </c>
      <c r="D2409" t="inlineStr">
        <is>
          <t>VÄSTERNORRLANDS LÄN</t>
        </is>
      </c>
      <c r="E2409" t="inlineStr">
        <is>
          <t>SOLLEFTEÅ</t>
        </is>
      </c>
      <c r="F2409" t="inlineStr">
        <is>
          <t>SCA</t>
        </is>
      </c>
      <c r="G2409" t="n">
        <v>3.9</v>
      </c>
      <c r="H2409" t="n">
        <v>0</v>
      </c>
      <c r="I2409" t="n">
        <v>0</v>
      </c>
      <c r="J2409" t="n">
        <v>0</v>
      </c>
      <c r="K2409" t="n">
        <v>0</v>
      </c>
      <c r="L2409" t="n">
        <v>0</v>
      </c>
      <c r="M2409" t="n">
        <v>0</v>
      </c>
      <c r="N2409" t="n">
        <v>0</v>
      </c>
      <c r="O2409" t="n">
        <v>0</v>
      </c>
      <c r="P2409" t="n">
        <v>0</v>
      </c>
      <c r="Q2409" t="n">
        <v>0</v>
      </c>
      <c r="R2409" s="2" t="inlineStr"/>
    </row>
    <row r="2410" ht="15" customHeight="1">
      <c r="A2410" t="inlineStr">
        <is>
          <t>A 25407-2023</t>
        </is>
      </c>
      <c r="B2410" s="1" t="n">
        <v>45089.37394675926</v>
      </c>
      <c r="C2410" s="1" t="n">
        <v>46093</v>
      </c>
      <c r="D2410" t="inlineStr">
        <is>
          <t>VÄSTERNORRLANDS LÄN</t>
        </is>
      </c>
      <c r="E2410" t="inlineStr">
        <is>
          <t>SUNDSVALL</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29322-2021</t>
        </is>
      </c>
      <c r="B2411" s="1" t="n">
        <v>44361.42559027778</v>
      </c>
      <c r="C2411" s="1" t="n">
        <v>46093</v>
      </c>
      <c r="D2411" t="inlineStr">
        <is>
          <t>VÄSTERNORRLANDS LÄN</t>
        </is>
      </c>
      <c r="E2411" t="inlineStr">
        <is>
          <t>SUNDSVALL</t>
        </is>
      </c>
      <c r="G2411" t="n">
        <v>7.2</v>
      </c>
      <c r="H2411" t="n">
        <v>0</v>
      </c>
      <c r="I2411" t="n">
        <v>0</v>
      </c>
      <c r="J2411" t="n">
        <v>0</v>
      </c>
      <c r="K2411" t="n">
        <v>0</v>
      </c>
      <c r="L2411" t="n">
        <v>0</v>
      </c>
      <c r="M2411" t="n">
        <v>0</v>
      </c>
      <c r="N2411" t="n">
        <v>0</v>
      </c>
      <c r="O2411" t="n">
        <v>0</v>
      </c>
      <c r="P2411" t="n">
        <v>0</v>
      </c>
      <c r="Q2411" t="n">
        <v>0</v>
      </c>
      <c r="R2411" s="2" t="inlineStr"/>
    </row>
    <row r="2412" ht="15" customHeight="1">
      <c r="A2412" t="inlineStr">
        <is>
          <t>A 214-2024</t>
        </is>
      </c>
      <c r="B2412" s="1" t="n">
        <v>45293</v>
      </c>
      <c r="C2412" s="1" t="n">
        <v>46093</v>
      </c>
      <c r="D2412" t="inlineStr">
        <is>
          <t>VÄSTERNORRLANDS LÄN</t>
        </is>
      </c>
      <c r="E2412" t="inlineStr">
        <is>
          <t>HÄRNÖSAND</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55898-2022</t>
        </is>
      </c>
      <c r="B2413" s="1" t="n">
        <v>44888.95342592592</v>
      </c>
      <c r="C2413" s="1" t="n">
        <v>46093</v>
      </c>
      <c r="D2413" t="inlineStr">
        <is>
          <t>VÄSTERNORRLANDS LÄN</t>
        </is>
      </c>
      <c r="E2413" t="inlineStr">
        <is>
          <t>SOLLEFTEÅ</t>
        </is>
      </c>
      <c r="F2413" t="inlineStr">
        <is>
          <t>SCA</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39933-2021</t>
        </is>
      </c>
      <c r="B2414" s="1" t="n">
        <v>44417</v>
      </c>
      <c r="C2414" s="1" t="n">
        <v>46093</v>
      </c>
      <c r="D2414" t="inlineStr">
        <is>
          <t>VÄSTERNORRLANDS LÄN</t>
        </is>
      </c>
      <c r="E2414" t="inlineStr">
        <is>
          <t>SUNDSVALL</t>
        </is>
      </c>
      <c r="F2414" t="inlineStr">
        <is>
          <t>SCA</t>
        </is>
      </c>
      <c r="G2414" t="n">
        <v>3.9</v>
      </c>
      <c r="H2414" t="n">
        <v>0</v>
      </c>
      <c r="I2414" t="n">
        <v>0</v>
      </c>
      <c r="J2414" t="n">
        <v>0</v>
      </c>
      <c r="K2414" t="n">
        <v>0</v>
      </c>
      <c r="L2414" t="n">
        <v>0</v>
      </c>
      <c r="M2414" t="n">
        <v>0</v>
      </c>
      <c r="N2414" t="n">
        <v>0</v>
      </c>
      <c r="O2414" t="n">
        <v>0</v>
      </c>
      <c r="P2414" t="n">
        <v>0</v>
      </c>
      <c r="Q2414" t="n">
        <v>0</v>
      </c>
      <c r="R2414" s="2" t="inlineStr"/>
    </row>
    <row r="2415" ht="15" customHeight="1">
      <c r="A2415" t="inlineStr">
        <is>
          <t>A 51542-2022</t>
        </is>
      </c>
      <c r="B2415" s="1" t="n">
        <v>44869.94850694444</v>
      </c>
      <c r="C2415" s="1" t="n">
        <v>46093</v>
      </c>
      <c r="D2415" t="inlineStr">
        <is>
          <t>VÄSTERNORRLANDS LÄN</t>
        </is>
      </c>
      <c r="E2415" t="inlineStr">
        <is>
          <t>ÅNGE</t>
        </is>
      </c>
      <c r="F2415" t="inlineStr">
        <is>
          <t>SCA</t>
        </is>
      </c>
      <c r="G2415" t="n">
        <v>4.2</v>
      </c>
      <c r="H2415" t="n">
        <v>0</v>
      </c>
      <c r="I2415" t="n">
        <v>0</v>
      </c>
      <c r="J2415" t="n">
        <v>0</v>
      </c>
      <c r="K2415" t="n">
        <v>0</v>
      </c>
      <c r="L2415" t="n">
        <v>0</v>
      </c>
      <c r="M2415" t="n">
        <v>0</v>
      </c>
      <c r="N2415" t="n">
        <v>0</v>
      </c>
      <c r="O2415" t="n">
        <v>0</v>
      </c>
      <c r="P2415" t="n">
        <v>0</v>
      </c>
      <c r="Q2415" t="n">
        <v>0</v>
      </c>
      <c r="R2415" s="2" t="inlineStr"/>
    </row>
    <row r="2416" ht="15" customHeight="1">
      <c r="A2416" t="inlineStr">
        <is>
          <t>A 55455-2021</t>
        </is>
      </c>
      <c r="B2416" s="1" t="n">
        <v>44475.57884259259</v>
      </c>
      <c r="C2416" s="1" t="n">
        <v>46093</v>
      </c>
      <c r="D2416" t="inlineStr">
        <is>
          <t>VÄSTERNORRLANDS LÄN</t>
        </is>
      </c>
      <c r="E2416" t="inlineStr">
        <is>
          <t>ÖRNSKÖLDSVIK</t>
        </is>
      </c>
      <c r="F2416" t="inlineStr">
        <is>
          <t>Holmen skog AB</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40141-2021</t>
        </is>
      </c>
      <c r="B2417" s="1" t="n">
        <v>44418.63759259259</v>
      </c>
      <c r="C2417" s="1" t="n">
        <v>46093</v>
      </c>
      <c r="D2417" t="inlineStr">
        <is>
          <t>VÄSTERNORRLANDS LÄN</t>
        </is>
      </c>
      <c r="E2417" t="inlineStr">
        <is>
          <t>SUNDSVALL</t>
        </is>
      </c>
      <c r="G2417" t="n">
        <v>5.3</v>
      </c>
      <c r="H2417" t="n">
        <v>0</v>
      </c>
      <c r="I2417" t="n">
        <v>0</v>
      </c>
      <c r="J2417" t="n">
        <v>0</v>
      </c>
      <c r="K2417" t="n">
        <v>0</v>
      </c>
      <c r="L2417" t="n">
        <v>0</v>
      </c>
      <c r="M2417" t="n">
        <v>0</v>
      </c>
      <c r="N2417" t="n">
        <v>0</v>
      </c>
      <c r="O2417" t="n">
        <v>0</v>
      </c>
      <c r="P2417" t="n">
        <v>0</v>
      </c>
      <c r="Q2417" t="n">
        <v>0</v>
      </c>
      <c r="R2417" s="2" t="inlineStr"/>
    </row>
    <row r="2418" ht="15" customHeight="1">
      <c r="A2418" t="inlineStr">
        <is>
          <t>A 29297-2022</t>
        </is>
      </c>
      <c r="B2418" s="1" t="n">
        <v>44750.94342592593</v>
      </c>
      <c r="C2418" s="1" t="n">
        <v>46093</v>
      </c>
      <c r="D2418" t="inlineStr">
        <is>
          <t>VÄSTERNORRLANDS LÄN</t>
        </is>
      </c>
      <c r="E2418" t="inlineStr">
        <is>
          <t>SUNDSVALL</t>
        </is>
      </c>
      <c r="F2418" t="inlineStr">
        <is>
          <t>Naturvårdsverket</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37826-2022</t>
        </is>
      </c>
      <c r="B2419" s="1" t="n">
        <v>44810.94175925926</v>
      </c>
      <c r="C2419" s="1" t="n">
        <v>46093</v>
      </c>
      <c r="D2419" t="inlineStr">
        <is>
          <t>VÄSTERNORRLANDS LÄN</t>
        </is>
      </c>
      <c r="E2419" t="inlineStr">
        <is>
          <t>SOLLEFTEÅ</t>
        </is>
      </c>
      <c r="F2419" t="inlineStr">
        <is>
          <t>SCA</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6594-2022</t>
        </is>
      </c>
      <c r="B2420" s="1" t="n">
        <v>44601</v>
      </c>
      <c r="C2420" s="1" t="n">
        <v>46093</v>
      </c>
      <c r="D2420" t="inlineStr">
        <is>
          <t>VÄSTERNORRLANDS LÄN</t>
        </is>
      </c>
      <c r="E2420" t="inlineStr">
        <is>
          <t>ÖRNSKÖLDSVIK</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39676-2021</t>
        </is>
      </c>
      <c r="B2421" s="1" t="n">
        <v>44414</v>
      </c>
      <c r="C2421" s="1" t="n">
        <v>46093</v>
      </c>
      <c r="D2421" t="inlineStr">
        <is>
          <t>VÄSTERNORRLANDS LÄN</t>
        </is>
      </c>
      <c r="E2421" t="inlineStr">
        <is>
          <t>SUNDSVALL</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25672-2021</t>
        </is>
      </c>
      <c r="B2422" s="1" t="n">
        <v>44343</v>
      </c>
      <c r="C2422" s="1" t="n">
        <v>46093</v>
      </c>
      <c r="D2422" t="inlineStr">
        <is>
          <t>VÄSTERNORRLANDS LÄN</t>
        </is>
      </c>
      <c r="E2422" t="inlineStr">
        <is>
          <t>ÖRNSKÖLDSVIK</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16083-2022</t>
        </is>
      </c>
      <c r="B2423" s="1" t="n">
        <v>44665</v>
      </c>
      <c r="C2423" s="1" t="n">
        <v>46093</v>
      </c>
      <c r="D2423" t="inlineStr">
        <is>
          <t>VÄSTERNORRLANDS LÄN</t>
        </is>
      </c>
      <c r="E2423" t="inlineStr">
        <is>
          <t>SOLLEFTEÅ</t>
        </is>
      </c>
      <c r="F2423" t="inlineStr">
        <is>
          <t>Holmen skog AB</t>
        </is>
      </c>
      <c r="G2423" t="n">
        <v>6.8</v>
      </c>
      <c r="H2423" t="n">
        <v>0</v>
      </c>
      <c r="I2423" t="n">
        <v>0</v>
      </c>
      <c r="J2423" t="n">
        <v>0</v>
      </c>
      <c r="K2423" t="n">
        <v>0</v>
      </c>
      <c r="L2423" t="n">
        <v>0</v>
      </c>
      <c r="M2423" t="n">
        <v>0</v>
      </c>
      <c r="N2423" t="n">
        <v>0</v>
      </c>
      <c r="O2423" t="n">
        <v>0</v>
      </c>
      <c r="P2423" t="n">
        <v>0</v>
      </c>
      <c r="Q2423" t="n">
        <v>0</v>
      </c>
      <c r="R2423" s="2" t="inlineStr"/>
    </row>
    <row r="2424" ht="15" customHeight="1">
      <c r="A2424" t="inlineStr">
        <is>
          <t>A 62083-2021</t>
        </is>
      </c>
      <c r="B2424" s="1" t="n">
        <v>44502.60898148148</v>
      </c>
      <c r="C2424" s="1" t="n">
        <v>46093</v>
      </c>
      <c r="D2424" t="inlineStr">
        <is>
          <t>VÄSTERNORRLANDS LÄN</t>
        </is>
      </c>
      <c r="E2424" t="inlineStr">
        <is>
          <t>SUNDSVALL</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49583-2022</t>
        </is>
      </c>
      <c r="B2425" s="1" t="n">
        <v>44859</v>
      </c>
      <c r="C2425" s="1" t="n">
        <v>46093</v>
      </c>
      <c r="D2425" t="inlineStr">
        <is>
          <t>VÄSTERNORRLANDS LÄN</t>
        </is>
      </c>
      <c r="E2425" t="inlineStr">
        <is>
          <t>KRAMFORS</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49203-2022</t>
        </is>
      </c>
      <c r="B2426" s="1" t="n">
        <v>44860</v>
      </c>
      <c r="C2426" s="1" t="n">
        <v>46093</v>
      </c>
      <c r="D2426" t="inlineStr">
        <is>
          <t>VÄSTERNORRLANDS LÄN</t>
        </is>
      </c>
      <c r="E2426" t="inlineStr">
        <is>
          <t>TIMRÅ</t>
        </is>
      </c>
      <c r="F2426" t="inlineStr">
        <is>
          <t>SCA</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61574-2021</t>
        </is>
      </c>
      <c r="B2427" s="1" t="n">
        <v>44497</v>
      </c>
      <c r="C2427" s="1" t="n">
        <v>46093</v>
      </c>
      <c r="D2427" t="inlineStr">
        <is>
          <t>VÄSTERNORRLANDS LÄN</t>
        </is>
      </c>
      <c r="E2427" t="inlineStr">
        <is>
          <t>HÄRNÖSAND</t>
        </is>
      </c>
      <c r="G2427" t="n">
        <v>3.1</v>
      </c>
      <c r="H2427" t="n">
        <v>0</v>
      </c>
      <c r="I2427" t="n">
        <v>0</v>
      </c>
      <c r="J2427" t="n">
        <v>0</v>
      </c>
      <c r="K2427" t="n">
        <v>0</v>
      </c>
      <c r="L2427" t="n">
        <v>0</v>
      </c>
      <c r="M2427" t="n">
        <v>0</v>
      </c>
      <c r="N2427" t="n">
        <v>0</v>
      </c>
      <c r="O2427" t="n">
        <v>0</v>
      </c>
      <c r="P2427" t="n">
        <v>0</v>
      </c>
      <c r="Q2427" t="n">
        <v>0</v>
      </c>
      <c r="R2427" s="2" t="inlineStr"/>
    </row>
    <row r="2428" ht="15" customHeight="1">
      <c r="A2428" t="inlineStr">
        <is>
          <t>A 44042-2022</t>
        </is>
      </c>
      <c r="B2428" s="1" t="n">
        <v>44838.94877314815</v>
      </c>
      <c r="C2428" s="1" t="n">
        <v>46093</v>
      </c>
      <c r="D2428" t="inlineStr">
        <is>
          <t>VÄSTERNORRLANDS LÄN</t>
        </is>
      </c>
      <c r="E2428" t="inlineStr">
        <is>
          <t>SOLLEFTEÅ</t>
        </is>
      </c>
      <c r="F2428" t="inlineStr">
        <is>
          <t>SCA</t>
        </is>
      </c>
      <c r="G2428" t="n">
        <v>5.6</v>
      </c>
      <c r="H2428" t="n">
        <v>0</v>
      </c>
      <c r="I2428" t="n">
        <v>0</v>
      </c>
      <c r="J2428" t="n">
        <v>0</v>
      </c>
      <c r="K2428" t="n">
        <v>0</v>
      </c>
      <c r="L2428" t="n">
        <v>0</v>
      </c>
      <c r="M2428" t="n">
        <v>0</v>
      </c>
      <c r="N2428" t="n">
        <v>0</v>
      </c>
      <c r="O2428" t="n">
        <v>0</v>
      </c>
      <c r="P2428" t="n">
        <v>0</v>
      </c>
      <c r="Q2428" t="n">
        <v>0</v>
      </c>
      <c r="R2428" s="2" t="inlineStr"/>
    </row>
    <row r="2429" ht="15" customHeight="1">
      <c r="A2429" t="inlineStr">
        <is>
          <t>A 20474-2022</t>
        </is>
      </c>
      <c r="B2429" s="1" t="n">
        <v>44699</v>
      </c>
      <c r="C2429" s="1" t="n">
        <v>46093</v>
      </c>
      <c r="D2429" t="inlineStr">
        <is>
          <t>VÄSTERNORRLANDS LÄN</t>
        </is>
      </c>
      <c r="E2429" t="inlineStr">
        <is>
          <t>ÖRNSKÖLDSVIK</t>
        </is>
      </c>
      <c r="F2429" t="inlineStr">
        <is>
          <t>Holmen skog AB</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45126-2021</t>
        </is>
      </c>
      <c r="B2430" s="1" t="n">
        <v>44439</v>
      </c>
      <c r="C2430" s="1" t="n">
        <v>46093</v>
      </c>
      <c r="D2430" t="inlineStr">
        <is>
          <t>VÄSTERNORRLANDS LÄN</t>
        </is>
      </c>
      <c r="E2430" t="inlineStr">
        <is>
          <t>ÖRNSKÖLDSVIK</t>
        </is>
      </c>
      <c r="G2430" t="n">
        <v>3.8</v>
      </c>
      <c r="H2430" t="n">
        <v>0</v>
      </c>
      <c r="I2430" t="n">
        <v>0</v>
      </c>
      <c r="J2430" t="n">
        <v>0</v>
      </c>
      <c r="K2430" t="n">
        <v>0</v>
      </c>
      <c r="L2430" t="n">
        <v>0</v>
      </c>
      <c r="M2430" t="n">
        <v>0</v>
      </c>
      <c r="N2430" t="n">
        <v>0</v>
      </c>
      <c r="O2430" t="n">
        <v>0</v>
      </c>
      <c r="P2430" t="n">
        <v>0</v>
      </c>
      <c r="Q2430" t="n">
        <v>0</v>
      </c>
      <c r="R2430" s="2" t="inlineStr"/>
    </row>
    <row r="2431" ht="15" customHeight="1">
      <c r="A2431" t="inlineStr">
        <is>
          <t>A 17211-2023</t>
        </is>
      </c>
      <c r="B2431" s="1" t="n">
        <v>45034.92625</v>
      </c>
      <c r="C2431" s="1" t="n">
        <v>46093</v>
      </c>
      <c r="D2431" t="inlineStr">
        <is>
          <t>VÄSTERNORRLANDS LÄN</t>
        </is>
      </c>
      <c r="E2431" t="inlineStr">
        <is>
          <t>KRAMFORS</t>
        </is>
      </c>
      <c r="G2431" t="n">
        <v>4.9</v>
      </c>
      <c r="H2431" t="n">
        <v>0</v>
      </c>
      <c r="I2431" t="n">
        <v>0</v>
      </c>
      <c r="J2431" t="n">
        <v>0</v>
      </c>
      <c r="K2431" t="n">
        <v>0</v>
      </c>
      <c r="L2431" t="n">
        <v>0</v>
      </c>
      <c r="M2431" t="n">
        <v>0</v>
      </c>
      <c r="N2431" t="n">
        <v>0</v>
      </c>
      <c r="O2431" t="n">
        <v>0</v>
      </c>
      <c r="P2431" t="n">
        <v>0</v>
      </c>
      <c r="Q2431" t="n">
        <v>0</v>
      </c>
      <c r="R2431" s="2" t="inlineStr"/>
    </row>
    <row r="2432" ht="15" customHeight="1">
      <c r="A2432" t="inlineStr">
        <is>
          <t>A 33077-2022</t>
        </is>
      </c>
      <c r="B2432" s="1" t="n">
        <v>44785</v>
      </c>
      <c r="C2432" s="1" t="n">
        <v>46093</v>
      </c>
      <c r="D2432" t="inlineStr">
        <is>
          <t>VÄSTERNORRLANDS LÄN</t>
        </is>
      </c>
      <c r="E2432" t="inlineStr">
        <is>
          <t>SOLLEFTEÅ</t>
        </is>
      </c>
      <c r="G2432" t="n">
        <v>0.2</v>
      </c>
      <c r="H2432" t="n">
        <v>0</v>
      </c>
      <c r="I2432" t="n">
        <v>0</v>
      </c>
      <c r="J2432" t="n">
        <v>0</v>
      </c>
      <c r="K2432" t="n">
        <v>0</v>
      </c>
      <c r="L2432" t="n">
        <v>0</v>
      </c>
      <c r="M2432" t="n">
        <v>0</v>
      </c>
      <c r="N2432" t="n">
        <v>0</v>
      </c>
      <c r="O2432" t="n">
        <v>0</v>
      </c>
      <c r="P2432" t="n">
        <v>0</v>
      </c>
      <c r="Q2432" t="n">
        <v>0</v>
      </c>
      <c r="R2432" s="2" t="inlineStr"/>
    </row>
    <row r="2433" ht="15" customHeight="1">
      <c r="A2433" t="inlineStr">
        <is>
          <t>A 36796-2022</t>
        </is>
      </c>
      <c r="B2433" s="1" t="n">
        <v>44805</v>
      </c>
      <c r="C2433" s="1" t="n">
        <v>46093</v>
      </c>
      <c r="D2433" t="inlineStr">
        <is>
          <t>VÄSTERNORRLANDS LÄN</t>
        </is>
      </c>
      <c r="E2433" t="inlineStr">
        <is>
          <t>ÖRNSKÖLDSVIK</t>
        </is>
      </c>
      <c r="F2433" t="inlineStr">
        <is>
          <t>Holmen skog AB</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5552-2022</t>
        </is>
      </c>
      <c r="B2434" s="1" t="n">
        <v>44595.62966435185</v>
      </c>
      <c r="C2434" s="1" t="n">
        <v>46093</v>
      </c>
      <c r="D2434" t="inlineStr">
        <is>
          <t>VÄSTERNORRLANDS LÄN</t>
        </is>
      </c>
      <c r="E2434" t="inlineStr">
        <is>
          <t>ÅNGE</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63069-2023</t>
        </is>
      </c>
      <c r="B2435" s="1" t="n">
        <v>45272.97162037037</v>
      </c>
      <c r="C2435" s="1" t="n">
        <v>46093</v>
      </c>
      <c r="D2435" t="inlineStr">
        <is>
          <t>VÄSTERNORRLANDS LÄN</t>
        </is>
      </c>
      <c r="E2435" t="inlineStr">
        <is>
          <t>ÖRNSKÖLDSVIK</t>
        </is>
      </c>
      <c r="F2435" t="inlineStr">
        <is>
          <t>Övriga Aktiebolag</t>
        </is>
      </c>
      <c r="G2435" t="n">
        <v>0.3</v>
      </c>
      <c r="H2435" t="n">
        <v>0</v>
      </c>
      <c r="I2435" t="n">
        <v>0</v>
      </c>
      <c r="J2435" t="n">
        <v>0</v>
      </c>
      <c r="K2435" t="n">
        <v>0</v>
      </c>
      <c r="L2435" t="n">
        <v>0</v>
      </c>
      <c r="M2435" t="n">
        <v>0</v>
      </c>
      <c r="N2435" t="n">
        <v>0</v>
      </c>
      <c r="O2435" t="n">
        <v>0</v>
      </c>
      <c r="P2435" t="n">
        <v>0</v>
      </c>
      <c r="Q2435" t="n">
        <v>0</v>
      </c>
      <c r="R2435" s="2" t="inlineStr"/>
    </row>
    <row r="2436" ht="15" customHeight="1">
      <c r="A2436" t="inlineStr">
        <is>
          <t>A 35026-2022</t>
        </is>
      </c>
      <c r="B2436" s="1" t="n">
        <v>44796</v>
      </c>
      <c r="C2436" s="1" t="n">
        <v>46093</v>
      </c>
      <c r="D2436" t="inlineStr">
        <is>
          <t>VÄSTERNORRLANDS LÄN</t>
        </is>
      </c>
      <c r="E2436" t="inlineStr">
        <is>
          <t>ÅNGE</t>
        </is>
      </c>
      <c r="F2436" t="inlineStr">
        <is>
          <t>SCA</t>
        </is>
      </c>
      <c r="G2436" t="n">
        <v>3.1</v>
      </c>
      <c r="H2436" t="n">
        <v>0</v>
      </c>
      <c r="I2436" t="n">
        <v>0</v>
      </c>
      <c r="J2436" t="n">
        <v>0</v>
      </c>
      <c r="K2436" t="n">
        <v>0</v>
      </c>
      <c r="L2436" t="n">
        <v>0</v>
      </c>
      <c r="M2436" t="n">
        <v>0</v>
      </c>
      <c r="N2436" t="n">
        <v>0</v>
      </c>
      <c r="O2436" t="n">
        <v>0</v>
      </c>
      <c r="P2436" t="n">
        <v>0</v>
      </c>
      <c r="Q2436" t="n">
        <v>0</v>
      </c>
      <c r="R2436" s="2" t="inlineStr"/>
    </row>
    <row r="2437" ht="15" customHeight="1">
      <c r="A2437" t="inlineStr">
        <is>
          <t>A 34491-2023</t>
        </is>
      </c>
      <c r="B2437" s="1" t="n">
        <v>45139.94775462963</v>
      </c>
      <c r="C2437" s="1" t="n">
        <v>46093</v>
      </c>
      <c r="D2437" t="inlineStr">
        <is>
          <t>VÄSTERNORRLANDS LÄN</t>
        </is>
      </c>
      <c r="E2437" t="inlineStr">
        <is>
          <t>ÅNGE</t>
        </is>
      </c>
      <c r="F2437" t="inlineStr">
        <is>
          <t>SCA</t>
        </is>
      </c>
      <c r="G2437" t="n">
        <v>4.8</v>
      </c>
      <c r="H2437" t="n">
        <v>0</v>
      </c>
      <c r="I2437" t="n">
        <v>0</v>
      </c>
      <c r="J2437" t="n">
        <v>0</v>
      </c>
      <c r="K2437" t="n">
        <v>0</v>
      </c>
      <c r="L2437" t="n">
        <v>0</v>
      </c>
      <c r="M2437" t="n">
        <v>0</v>
      </c>
      <c r="N2437" t="n">
        <v>0</v>
      </c>
      <c r="O2437" t="n">
        <v>0</v>
      </c>
      <c r="P2437" t="n">
        <v>0</v>
      </c>
      <c r="Q2437" t="n">
        <v>0</v>
      </c>
      <c r="R2437" s="2" t="inlineStr"/>
    </row>
    <row r="2438" ht="15" customHeight="1">
      <c r="A2438" t="inlineStr">
        <is>
          <t>A 54249-2022</t>
        </is>
      </c>
      <c r="B2438" s="1" t="n">
        <v>44881.95111111111</v>
      </c>
      <c r="C2438" s="1" t="n">
        <v>46093</v>
      </c>
      <c r="D2438" t="inlineStr">
        <is>
          <t>VÄSTERNORRLANDS LÄN</t>
        </is>
      </c>
      <c r="E2438" t="inlineStr">
        <is>
          <t>SOLLEFTEÅ</t>
        </is>
      </c>
      <c r="F2438" t="inlineStr">
        <is>
          <t>SCA</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58037-2021</t>
        </is>
      </c>
      <c r="B2439" s="1" t="n">
        <v>44487</v>
      </c>
      <c r="C2439" s="1" t="n">
        <v>46093</v>
      </c>
      <c r="D2439" t="inlineStr">
        <is>
          <t>VÄSTERNORRLANDS LÄN</t>
        </is>
      </c>
      <c r="E2439" t="inlineStr">
        <is>
          <t>SUNDSVALL</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4852-2024</t>
        </is>
      </c>
      <c r="B2440" s="1" t="n">
        <v>45329.36856481482</v>
      </c>
      <c r="C2440" s="1" t="n">
        <v>46093</v>
      </c>
      <c r="D2440" t="inlineStr">
        <is>
          <t>VÄSTERNORRLANDS LÄN</t>
        </is>
      </c>
      <c r="E2440" t="inlineStr">
        <is>
          <t>HÄRNÖSAND</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13816-2024</t>
        </is>
      </c>
      <c r="B2441" s="1" t="n">
        <v>45390</v>
      </c>
      <c r="C2441" s="1" t="n">
        <v>46093</v>
      </c>
      <c r="D2441" t="inlineStr">
        <is>
          <t>VÄSTERNORRLANDS LÄN</t>
        </is>
      </c>
      <c r="E2441" t="inlineStr">
        <is>
          <t>ÖRNSKÖLDSVIK</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17586-2022</t>
        </is>
      </c>
      <c r="B2442" s="1" t="n">
        <v>44679.94385416667</v>
      </c>
      <c r="C2442" s="1" t="n">
        <v>46093</v>
      </c>
      <c r="D2442" t="inlineStr">
        <is>
          <t>VÄSTERNORRLANDS LÄN</t>
        </is>
      </c>
      <c r="E2442" t="inlineStr">
        <is>
          <t>SUNDSVALL</t>
        </is>
      </c>
      <c r="F2442" t="inlineStr">
        <is>
          <t>SCA</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36151-2022</t>
        </is>
      </c>
      <c r="B2443" s="1" t="n">
        <v>44803.37024305556</v>
      </c>
      <c r="C2443" s="1" t="n">
        <v>46093</v>
      </c>
      <c r="D2443" t="inlineStr">
        <is>
          <t>VÄSTERNORRLANDS LÄN</t>
        </is>
      </c>
      <c r="E2443" t="inlineStr">
        <is>
          <t>ÖRNSKÖLDSVIK</t>
        </is>
      </c>
      <c r="F2443" t="inlineStr">
        <is>
          <t>Holmen skog AB</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46058-2021</t>
        </is>
      </c>
      <c r="B2444" s="1" t="n">
        <v>44441.94364583334</v>
      </c>
      <c r="C2444" s="1" t="n">
        <v>46093</v>
      </c>
      <c r="D2444" t="inlineStr">
        <is>
          <t>VÄSTERNORRLANDS LÄN</t>
        </is>
      </c>
      <c r="E2444" t="inlineStr">
        <is>
          <t>SOLLEFTEÅ</t>
        </is>
      </c>
      <c r="F2444" t="inlineStr">
        <is>
          <t>SCA</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7151-2024</t>
        </is>
      </c>
      <c r="B2445" s="1" t="n">
        <v>45344</v>
      </c>
      <c r="C2445" s="1" t="n">
        <v>46093</v>
      </c>
      <c r="D2445" t="inlineStr">
        <is>
          <t>VÄSTERNORRLANDS LÄN</t>
        </is>
      </c>
      <c r="E2445" t="inlineStr">
        <is>
          <t>TIMRÅ</t>
        </is>
      </c>
      <c r="G2445" t="n">
        <v>2.9</v>
      </c>
      <c r="H2445" t="n">
        <v>0</v>
      </c>
      <c r="I2445" t="n">
        <v>0</v>
      </c>
      <c r="J2445" t="n">
        <v>0</v>
      </c>
      <c r="K2445" t="n">
        <v>0</v>
      </c>
      <c r="L2445" t="n">
        <v>0</v>
      </c>
      <c r="M2445" t="n">
        <v>0</v>
      </c>
      <c r="N2445" t="n">
        <v>0</v>
      </c>
      <c r="O2445" t="n">
        <v>0</v>
      </c>
      <c r="P2445" t="n">
        <v>0</v>
      </c>
      <c r="Q2445" t="n">
        <v>0</v>
      </c>
      <c r="R2445" s="2" t="inlineStr"/>
    </row>
    <row r="2446" ht="15" customHeight="1">
      <c r="A2446" t="inlineStr">
        <is>
          <t>A 10089-2023</t>
        </is>
      </c>
      <c r="B2446" s="1" t="n">
        <v>44985</v>
      </c>
      <c r="C2446" s="1" t="n">
        <v>46093</v>
      </c>
      <c r="D2446" t="inlineStr">
        <is>
          <t>VÄSTERNORRLANDS LÄN</t>
        </is>
      </c>
      <c r="E2446" t="inlineStr">
        <is>
          <t>ÅNGE</t>
        </is>
      </c>
      <c r="F2446" t="inlineStr">
        <is>
          <t>SCA</t>
        </is>
      </c>
      <c r="G2446" t="n">
        <v>6.7</v>
      </c>
      <c r="H2446" t="n">
        <v>0</v>
      </c>
      <c r="I2446" t="n">
        <v>0</v>
      </c>
      <c r="J2446" t="n">
        <v>0</v>
      </c>
      <c r="K2446" t="n">
        <v>0</v>
      </c>
      <c r="L2446" t="n">
        <v>0</v>
      </c>
      <c r="M2446" t="n">
        <v>0</v>
      </c>
      <c r="N2446" t="n">
        <v>0</v>
      </c>
      <c r="O2446" t="n">
        <v>0</v>
      </c>
      <c r="P2446" t="n">
        <v>0</v>
      </c>
      <c r="Q2446" t="n">
        <v>0</v>
      </c>
      <c r="R2446" s="2" t="inlineStr"/>
    </row>
    <row r="2447" ht="15" customHeight="1">
      <c r="A2447" t="inlineStr">
        <is>
          <t>A 10090-2023</t>
        </is>
      </c>
      <c r="B2447" s="1" t="n">
        <v>44985.94511574074</v>
      </c>
      <c r="C2447" s="1" t="n">
        <v>46093</v>
      </c>
      <c r="D2447" t="inlineStr">
        <is>
          <t>VÄSTERNORRLANDS LÄN</t>
        </is>
      </c>
      <c r="E2447" t="inlineStr">
        <is>
          <t>ÅNGE</t>
        </is>
      </c>
      <c r="F2447" t="inlineStr">
        <is>
          <t>SCA</t>
        </is>
      </c>
      <c r="G2447" t="n">
        <v>8.4</v>
      </c>
      <c r="H2447" t="n">
        <v>0</v>
      </c>
      <c r="I2447" t="n">
        <v>0</v>
      </c>
      <c r="J2447" t="n">
        <v>0</v>
      </c>
      <c r="K2447" t="n">
        <v>0</v>
      </c>
      <c r="L2447" t="n">
        <v>0</v>
      </c>
      <c r="M2447" t="n">
        <v>0</v>
      </c>
      <c r="N2447" t="n">
        <v>0</v>
      </c>
      <c r="O2447" t="n">
        <v>0</v>
      </c>
      <c r="P2447" t="n">
        <v>0</v>
      </c>
      <c r="Q2447" t="n">
        <v>0</v>
      </c>
      <c r="R2447" s="2" t="inlineStr"/>
    </row>
    <row r="2448" ht="15" customHeight="1">
      <c r="A2448" t="inlineStr">
        <is>
          <t>A 10100-2023</t>
        </is>
      </c>
      <c r="B2448" s="1" t="n">
        <v>44985.94587962963</v>
      </c>
      <c r="C2448" s="1" t="n">
        <v>46093</v>
      </c>
      <c r="D2448" t="inlineStr">
        <is>
          <t>VÄSTERNORRLANDS LÄN</t>
        </is>
      </c>
      <c r="E2448" t="inlineStr">
        <is>
          <t>ÖRNSKÖLDSVIK</t>
        </is>
      </c>
      <c r="F2448" t="inlineStr">
        <is>
          <t>SCA</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46047-2021</t>
        </is>
      </c>
      <c r="B2449" s="1" t="n">
        <v>44441.9424537037</v>
      </c>
      <c r="C2449" s="1" t="n">
        <v>46093</v>
      </c>
      <c r="D2449" t="inlineStr">
        <is>
          <t>VÄSTERNORRLANDS LÄN</t>
        </is>
      </c>
      <c r="E2449" t="inlineStr">
        <is>
          <t>ÖRNSKÖLDSVIK</t>
        </is>
      </c>
      <c r="F2449" t="inlineStr">
        <is>
          <t>SCA</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32535-2022</t>
        </is>
      </c>
      <c r="B2450" s="1" t="n">
        <v>44783.29856481482</v>
      </c>
      <c r="C2450" s="1" t="n">
        <v>46093</v>
      </c>
      <c r="D2450" t="inlineStr">
        <is>
          <t>VÄSTERNORRLANDS LÄN</t>
        </is>
      </c>
      <c r="E2450" t="inlineStr">
        <is>
          <t>ÅNGE</t>
        </is>
      </c>
      <c r="G2450" t="n">
        <v>10.3</v>
      </c>
      <c r="H2450" t="n">
        <v>0</v>
      </c>
      <c r="I2450" t="n">
        <v>0</v>
      </c>
      <c r="J2450" t="n">
        <v>0</v>
      </c>
      <c r="K2450" t="n">
        <v>0</v>
      </c>
      <c r="L2450" t="n">
        <v>0</v>
      </c>
      <c r="M2450" t="n">
        <v>0</v>
      </c>
      <c r="N2450" t="n">
        <v>0</v>
      </c>
      <c r="O2450" t="n">
        <v>0</v>
      </c>
      <c r="P2450" t="n">
        <v>0</v>
      </c>
      <c r="Q2450" t="n">
        <v>0</v>
      </c>
      <c r="R2450" s="2" t="inlineStr"/>
    </row>
    <row r="2451" ht="15" customHeight="1">
      <c r="A2451" t="inlineStr">
        <is>
          <t>A 17281-2025</t>
        </is>
      </c>
      <c r="B2451" s="1" t="n">
        <v>45756</v>
      </c>
      <c r="C2451" s="1" t="n">
        <v>46093</v>
      </c>
      <c r="D2451" t="inlineStr">
        <is>
          <t>VÄSTERNORRLANDS LÄN</t>
        </is>
      </c>
      <c r="E2451" t="inlineStr">
        <is>
          <t>HÄRNÖSAND</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68152-2021</t>
        </is>
      </c>
      <c r="B2452" s="1" t="n">
        <v>44526.43829861111</v>
      </c>
      <c r="C2452" s="1" t="n">
        <v>46093</v>
      </c>
      <c r="D2452" t="inlineStr">
        <is>
          <t>VÄSTERNORRLANDS LÄN</t>
        </is>
      </c>
      <c r="E2452" t="inlineStr">
        <is>
          <t>ÖRNSKÖLDSVIK</t>
        </is>
      </c>
      <c r="F2452" t="inlineStr">
        <is>
          <t>Holmen skog AB</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39005-2024</t>
        </is>
      </c>
      <c r="B2453" s="1" t="n">
        <v>45548.42743055556</v>
      </c>
      <c r="C2453" s="1" t="n">
        <v>46093</v>
      </c>
      <c r="D2453" t="inlineStr">
        <is>
          <t>VÄSTERNORRLANDS LÄN</t>
        </is>
      </c>
      <c r="E2453" t="inlineStr">
        <is>
          <t>ÅNGE</t>
        </is>
      </c>
      <c r="F2453" t="inlineStr">
        <is>
          <t>SCA</t>
        </is>
      </c>
      <c r="G2453" t="n">
        <v>2.6</v>
      </c>
      <c r="H2453" t="n">
        <v>0</v>
      </c>
      <c r="I2453" t="n">
        <v>0</v>
      </c>
      <c r="J2453" t="n">
        <v>0</v>
      </c>
      <c r="K2453" t="n">
        <v>0</v>
      </c>
      <c r="L2453" t="n">
        <v>0</v>
      </c>
      <c r="M2453" t="n">
        <v>0</v>
      </c>
      <c r="N2453" t="n">
        <v>0</v>
      </c>
      <c r="O2453" t="n">
        <v>0</v>
      </c>
      <c r="P2453" t="n">
        <v>0</v>
      </c>
      <c r="Q2453" t="n">
        <v>0</v>
      </c>
      <c r="R2453" s="2" t="inlineStr"/>
      <c r="U2453">
        <f>HYPERLINK("https://klasma.github.io/Logging_2260/knärot/A 39005-2024 karta knärot.png", "A 39005-2024")</f>
        <v/>
      </c>
      <c r="V2453">
        <f>HYPERLINK("https://klasma.github.io/Logging_2260/klagomål/A 39005-2024 FSC-klagomål.docx", "A 39005-2024")</f>
        <v/>
      </c>
      <c r="W2453">
        <f>HYPERLINK("https://klasma.github.io/Logging_2260/klagomålsmail/A 39005-2024 FSC-klagomål mail.docx", "A 39005-2024")</f>
        <v/>
      </c>
      <c r="X2453">
        <f>HYPERLINK("https://klasma.github.io/Logging_2260/tillsyn/A 39005-2024 tillsynsbegäran.docx", "A 39005-2024")</f>
        <v/>
      </c>
      <c r="Y2453">
        <f>HYPERLINK("https://klasma.github.io/Logging_2260/tillsynsmail/A 39005-2024 tillsynsbegäran mail.docx", "A 39005-2024")</f>
        <v/>
      </c>
    </row>
    <row r="2454" ht="15" customHeight="1">
      <c r="A2454" t="inlineStr">
        <is>
          <t>A 34599-2025</t>
        </is>
      </c>
      <c r="B2454" s="1" t="n">
        <v>45846</v>
      </c>
      <c r="C2454" s="1" t="n">
        <v>46093</v>
      </c>
      <c r="D2454" t="inlineStr">
        <is>
          <t>VÄSTERNORRLANDS LÄN</t>
        </is>
      </c>
      <c r="E2454" t="inlineStr">
        <is>
          <t>ÖRNSKÖLDSVIK</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47922-2022</t>
        </is>
      </c>
      <c r="B2455" s="1" t="n">
        <v>44855.50136574074</v>
      </c>
      <c r="C2455" s="1" t="n">
        <v>46093</v>
      </c>
      <c r="D2455" t="inlineStr">
        <is>
          <t>VÄSTERNORRLANDS LÄN</t>
        </is>
      </c>
      <c r="E2455" t="inlineStr">
        <is>
          <t>ÖRNSKÖLDSVIK</t>
        </is>
      </c>
      <c r="F2455" t="inlineStr">
        <is>
          <t>Holmen skog AB</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6448-2023</t>
        </is>
      </c>
      <c r="B2456" s="1" t="n">
        <v>44965</v>
      </c>
      <c r="C2456" s="1" t="n">
        <v>46093</v>
      </c>
      <c r="D2456" t="inlineStr">
        <is>
          <t>VÄSTERNORRLANDS LÄN</t>
        </is>
      </c>
      <c r="E2456" t="inlineStr">
        <is>
          <t>KRAMFORS</t>
        </is>
      </c>
      <c r="G2456" t="n">
        <v>3.9</v>
      </c>
      <c r="H2456" t="n">
        <v>0</v>
      </c>
      <c r="I2456" t="n">
        <v>0</v>
      </c>
      <c r="J2456" t="n">
        <v>0</v>
      </c>
      <c r="K2456" t="n">
        <v>0</v>
      </c>
      <c r="L2456" t="n">
        <v>0</v>
      </c>
      <c r="M2456" t="n">
        <v>0</v>
      </c>
      <c r="N2456" t="n">
        <v>0</v>
      </c>
      <c r="O2456" t="n">
        <v>0</v>
      </c>
      <c r="P2456" t="n">
        <v>0</v>
      </c>
      <c r="Q2456" t="n">
        <v>0</v>
      </c>
      <c r="R2456" s="2" t="inlineStr"/>
    </row>
    <row r="2457" ht="15" customHeight="1">
      <c r="A2457" t="inlineStr">
        <is>
          <t>A 61872-2021</t>
        </is>
      </c>
      <c r="B2457" s="1" t="n">
        <v>44502.06923611111</v>
      </c>
      <c r="C2457" s="1" t="n">
        <v>46093</v>
      </c>
      <c r="D2457" t="inlineStr">
        <is>
          <t>VÄSTERNORRLANDS LÄN</t>
        </is>
      </c>
      <c r="E2457" t="inlineStr">
        <is>
          <t>ÖRNSKÖLDSVIK</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59440-2021</t>
        </is>
      </c>
      <c r="B2458" s="1" t="n">
        <v>44491</v>
      </c>
      <c r="C2458" s="1" t="n">
        <v>46093</v>
      </c>
      <c r="D2458" t="inlineStr">
        <is>
          <t>VÄSTERNORRLANDS LÄN</t>
        </is>
      </c>
      <c r="E2458" t="inlineStr">
        <is>
          <t>SUNDSVALL</t>
        </is>
      </c>
      <c r="G2458" t="n">
        <v>4.9</v>
      </c>
      <c r="H2458" t="n">
        <v>0</v>
      </c>
      <c r="I2458" t="n">
        <v>0</v>
      </c>
      <c r="J2458" t="n">
        <v>0</v>
      </c>
      <c r="K2458" t="n">
        <v>0</v>
      </c>
      <c r="L2458" t="n">
        <v>0</v>
      </c>
      <c r="M2458" t="n">
        <v>0</v>
      </c>
      <c r="N2458" t="n">
        <v>0</v>
      </c>
      <c r="O2458" t="n">
        <v>0</v>
      </c>
      <c r="P2458" t="n">
        <v>0</v>
      </c>
      <c r="Q2458" t="n">
        <v>0</v>
      </c>
      <c r="R2458" s="2" t="inlineStr"/>
    </row>
    <row r="2459" ht="15" customHeight="1">
      <c r="A2459" t="inlineStr">
        <is>
          <t>A 62133-2024</t>
        </is>
      </c>
      <c r="B2459" s="1" t="n">
        <v>45656.63576388889</v>
      </c>
      <c r="C2459" s="1" t="n">
        <v>46093</v>
      </c>
      <c r="D2459" t="inlineStr">
        <is>
          <t>VÄSTERNORRLANDS LÄN</t>
        </is>
      </c>
      <c r="E2459" t="inlineStr">
        <is>
          <t>TIMRÅ</t>
        </is>
      </c>
      <c r="F2459" t="inlineStr">
        <is>
          <t>SCA</t>
        </is>
      </c>
      <c r="G2459" t="n">
        <v>3.6</v>
      </c>
      <c r="H2459" t="n">
        <v>0</v>
      </c>
      <c r="I2459" t="n">
        <v>0</v>
      </c>
      <c r="J2459" t="n">
        <v>0</v>
      </c>
      <c r="K2459" t="n">
        <v>0</v>
      </c>
      <c r="L2459" t="n">
        <v>0</v>
      </c>
      <c r="M2459" t="n">
        <v>0</v>
      </c>
      <c r="N2459" t="n">
        <v>0</v>
      </c>
      <c r="O2459" t="n">
        <v>0</v>
      </c>
      <c r="P2459" t="n">
        <v>0</v>
      </c>
      <c r="Q2459" t="n">
        <v>0</v>
      </c>
      <c r="R2459" s="2" t="inlineStr"/>
    </row>
    <row r="2460" ht="15" customHeight="1">
      <c r="A2460" t="inlineStr">
        <is>
          <t>A 43135-2022</t>
        </is>
      </c>
      <c r="B2460" s="1" t="n">
        <v>44833</v>
      </c>
      <c r="C2460" s="1" t="n">
        <v>46093</v>
      </c>
      <c r="D2460" t="inlineStr">
        <is>
          <t>VÄSTERNORRLANDS LÄN</t>
        </is>
      </c>
      <c r="E2460" t="inlineStr">
        <is>
          <t>TIMRÅ</t>
        </is>
      </c>
      <c r="F2460" t="inlineStr">
        <is>
          <t>SCA</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39594-2022</t>
        </is>
      </c>
      <c r="B2461" s="1" t="n">
        <v>44818</v>
      </c>
      <c r="C2461" s="1" t="n">
        <v>46093</v>
      </c>
      <c r="D2461" t="inlineStr">
        <is>
          <t>VÄSTERNORRLANDS LÄN</t>
        </is>
      </c>
      <c r="E2461" t="inlineStr">
        <is>
          <t>ÅNGE</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10313-2022</t>
        </is>
      </c>
      <c r="B2462" s="1" t="n">
        <v>44622</v>
      </c>
      <c r="C2462" s="1" t="n">
        <v>46093</v>
      </c>
      <c r="D2462" t="inlineStr">
        <is>
          <t>VÄSTERNORRLANDS LÄN</t>
        </is>
      </c>
      <c r="E2462" t="inlineStr">
        <is>
          <t>ÅNGE</t>
        </is>
      </c>
      <c r="F2462" t="inlineStr">
        <is>
          <t>SCA</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11724-2025</t>
        </is>
      </c>
      <c r="B2463" s="1" t="n">
        <v>45727.61490740741</v>
      </c>
      <c r="C2463" s="1" t="n">
        <v>46093</v>
      </c>
      <c r="D2463" t="inlineStr">
        <is>
          <t>VÄSTERNORRLANDS LÄN</t>
        </is>
      </c>
      <c r="E2463" t="inlineStr">
        <is>
          <t>SUNDSVALL</t>
        </is>
      </c>
      <c r="F2463" t="inlineStr">
        <is>
          <t>SCA</t>
        </is>
      </c>
      <c r="G2463" t="n">
        <v>3.2</v>
      </c>
      <c r="H2463" t="n">
        <v>0</v>
      </c>
      <c r="I2463" t="n">
        <v>0</v>
      </c>
      <c r="J2463" t="n">
        <v>0</v>
      </c>
      <c r="K2463" t="n">
        <v>0</v>
      </c>
      <c r="L2463" t="n">
        <v>0</v>
      </c>
      <c r="M2463" t="n">
        <v>0</v>
      </c>
      <c r="N2463" t="n">
        <v>0</v>
      </c>
      <c r="O2463" t="n">
        <v>0</v>
      </c>
      <c r="P2463" t="n">
        <v>0</v>
      </c>
      <c r="Q2463" t="n">
        <v>0</v>
      </c>
      <c r="R2463" s="2" t="inlineStr"/>
    </row>
    <row r="2464" ht="15" customHeight="1">
      <c r="A2464" t="inlineStr">
        <is>
          <t>A 56128-2023</t>
        </is>
      </c>
      <c r="B2464" s="1" t="n">
        <v>45240</v>
      </c>
      <c r="C2464" s="1" t="n">
        <v>46093</v>
      </c>
      <c r="D2464" t="inlineStr">
        <is>
          <t>VÄSTERNORRLANDS LÄN</t>
        </is>
      </c>
      <c r="E2464" t="inlineStr">
        <is>
          <t>ÖRNSKÖLDSVIK</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61239-2024</t>
        </is>
      </c>
      <c r="B2465" s="1" t="n">
        <v>45645.67857638889</v>
      </c>
      <c r="C2465" s="1" t="n">
        <v>46093</v>
      </c>
      <c r="D2465" t="inlineStr">
        <is>
          <t>VÄSTERNORRLANDS LÄN</t>
        </is>
      </c>
      <c r="E2465" t="inlineStr">
        <is>
          <t>HÄRNÖSAND</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56231-2023</t>
        </is>
      </c>
      <c r="B2466" s="1" t="n">
        <v>45240.92366898148</v>
      </c>
      <c r="C2466" s="1" t="n">
        <v>46093</v>
      </c>
      <c r="D2466" t="inlineStr">
        <is>
          <t>VÄSTERNORRLANDS LÄN</t>
        </is>
      </c>
      <c r="E2466" t="inlineStr">
        <is>
          <t>SUNDSVALL</t>
        </is>
      </c>
      <c r="G2466" t="n">
        <v>18.4</v>
      </c>
      <c r="H2466" t="n">
        <v>0</v>
      </c>
      <c r="I2466" t="n">
        <v>0</v>
      </c>
      <c r="J2466" t="n">
        <v>0</v>
      </c>
      <c r="K2466" t="n">
        <v>0</v>
      </c>
      <c r="L2466" t="n">
        <v>0</v>
      </c>
      <c r="M2466" t="n">
        <v>0</v>
      </c>
      <c r="N2466" t="n">
        <v>0</v>
      </c>
      <c r="O2466" t="n">
        <v>0</v>
      </c>
      <c r="P2466" t="n">
        <v>0</v>
      </c>
      <c r="Q2466" t="n">
        <v>0</v>
      </c>
      <c r="R2466" s="2" t="inlineStr"/>
    </row>
    <row r="2467" ht="15" customHeight="1">
      <c r="A2467" t="inlineStr">
        <is>
          <t>A 7003-2025</t>
        </is>
      </c>
      <c r="B2467" s="1" t="n">
        <v>45701</v>
      </c>
      <c r="C2467" s="1" t="n">
        <v>46093</v>
      </c>
      <c r="D2467" t="inlineStr">
        <is>
          <t>VÄSTERNORRLANDS LÄN</t>
        </is>
      </c>
      <c r="E2467" t="inlineStr">
        <is>
          <t>SOLLEFTEÅ</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41045-2024</t>
        </is>
      </c>
      <c r="B2468" s="1" t="n">
        <v>45559.36673611111</v>
      </c>
      <c r="C2468" s="1" t="n">
        <v>46093</v>
      </c>
      <c r="D2468" t="inlineStr">
        <is>
          <t>VÄSTERNORRLANDS LÄN</t>
        </is>
      </c>
      <c r="E2468" t="inlineStr">
        <is>
          <t>ÖRNSKÖLDSVIK</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36647-2022</t>
        </is>
      </c>
      <c r="B2469" s="1" t="n">
        <v>44804.75269675926</v>
      </c>
      <c r="C2469" s="1" t="n">
        <v>46093</v>
      </c>
      <c r="D2469" t="inlineStr">
        <is>
          <t>VÄSTERNORRLANDS LÄN</t>
        </is>
      </c>
      <c r="E2469" t="inlineStr">
        <is>
          <t>KRAMFORS</t>
        </is>
      </c>
      <c r="G2469" t="n">
        <v>0.3</v>
      </c>
      <c r="H2469" t="n">
        <v>0</v>
      </c>
      <c r="I2469" t="n">
        <v>0</v>
      </c>
      <c r="J2469" t="n">
        <v>0</v>
      </c>
      <c r="K2469" t="n">
        <v>0</v>
      </c>
      <c r="L2469" t="n">
        <v>0</v>
      </c>
      <c r="M2469" t="n">
        <v>0</v>
      </c>
      <c r="N2469" t="n">
        <v>0</v>
      </c>
      <c r="O2469" t="n">
        <v>0</v>
      </c>
      <c r="P2469" t="n">
        <v>0</v>
      </c>
      <c r="Q2469" t="n">
        <v>0</v>
      </c>
      <c r="R2469" s="2" t="inlineStr"/>
    </row>
    <row r="2470" ht="15" customHeight="1">
      <c r="A2470" t="inlineStr">
        <is>
          <t>A 41434-2024</t>
        </is>
      </c>
      <c r="B2470" s="1" t="n">
        <v>45560</v>
      </c>
      <c r="C2470" s="1" t="n">
        <v>46093</v>
      </c>
      <c r="D2470" t="inlineStr">
        <is>
          <t>VÄSTERNORRLANDS LÄN</t>
        </is>
      </c>
      <c r="E2470" t="inlineStr">
        <is>
          <t>SOLLEFTEÅ</t>
        </is>
      </c>
      <c r="G2470" t="n">
        <v>3.7</v>
      </c>
      <c r="H2470" t="n">
        <v>0</v>
      </c>
      <c r="I2470" t="n">
        <v>0</v>
      </c>
      <c r="J2470" t="n">
        <v>0</v>
      </c>
      <c r="K2470" t="n">
        <v>0</v>
      </c>
      <c r="L2470" t="n">
        <v>0</v>
      </c>
      <c r="M2470" t="n">
        <v>0</v>
      </c>
      <c r="N2470" t="n">
        <v>0</v>
      </c>
      <c r="O2470" t="n">
        <v>0</v>
      </c>
      <c r="P2470" t="n">
        <v>0</v>
      </c>
      <c r="Q2470" t="n">
        <v>0</v>
      </c>
      <c r="R2470" s="2" t="inlineStr"/>
    </row>
    <row r="2471" ht="15" customHeight="1">
      <c r="A2471" t="inlineStr">
        <is>
          <t>A 34428-2025</t>
        </is>
      </c>
      <c r="B2471" s="1" t="n">
        <v>45845</v>
      </c>
      <c r="C2471" s="1" t="n">
        <v>46093</v>
      </c>
      <c r="D2471" t="inlineStr">
        <is>
          <t>VÄSTERNORRLANDS LÄN</t>
        </is>
      </c>
      <c r="E2471" t="inlineStr">
        <is>
          <t>ÖRNSKÖLDSVIK</t>
        </is>
      </c>
      <c r="G2471" t="n">
        <v>5.2</v>
      </c>
      <c r="H2471" t="n">
        <v>0</v>
      </c>
      <c r="I2471" t="n">
        <v>0</v>
      </c>
      <c r="J2471" t="n">
        <v>0</v>
      </c>
      <c r="K2471" t="n">
        <v>0</v>
      </c>
      <c r="L2471" t="n">
        <v>0</v>
      </c>
      <c r="M2471" t="n">
        <v>0</v>
      </c>
      <c r="N2471" t="n">
        <v>0</v>
      </c>
      <c r="O2471" t="n">
        <v>0</v>
      </c>
      <c r="P2471" t="n">
        <v>0</v>
      </c>
      <c r="Q2471" t="n">
        <v>0</v>
      </c>
      <c r="R2471" s="2" t="inlineStr"/>
    </row>
    <row r="2472" ht="15" customHeight="1">
      <c r="A2472" t="inlineStr">
        <is>
          <t>A 60450-2021</t>
        </is>
      </c>
      <c r="B2472" s="1" t="n">
        <v>44496.44508101852</v>
      </c>
      <c r="C2472" s="1" t="n">
        <v>46093</v>
      </c>
      <c r="D2472" t="inlineStr">
        <is>
          <t>VÄSTERNORRLANDS LÄN</t>
        </is>
      </c>
      <c r="E2472" t="inlineStr">
        <is>
          <t>ÖRNSKÖLDSVIK</t>
        </is>
      </c>
      <c r="F2472" t="inlineStr">
        <is>
          <t>Holmen skog AB</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11241-2022</t>
        </is>
      </c>
      <c r="B2473" s="1" t="n">
        <v>44629</v>
      </c>
      <c r="C2473" s="1" t="n">
        <v>46093</v>
      </c>
      <c r="D2473" t="inlineStr">
        <is>
          <t>VÄSTERNORRLANDS LÄN</t>
        </is>
      </c>
      <c r="E2473" t="inlineStr">
        <is>
          <t>SOLLEFTEÅ</t>
        </is>
      </c>
      <c r="F2473" t="inlineStr">
        <is>
          <t>Kommuner</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16253-2024</t>
        </is>
      </c>
      <c r="B2474" s="1" t="n">
        <v>45407.0587962963</v>
      </c>
      <c r="C2474" s="1" t="n">
        <v>46093</v>
      </c>
      <c r="D2474" t="inlineStr">
        <is>
          <t>VÄSTERNORRLANDS LÄN</t>
        </is>
      </c>
      <c r="E2474" t="inlineStr">
        <is>
          <t>SOLLEFTEÅ</t>
        </is>
      </c>
      <c r="F2474" t="inlineStr">
        <is>
          <t>SCA</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6474-2023</t>
        </is>
      </c>
      <c r="B2475" s="1" t="n">
        <v>44965.94128472222</v>
      </c>
      <c r="C2475" s="1" t="n">
        <v>46093</v>
      </c>
      <c r="D2475" t="inlineStr">
        <is>
          <t>VÄSTERNORRLANDS LÄN</t>
        </is>
      </c>
      <c r="E2475" t="inlineStr">
        <is>
          <t>SOLLEFTEÅ</t>
        </is>
      </c>
      <c r="F2475" t="inlineStr">
        <is>
          <t>SCA</t>
        </is>
      </c>
      <c r="G2475" t="n">
        <v>47.3</v>
      </c>
      <c r="H2475" t="n">
        <v>0</v>
      </c>
      <c r="I2475" t="n">
        <v>0</v>
      </c>
      <c r="J2475" t="n">
        <v>0</v>
      </c>
      <c r="K2475" t="n">
        <v>0</v>
      </c>
      <c r="L2475" t="n">
        <v>0</v>
      </c>
      <c r="M2475" t="n">
        <v>0</v>
      </c>
      <c r="N2475" t="n">
        <v>0</v>
      </c>
      <c r="O2475" t="n">
        <v>0</v>
      </c>
      <c r="P2475" t="n">
        <v>0</v>
      </c>
      <c r="Q2475" t="n">
        <v>0</v>
      </c>
      <c r="R2475" s="2" t="inlineStr"/>
    </row>
    <row r="2476" ht="15" customHeight="1">
      <c r="A2476" t="inlineStr">
        <is>
          <t>A 41474-2022</t>
        </is>
      </c>
      <c r="B2476" s="1" t="n">
        <v>44826.94859953703</v>
      </c>
      <c r="C2476" s="1" t="n">
        <v>46093</v>
      </c>
      <c r="D2476" t="inlineStr">
        <is>
          <t>VÄSTERNORRLANDS LÄN</t>
        </is>
      </c>
      <c r="E2476" t="inlineStr">
        <is>
          <t>SOLLEFTEÅ</t>
        </is>
      </c>
      <c r="F2476" t="inlineStr">
        <is>
          <t>SCA</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57593-2022</t>
        </is>
      </c>
      <c r="B2477" s="1" t="n">
        <v>44896.97847222222</v>
      </c>
      <c r="C2477" s="1" t="n">
        <v>46093</v>
      </c>
      <c r="D2477" t="inlineStr">
        <is>
          <t>VÄSTERNORRLANDS LÄN</t>
        </is>
      </c>
      <c r="E2477" t="inlineStr">
        <is>
          <t>ÅNGE</t>
        </is>
      </c>
      <c r="F2477" t="inlineStr">
        <is>
          <t>SCA</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57596-2022</t>
        </is>
      </c>
      <c r="B2478" s="1" t="n">
        <v>44896.97871527778</v>
      </c>
      <c r="C2478" s="1" t="n">
        <v>46093</v>
      </c>
      <c r="D2478" t="inlineStr">
        <is>
          <t>VÄSTERNORRLANDS LÄN</t>
        </is>
      </c>
      <c r="E2478" t="inlineStr">
        <is>
          <t>ÅNGE</t>
        </is>
      </c>
      <c r="F2478" t="inlineStr">
        <is>
          <t>SCA</t>
        </is>
      </c>
      <c r="G2478" t="n">
        <v>4.3</v>
      </c>
      <c r="H2478" t="n">
        <v>0</v>
      </c>
      <c r="I2478" t="n">
        <v>0</v>
      </c>
      <c r="J2478" t="n">
        <v>0</v>
      </c>
      <c r="K2478" t="n">
        <v>0</v>
      </c>
      <c r="L2478" t="n">
        <v>0</v>
      </c>
      <c r="M2478" t="n">
        <v>0</v>
      </c>
      <c r="N2478" t="n">
        <v>0</v>
      </c>
      <c r="O2478" t="n">
        <v>0</v>
      </c>
      <c r="P2478" t="n">
        <v>0</v>
      </c>
      <c r="Q2478" t="n">
        <v>0</v>
      </c>
      <c r="R2478" s="2" t="inlineStr"/>
    </row>
    <row r="2479" ht="15" customHeight="1">
      <c r="A2479" t="inlineStr">
        <is>
          <t>A 58185-2022</t>
        </is>
      </c>
      <c r="B2479" s="1" t="n">
        <v>44900</v>
      </c>
      <c r="C2479" s="1" t="n">
        <v>46093</v>
      </c>
      <c r="D2479" t="inlineStr">
        <is>
          <t>VÄSTERNORRLANDS LÄN</t>
        </is>
      </c>
      <c r="E2479" t="inlineStr">
        <is>
          <t>SUNDSVALL</t>
        </is>
      </c>
      <c r="F2479" t="inlineStr">
        <is>
          <t>SCA</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26435-2022</t>
        </is>
      </c>
      <c r="B2480" s="1" t="n">
        <v>44736.93902777778</v>
      </c>
      <c r="C2480" s="1" t="n">
        <v>46093</v>
      </c>
      <c r="D2480" t="inlineStr">
        <is>
          <t>VÄSTERNORRLANDS LÄN</t>
        </is>
      </c>
      <c r="E2480" t="inlineStr">
        <is>
          <t>SOLLEFTEÅ</t>
        </is>
      </c>
      <c r="F2480" t="inlineStr">
        <is>
          <t>SCA</t>
        </is>
      </c>
      <c r="G2480" t="n">
        <v>5</v>
      </c>
      <c r="H2480" t="n">
        <v>0</v>
      </c>
      <c r="I2480" t="n">
        <v>0</v>
      </c>
      <c r="J2480" t="n">
        <v>0</v>
      </c>
      <c r="K2480" t="n">
        <v>0</v>
      </c>
      <c r="L2480" t="n">
        <v>0</v>
      </c>
      <c r="M2480" t="n">
        <v>0</v>
      </c>
      <c r="N2480" t="n">
        <v>0</v>
      </c>
      <c r="O2480" t="n">
        <v>0</v>
      </c>
      <c r="P2480" t="n">
        <v>0</v>
      </c>
      <c r="Q2480" t="n">
        <v>0</v>
      </c>
      <c r="R2480" s="2" t="inlineStr"/>
    </row>
    <row r="2481" ht="15" customHeight="1">
      <c r="A2481" t="inlineStr">
        <is>
          <t>A 8652-2024</t>
        </is>
      </c>
      <c r="B2481" s="1" t="n">
        <v>45356</v>
      </c>
      <c r="C2481" s="1" t="n">
        <v>46093</v>
      </c>
      <c r="D2481" t="inlineStr">
        <is>
          <t>VÄSTERNORRLANDS LÄN</t>
        </is>
      </c>
      <c r="E2481" t="inlineStr">
        <is>
          <t>SOLLEFTEÅ</t>
        </is>
      </c>
      <c r="F2481" t="inlineStr">
        <is>
          <t>SCA</t>
        </is>
      </c>
      <c r="G2481" t="n">
        <v>38.6</v>
      </c>
      <c r="H2481" t="n">
        <v>0</v>
      </c>
      <c r="I2481" t="n">
        <v>0</v>
      </c>
      <c r="J2481" t="n">
        <v>0</v>
      </c>
      <c r="K2481" t="n">
        <v>0</v>
      </c>
      <c r="L2481" t="n">
        <v>0</v>
      </c>
      <c r="M2481" t="n">
        <v>0</v>
      </c>
      <c r="N2481" t="n">
        <v>0</v>
      </c>
      <c r="O2481" t="n">
        <v>0</v>
      </c>
      <c r="P2481" t="n">
        <v>0</v>
      </c>
      <c r="Q2481" t="n">
        <v>0</v>
      </c>
      <c r="R2481" s="2" t="inlineStr"/>
    </row>
    <row r="2482" ht="15" customHeight="1">
      <c r="A2482" t="inlineStr">
        <is>
          <t>A 34229-2025</t>
        </is>
      </c>
      <c r="B2482" s="1" t="n">
        <v>45845.65732638889</v>
      </c>
      <c r="C2482" s="1" t="n">
        <v>46093</v>
      </c>
      <c r="D2482" t="inlineStr">
        <is>
          <t>VÄSTERNORRLANDS LÄN</t>
        </is>
      </c>
      <c r="E2482" t="inlineStr">
        <is>
          <t>TIMRÅ</t>
        </is>
      </c>
      <c r="F2482" t="inlineStr">
        <is>
          <t>SCA</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61013-2024</t>
        </is>
      </c>
      <c r="B2483" s="1" t="n">
        <v>45645</v>
      </c>
      <c r="C2483" s="1" t="n">
        <v>46093</v>
      </c>
      <c r="D2483" t="inlineStr">
        <is>
          <t>VÄSTERNORRLANDS LÄN</t>
        </is>
      </c>
      <c r="E2483" t="inlineStr">
        <is>
          <t>ÖRNSKÖLDSVIK</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41222-2022</t>
        </is>
      </c>
      <c r="B2484" s="1" t="n">
        <v>44825</v>
      </c>
      <c r="C2484" s="1" t="n">
        <v>46093</v>
      </c>
      <c r="D2484" t="inlineStr">
        <is>
          <t>VÄSTERNORRLANDS LÄN</t>
        </is>
      </c>
      <c r="E2484" t="inlineStr">
        <is>
          <t>SUNDSVALL</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50615-2023</t>
        </is>
      </c>
      <c r="B2485" s="1" t="n">
        <v>45217</v>
      </c>
      <c r="C2485" s="1" t="n">
        <v>46093</v>
      </c>
      <c r="D2485" t="inlineStr">
        <is>
          <t>VÄSTERNORRLANDS LÄN</t>
        </is>
      </c>
      <c r="E2485" t="inlineStr">
        <is>
          <t>SOLLEFTEÅ</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26849-2021</t>
        </is>
      </c>
      <c r="B2486" s="1" t="n">
        <v>44349</v>
      </c>
      <c r="C2486" s="1" t="n">
        <v>46093</v>
      </c>
      <c r="D2486" t="inlineStr">
        <is>
          <t>VÄSTERNORRLANDS LÄN</t>
        </is>
      </c>
      <c r="E2486" t="inlineStr">
        <is>
          <t>ÖRNSKÖLDSVIK</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41813-2022</t>
        </is>
      </c>
      <c r="B2487" s="1" t="n">
        <v>44827.94520833333</v>
      </c>
      <c r="C2487" s="1" t="n">
        <v>46093</v>
      </c>
      <c r="D2487" t="inlineStr">
        <is>
          <t>VÄSTERNORRLANDS LÄN</t>
        </is>
      </c>
      <c r="E2487" t="inlineStr">
        <is>
          <t>SOLLEFTEÅ</t>
        </is>
      </c>
      <c r="F2487" t="inlineStr">
        <is>
          <t>SCA</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25921-2021</t>
        </is>
      </c>
      <c r="B2488" s="1" t="n">
        <v>44344.44788194444</v>
      </c>
      <c r="C2488" s="1" t="n">
        <v>46093</v>
      </c>
      <c r="D2488" t="inlineStr">
        <is>
          <t>VÄSTERNORRLANDS LÄN</t>
        </is>
      </c>
      <c r="E2488" t="inlineStr">
        <is>
          <t>ÖRNSKÖLDSVIK</t>
        </is>
      </c>
      <c r="F2488" t="inlineStr">
        <is>
          <t>Holmen skog AB</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25308-2023</t>
        </is>
      </c>
      <c r="B2489" s="1" t="n">
        <v>45086.93850694445</v>
      </c>
      <c r="C2489" s="1" t="n">
        <v>46093</v>
      </c>
      <c r="D2489" t="inlineStr">
        <is>
          <t>VÄSTERNORRLANDS LÄN</t>
        </is>
      </c>
      <c r="E2489" t="inlineStr">
        <is>
          <t>ÖRNSKÖLDSVIK</t>
        </is>
      </c>
      <c r="F2489" t="inlineStr">
        <is>
          <t>SCA</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25314-2023</t>
        </is>
      </c>
      <c r="B2490" s="1" t="n">
        <v>45086</v>
      </c>
      <c r="C2490" s="1" t="n">
        <v>46093</v>
      </c>
      <c r="D2490" t="inlineStr">
        <is>
          <t>VÄSTERNORRLANDS LÄN</t>
        </is>
      </c>
      <c r="E2490" t="inlineStr">
        <is>
          <t>SOLLEFTEÅ</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26814-2021</t>
        </is>
      </c>
      <c r="B2491" s="1" t="n">
        <v>44349</v>
      </c>
      <c r="C2491" s="1" t="n">
        <v>46093</v>
      </c>
      <c r="D2491" t="inlineStr">
        <is>
          <t>VÄSTERNORRLANDS LÄN</t>
        </is>
      </c>
      <c r="E2491" t="inlineStr">
        <is>
          <t>KRAMFORS</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48554-2021</t>
        </is>
      </c>
      <c r="B2492" s="1" t="n">
        <v>44452</v>
      </c>
      <c r="C2492" s="1" t="n">
        <v>46093</v>
      </c>
      <c r="D2492" t="inlineStr">
        <is>
          <t>VÄSTERNORRLANDS LÄN</t>
        </is>
      </c>
      <c r="E2492" t="inlineStr">
        <is>
          <t>ÖRNSKÖLDSVIK</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52136-2023</t>
        </is>
      </c>
      <c r="B2493" s="1" t="n">
        <v>45223.96625</v>
      </c>
      <c r="C2493" s="1" t="n">
        <v>46093</v>
      </c>
      <c r="D2493" t="inlineStr">
        <is>
          <t>VÄSTERNORRLANDS LÄN</t>
        </is>
      </c>
      <c r="E2493" t="inlineStr">
        <is>
          <t>SOLLEFTEÅ</t>
        </is>
      </c>
      <c r="F2493" t="inlineStr">
        <is>
          <t>SCA</t>
        </is>
      </c>
      <c r="G2493" t="n">
        <v>6</v>
      </c>
      <c r="H2493" t="n">
        <v>0</v>
      </c>
      <c r="I2493" t="n">
        <v>0</v>
      </c>
      <c r="J2493" t="n">
        <v>0</v>
      </c>
      <c r="K2493" t="n">
        <v>0</v>
      </c>
      <c r="L2493" t="n">
        <v>0</v>
      </c>
      <c r="M2493" t="n">
        <v>0</v>
      </c>
      <c r="N2493" t="n">
        <v>0</v>
      </c>
      <c r="O2493" t="n">
        <v>0</v>
      </c>
      <c r="P2493" t="n">
        <v>0</v>
      </c>
      <c r="Q2493" t="n">
        <v>0</v>
      </c>
      <c r="R2493" s="2" t="inlineStr"/>
    </row>
    <row r="2494" ht="15" customHeight="1">
      <c r="A2494" t="inlineStr">
        <is>
          <t>A 34420-2025</t>
        </is>
      </c>
      <c r="B2494" s="1" t="n">
        <v>45846.66490740741</v>
      </c>
      <c r="C2494" s="1" t="n">
        <v>46093</v>
      </c>
      <c r="D2494" t="inlineStr">
        <is>
          <t>VÄSTERNORRLANDS LÄN</t>
        </is>
      </c>
      <c r="E2494" t="inlineStr">
        <is>
          <t>ÖRNSKÖLDSVIK</t>
        </is>
      </c>
      <c r="F2494" t="inlineStr">
        <is>
          <t>Holmen skog AB</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34422-2025</t>
        </is>
      </c>
      <c r="B2495" s="1" t="n">
        <v>45845</v>
      </c>
      <c r="C2495" s="1" t="n">
        <v>46093</v>
      </c>
      <c r="D2495" t="inlineStr">
        <is>
          <t>VÄSTERNORRLANDS LÄN</t>
        </is>
      </c>
      <c r="E2495" t="inlineStr">
        <is>
          <t>ÖRNSKÖLDSVIK</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61081-2023</t>
        </is>
      </c>
      <c r="B2496" s="1" t="n">
        <v>45261</v>
      </c>
      <c r="C2496" s="1" t="n">
        <v>46093</v>
      </c>
      <c r="D2496" t="inlineStr">
        <is>
          <t>VÄSTERNORRLANDS LÄN</t>
        </is>
      </c>
      <c r="E2496" t="inlineStr">
        <is>
          <t>SOLLEFTEÅ</t>
        </is>
      </c>
      <c r="F2496" t="inlineStr">
        <is>
          <t>Holmen skog AB</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56801-2024</t>
        </is>
      </c>
      <c r="B2497" s="1" t="n">
        <v>45628</v>
      </c>
      <c r="C2497" s="1" t="n">
        <v>46093</v>
      </c>
      <c r="D2497" t="inlineStr">
        <is>
          <t>VÄSTERNORRLANDS LÄN</t>
        </is>
      </c>
      <c r="E2497" t="inlineStr">
        <is>
          <t>ÖRNSKÖLDSVIK</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27217-2024</t>
        </is>
      </c>
      <c r="B2498" s="1" t="n">
        <v>45471.6217824074</v>
      </c>
      <c r="C2498" s="1" t="n">
        <v>46093</v>
      </c>
      <c r="D2498" t="inlineStr">
        <is>
          <t>VÄSTERNORRLANDS LÄN</t>
        </is>
      </c>
      <c r="E2498" t="inlineStr">
        <is>
          <t>ÖRNSKÖLDSVIK</t>
        </is>
      </c>
      <c r="F2498" t="inlineStr">
        <is>
          <t>Holmen skog AB</t>
        </is>
      </c>
      <c r="G2498" t="n">
        <v>4.4</v>
      </c>
      <c r="H2498" t="n">
        <v>0</v>
      </c>
      <c r="I2498" t="n">
        <v>0</v>
      </c>
      <c r="J2498" t="n">
        <v>0</v>
      </c>
      <c r="K2498" t="n">
        <v>0</v>
      </c>
      <c r="L2498" t="n">
        <v>0</v>
      </c>
      <c r="M2498" t="n">
        <v>0</v>
      </c>
      <c r="N2498" t="n">
        <v>0</v>
      </c>
      <c r="O2498" t="n">
        <v>0</v>
      </c>
      <c r="P2498" t="n">
        <v>0</v>
      </c>
      <c r="Q2498" t="n">
        <v>0</v>
      </c>
      <c r="R2498" s="2" t="inlineStr"/>
    </row>
    <row r="2499" ht="15" customHeight="1">
      <c r="A2499" t="inlineStr">
        <is>
          <t>A 29429-2024</t>
        </is>
      </c>
      <c r="B2499" s="1" t="n">
        <v>45483</v>
      </c>
      <c r="C2499" s="1" t="n">
        <v>46093</v>
      </c>
      <c r="D2499" t="inlineStr">
        <is>
          <t>VÄSTERNORRLANDS LÄN</t>
        </is>
      </c>
      <c r="E2499" t="inlineStr">
        <is>
          <t>HÄRNÖSAND</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10201-2024</t>
        </is>
      </c>
      <c r="B2500" s="1" t="n">
        <v>45364.92842592593</v>
      </c>
      <c r="C2500" s="1" t="n">
        <v>46093</v>
      </c>
      <c r="D2500" t="inlineStr">
        <is>
          <t>VÄSTERNORRLANDS LÄN</t>
        </is>
      </c>
      <c r="E2500" t="inlineStr">
        <is>
          <t>SUNDSVALL</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35477-2022</t>
        </is>
      </c>
      <c r="B2501" s="1" t="n">
        <v>44798.92681712963</v>
      </c>
      <c r="C2501" s="1" t="n">
        <v>46093</v>
      </c>
      <c r="D2501" t="inlineStr">
        <is>
          <t>VÄSTERNORRLANDS LÄN</t>
        </is>
      </c>
      <c r="E2501" t="inlineStr">
        <is>
          <t>TIMRÅ</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10242-2025</t>
        </is>
      </c>
      <c r="B2502" s="1" t="n">
        <v>45720.34821759259</v>
      </c>
      <c r="C2502" s="1" t="n">
        <v>46093</v>
      </c>
      <c r="D2502" t="inlineStr">
        <is>
          <t>VÄSTERNORRLANDS LÄN</t>
        </is>
      </c>
      <c r="E2502" t="inlineStr">
        <is>
          <t>SUNDSVALL</t>
        </is>
      </c>
      <c r="G2502" t="n">
        <v>4.5</v>
      </c>
      <c r="H2502" t="n">
        <v>0</v>
      </c>
      <c r="I2502" t="n">
        <v>0</v>
      </c>
      <c r="J2502" t="n">
        <v>0</v>
      </c>
      <c r="K2502" t="n">
        <v>0</v>
      </c>
      <c r="L2502" t="n">
        <v>0</v>
      </c>
      <c r="M2502" t="n">
        <v>0</v>
      </c>
      <c r="N2502" t="n">
        <v>0</v>
      </c>
      <c r="O2502" t="n">
        <v>0</v>
      </c>
      <c r="P2502" t="n">
        <v>0</v>
      </c>
      <c r="Q2502" t="n">
        <v>0</v>
      </c>
      <c r="R2502" s="2" t="inlineStr"/>
    </row>
    <row r="2503" ht="15" customHeight="1">
      <c r="A2503" t="inlineStr">
        <is>
          <t>A 56110-2023</t>
        </is>
      </c>
      <c r="B2503" s="1" t="n">
        <v>45240.55074074074</v>
      </c>
      <c r="C2503" s="1" t="n">
        <v>46093</v>
      </c>
      <c r="D2503" t="inlineStr">
        <is>
          <t>VÄSTERNORRLANDS LÄN</t>
        </is>
      </c>
      <c r="E2503" t="inlineStr">
        <is>
          <t>KRAMFORS</t>
        </is>
      </c>
      <c r="G2503" t="n">
        <v>9.9</v>
      </c>
      <c r="H2503" t="n">
        <v>0</v>
      </c>
      <c r="I2503" t="n">
        <v>0</v>
      </c>
      <c r="J2503" t="n">
        <v>0</v>
      </c>
      <c r="K2503" t="n">
        <v>0</v>
      </c>
      <c r="L2503" t="n">
        <v>0</v>
      </c>
      <c r="M2503" t="n">
        <v>0</v>
      </c>
      <c r="N2503" t="n">
        <v>0</v>
      </c>
      <c r="O2503" t="n">
        <v>0</v>
      </c>
      <c r="P2503" t="n">
        <v>0</v>
      </c>
      <c r="Q2503" t="n">
        <v>0</v>
      </c>
      <c r="R2503" s="2" t="inlineStr"/>
    </row>
    <row r="2504" ht="15" customHeight="1">
      <c r="A2504" t="inlineStr">
        <is>
          <t>A 7218-2025</t>
        </is>
      </c>
      <c r="B2504" s="1" t="n">
        <v>45702.47903935185</v>
      </c>
      <c r="C2504" s="1" t="n">
        <v>46093</v>
      </c>
      <c r="D2504" t="inlineStr">
        <is>
          <t>VÄSTERNORRLANDS LÄN</t>
        </is>
      </c>
      <c r="E2504" t="inlineStr">
        <is>
          <t>ÖRNSKÖLDSVIK</t>
        </is>
      </c>
      <c r="G2504" t="n">
        <v>5.6</v>
      </c>
      <c r="H2504" t="n">
        <v>0</v>
      </c>
      <c r="I2504" t="n">
        <v>0</v>
      </c>
      <c r="J2504" t="n">
        <v>0</v>
      </c>
      <c r="K2504" t="n">
        <v>0</v>
      </c>
      <c r="L2504" t="n">
        <v>0</v>
      </c>
      <c r="M2504" t="n">
        <v>0</v>
      </c>
      <c r="N2504" t="n">
        <v>0</v>
      </c>
      <c r="O2504" t="n">
        <v>0</v>
      </c>
      <c r="P2504" t="n">
        <v>0</v>
      </c>
      <c r="Q2504" t="n">
        <v>0</v>
      </c>
      <c r="R2504" s="2" t="inlineStr"/>
    </row>
    <row r="2505" ht="15" customHeight="1">
      <c r="A2505" t="inlineStr">
        <is>
          <t>A 45150-2023</t>
        </is>
      </c>
      <c r="B2505" s="1" t="n">
        <v>45191</v>
      </c>
      <c r="C2505" s="1" t="n">
        <v>46093</v>
      </c>
      <c r="D2505" t="inlineStr">
        <is>
          <t>VÄSTERNORRLANDS LÄN</t>
        </is>
      </c>
      <c r="E2505" t="inlineStr">
        <is>
          <t>SUNDSVALL</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22224-2021</t>
        </is>
      </c>
      <c r="B2506" s="1" t="n">
        <v>44326</v>
      </c>
      <c r="C2506" s="1" t="n">
        <v>46093</v>
      </c>
      <c r="D2506" t="inlineStr">
        <is>
          <t>VÄSTERNORRLANDS LÄN</t>
        </is>
      </c>
      <c r="E2506" t="inlineStr">
        <is>
          <t>SOLLEFTEÅ</t>
        </is>
      </c>
      <c r="F2506" t="inlineStr">
        <is>
          <t>Kommuner</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253-2025</t>
        </is>
      </c>
      <c r="B2507" s="1" t="n">
        <v>45660.42829861111</v>
      </c>
      <c r="C2507" s="1" t="n">
        <v>46093</v>
      </c>
      <c r="D2507" t="inlineStr">
        <is>
          <t>VÄSTERNORRLANDS LÄN</t>
        </is>
      </c>
      <c r="E2507" t="inlineStr">
        <is>
          <t>KRAMFORS</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55760-2024</t>
        </is>
      </c>
      <c r="B2508" s="1" t="n">
        <v>45623.36486111111</v>
      </c>
      <c r="C2508" s="1" t="n">
        <v>46093</v>
      </c>
      <c r="D2508" t="inlineStr">
        <is>
          <t>VÄSTERNORRLANDS LÄN</t>
        </is>
      </c>
      <c r="E2508" t="inlineStr">
        <is>
          <t>KRAMFORS</t>
        </is>
      </c>
      <c r="F2508" t="inlineStr">
        <is>
          <t>SCA</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52939-2023</t>
        </is>
      </c>
      <c r="B2509" s="1" t="n">
        <v>45222</v>
      </c>
      <c r="C2509" s="1" t="n">
        <v>46093</v>
      </c>
      <c r="D2509" t="inlineStr">
        <is>
          <t>VÄSTERNORRLANDS LÄN</t>
        </is>
      </c>
      <c r="E2509" t="inlineStr">
        <is>
          <t>SUNDSVALL</t>
        </is>
      </c>
      <c r="G2509" t="n">
        <v>0.2</v>
      </c>
      <c r="H2509" t="n">
        <v>0</v>
      </c>
      <c r="I2509" t="n">
        <v>0</v>
      </c>
      <c r="J2509" t="n">
        <v>0</v>
      </c>
      <c r="K2509" t="n">
        <v>0</v>
      </c>
      <c r="L2509" t="n">
        <v>0</v>
      </c>
      <c r="M2509" t="n">
        <v>0</v>
      </c>
      <c r="N2509" t="n">
        <v>0</v>
      </c>
      <c r="O2509" t="n">
        <v>0</v>
      </c>
      <c r="P2509" t="n">
        <v>0</v>
      </c>
      <c r="Q2509" t="n">
        <v>0</v>
      </c>
      <c r="R2509" s="2" t="inlineStr"/>
    </row>
    <row r="2510" ht="15" customHeight="1">
      <c r="A2510" t="inlineStr">
        <is>
          <t>A 41222-2024</t>
        </is>
      </c>
      <c r="B2510" s="1" t="n">
        <v>45559.55306712963</v>
      </c>
      <c r="C2510" s="1" t="n">
        <v>46093</v>
      </c>
      <c r="D2510" t="inlineStr">
        <is>
          <t>VÄSTERNORRLANDS LÄN</t>
        </is>
      </c>
      <c r="E2510" t="inlineStr">
        <is>
          <t>ÅNGE</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34000-2025</t>
        </is>
      </c>
      <c r="B2511" s="1" t="n">
        <v>45844.37024305556</v>
      </c>
      <c r="C2511" s="1" t="n">
        <v>46093</v>
      </c>
      <c r="D2511" t="inlineStr">
        <is>
          <t>VÄSTERNORRLANDS LÄN</t>
        </is>
      </c>
      <c r="E2511" t="inlineStr">
        <is>
          <t>SOLLEFTEÅ</t>
        </is>
      </c>
      <c r="G2511" t="n">
        <v>4.3</v>
      </c>
      <c r="H2511" t="n">
        <v>0</v>
      </c>
      <c r="I2511" t="n">
        <v>0</v>
      </c>
      <c r="J2511" t="n">
        <v>0</v>
      </c>
      <c r="K2511" t="n">
        <v>0</v>
      </c>
      <c r="L2511" t="n">
        <v>0</v>
      </c>
      <c r="M2511" t="n">
        <v>0</v>
      </c>
      <c r="N2511" t="n">
        <v>0</v>
      </c>
      <c r="O2511" t="n">
        <v>0</v>
      </c>
      <c r="P2511" t="n">
        <v>0</v>
      </c>
      <c r="Q2511" t="n">
        <v>0</v>
      </c>
      <c r="R2511" s="2" t="inlineStr"/>
    </row>
    <row r="2512" ht="15" customHeight="1">
      <c r="A2512" t="inlineStr">
        <is>
          <t>A 53939-2023</t>
        </is>
      </c>
      <c r="B2512" s="1" t="n">
        <v>45224</v>
      </c>
      <c r="C2512" s="1" t="n">
        <v>46093</v>
      </c>
      <c r="D2512" t="inlineStr">
        <is>
          <t>VÄSTERNORRLANDS LÄN</t>
        </is>
      </c>
      <c r="E2512" t="inlineStr">
        <is>
          <t>SOLLEFTEÅ</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39636-2024</t>
        </is>
      </c>
      <c r="B2513" s="1" t="n">
        <v>45552.44849537037</v>
      </c>
      <c r="C2513" s="1" t="n">
        <v>46093</v>
      </c>
      <c r="D2513" t="inlineStr">
        <is>
          <t>VÄSTERNORRLANDS LÄN</t>
        </is>
      </c>
      <c r="E2513" t="inlineStr">
        <is>
          <t>ÖRNSKÖLDSVIK</t>
        </is>
      </c>
      <c r="F2513" t="inlineStr">
        <is>
          <t>SCA</t>
        </is>
      </c>
      <c r="G2513" t="n">
        <v>6.5</v>
      </c>
      <c r="H2513" t="n">
        <v>0</v>
      </c>
      <c r="I2513" t="n">
        <v>0</v>
      </c>
      <c r="J2513" t="n">
        <v>0</v>
      </c>
      <c r="K2513" t="n">
        <v>0</v>
      </c>
      <c r="L2513" t="n">
        <v>0</v>
      </c>
      <c r="M2513" t="n">
        <v>0</v>
      </c>
      <c r="N2513" t="n">
        <v>0</v>
      </c>
      <c r="O2513" t="n">
        <v>0</v>
      </c>
      <c r="P2513" t="n">
        <v>0</v>
      </c>
      <c r="Q2513" t="n">
        <v>0</v>
      </c>
      <c r="R2513" s="2" t="inlineStr"/>
    </row>
    <row r="2514" ht="15" customHeight="1">
      <c r="A2514" t="inlineStr">
        <is>
          <t>A 52261-2024</t>
        </is>
      </c>
      <c r="B2514" s="1" t="n">
        <v>45608</v>
      </c>
      <c r="C2514" s="1" t="n">
        <v>46093</v>
      </c>
      <c r="D2514" t="inlineStr">
        <is>
          <t>VÄSTERNORRLANDS LÄN</t>
        </is>
      </c>
      <c r="E2514" t="inlineStr">
        <is>
          <t>ÖRNSKÖLDSVIK</t>
        </is>
      </c>
      <c r="G2514" t="n">
        <v>0.3</v>
      </c>
      <c r="H2514" t="n">
        <v>0</v>
      </c>
      <c r="I2514" t="n">
        <v>0</v>
      </c>
      <c r="J2514" t="n">
        <v>0</v>
      </c>
      <c r="K2514" t="n">
        <v>0</v>
      </c>
      <c r="L2514" t="n">
        <v>0</v>
      </c>
      <c r="M2514" t="n">
        <v>0</v>
      </c>
      <c r="N2514" t="n">
        <v>0</v>
      </c>
      <c r="O2514" t="n">
        <v>0</v>
      </c>
      <c r="P2514" t="n">
        <v>0</v>
      </c>
      <c r="Q2514" t="n">
        <v>0</v>
      </c>
      <c r="R2514" s="2" t="inlineStr"/>
    </row>
    <row r="2515" ht="15" customHeight="1">
      <c r="A2515" t="inlineStr">
        <is>
          <t>A 7463-2025</t>
        </is>
      </c>
      <c r="B2515" s="1" t="n">
        <v>45705.44458333333</v>
      </c>
      <c r="C2515" s="1" t="n">
        <v>46093</v>
      </c>
      <c r="D2515" t="inlineStr">
        <is>
          <t>VÄSTERNORRLANDS LÄN</t>
        </is>
      </c>
      <c r="E2515" t="inlineStr">
        <is>
          <t>SUNDSVALL</t>
        </is>
      </c>
      <c r="G2515" t="n">
        <v>3.4</v>
      </c>
      <c r="H2515" t="n">
        <v>0</v>
      </c>
      <c r="I2515" t="n">
        <v>0</v>
      </c>
      <c r="J2515" t="n">
        <v>0</v>
      </c>
      <c r="K2515" t="n">
        <v>0</v>
      </c>
      <c r="L2515" t="n">
        <v>0</v>
      </c>
      <c r="M2515" t="n">
        <v>0</v>
      </c>
      <c r="N2515" t="n">
        <v>0</v>
      </c>
      <c r="O2515" t="n">
        <v>0</v>
      </c>
      <c r="P2515" t="n">
        <v>0</v>
      </c>
      <c r="Q2515" t="n">
        <v>0</v>
      </c>
      <c r="R2515" s="2" t="inlineStr"/>
    </row>
    <row r="2516" ht="15" customHeight="1">
      <c r="A2516" t="inlineStr">
        <is>
          <t>A 24513-2021</t>
        </is>
      </c>
      <c r="B2516" s="1" t="n">
        <v>44337.98226851852</v>
      </c>
      <c r="C2516" s="1" t="n">
        <v>46093</v>
      </c>
      <c r="D2516" t="inlineStr">
        <is>
          <t>VÄSTERNORRLANDS LÄN</t>
        </is>
      </c>
      <c r="E2516" t="inlineStr">
        <is>
          <t>TIMRÅ</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18885-2023</t>
        </is>
      </c>
      <c r="B2517" s="1" t="n">
        <v>45044</v>
      </c>
      <c r="C2517" s="1" t="n">
        <v>46093</v>
      </c>
      <c r="D2517" t="inlineStr">
        <is>
          <t>VÄSTERNORRLANDS LÄN</t>
        </is>
      </c>
      <c r="E2517" t="inlineStr">
        <is>
          <t>HÄRNÖSAND</t>
        </is>
      </c>
      <c r="G2517" t="n">
        <v>0</v>
      </c>
      <c r="H2517" t="n">
        <v>0</v>
      </c>
      <c r="I2517" t="n">
        <v>0</v>
      </c>
      <c r="J2517" t="n">
        <v>0</v>
      </c>
      <c r="K2517" t="n">
        <v>0</v>
      </c>
      <c r="L2517" t="n">
        <v>0</v>
      </c>
      <c r="M2517" t="n">
        <v>0</v>
      </c>
      <c r="N2517" t="n">
        <v>0</v>
      </c>
      <c r="O2517" t="n">
        <v>0</v>
      </c>
      <c r="P2517" t="n">
        <v>0</v>
      </c>
      <c r="Q2517" t="n">
        <v>0</v>
      </c>
      <c r="R2517" s="2" t="inlineStr"/>
    </row>
    <row r="2518" ht="15" customHeight="1">
      <c r="A2518" t="inlineStr">
        <is>
          <t>A 8440-2025</t>
        </is>
      </c>
      <c r="B2518" s="1" t="n">
        <v>45709.44836805556</v>
      </c>
      <c r="C2518" s="1" t="n">
        <v>46093</v>
      </c>
      <c r="D2518" t="inlineStr">
        <is>
          <t>VÄSTERNORRLANDS LÄN</t>
        </is>
      </c>
      <c r="E2518" t="inlineStr">
        <is>
          <t>SUNDSVALL</t>
        </is>
      </c>
      <c r="F2518" t="inlineStr">
        <is>
          <t>SCA</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52471-2024</t>
        </is>
      </c>
      <c r="B2519" s="1" t="n">
        <v>45609.53076388889</v>
      </c>
      <c r="C2519" s="1" t="n">
        <v>46093</v>
      </c>
      <c r="D2519" t="inlineStr">
        <is>
          <t>VÄSTERNORRLANDS LÄN</t>
        </is>
      </c>
      <c r="E2519" t="inlineStr">
        <is>
          <t>SOLLEFTEÅ</t>
        </is>
      </c>
      <c r="G2519" t="n">
        <v>6.6</v>
      </c>
      <c r="H2519" t="n">
        <v>0</v>
      </c>
      <c r="I2519" t="n">
        <v>0</v>
      </c>
      <c r="J2519" t="n">
        <v>0</v>
      </c>
      <c r="K2519" t="n">
        <v>0</v>
      </c>
      <c r="L2519" t="n">
        <v>0</v>
      </c>
      <c r="M2519" t="n">
        <v>0</v>
      </c>
      <c r="N2519" t="n">
        <v>0</v>
      </c>
      <c r="O2519" t="n">
        <v>0</v>
      </c>
      <c r="P2519" t="n">
        <v>0</v>
      </c>
      <c r="Q2519" t="n">
        <v>0</v>
      </c>
      <c r="R2519" s="2" t="inlineStr"/>
    </row>
    <row r="2520" ht="15" customHeight="1">
      <c r="A2520" t="inlineStr">
        <is>
          <t>A 10482-2025</t>
        </is>
      </c>
      <c r="B2520" s="1" t="n">
        <v>45721.33079861111</v>
      </c>
      <c r="C2520" s="1" t="n">
        <v>46093</v>
      </c>
      <c r="D2520" t="inlineStr">
        <is>
          <t>VÄSTERNORRLANDS LÄN</t>
        </is>
      </c>
      <c r="E2520" t="inlineStr">
        <is>
          <t>ÖRNSKÖLDSVIK</t>
        </is>
      </c>
      <c r="G2520" t="n">
        <v>4</v>
      </c>
      <c r="H2520" t="n">
        <v>0</v>
      </c>
      <c r="I2520" t="n">
        <v>0</v>
      </c>
      <c r="J2520" t="n">
        <v>0</v>
      </c>
      <c r="K2520" t="n">
        <v>0</v>
      </c>
      <c r="L2520" t="n">
        <v>0</v>
      </c>
      <c r="M2520" t="n">
        <v>0</v>
      </c>
      <c r="N2520" t="n">
        <v>0</v>
      </c>
      <c r="O2520" t="n">
        <v>0</v>
      </c>
      <c r="P2520" t="n">
        <v>0</v>
      </c>
      <c r="Q2520" t="n">
        <v>0</v>
      </c>
      <c r="R2520" s="2" t="inlineStr"/>
    </row>
    <row r="2521" ht="15" customHeight="1">
      <c r="A2521" t="inlineStr">
        <is>
          <t>A 10502-2025</t>
        </is>
      </c>
      <c r="B2521" s="1" t="n">
        <v>45721.38591435185</v>
      </c>
      <c r="C2521" s="1" t="n">
        <v>46093</v>
      </c>
      <c r="D2521" t="inlineStr">
        <is>
          <t>VÄSTERNORRLANDS LÄN</t>
        </is>
      </c>
      <c r="E2521" t="inlineStr">
        <is>
          <t>KRAMFORS</t>
        </is>
      </c>
      <c r="F2521" t="inlineStr">
        <is>
          <t>SCA</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9310-2024</t>
        </is>
      </c>
      <c r="B2522" s="1" t="n">
        <v>45358</v>
      </c>
      <c r="C2522" s="1" t="n">
        <v>46093</v>
      </c>
      <c r="D2522" t="inlineStr">
        <is>
          <t>VÄSTERNORRLANDS LÄN</t>
        </is>
      </c>
      <c r="E2522" t="inlineStr">
        <is>
          <t>SUNDSVALL</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46319-2022</t>
        </is>
      </c>
      <c r="B2523" s="1" t="n">
        <v>44847</v>
      </c>
      <c r="C2523" s="1" t="n">
        <v>46093</v>
      </c>
      <c r="D2523" t="inlineStr">
        <is>
          <t>VÄSTERNORRLANDS LÄN</t>
        </is>
      </c>
      <c r="E2523" t="inlineStr">
        <is>
          <t>HÄRNÖSAND</t>
        </is>
      </c>
      <c r="F2523" t="inlineStr">
        <is>
          <t>Kyrkan</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44865-2024</t>
        </is>
      </c>
      <c r="B2524" s="1" t="n">
        <v>45575.32356481482</v>
      </c>
      <c r="C2524" s="1" t="n">
        <v>46093</v>
      </c>
      <c r="D2524" t="inlineStr">
        <is>
          <t>VÄSTERNORRLANDS LÄN</t>
        </is>
      </c>
      <c r="E2524" t="inlineStr">
        <is>
          <t>ÖRNSKÖLDSVIK</t>
        </is>
      </c>
      <c r="F2524" t="inlineStr">
        <is>
          <t>Holmen skog AB</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13091-2024</t>
        </is>
      </c>
      <c r="B2525" s="1" t="n">
        <v>45385</v>
      </c>
      <c r="C2525" s="1" t="n">
        <v>46093</v>
      </c>
      <c r="D2525" t="inlineStr">
        <is>
          <t>VÄSTERNORRLANDS LÄN</t>
        </is>
      </c>
      <c r="E2525" t="inlineStr">
        <is>
          <t>ÅNGE</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3425-2023</t>
        </is>
      </c>
      <c r="B2526" s="1" t="n">
        <v>44946</v>
      </c>
      <c r="C2526" s="1" t="n">
        <v>46093</v>
      </c>
      <c r="D2526" t="inlineStr">
        <is>
          <t>VÄSTERNORRLANDS LÄN</t>
        </is>
      </c>
      <c r="E2526" t="inlineStr">
        <is>
          <t>KRAMFORS</t>
        </is>
      </c>
      <c r="G2526" t="n">
        <v>6.9</v>
      </c>
      <c r="H2526" t="n">
        <v>0</v>
      </c>
      <c r="I2526" t="n">
        <v>0</v>
      </c>
      <c r="J2526" t="n">
        <v>0</v>
      </c>
      <c r="K2526" t="n">
        <v>0</v>
      </c>
      <c r="L2526" t="n">
        <v>0</v>
      </c>
      <c r="M2526" t="n">
        <v>0</v>
      </c>
      <c r="N2526" t="n">
        <v>0</v>
      </c>
      <c r="O2526" t="n">
        <v>0</v>
      </c>
      <c r="P2526" t="n">
        <v>0</v>
      </c>
      <c r="Q2526" t="n">
        <v>0</v>
      </c>
      <c r="R2526" s="2" t="inlineStr"/>
    </row>
    <row r="2527" ht="15" customHeight="1">
      <c r="A2527" t="inlineStr">
        <is>
          <t>A 12519-2023</t>
        </is>
      </c>
      <c r="B2527" s="1" t="n">
        <v>45000.01231481481</v>
      </c>
      <c r="C2527" s="1" t="n">
        <v>46093</v>
      </c>
      <c r="D2527" t="inlineStr">
        <is>
          <t>VÄSTERNORRLANDS LÄN</t>
        </is>
      </c>
      <c r="E2527" t="inlineStr">
        <is>
          <t>HÄRNÖSAND</t>
        </is>
      </c>
      <c r="F2527" t="inlineStr">
        <is>
          <t>SCA</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59309-2021</t>
        </is>
      </c>
      <c r="B2528" s="1" t="n">
        <v>44490.93883101852</v>
      </c>
      <c r="C2528" s="1" t="n">
        <v>46093</v>
      </c>
      <c r="D2528" t="inlineStr">
        <is>
          <t>VÄSTERNORRLANDS LÄN</t>
        </is>
      </c>
      <c r="E2528" t="inlineStr">
        <is>
          <t>SOLLEFTEÅ</t>
        </is>
      </c>
      <c r="F2528" t="inlineStr">
        <is>
          <t>SCA</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14963-2023</t>
        </is>
      </c>
      <c r="B2529" s="1" t="n">
        <v>45015</v>
      </c>
      <c r="C2529" s="1" t="n">
        <v>46093</v>
      </c>
      <c r="D2529" t="inlineStr">
        <is>
          <t>VÄSTERNORRLANDS LÄN</t>
        </is>
      </c>
      <c r="E2529" t="inlineStr">
        <is>
          <t>ÖRNSKÖLDSVIK</t>
        </is>
      </c>
      <c r="G2529" t="n">
        <v>4.9</v>
      </c>
      <c r="H2529" t="n">
        <v>0</v>
      </c>
      <c r="I2529" t="n">
        <v>0</v>
      </c>
      <c r="J2529" t="n">
        <v>0</v>
      </c>
      <c r="K2529" t="n">
        <v>0</v>
      </c>
      <c r="L2529" t="n">
        <v>0</v>
      </c>
      <c r="M2529" t="n">
        <v>0</v>
      </c>
      <c r="N2529" t="n">
        <v>0</v>
      </c>
      <c r="O2529" t="n">
        <v>0</v>
      </c>
      <c r="P2529" t="n">
        <v>0</v>
      </c>
      <c r="Q2529" t="n">
        <v>0</v>
      </c>
      <c r="R2529" s="2" t="inlineStr"/>
    </row>
    <row r="2530" ht="15" customHeight="1">
      <c r="A2530" t="inlineStr">
        <is>
          <t>A 44688-2023</t>
        </is>
      </c>
      <c r="B2530" s="1" t="n">
        <v>45189.92204861111</v>
      </c>
      <c r="C2530" s="1" t="n">
        <v>46093</v>
      </c>
      <c r="D2530" t="inlineStr">
        <is>
          <t>VÄSTERNORRLANDS LÄN</t>
        </is>
      </c>
      <c r="E2530" t="inlineStr">
        <is>
          <t>SUNDSVALL</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3624-2024</t>
        </is>
      </c>
      <c r="B2531" s="1" t="n">
        <v>45320.95305555555</v>
      </c>
      <c r="C2531" s="1" t="n">
        <v>46093</v>
      </c>
      <c r="D2531" t="inlineStr">
        <is>
          <t>VÄSTERNORRLANDS LÄN</t>
        </is>
      </c>
      <c r="E2531" t="inlineStr">
        <is>
          <t>ÅNGE</t>
        </is>
      </c>
      <c r="F2531" t="inlineStr">
        <is>
          <t>SCA</t>
        </is>
      </c>
      <c r="G2531" t="n">
        <v>5</v>
      </c>
      <c r="H2531" t="n">
        <v>0</v>
      </c>
      <c r="I2531" t="n">
        <v>0</v>
      </c>
      <c r="J2531" t="n">
        <v>0</v>
      </c>
      <c r="K2531" t="n">
        <v>0</v>
      </c>
      <c r="L2531" t="n">
        <v>0</v>
      </c>
      <c r="M2531" t="n">
        <v>0</v>
      </c>
      <c r="N2531" t="n">
        <v>0</v>
      </c>
      <c r="O2531" t="n">
        <v>0</v>
      </c>
      <c r="P2531" t="n">
        <v>0</v>
      </c>
      <c r="Q2531" t="n">
        <v>0</v>
      </c>
      <c r="R2531" s="2" t="inlineStr"/>
    </row>
    <row r="2532" ht="15" customHeight="1">
      <c r="A2532" t="inlineStr">
        <is>
          <t>A 14154-2024</t>
        </is>
      </c>
      <c r="B2532" s="1" t="n">
        <v>45392.92877314815</v>
      </c>
      <c r="C2532" s="1" t="n">
        <v>46093</v>
      </c>
      <c r="D2532" t="inlineStr">
        <is>
          <t>VÄSTERNORRLANDS LÄN</t>
        </is>
      </c>
      <c r="E2532" t="inlineStr">
        <is>
          <t>SUNDSVALL</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1127-2023</t>
        </is>
      </c>
      <c r="B2533" s="1" t="n">
        <v>44929</v>
      </c>
      <c r="C2533" s="1" t="n">
        <v>46093</v>
      </c>
      <c r="D2533" t="inlineStr">
        <is>
          <t>VÄSTERNORRLANDS LÄN</t>
        </is>
      </c>
      <c r="E2533" t="inlineStr">
        <is>
          <t>ÅNGE</t>
        </is>
      </c>
      <c r="G2533" t="n">
        <v>10.5</v>
      </c>
      <c r="H2533" t="n">
        <v>0</v>
      </c>
      <c r="I2533" t="n">
        <v>0</v>
      </c>
      <c r="J2533" t="n">
        <v>0</v>
      </c>
      <c r="K2533" t="n">
        <v>0</v>
      </c>
      <c r="L2533" t="n">
        <v>0</v>
      </c>
      <c r="M2533" t="n">
        <v>0</v>
      </c>
      <c r="N2533" t="n">
        <v>0</v>
      </c>
      <c r="O2533" t="n">
        <v>0</v>
      </c>
      <c r="P2533" t="n">
        <v>0</v>
      </c>
      <c r="Q2533" t="n">
        <v>0</v>
      </c>
      <c r="R2533" s="2" t="inlineStr"/>
    </row>
    <row r="2534" ht="15" customHeight="1">
      <c r="A2534" t="inlineStr">
        <is>
          <t>A 62544-2021</t>
        </is>
      </c>
      <c r="B2534" s="1" t="n">
        <v>44503.6136574074</v>
      </c>
      <c r="C2534" s="1" t="n">
        <v>46093</v>
      </c>
      <c r="D2534" t="inlineStr">
        <is>
          <t>VÄSTERNORRLANDS LÄN</t>
        </is>
      </c>
      <c r="E2534" t="inlineStr">
        <is>
          <t>ÖRNSKÖLDSVIK</t>
        </is>
      </c>
      <c r="F2534" t="inlineStr">
        <is>
          <t>Holmen skog AB</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34431-2025</t>
        </is>
      </c>
      <c r="B2535" s="1" t="n">
        <v>45845</v>
      </c>
      <c r="C2535" s="1" t="n">
        <v>46093</v>
      </c>
      <c r="D2535" t="inlineStr">
        <is>
          <t>VÄSTERNORRLANDS LÄN</t>
        </is>
      </c>
      <c r="E2535" t="inlineStr">
        <is>
          <t>ÖRNSKÖLDSVIK</t>
        </is>
      </c>
      <c r="G2535" t="n">
        <v>7.4</v>
      </c>
      <c r="H2535" t="n">
        <v>0</v>
      </c>
      <c r="I2535" t="n">
        <v>0</v>
      </c>
      <c r="J2535" t="n">
        <v>0</v>
      </c>
      <c r="K2535" t="n">
        <v>0</v>
      </c>
      <c r="L2535" t="n">
        <v>0</v>
      </c>
      <c r="M2535" t="n">
        <v>0</v>
      </c>
      <c r="N2535" t="n">
        <v>0</v>
      </c>
      <c r="O2535" t="n">
        <v>0</v>
      </c>
      <c r="P2535" t="n">
        <v>0</v>
      </c>
      <c r="Q2535" t="n">
        <v>0</v>
      </c>
      <c r="R2535" s="2" t="inlineStr"/>
    </row>
    <row r="2536" ht="15" customHeight="1">
      <c r="A2536" t="inlineStr">
        <is>
          <t>A 34432-2025</t>
        </is>
      </c>
      <c r="B2536" s="1" t="n">
        <v>45845</v>
      </c>
      <c r="C2536" s="1" t="n">
        <v>46093</v>
      </c>
      <c r="D2536" t="inlineStr">
        <is>
          <t>VÄSTERNORRLANDS LÄN</t>
        </is>
      </c>
      <c r="E2536" t="inlineStr">
        <is>
          <t>ÖRNSKÖLDSVIK</t>
        </is>
      </c>
      <c r="G2536" t="n">
        <v>6.4</v>
      </c>
      <c r="H2536" t="n">
        <v>0</v>
      </c>
      <c r="I2536" t="n">
        <v>0</v>
      </c>
      <c r="J2536" t="n">
        <v>0</v>
      </c>
      <c r="K2536" t="n">
        <v>0</v>
      </c>
      <c r="L2536" t="n">
        <v>0</v>
      </c>
      <c r="M2536" t="n">
        <v>0</v>
      </c>
      <c r="N2536" t="n">
        <v>0</v>
      </c>
      <c r="O2536" t="n">
        <v>0</v>
      </c>
      <c r="P2536" t="n">
        <v>0</v>
      </c>
      <c r="Q2536" t="n">
        <v>0</v>
      </c>
      <c r="R2536" s="2" t="inlineStr"/>
    </row>
    <row r="2537" ht="15" customHeight="1">
      <c r="A2537" t="inlineStr">
        <is>
          <t>A 16978-2024</t>
        </is>
      </c>
      <c r="B2537" s="1" t="n">
        <v>45412.02416666667</v>
      </c>
      <c r="C2537" s="1" t="n">
        <v>46093</v>
      </c>
      <c r="D2537" t="inlineStr">
        <is>
          <t>VÄSTERNORRLANDS LÄN</t>
        </is>
      </c>
      <c r="E2537" t="inlineStr">
        <is>
          <t>ÅNGE</t>
        </is>
      </c>
      <c r="F2537" t="inlineStr">
        <is>
          <t>SCA</t>
        </is>
      </c>
      <c r="G2537" t="n">
        <v>3.4</v>
      </c>
      <c r="H2537" t="n">
        <v>0</v>
      </c>
      <c r="I2537" t="n">
        <v>0</v>
      </c>
      <c r="J2537" t="n">
        <v>0</v>
      </c>
      <c r="K2537" t="n">
        <v>0</v>
      </c>
      <c r="L2537" t="n">
        <v>0</v>
      </c>
      <c r="M2537" t="n">
        <v>0</v>
      </c>
      <c r="N2537" t="n">
        <v>0</v>
      </c>
      <c r="O2537" t="n">
        <v>0</v>
      </c>
      <c r="P2537" t="n">
        <v>0</v>
      </c>
      <c r="Q2537" t="n">
        <v>0</v>
      </c>
      <c r="R2537" s="2" t="inlineStr"/>
    </row>
    <row r="2538" ht="15" customHeight="1">
      <c r="A2538" t="inlineStr">
        <is>
          <t>A 6119-2024</t>
        </is>
      </c>
      <c r="B2538" s="1" t="n">
        <v>45337</v>
      </c>
      <c r="C2538" s="1" t="n">
        <v>46093</v>
      </c>
      <c r="D2538" t="inlineStr">
        <is>
          <t>VÄSTERNORRLANDS LÄN</t>
        </is>
      </c>
      <c r="E2538" t="inlineStr">
        <is>
          <t>ÖRNSKÖLDSVIK</t>
        </is>
      </c>
      <c r="G2538" t="n">
        <v>2.7</v>
      </c>
      <c r="H2538" t="n">
        <v>0</v>
      </c>
      <c r="I2538" t="n">
        <v>0</v>
      </c>
      <c r="J2538" t="n">
        <v>0</v>
      </c>
      <c r="K2538" t="n">
        <v>0</v>
      </c>
      <c r="L2538" t="n">
        <v>0</v>
      </c>
      <c r="M2538" t="n">
        <v>0</v>
      </c>
      <c r="N2538" t="n">
        <v>0</v>
      </c>
      <c r="O2538" t="n">
        <v>0</v>
      </c>
      <c r="P2538" t="n">
        <v>0</v>
      </c>
      <c r="Q2538" t="n">
        <v>0</v>
      </c>
      <c r="R2538" s="2" t="inlineStr"/>
    </row>
    <row r="2539" ht="15" customHeight="1">
      <c r="A2539" t="inlineStr">
        <is>
          <t>A 4601-2023</t>
        </is>
      </c>
      <c r="B2539" s="1" t="n">
        <v>44956</v>
      </c>
      <c r="C2539" s="1" t="n">
        <v>46093</v>
      </c>
      <c r="D2539" t="inlineStr">
        <is>
          <t>VÄSTERNORRLANDS LÄN</t>
        </is>
      </c>
      <c r="E2539" t="inlineStr">
        <is>
          <t>KRAMFORS</t>
        </is>
      </c>
      <c r="G2539" t="n">
        <v>8.4</v>
      </c>
      <c r="H2539" t="n">
        <v>0</v>
      </c>
      <c r="I2539" t="n">
        <v>0</v>
      </c>
      <c r="J2539" t="n">
        <v>0</v>
      </c>
      <c r="K2539" t="n">
        <v>0</v>
      </c>
      <c r="L2539" t="n">
        <v>0</v>
      </c>
      <c r="M2539" t="n">
        <v>0</v>
      </c>
      <c r="N2539" t="n">
        <v>0</v>
      </c>
      <c r="O2539" t="n">
        <v>0</v>
      </c>
      <c r="P2539" t="n">
        <v>0</v>
      </c>
      <c r="Q2539" t="n">
        <v>0</v>
      </c>
      <c r="R2539" s="2" t="inlineStr"/>
    </row>
    <row r="2540" ht="15" customHeight="1">
      <c r="A2540" t="inlineStr">
        <is>
          <t>A 4602-2023</t>
        </is>
      </c>
      <c r="B2540" s="1" t="n">
        <v>44956</v>
      </c>
      <c r="C2540" s="1" t="n">
        <v>46093</v>
      </c>
      <c r="D2540" t="inlineStr">
        <is>
          <t>VÄSTERNORRLANDS LÄN</t>
        </is>
      </c>
      <c r="E2540" t="inlineStr">
        <is>
          <t>KRAMFORS</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20571-2025</t>
        </is>
      </c>
      <c r="B2541" s="1" t="n">
        <v>45775.6683912037</v>
      </c>
      <c r="C2541" s="1" t="n">
        <v>46093</v>
      </c>
      <c r="D2541" t="inlineStr">
        <is>
          <t>VÄSTERNORRLANDS LÄN</t>
        </is>
      </c>
      <c r="E2541" t="inlineStr">
        <is>
          <t>ÖRNSKÖLDSVIK</t>
        </is>
      </c>
      <c r="F2541" t="inlineStr">
        <is>
          <t>Holmen skog AB</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61909-2021</t>
        </is>
      </c>
      <c r="B2542" s="1" t="n">
        <v>44502.35310185186</v>
      </c>
      <c r="C2542" s="1" t="n">
        <v>46093</v>
      </c>
      <c r="D2542" t="inlineStr">
        <is>
          <t>VÄSTERNORRLANDS LÄN</t>
        </is>
      </c>
      <c r="E2542" t="inlineStr">
        <is>
          <t>ÅNGE</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34019-2025</t>
        </is>
      </c>
      <c r="B2543" s="1" t="n">
        <v>45845.34416666667</v>
      </c>
      <c r="C2543" s="1" t="n">
        <v>46093</v>
      </c>
      <c r="D2543" t="inlineStr">
        <is>
          <t>VÄSTERNORRLANDS LÄN</t>
        </is>
      </c>
      <c r="E2543" t="inlineStr">
        <is>
          <t>ÅNGE</t>
        </is>
      </c>
      <c r="F2543" t="inlineStr">
        <is>
          <t>SCA</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19472-2023</t>
        </is>
      </c>
      <c r="B2544" s="1" t="n">
        <v>45049</v>
      </c>
      <c r="C2544" s="1" t="n">
        <v>46093</v>
      </c>
      <c r="D2544" t="inlineStr">
        <is>
          <t>VÄSTERNORRLANDS LÄN</t>
        </is>
      </c>
      <c r="E2544" t="inlineStr">
        <is>
          <t>KRAMFORS</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19519-2023</t>
        </is>
      </c>
      <c r="B2545" s="1" t="n">
        <v>45050</v>
      </c>
      <c r="C2545" s="1" t="n">
        <v>46093</v>
      </c>
      <c r="D2545" t="inlineStr">
        <is>
          <t>VÄSTERNORRLANDS LÄN</t>
        </is>
      </c>
      <c r="E2545" t="inlineStr">
        <is>
          <t>ÖRNSKÖLDSVIK</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9149-2025</t>
        </is>
      </c>
      <c r="B2546" s="1" t="n">
        <v>45714</v>
      </c>
      <c r="C2546" s="1" t="n">
        <v>46093</v>
      </c>
      <c r="D2546" t="inlineStr">
        <is>
          <t>VÄSTERNORRLANDS LÄN</t>
        </is>
      </c>
      <c r="E2546" t="inlineStr">
        <is>
          <t>SUNDSVALL</t>
        </is>
      </c>
      <c r="F2546" t="inlineStr">
        <is>
          <t>SCA</t>
        </is>
      </c>
      <c r="G2546" t="n">
        <v>15.5</v>
      </c>
      <c r="H2546" t="n">
        <v>0</v>
      </c>
      <c r="I2546" t="n">
        <v>0</v>
      </c>
      <c r="J2546" t="n">
        <v>0</v>
      </c>
      <c r="K2546" t="n">
        <v>0</v>
      </c>
      <c r="L2546" t="n">
        <v>0</v>
      </c>
      <c r="M2546" t="n">
        <v>0</v>
      </c>
      <c r="N2546" t="n">
        <v>0</v>
      </c>
      <c r="O2546" t="n">
        <v>0</v>
      </c>
      <c r="P2546" t="n">
        <v>0</v>
      </c>
      <c r="Q2546" t="n">
        <v>0</v>
      </c>
      <c r="R2546" s="2" t="inlineStr"/>
    </row>
    <row r="2547" ht="15" customHeight="1">
      <c r="A2547" t="inlineStr">
        <is>
          <t>A 25020-2021</t>
        </is>
      </c>
      <c r="B2547" s="1" t="n">
        <v>44341</v>
      </c>
      <c r="C2547" s="1" t="n">
        <v>46093</v>
      </c>
      <c r="D2547" t="inlineStr">
        <is>
          <t>VÄSTERNORRLANDS LÄN</t>
        </is>
      </c>
      <c r="E2547" t="inlineStr">
        <is>
          <t>ÅNGE</t>
        </is>
      </c>
      <c r="G2547" t="n">
        <v>3.4</v>
      </c>
      <c r="H2547" t="n">
        <v>0</v>
      </c>
      <c r="I2547" t="n">
        <v>0</v>
      </c>
      <c r="J2547" t="n">
        <v>0</v>
      </c>
      <c r="K2547" t="n">
        <v>0</v>
      </c>
      <c r="L2547" t="n">
        <v>0</v>
      </c>
      <c r="M2547" t="n">
        <v>0</v>
      </c>
      <c r="N2547" t="n">
        <v>0</v>
      </c>
      <c r="O2547" t="n">
        <v>0</v>
      </c>
      <c r="P2547" t="n">
        <v>0</v>
      </c>
      <c r="Q2547" t="n">
        <v>0</v>
      </c>
      <c r="R2547" s="2" t="inlineStr"/>
    </row>
    <row r="2548" ht="15" customHeight="1">
      <c r="A2548" t="inlineStr">
        <is>
          <t>A 60011-2023</t>
        </is>
      </c>
      <c r="B2548" s="1" t="n">
        <v>45257</v>
      </c>
      <c r="C2548" s="1" t="n">
        <v>46093</v>
      </c>
      <c r="D2548" t="inlineStr">
        <is>
          <t>VÄSTERNORRLANDS LÄN</t>
        </is>
      </c>
      <c r="E2548" t="inlineStr">
        <is>
          <t>TIMRÅ</t>
        </is>
      </c>
      <c r="F2548" t="inlineStr">
        <is>
          <t>SCA</t>
        </is>
      </c>
      <c r="G2548" t="n">
        <v>3</v>
      </c>
      <c r="H2548" t="n">
        <v>0</v>
      </c>
      <c r="I2548" t="n">
        <v>0</v>
      </c>
      <c r="J2548" t="n">
        <v>0</v>
      </c>
      <c r="K2548" t="n">
        <v>0</v>
      </c>
      <c r="L2548" t="n">
        <v>0</v>
      </c>
      <c r="M2548" t="n">
        <v>0</v>
      </c>
      <c r="N2548" t="n">
        <v>0</v>
      </c>
      <c r="O2548" t="n">
        <v>0</v>
      </c>
      <c r="P2548" t="n">
        <v>0</v>
      </c>
      <c r="Q2548" t="n">
        <v>0</v>
      </c>
      <c r="R2548" s="2" t="inlineStr"/>
    </row>
    <row r="2549" ht="15" customHeight="1">
      <c r="A2549" t="inlineStr">
        <is>
          <t>A 32756-2022</t>
        </is>
      </c>
      <c r="B2549" s="1" t="n">
        <v>44783</v>
      </c>
      <c r="C2549" s="1" t="n">
        <v>46093</v>
      </c>
      <c r="D2549" t="inlineStr">
        <is>
          <t>VÄSTERNORRLANDS LÄN</t>
        </is>
      </c>
      <c r="E2549" t="inlineStr">
        <is>
          <t>ÖRNSKÖLDSVIK</t>
        </is>
      </c>
      <c r="G2549" t="n">
        <v>3.9</v>
      </c>
      <c r="H2549" t="n">
        <v>0</v>
      </c>
      <c r="I2549" t="n">
        <v>0</v>
      </c>
      <c r="J2549" t="n">
        <v>0</v>
      </c>
      <c r="K2549" t="n">
        <v>0</v>
      </c>
      <c r="L2549" t="n">
        <v>0</v>
      </c>
      <c r="M2549" t="n">
        <v>0</v>
      </c>
      <c r="N2549" t="n">
        <v>0</v>
      </c>
      <c r="O2549" t="n">
        <v>0</v>
      </c>
      <c r="P2549" t="n">
        <v>0</v>
      </c>
      <c r="Q2549" t="n">
        <v>0</v>
      </c>
      <c r="R2549" s="2" t="inlineStr"/>
    </row>
    <row r="2550" ht="15" customHeight="1">
      <c r="A2550" t="inlineStr">
        <is>
          <t>A 62077-2021</t>
        </is>
      </c>
      <c r="B2550" s="1" t="n">
        <v>44502</v>
      </c>
      <c r="C2550" s="1" t="n">
        <v>46093</v>
      </c>
      <c r="D2550" t="inlineStr">
        <is>
          <t>VÄSTERNORRLANDS LÄN</t>
        </is>
      </c>
      <c r="E2550" t="inlineStr">
        <is>
          <t>SUNDSVALL</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59978-2021</t>
        </is>
      </c>
      <c r="B2551" s="1" t="n">
        <v>44494.93712962963</v>
      </c>
      <c r="C2551" s="1" t="n">
        <v>46093</v>
      </c>
      <c r="D2551" t="inlineStr">
        <is>
          <t>VÄSTERNORRLANDS LÄN</t>
        </is>
      </c>
      <c r="E2551" t="inlineStr">
        <is>
          <t>SUNDSVALL</t>
        </is>
      </c>
      <c r="F2551" t="inlineStr">
        <is>
          <t>SCA</t>
        </is>
      </c>
      <c r="G2551" t="n">
        <v>8.1</v>
      </c>
      <c r="H2551" t="n">
        <v>0</v>
      </c>
      <c r="I2551" t="n">
        <v>0</v>
      </c>
      <c r="J2551" t="n">
        <v>0</v>
      </c>
      <c r="K2551" t="n">
        <v>0</v>
      </c>
      <c r="L2551" t="n">
        <v>0</v>
      </c>
      <c r="M2551" t="n">
        <v>0</v>
      </c>
      <c r="N2551" t="n">
        <v>0</v>
      </c>
      <c r="O2551" t="n">
        <v>0</v>
      </c>
      <c r="P2551" t="n">
        <v>0</v>
      </c>
      <c r="Q2551" t="n">
        <v>0</v>
      </c>
      <c r="R2551" s="2" t="inlineStr"/>
    </row>
    <row r="2552" ht="15" customHeight="1">
      <c r="A2552" t="inlineStr">
        <is>
          <t>A 8408-2024</t>
        </is>
      </c>
      <c r="B2552" s="1" t="n">
        <v>45352</v>
      </c>
      <c r="C2552" s="1" t="n">
        <v>46093</v>
      </c>
      <c r="D2552" t="inlineStr">
        <is>
          <t>VÄSTERNORRLANDS LÄN</t>
        </is>
      </c>
      <c r="E2552" t="inlineStr">
        <is>
          <t>HÄRNÖSAND</t>
        </is>
      </c>
      <c r="F2552" t="inlineStr">
        <is>
          <t>SCA</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8414-2024</t>
        </is>
      </c>
      <c r="B2553" s="1" t="n">
        <v>45352</v>
      </c>
      <c r="C2553" s="1" t="n">
        <v>46093</v>
      </c>
      <c r="D2553" t="inlineStr">
        <is>
          <t>VÄSTERNORRLANDS LÄN</t>
        </is>
      </c>
      <c r="E2553" t="inlineStr">
        <is>
          <t>SOLLEFTEÅ</t>
        </is>
      </c>
      <c r="F2553" t="inlineStr">
        <is>
          <t>SCA</t>
        </is>
      </c>
      <c r="G2553" t="n">
        <v>5.2</v>
      </c>
      <c r="H2553" t="n">
        <v>0</v>
      </c>
      <c r="I2553" t="n">
        <v>0</v>
      </c>
      <c r="J2553" t="n">
        <v>0</v>
      </c>
      <c r="K2553" t="n">
        <v>0</v>
      </c>
      <c r="L2553" t="n">
        <v>0</v>
      </c>
      <c r="M2553" t="n">
        <v>0</v>
      </c>
      <c r="N2553" t="n">
        <v>0</v>
      </c>
      <c r="O2553" t="n">
        <v>0</v>
      </c>
      <c r="P2553" t="n">
        <v>0</v>
      </c>
      <c r="Q2553" t="n">
        <v>0</v>
      </c>
      <c r="R2553" s="2" t="inlineStr"/>
    </row>
    <row r="2554" ht="15" customHeight="1">
      <c r="A2554" t="inlineStr">
        <is>
          <t>A 34390-2025</t>
        </is>
      </c>
      <c r="B2554" s="1" t="n">
        <v>45846.57333333333</v>
      </c>
      <c r="C2554" s="1" t="n">
        <v>46093</v>
      </c>
      <c r="D2554" t="inlineStr">
        <is>
          <t>VÄSTERNORRLANDS LÄN</t>
        </is>
      </c>
      <c r="E2554" t="inlineStr">
        <is>
          <t>SUNDSVALL</t>
        </is>
      </c>
      <c r="G2554" t="n">
        <v>3.4</v>
      </c>
      <c r="H2554" t="n">
        <v>0</v>
      </c>
      <c r="I2554" t="n">
        <v>0</v>
      </c>
      <c r="J2554" t="n">
        <v>0</v>
      </c>
      <c r="K2554" t="n">
        <v>0</v>
      </c>
      <c r="L2554" t="n">
        <v>0</v>
      </c>
      <c r="M2554" t="n">
        <v>0</v>
      </c>
      <c r="N2554" t="n">
        <v>0</v>
      </c>
      <c r="O2554" t="n">
        <v>0</v>
      </c>
      <c r="P2554" t="n">
        <v>0</v>
      </c>
      <c r="Q2554" t="n">
        <v>0</v>
      </c>
      <c r="R2554" s="2" t="inlineStr"/>
    </row>
    <row r="2555" ht="15" customHeight="1">
      <c r="A2555" t="inlineStr">
        <is>
          <t>A 55638-2021</t>
        </is>
      </c>
      <c r="B2555" s="1" t="n">
        <v>44476.34944444444</v>
      </c>
      <c r="C2555" s="1" t="n">
        <v>46093</v>
      </c>
      <c r="D2555" t="inlineStr">
        <is>
          <t>VÄSTERNORRLANDS LÄN</t>
        </is>
      </c>
      <c r="E2555" t="inlineStr">
        <is>
          <t>ÖRNSKÖLDSVIK</t>
        </is>
      </c>
      <c r="F2555" t="inlineStr">
        <is>
          <t>Holmen skog AB</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47966-2024</t>
        </is>
      </c>
      <c r="B2556" s="1" t="n">
        <v>45589.38642361111</v>
      </c>
      <c r="C2556" s="1" t="n">
        <v>46093</v>
      </c>
      <c r="D2556" t="inlineStr">
        <is>
          <t>VÄSTERNORRLANDS LÄN</t>
        </is>
      </c>
      <c r="E2556" t="inlineStr">
        <is>
          <t>KRAMFORS</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55528-2022</t>
        </is>
      </c>
      <c r="B2557" s="1" t="n">
        <v>44887</v>
      </c>
      <c r="C2557" s="1" t="n">
        <v>46093</v>
      </c>
      <c r="D2557" t="inlineStr">
        <is>
          <t>VÄSTERNORRLANDS LÄN</t>
        </is>
      </c>
      <c r="E2557" t="inlineStr">
        <is>
          <t>SUNDSVALL</t>
        </is>
      </c>
      <c r="F2557" t="inlineStr">
        <is>
          <t>SCA</t>
        </is>
      </c>
      <c r="G2557" t="n">
        <v>3.3</v>
      </c>
      <c r="H2557" t="n">
        <v>0</v>
      </c>
      <c r="I2557" t="n">
        <v>0</v>
      </c>
      <c r="J2557" t="n">
        <v>0</v>
      </c>
      <c r="K2557" t="n">
        <v>0</v>
      </c>
      <c r="L2557" t="n">
        <v>0</v>
      </c>
      <c r="M2557" t="n">
        <v>0</v>
      </c>
      <c r="N2557" t="n">
        <v>0</v>
      </c>
      <c r="O2557" t="n">
        <v>0</v>
      </c>
      <c r="P2557" t="n">
        <v>0</v>
      </c>
      <c r="Q2557" t="n">
        <v>0</v>
      </c>
      <c r="R2557" s="2" t="inlineStr"/>
    </row>
    <row r="2558" ht="15" customHeight="1">
      <c r="A2558" t="inlineStr">
        <is>
          <t>A 59928-2023</t>
        </is>
      </c>
      <c r="B2558" s="1" t="n">
        <v>45254</v>
      </c>
      <c r="C2558" s="1" t="n">
        <v>46093</v>
      </c>
      <c r="D2558" t="inlineStr">
        <is>
          <t>VÄSTERNORRLANDS LÄN</t>
        </is>
      </c>
      <c r="E2558" t="inlineStr">
        <is>
          <t>SUNDSVALL</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62283-2023</t>
        </is>
      </c>
      <c r="B2559" s="1" t="n">
        <v>45266</v>
      </c>
      <c r="C2559" s="1" t="n">
        <v>46093</v>
      </c>
      <c r="D2559" t="inlineStr">
        <is>
          <t>VÄSTERNORRLANDS LÄN</t>
        </is>
      </c>
      <c r="E2559" t="inlineStr">
        <is>
          <t>SUNDSVALL</t>
        </is>
      </c>
      <c r="G2559" t="n">
        <v>6.4</v>
      </c>
      <c r="H2559" t="n">
        <v>0</v>
      </c>
      <c r="I2559" t="n">
        <v>0</v>
      </c>
      <c r="J2559" t="n">
        <v>0</v>
      </c>
      <c r="K2559" t="n">
        <v>0</v>
      </c>
      <c r="L2559" t="n">
        <v>0</v>
      </c>
      <c r="M2559" t="n">
        <v>0</v>
      </c>
      <c r="N2559" t="n">
        <v>0</v>
      </c>
      <c r="O2559" t="n">
        <v>0</v>
      </c>
      <c r="P2559" t="n">
        <v>0</v>
      </c>
      <c r="Q2559" t="n">
        <v>0</v>
      </c>
      <c r="R2559" s="2" t="inlineStr"/>
    </row>
    <row r="2560" ht="15" customHeight="1">
      <c r="A2560" t="inlineStr">
        <is>
          <t>A 57310-2021</t>
        </is>
      </c>
      <c r="B2560" s="1" t="n">
        <v>44483.43247685185</v>
      </c>
      <c r="C2560" s="1" t="n">
        <v>46093</v>
      </c>
      <c r="D2560" t="inlineStr">
        <is>
          <t>VÄSTERNORRLANDS LÄN</t>
        </is>
      </c>
      <c r="E2560" t="inlineStr">
        <is>
          <t>ÖRNSKÖLDSVIK</t>
        </is>
      </c>
      <c r="F2560" t="inlineStr">
        <is>
          <t>Holmen skog AB</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944-2022</t>
        </is>
      </c>
      <c r="B2561" s="1" t="n">
        <v>44568</v>
      </c>
      <c r="C2561" s="1" t="n">
        <v>46093</v>
      </c>
      <c r="D2561" t="inlineStr">
        <is>
          <t>VÄSTERNORRLANDS LÄN</t>
        </is>
      </c>
      <c r="E2561" t="inlineStr">
        <is>
          <t>ÖRNSKÖLDSVIK</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53450-2023</t>
        </is>
      </c>
      <c r="B2562" s="1" t="n">
        <v>45229.96534722222</v>
      </c>
      <c r="C2562" s="1" t="n">
        <v>46093</v>
      </c>
      <c r="D2562" t="inlineStr">
        <is>
          <t>VÄSTERNORRLANDS LÄN</t>
        </is>
      </c>
      <c r="E2562" t="inlineStr">
        <is>
          <t>SUNDSVALL</t>
        </is>
      </c>
      <c r="F2562" t="inlineStr">
        <is>
          <t>SCA</t>
        </is>
      </c>
      <c r="G2562" t="n">
        <v>5.9</v>
      </c>
      <c r="H2562" t="n">
        <v>0</v>
      </c>
      <c r="I2562" t="n">
        <v>0</v>
      </c>
      <c r="J2562" t="n">
        <v>0</v>
      </c>
      <c r="K2562" t="n">
        <v>0</v>
      </c>
      <c r="L2562" t="n">
        <v>0</v>
      </c>
      <c r="M2562" t="n">
        <v>0</v>
      </c>
      <c r="N2562" t="n">
        <v>0</v>
      </c>
      <c r="O2562" t="n">
        <v>0</v>
      </c>
      <c r="P2562" t="n">
        <v>0</v>
      </c>
      <c r="Q2562" t="n">
        <v>0</v>
      </c>
      <c r="R2562" s="2" t="inlineStr"/>
    </row>
    <row r="2563" ht="15" customHeight="1">
      <c r="A2563" t="inlineStr">
        <is>
          <t>A 34074-2025</t>
        </is>
      </c>
      <c r="B2563" s="1" t="n">
        <v>45845.44815972223</v>
      </c>
      <c r="C2563" s="1" t="n">
        <v>46093</v>
      </c>
      <c r="D2563" t="inlineStr">
        <is>
          <t>VÄSTERNORRLANDS LÄN</t>
        </is>
      </c>
      <c r="E2563" t="inlineStr">
        <is>
          <t>ÖRNSKÖLDSVIK</t>
        </is>
      </c>
      <c r="G2563" t="n">
        <v>4.1</v>
      </c>
      <c r="H2563" t="n">
        <v>0</v>
      </c>
      <c r="I2563" t="n">
        <v>0</v>
      </c>
      <c r="J2563" t="n">
        <v>0</v>
      </c>
      <c r="K2563" t="n">
        <v>0</v>
      </c>
      <c r="L2563" t="n">
        <v>0</v>
      </c>
      <c r="M2563" t="n">
        <v>0</v>
      </c>
      <c r="N2563" t="n">
        <v>0</v>
      </c>
      <c r="O2563" t="n">
        <v>0</v>
      </c>
      <c r="P2563" t="n">
        <v>0</v>
      </c>
      <c r="Q2563" t="n">
        <v>0</v>
      </c>
      <c r="R2563" s="2" t="inlineStr"/>
    </row>
    <row r="2564" ht="15" customHeight="1">
      <c r="A2564" t="inlineStr">
        <is>
          <t>A 992-2022</t>
        </is>
      </c>
      <c r="B2564" s="1" t="n">
        <v>44571</v>
      </c>
      <c r="C2564" s="1" t="n">
        <v>46093</v>
      </c>
      <c r="D2564" t="inlineStr">
        <is>
          <t>VÄSTERNORRLANDS LÄN</t>
        </is>
      </c>
      <c r="E2564" t="inlineStr">
        <is>
          <t>HÄRNÖSAND</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53549-2023</t>
        </is>
      </c>
      <c r="B2565" s="1" t="n">
        <v>45230</v>
      </c>
      <c r="C2565" s="1" t="n">
        <v>46093</v>
      </c>
      <c r="D2565" t="inlineStr">
        <is>
          <t>VÄSTERNORRLANDS LÄN</t>
        </is>
      </c>
      <c r="E2565" t="inlineStr">
        <is>
          <t>ÅNGE</t>
        </is>
      </c>
      <c r="F2565" t="inlineStr">
        <is>
          <t>Holmen skog AB</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41781-2024</t>
        </is>
      </c>
      <c r="B2566" s="1" t="n">
        <v>45561.34938657407</v>
      </c>
      <c r="C2566" s="1" t="n">
        <v>46093</v>
      </c>
      <c r="D2566" t="inlineStr">
        <is>
          <t>VÄSTERNORRLANDS LÄN</t>
        </is>
      </c>
      <c r="E2566" t="inlineStr">
        <is>
          <t>ÅNGE</t>
        </is>
      </c>
      <c r="F2566" t="inlineStr">
        <is>
          <t>SCA</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29926-2021</t>
        </is>
      </c>
      <c r="B2567" s="1" t="n">
        <v>44362.93724537037</v>
      </c>
      <c r="C2567" s="1" t="n">
        <v>46093</v>
      </c>
      <c r="D2567" t="inlineStr">
        <is>
          <t>VÄSTERNORRLANDS LÄN</t>
        </is>
      </c>
      <c r="E2567" t="inlineStr">
        <is>
          <t>SUNDSVALL</t>
        </is>
      </c>
      <c r="G2567" t="n">
        <v>3.3</v>
      </c>
      <c r="H2567" t="n">
        <v>0</v>
      </c>
      <c r="I2567" t="n">
        <v>0</v>
      </c>
      <c r="J2567" t="n">
        <v>0</v>
      </c>
      <c r="K2567" t="n">
        <v>0</v>
      </c>
      <c r="L2567" t="n">
        <v>0</v>
      </c>
      <c r="M2567" t="n">
        <v>0</v>
      </c>
      <c r="N2567" t="n">
        <v>0</v>
      </c>
      <c r="O2567" t="n">
        <v>0</v>
      </c>
      <c r="P2567" t="n">
        <v>0</v>
      </c>
      <c r="Q2567" t="n">
        <v>0</v>
      </c>
      <c r="R2567" s="2" t="inlineStr"/>
    </row>
    <row r="2568" ht="15" customHeight="1">
      <c r="A2568" t="inlineStr">
        <is>
          <t>A 14731-2025</t>
        </is>
      </c>
      <c r="B2568" s="1" t="n">
        <v>45742.6360300926</v>
      </c>
      <c r="C2568" s="1" t="n">
        <v>46093</v>
      </c>
      <c r="D2568" t="inlineStr">
        <is>
          <t>VÄSTERNORRLANDS LÄN</t>
        </is>
      </c>
      <c r="E2568" t="inlineStr">
        <is>
          <t>SOLLEFTEÅ</t>
        </is>
      </c>
      <c r="F2568" t="inlineStr">
        <is>
          <t>SCA</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14889-2025</t>
        </is>
      </c>
      <c r="B2569" s="1" t="n">
        <v>45743.46898148148</v>
      </c>
      <c r="C2569" s="1" t="n">
        <v>46093</v>
      </c>
      <c r="D2569" t="inlineStr">
        <is>
          <t>VÄSTERNORRLANDS LÄN</t>
        </is>
      </c>
      <c r="E2569" t="inlineStr">
        <is>
          <t>SOLLEFTEÅ</t>
        </is>
      </c>
      <c r="G2569" t="n">
        <v>5.8</v>
      </c>
      <c r="H2569" t="n">
        <v>0</v>
      </c>
      <c r="I2569" t="n">
        <v>0</v>
      </c>
      <c r="J2569" t="n">
        <v>0</v>
      </c>
      <c r="K2569" t="n">
        <v>0</v>
      </c>
      <c r="L2569" t="n">
        <v>0</v>
      </c>
      <c r="M2569" t="n">
        <v>0</v>
      </c>
      <c r="N2569" t="n">
        <v>0</v>
      </c>
      <c r="O2569" t="n">
        <v>0</v>
      </c>
      <c r="P2569" t="n">
        <v>0</v>
      </c>
      <c r="Q2569" t="n">
        <v>0</v>
      </c>
      <c r="R2569" s="2" t="inlineStr"/>
    </row>
    <row r="2570" ht="15" customHeight="1">
      <c r="A2570" t="inlineStr">
        <is>
          <t>A 58469-2023</t>
        </is>
      </c>
      <c r="B2570" s="1" t="n">
        <v>45250</v>
      </c>
      <c r="C2570" s="1" t="n">
        <v>46093</v>
      </c>
      <c r="D2570" t="inlineStr">
        <is>
          <t>VÄSTERNORRLANDS LÄN</t>
        </is>
      </c>
      <c r="E2570" t="inlineStr">
        <is>
          <t>ÅNGE</t>
        </is>
      </c>
      <c r="F2570" t="inlineStr">
        <is>
          <t>SCA</t>
        </is>
      </c>
      <c r="G2570" t="n">
        <v>4.3</v>
      </c>
      <c r="H2570" t="n">
        <v>0</v>
      </c>
      <c r="I2570" t="n">
        <v>0</v>
      </c>
      <c r="J2570" t="n">
        <v>0</v>
      </c>
      <c r="K2570" t="n">
        <v>0</v>
      </c>
      <c r="L2570" t="n">
        <v>0</v>
      </c>
      <c r="M2570" t="n">
        <v>0</v>
      </c>
      <c r="N2570" t="n">
        <v>0</v>
      </c>
      <c r="O2570" t="n">
        <v>0</v>
      </c>
      <c r="P2570" t="n">
        <v>0</v>
      </c>
      <c r="Q2570" t="n">
        <v>0</v>
      </c>
      <c r="R2570" s="2" t="inlineStr"/>
    </row>
    <row r="2571" ht="15" customHeight="1">
      <c r="A2571" t="inlineStr">
        <is>
          <t>A 28356-2023</t>
        </is>
      </c>
      <c r="B2571" s="1" t="n">
        <v>45099</v>
      </c>
      <c r="C2571" s="1" t="n">
        <v>46093</v>
      </c>
      <c r="D2571" t="inlineStr">
        <is>
          <t>VÄSTERNORRLANDS LÄN</t>
        </is>
      </c>
      <c r="E2571" t="inlineStr">
        <is>
          <t>KRAMFORS</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19724-2025</t>
        </is>
      </c>
      <c r="B2572" s="1" t="n">
        <v>45771.3650462963</v>
      </c>
      <c r="C2572" s="1" t="n">
        <v>46093</v>
      </c>
      <c r="D2572" t="inlineStr">
        <is>
          <t>VÄSTERNORRLANDS LÄN</t>
        </is>
      </c>
      <c r="E2572" t="inlineStr">
        <is>
          <t>SUNDSVALL</t>
        </is>
      </c>
      <c r="F2572" t="inlineStr">
        <is>
          <t>SCA</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45958-2023</t>
        </is>
      </c>
      <c r="B2573" s="1" t="n">
        <v>45195</v>
      </c>
      <c r="C2573" s="1" t="n">
        <v>46093</v>
      </c>
      <c r="D2573" t="inlineStr">
        <is>
          <t>VÄSTERNORRLANDS LÄN</t>
        </is>
      </c>
      <c r="E2573" t="inlineStr">
        <is>
          <t>SOLLEFTEÅ</t>
        </is>
      </c>
      <c r="F2573" t="inlineStr">
        <is>
          <t>SCA</t>
        </is>
      </c>
      <c r="G2573" t="n">
        <v>9.9</v>
      </c>
      <c r="H2573" t="n">
        <v>0</v>
      </c>
      <c r="I2573" t="n">
        <v>0</v>
      </c>
      <c r="J2573" t="n">
        <v>0</v>
      </c>
      <c r="K2573" t="n">
        <v>0</v>
      </c>
      <c r="L2573" t="n">
        <v>0</v>
      </c>
      <c r="M2573" t="n">
        <v>0</v>
      </c>
      <c r="N2573" t="n">
        <v>0</v>
      </c>
      <c r="O2573" t="n">
        <v>0</v>
      </c>
      <c r="P2573" t="n">
        <v>0</v>
      </c>
      <c r="Q2573" t="n">
        <v>0</v>
      </c>
      <c r="R2573" s="2" t="inlineStr"/>
    </row>
    <row r="2574" ht="15" customHeight="1">
      <c r="A2574" t="inlineStr">
        <is>
          <t>A 19749-2025</t>
        </is>
      </c>
      <c r="B2574" s="1" t="n">
        <v>45771.38582175926</v>
      </c>
      <c r="C2574" s="1" t="n">
        <v>46093</v>
      </c>
      <c r="D2574" t="inlineStr">
        <is>
          <t>VÄSTERNORRLANDS LÄN</t>
        </is>
      </c>
      <c r="E2574" t="inlineStr">
        <is>
          <t>SOLLEFTEÅ</t>
        </is>
      </c>
      <c r="F2574" t="inlineStr">
        <is>
          <t>SCA</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28172-2021</t>
        </is>
      </c>
      <c r="B2575" s="1" t="n">
        <v>44355</v>
      </c>
      <c r="C2575" s="1" t="n">
        <v>46093</v>
      </c>
      <c r="D2575" t="inlineStr">
        <is>
          <t>VÄSTERNORRLANDS LÄN</t>
        </is>
      </c>
      <c r="E2575" t="inlineStr">
        <is>
          <t>KRAMFORS</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34383-2025</t>
        </is>
      </c>
      <c r="B2576" s="1" t="n">
        <v>45846.55236111111</v>
      </c>
      <c r="C2576" s="1" t="n">
        <v>46093</v>
      </c>
      <c r="D2576" t="inlineStr">
        <is>
          <t>VÄSTERNORRLANDS LÄN</t>
        </is>
      </c>
      <c r="E2576" t="inlineStr">
        <is>
          <t>SUNDSVALL</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5722-2024</t>
        </is>
      </c>
      <c r="B2577" s="1" t="n">
        <v>45334</v>
      </c>
      <c r="C2577" s="1" t="n">
        <v>46093</v>
      </c>
      <c r="D2577" t="inlineStr">
        <is>
          <t>VÄSTERNORRLANDS LÄN</t>
        </is>
      </c>
      <c r="E2577" t="inlineStr">
        <is>
          <t>TIMRÅ</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73988-2021</t>
        </is>
      </c>
      <c r="B2578" s="1" t="n">
        <v>44556</v>
      </c>
      <c r="C2578" s="1" t="n">
        <v>46093</v>
      </c>
      <c r="D2578" t="inlineStr">
        <is>
          <t>VÄSTERNORRLANDS LÄN</t>
        </is>
      </c>
      <c r="E2578" t="inlineStr">
        <is>
          <t>KRAMFORS</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9557-2024</t>
        </is>
      </c>
      <c r="B2579" s="1" t="n">
        <v>45360</v>
      </c>
      <c r="C2579" s="1" t="n">
        <v>46093</v>
      </c>
      <c r="D2579" t="inlineStr">
        <is>
          <t>VÄSTERNORRLANDS LÄN</t>
        </is>
      </c>
      <c r="E2579" t="inlineStr">
        <is>
          <t>SOLLEFTEÅ</t>
        </is>
      </c>
      <c r="F2579" t="inlineStr">
        <is>
          <t>SCA</t>
        </is>
      </c>
      <c r="G2579" t="n">
        <v>7.4</v>
      </c>
      <c r="H2579" t="n">
        <v>0</v>
      </c>
      <c r="I2579" t="n">
        <v>0</v>
      </c>
      <c r="J2579" t="n">
        <v>0</v>
      </c>
      <c r="K2579" t="n">
        <v>0</v>
      </c>
      <c r="L2579" t="n">
        <v>0</v>
      </c>
      <c r="M2579" t="n">
        <v>0</v>
      </c>
      <c r="N2579" t="n">
        <v>0</v>
      </c>
      <c r="O2579" t="n">
        <v>0</v>
      </c>
      <c r="P2579" t="n">
        <v>0</v>
      </c>
      <c r="Q2579" t="n">
        <v>0</v>
      </c>
      <c r="R2579" s="2" t="inlineStr"/>
    </row>
    <row r="2580" ht="15" customHeight="1">
      <c r="A2580" t="inlineStr">
        <is>
          <t>A 42098-2024</t>
        </is>
      </c>
      <c r="B2580" s="1" t="n">
        <v>45562.34532407407</v>
      </c>
      <c r="C2580" s="1" t="n">
        <v>46093</v>
      </c>
      <c r="D2580" t="inlineStr">
        <is>
          <t>VÄSTERNORRLANDS LÄN</t>
        </is>
      </c>
      <c r="E2580" t="inlineStr">
        <is>
          <t>ÅNGE</t>
        </is>
      </c>
      <c r="F2580" t="inlineStr">
        <is>
          <t>SCA</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31005-2022</t>
        </is>
      </c>
      <c r="B2581" s="1" t="n">
        <v>44768</v>
      </c>
      <c r="C2581" s="1" t="n">
        <v>46093</v>
      </c>
      <c r="D2581" t="inlineStr">
        <is>
          <t>VÄSTERNORRLANDS LÄN</t>
        </is>
      </c>
      <c r="E2581" t="inlineStr">
        <is>
          <t>SOLLEFTEÅ</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11925-2024</t>
        </is>
      </c>
      <c r="B2582" s="1" t="n">
        <v>45376.64160879629</v>
      </c>
      <c r="C2582" s="1" t="n">
        <v>46093</v>
      </c>
      <c r="D2582" t="inlineStr">
        <is>
          <t>VÄSTERNORRLANDS LÄN</t>
        </is>
      </c>
      <c r="E2582" t="inlineStr">
        <is>
          <t>ÖRNSKÖLDSVIK</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28730-2023</t>
        </is>
      </c>
      <c r="B2583" s="1" t="n">
        <v>45103</v>
      </c>
      <c r="C2583" s="1" t="n">
        <v>46093</v>
      </c>
      <c r="D2583" t="inlineStr">
        <is>
          <t>VÄSTERNORRLANDS LÄN</t>
        </is>
      </c>
      <c r="E2583" t="inlineStr">
        <is>
          <t>ÖRNSKÖLDSVIK</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19438-2021</t>
        </is>
      </c>
      <c r="B2584" s="1" t="n">
        <v>44310</v>
      </c>
      <c r="C2584" s="1" t="n">
        <v>46093</v>
      </c>
      <c r="D2584" t="inlineStr">
        <is>
          <t>VÄSTERNORRLANDS LÄN</t>
        </is>
      </c>
      <c r="E2584" t="inlineStr">
        <is>
          <t>KRAMFORS</t>
        </is>
      </c>
      <c r="G2584" t="n">
        <v>5</v>
      </c>
      <c r="H2584" t="n">
        <v>0</v>
      </c>
      <c r="I2584" t="n">
        <v>0</v>
      </c>
      <c r="J2584" t="n">
        <v>0</v>
      </c>
      <c r="K2584" t="n">
        <v>0</v>
      </c>
      <c r="L2584" t="n">
        <v>0</v>
      </c>
      <c r="M2584" t="n">
        <v>0</v>
      </c>
      <c r="N2584" t="n">
        <v>0</v>
      </c>
      <c r="O2584" t="n">
        <v>0</v>
      </c>
      <c r="P2584" t="n">
        <v>0</v>
      </c>
      <c r="Q2584" t="n">
        <v>0</v>
      </c>
      <c r="R2584" s="2" t="inlineStr"/>
    </row>
    <row r="2585" ht="15" customHeight="1">
      <c r="A2585" t="inlineStr">
        <is>
          <t>A 64682-2021</t>
        </is>
      </c>
      <c r="B2585" s="1" t="n">
        <v>44512</v>
      </c>
      <c r="C2585" s="1" t="n">
        <v>46093</v>
      </c>
      <c r="D2585" t="inlineStr">
        <is>
          <t>VÄSTERNORRLANDS LÄN</t>
        </is>
      </c>
      <c r="E2585" t="inlineStr">
        <is>
          <t>HÄRNÖSAND</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64707-2021</t>
        </is>
      </c>
      <c r="B2586" s="1" t="n">
        <v>44512.35954861111</v>
      </c>
      <c r="C2586" s="1" t="n">
        <v>46093</v>
      </c>
      <c r="D2586" t="inlineStr">
        <is>
          <t>VÄSTERNORRLANDS LÄN</t>
        </is>
      </c>
      <c r="E2586" t="inlineStr">
        <is>
          <t>ÖRNSKÖLDSVIK</t>
        </is>
      </c>
      <c r="F2586" t="inlineStr">
        <is>
          <t>Holmen skog AB</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62827-2023</t>
        </is>
      </c>
      <c r="B2587" s="1" t="n">
        <v>45271.92690972222</v>
      </c>
      <c r="C2587" s="1" t="n">
        <v>46093</v>
      </c>
      <c r="D2587" t="inlineStr">
        <is>
          <t>VÄSTERNORRLANDS LÄN</t>
        </is>
      </c>
      <c r="E2587" t="inlineStr">
        <is>
          <t>SOLLEFTEÅ</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6139-2024</t>
        </is>
      </c>
      <c r="B2588" s="1" t="n">
        <v>45337</v>
      </c>
      <c r="C2588" s="1" t="n">
        <v>46093</v>
      </c>
      <c r="D2588" t="inlineStr">
        <is>
          <t>VÄSTERNORRLANDS LÄN</t>
        </is>
      </c>
      <c r="E2588" t="inlineStr">
        <is>
          <t>SOLLEFTEÅ</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34427-2025</t>
        </is>
      </c>
      <c r="B2589" s="1" t="n">
        <v>45846.67054398148</v>
      </c>
      <c r="C2589" s="1" t="n">
        <v>46093</v>
      </c>
      <c r="D2589" t="inlineStr">
        <is>
          <t>VÄSTERNORRLANDS LÄN</t>
        </is>
      </c>
      <c r="E2589" t="inlineStr">
        <is>
          <t>ÖRNSKÖLDSVIK</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55324-2023</t>
        </is>
      </c>
      <c r="B2590" s="1" t="n">
        <v>45237.9734837963</v>
      </c>
      <c r="C2590" s="1" t="n">
        <v>46093</v>
      </c>
      <c r="D2590" t="inlineStr">
        <is>
          <t>VÄSTERNORRLANDS LÄN</t>
        </is>
      </c>
      <c r="E2590" t="inlineStr">
        <is>
          <t>ÅNGE</t>
        </is>
      </c>
      <c r="F2590" t="inlineStr">
        <is>
          <t>SCA</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20107-2025</t>
        </is>
      </c>
      <c r="B2591" s="1" t="n">
        <v>45772.46998842592</v>
      </c>
      <c r="C2591" s="1" t="n">
        <v>46093</v>
      </c>
      <c r="D2591" t="inlineStr">
        <is>
          <t>VÄSTERNORRLANDS LÄN</t>
        </is>
      </c>
      <c r="E2591" t="inlineStr">
        <is>
          <t>HÄRNÖSAND</t>
        </is>
      </c>
      <c r="F2591" t="inlineStr">
        <is>
          <t>SCA</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5036-2024</t>
        </is>
      </c>
      <c r="B2592" s="1" t="n">
        <v>45329.87555555555</v>
      </c>
      <c r="C2592" s="1" t="n">
        <v>46093</v>
      </c>
      <c r="D2592" t="inlineStr">
        <is>
          <t>VÄSTERNORRLANDS LÄN</t>
        </is>
      </c>
      <c r="E2592" t="inlineStr">
        <is>
          <t>SOLLEFTEÅ</t>
        </is>
      </c>
      <c r="F2592" t="inlineStr">
        <is>
          <t>Övriga Aktiebolag</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4045-2024</t>
        </is>
      </c>
      <c r="B2593" s="1" t="n">
        <v>45323.46451388889</v>
      </c>
      <c r="C2593" s="1" t="n">
        <v>46093</v>
      </c>
      <c r="D2593" t="inlineStr">
        <is>
          <t>VÄSTERNORRLANDS LÄN</t>
        </is>
      </c>
      <c r="E2593" t="inlineStr">
        <is>
          <t>SUNDSVALL</t>
        </is>
      </c>
      <c r="F2593" t="inlineStr">
        <is>
          <t>Kommuner</t>
        </is>
      </c>
      <c r="G2593" t="n">
        <v>6.9</v>
      </c>
      <c r="H2593" t="n">
        <v>0</v>
      </c>
      <c r="I2593" t="n">
        <v>0</v>
      </c>
      <c r="J2593" t="n">
        <v>0</v>
      </c>
      <c r="K2593" t="n">
        <v>0</v>
      </c>
      <c r="L2593" t="n">
        <v>0</v>
      </c>
      <c r="M2593" t="n">
        <v>0</v>
      </c>
      <c r="N2593" t="n">
        <v>0</v>
      </c>
      <c r="O2593" t="n">
        <v>0</v>
      </c>
      <c r="P2593" t="n">
        <v>0</v>
      </c>
      <c r="Q2593" t="n">
        <v>0</v>
      </c>
      <c r="R2593" s="2" t="inlineStr"/>
    </row>
    <row r="2594" ht="15" customHeight="1">
      <c r="A2594" t="inlineStr">
        <is>
          <t>A 31325-2022</t>
        </is>
      </c>
      <c r="B2594" s="1" t="n">
        <v>44774.41421296296</v>
      </c>
      <c r="C2594" s="1" t="n">
        <v>46093</v>
      </c>
      <c r="D2594" t="inlineStr">
        <is>
          <t>VÄSTERNORRLANDS LÄN</t>
        </is>
      </c>
      <c r="E2594" t="inlineStr">
        <is>
          <t>ÅNGE</t>
        </is>
      </c>
      <c r="G2594" t="n">
        <v>6.3</v>
      </c>
      <c r="H2594" t="n">
        <v>0</v>
      </c>
      <c r="I2594" t="n">
        <v>0</v>
      </c>
      <c r="J2594" t="n">
        <v>0</v>
      </c>
      <c r="K2594" t="n">
        <v>0</v>
      </c>
      <c r="L2594" t="n">
        <v>0</v>
      </c>
      <c r="M2594" t="n">
        <v>0</v>
      </c>
      <c r="N2594" t="n">
        <v>0</v>
      </c>
      <c r="O2594" t="n">
        <v>0</v>
      </c>
      <c r="P2594" t="n">
        <v>0</v>
      </c>
      <c r="Q2594" t="n">
        <v>0</v>
      </c>
      <c r="R2594" s="2" t="inlineStr"/>
    </row>
    <row r="2595" ht="15" customHeight="1">
      <c r="A2595" t="inlineStr">
        <is>
          <t>A 59576-2023</t>
        </is>
      </c>
      <c r="B2595" s="1" t="n">
        <v>45253</v>
      </c>
      <c r="C2595" s="1" t="n">
        <v>46093</v>
      </c>
      <c r="D2595" t="inlineStr">
        <is>
          <t>VÄSTERNORRLANDS LÄN</t>
        </is>
      </c>
      <c r="E2595" t="inlineStr">
        <is>
          <t>SUNDSVALL</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14587-2021</t>
        </is>
      </c>
      <c r="B2596" s="1" t="n">
        <v>44279.91825231481</v>
      </c>
      <c r="C2596" s="1" t="n">
        <v>46093</v>
      </c>
      <c r="D2596" t="inlineStr">
        <is>
          <t>VÄSTERNORRLANDS LÄN</t>
        </is>
      </c>
      <c r="E2596" t="inlineStr">
        <is>
          <t>ÅNGE</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59583-2023</t>
        </is>
      </c>
      <c r="B2597" s="1" t="n">
        <v>45254.60587962963</v>
      </c>
      <c r="C2597" s="1" t="n">
        <v>46093</v>
      </c>
      <c r="D2597" t="inlineStr">
        <is>
          <t>VÄSTERNORRLANDS LÄN</t>
        </is>
      </c>
      <c r="E2597" t="inlineStr">
        <is>
          <t>SOLLEFTEÅ</t>
        </is>
      </c>
      <c r="F2597" t="inlineStr">
        <is>
          <t>Holmen skog AB</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5034-2024</t>
        </is>
      </c>
      <c r="B2598" s="1" t="n">
        <v>45329.86893518519</v>
      </c>
      <c r="C2598" s="1" t="n">
        <v>46093</v>
      </c>
      <c r="D2598" t="inlineStr">
        <is>
          <t>VÄSTERNORRLANDS LÄN</t>
        </is>
      </c>
      <c r="E2598" t="inlineStr">
        <is>
          <t>SOLLEFTEÅ</t>
        </is>
      </c>
      <c r="F2598" t="inlineStr">
        <is>
          <t>Övriga Aktiebolag</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67865-2021</t>
        </is>
      </c>
      <c r="B2599" s="1" t="n">
        <v>44525</v>
      </c>
      <c r="C2599" s="1" t="n">
        <v>46093</v>
      </c>
      <c r="D2599" t="inlineStr">
        <is>
          <t>VÄSTERNORRLANDS LÄN</t>
        </is>
      </c>
      <c r="E2599" t="inlineStr">
        <is>
          <t>ÖRNSKÖLDSVIK</t>
        </is>
      </c>
      <c r="G2599" t="n">
        <v>6</v>
      </c>
      <c r="H2599" t="n">
        <v>0</v>
      </c>
      <c r="I2599" t="n">
        <v>0</v>
      </c>
      <c r="J2599" t="n">
        <v>0</v>
      </c>
      <c r="K2599" t="n">
        <v>0</v>
      </c>
      <c r="L2599" t="n">
        <v>0</v>
      </c>
      <c r="M2599" t="n">
        <v>0</v>
      </c>
      <c r="N2599" t="n">
        <v>0</v>
      </c>
      <c r="O2599" t="n">
        <v>0</v>
      </c>
      <c r="P2599" t="n">
        <v>0</v>
      </c>
      <c r="Q2599" t="n">
        <v>0</v>
      </c>
      <c r="R2599" s="2" t="inlineStr"/>
    </row>
    <row r="2600" ht="15" customHeight="1">
      <c r="A2600" t="inlineStr">
        <is>
          <t>A 25178-2021</t>
        </is>
      </c>
      <c r="B2600" s="1" t="n">
        <v>44342</v>
      </c>
      <c r="C2600" s="1" t="n">
        <v>46093</v>
      </c>
      <c r="D2600" t="inlineStr">
        <is>
          <t>VÄSTERNORRLANDS LÄN</t>
        </is>
      </c>
      <c r="E2600" t="inlineStr">
        <is>
          <t>ÖRNSKÖLDSVIK</t>
        </is>
      </c>
      <c r="F2600" t="inlineStr">
        <is>
          <t>Holmen skog AB</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60613-2022</t>
        </is>
      </c>
      <c r="B2601" s="1" t="n">
        <v>44911</v>
      </c>
      <c r="C2601" s="1" t="n">
        <v>46093</v>
      </c>
      <c r="D2601" t="inlineStr">
        <is>
          <t>VÄSTERNORRLANDS LÄN</t>
        </is>
      </c>
      <c r="E2601" t="inlineStr">
        <is>
          <t>SUNDSVALL</t>
        </is>
      </c>
      <c r="F2601" t="inlineStr">
        <is>
          <t>Kyrkan</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14040-2024</t>
        </is>
      </c>
      <c r="B2602" s="1" t="n">
        <v>45392.53799768518</v>
      </c>
      <c r="C2602" s="1" t="n">
        <v>46093</v>
      </c>
      <c r="D2602" t="inlineStr">
        <is>
          <t>VÄSTERNORRLANDS LÄN</t>
        </is>
      </c>
      <c r="E2602" t="inlineStr">
        <is>
          <t>SUNDSVALL</t>
        </is>
      </c>
      <c r="F2602" t="inlineStr">
        <is>
          <t>Holmen skog AB</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8850-2025</t>
        </is>
      </c>
      <c r="B2603" s="1" t="n">
        <v>45713</v>
      </c>
      <c r="C2603" s="1" t="n">
        <v>46093</v>
      </c>
      <c r="D2603" t="inlineStr">
        <is>
          <t>VÄSTERNORRLANDS LÄN</t>
        </is>
      </c>
      <c r="E2603" t="inlineStr">
        <is>
          <t>SUNDSVALL</t>
        </is>
      </c>
      <c r="G2603" t="n">
        <v>4.1</v>
      </c>
      <c r="H2603" t="n">
        <v>0</v>
      </c>
      <c r="I2603" t="n">
        <v>0</v>
      </c>
      <c r="J2603" t="n">
        <v>0</v>
      </c>
      <c r="K2603" t="n">
        <v>0</v>
      </c>
      <c r="L2603" t="n">
        <v>0</v>
      </c>
      <c r="M2603" t="n">
        <v>0</v>
      </c>
      <c r="N2603" t="n">
        <v>0</v>
      </c>
      <c r="O2603" t="n">
        <v>0</v>
      </c>
      <c r="P2603" t="n">
        <v>0</v>
      </c>
      <c r="Q2603" t="n">
        <v>0</v>
      </c>
      <c r="R2603" s="2" t="inlineStr"/>
    </row>
    <row r="2604" ht="15" customHeight="1">
      <c r="A2604" t="inlineStr">
        <is>
          <t>A 33628-2024</t>
        </is>
      </c>
      <c r="B2604" s="1" t="n">
        <v>45520.4302662037</v>
      </c>
      <c r="C2604" s="1" t="n">
        <v>46093</v>
      </c>
      <c r="D2604" t="inlineStr">
        <is>
          <t>VÄSTERNORRLANDS LÄN</t>
        </is>
      </c>
      <c r="E2604" t="inlineStr">
        <is>
          <t>SOLLEFTEÅ</t>
        </is>
      </c>
      <c r="F2604" t="inlineStr">
        <is>
          <t>Holmen skog AB</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48154-2023</t>
        </is>
      </c>
      <c r="B2605" s="1" t="n">
        <v>45205</v>
      </c>
      <c r="C2605" s="1" t="n">
        <v>46093</v>
      </c>
      <c r="D2605" t="inlineStr">
        <is>
          <t>VÄSTERNORRLANDS LÄN</t>
        </is>
      </c>
      <c r="E2605" t="inlineStr">
        <is>
          <t>KRAMFORS</t>
        </is>
      </c>
      <c r="G2605" t="n">
        <v>11.5</v>
      </c>
      <c r="H2605" t="n">
        <v>0</v>
      </c>
      <c r="I2605" t="n">
        <v>0</v>
      </c>
      <c r="J2605" t="n">
        <v>0</v>
      </c>
      <c r="K2605" t="n">
        <v>0</v>
      </c>
      <c r="L2605" t="n">
        <v>0</v>
      </c>
      <c r="M2605" t="n">
        <v>0</v>
      </c>
      <c r="N2605" t="n">
        <v>0</v>
      </c>
      <c r="O2605" t="n">
        <v>0</v>
      </c>
      <c r="P2605" t="n">
        <v>0</v>
      </c>
      <c r="Q2605" t="n">
        <v>0</v>
      </c>
      <c r="R2605" s="2" t="inlineStr"/>
    </row>
    <row r="2606" ht="15" customHeight="1">
      <c r="A2606" t="inlineStr">
        <is>
          <t>A 30470-2021</t>
        </is>
      </c>
      <c r="B2606" s="1" t="n">
        <v>44364</v>
      </c>
      <c r="C2606" s="1" t="n">
        <v>46093</v>
      </c>
      <c r="D2606" t="inlineStr">
        <is>
          <t>VÄSTERNORRLANDS LÄN</t>
        </is>
      </c>
      <c r="E2606" t="inlineStr">
        <is>
          <t>KRAMFORS</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52445-2024</t>
        </is>
      </c>
      <c r="B2607" s="1" t="n">
        <v>45609</v>
      </c>
      <c r="C2607" s="1" t="n">
        <v>46093</v>
      </c>
      <c r="D2607" t="inlineStr">
        <is>
          <t>VÄSTERNORRLANDS LÄN</t>
        </is>
      </c>
      <c r="E2607" t="inlineStr">
        <is>
          <t>ÖRNSKÖLDSVIK</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48198-2023</t>
        </is>
      </c>
      <c r="B2608" s="1" t="n">
        <v>45205.46733796296</v>
      </c>
      <c r="C2608" s="1" t="n">
        <v>46093</v>
      </c>
      <c r="D2608" t="inlineStr">
        <is>
          <t>VÄSTERNORRLANDS LÄN</t>
        </is>
      </c>
      <c r="E2608" t="inlineStr">
        <is>
          <t>KRAMFORS</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48199-2023</t>
        </is>
      </c>
      <c r="B2609" s="1" t="n">
        <v>45205.46829861111</v>
      </c>
      <c r="C2609" s="1" t="n">
        <v>46093</v>
      </c>
      <c r="D2609" t="inlineStr">
        <is>
          <t>VÄSTERNORRLANDS LÄN</t>
        </is>
      </c>
      <c r="E2609" t="inlineStr">
        <is>
          <t>ÖRNSKÖLDSVIK</t>
        </is>
      </c>
      <c r="F2609" t="inlineStr">
        <is>
          <t>Holmen skog AB</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10700-2023</t>
        </is>
      </c>
      <c r="B2610" s="1" t="n">
        <v>44988.58526620371</v>
      </c>
      <c r="C2610" s="1" t="n">
        <v>46093</v>
      </c>
      <c r="D2610" t="inlineStr">
        <is>
          <t>VÄSTERNORRLANDS LÄN</t>
        </is>
      </c>
      <c r="E2610" t="inlineStr">
        <is>
          <t>ÖRNSKÖLDSVIK</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51760-2024</t>
        </is>
      </c>
      <c r="B2611" s="1" t="n">
        <v>45607.43979166666</v>
      </c>
      <c r="C2611" s="1" t="n">
        <v>46093</v>
      </c>
      <c r="D2611" t="inlineStr">
        <is>
          <t>VÄSTERNORRLANDS LÄN</t>
        </is>
      </c>
      <c r="E2611" t="inlineStr">
        <is>
          <t>ÖRNSKÖLDSVIK</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45000-2021</t>
        </is>
      </c>
      <c r="B2612" s="1" t="n">
        <v>44438.91943287037</v>
      </c>
      <c r="C2612" s="1" t="n">
        <v>46093</v>
      </c>
      <c r="D2612" t="inlineStr">
        <is>
          <t>VÄSTERNORRLANDS LÄN</t>
        </is>
      </c>
      <c r="E2612" t="inlineStr">
        <is>
          <t>SUNDSVALL</t>
        </is>
      </c>
      <c r="G2612" t="n">
        <v>4.8</v>
      </c>
      <c r="H2612" t="n">
        <v>0</v>
      </c>
      <c r="I2612" t="n">
        <v>0</v>
      </c>
      <c r="J2612" t="n">
        <v>0</v>
      </c>
      <c r="K2612" t="n">
        <v>0</v>
      </c>
      <c r="L2612" t="n">
        <v>0</v>
      </c>
      <c r="M2612" t="n">
        <v>0</v>
      </c>
      <c r="N2612" t="n">
        <v>0</v>
      </c>
      <c r="O2612" t="n">
        <v>0</v>
      </c>
      <c r="P2612" t="n">
        <v>0</v>
      </c>
      <c r="Q2612" t="n">
        <v>0</v>
      </c>
      <c r="R2612" s="2" t="inlineStr"/>
    </row>
    <row r="2613" ht="15" customHeight="1">
      <c r="A2613" t="inlineStr">
        <is>
          <t>A 12044-2025</t>
        </is>
      </c>
      <c r="B2613" s="1" t="n">
        <v>45728</v>
      </c>
      <c r="C2613" s="1" t="n">
        <v>46093</v>
      </c>
      <c r="D2613" t="inlineStr">
        <is>
          <t>VÄSTERNORRLANDS LÄN</t>
        </is>
      </c>
      <c r="E2613" t="inlineStr">
        <is>
          <t>SUNDSVALL</t>
        </is>
      </c>
      <c r="F2613" t="inlineStr">
        <is>
          <t>SCA</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4361-2024</t>
        </is>
      </c>
      <c r="B2614" s="1" t="n">
        <v>45325.65047453704</v>
      </c>
      <c r="C2614" s="1" t="n">
        <v>46093</v>
      </c>
      <c r="D2614" t="inlineStr">
        <is>
          <t>VÄSTERNORRLANDS LÄN</t>
        </is>
      </c>
      <c r="E2614" t="inlineStr">
        <is>
          <t>ÅNGE</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18456-2023</t>
        </is>
      </c>
      <c r="B2615" s="1" t="n">
        <v>45041</v>
      </c>
      <c r="C2615" s="1" t="n">
        <v>46093</v>
      </c>
      <c r="D2615" t="inlineStr">
        <is>
          <t>VÄSTERNORRLANDS LÄN</t>
        </is>
      </c>
      <c r="E2615" t="inlineStr">
        <is>
          <t>SOLLEFTEÅ</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32501-2024</t>
        </is>
      </c>
      <c r="B2616" s="1" t="n">
        <v>45513</v>
      </c>
      <c r="C2616" s="1" t="n">
        <v>46093</v>
      </c>
      <c r="D2616" t="inlineStr">
        <is>
          <t>VÄSTERNORRLANDS LÄN</t>
        </is>
      </c>
      <c r="E2616" t="inlineStr">
        <is>
          <t>KRAMFORS</t>
        </is>
      </c>
      <c r="G2616" t="n">
        <v>3.2</v>
      </c>
      <c r="H2616" t="n">
        <v>0</v>
      </c>
      <c r="I2616" t="n">
        <v>0</v>
      </c>
      <c r="J2616" t="n">
        <v>0</v>
      </c>
      <c r="K2616" t="n">
        <v>0</v>
      </c>
      <c r="L2616" t="n">
        <v>0</v>
      </c>
      <c r="M2616" t="n">
        <v>0</v>
      </c>
      <c r="N2616" t="n">
        <v>0</v>
      </c>
      <c r="O2616" t="n">
        <v>0</v>
      </c>
      <c r="P2616" t="n">
        <v>0</v>
      </c>
      <c r="Q2616" t="n">
        <v>0</v>
      </c>
      <c r="R2616" s="2" t="inlineStr"/>
    </row>
    <row r="2617" ht="15" customHeight="1">
      <c r="A2617" t="inlineStr">
        <is>
          <t>A 4857-2024</t>
        </is>
      </c>
      <c r="B2617" s="1" t="n">
        <v>45329</v>
      </c>
      <c r="C2617" s="1" t="n">
        <v>46093</v>
      </c>
      <c r="D2617" t="inlineStr">
        <is>
          <t>VÄSTERNORRLANDS LÄN</t>
        </is>
      </c>
      <c r="E2617" t="inlineStr">
        <is>
          <t>SOLLEFTEÅ</t>
        </is>
      </c>
      <c r="G2617" t="n">
        <v>8.699999999999999</v>
      </c>
      <c r="H2617" t="n">
        <v>0</v>
      </c>
      <c r="I2617" t="n">
        <v>0</v>
      </c>
      <c r="J2617" t="n">
        <v>0</v>
      </c>
      <c r="K2617" t="n">
        <v>0</v>
      </c>
      <c r="L2617" t="n">
        <v>0</v>
      </c>
      <c r="M2617" t="n">
        <v>0</v>
      </c>
      <c r="N2617" t="n">
        <v>0</v>
      </c>
      <c r="O2617" t="n">
        <v>0</v>
      </c>
      <c r="P2617" t="n">
        <v>0</v>
      </c>
      <c r="Q2617" t="n">
        <v>0</v>
      </c>
      <c r="R2617" s="2" t="inlineStr"/>
    </row>
    <row r="2618" ht="15" customHeight="1">
      <c r="A2618" t="inlineStr">
        <is>
          <t>A 51810-2023</t>
        </is>
      </c>
      <c r="B2618" s="1" t="n">
        <v>45222.96583333334</v>
      </c>
      <c r="C2618" s="1" t="n">
        <v>46093</v>
      </c>
      <c r="D2618" t="inlineStr">
        <is>
          <t>VÄSTERNORRLANDS LÄN</t>
        </is>
      </c>
      <c r="E2618" t="inlineStr">
        <is>
          <t>ÅNGE</t>
        </is>
      </c>
      <c r="F2618" t="inlineStr">
        <is>
          <t>SCA</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23000-2021</t>
        </is>
      </c>
      <c r="B2619" s="1" t="n">
        <v>44328</v>
      </c>
      <c r="C2619" s="1" t="n">
        <v>46093</v>
      </c>
      <c r="D2619" t="inlineStr">
        <is>
          <t>VÄSTERNORRLANDS LÄN</t>
        </is>
      </c>
      <c r="E2619" t="inlineStr">
        <is>
          <t>ÖRNSKÖLDSVIK</t>
        </is>
      </c>
      <c r="F2619" t="inlineStr">
        <is>
          <t>Holmen skog AB</t>
        </is>
      </c>
      <c r="G2619" t="n">
        <v>7.1</v>
      </c>
      <c r="H2619" t="n">
        <v>0</v>
      </c>
      <c r="I2619" t="n">
        <v>0</v>
      </c>
      <c r="J2619" t="n">
        <v>0</v>
      </c>
      <c r="K2619" t="n">
        <v>0</v>
      </c>
      <c r="L2619" t="n">
        <v>0</v>
      </c>
      <c r="M2619" t="n">
        <v>0</v>
      </c>
      <c r="N2619" t="n">
        <v>0</v>
      </c>
      <c r="O2619" t="n">
        <v>0</v>
      </c>
      <c r="P2619" t="n">
        <v>0</v>
      </c>
      <c r="Q2619" t="n">
        <v>0</v>
      </c>
      <c r="R2619" s="2" t="inlineStr"/>
    </row>
    <row r="2620" ht="15" customHeight="1">
      <c r="A2620" t="inlineStr">
        <is>
          <t>A 23002-2021</t>
        </is>
      </c>
      <c r="B2620" s="1" t="n">
        <v>44328</v>
      </c>
      <c r="C2620" s="1" t="n">
        <v>46093</v>
      </c>
      <c r="D2620" t="inlineStr">
        <is>
          <t>VÄSTERNORRLANDS LÄN</t>
        </is>
      </c>
      <c r="E2620" t="inlineStr">
        <is>
          <t>ÖRNSKÖLDSVIK</t>
        </is>
      </c>
      <c r="F2620" t="inlineStr">
        <is>
          <t>Holmen skog AB</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16048-2025</t>
        </is>
      </c>
      <c r="B2621" s="1" t="n">
        <v>45749.63847222222</v>
      </c>
      <c r="C2621" s="1" t="n">
        <v>46093</v>
      </c>
      <c r="D2621" t="inlineStr">
        <is>
          <t>VÄSTERNORRLANDS LÄN</t>
        </is>
      </c>
      <c r="E2621" t="inlineStr">
        <is>
          <t>KRAMFORS</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5254-2024</t>
        </is>
      </c>
      <c r="B2622" s="1" t="n">
        <v>45330</v>
      </c>
      <c r="C2622" s="1" t="n">
        <v>46093</v>
      </c>
      <c r="D2622" t="inlineStr">
        <is>
          <t>VÄSTERNORRLANDS LÄN</t>
        </is>
      </c>
      <c r="E2622" t="inlineStr">
        <is>
          <t>SOLLEFTEÅ</t>
        </is>
      </c>
      <c r="F2622" t="inlineStr">
        <is>
          <t>SCA</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16064-2025</t>
        </is>
      </c>
      <c r="B2623" s="1" t="n">
        <v>45749.6600462963</v>
      </c>
      <c r="C2623" s="1" t="n">
        <v>46093</v>
      </c>
      <c r="D2623" t="inlineStr">
        <is>
          <t>VÄSTERNORRLANDS LÄN</t>
        </is>
      </c>
      <c r="E2623" t="inlineStr">
        <is>
          <t>KRAMFORS</t>
        </is>
      </c>
      <c r="G2623" t="n">
        <v>5.3</v>
      </c>
      <c r="H2623" t="n">
        <v>0</v>
      </c>
      <c r="I2623" t="n">
        <v>0</v>
      </c>
      <c r="J2623" t="n">
        <v>0</v>
      </c>
      <c r="K2623" t="n">
        <v>0</v>
      </c>
      <c r="L2623" t="n">
        <v>0</v>
      </c>
      <c r="M2623" t="n">
        <v>0</v>
      </c>
      <c r="N2623" t="n">
        <v>0</v>
      </c>
      <c r="O2623" t="n">
        <v>0</v>
      </c>
      <c r="P2623" t="n">
        <v>0</v>
      </c>
      <c r="Q2623" t="n">
        <v>0</v>
      </c>
      <c r="R2623" s="2" t="inlineStr"/>
    </row>
    <row r="2624" ht="15" customHeight="1">
      <c r="A2624" t="inlineStr">
        <is>
          <t>A 5070-2024</t>
        </is>
      </c>
      <c r="B2624" s="1" t="n">
        <v>45329</v>
      </c>
      <c r="C2624" s="1" t="n">
        <v>46093</v>
      </c>
      <c r="D2624" t="inlineStr">
        <is>
          <t>VÄSTERNORRLANDS LÄN</t>
        </is>
      </c>
      <c r="E2624" t="inlineStr">
        <is>
          <t>KRAMFORS</t>
        </is>
      </c>
      <c r="G2624" t="n">
        <v>14.4</v>
      </c>
      <c r="H2624" t="n">
        <v>0</v>
      </c>
      <c r="I2624" t="n">
        <v>0</v>
      </c>
      <c r="J2624" t="n">
        <v>0</v>
      </c>
      <c r="K2624" t="n">
        <v>0</v>
      </c>
      <c r="L2624" t="n">
        <v>0</v>
      </c>
      <c r="M2624" t="n">
        <v>0</v>
      </c>
      <c r="N2624" t="n">
        <v>0</v>
      </c>
      <c r="O2624" t="n">
        <v>0</v>
      </c>
      <c r="P2624" t="n">
        <v>0</v>
      </c>
      <c r="Q2624" t="n">
        <v>0</v>
      </c>
      <c r="R2624" s="2" t="inlineStr"/>
    </row>
    <row r="2625" ht="15" customHeight="1">
      <c r="A2625" t="inlineStr">
        <is>
          <t>A 65229-2021</t>
        </is>
      </c>
      <c r="B2625" s="1" t="n">
        <v>44515</v>
      </c>
      <c r="C2625" s="1" t="n">
        <v>46093</v>
      </c>
      <c r="D2625" t="inlineStr">
        <is>
          <t>VÄSTERNORRLANDS LÄN</t>
        </is>
      </c>
      <c r="E2625" t="inlineStr">
        <is>
          <t>ÅNGE</t>
        </is>
      </c>
      <c r="G2625" t="n">
        <v>12.1</v>
      </c>
      <c r="H2625" t="n">
        <v>0</v>
      </c>
      <c r="I2625" t="n">
        <v>0</v>
      </c>
      <c r="J2625" t="n">
        <v>0</v>
      </c>
      <c r="K2625" t="n">
        <v>0</v>
      </c>
      <c r="L2625" t="n">
        <v>0</v>
      </c>
      <c r="M2625" t="n">
        <v>0</v>
      </c>
      <c r="N2625" t="n">
        <v>0</v>
      </c>
      <c r="O2625" t="n">
        <v>0</v>
      </c>
      <c r="P2625" t="n">
        <v>0</v>
      </c>
      <c r="Q2625" t="n">
        <v>0</v>
      </c>
      <c r="R2625" s="2" t="inlineStr"/>
    </row>
    <row r="2626" ht="15" customHeight="1">
      <c r="A2626" t="inlineStr">
        <is>
          <t>A 42678-2021</t>
        </is>
      </c>
      <c r="B2626" s="1" t="n">
        <v>44428</v>
      </c>
      <c r="C2626" s="1" t="n">
        <v>46093</v>
      </c>
      <c r="D2626" t="inlineStr">
        <is>
          <t>VÄSTERNORRLANDS LÄN</t>
        </is>
      </c>
      <c r="E2626" t="inlineStr">
        <is>
          <t>KRAMFORS</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49319-2023</t>
        </is>
      </c>
      <c r="B2627" s="1" t="n">
        <v>45210.94841435185</v>
      </c>
      <c r="C2627" s="1" t="n">
        <v>46093</v>
      </c>
      <c r="D2627" t="inlineStr">
        <is>
          <t>VÄSTERNORRLANDS LÄN</t>
        </is>
      </c>
      <c r="E2627" t="inlineStr">
        <is>
          <t>SUNDSVALL</t>
        </is>
      </c>
      <c r="F2627" t="inlineStr">
        <is>
          <t>SCA</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32069-2023</t>
        </is>
      </c>
      <c r="B2628" s="1" t="n">
        <v>45107</v>
      </c>
      <c r="C2628" s="1" t="n">
        <v>46093</v>
      </c>
      <c r="D2628" t="inlineStr">
        <is>
          <t>VÄSTERNORRLANDS LÄN</t>
        </is>
      </c>
      <c r="E2628" t="inlineStr">
        <is>
          <t>ÅNGE</t>
        </is>
      </c>
      <c r="G2628" t="n">
        <v>4.4</v>
      </c>
      <c r="H2628" t="n">
        <v>0</v>
      </c>
      <c r="I2628" t="n">
        <v>0</v>
      </c>
      <c r="J2628" t="n">
        <v>0</v>
      </c>
      <c r="K2628" t="n">
        <v>0</v>
      </c>
      <c r="L2628" t="n">
        <v>0</v>
      </c>
      <c r="M2628" t="n">
        <v>0</v>
      </c>
      <c r="N2628" t="n">
        <v>0</v>
      </c>
      <c r="O2628" t="n">
        <v>0</v>
      </c>
      <c r="P2628" t="n">
        <v>0</v>
      </c>
      <c r="Q2628" t="n">
        <v>0</v>
      </c>
      <c r="R2628" s="2" t="inlineStr"/>
    </row>
    <row r="2629" ht="15" customHeight="1">
      <c r="A2629" t="inlineStr">
        <is>
          <t>A 46053-2021</t>
        </is>
      </c>
      <c r="B2629" s="1" t="n">
        <v>44441</v>
      </c>
      <c r="C2629" s="1" t="n">
        <v>46093</v>
      </c>
      <c r="D2629" t="inlineStr">
        <is>
          <t>VÄSTERNORRLANDS LÄN</t>
        </is>
      </c>
      <c r="E2629" t="inlineStr">
        <is>
          <t>ÅNGE</t>
        </is>
      </c>
      <c r="F2629" t="inlineStr">
        <is>
          <t>SCA</t>
        </is>
      </c>
      <c r="G2629" t="n">
        <v>0.2</v>
      </c>
      <c r="H2629" t="n">
        <v>0</v>
      </c>
      <c r="I2629" t="n">
        <v>0</v>
      </c>
      <c r="J2629" t="n">
        <v>0</v>
      </c>
      <c r="K2629" t="n">
        <v>0</v>
      </c>
      <c r="L2629" t="n">
        <v>0</v>
      </c>
      <c r="M2629" t="n">
        <v>0</v>
      </c>
      <c r="N2629" t="n">
        <v>0</v>
      </c>
      <c r="O2629" t="n">
        <v>0</v>
      </c>
      <c r="P2629" t="n">
        <v>0</v>
      </c>
      <c r="Q2629" t="n">
        <v>0</v>
      </c>
      <c r="R2629" s="2" t="inlineStr"/>
    </row>
    <row r="2630" ht="15" customHeight="1">
      <c r="A2630" t="inlineStr">
        <is>
          <t>A 42094-2021</t>
        </is>
      </c>
      <c r="B2630" s="1" t="n">
        <v>44426</v>
      </c>
      <c r="C2630" s="1" t="n">
        <v>46093</v>
      </c>
      <c r="D2630" t="inlineStr">
        <is>
          <t>VÄSTERNORRLANDS LÄN</t>
        </is>
      </c>
      <c r="E2630" t="inlineStr">
        <is>
          <t>ÖRNSKÖLDSVIK</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17690-2021</t>
        </is>
      </c>
      <c r="B2631" s="1" t="n">
        <v>44300</v>
      </c>
      <c r="C2631" s="1" t="n">
        <v>46093</v>
      </c>
      <c r="D2631" t="inlineStr">
        <is>
          <t>VÄSTERNORRLANDS LÄN</t>
        </is>
      </c>
      <c r="E2631" t="inlineStr">
        <is>
          <t>SUNDSVALL</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32070-2023</t>
        </is>
      </c>
      <c r="B2632" s="1" t="n">
        <v>45107</v>
      </c>
      <c r="C2632" s="1" t="n">
        <v>46093</v>
      </c>
      <c r="D2632" t="inlineStr">
        <is>
          <t>VÄSTERNORRLANDS LÄN</t>
        </is>
      </c>
      <c r="E2632" t="inlineStr">
        <is>
          <t>TIMRÅ</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61776-2023</t>
        </is>
      </c>
      <c r="B2633" s="1" t="n">
        <v>45265.95650462963</v>
      </c>
      <c r="C2633" s="1" t="n">
        <v>46093</v>
      </c>
      <c r="D2633" t="inlineStr">
        <is>
          <t>VÄSTERNORRLANDS LÄN</t>
        </is>
      </c>
      <c r="E2633" t="inlineStr">
        <is>
          <t>HÄRNÖSAND</t>
        </is>
      </c>
      <c r="F2633" t="inlineStr">
        <is>
          <t>SCA</t>
        </is>
      </c>
      <c r="G2633" t="n">
        <v>4.2</v>
      </c>
      <c r="H2633" t="n">
        <v>0</v>
      </c>
      <c r="I2633" t="n">
        <v>0</v>
      </c>
      <c r="J2633" t="n">
        <v>0</v>
      </c>
      <c r="K2633" t="n">
        <v>0</v>
      </c>
      <c r="L2633" t="n">
        <v>0</v>
      </c>
      <c r="M2633" t="n">
        <v>0</v>
      </c>
      <c r="N2633" t="n">
        <v>0</v>
      </c>
      <c r="O2633" t="n">
        <v>0</v>
      </c>
      <c r="P2633" t="n">
        <v>0</v>
      </c>
      <c r="Q2633" t="n">
        <v>0</v>
      </c>
      <c r="R2633" s="2" t="inlineStr"/>
    </row>
    <row r="2634" ht="15" customHeight="1">
      <c r="A2634" t="inlineStr">
        <is>
          <t>A 32128-2023</t>
        </is>
      </c>
      <c r="B2634" s="1" t="n">
        <v>45107</v>
      </c>
      <c r="C2634" s="1" t="n">
        <v>46093</v>
      </c>
      <c r="D2634" t="inlineStr">
        <is>
          <t>VÄSTERNORRLANDS LÄN</t>
        </is>
      </c>
      <c r="E2634" t="inlineStr">
        <is>
          <t>SUNDSVALL</t>
        </is>
      </c>
      <c r="G2634" t="n">
        <v>13.3</v>
      </c>
      <c r="H2634" t="n">
        <v>0</v>
      </c>
      <c r="I2634" t="n">
        <v>0</v>
      </c>
      <c r="J2634" t="n">
        <v>0</v>
      </c>
      <c r="K2634" t="n">
        <v>0</v>
      </c>
      <c r="L2634" t="n">
        <v>0</v>
      </c>
      <c r="M2634" t="n">
        <v>0</v>
      </c>
      <c r="N2634" t="n">
        <v>0</v>
      </c>
      <c r="O2634" t="n">
        <v>0</v>
      </c>
      <c r="P2634" t="n">
        <v>0</v>
      </c>
      <c r="Q2634" t="n">
        <v>0</v>
      </c>
      <c r="R2634" s="2" t="inlineStr"/>
    </row>
    <row r="2635" ht="15" customHeight="1">
      <c r="A2635" t="inlineStr">
        <is>
          <t>A 43512-2023</t>
        </is>
      </c>
      <c r="B2635" s="1" t="n">
        <v>45181</v>
      </c>
      <c r="C2635" s="1" t="n">
        <v>46093</v>
      </c>
      <c r="D2635" t="inlineStr">
        <is>
          <t>VÄSTERNORRLANDS LÄN</t>
        </is>
      </c>
      <c r="E2635" t="inlineStr">
        <is>
          <t>SOLLEFTEÅ</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44486-2022</t>
        </is>
      </c>
      <c r="B2636" s="1" t="n">
        <v>44840</v>
      </c>
      <c r="C2636" s="1" t="n">
        <v>46093</v>
      </c>
      <c r="D2636" t="inlineStr">
        <is>
          <t>VÄSTERNORRLANDS LÄN</t>
        </is>
      </c>
      <c r="E2636" t="inlineStr">
        <is>
          <t>KRAMFORS</t>
        </is>
      </c>
      <c r="G2636" t="n">
        <v>8.4</v>
      </c>
      <c r="H2636" t="n">
        <v>0</v>
      </c>
      <c r="I2636" t="n">
        <v>0</v>
      </c>
      <c r="J2636" t="n">
        <v>0</v>
      </c>
      <c r="K2636" t="n">
        <v>0</v>
      </c>
      <c r="L2636" t="n">
        <v>0</v>
      </c>
      <c r="M2636" t="n">
        <v>0</v>
      </c>
      <c r="N2636" t="n">
        <v>0</v>
      </c>
      <c r="O2636" t="n">
        <v>0</v>
      </c>
      <c r="P2636" t="n">
        <v>0</v>
      </c>
      <c r="Q2636" t="n">
        <v>0</v>
      </c>
      <c r="R2636" s="2" t="inlineStr"/>
    </row>
    <row r="2637" ht="15" customHeight="1">
      <c r="A2637" t="inlineStr">
        <is>
          <t>A 55161-2021</t>
        </is>
      </c>
      <c r="B2637" s="1" t="n">
        <v>44474.92077546296</v>
      </c>
      <c r="C2637" s="1" t="n">
        <v>46093</v>
      </c>
      <c r="D2637" t="inlineStr">
        <is>
          <t>VÄSTERNORRLANDS LÄN</t>
        </is>
      </c>
      <c r="E2637" t="inlineStr">
        <is>
          <t>SUNDSVALL</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64116-2021</t>
        </is>
      </c>
      <c r="B2638" s="1" t="n">
        <v>44509</v>
      </c>
      <c r="C2638" s="1" t="n">
        <v>46093</v>
      </c>
      <c r="D2638" t="inlineStr">
        <is>
          <t>VÄSTERNORRLANDS LÄN</t>
        </is>
      </c>
      <c r="E2638" t="inlineStr">
        <is>
          <t>ÖRNSKÖLDSVIK</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25985-2021</t>
        </is>
      </c>
      <c r="B2639" s="1" t="n">
        <v>44344</v>
      </c>
      <c r="C2639" s="1" t="n">
        <v>46093</v>
      </c>
      <c r="D2639" t="inlineStr">
        <is>
          <t>VÄSTERNORRLANDS LÄN</t>
        </is>
      </c>
      <c r="E2639" t="inlineStr">
        <is>
          <t>KRAMFORS</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24720-2021</t>
        </is>
      </c>
      <c r="B2640" s="1" t="n">
        <v>44340</v>
      </c>
      <c r="C2640" s="1" t="n">
        <v>46093</v>
      </c>
      <c r="D2640" t="inlineStr">
        <is>
          <t>VÄSTERNORRLANDS LÄN</t>
        </is>
      </c>
      <c r="E2640" t="inlineStr">
        <is>
          <t>SOLLEFTEÅ</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57784-2023</t>
        </is>
      </c>
      <c r="B2641" s="1" t="n">
        <v>45246</v>
      </c>
      <c r="C2641" s="1" t="n">
        <v>46093</v>
      </c>
      <c r="D2641" t="inlineStr">
        <is>
          <t>VÄSTERNORRLANDS LÄN</t>
        </is>
      </c>
      <c r="E2641" t="inlineStr">
        <is>
          <t>SUNDSVALL</t>
        </is>
      </c>
      <c r="F2641" t="inlineStr">
        <is>
          <t>SCA</t>
        </is>
      </c>
      <c r="G2641" t="n">
        <v>6.9</v>
      </c>
      <c r="H2641" t="n">
        <v>0</v>
      </c>
      <c r="I2641" t="n">
        <v>0</v>
      </c>
      <c r="J2641" t="n">
        <v>0</v>
      </c>
      <c r="K2641" t="n">
        <v>0</v>
      </c>
      <c r="L2641" t="n">
        <v>0</v>
      </c>
      <c r="M2641" t="n">
        <v>0</v>
      </c>
      <c r="N2641" t="n">
        <v>0</v>
      </c>
      <c r="O2641" t="n">
        <v>0</v>
      </c>
      <c r="P2641" t="n">
        <v>0</v>
      </c>
      <c r="Q2641" t="n">
        <v>0</v>
      </c>
      <c r="R2641" s="2" t="inlineStr"/>
    </row>
    <row r="2642" ht="15" customHeight="1">
      <c r="A2642" t="inlineStr">
        <is>
          <t>A 19829-2025</t>
        </is>
      </c>
      <c r="B2642" s="1" t="n">
        <v>45771.46944444445</v>
      </c>
      <c r="C2642" s="1" t="n">
        <v>46093</v>
      </c>
      <c r="D2642" t="inlineStr">
        <is>
          <t>VÄSTERNORRLANDS LÄN</t>
        </is>
      </c>
      <c r="E2642" t="inlineStr">
        <is>
          <t>ÅNGE</t>
        </is>
      </c>
      <c r="F2642" t="inlineStr">
        <is>
          <t>SCA</t>
        </is>
      </c>
      <c r="G2642" t="n">
        <v>3.3</v>
      </c>
      <c r="H2642" t="n">
        <v>0</v>
      </c>
      <c r="I2642" t="n">
        <v>0</v>
      </c>
      <c r="J2642" t="n">
        <v>0</v>
      </c>
      <c r="K2642" t="n">
        <v>0</v>
      </c>
      <c r="L2642" t="n">
        <v>0</v>
      </c>
      <c r="M2642" t="n">
        <v>0</v>
      </c>
      <c r="N2642" t="n">
        <v>0</v>
      </c>
      <c r="O2642" t="n">
        <v>0</v>
      </c>
      <c r="P2642" t="n">
        <v>0</v>
      </c>
      <c r="Q2642" t="n">
        <v>0</v>
      </c>
      <c r="R2642" s="2" t="inlineStr"/>
    </row>
    <row r="2643" ht="15" customHeight="1">
      <c r="A2643" t="inlineStr">
        <is>
          <t>A 2080-2025</t>
        </is>
      </c>
      <c r="B2643" s="1" t="n">
        <v>45672</v>
      </c>
      <c r="C2643" s="1" t="n">
        <v>46093</v>
      </c>
      <c r="D2643" t="inlineStr">
        <is>
          <t>VÄSTERNORRLANDS LÄN</t>
        </is>
      </c>
      <c r="E2643" t="inlineStr">
        <is>
          <t>KRAMFORS</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45145-2021</t>
        </is>
      </c>
      <c r="B2644" s="1" t="n">
        <v>44439</v>
      </c>
      <c r="C2644" s="1" t="n">
        <v>46093</v>
      </c>
      <c r="D2644" t="inlineStr">
        <is>
          <t>VÄSTERNORRLANDS LÄN</t>
        </is>
      </c>
      <c r="E2644" t="inlineStr">
        <is>
          <t>ÅNGE</t>
        </is>
      </c>
      <c r="F2644" t="inlineStr">
        <is>
          <t>Holmen skog AB</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49002-2021</t>
        </is>
      </c>
      <c r="B2645" s="1" t="n">
        <v>44453</v>
      </c>
      <c r="C2645" s="1" t="n">
        <v>46093</v>
      </c>
      <c r="D2645" t="inlineStr">
        <is>
          <t>VÄSTERNORRLANDS LÄN</t>
        </is>
      </c>
      <c r="E2645" t="inlineStr">
        <is>
          <t>ÖRNSKÖLDSVIK</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44350-2022</t>
        </is>
      </c>
      <c r="B2646" s="1" t="n">
        <v>44839.68814814815</v>
      </c>
      <c r="C2646" s="1" t="n">
        <v>46093</v>
      </c>
      <c r="D2646" t="inlineStr">
        <is>
          <t>VÄSTERNORRLANDS LÄN</t>
        </is>
      </c>
      <c r="E2646" t="inlineStr">
        <is>
          <t>SUNDSVALL</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19407-2025</t>
        </is>
      </c>
      <c r="B2647" s="1" t="n">
        <v>45769.67832175926</v>
      </c>
      <c r="C2647" s="1" t="n">
        <v>46093</v>
      </c>
      <c r="D2647" t="inlineStr">
        <is>
          <t>VÄSTERNORRLANDS LÄN</t>
        </is>
      </c>
      <c r="E2647" t="inlineStr">
        <is>
          <t>SOLLEFTEÅ</t>
        </is>
      </c>
      <c r="F2647" t="inlineStr">
        <is>
          <t>SCA</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20045-2025</t>
        </is>
      </c>
      <c r="B2648" s="1" t="n">
        <v>45772.3857175926</v>
      </c>
      <c r="C2648" s="1" t="n">
        <v>46093</v>
      </c>
      <c r="D2648" t="inlineStr">
        <is>
          <t>VÄSTERNORRLANDS LÄN</t>
        </is>
      </c>
      <c r="E2648" t="inlineStr">
        <is>
          <t>HÄRNÖSAND</t>
        </is>
      </c>
      <c r="F2648" t="inlineStr">
        <is>
          <t>SCA</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8716-2025</t>
        </is>
      </c>
      <c r="B2649" s="1" t="n">
        <v>45712.50101851852</v>
      </c>
      <c r="C2649" s="1" t="n">
        <v>46093</v>
      </c>
      <c r="D2649" t="inlineStr">
        <is>
          <t>VÄSTERNORRLANDS LÄN</t>
        </is>
      </c>
      <c r="E2649" t="inlineStr">
        <is>
          <t>KRAMFORS</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62818-2023</t>
        </is>
      </c>
      <c r="B2650" s="1" t="n">
        <v>45271</v>
      </c>
      <c r="C2650" s="1" t="n">
        <v>46093</v>
      </c>
      <c r="D2650" t="inlineStr">
        <is>
          <t>VÄSTERNORRLANDS LÄN</t>
        </is>
      </c>
      <c r="E2650" t="inlineStr">
        <is>
          <t>KRAMFORS</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63724-2023</t>
        </is>
      </c>
      <c r="B2651" s="1" t="n">
        <v>45276</v>
      </c>
      <c r="C2651" s="1" t="n">
        <v>46093</v>
      </c>
      <c r="D2651" t="inlineStr">
        <is>
          <t>VÄSTERNORRLANDS LÄN</t>
        </is>
      </c>
      <c r="E2651" t="inlineStr">
        <is>
          <t>HÄRNÖSAND</t>
        </is>
      </c>
      <c r="G2651" t="n">
        <v>10.1</v>
      </c>
      <c r="H2651" t="n">
        <v>0</v>
      </c>
      <c r="I2651" t="n">
        <v>0</v>
      </c>
      <c r="J2651" t="n">
        <v>0</v>
      </c>
      <c r="K2651" t="n">
        <v>0</v>
      </c>
      <c r="L2651" t="n">
        <v>0</v>
      </c>
      <c r="M2651" t="n">
        <v>0</v>
      </c>
      <c r="N2651" t="n">
        <v>0</v>
      </c>
      <c r="O2651" t="n">
        <v>0</v>
      </c>
      <c r="P2651" t="n">
        <v>0</v>
      </c>
      <c r="Q2651" t="n">
        <v>0</v>
      </c>
      <c r="R2651" s="2" t="inlineStr"/>
    </row>
    <row r="2652" ht="15" customHeight="1">
      <c r="A2652" t="inlineStr">
        <is>
          <t>A 36863-2023</t>
        </is>
      </c>
      <c r="B2652" s="1" t="n">
        <v>45154.55763888889</v>
      </c>
      <c r="C2652" s="1" t="n">
        <v>46093</v>
      </c>
      <c r="D2652" t="inlineStr">
        <is>
          <t>VÄSTERNORRLANDS LÄN</t>
        </is>
      </c>
      <c r="E2652" t="inlineStr">
        <is>
          <t>ÖRNSKÖLDSVIK</t>
        </is>
      </c>
      <c r="F2652" t="inlineStr">
        <is>
          <t>Holmen skog AB</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58726-2021</t>
        </is>
      </c>
      <c r="B2653" s="1" t="n">
        <v>44489</v>
      </c>
      <c r="C2653" s="1" t="n">
        <v>46093</v>
      </c>
      <c r="D2653" t="inlineStr">
        <is>
          <t>VÄSTERNORRLANDS LÄN</t>
        </is>
      </c>
      <c r="E2653" t="inlineStr">
        <is>
          <t>SOLLEFTEÅ</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71302-2021</t>
        </is>
      </c>
      <c r="B2654" s="1" t="n">
        <v>44539.63871527778</v>
      </c>
      <c r="C2654" s="1" t="n">
        <v>46093</v>
      </c>
      <c r="D2654" t="inlineStr">
        <is>
          <t>VÄSTERNORRLANDS LÄN</t>
        </is>
      </c>
      <c r="E2654" t="inlineStr">
        <is>
          <t>ÅNGE</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43104-2021</t>
        </is>
      </c>
      <c r="B2655" s="1" t="n">
        <v>44431.60885416667</v>
      </c>
      <c r="C2655" s="1" t="n">
        <v>46093</v>
      </c>
      <c r="D2655" t="inlineStr">
        <is>
          <t>VÄSTERNORRLANDS LÄN</t>
        </is>
      </c>
      <c r="E2655" t="inlineStr">
        <is>
          <t>ÖRNSKÖLDSVIK</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51006-2022</t>
        </is>
      </c>
      <c r="B2656" s="1" t="n">
        <v>44867</v>
      </c>
      <c r="C2656" s="1" t="n">
        <v>46093</v>
      </c>
      <c r="D2656" t="inlineStr">
        <is>
          <t>VÄSTERNORRLANDS LÄN</t>
        </is>
      </c>
      <c r="E2656" t="inlineStr">
        <is>
          <t>SOLLEFTEÅ</t>
        </is>
      </c>
      <c r="F2656" t="inlineStr">
        <is>
          <t>SCA</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34632-2023</t>
        </is>
      </c>
      <c r="B2657" s="1" t="n">
        <v>45140.63787037037</v>
      </c>
      <c r="C2657" s="1" t="n">
        <v>46093</v>
      </c>
      <c r="D2657" t="inlineStr">
        <is>
          <t>VÄSTERNORRLANDS LÄN</t>
        </is>
      </c>
      <c r="E2657" t="inlineStr">
        <is>
          <t>ÖRNSKÖLDSVIK</t>
        </is>
      </c>
      <c r="F2657" t="inlineStr">
        <is>
          <t>Holmen skog AB</t>
        </is>
      </c>
      <c r="G2657" t="n">
        <v>4.7</v>
      </c>
      <c r="H2657" t="n">
        <v>0</v>
      </c>
      <c r="I2657" t="n">
        <v>0</v>
      </c>
      <c r="J2657" t="n">
        <v>0</v>
      </c>
      <c r="K2657" t="n">
        <v>0</v>
      </c>
      <c r="L2657" t="n">
        <v>0</v>
      </c>
      <c r="M2657" t="n">
        <v>0</v>
      </c>
      <c r="N2657" t="n">
        <v>0</v>
      </c>
      <c r="O2657" t="n">
        <v>0</v>
      </c>
      <c r="P2657" t="n">
        <v>0</v>
      </c>
      <c r="Q2657" t="n">
        <v>0</v>
      </c>
      <c r="R2657" s="2" t="inlineStr"/>
    </row>
    <row r="2658" ht="15" customHeight="1">
      <c r="A2658" t="inlineStr">
        <is>
          <t>A 23286-2023</t>
        </is>
      </c>
      <c r="B2658" s="1" t="n">
        <v>45075</v>
      </c>
      <c r="C2658" s="1" t="n">
        <v>46093</v>
      </c>
      <c r="D2658" t="inlineStr">
        <is>
          <t>VÄSTERNORRLANDS LÄN</t>
        </is>
      </c>
      <c r="E2658" t="inlineStr">
        <is>
          <t>SOLLEFTEÅ</t>
        </is>
      </c>
      <c r="G2658" t="n">
        <v>0.1</v>
      </c>
      <c r="H2658" t="n">
        <v>0</v>
      </c>
      <c r="I2658" t="n">
        <v>0</v>
      </c>
      <c r="J2658" t="n">
        <v>0</v>
      </c>
      <c r="K2658" t="n">
        <v>0</v>
      </c>
      <c r="L2658" t="n">
        <v>0</v>
      </c>
      <c r="M2658" t="n">
        <v>0</v>
      </c>
      <c r="N2658" t="n">
        <v>0</v>
      </c>
      <c r="O2658" t="n">
        <v>0</v>
      </c>
      <c r="P2658" t="n">
        <v>0</v>
      </c>
      <c r="Q2658" t="n">
        <v>0</v>
      </c>
      <c r="R2658" s="2" t="inlineStr"/>
    </row>
    <row r="2659" ht="15" customHeight="1">
      <c r="A2659" t="inlineStr">
        <is>
          <t>A 23288-2023</t>
        </is>
      </c>
      <c r="B2659" s="1" t="n">
        <v>45075</v>
      </c>
      <c r="C2659" s="1" t="n">
        <v>46093</v>
      </c>
      <c r="D2659" t="inlineStr">
        <is>
          <t>VÄSTERNORRLANDS LÄN</t>
        </is>
      </c>
      <c r="E2659" t="inlineStr">
        <is>
          <t>SOLLEFTEÅ</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23289-2023</t>
        </is>
      </c>
      <c r="B2660" s="1" t="n">
        <v>45075</v>
      </c>
      <c r="C2660" s="1" t="n">
        <v>46093</v>
      </c>
      <c r="D2660" t="inlineStr">
        <is>
          <t>VÄSTERNORRLANDS LÄN</t>
        </is>
      </c>
      <c r="E2660" t="inlineStr">
        <is>
          <t>SOLLEFTEÅ</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23558-2024</t>
        </is>
      </c>
      <c r="B2661" s="1" t="n">
        <v>45453.95451388889</v>
      </c>
      <c r="C2661" s="1" t="n">
        <v>46093</v>
      </c>
      <c r="D2661" t="inlineStr">
        <is>
          <t>VÄSTERNORRLANDS LÄN</t>
        </is>
      </c>
      <c r="E2661" t="inlineStr">
        <is>
          <t>SUNDSVALL</t>
        </is>
      </c>
      <c r="F2661" t="inlineStr">
        <is>
          <t>SCA</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64749-2023</t>
        </is>
      </c>
      <c r="B2662" s="1" t="n">
        <v>45281.92850694444</v>
      </c>
      <c r="C2662" s="1" t="n">
        <v>46093</v>
      </c>
      <c r="D2662" t="inlineStr">
        <is>
          <t>VÄSTERNORRLANDS LÄN</t>
        </is>
      </c>
      <c r="E2662" t="inlineStr">
        <is>
          <t>HÄRNÖSAND</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46015-2024</t>
        </is>
      </c>
      <c r="B2663" s="1" t="n">
        <v>45580.67760416667</v>
      </c>
      <c r="C2663" s="1" t="n">
        <v>46093</v>
      </c>
      <c r="D2663" t="inlineStr">
        <is>
          <t>VÄSTERNORRLANDS LÄN</t>
        </is>
      </c>
      <c r="E2663" t="inlineStr">
        <is>
          <t>ÅNGE</t>
        </is>
      </c>
      <c r="F2663" t="inlineStr">
        <is>
          <t>SCA</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27163-2022</t>
        </is>
      </c>
      <c r="B2664" s="1" t="n">
        <v>44741</v>
      </c>
      <c r="C2664" s="1" t="n">
        <v>46093</v>
      </c>
      <c r="D2664" t="inlineStr">
        <is>
          <t>VÄSTERNORRLANDS LÄN</t>
        </is>
      </c>
      <c r="E2664" t="inlineStr">
        <is>
          <t>ÖRNSKÖLDSVIK</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27173-2022</t>
        </is>
      </c>
      <c r="B2665" s="1" t="n">
        <v>44741</v>
      </c>
      <c r="C2665" s="1" t="n">
        <v>46093</v>
      </c>
      <c r="D2665" t="inlineStr">
        <is>
          <t>VÄSTERNORRLANDS LÄN</t>
        </is>
      </c>
      <c r="E2665" t="inlineStr">
        <is>
          <t>KRAMFORS</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20841-2023</t>
        </is>
      </c>
      <c r="B2666" s="1" t="n">
        <v>45058</v>
      </c>
      <c r="C2666" s="1" t="n">
        <v>46093</v>
      </c>
      <c r="D2666" t="inlineStr">
        <is>
          <t>VÄSTERNORRLANDS LÄN</t>
        </is>
      </c>
      <c r="E2666" t="inlineStr">
        <is>
          <t>TIMRÅ</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28239-2022</t>
        </is>
      </c>
      <c r="B2667" s="1" t="n">
        <v>44746</v>
      </c>
      <c r="C2667" s="1" t="n">
        <v>46093</v>
      </c>
      <c r="D2667" t="inlineStr">
        <is>
          <t>VÄSTERNORRLANDS LÄN</t>
        </is>
      </c>
      <c r="E2667" t="inlineStr">
        <is>
          <t>ÖRNSKÖLDSVIK</t>
        </is>
      </c>
      <c r="F2667" t="inlineStr">
        <is>
          <t>Holmen skog AB</t>
        </is>
      </c>
      <c r="G2667" t="n">
        <v>3.1</v>
      </c>
      <c r="H2667" t="n">
        <v>0</v>
      </c>
      <c r="I2667" t="n">
        <v>0</v>
      </c>
      <c r="J2667" t="n">
        <v>0</v>
      </c>
      <c r="K2667" t="n">
        <v>0</v>
      </c>
      <c r="L2667" t="n">
        <v>0</v>
      </c>
      <c r="M2667" t="n">
        <v>0</v>
      </c>
      <c r="N2667" t="n">
        <v>0</v>
      </c>
      <c r="O2667" t="n">
        <v>0</v>
      </c>
      <c r="P2667" t="n">
        <v>0</v>
      </c>
      <c r="Q2667" t="n">
        <v>0</v>
      </c>
      <c r="R2667" s="2" t="inlineStr"/>
    </row>
    <row r="2668" ht="15" customHeight="1">
      <c r="A2668" t="inlineStr">
        <is>
          <t>A 527-2025</t>
        </is>
      </c>
      <c r="B2668" s="1" t="n">
        <v>45664.4959375</v>
      </c>
      <c r="C2668" s="1" t="n">
        <v>46093</v>
      </c>
      <c r="D2668" t="inlineStr">
        <is>
          <t>VÄSTERNORRLANDS LÄN</t>
        </is>
      </c>
      <c r="E2668" t="inlineStr">
        <is>
          <t>KRAMFORS</t>
        </is>
      </c>
      <c r="G2668" t="n">
        <v>3.9</v>
      </c>
      <c r="H2668" t="n">
        <v>0</v>
      </c>
      <c r="I2668" t="n">
        <v>0</v>
      </c>
      <c r="J2668" t="n">
        <v>0</v>
      </c>
      <c r="K2668" t="n">
        <v>0</v>
      </c>
      <c r="L2668" t="n">
        <v>0</v>
      </c>
      <c r="M2668" t="n">
        <v>0</v>
      </c>
      <c r="N2668" t="n">
        <v>0</v>
      </c>
      <c r="O2668" t="n">
        <v>0</v>
      </c>
      <c r="P2668" t="n">
        <v>0</v>
      </c>
      <c r="Q2668" t="n">
        <v>0</v>
      </c>
      <c r="R2668" s="2" t="inlineStr"/>
    </row>
    <row r="2669" ht="15" customHeight="1">
      <c r="A2669" t="inlineStr">
        <is>
          <t>A 42566-2024</t>
        </is>
      </c>
      <c r="B2669" s="1" t="n">
        <v>45565</v>
      </c>
      <c r="C2669" s="1" t="n">
        <v>46093</v>
      </c>
      <c r="D2669" t="inlineStr">
        <is>
          <t>VÄSTERNORRLANDS LÄN</t>
        </is>
      </c>
      <c r="E2669" t="inlineStr">
        <is>
          <t>ÖRNSKÖLDSVIK</t>
        </is>
      </c>
      <c r="F2669" t="inlineStr">
        <is>
          <t>Holmen skog AB</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42578-2024</t>
        </is>
      </c>
      <c r="B2670" s="1" t="n">
        <v>45565.65378472222</v>
      </c>
      <c r="C2670" s="1" t="n">
        <v>46093</v>
      </c>
      <c r="D2670" t="inlineStr">
        <is>
          <t>VÄSTERNORRLANDS LÄN</t>
        </is>
      </c>
      <c r="E2670" t="inlineStr">
        <is>
          <t>ÖRNSKÖLDSVIK</t>
        </is>
      </c>
      <c r="F2670" t="inlineStr">
        <is>
          <t>Holmen skog AB</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42583-2024</t>
        </is>
      </c>
      <c r="B2671" s="1" t="n">
        <v>45565</v>
      </c>
      <c r="C2671" s="1" t="n">
        <v>46093</v>
      </c>
      <c r="D2671" t="inlineStr">
        <is>
          <t>VÄSTERNORRLANDS LÄN</t>
        </is>
      </c>
      <c r="E2671" t="inlineStr">
        <is>
          <t>ÖRNSKÖLDSVIK</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25023-2022</t>
        </is>
      </c>
      <c r="B2672" s="1" t="n">
        <v>44728</v>
      </c>
      <c r="C2672" s="1" t="n">
        <v>46093</v>
      </c>
      <c r="D2672" t="inlineStr">
        <is>
          <t>VÄSTERNORRLANDS LÄN</t>
        </is>
      </c>
      <c r="E2672" t="inlineStr">
        <is>
          <t>ÅNGE</t>
        </is>
      </c>
      <c r="F2672" t="inlineStr">
        <is>
          <t>SCA</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528-2025</t>
        </is>
      </c>
      <c r="B2673" s="1" t="n">
        <v>45664.49594907407</v>
      </c>
      <c r="C2673" s="1" t="n">
        <v>46093</v>
      </c>
      <c r="D2673" t="inlineStr">
        <is>
          <t>VÄSTERNORRLANDS LÄN</t>
        </is>
      </c>
      <c r="E2673" t="inlineStr">
        <is>
          <t>KRAMFORS</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532-2025</t>
        </is>
      </c>
      <c r="B2674" s="1" t="n">
        <v>45664</v>
      </c>
      <c r="C2674" s="1" t="n">
        <v>46093</v>
      </c>
      <c r="D2674" t="inlineStr">
        <is>
          <t>VÄSTERNORRLANDS LÄN</t>
        </is>
      </c>
      <c r="E2674" t="inlineStr">
        <is>
          <t>SUNDSVALL</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48698-2024</t>
        </is>
      </c>
      <c r="B2675" s="1" t="n">
        <v>45593.51137731481</v>
      </c>
      <c r="C2675" s="1" t="n">
        <v>46093</v>
      </c>
      <c r="D2675" t="inlineStr">
        <is>
          <t>VÄSTERNORRLANDS LÄN</t>
        </is>
      </c>
      <c r="E2675" t="inlineStr">
        <is>
          <t>ÖRNSKÖLDSVIK</t>
        </is>
      </c>
      <c r="F2675" t="inlineStr">
        <is>
          <t>Holmen skog AB</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9772-2024</t>
        </is>
      </c>
      <c r="B2676" s="1" t="n">
        <v>45362.64107638889</v>
      </c>
      <c r="C2676" s="1" t="n">
        <v>46093</v>
      </c>
      <c r="D2676" t="inlineStr">
        <is>
          <t>VÄSTERNORRLANDS LÄN</t>
        </is>
      </c>
      <c r="E2676" t="inlineStr">
        <is>
          <t>ÖRNSKÖLDSVIK</t>
        </is>
      </c>
      <c r="F2676" t="inlineStr">
        <is>
          <t>Holmen skog AB</t>
        </is>
      </c>
      <c r="G2676" t="n">
        <v>5.9</v>
      </c>
      <c r="H2676" t="n">
        <v>0</v>
      </c>
      <c r="I2676" t="n">
        <v>0</v>
      </c>
      <c r="J2676" t="n">
        <v>0</v>
      </c>
      <c r="K2676" t="n">
        <v>0</v>
      </c>
      <c r="L2676" t="n">
        <v>0</v>
      </c>
      <c r="M2676" t="n">
        <v>0</v>
      </c>
      <c r="N2676" t="n">
        <v>0</v>
      </c>
      <c r="O2676" t="n">
        <v>0</v>
      </c>
      <c r="P2676" t="n">
        <v>0</v>
      </c>
      <c r="Q2676" t="n">
        <v>0</v>
      </c>
      <c r="R2676" s="2" t="inlineStr"/>
    </row>
    <row r="2677" ht="15" customHeight="1">
      <c r="A2677" t="inlineStr">
        <is>
          <t>A 21619-2021</t>
        </is>
      </c>
      <c r="B2677" s="1" t="n">
        <v>44321</v>
      </c>
      <c r="C2677" s="1" t="n">
        <v>46093</v>
      </c>
      <c r="D2677" t="inlineStr">
        <is>
          <t>VÄSTERNORRLANDS LÄN</t>
        </is>
      </c>
      <c r="E2677" t="inlineStr">
        <is>
          <t>HÄRNÖSAND</t>
        </is>
      </c>
      <c r="G2677" t="n">
        <v>45.6</v>
      </c>
      <c r="H2677" t="n">
        <v>0</v>
      </c>
      <c r="I2677" t="n">
        <v>0</v>
      </c>
      <c r="J2677" t="n">
        <v>0</v>
      </c>
      <c r="K2677" t="n">
        <v>0</v>
      </c>
      <c r="L2677" t="n">
        <v>0</v>
      </c>
      <c r="M2677" t="n">
        <v>0</v>
      </c>
      <c r="N2677" t="n">
        <v>0</v>
      </c>
      <c r="O2677" t="n">
        <v>0</v>
      </c>
      <c r="P2677" t="n">
        <v>0</v>
      </c>
      <c r="Q2677" t="n">
        <v>0</v>
      </c>
      <c r="R2677" s="2" t="inlineStr"/>
    </row>
    <row r="2678" ht="15" customHeight="1">
      <c r="A2678" t="inlineStr">
        <is>
          <t>A 18459-2021</t>
        </is>
      </c>
      <c r="B2678" s="1" t="n">
        <v>44305.93701388889</v>
      </c>
      <c r="C2678" s="1" t="n">
        <v>46093</v>
      </c>
      <c r="D2678" t="inlineStr">
        <is>
          <t>VÄSTERNORRLANDS LÄN</t>
        </is>
      </c>
      <c r="E2678" t="inlineStr">
        <is>
          <t>SOLLEFTEÅ</t>
        </is>
      </c>
      <c r="F2678" t="inlineStr">
        <is>
          <t>SCA</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41302-2024</t>
        </is>
      </c>
      <c r="B2679" s="1" t="n">
        <v>45559.62077546296</v>
      </c>
      <c r="C2679" s="1" t="n">
        <v>46093</v>
      </c>
      <c r="D2679" t="inlineStr">
        <is>
          <t>VÄSTERNORRLANDS LÄN</t>
        </is>
      </c>
      <c r="E2679" t="inlineStr">
        <is>
          <t>ÅNGE</t>
        </is>
      </c>
      <c r="F2679" t="inlineStr">
        <is>
          <t>Holmen skog AB</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20062-2022</t>
        </is>
      </c>
      <c r="B2680" s="1" t="n">
        <v>44697</v>
      </c>
      <c r="C2680" s="1" t="n">
        <v>46093</v>
      </c>
      <c r="D2680" t="inlineStr">
        <is>
          <t>VÄSTERNORRLANDS LÄN</t>
        </is>
      </c>
      <c r="E2680" t="inlineStr">
        <is>
          <t>SOLLEFTEÅ</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16576-2023</t>
        </is>
      </c>
      <c r="B2681" s="1" t="n">
        <v>45029.94251157407</v>
      </c>
      <c r="C2681" s="1" t="n">
        <v>46093</v>
      </c>
      <c r="D2681" t="inlineStr">
        <is>
          <t>VÄSTERNORRLANDS LÄN</t>
        </is>
      </c>
      <c r="E2681" t="inlineStr">
        <is>
          <t>ÅNGE</t>
        </is>
      </c>
      <c r="F2681" t="inlineStr">
        <is>
          <t>SCA</t>
        </is>
      </c>
      <c r="G2681" t="n">
        <v>3.6</v>
      </c>
      <c r="H2681" t="n">
        <v>0</v>
      </c>
      <c r="I2681" t="n">
        <v>0</v>
      </c>
      <c r="J2681" t="n">
        <v>0</v>
      </c>
      <c r="K2681" t="n">
        <v>0</v>
      </c>
      <c r="L2681" t="n">
        <v>0</v>
      </c>
      <c r="M2681" t="n">
        <v>0</v>
      </c>
      <c r="N2681" t="n">
        <v>0</v>
      </c>
      <c r="O2681" t="n">
        <v>0</v>
      </c>
      <c r="P2681" t="n">
        <v>0</v>
      </c>
      <c r="Q2681" t="n">
        <v>0</v>
      </c>
      <c r="R2681" s="2" t="inlineStr"/>
    </row>
    <row r="2682" ht="15" customHeight="1">
      <c r="A2682" t="inlineStr">
        <is>
          <t>A 6732-2022</t>
        </is>
      </c>
      <c r="B2682" s="1" t="n">
        <v>44602.46072916667</v>
      </c>
      <c r="C2682" s="1" t="n">
        <v>46093</v>
      </c>
      <c r="D2682" t="inlineStr">
        <is>
          <t>VÄSTERNORRLANDS LÄN</t>
        </is>
      </c>
      <c r="E2682" t="inlineStr">
        <is>
          <t>ÅNGE</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52554-2021</t>
        </is>
      </c>
      <c r="B2683" s="1" t="n">
        <v>44466</v>
      </c>
      <c r="C2683" s="1" t="n">
        <v>46093</v>
      </c>
      <c r="D2683" t="inlineStr">
        <is>
          <t>VÄSTERNORRLANDS LÄN</t>
        </is>
      </c>
      <c r="E2683" t="inlineStr">
        <is>
          <t>SUNDSVALL</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5874-2024</t>
        </is>
      </c>
      <c r="B2684" s="1" t="n">
        <v>45335.6615625</v>
      </c>
      <c r="C2684" s="1" t="n">
        <v>46093</v>
      </c>
      <c r="D2684" t="inlineStr">
        <is>
          <t>VÄSTERNORRLANDS LÄN</t>
        </is>
      </c>
      <c r="E2684" t="inlineStr">
        <is>
          <t>SOLLEFTEÅ</t>
        </is>
      </c>
      <c r="F2684" t="inlineStr">
        <is>
          <t>Övriga Aktiebolag</t>
        </is>
      </c>
      <c r="G2684" t="n">
        <v>5.3</v>
      </c>
      <c r="H2684" t="n">
        <v>0</v>
      </c>
      <c r="I2684" t="n">
        <v>0</v>
      </c>
      <c r="J2684" t="n">
        <v>0</v>
      </c>
      <c r="K2684" t="n">
        <v>0</v>
      </c>
      <c r="L2684" t="n">
        <v>0</v>
      </c>
      <c r="M2684" t="n">
        <v>0</v>
      </c>
      <c r="N2684" t="n">
        <v>0</v>
      </c>
      <c r="O2684" t="n">
        <v>0</v>
      </c>
      <c r="P2684" t="n">
        <v>0</v>
      </c>
      <c r="Q2684" t="n">
        <v>0</v>
      </c>
      <c r="R2684" s="2" t="inlineStr"/>
    </row>
    <row r="2685" ht="15" customHeight="1">
      <c r="A2685" t="inlineStr">
        <is>
          <t>A 47598-2023</t>
        </is>
      </c>
      <c r="B2685" s="1" t="n">
        <v>45197</v>
      </c>
      <c r="C2685" s="1" t="n">
        <v>46093</v>
      </c>
      <c r="D2685" t="inlineStr">
        <is>
          <t>VÄSTERNORRLANDS LÄN</t>
        </is>
      </c>
      <c r="E2685" t="inlineStr">
        <is>
          <t>ÖRNSKÖLDSVIK</t>
        </is>
      </c>
      <c r="G2685" t="n">
        <v>6.2</v>
      </c>
      <c r="H2685" t="n">
        <v>0</v>
      </c>
      <c r="I2685" t="n">
        <v>0</v>
      </c>
      <c r="J2685" t="n">
        <v>0</v>
      </c>
      <c r="K2685" t="n">
        <v>0</v>
      </c>
      <c r="L2685" t="n">
        <v>0</v>
      </c>
      <c r="M2685" t="n">
        <v>0</v>
      </c>
      <c r="N2685" t="n">
        <v>0</v>
      </c>
      <c r="O2685" t="n">
        <v>0</v>
      </c>
      <c r="P2685" t="n">
        <v>0</v>
      </c>
      <c r="Q2685" t="n">
        <v>0</v>
      </c>
      <c r="R2685" s="2" t="inlineStr"/>
    </row>
    <row r="2686" ht="15" customHeight="1">
      <c r="A2686" t="inlineStr">
        <is>
          <t>A 59975-2021</t>
        </is>
      </c>
      <c r="B2686" s="1" t="n">
        <v>44494.93675925926</v>
      </c>
      <c r="C2686" s="1" t="n">
        <v>46093</v>
      </c>
      <c r="D2686" t="inlineStr">
        <is>
          <t>VÄSTERNORRLANDS LÄN</t>
        </is>
      </c>
      <c r="E2686" t="inlineStr">
        <is>
          <t>SUNDSVALL</t>
        </is>
      </c>
      <c r="F2686" t="inlineStr">
        <is>
          <t>SCA</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6270-2024</t>
        </is>
      </c>
      <c r="B2687" s="1" t="n">
        <v>45337</v>
      </c>
      <c r="C2687" s="1" t="n">
        <v>46093</v>
      </c>
      <c r="D2687" t="inlineStr">
        <is>
          <t>VÄSTERNORRLANDS LÄN</t>
        </is>
      </c>
      <c r="E2687" t="inlineStr">
        <is>
          <t>SUNDSVALL</t>
        </is>
      </c>
      <c r="G2687" t="n">
        <v>9.5</v>
      </c>
      <c r="H2687" t="n">
        <v>0</v>
      </c>
      <c r="I2687" t="n">
        <v>0</v>
      </c>
      <c r="J2687" t="n">
        <v>0</v>
      </c>
      <c r="K2687" t="n">
        <v>0</v>
      </c>
      <c r="L2687" t="n">
        <v>0</v>
      </c>
      <c r="M2687" t="n">
        <v>0</v>
      </c>
      <c r="N2687" t="n">
        <v>0</v>
      </c>
      <c r="O2687" t="n">
        <v>0</v>
      </c>
      <c r="P2687" t="n">
        <v>0</v>
      </c>
      <c r="Q2687" t="n">
        <v>0</v>
      </c>
      <c r="R2687" s="2" t="inlineStr"/>
    </row>
    <row r="2688" ht="15" customHeight="1">
      <c r="A2688" t="inlineStr">
        <is>
          <t>A 6274-2024</t>
        </is>
      </c>
      <c r="B2688" s="1" t="n">
        <v>45337.95461805556</v>
      </c>
      <c r="C2688" s="1" t="n">
        <v>46093</v>
      </c>
      <c r="D2688" t="inlineStr">
        <is>
          <t>VÄSTERNORRLANDS LÄN</t>
        </is>
      </c>
      <c r="E2688" t="inlineStr">
        <is>
          <t>ÖRNSKÖLDSVIK</t>
        </is>
      </c>
      <c r="F2688" t="inlineStr">
        <is>
          <t>SCA</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32133-2023</t>
        </is>
      </c>
      <c r="B2689" s="1" t="n">
        <v>45107</v>
      </c>
      <c r="C2689" s="1" t="n">
        <v>46093</v>
      </c>
      <c r="D2689" t="inlineStr">
        <is>
          <t>VÄSTERNORRLANDS LÄN</t>
        </is>
      </c>
      <c r="E2689" t="inlineStr">
        <is>
          <t>ÖRNSKÖLDSVIK</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41157-2021</t>
        </is>
      </c>
      <c r="B2690" s="1" t="n">
        <v>44424.29855324074</v>
      </c>
      <c r="C2690" s="1" t="n">
        <v>46093</v>
      </c>
      <c r="D2690" t="inlineStr">
        <is>
          <t>VÄSTERNORRLANDS LÄN</t>
        </is>
      </c>
      <c r="E2690" t="inlineStr">
        <is>
          <t>ÖRNSKÖLDSVIK</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30346-2023</t>
        </is>
      </c>
      <c r="B2691" s="1" t="n">
        <v>45111.39366898148</v>
      </c>
      <c r="C2691" s="1" t="n">
        <v>46093</v>
      </c>
      <c r="D2691" t="inlineStr">
        <is>
          <t>VÄSTERNORRLANDS LÄN</t>
        </is>
      </c>
      <c r="E2691" t="inlineStr">
        <is>
          <t>ÖRNSKÖLDSVIK</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25148-2021</t>
        </is>
      </c>
      <c r="B2692" s="1" t="n">
        <v>44341</v>
      </c>
      <c r="C2692" s="1" t="n">
        <v>46093</v>
      </c>
      <c r="D2692" t="inlineStr">
        <is>
          <t>VÄSTERNORRLANDS LÄN</t>
        </is>
      </c>
      <c r="E2692" t="inlineStr">
        <is>
          <t>SUNDSVALL</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27025-2024</t>
        </is>
      </c>
      <c r="B2693" s="1" t="n">
        <v>45471.42071759259</v>
      </c>
      <c r="C2693" s="1" t="n">
        <v>46093</v>
      </c>
      <c r="D2693" t="inlineStr">
        <is>
          <t>VÄSTERNORRLANDS LÄN</t>
        </is>
      </c>
      <c r="E2693" t="inlineStr">
        <is>
          <t>SOLLEFTEÅ</t>
        </is>
      </c>
      <c r="F2693" t="inlineStr">
        <is>
          <t>Holmen skog AB</t>
        </is>
      </c>
      <c r="G2693" t="n">
        <v>4.5</v>
      </c>
      <c r="H2693" t="n">
        <v>0</v>
      </c>
      <c r="I2693" t="n">
        <v>0</v>
      </c>
      <c r="J2693" t="n">
        <v>0</v>
      </c>
      <c r="K2693" t="n">
        <v>0</v>
      </c>
      <c r="L2693" t="n">
        <v>0</v>
      </c>
      <c r="M2693" t="n">
        <v>0</v>
      </c>
      <c r="N2693" t="n">
        <v>0</v>
      </c>
      <c r="O2693" t="n">
        <v>0</v>
      </c>
      <c r="P2693" t="n">
        <v>0</v>
      </c>
      <c r="Q2693" t="n">
        <v>0</v>
      </c>
      <c r="R2693" s="2" t="inlineStr"/>
    </row>
    <row r="2694" ht="15" customHeight="1">
      <c r="A2694" t="inlineStr">
        <is>
          <t>A 33676-2024</t>
        </is>
      </c>
      <c r="B2694" s="1" t="n">
        <v>45520</v>
      </c>
      <c r="C2694" s="1" t="n">
        <v>46093</v>
      </c>
      <c r="D2694" t="inlineStr">
        <is>
          <t>VÄSTERNORRLANDS LÄN</t>
        </is>
      </c>
      <c r="E2694" t="inlineStr">
        <is>
          <t>ÖRNSKÖLDSVIK</t>
        </is>
      </c>
      <c r="F2694" t="inlineStr">
        <is>
          <t>Holmen skog AB</t>
        </is>
      </c>
      <c r="G2694" t="n">
        <v>17.7</v>
      </c>
      <c r="H2694" t="n">
        <v>0</v>
      </c>
      <c r="I2694" t="n">
        <v>0</v>
      </c>
      <c r="J2694" t="n">
        <v>0</v>
      </c>
      <c r="K2694" t="n">
        <v>0</v>
      </c>
      <c r="L2694" t="n">
        <v>0</v>
      </c>
      <c r="M2694" t="n">
        <v>0</v>
      </c>
      <c r="N2694" t="n">
        <v>0</v>
      </c>
      <c r="O2694" t="n">
        <v>0</v>
      </c>
      <c r="P2694" t="n">
        <v>0</v>
      </c>
      <c r="Q2694" t="n">
        <v>0</v>
      </c>
      <c r="R2694" s="2" t="inlineStr"/>
    </row>
    <row r="2695" ht="15" customHeight="1">
      <c r="A2695" t="inlineStr">
        <is>
          <t>A 60324-2021</t>
        </is>
      </c>
      <c r="B2695" s="1" t="n">
        <v>44495.94048611111</v>
      </c>
      <c r="C2695" s="1" t="n">
        <v>46093</v>
      </c>
      <c r="D2695" t="inlineStr">
        <is>
          <t>VÄSTERNORRLANDS LÄN</t>
        </is>
      </c>
      <c r="E2695" t="inlineStr">
        <is>
          <t>SOLLEFTEÅ</t>
        </is>
      </c>
      <c r="F2695" t="inlineStr">
        <is>
          <t>SCA</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57742-2021</t>
        </is>
      </c>
      <c r="B2696" s="1" t="n">
        <v>44484</v>
      </c>
      <c r="C2696" s="1" t="n">
        <v>46093</v>
      </c>
      <c r="D2696" t="inlineStr">
        <is>
          <t>VÄSTERNORRLANDS LÄN</t>
        </is>
      </c>
      <c r="E2696" t="inlineStr">
        <is>
          <t>KRAMFORS</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28491-2021</t>
        </is>
      </c>
      <c r="B2697" s="1" t="n">
        <v>44356</v>
      </c>
      <c r="C2697" s="1" t="n">
        <v>46093</v>
      </c>
      <c r="D2697" t="inlineStr">
        <is>
          <t>VÄSTERNORRLANDS LÄN</t>
        </is>
      </c>
      <c r="E2697" t="inlineStr">
        <is>
          <t>KRAMFORS</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30118-2024</t>
        </is>
      </c>
      <c r="B2698" s="1" t="n">
        <v>45489.47517361111</v>
      </c>
      <c r="C2698" s="1" t="n">
        <v>46093</v>
      </c>
      <c r="D2698" t="inlineStr">
        <is>
          <t>VÄSTERNORRLANDS LÄN</t>
        </is>
      </c>
      <c r="E2698" t="inlineStr">
        <is>
          <t>ÖRNSKÖLDSVIK</t>
        </is>
      </c>
      <c r="F2698" t="inlineStr">
        <is>
          <t>Holmen skog AB</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21196-2023</t>
        </is>
      </c>
      <c r="B2699" s="1" t="n">
        <v>45062.48819444444</v>
      </c>
      <c r="C2699" s="1" t="n">
        <v>46093</v>
      </c>
      <c r="D2699" t="inlineStr">
        <is>
          <t>VÄSTERNORRLANDS LÄN</t>
        </is>
      </c>
      <c r="E2699" t="inlineStr">
        <is>
          <t>SUNDSVALL</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27926-2022</t>
        </is>
      </c>
      <c r="B2700" s="1" t="n">
        <v>44743</v>
      </c>
      <c r="C2700" s="1" t="n">
        <v>46093</v>
      </c>
      <c r="D2700" t="inlineStr">
        <is>
          <t>VÄSTERNORRLANDS LÄN</t>
        </is>
      </c>
      <c r="E2700" t="inlineStr">
        <is>
          <t>SOLLEFTEÅ</t>
        </is>
      </c>
      <c r="F2700" t="inlineStr">
        <is>
          <t>SCA</t>
        </is>
      </c>
      <c r="G2700" t="n">
        <v>3.2</v>
      </c>
      <c r="H2700" t="n">
        <v>0</v>
      </c>
      <c r="I2700" t="n">
        <v>0</v>
      </c>
      <c r="J2700" t="n">
        <v>0</v>
      </c>
      <c r="K2700" t="n">
        <v>0</v>
      </c>
      <c r="L2700" t="n">
        <v>0</v>
      </c>
      <c r="M2700" t="n">
        <v>0</v>
      </c>
      <c r="N2700" t="n">
        <v>0</v>
      </c>
      <c r="O2700" t="n">
        <v>0</v>
      </c>
      <c r="P2700" t="n">
        <v>0</v>
      </c>
      <c r="Q2700" t="n">
        <v>0</v>
      </c>
      <c r="R2700" s="2" t="inlineStr"/>
    </row>
    <row r="2701" ht="15" customHeight="1">
      <c r="A2701" t="inlineStr">
        <is>
          <t>A 223-2022</t>
        </is>
      </c>
      <c r="B2701" s="1" t="n">
        <v>44564.9027662037</v>
      </c>
      <c r="C2701" s="1" t="n">
        <v>46093</v>
      </c>
      <c r="D2701" t="inlineStr">
        <is>
          <t>VÄSTERNORRLANDS LÄN</t>
        </is>
      </c>
      <c r="E2701" t="inlineStr">
        <is>
          <t>SUNDSVALL</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44920-2021</t>
        </is>
      </c>
      <c r="B2702" s="1" t="n">
        <v>44438</v>
      </c>
      <c r="C2702" s="1" t="n">
        <v>46093</v>
      </c>
      <c r="D2702" t="inlineStr">
        <is>
          <t>VÄSTERNORRLANDS LÄN</t>
        </is>
      </c>
      <c r="E2702" t="inlineStr">
        <is>
          <t>SUNDSVALL</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4818-2024</t>
        </is>
      </c>
      <c r="B2703" s="1" t="n">
        <v>45328</v>
      </c>
      <c r="C2703" s="1" t="n">
        <v>46093</v>
      </c>
      <c r="D2703" t="inlineStr">
        <is>
          <t>VÄSTERNORRLANDS LÄN</t>
        </is>
      </c>
      <c r="E2703" t="inlineStr">
        <is>
          <t>HÄRNÖSAND</t>
        </is>
      </c>
      <c r="F2703" t="inlineStr">
        <is>
          <t>SCA</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4819-2024</t>
        </is>
      </c>
      <c r="B2704" s="1" t="n">
        <v>45328</v>
      </c>
      <c r="C2704" s="1" t="n">
        <v>46093</v>
      </c>
      <c r="D2704" t="inlineStr">
        <is>
          <t>VÄSTERNORRLANDS LÄN</t>
        </is>
      </c>
      <c r="E2704" t="inlineStr">
        <is>
          <t>HÄRNÖSAND</t>
        </is>
      </c>
      <c r="F2704" t="inlineStr">
        <is>
          <t>SCA</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3191-2025</t>
        </is>
      </c>
      <c r="B2705" s="1" t="n">
        <v>45679</v>
      </c>
      <c r="C2705" s="1" t="n">
        <v>46093</v>
      </c>
      <c r="D2705" t="inlineStr">
        <is>
          <t>VÄSTERNORRLANDS LÄN</t>
        </is>
      </c>
      <c r="E2705" t="inlineStr">
        <is>
          <t>KRAMFORS</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3194-2025</t>
        </is>
      </c>
      <c r="B2706" s="1" t="n">
        <v>45679.42130787037</v>
      </c>
      <c r="C2706" s="1" t="n">
        <v>46093</v>
      </c>
      <c r="D2706" t="inlineStr">
        <is>
          <t>VÄSTERNORRLANDS LÄN</t>
        </is>
      </c>
      <c r="E2706" t="inlineStr">
        <is>
          <t>SOLLEFTEÅ</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39821-2023</t>
        </is>
      </c>
      <c r="B2707" s="1" t="n">
        <v>45167.96028935185</v>
      </c>
      <c r="C2707" s="1" t="n">
        <v>46093</v>
      </c>
      <c r="D2707" t="inlineStr">
        <is>
          <t>VÄSTERNORRLANDS LÄN</t>
        </is>
      </c>
      <c r="E2707" t="inlineStr">
        <is>
          <t>SUNDSVALL</t>
        </is>
      </c>
      <c r="F2707" t="inlineStr">
        <is>
          <t>SCA</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37503-2023</t>
        </is>
      </c>
      <c r="B2708" s="1" t="n">
        <v>45157.5796875</v>
      </c>
      <c r="C2708" s="1" t="n">
        <v>46093</v>
      </c>
      <c r="D2708" t="inlineStr">
        <is>
          <t>VÄSTERNORRLANDS LÄN</t>
        </is>
      </c>
      <c r="E2708" t="inlineStr">
        <is>
          <t>ÅNGE</t>
        </is>
      </c>
      <c r="F2708" t="inlineStr">
        <is>
          <t>Sveaskog</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31696-2022</t>
        </is>
      </c>
      <c r="B2709" s="1" t="n">
        <v>44776</v>
      </c>
      <c r="C2709" s="1" t="n">
        <v>46093</v>
      </c>
      <c r="D2709" t="inlineStr">
        <is>
          <t>VÄSTERNORRLANDS LÄN</t>
        </is>
      </c>
      <c r="E2709" t="inlineStr">
        <is>
          <t>ÅNGE</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58634-2023</t>
        </is>
      </c>
      <c r="B2710" s="1" t="n">
        <v>45251</v>
      </c>
      <c r="C2710" s="1" t="n">
        <v>46093</v>
      </c>
      <c r="D2710" t="inlineStr">
        <is>
          <t>VÄSTERNORRLANDS LÄN</t>
        </is>
      </c>
      <c r="E2710" t="inlineStr">
        <is>
          <t>ÅNGE</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58652-2023</t>
        </is>
      </c>
      <c r="B2711" s="1" t="n">
        <v>45251.60342592592</v>
      </c>
      <c r="C2711" s="1" t="n">
        <v>46093</v>
      </c>
      <c r="D2711" t="inlineStr">
        <is>
          <t>VÄSTERNORRLANDS LÄN</t>
        </is>
      </c>
      <c r="E2711" t="inlineStr">
        <is>
          <t>SUNDSVALL</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15855-2022</t>
        </is>
      </c>
      <c r="B2712" s="1" t="n">
        <v>44664</v>
      </c>
      <c r="C2712" s="1" t="n">
        <v>46093</v>
      </c>
      <c r="D2712" t="inlineStr">
        <is>
          <t>VÄSTERNORRLANDS LÄN</t>
        </is>
      </c>
      <c r="E2712" t="inlineStr">
        <is>
          <t>HÄRNÖSAND</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3323-2023</t>
        </is>
      </c>
      <c r="B2713" s="1" t="n">
        <v>44945</v>
      </c>
      <c r="C2713" s="1" t="n">
        <v>46093</v>
      </c>
      <c r="D2713" t="inlineStr">
        <is>
          <t>VÄSTERNORRLANDS LÄN</t>
        </is>
      </c>
      <c r="E2713" t="inlineStr">
        <is>
          <t>ÅNGE</t>
        </is>
      </c>
      <c r="G2713" t="n">
        <v>9.699999999999999</v>
      </c>
      <c r="H2713" t="n">
        <v>0</v>
      </c>
      <c r="I2713" t="n">
        <v>0</v>
      </c>
      <c r="J2713" t="n">
        <v>0</v>
      </c>
      <c r="K2713" t="n">
        <v>0</v>
      </c>
      <c r="L2713" t="n">
        <v>0</v>
      </c>
      <c r="M2713" t="n">
        <v>0</v>
      </c>
      <c r="N2713" t="n">
        <v>0</v>
      </c>
      <c r="O2713" t="n">
        <v>0</v>
      </c>
      <c r="P2713" t="n">
        <v>0</v>
      </c>
      <c r="Q2713" t="n">
        <v>0</v>
      </c>
      <c r="R2713" s="2" t="inlineStr"/>
    </row>
    <row r="2714" ht="15" customHeight="1">
      <c r="A2714" t="inlineStr">
        <is>
          <t>A 3941-2024</t>
        </is>
      </c>
      <c r="B2714" s="1" t="n">
        <v>45322</v>
      </c>
      <c r="C2714" s="1" t="n">
        <v>46093</v>
      </c>
      <c r="D2714" t="inlineStr">
        <is>
          <t>VÄSTERNORRLANDS LÄN</t>
        </is>
      </c>
      <c r="E2714" t="inlineStr">
        <is>
          <t>SUNDSVALL</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12880-2022</t>
        </is>
      </c>
      <c r="B2715" s="1" t="n">
        <v>44642</v>
      </c>
      <c r="C2715" s="1" t="n">
        <v>46093</v>
      </c>
      <c r="D2715" t="inlineStr">
        <is>
          <t>VÄSTERNORRLANDS LÄN</t>
        </is>
      </c>
      <c r="E2715" t="inlineStr">
        <is>
          <t>TIMRÅ</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12882-2022</t>
        </is>
      </c>
      <c r="B2716" s="1" t="n">
        <v>44642</v>
      </c>
      <c r="C2716" s="1" t="n">
        <v>46093</v>
      </c>
      <c r="D2716" t="inlineStr">
        <is>
          <t>VÄSTERNORRLANDS LÄN</t>
        </is>
      </c>
      <c r="E2716" t="inlineStr">
        <is>
          <t>TIMRÅ</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44412-2022</t>
        </is>
      </c>
      <c r="B2717" s="1" t="n">
        <v>44839.92626157407</v>
      </c>
      <c r="C2717" s="1" t="n">
        <v>46093</v>
      </c>
      <c r="D2717" t="inlineStr">
        <is>
          <t>VÄSTERNORRLANDS LÄN</t>
        </is>
      </c>
      <c r="E2717" t="inlineStr">
        <is>
          <t>ÅNGE</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45870-2022</t>
        </is>
      </c>
      <c r="B2718" s="1" t="n">
        <v>44844</v>
      </c>
      <c r="C2718" s="1" t="n">
        <v>46093</v>
      </c>
      <c r="D2718" t="inlineStr">
        <is>
          <t>VÄSTERNORRLANDS LÄN</t>
        </is>
      </c>
      <c r="E2718" t="inlineStr">
        <is>
          <t>SUNDSVALL</t>
        </is>
      </c>
      <c r="G2718" t="n">
        <v>6</v>
      </c>
      <c r="H2718" t="n">
        <v>0</v>
      </c>
      <c r="I2718" t="n">
        <v>0</v>
      </c>
      <c r="J2718" t="n">
        <v>0</v>
      </c>
      <c r="K2718" t="n">
        <v>0</v>
      </c>
      <c r="L2718" t="n">
        <v>0</v>
      </c>
      <c r="M2718" t="n">
        <v>0</v>
      </c>
      <c r="N2718" t="n">
        <v>0</v>
      </c>
      <c r="O2718" t="n">
        <v>0</v>
      </c>
      <c r="P2718" t="n">
        <v>0</v>
      </c>
      <c r="Q2718" t="n">
        <v>0</v>
      </c>
      <c r="R2718" s="2" t="inlineStr"/>
    </row>
    <row r="2719" ht="15" customHeight="1">
      <c r="A2719" t="inlineStr">
        <is>
          <t>A 43989-2024</t>
        </is>
      </c>
      <c r="B2719" s="1" t="n">
        <v>45572.51328703704</v>
      </c>
      <c r="C2719" s="1" t="n">
        <v>46093</v>
      </c>
      <c r="D2719" t="inlineStr">
        <is>
          <t>VÄSTERNORRLANDS LÄN</t>
        </is>
      </c>
      <c r="E2719" t="inlineStr">
        <is>
          <t>KRAMFORS</t>
        </is>
      </c>
      <c r="G2719" t="n">
        <v>3.5</v>
      </c>
      <c r="H2719" t="n">
        <v>0</v>
      </c>
      <c r="I2719" t="n">
        <v>0</v>
      </c>
      <c r="J2719" t="n">
        <v>0</v>
      </c>
      <c r="K2719" t="n">
        <v>0</v>
      </c>
      <c r="L2719" t="n">
        <v>0</v>
      </c>
      <c r="M2719" t="n">
        <v>0</v>
      </c>
      <c r="N2719" t="n">
        <v>0</v>
      </c>
      <c r="O2719" t="n">
        <v>0</v>
      </c>
      <c r="P2719" t="n">
        <v>0</v>
      </c>
      <c r="Q2719" t="n">
        <v>0</v>
      </c>
      <c r="R2719" s="2" t="inlineStr"/>
    </row>
    <row r="2720" ht="15" customHeight="1">
      <c r="A2720" t="inlineStr">
        <is>
          <t>A 29292-2022</t>
        </is>
      </c>
      <c r="B2720" s="1" t="n">
        <v>44750</v>
      </c>
      <c r="C2720" s="1" t="n">
        <v>46093</v>
      </c>
      <c r="D2720" t="inlineStr">
        <is>
          <t>VÄSTERNORRLANDS LÄN</t>
        </is>
      </c>
      <c r="E2720" t="inlineStr">
        <is>
          <t>SOLLEFTEÅ</t>
        </is>
      </c>
      <c r="F2720" t="inlineStr">
        <is>
          <t>SCA</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13252-2023</t>
        </is>
      </c>
      <c r="B2721" s="1" t="n">
        <v>45002</v>
      </c>
      <c r="C2721" s="1" t="n">
        <v>46093</v>
      </c>
      <c r="D2721" t="inlineStr">
        <is>
          <t>VÄSTERNORRLANDS LÄN</t>
        </is>
      </c>
      <c r="E2721" t="inlineStr">
        <is>
          <t>SOLLEFTEÅ</t>
        </is>
      </c>
      <c r="F2721" t="inlineStr">
        <is>
          <t>SCA</t>
        </is>
      </c>
      <c r="G2721" t="n">
        <v>5.4</v>
      </c>
      <c r="H2721" t="n">
        <v>0</v>
      </c>
      <c r="I2721" t="n">
        <v>0</v>
      </c>
      <c r="J2721" t="n">
        <v>0</v>
      </c>
      <c r="K2721" t="n">
        <v>0</v>
      </c>
      <c r="L2721" t="n">
        <v>0</v>
      </c>
      <c r="M2721" t="n">
        <v>0</v>
      </c>
      <c r="N2721" t="n">
        <v>0</v>
      </c>
      <c r="O2721" t="n">
        <v>0</v>
      </c>
      <c r="P2721" t="n">
        <v>0</v>
      </c>
      <c r="Q2721" t="n">
        <v>0</v>
      </c>
      <c r="R2721" s="2" t="inlineStr"/>
    </row>
    <row r="2722" ht="15" customHeight="1">
      <c r="A2722" t="inlineStr">
        <is>
          <t>A 31956-2022</t>
        </is>
      </c>
      <c r="B2722" s="1" t="n">
        <v>44777.92658564815</v>
      </c>
      <c r="C2722" s="1" t="n">
        <v>46093</v>
      </c>
      <c r="D2722" t="inlineStr">
        <is>
          <t>VÄSTERNORRLANDS LÄN</t>
        </is>
      </c>
      <c r="E2722" t="inlineStr">
        <is>
          <t>SUNDSVALL</t>
        </is>
      </c>
      <c r="G2722" t="n">
        <v>6.1</v>
      </c>
      <c r="H2722" t="n">
        <v>0</v>
      </c>
      <c r="I2722" t="n">
        <v>0</v>
      </c>
      <c r="J2722" t="n">
        <v>0</v>
      </c>
      <c r="K2722" t="n">
        <v>0</v>
      </c>
      <c r="L2722" t="n">
        <v>0</v>
      </c>
      <c r="M2722" t="n">
        <v>0</v>
      </c>
      <c r="N2722" t="n">
        <v>0</v>
      </c>
      <c r="O2722" t="n">
        <v>0</v>
      </c>
      <c r="P2722" t="n">
        <v>0</v>
      </c>
      <c r="Q2722" t="n">
        <v>0</v>
      </c>
      <c r="R2722" s="2" t="inlineStr"/>
    </row>
    <row r="2723" ht="15" customHeight="1">
      <c r="A2723" t="inlineStr">
        <is>
          <t>A 43237-2022</t>
        </is>
      </c>
      <c r="B2723" s="1" t="n">
        <v>44833</v>
      </c>
      <c r="C2723" s="1" t="n">
        <v>46093</v>
      </c>
      <c r="D2723" t="inlineStr">
        <is>
          <t>VÄSTERNORRLANDS LÄN</t>
        </is>
      </c>
      <c r="E2723" t="inlineStr">
        <is>
          <t>TIMRÅ</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49984-2022</t>
        </is>
      </c>
      <c r="B2724" s="1" t="n">
        <v>44859</v>
      </c>
      <c r="C2724" s="1" t="n">
        <v>46093</v>
      </c>
      <c r="D2724" t="inlineStr">
        <is>
          <t>VÄSTERNORRLANDS LÄN</t>
        </is>
      </c>
      <c r="E2724" t="inlineStr">
        <is>
          <t>SUNDSVALL</t>
        </is>
      </c>
      <c r="G2724" t="n">
        <v>0.3</v>
      </c>
      <c r="H2724" t="n">
        <v>0</v>
      </c>
      <c r="I2724" t="n">
        <v>0</v>
      </c>
      <c r="J2724" t="n">
        <v>0</v>
      </c>
      <c r="K2724" t="n">
        <v>0</v>
      </c>
      <c r="L2724" t="n">
        <v>0</v>
      </c>
      <c r="M2724" t="n">
        <v>0</v>
      </c>
      <c r="N2724" t="n">
        <v>0</v>
      </c>
      <c r="O2724" t="n">
        <v>0</v>
      </c>
      <c r="P2724" t="n">
        <v>0</v>
      </c>
      <c r="Q2724" t="n">
        <v>0</v>
      </c>
      <c r="R2724" s="2" t="inlineStr"/>
    </row>
    <row r="2725" ht="15" customHeight="1">
      <c r="A2725" t="inlineStr">
        <is>
          <t>A 5316-2024</t>
        </is>
      </c>
      <c r="B2725" s="1" t="n">
        <v>45331</v>
      </c>
      <c r="C2725" s="1" t="n">
        <v>46093</v>
      </c>
      <c r="D2725" t="inlineStr">
        <is>
          <t>VÄSTERNORRLANDS LÄN</t>
        </is>
      </c>
      <c r="E2725" t="inlineStr">
        <is>
          <t>SUNDSVALL</t>
        </is>
      </c>
      <c r="G2725" t="n">
        <v>12.9</v>
      </c>
      <c r="H2725" t="n">
        <v>0</v>
      </c>
      <c r="I2725" t="n">
        <v>0</v>
      </c>
      <c r="J2725" t="n">
        <v>0</v>
      </c>
      <c r="K2725" t="n">
        <v>0</v>
      </c>
      <c r="L2725" t="n">
        <v>0</v>
      </c>
      <c r="M2725" t="n">
        <v>0</v>
      </c>
      <c r="N2725" t="n">
        <v>0</v>
      </c>
      <c r="O2725" t="n">
        <v>0</v>
      </c>
      <c r="P2725" t="n">
        <v>0</v>
      </c>
      <c r="Q2725" t="n">
        <v>0</v>
      </c>
      <c r="R2725" s="2" t="inlineStr"/>
    </row>
    <row r="2726" ht="15" customHeight="1">
      <c r="A2726" t="inlineStr">
        <is>
          <t>A 6486-2022</t>
        </is>
      </c>
      <c r="B2726" s="1" t="n">
        <v>44601.41181712963</v>
      </c>
      <c r="C2726" s="1" t="n">
        <v>46093</v>
      </c>
      <c r="D2726" t="inlineStr">
        <is>
          <t>VÄSTERNORRLANDS LÄN</t>
        </is>
      </c>
      <c r="E2726" t="inlineStr">
        <is>
          <t>KRAMFORS</t>
        </is>
      </c>
      <c r="G2726" t="n">
        <v>0.1</v>
      </c>
      <c r="H2726" t="n">
        <v>0</v>
      </c>
      <c r="I2726" t="n">
        <v>0</v>
      </c>
      <c r="J2726" t="n">
        <v>0</v>
      </c>
      <c r="K2726" t="n">
        <v>0</v>
      </c>
      <c r="L2726" t="n">
        <v>0</v>
      </c>
      <c r="M2726" t="n">
        <v>0</v>
      </c>
      <c r="N2726" t="n">
        <v>0</v>
      </c>
      <c r="O2726" t="n">
        <v>0</v>
      </c>
      <c r="P2726" t="n">
        <v>0</v>
      </c>
      <c r="Q2726" t="n">
        <v>0</v>
      </c>
      <c r="R2726" s="2" t="inlineStr"/>
    </row>
    <row r="2727" ht="15" customHeight="1">
      <c r="A2727" t="inlineStr">
        <is>
          <t>A 47830-2022</t>
        </is>
      </c>
      <c r="B2727" s="1" t="n">
        <v>44855</v>
      </c>
      <c r="C2727" s="1" t="n">
        <v>46093</v>
      </c>
      <c r="D2727" t="inlineStr">
        <is>
          <t>VÄSTERNORRLANDS LÄN</t>
        </is>
      </c>
      <c r="E2727" t="inlineStr">
        <is>
          <t>ÖRNSKÖLDSVIK</t>
        </is>
      </c>
      <c r="F2727" t="inlineStr">
        <is>
          <t>Holmen skog AB</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34445-2025</t>
        </is>
      </c>
      <c r="B2728" s="1" t="n">
        <v>45845</v>
      </c>
      <c r="C2728" s="1" t="n">
        <v>46093</v>
      </c>
      <c r="D2728" t="inlineStr">
        <is>
          <t>VÄSTERNORRLANDS LÄN</t>
        </is>
      </c>
      <c r="E2728" t="inlineStr">
        <is>
          <t>ÖRNSKÖLDSVIK</t>
        </is>
      </c>
      <c r="G2728" t="n">
        <v>24.6</v>
      </c>
      <c r="H2728" t="n">
        <v>0</v>
      </c>
      <c r="I2728" t="n">
        <v>0</v>
      </c>
      <c r="J2728" t="n">
        <v>0</v>
      </c>
      <c r="K2728" t="n">
        <v>0</v>
      </c>
      <c r="L2728" t="n">
        <v>0</v>
      </c>
      <c r="M2728" t="n">
        <v>0</v>
      </c>
      <c r="N2728" t="n">
        <v>0</v>
      </c>
      <c r="O2728" t="n">
        <v>0</v>
      </c>
      <c r="P2728" t="n">
        <v>0</v>
      </c>
      <c r="Q2728" t="n">
        <v>0</v>
      </c>
      <c r="R2728" s="2" t="inlineStr"/>
    </row>
    <row r="2729" ht="15" customHeight="1">
      <c r="A2729" t="inlineStr">
        <is>
          <t>A 34031-2025</t>
        </is>
      </c>
      <c r="B2729" s="1" t="n">
        <v>45845.36508101852</v>
      </c>
      <c r="C2729" s="1" t="n">
        <v>46093</v>
      </c>
      <c r="D2729" t="inlineStr">
        <is>
          <t>VÄSTERNORRLANDS LÄN</t>
        </is>
      </c>
      <c r="E2729" t="inlineStr">
        <is>
          <t>ÅNGE</t>
        </is>
      </c>
      <c r="F2729" t="inlineStr">
        <is>
          <t>SCA</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70795-2021</t>
        </is>
      </c>
      <c r="B2730" s="1" t="n">
        <v>44537</v>
      </c>
      <c r="C2730" s="1" t="n">
        <v>46093</v>
      </c>
      <c r="D2730" t="inlineStr">
        <is>
          <t>VÄSTERNORRLANDS LÄN</t>
        </is>
      </c>
      <c r="E2730" t="inlineStr">
        <is>
          <t>KRAMFORS</t>
        </is>
      </c>
      <c r="G2730" t="n">
        <v>5.1</v>
      </c>
      <c r="H2730" t="n">
        <v>0</v>
      </c>
      <c r="I2730" t="n">
        <v>0</v>
      </c>
      <c r="J2730" t="n">
        <v>0</v>
      </c>
      <c r="K2730" t="n">
        <v>0</v>
      </c>
      <c r="L2730" t="n">
        <v>0</v>
      </c>
      <c r="M2730" t="n">
        <v>0</v>
      </c>
      <c r="N2730" t="n">
        <v>0</v>
      </c>
      <c r="O2730" t="n">
        <v>0</v>
      </c>
      <c r="P2730" t="n">
        <v>0</v>
      </c>
      <c r="Q2730" t="n">
        <v>0</v>
      </c>
      <c r="R2730" s="2" t="inlineStr"/>
    </row>
    <row r="2731" ht="15" customHeight="1">
      <c r="A2731" t="inlineStr">
        <is>
          <t>A 70879-2021</t>
        </is>
      </c>
      <c r="B2731" s="1" t="n">
        <v>44538</v>
      </c>
      <c r="C2731" s="1" t="n">
        <v>46093</v>
      </c>
      <c r="D2731" t="inlineStr">
        <is>
          <t>VÄSTERNORRLANDS LÄN</t>
        </is>
      </c>
      <c r="E2731" t="inlineStr">
        <is>
          <t>SUNDSVALL</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38601-2023</t>
        </is>
      </c>
      <c r="B2732" s="1" t="n">
        <v>45162.64715277778</v>
      </c>
      <c r="C2732" s="1" t="n">
        <v>46093</v>
      </c>
      <c r="D2732" t="inlineStr">
        <is>
          <t>VÄSTERNORRLANDS LÄN</t>
        </is>
      </c>
      <c r="E2732" t="inlineStr">
        <is>
          <t>ÖRNSKÖLDSVIK</t>
        </is>
      </c>
      <c r="F2732" t="inlineStr">
        <is>
          <t>Holmen skog AB</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60856-2022</t>
        </is>
      </c>
      <c r="B2733" s="1" t="n">
        <v>44907</v>
      </c>
      <c r="C2733" s="1" t="n">
        <v>46093</v>
      </c>
      <c r="D2733" t="inlineStr">
        <is>
          <t>VÄSTERNORRLANDS LÄN</t>
        </is>
      </c>
      <c r="E2733" t="inlineStr">
        <is>
          <t>SOLLEFTEÅ</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60865-2022</t>
        </is>
      </c>
      <c r="B2734" s="1" t="n">
        <v>44908</v>
      </c>
      <c r="C2734" s="1" t="n">
        <v>46093</v>
      </c>
      <c r="D2734" t="inlineStr">
        <is>
          <t>VÄSTERNORRLANDS LÄN</t>
        </is>
      </c>
      <c r="E2734" t="inlineStr">
        <is>
          <t>KRAMFORS</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20950-2022</t>
        </is>
      </c>
      <c r="B2735" s="1" t="n">
        <v>44701</v>
      </c>
      <c r="C2735" s="1" t="n">
        <v>46093</v>
      </c>
      <c r="D2735" t="inlineStr">
        <is>
          <t>VÄSTERNORRLANDS LÄN</t>
        </is>
      </c>
      <c r="E2735" t="inlineStr">
        <is>
          <t>SOLLEFTEÅ</t>
        </is>
      </c>
      <c r="F2735" t="inlineStr">
        <is>
          <t>SCA</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34063-2025</t>
        </is>
      </c>
      <c r="B2736" s="1" t="n">
        <v>45845.42737268518</v>
      </c>
      <c r="C2736" s="1" t="n">
        <v>46093</v>
      </c>
      <c r="D2736" t="inlineStr">
        <is>
          <t>VÄSTERNORRLANDS LÄN</t>
        </is>
      </c>
      <c r="E2736" t="inlineStr">
        <is>
          <t>ÖRNSKÖLDSVIK</t>
        </is>
      </c>
      <c r="G2736" t="n">
        <v>6.2</v>
      </c>
      <c r="H2736" t="n">
        <v>0</v>
      </c>
      <c r="I2736" t="n">
        <v>0</v>
      </c>
      <c r="J2736" t="n">
        <v>0</v>
      </c>
      <c r="K2736" t="n">
        <v>0</v>
      </c>
      <c r="L2736" t="n">
        <v>0</v>
      </c>
      <c r="M2736" t="n">
        <v>0</v>
      </c>
      <c r="N2736" t="n">
        <v>0</v>
      </c>
      <c r="O2736" t="n">
        <v>0</v>
      </c>
      <c r="P2736" t="n">
        <v>0</v>
      </c>
      <c r="Q2736" t="n">
        <v>0</v>
      </c>
      <c r="R2736" s="2" t="inlineStr"/>
    </row>
    <row r="2737" ht="15" customHeight="1">
      <c r="A2737" t="inlineStr">
        <is>
          <t>A 2816-2024</t>
        </is>
      </c>
      <c r="B2737" s="1" t="n">
        <v>45314</v>
      </c>
      <c r="C2737" s="1" t="n">
        <v>46093</v>
      </c>
      <c r="D2737" t="inlineStr">
        <is>
          <t>VÄSTERNORRLANDS LÄN</t>
        </is>
      </c>
      <c r="E2737" t="inlineStr">
        <is>
          <t>SOLLEFTEÅ</t>
        </is>
      </c>
      <c r="F2737" t="inlineStr">
        <is>
          <t>Holmen skog AB</t>
        </is>
      </c>
      <c r="G2737" t="n">
        <v>5.2</v>
      </c>
      <c r="H2737" t="n">
        <v>0</v>
      </c>
      <c r="I2737" t="n">
        <v>0</v>
      </c>
      <c r="J2737" t="n">
        <v>0</v>
      </c>
      <c r="K2737" t="n">
        <v>0</v>
      </c>
      <c r="L2737" t="n">
        <v>0</v>
      </c>
      <c r="M2737" t="n">
        <v>0</v>
      </c>
      <c r="N2737" t="n">
        <v>0</v>
      </c>
      <c r="O2737" t="n">
        <v>0</v>
      </c>
      <c r="P2737" t="n">
        <v>0</v>
      </c>
      <c r="Q2737" t="n">
        <v>0</v>
      </c>
      <c r="R2737" s="2" t="inlineStr"/>
    </row>
    <row r="2738" ht="15" customHeight="1">
      <c r="A2738" t="inlineStr">
        <is>
          <t>A 53699-2021</t>
        </is>
      </c>
      <c r="B2738" s="1" t="n">
        <v>44469</v>
      </c>
      <c r="C2738" s="1" t="n">
        <v>46093</v>
      </c>
      <c r="D2738" t="inlineStr">
        <is>
          <t>VÄSTERNORRLANDS LÄN</t>
        </is>
      </c>
      <c r="E2738" t="inlineStr">
        <is>
          <t>TIMRÅ</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5134-2022</t>
        </is>
      </c>
      <c r="B2739" s="1" t="n">
        <v>44594</v>
      </c>
      <c r="C2739" s="1" t="n">
        <v>46093</v>
      </c>
      <c r="D2739" t="inlineStr">
        <is>
          <t>VÄSTERNORRLANDS LÄN</t>
        </is>
      </c>
      <c r="E2739" t="inlineStr">
        <is>
          <t>SOLLEFTEÅ</t>
        </is>
      </c>
      <c r="G2739" t="n">
        <v>20.4</v>
      </c>
      <c r="H2739" t="n">
        <v>0</v>
      </c>
      <c r="I2739" t="n">
        <v>0</v>
      </c>
      <c r="J2739" t="n">
        <v>0</v>
      </c>
      <c r="K2739" t="n">
        <v>0</v>
      </c>
      <c r="L2739" t="n">
        <v>0</v>
      </c>
      <c r="M2739" t="n">
        <v>0</v>
      </c>
      <c r="N2739" t="n">
        <v>0</v>
      </c>
      <c r="O2739" t="n">
        <v>0</v>
      </c>
      <c r="P2739" t="n">
        <v>0</v>
      </c>
      <c r="Q2739" t="n">
        <v>0</v>
      </c>
      <c r="R2739" s="2" t="inlineStr"/>
    </row>
    <row r="2740" ht="15" customHeight="1">
      <c r="A2740" t="inlineStr">
        <is>
          <t>A 18778-2023</t>
        </is>
      </c>
      <c r="B2740" s="1" t="n">
        <v>45043</v>
      </c>
      <c r="C2740" s="1" t="n">
        <v>46093</v>
      </c>
      <c r="D2740" t="inlineStr">
        <is>
          <t>VÄSTERNORRLANDS LÄN</t>
        </is>
      </c>
      <c r="E2740" t="inlineStr">
        <is>
          <t>TIMRÅ</t>
        </is>
      </c>
      <c r="F2740" t="inlineStr">
        <is>
          <t>SCA</t>
        </is>
      </c>
      <c r="G2740" t="n">
        <v>4.4</v>
      </c>
      <c r="H2740" t="n">
        <v>0</v>
      </c>
      <c r="I2740" t="n">
        <v>0</v>
      </c>
      <c r="J2740" t="n">
        <v>0</v>
      </c>
      <c r="K2740" t="n">
        <v>0</v>
      </c>
      <c r="L2740" t="n">
        <v>0</v>
      </c>
      <c r="M2740" t="n">
        <v>0</v>
      </c>
      <c r="N2740" t="n">
        <v>0</v>
      </c>
      <c r="O2740" t="n">
        <v>0</v>
      </c>
      <c r="P2740" t="n">
        <v>0</v>
      </c>
      <c r="Q2740" t="n">
        <v>0</v>
      </c>
      <c r="R2740" s="2" t="inlineStr"/>
    </row>
    <row r="2741" ht="15" customHeight="1">
      <c r="A2741" t="inlineStr">
        <is>
          <t>A 28868-2023</t>
        </is>
      </c>
      <c r="B2741" s="1" t="n">
        <v>45104.46202546296</v>
      </c>
      <c r="C2741" s="1" t="n">
        <v>46093</v>
      </c>
      <c r="D2741" t="inlineStr">
        <is>
          <t>VÄSTERNORRLANDS LÄN</t>
        </is>
      </c>
      <c r="E2741" t="inlineStr">
        <is>
          <t>ÖRNSKÖLDSVIK</t>
        </is>
      </c>
      <c r="F2741" t="inlineStr">
        <is>
          <t>Holmen skog AB</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15369-2024</t>
        </is>
      </c>
      <c r="B2742" s="1" t="n">
        <v>45400.92290509259</v>
      </c>
      <c r="C2742" s="1" t="n">
        <v>46093</v>
      </c>
      <c r="D2742" t="inlineStr">
        <is>
          <t>VÄSTERNORRLANDS LÄN</t>
        </is>
      </c>
      <c r="E2742" t="inlineStr">
        <is>
          <t>ÅNGE</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6263-2022</t>
        </is>
      </c>
      <c r="B2743" s="1" t="n">
        <v>44600</v>
      </c>
      <c r="C2743" s="1" t="n">
        <v>46093</v>
      </c>
      <c r="D2743" t="inlineStr">
        <is>
          <t>VÄSTERNORRLANDS LÄN</t>
        </is>
      </c>
      <c r="E2743" t="inlineStr">
        <is>
          <t>ÅNGE</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24305-2022</t>
        </is>
      </c>
      <c r="B2744" s="1" t="n">
        <v>44725.94373842593</v>
      </c>
      <c r="C2744" s="1" t="n">
        <v>46093</v>
      </c>
      <c r="D2744" t="inlineStr">
        <is>
          <t>VÄSTERNORRLANDS LÄN</t>
        </is>
      </c>
      <c r="E2744" t="inlineStr">
        <is>
          <t>TIMRÅ</t>
        </is>
      </c>
      <c r="F2744" t="inlineStr">
        <is>
          <t>SCA</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11083-2025</t>
        </is>
      </c>
      <c r="B2745" s="1" t="n">
        <v>45723.56657407407</v>
      </c>
      <c r="C2745" s="1" t="n">
        <v>46093</v>
      </c>
      <c r="D2745" t="inlineStr">
        <is>
          <t>VÄSTERNORRLANDS LÄN</t>
        </is>
      </c>
      <c r="E2745" t="inlineStr">
        <is>
          <t>SUNDSVALL</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43176-2022</t>
        </is>
      </c>
      <c r="B2746" s="1" t="n">
        <v>44834</v>
      </c>
      <c r="C2746" s="1" t="n">
        <v>46093</v>
      </c>
      <c r="D2746" t="inlineStr">
        <is>
          <t>VÄSTERNORRLANDS LÄN</t>
        </is>
      </c>
      <c r="E2746" t="inlineStr">
        <is>
          <t>ÖRNSKÖLDSVIK</t>
        </is>
      </c>
      <c r="F2746" t="inlineStr">
        <is>
          <t>Holmen skog AB</t>
        </is>
      </c>
      <c r="G2746" t="n">
        <v>19.8</v>
      </c>
      <c r="H2746" t="n">
        <v>0</v>
      </c>
      <c r="I2746" t="n">
        <v>0</v>
      </c>
      <c r="J2746" t="n">
        <v>0</v>
      </c>
      <c r="K2746" t="n">
        <v>0</v>
      </c>
      <c r="L2746" t="n">
        <v>0</v>
      </c>
      <c r="M2746" t="n">
        <v>0</v>
      </c>
      <c r="N2746" t="n">
        <v>0</v>
      </c>
      <c r="O2746" t="n">
        <v>0</v>
      </c>
      <c r="P2746" t="n">
        <v>0</v>
      </c>
      <c r="Q2746" t="n">
        <v>0</v>
      </c>
      <c r="R2746" s="2" t="inlineStr"/>
    </row>
    <row r="2747" ht="15" customHeight="1">
      <c r="A2747" t="inlineStr">
        <is>
          <t>A 23445-2022</t>
        </is>
      </c>
      <c r="B2747" s="1" t="n">
        <v>44720.94123842593</v>
      </c>
      <c r="C2747" s="1" t="n">
        <v>46093</v>
      </c>
      <c r="D2747" t="inlineStr">
        <is>
          <t>VÄSTERNORRLANDS LÄN</t>
        </is>
      </c>
      <c r="E2747" t="inlineStr">
        <is>
          <t>SOLLEFTEÅ</t>
        </is>
      </c>
      <c r="F2747" t="inlineStr">
        <is>
          <t>SCA</t>
        </is>
      </c>
      <c r="G2747" t="n">
        <v>6.8</v>
      </c>
      <c r="H2747" t="n">
        <v>0</v>
      </c>
      <c r="I2747" t="n">
        <v>0</v>
      </c>
      <c r="J2747" t="n">
        <v>0</v>
      </c>
      <c r="K2747" t="n">
        <v>0</v>
      </c>
      <c r="L2747" t="n">
        <v>0</v>
      </c>
      <c r="M2747" t="n">
        <v>0</v>
      </c>
      <c r="N2747" t="n">
        <v>0</v>
      </c>
      <c r="O2747" t="n">
        <v>0</v>
      </c>
      <c r="P2747" t="n">
        <v>0</v>
      </c>
      <c r="Q2747" t="n">
        <v>0</v>
      </c>
      <c r="R2747" s="2" t="inlineStr"/>
    </row>
    <row r="2748" ht="15" customHeight="1">
      <c r="A2748" t="inlineStr">
        <is>
          <t>A 35682-2024</t>
        </is>
      </c>
      <c r="B2748" s="1" t="n">
        <v>45532.40609953704</v>
      </c>
      <c r="C2748" s="1" t="n">
        <v>46093</v>
      </c>
      <c r="D2748" t="inlineStr">
        <is>
          <t>VÄSTERNORRLANDS LÄN</t>
        </is>
      </c>
      <c r="E2748" t="inlineStr">
        <is>
          <t>SUNDSVALL</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56513-2021</t>
        </is>
      </c>
      <c r="B2749" s="1" t="n">
        <v>44480.58693287037</v>
      </c>
      <c r="C2749" s="1" t="n">
        <v>46093</v>
      </c>
      <c r="D2749" t="inlineStr">
        <is>
          <t>VÄSTERNORRLANDS LÄN</t>
        </is>
      </c>
      <c r="E2749" t="inlineStr">
        <is>
          <t>ÖRNSKÖLDSVIK</t>
        </is>
      </c>
      <c r="F2749" t="inlineStr">
        <is>
          <t>Holmen skog AB</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1679-2024</t>
        </is>
      </c>
      <c r="B2750" s="1" t="n">
        <v>45306</v>
      </c>
      <c r="C2750" s="1" t="n">
        <v>46093</v>
      </c>
      <c r="D2750" t="inlineStr">
        <is>
          <t>VÄSTERNORRLANDS LÄN</t>
        </is>
      </c>
      <c r="E2750" t="inlineStr">
        <is>
          <t>SOLLEFTEÅ</t>
        </is>
      </c>
      <c r="F2750" t="inlineStr">
        <is>
          <t>SCA</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58129-2023</t>
        </is>
      </c>
      <c r="B2751" s="1" t="n">
        <v>45249</v>
      </c>
      <c r="C2751" s="1" t="n">
        <v>46093</v>
      </c>
      <c r="D2751" t="inlineStr">
        <is>
          <t>VÄSTERNORRLANDS LÄN</t>
        </is>
      </c>
      <c r="E2751" t="inlineStr">
        <is>
          <t>SUNDSVALL</t>
        </is>
      </c>
      <c r="F2751" t="inlineStr">
        <is>
          <t>SCA</t>
        </is>
      </c>
      <c r="G2751" t="n">
        <v>2.8</v>
      </c>
      <c r="H2751" t="n">
        <v>0</v>
      </c>
      <c r="I2751" t="n">
        <v>0</v>
      </c>
      <c r="J2751" t="n">
        <v>0</v>
      </c>
      <c r="K2751" t="n">
        <v>0</v>
      </c>
      <c r="L2751" t="n">
        <v>0</v>
      </c>
      <c r="M2751" t="n">
        <v>0</v>
      </c>
      <c r="N2751" t="n">
        <v>0</v>
      </c>
      <c r="O2751" t="n">
        <v>0</v>
      </c>
      <c r="P2751" t="n">
        <v>0</v>
      </c>
      <c r="Q2751" t="n">
        <v>0</v>
      </c>
      <c r="R2751" s="2" t="inlineStr"/>
    </row>
    <row r="2752" ht="15" customHeight="1">
      <c r="A2752" t="inlineStr">
        <is>
          <t>A 20334-2025</t>
        </is>
      </c>
      <c r="B2752" s="1" t="n">
        <v>45775.36496527777</v>
      </c>
      <c r="C2752" s="1" t="n">
        <v>46093</v>
      </c>
      <c r="D2752" t="inlineStr">
        <is>
          <t>VÄSTERNORRLANDS LÄN</t>
        </is>
      </c>
      <c r="E2752" t="inlineStr">
        <is>
          <t>SOLLEFTEÅ</t>
        </is>
      </c>
      <c r="F2752" t="inlineStr">
        <is>
          <t>SCA</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67765-2021</t>
        </is>
      </c>
      <c r="B2753" s="1" t="n">
        <v>44525</v>
      </c>
      <c r="C2753" s="1" t="n">
        <v>46093</v>
      </c>
      <c r="D2753" t="inlineStr">
        <is>
          <t>VÄSTERNORRLANDS LÄN</t>
        </is>
      </c>
      <c r="E2753" t="inlineStr">
        <is>
          <t>ÖRNSKÖLDSVIK</t>
        </is>
      </c>
      <c r="G2753" t="n">
        <v>5.4</v>
      </c>
      <c r="H2753" t="n">
        <v>0</v>
      </c>
      <c r="I2753" t="n">
        <v>0</v>
      </c>
      <c r="J2753" t="n">
        <v>0</v>
      </c>
      <c r="K2753" t="n">
        <v>0</v>
      </c>
      <c r="L2753" t="n">
        <v>0</v>
      </c>
      <c r="M2753" t="n">
        <v>0</v>
      </c>
      <c r="N2753" t="n">
        <v>0</v>
      </c>
      <c r="O2753" t="n">
        <v>0</v>
      </c>
      <c r="P2753" t="n">
        <v>0</v>
      </c>
      <c r="Q2753" t="n">
        <v>0</v>
      </c>
      <c r="R2753" s="2" t="inlineStr"/>
    </row>
    <row r="2754" ht="15" customHeight="1">
      <c r="A2754" t="inlineStr">
        <is>
          <t>A 27953-2021</t>
        </is>
      </c>
      <c r="B2754" s="1" t="n">
        <v>44354.9209375</v>
      </c>
      <c r="C2754" s="1" t="n">
        <v>46093</v>
      </c>
      <c r="D2754" t="inlineStr">
        <is>
          <t>VÄSTERNORRLANDS LÄN</t>
        </is>
      </c>
      <c r="E2754" t="inlineStr">
        <is>
          <t>ÅNGE</t>
        </is>
      </c>
      <c r="G2754" t="n">
        <v>2.9</v>
      </c>
      <c r="H2754" t="n">
        <v>0</v>
      </c>
      <c r="I2754" t="n">
        <v>0</v>
      </c>
      <c r="J2754" t="n">
        <v>0</v>
      </c>
      <c r="K2754" t="n">
        <v>0</v>
      </c>
      <c r="L2754" t="n">
        <v>0</v>
      </c>
      <c r="M2754" t="n">
        <v>0</v>
      </c>
      <c r="N2754" t="n">
        <v>0</v>
      </c>
      <c r="O2754" t="n">
        <v>0</v>
      </c>
      <c r="P2754" t="n">
        <v>0</v>
      </c>
      <c r="Q2754" t="n">
        <v>0</v>
      </c>
      <c r="R2754" s="2" t="inlineStr"/>
    </row>
    <row r="2755" ht="15" customHeight="1">
      <c r="A2755" t="inlineStr">
        <is>
          <t>A 13567-2023</t>
        </is>
      </c>
      <c r="B2755" s="1" t="n">
        <v>45005</v>
      </c>
      <c r="C2755" s="1" t="n">
        <v>46093</v>
      </c>
      <c r="D2755" t="inlineStr">
        <is>
          <t>VÄSTERNORRLANDS LÄN</t>
        </is>
      </c>
      <c r="E2755" t="inlineStr">
        <is>
          <t>SOLLEFTEÅ</t>
        </is>
      </c>
      <c r="G2755" t="n">
        <v>6.9</v>
      </c>
      <c r="H2755" t="n">
        <v>0</v>
      </c>
      <c r="I2755" t="n">
        <v>0</v>
      </c>
      <c r="J2755" t="n">
        <v>0</v>
      </c>
      <c r="K2755" t="n">
        <v>0</v>
      </c>
      <c r="L2755" t="n">
        <v>0</v>
      </c>
      <c r="M2755" t="n">
        <v>0</v>
      </c>
      <c r="N2755" t="n">
        <v>0</v>
      </c>
      <c r="O2755" t="n">
        <v>0</v>
      </c>
      <c r="P2755" t="n">
        <v>0</v>
      </c>
      <c r="Q2755" t="n">
        <v>0</v>
      </c>
      <c r="R2755" s="2" t="inlineStr"/>
    </row>
    <row r="2756" ht="15" customHeight="1">
      <c r="A2756" t="inlineStr">
        <is>
          <t>A 13570-2023</t>
        </is>
      </c>
      <c r="B2756" s="1" t="n">
        <v>45005</v>
      </c>
      <c r="C2756" s="1" t="n">
        <v>46093</v>
      </c>
      <c r="D2756" t="inlineStr">
        <is>
          <t>VÄSTERNORRLANDS LÄN</t>
        </is>
      </c>
      <c r="E2756" t="inlineStr">
        <is>
          <t>SOLLEFTEÅ</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70581-2021</t>
        </is>
      </c>
      <c r="B2757" s="1" t="n">
        <v>44537</v>
      </c>
      <c r="C2757" s="1" t="n">
        <v>46093</v>
      </c>
      <c r="D2757" t="inlineStr">
        <is>
          <t>VÄSTERNORRLANDS LÄN</t>
        </is>
      </c>
      <c r="E2757" t="inlineStr">
        <is>
          <t>ÖRNSKÖLDSVIK</t>
        </is>
      </c>
      <c r="F2757" t="inlineStr">
        <is>
          <t>Holmen skog AB</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16093-2022</t>
        </is>
      </c>
      <c r="B2758" s="1" t="n">
        <v>44665</v>
      </c>
      <c r="C2758" s="1" t="n">
        <v>46093</v>
      </c>
      <c r="D2758" t="inlineStr">
        <is>
          <t>VÄSTERNORRLANDS LÄN</t>
        </is>
      </c>
      <c r="E2758" t="inlineStr">
        <is>
          <t>SOLLEFTEÅ</t>
        </is>
      </c>
      <c r="F2758" t="inlineStr">
        <is>
          <t>Holmen skog AB</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60612-2021</t>
        </is>
      </c>
      <c r="B2759" s="1" t="n">
        <v>44495</v>
      </c>
      <c r="C2759" s="1" t="n">
        <v>46093</v>
      </c>
      <c r="D2759" t="inlineStr">
        <is>
          <t>VÄSTERNORRLANDS LÄN</t>
        </is>
      </c>
      <c r="E2759" t="inlineStr">
        <is>
          <t>ÖRNSKÖLDSVIK</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9605-2025</t>
        </is>
      </c>
      <c r="B2760" s="1" t="n">
        <v>45715.65657407408</v>
      </c>
      <c r="C2760" s="1" t="n">
        <v>46093</v>
      </c>
      <c r="D2760" t="inlineStr">
        <is>
          <t>VÄSTERNORRLANDS LÄN</t>
        </is>
      </c>
      <c r="E2760" t="inlineStr">
        <is>
          <t>ÅNGE</t>
        </is>
      </c>
      <c r="F2760" t="inlineStr">
        <is>
          <t>SCA</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48486-2023</t>
        </is>
      </c>
      <c r="B2761" s="1" t="n">
        <v>45206</v>
      </c>
      <c r="C2761" s="1" t="n">
        <v>46093</v>
      </c>
      <c r="D2761" t="inlineStr">
        <is>
          <t>VÄSTERNORRLANDS LÄN</t>
        </is>
      </c>
      <c r="E2761" t="inlineStr">
        <is>
          <t>ÖRNSKÖLDSVIK</t>
        </is>
      </c>
      <c r="F2761" t="inlineStr">
        <is>
          <t>SCA</t>
        </is>
      </c>
      <c r="G2761" t="n">
        <v>8.5</v>
      </c>
      <c r="H2761" t="n">
        <v>0</v>
      </c>
      <c r="I2761" t="n">
        <v>0</v>
      </c>
      <c r="J2761" t="n">
        <v>0</v>
      </c>
      <c r="K2761" t="n">
        <v>0</v>
      </c>
      <c r="L2761" t="n">
        <v>0</v>
      </c>
      <c r="M2761" t="n">
        <v>0</v>
      </c>
      <c r="N2761" t="n">
        <v>0</v>
      </c>
      <c r="O2761" t="n">
        <v>0</v>
      </c>
      <c r="P2761" t="n">
        <v>0</v>
      </c>
      <c r="Q2761" t="n">
        <v>0</v>
      </c>
      <c r="R2761" s="2" t="inlineStr"/>
    </row>
    <row r="2762" ht="15" customHeight="1">
      <c r="A2762" t="inlineStr">
        <is>
          <t>A 70174-2021</t>
        </is>
      </c>
      <c r="B2762" s="1" t="n">
        <v>44533</v>
      </c>
      <c r="C2762" s="1" t="n">
        <v>46093</v>
      </c>
      <c r="D2762" t="inlineStr">
        <is>
          <t>VÄSTERNORRLANDS LÄN</t>
        </is>
      </c>
      <c r="E2762" t="inlineStr">
        <is>
          <t>SUNDSVALL</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48523-2023</t>
        </is>
      </c>
      <c r="B2763" s="1" t="n">
        <v>45208.35728009259</v>
      </c>
      <c r="C2763" s="1" t="n">
        <v>46093</v>
      </c>
      <c r="D2763" t="inlineStr">
        <is>
          <t>VÄSTERNORRLANDS LÄN</t>
        </is>
      </c>
      <c r="E2763" t="inlineStr">
        <is>
          <t>ÖRNSKÖLDSVIK</t>
        </is>
      </c>
      <c r="F2763" t="inlineStr">
        <is>
          <t>Holmen skog AB</t>
        </is>
      </c>
      <c r="G2763" t="n">
        <v>0.3</v>
      </c>
      <c r="H2763" t="n">
        <v>0</v>
      </c>
      <c r="I2763" t="n">
        <v>0</v>
      </c>
      <c r="J2763" t="n">
        <v>0</v>
      </c>
      <c r="K2763" t="n">
        <v>0</v>
      </c>
      <c r="L2763" t="n">
        <v>0</v>
      </c>
      <c r="M2763" t="n">
        <v>0</v>
      </c>
      <c r="N2763" t="n">
        <v>0</v>
      </c>
      <c r="O2763" t="n">
        <v>0</v>
      </c>
      <c r="P2763" t="n">
        <v>0</v>
      </c>
      <c r="Q2763" t="n">
        <v>0</v>
      </c>
      <c r="R2763" s="2" t="inlineStr"/>
    </row>
    <row r="2764" ht="15" customHeight="1">
      <c r="A2764" t="inlineStr">
        <is>
          <t>A 9102-2025</t>
        </is>
      </c>
      <c r="B2764" s="1" t="n">
        <v>45713.6914699074</v>
      </c>
      <c r="C2764" s="1" t="n">
        <v>46093</v>
      </c>
      <c r="D2764" t="inlineStr">
        <is>
          <t>VÄSTERNORRLANDS LÄN</t>
        </is>
      </c>
      <c r="E2764" t="inlineStr">
        <is>
          <t>SUNDSVALL</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49318-2024</t>
        </is>
      </c>
      <c r="B2765" s="1" t="n">
        <v>45595.56582175926</v>
      </c>
      <c r="C2765" s="1" t="n">
        <v>46093</v>
      </c>
      <c r="D2765" t="inlineStr">
        <is>
          <t>VÄSTERNORRLANDS LÄN</t>
        </is>
      </c>
      <c r="E2765" t="inlineStr">
        <is>
          <t>ÖRNSKÖLDSVIK</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15780-2024</t>
        </is>
      </c>
      <c r="B2766" s="1" t="n">
        <v>45404</v>
      </c>
      <c r="C2766" s="1" t="n">
        <v>46093</v>
      </c>
      <c r="D2766" t="inlineStr">
        <is>
          <t>VÄSTERNORRLANDS LÄN</t>
        </is>
      </c>
      <c r="E2766" t="inlineStr">
        <is>
          <t>SUNDSVALL</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20470-2022</t>
        </is>
      </c>
      <c r="B2767" s="1" t="n">
        <v>44699</v>
      </c>
      <c r="C2767" s="1" t="n">
        <v>46093</v>
      </c>
      <c r="D2767" t="inlineStr">
        <is>
          <t>VÄSTERNORRLANDS LÄN</t>
        </is>
      </c>
      <c r="E2767" t="inlineStr">
        <is>
          <t>ÖRNSKÖLDSVIK</t>
        </is>
      </c>
      <c r="G2767" t="n">
        <v>5</v>
      </c>
      <c r="H2767" t="n">
        <v>0</v>
      </c>
      <c r="I2767" t="n">
        <v>0</v>
      </c>
      <c r="J2767" t="n">
        <v>0</v>
      </c>
      <c r="K2767" t="n">
        <v>0</v>
      </c>
      <c r="L2767" t="n">
        <v>0</v>
      </c>
      <c r="M2767" t="n">
        <v>0</v>
      </c>
      <c r="N2767" t="n">
        <v>0</v>
      </c>
      <c r="O2767" t="n">
        <v>0</v>
      </c>
      <c r="P2767" t="n">
        <v>0</v>
      </c>
      <c r="Q2767" t="n">
        <v>0</v>
      </c>
      <c r="R2767" s="2" t="inlineStr"/>
    </row>
    <row r="2768" ht="15" customHeight="1">
      <c r="A2768" t="inlineStr">
        <is>
          <t>A 14113-2021</t>
        </is>
      </c>
      <c r="B2768" s="1" t="n">
        <v>44277</v>
      </c>
      <c r="C2768" s="1" t="n">
        <v>46093</v>
      </c>
      <c r="D2768" t="inlineStr">
        <is>
          <t>VÄSTERNORRLANDS LÄN</t>
        </is>
      </c>
      <c r="E2768" t="inlineStr">
        <is>
          <t>SUNDSVALL</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56894-2021</t>
        </is>
      </c>
      <c r="B2769" s="1" t="n">
        <v>44481</v>
      </c>
      <c r="C2769" s="1" t="n">
        <v>46093</v>
      </c>
      <c r="D2769" t="inlineStr">
        <is>
          <t>VÄSTERNORRLANDS LÄN</t>
        </is>
      </c>
      <c r="E2769" t="inlineStr">
        <is>
          <t>SUNDSVALL</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27640-2023</t>
        </is>
      </c>
      <c r="B2770" s="1" t="n">
        <v>45097</v>
      </c>
      <c r="C2770" s="1" t="n">
        <v>46093</v>
      </c>
      <c r="D2770" t="inlineStr">
        <is>
          <t>VÄSTERNORRLANDS LÄN</t>
        </is>
      </c>
      <c r="E2770" t="inlineStr">
        <is>
          <t>SUNDSVALL</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20076-2025</t>
        </is>
      </c>
      <c r="B2771" s="1" t="n">
        <v>45772.4487037037</v>
      </c>
      <c r="C2771" s="1" t="n">
        <v>46093</v>
      </c>
      <c r="D2771" t="inlineStr">
        <is>
          <t>VÄSTERNORRLANDS LÄN</t>
        </is>
      </c>
      <c r="E2771" t="inlineStr">
        <is>
          <t>SUNDSVALL</t>
        </is>
      </c>
      <c r="F2771" t="inlineStr">
        <is>
          <t>Naturvårdsverket</t>
        </is>
      </c>
      <c r="G2771" t="n">
        <v>6</v>
      </c>
      <c r="H2771" t="n">
        <v>0</v>
      </c>
      <c r="I2771" t="n">
        <v>0</v>
      </c>
      <c r="J2771" t="n">
        <v>0</v>
      </c>
      <c r="K2771" t="n">
        <v>0</v>
      </c>
      <c r="L2771" t="n">
        <v>0</v>
      </c>
      <c r="M2771" t="n">
        <v>0</v>
      </c>
      <c r="N2771" t="n">
        <v>0</v>
      </c>
      <c r="O2771" t="n">
        <v>0</v>
      </c>
      <c r="P2771" t="n">
        <v>0</v>
      </c>
      <c r="Q2771" t="n">
        <v>0</v>
      </c>
      <c r="R2771" s="2" t="inlineStr"/>
    </row>
    <row r="2772" ht="15" customHeight="1">
      <c r="A2772" t="inlineStr">
        <is>
          <t>A 19777-2025</t>
        </is>
      </c>
      <c r="B2772" s="1" t="n">
        <v>45771.4259375</v>
      </c>
      <c r="C2772" s="1" t="n">
        <v>46093</v>
      </c>
      <c r="D2772" t="inlineStr">
        <is>
          <t>VÄSTERNORRLANDS LÄN</t>
        </is>
      </c>
      <c r="E2772" t="inlineStr">
        <is>
          <t>KRAMFORS</t>
        </is>
      </c>
      <c r="G2772" t="n">
        <v>5.3</v>
      </c>
      <c r="H2772" t="n">
        <v>0</v>
      </c>
      <c r="I2772" t="n">
        <v>0</v>
      </c>
      <c r="J2772" t="n">
        <v>0</v>
      </c>
      <c r="K2772" t="n">
        <v>0</v>
      </c>
      <c r="L2772" t="n">
        <v>0</v>
      </c>
      <c r="M2772" t="n">
        <v>0</v>
      </c>
      <c r="N2772" t="n">
        <v>0</v>
      </c>
      <c r="O2772" t="n">
        <v>0</v>
      </c>
      <c r="P2772" t="n">
        <v>0</v>
      </c>
      <c r="Q2772" t="n">
        <v>0</v>
      </c>
      <c r="R2772" s="2" t="inlineStr"/>
    </row>
    <row r="2773" ht="15" customHeight="1">
      <c r="A2773" t="inlineStr">
        <is>
          <t>A 124-2024</t>
        </is>
      </c>
      <c r="B2773" s="1" t="n">
        <v>45294</v>
      </c>
      <c r="C2773" s="1" t="n">
        <v>46093</v>
      </c>
      <c r="D2773" t="inlineStr">
        <is>
          <t>VÄSTERNORRLANDS LÄN</t>
        </is>
      </c>
      <c r="E2773" t="inlineStr">
        <is>
          <t>KRAMFORS</t>
        </is>
      </c>
      <c r="G2773" t="n">
        <v>0.3</v>
      </c>
      <c r="H2773" t="n">
        <v>0</v>
      </c>
      <c r="I2773" t="n">
        <v>0</v>
      </c>
      <c r="J2773" t="n">
        <v>0</v>
      </c>
      <c r="K2773" t="n">
        <v>0</v>
      </c>
      <c r="L2773" t="n">
        <v>0</v>
      </c>
      <c r="M2773" t="n">
        <v>0</v>
      </c>
      <c r="N2773" t="n">
        <v>0</v>
      </c>
      <c r="O2773" t="n">
        <v>0</v>
      </c>
      <c r="P2773" t="n">
        <v>0</v>
      </c>
      <c r="Q2773" t="n">
        <v>0</v>
      </c>
      <c r="R2773" s="2" t="inlineStr"/>
    </row>
    <row r="2774" ht="15" customHeight="1">
      <c r="A2774" t="inlineStr">
        <is>
          <t>A 51341-2024</t>
        </is>
      </c>
      <c r="B2774" s="1" t="n">
        <v>45604.34481481482</v>
      </c>
      <c r="C2774" s="1" t="n">
        <v>46093</v>
      </c>
      <c r="D2774" t="inlineStr">
        <is>
          <t>VÄSTERNORRLANDS LÄN</t>
        </is>
      </c>
      <c r="E2774" t="inlineStr">
        <is>
          <t>SOLLEFTEÅ</t>
        </is>
      </c>
      <c r="F2774" t="inlineStr">
        <is>
          <t>SCA</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20296-2022</t>
        </is>
      </c>
      <c r="B2775" s="1" t="n">
        <v>44698</v>
      </c>
      <c r="C2775" s="1" t="n">
        <v>46093</v>
      </c>
      <c r="D2775" t="inlineStr">
        <is>
          <t>VÄSTERNORRLANDS LÄN</t>
        </is>
      </c>
      <c r="E2775" t="inlineStr">
        <is>
          <t>SOLLEFTEÅ</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20108-2025</t>
        </is>
      </c>
      <c r="B2776" s="1" t="n">
        <v>45772.47006944445</v>
      </c>
      <c r="C2776" s="1" t="n">
        <v>46093</v>
      </c>
      <c r="D2776" t="inlineStr">
        <is>
          <t>VÄSTERNORRLANDS LÄN</t>
        </is>
      </c>
      <c r="E2776" t="inlineStr">
        <is>
          <t>ÅNGE</t>
        </is>
      </c>
      <c r="F2776" t="inlineStr">
        <is>
          <t>Naturvårdsverket</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51377-2024</t>
        </is>
      </c>
      <c r="B2777" s="1" t="n">
        <v>45604.38142361111</v>
      </c>
      <c r="C2777" s="1" t="n">
        <v>46093</v>
      </c>
      <c r="D2777" t="inlineStr">
        <is>
          <t>VÄSTERNORRLANDS LÄN</t>
        </is>
      </c>
      <c r="E2777" t="inlineStr">
        <is>
          <t>ÅNGE</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59579-2023</t>
        </is>
      </c>
      <c r="B2778" s="1" t="n">
        <v>45253</v>
      </c>
      <c r="C2778" s="1" t="n">
        <v>46093</v>
      </c>
      <c r="D2778" t="inlineStr">
        <is>
          <t>VÄSTERNORRLANDS LÄN</t>
        </is>
      </c>
      <c r="E2778" t="inlineStr">
        <is>
          <t>SOLLEFTEÅ</t>
        </is>
      </c>
      <c r="G2778" t="n">
        <v>6.2</v>
      </c>
      <c r="H2778" t="n">
        <v>0</v>
      </c>
      <c r="I2778" t="n">
        <v>0</v>
      </c>
      <c r="J2778" t="n">
        <v>0</v>
      </c>
      <c r="K2778" t="n">
        <v>0</v>
      </c>
      <c r="L2778" t="n">
        <v>0</v>
      </c>
      <c r="M2778" t="n">
        <v>0</v>
      </c>
      <c r="N2778" t="n">
        <v>0</v>
      </c>
      <c r="O2778" t="n">
        <v>0</v>
      </c>
      <c r="P2778" t="n">
        <v>0</v>
      </c>
      <c r="Q2778" t="n">
        <v>0</v>
      </c>
      <c r="R2778" s="2" t="inlineStr"/>
    </row>
    <row r="2779" ht="15" customHeight="1">
      <c r="A2779" t="inlineStr">
        <is>
          <t>A 3096-2025</t>
        </is>
      </c>
      <c r="B2779" s="1" t="n">
        <v>45678.66643518519</v>
      </c>
      <c r="C2779" s="1" t="n">
        <v>46093</v>
      </c>
      <c r="D2779" t="inlineStr">
        <is>
          <t>VÄSTERNORRLANDS LÄN</t>
        </is>
      </c>
      <c r="E2779" t="inlineStr">
        <is>
          <t>SOLLEFTEÅ</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13942-2024</t>
        </is>
      </c>
      <c r="B2780" s="1" t="n">
        <v>45391.9540162037</v>
      </c>
      <c r="C2780" s="1" t="n">
        <v>46093</v>
      </c>
      <c r="D2780" t="inlineStr">
        <is>
          <t>VÄSTERNORRLANDS LÄN</t>
        </is>
      </c>
      <c r="E2780" t="inlineStr">
        <is>
          <t>SOLLEFTEÅ</t>
        </is>
      </c>
      <c r="F2780" t="inlineStr">
        <is>
          <t>SCA</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47650-2022</t>
        </is>
      </c>
      <c r="B2781" s="1" t="n">
        <v>44853</v>
      </c>
      <c r="C2781" s="1" t="n">
        <v>46093</v>
      </c>
      <c r="D2781" t="inlineStr">
        <is>
          <t>VÄSTERNORRLANDS LÄN</t>
        </is>
      </c>
      <c r="E2781" t="inlineStr">
        <is>
          <t>KRAMFORS</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33992-2021</t>
        </is>
      </c>
      <c r="B2782" s="1" t="n">
        <v>44378</v>
      </c>
      <c r="C2782" s="1" t="n">
        <v>46093</v>
      </c>
      <c r="D2782" t="inlineStr">
        <is>
          <t>VÄSTERNORRLANDS LÄN</t>
        </is>
      </c>
      <c r="E2782" t="inlineStr">
        <is>
          <t>ÖRNSKÖLDSVIK</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21998-2023</t>
        </is>
      </c>
      <c r="B2783" s="1" t="n">
        <v>45068</v>
      </c>
      <c r="C2783" s="1" t="n">
        <v>46093</v>
      </c>
      <c r="D2783" t="inlineStr">
        <is>
          <t>VÄSTERNORRLANDS LÄN</t>
        </is>
      </c>
      <c r="E2783" t="inlineStr">
        <is>
          <t>SUNDSVALL</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33083-2022</t>
        </is>
      </c>
      <c r="B2784" s="1" t="n">
        <v>44785</v>
      </c>
      <c r="C2784" s="1" t="n">
        <v>46093</v>
      </c>
      <c r="D2784" t="inlineStr">
        <is>
          <t>VÄSTERNORRLANDS LÄN</t>
        </is>
      </c>
      <c r="E2784" t="inlineStr">
        <is>
          <t>SOLLEFTEÅ</t>
        </is>
      </c>
      <c r="G2784" t="n">
        <v>0.3</v>
      </c>
      <c r="H2784" t="n">
        <v>0</v>
      </c>
      <c r="I2784" t="n">
        <v>0</v>
      </c>
      <c r="J2784" t="n">
        <v>0</v>
      </c>
      <c r="K2784" t="n">
        <v>0</v>
      </c>
      <c r="L2784" t="n">
        <v>0</v>
      </c>
      <c r="M2784" t="n">
        <v>0</v>
      </c>
      <c r="N2784" t="n">
        <v>0</v>
      </c>
      <c r="O2784" t="n">
        <v>0</v>
      </c>
      <c r="P2784" t="n">
        <v>0</v>
      </c>
      <c r="Q2784" t="n">
        <v>0</v>
      </c>
      <c r="R2784" s="2" t="inlineStr"/>
    </row>
    <row r="2785" ht="15" customHeight="1">
      <c r="A2785" t="inlineStr">
        <is>
          <t>A 7466-2024</t>
        </is>
      </c>
      <c r="B2785" s="1" t="n">
        <v>45345</v>
      </c>
      <c r="C2785" s="1" t="n">
        <v>46093</v>
      </c>
      <c r="D2785" t="inlineStr">
        <is>
          <t>VÄSTERNORRLANDS LÄN</t>
        </is>
      </c>
      <c r="E2785" t="inlineStr">
        <is>
          <t>KRAMFORS</t>
        </is>
      </c>
      <c r="F2785" t="inlineStr">
        <is>
          <t>SCA</t>
        </is>
      </c>
      <c r="G2785" t="n">
        <v>13.1</v>
      </c>
      <c r="H2785" t="n">
        <v>0</v>
      </c>
      <c r="I2785" t="n">
        <v>0</v>
      </c>
      <c r="J2785" t="n">
        <v>0</v>
      </c>
      <c r="K2785" t="n">
        <v>0</v>
      </c>
      <c r="L2785" t="n">
        <v>0</v>
      </c>
      <c r="M2785" t="n">
        <v>0</v>
      </c>
      <c r="N2785" t="n">
        <v>0</v>
      </c>
      <c r="O2785" t="n">
        <v>0</v>
      </c>
      <c r="P2785" t="n">
        <v>0</v>
      </c>
      <c r="Q2785" t="n">
        <v>0</v>
      </c>
      <c r="R2785" s="2" t="inlineStr"/>
    </row>
    <row r="2786" ht="15" customHeight="1">
      <c r="A2786" t="inlineStr">
        <is>
          <t>A 7474-2024</t>
        </is>
      </c>
      <c r="B2786" s="1" t="n">
        <v>45345.9500462963</v>
      </c>
      <c r="C2786" s="1" t="n">
        <v>46093</v>
      </c>
      <c r="D2786" t="inlineStr">
        <is>
          <t>VÄSTERNORRLANDS LÄN</t>
        </is>
      </c>
      <c r="E2786" t="inlineStr">
        <is>
          <t>ÖRNSKÖLDSVIK</t>
        </is>
      </c>
      <c r="F2786" t="inlineStr">
        <is>
          <t>SCA</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16066-2021</t>
        </is>
      </c>
      <c r="B2787" s="1" t="n">
        <v>44287.87048611111</v>
      </c>
      <c r="C2787" s="1" t="n">
        <v>46093</v>
      </c>
      <c r="D2787" t="inlineStr">
        <is>
          <t>VÄSTERNORRLANDS LÄN</t>
        </is>
      </c>
      <c r="E2787" t="inlineStr">
        <is>
          <t>KRAMFORS</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21364-2024</t>
        </is>
      </c>
      <c r="B2788" s="1" t="n">
        <v>45440.95248842592</v>
      </c>
      <c r="C2788" s="1" t="n">
        <v>46093</v>
      </c>
      <c r="D2788" t="inlineStr">
        <is>
          <t>VÄSTERNORRLANDS LÄN</t>
        </is>
      </c>
      <c r="E2788" t="inlineStr">
        <is>
          <t>SOLLEFTEÅ</t>
        </is>
      </c>
      <c r="F2788" t="inlineStr">
        <is>
          <t>SCA</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52898-2024</t>
        </is>
      </c>
      <c r="B2789" s="1" t="n">
        <v>45610.67748842593</v>
      </c>
      <c r="C2789" s="1" t="n">
        <v>46093</v>
      </c>
      <c r="D2789" t="inlineStr">
        <is>
          <t>VÄSTERNORRLANDS LÄN</t>
        </is>
      </c>
      <c r="E2789" t="inlineStr">
        <is>
          <t>SUNDSVALL</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23840-2022</t>
        </is>
      </c>
      <c r="B2790" s="1" t="n">
        <v>44722</v>
      </c>
      <c r="C2790" s="1" t="n">
        <v>46093</v>
      </c>
      <c r="D2790" t="inlineStr">
        <is>
          <t>VÄSTERNORRLANDS LÄN</t>
        </is>
      </c>
      <c r="E2790" t="inlineStr">
        <is>
          <t>SUNDSVALL</t>
        </is>
      </c>
      <c r="G2790" t="n">
        <v>0.4</v>
      </c>
      <c r="H2790" t="n">
        <v>0</v>
      </c>
      <c r="I2790" t="n">
        <v>0</v>
      </c>
      <c r="J2790" t="n">
        <v>0</v>
      </c>
      <c r="K2790" t="n">
        <v>0</v>
      </c>
      <c r="L2790" t="n">
        <v>0</v>
      </c>
      <c r="M2790" t="n">
        <v>0</v>
      </c>
      <c r="N2790" t="n">
        <v>0</v>
      </c>
      <c r="O2790" t="n">
        <v>0</v>
      </c>
      <c r="P2790" t="n">
        <v>0</v>
      </c>
      <c r="Q2790" t="n">
        <v>0</v>
      </c>
      <c r="R2790" s="2" t="inlineStr"/>
    </row>
    <row r="2791" ht="15" customHeight="1">
      <c r="A2791" t="inlineStr">
        <is>
          <t>A 42771-2022</t>
        </is>
      </c>
      <c r="B2791" s="1" t="n">
        <v>44832</v>
      </c>
      <c r="C2791" s="1" t="n">
        <v>46093</v>
      </c>
      <c r="D2791" t="inlineStr">
        <is>
          <t>VÄSTERNORRLANDS LÄN</t>
        </is>
      </c>
      <c r="E2791" t="inlineStr">
        <is>
          <t>SOLLEFTEÅ</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20509-2022</t>
        </is>
      </c>
      <c r="B2792" s="1" t="n">
        <v>44699.92497685185</v>
      </c>
      <c r="C2792" s="1" t="n">
        <v>46093</v>
      </c>
      <c r="D2792" t="inlineStr">
        <is>
          <t>VÄSTERNORRLANDS LÄN</t>
        </is>
      </c>
      <c r="E2792" t="inlineStr">
        <is>
          <t>SUNDSVALL</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30365-2021</t>
        </is>
      </c>
      <c r="B2793" s="1" t="n">
        <v>44364.45164351852</v>
      </c>
      <c r="C2793" s="1" t="n">
        <v>46093</v>
      </c>
      <c r="D2793" t="inlineStr">
        <is>
          <t>VÄSTERNORRLANDS LÄN</t>
        </is>
      </c>
      <c r="E2793" t="inlineStr">
        <is>
          <t>ÅNGE</t>
        </is>
      </c>
      <c r="G2793" t="n">
        <v>3.9</v>
      </c>
      <c r="H2793" t="n">
        <v>0</v>
      </c>
      <c r="I2793" t="n">
        <v>0</v>
      </c>
      <c r="J2793" t="n">
        <v>0</v>
      </c>
      <c r="K2793" t="n">
        <v>0</v>
      </c>
      <c r="L2793" t="n">
        <v>0</v>
      </c>
      <c r="M2793" t="n">
        <v>0</v>
      </c>
      <c r="N2793" t="n">
        <v>0</v>
      </c>
      <c r="O2793" t="n">
        <v>0</v>
      </c>
      <c r="P2793" t="n">
        <v>0</v>
      </c>
      <c r="Q2793" t="n">
        <v>0</v>
      </c>
      <c r="R2793" s="2" t="inlineStr"/>
    </row>
    <row r="2794" ht="15" customHeight="1">
      <c r="A2794" t="inlineStr">
        <is>
          <t>A 15673-2024</t>
        </is>
      </c>
      <c r="B2794" s="1" t="n">
        <v>45404.40168981482</v>
      </c>
      <c r="C2794" s="1" t="n">
        <v>46093</v>
      </c>
      <c r="D2794" t="inlineStr">
        <is>
          <t>VÄSTERNORRLANDS LÄN</t>
        </is>
      </c>
      <c r="E2794" t="inlineStr">
        <is>
          <t>SUNDSVALL</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7361-2024</t>
        </is>
      </c>
      <c r="B2795" s="1" t="n">
        <v>45345.47570601852</v>
      </c>
      <c r="C2795" s="1" t="n">
        <v>46093</v>
      </c>
      <c r="D2795" t="inlineStr">
        <is>
          <t>VÄSTERNORRLANDS LÄN</t>
        </is>
      </c>
      <c r="E2795" t="inlineStr">
        <is>
          <t>ÖRNSKÖLDSVIK</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7463-2024</t>
        </is>
      </c>
      <c r="B2796" s="1" t="n">
        <v>45345.94887731481</v>
      </c>
      <c r="C2796" s="1" t="n">
        <v>46093</v>
      </c>
      <c r="D2796" t="inlineStr">
        <is>
          <t>VÄSTERNORRLANDS LÄN</t>
        </is>
      </c>
      <c r="E2796" t="inlineStr">
        <is>
          <t>SOLLEFTEÅ</t>
        </is>
      </c>
      <c r="F2796" t="inlineStr">
        <is>
          <t>SCA</t>
        </is>
      </c>
      <c r="G2796" t="n">
        <v>7.5</v>
      </c>
      <c r="H2796" t="n">
        <v>0</v>
      </c>
      <c r="I2796" t="n">
        <v>0</v>
      </c>
      <c r="J2796" t="n">
        <v>0</v>
      </c>
      <c r="K2796" t="n">
        <v>0</v>
      </c>
      <c r="L2796" t="n">
        <v>0</v>
      </c>
      <c r="M2796" t="n">
        <v>0</v>
      </c>
      <c r="N2796" t="n">
        <v>0</v>
      </c>
      <c r="O2796" t="n">
        <v>0</v>
      </c>
      <c r="P2796" t="n">
        <v>0</v>
      </c>
      <c r="Q2796" t="n">
        <v>0</v>
      </c>
      <c r="R2796" s="2" t="inlineStr"/>
    </row>
    <row r="2797" ht="15" customHeight="1">
      <c r="A2797" t="inlineStr">
        <is>
          <t>A 6610-2025</t>
        </is>
      </c>
      <c r="B2797" s="1" t="n">
        <v>45700</v>
      </c>
      <c r="C2797" s="1" t="n">
        <v>46093</v>
      </c>
      <c r="D2797" t="inlineStr">
        <is>
          <t>VÄSTERNORRLANDS LÄN</t>
        </is>
      </c>
      <c r="E2797" t="inlineStr">
        <is>
          <t>ÅNGE</t>
        </is>
      </c>
      <c r="F2797" t="inlineStr">
        <is>
          <t>SCA</t>
        </is>
      </c>
      <c r="G2797" t="n">
        <v>6</v>
      </c>
      <c r="H2797" t="n">
        <v>0</v>
      </c>
      <c r="I2797" t="n">
        <v>0</v>
      </c>
      <c r="J2797" t="n">
        <v>0</v>
      </c>
      <c r="K2797" t="n">
        <v>0</v>
      </c>
      <c r="L2797" t="n">
        <v>0</v>
      </c>
      <c r="M2797" t="n">
        <v>0</v>
      </c>
      <c r="N2797" t="n">
        <v>0</v>
      </c>
      <c r="O2797" t="n">
        <v>0</v>
      </c>
      <c r="P2797" t="n">
        <v>0</v>
      </c>
      <c r="Q2797" t="n">
        <v>0</v>
      </c>
      <c r="R2797" s="2" t="inlineStr"/>
    </row>
    <row r="2798" ht="15" customHeight="1">
      <c r="A2798" t="inlineStr">
        <is>
          <t>A 17044-2022</t>
        </is>
      </c>
      <c r="B2798" s="1" t="n">
        <v>44676</v>
      </c>
      <c r="C2798" s="1" t="n">
        <v>46093</v>
      </c>
      <c r="D2798" t="inlineStr">
        <is>
          <t>VÄSTERNORRLANDS LÄN</t>
        </is>
      </c>
      <c r="E2798" t="inlineStr">
        <is>
          <t>ÅNGE</t>
        </is>
      </c>
      <c r="F2798" t="inlineStr">
        <is>
          <t>Övriga Aktiebolag</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17060-2022</t>
        </is>
      </c>
      <c r="B2799" s="1" t="n">
        <v>44676.94297453704</v>
      </c>
      <c r="C2799" s="1" t="n">
        <v>46093</v>
      </c>
      <c r="D2799" t="inlineStr">
        <is>
          <t>VÄSTERNORRLANDS LÄN</t>
        </is>
      </c>
      <c r="E2799" t="inlineStr">
        <is>
          <t>SUNDSVALL</t>
        </is>
      </c>
      <c r="F2799" t="inlineStr">
        <is>
          <t>SCA</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22341-2022</t>
        </is>
      </c>
      <c r="B2800" s="1" t="n">
        <v>44712.94197916667</v>
      </c>
      <c r="C2800" s="1" t="n">
        <v>46093</v>
      </c>
      <c r="D2800" t="inlineStr">
        <is>
          <t>VÄSTERNORRLANDS LÄN</t>
        </is>
      </c>
      <c r="E2800" t="inlineStr">
        <is>
          <t>SOLLEFTEÅ</t>
        </is>
      </c>
      <c r="F2800" t="inlineStr">
        <is>
          <t>SCA</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16477-2022</t>
        </is>
      </c>
      <c r="B2801" s="1" t="n">
        <v>44671</v>
      </c>
      <c r="C2801" s="1" t="n">
        <v>46093</v>
      </c>
      <c r="D2801" t="inlineStr">
        <is>
          <t>VÄSTERNORRLANDS LÄN</t>
        </is>
      </c>
      <c r="E2801" t="inlineStr">
        <is>
          <t>ÖRNSKÖLDSVIK</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11172-2025</t>
        </is>
      </c>
      <c r="B2802" s="1" t="n">
        <v>45724</v>
      </c>
      <c r="C2802" s="1" t="n">
        <v>46093</v>
      </c>
      <c r="D2802" t="inlineStr">
        <is>
          <t>VÄSTERNORRLANDS LÄN</t>
        </is>
      </c>
      <c r="E2802" t="inlineStr">
        <is>
          <t>KRAMFORS</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60860-2022</t>
        </is>
      </c>
      <c r="B2803" s="1" t="n">
        <v>44914</v>
      </c>
      <c r="C2803" s="1" t="n">
        <v>46093</v>
      </c>
      <c r="D2803" t="inlineStr">
        <is>
          <t>VÄSTERNORRLANDS LÄN</t>
        </is>
      </c>
      <c r="E2803" t="inlineStr">
        <is>
          <t>ÅNGE</t>
        </is>
      </c>
      <c r="F2803" t="inlineStr">
        <is>
          <t>Holmen skog AB</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36211-2023</t>
        </is>
      </c>
      <c r="B2804" s="1" t="n">
        <v>45149.95234953704</v>
      </c>
      <c r="C2804" s="1" t="n">
        <v>46093</v>
      </c>
      <c r="D2804" t="inlineStr">
        <is>
          <t>VÄSTERNORRLANDS LÄN</t>
        </is>
      </c>
      <c r="E2804" t="inlineStr">
        <is>
          <t>SOLLEFTEÅ</t>
        </is>
      </c>
      <c r="F2804" t="inlineStr">
        <is>
          <t>SCA</t>
        </is>
      </c>
      <c r="G2804" t="n">
        <v>4.2</v>
      </c>
      <c r="H2804" t="n">
        <v>0</v>
      </c>
      <c r="I2804" t="n">
        <v>0</v>
      </c>
      <c r="J2804" t="n">
        <v>0</v>
      </c>
      <c r="K2804" t="n">
        <v>0</v>
      </c>
      <c r="L2804" t="n">
        <v>0</v>
      </c>
      <c r="M2804" t="n">
        <v>0</v>
      </c>
      <c r="N2804" t="n">
        <v>0</v>
      </c>
      <c r="O2804" t="n">
        <v>0</v>
      </c>
      <c r="P2804" t="n">
        <v>0</v>
      </c>
      <c r="Q2804" t="n">
        <v>0</v>
      </c>
      <c r="R2804" s="2" t="inlineStr"/>
    </row>
    <row r="2805" ht="15" customHeight="1">
      <c r="A2805" t="inlineStr">
        <is>
          <t>A 12590-2024</t>
        </is>
      </c>
      <c r="B2805" s="1" t="n">
        <v>45379.93686342592</v>
      </c>
      <c r="C2805" s="1" t="n">
        <v>46093</v>
      </c>
      <c r="D2805" t="inlineStr">
        <is>
          <t>VÄSTERNORRLANDS LÄN</t>
        </is>
      </c>
      <c r="E2805" t="inlineStr">
        <is>
          <t>SOLLEFTEÅ</t>
        </is>
      </c>
      <c r="F2805" t="inlineStr">
        <is>
          <t>SCA</t>
        </is>
      </c>
      <c r="G2805" t="n">
        <v>4.8</v>
      </c>
      <c r="H2805" t="n">
        <v>0</v>
      </c>
      <c r="I2805" t="n">
        <v>0</v>
      </c>
      <c r="J2805" t="n">
        <v>0</v>
      </c>
      <c r="K2805" t="n">
        <v>0</v>
      </c>
      <c r="L2805" t="n">
        <v>0</v>
      </c>
      <c r="M2805" t="n">
        <v>0</v>
      </c>
      <c r="N2805" t="n">
        <v>0</v>
      </c>
      <c r="O2805" t="n">
        <v>0</v>
      </c>
      <c r="P2805" t="n">
        <v>0</v>
      </c>
      <c r="Q2805" t="n">
        <v>0</v>
      </c>
      <c r="R2805" s="2" t="inlineStr"/>
    </row>
    <row r="2806" ht="15" customHeight="1">
      <c r="A2806" t="inlineStr">
        <is>
          <t>A 16853-2023</t>
        </is>
      </c>
      <c r="B2806" s="1" t="n">
        <v>45033</v>
      </c>
      <c r="C2806" s="1" t="n">
        <v>46093</v>
      </c>
      <c r="D2806" t="inlineStr">
        <is>
          <t>VÄSTERNORRLANDS LÄN</t>
        </is>
      </c>
      <c r="E2806" t="inlineStr">
        <is>
          <t>ÅNGE</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49711-2021</t>
        </is>
      </c>
      <c r="B2807" s="1" t="n">
        <v>44455</v>
      </c>
      <c r="C2807" s="1" t="n">
        <v>46093</v>
      </c>
      <c r="D2807" t="inlineStr">
        <is>
          <t>VÄSTERNORRLANDS LÄN</t>
        </is>
      </c>
      <c r="E2807" t="inlineStr">
        <is>
          <t>SOLLEFTEÅ</t>
        </is>
      </c>
      <c r="G2807" t="n">
        <v>3.7</v>
      </c>
      <c r="H2807" t="n">
        <v>0</v>
      </c>
      <c r="I2807" t="n">
        <v>0</v>
      </c>
      <c r="J2807" t="n">
        <v>0</v>
      </c>
      <c r="K2807" t="n">
        <v>0</v>
      </c>
      <c r="L2807" t="n">
        <v>0</v>
      </c>
      <c r="M2807" t="n">
        <v>0</v>
      </c>
      <c r="N2807" t="n">
        <v>0</v>
      </c>
      <c r="O2807" t="n">
        <v>0</v>
      </c>
      <c r="P2807" t="n">
        <v>0</v>
      </c>
      <c r="Q2807" t="n">
        <v>0</v>
      </c>
      <c r="R2807" s="2" t="inlineStr"/>
    </row>
    <row r="2808" ht="15" customHeight="1">
      <c r="A2808" t="inlineStr">
        <is>
          <t>A 30019-2021</t>
        </is>
      </c>
      <c r="B2808" s="1" t="n">
        <v>44363.42795138889</v>
      </c>
      <c r="C2808" s="1" t="n">
        <v>46093</v>
      </c>
      <c r="D2808" t="inlineStr">
        <is>
          <t>VÄSTERNORRLANDS LÄN</t>
        </is>
      </c>
      <c r="E2808" t="inlineStr">
        <is>
          <t>SUNDSVALL</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74177-2021</t>
        </is>
      </c>
      <c r="B2809" s="1" t="n">
        <v>44558</v>
      </c>
      <c r="C2809" s="1" t="n">
        <v>46093</v>
      </c>
      <c r="D2809" t="inlineStr">
        <is>
          <t>VÄSTERNORRLANDS LÄN</t>
        </is>
      </c>
      <c r="E2809" t="inlineStr">
        <is>
          <t>TIMRÅ</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32583-2024</t>
        </is>
      </c>
      <c r="B2810" s="1" t="n">
        <v>45513</v>
      </c>
      <c r="C2810" s="1" t="n">
        <v>46093</v>
      </c>
      <c r="D2810" t="inlineStr">
        <is>
          <t>VÄSTERNORRLANDS LÄN</t>
        </is>
      </c>
      <c r="E2810" t="inlineStr">
        <is>
          <t>ÖRNSKÖLDSVIK</t>
        </is>
      </c>
      <c r="F2810" t="inlineStr">
        <is>
          <t>Holmen skog AB</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34261-2025</t>
        </is>
      </c>
      <c r="B2811" s="1" t="n">
        <v>45845.71960648148</v>
      </c>
      <c r="C2811" s="1" t="n">
        <v>46093</v>
      </c>
      <c r="D2811" t="inlineStr">
        <is>
          <t>VÄSTERNORRLANDS LÄN</t>
        </is>
      </c>
      <c r="E2811" t="inlineStr">
        <is>
          <t>SUNDSVALL</t>
        </is>
      </c>
      <c r="F2811" t="inlineStr">
        <is>
          <t>SCA</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4340-2024</t>
        </is>
      </c>
      <c r="B2812" s="1" t="n">
        <v>45324.81793981481</v>
      </c>
      <c r="C2812" s="1" t="n">
        <v>46093</v>
      </c>
      <c r="D2812" t="inlineStr">
        <is>
          <t>VÄSTERNORRLANDS LÄN</t>
        </is>
      </c>
      <c r="E2812" t="inlineStr">
        <is>
          <t>ÖRNSKÖLDSVIK</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41619-2024</t>
        </is>
      </c>
      <c r="B2813" s="1" t="n">
        <v>45560.59983796296</v>
      </c>
      <c r="C2813" s="1" t="n">
        <v>46093</v>
      </c>
      <c r="D2813" t="inlineStr">
        <is>
          <t>VÄSTERNORRLANDS LÄN</t>
        </is>
      </c>
      <c r="E2813" t="inlineStr">
        <is>
          <t>ÖRNSKÖLDSVIK</t>
        </is>
      </c>
      <c r="F2813" t="inlineStr">
        <is>
          <t>Holmen skog AB</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18615-2023</t>
        </is>
      </c>
      <c r="B2814" s="1" t="n">
        <v>45043</v>
      </c>
      <c r="C2814" s="1" t="n">
        <v>46093</v>
      </c>
      <c r="D2814" t="inlineStr">
        <is>
          <t>VÄSTERNORRLANDS LÄN</t>
        </is>
      </c>
      <c r="E2814" t="inlineStr">
        <is>
          <t>KRAMFORS</t>
        </is>
      </c>
      <c r="G2814" t="n">
        <v>5.7</v>
      </c>
      <c r="H2814" t="n">
        <v>0</v>
      </c>
      <c r="I2814" t="n">
        <v>0</v>
      </c>
      <c r="J2814" t="n">
        <v>0</v>
      </c>
      <c r="K2814" t="n">
        <v>0</v>
      </c>
      <c r="L2814" t="n">
        <v>0</v>
      </c>
      <c r="M2814" t="n">
        <v>0</v>
      </c>
      <c r="N2814" t="n">
        <v>0</v>
      </c>
      <c r="O2814" t="n">
        <v>0</v>
      </c>
      <c r="P2814" t="n">
        <v>0</v>
      </c>
      <c r="Q2814" t="n">
        <v>0</v>
      </c>
      <c r="R2814" s="2" t="inlineStr"/>
    </row>
    <row r="2815" ht="15" customHeight="1">
      <c r="A2815" t="inlineStr">
        <is>
          <t>A 7436-2022</t>
        </is>
      </c>
      <c r="B2815" s="1" t="n">
        <v>44606</v>
      </c>
      <c r="C2815" s="1" t="n">
        <v>46093</v>
      </c>
      <c r="D2815" t="inlineStr">
        <is>
          <t>VÄSTERNORRLANDS LÄN</t>
        </is>
      </c>
      <c r="E2815" t="inlineStr">
        <is>
          <t>SUNDSVALL</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72958-2021</t>
        </is>
      </c>
      <c r="B2816" s="1" t="n">
        <v>44547</v>
      </c>
      <c r="C2816" s="1" t="n">
        <v>46093</v>
      </c>
      <c r="D2816" t="inlineStr">
        <is>
          <t>VÄSTERNORRLANDS LÄN</t>
        </is>
      </c>
      <c r="E2816" t="inlineStr">
        <is>
          <t>SOLLEFTEÅ</t>
        </is>
      </c>
      <c r="F2816" t="inlineStr">
        <is>
          <t>SCA</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48415-2023</t>
        </is>
      </c>
      <c r="B2817" s="1" t="n">
        <v>45205.92366898148</v>
      </c>
      <c r="C2817" s="1" t="n">
        <v>46093</v>
      </c>
      <c r="D2817" t="inlineStr">
        <is>
          <t>VÄSTERNORRLANDS LÄN</t>
        </is>
      </c>
      <c r="E2817" t="inlineStr">
        <is>
          <t>KRAMFORS</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35747-2022</t>
        </is>
      </c>
      <c r="B2818" s="1" t="n">
        <v>44799</v>
      </c>
      <c r="C2818" s="1" t="n">
        <v>46093</v>
      </c>
      <c r="D2818" t="inlineStr">
        <is>
          <t>VÄSTERNORRLANDS LÄN</t>
        </is>
      </c>
      <c r="E2818" t="inlineStr">
        <is>
          <t>SOLLEFTEÅ</t>
        </is>
      </c>
      <c r="F2818" t="inlineStr">
        <is>
          <t>SCA</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54341-2021</t>
        </is>
      </c>
      <c r="B2819" s="1" t="n">
        <v>44473.0430324074</v>
      </c>
      <c r="C2819" s="1" t="n">
        <v>46093</v>
      </c>
      <c r="D2819" t="inlineStr">
        <is>
          <t>VÄSTERNORRLANDS LÄN</t>
        </is>
      </c>
      <c r="E2819" t="inlineStr">
        <is>
          <t>ÖRNSKÖLDSVIK</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54391-2021</t>
        </is>
      </c>
      <c r="B2820" s="1" t="n">
        <v>44473.38570601852</v>
      </c>
      <c r="C2820" s="1" t="n">
        <v>46093</v>
      </c>
      <c r="D2820" t="inlineStr">
        <is>
          <t>VÄSTERNORRLANDS LÄN</t>
        </is>
      </c>
      <c r="E2820" t="inlineStr">
        <is>
          <t>ÖRNSKÖLDSVIK</t>
        </is>
      </c>
      <c r="F2820" t="inlineStr">
        <is>
          <t>Holmen skog AB</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39711-2024</t>
        </is>
      </c>
      <c r="B2821" s="1" t="n">
        <v>45552</v>
      </c>
      <c r="C2821" s="1" t="n">
        <v>46093</v>
      </c>
      <c r="D2821" t="inlineStr">
        <is>
          <t>VÄSTERNORRLANDS LÄN</t>
        </is>
      </c>
      <c r="E2821" t="inlineStr">
        <is>
          <t>SUNDSVALL</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37977-2022</t>
        </is>
      </c>
      <c r="B2822" s="1" t="n">
        <v>44811</v>
      </c>
      <c r="C2822" s="1" t="n">
        <v>46093</v>
      </c>
      <c r="D2822" t="inlineStr">
        <is>
          <t>VÄSTERNORRLANDS LÄN</t>
        </is>
      </c>
      <c r="E2822" t="inlineStr">
        <is>
          <t>SOLLEFTEÅ</t>
        </is>
      </c>
      <c r="G2822" t="n">
        <v>3.8</v>
      </c>
      <c r="H2822" t="n">
        <v>0</v>
      </c>
      <c r="I2822" t="n">
        <v>0</v>
      </c>
      <c r="J2822" t="n">
        <v>0</v>
      </c>
      <c r="K2822" t="n">
        <v>0</v>
      </c>
      <c r="L2822" t="n">
        <v>0</v>
      </c>
      <c r="M2822" t="n">
        <v>0</v>
      </c>
      <c r="N2822" t="n">
        <v>0</v>
      </c>
      <c r="O2822" t="n">
        <v>0</v>
      </c>
      <c r="P2822" t="n">
        <v>0</v>
      </c>
      <c r="Q2822" t="n">
        <v>0</v>
      </c>
      <c r="R2822" s="2" t="inlineStr"/>
    </row>
    <row r="2823" ht="15" customHeight="1">
      <c r="A2823" t="inlineStr">
        <is>
          <t>A 18981-2023</t>
        </is>
      </c>
      <c r="B2823" s="1" t="n">
        <v>45044</v>
      </c>
      <c r="C2823" s="1" t="n">
        <v>46093</v>
      </c>
      <c r="D2823" t="inlineStr">
        <is>
          <t>VÄSTERNORRLANDS LÄN</t>
        </is>
      </c>
      <c r="E2823" t="inlineStr">
        <is>
          <t>KRAMFORS</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46973-2024</t>
        </is>
      </c>
      <c r="B2824" s="1" t="n">
        <v>45586.34424768519</v>
      </c>
      <c r="C2824" s="1" t="n">
        <v>46093</v>
      </c>
      <c r="D2824" t="inlineStr">
        <is>
          <t>VÄSTERNORRLANDS LÄN</t>
        </is>
      </c>
      <c r="E2824" t="inlineStr">
        <is>
          <t>SOLLEFTEÅ</t>
        </is>
      </c>
      <c r="F2824" t="inlineStr">
        <is>
          <t>SCA</t>
        </is>
      </c>
      <c r="G2824" t="n">
        <v>5</v>
      </c>
      <c r="H2824" t="n">
        <v>0</v>
      </c>
      <c r="I2824" t="n">
        <v>0</v>
      </c>
      <c r="J2824" t="n">
        <v>0</v>
      </c>
      <c r="K2824" t="n">
        <v>0</v>
      </c>
      <c r="L2824" t="n">
        <v>0</v>
      </c>
      <c r="M2824" t="n">
        <v>0</v>
      </c>
      <c r="N2824" t="n">
        <v>0</v>
      </c>
      <c r="O2824" t="n">
        <v>0</v>
      </c>
      <c r="P2824" t="n">
        <v>0</v>
      </c>
      <c r="Q2824" t="n">
        <v>0</v>
      </c>
      <c r="R2824" s="2" t="inlineStr"/>
    </row>
    <row r="2825" ht="15" customHeight="1">
      <c r="A2825" t="inlineStr">
        <is>
          <t>A 49994-2023</t>
        </is>
      </c>
      <c r="B2825" s="1" t="n">
        <v>45215</v>
      </c>
      <c r="C2825" s="1" t="n">
        <v>46093</v>
      </c>
      <c r="D2825" t="inlineStr">
        <is>
          <t>VÄSTERNORRLANDS LÄN</t>
        </is>
      </c>
      <c r="E2825" t="inlineStr">
        <is>
          <t>SUNDSVALL</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26761-2024</t>
        </is>
      </c>
      <c r="B2826" s="1" t="n">
        <v>45470</v>
      </c>
      <c r="C2826" s="1" t="n">
        <v>46093</v>
      </c>
      <c r="D2826" t="inlineStr">
        <is>
          <t>VÄSTERNORRLANDS LÄN</t>
        </is>
      </c>
      <c r="E2826" t="inlineStr">
        <is>
          <t>ÖRNSKÖLDSVIK</t>
        </is>
      </c>
      <c r="F2826" t="inlineStr">
        <is>
          <t>Holmen skog AB</t>
        </is>
      </c>
      <c r="G2826" t="n">
        <v>10.5</v>
      </c>
      <c r="H2826" t="n">
        <v>0</v>
      </c>
      <c r="I2826" t="n">
        <v>0</v>
      </c>
      <c r="J2826" t="n">
        <v>0</v>
      </c>
      <c r="K2826" t="n">
        <v>0</v>
      </c>
      <c r="L2826" t="n">
        <v>0</v>
      </c>
      <c r="M2826" t="n">
        <v>0</v>
      </c>
      <c r="N2826" t="n">
        <v>0</v>
      </c>
      <c r="O2826" t="n">
        <v>0</v>
      </c>
      <c r="P2826" t="n">
        <v>0</v>
      </c>
      <c r="Q2826" t="n">
        <v>0</v>
      </c>
      <c r="R2826" s="2" t="inlineStr"/>
    </row>
    <row r="2827" ht="15" customHeight="1">
      <c r="A2827" t="inlineStr">
        <is>
          <t>A 26765-2024</t>
        </is>
      </c>
      <c r="B2827" s="1" t="n">
        <v>45470</v>
      </c>
      <c r="C2827" s="1" t="n">
        <v>46093</v>
      </c>
      <c r="D2827" t="inlineStr">
        <is>
          <t>VÄSTERNORRLANDS LÄN</t>
        </is>
      </c>
      <c r="E2827" t="inlineStr">
        <is>
          <t>ÖRNSKÖLDSVIK</t>
        </is>
      </c>
      <c r="F2827" t="inlineStr">
        <is>
          <t>Holmen skog AB</t>
        </is>
      </c>
      <c r="G2827" t="n">
        <v>3.4</v>
      </c>
      <c r="H2827" t="n">
        <v>0</v>
      </c>
      <c r="I2827" t="n">
        <v>0</v>
      </c>
      <c r="J2827" t="n">
        <v>0</v>
      </c>
      <c r="K2827" t="n">
        <v>0</v>
      </c>
      <c r="L2827" t="n">
        <v>0</v>
      </c>
      <c r="M2827" t="n">
        <v>0</v>
      </c>
      <c r="N2827" t="n">
        <v>0</v>
      </c>
      <c r="O2827" t="n">
        <v>0</v>
      </c>
      <c r="P2827" t="n">
        <v>0</v>
      </c>
      <c r="Q2827" t="n">
        <v>0</v>
      </c>
      <c r="R2827" s="2" t="inlineStr"/>
    </row>
    <row r="2828" ht="15" customHeight="1">
      <c r="A2828" t="inlineStr">
        <is>
          <t>A 63689-2023</t>
        </is>
      </c>
      <c r="B2828" s="1" t="n">
        <v>45275</v>
      </c>
      <c r="C2828" s="1" t="n">
        <v>46093</v>
      </c>
      <c r="D2828" t="inlineStr">
        <is>
          <t>VÄSTERNORRLANDS LÄN</t>
        </is>
      </c>
      <c r="E2828" t="inlineStr">
        <is>
          <t>ÖRNSKÖLDSVIK</t>
        </is>
      </c>
      <c r="G2828" t="n">
        <v>4.4</v>
      </c>
      <c r="H2828" t="n">
        <v>0</v>
      </c>
      <c r="I2828" t="n">
        <v>0</v>
      </c>
      <c r="J2828" t="n">
        <v>0</v>
      </c>
      <c r="K2828" t="n">
        <v>0</v>
      </c>
      <c r="L2828" t="n">
        <v>0</v>
      </c>
      <c r="M2828" t="n">
        <v>0</v>
      </c>
      <c r="N2828" t="n">
        <v>0</v>
      </c>
      <c r="O2828" t="n">
        <v>0</v>
      </c>
      <c r="P2828" t="n">
        <v>0</v>
      </c>
      <c r="Q2828" t="n">
        <v>0</v>
      </c>
      <c r="R2828" s="2" t="inlineStr"/>
    </row>
    <row r="2829" ht="15" customHeight="1">
      <c r="A2829" t="inlineStr">
        <is>
          <t>A 27368-2022</t>
        </is>
      </c>
      <c r="B2829" s="1" t="n">
        <v>44742.45391203704</v>
      </c>
      <c r="C2829" s="1" t="n">
        <v>46093</v>
      </c>
      <c r="D2829" t="inlineStr">
        <is>
          <t>VÄSTERNORRLANDS LÄN</t>
        </is>
      </c>
      <c r="E2829" t="inlineStr">
        <is>
          <t>ÖRNSKÖLDSVIK</t>
        </is>
      </c>
      <c r="F2829" t="inlineStr">
        <is>
          <t>Holmen skog AB</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24569-2022</t>
        </is>
      </c>
      <c r="B2830" s="1" t="n">
        <v>44726</v>
      </c>
      <c r="C2830" s="1" t="n">
        <v>46093</v>
      </c>
      <c r="D2830" t="inlineStr">
        <is>
          <t>VÄSTERNORRLANDS LÄN</t>
        </is>
      </c>
      <c r="E2830" t="inlineStr">
        <is>
          <t>ÖRNSKÖLDSVIK</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32483-2022</t>
        </is>
      </c>
      <c r="B2831" s="1" t="n">
        <v>44782</v>
      </c>
      <c r="C2831" s="1" t="n">
        <v>46093</v>
      </c>
      <c r="D2831" t="inlineStr">
        <is>
          <t>VÄSTERNORRLANDS LÄN</t>
        </is>
      </c>
      <c r="E2831" t="inlineStr">
        <is>
          <t>KRAMFORS</t>
        </is>
      </c>
      <c r="G2831" t="n">
        <v>4.7</v>
      </c>
      <c r="H2831" t="n">
        <v>0</v>
      </c>
      <c r="I2831" t="n">
        <v>0</v>
      </c>
      <c r="J2831" t="n">
        <v>0</v>
      </c>
      <c r="K2831" t="n">
        <v>0</v>
      </c>
      <c r="L2831" t="n">
        <v>0</v>
      </c>
      <c r="M2831" t="n">
        <v>0</v>
      </c>
      <c r="N2831" t="n">
        <v>0</v>
      </c>
      <c r="O2831" t="n">
        <v>0</v>
      </c>
      <c r="P2831" t="n">
        <v>0</v>
      </c>
      <c r="Q2831" t="n">
        <v>0</v>
      </c>
      <c r="R2831" s="2" t="inlineStr"/>
    </row>
    <row r="2832" ht="15" customHeight="1">
      <c r="A2832" t="inlineStr">
        <is>
          <t>A 67098-2021</t>
        </is>
      </c>
      <c r="B2832" s="1" t="n">
        <v>44522.94567129629</v>
      </c>
      <c r="C2832" s="1" t="n">
        <v>46093</v>
      </c>
      <c r="D2832" t="inlineStr">
        <is>
          <t>VÄSTERNORRLANDS LÄN</t>
        </is>
      </c>
      <c r="E2832" t="inlineStr">
        <is>
          <t>SUNDSVALL</t>
        </is>
      </c>
      <c r="F2832" t="inlineStr">
        <is>
          <t>SCA</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63709-2023</t>
        </is>
      </c>
      <c r="B2833" s="1" t="n">
        <v>45275.95069444444</v>
      </c>
      <c r="C2833" s="1" t="n">
        <v>46093</v>
      </c>
      <c r="D2833" t="inlineStr">
        <is>
          <t>VÄSTERNORRLANDS LÄN</t>
        </is>
      </c>
      <c r="E2833" t="inlineStr">
        <is>
          <t>ÅNGE</t>
        </is>
      </c>
      <c r="F2833" t="inlineStr">
        <is>
          <t>SCA</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33498-2022</t>
        </is>
      </c>
      <c r="B2834" s="1" t="n">
        <v>44788.9269212963</v>
      </c>
      <c r="C2834" s="1" t="n">
        <v>46093</v>
      </c>
      <c r="D2834" t="inlineStr">
        <is>
          <t>VÄSTERNORRLANDS LÄN</t>
        </is>
      </c>
      <c r="E2834" t="inlineStr">
        <is>
          <t>SUNDSVALL</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53799-2021</t>
        </is>
      </c>
      <c r="B2835" s="1" t="n">
        <v>44469.59017361111</v>
      </c>
      <c r="C2835" s="1" t="n">
        <v>46093</v>
      </c>
      <c r="D2835" t="inlineStr">
        <is>
          <t>VÄSTERNORRLANDS LÄN</t>
        </is>
      </c>
      <c r="E2835" t="inlineStr">
        <is>
          <t>ÖRNSKÖLDSVIK</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21268-2021</t>
        </is>
      </c>
      <c r="B2836" s="1" t="n">
        <v>44320</v>
      </c>
      <c r="C2836" s="1" t="n">
        <v>46093</v>
      </c>
      <c r="D2836" t="inlineStr">
        <is>
          <t>VÄSTERNORRLANDS LÄN</t>
        </is>
      </c>
      <c r="E2836" t="inlineStr">
        <is>
          <t>HÄRNÖSAND</t>
        </is>
      </c>
      <c r="G2836" t="n">
        <v>12.5</v>
      </c>
      <c r="H2836" t="n">
        <v>0</v>
      </c>
      <c r="I2836" t="n">
        <v>0</v>
      </c>
      <c r="J2836" t="n">
        <v>0</v>
      </c>
      <c r="K2836" t="n">
        <v>0</v>
      </c>
      <c r="L2836" t="n">
        <v>0</v>
      </c>
      <c r="M2836" t="n">
        <v>0</v>
      </c>
      <c r="N2836" t="n">
        <v>0</v>
      </c>
      <c r="O2836" t="n">
        <v>0</v>
      </c>
      <c r="P2836" t="n">
        <v>0</v>
      </c>
      <c r="Q2836" t="n">
        <v>0</v>
      </c>
      <c r="R2836" s="2" t="inlineStr"/>
    </row>
    <row r="2837" ht="15" customHeight="1">
      <c r="A2837" t="inlineStr">
        <is>
          <t>A 53764-2023</t>
        </is>
      </c>
      <c r="B2837" s="1" t="n">
        <v>45230.96416666666</v>
      </c>
      <c r="C2837" s="1" t="n">
        <v>46093</v>
      </c>
      <c r="D2837" t="inlineStr">
        <is>
          <t>VÄSTERNORRLANDS LÄN</t>
        </is>
      </c>
      <c r="E2837" t="inlineStr">
        <is>
          <t>SUNDSVALL</t>
        </is>
      </c>
      <c r="F2837" t="inlineStr">
        <is>
          <t>SCA</t>
        </is>
      </c>
      <c r="G2837" t="n">
        <v>4.1</v>
      </c>
      <c r="H2837" t="n">
        <v>0</v>
      </c>
      <c r="I2837" t="n">
        <v>0</v>
      </c>
      <c r="J2837" t="n">
        <v>0</v>
      </c>
      <c r="K2837" t="n">
        <v>0</v>
      </c>
      <c r="L2837" t="n">
        <v>0</v>
      </c>
      <c r="M2837" t="n">
        <v>0</v>
      </c>
      <c r="N2837" t="n">
        <v>0</v>
      </c>
      <c r="O2837" t="n">
        <v>0</v>
      </c>
      <c r="P2837" t="n">
        <v>0</v>
      </c>
      <c r="Q2837" t="n">
        <v>0</v>
      </c>
      <c r="R2837" s="2" t="inlineStr"/>
    </row>
    <row r="2838" ht="15" customHeight="1">
      <c r="A2838" t="inlineStr">
        <is>
          <t>A 34091-2022</t>
        </is>
      </c>
      <c r="B2838" s="1" t="n">
        <v>44791</v>
      </c>
      <c r="C2838" s="1" t="n">
        <v>46093</v>
      </c>
      <c r="D2838" t="inlineStr">
        <is>
          <t>VÄSTERNORRLANDS LÄN</t>
        </is>
      </c>
      <c r="E2838" t="inlineStr">
        <is>
          <t>ÅNGE</t>
        </is>
      </c>
      <c r="G2838" t="n">
        <v>10.1</v>
      </c>
      <c r="H2838" t="n">
        <v>0</v>
      </c>
      <c r="I2838" t="n">
        <v>0</v>
      </c>
      <c r="J2838" t="n">
        <v>0</v>
      </c>
      <c r="K2838" t="n">
        <v>0</v>
      </c>
      <c r="L2838" t="n">
        <v>0</v>
      </c>
      <c r="M2838" t="n">
        <v>0</v>
      </c>
      <c r="N2838" t="n">
        <v>0</v>
      </c>
      <c r="O2838" t="n">
        <v>0</v>
      </c>
      <c r="P2838" t="n">
        <v>0</v>
      </c>
      <c r="Q2838" t="n">
        <v>0</v>
      </c>
      <c r="R2838" s="2" t="inlineStr"/>
    </row>
    <row r="2839" ht="15" customHeight="1">
      <c r="A2839" t="inlineStr">
        <is>
          <t>A 34545-2022</t>
        </is>
      </c>
      <c r="B2839" s="1" t="n">
        <v>44793.93188657407</v>
      </c>
      <c r="C2839" s="1" t="n">
        <v>46093</v>
      </c>
      <c r="D2839" t="inlineStr">
        <is>
          <t>VÄSTERNORRLANDS LÄN</t>
        </is>
      </c>
      <c r="E2839" t="inlineStr">
        <is>
          <t>ÖRNSKÖLDSVIK</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34554-2022</t>
        </is>
      </c>
      <c r="B2840" s="1" t="n">
        <v>44794</v>
      </c>
      <c r="C2840" s="1" t="n">
        <v>46093</v>
      </c>
      <c r="D2840" t="inlineStr">
        <is>
          <t>VÄSTERNORRLANDS LÄN</t>
        </is>
      </c>
      <c r="E2840" t="inlineStr">
        <is>
          <t>SUNDSVALL</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10392-2024</t>
        </is>
      </c>
      <c r="B2841" s="1" t="n">
        <v>45365</v>
      </c>
      <c r="C2841" s="1" t="n">
        <v>46093</v>
      </c>
      <c r="D2841" t="inlineStr">
        <is>
          <t>VÄSTERNORRLANDS LÄN</t>
        </is>
      </c>
      <c r="E2841" t="inlineStr">
        <is>
          <t>KRAMFORS</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57286-2022</t>
        </is>
      </c>
      <c r="B2842" s="1" t="n">
        <v>44895.94991898148</v>
      </c>
      <c r="C2842" s="1" t="n">
        <v>46093</v>
      </c>
      <c r="D2842" t="inlineStr">
        <is>
          <t>VÄSTERNORRLANDS LÄN</t>
        </is>
      </c>
      <c r="E2842" t="inlineStr">
        <is>
          <t>ÅNGE</t>
        </is>
      </c>
      <c r="F2842" t="inlineStr">
        <is>
          <t>SCA</t>
        </is>
      </c>
      <c r="G2842" t="n">
        <v>3.7</v>
      </c>
      <c r="H2842" t="n">
        <v>0</v>
      </c>
      <c r="I2842" t="n">
        <v>0</v>
      </c>
      <c r="J2842" t="n">
        <v>0</v>
      </c>
      <c r="K2842" t="n">
        <v>0</v>
      </c>
      <c r="L2842" t="n">
        <v>0</v>
      </c>
      <c r="M2842" t="n">
        <v>0</v>
      </c>
      <c r="N2842" t="n">
        <v>0</v>
      </c>
      <c r="O2842" t="n">
        <v>0</v>
      </c>
      <c r="P2842" t="n">
        <v>0</v>
      </c>
      <c r="Q2842" t="n">
        <v>0</v>
      </c>
      <c r="R2842" s="2" t="inlineStr"/>
    </row>
    <row r="2843" ht="15" customHeight="1">
      <c r="A2843" t="inlineStr">
        <is>
          <t>A 53955-2021</t>
        </is>
      </c>
      <c r="B2843" s="1" t="n">
        <v>44469</v>
      </c>
      <c r="C2843" s="1" t="n">
        <v>46093</v>
      </c>
      <c r="D2843" t="inlineStr">
        <is>
          <t>VÄSTERNORRLANDS LÄN</t>
        </is>
      </c>
      <c r="E2843" t="inlineStr">
        <is>
          <t>SOLLEFTEÅ</t>
        </is>
      </c>
      <c r="F2843" t="inlineStr">
        <is>
          <t>SCA</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5267-2025</t>
        </is>
      </c>
      <c r="B2844" s="1" t="n">
        <v>45692.38988425926</v>
      </c>
      <c r="C2844" s="1" t="n">
        <v>46093</v>
      </c>
      <c r="D2844" t="inlineStr">
        <is>
          <t>VÄSTERNORRLANDS LÄN</t>
        </is>
      </c>
      <c r="E2844" t="inlineStr">
        <is>
          <t>SUNDSVALL</t>
        </is>
      </c>
      <c r="G2844" t="n">
        <v>3.1</v>
      </c>
      <c r="H2844" t="n">
        <v>0</v>
      </c>
      <c r="I2844" t="n">
        <v>0</v>
      </c>
      <c r="J2844" t="n">
        <v>0</v>
      </c>
      <c r="K2844" t="n">
        <v>0</v>
      </c>
      <c r="L2844" t="n">
        <v>0</v>
      </c>
      <c r="M2844" t="n">
        <v>0</v>
      </c>
      <c r="N2844" t="n">
        <v>0</v>
      </c>
      <c r="O2844" t="n">
        <v>0</v>
      </c>
      <c r="P2844" t="n">
        <v>0</v>
      </c>
      <c r="Q2844" t="n">
        <v>0</v>
      </c>
      <c r="R2844" s="2" t="inlineStr"/>
    </row>
    <row r="2845" ht="15" customHeight="1">
      <c r="A2845" t="inlineStr">
        <is>
          <t>A 34259-2025</t>
        </is>
      </c>
      <c r="B2845" s="1" t="n">
        <v>45845.71927083333</v>
      </c>
      <c r="C2845" s="1" t="n">
        <v>46093</v>
      </c>
      <c r="D2845" t="inlineStr">
        <is>
          <t>VÄSTERNORRLANDS LÄN</t>
        </is>
      </c>
      <c r="E2845" t="inlineStr">
        <is>
          <t>ÖRNSKÖLDSVIK</t>
        </is>
      </c>
      <c r="F2845" t="inlineStr">
        <is>
          <t>SCA</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11804-2024</t>
        </is>
      </c>
      <c r="B2846" s="1" t="n">
        <v>45375</v>
      </c>
      <c r="C2846" s="1" t="n">
        <v>46093</v>
      </c>
      <c r="D2846" t="inlineStr">
        <is>
          <t>VÄSTERNORRLANDS LÄN</t>
        </is>
      </c>
      <c r="E2846" t="inlineStr">
        <is>
          <t>ÖRNSKÖLDSVIK</t>
        </is>
      </c>
      <c r="G2846" t="n">
        <v>0.2</v>
      </c>
      <c r="H2846" t="n">
        <v>0</v>
      </c>
      <c r="I2846" t="n">
        <v>0</v>
      </c>
      <c r="J2846" t="n">
        <v>0</v>
      </c>
      <c r="K2846" t="n">
        <v>0</v>
      </c>
      <c r="L2846" t="n">
        <v>0</v>
      </c>
      <c r="M2846" t="n">
        <v>0</v>
      </c>
      <c r="N2846" t="n">
        <v>0</v>
      </c>
      <c r="O2846" t="n">
        <v>0</v>
      </c>
      <c r="P2846" t="n">
        <v>0</v>
      </c>
      <c r="Q2846" t="n">
        <v>0</v>
      </c>
      <c r="R2846" s="2" t="inlineStr"/>
    </row>
    <row r="2847" ht="15" customHeight="1">
      <c r="A2847" t="inlineStr">
        <is>
          <t>A 16572-2023</t>
        </is>
      </c>
      <c r="B2847" s="1" t="n">
        <v>45029.94224537037</v>
      </c>
      <c r="C2847" s="1" t="n">
        <v>46093</v>
      </c>
      <c r="D2847" t="inlineStr">
        <is>
          <t>VÄSTERNORRLANDS LÄN</t>
        </is>
      </c>
      <c r="E2847" t="inlineStr">
        <is>
          <t>ÅNGE</t>
        </is>
      </c>
      <c r="F2847" t="inlineStr">
        <is>
          <t>SCA</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37954-2022</t>
        </is>
      </c>
      <c r="B2848" s="1" t="n">
        <v>44811</v>
      </c>
      <c r="C2848" s="1" t="n">
        <v>46093</v>
      </c>
      <c r="D2848" t="inlineStr">
        <is>
          <t>VÄSTERNORRLANDS LÄN</t>
        </is>
      </c>
      <c r="E2848" t="inlineStr">
        <is>
          <t>ÖRNSKÖLDSVIK</t>
        </is>
      </c>
      <c r="F2848" t="inlineStr">
        <is>
          <t>Holmen skog AB</t>
        </is>
      </c>
      <c r="G2848" t="n">
        <v>5.2</v>
      </c>
      <c r="H2848" t="n">
        <v>0</v>
      </c>
      <c r="I2848" t="n">
        <v>0</v>
      </c>
      <c r="J2848" t="n">
        <v>0</v>
      </c>
      <c r="K2848" t="n">
        <v>0</v>
      </c>
      <c r="L2848" t="n">
        <v>0</v>
      </c>
      <c r="M2848" t="n">
        <v>0</v>
      </c>
      <c r="N2848" t="n">
        <v>0</v>
      </c>
      <c r="O2848" t="n">
        <v>0</v>
      </c>
      <c r="P2848" t="n">
        <v>0</v>
      </c>
      <c r="Q2848" t="n">
        <v>0</v>
      </c>
      <c r="R2848" s="2" t="inlineStr"/>
    </row>
    <row r="2849" ht="15" customHeight="1">
      <c r="A2849" t="inlineStr">
        <is>
          <t>A 50732-2022</t>
        </is>
      </c>
      <c r="B2849" s="1" t="n">
        <v>44862</v>
      </c>
      <c r="C2849" s="1" t="n">
        <v>46093</v>
      </c>
      <c r="D2849" t="inlineStr">
        <is>
          <t>VÄSTERNORRLANDS LÄN</t>
        </is>
      </c>
      <c r="E2849" t="inlineStr">
        <is>
          <t>ÖRNSKÖLDSVIK</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50655-2022</t>
        </is>
      </c>
      <c r="B2850" s="1" t="n">
        <v>44866</v>
      </c>
      <c r="C2850" s="1" t="n">
        <v>46093</v>
      </c>
      <c r="D2850" t="inlineStr">
        <is>
          <t>VÄSTERNORRLANDS LÄN</t>
        </is>
      </c>
      <c r="E2850" t="inlineStr">
        <is>
          <t>SOLLEFTEÅ</t>
        </is>
      </c>
      <c r="G2850" t="n">
        <v>4.4</v>
      </c>
      <c r="H2850" t="n">
        <v>0</v>
      </c>
      <c r="I2850" t="n">
        <v>0</v>
      </c>
      <c r="J2850" t="n">
        <v>0</v>
      </c>
      <c r="K2850" t="n">
        <v>0</v>
      </c>
      <c r="L2850" t="n">
        <v>0</v>
      </c>
      <c r="M2850" t="n">
        <v>0</v>
      </c>
      <c r="N2850" t="n">
        <v>0</v>
      </c>
      <c r="O2850" t="n">
        <v>0</v>
      </c>
      <c r="P2850" t="n">
        <v>0</v>
      </c>
      <c r="Q2850" t="n">
        <v>0</v>
      </c>
      <c r="R2850" s="2" t="inlineStr"/>
    </row>
    <row r="2851" ht="15" customHeight="1">
      <c r="A2851" t="inlineStr">
        <is>
          <t>A 28893-2022</t>
        </is>
      </c>
      <c r="B2851" s="1" t="n">
        <v>44749.53978009259</v>
      </c>
      <c r="C2851" s="1" t="n">
        <v>46093</v>
      </c>
      <c r="D2851" t="inlineStr">
        <is>
          <t>VÄSTERNORRLANDS LÄN</t>
        </is>
      </c>
      <c r="E2851" t="inlineStr">
        <is>
          <t>SOLLEFTEÅ</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16365-2023</t>
        </is>
      </c>
      <c r="B2852" s="1" t="n">
        <v>45028</v>
      </c>
      <c r="C2852" s="1" t="n">
        <v>46093</v>
      </c>
      <c r="D2852" t="inlineStr">
        <is>
          <t>VÄSTERNORRLANDS LÄN</t>
        </is>
      </c>
      <c r="E2852" t="inlineStr">
        <is>
          <t>ÅNGE</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47582-2023</t>
        </is>
      </c>
      <c r="B2853" s="1" t="n">
        <v>45197</v>
      </c>
      <c r="C2853" s="1" t="n">
        <v>46093</v>
      </c>
      <c r="D2853" t="inlineStr">
        <is>
          <t>VÄSTERNORRLANDS LÄN</t>
        </is>
      </c>
      <c r="E2853" t="inlineStr">
        <is>
          <t>ÖRNSKÖLDSVIK</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10153-2025</t>
        </is>
      </c>
      <c r="B2854" s="1" t="n">
        <v>45719.64228009259</v>
      </c>
      <c r="C2854" s="1" t="n">
        <v>46093</v>
      </c>
      <c r="D2854" t="inlineStr">
        <is>
          <t>VÄSTERNORRLANDS LÄN</t>
        </is>
      </c>
      <c r="E2854" t="inlineStr">
        <is>
          <t>ÖRNSKÖLDSVIK</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33328-2024</t>
        </is>
      </c>
      <c r="B2855" s="1" t="n">
        <v>45519.29268518519</v>
      </c>
      <c r="C2855" s="1" t="n">
        <v>46093</v>
      </c>
      <c r="D2855" t="inlineStr">
        <is>
          <t>VÄSTERNORRLANDS LÄN</t>
        </is>
      </c>
      <c r="E2855" t="inlineStr">
        <is>
          <t>KRAMFORS</t>
        </is>
      </c>
      <c r="G2855" t="n">
        <v>5.8</v>
      </c>
      <c r="H2855" t="n">
        <v>0</v>
      </c>
      <c r="I2855" t="n">
        <v>0</v>
      </c>
      <c r="J2855" t="n">
        <v>0</v>
      </c>
      <c r="K2855" t="n">
        <v>0</v>
      </c>
      <c r="L2855" t="n">
        <v>0</v>
      </c>
      <c r="M2855" t="n">
        <v>0</v>
      </c>
      <c r="N2855" t="n">
        <v>0</v>
      </c>
      <c r="O2855" t="n">
        <v>0</v>
      </c>
      <c r="P2855" t="n">
        <v>0</v>
      </c>
      <c r="Q2855" t="n">
        <v>0</v>
      </c>
      <c r="R2855" s="2" t="inlineStr"/>
    </row>
    <row r="2856" ht="15" customHeight="1">
      <c r="A2856" t="inlineStr">
        <is>
          <t>A 48457-2022</t>
        </is>
      </c>
      <c r="B2856" s="1" t="n">
        <v>44858.66527777778</v>
      </c>
      <c r="C2856" s="1" t="n">
        <v>46093</v>
      </c>
      <c r="D2856" t="inlineStr">
        <is>
          <t>VÄSTERNORRLANDS LÄN</t>
        </is>
      </c>
      <c r="E2856" t="inlineStr">
        <is>
          <t>ÖRNSKÖLDSVIK</t>
        </is>
      </c>
      <c r="F2856" t="inlineStr">
        <is>
          <t>Holmen skog AB</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72315-2021</t>
        </is>
      </c>
      <c r="B2857" s="1" t="n">
        <v>44545</v>
      </c>
      <c r="C2857" s="1" t="n">
        <v>46093</v>
      </c>
      <c r="D2857" t="inlineStr">
        <is>
          <t>VÄSTERNORRLANDS LÄN</t>
        </is>
      </c>
      <c r="E2857" t="inlineStr">
        <is>
          <t>SOLLEFTEÅ</t>
        </is>
      </c>
      <c r="F2857" t="inlineStr">
        <is>
          <t>SCA</t>
        </is>
      </c>
      <c r="G2857" t="n">
        <v>6.6</v>
      </c>
      <c r="H2857" t="n">
        <v>0</v>
      </c>
      <c r="I2857" t="n">
        <v>0</v>
      </c>
      <c r="J2857" t="n">
        <v>0</v>
      </c>
      <c r="K2857" t="n">
        <v>0</v>
      </c>
      <c r="L2857" t="n">
        <v>0</v>
      </c>
      <c r="M2857" t="n">
        <v>0</v>
      </c>
      <c r="N2857" t="n">
        <v>0</v>
      </c>
      <c r="O2857" t="n">
        <v>0</v>
      </c>
      <c r="P2857" t="n">
        <v>0</v>
      </c>
      <c r="Q2857" t="n">
        <v>0</v>
      </c>
      <c r="R2857" s="2" t="inlineStr"/>
    </row>
    <row r="2858" ht="15" customHeight="1">
      <c r="A2858" t="inlineStr">
        <is>
          <t>A 39879-2021</t>
        </is>
      </c>
      <c r="B2858" s="1" t="n">
        <v>44417</v>
      </c>
      <c r="C2858" s="1" t="n">
        <v>46093</v>
      </c>
      <c r="D2858" t="inlineStr">
        <is>
          <t>VÄSTERNORRLANDS LÄN</t>
        </is>
      </c>
      <c r="E2858" t="inlineStr">
        <is>
          <t>ÖRNSKÖLDSVIK</t>
        </is>
      </c>
      <c r="F2858" t="inlineStr">
        <is>
          <t>Holmen skog AB</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16056-2024</t>
        </is>
      </c>
      <c r="B2859" s="1" t="n">
        <v>45406.04898148148</v>
      </c>
      <c r="C2859" s="1" t="n">
        <v>46093</v>
      </c>
      <c r="D2859" t="inlineStr">
        <is>
          <t>VÄSTERNORRLANDS LÄN</t>
        </is>
      </c>
      <c r="E2859" t="inlineStr">
        <is>
          <t>SUNDSVALL</t>
        </is>
      </c>
      <c r="F2859" t="inlineStr">
        <is>
          <t>Naturvårdsverket</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16251-2024</t>
        </is>
      </c>
      <c r="B2860" s="1" t="n">
        <v>45407</v>
      </c>
      <c r="C2860" s="1" t="n">
        <v>46093</v>
      </c>
      <c r="D2860" t="inlineStr">
        <is>
          <t>VÄSTERNORRLANDS LÄN</t>
        </is>
      </c>
      <c r="E2860" t="inlineStr">
        <is>
          <t>SUNDSVALL</t>
        </is>
      </c>
      <c r="F2860" t="inlineStr">
        <is>
          <t>SCA</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50640-2022</t>
        </is>
      </c>
      <c r="B2861" s="1" t="n">
        <v>44866.94734953704</v>
      </c>
      <c r="C2861" s="1" t="n">
        <v>46093</v>
      </c>
      <c r="D2861" t="inlineStr">
        <is>
          <t>VÄSTERNORRLANDS LÄN</t>
        </is>
      </c>
      <c r="E2861" t="inlineStr">
        <is>
          <t>ÅNGE</t>
        </is>
      </c>
      <c r="F2861" t="inlineStr">
        <is>
          <t>SCA</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53003-2021</t>
        </is>
      </c>
      <c r="B2862" s="1" t="n">
        <v>44467.64587962963</v>
      </c>
      <c r="C2862" s="1" t="n">
        <v>46093</v>
      </c>
      <c r="D2862" t="inlineStr">
        <is>
          <t>VÄSTERNORRLANDS LÄN</t>
        </is>
      </c>
      <c r="E2862" t="inlineStr">
        <is>
          <t>ÖRNSKÖLDSVIK</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54053-2023</t>
        </is>
      </c>
      <c r="B2863" s="1" t="n">
        <v>45231.96831018518</v>
      </c>
      <c r="C2863" s="1" t="n">
        <v>46093</v>
      </c>
      <c r="D2863" t="inlineStr">
        <is>
          <t>VÄSTERNORRLANDS LÄN</t>
        </is>
      </c>
      <c r="E2863" t="inlineStr">
        <is>
          <t>SUNDSVALL</t>
        </is>
      </c>
      <c r="F2863" t="inlineStr">
        <is>
          <t>SCA</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16854-2024</t>
        </is>
      </c>
      <c r="B2864" s="1" t="n">
        <v>45409</v>
      </c>
      <c r="C2864" s="1" t="n">
        <v>46093</v>
      </c>
      <c r="D2864" t="inlineStr">
        <is>
          <t>VÄSTERNORRLANDS LÄN</t>
        </is>
      </c>
      <c r="E2864" t="inlineStr">
        <is>
          <t>HÄRNÖSAND</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23094-2024</t>
        </is>
      </c>
      <c r="B2865" s="1" t="n">
        <v>45450.5243287037</v>
      </c>
      <c r="C2865" s="1" t="n">
        <v>46093</v>
      </c>
      <c r="D2865" t="inlineStr">
        <is>
          <t>VÄSTERNORRLANDS LÄN</t>
        </is>
      </c>
      <c r="E2865" t="inlineStr">
        <is>
          <t>ÖRNSKÖLDSVIK</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23097-2024</t>
        </is>
      </c>
      <c r="B2866" s="1" t="n">
        <v>45450.52642361111</v>
      </c>
      <c r="C2866" s="1" t="n">
        <v>46093</v>
      </c>
      <c r="D2866" t="inlineStr">
        <is>
          <t>VÄSTERNORRLANDS LÄN</t>
        </is>
      </c>
      <c r="E2866" t="inlineStr">
        <is>
          <t>ÖRNSKÖLDSVIK</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23851-2024</t>
        </is>
      </c>
      <c r="B2867" s="1" t="n">
        <v>45455</v>
      </c>
      <c r="C2867" s="1" t="n">
        <v>46093</v>
      </c>
      <c r="D2867" t="inlineStr">
        <is>
          <t>VÄSTERNORRLANDS LÄN</t>
        </is>
      </c>
      <c r="E2867" t="inlineStr">
        <is>
          <t>TIMRÅ</t>
        </is>
      </c>
      <c r="G2867" t="n">
        <v>3.5</v>
      </c>
      <c r="H2867" t="n">
        <v>0</v>
      </c>
      <c r="I2867" t="n">
        <v>0</v>
      </c>
      <c r="J2867" t="n">
        <v>0</v>
      </c>
      <c r="K2867" t="n">
        <v>0</v>
      </c>
      <c r="L2867" t="n">
        <v>0</v>
      </c>
      <c r="M2867" t="n">
        <v>0</v>
      </c>
      <c r="N2867" t="n">
        <v>0</v>
      </c>
      <c r="O2867" t="n">
        <v>0</v>
      </c>
      <c r="P2867" t="n">
        <v>0</v>
      </c>
      <c r="Q2867" t="n">
        <v>0</v>
      </c>
      <c r="R2867" s="2" t="inlineStr"/>
    </row>
    <row r="2868" ht="15" customHeight="1">
      <c r="A2868" t="inlineStr">
        <is>
          <t>A 59654-2022</t>
        </is>
      </c>
      <c r="B2868" s="1" t="n">
        <v>44907.96673611111</v>
      </c>
      <c r="C2868" s="1" t="n">
        <v>46093</v>
      </c>
      <c r="D2868" t="inlineStr">
        <is>
          <t>VÄSTERNORRLANDS LÄN</t>
        </is>
      </c>
      <c r="E2868" t="inlineStr">
        <is>
          <t>SUNDSVALL</t>
        </is>
      </c>
      <c r="F2868" t="inlineStr">
        <is>
          <t>Naturvårdsverket</t>
        </is>
      </c>
      <c r="G2868" t="n">
        <v>3.6</v>
      </c>
      <c r="H2868" t="n">
        <v>0</v>
      </c>
      <c r="I2868" t="n">
        <v>0</v>
      </c>
      <c r="J2868" t="n">
        <v>0</v>
      </c>
      <c r="K2868" t="n">
        <v>0</v>
      </c>
      <c r="L2868" t="n">
        <v>0</v>
      </c>
      <c r="M2868" t="n">
        <v>0</v>
      </c>
      <c r="N2868" t="n">
        <v>0</v>
      </c>
      <c r="O2868" t="n">
        <v>0</v>
      </c>
      <c r="P2868" t="n">
        <v>0</v>
      </c>
      <c r="Q2868" t="n">
        <v>0</v>
      </c>
      <c r="R2868" s="2" t="inlineStr"/>
    </row>
    <row r="2869" ht="15" customHeight="1">
      <c r="A2869" t="inlineStr">
        <is>
          <t>A 25044-2024</t>
        </is>
      </c>
      <c r="B2869" s="1" t="n">
        <v>45462.30936342593</v>
      </c>
      <c r="C2869" s="1" t="n">
        <v>46093</v>
      </c>
      <c r="D2869" t="inlineStr">
        <is>
          <t>VÄSTERNORRLANDS LÄN</t>
        </is>
      </c>
      <c r="E2869" t="inlineStr">
        <is>
          <t>ÖRNSKÖLDSVIK</t>
        </is>
      </c>
      <c r="F2869" t="inlineStr">
        <is>
          <t>Holmen skog AB</t>
        </is>
      </c>
      <c r="G2869" t="n">
        <v>8.9</v>
      </c>
      <c r="H2869" t="n">
        <v>0</v>
      </c>
      <c r="I2869" t="n">
        <v>0</v>
      </c>
      <c r="J2869" t="n">
        <v>0</v>
      </c>
      <c r="K2869" t="n">
        <v>0</v>
      </c>
      <c r="L2869" t="n">
        <v>0</v>
      </c>
      <c r="M2869" t="n">
        <v>0</v>
      </c>
      <c r="N2869" t="n">
        <v>0</v>
      </c>
      <c r="O2869" t="n">
        <v>0</v>
      </c>
      <c r="P2869" t="n">
        <v>0</v>
      </c>
      <c r="Q2869" t="n">
        <v>0</v>
      </c>
      <c r="R2869" s="2" t="inlineStr"/>
    </row>
    <row r="2870" ht="15" customHeight="1">
      <c r="A2870" t="inlineStr">
        <is>
          <t>A 54714-2022</t>
        </is>
      </c>
      <c r="B2870" s="1" t="n">
        <v>44881</v>
      </c>
      <c r="C2870" s="1" t="n">
        <v>46093</v>
      </c>
      <c r="D2870" t="inlineStr">
        <is>
          <t>VÄSTERNORRLANDS LÄN</t>
        </is>
      </c>
      <c r="E2870" t="inlineStr">
        <is>
          <t>ÖRNSKÖLDSVIK</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1471-2022</t>
        </is>
      </c>
      <c r="B2871" s="1" t="n">
        <v>44573</v>
      </c>
      <c r="C2871" s="1" t="n">
        <v>46093</v>
      </c>
      <c r="D2871" t="inlineStr">
        <is>
          <t>VÄSTERNORRLANDS LÄN</t>
        </is>
      </c>
      <c r="E2871" t="inlineStr">
        <is>
          <t>ÖRNSKÖLDSVIK</t>
        </is>
      </c>
      <c r="G2871" t="n">
        <v>4</v>
      </c>
      <c r="H2871" t="n">
        <v>0</v>
      </c>
      <c r="I2871" t="n">
        <v>0</v>
      </c>
      <c r="J2871" t="n">
        <v>0</v>
      </c>
      <c r="K2871" t="n">
        <v>0</v>
      </c>
      <c r="L2871" t="n">
        <v>0</v>
      </c>
      <c r="M2871" t="n">
        <v>0</v>
      </c>
      <c r="N2871" t="n">
        <v>0</v>
      </c>
      <c r="O2871" t="n">
        <v>0</v>
      </c>
      <c r="P2871" t="n">
        <v>0</v>
      </c>
      <c r="Q2871" t="n">
        <v>0</v>
      </c>
      <c r="R2871" s="2" t="inlineStr"/>
    </row>
    <row r="2872" ht="15" customHeight="1">
      <c r="A2872" t="inlineStr">
        <is>
          <t>A 72499-2021</t>
        </is>
      </c>
      <c r="B2872" s="1" t="n">
        <v>44545.94166666667</v>
      </c>
      <c r="C2872" s="1" t="n">
        <v>46093</v>
      </c>
      <c r="D2872" t="inlineStr">
        <is>
          <t>VÄSTERNORRLANDS LÄN</t>
        </is>
      </c>
      <c r="E2872" t="inlineStr">
        <is>
          <t>SUNDSVALL</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70603-2021</t>
        </is>
      </c>
      <c r="B2873" s="1" t="n">
        <v>44536</v>
      </c>
      <c r="C2873" s="1" t="n">
        <v>46093</v>
      </c>
      <c r="D2873" t="inlineStr">
        <is>
          <t>VÄSTERNORRLANDS LÄN</t>
        </is>
      </c>
      <c r="E2873" t="inlineStr">
        <is>
          <t>HÄRNÖSAND</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72521-2021</t>
        </is>
      </c>
      <c r="B2874" s="1" t="n">
        <v>44546.34429398148</v>
      </c>
      <c r="C2874" s="1" t="n">
        <v>46093</v>
      </c>
      <c r="D2874" t="inlineStr">
        <is>
          <t>VÄSTERNORRLANDS LÄN</t>
        </is>
      </c>
      <c r="E2874" t="inlineStr">
        <is>
          <t>ÖRNSKÖLDSVIK</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9254-2023</t>
        </is>
      </c>
      <c r="B2875" s="1" t="n">
        <v>44980</v>
      </c>
      <c r="C2875" s="1" t="n">
        <v>46093</v>
      </c>
      <c r="D2875" t="inlineStr">
        <is>
          <t>VÄSTERNORRLANDS LÄN</t>
        </is>
      </c>
      <c r="E2875" t="inlineStr">
        <is>
          <t>ÖRNSKÖLDSVIK</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52548-2024</t>
        </is>
      </c>
      <c r="B2876" s="1" t="n">
        <v>45609</v>
      </c>
      <c r="C2876" s="1" t="n">
        <v>46093</v>
      </c>
      <c r="D2876" t="inlineStr">
        <is>
          <t>VÄSTERNORRLANDS LÄN</t>
        </is>
      </c>
      <c r="E2876" t="inlineStr">
        <is>
          <t>ÖRNSKÖLDSVIK</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24063-2023</t>
        </is>
      </c>
      <c r="B2877" s="1" t="n">
        <v>45078.94140046297</v>
      </c>
      <c r="C2877" s="1" t="n">
        <v>46093</v>
      </c>
      <c r="D2877" t="inlineStr">
        <is>
          <t>VÄSTERNORRLANDS LÄN</t>
        </is>
      </c>
      <c r="E2877" t="inlineStr">
        <is>
          <t>ÅNGE</t>
        </is>
      </c>
      <c r="F2877" t="inlineStr">
        <is>
          <t>SCA</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50720-2024</t>
        </is>
      </c>
      <c r="B2878" s="1" t="n">
        <v>45602.38631944444</v>
      </c>
      <c r="C2878" s="1" t="n">
        <v>46093</v>
      </c>
      <c r="D2878" t="inlineStr">
        <is>
          <t>VÄSTERNORRLANDS LÄN</t>
        </is>
      </c>
      <c r="E2878" t="inlineStr">
        <is>
          <t>SOLLEFTEÅ</t>
        </is>
      </c>
      <c r="F2878" t="inlineStr">
        <is>
          <t>SCA</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35085-2022</t>
        </is>
      </c>
      <c r="B2879" s="1" t="n">
        <v>44797</v>
      </c>
      <c r="C2879" s="1" t="n">
        <v>46093</v>
      </c>
      <c r="D2879" t="inlineStr">
        <is>
          <t>VÄSTERNORRLANDS LÄN</t>
        </is>
      </c>
      <c r="E2879" t="inlineStr">
        <is>
          <t>ÖRNSKÖLDSVIK</t>
        </is>
      </c>
      <c r="F2879" t="inlineStr">
        <is>
          <t>Holmen skog AB</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35577-2024</t>
        </is>
      </c>
      <c r="B2880" s="1" t="n">
        <v>45531</v>
      </c>
      <c r="C2880" s="1" t="n">
        <v>46093</v>
      </c>
      <c r="D2880" t="inlineStr">
        <is>
          <t>VÄSTERNORRLANDS LÄN</t>
        </is>
      </c>
      <c r="E2880" t="inlineStr">
        <is>
          <t>ÅNGE</t>
        </is>
      </c>
      <c r="F2880" t="inlineStr">
        <is>
          <t>SCA</t>
        </is>
      </c>
      <c r="G2880" t="n">
        <v>0.1</v>
      </c>
      <c r="H2880" t="n">
        <v>0</v>
      </c>
      <c r="I2880" t="n">
        <v>0</v>
      </c>
      <c r="J2880" t="n">
        <v>0</v>
      </c>
      <c r="K2880" t="n">
        <v>0</v>
      </c>
      <c r="L2880" t="n">
        <v>0</v>
      </c>
      <c r="M2880" t="n">
        <v>0</v>
      </c>
      <c r="N2880" t="n">
        <v>0</v>
      </c>
      <c r="O2880" t="n">
        <v>0</v>
      </c>
      <c r="P2880" t="n">
        <v>0</v>
      </c>
      <c r="Q2880" t="n">
        <v>0</v>
      </c>
      <c r="R2880" s="2" t="inlineStr"/>
    </row>
    <row r="2881" ht="15" customHeight="1">
      <c r="A2881" t="inlineStr">
        <is>
          <t>A 35580-2024</t>
        </is>
      </c>
      <c r="B2881" s="1" t="n">
        <v>45531</v>
      </c>
      <c r="C2881" s="1" t="n">
        <v>46093</v>
      </c>
      <c r="D2881" t="inlineStr">
        <is>
          <t>VÄSTERNORRLANDS LÄN</t>
        </is>
      </c>
      <c r="E2881" t="inlineStr">
        <is>
          <t>ÅNGE</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35595-2024</t>
        </is>
      </c>
      <c r="B2882" s="1" t="n">
        <v>45531</v>
      </c>
      <c r="C2882" s="1" t="n">
        <v>46093</v>
      </c>
      <c r="D2882" t="inlineStr">
        <is>
          <t>VÄSTERNORRLANDS LÄN</t>
        </is>
      </c>
      <c r="E2882" t="inlineStr">
        <is>
          <t>HÄRNÖSAND</t>
        </is>
      </c>
      <c r="F2882" t="inlineStr">
        <is>
          <t>SCA</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32482-2022</t>
        </is>
      </c>
      <c r="B2883" s="1" t="n">
        <v>44782</v>
      </c>
      <c r="C2883" s="1" t="n">
        <v>46093</v>
      </c>
      <c r="D2883" t="inlineStr">
        <is>
          <t>VÄSTERNORRLANDS LÄN</t>
        </is>
      </c>
      <c r="E2883" t="inlineStr">
        <is>
          <t>ÖRNSKÖLDSVIK</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68317-2021</t>
        </is>
      </c>
      <c r="B2884" s="1" t="n">
        <v>44526.94339120371</v>
      </c>
      <c r="C2884" s="1" t="n">
        <v>46093</v>
      </c>
      <c r="D2884" t="inlineStr">
        <is>
          <t>VÄSTERNORRLANDS LÄN</t>
        </is>
      </c>
      <c r="E2884" t="inlineStr">
        <is>
          <t>SOLLEFTEÅ</t>
        </is>
      </c>
      <c r="F2884" t="inlineStr">
        <is>
          <t>SCA</t>
        </is>
      </c>
      <c r="G2884" t="n">
        <v>5.1</v>
      </c>
      <c r="H2884" t="n">
        <v>0</v>
      </c>
      <c r="I2884" t="n">
        <v>0</v>
      </c>
      <c r="J2884" t="n">
        <v>0</v>
      </c>
      <c r="K2884" t="n">
        <v>0</v>
      </c>
      <c r="L2884" t="n">
        <v>0</v>
      </c>
      <c r="M2884" t="n">
        <v>0</v>
      </c>
      <c r="N2884" t="n">
        <v>0</v>
      </c>
      <c r="O2884" t="n">
        <v>0</v>
      </c>
      <c r="P2884" t="n">
        <v>0</v>
      </c>
      <c r="Q2884" t="n">
        <v>0</v>
      </c>
      <c r="R2884" s="2" t="inlineStr"/>
    </row>
    <row r="2885" ht="15" customHeight="1">
      <c r="A2885" t="inlineStr">
        <is>
          <t>A 3548-2022</t>
        </is>
      </c>
      <c r="B2885" s="1" t="n">
        <v>44585.93784722222</v>
      </c>
      <c r="C2885" s="1" t="n">
        <v>46093</v>
      </c>
      <c r="D2885" t="inlineStr">
        <is>
          <t>VÄSTERNORRLANDS LÄN</t>
        </is>
      </c>
      <c r="E2885" t="inlineStr">
        <is>
          <t>SOLLEFTEÅ</t>
        </is>
      </c>
      <c r="F2885" t="inlineStr">
        <is>
          <t>SCA</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53302-2024</t>
        </is>
      </c>
      <c r="B2886" s="1" t="n">
        <v>45614.38864583334</v>
      </c>
      <c r="C2886" s="1" t="n">
        <v>46093</v>
      </c>
      <c r="D2886" t="inlineStr">
        <is>
          <t>VÄSTERNORRLANDS LÄN</t>
        </is>
      </c>
      <c r="E2886" t="inlineStr">
        <is>
          <t>TIMRÅ</t>
        </is>
      </c>
      <c r="F2886" t="inlineStr">
        <is>
          <t>SCA</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53303-2024</t>
        </is>
      </c>
      <c r="B2887" s="1" t="n">
        <v>45614.38878472222</v>
      </c>
      <c r="C2887" s="1" t="n">
        <v>46093</v>
      </c>
      <c r="D2887" t="inlineStr">
        <is>
          <t>VÄSTERNORRLANDS LÄN</t>
        </is>
      </c>
      <c r="E2887" t="inlineStr">
        <is>
          <t>TIMRÅ</t>
        </is>
      </c>
      <c r="F2887" t="inlineStr">
        <is>
          <t>SCA</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59560-2023</t>
        </is>
      </c>
      <c r="B2888" s="1" t="n">
        <v>45254</v>
      </c>
      <c r="C2888" s="1" t="n">
        <v>46093</v>
      </c>
      <c r="D2888" t="inlineStr">
        <is>
          <t>VÄSTERNORRLANDS LÄN</t>
        </is>
      </c>
      <c r="E2888" t="inlineStr">
        <is>
          <t>ÖRNSKÖLDSVIK</t>
        </is>
      </c>
      <c r="G2888" t="n">
        <v>12.1</v>
      </c>
      <c r="H2888" t="n">
        <v>0</v>
      </c>
      <c r="I2888" t="n">
        <v>0</v>
      </c>
      <c r="J2888" t="n">
        <v>0</v>
      </c>
      <c r="K2888" t="n">
        <v>0</v>
      </c>
      <c r="L2888" t="n">
        <v>0</v>
      </c>
      <c r="M2888" t="n">
        <v>0</v>
      </c>
      <c r="N2888" t="n">
        <v>0</v>
      </c>
      <c r="O2888" t="n">
        <v>0</v>
      </c>
      <c r="P2888" t="n">
        <v>0</v>
      </c>
      <c r="Q2888" t="n">
        <v>0</v>
      </c>
      <c r="R2888" s="2" t="inlineStr"/>
    </row>
    <row r="2889" ht="15" customHeight="1">
      <c r="A2889" t="inlineStr">
        <is>
          <t>A 16238-2024</t>
        </is>
      </c>
      <c r="B2889" s="1" t="n">
        <v>45407.05692129629</v>
      </c>
      <c r="C2889" s="1" t="n">
        <v>46093</v>
      </c>
      <c r="D2889" t="inlineStr">
        <is>
          <t>VÄSTERNORRLANDS LÄN</t>
        </is>
      </c>
      <c r="E2889" t="inlineStr">
        <is>
          <t>SOLLEFTEÅ</t>
        </is>
      </c>
      <c r="F2889" t="inlineStr">
        <is>
          <t>SCA</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33999-2025</t>
        </is>
      </c>
      <c r="B2890" s="1" t="n">
        <v>45844.36113425926</v>
      </c>
      <c r="C2890" s="1" t="n">
        <v>46093</v>
      </c>
      <c r="D2890" t="inlineStr">
        <is>
          <t>VÄSTERNORRLANDS LÄN</t>
        </is>
      </c>
      <c r="E2890" t="inlineStr">
        <is>
          <t>SOLLEFTEÅ</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48011-2023</t>
        </is>
      </c>
      <c r="B2891" s="1" t="n">
        <v>45198</v>
      </c>
      <c r="C2891" s="1" t="n">
        <v>46093</v>
      </c>
      <c r="D2891" t="inlineStr">
        <is>
          <t>VÄSTERNORRLANDS LÄN</t>
        </is>
      </c>
      <c r="E2891" t="inlineStr">
        <is>
          <t>SUNDSVALL</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22249-2022</t>
        </is>
      </c>
      <c r="B2892" s="1" t="n">
        <v>44712.60636574074</v>
      </c>
      <c r="C2892" s="1" t="n">
        <v>46093</v>
      </c>
      <c r="D2892" t="inlineStr">
        <is>
          <t>VÄSTERNORRLANDS LÄN</t>
        </is>
      </c>
      <c r="E2892" t="inlineStr">
        <is>
          <t>SUNDSVALL</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25414-2022</t>
        </is>
      </c>
      <c r="B2893" s="1" t="n">
        <v>44732</v>
      </c>
      <c r="C2893" s="1" t="n">
        <v>46093</v>
      </c>
      <c r="D2893" t="inlineStr">
        <is>
          <t>VÄSTERNORRLANDS LÄN</t>
        </is>
      </c>
      <c r="E2893" t="inlineStr">
        <is>
          <t>TIMRÅ</t>
        </is>
      </c>
      <c r="G2893" t="n">
        <v>7.7</v>
      </c>
      <c r="H2893" t="n">
        <v>0</v>
      </c>
      <c r="I2893" t="n">
        <v>0</v>
      </c>
      <c r="J2893" t="n">
        <v>0</v>
      </c>
      <c r="K2893" t="n">
        <v>0</v>
      </c>
      <c r="L2893" t="n">
        <v>0</v>
      </c>
      <c r="M2893" t="n">
        <v>0</v>
      </c>
      <c r="N2893" t="n">
        <v>0</v>
      </c>
      <c r="O2893" t="n">
        <v>0</v>
      </c>
      <c r="P2893" t="n">
        <v>0</v>
      </c>
      <c r="Q2893" t="n">
        <v>0</v>
      </c>
      <c r="R2893" s="2" t="inlineStr"/>
    </row>
    <row r="2894" ht="15" customHeight="1">
      <c r="A2894" t="inlineStr">
        <is>
          <t>A 50562-2022</t>
        </is>
      </c>
      <c r="B2894" s="1" t="n">
        <v>44862</v>
      </c>
      <c r="C2894" s="1" t="n">
        <v>46093</v>
      </c>
      <c r="D2894" t="inlineStr">
        <is>
          <t>VÄSTERNORRLANDS LÄN</t>
        </is>
      </c>
      <c r="E2894" t="inlineStr">
        <is>
          <t>ÖRNSKÖLDSVIK</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56397-2024</t>
        </is>
      </c>
      <c r="B2895" s="1" t="n">
        <v>45625.3518287037</v>
      </c>
      <c r="C2895" s="1" t="n">
        <v>46093</v>
      </c>
      <c r="D2895" t="inlineStr">
        <is>
          <t>VÄSTERNORRLANDS LÄN</t>
        </is>
      </c>
      <c r="E2895" t="inlineStr">
        <is>
          <t>ÖRNSKÖLDSVIK</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54342-2023</t>
        </is>
      </c>
      <c r="B2896" s="1" t="n">
        <v>45232</v>
      </c>
      <c r="C2896" s="1" t="n">
        <v>46093</v>
      </c>
      <c r="D2896" t="inlineStr">
        <is>
          <t>VÄSTERNORRLANDS LÄN</t>
        </is>
      </c>
      <c r="E2896" t="inlineStr">
        <is>
          <t>ÅNGE</t>
        </is>
      </c>
      <c r="F2896" t="inlineStr">
        <is>
          <t>SCA</t>
        </is>
      </c>
      <c r="G2896" t="n">
        <v>3.3</v>
      </c>
      <c r="H2896" t="n">
        <v>0</v>
      </c>
      <c r="I2896" t="n">
        <v>0</v>
      </c>
      <c r="J2896" t="n">
        <v>0</v>
      </c>
      <c r="K2896" t="n">
        <v>0</v>
      </c>
      <c r="L2896" t="n">
        <v>0</v>
      </c>
      <c r="M2896" t="n">
        <v>0</v>
      </c>
      <c r="N2896" t="n">
        <v>0</v>
      </c>
      <c r="O2896" t="n">
        <v>0</v>
      </c>
      <c r="P2896" t="n">
        <v>0</v>
      </c>
      <c r="Q2896" t="n">
        <v>0</v>
      </c>
      <c r="R2896" s="2" t="inlineStr"/>
    </row>
    <row r="2897" ht="15" customHeight="1">
      <c r="A2897" t="inlineStr">
        <is>
          <t>A 50369-2023</t>
        </is>
      </c>
      <c r="B2897" s="1" t="n">
        <v>45209</v>
      </c>
      <c r="C2897" s="1" t="n">
        <v>46093</v>
      </c>
      <c r="D2897" t="inlineStr">
        <is>
          <t>VÄSTERNORRLANDS LÄN</t>
        </is>
      </c>
      <c r="E2897" t="inlineStr">
        <is>
          <t>ÖRNSKÖLDSVIK</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14152-2024</t>
        </is>
      </c>
      <c r="B2898" s="1" t="n">
        <v>45392</v>
      </c>
      <c r="C2898" s="1" t="n">
        <v>46093</v>
      </c>
      <c r="D2898" t="inlineStr">
        <is>
          <t>VÄSTERNORRLANDS LÄN</t>
        </is>
      </c>
      <c r="E2898" t="inlineStr">
        <is>
          <t>SUNDSVALL</t>
        </is>
      </c>
      <c r="G2898" t="n">
        <v>4.8</v>
      </c>
      <c r="H2898" t="n">
        <v>0</v>
      </c>
      <c r="I2898" t="n">
        <v>0</v>
      </c>
      <c r="J2898" t="n">
        <v>0</v>
      </c>
      <c r="K2898" t="n">
        <v>0</v>
      </c>
      <c r="L2898" t="n">
        <v>0</v>
      </c>
      <c r="M2898" t="n">
        <v>0</v>
      </c>
      <c r="N2898" t="n">
        <v>0</v>
      </c>
      <c r="O2898" t="n">
        <v>0</v>
      </c>
      <c r="P2898" t="n">
        <v>0</v>
      </c>
      <c r="Q2898" t="n">
        <v>0</v>
      </c>
      <c r="R2898" s="2" t="inlineStr"/>
    </row>
    <row r="2899" ht="15" customHeight="1">
      <c r="A2899" t="inlineStr">
        <is>
          <t>A 37156-2024</t>
        </is>
      </c>
      <c r="B2899" s="1" t="n">
        <v>45539.61006944445</v>
      </c>
      <c r="C2899" s="1" t="n">
        <v>46093</v>
      </c>
      <c r="D2899" t="inlineStr">
        <is>
          <t>VÄSTERNORRLANDS LÄN</t>
        </is>
      </c>
      <c r="E2899" t="inlineStr">
        <is>
          <t>ÖRNSKÖLDSVIK</t>
        </is>
      </c>
      <c r="G2899" t="n">
        <v>5.7</v>
      </c>
      <c r="H2899" t="n">
        <v>0</v>
      </c>
      <c r="I2899" t="n">
        <v>0</v>
      </c>
      <c r="J2899" t="n">
        <v>0</v>
      </c>
      <c r="K2899" t="n">
        <v>0</v>
      </c>
      <c r="L2899" t="n">
        <v>0</v>
      </c>
      <c r="M2899" t="n">
        <v>0</v>
      </c>
      <c r="N2899" t="n">
        <v>0</v>
      </c>
      <c r="O2899" t="n">
        <v>0</v>
      </c>
      <c r="P2899" t="n">
        <v>0</v>
      </c>
      <c r="Q2899" t="n">
        <v>0</v>
      </c>
      <c r="R2899" s="2" t="inlineStr"/>
    </row>
    <row r="2900" ht="15" customHeight="1">
      <c r="A2900" t="inlineStr">
        <is>
          <t>A 49186-2022</t>
        </is>
      </c>
      <c r="B2900" s="1" t="n">
        <v>44860</v>
      </c>
      <c r="C2900" s="1" t="n">
        <v>46093</v>
      </c>
      <c r="D2900" t="inlineStr">
        <is>
          <t>VÄSTERNORRLANDS LÄN</t>
        </is>
      </c>
      <c r="E2900" t="inlineStr">
        <is>
          <t>SUNDSVALL</t>
        </is>
      </c>
      <c r="F2900" t="inlineStr">
        <is>
          <t>SCA</t>
        </is>
      </c>
      <c r="G2900" t="n">
        <v>5</v>
      </c>
      <c r="H2900" t="n">
        <v>0</v>
      </c>
      <c r="I2900" t="n">
        <v>0</v>
      </c>
      <c r="J2900" t="n">
        <v>0</v>
      </c>
      <c r="K2900" t="n">
        <v>0</v>
      </c>
      <c r="L2900" t="n">
        <v>0</v>
      </c>
      <c r="M2900" t="n">
        <v>0</v>
      </c>
      <c r="N2900" t="n">
        <v>0</v>
      </c>
      <c r="O2900" t="n">
        <v>0</v>
      </c>
      <c r="P2900" t="n">
        <v>0</v>
      </c>
      <c r="Q2900" t="n">
        <v>0</v>
      </c>
      <c r="R2900" s="2" t="inlineStr"/>
    </row>
    <row r="2901" ht="15" customHeight="1">
      <c r="A2901" t="inlineStr">
        <is>
          <t>A 37924-2024</t>
        </is>
      </c>
      <c r="B2901" s="1" t="n">
        <v>45544</v>
      </c>
      <c r="C2901" s="1" t="n">
        <v>46093</v>
      </c>
      <c r="D2901" t="inlineStr">
        <is>
          <t>VÄSTERNORRLANDS LÄN</t>
        </is>
      </c>
      <c r="E2901" t="inlineStr">
        <is>
          <t>ÖRNSKÖLDSVIK</t>
        </is>
      </c>
      <c r="G2901" t="n">
        <v>4.5</v>
      </c>
      <c r="H2901" t="n">
        <v>0</v>
      </c>
      <c r="I2901" t="n">
        <v>0</v>
      </c>
      <c r="J2901" t="n">
        <v>0</v>
      </c>
      <c r="K2901" t="n">
        <v>0</v>
      </c>
      <c r="L2901" t="n">
        <v>0</v>
      </c>
      <c r="M2901" t="n">
        <v>0</v>
      </c>
      <c r="N2901" t="n">
        <v>0</v>
      </c>
      <c r="O2901" t="n">
        <v>0</v>
      </c>
      <c r="P2901" t="n">
        <v>0</v>
      </c>
      <c r="Q2901" t="n">
        <v>0</v>
      </c>
      <c r="R2901" s="2" t="inlineStr"/>
    </row>
    <row r="2902" ht="15" customHeight="1">
      <c r="A2902" t="inlineStr">
        <is>
          <t>A 48979-2023</t>
        </is>
      </c>
      <c r="B2902" s="1" t="n">
        <v>45209.63055555556</v>
      </c>
      <c r="C2902" s="1" t="n">
        <v>46093</v>
      </c>
      <c r="D2902" t="inlineStr">
        <is>
          <t>VÄSTERNORRLANDS LÄN</t>
        </is>
      </c>
      <c r="E2902" t="inlineStr">
        <is>
          <t>ÖRNSKÖLDSVIK</t>
        </is>
      </c>
      <c r="F2902" t="inlineStr">
        <is>
          <t>Holmen skog AB</t>
        </is>
      </c>
      <c r="G2902" t="n">
        <v>3.5</v>
      </c>
      <c r="H2902" t="n">
        <v>0</v>
      </c>
      <c r="I2902" t="n">
        <v>0</v>
      </c>
      <c r="J2902" t="n">
        <v>0</v>
      </c>
      <c r="K2902" t="n">
        <v>0</v>
      </c>
      <c r="L2902" t="n">
        <v>0</v>
      </c>
      <c r="M2902" t="n">
        <v>0</v>
      </c>
      <c r="N2902" t="n">
        <v>0</v>
      </c>
      <c r="O2902" t="n">
        <v>0</v>
      </c>
      <c r="P2902" t="n">
        <v>0</v>
      </c>
      <c r="Q2902" t="n">
        <v>0</v>
      </c>
      <c r="R2902" s="2" t="inlineStr"/>
    </row>
    <row r="2903" ht="15" customHeight="1">
      <c r="A2903" t="inlineStr">
        <is>
          <t>A 49029-2023</t>
        </is>
      </c>
      <c r="B2903" s="1" t="n">
        <v>45209</v>
      </c>
      <c r="C2903" s="1" t="n">
        <v>46093</v>
      </c>
      <c r="D2903" t="inlineStr">
        <is>
          <t>VÄSTERNORRLANDS LÄN</t>
        </is>
      </c>
      <c r="E2903" t="inlineStr">
        <is>
          <t>KRAMFORS</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49036-2023</t>
        </is>
      </c>
      <c r="B2904" s="1" t="n">
        <v>45209.95693287037</v>
      </c>
      <c r="C2904" s="1" t="n">
        <v>46093</v>
      </c>
      <c r="D2904" t="inlineStr">
        <is>
          <t>VÄSTERNORRLANDS LÄN</t>
        </is>
      </c>
      <c r="E2904" t="inlineStr">
        <is>
          <t>SOLLEFTEÅ</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16555-2023</t>
        </is>
      </c>
      <c r="B2905" s="1" t="n">
        <v>45029</v>
      </c>
      <c r="C2905" s="1" t="n">
        <v>46093</v>
      </c>
      <c r="D2905" t="inlineStr">
        <is>
          <t>VÄSTERNORRLANDS LÄN</t>
        </is>
      </c>
      <c r="E2905" t="inlineStr">
        <is>
          <t>TIMRÅ</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16558-2023</t>
        </is>
      </c>
      <c r="B2906" s="1" t="n">
        <v>45029</v>
      </c>
      <c r="C2906" s="1" t="n">
        <v>46093</v>
      </c>
      <c r="D2906" t="inlineStr">
        <is>
          <t>VÄSTERNORRLANDS LÄN</t>
        </is>
      </c>
      <c r="E2906" t="inlineStr">
        <is>
          <t>SUNDSVALL</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16562-2023</t>
        </is>
      </c>
      <c r="B2907" s="1" t="n">
        <v>45029</v>
      </c>
      <c r="C2907" s="1" t="n">
        <v>46093</v>
      </c>
      <c r="D2907" t="inlineStr">
        <is>
          <t>VÄSTERNORRLANDS LÄN</t>
        </is>
      </c>
      <c r="E2907" t="inlineStr">
        <is>
          <t>SOLLEFTEÅ</t>
        </is>
      </c>
      <c r="F2907" t="inlineStr">
        <is>
          <t>SCA</t>
        </is>
      </c>
      <c r="G2907" t="n">
        <v>7.9</v>
      </c>
      <c r="H2907" t="n">
        <v>0</v>
      </c>
      <c r="I2907" t="n">
        <v>0</v>
      </c>
      <c r="J2907" t="n">
        <v>0</v>
      </c>
      <c r="K2907" t="n">
        <v>0</v>
      </c>
      <c r="L2907" t="n">
        <v>0</v>
      </c>
      <c r="M2907" t="n">
        <v>0</v>
      </c>
      <c r="N2907" t="n">
        <v>0</v>
      </c>
      <c r="O2907" t="n">
        <v>0</v>
      </c>
      <c r="P2907" t="n">
        <v>0</v>
      </c>
      <c r="Q2907" t="n">
        <v>0</v>
      </c>
      <c r="R2907" s="2" t="inlineStr"/>
    </row>
    <row r="2908" ht="15" customHeight="1">
      <c r="A2908" t="inlineStr">
        <is>
          <t>A 59339-2023</t>
        </is>
      </c>
      <c r="B2908" s="1" t="n">
        <v>45253</v>
      </c>
      <c r="C2908" s="1" t="n">
        <v>46093</v>
      </c>
      <c r="D2908" t="inlineStr">
        <is>
          <t>VÄSTERNORRLANDS LÄN</t>
        </is>
      </c>
      <c r="E2908" t="inlineStr">
        <is>
          <t>SOLLEFTEÅ</t>
        </is>
      </c>
      <c r="F2908" t="inlineStr">
        <is>
          <t>Holmen skog AB</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39954-2022</t>
        </is>
      </c>
      <c r="B2909" s="1" t="n">
        <v>44819.94980324074</v>
      </c>
      <c r="C2909" s="1" t="n">
        <v>46093</v>
      </c>
      <c r="D2909" t="inlineStr">
        <is>
          <t>VÄSTERNORRLANDS LÄN</t>
        </is>
      </c>
      <c r="E2909" t="inlineStr">
        <is>
          <t>HÄRNÖSAND</t>
        </is>
      </c>
      <c r="F2909" t="inlineStr">
        <is>
          <t>SCA</t>
        </is>
      </c>
      <c r="G2909" t="n">
        <v>4.1</v>
      </c>
      <c r="H2909" t="n">
        <v>0</v>
      </c>
      <c r="I2909" t="n">
        <v>0</v>
      </c>
      <c r="J2909" t="n">
        <v>0</v>
      </c>
      <c r="K2909" t="n">
        <v>0</v>
      </c>
      <c r="L2909" t="n">
        <v>0</v>
      </c>
      <c r="M2909" t="n">
        <v>0</v>
      </c>
      <c r="N2909" t="n">
        <v>0</v>
      </c>
      <c r="O2909" t="n">
        <v>0</v>
      </c>
      <c r="P2909" t="n">
        <v>0</v>
      </c>
      <c r="Q2909" t="n">
        <v>0</v>
      </c>
      <c r="R2909" s="2" t="inlineStr"/>
    </row>
    <row r="2910" ht="15" customHeight="1">
      <c r="A2910" t="inlineStr">
        <is>
          <t>A 64023-2023</t>
        </is>
      </c>
      <c r="B2910" s="1" t="n">
        <v>45278</v>
      </c>
      <c r="C2910" s="1" t="n">
        <v>46093</v>
      </c>
      <c r="D2910" t="inlineStr">
        <is>
          <t>VÄSTERNORRLANDS LÄN</t>
        </is>
      </c>
      <c r="E2910" t="inlineStr">
        <is>
          <t>HÄRNÖSAND</t>
        </is>
      </c>
      <c r="F2910" t="inlineStr">
        <is>
          <t>SCA</t>
        </is>
      </c>
      <c r="G2910" t="n">
        <v>2.9</v>
      </c>
      <c r="H2910" t="n">
        <v>0</v>
      </c>
      <c r="I2910" t="n">
        <v>0</v>
      </c>
      <c r="J2910" t="n">
        <v>0</v>
      </c>
      <c r="K2910" t="n">
        <v>0</v>
      </c>
      <c r="L2910" t="n">
        <v>0</v>
      </c>
      <c r="M2910" t="n">
        <v>0</v>
      </c>
      <c r="N2910" t="n">
        <v>0</v>
      </c>
      <c r="O2910" t="n">
        <v>0</v>
      </c>
      <c r="P2910" t="n">
        <v>0</v>
      </c>
      <c r="Q2910" t="n">
        <v>0</v>
      </c>
      <c r="R2910" s="2" t="inlineStr"/>
    </row>
    <row r="2911" ht="15" customHeight="1">
      <c r="A2911" t="inlineStr">
        <is>
          <t>A 34051-2025</t>
        </is>
      </c>
      <c r="B2911" s="1" t="n">
        <v>45845.40672453704</v>
      </c>
      <c r="C2911" s="1" t="n">
        <v>46093</v>
      </c>
      <c r="D2911" t="inlineStr">
        <is>
          <t>VÄSTERNORRLANDS LÄN</t>
        </is>
      </c>
      <c r="E2911" t="inlineStr">
        <is>
          <t>SOLLEFTEÅ</t>
        </is>
      </c>
      <c r="F2911" t="inlineStr">
        <is>
          <t>SCA</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16237-2024</t>
        </is>
      </c>
      <c r="B2912" s="1" t="n">
        <v>45407.05681712963</v>
      </c>
      <c r="C2912" s="1" t="n">
        <v>46093</v>
      </c>
      <c r="D2912" t="inlineStr">
        <is>
          <t>VÄSTERNORRLANDS LÄN</t>
        </is>
      </c>
      <c r="E2912" t="inlineStr">
        <is>
          <t>SOLLEFTEÅ</t>
        </is>
      </c>
      <c r="F2912" t="inlineStr">
        <is>
          <t>SCA</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54166-2023</t>
        </is>
      </c>
      <c r="B2913" s="1" t="n">
        <v>45225</v>
      </c>
      <c r="C2913" s="1" t="n">
        <v>46093</v>
      </c>
      <c r="D2913" t="inlineStr">
        <is>
          <t>VÄSTERNORRLANDS LÄN</t>
        </is>
      </c>
      <c r="E2913" t="inlineStr">
        <is>
          <t>KRAMFORS</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24897-2024</t>
        </is>
      </c>
      <c r="B2914" s="1" t="n">
        <v>45461.58018518519</v>
      </c>
      <c r="C2914" s="1" t="n">
        <v>46093</v>
      </c>
      <c r="D2914" t="inlineStr">
        <is>
          <t>VÄSTERNORRLANDS LÄN</t>
        </is>
      </c>
      <c r="E2914" t="inlineStr">
        <is>
          <t>ÖRNSKÖLDSVIK</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50634-2024</t>
        </is>
      </c>
      <c r="B2915" s="1" t="n">
        <v>45601.67550925926</v>
      </c>
      <c r="C2915" s="1" t="n">
        <v>46093</v>
      </c>
      <c r="D2915" t="inlineStr">
        <is>
          <t>VÄSTERNORRLANDS LÄN</t>
        </is>
      </c>
      <c r="E2915" t="inlineStr">
        <is>
          <t>ÖRNSKÖLDSVIK</t>
        </is>
      </c>
      <c r="F2915" t="inlineStr">
        <is>
          <t>Holmen skog AB</t>
        </is>
      </c>
      <c r="G2915" t="n">
        <v>8.6</v>
      </c>
      <c r="H2915" t="n">
        <v>0</v>
      </c>
      <c r="I2915" t="n">
        <v>0</v>
      </c>
      <c r="J2915" t="n">
        <v>0</v>
      </c>
      <c r="K2915" t="n">
        <v>0</v>
      </c>
      <c r="L2915" t="n">
        <v>0</v>
      </c>
      <c r="M2915" t="n">
        <v>0</v>
      </c>
      <c r="N2915" t="n">
        <v>0</v>
      </c>
      <c r="O2915" t="n">
        <v>0</v>
      </c>
      <c r="P2915" t="n">
        <v>0</v>
      </c>
      <c r="Q2915" t="n">
        <v>0</v>
      </c>
      <c r="R2915" s="2" t="inlineStr"/>
    </row>
    <row r="2916" ht="15" customHeight="1">
      <c r="A2916" t="inlineStr">
        <is>
          <t>A 16875-2024</t>
        </is>
      </c>
      <c r="B2916" s="1" t="n">
        <v>45409</v>
      </c>
      <c r="C2916" s="1" t="n">
        <v>46093</v>
      </c>
      <c r="D2916" t="inlineStr">
        <is>
          <t>VÄSTERNORRLANDS LÄN</t>
        </is>
      </c>
      <c r="E2916" t="inlineStr">
        <is>
          <t>HÄRNÖSAND</t>
        </is>
      </c>
      <c r="G2916" t="n">
        <v>4.8</v>
      </c>
      <c r="H2916" t="n">
        <v>0</v>
      </c>
      <c r="I2916" t="n">
        <v>0</v>
      </c>
      <c r="J2916" t="n">
        <v>0</v>
      </c>
      <c r="K2916" t="n">
        <v>0</v>
      </c>
      <c r="L2916" t="n">
        <v>0</v>
      </c>
      <c r="M2916" t="n">
        <v>0</v>
      </c>
      <c r="N2916" t="n">
        <v>0</v>
      </c>
      <c r="O2916" t="n">
        <v>0</v>
      </c>
      <c r="P2916" t="n">
        <v>0</v>
      </c>
      <c r="Q2916" t="n">
        <v>0</v>
      </c>
      <c r="R2916" s="2" t="inlineStr"/>
    </row>
    <row r="2917" ht="15" customHeight="1">
      <c r="A2917" t="inlineStr">
        <is>
          <t>A 48001-2023</t>
        </is>
      </c>
      <c r="B2917" s="1" t="n">
        <v>45204</v>
      </c>
      <c r="C2917" s="1" t="n">
        <v>46093</v>
      </c>
      <c r="D2917" t="inlineStr">
        <is>
          <t>VÄSTERNORRLANDS LÄN</t>
        </is>
      </c>
      <c r="E2917" t="inlineStr">
        <is>
          <t>ÖRNSKÖLDSVIK</t>
        </is>
      </c>
      <c r="F2917" t="inlineStr">
        <is>
          <t>Holmen skog AB</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67078-2021</t>
        </is>
      </c>
      <c r="B2918" s="1" t="n">
        <v>44522</v>
      </c>
      <c r="C2918" s="1" t="n">
        <v>46093</v>
      </c>
      <c r="D2918" t="inlineStr">
        <is>
          <t>VÄSTERNORRLANDS LÄN</t>
        </is>
      </c>
      <c r="E2918" t="inlineStr">
        <is>
          <t>HÄRNÖSAND</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39641-2023</t>
        </is>
      </c>
      <c r="B2919" s="1" t="n">
        <v>45167</v>
      </c>
      <c r="C2919" s="1" t="n">
        <v>46093</v>
      </c>
      <c r="D2919" t="inlineStr">
        <is>
          <t>VÄSTERNORRLANDS LÄN</t>
        </is>
      </c>
      <c r="E2919" t="inlineStr">
        <is>
          <t>KRAMFORS</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40569-2024</t>
        </is>
      </c>
      <c r="B2920" s="1" t="n">
        <v>45555.67744212963</v>
      </c>
      <c r="C2920" s="1" t="n">
        <v>46093</v>
      </c>
      <c r="D2920" t="inlineStr">
        <is>
          <t>VÄSTERNORRLANDS LÄN</t>
        </is>
      </c>
      <c r="E2920" t="inlineStr">
        <is>
          <t>SOLLEFTEÅ</t>
        </is>
      </c>
      <c r="F2920" t="inlineStr">
        <is>
          <t>SCA</t>
        </is>
      </c>
      <c r="G2920" t="n">
        <v>0.2</v>
      </c>
      <c r="H2920" t="n">
        <v>0</v>
      </c>
      <c r="I2920" t="n">
        <v>0</v>
      </c>
      <c r="J2920" t="n">
        <v>0</v>
      </c>
      <c r="K2920" t="n">
        <v>0</v>
      </c>
      <c r="L2920" t="n">
        <v>0</v>
      </c>
      <c r="M2920" t="n">
        <v>0</v>
      </c>
      <c r="N2920" t="n">
        <v>0</v>
      </c>
      <c r="O2920" t="n">
        <v>0</v>
      </c>
      <c r="P2920" t="n">
        <v>0</v>
      </c>
      <c r="Q2920" t="n">
        <v>0</v>
      </c>
      <c r="R2920" s="2" t="inlineStr"/>
    </row>
    <row r="2921" ht="15" customHeight="1">
      <c r="A2921" t="inlineStr">
        <is>
          <t>A 6816-2024</t>
        </is>
      </c>
      <c r="B2921" s="1" t="n">
        <v>45342</v>
      </c>
      <c r="C2921" s="1" t="n">
        <v>46093</v>
      </c>
      <c r="D2921" t="inlineStr">
        <is>
          <t>VÄSTERNORRLANDS LÄN</t>
        </is>
      </c>
      <c r="E2921" t="inlineStr">
        <is>
          <t>SOLLEFTEÅ</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27928-2024</t>
        </is>
      </c>
      <c r="B2922" s="1" t="n">
        <v>45475</v>
      </c>
      <c r="C2922" s="1" t="n">
        <v>46093</v>
      </c>
      <c r="D2922" t="inlineStr">
        <is>
          <t>VÄSTERNORRLANDS LÄN</t>
        </is>
      </c>
      <c r="E2922" t="inlineStr">
        <is>
          <t>SUNDSVALL</t>
        </is>
      </c>
      <c r="F2922" t="inlineStr">
        <is>
          <t>SCA</t>
        </is>
      </c>
      <c r="G2922" t="n">
        <v>5.6</v>
      </c>
      <c r="H2922" t="n">
        <v>0</v>
      </c>
      <c r="I2922" t="n">
        <v>0</v>
      </c>
      <c r="J2922" t="n">
        <v>0</v>
      </c>
      <c r="K2922" t="n">
        <v>0</v>
      </c>
      <c r="L2922" t="n">
        <v>0</v>
      </c>
      <c r="M2922" t="n">
        <v>0</v>
      </c>
      <c r="N2922" t="n">
        <v>0</v>
      </c>
      <c r="O2922" t="n">
        <v>0</v>
      </c>
      <c r="P2922" t="n">
        <v>0</v>
      </c>
      <c r="Q2922" t="n">
        <v>0</v>
      </c>
      <c r="R2922" s="2" t="inlineStr"/>
    </row>
    <row r="2923" ht="15" customHeight="1">
      <c r="A2923" t="inlineStr">
        <is>
          <t>A 72949-2021</t>
        </is>
      </c>
      <c r="B2923" s="1" t="n">
        <v>44547.92181712963</v>
      </c>
      <c r="C2923" s="1" t="n">
        <v>46093</v>
      </c>
      <c r="D2923" t="inlineStr">
        <is>
          <t>VÄSTERNORRLANDS LÄN</t>
        </is>
      </c>
      <c r="E2923" t="inlineStr">
        <is>
          <t>SOLLEFTEÅ</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66856-2021</t>
        </is>
      </c>
      <c r="B2924" s="1" t="n">
        <v>44522</v>
      </c>
      <c r="C2924" s="1" t="n">
        <v>46093</v>
      </c>
      <c r="D2924" t="inlineStr">
        <is>
          <t>VÄSTERNORRLANDS LÄN</t>
        </is>
      </c>
      <c r="E2924" t="inlineStr">
        <is>
          <t>SOLLEFTEÅ</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10087-2023</t>
        </is>
      </c>
      <c r="B2925" s="1" t="n">
        <v>44985</v>
      </c>
      <c r="C2925" s="1" t="n">
        <v>46093</v>
      </c>
      <c r="D2925" t="inlineStr">
        <is>
          <t>VÄSTERNORRLANDS LÄN</t>
        </is>
      </c>
      <c r="E2925" t="inlineStr">
        <is>
          <t>ÅNGE</t>
        </is>
      </c>
      <c r="F2925" t="inlineStr">
        <is>
          <t>SCA</t>
        </is>
      </c>
      <c r="G2925" t="n">
        <v>7.9</v>
      </c>
      <c r="H2925" t="n">
        <v>0</v>
      </c>
      <c r="I2925" t="n">
        <v>0</v>
      </c>
      <c r="J2925" t="n">
        <v>0</v>
      </c>
      <c r="K2925" t="n">
        <v>0</v>
      </c>
      <c r="L2925" t="n">
        <v>0</v>
      </c>
      <c r="M2925" t="n">
        <v>0</v>
      </c>
      <c r="N2925" t="n">
        <v>0</v>
      </c>
      <c r="O2925" t="n">
        <v>0</v>
      </c>
      <c r="P2925" t="n">
        <v>0</v>
      </c>
      <c r="Q2925" t="n">
        <v>0</v>
      </c>
      <c r="R2925" s="2" t="inlineStr"/>
    </row>
    <row r="2926" ht="15" customHeight="1">
      <c r="A2926" t="inlineStr">
        <is>
          <t>A 34389-2025</t>
        </is>
      </c>
      <c r="B2926" s="1" t="n">
        <v>45846.57326388889</v>
      </c>
      <c r="C2926" s="1" t="n">
        <v>46093</v>
      </c>
      <c r="D2926" t="inlineStr">
        <is>
          <t>VÄSTERNORRLANDS LÄN</t>
        </is>
      </c>
      <c r="E2926" t="inlineStr">
        <is>
          <t>SUNDSVALL</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44554-2024</t>
        </is>
      </c>
      <c r="B2927" s="1" t="n">
        <v>45574.46940972222</v>
      </c>
      <c r="C2927" s="1" t="n">
        <v>46093</v>
      </c>
      <c r="D2927" t="inlineStr">
        <is>
          <t>VÄSTERNORRLANDS LÄN</t>
        </is>
      </c>
      <c r="E2927" t="inlineStr">
        <is>
          <t>SOLLEFTEÅ</t>
        </is>
      </c>
      <c r="F2927" t="inlineStr">
        <is>
          <t>SCA</t>
        </is>
      </c>
      <c r="G2927" t="n">
        <v>5.9</v>
      </c>
      <c r="H2927" t="n">
        <v>0</v>
      </c>
      <c r="I2927" t="n">
        <v>0</v>
      </c>
      <c r="J2927" t="n">
        <v>0</v>
      </c>
      <c r="K2927" t="n">
        <v>0</v>
      </c>
      <c r="L2927" t="n">
        <v>0</v>
      </c>
      <c r="M2927" t="n">
        <v>0</v>
      </c>
      <c r="N2927" t="n">
        <v>0</v>
      </c>
      <c r="O2927" t="n">
        <v>0</v>
      </c>
      <c r="P2927" t="n">
        <v>0</v>
      </c>
      <c r="Q2927" t="n">
        <v>0</v>
      </c>
      <c r="R2927" s="2" t="inlineStr"/>
    </row>
    <row r="2928" ht="15" customHeight="1">
      <c r="A2928" t="inlineStr">
        <is>
          <t>A 12191-2022</t>
        </is>
      </c>
      <c r="B2928" s="1" t="n">
        <v>44636.9250925926</v>
      </c>
      <c r="C2928" s="1" t="n">
        <v>46093</v>
      </c>
      <c r="D2928" t="inlineStr">
        <is>
          <t>VÄSTERNORRLANDS LÄN</t>
        </is>
      </c>
      <c r="E2928" t="inlineStr">
        <is>
          <t>SOLLEFTEÅ</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54045-2023</t>
        </is>
      </c>
      <c r="B2929" s="1" t="n">
        <v>45231.96743055555</v>
      </c>
      <c r="C2929" s="1" t="n">
        <v>46093</v>
      </c>
      <c r="D2929" t="inlineStr">
        <is>
          <t>VÄSTERNORRLANDS LÄN</t>
        </is>
      </c>
      <c r="E2929" t="inlineStr">
        <is>
          <t>SOLLEFTEÅ</t>
        </is>
      </c>
      <c r="F2929" t="inlineStr">
        <is>
          <t>SCA</t>
        </is>
      </c>
      <c r="G2929" t="n">
        <v>3.6</v>
      </c>
      <c r="H2929" t="n">
        <v>0</v>
      </c>
      <c r="I2929" t="n">
        <v>0</v>
      </c>
      <c r="J2929" t="n">
        <v>0</v>
      </c>
      <c r="K2929" t="n">
        <v>0</v>
      </c>
      <c r="L2929" t="n">
        <v>0</v>
      </c>
      <c r="M2929" t="n">
        <v>0</v>
      </c>
      <c r="N2929" t="n">
        <v>0</v>
      </c>
      <c r="O2929" t="n">
        <v>0</v>
      </c>
      <c r="P2929" t="n">
        <v>0</v>
      </c>
      <c r="Q2929" t="n">
        <v>0</v>
      </c>
      <c r="R2929" s="2" t="inlineStr"/>
    </row>
    <row r="2930" ht="15" customHeight="1">
      <c r="A2930" t="inlineStr">
        <is>
          <t>A 15411-2025</t>
        </is>
      </c>
      <c r="B2930" s="1" t="n">
        <v>45747.45125</v>
      </c>
      <c r="C2930" s="1" t="n">
        <v>46093</v>
      </c>
      <c r="D2930" t="inlineStr">
        <is>
          <t>VÄSTERNORRLANDS LÄN</t>
        </is>
      </c>
      <c r="E2930" t="inlineStr">
        <is>
          <t>SUNDSVALL</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44578-2024</t>
        </is>
      </c>
      <c r="B2931" s="1" t="n">
        <v>45574.48479166667</v>
      </c>
      <c r="C2931" s="1" t="n">
        <v>46093</v>
      </c>
      <c r="D2931" t="inlineStr">
        <is>
          <t>VÄSTERNORRLANDS LÄN</t>
        </is>
      </c>
      <c r="E2931" t="inlineStr">
        <is>
          <t>SUNDSVALL</t>
        </is>
      </c>
      <c r="G2931" t="n">
        <v>3.1</v>
      </c>
      <c r="H2931" t="n">
        <v>0</v>
      </c>
      <c r="I2931" t="n">
        <v>0</v>
      </c>
      <c r="J2931" t="n">
        <v>0</v>
      </c>
      <c r="K2931" t="n">
        <v>0</v>
      </c>
      <c r="L2931" t="n">
        <v>0</v>
      </c>
      <c r="M2931" t="n">
        <v>0</v>
      </c>
      <c r="N2931" t="n">
        <v>0</v>
      </c>
      <c r="O2931" t="n">
        <v>0</v>
      </c>
      <c r="P2931" t="n">
        <v>0</v>
      </c>
      <c r="Q2931" t="n">
        <v>0</v>
      </c>
      <c r="R2931" s="2" t="inlineStr"/>
    </row>
    <row r="2932" ht="15" customHeight="1">
      <c r="A2932" t="inlineStr">
        <is>
          <t>A 27682-2023</t>
        </is>
      </c>
      <c r="B2932" s="1" t="n">
        <v>45097.93758101852</v>
      </c>
      <c r="C2932" s="1" t="n">
        <v>46093</v>
      </c>
      <c r="D2932" t="inlineStr">
        <is>
          <t>VÄSTERNORRLANDS LÄN</t>
        </is>
      </c>
      <c r="E2932" t="inlineStr">
        <is>
          <t>ÅNGE</t>
        </is>
      </c>
      <c r="F2932" t="inlineStr">
        <is>
          <t>SCA</t>
        </is>
      </c>
      <c r="G2932" t="n">
        <v>3.9</v>
      </c>
      <c r="H2932" t="n">
        <v>0</v>
      </c>
      <c r="I2932" t="n">
        <v>0</v>
      </c>
      <c r="J2932" t="n">
        <v>0</v>
      </c>
      <c r="K2932" t="n">
        <v>0</v>
      </c>
      <c r="L2932" t="n">
        <v>0</v>
      </c>
      <c r="M2932" t="n">
        <v>0</v>
      </c>
      <c r="N2932" t="n">
        <v>0</v>
      </c>
      <c r="O2932" t="n">
        <v>0</v>
      </c>
      <c r="P2932" t="n">
        <v>0</v>
      </c>
      <c r="Q2932" t="n">
        <v>0</v>
      </c>
      <c r="R2932" s="2" t="inlineStr"/>
    </row>
    <row r="2933" ht="15" customHeight="1">
      <c r="A2933" t="inlineStr">
        <is>
          <t>A 20541-2021</t>
        </is>
      </c>
      <c r="B2933" s="1" t="n">
        <v>44315.94439814815</v>
      </c>
      <c r="C2933" s="1" t="n">
        <v>46093</v>
      </c>
      <c r="D2933" t="inlineStr">
        <is>
          <t>VÄSTERNORRLANDS LÄN</t>
        </is>
      </c>
      <c r="E2933" t="inlineStr">
        <is>
          <t>KRAMFORS</t>
        </is>
      </c>
      <c r="F2933" t="inlineStr">
        <is>
          <t>SCA</t>
        </is>
      </c>
      <c r="G2933" t="n">
        <v>9.9</v>
      </c>
      <c r="H2933" t="n">
        <v>0</v>
      </c>
      <c r="I2933" t="n">
        <v>0</v>
      </c>
      <c r="J2933" t="n">
        <v>0</v>
      </c>
      <c r="K2933" t="n">
        <v>0</v>
      </c>
      <c r="L2933" t="n">
        <v>0</v>
      </c>
      <c r="M2933" t="n">
        <v>0</v>
      </c>
      <c r="N2933" t="n">
        <v>0</v>
      </c>
      <c r="O2933" t="n">
        <v>0</v>
      </c>
      <c r="P2933" t="n">
        <v>0</v>
      </c>
      <c r="Q2933" t="n">
        <v>0</v>
      </c>
      <c r="R2933" s="2" t="inlineStr"/>
    </row>
    <row r="2934" ht="15" customHeight="1">
      <c r="A2934" t="inlineStr">
        <is>
          <t>A 38811-2022</t>
        </is>
      </c>
      <c r="B2934" s="1" t="n">
        <v>44816</v>
      </c>
      <c r="C2934" s="1" t="n">
        <v>46093</v>
      </c>
      <c r="D2934" t="inlineStr">
        <is>
          <t>VÄSTERNORRLANDS LÄN</t>
        </is>
      </c>
      <c r="E2934" t="inlineStr">
        <is>
          <t>ÖRNSKÖLDSVIK</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44591-2024</t>
        </is>
      </c>
      <c r="B2935" s="1" t="n">
        <v>45574</v>
      </c>
      <c r="C2935" s="1" t="n">
        <v>46093</v>
      </c>
      <c r="D2935" t="inlineStr">
        <is>
          <t>VÄSTERNORRLANDS LÄN</t>
        </is>
      </c>
      <c r="E2935" t="inlineStr">
        <is>
          <t>SOLLEFTEÅ</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5102-2022</t>
        </is>
      </c>
      <c r="B2936" s="1" t="n">
        <v>44593.88219907408</v>
      </c>
      <c r="C2936" s="1" t="n">
        <v>46093</v>
      </c>
      <c r="D2936" t="inlineStr">
        <is>
          <t>VÄSTERNORRLANDS LÄN</t>
        </is>
      </c>
      <c r="E2936" t="inlineStr">
        <is>
          <t>ÖRNSKÖLDSVIK</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9328-2024</t>
        </is>
      </c>
      <c r="B2937" s="1" t="n">
        <v>45358.99144675926</v>
      </c>
      <c r="C2937" s="1" t="n">
        <v>46093</v>
      </c>
      <c r="D2937" t="inlineStr">
        <is>
          <t>VÄSTERNORRLANDS LÄN</t>
        </is>
      </c>
      <c r="E2937" t="inlineStr">
        <is>
          <t>SOLLEFTEÅ</t>
        </is>
      </c>
      <c r="F2937" t="inlineStr">
        <is>
          <t>SCA</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46255-2023</t>
        </is>
      </c>
      <c r="B2938" s="1" t="n">
        <v>45196</v>
      </c>
      <c r="C2938" s="1" t="n">
        <v>46093</v>
      </c>
      <c r="D2938" t="inlineStr">
        <is>
          <t>VÄSTERNORRLANDS LÄN</t>
        </is>
      </c>
      <c r="E2938" t="inlineStr">
        <is>
          <t>ÅNGE</t>
        </is>
      </c>
      <c r="F2938" t="inlineStr">
        <is>
          <t>SCA</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9336-2024</t>
        </is>
      </c>
      <c r="B2939" s="1" t="n">
        <v>45358</v>
      </c>
      <c r="C2939" s="1" t="n">
        <v>46093</v>
      </c>
      <c r="D2939" t="inlineStr">
        <is>
          <t>VÄSTERNORRLANDS LÄN</t>
        </is>
      </c>
      <c r="E2939" t="inlineStr">
        <is>
          <t>SUNDSVALL</t>
        </is>
      </c>
      <c r="F2939" t="inlineStr">
        <is>
          <t>SCA</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10139-2022</t>
        </is>
      </c>
      <c r="B2940" s="1" t="n">
        <v>44621</v>
      </c>
      <c r="C2940" s="1" t="n">
        <v>46093</v>
      </c>
      <c r="D2940" t="inlineStr">
        <is>
          <t>VÄSTERNORRLANDS LÄN</t>
        </is>
      </c>
      <c r="E2940" t="inlineStr">
        <is>
          <t>SOLLEFTEÅ</t>
        </is>
      </c>
      <c r="F2940" t="inlineStr">
        <is>
          <t>SCA</t>
        </is>
      </c>
      <c r="G2940" t="n">
        <v>6</v>
      </c>
      <c r="H2940" t="n">
        <v>0</v>
      </c>
      <c r="I2940" t="n">
        <v>0</v>
      </c>
      <c r="J2940" t="n">
        <v>0</v>
      </c>
      <c r="K2940" t="n">
        <v>0</v>
      </c>
      <c r="L2940" t="n">
        <v>0</v>
      </c>
      <c r="M2940" t="n">
        <v>0</v>
      </c>
      <c r="N2940" t="n">
        <v>0</v>
      </c>
      <c r="O2940" t="n">
        <v>0</v>
      </c>
      <c r="P2940" t="n">
        <v>0</v>
      </c>
      <c r="Q2940" t="n">
        <v>0</v>
      </c>
      <c r="R2940" s="2" t="inlineStr"/>
    </row>
    <row r="2941" ht="15" customHeight="1">
      <c r="A2941" t="inlineStr">
        <is>
          <t>A 52267-2023</t>
        </is>
      </c>
      <c r="B2941" s="1" t="n">
        <v>45217</v>
      </c>
      <c r="C2941" s="1" t="n">
        <v>46093</v>
      </c>
      <c r="D2941" t="inlineStr">
        <is>
          <t>VÄSTERNORRLANDS LÄN</t>
        </is>
      </c>
      <c r="E2941" t="inlineStr">
        <is>
          <t>SOLLEFTEÅ</t>
        </is>
      </c>
      <c r="G2941" t="n">
        <v>6.2</v>
      </c>
      <c r="H2941" t="n">
        <v>0</v>
      </c>
      <c r="I2941" t="n">
        <v>0</v>
      </c>
      <c r="J2941" t="n">
        <v>0</v>
      </c>
      <c r="K2941" t="n">
        <v>0</v>
      </c>
      <c r="L2941" t="n">
        <v>0</v>
      </c>
      <c r="M2941" t="n">
        <v>0</v>
      </c>
      <c r="N2941" t="n">
        <v>0</v>
      </c>
      <c r="O2941" t="n">
        <v>0</v>
      </c>
      <c r="P2941" t="n">
        <v>0</v>
      </c>
      <c r="Q2941" t="n">
        <v>0</v>
      </c>
      <c r="R2941" s="2" t="inlineStr"/>
    </row>
    <row r="2942" ht="15" customHeight="1">
      <c r="A2942" t="inlineStr">
        <is>
          <t>A 39922-2024</t>
        </is>
      </c>
      <c r="B2942" s="1" t="n">
        <v>45553</v>
      </c>
      <c r="C2942" s="1" t="n">
        <v>46093</v>
      </c>
      <c r="D2942" t="inlineStr">
        <is>
          <t>VÄSTERNORRLANDS LÄN</t>
        </is>
      </c>
      <c r="E2942" t="inlineStr">
        <is>
          <t>SUNDSVALL</t>
        </is>
      </c>
      <c r="G2942" t="n">
        <v>4.2</v>
      </c>
      <c r="H2942" t="n">
        <v>0</v>
      </c>
      <c r="I2942" t="n">
        <v>0</v>
      </c>
      <c r="J2942" t="n">
        <v>0</v>
      </c>
      <c r="K2942" t="n">
        <v>0</v>
      </c>
      <c r="L2942" t="n">
        <v>0</v>
      </c>
      <c r="M2942" t="n">
        <v>0</v>
      </c>
      <c r="N2942" t="n">
        <v>0</v>
      </c>
      <c r="O2942" t="n">
        <v>0</v>
      </c>
      <c r="P2942" t="n">
        <v>0</v>
      </c>
      <c r="Q2942" t="n">
        <v>0</v>
      </c>
      <c r="R2942" s="2" t="inlineStr"/>
    </row>
    <row r="2943" ht="15" customHeight="1">
      <c r="A2943" t="inlineStr">
        <is>
          <t>A 34449-2025</t>
        </is>
      </c>
      <c r="B2943" s="1" t="n">
        <v>45845</v>
      </c>
      <c r="C2943" s="1" t="n">
        <v>46093</v>
      </c>
      <c r="D2943" t="inlineStr">
        <is>
          <t>VÄSTERNORRLANDS LÄN</t>
        </is>
      </c>
      <c r="E2943" t="inlineStr">
        <is>
          <t>ÖRNSKÖLDSVIK</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34448-2025</t>
        </is>
      </c>
      <c r="B2944" s="1" t="n">
        <v>45845</v>
      </c>
      <c r="C2944" s="1" t="n">
        <v>46093</v>
      </c>
      <c r="D2944" t="inlineStr">
        <is>
          <t>VÄSTERNORRLANDS LÄN</t>
        </is>
      </c>
      <c r="E2944" t="inlineStr">
        <is>
          <t>ÖRNSKÖLDSVIK</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34594-2025</t>
        </is>
      </c>
      <c r="B2945" s="1" t="n">
        <v>45846</v>
      </c>
      <c r="C2945" s="1" t="n">
        <v>46093</v>
      </c>
      <c r="D2945" t="inlineStr">
        <is>
          <t>VÄSTERNORRLANDS LÄN</t>
        </is>
      </c>
      <c r="E2945" t="inlineStr">
        <is>
          <t>ÖRNSKÖLDSVIK</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37197-2024</t>
        </is>
      </c>
      <c r="B2946" s="1" t="n">
        <v>45539</v>
      </c>
      <c r="C2946" s="1" t="n">
        <v>46093</v>
      </c>
      <c r="D2946" t="inlineStr">
        <is>
          <t>VÄSTERNORRLANDS LÄN</t>
        </is>
      </c>
      <c r="E2946" t="inlineStr">
        <is>
          <t>SOLLEFTEÅ</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64437-2021</t>
        </is>
      </c>
      <c r="B2947" s="1" t="n">
        <v>44511</v>
      </c>
      <c r="C2947" s="1" t="n">
        <v>46093</v>
      </c>
      <c r="D2947" t="inlineStr">
        <is>
          <t>VÄSTERNORRLANDS LÄN</t>
        </is>
      </c>
      <c r="E2947" t="inlineStr">
        <is>
          <t>ÖRNSKÖLDSVIK</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3348-2024</t>
        </is>
      </c>
      <c r="B2948" s="1" t="n">
        <v>45317</v>
      </c>
      <c r="C2948" s="1" t="n">
        <v>46093</v>
      </c>
      <c r="D2948" t="inlineStr">
        <is>
          <t>VÄSTERNORRLANDS LÄN</t>
        </is>
      </c>
      <c r="E2948" t="inlineStr">
        <is>
          <t>SUNDSVALL</t>
        </is>
      </c>
      <c r="G2948" t="n">
        <v>5.2</v>
      </c>
      <c r="H2948" t="n">
        <v>0</v>
      </c>
      <c r="I2948" t="n">
        <v>0</v>
      </c>
      <c r="J2948" t="n">
        <v>0</v>
      </c>
      <c r="K2948" t="n">
        <v>0</v>
      </c>
      <c r="L2948" t="n">
        <v>0</v>
      </c>
      <c r="M2948" t="n">
        <v>0</v>
      </c>
      <c r="N2948" t="n">
        <v>0</v>
      </c>
      <c r="O2948" t="n">
        <v>0</v>
      </c>
      <c r="P2948" t="n">
        <v>0</v>
      </c>
      <c r="Q2948" t="n">
        <v>0</v>
      </c>
      <c r="R2948" s="2" t="inlineStr"/>
    </row>
    <row r="2949" ht="15" customHeight="1">
      <c r="A2949" t="inlineStr">
        <is>
          <t>A 4345-2024</t>
        </is>
      </c>
      <c r="B2949" s="1" t="n">
        <v>45324.88559027778</v>
      </c>
      <c r="C2949" s="1" t="n">
        <v>46093</v>
      </c>
      <c r="D2949" t="inlineStr">
        <is>
          <t>VÄSTERNORRLANDS LÄN</t>
        </is>
      </c>
      <c r="E2949" t="inlineStr">
        <is>
          <t>ÖRNSKÖLDSVIK</t>
        </is>
      </c>
      <c r="G2949" t="n">
        <v>9.1</v>
      </c>
      <c r="H2949" t="n">
        <v>0</v>
      </c>
      <c r="I2949" t="n">
        <v>0</v>
      </c>
      <c r="J2949" t="n">
        <v>0</v>
      </c>
      <c r="K2949" t="n">
        <v>0</v>
      </c>
      <c r="L2949" t="n">
        <v>0</v>
      </c>
      <c r="M2949" t="n">
        <v>0</v>
      </c>
      <c r="N2949" t="n">
        <v>0</v>
      </c>
      <c r="O2949" t="n">
        <v>0</v>
      </c>
      <c r="P2949" t="n">
        <v>0</v>
      </c>
      <c r="Q2949" t="n">
        <v>0</v>
      </c>
      <c r="R2949" s="2" t="inlineStr"/>
    </row>
    <row r="2950" ht="15" customHeight="1">
      <c r="A2950" t="inlineStr">
        <is>
          <t>A 12960-2022</t>
        </is>
      </c>
      <c r="B2950" s="1" t="n">
        <v>44642</v>
      </c>
      <c r="C2950" s="1" t="n">
        <v>46093</v>
      </c>
      <c r="D2950" t="inlineStr">
        <is>
          <t>VÄSTERNORRLANDS LÄN</t>
        </is>
      </c>
      <c r="E2950" t="inlineStr">
        <is>
          <t>ÖRNSKÖLDSVIK</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2365-2024</t>
        </is>
      </c>
      <c r="B2951" s="1" t="n">
        <v>45310.59778935185</v>
      </c>
      <c r="C2951" s="1" t="n">
        <v>46093</v>
      </c>
      <c r="D2951" t="inlineStr">
        <is>
          <t>VÄSTERNORRLANDS LÄN</t>
        </is>
      </c>
      <c r="E2951" t="inlineStr">
        <is>
          <t>ÅNGE</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37887-2024</t>
        </is>
      </c>
      <c r="B2952" s="1" t="n">
        <v>45544</v>
      </c>
      <c r="C2952" s="1" t="n">
        <v>46093</v>
      </c>
      <c r="D2952" t="inlineStr">
        <is>
          <t>VÄSTERNORRLANDS LÄN</t>
        </is>
      </c>
      <c r="E2952" t="inlineStr">
        <is>
          <t>SUNDSVALL</t>
        </is>
      </c>
      <c r="F2952" t="inlineStr">
        <is>
          <t>SCA</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2372-2024</t>
        </is>
      </c>
      <c r="B2953" s="1" t="n">
        <v>45310.6115625</v>
      </c>
      <c r="C2953" s="1" t="n">
        <v>46093</v>
      </c>
      <c r="D2953" t="inlineStr">
        <is>
          <t>VÄSTERNORRLANDS LÄN</t>
        </is>
      </c>
      <c r="E2953" t="inlineStr">
        <is>
          <t>ÅNGE</t>
        </is>
      </c>
      <c r="G2953" t="n">
        <v>5.6</v>
      </c>
      <c r="H2953" t="n">
        <v>0</v>
      </c>
      <c r="I2953" t="n">
        <v>0</v>
      </c>
      <c r="J2953" t="n">
        <v>0</v>
      </c>
      <c r="K2953" t="n">
        <v>0</v>
      </c>
      <c r="L2953" t="n">
        <v>0</v>
      </c>
      <c r="M2953" t="n">
        <v>0</v>
      </c>
      <c r="N2953" t="n">
        <v>0</v>
      </c>
      <c r="O2953" t="n">
        <v>0</v>
      </c>
      <c r="P2953" t="n">
        <v>0</v>
      </c>
      <c r="Q2953" t="n">
        <v>0</v>
      </c>
      <c r="R2953" s="2" t="inlineStr"/>
    </row>
    <row r="2954" ht="15" customHeight="1">
      <c r="A2954" t="inlineStr">
        <is>
          <t>A 17452-2025</t>
        </is>
      </c>
      <c r="B2954" s="1" t="n">
        <v>45757.44842592593</v>
      </c>
      <c r="C2954" s="1" t="n">
        <v>46093</v>
      </c>
      <c r="D2954" t="inlineStr">
        <is>
          <t>VÄSTERNORRLANDS LÄN</t>
        </is>
      </c>
      <c r="E2954" t="inlineStr">
        <is>
          <t>ÅNGE</t>
        </is>
      </c>
      <c r="F2954" t="inlineStr">
        <is>
          <t>SCA</t>
        </is>
      </c>
      <c r="G2954" t="n">
        <v>9.800000000000001</v>
      </c>
      <c r="H2954" t="n">
        <v>0</v>
      </c>
      <c r="I2954" t="n">
        <v>0</v>
      </c>
      <c r="J2954" t="n">
        <v>0</v>
      </c>
      <c r="K2954" t="n">
        <v>0</v>
      </c>
      <c r="L2954" t="n">
        <v>0</v>
      </c>
      <c r="M2954" t="n">
        <v>0</v>
      </c>
      <c r="N2954" t="n">
        <v>0</v>
      </c>
      <c r="O2954" t="n">
        <v>0</v>
      </c>
      <c r="P2954" t="n">
        <v>0</v>
      </c>
      <c r="Q2954" t="n">
        <v>0</v>
      </c>
      <c r="R2954" s="2" t="inlineStr"/>
    </row>
    <row r="2955" ht="15" customHeight="1">
      <c r="A2955" t="inlineStr">
        <is>
          <t>A 43220-2021</t>
        </is>
      </c>
      <c r="B2955" s="1" t="n">
        <v>44431.9378125</v>
      </c>
      <c r="C2955" s="1" t="n">
        <v>46093</v>
      </c>
      <c r="D2955" t="inlineStr">
        <is>
          <t>VÄSTERNORRLANDS LÄN</t>
        </is>
      </c>
      <c r="E2955" t="inlineStr">
        <is>
          <t>SOLLEFTEÅ</t>
        </is>
      </c>
      <c r="F2955" t="inlineStr">
        <is>
          <t>SCA</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38369-2021</t>
        </is>
      </c>
      <c r="B2956" s="1" t="n">
        <v>44406</v>
      </c>
      <c r="C2956" s="1" t="n">
        <v>46093</v>
      </c>
      <c r="D2956" t="inlineStr">
        <is>
          <t>VÄSTERNORRLANDS LÄN</t>
        </is>
      </c>
      <c r="E2956" t="inlineStr">
        <is>
          <t>ÅNGE</t>
        </is>
      </c>
      <c r="G2956" t="n">
        <v>5.6</v>
      </c>
      <c r="H2956" t="n">
        <v>0</v>
      </c>
      <c r="I2956" t="n">
        <v>0</v>
      </c>
      <c r="J2956" t="n">
        <v>0</v>
      </c>
      <c r="K2956" t="n">
        <v>0</v>
      </c>
      <c r="L2956" t="n">
        <v>0</v>
      </c>
      <c r="M2956" t="n">
        <v>0</v>
      </c>
      <c r="N2956" t="n">
        <v>0</v>
      </c>
      <c r="O2956" t="n">
        <v>0</v>
      </c>
      <c r="P2956" t="n">
        <v>0</v>
      </c>
      <c r="Q2956" t="n">
        <v>0</v>
      </c>
      <c r="R2956" s="2" t="inlineStr"/>
    </row>
    <row r="2957" ht="15" customHeight="1">
      <c r="A2957" t="inlineStr">
        <is>
          <t>A 37408-2023</t>
        </is>
      </c>
      <c r="B2957" s="1" t="n">
        <v>45156</v>
      </c>
      <c r="C2957" s="1" t="n">
        <v>46093</v>
      </c>
      <c r="D2957" t="inlineStr">
        <is>
          <t>VÄSTERNORRLANDS LÄN</t>
        </is>
      </c>
      <c r="E2957" t="inlineStr">
        <is>
          <t>SUNDSVALL</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32831-2021</t>
        </is>
      </c>
      <c r="B2958" s="1" t="n">
        <v>44375</v>
      </c>
      <c r="C2958" s="1" t="n">
        <v>46093</v>
      </c>
      <c r="D2958" t="inlineStr">
        <is>
          <t>VÄSTERNORRLANDS LÄN</t>
        </is>
      </c>
      <c r="E2958" t="inlineStr">
        <is>
          <t>ÖRNSKÖLDSVIK</t>
        </is>
      </c>
      <c r="F2958" t="inlineStr">
        <is>
          <t>Holmen skog AB</t>
        </is>
      </c>
      <c r="G2958" t="n">
        <v>3.3</v>
      </c>
      <c r="H2958" t="n">
        <v>0</v>
      </c>
      <c r="I2958" t="n">
        <v>0</v>
      </c>
      <c r="J2958" t="n">
        <v>0</v>
      </c>
      <c r="K2958" t="n">
        <v>0</v>
      </c>
      <c r="L2958" t="n">
        <v>0</v>
      </c>
      <c r="M2958" t="n">
        <v>0</v>
      </c>
      <c r="N2958" t="n">
        <v>0</v>
      </c>
      <c r="O2958" t="n">
        <v>0</v>
      </c>
      <c r="P2958" t="n">
        <v>0</v>
      </c>
      <c r="Q2958" t="n">
        <v>0</v>
      </c>
      <c r="R2958" s="2" t="inlineStr"/>
    </row>
    <row r="2959" ht="15" customHeight="1">
      <c r="A2959" t="inlineStr">
        <is>
          <t>A 17129-2021</t>
        </is>
      </c>
      <c r="B2959" s="1" t="n">
        <v>44298.40608796296</v>
      </c>
      <c r="C2959" s="1" t="n">
        <v>46093</v>
      </c>
      <c r="D2959" t="inlineStr">
        <is>
          <t>VÄSTERNORRLANDS LÄN</t>
        </is>
      </c>
      <c r="E2959" t="inlineStr">
        <is>
          <t>KRAMFORS</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29577-2021</t>
        </is>
      </c>
      <c r="B2960" s="1" t="n">
        <v>44361</v>
      </c>
      <c r="C2960" s="1" t="n">
        <v>46093</v>
      </c>
      <c r="D2960" t="inlineStr">
        <is>
          <t>VÄSTERNORRLANDS LÄN</t>
        </is>
      </c>
      <c r="E2960" t="inlineStr">
        <is>
          <t>SUNDSVALL</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58461-2021</t>
        </is>
      </c>
      <c r="B2961" s="1" t="n">
        <v>44488</v>
      </c>
      <c r="C2961" s="1" t="n">
        <v>46093</v>
      </c>
      <c r="D2961" t="inlineStr">
        <is>
          <t>VÄSTERNORRLANDS LÄN</t>
        </is>
      </c>
      <c r="E2961" t="inlineStr">
        <is>
          <t>ÖRNSKÖLDSVIK</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51754-2023</t>
        </is>
      </c>
      <c r="B2962" s="1" t="n">
        <v>45222</v>
      </c>
      <c r="C2962" s="1" t="n">
        <v>46093</v>
      </c>
      <c r="D2962" t="inlineStr">
        <is>
          <t>VÄSTERNORRLANDS LÄN</t>
        </is>
      </c>
      <c r="E2962" t="inlineStr">
        <is>
          <t>SUNDSVALL</t>
        </is>
      </c>
      <c r="F2962" t="inlineStr">
        <is>
          <t>Kommuner</t>
        </is>
      </c>
      <c r="G2962" t="n">
        <v>5.2</v>
      </c>
      <c r="H2962" t="n">
        <v>0</v>
      </c>
      <c r="I2962" t="n">
        <v>0</v>
      </c>
      <c r="J2962" t="n">
        <v>0</v>
      </c>
      <c r="K2962" t="n">
        <v>0</v>
      </c>
      <c r="L2962" t="n">
        <v>0</v>
      </c>
      <c r="M2962" t="n">
        <v>0</v>
      </c>
      <c r="N2962" t="n">
        <v>0</v>
      </c>
      <c r="O2962" t="n">
        <v>0</v>
      </c>
      <c r="P2962" t="n">
        <v>0</v>
      </c>
      <c r="Q2962" t="n">
        <v>0</v>
      </c>
      <c r="R2962" s="2" t="inlineStr"/>
    </row>
    <row r="2963" ht="15" customHeight="1">
      <c r="A2963" t="inlineStr">
        <is>
          <t>A 42663-2022</t>
        </is>
      </c>
      <c r="B2963" s="1" t="n">
        <v>44831</v>
      </c>
      <c r="C2963" s="1" t="n">
        <v>46093</v>
      </c>
      <c r="D2963" t="inlineStr">
        <is>
          <t>VÄSTERNORRLANDS LÄN</t>
        </is>
      </c>
      <c r="E2963" t="inlineStr">
        <is>
          <t>SOLLEFTEÅ</t>
        </is>
      </c>
      <c r="F2963" t="inlineStr">
        <is>
          <t>SCA</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49495-2024</t>
        </is>
      </c>
      <c r="B2964" s="1" t="n">
        <v>45596.36559027778</v>
      </c>
      <c r="C2964" s="1" t="n">
        <v>46093</v>
      </c>
      <c r="D2964" t="inlineStr">
        <is>
          <t>VÄSTERNORRLANDS LÄN</t>
        </is>
      </c>
      <c r="E2964" t="inlineStr">
        <is>
          <t>TIMRÅ</t>
        </is>
      </c>
      <c r="F2964" t="inlineStr">
        <is>
          <t>SCA</t>
        </is>
      </c>
      <c r="G2964" t="n">
        <v>6.9</v>
      </c>
      <c r="H2964" t="n">
        <v>0</v>
      </c>
      <c r="I2964" t="n">
        <v>0</v>
      </c>
      <c r="J2964" t="n">
        <v>0</v>
      </c>
      <c r="K2964" t="n">
        <v>0</v>
      </c>
      <c r="L2964" t="n">
        <v>0</v>
      </c>
      <c r="M2964" t="n">
        <v>0</v>
      </c>
      <c r="N2964" t="n">
        <v>0</v>
      </c>
      <c r="O2964" t="n">
        <v>0</v>
      </c>
      <c r="P2964" t="n">
        <v>0</v>
      </c>
      <c r="Q2964" t="n">
        <v>0</v>
      </c>
      <c r="R2964" s="2" t="inlineStr"/>
    </row>
    <row r="2965" ht="15" customHeight="1">
      <c r="A2965" t="inlineStr">
        <is>
          <t>A 7434-2022</t>
        </is>
      </c>
      <c r="B2965" s="1" t="n">
        <v>44606.93344907407</v>
      </c>
      <c r="C2965" s="1" t="n">
        <v>46093</v>
      </c>
      <c r="D2965" t="inlineStr">
        <is>
          <t>VÄSTERNORRLANDS LÄN</t>
        </is>
      </c>
      <c r="E2965" t="inlineStr">
        <is>
          <t>SUNDSVALL</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14398-2025</t>
        </is>
      </c>
      <c r="B2966" s="1" t="n">
        <v>45741</v>
      </c>
      <c r="C2966" s="1" t="n">
        <v>46093</v>
      </c>
      <c r="D2966" t="inlineStr">
        <is>
          <t>VÄSTERNORRLANDS LÄN</t>
        </is>
      </c>
      <c r="E2966" t="inlineStr">
        <is>
          <t>SUNDSVALL</t>
        </is>
      </c>
      <c r="F2966" t="inlineStr">
        <is>
          <t>SCA</t>
        </is>
      </c>
      <c r="G2966" t="n">
        <v>5.9</v>
      </c>
      <c r="H2966" t="n">
        <v>0</v>
      </c>
      <c r="I2966" t="n">
        <v>0</v>
      </c>
      <c r="J2966" t="n">
        <v>0</v>
      </c>
      <c r="K2966" t="n">
        <v>0</v>
      </c>
      <c r="L2966" t="n">
        <v>0</v>
      </c>
      <c r="M2966" t="n">
        <v>0</v>
      </c>
      <c r="N2966" t="n">
        <v>0</v>
      </c>
      <c r="O2966" t="n">
        <v>0</v>
      </c>
      <c r="P2966" t="n">
        <v>0</v>
      </c>
      <c r="Q2966" t="n">
        <v>0</v>
      </c>
      <c r="R2966" s="2" t="inlineStr"/>
    </row>
    <row r="2967" ht="15" customHeight="1">
      <c r="A2967" t="inlineStr">
        <is>
          <t>A 15241-2022</t>
        </is>
      </c>
      <c r="B2967" s="1" t="n">
        <v>44658.9375</v>
      </c>
      <c r="C2967" s="1" t="n">
        <v>46093</v>
      </c>
      <c r="D2967" t="inlineStr">
        <is>
          <t>VÄSTERNORRLANDS LÄN</t>
        </is>
      </c>
      <c r="E2967" t="inlineStr">
        <is>
          <t>SOLLEFTEÅ</t>
        </is>
      </c>
      <c r="F2967" t="inlineStr">
        <is>
          <t>SCA</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44948-2022</t>
        </is>
      </c>
      <c r="B2968" s="1" t="n">
        <v>44841.57553240741</v>
      </c>
      <c r="C2968" s="1" t="n">
        <v>46093</v>
      </c>
      <c r="D2968" t="inlineStr">
        <is>
          <t>VÄSTERNORRLANDS LÄN</t>
        </is>
      </c>
      <c r="E2968" t="inlineStr">
        <is>
          <t>ÖRNSKÖLDSVIK</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31914-2023</t>
        </is>
      </c>
      <c r="B2969" s="1" t="n">
        <v>45118</v>
      </c>
      <c r="C2969" s="1" t="n">
        <v>46093</v>
      </c>
      <c r="D2969" t="inlineStr">
        <is>
          <t>VÄSTERNORRLANDS LÄN</t>
        </is>
      </c>
      <c r="E2969" t="inlineStr">
        <is>
          <t>SOLLEFTEÅ</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31930-2023</t>
        </is>
      </c>
      <c r="B2970" s="1" t="n">
        <v>45118</v>
      </c>
      <c r="C2970" s="1" t="n">
        <v>46093</v>
      </c>
      <c r="D2970" t="inlineStr">
        <is>
          <t>VÄSTERNORRLANDS LÄN</t>
        </is>
      </c>
      <c r="E2970" t="inlineStr">
        <is>
          <t>ÖRNSKÖLDSVIK</t>
        </is>
      </c>
      <c r="F2970" t="inlineStr">
        <is>
          <t>SCA</t>
        </is>
      </c>
      <c r="G2970" t="n">
        <v>3.6</v>
      </c>
      <c r="H2970" t="n">
        <v>0</v>
      </c>
      <c r="I2970" t="n">
        <v>0</v>
      </c>
      <c r="J2970" t="n">
        <v>0</v>
      </c>
      <c r="K2970" t="n">
        <v>0</v>
      </c>
      <c r="L2970" t="n">
        <v>0</v>
      </c>
      <c r="M2970" t="n">
        <v>0</v>
      </c>
      <c r="N2970" t="n">
        <v>0</v>
      </c>
      <c r="O2970" t="n">
        <v>0</v>
      </c>
      <c r="P2970" t="n">
        <v>0</v>
      </c>
      <c r="Q2970" t="n">
        <v>0</v>
      </c>
      <c r="R2970" s="2" t="inlineStr"/>
    </row>
    <row r="2971" ht="15" customHeight="1">
      <c r="A2971" t="inlineStr">
        <is>
          <t>A 12306-2021</t>
        </is>
      </c>
      <c r="B2971" s="1" t="n">
        <v>44267.35508101852</v>
      </c>
      <c r="C2971" s="1" t="n">
        <v>46093</v>
      </c>
      <c r="D2971" t="inlineStr">
        <is>
          <t>VÄSTERNORRLANDS LÄN</t>
        </is>
      </c>
      <c r="E2971" t="inlineStr">
        <is>
          <t>KRAMFORS</t>
        </is>
      </c>
      <c r="G2971" t="n">
        <v>0.1</v>
      </c>
      <c r="H2971" t="n">
        <v>0</v>
      </c>
      <c r="I2971" t="n">
        <v>0</v>
      </c>
      <c r="J2971" t="n">
        <v>0</v>
      </c>
      <c r="K2971" t="n">
        <v>0</v>
      </c>
      <c r="L2971" t="n">
        <v>0</v>
      </c>
      <c r="M2971" t="n">
        <v>0</v>
      </c>
      <c r="N2971" t="n">
        <v>0</v>
      </c>
      <c r="O2971" t="n">
        <v>0</v>
      </c>
      <c r="P2971" t="n">
        <v>0</v>
      </c>
      <c r="Q2971" t="n">
        <v>0</v>
      </c>
      <c r="R2971" s="2" t="inlineStr"/>
    </row>
    <row r="2972" ht="15" customHeight="1">
      <c r="A2972" t="inlineStr">
        <is>
          <t>A 12315-2021</t>
        </is>
      </c>
      <c r="B2972" s="1" t="n">
        <v>44267</v>
      </c>
      <c r="C2972" s="1" t="n">
        <v>46093</v>
      </c>
      <c r="D2972" t="inlineStr">
        <is>
          <t>VÄSTERNORRLANDS LÄN</t>
        </is>
      </c>
      <c r="E2972" t="inlineStr">
        <is>
          <t>KRAMFORS</t>
        </is>
      </c>
      <c r="G2972" t="n">
        <v>14.4</v>
      </c>
      <c r="H2972" t="n">
        <v>0</v>
      </c>
      <c r="I2972" t="n">
        <v>0</v>
      </c>
      <c r="J2972" t="n">
        <v>0</v>
      </c>
      <c r="K2972" t="n">
        <v>0</v>
      </c>
      <c r="L2972" t="n">
        <v>0</v>
      </c>
      <c r="M2972" t="n">
        <v>0</v>
      </c>
      <c r="N2972" t="n">
        <v>0</v>
      </c>
      <c r="O2972" t="n">
        <v>0</v>
      </c>
      <c r="P2972" t="n">
        <v>0</v>
      </c>
      <c r="Q2972" t="n">
        <v>0</v>
      </c>
      <c r="R2972" s="2" t="inlineStr"/>
    </row>
    <row r="2973" ht="15" customHeight="1">
      <c r="A2973" t="inlineStr">
        <is>
          <t>A 36971-2023</t>
        </is>
      </c>
      <c r="B2973" s="1" t="n">
        <v>45154</v>
      </c>
      <c r="C2973" s="1" t="n">
        <v>46093</v>
      </c>
      <c r="D2973" t="inlineStr">
        <is>
          <t>VÄSTERNORRLANDS LÄN</t>
        </is>
      </c>
      <c r="E2973" t="inlineStr">
        <is>
          <t>SUNDSVALL</t>
        </is>
      </c>
      <c r="F2973" t="inlineStr">
        <is>
          <t>SCA</t>
        </is>
      </c>
      <c r="G2973" t="n">
        <v>5.3</v>
      </c>
      <c r="H2973" t="n">
        <v>0</v>
      </c>
      <c r="I2973" t="n">
        <v>0</v>
      </c>
      <c r="J2973" t="n">
        <v>0</v>
      </c>
      <c r="K2973" t="n">
        <v>0</v>
      </c>
      <c r="L2973" t="n">
        <v>0</v>
      </c>
      <c r="M2973" t="n">
        <v>0</v>
      </c>
      <c r="N2973" t="n">
        <v>0</v>
      </c>
      <c r="O2973" t="n">
        <v>0</v>
      </c>
      <c r="P2973" t="n">
        <v>0</v>
      </c>
      <c r="Q2973" t="n">
        <v>0</v>
      </c>
      <c r="R2973" s="2" t="inlineStr"/>
    </row>
    <row r="2974" ht="15" customHeight="1">
      <c r="A2974" t="inlineStr">
        <is>
          <t>A 14597-2022</t>
        </is>
      </c>
      <c r="B2974" s="1" t="n">
        <v>44655</v>
      </c>
      <c r="C2974" s="1" t="n">
        <v>46093</v>
      </c>
      <c r="D2974" t="inlineStr">
        <is>
          <t>VÄSTERNORRLANDS LÄN</t>
        </is>
      </c>
      <c r="E2974" t="inlineStr">
        <is>
          <t>HÄRNÖSAND</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10763-2024</t>
        </is>
      </c>
      <c r="B2975" s="1" t="n">
        <v>45369</v>
      </c>
      <c r="C2975" s="1" t="n">
        <v>46093</v>
      </c>
      <c r="D2975" t="inlineStr">
        <is>
          <t>VÄSTERNORRLANDS LÄN</t>
        </is>
      </c>
      <c r="E2975" t="inlineStr">
        <is>
          <t>ÖRNSKÖLDSVIK</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28497-2024</t>
        </is>
      </c>
      <c r="B2976" s="1" t="n">
        <v>45477.9271875</v>
      </c>
      <c r="C2976" s="1" t="n">
        <v>46093</v>
      </c>
      <c r="D2976" t="inlineStr">
        <is>
          <t>VÄSTERNORRLANDS LÄN</t>
        </is>
      </c>
      <c r="E2976" t="inlineStr">
        <is>
          <t>SUNDSVALL</t>
        </is>
      </c>
      <c r="G2976" t="n">
        <v>13.9</v>
      </c>
      <c r="H2976" t="n">
        <v>0</v>
      </c>
      <c r="I2976" t="n">
        <v>0</v>
      </c>
      <c r="J2976" t="n">
        <v>0</v>
      </c>
      <c r="K2976" t="n">
        <v>0</v>
      </c>
      <c r="L2976" t="n">
        <v>0</v>
      </c>
      <c r="M2976" t="n">
        <v>0</v>
      </c>
      <c r="N2976" t="n">
        <v>0</v>
      </c>
      <c r="O2976" t="n">
        <v>0</v>
      </c>
      <c r="P2976" t="n">
        <v>0</v>
      </c>
      <c r="Q2976" t="n">
        <v>0</v>
      </c>
      <c r="R2976" s="2" t="inlineStr"/>
    </row>
    <row r="2977" ht="15" customHeight="1">
      <c r="A2977" t="inlineStr">
        <is>
          <t>A 10776-2024</t>
        </is>
      </c>
      <c r="B2977" s="1" t="n">
        <v>45369</v>
      </c>
      <c r="C2977" s="1" t="n">
        <v>46093</v>
      </c>
      <c r="D2977" t="inlineStr">
        <is>
          <t>VÄSTERNORRLANDS LÄN</t>
        </is>
      </c>
      <c r="E2977" t="inlineStr">
        <is>
          <t>ÖRNSKÖLDSVIK</t>
        </is>
      </c>
      <c r="F2977" t="inlineStr">
        <is>
          <t>Holmen skog AB</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26647-2022</t>
        </is>
      </c>
      <c r="B2978" s="1" t="n">
        <v>44739</v>
      </c>
      <c r="C2978" s="1" t="n">
        <v>46093</v>
      </c>
      <c r="D2978" t="inlineStr">
        <is>
          <t>VÄSTERNORRLANDS LÄN</t>
        </is>
      </c>
      <c r="E2978" t="inlineStr">
        <is>
          <t>ÖRNSKÖLDSVIK</t>
        </is>
      </c>
      <c r="F2978" t="inlineStr">
        <is>
          <t>Holmen skog AB</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59579-2021</t>
        </is>
      </c>
      <c r="B2979" s="1" t="n">
        <v>44491</v>
      </c>
      <c r="C2979" s="1" t="n">
        <v>46093</v>
      </c>
      <c r="D2979" t="inlineStr">
        <is>
          <t>VÄSTERNORRLANDS LÄN</t>
        </is>
      </c>
      <c r="E2979" t="inlineStr">
        <is>
          <t>SUNDSVALL</t>
        </is>
      </c>
      <c r="G2979" t="n">
        <v>5.3</v>
      </c>
      <c r="H2979" t="n">
        <v>0</v>
      </c>
      <c r="I2979" t="n">
        <v>0</v>
      </c>
      <c r="J2979" t="n">
        <v>0</v>
      </c>
      <c r="K2979" t="n">
        <v>0</v>
      </c>
      <c r="L2979" t="n">
        <v>0</v>
      </c>
      <c r="M2979" t="n">
        <v>0</v>
      </c>
      <c r="N2979" t="n">
        <v>0</v>
      </c>
      <c r="O2979" t="n">
        <v>0</v>
      </c>
      <c r="P2979" t="n">
        <v>0</v>
      </c>
      <c r="Q2979" t="n">
        <v>0</v>
      </c>
      <c r="R2979" s="2" t="inlineStr"/>
    </row>
    <row r="2980" ht="15" customHeight="1">
      <c r="A2980" t="inlineStr">
        <is>
          <t>A 38795-2023</t>
        </is>
      </c>
      <c r="B2980" s="1" t="n">
        <v>45162</v>
      </c>
      <c r="C2980" s="1" t="n">
        <v>46093</v>
      </c>
      <c r="D2980" t="inlineStr">
        <is>
          <t>VÄSTERNORRLANDS LÄN</t>
        </is>
      </c>
      <c r="E2980" t="inlineStr">
        <is>
          <t>ÅNGE</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30768-2024</t>
        </is>
      </c>
      <c r="B2981" s="1" t="n">
        <v>45496</v>
      </c>
      <c r="C2981" s="1" t="n">
        <v>46093</v>
      </c>
      <c r="D2981" t="inlineStr">
        <is>
          <t>VÄSTERNORRLANDS LÄN</t>
        </is>
      </c>
      <c r="E2981" t="inlineStr">
        <is>
          <t>KRAMFORS</t>
        </is>
      </c>
      <c r="F2981" t="inlineStr">
        <is>
          <t>Kyrkan</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35979-2023</t>
        </is>
      </c>
      <c r="B2982" s="1" t="n">
        <v>45148</v>
      </c>
      <c r="C2982" s="1" t="n">
        <v>46093</v>
      </c>
      <c r="D2982" t="inlineStr">
        <is>
          <t>VÄSTERNORRLANDS LÄN</t>
        </is>
      </c>
      <c r="E2982" t="inlineStr">
        <is>
          <t>ÅNGE</t>
        </is>
      </c>
      <c r="F2982" t="inlineStr">
        <is>
          <t>SCA</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54340-2021</t>
        </is>
      </c>
      <c r="B2983" s="1" t="n">
        <v>44473.04076388889</v>
      </c>
      <c r="C2983" s="1" t="n">
        <v>46093</v>
      </c>
      <c r="D2983" t="inlineStr">
        <is>
          <t>VÄSTERNORRLANDS LÄN</t>
        </is>
      </c>
      <c r="E2983" t="inlineStr">
        <is>
          <t>ÖRNSKÖLDSVIK</t>
        </is>
      </c>
      <c r="G2983" t="n">
        <v>5.4</v>
      </c>
      <c r="H2983" t="n">
        <v>0</v>
      </c>
      <c r="I2983" t="n">
        <v>0</v>
      </c>
      <c r="J2983" t="n">
        <v>0</v>
      </c>
      <c r="K2983" t="n">
        <v>0</v>
      </c>
      <c r="L2983" t="n">
        <v>0</v>
      </c>
      <c r="M2983" t="n">
        <v>0</v>
      </c>
      <c r="N2983" t="n">
        <v>0</v>
      </c>
      <c r="O2983" t="n">
        <v>0</v>
      </c>
      <c r="P2983" t="n">
        <v>0</v>
      </c>
      <c r="Q2983" t="n">
        <v>0</v>
      </c>
      <c r="R2983" s="2" t="inlineStr"/>
    </row>
    <row r="2984" ht="15" customHeight="1">
      <c r="A2984" t="inlineStr">
        <is>
          <t>A 31408-2024</t>
        </is>
      </c>
      <c r="B2984" s="1" t="n">
        <v>45502</v>
      </c>
      <c r="C2984" s="1" t="n">
        <v>46093</v>
      </c>
      <c r="D2984" t="inlineStr">
        <is>
          <t>VÄSTERNORRLANDS LÄN</t>
        </is>
      </c>
      <c r="E2984" t="inlineStr">
        <is>
          <t>HÄRNÖSAND</t>
        </is>
      </c>
      <c r="G2984" t="n">
        <v>0.3</v>
      </c>
      <c r="H2984" t="n">
        <v>0</v>
      </c>
      <c r="I2984" t="n">
        <v>0</v>
      </c>
      <c r="J2984" t="n">
        <v>0</v>
      </c>
      <c r="K2984" t="n">
        <v>0</v>
      </c>
      <c r="L2984" t="n">
        <v>0</v>
      </c>
      <c r="M2984" t="n">
        <v>0</v>
      </c>
      <c r="N2984" t="n">
        <v>0</v>
      </c>
      <c r="O2984" t="n">
        <v>0</v>
      </c>
      <c r="P2984" t="n">
        <v>0</v>
      </c>
      <c r="Q2984" t="n">
        <v>0</v>
      </c>
      <c r="R2984" s="2" t="inlineStr"/>
    </row>
    <row r="2985" ht="15" customHeight="1">
      <c r="A2985" t="inlineStr">
        <is>
          <t>A 26429-2023</t>
        </is>
      </c>
      <c r="B2985" s="1" t="n">
        <v>45089</v>
      </c>
      <c r="C2985" s="1" t="n">
        <v>46093</v>
      </c>
      <c r="D2985" t="inlineStr">
        <is>
          <t>VÄSTERNORRLANDS LÄN</t>
        </is>
      </c>
      <c r="E2985" t="inlineStr">
        <is>
          <t>ÖRNSKÖLDSVIK</t>
        </is>
      </c>
      <c r="G2985" t="n">
        <v>4.4</v>
      </c>
      <c r="H2985" t="n">
        <v>0</v>
      </c>
      <c r="I2985" t="n">
        <v>0</v>
      </c>
      <c r="J2985" t="n">
        <v>0</v>
      </c>
      <c r="K2985" t="n">
        <v>0</v>
      </c>
      <c r="L2985" t="n">
        <v>0</v>
      </c>
      <c r="M2985" t="n">
        <v>0</v>
      </c>
      <c r="N2985" t="n">
        <v>0</v>
      </c>
      <c r="O2985" t="n">
        <v>0</v>
      </c>
      <c r="P2985" t="n">
        <v>0</v>
      </c>
      <c r="Q2985" t="n">
        <v>0</v>
      </c>
      <c r="R2985" s="2" t="inlineStr"/>
    </row>
    <row r="2986" ht="15" customHeight="1">
      <c r="A2986" t="inlineStr">
        <is>
          <t>A 39313-2023</t>
        </is>
      </c>
      <c r="B2986" s="1" t="n">
        <v>45166.58332175926</v>
      </c>
      <c r="C2986" s="1" t="n">
        <v>46093</v>
      </c>
      <c r="D2986" t="inlineStr">
        <is>
          <t>VÄSTERNORRLANDS LÄN</t>
        </is>
      </c>
      <c r="E2986" t="inlineStr">
        <is>
          <t>ÖRNSKÖLDSVIK</t>
        </is>
      </c>
      <c r="F2986" t="inlineStr">
        <is>
          <t>Holmen skog AB</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27489-2023</t>
        </is>
      </c>
      <c r="B2987" s="1" t="n">
        <v>45092</v>
      </c>
      <c r="C2987" s="1" t="n">
        <v>46093</v>
      </c>
      <c r="D2987" t="inlineStr">
        <is>
          <t>VÄSTERNORRLANDS LÄN</t>
        </is>
      </c>
      <c r="E2987" t="inlineStr">
        <is>
          <t>TIMRÅ</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27498-2023</t>
        </is>
      </c>
      <c r="B2988" s="1" t="n">
        <v>45097</v>
      </c>
      <c r="C2988" s="1" t="n">
        <v>46093</v>
      </c>
      <c r="D2988" t="inlineStr">
        <is>
          <t>VÄSTERNORRLANDS LÄN</t>
        </is>
      </c>
      <c r="E2988" t="inlineStr">
        <is>
          <t>ÖRNSKÖLDSVIK</t>
        </is>
      </c>
      <c r="F2988" t="inlineStr">
        <is>
          <t>Holmen skog AB</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24416-2024</t>
        </is>
      </c>
      <c r="B2989" s="1" t="n">
        <v>45457.74280092592</v>
      </c>
      <c r="C2989" s="1" t="n">
        <v>46093</v>
      </c>
      <c r="D2989" t="inlineStr">
        <is>
          <t>VÄSTERNORRLANDS LÄN</t>
        </is>
      </c>
      <c r="E2989" t="inlineStr">
        <is>
          <t>ÖRNSKÖLDSVIK</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38272-2025</t>
        </is>
      </c>
      <c r="B2990" s="1" t="n">
        <v>45883.40728009259</v>
      </c>
      <c r="C2990" s="1" t="n">
        <v>46093</v>
      </c>
      <c r="D2990" t="inlineStr">
        <is>
          <t>VÄSTERNORRLANDS LÄN</t>
        </is>
      </c>
      <c r="E2990" t="inlineStr">
        <is>
          <t>SUNDSVALL</t>
        </is>
      </c>
      <c r="F2990" t="inlineStr">
        <is>
          <t>SCA</t>
        </is>
      </c>
      <c r="G2990" t="n">
        <v>8.300000000000001</v>
      </c>
      <c r="H2990" t="n">
        <v>0</v>
      </c>
      <c r="I2990" t="n">
        <v>0</v>
      </c>
      <c r="J2990" t="n">
        <v>0</v>
      </c>
      <c r="K2990" t="n">
        <v>0</v>
      </c>
      <c r="L2990" t="n">
        <v>0</v>
      </c>
      <c r="M2990" t="n">
        <v>0</v>
      </c>
      <c r="N2990" t="n">
        <v>0</v>
      </c>
      <c r="O2990" t="n">
        <v>0</v>
      </c>
      <c r="P2990" t="n">
        <v>0</v>
      </c>
      <c r="Q2990" t="n">
        <v>0</v>
      </c>
      <c r="R2990" s="2" t="inlineStr"/>
    </row>
    <row r="2991" ht="15" customHeight="1">
      <c r="A2991" t="inlineStr">
        <is>
          <t>A 28611-2024</t>
        </is>
      </c>
      <c r="B2991" s="1" t="n">
        <v>45478</v>
      </c>
      <c r="C2991" s="1" t="n">
        <v>46093</v>
      </c>
      <c r="D2991" t="inlineStr">
        <is>
          <t>VÄSTERNORRLANDS LÄN</t>
        </is>
      </c>
      <c r="E2991" t="inlineStr">
        <is>
          <t>SUNDSVALL</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23542-2024</t>
        </is>
      </c>
      <c r="B2992" s="1" t="n">
        <v>45453.95262731481</v>
      </c>
      <c r="C2992" s="1" t="n">
        <v>46093</v>
      </c>
      <c r="D2992" t="inlineStr">
        <is>
          <t>VÄSTERNORRLANDS LÄN</t>
        </is>
      </c>
      <c r="E2992" t="inlineStr">
        <is>
          <t>SOLLEFTEÅ</t>
        </is>
      </c>
      <c r="F2992" t="inlineStr">
        <is>
          <t>SCA</t>
        </is>
      </c>
      <c r="G2992" t="n">
        <v>4.1</v>
      </c>
      <c r="H2992" t="n">
        <v>0</v>
      </c>
      <c r="I2992" t="n">
        <v>0</v>
      </c>
      <c r="J2992" t="n">
        <v>0</v>
      </c>
      <c r="K2992" t="n">
        <v>0</v>
      </c>
      <c r="L2992" t="n">
        <v>0</v>
      </c>
      <c r="M2992" t="n">
        <v>0</v>
      </c>
      <c r="N2992" t="n">
        <v>0</v>
      </c>
      <c r="O2992" t="n">
        <v>0</v>
      </c>
      <c r="P2992" t="n">
        <v>0</v>
      </c>
      <c r="Q2992" t="n">
        <v>0</v>
      </c>
      <c r="R2992" s="2" t="inlineStr"/>
    </row>
    <row r="2993" ht="15" customHeight="1">
      <c r="A2993" t="inlineStr">
        <is>
          <t>A 24144-2024</t>
        </is>
      </c>
      <c r="B2993" s="1" t="n">
        <v>45456.64755787037</v>
      </c>
      <c r="C2993" s="1" t="n">
        <v>46093</v>
      </c>
      <c r="D2993" t="inlineStr">
        <is>
          <t>VÄSTERNORRLANDS LÄN</t>
        </is>
      </c>
      <c r="E2993" t="inlineStr">
        <is>
          <t>ÖRNSKÖLDSVIK</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34476-2025</t>
        </is>
      </c>
      <c r="B2994" s="1" t="n">
        <v>45847.36752314815</v>
      </c>
      <c r="C2994" s="1" t="n">
        <v>46093</v>
      </c>
      <c r="D2994" t="inlineStr">
        <is>
          <t>VÄSTERNORRLANDS LÄN</t>
        </is>
      </c>
      <c r="E2994" t="inlineStr">
        <is>
          <t>SOLLEFTEÅ</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39899-2024</t>
        </is>
      </c>
      <c r="B2995" s="1" t="n">
        <v>45553.48993055556</v>
      </c>
      <c r="C2995" s="1" t="n">
        <v>46093</v>
      </c>
      <c r="D2995" t="inlineStr">
        <is>
          <t>VÄSTERNORRLANDS LÄN</t>
        </is>
      </c>
      <c r="E2995" t="inlineStr">
        <is>
          <t>SUNDSVALL</t>
        </is>
      </c>
      <c r="F2995" t="inlineStr">
        <is>
          <t>SCA</t>
        </is>
      </c>
      <c r="G2995" t="n">
        <v>4.4</v>
      </c>
      <c r="H2995" t="n">
        <v>0</v>
      </c>
      <c r="I2995" t="n">
        <v>0</v>
      </c>
      <c r="J2995" t="n">
        <v>0</v>
      </c>
      <c r="K2995" t="n">
        <v>0</v>
      </c>
      <c r="L2995" t="n">
        <v>0</v>
      </c>
      <c r="M2995" t="n">
        <v>0</v>
      </c>
      <c r="N2995" t="n">
        <v>0</v>
      </c>
      <c r="O2995" t="n">
        <v>0</v>
      </c>
      <c r="P2995" t="n">
        <v>0</v>
      </c>
      <c r="Q2995" t="n">
        <v>0</v>
      </c>
      <c r="R2995" s="2" t="inlineStr"/>
    </row>
    <row r="2996" ht="15" customHeight="1">
      <c r="A2996" t="inlineStr">
        <is>
          <t>A 39900-2024</t>
        </is>
      </c>
      <c r="B2996" s="1" t="n">
        <v>45553.49010416667</v>
      </c>
      <c r="C2996" s="1" t="n">
        <v>46093</v>
      </c>
      <c r="D2996" t="inlineStr">
        <is>
          <t>VÄSTERNORRLANDS LÄN</t>
        </is>
      </c>
      <c r="E2996" t="inlineStr">
        <is>
          <t>SUNDSVALL</t>
        </is>
      </c>
      <c r="F2996" t="inlineStr">
        <is>
          <t>SCA</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33583-2024</t>
        </is>
      </c>
      <c r="B2997" s="1" t="n">
        <v>45520.34469907408</v>
      </c>
      <c r="C2997" s="1" t="n">
        <v>46093</v>
      </c>
      <c r="D2997" t="inlineStr">
        <is>
          <t>VÄSTERNORRLANDS LÄN</t>
        </is>
      </c>
      <c r="E2997" t="inlineStr">
        <is>
          <t>ÖRNSKÖLDSVIK</t>
        </is>
      </c>
      <c r="G2997" t="n">
        <v>3.6</v>
      </c>
      <c r="H2997" t="n">
        <v>0</v>
      </c>
      <c r="I2997" t="n">
        <v>0</v>
      </c>
      <c r="J2997" t="n">
        <v>0</v>
      </c>
      <c r="K2997" t="n">
        <v>0</v>
      </c>
      <c r="L2997" t="n">
        <v>0</v>
      </c>
      <c r="M2997" t="n">
        <v>0</v>
      </c>
      <c r="N2997" t="n">
        <v>0</v>
      </c>
      <c r="O2997" t="n">
        <v>0</v>
      </c>
      <c r="P2997" t="n">
        <v>0</v>
      </c>
      <c r="Q2997" t="n">
        <v>0</v>
      </c>
      <c r="R2997" s="2" t="inlineStr"/>
    </row>
    <row r="2998" ht="15" customHeight="1">
      <c r="A2998" t="inlineStr">
        <is>
          <t>A 33616-2024</t>
        </is>
      </c>
      <c r="B2998" s="1" t="n">
        <v>45520.4027662037</v>
      </c>
      <c r="C2998" s="1" t="n">
        <v>46093</v>
      </c>
      <c r="D2998" t="inlineStr">
        <is>
          <t>VÄSTERNORRLANDS LÄN</t>
        </is>
      </c>
      <c r="E2998" t="inlineStr">
        <is>
          <t>ÖRNSKÖLDSVIK</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39969-2024</t>
        </is>
      </c>
      <c r="B2999" s="1" t="n">
        <v>45553.59498842592</v>
      </c>
      <c r="C2999" s="1" t="n">
        <v>46093</v>
      </c>
      <c r="D2999" t="inlineStr">
        <is>
          <t>VÄSTERNORRLANDS LÄN</t>
        </is>
      </c>
      <c r="E2999" t="inlineStr">
        <is>
          <t>ÖRNSKÖLDSVIK</t>
        </is>
      </c>
      <c r="F2999" t="inlineStr">
        <is>
          <t>Holmen skog AB</t>
        </is>
      </c>
      <c r="G2999" t="n">
        <v>8.1</v>
      </c>
      <c r="H2999" t="n">
        <v>0</v>
      </c>
      <c r="I2999" t="n">
        <v>0</v>
      </c>
      <c r="J2999" t="n">
        <v>0</v>
      </c>
      <c r="K2999" t="n">
        <v>0</v>
      </c>
      <c r="L2999" t="n">
        <v>0</v>
      </c>
      <c r="M2999" t="n">
        <v>0</v>
      </c>
      <c r="N2999" t="n">
        <v>0</v>
      </c>
      <c r="O2999" t="n">
        <v>0</v>
      </c>
      <c r="P2999" t="n">
        <v>0</v>
      </c>
      <c r="Q2999" t="n">
        <v>0</v>
      </c>
      <c r="R2999" s="2" t="inlineStr"/>
    </row>
    <row r="3000" ht="15" customHeight="1">
      <c r="A3000" t="inlineStr">
        <is>
          <t>A 52706-2022</t>
        </is>
      </c>
      <c r="B3000" s="1" t="n">
        <v>44874</v>
      </c>
      <c r="C3000" s="1" t="n">
        <v>46093</v>
      </c>
      <c r="D3000" t="inlineStr">
        <is>
          <t>VÄSTERNORRLANDS LÄN</t>
        </is>
      </c>
      <c r="E3000" t="inlineStr">
        <is>
          <t>SUNDSVALL</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52740-2022</t>
        </is>
      </c>
      <c r="B3001" s="1" t="n">
        <v>44874</v>
      </c>
      <c r="C3001" s="1" t="n">
        <v>46093</v>
      </c>
      <c r="D3001" t="inlineStr">
        <is>
          <t>VÄSTERNORRLANDS LÄN</t>
        </is>
      </c>
      <c r="E3001" t="inlineStr">
        <is>
          <t>SUNDSVALL</t>
        </is>
      </c>
      <c r="F3001" t="inlineStr">
        <is>
          <t>SCA</t>
        </is>
      </c>
      <c r="G3001" t="n">
        <v>5.5</v>
      </c>
      <c r="H3001" t="n">
        <v>0</v>
      </c>
      <c r="I3001" t="n">
        <v>0</v>
      </c>
      <c r="J3001" t="n">
        <v>0</v>
      </c>
      <c r="K3001" t="n">
        <v>0</v>
      </c>
      <c r="L3001" t="n">
        <v>0</v>
      </c>
      <c r="M3001" t="n">
        <v>0</v>
      </c>
      <c r="N3001" t="n">
        <v>0</v>
      </c>
      <c r="O3001" t="n">
        <v>0</v>
      </c>
      <c r="P3001" t="n">
        <v>0</v>
      </c>
      <c r="Q3001" t="n">
        <v>0</v>
      </c>
      <c r="R3001" s="2" t="inlineStr"/>
    </row>
    <row r="3002" ht="15" customHeight="1">
      <c r="A3002" t="inlineStr">
        <is>
          <t>A 18654-2025</t>
        </is>
      </c>
      <c r="B3002" s="1" t="n">
        <v>45763.57469907407</v>
      </c>
      <c r="C3002" s="1" t="n">
        <v>46093</v>
      </c>
      <c r="D3002" t="inlineStr">
        <is>
          <t>VÄSTERNORRLANDS LÄN</t>
        </is>
      </c>
      <c r="E3002" t="inlineStr">
        <is>
          <t>KRAMFORS</t>
        </is>
      </c>
      <c r="F3002" t="inlineStr">
        <is>
          <t>SCA</t>
        </is>
      </c>
      <c r="G3002" t="n">
        <v>4.4</v>
      </c>
      <c r="H3002" t="n">
        <v>0</v>
      </c>
      <c r="I3002" t="n">
        <v>0</v>
      </c>
      <c r="J3002" t="n">
        <v>0</v>
      </c>
      <c r="K3002" t="n">
        <v>0</v>
      </c>
      <c r="L3002" t="n">
        <v>0</v>
      </c>
      <c r="M3002" t="n">
        <v>0</v>
      </c>
      <c r="N3002" t="n">
        <v>0</v>
      </c>
      <c r="O3002" t="n">
        <v>0</v>
      </c>
      <c r="P3002" t="n">
        <v>0</v>
      </c>
      <c r="Q3002" t="n">
        <v>0</v>
      </c>
      <c r="R3002" s="2" t="inlineStr"/>
    </row>
    <row r="3003" ht="15" customHeight="1">
      <c r="A3003" t="inlineStr">
        <is>
          <t>A 50362-2023</t>
        </is>
      </c>
      <c r="B3003" s="1" t="n">
        <v>45209</v>
      </c>
      <c r="C3003" s="1" t="n">
        <v>46093</v>
      </c>
      <c r="D3003" t="inlineStr">
        <is>
          <t>VÄSTERNORRLANDS LÄN</t>
        </is>
      </c>
      <c r="E3003" t="inlineStr">
        <is>
          <t>ÖRNSKÖLDSVIK</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34704-2025</t>
        </is>
      </c>
      <c r="B3004" s="1" t="n">
        <v>45848.48954861111</v>
      </c>
      <c r="C3004" s="1" t="n">
        <v>46093</v>
      </c>
      <c r="D3004" t="inlineStr">
        <is>
          <t>VÄSTERNORRLANDS LÄN</t>
        </is>
      </c>
      <c r="E3004" t="inlineStr">
        <is>
          <t>ÖRNSKÖLDSVIK</t>
        </is>
      </c>
      <c r="G3004" t="n">
        <v>12.2</v>
      </c>
      <c r="H3004" t="n">
        <v>0</v>
      </c>
      <c r="I3004" t="n">
        <v>0</v>
      </c>
      <c r="J3004" t="n">
        <v>0</v>
      </c>
      <c r="K3004" t="n">
        <v>0</v>
      </c>
      <c r="L3004" t="n">
        <v>0</v>
      </c>
      <c r="M3004" t="n">
        <v>0</v>
      </c>
      <c r="N3004" t="n">
        <v>0</v>
      </c>
      <c r="O3004" t="n">
        <v>0</v>
      </c>
      <c r="P3004" t="n">
        <v>0</v>
      </c>
      <c r="Q3004" t="n">
        <v>0</v>
      </c>
      <c r="R3004" s="2" t="inlineStr"/>
    </row>
    <row r="3005" ht="15" customHeight="1">
      <c r="A3005" t="inlineStr">
        <is>
          <t>A 35582-2024</t>
        </is>
      </c>
      <c r="B3005" s="1" t="n">
        <v>45531.64800925926</v>
      </c>
      <c r="C3005" s="1" t="n">
        <v>46093</v>
      </c>
      <c r="D3005" t="inlineStr">
        <is>
          <t>VÄSTERNORRLANDS LÄN</t>
        </is>
      </c>
      <c r="E3005" t="inlineStr">
        <is>
          <t>ÅNGE</t>
        </is>
      </c>
      <c r="G3005" t="n">
        <v>4.1</v>
      </c>
      <c r="H3005" t="n">
        <v>0</v>
      </c>
      <c r="I3005" t="n">
        <v>0</v>
      </c>
      <c r="J3005" t="n">
        <v>0</v>
      </c>
      <c r="K3005" t="n">
        <v>0</v>
      </c>
      <c r="L3005" t="n">
        <v>0</v>
      </c>
      <c r="M3005" t="n">
        <v>0</v>
      </c>
      <c r="N3005" t="n">
        <v>0</v>
      </c>
      <c r="O3005" t="n">
        <v>0</v>
      </c>
      <c r="P3005" t="n">
        <v>0</v>
      </c>
      <c r="Q3005" t="n">
        <v>0</v>
      </c>
      <c r="R3005" s="2" t="inlineStr"/>
    </row>
    <row r="3006" ht="15" customHeight="1">
      <c r="A3006" t="inlineStr">
        <is>
          <t>A 38240-2025</t>
        </is>
      </c>
      <c r="B3006" s="1" t="n">
        <v>45883.36532407408</v>
      </c>
      <c r="C3006" s="1" t="n">
        <v>46093</v>
      </c>
      <c r="D3006" t="inlineStr">
        <is>
          <t>VÄSTERNORRLANDS LÄN</t>
        </is>
      </c>
      <c r="E3006" t="inlineStr">
        <is>
          <t>SOLLEFTEÅ</t>
        </is>
      </c>
      <c r="F3006" t="inlineStr">
        <is>
          <t>SCA</t>
        </is>
      </c>
      <c r="G3006" t="n">
        <v>3.2</v>
      </c>
      <c r="H3006" t="n">
        <v>0</v>
      </c>
      <c r="I3006" t="n">
        <v>0</v>
      </c>
      <c r="J3006" t="n">
        <v>0</v>
      </c>
      <c r="K3006" t="n">
        <v>0</v>
      </c>
      <c r="L3006" t="n">
        <v>0</v>
      </c>
      <c r="M3006" t="n">
        <v>0</v>
      </c>
      <c r="N3006" t="n">
        <v>0</v>
      </c>
      <c r="O3006" t="n">
        <v>0</v>
      </c>
      <c r="P3006" t="n">
        <v>0</v>
      </c>
      <c r="Q3006" t="n">
        <v>0</v>
      </c>
      <c r="R3006" s="2" t="inlineStr"/>
    </row>
    <row r="3007" ht="15" customHeight="1">
      <c r="A3007" t="inlineStr">
        <is>
          <t>A 36466-2024</t>
        </is>
      </c>
      <c r="B3007" s="1" t="n">
        <v>45537.35872685185</v>
      </c>
      <c r="C3007" s="1" t="n">
        <v>46093</v>
      </c>
      <c r="D3007" t="inlineStr">
        <is>
          <t>VÄSTERNORRLANDS LÄN</t>
        </is>
      </c>
      <c r="E3007" t="inlineStr">
        <is>
          <t>ÅNGE</t>
        </is>
      </c>
      <c r="F3007" t="inlineStr">
        <is>
          <t>SCA</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34736-2025</t>
        </is>
      </c>
      <c r="B3008" s="1" t="n">
        <v>45848.60254629629</v>
      </c>
      <c r="C3008" s="1" t="n">
        <v>46093</v>
      </c>
      <c r="D3008" t="inlineStr">
        <is>
          <t>VÄSTERNORRLANDS LÄN</t>
        </is>
      </c>
      <c r="E3008" t="inlineStr">
        <is>
          <t>HÄRNÖSAND</t>
        </is>
      </c>
      <c r="G3008" t="n">
        <v>7.9</v>
      </c>
      <c r="H3008" t="n">
        <v>0</v>
      </c>
      <c r="I3008" t="n">
        <v>0</v>
      </c>
      <c r="J3008" t="n">
        <v>0</v>
      </c>
      <c r="K3008" t="n">
        <v>0</v>
      </c>
      <c r="L3008" t="n">
        <v>0</v>
      </c>
      <c r="M3008" t="n">
        <v>0</v>
      </c>
      <c r="N3008" t="n">
        <v>0</v>
      </c>
      <c r="O3008" t="n">
        <v>0</v>
      </c>
      <c r="P3008" t="n">
        <v>0</v>
      </c>
      <c r="Q3008" t="n">
        <v>0</v>
      </c>
      <c r="R3008" s="2" t="inlineStr"/>
    </row>
    <row r="3009" ht="15" customHeight="1">
      <c r="A3009" t="inlineStr">
        <is>
          <t>A 51054-2023</t>
        </is>
      </c>
      <c r="B3009" s="1" t="n">
        <v>45218.64065972222</v>
      </c>
      <c r="C3009" s="1" t="n">
        <v>46093</v>
      </c>
      <c r="D3009" t="inlineStr">
        <is>
          <t>VÄSTERNORRLANDS LÄN</t>
        </is>
      </c>
      <c r="E3009" t="inlineStr">
        <is>
          <t>ÖRNSKÖLDSVIK</t>
        </is>
      </c>
      <c r="F3009" t="inlineStr">
        <is>
          <t>Holmen skog AB</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45215-2024</t>
        </is>
      </c>
      <c r="B3010" s="1" t="n">
        <v>45575.73666666666</v>
      </c>
      <c r="C3010" s="1" t="n">
        <v>46093</v>
      </c>
      <c r="D3010" t="inlineStr">
        <is>
          <t>VÄSTERNORRLANDS LÄN</t>
        </is>
      </c>
      <c r="E3010" t="inlineStr">
        <is>
          <t>ÖRNSKÖLDSVIK</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35673-2024</t>
        </is>
      </c>
      <c r="B3011" s="1" t="n">
        <v>45532.39119212963</v>
      </c>
      <c r="C3011" s="1" t="n">
        <v>46093</v>
      </c>
      <c r="D3011" t="inlineStr">
        <is>
          <t>VÄSTERNORRLANDS LÄN</t>
        </is>
      </c>
      <c r="E3011" t="inlineStr">
        <is>
          <t>SOLLEFTEÅ</t>
        </is>
      </c>
      <c r="F3011" t="inlineStr">
        <is>
          <t>SCA</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21034-2024</t>
        </is>
      </c>
      <c r="B3012" s="1" t="n">
        <v>45439</v>
      </c>
      <c r="C3012" s="1" t="n">
        <v>46093</v>
      </c>
      <c r="D3012" t="inlineStr">
        <is>
          <t>VÄSTERNORRLANDS LÄN</t>
        </is>
      </c>
      <c r="E3012" t="inlineStr">
        <is>
          <t>ÖRNSKÖLDSVIK</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34731-2025</t>
        </is>
      </c>
      <c r="B3013" s="1" t="n">
        <v>45848</v>
      </c>
      <c r="C3013" s="1" t="n">
        <v>46093</v>
      </c>
      <c r="D3013" t="inlineStr">
        <is>
          <t>VÄSTERNORRLANDS LÄN</t>
        </is>
      </c>
      <c r="E3013" t="inlineStr">
        <is>
          <t>ÖRNSKÖLDSVIK</t>
        </is>
      </c>
      <c r="G3013" t="n">
        <v>3.4</v>
      </c>
      <c r="H3013" t="n">
        <v>0</v>
      </c>
      <c r="I3013" t="n">
        <v>0</v>
      </c>
      <c r="J3013" t="n">
        <v>0</v>
      </c>
      <c r="K3013" t="n">
        <v>0</v>
      </c>
      <c r="L3013" t="n">
        <v>0</v>
      </c>
      <c r="M3013" t="n">
        <v>0</v>
      </c>
      <c r="N3013" t="n">
        <v>0</v>
      </c>
      <c r="O3013" t="n">
        <v>0</v>
      </c>
      <c r="P3013" t="n">
        <v>0</v>
      </c>
      <c r="Q3013" t="n">
        <v>0</v>
      </c>
      <c r="R3013" s="2" t="inlineStr"/>
    </row>
    <row r="3014" ht="15" customHeight="1">
      <c r="A3014" t="inlineStr">
        <is>
          <t>A 2972-2023</t>
        </is>
      </c>
      <c r="B3014" s="1" t="n">
        <v>44944</v>
      </c>
      <c r="C3014" s="1" t="n">
        <v>46093</v>
      </c>
      <c r="D3014" t="inlineStr">
        <is>
          <t>VÄSTERNORRLANDS LÄN</t>
        </is>
      </c>
      <c r="E3014" t="inlineStr">
        <is>
          <t>ÖRNSKÖLDSVIK</t>
        </is>
      </c>
      <c r="G3014" t="n">
        <v>10</v>
      </c>
      <c r="H3014" t="n">
        <v>0</v>
      </c>
      <c r="I3014" t="n">
        <v>0</v>
      </c>
      <c r="J3014" t="n">
        <v>0</v>
      </c>
      <c r="K3014" t="n">
        <v>0</v>
      </c>
      <c r="L3014" t="n">
        <v>0</v>
      </c>
      <c r="M3014" t="n">
        <v>0</v>
      </c>
      <c r="N3014" t="n">
        <v>0</v>
      </c>
      <c r="O3014" t="n">
        <v>0</v>
      </c>
      <c r="P3014" t="n">
        <v>0</v>
      </c>
      <c r="Q3014" t="n">
        <v>0</v>
      </c>
      <c r="R3014" s="2" t="inlineStr"/>
    </row>
    <row r="3015" ht="15" customHeight="1">
      <c r="A3015" t="inlineStr">
        <is>
          <t>A 52785-2024</t>
        </is>
      </c>
      <c r="B3015" s="1" t="n">
        <v>45610.55273148148</v>
      </c>
      <c r="C3015" s="1" t="n">
        <v>46093</v>
      </c>
      <c r="D3015" t="inlineStr">
        <is>
          <t>VÄSTERNORRLANDS LÄN</t>
        </is>
      </c>
      <c r="E3015" t="inlineStr">
        <is>
          <t>ÅNGE</t>
        </is>
      </c>
      <c r="F3015" t="inlineStr">
        <is>
          <t>SCA</t>
        </is>
      </c>
      <c r="G3015" t="n">
        <v>9.300000000000001</v>
      </c>
      <c r="H3015" t="n">
        <v>0</v>
      </c>
      <c r="I3015" t="n">
        <v>0</v>
      </c>
      <c r="J3015" t="n">
        <v>0</v>
      </c>
      <c r="K3015" t="n">
        <v>0</v>
      </c>
      <c r="L3015" t="n">
        <v>0</v>
      </c>
      <c r="M3015" t="n">
        <v>0</v>
      </c>
      <c r="N3015" t="n">
        <v>0</v>
      </c>
      <c r="O3015" t="n">
        <v>0</v>
      </c>
      <c r="P3015" t="n">
        <v>0</v>
      </c>
      <c r="Q3015" t="n">
        <v>0</v>
      </c>
      <c r="R3015" s="2" t="inlineStr"/>
    </row>
    <row r="3016" ht="15" customHeight="1">
      <c r="A3016" t="inlineStr">
        <is>
          <t>A 52786-2024</t>
        </is>
      </c>
      <c r="B3016" s="1" t="n">
        <v>45610.55283564814</v>
      </c>
      <c r="C3016" s="1" t="n">
        <v>46093</v>
      </c>
      <c r="D3016" t="inlineStr">
        <is>
          <t>VÄSTERNORRLANDS LÄN</t>
        </is>
      </c>
      <c r="E3016" t="inlineStr">
        <is>
          <t>ÅNGE</t>
        </is>
      </c>
      <c r="F3016" t="inlineStr">
        <is>
          <t>SCA</t>
        </is>
      </c>
      <c r="G3016" t="n">
        <v>4</v>
      </c>
      <c r="H3016" t="n">
        <v>0</v>
      </c>
      <c r="I3016" t="n">
        <v>0</v>
      </c>
      <c r="J3016" t="n">
        <v>0</v>
      </c>
      <c r="K3016" t="n">
        <v>0</v>
      </c>
      <c r="L3016" t="n">
        <v>0</v>
      </c>
      <c r="M3016" t="n">
        <v>0</v>
      </c>
      <c r="N3016" t="n">
        <v>0</v>
      </c>
      <c r="O3016" t="n">
        <v>0</v>
      </c>
      <c r="P3016" t="n">
        <v>0</v>
      </c>
      <c r="Q3016" t="n">
        <v>0</v>
      </c>
      <c r="R3016" s="2" t="inlineStr"/>
    </row>
    <row r="3017" ht="15" customHeight="1">
      <c r="A3017" t="inlineStr">
        <is>
          <t>A 34751-2025</t>
        </is>
      </c>
      <c r="B3017" s="1" t="n">
        <v>45848.61704861111</v>
      </c>
      <c r="C3017" s="1" t="n">
        <v>46093</v>
      </c>
      <c r="D3017" t="inlineStr">
        <is>
          <t>VÄSTERNORRLANDS LÄN</t>
        </is>
      </c>
      <c r="E3017" t="inlineStr">
        <is>
          <t>HÄRNÖSAND</t>
        </is>
      </c>
      <c r="G3017" t="n">
        <v>8.699999999999999</v>
      </c>
      <c r="H3017" t="n">
        <v>0</v>
      </c>
      <c r="I3017" t="n">
        <v>0</v>
      </c>
      <c r="J3017" t="n">
        <v>0</v>
      </c>
      <c r="K3017" t="n">
        <v>0</v>
      </c>
      <c r="L3017" t="n">
        <v>0</v>
      </c>
      <c r="M3017" t="n">
        <v>0</v>
      </c>
      <c r="N3017" t="n">
        <v>0</v>
      </c>
      <c r="O3017" t="n">
        <v>0</v>
      </c>
      <c r="P3017" t="n">
        <v>0</v>
      </c>
      <c r="Q3017" t="n">
        <v>0</v>
      </c>
      <c r="R3017" s="2" t="inlineStr"/>
    </row>
    <row r="3018" ht="15" customHeight="1">
      <c r="A3018" t="inlineStr">
        <is>
          <t>A 11539-2024</t>
        </is>
      </c>
      <c r="B3018" s="1" t="n">
        <v>45372.9560300926</v>
      </c>
      <c r="C3018" s="1" t="n">
        <v>46093</v>
      </c>
      <c r="D3018" t="inlineStr">
        <is>
          <t>VÄSTERNORRLANDS LÄN</t>
        </is>
      </c>
      <c r="E3018" t="inlineStr">
        <is>
          <t>SOLLEFTEÅ</t>
        </is>
      </c>
      <c r="F3018" t="inlineStr">
        <is>
          <t>SCA</t>
        </is>
      </c>
      <c r="G3018" t="n">
        <v>4.1</v>
      </c>
      <c r="H3018" t="n">
        <v>0</v>
      </c>
      <c r="I3018" t="n">
        <v>0</v>
      </c>
      <c r="J3018" t="n">
        <v>0</v>
      </c>
      <c r="K3018" t="n">
        <v>0</v>
      </c>
      <c r="L3018" t="n">
        <v>0</v>
      </c>
      <c r="M3018" t="n">
        <v>0</v>
      </c>
      <c r="N3018" t="n">
        <v>0</v>
      </c>
      <c r="O3018" t="n">
        <v>0</v>
      </c>
      <c r="P3018" t="n">
        <v>0</v>
      </c>
      <c r="Q3018" t="n">
        <v>0</v>
      </c>
      <c r="R3018" s="2" t="inlineStr"/>
    </row>
    <row r="3019" ht="15" customHeight="1">
      <c r="A3019" t="inlineStr">
        <is>
          <t>A 21200-2024</t>
        </is>
      </c>
      <c r="B3019" s="1" t="n">
        <v>45440</v>
      </c>
      <c r="C3019" s="1" t="n">
        <v>46093</v>
      </c>
      <c r="D3019" t="inlineStr">
        <is>
          <t>VÄSTERNORRLANDS LÄN</t>
        </is>
      </c>
      <c r="E3019" t="inlineStr">
        <is>
          <t>ÅNGE</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45287-2024</t>
        </is>
      </c>
      <c r="B3020" s="1" t="n">
        <v>45576.3875</v>
      </c>
      <c r="C3020" s="1" t="n">
        <v>46093</v>
      </c>
      <c r="D3020" t="inlineStr">
        <is>
          <t>VÄSTERNORRLANDS LÄN</t>
        </is>
      </c>
      <c r="E3020" t="inlineStr">
        <is>
          <t>ÖRNSKÖLDSVIK</t>
        </is>
      </c>
      <c r="F3020" t="inlineStr">
        <is>
          <t>Holmen skog AB</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32549-2023</t>
        </is>
      </c>
      <c r="B3021" s="1" t="n">
        <v>45111</v>
      </c>
      <c r="C3021" s="1" t="n">
        <v>46093</v>
      </c>
      <c r="D3021" t="inlineStr">
        <is>
          <t>VÄSTERNORRLANDS LÄN</t>
        </is>
      </c>
      <c r="E3021" t="inlineStr">
        <is>
          <t>ÖRNSKÖLDSVIK</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32562-2023</t>
        </is>
      </c>
      <c r="B3022" s="1" t="n">
        <v>45111</v>
      </c>
      <c r="C3022" s="1" t="n">
        <v>46093</v>
      </c>
      <c r="D3022" t="inlineStr">
        <is>
          <t>VÄSTERNORRLANDS LÄN</t>
        </is>
      </c>
      <c r="E3022" t="inlineStr">
        <is>
          <t>SUNDSVALL</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17190-2024</t>
        </is>
      </c>
      <c r="B3023" s="1" t="n">
        <v>45412</v>
      </c>
      <c r="C3023" s="1" t="n">
        <v>46093</v>
      </c>
      <c r="D3023" t="inlineStr">
        <is>
          <t>VÄSTERNORRLANDS LÄN</t>
        </is>
      </c>
      <c r="E3023" t="inlineStr">
        <is>
          <t>SUNDSVALL</t>
        </is>
      </c>
      <c r="G3023" t="n">
        <v>4.1</v>
      </c>
      <c r="H3023" t="n">
        <v>0</v>
      </c>
      <c r="I3023" t="n">
        <v>0</v>
      </c>
      <c r="J3023" t="n">
        <v>0</v>
      </c>
      <c r="K3023" t="n">
        <v>0</v>
      </c>
      <c r="L3023" t="n">
        <v>0</v>
      </c>
      <c r="M3023" t="n">
        <v>0</v>
      </c>
      <c r="N3023" t="n">
        <v>0</v>
      </c>
      <c r="O3023" t="n">
        <v>0</v>
      </c>
      <c r="P3023" t="n">
        <v>0</v>
      </c>
      <c r="Q3023" t="n">
        <v>0</v>
      </c>
      <c r="R3023" s="2" t="inlineStr"/>
    </row>
    <row r="3024" ht="15" customHeight="1">
      <c r="A3024" t="inlineStr">
        <is>
          <t>A 34558-2025</t>
        </is>
      </c>
      <c r="B3024" s="1" t="n">
        <v>45847.57377314815</v>
      </c>
      <c r="C3024" s="1" t="n">
        <v>46093</v>
      </c>
      <c r="D3024" t="inlineStr">
        <is>
          <t>VÄSTERNORRLANDS LÄN</t>
        </is>
      </c>
      <c r="E3024" t="inlineStr">
        <is>
          <t>SUNDSVALL</t>
        </is>
      </c>
      <c r="F3024" t="inlineStr">
        <is>
          <t>SCA</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51370-2022</t>
        </is>
      </c>
      <c r="B3025" s="1" t="n">
        <v>44869</v>
      </c>
      <c r="C3025" s="1" t="n">
        <v>46093</v>
      </c>
      <c r="D3025" t="inlineStr">
        <is>
          <t>VÄSTERNORRLANDS LÄN</t>
        </is>
      </c>
      <c r="E3025" t="inlineStr">
        <is>
          <t>SUNDSVALL</t>
        </is>
      </c>
      <c r="G3025" t="n">
        <v>18.7</v>
      </c>
      <c r="H3025" t="n">
        <v>0</v>
      </c>
      <c r="I3025" t="n">
        <v>0</v>
      </c>
      <c r="J3025" t="n">
        <v>0</v>
      </c>
      <c r="K3025" t="n">
        <v>0</v>
      </c>
      <c r="L3025" t="n">
        <v>0</v>
      </c>
      <c r="M3025" t="n">
        <v>0</v>
      </c>
      <c r="N3025" t="n">
        <v>0</v>
      </c>
      <c r="O3025" t="n">
        <v>0</v>
      </c>
      <c r="P3025" t="n">
        <v>0</v>
      </c>
      <c r="Q3025" t="n">
        <v>0</v>
      </c>
      <c r="R3025" s="2" t="inlineStr"/>
    </row>
    <row r="3026" ht="15" customHeight="1">
      <c r="A3026" t="inlineStr">
        <is>
          <t>A 51383-2022</t>
        </is>
      </c>
      <c r="B3026" s="1" t="n">
        <v>44866</v>
      </c>
      <c r="C3026" s="1" t="n">
        <v>46093</v>
      </c>
      <c r="D3026" t="inlineStr">
        <is>
          <t>VÄSTERNORRLANDS LÄN</t>
        </is>
      </c>
      <c r="E3026" t="inlineStr">
        <is>
          <t>ÅNGE</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51393-2022</t>
        </is>
      </c>
      <c r="B3027" s="1" t="n">
        <v>44869.43277777778</v>
      </c>
      <c r="C3027" s="1" t="n">
        <v>46093</v>
      </c>
      <c r="D3027" t="inlineStr">
        <is>
          <t>VÄSTERNORRLANDS LÄN</t>
        </is>
      </c>
      <c r="E3027" t="inlineStr">
        <is>
          <t>ÅNGE</t>
        </is>
      </c>
      <c r="F3027" t="inlineStr">
        <is>
          <t>Holmen skog AB</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9831-2024</t>
        </is>
      </c>
      <c r="B3028" s="1" t="n">
        <v>45363.04699074074</v>
      </c>
      <c r="C3028" s="1" t="n">
        <v>46093</v>
      </c>
      <c r="D3028" t="inlineStr">
        <is>
          <t>VÄSTERNORRLANDS LÄN</t>
        </is>
      </c>
      <c r="E3028" t="inlineStr">
        <is>
          <t>SOLLEFTEÅ</t>
        </is>
      </c>
      <c r="F3028" t="inlineStr">
        <is>
          <t>SCA</t>
        </is>
      </c>
      <c r="G3028" t="n">
        <v>3.5</v>
      </c>
      <c r="H3028" t="n">
        <v>0</v>
      </c>
      <c r="I3028" t="n">
        <v>0</v>
      </c>
      <c r="J3028" t="n">
        <v>0</v>
      </c>
      <c r="K3028" t="n">
        <v>0</v>
      </c>
      <c r="L3028" t="n">
        <v>0</v>
      </c>
      <c r="M3028" t="n">
        <v>0</v>
      </c>
      <c r="N3028" t="n">
        <v>0</v>
      </c>
      <c r="O3028" t="n">
        <v>0</v>
      </c>
      <c r="P3028" t="n">
        <v>0</v>
      </c>
      <c r="Q3028" t="n">
        <v>0</v>
      </c>
      <c r="R3028" s="2" t="inlineStr"/>
    </row>
    <row r="3029" ht="15" customHeight="1">
      <c r="A3029" t="inlineStr">
        <is>
          <t>A 19418-2021</t>
        </is>
      </c>
      <c r="B3029" s="1" t="n">
        <v>44309</v>
      </c>
      <c r="C3029" s="1" t="n">
        <v>46093</v>
      </c>
      <c r="D3029" t="inlineStr">
        <is>
          <t>VÄSTERNORRLANDS LÄN</t>
        </is>
      </c>
      <c r="E3029" t="inlineStr">
        <is>
          <t>KRAMFORS</t>
        </is>
      </c>
      <c r="G3029" t="n">
        <v>6.4</v>
      </c>
      <c r="H3029" t="n">
        <v>0</v>
      </c>
      <c r="I3029" t="n">
        <v>0</v>
      </c>
      <c r="J3029" t="n">
        <v>0</v>
      </c>
      <c r="K3029" t="n">
        <v>0</v>
      </c>
      <c r="L3029" t="n">
        <v>0</v>
      </c>
      <c r="M3029" t="n">
        <v>0</v>
      </c>
      <c r="N3029" t="n">
        <v>0</v>
      </c>
      <c r="O3029" t="n">
        <v>0</v>
      </c>
      <c r="P3029" t="n">
        <v>0</v>
      </c>
      <c r="Q3029" t="n">
        <v>0</v>
      </c>
      <c r="R3029" s="2" t="inlineStr"/>
    </row>
    <row r="3030" ht="15" customHeight="1">
      <c r="A3030" t="inlineStr">
        <is>
          <t>A 9285-2024</t>
        </is>
      </c>
      <c r="B3030" s="1" t="n">
        <v>45358.64868055555</v>
      </c>
      <c r="C3030" s="1" t="n">
        <v>46093</v>
      </c>
      <c r="D3030" t="inlineStr">
        <is>
          <t>VÄSTERNORRLANDS LÄN</t>
        </is>
      </c>
      <c r="E3030" t="inlineStr">
        <is>
          <t>ÖRNSKÖLDSVIK</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20226-2024</t>
        </is>
      </c>
      <c r="B3031" s="1" t="n">
        <v>45434</v>
      </c>
      <c r="C3031" s="1" t="n">
        <v>46093</v>
      </c>
      <c r="D3031" t="inlineStr">
        <is>
          <t>VÄSTERNORRLANDS LÄN</t>
        </is>
      </c>
      <c r="E3031" t="inlineStr">
        <is>
          <t>TIMRÅ</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20183-2024</t>
        </is>
      </c>
      <c r="B3032" s="1" t="n">
        <v>45434</v>
      </c>
      <c r="C3032" s="1" t="n">
        <v>46093</v>
      </c>
      <c r="D3032" t="inlineStr">
        <is>
          <t>VÄSTERNORRLANDS LÄN</t>
        </is>
      </c>
      <c r="E3032" t="inlineStr">
        <is>
          <t>SUNDSVALL</t>
        </is>
      </c>
      <c r="G3032" t="n">
        <v>5.4</v>
      </c>
      <c r="H3032" t="n">
        <v>0</v>
      </c>
      <c r="I3032" t="n">
        <v>0</v>
      </c>
      <c r="J3032" t="n">
        <v>0</v>
      </c>
      <c r="K3032" t="n">
        <v>0</v>
      </c>
      <c r="L3032" t="n">
        <v>0</v>
      </c>
      <c r="M3032" t="n">
        <v>0</v>
      </c>
      <c r="N3032" t="n">
        <v>0</v>
      </c>
      <c r="O3032" t="n">
        <v>0</v>
      </c>
      <c r="P3032" t="n">
        <v>0</v>
      </c>
      <c r="Q3032" t="n">
        <v>0</v>
      </c>
      <c r="R3032" s="2" t="inlineStr"/>
    </row>
    <row r="3033" ht="15" customHeight="1">
      <c r="A3033" t="inlineStr">
        <is>
          <t>A 65192-2023</t>
        </is>
      </c>
      <c r="B3033" s="1" t="n">
        <v>45288</v>
      </c>
      <c r="C3033" s="1" t="n">
        <v>46093</v>
      </c>
      <c r="D3033" t="inlineStr">
        <is>
          <t>VÄSTERNORRLANDS LÄN</t>
        </is>
      </c>
      <c r="E3033" t="inlineStr">
        <is>
          <t>SUNDSVALL</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65193-2023</t>
        </is>
      </c>
      <c r="B3034" s="1" t="n">
        <v>45288</v>
      </c>
      <c r="C3034" s="1" t="n">
        <v>46093</v>
      </c>
      <c r="D3034" t="inlineStr">
        <is>
          <t>VÄSTERNORRLANDS LÄN</t>
        </is>
      </c>
      <c r="E3034" t="inlineStr">
        <is>
          <t>SUNDSVALL</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21324-2024</t>
        </is>
      </c>
      <c r="B3035" s="1" t="n">
        <v>45440.76388888889</v>
      </c>
      <c r="C3035" s="1" t="n">
        <v>46093</v>
      </c>
      <c r="D3035" t="inlineStr">
        <is>
          <t>VÄSTERNORRLANDS LÄN</t>
        </is>
      </c>
      <c r="E3035" t="inlineStr">
        <is>
          <t>ÖRNSKÖLDSVIK</t>
        </is>
      </c>
      <c r="F3035" t="inlineStr">
        <is>
          <t>Holmen skog AB</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41174-2023</t>
        </is>
      </c>
      <c r="B3036" s="1" t="n">
        <v>45174</v>
      </c>
      <c r="C3036" s="1" t="n">
        <v>46093</v>
      </c>
      <c r="D3036" t="inlineStr">
        <is>
          <t>VÄSTERNORRLANDS LÄN</t>
        </is>
      </c>
      <c r="E3036" t="inlineStr">
        <is>
          <t>ÖRNSKÖLDSVIK</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21533-2024</t>
        </is>
      </c>
      <c r="B3037" s="1" t="n">
        <v>45441</v>
      </c>
      <c r="C3037" s="1" t="n">
        <v>46093</v>
      </c>
      <c r="D3037" t="inlineStr">
        <is>
          <t>VÄSTERNORRLANDS LÄN</t>
        </is>
      </c>
      <c r="E3037" t="inlineStr">
        <is>
          <t>ÖRNSKÖLDSVIK</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20761-2024</t>
        </is>
      </c>
      <c r="B3038" s="1" t="n">
        <v>45436</v>
      </c>
      <c r="C3038" s="1" t="n">
        <v>46093</v>
      </c>
      <c r="D3038" t="inlineStr">
        <is>
          <t>VÄSTERNORRLANDS LÄN</t>
        </is>
      </c>
      <c r="E3038" t="inlineStr">
        <is>
          <t>ÅNGE</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53694-2024</t>
        </is>
      </c>
      <c r="B3039" s="1" t="n">
        <v>45615.38049768518</v>
      </c>
      <c r="C3039" s="1" t="n">
        <v>46093</v>
      </c>
      <c r="D3039" t="inlineStr">
        <is>
          <t>VÄSTERNORRLANDS LÄN</t>
        </is>
      </c>
      <c r="E3039" t="inlineStr">
        <is>
          <t>ÖRNSKÖLDSVIK</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34668-2025</t>
        </is>
      </c>
      <c r="B3040" s="1" t="n">
        <v>45848.38586805556</v>
      </c>
      <c r="C3040" s="1" t="n">
        <v>46093</v>
      </c>
      <c r="D3040" t="inlineStr">
        <is>
          <t>VÄSTERNORRLANDS LÄN</t>
        </is>
      </c>
      <c r="E3040" t="inlineStr">
        <is>
          <t>SUNDSVALL</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42857-2022</t>
        </is>
      </c>
      <c r="B3041" s="1" t="n">
        <v>44832</v>
      </c>
      <c r="C3041" s="1" t="n">
        <v>46093</v>
      </c>
      <c r="D3041" t="inlineStr">
        <is>
          <t>VÄSTERNORRLANDS LÄN</t>
        </is>
      </c>
      <c r="E3041" t="inlineStr">
        <is>
          <t>ÅNGE</t>
        </is>
      </c>
      <c r="G3041" t="n">
        <v>3.4</v>
      </c>
      <c r="H3041" t="n">
        <v>0</v>
      </c>
      <c r="I3041" t="n">
        <v>0</v>
      </c>
      <c r="J3041" t="n">
        <v>0</v>
      </c>
      <c r="K3041" t="n">
        <v>0</v>
      </c>
      <c r="L3041" t="n">
        <v>0</v>
      </c>
      <c r="M3041" t="n">
        <v>0</v>
      </c>
      <c r="N3041" t="n">
        <v>0</v>
      </c>
      <c r="O3041" t="n">
        <v>0</v>
      </c>
      <c r="P3041" t="n">
        <v>0</v>
      </c>
      <c r="Q3041" t="n">
        <v>0</v>
      </c>
      <c r="R3041" s="2" t="inlineStr"/>
    </row>
    <row r="3042" ht="15" customHeight="1">
      <c r="A3042" t="inlineStr">
        <is>
          <t>A 42879-2022</t>
        </is>
      </c>
      <c r="B3042" s="1" t="n">
        <v>44832</v>
      </c>
      <c r="C3042" s="1" t="n">
        <v>46093</v>
      </c>
      <c r="D3042" t="inlineStr">
        <is>
          <t>VÄSTERNORRLANDS LÄN</t>
        </is>
      </c>
      <c r="E3042" t="inlineStr">
        <is>
          <t>SUNDSVALL</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19409-2021</t>
        </is>
      </c>
      <c r="B3043" s="1" t="n">
        <v>44309.94236111111</v>
      </c>
      <c r="C3043" s="1" t="n">
        <v>46093</v>
      </c>
      <c r="D3043" t="inlineStr">
        <is>
          <t>VÄSTERNORRLANDS LÄN</t>
        </is>
      </c>
      <c r="E3043" t="inlineStr">
        <is>
          <t>ÖRNSKÖLDSVIK</t>
        </is>
      </c>
      <c r="F3043" t="inlineStr">
        <is>
          <t>SCA</t>
        </is>
      </c>
      <c r="G3043" t="n">
        <v>16.6</v>
      </c>
      <c r="H3043" t="n">
        <v>0</v>
      </c>
      <c r="I3043" t="n">
        <v>0</v>
      </c>
      <c r="J3043" t="n">
        <v>0</v>
      </c>
      <c r="K3043" t="n">
        <v>0</v>
      </c>
      <c r="L3043" t="n">
        <v>0</v>
      </c>
      <c r="M3043" t="n">
        <v>0</v>
      </c>
      <c r="N3043" t="n">
        <v>0</v>
      </c>
      <c r="O3043" t="n">
        <v>0</v>
      </c>
      <c r="P3043" t="n">
        <v>0</v>
      </c>
      <c r="Q3043" t="n">
        <v>0</v>
      </c>
      <c r="R3043" s="2" t="inlineStr"/>
    </row>
    <row r="3044" ht="15" customHeight="1">
      <c r="A3044" t="inlineStr">
        <is>
          <t>A 19418-2021</t>
        </is>
      </c>
      <c r="B3044" s="1" t="n">
        <v>44309</v>
      </c>
      <c r="C3044" s="1" t="n">
        <v>46093</v>
      </c>
      <c r="D3044" t="inlineStr">
        <is>
          <t>VÄSTERNORRLANDS LÄN</t>
        </is>
      </c>
      <c r="E3044" t="inlineStr">
        <is>
          <t>KRAMFORS</t>
        </is>
      </c>
      <c r="G3044" t="n">
        <v>6.4</v>
      </c>
      <c r="H3044" t="n">
        <v>0</v>
      </c>
      <c r="I3044" t="n">
        <v>0</v>
      </c>
      <c r="J3044" t="n">
        <v>0</v>
      </c>
      <c r="K3044" t="n">
        <v>0</v>
      </c>
      <c r="L3044" t="n">
        <v>0</v>
      </c>
      <c r="M3044" t="n">
        <v>0</v>
      </c>
      <c r="N3044" t="n">
        <v>0</v>
      </c>
      <c r="O3044" t="n">
        <v>0</v>
      </c>
      <c r="P3044" t="n">
        <v>0</v>
      </c>
      <c r="Q3044" t="n">
        <v>0</v>
      </c>
      <c r="R3044" s="2" t="inlineStr"/>
    </row>
    <row r="3045" ht="15" customHeight="1">
      <c r="A3045" t="inlineStr">
        <is>
          <t>A 34771-2025</t>
        </is>
      </c>
      <c r="B3045" s="1" t="n">
        <v>45848.65488425926</v>
      </c>
      <c r="C3045" s="1" t="n">
        <v>46093</v>
      </c>
      <c r="D3045" t="inlineStr">
        <is>
          <t>VÄSTERNORRLANDS LÄN</t>
        </is>
      </c>
      <c r="E3045" t="inlineStr">
        <is>
          <t>HÄRNÖSAND</t>
        </is>
      </c>
      <c r="G3045" t="n">
        <v>7.1</v>
      </c>
      <c r="H3045" t="n">
        <v>0</v>
      </c>
      <c r="I3045" t="n">
        <v>0</v>
      </c>
      <c r="J3045" t="n">
        <v>0</v>
      </c>
      <c r="K3045" t="n">
        <v>0</v>
      </c>
      <c r="L3045" t="n">
        <v>0</v>
      </c>
      <c r="M3045" t="n">
        <v>0</v>
      </c>
      <c r="N3045" t="n">
        <v>0</v>
      </c>
      <c r="O3045" t="n">
        <v>0</v>
      </c>
      <c r="P3045" t="n">
        <v>0</v>
      </c>
      <c r="Q3045" t="n">
        <v>0</v>
      </c>
      <c r="R3045" s="2" t="inlineStr"/>
    </row>
    <row r="3046" ht="15" customHeight="1">
      <c r="A3046" t="inlineStr">
        <is>
          <t>A 34459-2025</t>
        </is>
      </c>
      <c r="B3046" s="1" t="n">
        <v>45847.34442129629</v>
      </c>
      <c r="C3046" s="1" t="n">
        <v>46093</v>
      </c>
      <c r="D3046" t="inlineStr">
        <is>
          <t>VÄSTERNORRLANDS LÄN</t>
        </is>
      </c>
      <c r="E3046" t="inlineStr">
        <is>
          <t>SOLLEFTEÅ</t>
        </is>
      </c>
      <c r="G3046" t="n">
        <v>2.8</v>
      </c>
      <c r="H3046" t="n">
        <v>0</v>
      </c>
      <c r="I3046" t="n">
        <v>0</v>
      </c>
      <c r="J3046" t="n">
        <v>0</v>
      </c>
      <c r="K3046" t="n">
        <v>0</v>
      </c>
      <c r="L3046" t="n">
        <v>0</v>
      </c>
      <c r="M3046" t="n">
        <v>0</v>
      </c>
      <c r="N3046" t="n">
        <v>0</v>
      </c>
      <c r="O3046" t="n">
        <v>0</v>
      </c>
      <c r="P3046" t="n">
        <v>0</v>
      </c>
      <c r="Q3046" t="n">
        <v>0</v>
      </c>
      <c r="R3046" s="2" t="inlineStr"/>
    </row>
    <row r="3047" ht="15" customHeight="1">
      <c r="A3047" t="inlineStr">
        <is>
          <t>A 34494-2025</t>
        </is>
      </c>
      <c r="B3047" s="1" t="n">
        <v>45847.42627314815</v>
      </c>
      <c r="C3047" s="1" t="n">
        <v>46093</v>
      </c>
      <c r="D3047" t="inlineStr">
        <is>
          <t>VÄSTERNORRLANDS LÄN</t>
        </is>
      </c>
      <c r="E3047" t="inlineStr">
        <is>
          <t>ÖRNSKÖLDSVIK</t>
        </is>
      </c>
      <c r="F3047" t="inlineStr">
        <is>
          <t>Holmen skog AB</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7293-2025</t>
        </is>
      </c>
      <c r="B3048" s="1" t="n">
        <v>45702</v>
      </c>
      <c r="C3048" s="1" t="n">
        <v>46093</v>
      </c>
      <c r="D3048" t="inlineStr">
        <is>
          <t>VÄSTERNORRLANDS LÄN</t>
        </is>
      </c>
      <c r="E3048" t="inlineStr">
        <is>
          <t>SUNDSVALL</t>
        </is>
      </c>
      <c r="G3048" t="n">
        <v>0.3</v>
      </c>
      <c r="H3048" t="n">
        <v>0</v>
      </c>
      <c r="I3048" t="n">
        <v>0</v>
      </c>
      <c r="J3048" t="n">
        <v>0</v>
      </c>
      <c r="K3048" t="n">
        <v>0</v>
      </c>
      <c r="L3048" t="n">
        <v>0</v>
      </c>
      <c r="M3048" t="n">
        <v>0</v>
      </c>
      <c r="N3048" t="n">
        <v>0</v>
      </c>
      <c r="O3048" t="n">
        <v>0</v>
      </c>
      <c r="P3048" t="n">
        <v>0</v>
      </c>
      <c r="Q3048" t="n">
        <v>0</v>
      </c>
      <c r="R3048" s="2" t="inlineStr"/>
    </row>
    <row r="3049" ht="15" customHeight="1">
      <c r="A3049" t="inlineStr">
        <is>
          <t>A 34498-2025</t>
        </is>
      </c>
      <c r="B3049" s="1" t="n">
        <v>45847.42768518518</v>
      </c>
      <c r="C3049" s="1" t="n">
        <v>46093</v>
      </c>
      <c r="D3049" t="inlineStr">
        <is>
          <t>VÄSTERNORRLANDS LÄN</t>
        </is>
      </c>
      <c r="E3049" t="inlineStr">
        <is>
          <t>TIMRÅ</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34551-2025</t>
        </is>
      </c>
      <c r="B3050" s="1" t="n">
        <v>45847.56693287037</v>
      </c>
      <c r="C3050" s="1" t="n">
        <v>46093</v>
      </c>
      <c r="D3050" t="inlineStr">
        <is>
          <t>VÄSTERNORRLANDS LÄN</t>
        </is>
      </c>
      <c r="E3050" t="inlineStr">
        <is>
          <t>ÖRNSKÖLDSVIK</t>
        </is>
      </c>
      <c r="F3050" t="inlineStr">
        <is>
          <t>Holmen skog AB</t>
        </is>
      </c>
      <c r="G3050" t="n">
        <v>3.4</v>
      </c>
      <c r="H3050" t="n">
        <v>0</v>
      </c>
      <c r="I3050" t="n">
        <v>0</v>
      </c>
      <c r="J3050" t="n">
        <v>0</v>
      </c>
      <c r="K3050" t="n">
        <v>0</v>
      </c>
      <c r="L3050" t="n">
        <v>0</v>
      </c>
      <c r="M3050" t="n">
        <v>0</v>
      </c>
      <c r="N3050" t="n">
        <v>0</v>
      </c>
      <c r="O3050" t="n">
        <v>0</v>
      </c>
      <c r="P3050" t="n">
        <v>0</v>
      </c>
      <c r="Q3050" t="n">
        <v>0</v>
      </c>
      <c r="R3050" s="2" t="inlineStr"/>
    </row>
    <row r="3051" ht="15" customHeight="1">
      <c r="A3051" t="inlineStr">
        <is>
          <t>A 39566-2024</t>
        </is>
      </c>
      <c r="B3051" s="1" t="n">
        <v>45552.3540625</v>
      </c>
      <c r="C3051" s="1" t="n">
        <v>46093</v>
      </c>
      <c r="D3051" t="inlineStr">
        <is>
          <t>VÄSTERNORRLANDS LÄN</t>
        </is>
      </c>
      <c r="E3051" t="inlineStr">
        <is>
          <t>ÖRNSKÖLDSVIK</t>
        </is>
      </c>
      <c r="F3051" t="inlineStr">
        <is>
          <t>Holmen skog AB</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34556-2025</t>
        </is>
      </c>
      <c r="B3052" s="1" t="n">
        <v>45847.57347222222</v>
      </c>
      <c r="C3052" s="1" t="n">
        <v>46093</v>
      </c>
      <c r="D3052" t="inlineStr">
        <is>
          <t>VÄSTERNORRLANDS LÄN</t>
        </is>
      </c>
      <c r="E3052" t="inlineStr">
        <is>
          <t>SUNDSVALL</t>
        </is>
      </c>
      <c r="F3052" t="inlineStr">
        <is>
          <t>SCA</t>
        </is>
      </c>
      <c r="G3052" t="n">
        <v>3.6</v>
      </c>
      <c r="H3052" t="n">
        <v>0</v>
      </c>
      <c r="I3052" t="n">
        <v>0</v>
      </c>
      <c r="J3052" t="n">
        <v>0</v>
      </c>
      <c r="K3052" t="n">
        <v>0</v>
      </c>
      <c r="L3052" t="n">
        <v>0</v>
      </c>
      <c r="M3052" t="n">
        <v>0</v>
      </c>
      <c r="N3052" t="n">
        <v>0</v>
      </c>
      <c r="O3052" t="n">
        <v>0</v>
      </c>
      <c r="P3052" t="n">
        <v>0</v>
      </c>
      <c r="Q3052" t="n">
        <v>0</v>
      </c>
      <c r="R3052" s="2" t="inlineStr"/>
    </row>
    <row r="3053" ht="15" customHeight="1">
      <c r="A3053" t="inlineStr">
        <is>
          <t>A 34557-2025</t>
        </is>
      </c>
      <c r="B3053" s="1" t="n">
        <v>45847.57372685185</v>
      </c>
      <c r="C3053" s="1" t="n">
        <v>46093</v>
      </c>
      <c r="D3053" t="inlineStr">
        <is>
          <t>VÄSTERNORRLANDS LÄN</t>
        </is>
      </c>
      <c r="E3053" t="inlineStr">
        <is>
          <t>SUNDSVALL</t>
        </is>
      </c>
      <c r="F3053" t="inlineStr">
        <is>
          <t>SCA</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38332-2025</t>
        </is>
      </c>
      <c r="B3054" s="1" t="n">
        <v>45883.49151620371</v>
      </c>
      <c r="C3054" s="1" t="n">
        <v>46093</v>
      </c>
      <c r="D3054" t="inlineStr">
        <is>
          <t>VÄSTERNORRLANDS LÄN</t>
        </is>
      </c>
      <c r="E3054" t="inlineStr">
        <is>
          <t>ÅNGE</t>
        </is>
      </c>
      <c r="F3054" t="inlineStr">
        <is>
          <t>SCA</t>
        </is>
      </c>
      <c r="G3054" t="n">
        <v>5.9</v>
      </c>
      <c r="H3054" t="n">
        <v>0</v>
      </c>
      <c r="I3054" t="n">
        <v>0</v>
      </c>
      <c r="J3054" t="n">
        <v>0</v>
      </c>
      <c r="K3054" t="n">
        <v>0</v>
      </c>
      <c r="L3054" t="n">
        <v>0</v>
      </c>
      <c r="M3054" t="n">
        <v>0</v>
      </c>
      <c r="N3054" t="n">
        <v>0</v>
      </c>
      <c r="O3054" t="n">
        <v>0</v>
      </c>
      <c r="P3054" t="n">
        <v>0</v>
      </c>
      <c r="Q3054" t="n">
        <v>0</v>
      </c>
      <c r="R3054" s="2" t="inlineStr"/>
    </row>
    <row r="3055" ht="15" customHeight="1">
      <c r="A3055" t="inlineStr">
        <is>
          <t>A 38364-2025</t>
        </is>
      </c>
      <c r="B3055" s="1" t="n">
        <v>45883.54486111111</v>
      </c>
      <c r="C3055" s="1" t="n">
        <v>46093</v>
      </c>
      <c r="D3055" t="inlineStr">
        <is>
          <t>VÄSTERNORRLANDS LÄN</t>
        </is>
      </c>
      <c r="E3055" t="inlineStr">
        <is>
          <t>ÖRNSKÖLDSVIK</t>
        </is>
      </c>
      <c r="F3055" t="inlineStr">
        <is>
          <t>Holmen skog AB</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38385-2025</t>
        </is>
      </c>
      <c r="B3056" s="1" t="n">
        <v>45883.57413194444</v>
      </c>
      <c r="C3056" s="1" t="n">
        <v>46093</v>
      </c>
      <c r="D3056" t="inlineStr">
        <is>
          <t>VÄSTERNORRLANDS LÄN</t>
        </is>
      </c>
      <c r="E3056" t="inlineStr">
        <is>
          <t>SUNDSVALL</t>
        </is>
      </c>
      <c r="F3056" t="inlineStr">
        <is>
          <t>SCA</t>
        </is>
      </c>
      <c r="G3056" t="n">
        <v>6.2</v>
      </c>
      <c r="H3056" t="n">
        <v>0</v>
      </c>
      <c r="I3056" t="n">
        <v>0</v>
      </c>
      <c r="J3056" t="n">
        <v>0</v>
      </c>
      <c r="K3056" t="n">
        <v>0</v>
      </c>
      <c r="L3056" t="n">
        <v>0</v>
      </c>
      <c r="M3056" t="n">
        <v>0</v>
      </c>
      <c r="N3056" t="n">
        <v>0</v>
      </c>
      <c r="O3056" t="n">
        <v>0</v>
      </c>
      <c r="P3056" t="n">
        <v>0</v>
      </c>
      <c r="Q3056" t="n">
        <v>0</v>
      </c>
      <c r="R3056" s="2" t="inlineStr"/>
    </row>
    <row r="3057" ht="15" customHeight="1">
      <c r="A3057" t="inlineStr">
        <is>
          <t>A 38419-2025</t>
        </is>
      </c>
      <c r="B3057" s="1" t="n">
        <v>45883.6212962963</v>
      </c>
      <c r="C3057" s="1" t="n">
        <v>46093</v>
      </c>
      <c r="D3057" t="inlineStr">
        <is>
          <t>VÄSTERNORRLANDS LÄN</t>
        </is>
      </c>
      <c r="E3057" t="inlineStr">
        <is>
          <t>ÖRNSKÖLDSVIK</t>
        </is>
      </c>
      <c r="F3057" t="inlineStr">
        <is>
          <t>Holmen skog AB</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32406-2023</t>
        </is>
      </c>
      <c r="B3058" s="1" t="n">
        <v>45110</v>
      </c>
      <c r="C3058" s="1" t="n">
        <v>46093</v>
      </c>
      <c r="D3058" t="inlineStr">
        <is>
          <t>VÄSTERNORRLANDS LÄN</t>
        </is>
      </c>
      <c r="E3058" t="inlineStr">
        <is>
          <t>ÖRNSKÖLDSVIK</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32465-2023</t>
        </is>
      </c>
      <c r="B3059" s="1" t="n">
        <v>45120.9265625</v>
      </c>
      <c r="C3059" s="1" t="n">
        <v>46093</v>
      </c>
      <c r="D3059" t="inlineStr">
        <is>
          <t>VÄSTERNORRLANDS LÄN</t>
        </is>
      </c>
      <c r="E3059" t="inlineStr">
        <is>
          <t>KRAMFORS</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47714-2024</t>
        </is>
      </c>
      <c r="B3060" s="1" t="n">
        <v>45588.48163194444</v>
      </c>
      <c r="C3060" s="1" t="n">
        <v>46093</v>
      </c>
      <c r="D3060" t="inlineStr">
        <is>
          <t>VÄSTERNORRLANDS LÄN</t>
        </is>
      </c>
      <c r="E3060" t="inlineStr">
        <is>
          <t>SUNDSVALL</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48787-2024</t>
        </is>
      </c>
      <c r="B3061" s="1" t="n">
        <v>45593.63888888889</v>
      </c>
      <c r="C3061" s="1" t="n">
        <v>46093</v>
      </c>
      <c r="D3061" t="inlineStr">
        <is>
          <t>VÄSTERNORRLANDS LÄN</t>
        </is>
      </c>
      <c r="E3061" t="inlineStr">
        <is>
          <t>ÅNGE</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58939-2021</t>
        </is>
      </c>
      <c r="B3062" s="1" t="n">
        <v>44489</v>
      </c>
      <c r="C3062" s="1" t="n">
        <v>46093</v>
      </c>
      <c r="D3062" t="inlineStr">
        <is>
          <t>VÄSTERNORRLANDS LÄN</t>
        </is>
      </c>
      <c r="E3062" t="inlineStr">
        <is>
          <t>ÅNGE</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8732-2022</t>
        </is>
      </c>
      <c r="B3063" s="1" t="n">
        <v>44613.94571759259</v>
      </c>
      <c r="C3063" s="1" t="n">
        <v>46093</v>
      </c>
      <c r="D3063" t="inlineStr">
        <is>
          <t>VÄSTERNORRLANDS LÄN</t>
        </is>
      </c>
      <c r="E3063" t="inlineStr">
        <is>
          <t>KRAMFORS</t>
        </is>
      </c>
      <c r="F3063" t="inlineStr">
        <is>
          <t>SCA</t>
        </is>
      </c>
      <c r="G3063" t="n">
        <v>11.7</v>
      </c>
      <c r="H3063" t="n">
        <v>0</v>
      </c>
      <c r="I3063" t="n">
        <v>0</v>
      </c>
      <c r="J3063" t="n">
        <v>0</v>
      </c>
      <c r="K3063" t="n">
        <v>0</v>
      </c>
      <c r="L3063" t="n">
        <v>0</v>
      </c>
      <c r="M3063" t="n">
        <v>0</v>
      </c>
      <c r="N3063" t="n">
        <v>0</v>
      </c>
      <c r="O3063" t="n">
        <v>0</v>
      </c>
      <c r="P3063" t="n">
        <v>0</v>
      </c>
      <c r="Q3063" t="n">
        <v>0</v>
      </c>
      <c r="R3063" s="2" t="inlineStr"/>
    </row>
    <row r="3064" ht="15" customHeight="1">
      <c r="A3064" t="inlineStr">
        <is>
          <t>A 18882-2021</t>
        </is>
      </c>
      <c r="B3064" s="1" t="n">
        <v>44307.93505787037</v>
      </c>
      <c r="C3064" s="1" t="n">
        <v>46093</v>
      </c>
      <c r="D3064" t="inlineStr">
        <is>
          <t>VÄSTERNORRLANDS LÄN</t>
        </is>
      </c>
      <c r="E3064" t="inlineStr">
        <is>
          <t>SOLLEFTEÅ</t>
        </is>
      </c>
      <c r="F3064" t="inlineStr">
        <is>
          <t>SCA</t>
        </is>
      </c>
      <c r="G3064" t="n">
        <v>6.1</v>
      </c>
      <c r="H3064" t="n">
        <v>0</v>
      </c>
      <c r="I3064" t="n">
        <v>0</v>
      </c>
      <c r="J3064" t="n">
        <v>0</v>
      </c>
      <c r="K3064" t="n">
        <v>0</v>
      </c>
      <c r="L3064" t="n">
        <v>0</v>
      </c>
      <c r="M3064" t="n">
        <v>0</v>
      </c>
      <c r="N3064" t="n">
        <v>0</v>
      </c>
      <c r="O3064" t="n">
        <v>0</v>
      </c>
      <c r="P3064" t="n">
        <v>0</v>
      </c>
      <c r="Q3064" t="n">
        <v>0</v>
      </c>
      <c r="R3064" s="2" t="inlineStr"/>
    </row>
    <row r="3065" ht="15" customHeight="1">
      <c r="A3065" t="inlineStr">
        <is>
          <t>A 15273-2025</t>
        </is>
      </c>
      <c r="B3065" s="1" t="n">
        <v>45744.67740740741</v>
      </c>
      <c r="C3065" s="1" t="n">
        <v>46093</v>
      </c>
      <c r="D3065" t="inlineStr">
        <is>
          <t>VÄSTERNORRLANDS LÄN</t>
        </is>
      </c>
      <c r="E3065" t="inlineStr">
        <is>
          <t>SOLLEFTEÅ</t>
        </is>
      </c>
      <c r="F3065" t="inlineStr">
        <is>
          <t>SCA</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15287-2025</t>
        </is>
      </c>
      <c r="B3066" s="1" t="n">
        <v>45745</v>
      </c>
      <c r="C3066" s="1" t="n">
        <v>46093</v>
      </c>
      <c r="D3066" t="inlineStr">
        <is>
          <t>VÄSTERNORRLANDS LÄN</t>
        </is>
      </c>
      <c r="E3066" t="inlineStr">
        <is>
          <t>ÅNGE</t>
        </is>
      </c>
      <c r="F3066" t="inlineStr">
        <is>
          <t>SCA</t>
        </is>
      </c>
      <c r="G3066" t="n">
        <v>4.3</v>
      </c>
      <c r="H3066" t="n">
        <v>0</v>
      </c>
      <c r="I3066" t="n">
        <v>0</v>
      </c>
      <c r="J3066" t="n">
        <v>0</v>
      </c>
      <c r="K3066" t="n">
        <v>0</v>
      </c>
      <c r="L3066" t="n">
        <v>0</v>
      </c>
      <c r="M3066" t="n">
        <v>0</v>
      </c>
      <c r="N3066" t="n">
        <v>0</v>
      </c>
      <c r="O3066" t="n">
        <v>0</v>
      </c>
      <c r="P3066" t="n">
        <v>0</v>
      </c>
      <c r="Q3066" t="n">
        <v>0</v>
      </c>
      <c r="R3066" s="2" t="inlineStr"/>
    </row>
    <row r="3067" ht="15" customHeight="1">
      <c r="A3067" t="inlineStr">
        <is>
          <t>A 15288-2025</t>
        </is>
      </c>
      <c r="B3067" s="1" t="n">
        <v>45745.34423611111</v>
      </c>
      <c r="C3067" s="1" t="n">
        <v>46093</v>
      </c>
      <c r="D3067" t="inlineStr">
        <is>
          <t>VÄSTERNORRLANDS LÄN</t>
        </is>
      </c>
      <c r="E3067" t="inlineStr">
        <is>
          <t>ÅNGE</t>
        </is>
      </c>
      <c r="F3067" t="inlineStr">
        <is>
          <t>SCA</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14094-2025</t>
        </is>
      </c>
      <c r="B3068" s="1" t="n">
        <v>45740.44827546296</v>
      </c>
      <c r="C3068" s="1" t="n">
        <v>46093</v>
      </c>
      <c r="D3068" t="inlineStr">
        <is>
          <t>VÄSTERNORRLANDS LÄN</t>
        </is>
      </c>
      <c r="E3068" t="inlineStr">
        <is>
          <t>SOLLEFTEÅ</t>
        </is>
      </c>
      <c r="F3068" t="inlineStr">
        <is>
          <t>SCA</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14096-2025</t>
        </is>
      </c>
      <c r="B3069" s="1" t="n">
        <v>45740.44858796296</v>
      </c>
      <c r="C3069" s="1" t="n">
        <v>46093</v>
      </c>
      <c r="D3069" t="inlineStr">
        <is>
          <t>VÄSTERNORRLANDS LÄN</t>
        </is>
      </c>
      <c r="E3069" t="inlineStr">
        <is>
          <t>SOLLEFTEÅ</t>
        </is>
      </c>
      <c r="F3069" t="inlineStr">
        <is>
          <t>SCA</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26234-2024</t>
        </is>
      </c>
      <c r="B3070" s="1" t="n">
        <v>45468</v>
      </c>
      <c r="C3070" s="1" t="n">
        <v>46093</v>
      </c>
      <c r="D3070" t="inlineStr">
        <is>
          <t>VÄSTERNORRLANDS LÄN</t>
        </is>
      </c>
      <c r="E3070" t="inlineStr">
        <is>
          <t>SUNDSVALL</t>
        </is>
      </c>
      <c r="G3070" t="n">
        <v>4.2</v>
      </c>
      <c r="H3070" t="n">
        <v>0</v>
      </c>
      <c r="I3070" t="n">
        <v>0</v>
      </c>
      <c r="J3070" t="n">
        <v>0</v>
      </c>
      <c r="K3070" t="n">
        <v>0</v>
      </c>
      <c r="L3070" t="n">
        <v>0</v>
      </c>
      <c r="M3070" t="n">
        <v>0</v>
      </c>
      <c r="N3070" t="n">
        <v>0</v>
      </c>
      <c r="O3070" t="n">
        <v>0</v>
      </c>
      <c r="P3070" t="n">
        <v>0</v>
      </c>
      <c r="Q3070" t="n">
        <v>0</v>
      </c>
      <c r="R3070" s="2" t="inlineStr"/>
    </row>
    <row r="3071" ht="15" customHeight="1">
      <c r="A3071" t="inlineStr">
        <is>
          <t>A 200-2023</t>
        </is>
      </c>
      <c r="B3071" s="1" t="n">
        <v>44928</v>
      </c>
      <c r="C3071" s="1" t="n">
        <v>46093</v>
      </c>
      <c r="D3071" t="inlineStr">
        <is>
          <t>VÄSTERNORRLANDS LÄN</t>
        </is>
      </c>
      <c r="E3071" t="inlineStr">
        <is>
          <t>SUNDSVALL</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42963-2024</t>
        </is>
      </c>
      <c r="B3072" s="1" t="n">
        <v>45567.37240740741</v>
      </c>
      <c r="C3072" s="1" t="n">
        <v>46093</v>
      </c>
      <c r="D3072" t="inlineStr">
        <is>
          <t>VÄSTERNORRLANDS LÄN</t>
        </is>
      </c>
      <c r="E3072" t="inlineStr">
        <is>
          <t>SOLLEFTEÅ</t>
        </is>
      </c>
      <c r="F3072" t="inlineStr">
        <is>
          <t>SCA</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42969-2024</t>
        </is>
      </c>
      <c r="B3073" s="1" t="n">
        <v>45567.37300925926</v>
      </c>
      <c r="C3073" s="1" t="n">
        <v>46093</v>
      </c>
      <c r="D3073" t="inlineStr">
        <is>
          <t>VÄSTERNORRLANDS LÄN</t>
        </is>
      </c>
      <c r="E3073" t="inlineStr">
        <is>
          <t>ÅNGE</t>
        </is>
      </c>
      <c r="F3073" t="inlineStr">
        <is>
          <t>SCA</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43001-2024</t>
        </is>
      </c>
      <c r="B3074" s="1" t="n">
        <v>45567.37609953704</v>
      </c>
      <c r="C3074" s="1" t="n">
        <v>46093</v>
      </c>
      <c r="D3074" t="inlineStr">
        <is>
          <t>VÄSTERNORRLANDS LÄN</t>
        </is>
      </c>
      <c r="E3074" t="inlineStr">
        <is>
          <t>SUNDSVALL</t>
        </is>
      </c>
      <c r="G3074" t="n">
        <v>0.4</v>
      </c>
      <c r="H3074" t="n">
        <v>0</v>
      </c>
      <c r="I3074" t="n">
        <v>0</v>
      </c>
      <c r="J3074" t="n">
        <v>0</v>
      </c>
      <c r="K3074" t="n">
        <v>0</v>
      </c>
      <c r="L3074" t="n">
        <v>0</v>
      </c>
      <c r="M3074" t="n">
        <v>0</v>
      </c>
      <c r="N3074" t="n">
        <v>0</v>
      </c>
      <c r="O3074" t="n">
        <v>0</v>
      </c>
      <c r="P3074" t="n">
        <v>0</v>
      </c>
      <c r="Q3074" t="n">
        <v>0</v>
      </c>
      <c r="R3074" s="2" t="inlineStr"/>
    </row>
    <row r="3075" ht="15" customHeight="1">
      <c r="A3075" t="inlineStr">
        <is>
          <t>A 13937-2024</t>
        </is>
      </c>
      <c r="B3075" s="1" t="n">
        <v>45391</v>
      </c>
      <c r="C3075" s="1" t="n">
        <v>46093</v>
      </c>
      <c r="D3075" t="inlineStr">
        <is>
          <t>VÄSTERNORRLANDS LÄN</t>
        </is>
      </c>
      <c r="E3075" t="inlineStr">
        <is>
          <t>SUNDSVALL</t>
        </is>
      </c>
      <c r="F3075" t="inlineStr">
        <is>
          <t>SCA</t>
        </is>
      </c>
      <c r="G3075" t="n">
        <v>13.5</v>
      </c>
      <c r="H3075" t="n">
        <v>0</v>
      </c>
      <c r="I3075" t="n">
        <v>0</v>
      </c>
      <c r="J3075" t="n">
        <v>0</v>
      </c>
      <c r="K3075" t="n">
        <v>0</v>
      </c>
      <c r="L3075" t="n">
        <v>0</v>
      </c>
      <c r="M3075" t="n">
        <v>0</v>
      </c>
      <c r="N3075" t="n">
        <v>0</v>
      </c>
      <c r="O3075" t="n">
        <v>0</v>
      </c>
      <c r="P3075" t="n">
        <v>0</v>
      </c>
      <c r="Q3075" t="n">
        <v>0</v>
      </c>
      <c r="R3075" s="2" t="inlineStr"/>
    </row>
    <row r="3076" ht="15" customHeight="1">
      <c r="A3076" t="inlineStr">
        <is>
          <t>A 18147-2023</t>
        </is>
      </c>
      <c r="B3076" s="1" t="n">
        <v>45040.94042824074</v>
      </c>
      <c r="C3076" s="1" t="n">
        <v>46093</v>
      </c>
      <c r="D3076" t="inlineStr">
        <is>
          <t>VÄSTERNORRLANDS LÄN</t>
        </is>
      </c>
      <c r="E3076" t="inlineStr">
        <is>
          <t>ÖRNSKÖLDSVIK</t>
        </is>
      </c>
      <c r="F3076" t="inlineStr">
        <is>
          <t>SCA</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18149-2023</t>
        </is>
      </c>
      <c r="B3077" s="1" t="n">
        <v>45040</v>
      </c>
      <c r="C3077" s="1" t="n">
        <v>46093</v>
      </c>
      <c r="D3077" t="inlineStr">
        <is>
          <t>VÄSTERNORRLANDS LÄN</t>
        </is>
      </c>
      <c r="E3077" t="inlineStr">
        <is>
          <t>SOLLEFTEÅ</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18153-2023</t>
        </is>
      </c>
      <c r="B3078" s="1" t="n">
        <v>45040</v>
      </c>
      <c r="C3078" s="1" t="n">
        <v>46093</v>
      </c>
      <c r="D3078" t="inlineStr">
        <is>
          <t>VÄSTERNORRLANDS LÄN</t>
        </is>
      </c>
      <c r="E3078" t="inlineStr">
        <is>
          <t>SUNDSVALL</t>
        </is>
      </c>
      <c r="F3078" t="inlineStr">
        <is>
          <t>SCA</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52683-2024</t>
        </is>
      </c>
      <c r="B3079" s="1" t="n">
        <v>45610</v>
      </c>
      <c r="C3079" s="1" t="n">
        <v>46093</v>
      </c>
      <c r="D3079" t="inlineStr">
        <is>
          <t>VÄSTERNORRLANDS LÄN</t>
        </is>
      </c>
      <c r="E3079" t="inlineStr">
        <is>
          <t>ÅNGE</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37558-2023</t>
        </is>
      </c>
      <c r="B3080" s="1" t="n">
        <v>45159.34511574074</v>
      </c>
      <c r="C3080" s="1" t="n">
        <v>46093</v>
      </c>
      <c r="D3080" t="inlineStr">
        <is>
          <t>VÄSTERNORRLANDS LÄN</t>
        </is>
      </c>
      <c r="E3080" t="inlineStr">
        <is>
          <t>ÅNGE</t>
        </is>
      </c>
      <c r="F3080" t="inlineStr">
        <is>
          <t>Kyrkan</t>
        </is>
      </c>
      <c r="G3080" t="n">
        <v>5.6</v>
      </c>
      <c r="H3080" t="n">
        <v>0</v>
      </c>
      <c r="I3080" t="n">
        <v>0</v>
      </c>
      <c r="J3080" t="n">
        <v>0</v>
      </c>
      <c r="K3080" t="n">
        <v>0</v>
      </c>
      <c r="L3080" t="n">
        <v>0</v>
      </c>
      <c r="M3080" t="n">
        <v>0</v>
      </c>
      <c r="N3080" t="n">
        <v>0</v>
      </c>
      <c r="O3080" t="n">
        <v>0</v>
      </c>
      <c r="P3080" t="n">
        <v>0</v>
      </c>
      <c r="Q3080" t="n">
        <v>0</v>
      </c>
      <c r="R3080" s="2" t="inlineStr"/>
    </row>
    <row r="3081" ht="15" customHeight="1">
      <c r="A3081" t="inlineStr">
        <is>
          <t>A 34785-2025</t>
        </is>
      </c>
      <c r="B3081" s="1" t="n">
        <v>45848.67771990741</v>
      </c>
      <c r="C3081" s="1" t="n">
        <v>46093</v>
      </c>
      <c r="D3081" t="inlineStr">
        <is>
          <t>VÄSTERNORRLANDS LÄN</t>
        </is>
      </c>
      <c r="E3081" t="inlineStr">
        <is>
          <t>ÅNGE</t>
        </is>
      </c>
      <c r="F3081" t="inlineStr">
        <is>
          <t>SCA</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12965-2025</t>
        </is>
      </c>
      <c r="B3082" s="1" t="n">
        <v>45734.42753472222</v>
      </c>
      <c r="C3082" s="1" t="n">
        <v>46093</v>
      </c>
      <c r="D3082" t="inlineStr">
        <is>
          <t>VÄSTERNORRLANDS LÄN</t>
        </is>
      </c>
      <c r="E3082" t="inlineStr">
        <is>
          <t>SOLLEFTEÅ</t>
        </is>
      </c>
      <c r="G3082" t="n">
        <v>5.7</v>
      </c>
      <c r="H3082" t="n">
        <v>0</v>
      </c>
      <c r="I3082" t="n">
        <v>0</v>
      </c>
      <c r="J3082" t="n">
        <v>0</v>
      </c>
      <c r="K3082" t="n">
        <v>0</v>
      </c>
      <c r="L3082" t="n">
        <v>0</v>
      </c>
      <c r="M3082" t="n">
        <v>0</v>
      </c>
      <c r="N3082" t="n">
        <v>0</v>
      </c>
      <c r="O3082" t="n">
        <v>0</v>
      </c>
      <c r="P3082" t="n">
        <v>0</v>
      </c>
      <c r="Q3082" t="n">
        <v>0</v>
      </c>
      <c r="R3082" s="2" t="inlineStr"/>
    </row>
    <row r="3083" ht="15" customHeight="1">
      <c r="A3083" t="inlineStr">
        <is>
          <t>A 37578-2023</t>
        </is>
      </c>
      <c r="B3083" s="1" t="n">
        <v>45159.38454861111</v>
      </c>
      <c r="C3083" s="1" t="n">
        <v>46093</v>
      </c>
      <c r="D3083" t="inlineStr">
        <is>
          <t>VÄSTERNORRLANDS LÄN</t>
        </is>
      </c>
      <c r="E3083" t="inlineStr">
        <is>
          <t>ÖRNSKÖLDSVIK</t>
        </is>
      </c>
      <c r="F3083" t="inlineStr">
        <is>
          <t>Holmen skog AB</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34852-2023</t>
        </is>
      </c>
      <c r="B3084" s="1" t="n">
        <v>45141</v>
      </c>
      <c r="C3084" s="1" t="n">
        <v>46093</v>
      </c>
      <c r="D3084" t="inlineStr">
        <is>
          <t>VÄSTERNORRLANDS LÄN</t>
        </is>
      </c>
      <c r="E3084" t="inlineStr">
        <is>
          <t>ÅNGE</t>
        </is>
      </c>
      <c r="F3084" t="inlineStr">
        <is>
          <t>SCA</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57294-2023</t>
        </is>
      </c>
      <c r="B3085" s="1" t="n">
        <v>45245.60854166667</v>
      </c>
      <c r="C3085" s="1" t="n">
        <v>46093</v>
      </c>
      <c r="D3085" t="inlineStr">
        <is>
          <t>VÄSTERNORRLANDS LÄN</t>
        </is>
      </c>
      <c r="E3085" t="inlineStr">
        <is>
          <t>ÖRNSKÖLDSVIK</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17061-2023</t>
        </is>
      </c>
      <c r="B3086" s="1" t="n">
        <v>45034</v>
      </c>
      <c r="C3086" s="1" t="n">
        <v>46093</v>
      </c>
      <c r="D3086" t="inlineStr">
        <is>
          <t>VÄSTERNORRLANDS LÄN</t>
        </is>
      </c>
      <c r="E3086" t="inlineStr">
        <is>
          <t>KRAMFORS</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27562-2024</t>
        </is>
      </c>
      <c r="B3087" s="1" t="n">
        <v>45474</v>
      </c>
      <c r="C3087" s="1" t="n">
        <v>46093</v>
      </c>
      <c r="D3087" t="inlineStr">
        <is>
          <t>VÄSTERNORRLANDS LÄN</t>
        </is>
      </c>
      <c r="E3087" t="inlineStr">
        <is>
          <t>ÖRNSKÖLDSVIK</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15190-2025</t>
        </is>
      </c>
      <c r="B3088" s="1" t="n">
        <v>45744.55275462963</v>
      </c>
      <c r="C3088" s="1" t="n">
        <v>46093</v>
      </c>
      <c r="D3088" t="inlineStr">
        <is>
          <t>VÄSTERNORRLANDS LÄN</t>
        </is>
      </c>
      <c r="E3088" t="inlineStr">
        <is>
          <t>KRAMFORS</t>
        </is>
      </c>
      <c r="F3088" t="inlineStr">
        <is>
          <t>Kyrkan</t>
        </is>
      </c>
      <c r="G3088" t="n">
        <v>4.9</v>
      </c>
      <c r="H3088" t="n">
        <v>0</v>
      </c>
      <c r="I3088" t="n">
        <v>0</v>
      </c>
      <c r="J3088" t="n">
        <v>0</v>
      </c>
      <c r="K3088" t="n">
        <v>0</v>
      </c>
      <c r="L3088" t="n">
        <v>0</v>
      </c>
      <c r="M3088" t="n">
        <v>0</v>
      </c>
      <c r="N3088" t="n">
        <v>0</v>
      </c>
      <c r="O3088" t="n">
        <v>0</v>
      </c>
      <c r="P3088" t="n">
        <v>0</v>
      </c>
      <c r="Q3088" t="n">
        <v>0</v>
      </c>
      <c r="R3088" s="2" t="inlineStr"/>
    </row>
    <row r="3089" ht="15" customHeight="1">
      <c r="A3089" t="inlineStr">
        <is>
          <t>A 21609-2023</t>
        </is>
      </c>
      <c r="B3089" s="1" t="n">
        <v>45062</v>
      </c>
      <c r="C3089" s="1" t="n">
        <v>46093</v>
      </c>
      <c r="D3089" t="inlineStr">
        <is>
          <t>VÄSTERNORRLANDS LÄN</t>
        </is>
      </c>
      <c r="E3089" t="inlineStr">
        <is>
          <t>KRAMFORS</t>
        </is>
      </c>
      <c r="G3089" t="n">
        <v>3.8</v>
      </c>
      <c r="H3089" t="n">
        <v>0</v>
      </c>
      <c r="I3089" t="n">
        <v>0</v>
      </c>
      <c r="J3089" t="n">
        <v>0</v>
      </c>
      <c r="K3089" t="n">
        <v>0</v>
      </c>
      <c r="L3089" t="n">
        <v>0</v>
      </c>
      <c r="M3089" t="n">
        <v>0</v>
      </c>
      <c r="N3089" t="n">
        <v>0</v>
      </c>
      <c r="O3089" t="n">
        <v>0</v>
      </c>
      <c r="P3089" t="n">
        <v>0</v>
      </c>
      <c r="Q3089" t="n">
        <v>0</v>
      </c>
      <c r="R3089" s="2" t="inlineStr"/>
    </row>
    <row r="3090" ht="15" customHeight="1">
      <c r="A3090" t="inlineStr">
        <is>
          <t>A 27673-2024</t>
        </is>
      </c>
      <c r="B3090" s="1" t="n">
        <v>45474.9560300926</v>
      </c>
      <c r="C3090" s="1" t="n">
        <v>46093</v>
      </c>
      <c r="D3090" t="inlineStr">
        <is>
          <t>VÄSTERNORRLANDS LÄN</t>
        </is>
      </c>
      <c r="E3090" t="inlineStr">
        <is>
          <t>SUNDSVALL</t>
        </is>
      </c>
      <c r="F3090" t="inlineStr">
        <is>
          <t>SCA</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21031-2024</t>
        </is>
      </c>
      <c r="B3091" s="1" t="n">
        <v>45439</v>
      </c>
      <c r="C3091" s="1" t="n">
        <v>46093</v>
      </c>
      <c r="D3091" t="inlineStr">
        <is>
          <t>VÄSTERNORRLANDS LÄN</t>
        </is>
      </c>
      <c r="E3091" t="inlineStr">
        <is>
          <t>SOLLEFTEÅ</t>
        </is>
      </c>
      <c r="F3091" t="inlineStr">
        <is>
          <t>Holmen skog AB</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37172-2022</t>
        </is>
      </c>
      <c r="B3092" s="1" t="n">
        <v>44806</v>
      </c>
      <c r="C3092" s="1" t="n">
        <v>46093</v>
      </c>
      <c r="D3092" t="inlineStr">
        <is>
          <t>VÄSTERNORRLANDS LÄN</t>
        </is>
      </c>
      <c r="E3092" t="inlineStr">
        <is>
          <t>HÄRNÖSAND</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37172-2022</t>
        </is>
      </c>
      <c r="B3093" s="1" t="n">
        <v>44806</v>
      </c>
      <c r="C3093" s="1" t="n">
        <v>46093</v>
      </c>
      <c r="D3093" t="inlineStr">
        <is>
          <t>VÄSTERNORRLANDS LÄN</t>
        </is>
      </c>
      <c r="E3093" t="inlineStr">
        <is>
          <t>HÄRNÖSAND</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40846-2022</t>
        </is>
      </c>
      <c r="B3094" s="1" t="n">
        <v>44824.94766203704</v>
      </c>
      <c r="C3094" s="1" t="n">
        <v>46093</v>
      </c>
      <c r="D3094" t="inlineStr">
        <is>
          <t>VÄSTERNORRLANDS LÄN</t>
        </is>
      </c>
      <c r="E3094" t="inlineStr">
        <is>
          <t>SUNDSVALL</t>
        </is>
      </c>
      <c r="F3094" t="inlineStr">
        <is>
          <t>SCA</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14975-2024</t>
        </is>
      </c>
      <c r="B3095" s="1" t="n">
        <v>45398.94100694444</v>
      </c>
      <c r="C3095" s="1" t="n">
        <v>46093</v>
      </c>
      <c r="D3095" t="inlineStr">
        <is>
          <t>VÄSTERNORRLANDS LÄN</t>
        </is>
      </c>
      <c r="E3095" t="inlineStr">
        <is>
          <t>SOLLEFTEÅ</t>
        </is>
      </c>
      <c r="F3095" t="inlineStr">
        <is>
          <t>SCA</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14983-2024</t>
        </is>
      </c>
      <c r="B3096" s="1" t="n">
        <v>45398.94237268518</v>
      </c>
      <c r="C3096" s="1" t="n">
        <v>46093</v>
      </c>
      <c r="D3096" t="inlineStr">
        <is>
          <t>VÄSTERNORRLANDS LÄN</t>
        </is>
      </c>
      <c r="E3096" t="inlineStr">
        <is>
          <t>SOLLEFTEÅ</t>
        </is>
      </c>
      <c r="F3096" t="inlineStr">
        <is>
          <t>SCA</t>
        </is>
      </c>
      <c r="G3096" t="n">
        <v>6.7</v>
      </c>
      <c r="H3096" t="n">
        <v>0</v>
      </c>
      <c r="I3096" t="n">
        <v>0</v>
      </c>
      <c r="J3096" t="n">
        <v>0</v>
      </c>
      <c r="K3096" t="n">
        <v>0</v>
      </c>
      <c r="L3096" t="n">
        <v>0</v>
      </c>
      <c r="M3096" t="n">
        <v>0</v>
      </c>
      <c r="N3096" t="n">
        <v>0</v>
      </c>
      <c r="O3096" t="n">
        <v>0</v>
      </c>
      <c r="P3096" t="n">
        <v>0</v>
      </c>
      <c r="Q3096" t="n">
        <v>0</v>
      </c>
      <c r="R3096" s="2" t="inlineStr"/>
    </row>
    <row r="3097" ht="15" customHeight="1">
      <c r="A3097" t="inlineStr">
        <is>
          <t>A 16249-2024</t>
        </is>
      </c>
      <c r="B3097" s="1" t="n">
        <v>45407</v>
      </c>
      <c r="C3097" s="1" t="n">
        <v>46093</v>
      </c>
      <c r="D3097" t="inlineStr">
        <is>
          <t>VÄSTERNORRLANDS LÄN</t>
        </is>
      </c>
      <c r="E3097" t="inlineStr">
        <is>
          <t>SUNDSVALL</t>
        </is>
      </c>
      <c r="F3097" t="inlineStr">
        <is>
          <t>SCA</t>
        </is>
      </c>
      <c r="G3097" t="n">
        <v>7.1</v>
      </c>
      <c r="H3097" t="n">
        <v>0</v>
      </c>
      <c r="I3097" t="n">
        <v>0</v>
      </c>
      <c r="J3097" t="n">
        <v>0</v>
      </c>
      <c r="K3097" t="n">
        <v>0</v>
      </c>
      <c r="L3097" t="n">
        <v>0</v>
      </c>
      <c r="M3097" t="n">
        <v>0</v>
      </c>
      <c r="N3097" t="n">
        <v>0</v>
      </c>
      <c r="O3097" t="n">
        <v>0</v>
      </c>
      <c r="P3097" t="n">
        <v>0</v>
      </c>
      <c r="Q3097" t="n">
        <v>0</v>
      </c>
      <c r="R3097" s="2" t="inlineStr"/>
    </row>
    <row r="3098" ht="15" customHeight="1">
      <c r="A3098" t="inlineStr">
        <is>
          <t>A 58997-2023</t>
        </is>
      </c>
      <c r="B3098" s="1" t="n">
        <v>45252.6352662037</v>
      </c>
      <c r="C3098" s="1" t="n">
        <v>46093</v>
      </c>
      <c r="D3098" t="inlineStr">
        <is>
          <t>VÄSTERNORRLANDS LÄN</t>
        </is>
      </c>
      <c r="E3098" t="inlineStr">
        <is>
          <t>ÅNGE</t>
        </is>
      </c>
      <c r="F3098" t="inlineStr">
        <is>
          <t>Övriga Aktiebolag</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58998-2023</t>
        </is>
      </c>
      <c r="B3099" s="1" t="n">
        <v>45250</v>
      </c>
      <c r="C3099" s="1" t="n">
        <v>46093</v>
      </c>
      <c r="D3099" t="inlineStr">
        <is>
          <t>VÄSTERNORRLANDS LÄN</t>
        </is>
      </c>
      <c r="E3099" t="inlineStr">
        <is>
          <t>TIMRÅ</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27084-2024</t>
        </is>
      </c>
      <c r="B3100" s="1" t="n">
        <v>45471</v>
      </c>
      <c r="C3100" s="1" t="n">
        <v>46093</v>
      </c>
      <c r="D3100" t="inlineStr">
        <is>
          <t>VÄSTERNORRLANDS LÄN</t>
        </is>
      </c>
      <c r="E3100" t="inlineStr">
        <is>
          <t>ÖRNSKÖLDSVIK</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19798-2025</t>
        </is>
      </c>
      <c r="B3101" s="1" t="n">
        <v>45771.44824074074</v>
      </c>
      <c r="C3101" s="1" t="n">
        <v>46093</v>
      </c>
      <c r="D3101" t="inlineStr">
        <is>
          <t>VÄSTERNORRLANDS LÄN</t>
        </is>
      </c>
      <c r="E3101" t="inlineStr">
        <is>
          <t>ÅNGE</t>
        </is>
      </c>
      <c r="F3101" t="inlineStr">
        <is>
          <t>SCA</t>
        </is>
      </c>
      <c r="G3101" t="n">
        <v>4.8</v>
      </c>
      <c r="H3101" t="n">
        <v>0</v>
      </c>
      <c r="I3101" t="n">
        <v>0</v>
      </c>
      <c r="J3101" t="n">
        <v>0</v>
      </c>
      <c r="K3101" t="n">
        <v>0</v>
      </c>
      <c r="L3101" t="n">
        <v>0</v>
      </c>
      <c r="M3101" t="n">
        <v>0</v>
      </c>
      <c r="N3101" t="n">
        <v>0</v>
      </c>
      <c r="O3101" t="n">
        <v>0</v>
      </c>
      <c r="P3101" t="n">
        <v>0</v>
      </c>
      <c r="Q3101" t="n">
        <v>0</v>
      </c>
      <c r="R3101" s="2" t="inlineStr"/>
    </row>
    <row r="3102" ht="15" customHeight="1">
      <c r="A3102" t="inlineStr">
        <is>
          <t>A 20418-2024</t>
        </is>
      </c>
      <c r="B3102" s="1" t="n">
        <v>45435</v>
      </c>
      <c r="C3102" s="1" t="n">
        <v>46093</v>
      </c>
      <c r="D3102" t="inlineStr">
        <is>
          <t>VÄSTERNORRLANDS LÄN</t>
        </is>
      </c>
      <c r="E3102" t="inlineStr">
        <is>
          <t>SUNDSVALL</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34506-2025</t>
        </is>
      </c>
      <c r="B3103" s="1" t="n">
        <v>45847.44273148148</v>
      </c>
      <c r="C3103" s="1" t="n">
        <v>46093</v>
      </c>
      <c r="D3103" t="inlineStr">
        <is>
          <t>VÄSTERNORRLANDS LÄN</t>
        </is>
      </c>
      <c r="E3103" t="inlineStr">
        <is>
          <t>ÖRNSKÖLDSVIK</t>
        </is>
      </c>
      <c r="F3103" t="inlineStr">
        <is>
          <t>Holmen skog AB</t>
        </is>
      </c>
      <c r="G3103" t="n">
        <v>6.3</v>
      </c>
      <c r="H3103" t="n">
        <v>0</v>
      </c>
      <c r="I3103" t="n">
        <v>0</v>
      </c>
      <c r="J3103" t="n">
        <v>0</v>
      </c>
      <c r="K3103" t="n">
        <v>0</v>
      </c>
      <c r="L3103" t="n">
        <v>0</v>
      </c>
      <c r="M3103" t="n">
        <v>0</v>
      </c>
      <c r="N3103" t="n">
        <v>0</v>
      </c>
      <c r="O3103" t="n">
        <v>0</v>
      </c>
      <c r="P3103" t="n">
        <v>0</v>
      </c>
      <c r="Q3103" t="n">
        <v>0</v>
      </c>
      <c r="R3103" s="2" t="inlineStr"/>
    </row>
    <row r="3104" ht="15" customHeight="1">
      <c r="A3104" t="inlineStr">
        <is>
          <t>A 58786-2023</t>
        </is>
      </c>
      <c r="B3104" s="1" t="n">
        <v>45247</v>
      </c>
      <c r="C3104" s="1" t="n">
        <v>46093</v>
      </c>
      <c r="D3104" t="inlineStr">
        <is>
          <t>VÄSTERNORRLANDS LÄN</t>
        </is>
      </c>
      <c r="E3104" t="inlineStr">
        <is>
          <t>KRAMFORS</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57400-2023</t>
        </is>
      </c>
      <c r="B3105" s="1" t="n">
        <v>45245.96820601852</v>
      </c>
      <c r="C3105" s="1" t="n">
        <v>46093</v>
      </c>
      <c r="D3105" t="inlineStr">
        <is>
          <t>VÄSTERNORRLANDS LÄN</t>
        </is>
      </c>
      <c r="E3105" t="inlineStr">
        <is>
          <t>SUNDSVALL</t>
        </is>
      </c>
      <c r="F3105" t="inlineStr">
        <is>
          <t>SCA</t>
        </is>
      </c>
      <c r="G3105" t="n">
        <v>3.5</v>
      </c>
      <c r="H3105" t="n">
        <v>0</v>
      </c>
      <c r="I3105" t="n">
        <v>0</v>
      </c>
      <c r="J3105" t="n">
        <v>0</v>
      </c>
      <c r="K3105" t="n">
        <v>0</v>
      </c>
      <c r="L3105" t="n">
        <v>0</v>
      </c>
      <c r="M3105" t="n">
        <v>0</v>
      </c>
      <c r="N3105" t="n">
        <v>0</v>
      </c>
      <c r="O3105" t="n">
        <v>0</v>
      </c>
      <c r="P3105" t="n">
        <v>0</v>
      </c>
      <c r="Q3105" t="n">
        <v>0</v>
      </c>
      <c r="R3105" s="2" t="inlineStr"/>
    </row>
    <row r="3106" ht="15" customHeight="1">
      <c r="A3106" t="inlineStr">
        <is>
          <t>A 57404-2023</t>
        </is>
      </c>
      <c r="B3106" s="1" t="n">
        <v>45245.96857638889</v>
      </c>
      <c r="C3106" s="1" t="n">
        <v>46093</v>
      </c>
      <c r="D3106" t="inlineStr">
        <is>
          <t>VÄSTERNORRLANDS LÄN</t>
        </is>
      </c>
      <c r="E3106" t="inlineStr">
        <is>
          <t>SUNDSVALL</t>
        </is>
      </c>
      <c r="F3106" t="inlineStr">
        <is>
          <t>SCA</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34606-2025</t>
        </is>
      </c>
      <c r="B3107" s="1" t="n">
        <v>45846</v>
      </c>
      <c r="C3107" s="1" t="n">
        <v>46093</v>
      </c>
      <c r="D3107" t="inlineStr">
        <is>
          <t>VÄSTERNORRLANDS LÄN</t>
        </is>
      </c>
      <c r="E3107" t="inlineStr">
        <is>
          <t>ÖRNSKÖLDSVIK</t>
        </is>
      </c>
      <c r="G3107" t="n">
        <v>10</v>
      </c>
      <c r="H3107" t="n">
        <v>0</v>
      </c>
      <c r="I3107" t="n">
        <v>0</v>
      </c>
      <c r="J3107" t="n">
        <v>0</v>
      </c>
      <c r="K3107" t="n">
        <v>0</v>
      </c>
      <c r="L3107" t="n">
        <v>0</v>
      </c>
      <c r="M3107" t="n">
        <v>0</v>
      </c>
      <c r="N3107" t="n">
        <v>0</v>
      </c>
      <c r="O3107" t="n">
        <v>0</v>
      </c>
      <c r="P3107" t="n">
        <v>0</v>
      </c>
      <c r="Q3107" t="n">
        <v>0</v>
      </c>
      <c r="R3107" s="2" t="inlineStr"/>
    </row>
    <row r="3108" ht="15" customHeight="1">
      <c r="A3108" t="inlineStr">
        <is>
          <t>A 34576-2025</t>
        </is>
      </c>
      <c r="B3108" s="1" t="n">
        <v>45847.60304398148</v>
      </c>
      <c r="C3108" s="1" t="n">
        <v>46093</v>
      </c>
      <c r="D3108" t="inlineStr">
        <is>
          <t>VÄSTERNORRLANDS LÄN</t>
        </is>
      </c>
      <c r="E3108" t="inlineStr">
        <is>
          <t>KRAMFORS</t>
        </is>
      </c>
      <c r="G3108" t="n">
        <v>15.2</v>
      </c>
      <c r="H3108" t="n">
        <v>0</v>
      </c>
      <c r="I3108" t="n">
        <v>0</v>
      </c>
      <c r="J3108" t="n">
        <v>0</v>
      </c>
      <c r="K3108" t="n">
        <v>0</v>
      </c>
      <c r="L3108" t="n">
        <v>0</v>
      </c>
      <c r="M3108" t="n">
        <v>0</v>
      </c>
      <c r="N3108" t="n">
        <v>0</v>
      </c>
      <c r="O3108" t="n">
        <v>0</v>
      </c>
      <c r="P3108" t="n">
        <v>0</v>
      </c>
      <c r="Q3108" t="n">
        <v>0</v>
      </c>
      <c r="R3108" s="2" t="inlineStr"/>
    </row>
    <row r="3109" ht="15" customHeight="1">
      <c r="A3109" t="inlineStr">
        <is>
          <t>A 51110-2023</t>
        </is>
      </c>
      <c r="B3109" s="1" t="n">
        <v>45218</v>
      </c>
      <c r="C3109" s="1" t="n">
        <v>46093</v>
      </c>
      <c r="D3109" t="inlineStr">
        <is>
          <t>VÄSTERNORRLANDS LÄN</t>
        </is>
      </c>
      <c r="E3109" t="inlineStr">
        <is>
          <t>SUNDSVALL</t>
        </is>
      </c>
      <c r="F3109" t="inlineStr">
        <is>
          <t>SCA</t>
        </is>
      </c>
      <c r="G3109" t="n">
        <v>4.6</v>
      </c>
      <c r="H3109" t="n">
        <v>0</v>
      </c>
      <c r="I3109" t="n">
        <v>0</v>
      </c>
      <c r="J3109" t="n">
        <v>0</v>
      </c>
      <c r="K3109" t="n">
        <v>0</v>
      </c>
      <c r="L3109" t="n">
        <v>0</v>
      </c>
      <c r="M3109" t="n">
        <v>0</v>
      </c>
      <c r="N3109" t="n">
        <v>0</v>
      </c>
      <c r="O3109" t="n">
        <v>0</v>
      </c>
      <c r="P3109" t="n">
        <v>0</v>
      </c>
      <c r="Q3109" t="n">
        <v>0</v>
      </c>
      <c r="R3109" s="2" t="inlineStr"/>
    </row>
    <row r="3110" ht="15" customHeight="1">
      <c r="A3110" t="inlineStr">
        <is>
          <t>A 16726-2024</t>
        </is>
      </c>
      <c r="B3110" s="1" t="n">
        <v>45409.98535879629</v>
      </c>
      <c r="C3110" s="1" t="n">
        <v>46093</v>
      </c>
      <c r="D3110" t="inlineStr">
        <is>
          <t>VÄSTERNORRLANDS LÄN</t>
        </is>
      </c>
      <c r="E3110" t="inlineStr">
        <is>
          <t>SOLLEFTEÅ</t>
        </is>
      </c>
      <c r="F3110" t="inlineStr">
        <is>
          <t>SCA</t>
        </is>
      </c>
      <c r="G3110" t="n">
        <v>6.1</v>
      </c>
      <c r="H3110" t="n">
        <v>0</v>
      </c>
      <c r="I3110" t="n">
        <v>0</v>
      </c>
      <c r="J3110" t="n">
        <v>0</v>
      </c>
      <c r="K3110" t="n">
        <v>0</v>
      </c>
      <c r="L3110" t="n">
        <v>0</v>
      </c>
      <c r="M3110" t="n">
        <v>0</v>
      </c>
      <c r="N3110" t="n">
        <v>0</v>
      </c>
      <c r="O3110" t="n">
        <v>0</v>
      </c>
      <c r="P3110" t="n">
        <v>0</v>
      </c>
      <c r="Q3110" t="n">
        <v>0</v>
      </c>
      <c r="R3110" s="2" t="inlineStr"/>
    </row>
    <row r="3111" ht="15" customHeight="1">
      <c r="A3111" t="inlineStr">
        <is>
          <t>A 24994-2023</t>
        </is>
      </c>
      <c r="B3111" s="1" t="n">
        <v>45085.64601851852</v>
      </c>
      <c r="C3111" s="1" t="n">
        <v>46093</v>
      </c>
      <c r="D3111" t="inlineStr">
        <is>
          <t>VÄSTERNORRLANDS LÄN</t>
        </is>
      </c>
      <c r="E3111" t="inlineStr">
        <is>
          <t>ÖRNSKÖLDSVIK</t>
        </is>
      </c>
      <c r="F3111" t="inlineStr">
        <is>
          <t>Holmen skog AB</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31912-2021</t>
        </is>
      </c>
      <c r="B3112" s="1" t="n">
        <v>44370</v>
      </c>
      <c r="C3112" s="1" t="n">
        <v>46093</v>
      </c>
      <c r="D3112" t="inlineStr">
        <is>
          <t>VÄSTERNORRLANDS LÄN</t>
        </is>
      </c>
      <c r="E3112" t="inlineStr">
        <is>
          <t>KRAMFORS</t>
        </is>
      </c>
      <c r="G3112" t="n">
        <v>3.5</v>
      </c>
      <c r="H3112" t="n">
        <v>0</v>
      </c>
      <c r="I3112" t="n">
        <v>0</v>
      </c>
      <c r="J3112" t="n">
        <v>0</v>
      </c>
      <c r="K3112" t="n">
        <v>0</v>
      </c>
      <c r="L3112" t="n">
        <v>0</v>
      </c>
      <c r="M3112" t="n">
        <v>0</v>
      </c>
      <c r="N3112" t="n">
        <v>0</v>
      </c>
      <c r="O3112" t="n">
        <v>0</v>
      </c>
      <c r="P3112" t="n">
        <v>0</v>
      </c>
      <c r="Q3112" t="n">
        <v>0</v>
      </c>
      <c r="R3112" s="2" t="inlineStr"/>
    </row>
    <row r="3113" ht="15" customHeight="1">
      <c r="A3113" t="inlineStr">
        <is>
          <t>A 58424-2022</t>
        </is>
      </c>
      <c r="B3113" s="1" t="n">
        <v>44901</v>
      </c>
      <c r="C3113" s="1" t="n">
        <v>46093</v>
      </c>
      <c r="D3113" t="inlineStr">
        <is>
          <t>VÄSTERNORRLANDS LÄN</t>
        </is>
      </c>
      <c r="E3113" t="inlineStr">
        <is>
          <t>KRAMFORS</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47792-2022</t>
        </is>
      </c>
      <c r="B3114" s="1" t="n">
        <v>44854.95238425926</v>
      </c>
      <c r="C3114" s="1" t="n">
        <v>46093</v>
      </c>
      <c r="D3114" t="inlineStr">
        <is>
          <t>VÄSTERNORRLANDS LÄN</t>
        </is>
      </c>
      <c r="E3114" t="inlineStr">
        <is>
          <t>ÅNGE</t>
        </is>
      </c>
      <c r="F3114" t="inlineStr">
        <is>
          <t>SCA</t>
        </is>
      </c>
      <c r="G3114" t="n">
        <v>10.9</v>
      </c>
      <c r="H3114" t="n">
        <v>0</v>
      </c>
      <c r="I3114" t="n">
        <v>0</v>
      </c>
      <c r="J3114" t="n">
        <v>0</v>
      </c>
      <c r="K3114" t="n">
        <v>0</v>
      </c>
      <c r="L3114" t="n">
        <v>0</v>
      </c>
      <c r="M3114" t="n">
        <v>0</v>
      </c>
      <c r="N3114" t="n">
        <v>0</v>
      </c>
      <c r="O3114" t="n">
        <v>0</v>
      </c>
      <c r="P3114" t="n">
        <v>0</v>
      </c>
      <c r="Q3114" t="n">
        <v>0</v>
      </c>
      <c r="R3114" s="2" t="inlineStr"/>
    </row>
    <row r="3115" ht="15" customHeight="1">
      <c r="A3115" t="inlineStr">
        <is>
          <t>A 38552-2025</t>
        </is>
      </c>
      <c r="B3115" s="1" t="n">
        <v>45884.43950231482</v>
      </c>
      <c r="C3115" s="1" t="n">
        <v>46093</v>
      </c>
      <c r="D3115" t="inlineStr">
        <is>
          <t>VÄSTERNORRLANDS LÄN</t>
        </is>
      </c>
      <c r="E3115" t="inlineStr">
        <is>
          <t>ÖRNSKÖLDSVIK</t>
        </is>
      </c>
      <c r="F3115" t="inlineStr">
        <is>
          <t>Holmen skog AB</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38562-2025</t>
        </is>
      </c>
      <c r="B3116" s="1" t="n">
        <v>45884.44865740741</v>
      </c>
      <c r="C3116" s="1" t="n">
        <v>46093</v>
      </c>
      <c r="D3116" t="inlineStr">
        <is>
          <t>VÄSTERNORRLANDS LÄN</t>
        </is>
      </c>
      <c r="E3116" t="inlineStr">
        <is>
          <t>SOLLEFTEÅ</t>
        </is>
      </c>
      <c r="G3116" t="n">
        <v>7.1</v>
      </c>
      <c r="H3116" t="n">
        <v>0</v>
      </c>
      <c r="I3116" t="n">
        <v>0</v>
      </c>
      <c r="J3116" t="n">
        <v>0</v>
      </c>
      <c r="K3116" t="n">
        <v>0</v>
      </c>
      <c r="L3116" t="n">
        <v>0</v>
      </c>
      <c r="M3116" t="n">
        <v>0</v>
      </c>
      <c r="N3116" t="n">
        <v>0</v>
      </c>
      <c r="O3116" t="n">
        <v>0</v>
      </c>
      <c r="P3116" t="n">
        <v>0</v>
      </c>
      <c r="Q3116" t="n">
        <v>0</v>
      </c>
      <c r="R3116" s="2" t="inlineStr"/>
    </row>
    <row r="3117" ht="15" customHeight="1">
      <c r="A3117" t="inlineStr">
        <is>
          <t>A 38623-2025</t>
        </is>
      </c>
      <c r="B3117" s="1" t="n">
        <v>45884.55336805555</v>
      </c>
      <c r="C3117" s="1" t="n">
        <v>46093</v>
      </c>
      <c r="D3117" t="inlineStr">
        <is>
          <t>VÄSTERNORRLANDS LÄN</t>
        </is>
      </c>
      <c r="E3117" t="inlineStr">
        <is>
          <t>TIMRÅ</t>
        </is>
      </c>
      <c r="F3117" t="inlineStr">
        <is>
          <t>SCA</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34161-2022</t>
        </is>
      </c>
      <c r="B3118" s="1" t="n">
        <v>44791</v>
      </c>
      <c r="C3118" s="1" t="n">
        <v>46093</v>
      </c>
      <c r="D3118" t="inlineStr">
        <is>
          <t>VÄSTERNORRLANDS LÄN</t>
        </is>
      </c>
      <c r="E3118" t="inlineStr">
        <is>
          <t>HÄRNÖSAND</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38634-2025</t>
        </is>
      </c>
      <c r="B3119" s="1" t="n">
        <v>45884.56539351852</v>
      </c>
      <c r="C3119" s="1" t="n">
        <v>46093</v>
      </c>
      <c r="D3119" t="inlineStr">
        <is>
          <t>VÄSTERNORRLANDS LÄN</t>
        </is>
      </c>
      <c r="E3119" t="inlineStr">
        <is>
          <t>ÖRNSKÖLDSVIK</t>
        </is>
      </c>
      <c r="F3119" t="inlineStr">
        <is>
          <t>Holmen skog AB</t>
        </is>
      </c>
      <c r="G3119" t="n">
        <v>5.4</v>
      </c>
      <c r="H3119" t="n">
        <v>0</v>
      </c>
      <c r="I3119" t="n">
        <v>0</v>
      </c>
      <c r="J3119" t="n">
        <v>0</v>
      </c>
      <c r="K3119" t="n">
        <v>0</v>
      </c>
      <c r="L3119" t="n">
        <v>0</v>
      </c>
      <c r="M3119" t="n">
        <v>0</v>
      </c>
      <c r="N3119" t="n">
        <v>0</v>
      </c>
      <c r="O3119" t="n">
        <v>0</v>
      </c>
      <c r="P3119" t="n">
        <v>0</v>
      </c>
      <c r="Q3119" t="n">
        <v>0</v>
      </c>
      <c r="R3119" s="2" t="inlineStr"/>
    </row>
    <row r="3120" ht="15" customHeight="1">
      <c r="A3120" t="inlineStr">
        <is>
          <t>A 10549-2023</t>
        </is>
      </c>
      <c r="B3120" s="1" t="n">
        <v>44987</v>
      </c>
      <c r="C3120" s="1" t="n">
        <v>46093</v>
      </c>
      <c r="D3120" t="inlineStr">
        <is>
          <t>VÄSTERNORRLANDS LÄN</t>
        </is>
      </c>
      <c r="E3120" t="inlineStr">
        <is>
          <t>SOLLEFTEÅ</t>
        </is>
      </c>
      <c r="F3120" t="inlineStr">
        <is>
          <t>SCA</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10558-2023</t>
        </is>
      </c>
      <c r="B3121" s="1" t="n">
        <v>44987.94438657408</v>
      </c>
      <c r="C3121" s="1" t="n">
        <v>46093</v>
      </c>
      <c r="D3121" t="inlineStr">
        <is>
          <t>VÄSTERNORRLANDS LÄN</t>
        </is>
      </c>
      <c r="E3121" t="inlineStr">
        <is>
          <t>ÅNGE</t>
        </is>
      </c>
      <c r="F3121" t="inlineStr">
        <is>
          <t>SCA</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30084-2022</t>
        </is>
      </c>
      <c r="B3122" s="1" t="n">
        <v>44757.3788425926</v>
      </c>
      <c r="C3122" s="1" t="n">
        <v>46093</v>
      </c>
      <c r="D3122" t="inlineStr">
        <is>
          <t>VÄSTERNORRLANDS LÄN</t>
        </is>
      </c>
      <c r="E3122" t="inlineStr">
        <is>
          <t>SUNDSVALL</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10438-2025</t>
        </is>
      </c>
      <c r="B3123" s="1" t="n">
        <v>45720.67761574074</v>
      </c>
      <c r="C3123" s="1" t="n">
        <v>46093</v>
      </c>
      <c r="D3123" t="inlineStr">
        <is>
          <t>VÄSTERNORRLANDS LÄN</t>
        </is>
      </c>
      <c r="E3123" t="inlineStr">
        <is>
          <t>SOLLEFTEÅ</t>
        </is>
      </c>
      <c r="F3123" t="inlineStr">
        <is>
          <t>SCA</t>
        </is>
      </c>
      <c r="G3123" t="n">
        <v>14.6</v>
      </c>
      <c r="H3123" t="n">
        <v>0</v>
      </c>
      <c r="I3123" t="n">
        <v>0</v>
      </c>
      <c r="J3123" t="n">
        <v>0</v>
      </c>
      <c r="K3123" t="n">
        <v>0</v>
      </c>
      <c r="L3123" t="n">
        <v>0</v>
      </c>
      <c r="M3123" t="n">
        <v>0</v>
      </c>
      <c r="N3123" t="n">
        <v>0</v>
      </c>
      <c r="O3123" t="n">
        <v>0</v>
      </c>
      <c r="P3123" t="n">
        <v>0</v>
      </c>
      <c r="Q3123" t="n">
        <v>0</v>
      </c>
      <c r="R3123" s="2" t="inlineStr"/>
    </row>
    <row r="3124" ht="15" customHeight="1">
      <c r="A3124" t="inlineStr">
        <is>
          <t>A 53524-2021</t>
        </is>
      </c>
      <c r="B3124" s="1" t="n">
        <v>44468</v>
      </c>
      <c r="C3124" s="1" t="n">
        <v>46093</v>
      </c>
      <c r="D3124" t="inlineStr">
        <is>
          <t>VÄSTERNORRLANDS LÄN</t>
        </is>
      </c>
      <c r="E3124" t="inlineStr">
        <is>
          <t>SOLLEFTEÅ</t>
        </is>
      </c>
      <c r="F3124" t="inlineStr">
        <is>
          <t>SCA</t>
        </is>
      </c>
      <c r="G3124" t="n">
        <v>5.9</v>
      </c>
      <c r="H3124" t="n">
        <v>0</v>
      </c>
      <c r="I3124" t="n">
        <v>0</v>
      </c>
      <c r="J3124" t="n">
        <v>0</v>
      </c>
      <c r="K3124" t="n">
        <v>0</v>
      </c>
      <c r="L3124" t="n">
        <v>0</v>
      </c>
      <c r="M3124" t="n">
        <v>0</v>
      </c>
      <c r="N3124" t="n">
        <v>0</v>
      </c>
      <c r="O3124" t="n">
        <v>0</v>
      </c>
      <c r="P3124" t="n">
        <v>0</v>
      </c>
      <c r="Q3124" t="n">
        <v>0</v>
      </c>
      <c r="R3124" s="2" t="inlineStr"/>
    </row>
    <row r="3125" ht="15" customHeight="1">
      <c r="A3125" t="inlineStr">
        <is>
          <t>A 58167-2023</t>
        </is>
      </c>
      <c r="B3125" s="1" t="n">
        <v>45250.39577546297</v>
      </c>
      <c r="C3125" s="1" t="n">
        <v>46093</v>
      </c>
      <c r="D3125" t="inlineStr">
        <is>
          <t>VÄSTERNORRLANDS LÄN</t>
        </is>
      </c>
      <c r="E3125" t="inlineStr">
        <is>
          <t>ÖRNSKÖLDSVIK</t>
        </is>
      </c>
      <c r="F3125" t="inlineStr">
        <is>
          <t>Holmen skog AB</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8851-2025</t>
        </is>
      </c>
      <c r="B3126" s="1" t="n">
        <v>45713.34465277778</v>
      </c>
      <c r="C3126" s="1" t="n">
        <v>46093</v>
      </c>
      <c r="D3126" t="inlineStr">
        <is>
          <t>VÄSTERNORRLANDS LÄN</t>
        </is>
      </c>
      <c r="E3126" t="inlineStr">
        <is>
          <t>SOLLEFTEÅ</t>
        </is>
      </c>
      <c r="F3126" t="inlineStr">
        <is>
          <t>SCA</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17800-2024</t>
        </is>
      </c>
      <c r="B3127" s="1" t="n">
        <v>45418</v>
      </c>
      <c r="C3127" s="1" t="n">
        <v>46093</v>
      </c>
      <c r="D3127" t="inlineStr">
        <is>
          <t>VÄSTERNORRLANDS LÄN</t>
        </is>
      </c>
      <c r="E3127" t="inlineStr">
        <is>
          <t>HÄRNÖSAND</t>
        </is>
      </c>
      <c r="G3127" t="n">
        <v>3.1</v>
      </c>
      <c r="H3127" t="n">
        <v>0</v>
      </c>
      <c r="I3127" t="n">
        <v>0</v>
      </c>
      <c r="J3127" t="n">
        <v>0</v>
      </c>
      <c r="K3127" t="n">
        <v>0</v>
      </c>
      <c r="L3127" t="n">
        <v>0</v>
      </c>
      <c r="M3127" t="n">
        <v>0</v>
      </c>
      <c r="N3127" t="n">
        <v>0</v>
      </c>
      <c r="O3127" t="n">
        <v>0</v>
      </c>
      <c r="P3127" t="n">
        <v>0</v>
      </c>
      <c r="Q3127" t="n">
        <v>0</v>
      </c>
      <c r="R3127" s="2" t="inlineStr"/>
    </row>
    <row r="3128" ht="15" customHeight="1">
      <c r="A3128" t="inlineStr">
        <is>
          <t>A 58781-2022</t>
        </is>
      </c>
      <c r="B3128" s="1" t="n">
        <v>44903</v>
      </c>
      <c r="C3128" s="1" t="n">
        <v>46093</v>
      </c>
      <c r="D3128" t="inlineStr">
        <is>
          <t>VÄSTERNORRLANDS LÄN</t>
        </is>
      </c>
      <c r="E3128" t="inlineStr">
        <is>
          <t>SUNDSVALL</t>
        </is>
      </c>
      <c r="F3128" t="inlineStr">
        <is>
          <t>Holmen skog AB</t>
        </is>
      </c>
      <c r="G3128" t="n">
        <v>16.3</v>
      </c>
      <c r="H3128" t="n">
        <v>0</v>
      </c>
      <c r="I3128" t="n">
        <v>0</v>
      </c>
      <c r="J3128" t="n">
        <v>0</v>
      </c>
      <c r="K3128" t="n">
        <v>0</v>
      </c>
      <c r="L3128" t="n">
        <v>0</v>
      </c>
      <c r="M3128" t="n">
        <v>0</v>
      </c>
      <c r="N3128" t="n">
        <v>0</v>
      </c>
      <c r="O3128" t="n">
        <v>0</v>
      </c>
      <c r="P3128" t="n">
        <v>0</v>
      </c>
      <c r="Q3128" t="n">
        <v>0</v>
      </c>
      <c r="R3128" s="2" t="inlineStr"/>
    </row>
    <row r="3129" ht="15" customHeight="1">
      <c r="A3129" t="inlineStr">
        <is>
          <t>A 48563-2024</t>
        </is>
      </c>
      <c r="B3129" s="1" t="n">
        <v>45593.38608796296</v>
      </c>
      <c r="C3129" s="1" t="n">
        <v>46093</v>
      </c>
      <c r="D3129" t="inlineStr">
        <is>
          <t>VÄSTERNORRLANDS LÄN</t>
        </is>
      </c>
      <c r="E3129" t="inlineStr">
        <is>
          <t>TIMRÅ</t>
        </is>
      </c>
      <c r="F3129" t="inlineStr">
        <is>
          <t>SCA</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48583-2024</t>
        </is>
      </c>
      <c r="B3130" s="1" t="n">
        <v>45593.41925925926</v>
      </c>
      <c r="C3130" s="1" t="n">
        <v>46093</v>
      </c>
      <c r="D3130" t="inlineStr">
        <is>
          <t>VÄSTERNORRLANDS LÄN</t>
        </is>
      </c>
      <c r="E3130" t="inlineStr">
        <is>
          <t>KRAMFORS</t>
        </is>
      </c>
      <c r="G3130" t="n">
        <v>8.4</v>
      </c>
      <c r="H3130" t="n">
        <v>0</v>
      </c>
      <c r="I3130" t="n">
        <v>0</v>
      </c>
      <c r="J3130" t="n">
        <v>0</v>
      </c>
      <c r="K3130" t="n">
        <v>0</v>
      </c>
      <c r="L3130" t="n">
        <v>0</v>
      </c>
      <c r="M3130" t="n">
        <v>0</v>
      </c>
      <c r="N3130" t="n">
        <v>0</v>
      </c>
      <c r="O3130" t="n">
        <v>0</v>
      </c>
      <c r="P3130" t="n">
        <v>0</v>
      </c>
      <c r="Q3130" t="n">
        <v>0</v>
      </c>
      <c r="R3130" s="2" t="inlineStr"/>
    </row>
    <row r="3131" ht="15" customHeight="1">
      <c r="A3131" t="inlineStr">
        <is>
          <t>A 18869-2024</t>
        </is>
      </c>
      <c r="B3131" s="1" t="n">
        <v>45426</v>
      </c>
      <c r="C3131" s="1" t="n">
        <v>46093</v>
      </c>
      <c r="D3131" t="inlineStr">
        <is>
          <t>VÄSTERNORRLANDS LÄN</t>
        </is>
      </c>
      <c r="E3131" t="inlineStr">
        <is>
          <t>ÅNGE</t>
        </is>
      </c>
      <c r="F3131" t="inlineStr">
        <is>
          <t>SCA</t>
        </is>
      </c>
      <c r="G3131" t="n">
        <v>4.1</v>
      </c>
      <c r="H3131" t="n">
        <v>0</v>
      </c>
      <c r="I3131" t="n">
        <v>0</v>
      </c>
      <c r="J3131" t="n">
        <v>0</v>
      </c>
      <c r="K3131" t="n">
        <v>0</v>
      </c>
      <c r="L3131" t="n">
        <v>0</v>
      </c>
      <c r="M3131" t="n">
        <v>0</v>
      </c>
      <c r="N3131" t="n">
        <v>0</v>
      </c>
      <c r="O3131" t="n">
        <v>0</v>
      </c>
      <c r="P3131" t="n">
        <v>0</v>
      </c>
      <c r="Q3131" t="n">
        <v>0</v>
      </c>
      <c r="R3131" s="2" t="inlineStr"/>
    </row>
    <row r="3132" ht="15" customHeight="1">
      <c r="A3132" t="inlineStr">
        <is>
          <t>A 34591-2025</t>
        </is>
      </c>
      <c r="B3132" s="1" t="n">
        <v>45847.62920138889</v>
      </c>
      <c r="C3132" s="1" t="n">
        <v>46093</v>
      </c>
      <c r="D3132" t="inlineStr">
        <is>
          <t>VÄSTERNORRLANDS LÄN</t>
        </is>
      </c>
      <c r="E3132" t="inlineStr">
        <is>
          <t>ÅNGE</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34593-2025</t>
        </is>
      </c>
      <c r="B3133" s="1" t="n">
        <v>45847.6316087963</v>
      </c>
      <c r="C3133" s="1" t="n">
        <v>46093</v>
      </c>
      <c r="D3133" t="inlineStr">
        <is>
          <t>VÄSTERNORRLANDS LÄN</t>
        </is>
      </c>
      <c r="E3133" t="inlineStr">
        <is>
          <t>ÅNGE</t>
        </is>
      </c>
      <c r="G3133" t="n">
        <v>5.3</v>
      </c>
      <c r="H3133" t="n">
        <v>0</v>
      </c>
      <c r="I3133" t="n">
        <v>0</v>
      </c>
      <c r="J3133" t="n">
        <v>0</v>
      </c>
      <c r="K3133" t="n">
        <v>0</v>
      </c>
      <c r="L3133" t="n">
        <v>0</v>
      </c>
      <c r="M3133" t="n">
        <v>0</v>
      </c>
      <c r="N3133" t="n">
        <v>0</v>
      </c>
      <c r="O3133" t="n">
        <v>0</v>
      </c>
      <c r="P3133" t="n">
        <v>0</v>
      </c>
      <c r="Q3133" t="n">
        <v>0</v>
      </c>
      <c r="R3133" s="2" t="inlineStr"/>
    </row>
    <row r="3134" ht="15" customHeight="1">
      <c r="A3134" t="inlineStr">
        <is>
          <t>A 34462-2025</t>
        </is>
      </c>
      <c r="B3134" s="1" t="n">
        <v>45847.34498842592</v>
      </c>
      <c r="C3134" s="1" t="n">
        <v>46093</v>
      </c>
      <c r="D3134" t="inlineStr">
        <is>
          <t>VÄSTERNORRLANDS LÄN</t>
        </is>
      </c>
      <c r="E3134" t="inlineStr">
        <is>
          <t>SOLLEFTEÅ</t>
        </is>
      </c>
      <c r="F3134" t="inlineStr">
        <is>
          <t>SCA</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24797-2024</t>
        </is>
      </c>
      <c r="B3135" s="1" t="n">
        <v>45460.95269675926</v>
      </c>
      <c r="C3135" s="1" t="n">
        <v>46093</v>
      </c>
      <c r="D3135" t="inlineStr">
        <is>
          <t>VÄSTERNORRLANDS LÄN</t>
        </is>
      </c>
      <c r="E3135" t="inlineStr">
        <is>
          <t>ÅNGE</t>
        </is>
      </c>
      <c r="F3135" t="inlineStr">
        <is>
          <t>SCA</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23129-2024</t>
        </is>
      </c>
      <c r="B3136" s="1" t="n">
        <v>45450.61503472222</v>
      </c>
      <c r="C3136" s="1" t="n">
        <v>46093</v>
      </c>
      <c r="D3136" t="inlineStr">
        <is>
          <t>VÄSTERNORRLANDS LÄN</t>
        </is>
      </c>
      <c r="E3136" t="inlineStr">
        <is>
          <t>KRAMFORS</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61909-2023</t>
        </is>
      </c>
      <c r="B3137" s="1" t="n">
        <v>45265</v>
      </c>
      <c r="C3137" s="1" t="n">
        <v>46093</v>
      </c>
      <c r="D3137" t="inlineStr">
        <is>
          <t>VÄSTERNORRLANDS LÄN</t>
        </is>
      </c>
      <c r="E3137" t="inlineStr">
        <is>
          <t>KRAMFORS</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55520-2021</t>
        </is>
      </c>
      <c r="B3138" s="1" t="n">
        <v>44475</v>
      </c>
      <c r="C3138" s="1" t="n">
        <v>46093</v>
      </c>
      <c r="D3138" t="inlineStr">
        <is>
          <t>VÄSTERNORRLANDS LÄN</t>
        </is>
      </c>
      <c r="E3138" t="inlineStr">
        <is>
          <t>ÖRNSKÖLDSVIK</t>
        </is>
      </c>
      <c r="F3138" t="inlineStr">
        <is>
          <t>Holmen skog AB</t>
        </is>
      </c>
      <c r="G3138" t="n">
        <v>9.300000000000001</v>
      </c>
      <c r="H3138" t="n">
        <v>0</v>
      </c>
      <c r="I3138" t="n">
        <v>0</v>
      </c>
      <c r="J3138" t="n">
        <v>0</v>
      </c>
      <c r="K3138" t="n">
        <v>0</v>
      </c>
      <c r="L3138" t="n">
        <v>0</v>
      </c>
      <c r="M3138" t="n">
        <v>0</v>
      </c>
      <c r="N3138" t="n">
        <v>0</v>
      </c>
      <c r="O3138" t="n">
        <v>0</v>
      </c>
      <c r="P3138" t="n">
        <v>0</v>
      </c>
      <c r="Q3138" t="n">
        <v>0</v>
      </c>
      <c r="R3138" s="2" t="inlineStr"/>
    </row>
    <row r="3139" ht="15" customHeight="1">
      <c r="A3139" t="inlineStr">
        <is>
          <t>A 17258-2025</t>
        </is>
      </c>
      <c r="B3139" s="1" t="n">
        <v>45756.53278935186</v>
      </c>
      <c r="C3139" s="1" t="n">
        <v>46093</v>
      </c>
      <c r="D3139" t="inlineStr">
        <is>
          <t>VÄSTERNORRLANDS LÄN</t>
        </is>
      </c>
      <c r="E3139" t="inlineStr">
        <is>
          <t>SOLLEFTEÅ</t>
        </is>
      </c>
      <c r="G3139" t="n">
        <v>6.8</v>
      </c>
      <c r="H3139" t="n">
        <v>0</v>
      </c>
      <c r="I3139" t="n">
        <v>0</v>
      </c>
      <c r="J3139" t="n">
        <v>0</v>
      </c>
      <c r="K3139" t="n">
        <v>0</v>
      </c>
      <c r="L3139" t="n">
        <v>0</v>
      </c>
      <c r="M3139" t="n">
        <v>0</v>
      </c>
      <c r="N3139" t="n">
        <v>0</v>
      </c>
      <c r="O3139" t="n">
        <v>0</v>
      </c>
      <c r="P3139" t="n">
        <v>0</v>
      </c>
      <c r="Q3139" t="n">
        <v>0</v>
      </c>
      <c r="R3139" s="2" t="inlineStr"/>
    </row>
    <row r="3140" ht="15" customHeight="1">
      <c r="A3140" t="inlineStr">
        <is>
          <t>A 55859-2023</t>
        </is>
      </c>
      <c r="B3140" s="1" t="n">
        <v>45239</v>
      </c>
      <c r="C3140" s="1" t="n">
        <v>46093</v>
      </c>
      <c r="D3140" t="inlineStr">
        <is>
          <t>VÄSTERNORRLANDS LÄN</t>
        </is>
      </c>
      <c r="E3140" t="inlineStr">
        <is>
          <t>SOLLEFTEÅ</t>
        </is>
      </c>
      <c r="F3140" t="inlineStr">
        <is>
          <t>Kommuner</t>
        </is>
      </c>
      <c r="G3140" t="n">
        <v>0.1</v>
      </c>
      <c r="H3140" t="n">
        <v>0</v>
      </c>
      <c r="I3140" t="n">
        <v>0</v>
      </c>
      <c r="J3140" t="n">
        <v>0</v>
      </c>
      <c r="K3140" t="n">
        <v>0</v>
      </c>
      <c r="L3140" t="n">
        <v>0</v>
      </c>
      <c r="M3140" t="n">
        <v>0</v>
      </c>
      <c r="N3140" t="n">
        <v>0</v>
      </c>
      <c r="O3140" t="n">
        <v>0</v>
      </c>
      <c r="P3140" t="n">
        <v>0</v>
      </c>
      <c r="Q3140" t="n">
        <v>0</v>
      </c>
      <c r="R3140" s="2" t="inlineStr"/>
    </row>
    <row r="3141" ht="15" customHeight="1">
      <c r="A3141" t="inlineStr">
        <is>
          <t>A 17639-2025</t>
        </is>
      </c>
      <c r="B3141" s="1" t="n">
        <v>45758.3203587963</v>
      </c>
      <c r="C3141" s="1" t="n">
        <v>46093</v>
      </c>
      <c r="D3141" t="inlineStr">
        <is>
          <t>VÄSTERNORRLANDS LÄN</t>
        </is>
      </c>
      <c r="E3141" t="inlineStr">
        <is>
          <t>ÖRNSKÖLDSVIK</t>
        </is>
      </c>
      <c r="G3141" t="n">
        <v>11.2</v>
      </c>
      <c r="H3141" t="n">
        <v>0</v>
      </c>
      <c r="I3141" t="n">
        <v>0</v>
      </c>
      <c r="J3141" t="n">
        <v>0</v>
      </c>
      <c r="K3141" t="n">
        <v>0</v>
      </c>
      <c r="L3141" t="n">
        <v>0</v>
      </c>
      <c r="M3141" t="n">
        <v>0</v>
      </c>
      <c r="N3141" t="n">
        <v>0</v>
      </c>
      <c r="O3141" t="n">
        <v>0</v>
      </c>
      <c r="P3141" t="n">
        <v>0</v>
      </c>
      <c r="Q3141" t="n">
        <v>0</v>
      </c>
      <c r="R3141" s="2" t="inlineStr"/>
    </row>
    <row r="3142" ht="15" customHeight="1">
      <c r="A3142" t="inlineStr">
        <is>
          <t>A 49310-2024</t>
        </is>
      </c>
      <c r="B3142" s="1" t="n">
        <v>45595</v>
      </c>
      <c r="C3142" s="1" t="n">
        <v>46093</v>
      </c>
      <c r="D3142" t="inlineStr">
        <is>
          <t>VÄSTERNORRLANDS LÄN</t>
        </is>
      </c>
      <c r="E3142" t="inlineStr">
        <is>
          <t>TIMRÅ</t>
        </is>
      </c>
      <c r="F3142" t="inlineStr">
        <is>
          <t>SCA</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49487-2024</t>
        </is>
      </c>
      <c r="B3143" s="1" t="n">
        <v>45596.35813657408</v>
      </c>
      <c r="C3143" s="1" t="n">
        <v>46093</v>
      </c>
      <c r="D3143" t="inlineStr">
        <is>
          <t>VÄSTERNORRLANDS LÄN</t>
        </is>
      </c>
      <c r="E3143" t="inlineStr">
        <is>
          <t>ÅNGE</t>
        </is>
      </c>
      <c r="G3143" t="n">
        <v>4.3</v>
      </c>
      <c r="H3143" t="n">
        <v>0</v>
      </c>
      <c r="I3143" t="n">
        <v>0</v>
      </c>
      <c r="J3143" t="n">
        <v>0</v>
      </c>
      <c r="K3143" t="n">
        <v>0</v>
      </c>
      <c r="L3143" t="n">
        <v>0</v>
      </c>
      <c r="M3143" t="n">
        <v>0</v>
      </c>
      <c r="N3143" t="n">
        <v>0</v>
      </c>
      <c r="O3143" t="n">
        <v>0</v>
      </c>
      <c r="P3143" t="n">
        <v>0</v>
      </c>
      <c r="Q3143" t="n">
        <v>0</v>
      </c>
      <c r="R3143" s="2" t="inlineStr"/>
    </row>
    <row r="3144" ht="15" customHeight="1">
      <c r="A3144" t="inlineStr">
        <is>
          <t>A 38284-2025</t>
        </is>
      </c>
      <c r="B3144" s="1" t="n">
        <v>45883.4275</v>
      </c>
      <c r="C3144" s="1" t="n">
        <v>46093</v>
      </c>
      <c r="D3144" t="inlineStr">
        <is>
          <t>VÄSTERNORRLANDS LÄN</t>
        </is>
      </c>
      <c r="E3144" t="inlineStr">
        <is>
          <t>ÖRNSKÖLDSVIK</t>
        </is>
      </c>
      <c r="G3144" t="n">
        <v>4.8</v>
      </c>
      <c r="H3144" t="n">
        <v>0</v>
      </c>
      <c r="I3144" t="n">
        <v>0</v>
      </c>
      <c r="J3144" t="n">
        <v>0</v>
      </c>
      <c r="K3144" t="n">
        <v>0</v>
      </c>
      <c r="L3144" t="n">
        <v>0</v>
      </c>
      <c r="M3144" t="n">
        <v>0</v>
      </c>
      <c r="N3144" t="n">
        <v>0</v>
      </c>
      <c r="O3144" t="n">
        <v>0</v>
      </c>
      <c r="P3144" t="n">
        <v>0</v>
      </c>
      <c r="Q3144" t="n">
        <v>0</v>
      </c>
      <c r="R3144" s="2" t="inlineStr"/>
    </row>
    <row r="3145" ht="15" customHeight="1">
      <c r="A3145" t="inlineStr">
        <is>
          <t>A 4126-2023</t>
        </is>
      </c>
      <c r="B3145" s="1" t="n">
        <v>44952</v>
      </c>
      <c r="C3145" s="1" t="n">
        <v>46093</v>
      </c>
      <c r="D3145" t="inlineStr">
        <is>
          <t>VÄSTERNORRLANDS LÄN</t>
        </is>
      </c>
      <c r="E3145" t="inlineStr">
        <is>
          <t>TIMRÅ</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38256-2025</t>
        </is>
      </c>
      <c r="B3146" s="1" t="n">
        <v>45883.38284722222</v>
      </c>
      <c r="C3146" s="1" t="n">
        <v>46093</v>
      </c>
      <c r="D3146" t="inlineStr">
        <is>
          <t>VÄSTERNORRLANDS LÄN</t>
        </is>
      </c>
      <c r="E3146" t="inlineStr">
        <is>
          <t>KRAMFORS</t>
        </is>
      </c>
      <c r="G3146" t="n">
        <v>5</v>
      </c>
      <c r="H3146" t="n">
        <v>0</v>
      </c>
      <c r="I3146" t="n">
        <v>0</v>
      </c>
      <c r="J3146" t="n">
        <v>0</v>
      </c>
      <c r="K3146" t="n">
        <v>0</v>
      </c>
      <c r="L3146" t="n">
        <v>0</v>
      </c>
      <c r="M3146" t="n">
        <v>0</v>
      </c>
      <c r="N3146" t="n">
        <v>0</v>
      </c>
      <c r="O3146" t="n">
        <v>0</v>
      </c>
      <c r="P3146" t="n">
        <v>0</v>
      </c>
      <c r="Q3146" t="n">
        <v>0</v>
      </c>
      <c r="R3146" s="2" t="inlineStr"/>
    </row>
    <row r="3147" ht="15" customHeight="1">
      <c r="A3147" t="inlineStr">
        <is>
          <t>A 12632-2025</t>
        </is>
      </c>
      <c r="B3147" s="1" t="n">
        <v>45733.37693287037</v>
      </c>
      <c r="C3147" s="1" t="n">
        <v>46093</v>
      </c>
      <c r="D3147" t="inlineStr">
        <is>
          <t>VÄSTERNORRLANDS LÄN</t>
        </is>
      </c>
      <c r="E3147" t="inlineStr">
        <is>
          <t>SOLLEFTEÅ</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34499-2025</t>
        </is>
      </c>
      <c r="B3148" s="1" t="n">
        <v>45847.42783564814</v>
      </c>
      <c r="C3148" s="1" t="n">
        <v>46093</v>
      </c>
      <c r="D3148" t="inlineStr">
        <is>
          <t>VÄSTERNORRLANDS LÄN</t>
        </is>
      </c>
      <c r="E3148" t="inlineStr">
        <is>
          <t>TIMRÅ</t>
        </is>
      </c>
      <c r="G3148" t="n">
        <v>6.6</v>
      </c>
      <c r="H3148" t="n">
        <v>0</v>
      </c>
      <c r="I3148" t="n">
        <v>0</v>
      </c>
      <c r="J3148" t="n">
        <v>0</v>
      </c>
      <c r="K3148" t="n">
        <v>0</v>
      </c>
      <c r="L3148" t="n">
        <v>0</v>
      </c>
      <c r="M3148" t="n">
        <v>0</v>
      </c>
      <c r="N3148" t="n">
        <v>0</v>
      </c>
      <c r="O3148" t="n">
        <v>0</v>
      </c>
      <c r="P3148" t="n">
        <v>0</v>
      </c>
      <c r="Q3148" t="n">
        <v>0</v>
      </c>
      <c r="R3148" s="2" t="inlineStr"/>
    </row>
    <row r="3149" ht="15" customHeight="1">
      <c r="A3149" t="inlineStr">
        <is>
          <t>A 54174-2021</t>
        </is>
      </c>
      <c r="B3149" s="1" t="n">
        <v>44470.5666087963</v>
      </c>
      <c r="C3149" s="1" t="n">
        <v>46093</v>
      </c>
      <c r="D3149" t="inlineStr">
        <is>
          <t>VÄSTERNORRLANDS LÄN</t>
        </is>
      </c>
      <c r="E3149" t="inlineStr">
        <is>
          <t>ÖRNSKÖLDSVIK</t>
        </is>
      </c>
      <c r="G3149" t="n">
        <v>10.4</v>
      </c>
      <c r="H3149" t="n">
        <v>0</v>
      </c>
      <c r="I3149" t="n">
        <v>0</v>
      </c>
      <c r="J3149" t="n">
        <v>0</v>
      </c>
      <c r="K3149" t="n">
        <v>0</v>
      </c>
      <c r="L3149" t="n">
        <v>0</v>
      </c>
      <c r="M3149" t="n">
        <v>0</v>
      </c>
      <c r="N3149" t="n">
        <v>0</v>
      </c>
      <c r="O3149" t="n">
        <v>0</v>
      </c>
      <c r="P3149" t="n">
        <v>0</v>
      </c>
      <c r="Q3149" t="n">
        <v>0</v>
      </c>
      <c r="R3149" s="2" t="inlineStr"/>
    </row>
    <row r="3150" ht="15" customHeight="1">
      <c r="A3150" t="inlineStr">
        <is>
          <t>A 37586-2022</t>
        </is>
      </c>
      <c r="B3150" s="1" t="n">
        <v>44809.92577546297</v>
      </c>
      <c r="C3150" s="1" t="n">
        <v>46093</v>
      </c>
      <c r="D3150" t="inlineStr">
        <is>
          <t>VÄSTERNORRLANDS LÄN</t>
        </is>
      </c>
      <c r="E3150" t="inlineStr">
        <is>
          <t>HÄRNÖSAND</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44606-2024</t>
        </is>
      </c>
      <c r="B3151" s="1" t="n">
        <v>45574.51195601852</v>
      </c>
      <c r="C3151" s="1" t="n">
        <v>46093</v>
      </c>
      <c r="D3151" t="inlineStr">
        <is>
          <t>VÄSTERNORRLANDS LÄN</t>
        </is>
      </c>
      <c r="E3151" t="inlineStr">
        <is>
          <t>ÅNGE</t>
        </is>
      </c>
      <c r="F3151" t="inlineStr">
        <is>
          <t>SCA</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44626-2024</t>
        </is>
      </c>
      <c r="B3152" s="1" t="n">
        <v>45574.51378472222</v>
      </c>
      <c r="C3152" s="1" t="n">
        <v>46093</v>
      </c>
      <c r="D3152" t="inlineStr">
        <is>
          <t>VÄSTERNORRLANDS LÄN</t>
        </is>
      </c>
      <c r="E3152" t="inlineStr">
        <is>
          <t>ÅNGE</t>
        </is>
      </c>
      <c r="F3152" t="inlineStr">
        <is>
          <t>SCA</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40355-2024</t>
        </is>
      </c>
      <c r="B3153" s="1" t="n">
        <v>45555.36541666667</v>
      </c>
      <c r="C3153" s="1" t="n">
        <v>46093</v>
      </c>
      <c r="D3153" t="inlineStr">
        <is>
          <t>VÄSTERNORRLANDS LÄN</t>
        </is>
      </c>
      <c r="E3153" t="inlineStr">
        <is>
          <t>SOLLEFTEÅ</t>
        </is>
      </c>
      <c r="F3153" t="inlineStr">
        <is>
          <t>SCA</t>
        </is>
      </c>
      <c r="G3153" t="n">
        <v>2.7</v>
      </c>
      <c r="H3153" t="n">
        <v>0</v>
      </c>
      <c r="I3153" t="n">
        <v>0</v>
      </c>
      <c r="J3153" t="n">
        <v>0</v>
      </c>
      <c r="K3153" t="n">
        <v>0</v>
      </c>
      <c r="L3153" t="n">
        <v>0</v>
      </c>
      <c r="M3153" t="n">
        <v>0</v>
      </c>
      <c r="N3153" t="n">
        <v>0</v>
      </c>
      <c r="O3153" t="n">
        <v>0</v>
      </c>
      <c r="P3153" t="n">
        <v>0</v>
      </c>
      <c r="Q3153" t="n">
        <v>0</v>
      </c>
      <c r="R3153" s="2" t="inlineStr"/>
    </row>
    <row r="3154" ht="15" customHeight="1">
      <c r="A3154" t="inlineStr">
        <is>
          <t>A 34483-2025</t>
        </is>
      </c>
      <c r="B3154" s="1" t="n">
        <v>45847.38934027778</v>
      </c>
      <c r="C3154" s="1" t="n">
        <v>46093</v>
      </c>
      <c r="D3154" t="inlineStr">
        <is>
          <t>VÄSTERNORRLANDS LÄN</t>
        </is>
      </c>
      <c r="E3154" t="inlineStr">
        <is>
          <t>ÖRNSKÖLDSVIK</t>
        </is>
      </c>
      <c r="F3154" t="inlineStr">
        <is>
          <t>Holmen skog AB</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34487-2025</t>
        </is>
      </c>
      <c r="B3155" s="1" t="n">
        <v>45847.40361111111</v>
      </c>
      <c r="C3155" s="1" t="n">
        <v>46093</v>
      </c>
      <c r="D3155" t="inlineStr">
        <is>
          <t>VÄSTERNORRLANDS LÄN</t>
        </is>
      </c>
      <c r="E3155" t="inlineStr">
        <is>
          <t>ÖRNSKÖLDSVIK</t>
        </is>
      </c>
      <c r="F3155" t="inlineStr">
        <is>
          <t>Holmen skog AB</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53451-2023</t>
        </is>
      </c>
      <c r="B3156" s="1" t="n">
        <v>45229.96545138889</v>
      </c>
      <c r="C3156" s="1" t="n">
        <v>46093</v>
      </c>
      <c r="D3156" t="inlineStr">
        <is>
          <t>VÄSTERNORRLANDS LÄN</t>
        </is>
      </c>
      <c r="E3156" t="inlineStr">
        <is>
          <t>SUNDSVALL</t>
        </is>
      </c>
      <c r="F3156" t="inlineStr">
        <is>
          <t>SCA</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38678-2025</t>
        </is>
      </c>
      <c r="B3157" s="1" t="n">
        <v>45884.6421875</v>
      </c>
      <c r="C3157" s="1" t="n">
        <v>46093</v>
      </c>
      <c r="D3157" t="inlineStr">
        <is>
          <t>VÄSTERNORRLANDS LÄN</t>
        </is>
      </c>
      <c r="E3157" t="inlineStr">
        <is>
          <t>KRAMFORS</t>
        </is>
      </c>
      <c r="G3157" t="n">
        <v>3.2</v>
      </c>
      <c r="H3157" t="n">
        <v>0</v>
      </c>
      <c r="I3157" t="n">
        <v>0</v>
      </c>
      <c r="J3157" t="n">
        <v>0</v>
      </c>
      <c r="K3157" t="n">
        <v>0</v>
      </c>
      <c r="L3157" t="n">
        <v>0</v>
      </c>
      <c r="M3157" t="n">
        <v>0</v>
      </c>
      <c r="N3157" t="n">
        <v>0</v>
      </c>
      <c r="O3157" t="n">
        <v>0</v>
      </c>
      <c r="P3157" t="n">
        <v>0</v>
      </c>
      <c r="Q3157" t="n">
        <v>0</v>
      </c>
      <c r="R3157" s="2" t="inlineStr"/>
    </row>
    <row r="3158" ht="15" customHeight="1">
      <c r="A3158" t="inlineStr">
        <is>
          <t>A 14134-2023</t>
        </is>
      </c>
      <c r="B3158" s="1" t="n">
        <v>45008</v>
      </c>
      <c r="C3158" s="1" t="n">
        <v>46093</v>
      </c>
      <c r="D3158" t="inlineStr">
        <is>
          <t>VÄSTERNORRLANDS LÄN</t>
        </is>
      </c>
      <c r="E3158" t="inlineStr">
        <is>
          <t>SOLLEFTEÅ</t>
        </is>
      </c>
      <c r="F3158" t="inlineStr">
        <is>
          <t>Övriga Aktiebolag</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42139-2024</t>
        </is>
      </c>
      <c r="B3159" s="1" t="n">
        <v>45562.42746527777</v>
      </c>
      <c r="C3159" s="1" t="n">
        <v>46093</v>
      </c>
      <c r="D3159" t="inlineStr">
        <is>
          <t>VÄSTERNORRLANDS LÄN</t>
        </is>
      </c>
      <c r="E3159" t="inlineStr">
        <is>
          <t>ÖRNSKÖLDSVIK</t>
        </is>
      </c>
      <c r="F3159" t="inlineStr">
        <is>
          <t>Holmen skog AB</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20133-2025</t>
        </is>
      </c>
      <c r="B3160" s="1" t="n">
        <v>45772.51092592593</v>
      </c>
      <c r="C3160" s="1" t="n">
        <v>46093</v>
      </c>
      <c r="D3160" t="inlineStr">
        <is>
          <t>VÄSTERNORRLANDS LÄN</t>
        </is>
      </c>
      <c r="E3160" t="inlineStr">
        <is>
          <t>SOLLEFTEÅ</t>
        </is>
      </c>
      <c r="F3160" t="inlineStr">
        <is>
          <t>SCA</t>
        </is>
      </c>
      <c r="G3160" t="n">
        <v>58.2</v>
      </c>
      <c r="H3160" t="n">
        <v>0</v>
      </c>
      <c r="I3160" t="n">
        <v>0</v>
      </c>
      <c r="J3160" t="n">
        <v>0</v>
      </c>
      <c r="K3160" t="n">
        <v>0</v>
      </c>
      <c r="L3160" t="n">
        <v>0</v>
      </c>
      <c r="M3160" t="n">
        <v>0</v>
      </c>
      <c r="N3160" t="n">
        <v>0</v>
      </c>
      <c r="O3160" t="n">
        <v>0</v>
      </c>
      <c r="P3160" t="n">
        <v>0</v>
      </c>
      <c r="Q3160" t="n">
        <v>0</v>
      </c>
      <c r="R3160" s="2" t="inlineStr"/>
    </row>
    <row r="3161" ht="15" customHeight="1">
      <c r="A3161" t="inlineStr">
        <is>
          <t>A 22680-2024</t>
        </is>
      </c>
      <c r="B3161" s="1" t="n">
        <v>45447.94548611111</v>
      </c>
      <c r="C3161" s="1" t="n">
        <v>46093</v>
      </c>
      <c r="D3161" t="inlineStr">
        <is>
          <t>VÄSTERNORRLANDS LÄN</t>
        </is>
      </c>
      <c r="E3161" t="inlineStr">
        <is>
          <t>ÅNGE</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38220-2025</t>
        </is>
      </c>
      <c r="B3162" s="1" t="n">
        <v>45883.34418981482</v>
      </c>
      <c r="C3162" s="1" t="n">
        <v>46093</v>
      </c>
      <c r="D3162" t="inlineStr">
        <is>
          <t>VÄSTERNORRLANDS LÄN</t>
        </is>
      </c>
      <c r="E3162" t="inlineStr">
        <is>
          <t>SOLLEFTEÅ</t>
        </is>
      </c>
      <c r="F3162" t="inlineStr">
        <is>
          <t>SCA</t>
        </is>
      </c>
      <c r="G3162" t="n">
        <v>3.7</v>
      </c>
      <c r="H3162" t="n">
        <v>0</v>
      </c>
      <c r="I3162" t="n">
        <v>0</v>
      </c>
      <c r="J3162" t="n">
        <v>0</v>
      </c>
      <c r="K3162" t="n">
        <v>0</v>
      </c>
      <c r="L3162" t="n">
        <v>0</v>
      </c>
      <c r="M3162" t="n">
        <v>0</v>
      </c>
      <c r="N3162" t="n">
        <v>0</v>
      </c>
      <c r="O3162" t="n">
        <v>0</v>
      </c>
      <c r="P3162" t="n">
        <v>0</v>
      </c>
      <c r="Q3162" t="n">
        <v>0</v>
      </c>
      <c r="R3162" s="2" t="inlineStr"/>
    </row>
    <row r="3163" ht="15" customHeight="1">
      <c r="A3163" t="inlineStr">
        <is>
          <t>A 38281-2025</t>
        </is>
      </c>
      <c r="B3163" s="1" t="n">
        <v>45883.42438657407</v>
      </c>
      <c r="C3163" s="1" t="n">
        <v>46093</v>
      </c>
      <c r="D3163" t="inlineStr">
        <is>
          <t>VÄSTERNORRLANDS LÄN</t>
        </is>
      </c>
      <c r="E3163" t="inlineStr">
        <is>
          <t>KRAMFORS</t>
        </is>
      </c>
      <c r="G3163" t="n">
        <v>6.3</v>
      </c>
      <c r="H3163" t="n">
        <v>0</v>
      </c>
      <c r="I3163" t="n">
        <v>0</v>
      </c>
      <c r="J3163" t="n">
        <v>0</v>
      </c>
      <c r="K3163" t="n">
        <v>0</v>
      </c>
      <c r="L3163" t="n">
        <v>0</v>
      </c>
      <c r="M3163" t="n">
        <v>0</v>
      </c>
      <c r="N3163" t="n">
        <v>0</v>
      </c>
      <c r="O3163" t="n">
        <v>0</v>
      </c>
      <c r="P3163" t="n">
        <v>0</v>
      </c>
      <c r="Q3163" t="n">
        <v>0</v>
      </c>
      <c r="R3163" s="2" t="inlineStr"/>
    </row>
    <row r="3164" ht="15" customHeight="1">
      <c r="A3164" t="inlineStr">
        <is>
          <t>A 20177-2025</t>
        </is>
      </c>
      <c r="B3164" s="1" t="n">
        <v>45772</v>
      </c>
      <c r="C3164" s="1" t="n">
        <v>46093</v>
      </c>
      <c r="D3164" t="inlineStr">
        <is>
          <t>VÄSTERNORRLANDS LÄN</t>
        </is>
      </c>
      <c r="E3164" t="inlineStr">
        <is>
          <t>ÖRNSKÖLDSVIK</t>
        </is>
      </c>
      <c r="G3164" t="n">
        <v>9.4</v>
      </c>
      <c r="H3164" t="n">
        <v>0</v>
      </c>
      <c r="I3164" t="n">
        <v>0</v>
      </c>
      <c r="J3164" t="n">
        <v>0</v>
      </c>
      <c r="K3164" t="n">
        <v>0</v>
      </c>
      <c r="L3164" t="n">
        <v>0</v>
      </c>
      <c r="M3164" t="n">
        <v>0</v>
      </c>
      <c r="N3164" t="n">
        <v>0</v>
      </c>
      <c r="O3164" t="n">
        <v>0</v>
      </c>
      <c r="P3164" t="n">
        <v>0</v>
      </c>
      <c r="Q3164" t="n">
        <v>0</v>
      </c>
      <c r="R3164" s="2" t="inlineStr"/>
    </row>
    <row r="3165" ht="15" customHeight="1">
      <c r="A3165" t="inlineStr">
        <is>
          <t>A 20184-2025</t>
        </is>
      </c>
      <c r="B3165" s="1" t="n">
        <v>45772.59458333333</v>
      </c>
      <c r="C3165" s="1" t="n">
        <v>46093</v>
      </c>
      <c r="D3165" t="inlineStr">
        <is>
          <t>VÄSTERNORRLANDS LÄN</t>
        </is>
      </c>
      <c r="E3165" t="inlineStr">
        <is>
          <t>SOLLEFTEÅ</t>
        </is>
      </c>
      <c r="F3165" t="inlineStr">
        <is>
          <t>SCA</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14537-2024</t>
        </is>
      </c>
      <c r="B3166" s="1" t="n">
        <v>45394</v>
      </c>
      <c r="C3166" s="1" t="n">
        <v>46093</v>
      </c>
      <c r="D3166" t="inlineStr">
        <is>
          <t>VÄSTERNORRLANDS LÄN</t>
        </is>
      </c>
      <c r="E3166" t="inlineStr">
        <is>
          <t>SUNDSVALL</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50767-2024</t>
        </is>
      </c>
      <c r="B3167" s="1" t="n">
        <v>45602</v>
      </c>
      <c r="C3167" s="1" t="n">
        <v>46093</v>
      </c>
      <c r="D3167" t="inlineStr">
        <is>
          <t>VÄSTERNORRLANDS LÄN</t>
        </is>
      </c>
      <c r="E3167" t="inlineStr">
        <is>
          <t>ÖRNSKÖLDSVIK</t>
        </is>
      </c>
      <c r="F3167" t="inlineStr">
        <is>
          <t>Holmen skog AB</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34473-2025</t>
        </is>
      </c>
      <c r="B3168" s="1" t="n">
        <v>45847.36511574074</v>
      </c>
      <c r="C3168" s="1" t="n">
        <v>46093</v>
      </c>
      <c r="D3168" t="inlineStr">
        <is>
          <t>VÄSTERNORRLANDS LÄN</t>
        </is>
      </c>
      <c r="E3168" t="inlineStr">
        <is>
          <t>SOLLEFTEÅ</t>
        </is>
      </c>
      <c r="F3168" t="inlineStr">
        <is>
          <t>SCA</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39846-2024</t>
        </is>
      </c>
      <c r="B3169" s="1" t="n">
        <v>45553.4275</v>
      </c>
      <c r="C3169" s="1" t="n">
        <v>46093</v>
      </c>
      <c r="D3169" t="inlineStr">
        <is>
          <t>VÄSTERNORRLANDS LÄN</t>
        </is>
      </c>
      <c r="E3169" t="inlineStr">
        <is>
          <t>KRAMFORS</t>
        </is>
      </c>
      <c r="G3169" t="n">
        <v>3.5</v>
      </c>
      <c r="H3169" t="n">
        <v>0</v>
      </c>
      <c r="I3169" t="n">
        <v>0</v>
      </c>
      <c r="J3169" t="n">
        <v>0</v>
      </c>
      <c r="K3169" t="n">
        <v>0</v>
      </c>
      <c r="L3169" t="n">
        <v>0</v>
      </c>
      <c r="M3169" t="n">
        <v>0</v>
      </c>
      <c r="N3169" t="n">
        <v>0</v>
      </c>
      <c r="O3169" t="n">
        <v>0</v>
      </c>
      <c r="P3169" t="n">
        <v>0</v>
      </c>
      <c r="Q3169" t="n">
        <v>0</v>
      </c>
      <c r="R3169" s="2" t="inlineStr"/>
    </row>
    <row r="3170" ht="15" customHeight="1">
      <c r="A3170" t="inlineStr">
        <is>
          <t>A 426-2024</t>
        </is>
      </c>
      <c r="B3170" s="1" t="n">
        <v>45296.53644675926</v>
      </c>
      <c r="C3170" s="1" t="n">
        <v>46093</v>
      </c>
      <c r="D3170" t="inlineStr">
        <is>
          <t>VÄSTERNORRLANDS LÄN</t>
        </is>
      </c>
      <c r="E3170" t="inlineStr">
        <is>
          <t>ÖRNSKÖLDSVIK</t>
        </is>
      </c>
      <c r="F3170" t="inlineStr">
        <is>
          <t>Holmen skog AB</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556-2024</t>
        </is>
      </c>
      <c r="B3171" s="1" t="n">
        <v>45299</v>
      </c>
      <c r="C3171" s="1" t="n">
        <v>46093</v>
      </c>
      <c r="D3171" t="inlineStr">
        <is>
          <t>VÄSTERNORRLANDS LÄN</t>
        </is>
      </c>
      <c r="E3171" t="inlineStr">
        <is>
          <t>KRAMFORS</t>
        </is>
      </c>
      <c r="G3171" t="n">
        <v>5.3</v>
      </c>
      <c r="H3171" t="n">
        <v>0</v>
      </c>
      <c r="I3171" t="n">
        <v>0</v>
      </c>
      <c r="J3171" t="n">
        <v>0</v>
      </c>
      <c r="K3171" t="n">
        <v>0</v>
      </c>
      <c r="L3171" t="n">
        <v>0</v>
      </c>
      <c r="M3171" t="n">
        <v>0</v>
      </c>
      <c r="N3171" t="n">
        <v>0</v>
      </c>
      <c r="O3171" t="n">
        <v>0</v>
      </c>
      <c r="P3171" t="n">
        <v>0</v>
      </c>
      <c r="Q3171" t="n">
        <v>0</v>
      </c>
      <c r="R3171" s="2" t="inlineStr"/>
    </row>
    <row r="3172" ht="15" customHeight="1">
      <c r="A3172" t="inlineStr">
        <is>
          <t>A 18604-2024</t>
        </is>
      </c>
      <c r="B3172" s="1" t="n">
        <v>45425</v>
      </c>
      <c r="C3172" s="1" t="n">
        <v>46093</v>
      </c>
      <c r="D3172" t="inlineStr">
        <is>
          <t>VÄSTERNORRLANDS LÄN</t>
        </is>
      </c>
      <c r="E3172" t="inlineStr">
        <is>
          <t>KRAMFORS</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56775-2024</t>
        </is>
      </c>
      <c r="B3173" s="1" t="n">
        <v>45628.43646990741</v>
      </c>
      <c r="C3173" s="1" t="n">
        <v>46093</v>
      </c>
      <c r="D3173" t="inlineStr">
        <is>
          <t>VÄSTERNORRLANDS LÄN</t>
        </is>
      </c>
      <c r="E3173" t="inlineStr">
        <is>
          <t>ÖRNSKÖLDSVIK</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54233-2024</t>
        </is>
      </c>
      <c r="B3174" s="1" t="n">
        <v>45616.67791666667</v>
      </c>
      <c r="C3174" s="1" t="n">
        <v>46093</v>
      </c>
      <c r="D3174" t="inlineStr">
        <is>
          <t>VÄSTERNORRLANDS LÄN</t>
        </is>
      </c>
      <c r="E3174" t="inlineStr">
        <is>
          <t>SOLLEFTEÅ</t>
        </is>
      </c>
      <c r="F3174" t="inlineStr">
        <is>
          <t>SCA</t>
        </is>
      </c>
      <c r="G3174" t="n">
        <v>5.3</v>
      </c>
      <c r="H3174" t="n">
        <v>0</v>
      </c>
      <c r="I3174" t="n">
        <v>0</v>
      </c>
      <c r="J3174" t="n">
        <v>0</v>
      </c>
      <c r="K3174" t="n">
        <v>0</v>
      </c>
      <c r="L3174" t="n">
        <v>0</v>
      </c>
      <c r="M3174" t="n">
        <v>0</v>
      </c>
      <c r="N3174" t="n">
        <v>0</v>
      </c>
      <c r="O3174" t="n">
        <v>0</v>
      </c>
      <c r="P3174" t="n">
        <v>0</v>
      </c>
      <c r="Q3174" t="n">
        <v>0</v>
      </c>
      <c r="R3174" s="2" t="inlineStr"/>
    </row>
    <row r="3175" ht="15" customHeight="1">
      <c r="A3175" t="inlineStr">
        <is>
          <t>A 54235-2024</t>
        </is>
      </c>
      <c r="B3175" s="1" t="n">
        <v>45616.67806712963</v>
      </c>
      <c r="C3175" s="1" t="n">
        <v>46093</v>
      </c>
      <c r="D3175" t="inlineStr">
        <is>
          <t>VÄSTERNORRLANDS LÄN</t>
        </is>
      </c>
      <c r="E3175" t="inlineStr">
        <is>
          <t>SOLLEFTEÅ</t>
        </is>
      </c>
      <c r="F3175" t="inlineStr">
        <is>
          <t>SCA</t>
        </is>
      </c>
      <c r="G3175" t="n">
        <v>0.1</v>
      </c>
      <c r="H3175" t="n">
        <v>0</v>
      </c>
      <c r="I3175" t="n">
        <v>0</v>
      </c>
      <c r="J3175" t="n">
        <v>0</v>
      </c>
      <c r="K3175" t="n">
        <v>0</v>
      </c>
      <c r="L3175" t="n">
        <v>0</v>
      </c>
      <c r="M3175" t="n">
        <v>0</v>
      </c>
      <c r="N3175" t="n">
        <v>0</v>
      </c>
      <c r="O3175" t="n">
        <v>0</v>
      </c>
      <c r="P3175" t="n">
        <v>0</v>
      </c>
      <c r="Q3175" t="n">
        <v>0</v>
      </c>
      <c r="R3175" s="2" t="inlineStr"/>
    </row>
    <row r="3176" ht="15" customHeight="1">
      <c r="A3176" t="inlineStr">
        <is>
          <t>A 32208-2024</t>
        </is>
      </c>
      <c r="B3176" s="1" t="n">
        <v>45511.67479166666</v>
      </c>
      <c r="C3176" s="1" t="n">
        <v>46093</v>
      </c>
      <c r="D3176" t="inlineStr">
        <is>
          <t>VÄSTERNORRLANDS LÄN</t>
        </is>
      </c>
      <c r="E3176" t="inlineStr">
        <is>
          <t>ÖRNSKÖLDSVIK</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22574-2024</t>
        </is>
      </c>
      <c r="B3177" s="1" t="n">
        <v>45447</v>
      </c>
      <c r="C3177" s="1" t="n">
        <v>46093</v>
      </c>
      <c r="D3177" t="inlineStr">
        <is>
          <t>VÄSTERNORRLANDS LÄN</t>
        </is>
      </c>
      <c r="E3177" t="inlineStr">
        <is>
          <t>ÖRNSKÖLDSVIK</t>
        </is>
      </c>
      <c r="F3177" t="inlineStr">
        <is>
          <t>Holmen skog AB</t>
        </is>
      </c>
      <c r="G3177" t="n">
        <v>0.1</v>
      </c>
      <c r="H3177" t="n">
        <v>0</v>
      </c>
      <c r="I3177" t="n">
        <v>0</v>
      </c>
      <c r="J3177" t="n">
        <v>0</v>
      </c>
      <c r="K3177" t="n">
        <v>0</v>
      </c>
      <c r="L3177" t="n">
        <v>0</v>
      </c>
      <c r="M3177" t="n">
        <v>0</v>
      </c>
      <c r="N3177" t="n">
        <v>0</v>
      </c>
      <c r="O3177" t="n">
        <v>0</v>
      </c>
      <c r="P3177" t="n">
        <v>0</v>
      </c>
      <c r="Q3177" t="n">
        <v>0</v>
      </c>
      <c r="R3177" s="2" t="inlineStr"/>
    </row>
    <row r="3178" ht="15" customHeight="1">
      <c r="A3178" t="inlineStr">
        <is>
          <t>A 59495-2023</t>
        </is>
      </c>
      <c r="B3178" s="1" t="n">
        <v>45253</v>
      </c>
      <c r="C3178" s="1" t="n">
        <v>46093</v>
      </c>
      <c r="D3178" t="inlineStr">
        <is>
          <t>VÄSTERNORRLANDS LÄN</t>
        </is>
      </c>
      <c r="E3178" t="inlineStr">
        <is>
          <t>ÖRNSKÖLDSVIK</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7257-2024</t>
        </is>
      </c>
      <c r="B3179" s="1" t="n">
        <v>45344.7371412037</v>
      </c>
      <c r="C3179" s="1" t="n">
        <v>46093</v>
      </c>
      <c r="D3179" t="inlineStr">
        <is>
          <t>VÄSTERNORRLANDS LÄN</t>
        </is>
      </c>
      <c r="E3179" t="inlineStr">
        <is>
          <t>SOLLEFTEÅ</t>
        </is>
      </c>
      <c r="G3179" t="n">
        <v>9.1</v>
      </c>
      <c r="H3179" t="n">
        <v>0</v>
      </c>
      <c r="I3179" t="n">
        <v>0</v>
      </c>
      <c r="J3179" t="n">
        <v>0</v>
      </c>
      <c r="K3179" t="n">
        <v>0</v>
      </c>
      <c r="L3179" t="n">
        <v>0</v>
      </c>
      <c r="M3179" t="n">
        <v>0</v>
      </c>
      <c r="N3179" t="n">
        <v>0</v>
      </c>
      <c r="O3179" t="n">
        <v>0</v>
      </c>
      <c r="P3179" t="n">
        <v>0</v>
      </c>
      <c r="Q3179" t="n">
        <v>0</v>
      </c>
      <c r="R3179" s="2" t="inlineStr"/>
    </row>
    <row r="3180" ht="15" customHeight="1">
      <c r="A3180" t="inlineStr">
        <is>
          <t>A 62333-2021</t>
        </is>
      </c>
      <c r="B3180" s="1" t="n">
        <v>44502</v>
      </c>
      <c r="C3180" s="1" t="n">
        <v>46093</v>
      </c>
      <c r="D3180" t="inlineStr">
        <is>
          <t>VÄSTERNORRLANDS LÄN</t>
        </is>
      </c>
      <c r="E3180" t="inlineStr">
        <is>
          <t>HÄRNÖSAND</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35041-2025</t>
        </is>
      </c>
      <c r="B3181" s="1" t="n">
        <v>45852.3443287037</v>
      </c>
      <c r="C3181" s="1" t="n">
        <v>46093</v>
      </c>
      <c r="D3181" t="inlineStr">
        <is>
          <t>VÄSTERNORRLANDS LÄN</t>
        </is>
      </c>
      <c r="E3181" t="inlineStr">
        <is>
          <t>SOLLEFTEÅ</t>
        </is>
      </c>
      <c r="F3181" t="inlineStr">
        <is>
          <t>SCA</t>
        </is>
      </c>
      <c r="G3181" t="n">
        <v>3.4</v>
      </c>
      <c r="H3181" t="n">
        <v>0</v>
      </c>
      <c r="I3181" t="n">
        <v>0</v>
      </c>
      <c r="J3181" t="n">
        <v>0</v>
      </c>
      <c r="K3181" t="n">
        <v>0</v>
      </c>
      <c r="L3181" t="n">
        <v>0</v>
      </c>
      <c r="M3181" t="n">
        <v>0</v>
      </c>
      <c r="N3181" t="n">
        <v>0</v>
      </c>
      <c r="O3181" t="n">
        <v>0</v>
      </c>
      <c r="P3181" t="n">
        <v>0</v>
      </c>
      <c r="Q3181" t="n">
        <v>0</v>
      </c>
      <c r="R3181" s="2" t="inlineStr"/>
    </row>
    <row r="3182" ht="15" customHeight="1">
      <c r="A3182" t="inlineStr">
        <is>
          <t>A 73980-2021</t>
        </is>
      </c>
      <c r="B3182" s="1" t="n">
        <v>44554</v>
      </c>
      <c r="C3182" s="1" t="n">
        <v>46093</v>
      </c>
      <c r="D3182" t="inlineStr">
        <is>
          <t>VÄSTERNORRLANDS LÄN</t>
        </is>
      </c>
      <c r="E3182" t="inlineStr">
        <is>
          <t>SUNDSVALL</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59964-2021</t>
        </is>
      </c>
      <c r="B3183" s="1" t="n">
        <v>44494</v>
      </c>
      <c r="C3183" s="1" t="n">
        <v>46093</v>
      </c>
      <c r="D3183" t="inlineStr">
        <is>
          <t>VÄSTERNORRLANDS LÄN</t>
        </is>
      </c>
      <c r="E3183" t="inlineStr">
        <is>
          <t>TIMRÅ</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59973-2021</t>
        </is>
      </c>
      <c r="B3184" s="1" t="n">
        <v>44494.93664351852</v>
      </c>
      <c r="C3184" s="1" t="n">
        <v>46093</v>
      </c>
      <c r="D3184" t="inlineStr">
        <is>
          <t>VÄSTERNORRLANDS LÄN</t>
        </is>
      </c>
      <c r="E3184" t="inlineStr">
        <is>
          <t>SUNDSVALL</t>
        </is>
      </c>
      <c r="F3184" t="inlineStr">
        <is>
          <t>SCA</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59581-2023</t>
        </is>
      </c>
      <c r="B3185" s="1" t="n">
        <v>45254.60465277778</v>
      </c>
      <c r="C3185" s="1" t="n">
        <v>46093</v>
      </c>
      <c r="D3185" t="inlineStr">
        <is>
          <t>VÄSTERNORRLANDS LÄN</t>
        </is>
      </c>
      <c r="E3185" t="inlineStr">
        <is>
          <t>ÖRNSKÖLDSVIK</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29200-2023</t>
        </is>
      </c>
      <c r="B3186" s="1" t="n">
        <v>45105</v>
      </c>
      <c r="C3186" s="1" t="n">
        <v>46093</v>
      </c>
      <c r="D3186" t="inlineStr">
        <is>
          <t>VÄSTERNORRLANDS LÄN</t>
        </is>
      </c>
      <c r="E3186" t="inlineStr">
        <is>
          <t>ÖRNSKÖLDSVIK</t>
        </is>
      </c>
      <c r="F3186" t="inlineStr">
        <is>
          <t>Holmen skog AB</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57019-2022</t>
        </is>
      </c>
      <c r="B3187" s="1" t="n">
        <v>44894.95877314815</v>
      </c>
      <c r="C3187" s="1" t="n">
        <v>46093</v>
      </c>
      <c r="D3187" t="inlineStr">
        <is>
          <t>VÄSTERNORRLANDS LÄN</t>
        </is>
      </c>
      <c r="E3187" t="inlineStr">
        <is>
          <t>SOLLEFTEÅ</t>
        </is>
      </c>
      <c r="F3187" t="inlineStr">
        <is>
          <t>SCA</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23035-2024</t>
        </is>
      </c>
      <c r="B3188" s="1" t="n">
        <v>45450.39016203704</v>
      </c>
      <c r="C3188" s="1" t="n">
        <v>46093</v>
      </c>
      <c r="D3188" t="inlineStr">
        <is>
          <t>VÄSTERNORRLANDS LÄN</t>
        </is>
      </c>
      <c r="E3188" t="inlineStr">
        <is>
          <t>ÅNGE</t>
        </is>
      </c>
      <c r="G3188" t="n">
        <v>12.1</v>
      </c>
      <c r="H3188" t="n">
        <v>0</v>
      </c>
      <c r="I3188" t="n">
        <v>0</v>
      </c>
      <c r="J3188" t="n">
        <v>0</v>
      </c>
      <c r="K3188" t="n">
        <v>0</v>
      </c>
      <c r="L3188" t="n">
        <v>0</v>
      </c>
      <c r="M3188" t="n">
        <v>0</v>
      </c>
      <c r="N3188" t="n">
        <v>0</v>
      </c>
      <c r="O3188" t="n">
        <v>0</v>
      </c>
      <c r="P3188" t="n">
        <v>0</v>
      </c>
      <c r="Q3188" t="n">
        <v>0</v>
      </c>
      <c r="R3188" s="2" t="inlineStr"/>
    </row>
    <row r="3189" ht="15" customHeight="1">
      <c r="A3189" t="inlineStr">
        <is>
          <t>A 23063-2024</t>
        </is>
      </c>
      <c r="B3189" s="1" t="n">
        <v>45450.44278935185</v>
      </c>
      <c r="C3189" s="1" t="n">
        <v>46093</v>
      </c>
      <c r="D3189" t="inlineStr">
        <is>
          <t>VÄSTERNORRLANDS LÄN</t>
        </is>
      </c>
      <c r="E3189" t="inlineStr">
        <is>
          <t>ÅNGE</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35005-2025</t>
        </is>
      </c>
      <c r="B3190" s="1" t="n">
        <v>45850.736875</v>
      </c>
      <c r="C3190" s="1" t="n">
        <v>46093</v>
      </c>
      <c r="D3190" t="inlineStr">
        <is>
          <t>VÄSTERNORRLANDS LÄN</t>
        </is>
      </c>
      <c r="E3190" t="inlineStr">
        <is>
          <t>ÖRNSKÖLDSVIK</t>
        </is>
      </c>
      <c r="G3190" t="n">
        <v>7.8</v>
      </c>
      <c r="H3190" t="n">
        <v>0</v>
      </c>
      <c r="I3190" t="n">
        <v>0</v>
      </c>
      <c r="J3190" t="n">
        <v>0</v>
      </c>
      <c r="K3190" t="n">
        <v>0</v>
      </c>
      <c r="L3190" t="n">
        <v>0</v>
      </c>
      <c r="M3190" t="n">
        <v>0</v>
      </c>
      <c r="N3190" t="n">
        <v>0</v>
      </c>
      <c r="O3190" t="n">
        <v>0</v>
      </c>
      <c r="P3190" t="n">
        <v>0</v>
      </c>
      <c r="Q3190" t="n">
        <v>0</v>
      </c>
      <c r="R3190" s="2" t="inlineStr"/>
    </row>
    <row r="3191" ht="15" customHeight="1">
      <c r="A3191" t="inlineStr">
        <is>
          <t>A 34879-2025</t>
        </is>
      </c>
      <c r="B3191" s="1" t="n">
        <v>45849.46824074074</v>
      </c>
      <c r="C3191" s="1" t="n">
        <v>46093</v>
      </c>
      <c r="D3191" t="inlineStr">
        <is>
          <t>VÄSTERNORRLANDS LÄN</t>
        </is>
      </c>
      <c r="E3191" t="inlineStr">
        <is>
          <t>TIMRÅ</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55912-2023</t>
        </is>
      </c>
      <c r="B3192" s="1" t="n">
        <v>45239.92665509259</v>
      </c>
      <c r="C3192" s="1" t="n">
        <v>46093</v>
      </c>
      <c r="D3192" t="inlineStr">
        <is>
          <t>VÄSTERNORRLANDS LÄN</t>
        </is>
      </c>
      <c r="E3192" t="inlineStr">
        <is>
          <t>SOLLEFTEÅ</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62083-2024</t>
        </is>
      </c>
      <c r="B3193" s="1" t="n">
        <v>45656.44252314815</v>
      </c>
      <c r="C3193" s="1" t="n">
        <v>46093</v>
      </c>
      <c r="D3193" t="inlineStr">
        <is>
          <t>VÄSTERNORRLANDS LÄN</t>
        </is>
      </c>
      <c r="E3193" t="inlineStr">
        <is>
          <t>KRAMFORS</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61251-2023</t>
        </is>
      </c>
      <c r="B3194" s="1" t="n">
        <v>45264.47675925926</v>
      </c>
      <c r="C3194" s="1" t="n">
        <v>46093</v>
      </c>
      <c r="D3194" t="inlineStr">
        <is>
          <t>VÄSTERNORRLANDS LÄN</t>
        </is>
      </c>
      <c r="E3194" t="inlineStr">
        <is>
          <t>ÖRNSKÖLDSVIK</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61305-2023</t>
        </is>
      </c>
      <c r="B3195" s="1" t="n">
        <v>45264.56385416666</v>
      </c>
      <c r="C3195" s="1" t="n">
        <v>46093</v>
      </c>
      <c r="D3195" t="inlineStr">
        <is>
          <t>VÄSTERNORRLANDS LÄN</t>
        </is>
      </c>
      <c r="E3195" t="inlineStr">
        <is>
          <t>ÖRNSKÖLDSVIK</t>
        </is>
      </c>
      <c r="G3195" t="n">
        <v>6.2</v>
      </c>
      <c r="H3195" t="n">
        <v>0</v>
      </c>
      <c r="I3195" t="n">
        <v>0</v>
      </c>
      <c r="J3195" t="n">
        <v>0</v>
      </c>
      <c r="K3195" t="n">
        <v>0</v>
      </c>
      <c r="L3195" t="n">
        <v>0</v>
      </c>
      <c r="M3195" t="n">
        <v>0</v>
      </c>
      <c r="N3195" t="n">
        <v>0</v>
      </c>
      <c r="O3195" t="n">
        <v>0</v>
      </c>
      <c r="P3195" t="n">
        <v>0</v>
      </c>
      <c r="Q3195" t="n">
        <v>0</v>
      </c>
      <c r="R3195" s="2" t="inlineStr"/>
    </row>
    <row r="3196" ht="15" customHeight="1">
      <c r="A3196" t="inlineStr">
        <is>
          <t>A 26735-2025</t>
        </is>
      </c>
      <c r="B3196" s="1" t="n">
        <v>45810</v>
      </c>
      <c r="C3196" s="1" t="n">
        <v>46093</v>
      </c>
      <c r="D3196" t="inlineStr">
        <is>
          <t>VÄSTERNORRLANDS LÄN</t>
        </is>
      </c>
      <c r="E3196" t="inlineStr">
        <is>
          <t>KRAMFORS</t>
        </is>
      </c>
      <c r="G3196" t="n">
        <v>40.2</v>
      </c>
      <c r="H3196" t="n">
        <v>0</v>
      </c>
      <c r="I3196" t="n">
        <v>0</v>
      </c>
      <c r="J3196" t="n">
        <v>0</v>
      </c>
      <c r="K3196" t="n">
        <v>0</v>
      </c>
      <c r="L3196" t="n">
        <v>0</v>
      </c>
      <c r="M3196" t="n">
        <v>0</v>
      </c>
      <c r="N3196" t="n">
        <v>0</v>
      </c>
      <c r="O3196" t="n">
        <v>0</v>
      </c>
      <c r="P3196" t="n">
        <v>0</v>
      </c>
      <c r="Q3196" t="n">
        <v>0</v>
      </c>
      <c r="R3196" s="2" t="inlineStr"/>
    </row>
    <row r="3197" ht="15" customHeight="1">
      <c r="A3197" t="inlineStr">
        <is>
          <t>A 35086-2025</t>
        </is>
      </c>
      <c r="B3197" s="1" t="n">
        <v>45852.51719907407</v>
      </c>
      <c r="C3197" s="1" t="n">
        <v>46093</v>
      </c>
      <c r="D3197" t="inlineStr">
        <is>
          <t>VÄSTERNORRLANDS LÄN</t>
        </is>
      </c>
      <c r="E3197" t="inlineStr">
        <is>
          <t>SOLLEFTEÅ</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17218-2025</t>
        </is>
      </c>
      <c r="B3198" s="1" t="n">
        <v>45756.45168981481</v>
      </c>
      <c r="C3198" s="1" t="n">
        <v>46093</v>
      </c>
      <c r="D3198" t="inlineStr">
        <is>
          <t>VÄSTERNORRLANDS LÄN</t>
        </is>
      </c>
      <c r="E3198" t="inlineStr">
        <is>
          <t>ÖRNSKÖLDSVIK</t>
        </is>
      </c>
      <c r="G3198" t="n">
        <v>0.2</v>
      </c>
      <c r="H3198" t="n">
        <v>0</v>
      </c>
      <c r="I3198" t="n">
        <v>0</v>
      </c>
      <c r="J3198" t="n">
        <v>0</v>
      </c>
      <c r="K3198" t="n">
        <v>0</v>
      </c>
      <c r="L3198" t="n">
        <v>0</v>
      </c>
      <c r="M3198" t="n">
        <v>0</v>
      </c>
      <c r="N3198" t="n">
        <v>0</v>
      </c>
      <c r="O3198" t="n">
        <v>0</v>
      </c>
      <c r="P3198" t="n">
        <v>0</v>
      </c>
      <c r="Q3198" t="n">
        <v>0</v>
      </c>
      <c r="R3198" s="2" t="inlineStr"/>
    </row>
    <row r="3199" ht="15" customHeight="1">
      <c r="A3199" t="inlineStr">
        <is>
          <t>A 17236-2025</t>
        </is>
      </c>
      <c r="B3199" s="1" t="n">
        <v>45756.47702546296</v>
      </c>
      <c r="C3199" s="1" t="n">
        <v>46093</v>
      </c>
      <c r="D3199" t="inlineStr">
        <is>
          <t>VÄSTERNORRLANDS LÄN</t>
        </is>
      </c>
      <c r="E3199" t="inlineStr">
        <is>
          <t>ÖRNSKÖLDSVIK</t>
        </is>
      </c>
      <c r="F3199" t="inlineStr">
        <is>
          <t>Holmen skog AB</t>
        </is>
      </c>
      <c r="G3199" t="n">
        <v>17.1</v>
      </c>
      <c r="H3199" t="n">
        <v>0</v>
      </c>
      <c r="I3199" t="n">
        <v>0</v>
      </c>
      <c r="J3199" t="n">
        <v>0</v>
      </c>
      <c r="K3199" t="n">
        <v>0</v>
      </c>
      <c r="L3199" t="n">
        <v>0</v>
      </c>
      <c r="M3199" t="n">
        <v>0</v>
      </c>
      <c r="N3199" t="n">
        <v>0</v>
      </c>
      <c r="O3199" t="n">
        <v>0</v>
      </c>
      <c r="P3199" t="n">
        <v>0</v>
      </c>
      <c r="Q3199" t="n">
        <v>0</v>
      </c>
      <c r="R3199" s="2" t="inlineStr"/>
    </row>
    <row r="3200" ht="15" customHeight="1">
      <c r="A3200" t="inlineStr">
        <is>
          <t>A 38553-2024</t>
        </is>
      </c>
      <c r="B3200" s="1" t="n">
        <v>45546</v>
      </c>
      <c r="C3200" s="1" t="n">
        <v>46093</v>
      </c>
      <c r="D3200" t="inlineStr">
        <is>
          <t>VÄSTERNORRLANDS LÄN</t>
        </is>
      </c>
      <c r="E3200" t="inlineStr">
        <is>
          <t>KRAMFORS</t>
        </is>
      </c>
      <c r="G3200" t="n">
        <v>5.8</v>
      </c>
      <c r="H3200" t="n">
        <v>0</v>
      </c>
      <c r="I3200" t="n">
        <v>0</v>
      </c>
      <c r="J3200" t="n">
        <v>0</v>
      </c>
      <c r="K3200" t="n">
        <v>0</v>
      </c>
      <c r="L3200" t="n">
        <v>0</v>
      </c>
      <c r="M3200" t="n">
        <v>0</v>
      </c>
      <c r="N3200" t="n">
        <v>0</v>
      </c>
      <c r="O3200" t="n">
        <v>0</v>
      </c>
      <c r="P3200" t="n">
        <v>0</v>
      </c>
      <c r="Q3200" t="n">
        <v>0</v>
      </c>
      <c r="R3200" s="2" t="inlineStr"/>
    </row>
    <row r="3201" ht="15" customHeight="1">
      <c r="A3201" t="inlineStr">
        <is>
          <t>A 34185-2023</t>
        </is>
      </c>
      <c r="B3201" s="1" t="n">
        <v>45126</v>
      </c>
      <c r="C3201" s="1" t="n">
        <v>46093</v>
      </c>
      <c r="D3201" t="inlineStr">
        <is>
          <t>VÄSTERNORRLANDS LÄN</t>
        </is>
      </c>
      <c r="E3201" t="inlineStr">
        <is>
          <t>HÄRNÖSAND</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48785-2024</t>
        </is>
      </c>
      <c r="B3202" s="1" t="n">
        <v>45593</v>
      </c>
      <c r="C3202" s="1" t="n">
        <v>46093</v>
      </c>
      <c r="D3202" t="inlineStr">
        <is>
          <t>VÄSTERNORRLANDS LÄN</t>
        </is>
      </c>
      <c r="E3202" t="inlineStr">
        <is>
          <t>SOLLEFTEÅ</t>
        </is>
      </c>
      <c r="F3202" t="inlineStr">
        <is>
          <t>SCA</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61781-2023</t>
        </is>
      </c>
      <c r="B3203" s="1" t="n">
        <v>45265.95708333333</v>
      </c>
      <c r="C3203" s="1" t="n">
        <v>46093</v>
      </c>
      <c r="D3203" t="inlineStr">
        <is>
          <t>VÄSTERNORRLANDS LÄN</t>
        </is>
      </c>
      <c r="E3203" t="inlineStr">
        <is>
          <t>ÅNGE</t>
        </is>
      </c>
      <c r="F3203" t="inlineStr">
        <is>
          <t>SCA</t>
        </is>
      </c>
      <c r="G3203" t="n">
        <v>8.300000000000001</v>
      </c>
      <c r="H3203" t="n">
        <v>0</v>
      </c>
      <c r="I3203" t="n">
        <v>0</v>
      </c>
      <c r="J3203" t="n">
        <v>0</v>
      </c>
      <c r="K3203" t="n">
        <v>0</v>
      </c>
      <c r="L3203" t="n">
        <v>0</v>
      </c>
      <c r="M3203" t="n">
        <v>0</v>
      </c>
      <c r="N3203" t="n">
        <v>0</v>
      </c>
      <c r="O3203" t="n">
        <v>0</v>
      </c>
      <c r="P3203" t="n">
        <v>0</v>
      </c>
      <c r="Q3203" t="n">
        <v>0</v>
      </c>
      <c r="R3203" s="2" t="inlineStr"/>
    </row>
    <row r="3204" ht="15" customHeight="1">
      <c r="A3204" t="inlineStr">
        <is>
          <t>A 23404-2023</t>
        </is>
      </c>
      <c r="B3204" s="1" t="n">
        <v>45076.48101851852</v>
      </c>
      <c r="C3204" s="1" t="n">
        <v>46093</v>
      </c>
      <c r="D3204" t="inlineStr">
        <is>
          <t>VÄSTERNORRLANDS LÄN</t>
        </is>
      </c>
      <c r="E3204" t="inlineStr">
        <is>
          <t>SUNDSVALL</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16926-2025</t>
        </is>
      </c>
      <c r="B3205" s="1" t="n">
        <v>45755.39195601852</v>
      </c>
      <c r="C3205" s="1" t="n">
        <v>46093</v>
      </c>
      <c r="D3205" t="inlineStr">
        <is>
          <t>VÄSTERNORRLANDS LÄN</t>
        </is>
      </c>
      <c r="E3205" t="inlineStr">
        <is>
          <t>ÖRNSKÖLDSVIK</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43130-2023</t>
        </is>
      </c>
      <c r="B3206" s="1" t="n">
        <v>45182.94908564815</v>
      </c>
      <c r="C3206" s="1" t="n">
        <v>46093</v>
      </c>
      <c r="D3206" t="inlineStr">
        <is>
          <t>VÄSTERNORRLANDS LÄN</t>
        </is>
      </c>
      <c r="E3206" t="inlineStr">
        <is>
          <t>TIMRÅ</t>
        </is>
      </c>
      <c r="F3206" t="inlineStr">
        <is>
          <t>SCA</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61784-2023</t>
        </is>
      </c>
      <c r="B3207" s="1" t="n">
        <v>45265</v>
      </c>
      <c r="C3207" s="1" t="n">
        <v>46093</v>
      </c>
      <c r="D3207" t="inlineStr">
        <is>
          <t>VÄSTERNORRLANDS LÄN</t>
        </is>
      </c>
      <c r="E3207" t="inlineStr">
        <is>
          <t>SOLLEFTEÅ</t>
        </is>
      </c>
      <c r="F3207" t="inlineStr">
        <is>
          <t>SCA</t>
        </is>
      </c>
      <c r="G3207" t="n">
        <v>9.1</v>
      </c>
      <c r="H3207" t="n">
        <v>0</v>
      </c>
      <c r="I3207" t="n">
        <v>0</v>
      </c>
      <c r="J3207" t="n">
        <v>0</v>
      </c>
      <c r="K3207" t="n">
        <v>0</v>
      </c>
      <c r="L3207" t="n">
        <v>0</v>
      </c>
      <c r="M3207" t="n">
        <v>0</v>
      </c>
      <c r="N3207" t="n">
        <v>0</v>
      </c>
      <c r="O3207" t="n">
        <v>0</v>
      </c>
      <c r="P3207" t="n">
        <v>0</v>
      </c>
      <c r="Q3207" t="n">
        <v>0</v>
      </c>
      <c r="R3207" s="2" t="inlineStr"/>
    </row>
    <row r="3208" ht="15" customHeight="1">
      <c r="A3208" t="inlineStr">
        <is>
          <t>A 22668-2024</t>
        </is>
      </c>
      <c r="B3208" s="1" t="n">
        <v>45447.94453703704</v>
      </c>
      <c r="C3208" s="1" t="n">
        <v>46093</v>
      </c>
      <c r="D3208" t="inlineStr">
        <is>
          <t>VÄSTERNORRLANDS LÄN</t>
        </is>
      </c>
      <c r="E3208" t="inlineStr">
        <is>
          <t>SOLLEFTEÅ</t>
        </is>
      </c>
      <c r="F3208" t="inlineStr">
        <is>
          <t>SCA</t>
        </is>
      </c>
      <c r="G3208" t="n">
        <v>4.9</v>
      </c>
      <c r="H3208" t="n">
        <v>0</v>
      </c>
      <c r="I3208" t="n">
        <v>0</v>
      </c>
      <c r="J3208" t="n">
        <v>0</v>
      </c>
      <c r="K3208" t="n">
        <v>0</v>
      </c>
      <c r="L3208" t="n">
        <v>0</v>
      </c>
      <c r="M3208" t="n">
        <v>0</v>
      </c>
      <c r="N3208" t="n">
        <v>0</v>
      </c>
      <c r="O3208" t="n">
        <v>0</v>
      </c>
      <c r="P3208" t="n">
        <v>0</v>
      </c>
      <c r="Q3208" t="n">
        <v>0</v>
      </c>
      <c r="R3208" s="2" t="inlineStr"/>
    </row>
    <row r="3209" ht="15" customHeight="1">
      <c r="A3209" t="inlineStr">
        <is>
          <t>A 38561-2025</t>
        </is>
      </c>
      <c r="B3209" s="1" t="n">
        <v>45884.44849537037</v>
      </c>
      <c r="C3209" s="1" t="n">
        <v>46093</v>
      </c>
      <c r="D3209" t="inlineStr">
        <is>
          <t>VÄSTERNORRLANDS LÄN</t>
        </is>
      </c>
      <c r="E3209" t="inlineStr">
        <is>
          <t>SOLLEFTEÅ</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22289-2024</t>
        </is>
      </c>
      <c r="B3210" s="1" t="n">
        <v>45446</v>
      </c>
      <c r="C3210" s="1" t="n">
        <v>46093</v>
      </c>
      <c r="D3210" t="inlineStr">
        <is>
          <t>VÄSTERNORRLANDS LÄN</t>
        </is>
      </c>
      <c r="E3210" t="inlineStr">
        <is>
          <t>ÖRNSKÖLDSVIK</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18051-2024</t>
        </is>
      </c>
      <c r="B3211" s="1" t="n">
        <v>45420</v>
      </c>
      <c r="C3211" s="1" t="n">
        <v>46093</v>
      </c>
      <c r="D3211" t="inlineStr">
        <is>
          <t>VÄSTERNORRLANDS LÄN</t>
        </is>
      </c>
      <c r="E3211" t="inlineStr">
        <is>
          <t>ÖRNSKÖLDSVIK</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38330-2025</t>
        </is>
      </c>
      <c r="B3212" s="1" t="n">
        <v>45883.49123842592</v>
      </c>
      <c r="C3212" s="1" t="n">
        <v>46093</v>
      </c>
      <c r="D3212" t="inlineStr">
        <is>
          <t>VÄSTERNORRLANDS LÄN</t>
        </is>
      </c>
      <c r="E3212" t="inlineStr">
        <is>
          <t>SOLLEFTEÅ</t>
        </is>
      </c>
      <c r="F3212" t="inlineStr">
        <is>
          <t>SCA</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47886-2024</t>
        </is>
      </c>
      <c r="B3213" s="1" t="n">
        <v>45588.82175925926</v>
      </c>
      <c r="C3213" s="1" t="n">
        <v>46093</v>
      </c>
      <c r="D3213" t="inlineStr">
        <is>
          <t>VÄSTERNORRLANDS LÄN</t>
        </is>
      </c>
      <c r="E3213" t="inlineStr">
        <is>
          <t>SUNDSVALL</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15978-2023</t>
        </is>
      </c>
      <c r="B3214" s="1" t="n">
        <v>45022.94188657407</v>
      </c>
      <c r="C3214" s="1" t="n">
        <v>46093</v>
      </c>
      <c r="D3214" t="inlineStr">
        <is>
          <t>VÄSTERNORRLANDS LÄN</t>
        </is>
      </c>
      <c r="E3214" t="inlineStr">
        <is>
          <t>SOLLEFTEÅ</t>
        </is>
      </c>
      <c r="F3214" t="inlineStr">
        <is>
          <t>SCA</t>
        </is>
      </c>
      <c r="G3214" t="n">
        <v>3.7</v>
      </c>
      <c r="H3214" t="n">
        <v>0</v>
      </c>
      <c r="I3214" t="n">
        <v>0</v>
      </c>
      <c r="J3214" t="n">
        <v>0</v>
      </c>
      <c r="K3214" t="n">
        <v>0</v>
      </c>
      <c r="L3214" t="n">
        <v>0</v>
      </c>
      <c r="M3214" t="n">
        <v>0</v>
      </c>
      <c r="N3214" t="n">
        <v>0</v>
      </c>
      <c r="O3214" t="n">
        <v>0</v>
      </c>
      <c r="P3214" t="n">
        <v>0</v>
      </c>
      <c r="Q3214" t="n">
        <v>0</v>
      </c>
      <c r="R3214" s="2" t="inlineStr"/>
    </row>
    <row r="3215" ht="15" customHeight="1">
      <c r="A3215" t="inlineStr">
        <is>
          <t>A 38362-2025</t>
        </is>
      </c>
      <c r="B3215" s="1" t="n">
        <v>45883.53739583334</v>
      </c>
      <c r="C3215" s="1" t="n">
        <v>46093</v>
      </c>
      <c r="D3215" t="inlineStr">
        <is>
          <t>VÄSTERNORRLANDS LÄN</t>
        </is>
      </c>
      <c r="E3215" t="inlineStr">
        <is>
          <t>ÖRNSKÖLDSVIK</t>
        </is>
      </c>
      <c r="F3215" t="inlineStr">
        <is>
          <t>Holmen skog AB</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53107-2023</t>
        </is>
      </c>
      <c r="B3216" s="1" t="n">
        <v>45228</v>
      </c>
      <c r="C3216" s="1" t="n">
        <v>46093</v>
      </c>
      <c r="D3216" t="inlineStr">
        <is>
          <t>VÄSTERNORRLANDS LÄN</t>
        </is>
      </c>
      <c r="E3216" t="inlineStr">
        <is>
          <t>HÄRNÖSAND</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37177-2024</t>
        </is>
      </c>
      <c r="B3217" s="1" t="n">
        <v>45539</v>
      </c>
      <c r="C3217" s="1" t="n">
        <v>46093</v>
      </c>
      <c r="D3217" t="inlineStr">
        <is>
          <t>VÄSTERNORRLANDS LÄN</t>
        </is>
      </c>
      <c r="E3217" t="inlineStr">
        <is>
          <t>ÖRNSKÖLDSVIK</t>
        </is>
      </c>
      <c r="G3217" t="n">
        <v>5.8</v>
      </c>
      <c r="H3217" t="n">
        <v>0</v>
      </c>
      <c r="I3217" t="n">
        <v>0</v>
      </c>
      <c r="J3217" t="n">
        <v>0</v>
      </c>
      <c r="K3217" t="n">
        <v>0</v>
      </c>
      <c r="L3217" t="n">
        <v>0</v>
      </c>
      <c r="M3217" t="n">
        <v>0</v>
      </c>
      <c r="N3217" t="n">
        <v>0</v>
      </c>
      <c r="O3217" t="n">
        <v>0</v>
      </c>
      <c r="P3217" t="n">
        <v>0</v>
      </c>
      <c r="Q3217" t="n">
        <v>0</v>
      </c>
      <c r="R3217" s="2" t="inlineStr"/>
    </row>
    <row r="3218" ht="15" customHeight="1">
      <c r="A3218" t="inlineStr">
        <is>
          <t>A 53147-2023</t>
        </is>
      </c>
      <c r="B3218" s="1" t="n">
        <v>45229</v>
      </c>
      <c r="C3218" s="1" t="n">
        <v>46093</v>
      </c>
      <c r="D3218" t="inlineStr">
        <is>
          <t>VÄSTERNORRLANDS LÄN</t>
        </is>
      </c>
      <c r="E3218" t="inlineStr">
        <is>
          <t>ÖRNSKÖLDSVIK</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9950-2025</t>
        </is>
      </c>
      <c r="B3219" s="1" t="n">
        <v>45719.34416666667</v>
      </c>
      <c r="C3219" s="1" t="n">
        <v>46093</v>
      </c>
      <c r="D3219" t="inlineStr">
        <is>
          <t>VÄSTERNORRLANDS LÄN</t>
        </is>
      </c>
      <c r="E3219" t="inlineStr">
        <is>
          <t>SOLLEFTEÅ</t>
        </is>
      </c>
      <c r="F3219" t="inlineStr">
        <is>
          <t>SCA</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9966-2025</t>
        </is>
      </c>
      <c r="B3220" s="1" t="n">
        <v>45719</v>
      </c>
      <c r="C3220" s="1" t="n">
        <v>46093</v>
      </c>
      <c r="D3220" t="inlineStr">
        <is>
          <t>VÄSTERNORRLANDS LÄN</t>
        </is>
      </c>
      <c r="E3220" t="inlineStr">
        <is>
          <t>SOLLEFTEÅ</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56260-2023</t>
        </is>
      </c>
      <c r="B3221" s="1" t="n">
        <v>45240</v>
      </c>
      <c r="C3221" s="1" t="n">
        <v>46093</v>
      </c>
      <c r="D3221" t="inlineStr">
        <is>
          <t>VÄSTERNORRLANDS LÄN</t>
        </is>
      </c>
      <c r="E3221" t="inlineStr">
        <is>
          <t>SOLLEFTEÅ</t>
        </is>
      </c>
      <c r="F3221" t="inlineStr">
        <is>
          <t>SCA</t>
        </is>
      </c>
      <c r="G3221" t="n">
        <v>2.6</v>
      </c>
      <c r="H3221" t="n">
        <v>0</v>
      </c>
      <c r="I3221" t="n">
        <v>0</v>
      </c>
      <c r="J3221" t="n">
        <v>0</v>
      </c>
      <c r="K3221" t="n">
        <v>0</v>
      </c>
      <c r="L3221" t="n">
        <v>0</v>
      </c>
      <c r="M3221" t="n">
        <v>0</v>
      </c>
      <c r="N3221" t="n">
        <v>0</v>
      </c>
      <c r="O3221" t="n">
        <v>0</v>
      </c>
      <c r="P3221" t="n">
        <v>0</v>
      </c>
      <c r="Q3221" t="n">
        <v>0</v>
      </c>
      <c r="R3221" s="2" t="inlineStr"/>
    </row>
    <row r="3222" ht="15" customHeight="1">
      <c r="A3222" t="inlineStr">
        <is>
          <t>A 38890-2025</t>
        </is>
      </c>
      <c r="B3222" s="1" t="n">
        <v>45884</v>
      </c>
      <c r="C3222" s="1" t="n">
        <v>46093</v>
      </c>
      <c r="D3222" t="inlineStr">
        <is>
          <t>VÄSTERNORRLANDS LÄN</t>
        </is>
      </c>
      <c r="E3222" t="inlineStr">
        <is>
          <t>ÖRNSKÖLDSVIK</t>
        </is>
      </c>
      <c r="G3222" t="n">
        <v>3.4</v>
      </c>
      <c r="H3222" t="n">
        <v>0</v>
      </c>
      <c r="I3222" t="n">
        <v>0</v>
      </c>
      <c r="J3222" t="n">
        <v>0</v>
      </c>
      <c r="K3222" t="n">
        <v>0</v>
      </c>
      <c r="L3222" t="n">
        <v>0</v>
      </c>
      <c r="M3222" t="n">
        <v>0</v>
      </c>
      <c r="N3222" t="n">
        <v>0</v>
      </c>
      <c r="O3222" t="n">
        <v>0</v>
      </c>
      <c r="P3222" t="n">
        <v>0</v>
      </c>
      <c r="Q3222" t="n">
        <v>0</v>
      </c>
      <c r="R3222" s="2" t="inlineStr"/>
    </row>
    <row r="3223" ht="15" customHeight="1">
      <c r="A3223" t="inlineStr">
        <is>
          <t>A 38900-2025</t>
        </is>
      </c>
      <c r="B3223" s="1" t="n">
        <v>45884</v>
      </c>
      <c r="C3223" s="1" t="n">
        <v>46093</v>
      </c>
      <c r="D3223" t="inlineStr">
        <is>
          <t>VÄSTERNORRLANDS LÄN</t>
        </is>
      </c>
      <c r="E3223" t="inlineStr">
        <is>
          <t>ÖRNSKÖLDSVIK</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38938-2025</t>
        </is>
      </c>
      <c r="B3224" s="1" t="n">
        <v>45884</v>
      </c>
      <c r="C3224" s="1" t="n">
        <v>46093</v>
      </c>
      <c r="D3224" t="inlineStr">
        <is>
          <t>VÄSTERNORRLANDS LÄN</t>
        </is>
      </c>
      <c r="E3224" t="inlineStr">
        <is>
          <t>TIMRÅ</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38351-2025</t>
        </is>
      </c>
      <c r="B3225" s="1" t="n">
        <v>45883.53170138889</v>
      </c>
      <c r="C3225" s="1" t="n">
        <v>46093</v>
      </c>
      <c r="D3225" t="inlineStr">
        <is>
          <t>VÄSTERNORRLANDS LÄN</t>
        </is>
      </c>
      <c r="E3225" t="inlineStr">
        <is>
          <t>SUNDSVALL</t>
        </is>
      </c>
      <c r="F3225" t="inlineStr">
        <is>
          <t>SCA</t>
        </is>
      </c>
      <c r="G3225" t="n">
        <v>7.5</v>
      </c>
      <c r="H3225" t="n">
        <v>0</v>
      </c>
      <c r="I3225" t="n">
        <v>0</v>
      </c>
      <c r="J3225" t="n">
        <v>0</v>
      </c>
      <c r="K3225" t="n">
        <v>0</v>
      </c>
      <c r="L3225" t="n">
        <v>0</v>
      </c>
      <c r="M3225" t="n">
        <v>0</v>
      </c>
      <c r="N3225" t="n">
        <v>0</v>
      </c>
      <c r="O3225" t="n">
        <v>0</v>
      </c>
      <c r="P3225" t="n">
        <v>0</v>
      </c>
      <c r="Q3225" t="n">
        <v>0</v>
      </c>
      <c r="R3225" s="2" t="inlineStr"/>
    </row>
    <row r="3226" ht="15" customHeight="1">
      <c r="A3226" t="inlineStr">
        <is>
          <t>A 38389-2025</t>
        </is>
      </c>
      <c r="B3226" s="1" t="n">
        <v>45883.57486111111</v>
      </c>
      <c r="C3226" s="1" t="n">
        <v>46093</v>
      </c>
      <c r="D3226" t="inlineStr">
        <is>
          <t>VÄSTERNORRLANDS LÄN</t>
        </is>
      </c>
      <c r="E3226" t="inlineStr">
        <is>
          <t>SUNDSVALL</t>
        </is>
      </c>
      <c r="F3226" t="inlineStr">
        <is>
          <t>SCA</t>
        </is>
      </c>
      <c r="G3226" t="n">
        <v>5.8</v>
      </c>
      <c r="H3226" t="n">
        <v>0</v>
      </c>
      <c r="I3226" t="n">
        <v>0</v>
      </c>
      <c r="J3226" t="n">
        <v>0</v>
      </c>
      <c r="K3226" t="n">
        <v>0</v>
      </c>
      <c r="L3226" t="n">
        <v>0</v>
      </c>
      <c r="M3226" t="n">
        <v>0</v>
      </c>
      <c r="N3226" t="n">
        <v>0</v>
      </c>
      <c r="O3226" t="n">
        <v>0</v>
      </c>
      <c r="P3226" t="n">
        <v>0</v>
      </c>
      <c r="Q3226" t="n">
        <v>0</v>
      </c>
      <c r="R3226" s="2" t="inlineStr"/>
    </row>
    <row r="3227" ht="15" customHeight="1">
      <c r="A3227" t="inlineStr">
        <is>
          <t>A 17054-2023</t>
        </is>
      </c>
      <c r="B3227" s="1" t="n">
        <v>45034</v>
      </c>
      <c r="C3227" s="1" t="n">
        <v>46093</v>
      </c>
      <c r="D3227" t="inlineStr">
        <is>
          <t>VÄSTERNORRLANDS LÄN</t>
        </is>
      </c>
      <c r="E3227" t="inlineStr">
        <is>
          <t>KRAMFORS</t>
        </is>
      </c>
      <c r="G3227" t="n">
        <v>6</v>
      </c>
      <c r="H3227" t="n">
        <v>0</v>
      </c>
      <c r="I3227" t="n">
        <v>0</v>
      </c>
      <c r="J3227" t="n">
        <v>0</v>
      </c>
      <c r="K3227" t="n">
        <v>0</v>
      </c>
      <c r="L3227" t="n">
        <v>0</v>
      </c>
      <c r="M3227" t="n">
        <v>0</v>
      </c>
      <c r="N3227" t="n">
        <v>0</v>
      </c>
      <c r="O3227" t="n">
        <v>0</v>
      </c>
      <c r="P3227" t="n">
        <v>0</v>
      </c>
      <c r="Q3227" t="n">
        <v>0</v>
      </c>
      <c r="R3227" s="2" t="inlineStr"/>
    </row>
    <row r="3228" ht="15" customHeight="1">
      <c r="A3228" t="inlineStr">
        <is>
          <t>A 42366-2022</t>
        </is>
      </c>
      <c r="B3228" s="1" t="n">
        <v>44831.38560185185</v>
      </c>
      <c r="C3228" s="1" t="n">
        <v>46093</v>
      </c>
      <c r="D3228" t="inlineStr">
        <is>
          <t>VÄSTERNORRLANDS LÄN</t>
        </is>
      </c>
      <c r="E3228" t="inlineStr">
        <is>
          <t>ÖRNSKÖLDSVIK</t>
        </is>
      </c>
      <c r="F3228" t="inlineStr">
        <is>
          <t>Holmen skog AB</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43571-2024</t>
        </is>
      </c>
      <c r="B3229" s="1" t="n">
        <v>45569</v>
      </c>
      <c r="C3229" s="1" t="n">
        <v>46093</v>
      </c>
      <c r="D3229" t="inlineStr">
        <is>
          <t>VÄSTERNORRLANDS LÄN</t>
        </is>
      </c>
      <c r="E3229" t="inlineStr">
        <is>
          <t>SUNDSVALL</t>
        </is>
      </c>
      <c r="G3229" t="n">
        <v>5.2</v>
      </c>
      <c r="H3229" t="n">
        <v>0</v>
      </c>
      <c r="I3229" t="n">
        <v>0</v>
      </c>
      <c r="J3229" t="n">
        <v>0</v>
      </c>
      <c r="K3229" t="n">
        <v>0</v>
      </c>
      <c r="L3229" t="n">
        <v>0</v>
      </c>
      <c r="M3229" t="n">
        <v>0</v>
      </c>
      <c r="N3229" t="n">
        <v>0</v>
      </c>
      <c r="O3229" t="n">
        <v>0</v>
      </c>
      <c r="P3229" t="n">
        <v>0</v>
      </c>
      <c r="Q3229" t="n">
        <v>0</v>
      </c>
      <c r="R3229" s="2" t="inlineStr"/>
    </row>
    <row r="3230" ht="15" customHeight="1">
      <c r="A3230" t="inlineStr">
        <is>
          <t>A 38438-2025</t>
        </is>
      </c>
      <c r="B3230" s="1" t="n">
        <v>45883</v>
      </c>
      <c r="C3230" s="1" t="n">
        <v>46093</v>
      </c>
      <c r="D3230" t="inlineStr">
        <is>
          <t>VÄSTERNORRLANDS LÄN</t>
        </is>
      </c>
      <c r="E3230" t="inlineStr">
        <is>
          <t>ÖRNSKÖLDSVIK</t>
        </is>
      </c>
      <c r="G3230" t="n">
        <v>6.2</v>
      </c>
      <c r="H3230" t="n">
        <v>0</v>
      </c>
      <c r="I3230" t="n">
        <v>0</v>
      </c>
      <c r="J3230" t="n">
        <v>0</v>
      </c>
      <c r="K3230" t="n">
        <v>0</v>
      </c>
      <c r="L3230" t="n">
        <v>0</v>
      </c>
      <c r="M3230" t="n">
        <v>0</v>
      </c>
      <c r="N3230" t="n">
        <v>0</v>
      </c>
      <c r="O3230" t="n">
        <v>0</v>
      </c>
      <c r="P3230" t="n">
        <v>0</v>
      </c>
      <c r="Q3230" t="n">
        <v>0</v>
      </c>
      <c r="R3230" s="2" t="inlineStr"/>
    </row>
    <row r="3231" ht="15" customHeight="1">
      <c r="A3231" t="inlineStr">
        <is>
          <t>A 38421-2025</t>
        </is>
      </c>
      <c r="B3231" s="1" t="n">
        <v>45883.63168981481</v>
      </c>
      <c r="C3231" s="1" t="n">
        <v>46093</v>
      </c>
      <c r="D3231" t="inlineStr">
        <is>
          <t>VÄSTERNORRLANDS LÄN</t>
        </is>
      </c>
      <c r="E3231" t="inlineStr">
        <is>
          <t>ÖRNSKÖLDSVIK</t>
        </is>
      </c>
      <c r="F3231" t="inlineStr">
        <is>
          <t>Holmen skog AB</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38436-2025</t>
        </is>
      </c>
      <c r="B3232" s="1" t="n">
        <v>45883.6427662037</v>
      </c>
      <c r="C3232" s="1" t="n">
        <v>46093</v>
      </c>
      <c r="D3232" t="inlineStr">
        <is>
          <t>VÄSTERNORRLANDS LÄN</t>
        </is>
      </c>
      <c r="E3232" t="inlineStr">
        <is>
          <t>ÖRNSKÖLDSVIK</t>
        </is>
      </c>
      <c r="F3232" t="inlineStr">
        <is>
          <t>Holmen skog AB</t>
        </is>
      </c>
      <c r="G3232" t="n">
        <v>6.7</v>
      </c>
      <c r="H3232" t="n">
        <v>0</v>
      </c>
      <c r="I3232" t="n">
        <v>0</v>
      </c>
      <c r="J3232" t="n">
        <v>0</v>
      </c>
      <c r="K3232" t="n">
        <v>0</v>
      </c>
      <c r="L3232" t="n">
        <v>0</v>
      </c>
      <c r="M3232" t="n">
        <v>0</v>
      </c>
      <c r="N3232" t="n">
        <v>0</v>
      </c>
      <c r="O3232" t="n">
        <v>0</v>
      </c>
      <c r="P3232" t="n">
        <v>0</v>
      </c>
      <c r="Q3232" t="n">
        <v>0</v>
      </c>
      <c r="R3232" s="2" t="inlineStr"/>
    </row>
    <row r="3233" ht="15" customHeight="1">
      <c r="A3233" t="inlineStr">
        <is>
          <t>A 38379-2023</t>
        </is>
      </c>
      <c r="B3233" s="1" t="n">
        <v>45161</v>
      </c>
      <c r="C3233" s="1" t="n">
        <v>46093</v>
      </c>
      <c r="D3233" t="inlineStr">
        <is>
          <t>VÄSTERNORRLANDS LÄN</t>
        </is>
      </c>
      <c r="E3233" t="inlineStr">
        <is>
          <t>HÄRNÖSAND</t>
        </is>
      </c>
      <c r="F3233" t="inlineStr">
        <is>
          <t>SCA</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38386-2023</t>
        </is>
      </c>
      <c r="B3234" s="1" t="n">
        <v>45162.28376157407</v>
      </c>
      <c r="C3234" s="1" t="n">
        <v>46093</v>
      </c>
      <c r="D3234" t="inlineStr">
        <is>
          <t>VÄSTERNORRLANDS LÄN</t>
        </is>
      </c>
      <c r="E3234" t="inlineStr">
        <is>
          <t>ÖRNSKÖLDSVIK</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38492-2025</t>
        </is>
      </c>
      <c r="B3235" s="1" t="n">
        <v>45884.36496527777</v>
      </c>
      <c r="C3235" s="1" t="n">
        <v>46093</v>
      </c>
      <c r="D3235" t="inlineStr">
        <is>
          <t>VÄSTERNORRLANDS LÄN</t>
        </is>
      </c>
      <c r="E3235" t="inlineStr">
        <is>
          <t>SOLLEFTEÅ</t>
        </is>
      </c>
      <c r="F3235" t="inlineStr">
        <is>
          <t>SCA</t>
        </is>
      </c>
      <c r="G3235" t="n">
        <v>2.9</v>
      </c>
      <c r="H3235" t="n">
        <v>0</v>
      </c>
      <c r="I3235" t="n">
        <v>0</v>
      </c>
      <c r="J3235" t="n">
        <v>0</v>
      </c>
      <c r="K3235" t="n">
        <v>0</v>
      </c>
      <c r="L3235" t="n">
        <v>0</v>
      </c>
      <c r="M3235" t="n">
        <v>0</v>
      </c>
      <c r="N3235" t="n">
        <v>0</v>
      </c>
      <c r="O3235" t="n">
        <v>0</v>
      </c>
      <c r="P3235" t="n">
        <v>0</v>
      </c>
      <c r="Q3235" t="n">
        <v>0</v>
      </c>
      <c r="R3235" s="2" t="inlineStr"/>
    </row>
    <row r="3236" ht="15" customHeight="1">
      <c r="A3236" t="inlineStr">
        <is>
          <t>A 12581-2024</t>
        </is>
      </c>
      <c r="B3236" s="1" t="n">
        <v>45379</v>
      </c>
      <c r="C3236" s="1" t="n">
        <v>46093</v>
      </c>
      <c r="D3236" t="inlineStr">
        <is>
          <t>VÄSTERNORRLANDS LÄN</t>
        </is>
      </c>
      <c r="E3236" t="inlineStr">
        <is>
          <t>ÅNGE</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41655-2023</t>
        </is>
      </c>
      <c r="B3237" s="1" t="n">
        <v>45175.95751157407</v>
      </c>
      <c r="C3237" s="1" t="n">
        <v>46093</v>
      </c>
      <c r="D3237" t="inlineStr">
        <is>
          <t>VÄSTERNORRLANDS LÄN</t>
        </is>
      </c>
      <c r="E3237" t="inlineStr">
        <is>
          <t>SOLLEFTEÅ</t>
        </is>
      </c>
      <c r="F3237" t="inlineStr">
        <is>
          <t>SCA</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42918-2023</t>
        </is>
      </c>
      <c r="B3238" s="1" t="n">
        <v>45182</v>
      </c>
      <c r="C3238" s="1" t="n">
        <v>46093</v>
      </c>
      <c r="D3238" t="inlineStr">
        <is>
          <t>VÄSTERNORRLANDS LÄN</t>
        </is>
      </c>
      <c r="E3238" t="inlineStr">
        <is>
          <t>KRAMFORS</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21899-2024</t>
        </is>
      </c>
      <c r="B3239" s="1" t="n">
        <v>45443</v>
      </c>
      <c r="C3239" s="1" t="n">
        <v>46093</v>
      </c>
      <c r="D3239" t="inlineStr">
        <is>
          <t>VÄSTERNORRLANDS LÄN</t>
        </is>
      </c>
      <c r="E3239" t="inlineStr">
        <is>
          <t>SUNDSVALL</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38501-2025</t>
        </is>
      </c>
      <c r="B3240" s="1" t="n">
        <v>45884.3789699074</v>
      </c>
      <c r="C3240" s="1" t="n">
        <v>46093</v>
      </c>
      <c r="D3240" t="inlineStr">
        <is>
          <t>VÄSTERNORRLANDS LÄN</t>
        </is>
      </c>
      <c r="E3240" t="inlineStr">
        <is>
          <t>ÖRNSKÖLDSVIK</t>
        </is>
      </c>
      <c r="F3240" t="inlineStr">
        <is>
          <t>Holmen skog AB</t>
        </is>
      </c>
      <c r="G3240" t="n">
        <v>9.699999999999999</v>
      </c>
      <c r="H3240" t="n">
        <v>0</v>
      </c>
      <c r="I3240" t="n">
        <v>0</v>
      </c>
      <c r="J3240" t="n">
        <v>0</v>
      </c>
      <c r="K3240" t="n">
        <v>0</v>
      </c>
      <c r="L3240" t="n">
        <v>0</v>
      </c>
      <c r="M3240" t="n">
        <v>0</v>
      </c>
      <c r="N3240" t="n">
        <v>0</v>
      </c>
      <c r="O3240" t="n">
        <v>0</v>
      </c>
      <c r="P3240" t="n">
        <v>0</v>
      </c>
      <c r="Q3240" t="n">
        <v>0</v>
      </c>
      <c r="R3240" s="2" t="inlineStr"/>
    </row>
    <row r="3241" ht="15" customHeight="1">
      <c r="A3241" t="inlineStr">
        <is>
          <t>A 19556-2024</t>
        </is>
      </c>
      <c r="B3241" s="1" t="n">
        <v>45429</v>
      </c>
      <c r="C3241" s="1" t="n">
        <v>46093</v>
      </c>
      <c r="D3241" t="inlineStr">
        <is>
          <t>VÄSTERNORRLANDS LÄN</t>
        </is>
      </c>
      <c r="E3241" t="inlineStr">
        <is>
          <t>SOLLEFTEÅ</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52109-2023</t>
        </is>
      </c>
      <c r="B3242" s="1" t="n">
        <v>45223</v>
      </c>
      <c r="C3242" s="1" t="n">
        <v>46093</v>
      </c>
      <c r="D3242" t="inlineStr">
        <is>
          <t>VÄSTERNORRLANDS LÄN</t>
        </is>
      </c>
      <c r="E3242" t="inlineStr">
        <is>
          <t>SUNDSVALL</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52110-2023</t>
        </is>
      </c>
      <c r="B3243" s="1" t="n">
        <v>45223</v>
      </c>
      <c r="C3243" s="1" t="n">
        <v>46093</v>
      </c>
      <c r="D3243" t="inlineStr">
        <is>
          <t>VÄSTERNORRLANDS LÄN</t>
        </is>
      </c>
      <c r="E3243" t="inlineStr">
        <is>
          <t>SUNDSVALL</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24850-2021</t>
        </is>
      </c>
      <c r="B3244" s="1" t="n">
        <v>44340.86310185185</v>
      </c>
      <c r="C3244" s="1" t="n">
        <v>46093</v>
      </c>
      <c r="D3244" t="inlineStr">
        <is>
          <t>VÄSTERNORRLANDS LÄN</t>
        </is>
      </c>
      <c r="E3244" t="inlineStr">
        <is>
          <t>ÖRNSKÖLDSVIK</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8221-2022</t>
        </is>
      </c>
      <c r="B3245" s="1" t="n">
        <v>44609.93001157408</v>
      </c>
      <c r="C3245" s="1" t="n">
        <v>46093</v>
      </c>
      <c r="D3245" t="inlineStr">
        <is>
          <t>VÄSTERNORRLANDS LÄN</t>
        </is>
      </c>
      <c r="E3245" t="inlineStr">
        <is>
          <t>SOLLEFTEÅ</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37962-2021</t>
        </is>
      </c>
      <c r="B3246" s="1" t="n">
        <v>44403.94012731482</v>
      </c>
      <c r="C3246" s="1" t="n">
        <v>46093</v>
      </c>
      <c r="D3246" t="inlineStr">
        <is>
          <t>VÄSTERNORRLANDS LÄN</t>
        </is>
      </c>
      <c r="E3246" t="inlineStr">
        <is>
          <t>SUNDSVALL</t>
        </is>
      </c>
      <c r="F3246" t="inlineStr">
        <is>
          <t>SCA</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30604-2021</t>
        </is>
      </c>
      <c r="B3247" s="1" t="n">
        <v>44364</v>
      </c>
      <c r="C3247" s="1" t="n">
        <v>46093</v>
      </c>
      <c r="D3247" t="inlineStr">
        <is>
          <t>VÄSTERNORRLANDS LÄN</t>
        </is>
      </c>
      <c r="E3247" t="inlineStr">
        <is>
          <t>ÖRNSKÖLDSVIK</t>
        </is>
      </c>
      <c r="G3247" t="n">
        <v>0.2</v>
      </c>
      <c r="H3247" t="n">
        <v>0</v>
      </c>
      <c r="I3247" t="n">
        <v>0</v>
      </c>
      <c r="J3247" t="n">
        <v>0</v>
      </c>
      <c r="K3247" t="n">
        <v>0</v>
      </c>
      <c r="L3247" t="n">
        <v>0</v>
      </c>
      <c r="M3247" t="n">
        <v>0</v>
      </c>
      <c r="N3247" t="n">
        <v>0</v>
      </c>
      <c r="O3247" t="n">
        <v>0</v>
      </c>
      <c r="P3247" t="n">
        <v>0</v>
      </c>
      <c r="Q3247" t="n">
        <v>0</v>
      </c>
      <c r="R3247" s="2" t="inlineStr"/>
    </row>
    <row r="3248" ht="15" customHeight="1">
      <c r="A3248" t="inlineStr">
        <is>
          <t>A 16336-2024</t>
        </is>
      </c>
      <c r="B3248" s="1" t="n">
        <v>45407.55550925926</v>
      </c>
      <c r="C3248" s="1" t="n">
        <v>46093</v>
      </c>
      <c r="D3248" t="inlineStr">
        <is>
          <t>VÄSTERNORRLANDS LÄN</t>
        </is>
      </c>
      <c r="E3248" t="inlineStr">
        <is>
          <t>ÖRNSKÖLDSVIK</t>
        </is>
      </c>
      <c r="F3248" t="inlineStr">
        <is>
          <t>Holmen skog AB</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49187-2024</t>
        </is>
      </c>
      <c r="B3249" s="1" t="n">
        <v>45595.34490740741</v>
      </c>
      <c r="C3249" s="1" t="n">
        <v>46093</v>
      </c>
      <c r="D3249" t="inlineStr">
        <is>
          <t>VÄSTERNORRLANDS LÄN</t>
        </is>
      </c>
      <c r="E3249" t="inlineStr">
        <is>
          <t>ÅNGE</t>
        </is>
      </c>
      <c r="F3249" t="inlineStr">
        <is>
          <t>SCA</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33709-2023</t>
        </is>
      </c>
      <c r="B3250" s="1" t="n">
        <v>45132.92300925926</v>
      </c>
      <c r="C3250" s="1" t="n">
        <v>46093</v>
      </c>
      <c r="D3250" t="inlineStr">
        <is>
          <t>VÄSTERNORRLANDS LÄN</t>
        </is>
      </c>
      <c r="E3250" t="inlineStr">
        <is>
          <t>SOLLEFTEÅ</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34908-2023</t>
        </is>
      </c>
      <c r="B3251" s="1" t="n">
        <v>45142</v>
      </c>
      <c r="C3251" s="1" t="n">
        <v>46093</v>
      </c>
      <c r="D3251" t="inlineStr">
        <is>
          <t>VÄSTERNORRLANDS LÄN</t>
        </is>
      </c>
      <c r="E3251" t="inlineStr">
        <is>
          <t>ÖRNSKÖLDSVIK</t>
        </is>
      </c>
      <c r="F3251" t="inlineStr">
        <is>
          <t>Holmen skog AB</t>
        </is>
      </c>
      <c r="G3251" t="n">
        <v>16.4</v>
      </c>
      <c r="H3251" t="n">
        <v>0</v>
      </c>
      <c r="I3251" t="n">
        <v>0</v>
      </c>
      <c r="J3251" t="n">
        <v>0</v>
      </c>
      <c r="K3251" t="n">
        <v>0</v>
      </c>
      <c r="L3251" t="n">
        <v>0</v>
      </c>
      <c r="M3251" t="n">
        <v>0</v>
      </c>
      <c r="N3251" t="n">
        <v>0</v>
      </c>
      <c r="O3251" t="n">
        <v>0</v>
      </c>
      <c r="P3251" t="n">
        <v>0</v>
      </c>
      <c r="Q3251" t="n">
        <v>0</v>
      </c>
      <c r="R3251" s="2" t="inlineStr"/>
    </row>
    <row r="3252" ht="15" customHeight="1">
      <c r="A3252" t="inlineStr">
        <is>
          <t>A 32185-2023</t>
        </is>
      </c>
      <c r="B3252" s="1" t="n">
        <v>45119.84378472222</v>
      </c>
      <c r="C3252" s="1" t="n">
        <v>46093</v>
      </c>
      <c r="D3252" t="inlineStr">
        <is>
          <t>VÄSTERNORRLANDS LÄN</t>
        </is>
      </c>
      <c r="E3252" t="inlineStr">
        <is>
          <t>ÖRNSKÖLDSVIK</t>
        </is>
      </c>
      <c r="G3252" t="n">
        <v>3.8</v>
      </c>
      <c r="H3252" t="n">
        <v>0</v>
      </c>
      <c r="I3252" t="n">
        <v>0</v>
      </c>
      <c r="J3252" t="n">
        <v>0</v>
      </c>
      <c r="K3252" t="n">
        <v>0</v>
      </c>
      <c r="L3252" t="n">
        <v>0</v>
      </c>
      <c r="M3252" t="n">
        <v>0</v>
      </c>
      <c r="N3252" t="n">
        <v>0</v>
      </c>
      <c r="O3252" t="n">
        <v>0</v>
      </c>
      <c r="P3252" t="n">
        <v>0</v>
      </c>
      <c r="Q3252" t="n">
        <v>0</v>
      </c>
      <c r="R3252" s="2" t="inlineStr"/>
    </row>
    <row r="3253" ht="15" customHeight="1">
      <c r="A3253" t="inlineStr">
        <is>
          <t>A 31464-2023</t>
        </is>
      </c>
      <c r="B3253" s="1" t="n">
        <v>45104</v>
      </c>
      <c r="C3253" s="1" t="n">
        <v>46093</v>
      </c>
      <c r="D3253" t="inlineStr">
        <is>
          <t>VÄSTERNORRLANDS LÄN</t>
        </is>
      </c>
      <c r="E3253" t="inlineStr">
        <is>
          <t>ÖRNSKÖLDSVIK</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39230-2021</t>
        </is>
      </c>
      <c r="B3254" s="1" t="n">
        <v>44413.43902777778</v>
      </c>
      <c r="C3254" s="1" t="n">
        <v>46093</v>
      </c>
      <c r="D3254" t="inlineStr">
        <is>
          <t>VÄSTERNORRLANDS LÄN</t>
        </is>
      </c>
      <c r="E3254" t="inlineStr">
        <is>
          <t>SOLLEFTEÅ</t>
        </is>
      </c>
      <c r="G3254" t="n">
        <v>13.6</v>
      </c>
      <c r="H3254" t="n">
        <v>0</v>
      </c>
      <c r="I3254" t="n">
        <v>0</v>
      </c>
      <c r="J3254" t="n">
        <v>0</v>
      </c>
      <c r="K3254" t="n">
        <v>0</v>
      </c>
      <c r="L3254" t="n">
        <v>0</v>
      </c>
      <c r="M3254" t="n">
        <v>0</v>
      </c>
      <c r="N3254" t="n">
        <v>0</v>
      </c>
      <c r="O3254" t="n">
        <v>0</v>
      </c>
      <c r="P3254" t="n">
        <v>0</v>
      </c>
      <c r="Q3254" t="n">
        <v>0</v>
      </c>
      <c r="R3254" s="2" t="inlineStr"/>
    </row>
    <row r="3255" ht="15" customHeight="1">
      <c r="A3255" t="inlineStr">
        <is>
          <t>A 35044-2025</t>
        </is>
      </c>
      <c r="B3255" s="1" t="n">
        <v>45852.3446412037</v>
      </c>
      <c r="C3255" s="1" t="n">
        <v>46093</v>
      </c>
      <c r="D3255" t="inlineStr">
        <is>
          <t>VÄSTERNORRLANDS LÄN</t>
        </is>
      </c>
      <c r="E3255" t="inlineStr">
        <is>
          <t>KRAMFORS</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61619-2023</t>
        </is>
      </c>
      <c r="B3256" s="1" t="n">
        <v>45261</v>
      </c>
      <c r="C3256" s="1" t="n">
        <v>46093</v>
      </c>
      <c r="D3256" t="inlineStr">
        <is>
          <t>VÄSTERNORRLANDS LÄN</t>
        </is>
      </c>
      <c r="E3256" t="inlineStr">
        <is>
          <t>KRAMFORS</t>
        </is>
      </c>
      <c r="G3256" t="n">
        <v>3.1</v>
      </c>
      <c r="H3256" t="n">
        <v>0</v>
      </c>
      <c r="I3256" t="n">
        <v>0</v>
      </c>
      <c r="J3256" t="n">
        <v>0</v>
      </c>
      <c r="K3256" t="n">
        <v>0</v>
      </c>
      <c r="L3256" t="n">
        <v>0</v>
      </c>
      <c r="M3256" t="n">
        <v>0</v>
      </c>
      <c r="N3256" t="n">
        <v>0</v>
      </c>
      <c r="O3256" t="n">
        <v>0</v>
      </c>
      <c r="P3256" t="n">
        <v>0</v>
      </c>
      <c r="Q3256" t="n">
        <v>0</v>
      </c>
      <c r="R3256" s="2" t="inlineStr"/>
    </row>
    <row r="3257" ht="15" customHeight="1">
      <c r="A3257" t="inlineStr">
        <is>
          <t>A 33043-2023</t>
        </is>
      </c>
      <c r="B3257" s="1" t="n">
        <v>45125</v>
      </c>
      <c r="C3257" s="1" t="n">
        <v>46093</v>
      </c>
      <c r="D3257" t="inlineStr">
        <is>
          <t>VÄSTERNORRLANDS LÄN</t>
        </is>
      </c>
      <c r="E3257" t="inlineStr">
        <is>
          <t>TIMRÅ</t>
        </is>
      </c>
      <c r="F3257" t="inlineStr">
        <is>
          <t>SCA</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38102-2022</t>
        </is>
      </c>
      <c r="B3258" s="1" t="n">
        <v>44811</v>
      </c>
      <c r="C3258" s="1" t="n">
        <v>46093</v>
      </c>
      <c r="D3258" t="inlineStr">
        <is>
          <t>VÄSTERNORRLANDS LÄN</t>
        </is>
      </c>
      <c r="E3258" t="inlineStr">
        <is>
          <t>SOLLEFTEÅ</t>
        </is>
      </c>
      <c r="F3258" t="inlineStr">
        <is>
          <t>SCA</t>
        </is>
      </c>
      <c r="G3258" t="n">
        <v>4.9</v>
      </c>
      <c r="H3258" t="n">
        <v>0</v>
      </c>
      <c r="I3258" t="n">
        <v>0</v>
      </c>
      <c r="J3258" t="n">
        <v>0</v>
      </c>
      <c r="K3258" t="n">
        <v>0</v>
      </c>
      <c r="L3258" t="n">
        <v>0</v>
      </c>
      <c r="M3258" t="n">
        <v>0</v>
      </c>
      <c r="N3258" t="n">
        <v>0</v>
      </c>
      <c r="O3258" t="n">
        <v>0</v>
      </c>
      <c r="P3258" t="n">
        <v>0</v>
      </c>
      <c r="Q3258" t="n">
        <v>0</v>
      </c>
      <c r="R3258" s="2" t="inlineStr"/>
      <c r="U3258">
        <f>HYPERLINK("https://klasma.github.io/Logging_2283/knärot/A 38102-2022 karta knärot.png", "A 38102-2022")</f>
        <v/>
      </c>
      <c r="V3258">
        <f>HYPERLINK("https://klasma.github.io/Logging_2283/klagomål/A 38102-2022 FSC-klagomål.docx", "A 38102-2022")</f>
        <v/>
      </c>
      <c r="W3258">
        <f>HYPERLINK("https://klasma.github.io/Logging_2283/klagomålsmail/A 38102-2022 FSC-klagomål mail.docx", "A 38102-2022")</f>
        <v/>
      </c>
      <c r="X3258">
        <f>HYPERLINK("https://klasma.github.io/Logging_2283/tillsyn/A 38102-2022 tillsynsbegäran.docx", "A 38102-2022")</f>
        <v/>
      </c>
      <c r="Y3258">
        <f>HYPERLINK("https://klasma.github.io/Logging_2283/tillsynsmail/A 38102-2022 tillsynsbegäran mail.docx", "A 38102-2022")</f>
        <v/>
      </c>
    </row>
    <row r="3259" ht="15" customHeight="1">
      <c r="A3259" t="inlineStr">
        <is>
          <t>A 9393-2022</t>
        </is>
      </c>
      <c r="B3259" s="1" t="n">
        <v>44616.64576388889</v>
      </c>
      <c r="C3259" s="1" t="n">
        <v>46093</v>
      </c>
      <c r="D3259" t="inlineStr">
        <is>
          <t>VÄSTERNORRLANDS LÄN</t>
        </is>
      </c>
      <c r="E3259" t="inlineStr">
        <is>
          <t>SUNDSVALL</t>
        </is>
      </c>
      <c r="G3259" t="n">
        <v>4.4</v>
      </c>
      <c r="H3259" t="n">
        <v>0</v>
      </c>
      <c r="I3259" t="n">
        <v>0</v>
      </c>
      <c r="J3259" t="n">
        <v>0</v>
      </c>
      <c r="K3259" t="n">
        <v>0</v>
      </c>
      <c r="L3259" t="n">
        <v>0</v>
      </c>
      <c r="M3259" t="n">
        <v>0</v>
      </c>
      <c r="N3259" t="n">
        <v>0</v>
      </c>
      <c r="O3259" t="n">
        <v>0</v>
      </c>
      <c r="P3259" t="n">
        <v>0</v>
      </c>
      <c r="Q3259" t="n">
        <v>0</v>
      </c>
      <c r="R3259" s="2" t="inlineStr"/>
    </row>
    <row r="3260" ht="15" customHeight="1">
      <c r="A3260" t="inlineStr">
        <is>
          <t>A 19855-2024</t>
        </is>
      </c>
      <c r="B3260" s="1" t="n">
        <v>45433</v>
      </c>
      <c r="C3260" s="1" t="n">
        <v>46093</v>
      </c>
      <c r="D3260" t="inlineStr">
        <is>
          <t>VÄSTERNORRLANDS LÄN</t>
        </is>
      </c>
      <c r="E3260" t="inlineStr">
        <is>
          <t>KRAMFORS</t>
        </is>
      </c>
      <c r="G3260" t="n">
        <v>18.9</v>
      </c>
      <c r="H3260" t="n">
        <v>0</v>
      </c>
      <c r="I3260" t="n">
        <v>0</v>
      </c>
      <c r="J3260" t="n">
        <v>0</v>
      </c>
      <c r="K3260" t="n">
        <v>0</v>
      </c>
      <c r="L3260" t="n">
        <v>0</v>
      </c>
      <c r="M3260" t="n">
        <v>0</v>
      </c>
      <c r="N3260" t="n">
        <v>0</v>
      </c>
      <c r="O3260" t="n">
        <v>0</v>
      </c>
      <c r="P3260" t="n">
        <v>0</v>
      </c>
      <c r="Q3260" t="n">
        <v>0</v>
      </c>
      <c r="R3260" s="2" t="inlineStr"/>
    </row>
    <row r="3261" ht="15" customHeight="1">
      <c r="A3261" t="inlineStr">
        <is>
          <t>A 19889-2024</t>
        </is>
      </c>
      <c r="B3261" s="1" t="n">
        <v>45433.49839120371</v>
      </c>
      <c r="C3261" s="1" t="n">
        <v>46093</v>
      </c>
      <c r="D3261" t="inlineStr">
        <is>
          <t>VÄSTERNORRLANDS LÄN</t>
        </is>
      </c>
      <c r="E3261" t="inlineStr">
        <is>
          <t>ÖRNSKÖLDSVIK</t>
        </is>
      </c>
      <c r="F3261" t="inlineStr">
        <is>
          <t>Holmen skog AB</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15633-2025</t>
        </is>
      </c>
      <c r="B3262" s="1" t="n">
        <v>45748.37162037037</v>
      </c>
      <c r="C3262" s="1" t="n">
        <v>46093</v>
      </c>
      <c r="D3262" t="inlineStr">
        <is>
          <t>VÄSTERNORRLANDS LÄN</t>
        </is>
      </c>
      <c r="E3262" t="inlineStr">
        <is>
          <t>SUNDSVALL</t>
        </is>
      </c>
      <c r="G3262" t="n">
        <v>7.6</v>
      </c>
      <c r="H3262" t="n">
        <v>0</v>
      </c>
      <c r="I3262" t="n">
        <v>0</v>
      </c>
      <c r="J3262" t="n">
        <v>0</v>
      </c>
      <c r="K3262" t="n">
        <v>0</v>
      </c>
      <c r="L3262" t="n">
        <v>0</v>
      </c>
      <c r="M3262" t="n">
        <v>0</v>
      </c>
      <c r="N3262" t="n">
        <v>0</v>
      </c>
      <c r="O3262" t="n">
        <v>0</v>
      </c>
      <c r="P3262" t="n">
        <v>0</v>
      </c>
      <c r="Q3262" t="n">
        <v>0</v>
      </c>
      <c r="R3262" s="2" t="inlineStr"/>
    </row>
    <row r="3263" ht="15" customHeight="1">
      <c r="A3263" t="inlineStr">
        <is>
          <t>A 28873-2024</t>
        </is>
      </c>
      <c r="B3263" s="1" t="n">
        <v>45478.94766203704</v>
      </c>
      <c r="C3263" s="1" t="n">
        <v>46093</v>
      </c>
      <c r="D3263" t="inlineStr">
        <is>
          <t>VÄSTERNORRLANDS LÄN</t>
        </is>
      </c>
      <c r="E3263" t="inlineStr">
        <is>
          <t>ÅNGE</t>
        </is>
      </c>
      <c r="F3263" t="inlineStr">
        <is>
          <t>SCA</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13605-2024</t>
        </is>
      </c>
      <c r="B3264" s="1" t="n">
        <v>45390</v>
      </c>
      <c r="C3264" s="1" t="n">
        <v>46093</v>
      </c>
      <c r="D3264" t="inlineStr">
        <is>
          <t>VÄSTERNORRLANDS LÄN</t>
        </is>
      </c>
      <c r="E3264" t="inlineStr">
        <is>
          <t>HÄRNÖSAND</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24152-2023</t>
        </is>
      </c>
      <c r="B3265" s="1" t="n">
        <v>45076</v>
      </c>
      <c r="C3265" s="1" t="n">
        <v>46093</v>
      </c>
      <c r="D3265" t="inlineStr">
        <is>
          <t>VÄSTERNORRLANDS LÄN</t>
        </is>
      </c>
      <c r="E3265" t="inlineStr">
        <is>
          <t>SUNDSVALL</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13674-2024</t>
        </is>
      </c>
      <c r="B3266" s="1" t="n">
        <v>45390</v>
      </c>
      <c r="C3266" s="1" t="n">
        <v>46093</v>
      </c>
      <c r="D3266" t="inlineStr">
        <is>
          <t>VÄSTERNORRLANDS LÄN</t>
        </is>
      </c>
      <c r="E3266" t="inlineStr">
        <is>
          <t>SUNDSVALL</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21970-2024</t>
        </is>
      </c>
      <c r="B3267" s="1" t="n">
        <v>45443.51434027778</v>
      </c>
      <c r="C3267" s="1" t="n">
        <v>46093</v>
      </c>
      <c r="D3267" t="inlineStr">
        <is>
          <t>VÄSTERNORRLANDS LÄN</t>
        </is>
      </c>
      <c r="E3267" t="inlineStr">
        <is>
          <t>ÖRNSKÖLDSVIK</t>
        </is>
      </c>
      <c r="F3267" t="inlineStr">
        <is>
          <t>Holmen skog AB</t>
        </is>
      </c>
      <c r="G3267" t="n">
        <v>4.1</v>
      </c>
      <c r="H3267" t="n">
        <v>0</v>
      </c>
      <c r="I3267" t="n">
        <v>0</v>
      </c>
      <c r="J3267" t="n">
        <v>0</v>
      </c>
      <c r="K3267" t="n">
        <v>0</v>
      </c>
      <c r="L3267" t="n">
        <v>0</v>
      </c>
      <c r="M3267" t="n">
        <v>0</v>
      </c>
      <c r="N3267" t="n">
        <v>0</v>
      </c>
      <c r="O3267" t="n">
        <v>0</v>
      </c>
      <c r="P3267" t="n">
        <v>0</v>
      </c>
      <c r="Q3267" t="n">
        <v>0</v>
      </c>
      <c r="R3267" s="2" t="inlineStr"/>
    </row>
    <row r="3268" ht="15" customHeight="1">
      <c r="A3268" t="inlineStr">
        <is>
          <t>A 18185-2024</t>
        </is>
      </c>
      <c r="B3268" s="1" t="n">
        <v>45420</v>
      </c>
      <c r="C3268" s="1" t="n">
        <v>46093</v>
      </c>
      <c r="D3268" t="inlineStr">
        <is>
          <t>VÄSTERNORRLANDS LÄN</t>
        </is>
      </c>
      <c r="E3268" t="inlineStr">
        <is>
          <t>KRAMFORS</t>
        </is>
      </c>
      <c r="G3268" t="n">
        <v>23.2</v>
      </c>
      <c r="H3268" t="n">
        <v>0</v>
      </c>
      <c r="I3268" t="n">
        <v>0</v>
      </c>
      <c r="J3268" t="n">
        <v>0</v>
      </c>
      <c r="K3268" t="n">
        <v>0</v>
      </c>
      <c r="L3268" t="n">
        <v>0</v>
      </c>
      <c r="M3268" t="n">
        <v>0</v>
      </c>
      <c r="N3268" t="n">
        <v>0</v>
      </c>
      <c r="O3268" t="n">
        <v>0</v>
      </c>
      <c r="P3268" t="n">
        <v>0</v>
      </c>
      <c r="Q3268" t="n">
        <v>0</v>
      </c>
      <c r="R3268" s="2" t="inlineStr"/>
    </row>
    <row r="3269" ht="15" customHeight="1">
      <c r="A3269" t="inlineStr">
        <is>
          <t>A 51847-2021</t>
        </is>
      </c>
      <c r="B3269" s="1" t="n">
        <v>44462.69077546296</v>
      </c>
      <c r="C3269" s="1" t="n">
        <v>46093</v>
      </c>
      <c r="D3269" t="inlineStr">
        <is>
          <t>VÄSTERNORRLANDS LÄN</t>
        </is>
      </c>
      <c r="E3269" t="inlineStr">
        <is>
          <t>SOLLEFTEÅ</t>
        </is>
      </c>
      <c r="F3269" t="inlineStr">
        <is>
          <t>Holmen skog AB</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31179-2023</t>
        </is>
      </c>
      <c r="B3270" s="1" t="n">
        <v>45113.92564814815</v>
      </c>
      <c r="C3270" s="1" t="n">
        <v>46093</v>
      </c>
      <c r="D3270" t="inlineStr">
        <is>
          <t>VÄSTERNORRLANDS LÄN</t>
        </is>
      </c>
      <c r="E3270" t="inlineStr">
        <is>
          <t>SOLLEFTEÅ</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31192-2023</t>
        </is>
      </c>
      <c r="B3271" s="1" t="n">
        <v>45113</v>
      </c>
      <c r="C3271" s="1" t="n">
        <v>46093</v>
      </c>
      <c r="D3271" t="inlineStr">
        <is>
          <t>VÄSTERNORRLANDS LÄN</t>
        </is>
      </c>
      <c r="E3271" t="inlineStr">
        <is>
          <t>ÖRNSKÖLDSVIK</t>
        </is>
      </c>
      <c r="F3271" t="inlineStr">
        <is>
          <t>SCA</t>
        </is>
      </c>
      <c r="G3271" t="n">
        <v>5.3</v>
      </c>
      <c r="H3271" t="n">
        <v>0</v>
      </c>
      <c r="I3271" t="n">
        <v>0</v>
      </c>
      <c r="J3271" t="n">
        <v>0</v>
      </c>
      <c r="K3271" t="n">
        <v>0</v>
      </c>
      <c r="L3271" t="n">
        <v>0</v>
      </c>
      <c r="M3271" t="n">
        <v>0</v>
      </c>
      <c r="N3271" t="n">
        <v>0</v>
      </c>
      <c r="O3271" t="n">
        <v>0</v>
      </c>
      <c r="P3271" t="n">
        <v>0</v>
      </c>
      <c r="Q3271" t="n">
        <v>0</v>
      </c>
      <c r="R3271" s="2" t="inlineStr"/>
    </row>
    <row r="3272" ht="15" customHeight="1">
      <c r="A3272" t="inlineStr">
        <is>
          <t>A 47172-2024</t>
        </is>
      </c>
      <c r="B3272" s="1" t="n">
        <v>45586.61501157407</v>
      </c>
      <c r="C3272" s="1" t="n">
        <v>46093</v>
      </c>
      <c r="D3272" t="inlineStr">
        <is>
          <t>VÄSTERNORRLANDS LÄN</t>
        </is>
      </c>
      <c r="E3272" t="inlineStr">
        <is>
          <t>SUNDSVALL</t>
        </is>
      </c>
      <c r="F3272" t="inlineStr">
        <is>
          <t>SCA</t>
        </is>
      </c>
      <c r="G3272" t="n">
        <v>9.800000000000001</v>
      </c>
      <c r="H3272" t="n">
        <v>0</v>
      </c>
      <c r="I3272" t="n">
        <v>0</v>
      </c>
      <c r="J3272" t="n">
        <v>0</v>
      </c>
      <c r="K3272" t="n">
        <v>0</v>
      </c>
      <c r="L3272" t="n">
        <v>0</v>
      </c>
      <c r="M3272" t="n">
        <v>0</v>
      </c>
      <c r="N3272" t="n">
        <v>0</v>
      </c>
      <c r="O3272" t="n">
        <v>0</v>
      </c>
      <c r="P3272" t="n">
        <v>0</v>
      </c>
      <c r="Q3272" t="n">
        <v>0</v>
      </c>
      <c r="R3272" s="2" t="inlineStr"/>
    </row>
    <row r="3273" ht="15" customHeight="1">
      <c r="A3273" t="inlineStr">
        <is>
          <t>A 47175-2024</t>
        </is>
      </c>
      <c r="B3273" s="1" t="n">
        <v>45586</v>
      </c>
      <c r="C3273" s="1" t="n">
        <v>46093</v>
      </c>
      <c r="D3273" t="inlineStr">
        <is>
          <t>VÄSTERNORRLANDS LÄN</t>
        </is>
      </c>
      <c r="E3273" t="inlineStr">
        <is>
          <t>SOLLEFTEÅ</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47179-2024</t>
        </is>
      </c>
      <c r="B3274" s="1" t="n">
        <v>45586.61634259259</v>
      </c>
      <c r="C3274" s="1" t="n">
        <v>46093</v>
      </c>
      <c r="D3274" t="inlineStr">
        <is>
          <t>VÄSTERNORRLANDS LÄN</t>
        </is>
      </c>
      <c r="E3274" t="inlineStr">
        <is>
          <t>SOLLEFTEÅ</t>
        </is>
      </c>
      <c r="F3274" t="inlineStr">
        <is>
          <t>SCA</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31547-2024</t>
        </is>
      </c>
      <c r="B3275" s="1" t="n">
        <v>45505.96362268519</v>
      </c>
      <c r="C3275" s="1" t="n">
        <v>46093</v>
      </c>
      <c r="D3275" t="inlineStr">
        <is>
          <t>VÄSTERNORRLANDS LÄN</t>
        </is>
      </c>
      <c r="E3275" t="inlineStr">
        <is>
          <t>SOLLEFTEÅ</t>
        </is>
      </c>
      <c r="F3275" t="inlineStr">
        <is>
          <t>SCA</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45739-2021</t>
        </is>
      </c>
      <c r="B3276" s="1" t="n">
        <v>44441</v>
      </c>
      <c r="C3276" s="1" t="n">
        <v>46093</v>
      </c>
      <c r="D3276" t="inlineStr">
        <is>
          <t>VÄSTERNORRLANDS LÄN</t>
        </is>
      </c>
      <c r="E3276" t="inlineStr">
        <is>
          <t>SUNDSVALL</t>
        </is>
      </c>
      <c r="G3276" t="n">
        <v>14.8</v>
      </c>
      <c r="H3276" t="n">
        <v>0</v>
      </c>
      <c r="I3276" t="n">
        <v>0</v>
      </c>
      <c r="J3276" t="n">
        <v>0</v>
      </c>
      <c r="K3276" t="n">
        <v>0</v>
      </c>
      <c r="L3276" t="n">
        <v>0</v>
      </c>
      <c r="M3276" t="n">
        <v>0</v>
      </c>
      <c r="N3276" t="n">
        <v>0</v>
      </c>
      <c r="O3276" t="n">
        <v>0</v>
      </c>
      <c r="P3276" t="n">
        <v>0</v>
      </c>
      <c r="Q3276" t="n">
        <v>0</v>
      </c>
      <c r="R3276" s="2" t="inlineStr"/>
    </row>
    <row r="3277" ht="15" customHeight="1">
      <c r="A3277" t="inlineStr">
        <is>
          <t>A 59334-2022</t>
        </is>
      </c>
      <c r="B3277" s="1" t="n">
        <v>44904.65364583334</v>
      </c>
      <c r="C3277" s="1" t="n">
        <v>46093</v>
      </c>
      <c r="D3277" t="inlineStr">
        <is>
          <t>VÄSTERNORRLANDS LÄN</t>
        </is>
      </c>
      <c r="E3277" t="inlineStr">
        <is>
          <t>ÖRNSKÖLDSVIK</t>
        </is>
      </c>
      <c r="F3277" t="inlineStr">
        <is>
          <t>Holmen skog AB</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23652-2025</t>
        </is>
      </c>
      <c r="B3278" s="1" t="n">
        <v>45792</v>
      </c>
      <c r="C3278" s="1" t="n">
        <v>46093</v>
      </c>
      <c r="D3278" t="inlineStr">
        <is>
          <t>VÄSTERNORRLANDS LÄN</t>
        </is>
      </c>
      <c r="E3278" t="inlineStr">
        <is>
          <t>SUNDSVALL</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31562-2024</t>
        </is>
      </c>
      <c r="B3279" s="1" t="n">
        <v>45505</v>
      </c>
      <c r="C3279" s="1" t="n">
        <v>46093</v>
      </c>
      <c r="D3279" t="inlineStr">
        <is>
          <t>VÄSTERNORRLANDS LÄN</t>
        </is>
      </c>
      <c r="E3279" t="inlineStr">
        <is>
          <t>SOLLEFTEÅ</t>
        </is>
      </c>
      <c r="F3279" t="inlineStr">
        <is>
          <t>SCA</t>
        </is>
      </c>
      <c r="G3279" t="n">
        <v>9.6</v>
      </c>
      <c r="H3279" t="n">
        <v>0</v>
      </c>
      <c r="I3279" t="n">
        <v>0</v>
      </c>
      <c r="J3279" t="n">
        <v>0</v>
      </c>
      <c r="K3279" t="n">
        <v>0</v>
      </c>
      <c r="L3279" t="n">
        <v>0</v>
      </c>
      <c r="M3279" t="n">
        <v>0</v>
      </c>
      <c r="N3279" t="n">
        <v>0</v>
      </c>
      <c r="O3279" t="n">
        <v>0</v>
      </c>
      <c r="P3279" t="n">
        <v>0</v>
      </c>
      <c r="Q3279" t="n">
        <v>0</v>
      </c>
      <c r="R3279" s="2" t="inlineStr"/>
    </row>
    <row r="3280" ht="15" customHeight="1">
      <c r="A3280" t="inlineStr">
        <is>
          <t>A 31563-2024</t>
        </is>
      </c>
      <c r="B3280" s="1" t="n">
        <v>45505</v>
      </c>
      <c r="C3280" s="1" t="n">
        <v>46093</v>
      </c>
      <c r="D3280" t="inlineStr">
        <is>
          <t>VÄSTERNORRLANDS LÄN</t>
        </is>
      </c>
      <c r="E3280" t="inlineStr">
        <is>
          <t>ÅNGE</t>
        </is>
      </c>
      <c r="F3280" t="inlineStr">
        <is>
          <t>SCA</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60161-2024</t>
        </is>
      </c>
      <c r="B3281" s="1" t="n">
        <v>45642.63049768518</v>
      </c>
      <c r="C3281" s="1" t="n">
        <v>46093</v>
      </c>
      <c r="D3281" t="inlineStr">
        <is>
          <t>VÄSTERNORRLANDS LÄN</t>
        </is>
      </c>
      <c r="E3281" t="inlineStr">
        <is>
          <t>ÖRNSKÖLDSVIK</t>
        </is>
      </c>
      <c r="G3281" t="n">
        <v>4.7</v>
      </c>
      <c r="H3281" t="n">
        <v>0</v>
      </c>
      <c r="I3281" t="n">
        <v>0</v>
      </c>
      <c r="J3281" t="n">
        <v>0</v>
      </c>
      <c r="K3281" t="n">
        <v>0</v>
      </c>
      <c r="L3281" t="n">
        <v>0</v>
      </c>
      <c r="M3281" t="n">
        <v>0</v>
      </c>
      <c r="N3281" t="n">
        <v>0</v>
      </c>
      <c r="O3281" t="n">
        <v>0</v>
      </c>
      <c r="P3281" t="n">
        <v>0</v>
      </c>
      <c r="Q3281" t="n">
        <v>0</v>
      </c>
      <c r="R3281" s="2" t="inlineStr"/>
    </row>
    <row r="3282" ht="15" customHeight="1">
      <c r="A3282" t="inlineStr">
        <is>
          <t>A 60177-2024</t>
        </is>
      </c>
      <c r="B3282" s="1" t="n">
        <v>45642.63850694444</v>
      </c>
      <c r="C3282" s="1" t="n">
        <v>46093</v>
      </c>
      <c r="D3282" t="inlineStr">
        <is>
          <t>VÄSTERNORRLANDS LÄN</t>
        </is>
      </c>
      <c r="E3282" t="inlineStr">
        <is>
          <t>SOLLEFTEÅ</t>
        </is>
      </c>
      <c r="G3282" t="n">
        <v>3.2</v>
      </c>
      <c r="H3282" t="n">
        <v>0</v>
      </c>
      <c r="I3282" t="n">
        <v>0</v>
      </c>
      <c r="J3282" t="n">
        <v>0</v>
      </c>
      <c r="K3282" t="n">
        <v>0</v>
      </c>
      <c r="L3282" t="n">
        <v>0</v>
      </c>
      <c r="M3282" t="n">
        <v>0</v>
      </c>
      <c r="N3282" t="n">
        <v>0</v>
      </c>
      <c r="O3282" t="n">
        <v>0</v>
      </c>
      <c r="P3282" t="n">
        <v>0</v>
      </c>
      <c r="Q3282" t="n">
        <v>0</v>
      </c>
      <c r="R3282" s="2" t="inlineStr"/>
    </row>
    <row r="3283" ht="15" customHeight="1">
      <c r="A3283" t="inlineStr">
        <is>
          <t>A 50731-2024</t>
        </is>
      </c>
      <c r="B3283" s="1" t="n">
        <v>45601</v>
      </c>
      <c r="C3283" s="1" t="n">
        <v>46093</v>
      </c>
      <c r="D3283" t="inlineStr">
        <is>
          <t>VÄSTERNORRLANDS LÄN</t>
        </is>
      </c>
      <c r="E3283" t="inlineStr">
        <is>
          <t>ÖRNSKÖLDSVIK</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16692-2024</t>
        </is>
      </c>
      <c r="B3284" s="1" t="n">
        <v>45408</v>
      </c>
      <c r="C3284" s="1" t="n">
        <v>46093</v>
      </c>
      <c r="D3284" t="inlineStr">
        <is>
          <t>VÄSTERNORRLANDS LÄN</t>
        </is>
      </c>
      <c r="E3284" t="inlineStr">
        <is>
          <t>ÖRNSKÖLDSVIK</t>
        </is>
      </c>
      <c r="G3284" t="n">
        <v>7</v>
      </c>
      <c r="H3284" t="n">
        <v>0</v>
      </c>
      <c r="I3284" t="n">
        <v>0</v>
      </c>
      <c r="J3284" t="n">
        <v>0</v>
      </c>
      <c r="K3284" t="n">
        <v>0</v>
      </c>
      <c r="L3284" t="n">
        <v>0</v>
      </c>
      <c r="M3284" t="n">
        <v>0</v>
      </c>
      <c r="N3284" t="n">
        <v>0</v>
      </c>
      <c r="O3284" t="n">
        <v>0</v>
      </c>
      <c r="P3284" t="n">
        <v>0</v>
      </c>
      <c r="Q3284" t="n">
        <v>0</v>
      </c>
      <c r="R3284" s="2" t="inlineStr"/>
    </row>
    <row r="3285" ht="15" customHeight="1">
      <c r="A3285" t="inlineStr">
        <is>
          <t>A 16693-2024</t>
        </is>
      </c>
      <c r="B3285" s="1" t="n">
        <v>45408</v>
      </c>
      <c r="C3285" s="1" t="n">
        <v>46093</v>
      </c>
      <c r="D3285" t="inlineStr">
        <is>
          <t>VÄSTERNORRLANDS LÄN</t>
        </is>
      </c>
      <c r="E3285" t="inlineStr">
        <is>
          <t>SOLLEFTEÅ</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16710-2024</t>
        </is>
      </c>
      <c r="B3286" s="1" t="n">
        <v>45409.07748842592</v>
      </c>
      <c r="C3286" s="1" t="n">
        <v>46093</v>
      </c>
      <c r="D3286" t="inlineStr">
        <is>
          <t>VÄSTERNORRLANDS LÄN</t>
        </is>
      </c>
      <c r="E3286" t="inlineStr">
        <is>
          <t>SOLLEFTEÅ</t>
        </is>
      </c>
      <c r="F3286" t="inlineStr">
        <is>
          <t>SCA</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15520-2024</t>
        </is>
      </c>
      <c r="B3287" s="1" t="n">
        <v>45400</v>
      </c>
      <c r="C3287" s="1" t="n">
        <v>46093</v>
      </c>
      <c r="D3287" t="inlineStr">
        <is>
          <t>VÄSTERNORRLANDS LÄN</t>
        </is>
      </c>
      <c r="E3287" t="inlineStr">
        <is>
          <t>SUNDSVALL</t>
        </is>
      </c>
      <c r="G3287" t="n">
        <v>8.800000000000001</v>
      </c>
      <c r="H3287" t="n">
        <v>0</v>
      </c>
      <c r="I3287" t="n">
        <v>0</v>
      </c>
      <c r="J3287" t="n">
        <v>0</v>
      </c>
      <c r="K3287" t="n">
        <v>0</v>
      </c>
      <c r="L3287" t="n">
        <v>0</v>
      </c>
      <c r="M3287" t="n">
        <v>0</v>
      </c>
      <c r="N3287" t="n">
        <v>0</v>
      </c>
      <c r="O3287" t="n">
        <v>0</v>
      </c>
      <c r="P3287" t="n">
        <v>0</v>
      </c>
      <c r="Q3287" t="n">
        <v>0</v>
      </c>
      <c r="R3287" s="2" t="inlineStr"/>
    </row>
    <row r="3288" ht="15" customHeight="1">
      <c r="A3288" t="inlineStr">
        <is>
          <t>A 58352-2022</t>
        </is>
      </c>
      <c r="B3288" s="1" t="n">
        <v>44901.60188657408</v>
      </c>
      <c r="C3288" s="1" t="n">
        <v>46093</v>
      </c>
      <c r="D3288" t="inlineStr">
        <is>
          <t>VÄSTERNORRLANDS LÄN</t>
        </is>
      </c>
      <c r="E3288" t="inlineStr">
        <is>
          <t>SUNDSVALL</t>
        </is>
      </c>
      <c r="G3288" t="n">
        <v>3</v>
      </c>
      <c r="H3288" t="n">
        <v>0</v>
      </c>
      <c r="I3288" t="n">
        <v>0</v>
      </c>
      <c r="J3288" t="n">
        <v>0</v>
      </c>
      <c r="K3288" t="n">
        <v>0</v>
      </c>
      <c r="L3288" t="n">
        <v>0</v>
      </c>
      <c r="M3288" t="n">
        <v>0</v>
      </c>
      <c r="N3288" t="n">
        <v>0</v>
      </c>
      <c r="O3288" t="n">
        <v>0</v>
      </c>
      <c r="P3288" t="n">
        <v>0</v>
      </c>
      <c r="Q3288" t="n">
        <v>0</v>
      </c>
      <c r="R3288" s="2" t="inlineStr"/>
    </row>
    <row r="3289" ht="15" customHeight="1">
      <c r="A3289" t="inlineStr">
        <is>
          <t>A 24231-2024</t>
        </is>
      </c>
      <c r="B3289" s="1" t="n">
        <v>45457.34393518518</v>
      </c>
      <c r="C3289" s="1" t="n">
        <v>46093</v>
      </c>
      <c r="D3289" t="inlineStr">
        <is>
          <t>VÄSTERNORRLANDS LÄN</t>
        </is>
      </c>
      <c r="E3289" t="inlineStr">
        <is>
          <t>ÅNGE</t>
        </is>
      </c>
      <c r="F3289" t="inlineStr">
        <is>
          <t>Sveaskog</t>
        </is>
      </c>
      <c r="G3289" t="n">
        <v>7</v>
      </c>
      <c r="H3289" t="n">
        <v>0</v>
      </c>
      <c r="I3289" t="n">
        <v>0</v>
      </c>
      <c r="J3289" t="n">
        <v>0</v>
      </c>
      <c r="K3289" t="n">
        <v>0</v>
      </c>
      <c r="L3289" t="n">
        <v>0</v>
      </c>
      <c r="M3289" t="n">
        <v>0</v>
      </c>
      <c r="N3289" t="n">
        <v>0</v>
      </c>
      <c r="O3289" t="n">
        <v>0</v>
      </c>
      <c r="P3289" t="n">
        <v>0</v>
      </c>
      <c r="Q3289" t="n">
        <v>0</v>
      </c>
      <c r="R3289" s="2" t="inlineStr"/>
    </row>
    <row r="3290" ht="15" customHeight="1">
      <c r="A3290" t="inlineStr">
        <is>
          <t>A 35969-2023</t>
        </is>
      </c>
      <c r="B3290" s="1" t="n">
        <v>45148.92568287037</v>
      </c>
      <c r="C3290" s="1" t="n">
        <v>46093</v>
      </c>
      <c r="D3290" t="inlineStr">
        <is>
          <t>VÄSTERNORRLANDS LÄN</t>
        </is>
      </c>
      <c r="E3290" t="inlineStr">
        <is>
          <t>HÄRNÖSAND</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37579-2023</t>
        </is>
      </c>
      <c r="B3291" s="1" t="n">
        <v>45159.38819444444</v>
      </c>
      <c r="C3291" s="1" t="n">
        <v>46093</v>
      </c>
      <c r="D3291" t="inlineStr">
        <is>
          <t>VÄSTERNORRLANDS LÄN</t>
        </is>
      </c>
      <c r="E3291" t="inlineStr">
        <is>
          <t>ÖRNSKÖLDSVIK</t>
        </is>
      </c>
      <c r="F3291" t="inlineStr">
        <is>
          <t>Holmen skog AB</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37636-2023</t>
        </is>
      </c>
      <c r="B3292" s="1" t="n">
        <v>45159.4687037037</v>
      </c>
      <c r="C3292" s="1" t="n">
        <v>46093</v>
      </c>
      <c r="D3292" t="inlineStr">
        <is>
          <t>VÄSTERNORRLANDS LÄN</t>
        </is>
      </c>
      <c r="E3292" t="inlineStr">
        <is>
          <t>ÖRNSKÖLDSVIK</t>
        </is>
      </c>
      <c r="F3292" t="inlineStr">
        <is>
          <t>Holmen skog AB</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47552-2022</t>
        </is>
      </c>
      <c r="B3293" s="1" t="n">
        <v>44853</v>
      </c>
      <c r="C3293" s="1" t="n">
        <v>46093</v>
      </c>
      <c r="D3293" t="inlineStr">
        <is>
          <t>VÄSTERNORRLANDS LÄN</t>
        </is>
      </c>
      <c r="E3293" t="inlineStr">
        <is>
          <t>HÄRNÖSAND</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28711-2024</t>
        </is>
      </c>
      <c r="B3294" s="1" t="n">
        <v>45478</v>
      </c>
      <c r="C3294" s="1" t="n">
        <v>46093</v>
      </c>
      <c r="D3294" t="inlineStr">
        <is>
          <t>VÄSTERNORRLANDS LÄN</t>
        </is>
      </c>
      <c r="E3294" t="inlineStr">
        <is>
          <t>ÖRNSKÖLDSVIK</t>
        </is>
      </c>
      <c r="F3294" t="inlineStr">
        <is>
          <t>Holmen skog AB</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4261-2025</t>
        </is>
      </c>
      <c r="B3295" s="1" t="n">
        <v>45685.61785879629</v>
      </c>
      <c r="C3295" s="1" t="n">
        <v>46093</v>
      </c>
      <c r="D3295" t="inlineStr">
        <is>
          <t>VÄSTERNORRLANDS LÄN</t>
        </is>
      </c>
      <c r="E3295" t="inlineStr">
        <is>
          <t>SOLLEFTEÅ</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12803-2024</t>
        </is>
      </c>
      <c r="B3296" s="1" t="n">
        <v>45384</v>
      </c>
      <c r="C3296" s="1" t="n">
        <v>46093</v>
      </c>
      <c r="D3296" t="inlineStr">
        <is>
          <t>VÄSTERNORRLANDS LÄN</t>
        </is>
      </c>
      <c r="E3296" t="inlineStr">
        <is>
          <t>SUNDSVALL</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38581-2025</t>
        </is>
      </c>
      <c r="B3297" s="1" t="n">
        <v>45884.46965277778</v>
      </c>
      <c r="C3297" s="1" t="n">
        <v>46093</v>
      </c>
      <c r="D3297" t="inlineStr">
        <is>
          <t>VÄSTERNORRLANDS LÄN</t>
        </is>
      </c>
      <c r="E3297" t="inlineStr">
        <is>
          <t>SOLLEFTEÅ</t>
        </is>
      </c>
      <c r="F3297" t="inlineStr">
        <is>
          <t>SCA</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9950-2023</t>
        </is>
      </c>
      <c r="B3298" s="1" t="n">
        <v>44985</v>
      </c>
      <c r="C3298" s="1" t="n">
        <v>46093</v>
      </c>
      <c r="D3298" t="inlineStr">
        <is>
          <t>VÄSTERNORRLANDS LÄN</t>
        </is>
      </c>
      <c r="E3298" t="inlineStr">
        <is>
          <t>ÖRNSKÖLDSVIK</t>
        </is>
      </c>
      <c r="F3298" t="inlineStr">
        <is>
          <t>Holmen skog AB</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38596-2025</t>
        </is>
      </c>
      <c r="B3299" s="1" t="n">
        <v>45884.49040509259</v>
      </c>
      <c r="C3299" s="1" t="n">
        <v>46093</v>
      </c>
      <c r="D3299" t="inlineStr">
        <is>
          <t>VÄSTERNORRLANDS LÄN</t>
        </is>
      </c>
      <c r="E3299" t="inlineStr">
        <is>
          <t>SOLLEFTEÅ</t>
        </is>
      </c>
      <c r="F3299" t="inlineStr">
        <is>
          <t>SCA</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38598-2025</t>
        </is>
      </c>
      <c r="B3300" s="1" t="n">
        <v>45884.49074074074</v>
      </c>
      <c r="C3300" s="1" t="n">
        <v>46093</v>
      </c>
      <c r="D3300" t="inlineStr">
        <is>
          <t>VÄSTERNORRLANDS LÄN</t>
        </is>
      </c>
      <c r="E3300" t="inlineStr">
        <is>
          <t>SOLLEFTEÅ</t>
        </is>
      </c>
      <c r="F3300" t="inlineStr">
        <is>
          <t>SCA</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38606-2025</t>
        </is>
      </c>
      <c r="B3301" s="1" t="n">
        <v>45884.52636574074</v>
      </c>
      <c r="C3301" s="1" t="n">
        <v>46093</v>
      </c>
      <c r="D3301" t="inlineStr">
        <is>
          <t>VÄSTERNORRLANDS LÄN</t>
        </is>
      </c>
      <c r="E3301" t="inlineStr">
        <is>
          <t>ÖRNSKÖLDSVIK</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38624-2025</t>
        </is>
      </c>
      <c r="B3302" s="1" t="n">
        <v>45884.55347222222</v>
      </c>
      <c r="C3302" s="1" t="n">
        <v>46093</v>
      </c>
      <c r="D3302" t="inlineStr">
        <is>
          <t>VÄSTERNORRLANDS LÄN</t>
        </is>
      </c>
      <c r="E3302" t="inlineStr">
        <is>
          <t>TIMRÅ</t>
        </is>
      </c>
      <c r="F3302" t="inlineStr">
        <is>
          <t>SCA</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43928-2023</t>
        </is>
      </c>
      <c r="B3303" s="1" t="n">
        <v>45182</v>
      </c>
      <c r="C3303" s="1" t="n">
        <v>46093</v>
      </c>
      <c r="D3303" t="inlineStr">
        <is>
          <t>VÄSTERNORRLANDS LÄN</t>
        </is>
      </c>
      <c r="E3303" t="inlineStr">
        <is>
          <t>ÖRNSKÖLDSVIK</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56256-2024</t>
        </is>
      </c>
      <c r="B3304" s="1" t="n">
        <v>45624.64398148148</v>
      </c>
      <c r="C3304" s="1" t="n">
        <v>46093</v>
      </c>
      <c r="D3304" t="inlineStr">
        <is>
          <t>VÄSTERNORRLANDS LÄN</t>
        </is>
      </c>
      <c r="E3304" t="inlineStr">
        <is>
          <t>ÖRNSKÖLDSVIK</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34705-2023</t>
        </is>
      </c>
      <c r="B3305" s="1" t="n">
        <v>45140.96452546296</v>
      </c>
      <c r="C3305" s="1" t="n">
        <v>46093</v>
      </c>
      <c r="D3305" t="inlineStr">
        <is>
          <t>VÄSTERNORRLANDS LÄN</t>
        </is>
      </c>
      <c r="E3305" t="inlineStr">
        <is>
          <t>ÅNGE</t>
        </is>
      </c>
      <c r="F3305" t="inlineStr">
        <is>
          <t>SCA</t>
        </is>
      </c>
      <c r="G3305" t="n">
        <v>6</v>
      </c>
      <c r="H3305" t="n">
        <v>0</v>
      </c>
      <c r="I3305" t="n">
        <v>0</v>
      </c>
      <c r="J3305" t="n">
        <v>0</v>
      </c>
      <c r="K3305" t="n">
        <v>0</v>
      </c>
      <c r="L3305" t="n">
        <v>0</v>
      </c>
      <c r="M3305" t="n">
        <v>0</v>
      </c>
      <c r="N3305" t="n">
        <v>0</v>
      </c>
      <c r="O3305" t="n">
        <v>0</v>
      </c>
      <c r="P3305" t="n">
        <v>0</v>
      </c>
      <c r="Q3305" t="n">
        <v>0</v>
      </c>
      <c r="R3305" s="2" t="inlineStr"/>
    </row>
    <row r="3306" ht="15" customHeight="1">
      <c r="A3306" t="inlineStr">
        <is>
          <t>A 34750-2023</t>
        </is>
      </c>
      <c r="B3306" s="1" t="n">
        <v>45139</v>
      </c>
      <c r="C3306" s="1" t="n">
        <v>46093</v>
      </c>
      <c r="D3306" t="inlineStr">
        <is>
          <t>VÄSTERNORRLANDS LÄN</t>
        </is>
      </c>
      <c r="E3306" t="inlineStr">
        <is>
          <t>ÅNGE</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56325-2023</t>
        </is>
      </c>
      <c r="B3307" s="1" t="n">
        <v>45236</v>
      </c>
      <c r="C3307" s="1" t="n">
        <v>46093</v>
      </c>
      <c r="D3307" t="inlineStr">
        <is>
          <t>VÄSTERNORRLANDS LÄN</t>
        </is>
      </c>
      <c r="E3307" t="inlineStr">
        <is>
          <t>KRAMFORS</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63048-2023</t>
        </is>
      </c>
      <c r="B3308" s="1" t="n">
        <v>45272</v>
      </c>
      <c r="C3308" s="1" t="n">
        <v>46093</v>
      </c>
      <c r="D3308" t="inlineStr">
        <is>
          <t>VÄSTERNORRLANDS LÄN</t>
        </is>
      </c>
      <c r="E3308" t="inlineStr">
        <is>
          <t>SUNDSVALL</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53645-2022</t>
        </is>
      </c>
      <c r="B3309" s="1" t="n">
        <v>44879</v>
      </c>
      <c r="C3309" s="1" t="n">
        <v>46093</v>
      </c>
      <c r="D3309" t="inlineStr">
        <is>
          <t>VÄSTERNORRLANDS LÄN</t>
        </is>
      </c>
      <c r="E3309" t="inlineStr">
        <is>
          <t>SUNDSVALL</t>
        </is>
      </c>
      <c r="G3309" t="n">
        <v>0.2</v>
      </c>
      <c r="H3309" t="n">
        <v>0</v>
      </c>
      <c r="I3309" t="n">
        <v>0</v>
      </c>
      <c r="J3309" t="n">
        <v>0</v>
      </c>
      <c r="K3309" t="n">
        <v>0</v>
      </c>
      <c r="L3309" t="n">
        <v>0</v>
      </c>
      <c r="M3309" t="n">
        <v>0</v>
      </c>
      <c r="N3309" t="n">
        <v>0</v>
      </c>
      <c r="O3309" t="n">
        <v>0</v>
      </c>
      <c r="P3309" t="n">
        <v>0</v>
      </c>
      <c r="Q3309" t="n">
        <v>0</v>
      </c>
      <c r="R3309" s="2" t="inlineStr"/>
    </row>
    <row r="3310" ht="15" customHeight="1">
      <c r="A3310" t="inlineStr">
        <is>
          <t>A 23551-2024</t>
        </is>
      </c>
      <c r="B3310" s="1" t="n">
        <v>45453.95381944445</v>
      </c>
      <c r="C3310" s="1" t="n">
        <v>46093</v>
      </c>
      <c r="D3310" t="inlineStr">
        <is>
          <t>VÄSTERNORRLANDS LÄN</t>
        </is>
      </c>
      <c r="E3310" t="inlineStr">
        <is>
          <t>ÖRNSKÖLDSVIK</t>
        </is>
      </c>
      <c r="F3310" t="inlineStr">
        <is>
          <t>SCA</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37048-2024</t>
        </is>
      </c>
      <c r="B3311" s="1" t="n">
        <v>45539.42946759259</v>
      </c>
      <c r="C3311" s="1" t="n">
        <v>46093</v>
      </c>
      <c r="D3311" t="inlineStr">
        <is>
          <t>VÄSTERNORRLANDS LÄN</t>
        </is>
      </c>
      <c r="E3311" t="inlineStr">
        <is>
          <t>ÖRNSKÖLDSVIK</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12834-2025</t>
        </is>
      </c>
      <c r="B3312" s="1" t="n">
        <v>45733.63612268519</v>
      </c>
      <c r="C3312" s="1" t="n">
        <v>46093</v>
      </c>
      <c r="D3312" t="inlineStr">
        <is>
          <t>VÄSTERNORRLANDS LÄN</t>
        </is>
      </c>
      <c r="E3312" t="inlineStr">
        <is>
          <t>SOLLEFTEÅ</t>
        </is>
      </c>
      <c r="F3312" t="inlineStr">
        <is>
          <t>SCA</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69790-2021</t>
        </is>
      </c>
      <c r="B3313" s="1" t="n">
        <v>44532.605625</v>
      </c>
      <c r="C3313" s="1" t="n">
        <v>46093</v>
      </c>
      <c r="D3313" t="inlineStr">
        <is>
          <t>VÄSTERNORRLANDS LÄN</t>
        </is>
      </c>
      <c r="E3313" t="inlineStr">
        <is>
          <t>ÅNGE</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37720-2024</t>
        </is>
      </c>
      <c r="B3314" s="1" t="n">
        <v>45541.645</v>
      </c>
      <c r="C3314" s="1" t="n">
        <v>46093</v>
      </c>
      <c r="D3314" t="inlineStr">
        <is>
          <t>VÄSTERNORRLANDS LÄN</t>
        </is>
      </c>
      <c r="E3314" t="inlineStr">
        <is>
          <t>ÖRNSKÖLDSVIK</t>
        </is>
      </c>
      <c r="F3314" t="inlineStr">
        <is>
          <t>Holmen skog AB</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58606-2023</t>
        </is>
      </c>
      <c r="B3315" s="1" t="n">
        <v>45251.49158564815</v>
      </c>
      <c r="C3315" s="1" t="n">
        <v>46093</v>
      </c>
      <c r="D3315" t="inlineStr">
        <is>
          <t>VÄSTERNORRLANDS LÄN</t>
        </is>
      </c>
      <c r="E3315" t="inlineStr">
        <is>
          <t>SUNDSVALL</t>
        </is>
      </c>
      <c r="G3315" t="n">
        <v>7.2</v>
      </c>
      <c r="H3315" t="n">
        <v>0</v>
      </c>
      <c r="I3315" t="n">
        <v>0</v>
      </c>
      <c r="J3315" t="n">
        <v>0</v>
      </c>
      <c r="K3315" t="n">
        <v>0</v>
      </c>
      <c r="L3315" t="n">
        <v>0</v>
      </c>
      <c r="M3315" t="n">
        <v>0</v>
      </c>
      <c r="N3315" t="n">
        <v>0</v>
      </c>
      <c r="O3315" t="n">
        <v>0</v>
      </c>
      <c r="P3315" t="n">
        <v>0</v>
      </c>
      <c r="Q3315" t="n">
        <v>0</v>
      </c>
      <c r="R3315" s="2" t="inlineStr"/>
    </row>
    <row r="3316" ht="15" customHeight="1">
      <c r="A3316" t="inlineStr">
        <is>
          <t>A 46971-2024</t>
        </is>
      </c>
      <c r="B3316" s="1" t="n">
        <v>45586.3387037037</v>
      </c>
      <c r="C3316" s="1" t="n">
        <v>46093</v>
      </c>
      <c r="D3316" t="inlineStr">
        <is>
          <t>VÄSTERNORRLANDS LÄN</t>
        </is>
      </c>
      <c r="E3316" t="inlineStr">
        <is>
          <t>ÖRNSKÖLDSVIK</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10618-2024</t>
        </is>
      </c>
      <c r="B3317" s="1" t="n">
        <v>45367</v>
      </c>
      <c r="C3317" s="1" t="n">
        <v>46093</v>
      </c>
      <c r="D3317" t="inlineStr">
        <is>
          <t>VÄSTERNORRLANDS LÄN</t>
        </is>
      </c>
      <c r="E3317" t="inlineStr">
        <is>
          <t>SOLLEFTEÅ</t>
        </is>
      </c>
      <c r="F3317" t="inlineStr">
        <is>
          <t>SCA</t>
        </is>
      </c>
      <c r="G3317" t="n">
        <v>21.1</v>
      </c>
      <c r="H3317" t="n">
        <v>0</v>
      </c>
      <c r="I3317" t="n">
        <v>0</v>
      </c>
      <c r="J3317" t="n">
        <v>0</v>
      </c>
      <c r="K3317" t="n">
        <v>0</v>
      </c>
      <c r="L3317" t="n">
        <v>0</v>
      </c>
      <c r="M3317" t="n">
        <v>0</v>
      </c>
      <c r="N3317" t="n">
        <v>0</v>
      </c>
      <c r="O3317" t="n">
        <v>0</v>
      </c>
      <c r="P3317" t="n">
        <v>0</v>
      </c>
      <c r="Q3317" t="n">
        <v>0</v>
      </c>
      <c r="R3317" s="2" t="inlineStr"/>
    </row>
    <row r="3318" ht="15" customHeight="1">
      <c r="A3318" t="inlineStr">
        <is>
          <t>A 2536-2022</t>
        </is>
      </c>
      <c r="B3318" s="1" t="n">
        <v>44579</v>
      </c>
      <c r="C3318" s="1" t="n">
        <v>46093</v>
      </c>
      <c r="D3318" t="inlineStr">
        <is>
          <t>VÄSTERNORRLANDS LÄN</t>
        </is>
      </c>
      <c r="E3318" t="inlineStr">
        <is>
          <t>SOLLEFTEÅ</t>
        </is>
      </c>
      <c r="F3318" t="inlineStr">
        <is>
          <t>Övriga Aktiebolag</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3330-2025</t>
        </is>
      </c>
      <c r="B3319" s="1" t="n">
        <v>45679.70041666667</v>
      </c>
      <c r="C3319" s="1" t="n">
        <v>46093</v>
      </c>
      <c r="D3319" t="inlineStr">
        <is>
          <t>VÄSTERNORRLANDS LÄN</t>
        </is>
      </c>
      <c r="E3319" t="inlineStr">
        <is>
          <t>ÅNGE</t>
        </is>
      </c>
      <c r="F3319" t="inlineStr">
        <is>
          <t>SCA</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36771-2023</t>
        </is>
      </c>
      <c r="B3320" s="1" t="n">
        <v>45153</v>
      </c>
      <c r="C3320" s="1" t="n">
        <v>46093</v>
      </c>
      <c r="D3320" t="inlineStr">
        <is>
          <t>VÄSTERNORRLANDS LÄN</t>
        </is>
      </c>
      <c r="E3320" t="inlineStr">
        <is>
          <t>SOLLEFTEÅ</t>
        </is>
      </c>
      <c r="F3320" t="inlineStr">
        <is>
          <t>SCA</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35132-2025</t>
        </is>
      </c>
      <c r="B3321" s="1" t="n">
        <v>45852.63618055556</v>
      </c>
      <c r="C3321" s="1" t="n">
        <v>46093</v>
      </c>
      <c r="D3321" t="inlineStr">
        <is>
          <t>VÄSTERNORRLANDS LÄN</t>
        </is>
      </c>
      <c r="E3321" t="inlineStr">
        <is>
          <t>SOLLEFTEÅ</t>
        </is>
      </c>
      <c r="F3321" t="inlineStr">
        <is>
          <t>SCA</t>
        </is>
      </c>
      <c r="G3321" t="n">
        <v>5.9</v>
      </c>
      <c r="H3321" t="n">
        <v>0</v>
      </c>
      <c r="I3321" t="n">
        <v>0</v>
      </c>
      <c r="J3321" t="n">
        <v>0</v>
      </c>
      <c r="K3321" t="n">
        <v>0</v>
      </c>
      <c r="L3321" t="n">
        <v>0</v>
      </c>
      <c r="M3321" t="n">
        <v>0</v>
      </c>
      <c r="N3321" t="n">
        <v>0</v>
      </c>
      <c r="O3321" t="n">
        <v>0</v>
      </c>
      <c r="P3321" t="n">
        <v>0</v>
      </c>
      <c r="Q3321" t="n">
        <v>0</v>
      </c>
      <c r="R3321" s="2" t="inlineStr"/>
    </row>
    <row r="3322" ht="15" customHeight="1">
      <c r="A3322" t="inlineStr">
        <is>
          <t>A 10296-2023</t>
        </is>
      </c>
      <c r="B3322" s="1" t="n">
        <v>44986</v>
      </c>
      <c r="C3322" s="1" t="n">
        <v>46093</v>
      </c>
      <c r="D3322" t="inlineStr">
        <is>
          <t>VÄSTERNORRLANDS LÄN</t>
        </is>
      </c>
      <c r="E3322" t="inlineStr">
        <is>
          <t>ÖRNSKÖLDSVIK</t>
        </is>
      </c>
      <c r="F3322" t="inlineStr">
        <is>
          <t>SCA</t>
        </is>
      </c>
      <c r="G3322" t="n">
        <v>9.4</v>
      </c>
      <c r="H3322" t="n">
        <v>0</v>
      </c>
      <c r="I3322" t="n">
        <v>0</v>
      </c>
      <c r="J3322" t="n">
        <v>0</v>
      </c>
      <c r="K3322" t="n">
        <v>0</v>
      </c>
      <c r="L3322" t="n">
        <v>0</v>
      </c>
      <c r="M3322" t="n">
        <v>0</v>
      </c>
      <c r="N3322" t="n">
        <v>0</v>
      </c>
      <c r="O3322" t="n">
        <v>0</v>
      </c>
      <c r="P3322" t="n">
        <v>0</v>
      </c>
      <c r="Q3322" t="n">
        <v>0</v>
      </c>
      <c r="R3322" s="2" t="inlineStr"/>
    </row>
    <row r="3323" ht="15" customHeight="1">
      <c r="A3323" t="inlineStr">
        <is>
          <t>A 34870-2025</t>
        </is>
      </c>
      <c r="B3323" s="1" t="n">
        <v>45849.44729166666</v>
      </c>
      <c r="C3323" s="1" t="n">
        <v>46093</v>
      </c>
      <c r="D3323" t="inlineStr">
        <is>
          <t>VÄSTERNORRLANDS LÄN</t>
        </is>
      </c>
      <c r="E3323" t="inlineStr">
        <is>
          <t>SOLLEFTEÅ</t>
        </is>
      </c>
      <c r="G3323" t="n">
        <v>6.6</v>
      </c>
      <c r="H3323" t="n">
        <v>0</v>
      </c>
      <c r="I3323" t="n">
        <v>0</v>
      </c>
      <c r="J3323" t="n">
        <v>0</v>
      </c>
      <c r="K3323" t="n">
        <v>0</v>
      </c>
      <c r="L3323" t="n">
        <v>0</v>
      </c>
      <c r="M3323" t="n">
        <v>0</v>
      </c>
      <c r="N3323" t="n">
        <v>0</v>
      </c>
      <c r="O3323" t="n">
        <v>0</v>
      </c>
      <c r="P3323" t="n">
        <v>0</v>
      </c>
      <c r="Q3323" t="n">
        <v>0</v>
      </c>
      <c r="R3323" s="2" t="inlineStr"/>
    </row>
    <row r="3324" ht="15" customHeight="1">
      <c r="A3324" t="inlineStr">
        <is>
          <t>A 35270-2023</t>
        </is>
      </c>
      <c r="B3324" s="1" t="n">
        <v>45145.95366898148</v>
      </c>
      <c r="C3324" s="1" t="n">
        <v>46093</v>
      </c>
      <c r="D3324" t="inlineStr">
        <is>
          <t>VÄSTERNORRLANDS LÄN</t>
        </is>
      </c>
      <c r="E3324" t="inlineStr">
        <is>
          <t>HÄRNÖSAND</t>
        </is>
      </c>
      <c r="F3324" t="inlineStr">
        <is>
          <t>SCA</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35271-2023</t>
        </is>
      </c>
      <c r="B3325" s="1" t="n">
        <v>45145.95372685185</v>
      </c>
      <c r="C3325" s="1" t="n">
        <v>46093</v>
      </c>
      <c r="D3325" t="inlineStr">
        <is>
          <t>VÄSTERNORRLANDS LÄN</t>
        </is>
      </c>
      <c r="E3325" t="inlineStr">
        <is>
          <t>HÄRNÖSAND</t>
        </is>
      </c>
      <c r="F3325" t="inlineStr">
        <is>
          <t>SCA</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35276-2023</t>
        </is>
      </c>
      <c r="B3326" s="1" t="n">
        <v>45145.95409722222</v>
      </c>
      <c r="C3326" s="1" t="n">
        <v>46093</v>
      </c>
      <c r="D3326" t="inlineStr">
        <is>
          <t>VÄSTERNORRLANDS LÄN</t>
        </is>
      </c>
      <c r="E3326" t="inlineStr">
        <is>
          <t>SOLLEFTEÅ</t>
        </is>
      </c>
      <c r="F3326" t="inlineStr">
        <is>
          <t>SCA</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35296-2023</t>
        </is>
      </c>
      <c r="B3327" s="1" t="n">
        <v>45145.97155092593</v>
      </c>
      <c r="C3327" s="1" t="n">
        <v>46093</v>
      </c>
      <c r="D3327" t="inlineStr">
        <is>
          <t>VÄSTERNORRLANDS LÄN</t>
        </is>
      </c>
      <c r="E3327" t="inlineStr">
        <is>
          <t>KRAMFORS</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35297-2023</t>
        </is>
      </c>
      <c r="B3328" s="1" t="n">
        <v>45145.97748842592</v>
      </c>
      <c r="C3328" s="1" t="n">
        <v>46093</v>
      </c>
      <c r="D3328" t="inlineStr">
        <is>
          <t>VÄSTERNORRLANDS LÄN</t>
        </is>
      </c>
      <c r="E3328" t="inlineStr">
        <is>
          <t>KRAMFORS</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15154-2024</t>
        </is>
      </c>
      <c r="B3329" s="1" t="n">
        <v>45399.94466435185</v>
      </c>
      <c r="C3329" s="1" t="n">
        <v>46093</v>
      </c>
      <c r="D3329" t="inlineStr">
        <is>
          <t>VÄSTERNORRLANDS LÄN</t>
        </is>
      </c>
      <c r="E3329" t="inlineStr">
        <is>
          <t>SOLLEFTEÅ</t>
        </is>
      </c>
      <c r="F3329" t="inlineStr">
        <is>
          <t>SCA</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44602-2024</t>
        </is>
      </c>
      <c r="B3330" s="1" t="n">
        <v>45574.51142361111</v>
      </c>
      <c r="C3330" s="1" t="n">
        <v>46093</v>
      </c>
      <c r="D3330" t="inlineStr">
        <is>
          <t>VÄSTERNORRLANDS LÄN</t>
        </is>
      </c>
      <c r="E3330" t="inlineStr">
        <is>
          <t>SUNDSVALL</t>
        </is>
      </c>
      <c r="F3330" t="inlineStr">
        <is>
          <t>SCA</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13773-2024</t>
        </is>
      </c>
      <c r="B3331" s="1" t="n">
        <v>45390.95297453704</v>
      </c>
      <c r="C3331" s="1" t="n">
        <v>46093</v>
      </c>
      <c r="D3331" t="inlineStr">
        <is>
          <t>VÄSTERNORRLANDS LÄN</t>
        </is>
      </c>
      <c r="E3331" t="inlineStr">
        <is>
          <t>ÅNGE</t>
        </is>
      </c>
      <c r="F3331" t="inlineStr">
        <is>
          <t>SCA</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10428-2023</t>
        </is>
      </c>
      <c r="B3332" s="1" t="n">
        <v>44981</v>
      </c>
      <c r="C3332" s="1" t="n">
        <v>46093</v>
      </c>
      <c r="D3332" t="inlineStr">
        <is>
          <t>VÄSTERNORRLANDS LÄN</t>
        </is>
      </c>
      <c r="E3332" t="inlineStr">
        <is>
          <t>SOLLEFTEÅ</t>
        </is>
      </c>
      <c r="G3332" t="n">
        <v>4.3</v>
      </c>
      <c r="H3332" t="n">
        <v>0</v>
      </c>
      <c r="I3332" t="n">
        <v>0</v>
      </c>
      <c r="J3332" t="n">
        <v>0</v>
      </c>
      <c r="K3332" t="n">
        <v>0</v>
      </c>
      <c r="L3332" t="n">
        <v>0</v>
      </c>
      <c r="M3332" t="n">
        <v>0</v>
      </c>
      <c r="N3332" t="n">
        <v>0</v>
      </c>
      <c r="O3332" t="n">
        <v>0</v>
      </c>
      <c r="P3332" t="n">
        <v>0</v>
      </c>
      <c r="Q3332" t="n">
        <v>0</v>
      </c>
      <c r="R3332" s="2" t="inlineStr"/>
    </row>
    <row r="3333" ht="15" customHeight="1">
      <c r="A3333" t="inlineStr">
        <is>
          <t>A 38395-2025</t>
        </is>
      </c>
      <c r="B3333" s="1" t="n">
        <v>45883.5769212963</v>
      </c>
      <c r="C3333" s="1" t="n">
        <v>46093</v>
      </c>
      <c r="D3333" t="inlineStr">
        <is>
          <t>VÄSTERNORRLANDS LÄN</t>
        </is>
      </c>
      <c r="E3333" t="inlineStr">
        <is>
          <t>ÖRNSKÖLDSVIK</t>
        </is>
      </c>
      <c r="F3333" t="inlineStr">
        <is>
          <t>Holmen skog AB</t>
        </is>
      </c>
      <c r="G3333" t="n">
        <v>3.5</v>
      </c>
      <c r="H3333" t="n">
        <v>0</v>
      </c>
      <c r="I3333" t="n">
        <v>0</v>
      </c>
      <c r="J3333" t="n">
        <v>0</v>
      </c>
      <c r="K3333" t="n">
        <v>0</v>
      </c>
      <c r="L3333" t="n">
        <v>0</v>
      </c>
      <c r="M3333" t="n">
        <v>0</v>
      </c>
      <c r="N3333" t="n">
        <v>0</v>
      </c>
      <c r="O3333" t="n">
        <v>0</v>
      </c>
      <c r="P3333" t="n">
        <v>0</v>
      </c>
      <c r="Q3333" t="n">
        <v>0</v>
      </c>
      <c r="R3333" s="2" t="inlineStr"/>
    </row>
    <row r="3334" ht="15" customHeight="1">
      <c r="A3334" t="inlineStr">
        <is>
          <t>A 41147-2023</t>
        </is>
      </c>
      <c r="B3334" s="1" t="n">
        <v>45173</v>
      </c>
      <c r="C3334" s="1" t="n">
        <v>46093</v>
      </c>
      <c r="D3334" t="inlineStr">
        <is>
          <t>VÄSTERNORRLANDS LÄN</t>
        </is>
      </c>
      <c r="E3334" t="inlineStr">
        <is>
          <t>HÄRNÖSAND</t>
        </is>
      </c>
      <c r="F3334" t="inlineStr">
        <is>
          <t>SCA</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53191-2024</t>
        </is>
      </c>
      <c r="B3335" s="1" t="n">
        <v>45611.75025462963</v>
      </c>
      <c r="C3335" s="1" t="n">
        <v>46093</v>
      </c>
      <c r="D3335" t="inlineStr">
        <is>
          <t>VÄSTERNORRLANDS LÄN</t>
        </is>
      </c>
      <c r="E3335" t="inlineStr">
        <is>
          <t>ÖRNSKÖLDSVIK</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2881-2025</t>
        </is>
      </c>
      <c r="B3336" s="1" t="n">
        <v>45677.69859953703</v>
      </c>
      <c r="C3336" s="1" t="n">
        <v>46093</v>
      </c>
      <c r="D3336" t="inlineStr">
        <is>
          <t>VÄSTERNORRLANDS LÄN</t>
        </is>
      </c>
      <c r="E3336" t="inlineStr">
        <is>
          <t>SUNDSVALL</t>
        </is>
      </c>
      <c r="F3336" t="inlineStr">
        <is>
          <t>SCA</t>
        </is>
      </c>
      <c r="G3336" t="n">
        <v>4.9</v>
      </c>
      <c r="H3336" t="n">
        <v>0</v>
      </c>
      <c r="I3336" t="n">
        <v>0</v>
      </c>
      <c r="J3336" t="n">
        <v>0</v>
      </c>
      <c r="K3336" t="n">
        <v>0</v>
      </c>
      <c r="L3336" t="n">
        <v>0</v>
      </c>
      <c r="M3336" t="n">
        <v>0</v>
      </c>
      <c r="N3336" t="n">
        <v>0</v>
      </c>
      <c r="O3336" t="n">
        <v>0</v>
      </c>
      <c r="P3336" t="n">
        <v>0</v>
      </c>
      <c r="Q3336" t="n">
        <v>0</v>
      </c>
      <c r="R3336" s="2" t="inlineStr"/>
    </row>
    <row r="3337" ht="15" customHeight="1">
      <c r="A3337" t="inlineStr">
        <is>
          <t>A 58179-2021</t>
        </is>
      </c>
      <c r="B3337" s="1" t="n">
        <v>44487</v>
      </c>
      <c r="C3337" s="1" t="n">
        <v>46093</v>
      </c>
      <c r="D3337" t="inlineStr">
        <is>
          <t>VÄSTERNORRLANDS LÄN</t>
        </is>
      </c>
      <c r="E3337" t="inlineStr">
        <is>
          <t>SOLLEFTEÅ</t>
        </is>
      </c>
      <c r="G3337" t="n">
        <v>8.300000000000001</v>
      </c>
      <c r="H3337" t="n">
        <v>0</v>
      </c>
      <c r="I3337" t="n">
        <v>0</v>
      </c>
      <c r="J3337" t="n">
        <v>0</v>
      </c>
      <c r="K3337" t="n">
        <v>0</v>
      </c>
      <c r="L3337" t="n">
        <v>0</v>
      </c>
      <c r="M3337" t="n">
        <v>0</v>
      </c>
      <c r="N3337" t="n">
        <v>0</v>
      </c>
      <c r="O3337" t="n">
        <v>0</v>
      </c>
      <c r="P3337" t="n">
        <v>0</v>
      </c>
      <c r="Q3337" t="n">
        <v>0</v>
      </c>
      <c r="R3337" s="2" t="inlineStr"/>
    </row>
    <row r="3338" ht="15" customHeight="1">
      <c r="A3338" t="inlineStr">
        <is>
          <t>A 44631-2024</t>
        </is>
      </c>
      <c r="B3338" s="1" t="n">
        <v>45574.51434027778</v>
      </c>
      <c r="C3338" s="1" t="n">
        <v>46093</v>
      </c>
      <c r="D3338" t="inlineStr">
        <is>
          <t>VÄSTERNORRLANDS LÄN</t>
        </is>
      </c>
      <c r="E3338" t="inlineStr">
        <is>
          <t>ÖRNSKÖLDSVIK</t>
        </is>
      </c>
      <c r="F3338" t="inlineStr">
        <is>
          <t>SCA</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47652-2024</t>
        </is>
      </c>
      <c r="B3339" s="1" t="n">
        <v>45588</v>
      </c>
      <c r="C3339" s="1" t="n">
        <v>46093</v>
      </c>
      <c r="D3339" t="inlineStr">
        <is>
          <t>VÄSTERNORRLANDS LÄN</t>
        </is>
      </c>
      <c r="E3339" t="inlineStr">
        <is>
          <t>KRAMFORS</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47667-2024</t>
        </is>
      </c>
      <c r="B3340" s="1" t="n">
        <v>45588</v>
      </c>
      <c r="C3340" s="1" t="n">
        <v>46093</v>
      </c>
      <c r="D3340" t="inlineStr">
        <is>
          <t>VÄSTERNORRLANDS LÄN</t>
        </is>
      </c>
      <c r="E3340" t="inlineStr">
        <is>
          <t>KRAMFORS</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47673-2024</t>
        </is>
      </c>
      <c r="B3341" s="1" t="n">
        <v>45588</v>
      </c>
      <c r="C3341" s="1" t="n">
        <v>46093</v>
      </c>
      <c r="D3341" t="inlineStr">
        <is>
          <t>VÄSTERNORRLANDS LÄN</t>
        </is>
      </c>
      <c r="E3341" t="inlineStr">
        <is>
          <t>KRAMFORS</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1745-2025</t>
        </is>
      </c>
      <c r="B3342" s="1" t="n">
        <v>45671.40597222222</v>
      </c>
      <c r="C3342" s="1" t="n">
        <v>46093</v>
      </c>
      <c r="D3342" t="inlineStr">
        <is>
          <t>VÄSTERNORRLANDS LÄN</t>
        </is>
      </c>
      <c r="E3342" t="inlineStr">
        <is>
          <t>ÖRNSKÖLDSVIK</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3414-2025</t>
        </is>
      </c>
      <c r="B3343" s="1" t="n">
        <v>45680</v>
      </c>
      <c r="C3343" s="1" t="n">
        <v>46093</v>
      </c>
      <c r="D3343" t="inlineStr">
        <is>
          <t>VÄSTERNORRLANDS LÄN</t>
        </is>
      </c>
      <c r="E3343" t="inlineStr">
        <is>
          <t>SOLLEFTEÅ</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38891-2025</t>
        </is>
      </c>
      <c r="B3344" s="1" t="n">
        <v>45884</v>
      </c>
      <c r="C3344" s="1" t="n">
        <v>46093</v>
      </c>
      <c r="D3344" t="inlineStr">
        <is>
          <t>VÄSTERNORRLANDS LÄN</t>
        </is>
      </c>
      <c r="E3344" t="inlineStr">
        <is>
          <t>ÖRNSKÖLDSVIK</t>
        </is>
      </c>
      <c r="G3344" t="n">
        <v>3.8</v>
      </c>
      <c r="H3344" t="n">
        <v>0</v>
      </c>
      <c r="I3344" t="n">
        <v>0</v>
      </c>
      <c r="J3344" t="n">
        <v>0</v>
      </c>
      <c r="K3344" t="n">
        <v>0</v>
      </c>
      <c r="L3344" t="n">
        <v>0</v>
      </c>
      <c r="M3344" t="n">
        <v>0</v>
      </c>
      <c r="N3344" t="n">
        <v>0</v>
      </c>
      <c r="O3344" t="n">
        <v>0</v>
      </c>
      <c r="P3344" t="n">
        <v>0</v>
      </c>
      <c r="Q3344" t="n">
        <v>0</v>
      </c>
      <c r="R3344" s="2" t="inlineStr"/>
    </row>
    <row r="3345" ht="15" customHeight="1">
      <c r="A3345" t="inlineStr">
        <is>
          <t>A 29957-2023</t>
        </is>
      </c>
      <c r="B3345" s="1" t="n">
        <v>45107</v>
      </c>
      <c r="C3345" s="1" t="n">
        <v>46093</v>
      </c>
      <c r="D3345" t="inlineStr">
        <is>
          <t>VÄSTERNORRLANDS LÄN</t>
        </is>
      </c>
      <c r="E3345" t="inlineStr">
        <is>
          <t>SOLLEFTEÅ</t>
        </is>
      </c>
      <c r="F3345" t="inlineStr">
        <is>
          <t>SCA</t>
        </is>
      </c>
      <c r="G3345" t="n">
        <v>3.5</v>
      </c>
      <c r="H3345" t="n">
        <v>0</v>
      </c>
      <c r="I3345" t="n">
        <v>0</v>
      </c>
      <c r="J3345" t="n">
        <v>0</v>
      </c>
      <c r="K3345" t="n">
        <v>0</v>
      </c>
      <c r="L3345" t="n">
        <v>0</v>
      </c>
      <c r="M3345" t="n">
        <v>0</v>
      </c>
      <c r="N3345" t="n">
        <v>0</v>
      </c>
      <c r="O3345" t="n">
        <v>0</v>
      </c>
      <c r="P3345" t="n">
        <v>0</v>
      </c>
      <c r="Q3345" t="n">
        <v>0</v>
      </c>
      <c r="R3345" s="2" t="inlineStr"/>
    </row>
    <row r="3346" ht="15" customHeight="1">
      <c r="A3346" t="inlineStr">
        <is>
          <t>A 13009-2023</t>
        </is>
      </c>
      <c r="B3346" s="1" t="n">
        <v>45002.03643518518</v>
      </c>
      <c r="C3346" s="1" t="n">
        <v>46093</v>
      </c>
      <c r="D3346" t="inlineStr">
        <is>
          <t>VÄSTERNORRLANDS LÄN</t>
        </is>
      </c>
      <c r="E3346" t="inlineStr">
        <is>
          <t>SOLLEFTEÅ</t>
        </is>
      </c>
      <c r="F3346" t="inlineStr">
        <is>
          <t>SCA</t>
        </is>
      </c>
      <c r="G3346" t="n">
        <v>7.9</v>
      </c>
      <c r="H3346" t="n">
        <v>0</v>
      </c>
      <c r="I3346" t="n">
        <v>0</v>
      </c>
      <c r="J3346" t="n">
        <v>0</v>
      </c>
      <c r="K3346" t="n">
        <v>0</v>
      </c>
      <c r="L3346" t="n">
        <v>0</v>
      </c>
      <c r="M3346" t="n">
        <v>0</v>
      </c>
      <c r="N3346" t="n">
        <v>0</v>
      </c>
      <c r="O3346" t="n">
        <v>0</v>
      </c>
      <c r="P3346" t="n">
        <v>0</v>
      </c>
      <c r="Q3346" t="n">
        <v>0</v>
      </c>
      <c r="R3346" s="2" t="inlineStr"/>
    </row>
    <row r="3347" ht="15" customHeight="1">
      <c r="A3347" t="inlineStr">
        <is>
          <t>A 18513-2025</t>
        </is>
      </c>
      <c r="B3347" s="1" t="n">
        <v>45763.38469907407</v>
      </c>
      <c r="C3347" s="1" t="n">
        <v>46093</v>
      </c>
      <c r="D3347" t="inlineStr">
        <is>
          <t>VÄSTERNORRLANDS LÄN</t>
        </is>
      </c>
      <c r="E3347" t="inlineStr">
        <is>
          <t>SUNDSVALL</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18563-2023</t>
        </is>
      </c>
      <c r="B3348" s="1" t="n">
        <v>45042</v>
      </c>
      <c r="C3348" s="1" t="n">
        <v>46093</v>
      </c>
      <c r="D3348" t="inlineStr">
        <is>
          <t>VÄSTERNORRLANDS LÄN</t>
        </is>
      </c>
      <c r="E3348" t="inlineStr">
        <is>
          <t>SUNDSVALL</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19549-2025</t>
        </is>
      </c>
      <c r="B3349" s="1" t="n">
        <v>45770.49424768519</v>
      </c>
      <c r="C3349" s="1" t="n">
        <v>46093</v>
      </c>
      <c r="D3349" t="inlineStr">
        <is>
          <t>VÄSTERNORRLANDS LÄN</t>
        </is>
      </c>
      <c r="E3349" t="inlineStr">
        <is>
          <t>ÖRNSKÖLDSVIK</t>
        </is>
      </c>
      <c r="F3349" t="inlineStr">
        <is>
          <t>Holmen skog AB</t>
        </is>
      </c>
      <c r="G3349" t="n">
        <v>18.7</v>
      </c>
      <c r="H3349" t="n">
        <v>0</v>
      </c>
      <c r="I3349" t="n">
        <v>0</v>
      </c>
      <c r="J3349" t="n">
        <v>0</v>
      </c>
      <c r="K3349" t="n">
        <v>0</v>
      </c>
      <c r="L3349" t="n">
        <v>0</v>
      </c>
      <c r="M3349" t="n">
        <v>0</v>
      </c>
      <c r="N3349" t="n">
        <v>0</v>
      </c>
      <c r="O3349" t="n">
        <v>0</v>
      </c>
      <c r="P3349" t="n">
        <v>0</v>
      </c>
      <c r="Q3349" t="n">
        <v>0</v>
      </c>
      <c r="R3349" s="2" t="inlineStr"/>
    </row>
    <row r="3350" ht="15" customHeight="1">
      <c r="A3350" t="inlineStr">
        <is>
          <t>A 54580-2024</t>
        </is>
      </c>
      <c r="B3350" s="1" t="n">
        <v>45617.65657407408</v>
      </c>
      <c r="C3350" s="1" t="n">
        <v>46093</v>
      </c>
      <c r="D3350" t="inlineStr">
        <is>
          <t>VÄSTERNORRLANDS LÄN</t>
        </is>
      </c>
      <c r="E3350" t="inlineStr">
        <is>
          <t>SUNDSVALL</t>
        </is>
      </c>
      <c r="F3350" t="inlineStr">
        <is>
          <t>SCA</t>
        </is>
      </c>
      <c r="G3350" t="n">
        <v>4.8</v>
      </c>
      <c r="H3350" t="n">
        <v>0</v>
      </c>
      <c r="I3350" t="n">
        <v>0</v>
      </c>
      <c r="J3350" t="n">
        <v>0</v>
      </c>
      <c r="K3350" t="n">
        <v>0</v>
      </c>
      <c r="L3350" t="n">
        <v>0</v>
      </c>
      <c r="M3350" t="n">
        <v>0</v>
      </c>
      <c r="N3350" t="n">
        <v>0</v>
      </c>
      <c r="O3350" t="n">
        <v>0</v>
      </c>
      <c r="P3350" t="n">
        <v>0</v>
      </c>
      <c r="Q3350" t="n">
        <v>0</v>
      </c>
      <c r="R3350" s="2" t="inlineStr"/>
    </row>
    <row r="3351" ht="15" customHeight="1">
      <c r="A3351" t="inlineStr">
        <is>
          <t>A 18862-2025</t>
        </is>
      </c>
      <c r="B3351" s="1" t="n">
        <v>45764.42755787037</v>
      </c>
      <c r="C3351" s="1" t="n">
        <v>46093</v>
      </c>
      <c r="D3351" t="inlineStr">
        <is>
          <t>VÄSTERNORRLANDS LÄN</t>
        </is>
      </c>
      <c r="E3351" t="inlineStr">
        <is>
          <t>HÄRNÖSAND</t>
        </is>
      </c>
      <c r="F3351" t="inlineStr">
        <is>
          <t>SCA</t>
        </is>
      </c>
      <c r="G3351" t="n">
        <v>3.2</v>
      </c>
      <c r="H3351" t="n">
        <v>0</v>
      </c>
      <c r="I3351" t="n">
        <v>0</v>
      </c>
      <c r="J3351" t="n">
        <v>0</v>
      </c>
      <c r="K3351" t="n">
        <v>0</v>
      </c>
      <c r="L3351" t="n">
        <v>0</v>
      </c>
      <c r="M3351" t="n">
        <v>0</v>
      </c>
      <c r="N3351" t="n">
        <v>0</v>
      </c>
      <c r="O3351" t="n">
        <v>0</v>
      </c>
      <c r="P3351" t="n">
        <v>0</v>
      </c>
      <c r="Q3351" t="n">
        <v>0</v>
      </c>
      <c r="R3351" s="2" t="inlineStr"/>
    </row>
    <row r="3352" ht="15" customHeight="1">
      <c r="A3352" t="inlineStr">
        <is>
          <t>A 38892-2025</t>
        </is>
      </c>
      <c r="B3352" s="1" t="n">
        <v>45884</v>
      </c>
      <c r="C3352" s="1" t="n">
        <v>46093</v>
      </c>
      <c r="D3352" t="inlineStr">
        <is>
          <t>VÄSTERNORRLANDS LÄN</t>
        </is>
      </c>
      <c r="E3352" t="inlineStr">
        <is>
          <t>ÖRNSKÖLDSVIK</t>
        </is>
      </c>
      <c r="G3352" t="n">
        <v>8.4</v>
      </c>
      <c r="H3352" t="n">
        <v>0</v>
      </c>
      <c r="I3352" t="n">
        <v>0</v>
      </c>
      <c r="J3352" t="n">
        <v>0</v>
      </c>
      <c r="K3352" t="n">
        <v>0</v>
      </c>
      <c r="L3352" t="n">
        <v>0</v>
      </c>
      <c r="M3352" t="n">
        <v>0</v>
      </c>
      <c r="N3352" t="n">
        <v>0</v>
      </c>
      <c r="O3352" t="n">
        <v>0</v>
      </c>
      <c r="P3352" t="n">
        <v>0</v>
      </c>
      <c r="Q3352" t="n">
        <v>0</v>
      </c>
      <c r="R3352" s="2" t="inlineStr"/>
    </row>
    <row r="3353" ht="15" customHeight="1">
      <c r="A3353" t="inlineStr">
        <is>
          <t>A 16220-2025</t>
        </is>
      </c>
      <c r="B3353" s="1" t="n">
        <v>45749</v>
      </c>
      <c r="C3353" s="1" t="n">
        <v>46093</v>
      </c>
      <c r="D3353" t="inlineStr">
        <is>
          <t>VÄSTERNORRLANDS LÄN</t>
        </is>
      </c>
      <c r="E3353" t="inlineStr">
        <is>
          <t>HÄRNÖSAND</t>
        </is>
      </c>
      <c r="G3353" t="n">
        <v>10.3</v>
      </c>
      <c r="H3353" t="n">
        <v>0</v>
      </c>
      <c r="I3353" t="n">
        <v>0</v>
      </c>
      <c r="J3353" t="n">
        <v>0</v>
      </c>
      <c r="K3353" t="n">
        <v>0</v>
      </c>
      <c r="L3353" t="n">
        <v>0</v>
      </c>
      <c r="M3353" t="n">
        <v>0</v>
      </c>
      <c r="N3353" t="n">
        <v>0</v>
      </c>
      <c r="O3353" t="n">
        <v>0</v>
      </c>
      <c r="P3353" t="n">
        <v>0</v>
      </c>
      <c r="Q3353" t="n">
        <v>0</v>
      </c>
      <c r="R3353" s="2" t="inlineStr"/>
    </row>
    <row r="3354" ht="15" customHeight="1">
      <c r="A3354" t="inlineStr">
        <is>
          <t>A 16053-2025</t>
        </is>
      </c>
      <c r="B3354" s="1" t="n">
        <v>45749</v>
      </c>
      <c r="C3354" s="1" t="n">
        <v>46093</v>
      </c>
      <c r="D3354" t="inlineStr">
        <is>
          <t>VÄSTERNORRLANDS LÄN</t>
        </is>
      </c>
      <c r="E3354" t="inlineStr">
        <is>
          <t>KRAMFORS</t>
        </is>
      </c>
      <c r="G3354" t="n">
        <v>5.8</v>
      </c>
      <c r="H3354" t="n">
        <v>0</v>
      </c>
      <c r="I3354" t="n">
        <v>0</v>
      </c>
      <c r="J3354" t="n">
        <v>0</v>
      </c>
      <c r="K3354" t="n">
        <v>0</v>
      </c>
      <c r="L3354" t="n">
        <v>0</v>
      </c>
      <c r="M3354" t="n">
        <v>0</v>
      </c>
      <c r="N3354" t="n">
        <v>0</v>
      </c>
      <c r="O3354" t="n">
        <v>0</v>
      </c>
      <c r="P3354" t="n">
        <v>0</v>
      </c>
      <c r="Q3354" t="n">
        <v>0</v>
      </c>
      <c r="R3354" s="2" t="inlineStr"/>
    </row>
    <row r="3355" ht="15" customHeight="1">
      <c r="A3355" t="inlineStr">
        <is>
          <t>A 50012-2024</t>
        </is>
      </c>
      <c r="B3355" s="1" t="n">
        <v>45598.8578125</v>
      </c>
      <c r="C3355" s="1" t="n">
        <v>46093</v>
      </c>
      <c r="D3355" t="inlineStr">
        <is>
          <t>VÄSTERNORRLANDS LÄN</t>
        </is>
      </c>
      <c r="E3355" t="inlineStr">
        <is>
          <t>SUNDSVALL</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23287-2023</t>
        </is>
      </c>
      <c r="B3356" s="1" t="n">
        <v>45075</v>
      </c>
      <c r="C3356" s="1" t="n">
        <v>46093</v>
      </c>
      <c r="D3356" t="inlineStr">
        <is>
          <t>VÄSTERNORRLANDS LÄN</t>
        </is>
      </c>
      <c r="E3356" t="inlineStr">
        <is>
          <t>SOLLEFTEÅ</t>
        </is>
      </c>
      <c r="G3356" t="n">
        <v>0.2</v>
      </c>
      <c r="H3356" t="n">
        <v>0</v>
      </c>
      <c r="I3356" t="n">
        <v>0</v>
      </c>
      <c r="J3356" t="n">
        <v>0</v>
      </c>
      <c r="K3356" t="n">
        <v>0</v>
      </c>
      <c r="L3356" t="n">
        <v>0</v>
      </c>
      <c r="M3356" t="n">
        <v>0</v>
      </c>
      <c r="N3356" t="n">
        <v>0</v>
      </c>
      <c r="O3356" t="n">
        <v>0</v>
      </c>
      <c r="P3356" t="n">
        <v>0</v>
      </c>
      <c r="Q3356" t="n">
        <v>0</v>
      </c>
      <c r="R3356" s="2" t="inlineStr"/>
    </row>
    <row r="3357" ht="15" customHeight="1">
      <c r="A3357" t="inlineStr">
        <is>
          <t>A 45357-2024</t>
        </is>
      </c>
      <c r="B3357" s="1" t="n">
        <v>45576.48070601852</v>
      </c>
      <c r="C3357" s="1" t="n">
        <v>46093</v>
      </c>
      <c r="D3357" t="inlineStr">
        <is>
          <t>VÄSTERNORRLANDS LÄN</t>
        </is>
      </c>
      <c r="E3357" t="inlineStr">
        <is>
          <t>SUNDSVALL</t>
        </is>
      </c>
      <c r="G3357" t="n">
        <v>18.2</v>
      </c>
      <c r="H3357" t="n">
        <v>0</v>
      </c>
      <c r="I3357" t="n">
        <v>0</v>
      </c>
      <c r="J3357" t="n">
        <v>0</v>
      </c>
      <c r="K3357" t="n">
        <v>0</v>
      </c>
      <c r="L3357" t="n">
        <v>0</v>
      </c>
      <c r="M3357" t="n">
        <v>0</v>
      </c>
      <c r="N3357" t="n">
        <v>0</v>
      </c>
      <c r="O3357" t="n">
        <v>0</v>
      </c>
      <c r="P3357" t="n">
        <v>0</v>
      </c>
      <c r="Q3357" t="n">
        <v>0</v>
      </c>
      <c r="R3357" s="2" t="inlineStr"/>
    </row>
    <row r="3358" ht="15" customHeight="1">
      <c r="A3358" t="inlineStr">
        <is>
          <t>A 9567-2024</t>
        </is>
      </c>
      <c r="B3358" s="1" t="n">
        <v>45360.03635416667</v>
      </c>
      <c r="C3358" s="1" t="n">
        <v>46093</v>
      </c>
      <c r="D3358" t="inlineStr">
        <is>
          <t>VÄSTERNORRLANDS LÄN</t>
        </is>
      </c>
      <c r="E3358" t="inlineStr">
        <is>
          <t>ÅNGE</t>
        </is>
      </c>
      <c r="F3358" t="inlineStr">
        <is>
          <t>SCA</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38507-2025</t>
        </is>
      </c>
      <c r="B3359" s="1" t="n">
        <v>45884.38591435185</v>
      </c>
      <c r="C3359" s="1" t="n">
        <v>46093</v>
      </c>
      <c r="D3359" t="inlineStr">
        <is>
          <t>VÄSTERNORRLANDS LÄN</t>
        </is>
      </c>
      <c r="E3359" t="inlineStr">
        <is>
          <t>SOLLEFTEÅ</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32733-2023</t>
        </is>
      </c>
      <c r="B3360" s="1" t="n">
        <v>45121</v>
      </c>
      <c r="C3360" s="1" t="n">
        <v>46093</v>
      </c>
      <c r="D3360" t="inlineStr">
        <is>
          <t>VÄSTERNORRLANDS LÄN</t>
        </is>
      </c>
      <c r="E3360" t="inlineStr">
        <is>
          <t>SOLLEFTEÅ</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36985-2024</t>
        </is>
      </c>
      <c r="B3361" s="1" t="n">
        <v>45539.3235300926</v>
      </c>
      <c r="C3361" s="1" t="n">
        <v>46093</v>
      </c>
      <c r="D3361" t="inlineStr">
        <is>
          <t>VÄSTERNORRLANDS LÄN</t>
        </is>
      </c>
      <c r="E3361" t="inlineStr">
        <is>
          <t>ÖRNSKÖLDSVIK</t>
        </is>
      </c>
      <c r="G3361" t="n">
        <v>3.3</v>
      </c>
      <c r="H3361" t="n">
        <v>0</v>
      </c>
      <c r="I3361" t="n">
        <v>0</v>
      </c>
      <c r="J3361" t="n">
        <v>0</v>
      </c>
      <c r="K3361" t="n">
        <v>0</v>
      </c>
      <c r="L3361" t="n">
        <v>0</v>
      </c>
      <c r="M3361" t="n">
        <v>0</v>
      </c>
      <c r="N3361" t="n">
        <v>0</v>
      </c>
      <c r="O3361" t="n">
        <v>0</v>
      </c>
      <c r="P3361" t="n">
        <v>0</v>
      </c>
      <c r="Q3361" t="n">
        <v>0</v>
      </c>
      <c r="R3361" s="2" t="inlineStr"/>
    </row>
    <row r="3362" ht="15" customHeight="1">
      <c r="A3362" t="inlineStr">
        <is>
          <t>A 4912-2023</t>
        </is>
      </c>
      <c r="B3362" s="1" t="n">
        <v>44956</v>
      </c>
      <c r="C3362" s="1" t="n">
        <v>46093</v>
      </c>
      <c r="D3362" t="inlineStr">
        <is>
          <t>VÄSTERNORRLANDS LÄN</t>
        </is>
      </c>
      <c r="E3362" t="inlineStr">
        <is>
          <t>SUNDSVALL</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38231-2024</t>
        </is>
      </c>
      <c r="B3363" s="1" t="n">
        <v>45545.55601851852</v>
      </c>
      <c r="C3363" s="1" t="n">
        <v>46093</v>
      </c>
      <c r="D3363" t="inlineStr">
        <is>
          <t>VÄSTERNORRLANDS LÄN</t>
        </is>
      </c>
      <c r="E3363" t="inlineStr">
        <is>
          <t>SOLLEFTEÅ</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56169-2021</t>
        </is>
      </c>
      <c r="B3364" s="1" t="n">
        <v>44477.68009259259</v>
      </c>
      <c r="C3364" s="1" t="n">
        <v>46093</v>
      </c>
      <c r="D3364" t="inlineStr">
        <is>
          <t>VÄSTERNORRLANDS LÄN</t>
        </is>
      </c>
      <c r="E3364" t="inlineStr">
        <is>
          <t>KRAMFORS</t>
        </is>
      </c>
      <c r="G3364" t="n">
        <v>4.5</v>
      </c>
      <c r="H3364" t="n">
        <v>0</v>
      </c>
      <c r="I3364" t="n">
        <v>0</v>
      </c>
      <c r="J3364" t="n">
        <v>0</v>
      </c>
      <c r="K3364" t="n">
        <v>0</v>
      </c>
      <c r="L3364" t="n">
        <v>0</v>
      </c>
      <c r="M3364" t="n">
        <v>0</v>
      </c>
      <c r="N3364" t="n">
        <v>0</v>
      </c>
      <c r="O3364" t="n">
        <v>0</v>
      </c>
      <c r="P3364" t="n">
        <v>0</v>
      </c>
      <c r="Q3364" t="n">
        <v>0</v>
      </c>
      <c r="R3364" s="2" t="inlineStr"/>
    </row>
    <row r="3365" ht="15" customHeight="1">
      <c r="A3365" t="inlineStr">
        <is>
          <t>A 57395-2023</t>
        </is>
      </c>
      <c r="B3365" s="1" t="n">
        <v>45245.9678125</v>
      </c>
      <c r="C3365" s="1" t="n">
        <v>46093</v>
      </c>
      <c r="D3365" t="inlineStr">
        <is>
          <t>VÄSTERNORRLANDS LÄN</t>
        </is>
      </c>
      <c r="E3365" t="inlineStr">
        <is>
          <t>SOLLEFTEÅ</t>
        </is>
      </c>
      <c r="F3365" t="inlineStr">
        <is>
          <t>SCA</t>
        </is>
      </c>
      <c r="G3365" t="n">
        <v>5.7</v>
      </c>
      <c r="H3365" t="n">
        <v>0</v>
      </c>
      <c r="I3365" t="n">
        <v>0</v>
      </c>
      <c r="J3365" t="n">
        <v>0</v>
      </c>
      <c r="K3365" t="n">
        <v>0</v>
      </c>
      <c r="L3365" t="n">
        <v>0</v>
      </c>
      <c r="M3365" t="n">
        <v>0</v>
      </c>
      <c r="N3365" t="n">
        <v>0</v>
      </c>
      <c r="O3365" t="n">
        <v>0</v>
      </c>
      <c r="P3365" t="n">
        <v>0</v>
      </c>
      <c r="Q3365" t="n">
        <v>0</v>
      </c>
      <c r="R3365" s="2" t="inlineStr"/>
    </row>
    <row r="3366" ht="15" customHeight="1">
      <c r="A3366" t="inlineStr">
        <is>
          <t>A 34375-2025</t>
        </is>
      </c>
      <c r="B3366" s="1" t="n">
        <v>45846</v>
      </c>
      <c r="C3366" s="1" t="n">
        <v>46093</v>
      </c>
      <c r="D3366" t="inlineStr">
        <is>
          <t>VÄSTERNORRLANDS LÄN</t>
        </is>
      </c>
      <c r="E3366" t="inlineStr">
        <is>
          <t>SUNDSVALL</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6833-2024</t>
        </is>
      </c>
      <c r="B3367" s="1" t="n">
        <v>45342</v>
      </c>
      <c r="C3367" s="1" t="n">
        <v>46093</v>
      </c>
      <c r="D3367" t="inlineStr">
        <is>
          <t>VÄSTERNORRLANDS LÄN</t>
        </is>
      </c>
      <c r="E3367" t="inlineStr">
        <is>
          <t>HÄRNÖSAND</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38681-2025</t>
        </is>
      </c>
      <c r="B3368" s="1" t="n">
        <v>45884.64847222222</v>
      </c>
      <c r="C3368" s="1" t="n">
        <v>46093</v>
      </c>
      <c r="D3368" t="inlineStr">
        <is>
          <t>VÄSTERNORRLANDS LÄN</t>
        </is>
      </c>
      <c r="E3368" t="inlineStr">
        <is>
          <t>ÖRNSKÖLDSVIK</t>
        </is>
      </c>
      <c r="G3368" t="n">
        <v>12.8</v>
      </c>
      <c r="H3368" t="n">
        <v>0</v>
      </c>
      <c r="I3368" t="n">
        <v>0</v>
      </c>
      <c r="J3368" t="n">
        <v>0</v>
      </c>
      <c r="K3368" t="n">
        <v>0</v>
      </c>
      <c r="L3368" t="n">
        <v>0</v>
      </c>
      <c r="M3368" t="n">
        <v>0</v>
      </c>
      <c r="N3368" t="n">
        <v>0</v>
      </c>
      <c r="O3368" t="n">
        <v>0</v>
      </c>
      <c r="P3368" t="n">
        <v>0</v>
      </c>
      <c r="Q3368" t="n">
        <v>0</v>
      </c>
      <c r="R3368" s="2" t="inlineStr"/>
    </row>
    <row r="3369" ht="15" customHeight="1">
      <c r="A3369" t="inlineStr">
        <is>
          <t>A 29629-2023</t>
        </is>
      </c>
      <c r="B3369" s="1" t="n">
        <v>45106.94587962963</v>
      </c>
      <c r="C3369" s="1" t="n">
        <v>46093</v>
      </c>
      <c r="D3369" t="inlineStr">
        <is>
          <t>VÄSTERNORRLANDS LÄN</t>
        </is>
      </c>
      <c r="E3369" t="inlineStr">
        <is>
          <t>SUNDSVALL</t>
        </is>
      </c>
      <c r="F3369" t="inlineStr">
        <is>
          <t>SCA</t>
        </is>
      </c>
      <c r="G3369" t="n">
        <v>5.1</v>
      </c>
      <c r="H3369" t="n">
        <v>0</v>
      </c>
      <c r="I3369" t="n">
        <v>0</v>
      </c>
      <c r="J3369" t="n">
        <v>0</v>
      </c>
      <c r="K3369" t="n">
        <v>0</v>
      </c>
      <c r="L3369" t="n">
        <v>0</v>
      </c>
      <c r="M3369" t="n">
        <v>0</v>
      </c>
      <c r="N3369" t="n">
        <v>0</v>
      </c>
      <c r="O3369" t="n">
        <v>0</v>
      </c>
      <c r="P3369" t="n">
        <v>0</v>
      </c>
      <c r="Q3369" t="n">
        <v>0</v>
      </c>
      <c r="R3369" s="2" t="inlineStr"/>
    </row>
    <row r="3370" ht="15" customHeight="1">
      <c r="A3370" t="inlineStr">
        <is>
          <t>A 60970-2021</t>
        </is>
      </c>
      <c r="B3370" s="1" t="n">
        <v>44496</v>
      </c>
      <c r="C3370" s="1" t="n">
        <v>46093</v>
      </c>
      <c r="D3370" t="inlineStr">
        <is>
          <t>VÄSTERNORRLANDS LÄN</t>
        </is>
      </c>
      <c r="E3370" t="inlineStr">
        <is>
          <t>HÄRNÖSAND</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25210-2023</t>
        </is>
      </c>
      <c r="B3371" s="1" t="n">
        <v>45079</v>
      </c>
      <c r="C3371" s="1" t="n">
        <v>46093</v>
      </c>
      <c r="D3371" t="inlineStr">
        <is>
          <t>VÄSTERNORRLANDS LÄN</t>
        </is>
      </c>
      <c r="E3371" t="inlineStr">
        <is>
          <t>ÖRNSKÖLDSVIK</t>
        </is>
      </c>
      <c r="G3371" t="n">
        <v>5.1</v>
      </c>
      <c r="H3371" t="n">
        <v>0</v>
      </c>
      <c r="I3371" t="n">
        <v>0</v>
      </c>
      <c r="J3371" t="n">
        <v>0</v>
      </c>
      <c r="K3371" t="n">
        <v>0</v>
      </c>
      <c r="L3371" t="n">
        <v>0</v>
      </c>
      <c r="M3371" t="n">
        <v>0</v>
      </c>
      <c r="N3371" t="n">
        <v>0</v>
      </c>
      <c r="O3371" t="n">
        <v>0</v>
      </c>
      <c r="P3371" t="n">
        <v>0</v>
      </c>
      <c r="Q3371" t="n">
        <v>0</v>
      </c>
      <c r="R3371" s="2" t="inlineStr"/>
    </row>
    <row r="3372" ht="15" customHeight="1">
      <c r="A3372" t="inlineStr">
        <is>
          <t>A 2073-2022</t>
        </is>
      </c>
      <c r="B3372" s="1" t="n">
        <v>44575.92912037037</v>
      </c>
      <c r="C3372" s="1" t="n">
        <v>46093</v>
      </c>
      <c r="D3372" t="inlineStr">
        <is>
          <t>VÄSTERNORRLANDS LÄN</t>
        </is>
      </c>
      <c r="E3372" t="inlineStr">
        <is>
          <t>TIMRÅ</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25599-2023</t>
        </is>
      </c>
      <c r="B3373" s="1" t="n">
        <v>45089</v>
      </c>
      <c r="C3373" s="1" t="n">
        <v>46093</v>
      </c>
      <c r="D3373" t="inlineStr">
        <is>
          <t>VÄSTERNORRLANDS LÄN</t>
        </is>
      </c>
      <c r="E3373" t="inlineStr">
        <is>
          <t>KRAMFORS</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58453-2023</t>
        </is>
      </c>
      <c r="B3374" s="1" t="n">
        <v>45250.93866898148</v>
      </c>
      <c r="C3374" s="1" t="n">
        <v>46093</v>
      </c>
      <c r="D3374" t="inlineStr">
        <is>
          <t>VÄSTERNORRLANDS LÄN</t>
        </is>
      </c>
      <c r="E3374" t="inlineStr">
        <is>
          <t>SUNDSVALL</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23049-2024</t>
        </is>
      </c>
      <c r="B3375" s="1" t="n">
        <v>45450</v>
      </c>
      <c r="C3375" s="1" t="n">
        <v>46093</v>
      </c>
      <c r="D3375" t="inlineStr">
        <is>
          <t>VÄSTERNORRLANDS LÄN</t>
        </is>
      </c>
      <c r="E3375" t="inlineStr">
        <is>
          <t>TIMRÅ</t>
        </is>
      </c>
      <c r="G3375" t="n">
        <v>8.4</v>
      </c>
      <c r="H3375" t="n">
        <v>0</v>
      </c>
      <c r="I3375" t="n">
        <v>0</v>
      </c>
      <c r="J3375" t="n">
        <v>0</v>
      </c>
      <c r="K3375" t="n">
        <v>0</v>
      </c>
      <c r="L3375" t="n">
        <v>0</v>
      </c>
      <c r="M3375" t="n">
        <v>0</v>
      </c>
      <c r="N3375" t="n">
        <v>0</v>
      </c>
      <c r="O3375" t="n">
        <v>0</v>
      </c>
      <c r="P3375" t="n">
        <v>0</v>
      </c>
      <c r="Q3375" t="n">
        <v>0</v>
      </c>
      <c r="R3375" s="2" t="inlineStr"/>
    </row>
    <row r="3376" ht="15" customHeight="1">
      <c r="A3376" t="inlineStr">
        <is>
          <t>A 38286-2024</t>
        </is>
      </c>
      <c r="B3376" s="1" t="n">
        <v>45545.61614583333</v>
      </c>
      <c r="C3376" s="1" t="n">
        <v>46093</v>
      </c>
      <c r="D3376" t="inlineStr">
        <is>
          <t>VÄSTERNORRLANDS LÄN</t>
        </is>
      </c>
      <c r="E3376" t="inlineStr">
        <is>
          <t>TIMRÅ</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51311-2022</t>
        </is>
      </c>
      <c r="B3377" s="1" t="n">
        <v>44868</v>
      </c>
      <c r="C3377" s="1" t="n">
        <v>46093</v>
      </c>
      <c r="D3377" t="inlineStr">
        <is>
          <t>VÄSTERNORRLANDS LÄN</t>
        </is>
      </c>
      <c r="E3377" t="inlineStr">
        <is>
          <t>ÅNGE</t>
        </is>
      </c>
      <c r="F3377" t="inlineStr">
        <is>
          <t>SCA</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24739-2024</t>
        </is>
      </c>
      <c r="B3378" s="1" t="n">
        <v>45460</v>
      </c>
      <c r="C3378" s="1" t="n">
        <v>46093</v>
      </c>
      <c r="D3378" t="inlineStr">
        <is>
          <t>VÄSTERNORRLANDS LÄN</t>
        </is>
      </c>
      <c r="E3378" t="inlineStr">
        <is>
          <t>TIMRÅ</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48609-2024</t>
        </is>
      </c>
      <c r="B3379" s="1" t="n">
        <v>45593.45111111111</v>
      </c>
      <c r="C3379" s="1" t="n">
        <v>46093</v>
      </c>
      <c r="D3379" t="inlineStr">
        <is>
          <t>VÄSTERNORRLANDS LÄN</t>
        </is>
      </c>
      <c r="E3379" t="inlineStr">
        <is>
          <t>ÖRNSKÖLDSVIK</t>
        </is>
      </c>
      <c r="F3379" t="inlineStr">
        <is>
          <t>Holmen skog AB</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33428-2023</t>
        </is>
      </c>
      <c r="B3380" s="1" t="n">
        <v>45128.94976851852</v>
      </c>
      <c r="C3380" s="1" t="n">
        <v>46093</v>
      </c>
      <c r="D3380" t="inlineStr">
        <is>
          <t>VÄSTERNORRLANDS LÄN</t>
        </is>
      </c>
      <c r="E3380" t="inlineStr">
        <is>
          <t>ÅNGE</t>
        </is>
      </c>
      <c r="F3380" t="inlineStr">
        <is>
          <t>SCA</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40519-2021</t>
        </is>
      </c>
      <c r="B3381" s="1" t="n">
        <v>44420</v>
      </c>
      <c r="C3381" s="1" t="n">
        <v>46093</v>
      </c>
      <c r="D3381" t="inlineStr">
        <is>
          <t>VÄSTERNORRLANDS LÄN</t>
        </is>
      </c>
      <c r="E3381" t="inlineStr">
        <is>
          <t>TIMRÅ</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38306-2025</t>
        </is>
      </c>
      <c r="B3382" s="1" t="n">
        <v>45883.46928240741</v>
      </c>
      <c r="C3382" s="1" t="n">
        <v>46093</v>
      </c>
      <c r="D3382" t="inlineStr">
        <is>
          <t>VÄSTERNORRLANDS LÄN</t>
        </is>
      </c>
      <c r="E3382" t="inlineStr">
        <is>
          <t>TIMRÅ</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39693-2023</t>
        </is>
      </c>
      <c r="B3383" s="1" t="n">
        <v>45166</v>
      </c>
      <c r="C3383" s="1" t="n">
        <v>46093</v>
      </c>
      <c r="D3383" t="inlineStr">
        <is>
          <t>VÄSTERNORRLANDS LÄN</t>
        </is>
      </c>
      <c r="E3383" t="inlineStr">
        <is>
          <t>TIMRÅ</t>
        </is>
      </c>
      <c r="G3383" t="n">
        <v>5.8</v>
      </c>
      <c r="H3383" t="n">
        <v>0</v>
      </c>
      <c r="I3383" t="n">
        <v>0</v>
      </c>
      <c r="J3383" t="n">
        <v>0</v>
      </c>
      <c r="K3383" t="n">
        <v>0</v>
      </c>
      <c r="L3383" t="n">
        <v>0</v>
      </c>
      <c r="M3383" t="n">
        <v>0</v>
      </c>
      <c r="N3383" t="n">
        <v>0</v>
      </c>
      <c r="O3383" t="n">
        <v>0</v>
      </c>
      <c r="P3383" t="n">
        <v>0</v>
      </c>
      <c r="Q3383" t="n">
        <v>0</v>
      </c>
      <c r="R3383" s="2" t="inlineStr"/>
    </row>
    <row r="3384" ht="15" customHeight="1">
      <c r="A3384" t="inlineStr">
        <is>
          <t>A 28338-2024</t>
        </is>
      </c>
      <c r="B3384" s="1" t="n">
        <v>45477</v>
      </c>
      <c r="C3384" s="1" t="n">
        <v>46093</v>
      </c>
      <c r="D3384" t="inlineStr">
        <is>
          <t>VÄSTERNORRLANDS LÄN</t>
        </is>
      </c>
      <c r="E3384" t="inlineStr">
        <is>
          <t>ÖRNSKÖLDSVIK</t>
        </is>
      </c>
      <c r="G3384" t="n">
        <v>4.3</v>
      </c>
      <c r="H3384" t="n">
        <v>0</v>
      </c>
      <c r="I3384" t="n">
        <v>0</v>
      </c>
      <c r="J3384" t="n">
        <v>0</v>
      </c>
      <c r="K3384" t="n">
        <v>0</v>
      </c>
      <c r="L3384" t="n">
        <v>0</v>
      </c>
      <c r="M3384" t="n">
        <v>0</v>
      </c>
      <c r="N3384" t="n">
        <v>0</v>
      </c>
      <c r="O3384" t="n">
        <v>0</v>
      </c>
      <c r="P3384" t="n">
        <v>0</v>
      </c>
      <c r="Q3384" t="n">
        <v>0</v>
      </c>
      <c r="R3384" s="2" t="inlineStr"/>
    </row>
    <row r="3385" ht="15" customHeight="1">
      <c r="A3385" t="inlineStr">
        <is>
          <t>A 49222-2024</t>
        </is>
      </c>
      <c r="B3385" s="1" t="n">
        <v>45595</v>
      </c>
      <c r="C3385" s="1" t="n">
        <v>46093</v>
      </c>
      <c r="D3385" t="inlineStr">
        <is>
          <t>VÄSTERNORRLANDS LÄN</t>
        </is>
      </c>
      <c r="E3385" t="inlineStr">
        <is>
          <t>ÖRNSKÖLDSVIK</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17112-2023</t>
        </is>
      </c>
      <c r="B3386" s="1" t="n">
        <v>45034</v>
      </c>
      <c r="C3386" s="1" t="n">
        <v>46093</v>
      </c>
      <c r="D3386" t="inlineStr">
        <is>
          <t>VÄSTERNORRLANDS LÄN</t>
        </is>
      </c>
      <c r="E3386" t="inlineStr">
        <is>
          <t>KRAMFORS</t>
        </is>
      </c>
      <c r="G3386" t="n">
        <v>4.5</v>
      </c>
      <c r="H3386" t="n">
        <v>0</v>
      </c>
      <c r="I3386" t="n">
        <v>0</v>
      </c>
      <c r="J3386" t="n">
        <v>0</v>
      </c>
      <c r="K3386" t="n">
        <v>0</v>
      </c>
      <c r="L3386" t="n">
        <v>0</v>
      </c>
      <c r="M3386" t="n">
        <v>0</v>
      </c>
      <c r="N3386" t="n">
        <v>0</v>
      </c>
      <c r="O3386" t="n">
        <v>0</v>
      </c>
      <c r="P3386" t="n">
        <v>0</v>
      </c>
      <c r="Q3386" t="n">
        <v>0</v>
      </c>
      <c r="R3386" s="2" t="inlineStr"/>
    </row>
    <row r="3387" ht="15" customHeight="1">
      <c r="A3387" t="inlineStr">
        <is>
          <t>A 25329-2024</t>
        </is>
      </c>
      <c r="B3387" s="1" t="n">
        <v>45462</v>
      </c>
      <c r="C3387" s="1" t="n">
        <v>46093</v>
      </c>
      <c r="D3387" t="inlineStr">
        <is>
          <t>VÄSTERNORRLANDS LÄN</t>
        </is>
      </c>
      <c r="E3387" t="inlineStr">
        <is>
          <t>ÖRNSKÖLDSVIK</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4360-2023</t>
        </is>
      </c>
      <c r="B3388" s="1" t="n">
        <v>44954.72591435185</v>
      </c>
      <c r="C3388" s="1" t="n">
        <v>46093</v>
      </c>
      <c r="D3388" t="inlineStr">
        <is>
          <t>VÄSTERNORRLANDS LÄN</t>
        </is>
      </c>
      <c r="E3388" t="inlineStr">
        <is>
          <t>ÖRNSKÖLDSVIK</t>
        </is>
      </c>
      <c r="G3388" t="n">
        <v>4.4</v>
      </c>
      <c r="H3388" t="n">
        <v>0</v>
      </c>
      <c r="I3388" t="n">
        <v>0</v>
      </c>
      <c r="J3388" t="n">
        <v>0</v>
      </c>
      <c r="K3388" t="n">
        <v>0</v>
      </c>
      <c r="L3388" t="n">
        <v>0</v>
      </c>
      <c r="M3388" t="n">
        <v>0</v>
      </c>
      <c r="N3388" t="n">
        <v>0</v>
      </c>
      <c r="O3388" t="n">
        <v>0</v>
      </c>
      <c r="P3388" t="n">
        <v>0</v>
      </c>
      <c r="Q3388" t="n">
        <v>0</v>
      </c>
      <c r="R3388" s="2" t="inlineStr"/>
    </row>
    <row r="3389" ht="15" customHeight="1">
      <c r="A3389" t="inlineStr">
        <is>
          <t>A 61384-2022</t>
        </is>
      </c>
      <c r="B3389" s="1" t="n">
        <v>44915</v>
      </c>
      <c r="C3389" s="1" t="n">
        <v>46093</v>
      </c>
      <c r="D3389" t="inlineStr">
        <is>
          <t>VÄSTERNORRLANDS LÄN</t>
        </is>
      </c>
      <c r="E3389" t="inlineStr">
        <is>
          <t>SOLLEFTEÅ</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56492-2022</t>
        </is>
      </c>
      <c r="B3390" s="1" t="n">
        <v>44893</v>
      </c>
      <c r="C3390" s="1" t="n">
        <v>46093</v>
      </c>
      <c r="D3390" t="inlineStr">
        <is>
          <t>VÄSTERNORRLANDS LÄN</t>
        </is>
      </c>
      <c r="E3390" t="inlineStr">
        <is>
          <t>ÖRNSKÖLDSVIK</t>
        </is>
      </c>
      <c r="F3390" t="inlineStr">
        <is>
          <t>Holmen skog AB</t>
        </is>
      </c>
      <c r="G3390" t="n">
        <v>8.300000000000001</v>
      </c>
      <c r="H3390" t="n">
        <v>0</v>
      </c>
      <c r="I3390" t="n">
        <v>0</v>
      </c>
      <c r="J3390" t="n">
        <v>0</v>
      </c>
      <c r="K3390" t="n">
        <v>0</v>
      </c>
      <c r="L3390" t="n">
        <v>0</v>
      </c>
      <c r="M3390" t="n">
        <v>0</v>
      </c>
      <c r="N3390" t="n">
        <v>0</v>
      </c>
      <c r="O3390" t="n">
        <v>0</v>
      </c>
      <c r="P3390" t="n">
        <v>0</v>
      </c>
      <c r="Q3390" t="n">
        <v>0</v>
      </c>
      <c r="R3390" s="2" t="inlineStr"/>
      <c r="U3390">
        <f>HYPERLINK("https://klasma.github.io/Logging_2284/knärot/A 56492-2022 karta knärot.png", "A 56492-2022")</f>
        <v/>
      </c>
      <c r="V3390">
        <f>HYPERLINK("https://klasma.github.io/Logging_2284/klagomål/A 56492-2022 FSC-klagomål.docx", "A 56492-2022")</f>
        <v/>
      </c>
      <c r="W3390">
        <f>HYPERLINK("https://klasma.github.io/Logging_2284/klagomålsmail/A 56492-2022 FSC-klagomål mail.docx", "A 56492-2022")</f>
        <v/>
      </c>
      <c r="X3390">
        <f>HYPERLINK("https://klasma.github.io/Logging_2284/tillsyn/A 56492-2022 tillsynsbegäran.docx", "A 56492-2022")</f>
        <v/>
      </c>
      <c r="Y3390">
        <f>HYPERLINK("https://klasma.github.io/Logging_2284/tillsynsmail/A 56492-2022 tillsynsbegäran mail.docx", "A 56492-2022")</f>
        <v/>
      </c>
    </row>
    <row r="3391" ht="15" customHeight="1">
      <c r="A3391" t="inlineStr">
        <is>
          <t>A 60328-2023</t>
        </is>
      </c>
      <c r="B3391" s="1" t="n">
        <v>45258</v>
      </c>
      <c r="C3391" s="1" t="n">
        <v>46093</v>
      </c>
      <c r="D3391" t="inlineStr">
        <is>
          <t>VÄSTERNORRLANDS LÄN</t>
        </is>
      </c>
      <c r="E3391" t="inlineStr">
        <is>
          <t>SOLLEFTEÅ</t>
        </is>
      </c>
      <c r="F3391" t="inlineStr">
        <is>
          <t>SCA</t>
        </is>
      </c>
      <c r="G3391" t="n">
        <v>5.3</v>
      </c>
      <c r="H3391" t="n">
        <v>0</v>
      </c>
      <c r="I3391" t="n">
        <v>0</v>
      </c>
      <c r="J3391" t="n">
        <v>0</v>
      </c>
      <c r="K3391" t="n">
        <v>0</v>
      </c>
      <c r="L3391" t="n">
        <v>0</v>
      </c>
      <c r="M3391" t="n">
        <v>0</v>
      </c>
      <c r="N3391" t="n">
        <v>0</v>
      </c>
      <c r="O3391" t="n">
        <v>0</v>
      </c>
      <c r="P3391" t="n">
        <v>0</v>
      </c>
      <c r="Q3391" t="n">
        <v>0</v>
      </c>
      <c r="R3391" s="2" t="inlineStr"/>
    </row>
    <row r="3392" ht="15" customHeight="1">
      <c r="A3392" t="inlineStr">
        <is>
          <t>A 44357-2022</t>
        </is>
      </c>
      <c r="B3392" s="1" t="n">
        <v>44839</v>
      </c>
      <c r="C3392" s="1" t="n">
        <v>46093</v>
      </c>
      <c r="D3392" t="inlineStr">
        <is>
          <t>VÄSTERNORRLANDS LÄN</t>
        </is>
      </c>
      <c r="E3392" t="inlineStr">
        <is>
          <t>ÖRNSKÖLDSVIK</t>
        </is>
      </c>
      <c r="F3392" t="inlineStr">
        <is>
          <t>Holmen skog AB</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18623-2024</t>
        </is>
      </c>
      <c r="B3393" s="1" t="n">
        <v>45425.96378472223</v>
      </c>
      <c r="C3393" s="1" t="n">
        <v>46093</v>
      </c>
      <c r="D3393" t="inlineStr">
        <is>
          <t>VÄSTERNORRLANDS LÄN</t>
        </is>
      </c>
      <c r="E3393" t="inlineStr">
        <is>
          <t>SOLLEFTEÅ</t>
        </is>
      </c>
      <c r="F3393" t="inlineStr">
        <is>
          <t>SCA</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50651-2022</t>
        </is>
      </c>
      <c r="B3394" s="1" t="n">
        <v>44866</v>
      </c>
      <c r="C3394" s="1" t="n">
        <v>46093</v>
      </c>
      <c r="D3394" t="inlineStr">
        <is>
          <t>VÄSTERNORRLANDS LÄN</t>
        </is>
      </c>
      <c r="E3394" t="inlineStr">
        <is>
          <t>SUNDSVALL</t>
        </is>
      </c>
      <c r="F3394" t="inlineStr">
        <is>
          <t>SCA</t>
        </is>
      </c>
      <c r="G3394" t="n">
        <v>4.7</v>
      </c>
      <c r="H3394" t="n">
        <v>0</v>
      </c>
      <c r="I3394" t="n">
        <v>0</v>
      </c>
      <c r="J3394" t="n">
        <v>0</v>
      </c>
      <c r="K3394" t="n">
        <v>0</v>
      </c>
      <c r="L3394" t="n">
        <v>0</v>
      </c>
      <c r="M3394" t="n">
        <v>0</v>
      </c>
      <c r="N3394" t="n">
        <v>0</v>
      </c>
      <c r="O3394" t="n">
        <v>0</v>
      </c>
      <c r="P3394" t="n">
        <v>0</v>
      </c>
      <c r="Q3394" t="n">
        <v>0</v>
      </c>
      <c r="R3394" s="2" t="inlineStr"/>
    </row>
    <row r="3395" ht="15" customHeight="1">
      <c r="A3395" t="inlineStr">
        <is>
          <t>A 9124-2022</t>
        </is>
      </c>
      <c r="B3395" s="1" t="n">
        <v>44615.58287037037</v>
      </c>
      <c r="C3395" s="1" t="n">
        <v>46093</v>
      </c>
      <c r="D3395" t="inlineStr">
        <is>
          <t>VÄSTERNORRLANDS LÄN</t>
        </is>
      </c>
      <c r="E3395" t="inlineStr">
        <is>
          <t>SOLLEFTEÅ</t>
        </is>
      </c>
      <c r="G3395" t="n">
        <v>20.2</v>
      </c>
      <c r="H3395" t="n">
        <v>0</v>
      </c>
      <c r="I3395" t="n">
        <v>0</v>
      </c>
      <c r="J3395" t="n">
        <v>0</v>
      </c>
      <c r="K3395" t="n">
        <v>0</v>
      </c>
      <c r="L3395" t="n">
        <v>0</v>
      </c>
      <c r="M3395" t="n">
        <v>0</v>
      </c>
      <c r="N3395" t="n">
        <v>0</v>
      </c>
      <c r="O3395" t="n">
        <v>0</v>
      </c>
      <c r="P3395" t="n">
        <v>0</v>
      </c>
      <c r="Q3395" t="n">
        <v>0</v>
      </c>
      <c r="R3395" s="2" t="inlineStr"/>
    </row>
    <row r="3396" ht="15" customHeight="1">
      <c r="A3396" t="inlineStr">
        <is>
          <t>A 2966-2023</t>
        </is>
      </c>
      <c r="B3396" s="1" t="n">
        <v>44944</v>
      </c>
      <c r="C3396" s="1" t="n">
        <v>46093</v>
      </c>
      <c r="D3396" t="inlineStr">
        <is>
          <t>VÄSTERNORRLANDS LÄN</t>
        </is>
      </c>
      <c r="E3396" t="inlineStr">
        <is>
          <t>ÖRNSKÖLDSVIK</t>
        </is>
      </c>
      <c r="G3396" t="n">
        <v>21.3</v>
      </c>
      <c r="H3396" t="n">
        <v>0</v>
      </c>
      <c r="I3396" t="n">
        <v>0</v>
      </c>
      <c r="J3396" t="n">
        <v>0</v>
      </c>
      <c r="K3396" t="n">
        <v>0</v>
      </c>
      <c r="L3396" t="n">
        <v>0</v>
      </c>
      <c r="M3396" t="n">
        <v>0</v>
      </c>
      <c r="N3396" t="n">
        <v>0</v>
      </c>
      <c r="O3396" t="n">
        <v>0</v>
      </c>
      <c r="P3396" t="n">
        <v>0</v>
      </c>
      <c r="Q3396" t="n">
        <v>0</v>
      </c>
      <c r="R3396" s="2" t="inlineStr"/>
    </row>
    <row r="3397" ht="15" customHeight="1">
      <c r="A3397" t="inlineStr">
        <is>
          <t>A 31508-2025</t>
        </is>
      </c>
      <c r="B3397" s="1" t="n">
        <v>45833</v>
      </c>
      <c r="C3397" s="1" t="n">
        <v>46093</v>
      </c>
      <c r="D3397" t="inlineStr">
        <is>
          <t>VÄSTERNORRLANDS LÄN</t>
        </is>
      </c>
      <c r="E3397" t="inlineStr">
        <is>
          <t>TIMRÅ</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35120-2025</t>
        </is>
      </c>
      <c r="B3398" s="1" t="n">
        <v>45852</v>
      </c>
      <c r="C3398" s="1" t="n">
        <v>46093</v>
      </c>
      <c r="D3398" t="inlineStr">
        <is>
          <t>VÄSTERNORRLANDS LÄN</t>
        </is>
      </c>
      <c r="E3398" t="inlineStr">
        <is>
          <t>SUNDSVALL</t>
        </is>
      </c>
      <c r="G3398" t="n">
        <v>9.4</v>
      </c>
      <c r="H3398" t="n">
        <v>0</v>
      </c>
      <c r="I3398" t="n">
        <v>0</v>
      </c>
      <c r="J3398" t="n">
        <v>0</v>
      </c>
      <c r="K3398" t="n">
        <v>0</v>
      </c>
      <c r="L3398" t="n">
        <v>0</v>
      </c>
      <c r="M3398" t="n">
        <v>0</v>
      </c>
      <c r="N3398" t="n">
        <v>0</v>
      </c>
      <c r="O3398" t="n">
        <v>0</v>
      </c>
      <c r="P3398" t="n">
        <v>0</v>
      </c>
      <c r="Q3398" t="n">
        <v>0</v>
      </c>
      <c r="R3398" s="2" t="inlineStr"/>
    </row>
    <row r="3399" ht="15" customHeight="1">
      <c r="A3399" t="inlineStr">
        <is>
          <t>A 53305-2021</t>
        </is>
      </c>
      <c r="B3399" s="1" t="n">
        <v>44467</v>
      </c>
      <c r="C3399" s="1" t="n">
        <v>46093</v>
      </c>
      <c r="D3399" t="inlineStr">
        <is>
          <t>VÄSTERNORRLANDS LÄN</t>
        </is>
      </c>
      <c r="E3399" t="inlineStr">
        <is>
          <t>TIMRÅ</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34815-2024</t>
        </is>
      </c>
      <c r="B3400" s="1" t="n">
        <v>45526.70732638889</v>
      </c>
      <c r="C3400" s="1" t="n">
        <v>46093</v>
      </c>
      <c r="D3400" t="inlineStr">
        <is>
          <t>VÄSTERNORRLANDS LÄN</t>
        </is>
      </c>
      <c r="E3400" t="inlineStr">
        <is>
          <t>ÅNGE</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63413-2023</t>
        </is>
      </c>
      <c r="B3401" s="1" t="n">
        <v>45274</v>
      </c>
      <c r="C3401" s="1" t="n">
        <v>46093</v>
      </c>
      <c r="D3401" t="inlineStr">
        <is>
          <t>VÄSTERNORRLANDS LÄN</t>
        </is>
      </c>
      <c r="E3401" t="inlineStr">
        <is>
          <t>SOLLEFTEÅ</t>
        </is>
      </c>
      <c r="G3401" t="n">
        <v>3.4</v>
      </c>
      <c r="H3401" t="n">
        <v>0</v>
      </c>
      <c r="I3401" t="n">
        <v>0</v>
      </c>
      <c r="J3401" t="n">
        <v>0</v>
      </c>
      <c r="K3401" t="n">
        <v>0</v>
      </c>
      <c r="L3401" t="n">
        <v>0</v>
      </c>
      <c r="M3401" t="n">
        <v>0</v>
      </c>
      <c r="N3401" t="n">
        <v>0</v>
      </c>
      <c r="O3401" t="n">
        <v>0</v>
      </c>
      <c r="P3401" t="n">
        <v>0</v>
      </c>
      <c r="Q3401" t="n">
        <v>0</v>
      </c>
      <c r="R3401" s="2" t="inlineStr"/>
    </row>
    <row r="3402" ht="15" customHeight="1">
      <c r="A3402" t="inlineStr">
        <is>
          <t>A 42517-2023</t>
        </is>
      </c>
      <c r="B3402" s="1" t="n">
        <v>45180</v>
      </c>
      <c r="C3402" s="1" t="n">
        <v>46093</v>
      </c>
      <c r="D3402" t="inlineStr">
        <is>
          <t>VÄSTERNORRLANDS LÄN</t>
        </is>
      </c>
      <c r="E3402" t="inlineStr">
        <is>
          <t>SUNDSVALL</t>
        </is>
      </c>
      <c r="F3402" t="inlineStr">
        <is>
          <t>SCA</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24324-2024</t>
        </is>
      </c>
      <c r="B3403" s="1" t="n">
        <v>45457</v>
      </c>
      <c r="C3403" s="1" t="n">
        <v>46093</v>
      </c>
      <c r="D3403" t="inlineStr">
        <is>
          <t>VÄSTERNORRLANDS LÄN</t>
        </is>
      </c>
      <c r="E3403" t="inlineStr">
        <is>
          <t>ÖRNSKÖLDSVIK</t>
        </is>
      </c>
      <c r="G3403" t="n">
        <v>6.9</v>
      </c>
      <c r="H3403" t="n">
        <v>0</v>
      </c>
      <c r="I3403" t="n">
        <v>0</v>
      </c>
      <c r="J3403" t="n">
        <v>0</v>
      </c>
      <c r="K3403" t="n">
        <v>0</v>
      </c>
      <c r="L3403" t="n">
        <v>0</v>
      </c>
      <c r="M3403" t="n">
        <v>0</v>
      </c>
      <c r="N3403" t="n">
        <v>0</v>
      </c>
      <c r="O3403" t="n">
        <v>0</v>
      </c>
      <c r="P3403" t="n">
        <v>0</v>
      </c>
      <c r="Q3403" t="n">
        <v>0</v>
      </c>
      <c r="R3403" s="2" t="inlineStr"/>
    </row>
    <row r="3404" ht="15" customHeight="1">
      <c r="A3404" t="inlineStr">
        <is>
          <t>A 31229-2023</t>
        </is>
      </c>
      <c r="B3404" s="1" t="n">
        <v>45114</v>
      </c>
      <c r="C3404" s="1" t="n">
        <v>46093</v>
      </c>
      <c r="D3404" t="inlineStr">
        <is>
          <t>VÄSTERNORRLANDS LÄN</t>
        </is>
      </c>
      <c r="E3404" t="inlineStr">
        <is>
          <t>ÅNGE</t>
        </is>
      </c>
      <c r="F3404" t="inlineStr">
        <is>
          <t>Sveaskog</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795-2023</t>
        </is>
      </c>
      <c r="B3405" s="1" t="n">
        <v>44928</v>
      </c>
      <c r="C3405" s="1" t="n">
        <v>46093</v>
      </c>
      <c r="D3405" t="inlineStr">
        <is>
          <t>VÄSTERNORRLANDS LÄN</t>
        </is>
      </c>
      <c r="E3405" t="inlineStr">
        <is>
          <t>SUNDSVALL</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63422-2023</t>
        </is>
      </c>
      <c r="B3406" s="1" t="n">
        <v>45274</v>
      </c>
      <c r="C3406" s="1" t="n">
        <v>46093</v>
      </c>
      <c r="D3406" t="inlineStr">
        <is>
          <t>VÄSTERNORRLANDS LÄN</t>
        </is>
      </c>
      <c r="E3406" t="inlineStr">
        <is>
          <t>SOLLEFTEÅ</t>
        </is>
      </c>
      <c r="G3406" t="n">
        <v>3</v>
      </c>
      <c r="H3406" t="n">
        <v>0</v>
      </c>
      <c r="I3406" t="n">
        <v>0</v>
      </c>
      <c r="J3406" t="n">
        <v>0</v>
      </c>
      <c r="K3406" t="n">
        <v>0</v>
      </c>
      <c r="L3406" t="n">
        <v>0</v>
      </c>
      <c r="M3406" t="n">
        <v>0</v>
      </c>
      <c r="N3406" t="n">
        <v>0</v>
      </c>
      <c r="O3406" t="n">
        <v>0</v>
      </c>
      <c r="P3406" t="n">
        <v>0</v>
      </c>
      <c r="Q3406" t="n">
        <v>0</v>
      </c>
      <c r="R3406" s="2" t="inlineStr"/>
    </row>
    <row r="3407" ht="15" customHeight="1">
      <c r="A3407" t="inlineStr">
        <is>
          <t>A 35470-2023</t>
        </is>
      </c>
      <c r="B3407" s="1" t="n">
        <v>45146</v>
      </c>
      <c r="C3407" s="1" t="n">
        <v>46093</v>
      </c>
      <c r="D3407" t="inlineStr">
        <is>
          <t>VÄSTERNORRLANDS LÄN</t>
        </is>
      </c>
      <c r="E3407" t="inlineStr">
        <is>
          <t>SOLLEFTEÅ</t>
        </is>
      </c>
      <c r="G3407" t="n">
        <v>7.5</v>
      </c>
      <c r="H3407" t="n">
        <v>0</v>
      </c>
      <c r="I3407" t="n">
        <v>0</v>
      </c>
      <c r="J3407" t="n">
        <v>0</v>
      </c>
      <c r="K3407" t="n">
        <v>0</v>
      </c>
      <c r="L3407" t="n">
        <v>0</v>
      </c>
      <c r="M3407" t="n">
        <v>0</v>
      </c>
      <c r="N3407" t="n">
        <v>0</v>
      </c>
      <c r="O3407" t="n">
        <v>0</v>
      </c>
      <c r="P3407" t="n">
        <v>0</v>
      </c>
      <c r="Q3407" t="n">
        <v>0</v>
      </c>
      <c r="R3407" s="2" t="inlineStr"/>
    </row>
    <row r="3408" ht="15" customHeight="1">
      <c r="A3408" t="inlineStr">
        <is>
          <t>A 56399-2022</t>
        </is>
      </c>
      <c r="B3408" s="1" t="n">
        <v>44890</v>
      </c>
      <c r="C3408" s="1" t="n">
        <v>46093</v>
      </c>
      <c r="D3408" t="inlineStr">
        <is>
          <t>VÄSTERNORRLANDS LÄN</t>
        </is>
      </c>
      <c r="E3408" t="inlineStr">
        <is>
          <t>ÅNGE</t>
        </is>
      </c>
      <c r="F3408" t="inlineStr">
        <is>
          <t>SCA</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16047-2024</t>
        </is>
      </c>
      <c r="B3409" s="1" t="n">
        <v>45405</v>
      </c>
      <c r="C3409" s="1" t="n">
        <v>46093</v>
      </c>
      <c r="D3409" t="inlineStr">
        <is>
          <t>VÄSTERNORRLANDS LÄN</t>
        </is>
      </c>
      <c r="E3409" t="inlineStr">
        <is>
          <t>HÄRNÖSAND</t>
        </is>
      </c>
      <c r="G3409" t="n">
        <v>4.3</v>
      </c>
      <c r="H3409" t="n">
        <v>0</v>
      </c>
      <c r="I3409" t="n">
        <v>0</v>
      </c>
      <c r="J3409" t="n">
        <v>0</v>
      </c>
      <c r="K3409" t="n">
        <v>0</v>
      </c>
      <c r="L3409" t="n">
        <v>0</v>
      </c>
      <c r="M3409" t="n">
        <v>0</v>
      </c>
      <c r="N3409" t="n">
        <v>0</v>
      </c>
      <c r="O3409" t="n">
        <v>0</v>
      </c>
      <c r="P3409" t="n">
        <v>0</v>
      </c>
      <c r="Q3409" t="n">
        <v>0</v>
      </c>
      <c r="R3409" s="2" t="inlineStr"/>
    </row>
    <row r="3410" ht="15" customHeight="1">
      <c r="A3410" t="inlineStr">
        <is>
          <t>A 45250-2024</t>
        </is>
      </c>
      <c r="B3410" s="1" t="n">
        <v>45576.32170138889</v>
      </c>
      <c r="C3410" s="1" t="n">
        <v>46093</v>
      </c>
      <c r="D3410" t="inlineStr">
        <is>
          <t>VÄSTERNORRLANDS LÄN</t>
        </is>
      </c>
      <c r="E3410" t="inlineStr">
        <is>
          <t>ÖRNSKÖLDSVIK</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38605-2023</t>
        </is>
      </c>
      <c r="B3411" s="1" t="n">
        <v>45162.65064814815</v>
      </c>
      <c r="C3411" s="1" t="n">
        <v>46093</v>
      </c>
      <c r="D3411" t="inlineStr">
        <is>
          <t>VÄSTERNORRLANDS LÄN</t>
        </is>
      </c>
      <c r="E3411" t="inlineStr">
        <is>
          <t>ÖRNSKÖLDSVIK</t>
        </is>
      </c>
      <c r="F3411" t="inlineStr">
        <is>
          <t>Holmen skog AB</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26533-2024</t>
        </is>
      </c>
      <c r="B3412" s="1" t="n">
        <v>45469</v>
      </c>
      <c r="C3412" s="1" t="n">
        <v>46093</v>
      </c>
      <c r="D3412" t="inlineStr">
        <is>
          <t>VÄSTERNORRLANDS LÄN</t>
        </is>
      </c>
      <c r="E3412" t="inlineStr">
        <is>
          <t>HÄRNÖSAND</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20786-2024</t>
        </is>
      </c>
      <c r="B3413" s="1" t="n">
        <v>45437</v>
      </c>
      <c r="C3413" s="1" t="n">
        <v>46093</v>
      </c>
      <c r="D3413" t="inlineStr">
        <is>
          <t>VÄSTERNORRLANDS LÄN</t>
        </is>
      </c>
      <c r="E3413" t="inlineStr">
        <is>
          <t>TIMRÅ</t>
        </is>
      </c>
      <c r="F3413" t="inlineStr">
        <is>
          <t>SCA</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44506-2022</t>
        </is>
      </c>
      <c r="B3414" s="1" t="n">
        <v>44840</v>
      </c>
      <c r="C3414" s="1" t="n">
        <v>46093</v>
      </c>
      <c r="D3414" t="inlineStr">
        <is>
          <t>VÄSTERNORRLANDS LÄN</t>
        </is>
      </c>
      <c r="E3414" t="inlineStr">
        <is>
          <t>SUNDSVALL</t>
        </is>
      </c>
      <c r="G3414" t="n">
        <v>4.2</v>
      </c>
      <c r="H3414" t="n">
        <v>0</v>
      </c>
      <c r="I3414" t="n">
        <v>0</v>
      </c>
      <c r="J3414" t="n">
        <v>0</v>
      </c>
      <c r="K3414" t="n">
        <v>0</v>
      </c>
      <c r="L3414" t="n">
        <v>0</v>
      </c>
      <c r="M3414" t="n">
        <v>0</v>
      </c>
      <c r="N3414" t="n">
        <v>0</v>
      </c>
      <c r="O3414" t="n">
        <v>0</v>
      </c>
      <c r="P3414" t="n">
        <v>0</v>
      </c>
      <c r="Q3414" t="n">
        <v>0</v>
      </c>
      <c r="R3414" s="2" t="inlineStr"/>
    </row>
    <row r="3415" ht="15" customHeight="1">
      <c r="A3415" t="inlineStr">
        <is>
          <t>A 38219-2025</t>
        </is>
      </c>
      <c r="B3415" s="1" t="n">
        <v>45883.33505787037</v>
      </c>
      <c r="C3415" s="1" t="n">
        <v>46093</v>
      </c>
      <c r="D3415" t="inlineStr">
        <is>
          <t>VÄSTERNORRLANDS LÄN</t>
        </is>
      </c>
      <c r="E3415" t="inlineStr">
        <is>
          <t>KRAMFORS</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42755-2022</t>
        </is>
      </c>
      <c r="B3416" s="1" t="n">
        <v>44832</v>
      </c>
      <c r="C3416" s="1" t="n">
        <v>46093</v>
      </c>
      <c r="D3416" t="inlineStr">
        <is>
          <t>VÄSTERNORRLANDS LÄN</t>
        </is>
      </c>
      <c r="E3416" t="inlineStr">
        <is>
          <t>SOLLEFTEÅ</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48046-2022</t>
        </is>
      </c>
      <c r="B3417" s="1" t="n">
        <v>44855.92417824074</v>
      </c>
      <c r="C3417" s="1" t="n">
        <v>46093</v>
      </c>
      <c r="D3417" t="inlineStr">
        <is>
          <t>VÄSTERNORRLANDS LÄN</t>
        </is>
      </c>
      <c r="E3417" t="inlineStr">
        <is>
          <t>KRAMFORS</t>
        </is>
      </c>
      <c r="G3417" t="n">
        <v>10</v>
      </c>
      <c r="H3417" t="n">
        <v>0</v>
      </c>
      <c r="I3417" t="n">
        <v>0</v>
      </c>
      <c r="J3417" t="n">
        <v>0</v>
      </c>
      <c r="K3417" t="n">
        <v>0</v>
      </c>
      <c r="L3417" t="n">
        <v>0</v>
      </c>
      <c r="M3417" t="n">
        <v>0</v>
      </c>
      <c r="N3417" t="n">
        <v>0</v>
      </c>
      <c r="O3417" t="n">
        <v>0</v>
      </c>
      <c r="P3417" t="n">
        <v>0</v>
      </c>
      <c r="Q3417" t="n">
        <v>0</v>
      </c>
      <c r="R3417" s="2" t="inlineStr"/>
    </row>
    <row r="3418" ht="15" customHeight="1">
      <c r="A3418" t="inlineStr">
        <is>
          <t>A 39268-2023</t>
        </is>
      </c>
      <c r="B3418" s="1" t="n">
        <v>45162</v>
      </c>
      <c r="C3418" s="1" t="n">
        <v>46093</v>
      </c>
      <c r="D3418" t="inlineStr">
        <is>
          <t>VÄSTERNORRLANDS LÄN</t>
        </is>
      </c>
      <c r="E3418" t="inlineStr">
        <is>
          <t>ÖRNSKÖLDSVIK</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61860-2023</t>
        </is>
      </c>
      <c r="B3419" s="1" t="n">
        <v>45264</v>
      </c>
      <c r="C3419" s="1" t="n">
        <v>46093</v>
      </c>
      <c r="D3419" t="inlineStr">
        <is>
          <t>VÄSTERNORRLANDS LÄN</t>
        </is>
      </c>
      <c r="E3419" t="inlineStr">
        <is>
          <t>SUNDSVALL</t>
        </is>
      </c>
      <c r="G3419" t="n">
        <v>5.9</v>
      </c>
      <c r="H3419" t="n">
        <v>0</v>
      </c>
      <c r="I3419" t="n">
        <v>0</v>
      </c>
      <c r="J3419" t="n">
        <v>0</v>
      </c>
      <c r="K3419" t="n">
        <v>0</v>
      </c>
      <c r="L3419" t="n">
        <v>0</v>
      </c>
      <c r="M3419" t="n">
        <v>0</v>
      </c>
      <c r="N3419" t="n">
        <v>0</v>
      </c>
      <c r="O3419" t="n">
        <v>0</v>
      </c>
      <c r="P3419" t="n">
        <v>0</v>
      </c>
      <c r="Q3419" t="n">
        <v>0</v>
      </c>
      <c r="R3419" s="2" t="inlineStr"/>
    </row>
    <row r="3420" ht="15" customHeight="1">
      <c r="A3420" t="inlineStr">
        <is>
          <t>A 54617-2023</t>
        </is>
      </c>
      <c r="B3420" s="1" t="n">
        <v>45233.95835648148</v>
      </c>
      <c r="C3420" s="1" t="n">
        <v>46093</v>
      </c>
      <c r="D3420" t="inlineStr">
        <is>
          <t>VÄSTERNORRLANDS LÄN</t>
        </is>
      </c>
      <c r="E3420" t="inlineStr">
        <is>
          <t>SOLLEFTEÅ</t>
        </is>
      </c>
      <c r="F3420" t="inlineStr">
        <is>
          <t>SCA</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34397-2021</t>
        </is>
      </c>
      <c r="B3421" s="1" t="n">
        <v>44379</v>
      </c>
      <c r="C3421" s="1" t="n">
        <v>46093</v>
      </c>
      <c r="D3421" t="inlineStr">
        <is>
          <t>VÄSTERNORRLANDS LÄN</t>
        </is>
      </c>
      <c r="E3421" t="inlineStr">
        <is>
          <t>SOLLEFTEÅ</t>
        </is>
      </c>
      <c r="F3421" t="inlineStr">
        <is>
          <t>SCA</t>
        </is>
      </c>
      <c r="G3421" t="n">
        <v>3.6</v>
      </c>
      <c r="H3421" t="n">
        <v>0</v>
      </c>
      <c r="I3421" t="n">
        <v>0</v>
      </c>
      <c r="J3421" t="n">
        <v>0</v>
      </c>
      <c r="K3421" t="n">
        <v>0</v>
      </c>
      <c r="L3421" t="n">
        <v>0</v>
      </c>
      <c r="M3421" t="n">
        <v>0</v>
      </c>
      <c r="N3421" t="n">
        <v>0</v>
      </c>
      <c r="O3421" t="n">
        <v>0</v>
      </c>
      <c r="P3421" t="n">
        <v>0</v>
      </c>
      <c r="Q3421" t="n">
        <v>0</v>
      </c>
      <c r="R3421" s="2" t="inlineStr"/>
    </row>
    <row r="3422" ht="15" customHeight="1">
      <c r="A3422" t="inlineStr">
        <is>
          <t>A 2620-2024</t>
        </is>
      </c>
      <c r="B3422" s="1" t="n">
        <v>45313.92673611111</v>
      </c>
      <c r="C3422" s="1" t="n">
        <v>46093</v>
      </c>
      <c r="D3422" t="inlineStr">
        <is>
          <t>VÄSTERNORRLANDS LÄN</t>
        </is>
      </c>
      <c r="E3422" t="inlineStr">
        <is>
          <t>SUNDSVALL</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53824-2022</t>
        </is>
      </c>
      <c r="B3423" s="1" t="n">
        <v>44880.57431712963</v>
      </c>
      <c r="C3423" s="1" t="n">
        <v>46093</v>
      </c>
      <c r="D3423" t="inlineStr">
        <is>
          <t>VÄSTERNORRLANDS LÄN</t>
        </is>
      </c>
      <c r="E3423" t="inlineStr">
        <is>
          <t>KRAMFORS</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35061-2025</t>
        </is>
      </c>
      <c r="B3424" s="1" t="n">
        <v>45852</v>
      </c>
      <c r="C3424" s="1" t="n">
        <v>46093</v>
      </c>
      <c r="D3424" t="inlineStr">
        <is>
          <t>VÄSTERNORRLANDS LÄN</t>
        </is>
      </c>
      <c r="E3424" t="inlineStr">
        <is>
          <t>ÅNGE</t>
        </is>
      </c>
      <c r="F3424" t="inlineStr">
        <is>
          <t>SCA</t>
        </is>
      </c>
      <c r="G3424" t="n">
        <v>5.6</v>
      </c>
      <c r="H3424" t="n">
        <v>0</v>
      </c>
      <c r="I3424" t="n">
        <v>0</v>
      </c>
      <c r="J3424" t="n">
        <v>0</v>
      </c>
      <c r="K3424" t="n">
        <v>0</v>
      </c>
      <c r="L3424" t="n">
        <v>0</v>
      </c>
      <c r="M3424" t="n">
        <v>0</v>
      </c>
      <c r="N3424" t="n">
        <v>0</v>
      </c>
      <c r="O3424" t="n">
        <v>0</v>
      </c>
      <c r="P3424" t="n">
        <v>0</v>
      </c>
      <c r="Q3424" t="n">
        <v>0</v>
      </c>
      <c r="R3424" s="2" t="inlineStr"/>
    </row>
    <row r="3425" ht="15" customHeight="1">
      <c r="A3425" t="inlineStr">
        <is>
          <t>A 35066-2025</t>
        </is>
      </c>
      <c r="B3425" s="1" t="n">
        <v>45852.45013888889</v>
      </c>
      <c r="C3425" s="1" t="n">
        <v>46093</v>
      </c>
      <c r="D3425" t="inlineStr">
        <is>
          <t>VÄSTERNORRLANDS LÄN</t>
        </is>
      </c>
      <c r="E3425" t="inlineStr">
        <is>
          <t>SOLLEFTEÅ</t>
        </is>
      </c>
      <c r="G3425" t="n">
        <v>3.4</v>
      </c>
      <c r="H3425" t="n">
        <v>0</v>
      </c>
      <c r="I3425" t="n">
        <v>0</v>
      </c>
      <c r="J3425" t="n">
        <v>0</v>
      </c>
      <c r="K3425" t="n">
        <v>0</v>
      </c>
      <c r="L3425" t="n">
        <v>0</v>
      </c>
      <c r="M3425" t="n">
        <v>0</v>
      </c>
      <c r="N3425" t="n">
        <v>0</v>
      </c>
      <c r="O3425" t="n">
        <v>0</v>
      </c>
      <c r="P3425" t="n">
        <v>0</v>
      </c>
      <c r="Q3425" t="n">
        <v>0</v>
      </c>
      <c r="R3425" s="2" t="inlineStr"/>
    </row>
    <row r="3426" ht="15" customHeight="1">
      <c r="A3426" t="inlineStr">
        <is>
          <t>A 29003-2025</t>
        </is>
      </c>
      <c r="B3426" s="1" t="n">
        <v>45821.39233796296</v>
      </c>
      <c r="C3426" s="1" t="n">
        <v>46093</v>
      </c>
      <c r="D3426" t="inlineStr">
        <is>
          <t>VÄSTERNORRLANDS LÄN</t>
        </is>
      </c>
      <c r="E3426" t="inlineStr">
        <is>
          <t>TIMRÅ</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60420-2022</t>
        </is>
      </c>
      <c r="B3427" s="1" t="n">
        <v>44910</v>
      </c>
      <c r="C3427" s="1" t="n">
        <v>46093</v>
      </c>
      <c r="D3427" t="inlineStr">
        <is>
          <t>VÄSTERNORRLANDS LÄN</t>
        </is>
      </c>
      <c r="E3427" t="inlineStr">
        <is>
          <t>SOLLEFTEÅ</t>
        </is>
      </c>
      <c r="F3427" t="inlineStr">
        <is>
          <t>SCA</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42114-2024</t>
        </is>
      </c>
      <c r="B3428" s="1" t="n">
        <v>45562</v>
      </c>
      <c r="C3428" s="1" t="n">
        <v>46093</v>
      </c>
      <c r="D3428" t="inlineStr">
        <is>
          <t>VÄSTERNORRLANDS LÄN</t>
        </is>
      </c>
      <c r="E3428" t="inlineStr">
        <is>
          <t>SUNDSVALL</t>
        </is>
      </c>
      <c r="G3428" t="n">
        <v>0.3</v>
      </c>
      <c r="H3428" t="n">
        <v>0</v>
      </c>
      <c r="I3428" t="n">
        <v>0</v>
      </c>
      <c r="J3428" t="n">
        <v>0</v>
      </c>
      <c r="K3428" t="n">
        <v>0</v>
      </c>
      <c r="L3428" t="n">
        <v>0</v>
      </c>
      <c r="M3428" t="n">
        <v>0</v>
      </c>
      <c r="N3428" t="n">
        <v>0</v>
      </c>
      <c r="O3428" t="n">
        <v>0</v>
      </c>
      <c r="P3428" t="n">
        <v>0</v>
      </c>
      <c r="Q3428" t="n">
        <v>0</v>
      </c>
      <c r="R3428" s="2" t="inlineStr"/>
    </row>
    <row r="3429" ht="15" customHeight="1">
      <c r="A3429" t="inlineStr">
        <is>
          <t>A 23573-2024</t>
        </is>
      </c>
      <c r="B3429" s="1" t="n">
        <v>45454</v>
      </c>
      <c r="C3429" s="1" t="n">
        <v>46093</v>
      </c>
      <c r="D3429" t="inlineStr">
        <is>
          <t>VÄSTERNORRLANDS LÄN</t>
        </is>
      </c>
      <c r="E3429" t="inlineStr">
        <is>
          <t>KRAMFORS</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25982-2024</t>
        </is>
      </c>
      <c r="B3430" s="1" t="n">
        <v>45467</v>
      </c>
      <c r="C3430" s="1" t="n">
        <v>46093</v>
      </c>
      <c r="D3430" t="inlineStr">
        <is>
          <t>VÄSTERNORRLANDS LÄN</t>
        </is>
      </c>
      <c r="E3430" t="inlineStr">
        <is>
          <t>SUNDSVALL</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8257-2022</t>
        </is>
      </c>
      <c r="B3431" s="1" t="n">
        <v>44610.34373842592</v>
      </c>
      <c r="C3431" s="1" t="n">
        <v>46093</v>
      </c>
      <c r="D3431" t="inlineStr">
        <is>
          <t>VÄSTERNORRLANDS LÄN</t>
        </is>
      </c>
      <c r="E3431" t="inlineStr">
        <is>
          <t>KRAMFORS</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64911-2021</t>
        </is>
      </c>
      <c r="B3432" s="1" t="n">
        <v>44512</v>
      </c>
      <c r="C3432" s="1" t="n">
        <v>46093</v>
      </c>
      <c r="D3432" t="inlineStr">
        <is>
          <t>VÄSTERNORRLANDS LÄN</t>
        </is>
      </c>
      <c r="E3432" t="inlineStr">
        <is>
          <t>ÖRNSKÖLDSVIK</t>
        </is>
      </c>
      <c r="G3432" t="n">
        <v>3.5</v>
      </c>
      <c r="H3432" t="n">
        <v>0</v>
      </c>
      <c r="I3432" t="n">
        <v>0</v>
      </c>
      <c r="J3432" t="n">
        <v>0</v>
      </c>
      <c r="K3432" t="n">
        <v>0</v>
      </c>
      <c r="L3432" t="n">
        <v>0</v>
      </c>
      <c r="M3432" t="n">
        <v>0</v>
      </c>
      <c r="N3432" t="n">
        <v>0</v>
      </c>
      <c r="O3432" t="n">
        <v>0</v>
      </c>
      <c r="P3432" t="n">
        <v>0</v>
      </c>
      <c r="Q3432" t="n">
        <v>0</v>
      </c>
      <c r="R3432" s="2" t="inlineStr"/>
    </row>
    <row r="3433" ht="15" customHeight="1">
      <c r="A3433" t="inlineStr">
        <is>
          <t>A 45886-2024</t>
        </is>
      </c>
      <c r="B3433" s="1" t="n">
        <v>45580</v>
      </c>
      <c r="C3433" s="1" t="n">
        <v>46093</v>
      </c>
      <c r="D3433" t="inlineStr">
        <is>
          <t>VÄSTERNORRLANDS LÄN</t>
        </is>
      </c>
      <c r="E3433" t="inlineStr">
        <is>
          <t>TIMRÅ</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15080-2023</t>
        </is>
      </c>
      <c r="B3434" s="1" t="n">
        <v>45016.07525462963</v>
      </c>
      <c r="C3434" s="1" t="n">
        <v>46093</v>
      </c>
      <c r="D3434" t="inlineStr">
        <is>
          <t>VÄSTERNORRLANDS LÄN</t>
        </is>
      </c>
      <c r="E3434" t="inlineStr">
        <is>
          <t>SOLLEFTEÅ</t>
        </is>
      </c>
      <c r="F3434" t="inlineStr">
        <is>
          <t>SCA</t>
        </is>
      </c>
      <c r="G3434" t="n">
        <v>33.6</v>
      </c>
      <c r="H3434" t="n">
        <v>0</v>
      </c>
      <c r="I3434" t="n">
        <v>0</v>
      </c>
      <c r="J3434" t="n">
        <v>0</v>
      </c>
      <c r="K3434" t="n">
        <v>0</v>
      </c>
      <c r="L3434" t="n">
        <v>0</v>
      </c>
      <c r="M3434" t="n">
        <v>0</v>
      </c>
      <c r="N3434" t="n">
        <v>0</v>
      </c>
      <c r="O3434" t="n">
        <v>0</v>
      </c>
      <c r="P3434" t="n">
        <v>0</v>
      </c>
      <c r="Q3434" t="n">
        <v>0</v>
      </c>
      <c r="R3434" s="2" t="inlineStr"/>
    </row>
    <row r="3435" ht="15" customHeight="1">
      <c r="A3435" t="inlineStr">
        <is>
          <t>A 35000-2025</t>
        </is>
      </c>
      <c r="B3435" s="1" t="n">
        <v>45850.41473379629</v>
      </c>
      <c r="C3435" s="1" t="n">
        <v>46093</v>
      </c>
      <c r="D3435" t="inlineStr">
        <is>
          <t>VÄSTERNORRLANDS LÄN</t>
        </is>
      </c>
      <c r="E3435" t="inlineStr">
        <is>
          <t>ÖRNSKÖLDSVIK</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35001-2025</t>
        </is>
      </c>
      <c r="B3436" s="1" t="n">
        <v>45850.43112268519</v>
      </c>
      <c r="C3436" s="1" t="n">
        <v>46093</v>
      </c>
      <c r="D3436" t="inlineStr">
        <is>
          <t>VÄSTERNORRLANDS LÄN</t>
        </is>
      </c>
      <c r="E3436" t="inlineStr">
        <is>
          <t>ÖRNSKÖLDSVIK</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28155-2024</t>
        </is>
      </c>
      <c r="B3437" s="1" t="n">
        <v>45476</v>
      </c>
      <c r="C3437" s="1" t="n">
        <v>46093</v>
      </c>
      <c r="D3437" t="inlineStr">
        <is>
          <t>VÄSTERNORRLANDS LÄN</t>
        </is>
      </c>
      <c r="E3437" t="inlineStr">
        <is>
          <t>SUNDSVALL</t>
        </is>
      </c>
      <c r="G3437" t="n">
        <v>8</v>
      </c>
      <c r="H3437" t="n">
        <v>0</v>
      </c>
      <c r="I3437" t="n">
        <v>0</v>
      </c>
      <c r="J3437" t="n">
        <v>0</v>
      </c>
      <c r="K3437" t="n">
        <v>0</v>
      </c>
      <c r="L3437" t="n">
        <v>0</v>
      </c>
      <c r="M3437" t="n">
        <v>0</v>
      </c>
      <c r="N3437" t="n">
        <v>0</v>
      </c>
      <c r="O3437" t="n">
        <v>0</v>
      </c>
      <c r="P3437" t="n">
        <v>0</v>
      </c>
      <c r="Q3437" t="n">
        <v>0</v>
      </c>
      <c r="R3437" s="2" t="inlineStr"/>
    </row>
    <row r="3438" ht="15" customHeight="1">
      <c r="A3438" t="inlineStr">
        <is>
          <t>A 28506-2024</t>
        </is>
      </c>
      <c r="B3438" s="1" t="n">
        <v>45477.9475</v>
      </c>
      <c r="C3438" s="1" t="n">
        <v>46093</v>
      </c>
      <c r="D3438" t="inlineStr">
        <is>
          <t>VÄSTERNORRLANDS LÄN</t>
        </is>
      </c>
      <c r="E3438" t="inlineStr">
        <is>
          <t>ÅNGE</t>
        </is>
      </c>
      <c r="F3438" t="inlineStr">
        <is>
          <t>SCA</t>
        </is>
      </c>
      <c r="G3438" t="n">
        <v>4</v>
      </c>
      <c r="H3438" t="n">
        <v>0</v>
      </c>
      <c r="I3438" t="n">
        <v>0</v>
      </c>
      <c r="J3438" t="n">
        <v>0</v>
      </c>
      <c r="K3438" t="n">
        <v>0</v>
      </c>
      <c r="L3438" t="n">
        <v>0</v>
      </c>
      <c r="M3438" t="n">
        <v>0</v>
      </c>
      <c r="N3438" t="n">
        <v>0</v>
      </c>
      <c r="O3438" t="n">
        <v>0</v>
      </c>
      <c r="P3438" t="n">
        <v>0</v>
      </c>
      <c r="Q3438" t="n">
        <v>0</v>
      </c>
      <c r="R3438" s="2" t="inlineStr"/>
    </row>
    <row r="3439" ht="15" customHeight="1">
      <c r="A3439" t="inlineStr">
        <is>
          <t>A 39194-2025</t>
        </is>
      </c>
      <c r="B3439" s="1" t="n">
        <v>45888.67773148148</v>
      </c>
      <c r="C3439" s="1" t="n">
        <v>46093</v>
      </c>
      <c r="D3439" t="inlineStr">
        <is>
          <t>VÄSTERNORRLANDS LÄN</t>
        </is>
      </c>
      <c r="E3439" t="inlineStr">
        <is>
          <t>TIMRÅ</t>
        </is>
      </c>
      <c r="F3439" t="inlineStr">
        <is>
          <t>SCA</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38958-2025</t>
        </is>
      </c>
      <c r="B3440" s="1" t="n">
        <v>45887.67751157407</v>
      </c>
      <c r="C3440" s="1" t="n">
        <v>46093</v>
      </c>
      <c r="D3440" t="inlineStr">
        <is>
          <t>VÄSTERNORRLANDS LÄN</t>
        </is>
      </c>
      <c r="E3440" t="inlineStr">
        <is>
          <t>SOLLEFTEÅ</t>
        </is>
      </c>
      <c r="F3440" t="inlineStr">
        <is>
          <t>SCA</t>
        </is>
      </c>
      <c r="G3440" t="n">
        <v>9.1</v>
      </c>
      <c r="H3440" t="n">
        <v>0</v>
      </c>
      <c r="I3440" t="n">
        <v>0</v>
      </c>
      <c r="J3440" t="n">
        <v>0</v>
      </c>
      <c r="K3440" t="n">
        <v>0</v>
      </c>
      <c r="L3440" t="n">
        <v>0</v>
      </c>
      <c r="M3440" t="n">
        <v>0</v>
      </c>
      <c r="N3440" t="n">
        <v>0</v>
      </c>
      <c r="O3440" t="n">
        <v>0</v>
      </c>
      <c r="P3440" t="n">
        <v>0</v>
      </c>
      <c r="Q3440" t="n">
        <v>0</v>
      </c>
      <c r="R3440" s="2" t="inlineStr"/>
    </row>
    <row r="3441" ht="15" customHeight="1">
      <c r="A3441" t="inlineStr">
        <is>
          <t>A 44613-2021</t>
        </is>
      </c>
      <c r="B3441" s="1" t="n">
        <v>44435</v>
      </c>
      <c r="C3441" s="1" t="n">
        <v>46093</v>
      </c>
      <c r="D3441" t="inlineStr">
        <is>
          <t>VÄSTERNORRLANDS LÄN</t>
        </is>
      </c>
      <c r="E3441" t="inlineStr">
        <is>
          <t>ÖRNSKÖLDSVIK</t>
        </is>
      </c>
      <c r="G3441" t="n">
        <v>13.5</v>
      </c>
      <c r="H3441" t="n">
        <v>0</v>
      </c>
      <c r="I3441" t="n">
        <v>0</v>
      </c>
      <c r="J3441" t="n">
        <v>0</v>
      </c>
      <c r="K3441" t="n">
        <v>0</v>
      </c>
      <c r="L3441" t="n">
        <v>0</v>
      </c>
      <c r="M3441" t="n">
        <v>0</v>
      </c>
      <c r="N3441" t="n">
        <v>0</v>
      </c>
      <c r="O3441" t="n">
        <v>0</v>
      </c>
      <c r="P3441" t="n">
        <v>0</v>
      </c>
      <c r="Q3441" t="n">
        <v>0</v>
      </c>
      <c r="R3441" s="2" t="inlineStr"/>
    </row>
    <row r="3442" ht="15" customHeight="1">
      <c r="A3442" t="inlineStr">
        <is>
          <t>A 48690-2024</t>
        </is>
      </c>
      <c r="B3442" s="1" t="n">
        <v>45593.50704861111</v>
      </c>
      <c r="C3442" s="1" t="n">
        <v>46093</v>
      </c>
      <c r="D3442" t="inlineStr">
        <is>
          <t>VÄSTERNORRLANDS LÄN</t>
        </is>
      </c>
      <c r="E3442" t="inlineStr">
        <is>
          <t>ÅNGE</t>
        </is>
      </c>
      <c r="G3442" t="n">
        <v>5</v>
      </c>
      <c r="H3442" t="n">
        <v>0</v>
      </c>
      <c r="I3442" t="n">
        <v>0</v>
      </c>
      <c r="J3442" t="n">
        <v>0</v>
      </c>
      <c r="K3442" t="n">
        <v>0</v>
      </c>
      <c r="L3442" t="n">
        <v>0</v>
      </c>
      <c r="M3442" t="n">
        <v>0</v>
      </c>
      <c r="N3442" t="n">
        <v>0</v>
      </c>
      <c r="O3442" t="n">
        <v>0</v>
      </c>
      <c r="P3442" t="n">
        <v>0</v>
      </c>
      <c r="Q3442" t="n">
        <v>0</v>
      </c>
      <c r="R3442" s="2" t="inlineStr"/>
    </row>
    <row r="3443" ht="15" customHeight="1">
      <c r="A3443" t="inlineStr">
        <is>
          <t>A 48704-2024</t>
        </is>
      </c>
      <c r="B3443" s="1" t="n">
        <v>45593.53160879629</v>
      </c>
      <c r="C3443" s="1" t="n">
        <v>46093</v>
      </c>
      <c r="D3443" t="inlineStr">
        <is>
          <t>VÄSTERNORRLANDS LÄN</t>
        </is>
      </c>
      <c r="E3443" t="inlineStr">
        <is>
          <t>TIMRÅ</t>
        </is>
      </c>
      <c r="F3443" t="inlineStr">
        <is>
          <t>SCA</t>
        </is>
      </c>
      <c r="G3443" t="n">
        <v>3.7</v>
      </c>
      <c r="H3443" t="n">
        <v>0</v>
      </c>
      <c r="I3443" t="n">
        <v>0</v>
      </c>
      <c r="J3443" t="n">
        <v>0</v>
      </c>
      <c r="K3443" t="n">
        <v>0</v>
      </c>
      <c r="L3443" t="n">
        <v>0</v>
      </c>
      <c r="M3443" t="n">
        <v>0</v>
      </c>
      <c r="N3443" t="n">
        <v>0</v>
      </c>
      <c r="O3443" t="n">
        <v>0</v>
      </c>
      <c r="P3443" t="n">
        <v>0</v>
      </c>
      <c r="Q3443" t="n">
        <v>0</v>
      </c>
      <c r="R3443" s="2" t="inlineStr"/>
    </row>
    <row r="3444" ht="15" customHeight="1">
      <c r="A3444" t="inlineStr">
        <is>
          <t>A 25847-2024</t>
        </is>
      </c>
      <c r="B3444" s="1" t="n">
        <v>45467</v>
      </c>
      <c r="C3444" s="1" t="n">
        <v>46093</v>
      </c>
      <c r="D3444" t="inlineStr">
        <is>
          <t>VÄSTERNORRLANDS LÄN</t>
        </is>
      </c>
      <c r="E3444" t="inlineStr">
        <is>
          <t>SOLLEFTEÅ</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25851-2024</t>
        </is>
      </c>
      <c r="B3445" s="1" t="n">
        <v>45467.44688657407</v>
      </c>
      <c r="C3445" s="1" t="n">
        <v>46093</v>
      </c>
      <c r="D3445" t="inlineStr">
        <is>
          <t>VÄSTERNORRLANDS LÄN</t>
        </is>
      </c>
      <c r="E3445" t="inlineStr">
        <is>
          <t>SOLLEFTEÅ</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39195-2025</t>
        </is>
      </c>
      <c r="B3446" s="1" t="n">
        <v>45888</v>
      </c>
      <c r="C3446" s="1" t="n">
        <v>46093</v>
      </c>
      <c r="D3446" t="inlineStr">
        <is>
          <t>VÄSTERNORRLANDS LÄN</t>
        </is>
      </c>
      <c r="E3446" t="inlineStr">
        <is>
          <t>SOLLEFTEÅ</t>
        </is>
      </c>
      <c r="G3446" t="n">
        <v>4.7</v>
      </c>
      <c r="H3446" t="n">
        <v>0</v>
      </c>
      <c r="I3446" t="n">
        <v>0</v>
      </c>
      <c r="J3446" t="n">
        <v>0</v>
      </c>
      <c r="K3446" t="n">
        <v>0</v>
      </c>
      <c r="L3446" t="n">
        <v>0</v>
      </c>
      <c r="M3446" t="n">
        <v>0</v>
      </c>
      <c r="N3446" t="n">
        <v>0</v>
      </c>
      <c r="O3446" t="n">
        <v>0</v>
      </c>
      <c r="P3446" t="n">
        <v>0</v>
      </c>
      <c r="Q3446" t="n">
        <v>0</v>
      </c>
      <c r="R3446" s="2" t="inlineStr"/>
    </row>
    <row r="3447" ht="15" customHeight="1">
      <c r="A3447" t="inlineStr">
        <is>
          <t>A 42347-2023</t>
        </is>
      </c>
      <c r="B3447" s="1" t="n">
        <v>45180</v>
      </c>
      <c r="C3447" s="1" t="n">
        <v>46093</v>
      </c>
      <c r="D3447" t="inlineStr">
        <is>
          <t>VÄSTERNORRLANDS LÄN</t>
        </is>
      </c>
      <c r="E3447" t="inlineStr">
        <is>
          <t>ÖRNSKÖLDSVIK</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57078-2024</t>
        </is>
      </c>
      <c r="B3448" s="1" t="n">
        <v>45629.35518518519</v>
      </c>
      <c r="C3448" s="1" t="n">
        <v>46093</v>
      </c>
      <c r="D3448" t="inlineStr">
        <is>
          <t>VÄSTERNORRLANDS LÄN</t>
        </is>
      </c>
      <c r="E3448" t="inlineStr">
        <is>
          <t>SOLLEFTEÅ</t>
        </is>
      </c>
      <c r="F3448" t="inlineStr">
        <is>
          <t>SCA</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1420-2023</t>
        </is>
      </c>
      <c r="B3449" s="1" t="n">
        <v>44936.92762731481</v>
      </c>
      <c r="C3449" s="1" t="n">
        <v>46093</v>
      </c>
      <c r="D3449" t="inlineStr">
        <is>
          <t>VÄSTERNORRLANDS LÄN</t>
        </is>
      </c>
      <c r="E3449" t="inlineStr">
        <is>
          <t>ÅNGE</t>
        </is>
      </c>
      <c r="G3449" t="n">
        <v>3.7</v>
      </c>
      <c r="H3449" t="n">
        <v>0</v>
      </c>
      <c r="I3449" t="n">
        <v>0</v>
      </c>
      <c r="J3449" t="n">
        <v>0</v>
      </c>
      <c r="K3449" t="n">
        <v>0</v>
      </c>
      <c r="L3449" t="n">
        <v>0</v>
      </c>
      <c r="M3449" t="n">
        <v>0</v>
      </c>
      <c r="N3449" t="n">
        <v>0</v>
      </c>
      <c r="O3449" t="n">
        <v>0</v>
      </c>
      <c r="P3449" t="n">
        <v>0</v>
      </c>
      <c r="Q3449" t="n">
        <v>0</v>
      </c>
      <c r="R3449" s="2" t="inlineStr"/>
    </row>
    <row r="3450" ht="15" customHeight="1">
      <c r="A3450" t="inlineStr">
        <is>
          <t>A 60817-2022</t>
        </is>
      </c>
      <c r="B3450" s="1" t="n">
        <v>44907</v>
      </c>
      <c r="C3450" s="1" t="n">
        <v>46093</v>
      </c>
      <c r="D3450" t="inlineStr">
        <is>
          <t>VÄSTERNORRLANDS LÄN</t>
        </is>
      </c>
      <c r="E3450" t="inlineStr">
        <is>
          <t>KRAMFORS</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57123-2024</t>
        </is>
      </c>
      <c r="B3451" s="1" t="n">
        <v>45629.37432870371</v>
      </c>
      <c r="C3451" s="1" t="n">
        <v>46093</v>
      </c>
      <c r="D3451" t="inlineStr">
        <is>
          <t>VÄSTERNORRLANDS LÄN</t>
        </is>
      </c>
      <c r="E3451" t="inlineStr">
        <is>
          <t>ÖRNSKÖLDSVIK</t>
        </is>
      </c>
      <c r="F3451" t="inlineStr">
        <is>
          <t>Holmen skog AB</t>
        </is>
      </c>
      <c r="G3451" t="n">
        <v>4.8</v>
      </c>
      <c r="H3451" t="n">
        <v>0</v>
      </c>
      <c r="I3451" t="n">
        <v>0</v>
      </c>
      <c r="J3451" t="n">
        <v>0</v>
      </c>
      <c r="K3451" t="n">
        <v>0</v>
      </c>
      <c r="L3451" t="n">
        <v>0</v>
      </c>
      <c r="M3451" t="n">
        <v>0</v>
      </c>
      <c r="N3451" t="n">
        <v>0</v>
      </c>
      <c r="O3451" t="n">
        <v>0</v>
      </c>
      <c r="P3451" t="n">
        <v>0</v>
      </c>
      <c r="Q3451" t="n">
        <v>0</v>
      </c>
      <c r="R3451" s="2" t="inlineStr"/>
    </row>
    <row r="3452" ht="15" customHeight="1">
      <c r="A3452" t="inlineStr">
        <is>
          <t>A 40664-2024</t>
        </is>
      </c>
      <c r="B3452" s="1" t="n">
        <v>45558</v>
      </c>
      <c r="C3452" s="1" t="n">
        <v>46093</v>
      </c>
      <c r="D3452" t="inlineStr">
        <is>
          <t>VÄSTERNORRLANDS LÄN</t>
        </is>
      </c>
      <c r="E3452" t="inlineStr">
        <is>
          <t>TIMRÅ</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39078-2025</t>
        </is>
      </c>
      <c r="B3453" s="1" t="n">
        <v>45888.47908564815</v>
      </c>
      <c r="C3453" s="1" t="n">
        <v>46093</v>
      </c>
      <c r="D3453" t="inlineStr">
        <is>
          <t>VÄSTERNORRLANDS LÄN</t>
        </is>
      </c>
      <c r="E3453" t="inlineStr">
        <is>
          <t>ÖRNSKÖLDSVIK</t>
        </is>
      </c>
      <c r="F3453" t="inlineStr">
        <is>
          <t>Holmen skog AB</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47471-2024</t>
        </is>
      </c>
      <c r="B3454" s="1" t="n">
        <v>45587.57324074074</v>
      </c>
      <c r="C3454" s="1" t="n">
        <v>46093</v>
      </c>
      <c r="D3454" t="inlineStr">
        <is>
          <t>VÄSTERNORRLANDS LÄN</t>
        </is>
      </c>
      <c r="E3454" t="inlineStr">
        <is>
          <t>SOLLEFTEÅ</t>
        </is>
      </c>
      <c r="F3454" t="inlineStr">
        <is>
          <t>SCA</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60205-2023</t>
        </is>
      </c>
      <c r="B3455" s="1" t="n">
        <v>45257</v>
      </c>
      <c r="C3455" s="1" t="n">
        <v>46093</v>
      </c>
      <c r="D3455" t="inlineStr">
        <is>
          <t>VÄSTERNORRLANDS LÄN</t>
        </is>
      </c>
      <c r="E3455" t="inlineStr">
        <is>
          <t>ÅNGE</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39170-2025</t>
        </is>
      </c>
      <c r="B3456" s="1" t="n">
        <v>45887</v>
      </c>
      <c r="C3456" s="1" t="n">
        <v>46093</v>
      </c>
      <c r="D3456" t="inlineStr">
        <is>
          <t>VÄSTERNORRLANDS LÄN</t>
        </is>
      </c>
      <c r="E3456" t="inlineStr">
        <is>
          <t>KRAMFORS</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37947-2023</t>
        </is>
      </c>
      <c r="B3457" s="1" t="n">
        <v>45160.55457175926</v>
      </c>
      <c r="C3457" s="1" t="n">
        <v>46093</v>
      </c>
      <c r="D3457" t="inlineStr">
        <is>
          <t>VÄSTERNORRLANDS LÄN</t>
        </is>
      </c>
      <c r="E3457" t="inlineStr">
        <is>
          <t>ÖRNSKÖLDSVIK</t>
        </is>
      </c>
      <c r="F3457" t="inlineStr">
        <is>
          <t>Holmen skog AB</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47788-2024</t>
        </is>
      </c>
      <c r="B3458" s="1" t="n">
        <v>45588.59452546296</v>
      </c>
      <c r="C3458" s="1" t="n">
        <v>46093</v>
      </c>
      <c r="D3458" t="inlineStr">
        <is>
          <t>VÄSTERNORRLANDS LÄN</t>
        </is>
      </c>
      <c r="E3458" t="inlineStr">
        <is>
          <t>SUNDSVALL</t>
        </is>
      </c>
      <c r="F3458" t="inlineStr">
        <is>
          <t>SCA</t>
        </is>
      </c>
      <c r="G3458" t="n">
        <v>4.7</v>
      </c>
      <c r="H3458" t="n">
        <v>0</v>
      </c>
      <c r="I3458" t="n">
        <v>0</v>
      </c>
      <c r="J3458" t="n">
        <v>0</v>
      </c>
      <c r="K3458" t="n">
        <v>0</v>
      </c>
      <c r="L3458" t="n">
        <v>0</v>
      </c>
      <c r="M3458" t="n">
        <v>0</v>
      </c>
      <c r="N3458" t="n">
        <v>0</v>
      </c>
      <c r="O3458" t="n">
        <v>0</v>
      </c>
      <c r="P3458" t="n">
        <v>0</v>
      </c>
      <c r="Q3458" t="n">
        <v>0</v>
      </c>
      <c r="R3458" s="2" t="inlineStr"/>
    </row>
    <row r="3459" ht="15" customHeight="1">
      <c r="A3459" t="inlineStr">
        <is>
          <t>A 42700-2021</t>
        </is>
      </c>
      <c r="B3459" s="1" t="n">
        <v>44428</v>
      </c>
      <c r="C3459" s="1" t="n">
        <v>46093</v>
      </c>
      <c r="D3459" t="inlineStr">
        <is>
          <t>VÄSTERNORRLANDS LÄN</t>
        </is>
      </c>
      <c r="E3459" t="inlineStr">
        <is>
          <t>SUNDSVALL</t>
        </is>
      </c>
      <c r="G3459" t="n">
        <v>8.199999999999999</v>
      </c>
      <c r="H3459" t="n">
        <v>0</v>
      </c>
      <c r="I3459" t="n">
        <v>0</v>
      </c>
      <c r="J3459" t="n">
        <v>0</v>
      </c>
      <c r="K3459" t="n">
        <v>0</v>
      </c>
      <c r="L3459" t="n">
        <v>0</v>
      </c>
      <c r="M3459" t="n">
        <v>0</v>
      </c>
      <c r="N3459" t="n">
        <v>0</v>
      </c>
      <c r="O3459" t="n">
        <v>0</v>
      </c>
      <c r="P3459" t="n">
        <v>0</v>
      </c>
      <c r="Q3459" t="n">
        <v>0</v>
      </c>
      <c r="R3459" s="2" t="inlineStr"/>
    </row>
    <row r="3460" ht="15" customHeight="1">
      <c r="A3460" t="inlineStr">
        <is>
          <t>A 25001-2024</t>
        </is>
      </c>
      <c r="B3460" s="1" t="n">
        <v>45461.78337962963</v>
      </c>
      <c r="C3460" s="1" t="n">
        <v>46093</v>
      </c>
      <c r="D3460" t="inlineStr">
        <is>
          <t>VÄSTERNORRLANDS LÄN</t>
        </is>
      </c>
      <c r="E3460" t="inlineStr">
        <is>
          <t>ÖRNSKÖLDSVIK</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65146-2023</t>
        </is>
      </c>
      <c r="B3461" s="1" t="n">
        <v>45288.57377314815</v>
      </c>
      <c r="C3461" s="1" t="n">
        <v>46093</v>
      </c>
      <c r="D3461" t="inlineStr">
        <is>
          <t>VÄSTERNORRLANDS LÄN</t>
        </is>
      </c>
      <c r="E3461" t="inlineStr">
        <is>
          <t>ÖRNSKÖLDSVIK</t>
        </is>
      </c>
      <c r="F3461" t="inlineStr">
        <is>
          <t>Holmen skog AB</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34820-2025</t>
        </is>
      </c>
      <c r="B3462" s="1" t="n">
        <v>45849</v>
      </c>
      <c r="C3462" s="1" t="n">
        <v>46093</v>
      </c>
      <c r="D3462" t="inlineStr">
        <is>
          <t>VÄSTERNORRLANDS LÄN</t>
        </is>
      </c>
      <c r="E3462" t="inlineStr">
        <is>
          <t>ÖRNSKÖLDSVIK</t>
        </is>
      </c>
      <c r="G3462" t="n">
        <v>4.9</v>
      </c>
      <c r="H3462" t="n">
        <v>0</v>
      </c>
      <c r="I3462" t="n">
        <v>0</v>
      </c>
      <c r="J3462" t="n">
        <v>0</v>
      </c>
      <c r="K3462" t="n">
        <v>0</v>
      </c>
      <c r="L3462" t="n">
        <v>0</v>
      </c>
      <c r="M3462" t="n">
        <v>0</v>
      </c>
      <c r="N3462" t="n">
        <v>0</v>
      </c>
      <c r="O3462" t="n">
        <v>0</v>
      </c>
      <c r="P3462" t="n">
        <v>0</v>
      </c>
      <c r="Q3462" t="n">
        <v>0</v>
      </c>
      <c r="R3462" s="2" t="inlineStr"/>
    </row>
    <row r="3463" ht="15" customHeight="1">
      <c r="A3463" t="inlineStr">
        <is>
          <t>A 50721-2024</t>
        </is>
      </c>
      <c r="B3463" s="1" t="n">
        <v>45602.3863425926</v>
      </c>
      <c r="C3463" s="1" t="n">
        <v>46093</v>
      </c>
      <c r="D3463" t="inlineStr">
        <is>
          <t>VÄSTERNORRLANDS LÄN</t>
        </is>
      </c>
      <c r="E3463" t="inlineStr">
        <is>
          <t>SOLLEFTEÅ</t>
        </is>
      </c>
      <c r="F3463" t="inlineStr">
        <is>
          <t>SCA</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39008-2025</t>
        </is>
      </c>
      <c r="B3464" s="1" t="n">
        <v>45888.34532407407</v>
      </c>
      <c r="C3464" s="1" t="n">
        <v>46093</v>
      </c>
      <c r="D3464" t="inlineStr">
        <is>
          <t>VÄSTERNORRLANDS LÄN</t>
        </is>
      </c>
      <c r="E3464" t="inlineStr">
        <is>
          <t>SUNDSVALL</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38307-2024</t>
        </is>
      </c>
      <c r="B3465" s="1" t="n">
        <v>45545.64277777778</v>
      </c>
      <c r="C3465" s="1" t="n">
        <v>46093</v>
      </c>
      <c r="D3465" t="inlineStr">
        <is>
          <t>VÄSTERNORRLANDS LÄN</t>
        </is>
      </c>
      <c r="E3465" t="inlineStr">
        <is>
          <t>ÖRNSKÖLDSVIK</t>
        </is>
      </c>
      <c r="F3465" t="inlineStr">
        <is>
          <t>Holmen skog AB</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39070-2025</t>
        </is>
      </c>
      <c r="B3466" s="1" t="n">
        <v>45888.4690162037</v>
      </c>
      <c r="C3466" s="1" t="n">
        <v>46093</v>
      </c>
      <c r="D3466" t="inlineStr">
        <is>
          <t>VÄSTERNORRLANDS LÄN</t>
        </is>
      </c>
      <c r="E3466" t="inlineStr">
        <is>
          <t>HÄRNÖSAND</t>
        </is>
      </c>
      <c r="G3466" t="n">
        <v>3.4</v>
      </c>
      <c r="H3466" t="n">
        <v>0</v>
      </c>
      <c r="I3466" t="n">
        <v>0</v>
      </c>
      <c r="J3466" t="n">
        <v>0</v>
      </c>
      <c r="K3466" t="n">
        <v>0</v>
      </c>
      <c r="L3466" t="n">
        <v>0</v>
      </c>
      <c r="M3466" t="n">
        <v>0</v>
      </c>
      <c r="N3466" t="n">
        <v>0</v>
      </c>
      <c r="O3466" t="n">
        <v>0</v>
      </c>
      <c r="P3466" t="n">
        <v>0</v>
      </c>
      <c r="Q3466" t="n">
        <v>0</v>
      </c>
      <c r="R3466" s="2" t="inlineStr"/>
    </row>
    <row r="3467" ht="15" customHeight="1">
      <c r="A3467" t="inlineStr">
        <is>
          <t>A 9253-2025</t>
        </is>
      </c>
      <c r="B3467" s="1" t="n">
        <v>45714.59430555555</v>
      </c>
      <c r="C3467" s="1" t="n">
        <v>46093</v>
      </c>
      <c r="D3467" t="inlineStr">
        <is>
          <t>VÄSTERNORRLANDS LÄN</t>
        </is>
      </c>
      <c r="E3467" t="inlineStr">
        <is>
          <t>SOLLEFTEÅ</t>
        </is>
      </c>
      <c r="F3467" t="inlineStr">
        <is>
          <t>SCA</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46247-2022</t>
        </is>
      </c>
      <c r="B3468" s="1" t="n">
        <v>44846</v>
      </c>
      <c r="C3468" s="1" t="n">
        <v>46093</v>
      </c>
      <c r="D3468" t="inlineStr">
        <is>
          <t>VÄSTERNORRLANDS LÄN</t>
        </is>
      </c>
      <c r="E3468" t="inlineStr">
        <is>
          <t>SUNDSVALL</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26987-2024</t>
        </is>
      </c>
      <c r="B3469" s="1" t="n">
        <v>45471</v>
      </c>
      <c r="C3469" s="1" t="n">
        <v>46093</v>
      </c>
      <c r="D3469" t="inlineStr">
        <is>
          <t>VÄSTERNORRLANDS LÄN</t>
        </is>
      </c>
      <c r="E3469" t="inlineStr">
        <is>
          <t>ÖRNSKÖLDSVIK</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45940-2024</t>
        </is>
      </c>
      <c r="B3470" s="1" t="n">
        <v>45580.53167824074</v>
      </c>
      <c r="C3470" s="1" t="n">
        <v>46093</v>
      </c>
      <c r="D3470" t="inlineStr">
        <is>
          <t>VÄSTERNORRLANDS LÄN</t>
        </is>
      </c>
      <c r="E3470" t="inlineStr">
        <is>
          <t>SOLLEFTEÅ</t>
        </is>
      </c>
      <c r="F3470" t="inlineStr">
        <is>
          <t>SCA</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55636-2024</t>
        </is>
      </c>
      <c r="B3471" s="1" t="n">
        <v>45622.61081018519</v>
      </c>
      <c r="C3471" s="1" t="n">
        <v>46093</v>
      </c>
      <c r="D3471" t="inlineStr">
        <is>
          <t>VÄSTERNORRLANDS LÄN</t>
        </is>
      </c>
      <c r="E3471" t="inlineStr">
        <is>
          <t>ÖRNSKÖLDSVIK</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35166-2025</t>
        </is>
      </c>
      <c r="B3472" s="1" t="n">
        <v>45852</v>
      </c>
      <c r="C3472" s="1" t="n">
        <v>46093</v>
      </c>
      <c r="D3472" t="inlineStr">
        <is>
          <t>VÄSTERNORRLANDS LÄN</t>
        </is>
      </c>
      <c r="E3472" t="inlineStr">
        <is>
          <t>ÖRNSKÖLDSVIK</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45975-2024</t>
        </is>
      </c>
      <c r="B3473" s="1" t="n">
        <v>45580.59425925926</v>
      </c>
      <c r="C3473" s="1" t="n">
        <v>46093</v>
      </c>
      <c r="D3473" t="inlineStr">
        <is>
          <t>VÄSTERNORRLANDS LÄN</t>
        </is>
      </c>
      <c r="E3473" t="inlineStr">
        <is>
          <t>SOLLEFTEÅ</t>
        </is>
      </c>
      <c r="F3473" t="inlineStr">
        <is>
          <t>SCA</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2129-2024</t>
        </is>
      </c>
      <c r="B3474" s="1" t="n">
        <v>45309</v>
      </c>
      <c r="C3474" s="1" t="n">
        <v>46093</v>
      </c>
      <c r="D3474" t="inlineStr">
        <is>
          <t>VÄSTERNORRLANDS LÄN</t>
        </is>
      </c>
      <c r="E3474" t="inlineStr">
        <is>
          <t>ÖRNSKÖLDSVIK</t>
        </is>
      </c>
      <c r="G3474" t="n">
        <v>4.7</v>
      </c>
      <c r="H3474" t="n">
        <v>0</v>
      </c>
      <c r="I3474" t="n">
        <v>0</v>
      </c>
      <c r="J3474" t="n">
        <v>0</v>
      </c>
      <c r="K3474" t="n">
        <v>0</v>
      </c>
      <c r="L3474" t="n">
        <v>0</v>
      </c>
      <c r="M3474" t="n">
        <v>0</v>
      </c>
      <c r="N3474" t="n">
        <v>0</v>
      </c>
      <c r="O3474" t="n">
        <v>0</v>
      </c>
      <c r="P3474" t="n">
        <v>0</v>
      </c>
      <c r="Q3474" t="n">
        <v>0</v>
      </c>
      <c r="R3474" s="2" t="inlineStr"/>
    </row>
    <row r="3475" ht="15" customHeight="1">
      <c r="A3475" t="inlineStr">
        <is>
          <t>A 45986-2024</t>
        </is>
      </c>
      <c r="B3475" s="1" t="n">
        <v>45580.62356481481</v>
      </c>
      <c r="C3475" s="1" t="n">
        <v>46093</v>
      </c>
      <c r="D3475" t="inlineStr">
        <is>
          <t>VÄSTERNORRLANDS LÄN</t>
        </is>
      </c>
      <c r="E3475" t="inlineStr">
        <is>
          <t>ÖRNSKÖLDSVIK</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46001-2024</t>
        </is>
      </c>
      <c r="B3476" s="1" t="n">
        <v>45580</v>
      </c>
      <c r="C3476" s="1" t="n">
        <v>46093</v>
      </c>
      <c r="D3476" t="inlineStr">
        <is>
          <t>VÄSTERNORRLANDS LÄN</t>
        </is>
      </c>
      <c r="E3476" t="inlineStr">
        <is>
          <t>ÖRNSKÖLDSVIK</t>
        </is>
      </c>
      <c r="F3476" t="inlineStr">
        <is>
          <t>Holmen skog AB</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55729-2024</t>
        </is>
      </c>
      <c r="B3477" s="1" t="n">
        <v>45622</v>
      </c>
      <c r="C3477" s="1" t="n">
        <v>46093</v>
      </c>
      <c r="D3477" t="inlineStr">
        <is>
          <t>VÄSTERNORRLANDS LÄN</t>
        </is>
      </c>
      <c r="E3477" t="inlineStr">
        <is>
          <t>TIMRÅ</t>
        </is>
      </c>
      <c r="G3477" t="n">
        <v>3.1</v>
      </c>
      <c r="H3477" t="n">
        <v>0</v>
      </c>
      <c r="I3477" t="n">
        <v>0</v>
      </c>
      <c r="J3477" t="n">
        <v>0</v>
      </c>
      <c r="K3477" t="n">
        <v>0</v>
      </c>
      <c r="L3477" t="n">
        <v>0</v>
      </c>
      <c r="M3477" t="n">
        <v>0</v>
      </c>
      <c r="N3477" t="n">
        <v>0</v>
      </c>
      <c r="O3477" t="n">
        <v>0</v>
      </c>
      <c r="P3477" t="n">
        <v>0</v>
      </c>
      <c r="Q3477" t="n">
        <v>0</v>
      </c>
      <c r="R3477" s="2" t="inlineStr"/>
    </row>
    <row r="3478" ht="15" customHeight="1">
      <c r="A3478" t="inlineStr">
        <is>
          <t>A 48021-2024</t>
        </is>
      </c>
      <c r="B3478" s="1" t="n">
        <v>45589.47032407407</v>
      </c>
      <c r="C3478" s="1" t="n">
        <v>46093</v>
      </c>
      <c r="D3478" t="inlineStr">
        <is>
          <t>VÄSTERNORRLANDS LÄN</t>
        </is>
      </c>
      <c r="E3478" t="inlineStr">
        <is>
          <t>SOLLEFTEÅ</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15606-2024</t>
        </is>
      </c>
      <c r="B3479" s="1" t="n">
        <v>45401.9252662037</v>
      </c>
      <c r="C3479" s="1" t="n">
        <v>46093</v>
      </c>
      <c r="D3479" t="inlineStr">
        <is>
          <t>VÄSTERNORRLANDS LÄN</t>
        </is>
      </c>
      <c r="E3479" t="inlineStr">
        <is>
          <t>ÖRNSKÖLDSVIK</t>
        </is>
      </c>
      <c r="G3479" t="n">
        <v>4</v>
      </c>
      <c r="H3479" t="n">
        <v>0</v>
      </c>
      <c r="I3479" t="n">
        <v>0</v>
      </c>
      <c r="J3479" t="n">
        <v>0</v>
      </c>
      <c r="K3479" t="n">
        <v>0</v>
      </c>
      <c r="L3479" t="n">
        <v>0</v>
      </c>
      <c r="M3479" t="n">
        <v>0</v>
      </c>
      <c r="N3479" t="n">
        <v>0</v>
      </c>
      <c r="O3479" t="n">
        <v>0</v>
      </c>
      <c r="P3479" t="n">
        <v>0</v>
      </c>
      <c r="Q3479" t="n">
        <v>0</v>
      </c>
      <c r="R3479" s="2" t="inlineStr"/>
    </row>
    <row r="3480" ht="15" customHeight="1">
      <c r="A3480" t="inlineStr">
        <is>
          <t>A 33631-2024</t>
        </is>
      </c>
      <c r="B3480" s="1" t="n">
        <v>45520</v>
      </c>
      <c r="C3480" s="1" t="n">
        <v>46093</v>
      </c>
      <c r="D3480" t="inlineStr">
        <is>
          <t>VÄSTERNORRLANDS LÄN</t>
        </is>
      </c>
      <c r="E3480" t="inlineStr">
        <is>
          <t>ÅNGE</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374-2025</t>
        </is>
      </c>
      <c r="B3481" s="1" t="n">
        <v>45661.64950231482</v>
      </c>
      <c r="C3481" s="1" t="n">
        <v>46093</v>
      </c>
      <c r="D3481" t="inlineStr">
        <is>
          <t>VÄSTERNORRLANDS LÄN</t>
        </is>
      </c>
      <c r="E3481" t="inlineStr">
        <is>
          <t>ÖRNSKÖLDSVIK</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22053-2025</t>
        </is>
      </c>
      <c r="B3482" s="1" t="n">
        <v>45785.3650462963</v>
      </c>
      <c r="C3482" s="1" t="n">
        <v>46093</v>
      </c>
      <c r="D3482" t="inlineStr">
        <is>
          <t>VÄSTERNORRLANDS LÄN</t>
        </is>
      </c>
      <c r="E3482" t="inlineStr">
        <is>
          <t>SUNDSVALL</t>
        </is>
      </c>
      <c r="F3482" t="inlineStr">
        <is>
          <t>SCA</t>
        </is>
      </c>
      <c r="G3482" t="n">
        <v>5.7</v>
      </c>
      <c r="H3482" t="n">
        <v>0</v>
      </c>
      <c r="I3482" t="n">
        <v>0</v>
      </c>
      <c r="J3482" t="n">
        <v>0</v>
      </c>
      <c r="K3482" t="n">
        <v>0</v>
      </c>
      <c r="L3482" t="n">
        <v>0</v>
      </c>
      <c r="M3482" t="n">
        <v>0</v>
      </c>
      <c r="N3482" t="n">
        <v>0</v>
      </c>
      <c r="O3482" t="n">
        <v>0</v>
      </c>
      <c r="P3482" t="n">
        <v>0</v>
      </c>
      <c r="Q3482" t="n">
        <v>0</v>
      </c>
      <c r="R3482" s="2" t="inlineStr"/>
    </row>
    <row r="3483" ht="15" customHeight="1">
      <c r="A3483" t="inlineStr">
        <is>
          <t>A 39181-2025</t>
        </is>
      </c>
      <c r="B3483" s="1" t="n">
        <v>45887</v>
      </c>
      <c r="C3483" s="1" t="n">
        <v>46093</v>
      </c>
      <c r="D3483" t="inlineStr">
        <is>
          <t>VÄSTERNORRLANDS LÄN</t>
        </is>
      </c>
      <c r="E3483" t="inlineStr">
        <is>
          <t>KRAMFORS</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39203-2025</t>
        </is>
      </c>
      <c r="B3484" s="1" t="n">
        <v>45888</v>
      </c>
      <c r="C3484" s="1" t="n">
        <v>46093</v>
      </c>
      <c r="D3484" t="inlineStr">
        <is>
          <t>VÄSTERNORRLANDS LÄN</t>
        </is>
      </c>
      <c r="E3484" t="inlineStr">
        <is>
          <t>ÖRNSKÖLDSVIK</t>
        </is>
      </c>
      <c r="G3484" t="n">
        <v>8.300000000000001</v>
      </c>
      <c r="H3484" t="n">
        <v>0</v>
      </c>
      <c r="I3484" t="n">
        <v>0</v>
      </c>
      <c r="J3484" t="n">
        <v>0</v>
      </c>
      <c r="K3484" t="n">
        <v>0</v>
      </c>
      <c r="L3484" t="n">
        <v>0</v>
      </c>
      <c r="M3484" t="n">
        <v>0</v>
      </c>
      <c r="N3484" t="n">
        <v>0</v>
      </c>
      <c r="O3484" t="n">
        <v>0</v>
      </c>
      <c r="P3484" t="n">
        <v>0</v>
      </c>
      <c r="Q3484" t="n">
        <v>0</v>
      </c>
      <c r="R3484" s="2" t="inlineStr"/>
    </row>
    <row r="3485" ht="15" customHeight="1">
      <c r="A3485" t="inlineStr">
        <is>
          <t>A 58463-2024</t>
        </is>
      </c>
      <c r="B3485" s="1" t="n">
        <v>45635.36650462963</v>
      </c>
      <c r="C3485" s="1" t="n">
        <v>46093</v>
      </c>
      <c r="D3485" t="inlineStr">
        <is>
          <t>VÄSTERNORRLANDS LÄN</t>
        </is>
      </c>
      <c r="E3485" t="inlineStr">
        <is>
          <t>SOLLEFTEÅ</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38981-2025</t>
        </is>
      </c>
      <c r="B3486" s="1" t="n">
        <v>45888.279375</v>
      </c>
      <c r="C3486" s="1" t="n">
        <v>46093</v>
      </c>
      <c r="D3486" t="inlineStr">
        <is>
          <t>VÄSTERNORRLANDS LÄN</t>
        </is>
      </c>
      <c r="E3486" t="inlineStr">
        <is>
          <t>ÖRNSKÖLDSVIK</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38985-2025</t>
        </is>
      </c>
      <c r="B3487" s="1" t="n">
        <v>45888.30136574074</v>
      </c>
      <c r="C3487" s="1" t="n">
        <v>46093</v>
      </c>
      <c r="D3487" t="inlineStr">
        <is>
          <t>VÄSTERNORRLANDS LÄN</t>
        </is>
      </c>
      <c r="E3487" t="inlineStr">
        <is>
          <t>ÖRNSKÖLDSVIK</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38959-2025</t>
        </is>
      </c>
      <c r="B3488" s="1" t="n">
        <v>45887.67769675926</v>
      </c>
      <c r="C3488" s="1" t="n">
        <v>46093</v>
      </c>
      <c r="D3488" t="inlineStr">
        <is>
          <t>VÄSTERNORRLANDS LÄN</t>
        </is>
      </c>
      <c r="E3488" t="inlineStr">
        <is>
          <t>SOLLEFTEÅ</t>
        </is>
      </c>
      <c r="F3488" t="inlineStr">
        <is>
          <t>SCA</t>
        </is>
      </c>
      <c r="G3488" t="n">
        <v>8.699999999999999</v>
      </c>
      <c r="H3488" t="n">
        <v>0</v>
      </c>
      <c r="I3488" t="n">
        <v>0</v>
      </c>
      <c r="J3488" t="n">
        <v>0</v>
      </c>
      <c r="K3488" t="n">
        <v>0</v>
      </c>
      <c r="L3488" t="n">
        <v>0</v>
      </c>
      <c r="M3488" t="n">
        <v>0</v>
      </c>
      <c r="N3488" t="n">
        <v>0</v>
      </c>
      <c r="O3488" t="n">
        <v>0</v>
      </c>
      <c r="P3488" t="n">
        <v>0</v>
      </c>
      <c r="Q3488" t="n">
        <v>0</v>
      </c>
      <c r="R3488" s="2" t="inlineStr"/>
    </row>
    <row r="3489" ht="15" customHeight="1">
      <c r="A3489" t="inlineStr">
        <is>
          <t>A 25097-2024</t>
        </is>
      </c>
      <c r="B3489" s="1" t="n">
        <v>45462.41476851852</v>
      </c>
      <c r="C3489" s="1" t="n">
        <v>46093</v>
      </c>
      <c r="D3489" t="inlineStr">
        <is>
          <t>VÄSTERNORRLANDS LÄN</t>
        </is>
      </c>
      <c r="E3489" t="inlineStr">
        <is>
          <t>ÖRNSKÖLDSVIK</t>
        </is>
      </c>
      <c r="F3489" t="inlineStr">
        <is>
          <t>Holmen skog AB</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52088-2024</t>
        </is>
      </c>
      <c r="B3490" s="1" t="n">
        <v>45608.39836805555</v>
      </c>
      <c r="C3490" s="1" t="n">
        <v>46093</v>
      </c>
      <c r="D3490" t="inlineStr">
        <is>
          <t>VÄSTERNORRLANDS LÄN</t>
        </is>
      </c>
      <c r="E3490" t="inlineStr">
        <is>
          <t>ÖRNSKÖLDSVIK</t>
        </is>
      </c>
      <c r="F3490" t="inlineStr">
        <is>
          <t>Holmen skog AB</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63991-2023</t>
        </is>
      </c>
      <c r="B3491" s="1" t="n">
        <v>45278</v>
      </c>
      <c r="C3491" s="1" t="n">
        <v>46093</v>
      </c>
      <c r="D3491" t="inlineStr">
        <is>
          <t>VÄSTERNORRLANDS LÄN</t>
        </is>
      </c>
      <c r="E3491" t="inlineStr">
        <is>
          <t>KRAMFORS</t>
        </is>
      </c>
      <c r="G3491" t="n">
        <v>3.3</v>
      </c>
      <c r="H3491" t="n">
        <v>0</v>
      </c>
      <c r="I3491" t="n">
        <v>0</v>
      </c>
      <c r="J3491" t="n">
        <v>0</v>
      </c>
      <c r="K3491" t="n">
        <v>0</v>
      </c>
      <c r="L3491" t="n">
        <v>0</v>
      </c>
      <c r="M3491" t="n">
        <v>0</v>
      </c>
      <c r="N3491" t="n">
        <v>0</v>
      </c>
      <c r="O3491" t="n">
        <v>0</v>
      </c>
      <c r="P3491" t="n">
        <v>0</v>
      </c>
      <c r="Q3491" t="n">
        <v>0</v>
      </c>
      <c r="R3491" s="2" t="inlineStr"/>
    </row>
    <row r="3492" ht="15" customHeight="1">
      <c r="A3492" t="inlineStr">
        <is>
          <t>A 19342-2024</t>
        </is>
      </c>
      <c r="B3492" s="1" t="n">
        <v>45428</v>
      </c>
      <c r="C3492" s="1" t="n">
        <v>46093</v>
      </c>
      <c r="D3492" t="inlineStr">
        <is>
          <t>VÄSTERNORRLANDS LÄN</t>
        </is>
      </c>
      <c r="E3492" t="inlineStr">
        <is>
          <t>ÅNGE</t>
        </is>
      </c>
      <c r="F3492" t="inlineStr">
        <is>
          <t>SCA</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39050-2025</t>
        </is>
      </c>
      <c r="B3493" s="1" t="n">
        <v>45888.44716435186</v>
      </c>
      <c r="C3493" s="1" t="n">
        <v>46093</v>
      </c>
      <c r="D3493" t="inlineStr">
        <is>
          <t>VÄSTERNORRLANDS LÄN</t>
        </is>
      </c>
      <c r="E3493" t="inlineStr">
        <is>
          <t>ÖRNSKÖLDSVIK</t>
        </is>
      </c>
      <c r="F3493" t="inlineStr">
        <is>
          <t>Holmen skog AB</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31916-2023</t>
        </is>
      </c>
      <c r="B3494" s="1" t="n">
        <v>45118.93978009259</v>
      </c>
      <c r="C3494" s="1" t="n">
        <v>46093</v>
      </c>
      <c r="D3494" t="inlineStr">
        <is>
          <t>VÄSTERNORRLANDS LÄN</t>
        </is>
      </c>
      <c r="E3494" t="inlineStr">
        <is>
          <t>SOLLEFTEÅ</t>
        </is>
      </c>
      <c r="F3494" t="inlineStr">
        <is>
          <t>SCA</t>
        </is>
      </c>
      <c r="G3494" t="n">
        <v>3.6</v>
      </c>
      <c r="H3494" t="n">
        <v>0</v>
      </c>
      <c r="I3494" t="n">
        <v>0</v>
      </c>
      <c r="J3494" t="n">
        <v>0</v>
      </c>
      <c r="K3494" t="n">
        <v>0</v>
      </c>
      <c r="L3494" t="n">
        <v>0</v>
      </c>
      <c r="M3494" t="n">
        <v>0</v>
      </c>
      <c r="N3494" t="n">
        <v>0</v>
      </c>
      <c r="O3494" t="n">
        <v>0</v>
      </c>
      <c r="P3494" t="n">
        <v>0</v>
      </c>
      <c r="Q3494" t="n">
        <v>0</v>
      </c>
      <c r="R3494" s="2" t="inlineStr"/>
    </row>
    <row r="3495" ht="15" customHeight="1">
      <c r="A3495" t="inlineStr">
        <is>
          <t>A 37999-2023</t>
        </is>
      </c>
      <c r="B3495" s="1" t="n">
        <v>45160</v>
      </c>
      <c r="C3495" s="1" t="n">
        <v>46093</v>
      </c>
      <c r="D3495" t="inlineStr">
        <is>
          <t>VÄSTERNORRLANDS LÄN</t>
        </is>
      </c>
      <c r="E3495" t="inlineStr">
        <is>
          <t>ÖRNSKÖLDSVIK</t>
        </is>
      </c>
      <c r="F3495" t="inlineStr">
        <is>
          <t>Holmen skog AB</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31919-2023</t>
        </is>
      </c>
      <c r="B3496" s="1" t="n">
        <v>45118</v>
      </c>
      <c r="C3496" s="1" t="n">
        <v>46093</v>
      </c>
      <c r="D3496" t="inlineStr">
        <is>
          <t>VÄSTERNORRLANDS LÄN</t>
        </is>
      </c>
      <c r="E3496" t="inlineStr">
        <is>
          <t>SOLLEFTEÅ</t>
        </is>
      </c>
      <c r="F3496" t="inlineStr">
        <is>
          <t>SCA</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29163-2024</t>
        </is>
      </c>
      <c r="B3497" s="1" t="n">
        <v>45482</v>
      </c>
      <c r="C3497" s="1" t="n">
        <v>46093</v>
      </c>
      <c r="D3497" t="inlineStr">
        <is>
          <t>VÄSTERNORRLANDS LÄN</t>
        </is>
      </c>
      <c r="E3497" t="inlineStr">
        <is>
          <t>ÖRNSKÖLDSVIK</t>
        </is>
      </c>
      <c r="G3497" t="n">
        <v>0.3</v>
      </c>
      <c r="H3497" t="n">
        <v>0</v>
      </c>
      <c r="I3497" t="n">
        <v>0</v>
      </c>
      <c r="J3497" t="n">
        <v>0</v>
      </c>
      <c r="K3497" t="n">
        <v>0</v>
      </c>
      <c r="L3497" t="n">
        <v>0</v>
      </c>
      <c r="M3497" t="n">
        <v>0</v>
      </c>
      <c r="N3497" t="n">
        <v>0</v>
      </c>
      <c r="O3497" t="n">
        <v>0</v>
      </c>
      <c r="P3497" t="n">
        <v>0</v>
      </c>
      <c r="Q3497" t="n">
        <v>0</v>
      </c>
      <c r="R3497" s="2" t="inlineStr"/>
    </row>
    <row r="3498" ht="15" customHeight="1">
      <c r="A3498" t="inlineStr">
        <is>
          <t>A 44876-2024</t>
        </is>
      </c>
      <c r="B3498" s="1" t="n">
        <v>45575.34474537037</v>
      </c>
      <c r="C3498" s="1" t="n">
        <v>46093</v>
      </c>
      <c r="D3498" t="inlineStr">
        <is>
          <t>VÄSTERNORRLANDS LÄN</t>
        </is>
      </c>
      <c r="E3498" t="inlineStr">
        <is>
          <t>ÅNGE</t>
        </is>
      </c>
      <c r="F3498" t="inlineStr">
        <is>
          <t>SCA</t>
        </is>
      </c>
      <c r="G3498" t="n">
        <v>12.4</v>
      </c>
      <c r="H3498" t="n">
        <v>0</v>
      </c>
      <c r="I3498" t="n">
        <v>0</v>
      </c>
      <c r="J3498" t="n">
        <v>0</v>
      </c>
      <c r="K3498" t="n">
        <v>0</v>
      </c>
      <c r="L3498" t="n">
        <v>0</v>
      </c>
      <c r="M3498" t="n">
        <v>0</v>
      </c>
      <c r="N3498" t="n">
        <v>0</v>
      </c>
      <c r="O3498" t="n">
        <v>0</v>
      </c>
      <c r="P3498" t="n">
        <v>0</v>
      </c>
      <c r="Q3498" t="n">
        <v>0</v>
      </c>
      <c r="R3498" s="2" t="inlineStr"/>
    </row>
    <row r="3499" ht="15" customHeight="1">
      <c r="A3499" t="inlineStr">
        <is>
          <t>A 13507-2023</t>
        </is>
      </c>
      <c r="B3499" s="1" t="n">
        <v>45006</v>
      </c>
      <c r="C3499" s="1" t="n">
        <v>46093</v>
      </c>
      <c r="D3499" t="inlineStr">
        <is>
          <t>VÄSTERNORRLANDS LÄN</t>
        </is>
      </c>
      <c r="E3499" t="inlineStr">
        <is>
          <t>SUNDSVALL</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38982-2025</t>
        </is>
      </c>
      <c r="B3500" s="1" t="n">
        <v>45888.29449074074</v>
      </c>
      <c r="C3500" s="1" t="n">
        <v>46093</v>
      </c>
      <c r="D3500" t="inlineStr">
        <is>
          <t>VÄSTERNORRLANDS LÄN</t>
        </is>
      </c>
      <c r="E3500" t="inlineStr">
        <is>
          <t>ÖRNSKÖLDSVIK</t>
        </is>
      </c>
      <c r="G3500" t="n">
        <v>3.7</v>
      </c>
      <c r="H3500" t="n">
        <v>0</v>
      </c>
      <c r="I3500" t="n">
        <v>0</v>
      </c>
      <c r="J3500" t="n">
        <v>0</v>
      </c>
      <c r="K3500" t="n">
        <v>0</v>
      </c>
      <c r="L3500" t="n">
        <v>0</v>
      </c>
      <c r="M3500" t="n">
        <v>0</v>
      </c>
      <c r="N3500" t="n">
        <v>0</v>
      </c>
      <c r="O3500" t="n">
        <v>0</v>
      </c>
      <c r="P3500" t="n">
        <v>0</v>
      </c>
      <c r="Q3500" t="n">
        <v>0</v>
      </c>
      <c r="R3500" s="2" t="inlineStr"/>
    </row>
    <row r="3501" ht="15" customHeight="1">
      <c r="A3501" t="inlineStr">
        <is>
          <t>A 38983-2025</t>
        </is>
      </c>
      <c r="B3501" s="1" t="n">
        <v>45888.29809027778</v>
      </c>
      <c r="C3501" s="1" t="n">
        <v>46093</v>
      </c>
      <c r="D3501" t="inlineStr">
        <is>
          <t>VÄSTERNORRLANDS LÄN</t>
        </is>
      </c>
      <c r="E3501" t="inlineStr">
        <is>
          <t>ÖRNSKÖLDSVIK</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38989-2025</t>
        </is>
      </c>
      <c r="B3502" s="1" t="n">
        <v>45888.32267361111</v>
      </c>
      <c r="C3502" s="1" t="n">
        <v>46093</v>
      </c>
      <c r="D3502" t="inlineStr">
        <is>
          <t>VÄSTERNORRLANDS LÄN</t>
        </is>
      </c>
      <c r="E3502" t="inlineStr">
        <is>
          <t>KRAMFORS</t>
        </is>
      </c>
      <c r="G3502" t="n">
        <v>4.4</v>
      </c>
      <c r="H3502" t="n">
        <v>0</v>
      </c>
      <c r="I3502" t="n">
        <v>0</v>
      </c>
      <c r="J3502" t="n">
        <v>0</v>
      </c>
      <c r="K3502" t="n">
        <v>0</v>
      </c>
      <c r="L3502" t="n">
        <v>0</v>
      </c>
      <c r="M3502" t="n">
        <v>0</v>
      </c>
      <c r="N3502" t="n">
        <v>0</v>
      </c>
      <c r="O3502" t="n">
        <v>0</v>
      </c>
      <c r="P3502" t="n">
        <v>0</v>
      </c>
      <c r="Q3502" t="n">
        <v>0</v>
      </c>
      <c r="R3502" s="2" t="inlineStr"/>
    </row>
    <row r="3503" ht="15" customHeight="1">
      <c r="A3503" t="inlineStr">
        <is>
          <t>A 38033-2024</t>
        </is>
      </c>
      <c r="B3503" s="1" t="n">
        <v>45544</v>
      </c>
      <c r="C3503" s="1" t="n">
        <v>46093</v>
      </c>
      <c r="D3503" t="inlineStr">
        <is>
          <t>VÄSTERNORRLANDS LÄN</t>
        </is>
      </c>
      <c r="E3503" t="inlineStr">
        <is>
          <t>ÖRNSKÖLDSVIK</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44380-2024</t>
        </is>
      </c>
      <c r="B3504" s="1" t="n">
        <v>45573.66344907408</v>
      </c>
      <c r="C3504" s="1" t="n">
        <v>46093</v>
      </c>
      <c r="D3504" t="inlineStr">
        <is>
          <t>VÄSTERNORRLANDS LÄN</t>
        </is>
      </c>
      <c r="E3504" t="inlineStr">
        <is>
          <t>ÖRNSKÖLDSVIK</t>
        </is>
      </c>
      <c r="F3504" t="inlineStr">
        <is>
          <t>Holmen skog AB</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19780-2025</t>
        </is>
      </c>
      <c r="B3505" s="1" t="n">
        <v>45771.42789351852</v>
      </c>
      <c r="C3505" s="1" t="n">
        <v>46093</v>
      </c>
      <c r="D3505" t="inlineStr">
        <is>
          <t>VÄSTERNORRLANDS LÄN</t>
        </is>
      </c>
      <c r="E3505" t="inlineStr">
        <is>
          <t>KRAMFORS</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3555-2022</t>
        </is>
      </c>
      <c r="B3506" s="1" t="n">
        <v>44585.93820601852</v>
      </c>
      <c r="C3506" s="1" t="n">
        <v>46093</v>
      </c>
      <c r="D3506" t="inlineStr">
        <is>
          <t>VÄSTERNORRLANDS LÄN</t>
        </is>
      </c>
      <c r="E3506" t="inlineStr">
        <is>
          <t>SOLLEFTEÅ</t>
        </is>
      </c>
      <c r="F3506" t="inlineStr">
        <is>
          <t>SCA</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64563-2023</t>
        </is>
      </c>
      <c r="B3507" s="1" t="n">
        <v>45281</v>
      </c>
      <c r="C3507" s="1" t="n">
        <v>46093</v>
      </c>
      <c r="D3507" t="inlineStr">
        <is>
          <t>VÄSTERNORRLANDS LÄN</t>
        </is>
      </c>
      <c r="E3507" t="inlineStr">
        <is>
          <t>HÄRNÖSAND</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66027-2021</t>
        </is>
      </c>
      <c r="B3508" s="1" t="n">
        <v>44517</v>
      </c>
      <c r="C3508" s="1" t="n">
        <v>46093</v>
      </c>
      <c r="D3508" t="inlineStr">
        <is>
          <t>VÄSTERNORRLANDS LÄN</t>
        </is>
      </c>
      <c r="E3508" t="inlineStr">
        <is>
          <t>SUNDSVALL</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46008-2024</t>
        </is>
      </c>
      <c r="B3509" s="1" t="n">
        <v>45580.66515046296</v>
      </c>
      <c r="C3509" s="1" t="n">
        <v>46093</v>
      </c>
      <c r="D3509" t="inlineStr">
        <is>
          <t>VÄSTERNORRLANDS LÄN</t>
        </is>
      </c>
      <c r="E3509" t="inlineStr">
        <is>
          <t>ÖRNSKÖLDSVIK</t>
        </is>
      </c>
      <c r="F3509" t="inlineStr">
        <is>
          <t>Holmen skog AB</t>
        </is>
      </c>
      <c r="G3509" t="n">
        <v>3.8</v>
      </c>
      <c r="H3509" t="n">
        <v>0</v>
      </c>
      <c r="I3509" t="n">
        <v>0</v>
      </c>
      <c r="J3509" t="n">
        <v>0</v>
      </c>
      <c r="K3509" t="n">
        <v>0</v>
      </c>
      <c r="L3509" t="n">
        <v>0</v>
      </c>
      <c r="M3509" t="n">
        <v>0</v>
      </c>
      <c r="N3509" t="n">
        <v>0</v>
      </c>
      <c r="O3509" t="n">
        <v>0</v>
      </c>
      <c r="P3509" t="n">
        <v>0</v>
      </c>
      <c r="Q3509" t="n">
        <v>0</v>
      </c>
      <c r="R3509" s="2" t="inlineStr"/>
    </row>
    <row r="3510" ht="15" customHeight="1">
      <c r="A3510" t="inlineStr">
        <is>
          <t>A 46010-2024</t>
        </is>
      </c>
      <c r="B3510" s="1" t="n">
        <v>45580.67363425926</v>
      </c>
      <c r="C3510" s="1" t="n">
        <v>46093</v>
      </c>
      <c r="D3510" t="inlineStr">
        <is>
          <t>VÄSTERNORRLANDS LÄN</t>
        </is>
      </c>
      <c r="E3510" t="inlineStr">
        <is>
          <t>ÖRNSKÖLDSVIK</t>
        </is>
      </c>
      <c r="F3510" t="inlineStr">
        <is>
          <t>Holmen skog AB</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60867-2021</t>
        </is>
      </c>
      <c r="B3511" s="1" t="n">
        <v>44497</v>
      </c>
      <c r="C3511" s="1" t="n">
        <v>46093</v>
      </c>
      <c r="D3511" t="inlineStr">
        <is>
          <t>VÄSTERNORRLANDS LÄN</t>
        </is>
      </c>
      <c r="E3511" t="inlineStr">
        <is>
          <t>ÖRNSKÖLDSVIK</t>
        </is>
      </c>
      <c r="F3511" t="inlineStr">
        <is>
          <t>Holmen skog AB</t>
        </is>
      </c>
      <c r="G3511" t="n">
        <v>0.4</v>
      </c>
      <c r="H3511" t="n">
        <v>0</v>
      </c>
      <c r="I3511" t="n">
        <v>0</v>
      </c>
      <c r="J3511" t="n">
        <v>0</v>
      </c>
      <c r="K3511" t="n">
        <v>0</v>
      </c>
      <c r="L3511" t="n">
        <v>0</v>
      </c>
      <c r="M3511" t="n">
        <v>0</v>
      </c>
      <c r="N3511" t="n">
        <v>0</v>
      </c>
      <c r="O3511" t="n">
        <v>0</v>
      </c>
      <c r="P3511" t="n">
        <v>0</v>
      </c>
      <c r="Q3511" t="n">
        <v>0</v>
      </c>
      <c r="R3511" s="2" t="inlineStr"/>
    </row>
    <row r="3512" ht="15" customHeight="1">
      <c r="A3512" t="inlineStr">
        <is>
          <t>A 22666-2024</t>
        </is>
      </c>
      <c r="B3512" s="1" t="n">
        <v>45447</v>
      </c>
      <c r="C3512" s="1" t="n">
        <v>46093</v>
      </c>
      <c r="D3512" t="inlineStr">
        <is>
          <t>VÄSTERNORRLANDS LÄN</t>
        </is>
      </c>
      <c r="E3512" t="inlineStr">
        <is>
          <t>SOLLEFTEÅ</t>
        </is>
      </c>
      <c r="F3512" t="inlineStr">
        <is>
          <t>SCA</t>
        </is>
      </c>
      <c r="G3512" t="n">
        <v>42</v>
      </c>
      <c r="H3512" t="n">
        <v>0</v>
      </c>
      <c r="I3512" t="n">
        <v>0</v>
      </c>
      <c r="J3512" t="n">
        <v>0</v>
      </c>
      <c r="K3512" t="n">
        <v>0</v>
      </c>
      <c r="L3512" t="n">
        <v>0</v>
      </c>
      <c r="M3512" t="n">
        <v>0</v>
      </c>
      <c r="N3512" t="n">
        <v>0</v>
      </c>
      <c r="O3512" t="n">
        <v>0</v>
      </c>
      <c r="P3512" t="n">
        <v>0</v>
      </c>
      <c r="Q3512" t="n">
        <v>0</v>
      </c>
      <c r="R3512" s="2" t="inlineStr"/>
    </row>
    <row r="3513" ht="15" customHeight="1">
      <c r="A3513" t="inlineStr">
        <is>
          <t>A 35905-2024</t>
        </is>
      </c>
      <c r="B3513" s="1" t="n">
        <v>45533.40674768519</v>
      </c>
      <c r="C3513" s="1" t="n">
        <v>46093</v>
      </c>
      <c r="D3513" t="inlineStr">
        <is>
          <t>VÄSTERNORRLANDS LÄN</t>
        </is>
      </c>
      <c r="E3513" t="inlineStr">
        <is>
          <t>SOLLEFTEÅ</t>
        </is>
      </c>
      <c r="F3513" t="inlineStr">
        <is>
          <t>SCA</t>
        </is>
      </c>
      <c r="G3513" t="n">
        <v>4.6</v>
      </c>
      <c r="H3513" t="n">
        <v>0</v>
      </c>
      <c r="I3513" t="n">
        <v>0</v>
      </c>
      <c r="J3513" t="n">
        <v>0</v>
      </c>
      <c r="K3513" t="n">
        <v>0</v>
      </c>
      <c r="L3513" t="n">
        <v>0</v>
      </c>
      <c r="M3513" t="n">
        <v>0</v>
      </c>
      <c r="N3513" t="n">
        <v>0</v>
      </c>
      <c r="O3513" t="n">
        <v>0</v>
      </c>
      <c r="P3513" t="n">
        <v>0</v>
      </c>
      <c r="Q3513" t="n">
        <v>0</v>
      </c>
      <c r="R3513" s="2" t="inlineStr"/>
    </row>
    <row r="3514" ht="15" customHeight="1">
      <c r="A3514" t="inlineStr">
        <is>
          <t>A 40819-2024</t>
        </is>
      </c>
      <c r="B3514" s="1" t="n">
        <v>45558.55271990741</v>
      </c>
      <c r="C3514" s="1" t="n">
        <v>46093</v>
      </c>
      <c r="D3514" t="inlineStr">
        <is>
          <t>VÄSTERNORRLANDS LÄN</t>
        </is>
      </c>
      <c r="E3514" t="inlineStr">
        <is>
          <t>SOLLEFTEÅ</t>
        </is>
      </c>
      <c r="F3514" t="inlineStr">
        <is>
          <t>SCA</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22675-2024</t>
        </is>
      </c>
      <c r="B3515" s="1" t="n">
        <v>45447.94508101852</v>
      </c>
      <c r="C3515" s="1" t="n">
        <v>46093</v>
      </c>
      <c r="D3515" t="inlineStr">
        <is>
          <t>VÄSTERNORRLANDS LÄN</t>
        </is>
      </c>
      <c r="E3515" t="inlineStr">
        <is>
          <t>SOLLEFTEÅ</t>
        </is>
      </c>
      <c r="F3515" t="inlineStr">
        <is>
          <t>SCA</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11088-2024</t>
        </is>
      </c>
      <c r="B3516" s="1" t="n">
        <v>45370</v>
      </c>
      <c r="C3516" s="1" t="n">
        <v>46093</v>
      </c>
      <c r="D3516" t="inlineStr">
        <is>
          <t>VÄSTERNORRLANDS LÄN</t>
        </is>
      </c>
      <c r="E3516" t="inlineStr">
        <is>
          <t>ÅNGE</t>
        </is>
      </c>
      <c r="F3516" t="inlineStr">
        <is>
          <t>SCA</t>
        </is>
      </c>
      <c r="G3516" t="n">
        <v>9.300000000000001</v>
      </c>
      <c r="H3516" t="n">
        <v>0</v>
      </c>
      <c r="I3516" t="n">
        <v>0</v>
      </c>
      <c r="J3516" t="n">
        <v>0</v>
      </c>
      <c r="K3516" t="n">
        <v>0</v>
      </c>
      <c r="L3516" t="n">
        <v>0</v>
      </c>
      <c r="M3516" t="n">
        <v>0</v>
      </c>
      <c r="N3516" t="n">
        <v>0</v>
      </c>
      <c r="O3516" t="n">
        <v>0</v>
      </c>
      <c r="P3516" t="n">
        <v>0</v>
      </c>
      <c r="Q3516" t="n">
        <v>0</v>
      </c>
      <c r="R3516" s="2" t="inlineStr"/>
    </row>
    <row r="3517" ht="15" customHeight="1">
      <c r="A3517" t="inlineStr">
        <is>
          <t>A 14804-2024</t>
        </is>
      </c>
      <c r="B3517" s="1" t="n">
        <v>45397</v>
      </c>
      <c r="C3517" s="1" t="n">
        <v>46093</v>
      </c>
      <c r="D3517" t="inlineStr">
        <is>
          <t>VÄSTERNORRLANDS LÄN</t>
        </is>
      </c>
      <c r="E3517" t="inlineStr">
        <is>
          <t>SUNDSVALL</t>
        </is>
      </c>
      <c r="G3517" t="n">
        <v>7.4</v>
      </c>
      <c r="H3517" t="n">
        <v>0</v>
      </c>
      <c r="I3517" t="n">
        <v>0</v>
      </c>
      <c r="J3517" t="n">
        <v>0</v>
      </c>
      <c r="K3517" t="n">
        <v>0</v>
      </c>
      <c r="L3517" t="n">
        <v>0</v>
      </c>
      <c r="M3517" t="n">
        <v>0</v>
      </c>
      <c r="N3517" t="n">
        <v>0</v>
      </c>
      <c r="O3517" t="n">
        <v>0</v>
      </c>
      <c r="P3517" t="n">
        <v>0</v>
      </c>
      <c r="Q3517" t="n">
        <v>0</v>
      </c>
      <c r="R3517" s="2" t="inlineStr"/>
    </row>
    <row r="3518" ht="15" customHeight="1">
      <c r="A3518" t="inlineStr">
        <is>
          <t>A 38726-2025</t>
        </is>
      </c>
      <c r="B3518" s="1" t="n">
        <v>45887.31909722222</v>
      </c>
      <c r="C3518" s="1" t="n">
        <v>46093</v>
      </c>
      <c r="D3518" t="inlineStr">
        <is>
          <t>VÄSTERNORRLANDS LÄN</t>
        </is>
      </c>
      <c r="E3518" t="inlineStr">
        <is>
          <t>ÖRNSKÖLDSVIK</t>
        </is>
      </c>
      <c r="G3518" t="n">
        <v>14.4</v>
      </c>
      <c r="H3518" t="n">
        <v>0</v>
      </c>
      <c r="I3518" t="n">
        <v>0</v>
      </c>
      <c r="J3518" t="n">
        <v>0</v>
      </c>
      <c r="K3518" t="n">
        <v>0</v>
      </c>
      <c r="L3518" t="n">
        <v>0</v>
      </c>
      <c r="M3518" t="n">
        <v>0</v>
      </c>
      <c r="N3518" t="n">
        <v>0</v>
      </c>
      <c r="O3518" t="n">
        <v>0</v>
      </c>
      <c r="P3518" t="n">
        <v>0</v>
      </c>
      <c r="Q3518" t="n">
        <v>0</v>
      </c>
      <c r="R3518" s="2" t="inlineStr"/>
    </row>
    <row r="3519" ht="15" customHeight="1">
      <c r="A3519" t="inlineStr">
        <is>
          <t>A 38703-2025</t>
        </is>
      </c>
      <c r="B3519" s="1" t="n">
        <v>45885.34440972222</v>
      </c>
      <c r="C3519" s="1" t="n">
        <v>46093</v>
      </c>
      <c r="D3519" t="inlineStr">
        <is>
          <t>VÄSTERNORRLANDS LÄN</t>
        </is>
      </c>
      <c r="E3519" t="inlineStr">
        <is>
          <t>ÅNGE</t>
        </is>
      </c>
      <c r="F3519" t="inlineStr">
        <is>
          <t>SCA</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63978-2023</t>
        </is>
      </c>
      <c r="B3520" s="1" t="n">
        <v>45278</v>
      </c>
      <c r="C3520" s="1" t="n">
        <v>46093</v>
      </c>
      <c r="D3520" t="inlineStr">
        <is>
          <t>VÄSTERNORRLANDS LÄN</t>
        </is>
      </c>
      <c r="E3520" t="inlineStr">
        <is>
          <t>SUNDSVALL</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34850-2024</t>
        </is>
      </c>
      <c r="B3521" s="1" t="n">
        <v>45527</v>
      </c>
      <c r="C3521" s="1" t="n">
        <v>46093</v>
      </c>
      <c r="D3521" t="inlineStr">
        <is>
          <t>VÄSTERNORRLANDS LÄN</t>
        </is>
      </c>
      <c r="E3521" t="inlineStr">
        <is>
          <t>ÖRNSKÖLDSVIK</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39156-2025</t>
        </is>
      </c>
      <c r="B3522" s="1" t="n">
        <v>45887</v>
      </c>
      <c r="C3522" s="1" t="n">
        <v>46093</v>
      </c>
      <c r="D3522" t="inlineStr">
        <is>
          <t>VÄSTERNORRLANDS LÄN</t>
        </is>
      </c>
      <c r="E3522" t="inlineStr">
        <is>
          <t>KRAMFORS</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19760-2025</t>
        </is>
      </c>
      <c r="B3523" s="1" t="n">
        <v>45771.40658564815</v>
      </c>
      <c r="C3523" s="1" t="n">
        <v>46093</v>
      </c>
      <c r="D3523" t="inlineStr">
        <is>
          <t>VÄSTERNORRLANDS LÄN</t>
        </is>
      </c>
      <c r="E3523" t="inlineStr">
        <is>
          <t>SUNDSVALL</t>
        </is>
      </c>
      <c r="F3523" t="inlineStr">
        <is>
          <t>SCA</t>
        </is>
      </c>
      <c r="G3523" t="n">
        <v>6.6</v>
      </c>
      <c r="H3523" t="n">
        <v>0</v>
      </c>
      <c r="I3523" t="n">
        <v>0</v>
      </c>
      <c r="J3523" t="n">
        <v>0</v>
      </c>
      <c r="K3523" t="n">
        <v>0</v>
      </c>
      <c r="L3523" t="n">
        <v>0</v>
      </c>
      <c r="M3523" t="n">
        <v>0</v>
      </c>
      <c r="N3523" t="n">
        <v>0</v>
      </c>
      <c r="O3523" t="n">
        <v>0</v>
      </c>
      <c r="P3523" t="n">
        <v>0</v>
      </c>
      <c r="Q3523" t="n">
        <v>0</v>
      </c>
      <c r="R3523" s="2" t="inlineStr"/>
    </row>
    <row r="3524" ht="15" customHeight="1">
      <c r="A3524" t="inlineStr">
        <is>
          <t>A 20066-2024</t>
        </is>
      </c>
      <c r="B3524" s="1" t="n">
        <v>45434</v>
      </c>
      <c r="C3524" s="1" t="n">
        <v>46093</v>
      </c>
      <c r="D3524" t="inlineStr">
        <is>
          <t>VÄSTERNORRLANDS LÄN</t>
        </is>
      </c>
      <c r="E3524" t="inlineStr">
        <is>
          <t>SOLLEFTEÅ</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62750-2022</t>
        </is>
      </c>
      <c r="B3525" s="1" t="n">
        <v>44925.93922453704</v>
      </c>
      <c r="C3525" s="1" t="n">
        <v>46093</v>
      </c>
      <c r="D3525" t="inlineStr">
        <is>
          <t>VÄSTERNORRLANDS LÄN</t>
        </is>
      </c>
      <c r="E3525" t="inlineStr">
        <is>
          <t>SOLLEFTEÅ</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38118-2022</t>
        </is>
      </c>
      <c r="B3526" s="1" t="n">
        <v>44811</v>
      </c>
      <c r="C3526" s="1" t="n">
        <v>46093</v>
      </c>
      <c r="D3526" t="inlineStr">
        <is>
          <t>VÄSTERNORRLANDS LÄN</t>
        </is>
      </c>
      <c r="E3526" t="inlineStr">
        <is>
          <t>ÖRNSKÖLDSVIK</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28182-2024</t>
        </is>
      </c>
      <c r="B3527" s="1" t="n">
        <v>45477.30112268519</v>
      </c>
      <c r="C3527" s="1" t="n">
        <v>46093</v>
      </c>
      <c r="D3527" t="inlineStr">
        <is>
          <t>VÄSTERNORRLANDS LÄN</t>
        </is>
      </c>
      <c r="E3527" t="inlineStr">
        <is>
          <t>ÖRNSKÖLDSVIK</t>
        </is>
      </c>
      <c r="F3527" t="inlineStr">
        <is>
          <t>Holmen skog AB</t>
        </is>
      </c>
      <c r="G3527" t="n">
        <v>9.699999999999999</v>
      </c>
      <c r="H3527" t="n">
        <v>0</v>
      </c>
      <c r="I3527" t="n">
        <v>0</v>
      </c>
      <c r="J3527" t="n">
        <v>0</v>
      </c>
      <c r="K3527" t="n">
        <v>0</v>
      </c>
      <c r="L3527" t="n">
        <v>0</v>
      </c>
      <c r="M3527" t="n">
        <v>0</v>
      </c>
      <c r="N3527" t="n">
        <v>0</v>
      </c>
      <c r="O3527" t="n">
        <v>0</v>
      </c>
      <c r="P3527" t="n">
        <v>0</v>
      </c>
      <c r="Q3527" t="n">
        <v>0</v>
      </c>
      <c r="R3527" s="2" t="inlineStr"/>
    </row>
    <row r="3528" ht="15" customHeight="1">
      <c r="A3528" t="inlineStr">
        <is>
          <t>A 38733-2025</t>
        </is>
      </c>
      <c r="B3528" s="1" t="n">
        <v>45887.36501157407</v>
      </c>
      <c r="C3528" s="1" t="n">
        <v>46093</v>
      </c>
      <c r="D3528" t="inlineStr">
        <is>
          <t>VÄSTERNORRLANDS LÄN</t>
        </is>
      </c>
      <c r="E3528" t="inlineStr">
        <is>
          <t>ÖRNSKÖLDSVIK</t>
        </is>
      </c>
      <c r="F3528" t="inlineStr">
        <is>
          <t>SCA</t>
        </is>
      </c>
      <c r="G3528" t="n">
        <v>12.8</v>
      </c>
      <c r="H3528" t="n">
        <v>0</v>
      </c>
      <c r="I3528" t="n">
        <v>0</v>
      </c>
      <c r="J3528" t="n">
        <v>0</v>
      </c>
      <c r="K3528" t="n">
        <v>0</v>
      </c>
      <c r="L3528" t="n">
        <v>0</v>
      </c>
      <c r="M3528" t="n">
        <v>0</v>
      </c>
      <c r="N3528" t="n">
        <v>0</v>
      </c>
      <c r="O3528" t="n">
        <v>0</v>
      </c>
      <c r="P3528" t="n">
        <v>0</v>
      </c>
      <c r="Q3528" t="n">
        <v>0</v>
      </c>
      <c r="R3528" s="2" t="inlineStr"/>
    </row>
    <row r="3529" ht="15" customHeight="1">
      <c r="A3529" t="inlineStr">
        <is>
          <t>A 38927-2025</t>
        </is>
      </c>
      <c r="B3529" s="1" t="n">
        <v>45887.63584490741</v>
      </c>
      <c r="C3529" s="1" t="n">
        <v>46093</v>
      </c>
      <c r="D3529" t="inlineStr">
        <is>
          <t>VÄSTERNORRLANDS LÄN</t>
        </is>
      </c>
      <c r="E3529" t="inlineStr">
        <is>
          <t>HÄRNÖSAND</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38931-2025</t>
        </is>
      </c>
      <c r="B3530" s="1" t="n">
        <v>45887.63664351852</v>
      </c>
      <c r="C3530" s="1" t="n">
        <v>46093</v>
      </c>
      <c r="D3530" t="inlineStr">
        <is>
          <t>VÄSTERNORRLANDS LÄN</t>
        </is>
      </c>
      <c r="E3530" t="inlineStr">
        <is>
          <t>SOLLEFTEÅ</t>
        </is>
      </c>
      <c r="F3530" t="inlineStr">
        <is>
          <t>SCA</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38932-2025</t>
        </is>
      </c>
      <c r="B3531" s="1" t="n">
        <v>45887.64050925926</v>
      </c>
      <c r="C3531" s="1" t="n">
        <v>46093</v>
      </c>
      <c r="D3531" t="inlineStr">
        <is>
          <t>VÄSTERNORRLANDS LÄN</t>
        </is>
      </c>
      <c r="E3531" t="inlineStr">
        <is>
          <t>ÖRNSKÖLDSVIK</t>
        </is>
      </c>
      <c r="F3531" t="inlineStr">
        <is>
          <t>Holmen skog AB</t>
        </is>
      </c>
      <c r="G3531" t="n">
        <v>6.8</v>
      </c>
      <c r="H3531" t="n">
        <v>0</v>
      </c>
      <c r="I3531" t="n">
        <v>0</v>
      </c>
      <c r="J3531" t="n">
        <v>0</v>
      </c>
      <c r="K3531" t="n">
        <v>0</v>
      </c>
      <c r="L3531" t="n">
        <v>0</v>
      </c>
      <c r="M3531" t="n">
        <v>0</v>
      </c>
      <c r="N3531" t="n">
        <v>0</v>
      </c>
      <c r="O3531" t="n">
        <v>0</v>
      </c>
      <c r="P3531" t="n">
        <v>0</v>
      </c>
      <c r="Q3531" t="n">
        <v>0</v>
      </c>
      <c r="R3531" s="2" t="inlineStr"/>
    </row>
    <row r="3532" ht="15" customHeight="1">
      <c r="A3532" t="inlineStr">
        <is>
          <t>A 38934-2025</t>
        </is>
      </c>
      <c r="B3532" s="1" t="n">
        <v>45887.64388888889</v>
      </c>
      <c r="C3532" s="1" t="n">
        <v>46093</v>
      </c>
      <c r="D3532" t="inlineStr">
        <is>
          <t>VÄSTERNORRLANDS LÄN</t>
        </is>
      </c>
      <c r="E3532" t="inlineStr">
        <is>
          <t>ÖRNSKÖLDSVIK</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38734-2025</t>
        </is>
      </c>
      <c r="B3533" s="1" t="n">
        <v>45887.36519675926</v>
      </c>
      <c r="C3533" s="1" t="n">
        <v>46093</v>
      </c>
      <c r="D3533" t="inlineStr">
        <is>
          <t>VÄSTERNORRLANDS LÄN</t>
        </is>
      </c>
      <c r="E3533" t="inlineStr">
        <is>
          <t>HÄRNÖSAND</t>
        </is>
      </c>
      <c r="F3533" t="inlineStr">
        <is>
          <t>SCA</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38798-2025</t>
        </is>
      </c>
      <c r="B3534" s="1" t="n">
        <v>45887.45840277777</v>
      </c>
      <c r="C3534" s="1" t="n">
        <v>46093</v>
      </c>
      <c r="D3534" t="inlineStr">
        <is>
          <t>VÄSTERNORRLANDS LÄN</t>
        </is>
      </c>
      <c r="E3534" t="inlineStr">
        <is>
          <t>ÖRNSKÖLDSVIK</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25703-2024</t>
        </is>
      </c>
      <c r="B3535" s="1" t="n">
        <v>45463</v>
      </c>
      <c r="C3535" s="1" t="n">
        <v>46093</v>
      </c>
      <c r="D3535" t="inlineStr">
        <is>
          <t>VÄSTERNORRLANDS LÄN</t>
        </is>
      </c>
      <c r="E3535" t="inlineStr">
        <is>
          <t>SOLLEFTEÅ</t>
        </is>
      </c>
      <c r="F3535" t="inlineStr">
        <is>
          <t>SCA</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25704-2024</t>
        </is>
      </c>
      <c r="B3536" s="1" t="n">
        <v>45463.94270833334</v>
      </c>
      <c r="C3536" s="1" t="n">
        <v>46093</v>
      </c>
      <c r="D3536" t="inlineStr">
        <is>
          <t>VÄSTERNORRLANDS LÄN</t>
        </is>
      </c>
      <c r="E3536" t="inlineStr">
        <is>
          <t>SOLLEFTEÅ</t>
        </is>
      </c>
      <c r="F3536" t="inlineStr">
        <is>
          <t>SCA</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13033-2025</t>
        </is>
      </c>
      <c r="B3537" s="1" t="n">
        <v>45734.57334490741</v>
      </c>
      <c r="C3537" s="1" t="n">
        <v>46093</v>
      </c>
      <c r="D3537" t="inlineStr">
        <is>
          <t>VÄSTERNORRLANDS LÄN</t>
        </is>
      </c>
      <c r="E3537" t="inlineStr">
        <is>
          <t>SUNDSVALL</t>
        </is>
      </c>
      <c r="F3537" t="inlineStr">
        <is>
          <t>SCA</t>
        </is>
      </c>
      <c r="G3537" t="n">
        <v>2.4</v>
      </c>
      <c r="H3537" t="n">
        <v>0</v>
      </c>
      <c r="I3537" t="n">
        <v>0</v>
      </c>
      <c r="J3537" t="n">
        <v>0</v>
      </c>
      <c r="K3537" t="n">
        <v>0</v>
      </c>
      <c r="L3537" t="n">
        <v>0</v>
      </c>
      <c r="M3537" t="n">
        <v>0</v>
      </c>
      <c r="N3537" t="n">
        <v>0</v>
      </c>
      <c r="O3537" t="n">
        <v>0</v>
      </c>
      <c r="P3537" t="n">
        <v>0</v>
      </c>
      <c r="Q3537" t="n">
        <v>0</v>
      </c>
      <c r="R3537" s="2" t="inlineStr"/>
      <c r="U3537">
        <f>HYPERLINK("https://klasma.github.io/Logging_2281/knärot/A 13033-2025 karta knärot.png", "A 13033-2025")</f>
        <v/>
      </c>
      <c r="V3537">
        <f>HYPERLINK("https://klasma.github.io/Logging_2281/klagomål/A 13033-2025 FSC-klagomål.docx", "A 13033-2025")</f>
        <v/>
      </c>
      <c r="W3537">
        <f>HYPERLINK("https://klasma.github.io/Logging_2281/klagomålsmail/A 13033-2025 FSC-klagomål mail.docx", "A 13033-2025")</f>
        <v/>
      </c>
      <c r="X3537">
        <f>HYPERLINK("https://klasma.github.io/Logging_2281/tillsyn/A 13033-2025 tillsynsbegäran.docx", "A 13033-2025")</f>
        <v/>
      </c>
      <c r="Y3537">
        <f>HYPERLINK("https://klasma.github.io/Logging_2281/tillsynsmail/A 13033-2025 tillsynsbegäran mail.docx", "A 13033-2025")</f>
        <v/>
      </c>
    </row>
    <row r="3538" ht="15" customHeight="1">
      <c r="A3538" t="inlineStr">
        <is>
          <t>A 39169-2025</t>
        </is>
      </c>
      <c r="B3538" s="1" t="n">
        <v>45887</v>
      </c>
      <c r="C3538" s="1" t="n">
        <v>46093</v>
      </c>
      <c r="D3538" t="inlineStr">
        <is>
          <t>VÄSTERNORRLANDS LÄN</t>
        </is>
      </c>
      <c r="E3538" t="inlineStr">
        <is>
          <t>KRAMFORS</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3953-2024</t>
        </is>
      </c>
      <c r="B3539" s="1" t="n">
        <v>45322</v>
      </c>
      <c r="C3539" s="1" t="n">
        <v>46093</v>
      </c>
      <c r="D3539" t="inlineStr">
        <is>
          <t>VÄSTERNORRLANDS LÄN</t>
        </is>
      </c>
      <c r="E3539" t="inlineStr">
        <is>
          <t>HÄRNÖSAND</t>
        </is>
      </c>
      <c r="G3539" t="n">
        <v>4.7</v>
      </c>
      <c r="H3539" t="n">
        <v>0</v>
      </c>
      <c r="I3539" t="n">
        <v>0</v>
      </c>
      <c r="J3539" t="n">
        <v>0</v>
      </c>
      <c r="K3539" t="n">
        <v>0</v>
      </c>
      <c r="L3539" t="n">
        <v>0</v>
      </c>
      <c r="M3539" t="n">
        <v>0</v>
      </c>
      <c r="N3539" t="n">
        <v>0</v>
      </c>
      <c r="O3539" t="n">
        <v>0</v>
      </c>
      <c r="P3539" t="n">
        <v>0</v>
      </c>
      <c r="Q3539" t="n">
        <v>0</v>
      </c>
      <c r="R3539" s="2" t="inlineStr"/>
    </row>
    <row r="3540" ht="15" customHeight="1">
      <c r="A3540" t="inlineStr">
        <is>
          <t>A 4056-2024</t>
        </is>
      </c>
      <c r="B3540" s="1" t="n">
        <v>45323</v>
      </c>
      <c r="C3540" s="1" t="n">
        <v>46093</v>
      </c>
      <c r="D3540" t="inlineStr">
        <is>
          <t>VÄSTERNORRLANDS LÄN</t>
        </is>
      </c>
      <c r="E3540" t="inlineStr">
        <is>
          <t>SUNDSVALL</t>
        </is>
      </c>
      <c r="F3540" t="inlineStr">
        <is>
          <t>Kommuner</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64133-2023</t>
        </is>
      </c>
      <c r="B3541" s="1" t="n">
        <v>45279</v>
      </c>
      <c r="C3541" s="1" t="n">
        <v>46093</v>
      </c>
      <c r="D3541" t="inlineStr">
        <is>
          <t>VÄSTERNORRLANDS LÄN</t>
        </is>
      </c>
      <c r="E3541" t="inlineStr">
        <is>
          <t>SOLLEFTEÅ</t>
        </is>
      </c>
      <c r="G3541" t="n">
        <v>3.7</v>
      </c>
      <c r="H3541" t="n">
        <v>0</v>
      </c>
      <c r="I3541" t="n">
        <v>0</v>
      </c>
      <c r="J3541" t="n">
        <v>0</v>
      </c>
      <c r="K3541" t="n">
        <v>0</v>
      </c>
      <c r="L3541" t="n">
        <v>0</v>
      </c>
      <c r="M3541" t="n">
        <v>0</v>
      </c>
      <c r="N3541" t="n">
        <v>0</v>
      </c>
      <c r="O3541" t="n">
        <v>0</v>
      </c>
      <c r="P3541" t="n">
        <v>0</v>
      </c>
      <c r="Q3541" t="n">
        <v>0</v>
      </c>
      <c r="R3541" s="2" t="inlineStr"/>
    </row>
    <row r="3542" ht="15" customHeight="1">
      <c r="A3542" t="inlineStr">
        <is>
          <t>A 38821-2025</t>
        </is>
      </c>
      <c r="B3542" s="1" t="n">
        <v>45887.50471064815</v>
      </c>
      <c r="C3542" s="1" t="n">
        <v>46093</v>
      </c>
      <c r="D3542" t="inlineStr">
        <is>
          <t>VÄSTERNORRLANDS LÄN</t>
        </is>
      </c>
      <c r="E3542" t="inlineStr">
        <is>
          <t>ÖRNSKÖLDSVIK</t>
        </is>
      </c>
      <c r="F3542" t="inlineStr">
        <is>
          <t>Holmen skog AB</t>
        </is>
      </c>
      <c r="G3542" t="n">
        <v>4.3</v>
      </c>
      <c r="H3542" t="n">
        <v>0</v>
      </c>
      <c r="I3542" t="n">
        <v>0</v>
      </c>
      <c r="J3542" t="n">
        <v>0</v>
      </c>
      <c r="K3542" t="n">
        <v>0</v>
      </c>
      <c r="L3542" t="n">
        <v>0</v>
      </c>
      <c r="M3542" t="n">
        <v>0</v>
      </c>
      <c r="N3542" t="n">
        <v>0</v>
      </c>
      <c r="O3542" t="n">
        <v>0</v>
      </c>
      <c r="P3542" t="n">
        <v>0</v>
      </c>
      <c r="Q3542" t="n">
        <v>0</v>
      </c>
      <c r="R3542" s="2" t="inlineStr"/>
    </row>
    <row r="3543" ht="15" customHeight="1">
      <c r="A3543" t="inlineStr">
        <is>
          <t>A 38365-2023</t>
        </is>
      </c>
      <c r="B3543" s="1" t="n">
        <v>45161.94349537037</v>
      </c>
      <c r="C3543" s="1" t="n">
        <v>46093</v>
      </c>
      <c r="D3543" t="inlineStr">
        <is>
          <t>VÄSTERNORRLANDS LÄN</t>
        </is>
      </c>
      <c r="E3543" t="inlineStr">
        <is>
          <t>SUNDSVALL</t>
        </is>
      </c>
      <c r="F3543" t="inlineStr">
        <is>
          <t>SCA</t>
        </is>
      </c>
      <c r="G3543" t="n">
        <v>21.8</v>
      </c>
      <c r="H3543" t="n">
        <v>0</v>
      </c>
      <c r="I3543" t="n">
        <v>0</v>
      </c>
      <c r="J3543" t="n">
        <v>0</v>
      </c>
      <c r="K3543" t="n">
        <v>0</v>
      </c>
      <c r="L3543" t="n">
        <v>0</v>
      </c>
      <c r="M3543" t="n">
        <v>0</v>
      </c>
      <c r="N3543" t="n">
        <v>0</v>
      </c>
      <c r="O3543" t="n">
        <v>0</v>
      </c>
      <c r="P3543" t="n">
        <v>0</v>
      </c>
      <c r="Q3543" t="n">
        <v>0</v>
      </c>
      <c r="R3543" s="2" t="inlineStr"/>
    </row>
    <row r="3544" ht="15" customHeight="1">
      <c r="A3544" t="inlineStr">
        <is>
          <t>A 30258-2024</t>
        </is>
      </c>
      <c r="B3544" s="1" t="n">
        <v>45489</v>
      </c>
      <c r="C3544" s="1" t="n">
        <v>46093</v>
      </c>
      <c r="D3544" t="inlineStr">
        <is>
          <t>VÄSTERNORRLANDS LÄN</t>
        </is>
      </c>
      <c r="E3544" t="inlineStr">
        <is>
          <t>ÖRNSKÖLDSVIK</t>
        </is>
      </c>
      <c r="G3544" t="n">
        <v>4.1</v>
      </c>
      <c r="H3544" t="n">
        <v>0</v>
      </c>
      <c r="I3544" t="n">
        <v>0</v>
      </c>
      <c r="J3544" t="n">
        <v>0</v>
      </c>
      <c r="K3544" t="n">
        <v>0</v>
      </c>
      <c r="L3544" t="n">
        <v>0</v>
      </c>
      <c r="M3544" t="n">
        <v>0</v>
      </c>
      <c r="N3544" t="n">
        <v>0</v>
      </c>
      <c r="O3544" t="n">
        <v>0</v>
      </c>
      <c r="P3544" t="n">
        <v>0</v>
      </c>
      <c r="Q3544" t="n">
        <v>0</v>
      </c>
      <c r="R3544" s="2" t="inlineStr"/>
    </row>
    <row r="3545" ht="15" customHeight="1">
      <c r="A3545" t="inlineStr">
        <is>
          <t>A 64746-2023</t>
        </is>
      </c>
      <c r="B3545" s="1" t="n">
        <v>45281.9281712963</v>
      </c>
      <c r="C3545" s="1" t="n">
        <v>46093</v>
      </c>
      <c r="D3545" t="inlineStr">
        <is>
          <t>VÄSTERNORRLANDS LÄN</t>
        </is>
      </c>
      <c r="E3545" t="inlineStr">
        <is>
          <t>HÄRNÖSAND</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32051-2025</t>
        </is>
      </c>
      <c r="B3546" s="1" t="n">
        <v>45835.44185185185</v>
      </c>
      <c r="C3546" s="1" t="n">
        <v>46093</v>
      </c>
      <c r="D3546" t="inlineStr">
        <is>
          <t>VÄSTERNORRLANDS LÄN</t>
        </is>
      </c>
      <c r="E3546" t="inlineStr">
        <is>
          <t>ÅNGE</t>
        </is>
      </c>
      <c r="G3546" t="n">
        <v>4</v>
      </c>
      <c r="H3546" t="n">
        <v>0</v>
      </c>
      <c r="I3546" t="n">
        <v>0</v>
      </c>
      <c r="J3546" t="n">
        <v>0</v>
      </c>
      <c r="K3546" t="n">
        <v>0</v>
      </c>
      <c r="L3546" t="n">
        <v>0</v>
      </c>
      <c r="M3546" t="n">
        <v>0</v>
      </c>
      <c r="N3546" t="n">
        <v>0</v>
      </c>
      <c r="O3546" t="n">
        <v>0</v>
      </c>
      <c r="P3546" t="n">
        <v>0</v>
      </c>
      <c r="Q3546" t="n">
        <v>0</v>
      </c>
      <c r="R3546" s="2" t="inlineStr"/>
    </row>
    <row r="3547" ht="15" customHeight="1">
      <c r="A3547" t="inlineStr">
        <is>
          <t>A 25035-2023</t>
        </is>
      </c>
      <c r="B3547" s="1" t="n">
        <v>45085</v>
      </c>
      <c r="C3547" s="1" t="n">
        <v>46093</v>
      </c>
      <c r="D3547" t="inlineStr">
        <is>
          <t>VÄSTERNORRLANDS LÄN</t>
        </is>
      </c>
      <c r="E3547" t="inlineStr">
        <is>
          <t>ÅNGE</t>
        </is>
      </c>
      <c r="G3547" t="n">
        <v>0.3</v>
      </c>
      <c r="H3547" t="n">
        <v>0</v>
      </c>
      <c r="I3547" t="n">
        <v>0</v>
      </c>
      <c r="J3547" t="n">
        <v>0</v>
      </c>
      <c r="K3547" t="n">
        <v>0</v>
      </c>
      <c r="L3547" t="n">
        <v>0</v>
      </c>
      <c r="M3547" t="n">
        <v>0</v>
      </c>
      <c r="N3547" t="n">
        <v>0</v>
      </c>
      <c r="O3547" t="n">
        <v>0</v>
      </c>
      <c r="P3547" t="n">
        <v>0</v>
      </c>
      <c r="Q3547" t="n">
        <v>0</v>
      </c>
      <c r="R3547" s="2" t="inlineStr"/>
    </row>
    <row r="3548" ht="15" customHeight="1">
      <c r="A3548" t="inlineStr">
        <is>
          <t>A 38716-2025</t>
        </is>
      </c>
      <c r="B3548" s="1" t="n">
        <v>45886.51091435185</v>
      </c>
      <c r="C3548" s="1" t="n">
        <v>46093</v>
      </c>
      <c r="D3548" t="inlineStr">
        <is>
          <t>VÄSTERNORRLANDS LÄN</t>
        </is>
      </c>
      <c r="E3548" t="inlineStr">
        <is>
          <t>TIMRÅ</t>
        </is>
      </c>
      <c r="F3548" t="inlineStr">
        <is>
          <t>SCA</t>
        </is>
      </c>
      <c r="G3548" t="n">
        <v>3.3</v>
      </c>
      <c r="H3548" t="n">
        <v>0</v>
      </c>
      <c r="I3548" t="n">
        <v>0</v>
      </c>
      <c r="J3548" t="n">
        <v>0</v>
      </c>
      <c r="K3548" t="n">
        <v>0</v>
      </c>
      <c r="L3548" t="n">
        <v>0</v>
      </c>
      <c r="M3548" t="n">
        <v>0</v>
      </c>
      <c r="N3548" t="n">
        <v>0</v>
      </c>
      <c r="O3548" t="n">
        <v>0</v>
      </c>
      <c r="P3548" t="n">
        <v>0</v>
      </c>
      <c r="Q3548" t="n">
        <v>0</v>
      </c>
      <c r="R3548" s="2" t="inlineStr"/>
    </row>
    <row r="3549" ht="15" customHeight="1">
      <c r="A3549" t="inlineStr">
        <is>
          <t>A 41392-2022</t>
        </is>
      </c>
      <c r="B3549" s="1" t="n">
        <v>44826</v>
      </c>
      <c r="C3549" s="1" t="n">
        <v>46093</v>
      </c>
      <c r="D3549" t="inlineStr">
        <is>
          <t>VÄSTERNORRLANDS LÄN</t>
        </is>
      </c>
      <c r="E3549" t="inlineStr">
        <is>
          <t>KRAMFORS</t>
        </is>
      </c>
      <c r="G3549" t="n">
        <v>12.1</v>
      </c>
      <c r="H3549" t="n">
        <v>0</v>
      </c>
      <c r="I3549" t="n">
        <v>0</v>
      </c>
      <c r="J3549" t="n">
        <v>0</v>
      </c>
      <c r="K3549" t="n">
        <v>0</v>
      </c>
      <c r="L3549" t="n">
        <v>0</v>
      </c>
      <c r="M3549" t="n">
        <v>0</v>
      </c>
      <c r="N3549" t="n">
        <v>0</v>
      </c>
      <c r="O3549" t="n">
        <v>0</v>
      </c>
      <c r="P3549" t="n">
        <v>0</v>
      </c>
      <c r="Q3549" t="n">
        <v>0</v>
      </c>
      <c r="R3549" s="2" t="inlineStr"/>
    </row>
    <row r="3550" ht="15" customHeight="1">
      <c r="A3550" t="inlineStr">
        <is>
          <t>A 20716-2025</t>
        </is>
      </c>
      <c r="B3550" s="1" t="n">
        <v>45776.49026620371</v>
      </c>
      <c r="C3550" s="1" t="n">
        <v>46093</v>
      </c>
      <c r="D3550" t="inlineStr">
        <is>
          <t>VÄSTERNORRLANDS LÄN</t>
        </is>
      </c>
      <c r="E3550" t="inlineStr">
        <is>
          <t>ÅNGE</t>
        </is>
      </c>
      <c r="F3550" t="inlineStr">
        <is>
          <t>SCA</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22759-2023</t>
        </is>
      </c>
      <c r="B3551" s="1" t="n">
        <v>45071.94153935185</v>
      </c>
      <c r="C3551" s="1" t="n">
        <v>46093</v>
      </c>
      <c r="D3551" t="inlineStr">
        <is>
          <t>VÄSTERNORRLANDS LÄN</t>
        </is>
      </c>
      <c r="E3551" t="inlineStr">
        <is>
          <t>SUNDSVALL</t>
        </is>
      </c>
      <c r="F3551" t="inlineStr">
        <is>
          <t>SCA</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27047-2025</t>
        </is>
      </c>
      <c r="B3552" s="1" t="n">
        <v>45811.61589120371</v>
      </c>
      <c r="C3552" s="1" t="n">
        <v>46093</v>
      </c>
      <c r="D3552" t="inlineStr">
        <is>
          <t>VÄSTERNORRLANDS LÄN</t>
        </is>
      </c>
      <c r="E3552" t="inlineStr">
        <is>
          <t>ÖRNSKÖLDSVIK</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38920-2025</t>
        </is>
      </c>
      <c r="B3553" s="1" t="n">
        <v>45887.626875</v>
      </c>
      <c r="C3553" s="1" t="n">
        <v>46093</v>
      </c>
      <c r="D3553" t="inlineStr">
        <is>
          <t>VÄSTERNORRLANDS LÄN</t>
        </is>
      </c>
      <c r="E3553" t="inlineStr">
        <is>
          <t>HÄRNÖSAND</t>
        </is>
      </c>
      <c r="G3553" t="n">
        <v>4.2</v>
      </c>
      <c r="H3553" t="n">
        <v>0</v>
      </c>
      <c r="I3553" t="n">
        <v>0</v>
      </c>
      <c r="J3553" t="n">
        <v>0</v>
      </c>
      <c r="K3553" t="n">
        <v>0</v>
      </c>
      <c r="L3553" t="n">
        <v>0</v>
      </c>
      <c r="M3553" t="n">
        <v>0</v>
      </c>
      <c r="N3553" t="n">
        <v>0</v>
      </c>
      <c r="O3553" t="n">
        <v>0</v>
      </c>
      <c r="P3553" t="n">
        <v>0</v>
      </c>
      <c r="Q3553" t="n">
        <v>0</v>
      </c>
      <c r="R3553" s="2" t="inlineStr"/>
    </row>
    <row r="3554" ht="15" customHeight="1">
      <c r="A3554" t="inlineStr">
        <is>
          <t>A 30348-2024</t>
        </is>
      </c>
      <c r="B3554" s="1" t="n">
        <v>45490.95524305556</v>
      </c>
      <c r="C3554" s="1" t="n">
        <v>46093</v>
      </c>
      <c r="D3554" t="inlineStr">
        <is>
          <t>VÄSTERNORRLANDS LÄN</t>
        </is>
      </c>
      <c r="E3554" t="inlineStr">
        <is>
          <t>ÅNGE</t>
        </is>
      </c>
      <c r="F3554" t="inlineStr">
        <is>
          <t>SCA</t>
        </is>
      </c>
      <c r="G3554" t="n">
        <v>3.4</v>
      </c>
      <c r="H3554" t="n">
        <v>0</v>
      </c>
      <c r="I3554" t="n">
        <v>0</v>
      </c>
      <c r="J3554" t="n">
        <v>0</v>
      </c>
      <c r="K3554" t="n">
        <v>0</v>
      </c>
      <c r="L3554" t="n">
        <v>0</v>
      </c>
      <c r="M3554" t="n">
        <v>0</v>
      </c>
      <c r="N3554" t="n">
        <v>0</v>
      </c>
      <c r="O3554" t="n">
        <v>0</v>
      </c>
      <c r="P3554" t="n">
        <v>0</v>
      </c>
      <c r="Q3554" t="n">
        <v>0</v>
      </c>
      <c r="R3554" s="2" t="inlineStr"/>
    </row>
    <row r="3555" ht="15" customHeight="1">
      <c r="A3555" t="inlineStr">
        <is>
          <t>A 38884-2025</t>
        </is>
      </c>
      <c r="B3555" s="1" t="n">
        <v>45887.58331018518</v>
      </c>
      <c r="C3555" s="1" t="n">
        <v>46093</v>
      </c>
      <c r="D3555" t="inlineStr">
        <is>
          <t>VÄSTERNORRLANDS LÄN</t>
        </is>
      </c>
      <c r="E3555" t="inlineStr">
        <is>
          <t>ÖRNSKÖLDSVIK</t>
        </is>
      </c>
      <c r="F3555" t="inlineStr">
        <is>
          <t>Holmen skog AB</t>
        </is>
      </c>
      <c r="G3555" t="n">
        <v>5.5</v>
      </c>
      <c r="H3555" t="n">
        <v>0</v>
      </c>
      <c r="I3555" t="n">
        <v>0</v>
      </c>
      <c r="J3555" t="n">
        <v>0</v>
      </c>
      <c r="K3555" t="n">
        <v>0</v>
      </c>
      <c r="L3555" t="n">
        <v>0</v>
      </c>
      <c r="M3555" t="n">
        <v>0</v>
      </c>
      <c r="N3555" t="n">
        <v>0</v>
      </c>
      <c r="O3555" t="n">
        <v>0</v>
      </c>
      <c r="P3555" t="n">
        <v>0</v>
      </c>
      <c r="Q3555" t="n">
        <v>0</v>
      </c>
      <c r="R3555" s="2" t="inlineStr"/>
    </row>
    <row r="3556" ht="15" customHeight="1">
      <c r="A3556" t="inlineStr">
        <is>
          <t>A 13639-2025</t>
        </is>
      </c>
      <c r="B3556" s="1" t="n">
        <v>45736.65710648148</v>
      </c>
      <c r="C3556" s="1" t="n">
        <v>46093</v>
      </c>
      <c r="D3556" t="inlineStr">
        <is>
          <t>VÄSTERNORRLANDS LÄN</t>
        </is>
      </c>
      <c r="E3556" t="inlineStr">
        <is>
          <t>SOLLEFTEÅ</t>
        </is>
      </c>
      <c r="F3556" t="inlineStr">
        <is>
          <t>SCA</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30184-2024</t>
        </is>
      </c>
      <c r="B3557" s="1" t="n">
        <v>45489.94590277778</v>
      </c>
      <c r="C3557" s="1" t="n">
        <v>46093</v>
      </c>
      <c r="D3557" t="inlineStr">
        <is>
          <t>VÄSTERNORRLANDS LÄN</t>
        </is>
      </c>
      <c r="E3557" t="inlineStr">
        <is>
          <t>HÄRNÖSAND</t>
        </is>
      </c>
      <c r="F3557" t="inlineStr">
        <is>
          <t>SCA</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31457-2024</t>
        </is>
      </c>
      <c r="B3558" s="1" t="n">
        <v>45505</v>
      </c>
      <c r="C3558" s="1" t="n">
        <v>46093</v>
      </c>
      <c r="D3558" t="inlineStr">
        <is>
          <t>VÄSTERNORRLANDS LÄN</t>
        </is>
      </c>
      <c r="E3558" t="inlineStr">
        <is>
          <t>ÅNGE</t>
        </is>
      </c>
      <c r="F3558" t="inlineStr">
        <is>
          <t>SCA</t>
        </is>
      </c>
      <c r="G3558" t="n">
        <v>5.2</v>
      </c>
      <c r="H3558" t="n">
        <v>0</v>
      </c>
      <c r="I3558" t="n">
        <v>0</v>
      </c>
      <c r="J3558" t="n">
        <v>0</v>
      </c>
      <c r="K3558" t="n">
        <v>0</v>
      </c>
      <c r="L3558" t="n">
        <v>0</v>
      </c>
      <c r="M3558" t="n">
        <v>0</v>
      </c>
      <c r="N3558" t="n">
        <v>0</v>
      </c>
      <c r="O3558" t="n">
        <v>0</v>
      </c>
      <c r="P3558" t="n">
        <v>0</v>
      </c>
      <c r="Q3558" t="n">
        <v>0</v>
      </c>
      <c r="R3558" s="2" t="inlineStr"/>
    </row>
    <row r="3559" ht="15" customHeight="1">
      <c r="A3559" t="inlineStr">
        <is>
          <t>A 45959-2021</t>
        </is>
      </c>
      <c r="B3559" s="1" t="n">
        <v>44441</v>
      </c>
      <c r="C3559" s="1" t="n">
        <v>46093</v>
      </c>
      <c r="D3559" t="inlineStr">
        <is>
          <t>VÄSTERNORRLANDS LÄN</t>
        </is>
      </c>
      <c r="E3559" t="inlineStr">
        <is>
          <t>SUNDSVALL</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37001-2024</t>
        </is>
      </c>
      <c r="B3560" s="1" t="n">
        <v>45539.34476851852</v>
      </c>
      <c r="C3560" s="1" t="n">
        <v>46093</v>
      </c>
      <c r="D3560" t="inlineStr">
        <is>
          <t>VÄSTERNORRLANDS LÄN</t>
        </is>
      </c>
      <c r="E3560" t="inlineStr">
        <is>
          <t>ÖRNSKÖLDSVIK</t>
        </is>
      </c>
      <c r="F3560" t="inlineStr">
        <is>
          <t>Holmen skog AB</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31507-2024</t>
        </is>
      </c>
      <c r="B3561" s="1" t="n">
        <v>45505</v>
      </c>
      <c r="C3561" s="1" t="n">
        <v>46093</v>
      </c>
      <c r="D3561" t="inlineStr">
        <is>
          <t>VÄSTERNORRLANDS LÄN</t>
        </is>
      </c>
      <c r="E3561" t="inlineStr">
        <is>
          <t>SUNDSVALL</t>
        </is>
      </c>
      <c r="F3561" t="inlineStr">
        <is>
          <t>SCA</t>
        </is>
      </c>
      <c r="G3561" t="n">
        <v>3.4</v>
      </c>
      <c r="H3561" t="n">
        <v>0</v>
      </c>
      <c r="I3561" t="n">
        <v>0</v>
      </c>
      <c r="J3561" t="n">
        <v>0</v>
      </c>
      <c r="K3561" t="n">
        <v>0</v>
      </c>
      <c r="L3561" t="n">
        <v>0</v>
      </c>
      <c r="M3561" t="n">
        <v>0</v>
      </c>
      <c r="N3561" t="n">
        <v>0</v>
      </c>
      <c r="O3561" t="n">
        <v>0</v>
      </c>
      <c r="P3561" t="n">
        <v>0</v>
      </c>
      <c r="Q3561" t="n">
        <v>0</v>
      </c>
      <c r="R3561" s="2" t="inlineStr"/>
    </row>
    <row r="3562" ht="15" customHeight="1">
      <c r="A3562" t="inlineStr">
        <is>
          <t>A 38910-2025</t>
        </is>
      </c>
      <c r="B3562" s="1" t="n">
        <v>45887.61509259259</v>
      </c>
      <c r="C3562" s="1" t="n">
        <v>46093</v>
      </c>
      <c r="D3562" t="inlineStr">
        <is>
          <t>VÄSTERNORRLANDS LÄN</t>
        </is>
      </c>
      <c r="E3562" t="inlineStr">
        <is>
          <t>SOLLEFTEÅ</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1703-2024</t>
        </is>
      </c>
      <c r="B3563" s="1" t="n">
        <v>45307</v>
      </c>
      <c r="C3563" s="1" t="n">
        <v>46093</v>
      </c>
      <c r="D3563" t="inlineStr">
        <is>
          <t>VÄSTERNORRLANDS LÄN</t>
        </is>
      </c>
      <c r="E3563" t="inlineStr">
        <is>
          <t>ÖRNSKÖLDSVIK</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35389-2024</t>
        </is>
      </c>
      <c r="B3564" s="1" t="n">
        <v>45531.40188657407</v>
      </c>
      <c r="C3564" s="1" t="n">
        <v>46093</v>
      </c>
      <c r="D3564" t="inlineStr">
        <is>
          <t>VÄSTERNORRLANDS LÄN</t>
        </is>
      </c>
      <c r="E3564" t="inlineStr">
        <is>
          <t>SUNDSVALL</t>
        </is>
      </c>
      <c r="F3564" t="inlineStr">
        <is>
          <t>SCA</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35392-2024</t>
        </is>
      </c>
      <c r="B3565" s="1" t="n">
        <v>45531.4025462963</v>
      </c>
      <c r="C3565" s="1" t="n">
        <v>46093</v>
      </c>
      <c r="D3565" t="inlineStr">
        <is>
          <t>VÄSTERNORRLANDS LÄN</t>
        </is>
      </c>
      <c r="E3565" t="inlineStr">
        <is>
          <t>ÅNGE</t>
        </is>
      </c>
      <c r="F3565" t="inlineStr">
        <is>
          <t>SCA</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35417-2024</t>
        </is>
      </c>
      <c r="B3566" s="1" t="n">
        <v>45531.40851851852</v>
      </c>
      <c r="C3566" s="1" t="n">
        <v>46093</v>
      </c>
      <c r="D3566" t="inlineStr">
        <is>
          <t>VÄSTERNORRLANDS LÄN</t>
        </is>
      </c>
      <c r="E3566" t="inlineStr">
        <is>
          <t>SOLLEFTEÅ</t>
        </is>
      </c>
      <c r="F3566" t="inlineStr">
        <is>
          <t>SCA</t>
        </is>
      </c>
      <c r="G3566" t="n">
        <v>4.1</v>
      </c>
      <c r="H3566" t="n">
        <v>0</v>
      </c>
      <c r="I3566" t="n">
        <v>0</v>
      </c>
      <c r="J3566" t="n">
        <v>0</v>
      </c>
      <c r="K3566" t="n">
        <v>0</v>
      </c>
      <c r="L3566" t="n">
        <v>0</v>
      </c>
      <c r="M3566" t="n">
        <v>0</v>
      </c>
      <c r="N3566" t="n">
        <v>0</v>
      </c>
      <c r="O3566" t="n">
        <v>0</v>
      </c>
      <c r="P3566" t="n">
        <v>0</v>
      </c>
      <c r="Q3566" t="n">
        <v>0</v>
      </c>
      <c r="R3566" s="2" t="inlineStr"/>
    </row>
    <row r="3567" ht="15" customHeight="1">
      <c r="A3567" t="inlineStr">
        <is>
          <t>A 35420-2024</t>
        </is>
      </c>
      <c r="B3567" s="1" t="n">
        <v>45531</v>
      </c>
      <c r="C3567" s="1" t="n">
        <v>46093</v>
      </c>
      <c r="D3567" t="inlineStr">
        <is>
          <t>VÄSTERNORRLANDS LÄN</t>
        </is>
      </c>
      <c r="E3567" t="inlineStr">
        <is>
          <t>SOLLEFTEÅ</t>
        </is>
      </c>
      <c r="F3567" t="inlineStr">
        <is>
          <t>SCA</t>
        </is>
      </c>
      <c r="G3567" t="n">
        <v>9.1</v>
      </c>
      <c r="H3567" t="n">
        <v>0</v>
      </c>
      <c r="I3567" t="n">
        <v>0</v>
      </c>
      <c r="J3567" t="n">
        <v>0</v>
      </c>
      <c r="K3567" t="n">
        <v>0</v>
      </c>
      <c r="L3567" t="n">
        <v>0</v>
      </c>
      <c r="M3567" t="n">
        <v>0</v>
      </c>
      <c r="N3567" t="n">
        <v>0</v>
      </c>
      <c r="O3567" t="n">
        <v>0</v>
      </c>
      <c r="P3567" t="n">
        <v>0</v>
      </c>
      <c r="Q3567" t="n">
        <v>0</v>
      </c>
      <c r="R3567" s="2" t="inlineStr"/>
    </row>
    <row r="3568" ht="15" customHeight="1">
      <c r="A3568" t="inlineStr">
        <is>
          <t>A 25362-2024</t>
        </is>
      </c>
      <c r="B3568" s="1" t="n">
        <v>45462.95824074074</v>
      </c>
      <c r="C3568" s="1" t="n">
        <v>46093</v>
      </c>
      <c r="D3568" t="inlineStr">
        <is>
          <t>VÄSTERNORRLANDS LÄN</t>
        </is>
      </c>
      <c r="E3568" t="inlineStr">
        <is>
          <t>SUNDSVALL</t>
        </is>
      </c>
      <c r="F3568" t="inlineStr">
        <is>
          <t>SCA</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25363-2024</t>
        </is>
      </c>
      <c r="B3569" s="1" t="n">
        <v>45462.95833333334</v>
      </c>
      <c r="C3569" s="1" t="n">
        <v>46093</v>
      </c>
      <c r="D3569" t="inlineStr">
        <is>
          <t>VÄSTERNORRLANDS LÄN</t>
        </is>
      </c>
      <c r="E3569" t="inlineStr">
        <is>
          <t>SOLLEFTEÅ</t>
        </is>
      </c>
      <c r="F3569" t="inlineStr">
        <is>
          <t>SCA</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25384-2024</t>
        </is>
      </c>
      <c r="B3570" s="1" t="n">
        <v>45462.96334490741</v>
      </c>
      <c r="C3570" s="1" t="n">
        <v>46093</v>
      </c>
      <c r="D3570" t="inlineStr">
        <is>
          <t>VÄSTERNORRLANDS LÄN</t>
        </is>
      </c>
      <c r="E3570" t="inlineStr">
        <is>
          <t>SOLLEFTEÅ</t>
        </is>
      </c>
      <c r="F3570" t="inlineStr">
        <is>
          <t>SCA</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25945-2025</t>
        </is>
      </c>
      <c r="B3571" s="1" t="n">
        <v>45804</v>
      </c>
      <c r="C3571" s="1" t="n">
        <v>46093</v>
      </c>
      <c r="D3571" t="inlineStr">
        <is>
          <t>VÄSTERNORRLANDS LÄN</t>
        </is>
      </c>
      <c r="E3571" t="inlineStr">
        <is>
          <t>SOLLEFTEÅ</t>
        </is>
      </c>
      <c r="F3571" t="inlineStr">
        <is>
          <t>SCA</t>
        </is>
      </c>
      <c r="G3571" t="n">
        <v>9</v>
      </c>
      <c r="H3571" t="n">
        <v>0</v>
      </c>
      <c r="I3571" t="n">
        <v>0</v>
      </c>
      <c r="J3571" t="n">
        <v>0</v>
      </c>
      <c r="K3571" t="n">
        <v>0</v>
      </c>
      <c r="L3571" t="n">
        <v>0</v>
      </c>
      <c r="M3571" t="n">
        <v>0</v>
      </c>
      <c r="N3571" t="n">
        <v>0</v>
      </c>
      <c r="O3571" t="n">
        <v>0</v>
      </c>
      <c r="P3571" t="n">
        <v>0</v>
      </c>
      <c r="Q3571" t="n">
        <v>0</v>
      </c>
      <c r="R3571" s="2" t="inlineStr"/>
    </row>
    <row r="3572" ht="15" customHeight="1">
      <c r="A3572" t="inlineStr">
        <is>
          <t>A 47965-2024</t>
        </is>
      </c>
      <c r="B3572" s="1" t="n">
        <v>45589.38638888889</v>
      </c>
      <c r="C3572" s="1" t="n">
        <v>46093</v>
      </c>
      <c r="D3572" t="inlineStr">
        <is>
          <t>VÄSTERNORRLANDS LÄN</t>
        </is>
      </c>
      <c r="E3572" t="inlineStr">
        <is>
          <t>SOLLEFTEÅ</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40755-2023</t>
        </is>
      </c>
      <c r="B3573" s="1" t="n">
        <v>45170</v>
      </c>
      <c r="C3573" s="1" t="n">
        <v>46093</v>
      </c>
      <c r="D3573" t="inlineStr">
        <is>
          <t>VÄSTERNORRLANDS LÄN</t>
        </is>
      </c>
      <c r="E3573" t="inlineStr">
        <is>
          <t>ÅNGE</t>
        </is>
      </c>
      <c r="G3573" t="n">
        <v>3.6</v>
      </c>
      <c r="H3573" t="n">
        <v>0</v>
      </c>
      <c r="I3573" t="n">
        <v>0</v>
      </c>
      <c r="J3573" t="n">
        <v>0</v>
      </c>
      <c r="K3573" t="n">
        <v>0</v>
      </c>
      <c r="L3573" t="n">
        <v>0</v>
      </c>
      <c r="M3573" t="n">
        <v>0</v>
      </c>
      <c r="N3573" t="n">
        <v>0</v>
      </c>
      <c r="O3573" t="n">
        <v>0</v>
      </c>
      <c r="P3573" t="n">
        <v>0</v>
      </c>
      <c r="Q3573" t="n">
        <v>0</v>
      </c>
      <c r="R3573" s="2" t="inlineStr"/>
    </row>
    <row r="3574" ht="15" customHeight="1">
      <c r="A3574" t="inlineStr">
        <is>
          <t>A 20551-2024</t>
        </is>
      </c>
      <c r="B3574" s="1" t="n">
        <v>45436.35076388889</v>
      </c>
      <c r="C3574" s="1" t="n">
        <v>46093</v>
      </c>
      <c r="D3574" t="inlineStr">
        <is>
          <t>VÄSTERNORRLANDS LÄN</t>
        </is>
      </c>
      <c r="E3574" t="inlineStr">
        <is>
          <t>ÖRNSKÖLDSVIK</t>
        </is>
      </c>
      <c r="F3574" t="inlineStr">
        <is>
          <t>Holmen skog AB</t>
        </is>
      </c>
      <c r="G3574" t="n">
        <v>0.3</v>
      </c>
      <c r="H3574" t="n">
        <v>0</v>
      </c>
      <c r="I3574" t="n">
        <v>0</v>
      </c>
      <c r="J3574" t="n">
        <v>0</v>
      </c>
      <c r="K3574" t="n">
        <v>0</v>
      </c>
      <c r="L3574" t="n">
        <v>0</v>
      </c>
      <c r="M3574" t="n">
        <v>0</v>
      </c>
      <c r="N3574" t="n">
        <v>0</v>
      </c>
      <c r="O3574" t="n">
        <v>0</v>
      </c>
      <c r="P3574" t="n">
        <v>0</v>
      </c>
      <c r="Q3574" t="n">
        <v>0</v>
      </c>
      <c r="R3574" s="2" t="inlineStr"/>
    </row>
    <row r="3575" ht="15" customHeight="1">
      <c r="A3575" t="inlineStr">
        <is>
          <t>A 61480-2021</t>
        </is>
      </c>
      <c r="B3575" s="1" t="n">
        <v>44500</v>
      </c>
      <c r="C3575" s="1" t="n">
        <v>46093</v>
      </c>
      <c r="D3575" t="inlineStr">
        <is>
          <t>VÄSTERNORRLANDS LÄN</t>
        </is>
      </c>
      <c r="E3575" t="inlineStr">
        <is>
          <t>SOLLEFTEÅ</t>
        </is>
      </c>
      <c r="F3575" t="inlineStr">
        <is>
          <t>SCA</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22416-2024</t>
        </is>
      </c>
      <c r="B3576" s="1" t="n">
        <v>45446</v>
      </c>
      <c r="C3576" s="1" t="n">
        <v>46093</v>
      </c>
      <c r="D3576" t="inlineStr">
        <is>
          <t>VÄSTERNORRLANDS LÄN</t>
        </is>
      </c>
      <c r="E3576" t="inlineStr">
        <is>
          <t>TIMRÅ</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22417-2024</t>
        </is>
      </c>
      <c r="B3577" s="1" t="n">
        <v>45446.69421296296</v>
      </c>
      <c r="C3577" s="1" t="n">
        <v>46093</v>
      </c>
      <c r="D3577" t="inlineStr">
        <is>
          <t>VÄSTERNORRLANDS LÄN</t>
        </is>
      </c>
      <c r="E3577" t="inlineStr">
        <is>
          <t>ÖRNSKÖLDSVIK</t>
        </is>
      </c>
      <c r="F3577" t="inlineStr">
        <is>
          <t>Holmen skog AB</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50220-2024</t>
        </is>
      </c>
      <c r="B3578" s="1" t="n">
        <v>45600.53408564815</v>
      </c>
      <c r="C3578" s="1" t="n">
        <v>46093</v>
      </c>
      <c r="D3578" t="inlineStr">
        <is>
          <t>VÄSTERNORRLANDS LÄN</t>
        </is>
      </c>
      <c r="E3578" t="inlineStr">
        <is>
          <t>SUNDSVALL</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56176-2022</t>
        </is>
      </c>
      <c r="B3579" s="1" t="n">
        <v>44889.94862268519</v>
      </c>
      <c r="C3579" s="1" t="n">
        <v>46093</v>
      </c>
      <c r="D3579" t="inlineStr">
        <is>
          <t>VÄSTERNORRLANDS LÄN</t>
        </is>
      </c>
      <c r="E3579" t="inlineStr">
        <is>
          <t>SOLLEFTEÅ</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41284-2024</t>
        </is>
      </c>
      <c r="B3580" s="1" t="n">
        <v>45559.59520833333</v>
      </c>
      <c r="C3580" s="1" t="n">
        <v>46093</v>
      </c>
      <c r="D3580" t="inlineStr">
        <is>
          <t>VÄSTERNORRLANDS LÄN</t>
        </is>
      </c>
      <c r="E3580" t="inlineStr">
        <is>
          <t>ÅNGE</t>
        </is>
      </c>
      <c r="F3580" t="inlineStr">
        <is>
          <t>SCA</t>
        </is>
      </c>
      <c r="G3580" t="n">
        <v>5.5</v>
      </c>
      <c r="H3580" t="n">
        <v>0</v>
      </c>
      <c r="I3580" t="n">
        <v>0</v>
      </c>
      <c r="J3580" t="n">
        <v>0</v>
      </c>
      <c r="K3580" t="n">
        <v>0</v>
      </c>
      <c r="L3580" t="n">
        <v>0</v>
      </c>
      <c r="M3580" t="n">
        <v>0</v>
      </c>
      <c r="N3580" t="n">
        <v>0</v>
      </c>
      <c r="O3580" t="n">
        <v>0</v>
      </c>
      <c r="P3580" t="n">
        <v>0</v>
      </c>
      <c r="Q3580" t="n">
        <v>0</v>
      </c>
      <c r="R3580" s="2" t="inlineStr"/>
    </row>
    <row r="3581" ht="15" customHeight="1">
      <c r="A3581" t="inlineStr">
        <is>
          <t>A 34765-2024</t>
        </is>
      </c>
      <c r="B3581" s="1" t="n">
        <v>45526</v>
      </c>
      <c r="C3581" s="1" t="n">
        <v>46093</v>
      </c>
      <c r="D3581" t="inlineStr">
        <is>
          <t>VÄSTERNORRLANDS LÄN</t>
        </is>
      </c>
      <c r="E3581" t="inlineStr">
        <is>
          <t>SOLLEFTEÅ</t>
        </is>
      </c>
      <c r="F3581" t="inlineStr">
        <is>
          <t>SCA</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39296-2025</t>
        </is>
      </c>
      <c r="B3582" s="1" t="n">
        <v>45888</v>
      </c>
      <c r="C3582" s="1" t="n">
        <v>46093</v>
      </c>
      <c r="D3582" t="inlineStr">
        <is>
          <t>VÄSTERNORRLANDS LÄN</t>
        </is>
      </c>
      <c r="E3582" t="inlineStr">
        <is>
          <t>ÖRNSKÖLDSVIK</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2582-2025</t>
        </is>
      </c>
      <c r="B3583" s="1" t="n">
        <v>45674.67787037037</v>
      </c>
      <c r="C3583" s="1" t="n">
        <v>46093</v>
      </c>
      <c r="D3583" t="inlineStr">
        <is>
          <t>VÄSTERNORRLANDS LÄN</t>
        </is>
      </c>
      <c r="E3583" t="inlineStr">
        <is>
          <t>SOLLEFTEÅ</t>
        </is>
      </c>
      <c r="F3583" t="inlineStr">
        <is>
          <t>SCA</t>
        </is>
      </c>
      <c r="G3583" t="n">
        <v>8</v>
      </c>
      <c r="H3583" t="n">
        <v>0</v>
      </c>
      <c r="I3583" t="n">
        <v>0</v>
      </c>
      <c r="J3583" t="n">
        <v>0</v>
      </c>
      <c r="K3583" t="n">
        <v>0</v>
      </c>
      <c r="L3583" t="n">
        <v>0</v>
      </c>
      <c r="M3583" t="n">
        <v>0</v>
      </c>
      <c r="N3583" t="n">
        <v>0</v>
      </c>
      <c r="O3583" t="n">
        <v>0</v>
      </c>
      <c r="P3583" t="n">
        <v>0</v>
      </c>
      <c r="Q3583" t="n">
        <v>0</v>
      </c>
      <c r="R3583" s="2" t="inlineStr"/>
    </row>
    <row r="3584" ht="15" customHeight="1">
      <c r="A3584" t="inlineStr">
        <is>
          <t>A 12379-2025</t>
        </is>
      </c>
      <c r="B3584" s="1" t="n">
        <v>45730</v>
      </c>
      <c r="C3584" s="1" t="n">
        <v>46093</v>
      </c>
      <c r="D3584" t="inlineStr">
        <is>
          <t>VÄSTERNORRLANDS LÄN</t>
        </is>
      </c>
      <c r="E3584" t="inlineStr">
        <is>
          <t>SOLLEFTEÅ</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19440-2025</t>
        </is>
      </c>
      <c r="B3585" s="1" t="n">
        <v>45770.30425925926</v>
      </c>
      <c r="C3585" s="1" t="n">
        <v>46093</v>
      </c>
      <c r="D3585" t="inlineStr">
        <is>
          <t>VÄSTERNORRLANDS LÄN</t>
        </is>
      </c>
      <c r="E3585" t="inlineStr">
        <is>
          <t>ÖRNSKÖLDSVIK</t>
        </is>
      </c>
      <c r="F3585" t="inlineStr">
        <is>
          <t>Holmen skog AB</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19446-2025</t>
        </is>
      </c>
      <c r="B3586" s="1" t="n">
        <v>45770.32109953704</v>
      </c>
      <c r="C3586" s="1" t="n">
        <v>46093</v>
      </c>
      <c r="D3586" t="inlineStr">
        <is>
          <t>VÄSTERNORRLANDS LÄN</t>
        </is>
      </c>
      <c r="E3586" t="inlineStr">
        <is>
          <t>ÖRNSKÖLDSVIK</t>
        </is>
      </c>
      <c r="F3586" t="inlineStr">
        <is>
          <t>Holmen skog AB</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52404-2024</t>
        </is>
      </c>
      <c r="B3587" s="1" t="n">
        <v>45609</v>
      </c>
      <c r="C3587" s="1" t="n">
        <v>46093</v>
      </c>
      <c r="D3587" t="inlineStr">
        <is>
          <t>VÄSTERNORRLANDS LÄN</t>
        </is>
      </c>
      <c r="E3587" t="inlineStr">
        <is>
          <t>SUNDSVALL</t>
        </is>
      </c>
      <c r="F3587" t="inlineStr">
        <is>
          <t>SCA</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43066-2022</t>
        </is>
      </c>
      <c r="B3588" s="1" t="n">
        <v>44833</v>
      </c>
      <c r="C3588" s="1" t="n">
        <v>46093</v>
      </c>
      <c r="D3588" t="inlineStr">
        <is>
          <t>VÄSTERNORRLANDS LÄN</t>
        </is>
      </c>
      <c r="E3588" t="inlineStr">
        <is>
          <t>ÅNGE</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35246-2025</t>
        </is>
      </c>
      <c r="B3589" s="1" t="n">
        <v>45853.64482638889</v>
      </c>
      <c r="C3589" s="1" t="n">
        <v>46093</v>
      </c>
      <c r="D3589" t="inlineStr">
        <is>
          <t>VÄSTERNORRLANDS LÄN</t>
        </is>
      </c>
      <c r="E3589" t="inlineStr">
        <is>
          <t>ÖRNSKÖLDSVIK</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57595-2022</t>
        </is>
      </c>
      <c r="B3590" s="1" t="n">
        <v>44896.97862268519</v>
      </c>
      <c r="C3590" s="1" t="n">
        <v>46093</v>
      </c>
      <c r="D3590" t="inlineStr">
        <is>
          <t>VÄSTERNORRLANDS LÄN</t>
        </is>
      </c>
      <c r="E3590" t="inlineStr">
        <is>
          <t>ÅNGE</t>
        </is>
      </c>
      <c r="F3590" t="inlineStr">
        <is>
          <t>SCA</t>
        </is>
      </c>
      <c r="G3590" t="n">
        <v>4.7</v>
      </c>
      <c r="H3590" t="n">
        <v>0</v>
      </c>
      <c r="I3590" t="n">
        <v>0</v>
      </c>
      <c r="J3590" t="n">
        <v>0</v>
      </c>
      <c r="K3590" t="n">
        <v>0</v>
      </c>
      <c r="L3590" t="n">
        <v>0</v>
      </c>
      <c r="M3590" t="n">
        <v>0</v>
      </c>
      <c r="N3590" t="n">
        <v>0</v>
      </c>
      <c r="O3590" t="n">
        <v>0</v>
      </c>
      <c r="P3590" t="n">
        <v>0</v>
      </c>
      <c r="Q3590" t="n">
        <v>0</v>
      </c>
      <c r="R3590" s="2" t="inlineStr"/>
    </row>
    <row r="3591" ht="15" customHeight="1">
      <c r="A3591" t="inlineStr">
        <is>
          <t>A 74150-2021</t>
        </is>
      </c>
      <c r="B3591" s="1" t="n">
        <v>44557</v>
      </c>
      <c r="C3591" s="1" t="n">
        <v>46093</v>
      </c>
      <c r="D3591" t="inlineStr">
        <is>
          <t>VÄSTERNORRLANDS LÄN</t>
        </is>
      </c>
      <c r="E3591" t="inlineStr">
        <is>
          <t>TIMRÅ</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72642-2021</t>
        </is>
      </c>
      <c r="B3592" s="1" t="n">
        <v>44545</v>
      </c>
      <c r="C3592" s="1" t="n">
        <v>46093</v>
      </c>
      <c r="D3592" t="inlineStr">
        <is>
          <t>VÄSTERNORRLANDS LÄN</t>
        </is>
      </c>
      <c r="E3592" t="inlineStr">
        <is>
          <t>ÖRNSKÖLDSVIK</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8491-2024</t>
        </is>
      </c>
      <c r="B3593" s="1" t="n">
        <v>45355</v>
      </c>
      <c r="C3593" s="1" t="n">
        <v>46093</v>
      </c>
      <c r="D3593" t="inlineStr">
        <is>
          <t>VÄSTERNORRLANDS LÄN</t>
        </is>
      </c>
      <c r="E3593" t="inlineStr">
        <is>
          <t>SUNDSVALL</t>
        </is>
      </c>
      <c r="G3593" t="n">
        <v>3.5</v>
      </c>
      <c r="H3593" t="n">
        <v>0</v>
      </c>
      <c r="I3593" t="n">
        <v>0</v>
      </c>
      <c r="J3593" t="n">
        <v>0</v>
      </c>
      <c r="K3593" t="n">
        <v>0</v>
      </c>
      <c r="L3593" t="n">
        <v>0</v>
      </c>
      <c r="M3593" t="n">
        <v>0</v>
      </c>
      <c r="N3593" t="n">
        <v>0</v>
      </c>
      <c r="O3593" t="n">
        <v>0</v>
      </c>
      <c r="P3593" t="n">
        <v>0</v>
      </c>
      <c r="Q3593" t="n">
        <v>0</v>
      </c>
      <c r="R3593" s="2" t="inlineStr"/>
    </row>
    <row r="3594" ht="15" customHeight="1">
      <c r="A3594" t="inlineStr">
        <is>
          <t>A 44730-2024</t>
        </is>
      </c>
      <c r="B3594" s="1" t="n">
        <v>45574.58511574074</v>
      </c>
      <c r="C3594" s="1" t="n">
        <v>46093</v>
      </c>
      <c r="D3594" t="inlineStr">
        <is>
          <t>VÄSTERNORRLANDS LÄN</t>
        </is>
      </c>
      <c r="E3594" t="inlineStr">
        <is>
          <t>SUNDSVALL</t>
        </is>
      </c>
      <c r="G3594" t="n">
        <v>9.199999999999999</v>
      </c>
      <c r="H3594" t="n">
        <v>0</v>
      </c>
      <c r="I3594" t="n">
        <v>0</v>
      </c>
      <c r="J3594" t="n">
        <v>0</v>
      </c>
      <c r="K3594" t="n">
        <v>0</v>
      </c>
      <c r="L3594" t="n">
        <v>0</v>
      </c>
      <c r="M3594" t="n">
        <v>0</v>
      </c>
      <c r="N3594" t="n">
        <v>0</v>
      </c>
      <c r="O3594" t="n">
        <v>0</v>
      </c>
      <c r="P3594" t="n">
        <v>0</v>
      </c>
      <c r="Q3594" t="n">
        <v>0</v>
      </c>
      <c r="R3594" s="2" t="inlineStr"/>
    </row>
    <row r="3595" ht="15" customHeight="1">
      <c r="A3595" t="inlineStr">
        <is>
          <t>A 8523-2024</t>
        </is>
      </c>
      <c r="B3595" s="1" t="n">
        <v>45351</v>
      </c>
      <c r="C3595" s="1" t="n">
        <v>46093</v>
      </c>
      <c r="D3595" t="inlineStr">
        <is>
          <t>VÄSTERNORRLANDS LÄN</t>
        </is>
      </c>
      <c r="E3595" t="inlineStr">
        <is>
          <t>ÖRNSKÖLDSVIK</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8024-2023</t>
        </is>
      </c>
      <c r="B3596" s="1" t="n">
        <v>44973.92466435185</v>
      </c>
      <c r="C3596" s="1" t="n">
        <v>46093</v>
      </c>
      <c r="D3596" t="inlineStr">
        <is>
          <t>VÄSTERNORRLANDS LÄN</t>
        </is>
      </c>
      <c r="E3596" t="inlineStr">
        <is>
          <t>HÄRNÖSAND</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33258-2023</t>
        </is>
      </c>
      <c r="B3597" s="1" t="n">
        <v>45114</v>
      </c>
      <c r="C3597" s="1" t="n">
        <v>46093</v>
      </c>
      <c r="D3597" t="inlineStr">
        <is>
          <t>VÄSTERNORRLANDS LÄN</t>
        </is>
      </c>
      <c r="E3597" t="inlineStr">
        <is>
          <t>ÖRNSKÖLDSVIK</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35619-2024</t>
        </is>
      </c>
      <c r="B3598" s="1" t="n">
        <v>45531</v>
      </c>
      <c r="C3598" s="1" t="n">
        <v>46093</v>
      </c>
      <c r="D3598" t="inlineStr">
        <is>
          <t>VÄSTERNORRLANDS LÄN</t>
        </is>
      </c>
      <c r="E3598" t="inlineStr">
        <is>
          <t>ÖRNSKÖLDSVIK</t>
        </is>
      </c>
      <c r="G3598" t="n">
        <v>14.1</v>
      </c>
      <c r="H3598" t="n">
        <v>0</v>
      </c>
      <c r="I3598" t="n">
        <v>0</v>
      </c>
      <c r="J3598" t="n">
        <v>0</v>
      </c>
      <c r="K3598" t="n">
        <v>0</v>
      </c>
      <c r="L3598" t="n">
        <v>0</v>
      </c>
      <c r="M3598" t="n">
        <v>0</v>
      </c>
      <c r="N3598" t="n">
        <v>0</v>
      </c>
      <c r="O3598" t="n">
        <v>0</v>
      </c>
      <c r="P3598" t="n">
        <v>0</v>
      </c>
      <c r="Q3598" t="n">
        <v>0</v>
      </c>
      <c r="R3598" s="2" t="inlineStr"/>
    </row>
    <row r="3599" ht="15" customHeight="1">
      <c r="A3599" t="inlineStr">
        <is>
          <t>A 33261-2023</t>
        </is>
      </c>
      <c r="B3599" s="1" t="n">
        <v>45114</v>
      </c>
      <c r="C3599" s="1" t="n">
        <v>46093</v>
      </c>
      <c r="D3599" t="inlineStr">
        <is>
          <t>VÄSTERNORRLANDS LÄN</t>
        </is>
      </c>
      <c r="E3599" t="inlineStr">
        <is>
          <t>ÖRNSKÖLDSVIK</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33288-2023</t>
        </is>
      </c>
      <c r="B3600" s="1" t="n">
        <v>45127</v>
      </c>
      <c r="C3600" s="1" t="n">
        <v>46093</v>
      </c>
      <c r="D3600" t="inlineStr">
        <is>
          <t>VÄSTERNORRLANDS LÄN</t>
        </is>
      </c>
      <c r="E3600" t="inlineStr">
        <is>
          <t>ÖRNSKÖLDSVIK</t>
        </is>
      </c>
      <c r="F3600" t="inlineStr">
        <is>
          <t>Holmen skog AB</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25243-2025</t>
        </is>
      </c>
      <c r="B3601" s="1" t="n">
        <v>45800.49063657408</v>
      </c>
      <c r="C3601" s="1" t="n">
        <v>46093</v>
      </c>
      <c r="D3601" t="inlineStr">
        <is>
          <t>VÄSTERNORRLANDS LÄN</t>
        </is>
      </c>
      <c r="E3601" t="inlineStr">
        <is>
          <t>SOLLEFTEÅ</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218-2025</t>
        </is>
      </c>
      <c r="B3602" s="1" t="n">
        <v>45660</v>
      </c>
      <c r="C3602" s="1" t="n">
        <v>46093</v>
      </c>
      <c r="D3602" t="inlineStr">
        <is>
          <t>VÄSTERNORRLANDS LÄN</t>
        </is>
      </c>
      <c r="E3602" t="inlineStr">
        <is>
          <t>SOLLEFTEÅ</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47272-2022</t>
        </is>
      </c>
      <c r="B3603" s="1" t="n">
        <v>44852.95016203704</v>
      </c>
      <c r="C3603" s="1" t="n">
        <v>46093</v>
      </c>
      <c r="D3603" t="inlineStr">
        <is>
          <t>VÄSTERNORRLANDS LÄN</t>
        </is>
      </c>
      <c r="E3603" t="inlineStr">
        <is>
          <t>SOLLEFTEÅ</t>
        </is>
      </c>
      <c r="G3603" t="n">
        <v>12.2</v>
      </c>
      <c r="H3603" t="n">
        <v>0</v>
      </c>
      <c r="I3603" t="n">
        <v>0</v>
      </c>
      <c r="J3603" t="n">
        <v>0</v>
      </c>
      <c r="K3603" t="n">
        <v>0</v>
      </c>
      <c r="L3603" t="n">
        <v>0</v>
      </c>
      <c r="M3603" t="n">
        <v>0</v>
      </c>
      <c r="N3603" t="n">
        <v>0</v>
      </c>
      <c r="O3603" t="n">
        <v>0</v>
      </c>
      <c r="P3603" t="n">
        <v>0</v>
      </c>
      <c r="Q3603" t="n">
        <v>0</v>
      </c>
      <c r="R3603" s="2" t="inlineStr"/>
    </row>
    <row r="3604" ht="15" customHeight="1">
      <c r="A3604" t="inlineStr">
        <is>
          <t>A 254-2025</t>
        </is>
      </c>
      <c r="B3604" s="1" t="n">
        <v>45660.42829861111</v>
      </c>
      <c r="C3604" s="1" t="n">
        <v>46093</v>
      </c>
      <c r="D3604" t="inlineStr">
        <is>
          <t>VÄSTERNORRLANDS LÄN</t>
        </is>
      </c>
      <c r="E3604" t="inlineStr">
        <is>
          <t>KRAMFORS</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35189-2025</t>
        </is>
      </c>
      <c r="B3605" s="1" t="n">
        <v>45853.34439814815</v>
      </c>
      <c r="C3605" s="1" t="n">
        <v>46093</v>
      </c>
      <c r="D3605" t="inlineStr">
        <is>
          <t>VÄSTERNORRLANDS LÄN</t>
        </is>
      </c>
      <c r="E3605" t="inlineStr">
        <is>
          <t>HÄRNÖSAND</t>
        </is>
      </c>
      <c r="F3605" t="inlineStr">
        <is>
          <t>SCA</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279-2025</t>
        </is>
      </c>
      <c r="B3606" s="1" t="n">
        <v>45660.49368055556</v>
      </c>
      <c r="C3606" s="1" t="n">
        <v>46093</v>
      </c>
      <c r="D3606" t="inlineStr">
        <is>
          <t>VÄSTERNORRLANDS LÄN</t>
        </is>
      </c>
      <c r="E3606" t="inlineStr">
        <is>
          <t>ÖRNSKÖLDSVIK</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32901-2023</t>
        </is>
      </c>
      <c r="B3607" s="1" t="n">
        <v>45124.95063657407</v>
      </c>
      <c r="C3607" s="1" t="n">
        <v>46093</v>
      </c>
      <c r="D3607" t="inlineStr">
        <is>
          <t>VÄSTERNORRLANDS LÄN</t>
        </is>
      </c>
      <c r="E3607" t="inlineStr">
        <is>
          <t>ÅNGE</t>
        </is>
      </c>
      <c r="F3607" t="inlineStr">
        <is>
          <t>SCA</t>
        </is>
      </c>
      <c r="G3607" t="n">
        <v>4.8</v>
      </c>
      <c r="H3607" t="n">
        <v>0</v>
      </c>
      <c r="I3607" t="n">
        <v>0</v>
      </c>
      <c r="J3607" t="n">
        <v>0</v>
      </c>
      <c r="K3607" t="n">
        <v>0</v>
      </c>
      <c r="L3607" t="n">
        <v>0</v>
      </c>
      <c r="M3607" t="n">
        <v>0</v>
      </c>
      <c r="N3607" t="n">
        <v>0</v>
      </c>
      <c r="O3607" t="n">
        <v>0</v>
      </c>
      <c r="P3607" t="n">
        <v>0</v>
      </c>
      <c r="Q3607" t="n">
        <v>0</v>
      </c>
      <c r="R3607" s="2" t="inlineStr"/>
    </row>
    <row r="3608" ht="15" customHeight="1">
      <c r="A3608" t="inlineStr">
        <is>
          <t>A 32904-2023</t>
        </is>
      </c>
      <c r="B3608" s="1" t="n">
        <v>45124.95121527778</v>
      </c>
      <c r="C3608" s="1" t="n">
        <v>46093</v>
      </c>
      <c r="D3608" t="inlineStr">
        <is>
          <t>VÄSTERNORRLANDS LÄN</t>
        </is>
      </c>
      <c r="E3608" t="inlineStr">
        <is>
          <t>SUNDSVALL</t>
        </is>
      </c>
      <c r="F3608" t="inlineStr">
        <is>
          <t>SCA</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28302-2024</t>
        </is>
      </c>
      <c r="B3609" s="1" t="n">
        <v>45477</v>
      </c>
      <c r="C3609" s="1" t="n">
        <v>46093</v>
      </c>
      <c r="D3609" t="inlineStr">
        <is>
          <t>VÄSTERNORRLANDS LÄN</t>
        </is>
      </c>
      <c r="E3609" t="inlineStr">
        <is>
          <t>SUNDSVALL</t>
        </is>
      </c>
      <c r="F3609" t="inlineStr">
        <is>
          <t>Holmen skog AB</t>
        </is>
      </c>
      <c r="G3609" t="n">
        <v>4</v>
      </c>
      <c r="H3609" t="n">
        <v>0</v>
      </c>
      <c r="I3609" t="n">
        <v>0</v>
      </c>
      <c r="J3609" t="n">
        <v>0</v>
      </c>
      <c r="K3609" t="n">
        <v>0</v>
      </c>
      <c r="L3609" t="n">
        <v>0</v>
      </c>
      <c r="M3609" t="n">
        <v>0</v>
      </c>
      <c r="N3609" t="n">
        <v>0</v>
      </c>
      <c r="O3609" t="n">
        <v>0</v>
      </c>
      <c r="P3609" t="n">
        <v>0</v>
      </c>
      <c r="Q3609" t="n">
        <v>0</v>
      </c>
      <c r="R3609" s="2" t="inlineStr"/>
    </row>
    <row r="3610" ht="15" customHeight="1">
      <c r="A3610" t="inlineStr">
        <is>
          <t>A 32953-2023</t>
        </is>
      </c>
      <c r="B3610" s="1" t="n">
        <v>45113</v>
      </c>
      <c r="C3610" s="1" t="n">
        <v>46093</v>
      </c>
      <c r="D3610" t="inlineStr">
        <is>
          <t>VÄSTERNORRLANDS LÄN</t>
        </is>
      </c>
      <c r="E3610" t="inlineStr">
        <is>
          <t>SUNDSVALL</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32970-2023</t>
        </is>
      </c>
      <c r="B3611" s="1" t="n">
        <v>45113</v>
      </c>
      <c r="C3611" s="1" t="n">
        <v>46093</v>
      </c>
      <c r="D3611" t="inlineStr">
        <is>
          <t>VÄSTERNORRLANDS LÄN</t>
        </is>
      </c>
      <c r="E3611" t="inlineStr">
        <is>
          <t>SUNDSVALL</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16866-2024</t>
        </is>
      </c>
      <c r="B3612" s="1" t="n">
        <v>45409</v>
      </c>
      <c r="C3612" s="1" t="n">
        <v>46093</v>
      </c>
      <c r="D3612" t="inlineStr">
        <is>
          <t>VÄSTERNORRLANDS LÄN</t>
        </is>
      </c>
      <c r="E3612" t="inlineStr">
        <is>
          <t>HÄRNÖSAND</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26268-2024</t>
        </is>
      </c>
      <c r="B3613" s="1" t="n">
        <v>45468</v>
      </c>
      <c r="C3613" s="1" t="n">
        <v>46093</v>
      </c>
      <c r="D3613" t="inlineStr">
        <is>
          <t>VÄSTERNORRLANDS LÄN</t>
        </is>
      </c>
      <c r="E3613" t="inlineStr">
        <is>
          <t>ÖRNSKÖLDSVIK</t>
        </is>
      </c>
      <c r="F3613" t="inlineStr">
        <is>
          <t>Holmen skog AB</t>
        </is>
      </c>
      <c r="G3613" t="n">
        <v>7.2</v>
      </c>
      <c r="H3613" t="n">
        <v>0</v>
      </c>
      <c r="I3613" t="n">
        <v>0</v>
      </c>
      <c r="J3613" t="n">
        <v>0</v>
      </c>
      <c r="K3613" t="n">
        <v>0</v>
      </c>
      <c r="L3613" t="n">
        <v>0</v>
      </c>
      <c r="M3613" t="n">
        <v>0</v>
      </c>
      <c r="N3613" t="n">
        <v>0</v>
      </c>
      <c r="O3613" t="n">
        <v>0</v>
      </c>
      <c r="P3613" t="n">
        <v>0</v>
      </c>
      <c r="Q3613" t="n">
        <v>0</v>
      </c>
      <c r="R3613" s="2" t="inlineStr"/>
    </row>
    <row r="3614" ht="15" customHeight="1">
      <c r="A3614" t="inlineStr">
        <is>
          <t>A 25242-2025</t>
        </is>
      </c>
      <c r="B3614" s="1" t="n">
        <v>45800.49059027778</v>
      </c>
      <c r="C3614" s="1" t="n">
        <v>46093</v>
      </c>
      <c r="D3614" t="inlineStr">
        <is>
          <t>VÄSTERNORRLANDS LÄN</t>
        </is>
      </c>
      <c r="E3614" t="inlineStr">
        <is>
          <t>SOLLEFTEÅ</t>
        </is>
      </c>
      <c r="G3614" t="n">
        <v>4</v>
      </c>
      <c r="H3614" t="n">
        <v>0</v>
      </c>
      <c r="I3614" t="n">
        <v>0</v>
      </c>
      <c r="J3614" t="n">
        <v>0</v>
      </c>
      <c r="K3614" t="n">
        <v>0</v>
      </c>
      <c r="L3614" t="n">
        <v>0</v>
      </c>
      <c r="M3614" t="n">
        <v>0</v>
      </c>
      <c r="N3614" t="n">
        <v>0</v>
      </c>
      <c r="O3614" t="n">
        <v>0</v>
      </c>
      <c r="P3614" t="n">
        <v>0</v>
      </c>
      <c r="Q3614" t="n">
        <v>0</v>
      </c>
      <c r="R3614" s="2" t="inlineStr"/>
    </row>
    <row r="3615" ht="15" customHeight="1">
      <c r="A3615" t="inlineStr">
        <is>
          <t>A 16903-2024</t>
        </is>
      </c>
      <c r="B3615" s="1" t="n">
        <v>45411.63106481481</v>
      </c>
      <c r="C3615" s="1" t="n">
        <v>46093</v>
      </c>
      <c r="D3615" t="inlineStr">
        <is>
          <t>VÄSTERNORRLANDS LÄN</t>
        </is>
      </c>
      <c r="E3615" t="inlineStr">
        <is>
          <t>ÅNGE</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35286-2025</t>
        </is>
      </c>
      <c r="B3616" s="1" t="n">
        <v>45854.36512731481</v>
      </c>
      <c r="C3616" s="1" t="n">
        <v>46093</v>
      </c>
      <c r="D3616" t="inlineStr">
        <is>
          <t>VÄSTERNORRLANDS LÄN</t>
        </is>
      </c>
      <c r="E3616" t="inlineStr">
        <is>
          <t>SOLLEFTEÅ</t>
        </is>
      </c>
      <c r="F3616" t="inlineStr">
        <is>
          <t>SCA</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5609-2024</t>
        </is>
      </c>
      <c r="B3617" s="1" t="n">
        <v>45334</v>
      </c>
      <c r="C3617" s="1" t="n">
        <v>46093</v>
      </c>
      <c r="D3617" t="inlineStr">
        <is>
          <t>VÄSTERNORRLANDS LÄN</t>
        </is>
      </c>
      <c r="E3617" t="inlineStr">
        <is>
          <t>HÄRNÖSAND</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22208-2024</t>
        </is>
      </c>
      <c r="B3618" s="1" t="n">
        <v>45446.38181712963</v>
      </c>
      <c r="C3618" s="1" t="n">
        <v>46093</v>
      </c>
      <c r="D3618" t="inlineStr">
        <is>
          <t>VÄSTERNORRLANDS LÄN</t>
        </is>
      </c>
      <c r="E3618" t="inlineStr">
        <is>
          <t>SOLLEFTEÅ</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38711-2025</t>
        </is>
      </c>
      <c r="B3619" s="1" t="n">
        <v>45886.34450231482</v>
      </c>
      <c r="C3619" s="1" t="n">
        <v>46093</v>
      </c>
      <c r="D3619" t="inlineStr">
        <is>
          <t>VÄSTERNORRLANDS LÄN</t>
        </is>
      </c>
      <c r="E3619" t="inlineStr">
        <is>
          <t>ÅNGE</t>
        </is>
      </c>
      <c r="F3619" t="inlineStr">
        <is>
          <t>SCA</t>
        </is>
      </c>
      <c r="G3619" t="n">
        <v>3.6</v>
      </c>
      <c r="H3619" t="n">
        <v>0</v>
      </c>
      <c r="I3619" t="n">
        <v>0</v>
      </c>
      <c r="J3619" t="n">
        <v>0</v>
      </c>
      <c r="K3619" t="n">
        <v>0</v>
      </c>
      <c r="L3619" t="n">
        <v>0</v>
      </c>
      <c r="M3619" t="n">
        <v>0</v>
      </c>
      <c r="N3619" t="n">
        <v>0</v>
      </c>
      <c r="O3619" t="n">
        <v>0</v>
      </c>
      <c r="P3619" t="n">
        <v>0</v>
      </c>
      <c r="Q3619" t="n">
        <v>0</v>
      </c>
      <c r="R3619" s="2" t="inlineStr"/>
    </row>
    <row r="3620" ht="15" customHeight="1">
      <c r="A3620" t="inlineStr">
        <is>
          <t>A 16915-2024</t>
        </is>
      </c>
      <c r="B3620" s="1" t="n">
        <v>45411.65185185185</v>
      </c>
      <c r="C3620" s="1" t="n">
        <v>46093</v>
      </c>
      <c r="D3620" t="inlineStr">
        <is>
          <t>VÄSTERNORRLANDS LÄN</t>
        </is>
      </c>
      <c r="E3620" t="inlineStr">
        <is>
          <t>ÅNGE</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5613-2024</t>
        </is>
      </c>
      <c r="B3621" s="1" t="n">
        <v>45334</v>
      </c>
      <c r="C3621" s="1" t="n">
        <v>46093</v>
      </c>
      <c r="D3621" t="inlineStr">
        <is>
          <t>VÄSTERNORRLANDS LÄN</t>
        </is>
      </c>
      <c r="E3621" t="inlineStr">
        <is>
          <t>ÅNGE</t>
        </is>
      </c>
      <c r="G3621" t="n">
        <v>0.4</v>
      </c>
      <c r="H3621" t="n">
        <v>0</v>
      </c>
      <c r="I3621" t="n">
        <v>0</v>
      </c>
      <c r="J3621" t="n">
        <v>0</v>
      </c>
      <c r="K3621" t="n">
        <v>0</v>
      </c>
      <c r="L3621" t="n">
        <v>0</v>
      </c>
      <c r="M3621" t="n">
        <v>0</v>
      </c>
      <c r="N3621" t="n">
        <v>0</v>
      </c>
      <c r="O3621" t="n">
        <v>0</v>
      </c>
      <c r="P3621" t="n">
        <v>0</v>
      </c>
      <c r="Q3621" t="n">
        <v>0</v>
      </c>
      <c r="R3621" s="2" t="inlineStr"/>
    </row>
    <row r="3622" ht="15" customHeight="1">
      <c r="A3622" t="inlineStr">
        <is>
          <t>A 27304-2024</t>
        </is>
      </c>
      <c r="B3622" s="1" t="n">
        <v>45471.94401620371</v>
      </c>
      <c r="C3622" s="1" t="n">
        <v>46093</v>
      </c>
      <c r="D3622" t="inlineStr">
        <is>
          <t>VÄSTERNORRLANDS LÄN</t>
        </is>
      </c>
      <c r="E3622" t="inlineStr">
        <is>
          <t>SUNDSVALL</t>
        </is>
      </c>
      <c r="F3622" t="inlineStr">
        <is>
          <t>SCA</t>
        </is>
      </c>
      <c r="G3622" t="n">
        <v>3.5</v>
      </c>
      <c r="H3622" t="n">
        <v>0</v>
      </c>
      <c r="I3622" t="n">
        <v>0</v>
      </c>
      <c r="J3622" t="n">
        <v>0</v>
      </c>
      <c r="K3622" t="n">
        <v>0</v>
      </c>
      <c r="L3622" t="n">
        <v>0</v>
      </c>
      <c r="M3622" t="n">
        <v>0</v>
      </c>
      <c r="N3622" t="n">
        <v>0</v>
      </c>
      <c r="O3622" t="n">
        <v>0</v>
      </c>
      <c r="P3622" t="n">
        <v>0</v>
      </c>
      <c r="Q3622" t="n">
        <v>0</v>
      </c>
      <c r="R3622" s="2" t="inlineStr"/>
    </row>
    <row r="3623" ht="15" customHeight="1">
      <c r="A3623" t="inlineStr">
        <is>
          <t>A 27314-2024</t>
        </is>
      </c>
      <c r="B3623" s="1" t="n">
        <v>45471.94633101852</v>
      </c>
      <c r="C3623" s="1" t="n">
        <v>46093</v>
      </c>
      <c r="D3623" t="inlineStr">
        <is>
          <t>VÄSTERNORRLANDS LÄN</t>
        </is>
      </c>
      <c r="E3623" t="inlineStr">
        <is>
          <t>SOLLEFTEÅ</t>
        </is>
      </c>
      <c r="G3623" t="n">
        <v>3.8</v>
      </c>
      <c r="H3623" t="n">
        <v>0</v>
      </c>
      <c r="I3623" t="n">
        <v>0</v>
      </c>
      <c r="J3623" t="n">
        <v>0</v>
      </c>
      <c r="K3623" t="n">
        <v>0</v>
      </c>
      <c r="L3623" t="n">
        <v>0</v>
      </c>
      <c r="M3623" t="n">
        <v>0</v>
      </c>
      <c r="N3623" t="n">
        <v>0</v>
      </c>
      <c r="O3623" t="n">
        <v>0</v>
      </c>
      <c r="P3623" t="n">
        <v>0</v>
      </c>
      <c r="Q3623" t="n">
        <v>0</v>
      </c>
      <c r="R3623" s="2" t="inlineStr"/>
      <c r="U3623">
        <f>HYPERLINK("https://klasma.github.io/Logging_2283/knärot/A 27314-2024 karta knärot.png", "A 27314-2024")</f>
        <v/>
      </c>
      <c r="V3623">
        <f>HYPERLINK("https://klasma.github.io/Logging_2283/klagomål/A 27314-2024 FSC-klagomål.docx", "A 27314-2024")</f>
        <v/>
      </c>
      <c r="W3623">
        <f>HYPERLINK("https://klasma.github.io/Logging_2283/klagomålsmail/A 27314-2024 FSC-klagomål mail.docx", "A 27314-2024")</f>
        <v/>
      </c>
      <c r="X3623">
        <f>HYPERLINK("https://klasma.github.io/Logging_2283/tillsyn/A 27314-2024 tillsynsbegäran.docx", "A 27314-2024")</f>
        <v/>
      </c>
      <c r="Y3623">
        <f>HYPERLINK("https://klasma.github.io/Logging_2283/tillsynsmail/A 27314-2024 tillsynsbegäran mail.docx", "A 27314-2024")</f>
        <v/>
      </c>
    </row>
    <row r="3624" ht="15" customHeight="1">
      <c r="A3624" t="inlineStr">
        <is>
          <t>A 8729-2024</t>
        </is>
      </c>
      <c r="B3624" s="1" t="n">
        <v>45356.43958333333</v>
      </c>
      <c r="C3624" s="1" t="n">
        <v>46093</v>
      </c>
      <c r="D3624" t="inlineStr">
        <is>
          <t>VÄSTERNORRLANDS LÄN</t>
        </is>
      </c>
      <c r="E3624" t="inlineStr">
        <is>
          <t>SOLLEFTEÅ</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38715-2025</t>
        </is>
      </c>
      <c r="B3625" s="1" t="n">
        <v>45886.34501157407</v>
      </c>
      <c r="C3625" s="1" t="n">
        <v>46093</v>
      </c>
      <c r="D3625" t="inlineStr">
        <is>
          <t>VÄSTERNORRLANDS LÄN</t>
        </is>
      </c>
      <c r="E3625" t="inlineStr">
        <is>
          <t>ÅNGE</t>
        </is>
      </c>
      <c r="F3625" t="inlineStr">
        <is>
          <t>SCA</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14129-2023</t>
        </is>
      </c>
      <c r="B3626" s="1" t="n">
        <v>45008</v>
      </c>
      <c r="C3626" s="1" t="n">
        <v>46093</v>
      </c>
      <c r="D3626" t="inlineStr">
        <is>
          <t>VÄSTERNORRLANDS LÄN</t>
        </is>
      </c>
      <c r="E3626" t="inlineStr">
        <is>
          <t>KRAMFORS</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15374-2024</t>
        </is>
      </c>
      <c r="B3627" s="1" t="n">
        <v>45400</v>
      </c>
      <c r="C3627" s="1" t="n">
        <v>46093</v>
      </c>
      <c r="D3627" t="inlineStr">
        <is>
          <t>VÄSTERNORRLANDS LÄN</t>
        </is>
      </c>
      <c r="E3627" t="inlineStr">
        <is>
          <t>KRAMFORS</t>
        </is>
      </c>
      <c r="G3627" t="n">
        <v>29.6</v>
      </c>
      <c r="H3627" t="n">
        <v>0</v>
      </c>
      <c r="I3627" t="n">
        <v>0</v>
      </c>
      <c r="J3627" t="n">
        <v>0</v>
      </c>
      <c r="K3627" t="n">
        <v>0</v>
      </c>
      <c r="L3627" t="n">
        <v>0</v>
      </c>
      <c r="M3627" t="n">
        <v>0</v>
      </c>
      <c r="N3627" t="n">
        <v>0</v>
      </c>
      <c r="O3627" t="n">
        <v>0</v>
      </c>
      <c r="P3627" t="n">
        <v>0</v>
      </c>
      <c r="Q3627" t="n">
        <v>0</v>
      </c>
      <c r="R3627" s="2" t="inlineStr"/>
    </row>
    <row r="3628" ht="15" customHeight="1">
      <c r="A3628" t="inlineStr">
        <is>
          <t>A 17096-2025</t>
        </is>
      </c>
      <c r="B3628" s="1" t="n">
        <v>45755.65662037037</v>
      </c>
      <c r="C3628" s="1" t="n">
        <v>46093</v>
      </c>
      <c r="D3628" t="inlineStr">
        <is>
          <t>VÄSTERNORRLANDS LÄN</t>
        </is>
      </c>
      <c r="E3628" t="inlineStr">
        <is>
          <t>SOLLEFTEÅ</t>
        </is>
      </c>
      <c r="F3628" t="inlineStr">
        <is>
          <t>SCA</t>
        </is>
      </c>
      <c r="G3628" t="n">
        <v>3.9</v>
      </c>
      <c r="H3628" t="n">
        <v>0</v>
      </c>
      <c r="I3628" t="n">
        <v>0</v>
      </c>
      <c r="J3628" t="n">
        <v>0</v>
      </c>
      <c r="K3628" t="n">
        <v>0</v>
      </c>
      <c r="L3628" t="n">
        <v>0</v>
      </c>
      <c r="M3628" t="n">
        <v>0</v>
      </c>
      <c r="N3628" t="n">
        <v>0</v>
      </c>
      <c r="O3628" t="n">
        <v>0</v>
      </c>
      <c r="P3628" t="n">
        <v>0</v>
      </c>
      <c r="Q3628" t="n">
        <v>0</v>
      </c>
      <c r="R3628" s="2" t="inlineStr"/>
    </row>
    <row r="3629" ht="15" customHeight="1">
      <c r="A3629" t="inlineStr">
        <is>
          <t>A 45272-2024</t>
        </is>
      </c>
      <c r="B3629" s="1" t="n">
        <v>45576.36237268519</v>
      </c>
      <c r="C3629" s="1" t="n">
        <v>46093</v>
      </c>
      <c r="D3629" t="inlineStr">
        <is>
          <t>VÄSTERNORRLANDS LÄN</t>
        </is>
      </c>
      <c r="E3629" t="inlineStr">
        <is>
          <t>ÖRNSKÖLDSVIK</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45274-2024</t>
        </is>
      </c>
      <c r="B3630" s="1" t="n">
        <v>45576.36590277778</v>
      </c>
      <c r="C3630" s="1" t="n">
        <v>46093</v>
      </c>
      <c r="D3630" t="inlineStr">
        <is>
          <t>VÄSTERNORRLANDS LÄN</t>
        </is>
      </c>
      <c r="E3630" t="inlineStr">
        <is>
          <t>ÖRNSKÖLDSVIK</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49665-2022</t>
        </is>
      </c>
      <c r="B3631" s="1" t="n">
        <v>44862</v>
      </c>
      <c r="C3631" s="1" t="n">
        <v>46093</v>
      </c>
      <c r="D3631" t="inlineStr">
        <is>
          <t>VÄSTERNORRLANDS LÄN</t>
        </is>
      </c>
      <c r="E3631" t="inlineStr">
        <is>
          <t>SOLLEFTEÅ</t>
        </is>
      </c>
      <c r="F3631" t="inlineStr">
        <is>
          <t>Holmen skog AB</t>
        </is>
      </c>
      <c r="G3631" t="n">
        <v>3</v>
      </c>
      <c r="H3631" t="n">
        <v>0</v>
      </c>
      <c r="I3631" t="n">
        <v>0</v>
      </c>
      <c r="J3631" t="n">
        <v>0</v>
      </c>
      <c r="K3631" t="n">
        <v>0</v>
      </c>
      <c r="L3631" t="n">
        <v>0</v>
      </c>
      <c r="M3631" t="n">
        <v>0</v>
      </c>
      <c r="N3631" t="n">
        <v>0</v>
      </c>
      <c r="O3631" t="n">
        <v>0</v>
      </c>
      <c r="P3631" t="n">
        <v>0</v>
      </c>
      <c r="Q3631" t="n">
        <v>0</v>
      </c>
      <c r="R3631" s="2" t="inlineStr"/>
    </row>
    <row r="3632" ht="15" customHeight="1">
      <c r="A3632" t="inlineStr">
        <is>
          <t>A 54045-2024</t>
        </is>
      </c>
      <c r="B3632" s="1" t="n">
        <v>45616.44898148148</v>
      </c>
      <c r="C3632" s="1" t="n">
        <v>46093</v>
      </c>
      <c r="D3632" t="inlineStr">
        <is>
          <t>VÄSTERNORRLANDS LÄN</t>
        </is>
      </c>
      <c r="E3632" t="inlineStr">
        <is>
          <t>KRAMFORS</t>
        </is>
      </c>
      <c r="G3632" t="n">
        <v>3.3</v>
      </c>
      <c r="H3632" t="n">
        <v>0</v>
      </c>
      <c r="I3632" t="n">
        <v>0</v>
      </c>
      <c r="J3632" t="n">
        <v>0</v>
      </c>
      <c r="K3632" t="n">
        <v>0</v>
      </c>
      <c r="L3632" t="n">
        <v>0</v>
      </c>
      <c r="M3632" t="n">
        <v>0</v>
      </c>
      <c r="N3632" t="n">
        <v>0</v>
      </c>
      <c r="O3632" t="n">
        <v>0</v>
      </c>
      <c r="P3632" t="n">
        <v>0</v>
      </c>
      <c r="Q3632" t="n">
        <v>0</v>
      </c>
      <c r="R3632" s="2" t="inlineStr"/>
    </row>
    <row r="3633" ht="15" customHeight="1">
      <c r="A3633" t="inlineStr">
        <is>
          <t>A 32107-2025</t>
        </is>
      </c>
      <c r="B3633" s="1" t="n">
        <v>45835.47376157407</v>
      </c>
      <c r="C3633" s="1" t="n">
        <v>46093</v>
      </c>
      <c r="D3633" t="inlineStr">
        <is>
          <t>VÄSTERNORRLANDS LÄN</t>
        </is>
      </c>
      <c r="E3633" t="inlineStr">
        <is>
          <t>ÖRNSKÖLDSVIK</t>
        </is>
      </c>
      <c r="F3633" t="inlineStr">
        <is>
          <t>Holmen skog AB</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38334-2024</t>
        </is>
      </c>
      <c r="B3634" s="1" t="n">
        <v>45545.68283564815</v>
      </c>
      <c r="C3634" s="1" t="n">
        <v>46093</v>
      </c>
      <c r="D3634" t="inlineStr">
        <is>
          <t>VÄSTERNORRLANDS LÄN</t>
        </is>
      </c>
      <c r="E3634" t="inlineStr">
        <is>
          <t>ÖRNSKÖLDSVIK</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8794-2025</t>
        </is>
      </c>
      <c r="B3635" s="1" t="n">
        <v>45712.64390046296</v>
      </c>
      <c r="C3635" s="1" t="n">
        <v>46093</v>
      </c>
      <c r="D3635" t="inlineStr">
        <is>
          <t>VÄSTERNORRLANDS LÄN</t>
        </is>
      </c>
      <c r="E3635" t="inlineStr">
        <is>
          <t>SUNDSVALL</t>
        </is>
      </c>
      <c r="G3635" t="n">
        <v>16.6</v>
      </c>
      <c r="H3635" t="n">
        <v>0</v>
      </c>
      <c r="I3635" t="n">
        <v>0</v>
      </c>
      <c r="J3635" t="n">
        <v>0</v>
      </c>
      <c r="K3635" t="n">
        <v>0</v>
      </c>
      <c r="L3635" t="n">
        <v>0</v>
      </c>
      <c r="M3635" t="n">
        <v>0</v>
      </c>
      <c r="N3635" t="n">
        <v>0</v>
      </c>
      <c r="O3635" t="n">
        <v>0</v>
      </c>
      <c r="P3635" t="n">
        <v>0</v>
      </c>
      <c r="Q3635" t="n">
        <v>0</v>
      </c>
      <c r="R3635" s="2" t="inlineStr"/>
    </row>
    <row r="3636" ht="15" customHeight="1">
      <c r="A3636" t="inlineStr">
        <is>
          <t>A 54456-2024</t>
        </is>
      </c>
      <c r="B3636" s="1" t="n">
        <v>45617.53160879629</v>
      </c>
      <c r="C3636" s="1" t="n">
        <v>46093</v>
      </c>
      <c r="D3636" t="inlineStr">
        <is>
          <t>VÄSTERNORRLANDS LÄN</t>
        </is>
      </c>
      <c r="E3636" t="inlineStr">
        <is>
          <t>ÅNGE</t>
        </is>
      </c>
      <c r="F3636" t="inlineStr">
        <is>
          <t>SCA</t>
        </is>
      </c>
      <c r="G3636" t="n">
        <v>9.199999999999999</v>
      </c>
      <c r="H3636" t="n">
        <v>0</v>
      </c>
      <c r="I3636" t="n">
        <v>0</v>
      </c>
      <c r="J3636" t="n">
        <v>0</v>
      </c>
      <c r="K3636" t="n">
        <v>0</v>
      </c>
      <c r="L3636" t="n">
        <v>0</v>
      </c>
      <c r="M3636" t="n">
        <v>0</v>
      </c>
      <c r="N3636" t="n">
        <v>0</v>
      </c>
      <c r="O3636" t="n">
        <v>0</v>
      </c>
      <c r="P3636" t="n">
        <v>0</v>
      </c>
      <c r="Q3636" t="n">
        <v>0</v>
      </c>
      <c r="R3636" s="2" t="inlineStr"/>
    </row>
    <row r="3637" ht="15" customHeight="1">
      <c r="A3637" t="inlineStr">
        <is>
          <t>A 54460-2024</t>
        </is>
      </c>
      <c r="B3637" s="1" t="n">
        <v>45617.5328125</v>
      </c>
      <c r="C3637" s="1" t="n">
        <v>46093</v>
      </c>
      <c r="D3637" t="inlineStr">
        <is>
          <t>VÄSTERNORRLANDS LÄN</t>
        </is>
      </c>
      <c r="E3637" t="inlineStr">
        <is>
          <t>SUNDSVALL</t>
        </is>
      </c>
      <c r="F3637" t="inlineStr">
        <is>
          <t>SCA</t>
        </is>
      </c>
      <c r="G3637" t="n">
        <v>4.3</v>
      </c>
      <c r="H3637" t="n">
        <v>0</v>
      </c>
      <c r="I3637" t="n">
        <v>0</v>
      </c>
      <c r="J3637" t="n">
        <v>0</v>
      </c>
      <c r="K3637" t="n">
        <v>0</v>
      </c>
      <c r="L3637" t="n">
        <v>0</v>
      </c>
      <c r="M3637" t="n">
        <v>0</v>
      </c>
      <c r="N3637" t="n">
        <v>0</v>
      </c>
      <c r="O3637" t="n">
        <v>0</v>
      </c>
      <c r="P3637" t="n">
        <v>0</v>
      </c>
      <c r="Q3637" t="n">
        <v>0</v>
      </c>
      <c r="R3637" s="2" t="inlineStr"/>
    </row>
    <row r="3638" ht="15" customHeight="1">
      <c r="A3638" t="inlineStr">
        <is>
          <t>A 25702-2024</t>
        </is>
      </c>
      <c r="B3638" s="1" t="n">
        <v>45463</v>
      </c>
      <c r="C3638" s="1" t="n">
        <v>46093</v>
      </c>
      <c r="D3638" t="inlineStr">
        <is>
          <t>VÄSTERNORRLANDS LÄN</t>
        </is>
      </c>
      <c r="E3638" t="inlineStr">
        <is>
          <t>SOLLEFTEÅ</t>
        </is>
      </c>
      <c r="F3638" t="inlineStr">
        <is>
          <t>SCA</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21102-2021</t>
        </is>
      </c>
      <c r="B3639" s="1" t="n">
        <v>44319</v>
      </c>
      <c r="C3639" s="1" t="n">
        <v>46093</v>
      </c>
      <c r="D3639" t="inlineStr">
        <is>
          <t>VÄSTERNORRLANDS LÄN</t>
        </is>
      </c>
      <c r="E3639" t="inlineStr">
        <is>
          <t>SUNDSVALL</t>
        </is>
      </c>
      <c r="G3639" t="n">
        <v>3.1</v>
      </c>
      <c r="H3639" t="n">
        <v>0</v>
      </c>
      <c r="I3639" t="n">
        <v>0</v>
      </c>
      <c r="J3639" t="n">
        <v>0</v>
      </c>
      <c r="K3639" t="n">
        <v>0</v>
      </c>
      <c r="L3639" t="n">
        <v>0</v>
      </c>
      <c r="M3639" t="n">
        <v>0</v>
      </c>
      <c r="N3639" t="n">
        <v>0</v>
      </c>
      <c r="O3639" t="n">
        <v>0</v>
      </c>
      <c r="P3639" t="n">
        <v>0</v>
      </c>
      <c r="Q3639" t="n">
        <v>0</v>
      </c>
      <c r="R3639" s="2" t="inlineStr"/>
    </row>
    <row r="3640" ht="15" customHeight="1">
      <c r="A3640" t="inlineStr">
        <is>
          <t>A 25711-2024</t>
        </is>
      </c>
      <c r="B3640" s="1" t="n">
        <v>45463</v>
      </c>
      <c r="C3640" s="1" t="n">
        <v>46093</v>
      </c>
      <c r="D3640" t="inlineStr">
        <is>
          <t>VÄSTERNORRLANDS LÄN</t>
        </is>
      </c>
      <c r="E3640" t="inlineStr">
        <is>
          <t>SOLLEFTEÅ</t>
        </is>
      </c>
      <c r="F3640" t="inlineStr">
        <is>
          <t>SCA</t>
        </is>
      </c>
      <c r="G3640" t="n">
        <v>1.6</v>
      </c>
      <c r="H3640" t="n">
        <v>0</v>
      </c>
      <c r="I3640" t="n">
        <v>0</v>
      </c>
      <c r="J3640" t="n">
        <v>0</v>
      </c>
      <c r="K3640" t="n">
        <v>0</v>
      </c>
      <c r="L3640" t="n">
        <v>0</v>
      </c>
      <c r="M3640" t="n">
        <v>0</v>
      </c>
      <c r="N3640" t="n">
        <v>0</v>
      </c>
      <c r="O3640" t="n">
        <v>0</v>
      </c>
      <c r="P3640" t="n">
        <v>0</v>
      </c>
      <c r="Q3640" t="n">
        <v>0</v>
      </c>
      <c r="R3640" s="2" t="inlineStr"/>
    </row>
    <row r="3641" ht="15" customHeight="1">
      <c r="A3641" t="inlineStr">
        <is>
          <t>A 35572-2025</t>
        </is>
      </c>
      <c r="B3641" s="1" t="n">
        <v>45856.59423611111</v>
      </c>
      <c r="C3641" s="1" t="n">
        <v>46093</v>
      </c>
      <c r="D3641" t="inlineStr">
        <is>
          <t>VÄSTERNORRLANDS LÄN</t>
        </is>
      </c>
      <c r="E3641" t="inlineStr">
        <is>
          <t>SOLLEFTEÅ</t>
        </is>
      </c>
      <c r="F3641" t="inlineStr">
        <is>
          <t>SCA</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54325-2022</t>
        </is>
      </c>
      <c r="B3642" s="1" t="n">
        <v>44879</v>
      </c>
      <c r="C3642" s="1" t="n">
        <v>46093</v>
      </c>
      <c r="D3642" t="inlineStr">
        <is>
          <t>VÄSTERNORRLANDS LÄN</t>
        </is>
      </c>
      <c r="E3642" t="inlineStr">
        <is>
          <t>ÖRNSKÖLDSVIK</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18103-2025</t>
        </is>
      </c>
      <c r="B3643" s="1" t="n">
        <v>45761.55424768518</v>
      </c>
      <c r="C3643" s="1" t="n">
        <v>46093</v>
      </c>
      <c r="D3643" t="inlineStr">
        <is>
          <t>VÄSTERNORRLANDS LÄN</t>
        </is>
      </c>
      <c r="E3643" t="inlineStr">
        <is>
          <t>HÄRNÖSAND</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38995-2025</t>
        </is>
      </c>
      <c r="B3644" s="1" t="n">
        <v>45888.33302083334</v>
      </c>
      <c r="C3644" s="1" t="n">
        <v>46093</v>
      </c>
      <c r="D3644" t="inlineStr">
        <is>
          <t>VÄSTERNORRLANDS LÄN</t>
        </is>
      </c>
      <c r="E3644" t="inlineStr">
        <is>
          <t>ÖRNSKÖLDSVIK</t>
        </is>
      </c>
      <c r="G3644" t="n">
        <v>15.4</v>
      </c>
      <c r="H3644" t="n">
        <v>0</v>
      </c>
      <c r="I3644" t="n">
        <v>0</v>
      </c>
      <c r="J3644" t="n">
        <v>0</v>
      </c>
      <c r="K3644" t="n">
        <v>0</v>
      </c>
      <c r="L3644" t="n">
        <v>0</v>
      </c>
      <c r="M3644" t="n">
        <v>0</v>
      </c>
      <c r="N3644" t="n">
        <v>0</v>
      </c>
      <c r="O3644" t="n">
        <v>0</v>
      </c>
      <c r="P3644" t="n">
        <v>0</v>
      </c>
      <c r="Q3644" t="n">
        <v>0</v>
      </c>
      <c r="R3644" s="2" t="inlineStr"/>
    </row>
    <row r="3645" ht="15" customHeight="1">
      <c r="A3645" t="inlineStr">
        <is>
          <t>A 49862-2023</t>
        </is>
      </c>
      <c r="B3645" s="1" t="n">
        <v>45212</v>
      </c>
      <c r="C3645" s="1" t="n">
        <v>46093</v>
      </c>
      <c r="D3645" t="inlineStr">
        <is>
          <t>VÄSTERNORRLANDS LÄN</t>
        </is>
      </c>
      <c r="E3645" t="inlineStr">
        <is>
          <t>SUNDSVALL</t>
        </is>
      </c>
      <c r="F3645" t="inlineStr">
        <is>
          <t>SCA</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56214-2024</t>
        </is>
      </c>
      <c r="B3646" s="1" t="n">
        <v>45624</v>
      </c>
      <c r="C3646" s="1" t="n">
        <v>46093</v>
      </c>
      <c r="D3646" t="inlineStr">
        <is>
          <t>VÄSTERNORRLANDS LÄN</t>
        </is>
      </c>
      <c r="E3646" t="inlineStr">
        <is>
          <t>SUNDSVALL</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7925-2025</t>
        </is>
      </c>
      <c r="B3647" s="1" t="n">
        <v>45707.36540509259</v>
      </c>
      <c r="C3647" s="1" t="n">
        <v>46093</v>
      </c>
      <c r="D3647" t="inlineStr">
        <is>
          <t>VÄSTERNORRLANDS LÄN</t>
        </is>
      </c>
      <c r="E3647" t="inlineStr">
        <is>
          <t>SUNDSVALL</t>
        </is>
      </c>
      <c r="F3647" t="inlineStr">
        <is>
          <t>SCA</t>
        </is>
      </c>
      <c r="G3647" t="n">
        <v>5.2</v>
      </c>
      <c r="H3647" t="n">
        <v>0</v>
      </c>
      <c r="I3647" t="n">
        <v>0</v>
      </c>
      <c r="J3647" t="n">
        <v>0</v>
      </c>
      <c r="K3647" t="n">
        <v>0</v>
      </c>
      <c r="L3647" t="n">
        <v>0</v>
      </c>
      <c r="M3647" t="n">
        <v>0</v>
      </c>
      <c r="N3647" t="n">
        <v>0</v>
      </c>
      <c r="O3647" t="n">
        <v>0</v>
      </c>
      <c r="P3647" t="n">
        <v>0</v>
      </c>
      <c r="Q3647" t="n">
        <v>0</v>
      </c>
      <c r="R3647" s="2" t="inlineStr"/>
    </row>
    <row r="3648" ht="15" customHeight="1">
      <c r="A3648" t="inlineStr">
        <is>
          <t>A 35448-2025</t>
        </is>
      </c>
      <c r="B3648" s="1" t="n">
        <v>45855.55247685185</v>
      </c>
      <c r="C3648" s="1" t="n">
        <v>46093</v>
      </c>
      <c r="D3648" t="inlineStr">
        <is>
          <t>VÄSTERNORRLANDS LÄN</t>
        </is>
      </c>
      <c r="E3648" t="inlineStr">
        <is>
          <t>SOLLEFTEÅ</t>
        </is>
      </c>
      <c r="F3648" t="inlineStr">
        <is>
          <t>SCA</t>
        </is>
      </c>
      <c r="G3648" t="n">
        <v>3.4</v>
      </c>
      <c r="H3648" t="n">
        <v>0</v>
      </c>
      <c r="I3648" t="n">
        <v>0</v>
      </c>
      <c r="J3648" t="n">
        <v>0</v>
      </c>
      <c r="K3648" t="n">
        <v>0</v>
      </c>
      <c r="L3648" t="n">
        <v>0</v>
      </c>
      <c r="M3648" t="n">
        <v>0</v>
      </c>
      <c r="N3648" t="n">
        <v>0</v>
      </c>
      <c r="O3648" t="n">
        <v>0</v>
      </c>
      <c r="P3648" t="n">
        <v>0</v>
      </c>
      <c r="Q3648" t="n">
        <v>0</v>
      </c>
      <c r="R3648" s="2" t="inlineStr"/>
    </row>
    <row r="3649" ht="15" customHeight="1">
      <c r="A3649" t="inlineStr">
        <is>
          <t>A 7942-2025</t>
        </is>
      </c>
      <c r="B3649" s="1" t="n">
        <v>45707</v>
      </c>
      <c r="C3649" s="1" t="n">
        <v>46093</v>
      </c>
      <c r="D3649" t="inlineStr">
        <is>
          <t>VÄSTERNORRLANDS LÄN</t>
        </is>
      </c>
      <c r="E3649" t="inlineStr">
        <is>
          <t>SOLLEFTEÅ</t>
        </is>
      </c>
      <c r="F3649" t="inlineStr">
        <is>
          <t>SCA</t>
        </is>
      </c>
      <c r="G3649" t="n">
        <v>6.2</v>
      </c>
      <c r="H3649" t="n">
        <v>0</v>
      </c>
      <c r="I3649" t="n">
        <v>0</v>
      </c>
      <c r="J3649" t="n">
        <v>0</v>
      </c>
      <c r="K3649" t="n">
        <v>0</v>
      </c>
      <c r="L3649" t="n">
        <v>0</v>
      </c>
      <c r="M3649" t="n">
        <v>0</v>
      </c>
      <c r="N3649" t="n">
        <v>0</v>
      </c>
      <c r="O3649" t="n">
        <v>0</v>
      </c>
      <c r="P3649" t="n">
        <v>0</v>
      </c>
      <c r="Q3649" t="n">
        <v>0</v>
      </c>
      <c r="R3649" s="2" t="inlineStr"/>
    </row>
    <row r="3650" ht="15" customHeight="1">
      <c r="A3650" t="inlineStr">
        <is>
          <t>A 25311-2023</t>
        </is>
      </c>
      <c r="B3650" s="1" t="n">
        <v>45086.93869212963</v>
      </c>
      <c r="C3650" s="1" t="n">
        <v>46093</v>
      </c>
      <c r="D3650" t="inlineStr">
        <is>
          <t>VÄSTERNORRLANDS LÄN</t>
        </is>
      </c>
      <c r="E3650" t="inlineStr">
        <is>
          <t>ÅNGE</t>
        </is>
      </c>
      <c r="F3650" t="inlineStr">
        <is>
          <t>SCA</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39199-2025</t>
        </is>
      </c>
      <c r="B3651" s="1" t="n">
        <v>45888</v>
      </c>
      <c r="C3651" s="1" t="n">
        <v>46093</v>
      </c>
      <c r="D3651" t="inlineStr">
        <is>
          <t>VÄSTERNORRLANDS LÄN</t>
        </is>
      </c>
      <c r="E3651" t="inlineStr">
        <is>
          <t>ÖRNSKÖLDSVIK</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39236-2025</t>
        </is>
      </c>
      <c r="B3652" s="1" t="n">
        <v>45888</v>
      </c>
      <c r="C3652" s="1" t="n">
        <v>46093</v>
      </c>
      <c r="D3652" t="inlineStr">
        <is>
          <t>VÄSTERNORRLANDS LÄN</t>
        </is>
      </c>
      <c r="E3652" t="inlineStr">
        <is>
          <t>ÖRNSKÖLDSVIK</t>
        </is>
      </c>
      <c r="G3652" t="n">
        <v>5</v>
      </c>
      <c r="H3652" t="n">
        <v>0</v>
      </c>
      <c r="I3652" t="n">
        <v>0</v>
      </c>
      <c r="J3652" t="n">
        <v>0</v>
      </c>
      <c r="K3652" t="n">
        <v>0</v>
      </c>
      <c r="L3652" t="n">
        <v>0</v>
      </c>
      <c r="M3652" t="n">
        <v>0</v>
      </c>
      <c r="N3652" t="n">
        <v>0</v>
      </c>
      <c r="O3652" t="n">
        <v>0</v>
      </c>
      <c r="P3652" t="n">
        <v>0</v>
      </c>
      <c r="Q3652" t="n">
        <v>0</v>
      </c>
      <c r="R3652" s="2" t="inlineStr"/>
    </row>
    <row r="3653" ht="15" customHeight="1">
      <c r="A3653" t="inlineStr">
        <is>
          <t>A 25068-2024</t>
        </is>
      </c>
      <c r="B3653" s="1" t="n">
        <v>45462.36707175926</v>
      </c>
      <c r="C3653" s="1" t="n">
        <v>46093</v>
      </c>
      <c r="D3653" t="inlineStr">
        <is>
          <t>VÄSTERNORRLANDS LÄN</t>
        </is>
      </c>
      <c r="E3653" t="inlineStr">
        <is>
          <t>ÖRNSKÖLDSVIK</t>
        </is>
      </c>
      <c r="F3653" t="inlineStr">
        <is>
          <t>Holmen skog AB</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25115-2024</t>
        </is>
      </c>
      <c r="B3654" s="1" t="n">
        <v>45462</v>
      </c>
      <c r="C3654" s="1" t="n">
        <v>46093</v>
      </c>
      <c r="D3654" t="inlineStr">
        <is>
          <t>VÄSTERNORRLANDS LÄN</t>
        </is>
      </c>
      <c r="E3654" t="inlineStr">
        <is>
          <t>HÄRNÖSAND</t>
        </is>
      </c>
      <c r="G3654" t="n">
        <v>6.8</v>
      </c>
      <c r="H3654" t="n">
        <v>0</v>
      </c>
      <c r="I3654" t="n">
        <v>0</v>
      </c>
      <c r="J3654" t="n">
        <v>0</v>
      </c>
      <c r="K3654" t="n">
        <v>0</v>
      </c>
      <c r="L3654" t="n">
        <v>0</v>
      </c>
      <c r="M3654" t="n">
        <v>0</v>
      </c>
      <c r="N3654" t="n">
        <v>0</v>
      </c>
      <c r="O3654" t="n">
        <v>0</v>
      </c>
      <c r="P3654" t="n">
        <v>0</v>
      </c>
      <c r="Q3654" t="n">
        <v>0</v>
      </c>
      <c r="R3654" s="2" t="inlineStr"/>
    </row>
    <row r="3655" ht="15" customHeight="1">
      <c r="A3655" t="inlineStr">
        <is>
          <t>A 64115-2023</t>
        </is>
      </c>
      <c r="B3655" s="1" t="n">
        <v>45279</v>
      </c>
      <c r="C3655" s="1" t="n">
        <v>46093</v>
      </c>
      <c r="D3655" t="inlineStr">
        <is>
          <t>VÄSTERNORRLANDS LÄN</t>
        </is>
      </c>
      <c r="E3655" t="inlineStr">
        <is>
          <t>SOLLEFTEÅ</t>
        </is>
      </c>
      <c r="G3655" t="n">
        <v>16.1</v>
      </c>
      <c r="H3655" t="n">
        <v>0</v>
      </c>
      <c r="I3655" t="n">
        <v>0</v>
      </c>
      <c r="J3655" t="n">
        <v>0</v>
      </c>
      <c r="K3655" t="n">
        <v>0</v>
      </c>
      <c r="L3655" t="n">
        <v>0</v>
      </c>
      <c r="M3655" t="n">
        <v>0</v>
      </c>
      <c r="N3655" t="n">
        <v>0</v>
      </c>
      <c r="O3655" t="n">
        <v>0</v>
      </c>
      <c r="P3655" t="n">
        <v>0</v>
      </c>
      <c r="Q3655" t="n">
        <v>0</v>
      </c>
      <c r="R3655" s="2" t="inlineStr"/>
    </row>
    <row r="3656" ht="15" customHeight="1">
      <c r="A3656" t="inlineStr">
        <is>
          <t>A 35503-2025</t>
        </is>
      </c>
      <c r="B3656" s="1" t="n">
        <v>45856</v>
      </c>
      <c r="C3656" s="1" t="n">
        <v>46093</v>
      </c>
      <c r="D3656" t="inlineStr">
        <is>
          <t>VÄSTERNORRLANDS LÄN</t>
        </is>
      </c>
      <c r="E3656" t="inlineStr">
        <is>
          <t>ÅNGE</t>
        </is>
      </c>
      <c r="G3656" t="n">
        <v>5.2</v>
      </c>
      <c r="H3656" t="n">
        <v>0</v>
      </c>
      <c r="I3656" t="n">
        <v>0</v>
      </c>
      <c r="J3656" t="n">
        <v>0</v>
      </c>
      <c r="K3656" t="n">
        <v>0</v>
      </c>
      <c r="L3656" t="n">
        <v>0</v>
      </c>
      <c r="M3656" t="n">
        <v>0</v>
      </c>
      <c r="N3656" t="n">
        <v>0</v>
      </c>
      <c r="O3656" t="n">
        <v>0</v>
      </c>
      <c r="P3656" t="n">
        <v>0</v>
      </c>
      <c r="Q3656" t="n">
        <v>0</v>
      </c>
      <c r="R3656" s="2" t="inlineStr"/>
    </row>
    <row r="3657" ht="15" customHeight="1">
      <c r="A3657" t="inlineStr">
        <is>
          <t>A 25128-2024</t>
        </is>
      </c>
      <c r="B3657" s="1" t="n">
        <v>45462.4621875</v>
      </c>
      <c r="C3657" s="1" t="n">
        <v>46093</v>
      </c>
      <c r="D3657" t="inlineStr">
        <is>
          <t>VÄSTERNORRLANDS LÄN</t>
        </is>
      </c>
      <c r="E3657" t="inlineStr">
        <is>
          <t>ÖRNSKÖLDSVIK</t>
        </is>
      </c>
      <c r="F3657" t="inlineStr">
        <is>
          <t>Holmen skog AB</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49025-2022</t>
        </is>
      </c>
      <c r="B3658" s="1" t="n">
        <v>44860.43298611111</v>
      </c>
      <c r="C3658" s="1" t="n">
        <v>46093</v>
      </c>
      <c r="D3658" t="inlineStr">
        <is>
          <t>VÄSTERNORRLANDS LÄN</t>
        </is>
      </c>
      <c r="E3658" t="inlineStr">
        <is>
          <t>ÖRNSKÖLDSVIK</t>
        </is>
      </c>
      <c r="F3658" t="inlineStr">
        <is>
          <t>Holmen skog AB</t>
        </is>
      </c>
      <c r="G3658" t="n">
        <v>10.3</v>
      </c>
      <c r="H3658" t="n">
        <v>0</v>
      </c>
      <c r="I3658" t="n">
        <v>0</v>
      </c>
      <c r="J3658" t="n">
        <v>0</v>
      </c>
      <c r="K3658" t="n">
        <v>0</v>
      </c>
      <c r="L3658" t="n">
        <v>0</v>
      </c>
      <c r="M3658" t="n">
        <v>0</v>
      </c>
      <c r="N3658" t="n">
        <v>0</v>
      </c>
      <c r="O3658" t="n">
        <v>0</v>
      </c>
      <c r="P3658" t="n">
        <v>0</v>
      </c>
      <c r="Q3658" t="n">
        <v>0</v>
      </c>
      <c r="R3658" s="2" t="inlineStr"/>
    </row>
    <row r="3659" ht="15" customHeight="1">
      <c r="A3659" t="inlineStr">
        <is>
          <t>A 24731-2021</t>
        </is>
      </c>
      <c r="B3659" s="1" t="n">
        <v>44340</v>
      </c>
      <c r="C3659" s="1" t="n">
        <v>46093</v>
      </c>
      <c r="D3659" t="inlineStr">
        <is>
          <t>VÄSTERNORRLANDS LÄN</t>
        </is>
      </c>
      <c r="E3659" t="inlineStr">
        <is>
          <t>SOLLEFTEÅ</t>
        </is>
      </c>
      <c r="G3659" t="n">
        <v>5.3</v>
      </c>
      <c r="H3659" t="n">
        <v>0</v>
      </c>
      <c r="I3659" t="n">
        <v>0</v>
      </c>
      <c r="J3659" t="n">
        <v>0</v>
      </c>
      <c r="K3659" t="n">
        <v>0</v>
      </c>
      <c r="L3659" t="n">
        <v>0</v>
      </c>
      <c r="M3659" t="n">
        <v>0</v>
      </c>
      <c r="N3659" t="n">
        <v>0</v>
      </c>
      <c r="O3659" t="n">
        <v>0</v>
      </c>
      <c r="P3659" t="n">
        <v>0</v>
      </c>
      <c r="Q3659" t="n">
        <v>0</v>
      </c>
      <c r="R3659" s="2" t="inlineStr"/>
    </row>
    <row r="3660" ht="15" customHeight="1">
      <c r="A3660" t="inlineStr">
        <is>
          <t>A 54200-2024</t>
        </is>
      </c>
      <c r="B3660" s="1" t="n">
        <v>45616</v>
      </c>
      <c r="C3660" s="1" t="n">
        <v>46093</v>
      </c>
      <c r="D3660" t="inlineStr">
        <is>
          <t>VÄSTERNORRLANDS LÄN</t>
        </is>
      </c>
      <c r="E3660" t="inlineStr">
        <is>
          <t>ÖRNSKÖLDSVIK</t>
        </is>
      </c>
      <c r="F3660" t="inlineStr">
        <is>
          <t>Holmen skog AB</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28594-2021</t>
        </is>
      </c>
      <c r="B3661" s="1" t="n">
        <v>44356</v>
      </c>
      <c r="C3661" s="1" t="n">
        <v>46093</v>
      </c>
      <c r="D3661" t="inlineStr">
        <is>
          <t>VÄSTERNORRLANDS LÄN</t>
        </is>
      </c>
      <c r="E3661" t="inlineStr">
        <is>
          <t>SUNDSVALL</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51834-2023</t>
        </is>
      </c>
      <c r="B3662" s="1" t="n">
        <v>45222.96862268518</v>
      </c>
      <c r="C3662" s="1" t="n">
        <v>46093</v>
      </c>
      <c r="D3662" t="inlineStr">
        <is>
          <t>VÄSTERNORRLANDS LÄN</t>
        </is>
      </c>
      <c r="E3662" t="inlineStr">
        <is>
          <t>SUNDSVALL</t>
        </is>
      </c>
      <c r="F3662" t="inlineStr">
        <is>
          <t>SCA</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21445-2025</t>
        </is>
      </c>
      <c r="B3663" s="1" t="n">
        <v>45782.54559027778</v>
      </c>
      <c r="C3663" s="1" t="n">
        <v>46093</v>
      </c>
      <c r="D3663" t="inlineStr">
        <is>
          <t>VÄSTERNORRLANDS LÄN</t>
        </is>
      </c>
      <c r="E3663" t="inlineStr">
        <is>
          <t>ÖRNSKÖLDSVIK</t>
        </is>
      </c>
      <c r="F3663" t="inlineStr">
        <is>
          <t>Holmen skog AB</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28086-2023</t>
        </is>
      </c>
      <c r="B3664" s="1" t="n">
        <v>45099.40969907407</v>
      </c>
      <c r="C3664" s="1" t="n">
        <v>46093</v>
      </c>
      <c r="D3664" t="inlineStr">
        <is>
          <t>VÄSTERNORRLANDS LÄN</t>
        </is>
      </c>
      <c r="E3664" t="inlineStr">
        <is>
          <t>KRAMFORS</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32392-2024</t>
        </is>
      </c>
      <c r="B3665" s="1" t="n">
        <v>45512.6418287037</v>
      </c>
      <c r="C3665" s="1" t="n">
        <v>46093</v>
      </c>
      <c r="D3665" t="inlineStr">
        <is>
          <t>VÄSTERNORRLANDS LÄN</t>
        </is>
      </c>
      <c r="E3665" t="inlineStr">
        <is>
          <t>ÖRNSKÖLDSVIK</t>
        </is>
      </c>
      <c r="F3665" t="inlineStr">
        <is>
          <t>Holmen skog AB</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35476-2025</t>
        </is>
      </c>
      <c r="B3666" s="1" t="n">
        <v>45855.67744212963</v>
      </c>
      <c r="C3666" s="1" t="n">
        <v>46093</v>
      </c>
      <c r="D3666" t="inlineStr">
        <is>
          <t>VÄSTERNORRLANDS LÄN</t>
        </is>
      </c>
      <c r="E3666" t="inlineStr">
        <is>
          <t>TIMRÅ</t>
        </is>
      </c>
      <c r="F3666" t="inlineStr">
        <is>
          <t>SCA</t>
        </is>
      </c>
      <c r="G3666" t="n">
        <v>5.1</v>
      </c>
      <c r="H3666" t="n">
        <v>0</v>
      </c>
      <c r="I3666" t="n">
        <v>0</v>
      </c>
      <c r="J3666" t="n">
        <v>0</v>
      </c>
      <c r="K3666" t="n">
        <v>0</v>
      </c>
      <c r="L3666" t="n">
        <v>0</v>
      </c>
      <c r="M3666" t="n">
        <v>0</v>
      </c>
      <c r="N3666" t="n">
        <v>0</v>
      </c>
      <c r="O3666" t="n">
        <v>0</v>
      </c>
      <c r="P3666" t="n">
        <v>0</v>
      </c>
      <c r="Q3666" t="n">
        <v>0</v>
      </c>
      <c r="R3666" s="2" t="inlineStr"/>
    </row>
    <row r="3667" ht="15" customHeight="1">
      <c r="A3667" t="inlineStr">
        <is>
          <t>A 35506-2025</t>
        </is>
      </c>
      <c r="B3667" s="1" t="n">
        <v>45856</v>
      </c>
      <c r="C3667" s="1" t="n">
        <v>46093</v>
      </c>
      <c r="D3667" t="inlineStr">
        <is>
          <t>VÄSTERNORRLANDS LÄN</t>
        </is>
      </c>
      <c r="E3667" t="inlineStr">
        <is>
          <t>SOLLEFTEÅ</t>
        </is>
      </c>
      <c r="F3667" t="inlineStr">
        <is>
          <t>SCA</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34284-2023</t>
        </is>
      </c>
      <c r="B3668" s="1" t="n">
        <v>45128</v>
      </c>
      <c r="C3668" s="1" t="n">
        <v>46093</v>
      </c>
      <c r="D3668" t="inlineStr">
        <is>
          <t>VÄSTERNORRLANDS LÄN</t>
        </is>
      </c>
      <c r="E3668" t="inlineStr">
        <is>
          <t>SOLLEFTEÅ</t>
        </is>
      </c>
      <c r="G3668" t="n">
        <v>6.6</v>
      </c>
      <c r="H3668" t="n">
        <v>0</v>
      </c>
      <c r="I3668" t="n">
        <v>0</v>
      </c>
      <c r="J3668" t="n">
        <v>0</v>
      </c>
      <c r="K3668" t="n">
        <v>0</v>
      </c>
      <c r="L3668" t="n">
        <v>0</v>
      </c>
      <c r="M3668" t="n">
        <v>0</v>
      </c>
      <c r="N3668" t="n">
        <v>0</v>
      </c>
      <c r="O3668" t="n">
        <v>0</v>
      </c>
      <c r="P3668" t="n">
        <v>0</v>
      </c>
      <c r="Q3668" t="n">
        <v>0</v>
      </c>
      <c r="R3668" s="2" t="inlineStr"/>
    </row>
    <row r="3669" ht="15" customHeight="1">
      <c r="A3669" t="inlineStr">
        <is>
          <t>A 34311-2023</t>
        </is>
      </c>
      <c r="B3669" s="1" t="n">
        <v>45138.92317129629</v>
      </c>
      <c r="C3669" s="1" t="n">
        <v>46093</v>
      </c>
      <c r="D3669" t="inlineStr">
        <is>
          <t>VÄSTERNORRLANDS LÄN</t>
        </is>
      </c>
      <c r="E3669" t="inlineStr">
        <is>
          <t>SOLLEFTEÅ</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38926-2025</t>
        </is>
      </c>
      <c r="B3670" s="1" t="n">
        <v>45887.63356481482</v>
      </c>
      <c r="C3670" s="1" t="n">
        <v>46093</v>
      </c>
      <c r="D3670" t="inlineStr">
        <is>
          <t>VÄSTERNORRLANDS LÄN</t>
        </is>
      </c>
      <c r="E3670" t="inlineStr">
        <is>
          <t>HÄRNÖSAND</t>
        </is>
      </c>
      <c r="G3670" t="n">
        <v>0.2</v>
      </c>
      <c r="H3670" t="n">
        <v>0</v>
      </c>
      <c r="I3670" t="n">
        <v>0</v>
      </c>
      <c r="J3670" t="n">
        <v>0</v>
      </c>
      <c r="K3670" t="n">
        <v>0</v>
      </c>
      <c r="L3670" t="n">
        <v>0</v>
      </c>
      <c r="M3670" t="n">
        <v>0</v>
      </c>
      <c r="N3670" t="n">
        <v>0</v>
      </c>
      <c r="O3670" t="n">
        <v>0</v>
      </c>
      <c r="P3670" t="n">
        <v>0</v>
      </c>
      <c r="Q3670" t="n">
        <v>0</v>
      </c>
      <c r="R3670" s="2" t="inlineStr"/>
    </row>
    <row r="3671" ht="15" customHeight="1">
      <c r="A3671" t="inlineStr">
        <is>
          <t>A 38933-2025</t>
        </is>
      </c>
      <c r="B3671" s="1" t="n">
        <v>45887.64141203704</v>
      </c>
      <c r="C3671" s="1" t="n">
        <v>46093</v>
      </c>
      <c r="D3671" t="inlineStr">
        <is>
          <t>VÄSTERNORRLANDS LÄN</t>
        </is>
      </c>
      <c r="E3671" t="inlineStr">
        <is>
          <t>ÖRNSKÖLDSVIK</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34329-2023</t>
        </is>
      </c>
      <c r="B3672" s="1" t="n">
        <v>45138.94997685185</v>
      </c>
      <c r="C3672" s="1" t="n">
        <v>46093</v>
      </c>
      <c r="D3672" t="inlineStr">
        <is>
          <t>VÄSTERNORRLANDS LÄN</t>
        </is>
      </c>
      <c r="E3672" t="inlineStr">
        <is>
          <t>SOLLEFTEÅ</t>
        </is>
      </c>
      <c r="F3672" t="inlineStr">
        <is>
          <t>SCA</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18798-2025</t>
        </is>
      </c>
      <c r="B3673" s="1" t="n">
        <v>45764</v>
      </c>
      <c r="C3673" s="1" t="n">
        <v>46093</v>
      </c>
      <c r="D3673" t="inlineStr">
        <is>
          <t>VÄSTERNORRLANDS LÄN</t>
        </is>
      </c>
      <c r="E3673" t="inlineStr">
        <is>
          <t>KRAMFORS</t>
        </is>
      </c>
      <c r="F3673" t="inlineStr">
        <is>
          <t>SCA</t>
        </is>
      </c>
      <c r="G3673" t="n">
        <v>10.9</v>
      </c>
      <c r="H3673" t="n">
        <v>0</v>
      </c>
      <c r="I3673" t="n">
        <v>0</v>
      </c>
      <c r="J3673" t="n">
        <v>0</v>
      </c>
      <c r="K3673" t="n">
        <v>0</v>
      </c>
      <c r="L3673" t="n">
        <v>0</v>
      </c>
      <c r="M3673" t="n">
        <v>0</v>
      </c>
      <c r="N3673" t="n">
        <v>0</v>
      </c>
      <c r="O3673" t="n">
        <v>0</v>
      </c>
      <c r="P3673" t="n">
        <v>0</v>
      </c>
      <c r="Q3673" t="n">
        <v>0</v>
      </c>
      <c r="R3673" s="2" t="inlineStr"/>
    </row>
    <row r="3674" ht="15" customHeight="1">
      <c r="A3674" t="inlineStr">
        <is>
          <t>A 60119-2023</t>
        </is>
      </c>
      <c r="B3674" s="1" t="n">
        <v>45258.47869212963</v>
      </c>
      <c r="C3674" s="1" t="n">
        <v>46093</v>
      </c>
      <c r="D3674" t="inlineStr">
        <is>
          <t>VÄSTERNORRLANDS LÄN</t>
        </is>
      </c>
      <c r="E3674" t="inlineStr">
        <is>
          <t>SUNDSVALL</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35513-2025</t>
        </is>
      </c>
      <c r="B3675" s="1" t="n">
        <v>45856.36520833334</v>
      </c>
      <c r="C3675" s="1" t="n">
        <v>46093</v>
      </c>
      <c r="D3675" t="inlineStr">
        <is>
          <t>VÄSTERNORRLANDS LÄN</t>
        </is>
      </c>
      <c r="E3675" t="inlineStr">
        <is>
          <t>SOLLEFTEÅ</t>
        </is>
      </c>
      <c r="F3675" t="inlineStr">
        <is>
          <t>SCA</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35548-2025</t>
        </is>
      </c>
      <c r="B3676" s="1" t="n">
        <v>45856.48995370371</v>
      </c>
      <c r="C3676" s="1" t="n">
        <v>46093</v>
      </c>
      <c r="D3676" t="inlineStr">
        <is>
          <t>VÄSTERNORRLANDS LÄN</t>
        </is>
      </c>
      <c r="E3676" t="inlineStr">
        <is>
          <t>ÅNGE</t>
        </is>
      </c>
      <c r="F3676" t="inlineStr">
        <is>
          <t>SCA</t>
        </is>
      </c>
      <c r="G3676" t="n">
        <v>14.6</v>
      </c>
      <c r="H3676" t="n">
        <v>0</v>
      </c>
      <c r="I3676" t="n">
        <v>0</v>
      </c>
      <c r="J3676" t="n">
        <v>0</v>
      </c>
      <c r="K3676" t="n">
        <v>0</v>
      </c>
      <c r="L3676" t="n">
        <v>0</v>
      </c>
      <c r="M3676" t="n">
        <v>0</v>
      </c>
      <c r="N3676" t="n">
        <v>0</v>
      </c>
      <c r="O3676" t="n">
        <v>0</v>
      </c>
      <c r="P3676" t="n">
        <v>0</v>
      </c>
      <c r="Q3676" t="n">
        <v>0</v>
      </c>
      <c r="R3676" s="2" t="inlineStr"/>
    </row>
    <row r="3677" ht="15" customHeight="1">
      <c r="A3677" t="inlineStr">
        <is>
          <t>A 5035-2024</t>
        </is>
      </c>
      <c r="B3677" s="1" t="n">
        <v>45329.86893518519</v>
      </c>
      <c r="C3677" s="1" t="n">
        <v>46093</v>
      </c>
      <c r="D3677" t="inlineStr">
        <is>
          <t>VÄSTERNORRLANDS LÄN</t>
        </is>
      </c>
      <c r="E3677" t="inlineStr">
        <is>
          <t>SOLLEFTEÅ</t>
        </is>
      </c>
      <c r="F3677" t="inlineStr">
        <is>
          <t>Övriga Aktiebolag</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5059-2024</t>
        </is>
      </c>
      <c r="B3678" s="1" t="n">
        <v>45329</v>
      </c>
      <c r="C3678" s="1" t="n">
        <v>46093</v>
      </c>
      <c r="D3678" t="inlineStr">
        <is>
          <t>VÄSTERNORRLANDS LÄN</t>
        </is>
      </c>
      <c r="E3678" t="inlineStr">
        <is>
          <t>SOLLEFTEÅ</t>
        </is>
      </c>
      <c r="F3678" t="inlineStr">
        <is>
          <t>SCA</t>
        </is>
      </c>
      <c r="G3678" t="n">
        <v>4.8</v>
      </c>
      <c r="H3678" t="n">
        <v>0</v>
      </c>
      <c r="I3678" t="n">
        <v>0</v>
      </c>
      <c r="J3678" t="n">
        <v>0</v>
      </c>
      <c r="K3678" t="n">
        <v>0</v>
      </c>
      <c r="L3678" t="n">
        <v>0</v>
      </c>
      <c r="M3678" t="n">
        <v>0</v>
      </c>
      <c r="N3678" t="n">
        <v>0</v>
      </c>
      <c r="O3678" t="n">
        <v>0</v>
      </c>
      <c r="P3678" t="n">
        <v>0</v>
      </c>
      <c r="Q3678" t="n">
        <v>0</v>
      </c>
      <c r="R3678" s="2" t="inlineStr"/>
    </row>
    <row r="3679" ht="15" customHeight="1">
      <c r="A3679" t="inlineStr">
        <is>
          <t>A 1465-2025</t>
        </is>
      </c>
      <c r="B3679" s="1" t="n">
        <v>45670.36513888889</v>
      </c>
      <c r="C3679" s="1" t="n">
        <v>46093</v>
      </c>
      <c r="D3679" t="inlineStr">
        <is>
          <t>VÄSTERNORRLANDS LÄN</t>
        </is>
      </c>
      <c r="E3679" t="inlineStr">
        <is>
          <t>SOLLEFTEÅ</t>
        </is>
      </c>
      <c r="F3679" t="inlineStr">
        <is>
          <t>SCA</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35575-2025</t>
        </is>
      </c>
      <c r="B3680" s="1" t="n">
        <v>45856.63591435185</v>
      </c>
      <c r="C3680" s="1" t="n">
        <v>46093</v>
      </c>
      <c r="D3680" t="inlineStr">
        <is>
          <t>VÄSTERNORRLANDS LÄN</t>
        </is>
      </c>
      <c r="E3680" t="inlineStr">
        <is>
          <t>ÅNGE</t>
        </is>
      </c>
      <c r="F3680" t="inlineStr">
        <is>
          <t>SCA</t>
        </is>
      </c>
      <c r="G3680" t="n">
        <v>5</v>
      </c>
      <c r="H3680" t="n">
        <v>0</v>
      </c>
      <c r="I3680" t="n">
        <v>0</v>
      </c>
      <c r="J3680" t="n">
        <v>0</v>
      </c>
      <c r="K3680" t="n">
        <v>0</v>
      </c>
      <c r="L3680" t="n">
        <v>0</v>
      </c>
      <c r="M3680" t="n">
        <v>0</v>
      </c>
      <c r="N3680" t="n">
        <v>0</v>
      </c>
      <c r="O3680" t="n">
        <v>0</v>
      </c>
      <c r="P3680" t="n">
        <v>0</v>
      </c>
      <c r="Q3680" t="n">
        <v>0</v>
      </c>
      <c r="R3680" s="2" t="inlineStr"/>
    </row>
    <row r="3681" ht="15" customHeight="1">
      <c r="A3681" t="inlineStr">
        <is>
          <t>A 5103-2024</t>
        </is>
      </c>
      <c r="B3681" s="1" t="n">
        <v>45330</v>
      </c>
      <c r="C3681" s="1" t="n">
        <v>46093</v>
      </c>
      <c r="D3681" t="inlineStr">
        <is>
          <t>VÄSTERNORRLANDS LÄN</t>
        </is>
      </c>
      <c r="E3681" t="inlineStr">
        <is>
          <t>ÖRNSKÖLDSVIK</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33239-2023</t>
        </is>
      </c>
      <c r="B3682" s="1" t="n">
        <v>45114</v>
      </c>
      <c r="C3682" s="1" t="n">
        <v>46093</v>
      </c>
      <c r="D3682" t="inlineStr">
        <is>
          <t>VÄSTERNORRLANDS LÄN</t>
        </is>
      </c>
      <c r="E3682" t="inlineStr">
        <is>
          <t>KRAMFORS</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33244-2023</t>
        </is>
      </c>
      <c r="B3683" s="1" t="n">
        <v>45114</v>
      </c>
      <c r="C3683" s="1" t="n">
        <v>46093</v>
      </c>
      <c r="D3683" t="inlineStr">
        <is>
          <t>VÄSTERNORRLANDS LÄN</t>
        </is>
      </c>
      <c r="E3683" t="inlineStr">
        <is>
          <t>ÖRNSKÖLDSVIK</t>
        </is>
      </c>
      <c r="G3683" t="n">
        <v>3.3</v>
      </c>
      <c r="H3683" t="n">
        <v>0</v>
      </c>
      <c r="I3683" t="n">
        <v>0</v>
      </c>
      <c r="J3683" t="n">
        <v>0</v>
      </c>
      <c r="K3683" t="n">
        <v>0</v>
      </c>
      <c r="L3683" t="n">
        <v>0</v>
      </c>
      <c r="M3683" t="n">
        <v>0</v>
      </c>
      <c r="N3683" t="n">
        <v>0</v>
      </c>
      <c r="O3683" t="n">
        <v>0</v>
      </c>
      <c r="P3683" t="n">
        <v>0</v>
      </c>
      <c r="Q3683" t="n">
        <v>0</v>
      </c>
      <c r="R3683" s="2" t="inlineStr"/>
    </row>
    <row r="3684" ht="15" customHeight="1">
      <c r="A3684" t="inlineStr">
        <is>
          <t>A 39200-2025</t>
        </is>
      </c>
      <c r="B3684" s="1" t="n">
        <v>45888.70689814815</v>
      </c>
      <c r="C3684" s="1" t="n">
        <v>46093</v>
      </c>
      <c r="D3684" t="inlineStr">
        <is>
          <t>VÄSTERNORRLANDS LÄN</t>
        </is>
      </c>
      <c r="E3684" t="inlineStr">
        <is>
          <t>ÖRNSKÖLDSVIK</t>
        </is>
      </c>
      <c r="F3684" t="inlineStr">
        <is>
          <t>Holmen skog AB</t>
        </is>
      </c>
      <c r="G3684" t="n">
        <v>9.699999999999999</v>
      </c>
      <c r="H3684" t="n">
        <v>0</v>
      </c>
      <c r="I3684" t="n">
        <v>0</v>
      </c>
      <c r="J3684" t="n">
        <v>0</v>
      </c>
      <c r="K3684" t="n">
        <v>0</v>
      </c>
      <c r="L3684" t="n">
        <v>0</v>
      </c>
      <c r="M3684" t="n">
        <v>0</v>
      </c>
      <c r="N3684" t="n">
        <v>0</v>
      </c>
      <c r="O3684" t="n">
        <v>0</v>
      </c>
      <c r="P3684" t="n">
        <v>0</v>
      </c>
      <c r="Q3684" t="n">
        <v>0</v>
      </c>
      <c r="R3684" s="2" t="inlineStr"/>
    </row>
    <row r="3685" ht="15" customHeight="1">
      <c r="A3685" t="inlineStr">
        <is>
          <t>A 12338-2023</t>
        </is>
      </c>
      <c r="B3685" s="1" t="n">
        <v>44998</v>
      </c>
      <c r="C3685" s="1" t="n">
        <v>46093</v>
      </c>
      <c r="D3685" t="inlineStr">
        <is>
          <t>VÄSTERNORRLANDS LÄN</t>
        </is>
      </c>
      <c r="E3685" t="inlineStr">
        <is>
          <t>KRAMFORS</t>
        </is>
      </c>
      <c r="G3685" t="n">
        <v>3.4</v>
      </c>
      <c r="H3685" t="n">
        <v>0</v>
      </c>
      <c r="I3685" t="n">
        <v>0</v>
      </c>
      <c r="J3685" t="n">
        <v>0</v>
      </c>
      <c r="K3685" t="n">
        <v>0</v>
      </c>
      <c r="L3685" t="n">
        <v>0</v>
      </c>
      <c r="M3685" t="n">
        <v>0</v>
      </c>
      <c r="N3685" t="n">
        <v>0</v>
      </c>
      <c r="O3685" t="n">
        <v>0</v>
      </c>
      <c r="P3685" t="n">
        <v>0</v>
      </c>
      <c r="Q3685" t="n">
        <v>0</v>
      </c>
      <c r="R3685" s="2" t="inlineStr"/>
    </row>
    <row r="3686" ht="15" customHeight="1">
      <c r="A3686" t="inlineStr">
        <is>
          <t>A 39525-2025</t>
        </is>
      </c>
      <c r="B3686" s="1" t="n">
        <v>45890.44021990741</v>
      </c>
      <c r="C3686" s="1" t="n">
        <v>46093</v>
      </c>
      <c r="D3686" t="inlineStr">
        <is>
          <t>VÄSTERNORRLANDS LÄN</t>
        </is>
      </c>
      <c r="E3686" t="inlineStr">
        <is>
          <t>ÖRNSKÖLDSVIK</t>
        </is>
      </c>
      <c r="F3686" t="inlineStr">
        <is>
          <t>Holmen skog AB</t>
        </is>
      </c>
      <c r="G3686" t="n">
        <v>20.8</v>
      </c>
      <c r="H3686" t="n">
        <v>0</v>
      </c>
      <c r="I3686" t="n">
        <v>0</v>
      </c>
      <c r="J3686" t="n">
        <v>0</v>
      </c>
      <c r="K3686" t="n">
        <v>0</v>
      </c>
      <c r="L3686" t="n">
        <v>0</v>
      </c>
      <c r="M3686" t="n">
        <v>0</v>
      </c>
      <c r="N3686" t="n">
        <v>0</v>
      </c>
      <c r="O3686" t="n">
        <v>0</v>
      </c>
      <c r="P3686" t="n">
        <v>0</v>
      </c>
      <c r="Q3686" t="n">
        <v>0</v>
      </c>
      <c r="R3686" s="2" t="inlineStr"/>
    </row>
    <row r="3687" ht="15" customHeight="1">
      <c r="A3687" t="inlineStr">
        <is>
          <t>A 39479-2024</t>
        </is>
      </c>
      <c r="B3687" s="1" t="n">
        <v>45551</v>
      </c>
      <c r="C3687" s="1" t="n">
        <v>46093</v>
      </c>
      <c r="D3687" t="inlineStr">
        <is>
          <t>VÄSTERNORRLANDS LÄN</t>
        </is>
      </c>
      <c r="E3687" t="inlineStr">
        <is>
          <t>KRAMFORS</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2347-2022</t>
        </is>
      </c>
      <c r="B3688" s="1" t="n">
        <v>44578</v>
      </c>
      <c r="C3688" s="1" t="n">
        <v>46093</v>
      </c>
      <c r="D3688" t="inlineStr">
        <is>
          <t>VÄSTERNORRLANDS LÄN</t>
        </is>
      </c>
      <c r="E3688" t="inlineStr">
        <is>
          <t>SUNDSVALL</t>
        </is>
      </c>
      <c r="G3688" t="n">
        <v>3.3</v>
      </c>
      <c r="H3688" t="n">
        <v>0</v>
      </c>
      <c r="I3688" t="n">
        <v>0</v>
      </c>
      <c r="J3688" t="n">
        <v>0</v>
      </c>
      <c r="K3688" t="n">
        <v>0</v>
      </c>
      <c r="L3688" t="n">
        <v>0</v>
      </c>
      <c r="M3688" t="n">
        <v>0</v>
      </c>
      <c r="N3688" t="n">
        <v>0</v>
      </c>
      <c r="O3688" t="n">
        <v>0</v>
      </c>
      <c r="P3688" t="n">
        <v>0</v>
      </c>
      <c r="Q3688" t="n">
        <v>0</v>
      </c>
      <c r="R3688" s="2" t="inlineStr"/>
    </row>
    <row r="3689" ht="15" customHeight="1">
      <c r="A3689" t="inlineStr">
        <is>
          <t>A 39579-2025</t>
        </is>
      </c>
      <c r="B3689" s="1" t="n">
        <v>45890.49295138889</v>
      </c>
      <c r="C3689" s="1" t="n">
        <v>46093</v>
      </c>
      <c r="D3689" t="inlineStr">
        <is>
          <t>VÄSTERNORRLANDS LÄN</t>
        </is>
      </c>
      <c r="E3689" t="inlineStr">
        <is>
          <t>KRAMFORS</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4904-2024</t>
        </is>
      </c>
      <c r="B3690" s="1" t="n">
        <v>45329.47856481482</v>
      </c>
      <c r="C3690" s="1" t="n">
        <v>46093</v>
      </c>
      <c r="D3690" t="inlineStr">
        <is>
          <t>VÄSTERNORRLANDS LÄN</t>
        </is>
      </c>
      <c r="E3690" t="inlineStr">
        <is>
          <t>ÅNGE</t>
        </is>
      </c>
      <c r="G3690" t="n">
        <v>3.5</v>
      </c>
      <c r="H3690" t="n">
        <v>0</v>
      </c>
      <c r="I3690" t="n">
        <v>0</v>
      </c>
      <c r="J3690" t="n">
        <v>0</v>
      </c>
      <c r="K3690" t="n">
        <v>0</v>
      </c>
      <c r="L3690" t="n">
        <v>0</v>
      </c>
      <c r="M3690" t="n">
        <v>0</v>
      </c>
      <c r="N3690" t="n">
        <v>0</v>
      </c>
      <c r="O3690" t="n">
        <v>0</v>
      </c>
      <c r="P3690" t="n">
        <v>0</v>
      </c>
      <c r="Q3690" t="n">
        <v>0</v>
      </c>
      <c r="R3690" s="2" t="inlineStr"/>
    </row>
    <row r="3691" ht="15" customHeight="1">
      <c r="A3691" t="inlineStr">
        <is>
          <t>A 27639-2023</t>
        </is>
      </c>
      <c r="B3691" s="1" t="n">
        <v>45097</v>
      </c>
      <c r="C3691" s="1" t="n">
        <v>46093</v>
      </c>
      <c r="D3691" t="inlineStr">
        <is>
          <t>VÄSTERNORRLANDS LÄN</t>
        </is>
      </c>
      <c r="E3691" t="inlineStr">
        <is>
          <t>SUNDSVALL</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39599-2025</t>
        </is>
      </c>
      <c r="B3692" s="1" t="n">
        <v>45890.55060185185</v>
      </c>
      <c r="C3692" s="1" t="n">
        <v>46093</v>
      </c>
      <c r="D3692" t="inlineStr">
        <is>
          <t>VÄSTERNORRLANDS LÄN</t>
        </is>
      </c>
      <c r="E3692" t="inlineStr">
        <is>
          <t>KRAMFORS</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61120-2024</t>
        </is>
      </c>
      <c r="B3693" s="1" t="n">
        <v>45645.57042824074</v>
      </c>
      <c r="C3693" s="1" t="n">
        <v>46093</v>
      </c>
      <c r="D3693" t="inlineStr">
        <is>
          <t>VÄSTERNORRLANDS LÄN</t>
        </is>
      </c>
      <c r="E3693" t="inlineStr">
        <is>
          <t>ÖRNSKÖLDSVIK</t>
        </is>
      </c>
      <c r="G3693" t="n">
        <v>2.7</v>
      </c>
      <c r="H3693" t="n">
        <v>0</v>
      </c>
      <c r="I3693" t="n">
        <v>0</v>
      </c>
      <c r="J3693" t="n">
        <v>0</v>
      </c>
      <c r="K3693" t="n">
        <v>0</v>
      </c>
      <c r="L3693" t="n">
        <v>0</v>
      </c>
      <c r="M3693" t="n">
        <v>0</v>
      </c>
      <c r="N3693" t="n">
        <v>0</v>
      </c>
      <c r="O3693" t="n">
        <v>0</v>
      </c>
      <c r="P3693" t="n">
        <v>0</v>
      </c>
      <c r="Q3693" t="n">
        <v>0</v>
      </c>
      <c r="R3693" s="2" t="inlineStr"/>
    </row>
    <row r="3694" ht="15" customHeight="1">
      <c r="A3694" t="inlineStr">
        <is>
          <t>A 61122-2024</t>
        </is>
      </c>
      <c r="B3694" s="1" t="n">
        <v>45645.57083333333</v>
      </c>
      <c r="C3694" s="1" t="n">
        <v>46093</v>
      </c>
      <c r="D3694" t="inlineStr">
        <is>
          <t>VÄSTERNORRLANDS LÄN</t>
        </is>
      </c>
      <c r="E3694" t="inlineStr">
        <is>
          <t>ÖRNSKÖLDSVIK</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47659-2024</t>
        </is>
      </c>
      <c r="B3695" s="1" t="n">
        <v>45588</v>
      </c>
      <c r="C3695" s="1" t="n">
        <v>46093</v>
      </c>
      <c r="D3695" t="inlineStr">
        <is>
          <t>VÄSTERNORRLANDS LÄN</t>
        </is>
      </c>
      <c r="E3695" t="inlineStr">
        <is>
          <t>KRAMFORS</t>
        </is>
      </c>
      <c r="G3695" t="n">
        <v>4.4</v>
      </c>
      <c r="H3695" t="n">
        <v>0</v>
      </c>
      <c r="I3695" t="n">
        <v>0</v>
      </c>
      <c r="J3695" t="n">
        <v>0</v>
      </c>
      <c r="K3695" t="n">
        <v>0</v>
      </c>
      <c r="L3695" t="n">
        <v>0</v>
      </c>
      <c r="M3695" t="n">
        <v>0</v>
      </c>
      <c r="N3695" t="n">
        <v>0</v>
      </c>
      <c r="O3695" t="n">
        <v>0</v>
      </c>
      <c r="P3695" t="n">
        <v>0</v>
      </c>
      <c r="Q3695" t="n">
        <v>0</v>
      </c>
      <c r="R3695" s="2" t="inlineStr"/>
    </row>
    <row r="3696" ht="15" customHeight="1">
      <c r="A3696" t="inlineStr">
        <is>
          <t>A 61146-2024</t>
        </is>
      </c>
      <c r="B3696" s="1" t="n">
        <v>45645.58689814815</v>
      </c>
      <c r="C3696" s="1" t="n">
        <v>46093</v>
      </c>
      <c r="D3696" t="inlineStr">
        <is>
          <t>VÄSTERNORRLANDS LÄN</t>
        </is>
      </c>
      <c r="E3696" t="inlineStr">
        <is>
          <t>ÖRNSKÖLDSVIK</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73979-2021</t>
        </is>
      </c>
      <c r="B3697" s="1" t="n">
        <v>44554</v>
      </c>
      <c r="C3697" s="1" t="n">
        <v>46093</v>
      </c>
      <c r="D3697" t="inlineStr">
        <is>
          <t>VÄSTERNORRLANDS LÄN</t>
        </is>
      </c>
      <c r="E3697" t="inlineStr">
        <is>
          <t>SUNDSVALL</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29462-2024</t>
        </is>
      </c>
      <c r="B3698" s="1" t="n">
        <v>45483.96979166667</v>
      </c>
      <c r="C3698" s="1" t="n">
        <v>46093</v>
      </c>
      <c r="D3698" t="inlineStr">
        <is>
          <t>VÄSTERNORRLANDS LÄN</t>
        </is>
      </c>
      <c r="E3698" t="inlineStr">
        <is>
          <t>ÅNGE</t>
        </is>
      </c>
      <c r="F3698" t="inlineStr">
        <is>
          <t>SCA</t>
        </is>
      </c>
      <c r="G3698" t="n">
        <v>8.4</v>
      </c>
      <c r="H3698" t="n">
        <v>0</v>
      </c>
      <c r="I3698" t="n">
        <v>0</v>
      </c>
      <c r="J3698" t="n">
        <v>0</v>
      </c>
      <c r="K3698" t="n">
        <v>0</v>
      </c>
      <c r="L3698" t="n">
        <v>0</v>
      </c>
      <c r="M3698" t="n">
        <v>0</v>
      </c>
      <c r="N3698" t="n">
        <v>0</v>
      </c>
      <c r="O3698" t="n">
        <v>0</v>
      </c>
      <c r="P3698" t="n">
        <v>0</v>
      </c>
      <c r="Q3698" t="n">
        <v>0</v>
      </c>
      <c r="R3698" s="2" t="inlineStr"/>
    </row>
    <row r="3699" ht="15" customHeight="1">
      <c r="A3699" t="inlineStr">
        <is>
          <t>A 24199-2024</t>
        </is>
      </c>
      <c r="B3699" s="1" t="n">
        <v>45456.96634259259</v>
      </c>
      <c r="C3699" s="1" t="n">
        <v>46093</v>
      </c>
      <c r="D3699" t="inlineStr">
        <is>
          <t>VÄSTERNORRLANDS LÄN</t>
        </is>
      </c>
      <c r="E3699" t="inlineStr">
        <is>
          <t>SOLLEFTEÅ</t>
        </is>
      </c>
      <c r="F3699" t="inlineStr">
        <is>
          <t>SCA</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29465-2024</t>
        </is>
      </c>
      <c r="B3700" s="1" t="n">
        <v>45483.97027777778</v>
      </c>
      <c r="C3700" s="1" t="n">
        <v>46093</v>
      </c>
      <c r="D3700" t="inlineStr">
        <is>
          <t>VÄSTERNORRLANDS LÄN</t>
        </is>
      </c>
      <c r="E3700" t="inlineStr">
        <is>
          <t>SUNDSVALL</t>
        </is>
      </c>
      <c r="F3700" t="inlineStr">
        <is>
          <t>Naturvårdsverket</t>
        </is>
      </c>
      <c r="G3700" t="n">
        <v>3.6</v>
      </c>
      <c r="H3700" t="n">
        <v>0</v>
      </c>
      <c r="I3700" t="n">
        <v>0</v>
      </c>
      <c r="J3700" t="n">
        <v>0</v>
      </c>
      <c r="K3700" t="n">
        <v>0</v>
      </c>
      <c r="L3700" t="n">
        <v>0</v>
      </c>
      <c r="M3700" t="n">
        <v>0</v>
      </c>
      <c r="N3700" t="n">
        <v>0</v>
      </c>
      <c r="O3700" t="n">
        <v>0</v>
      </c>
      <c r="P3700" t="n">
        <v>0</v>
      </c>
      <c r="Q3700" t="n">
        <v>0</v>
      </c>
      <c r="R3700" s="2" t="inlineStr"/>
    </row>
    <row r="3701" ht="15" customHeight="1">
      <c r="A3701" t="inlineStr">
        <is>
          <t>A 24232-2024</t>
        </is>
      </c>
      <c r="B3701" s="1" t="n">
        <v>45457.34686342593</v>
      </c>
      <c r="C3701" s="1" t="n">
        <v>46093</v>
      </c>
      <c r="D3701" t="inlineStr">
        <is>
          <t>VÄSTERNORRLANDS LÄN</t>
        </is>
      </c>
      <c r="E3701" t="inlineStr">
        <is>
          <t>ÅNGE</t>
        </is>
      </c>
      <c r="F3701" t="inlineStr">
        <is>
          <t>Sveaskog</t>
        </is>
      </c>
      <c r="G3701" t="n">
        <v>3.1</v>
      </c>
      <c r="H3701" t="n">
        <v>0</v>
      </c>
      <c r="I3701" t="n">
        <v>0</v>
      </c>
      <c r="J3701" t="n">
        <v>0</v>
      </c>
      <c r="K3701" t="n">
        <v>0</v>
      </c>
      <c r="L3701" t="n">
        <v>0</v>
      </c>
      <c r="M3701" t="n">
        <v>0</v>
      </c>
      <c r="N3701" t="n">
        <v>0</v>
      </c>
      <c r="O3701" t="n">
        <v>0</v>
      </c>
      <c r="P3701" t="n">
        <v>0</v>
      </c>
      <c r="Q3701" t="n">
        <v>0</v>
      </c>
      <c r="R3701" s="2" t="inlineStr"/>
    </row>
    <row r="3702" ht="15" customHeight="1">
      <c r="A3702" t="inlineStr">
        <is>
          <t>A 39423-2025</t>
        </is>
      </c>
      <c r="B3702" s="1" t="n">
        <v>45889.67226851852</v>
      </c>
      <c r="C3702" s="1" t="n">
        <v>46093</v>
      </c>
      <c r="D3702" t="inlineStr">
        <is>
          <t>VÄSTERNORRLANDS LÄN</t>
        </is>
      </c>
      <c r="E3702" t="inlineStr">
        <is>
          <t>ÖRNSKÖLDSVIK</t>
        </is>
      </c>
      <c r="F3702" t="inlineStr">
        <is>
          <t>Holmen skog AB</t>
        </is>
      </c>
      <c r="G3702" t="n">
        <v>5</v>
      </c>
      <c r="H3702" t="n">
        <v>0</v>
      </c>
      <c r="I3702" t="n">
        <v>0</v>
      </c>
      <c r="J3702" t="n">
        <v>0</v>
      </c>
      <c r="K3702" t="n">
        <v>0</v>
      </c>
      <c r="L3702" t="n">
        <v>0</v>
      </c>
      <c r="M3702" t="n">
        <v>0</v>
      </c>
      <c r="N3702" t="n">
        <v>0</v>
      </c>
      <c r="O3702" t="n">
        <v>0</v>
      </c>
      <c r="P3702" t="n">
        <v>0</v>
      </c>
      <c r="Q3702" t="n">
        <v>0</v>
      </c>
      <c r="R3702" s="2" t="inlineStr"/>
    </row>
    <row r="3703" ht="15" customHeight="1">
      <c r="A3703" t="inlineStr">
        <is>
          <t>A 44165-2023</t>
        </is>
      </c>
      <c r="B3703" s="1" t="n">
        <v>45188</v>
      </c>
      <c r="C3703" s="1" t="n">
        <v>46093</v>
      </c>
      <c r="D3703" t="inlineStr">
        <is>
          <t>VÄSTERNORRLANDS LÄN</t>
        </is>
      </c>
      <c r="E3703" t="inlineStr">
        <is>
          <t>ÖRNSKÖLDSVIK</t>
        </is>
      </c>
      <c r="F3703" t="inlineStr">
        <is>
          <t>Holmen skog AB</t>
        </is>
      </c>
      <c r="G3703" t="n">
        <v>11.8</v>
      </c>
      <c r="H3703" t="n">
        <v>0</v>
      </c>
      <c r="I3703" t="n">
        <v>0</v>
      </c>
      <c r="J3703" t="n">
        <v>0</v>
      </c>
      <c r="K3703" t="n">
        <v>0</v>
      </c>
      <c r="L3703" t="n">
        <v>0</v>
      </c>
      <c r="M3703" t="n">
        <v>0</v>
      </c>
      <c r="N3703" t="n">
        <v>0</v>
      </c>
      <c r="O3703" t="n">
        <v>0</v>
      </c>
      <c r="P3703" t="n">
        <v>0</v>
      </c>
      <c r="Q3703" t="n">
        <v>0</v>
      </c>
      <c r="R3703" s="2" t="inlineStr"/>
    </row>
    <row r="3704" ht="15" customHeight="1">
      <c r="A3704" t="inlineStr">
        <is>
          <t>A 44178-2023</t>
        </is>
      </c>
      <c r="B3704" s="1" t="n">
        <v>45183</v>
      </c>
      <c r="C3704" s="1" t="n">
        <v>46093</v>
      </c>
      <c r="D3704" t="inlineStr">
        <is>
          <t>VÄSTERNORRLANDS LÄN</t>
        </is>
      </c>
      <c r="E3704" t="inlineStr">
        <is>
          <t>ÅNGE</t>
        </is>
      </c>
      <c r="F3704" t="inlineStr">
        <is>
          <t>SCA</t>
        </is>
      </c>
      <c r="G3704" t="n">
        <v>3.7</v>
      </c>
      <c r="H3704" t="n">
        <v>0</v>
      </c>
      <c r="I3704" t="n">
        <v>0</v>
      </c>
      <c r="J3704" t="n">
        <v>0</v>
      </c>
      <c r="K3704" t="n">
        <v>0</v>
      </c>
      <c r="L3704" t="n">
        <v>0</v>
      </c>
      <c r="M3704" t="n">
        <v>0</v>
      </c>
      <c r="N3704" t="n">
        <v>0</v>
      </c>
      <c r="O3704" t="n">
        <v>0</v>
      </c>
      <c r="P3704" t="n">
        <v>0</v>
      </c>
      <c r="Q3704" t="n">
        <v>0</v>
      </c>
      <c r="R3704" s="2" t="inlineStr"/>
    </row>
    <row r="3705" ht="15" customHeight="1">
      <c r="A3705" t="inlineStr">
        <is>
          <t>A 25799-2024</t>
        </is>
      </c>
      <c r="B3705" s="1" t="n">
        <v>45463</v>
      </c>
      <c r="C3705" s="1" t="n">
        <v>46093</v>
      </c>
      <c r="D3705" t="inlineStr">
        <is>
          <t>VÄSTERNORRLANDS LÄN</t>
        </is>
      </c>
      <c r="E3705" t="inlineStr">
        <is>
          <t>SOLLEFTEÅ</t>
        </is>
      </c>
      <c r="F3705" t="inlineStr">
        <is>
          <t>Kommuner</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3572-2024</t>
        </is>
      </c>
      <c r="B3706" s="1" t="n">
        <v>45320.65256944444</v>
      </c>
      <c r="C3706" s="1" t="n">
        <v>46093</v>
      </c>
      <c r="D3706" t="inlineStr">
        <is>
          <t>VÄSTERNORRLANDS LÄN</t>
        </is>
      </c>
      <c r="E3706" t="inlineStr">
        <is>
          <t>ÖRNSKÖLDSVIK</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12355-2025</t>
        </is>
      </c>
      <c r="B3707" s="1" t="n">
        <v>45730.36490740741</v>
      </c>
      <c r="C3707" s="1" t="n">
        <v>46093</v>
      </c>
      <c r="D3707" t="inlineStr">
        <is>
          <t>VÄSTERNORRLANDS LÄN</t>
        </is>
      </c>
      <c r="E3707" t="inlineStr">
        <is>
          <t>SOLLEFTEÅ</t>
        </is>
      </c>
      <c r="F3707" t="inlineStr">
        <is>
          <t>SCA</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39568-2025</t>
        </is>
      </c>
      <c r="B3708" s="1" t="n">
        <v>45890.48993055556</v>
      </c>
      <c r="C3708" s="1" t="n">
        <v>46093</v>
      </c>
      <c r="D3708" t="inlineStr">
        <is>
          <t>VÄSTERNORRLANDS LÄN</t>
        </is>
      </c>
      <c r="E3708" t="inlineStr">
        <is>
          <t>SOLLEFTEÅ</t>
        </is>
      </c>
      <c r="F3708" t="inlineStr">
        <is>
          <t>SCA</t>
        </is>
      </c>
      <c r="G3708" t="n">
        <v>14.4</v>
      </c>
      <c r="H3708" t="n">
        <v>0</v>
      </c>
      <c r="I3708" t="n">
        <v>0</v>
      </c>
      <c r="J3708" t="n">
        <v>0</v>
      </c>
      <c r="K3708" t="n">
        <v>0</v>
      </c>
      <c r="L3708" t="n">
        <v>0</v>
      </c>
      <c r="M3708" t="n">
        <v>0</v>
      </c>
      <c r="N3708" t="n">
        <v>0</v>
      </c>
      <c r="O3708" t="n">
        <v>0</v>
      </c>
      <c r="P3708" t="n">
        <v>0</v>
      </c>
      <c r="Q3708" t="n">
        <v>0</v>
      </c>
      <c r="R3708" s="2" t="inlineStr"/>
    </row>
    <row r="3709" ht="15" customHeight="1">
      <c r="A3709" t="inlineStr">
        <is>
          <t>A 44431-2022</t>
        </is>
      </c>
      <c r="B3709" s="1" t="n">
        <v>44839</v>
      </c>
      <c r="C3709" s="1" t="n">
        <v>46093</v>
      </c>
      <c r="D3709" t="inlineStr">
        <is>
          <t>VÄSTERNORRLANDS LÄN</t>
        </is>
      </c>
      <c r="E3709" t="inlineStr">
        <is>
          <t>ÖRNSKÖLDSVIK</t>
        </is>
      </c>
      <c r="F3709" t="inlineStr">
        <is>
          <t>SCA</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44432-2022</t>
        </is>
      </c>
      <c r="B3710" s="1" t="n">
        <v>44839</v>
      </c>
      <c r="C3710" s="1" t="n">
        <v>46093</v>
      </c>
      <c r="D3710" t="inlineStr">
        <is>
          <t>VÄSTERNORRLANDS LÄN</t>
        </is>
      </c>
      <c r="E3710" t="inlineStr">
        <is>
          <t>TIMRÅ</t>
        </is>
      </c>
      <c r="F3710" t="inlineStr">
        <is>
          <t>SCA</t>
        </is>
      </c>
      <c r="G3710" t="n">
        <v>3.9</v>
      </c>
      <c r="H3710" t="n">
        <v>0</v>
      </c>
      <c r="I3710" t="n">
        <v>0</v>
      </c>
      <c r="J3710" t="n">
        <v>0</v>
      </c>
      <c r="K3710" t="n">
        <v>0</v>
      </c>
      <c r="L3710" t="n">
        <v>0</v>
      </c>
      <c r="M3710" t="n">
        <v>0</v>
      </c>
      <c r="N3710" t="n">
        <v>0</v>
      </c>
      <c r="O3710" t="n">
        <v>0</v>
      </c>
      <c r="P3710" t="n">
        <v>0</v>
      </c>
      <c r="Q3710" t="n">
        <v>0</v>
      </c>
      <c r="R3710" s="2" t="inlineStr"/>
    </row>
    <row r="3711" ht="15" customHeight="1">
      <c r="A3711" t="inlineStr">
        <is>
          <t>A 39602-2025</t>
        </is>
      </c>
      <c r="B3711" s="1" t="n">
        <v>45890.55296296296</v>
      </c>
      <c r="C3711" s="1" t="n">
        <v>46093</v>
      </c>
      <c r="D3711" t="inlineStr">
        <is>
          <t>VÄSTERNORRLANDS LÄN</t>
        </is>
      </c>
      <c r="E3711" t="inlineStr">
        <is>
          <t>SOLLEFTEÅ</t>
        </is>
      </c>
      <c r="F3711" t="inlineStr">
        <is>
          <t>SCA</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39608-2025</t>
        </is>
      </c>
      <c r="B3712" s="1" t="n">
        <v>45890</v>
      </c>
      <c r="C3712" s="1" t="n">
        <v>46093</v>
      </c>
      <c r="D3712" t="inlineStr">
        <is>
          <t>VÄSTERNORRLANDS LÄN</t>
        </is>
      </c>
      <c r="E3712" t="inlineStr">
        <is>
          <t>ÖRNSKÖLDSVIK</t>
        </is>
      </c>
      <c r="G3712" t="n">
        <v>14.7</v>
      </c>
      <c r="H3712" t="n">
        <v>0</v>
      </c>
      <c r="I3712" t="n">
        <v>0</v>
      </c>
      <c r="J3712" t="n">
        <v>0</v>
      </c>
      <c r="K3712" t="n">
        <v>0</v>
      </c>
      <c r="L3712" t="n">
        <v>0</v>
      </c>
      <c r="M3712" t="n">
        <v>0</v>
      </c>
      <c r="N3712" t="n">
        <v>0</v>
      </c>
      <c r="O3712" t="n">
        <v>0</v>
      </c>
      <c r="P3712" t="n">
        <v>0</v>
      </c>
      <c r="Q3712" t="n">
        <v>0</v>
      </c>
      <c r="R3712" s="2" t="inlineStr"/>
    </row>
    <row r="3713" ht="15" customHeight="1">
      <c r="A3713" t="inlineStr">
        <is>
          <t>A 39664-2025</t>
        </is>
      </c>
      <c r="B3713" s="1" t="n">
        <v>45890.63596064815</v>
      </c>
      <c r="C3713" s="1" t="n">
        <v>46093</v>
      </c>
      <c r="D3713" t="inlineStr">
        <is>
          <t>VÄSTERNORRLANDS LÄN</t>
        </is>
      </c>
      <c r="E3713" t="inlineStr">
        <is>
          <t>SOLLEFTEÅ</t>
        </is>
      </c>
      <c r="F3713" t="inlineStr">
        <is>
          <t>SCA</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39671-2025</t>
        </is>
      </c>
      <c r="B3714" s="1" t="n">
        <v>45890</v>
      </c>
      <c r="C3714" s="1" t="n">
        <v>46093</v>
      </c>
      <c r="D3714" t="inlineStr">
        <is>
          <t>VÄSTERNORRLANDS LÄN</t>
        </is>
      </c>
      <c r="E3714" t="inlineStr">
        <is>
          <t>SOLLEFTEÅ</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33783-2024</t>
        </is>
      </c>
      <c r="B3715" s="1" t="n">
        <v>45520</v>
      </c>
      <c r="C3715" s="1" t="n">
        <v>46093</v>
      </c>
      <c r="D3715" t="inlineStr">
        <is>
          <t>VÄSTERNORRLANDS LÄN</t>
        </is>
      </c>
      <c r="E3715" t="inlineStr">
        <is>
          <t>ÅNGE</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27572-2022</t>
        </is>
      </c>
      <c r="B3716" s="1" t="n">
        <v>44742.94329861111</v>
      </c>
      <c r="C3716" s="1" t="n">
        <v>46093</v>
      </c>
      <c r="D3716" t="inlineStr">
        <is>
          <t>VÄSTERNORRLANDS LÄN</t>
        </is>
      </c>
      <c r="E3716" t="inlineStr">
        <is>
          <t>SOLLEFTEÅ</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47752-2023</t>
        </is>
      </c>
      <c r="B3717" s="1" t="n">
        <v>45203.80674768519</v>
      </c>
      <c r="C3717" s="1" t="n">
        <v>46093</v>
      </c>
      <c r="D3717" t="inlineStr">
        <is>
          <t>VÄSTERNORRLANDS LÄN</t>
        </is>
      </c>
      <c r="E3717" t="inlineStr">
        <is>
          <t>ÖRNSKÖLDSVIK</t>
        </is>
      </c>
      <c r="F3717" t="inlineStr">
        <is>
          <t>Holmen skog AB</t>
        </is>
      </c>
      <c r="G3717" t="n">
        <v>6.2</v>
      </c>
      <c r="H3717" t="n">
        <v>0</v>
      </c>
      <c r="I3717" t="n">
        <v>0</v>
      </c>
      <c r="J3717" t="n">
        <v>0</v>
      </c>
      <c r="K3717" t="n">
        <v>0</v>
      </c>
      <c r="L3717" t="n">
        <v>0</v>
      </c>
      <c r="M3717" t="n">
        <v>0</v>
      </c>
      <c r="N3717" t="n">
        <v>0</v>
      </c>
      <c r="O3717" t="n">
        <v>0</v>
      </c>
      <c r="P3717" t="n">
        <v>0</v>
      </c>
      <c r="Q3717" t="n">
        <v>0</v>
      </c>
      <c r="R3717" s="2" t="inlineStr"/>
    </row>
    <row r="3718" ht="15" customHeight="1">
      <c r="A3718" t="inlineStr">
        <is>
          <t>A 23127-2024</t>
        </is>
      </c>
      <c r="B3718" s="1" t="n">
        <v>45450.61115740741</v>
      </c>
      <c r="C3718" s="1" t="n">
        <v>46093</v>
      </c>
      <c r="D3718" t="inlineStr">
        <is>
          <t>VÄSTERNORRLANDS LÄN</t>
        </is>
      </c>
      <c r="E3718" t="inlineStr">
        <is>
          <t>KRAMFORS</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39575-2025</t>
        </is>
      </c>
      <c r="B3719" s="1" t="n">
        <v>45890.49244212963</v>
      </c>
      <c r="C3719" s="1" t="n">
        <v>46093</v>
      </c>
      <c r="D3719" t="inlineStr">
        <is>
          <t>VÄSTERNORRLANDS LÄN</t>
        </is>
      </c>
      <c r="E3719" t="inlineStr">
        <is>
          <t>KRAMFORS</t>
        </is>
      </c>
      <c r="G3719" t="n">
        <v>9.5</v>
      </c>
      <c r="H3719" t="n">
        <v>0</v>
      </c>
      <c r="I3719" t="n">
        <v>0</v>
      </c>
      <c r="J3719" t="n">
        <v>0</v>
      </c>
      <c r="K3719" t="n">
        <v>0</v>
      </c>
      <c r="L3719" t="n">
        <v>0</v>
      </c>
      <c r="M3719" t="n">
        <v>0</v>
      </c>
      <c r="N3719" t="n">
        <v>0</v>
      </c>
      <c r="O3719" t="n">
        <v>0</v>
      </c>
      <c r="P3719" t="n">
        <v>0</v>
      </c>
      <c r="Q3719" t="n">
        <v>0</v>
      </c>
      <c r="R3719" s="2" t="inlineStr"/>
    </row>
    <row r="3720" ht="15" customHeight="1">
      <c r="A3720" t="inlineStr">
        <is>
          <t>A 39577-2025</t>
        </is>
      </c>
      <c r="B3720" s="1" t="n">
        <v>45890.49271990741</v>
      </c>
      <c r="C3720" s="1" t="n">
        <v>46093</v>
      </c>
      <c r="D3720" t="inlineStr">
        <is>
          <t>VÄSTERNORRLANDS LÄN</t>
        </is>
      </c>
      <c r="E3720" t="inlineStr">
        <is>
          <t>KRAMFORS</t>
        </is>
      </c>
      <c r="G3720" t="n">
        <v>0.3</v>
      </c>
      <c r="H3720" t="n">
        <v>0</v>
      </c>
      <c r="I3720" t="n">
        <v>0</v>
      </c>
      <c r="J3720" t="n">
        <v>0</v>
      </c>
      <c r="K3720" t="n">
        <v>0</v>
      </c>
      <c r="L3720" t="n">
        <v>0</v>
      </c>
      <c r="M3720" t="n">
        <v>0</v>
      </c>
      <c r="N3720" t="n">
        <v>0</v>
      </c>
      <c r="O3720" t="n">
        <v>0</v>
      </c>
      <c r="P3720" t="n">
        <v>0</v>
      </c>
      <c r="Q3720" t="n">
        <v>0</v>
      </c>
      <c r="R3720" s="2" t="inlineStr"/>
    </row>
    <row r="3721" ht="15" customHeight="1">
      <c r="A3721" t="inlineStr">
        <is>
          <t>A 8648-2025</t>
        </is>
      </c>
      <c r="B3721" s="1" t="n">
        <v>45712.34501157407</v>
      </c>
      <c r="C3721" s="1" t="n">
        <v>46093</v>
      </c>
      <c r="D3721" t="inlineStr">
        <is>
          <t>VÄSTERNORRLANDS LÄN</t>
        </is>
      </c>
      <c r="E3721" t="inlineStr">
        <is>
          <t>ÅNGE</t>
        </is>
      </c>
      <c r="F3721" t="inlineStr">
        <is>
          <t>SCA</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57157-2024</t>
        </is>
      </c>
      <c r="B3722" s="1" t="n">
        <v>45629</v>
      </c>
      <c r="C3722" s="1" t="n">
        <v>46093</v>
      </c>
      <c r="D3722" t="inlineStr">
        <is>
          <t>VÄSTERNORRLANDS LÄN</t>
        </is>
      </c>
      <c r="E3722" t="inlineStr">
        <is>
          <t>ÖRNSKÖLDSVIK</t>
        </is>
      </c>
      <c r="F3722" t="inlineStr">
        <is>
          <t>Holmen skog AB</t>
        </is>
      </c>
      <c r="G3722" t="n">
        <v>14.5</v>
      </c>
      <c r="H3722" t="n">
        <v>0</v>
      </c>
      <c r="I3722" t="n">
        <v>0</v>
      </c>
      <c r="J3722" t="n">
        <v>0</v>
      </c>
      <c r="K3722" t="n">
        <v>0</v>
      </c>
      <c r="L3722" t="n">
        <v>0</v>
      </c>
      <c r="M3722" t="n">
        <v>0</v>
      </c>
      <c r="N3722" t="n">
        <v>0</v>
      </c>
      <c r="O3722" t="n">
        <v>0</v>
      </c>
      <c r="P3722" t="n">
        <v>0</v>
      </c>
      <c r="Q3722" t="n">
        <v>0</v>
      </c>
      <c r="R3722" s="2" t="inlineStr"/>
    </row>
    <row r="3723" ht="15" customHeight="1">
      <c r="A3723" t="inlineStr">
        <is>
          <t>A 39474-2025</t>
        </is>
      </c>
      <c r="B3723" s="1" t="n">
        <v>45890.34435185185</v>
      </c>
      <c r="C3723" s="1" t="n">
        <v>46093</v>
      </c>
      <c r="D3723" t="inlineStr">
        <is>
          <t>VÄSTERNORRLANDS LÄN</t>
        </is>
      </c>
      <c r="E3723" t="inlineStr">
        <is>
          <t>HÄRNÖSAND</t>
        </is>
      </c>
      <c r="F3723" t="inlineStr">
        <is>
          <t>SCA</t>
        </is>
      </c>
      <c r="G3723" t="n">
        <v>3.1</v>
      </c>
      <c r="H3723" t="n">
        <v>0</v>
      </c>
      <c r="I3723" t="n">
        <v>0</v>
      </c>
      <c r="J3723" t="n">
        <v>0</v>
      </c>
      <c r="K3723" t="n">
        <v>0</v>
      </c>
      <c r="L3723" t="n">
        <v>0</v>
      </c>
      <c r="M3723" t="n">
        <v>0</v>
      </c>
      <c r="N3723" t="n">
        <v>0</v>
      </c>
      <c r="O3723" t="n">
        <v>0</v>
      </c>
      <c r="P3723" t="n">
        <v>0</v>
      </c>
      <c r="Q3723" t="n">
        <v>0</v>
      </c>
      <c r="R3723" s="2" t="inlineStr"/>
    </row>
    <row r="3724" ht="15" customHeight="1">
      <c r="A3724" t="inlineStr">
        <is>
          <t>A 8708-2025</t>
        </is>
      </c>
      <c r="B3724" s="1" t="n">
        <v>45712.490625</v>
      </c>
      <c r="C3724" s="1" t="n">
        <v>46093</v>
      </c>
      <c r="D3724" t="inlineStr">
        <is>
          <t>VÄSTERNORRLANDS LÄN</t>
        </is>
      </c>
      <c r="E3724" t="inlineStr">
        <is>
          <t>SUNDSVALL</t>
        </is>
      </c>
      <c r="F3724" t="inlineStr">
        <is>
          <t>SCA</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39488-2025</t>
        </is>
      </c>
      <c r="B3725" s="1" t="n">
        <v>45890.36520833334</v>
      </c>
      <c r="C3725" s="1" t="n">
        <v>46093</v>
      </c>
      <c r="D3725" t="inlineStr">
        <is>
          <t>VÄSTERNORRLANDS LÄN</t>
        </is>
      </c>
      <c r="E3725" t="inlineStr">
        <is>
          <t>SUNDSVALL</t>
        </is>
      </c>
      <c r="F3725" t="inlineStr">
        <is>
          <t>SCA</t>
        </is>
      </c>
      <c r="G3725" t="n">
        <v>9</v>
      </c>
      <c r="H3725" t="n">
        <v>0</v>
      </c>
      <c r="I3725" t="n">
        <v>0</v>
      </c>
      <c r="J3725" t="n">
        <v>0</v>
      </c>
      <c r="K3725" t="n">
        <v>0</v>
      </c>
      <c r="L3725" t="n">
        <v>0</v>
      </c>
      <c r="M3725" t="n">
        <v>0</v>
      </c>
      <c r="N3725" t="n">
        <v>0</v>
      </c>
      <c r="O3725" t="n">
        <v>0</v>
      </c>
      <c r="P3725" t="n">
        <v>0</v>
      </c>
      <c r="Q3725" t="n">
        <v>0</v>
      </c>
      <c r="R3725" s="2" t="inlineStr"/>
    </row>
    <row r="3726" ht="15" customHeight="1">
      <c r="A3726" t="inlineStr">
        <is>
          <t>A 57236-2024</t>
        </is>
      </c>
      <c r="B3726" s="1" t="n">
        <v>45628</v>
      </c>
      <c r="C3726" s="1" t="n">
        <v>46093</v>
      </c>
      <c r="D3726" t="inlineStr">
        <is>
          <t>VÄSTERNORRLANDS LÄN</t>
        </is>
      </c>
      <c r="E3726" t="inlineStr">
        <is>
          <t>HÄRNÖSAND</t>
        </is>
      </c>
      <c r="G3726" t="n">
        <v>3.2</v>
      </c>
      <c r="H3726" t="n">
        <v>0</v>
      </c>
      <c r="I3726" t="n">
        <v>0</v>
      </c>
      <c r="J3726" t="n">
        <v>0</v>
      </c>
      <c r="K3726" t="n">
        <v>0</v>
      </c>
      <c r="L3726" t="n">
        <v>0</v>
      </c>
      <c r="M3726" t="n">
        <v>0</v>
      </c>
      <c r="N3726" t="n">
        <v>0</v>
      </c>
      <c r="O3726" t="n">
        <v>0</v>
      </c>
      <c r="P3726" t="n">
        <v>0</v>
      </c>
      <c r="Q3726" t="n">
        <v>0</v>
      </c>
      <c r="R3726" s="2" t="inlineStr"/>
    </row>
    <row r="3727" ht="15" customHeight="1">
      <c r="A3727" t="inlineStr">
        <is>
          <t>A 39633-2025</t>
        </is>
      </c>
      <c r="B3727" s="1" t="n">
        <v>45890.59037037037</v>
      </c>
      <c r="C3727" s="1" t="n">
        <v>46093</v>
      </c>
      <c r="D3727" t="inlineStr">
        <is>
          <t>VÄSTERNORRLANDS LÄN</t>
        </is>
      </c>
      <c r="E3727" t="inlineStr">
        <is>
          <t>ÖRNSKÖLDSVIK</t>
        </is>
      </c>
      <c r="F3727" t="inlineStr">
        <is>
          <t>Holmen skog AB</t>
        </is>
      </c>
      <c r="G3727" t="n">
        <v>7.5</v>
      </c>
      <c r="H3727" t="n">
        <v>0</v>
      </c>
      <c r="I3727" t="n">
        <v>0</v>
      </c>
      <c r="J3727" t="n">
        <v>0</v>
      </c>
      <c r="K3727" t="n">
        <v>0</v>
      </c>
      <c r="L3727" t="n">
        <v>0</v>
      </c>
      <c r="M3727" t="n">
        <v>0</v>
      </c>
      <c r="N3727" t="n">
        <v>0</v>
      </c>
      <c r="O3727" t="n">
        <v>0</v>
      </c>
      <c r="P3727" t="n">
        <v>0</v>
      </c>
      <c r="Q3727" t="n">
        <v>0</v>
      </c>
      <c r="R3727" s="2" t="inlineStr"/>
    </row>
    <row r="3728" ht="15" customHeight="1">
      <c r="A3728" t="inlineStr">
        <is>
          <t>A 45128-2022</t>
        </is>
      </c>
      <c r="B3728" s="1" t="n">
        <v>44844.3146412037</v>
      </c>
      <c r="C3728" s="1" t="n">
        <v>46093</v>
      </c>
      <c r="D3728" t="inlineStr">
        <is>
          <t>VÄSTERNORRLANDS LÄN</t>
        </is>
      </c>
      <c r="E3728" t="inlineStr">
        <is>
          <t>ÅNGE</t>
        </is>
      </c>
      <c r="G3728" t="n">
        <v>4.1</v>
      </c>
      <c r="H3728" t="n">
        <v>0</v>
      </c>
      <c r="I3728" t="n">
        <v>0</v>
      </c>
      <c r="J3728" t="n">
        <v>0</v>
      </c>
      <c r="K3728" t="n">
        <v>0</v>
      </c>
      <c r="L3728" t="n">
        <v>0</v>
      </c>
      <c r="M3728" t="n">
        <v>0</v>
      </c>
      <c r="N3728" t="n">
        <v>0</v>
      </c>
      <c r="O3728" t="n">
        <v>0</v>
      </c>
      <c r="P3728" t="n">
        <v>0</v>
      </c>
      <c r="Q3728" t="n">
        <v>0</v>
      </c>
      <c r="R3728" s="2" t="inlineStr"/>
    </row>
    <row r="3729" ht="15" customHeight="1">
      <c r="A3729" t="inlineStr">
        <is>
          <t>A 35497-2025</t>
        </is>
      </c>
      <c r="B3729" s="1" t="n">
        <v>45856.29752314815</v>
      </c>
      <c r="C3729" s="1" t="n">
        <v>46093</v>
      </c>
      <c r="D3729" t="inlineStr">
        <is>
          <t>VÄSTERNORRLANDS LÄN</t>
        </is>
      </c>
      <c r="E3729" t="inlineStr">
        <is>
          <t>ÅNGE</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39415-2025</t>
        </is>
      </c>
      <c r="B3730" s="1" t="n">
        <v>45889.65715277778</v>
      </c>
      <c r="C3730" s="1" t="n">
        <v>46093</v>
      </c>
      <c r="D3730" t="inlineStr">
        <is>
          <t>VÄSTERNORRLANDS LÄN</t>
        </is>
      </c>
      <c r="E3730" t="inlineStr">
        <is>
          <t>SUNDSVALL</t>
        </is>
      </c>
      <c r="F3730" t="inlineStr">
        <is>
          <t>SCA</t>
        </is>
      </c>
      <c r="G3730" t="n">
        <v>10.6</v>
      </c>
      <c r="H3730" t="n">
        <v>0</v>
      </c>
      <c r="I3730" t="n">
        <v>0</v>
      </c>
      <c r="J3730" t="n">
        <v>0</v>
      </c>
      <c r="K3730" t="n">
        <v>0</v>
      </c>
      <c r="L3730" t="n">
        <v>0</v>
      </c>
      <c r="M3730" t="n">
        <v>0</v>
      </c>
      <c r="N3730" t="n">
        <v>0</v>
      </c>
      <c r="O3730" t="n">
        <v>0</v>
      </c>
      <c r="P3730" t="n">
        <v>0</v>
      </c>
      <c r="Q3730" t="n">
        <v>0</v>
      </c>
      <c r="R3730" s="2" t="inlineStr"/>
    </row>
    <row r="3731" ht="15" customHeight="1">
      <c r="A3731" t="inlineStr">
        <is>
          <t>A 35373-2025</t>
        </is>
      </c>
      <c r="B3731" s="1" t="n">
        <v>45854.82798611111</v>
      </c>
      <c r="C3731" s="1" t="n">
        <v>46093</v>
      </c>
      <c r="D3731" t="inlineStr">
        <is>
          <t>VÄSTERNORRLANDS LÄN</t>
        </is>
      </c>
      <c r="E3731" t="inlineStr">
        <is>
          <t>KRAMFORS</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27952-2024</t>
        </is>
      </c>
      <c r="B3732" s="1" t="n">
        <v>45476.33063657407</v>
      </c>
      <c r="C3732" s="1" t="n">
        <v>46093</v>
      </c>
      <c r="D3732" t="inlineStr">
        <is>
          <t>VÄSTERNORRLANDS LÄN</t>
        </is>
      </c>
      <c r="E3732" t="inlineStr">
        <is>
          <t>ÅNGE</t>
        </is>
      </c>
      <c r="G3732" t="n">
        <v>12.2</v>
      </c>
      <c r="H3732" t="n">
        <v>0</v>
      </c>
      <c r="I3732" t="n">
        <v>0</v>
      </c>
      <c r="J3732" t="n">
        <v>0</v>
      </c>
      <c r="K3732" t="n">
        <v>0</v>
      </c>
      <c r="L3732" t="n">
        <v>0</v>
      </c>
      <c r="M3732" t="n">
        <v>0</v>
      </c>
      <c r="N3732" t="n">
        <v>0</v>
      </c>
      <c r="O3732" t="n">
        <v>0</v>
      </c>
      <c r="P3732" t="n">
        <v>0</v>
      </c>
      <c r="Q3732" t="n">
        <v>0</v>
      </c>
      <c r="R3732" s="2" t="inlineStr"/>
    </row>
    <row r="3733" ht="15" customHeight="1">
      <c r="A3733" t="inlineStr">
        <is>
          <t>A 39444-2025</t>
        </is>
      </c>
      <c r="B3733" s="1" t="n">
        <v>45889.69826388889</v>
      </c>
      <c r="C3733" s="1" t="n">
        <v>46093</v>
      </c>
      <c r="D3733" t="inlineStr">
        <is>
          <t>VÄSTERNORRLANDS LÄN</t>
        </is>
      </c>
      <c r="E3733" t="inlineStr">
        <is>
          <t>ÅNGE</t>
        </is>
      </c>
      <c r="F3733" t="inlineStr">
        <is>
          <t>SCA</t>
        </is>
      </c>
      <c r="G3733" t="n">
        <v>7.9</v>
      </c>
      <c r="H3733" t="n">
        <v>0</v>
      </c>
      <c r="I3733" t="n">
        <v>0</v>
      </c>
      <c r="J3733" t="n">
        <v>0</v>
      </c>
      <c r="K3733" t="n">
        <v>0</v>
      </c>
      <c r="L3733" t="n">
        <v>0</v>
      </c>
      <c r="M3733" t="n">
        <v>0</v>
      </c>
      <c r="N3733" t="n">
        <v>0</v>
      </c>
      <c r="O3733" t="n">
        <v>0</v>
      </c>
      <c r="P3733" t="n">
        <v>0</v>
      </c>
      <c r="Q3733" t="n">
        <v>0</v>
      </c>
      <c r="R3733" s="2" t="inlineStr"/>
    </row>
    <row r="3734" ht="15" customHeight="1">
      <c r="A3734" t="inlineStr">
        <is>
          <t>A 35394-2025</t>
        </is>
      </c>
      <c r="B3734" s="1" t="n">
        <v>45855.32358796296</v>
      </c>
      <c r="C3734" s="1" t="n">
        <v>46093</v>
      </c>
      <c r="D3734" t="inlineStr">
        <is>
          <t>VÄSTERNORRLANDS LÄN</t>
        </is>
      </c>
      <c r="E3734" t="inlineStr">
        <is>
          <t>KRAMFORS</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20451-2024</t>
        </is>
      </c>
      <c r="B3735" s="1" t="n">
        <v>45435.63512731482</v>
      </c>
      <c r="C3735" s="1" t="n">
        <v>46093</v>
      </c>
      <c r="D3735" t="inlineStr">
        <is>
          <t>VÄSTERNORRLANDS LÄN</t>
        </is>
      </c>
      <c r="E3735" t="inlineStr">
        <is>
          <t>ÖRNSKÖLDSVIK</t>
        </is>
      </c>
      <c r="F3735" t="inlineStr">
        <is>
          <t>Holmen skog AB</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32439-2024</t>
        </is>
      </c>
      <c r="B3736" s="1" t="n">
        <v>45512</v>
      </c>
      <c r="C3736" s="1" t="n">
        <v>46093</v>
      </c>
      <c r="D3736" t="inlineStr">
        <is>
          <t>VÄSTERNORRLANDS LÄN</t>
        </is>
      </c>
      <c r="E3736" t="inlineStr">
        <is>
          <t>ÅNGE</t>
        </is>
      </c>
      <c r="F3736" t="inlineStr">
        <is>
          <t>SCA</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45362-2023</t>
        </is>
      </c>
      <c r="B3737" s="1" t="n">
        <v>45192</v>
      </c>
      <c r="C3737" s="1" t="n">
        <v>46093</v>
      </c>
      <c r="D3737" t="inlineStr">
        <is>
          <t>VÄSTERNORRLANDS LÄN</t>
        </is>
      </c>
      <c r="E3737" t="inlineStr">
        <is>
          <t>ÖRNSKÖLDSVIK</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43985-2023</t>
        </is>
      </c>
      <c r="B3738" s="1" t="n">
        <v>45187</v>
      </c>
      <c r="C3738" s="1" t="n">
        <v>46093</v>
      </c>
      <c r="D3738" t="inlineStr">
        <is>
          <t>VÄSTERNORRLANDS LÄN</t>
        </is>
      </c>
      <c r="E3738" t="inlineStr">
        <is>
          <t>ÖRNSKÖLDSVIK</t>
        </is>
      </c>
      <c r="F3738" t="inlineStr">
        <is>
          <t>SCA</t>
        </is>
      </c>
      <c r="G3738" t="n">
        <v>15.7</v>
      </c>
      <c r="H3738" t="n">
        <v>0</v>
      </c>
      <c r="I3738" t="n">
        <v>0</v>
      </c>
      <c r="J3738" t="n">
        <v>0</v>
      </c>
      <c r="K3738" t="n">
        <v>0</v>
      </c>
      <c r="L3738" t="n">
        <v>0</v>
      </c>
      <c r="M3738" t="n">
        <v>0</v>
      </c>
      <c r="N3738" t="n">
        <v>0</v>
      </c>
      <c r="O3738" t="n">
        <v>0</v>
      </c>
      <c r="P3738" t="n">
        <v>0</v>
      </c>
      <c r="Q3738" t="n">
        <v>0</v>
      </c>
      <c r="R3738" s="2" t="inlineStr"/>
    </row>
    <row r="3739" ht="15" customHeight="1">
      <c r="A3739" t="inlineStr">
        <is>
          <t>A 26951-2024</t>
        </is>
      </c>
      <c r="B3739" s="1" t="n">
        <v>45470.96991898148</v>
      </c>
      <c r="C3739" s="1" t="n">
        <v>46093</v>
      </c>
      <c r="D3739" t="inlineStr">
        <is>
          <t>VÄSTERNORRLANDS LÄN</t>
        </is>
      </c>
      <c r="E3739" t="inlineStr">
        <is>
          <t>ÅNGE</t>
        </is>
      </c>
      <c r="F3739" t="inlineStr">
        <is>
          <t>SCA</t>
        </is>
      </c>
      <c r="G3739" t="n">
        <v>4.3</v>
      </c>
      <c r="H3739" t="n">
        <v>0</v>
      </c>
      <c r="I3739" t="n">
        <v>0</v>
      </c>
      <c r="J3739" t="n">
        <v>0</v>
      </c>
      <c r="K3739" t="n">
        <v>0</v>
      </c>
      <c r="L3739" t="n">
        <v>0</v>
      </c>
      <c r="M3739" t="n">
        <v>0</v>
      </c>
      <c r="N3739" t="n">
        <v>0</v>
      </c>
      <c r="O3739" t="n">
        <v>0</v>
      </c>
      <c r="P3739" t="n">
        <v>0</v>
      </c>
      <c r="Q3739" t="n">
        <v>0</v>
      </c>
      <c r="R3739" s="2" t="inlineStr"/>
    </row>
    <row r="3740" ht="15" customHeight="1">
      <c r="A3740" t="inlineStr">
        <is>
          <t>A 43994-2023</t>
        </is>
      </c>
      <c r="B3740" s="1" t="n">
        <v>45187</v>
      </c>
      <c r="C3740" s="1" t="n">
        <v>46093</v>
      </c>
      <c r="D3740" t="inlineStr">
        <is>
          <t>VÄSTERNORRLANDS LÄN</t>
        </is>
      </c>
      <c r="E3740" t="inlineStr">
        <is>
          <t>TIMRÅ</t>
        </is>
      </c>
      <c r="F3740" t="inlineStr">
        <is>
          <t>SCA</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26952-2024</t>
        </is>
      </c>
      <c r="B3741" s="1" t="n">
        <v>45470</v>
      </c>
      <c r="C3741" s="1" t="n">
        <v>46093</v>
      </c>
      <c r="D3741" t="inlineStr">
        <is>
          <t>VÄSTERNORRLANDS LÄN</t>
        </is>
      </c>
      <c r="E3741" t="inlineStr">
        <is>
          <t>ÅNGE</t>
        </is>
      </c>
      <c r="F3741" t="inlineStr">
        <is>
          <t>SCA</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39515-2025</t>
        </is>
      </c>
      <c r="B3742" s="1" t="n">
        <v>45890.42078703704</v>
      </c>
      <c r="C3742" s="1" t="n">
        <v>46093</v>
      </c>
      <c r="D3742" t="inlineStr">
        <is>
          <t>VÄSTERNORRLANDS LÄN</t>
        </is>
      </c>
      <c r="E3742" t="inlineStr">
        <is>
          <t>SOLLEFTEÅ</t>
        </is>
      </c>
      <c r="G3742" t="n">
        <v>5.3</v>
      </c>
      <c r="H3742" t="n">
        <v>0</v>
      </c>
      <c r="I3742" t="n">
        <v>0</v>
      </c>
      <c r="J3742" t="n">
        <v>0</v>
      </c>
      <c r="K3742" t="n">
        <v>0</v>
      </c>
      <c r="L3742" t="n">
        <v>0</v>
      </c>
      <c r="M3742" t="n">
        <v>0</v>
      </c>
      <c r="N3742" t="n">
        <v>0</v>
      </c>
      <c r="O3742" t="n">
        <v>0</v>
      </c>
      <c r="P3742" t="n">
        <v>0</v>
      </c>
      <c r="Q3742" t="n">
        <v>0</v>
      </c>
      <c r="R3742" s="2" t="inlineStr"/>
    </row>
    <row r="3743" ht="15" customHeight="1">
      <c r="A3743" t="inlineStr">
        <is>
          <t>A 27321-2024</t>
        </is>
      </c>
      <c r="B3743" s="1" t="n">
        <v>45471</v>
      </c>
      <c r="C3743" s="1" t="n">
        <v>46093</v>
      </c>
      <c r="D3743" t="inlineStr">
        <is>
          <t>VÄSTERNORRLANDS LÄN</t>
        </is>
      </c>
      <c r="E3743" t="inlineStr">
        <is>
          <t>ÅNGE</t>
        </is>
      </c>
      <c r="F3743" t="inlineStr">
        <is>
          <t>SCA</t>
        </is>
      </c>
      <c r="G3743" t="n">
        <v>14.1</v>
      </c>
      <c r="H3743" t="n">
        <v>0</v>
      </c>
      <c r="I3743" t="n">
        <v>0</v>
      </c>
      <c r="J3743" t="n">
        <v>0</v>
      </c>
      <c r="K3743" t="n">
        <v>0</v>
      </c>
      <c r="L3743" t="n">
        <v>0</v>
      </c>
      <c r="M3743" t="n">
        <v>0</v>
      </c>
      <c r="N3743" t="n">
        <v>0</v>
      </c>
      <c r="O3743" t="n">
        <v>0</v>
      </c>
      <c r="P3743" t="n">
        <v>0</v>
      </c>
      <c r="Q3743" t="n">
        <v>0</v>
      </c>
      <c r="R3743" s="2" t="inlineStr"/>
    </row>
    <row r="3744" ht="15" customHeight="1">
      <c r="A3744" t="inlineStr">
        <is>
          <t>A 37382-2021</t>
        </is>
      </c>
      <c r="B3744" s="1" t="n">
        <v>44397</v>
      </c>
      <c r="C3744" s="1" t="n">
        <v>46093</v>
      </c>
      <c r="D3744" t="inlineStr">
        <is>
          <t>VÄSTERNORRLANDS LÄN</t>
        </is>
      </c>
      <c r="E3744" t="inlineStr">
        <is>
          <t>ÅNGE</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50674-2023</t>
        </is>
      </c>
      <c r="B3745" s="1" t="n">
        <v>45210</v>
      </c>
      <c r="C3745" s="1" t="n">
        <v>46093</v>
      </c>
      <c r="D3745" t="inlineStr">
        <is>
          <t>VÄSTERNORRLANDS LÄN</t>
        </is>
      </c>
      <c r="E3745" t="inlineStr">
        <is>
          <t>SOLLEFTEÅ</t>
        </is>
      </c>
      <c r="G3745" t="n">
        <v>11.8</v>
      </c>
      <c r="H3745" t="n">
        <v>0</v>
      </c>
      <c r="I3745" t="n">
        <v>0</v>
      </c>
      <c r="J3745" t="n">
        <v>0</v>
      </c>
      <c r="K3745" t="n">
        <v>0</v>
      </c>
      <c r="L3745" t="n">
        <v>0</v>
      </c>
      <c r="M3745" t="n">
        <v>0</v>
      </c>
      <c r="N3745" t="n">
        <v>0</v>
      </c>
      <c r="O3745" t="n">
        <v>0</v>
      </c>
      <c r="P3745" t="n">
        <v>0</v>
      </c>
      <c r="Q3745" t="n">
        <v>0</v>
      </c>
      <c r="R3745" s="2" t="inlineStr"/>
    </row>
    <row r="3746" ht="15" customHeight="1">
      <c r="A3746" t="inlineStr">
        <is>
          <t>A 27668-2024</t>
        </is>
      </c>
      <c r="B3746" s="1" t="n">
        <v>45474.95435185185</v>
      </c>
      <c r="C3746" s="1" t="n">
        <v>46093</v>
      </c>
      <c r="D3746" t="inlineStr">
        <is>
          <t>VÄSTERNORRLANDS LÄN</t>
        </is>
      </c>
      <c r="E3746" t="inlineStr">
        <is>
          <t>ÅNGE</t>
        </is>
      </c>
      <c r="F3746" t="inlineStr">
        <is>
          <t>SCA</t>
        </is>
      </c>
      <c r="G3746" t="n">
        <v>5.5</v>
      </c>
      <c r="H3746" t="n">
        <v>0</v>
      </c>
      <c r="I3746" t="n">
        <v>0</v>
      </c>
      <c r="J3746" t="n">
        <v>0</v>
      </c>
      <c r="K3746" t="n">
        <v>0</v>
      </c>
      <c r="L3746" t="n">
        <v>0</v>
      </c>
      <c r="M3746" t="n">
        <v>0</v>
      </c>
      <c r="N3746" t="n">
        <v>0</v>
      </c>
      <c r="O3746" t="n">
        <v>0</v>
      </c>
      <c r="P3746" t="n">
        <v>0</v>
      </c>
      <c r="Q3746" t="n">
        <v>0</v>
      </c>
      <c r="R3746" s="2" t="inlineStr"/>
    </row>
    <row r="3747" ht="15" customHeight="1">
      <c r="A3747" t="inlineStr">
        <is>
          <t>A 23650-2025</t>
        </is>
      </c>
      <c r="B3747" s="1" t="n">
        <v>45792</v>
      </c>
      <c r="C3747" s="1" t="n">
        <v>46093</v>
      </c>
      <c r="D3747" t="inlineStr">
        <is>
          <t>VÄSTERNORRLANDS LÄN</t>
        </is>
      </c>
      <c r="E3747" t="inlineStr">
        <is>
          <t>SUNDSVALL</t>
        </is>
      </c>
      <c r="G3747" t="n">
        <v>0.2</v>
      </c>
      <c r="H3747" t="n">
        <v>0</v>
      </c>
      <c r="I3747" t="n">
        <v>0</v>
      </c>
      <c r="J3747" t="n">
        <v>0</v>
      </c>
      <c r="K3747" t="n">
        <v>0</v>
      </c>
      <c r="L3747" t="n">
        <v>0</v>
      </c>
      <c r="M3747" t="n">
        <v>0</v>
      </c>
      <c r="N3747" t="n">
        <v>0</v>
      </c>
      <c r="O3747" t="n">
        <v>0</v>
      </c>
      <c r="P3747" t="n">
        <v>0</v>
      </c>
      <c r="Q3747" t="n">
        <v>0</v>
      </c>
      <c r="R3747" s="2" t="inlineStr"/>
    </row>
    <row r="3748" ht="15" customHeight="1">
      <c r="A3748" t="inlineStr">
        <is>
          <t>A 60363-2024</t>
        </is>
      </c>
      <c r="B3748" s="1" t="n">
        <v>45643</v>
      </c>
      <c r="C3748" s="1" t="n">
        <v>46093</v>
      </c>
      <c r="D3748" t="inlineStr">
        <is>
          <t>VÄSTERNORRLANDS LÄN</t>
        </is>
      </c>
      <c r="E3748" t="inlineStr">
        <is>
          <t>ÅNGE</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51070-2024</t>
        </is>
      </c>
      <c r="B3749" s="1" t="n">
        <v>45603</v>
      </c>
      <c r="C3749" s="1" t="n">
        <v>46093</v>
      </c>
      <c r="D3749" t="inlineStr">
        <is>
          <t>VÄSTERNORRLANDS LÄN</t>
        </is>
      </c>
      <c r="E3749" t="inlineStr">
        <is>
          <t>ÅNGE</t>
        </is>
      </c>
      <c r="G3749" t="n">
        <v>11.1</v>
      </c>
      <c r="H3749" t="n">
        <v>0</v>
      </c>
      <c r="I3749" t="n">
        <v>0</v>
      </c>
      <c r="J3749" t="n">
        <v>0</v>
      </c>
      <c r="K3749" t="n">
        <v>0</v>
      </c>
      <c r="L3749" t="n">
        <v>0</v>
      </c>
      <c r="M3749" t="n">
        <v>0</v>
      </c>
      <c r="N3749" t="n">
        <v>0</v>
      </c>
      <c r="O3749" t="n">
        <v>0</v>
      </c>
      <c r="P3749" t="n">
        <v>0</v>
      </c>
      <c r="Q3749" t="n">
        <v>0</v>
      </c>
      <c r="R3749" s="2" t="inlineStr"/>
    </row>
    <row r="3750" ht="15" customHeight="1">
      <c r="A3750" t="inlineStr">
        <is>
          <t>A 50687-2023</t>
        </is>
      </c>
      <c r="B3750" s="1" t="n">
        <v>45210</v>
      </c>
      <c r="C3750" s="1" t="n">
        <v>46093</v>
      </c>
      <c r="D3750" t="inlineStr">
        <is>
          <t>VÄSTERNORRLANDS LÄN</t>
        </is>
      </c>
      <c r="E3750" t="inlineStr">
        <is>
          <t>ÖRNSKÖLDSVIK</t>
        </is>
      </c>
      <c r="G3750" t="n">
        <v>3.9</v>
      </c>
      <c r="H3750" t="n">
        <v>0</v>
      </c>
      <c r="I3750" t="n">
        <v>0</v>
      </c>
      <c r="J3750" t="n">
        <v>0</v>
      </c>
      <c r="K3750" t="n">
        <v>0</v>
      </c>
      <c r="L3750" t="n">
        <v>0</v>
      </c>
      <c r="M3750" t="n">
        <v>0</v>
      </c>
      <c r="N3750" t="n">
        <v>0</v>
      </c>
      <c r="O3750" t="n">
        <v>0</v>
      </c>
      <c r="P3750" t="n">
        <v>0</v>
      </c>
      <c r="Q3750" t="n">
        <v>0</v>
      </c>
      <c r="R3750" s="2" t="inlineStr"/>
    </row>
    <row r="3751" ht="15" customHeight="1">
      <c r="A3751" t="inlineStr">
        <is>
          <t>A 50688-2023</t>
        </is>
      </c>
      <c r="B3751" s="1" t="n">
        <v>45210</v>
      </c>
      <c r="C3751" s="1" t="n">
        <v>46093</v>
      </c>
      <c r="D3751" t="inlineStr">
        <is>
          <t>VÄSTERNORRLANDS LÄN</t>
        </is>
      </c>
      <c r="E3751" t="inlineStr">
        <is>
          <t>SOLLEFTEÅ</t>
        </is>
      </c>
      <c r="G3751" t="n">
        <v>15.6</v>
      </c>
      <c r="H3751" t="n">
        <v>0</v>
      </c>
      <c r="I3751" t="n">
        <v>0</v>
      </c>
      <c r="J3751" t="n">
        <v>0</v>
      </c>
      <c r="K3751" t="n">
        <v>0</v>
      </c>
      <c r="L3751" t="n">
        <v>0</v>
      </c>
      <c r="M3751" t="n">
        <v>0</v>
      </c>
      <c r="N3751" t="n">
        <v>0</v>
      </c>
      <c r="O3751" t="n">
        <v>0</v>
      </c>
      <c r="P3751" t="n">
        <v>0</v>
      </c>
      <c r="Q3751" t="n">
        <v>0</v>
      </c>
      <c r="R3751" s="2" t="inlineStr"/>
    </row>
    <row r="3752" ht="15" customHeight="1">
      <c r="A3752" t="inlineStr">
        <is>
          <t>A 30207-2024</t>
        </is>
      </c>
      <c r="B3752" s="1" t="n">
        <v>45488</v>
      </c>
      <c r="C3752" s="1" t="n">
        <v>46093</v>
      </c>
      <c r="D3752" t="inlineStr">
        <is>
          <t>VÄSTERNORRLANDS LÄN</t>
        </is>
      </c>
      <c r="E3752" t="inlineStr">
        <is>
          <t>ÖRNSKÖLDSVIK</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30209-2024</t>
        </is>
      </c>
      <c r="B3753" s="1" t="n">
        <v>45488</v>
      </c>
      <c r="C3753" s="1" t="n">
        <v>46093</v>
      </c>
      <c r="D3753" t="inlineStr">
        <is>
          <t>VÄSTERNORRLANDS LÄN</t>
        </is>
      </c>
      <c r="E3753" t="inlineStr">
        <is>
          <t>ÖRNSKÖLDSVIK</t>
        </is>
      </c>
      <c r="G3753" t="n">
        <v>2.7</v>
      </c>
      <c r="H3753" t="n">
        <v>0</v>
      </c>
      <c r="I3753" t="n">
        <v>0</v>
      </c>
      <c r="J3753" t="n">
        <v>0</v>
      </c>
      <c r="K3753" t="n">
        <v>0</v>
      </c>
      <c r="L3753" t="n">
        <v>0</v>
      </c>
      <c r="M3753" t="n">
        <v>0</v>
      </c>
      <c r="N3753" t="n">
        <v>0</v>
      </c>
      <c r="O3753" t="n">
        <v>0</v>
      </c>
      <c r="P3753" t="n">
        <v>0</v>
      </c>
      <c r="Q3753" t="n">
        <v>0</v>
      </c>
      <c r="R3753" s="2" t="inlineStr"/>
    </row>
    <row r="3754" ht="15" customHeight="1">
      <c r="A3754" t="inlineStr">
        <is>
          <t>A 63375-2023</t>
        </is>
      </c>
      <c r="B3754" s="1" t="n">
        <v>45273</v>
      </c>
      <c r="C3754" s="1" t="n">
        <v>46093</v>
      </c>
      <c r="D3754" t="inlineStr">
        <is>
          <t>VÄSTERNORRLANDS LÄN</t>
        </is>
      </c>
      <c r="E3754" t="inlineStr">
        <is>
          <t>HÄRNÖSAND</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60421-2024</t>
        </is>
      </c>
      <c r="B3755" s="1" t="n">
        <v>45643.53630787037</v>
      </c>
      <c r="C3755" s="1" t="n">
        <v>46093</v>
      </c>
      <c r="D3755" t="inlineStr">
        <is>
          <t>VÄSTERNORRLANDS LÄN</t>
        </is>
      </c>
      <c r="E3755" t="inlineStr">
        <is>
          <t>KRAMFORS</t>
        </is>
      </c>
      <c r="G3755" t="n">
        <v>8.1</v>
      </c>
      <c r="H3755" t="n">
        <v>0</v>
      </c>
      <c r="I3755" t="n">
        <v>0</v>
      </c>
      <c r="J3755" t="n">
        <v>0</v>
      </c>
      <c r="K3755" t="n">
        <v>0</v>
      </c>
      <c r="L3755" t="n">
        <v>0</v>
      </c>
      <c r="M3755" t="n">
        <v>0</v>
      </c>
      <c r="N3755" t="n">
        <v>0</v>
      </c>
      <c r="O3755" t="n">
        <v>0</v>
      </c>
      <c r="P3755" t="n">
        <v>0</v>
      </c>
      <c r="Q3755" t="n">
        <v>0</v>
      </c>
      <c r="R3755" s="2" t="inlineStr"/>
    </row>
    <row r="3756" ht="15" customHeight="1">
      <c r="A3756" t="inlineStr">
        <is>
          <t>A 39270-2025</t>
        </is>
      </c>
      <c r="B3756" s="1" t="n">
        <v>45889.38609953703</v>
      </c>
      <c r="C3756" s="1" t="n">
        <v>46093</v>
      </c>
      <c r="D3756" t="inlineStr">
        <is>
          <t>VÄSTERNORRLANDS LÄN</t>
        </is>
      </c>
      <c r="E3756" t="inlineStr">
        <is>
          <t>SOLLEFTEÅ</t>
        </is>
      </c>
      <c r="F3756" t="inlineStr">
        <is>
          <t>SCA</t>
        </is>
      </c>
      <c r="G3756" t="n">
        <v>2.6</v>
      </c>
      <c r="H3756" t="n">
        <v>0</v>
      </c>
      <c r="I3756" t="n">
        <v>0</v>
      </c>
      <c r="J3756" t="n">
        <v>0</v>
      </c>
      <c r="K3756" t="n">
        <v>0</v>
      </c>
      <c r="L3756" t="n">
        <v>0</v>
      </c>
      <c r="M3756" t="n">
        <v>0</v>
      </c>
      <c r="N3756" t="n">
        <v>0</v>
      </c>
      <c r="O3756" t="n">
        <v>0</v>
      </c>
      <c r="P3756" t="n">
        <v>0</v>
      </c>
      <c r="Q3756" t="n">
        <v>0</v>
      </c>
      <c r="R3756" s="2" t="inlineStr"/>
    </row>
    <row r="3757" ht="15" customHeight="1">
      <c r="A3757" t="inlineStr">
        <is>
          <t>A 28547-2024</t>
        </is>
      </c>
      <c r="B3757" s="1" t="n">
        <v>45478.35789351852</v>
      </c>
      <c r="C3757" s="1" t="n">
        <v>46093</v>
      </c>
      <c r="D3757" t="inlineStr">
        <is>
          <t>VÄSTERNORRLANDS LÄN</t>
        </is>
      </c>
      <c r="E3757" t="inlineStr">
        <is>
          <t>ÖRNSKÖLDSVIK</t>
        </is>
      </c>
      <c r="F3757" t="inlineStr">
        <is>
          <t>Holmen skog AB</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30298-2024</t>
        </is>
      </c>
      <c r="B3758" s="1" t="n">
        <v>45490</v>
      </c>
      <c r="C3758" s="1" t="n">
        <v>46093</v>
      </c>
      <c r="D3758" t="inlineStr">
        <is>
          <t>VÄSTERNORRLANDS LÄN</t>
        </is>
      </c>
      <c r="E3758" t="inlineStr">
        <is>
          <t>SUNDSVALL</t>
        </is>
      </c>
      <c r="F3758" t="inlineStr">
        <is>
          <t>Kommuner</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39286-2025</t>
        </is>
      </c>
      <c r="B3759" s="1" t="n">
        <v>45889.40690972222</v>
      </c>
      <c r="C3759" s="1" t="n">
        <v>46093</v>
      </c>
      <c r="D3759" t="inlineStr">
        <is>
          <t>VÄSTERNORRLANDS LÄN</t>
        </is>
      </c>
      <c r="E3759" t="inlineStr">
        <is>
          <t>SOLLEFTEÅ</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39214-2025</t>
        </is>
      </c>
      <c r="B3760" s="1" t="n">
        <v>45888.79541666667</v>
      </c>
      <c r="C3760" s="1" t="n">
        <v>46093</v>
      </c>
      <c r="D3760" t="inlineStr">
        <is>
          <t>VÄSTERNORRLANDS LÄN</t>
        </is>
      </c>
      <c r="E3760" t="inlineStr">
        <is>
          <t>ÖRNSKÖLDSVIK</t>
        </is>
      </c>
      <c r="G3760" t="n">
        <v>3</v>
      </c>
      <c r="H3760" t="n">
        <v>0</v>
      </c>
      <c r="I3760" t="n">
        <v>0</v>
      </c>
      <c r="J3760" t="n">
        <v>0</v>
      </c>
      <c r="K3760" t="n">
        <v>0</v>
      </c>
      <c r="L3760" t="n">
        <v>0</v>
      </c>
      <c r="M3760" t="n">
        <v>0</v>
      </c>
      <c r="N3760" t="n">
        <v>0</v>
      </c>
      <c r="O3760" t="n">
        <v>0</v>
      </c>
      <c r="P3760" t="n">
        <v>0</v>
      </c>
      <c r="Q3760" t="n">
        <v>0</v>
      </c>
      <c r="R3760" s="2" t="inlineStr"/>
    </row>
    <row r="3761" ht="15" customHeight="1">
      <c r="A3761" t="inlineStr">
        <is>
          <t>A 39667-2025</t>
        </is>
      </c>
      <c r="B3761" s="1" t="n">
        <v>45890.63642361111</v>
      </c>
      <c r="C3761" s="1" t="n">
        <v>46093</v>
      </c>
      <c r="D3761" t="inlineStr">
        <is>
          <t>VÄSTERNORRLANDS LÄN</t>
        </is>
      </c>
      <c r="E3761" t="inlineStr">
        <is>
          <t>HÄRNÖSAND</t>
        </is>
      </c>
      <c r="F3761" t="inlineStr">
        <is>
          <t>SCA</t>
        </is>
      </c>
      <c r="G3761" t="n">
        <v>6.7</v>
      </c>
      <c r="H3761" t="n">
        <v>0</v>
      </c>
      <c r="I3761" t="n">
        <v>0</v>
      </c>
      <c r="J3761" t="n">
        <v>0</v>
      </c>
      <c r="K3761" t="n">
        <v>0</v>
      </c>
      <c r="L3761" t="n">
        <v>0</v>
      </c>
      <c r="M3761" t="n">
        <v>0</v>
      </c>
      <c r="N3761" t="n">
        <v>0</v>
      </c>
      <c r="O3761" t="n">
        <v>0</v>
      </c>
      <c r="P3761" t="n">
        <v>0</v>
      </c>
      <c r="Q3761" t="n">
        <v>0</v>
      </c>
      <c r="R3761" s="2" t="inlineStr"/>
    </row>
    <row r="3762" ht="15" customHeight="1">
      <c r="A3762" t="inlineStr">
        <is>
          <t>A 60514-2024</t>
        </is>
      </c>
      <c r="B3762" s="1" t="n">
        <v>45643.67474537037</v>
      </c>
      <c r="C3762" s="1" t="n">
        <v>46093</v>
      </c>
      <c r="D3762" t="inlineStr">
        <is>
          <t>VÄSTERNORRLANDS LÄN</t>
        </is>
      </c>
      <c r="E3762" t="inlineStr">
        <is>
          <t>ÅNGE</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52724-2021</t>
        </is>
      </c>
      <c r="B3763" s="1" t="n">
        <v>44466.93547453704</v>
      </c>
      <c r="C3763" s="1" t="n">
        <v>46093</v>
      </c>
      <c r="D3763" t="inlineStr">
        <is>
          <t>VÄSTERNORRLANDS LÄN</t>
        </is>
      </c>
      <c r="E3763" t="inlineStr">
        <is>
          <t>KRAMFORS</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50745-2023</t>
        </is>
      </c>
      <c r="B3764" s="1" t="n">
        <v>45210</v>
      </c>
      <c r="C3764" s="1" t="n">
        <v>46093</v>
      </c>
      <c r="D3764" t="inlineStr">
        <is>
          <t>VÄSTERNORRLANDS LÄN</t>
        </is>
      </c>
      <c r="E3764" t="inlineStr">
        <is>
          <t>SOLLEFTEÅ</t>
        </is>
      </c>
      <c r="G3764" t="n">
        <v>3.8</v>
      </c>
      <c r="H3764" t="n">
        <v>0</v>
      </c>
      <c r="I3764" t="n">
        <v>0</v>
      </c>
      <c r="J3764" t="n">
        <v>0</v>
      </c>
      <c r="K3764" t="n">
        <v>0</v>
      </c>
      <c r="L3764" t="n">
        <v>0</v>
      </c>
      <c r="M3764" t="n">
        <v>0</v>
      </c>
      <c r="N3764" t="n">
        <v>0</v>
      </c>
      <c r="O3764" t="n">
        <v>0</v>
      </c>
      <c r="P3764" t="n">
        <v>0</v>
      </c>
      <c r="Q3764" t="n">
        <v>0</v>
      </c>
      <c r="R3764" s="2" t="inlineStr"/>
    </row>
    <row r="3765" ht="15" customHeight="1">
      <c r="A3765" t="inlineStr">
        <is>
          <t>A 55643-2021</t>
        </is>
      </c>
      <c r="B3765" s="1" t="n">
        <v>44475</v>
      </c>
      <c r="C3765" s="1" t="n">
        <v>46093</v>
      </c>
      <c r="D3765" t="inlineStr">
        <is>
          <t>VÄSTERNORRLANDS LÄN</t>
        </is>
      </c>
      <c r="E3765" t="inlineStr">
        <is>
          <t>SOLLEFTEÅ</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3081-2025</t>
        </is>
      </c>
      <c r="B3766" s="1" t="n">
        <v>45678.644375</v>
      </c>
      <c r="C3766" s="1" t="n">
        <v>46093</v>
      </c>
      <c r="D3766" t="inlineStr">
        <is>
          <t>VÄSTERNORRLANDS LÄN</t>
        </is>
      </c>
      <c r="E3766" t="inlineStr">
        <is>
          <t>SOLLEFTEÅ</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6063-2024</t>
        </is>
      </c>
      <c r="B3767" s="1" t="n">
        <v>45336.86584490741</v>
      </c>
      <c r="C3767" s="1" t="n">
        <v>46093</v>
      </c>
      <c r="D3767" t="inlineStr">
        <is>
          <t>VÄSTERNORRLANDS LÄN</t>
        </is>
      </c>
      <c r="E3767" t="inlineStr">
        <is>
          <t>SOLLEFTEÅ</t>
        </is>
      </c>
      <c r="F3767" t="inlineStr">
        <is>
          <t>Övriga Aktiebolag</t>
        </is>
      </c>
      <c r="G3767" t="n">
        <v>4.3</v>
      </c>
      <c r="H3767" t="n">
        <v>0</v>
      </c>
      <c r="I3767" t="n">
        <v>0</v>
      </c>
      <c r="J3767" t="n">
        <v>0</v>
      </c>
      <c r="K3767" t="n">
        <v>0</v>
      </c>
      <c r="L3767" t="n">
        <v>0</v>
      </c>
      <c r="M3767" t="n">
        <v>0</v>
      </c>
      <c r="N3767" t="n">
        <v>0</v>
      </c>
      <c r="O3767" t="n">
        <v>0</v>
      </c>
      <c r="P3767" t="n">
        <v>0</v>
      </c>
      <c r="Q3767" t="n">
        <v>0</v>
      </c>
      <c r="R3767" s="2" t="inlineStr"/>
    </row>
    <row r="3768" ht="15" customHeight="1">
      <c r="A3768" t="inlineStr">
        <is>
          <t>A 29181-2025</t>
        </is>
      </c>
      <c r="B3768" s="1" t="n">
        <v>45821</v>
      </c>
      <c r="C3768" s="1" t="n">
        <v>46093</v>
      </c>
      <c r="D3768" t="inlineStr">
        <is>
          <t>VÄSTERNORRLANDS LÄN</t>
        </is>
      </c>
      <c r="E3768" t="inlineStr">
        <is>
          <t>ÖRNSKÖLDSVIK</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39417-2025</t>
        </is>
      </c>
      <c r="B3769" s="1" t="n">
        <v>45889.65730324074</v>
      </c>
      <c r="C3769" s="1" t="n">
        <v>46093</v>
      </c>
      <c r="D3769" t="inlineStr">
        <is>
          <t>VÄSTERNORRLANDS LÄN</t>
        </is>
      </c>
      <c r="E3769" t="inlineStr">
        <is>
          <t>SUNDSVALL</t>
        </is>
      </c>
      <c r="F3769" t="inlineStr">
        <is>
          <t>SCA</t>
        </is>
      </c>
      <c r="G3769" t="n">
        <v>6.2</v>
      </c>
      <c r="H3769" t="n">
        <v>0</v>
      </c>
      <c r="I3769" t="n">
        <v>0</v>
      </c>
      <c r="J3769" t="n">
        <v>0</v>
      </c>
      <c r="K3769" t="n">
        <v>0</v>
      </c>
      <c r="L3769" t="n">
        <v>0</v>
      </c>
      <c r="M3769" t="n">
        <v>0</v>
      </c>
      <c r="N3769" t="n">
        <v>0</v>
      </c>
      <c r="O3769" t="n">
        <v>0</v>
      </c>
      <c r="P3769" t="n">
        <v>0</v>
      </c>
      <c r="Q3769" t="n">
        <v>0</v>
      </c>
      <c r="R3769" s="2" t="inlineStr"/>
    </row>
    <row r="3770" ht="15" customHeight="1">
      <c r="A3770" t="inlineStr">
        <is>
          <t>A 39475-2025</t>
        </is>
      </c>
      <c r="B3770" s="1" t="n">
        <v>45890.34447916667</v>
      </c>
      <c r="C3770" s="1" t="n">
        <v>46093</v>
      </c>
      <c r="D3770" t="inlineStr">
        <is>
          <t>VÄSTERNORRLANDS LÄN</t>
        </is>
      </c>
      <c r="E3770" t="inlineStr">
        <is>
          <t>SOLLEFTEÅ</t>
        </is>
      </c>
      <c r="F3770" t="inlineStr">
        <is>
          <t>SCA</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4915-2023</t>
        </is>
      </c>
      <c r="B3771" s="1" t="n">
        <v>44958.39085648148</v>
      </c>
      <c r="C3771" s="1" t="n">
        <v>46093</v>
      </c>
      <c r="D3771" t="inlineStr">
        <is>
          <t>VÄSTERNORRLANDS LÄN</t>
        </is>
      </c>
      <c r="E3771" t="inlineStr">
        <is>
          <t>KRAMFORS</t>
        </is>
      </c>
      <c r="G3771" t="n">
        <v>5.1</v>
      </c>
      <c r="H3771" t="n">
        <v>0</v>
      </c>
      <c r="I3771" t="n">
        <v>0</v>
      </c>
      <c r="J3771" t="n">
        <v>0</v>
      </c>
      <c r="K3771" t="n">
        <v>0</v>
      </c>
      <c r="L3771" t="n">
        <v>0</v>
      </c>
      <c r="M3771" t="n">
        <v>0</v>
      </c>
      <c r="N3771" t="n">
        <v>0</v>
      </c>
      <c r="O3771" t="n">
        <v>0</v>
      </c>
      <c r="P3771" t="n">
        <v>0</v>
      </c>
      <c r="Q3771" t="n">
        <v>0</v>
      </c>
      <c r="R3771" s="2" t="inlineStr"/>
    </row>
    <row r="3772" ht="15" customHeight="1">
      <c r="A3772" t="inlineStr">
        <is>
          <t>A 19892-2025</t>
        </is>
      </c>
      <c r="B3772" s="1" t="n">
        <v>45771.57461805556</v>
      </c>
      <c r="C3772" s="1" t="n">
        <v>46093</v>
      </c>
      <c r="D3772" t="inlineStr">
        <is>
          <t>VÄSTERNORRLANDS LÄN</t>
        </is>
      </c>
      <c r="E3772" t="inlineStr">
        <is>
          <t>SOLLEFTEÅ</t>
        </is>
      </c>
      <c r="F3772" t="inlineStr">
        <is>
          <t>SCA</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19931-2025</t>
        </is>
      </c>
      <c r="B3773" s="1" t="n">
        <v>45771.63728009259</v>
      </c>
      <c r="C3773" s="1" t="n">
        <v>46093</v>
      </c>
      <c r="D3773" t="inlineStr">
        <is>
          <t>VÄSTERNORRLANDS LÄN</t>
        </is>
      </c>
      <c r="E3773" t="inlineStr">
        <is>
          <t>ÖRNSKÖLDSVIK</t>
        </is>
      </c>
      <c r="F3773" t="inlineStr">
        <is>
          <t>Holmen skog AB</t>
        </is>
      </c>
      <c r="G3773" t="n">
        <v>15.1</v>
      </c>
      <c r="H3773" t="n">
        <v>0</v>
      </c>
      <c r="I3773" t="n">
        <v>0</v>
      </c>
      <c r="J3773" t="n">
        <v>0</v>
      </c>
      <c r="K3773" t="n">
        <v>0</v>
      </c>
      <c r="L3773" t="n">
        <v>0</v>
      </c>
      <c r="M3773" t="n">
        <v>0</v>
      </c>
      <c r="N3773" t="n">
        <v>0</v>
      </c>
      <c r="O3773" t="n">
        <v>0</v>
      </c>
      <c r="P3773" t="n">
        <v>0</v>
      </c>
      <c r="Q3773" t="n">
        <v>0</v>
      </c>
      <c r="R3773" s="2" t="inlineStr"/>
    </row>
    <row r="3774" ht="15" customHeight="1">
      <c r="A3774" t="inlineStr">
        <is>
          <t>A 60757-2023</t>
        </is>
      </c>
      <c r="B3774" s="1" t="n">
        <v>45260</v>
      </c>
      <c r="C3774" s="1" t="n">
        <v>46093</v>
      </c>
      <c r="D3774" t="inlineStr">
        <is>
          <t>VÄSTERNORRLANDS LÄN</t>
        </is>
      </c>
      <c r="E3774" t="inlineStr">
        <is>
          <t>ÖRNSKÖLDSVIK</t>
        </is>
      </c>
      <c r="G3774" t="n">
        <v>3.7</v>
      </c>
      <c r="H3774" t="n">
        <v>0</v>
      </c>
      <c r="I3774" t="n">
        <v>0</v>
      </c>
      <c r="J3774" t="n">
        <v>0</v>
      </c>
      <c r="K3774" t="n">
        <v>0</v>
      </c>
      <c r="L3774" t="n">
        <v>0</v>
      </c>
      <c r="M3774" t="n">
        <v>0</v>
      </c>
      <c r="N3774" t="n">
        <v>0</v>
      </c>
      <c r="O3774" t="n">
        <v>0</v>
      </c>
      <c r="P3774" t="n">
        <v>0</v>
      </c>
      <c r="Q3774" t="n">
        <v>0</v>
      </c>
      <c r="R3774" s="2" t="inlineStr"/>
    </row>
    <row r="3775" ht="15" customHeight="1">
      <c r="A3775" t="inlineStr">
        <is>
          <t>A 55913-2022</t>
        </is>
      </c>
      <c r="B3775" s="1" t="n">
        <v>44889</v>
      </c>
      <c r="C3775" s="1" t="n">
        <v>46093</v>
      </c>
      <c r="D3775" t="inlineStr">
        <is>
          <t>VÄSTERNORRLANDS LÄN</t>
        </is>
      </c>
      <c r="E3775" t="inlineStr">
        <is>
          <t>ÖRNSKÖLDSVIK</t>
        </is>
      </c>
      <c r="G3775" t="n">
        <v>3.6</v>
      </c>
      <c r="H3775" t="n">
        <v>0</v>
      </c>
      <c r="I3775" t="n">
        <v>0</v>
      </c>
      <c r="J3775" t="n">
        <v>0</v>
      </c>
      <c r="K3775" t="n">
        <v>0</v>
      </c>
      <c r="L3775" t="n">
        <v>0</v>
      </c>
      <c r="M3775" t="n">
        <v>0</v>
      </c>
      <c r="N3775" t="n">
        <v>0</v>
      </c>
      <c r="O3775" t="n">
        <v>0</v>
      </c>
      <c r="P3775" t="n">
        <v>0</v>
      </c>
      <c r="Q3775" t="n">
        <v>0</v>
      </c>
      <c r="R3775" s="2" t="inlineStr"/>
    </row>
    <row r="3776" ht="15" customHeight="1">
      <c r="A3776" t="inlineStr">
        <is>
          <t>A 10986-2022</t>
        </is>
      </c>
      <c r="B3776" s="1" t="n">
        <v>44628</v>
      </c>
      <c r="C3776" s="1" t="n">
        <v>46093</v>
      </c>
      <c r="D3776" t="inlineStr">
        <is>
          <t>VÄSTERNORRLANDS LÄN</t>
        </is>
      </c>
      <c r="E3776" t="inlineStr">
        <is>
          <t>SUNDSVALL</t>
        </is>
      </c>
      <c r="G3776" t="n">
        <v>4</v>
      </c>
      <c r="H3776" t="n">
        <v>0</v>
      </c>
      <c r="I3776" t="n">
        <v>0</v>
      </c>
      <c r="J3776" t="n">
        <v>0</v>
      </c>
      <c r="K3776" t="n">
        <v>0</v>
      </c>
      <c r="L3776" t="n">
        <v>0</v>
      </c>
      <c r="M3776" t="n">
        <v>0</v>
      </c>
      <c r="N3776" t="n">
        <v>0</v>
      </c>
      <c r="O3776" t="n">
        <v>0</v>
      </c>
      <c r="P3776" t="n">
        <v>0</v>
      </c>
      <c r="Q3776" t="n">
        <v>0</v>
      </c>
      <c r="R3776" s="2" t="inlineStr"/>
    </row>
    <row r="3777" ht="15" customHeight="1">
      <c r="A3777" t="inlineStr">
        <is>
          <t>A 1116-2023</t>
        </is>
      </c>
      <c r="B3777" s="1" t="n">
        <v>44929</v>
      </c>
      <c r="C3777" s="1" t="n">
        <v>46093</v>
      </c>
      <c r="D3777" t="inlineStr">
        <is>
          <t>VÄSTERNORRLANDS LÄN</t>
        </is>
      </c>
      <c r="E3777" t="inlineStr">
        <is>
          <t>ÅNGE</t>
        </is>
      </c>
      <c r="G3777" t="n">
        <v>17.2</v>
      </c>
      <c r="H3777" t="n">
        <v>0</v>
      </c>
      <c r="I3777" t="n">
        <v>0</v>
      </c>
      <c r="J3777" t="n">
        <v>0</v>
      </c>
      <c r="K3777" t="n">
        <v>0</v>
      </c>
      <c r="L3777" t="n">
        <v>0</v>
      </c>
      <c r="M3777" t="n">
        <v>0</v>
      </c>
      <c r="N3777" t="n">
        <v>0</v>
      </c>
      <c r="O3777" t="n">
        <v>0</v>
      </c>
      <c r="P3777" t="n">
        <v>0</v>
      </c>
      <c r="Q3777" t="n">
        <v>0</v>
      </c>
      <c r="R3777" s="2" t="inlineStr"/>
    </row>
    <row r="3778" ht="15" customHeight="1">
      <c r="A3778" t="inlineStr">
        <is>
          <t>A 11117-2022</t>
        </is>
      </c>
      <c r="B3778" s="1" t="n">
        <v>44628.94248842593</v>
      </c>
      <c r="C3778" s="1" t="n">
        <v>46093</v>
      </c>
      <c r="D3778" t="inlineStr">
        <is>
          <t>VÄSTERNORRLANDS LÄN</t>
        </is>
      </c>
      <c r="E3778" t="inlineStr">
        <is>
          <t>SOLLEFTEÅ</t>
        </is>
      </c>
      <c r="F3778" t="inlineStr">
        <is>
          <t>SCA</t>
        </is>
      </c>
      <c r="G3778" t="n">
        <v>3.4</v>
      </c>
      <c r="H3778" t="n">
        <v>0</v>
      </c>
      <c r="I3778" t="n">
        <v>0</v>
      </c>
      <c r="J3778" t="n">
        <v>0</v>
      </c>
      <c r="K3778" t="n">
        <v>0</v>
      </c>
      <c r="L3778" t="n">
        <v>0</v>
      </c>
      <c r="M3778" t="n">
        <v>0</v>
      </c>
      <c r="N3778" t="n">
        <v>0</v>
      </c>
      <c r="O3778" t="n">
        <v>0</v>
      </c>
      <c r="P3778" t="n">
        <v>0</v>
      </c>
      <c r="Q3778" t="n">
        <v>0</v>
      </c>
      <c r="R3778" s="2" t="inlineStr"/>
    </row>
    <row r="3779" ht="15" customHeight="1">
      <c r="A3779" t="inlineStr">
        <is>
          <t>A 57888-2023</t>
        </is>
      </c>
      <c r="B3779" s="1" t="n">
        <v>45247</v>
      </c>
      <c r="C3779" s="1" t="n">
        <v>46093</v>
      </c>
      <c r="D3779" t="inlineStr">
        <is>
          <t>VÄSTERNORRLANDS LÄN</t>
        </is>
      </c>
      <c r="E3779" t="inlineStr">
        <is>
          <t>ÖRNSKÖLDSVIK</t>
        </is>
      </c>
      <c r="F3779" t="inlineStr">
        <is>
          <t>Holmen skog AB</t>
        </is>
      </c>
      <c r="G3779" t="n">
        <v>2.9</v>
      </c>
      <c r="H3779" t="n">
        <v>0</v>
      </c>
      <c r="I3779" t="n">
        <v>0</v>
      </c>
      <c r="J3779" t="n">
        <v>0</v>
      </c>
      <c r="K3779" t="n">
        <v>0</v>
      </c>
      <c r="L3779" t="n">
        <v>0</v>
      </c>
      <c r="M3779" t="n">
        <v>0</v>
      </c>
      <c r="N3779" t="n">
        <v>0</v>
      </c>
      <c r="O3779" t="n">
        <v>0</v>
      </c>
      <c r="P3779" t="n">
        <v>0</v>
      </c>
      <c r="Q3779" t="n">
        <v>0</v>
      </c>
      <c r="R3779" s="2" t="inlineStr"/>
    </row>
    <row r="3780" ht="15" customHeight="1">
      <c r="A3780" t="inlineStr">
        <is>
          <t>A 39287-2025</t>
        </is>
      </c>
      <c r="B3780" s="1" t="n">
        <v>45889.40693287037</v>
      </c>
      <c r="C3780" s="1" t="n">
        <v>46093</v>
      </c>
      <c r="D3780" t="inlineStr">
        <is>
          <t>VÄSTERNORRLANDS LÄN</t>
        </is>
      </c>
      <c r="E3780" t="inlineStr">
        <is>
          <t>SOLLEFTEÅ</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63916-2023</t>
        </is>
      </c>
      <c r="B3781" s="1" t="n">
        <v>45278</v>
      </c>
      <c r="C3781" s="1" t="n">
        <v>46093</v>
      </c>
      <c r="D3781" t="inlineStr">
        <is>
          <t>VÄSTERNORRLANDS LÄN</t>
        </is>
      </c>
      <c r="E3781" t="inlineStr">
        <is>
          <t>ÖRNSKÖLDSVIK</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39620-2025</t>
        </is>
      </c>
      <c r="B3782" s="1" t="n">
        <v>45890.57363425926</v>
      </c>
      <c r="C3782" s="1" t="n">
        <v>46093</v>
      </c>
      <c r="D3782" t="inlineStr">
        <is>
          <t>VÄSTERNORRLANDS LÄN</t>
        </is>
      </c>
      <c r="E3782" t="inlineStr">
        <is>
          <t>SUNDSVALL</t>
        </is>
      </c>
      <c r="F3782" t="inlineStr">
        <is>
          <t>SCA</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32391-2024</t>
        </is>
      </c>
      <c r="B3783" s="1" t="n">
        <v>45512.64163194445</v>
      </c>
      <c r="C3783" s="1" t="n">
        <v>46093</v>
      </c>
      <c r="D3783" t="inlineStr">
        <is>
          <t>VÄSTERNORRLANDS LÄN</t>
        </is>
      </c>
      <c r="E3783" t="inlineStr">
        <is>
          <t>SUNDSVALL</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52537-2024</t>
        </is>
      </c>
      <c r="B3784" s="1" t="n">
        <v>45609.6225462963</v>
      </c>
      <c r="C3784" s="1" t="n">
        <v>46093</v>
      </c>
      <c r="D3784" t="inlineStr">
        <is>
          <t>VÄSTERNORRLANDS LÄN</t>
        </is>
      </c>
      <c r="E3784" t="inlineStr">
        <is>
          <t>ÖRNSKÖLDSVIK</t>
        </is>
      </c>
      <c r="F3784" t="inlineStr">
        <is>
          <t>Holmen skog AB</t>
        </is>
      </c>
      <c r="G3784" t="n">
        <v>5.2</v>
      </c>
      <c r="H3784" t="n">
        <v>0</v>
      </c>
      <c r="I3784" t="n">
        <v>0</v>
      </c>
      <c r="J3784" t="n">
        <v>0</v>
      </c>
      <c r="K3784" t="n">
        <v>0</v>
      </c>
      <c r="L3784" t="n">
        <v>0</v>
      </c>
      <c r="M3784" t="n">
        <v>0</v>
      </c>
      <c r="N3784" t="n">
        <v>0</v>
      </c>
      <c r="O3784" t="n">
        <v>0</v>
      </c>
      <c r="P3784" t="n">
        <v>0</v>
      </c>
      <c r="Q3784" t="n">
        <v>0</v>
      </c>
      <c r="R3784" s="2" t="inlineStr"/>
    </row>
    <row r="3785" ht="15" customHeight="1">
      <c r="A3785" t="inlineStr">
        <is>
          <t>A 30100-2025</t>
        </is>
      </c>
      <c r="B3785" s="1" t="n">
        <v>45826.67935185185</v>
      </c>
      <c r="C3785" s="1" t="n">
        <v>46093</v>
      </c>
      <c r="D3785" t="inlineStr">
        <is>
          <t>VÄSTERNORRLANDS LÄN</t>
        </is>
      </c>
      <c r="E3785" t="inlineStr">
        <is>
          <t>ÖRNSKÖLDSVIK</t>
        </is>
      </c>
      <c r="G3785" t="n">
        <v>3.9</v>
      </c>
      <c r="H3785" t="n">
        <v>0</v>
      </c>
      <c r="I3785" t="n">
        <v>0</v>
      </c>
      <c r="J3785" t="n">
        <v>0</v>
      </c>
      <c r="K3785" t="n">
        <v>0</v>
      </c>
      <c r="L3785" t="n">
        <v>0</v>
      </c>
      <c r="M3785" t="n">
        <v>0</v>
      </c>
      <c r="N3785" t="n">
        <v>0</v>
      </c>
      <c r="O3785" t="n">
        <v>0</v>
      </c>
      <c r="P3785" t="n">
        <v>0</v>
      </c>
      <c r="Q3785" t="n">
        <v>0</v>
      </c>
      <c r="R3785" s="2" t="inlineStr"/>
    </row>
    <row r="3786" ht="15" customHeight="1">
      <c r="A3786" t="inlineStr">
        <is>
          <t>A 54339-2021</t>
        </is>
      </c>
      <c r="B3786" s="1" t="n">
        <v>44473.03760416667</v>
      </c>
      <c r="C3786" s="1" t="n">
        <v>46093</v>
      </c>
      <c r="D3786" t="inlineStr">
        <is>
          <t>VÄSTERNORRLANDS LÄN</t>
        </is>
      </c>
      <c r="E3786" t="inlineStr">
        <is>
          <t>ÖRNSKÖLDSVIK</t>
        </is>
      </c>
      <c r="G3786" t="n">
        <v>9.6</v>
      </c>
      <c r="H3786" t="n">
        <v>0</v>
      </c>
      <c r="I3786" t="n">
        <v>0</v>
      </c>
      <c r="J3786" t="n">
        <v>0</v>
      </c>
      <c r="K3786" t="n">
        <v>0</v>
      </c>
      <c r="L3786" t="n">
        <v>0</v>
      </c>
      <c r="M3786" t="n">
        <v>0</v>
      </c>
      <c r="N3786" t="n">
        <v>0</v>
      </c>
      <c r="O3786" t="n">
        <v>0</v>
      </c>
      <c r="P3786" t="n">
        <v>0</v>
      </c>
      <c r="Q3786" t="n">
        <v>0</v>
      </c>
      <c r="R3786" s="2" t="inlineStr"/>
    </row>
    <row r="3787" ht="15" customHeight="1">
      <c r="A3787" t="inlineStr">
        <is>
          <t>A 26030-2024</t>
        </is>
      </c>
      <c r="B3787" s="1" t="n">
        <v>45467.96278935186</v>
      </c>
      <c r="C3787" s="1" t="n">
        <v>46093</v>
      </c>
      <c r="D3787" t="inlineStr">
        <is>
          <t>VÄSTERNORRLANDS LÄN</t>
        </is>
      </c>
      <c r="E3787" t="inlineStr">
        <is>
          <t>SUNDSVALL</t>
        </is>
      </c>
      <c r="F3787" t="inlineStr">
        <is>
          <t>SCA</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42833-2024</t>
        </is>
      </c>
      <c r="B3788" s="1" t="n">
        <v>45566.6171875</v>
      </c>
      <c r="C3788" s="1" t="n">
        <v>46093</v>
      </c>
      <c r="D3788" t="inlineStr">
        <is>
          <t>VÄSTERNORRLANDS LÄN</t>
        </is>
      </c>
      <c r="E3788" t="inlineStr">
        <is>
          <t>SUNDSVALL</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26031-2024</t>
        </is>
      </c>
      <c r="B3789" s="1" t="n">
        <v>45467</v>
      </c>
      <c r="C3789" s="1" t="n">
        <v>46093</v>
      </c>
      <c r="D3789" t="inlineStr">
        <is>
          <t>VÄSTERNORRLANDS LÄN</t>
        </is>
      </c>
      <c r="E3789" t="inlineStr">
        <is>
          <t>SUNDSVALL</t>
        </is>
      </c>
      <c r="F3789" t="inlineStr">
        <is>
          <t>SCA</t>
        </is>
      </c>
      <c r="G3789" t="n">
        <v>4.8</v>
      </c>
      <c r="H3789" t="n">
        <v>0</v>
      </c>
      <c r="I3789" t="n">
        <v>0</v>
      </c>
      <c r="J3789" t="n">
        <v>0</v>
      </c>
      <c r="K3789" t="n">
        <v>0</v>
      </c>
      <c r="L3789" t="n">
        <v>0</v>
      </c>
      <c r="M3789" t="n">
        <v>0</v>
      </c>
      <c r="N3789" t="n">
        <v>0</v>
      </c>
      <c r="O3789" t="n">
        <v>0</v>
      </c>
      <c r="P3789" t="n">
        <v>0</v>
      </c>
      <c r="Q3789" t="n">
        <v>0</v>
      </c>
      <c r="R3789" s="2" t="inlineStr"/>
    </row>
    <row r="3790" ht="15" customHeight="1">
      <c r="A3790" t="inlineStr">
        <is>
          <t>A 26055-2024</t>
        </is>
      </c>
      <c r="B3790" s="1" t="n">
        <v>45468.34605324074</v>
      </c>
      <c r="C3790" s="1" t="n">
        <v>46093</v>
      </c>
      <c r="D3790" t="inlineStr">
        <is>
          <t>VÄSTERNORRLANDS LÄN</t>
        </is>
      </c>
      <c r="E3790" t="inlineStr">
        <is>
          <t>ÖRNSKÖLDSVIK</t>
        </is>
      </c>
      <c r="G3790" t="n">
        <v>3.5</v>
      </c>
      <c r="H3790" t="n">
        <v>0</v>
      </c>
      <c r="I3790" t="n">
        <v>0</v>
      </c>
      <c r="J3790" t="n">
        <v>0</v>
      </c>
      <c r="K3790" t="n">
        <v>0</v>
      </c>
      <c r="L3790" t="n">
        <v>0</v>
      </c>
      <c r="M3790" t="n">
        <v>0</v>
      </c>
      <c r="N3790" t="n">
        <v>0</v>
      </c>
      <c r="O3790" t="n">
        <v>0</v>
      </c>
      <c r="P3790" t="n">
        <v>0</v>
      </c>
      <c r="Q3790" t="n">
        <v>0</v>
      </c>
      <c r="R3790" s="2" t="inlineStr"/>
    </row>
    <row r="3791" ht="15" customHeight="1">
      <c r="A3791" t="inlineStr">
        <is>
          <t>A 41979-2023</t>
        </is>
      </c>
      <c r="B3791" s="1" t="n">
        <v>45177.39858796296</v>
      </c>
      <c r="C3791" s="1" t="n">
        <v>46093</v>
      </c>
      <c r="D3791" t="inlineStr">
        <is>
          <t>VÄSTERNORRLANDS LÄN</t>
        </is>
      </c>
      <c r="E3791" t="inlineStr">
        <is>
          <t>ÖRNSKÖLDSVIK</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39619-2025</t>
        </is>
      </c>
      <c r="B3792" s="1" t="n">
        <v>45890.57347222222</v>
      </c>
      <c r="C3792" s="1" t="n">
        <v>46093</v>
      </c>
      <c r="D3792" t="inlineStr">
        <is>
          <t>VÄSTERNORRLANDS LÄN</t>
        </is>
      </c>
      <c r="E3792" t="inlineStr">
        <is>
          <t>SOLLEFTEÅ</t>
        </is>
      </c>
      <c r="F3792" t="inlineStr">
        <is>
          <t>SCA</t>
        </is>
      </c>
      <c r="G3792" t="n">
        <v>6.6</v>
      </c>
      <c r="H3792" t="n">
        <v>0</v>
      </c>
      <c r="I3792" t="n">
        <v>0</v>
      </c>
      <c r="J3792" t="n">
        <v>0</v>
      </c>
      <c r="K3792" t="n">
        <v>0</v>
      </c>
      <c r="L3792" t="n">
        <v>0</v>
      </c>
      <c r="M3792" t="n">
        <v>0</v>
      </c>
      <c r="N3792" t="n">
        <v>0</v>
      </c>
      <c r="O3792" t="n">
        <v>0</v>
      </c>
      <c r="P3792" t="n">
        <v>0</v>
      </c>
      <c r="Q3792" t="n">
        <v>0</v>
      </c>
      <c r="R3792" s="2" t="inlineStr"/>
    </row>
    <row r="3793" ht="15" customHeight="1">
      <c r="A3793" t="inlineStr">
        <is>
          <t>A 52665-2024</t>
        </is>
      </c>
      <c r="B3793" s="1" t="n">
        <v>45610.36549768518</v>
      </c>
      <c r="C3793" s="1" t="n">
        <v>46093</v>
      </c>
      <c r="D3793" t="inlineStr">
        <is>
          <t>VÄSTERNORRLANDS LÄN</t>
        </is>
      </c>
      <c r="E3793" t="inlineStr">
        <is>
          <t>ÅNGE</t>
        </is>
      </c>
      <c r="F3793" t="inlineStr">
        <is>
          <t>SCA</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52719-2024</t>
        </is>
      </c>
      <c r="B3794" s="1" t="n">
        <v>45610.43710648148</v>
      </c>
      <c r="C3794" s="1" t="n">
        <v>46093</v>
      </c>
      <c r="D3794" t="inlineStr">
        <is>
          <t>VÄSTERNORRLANDS LÄN</t>
        </is>
      </c>
      <c r="E3794" t="inlineStr">
        <is>
          <t>ÖRNSKÖLDSVIK</t>
        </is>
      </c>
      <c r="F3794" t="inlineStr">
        <is>
          <t>Holmen skog AB</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4648-2023</t>
        </is>
      </c>
      <c r="B3795" s="1" t="n">
        <v>44952</v>
      </c>
      <c r="C3795" s="1" t="n">
        <v>46093</v>
      </c>
      <c r="D3795" t="inlineStr">
        <is>
          <t>VÄSTERNORRLANDS LÄN</t>
        </is>
      </c>
      <c r="E3795" t="inlineStr">
        <is>
          <t>HÄRNÖSAND</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39650-2025</t>
        </is>
      </c>
      <c r="B3796" s="1" t="n">
        <v>45890.615625</v>
      </c>
      <c r="C3796" s="1" t="n">
        <v>46093</v>
      </c>
      <c r="D3796" t="inlineStr">
        <is>
          <t>VÄSTERNORRLANDS LÄN</t>
        </is>
      </c>
      <c r="E3796" t="inlineStr">
        <is>
          <t>ÖRNSKÖLDSVIK</t>
        </is>
      </c>
      <c r="F3796" t="inlineStr">
        <is>
          <t>Holmen skog AB</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57010-2023</t>
        </is>
      </c>
      <c r="B3797" s="1" t="n">
        <v>45239</v>
      </c>
      <c r="C3797" s="1" t="n">
        <v>46093</v>
      </c>
      <c r="D3797" t="inlineStr">
        <is>
          <t>VÄSTERNORRLANDS LÄN</t>
        </is>
      </c>
      <c r="E3797" t="inlineStr">
        <is>
          <t>SOLLEFTEÅ</t>
        </is>
      </c>
      <c r="G3797" t="n">
        <v>1.6</v>
      </c>
      <c r="H3797" t="n">
        <v>0</v>
      </c>
      <c r="I3797" t="n">
        <v>0</v>
      </c>
      <c r="J3797" t="n">
        <v>0</v>
      </c>
      <c r="K3797" t="n">
        <v>0</v>
      </c>
      <c r="L3797" t="n">
        <v>0</v>
      </c>
      <c r="M3797" t="n">
        <v>0</v>
      </c>
      <c r="N3797" t="n">
        <v>0</v>
      </c>
      <c r="O3797" t="n">
        <v>0</v>
      </c>
      <c r="P3797" t="n">
        <v>0</v>
      </c>
      <c r="Q3797" t="n">
        <v>0</v>
      </c>
      <c r="R3797" s="2" t="inlineStr"/>
      <c r="U3797">
        <f>HYPERLINK("https://klasma.github.io/Logging_2283/knärot/A 57010-2023 karta knärot.png", "A 57010-2023")</f>
        <v/>
      </c>
      <c r="V3797">
        <f>HYPERLINK("https://klasma.github.io/Logging_2283/klagomål/A 57010-2023 FSC-klagomål.docx", "A 57010-2023")</f>
        <v/>
      </c>
      <c r="W3797">
        <f>HYPERLINK("https://klasma.github.io/Logging_2283/klagomålsmail/A 57010-2023 FSC-klagomål mail.docx", "A 57010-2023")</f>
        <v/>
      </c>
      <c r="X3797">
        <f>HYPERLINK("https://klasma.github.io/Logging_2283/tillsyn/A 57010-2023 tillsynsbegäran.docx", "A 57010-2023")</f>
        <v/>
      </c>
      <c r="Y3797">
        <f>HYPERLINK("https://klasma.github.io/Logging_2283/tillsynsmail/A 57010-2023 tillsynsbegäran mail.docx", "A 57010-2023")</f>
        <v/>
      </c>
    </row>
    <row r="3798" ht="15" customHeight="1">
      <c r="A3798" t="inlineStr">
        <is>
          <t>A 39434-2025</t>
        </is>
      </c>
      <c r="B3798" s="1" t="n">
        <v>45889.67811342593</v>
      </c>
      <c r="C3798" s="1" t="n">
        <v>46093</v>
      </c>
      <c r="D3798" t="inlineStr">
        <is>
          <t>VÄSTERNORRLANDS LÄN</t>
        </is>
      </c>
      <c r="E3798" t="inlineStr">
        <is>
          <t>ÅNGE</t>
        </is>
      </c>
      <c r="F3798" t="inlineStr">
        <is>
          <t>SCA</t>
        </is>
      </c>
      <c r="G3798" t="n">
        <v>4</v>
      </c>
      <c r="H3798" t="n">
        <v>0</v>
      </c>
      <c r="I3798" t="n">
        <v>0</v>
      </c>
      <c r="J3798" t="n">
        <v>0</v>
      </c>
      <c r="K3798" t="n">
        <v>0</v>
      </c>
      <c r="L3798" t="n">
        <v>0</v>
      </c>
      <c r="M3798" t="n">
        <v>0</v>
      </c>
      <c r="N3798" t="n">
        <v>0</v>
      </c>
      <c r="O3798" t="n">
        <v>0</v>
      </c>
      <c r="P3798" t="n">
        <v>0</v>
      </c>
      <c r="Q3798" t="n">
        <v>0</v>
      </c>
      <c r="R3798" s="2" t="inlineStr"/>
    </row>
    <row r="3799" ht="15" customHeight="1">
      <c r="A3799" t="inlineStr">
        <is>
          <t>A 39470-2025</t>
        </is>
      </c>
      <c r="B3799" s="1" t="n">
        <v>45890.33575231482</v>
      </c>
      <c r="C3799" s="1" t="n">
        <v>46093</v>
      </c>
      <c r="D3799" t="inlineStr">
        <is>
          <t>VÄSTERNORRLANDS LÄN</t>
        </is>
      </c>
      <c r="E3799" t="inlineStr">
        <is>
          <t>ÖRNSKÖLDSVIK</t>
        </is>
      </c>
      <c r="F3799" t="inlineStr">
        <is>
          <t>Holmen skog AB</t>
        </is>
      </c>
      <c r="G3799" t="n">
        <v>11.6</v>
      </c>
      <c r="H3799" t="n">
        <v>0</v>
      </c>
      <c r="I3799" t="n">
        <v>0</v>
      </c>
      <c r="J3799" t="n">
        <v>0</v>
      </c>
      <c r="K3799" t="n">
        <v>0</v>
      </c>
      <c r="L3799" t="n">
        <v>0</v>
      </c>
      <c r="M3799" t="n">
        <v>0</v>
      </c>
      <c r="N3799" t="n">
        <v>0</v>
      </c>
      <c r="O3799" t="n">
        <v>0</v>
      </c>
      <c r="P3799" t="n">
        <v>0</v>
      </c>
      <c r="Q3799" t="n">
        <v>0</v>
      </c>
      <c r="R3799" s="2" t="inlineStr"/>
    </row>
    <row r="3800" ht="15" customHeight="1">
      <c r="A3800" t="inlineStr">
        <is>
          <t>A 39489-2025</t>
        </is>
      </c>
      <c r="B3800" s="1" t="n">
        <v>45890.36534722222</v>
      </c>
      <c r="C3800" s="1" t="n">
        <v>46093</v>
      </c>
      <c r="D3800" t="inlineStr">
        <is>
          <t>VÄSTERNORRLANDS LÄN</t>
        </is>
      </c>
      <c r="E3800" t="inlineStr">
        <is>
          <t>SUNDSVALL</t>
        </is>
      </c>
      <c r="F3800" t="inlineStr">
        <is>
          <t>SCA</t>
        </is>
      </c>
      <c r="G3800" t="n">
        <v>0.4</v>
      </c>
      <c r="H3800" t="n">
        <v>0</v>
      </c>
      <c r="I3800" t="n">
        <v>0</v>
      </c>
      <c r="J3800" t="n">
        <v>0</v>
      </c>
      <c r="K3800" t="n">
        <v>0</v>
      </c>
      <c r="L3800" t="n">
        <v>0</v>
      </c>
      <c r="M3800" t="n">
        <v>0</v>
      </c>
      <c r="N3800" t="n">
        <v>0</v>
      </c>
      <c r="O3800" t="n">
        <v>0</v>
      </c>
      <c r="P3800" t="n">
        <v>0</v>
      </c>
      <c r="Q3800" t="n">
        <v>0</v>
      </c>
      <c r="R3800" s="2" t="inlineStr"/>
    </row>
    <row r="3801" ht="15" customHeight="1">
      <c r="A3801" t="inlineStr">
        <is>
          <t>A 22075-2024</t>
        </is>
      </c>
      <c r="B3801" s="1" t="n">
        <v>45443.63814814815</v>
      </c>
      <c r="C3801" s="1" t="n">
        <v>46093</v>
      </c>
      <c r="D3801" t="inlineStr">
        <is>
          <t>VÄSTERNORRLANDS LÄN</t>
        </is>
      </c>
      <c r="E3801" t="inlineStr">
        <is>
          <t>ÖRNSKÖLDSVIK</t>
        </is>
      </c>
      <c r="F3801" t="inlineStr">
        <is>
          <t>Holmen skog AB</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25002-2024</t>
        </is>
      </c>
      <c r="B3802" s="1" t="n">
        <v>45461.78789351852</v>
      </c>
      <c r="C3802" s="1" t="n">
        <v>46093</v>
      </c>
      <c r="D3802" t="inlineStr">
        <is>
          <t>VÄSTERNORRLANDS LÄN</t>
        </is>
      </c>
      <c r="E3802" t="inlineStr">
        <is>
          <t>ÖRNSKÖLDSVIK</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57604-2024</t>
        </is>
      </c>
      <c r="B3803" s="1" t="n">
        <v>45630.53177083333</v>
      </c>
      <c r="C3803" s="1" t="n">
        <v>46093</v>
      </c>
      <c r="D3803" t="inlineStr">
        <is>
          <t>VÄSTERNORRLANDS LÄN</t>
        </is>
      </c>
      <c r="E3803" t="inlineStr">
        <is>
          <t>ÖRNSKÖLDSVIK</t>
        </is>
      </c>
      <c r="F3803" t="inlineStr">
        <is>
          <t>SCA</t>
        </is>
      </c>
      <c r="G3803" t="n">
        <v>2.8</v>
      </c>
      <c r="H3803" t="n">
        <v>0</v>
      </c>
      <c r="I3803" t="n">
        <v>0</v>
      </c>
      <c r="J3803" t="n">
        <v>0</v>
      </c>
      <c r="K3803" t="n">
        <v>0</v>
      </c>
      <c r="L3803" t="n">
        <v>0</v>
      </c>
      <c r="M3803" t="n">
        <v>0</v>
      </c>
      <c r="N3803" t="n">
        <v>0</v>
      </c>
      <c r="O3803" t="n">
        <v>0</v>
      </c>
      <c r="P3803" t="n">
        <v>0</v>
      </c>
      <c r="Q3803" t="n">
        <v>0</v>
      </c>
      <c r="R3803" s="2" t="inlineStr"/>
    </row>
    <row r="3804" ht="15" customHeight="1">
      <c r="A3804" t="inlineStr">
        <is>
          <t>A 39581-2025</t>
        </is>
      </c>
      <c r="B3804" s="1" t="n">
        <v>45890.49341435185</v>
      </c>
      <c r="C3804" s="1" t="n">
        <v>46093</v>
      </c>
      <c r="D3804" t="inlineStr">
        <is>
          <t>VÄSTERNORRLANDS LÄN</t>
        </is>
      </c>
      <c r="E3804" t="inlineStr">
        <is>
          <t>KRAMFORS</t>
        </is>
      </c>
      <c r="G3804" t="n">
        <v>0.3</v>
      </c>
      <c r="H3804" t="n">
        <v>0</v>
      </c>
      <c r="I3804" t="n">
        <v>0</v>
      </c>
      <c r="J3804" t="n">
        <v>0</v>
      </c>
      <c r="K3804" t="n">
        <v>0</v>
      </c>
      <c r="L3804" t="n">
        <v>0</v>
      </c>
      <c r="M3804" t="n">
        <v>0</v>
      </c>
      <c r="N3804" t="n">
        <v>0</v>
      </c>
      <c r="O3804" t="n">
        <v>0</v>
      </c>
      <c r="P3804" t="n">
        <v>0</v>
      </c>
      <c r="Q3804" t="n">
        <v>0</v>
      </c>
      <c r="R3804" s="2" t="inlineStr"/>
    </row>
    <row r="3805" ht="15" customHeight="1">
      <c r="A3805" t="inlineStr">
        <is>
          <t>A 25022-2024</t>
        </is>
      </c>
      <c r="B3805" s="1" t="n">
        <v>45461.9628125</v>
      </c>
      <c r="C3805" s="1" t="n">
        <v>46093</v>
      </c>
      <c r="D3805" t="inlineStr">
        <is>
          <t>VÄSTERNORRLANDS LÄN</t>
        </is>
      </c>
      <c r="E3805" t="inlineStr">
        <is>
          <t>SUNDSVALL</t>
        </is>
      </c>
      <c r="F3805" t="inlineStr">
        <is>
          <t>SCA</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35432-2025</t>
        </is>
      </c>
      <c r="B3806" s="1" t="n">
        <v>45855.44831018519</v>
      </c>
      <c r="C3806" s="1" t="n">
        <v>46093</v>
      </c>
      <c r="D3806" t="inlineStr">
        <is>
          <t>VÄSTERNORRLANDS LÄN</t>
        </is>
      </c>
      <c r="E3806" t="inlineStr">
        <is>
          <t>ÅNGE</t>
        </is>
      </c>
      <c r="F3806" t="inlineStr">
        <is>
          <t>SCA</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35941-2024</t>
        </is>
      </c>
      <c r="B3807" s="1" t="n">
        <v>45533</v>
      </c>
      <c r="C3807" s="1" t="n">
        <v>46093</v>
      </c>
      <c r="D3807" t="inlineStr">
        <is>
          <t>VÄSTERNORRLANDS LÄN</t>
        </is>
      </c>
      <c r="E3807" t="inlineStr">
        <is>
          <t>ÖRNSKÖLDSVIK</t>
        </is>
      </c>
      <c r="F3807" t="inlineStr">
        <is>
          <t>Holmen skog AB</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39637-2024</t>
        </is>
      </c>
      <c r="B3808" s="1" t="n">
        <v>45552.44851851852</v>
      </c>
      <c r="C3808" s="1" t="n">
        <v>46093</v>
      </c>
      <c r="D3808" t="inlineStr">
        <is>
          <t>VÄSTERNORRLANDS LÄN</t>
        </is>
      </c>
      <c r="E3808" t="inlineStr">
        <is>
          <t>ÖRNSKÖLDSVIK</t>
        </is>
      </c>
      <c r="F3808" t="inlineStr">
        <is>
          <t>SCA</t>
        </is>
      </c>
      <c r="G3808" t="n">
        <v>4.6</v>
      </c>
      <c r="H3808" t="n">
        <v>0</v>
      </c>
      <c r="I3808" t="n">
        <v>0</v>
      </c>
      <c r="J3808" t="n">
        <v>0</v>
      </c>
      <c r="K3808" t="n">
        <v>0</v>
      </c>
      <c r="L3808" t="n">
        <v>0</v>
      </c>
      <c r="M3808" t="n">
        <v>0</v>
      </c>
      <c r="N3808" t="n">
        <v>0</v>
      </c>
      <c r="O3808" t="n">
        <v>0</v>
      </c>
      <c r="P3808" t="n">
        <v>0</v>
      </c>
      <c r="Q3808" t="n">
        <v>0</v>
      </c>
      <c r="R3808" s="2" t="inlineStr"/>
    </row>
    <row r="3809" ht="15" customHeight="1">
      <c r="A3809" t="inlineStr">
        <is>
          <t>A 34577-2024</t>
        </is>
      </c>
      <c r="B3809" s="1" t="n">
        <v>45526.36336805556</v>
      </c>
      <c r="C3809" s="1" t="n">
        <v>46093</v>
      </c>
      <c r="D3809" t="inlineStr">
        <is>
          <t>VÄSTERNORRLANDS LÄN</t>
        </is>
      </c>
      <c r="E3809" t="inlineStr">
        <is>
          <t>ÖRNSKÖLDSVIK</t>
        </is>
      </c>
      <c r="F3809" t="inlineStr">
        <is>
          <t>Holmen skog AB</t>
        </is>
      </c>
      <c r="G3809" t="n">
        <v>7.8</v>
      </c>
      <c r="H3809" t="n">
        <v>0</v>
      </c>
      <c r="I3809" t="n">
        <v>0</v>
      </c>
      <c r="J3809" t="n">
        <v>0</v>
      </c>
      <c r="K3809" t="n">
        <v>0</v>
      </c>
      <c r="L3809" t="n">
        <v>0</v>
      </c>
      <c r="M3809" t="n">
        <v>0</v>
      </c>
      <c r="N3809" t="n">
        <v>0</v>
      </c>
      <c r="O3809" t="n">
        <v>0</v>
      </c>
      <c r="P3809" t="n">
        <v>0</v>
      </c>
      <c r="Q3809" t="n">
        <v>0</v>
      </c>
      <c r="R3809" s="2" t="inlineStr"/>
    </row>
    <row r="3810" ht="15" customHeight="1">
      <c r="A3810" t="inlineStr">
        <is>
          <t>A 47755-2023</t>
        </is>
      </c>
      <c r="B3810" s="1" t="n">
        <v>45203.8250462963</v>
      </c>
      <c r="C3810" s="1" t="n">
        <v>46093</v>
      </c>
      <c r="D3810" t="inlineStr">
        <is>
          <t>VÄSTERNORRLANDS LÄN</t>
        </is>
      </c>
      <c r="E3810" t="inlineStr">
        <is>
          <t>ÖRNSKÖLDSVIK</t>
        </is>
      </c>
      <c r="F3810" t="inlineStr">
        <is>
          <t>Holmen skog AB</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51314-2022</t>
        </is>
      </c>
      <c r="B3811" s="1" t="n">
        <v>44868.950625</v>
      </c>
      <c r="C3811" s="1" t="n">
        <v>46093</v>
      </c>
      <c r="D3811" t="inlineStr">
        <is>
          <t>VÄSTERNORRLANDS LÄN</t>
        </is>
      </c>
      <c r="E3811" t="inlineStr">
        <is>
          <t>SOLLEFTEÅ</t>
        </is>
      </c>
      <c r="F3811" t="inlineStr">
        <is>
          <t>SCA</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34524-2024</t>
        </is>
      </c>
      <c r="B3812" s="1" t="n">
        <v>45525.68555555555</v>
      </c>
      <c r="C3812" s="1" t="n">
        <v>46093</v>
      </c>
      <c r="D3812" t="inlineStr">
        <is>
          <t>VÄSTERNORRLANDS LÄN</t>
        </is>
      </c>
      <c r="E3812" t="inlineStr">
        <is>
          <t>ÖRNSKÖLDSVIK</t>
        </is>
      </c>
      <c r="F3812" t="inlineStr">
        <is>
          <t>Holmen skog AB</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22126-2024</t>
        </is>
      </c>
      <c r="B3813" s="1" t="n">
        <v>45443.95326388889</v>
      </c>
      <c r="C3813" s="1" t="n">
        <v>46093</v>
      </c>
      <c r="D3813" t="inlineStr">
        <is>
          <t>VÄSTERNORRLANDS LÄN</t>
        </is>
      </c>
      <c r="E3813" t="inlineStr">
        <is>
          <t>SUNDSVALL</t>
        </is>
      </c>
      <c r="F3813" t="inlineStr">
        <is>
          <t>SCA</t>
        </is>
      </c>
      <c r="G3813" t="n">
        <v>4.1</v>
      </c>
      <c r="H3813" t="n">
        <v>0</v>
      </c>
      <c r="I3813" t="n">
        <v>0</v>
      </c>
      <c r="J3813" t="n">
        <v>0</v>
      </c>
      <c r="K3813" t="n">
        <v>0</v>
      </c>
      <c r="L3813" t="n">
        <v>0</v>
      </c>
      <c r="M3813" t="n">
        <v>0</v>
      </c>
      <c r="N3813" t="n">
        <v>0</v>
      </c>
      <c r="O3813" t="n">
        <v>0</v>
      </c>
      <c r="P3813" t="n">
        <v>0</v>
      </c>
      <c r="Q3813" t="n">
        <v>0</v>
      </c>
      <c r="R3813" s="2" t="inlineStr"/>
    </row>
    <row r="3814" ht="15" customHeight="1">
      <c r="A3814" t="inlineStr">
        <is>
          <t>A 59453-2024</t>
        </is>
      </c>
      <c r="B3814" s="1" t="n">
        <v>45638.4671875</v>
      </c>
      <c r="C3814" s="1" t="n">
        <v>46093</v>
      </c>
      <c r="D3814" t="inlineStr">
        <is>
          <t>VÄSTERNORRLANDS LÄN</t>
        </is>
      </c>
      <c r="E3814" t="inlineStr">
        <is>
          <t>ÖRNSKÖLDSVIK</t>
        </is>
      </c>
      <c r="G3814" t="n">
        <v>6.3</v>
      </c>
      <c r="H3814" t="n">
        <v>0</v>
      </c>
      <c r="I3814" t="n">
        <v>0</v>
      </c>
      <c r="J3814" t="n">
        <v>0</v>
      </c>
      <c r="K3814" t="n">
        <v>0</v>
      </c>
      <c r="L3814" t="n">
        <v>0</v>
      </c>
      <c r="M3814" t="n">
        <v>0</v>
      </c>
      <c r="N3814" t="n">
        <v>0</v>
      </c>
      <c r="O3814" t="n">
        <v>0</v>
      </c>
      <c r="P3814" t="n">
        <v>0</v>
      </c>
      <c r="Q3814" t="n">
        <v>0</v>
      </c>
      <c r="R3814" s="2" t="inlineStr"/>
    </row>
    <row r="3815" ht="15" customHeight="1">
      <c r="A3815" t="inlineStr">
        <is>
          <t>A 35461-2025</t>
        </is>
      </c>
      <c r="B3815" s="1" t="n">
        <v>45855.61505787037</v>
      </c>
      <c r="C3815" s="1" t="n">
        <v>46093</v>
      </c>
      <c r="D3815" t="inlineStr">
        <is>
          <t>VÄSTERNORRLANDS LÄN</t>
        </is>
      </c>
      <c r="E3815" t="inlineStr">
        <is>
          <t>SUNDSVALL</t>
        </is>
      </c>
      <c r="G3815" t="n">
        <v>3.6</v>
      </c>
      <c r="H3815" t="n">
        <v>0</v>
      </c>
      <c r="I3815" t="n">
        <v>0</v>
      </c>
      <c r="J3815" t="n">
        <v>0</v>
      </c>
      <c r="K3815" t="n">
        <v>0</v>
      </c>
      <c r="L3815" t="n">
        <v>0</v>
      </c>
      <c r="M3815" t="n">
        <v>0</v>
      </c>
      <c r="N3815" t="n">
        <v>0</v>
      </c>
      <c r="O3815" t="n">
        <v>0</v>
      </c>
      <c r="P3815" t="n">
        <v>0</v>
      </c>
      <c r="Q3815" t="n">
        <v>0</v>
      </c>
      <c r="R3815" s="2" t="inlineStr"/>
    </row>
    <row r="3816" ht="15" customHeight="1">
      <c r="A3816" t="inlineStr">
        <is>
          <t>A 35577-2025</t>
        </is>
      </c>
      <c r="B3816" s="1" t="n">
        <v>45856.67762731481</v>
      </c>
      <c r="C3816" s="1" t="n">
        <v>46093</v>
      </c>
      <c r="D3816" t="inlineStr">
        <is>
          <t>VÄSTERNORRLANDS LÄN</t>
        </is>
      </c>
      <c r="E3816" t="inlineStr">
        <is>
          <t>ÅNGE</t>
        </is>
      </c>
      <c r="F3816" t="inlineStr">
        <is>
          <t>SCA</t>
        </is>
      </c>
      <c r="G3816" t="n">
        <v>4.2</v>
      </c>
      <c r="H3816" t="n">
        <v>0</v>
      </c>
      <c r="I3816" t="n">
        <v>0</v>
      </c>
      <c r="J3816" t="n">
        <v>0</v>
      </c>
      <c r="K3816" t="n">
        <v>0</v>
      </c>
      <c r="L3816" t="n">
        <v>0</v>
      </c>
      <c r="M3816" t="n">
        <v>0</v>
      </c>
      <c r="N3816" t="n">
        <v>0</v>
      </c>
      <c r="O3816" t="n">
        <v>0</v>
      </c>
      <c r="P3816" t="n">
        <v>0</v>
      </c>
      <c r="Q3816" t="n">
        <v>0</v>
      </c>
      <c r="R3816" s="2" t="inlineStr"/>
    </row>
    <row r="3817" ht="15" customHeight="1">
      <c r="A3817" t="inlineStr">
        <is>
          <t>A 38447-2023</t>
        </is>
      </c>
      <c r="B3817" s="1" t="n">
        <v>45162</v>
      </c>
      <c r="C3817" s="1" t="n">
        <v>46093</v>
      </c>
      <c r="D3817" t="inlineStr">
        <is>
          <t>VÄSTERNORRLANDS LÄN</t>
        </is>
      </c>
      <c r="E3817" t="inlineStr">
        <is>
          <t>KRAMFORS</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19326-2024</t>
        </is>
      </c>
      <c r="B3818" s="1" t="n">
        <v>45428</v>
      </c>
      <c r="C3818" s="1" t="n">
        <v>46093</v>
      </c>
      <c r="D3818" t="inlineStr">
        <is>
          <t>VÄSTERNORRLANDS LÄN</t>
        </is>
      </c>
      <c r="E3818" t="inlineStr">
        <is>
          <t>SOLLEFTEÅ</t>
        </is>
      </c>
      <c r="G3818" t="n">
        <v>7.4</v>
      </c>
      <c r="H3818" t="n">
        <v>0</v>
      </c>
      <c r="I3818" t="n">
        <v>0</v>
      </c>
      <c r="J3818" t="n">
        <v>0</v>
      </c>
      <c r="K3818" t="n">
        <v>0</v>
      </c>
      <c r="L3818" t="n">
        <v>0</v>
      </c>
      <c r="M3818" t="n">
        <v>0</v>
      </c>
      <c r="N3818" t="n">
        <v>0</v>
      </c>
      <c r="O3818" t="n">
        <v>0</v>
      </c>
      <c r="P3818" t="n">
        <v>0</v>
      </c>
      <c r="Q3818" t="n">
        <v>0</v>
      </c>
      <c r="R3818" s="2" t="inlineStr"/>
    </row>
    <row r="3819" ht="15" customHeight="1">
      <c r="A3819" t="inlineStr">
        <is>
          <t>A 59458-2024</t>
        </is>
      </c>
      <c r="B3819" s="1" t="n">
        <v>45638.4766087963</v>
      </c>
      <c r="C3819" s="1" t="n">
        <v>46093</v>
      </c>
      <c r="D3819" t="inlineStr">
        <is>
          <t>VÄSTERNORRLANDS LÄN</t>
        </is>
      </c>
      <c r="E3819" t="inlineStr">
        <is>
          <t>ÖRNSKÖLDSVIK</t>
        </is>
      </c>
      <c r="G3819" t="n">
        <v>5.1</v>
      </c>
      <c r="H3819" t="n">
        <v>0</v>
      </c>
      <c r="I3819" t="n">
        <v>0</v>
      </c>
      <c r="J3819" t="n">
        <v>0</v>
      </c>
      <c r="K3819" t="n">
        <v>0</v>
      </c>
      <c r="L3819" t="n">
        <v>0</v>
      </c>
      <c r="M3819" t="n">
        <v>0</v>
      </c>
      <c r="N3819" t="n">
        <v>0</v>
      </c>
      <c r="O3819" t="n">
        <v>0</v>
      </c>
      <c r="P3819" t="n">
        <v>0</v>
      </c>
      <c r="Q3819" t="n">
        <v>0</v>
      </c>
      <c r="R3819" s="2" t="inlineStr"/>
    </row>
    <row r="3820" ht="15" customHeight="1">
      <c r="A3820" t="inlineStr">
        <is>
          <t>A 39354-2025</t>
        </is>
      </c>
      <c r="B3820" s="1" t="n">
        <v>45889.55075231481</v>
      </c>
      <c r="C3820" s="1" t="n">
        <v>46093</v>
      </c>
      <c r="D3820" t="inlineStr">
        <is>
          <t>VÄSTERNORRLANDS LÄN</t>
        </is>
      </c>
      <c r="E3820" t="inlineStr">
        <is>
          <t>ÖRNSKÖLDSVIK</t>
        </is>
      </c>
      <c r="G3820" t="n">
        <v>11.9</v>
      </c>
      <c r="H3820" t="n">
        <v>0</v>
      </c>
      <c r="I3820" t="n">
        <v>0</v>
      </c>
      <c r="J3820" t="n">
        <v>0</v>
      </c>
      <c r="K3820" t="n">
        <v>0</v>
      </c>
      <c r="L3820" t="n">
        <v>0</v>
      </c>
      <c r="M3820" t="n">
        <v>0</v>
      </c>
      <c r="N3820" t="n">
        <v>0</v>
      </c>
      <c r="O3820" t="n">
        <v>0</v>
      </c>
      <c r="P3820" t="n">
        <v>0</v>
      </c>
      <c r="Q3820" t="n">
        <v>0</v>
      </c>
      <c r="R3820" s="2" t="inlineStr"/>
    </row>
    <row r="3821" ht="15" customHeight="1">
      <c r="A3821" t="inlineStr">
        <is>
          <t>A 56996-2022</t>
        </is>
      </c>
      <c r="B3821" s="1" t="n">
        <v>44894</v>
      </c>
      <c r="C3821" s="1" t="n">
        <v>46093</v>
      </c>
      <c r="D3821" t="inlineStr">
        <is>
          <t>VÄSTERNORRLANDS LÄN</t>
        </is>
      </c>
      <c r="E3821" t="inlineStr">
        <is>
          <t>KRAMFORS</t>
        </is>
      </c>
      <c r="G3821" t="n">
        <v>13.8</v>
      </c>
      <c r="H3821" t="n">
        <v>0</v>
      </c>
      <c r="I3821" t="n">
        <v>0</v>
      </c>
      <c r="J3821" t="n">
        <v>0</v>
      </c>
      <c r="K3821" t="n">
        <v>0</v>
      </c>
      <c r="L3821" t="n">
        <v>0</v>
      </c>
      <c r="M3821" t="n">
        <v>0</v>
      </c>
      <c r="N3821" t="n">
        <v>0</v>
      </c>
      <c r="O3821" t="n">
        <v>0</v>
      </c>
      <c r="P3821" t="n">
        <v>0</v>
      </c>
      <c r="Q3821" t="n">
        <v>0</v>
      </c>
      <c r="R3821" s="2" t="inlineStr"/>
    </row>
    <row r="3822" ht="15" customHeight="1">
      <c r="A3822" t="inlineStr">
        <is>
          <t>A 39433-2025</t>
        </is>
      </c>
      <c r="B3822" s="1" t="n">
        <v>45889.67799768518</v>
      </c>
      <c r="C3822" s="1" t="n">
        <v>46093</v>
      </c>
      <c r="D3822" t="inlineStr">
        <is>
          <t>VÄSTERNORRLANDS LÄN</t>
        </is>
      </c>
      <c r="E3822" t="inlineStr">
        <is>
          <t>SOLLEFTEÅ</t>
        </is>
      </c>
      <c r="F3822" t="inlineStr">
        <is>
          <t>SCA</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44080-2024</t>
        </is>
      </c>
      <c r="B3823" s="1" t="n">
        <v>45572.61517361111</v>
      </c>
      <c r="C3823" s="1" t="n">
        <v>46093</v>
      </c>
      <c r="D3823" t="inlineStr">
        <is>
          <t>VÄSTERNORRLANDS LÄN</t>
        </is>
      </c>
      <c r="E3823" t="inlineStr">
        <is>
          <t>SUNDSVALL</t>
        </is>
      </c>
      <c r="F3823" t="inlineStr">
        <is>
          <t>SCA</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61173-2024</t>
        </is>
      </c>
      <c r="B3824" s="1" t="n">
        <v>45645.60475694444</v>
      </c>
      <c r="C3824" s="1" t="n">
        <v>46093</v>
      </c>
      <c r="D3824" t="inlineStr">
        <is>
          <t>VÄSTERNORRLANDS LÄN</t>
        </is>
      </c>
      <c r="E3824" t="inlineStr">
        <is>
          <t>KRAMFORS</t>
        </is>
      </c>
      <c r="G3824" t="n">
        <v>7.5</v>
      </c>
      <c r="H3824" t="n">
        <v>0</v>
      </c>
      <c r="I3824" t="n">
        <v>0</v>
      </c>
      <c r="J3824" t="n">
        <v>0</v>
      </c>
      <c r="K3824" t="n">
        <v>0</v>
      </c>
      <c r="L3824" t="n">
        <v>0</v>
      </c>
      <c r="M3824" t="n">
        <v>0</v>
      </c>
      <c r="N3824" t="n">
        <v>0</v>
      </c>
      <c r="O3824" t="n">
        <v>0</v>
      </c>
      <c r="P3824" t="n">
        <v>0</v>
      </c>
      <c r="Q3824" t="n">
        <v>0</v>
      </c>
      <c r="R3824" s="2" t="inlineStr"/>
    </row>
    <row r="3825" ht="15" customHeight="1">
      <c r="A3825" t="inlineStr">
        <is>
          <t>A 44098-2024</t>
        </is>
      </c>
      <c r="B3825" s="1" t="n">
        <v>45572.625625</v>
      </c>
      <c r="C3825" s="1" t="n">
        <v>46093</v>
      </c>
      <c r="D3825" t="inlineStr">
        <is>
          <t>VÄSTERNORRLANDS LÄN</t>
        </is>
      </c>
      <c r="E3825" t="inlineStr">
        <is>
          <t>SUNDSVALL</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61212-2024</t>
        </is>
      </c>
      <c r="B3826" s="1" t="n">
        <v>45645.65394675926</v>
      </c>
      <c r="C3826" s="1" t="n">
        <v>46093</v>
      </c>
      <c r="D3826" t="inlineStr">
        <is>
          <t>VÄSTERNORRLANDS LÄN</t>
        </is>
      </c>
      <c r="E3826" t="inlineStr">
        <is>
          <t>ÖRNSKÖLDSVIK</t>
        </is>
      </c>
      <c r="G3826" t="n">
        <v>4.6</v>
      </c>
      <c r="H3826" t="n">
        <v>0</v>
      </c>
      <c r="I3826" t="n">
        <v>0</v>
      </c>
      <c r="J3826" t="n">
        <v>0</v>
      </c>
      <c r="K3826" t="n">
        <v>0</v>
      </c>
      <c r="L3826" t="n">
        <v>0</v>
      </c>
      <c r="M3826" t="n">
        <v>0</v>
      </c>
      <c r="N3826" t="n">
        <v>0</v>
      </c>
      <c r="O3826" t="n">
        <v>0</v>
      </c>
      <c r="P3826" t="n">
        <v>0</v>
      </c>
      <c r="Q3826" t="n">
        <v>0</v>
      </c>
      <c r="R3826" s="2" t="inlineStr"/>
    </row>
    <row r="3827" ht="15" customHeight="1">
      <c r="A3827" t="inlineStr">
        <is>
          <t>A 62659-2023</t>
        </is>
      </c>
      <c r="B3827" s="1" t="n">
        <v>45268</v>
      </c>
      <c r="C3827" s="1" t="n">
        <v>46093</v>
      </c>
      <c r="D3827" t="inlineStr">
        <is>
          <t>VÄSTERNORRLANDS LÄN</t>
        </is>
      </c>
      <c r="E3827" t="inlineStr">
        <is>
          <t>ÖRNSKÖLDSVIK</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43009-2024</t>
        </is>
      </c>
      <c r="B3828" s="1" t="n">
        <v>45567</v>
      </c>
      <c r="C3828" s="1" t="n">
        <v>46093</v>
      </c>
      <c r="D3828" t="inlineStr">
        <is>
          <t>VÄSTERNORRLANDS LÄN</t>
        </is>
      </c>
      <c r="E3828" t="inlineStr">
        <is>
          <t>ÖRNSKÖLDSVIK</t>
        </is>
      </c>
      <c r="G3828" t="n">
        <v>4.5</v>
      </c>
      <c r="H3828" t="n">
        <v>0</v>
      </c>
      <c r="I3828" t="n">
        <v>0</v>
      </c>
      <c r="J3828" t="n">
        <v>0</v>
      </c>
      <c r="K3828" t="n">
        <v>0</v>
      </c>
      <c r="L3828" t="n">
        <v>0</v>
      </c>
      <c r="M3828" t="n">
        <v>0</v>
      </c>
      <c r="N3828" t="n">
        <v>0</v>
      </c>
      <c r="O3828" t="n">
        <v>0</v>
      </c>
      <c r="P3828" t="n">
        <v>0</v>
      </c>
      <c r="Q3828" t="n">
        <v>0</v>
      </c>
      <c r="R3828" s="2" t="inlineStr"/>
    </row>
    <row r="3829" ht="15" customHeight="1">
      <c r="A3829" t="inlineStr">
        <is>
          <t>A 39654-2025</t>
        </is>
      </c>
      <c r="B3829" s="1" t="n">
        <v>45890.61991898148</v>
      </c>
      <c r="C3829" s="1" t="n">
        <v>46093</v>
      </c>
      <c r="D3829" t="inlineStr">
        <is>
          <t>VÄSTERNORRLANDS LÄN</t>
        </is>
      </c>
      <c r="E3829" t="inlineStr">
        <is>
          <t>KRAMFORS</t>
        </is>
      </c>
      <c r="G3829" t="n">
        <v>6.9</v>
      </c>
      <c r="H3829" t="n">
        <v>0</v>
      </c>
      <c r="I3829" t="n">
        <v>0</v>
      </c>
      <c r="J3829" t="n">
        <v>0</v>
      </c>
      <c r="K3829" t="n">
        <v>0</v>
      </c>
      <c r="L3829" t="n">
        <v>0</v>
      </c>
      <c r="M3829" t="n">
        <v>0</v>
      </c>
      <c r="N3829" t="n">
        <v>0</v>
      </c>
      <c r="O3829" t="n">
        <v>0</v>
      </c>
      <c r="P3829" t="n">
        <v>0</v>
      </c>
      <c r="Q3829" t="n">
        <v>0</v>
      </c>
      <c r="R3829" s="2" t="inlineStr"/>
    </row>
    <row r="3830" ht="15" customHeight="1">
      <c r="A3830" t="inlineStr">
        <is>
          <t>A 39656-2025</t>
        </is>
      </c>
      <c r="B3830" s="1" t="n">
        <v>45890</v>
      </c>
      <c r="C3830" s="1" t="n">
        <v>46093</v>
      </c>
      <c r="D3830" t="inlineStr">
        <is>
          <t>VÄSTERNORRLANDS LÄN</t>
        </is>
      </c>
      <c r="E3830" t="inlineStr">
        <is>
          <t>SOLLEFTEÅ</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39319-2025</t>
        </is>
      </c>
      <c r="B3831" s="1" t="n">
        <v>45889.46916666667</v>
      </c>
      <c r="C3831" s="1" t="n">
        <v>46093</v>
      </c>
      <c r="D3831" t="inlineStr">
        <is>
          <t>VÄSTERNORRLANDS LÄN</t>
        </is>
      </c>
      <c r="E3831" t="inlineStr">
        <is>
          <t>SOLLEFTEÅ</t>
        </is>
      </c>
      <c r="F3831" t="inlineStr">
        <is>
          <t>SCA</t>
        </is>
      </c>
      <c r="G3831" t="n">
        <v>3.9</v>
      </c>
      <c r="H3831" t="n">
        <v>0</v>
      </c>
      <c r="I3831" t="n">
        <v>0</v>
      </c>
      <c r="J3831" t="n">
        <v>0</v>
      </c>
      <c r="K3831" t="n">
        <v>0</v>
      </c>
      <c r="L3831" t="n">
        <v>0</v>
      </c>
      <c r="M3831" t="n">
        <v>0</v>
      </c>
      <c r="N3831" t="n">
        <v>0</v>
      </c>
      <c r="O3831" t="n">
        <v>0</v>
      </c>
      <c r="P3831" t="n">
        <v>0</v>
      </c>
      <c r="Q3831" t="n">
        <v>0</v>
      </c>
      <c r="R3831" s="2" t="inlineStr"/>
    </row>
    <row r="3832" ht="15" customHeight="1">
      <c r="A3832" t="inlineStr">
        <is>
          <t>A 34973-2024</t>
        </is>
      </c>
      <c r="B3832" s="1" t="n">
        <v>45527.53800925926</v>
      </c>
      <c r="C3832" s="1" t="n">
        <v>46093</v>
      </c>
      <c r="D3832" t="inlineStr">
        <is>
          <t>VÄSTERNORRLANDS LÄN</t>
        </is>
      </c>
      <c r="E3832" t="inlineStr">
        <is>
          <t>ÖRNSKÖLDSVIK</t>
        </is>
      </c>
      <c r="F3832" t="inlineStr">
        <is>
          <t>Holmen skog AB</t>
        </is>
      </c>
      <c r="G3832" t="n">
        <v>0.1</v>
      </c>
      <c r="H3832" t="n">
        <v>0</v>
      </c>
      <c r="I3832" t="n">
        <v>0</v>
      </c>
      <c r="J3832" t="n">
        <v>0</v>
      </c>
      <c r="K3832" t="n">
        <v>0</v>
      </c>
      <c r="L3832" t="n">
        <v>0</v>
      </c>
      <c r="M3832" t="n">
        <v>0</v>
      </c>
      <c r="N3832" t="n">
        <v>0</v>
      </c>
      <c r="O3832" t="n">
        <v>0</v>
      </c>
      <c r="P3832" t="n">
        <v>0</v>
      </c>
      <c r="Q3832" t="n">
        <v>0</v>
      </c>
      <c r="R3832" s="2" t="inlineStr"/>
    </row>
    <row r="3833" ht="15" customHeight="1">
      <c r="A3833" t="inlineStr">
        <is>
          <t>A 34981-2024</t>
        </is>
      </c>
      <c r="B3833" s="1" t="n">
        <v>45527</v>
      </c>
      <c r="C3833" s="1" t="n">
        <v>46093</v>
      </c>
      <c r="D3833" t="inlineStr">
        <is>
          <t>VÄSTERNORRLANDS LÄN</t>
        </is>
      </c>
      <c r="E3833" t="inlineStr">
        <is>
          <t>ÖRNSKÖLDSVIK</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35578-2025</t>
        </is>
      </c>
      <c r="B3834" s="1" t="n">
        <v>45856.67797453704</v>
      </c>
      <c r="C3834" s="1" t="n">
        <v>46093</v>
      </c>
      <c r="D3834" t="inlineStr">
        <is>
          <t>VÄSTERNORRLANDS LÄN</t>
        </is>
      </c>
      <c r="E3834" t="inlineStr">
        <is>
          <t>ÅNGE</t>
        </is>
      </c>
      <c r="F3834" t="inlineStr">
        <is>
          <t>SCA</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40175-2025</t>
        </is>
      </c>
      <c r="B3835" s="1" t="n">
        <v>45894.63609953703</v>
      </c>
      <c r="C3835" s="1" t="n">
        <v>46093</v>
      </c>
      <c r="D3835" t="inlineStr">
        <is>
          <t>VÄSTERNORRLANDS LÄN</t>
        </is>
      </c>
      <c r="E3835" t="inlineStr">
        <is>
          <t>SOLLEFTEÅ</t>
        </is>
      </c>
      <c r="F3835" t="inlineStr">
        <is>
          <t>SCA</t>
        </is>
      </c>
      <c r="G3835" t="n">
        <v>21.2</v>
      </c>
      <c r="H3835" t="n">
        <v>0</v>
      </c>
      <c r="I3835" t="n">
        <v>0</v>
      </c>
      <c r="J3835" t="n">
        <v>0</v>
      </c>
      <c r="K3835" t="n">
        <v>0</v>
      </c>
      <c r="L3835" t="n">
        <v>0</v>
      </c>
      <c r="M3835" t="n">
        <v>0</v>
      </c>
      <c r="N3835" t="n">
        <v>0</v>
      </c>
      <c r="O3835" t="n">
        <v>0</v>
      </c>
      <c r="P3835" t="n">
        <v>0</v>
      </c>
      <c r="Q3835" t="n">
        <v>0</v>
      </c>
      <c r="R3835" s="2" t="inlineStr"/>
    </row>
    <row r="3836" ht="15" customHeight="1">
      <c r="A3836" t="inlineStr">
        <is>
          <t>A 20526-2024</t>
        </is>
      </c>
      <c r="B3836" s="1" t="n">
        <v>45435</v>
      </c>
      <c r="C3836" s="1" t="n">
        <v>46093</v>
      </c>
      <c r="D3836" t="inlineStr">
        <is>
          <t>VÄSTERNORRLANDS LÄN</t>
        </is>
      </c>
      <c r="E3836" t="inlineStr">
        <is>
          <t>TIMRÅ</t>
        </is>
      </c>
      <c r="F3836" t="inlineStr">
        <is>
          <t>SCA</t>
        </is>
      </c>
      <c r="G3836" t="n">
        <v>11.3</v>
      </c>
      <c r="H3836" t="n">
        <v>0</v>
      </c>
      <c r="I3836" t="n">
        <v>0</v>
      </c>
      <c r="J3836" t="n">
        <v>0</v>
      </c>
      <c r="K3836" t="n">
        <v>0</v>
      </c>
      <c r="L3836" t="n">
        <v>0</v>
      </c>
      <c r="M3836" t="n">
        <v>0</v>
      </c>
      <c r="N3836" t="n">
        <v>0</v>
      </c>
      <c r="O3836" t="n">
        <v>0</v>
      </c>
      <c r="P3836" t="n">
        <v>0</v>
      </c>
      <c r="Q3836" t="n">
        <v>0</v>
      </c>
      <c r="R3836" s="2" t="inlineStr"/>
    </row>
    <row r="3837" ht="15" customHeight="1">
      <c r="A3837" t="inlineStr">
        <is>
          <t>A 40205-2025</t>
        </is>
      </c>
      <c r="B3837" s="1" t="n">
        <v>45894.67706018518</v>
      </c>
      <c r="C3837" s="1" t="n">
        <v>46093</v>
      </c>
      <c r="D3837" t="inlineStr">
        <is>
          <t>VÄSTERNORRLANDS LÄN</t>
        </is>
      </c>
      <c r="E3837" t="inlineStr">
        <is>
          <t>ÖRNSKÖLDSVIK</t>
        </is>
      </c>
      <c r="F3837" t="inlineStr">
        <is>
          <t>Holmen skog AB</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39758-2025</t>
        </is>
      </c>
      <c r="B3838" s="1" t="n">
        <v>45891.43140046296</v>
      </c>
      <c r="C3838" s="1" t="n">
        <v>46093</v>
      </c>
      <c r="D3838" t="inlineStr">
        <is>
          <t>VÄSTERNORRLANDS LÄN</t>
        </is>
      </c>
      <c r="E3838" t="inlineStr">
        <is>
          <t>SUNDSVALL</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7365-2024</t>
        </is>
      </c>
      <c r="B3839" s="1" t="n">
        <v>45345</v>
      </c>
      <c r="C3839" s="1" t="n">
        <v>46093</v>
      </c>
      <c r="D3839" t="inlineStr">
        <is>
          <t>VÄSTERNORRLANDS LÄN</t>
        </is>
      </c>
      <c r="E3839" t="inlineStr">
        <is>
          <t>SUNDSVALL</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10240-2025</t>
        </is>
      </c>
      <c r="B3840" s="1" t="n">
        <v>45720.34508101852</v>
      </c>
      <c r="C3840" s="1" t="n">
        <v>46093</v>
      </c>
      <c r="D3840" t="inlineStr">
        <is>
          <t>VÄSTERNORRLANDS LÄN</t>
        </is>
      </c>
      <c r="E3840" t="inlineStr">
        <is>
          <t>SOLLEFTEÅ</t>
        </is>
      </c>
      <c r="F3840" t="inlineStr">
        <is>
          <t>SCA</t>
        </is>
      </c>
      <c r="G3840" t="n">
        <v>18.8</v>
      </c>
      <c r="H3840" t="n">
        <v>0</v>
      </c>
      <c r="I3840" t="n">
        <v>0</v>
      </c>
      <c r="J3840" t="n">
        <v>0</v>
      </c>
      <c r="K3840" t="n">
        <v>0</v>
      </c>
      <c r="L3840" t="n">
        <v>0</v>
      </c>
      <c r="M3840" t="n">
        <v>0</v>
      </c>
      <c r="N3840" t="n">
        <v>0</v>
      </c>
      <c r="O3840" t="n">
        <v>0</v>
      </c>
      <c r="P3840" t="n">
        <v>0</v>
      </c>
      <c r="Q3840" t="n">
        <v>0</v>
      </c>
      <c r="R3840" s="2" t="inlineStr"/>
    </row>
    <row r="3841" ht="15" customHeight="1">
      <c r="A3841" t="inlineStr">
        <is>
          <t>A 35738-2025</t>
        </is>
      </c>
      <c r="B3841" s="1" t="n">
        <v>45860.51138888889</v>
      </c>
      <c r="C3841" s="1" t="n">
        <v>46093</v>
      </c>
      <c r="D3841" t="inlineStr">
        <is>
          <t>VÄSTERNORRLANDS LÄN</t>
        </is>
      </c>
      <c r="E3841" t="inlineStr">
        <is>
          <t>ÖRNSKÖLDSVIK</t>
        </is>
      </c>
      <c r="F3841" t="inlineStr">
        <is>
          <t>Holmen skog AB</t>
        </is>
      </c>
      <c r="G3841" t="n">
        <v>9.699999999999999</v>
      </c>
      <c r="H3841" t="n">
        <v>0</v>
      </c>
      <c r="I3841" t="n">
        <v>0</v>
      </c>
      <c r="J3841" t="n">
        <v>0</v>
      </c>
      <c r="K3841" t="n">
        <v>0</v>
      </c>
      <c r="L3841" t="n">
        <v>0</v>
      </c>
      <c r="M3841" t="n">
        <v>0</v>
      </c>
      <c r="N3841" t="n">
        <v>0</v>
      </c>
      <c r="O3841" t="n">
        <v>0</v>
      </c>
      <c r="P3841" t="n">
        <v>0</v>
      </c>
      <c r="Q3841" t="n">
        <v>0</v>
      </c>
      <c r="R3841" s="2" t="inlineStr"/>
    </row>
    <row r="3842" ht="15" customHeight="1">
      <c r="A3842" t="inlineStr">
        <is>
          <t>A 49469-2024</t>
        </is>
      </c>
      <c r="B3842" s="1" t="n">
        <v>45596.33695601852</v>
      </c>
      <c r="C3842" s="1" t="n">
        <v>46093</v>
      </c>
      <c r="D3842" t="inlineStr">
        <is>
          <t>VÄSTERNORRLANDS LÄN</t>
        </is>
      </c>
      <c r="E3842" t="inlineStr">
        <is>
          <t>ÖRNSKÖLDSVIK</t>
        </is>
      </c>
      <c r="F3842" t="inlineStr">
        <is>
          <t>Holmen skog AB</t>
        </is>
      </c>
      <c r="G3842" t="n">
        <v>11.7</v>
      </c>
      <c r="H3842" t="n">
        <v>0</v>
      </c>
      <c r="I3842" t="n">
        <v>0</v>
      </c>
      <c r="J3842" t="n">
        <v>0</v>
      </c>
      <c r="K3842" t="n">
        <v>0</v>
      </c>
      <c r="L3842" t="n">
        <v>0</v>
      </c>
      <c r="M3842" t="n">
        <v>0</v>
      </c>
      <c r="N3842" t="n">
        <v>0</v>
      </c>
      <c r="O3842" t="n">
        <v>0</v>
      </c>
      <c r="P3842" t="n">
        <v>0</v>
      </c>
      <c r="Q3842" t="n">
        <v>0</v>
      </c>
      <c r="R3842" s="2" t="inlineStr"/>
    </row>
    <row r="3843" ht="15" customHeight="1">
      <c r="A3843" t="inlineStr">
        <is>
          <t>A 2226-2022</t>
        </is>
      </c>
      <c r="B3843" s="1" t="n">
        <v>44578</v>
      </c>
      <c r="C3843" s="1" t="n">
        <v>46093</v>
      </c>
      <c r="D3843" t="inlineStr">
        <is>
          <t>VÄSTERNORRLANDS LÄN</t>
        </is>
      </c>
      <c r="E3843" t="inlineStr">
        <is>
          <t>TIMRÅ</t>
        </is>
      </c>
      <c r="G3843" t="n">
        <v>2.9</v>
      </c>
      <c r="H3843" t="n">
        <v>0</v>
      </c>
      <c r="I3843" t="n">
        <v>0</v>
      </c>
      <c r="J3843" t="n">
        <v>0</v>
      </c>
      <c r="K3843" t="n">
        <v>0</v>
      </c>
      <c r="L3843" t="n">
        <v>0</v>
      </c>
      <c r="M3843" t="n">
        <v>0</v>
      </c>
      <c r="N3843" t="n">
        <v>0</v>
      </c>
      <c r="O3843" t="n">
        <v>0</v>
      </c>
      <c r="P3843" t="n">
        <v>0</v>
      </c>
      <c r="Q3843" t="n">
        <v>0</v>
      </c>
      <c r="R3843" s="2" t="inlineStr"/>
    </row>
    <row r="3844" ht="15" customHeight="1">
      <c r="A3844" t="inlineStr">
        <is>
          <t>A 23160-2025</t>
        </is>
      </c>
      <c r="B3844" s="1" t="n">
        <v>45791.40760416666</v>
      </c>
      <c r="C3844" s="1" t="n">
        <v>46093</v>
      </c>
      <c r="D3844" t="inlineStr">
        <is>
          <t>VÄSTERNORRLANDS LÄN</t>
        </is>
      </c>
      <c r="E3844" t="inlineStr">
        <is>
          <t>SOLLEFTEÅ</t>
        </is>
      </c>
      <c r="F3844" t="inlineStr">
        <is>
          <t>SCA</t>
        </is>
      </c>
      <c r="G3844" t="n">
        <v>4.9</v>
      </c>
      <c r="H3844" t="n">
        <v>0</v>
      </c>
      <c r="I3844" t="n">
        <v>0</v>
      </c>
      <c r="J3844" t="n">
        <v>0</v>
      </c>
      <c r="K3844" t="n">
        <v>0</v>
      </c>
      <c r="L3844" t="n">
        <v>0</v>
      </c>
      <c r="M3844" t="n">
        <v>0</v>
      </c>
      <c r="N3844" t="n">
        <v>0</v>
      </c>
      <c r="O3844" t="n">
        <v>0</v>
      </c>
      <c r="P3844" t="n">
        <v>0</v>
      </c>
      <c r="Q3844" t="n">
        <v>0</v>
      </c>
      <c r="R3844" s="2" t="inlineStr"/>
    </row>
    <row r="3845" ht="15" customHeight="1">
      <c r="A3845" t="inlineStr">
        <is>
          <t>A 23805-2025</t>
        </is>
      </c>
      <c r="B3845" s="1" t="n">
        <v>45793</v>
      </c>
      <c r="C3845" s="1" t="n">
        <v>46093</v>
      </c>
      <c r="D3845" t="inlineStr">
        <is>
          <t>VÄSTERNORRLANDS LÄN</t>
        </is>
      </c>
      <c r="E3845" t="inlineStr">
        <is>
          <t>HÄRNÖSAND</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44393-2023</t>
        </is>
      </c>
      <c r="B3846" s="1" t="n">
        <v>45188.94534722222</v>
      </c>
      <c r="C3846" s="1" t="n">
        <v>46093</v>
      </c>
      <c r="D3846" t="inlineStr">
        <is>
          <t>VÄSTERNORRLANDS LÄN</t>
        </is>
      </c>
      <c r="E3846" t="inlineStr">
        <is>
          <t>SOLLEFTEÅ</t>
        </is>
      </c>
      <c r="F3846" t="inlineStr">
        <is>
          <t>SCA</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40190-2025</t>
        </is>
      </c>
      <c r="B3847" s="1" t="n">
        <v>45894.65664351852</v>
      </c>
      <c r="C3847" s="1" t="n">
        <v>46093</v>
      </c>
      <c r="D3847" t="inlineStr">
        <is>
          <t>VÄSTERNORRLANDS LÄN</t>
        </is>
      </c>
      <c r="E3847" t="inlineStr">
        <is>
          <t>SOLLEFTEÅ</t>
        </is>
      </c>
      <c r="F3847" t="inlineStr">
        <is>
          <t>SCA</t>
        </is>
      </c>
      <c r="G3847" t="n">
        <v>6.5</v>
      </c>
      <c r="H3847" t="n">
        <v>0</v>
      </c>
      <c r="I3847" t="n">
        <v>0</v>
      </c>
      <c r="J3847" t="n">
        <v>0</v>
      </c>
      <c r="K3847" t="n">
        <v>0</v>
      </c>
      <c r="L3847" t="n">
        <v>0</v>
      </c>
      <c r="M3847" t="n">
        <v>0</v>
      </c>
      <c r="N3847" t="n">
        <v>0</v>
      </c>
      <c r="O3847" t="n">
        <v>0</v>
      </c>
      <c r="P3847" t="n">
        <v>0</v>
      </c>
      <c r="Q3847" t="n">
        <v>0</v>
      </c>
      <c r="R3847" s="2" t="inlineStr"/>
    </row>
    <row r="3848" ht="15" customHeight="1">
      <c r="A3848" t="inlineStr">
        <is>
          <t>A 40192-2025</t>
        </is>
      </c>
      <c r="B3848" s="1" t="n">
        <v>45894.65702546296</v>
      </c>
      <c r="C3848" s="1" t="n">
        <v>46093</v>
      </c>
      <c r="D3848" t="inlineStr">
        <is>
          <t>VÄSTERNORRLANDS LÄN</t>
        </is>
      </c>
      <c r="E3848" t="inlineStr">
        <is>
          <t>TIMRÅ</t>
        </is>
      </c>
      <c r="F3848" t="inlineStr">
        <is>
          <t>SCA</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36885-2023</t>
        </is>
      </c>
      <c r="B3849" s="1" t="n">
        <v>45154</v>
      </c>
      <c r="C3849" s="1" t="n">
        <v>46093</v>
      </c>
      <c r="D3849" t="inlineStr">
        <is>
          <t>VÄSTERNORRLANDS LÄN</t>
        </is>
      </c>
      <c r="E3849" t="inlineStr">
        <is>
          <t>SUNDSVALL</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33287-2024</t>
        </is>
      </c>
      <c r="B3850" s="1" t="n">
        <v>45518.74296296296</v>
      </c>
      <c r="C3850" s="1" t="n">
        <v>46093</v>
      </c>
      <c r="D3850" t="inlineStr">
        <is>
          <t>VÄSTERNORRLANDS LÄN</t>
        </is>
      </c>
      <c r="E3850" t="inlineStr">
        <is>
          <t>TIMRÅ</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39768-2025</t>
        </is>
      </c>
      <c r="B3851" s="1" t="n">
        <v>45891.44842592593</v>
      </c>
      <c r="C3851" s="1" t="n">
        <v>46093</v>
      </c>
      <c r="D3851" t="inlineStr">
        <is>
          <t>VÄSTERNORRLANDS LÄN</t>
        </is>
      </c>
      <c r="E3851" t="inlineStr">
        <is>
          <t>ÅNGE</t>
        </is>
      </c>
      <c r="G3851" t="n">
        <v>10.4</v>
      </c>
      <c r="H3851" t="n">
        <v>0</v>
      </c>
      <c r="I3851" t="n">
        <v>0</v>
      </c>
      <c r="J3851" t="n">
        <v>0</v>
      </c>
      <c r="K3851" t="n">
        <v>0</v>
      </c>
      <c r="L3851" t="n">
        <v>0</v>
      </c>
      <c r="M3851" t="n">
        <v>0</v>
      </c>
      <c r="N3851" t="n">
        <v>0</v>
      </c>
      <c r="O3851" t="n">
        <v>0</v>
      </c>
      <c r="P3851" t="n">
        <v>0</v>
      </c>
      <c r="Q3851" t="n">
        <v>0</v>
      </c>
      <c r="R3851" s="2" t="inlineStr"/>
    </row>
    <row r="3852" ht="15" customHeight="1">
      <c r="A3852" t="inlineStr">
        <is>
          <t>A 39771-2025</t>
        </is>
      </c>
      <c r="B3852" s="1" t="n">
        <v>45891.45181712963</v>
      </c>
      <c r="C3852" s="1" t="n">
        <v>46093</v>
      </c>
      <c r="D3852" t="inlineStr">
        <is>
          <t>VÄSTERNORRLANDS LÄN</t>
        </is>
      </c>
      <c r="E3852" t="inlineStr">
        <is>
          <t>SUNDSVALL</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41831-2021</t>
        </is>
      </c>
      <c r="B3853" s="1" t="n">
        <v>44425.92212962963</v>
      </c>
      <c r="C3853" s="1" t="n">
        <v>46093</v>
      </c>
      <c r="D3853" t="inlineStr">
        <is>
          <t>VÄSTERNORRLANDS LÄN</t>
        </is>
      </c>
      <c r="E3853" t="inlineStr">
        <is>
          <t>ÅNGE</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40174-2025</t>
        </is>
      </c>
      <c r="B3854" s="1" t="n">
        <v>45894.63587962963</v>
      </c>
      <c r="C3854" s="1" t="n">
        <v>46093</v>
      </c>
      <c r="D3854" t="inlineStr">
        <is>
          <t>VÄSTERNORRLANDS LÄN</t>
        </is>
      </c>
      <c r="E3854" t="inlineStr">
        <is>
          <t>SOLLEFTEÅ</t>
        </is>
      </c>
      <c r="F3854" t="inlineStr">
        <is>
          <t>SCA</t>
        </is>
      </c>
      <c r="G3854" t="n">
        <v>9.6</v>
      </c>
      <c r="H3854" t="n">
        <v>0</v>
      </c>
      <c r="I3854" t="n">
        <v>0</v>
      </c>
      <c r="J3854" t="n">
        <v>0</v>
      </c>
      <c r="K3854" t="n">
        <v>0</v>
      </c>
      <c r="L3854" t="n">
        <v>0</v>
      </c>
      <c r="M3854" t="n">
        <v>0</v>
      </c>
      <c r="N3854" t="n">
        <v>0</v>
      </c>
      <c r="O3854" t="n">
        <v>0</v>
      </c>
      <c r="P3854" t="n">
        <v>0</v>
      </c>
      <c r="Q3854" t="n">
        <v>0</v>
      </c>
      <c r="R3854" s="2" t="inlineStr"/>
    </row>
    <row r="3855" ht="15" customHeight="1">
      <c r="A3855" t="inlineStr">
        <is>
          <t>A 40178-2025</t>
        </is>
      </c>
      <c r="B3855" s="1" t="n">
        <v>45894.6366087963</v>
      </c>
      <c r="C3855" s="1" t="n">
        <v>46093</v>
      </c>
      <c r="D3855" t="inlineStr">
        <is>
          <t>VÄSTERNORRLANDS LÄN</t>
        </is>
      </c>
      <c r="E3855" t="inlineStr">
        <is>
          <t>SUNDSVALL</t>
        </is>
      </c>
      <c r="F3855" t="inlineStr">
        <is>
          <t>Naturvårdsverket</t>
        </is>
      </c>
      <c r="G3855" t="n">
        <v>4.6</v>
      </c>
      <c r="H3855" t="n">
        <v>0</v>
      </c>
      <c r="I3855" t="n">
        <v>0</v>
      </c>
      <c r="J3855" t="n">
        <v>0</v>
      </c>
      <c r="K3855" t="n">
        <v>0</v>
      </c>
      <c r="L3855" t="n">
        <v>0</v>
      </c>
      <c r="M3855" t="n">
        <v>0</v>
      </c>
      <c r="N3855" t="n">
        <v>0</v>
      </c>
      <c r="O3855" t="n">
        <v>0</v>
      </c>
      <c r="P3855" t="n">
        <v>0</v>
      </c>
      <c r="Q3855" t="n">
        <v>0</v>
      </c>
      <c r="R3855" s="2" t="inlineStr"/>
    </row>
    <row r="3856" ht="15" customHeight="1">
      <c r="A3856" t="inlineStr">
        <is>
          <t>A 32157-2024</t>
        </is>
      </c>
      <c r="B3856" s="1" t="n">
        <v>45511.57340277778</v>
      </c>
      <c r="C3856" s="1" t="n">
        <v>46093</v>
      </c>
      <c r="D3856" t="inlineStr">
        <is>
          <t>VÄSTERNORRLANDS LÄN</t>
        </is>
      </c>
      <c r="E3856" t="inlineStr">
        <is>
          <t>SOLLEFTEÅ</t>
        </is>
      </c>
      <c r="F3856" t="inlineStr">
        <is>
          <t>Holmen skog AB</t>
        </is>
      </c>
      <c r="G3856" t="n">
        <v>3.7</v>
      </c>
      <c r="H3856" t="n">
        <v>0</v>
      </c>
      <c r="I3856" t="n">
        <v>0</v>
      </c>
      <c r="J3856" t="n">
        <v>0</v>
      </c>
      <c r="K3856" t="n">
        <v>0</v>
      </c>
      <c r="L3856" t="n">
        <v>0</v>
      </c>
      <c r="M3856" t="n">
        <v>0</v>
      </c>
      <c r="N3856" t="n">
        <v>0</v>
      </c>
      <c r="O3856" t="n">
        <v>0</v>
      </c>
      <c r="P3856" t="n">
        <v>0</v>
      </c>
      <c r="Q3856" t="n">
        <v>0</v>
      </c>
      <c r="R3856" s="2" t="inlineStr"/>
    </row>
    <row r="3857" ht="15" customHeight="1">
      <c r="A3857" t="inlineStr">
        <is>
          <t>A 60227-2021</t>
        </is>
      </c>
      <c r="B3857" s="1" t="n">
        <v>44495</v>
      </c>
      <c r="C3857" s="1" t="n">
        <v>46093</v>
      </c>
      <c r="D3857" t="inlineStr">
        <is>
          <t>VÄSTERNORRLANDS LÄN</t>
        </is>
      </c>
      <c r="E3857" t="inlineStr">
        <is>
          <t>ÖRNSKÖLDSVIK</t>
        </is>
      </c>
      <c r="G3857" t="n">
        <v>9.300000000000001</v>
      </c>
      <c r="H3857" t="n">
        <v>0</v>
      </c>
      <c r="I3857" t="n">
        <v>0</v>
      </c>
      <c r="J3857" t="n">
        <v>0</v>
      </c>
      <c r="K3857" t="n">
        <v>0</v>
      </c>
      <c r="L3857" t="n">
        <v>0</v>
      </c>
      <c r="M3857" t="n">
        <v>0</v>
      </c>
      <c r="N3857" t="n">
        <v>0</v>
      </c>
      <c r="O3857" t="n">
        <v>0</v>
      </c>
      <c r="P3857" t="n">
        <v>0</v>
      </c>
      <c r="Q3857" t="n">
        <v>0</v>
      </c>
      <c r="R3857" s="2" t="inlineStr"/>
    </row>
    <row r="3858" ht="15" customHeight="1">
      <c r="A3858" t="inlineStr">
        <is>
          <t>A 3688-2025</t>
        </is>
      </c>
      <c r="B3858" s="1" t="n">
        <v>45681.45969907408</v>
      </c>
      <c r="C3858" s="1" t="n">
        <v>46093</v>
      </c>
      <c r="D3858" t="inlineStr">
        <is>
          <t>VÄSTERNORRLANDS LÄN</t>
        </is>
      </c>
      <c r="E3858" t="inlineStr">
        <is>
          <t>KRAMFORS</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17301-2025</t>
        </is>
      </c>
      <c r="B3859" s="1" t="n">
        <v>45756</v>
      </c>
      <c r="C3859" s="1" t="n">
        <v>46093</v>
      </c>
      <c r="D3859" t="inlineStr">
        <is>
          <t>VÄSTERNORRLANDS LÄN</t>
        </is>
      </c>
      <c r="E3859" t="inlineStr">
        <is>
          <t>ÖRNSKÖLDSVIK</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40049-2025</t>
        </is>
      </c>
      <c r="B3860" s="1" t="n">
        <v>45894</v>
      </c>
      <c r="C3860" s="1" t="n">
        <v>46093</v>
      </c>
      <c r="D3860" t="inlineStr">
        <is>
          <t>VÄSTERNORRLANDS LÄN</t>
        </is>
      </c>
      <c r="E3860" t="inlineStr">
        <is>
          <t>SOLLEFTEÅ</t>
        </is>
      </c>
      <c r="F3860" t="inlineStr">
        <is>
          <t>SCA</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22572-2025</t>
        </is>
      </c>
      <c r="B3861" s="1" t="n">
        <v>45789</v>
      </c>
      <c r="C3861" s="1" t="n">
        <v>46093</v>
      </c>
      <c r="D3861" t="inlineStr">
        <is>
          <t>VÄSTERNORRLANDS LÄN</t>
        </is>
      </c>
      <c r="E3861" t="inlineStr">
        <is>
          <t>KRAMFORS</t>
        </is>
      </c>
      <c r="G3861" t="n">
        <v>9.5</v>
      </c>
      <c r="H3861" t="n">
        <v>0</v>
      </c>
      <c r="I3861" t="n">
        <v>0</v>
      </c>
      <c r="J3861" t="n">
        <v>0</v>
      </c>
      <c r="K3861" t="n">
        <v>0</v>
      </c>
      <c r="L3861" t="n">
        <v>0</v>
      </c>
      <c r="M3861" t="n">
        <v>0</v>
      </c>
      <c r="N3861" t="n">
        <v>0</v>
      </c>
      <c r="O3861" t="n">
        <v>0</v>
      </c>
      <c r="P3861" t="n">
        <v>0</v>
      </c>
      <c r="Q3861" t="n">
        <v>0</v>
      </c>
      <c r="R3861" s="2" t="inlineStr"/>
    </row>
    <row r="3862" ht="15" customHeight="1">
      <c r="A3862" t="inlineStr">
        <is>
          <t>A 6282-2024</t>
        </is>
      </c>
      <c r="B3862" s="1" t="n">
        <v>45337</v>
      </c>
      <c r="C3862" s="1" t="n">
        <v>46093</v>
      </c>
      <c r="D3862" t="inlineStr">
        <is>
          <t>VÄSTERNORRLANDS LÄN</t>
        </is>
      </c>
      <c r="E3862" t="inlineStr">
        <is>
          <t>SOLLEFTEÅ</t>
        </is>
      </c>
      <c r="F3862" t="inlineStr">
        <is>
          <t>SCA</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34013-2023</t>
        </is>
      </c>
      <c r="B3863" s="1" t="n">
        <v>45124</v>
      </c>
      <c r="C3863" s="1" t="n">
        <v>46093</v>
      </c>
      <c r="D3863" t="inlineStr">
        <is>
          <t>VÄSTERNORRLANDS LÄN</t>
        </is>
      </c>
      <c r="E3863" t="inlineStr">
        <is>
          <t>ÖRNSKÖLDSVIK</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34376-2024</t>
        </is>
      </c>
      <c r="B3864" s="1" t="n">
        <v>45525</v>
      </c>
      <c r="C3864" s="1" t="n">
        <v>46093</v>
      </c>
      <c r="D3864" t="inlineStr">
        <is>
          <t>VÄSTERNORRLANDS LÄN</t>
        </is>
      </c>
      <c r="E3864" t="inlineStr">
        <is>
          <t>SOLLEFTEÅ</t>
        </is>
      </c>
      <c r="F3864" t="inlineStr">
        <is>
          <t>Övriga statliga verk och myndigheter</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26263-2024</t>
        </is>
      </c>
      <c r="B3865" s="1" t="n">
        <v>45468</v>
      </c>
      <c r="C3865" s="1" t="n">
        <v>46093</v>
      </c>
      <c r="D3865" t="inlineStr">
        <is>
          <t>VÄSTERNORRLANDS LÄN</t>
        </is>
      </c>
      <c r="E3865" t="inlineStr">
        <is>
          <t>ÖRNSKÖLDSVIK</t>
        </is>
      </c>
      <c r="F3865" t="inlineStr">
        <is>
          <t>Holmen skog AB</t>
        </is>
      </c>
      <c r="G3865" t="n">
        <v>4.5</v>
      </c>
      <c r="H3865" t="n">
        <v>0</v>
      </c>
      <c r="I3865" t="n">
        <v>0</v>
      </c>
      <c r="J3865" t="n">
        <v>0</v>
      </c>
      <c r="K3865" t="n">
        <v>0</v>
      </c>
      <c r="L3865" t="n">
        <v>0</v>
      </c>
      <c r="M3865" t="n">
        <v>0</v>
      </c>
      <c r="N3865" t="n">
        <v>0</v>
      </c>
      <c r="O3865" t="n">
        <v>0</v>
      </c>
      <c r="P3865" t="n">
        <v>0</v>
      </c>
      <c r="Q3865" t="n">
        <v>0</v>
      </c>
      <c r="R3865" s="2" t="inlineStr"/>
    </row>
    <row r="3866" ht="15" customHeight="1">
      <c r="A3866" t="inlineStr">
        <is>
          <t>A 35690-2025</t>
        </is>
      </c>
      <c r="B3866" s="1" t="n">
        <v>45860.34421296296</v>
      </c>
      <c r="C3866" s="1" t="n">
        <v>46093</v>
      </c>
      <c r="D3866" t="inlineStr">
        <is>
          <t>VÄSTERNORRLANDS LÄN</t>
        </is>
      </c>
      <c r="E3866" t="inlineStr">
        <is>
          <t>ÅNGE</t>
        </is>
      </c>
      <c r="F3866" t="inlineStr">
        <is>
          <t>SCA</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18586-2023</t>
        </is>
      </c>
      <c r="B3867" s="1" t="n">
        <v>45043</v>
      </c>
      <c r="C3867" s="1" t="n">
        <v>46093</v>
      </c>
      <c r="D3867" t="inlineStr">
        <is>
          <t>VÄSTERNORRLANDS LÄN</t>
        </is>
      </c>
      <c r="E3867" t="inlineStr">
        <is>
          <t>ÖRNSKÖLDSVIK</t>
        </is>
      </c>
      <c r="G3867" t="n">
        <v>7.5</v>
      </c>
      <c r="H3867" t="n">
        <v>0</v>
      </c>
      <c r="I3867" t="n">
        <v>0</v>
      </c>
      <c r="J3867" t="n">
        <v>0</v>
      </c>
      <c r="K3867" t="n">
        <v>0</v>
      </c>
      <c r="L3867" t="n">
        <v>0</v>
      </c>
      <c r="M3867" t="n">
        <v>0</v>
      </c>
      <c r="N3867" t="n">
        <v>0</v>
      </c>
      <c r="O3867" t="n">
        <v>0</v>
      </c>
      <c r="P3867" t="n">
        <v>0</v>
      </c>
      <c r="Q3867" t="n">
        <v>0</v>
      </c>
      <c r="R3867" s="2" t="inlineStr"/>
    </row>
    <row r="3868" ht="15" customHeight="1">
      <c r="A3868" t="inlineStr">
        <is>
          <t>A 57815-2024</t>
        </is>
      </c>
      <c r="B3868" s="1" t="n">
        <v>45631.37068287037</v>
      </c>
      <c r="C3868" s="1" t="n">
        <v>46093</v>
      </c>
      <c r="D3868" t="inlineStr">
        <is>
          <t>VÄSTERNORRLANDS LÄN</t>
        </is>
      </c>
      <c r="E3868" t="inlineStr">
        <is>
          <t>ÅNGE</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37381-2023</t>
        </is>
      </c>
      <c r="B3869" s="1" t="n">
        <v>45155</v>
      </c>
      <c r="C3869" s="1" t="n">
        <v>46093</v>
      </c>
      <c r="D3869" t="inlineStr">
        <is>
          <t>VÄSTERNORRLANDS LÄN</t>
        </is>
      </c>
      <c r="E3869" t="inlineStr">
        <is>
          <t>SOLLEFTEÅ</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35509-2024</t>
        </is>
      </c>
      <c r="B3870" s="1" t="n">
        <v>45531</v>
      </c>
      <c r="C3870" s="1" t="n">
        <v>46093</v>
      </c>
      <c r="D3870" t="inlineStr">
        <is>
          <t>VÄSTERNORRLANDS LÄN</t>
        </is>
      </c>
      <c r="E3870" t="inlineStr">
        <is>
          <t>SOLLEFTEÅ</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35513-2024</t>
        </is>
      </c>
      <c r="B3871" s="1" t="n">
        <v>45531</v>
      </c>
      <c r="C3871" s="1" t="n">
        <v>46093</v>
      </c>
      <c r="D3871" t="inlineStr">
        <is>
          <t>VÄSTERNORRLANDS LÄN</t>
        </is>
      </c>
      <c r="E3871" t="inlineStr">
        <is>
          <t>SOLLEFTEÅ</t>
        </is>
      </c>
      <c r="G3871" t="n">
        <v>5.7</v>
      </c>
      <c r="H3871" t="n">
        <v>0</v>
      </c>
      <c r="I3871" t="n">
        <v>0</v>
      </c>
      <c r="J3871" t="n">
        <v>0</v>
      </c>
      <c r="K3871" t="n">
        <v>0</v>
      </c>
      <c r="L3871" t="n">
        <v>0</v>
      </c>
      <c r="M3871" t="n">
        <v>0</v>
      </c>
      <c r="N3871" t="n">
        <v>0</v>
      </c>
      <c r="O3871" t="n">
        <v>0</v>
      </c>
      <c r="P3871" t="n">
        <v>0</v>
      </c>
      <c r="Q3871" t="n">
        <v>0</v>
      </c>
      <c r="R3871" s="2" t="inlineStr"/>
    </row>
    <row r="3872" ht="15" customHeight="1">
      <c r="A3872" t="inlineStr">
        <is>
          <t>A 24843-2025</t>
        </is>
      </c>
      <c r="B3872" s="1" t="n">
        <v>45799.46606481481</v>
      </c>
      <c r="C3872" s="1" t="n">
        <v>46093</v>
      </c>
      <c r="D3872" t="inlineStr">
        <is>
          <t>VÄSTERNORRLANDS LÄN</t>
        </is>
      </c>
      <c r="E3872" t="inlineStr">
        <is>
          <t>KRAMFORS</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8914-2025</t>
        </is>
      </c>
      <c r="B3873" s="1" t="n">
        <v>45713.42743055556</v>
      </c>
      <c r="C3873" s="1" t="n">
        <v>46093</v>
      </c>
      <c r="D3873" t="inlineStr">
        <is>
          <t>VÄSTERNORRLANDS LÄN</t>
        </is>
      </c>
      <c r="E3873" t="inlineStr">
        <is>
          <t>SOLLEFTEÅ</t>
        </is>
      </c>
      <c r="G3873" t="n">
        <v>4.2</v>
      </c>
      <c r="H3873" t="n">
        <v>0</v>
      </c>
      <c r="I3873" t="n">
        <v>0</v>
      </c>
      <c r="J3873" t="n">
        <v>0</v>
      </c>
      <c r="K3873" t="n">
        <v>0</v>
      </c>
      <c r="L3873" t="n">
        <v>0</v>
      </c>
      <c r="M3873" t="n">
        <v>0</v>
      </c>
      <c r="N3873" t="n">
        <v>0</v>
      </c>
      <c r="O3873" t="n">
        <v>0</v>
      </c>
      <c r="P3873" t="n">
        <v>0</v>
      </c>
      <c r="Q3873" t="n">
        <v>0</v>
      </c>
      <c r="R3873" s="2" t="inlineStr"/>
    </row>
    <row r="3874" ht="15" customHeight="1">
      <c r="A3874" t="inlineStr">
        <is>
          <t>A 10113-2025</t>
        </is>
      </c>
      <c r="B3874" s="1" t="n">
        <v>45719.59504629629</v>
      </c>
      <c r="C3874" s="1" t="n">
        <v>46093</v>
      </c>
      <c r="D3874" t="inlineStr">
        <is>
          <t>VÄSTERNORRLANDS LÄN</t>
        </is>
      </c>
      <c r="E3874" t="inlineStr">
        <is>
          <t>ÖRNSKÖLDSVIK</t>
        </is>
      </c>
      <c r="F3874" t="inlineStr">
        <is>
          <t>Holmen skog AB</t>
        </is>
      </c>
      <c r="G3874" t="n">
        <v>10</v>
      </c>
      <c r="H3874" t="n">
        <v>0</v>
      </c>
      <c r="I3874" t="n">
        <v>0</v>
      </c>
      <c r="J3874" t="n">
        <v>0</v>
      </c>
      <c r="K3874" t="n">
        <v>0</v>
      </c>
      <c r="L3874" t="n">
        <v>0</v>
      </c>
      <c r="M3874" t="n">
        <v>0</v>
      </c>
      <c r="N3874" t="n">
        <v>0</v>
      </c>
      <c r="O3874" t="n">
        <v>0</v>
      </c>
      <c r="P3874" t="n">
        <v>0</v>
      </c>
      <c r="Q3874" t="n">
        <v>0</v>
      </c>
      <c r="R3874" s="2" t="inlineStr"/>
    </row>
    <row r="3875" ht="15" customHeight="1">
      <c r="A3875" t="inlineStr">
        <is>
          <t>A 58032-2021</t>
        </is>
      </c>
      <c r="B3875" s="1" t="n">
        <v>44487</v>
      </c>
      <c r="C3875" s="1" t="n">
        <v>46093</v>
      </c>
      <c r="D3875" t="inlineStr">
        <is>
          <t>VÄSTERNORRLANDS LÄN</t>
        </is>
      </c>
      <c r="E3875" t="inlineStr">
        <is>
          <t>SUNDSVALL</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33720-2025</t>
        </is>
      </c>
      <c r="B3876" s="1" t="n">
        <v>45841.90605324074</v>
      </c>
      <c r="C3876" s="1" t="n">
        <v>46093</v>
      </c>
      <c r="D3876" t="inlineStr">
        <is>
          <t>VÄSTERNORRLANDS LÄN</t>
        </is>
      </c>
      <c r="E3876" t="inlineStr">
        <is>
          <t>ÅNGE</t>
        </is>
      </c>
      <c r="G3876" t="n">
        <v>6.4</v>
      </c>
      <c r="H3876" t="n">
        <v>0</v>
      </c>
      <c r="I3876" t="n">
        <v>0</v>
      </c>
      <c r="J3876" t="n">
        <v>0</v>
      </c>
      <c r="K3876" t="n">
        <v>0</v>
      </c>
      <c r="L3876" t="n">
        <v>0</v>
      </c>
      <c r="M3876" t="n">
        <v>0</v>
      </c>
      <c r="N3876" t="n">
        <v>0</v>
      </c>
      <c r="O3876" t="n">
        <v>0</v>
      </c>
      <c r="P3876" t="n">
        <v>0</v>
      </c>
      <c r="Q3876" t="n">
        <v>0</v>
      </c>
      <c r="R3876" s="2" t="inlineStr"/>
    </row>
    <row r="3877" ht="15" customHeight="1">
      <c r="A3877" t="inlineStr">
        <is>
          <t>A 38087-2024</t>
        </is>
      </c>
      <c r="B3877" s="1" t="n">
        <v>45545</v>
      </c>
      <c r="C3877" s="1" t="n">
        <v>46093</v>
      </c>
      <c r="D3877" t="inlineStr">
        <is>
          <t>VÄSTERNORRLANDS LÄN</t>
        </is>
      </c>
      <c r="E3877" t="inlineStr">
        <is>
          <t>ÖRNSKÖLDSVIK</t>
        </is>
      </c>
      <c r="G3877" t="n">
        <v>13.3</v>
      </c>
      <c r="H3877" t="n">
        <v>0</v>
      </c>
      <c r="I3877" t="n">
        <v>0</v>
      </c>
      <c r="J3877" t="n">
        <v>0</v>
      </c>
      <c r="K3877" t="n">
        <v>0</v>
      </c>
      <c r="L3877" t="n">
        <v>0</v>
      </c>
      <c r="M3877" t="n">
        <v>0</v>
      </c>
      <c r="N3877" t="n">
        <v>0</v>
      </c>
      <c r="O3877" t="n">
        <v>0</v>
      </c>
      <c r="P3877" t="n">
        <v>0</v>
      </c>
      <c r="Q3877" t="n">
        <v>0</v>
      </c>
      <c r="R3877" s="2" t="inlineStr"/>
    </row>
    <row r="3878" ht="15" customHeight="1">
      <c r="A3878" t="inlineStr">
        <is>
          <t>A 100-2024</t>
        </is>
      </c>
      <c r="B3878" s="1" t="n">
        <v>45293.92984953704</v>
      </c>
      <c r="C3878" s="1" t="n">
        <v>46093</v>
      </c>
      <c r="D3878" t="inlineStr">
        <is>
          <t>VÄSTERNORRLANDS LÄN</t>
        </is>
      </c>
      <c r="E3878" t="inlineStr">
        <is>
          <t>SUNDSVALL</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29565-2025</t>
        </is>
      </c>
      <c r="B3879" s="1" t="n">
        <v>45825.36571759259</v>
      </c>
      <c r="C3879" s="1" t="n">
        <v>46093</v>
      </c>
      <c r="D3879" t="inlineStr">
        <is>
          <t>VÄSTERNORRLANDS LÄN</t>
        </is>
      </c>
      <c r="E3879" t="inlineStr">
        <is>
          <t>KRAMFORS</t>
        </is>
      </c>
      <c r="G3879" t="n">
        <v>6</v>
      </c>
      <c r="H3879" t="n">
        <v>0</v>
      </c>
      <c r="I3879" t="n">
        <v>0</v>
      </c>
      <c r="J3879" t="n">
        <v>0</v>
      </c>
      <c r="K3879" t="n">
        <v>0</v>
      </c>
      <c r="L3879" t="n">
        <v>0</v>
      </c>
      <c r="M3879" t="n">
        <v>0</v>
      </c>
      <c r="N3879" t="n">
        <v>0</v>
      </c>
      <c r="O3879" t="n">
        <v>0</v>
      </c>
      <c r="P3879" t="n">
        <v>0</v>
      </c>
      <c r="Q3879" t="n">
        <v>0</v>
      </c>
      <c r="R3879" s="2" t="inlineStr"/>
    </row>
    <row r="3880" ht="15" customHeight="1">
      <c r="A3880" t="inlineStr">
        <is>
          <t>A 6691-2024</t>
        </is>
      </c>
      <c r="B3880" s="1" t="n">
        <v>45341</v>
      </c>
      <c r="C3880" s="1" t="n">
        <v>46093</v>
      </c>
      <c r="D3880" t="inlineStr">
        <is>
          <t>VÄSTERNORRLANDS LÄN</t>
        </is>
      </c>
      <c r="E3880" t="inlineStr">
        <is>
          <t>ÅNGE</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43025-2024</t>
        </is>
      </c>
      <c r="B3881" s="1" t="n">
        <v>45567.40853009259</v>
      </c>
      <c r="C3881" s="1" t="n">
        <v>46093</v>
      </c>
      <c r="D3881" t="inlineStr">
        <is>
          <t>VÄSTERNORRLANDS LÄN</t>
        </is>
      </c>
      <c r="E3881" t="inlineStr">
        <is>
          <t>HÄRNÖSAND</t>
        </is>
      </c>
      <c r="G3881" t="n">
        <v>4.9</v>
      </c>
      <c r="H3881" t="n">
        <v>0</v>
      </c>
      <c r="I3881" t="n">
        <v>0</v>
      </c>
      <c r="J3881" t="n">
        <v>0</v>
      </c>
      <c r="K3881" t="n">
        <v>0</v>
      </c>
      <c r="L3881" t="n">
        <v>0</v>
      </c>
      <c r="M3881" t="n">
        <v>0</v>
      </c>
      <c r="N3881" t="n">
        <v>0</v>
      </c>
      <c r="O3881" t="n">
        <v>0</v>
      </c>
      <c r="P3881" t="n">
        <v>0</v>
      </c>
      <c r="Q3881" t="n">
        <v>0</v>
      </c>
      <c r="R3881" s="2" t="inlineStr"/>
    </row>
    <row r="3882" ht="15" customHeight="1">
      <c r="A3882" t="inlineStr">
        <is>
          <t>A 69663-2021</t>
        </is>
      </c>
      <c r="B3882" s="1" t="n">
        <v>44531</v>
      </c>
      <c r="C3882" s="1" t="n">
        <v>46093</v>
      </c>
      <c r="D3882" t="inlineStr">
        <is>
          <t>VÄSTERNORRLANDS LÄN</t>
        </is>
      </c>
      <c r="E3882" t="inlineStr">
        <is>
          <t>TIMRÅ</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23668-2024</t>
        </is>
      </c>
      <c r="B3883" s="1" t="n">
        <v>45454.58489583333</v>
      </c>
      <c r="C3883" s="1" t="n">
        <v>46093</v>
      </c>
      <c r="D3883" t="inlineStr">
        <is>
          <t>VÄSTERNORRLANDS LÄN</t>
        </is>
      </c>
      <c r="E3883" t="inlineStr">
        <is>
          <t>KRAMFORS</t>
        </is>
      </c>
      <c r="G3883" t="n">
        <v>6.9</v>
      </c>
      <c r="H3883" t="n">
        <v>0</v>
      </c>
      <c r="I3883" t="n">
        <v>0</v>
      </c>
      <c r="J3883" t="n">
        <v>0</v>
      </c>
      <c r="K3883" t="n">
        <v>0</v>
      </c>
      <c r="L3883" t="n">
        <v>0</v>
      </c>
      <c r="M3883" t="n">
        <v>0</v>
      </c>
      <c r="N3883" t="n">
        <v>0</v>
      </c>
      <c r="O3883" t="n">
        <v>0</v>
      </c>
      <c r="P3883" t="n">
        <v>0</v>
      </c>
      <c r="Q3883" t="n">
        <v>0</v>
      </c>
      <c r="R3883" s="2" t="inlineStr"/>
    </row>
    <row r="3884" ht="15" customHeight="1">
      <c r="A3884" t="inlineStr">
        <is>
          <t>A 3633-2024</t>
        </is>
      </c>
      <c r="B3884" s="1" t="n">
        <v>45320</v>
      </c>
      <c r="C3884" s="1" t="n">
        <v>46093</v>
      </c>
      <c r="D3884" t="inlineStr">
        <is>
          <t>VÄSTERNORRLANDS LÄN</t>
        </is>
      </c>
      <c r="E3884" t="inlineStr">
        <is>
          <t>SOLLEFTEÅ</t>
        </is>
      </c>
      <c r="F3884" t="inlineStr">
        <is>
          <t>SCA</t>
        </is>
      </c>
      <c r="G3884" t="n">
        <v>4.5</v>
      </c>
      <c r="H3884" t="n">
        <v>0</v>
      </c>
      <c r="I3884" t="n">
        <v>0</v>
      </c>
      <c r="J3884" t="n">
        <v>0</v>
      </c>
      <c r="K3884" t="n">
        <v>0</v>
      </c>
      <c r="L3884" t="n">
        <v>0</v>
      </c>
      <c r="M3884" t="n">
        <v>0</v>
      </c>
      <c r="N3884" t="n">
        <v>0</v>
      </c>
      <c r="O3884" t="n">
        <v>0</v>
      </c>
      <c r="P3884" t="n">
        <v>0</v>
      </c>
      <c r="Q3884" t="n">
        <v>0</v>
      </c>
      <c r="R3884" s="2" t="inlineStr"/>
    </row>
    <row r="3885" ht="15" customHeight="1">
      <c r="A3885" t="inlineStr">
        <is>
          <t>A 3556-2022</t>
        </is>
      </c>
      <c r="B3885" s="1" t="n">
        <v>44585</v>
      </c>
      <c r="C3885" s="1" t="n">
        <v>46093</v>
      </c>
      <c r="D3885" t="inlineStr">
        <is>
          <t>VÄSTERNORRLANDS LÄN</t>
        </is>
      </c>
      <c r="E3885" t="inlineStr">
        <is>
          <t>SOLLEFTEÅ</t>
        </is>
      </c>
      <c r="F3885" t="inlineStr">
        <is>
          <t>SCA</t>
        </is>
      </c>
      <c r="G3885" t="n">
        <v>18.2</v>
      </c>
      <c r="H3885" t="n">
        <v>0</v>
      </c>
      <c r="I3885" t="n">
        <v>0</v>
      </c>
      <c r="J3885" t="n">
        <v>0</v>
      </c>
      <c r="K3885" t="n">
        <v>0</v>
      </c>
      <c r="L3885" t="n">
        <v>0</v>
      </c>
      <c r="M3885" t="n">
        <v>0</v>
      </c>
      <c r="N3885" t="n">
        <v>0</v>
      </c>
      <c r="O3885" t="n">
        <v>0</v>
      </c>
      <c r="P3885" t="n">
        <v>0</v>
      </c>
      <c r="Q3885" t="n">
        <v>0</v>
      </c>
      <c r="R3885" s="2" t="inlineStr"/>
    </row>
    <row r="3886" ht="15" customHeight="1">
      <c r="A3886" t="inlineStr">
        <is>
          <t>A 41600-2023</t>
        </is>
      </c>
      <c r="B3886" s="1" t="n">
        <v>45175</v>
      </c>
      <c r="C3886" s="1" t="n">
        <v>46093</v>
      </c>
      <c r="D3886" t="inlineStr">
        <is>
          <t>VÄSTERNORRLANDS LÄN</t>
        </is>
      </c>
      <c r="E3886" t="inlineStr">
        <is>
          <t>SUNDSVALL</t>
        </is>
      </c>
      <c r="G3886" t="n">
        <v>6.5</v>
      </c>
      <c r="H3886" t="n">
        <v>0</v>
      </c>
      <c r="I3886" t="n">
        <v>0</v>
      </c>
      <c r="J3886" t="n">
        <v>0</v>
      </c>
      <c r="K3886" t="n">
        <v>0</v>
      </c>
      <c r="L3886" t="n">
        <v>0</v>
      </c>
      <c r="M3886" t="n">
        <v>0</v>
      </c>
      <c r="N3886" t="n">
        <v>0</v>
      </c>
      <c r="O3886" t="n">
        <v>0</v>
      </c>
      <c r="P3886" t="n">
        <v>0</v>
      </c>
      <c r="Q3886" t="n">
        <v>0</v>
      </c>
      <c r="R3886" s="2" t="inlineStr"/>
    </row>
    <row r="3887" ht="15" customHeight="1">
      <c r="A3887" t="inlineStr">
        <is>
          <t>A 42762-2022</t>
        </is>
      </c>
      <c r="B3887" s="1" t="n">
        <v>44832.48011574074</v>
      </c>
      <c r="C3887" s="1" t="n">
        <v>46093</v>
      </c>
      <c r="D3887" t="inlineStr">
        <is>
          <t>VÄSTERNORRLANDS LÄN</t>
        </is>
      </c>
      <c r="E3887" t="inlineStr">
        <is>
          <t>ÖRNSKÖLDSVIK</t>
        </is>
      </c>
      <c r="F3887" t="inlineStr">
        <is>
          <t>Holmen skog AB</t>
        </is>
      </c>
      <c r="G3887" t="n">
        <v>14.6</v>
      </c>
      <c r="H3887" t="n">
        <v>0</v>
      </c>
      <c r="I3887" t="n">
        <v>0</v>
      </c>
      <c r="J3887" t="n">
        <v>0</v>
      </c>
      <c r="K3887" t="n">
        <v>0</v>
      </c>
      <c r="L3887" t="n">
        <v>0</v>
      </c>
      <c r="M3887" t="n">
        <v>0</v>
      </c>
      <c r="N3887" t="n">
        <v>0</v>
      </c>
      <c r="O3887" t="n">
        <v>0</v>
      </c>
      <c r="P3887" t="n">
        <v>0</v>
      </c>
      <c r="Q3887" t="n">
        <v>0</v>
      </c>
      <c r="R3887" s="2" t="inlineStr"/>
    </row>
    <row r="3888" ht="15" customHeight="1">
      <c r="A3888" t="inlineStr">
        <is>
          <t>A 27696-2025</t>
        </is>
      </c>
      <c r="B3888" s="1" t="n">
        <v>45813</v>
      </c>
      <c r="C3888" s="1" t="n">
        <v>46093</v>
      </c>
      <c r="D3888" t="inlineStr">
        <is>
          <t>VÄSTERNORRLANDS LÄN</t>
        </is>
      </c>
      <c r="E3888" t="inlineStr">
        <is>
          <t>TIMRÅ</t>
        </is>
      </c>
      <c r="G3888" t="n">
        <v>6.3</v>
      </c>
      <c r="H3888" t="n">
        <v>0</v>
      </c>
      <c r="I3888" t="n">
        <v>0</v>
      </c>
      <c r="J3888" t="n">
        <v>0</v>
      </c>
      <c r="K3888" t="n">
        <v>0</v>
      </c>
      <c r="L3888" t="n">
        <v>0</v>
      </c>
      <c r="M3888" t="n">
        <v>0</v>
      </c>
      <c r="N3888" t="n">
        <v>0</v>
      </c>
      <c r="O3888" t="n">
        <v>0</v>
      </c>
      <c r="P3888" t="n">
        <v>0</v>
      </c>
      <c r="Q3888" t="n">
        <v>0</v>
      </c>
      <c r="R3888" s="2" t="inlineStr"/>
    </row>
    <row r="3889" ht="15" customHeight="1">
      <c r="A3889" t="inlineStr">
        <is>
          <t>A 38234-2024</t>
        </is>
      </c>
      <c r="B3889" s="1" t="n">
        <v>45545.56025462963</v>
      </c>
      <c r="C3889" s="1" t="n">
        <v>46093</v>
      </c>
      <c r="D3889" t="inlineStr">
        <is>
          <t>VÄSTERNORRLANDS LÄN</t>
        </is>
      </c>
      <c r="E3889" t="inlineStr">
        <is>
          <t>SOLLEFTEÅ</t>
        </is>
      </c>
      <c r="F3889" t="inlineStr">
        <is>
          <t>Holmen skog AB</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38973-2025</t>
        </is>
      </c>
      <c r="B3890" s="1" t="n">
        <v>45887</v>
      </c>
      <c r="C3890" s="1" t="n">
        <v>46093</v>
      </c>
      <c r="D3890" t="inlineStr">
        <is>
          <t>VÄSTERNORRLANDS LÄN</t>
        </is>
      </c>
      <c r="E3890" t="inlineStr">
        <is>
          <t>SOLLEFTEÅ</t>
        </is>
      </c>
      <c r="F3890" t="inlineStr">
        <is>
          <t>SCA</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47704-2024</t>
        </is>
      </c>
      <c r="B3891" s="1" t="n">
        <v>45588.46719907408</v>
      </c>
      <c r="C3891" s="1" t="n">
        <v>46093</v>
      </c>
      <c r="D3891" t="inlineStr">
        <is>
          <t>VÄSTERNORRLANDS LÄN</t>
        </is>
      </c>
      <c r="E3891" t="inlineStr">
        <is>
          <t>ÖRNSKÖLDSVIK</t>
        </is>
      </c>
      <c r="F3891" t="inlineStr">
        <is>
          <t>Holmen skog AB</t>
        </is>
      </c>
      <c r="G3891" t="n">
        <v>12.9</v>
      </c>
      <c r="H3891" t="n">
        <v>0</v>
      </c>
      <c r="I3891" t="n">
        <v>0</v>
      </c>
      <c r="J3891" t="n">
        <v>0</v>
      </c>
      <c r="K3891" t="n">
        <v>0</v>
      </c>
      <c r="L3891" t="n">
        <v>0</v>
      </c>
      <c r="M3891" t="n">
        <v>0</v>
      </c>
      <c r="N3891" t="n">
        <v>0</v>
      </c>
      <c r="O3891" t="n">
        <v>0</v>
      </c>
      <c r="P3891" t="n">
        <v>0</v>
      </c>
      <c r="Q3891" t="n">
        <v>0</v>
      </c>
      <c r="R3891" s="2" t="inlineStr"/>
    </row>
    <row r="3892" ht="15" customHeight="1">
      <c r="A3892" t="inlineStr">
        <is>
          <t>A 39920-2023</t>
        </is>
      </c>
      <c r="B3892" s="1" t="n">
        <v>45168.47075231482</v>
      </c>
      <c r="C3892" s="1" t="n">
        <v>46093</v>
      </c>
      <c r="D3892" t="inlineStr">
        <is>
          <t>VÄSTERNORRLANDS LÄN</t>
        </is>
      </c>
      <c r="E3892" t="inlineStr">
        <is>
          <t>ÖRNSKÖLDSVIK</t>
        </is>
      </c>
      <c r="F3892" t="inlineStr">
        <is>
          <t>Holmen skog AB</t>
        </is>
      </c>
      <c r="G3892" t="n">
        <v>3.5</v>
      </c>
      <c r="H3892" t="n">
        <v>0</v>
      </c>
      <c r="I3892" t="n">
        <v>0</v>
      </c>
      <c r="J3892" t="n">
        <v>0</v>
      </c>
      <c r="K3892" t="n">
        <v>0</v>
      </c>
      <c r="L3892" t="n">
        <v>0</v>
      </c>
      <c r="M3892" t="n">
        <v>0</v>
      </c>
      <c r="N3892" t="n">
        <v>0</v>
      </c>
      <c r="O3892" t="n">
        <v>0</v>
      </c>
      <c r="P3892" t="n">
        <v>0</v>
      </c>
      <c r="Q3892" t="n">
        <v>0</v>
      </c>
      <c r="R3892" s="2" t="inlineStr"/>
    </row>
    <row r="3893" ht="15" customHeight="1">
      <c r="A3893" t="inlineStr">
        <is>
          <t>A 39915-2025</t>
        </is>
      </c>
      <c r="B3893" s="1" t="n">
        <v>45891.65678240741</v>
      </c>
      <c r="C3893" s="1" t="n">
        <v>46093</v>
      </c>
      <c r="D3893" t="inlineStr">
        <is>
          <t>VÄSTERNORRLANDS LÄN</t>
        </is>
      </c>
      <c r="E3893" t="inlineStr">
        <is>
          <t>SUNDSVALL</t>
        </is>
      </c>
      <c r="F3893" t="inlineStr">
        <is>
          <t>SCA</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35716-2025</t>
        </is>
      </c>
      <c r="B3894" s="1" t="n">
        <v>45860.42753472222</v>
      </c>
      <c r="C3894" s="1" t="n">
        <v>46093</v>
      </c>
      <c r="D3894" t="inlineStr">
        <is>
          <t>VÄSTERNORRLANDS LÄN</t>
        </is>
      </c>
      <c r="E3894" t="inlineStr">
        <is>
          <t>SUNDSVALL</t>
        </is>
      </c>
      <c r="F3894" t="inlineStr">
        <is>
          <t>SCA</t>
        </is>
      </c>
      <c r="G3894" t="n">
        <v>4.2</v>
      </c>
      <c r="H3894" t="n">
        <v>0</v>
      </c>
      <c r="I3894" t="n">
        <v>0</v>
      </c>
      <c r="J3894" t="n">
        <v>0</v>
      </c>
      <c r="K3894" t="n">
        <v>0</v>
      </c>
      <c r="L3894" t="n">
        <v>0</v>
      </c>
      <c r="M3894" t="n">
        <v>0</v>
      </c>
      <c r="N3894" t="n">
        <v>0</v>
      </c>
      <c r="O3894" t="n">
        <v>0</v>
      </c>
      <c r="P3894" t="n">
        <v>0</v>
      </c>
      <c r="Q3894" t="n">
        <v>0</v>
      </c>
      <c r="R3894" s="2" t="inlineStr"/>
    </row>
    <row r="3895" ht="15" customHeight="1">
      <c r="A3895" t="inlineStr">
        <is>
          <t>A 34313-2024</t>
        </is>
      </c>
      <c r="B3895" s="1" t="n">
        <v>45524</v>
      </c>
      <c r="C3895" s="1" t="n">
        <v>46093</v>
      </c>
      <c r="D3895" t="inlineStr">
        <is>
          <t>VÄSTERNORRLANDS LÄN</t>
        </is>
      </c>
      <c r="E3895" t="inlineStr">
        <is>
          <t>SOLLEFTEÅ</t>
        </is>
      </c>
      <c r="F3895" t="inlineStr">
        <is>
          <t>Övriga statliga verk och myndigheter</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34318-2024</t>
        </is>
      </c>
      <c r="B3896" s="1" t="n">
        <v>45524</v>
      </c>
      <c r="C3896" s="1" t="n">
        <v>46093</v>
      </c>
      <c r="D3896" t="inlineStr">
        <is>
          <t>VÄSTERNORRLANDS LÄN</t>
        </is>
      </c>
      <c r="E3896" t="inlineStr">
        <is>
          <t>SOLLEFTEÅ</t>
        </is>
      </c>
      <c r="F3896" t="inlineStr">
        <is>
          <t>Övriga statliga verk och myndigheter</t>
        </is>
      </c>
      <c r="G3896" t="n">
        <v>0.3</v>
      </c>
      <c r="H3896" t="n">
        <v>0</v>
      </c>
      <c r="I3896" t="n">
        <v>0</v>
      </c>
      <c r="J3896" t="n">
        <v>0</v>
      </c>
      <c r="K3896" t="n">
        <v>0</v>
      </c>
      <c r="L3896" t="n">
        <v>0</v>
      </c>
      <c r="M3896" t="n">
        <v>0</v>
      </c>
      <c r="N3896" t="n">
        <v>0</v>
      </c>
      <c r="O3896" t="n">
        <v>0</v>
      </c>
      <c r="P3896" t="n">
        <v>0</v>
      </c>
      <c r="Q3896" t="n">
        <v>0</v>
      </c>
      <c r="R3896" s="2" t="inlineStr"/>
    </row>
    <row r="3897" ht="15" customHeight="1">
      <c r="A3897" t="inlineStr">
        <is>
          <t>A 39729-2025</t>
        </is>
      </c>
      <c r="B3897" s="1" t="n">
        <v>45891</v>
      </c>
      <c r="C3897" s="1" t="n">
        <v>46093</v>
      </c>
      <c r="D3897" t="inlineStr">
        <is>
          <t>VÄSTERNORRLANDS LÄN</t>
        </is>
      </c>
      <c r="E3897" t="inlineStr">
        <is>
          <t>ÅNGE</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43664-2023</t>
        </is>
      </c>
      <c r="B3898" s="1" t="n">
        <v>45187.36067129629</v>
      </c>
      <c r="C3898" s="1" t="n">
        <v>46093</v>
      </c>
      <c r="D3898" t="inlineStr">
        <is>
          <t>VÄSTERNORRLANDS LÄN</t>
        </is>
      </c>
      <c r="E3898" t="inlineStr">
        <is>
          <t>ÖRNSKÖLDSVIK</t>
        </is>
      </c>
      <c r="F3898" t="inlineStr">
        <is>
          <t>Holmen skog AB</t>
        </is>
      </c>
      <c r="G3898" t="n">
        <v>7</v>
      </c>
      <c r="H3898" t="n">
        <v>0</v>
      </c>
      <c r="I3898" t="n">
        <v>0</v>
      </c>
      <c r="J3898" t="n">
        <v>0</v>
      </c>
      <c r="K3898" t="n">
        <v>0</v>
      </c>
      <c r="L3898" t="n">
        <v>0</v>
      </c>
      <c r="M3898" t="n">
        <v>0</v>
      </c>
      <c r="N3898" t="n">
        <v>0</v>
      </c>
      <c r="O3898" t="n">
        <v>0</v>
      </c>
      <c r="P3898" t="n">
        <v>0</v>
      </c>
      <c r="Q3898" t="n">
        <v>0</v>
      </c>
      <c r="R3898" s="2" t="inlineStr"/>
    </row>
    <row r="3899" ht="15" customHeight="1">
      <c r="A3899" t="inlineStr">
        <is>
          <t>A 21997-2023</t>
        </is>
      </c>
      <c r="B3899" s="1" t="n">
        <v>45068</v>
      </c>
      <c r="C3899" s="1" t="n">
        <v>46093</v>
      </c>
      <c r="D3899" t="inlineStr">
        <is>
          <t>VÄSTERNORRLANDS LÄN</t>
        </is>
      </c>
      <c r="E3899" t="inlineStr">
        <is>
          <t>SUNDSVALL</t>
        </is>
      </c>
      <c r="G3899" t="n">
        <v>4.1</v>
      </c>
      <c r="H3899" t="n">
        <v>0</v>
      </c>
      <c r="I3899" t="n">
        <v>0</v>
      </c>
      <c r="J3899" t="n">
        <v>0</v>
      </c>
      <c r="K3899" t="n">
        <v>0</v>
      </c>
      <c r="L3899" t="n">
        <v>0</v>
      </c>
      <c r="M3899" t="n">
        <v>0</v>
      </c>
      <c r="N3899" t="n">
        <v>0</v>
      </c>
      <c r="O3899" t="n">
        <v>0</v>
      </c>
      <c r="P3899" t="n">
        <v>0</v>
      </c>
      <c r="Q3899" t="n">
        <v>0</v>
      </c>
      <c r="R3899" s="2" t="inlineStr"/>
    </row>
    <row r="3900" ht="15" customHeight="1">
      <c r="A3900" t="inlineStr">
        <is>
          <t>A 12123-2024</t>
        </is>
      </c>
      <c r="B3900" s="1" t="n">
        <v>45377</v>
      </c>
      <c r="C3900" s="1" t="n">
        <v>46093</v>
      </c>
      <c r="D3900" t="inlineStr">
        <is>
          <t>VÄSTERNORRLANDS LÄN</t>
        </is>
      </c>
      <c r="E3900" t="inlineStr">
        <is>
          <t>ÅNGE</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2410-2025</t>
        </is>
      </c>
      <c r="B3901" s="1" t="n">
        <v>45674.36216435185</v>
      </c>
      <c r="C3901" s="1" t="n">
        <v>46093</v>
      </c>
      <c r="D3901" t="inlineStr">
        <is>
          <t>VÄSTERNORRLANDS LÄN</t>
        </is>
      </c>
      <c r="E3901" t="inlineStr">
        <is>
          <t>KRAMFORS</t>
        </is>
      </c>
      <c r="G3901" t="n">
        <v>3.5</v>
      </c>
      <c r="H3901" t="n">
        <v>0</v>
      </c>
      <c r="I3901" t="n">
        <v>0</v>
      </c>
      <c r="J3901" t="n">
        <v>0</v>
      </c>
      <c r="K3901" t="n">
        <v>0</v>
      </c>
      <c r="L3901" t="n">
        <v>0</v>
      </c>
      <c r="M3901" t="n">
        <v>0</v>
      </c>
      <c r="N3901" t="n">
        <v>0</v>
      </c>
      <c r="O3901" t="n">
        <v>0</v>
      </c>
      <c r="P3901" t="n">
        <v>0</v>
      </c>
      <c r="Q3901" t="n">
        <v>0</v>
      </c>
      <c r="R3901" s="2" t="inlineStr"/>
    </row>
    <row r="3902" ht="15" customHeight="1">
      <c r="A3902" t="inlineStr">
        <is>
          <t>A 29186-2025</t>
        </is>
      </c>
      <c r="B3902" s="1" t="n">
        <v>45821</v>
      </c>
      <c r="C3902" s="1" t="n">
        <v>46093</v>
      </c>
      <c r="D3902" t="inlineStr">
        <is>
          <t>VÄSTERNORRLANDS LÄN</t>
        </is>
      </c>
      <c r="E3902" t="inlineStr">
        <is>
          <t>TIMRÅ</t>
        </is>
      </c>
      <c r="G3902" t="n">
        <v>7.1</v>
      </c>
      <c r="H3902" t="n">
        <v>0</v>
      </c>
      <c r="I3902" t="n">
        <v>0</v>
      </c>
      <c r="J3902" t="n">
        <v>0</v>
      </c>
      <c r="K3902" t="n">
        <v>0</v>
      </c>
      <c r="L3902" t="n">
        <v>0</v>
      </c>
      <c r="M3902" t="n">
        <v>0</v>
      </c>
      <c r="N3902" t="n">
        <v>0</v>
      </c>
      <c r="O3902" t="n">
        <v>0</v>
      </c>
      <c r="P3902" t="n">
        <v>0</v>
      </c>
      <c r="Q3902" t="n">
        <v>0</v>
      </c>
      <c r="R3902" s="2" t="inlineStr"/>
    </row>
    <row r="3903" ht="15" customHeight="1">
      <c r="A3903" t="inlineStr">
        <is>
          <t>A 35693-2025</t>
        </is>
      </c>
      <c r="B3903" s="1" t="n">
        <v>45860.34459490741</v>
      </c>
      <c r="C3903" s="1" t="n">
        <v>46093</v>
      </c>
      <c r="D3903" t="inlineStr">
        <is>
          <t>VÄSTERNORRLANDS LÄN</t>
        </is>
      </c>
      <c r="E3903" t="inlineStr">
        <is>
          <t>TIMRÅ</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35694-2025</t>
        </is>
      </c>
      <c r="B3904" s="1" t="n">
        <v>45860.34461805555</v>
      </c>
      <c r="C3904" s="1" t="n">
        <v>46093</v>
      </c>
      <c r="D3904" t="inlineStr">
        <is>
          <t>VÄSTERNORRLANDS LÄN</t>
        </is>
      </c>
      <c r="E3904" t="inlineStr">
        <is>
          <t>TIMRÅ</t>
        </is>
      </c>
      <c r="G3904" t="n">
        <v>4.9</v>
      </c>
      <c r="H3904" t="n">
        <v>0</v>
      </c>
      <c r="I3904" t="n">
        <v>0</v>
      </c>
      <c r="J3904" t="n">
        <v>0</v>
      </c>
      <c r="K3904" t="n">
        <v>0</v>
      </c>
      <c r="L3904" t="n">
        <v>0</v>
      </c>
      <c r="M3904" t="n">
        <v>0</v>
      </c>
      <c r="N3904" t="n">
        <v>0</v>
      </c>
      <c r="O3904" t="n">
        <v>0</v>
      </c>
      <c r="P3904" t="n">
        <v>0</v>
      </c>
      <c r="Q3904" t="n">
        <v>0</v>
      </c>
      <c r="R3904" s="2" t="inlineStr"/>
    </row>
    <row r="3905" ht="15" customHeight="1">
      <c r="A3905" t="inlineStr">
        <is>
          <t>A 35696-2025</t>
        </is>
      </c>
      <c r="B3905" s="1" t="n">
        <v>45860.34473379629</v>
      </c>
      <c r="C3905" s="1" t="n">
        <v>46093</v>
      </c>
      <c r="D3905" t="inlineStr">
        <is>
          <t>VÄSTERNORRLANDS LÄN</t>
        </is>
      </c>
      <c r="E3905" t="inlineStr">
        <is>
          <t>ÖRNSKÖLDSVIK</t>
        </is>
      </c>
      <c r="G3905" t="n">
        <v>3.5</v>
      </c>
      <c r="H3905" t="n">
        <v>0</v>
      </c>
      <c r="I3905" t="n">
        <v>0</v>
      </c>
      <c r="J3905" t="n">
        <v>0</v>
      </c>
      <c r="K3905" t="n">
        <v>0</v>
      </c>
      <c r="L3905" t="n">
        <v>0</v>
      </c>
      <c r="M3905" t="n">
        <v>0</v>
      </c>
      <c r="N3905" t="n">
        <v>0</v>
      </c>
      <c r="O3905" t="n">
        <v>0</v>
      </c>
      <c r="P3905" t="n">
        <v>0</v>
      </c>
      <c r="Q3905" t="n">
        <v>0</v>
      </c>
      <c r="R3905" s="2" t="inlineStr"/>
    </row>
    <row r="3906" ht="15" customHeight="1">
      <c r="A3906" t="inlineStr">
        <is>
          <t>A 35703-2025</t>
        </is>
      </c>
      <c r="B3906" s="1" t="n">
        <v>45860.36497685185</v>
      </c>
      <c r="C3906" s="1" t="n">
        <v>46093</v>
      </c>
      <c r="D3906" t="inlineStr">
        <is>
          <t>VÄSTERNORRLANDS LÄN</t>
        </is>
      </c>
      <c r="E3906" t="inlineStr">
        <is>
          <t>SOLLEFTEÅ</t>
        </is>
      </c>
      <c r="F3906" t="inlineStr">
        <is>
          <t>SCA</t>
        </is>
      </c>
      <c r="G3906" t="n">
        <v>16.5</v>
      </c>
      <c r="H3906" t="n">
        <v>0</v>
      </c>
      <c r="I3906" t="n">
        <v>0</v>
      </c>
      <c r="J3906" t="n">
        <v>0</v>
      </c>
      <c r="K3906" t="n">
        <v>0</v>
      </c>
      <c r="L3906" t="n">
        <v>0</v>
      </c>
      <c r="M3906" t="n">
        <v>0</v>
      </c>
      <c r="N3906" t="n">
        <v>0</v>
      </c>
      <c r="O3906" t="n">
        <v>0</v>
      </c>
      <c r="P3906" t="n">
        <v>0</v>
      </c>
      <c r="Q3906" t="n">
        <v>0</v>
      </c>
      <c r="R3906" s="2" t="inlineStr"/>
    </row>
    <row r="3907" ht="15" customHeight="1">
      <c r="A3907" t="inlineStr">
        <is>
          <t>A 35704-2025</t>
        </is>
      </c>
      <c r="B3907" s="1" t="n">
        <v>45860.36518518518</v>
      </c>
      <c r="C3907" s="1" t="n">
        <v>46093</v>
      </c>
      <c r="D3907" t="inlineStr">
        <is>
          <t>VÄSTERNORRLANDS LÄN</t>
        </is>
      </c>
      <c r="E3907" t="inlineStr">
        <is>
          <t>SOLLEFTEÅ</t>
        </is>
      </c>
      <c r="F3907" t="inlineStr">
        <is>
          <t>SCA</t>
        </is>
      </c>
      <c r="G3907" t="n">
        <v>8</v>
      </c>
      <c r="H3907" t="n">
        <v>0</v>
      </c>
      <c r="I3907" t="n">
        <v>0</v>
      </c>
      <c r="J3907" t="n">
        <v>0</v>
      </c>
      <c r="K3907" t="n">
        <v>0</v>
      </c>
      <c r="L3907" t="n">
        <v>0</v>
      </c>
      <c r="M3907" t="n">
        <v>0</v>
      </c>
      <c r="N3907" t="n">
        <v>0</v>
      </c>
      <c r="O3907" t="n">
        <v>0</v>
      </c>
      <c r="P3907" t="n">
        <v>0</v>
      </c>
      <c r="Q3907" t="n">
        <v>0</v>
      </c>
      <c r="R3907" s="2" t="inlineStr"/>
    </row>
    <row r="3908" ht="15" customHeight="1">
      <c r="A3908" t="inlineStr">
        <is>
          <t>A 63216-2023</t>
        </is>
      </c>
      <c r="B3908" s="1" t="n">
        <v>45273.62721064815</v>
      </c>
      <c r="C3908" s="1" t="n">
        <v>46093</v>
      </c>
      <c r="D3908" t="inlineStr">
        <is>
          <t>VÄSTERNORRLANDS LÄN</t>
        </is>
      </c>
      <c r="E3908" t="inlineStr">
        <is>
          <t>ÅNGE</t>
        </is>
      </c>
      <c r="F3908" t="inlineStr">
        <is>
          <t>Holmen skog AB</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63228-2023</t>
        </is>
      </c>
      <c r="B3909" s="1" t="n">
        <v>45273</v>
      </c>
      <c r="C3909" s="1" t="n">
        <v>46093</v>
      </c>
      <c r="D3909" t="inlineStr">
        <is>
          <t>VÄSTERNORRLANDS LÄN</t>
        </is>
      </c>
      <c r="E3909" t="inlineStr">
        <is>
          <t>KRAMFORS</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21054-2024</t>
        </is>
      </c>
      <c r="B3910" s="1" t="n">
        <v>45439</v>
      </c>
      <c r="C3910" s="1" t="n">
        <v>46093</v>
      </c>
      <c r="D3910" t="inlineStr">
        <is>
          <t>VÄSTERNORRLANDS LÄN</t>
        </is>
      </c>
      <c r="E3910" t="inlineStr">
        <is>
          <t>ÖRNSKÖLDSVIK</t>
        </is>
      </c>
      <c r="G3910" t="n">
        <v>8.6</v>
      </c>
      <c r="H3910" t="n">
        <v>0</v>
      </c>
      <c r="I3910" t="n">
        <v>0</v>
      </c>
      <c r="J3910" t="n">
        <v>0</v>
      </c>
      <c r="K3910" t="n">
        <v>0</v>
      </c>
      <c r="L3910" t="n">
        <v>0</v>
      </c>
      <c r="M3910" t="n">
        <v>0</v>
      </c>
      <c r="N3910" t="n">
        <v>0</v>
      </c>
      <c r="O3910" t="n">
        <v>0</v>
      </c>
      <c r="P3910" t="n">
        <v>0</v>
      </c>
      <c r="Q3910" t="n">
        <v>0</v>
      </c>
      <c r="R3910" s="2" t="inlineStr"/>
    </row>
    <row r="3911" ht="15" customHeight="1">
      <c r="A3911" t="inlineStr">
        <is>
          <t>A 40342-2024</t>
        </is>
      </c>
      <c r="B3911" s="1" t="n">
        <v>45555.34199074074</v>
      </c>
      <c r="C3911" s="1" t="n">
        <v>46093</v>
      </c>
      <c r="D3911" t="inlineStr">
        <is>
          <t>VÄSTERNORRLANDS LÄN</t>
        </is>
      </c>
      <c r="E3911" t="inlineStr">
        <is>
          <t>ÖRNSKÖLDSVIK</t>
        </is>
      </c>
      <c r="F3911" t="inlineStr">
        <is>
          <t>Holmen skog AB</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21088-2024</t>
        </is>
      </c>
      <c r="B3912" s="1" t="n">
        <v>45439</v>
      </c>
      <c r="C3912" s="1" t="n">
        <v>46093</v>
      </c>
      <c r="D3912" t="inlineStr">
        <is>
          <t>VÄSTERNORRLANDS LÄN</t>
        </is>
      </c>
      <c r="E3912" t="inlineStr">
        <is>
          <t>SUNDSVALL</t>
        </is>
      </c>
      <c r="F3912" t="inlineStr">
        <is>
          <t>SCA</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40921-2024</t>
        </is>
      </c>
      <c r="B3913" s="1" t="n">
        <v>45558.6358912037</v>
      </c>
      <c r="C3913" s="1" t="n">
        <v>46093</v>
      </c>
      <c r="D3913" t="inlineStr">
        <is>
          <t>VÄSTERNORRLANDS LÄN</t>
        </is>
      </c>
      <c r="E3913" t="inlineStr">
        <is>
          <t>SOLLEFTEÅ</t>
        </is>
      </c>
      <c r="F3913" t="inlineStr">
        <is>
          <t>SCA</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40014-2025</t>
        </is>
      </c>
      <c r="B3914" s="1" t="n">
        <v>45894</v>
      </c>
      <c r="C3914" s="1" t="n">
        <v>46093</v>
      </c>
      <c r="D3914" t="inlineStr">
        <is>
          <t>VÄSTERNORRLANDS LÄN</t>
        </is>
      </c>
      <c r="E3914" t="inlineStr">
        <is>
          <t>SOLLEFTEÅ</t>
        </is>
      </c>
      <c r="F3914" t="inlineStr">
        <is>
          <t>SCA</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12750-2022</t>
        </is>
      </c>
      <c r="B3915" s="1" t="n">
        <v>44641</v>
      </c>
      <c r="C3915" s="1" t="n">
        <v>46093</v>
      </c>
      <c r="D3915" t="inlineStr">
        <is>
          <t>VÄSTERNORRLANDS LÄN</t>
        </is>
      </c>
      <c r="E3915" t="inlineStr">
        <is>
          <t>HÄRNÖSAND</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40048-2025</t>
        </is>
      </c>
      <c r="B3916" s="1" t="n">
        <v>45894.40679398148</v>
      </c>
      <c r="C3916" s="1" t="n">
        <v>46093</v>
      </c>
      <c r="D3916" t="inlineStr">
        <is>
          <t>VÄSTERNORRLANDS LÄN</t>
        </is>
      </c>
      <c r="E3916" t="inlineStr">
        <is>
          <t>SOLLEFTEÅ</t>
        </is>
      </c>
      <c r="F3916" t="inlineStr">
        <is>
          <t>SCA</t>
        </is>
      </c>
      <c r="G3916" t="n">
        <v>3.9</v>
      </c>
      <c r="H3916" t="n">
        <v>0</v>
      </c>
      <c r="I3916" t="n">
        <v>0</v>
      </c>
      <c r="J3916" t="n">
        <v>0</v>
      </c>
      <c r="K3916" t="n">
        <v>0</v>
      </c>
      <c r="L3916" t="n">
        <v>0</v>
      </c>
      <c r="M3916" t="n">
        <v>0</v>
      </c>
      <c r="N3916" t="n">
        <v>0</v>
      </c>
      <c r="O3916" t="n">
        <v>0</v>
      </c>
      <c r="P3916" t="n">
        <v>0</v>
      </c>
      <c r="Q3916" t="n">
        <v>0</v>
      </c>
      <c r="R3916" s="2" t="inlineStr"/>
    </row>
    <row r="3917" ht="15" customHeight="1">
      <c r="A3917" t="inlineStr">
        <is>
          <t>A 40050-2025</t>
        </is>
      </c>
      <c r="B3917" s="1" t="n">
        <v>45894.40717592592</v>
      </c>
      <c r="C3917" s="1" t="n">
        <v>46093</v>
      </c>
      <c r="D3917" t="inlineStr">
        <is>
          <t>VÄSTERNORRLANDS LÄN</t>
        </is>
      </c>
      <c r="E3917" t="inlineStr">
        <is>
          <t>SOLLEFTEÅ</t>
        </is>
      </c>
      <c r="F3917" t="inlineStr">
        <is>
          <t>SCA</t>
        </is>
      </c>
      <c r="G3917" t="n">
        <v>4.4</v>
      </c>
      <c r="H3917" t="n">
        <v>0</v>
      </c>
      <c r="I3917" t="n">
        <v>0</v>
      </c>
      <c r="J3917" t="n">
        <v>0</v>
      </c>
      <c r="K3917" t="n">
        <v>0</v>
      </c>
      <c r="L3917" t="n">
        <v>0</v>
      </c>
      <c r="M3917" t="n">
        <v>0</v>
      </c>
      <c r="N3917" t="n">
        <v>0</v>
      </c>
      <c r="O3917" t="n">
        <v>0</v>
      </c>
      <c r="P3917" t="n">
        <v>0</v>
      </c>
      <c r="Q3917" t="n">
        <v>0</v>
      </c>
      <c r="R3917" s="2" t="inlineStr"/>
    </row>
    <row r="3918" ht="15" customHeight="1">
      <c r="A3918" t="inlineStr">
        <is>
          <t>A 42396-2023</t>
        </is>
      </c>
      <c r="B3918" s="1" t="n">
        <v>45175</v>
      </c>
      <c r="C3918" s="1" t="n">
        <v>46093</v>
      </c>
      <c r="D3918" t="inlineStr">
        <is>
          <t>VÄSTERNORRLANDS LÄN</t>
        </is>
      </c>
      <c r="E3918" t="inlineStr">
        <is>
          <t>ÖRNSKÖLDSVIK</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13291-2022</t>
        </is>
      </c>
      <c r="B3919" s="1" t="n">
        <v>44644.92293981482</v>
      </c>
      <c r="C3919" s="1" t="n">
        <v>46093</v>
      </c>
      <c r="D3919" t="inlineStr">
        <is>
          <t>VÄSTERNORRLANDS LÄN</t>
        </is>
      </c>
      <c r="E3919" t="inlineStr">
        <is>
          <t>SUNDSVALL</t>
        </is>
      </c>
      <c r="G3919" t="n">
        <v>3.6</v>
      </c>
      <c r="H3919" t="n">
        <v>0</v>
      </c>
      <c r="I3919" t="n">
        <v>0</v>
      </c>
      <c r="J3919" t="n">
        <v>0</v>
      </c>
      <c r="K3919" t="n">
        <v>0</v>
      </c>
      <c r="L3919" t="n">
        <v>0</v>
      </c>
      <c r="M3919" t="n">
        <v>0</v>
      </c>
      <c r="N3919" t="n">
        <v>0</v>
      </c>
      <c r="O3919" t="n">
        <v>0</v>
      </c>
      <c r="P3919" t="n">
        <v>0</v>
      </c>
      <c r="Q3919" t="n">
        <v>0</v>
      </c>
      <c r="R3919" s="2" t="inlineStr"/>
    </row>
    <row r="3920" ht="15" customHeight="1">
      <c r="A3920" t="inlineStr">
        <is>
          <t>A 4815-2024</t>
        </is>
      </c>
      <c r="B3920" s="1" t="n">
        <v>45328</v>
      </c>
      <c r="C3920" s="1" t="n">
        <v>46093</v>
      </c>
      <c r="D3920" t="inlineStr">
        <is>
          <t>VÄSTERNORRLANDS LÄN</t>
        </is>
      </c>
      <c r="E3920" t="inlineStr">
        <is>
          <t>KRAMFORS</t>
        </is>
      </c>
      <c r="F3920" t="inlineStr">
        <is>
          <t>SCA</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39935-2025</t>
        </is>
      </c>
      <c r="B3921" s="1" t="n">
        <v>45891</v>
      </c>
      <c r="C3921" s="1" t="n">
        <v>46093</v>
      </c>
      <c r="D3921" t="inlineStr">
        <is>
          <t>VÄSTERNORRLANDS LÄN</t>
        </is>
      </c>
      <c r="E3921" t="inlineStr">
        <is>
          <t>SOLLEFTEÅ</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55179-2022</t>
        </is>
      </c>
      <c r="B3922" s="1" t="n">
        <v>44886</v>
      </c>
      <c r="C3922" s="1" t="n">
        <v>46093</v>
      </c>
      <c r="D3922" t="inlineStr">
        <is>
          <t>VÄSTERNORRLANDS LÄN</t>
        </is>
      </c>
      <c r="E3922" t="inlineStr">
        <is>
          <t>TIMRÅ</t>
        </is>
      </c>
      <c r="G3922" t="n">
        <v>0.4</v>
      </c>
      <c r="H3922" t="n">
        <v>0</v>
      </c>
      <c r="I3922" t="n">
        <v>0</v>
      </c>
      <c r="J3922" t="n">
        <v>0</v>
      </c>
      <c r="K3922" t="n">
        <v>0</v>
      </c>
      <c r="L3922" t="n">
        <v>0</v>
      </c>
      <c r="M3922" t="n">
        <v>0</v>
      </c>
      <c r="N3922" t="n">
        <v>0</v>
      </c>
      <c r="O3922" t="n">
        <v>0</v>
      </c>
      <c r="P3922" t="n">
        <v>0</v>
      </c>
      <c r="Q3922" t="n">
        <v>0</v>
      </c>
      <c r="R3922" s="2" t="inlineStr"/>
    </row>
    <row r="3923" ht="15" customHeight="1">
      <c r="A3923" t="inlineStr">
        <is>
          <t>A 55197-2022</t>
        </is>
      </c>
      <c r="B3923" s="1" t="n">
        <v>44886.93714120371</v>
      </c>
      <c r="C3923" s="1" t="n">
        <v>46093</v>
      </c>
      <c r="D3923" t="inlineStr">
        <is>
          <t>VÄSTERNORRLANDS LÄN</t>
        </is>
      </c>
      <c r="E3923" t="inlineStr">
        <is>
          <t>ÅNGE</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50186-2021</t>
        </is>
      </c>
      <c r="B3924" s="1" t="n">
        <v>44456</v>
      </c>
      <c r="C3924" s="1" t="n">
        <v>46093</v>
      </c>
      <c r="D3924" t="inlineStr">
        <is>
          <t>VÄSTERNORRLANDS LÄN</t>
        </is>
      </c>
      <c r="E3924" t="inlineStr">
        <is>
          <t>ÅNGE</t>
        </is>
      </c>
      <c r="F3924" t="inlineStr">
        <is>
          <t>SCA</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39714-2025</t>
        </is>
      </c>
      <c r="B3925" s="1" t="n">
        <v>45890.95637731482</v>
      </c>
      <c r="C3925" s="1" t="n">
        <v>46093</v>
      </c>
      <c r="D3925" t="inlineStr">
        <is>
          <t>VÄSTERNORRLANDS LÄN</t>
        </is>
      </c>
      <c r="E3925" t="inlineStr">
        <is>
          <t>KRAMFORS</t>
        </is>
      </c>
      <c r="G3925" t="n">
        <v>3.3</v>
      </c>
      <c r="H3925" t="n">
        <v>0</v>
      </c>
      <c r="I3925" t="n">
        <v>0</v>
      </c>
      <c r="J3925" t="n">
        <v>0</v>
      </c>
      <c r="K3925" t="n">
        <v>0</v>
      </c>
      <c r="L3925" t="n">
        <v>0</v>
      </c>
      <c r="M3925" t="n">
        <v>0</v>
      </c>
      <c r="N3925" t="n">
        <v>0</v>
      </c>
      <c r="O3925" t="n">
        <v>0</v>
      </c>
      <c r="P3925" t="n">
        <v>0</v>
      </c>
      <c r="Q3925" t="n">
        <v>0</v>
      </c>
      <c r="R3925" s="2" t="inlineStr"/>
    </row>
    <row r="3926" ht="15" customHeight="1">
      <c r="A3926" t="inlineStr">
        <is>
          <t>A 39446-2024</t>
        </is>
      </c>
      <c r="B3926" s="1" t="n">
        <v>45551</v>
      </c>
      <c r="C3926" s="1" t="n">
        <v>46093</v>
      </c>
      <c r="D3926" t="inlineStr">
        <is>
          <t>VÄSTERNORRLANDS LÄN</t>
        </is>
      </c>
      <c r="E3926" t="inlineStr">
        <is>
          <t>SOLLEFTEÅ</t>
        </is>
      </c>
      <c r="F3926" t="inlineStr">
        <is>
          <t>SCA</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39550-2024</t>
        </is>
      </c>
      <c r="B3927" s="1" t="n">
        <v>45552.32645833334</v>
      </c>
      <c r="C3927" s="1" t="n">
        <v>46093</v>
      </c>
      <c r="D3927" t="inlineStr">
        <is>
          <t>VÄSTERNORRLANDS LÄN</t>
        </is>
      </c>
      <c r="E3927" t="inlineStr">
        <is>
          <t>ÖRNSKÖLDSVIK</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4800-2023</t>
        </is>
      </c>
      <c r="B3928" s="1" t="n">
        <v>44952</v>
      </c>
      <c r="C3928" s="1" t="n">
        <v>46093</v>
      </c>
      <c r="D3928" t="inlineStr">
        <is>
          <t>VÄSTERNORRLANDS LÄN</t>
        </is>
      </c>
      <c r="E3928" t="inlineStr">
        <is>
          <t>SUNDSVALL</t>
        </is>
      </c>
      <c r="G3928" t="n">
        <v>0.3</v>
      </c>
      <c r="H3928" t="n">
        <v>0</v>
      </c>
      <c r="I3928" t="n">
        <v>0</v>
      </c>
      <c r="J3928" t="n">
        <v>0</v>
      </c>
      <c r="K3928" t="n">
        <v>0</v>
      </c>
      <c r="L3928" t="n">
        <v>0</v>
      </c>
      <c r="M3928" t="n">
        <v>0</v>
      </c>
      <c r="N3928" t="n">
        <v>0</v>
      </c>
      <c r="O3928" t="n">
        <v>0</v>
      </c>
      <c r="P3928" t="n">
        <v>0</v>
      </c>
      <c r="Q3928" t="n">
        <v>0</v>
      </c>
      <c r="R3928" s="2" t="inlineStr"/>
    </row>
    <row r="3929" ht="15" customHeight="1">
      <c r="A3929" t="inlineStr">
        <is>
          <t>A 39914-2025</t>
        </is>
      </c>
      <c r="B3929" s="1" t="n">
        <v>45891.65660879629</v>
      </c>
      <c r="C3929" s="1" t="n">
        <v>46093</v>
      </c>
      <c r="D3929" t="inlineStr">
        <is>
          <t>VÄSTERNORRLANDS LÄN</t>
        </is>
      </c>
      <c r="E3929" t="inlineStr">
        <is>
          <t>SUNDSVALL</t>
        </is>
      </c>
      <c r="F3929" t="inlineStr">
        <is>
          <t>SCA</t>
        </is>
      </c>
      <c r="G3929" t="n">
        <v>5.1</v>
      </c>
      <c r="H3929" t="n">
        <v>0</v>
      </c>
      <c r="I3929" t="n">
        <v>0</v>
      </c>
      <c r="J3929" t="n">
        <v>0</v>
      </c>
      <c r="K3929" t="n">
        <v>0</v>
      </c>
      <c r="L3929" t="n">
        <v>0</v>
      </c>
      <c r="M3929" t="n">
        <v>0</v>
      </c>
      <c r="N3929" t="n">
        <v>0</v>
      </c>
      <c r="O3929" t="n">
        <v>0</v>
      </c>
      <c r="P3929" t="n">
        <v>0</v>
      </c>
      <c r="Q3929" t="n">
        <v>0</v>
      </c>
      <c r="R3929" s="2" t="inlineStr"/>
    </row>
    <row r="3930" ht="15" customHeight="1">
      <c r="A3930" t="inlineStr">
        <is>
          <t>A 39918-2025</t>
        </is>
      </c>
      <c r="B3930" s="1" t="n">
        <v>45891.66212962963</v>
      </c>
      <c r="C3930" s="1" t="n">
        <v>46093</v>
      </c>
      <c r="D3930" t="inlineStr">
        <is>
          <t>VÄSTERNORRLANDS LÄN</t>
        </is>
      </c>
      <c r="E3930" t="inlineStr">
        <is>
          <t>ÖRNSKÖLDSVIK</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39922-2025</t>
        </is>
      </c>
      <c r="B3931" s="1" t="n">
        <v>45891.66886574074</v>
      </c>
      <c r="C3931" s="1" t="n">
        <v>46093</v>
      </c>
      <c r="D3931" t="inlineStr">
        <is>
          <t>VÄSTERNORRLANDS LÄN</t>
        </is>
      </c>
      <c r="E3931" t="inlineStr">
        <is>
          <t>ÖRNSKÖLDSVIK</t>
        </is>
      </c>
      <c r="F3931" t="inlineStr">
        <is>
          <t>Holmen skog AB</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2312-2023</t>
        </is>
      </c>
      <c r="B3932" s="1" t="n">
        <v>44942</v>
      </c>
      <c r="C3932" s="1" t="n">
        <v>46093</v>
      </c>
      <c r="D3932" t="inlineStr">
        <is>
          <t>VÄSTERNORRLANDS LÄN</t>
        </is>
      </c>
      <c r="E3932" t="inlineStr">
        <is>
          <t>KRAMFORS</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16450-2025</t>
        </is>
      </c>
      <c r="B3933" s="1" t="n">
        <v>45751.51081018519</v>
      </c>
      <c r="C3933" s="1" t="n">
        <v>46093</v>
      </c>
      <c r="D3933" t="inlineStr">
        <is>
          <t>VÄSTERNORRLANDS LÄN</t>
        </is>
      </c>
      <c r="E3933" t="inlineStr">
        <is>
          <t>ÅNGE</t>
        </is>
      </c>
      <c r="F3933" t="inlineStr">
        <is>
          <t>SCA</t>
        </is>
      </c>
      <c r="G3933" t="n">
        <v>3.9</v>
      </c>
      <c r="H3933" t="n">
        <v>0</v>
      </c>
      <c r="I3933" t="n">
        <v>0</v>
      </c>
      <c r="J3933" t="n">
        <v>0</v>
      </c>
      <c r="K3933" t="n">
        <v>0</v>
      </c>
      <c r="L3933" t="n">
        <v>0</v>
      </c>
      <c r="M3933" t="n">
        <v>0</v>
      </c>
      <c r="N3933" t="n">
        <v>0</v>
      </c>
      <c r="O3933" t="n">
        <v>0</v>
      </c>
      <c r="P3933" t="n">
        <v>0</v>
      </c>
      <c r="Q3933" t="n">
        <v>0</v>
      </c>
      <c r="R3933" s="2" t="inlineStr"/>
    </row>
    <row r="3934" ht="15" customHeight="1">
      <c r="A3934" t="inlineStr">
        <is>
          <t>A 40009-2025</t>
        </is>
      </c>
      <c r="B3934" s="1" t="n">
        <v>45894.34446759259</v>
      </c>
      <c r="C3934" s="1" t="n">
        <v>46093</v>
      </c>
      <c r="D3934" t="inlineStr">
        <is>
          <t>VÄSTERNORRLANDS LÄN</t>
        </is>
      </c>
      <c r="E3934" t="inlineStr">
        <is>
          <t>SOLLEFTEÅ</t>
        </is>
      </c>
      <c r="F3934" t="inlineStr">
        <is>
          <t>SCA</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656-2024</t>
        </is>
      </c>
      <c r="B3935" s="1" t="n">
        <v>45299</v>
      </c>
      <c r="C3935" s="1" t="n">
        <v>46093</v>
      </c>
      <c r="D3935" t="inlineStr">
        <is>
          <t>VÄSTERNORRLANDS LÄN</t>
        </is>
      </c>
      <c r="E3935" t="inlineStr">
        <is>
          <t>SOLLEFTEÅ</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40061-2025</t>
        </is>
      </c>
      <c r="B3936" s="1" t="n">
        <v>45894.42767361111</v>
      </c>
      <c r="C3936" s="1" t="n">
        <v>46093</v>
      </c>
      <c r="D3936" t="inlineStr">
        <is>
          <t>VÄSTERNORRLANDS LÄN</t>
        </is>
      </c>
      <c r="E3936" t="inlineStr">
        <is>
          <t>SUNDSVALL</t>
        </is>
      </c>
      <c r="F3936" t="inlineStr">
        <is>
          <t>Naturvårdsverket</t>
        </is>
      </c>
      <c r="G3936" t="n">
        <v>7.5</v>
      </c>
      <c r="H3936" t="n">
        <v>0</v>
      </c>
      <c r="I3936" t="n">
        <v>0</v>
      </c>
      <c r="J3936" t="n">
        <v>0</v>
      </c>
      <c r="K3936" t="n">
        <v>0</v>
      </c>
      <c r="L3936" t="n">
        <v>0</v>
      </c>
      <c r="M3936" t="n">
        <v>0</v>
      </c>
      <c r="N3936" t="n">
        <v>0</v>
      </c>
      <c r="O3936" t="n">
        <v>0</v>
      </c>
      <c r="P3936" t="n">
        <v>0</v>
      </c>
      <c r="Q3936" t="n">
        <v>0</v>
      </c>
      <c r="R3936" s="2" t="inlineStr"/>
    </row>
    <row r="3937" ht="15" customHeight="1">
      <c r="A3937" t="inlineStr">
        <is>
          <t>A 683-2024</t>
        </is>
      </c>
      <c r="B3937" s="1" t="n">
        <v>45300</v>
      </c>
      <c r="C3937" s="1" t="n">
        <v>46093</v>
      </c>
      <c r="D3937" t="inlineStr">
        <is>
          <t>VÄSTERNORRLANDS LÄN</t>
        </is>
      </c>
      <c r="E3937" t="inlineStr">
        <is>
          <t>ÖRNSKÖLDSVIK</t>
        </is>
      </c>
      <c r="G3937" t="n">
        <v>4.4</v>
      </c>
      <c r="H3937" t="n">
        <v>0</v>
      </c>
      <c r="I3937" t="n">
        <v>0</v>
      </c>
      <c r="J3937" t="n">
        <v>0</v>
      </c>
      <c r="K3937" t="n">
        <v>0</v>
      </c>
      <c r="L3937" t="n">
        <v>0</v>
      </c>
      <c r="M3937" t="n">
        <v>0</v>
      </c>
      <c r="N3937" t="n">
        <v>0</v>
      </c>
      <c r="O3937" t="n">
        <v>0</v>
      </c>
      <c r="P3937" t="n">
        <v>0</v>
      </c>
      <c r="Q3937" t="n">
        <v>0</v>
      </c>
      <c r="R3937" s="2" t="inlineStr"/>
    </row>
    <row r="3938" ht="15" customHeight="1">
      <c r="A3938" t="inlineStr">
        <is>
          <t>A 40237-2023</t>
        </is>
      </c>
      <c r="B3938" s="1" t="n">
        <v>45168</v>
      </c>
      <c r="C3938" s="1" t="n">
        <v>46093</v>
      </c>
      <c r="D3938" t="inlineStr">
        <is>
          <t>VÄSTERNORRLANDS LÄN</t>
        </is>
      </c>
      <c r="E3938" t="inlineStr">
        <is>
          <t>HÄRNÖSAND</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32180-2024</t>
        </is>
      </c>
      <c r="B3939" s="1" t="n">
        <v>45511</v>
      </c>
      <c r="C3939" s="1" t="n">
        <v>46093</v>
      </c>
      <c r="D3939" t="inlineStr">
        <is>
          <t>VÄSTERNORRLANDS LÄN</t>
        </is>
      </c>
      <c r="E3939" t="inlineStr">
        <is>
          <t>HÄRNÖSAND</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36487-2024</t>
        </is>
      </c>
      <c r="B3940" s="1" t="n">
        <v>45537.3865625</v>
      </c>
      <c r="C3940" s="1" t="n">
        <v>46093</v>
      </c>
      <c r="D3940" t="inlineStr">
        <is>
          <t>VÄSTERNORRLANDS LÄN</t>
        </is>
      </c>
      <c r="E3940" t="inlineStr">
        <is>
          <t>ÖRNSKÖLDSVIK</t>
        </is>
      </c>
      <c r="G3940" t="n">
        <v>5.4</v>
      </c>
      <c r="H3940" t="n">
        <v>0</v>
      </c>
      <c r="I3940" t="n">
        <v>0</v>
      </c>
      <c r="J3940" t="n">
        <v>0</v>
      </c>
      <c r="K3940" t="n">
        <v>0</v>
      </c>
      <c r="L3940" t="n">
        <v>0</v>
      </c>
      <c r="M3940" t="n">
        <v>0</v>
      </c>
      <c r="N3940" t="n">
        <v>0</v>
      </c>
      <c r="O3940" t="n">
        <v>0</v>
      </c>
      <c r="P3940" t="n">
        <v>0</v>
      </c>
      <c r="Q3940" t="n">
        <v>0</v>
      </c>
      <c r="R3940" s="2" t="inlineStr"/>
    </row>
    <row r="3941" ht="15" customHeight="1">
      <c r="A3941" t="inlineStr">
        <is>
          <t>A 58155-2023</t>
        </is>
      </c>
      <c r="B3941" s="1" t="n">
        <v>45250</v>
      </c>
      <c r="C3941" s="1" t="n">
        <v>46093</v>
      </c>
      <c r="D3941" t="inlineStr">
        <is>
          <t>VÄSTERNORRLANDS LÄN</t>
        </is>
      </c>
      <c r="E3941" t="inlineStr">
        <is>
          <t>SOLLEFTEÅ</t>
        </is>
      </c>
      <c r="G3941" t="n">
        <v>4.1</v>
      </c>
      <c r="H3941" t="n">
        <v>0</v>
      </c>
      <c r="I3941" t="n">
        <v>0</v>
      </c>
      <c r="J3941" t="n">
        <v>0</v>
      </c>
      <c r="K3941" t="n">
        <v>0</v>
      </c>
      <c r="L3941" t="n">
        <v>0</v>
      </c>
      <c r="M3941" t="n">
        <v>0</v>
      </c>
      <c r="N3941" t="n">
        <v>0</v>
      </c>
      <c r="O3941" t="n">
        <v>0</v>
      </c>
      <c r="P3941" t="n">
        <v>0</v>
      </c>
      <c r="Q3941" t="n">
        <v>0</v>
      </c>
      <c r="R3941" s="2" t="inlineStr"/>
    </row>
    <row r="3942" ht="15" customHeight="1">
      <c r="A3942" t="inlineStr">
        <is>
          <t>A 39775-2025</t>
        </is>
      </c>
      <c r="B3942" s="1" t="n">
        <v>45891.46113425926</v>
      </c>
      <c r="C3942" s="1" t="n">
        <v>46093</v>
      </c>
      <c r="D3942" t="inlineStr">
        <is>
          <t>VÄSTERNORRLANDS LÄN</t>
        </is>
      </c>
      <c r="E3942" t="inlineStr">
        <is>
          <t>SUNDSVALL</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32421-2024</t>
        </is>
      </c>
      <c r="B3943" s="1" t="n">
        <v>45512</v>
      </c>
      <c r="C3943" s="1" t="n">
        <v>46093</v>
      </c>
      <c r="D3943" t="inlineStr">
        <is>
          <t>VÄSTERNORRLANDS LÄN</t>
        </is>
      </c>
      <c r="E3943" t="inlineStr">
        <is>
          <t>HÄRNÖSAND</t>
        </is>
      </c>
      <c r="G3943" t="n">
        <v>5.8</v>
      </c>
      <c r="H3943" t="n">
        <v>0</v>
      </c>
      <c r="I3943" t="n">
        <v>0</v>
      </c>
      <c r="J3943" t="n">
        <v>0</v>
      </c>
      <c r="K3943" t="n">
        <v>0</v>
      </c>
      <c r="L3943" t="n">
        <v>0</v>
      </c>
      <c r="M3943" t="n">
        <v>0</v>
      </c>
      <c r="N3943" t="n">
        <v>0</v>
      </c>
      <c r="O3943" t="n">
        <v>0</v>
      </c>
      <c r="P3943" t="n">
        <v>0</v>
      </c>
      <c r="Q3943" t="n">
        <v>0</v>
      </c>
      <c r="R3943" s="2" t="inlineStr"/>
    </row>
    <row r="3944" ht="15" customHeight="1">
      <c r="A3944" t="inlineStr">
        <is>
          <t>A 25888-2024</t>
        </is>
      </c>
      <c r="B3944" s="1" t="n">
        <v>45467.5041550926</v>
      </c>
      <c r="C3944" s="1" t="n">
        <v>46093</v>
      </c>
      <c r="D3944" t="inlineStr">
        <is>
          <t>VÄSTERNORRLANDS LÄN</t>
        </is>
      </c>
      <c r="E3944" t="inlineStr">
        <is>
          <t>ÖRNSKÖLDSVIK</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59715-2024</t>
        </is>
      </c>
      <c r="B3945" s="1" t="n">
        <v>45639.45652777778</v>
      </c>
      <c r="C3945" s="1" t="n">
        <v>46093</v>
      </c>
      <c r="D3945" t="inlineStr">
        <is>
          <t>VÄSTERNORRLANDS LÄN</t>
        </is>
      </c>
      <c r="E3945" t="inlineStr">
        <is>
          <t>HÄRNÖSAND</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59563-2024</t>
        </is>
      </c>
      <c r="B3946" s="1" t="n">
        <v>45638.63733796297</v>
      </c>
      <c r="C3946" s="1" t="n">
        <v>46093</v>
      </c>
      <c r="D3946" t="inlineStr">
        <is>
          <t>VÄSTERNORRLANDS LÄN</t>
        </is>
      </c>
      <c r="E3946" t="inlineStr">
        <is>
          <t>SOLLEFTEÅ</t>
        </is>
      </c>
      <c r="F3946" t="inlineStr">
        <is>
          <t>SCA</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59346-2023</t>
        </is>
      </c>
      <c r="B3947" s="1" t="n">
        <v>45253</v>
      </c>
      <c r="C3947" s="1" t="n">
        <v>46093</v>
      </c>
      <c r="D3947" t="inlineStr">
        <is>
          <t>VÄSTERNORRLANDS LÄN</t>
        </is>
      </c>
      <c r="E3947" t="inlineStr">
        <is>
          <t>SOLLEFTEÅ</t>
        </is>
      </c>
      <c r="F3947" t="inlineStr">
        <is>
          <t>Holmen skog AB</t>
        </is>
      </c>
      <c r="G3947" t="n">
        <v>6.3</v>
      </c>
      <c r="H3947" t="n">
        <v>0</v>
      </c>
      <c r="I3947" t="n">
        <v>0</v>
      </c>
      <c r="J3947" t="n">
        <v>0</v>
      </c>
      <c r="K3947" t="n">
        <v>0</v>
      </c>
      <c r="L3947" t="n">
        <v>0</v>
      </c>
      <c r="M3947" t="n">
        <v>0</v>
      </c>
      <c r="N3947" t="n">
        <v>0</v>
      </c>
      <c r="O3947" t="n">
        <v>0</v>
      </c>
      <c r="P3947" t="n">
        <v>0</v>
      </c>
      <c r="Q3947" t="n">
        <v>0</v>
      </c>
      <c r="R3947" s="2" t="inlineStr"/>
    </row>
    <row r="3948" ht="15" customHeight="1">
      <c r="A3948" t="inlineStr">
        <is>
          <t>A 40008-2025</t>
        </is>
      </c>
      <c r="B3948" s="1" t="n">
        <v>45894.34431712963</v>
      </c>
      <c r="C3948" s="1" t="n">
        <v>46093</v>
      </c>
      <c r="D3948" t="inlineStr">
        <is>
          <t>VÄSTERNORRLANDS LÄN</t>
        </is>
      </c>
      <c r="E3948" t="inlineStr">
        <is>
          <t>SOLLEFTEÅ</t>
        </is>
      </c>
      <c r="F3948" t="inlineStr">
        <is>
          <t>SCA</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56680-2023</t>
        </is>
      </c>
      <c r="B3949" s="1" t="n">
        <v>45243</v>
      </c>
      <c r="C3949" s="1" t="n">
        <v>46093</v>
      </c>
      <c r="D3949" t="inlineStr">
        <is>
          <t>VÄSTERNORRLANDS LÄN</t>
        </is>
      </c>
      <c r="E3949" t="inlineStr">
        <is>
          <t>HÄRNÖSAND</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56684-2023</t>
        </is>
      </c>
      <c r="B3950" s="1" t="n">
        <v>45243.96592592593</v>
      </c>
      <c r="C3950" s="1" t="n">
        <v>46093</v>
      </c>
      <c r="D3950" t="inlineStr">
        <is>
          <t>VÄSTERNORRLANDS LÄN</t>
        </is>
      </c>
      <c r="E3950" t="inlineStr">
        <is>
          <t>SOLLEFTEÅ</t>
        </is>
      </c>
      <c r="F3950" t="inlineStr">
        <is>
          <t>SCA</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39765-2025</t>
        </is>
      </c>
      <c r="B3951" s="1" t="n">
        <v>45891.44422453704</v>
      </c>
      <c r="C3951" s="1" t="n">
        <v>46093</v>
      </c>
      <c r="D3951" t="inlineStr">
        <is>
          <t>VÄSTERNORRLANDS LÄN</t>
        </is>
      </c>
      <c r="E3951" t="inlineStr">
        <is>
          <t>SUNDSVALL</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44574-2023</t>
        </is>
      </c>
      <c r="B3952" s="1" t="n">
        <v>45189</v>
      </c>
      <c r="C3952" s="1" t="n">
        <v>46093</v>
      </c>
      <c r="D3952" t="inlineStr">
        <is>
          <t>VÄSTERNORRLANDS LÄN</t>
        </is>
      </c>
      <c r="E3952" t="inlineStr">
        <is>
          <t>ÖRNSKÖLDSVIK</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36007-2021</t>
        </is>
      </c>
      <c r="B3953" s="1" t="n">
        <v>44389.37854166667</v>
      </c>
      <c r="C3953" s="1" t="n">
        <v>46093</v>
      </c>
      <c r="D3953" t="inlineStr">
        <is>
          <t>VÄSTERNORRLANDS LÄN</t>
        </is>
      </c>
      <c r="E3953" t="inlineStr">
        <is>
          <t>SUNDSVALL</t>
        </is>
      </c>
      <c r="G3953" t="n">
        <v>6.4</v>
      </c>
      <c r="H3953" t="n">
        <v>0</v>
      </c>
      <c r="I3953" t="n">
        <v>0</v>
      </c>
      <c r="J3953" t="n">
        <v>0</v>
      </c>
      <c r="K3953" t="n">
        <v>0</v>
      </c>
      <c r="L3953" t="n">
        <v>0</v>
      </c>
      <c r="M3953" t="n">
        <v>0</v>
      </c>
      <c r="N3953" t="n">
        <v>0</v>
      </c>
      <c r="O3953" t="n">
        <v>0</v>
      </c>
      <c r="P3953" t="n">
        <v>0</v>
      </c>
      <c r="Q3953" t="n">
        <v>0</v>
      </c>
      <c r="R3953" s="2" t="inlineStr"/>
    </row>
    <row r="3954" ht="15" customHeight="1">
      <c r="A3954" t="inlineStr">
        <is>
          <t>A 33367-2021</t>
        </is>
      </c>
      <c r="B3954" s="1" t="n">
        <v>44377</v>
      </c>
      <c r="C3954" s="1" t="n">
        <v>46093</v>
      </c>
      <c r="D3954" t="inlineStr">
        <is>
          <t>VÄSTERNORRLANDS LÄN</t>
        </is>
      </c>
      <c r="E3954" t="inlineStr">
        <is>
          <t>ÖRNSKÖLDSVIK</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12150-2025</t>
        </is>
      </c>
      <c r="B3955" s="1" t="n">
        <v>45729.40675925926</v>
      </c>
      <c r="C3955" s="1" t="n">
        <v>46093</v>
      </c>
      <c r="D3955" t="inlineStr">
        <is>
          <t>VÄSTERNORRLANDS LÄN</t>
        </is>
      </c>
      <c r="E3955" t="inlineStr">
        <is>
          <t>HÄRNÖSAND</t>
        </is>
      </c>
      <c r="G3955" t="n">
        <v>5.3</v>
      </c>
      <c r="H3955" t="n">
        <v>0</v>
      </c>
      <c r="I3955" t="n">
        <v>0</v>
      </c>
      <c r="J3955" t="n">
        <v>0</v>
      </c>
      <c r="K3955" t="n">
        <v>0</v>
      </c>
      <c r="L3955" t="n">
        <v>0</v>
      </c>
      <c r="M3955" t="n">
        <v>0</v>
      </c>
      <c r="N3955" t="n">
        <v>0</v>
      </c>
      <c r="O3955" t="n">
        <v>0</v>
      </c>
      <c r="P3955" t="n">
        <v>0</v>
      </c>
      <c r="Q3955" t="n">
        <v>0</v>
      </c>
      <c r="R3955" s="2" t="inlineStr"/>
    </row>
    <row r="3956" ht="15" customHeight="1">
      <c r="A3956" t="inlineStr">
        <is>
          <t>A 63712-2023</t>
        </is>
      </c>
      <c r="B3956" s="1" t="n">
        <v>45275.95094907407</v>
      </c>
      <c r="C3956" s="1" t="n">
        <v>46093</v>
      </c>
      <c r="D3956" t="inlineStr">
        <is>
          <t>VÄSTERNORRLANDS LÄN</t>
        </is>
      </c>
      <c r="E3956" t="inlineStr">
        <is>
          <t>SOLLEFTEÅ</t>
        </is>
      </c>
      <c r="F3956" t="inlineStr">
        <is>
          <t>SCA</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63729-2023</t>
        </is>
      </c>
      <c r="B3957" s="1" t="n">
        <v>45276</v>
      </c>
      <c r="C3957" s="1" t="n">
        <v>46093</v>
      </c>
      <c r="D3957" t="inlineStr">
        <is>
          <t>VÄSTERNORRLANDS LÄN</t>
        </is>
      </c>
      <c r="E3957" t="inlineStr">
        <is>
          <t>ÖRNSKÖLDSVIK</t>
        </is>
      </c>
      <c r="F3957" t="inlineStr">
        <is>
          <t>SCA</t>
        </is>
      </c>
      <c r="G3957" t="n">
        <v>2.8</v>
      </c>
      <c r="H3957" t="n">
        <v>0</v>
      </c>
      <c r="I3957" t="n">
        <v>0</v>
      </c>
      <c r="J3957" t="n">
        <v>0</v>
      </c>
      <c r="K3957" t="n">
        <v>0</v>
      </c>
      <c r="L3957" t="n">
        <v>0</v>
      </c>
      <c r="M3957" t="n">
        <v>0</v>
      </c>
      <c r="N3957" t="n">
        <v>0</v>
      </c>
      <c r="O3957" t="n">
        <v>0</v>
      </c>
      <c r="P3957" t="n">
        <v>0</v>
      </c>
      <c r="Q3957" t="n">
        <v>0</v>
      </c>
      <c r="R3957" s="2" t="inlineStr"/>
    </row>
    <row r="3958" ht="15" customHeight="1">
      <c r="A3958" t="inlineStr">
        <is>
          <t>A 63750-2023</t>
        </is>
      </c>
      <c r="B3958" s="1" t="n">
        <v>45277.8662962963</v>
      </c>
      <c r="C3958" s="1" t="n">
        <v>46093</v>
      </c>
      <c r="D3958" t="inlineStr">
        <is>
          <t>VÄSTERNORRLANDS LÄN</t>
        </is>
      </c>
      <c r="E3958" t="inlineStr">
        <is>
          <t>ÖRNSKÖLDSVIK</t>
        </is>
      </c>
      <c r="F3958" t="inlineStr">
        <is>
          <t>Övriga Aktiebolag</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39876-2025</t>
        </is>
      </c>
      <c r="B3959" s="1" t="n">
        <v>45891.61520833334</v>
      </c>
      <c r="C3959" s="1" t="n">
        <v>46093</v>
      </c>
      <c r="D3959" t="inlineStr">
        <is>
          <t>VÄSTERNORRLANDS LÄN</t>
        </is>
      </c>
      <c r="E3959" t="inlineStr">
        <is>
          <t>HÄRNÖSAND</t>
        </is>
      </c>
      <c r="F3959" t="inlineStr">
        <is>
          <t>SCA</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14494-2025</t>
        </is>
      </c>
      <c r="B3960" s="1" t="n">
        <v>45741.61486111111</v>
      </c>
      <c r="C3960" s="1" t="n">
        <v>46093</v>
      </c>
      <c r="D3960" t="inlineStr">
        <is>
          <t>VÄSTERNORRLANDS LÄN</t>
        </is>
      </c>
      <c r="E3960" t="inlineStr">
        <is>
          <t>HÄRNÖSAND</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35644-2025</t>
        </is>
      </c>
      <c r="B3961" s="1" t="n">
        <v>45859.49021990741</v>
      </c>
      <c r="C3961" s="1" t="n">
        <v>46093</v>
      </c>
      <c r="D3961" t="inlineStr">
        <is>
          <t>VÄSTERNORRLANDS LÄN</t>
        </is>
      </c>
      <c r="E3961" t="inlineStr">
        <is>
          <t>HÄRNÖSAND</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39756-2025</t>
        </is>
      </c>
      <c r="B3962" s="1" t="n">
        <v>45891.42266203704</v>
      </c>
      <c r="C3962" s="1" t="n">
        <v>46093</v>
      </c>
      <c r="D3962" t="inlineStr">
        <is>
          <t>VÄSTERNORRLANDS LÄN</t>
        </is>
      </c>
      <c r="E3962" t="inlineStr">
        <is>
          <t>SUNDSVALL</t>
        </is>
      </c>
      <c r="G3962" t="n">
        <v>6.1</v>
      </c>
      <c r="H3962" t="n">
        <v>0</v>
      </c>
      <c r="I3962" t="n">
        <v>0</v>
      </c>
      <c r="J3962" t="n">
        <v>0</v>
      </c>
      <c r="K3962" t="n">
        <v>0</v>
      </c>
      <c r="L3962" t="n">
        <v>0</v>
      </c>
      <c r="M3962" t="n">
        <v>0</v>
      </c>
      <c r="N3962" t="n">
        <v>0</v>
      </c>
      <c r="O3962" t="n">
        <v>0</v>
      </c>
      <c r="P3962" t="n">
        <v>0</v>
      </c>
      <c r="Q3962" t="n">
        <v>0</v>
      </c>
      <c r="R3962" s="2" t="inlineStr"/>
    </row>
    <row r="3963" ht="15" customHeight="1">
      <c r="A3963" t="inlineStr">
        <is>
          <t>A 39757-2025</t>
        </is>
      </c>
      <c r="B3963" s="1" t="n">
        <v>45891.42677083334</v>
      </c>
      <c r="C3963" s="1" t="n">
        <v>46093</v>
      </c>
      <c r="D3963" t="inlineStr">
        <is>
          <t>VÄSTERNORRLANDS LÄN</t>
        </is>
      </c>
      <c r="E3963" t="inlineStr">
        <is>
          <t>SUNDSVALL</t>
        </is>
      </c>
      <c r="G3963" t="n">
        <v>4.3</v>
      </c>
      <c r="H3963" t="n">
        <v>0</v>
      </c>
      <c r="I3963" t="n">
        <v>0</v>
      </c>
      <c r="J3963" t="n">
        <v>0</v>
      </c>
      <c r="K3963" t="n">
        <v>0</v>
      </c>
      <c r="L3963" t="n">
        <v>0</v>
      </c>
      <c r="M3963" t="n">
        <v>0</v>
      </c>
      <c r="N3963" t="n">
        <v>0</v>
      </c>
      <c r="O3963" t="n">
        <v>0</v>
      </c>
      <c r="P3963" t="n">
        <v>0</v>
      </c>
      <c r="Q3963" t="n">
        <v>0</v>
      </c>
      <c r="R3963" s="2" t="inlineStr"/>
    </row>
    <row r="3964" ht="15" customHeight="1">
      <c r="A3964" t="inlineStr">
        <is>
          <t>A 39761-2025</t>
        </is>
      </c>
      <c r="B3964" s="1" t="n">
        <v>45891.43866898148</v>
      </c>
      <c r="C3964" s="1" t="n">
        <v>46093</v>
      </c>
      <c r="D3964" t="inlineStr">
        <is>
          <t>VÄSTERNORRLANDS LÄN</t>
        </is>
      </c>
      <c r="E3964" t="inlineStr">
        <is>
          <t>SUNDSVALL</t>
        </is>
      </c>
      <c r="G3964" t="n">
        <v>0.4</v>
      </c>
      <c r="H3964" t="n">
        <v>0</v>
      </c>
      <c r="I3964" t="n">
        <v>0</v>
      </c>
      <c r="J3964" t="n">
        <v>0</v>
      </c>
      <c r="K3964" t="n">
        <v>0</v>
      </c>
      <c r="L3964" t="n">
        <v>0</v>
      </c>
      <c r="M3964" t="n">
        <v>0</v>
      </c>
      <c r="N3964" t="n">
        <v>0</v>
      </c>
      <c r="O3964" t="n">
        <v>0</v>
      </c>
      <c r="P3964" t="n">
        <v>0</v>
      </c>
      <c r="Q3964" t="n">
        <v>0</v>
      </c>
      <c r="R3964" s="2" t="inlineStr"/>
    </row>
    <row r="3965" ht="15" customHeight="1">
      <c r="A3965" t="inlineStr">
        <is>
          <t>A 12806-2025</t>
        </is>
      </c>
      <c r="B3965" s="1" t="n">
        <v>45733.61518518518</v>
      </c>
      <c r="C3965" s="1" t="n">
        <v>46093</v>
      </c>
      <c r="D3965" t="inlineStr">
        <is>
          <t>VÄSTERNORRLANDS LÄN</t>
        </is>
      </c>
      <c r="E3965" t="inlineStr">
        <is>
          <t>ÅNGE</t>
        </is>
      </c>
      <c r="F3965" t="inlineStr">
        <is>
          <t>SCA</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40121-2025</t>
        </is>
      </c>
      <c r="B3966" s="1" t="n">
        <v>45894.52737268519</v>
      </c>
      <c r="C3966" s="1" t="n">
        <v>46093</v>
      </c>
      <c r="D3966" t="inlineStr">
        <is>
          <t>VÄSTERNORRLANDS LÄN</t>
        </is>
      </c>
      <c r="E3966" t="inlineStr">
        <is>
          <t>ÖRNSKÖLDSVIK</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40136-2025</t>
        </is>
      </c>
      <c r="B3967" s="1" t="n">
        <v>45894.5588425926</v>
      </c>
      <c r="C3967" s="1" t="n">
        <v>46093</v>
      </c>
      <c r="D3967" t="inlineStr">
        <is>
          <t>VÄSTERNORRLANDS LÄN</t>
        </is>
      </c>
      <c r="E3967" t="inlineStr">
        <is>
          <t>SOLLEFTEÅ</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37160-2025</t>
        </is>
      </c>
      <c r="B3968" s="1" t="n">
        <v>45875</v>
      </c>
      <c r="C3968" s="1" t="n">
        <v>46093</v>
      </c>
      <c r="D3968" t="inlineStr">
        <is>
          <t>VÄSTERNORRLANDS LÄN</t>
        </is>
      </c>
      <c r="E3968" t="inlineStr">
        <is>
          <t>KRAMFORS</t>
        </is>
      </c>
      <c r="G3968" t="n">
        <v>5.7</v>
      </c>
      <c r="H3968" t="n">
        <v>0</v>
      </c>
      <c r="I3968" t="n">
        <v>0</v>
      </c>
      <c r="J3968" t="n">
        <v>0</v>
      </c>
      <c r="K3968" t="n">
        <v>0</v>
      </c>
      <c r="L3968" t="n">
        <v>0</v>
      </c>
      <c r="M3968" t="n">
        <v>0</v>
      </c>
      <c r="N3968" t="n">
        <v>0</v>
      </c>
      <c r="O3968" t="n">
        <v>0</v>
      </c>
      <c r="P3968" t="n">
        <v>0</v>
      </c>
      <c r="Q3968" t="n">
        <v>0</v>
      </c>
      <c r="R3968" s="2" t="inlineStr"/>
    </row>
    <row r="3969" ht="15" customHeight="1">
      <c r="A3969" t="inlineStr">
        <is>
          <t>A 38972-2025</t>
        </is>
      </c>
      <c r="B3969" s="1" t="n">
        <v>45887</v>
      </c>
      <c r="C3969" s="1" t="n">
        <v>46093</v>
      </c>
      <c r="D3969" t="inlineStr">
        <is>
          <t>VÄSTERNORRLANDS LÄN</t>
        </is>
      </c>
      <c r="E3969" t="inlineStr">
        <is>
          <t>SOLLEFTEÅ</t>
        </is>
      </c>
      <c r="F3969" t="inlineStr">
        <is>
          <t>SCA</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20024-2023</t>
        </is>
      </c>
      <c r="B3970" s="1" t="n">
        <v>45051</v>
      </c>
      <c r="C3970" s="1" t="n">
        <v>46093</v>
      </c>
      <c r="D3970" t="inlineStr">
        <is>
          <t>VÄSTERNORRLANDS LÄN</t>
        </is>
      </c>
      <c r="E3970" t="inlineStr">
        <is>
          <t>ÅNGE</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13909-2025</t>
        </is>
      </c>
      <c r="B3971" s="1" t="n">
        <v>45737.64438657407</v>
      </c>
      <c r="C3971" s="1" t="n">
        <v>46093</v>
      </c>
      <c r="D3971" t="inlineStr">
        <is>
          <t>VÄSTERNORRLANDS LÄN</t>
        </is>
      </c>
      <c r="E3971" t="inlineStr">
        <is>
          <t>ÖRNSKÖLDSVIK</t>
        </is>
      </c>
      <c r="G3971" t="n">
        <v>3.8</v>
      </c>
      <c r="H3971" t="n">
        <v>0</v>
      </c>
      <c r="I3971" t="n">
        <v>0</v>
      </c>
      <c r="J3971" t="n">
        <v>0</v>
      </c>
      <c r="K3971" t="n">
        <v>0</v>
      </c>
      <c r="L3971" t="n">
        <v>0</v>
      </c>
      <c r="M3971" t="n">
        <v>0</v>
      </c>
      <c r="N3971" t="n">
        <v>0</v>
      </c>
      <c r="O3971" t="n">
        <v>0</v>
      </c>
      <c r="P3971" t="n">
        <v>0</v>
      </c>
      <c r="Q3971" t="n">
        <v>0</v>
      </c>
      <c r="R3971" s="2" t="inlineStr"/>
    </row>
    <row r="3972" ht="15" customHeight="1">
      <c r="A3972" t="inlineStr">
        <is>
          <t>A 49027-2024</t>
        </is>
      </c>
      <c r="B3972" s="1" t="n">
        <v>45594.51758101852</v>
      </c>
      <c r="C3972" s="1" t="n">
        <v>46093</v>
      </c>
      <c r="D3972" t="inlineStr">
        <is>
          <t>VÄSTERNORRLANDS LÄN</t>
        </is>
      </c>
      <c r="E3972" t="inlineStr">
        <is>
          <t>ÖRNSKÖLDSVIK</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40037-2025</t>
        </is>
      </c>
      <c r="B3973" s="1" t="n">
        <v>45894.39153935185</v>
      </c>
      <c r="C3973" s="1" t="n">
        <v>46093</v>
      </c>
      <c r="D3973" t="inlineStr">
        <is>
          <t>VÄSTERNORRLANDS LÄN</t>
        </is>
      </c>
      <c r="E3973" t="inlineStr">
        <is>
          <t>ÖRNSKÖLDSVIK</t>
        </is>
      </c>
      <c r="F3973" t="inlineStr">
        <is>
          <t>Holmen skog AB</t>
        </is>
      </c>
      <c r="G3973" t="n">
        <v>4.6</v>
      </c>
      <c r="H3973" t="n">
        <v>0</v>
      </c>
      <c r="I3973" t="n">
        <v>0</v>
      </c>
      <c r="J3973" t="n">
        <v>0</v>
      </c>
      <c r="K3973" t="n">
        <v>0</v>
      </c>
      <c r="L3973" t="n">
        <v>0</v>
      </c>
      <c r="M3973" t="n">
        <v>0</v>
      </c>
      <c r="N3973" t="n">
        <v>0</v>
      </c>
      <c r="O3973" t="n">
        <v>0</v>
      </c>
      <c r="P3973" t="n">
        <v>0</v>
      </c>
      <c r="Q3973" t="n">
        <v>0</v>
      </c>
      <c r="R3973" s="2" t="inlineStr"/>
    </row>
    <row r="3974" ht="15" customHeight="1">
      <c r="A3974" t="inlineStr">
        <is>
          <t>A 28281-2024</t>
        </is>
      </c>
      <c r="B3974" s="1" t="n">
        <v>45477.46048611111</v>
      </c>
      <c r="C3974" s="1" t="n">
        <v>46093</v>
      </c>
      <c r="D3974" t="inlineStr">
        <is>
          <t>VÄSTERNORRLANDS LÄN</t>
        </is>
      </c>
      <c r="E3974" t="inlineStr">
        <is>
          <t>ÖRNSKÖLDSVIK</t>
        </is>
      </c>
      <c r="F3974" t="inlineStr">
        <is>
          <t>Holmen skog AB</t>
        </is>
      </c>
      <c r="G3974" t="n">
        <v>8</v>
      </c>
      <c r="H3974" t="n">
        <v>0</v>
      </c>
      <c r="I3974" t="n">
        <v>0</v>
      </c>
      <c r="J3974" t="n">
        <v>0</v>
      </c>
      <c r="K3974" t="n">
        <v>0</v>
      </c>
      <c r="L3974" t="n">
        <v>0</v>
      </c>
      <c r="M3974" t="n">
        <v>0</v>
      </c>
      <c r="N3974" t="n">
        <v>0</v>
      </c>
      <c r="O3974" t="n">
        <v>0</v>
      </c>
      <c r="P3974" t="n">
        <v>0</v>
      </c>
      <c r="Q3974" t="n">
        <v>0</v>
      </c>
      <c r="R3974" s="2" t="inlineStr"/>
    </row>
    <row r="3975" ht="15" customHeight="1">
      <c r="A3975" t="inlineStr">
        <is>
          <t>A 54252-2022</t>
        </is>
      </c>
      <c r="B3975" s="1" t="n">
        <v>44881.95212962963</v>
      </c>
      <c r="C3975" s="1" t="n">
        <v>46093</v>
      </c>
      <c r="D3975" t="inlineStr">
        <is>
          <t>VÄSTERNORRLANDS LÄN</t>
        </is>
      </c>
      <c r="E3975" t="inlineStr">
        <is>
          <t>HÄRNÖSAND</t>
        </is>
      </c>
      <c r="F3975" t="inlineStr">
        <is>
          <t>SCA</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17437-2023</t>
        </is>
      </c>
      <c r="B3976" s="1" t="n">
        <v>45035.92703703704</v>
      </c>
      <c r="C3976" s="1" t="n">
        <v>46093</v>
      </c>
      <c r="D3976" t="inlineStr">
        <is>
          <t>VÄSTERNORRLANDS LÄN</t>
        </is>
      </c>
      <c r="E3976" t="inlineStr">
        <is>
          <t>SUNDSVALL</t>
        </is>
      </c>
      <c r="G3976" t="n">
        <v>13.7</v>
      </c>
      <c r="H3976" t="n">
        <v>0</v>
      </c>
      <c r="I3976" t="n">
        <v>0</v>
      </c>
      <c r="J3976" t="n">
        <v>0</v>
      </c>
      <c r="K3976" t="n">
        <v>0</v>
      </c>
      <c r="L3976" t="n">
        <v>0</v>
      </c>
      <c r="M3976" t="n">
        <v>0</v>
      </c>
      <c r="N3976" t="n">
        <v>0</v>
      </c>
      <c r="O3976" t="n">
        <v>0</v>
      </c>
      <c r="P3976" t="n">
        <v>0</v>
      </c>
      <c r="Q3976" t="n">
        <v>0</v>
      </c>
      <c r="R3976" s="2" t="inlineStr"/>
    </row>
    <row r="3977" ht="15" customHeight="1">
      <c r="A3977" t="inlineStr">
        <is>
          <t>A 39760-2025</t>
        </is>
      </c>
      <c r="B3977" s="1" t="n">
        <v>45891.43445601852</v>
      </c>
      <c r="C3977" s="1" t="n">
        <v>46093</v>
      </c>
      <c r="D3977" t="inlineStr">
        <is>
          <t>VÄSTERNORRLANDS LÄN</t>
        </is>
      </c>
      <c r="E3977" t="inlineStr">
        <is>
          <t>SUNDSVALL</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39763-2025</t>
        </is>
      </c>
      <c r="B3978" s="1" t="n">
        <v>45891.44114583333</v>
      </c>
      <c r="C3978" s="1" t="n">
        <v>46093</v>
      </c>
      <c r="D3978" t="inlineStr">
        <is>
          <t>VÄSTERNORRLANDS LÄN</t>
        </is>
      </c>
      <c r="E3978" t="inlineStr">
        <is>
          <t>SUNDSVALL</t>
        </is>
      </c>
      <c r="G3978" t="n">
        <v>0.4</v>
      </c>
      <c r="H3978" t="n">
        <v>0</v>
      </c>
      <c r="I3978" t="n">
        <v>0</v>
      </c>
      <c r="J3978" t="n">
        <v>0</v>
      </c>
      <c r="K3978" t="n">
        <v>0</v>
      </c>
      <c r="L3978" t="n">
        <v>0</v>
      </c>
      <c r="M3978" t="n">
        <v>0</v>
      </c>
      <c r="N3978" t="n">
        <v>0</v>
      </c>
      <c r="O3978" t="n">
        <v>0</v>
      </c>
      <c r="P3978" t="n">
        <v>0</v>
      </c>
      <c r="Q3978" t="n">
        <v>0</v>
      </c>
      <c r="R3978" s="2" t="inlineStr"/>
    </row>
    <row r="3979" ht="15" customHeight="1">
      <c r="A3979" t="inlineStr">
        <is>
          <t>A 53705-2024</t>
        </is>
      </c>
      <c r="B3979" s="1" t="n">
        <v>45615.40802083333</v>
      </c>
      <c r="C3979" s="1" t="n">
        <v>46093</v>
      </c>
      <c r="D3979" t="inlineStr">
        <is>
          <t>VÄSTERNORRLANDS LÄN</t>
        </is>
      </c>
      <c r="E3979" t="inlineStr">
        <is>
          <t>ÖRNSKÖLDSVIK</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50338-2022</t>
        </is>
      </c>
      <c r="B3980" s="1" t="n">
        <v>44865.95387731482</v>
      </c>
      <c r="C3980" s="1" t="n">
        <v>46093</v>
      </c>
      <c r="D3980" t="inlineStr">
        <is>
          <t>VÄSTERNORRLANDS LÄN</t>
        </is>
      </c>
      <c r="E3980" t="inlineStr">
        <is>
          <t>HÄRNÖSAND</t>
        </is>
      </c>
      <c r="F3980" t="inlineStr">
        <is>
          <t>SCA</t>
        </is>
      </c>
      <c r="G3980" t="n">
        <v>4.2</v>
      </c>
      <c r="H3980" t="n">
        <v>0</v>
      </c>
      <c r="I3980" t="n">
        <v>0</v>
      </c>
      <c r="J3980" t="n">
        <v>0</v>
      </c>
      <c r="K3980" t="n">
        <v>0</v>
      </c>
      <c r="L3980" t="n">
        <v>0</v>
      </c>
      <c r="M3980" t="n">
        <v>0</v>
      </c>
      <c r="N3980" t="n">
        <v>0</v>
      </c>
      <c r="O3980" t="n">
        <v>0</v>
      </c>
      <c r="P3980" t="n">
        <v>0</v>
      </c>
      <c r="Q3980" t="n">
        <v>0</v>
      </c>
      <c r="R3980" s="2" t="inlineStr"/>
    </row>
    <row r="3981" ht="15" customHeight="1">
      <c r="A3981" t="inlineStr">
        <is>
          <t>A 28202-2024</t>
        </is>
      </c>
      <c r="B3981" s="1" t="n">
        <v>45477.33899305556</v>
      </c>
      <c r="C3981" s="1" t="n">
        <v>46093</v>
      </c>
      <c r="D3981" t="inlineStr">
        <is>
          <t>VÄSTERNORRLANDS LÄN</t>
        </is>
      </c>
      <c r="E3981" t="inlineStr">
        <is>
          <t>ÖRNSKÖLDSVIK</t>
        </is>
      </c>
      <c r="F3981" t="inlineStr">
        <is>
          <t>Holmen skog AB</t>
        </is>
      </c>
      <c r="G3981" t="n">
        <v>4.8</v>
      </c>
      <c r="H3981" t="n">
        <v>0</v>
      </c>
      <c r="I3981" t="n">
        <v>0</v>
      </c>
      <c r="J3981" t="n">
        <v>0</v>
      </c>
      <c r="K3981" t="n">
        <v>0</v>
      </c>
      <c r="L3981" t="n">
        <v>0</v>
      </c>
      <c r="M3981" t="n">
        <v>0</v>
      </c>
      <c r="N3981" t="n">
        <v>0</v>
      </c>
      <c r="O3981" t="n">
        <v>0</v>
      </c>
      <c r="P3981" t="n">
        <v>0</v>
      </c>
      <c r="Q3981" t="n">
        <v>0</v>
      </c>
      <c r="R3981" s="2" t="inlineStr"/>
    </row>
    <row r="3982" ht="15" customHeight="1">
      <c r="A3982" t="inlineStr">
        <is>
          <t>A 40354-2024</t>
        </is>
      </c>
      <c r="B3982" s="1" t="n">
        <v>45555.36525462963</v>
      </c>
      <c r="C3982" s="1" t="n">
        <v>46093</v>
      </c>
      <c r="D3982" t="inlineStr">
        <is>
          <t>VÄSTERNORRLANDS LÄN</t>
        </is>
      </c>
      <c r="E3982" t="inlineStr">
        <is>
          <t>SOLLEFTEÅ</t>
        </is>
      </c>
      <c r="F3982" t="inlineStr">
        <is>
          <t>SCA</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40566-2025</t>
        </is>
      </c>
      <c r="B3983" s="1" t="n">
        <v>45896.46934027778</v>
      </c>
      <c r="C3983" s="1" t="n">
        <v>46093</v>
      </c>
      <c r="D3983" t="inlineStr">
        <is>
          <t>VÄSTERNORRLANDS LÄN</t>
        </is>
      </c>
      <c r="E3983" t="inlineStr">
        <is>
          <t>SUNDSVALL</t>
        </is>
      </c>
      <c r="F3983" t="inlineStr">
        <is>
          <t>SCA</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68324-2021</t>
        </is>
      </c>
      <c r="B3984" s="1" t="n">
        <v>44526.96865740741</v>
      </c>
      <c r="C3984" s="1" t="n">
        <v>46093</v>
      </c>
      <c r="D3984" t="inlineStr">
        <is>
          <t>VÄSTERNORRLANDS LÄN</t>
        </is>
      </c>
      <c r="E3984" t="inlineStr">
        <is>
          <t>ÖRNSKÖLDSVIK</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22471-2024</t>
        </is>
      </c>
      <c r="B3985" s="1" t="n">
        <v>45446</v>
      </c>
      <c r="C3985" s="1" t="n">
        <v>46093</v>
      </c>
      <c r="D3985" t="inlineStr">
        <is>
          <t>VÄSTERNORRLANDS LÄN</t>
        </is>
      </c>
      <c r="E3985" t="inlineStr">
        <is>
          <t>SOLLEFTEÅ</t>
        </is>
      </c>
      <c r="G3985" t="n">
        <v>2.7</v>
      </c>
      <c r="H3985" t="n">
        <v>0</v>
      </c>
      <c r="I3985" t="n">
        <v>0</v>
      </c>
      <c r="J3985" t="n">
        <v>0</v>
      </c>
      <c r="K3985" t="n">
        <v>0</v>
      </c>
      <c r="L3985" t="n">
        <v>0</v>
      </c>
      <c r="M3985" t="n">
        <v>0</v>
      </c>
      <c r="N3985" t="n">
        <v>0</v>
      </c>
      <c r="O3985" t="n">
        <v>0</v>
      </c>
      <c r="P3985" t="n">
        <v>0</v>
      </c>
      <c r="Q3985" t="n">
        <v>0</v>
      </c>
      <c r="R3985" s="2" t="inlineStr"/>
    </row>
    <row r="3986" ht="15" customHeight="1">
      <c r="A3986" t="inlineStr">
        <is>
          <t>A 32592-2024</t>
        </is>
      </c>
      <c r="B3986" s="1" t="n">
        <v>45513.59996527778</v>
      </c>
      <c r="C3986" s="1" t="n">
        <v>46093</v>
      </c>
      <c r="D3986" t="inlineStr">
        <is>
          <t>VÄSTERNORRLANDS LÄN</t>
        </is>
      </c>
      <c r="E3986" t="inlineStr">
        <is>
          <t>ÖRNSKÖLDSVIK</t>
        </is>
      </c>
      <c r="F3986" t="inlineStr">
        <is>
          <t>Holmen skog AB</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40270-2025</t>
        </is>
      </c>
      <c r="B3987" s="1" t="n">
        <v>45895.34553240741</v>
      </c>
      <c r="C3987" s="1" t="n">
        <v>46093</v>
      </c>
      <c r="D3987" t="inlineStr">
        <is>
          <t>VÄSTERNORRLANDS LÄN</t>
        </is>
      </c>
      <c r="E3987" t="inlineStr">
        <is>
          <t>ÖRNSKÖLDSVIK</t>
        </is>
      </c>
      <c r="F3987" t="inlineStr">
        <is>
          <t>SCA</t>
        </is>
      </c>
      <c r="G3987" t="n">
        <v>3.2</v>
      </c>
      <c r="H3987" t="n">
        <v>0</v>
      </c>
      <c r="I3987" t="n">
        <v>0</v>
      </c>
      <c r="J3987" t="n">
        <v>0</v>
      </c>
      <c r="K3987" t="n">
        <v>0</v>
      </c>
      <c r="L3987" t="n">
        <v>0</v>
      </c>
      <c r="M3987" t="n">
        <v>0</v>
      </c>
      <c r="N3987" t="n">
        <v>0</v>
      </c>
      <c r="O3987" t="n">
        <v>0</v>
      </c>
      <c r="P3987" t="n">
        <v>0</v>
      </c>
      <c r="Q3987" t="n">
        <v>0</v>
      </c>
      <c r="R3987" s="2" t="inlineStr"/>
    </row>
    <row r="3988" ht="15" customHeight="1">
      <c r="A3988" t="inlineStr">
        <is>
          <t>A 13164-2022</t>
        </is>
      </c>
      <c r="B3988" s="1" t="n">
        <v>44644</v>
      </c>
      <c r="C3988" s="1" t="n">
        <v>46093</v>
      </c>
      <c r="D3988" t="inlineStr">
        <is>
          <t>VÄSTERNORRLANDS LÄN</t>
        </is>
      </c>
      <c r="E3988" t="inlineStr">
        <is>
          <t>ÅNGE</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381-2025</t>
        </is>
      </c>
      <c r="B3989" s="1" t="n">
        <v>45662.4591087963</v>
      </c>
      <c r="C3989" s="1" t="n">
        <v>46093</v>
      </c>
      <c r="D3989" t="inlineStr">
        <is>
          <t>VÄSTERNORRLANDS LÄN</t>
        </is>
      </c>
      <c r="E3989" t="inlineStr">
        <is>
          <t>SUNDSVALL</t>
        </is>
      </c>
      <c r="G3989" t="n">
        <v>6.5</v>
      </c>
      <c r="H3989" t="n">
        <v>0</v>
      </c>
      <c r="I3989" t="n">
        <v>0</v>
      </c>
      <c r="J3989" t="n">
        <v>0</v>
      </c>
      <c r="K3989" t="n">
        <v>0</v>
      </c>
      <c r="L3989" t="n">
        <v>0</v>
      </c>
      <c r="M3989" t="n">
        <v>0</v>
      </c>
      <c r="N3989" t="n">
        <v>0</v>
      </c>
      <c r="O3989" t="n">
        <v>0</v>
      </c>
      <c r="P3989" t="n">
        <v>0</v>
      </c>
      <c r="Q3989" t="n">
        <v>0</v>
      </c>
      <c r="R3989" s="2" t="inlineStr"/>
    </row>
    <row r="3990" ht="15" customHeight="1">
      <c r="A3990" t="inlineStr">
        <is>
          <t>A 40446-2025</t>
        </is>
      </c>
      <c r="B3990" s="1" t="n">
        <v>45895.63388888889</v>
      </c>
      <c r="C3990" s="1" t="n">
        <v>46093</v>
      </c>
      <c r="D3990" t="inlineStr">
        <is>
          <t>VÄSTERNORRLANDS LÄN</t>
        </is>
      </c>
      <c r="E3990" t="inlineStr">
        <is>
          <t>ÖRNSKÖLDSVIK</t>
        </is>
      </c>
      <c r="G3990" t="n">
        <v>3.2</v>
      </c>
      <c r="H3990" t="n">
        <v>0</v>
      </c>
      <c r="I3990" t="n">
        <v>0</v>
      </c>
      <c r="J3990" t="n">
        <v>0</v>
      </c>
      <c r="K3990" t="n">
        <v>0</v>
      </c>
      <c r="L3990" t="n">
        <v>0</v>
      </c>
      <c r="M3990" t="n">
        <v>0</v>
      </c>
      <c r="N3990" t="n">
        <v>0</v>
      </c>
      <c r="O3990" t="n">
        <v>0</v>
      </c>
      <c r="P3990" t="n">
        <v>0</v>
      </c>
      <c r="Q3990" t="n">
        <v>0</v>
      </c>
      <c r="R3990" s="2" t="inlineStr"/>
    </row>
    <row r="3991" ht="15" customHeight="1">
      <c r="A3991" t="inlineStr">
        <is>
          <t>A 40450-2025</t>
        </is>
      </c>
      <c r="B3991" s="1" t="n">
        <v>45895.63584490741</v>
      </c>
      <c r="C3991" s="1" t="n">
        <v>46093</v>
      </c>
      <c r="D3991" t="inlineStr">
        <is>
          <t>VÄSTERNORRLANDS LÄN</t>
        </is>
      </c>
      <c r="E3991" t="inlineStr">
        <is>
          <t>SOLLEFTEÅ</t>
        </is>
      </c>
      <c r="F3991" t="inlineStr">
        <is>
          <t>SCA</t>
        </is>
      </c>
      <c r="G3991" t="n">
        <v>3.8</v>
      </c>
      <c r="H3991" t="n">
        <v>0</v>
      </c>
      <c r="I3991" t="n">
        <v>0</v>
      </c>
      <c r="J3991" t="n">
        <v>0</v>
      </c>
      <c r="K3991" t="n">
        <v>0</v>
      </c>
      <c r="L3991" t="n">
        <v>0</v>
      </c>
      <c r="M3991" t="n">
        <v>0</v>
      </c>
      <c r="N3991" t="n">
        <v>0</v>
      </c>
      <c r="O3991" t="n">
        <v>0</v>
      </c>
      <c r="P3991" t="n">
        <v>0</v>
      </c>
      <c r="Q3991" t="n">
        <v>0</v>
      </c>
      <c r="R3991" s="2" t="inlineStr"/>
    </row>
    <row r="3992" ht="15" customHeight="1">
      <c r="A3992" t="inlineStr">
        <is>
          <t>A 40465-2025</t>
        </is>
      </c>
      <c r="B3992" s="1" t="n">
        <v>45895.65664351852</v>
      </c>
      <c r="C3992" s="1" t="n">
        <v>46093</v>
      </c>
      <c r="D3992" t="inlineStr">
        <is>
          <t>VÄSTERNORRLANDS LÄN</t>
        </is>
      </c>
      <c r="E3992" t="inlineStr">
        <is>
          <t>SUNDSVALL</t>
        </is>
      </c>
      <c r="F3992" t="inlineStr">
        <is>
          <t>Naturvårdsverket</t>
        </is>
      </c>
      <c r="G3992" t="n">
        <v>3.3</v>
      </c>
      <c r="H3992" t="n">
        <v>0</v>
      </c>
      <c r="I3992" t="n">
        <v>0</v>
      </c>
      <c r="J3992" t="n">
        <v>0</v>
      </c>
      <c r="K3992" t="n">
        <v>0</v>
      </c>
      <c r="L3992" t="n">
        <v>0</v>
      </c>
      <c r="M3992" t="n">
        <v>0</v>
      </c>
      <c r="N3992" t="n">
        <v>0</v>
      </c>
      <c r="O3992" t="n">
        <v>0</v>
      </c>
      <c r="P3992" t="n">
        <v>0</v>
      </c>
      <c r="Q3992" t="n">
        <v>0</v>
      </c>
      <c r="R3992" s="2" t="inlineStr"/>
    </row>
    <row r="3993" ht="15" customHeight="1">
      <c r="A3993" t="inlineStr">
        <is>
          <t>A 382-2025</t>
        </is>
      </c>
      <c r="B3993" s="1" t="n">
        <v>45662.46572916667</v>
      </c>
      <c r="C3993" s="1" t="n">
        <v>46093</v>
      </c>
      <c r="D3993" t="inlineStr">
        <is>
          <t>VÄSTERNORRLANDS LÄN</t>
        </is>
      </c>
      <c r="E3993" t="inlineStr">
        <is>
          <t>SUNDSVALL</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5456-2024</t>
        </is>
      </c>
      <c r="B3994" s="1" t="n">
        <v>45331</v>
      </c>
      <c r="C3994" s="1" t="n">
        <v>46093</v>
      </c>
      <c r="D3994" t="inlineStr">
        <is>
          <t>VÄSTERNORRLANDS LÄN</t>
        </is>
      </c>
      <c r="E3994" t="inlineStr">
        <is>
          <t>ÅNGE</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31864-2024</t>
        </is>
      </c>
      <c r="B3995" s="1" t="n">
        <v>45509.74791666667</v>
      </c>
      <c r="C3995" s="1" t="n">
        <v>46093</v>
      </c>
      <c r="D3995" t="inlineStr">
        <is>
          <t>VÄSTERNORRLANDS LÄN</t>
        </is>
      </c>
      <c r="E3995" t="inlineStr">
        <is>
          <t>ÅNGE</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51854-2024</t>
        </is>
      </c>
      <c r="B3996" s="1" t="n">
        <v>45607.54087962963</v>
      </c>
      <c r="C3996" s="1" t="n">
        <v>46093</v>
      </c>
      <c r="D3996" t="inlineStr">
        <is>
          <t>VÄSTERNORRLANDS LÄN</t>
        </is>
      </c>
      <c r="E3996" t="inlineStr">
        <is>
          <t>ÖRNSKÖLDSVIK</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40665-2025</t>
        </is>
      </c>
      <c r="B3997" s="1" t="n">
        <v>45896.65663194445</v>
      </c>
      <c r="C3997" s="1" t="n">
        <v>46093</v>
      </c>
      <c r="D3997" t="inlineStr">
        <is>
          <t>VÄSTERNORRLANDS LÄN</t>
        </is>
      </c>
      <c r="E3997" t="inlineStr">
        <is>
          <t>ÅNGE</t>
        </is>
      </c>
      <c r="F3997" t="inlineStr">
        <is>
          <t>SCA</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49494-2024</t>
        </is>
      </c>
      <c r="B3998" s="1" t="n">
        <v>45596.36549768518</v>
      </c>
      <c r="C3998" s="1" t="n">
        <v>46093</v>
      </c>
      <c r="D3998" t="inlineStr">
        <is>
          <t>VÄSTERNORRLANDS LÄN</t>
        </is>
      </c>
      <c r="E3998" t="inlineStr">
        <is>
          <t>ÖRNSKÖLDSVIK</t>
        </is>
      </c>
      <c r="F3998" t="inlineStr">
        <is>
          <t>Holmen skog AB</t>
        </is>
      </c>
      <c r="G3998" t="n">
        <v>3.9</v>
      </c>
      <c r="H3998" t="n">
        <v>0</v>
      </c>
      <c r="I3998" t="n">
        <v>0</v>
      </c>
      <c r="J3998" t="n">
        <v>0</v>
      </c>
      <c r="K3998" t="n">
        <v>0</v>
      </c>
      <c r="L3998" t="n">
        <v>0</v>
      </c>
      <c r="M3998" t="n">
        <v>0</v>
      </c>
      <c r="N3998" t="n">
        <v>0</v>
      </c>
      <c r="O3998" t="n">
        <v>0</v>
      </c>
      <c r="P3998" t="n">
        <v>0</v>
      </c>
      <c r="Q3998" t="n">
        <v>0</v>
      </c>
      <c r="R3998" s="2" t="inlineStr"/>
    </row>
    <row r="3999" ht="15" customHeight="1">
      <c r="A3999" t="inlineStr">
        <is>
          <t>A 49532-2024</t>
        </is>
      </c>
      <c r="B3999" s="1" t="n">
        <v>45596.41797453703</v>
      </c>
      <c r="C3999" s="1" t="n">
        <v>46093</v>
      </c>
      <c r="D3999" t="inlineStr">
        <is>
          <t>VÄSTERNORRLANDS LÄN</t>
        </is>
      </c>
      <c r="E3999" t="inlineStr">
        <is>
          <t>ÅNGE</t>
        </is>
      </c>
      <c r="G3999" t="n">
        <v>3.3</v>
      </c>
      <c r="H3999" t="n">
        <v>0</v>
      </c>
      <c r="I3999" t="n">
        <v>0</v>
      </c>
      <c r="J3999" t="n">
        <v>0</v>
      </c>
      <c r="K3999" t="n">
        <v>0</v>
      </c>
      <c r="L3999" t="n">
        <v>0</v>
      </c>
      <c r="M3999" t="n">
        <v>0</v>
      </c>
      <c r="N3999" t="n">
        <v>0</v>
      </c>
      <c r="O3999" t="n">
        <v>0</v>
      </c>
      <c r="P3999" t="n">
        <v>0</v>
      </c>
      <c r="Q3999" t="n">
        <v>0</v>
      </c>
      <c r="R3999" s="2" t="inlineStr"/>
    </row>
    <row r="4000" ht="15" customHeight="1">
      <c r="A4000" t="inlineStr">
        <is>
          <t>A 35692-2025</t>
        </is>
      </c>
      <c r="B4000" s="1" t="n">
        <v>45860.34452546296</v>
      </c>
      <c r="C4000" s="1" t="n">
        <v>46093</v>
      </c>
      <c r="D4000" t="inlineStr">
        <is>
          <t>VÄSTERNORRLANDS LÄN</t>
        </is>
      </c>
      <c r="E4000" t="inlineStr">
        <is>
          <t>ÖRNSKÖLDSVIK</t>
        </is>
      </c>
      <c r="G4000" t="n">
        <v>5</v>
      </c>
      <c r="H4000" t="n">
        <v>0</v>
      </c>
      <c r="I4000" t="n">
        <v>0</v>
      </c>
      <c r="J4000" t="n">
        <v>0</v>
      </c>
      <c r="K4000" t="n">
        <v>0</v>
      </c>
      <c r="L4000" t="n">
        <v>0</v>
      </c>
      <c r="M4000" t="n">
        <v>0</v>
      </c>
      <c r="N4000" t="n">
        <v>0</v>
      </c>
      <c r="O4000" t="n">
        <v>0</v>
      </c>
      <c r="P4000" t="n">
        <v>0</v>
      </c>
      <c r="Q4000" t="n">
        <v>0</v>
      </c>
      <c r="R4000" s="2" t="inlineStr"/>
    </row>
    <row r="4001" ht="15" customHeight="1">
      <c r="A4001" t="inlineStr">
        <is>
          <t>A 40790-2023</t>
        </is>
      </c>
      <c r="B4001" s="1" t="n">
        <v>45170.95814814815</v>
      </c>
      <c r="C4001" s="1" t="n">
        <v>46093</v>
      </c>
      <c r="D4001" t="inlineStr">
        <is>
          <t>VÄSTERNORRLANDS LÄN</t>
        </is>
      </c>
      <c r="E4001" t="inlineStr">
        <is>
          <t>ÅNGE</t>
        </is>
      </c>
      <c r="F4001" t="inlineStr">
        <is>
          <t>SCA</t>
        </is>
      </c>
      <c r="G4001" t="n">
        <v>2.9</v>
      </c>
      <c r="H4001" t="n">
        <v>0</v>
      </c>
      <c r="I4001" t="n">
        <v>0</v>
      </c>
      <c r="J4001" t="n">
        <v>0</v>
      </c>
      <c r="K4001" t="n">
        <v>0</v>
      </c>
      <c r="L4001" t="n">
        <v>0</v>
      </c>
      <c r="M4001" t="n">
        <v>0</v>
      </c>
      <c r="N4001" t="n">
        <v>0</v>
      </c>
      <c r="O4001" t="n">
        <v>0</v>
      </c>
      <c r="P4001" t="n">
        <v>0</v>
      </c>
      <c r="Q4001" t="n">
        <v>0</v>
      </c>
      <c r="R4001" s="2" t="inlineStr"/>
    </row>
    <row r="4002" ht="15" customHeight="1">
      <c r="A4002" t="inlineStr">
        <is>
          <t>A 64917-2021</t>
        </is>
      </c>
      <c r="B4002" s="1" t="n">
        <v>44512</v>
      </c>
      <c r="C4002" s="1" t="n">
        <v>46093</v>
      </c>
      <c r="D4002" t="inlineStr">
        <is>
          <t>VÄSTERNORRLANDS LÄN</t>
        </is>
      </c>
      <c r="E4002" t="inlineStr">
        <is>
          <t>SUNDSVALL</t>
        </is>
      </c>
      <c r="F4002" t="inlineStr">
        <is>
          <t>Kommuner</t>
        </is>
      </c>
      <c r="G4002" t="n">
        <v>4.1</v>
      </c>
      <c r="H4002" t="n">
        <v>0</v>
      </c>
      <c r="I4002" t="n">
        <v>0</v>
      </c>
      <c r="J4002" t="n">
        <v>0</v>
      </c>
      <c r="K4002" t="n">
        <v>0</v>
      </c>
      <c r="L4002" t="n">
        <v>0</v>
      </c>
      <c r="M4002" t="n">
        <v>0</v>
      </c>
      <c r="N4002" t="n">
        <v>0</v>
      </c>
      <c r="O4002" t="n">
        <v>0</v>
      </c>
      <c r="P4002" t="n">
        <v>0</v>
      </c>
      <c r="Q4002" t="n">
        <v>0</v>
      </c>
      <c r="R4002" s="2" t="inlineStr"/>
    </row>
    <row r="4003" ht="15" customHeight="1">
      <c r="A4003" t="inlineStr">
        <is>
          <t>A 41999-2023</t>
        </is>
      </c>
      <c r="B4003" s="1" t="n">
        <v>45174</v>
      </c>
      <c r="C4003" s="1" t="n">
        <v>46093</v>
      </c>
      <c r="D4003" t="inlineStr">
        <is>
          <t>VÄSTERNORRLANDS LÄN</t>
        </is>
      </c>
      <c r="E4003" t="inlineStr">
        <is>
          <t>ÖRNSKÖLDSVIK</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54993-2024</t>
        </is>
      </c>
      <c r="B4004" s="1" t="n">
        <v>45620.95182870371</v>
      </c>
      <c r="C4004" s="1" t="n">
        <v>46093</v>
      </c>
      <c r="D4004" t="inlineStr">
        <is>
          <t>VÄSTERNORRLANDS LÄN</t>
        </is>
      </c>
      <c r="E4004" t="inlineStr">
        <is>
          <t>TIMRÅ</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10794-2025</t>
        </is>
      </c>
      <c r="B4005" s="1" t="n">
        <v>45722</v>
      </c>
      <c r="C4005" s="1" t="n">
        <v>46093</v>
      </c>
      <c r="D4005" t="inlineStr">
        <is>
          <t>VÄSTERNORRLANDS LÄN</t>
        </is>
      </c>
      <c r="E4005" t="inlineStr">
        <is>
          <t>ÖRNSKÖLDSVIK</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40565-2025</t>
        </is>
      </c>
      <c r="B4006" s="1" t="n">
        <v>45896.46916666667</v>
      </c>
      <c r="C4006" s="1" t="n">
        <v>46093</v>
      </c>
      <c r="D4006" t="inlineStr">
        <is>
          <t>VÄSTERNORRLANDS LÄN</t>
        </is>
      </c>
      <c r="E4006" t="inlineStr">
        <is>
          <t>SUNDSVALL</t>
        </is>
      </c>
      <c r="F4006" t="inlineStr">
        <is>
          <t>SCA</t>
        </is>
      </c>
      <c r="G4006" t="n">
        <v>2.4</v>
      </c>
      <c r="H4006" t="n">
        <v>0</v>
      </c>
      <c r="I4006" t="n">
        <v>0</v>
      </c>
      <c r="J4006" t="n">
        <v>0</v>
      </c>
      <c r="K4006" t="n">
        <v>0</v>
      </c>
      <c r="L4006" t="n">
        <v>0</v>
      </c>
      <c r="M4006" t="n">
        <v>0</v>
      </c>
      <c r="N4006" t="n">
        <v>0</v>
      </c>
      <c r="O4006" t="n">
        <v>0</v>
      </c>
      <c r="P4006" t="n">
        <v>0</v>
      </c>
      <c r="Q4006" t="n">
        <v>0</v>
      </c>
      <c r="R4006" s="2" t="inlineStr"/>
    </row>
    <row r="4007" ht="15" customHeight="1">
      <c r="A4007" t="inlineStr">
        <is>
          <t>A 35777-2025</t>
        </is>
      </c>
      <c r="B4007" s="1" t="n">
        <v>45860.69244212963</v>
      </c>
      <c r="C4007" s="1" t="n">
        <v>46093</v>
      </c>
      <c r="D4007" t="inlineStr">
        <is>
          <t>VÄSTERNORRLANDS LÄN</t>
        </is>
      </c>
      <c r="E4007" t="inlineStr">
        <is>
          <t>ÖRNSKÖLDSVIK</t>
        </is>
      </c>
      <c r="G4007" t="n">
        <v>4</v>
      </c>
      <c r="H4007" t="n">
        <v>0</v>
      </c>
      <c r="I4007" t="n">
        <v>0</v>
      </c>
      <c r="J4007" t="n">
        <v>0</v>
      </c>
      <c r="K4007" t="n">
        <v>0</v>
      </c>
      <c r="L4007" t="n">
        <v>0</v>
      </c>
      <c r="M4007" t="n">
        <v>0</v>
      </c>
      <c r="N4007" t="n">
        <v>0</v>
      </c>
      <c r="O4007" t="n">
        <v>0</v>
      </c>
      <c r="P4007" t="n">
        <v>0</v>
      </c>
      <c r="Q4007" t="n">
        <v>0</v>
      </c>
      <c r="R4007" s="2" t="inlineStr"/>
    </row>
    <row r="4008" ht="15" customHeight="1">
      <c r="A4008" t="inlineStr">
        <is>
          <t>A 30474-2024</t>
        </is>
      </c>
      <c r="B4008" s="1" t="n">
        <v>45491</v>
      </c>
      <c r="C4008" s="1" t="n">
        <v>46093</v>
      </c>
      <c r="D4008" t="inlineStr">
        <is>
          <t>VÄSTERNORRLANDS LÄN</t>
        </is>
      </c>
      <c r="E4008" t="inlineStr">
        <is>
          <t>ÅNGE</t>
        </is>
      </c>
      <c r="F4008" t="inlineStr">
        <is>
          <t>SCA</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30475-2024</t>
        </is>
      </c>
      <c r="B4009" s="1" t="n">
        <v>45491</v>
      </c>
      <c r="C4009" s="1" t="n">
        <v>46093</v>
      </c>
      <c r="D4009" t="inlineStr">
        <is>
          <t>VÄSTERNORRLANDS LÄN</t>
        </is>
      </c>
      <c r="E4009" t="inlineStr">
        <is>
          <t>ÅNGE</t>
        </is>
      </c>
      <c r="F4009" t="inlineStr">
        <is>
          <t>SCA</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11310-2023</t>
        </is>
      </c>
      <c r="B4010" s="1" t="n">
        <v>44993.01190972222</v>
      </c>
      <c r="C4010" s="1" t="n">
        <v>46093</v>
      </c>
      <c r="D4010" t="inlineStr">
        <is>
          <t>VÄSTERNORRLANDS LÄN</t>
        </is>
      </c>
      <c r="E4010" t="inlineStr">
        <is>
          <t>ÅNGE</t>
        </is>
      </c>
      <c r="F4010" t="inlineStr">
        <is>
          <t>SCA</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1090-2023</t>
        </is>
      </c>
      <c r="B4011" s="1" t="n">
        <v>44929</v>
      </c>
      <c r="C4011" s="1" t="n">
        <v>46093</v>
      </c>
      <c r="D4011" t="inlineStr">
        <is>
          <t>VÄSTERNORRLANDS LÄN</t>
        </is>
      </c>
      <c r="E4011" t="inlineStr">
        <is>
          <t>ÅNGE</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29240-2024</t>
        </is>
      </c>
      <c r="B4012" s="1" t="n">
        <v>45482.94565972222</v>
      </c>
      <c r="C4012" s="1" t="n">
        <v>46093</v>
      </c>
      <c r="D4012" t="inlineStr">
        <is>
          <t>VÄSTERNORRLANDS LÄN</t>
        </is>
      </c>
      <c r="E4012" t="inlineStr">
        <is>
          <t>KRAMFORS</t>
        </is>
      </c>
      <c r="F4012" t="inlineStr">
        <is>
          <t>SCA</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35758-2025</t>
        </is>
      </c>
      <c r="B4013" s="1" t="n">
        <v>45860.59990740741</v>
      </c>
      <c r="C4013" s="1" t="n">
        <v>46093</v>
      </c>
      <c r="D4013" t="inlineStr">
        <is>
          <t>VÄSTERNORRLANDS LÄN</t>
        </is>
      </c>
      <c r="E4013" t="inlineStr">
        <is>
          <t>KRAMFORS</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35766-2025</t>
        </is>
      </c>
      <c r="B4014" s="1" t="n">
        <v>45860.63077546296</v>
      </c>
      <c r="C4014" s="1" t="n">
        <v>46093</v>
      </c>
      <c r="D4014" t="inlineStr">
        <is>
          <t>VÄSTERNORRLANDS LÄN</t>
        </is>
      </c>
      <c r="E4014" t="inlineStr">
        <is>
          <t>ÅNGE</t>
        </is>
      </c>
      <c r="G4014" t="n">
        <v>10.7</v>
      </c>
      <c r="H4014" t="n">
        <v>0</v>
      </c>
      <c r="I4014" t="n">
        <v>0</v>
      </c>
      <c r="J4014" t="n">
        <v>0</v>
      </c>
      <c r="K4014" t="n">
        <v>0</v>
      </c>
      <c r="L4014" t="n">
        <v>0</v>
      </c>
      <c r="M4014" t="n">
        <v>0</v>
      </c>
      <c r="N4014" t="n">
        <v>0</v>
      </c>
      <c r="O4014" t="n">
        <v>0</v>
      </c>
      <c r="P4014" t="n">
        <v>0</v>
      </c>
      <c r="Q4014" t="n">
        <v>0</v>
      </c>
      <c r="R4014" s="2" t="inlineStr"/>
    </row>
    <row r="4015" ht="15" customHeight="1">
      <c r="A4015" t="inlineStr">
        <is>
          <t>A 40252-2025</t>
        </is>
      </c>
      <c r="B4015" s="1" t="n">
        <v>45895.32119212963</v>
      </c>
      <c r="C4015" s="1" t="n">
        <v>46093</v>
      </c>
      <c r="D4015" t="inlineStr">
        <is>
          <t>VÄSTERNORRLANDS LÄN</t>
        </is>
      </c>
      <c r="E4015" t="inlineStr">
        <is>
          <t>ÖRNSKÖLDSVIK</t>
        </is>
      </c>
      <c r="F4015" t="inlineStr">
        <is>
          <t>Holmen skog AB</t>
        </is>
      </c>
      <c r="G4015" t="n">
        <v>4.1</v>
      </c>
      <c r="H4015" t="n">
        <v>0</v>
      </c>
      <c r="I4015" t="n">
        <v>0</v>
      </c>
      <c r="J4015" t="n">
        <v>0</v>
      </c>
      <c r="K4015" t="n">
        <v>0</v>
      </c>
      <c r="L4015" t="n">
        <v>0</v>
      </c>
      <c r="M4015" t="n">
        <v>0</v>
      </c>
      <c r="N4015" t="n">
        <v>0</v>
      </c>
      <c r="O4015" t="n">
        <v>0</v>
      </c>
      <c r="P4015" t="n">
        <v>0</v>
      </c>
      <c r="Q4015" t="n">
        <v>0</v>
      </c>
      <c r="R4015" s="2" t="inlineStr"/>
    </row>
    <row r="4016" ht="15" customHeight="1">
      <c r="A4016" t="inlineStr">
        <is>
          <t>A 61492-2023</t>
        </is>
      </c>
      <c r="B4016" s="1" t="n">
        <v>45264</v>
      </c>
      <c r="C4016" s="1" t="n">
        <v>46093</v>
      </c>
      <c r="D4016" t="inlineStr">
        <is>
          <t>VÄSTERNORRLANDS LÄN</t>
        </is>
      </c>
      <c r="E4016" t="inlineStr">
        <is>
          <t>SUNDSVALL</t>
        </is>
      </c>
      <c r="F4016" t="inlineStr">
        <is>
          <t>SCA</t>
        </is>
      </c>
      <c r="G4016" t="n">
        <v>5.3</v>
      </c>
      <c r="H4016" t="n">
        <v>0</v>
      </c>
      <c r="I4016" t="n">
        <v>0</v>
      </c>
      <c r="J4016" t="n">
        <v>0</v>
      </c>
      <c r="K4016" t="n">
        <v>0</v>
      </c>
      <c r="L4016" t="n">
        <v>0</v>
      </c>
      <c r="M4016" t="n">
        <v>0</v>
      </c>
      <c r="N4016" t="n">
        <v>0</v>
      </c>
      <c r="O4016" t="n">
        <v>0</v>
      </c>
      <c r="P4016" t="n">
        <v>0</v>
      </c>
      <c r="Q4016" t="n">
        <v>0</v>
      </c>
      <c r="R4016" s="2" t="inlineStr"/>
    </row>
    <row r="4017" ht="15" customHeight="1">
      <c r="A4017" t="inlineStr">
        <is>
          <t>A 37867-2024</t>
        </is>
      </c>
      <c r="B4017" s="1" t="n">
        <v>45544</v>
      </c>
      <c r="C4017" s="1" t="n">
        <v>46093</v>
      </c>
      <c r="D4017" t="inlineStr">
        <is>
          <t>VÄSTERNORRLANDS LÄN</t>
        </is>
      </c>
      <c r="E4017" t="inlineStr">
        <is>
          <t>KRAMFORS</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40424-2025</t>
        </is>
      </c>
      <c r="B4018" s="1" t="n">
        <v>45895.58743055556</v>
      </c>
      <c r="C4018" s="1" t="n">
        <v>46093</v>
      </c>
      <c r="D4018" t="inlineStr">
        <is>
          <t>VÄSTERNORRLANDS LÄN</t>
        </is>
      </c>
      <c r="E4018" t="inlineStr">
        <is>
          <t>ÖRNSKÖLDSVIK</t>
        </is>
      </c>
      <c r="G4018" t="n">
        <v>10.1</v>
      </c>
      <c r="H4018" t="n">
        <v>0</v>
      </c>
      <c r="I4018" t="n">
        <v>0</v>
      </c>
      <c r="J4018" t="n">
        <v>0</v>
      </c>
      <c r="K4018" t="n">
        <v>0</v>
      </c>
      <c r="L4018" t="n">
        <v>0</v>
      </c>
      <c r="M4018" t="n">
        <v>0</v>
      </c>
      <c r="N4018" t="n">
        <v>0</v>
      </c>
      <c r="O4018" t="n">
        <v>0</v>
      </c>
      <c r="P4018" t="n">
        <v>0</v>
      </c>
      <c r="Q4018" t="n">
        <v>0</v>
      </c>
      <c r="R4018" s="2" t="inlineStr"/>
    </row>
    <row r="4019" ht="15" customHeight="1">
      <c r="A4019" t="inlineStr">
        <is>
          <t>A 40478-2025</t>
        </is>
      </c>
      <c r="B4019" s="1" t="n">
        <v>45895.71155092592</v>
      </c>
      <c r="C4019" s="1" t="n">
        <v>46093</v>
      </c>
      <c r="D4019" t="inlineStr">
        <is>
          <t>VÄSTERNORRLANDS LÄN</t>
        </is>
      </c>
      <c r="E4019" t="inlineStr">
        <is>
          <t>ÖRNSKÖLDSVIK</t>
        </is>
      </c>
      <c r="F4019" t="inlineStr">
        <is>
          <t>Holmen skog AB</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40484-2025</t>
        </is>
      </c>
      <c r="B4020" s="1" t="n">
        <v>45895</v>
      </c>
      <c r="C4020" s="1" t="n">
        <v>46093</v>
      </c>
      <c r="D4020" t="inlineStr">
        <is>
          <t>VÄSTERNORRLANDS LÄN</t>
        </is>
      </c>
      <c r="E4020" t="inlineStr">
        <is>
          <t>TIMRÅ</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40379-2025</t>
        </is>
      </c>
      <c r="B4021" s="1" t="n">
        <v>45895.53292824074</v>
      </c>
      <c r="C4021" s="1" t="n">
        <v>46093</v>
      </c>
      <c r="D4021" t="inlineStr">
        <is>
          <t>VÄSTERNORRLANDS LÄN</t>
        </is>
      </c>
      <c r="E4021" t="inlineStr">
        <is>
          <t>KRAMFORS</t>
        </is>
      </c>
      <c r="G4021" t="n">
        <v>5.1</v>
      </c>
      <c r="H4021" t="n">
        <v>0</v>
      </c>
      <c r="I4021" t="n">
        <v>0</v>
      </c>
      <c r="J4021" t="n">
        <v>0</v>
      </c>
      <c r="K4021" t="n">
        <v>0</v>
      </c>
      <c r="L4021" t="n">
        <v>0</v>
      </c>
      <c r="M4021" t="n">
        <v>0</v>
      </c>
      <c r="N4021" t="n">
        <v>0</v>
      </c>
      <c r="O4021" t="n">
        <v>0</v>
      </c>
      <c r="P4021" t="n">
        <v>0</v>
      </c>
      <c r="Q4021" t="n">
        <v>0</v>
      </c>
      <c r="R4021" s="2" t="inlineStr"/>
    </row>
    <row r="4022" ht="15" customHeight="1">
      <c r="A4022" t="inlineStr">
        <is>
          <t>A 40447-2025</t>
        </is>
      </c>
      <c r="B4022" s="1" t="n">
        <v>45895.63408564815</v>
      </c>
      <c r="C4022" s="1" t="n">
        <v>46093</v>
      </c>
      <c r="D4022" t="inlineStr">
        <is>
          <t>VÄSTERNORRLANDS LÄN</t>
        </is>
      </c>
      <c r="E4022" t="inlineStr">
        <is>
          <t>ÖRNSKÖLDSVIK</t>
        </is>
      </c>
      <c r="G4022" t="n">
        <v>3.8</v>
      </c>
      <c r="H4022" t="n">
        <v>0</v>
      </c>
      <c r="I4022" t="n">
        <v>0</v>
      </c>
      <c r="J4022" t="n">
        <v>0</v>
      </c>
      <c r="K4022" t="n">
        <v>0</v>
      </c>
      <c r="L4022" t="n">
        <v>0</v>
      </c>
      <c r="M4022" t="n">
        <v>0</v>
      </c>
      <c r="N4022" t="n">
        <v>0</v>
      </c>
      <c r="O4022" t="n">
        <v>0</v>
      </c>
      <c r="P4022" t="n">
        <v>0</v>
      </c>
      <c r="Q4022" t="n">
        <v>0</v>
      </c>
      <c r="R4022" s="2" t="inlineStr"/>
    </row>
    <row r="4023" ht="15" customHeight="1">
      <c r="A4023" t="inlineStr">
        <is>
          <t>A 40451-2025</t>
        </is>
      </c>
      <c r="B4023" s="1" t="n">
        <v>45895.6360300926</v>
      </c>
      <c r="C4023" s="1" t="n">
        <v>46093</v>
      </c>
      <c r="D4023" t="inlineStr">
        <is>
          <t>VÄSTERNORRLANDS LÄN</t>
        </is>
      </c>
      <c r="E4023" t="inlineStr">
        <is>
          <t>SUNDSVALL</t>
        </is>
      </c>
      <c r="F4023" t="inlineStr">
        <is>
          <t>Naturvårdsverket</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27908-2024</t>
        </is>
      </c>
      <c r="B4024" s="1" t="n">
        <v>45475.94615740741</v>
      </c>
      <c r="C4024" s="1" t="n">
        <v>46093</v>
      </c>
      <c r="D4024" t="inlineStr">
        <is>
          <t>VÄSTERNORRLANDS LÄN</t>
        </is>
      </c>
      <c r="E4024" t="inlineStr">
        <is>
          <t>SOLLEFTEÅ</t>
        </is>
      </c>
      <c r="F4024" t="inlineStr">
        <is>
          <t>SCA</t>
        </is>
      </c>
      <c r="G4024" t="n">
        <v>6.8</v>
      </c>
      <c r="H4024" t="n">
        <v>0</v>
      </c>
      <c r="I4024" t="n">
        <v>0</v>
      </c>
      <c r="J4024" t="n">
        <v>0</v>
      </c>
      <c r="K4024" t="n">
        <v>0</v>
      </c>
      <c r="L4024" t="n">
        <v>0</v>
      </c>
      <c r="M4024" t="n">
        <v>0</v>
      </c>
      <c r="N4024" t="n">
        <v>0</v>
      </c>
      <c r="O4024" t="n">
        <v>0</v>
      </c>
      <c r="P4024" t="n">
        <v>0</v>
      </c>
      <c r="Q4024" t="n">
        <v>0</v>
      </c>
      <c r="R4024" s="2" t="inlineStr"/>
    </row>
    <row r="4025" ht="15" customHeight="1">
      <c r="A4025" t="inlineStr">
        <is>
          <t>A 40358-2025</t>
        </is>
      </c>
      <c r="B4025" s="1" t="n">
        <v>45895.48995370371</v>
      </c>
      <c r="C4025" s="1" t="n">
        <v>46093</v>
      </c>
      <c r="D4025" t="inlineStr">
        <is>
          <t>VÄSTERNORRLANDS LÄN</t>
        </is>
      </c>
      <c r="E4025" t="inlineStr">
        <is>
          <t>SOLLEFTEÅ</t>
        </is>
      </c>
      <c r="F4025" t="inlineStr">
        <is>
          <t>SCA</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45269-2024</t>
        </is>
      </c>
      <c r="B4026" s="1" t="n">
        <v>45576.35744212963</v>
      </c>
      <c r="C4026" s="1" t="n">
        <v>46093</v>
      </c>
      <c r="D4026" t="inlineStr">
        <is>
          <t>VÄSTERNORRLANDS LÄN</t>
        </is>
      </c>
      <c r="E4026" t="inlineStr">
        <is>
          <t>ÖRNSKÖLDSVIK</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40468-2025</t>
        </is>
      </c>
      <c r="B4027" s="1" t="n">
        <v>45895.66416666667</v>
      </c>
      <c r="C4027" s="1" t="n">
        <v>46093</v>
      </c>
      <c r="D4027" t="inlineStr">
        <is>
          <t>VÄSTERNORRLANDS LÄN</t>
        </is>
      </c>
      <c r="E4027" t="inlineStr">
        <is>
          <t>SOLLEFTEÅ</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41146-2023</t>
        </is>
      </c>
      <c r="B4028" s="1" t="n">
        <v>45173.94277777777</v>
      </c>
      <c r="C4028" s="1" t="n">
        <v>46093</v>
      </c>
      <c r="D4028" t="inlineStr">
        <is>
          <t>VÄSTERNORRLANDS LÄN</t>
        </is>
      </c>
      <c r="E4028" t="inlineStr">
        <is>
          <t>SOLLEFTEÅ</t>
        </is>
      </c>
      <c r="F4028" t="inlineStr">
        <is>
          <t>SCA</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35645-2025</t>
        </is>
      </c>
      <c r="B4029" s="1" t="n">
        <v>45859.4903125</v>
      </c>
      <c r="C4029" s="1" t="n">
        <v>46093</v>
      </c>
      <c r="D4029" t="inlineStr">
        <is>
          <t>VÄSTERNORRLANDS LÄN</t>
        </is>
      </c>
      <c r="E4029" t="inlineStr">
        <is>
          <t>KRAMFORS</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35653-2025</t>
        </is>
      </c>
      <c r="B4030" s="1" t="n">
        <v>45859.54060185186</v>
      </c>
      <c r="C4030" s="1" t="n">
        <v>46093</v>
      </c>
      <c r="D4030" t="inlineStr">
        <is>
          <t>VÄSTERNORRLANDS LÄN</t>
        </is>
      </c>
      <c r="E4030" t="inlineStr">
        <is>
          <t>ÖRNSKÖLDSVIK</t>
        </is>
      </c>
      <c r="F4030" t="inlineStr">
        <is>
          <t>Holmen skog AB</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35659-2025</t>
        </is>
      </c>
      <c r="B4031" s="1" t="n">
        <v>45859.59447916667</v>
      </c>
      <c r="C4031" s="1" t="n">
        <v>46093</v>
      </c>
      <c r="D4031" t="inlineStr">
        <is>
          <t>VÄSTERNORRLANDS LÄN</t>
        </is>
      </c>
      <c r="E4031" t="inlineStr">
        <is>
          <t>TIMRÅ</t>
        </is>
      </c>
      <c r="G4031" t="n">
        <v>8.6</v>
      </c>
      <c r="H4031" t="n">
        <v>0</v>
      </c>
      <c r="I4031" t="n">
        <v>0</v>
      </c>
      <c r="J4031" t="n">
        <v>0</v>
      </c>
      <c r="K4031" t="n">
        <v>0</v>
      </c>
      <c r="L4031" t="n">
        <v>0</v>
      </c>
      <c r="M4031" t="n">
        <v>0</v>
      </c>
      <c r="N4031" t="n">
        <v>0</v>
      </c>
      <c r="O4031" t="n">
        <v>0</v>
      </c>
      <c r="P4031" t="n">
        <v>0</v>
      </c>
      <c r="Q4031" t="n">
        <v>0</v>
      </c>
      <c r="R4031" s="2" t="inlineStr"/>
    </row>
    <row r="4032" ht="15" customHeight="1">
      <c r="A4032" t="inlineStr">
        <is>
          <t>A 40492-2025</t>
        </is>
      </c>
      <c r="B4032" s="1" t="n">
        <v>45896</v>
      </c>
      <c r="C4032" s="1" t="n">
        <v>46093</v>
      </c>
      <c r="D4032" t="inlineStr">
        <is>
          <t>VÄSTERNORRLANDS LÄN</t>
        </is>
      </c>
      <c r="E4032" t="inlineStr">
        <is>
          <t>SOLLEFTEÅ</t>
        </is>
      </c>
      <c r="F4032" t="inlineStr">
        <is>
          <t>Holmen skog AB</t>
        </is>
      </c>
      <c r="G4032" t="n">
        <v>7.8</v>
      </c>
      <c r="H4032" t="n">
        <v>0</v>
      </c>
      <c r="I4032" t="n">
        <v>0</v>
      </c>
      <c r="J4032" t="n">
        <v>0</v>
      </c>
      <c r="K4032" t="n">
        <v>0</v>
      </c>
      <c r="L4032" t="n">
        <v>0</v>
      </c>
      <c r="M4032" t="n">
        <v>0</v>
      </c>
      <c r="N4032" t="n">
        <v>0</v>
      </c>
      <c r="O4032" t="n">
        <v>0</v>
      </c>
      <c r="P4032" t="n">
        <v>0</v>
      </c>
      <c r="Q4032" t="n">
        <v>0</v>
      </c>
      <c r="R4032" s="2" t="inlineStr"/>
    </row>
    <row r="4033" ht="15" customHeight="1">
      <c r="A4033" t="inlineStr">
        <is>
          <t>A 40514-2025</t>
        </is>
      </c>
      <c r="B4033" s="1" t="n">
        <v>45896.35221064815</v>
      </c>
      <c r="C4033" s="1" t="n">
        <v>46093</v>
      </c>
      <c r="D4033" t="inlineStr">
        <is>
          <t>VÄSTERNORRLANDS LÄN</t>
        </is>
      </c>
      <c r="E4033" t="inlineStr">
        <is>
          <t>KRAMFORS</t>
        </is>
      </c>
      <c r="G4033" t="n">
        <v>7.4</v>
      </c>
      <c r="H4033" t="n">
        <v>0</v>
      </c>
      <c r="I4033" t="n">
        <v>0</v>
      </c>
      <c r="J4033" t="n">
        <v>0</v>
      </c>
      <c r="K4033" t="n">
        <v>0</v>
      </c>
      <c r="L4033" t="n">
        <v>0</v>
      </c>
      <c r="M4033" t="n">
        <v>0</v>
      </c>
      <c r="N4033" t="n">
        <v>0</v>
      </c>
      <c r="O4033" t="n">
        <v>0</v>
      </c>
      <c r="P4033" t="n">
        <v>0</v>
      </c>
      <c r="Q4033" t="n">
        <v>0</v>
      </c>
      <c r="R4033" s="2" t="inlineStr"/>
    </row>
    <row r="4034" ht="15" customHeight="1">
      <c r="A4034" t="inlineStr">
        <is>
          <t>A 35780-2025</t>
        </is>
      </c>
      <c r="B4034" s="1" t="n">
        <v>45860.70089120371</v>
      </c>
      <c r="C4034" s="1" t="n">
        <v>46093</v>
      </c>
      <c r="D4034" t="inlineStr">
        <is>
          <t>VÄSTERNORRLANDS LÄN</t>
        </is>
      </c>
      <c r="E4034" t="inlineStr">
        <is>
          <t>SUNDSVALL</t>
        </is>
      </c>
      <c r="G4034" t="n">
        <v>8</v>
      </c>
      <c r="H4034" t="n">
        <v>0</v>
      </c>
      <c r="I4034" t="n">
        <v>0</v>
      </c>
      <c r="J4034" t="n">
        <v>0</v>
      </c>
      <c r="K4034" t="n">
        <v>0</v>
      </c>
      <c r="L4034" t="n">
        <v>0</v>
      </c>
      <c r="M4034" t="n">
        <v>0</v>
      </c>
      <c r="N4034" t="n">
        <v>0</v>
      </c>
      <c r="O4034" t="n">
        <v>0</v>
      </c>
      <c r="P4034" t="n">
        <v>0</v>
      </c>
      <c r="Q4034" t="n">
        <v>0</v>
      </c>
      <c r="R4034" s="2" t="inlineStr"/>
    </row>
    <row r="4035" ht="15" customHeight="1">
      <c r="A4035" t="inlineStr">
        <is>
          <t>A 10365-2024</t>
        </is>
      </c>
      <c r="B4035" s="1" t="n">
        <v>45365</v>
      </c>
      <c r="C4035" s="1" t="n">
        <v>46093</v>
      </c>
      <c r="D4035" t="inlineStr">
        <is>
          <t>VÄSTERNORRLANDS LÄN</t>
        </is>
      </c>
      <c r="E4035" t="inlineStr">
        <is>
          <t>KRAMFORS</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5721-2024</t>
        </is>
      </c>
      <c r="B4036" s="1" t="n">
        <v>45334</v>
      </c>
      <c r="C4036" s="1" t="n">
        <v>46093</v>
      </c>
      <c r="D4036" t="inlineStr">
        <is>
          <t>VÄSTERNORRLANDS LÄN</t>
        </is>
      </c>
      <c r="E4036" t="inlineStr">
        <is>
          <t>SUNDSVALL</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40259-2025</t>
        </is>
      </c>
      <c r="B4037" s="1" t="n">
        <v>45895.33097222223</v>
      </c>
      <c r="C4037" s="1" t="n">
        <v>46093</v>
      </c>
      <c r="D4037" t="inlineStr">
        <is>
          <t>VÄSTERNORRLANDS LÄN</t>
        </is>
      </c>
      <c r="E4037" t="inlineStr">
        <is>
          <t>ÖRNSKÖLDSVIK</t>
        </is>
      </c>
      <c r="F4037" t="inlineStr">
        <is>
          <t>Holmen skog AB</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40637-2025</t>
        </is>
      </c>
      <c r="B4038" s="1" t="n">
        <v>45896.6050462963</v>
      </c>
      <c r="C4038" s="1" t="n">
        <v>46093</v>
      </c>
      <c r="D4038" t="inlineStr">
        <is>
          <t>VÄSTERNORRLANDS LÄN</t>
        </is>
      </c>
      <c r="E4038" t="inlineStr">
        <is>
          <t>KRAMFORS</t>
        </is>
      </c>
      <c r="G4038" t="n">
        <v>3.9</v>
      </c>
      <c r="H4038" t="n">
        <v>0</v>
      </c>
      <c r="I4038" t="n">
        <v>0</v>
      </c>
      <c r="J4038" t="n">
        <v>0</v>
      </c>
      <c r="K4038" t="n">
        <v>0</v>
      </c>
      <c r="L4038" t="n">
        <v>0</v>
      </c>
      <c r="M4038" t="n">
        <v>0</v>
      </c>
      <c r="N4038" t="n">
        <v>0</v>
      </c>
      <c r="O4038" t="n">
        <v>0</v>
      </c>
      <c r="P4038" t="n">
        <v>0</v>
      </c>
      <c r="Q4038" t="n">
        <v>0</v>
      </c>
      <c r="R4038" s="2" t="inlineStr"/>
    </row>
    <row r="4039" ht="15" customHeight="1">
      <c r="A4039" t="inlineStr">
        <is>
          <t>A 31554-2024</t>
        </is>
      </c>
      <c r="B4039" s="1" t="n">
        <v>45505.96472222222</v>
      </c>
      <c r="C4039" s="1" t="n">
        <v>46093</v>
      </c>
      <c r="D4039" t="inlineStr">
        <is>
          <t>VÄSTERNORRLANDS LÄN</t>
        </is>
      </c>
      <c r="E4039" t="inlineStr">
        <is>
          <t>SOLLEFTEÅ</t>
        </is>
      </c>
      <c r="F4039" t="inlineStr">
        <is>
          <t>SCA</t>
        </is>
      </c>
      <c r="G4039" t="n">
        <v>7.4</v>
      </c>
      <c r="H4039" t="n">
        <v>0</v>
      </c>
      <c r="I4039" t="n">
        <v>0</v>
      </c>
      <c r="J4039" t="n">
        <v>0</v>
      </c>
      <c r="K4039" t="n">
        <v>0</v>
      </c>
      <c r="L4039" t="n">
        <v>0</v>
      </c>
      <c r="M4039" t="n">
        <v>0</v>
      </c>
      <c r="N4039" t="n">
        <v>0</v>
      </c>
      <c r="O4039" t="n">
        <v>0</v>
      </c>
      <c r="P4039" t="n">
        <v>0</v>
      </c>
      <c r="Q4039" t="n">
        <v>0</v>
      </c>
      <c r="R4039" s="2" t="inlineStr"/>
    </row>
    <row r="4040" ht="15" customHeight="1">
      <c r="A4040" t="inlineStr">
        <is>
          <t>A 31556-2024</t>
        </is>
      </c>
      <c r="B4040" s="1" t="n">
        <v>45505</v>
      </c>
      <c r="C4040" s="1" t="n">
        <v>46093</v>
      </c>
      <c r="D4040" t="inlineStr">
        <is>
          <t>VÄSTERNORRLANDS LÄN</t>
        </is>
      </c>
      <c r="E4040" t="inlineStr">
        <is>
          <t>SOLLEFTEÅ</t>
        </is>
      </c>
      <c r="F4040" t="inlineStr">
        <is>
          <t>SCA</t>
        </is>
      </c>
      <c r="G4040" t="n">
        <v>4.4</v>
      </c>
      <c r="H4040" t="n">
        <v>0</v>
      </c>
      <c r="I4040" t="n">
        <v>0</v>
      </c>
      <c r="J4040" t="n">
        <v>0</v>
      </c>
      <c r="K4040" t="n">
        <v>0</v>
      </c>
      <c r="L4040" t="n">
        <v>0</v>
      </c>
      <c r="M4040" t="n">
        <v>0</v>
      </c>
      <c r="N4040" t="n">
        <v>0</v>
      </c>
      <c r="O4040" t="n">
        <v>0</v>
      </c>
      <c r="P4040" t="n">
        <v>0</v>
      </c>
      <c r="Q4040" t="n">
        <v>0</v>
      </c>
      <c r="R4040" s="2" t="inlineStr"/>
    </row>
    <row r="4041" ht="15" customHeight="1">
      <c r="A4041" t="inlineStr">
        <is>
          <t>A 27319-2024</t>
        </is>
      </c>
      <c r="B4041" s="1" t="n">
        <v>45471</v>
      </c>
      <c r="C4041" s="1" t="n">
        <v>46093</v>
      </c>
      <c r="D4041" t="inlineStr">
        <is>
          <t>VÄSTERNORRLANDS LÄN</t>
        </is>
      </c>
      <c r="E4041" t="inlineStr">
        <is>
          <t>SUNDSVALL</t>
        </is>
      </c>
      <c r="F4041" t="inlineStr">
        <is>
          <t>SCA</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40662-2025</t>
        </is>
      </c>
      <c r="B4042" s="1" t="n">
        <v>45896.6487037037</v>
      </c>
      <c r="C4042" s="1" t="n">
        <v>46093</v>
      </c>
      <c r="D4042" t="inlineStr">
        <is>
          <t>VÄSTERNORRLANDS LÄN</t>
        </is>
      </c>
      <c r="E4042" t="inlineStr">
        <is>
          <t>SOLLEFTEÅ</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49789-2024</t>
        </is>
      </c>
      <c r="B4043" s="1" t="n">
        <v>45597.36646990741</v>
      </c>
      <c r="C4043" s="1" t="n">
        <v>46093</v>
      </c>
      <c r="D4043" t="inlineStr">
        <is>
          <t>VÄSTERNORRLANDS LÄN</t>
        </is>
      </c>
      <c r="E4043" t="inlineStr">
        <is>
          <t>SUNDSVALL</t>
        </is>
      </c>
      <c r="F4043" t="inlineStr">
        <is>
          <t>SCA</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49790-2024</t>
        </is>
      </c>
      <c r="B4044" s="1" t="n">
        <v>45597.36650462963</v>
      </c>
      <c r="C4044" s="1" t="n">
        <v>46093</v>
      </c>
      <c r="D4044" t="inlineStr">
        <is>
          <t>VÄSTERNORRLANDS LÄN</t>
        </is>
      </c>
      <c r="E4044" t="inlineStr">
        <is>
          <t>ÖRNSKÖLDSVIK</t>
        </is>
      </c>
      <c r="F4044" t="inlineStr">
        <is>
          <t>Holmen skog AB</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28699-2024</t>
        </is>
      </c>
      <c r="B4045" s="1" t="n">
        <v>45478.50231481482</v>
      </c>
      <c r="C4045" s="1" t="n">
        <v>46093</v>
      </c>
      <c r="D4045" t="inlineStr">
        <is>
          <t>VÄSTERNORRLANDS LÄN</t>
        </is>
      </c>
      <c r="E4045" t="inlineStr">
        <is>
          <t>ÖRNSKÖLDSVIK</t>
        </is>
      </c>
      <c r="F4045" t="inlineStr">
        <is>
          <t>Holmen skog AB</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40515-2025</t>
        </is>
      </c>
      <c r="B4046" s="1" t="n">
        <v>45896</v>
      </c>
      <c r="C4046" s="1" t="n">
        <v>46093</v>
      </c>
      <c r="D4046" t="inlineStr">
        <is>
          <t>VÄSTERNORRLANDS LÄN</t>
        </is>
      </c>
      <c r="E4046" t="inlineStr">
        <is>
          <t>SOLLEFTEÅ</t>
        </is>
      </c>
      <c r="G4046" t="n">
        <v>7.3</v>
      </c>
      <c r="H4046" t="n">
        <v>0</v>
      </c>
      <c r="I4046" t="n">
        <v>0</v>
      </c>
      <c r="J4046" t="n">
        <v>0</v>
      </c>
      <c r="K4046" t="n">
        <v>0</v>
      </c>
      <c r="L4046" t="n">
        <v>0</v>
      </c>
      <c r="M4046" t="n">
        <v>0</v>
      </c>
      <c r="N4046" t="n">
        <v>0</v>
      </c>
      <c r="O4046" t="n">
        <v>0</v>
      </c>
      <c r="P4046" t="n">
        <v>0</v>
      </c>
      <c r="Q4046" t="n">
        <v>0</v>
      </c>
      <c r="R4046" s="2" t="inlineStr"/>
    </row>
    <row r="4047" ht="15" customHeight="1">
      <c r="A4047" t="inlineStr">
        <is>
          <t>A 40516-2025</t>
        </is>
      </c>
      <c r="B4047" s="1" t="n">
        <v>45896.36337962963</v>
      </c>
      <c r="C4047" s="1" t="n">
        <v>46093</v>
      </c>
      <c r="D4047" t="inlineStr">
        <is>
          <t>VÄSTERNORRLANDS LÄN</t>
        </is>
      </c>
      <c r="E4047" t="inlineStr">
        <is>
          <t>ÖRNSKÖLDSVIK</t>
        </is>
      </c>
      <c r="G4047" t="n">
        <v>3</v>
      </c>
      <c r="H4047" t="n">
        <v>0</v>
      </c>
      <c r="I4047" t="n">
        <v>0</v>
      </c>
      <c r="J4047" t="n">
        <v>0</v>
      </c>
      <c r="K4047" t="n">
        <v>0</v>
      </c>
      <c r="L4047" t="n">
        <v>0</v>
      </c>
      <c r="M4047" t="n">
        <v>0</v>
      </c>
      <c r="N4047" t="n">
        <v>0</v>
      </c>
      <c r="O4047" t="n">
        <v>0</v>
      </c>
      <c r="P4047" t="n">
        <v>0</v>
      </c>
      <c r="Q4047" t="n">
        <v>0</v>
      </c>
      <c r="R4047" s="2" t="inlineStr"/>
    </row>
    <row r="4048" ht="15" customHeight="1">
      <c r="A4048" t="inlineStr">
        <is>
          <t>A 55684-2024</t>
        </is>
      </c>
      <c r="B4048" s="1" t="n">
        <v>45622.66326388889</v>
      </c>
      <c r="C4048" s="1" t="n">
        <v>46093</v>
      </c>
      <c r="D4048" t="inlineStr">
        <is>
          <t>VÄSTERNORRLANDS LÄN</t>
        </is>
      </c>
      <c r="E4048" t="inlineStr">
        <is>
          <t>ÖRNSKÖLDSVIK</t>
        </is>
      </c>
      <c r="G4048" t="n">
        <v>2.8</v>
      </c>
      <c r="H4048" t="n">
        <v>0</v>
      </c>
      <c r="I4048" t="n">
        <v>0</v>
      </c>
      <c r="J4048" t="n">
        <v>0</v>
      </c>
      <c r="K4048" t="n">
        <v>0</v>
      </c>
      <c r="L4048" t="n">
        <v>0</v>
      </c>
      <c r="M4048" t="n">
        <v>0</v>
      </c>
      <c r="N4048" t="n">
        <v>0</v>
      </c>
      <c r="O4048" t="n">
        <v>0</v>
      </c>
      <c r="P4048" t="n">
        <v>0</v>
      </c>
      <c r="Q4048" t="n">
        <v>0</v>
      </c>
      <c r="R4048" s="2" t="inlineStr"/>
    </row>
    <row r="4049" ht="15" customHeight="1">
      <c r="A4049" t="inlineStr">
        <is>
          <t>A 55692-2024</t>
        </is>
      </c>
      <c r="B4049" s="1" t="n">
        <v>45622</v>
      </c>
      <c r="C4049" s="1" t="n">
        <v>46093</v>
      </c>
      <c r="D4049" t="inlineStr">
        <is>
          <t>VÄSTERNORRLANDS LÄN</t>
        </is>
      </c>
      <c r="E4049" t="inlineStr">
        <is>
          <t>SOLLEFTEÅ</t>
        </is>
      </c>
      <c r="F4049" t="inlineStr">
        <is>
          <t>SCA</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40304-2025</t>
        </is>
      </c>
      <c r="B4050" s="1" t="n">
        <v>45895.40690972222</v>
      </c>
      <c r="C4050" s="1" t="n">
        <v>46093</v>
      </c>
      <c r="D4050" t="inlineStr">
        <is>
          <t>VÄSTERNORRLANDS LÄN</t>
        </is>
      </c>
      <c r="E4050" t="inlineStr">
        <is>
          <t>SOLLEFTEÅ</t>
        </is>
      </c>
      <c r="F4050" t="inlineStr">
        <is>
          <t>SCA</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35754-2025</t>
        </is>
      </c>
      <c r="B4051" s="1" t="n">
        <v>45860.5894212963</v>
      </c>
      <c r="C4051" s="1" t="n">
        <v>46093</v>
      </c>
      <c r="D4051" t="inlineStr">
        <is>
          <t>VÄSTERNORRLANDS LÄN</t>
        </is>
      </c>
      <c r="E4051" t="inlineStr">
        <is>
          <t>KRAMFORS</t>
        </is>
      </c>
      <c r="G4051" t="n">
        <v>4.6</v>
      </c>
      <c r="H4051" t="n">
        <v>0</v>
      </c>
      <c r="I4051" t="n">
        <v>0</v>
      </c>
      <c r="J4051" t="n">
        <v>0</v>
      </c>
      <c r="K4051" t="n">
        <v>0</v>
      </c>
      <c r="L4051" t="n">
        <v>0</v>
      </c>
      <c r="M4051" t="n">
        <v>0</v>
      </c>
      <c r="N4051" t="n">
        <v>0</v>
      </c>
      <c r="O4051" t="n">
        <v>0</v>
      </c>
      <c r="P4051" t="n">
        <v>0</v>
      </c>
      <c r="Q4051" t="n">
        <v>0</v>
      </c>
      <c r="R4051" s="2" t="inlineStr"/>
    </row>
    <row r="4052" ht="15" customHeight="1">
      <c r="A4052" t="inlineStr">
        <is>
          <t>A 26661-2024</t>
        </is>
      </c>
      <c r="B4052" s="1" t="n">
        <v>45469</v>
      </c>
      <c r="C4052" s="1" t="n">
        <v>46093</v>
      </c>
      <c r="D4052" t="inlineStr">
        <is>
          <t>VÄSTERNORRLANDS LÄN</t>
        </is>
      </c>
      <c r="E4052" t="inlineStr">
        <is>
          <t>SUNDSVALL</t>
        </is>
      </c>
      <c r="F4052" t="inlineStr">
        <is>
          <t>SCA</t>
        </is>
      </c>
      <c r="G4052" t="n">
        <v>3.9</v>
      </c>
      <c r="H4052" t="n">
        <v>0</v>
      </c>
      <c r="I4052" t="n">
        <v>0</v>
      </c>
      <c r="J4052" t="n">
        <v>0</v>
      </c>
      <c r="K4052" t="n">
        <v>0</v>
      </c>
      <c r="L4052" t="n">
        <v>0</v>
      </c>
      <c r="M4052" t="n">
        <v>0</v>
      </c>
      <c r="N4052" t="n">
        <v>0</v>
      </c>
      <c r="O4052" t="n">
        <v>0</v>
      </c>
      <c r="P4052" t="n">
        <v>0</v>
      </c>
      <c r="Q4052" t="n">
        <v>0</v>
      </c>
      <c r="R4052" s="2" t="inlineStr"/>
    </row>
    <row r="4053" ht="15" customHeight="1">
      <c r="A4053" t="inlineStr">
        <is>
          <t>A 26662-2024</t>
        </is>
      </c>
      <c r="B4053" s="1" t="n">
        <v>45469</v>
      </c>
      <c r="C4053" s="1" t="n">
        <v>46093</v>
      </c>
      <c r="D4053" t="inlineStr">
        <is>
          <t>VÄSTERNORRLANDS LÄN</t>
        </is>
      </c>
      <c r="E4053" t="inlineStr">
        <is>
          <t>TIMRÅ</t>
        </is>
      </c>
      <c r="F4053" t="inlineStr">
        <is>
          <t>SCA</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35939-2023</t>
        </is>
      </c>
      <c r="B4054" s="1" t="n">
        <v>45148</v>
      </c>
      <c r="C4054" s="1" t="n">
        <v>46093</v>
      </c>
      <c r="D4054" t="inlineStr">
        <is>
          <t>VÄSTERNORRLANDS LÄN</t>
        </is>
      </c>
      <c r="E4054" t="inlineStr">
        <is>
          <t>TIMRÅ</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55792-2024</t>
        </is>
      </c>
      <c r="B4055" s="1" t="n">
        <v>45623</v>
      </c>
      <c r="C4055" s="1" t="n">
        <v>46093</v>
      </c>
      <c r="D4055" t="inlineStr">
        <is>
          <t>VÄSTERNORRLANDS LÄN</t>
        </is>
      </c>
      <c r="E4055" t="inlineStr">
        <is>
          <t>SOLLEFTEÅ</t>
        </is>
      </c>
      <c r="F4055" t="inlineStr">
        <is>
          <t>SCA</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30056-2024</t>
        </is>
      </c>
      <c r="B4056" s="1" t="n">
        <v>45488.94775462963</v>
      </c>
      <c r="C4056" s="1" t="n">
        <v>46093</v>
      </c>
      <c r="D4056" t="inlineStr">
        <is>
          <t>VÄSTERNORRLANDS LÄN</t>
        </is>
      </c>
      <c r="E4056" t="inlineStr">
        <is>
          <t>ÖRNSKÖLDSVIK</t>
        </is>
      </c>
      <c r="F4056" t="inlineStr">
        <is>
          <t>SCA</t>
        </is>
      </c>
      <c r="G4056" t="n">
        <v>6.1</v>
      </c>
      <c r="H4056" t="n">
        <v>0</v>
      </c>
      <c r="I4056" t="n">
        <v>0</v>
      </c>
      <c r="J4056" t="n">
        <v>0</v>
      </c>
      <c r="K4056" t="n">
        <v>0</v>
      </c>
      <c r="L4056" t="n">
        <v>0</v>
      </c>
      <c r="M4056" t="n">
        <v>0</v>
      </c>
      <c r="N4056" t="n">
        <v>0</v>
      </c>
      <c r="O4056" t="n">
        <v>0</v>
      </c>
      <c r="P4056" t="n">
        <v>0</v>
      </c>
      <c r="Q4056" t="n">
        <v>0</v>
      </c>
      <c r="R4056" s="2" t="inlineStr"/>
    </row>
    <row r="4057" ht="15" customHeight="1">
      <c r="A4057" t="inlineStr">
        <is>
          <t>A 71965-2021</t>
        </is>
      </c>
      <c r="B4057" s="1" t="n">
        <v>44544.32483796297</v>
      </c>
      <c r="C4057" s="1" t="n">
        <v>46093</v>
      </c>
      <c r="D4057" t="inlineStr">
        <is>
          <t>VÄSTERNORRLANDS LÄN</t>
        </is>
      </c>
      <c r="E4057" t="inlineStr">
        <is>
          <t>ÅNGE</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56566-2024</t>
        </is>
      </c>
      <c r="B4058" s="1" t="n">
        <v>45625.5858912037</v>
      </c>
      <c r="C4058" s="1" t="n">
        <v>46093</v>
      </c>
      <c r="D4058" t="inlineStr">
        <is>
          <t>VÄSTERNORRLANDS LÄN</t>
        </is>
      </c>
      <c r="E4058" t="inlineStr">
        <is>
          <t>ÖRNSKÖLDSVIK</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56574-2024</t>
        </is>
      </c>
      <c r="B4059" s="1" t="n">
        <v>45625.59616898148</v>
      </c>
      <c r="C4059" s="1" t="n">
        <v>46093</v>
      </c>
      <c r="D4059" t="inlineStr">
        <is>
          <t>VÄSTERNORRLANDS LÄN</t>
        </is>
      </c>
      <c r="E4059" t="inlineStr">
        <is>
          <t>ÅNGE</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3001-2022</t>
        </is>
      </c>
      <c r="B4060" s="1" t="n">
        <v>44581</v>
      </c>
      <c r="C4060" s="1" t="n">
        <v>46093</v>
      </c>
      <c r="D4060" t="inlineStr">
        <is>
          <t>VÄSTERNORRLANDS LÄN</t>
        </is>
      </c>
      <c r="E4060" t="inlineStr">
        <is>
          <t>SOLLEFTEÅ</t>
        </is>
      </c>
      <c r="G4060" t="n">
        <v>4.2</v>
      </c>
      <c r="H4060" t="n">
        <v>0</v>
      </c>
      <c r="I4060" t="n">
        <v>0</v>
      </c>
      <c r="J4060" t="n">
        <v>0</v>
      </c>
      <c r="K4060" t="n">
        <v>0</v>
      </c>
      <c r="L4060" t="n">
        <v>0</v>
      </c>
      <c r="M4060" t="n">
        <v>0</v>
      </c>
      <c r="N4060" t="n">
        <v>0</v>
      </c>
      <c r="O4060" t="n">
        <v>0</v>
      </c>
      <c r="P4060" t="n">
        <v>0</v>
      </c>
      <c r="Q4060" t="n">
        <v>0</v>
      </c>
      <c r="R4060" s="2" t="inlineStr"/>
    </row>
    <row r="4061" ht="15" customHeight="1">
      <c r="A4061" t="inlineStr">
        <is>
          <t>A 40655-2025</t>
        </is>
      </c>
      <c r="B4061" s="1" t="n">
        <v>45896.63645833333</v>
      </c>
      <c r="C4061" s="1" t="n">
        <v>46093</v>
      </c>
      <c r="D4061" t="inlineStr">
        <is>
          <t>VÄSTERNORRLANDS LÄN</t>
        </is>
      </c>
      <c r="E4061" t="inlineStr">
        <is>
          <t>SUNDSVALL</t>
        </is>
      </c>
      <c r="F4061" t="inlineStr">
        <is>
          <t>Naturvårdsverket</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40302-2025</t>
        </is>
      </c>
      <c r="B4062" s="1" t="n">
        <v>45895.40662037037</v>
      </c>
      <c r="C4062" s="1" t="n">
        <v>46093</v>
      </c>
      <c r="D4062" t="inlineStr">
        <is>
          <t>VÄSTERNORRLANDS LÄN</t>
        </is>
      </c>
      <c r="E4062" t="inlineStr">
        <is>
          <t>SOLLEFTEÅ</t>
        </is>
      </c>
      <c r="F4062" t="inlineStr">
        <is>
          <t>SCA</t>
        </is>
      </c>
      <c r="G4062" t="n">
        <v>2.8</v>
      </c>
      <c r="H4062" t="n">
        <v>0</v>
      </c>
      <c r="I4062" t="n">
        <v>0</v>
      </c>
      <c r="J4062" t="n">
        <v>0</v>
      </c>
      <c r="K4062" t="n">
        <v>0</v>
      </c>
      <c r="L4062" t="n">
        <v>0</v>
      </c>
      <c r="M4062" t="n">
        <v>0</v>
      </c>
      <c r="N4062" t="n">
        <v>0</v>
      </c>
      <c r="O4062" t="n">
        <v>0</v>
      </c>
      <c r="P4062" t="n">
        <v>0</v>
      </c>
      <c r="Q4062" t="n">
        <v>0</v>
      </c>
      <c r="R4062" s="2" t="inlineStr"/>
    </row>
    <row r="4063" ht="15" customHeight="1">
      <c r="A4063" t="inlineStr">
        <is>
          <t>A 27895-2024</t>
        </is>
      </c>
      <c r="B4063" s="1" t="n">
        <v>45475.92822916667</v>
      </c>
      <c r="C4063" s="1" t="n">
        <v>46093</v>
      </c>
      <c r="D4063" t="inlineStr">
        <is>
          <t>VÄSTERNORRLANDS LÄN</t>
        </is>
      </c>
      <c r="E4063" t="inlineStr">
        <is>
          <t>SUNDSVALL</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27977-2024</t>
        </is>
      </c>
      <c r="B4064" s="1" t="n">
        <v>45476</v>
      </c>
      <c r="C4064" s="1" t="n">
        <v>46093</v>
      </c>
      <c r="D4064" t="inlineStr">
        <is>
          <t>VÄSTERNORRLANDS LÄN</t>
        </is>
      </c>
      <c r="E4064" t="inlineStr">
        <is>
          <t>HÄRNÖSAND</t>
        </is>
      </c>
      <c r="G4064" t="n">
        <v>6.4</v>
      </c>
      <c r="H4064" t="n">
        <v>0</v>
      </c>
      <c r="I4064" t="n">
        <v>0</v>
      </c>
      <c r="J4064" t="n">
        <v>0</v>
      </c>
      <c r="K4064" t="n">
        <v>0</v>
      </c>
      <c r="L4064" t="n">
        <v>0</v>
      </c>
      <c r="M4064" t="n">
        <v>0</v>
      </c>
      <c r="N4064" t="n">
        <v>0</v>
      </c>
      <c r="O4064" t="n">
        <v>0</v>
      </c>
      <c r="P4064" t="n">
        <v>0</v>
      </c>
      <c r="Q4064" t="n">
        <v>0</v>
      </c>
      <c r="R4064" s="2" t="inlineStr"/>
    </row>
    <row r="4065" ht="15" customHeight="1">
      <c r="A4065" t="inlineStr">
        <is>
          <t>A 40651-2025</t>
        </is>
      </c>
      <c r="B4065" s="1" t="n">
        <v>45896.63585648148</v>
      </c>
      <c r="C4065" s="1" t="n">
        <v>46093</v>
      </c>
      <c r="D4065" t="inlineStr">
        <is>
          <t>VÄSTERNORRLANDS LÄN</t>
        </is>
      </c>
      <c r="E4065" t="inlineStr">
        <is>
          <t>SOLLEFTEÅ</t>
        </is>
      </c>
      <c r="F4065" t="inlineStr">
        <is>
          <t>SCA</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40652-2025</t>
        </is>
      </c>
      <c r="B4066" s="1" t="n">
        <v>45896.6360300926</v>
      </c>
      <c r="C4066" s="1" t="n">
        <v>46093</v>
      </c>
      <c r="D4066" t="inlineStr">
        <is>
          <t>VÄSTERNORRLANDS LÄN</t>
        </is>
      </c>
      <c r="E4066" t="inlineStr">
        <is>
          <t>ÖRNSKÖLDSVIK</t>
        </is>
      </c>
      <c r="F4066" t="inlineStr">
        <is>
          <t>SCA</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29869-2024</t>
        </is>
      </c>
      <c r="B4067" s="1" t="n">
        <v>45485.94493055555</v>
      </c>
      <c r="C4067" s="1" t="n">
        <v>46093</v>
      </c>
      <c r="D4067" t="inlineStr">
        <is>
          <t>VÄSTERNORRLANDS LÄN</t>
        </is>
      </c>
      <c r="E4067" t="inlineStr">
        <is>
          <t>SOLLEFTEÅ</t>
        </is>
      </c>
      <c r="F4067" t="inlineStr">
        <is>
          <t>SCA</t>
        </is>
      </c>
      <c r="G4067" t="n">
        <v>6.4</v>
      </c>
      <c r="H4067" t="n">
        <v>0</v>
      </c>
      <c r="I4067" t="n">
        <v>0</v>
      </c>
      <c r="J4067" t="n">
        <v>0</v>
      </c>
      <c r="K4067" t="n">
        <v>0</v>
      </c>
      <c r="L4067" t="n">
        <v>0</v>
      </c>
      <c r="M4067" t="n">
        <v>0</v>
      </c>
      <c r="N4067" t="n">
        <v>0</v>
      </c>
      <c r="O4067" t="n">
        <v>0</v>
      </c>
      <c r="P4067" t="n">
        <v>0</v>
      </c>
      <c r="Q4067" t="n">
        <v>0</v>
      </c>
      <c r="R4067" s="2" t="inlineStr"/>
    </row>
    <row r="4068" ht="15" customHeight="1">
      <c r="A4068" t="inlineStr">
        <is>
          <t>A 26059-2024</t>
        </is>
      </c>
      <c r="B4068" s="1" t="n">
        <v>45468.34836805556</v>
      </c>
      <c r="C4068" s="1" t="n">
        <v>46093</v>
      </c>
      <c r="D4068" t="inlineStr">
        <is>
          <t>VÄSTERNORRLANDS LÄN</t>
        </is>
      </c>
      <c r="E4068" t="inlineStr">
        <is>
          <t>ÖRNSKÖLDSVIK</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51573-2024</t>
        </is>
      </c>
      <c r="B4069" s="1" t="n">
        <v>45604</v>
      </c>
      <c r="C4069" s="1" t="n">
        <v>46093</v>
      </c>
      <c r="D4069" t="inlineStr">
        <is>
          <t>VÄSTERNORRLANDS LÄN</t>
        </is>
      </c>
      <c r="E4069" t="inlineStr">
        <is>
          <t>SOLLEFTEÅ</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25190-2025</t>
        </is>
      </c>
      <c r="B4070" s="1" t="n">
        <v>45798</v>
      </c>
      <c r="C4070" s="1" t="n">
        <v>46093</v>
      </c>
      <c r="D4070" t="inlineStr">
        <is>
          <t>VÄSTERNORRLANDS LÄN</t>
        </is>
      </c>
      <c r="E4070" t="inlineStr">
        <is>
          <t>TIMRÅ</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70173-2021</t>
        </is>
      </c>
      <c r="B4071" s="1" t="n">
        <v>44533</v>
      </c>
      <c r="C4071" s="1" t="n">
        <v>46093</v>
      </c>
      <c r="D4071" t="inlineStr">
        <is>
          <t>VÄSTERNORRLANDS LÄN</t>
        </is>
      </c>
      <c r="E4071" t="inlineStr">
        <is>
          <t>SUNDSVALL</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28763-2024</t>
        </is>
      </c>
      <c r="B4072" s="1" t="n">
        <v>45478.59087962963</v>
      </c>
      <c r="C4072" s="1" t="n">
        <v>46093</v>
      </c>
      <c r="D4072" t="inlineStr">
        <is>
          <t>VÄSTERNORRLANDS LÄN</t>
        </is>
      </c>
      <c r="E4072" t="inlineStr">
        <is>
          <t>ÖRNSKÖLDSVIK</t>
        </is>
      </c>
      <c r="F4072" t="inlineStr">
        <is>
          <t>Holmen skog AB</t>
        </is>
      </c>
      <c r="G4072" t="n">
        <v>4.6</v>
      </c>
      <c r="H4072" t="n">
        <v>0</v>
      </c>
      <c r="I4072" t="n">
        <v>0</v>
      </c>
      <c r="J4072" t="n">
        <v>0</v>
      </c>
      <c r="K4072" t="n">
        <v>0</v>
      </c>
      <c r="L4072" t="n">
        <v>0</v>
      </c>
      <c r="M4072" t="n">
        <v>0</v>
      </c>
      <c r="N4072" t="n">
        <v>0</v>
      </c>
      <c r="O4072" t="n">
        <v>0</v>
      </c>
      <c r="P4072" t="n">
        <v>0</v>
      </c>
      <c r="Q4072" t="n">
        <v>0</v>
      </c>
      <c r="R4072" s="2" t="inlineStr"/>
    </row>
    <row r="4073" ht="15" customHeight="1">
      <c r="A4073" t="inlineStr">
        <is>
          <t>A 56304-2024</t>
        </is>
      </c>
      <c r="B4073" s="1" t="n">
        <v>45624</v>
      </c>
      <c r="C4073" s="1" t="n">
        <v>46093</v>
      </c>
      <c r="D4073" t="inlineStr">
        <is>
          <t>VÄSTERNORRLANDS LÄN</t>
        </is>
      </c>
      <c r="E4073" t="inlineStr">
        <is>
          <t>HÄRNÖSAND</t>
        </is>
      </c>
      <c r="G4073" t="n">
        <v>4.2</v>
      </c>
      <c r="H4073" t="n">
        <v>0</v>
      </c>
      <c r="I4073" t="n">
        <v>0</v>
      </c>
      <c r="J4073" t="n">
        <v>0</v>
      </c>
      <c r="K4073" t="n">
        <v>0</v>
      </c>
      <c r="L4073" t="n">
        <v>0</v>
      </c>
      <c r="M4073" t="n">
        <v>0</v>
      </c>
      <c r="N4073" t="n">
        <v>0</v>
      </c>
      <c r="O4073" t="n">
        <v>0</v>
      </c>
      <c r="P4073" t="n">
        <v>0</v>
      </c>
      <c r="Q4073" t="n">
        <v>0</v>
      </c>
      <c r="R4073" s="2" t="inlineStr"/>
    </row>
    <row r="4074" ht="15" customHeight="1">
      <c r="A4074" t="inlineStr">
        <is>
          <t>A 62968-2021</t>
        </is>
      </c>
      <c r="B4074" s="1" t="n">
        <v>44505.30230324074</v>
      </c>
      <c r="C4074" s="1" t="n">
        <v>46093</v>
      </c>
      <c r="D4074" t="inlineStr">
        <is>
          <t>VÄSTERNORRLANDS LÄN</t>
        </is>
      </c>
      <c r="E4074" t="inlineStr">
        <is>
          <t>ÖRNSKÖLDSVIK</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41305-2025</t>
        </is>
      </c>
      <c r="B4075" s="1" t="n">
        <v>45898.69850694444</v>
      </c>
      <c r="C4075" s="1" t="n">
        <v>46093</v>
      </c>
      <c r="D4075" t="inlineStr">
        <is>
          <t>VÄSTERNORRLANDS LÄN</t>
        </is>
      </c>
      <c r="E4075" t="inlineStr">
        <is>
          <t>SOLLEFTEÅ</t>
        </is>
      </c>
      <c r="F4075" t="inlineStr">
        <is>
          <t>SCA</t>
        </is>
      </c>
      <c r="G4075" t="n">
        <v>6.3</v>
      </c>
      <c r="H4075" t="n">
        <v>0</v>
      </c>
      <c r="I4075" t="n">
        <v>0</v>
      </c>
      <c r="J4075" t="n">
        <v>0</v>
      </c>
      <c r="K4075" t="n">
        <v>0</v>
      </c>
      <c r="L4075" t="n">
        <v>0</v>
      </c>
      <c r="M4075" t="n">
        <v>0</v>
      </c>
      <c r="N4075" t="n">
        <v>0</v>
      </c>
      <c r="O4075" t="n">
        <v>0</v>
      </c>
      <c r="P4075" t="n">
        <v>0</v>
      </c>
      <c r="Q4075" t="n">
        <v>0</v>
      </c>
      <c r="R4075" s="2" t="inlineStr"/>
    </row>
    <row r="4076" ht="15" customHeight="1">
      <c r="A4076" t="inlineStr">
        <is>
          <t>A 41033-2025</t>
        </is>
      </c>
      <c r="B4076" s="1" t="n">
        <v>45898.37877314815</v>
      </c>
      <c r="C4076" s="1" t="n">
        <v>46093</v>
      </c>
      <c r="D4076" t="inlineStr">
        <is>
          <t>VÄSTERNORRLANDS LÄN</t>
        </is>
      </c>
      <c r="E4076" t="inlineStr">
        <is>
          <t>KRAMFORS</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31188-2023</t>
        </is>
      </c>
      <c r="B4077" s="1" t="n">
        <v>45113.94945601852</v>
      </c>
      <c r="C4077" s="1" t="n">
        <v>46093</v>
      </c>
      <c r="D4077" t="inlineStr">
        <is>
          <t>VÄSTERNORRLANDS LÄN</t>
        </is>
      </c>
      <c r="E4077" t="inlineStr">
        <is>
          <t>ÖRNSKÖLDSVIK</t>
        </is>
      </c>
      <c r="F4077" t="inlineStr">
        <is>
          <t>SCA</t>
        </is>
      </c>
      <c r="G4077" t="n">
        <v>8.699999999999999</v>
      </c>
      <c r="H4077" t="n">
        <v>0</v>
      </c>
      <c r="I4077" t="n">
        <v>0</v>
      </c>
      <c r="J4077" t="n">
        <v>0</v>
      </c>
      <c r="K4077" t="n">
        <v>0</v>
      </c>
      <c r="L4077" t="n">
        <v>0</v>
      </c>
      <c r="M4077" t="n">
        <v>0</v>
      </c>
      <c r="N4077" t="n">
        <v>0</v>
      </c>
      <c r="O4077" t="n">
        <v>0</v>
      </c>
      <c r="P4077" t="n">
        <v>0</v>
      </c>
      <c r="Q4077" t="n">
        <v>0</v>
      </c>
      <c r="R4077" s="2" t="inlineStr"/>
    </row>
    <row r="4078" ht="15" customHeight="1">
      <c r="A4078" t="inlineStr">
        <is>
          <t>A 40957-2025</t>
        </is>
      </c>
      <c r="B4078" s="1" t="n">
        <v>45897.67841435185</v>
      </c>
      <c r="C4078" s="1" t="n">
        <v>46093</v>
      </c>
      <c r="D4078" t="inlineStr">
        <is>
          <t>VÄSTERNORRLANDS LÄN</t>
        </is>
      </c>
      <c r="E4078" t="inlineStr">
        <is>
          <t>SUNDSVALL</t>
        </is>
      </c>
      <c r="F4078" t="inlineStr">
        <is>
          <t>Naturvårdsverket</t>
        </is>
      </c>
      <c r="G4078" t="n">
        <v>8.5</v>
      </c>
      <c r="H4078" t="n">
        <v>0</v>
      </c>
      <c r="I4078" t="n">
        <v>0</v>
      </c>
      <c r="J4078" t="n">
        <v>0</v>
      </c>
      <c r="K4078" t="n">
        <v>0</v>
      </c>
      <c r="L4078" t="n">
        <v>0</v>
      </c>
      <c r="M4078" t="n">
        <v>0</v>
      </c>
      <c r="N4078" t="n">
        <v>0</v>
      </c>
      <c r="O4078" t="n">
        <v>0</v>
      </c>
      <c r="P4078" t="n">
        <v>0</v>
      </c>
      <c r="Q4078" t="n">
        <v>0</v>
      </c>
      <c r="R4078" s="2" t="inlineStr"/>
    </row>
    <row r="4079" ht="15" customHeight="1">
      <c r="A4079" t="inlineStr">
        <is>
          <t>A 54362-2024</t>
        </is>
      </c>
      <c r="B4079" s="1" t="n">
        <v>45617</v>
      </c>
      <c r="C4079" s="1" t="n">
        <v>46093</v>
      </c>
      <c r="D4079" t="inlineStr">
        <is>
          <t>VÄSTERNORRLANDS LÄN</t>
        </is>
      </c>
      <c r="E4079" t="inlineStr">
        <is>
          <t>KRAMFORS</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35761-2024</t>
        </is>
      </c>
      <c r="B4080" s="1" t="n">
        <v>45532.57244212963</v>
      </c>
      <c r="C4080" s="1" t="n">
        <v>46093</v>
      </c>
      <c r="D4080" t="inlineStr">
        <is>
          <t>VÄSTERNORRLANDS LÄN</t>
        </is>
      </c>
      <c r="E4080" t="inlineStr">
        <is>
          <t>ÖRNSKÖLDSVIK</t>
        </is>
      </c>
      <c r="G4080" t="n">
        <v>0.2</v>
      </c>
      <c r="H4080" t="n">
        <v>0</v>
      </c>
      <c r="I4080" t="n">
        <v>0</v>
      </c>
      <c r="J4080" t="n">
        <v>0</v>
      </c>
      <c r="K4080" t="n">
        <v>0</v>
      </c>
      <c r="L4080" t="n">
        <v>0</v>
      </c>
      <c r="M4080" t="n">
        <v>0</v>
      </c>
      <c r="N4080" t="n">
        <v>0</v>
      </c>
      <c r="O4080" t="n">
        <v>0</v>
      </c>
      <c r="P4080" t="n">
        <v>0</v>
      </c>
      <c r="Q4080" t="n">
        <v>0</v>
      </c>
      <c r="R4080" s="2" t="inlineStr"/>
    </row>
    <row r="4081" ht="15" customHeight="1">
      <c r="A4081" t="inlineStr">
        <is>
          <t>A 35793-2024</t>
        </is>
      </c>
      <c r="B4081" s="1" t="n">
        <v>45532</v>
      </c>
      <c r="C4081" s="1" t="n">
        <v>46093</v>
      </c>
      <c r="D4081" t="inlineStr">
        <is>
          <t>VÄSTERNORRLANDS LÄN</t>
        </is>
      </c>
      <c r="E4081" t="inlineStr">
        <is>
          <t>SOLLEFTEÅ</t>
        </is>
      </c>
      <c r="F4081" t="inlineStr">
        <is>
          <t>SCA</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35794-2024</t>
        </is>
      </c>
      <c r="B4082" s="1" t="n">
        <v>45532.62974537037</v>
      </c>
      <c r="C4082" s="1" t="n">
        <v>46093</v>
      </c>
      <c r="D4082" t="inlineStr">
        <is>
          <t>VÄSTERNORRLANDS LÄN</t>
        </is>
      </c>
      <c r="E4082" t="inlineStr">
        <is>
          <t>SOLLEFTEÅ</t>
        </is>
      </c>
      <c r="F4082" t="inlineStr">
        <is>
          <t>SCA</t>
        </is>
      </c>
      <c r="G4082" t="n">
        <v>0.4</v>
      </c>
      <c r="H4082" t="n">
        <v>0</v>
      </c>
      <c r="I4082" t="n">
        <v>0</v>
      </c>
      <c r="J4082" t="n">
        <v>0</v>
      </c>
      <c r="K4082" t="n">
        <v>0</v>
      </c>
      <c r="L4082" t="n">
        <v>0</v>
      </c>
      <c r="M4082" t="n">
        <v>0</v>
      </c>
      <c r="N4082" t="n">
        <v>0</v>
      </c>
      <c r="O4082" t="n">
        <v>0</v>
      </c>
      <c r="P4082" t="n">
        <v>0</v>
      </c>
      <c r="Q4082" t="n">
        <v>0</v>
      </c>
      <c r="R4082" s="2" t="inlineStr"/>
    </row>
    <row r="4083" ht="15" customHeight="1">
      <c r="A4083" t="inlineStr">
        <is>
          <t>A 35795-2024</t>
        </is>
      </c>
      <c r="B4083" s="1" t="n">
        <v>45532</v>
      </c>
      <c r="C4083" s="1" t="n">
        <v>46093</v>
      </c>
      <c r="D4083" t="inlineStr">
        <is>
          <t>VÄSTERNORRLANDS LÄN</t>
        </is>
      </c>
      <c r="E4083" t="inlineStr">
        <is>
          <t>SOLLEFTEÅ</t>
        </is>
      </c>
      <c r="F4083" t="inlineStr">
        <is>
          <t>SCA</t>
        </is>
      </c>
      <c r="G4083" t="n">
        <v>4.8</v>
      </c>
      <c r="H4083" t="n">
        <v>0</v>
      </c>
      <c r="I4083" t="n">
        <v>0</v>
      </c>
      <c r="J4083" t="n">
        <v>0</v>
      </c>
      <c r="K4083" t="n">
        <v>0</v>
      </c>
      <c r="L4083" t="n">
        <v>0</v>
      </c>
      <c r="M4083" t="n">
        <v>0</v>
      </c>
      <c r="N4083" t="n">
        <v>0</v>
      </c>
      <c r="O4083" t="n">
        <v>0</v>
      </c>
      <c r="P4083" t="n">
        <v>0</v>
      </c>
      <c r="Q4083" t="n">
        <v>0</v>
      </c>
      <c r="R4083" s="2" t="inlineStr"/>
    </row>
    <row r="4084" ht="15" customHeight="1">
      <c r="A4084" t="inlineStr">
        <is>
          <t>A 35803-2024</t>
        </is>
      </c>
      <c r="B4084" s="1" t="n">
        <v>45532.64506944444</v>
      </c>
      <c r="C4084" s="1" t="n">
        <v>46093</v>
      </c>
      <c r="D4084" t="inlineStr">
        <is>
          <t>VÄSTERNORRLANDS LÄN</t>
        </is>
      </c>
      <c r="E4084" t="inlineStr">
        <is>
          <t>SOLLEFTEÅ</t>
        </is>
      </c>
      <c r="F4084" t="inlineStr">
        <is>
          <t>SCA</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40999-2025</t>
        </is>
      </c>
      <c r="B4085" s="1" t="n">
        <v>45898.34481481482</v>
      </c>
      <c r="C4085" s="1" t="n">
        <v>46093</v>
      </c>
      <c r="D4085" t="inlineStr">
        <is>
          <t>VÄSTERNORRLANDS LÄN</t>
        </is>
      </c>
      <c r="E4085" t="inlineStr">
        <is>
          <t>SUNDSVALL</t>
        </is>
      </c>
      <c r="F4085" t="inlineStr">
        <is>
          <t>SCA</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58087-2024</t>
        </is>
      </c>
      <c r="B4086" s="1" t="n">
        <v>45632.34502314815</v>
      </c>
      <c r="C4086" s="1" t="n">
        <v>46093</v>
      </c>
      <c r="D4086" t="inlineStr">
        <is>
          <t>VÄSTERNORRLANDS LÄN</t>
        </is>
      </c>
      <c r="E4086" t="inlineStr">
        <is>
          <t>ÅNGE</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24461-2024</t>
        </is>
      </c>
      <c r="B4087" s="1" t="n">
        <v>45457.96806712963</v>
      </c>
      <c r="C4087" s="1" t="n">
        <v>46093</v>
      </c>
      <c r="D4087" t="inlineStr">
        <is>
          <t>VÄSTERNORRLANDS LÄN</t>
        </is>
      </c>
      <c r="E4087" t="inlineStr">
        <is>
          <t>SOLLEFTEÅ</t>
        </is>
      </c>
      <c r="F4087" t="inlineStr">
        <is>
          <t>SCA</t>
        </is>
      </c>
      <c r="G4087" t="n">
        <v>4.2</v>
      </c>
      <c r="H4087" t="n">
        <v>0</v>
      </c>
      <c r="I4087" t="n">
        <v>0</v>
      </c>
      <c r="J4087" t="n">
        <v>0</v>
      </c>
      <c r="K4087" t="n">
        <v>0</v>
      </c>
      <c r="L4087" t="n">
        <v>0</v>
      </c>
      <c r="M4087" t="n">
        <v>0</v>
      </c>
      <c r="N4087" t="n">
        <v>0</v>
      </c>
      <c r="O4087" t="n">
        <v>0</v>
      </c>
      <c r="P4087" t="n">
        <v>0</v>
      </c>
      <c r="Q4087" t="n">
        <v>0</v>
      </c>
      <c r="R4087" s="2" t="inlineStr"/>
    </row>
    <row r="4088" ht="15" customHeight="1">
      <c r="A4088" t="inlineStr">
        <is>
          <t>A 41014-2025</t>
        </is>
      </c>
      <c r="B4088" s="1" t="n">
        <v>45898.35866898148</v>
      </c>
      <c r="C4088" s="1" t="n">
        <v>46093</v>
      </c>
      <c r="D4088" t="inlineStr">
        <is>
          <t>VÄSTERNORRLANDS LÄN</t>
        </is>
      </c>
      <c r="E4088" t="inlineStr">
        <is>
          <t>SUNDSVALL</t>
        </is>
      </c>
      <c r="F4088" t="inlineStr">
        <is>
          <t>Holmen skog AB</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40811-2025</t>
        </is>
      </c>
      <c r="B4089" s="1" t="n">
        <v>45897</v>
      </c>
      <c r="C4089" s="1" t="n">
        <v>46093</v>
      </c>
      <c r="D4089" t="inlineStr">
        <is>
          <t>VÄSTERNORRLANDS LÄN</t>
        </is>
      </c>
      <c r="E4089" t="inlineStr">
        <is>
          <t>SUNDSVALL</t>
        </is>
      </c>
      <c r="F4089" t="inlineStr">
        <is>
          <t>SCA</t>
        </is>
      </c>
      <c r="G4089" t="n">
        <v>9.1</v>
      </c>
      <c r="H4089" t="n">
        <v>0</v>
      </c>
      <c r="I4089" t="n">
        <v>0</v>
      </c>
      <c r="J4089" t="n">
        <v>0</v>
      </c>
      <c r="K4089" t="n">
        <v>0</v>
      </c>
      <c r="L4089" t="n">
        <v>0</v>
      </c>
      <c r="M4089" t="n">
        <v>0</v>
      </c>
      <c r="N4089" t="n">
        <v>0</v>
      </c>
      <c r="O4089" t="n">
        <v>0</v>
      </c>
      <c r="P4089" t="n">
        <v>0</v>
      </c>
      <c r="Q4089" t="n">
        <v>0</v>
      </c>
      <c r="R4089" s="2" t="inlineStr"/>
    </row>
    <row r="4090" ht="15" customHeight="1">
      <c r="A4090" t="inlineStr">
        <is>
          <t>A 31670-2024</t>
        </is>
      </c>
      <c r="B4090" s="1" t="n">
        <v>45506.94805555556</v>
      </c>
      <c r="C4090" s="1" t="n">
        <v>46093</v>
      </c>
      <c r="D4090" t="inlineStr">
        <is>
          <t>VÄSTERNORRLANDS LÄN</t>
        </is>
      </c>
      <c r="E4090" t="inlineStr">
        <is>
          <t>SOLLEFTEÅ</t>
        </is>
      </c>
      <c r="F4090" t="inlineStr">
        <is>
          <t>SCA</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31681-2024</t>
        </is>
      </c>
      <c r="B4091" s="1" t="n">
        <v>45506.94902777778</v>
      </c>
      <c r="C4091" s="1" t="n">
        <v>46093</v>
      </c>
      <c r="D4091" t="inlineStr">
        <is>
          <t>VÄSTERNORRLANDS LÄN</t>
        </is>
      </c>
      <c r="E4091" t="inlineStr">
        <is>
          <t>SOLLEFTEÅ</t>
        </is>
      </c>
      <c r="F4091" t="inlineStr">
        <is>
          <t>SCA</t>
        </is>
      </c>
      <c r="G4091" t="n">
        <v>2.7</v>
      </c>
      <c r="H4091" t="n">
        <v>0</v>
      </c>
      <c r="I4091" t="n">
        <v>0</v>
      </c>
      <c r="J4091" t="n">
        <v>0</v>
      </c>
      <c r="K4091" t="n">
        <v>0</v>
      </c>
      <c r="L4091" t="n">
        <v>0</v>
      </c>
      <c r="M4091" t="n">
        <v>0</v>
      </c>
      <c r="N4091" t="n">
        <v>0</v>
      </c>
      <c r="O4091" t="n">
        <v>0</v>
      </c>
      <c r="P4091" t="n">
        <v>0</v>
      </c>
      <c r="Q4091" t="n">
        <v>0</v>
      </c>
      <c r="R4091" s="2" t="inlineStr"/>
    </row>
    <row r="4092" ht="15" customHeight="1">
      <c r="A4092" t="inlineStr">
        <is>
          <t>A 52379-2024</t>
        </is>
      </c>
      <c r="B4092" s="1" t="n">
        <v>45609.4071412037</v>
      </c>
      <c r="C4092" s="1" t="n">
        <v>46093</v>
      </c>
      <c r="D4092" t="inlineStr">
        <is>
          <t>VÄSTERNORRLANDS LÄN</t>
        </is>
      </c>
      <c r="E4092" t="inlineStr">
        <is>
          <t>ÖRNSKÖLDSVIK</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22642-2023</t>
        </is>
      </c>
      <c r="B4093" s="1" t="n">
        <v>45071</v>
      </c>
      <c r="C4093" s="1" t="n">
        <v>46093</v>
      </c>
      <c r="D4093" t="inlineStr">
        <is>
          <t>VÄSTERNORRLANDS LÄN</t>
        </is>
      </c>
      <c r="E4093" t="inlineStr">
        <is>
          <t>SUNDSVALL</t>
        </is>
      </c>
      <c r="F4093" t="inlineStr">
        <is>
          <t>Holmen skog AB</t>
        </is>
      </c>
      <c r="G4093" t="n">
        <v>8.300000000000001</v>
      </c>
      <c r="H4093" t="n">
        <v>0</v>
      </c>
      <c r="I4093" t="n">
        <v>0</v>
      </c>
      <c r="J4093" t="n">
        <v>0</v>
      </c>
      <c r="K4093" t="n">
        <v>0</v>
      </c>
      <c r="L4093" t="n">
        <v>0</v>
      </c>
      <c r="M4093" t="n">
        <v>0</v>
      </c>
      <c r="N4093" t="n">
        <v>0</v>
      </c>
      <c r="O4093" t="n">
        <v>0</v>
      </c>
      <c r="P4093" t="n">
        <v>0</v>
      </c>
      <c r="Q4093" t="n">
        <v>0</v>
      </c>
      <c r="R4093" s="2" t="inlineStr"/>
    </row>
    <row r="4094" ht="15" customHeight="1">
      <c r="A4094" t="inlineStr">
        <is>
          <t>A 38100-2023</t>
        </is>
      </c>
      <c r="B4094" s="1" t="n">
        <v>45160.9647800926</v>
      </c>
      <c r="C4094" s="1" t="n">
        <v>46093</v>
      </c>
      <c r="D4094" t="inlineStr">
        <is>
          <t>VÄSTERNORRLANDS LÄN</t>
        </is>
      </c>
      <c r="E4094" t="inlineStr">
        <is>
          <t>SOLLEFTEÅ</t>
        </is>
      </c>
      <c r="F4094" t="inlineStr">
        <is>
          <t>SCA</t>
        </is>
      </c>
      <c r="G4094" t="n">
        <v>4.6</v>
      </c>
      <c r="H4094" t="n">
        <v>0</v>
      </c>
      <c r="I4094" t="n">
        <v>0</v>
      </c>
      <c r="J4094" t="n">
        <v>0</v>
      </c>
      <c r="K4094" t="n">
        <v>0</v>
      </c>
      <c r="L4094" t="n">
        <v>0</v>
      </c>
      <c r="M4094" t="n">
        <v>0</v>
      </c>
      <c r="N4094" t="n">
        <v>0</v>
      </c>
      <c r="O4094" t="n">
        <v>0</v>
      </c>
      <c r="P4094" t="n">
        <v>0</v>
      </c>
      <c r="Q4094" t="n">
        <v>0</v>
      </c>
      <c r="R4094" s="2" t="inlineStr"/>
    </row>
    <row r="4095" ht="15" customHeight="1">
      <c r="A4095" t="inlineStr">
        <is>
          <t>A 38131-2023</t>
        </is>
      </c>
      <c r="B4095" s="1" t="n">
        <v>45160</v>
      </c>
      <c r="C4095" s="1" t="n">
        <v>46093</v>
      </c>
      <c r="D4095" t="inlineStr">
        <is>
          <t>VÄSTERNORRLANDS LÄN</t>
        </is>
      </c>
      <c r="E4095" t="inlineStr">
        <is>
          <t>SUNDSVALL</t>
        </is>
      </c>
      <c r="G4095" t="n">
        <v>0.3</v>
      </c>
      <c r="H4095" t="n">
        <v>0</v>
      </c>
      <c r="I4095" t="n">
        <v>0</v>
      </c>
      <c r="J4095" t="n">
        <v>0</v>
      </c>
      <c r="K4095" t="n">
        <v>0</v>
      </c>
      <c r="L4095" t="n">
        <v>0</v>
      </c>
      <c r="M4095" t="n">
        <v>0</v>
      </c>
      <c r="N4095" t="n">
        <v>0</v>
      </c>
      <c r="O4095" t="n">
        <v>0</v>
      </c>
      <c r="P4095" t="n">
        <v>0</v>
      </c>
      <c r="Q4095" t="n">
        <v>0</v>
      </c>
      <c r="R4095" s="2" t="inlineStr"/>
    </row>
    <row r="4096" ht="15" customHeight="1">
      <c r="A4096" t="inlineStr">
        <is>
          <t>A 1643-2023</t>
        </is>
      </c>
      <c r="B4096" s="1" t="n">
        <v>44937.92483796296</v>
      </c>
      <c r="C4096" s="1" t="n">
        <v>46093</v>
      </c>
      <c r="D4096" t="inlineStr">
        <is>
          <t>VÄSTERNORRLANDS LÄN</t>
        </is>
      </c>
      <c r="E4096" t="inlineStr">
        <is>
          <t>HÄRNÖSAND</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57487-2024</t>
        </is>
      </c>
      <c r="B4097" s="1" t="n">
        <v>45630.36166666666</v>
      </c>
      <c r="C4097" s="1" t="n">
        <v>46093</v>
      </c>
      <c r="D4097" t="inlineStr">
        <is>
          <t>VÄSTERNORRLANDS LÄN</t>
        </is>
      </c>
      <c r="E4097" t="inlineStr">
        <is>
          <t>SOLLEFTEÅ</t>
        </is>
      </c>
      <c r="F4097" t="inlineStr">
        <is>
          <t>Holmen skog AB</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57499-2024</t>
        </is>
      </c>
      <c r="B4098" s="1" t="n">
        <v>45630.37629629629</v>
      </c>
      <c r="C4098" s="1" t="n">
        <v>46093</v>
      </c>
      <c r="D4098" t="inlineStr">
        <is>
          <t>VÄSTERNORRLANDS LÄN</t>
        </is>
      </c>
      <c r="E4098" t="inlineStr">
        <is>
          <t>SUNDSVALL</t>
        </is>
      </c>
      <c r="G4098" t="n">
        <v>5.6</v>
      </c>
      <c r="H4098" t="n">
        <v>0</v>
      </c>
      <c r="I4098" t="n">
        <v>0</v>
      </c>
      <c r="J4098" t="n">
        <v>0</v>
      </c>
      <c r="K4098" t="n">
        <v>0</v>
      </c>
      <c r="L4098" t="n">
        <v>0</v>
      </c>
      <c r="M4098" t="n">
        <v>0</v>
      </c>
      <c r="N4098" t="n">
        <v>0</v>
      </c>
      <c r="O4098" t="n">
        <v>0</v>
      </c>
      <c r="P4098" t="n">
        <v>0</v>
      </c>
      <c r="Q4098" t="n">
        <v>0</v>
      </c>
      <c r="R4098" s="2" t="inlineStr"/>
    </row>
    <row r="4099" ht="15" customHeight="1">
      <c r="A4099" t="inlineStr">
        <is>
          <t>A 35426-2024</t>
        </is>
      </c>
      <c r="B4099" s="1" t="n">
        <v>45531</v>
      </c>
      <c r="C4099" s="1" t="n">
        <v>46093</v>
      </c>
      <c r="D4099" t="inlineStr">
        <is>
          <t>VÄSTERNORRLANDS LÄN</t>
        </is>
      </c>
      <c r="E4099" t="inlineStr">
        <is>
          <t>ÅNGE</t>
        </is>
      </c>
      <c r="F4099" t="inlineStr">
        <is>
          <t>SCA</t>
        </is>
      </c>
      <c r="G4099" t="n">
        <v>10.9</v>
      </c>
      <c r="H4099" t="n">
        <v>0</v>
      </c>
      <c r="I4099" t="n">
        <v>0</v>
      </c>
      <c r="J4099" t="n">
        <v>0</v>
      </c>
      <c r="K4099" t="n">
        <v>0</v>
      </c>
      <c r="L4099" t="n">
        <v>0</v>
      </c>
      <c r="M4099" t="n">
        <v>0</v>
      </c>
      <c r="N4099" t="n">
        <v>0</v>
      </c>
      <c r="O4099" t="n">
        <v>0</v>
      </c>
      <c r="P4099" t="n">
        <v>0</v>
      </c>
      <c r="Q4099" t="n">
        <v>0</v>
      </c>
      <c r="R4099" s="2" t="inlineStr"/>
    </row>
    <row r="4100" ht="15" customHeight="1">
      <c r="A4100" t="inlineStr">
        <is>
          <t>A 35808-2023</t>
        </is>
      </c>
      <c r="B4100" s="1" t="n">
        <v>45147</v>
      </c>
      <c r="C4100" s="1" t="n">
        <v>46093</v>
      </c>
      <c r="D4100" t="inlineStr">
        <is>
          <t>VÄSTERNORRLANDS LÄN</t>
        </is>
      </c>
      <c r="E4100" t="inlineStr">
        <is>
          <t>HÄRNÖSAND</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35447-2024</t>
        </is>
      </c>
      <c r="B4101" s="1" t="n">
        <v>45531.43938657407</v>
      </c>
      <c r="C4101" s="1" t="n">
        <v>46093</v>
      </c>
      <c r="D4101" t="inlineStr">
        <is>
          <t>VÄSTERNORRLANDS LÄN</t>
        </is>
      </c>
      <c r="E4101" t="inlineStr">
        <is>
          <t>HÄRNÖSAND</t>
        </is>
      </c>
      <c r="G4101" t="n">
        <v>5.8</v>
      </c>
      <c r="H4101" t="n">
        <v>0</v>
      </c>
      <c r="I4101" t="n">
        <v>0</v>
      </c>
      <c r="J4101" t="n">
        <v>0</v>
      </c>
      <c r="K4101" t="n">
        <v>0</v>
      </c>
      <c r="L4101" t="n">
        <v>0</v>
      </c>
      <c r="M4101" t="n">
        <v>0</v>
      </c>
      <c r="N4101" t="n">
        <v>0</v>
      </c>
      <c r="O4101" t="n">
        <v>0</v>
      </c>
      <c r="P4101" t="n">
        <v>0</v>
      </c>
      <c r="Q4101" t="n">
        <v>0</v>
      </c>
      <c r="R4101" s="2" t="inlineStr"/>
    </row>
    <row r="4102" ht="15" customHeight="1">
      <c r="A4102" t="inlineStr">
        <is>
          <t>A 40719-2025</t>
        </is>
      </c>
      <c r="B4102" s="1" t="n">
        <v>45897.34493055556</v>
      </c>
      <c r="C4102" s="1" t="n">
        <v>46093</v>
      </c>
      <c r="D4102" t="inlineStr">
        <is>
          <t>VÄSTERNORRLANDS LÄN</t>
        </is>
      </c>
      <c r="E4102" t="inlineStr">
        <is>
          <t>SUNDSVALL</t>
        </is>
      </c>
      <c r="G4102" t="n">
        <v>0.2</v>
      </c>
      <c r="H4102" t="n">
        <v>0</v>
      </c>
      <c r="I4102" t="n">
        <v>0</v>
      </c>
      <c r="J4102" t="n">
        <v>0</v>
      </c>
      <c r="K4102" t="n">
        <v>0</v>
      </c>
      <c r="L4102" t="n">
        <v>0</v>
      </c>
      <c r="M4102" t="n">
        <v>0</v>
      </c>
      <c r="N4102" t="n">
        <v>0</v>
      </c>
      <c r="O4102" t="n">
        <v>0</v>
      </c>
      <c r="P4102" t="n">
        <v>0</v>
      </c>
      <c r="Q4102" t="n">
        <v>0</v>
      </c>
      <c r="R4102" s="2" t="inlineStr"/>
    </row>
    <row r="4103" ht="15" customHeight="1">
      <c r="A4103" t="inlineStr">
        <is>
          <t>A 40722-2025</t>
        </is>
      </c>
      <c r="B4103" s="1" t="n">
        <v>45897.345</v>
      </c>
      <c r="C4103" s="1" t="n">
        <v>46093</v>
      </c>
      <c r="D4103" t="inlineStr">
        <is>
          <t>VÄSTERNORRLANDS LÄN</t>
        </is>
      </c>
      <c r="E4103" t="inlineStr">
        <is>
          <t>SUNDSVALL</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30907-2024</t>
        </is>
      </c>
      <c r="B4104" s="1" t="n">
        <v>45498</v>
      </c>
      <c r="C4104" s="1" t="n">
        <v>46093</v>
      </c>
      <c r="D4104" t="inlineStr">
        <is>
          <t>VÄSTERNORRLANDS LÄN</t>
        </is>
      </c>
      <c r="E4104" t="inlineStr">
        <is>
          <t>TIMRÅ</t>
        </is>
      </c>
      <c r="G4104" t="n">
        <v>6.6</v>
      </c>
      <c r="H4104" t="n">
        <v>0</v>
      </c>
      <c r="I4104" t="n">
        <v>0</v>
      </c>
      <c r="J4104" t="n">
        <v>0</v>
      </c>
      <c r="K4104" t="n">
        <v>0</v>
      </c>
      <c r="L4104" t="n">
        <v>0</v>
      </c>
      <c r="M4104" t="n">
        <v>0</v>
      </c>
      <c r="N4104" t="n">
        <v>0</v>
      </c>
      <c r="O4104" t="n">
        <v>0</v>
      </c>
      <c r="P4104" t="n">
        <v>0</v>
      </c>
      <c r="Q4104" t="n">
        <v>0</v>
      </c>
      <c r="R4104" s="2" t="inlineStr"/>
    </row>
    <row r="4105" ht="15" customHeight="1">
      <c r="A4105" t="inlineStr">
        <is>
          <t>A 41179-2025</t>
        </is>
      </c>
      <c r="B4105" s="1" t="n">
        <v>45898.55277777778</v>
      </c>
      <c r="C4105" s="1" t="n">
        <v>46093</v>
      </c>
      <c r="D4105" t="inlineStr">
        <is>
          <t>VÄSTERNORRLANDS LÄN</t>
        </is>
      </c>
      <c r="E4105" t="inlineStr">
        <is>
          <t>ÅNGE</t>
        </is>
      </c>
      <c r="F4105" t="inlineStr">
        <is>
          <t>SCA</t>
        </is>
      </c>
      <c r="G4105" t="n">
        <v>4.1</v>
      </c>
      <c r="H4105" t="n">
        <v>0</v>
      </c>
      <c r="I4105" t="n">
        <v>0</v>
      </c>
      <c r="J4105" t="n">
        <v>0</v>
      </c>
      <c r="K4105" t="n">
        <v>0</v>
      </c>
      <c r="L4105" t="n">
        <v>0</v>
      </c>
      <c r="M4105" t="n">
        <v>0</v>
      </c>
      <c r="N4105" t="n">
        <v>0</v>
      </c>
      <c r="O4105" t="n">
        <v>0</v>
      </c>
      <c r="P4105" t="n">
        <v>0</v>
      </c>
      <c r="Q4105" t="n">
        <v>0</v>
      </c>
      <c r="R4105" s="2" t="inlineStr"/>
    </row>
    <row r="4106" ht="15" customHeight="1">
      <c r="A4106" t="inlineStr">
        <is>
          <t>A 1417-2023</t>
        </is>
      </c>
      <c r="B4106" s="1" t="n">
        <v>44936</v>
      </c>
      <c r="C4106" s="1" t="n">
        <v>46093</v>
      </c>
      <c r="D4106" t="inlineStr">
        <is>
          <t>VÄSTERNORRLANDS LÄN</t>
        </is>
      </c>
      <c r="E4106" t="inlineStr">
        <is>
          <t>SUNDSVALL</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50223-2024</t>
        </is>
      </c>
      <c r="B4107" s="1" t="n">
        <v>45600.53878472222</v>
      </c>
      <c r="C4107" s="1" t="n">
        <v>46093</v>
      </c>
      <c r="D4107" t="inlineStr">
        <is>
          <t>VÄSTERNORRLANDS LÄN</t>
        </is>
      </c>
      <c r="E4107" t="inlineStr">
        <is>
          <t>ÖRNSKÖLDSVIK</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50231-2024</t>
        </is>
      </c>
      <c r="B4108" s="1" t="n">
        <v>45600.55251157407</v>
      </c>
      <c r="C4108" s="1" t="n">
        <v>46093</v>
      </c>
      <c r="D4108" t="inlineStr">
        <is>
          <t>VÄSTERNORRLANDS LÄN</t>
        </is>
      </c>
      <c r="E4108" t="inlineStr">
        <is>
          <t>ÅNGE</t>
        </is>
      </c>
      <c r="F4108" t="inlineStr">
        <is>
          <t>SCA</t>
        </is>
      </c>
      <c r="G4108" t="n">
        <v>3.6</v>
      </c>
      <c r="H4108" t="n">
        <v>0</v>
      </c>
      <c r="I4108" t="n">
        <v>0</v>
      </c>
      <c r="J4108" t="n">
        <v>0</v>
      </c>
      <c r="K4108" t="n">
        <v>0</v>
      </c>
      <c r="L4108" t="n">
        <v>0</v>
      </c>
      <c r="M4108" t="n">
        <v>0</v>
      </c>
      <c r="N4108" t="n">
        <v>0</v>
      </c>
      <c r="O4108" t="n">
        <v>0</v>
      </c>
      <c r="P4108" t="n">
        <v>0</v>
      </c>
      <c r="Q4108" t="n">
        <v>0</v>
      </c>
      <c r="R4108" s="2" t="inlineStr"/>
    </row>
    <row r="4109" ht="15" customHeight="1">
      <c r="A4109" t="inlineStr">
        <is>
          <t>A 4116-2024</t>
        </is>
      </c>
      <c r="B4109" s="1" t="n">
        <v>45323</v>
      </c>
      <c r="C4109" s="1" t="n">
        <v>46093</v>
      </c>
      <c r="D4109" t="inlineStr">
        <is>
          <t>VÄSTERNORRLANDS LÄN</t>
        </is>
      </c>
      <c r="E4109" t="inlineStr">
        <is>
          <t>SUNDSVALL</t>
        </is>
      </c>
      <c r="F4109" t="inlineStr">
        <is>
          <t>Kommuner</t>
        </is>
      </c>
      <c r="G4109" t="n">
        <v>2.4</v>
      </c>
      <c r="H4109" t="n">
        <v>0</v>
      </c>
      <c r="I4109" t="n">
        <v>0</v>
      </c>
      <c r="J4109" t="n">
        <v>0</v>
      </c>
      <c r="K4109" t="n">
        <v>0</v>
      </c>
      <c r="L4109" t="n">
        <v>0</v>
      </c>
      <c r="M4109" t="n">
        <v>0</v>
      </c>
      <c r="N4109" t="n">
        <v>0</v>
      </c>
      <c r="O4109" t="n">
        <v>0</v>
      </c>
      <c r="P4109" t="n">
        <v>0</v>
      </c>
      <c r="Q4109" t="n">
        <v>0</v>
      </c>
      <c r="R4109" s="2" t="inlineStr"/>
    </row>
    <row r="4110" ht="15" customHeight="1">
      <c r="A4110" t="inlineStr">
        <is>
          <t>A 22446-2025</t>
        </is>
      </c>
      <c r="B4110" s="1" t="n">
        <v>45786.59439814815</v>
      </c>
      <c r="C4110" s="1" t="n">
        <v>46093</v>
      </c>
      <c r="D4110" t="inlineStr">
        <is>
          <t>VÄSTERNORRLANDS LÄN</t>
        </is>
      </c>
      <c r="E4110" t="inlineStr">
        <is>
          <t>SOLLEFTEÅ</t>
        </is>
      </c>
      <c r="G4110" t="n">
        <v>5.1</v>
      </c>
      <c r="H4110" t="n">
        <v>0</v>
      </c>
      <c r="I4110" t="n">
        <v>0</v>
      </c>
      <c r="J4110" t="n">
        <v>0</v>
      </c>
      <c r="K4110" t="n">
        <v>0</v>
      </c>
      <c r="L4110" t="n">
        <v>0</v>
      </c>
      <c r="M4110" t="n">
        <v>0</v>
      </c>
      <c r="N4110" t="n">
        <v>0</v>
      </c>
      <c r="O4110" t="n">
        <v>0</v>
      </c>
      <c r="P4110" t="n">
        <v>0</v>
      </c>
      <c r="Q4110" t="n">
        <v>0</v>
      </c>
      <c r="R4110" s="2" t="inlineStr"/>
    </row>
    <row r="4111" ht="15" customHeight="1">
      <c r="A4111" t="inlineStr">
        <is>
          <t>A 8023-2023</t>
        </is>
      </c>
      <c r="B4111" s="1" t="n">
        <v>44973</v>
      </c>
      <c r="C4111" s="1" t="n">
        <v>46093</v>
      </c>
      <c r="D4111" t="inlineStr">
        <is>
          <t>VÄSTERNORRLANDS LÄN</t>
        </is>
      </c>
      <c r="E4111" t="inlineStr">
        <is>
          <t>HÄRNÖSAND</t>
        </is>
      </c>
      <c r="G4111" t="n">
        <v>3.9</v>
      </c>
      <c r="H4111" t="n">
        <v>0</v>
      </c>
      <c r="I4111" t="n">
        <v>0</v>
      </c>
      <c r="J4111" t="n">
        <v>0</v>
      </c>
      <c r="K4111" t="n">
        <v>0</v>
      </c>
      <c r="L4111" t="n">
        <v>0</v>
      </c>
      <c r="M4111" t="n">
        <v>0</v>
      </c>
      <c r="N4111" t="n">
        <v>0</v>
      </c>
      <c r="O4111" t="n">
        <v>0</v>
      </c>
      <c r="P4111" t="n">
        <v>0</v>
      </c>
      <c r="Q4111" t="n">
        <v>0</v>
      </c>
      <c r="R4111" s="2" t="inlineStr"/>
    </row>
    <row r="4112" ht="15" customHeight="1">
      <c r="A4112" t="inlineStr">
        <is>
          <t>A 41103-2025</t>
        </is>
      </c>
      <c r="B4112" s="1" t="n">
        <v>45898.45410879629</v>
      </c>
      <c r="C4112" s="1" t="n">
        <v>46093</v>
      </c>
      <c r="D4112" t="inlineStr">
        <is>
          <t>VÄSTERNORRLANDS LÄN</t>
        </is>
      </c>
      <c r="E4112" t="inlineStr">
        <is>
          <t>ÖRNSKÖLDSVIK</t>
        </is>
      </c>
      <c r="F4112" t="inlineStr">
        <is>
          <t>Holmen skog AB</t>
        </is>
      </c>
      <c r="G4112" t="n">
        <v>4.8</v>
      </c>
      <c r="H4112" t="n">
        <v>0</v>
      </c>
      <c r="I4112" t="n">
        <v>0</v>
      </c>
      <c r="J4112" t="n">
        <v>0</v>
      </c>
      <c r="K4112" t="n">
        <v>0</v>
      </c>
      <c r="L4112" t="n">
        <v>0</v>
      </c>
      <c r="M4112" t="n">
        <v>0</v>
      </c>
      <c r="N4112" t="n">
        <v>0</v>
      </c>
      <c r="O4112" t="n">
        <v>0</v>
      </c>
      <c r="P4112" t="n">
        <v>0</v>
      </c>
      <c r="Q4112" t="n">
        <v>0</v>
      </c>
      <c r="R4112" s="2" t="inlineStr"/>
    </row>
    <row r="4113" ht="15" customHeight="1">
      <c r="A4113" t="inlineStr">
        <is>
          <t>A 28771-2024</t>
        </is>
      </c>
      <c r="B4113" s="1" t="n">
        <v>45478</v>
      </c>
      <c r="C4113" s="1" t="n">
        <v>46093</v>
      </c>
      <c r="D4113" t="inlineStr">
        <is>
          <t>VÄSTERNORRLANDS LÄN</t>
        </is>
      </c>
      <c r="E4113" t="inlineStr">
        <is>
          <t>SUNDSVALL</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35665-2025</t>
        </is>
      </c>
      <c r="B4114" s="1" t="n">
        <v>45859</v>
      </c>
      <c r="C4114" s="1" t="n">
        <v>46093</v>
      </c>
      <c r="D4114" t="inlineStr">
        <is>
          <t>VÄSTERNORRLANDS LÄN</t>
        </is>
      </c>
      <c r="E4114" t="inlineStr">
        <is>
          <t>TIMRÅ</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35666-2025</t>
        </is>
      </c>
      <c r="B4115" s="1" t="n">
        <v>45859.61543981481</v>
      </c>
      <c r="C4115" s="1" t="n">
        <v>46093</v>
      </c>
      <c r="D4115" t="inlineStr">
        <is>
          <t>VÄSTERNORRLANDS LÄN</t>
        </is>
      </c>
      <c r="E4115" t="inlineStr">
        <is>
          <t>TIMRÅ</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35667-2025</t>
        </is>
      </c>
      <c r="B4116" s="1" t="n">
        <v>45859.61546296296</v>
      </c>
      <c r="C4116" s="1" t="n">
        <v>46093</v>
      </c>
      <c r="D4116" t="inlineStr">
        <is>
          <t>VÄSTERNORRLANDS LÄN</t>
        </is>
      </c>
      <c r="E4116" t="inlineStr">
        <is>
          <t>TIMRÅ</t>
        </is>
      </c>
      <c r="G4116" t="n">
        <v>4.8</v>
      </c>
      <c r="H4116" t="n">
        <v>0</v>
      </c>
      <c r="I4116" t="n">
        <v>0</v>
      </c>
      <c r="J4116" t="n">
        <v>0</v>
      </c>
      <c r="K4116" t="n">
        <v>0</v>
      </c>
      <c r="L4116" t="n">
        <v>0</v>
      </c>
      <c r="M4116" t="n">
        <v>0</v>
      </c>
      <c r="N4116" t="n">
        <v>0</v>
      </c>
      <c r="O4116" t="n">
        <v>0</v>
      </c>
      <c r="P4116" t="n">
        <v>0</v>
      </c>
      <c r="Q4116" t="n">
        <v>0</v>
      </c>
      <c r="R4116" s="2" t="inlineStr"/>
    </row>
    <row r="4117" ht="15" customHeight="1">
      <c r="A4117" t="inlineStr">
        <is>
          <t>A 31545-2024</t>
        </is>
      </c>
      <c r="B4117" s="1" t="n">
        <v>45505</v>
      </c>
      <c r="C4117" s="1" t="n">
        <v>46093</v>
      </c>
      <c r="D4117" t="inlineStr">
        <is>
          <t>VÄSTERNORRLANDS LÄN</t>
        </is>
      </c>
      <c r="E4117" t="inlineStr">
        <is>
          <t>ÅNGE</t>
        </is>
      </c>
      <c r="F4117" t="inlineStr">
        <is>
          <t>SCA</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41095-2025</t>
        </is>
      </c>
      <c r="B4118" s="1" t="n">
        <v>45898.44342592593</v>
      </c>
      <c r="C4118" s="1" t="n">
        <v>46093</v>
      </c>
      <c r="D4118" t="inlineStr">
        <is>
          <t>VÄSTERNORRLANDS LÄN</t>
        </is>
      </c>
      <c r="E4118" t="inlineStr">
        <is>
          <t>ÖRNSKÖLDSVIK</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15702-2022</t>
        </is>
      </c>
      <c r="B4119" s="1" t="n">
        <v>44663</v>
      </c>
      <c r="C4119" s="1" t="n">
        <v>46093</v>
      </c>
      <c r="D4119" t="inlineStr">
        <is>
          <t>VÄSTERNORRLANDS LÄN</t>
        </is>
      </c>
      <c r="E4119" t="inlineStr">
        <is>
          <t>ÖRNSKÖLDSVIK</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14318-2023</t>
        </is>
      </c>
      <c r="B4120" s="1" t="n">
        <v>45011.94162037037</v>
      </c>
      <c r="C4120" s="1" t="n">
        <v>46093</v>
      </c>
      <c r="D4120" t="inlineStr">
        <is>
          <t>VÄSTERNORRLANDS LÄN</t>
        </is>
      </c>
      <c r="E4120" t="inlineStr">
        <is>
          <t>ÖRNSKÖLDSVIK</t>
        </is>
      </c>
      <c r="F4120" t="inlineStr">
        <is>
          <t>SCA</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41173-2025</t>
        </is>
      </c>
      <c r="B4121" s="1" t="n">
        <v>45898</v>
      </c>
      <c r="C4121" s="1" t="n">
        <v>46093</v>
      </c>
      <c r="D4121" t="inlineStr">
        <is>
          <t>VÄSTERNORRLANDS LÄN</t>
        </is>
      </c>
      <c r="E4121" t="inlineStr">
        <is>
          <t>ÅNGE</t>
        </is>
      </c>
      <c r="G4121" t="n">
        <v>3.6</v>
      </c>
      <c r="H4121" t="n">
        <v>0</v>
      </c>
      <c r="I4121" t="n">
        <v>0</v>
      </c>
      <c r="J4121" t="n">
        <v>0</v>
      </c>
      <c r="K4121" t="n">
        <v>0</v>
      </c>
      <c r="L4121" t="n">
        <v>0</v>
      </c>
      <c r="M4121" t="n">
        <v>0</v>
      </c>
      <c r="N4121" t="n">
        <v>0</v>
      </c>
      <c r="O4121" t="n">
        <v>0</v>
      </c>
      <c r="P4121" t="n">
        <v>0</v>
      </c>
      <c r="Q4121" t="n">
        <v>0</v>
      </c>
      <c r="R4121" s="2" t="inlineStr"/>
    </row>
    <row r="4122" ht="15" customHeight="1">
      <c r="A4122" t="inlineStr">
        <is>
          <t>A 40898-2025</t>
        </is>
      </c>
      <c r="B4122" s="1" t="n">
        <v>45897.61503472222</v>
      </c>
      <c r="C4122" s="1" t="n">
        <v>46093</v>
      </c>
      <c r="D4122" t="inlineStr">
        <is>
          <t>VÄSTERNORRLANDS LÄN</t>
        </is>
      </c>
      <c r="E4122" t="inlineStr">
        <is>
          <t>ÅNGE</t>
        </is>
      </c>
      <c r="F4122" t="inlineStr">
        <is>
          <t>SCA</t>
        </is>
      </c>
      <c r="G4122" t="n">
        <v>3.7</v>
      </c>
      <c r="H4122" t="n">
        <v>0</v>
      </c>
      <c r="I4122" t="n">
        <v>0</v>
      </c>
      <c r="J4122" t="n">
        <v>0</v>
      </c>
      <c r="K4122" t="n">
        <v>0</v>
      </c>
      <c r="L4122" t="n">
        <v>0</v>
      </c>
      <c r="M4122" t="n">
        <v>0</v>
      </c>
      <c r="N4122" t="n">
        <v>0</v>
      </c>
      <c r="O4122" t="n">
        <v>0</v>
      </c>
      <c r="P4122" t="n">
        <v>0</v>
      </c>
      <c r="Q4122" t="n">
        <v>0</v>
      </c>
      <c r="R4122" s="2" t="inlineStr"/>
    </row>
    <row r="4123" ht="15" customHeight="1">
      <c r="A4123" t="inlineStr">
        <is>
          <t>A 40899-2025</t>
        </is>
      </c>
      <c r="B4123" s="1" t="n">
        <v>45897.61528935185</v>
      </c>
      <c r="C4123" s="1" t="n">
        <v>46093</v>
      </c>
      <c r="D4123" t="inlineStr">
        <is>
          <t>VÄSTERNORRLANDS LÄN</t>
        </is>
      </c>
      <c r="E4123" t="inlineStr">
        <is>
          <t>ÅNGE</t>
        </is>
      </c>
      <c r="F4123" t="inlineStr">
        <is>
          <t>SCA</t>
        </is>
      </c>
      <c r="G4123" t="n">
        <v>2.8</v>
      </c>
      <c r="H4123" t="n">
        <v>0</v>
      </c>
      <c r="I4123" t="n">
        <v>0</v>
      </c>
      <c r="J4123" t="n">
        <v>0</v>
      </c>
      <c r="K4123" t="n">
        <v>0</v>
      </c>
      <c r="L4123" t="n">
        <v>0</v>
      </c>
      <c r="M4123" t="n">
        <v>0</v>
      </c>
      <c r="N4123" t="n">
        <v>0</v>
      </c>
      <c r="O4123" t="n">
        <v>0</v>
      </c>
      <c r="P4123" t="n">
        <v>0</v>
      </c>
      <c r="Q4123" t="n">
        <v>0</v>
      </c>
      <c r="R4123" s="2" t="inlineStr"/>
    </row>
    <row r="4124" ht="15" customHeight="1">
      <c r="A4124" t="inlineStr">
        <is>
          <t>A 41040-2025</t>
        </is>
      </c>
      <c r="B4124" s="1" t="n">
        <v>45898.39055555555</v>
      </c>
      <c r="C4124" s="1" t="n">
        <v>46093</v>
      </c>
      <c r="D4124" t="inlineStr">
        <is>
          <t>VÄSTERNORRLANDS LÄN</t>
        </is>
      </c>
      <c r="E4124" t="inlineStr">
        <is>
          <t>KRAMFORS</t>
        </is>
      </c>
      <c r="G4124" t="n">
        <v>6.8</v>
      </c>
      <c r="H4124" t="n">
        <v>0</v>
      </c>
      <c r="I4124" t="n">
        <v>0</v>
      </c>
      <c r="J4124" t="n">
        <v>0</v>
      </c>
      <c r="K4124" t="n">
        <v>0</v>
      </c>
      <c r="L4124" t="n">
        <v>0</v>
      </c>
      <c r="M4124" t="n">
        <v>0</v>
      </c>
      <c r="N4124" t="n">
        <v>0</v>
      </c>
      <c r="O4124" t="n">
        <v>0</v>
      </c>
      <c r="P4124" t="n">
        <v>0</v>
      </c>
      <c r="Q4124" t="n">
        <v>0</v>
      </c>
      <c r="R4124" s="2" t="inlineStr"/>
    </row>
    <row r="4125" ht="15" customHeight="1">
      <c r="A4125" t="inlineStr">
        <is>
          <t>A 41143-2025</t>
        </is>
      </c>
      <c r="B4125" s="1" t="n">
        <v>45898.49334490741</v>
      </c>
      <c r="C4125" s="1" t="n">
        <v>46093</v>
      </c>
      <c r="D4125" t="inlineStr">
        <is>
          <t>VÄSTERNORRLANDS LÄN</t>
        </is>
      </c>
      <c r="E4125" t="inlineStr">
        <is>
          <t>ÖRNSKÖLDSVIK</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27377-2024</t>
        </is>
      </c>
      <c r="B4126" s="1" t="n">
        <v>45473.88317129629</v>
      </c>
      <c r="C4126" s="1" t="n">
        <v>46093</v>
      </c>
      <c r="D4126" t="inlineStr">
        <is>
          <t>VÄSTERNORRLANDS LÄN</t>
        </is>
      </c>
      <c r="E4126" t="inlineStr">
        <is>
          <t>SOLLEFTEÅ</t>
        </is>
      </c>
      <c r="G4126" t="n">
        <v>9.1</v>
      </c>
      <c r="H4126" t="n">
        <v>0</v>
      </c>
      <c r="I4126" t="n">
        <v>0</v>
      </c>
      <c r="J4126" t="n">
        <v>0</v>
      </c>
      <c r="K4126" t="n">
        <v>0</v>
      </c>
      <c r="L4126" t="n">
        <v>0</v>
      </c>
      <c r="M4126" t="n">
        <v>0</v>
      </c>
      <c r="N4126" t="n">
        <v>0</v>
      </c>
      <c r="O4126" t="n">
        <v>0</v>
      </c>
      <c r="P4126" t="n">
        <v>0</v>
      </c>
      <c r="Q4126" t="n">
        <v>0</v>
      </c>
      <c r="R4126" s="2" t="inlineStr"/>
    </row>
    <row r="4127" ht="15" customHeight="1">
      <c r="A4127" t="inlineStr">
        <is>
          <t>A 41098-2025</t>
        </is>
      </c>
      <c r="B4127" s="1" t="n">
        <v>45898.44826388889</v>
      </c>
      <c r="C4127" s="1" t="n">
        <v>46093</v>
      </c>
      <c r="D4127" t="inlineStr">
        <is>
          <t>VÄSTERNORRLANDS LÄN</t>
        </is>
      </c>
      <c r="E4127" t="inlineStr">
        <is>
          <t>TIMRÅ</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35750-2025</t>
        </is>
      </c>
      <c r="B4128" s="1" t="n">
        <v>45860.56945601852</v>
      </c>
      <c r="C4128" s="1" t="n">
        <v>46093</v>
      </c>
      <c r="D4128" t="inlineStr">
        <is>
          <t>VÄSTERNORRLANDS LÄN</t>
        </is>
      </c>
      <c r="E4128" t="inlineStr">
        <is>
          <t>KRAMFORS</t>
        </is>
      </c>
      <c r="G4128" t="n">
        <v>4.3</v>
      </c>
      <c r="H4128" t="n">
        <v>0</v>
      </c>
      <c r="I4128" t="n">
        <v>0</v>
      </c>
      <c r="J4128" t="n">
        <v>0</v>
      </c>
      <c r="K4128" t="n">
        <v>0</v>
      </c>
      <c r="L4128" t="n">
        <v>0</v>
      </c>
      <c r="M4128" t="n">
        <v>0</v>
      </c>
      <c r="N4128" t="n">
        <v>0</v>
      </c>
      <c r="O4128" t="n">
        <v>0</v>
      </c>
      <c r="P4128" t="n">
        <v>0</v>
      </c>
      <c r="Q4128" t="n">
        <v>0</v>
      </c>
      <c r="R4128" s="2" t="inlineStr"/>
    </row>
    <row r="4129" ht="15" customHeight="1">
      <c r="A4129" t="inlineStr">
        <is>
          <t>A 41062-2025</t>
        </is>
      </c>
      <c r="B4129" s="1" t="n">
        <v>45898.40746527778</v>
      </c>
      <c r="C4129" s="1" t="n">
        <v>46093</v>
      </c>
      <c r="D4129" t="inlineStr">
        <is>
          <t>VÄSTERNORRLANDS LÄN</t>
        </is>
      </c>
      <c r="E4129" t="inlineStr">
        <is>
          <t>KRAMFORS</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48396-2024</t>
        </is>
      </c>
      <c r="B4130" s="1" t="n">
        <v>45590.61503472222</v>
      </c>
      <c r="C4130" s="1" t="n">
        <v>46093</v>
      </c>
      <c r="D4130" t="inlineStr">
        <is>
          <t>VÄSTERNORRLANDS LÄN</t>
        </is>
      </c>
      <c r="E4130" t="inlineStr">
        <is>
          <t>SOLLEFTEÅ</t>
        </is>
      </c>
      <c r="F4130" t="inlineStr">
        <is>
          <t>SCA</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25427-2025</t>
        </is>
      </c>
      <c r="B4131" s="1" t="n">
        <v>45800.70986111111</v>
      </c>
      <c r="C4131" s="1" t="n">
        <v>46093</v>
      </c>
      <c r="D4131" t="inlineStr">
        <is>
          <t>VÄSTERNORRLANDS LÄN</t>
        </is>
      </c>
      <c r="E4131" t="inlineStr">
        <is>
          <t>TIMRÅ</t>
        </is>
      </c>
      <c r="G4131" t="n">
        <v>7.2</v>
      </c>
      <c r="H4131" t="n">
        <v>0</v>
      </c>
      <c r="I4131" t="n">
        <v>0</v>
      </c>
      <c r="J4131" t="n">
        <v>0</v>
      </c>
      <c r="K4131" t="n">
        <v>0</v>
      </c>
      <c r="L4131" t="n">
        <v>0</v>
      </c>
      <c r="M4131" t="n">
        <v>0</v>
      </c>
      <c r="N4131" t="n">
        <v>0</v>
      </c>
      <c r="O4131" t="n">
        <v>0</v>
      </c>
      <c r="P4131" t="n">
        <v>0</v>
      </c>
      <c r="Q4131" t="n">
        <v>0</v>
      </c>
      <c r="R4131" s="2" t="inlineStr"/>
    </row>
    <row r="4132" ht="15" customHeight="1">
      <c r="A4132" t="inlineStr">
        <is>
          <t>A 20099-2024</t>
        </is>
      </c>
      <c r="B4132" s="1" t="n">
        <v>45434</v>
      </c>
      <c r="C4132" s="1" t="n">
        <v>46093</v>
      </c>
      <c r="D4132" t="inlineStr">
        <is>
          <t>VÄSTERNORRLANDS LÄN</t>
        </is>
      </c>
      <c r="E4132" t="inlineStr">
        <is>
          <t>ÖRNSKÖLDSVIK</t>
        </is>
      </c>
      <c r="G4132" t="n">
        <v>3.2</v>
      </c>
      <c r="H4132" t="n">
        <v>0</v>
      </c>
      <c r="I4132" t="n">
        <v>0</v>
      </c>
      <c r="J4132" t="n">
        <v>0</v>
      </c>
      <c r="K4132" t="n">
        <v>0</v>
      </c>
      <c r="L4132" t="n">
        <v>0</v>
      </c>
      <c r="M4132" t="n">
        <v>0</v>
      </c>
      <c r="N4132" t="n">
        <v>0</v>
      </c>
      <c r="O4132" t="n">
        <v>0</v>
      </c>
      <c r="P4132" t="n">
        <v>0</v>
      </c>
      <c r="Q4132" t="n">
        <v>0</v>
      </c>
      <c r="R4132" s="2" t="inlineStr"/>
    </row>
    <row r="4133" ht="15" customHeight="1">
      <c r="A4133" t="inlineStr">
        <is>
          <t>A 41121-2025</t>
        </is>
      </c>
      <c r="B4133" s="1" t="n">
        <v>45898.46915509259</v>
      </c>
      <c r="C4133" s="1" t="n">
        <v>46093</v>
      </c>
      <c r="D4133" t="inlineStr">
        <is>
          <t>VÄSTERNORRLANDS LÄN</t>
        </is>
      </c>
      <c r="E4133" t="inlineStr">
        <is>
          <t>KRAMFORS</t>
        </is>
      </c>
      <c r="F4133" t="inlineStr">
        <is>
          <t>SCA</t>
        </is>
      </c>
      <c r="G4133" t="n">
        <v>7.8</v>
      </c>
      <c r="H4133" t="n">
        <v>0</v>
      </c>
      <c r="I4133" t="n">
        <v>0</v>
      </c>
      <c r="J4133" t="n">
        <v>0</v>
      </c>
      <c r="K4133" t="n">
        <v>0</v>
      </c>
      <c r="L4133" t="n">
        <v>0</v>
      </c>
      <c r="M4133" t="n">
        <v>0</v>
      </c>
      <c r="N4133" t="n">
        <v>0</v>
      </c>
      <c r="O4133" t="n">
        <v>0</v>
      </c>
      <c r="P4133" t="n">
        <v>0</v>
      </c>
      <c r="Q4133" t="n">
        <v>0</v>
      </c>
      <c r="R4133" s="2" t="inlineStr"/>
    </row>
    <row r="4134" ht="15" customHeight="1">
      <c r="A4134" t="inlineStr">
        <is>
          <t>A 52035-2024</t>
        </is>
      </c>
      <c r="B4134" s="1" t="n">
        <v>45608.30585648148</v>
      </c>
      <c r="C4134" s="1" t="n">
        <v>46093</v>
      </c>
      <c r="D4134" t="inlineStr">
        <is>
          <t>VÄSTERNORRLANDS LÄN</t>
        </is>
      </c>
      <c r="E4134" t="inlineStr">
        <is>
          <t>SUNDSVALL</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40833-2025</t>
        </is>
      </c>
      <c r="B4135" s="1" t="n">
        <v>45897.51123842593</v>
      </c>
      <c r="C4135" s="1" t="n">
        <v>46093</v>
      </c>
      <c r="D4135" t="inlineStr">
        <is>
          <t>VÄSTERNORRLANDS LÄN</t>
        </is>
      </c>
      <c r="E4135" t="inlineStr">
        <is>
          <t>SUNDSVALL</t>
        </is>
      </c>
      <c r="F4135" t="inlineStr">
        <is>
          <t>SCA</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41045-2025</t>
        </is>
      </c>
      <c r="B4136" s="1" t="n">
        <v>45898.39587962963</v>
      </c>
      <c r="C4136" s="1" t="n">
        <v>46093</v>
      </c>
      <c r="D4136" t="inlineStr">
        <is>
          <t>VÄSTERNORRLANDS LÄN</t>
        </is>
      </c>
      <c r="E4136" t="inlineStr">
        <is>
          <t>KRAMFORS</t>
        </is>
      </c>
      <c r="G4136" t="n">
        <v>3.4</v>
      </c>
      <c r="H4136" t="n">
        <v>0</v>
      </c>
      <c r="I4136" t="n">
        <v>0</v>
      </c>
      <c r="J4136" t="n">
        <v>0</v>
      </c>
      <c r="K4136" t="n">
        <v>0</v>
      </c>
      <c r="L4136" t="n">
        <v>0</v>
      </c>
      <c r="M4136" t="n">
        <v>0</v>
      </c>
      <c r="N4136" t="n">
        <v>0</v>
      </c>
      <c r="O4136" t="n">
        <v>0</v>
      </c>
      <c r="P4136" t="n">
        <v>0</v>
      </c>
      <c r="Q4136" t="n">
        <v>0</v>
      </c>
      <c r="R4136" s="2" t="inlineStr"/>
    </row>
    <row r="4137" ht="15" customHeight="1">
      <c r="A4137" t="inlineStr">
        <is>
          <t>A 42631-2024</t>
        </is>
      </c>
      <c r="B4137" s="1" t="n">
        <v>45565</v>
      </c>
      <c r="C4137" s="1" t="n">
        <v>46093</v>
      </c>
      <c r="D4137" t="inlineStr">
        <is>
          <t>VÄSTERNORRLANDS LÄN</t>
        </is>
      </c>
      <c r="E4137" t="inlineStr">
        <is>
          <t>SOLLEFTEÅ</t>
        </is>
      </c>
      <c r="F4137" t="inlineStr">
        <is>
          <t>Holmen skog AB</t>
        </is>
      </c>
      <c r="G4137" t="n">
        <v>6.6</v>
      </c>
      <c r="H4137" t="n">
        <v>0</v>
      </c>
      <c r="I4137" t="n">
        <v>0</v>
      </c>
      <c r="J4137" t="n">
        <v>0</v>
      </c>
      <c r="K4137" t="n">
        <v>0</v>
      </c>
      <c r="L4137" t="n">
        <v>0</v>
      </c>
      <c r="M4137" t="n">
        <v>0</v>
      </c>
      <c r="N4137" t="n">
        <v>0</v>
      </c>
      <c r="O4137" t="n">
        <v>0</v>
      </c>
      <c r="P4137" t="n">
        <v>0</v>
      </c>
      <c r="Q4137" t="n">
        <v>0</v>
      </c>
      <c r="R4137" s="2" t="inlineStr"/>
    </row>
    <row r="4138" ht="15" customHeight="1">
      <c r="A4138" t="inlineStr">
        <is>
          <t>A 4576-2024</t>
        </is>
      </c>
      <c r="B4138" s="1" t="n">
        <v>45327</v>
      </c>
      <c r="C4138" s="1" t="n">
        <v>46093</v>
      </c>
      <c r="D4138" t="inlineStr">
        <is>
          <t>VÄSTERNORRLANDS LÄN</t>
        </is>
      </c>
      <c r="E4138" t="inlineStr">
        <is>
          <t>ÖRNSKÖLDSVIK</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4583-2024</t>
        </is>
      </c>
      <c r="B4139" s="1" t="n">
        <v>45327.92802083334</v>
      </c>
      <c r="C4139" s="1" t="n">
        <v>46093</v>
      </c>
      <c r="D4139" t="inlineStr">
        <is>
          <t>VÄSTERNORRLANDS LÄN</t>
        </is>
      </c>
      <c r="E4139" t="inlineStr">
        <is>
          <t>SUNDSVALL</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52213-2022</t>
        </is>
      </c>
      <c r="B4140" s="1" t="n">
        <v>44869</v>
      </c>
      <c r="C4140" s="1" t="n">
        <v>46093</v>
      </c>
      <c r="D4140" t="inlineStr">
        <is>
          <t>VÄSTERNORRLANDS LÄN</t>
        </is>
      </c>
      <c r="E4140" t="inlineStr">
        <is>
          <t>TIMRÅ</t>
        </is>
      </c>
      <c r="G4140" t="n">
        <v>11.4</v>
      </c>
      <c r="H4140" t="n">
        <v>0</v>
      </c>
      <c r="I4140" t="n">
        <v>0</v>
      </c>
      <c r="J4140" t="n">
        <v>0</v>
      </c>
      <c r="K4140" t="n">
        <v>0</v>
      </c>
      <c r="L4140" t="n">
        <v>0</v>
      </c>
      <c r="M4140" t="n">
        <v>0</v>
      </c>
      <c r="N4140" t="n">
        <v>0</v>
      </c>
      <c r="O4140" t="n">
        <v>0</v>
      </c>
      <c r="P4140" t="n">
        <v>0</v>
      </c>
      <c r="Q4140" t="n">
        <v>0</v>
      </c>
      <c r="R4140" s="2" t="inlineStr"/>
    </row>
    <row r="4141" ht="15" customHeight="1">
      <c r="A4141" t="inlineStr">
        <is>
          <t>A 26524-2024</t>
        </is>
      </c>
      <c r="B4141" s="1" t="n">
        <v>45469</v>
      </c>
      <c r="C4141" s="1" t="n">
        <v>46093</v>
      </c>
      <c r="D4141" t="inlineStr">
        <is>
          <t>VÄSTERNORRLANDS LÄN</t>
        </is>
      </c>
      <c r="E4141" t="inlineStr">
        <is>
          <t>KRAMFORS</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45720-2024</t>
        </is>
      </c>
      <c r="B4142" s="1" t="n">
        <v>45579.59424768519</v>
      </c>
      <c r="C4142" s="1" t="n">
        <v>46093</v>
      </c>
      <c r="D4142" t="inlineStr">
        <is>
          <t>VÄSTERNORRLANDS LÄN</t>
        </is>
      </c>
      <c r="E4142" t="inlineStr">
        <is>
          <t>TIMRÅ</t>
        </is>
      </c>
      <c r="F4142" t="inlineStr">
        <is>
          <t>SCA</t>
        </is>
      </c>
      <c r="G4142" t="n">
        <v>4.2</v>
      </c>
      <c r="H4142" t="n">
        <v>0</v>
      </c>
      <c r="I4142" t="n">
        <v>0</v>
      </c>
      <c r="J4142" t="n">
        <v>0</v>
      </c>
      <c r="K4142" t="n">
        <v>0</v>
      </c>
      <c r="L4142" t="n">
        <v>0</v>
      </c>
      <c r="M4142" t="n">
        <v>0</v>
      </c>
      <c r="N4142" t="n">
        <v>0</v>
      </c>
      <c r="O4142" t="n">
        <v>0</v>
      </c>
      <c r="P4142" t="n">
        <v>0</v>
      </c>
      <c r="Q4142" t="n">
        <v>0</v>
      </c>
      <c r="R4142" s="2" t="inlineStr"/>
    </row>
    <row r="4143" ht="15" customHeight="1">
      <c r="A4143" t="inlineStr">
        <is>
          <t>A 40701-2025</t>
        </is>
      </c>
      <c r="B4143" s="1" t="n">
        <v>45897.32884259259</v>
      </c>
      <c r="C4143" s="1" t="n">
        <v>46093</v>
      </c>
      <c r="D4143" t="inlineStr">
        <is>
          <t>VÄSTERNORRLANDS LÄN</t>
        </is>
      </c>
      <c r="E4143" t="inlineStr">
        <is>
          <t>SOLLEFTEÅ</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27915-2024</t>
        </is>
      </c>
      <c r="B4144" s="1" t="n">
        <v>45475</v>
      </c>
      <c r="C4144" s="1" t="n">
        <v>46093</v>
      </c>
      <c r="D4144" t="inlineStr">
        <is>
          <t>VÄSTERNORRLANDS LÄN</t>
        </is>
      </c>
      <c r="E4144" t="inlineStr">
        <is>
          <t>ÅNGE</t>
        </is>
      </c>
      <c r="F4144" t="inlineStr">
        <is>
          <t>SCA</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24514-2022</t>
        </is>
      </c>
      <c r="B4145" s="1" t="n">
        <v>44726</v>
      </c>
      <c r="C4145" s="1" t="n">
        <v>46093</v>
      </c>
      <c r="D4145" t="inlineStr">
        <is>
          <t>VÄSTERNORRLANDS LÄN</t>
        </is>
      </c>
      <c r="E4145" t="inlineStr">
        <is>
          <t>SUNDSVALL</t>
        </is>
      </c>
      <c r="G4145" t="n">
        <v>10.5</v>
      </c>
      <c r="H4145" t="n">
        <v>0</v>
      </c>
      <c r="I4145" t="n">
        <v>0</v>
      </c>
      <c r="J4145" t="n">
        <v>0</v>
      </c>
      <c r="K4145" t="n">
        <v>0</v>
      </c>
      <c r="L4145" t="n">
        <v>0</v>
      </c>
      <c r="M4145" t="n">
        <v>0</v>
      </c>
      <c r="N4145" t="n">
        <v>0</v>
      </c>
      <c r="O4145" t="n">
        <v>0</v>
      </c>
      <c r="P4145" t="n">
        <v>0</v>
      </c>
      <c r="Q4145" t="n">
        <v>0</v>
      </c>
      <c r="R4145" s="2" t="inlineStr"/>
    </row>
    <row r="4146" ht="15" customHeight="1">
      <c r="A4146" t="inlineStr">
        <is>
          <t>A 27916-2024</t>
        </is>
      </c>
      <c r="B4146" s="1" t="n">
        <v>45475.94834490741</v>
      </c>
      <c r="C4146" s="1" t="n">
        <v>46093</v>
      </c>
      <c r="D4146" t="inlineStr">
        <is>
          <t>VÄSTERNORRLANDS LÄN</t>
        </is>
      </c>
      <c r="E4146" t="inlineStr">
        <is>
          <t>SOLLEFTEÅ</t>
        </is>
      </c>
      <c r="F4146" t="inlineStr">
        <is>
          <t>SCA</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27938-2024</t>
        </is>
      </c>
      <c r="B4147" s="1" t="n">
        <v>45476</v>
      </c>
      <c r="C4147" s="1" t="n">
        <v>46093</v>
      </c>
      <c r="D4147" t="inlineStr">
        <is>
          <t>VÄSTERNORRLANDS LÄN</t>
        </is>
      </c>
      <c r="E4147" t="inlineStr">
        <is>
          <t>ÖRNSKÖLDSVIK</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66554-2021</t>
        </is>
      </c>
      <c r="B4148" s="1" t="n">
        <v>44519</v>
      </c>
      <c r="C4148" s="1" t="n">
        <v>46093</v>
      </c>
      <c r="D4148" t="inlineStr">
        <is>
          <t>VÄSTERNORRLANDS LÄN</t>
        </is>
      </c>
      <c r="E4148" t="inlineStr">
        <is>
          <t>KRAMFORS</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13292-2023</t>
        </is>
      </c>
      <c r="B4149" s="1" t="n">
        <v>45004</v>
      </c>
      <c r="C4149" s="1" t="n">
        <v>46093</v>
      </c>
      <c r="D4149" t="inlineStr">
        <is>
          <t>VÄSTERNORRLANDS LÄN</t>
        </is>
      </c>
      <c r="E4149" t="inlineStr">
        <is>
          <t>SOLLEFTEÅ</t>
        </is>
      </c>
      <c r="F4149" t="inlineStr">
        <is>
          <t>SCA</t>
        </is>
      </c>
      <c r="G4149" t="n">
        <v>6.1</v>
      </c>
      <c r="H4149" t="n">
        <v>0</v>
      </c>
      <c r="I4149" t="n">
        <v>0</v>
      </c>
      <c r="J4149" t="n">
        <v>0</v>
      </c>
      <c r="K4149" t="n">
        <v>0</v>
      </c>
      <c r="L4149" t="n">
        <v>0</v>
      </c>
      <c r="M4149" t="n">
        <v>0</v>
      </c>
      <c r="N4149" t="n">
        <v>0</v>
      </c>
      <c r="O4149" t="n">
        <v>0</v>
      </c>
      <c r="P4149" t="n">
        <v>0</v>
      </c>
      <c r="Q4149" t="n">
        <v>0</v>
      </c>
      <c r="R4149" s="2" t="inlineStr"/>
    </row>
    <row r="4150" ht="15" customHeight="1">
      <c r="A4150" t="inlineStr">
        <is>
          <t>A 40723-2025</t>
        </is>
      </c>
      <c r="B4150" s="1" t="n">
        <v>45897.34502314815</v>
      </c>
      <c r="C4150" s="1" t="n">
        <v>46093</v>
      </c>
      <c r="D4150" t="inlineStr">
        <is>
          <t>VÄSTERNORRLANDS LÄN</t>
        </is>
      </c>
      <c r="E4150" t="inlineStr">
        <is>
          <t>SUNDSVALL</t>
        </is>
      </c>
      <c r="G4150" t="n">
        <v>0.4</v>
      </c>
      <c r="H4150" t="n">
        <v>0</v>
      </c>
      <c r="I4150" t="n">
        <v>0</v>
      </c>
      <c r="J4150" t="n">
        <v>0</v>
      </c>
      <c r="K4150" t="n">
        <v>0</v>
      </c>
      <c r="L4150" t="n">
        <v>0</v>
      </c>
      <c r="M4150" t="n">
        <v>0</v>
      </c>
      <c r="N4150" t="n">
        <v>0</v>
      </c>
      <c r="O4150" t="n">
        <v>0</v>
      </c>
      <c r="P4150" t="n">
        <v>0</v>
      </c>
      <c r="Q4150" t="n">
        <v>0</v>
      </c>
      <c r="R4150" s="2" t="inlineStr"/>
    </row>
    <row r="4151" ht="15" customHeight="1">
      <c r="A4151" t="inlineStr">
        <is>
          <t>A 40743-2025</t>
        </is>
      </c>
      <c r="B4151" s="1" t="n">
        <v>45897.37375</v>
      </c>
      <c r="C4151" s="1" t="n">
        <v>46093</v>
      </c>
      <c r="D4151" t="inlineStr">
        <is>
          <t>VÄSTERNORRLANDS LÄN</t>
        </is>
      </c>
      <c r="E4151" t="inlineStr">
        <is>
          <t>HÄRNÖSAND</t>
        </is>
      </c>
      <c r="G4151" t="n">
        <v>6.7</v>
      </c>
      <c r="H4151" t="n">
        <v>0</v>
      </c>
      <c r="I4151" t="n">
        <v>0</v>
      </c>
      <c r="J4151" t="n">
        <v>0</v>
      </c>
      <c r="K4151" t="n">
        <v>0</v>
      </c>
      <c r="L4151" t="n">
        <v>0</v>
      </c>
      <c r="M4151" t="n">
        <v>0</v>
      </c>
      <c r="N4151" t="n">
        <v>0</v>
      </c>
      <c r="O4151" t="n">
        <v>0</v>
      </c>
      <c r="P4151" t="n">
        <v>0</v>
      </c>
      <c r="Q4151" t="n">
        <v>0</v>
      </c>
      <c r="R4151" s="2" t="inlineStr"/>
    </row>
    <row r="4152" ht="15" customHeight="1">
      <c r="A4152" t="inlineStr">
        <is>
          <t>A 66664-2021</t>
        </is>
      </c>
      <c r="B4152" s="1" t="n">
        <v>44519.60472222222</v>
      </c>
      <c r="C4152" s="1" t="n">
        <v>46093</v>
      </c>
      <c r="D4152" t="inlineStr">
        <is>
          <t>VÄSTERNORRLANDS LÄN</t>
        </is>
      </c>
      <c r="E4152" t="inlineStr">
        <is>
          <t>ÖRNSKÖLDSVIK</t>
        </is>
      </c>
      <c r="F4152" t="inlineStr">
        <is>
          <t>Kommuner</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5650-2022</t>
        </is>
      </c>
      <c r="B4153" s="1" t="n">
        <v>44595</v>
      </c>
      <c r="C4153" s="1" t="n">
        <v>46093</v>
      </c>
      <c r="D4153" t="inlineStr">
        <is>
          <t>VÄSTERNORRLANDS LÄN</t>
        </is>
      </c>
      <c r="E4153" t="inlineStr">
        <is>
          <t>SUNDSVALL</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40810-2025</t>
        </is>
      </c>
      <c r="B4154" s="1" t="n">
        <v>45897.46952546296</v>
      </c>
      <c r="C4154" s="1" t="n">
        <v>46093</v>
      </c>
      <c r="D4154" t="inlineStr">
        <is>
          <t>VÄSTERNORRLANDS LÄN</t>
        </is>
      </c>
      <c r="E4154" t="inlineStr">
        <is>
          <t>SUNDSVALL</t>
        </is>
      </c>
      <c r="F4154" t="inlineStr">
        <is>
          <t>SCA</t>
        </is>
      </c>
      <c r="G4154" t="n">
        <v>13.9</v>
      </c>
      <c r="H4154" t="n">
        <v>0</v>
      </c>
      <c r="I4154" t="n">
        <v>0</v>
      </c>
      <c r="J4154" t="n">
        <v>0</v>
      </c>
      <c r="K4154" t="n">
        <v>0</v>
      </c>
      <c r="L4154" t="n">
        <v>0</v>
      </c>
      <c r="M4154" t="n">
        <v>0</v>
      </c>
      <c r="N4154" t="n">
        <v>0</v>
      </c>
      <c r="O4154" t="n">
        <v>0</v>
      </c>
      <c r="P4154" t="n">
        <v>0</v>
      </c>
      <c r="Q4154" t="n">
        <v>0</v>
      </c>
      <c r="R4154" s="2" t="inlineStr"/>
    </row>
    <row r="4155" ht="15" customHeight="1">
      <c r="A4155" t="inlineStr">
        <is>
          <t>A 10554-2022</t>
        </is>
      </c>
      <c r="B4155" s="1" t="n">
        <v>44623.93775462963</v>
      </c>
      <c r="C4155" s="1" t="n">
        <v>46093</v>
      </c>
      <c r="D4155" t="inlineStr">
        <is>
          <t>VÄSTERNORRLANDS LÄN</t>
        </is>
      </c>
      <c r="E4155" t="inlineStr">
        <is>
          <t>SOLLEFTEÅ</t>
        </is>
      </c>
      <c r="F4155" t="inlineStr">
        <is>
          <t>SCA</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40825-2025</t>
        </is>
      </c>
      <c r="B4156" s="1" t="n">
        <v>45897.49809027778</v>
      </c>
      <c r="C4156" s="1" t="n">
        <v>46093</v>
      </c>
      <c r="D4156" t="inlineStr">
        <is>
          <t>VÄSTERNORRLANDS LÄN</t>
        </is>
      </c>
      <c r="E4156" t="inlineStr">
        <is>
          <t>ÖRNSKÖLDSVIK</t>
        </is>
      </c>
      <c r="F4156" t="inlineStr">
        <is>
          <t>Holmen skog AB</t>
        </is>
      </c>
      <c r="G4156" t="n">
        <v>6.1</v>
      </c>
      <c r="H4156" t="n">
        <v>0</v>
      </c>
      <c r="I4156" t="n">
        <v>0</v>
      </c>
      <c r="J4156" t="n">
        <v>0</v>
      </c>
      <c r="K4156" t="n">
        <v>0</v>
      </c>
      <c r="L4156" t="n">
        <v>0</v>
      </c>
      <c r="M4156" t="n">
        <v>0</v>
      </c>
      <c r="N4156" t="n">
        <v>0</v>
      </c>
      <c r="O4156" t="n">
        <v>0</v>
      </c>
      <c r="P4156" t="n">
        <v>0</v>
      </c>
      <c r="Q4156" t="n">
        <v>0</v>
      </c>
      <c r="R4156" s="2" t="inlineStr"/>
    </row>
    <row r="4157" ht="15" customHeight="1">
      <c r="A4157" t="inlineStr">
        <is>
          <t>A 40879-2023</t>
        </is>
      </c>
      <c r="B4157" s="1" t="n">
        <v>45173</v>
      </c>
      <c r="C4157" s="1" t="n">
        <v>46093</v>
      </c>
      <c r="D4157" t="inlineStr">
        <is>
          <t>VÄSTERNORRLANDS LÄN</t>
        </is>
      </c>
      <c r="E4157" t="inlineStr">
        <is>
          <t>KRAMFORS</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44202-2023</t>
        </is>
      </c>
      <c r="B4158" s="1" t="n">
        <v>45188.54469907407</v>
      </c>
      <c r="C4158" s="1" t="n">
        <v>46093</v>
      </c>
      <c r="D4158" t="inlineStr">
        <is>
          <t>VÄSTERNORRLANDS LÄN</t>
        </is>
      </c>
      <c r="E4158" t="inlineStr">
        <is>
          <t>ÖRNSKÖLDSVIK</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40872-2025</t>
        </is>
      </c>
      <c r="B4159" s="1" t="n">
        <v>45897.574375</v>
      </c>
      <c r="C4159" s="1" t="n">
        <v>46093</v>
      </c>
      <c r="D4159" t="inlineStr">
        <is>
          <t>VÄSTERNORRLANDS LÄN</t>
        </is>
      </c>
      <c r="E4159" t="inlineStr">
        <is>
          <t>ÅNGE</t>
        </is>
      </c>
      <c r="F4159" t="inlineStr">
        <is>
          <t>SCA</t>
        </is>
      </c>
      <c r="G4159" t="n">
        <v>4.5</v>
      </c>
      <c r="H4159" t="n">
        <v>0</v>
      </c>
      <c r="I4159" t="n">
        <v>0</v>
      </c>
      <c r="J4159" t="n">
        <v>0</v>
      </c>
      <c r="K4159" t="n">
        <v>0</v>
      </c>
      <c r="L4159" t="n">
        <v>0</v>
      </c>
      <c r="M4159" t="n">
        <v>0</v>
      </c>
      <c r="N4159" t="n">
        <v>0</v>
      </c>
      <c r="O4159" t="n">
        <v>0</v>
      </c>
      <c r="P4159" t="n">
        <v>0</v>
      </c>
      <c r="Q4159" t="n">
        <v>0</v>
      </c>
      <c r="R4159" s="2" t="inlineStr"/>
    </row>
    <row r="4160" ht="15" customHeight="1">
      <c r="A4160" t="inlineStr">
        <is>
          <t>A 40819-2025</t>
        </is>
      </c>
      <c r="B4160" s="1" t="n">
        <v>45897.48915509259</v>
      </c>
      <c r="C4160" s="1" t="n">
        <v>46093</v>
      </c>
      <c r="D4160" t="inlineStr">
        <is>
          <t>VÄSTERNORRLANDS LÄN</t>
        </is>
      </c>
      <c r="E4160" t="inlineStr">
        <is>
          <t>ÖRNSKÖLDSVIK</t>
        </is>
      </c>
      <c r="F4160" t="inlineStr">
        <is>
          <t>Holmen skog AB</t>
        </is>
      </c>
      <c r="G4160" t="n">
        <v>4</v>
      </c>
      <c r="H4160" t="n">
        <v>0</v>
      </c>
      <c r="I4160" t="n">
        <v>0</v>
      </c>
      <c r="J4160" t="n">
        <v>0</v>
      </c>
      <c r="K4160" t="n">
        <v>0</v>
      </c>
      <c r="L4160" t="n">
        <v>0</v>
      </c>
      <c r="M4160" t="n">
        <v>0</v>
      </c>
      <c r="N4160" t="n">
        <v>0</v>
      </c>
      <c r="O4160" t="n">
        <v>0</v>
      </c>
      <c r="P4160" t="n">
        <v>0</v>
      </c>
      <c r="Q4160" t="n">
        <v>0</v>
      </c>
      <c r="R4160" s="2" t="inlineStr"/>
    </row>
    <row r="4161" ht="15" customHeight="1">
      <c r="A4161" t="inlineStr">
        <is>
          <t>A 41067-2025</t>
        </is>
      </c>
      <c r="B4161" s="1" t="n">
        <v>45898.41422453704</v>
      </c>
      <c r="C4161" s="1" t="n">
        <v>46093</v>
      </c>
      <c r="D4161" t="inlineStr">
        <is>
          <t>VÄSTERNORRLANDS LÄN</t>
        </is>
      </c>
      <c r="E4161" t="inlineStr">
        <is>
          <t>ÖRNSKÖLDSVIK</t>
        </is>
      </c>
      <c r="F4161" t="inlineStr">
        <is>
          <t>Holmen skog AB</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44210-2023</t>
        </is>
      </c>
      <c r="B4162" s="1" t="n">
        <v>45188</v>
      </c>
      <c r="C4162" s="1" t="n">
        <v>46093</v>
      </c>
      <c r="D4162" t="inlineStr">
        <is>
          <t>VÄSTERNORRLANDS LÄN</t>
        </is>
      </c>
      <c r="E4162" t="inlineStr">
        <is>
          <t>ÖRNSKÖLDSVIK</t>
        </is>
      </c>
      <c r="F4162" t="inlineStr">
        <is>
          <t>Holmen skog AB</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45565-2024</t>
        </is>
      </c>
      <c r="B4163" s="1" t="n">
        <v>45579</v>
      </c>
      <c r="C4163" s="1" t="n">
        <v>46093</v>
      </c>
      <c r="D4163" t="inlineStr">
        <is>
          <t>VÄSTERNORRLANDS LÄN</t>
        </is>
      </c>
      <c r="E4163" t="inlineStr">
        <is>
          <t>ÖRNSKÖLDSVIK</t>
        </is>
      </c>
      <c r="F4163" t="inlineStr">
        <is>
          <t>Holmen skog AB</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35924-2025</t>
        </is>
      </c>
      <c r="B4164" s="1" t="n">
        <v>45862.57326388889</v>
      </c>
      <c r="C4164" s="1" t="n">
        <v>46093</v>
      </c>
      <c r="D4164" t="inlineStr">
        <is>
          <t>VÄSTERNORRLANDS LÄN</t>
        </is>
      </c>
      <c r="E4164" t="inlineStr">
        <is>
          <t>SOLLEFTEÅ</t>
        </is>
      </c>
      <c r="F4164" t="inlineStr">
        <is>
          <t>SCA</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18988-2025</t>
        </is>
      </c>
      <c r="B4165" s="1" t="n">
        <v>45764</v>
      </c>
      <c r="C4165" s="1" t="n">
        <v>46093</v>
      </c>
      <c r="D4165" t="inlineStr">
        <is>
          <t>VÄSTERNORRLANDS LÄN</t>
        </is>
      </c>
      <c r="E4165" t="inlineStr">
        <is>
          <t>ÖRNSKÖLDSVIK</t>
        </is>
      </c>
      <c r="F4165" t="inlineStr">
        <is>
          <t>Holmen skog AB</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28784-2024</t>
        </is>
      </c>
      <c r="B4166" s="1" t="n">
        <v>45478.60880787037</v>
      </c>
      <c r="C4166" s="1" t="n">
        <v>46093</v>
      </c>
      <c r="D4166" t="inlineStr">
        <is>
          <t>VÄSTERNORRLANDS LÄN</t>
        </is>
      </c>
      <c r="E4166" t="inlineStr">
        <is>
          <t>SUNDSVALL</t>
        </is>
      </c>
      <c r="G4166" t="n">
        <v>2.7</v>
      </c>
      <c r="H4166" t="n">
        <v>0</v>
      </c>
      <c r="I4166" t="n">
        <v>0</v>
      </c>
      <c r="J4166" t="n">
        <v>0</v>
      </c>
      <c r="K4166" t="n">
        <v>0</v>
      </c>
      <c r="L4166" t="n">
        <v>0</v>
      </c>
      <c r="M4166" t="n">
        <v>0</v>
      </c>
      <c r="N4166" t="n">
        <v>0</v>
      </c>
      <c r="O4166" t="n">
        <v>0</v>
      </c>
      <c r="P4166" t="n">
        <v>0</v>
      </c>
      <c r="Q4166" t="n">
        <v>0</v>
      </c>
      <c r="R4166" s="2" t="inlineStr"/>
    </row>
    <row r="4167" ht="15" customHeight="1">
      <c r="A4167" t="inlineStr">
        <is>
          <t>A 28785-2024</t>
        </is>
      </c>
      <c r="B4167" s="1" t="n">
        <v>45478</v>
      </c>
      <c r="C4167" s="1" t="n">
        <v>46093</v>
      </c>
      <c r="D4167" t="inlineStr">
        <is>
          <t>VÄSTERNORRLANDS LÄN</t>
        </is>
      </c>
      <c r="E4167" t="inlineStr">
        <is>
          <t>SUNDSVALL</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41075-2025</t>
        </is>
      </c>
      <c r="B4168" s="1" t="n">
        <v>45898.42525462963</v>
      </c>
      <c r="C4168" s="1" t="n">
        <v>46093</v>
      </c>
      <c r="D4168" t="inlineStr">
        <is>
          <t>VÄSTERNORRLANDS LÄN</t>
        </is>
      </c>
      <c r="E4168" t="inlineStr">
        <is>
          <t>ÖRNSKÖLDSVIK</t>
        </is>
      </c>
      <c r="G4168" t="n">
        <v>19.4</v>
      </c>
      <c r="H4168" t="n">
        <v>0</v>
      </c>
      <c r="I4168" t="n">
        <v>0</v>
      </c>
      <c r="J4168" t="n">
        <v>0</v>
      </c>
      <c r="K4168" t="n">
        <v>0</v>
      </c>
      <c r="L4168" t="n">
        <v>0</v>
      </c>
      <c r="M4168" t="n">
        <v>0</v>
      </c>
      <c r="N4168" t="n">
        <v>0</v>
      </c>
      <c r="O4168" t="n">
        <v>0</v>
      </c>
      <c r="P4168" t="n">
        <v>0</v>
      </c>
      <c r="Q4168" t="n">
        <v>0</v>
      </c>
      <c r="R4168" s="2" t="inlineStr"/>
    </row>
    <row r="4169" ht="15" customHeight="1">
      <c r="A4169" t="inlineStr">
        <is>
          <t>A 19829-2024</t>
        </is>
      </c>
      <c r="B4169" s="1" t="n">
        <v>45433.36116898148</v>
      </c>
      <c r="C4169" s="1" t="n">
        <v>46093</v>
      </c>
      <c r="D4169" t="inlineStr">
        <is>
          <t>VÄSTERNORRLANDS LÄN</t>
        </is>
      </c>
      <c r="E4169" t="inlineStr">
        <is>
          <t>ÖRNSKÖLDSVIK</t>
        </is>
      </c>
      <c r="F4169" t="inlineStr">
        <is>
          <t>Holmen skog AB</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41097-2025</t>
        </is>
      </c>
      <c r="B4170" s="1" t="n">
        <v>45898.44824074074</v>
      </c>
      <c r="C4170" s="1" t="n">
        <v>46093</v>
      </c>
      <c r="D4170" t="inlineStr">
        <is>
          <t>VÄSTERNORRLANDS LÄN</t>
        </is>
      </c>
      <c r="E4170" t="inlineStr">
        <is>
          <t>TIMRÅ</t>
        </is>
      </c>
      <c r="G4170" t="n">
        <v>0.3</v>
      </c>
      <c r="H4170" t="n">
        <v>0</v>
      </c>
      <c r="I4170" t="n">
        <v>0</v>
      </c>
      <c r="J4170" t="n">
        <v>0</v>
      </c>
      <c r="K4170" t="n">
        <v>0</v>
      </c>
      <c r="L4170" t="n">
        <v>0</v>
      </c>
      <c r="M4170" t="n">
        <v>0</v>
      </c>
      <c r="N4170" t="n">
        <v>0</v>
      </c>
      <c r="O4170" t="n">
        <v>0</v>
      </c>
      <c r="P4170" t="n">
        <v>0</v>
      </c>
      <c r="Q4170" t="n">
        <v>0</v>
      </c>
      <c r="R4170" s="2" t="inlineStr"/>
    </row>
    <row r="4171" ht="15" customHeight="1">
      <c r="A4171" t="inlineStr">
        <is>
          <t>A 40754-2025</t>
        </is>
      </c>
      <c r="B4171" s="1" t="n">
        <v>45897.38653935185</v>
      </c>
      <c r="C4171" s="1" t="n">
        <v>46093</v>
      </c>
      <c r="D4171" t="inlineStr">
        <is>
          <t>VÄSTERNORRLANDS LÄN</t>
        </is>
      </c>
      <c r="E4171" t="inlineStr">
        <is>
          <t>SOLLEFTEÅ</t>
        </is>
      </c>
      <c r="F4171" t="inlineStr">
        <is>
          <t>SCA</t>
        </is>
      </c>
      <c r="G4171" t="n">
        <v>3.1</v>
      </c>
      <c r="H4171" t="n">
        <v>0</v>
      </c>
      <c r="I4171" t="n">
        <v>0</v>
      </c>
      <c r="J4171" t="n">
        <v>0</v>
      </c>
      <c r="K4171" t="n">
        <v>0</v>
      </c>
      <c r="L4171" t="n">
        <v>0</v>
      </c>
      <c r="M4171" t="n">
        <v>0</v>
      </c>
      <c r="N4171" t="n">
        <v>0</v>
      </c>
      <c r="O4171" t="n">
        <v>0</v>
      </c>
      <c r="P4171" t="n">
        <v>0</v>
      </c>
      <c r="Q4171" t="n">
        <v>0</v>
      </c>
      <c r="R4171" s="2" t="inlineStr"/>
    </row>
    <row r="4172" ht="15" customHeight="1">
      <c r="A4172" t="inlineStr">
        <is>
          <t>A 24957-2025</t>
        </is>
      </c>
      <c r="B4172" s="1" t="n">
        <v>45799.57431712963</v>
      </c>
      <c r="C4172" s="1" t="n">
        <v>46093</v>
      </c>
      <c r="D4172" t="inlineStr">
        <is>
          <t>VÄSTERNORRLANDS LÄN</t>
        </is>
      </c>
      <c r="E4172" t="inlineStr">
        <is>
          <t>KRAMFORS</t>
        </is>
      </c>
      <c r="G4172" t="n">
        <v>2.6</v>
      </c>
      <c r="H4172" t="n">
        <v>0</v>
      </c>
      <c r="I4172" t="n">
        <v>0</v>
      </c>
      <c r="J4172" t="n">
        <v>0</v>
      </c>
      <c r="K4172" t="n">
        <v>0</v>
      </c>
      <c r="L4172" t="n">
        <v>0</v>
      </c>
      <c r="M4172" t="n">
        <v>0</v>
      </c>
      <c r="N4172" t="n">
        <v>0</v>
      </c>
      <c r="O4172" t="n">
        <v>0</v>
      </c>
      <c r="P4172" t="n">
        <v>0</v>
      </c>
      <c r="Q4172" t="n">
        <v>0</v>
      </c>
      <c r="R4172" s="2" t="inlineStr"/>
    </row>
    <row r="4173" ht="15" customHeight="1">
      <c r="A4173" t="inlineStr">
        <is>
          <t>A 40818-2025</t>
        </is>
      </c>
      <c r="B4173" s="1" t="n">
        <v>45897.48881944444</v>
      </c>
      <c r="C4173" s="1" t="n">
        <v>46093</v>
      </c>
      <c r="D4173" t="inlineStr">
        <is>
          <t>VÄSTERNORRLANDS LÄN</t>
        </is>
      </c>
      <c r="E4173" t="inlineStr">
        <is>
          <t>ÅNGE</t>
        </is>
      </c>
      <c r="G4173" t="n">
        <v>2.9</v>
      </c>
      <c r="H4173" t="n">
        <v>0</v>
      </c>
      <c r="I4173" t="n">
        <v>0</v>
      </c>
      <c r="J4173" t="n">
        <v>0</v>
      </c>
      <c r="K4173" t="n">
        <v>0</v>
      </c>
      <c r="L4173" t="n">
        <v>0</v>
      </c>
      <c r="M4173" t="n">
        <v>0</v>
      </c>
      <c r="N4173" t="n">
        <v>0</v>
      </c>
      <c r="O4173" t="n">
        <v>0</v>
      </c>
      <c r="P4173" t="n">
        <v>0</v>
      </c>
      <c r="Q4173" t="n">
        <v>0</v>
      </c>
      <c r="R4173" s="2" t="inlineStr"/>
    </row>
    <row r="4174" ht="15" customHeight="1">
      <c r="A4174" t="inlineStr">
        <is>
          <t>A 40830-2025</t>
        </is>
      </c>
      <c r="B4174" s="1" t="n">
        <v>45897.51079861111</v>
      </c>
      <c r="C4174" s="1" t="n">
        <v>46093</v>
      </c>
      <c r="D4174" t="inlineStr">
        <is>
          <t>VÄSTERNORRLANDS LÄN</t>
        </is>
      </c>
      <c r="E4174" t="inlineStr">
        <is>
          <t>ÅNGE</t>
        </is>
      </c>
      <c r="F4174" t="inlineStr">
        <is>
          <t>SCA</t>
        </is>
      </c>
      <c r="G4174" t="n">
        <v>3.4</v>
      </c>
      <c r="H4174" t="n">
        <v>0</v>
      </c>
      <c r="I4174" t="n">
        <v>0</v>
      </c>
      <c r="J4174" t="n">
        <v>0</v>
      </c>
      <c r="K4174" t="n">
        <v>0</v>
      </c>
      <c r="L4174" t="n">
        <v>0</v>
      </c>
      <c r="M4174" t="n">
        <v>0</v>
      </c>
      <c r="N4174" t="n">
        <v>0</v>
      </c>
      <c r="O4174" t="n">
        <v>0</v>
      </c>
      <c r="P4174" t="n">
        <v>0</v>
      </c>
      <c r="Q4174" t="n">
        <v>0</v>
      </c>
      <c r="R4174" s="2" t="inlineStr"/>
    </row>
    <row r="4175" ht="15" customHeight="1">
      <c r="A4175" t="inlineStr">
        <is>
          <t>A 35826-2025</t>
        </is>
      </c>
      <c r="B4175" s="1" t="n">
        <v>45861.48997685185</v>
      </c>
      <c r="C4175" s="1" t="n">
        <v>46093</v>
      </c>
      <c r="D4175" t="inlineStr">
        <is>
          <t>VÄSTERNORRLANDS LÄN</t>
        </is>
      </c>
      <c r="E4175" t="inlineStr">
        <is>
          <t>ÅNGE</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40896-2025</t>
        </is>
      </c>
      <c r="B4176" s="1" t="n">
        <v>45897.61412037037</v>
      </c>
      <c r="C4176" s="1" t="n">
        <v>46093</v>
      </c>
      <c r="D4176" t="inlineStr">
        <is>
          <t>VÄSTERNORRLANDS LÄN</t>
        </is>
      </c>
      <c r="E4176" t="inlineStr">
        <is>
          <t>ÖRNSKÖLDSVIK</t>
        </is>
      </c>
      <c r="F4176" t="inlineStr">
        <is>
          <t>Holmen skog AB</t>
        </is>
      </c>
      <c r="G4176" t="n">
        <v>9.800000000000001</v>
      </c>
      <c r="H4176" t="n">
        <v>0</v>
      </c>
      <c r="I4176" t="n">
        <v>0</v>
      </c>
      <c r="J4176" t="n">
        <v>0</v>
      </c>
      <c r="K4176" t="n">
        <v>0</v>
      </c>
      <c r="L4176" t="n">
        <v>0</v>
      </c>
      <c r="M4176" t="n">
        <v>0</v>
      </c>
      <c r="N4176" t="n">
        <v>0</v>
      </c>
      <c r="O4176" t="n">
        <v>0</v>
      </c>
      <c r="P4176" t="n">
        <v>0</v>
      </c>
      <c r="Q4176" t="n">
        <v>0</v>
      </c>
      <c r="R4176" s="2" t="inlineStr"/>
    </row>
    <row r="4177" ht="15" customHeight="1">
      <c r="A4177" t="inlineStr">
        <is>
          <t>A 40384-2024</t>
        </is>
      </c>
      <c r="B4177" s="1" t="n">
        <v>45555.4275462963</v>
      </c>
      <c r="C4177" s="1" t="n">
        <v>46093</v>
      </c>
      <c r="D4177" t="inlineStr">
        <is>
          <t>VÄSTERNORRLANDS LÄN</t>
        </is>
      </c>
      <c r="E4177" t="inlineStr">
        <is>
          <t>SUNDSVALL</t>
        </is>
      </c>
      <c r="F4177" t="inlineStr">
        <is>
          <t>SCA</t>
        </is>
      </c>
      <c r="G4177" t="n">
        <v>5.6</v>
      </c>
      <c r="H4177" t="n">
        <v>0</v>
      </c>
      <c r="I4177" t="n">
        <v>0</v>
      </c>
      <c r="J4177" t="n">
        <v>0</v>
      </c>
      <c r="K4177" t="n">
        <v>0</v>
      </c>
      <c r="L4177" t="n">
        <v>0</v>
      </c>
      <c r="M4177" t="n">
        <v>0</v>
      </c>
      <c r="N4177" t="n">
        <v>0</v>
      </c>
      <c r="O4177" t="n">
        <v>0</v>
      </c>
      <c r="P4177" t="n">
        <v>0</v>
      </c>
      <c r="Q4177" t="n">
        <v>0</v>
      </c>
      <c r="R4177" s="2" t="inlineStr"/>
    </row>
    <row r="4178" ht="15" customHeight="1">
      <c r="A4178" t="inlineStr">
        <is>
          <t>A 50975-2024</t>
        </is>
      </c>
      <c r="B4178" s="1" t="n">
        <v>45603</v>
      </c>
      <c r="C4178" s="1" t="n">
        <v>46093</v>
      </c>
      <c r="D4178" t="inlineStr">
        <is>
          <t>VÄSTERNORRLANDS LÄN</t>
        </is>
      </c>
      <c r="E4178" t="inlineStr">
        <is>
          <t>ÖRNSKÖLDSVIK</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40429-2024</t>
        </is>
      </c>
      <c r="B4179" s="1" t="n">
        <v>45555</v>
      </c>
      <c r="C4179" s="1" t="n">
        <v>46093</v>
      </c>
      <c r="D4179" t="inlineStr">
        <is>
          <t>VÄSTERNORRLANDS LÄN</t>
        </is>
      </c>
      <c r="E4179" t="inlineStr">
        <is>
          <t>SOLLEFTEÅ</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68797-2021</t>
        </is>
      </c>
      <c r="B4180" s="1" t="n">
        <v>44529</v>
      </c>
      <c r="C4180" s="1" t="n">
        <v>46093</v>
      </c>
      <c r="D4180" t="inlineStr">
        <is>
          <t>VÄSTERNORRLANDS LÄN</t>
        </is>
      </c>
      <c r="E4180" t="inlineStr">
        <is>
          <t>KRAMFORS</t>
        </is>
      </c>
      <c r="G4180" t="n">
        <v>3</v>
      </c>
      <c r="H4180" t="n">
        <v>0</v>
      </c>
      <c r="I4180" t="n">
        <v>0</v>
      </c>
      <c r="J4180" t="n">
        <v>0</v>
      </c>
      <c r="K4180" t="n">
        <v>0</v>
      </c>
      <c r="L4180" t="n">
        <v>0</v>
      </c>
      <c r="M4180" t="n">
        <v>0</v>
      </c>
      <c r="N4180" t="n">
        <v>0</v>
      </c>
      <c r="O4180" t="n">
        <v>0</v>
      </c>
      <c r="P4180" t="n">
        <v>0</v>
      </c>
      <c r="Q4180" t="n">
        <v>0</v>
      </c>
      <c r="R4180" s="2" t="inlineStr"/>
    </row>
    <row r="4181" ht="15" customHeight="1">
      <c r="A4181" t="inlineStr">
        <is>
          <t>A 35838-2025</t>
        </is>
      </c>
      <c r="B4181" s="1" t="n">
        <v>45861.53829861111</v>
      </c>
      <c r="C4181" s="1" t="n">
        <v>46093</v>
      </c>
      <c r="D4181" t="inlineStr">
        <is>
          <t>VÄSTERNORRLANDS LÄN</t>
        </is>
      </c>
      <c r="E4181" t="inlineStr">
        <is>
          <t>ÅNGE</t>
        </is>
      </c>
      <c r="F4181" t="inlineStr">
        <is>
          <t>Sveaskog</t>
        </is>
      </c>
      <c r="G4181" t="n">
        <v>3.9</v>
      </c>
      <c r="H4181" t="n">
        <v>0</v>
      </c>
      <c r="I4181" t="n">
        <v>0</v>
      </c>
      <c r="J4181" t="n">
        <v>0</v>
      </c>
      <c r="K4181" t="n">
        <v>0</v>
      </c>
      <c r="L4181" t="n">
        <v>0</v>
      </c>
      <c r="M4181" t="n">
        <v>0</v>
      </c>
      <c r="N4181" t="n">
        <v>0</v>
      </c>
      <c r="O4181" t="n">
        <v>0</v>
      </c>
      <c r="P4181" t="n">
        <v>0</v>
      </c>
      <c r="Q4181" t="n">
        <v>0</v>
      </c>
      <c r="R4181" s="2" t="inlineStr"/>
    </row>
    <row r="4182" ht="15" customHeight="1">
      <c r="A4182" t="inlineStr">
        <is>
          <t>A 1964-2022</t>
        </is>
      </c>
      <c r="B4182" s="1" t="n">
        <v>44575.5050462963</v>
      </c>
      <c r="C4182" s="1" t="n">
        <v>46093</v>
      </c>
      <c r="D4182" t="inlineStr">
        <is>
          <t>VÄSTERNORRLANDS LÄN</t>
        </is>
      </c>
      <c r="E4182" t="inlineStr">
        <is>
          <t>ÅNGE</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1997-2022</t>
        </is>
      </c>
      <c r="B4183" s="1" t="n">
        <v>44575</v>
      </c>
      <c r="C4183" s="1" t="n">
        <v>46093</v>
      </c>
      <c r="D4183" t="inlineStr">
        <is>
          <t>VÄSTERNORRLANDS LÄN</t>
        </is>
      </c>
      <c r="E4183" t="inlineStr">
        <is>
          <t>SOLLEFTEÅ</t>
        </is>
      </c>
      <c r="G4183" t="n">
        <v>8.800000000000001</v>
      </c>
      <c r="H4183" t="n">
        <v>0</v>
      </c>
      <c r="I4183" t="n">
        <v>0</v>
      </c>
      <c r="J4183" t="n">
        <v>0</v>
      </c>
      <c r="K4183" t="n">
        <v>0</v>
      </c>
      <c r="L4183" t="n">
        <v>0</v>
      </c>
      <c r="M4183" t="n">
        <v>0</v>
      </c>
      <c r="N4183" t="n">
        <v>0</v>
      </c>
      <c r="O4183" t="n">
        <v>0</v>
      </c>
      <c r="P4183" t="n">
        <v>0</v>
      </c>
      <c r="Q4183" t="n">
        <v>0</v>
      </c>
      <c r="R4183" s="2" t="inlineStr"/>
    </row>
    <row r="4184" ht="15" customHeight="1">
      <c r="A4184" t="inlineStr">
        <is>
          <t>A 35881-2025</t>
        </is>
      </c>
      <c r="B4184" s="1" t="n">
        <v>45862.38577546296</v>
      </c>
      <c r="C4184" s="1" t="n">
        <v>46093</v>
      </c>
      <c r="D4184" t="inlineStr">
        <is>
          <t>VÄSTERNORRLANDS LÄN</t>
        </is>
      </c>
      <c r="E4184" t="inlineStr">
        <is>
          <t>SUNDSVALL</t>
        </is>
      </c>
      <c r="F4184" t="inlineStr">
        <is>
          <t>SCA</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58441-2024</t>
        </is>
      </c>
      <c r="B4185" s="1" t="n">
        <v>45635.31184027778</v>
      </c>
      <c r="C4185" s="1" t="n">
        <v>46093</v>
      </c>
      <c r="D4185" t="inlineStr">
        <is>
          <t>VÄSTERNORRLANDS LÄN</t>
        </is>
      </c>
      <c r="E4185" t="inlineStr">
        <is>
          <t>ÖRNSKÖLDSVIK</t>
        </is>
      </c>
      <c r="G4185" t="n">
        <v>3.2</v>
      </c>
      <c r="H4185" t="n">
        <v>0</v>
      </c>
      <c r="I4185" t="n">
        <v>0</v>
      </c>
      <c r="J4185" t="n">
        <v>0</v>
      </c>
      <c r="K4185" t="n">
        <v>0</v>
      </c>
      <c r="L4185" t="n">
        <v>0</v>
      </c>
      <c r="M4185" t="n">
        <v>0</v>
      </c>
      <c r="N4185" t="n">
        <v>0</v>
      </c>
      <c r="O4185" t="n">
        <v>0</v>
      </c>
      <c r="P4185" t="n">
        <v>0</v>
      </c>
      <c r="Q4185" t="n">
        <v>0</v>
      </c>
      <c r="R4185" s="2" t="inlineStr"/>
    </row>
    <row r="4186" ht="15" customHeight="1">
      <c r="A4186" t="inlineStr">
        <is>
          <t>A 40958-2025</t>
        </is>
      </c>
      <c r="B4186" s="1" t="n">
        <v>45897.67865740741</v>
      </c>
      <c r="C4186" s="1" t="n">
        <v>46093</v>
      </c>
      <c r="D4186" t="inlineStr">
        <is>
          <t>VÄSTERNORRLANDS LÄN</t>
        </is>
      </c>
      <c r="E4186" t="inlineStr">
        <is>
          <t>SUNDSVALL</t>
        </is>
      </c>
      <c r="F4186" t="inlineStr">
        <is>
          <t>Naturvårdsverket</t>
        </is>
      </c>
      <c r="G4186" t="n">
        <v>5.5</v>
      </c>
      <c r="H4186" t="n">
        <v>0</v>
      </c>
      <c r="I4186" t="n">
        <v>0</v>
      </c>
      <c r="J4186" t="n">
        <v>0</v>
      </c>
      <c r="K4186" t="n">
        <v>0</v>
      </c>
      <c r="L4186" t="n">
        <v>0</v>
      </c>
      <c r="M4186" t="n">
        <v>0</v>
      </c>
      <c r="N4186" t="n">
        <v>0</v>
      </c>
      <c r="O4186" t="n">
        <v>0</v>
      </c>
      <c r="P4186" t="n">
        <v>0</v>
      </c>
      <c r="Q4186" t="n">
        <v>0</v>
      </c>
      <c r="R4186" s="2" t="inlineStr"/>
    </row>
    <row r="4187" ht="15" customHeight="1">
      <c r="A4187" t="inlineStr">
        <is>
          <t>A 61175-2024</t>
        </is>
      </c>
      <c r="B4187" s="1" t="n">
        <v>45645.60512731481</v>
      </c>
      <c r="C4187" s="1" t="n">
        <v>46093</v>
      </c>
      <c r="D4187" t="inlineStr">
        <is>
          <t>VÄSTERNORRLANDS LÄN</t>
        </is>
      </c>
      <c r="E4187" t="inlineStr">
        <is>
          <t>KRAMFORS</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7330-2023</t>
        </is>
      </c>
      <c r="B4188" s="1" t="n">
        <v>44970.97920138889</v>
      </c>
      <c r="C4188" s="1" t="n">
        <v>46093</v>
      </c>
      <c r="D4188" t="inlineStr">
        <is>
          <t>VÄSTERNORRLANDS LÄN</t>
        </is>
      </c>
      <c r="E4188" t="inlineStr">
        <is>
          <t>SOLLEFTEÅ</t>
        </is>
      </c>
      <c r="F4188" t="inlineStr">
        <is>
          <t>SCA</t>
        </is>
      </c>
      <c r="G4188" t="n">
        <v>0.4</v>
      </c>
      <c r="H4188" t="n">
        <v>0</v>
      </c>
      <c r="I4188" t="n">
        <v>0</v>
      </c>
      <c r="J4188" t="n">
        <v>0</v>
      </c>
      <c r="K4188" t="n">
        <v>0</v>
      </c>
      <c r="L4188" t="n">
        <v>0</v>
      </c>
      <c r="M4188" t="n">
        <v>0</v>
      </c>
      <c r="N4188" t="n">
        <v>0</v>
      </c>
      <c r="O4188" t="n">
        <v>0</v>
      </c>
      <c r="P4188" t="n">
        <v>0</v>
      </c>
      <c r="Q4188" t="n">
        <v>0</v>
      </c>
      <c r="R4188" s="2" t="inlineStr"/>
    </row>
    <row r="4189" ht="15" customHeight="1">
      <c r="A4189" t="inlineStr">
        <is>
          <t>A 7333-2023</t>
        </is>
      </c>
      <c r="B4189" s="1" t="n">
        <v>44970.97947916666</v>
      </c>
      <c r="C4189" s="1" t="n">
        <v>46093</v>
      </c>
      <c r="D4189" t="inlineStr">
        <is>
          <t>VÄSTERNORRLANDS LÄN</t>
        </is>
      </c>
      <c r="E4189" t="inlineStr">
        <is>
          <t>SOLLEFTEÅ</t>
        </is>
      </c>
      <c r="F4189" t="inlineStr">
        <is>
          <t>SCA</t>
        </is>
      </c>
      <c r="G4189" t="n">
        <v>6.1</v>
      </c>
      <c r="H4189" t="n">
        <v>0</v>
      </c>
      <c r="I4189" t="n">
        <v>0</v>
      </c>
      <c r="J4189" t="n">
        <v>0</v>
      </c>
      <c r="K4189" t="n">
        <v>0</v>
      </c>
      <c r="L4189" t="n">
        <v>0</v>
      </c>
      <c r="M4189" t="n">
        <v>0</v>
      </c>
      <c r="N4189" t="n">
        <v>0</v>
      </c>
      <c r="O4189" t="n">
        <v>0</v>
      </c>
      <c r="P4189" t="n">
        <v>0</v>
      </c>
      <c r="Q4189" t="n">
        <v>0</v>
      </c>
      <c r="R4189" s="2" t="inlineStr"/>
    </row>
    <row r="4190" ht="15" customHeight="1">
      <c r="A4190" t="inlineStr">
        <is>
          <t>A 2118-2025</t>
        </is>
      </c>
      <c r="B4190" s="1" t="n">
        <v>45672</v>
      </c>
      <c r="C4190" s="1" t="n">
        <v>46093</v>
      </c>
      <c r="D4190" t="inlineStr">
        <is>
          <t>VÄSTERNORRLANDS LÄN</t>
        </is>
      </c>
      <c r="E4190" t="inlineStr">
        <is>
          <t>ÖRNSKÖLDSVIK</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40697-2025</t>
        </is>
      </c>
      <c r="B4191" s="1" t="n">
        <v>45897.30769675926</v>
      </c>
      <c r="C4191" s="1" t="n">
        <v>46093</v>
      </c>
      <c r="D4191" t="inlineStr">
        <is>
          <t>VÄSTERNORRLANDS LÄN</t>
        </is>
      </c>
      <c r="E4191" t="inlineStr">
        <is>
          <t>ÖRNSKÖLDSVIK</t>
        </is>
      </c>
      <c r="F4191" t="inlineStr">
        <is>
          <t>Holmen skog AB</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63522-2021</t>
        </is>
      </c>
      <c r="B4192" s="1" t="n">
        <v>44508</v>
      </c>
      <c r="C4192" s="1" t="n">
        <v>46093</v>
      </c>
      <c r="D4192" t="inlineStr">
        <is>
          <t>VÄSTERNORRLANDS LÄN</t>
        </is>
      </c>
      <c r="E4192" t="inlineStr">
        <is>
          <t>ÅNGE</t>
        </is>
      </c>
      <c r="F4192" t="inlineStr">
        <is>
          <t>Övriga Aktiebolag</t>
        </is>
      </c>
      <c r="G4192" t="n">
        <v>3.5</v>
      </c>
      <c r="H4192" t="n">
        <v>0</v>
      </c>
      <c r="I4192" t="n">
        <v>0</v>
      </c>
      <c r="J4192" t="n">
        <v>0</v>
      </c>
      <c r="K4192" t="n">
        <v>0</v>
      </c>
      <c r="L4192" t="n">
        <v>0</v>
      </c>
      <c r="M4192" t="n">
        <v>0</v>
      </c>
      <c r="N4192" t="n">
        <v>0</v>
      </c>
      <c r="O4192" t="n">
        <v>0</v>
      </c>
      <c r="P4192" t="n">
        <v>0</v>
      </c>
      <c r="Q4192" t="n">
        <v>0</v>
      </c>
      <c r="R4192" s="2" t="inlineStr"/>
    </row>
    <row r="4193" ht="15" customHeight="1">
      <c r="A4193" t="inlineStr">
        <is>
          <t>A 57287-2022</t>
        </is>
      </c>
      <c r="B4193" s="1" t="n">
        <v>44895.95</v>
      </c>
      <c r="C4193" s="1" t="n">
        <v>46093</v>
      </c>
      <c r="D4193" t="inlineStr">
        <is>
          <t>VÄSTERNORRLANDS LÄN</t>
        </is>
      </c>
      <c r="E4193" t="inlineStr">
        <is>
          <t>ÅNGE</t>
        </is>
      </c>
      <c r="F4193" t="inlineStr">
        <is>
          <t>SCA</t>
        </is>
      </c>
      <c r="G4193" t="n">
        <v>4.8</v>
      </c>
      <c r="H4193" t="n">
        <v>0</v>
      </c>
      <c r="I4193" t="n">
        <v>0</v>
      </c>
      <c r="J4193" t="n">
        <v>0</v>
      </c>
      <c r="K4193" t="n">
        <v>0</v>
      </c>
      <c r="L4193" t="n">
        <v>0</v>
      </c>
      <c r="M4193" t="n">
        <v>0</v>
      </c>
      <c r="N4193" t="n">
        <v>0</v>
      </c>
      <c r="O4193" t="n">
        <v>0</v>
      </c>
      <c r="P4193" t="n">
        <v>0</v>
      </c>
      <c r="Q4193" t="n">
        <v>0</v>
      </c>
      <c r="R4193" s="2" t="inlineStr"/>
    </row>
    <row r="4194" ht="15" customHeight="1">
      <c r="A4194" t="inlineStr">
        <is>
          <t>A 51846-2024</t>
        </is>
      </c>
      <c r="B4194" s="1" t="n">
        <v>45607.52575231482</v>
      </c>
      <c r="C4194" s="1" t="n">
        <v>46093</v>
      </c>
      <c r="D4194" t="inlineStr">
        <is>
          <t>VÄSTERNORRLANDS LÄN</t>
        </is>
      </c>
      <c r="E4194" t="inlineStr">
        <is>
          <t>KRAMFORS</t>
        </is>
      </c>
      <c r="G4194" t="n">
        <v>3.5</v>
      </c>
      <c r="H4194" t="n">
        <v>0</v>
      </c>
      <c r="I4194" t="n">
        <v>0</v>
      </c>
      <c r="J4194" t="n">
        <v>0</v>
      </c>
      <c r="K4194" t="n">
        <v>0</v>
      </c>
      <c r="L4194" t="n">
        <v>0</v>
      </c>
      <c r="M4194" t="n">
        <v>0</v>
      </c>
      <c r="N4194" t="n">
        <v>0</v>
      </c>
      <c r="O4194" t="n">
        <v>0</v>
      </c>
      <c r="P4194" t="n">
        <v>0</v>
      </c>
      <c r="Q4194" t="n">
        <v>0</v>
      </c>
      <c r="R4194" s="2" t="inlineStr"/>
    </row>
    <row r="4195" ht="15" customHeight="1">
      <c r="A4195" t="inlineStr">
        <is>
          <t>A 57291-2022</t>
        </is>
      </c>
      <c r="B4195" s="1" t="n">
        <v>44895</v>
      </c>
      <c r="C4195" s="1" t="n">
        <v>46093</v>
      </c>
      <c r="D4195" t="inlineStr">
        <is>
          <t>VÄSTERNORRLANDS LÄN</t>
        </is>
      </c>
      <c r="E4195" t="inlineStr">
        <is>
          <t>ÅNGE</t>
        </is>
      </c>
      <c r="F4195" t="inlineStr">
        <is>
          <t>SCA</t>
        </is>
      </c>
      <c r="G4195" t="n">
        <v>4</v>
      </c>
      <c r="H4195" t="n">
        <v>0</v>
      </c>
      <c r="I4195" t="n">
        <v>0</v>
      </c>
      <c r="J4195" t="n">
        <v>0</v>
      </c>
      <c r="K4195" t="n">
        <v>0</v>
      </c>
      <c r="L4195" t="n">
        <v>0</v>
      </c>
      <c r="M4195" t="n">
        <v>0</v>
      </c>
      <c r="N4195" t="n">
        <v>0</v>
      </c>
      <c r="O4195" t="n">
        <v>0</v>
      </c>
      <c r="P4195" t="n">
        <v>0</v>
      </c>
      <c r="Q4195" t="n">
        <v>0</v>
      </c>
      <c r="R4195" s="2" t="inlineStr"/>
    </row>
    <row r="4196" ht="15" customHeight="1">
      <c r="A4196" t="inlineStr">
        <is>
          <t>A 44410-2023</t>
        </is>
      </c>
      <c r="B4196" s="1" t="n">
        <v>45188.94677083333</v>
      </c>
      <c r="C4196" s="1" t="n">
        <v>46093</v>
      </c>
      <c r="D4196" t="inlineStr">
        <is>
          <t>VÄSTERNORRLANDS LÄN</t>
        </is>
      </c>
      <c r="E4196" t="inlineStr">
        <is>
          <t>SOLLEFTEÅ</t>
        </is>
      </c>
      <c r="F4196" t="inlineStr">
        <is>
          <t>SCA</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6680-2024</t>
        </is>
      </c>
      <c r="B4197" s="1" t="n">
        <v>45341</v>
      </c>
      <c r="C4197" s="1" t="n">
        <v>46093</v>
      </c>
      <c r="D4197" t="inlineStr">
        <is>
          <t>VÄSTERNORRLANDS LÄN</t>
        </is>
      </c>
      <c r="E4197" t="inlineStr">
        <is>
          <t>ÅNGE</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6685-2024</t>
        </is>
      </c>
      <c r="B4198" s="1" t="n">
        <v>45341</v>
      </c>
      <c r="C4198" s="1" t="n">
        <v>46093</v>
      </c>
      <c r="D4198" t="inlineStr">
        <is>
          <t>VÄSTERNORRLANDS LÄN</t>
        </is>
      </c>
      <c r="E4198" t="inlineStr">
        <is>
          <t>ÅNGE</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6689-2024</t>
        </is>
      </c>
      <c r="B4199" s="1" t="n">
        <v>45341.9259375</v>
      </c>
      <c r="C4199" s="1" t="n">
        <v>46093</v>
      </c>
      <c r="D4199" t="inlineStr">
        <is>
          <t>VÄSTERNORRLANDS LÄN</t>
        </is>
      </c>
      <c r="E4199" t="inlineStr">
        <is>
          <t>ÅNGE</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40828-2022</t>
        </is>
      </c>
      <c r="B4200" s="1" t="n">
        <v>44824.92512731482</v>
      </c>
      <c r="C4200" s="1" t="n">
        <v>46093</v>
      </c>
      <c r="D4200" t="inlineStr">
        <is>
          <t>VÄSTERNORRLANDS LÄN</t>
        </is>
      </c>
      <c r="E4200" t="inlineStr">
        <is>
          <t>SUNDSVALL</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29179-2024</t>
        </is>
      </c>
      <c r="B4201" s="1" t="n">
        <v>45482.54008101852</v>
      </c>
      <c r="C4201" s="1" t="n">
        <v>46093</v>
      </c>
      <c r="D4201" t="inlineStr">
        <is>
          <t>VÄSTERNORRLANDS LÄN</t>
        </is>
      </c>
      <c r="E4201" t="inlineStr">
        <is>
          <t>ÖRNSKÖLDSVIK</t>
        </is>
      </c>
      <c r="F4201" t="inlineStr">
        <is>
          <t>Holmen skog AB</t>
        </is>
      </c>
      <c r="G4201" t="n">
        <v>3.5</v>
      </c>
      <c r="H4201" t="n">
        <v>0</v>
      </c>
      <c r="I4201" t="n">
        <v>0</v>
      </c>
      <c r="J4201" t="n">
        <v>0</v>
      </c>
      <c r="K4201" t="n">
        <v>0</v>
      </c>
      <c r="L4201" t="n">
        <v>0</v>
      </c>
      <c r="M4201" t="n">
        <v>0</v>
      </c>
      <c r="N4201" t="n">
        <v>0</v>
      </c>
      <c r="O4201" t="n">
        <v>0</v>
      </c>
      <c r="P4201" t="n">
        <v>0</v>
      </c>
      <c r="Q4201" t="n">
        <v>0</v>
      </c>
      <c r="R4201" s="2" t="inlineStr"/>
    </row>
    <row r="4202" ht="15" customHeight="1">
      <c r="A4202" t="inlineStr">
        <is>
          <t>A 44498-2023</t>
        </is>
      </c>
      <c r="B4202" s="1" t="n">
        <v>45189.45719907407</v>
      </c>
      <c r="C4202" s="1" t="n">
        <v>46093</v>
      </c>
      <c r="D4202" t="inlineStr">
        <is>
          <t>VÄSTERNORRLANDS LÄN</t>
        </is>
      </c>
      <c r="E4202" t="inlineStr">
        <is>
          <t>ÖRNSKÖLDSVIK</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40945-2025</t>
        </is>
      </c>
      <c r="B4203" s="1" t="n">
        <v>45897.65819444445</v>
      </c>
      <c r="C4203" s="1" t="n">
        <v>46093</v>
      </c>
      <c r="D4203" t="inlineStr">
        <is>
          <t>VÄSTERNORRLANDS LÄN</t>
        </is>
      </c>
      <c r="E4203" t="inlineStr">
        <is>
          <t>ÖRNSKÖLDSVIK</t>
        </is>
      </c>
      <c r="F4203" t="inlineStr">
        <is>
          <t>Holmen skog AB</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40109-2025</t>
        </is>
      </c>
      <c r="B4204" s="1" t="n">
        <v>45894</v>
      </c>
      <c r="C4204" s="1" t="n">
        <v>46093</v>
      </c>
      <c r="D4204" t="inlineStr">
        <is>
          <t>VÄSTERNORRLANDS LÄN</t>
        </is>
      </c>
      <c r="E4204" t="inlineStr">
        <is>
          <t>KRAMFORS</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58276-2021</t>
        </is>
      </c>
      <c r="B4205" s="1" t="n">
        <v>44487.94453703704</v>
      </c>
      <c r="C4205" s="1" t="n">
        <v>46093</v>
      </c>
      <c r="D4205" t="inlineStr">
        <is>
          <t>VÄSTERNORRLANDS LÄN</t>
        </is>
      </c>
      <c r="E4205" t="inlineStr">
        <is>
          <t>SOLLEFTEÅ</t>
        </is>
      </c>
      <c r="F4205" t="inlineStr">
        <is>
          <t>SCA</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41077-2025</t>
        </is>
      </c>
      <c r="B4206" s="1" t="n">
        <v>45898.42746527777</v>
      </c>
      <c r="C4206" s="1" t="n">
        <v>46093</v>
      </c>
      <c r="D4206" t="inlineStr">
        <is>
          <t>VÄSTERNORRLANDS LÄN</t>
        </is>
      </c>
      <c r="E4206" t="inlineStr">
        <is>
          <t>TIMRÅ</t>
        </is>
      </c>
      <c r="F4206" t="inlineStr">
        <is>
          <t>SCA</t>
        </is>
      </c>
      <c r="G4206" t="n">
        <v>3</v>
      </c>
      <c r="H4206" t="n">
        <v>0</v>
      </c>
      <c r="I4206" t="n">
        <v>0</v>
      </c>
      <c r="J4206" t="n">
        <v>0</v>
      </c>
      <c r="K4206" t="n">
        <v>0</v>
      </c>
      <c r="L4206" t="n">
        <v>0</v>
      </c>
      <c r="M4206" t="n">
        <v>0</v>
      </c>
      <c r="N4206" t="n">
        <v>0</v>
      </c>
      <c r="O4206" t="n">
        <v>0</v>
      </c>
      <c r="P4206" t="n">
        <v>0</v>
      </c>
      <c r="Q4206" t="n">
        <v>0</v>
      </c>
      <c r="R4206" s="2" t="inlineStr"/>
      <c r="U4206">
        <f>HYPERLINK("https://klasma.github.io/Logging_2262/knärot/A 41077-2025 karta knärot.png", "A 41077-2025")</f>
        <v/>
      </c>
      <c r="V4206">
        <f>HYPERLINK("https://klasma.github.io/Logging_2262/klagomål/A 41077-2025 FSC-klagomål.docx", "A 41077-2025")</f>
        <v/>
      </c>
      <c r="W4206">
        <f>HYPERLINK("https://klasma.github.io/Logging_2262/klagomålsmail/A 41077-2025 FSC-klagomål mail.docx", "A 41077-2025")</f>
        <v/>
      </c>
      <c r="X4206">
        <f>HYPERLINK("https://klasma.github.io/Logging_2262/tillsyn/A 41077-2025 tillsynsbegäran.docx", "A 41077-2025")</f>
        <v/>
      </c>
      <c r="Y4206">
        <f>HYPERLINK("https://klasma.github.io/Logging_2262/tillsynsmail/A 41077-2025 tillsynsbegäran mail.docx", "A 41077-2025")</f>
        <v/>
      </c>
    </row>
    <row r="4207" ht="15" customHeight="1">
      <c r="A4207" t="inlineStr">
        <is>
          <t>A 49346-2024</t>
        </is>
      </c>
      <c r="B4207" s="1" t="n">
        <v>45595.6062962963</v>
      </c>
      <c r="C4207" s="1" t="n">
        <v>46093</v>
      </c>
      <c r="D4207" t="inlineStr">
        <is>
          <t>VÄSTERNORRLANDS LÄN</t>
        </is>
      </c>
      <c r="E4207" t="inlineStr">
        <is>
          <t>HÄRNÖSAND</t>
        </is>
      </c>
      <c r="G4207" t="n">
        <v>2.7</v>
      </c>
      <c r="H4207" t="n">
        <v>0</v>
      </c>
      <c r="I4207" t="n">
        <v>0</v>
      </c>
      <c r="J4207" t="n">
        <v>0</v>
      </c>
      <c r="K4207" t="n">
        <v>0</v>
      </c>
      <c r="L4207" t="n">
        <v>0</v>
      </c>
      <c r="M4207" t="n">
        <v>0</v>
      </c>
      <c r="N4207" t="n">
        <v>0</v>
      </c>
      <c r="O4207" t="n">
        <v>0</v>
      </c>
      <c r="P4207" t="n">
        <v>0</v>
      </c>
      <c r="Q4207" t="n">
        <v>0</v>
      </c>
      <c r="R4207" s="2" t="inlineStr"/>
    </row>
    <row r="4208" ht="15" customHeight="1">
      <c r="A4208" t="inlineStr">
        <is>
          <t>A 49364-2024</t>
        </is>
      </c>
      <c r="B4208" s="1" t="n">
        <v>45595.63494212963</v>
      </c>
      <c r="C4208" s="1" t="n">
        <v>46093</v>
      </c>
      <c r="D4208" t="inlineStr">
        <is>
          <t>VÄSTERNORRLANDS LÄN</t>
        </is>
      </c>
      <c r="E4208" t="inlineStr">
        <is>
          <t>HÄRNÖSAND</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35488-2024</t>
        </is>
      </c>
      <c r="B4209" s="1" t="n">
        <v>45531</v>
      </c>
      <c r="C4209" s="1" t="n">
        <v>46093</v>
      </c>
      <c r="D4209" t="inlineStr">
        <is>
          <t>VÄSTERNORRLANDS LÄN</t>
        </is>
      </c>
      <c r="E4209" t="inlineStr">
        <is>
          <t>ÅNGE</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37165-2021</t>
        </is>
      </c>
      <c r="B4210" s="1" t="n">
        <v>44396</v>
      </c>
      <c r="C4210" s="1" t="n">
        <v>46093</v>
      </c>
      <c r="D4210" t="inlineStr">
        <is>
          <t>VÄSTERNORRLANDS LÄN</t>
        </is>
      </c>
      <c r="E4210" t="inlineStr">
        <is>
          <t>TIMRÅ</t>
        </is>
      </c>
      <c r="G4210" t="n">
        <v>6.8</v>
      </c>
      <c r="H4210" t="n">
        <v>0</v>
      </c>
      <c r="I4210" t="n">
        <v>0</v>
      </c>
      <c r="J4210" t="n">
        <v>0</v>
      </c>
      <c r="K4210" t="n">
        <v>0</v>
      </c>
      <c r="L4210" t="n">
        <v>0</v>
      </c>
      <c r="M4210" t="n">
        <v>0</v>
      </c>
      <c r="N4210" t="n">
        <v>0</v>
      </c>
      <c r="O4210" t="n">
        <v>0</v>
      </c>
      <c r="P4210" t="n">
        <v>0</v>
      </c>
      <c r="Q4210" t="n">
        <v>0</v>
      </c>
      <c r="R4210" s="2" t="inlineStr"/>
    </row>
    <row r="4211" ht="15" customHeight="1">
      <c r="A4211" t="inlineStr">
        <is>
          <t>A 40752-2025</t>
        </is>
      </c>
      <c r="B4211" s="1" t="n">
        <v>45897.38592592593</v>
      </c>
      <c r="C4211" s="1" t="n">
        <v>46093</v>
      </c>
      <c r="D4211" t="inlineStr">
        <is>
          <t>VÄSTERNORRLANDS LÄN</t>
        </is>
      </c>
      <c r="E4211" t="inlineStr">
        <is>
          <t>SOLLEFTEÅ</t>
        </is>
      </c>
      <c r="G4211" t="n">
        <v>3.9</v>
      </c>
      <c r="H4211" t="n">
        <v>0</v>
      </c>
      <c r="I4211" t="n">
        <v>0</v>
      </c>
      <c r="J4211" t="n">
        <v>0</v>
      </c>
      <c r="K4211" t="n">
        <v>0</v>
      </c>
      <c r="L4211" t="n">
        <v>0</v>
      </c>
      <c r="M4211" t="n">
        <v>0</v>
      </c>
      <c r="N4211" t="n">
        <v>0</v>
      </c>
      <c r="O4211" t="n">
        <v>0</v>
      </c>
      <c r="P4211" t="n">
        <v>0</v>
      </c>
      <c r="Q4211" t="n">
        <v>0</v>
      </c>
      <c r="R4211" s="2" t="inlineStr"/>
    </row>
    <row r="4212" ht="15" customHeight="1">
      <c r="A4212" t="inlineStr">
        <is>
          <t>A 59600-2024</t>
        </is>
      </c>
      <c r="B4212" s="1" t="n">
        <v>45638.71763888889</v>
      </c>
      <c r="C4212" s="1" t="n">
        <v>46093</v>
      </c>
      <c r="D4212" t="inlineStr">
        <is>
          <t>VÄSTERNORRLANDS LÄN</t>
        </is>
      </c>
      <c r="E4212" t="inlineStr">
        <is>
          <t>ÅNGE</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2044-2025</t>
        </is>
      </c>
      <c r="B4213" s="1" t="n">
        <v>45672</v>
      </c>
      <c r="C4213" s="1" t="n">
        <v>46093</v>
      </c>
      <c r="D4213" t="inlineStr">
        <is>
          <t>VÄSTERNORRLANDS LÄN</t>
        </is>
      </c>
      <c r="E4213" t="inlineStr">
        <is>
          <t>SOLLEFTEÅ</t>
        </is>
      </c>
      <c r="F4213" t="inlineStr">
        <is>
          <t>SCA</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40717-2025</t>
        </is>
      </c>
      <c r="B4214" s="1" t="n">
        <v>45897.34467592592</v>
      </c>
      <c r="C4214" s="1" t="n">
        <v>46093</v>
      </c>
      <c r="D4214" t="inlineStr">
        <is>
          <t>VÄSTERNORRLANDS LÄN</t>
        </is>
      </c>
      <c r="E4214" t="inlineStr">
        <is>
          <t>TIMRÅ</t>
        </is>
      </c>
      <c r="F4214" t="inlineStr">
        <is>
          <t>SCA</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40720-2025</t>
        </is>
      </c>
      <c r="B4215" s="1" t="n">
        <v>45897.3449537037</v>
      </c>
      <c r="C4215" s="1" t="n">
        <v>46093</v>
      </c>
      <c r="D4215" t="inlineStr">
        <is>
          <t>VÄSTERNORRLANDS LÄN</t>
        </is>
      </c>
      <c r="E4215" t="inlineStr">
        <is>
          <t>SUNDSVALL</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6066-2024</t>
        </is>
      </c>
      <c r="B4216" s="1" t="n">
        <v>45336.88386574074</v>
      </c>
      <c r="C4216" s="1" t="n">
        <v>46093</v>
      </c>
      <c r="D4216" t="inlineStr">
        <is>
          <t>VÄSTERNORRLANDS LÄN</t>
        </is>
      </c>
      <c r="E4216" t="inlineStr">
        <is>
          <t>SOLLEFTEÅ</t>
        </is>
      </c>
      <c r="F4216" t="inlineStr">
        <is>
          <t>Övriga Aktiebolag</t>
        </is>
      </c>
      <c r="G4216" t="n">
        <v>14.8</v>
      </c>
      <c r="H4216" t="n">
        <v>0</v>
      </c>
      <c r="I4216" t="n">
        <v>0</v>
      </c>
      <c r="J4216" t="n">
        <v>0</v>
      </c>
      <c r="K4216" t="n">
        <v>0</v>
      </c>
      <c r="L4216" t="n">
        <v>0</v>
      </c>
      <c r="M4216" t="n">
        <v>0</v>
      </c>
      <c r="N4216" t="n">
        <v>0</v>
      </c>
      <c r="O4216" t="n">
        <v>0</v>
      </c>
      <c r="P4216" t="n">
        <v>0</v>
      </c>
      <c r="Q4216" t="n">
        <v>0</v>
      </c>
      <c r="R4216" s="2" t="inlineStr"/>
    </row>
    <row r="4217" ht="15" customHeight="1">
      <c r="A4217" t="inlineStr">
        <is>
          <t>A 102-2025</t>
        </is>
      </c>
      <c r="B4217" s="1" t="n">
        <v>45649</v>
      </c>
      <c r="C4217" s="1" t="n">
        <v>46093</v>
      </c>
      <c r="D4217" t="inlineStr">
        <is>
          <t>VÄSTERNORRLANDS LÄN</t>
        </is>
      </c>
      <c r="E4217" t="inlineStr">
        <is>
          <t>ÖRNSKÖLDSVIK</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54091-2024</t>
        </is>
      </c>
      <c r="B4218" s="1" t="n">
        <v>45616.5107175926</v>
      </c>
      <c r="C4218" s="1" t="n">
        <v>46093</v>
      </c>
      <c r="D4218" t="inlineStr">
        <is>
          <t>VÄSTERNORRLANDS LÄN</t>
        </is>
      </c>
      <c r="E4218" t="inlineStr">
        <is>
          <t>HÄRNÖSAND</t>
        </is>
      </c>
      <c r="F4218" t="inlineStr">
        <is>
          <t>SCA</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35593-2024</t>
        </is>
      </c>
      <c r="B4219" s="1" t="n">
        <v>45531</v>
      </c>
      <c r="C4219" s="1" t="n">
        <v>46093</v>
      </c>
      <c r="D4219" t="inlineStr">
        <is>
          <t>VÄSTERNORRLANDS LÄN</t>
        </is>
      </c>
      <c r="E4219" t="inlineStr">
        <is>
          <t>ÅNGE</t>
        </is>
      </c>
      <c r="G4219" t="n">
        <v>17.6</v>
      </c>
      <c r="H4219" t="n">
        <v>0</v>
      </c>
      <c r="I4219" t="n">
        <v>0</v>
      </c>
      <c r="J4219" t="n">
        <v>0</v>
      </c>
      <c r="K4219" t="n">
        <v>0</v>
      </c>
      <c r="L4219" t="n">
        <v>0</v>
      </c>
      <c r="M4219" t="n">
        <v>0</v>
      </c>
      <c r="N4219" t="n">
        <v>0</v>
      </c>
      <c r="O4219" t="n">
        <v>0</v>
      </c>
      <c r="P4219" t="n">
        <v>0</v>
      </c>
      <c r="Q4219" t="n">
        <v>0</v>
      </c>
      <c r="R4219" s="2" t="inlineStr"/>
    </row>
    <row r="4220" ht="15" customHeight="1">
      <c r="A4220" t="inlineStr">
        <is>
          <t>A 40962-2025</t>
        </is>
      </c>
      <c r="B4220" s="1" t="n">
        <v>45897.6983912037</v>
      </c>
      <c r="C4220" s="1" t="n">
        <v>46093</v>
      </c>
      <c r="D4220" t="inlineStr">
        <is>
          <t>VÄSTERNORRLANDS LÄN</t>
        </is>
      </c>
      <c r="E4220" t="inlineStr">
        <is>
          <t>SOLLEFTEÅ</t>
        </is>
      </c>
      <c r="F4220" t="inlineStr">
        <is>
          <t>SCA</t>
        </is>
      </c>
      <c r="G4220" t="n">
        <v>3.2</v>
      </c>
      <c r="H4220" t="n">
        <v>0</v>
      </c>
      <c r="I4220" t="n">
        <v>0</v>
      </c>
      <c r="J4220" t="n">
        <v>0</v>
      </c>
      <c r="K4220" t="n">
        <v>0</v>
      </c>
      <c r="L4220" t="n">
        <v>0</v>
      </c>
      <c r="M4220" t="n">
        <v>0</v>
      </c>
      <c r="N4220" t="n">
        <v>0</v>
      </c>
      <c r="O4220" t="n">
        <v>0</v>
      </c>
      <c r="P4220" t="n">
        <v>0</v>
      </c>
      <c r="Q4220" t="n">
        <v>0</v>
      </c>
      <c r="R4220" s="2" t="inlineStr"/>
    </row>
    <row r="4221" ht="15" customHeight="1">
      <c r="A4221" t="inlineStr">
        <is>
          <t>A 40990-2025</t>
        </is>
      </c>
      <c r="B4221" s="1" t="n">
        <v>45898.32158564815</v>
      </c>
      <c r="C4221" s="1" t="n">
        <v>46093</v>
      </c>
      <c r="D4221" t="inlineStr">
        <is>
          <t>VÄSTERNORRLANDS LÄN</t>
        </is>
      </c>
      <c r="E4221" t="inlineStr">
        <is>
          <t>ÖRNSKÖLDSVIK</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3942-2022</t>
        </is>
      </c>
      <c r="B4222" s="1" t="n">
        <v>44587</v>
      </c>
      <c r="C4222" s="1" t="n">
        <v>46093</v>
      </c>
      <c r="D4222" t="inlineStr">
        <is>
          <t>VÄSTERNORRLANDS LÄN</t>
        </is>
      </c>
      <c r="E4222" t="inlineStr">
        <is>
          <t>ÖRNSKÖLDSVIK</t>
        </is>
      </c>
      <c r="G4222" t="n">
        <v>5</v>
      </c>
      <c r="H4222" t="n">
        <v>0</v>
      </c>
      <c r="I4222" t="n">
        <v>0</v>
      </c>
      <c r="J4222" t="n">
        <v>0</v>
      </c>
      <c r="K4222" t="n">
        <v>0</v>
      </c>
      <c r="L4222" t="n">
        <v>0</v>
      </c>
      <c r="M4222" t="n">
        <v>0</v>
      </c>
      <c r="N4222" t="n">
        <v>0</v>
      </c>
      <c r="O4222" t="n">
        <v>0</v>
      </c>
      <c r="P4222" t="n">
        <v>0</v>
      </c>
      <c r="Q4222" t="n">
        <v>0</v>
      </c>
      <c r="R4222" s="2" t="inlineStr"/>
    </row>
    <row r="4223" ht="15" customHeight="1">
      <c r="A4223" t="inlineStr">
        <is>
          <t>A 40997-2025</t>
        </is>
      </c>
      <c r="B4223" s="1" t="n">
        <v>45898.34453703704</v>
      </c>
      <c r="C4223" s="1" t="n">
        <v>46093</v>
      </c>
      <c r="D4223" t="inlineStr">
        <is>
          <t>VÄSTERNORRLANDS LÄN</t>
        </is>
      </c>
      <c r="E4223" t="inlineStr">
        <is>
          <t>SOLLEFTEÅ</t>
        </is>
      </c>
      <c r="F4223" t="inlineStr">
        <is>
          <t>SCA</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41001-2025</t>
        </is>
      </c>
      <c r="B4224" s="1" t="n">
        <v>45898</v>
      </c>
      <c r="C4224" s="1" t="n">
        <v>46093</v>
      </c>
      <c r="D4224" t="inlineStr">
        <is>
          <t>VÄSTERNORRLANDS LÄN</t>
        </is>
      </c>
      <c r="E4224" t="inlineStr">
        <is>
          <t>SOLLEFTEÅ</t>
        </is>
      </c>
      <c r="F4224" t="inlineStr">
        <is>
          <t>SCA</t>
        </is>
      </c>
      <c r="G4224" t="n">
        <v>18.3</v>
      </c>
      <c r="H4224" t="n">
        <v>0</v>
      </c>
      <c r="I4224" t="n">
        <v>0</v>
      </c>
      <c r="J4224" t="n">
        <v>0</v>
      </c>
      <c r="K4224" t="n">
        <v>0</v>
      </c>
      <c r="L4224" t="n">
        <v>0</v>
      </c>
      <c r="M4224" t="n">
        <v>0</v>
      </c>
      <c r="N4224" t="n">
        <v>0</v>
      </c>
      <c r="O4224" t="n">
        <v>0</v>
      </c>
      <c r="P4224" t="n">
        <v>0</v>
      </c>
      <c r="Q4224" t="n">
        <v>0</v>
      </c>
      <c r="R4224" s="2" t="inlineStr"/>
    </row>
    <row r="4225" ht="15" customHeight="1">
      <c r="A4225" t="inlineStr">
        <is>
          <t>A 41005-2025</t>
        </is>
      </c>
      <c r="B4225" s="1" t="n">
        <v>45898.34857638889</v>
      </c>
      <c r="C4225" s="1" t="n">
        <v>46093</v>
      </c>
      <c r="D4225" t="inlineStr">
        <is>
          <t>VÄSTERNORRLANDS LÄN</t>
        </is>
      </c>
      <c r="E4225" t="inlineStr">
        <is>
          <t>ÖRNSKÖLDSVIK</t>
        </is>
      </c>
      <c r="G4225" t="n">
        <v>3.2</v>
      </c>
      <c r="H4225" t="n">
        <v>0</v>
      </c>
      <c r="I4225" t="n">
        <v>0</v>
      </c>
      <c r="J4225" t="n">
        <v>0</v>
      </c>
      <c r="K4225" t="n">
        <v>0</v>
      </c>
      <c r="L4225" t="n">
        <v>0</v>
      </c>
      <c r="M4225" t="n">
        <v>0</v>
      </c>
      <c r="N4225" t="n">
        <v>0</v>
      </c>
      <c r="O4225" t="n">
        <v>0</v>
      </c>
      <c r="P4225" t="n">
        <v>0</v>
      </c>
      <c r="Q4225" t="n">
        <v>0</v>
      </c>
      <c r="R4225" s="2" t="inlineStr"/>
    </row>
    <row r="4226" ht="15" customHeight="1">
      <c r="A4226" t="inlineStr">
        <is>
          <t>A 41012-2025</t>
        </is>
      </c>
      <c r="B4226" s="1" t="n">
        <v>45898.35673611111</v>
      </c>
      <c r="C4226" s="1" t="n">
        <v>46093</v>
      </c>
      <c r="D4226" t="inlineStr">
        <is>
          <t>VÄSTERNORRLANDS LÄN</t>
        </is>
      </c>
      <c r="E4226" t="inlineStr">
        <is>
          <t>KRAMFORS</t>
        </is>
      </c>
      <c r="G4226" t="n">
        <v>2.7</v>
      </c>
      <c r="H4226" t="n">
        <v>0</v>
      </c>
      <c r="I4226" t="n">
        <v>0</v>
      </c>
      <c r="J4226" t="n">
        <v>0</v>
      </c>
      <c r="K4226" t="n">
        <v>0</v>
      </c>
      <c r="L4226" t="n">
        <v>0</v>
      </c>
      <c r="M4226" t="n">
        <v>0</v>
      </c>
      <c r="N4226" t="n">
        <v>0</v>
      </c>
      <c r="O4226" t="n">
        <v>0</v>
      </c>
      <c r="P4226" t="n">
        <v>0</v>
      </c>
      <c r="Q4226" t="n">
        <v>0</v>
      </c>
      <c r="R4226" s="2" t="inlineStr"/>
    </row>
    <row r="4227" ht="15" customHeight="1">
      <c r="A4227" t="inlineStr">
        <is>
          <t>A 41128-2025</t>
        </is>
      </c>
      <c r="B4227" s="1" t="n">
        <v>45898.47915509259</v>
      </c>
      <c r="C4227" s="1" t="n">
        <v>46093</v>
      </c>
      <c r="D4227" t="inlineStr">
        <is>
          <t>VÄSTERNORRLANDS LÄN</t>
        </is>
      </c>
      <c r="E4227" t="inlineStr">
        <is>
          <t>ÖRNSKÖLDSVIK</t>
        </is>
      </c>
      <c r="F4227" t="inlineStr">
        <is>
          <t>Holmen skog AB</t>
        </is>
      </c>
      <c r="G4227" t="n">
        <v>2.6</v>
      </c>
      <c r="H4227" t="n">
        <v>0</v>
      </c>
      <c r="I4227" t="n">
        <v>0</v>
      </c>
      <c r="J4227" t="n">
        <v>0</v>
      </c>
      <c r="K4227" t="n">
        <v>0</v>
      </c>
      <c r="L4227" t="n">
        <v>0</v>
      </c>
      <c r="M4227" t="n">
        <v>0</v>
      </c>
      <c r="N4227" t="n">
        <v>0</v>
      </c>
      <c r="O4227" t="n">
        <v>0</v>
      </c>
      <c r="P4227" t="n">
        <v>0</v>
      </c>
      <c r="Q4227" t="n">
        <v>0</v>
      </c>
      <c r="R4227" s="2" t="inlineStr"/>
    </row>
    <row r="4228" ht="15" customHeight="1">
      <c r="A4228" t="inlineStr">
        <is>
          <t>A 35254-2023</t>
        </is>
      </c>
      <c r="B4228" s="1" t="n">
        <v>45145</v>
      </c>
      <c r="C4228" s="1" t="n">
        <v>46093</v>
      </c>
      <c r="D4228" t="inlineStr">
        <is>
          <t>VÄSTERNORRLANDS LÄN</t>
        </is>
      </c>
      <c r="E4228" t="inlineStr">
        <is>
          <t>SUNDSVALL</t>
        </is>
      </c>
      <c r="F4228" t="inlineStr">
        <is>
          <t>SCA</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27854-2024</t>
        </is>
      </c>
      <c r="B4229" s="1" t="n">
        <v>45475.65396990741</v>
      </c>
      <c r="C4229" s="1" t="n">
        <v>46093</v>
      </c>
      <c r="D4229" t="inlineStr">
        <is>
          <t>VÄSTERNORRLANDS LÄN</t>
        </is>
      </c>
      <c r="E4229" t="inlineStr">
        <is>
          <t>ÖRNSKÖLDSVIK</t>
        </is>
      </c>
      <c r="F4229" t="inlineStr">
        <is>
          <t>Holmen skog AB</t>
        </is>
      </c>
      <c r="G4229" t="n">
        <v>3.1</v>
      </c>
      <c r="H4229" t="n">
        <v>0</v>
      </c>
      <c r="I4229" t="n">
        <v>0</v>
      </c>
      <c r="J4229" t="n">
        <v>0</v>
      </c>
      <c r="K4229" t="n">
        <v>0</v>
      </c>
      <c r="L4229" t="n">
        <v>0</v>
      </c>
      <c r="M4229" t="n">
        <v>0</v>
      </c>
      <c r="N4229" t="n">
        <v>0</v>
      </c>
      <c r="O4229" t="n">
        <v>0</v>
      </c>
      <c r="P4229" t="n">
        <v>0</v>
      </c>
      <c r="Q4229" t="n">
        <v>0</v>
      </c>
      <c r="R4229" s="2" t="inlineStr"/>
    </row>
    <row r="4230" ht="15" customHeight="1">
      <c r="A4230" t="inlineStr">
        <is>
          <t>A 41144-2025</t>
        </is>
      </c>
      <c r="B4230" s="1" t="n">
        <v>45898</v>
      </c>
      <c r="C4230" s="1" t="n">
        <v>46093</v>
      </c>
      <c r="D4230" t="inlineStr">
        <is>
          <t>VÄSTERNORRLANDS LÄN</t>
        </is>
      </c>
      <c r="E4230" t="inlineStr">
        <is>
          <t>SUNDSVALL</t>
        </is>
      </c>
      <c r="G4230" t="n">
        <v>12.3</v>
      </c>
      <c r="H4230" t="n">
        <v>0</v>
      </c>
      <c r="I4230" t="n">
        <v>0</v>
      </c>
      <c r="J4230" t="n">
        <v>0</v>
      </c>
      <c r="K4230" t="n">
        <v>0</v>
      </c>
      <c r="L4230" t="n">
        <v>0</v>
      </c>
      <c r="M4230" t="n">
        <v>0</v>
      </c>
      <c r="N4230" t="n">
        <v>0</v>
      </c>
      <c r="O4230" t="n">
        <v>0</v>
      </c>
      <c r="P4230" t="n">
        <v>0</v>
      </c>
      <c r="Q4230" t="n">
        <v>0</v>
      </c>
      <c r="R4230" s="2" t="inlineStr"/>
    </row>
    <row r="4231" ht="15" customHeight="1">
      <c r="A4231" t="inlineStr">
        <is>
          <t>A 25213-2025</t>
        </is>
      </c>
      <c r="B4231" s="1" t="n">
        <v>45800</v>
      </c>
      <c r="C4231" s="1" t="n">
        <v>46093</v>
      </c>
      <c r="D4231" t="inlineStr">
        <is>
          <t>VÄSTERNORRLANDS LÄN</t>
        </is>
      </c>
      <c r="E4231" t="inlineStr">
        <is>
          <t>ÖRNSKÖLDSVIK</t>
        </is>
      </c>
      <c r="F4231" t="inlineStr">
        <is>
          <t>Holmen skog AB</t>
        </is>
      </c>
      <c r="G4231" t="n">
        <v>5.3</v>
      </c>
      <c r="H4231" t="n">
        <v>0</v>
      </c>
      <c r="I4231" t="n">
        <v>0</v>
      </c>
      <c r="J4231" t="n">
        <v>0</v>
      </c>
      <c r="K4231" t="n">
        <v>0</v>
      </c>
      <c r="L4231" t="n">
        <v>0</v>
      </c>
      <c r="M4231" t="n">
        <v>0</v>
      </c>
      <c r="N4231" t="n">
        <v>0</v>
      </c>
      <c r="O4231" t="n">
        <v>0</v>
      </c>
      <c r="P4231" t="n">
        <v>0</v>
      </c>
      <c r="Q4231" t="n">
        <v>0</v>
      </c>
      <c r="R4231" s="2" t="inlineStr"/>
    </row>
    <row r="4232" ht="15" customHeight="1">
      <c r="A4232" t="inlineStr">
        <is>
          <t>A 31451-2025</t>
        </is>
      </c>
      <c r="B4232" s="1" t="n">
        <v>45833.53167824074</v>
      </c>
      <c r="C4232" s="1" t="n">
        <v>46093</v>
      </c>
      <c r="D4232" t="inlineStr">
        <is>
          <t>VÄSTERNORRLANDS LÄN</t>
        </is>
      </c>
      <c r="E4232" t="inlineStr">
        <is>
          <t>SOLLEFTEÅ</t>
        </is>
      </c>
      <c r="G4232" t="n">
        <v>4.8</v>
      </c>
      <c r="H4232" t="n">
        <v>0</v>
      </c>
      <c r="I4232" t="n">
        <v>0</v>
      </c>
      <c r="J4232" t="n">
        <v>0</v>
      </c>
      <c r="K4232" t="n">
        <v>0</v>
      </c>
      <c r="L4232" t="n">
        <v>0</v>
      </c>
      <c r="M4232" t="n">
        <v>0</v>
      </c>
      <c r="N4232" t="n">
        <v>0</v>
      </c>
      <c r="O4232" t="n">
        <v>0</v>
      </c>
      <c r="P4232" t="n">
        <v>0</v>
      </c>
      <c r="Q4232" t="n">
        <v>0</v>
      </c>
      <c r="R4232" s="2" t="inlineStr"/>
    </row>
    <row r="4233" ht="15" customHeight="1">
      <c r="A4233" t="inlineStr">
        <is>
          <t>A 9561-2024</t>
        </is>
      </c>
      <c r="B4233" s="1" t="n">
        <v>45360</v>
      </c>
      <c r="C4233" s="1" t="n">
        <v>46093</v>
      </c>
      <c r="D4233" t="inlineStr">
        <is>
          <t>VÄSTERNORRLANDS LÄN</t>
        </is>
      </c>
      <c r="E4233" t="inlineStr">
        <is>
          <t>SUNDSVALL</t>
        </is>
      </c>
      <c r="F4233" t="inlineStr">
        <is>
          <t>SCA</t>
        </is>
      </c>
      <c r="G4233" t="n">
        <v>2.6</v>
      </c>
      <c r="H4233" t="n">
        <v>0</v>
      </c>
      <c r="I4233" t="n">
        <v>0</v>
      </c>
      <c r="J4233" t="n">
        <v>0</v>
      </c>
      <c r="K4233" t="n">
        <v>0</v>
      </c>
      <c r="L4233" t="n">
        <v>0</v>
      </c>
      <c r="M4233" t="n">
        <v>0</v>
      </c>
      <c r="N4233" t="n">
        <v>0</v>
      </c>
      <c r="O4233" t="n">
        <v>0</v>
      </c>
      <c r="P4233" t="n">
        <v>0</v>
      </c>
      <c r="Q4233" t="n">
        <v>0</v>
      </c>
      <c r="R4233" s="2" t="inlineStr"/>
    </row>
    <row r="4234" ht="15" customHeight="1">
      <c r="A4234" t="inlineStr">
        <is>
          <t>A 40988-2025</t>
        </is>
      </c>
      <c r="B4234" s="1" t="n">
        <v>45898.31621527778</v>
      </c>
      <c r="C4234" s="1" t="n">
        <v>46093</v>
      </c>
      <c r="D4234" t="inlineStr">
        <is>
          <t>VÄSTERNORRLANDS LÄN</t>
        </is>
      </c>
      <c r="E4234" t="inlineStr">
        <is>
          <t>SUNDSVALL</t>
        </is>
      </c>
      <c r="F4234" t="inlineStr">
        <is>
          <t>Holmen skog AB</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51084-2024</t>
        </is>
      </c>
      <c r="B4235" s="1" t="n">
        <v>45603.46280092592</v>
      </c>
      <c r="C4235" s="1" t="n">
        <v>46093</v>
      </c>
      <c r="D4235" t="inlineStr">
        <is>
          <t>VÄSTERNORRLANDS LÄN</t>
        </is>
      </c>
      <c r="E4235" t="inlineStr">
        <is>
          <t>SUNDSVALL</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54560-2022</t>
        </is>
      </c>
      <c r="B4236" s="1" t="n">
        <v>44882</v>
      </c>
      <c r="C4236" s="1" t="n">
        <v>46093</v>
      </c>
      <c r="D4236" t="inlineStr">
        <is>
          <t>VÄSTERNORRLANDS LÄN</t>
        </is>
      </c>
      <c r="E4236" t="inlineStr">
        <is>
          <t>SUNDSVALL</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41025-2025</t>
        </is>
      </c>
      <c r="B4237" s="1" t="n">
        <v>45897</v>
      </c>
      <c r="C4237" s="1" t="n">
        <v>46093</v>
      </c>
      <c r="D4237" t="inlineStr">
        <is>
          <t>VÄSTERNORRLANDS LÄN</t>
        </is>
      </c>
      <c r="E4237" t="inlineStr">
        <is>
          <t>SOLLEFTEÅ</t>
        </is>
      </c>
      <c r="G4237" t="n">
        <v>9.1</v>
      </c>
      <c r="H4237" t="n">
        <v>0</v>
      </c>
      <c r="I4237" t="n">
        <v>0</v>
      </c>
      <c r="J4237" t="n">
        <v>0</v>
      </c>
      <c r="K4237" t="n">
        <v>0</v>
      </c>
      <c r="L4237" t="n">
        <v>0</v>
      </c>
      <c r="M4237" t="n">
        <v>0</v>
      </c>
      <c r="N4237" t="n">
        <v>0</v>
      </c>
      <c r="O4237" t="n">
        <v>0</v>
      </c>
      <c r="P4237" t="n">
        <v>0</v>
      </c>
      <c r="Q4237" t="n">
        <v>0</v>
      </c>
      <c r="R4237" s="2" t="inlineStr"/>
    </row>
    <row r="4238" ht="15" customHeight="1">
      <c r="A4238" t="inlineStr">
        <is>
          <t>A 40721-2025</t>
        </is>
      </c>
      <c r="B4238" s="1" t="n">
        <v>45897.34497685185</v>
      </c>
      <c r="C4238" s="1" t="n">
        <v>46093</v>
      </c>
      <c r="D4238" t="inlineStr">
        <is>
          <t>VÄSTERNORRLANDS LÄN</t>
        </is>
      </c>
      <c r="E4238" t="inlineStr">
        <is>
          <t>SUNDSVALL</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3133-2024</t>
        </is>
      </c>
      <c r="B4239" s="1" t="n">
        <v>45316.55885416667</v>
      </c>
      <c r="C4239" s="1" t="n">
        <v>46093</v>
      </c>
      <c r="D4239" t="inlineStr">
        <is>
          <t>VÄSTERNORRLANDS LÄN</t>
        </is>
      </c>
      <c r="E4239" t="inlineStr">
        <is>
          <t>ÅNGE</t>
        </is>
      </c>
      <c r="F4239" t="inlineStr">
        <is>
          <t>Holmen skog AB</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282-2023</t>
        </is>
      </c>
      <c r="B4240" s="1" t="n">
        <v>44928</v>
      </c>
      <c r="C4240" s="1" t="n">
        <v>46093</v>
      </c>
      <c r="D4240" t="inlineStr">
        <is>
          <t>VÄSTERNORRLANDS LÄN</t>
        </is>
      </c>
      <c r="E4240" t="inlineStr">
        <is>
          <t>SOLLEFTEÅ</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34947-2025</t>
        </is>
      </c>
      <c r="B4241" s="1" t="n">
        <v>45849.59126157407</v>
      </c>
      <c r="C4241" s="1" t="n">
        <v>46093</v>
      </c>
      <c r="D4241" t="inlineStr">
        <is>
          <t>VÄSTERNORRLANDS LÄN</t>
        </is>
      </c>
      <c r="E4241" t="inlineStr">
        <is>
          <t>ÖRNSKÖLDSVIK</t>
        </is>
      </c>
      <c r="F4241" t="inlineStr">
        <is>
          <t>Holmen skog AB</t>
        </is>
      </c>
      <c r="G4241" t="n">
        <v>4.8</v>
      </c>
      <c r="H4241" t="n">
        <v>0</v>
      </c>
      <c r="I4241" t="n">
        <v>0</v>
      </c>
      <c r="J4241" t="n">
        <v>0</v>
      </c>
      <c r="K4241" t="n">
        <v>0</v>
      </c>
      <c r="L4241" t="n">
        <v>0</v>
      </c>
      <c r="M4241" t="n">
        <v>0</v>
      </c>
      <c r="N4241" t="n">
        <v>0</v>
      </c>
      <c r="O4241" t="n">
        <v>0</v>
      </c>
      <c r="P4241" t="n">
        <v>0</v>
      </c>
      <c r="Q4241" t="n">
        <v>0</v>
      </c>
      <c r="R4241" s="2" t="inlineStr"/>
    </row>
    <row r="4242" ht="15" customHeight="1">
      <c r="A4242" t="inlineStr">
        <is>
          <t>A 41775-2025</t>
        </is>
      </c>
      <c r="B4242" s="1" t="n">
        <v>45902.56412037037</v>
      </c>
      <c r="C4242" s="1" t="n">
        <v>46093</v>
      </c>
      <c r="D4242" t="inlineStr">
        <is>
          <t>VÄSTERNORRLANDS LÄN</t>
        </is>
      </c>
      <c r="E4242" t="inlineStr">
        <is>
          <t>ÖRNSKÖLDSVIK</t>
        </is>
      </c>
      <c r="F4242" t="inlineStr">
        <is>
          <t>Holmen skog AB</t>
        </is>
      </c>
      <c r="G4242" t="n">
        <v>7.5</v>
      </c>
      <c r="H4242" t="n">
        <v>0</v>
      </c>
      <c r="I4242" t="n">
        <v>0</v>
      </c>
      <c r="J4242" t="n">
        <v>0</v>
      </c>
      <c r="K4242" t="n">
        <v>0</v>
      </c>
      <c r="L4242" t="n">
        <v>0</v>
      </c>
      <c r="M4242" t="n">
        <v>0</v>
      </c>
      <c r="N4242" t="n">
        <v>0</v>
      </c>
      <c r="O4242" t="n">
        <v>0</v>
      </c>
      <c r="P4242" t="n">
        <v>0</v>
      </c>
      <c r="Q4242" t="n">
        <v>0</v>
      </c>
      <c r="R4242" s="2" t="inlineStr"/>
    </row>
    <row r="4243" ht="15" customHeight="1">
      <c r="A4243" t="inlineStr">
        <is>
          <t>A 23514-2023</t>
        </is>
      </c>
      <c r="B4243" s="1" t="n">
        <v>45076</v>
      </c>
      <c r="C4243" s="1" t="n">
        <v>46093</v>
      </c>
      <c r="D4243" t="inlineStr">
        <is>
          <t>VÄSTERNORRLANDS LÄN</t>
        </is>
      </c>
      <c r="E4243" t="inlineStr">
        <is>
          <t>SUNDSVALL</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46212-2023</t>
        </is>
      </c>
      <c r="B4244" s="1" t="n">
        <v>45190</v>
      </c>
      <c r="C4244" s="1" t="n">
        <v>46093</v>
      </c>
      <c r="D4244" t="inlineStr">
        <is>
          <t>VÄSTERNORRLANDS LÄN</t>
        </is>
      </c>
      <c r="E4244" t="inlineStr">
        <is>
          <t>SOLLEFTEÅ</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51967-2022</t>
        </is>
      </c>
      <c r="B4245" s="1" t="n">
        <v>44872.68481481481</v>
      </c>
      <c r="C4245" s="1" t="n">
        <v>46093</v>
      </c>
      <c r="D4245" t="inlineStr">
        <is>
          <t>VÄSTERNORRLANDS LÄN</t>
        </is>
      </c>
      <c r="E4245" t="inlineStr">
        <is>
          <t>ÖRNSKÖLDSVIK</t>
        </is>
      </c>
      <c r="G4245" t="n">
        <v>3.1</v>
      </c>
      <c r="H4245" t="n">
        <v>0</v>
      </c>
      <c r="I4245" t="n">
        <v>0</v>
      </c>
      <c r="J4245" t="n">
        <v>0</v>
      </c>
      <c r="K4245" t="n">
        <v>0</v>
      </c>
      <c r="L4245" t="n">
        <v>0</v>
      </c>
      <c r="M4245" t="n">
        <v>0</v>
      </c>
      <c r="N4245" t="n">
        <v>0</v>
      </c>
      <c r="O4245" t="n">
        <v>0</v>
      </c>
      <c r="P4245" t="n">
        <v>0</v>
      </c>
      <c r="Q4245" t="n">
        <v>0</v>
      </c>
      <c r="R4245" s="2" t="inlineStr"/>
    </row>
    <row r="4246" ht="15" customHeight="1">
      <c r="A4246" t="inlineStr">
        <is>
          <t>A 27468-2024</t>
        </is>
      </c>
      <c r="B4246" s="1" t="n">
        <v>45474</v>
      </c>
      <c r="C4246" s="1" t="n">
        <v>46093</v>
      </c>
      <c r="D4246" t="inlineStr">
        <is>
          <t>VÄSTERNORRLANDS LÄN</t>
        </is>
      </c>
      <c r="E4246" t="inlineStr">
        <is>
          <t>ÅNGE</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46902-2023</t>
        </is>
      </c>
      <c r="B4247" s="1" t="n">
        <v>45201</v>
      </c>
      <c r="C4247" s="1" t="n">
        <v>46093</v>
      </c>
      <c r="D4247" t="inlineStr">
        <is>
          <t>VÄSTERNORRLANDS LÄN</t>
        </is>
      </c>
      <c r="E4247" t="inlineStr">
        <is>
          <t>SUNDSVALL</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17210-2022</t>
        </is>
      </c>
      <c r="B4248" s="1" t="n">
        <v>44677.92701388889</v>
      </c>
      <c r="C4248" s="1" t="n">
        <v>46093</v>
      </c>
      <c r="D4248" t="inlineStr">
        <is>
          <t>VÄSTERNORRLANDS LÄN</t>
        </is>
      </c>
      <c r="E4248" t="inlineStr">
        <is>
          <t>ÅNGE</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183-2022</t>
        </is>
      </c>
      <c r="B4249" s="1" t="n">
        <v>44564</v>
      </c>
      <c r="C4249" s="1" t="n">
        <v>46093</v>
      </c>
      <c r="D4249" t="inlineStr">
        <is>
          <t>VÄSTERNORRLANDS LÄN</t>
        </is>
      </c>
      <c r="E4249" t="inlineStr">
        <is>
          <t>KRAMFORS</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41564-2025</t>
        </is>
      </c>
      <c r="B4250" s="1" t="n">
        <v>45901.60050925926</v>
      </c>
      <c r="C4250" s="1" t="n">
        <v>46093</v>
      </c>
      <c r="D4250" t="inlineStr">
        <is>
          <t>VÄSTERNORRLANDS LÄN</t>
        </is>
      </c>
      <c r="E4250" t="inlineStr">
        <is>
          <t>ÖRNSKÖLDSVIK</t>
        </is>
      </c>
      <c r="F4250" t="inlineStr">
        <is>
          <t>Holmen skog AB</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227-2022</t>
        </is>
      </c>
      <c r="B4251" s="1" t="n">
        <v>44564</v>
      </c>
      <c r="C4251" s="1" t="n">
        <v>46093</v>
      </c>
      <c r="D4251" t="inlineStr">
        <is>
          <t>VÄSTERNORRLANDS LÄN</t>
        </is>
      </c>
      <c r="E4251" t="inlineStr">
        <is>
          <t>SUNDSVALL</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18239-2024</t>
        </is>
      </c>
      <c r="B4252" s="1" t="n">
        <v>45420.96635416667</v>
      </c>
      <c r="C4252" s="1" t="n">
        <v>46093</v>
      </c>
      <c r="D4252" t="inlineStr">
        <is>
          <t>VÄSTERNORRLANDS LÄN</t>
        </is>
      </c>
      <c r="E4252" t="inlineStr">
        <is>
          <t>ÖRNSKÖLDSVIK</t>
        </is>
      </c>
      <c r="F4252" t="inlineStr">
        <is>
          <t>SCA</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41696-2025</t>
        </is>
      </c>
      <c r="B4253" s="1" t="n">
        <v>45902.40671296296</v>
      </c>
      <c r="C4253" s="1" t="n">
        <v>46093</v>
      </c>
      <c r="D4253" t="inlineStr">
        <is>
          <t>VÄSTERNORRLANDS LÄN</t>
        </is>
      </c>
      <c r="E4253" t="inlineStr">
        <is>
          <t>SUNDSVALL</t>
        </is>
      </c>
      <c r="F4253" t="inlineStr">
        <is>
          <t>SCA</t>
        </is>
      </c>
      <c r="G4253" t="n">
        <v>4.6</v>
      </c>
      <c r="H4253" t="n">
        <v>0</v>
      </c>
      <c r="I4253" t="n">
        <v>0</v>
      </c>
      <c r="J4253" t="n">
        <v>0</v>
      </c>
      <c r="K4253" t="n">
        <v>0</v>
      </c>
      <c r="L4253" t="n">
        <v>0</v>
      </c>
      <c r="M4253" t="n">
        <v>0</v>
      </c>
      <c r="N4253" t="n">
        <v>0</v>
      </c>
      <c r="O4253" t="n">
        <v>0</v>
      </c>
      <c r="P4253" t="n">
        <v>0</v>
      </c>
      <c r="Q4253" t="n">
        <v>0</v>
      </c>
      <c r="R4253" s="2" t="inlineStr"/>
    </row>
    <row r="4254" ht="15" customHeight="1">
      <c r="A4254" t="inlineStr">
        <is>
          <t>A 41494-2025</t>
        </is>
      </c>
      <c r="B4254" s="1" t="n">
        <v>45901</v>
      </c>
      <c r="C4254" s="1" t="n">
        <v>46093</v>
      </c>
      <c r="D4254" t="inlineStr">
        <is>
          <t>VÄSTERNORRLANDS LÄN</t>
        </is>
      </c>
      <c r="E4254" t="inlineStr">
        <is>
          <t>SOLLEFTEÅ</t>
        </is>
      </c>
      <c r="F4254" t="inlineStr">
        <is>
          <t>Holmen skog AB</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35926-2025</t>
        </is>
      </c>
      <c r="B4255" s="1" t="n">
        <v>45862.59415509259</v>
      </c>
      <c r="C4255" s="1" t="n">
        <v>46093</v>
      </c>
      <c r="D4255" t="inlineStr">
        <is>
          <t>VÄSTERNORRLANDS LÄN</t>
        </is>
      </c>
      <c r="E4255" t="inlineStr">
        <is>
          <t>SUNDSVALL</t>
        </is>
      </c>
      <c r="F4255" t="inlineStr">
        <is>
          <t>SCA</t>
        </is>
      </c>
      <c r="G4255" t="n">
        <v>4.6</v>
      </c>
      <c r="H4255" t="n">
        <v>0</v>
      </c>
      <c r="I4255" t="n">
        <v>0</v>
      </c>
      <c r="J4255" t="n">
        <v>0</v>
      </c>
      <c r="K4255" t="n">
        <v>0</v>
      </c>
      <c r="L4255" t="n">
        <v>0</v>
      </c>
      <c r="M4255" t="n">
        <v>0</v>
      </c>
      <c r="N4255" t="n">
        <v>0</v>
      </c>
      <c r="O4255" t="n">
        <v>0</v>
      </c>
      <c r="P4255" t="n">
        <v>0</v>
      </c>
      <c r="Q4255" t="n">
        <v>0</v>
      </c>
      <c r="R4255" s="2" t="inlineStr"/>
    </row>
    <row r="4256" ht="15" customHeight="1">
      <c r="A4256" t="inlineStr">
        <is>
          <t>A 35927-2025</t>
        </is>
      </c>
      <c r="B4256" s="1" t="n">
        <v>45862.5943287037</v>
      </c>
      <c r="C4256" s="1" t="n">
        <v>46093</v>
      </c>
      <c r="D4256" t="inlineStr">
        <is>
          <t>VÄSTERNORRLANDS LÄN</t>
        </is>
      </c>
      <c r="E4256" t="inlineStr">
        <is>
          <t>SUNDSVALL</t>
        </is>
      </c>
      <c r="F4256" t="inlineStr">
        <is>
          <t>SCA</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41315-2025</t>
        </is>
      </c>
      <c r="B4257" s="1" t="n">
        <v>45898.82703703704</v>
      </c>
      <c r="C4257" s="1" t="n">
        <v>46093</v>
      </c>
      <c r="D4257" t="inlineStr">
        <is>
          <t>VÄSTERNORRLANDS LÄN</t>
        </is>
      </c>
      <c r="E4257" t="inlineStr">
        <is>
          <t>KRAMFORS</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41317-2025</t>
        </is>
      </c>
      <c r="B4258" s="1" t="n">
        <v>45898.82773148148</v>
      </c>
      <c r="C4258" s="1" t="n">
        <v>46093</v>
      </c>
      <c r="D4258" t="inlineStr">
        <is>
          <t>VÄSTERNORRLANDS LÄN</t>
        </is>
      </c>
      <c r="E4258" t="inlineStr">
        <is>
          <t>KRAMFORS</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53949-2022</t>
        </is>
      </c>
      <c r="B4259" s="1" t="n">
        <v>44880</v>
      </c>
      <c r="C4259" s="1" t="n">
        <v>46093</v>
      </c>
      <c r="D4259" t="inlineStr">
        <is>
          <t>VÄSTERNORRLANDS LÄN</t>
        </is>
      </c>
      <c r="E4259" t="inlineStr">
        <is>
          <t>SUNDSVALL</t>
        </is>
      </c>
      <c r="F4259" t="inlineStr">
        <is>
          <t>SCA</t>
        </is>
      </c>
      <c r="G4259" t="n">
        <v>5.9</v>
      </c>
      <c r="H4259" t="n">
        <v>0</v>
      </c>
      <c r="I4259" t="n">
        <v>0</v>
      </c>
      <c r="J4259" t="n">
        <v>0</v>
      </c>
      <c r="K4259" t="n">
        <v>0</v>
      </c>
      <c r="L4259" t="n">
        <v>0</v>
      </c>
      <c r="M4259" t="n">
        <v>0</v>
      </c>
      <c r="N4259" t="n">
        <v>0</v>
      </c>
      <c r="O4259" t="n">
        <v>0</v>
      </c>
      <c r="P4259" t="n">
        <v>0</v>
      </c>
      <c r="Q4259" t="n">
        <v>0</v>
      </c>
      <c r="R4259" s="2" t="inlineStr"/>
    </row>
    <row r="4260" ht="15" customHeight="1">
      <c r="A4260" t="inlineStr">
        <is>
          <t>A 53957-2022</t>
        </is>
      </c>
      <c r="B4260" s="1" t="n">
        <v>44880.95756944444</v>
      </c>
      <c r="C4260" s="1" t="n">
        <v>46093</v>
      </c>
      <c r="D4260" t="inlineStr">
        <is>
          <t>VÄSTERNORRLANDS LÄN</t>
        </is>
      </c>
      <c r="E4260" t="inlineStr">
        <is>
          <t>TIMRÅ</t>
        </is>
      </c>
      <c r="F4260" t="inlineStr">
        <is>
          <t>SCA</t>
        </is>
      </c>
      <c r="G4260" t="n">
        <v>6.4</v>
      </c>
      <c r="H4260" t="n">
        <v>0</v>
      </c>
      <c r="I4260" t="n">
        <v>0</v>
      </c>
      <c r="J4260" t="n">
        <v>0</v>
      </c>
      <c r="K4260" t="n">
        <v>0</v>
      </c>
      <c r="L4260" t="n">
        <v>0</v>
      </c>
      <c r="M4260" t="n">
        <v>0</v>
      </c>
      <c r="N4260" t="n">
        <v>0</v>
      </c>
      <c r="O4260" t="n">
        <v>0</v>
      </c>
      <c r="P4260" t="n">
        <v>0</v>
      </c>
      <c r="Q4260" t="n">
        <v>0</v>
      </c>
      <c r="R4260" s="2" t="inlineStr"/>
    </row>
    <row r="4261" ht="15" customHeight="1">
      <c r="A4261" t="inlineStr">
        <is>
          <t>A 26955-2024</t>
        </is>
      </c>
      <c r="B4261" s="1" t="n">
        <v>45470.97040509259</v>
      </c>
      <c r="C4261" s="1" t="n">
        <v>46093</v>
      </c>
      <c r="D4261" t="inlineStr">
        <is>
          <t>VÄSTERNORRLANDS LÄN</t>
        </is>
      </c>
      <c r="E4261" t="inlineStr">
        <is>
          <t>SOLLEFTEÅ</t>
        </is>
      </c>
      <c r="F4261" t="inlineStr">
        <is>
          <t>SCA</t>
        </is>
      </c>
      <c r="G4261" t="n">
        <v>5.1</v>
      </c>
      <c r="H4261" t="n">
        <v>0</v>
      </c>
      <c r="I4261" t="n">
        <v>0</v>
      </c>
      <c r="J4261" t="n">
        <v>0</v>
      </c>
      <c r="K4261" t="n">
        <v>0</v>
      </c>
      <c r="L4261" t="n">
        <v>0</v>
      </c>
      <c r="M4261" t="n">
        <v>0</v>
      </c>
      <c r="N4261" t="n">
        <v>0</v>
      </c>
      <c r="O4261" t="n">
        <v>0</v>
      </c>
      <c r="P4261" t="n">
        <v>0</v>
      </c>
      <c r="Q4261" t="n">
        <v>0</v>
      </c>
      <c r="R4261" s="2" t="inlineStr"/>
    </row>
    <row r="4262" ht="15" customHeight="1">
      <c r="A4262" t="inlineStr">
        <is>
          <t>A 30055-2024</t>
        </is>
      </c>
      <c r="B4262" s="1" t="n">
        <v>45488.94767361111</v>
      </c>
      <c r="C4262" s="1" t="n">
        <v>46093</v>
      </c>
      <c r="D4262" t="inlineStr">
        <is>
          <t>VÄSTERNORRLANDS LÄN</t>
        </is>
      </c>
      <c r="E4262" t="inlineStr">
        <is>
          <t>ÅNGE</t>
        </is>
      </c>
      <c r="F4262" t="inlineStr">
        <is>
          <t>SCA</t>
        </is>
      </c>
      <c r="G4262" t="n">
        <v>4.8</v>
      </c>
      <c r="H4262" t="n">
        <v>0</v>
      </c>
      <c r="I4262" t="n">
        <v>0</v>
      </c>
      <c r="J4262" t="n">
        <v>0</v>
      </c>
      <c r="K4262" t="n">
        <v>0</v>
      </c>
      <c r="L4262" t="n">
        <v>0</v>
      </c>
      <c r="M4262" t="n">
        <v>0</v>
      </c>
      <c r="N4262" t="n">
        <v>0</v>
      </c>
      <c r="O4262" t="n">
        <v>0</v>
      </c>
      <c r="P4262" t="n">
        <v>0</v>
      </c>
      <c r="Q4262" t="n">
        <v>0</v>
      </c>
      <c r="R4262" s="2" t="inlineStr"/>
    </row>
    <row r="4263" ht="15" customHeight="1">
      <c r="A4263" t="inlineStr">
        <is>
          <t>A 41509-2025</t>
        </is>
      </c>
      <c r="B4263" s="1" t="n">
        <v>45901.53246527778</v>
      </c>
      <c r="C4263" s="1" t="n">
        <v>46093</v>
      </c>
      <c r="D4263" t="inlineStr">
        <is>
          <t>VÄSTERNORRLANDS LÄN</t>
        </is>
      </c>
      <c r="E4263" t="inlineStr">
        <is>
          <t>SUNDSVALL</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20286-2024</t>
        </is>
      </c>
      <c r="B4264" s="1" t="n">
        <v>45435.22626157408</v>
      </c>
      <c r="C4264" s="1" t="n">
        <v>46093</v>
      </c>
      <c r="D4264" t="inlineStr">
        <is>
          <t>VÄSTERNORRLANDS LÄN</t>
        </is>
      </c>
      <c r="E4264" t="inlineStr">
        <is>
          <t>ÖRNSKÖLDSVIK</t>
        </is>
      </c>
      <c r="F4264" t="inlineStr">
        <is>
          <t>Holmen skog AB</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10195-2024</t>
        </is>
      </c>
      <c r="B4265" s="1" t="n">
        <v>45364</v>
      </c>
      <c r="C4265" s="1" t="n">
        <v>46093</v>
      </c>
      <c r="D4265" t="inlineStr">
        <is>
          <t>VÄSTERNORRLANDS LÄN</t>
        </is>
      </c>
      <c r="E4265" t="inlineStr">
        <is>
          <t>ÅNGE</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20322-2024</t>
        </is>
      </c>
      <c r="B4266" s="1" t="n">
        <v>45435.3975462963</v>
      </c>
      <c r="C4266" s="1" t="n">
        <v>46093</v>
      </c>
      <c r="D4266" t="inlineStr">
        <is>
          <t>VÄSTERNORRLANDS LÄN</t>
        </is>
      </c>
      <c r="E4266" t="inlineStr">
        <is>
          <t>ÖRNSKÖLDSVIK</t>
        </is>
      </c>
      <c r="F4266" t="inlineStr">
        <is>
          <t>Holmen skog AB</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2428-2025</t>
        </is>
      </c>
      <c r="B4267" s="1" t="n">
        <v>45674</v>
      </c>
      <c r="C4267" s="1" t="n">
        <v>46093</v>
      </c>
      <c r="D4267" t="inlineStr">
        <is>
          <t>VÄSTERNORRLANDS LÄN</t>
        </is>
      </c>
      <c r="E4267" t="inlineStr">
        <is>
          <t>KRAMFORS</t>
        </is>
      </c>
      <c r="G4267" t="n">
        <v>12.3</v>
      </c>
      <c r="H4267" t="n">
        <v>0</v>
      </c>
      <c r="I4267" t="n">
        <v>0</v>
      </c>
      <c r="J4267" t="n">
        <v>0</v>
      </c>
      <c r="K4267" t="n">
        <v>0</v>
      </c>
      <c r="L4267" t="n">
        <v>0</v>
      </c>
      <c r="M4267" t="n">
        <v>0</v>
      </c>
      <c r="N4267" t="n">
        <v>0</v>
      </c>
      <c r="O4267" t="n">
        <v>0</v>
      </c>
      <c r="P4267" t="n">
        <v>0</v>
      </c>
      <c r="Q4267" t="n">
        <v>0</v>
      </c>
      <c r="R4267" s="2" t="inlineStr"/>
    </row>
    <row r="4268" ht="15" customHeight="1">
      <c r="A4268" t="inlineStr">
        <is>
          <t>A 41483-2025</t>
        </is>
      </c>
      <c r="B4268" s="1" t="n">
        <v>45901</v>
      </c>
      <c r="C4268" s="1" t="n">
        <v>46093</v>
      </c>
      <c r="D4268" t="inlineStr">
        <is>
          <t>VÄSTERNORRLANDS LÄN</t>
        </is>
      </c>
      <c r="E4268" t="inlineStr">
        <is>
          <t>KRAMFORS</t>
        </is>
      </c>
      <c r="G4268" t="n">
        <v>3.5</v>
      </c>
      <c r="H4268" t="n">
        <v>0</v>
      </c>
      <c r="I4268" t="n">
        <v>0</v>
      </c>
      <c r="J4268" t="n">
        <v>0</v>
      </c>
      <c r="K4268" t="n">
        <v>0</v>
      </c>
      <c r="L4268" t="n">
        <v>0</v>
      </c>
      <c r="M4268" t="n">
        <v>0</v>
      </c>
      <c r="N4268" t="n">
        <v>0</v>
      </c>
      <c r="O4268" t="n">
        <v>0</v>
      </c>
      <c r="P4268" t="n">
        <v>0</v>
      </c>
      <c r="Q4268" t="n">
        <v>0</v>
      </c>
      <c r="R4268" s="2" t="inlineStr"/>
    </row>
    <row r="4269" ht="15" customHeight="1">
      <c r="A4269" t="inlineStr">
        <is>
          <t>A 51029-2021</t>
        </is>
      </c>
      <c r="B4269" s="1" t="n">
        <v>44460.94086805556</v>
      </c>
      <c r="C4269" s="1" t="n">
        <v>46093</v>
      </c>
      <c r="D4269" t="inlineStr">
        <is>
          <t>VÄSTERNORRLANDS LÄN</t>
        </is>
      </c>
      <c r="E4269" t="inlineStr">
        <is>
          <t>SOLLEFTEÅ</t>
        </is>
      </c>
      <c r="F4269" t="inlineStr">
        <is>
          <t>SCA</t>
        </is>
      </c>
      <c r="G4269" t="n">
        <v>6.9</v>
      </c>
      <c r="H4269" t="n">
        <v>0</v>
      </c>
      <c r="I4269" t="n">
        <v>0</v>
      </c>
      <c r="J4269" t="n">
        <v>0</v>
      </c>
      <c r="K4269" t="n">
        <v>0</v>
      </c>
      <c r="L4269" t="n">
        <v>0</v>
      </c>
      <c r="M4269" t="n">
        <v>0</v>
      </c>
      <c r="N4269" t="n">
        <v>0</v>
      </c>
      <c r="O4269" t="n">
        <v>0</v>
      </c>
      <c r="P4269" t="n">
        <v>0</v>
      </c>
      <c r="Q4269" t="n">
        <v>0</v>
      </c>
      <c r="R4269" s="2" t="inlineStr"/>
    </row>
    <row r="4270" ht="15" customHeight="1">
      <c r="A4270" t="inlineStr">
        <is>
          <t>A 2456-2025</t>
        </is>
      </c>
      <c r="B4270" s="1" t="n">
        <v>45673</v>
      </c>
      <c r="C4270" s="1" t="n">
        <v>46093</v>
      </c>
      <c r="D4270" t="inlineStr">
        <is>
          <t>VÄSTERNORRLANDS LÄN</t>
        </is>
      </c>
      <c r="E4270" t="inlineStr">
        <is>
          <t>SOLLEFTEÅ</t>
        </is>
      </c>
      <c r="F4270" t="inlineStr">
        <is>
          <t>Kommuner</t>
        </is>
      </c>
      <c r="G4270" t="n">
        <v>2.7</v>
      </c>
      <c r="H4270" t="n">
        <v>0</v>
      </c>
      <c r="I4270" t="n">
        <v>0</v>
      </c>
      <c r="J4270" t="n">
        <v>0</v>
      </c>
      <c r="K4270" t="n">
        <v>0</v>
      </c>
      <c r="L4270" t="n">
        <v>0</v>
      </c>
      <c r="M4270" t="n">
        <v>0</v>
      </c>
      <c r="N4270" t="n">
        <v>0</v>
      </c>
      <c r="O4270" t="n">
        <v>0</v>
      </c>
      <c r="P4270" t="n">
        <v>0</v>
      </c>
      <c r="Q4270" t="n">
        <v>0</v>
      </c>
      <c r="R4270" s="2" t="inlineStr"/>
    </row>
    <row r="4271" ht="15" customHeight="1">
      <c r="A4271" t="inlineStr">
        <is>
          <t>A 61102-2021</t>
        </is>
      </c>
      <c r="B4271" s="1" t="n">
        <v>44498</v>
      </c>
      <c r="C4271" s="1" t="n">
        <v>46093</v>
      </c>
      <c r="D4271" t="inlineStr">
        <is>
          <t>VÄSTERNORRLANDS LÄN</t>
        </is>
      </c>
      <c r="E4271" t="inlineStr">
        <is>
          <t>HÄRNÖSAND</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35807-2025</t>
        </is>
      </c>
      <c r="B4272" s="1" t="n">
        <v>45861.40663194445</v>
      </c>
      <c r="C4272" s="1" t="n">
        <v>46093</v>
      </c>
      <c r="D4272" t="inlineStr">
        <is>
          <t>VÄSTERNORRLANDS LÄN</t>
        </is>
      </c>
      <c r="E4272" t="inlineStr">
        <is>
          <t>SOLLEFTEÅ</t>
        </is>
      </c>
      <c r="F4272" t="inlineStr">
        <is>
          <t>SCA</t>
        </is>
      </c>
      <c r="G4272" t="n">
        <v>16.7</v>
      </c>
      <c r="H4272" t="n">
        <v>0</v>
      </c>
      <c r="I4272" t="n">
        <v>0</v>
      </c>
      <c r="J4272" t="n">
        <v>0</v>
      </c>
      <c r="K4272" t="n">
        <v>0</v>
      </c>
      <c r="L4272" t="n">
        <v>0</v>
      </c>
      <c r="M4272" t="n">
        <v>0</v>
      </c>
      <c r="N4272" t="n">
        <v>0</v>
      </c>
      <c r="O4272" t="n">
        <v>0</v>
      </c>
      <c r="P4272" t="n">
        <v>0</v>
      </c>
      <c r="Q4272" t="n">
        <v>0</v>
      </c>
      <c r="R4272" s="2" t="inlineStr"/>
    </row>
    <row r="4273" ht="15" customHeight="1">
      <c r="A4273" t="inlineStr">
        <is>
          <t>A 41540-2025</t>
        </is>
      </c>
      <c r="B4273" s="1" t="n">
        <v>45901.56833333334</v>
      </c>
      <c r="C4273" s="1" t="n">
        <v>46093</v>
      </c>
      <c r="D4273" t="inlineStr">
        <is>
          <t>VÄSTERNORRLANDS LÄN</t>
        </is>
      </c>
      <c r="E4273" t="inlineStr">
        <is>
          <t>SOLLEFTEÅ</t>
        </is>
      </c>
      <c r="G4273" t="n">
        <v>2.5</v>
      </c>
      <c r="H4273" t="n">
        <v>0</v>
      </c>
      <c r="I4273" t="n">
        <v>0</v>
      </c>
      <c r="J4273" t="n">
        <v>0</v>
      </c>
      <c r="K4273" t="n">
        <v>0</v>
      </c>
      <c r="L4273" t="n">
        <v>0</v>
      </c>
      <c r="M4273" t="n">
        <v>0</v>
      </c>
      <c r="N4273" t="n">
        <v>0</v>
      </c>
      <c r="O4273" t="n">
        <v>0</v>
      </c>
      <c r="P4273" t="n">
        <v>0</v>
      </c>
      <c r="Q4273" t="n">
        <v>0</v>
      </c>
      <c r="R4273" s="2" t="inlineStr"/>
    </row>
    <row r="4274" ht="15" customHeight="1">
      <c r="A4274" t="inlineStr">
        <is>
          <t>A 41556-2025</t>
        </is>
      </c>
      <c r="B4274" s="1" t="n">
        <v>45901.59267361111</v>
      </c>
      <c r="C4274" s="1" t="n">
        <v>46093</v>
      </c>
      <c r="D4274" t="inlineStr">
        <is>
          <t>VÄSTERNORRLANDS LÄN</t>
        </is>
      </c>
      <c r="E4274" t="inlineStr">
        <is>
          <t>KRAMFORS</t>
        </is>
      </c>
      <c r="G4274" t="n">
        <v>8.699999999999999</v>
      </c>
      <c r="H4274" t="n">
        <v>0</v>
      </c>
      <c r="I4274" t="n">
        <v>0</v>
      </c>
      <c r="J4274" t="n">
        <v>0</v>
      </c>
      <c r="K4274" t="n">
        <v>0</v>
      </c>
      <c r="L4274" t="n">
        <v>0</v>
      </c>
      <c r="M4274" t="n">
        <v>0</v>
      </c>
      <c r="N4274" t="n">
        <v>0</v>
      </c>
      <c r="O4274" t="n">
        <v>0</v>
      </c>
      <c r="P4274" t="n">
        <v>0</v>
      </c>
      <c r="Q4274" t="n">
        <v>0</v>
      </c>
      <c r="R4274" s="2" t="inlineStr"/>
    </row>
    <row r="4275" ht="15" customHeight="1">
      <c r="A4275" t="inlineStr">
        <is>
          <t>A 41473-2025</t>
        </is>
      </c>
      <c r="B4275" s="1" t="n">
        <v>45901.46952546296</v>
      </c>
      <c r="C4275" s="1" t="n">
        <v>46093</v>
      </c>
      <c r="D4275" t="inlineStr">
        <is>
          <t>VÄSTERNORRLANDS LÄN</t>
        </is>
      </c>
      <c r="E4275" t="inlineStr">
        <is>
          <t>SOLLEFTEÅ</t>
        </is>
      </c>
      <c r="F4275" t="inlineStr">
        <is>
          <t>SCA</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41476-2025</t>
        </is>
      </c>
      <c r="B4276" s="1" t="n">
        <v>45901.46986111111</v>
      </c>
      <c r="C4276" s="1" t="n">
        <v>46093</v>
      </c>
      <c r="D4276" t="inlineStr">
        <is>
          <t>VÄSTERNORRLANDS LÄN</t>
        </is>
      </c>
      <c r="E4276" t="inlineStr">
        <is>
          <t>KRAMFORS</t>
        </is>
      </c>
      <c r="G4276" t="n">
        <v>3</v>
      </c>
      <c r="H4276" t="n">
        <v>0</v>
      </c>
      <c r="I4276" t="n">
        <v>0</v>
      </c>
      <c r="J4276" t="n">
        <v>0</v>
      </c>
      <c r="K4276" t="n">
        <v>0</v>
      </c>
      <c r="L4276" t="n">
        <v>0</v>
      </c>
      <c r="M4276" t="n">
        <v>0</v>
      </c>
      <c r="N4276" t="n">
        <v>0</v>
      </c>
      <c r="O4276" t="n">
        <v>0</v>
      </c>
      <c r="P4276" t="n">
        <v>0</v>
      </c>
      <c r="Q4276" t="n">
        <v>0</v>
      </c>
      <c r="R4276" s="2" t="inlineStr"/>
    </row>
    <row r="4277" ht="15" customHeight="1">
      <c r="A4277" t="inlineStr">
        <is>
          <t>A 47550-2022</t>
        </is>
      </c>
      <c r="B4277" s="1" t="n">
        <v>44853</v>
      </c>
      <c r="C4277" s="1" t="n">
        <v>46093</v>
      </c>
      <c r="D4277" t="inlineStr">
        <is>
          <t>VÄSTERNORRLANDS LÄN</t>
        </is>
      </c>
      <c r="E4277" t="inlineStr">
        <is>
          <t>HÄRNÖSAND</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41673-2025</t>
        </is>
      </c>
      <c r="B4278" s="1" t="n">
        <v>45902.3650462963</v>
      </c>
      <c r="C4278" s="1" t="n">
        <v>46093</v>
      </c>
      <c r="D4278" t="inlineStr">
        <is>
          <t>VÄSTERNORRLANDS LÄN</t>
        </is>
      </c>
      <c r="E4278" t="inlineStr">
        <is>
          <t>SUNDSVALL</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46970-2022</t>
        </is>
      </c>
      <c r="B4279" s="1" t="n">
        <v>44851.95304398148</v>
      </c>
      <c r="C4279" s="1" t="n">
        <v>46093</v>
      </c>
      <c r="D4279" t="inlineStr">
        <is>
          <t>VÄSTERNORRLANDS LÄN</t>
        </is>
      </c>
      <c r="E4279" t="inlineStr">
        <is>
          <t>SUNDSVALL</t>
        </is>
      </c>
      <c r="F4279" t="inlineStr">
        <is>
          <t>SCA</t>
        </is>
      </c>
      <c r="G4279" t="n">
        <v>7.4</v>
      </c>
      <c r="H4279" t="n">
        <v>0</v>
      </c>
      <c r="I4279" t="n">
        <v>0</v>
      </c>
      <c r="J4279" t="n">
        <v>0</v>
      </c>
      <c r="K4279" t="n">
        <v>0</v>
      </c>
      <c r="L4279" t="n">
        <v>0</v>
      </c>
      <c r="M4279" t="n">
        <v>0</v>
      </c>
      <c r="N4279" t="n">
        <v>0</v>
      </c>
      <c r="O4279" t="n">
        <v>0</v>
      </c>
      <c r="P4279" t="n">
        <v>0</v>
      </c>
      <c r="Q4279" t="n">
        <v>0</v>
      </c>
      <c r="R4279" s="2" t="inlineStr"/>
    </row>
    <row r="4280" ht="15" customHeight="1">
      <c r="A4280" t="inlineStr">
        <is>
          <t>A 13627-2021</t>
        </is>
      </c>
      <c r="B4280" s="1" t="n">
        <v>44273</v>
      </c>
      <c r="C4280" s="1" t="n">
        <v>46093</v>
      </c>
      <c r="D4280" t="inlineStr">
        <is>
          <t>VÄSTERNORRLANDS LÄN</t>
        </is>
      </c>
      <c r="E4280" t="inlineStr">
        <is>
          <t>ÖRNSKÖLDSVIK</t>
        </is>
      </c>
      <c r="G4280" t="n">
        <v>4.5</v>
      </c>
      <c r="H4280" t="n">
        <v>0</v>
      </c>
      <c r="I4280" t="n">
        <v>0</v>
      </c>
      <c r="J4280" t="n">
        <v>0</v>
      </c>
      <c r="K4280" t="n">
        <v>0</v>
      </c>
      <c r="L4280" t="n">
        <v>0</v>
      </c>
      <c r="M4280" t="n">
        <v>0</v>
      </c>
      <c r="N4280" t="n">
        <v>0</v>
      </c>
      <c r="O4280" t="n">
        <v>0</v>
      </c>
      <c r="P4280" t="n">
        <v>0</v>
      </c>
      <c r="Q4280" t="n">
        <v>0</v>
      </c>
      <c r="R4280" s="2" t="inlineStr"/>
    </row>
    <row r="4281" ht="15" customHeight="1">
      <c r="A4281" t="inlineStr">
        <is>
          <t>A 63665-2021</t>
        </is>
      </c>
      <c r="B4281" s="1" t="n">
        <v>44508</v>
      </c>
      <c r="C4281" s="1" t="n">
        <v>46093</v>
      </c>
      <c r="D4281" t="inlineStr">
        <is>
          <t>VÄSTERNORRLANDS LÄN</t>
        </is>
      </c>
      <c r="E4281" t="inlineStr">
        <is>
          <t>SUNDSVALL</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42081-2025</t>
        </is>
      </c>
      <c r="B4282" s="1" t="n">
        <v>45902</v>
      </c>
      <c r="C4282" s="1" t="n">
        <v>46093</v>
      </c>
      <c r="D4282" t="inlineStr">
        <is>
          <t>VÄSTERNORRLANDS LÄN</t>
        </is>
      </c>
      <c r="E4282" t="inlineStr">
        <is>
          <t>SOLLEFTEÅ</t>
        </is>
      </c>
      <c r="G4282" t="n">
        <v>9.300000000000001</v>
      </c>
      <c r="H4282" t="n">
        <v>0</v>
      </c>
      <c r="I4282" t="n">
        <v>0</v>
      </c>
      <c r="J4282" t="n">
        <v>0</v>
      </c>
      <c r="K4282" t="n">
        <v>0</v>
      </c>
      <c r="L4282" t="n">
        <v>0</v>
      </c>
      <c r="M4282" t="n">
        <v>0</v>
      </c>
      <c r="N4282" t="n">
        <v>0</v>
      </c>
      <c r="O4282" t="n">
        <v>0</v>
      </c>
      <c r="P4282" t="n">
        <v>0</v>
      </c>
      <c r="Q4282" t="n">
        <v>0</v>
      </c>
      <c r="R4282" s="2" t="inlineStr"/>
    </row>
    <row r="4283" ht="15" customHeight="1">
      <c r="A4283" t="inlineStr">
        <is>
          <t>A 1398-2025</t>
        </is>
      </c>
      <c r="B4283" s="1" t="n">
        <v>45667</v>
      </c>
      <c r="C4283" s="1" t="n">
        <v>46093</v>
      </c>
      <c r="D4283" t="inlineStr">
        <is>
          <t>VÄSTERNORRLANDS LÄN</t>
        </is>
      </c>
      <c r="E4283" t="inlineStr">
        <is>
          <t>SUNDSVALL</t>
        </is>
      </c>
      <c r="G4283" t="n">
        <v>7.5</v>
      </c>
      <c r="H4283" t="n">
        <v>0</v>
      </c>
      <c r="I4283" t="n">
        <v>0</v>
      </c>
      <c r="J4283" t="n">
        <v>0</v>
      </c>
      <c r="K4283" t="n">
        <v>0</v>
      </c>
      <c r="L4283" t="n">
        <v>0</v>
      </c>
      <c r="M4283" t="n">
        <v>0</v>
      </c>
      <c r="N4283" t="n">
        <v>0</v>
      </c>
      <c r="O4283" t="n">
        <v>0</v>
      </c>
      <c r="P4283" t="n">
        <v>0</v>
      </c>
      <c r="Q4283" t="n">
        <v>0</v>
      </c>
      <c r="R4283" s="2" t="inlineStr"/>
    </row>
    <row r="4284" ht="15" customHeight="1">
      <c r="A4284" t="inlineStr">
        <is>
          <t>A 1464-2025</t>
        </is>
      </c>
      <c r="B4284" s="1" t="n">
        <v>45670.365</v>
      </c>
      <c r="C4284" s="1" t="n">
        <v>46093</v>
      </c>
      <c r="D4284" t="inlineStr">
        <is>
          <t>VÄSTERNORRLANDS LÄN</t>
        </is>
      </c>
      <c r="E4284" t="inlineStr">
        <is>
          <t>SOLLEFTEÅ</t>
        </is>
      </c>
      <c r="F4284" t="inlineStr">
        <is>
          <t>SCA</t>
        </is>
      </c>
      <c r="G4284" t="n">
        <v>2.8</v>
      </c>
      <c r="H4284" t="n">
        <v>0</v>
      </c>
      <c r="I4284" t="n">
        <v>0</v>
      </c>
      <c r="J4284" t="n">
        <v>0</v>
      </c>
      <c r="K4284" t="n">
        <v>0</v>
      </c>
      <c r="L4284" t="n">
        <v>0</v>
      </c>
      <c r="M4284" t="n">
        <v>0</v>
      </c>
      <c r="N4284" t="n">
        <v>0</v>
      </c>
      <c r="O4284" t="n">
        <v>0</v>
      </c>
      <c r="P4284" t="n">
        <v>0</v>
      </c>
      <c r="Q4284" t="n">
        <v>0</v>
      </c>
      <c r="R4284" s="2" t="inlineStr"/>
    </row>
    <row r="4285" ht="15" customHeight="1">
      <c r="A4285" t="inlineStr">
        <is>
          <t>A 52977-2024</t>
        </is>
      </c>
      <c r="B4285" s="1" t="n">
        <v>45611</v>
      </c>
      <c r="C4285" s="1" t="n">
        <v>46093</v>
      </c>
      <c r="D4285" t="inlineStr">
        <is>
          <t>VÄSTERNORRLANDS LÄN</t>
        </is>
      </c>
      <c r="E4285" t="inlineStr">
        <is>
          <t>KRAMFORS</t>
        </is>
      </c>
      <c r="G4285" t="n">
        <v>5.8</v>
      </c>
      <c r="H4285" t="n">
        <v>0</v>
      </c>
      <c r="I4285" t="n">
        <v>0</v>
      </c>
      <c r="J4285" t="n">
        <v>0</v>
      </c>
      <c r="K4285" t="n">
        <v>0</v>
      </c>
      <c r="L4285" t="n">
        <v>0</v>
      </c>
      <c r="M4285" t="n">
        <v>0</v>
      </c>
      <c r="N4285" t="n">
        <v>0</v>
      </c>
      <c r="O4285" t="n">
        <v>0</v>
      </c>
      <c r="P4285" t="n">
        <v>0</v>
      </c>
      <c r="Q4285" t="n">
        <v>0</v>
      </c>
      <c r="R4285" s="2" t="inlineStr"/>
    </row>
    <row r="4286" ht="15" customHeight="1">
      <c r="A4286" t="inlineStr">
        <is>
          <t>A 19334-2024</t>
        </is>
      </c>
      <c r="B4286" s="1" t="n">
        <v>45428.97018518519</v>
      </c>
      <c r="C4286" s="1" t="n">
        <v>46093</v>
      </c>
      <c r="D4286" t="inlineStr">
        <is>
          <t>VÄSTERNORRLANDS LÄN</t>
        </is>
      </c>
      <c r="E4286" t="inlineStr">
        <is>
          <t>SUNDSVALL</t>
        </is>
      </c>
      <c r="F4286" t="inlineStr">
        <is>
          <t>SCA</t>
        </is>
      </c>
      <c r="G4286" t="n">
        <v>5.2</v>
      </c>
      <c r="H4286" t="n">
        <v>0</v>
      </c>
      <c r="I4286" t="n">
        <v>0</v>
      </c>
      <c r="J4286" t="n">
        <v>0</v>
      </c>
      <c r="K4286" t="n">
        <v>0</v>
      </c>
      <c r="L4286" t="n">
        <v>0</v>
      </c>
      <c r="M4286" t="n">
        <v>0</v>
      </c>
      <c r="N4286" t="n">
        <v>0</v>
      </c>
      <c r="O4286" t="n">
        <v>0</v>
      </c>
      <c r="P4286" t="n">
        <v>0</v>
      </c>
      <c r="Q4286" t="n">
        <v>0</v>
      </c>
      <c r="R4286" s="2" t="inlineStr"/>
    </row>
    <row r="4287" ht="15" customHeight="1">
      <c r="A4287" t="inlineStr">
        <is>
          <t>A 35827-2025</t>
        </is>
      </c>
      <c r="B4287" s="1" t="n">
        <v>45861.49017361111</v>
      </c>
      <c r="C4287" s="1" t="n">
        <v>46093</v>
      </c>
      <c r="D4287" t="inlineStr">
        <is>
          <t>VÄSTERNORRLANDS LÄN</t>
        </is>
      </c>
      <c r="E4287" t="inlineStr">
        <is>
          <t>ÅNGE</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35828-2025</t>
        </is>
      </c>
      <c r="B4288" s="1" t="n">
        <v>45861.49105324074</v>
      </c>
      <c r="C4288" s="1" t="n">
        <v>46093</v>
      </c>
      <c r="D4288" t="inlineStr">
        <is>
          <t>VÄSTERNORRLANDS LÄN</t>
        </is>
      </c>
      <c r="E4288" t="inlineStr">
        <is>
          <t>ÖRNSKÖLDSVIK</t>
        </is>
      </c>
      <c r="F4288" t="inlineStr">
        <is>
          <t>Holmen skog AB</t>
        </is>
      </c>
      <c r="G4288" t="n">
        <v>4.7</v>
      </c>
      <c r="H4288" t="n">
        <v>0</v>
      </c>
      <c r="I4288" t="n">
        <v>0</v>
      </c>
      <c r="J4288" t="n">
        <v>0</v>
      </c>
      <c r="K4288" t="n">
        <v>0</v>
      </c>
      <c r="L4288" t="n">
        <v>0</v>
      </c>
      <c r="M4288" t="n">
        <v>0</v>
      </c>
      <c r="N4288" t="n">
        <v>0</v>
      </c>
      <c r="O4288" t="n">
        <v>0</v>
      </c>
      <c r="P4288" t="n">
        <v>0</v>
      </c>
      <c r="Q4288" t="n">
        <v>0</v>
      </c>
      <c r="R4288" s="2" t="inlineStr"/>
    </row>
    <row r="4289" ht="15" customHeight="1">
      <c r="A4289" t="inlineStr">
        <is>
          <t>A 18874-2024</t>
        </is>
      </c>
      <c r="B4289" s="1" t="n">
        <v>45426.98122685185</v>
      </c>
      <c r="C4289" s="1" t="n">
        <v>46093</v>
      </c>
      <c r="D4289" t="inlineStr">
        <is>
          <t>VÄSTERNORRLANDS LÄN</t>
        </is>
      </c>
      <c r="E4289" t="inlineStr">
        <is>
          <t>SUNDSVALL</t>
        </is>
      </c>
      <c r="F4289" t="inlineStr">
        <is>
          <t>SCA</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35901-2025</t>
        </is>
      </c>
      <c r="B4290" s="1" t="n">
        <v>45862.48984953704</v>
      </c>
      <c r="C4290" s="1" t="n">
        <v>46093</v>
      </c>
      <c r="D4290" t="inlineStr">
        <is>
          <t>VÄSTERNORRLANDS LÄN</t>
        </is>
      </c>
      <c r="E4290" t="inlineStr">
        <is>
          <t>SUNDSVALL</t>
        </is>
      </c>
      <c r="G4290" t="n">
        <v>5.9</v>
      </c>
      <c r="H4290" t="n">
        <v>0</v>
      </c>
      <c r="I4290" t="n">
        <v>0</v>
      </c>
      <c r="J4290" t="n">
        <v>0</v>
      </c>
      <c r="K4290" t="n">
        <v>0</v>
      </c>
      <c r="L4290" t="n">
        <v>0</v>
      </c>
      <c r="M4290" t="n">
        <v>0</v>
      </c>
      <c r="N4290" t="n">
        <v>0</v>
      </c>
      <c r="O4290" t="n">
        <v>0</v>
      </c>
      <c r="P4290" t="n">
        <v>0</v>
      </c>
      <c r="Q4290" t="n">
        <v>0</v>
      </c>
      <c r="R4290" s="2" t="inlineStr"/>
    </row>
    <row r="4291" ht="15" customHeight="1">
      <c r="A4291" t="inlineStr">
        <is>
          <t>A 64649-2021</t>
        </is>
      </c>
      <c r="B4291" s="1" t="n">
        <v>44511.94659722222</v>
      </c>
      <c r="C4291" s="1" t="n">
        <v>46093</v>
      </c>
      <c r="D4291" t="inlineStr">
        <is>
          <t>VÄSTERNORRLANDS LÄN</t>
        </is>
      </c>
      <c r="E4291" t="inlineStr">
        <is>
          <t>SUNDSVALL</t>
        </is>
      </c>
      <c r="F4291" t="inlineStr">
        <is>
          <t>SCA</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35861-2025</t>
        </is>
      </c>
      <c r="B4292" s="1" t="n">
        <v>45861.65689814815</v>
      </c>
      <c r="C4292" s="1" t="n">
        <v>46093</v>
      </c>
      <c r="D4292" t="inlineStr">
        <is>
          <t>VÄSTERNORRLANDS LÄN</t>
        </is>
      </c>
      <c r="E4292" t="inlineStr">
        <is>
          <t>SUNDSVALL</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48760-2022</t>
        </is>
      </c>
      <c r="B4293" s="1" t="n">
        <v>44859.58365740741</v>
      </c>
      <c r="C4293" s="1" t="n">
        <v>46093</v>
      </c>
      <c r="D4293" t="inlineStr">
        <is>
          <t>VÄSTERNORRLANDS LÄN</t>
        </is>
      </c>
      <c r="E4293" t="inlineStr">
        <is>
          <t>ÖRNSKÖLDSVIK</t>
        </is>
      </c>
      <c r="F4293" t="inlineStr">
        <is>
          <t>Holmen skog AB</t>
        </is>
      </c>
      <c r="G4293" t="n">
        <v>5.4</v>
      </c>
      <c r="H4293" t="n">
        <v>0</v>
      </c>
      <c r="I4293" t="n">
        <v>0</v>
      </c>
      <c r="J4293" t="n">
        <v>0</v>
      </c>
      <c r="K4293" t="n">
        <v>0</v>
      </c>
      <c r="L4293" t="n">
        <v>0</v>
      </c>
      <c r="M4293" t="n">
        <v>0</v>
      </c>
      <c r="N4293" t="n">
        <v>0</v>
      </c>
      <c r="O4293" t="n">
        <v>0</v>
      </c>
      <c r="P4293" t="n">
        <v>0</v>
      </c>
      <c r="Q4293" t="n">
        <v>0</v>
      </c>
      <c r="R4293" s="2" t="inlineStr"/>
    </row>
    <row r="4294" ht="15" customHeight="1">
      <c r="A4294" t="inlineStr">
        <is>
          <t>A 32140-2024</t>
        </is>
      </c>
      <c r="B4294" s="1" t="n">
        <v>45511.54391203704</v>
      </c>
      <c r="C4294" s="1" t="n">
        <v>46093</v>
      </c>
      <c r="D4294" t="inlineStr">
        <is>
          <t>VÄSTERNORRLANDS LÄN</t>
        </is>
      </c>
      <c r="E4294" t="inlineStr">
        <is>
          <t>SOLLEFTEÅ</t>
        </is>
      </c>
      <c r="F4294" t="inlineStr">
        <is>
          <t>Holmen skog AB</t>
        </is>
      </c>
      <c r="G4294" t="n">
        <v>3.3</v>
      </c>
      <c r="H4294" t="n">
        <v>0</v>
      </c>
      <c r="I4294" t="n">
        <v>0</v>
      </c>
      <c r="J4294" t="n">
        <v>0</v>
      </c>
      <c r="K4294" t="n">
        <v>0</v>
      </c>
      <c r="L4294" t="n">
        <v>0</v>
      </c>
      <c r="M4294" t="n">
        <v>0</v>
      </c>
      <c r="N4294" t="n">
        <v>0</v>
      </c>
      <c r="O4294" t="n">
        <v>0</v>
      </c>
      <c r="P4294" t="n">
        <v>0</v>
      </c>
      <c r="Q4294" t="n">
        <v>0</v>
      </c>
      <c r="R4294" s="2" t="inlineStr"/>
    </row>
    <row r="4295" ht="15" customHeight="1">
      <c r="A4295" t="inlineStr">
        <is>
          <t>A 41449-2025</t>
        </is>
      </c>
      <c r="B4295" s="1" t="n">
        <v>45901.42787037037</v>
      </c>
      <c r="C4295" s="1" t="n">
        <v>46093</v>
      </c>
      <c r="D4295" t="inlineStr">
        <is>
          <t>VÄSTERNORRLANDS LÄN</t>
        </is>
      </c>
      <c r="E4295" t="inlineStr">
        <is>
          <t>SOLLEFTEÅ</t>
        </is>
      </c>
      <c r="F4295" t="inlineStr">
        <is>
          <t>SCA</t>
        </is>
      </c>
      <c r="G4295" t="n">
        <v>5.7</v>
      </c>
      <c r="H4295" t="n">
        <v>0</v>
      </c>
      <c r="I4295" t="n">
        <v>0</v>
      </c>
      <c r="J4295" t="n">
        <v>0</v>
      </c>
      <c r="K4295" t="n">
        <v>0</v>
      </c>
      <c r="L4295" t="n">
        <v>0</v>
      </c>
      <c r="M4295" t="n">
        <v>0</v>
      </c>
      <c r="N4295" t="n">
        <v>0</v>
      </c>
      <c r="O4295" t="n">
        <v>0</v>
      </c>
      <c r="P4295" t="n">
        <v>0</v>
      </c>
      <c r="Q4295" t="n">
        <v>0</v>
      </c>
      <c r="R4295" s="2" t="inlineStr"/>
    </row>
    <row r="4296" ht="15" customHeight="1">
      <c r="A4296" t="inlineStr">
        <is>
          <t>A 41453-2025</t>
        </is>
      </c>
      <c r="B4296" s="1" t="n">
        <v>45901.43798611111</v>
      </c>
      <c r="C4296" s="1" t="n">
        <v>46093</v>
      </c>
      <c r="D4296" t="inlineStr">
        <is>
          <t>VÄSTERNORRLANDS LÄN</t>
        </is>
      </c>
      <c r="E4296" t="inlineStr">
        <is>
          <t>ÖRNSKÖLDSVIK</t>
        </is>
      </c>
      <c r="F4296" t="inlineStr">
        <is>
          <t>Holmen skog AB</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352-2025</t>
        </is>
      </c>
      <c r="B4297" s="1" t="n">
        <v>45659</v>
      </c>
      <c r="C4297" s="1" t="n">
        <v>46093</v>
      </c>
      <c r="D4297" t="inlineStr">
        <is>
          <t>VÄSTERNORRLANDS LÄN</t>
        </is>
      </c>
      <c r="E4297" t="inlineStr">
        <is>
          <t>ÖRNSKÖLDSVIK</t>
        </is>
      </c>
      <c r="G4297" t="n">
        <v>4.1</v>
      </c>
      <c r="H4297" t="n">
        <v>0</v>
      </c>
      <c r="I4297" t="n">
        <v>0</v>
      </c>
      <c r="J4297" t="n">
        <v>0</v>
      </c>
      <c r="K4297" t="n">
        <v>0</v>
      </c>
      <c r="L4297" t="n">
        <v>0</v>
      </c>
      <c r="M4297" t="n">
        <v>0</v>
      </c>
      <c r="N4297" t="n">
        <v>0</v>
      </c>
      <c r="O4297" t="n">
        <v>0</v>
      </c>
      <c r="P4297" t="n">
        <v>0</v>
      </c>
      <c r="Q4297" t="n">
        <v>0</v>
      </c>
      <c r="R4297" s="2" t="inlineStr"/>
    </row>
    <row r="4298" ht="15" customHeight="1">
      <c r="A4298" t="inlineStr">
        <is>
          <t>A 361-2025</t>
        </is>
      </c>
      <c r="B4298" s="1" t="n">
        <v>45660</v>
      </c>
      <c r="C4298" s="1" t="n">
        <v>46093</v>
      </c>
      <c r="D4298" t="inlineStr">
        <is>
          <t>VÄSTERNORRLANDS LÄN</t>
        </is>
      </c>
      <c r="E4298" t="inlineStr">
        <is>
          <t>ÅNGE</t>
        </is>
      </c>
      <c r="G4298" t="n">
        <v>4.2</v>
      </c>
      <c r="H4298" t="n">
        <v>0</v>
      </c>
      <c r="I4298" t="n">
        <v>0</v>
      </c>
      <c r="J4298" t="n">
        <v>0</v>
      </c>
      <c r="K4298" t="n">
        <v>0</v>
      </c>
      <c r="L4298" t="n">
        <v>0</v>
      </c>
      <c r="M4298" t="n">
        <v>0</v>
      </c>
      <c r="N4298" t="n">
        <v>0</v>
      </c>
      <c r="O4298" t="n">
        <v>0</v>
      </c>
      <c r="P4298" t="n">
        <v>0</v>
      </c>
      <c r="Q4298" t="n">
        <v>0</v>
      </c>
      <c r="R4298" s="2" t="inlineStr"/>
    </row>
    <row r="4299" ht="15" customHeight="1">
      <c r="A4299" t="inlineStr">
        <is>
          <t>A 35942-2025</t>
        </is>
      </c>
      <c r="B4299" s="1" t="n">
        <v>45862.6775</v>
      </c>
      <c r="C4299" s="1" t="n">
        <v>46093</v>
      </c>
      <c r="D4299" t="inlineStr">
        <is>
          <t>VÄSTERNORRLANDS LÄN</t>
        </is>
      </c>
      <c r="E4299" t="inlineStr">
        <is>
          <t>SUNDSVALL</t>
        </is>
      </c>
      <c r="F4299" t="inlineStr">
        <is>
          <t>SCA</t>
        </is>
      </c>
      <c r="G4299" t="n">
        <v>3.4</v>
      </c>
      <c r="H4299" t="n">
        <v>0</v>
      </c>
      <c r="I4299" t="n">
        <v>0</v>
      </c>
      <c r="J4299" t="n">
        <v>0</v>
      </c>
      <c r="K4299" t="n">
        <v>0</v>
      </c>
      <c r="L4299" t="n">
        <v>0</v>
      </c>
      <c r="M4299" t="n">
        <v>0</v>
      </c>
      <c r="N4299" t="n">
        <v>0</v>
      </c>
      <c r="O4299" t="n">
        <v>0</v>
      </c>
      <c r="P4299" t="n">
        <v>0</v>
      </c>
      <c r="Q4299" t="n">
        <v>0</v>
      </c>
      <c r="R4299" s="2" t="inlineStr"/>
    </row>
    <row r="4300" ht="15" customHeight="1">
      <c r="A4300" t="inlineStr">
        <is>
          <t>A 7245-2024</t>
        </is>
      </c>
      <c r="B4300" s="1" t="n">
        <v>45344</v>
      </c>
      <c r="C4300" s="1" t="n">
        <v>46093</v>
      </c>
      <c r="D4300" t="inlineStr">
        <is>
          <t>VÄSTERNORRLANDS LÄN</t>
        </is>
      </c>
      <c r="E4300" t="inlineStr">
        <is>
          <t>SUNDSVALL</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44522-2023</t>
        </is>
      </c>
      <c r="B4301" s="1" t="n">
        <v>45189.47681712963</v>
      </c>
      <c r="C4301" s="1" t="n">
        <v>46093</v>
      </c>
      <c r="D4301" t="inlineStr">
        <is>
          <t>VÄSTERNORRLANDS LÄN</t>
        </is>
      </c>
      <c r="E4301" t="inlineStr">
        <is>
          <t>ÖRNSKÖLDSVIK</t>
        </is>
      </c>
      <c r="G4301" t="n">
        <v>22.6</v>
      </c>
      <c r="H4301" t="n">
        <v>0</v>
      </c>
      <c r="I4301" t="n">
        <v>0</v>
      </c>
      <c r="J4301" t="n">
        <v>0</v>
      </c>
      <c r="K4301" t="n">
        <v>0</v>
      </c>
      <c r="L4301" t="n">
        <v>0</v>
      </c>
      <c r="M4301" t="n">
        <v>0</v>
      </c>
      <c r="N4301" t="n">
        <v>0</v>
      </c>
      <c r="O4301" t="n">
        <v>0</v>
      </c>
      <c r="P4301" t="n">
        <v>0</v>
      </c>
      <c r="Q4301" t="n">
        <v>0</v>
      </c>
      <c r="R4301" s="2" t="inlineStr"/>
    </row>
    <row r="4302" ht="15" customHeight="1">
      <c r="A4302" t="inlineStr">
        <is>
          <t>A 35824-2025</t>
        </is>
      </c>
      <c r="B4302" s="1" t="n">
        <v>45861.4843287037</v>
      </c>
      <c r="C4302" s="1" t="n">
        <v>46093</v>
      </c>
      <c r="D4302" t="inlineStr">
        <is>
          <t>VÄSTERNORRLANDS LÄN</t>
        </is>
      </c>
      <c r="E4302" t="inlineStr">
        <is>
          <t>ÖRNSKÖLDSVIK</t>
        </is>
      </c>
      <c r="F4302" t="inlineStr">
        <is>
          <t>Holmen skog AB</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57163-2024</t>
        </is>
      </c>
      <c r="B4303" s="1" t="n">
        <v>45629.41179398148</v>
      </c>
      <c r="C4303" s="1" t="n">
        <v>46093</v>
      </c>
      <c r="D4303" t="inlineStr">
        <is>
          <t>VÄSTERNORRLANDS LÄN</t>
        </is>
      </c>
      <c r="E4303" t="inlineStr">
        <is>
          <t>SUNDSVALL</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29951-2023</t>
        </is>
      </c>
      <c r="B4304" s="1" t="n">
        <v>45107.93866898148</v>
      </c>
      <c r="C4304" s="1" t="n">
        <v>46093</v>
      </c>
      <c r="D4304" t="inlineStr">
        <is>
          <t>VÄSTERNORRLANDS LÄN</t>
        </is>
      </c>
      <c r="E4304" t="inlineStr">
        <is>
          <t>SUNDSVALL</t>
        </is>
      </c>
      <c r="F4304" t="inlineStr">
        <is>
          <t>SCA</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30683-2024</t>
        </is>
      </c>
      <c r="B4305" s="1" t="n">
        <v>45495</v>
      </c>
      <c r="C4305" s="1" t="n">
        <v>46093</v>
      </c>
      <c r="D4305" t="inlineStr">
        <is>
          <t>VÄSTERNORRLANDS LÄN</t>
        </is>
      </c>
      <c r="E4305" t="inlineStr">
        <is>
          <t>ÅNGE</t>
        </is>
      </c>
      <c r="F4305" t="inlineStr">
        <is>
          <t>SCA</t>
        </is>
      </c>
      <c r="G4305" t="n">
        <v>2.8</v>
      </c>
      <c r="H4305" t="n">
        <v>0</v>
      </c>
      <c r="I4305" t="n">
        <v>0</v>
      </c>
      <c r="J4305" t="n">
        <v>0</v>
      </c>
      <c r="K4305" t="n">
        <v>0</v>
      </c>
      <c r="L4305" t="n">
        <v>0</v>
      </c>
      <c r="M4305" t="n">
        <v>0</v>
      </c>
      <c r="N4305" t="n">
        <v>0</v>
      </c>
      <c r="O4305" t="n">
        <v>0</v>
      </c>
      <c r="P4305" t="n">
        <v>0</v>
      </c>
      <c r="Q4305" t="n">
        <v>0</v>
      </c>
      <c r="R4305" s="2" t="inlineStr"/>
    </row>
    <row r="4306" ht="15" customHeight="1">
      <c r="A4306" t="inlineStr">
        <is>
          <t>A 12021-2022</t>
        </is>
      </c>
      <c r="B4306" s="1" t="n">
        <v>44635</v>
      </c>
      <c r="C4306" s="1" t="n">
        <v>46093</v>
      </c>
      <c r="D4306" t="inlineStr">
        <is>
          <t>VÄSTERNORRLANDS LÄN</t>
        </is>
      </c>
      <c r="E4306" t="inlineStr">
        <is>
          <t>ÅNGE</t>
        </is>
      </c>
      <c r="F4306" t="inlineStr">
        <is>
          <t>SCA</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17002-2023</t>
        </is>
      </c>
      <c r="B4307" s="1" t="n">
        <v>45033</v>
      </c>
      <c r="C4307" s="1" t="n">
        <v>46093</v>
      </c>
      <c r="D4307" t="inlineStr">
        <is>
          <t>VÄSTERNORRLANDS LÄN</t>
        </is>
      </c>
      <c r="E4307" t="inlineStr">
        <is>
          <t>TIMRÅ</t>
        </is>
      </c>
      <c r="F4307" t="inlineStr">
        <is>
          <t>SCA</t>
        </is>
      </c>
      <c r="G4307" t="n">
        <v>12.7</v>
      </c>
      <c r="H4307" t="n">
        <v>0</v>
      </c>
      <c r="I4307" t="n">
        <v>0</v>
      </c>
      <c r="J4307" t="n">
        <v>0</v>
      </c>
      <c r="K4307" t="n">
        <v>0</v>
      </c>
      <c r="L4307" t="n">
        <v>0</v>
      </c>
      <c r="M4307" t="n">
        <v>0</v>
      </c>
      <c r="N4307" t="n">
        <v>0</v>
      </c>
      <c r="O4307" t="n">
        <v>0</v>
      </c>
      <c r="P4307" t="n">
        <v>0</v>
      </c>
      <c r="Q4307" t="n">
        <v>0</v>
      </c>
      <c r="R4307" s="2" t="inlineStr"/>
    </row>
    <row r="4308" ht="15" customHeight="1">
      <c r="A4308" t="inlineStr">
        <is>
          <t>A 54322-2024</t>
        </is>
      </c>
      <c r="B4308" s="1" t="n">
        <v>45617</v>
      </c>
      <c r="C4308" s="1" t="n">
        <v>46093</v>
      </c>
      <c r="D4308" t="inlineStr">
        <is>
          <t>VÄSTERNORRLANDS LÄN</t>
        </is>
      </c>
      <c r="E4308" t="inlineStr">
        <is>
          <t>TIMRÅ</t>
        </is>
      </c>
      <c r="G4308" t="n">
        <v>8</v>
      </c>
      <c r="H4308" t="n">
        <v>0</v>
      </c>
      <c r="I4308" t="n">
        <v>0</v>
      </c>
      <c r="J4308" t="n">
        <v>0</v>
      </c>
      <c r="K4308" t="n">
        <v>0</v>
      </c>
      <c r="L4308" t="n">
        <v>0</v>
      </c>
      <c r="M4308" t="n">
        <v>0</v>
      </c>
      <c r="N4308" t="n">
        <v>0</v>
      </c>
      <c r="O4308" t="n">
        <v>0</v>
      </c>
      <c r="P4308" t="n">
        <v>0</v>
      </c>
      <c r="Q4308" t="n">
        <v>0</v>
      </c>
      <c r="R4308" s="2" t="inlineStr"/>
    </row>
    <row r="4309" ht="15" customHeight="1">
      <c r="A4309" t="inlineStr">
        <is>
          <t>A 8656-2024</t>
        </is>
      </c>
      <c r="B4309" s="1" t="n">
        <v>45356</v>
      </c>
      <c r="C4309" s="1" t="n">
        <v>46093</v>
      </c>
      <c r="D4309" t="inlineStr">
        <is>
          <t>VÄSTERNORRLANDS LÄN</t>
        </is>
      </c>
      <c r="E4309" t="inlineStr">
        <is>
          <t>SOLLEFTEÅ</t>
        </is>
      </c>
      <c r="F4309" t="inlineStr">
        <is>
          <t>SCA</t>
        </is>
      </c>
      <c r="G4309" t="n">
        <v>18.4</v>
      </c>
      <c r="H4309" t="n">
        <v>0</v>
      </c>
      <c r="I4309" t="n">
        <v>0</v>
      </c>
      <c r="J4309" t="n">
        <v>0</v>
      </c>
      <c r="K4309" t="n">
        <v>0</v>
      </c>
      <c r="L4309" t="n">
        <v>0</v>
      </c>
      <c r="M4309" t="n">
        <v>0</v>
      </c>
      <c r="N4309" t="n">
        <v>0</v>
      </c>
      <c r="O4309" t="n">
        <v>0</v>
      </c>
      <c r="P4309" t="n">
        <v>0</v>
      </c>
      <c r="Q4309" t="n">
        <v>0</v>
      </c>
      <c r="R4309" s="2" t="inlineStr"/>
    </row>
    <row r="4310" ht="15" customHeight="1">
      <c r="A4310" t="inlineStr">
        <is>
          <t>A 41028-2023</t>
        </is>
      </c>
      <c r="B4310" s="1" t="n">
        <v>45169</v>
      </c>
      <c r="C4310" s="1" t="n">
        <v>46093</v>
      </c>
      <c r="D4310" t="inlineStr">
        <is>
          <t>VÄSTERNORRLANDS LÄN</t>
        </is>
      </c>
      <c r="E4310" t="inlineStr">
        <is>
          <t>SUNDSVALL</t>
        </is>
      </c>
      <c r="G4310" t="n">
        <v>5.7</v>
      </c>
      <c r="H4310" t="n">
        <v>0</v>
      </c>
      <c r="I4310" t="n">
        <v>0</v>
      </c>
      <c r="J4310" t="n">
        <v>0</v>
      </c>
      <c r="K4310" t="n">
        <v>0</v>
      </c>
      <c r="L4310" t="n">
        <v>0</v>
      </c>
      <c r="M4310" t="n">
        <v>0</v>
      </c>
      <c r="N4310" t="n">
        <v>0</v>
      </c>
      <c r="O4310" t="n">
        <v>0</v>
      </c>
      <c r="P4310" t="n">
        <v>0</v>
      </c>
      <c r="Q4310" t="n">
        <v>0</v>
      </c>
      <c r="R4310" s="2" t="inlineStr"/>
    </row>
    <row r="4311" ht="15" customHeight="1">
      <c r="A4311" t="inlineStr">
        <is>
          <t>A 41808-2025</t>
        </is>
      </c>
      <c r="B4311" s="1" t="n">
        <v>45902.64255787037</v>
      </c>
      <c r="C4311" s="1" t="n">
        <v>46093</v>
      </c>
      <c r="D4311" t="inlineStr">
        <is>
          <t>VÄSTERNORRLANDS LÄN</t>
        </is>
      </c>
      <c r="E4311" t="inlineStr">
        <is>
          <t>ÖRNSKÖLDSVIK</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20628-2023</t>
        </is>
      </c>
      <c r="B4312" s="1" t="n">
        <v>45057.94373842593</v>
      </c>
      <c r="C4312" s="1" t="n">
        <v>46093</v>
      </c>
      <c r="D4312" t="inlineStr">
        <is>
          <t>VÄSTERNORRLANDS LÄN</t>
        </is>
      </c>
      <c r="E4312" t="inlineStr">
        <is>
          <t>SOLLEFTEÅ</t>
        </is>
      </c>
      <c r="F4312" t="inlineStr">
        <is>
          <t>SCA</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11247-2025</t>
        </is>
      </c>
      <c r="B4313" s="1" t="n">
        <v>45726.38591435185</v>
      </c>
      <c r="C4313" s="1" t="n">
        <v>46093</v>
      </c>
      <c r="D4313" t="inlineStr">
        <is>
          <t>VÄSTERNORRLANDS LÄN</t>
        </is>
      </c>
      <c r="E4313" t="inlineStr">
        <is>
          <t>KRAMFORS</t>
        </is>
      </c>
      <c r="G4313" t="n">
        <v>0.4</v>
      </c>
      <c r="H4313" t="n">
        <v>0</v>
      </c>
      <c r="I4313" t="n">
        <v>0</v>
      </c>
      <c r="J4313" t="n">
        <v>0</v>
      </c>
      <c r="K4313" t="n">
        <v>0</v>
      </c>
      <c r="L4313" t="n">
        <v>0</v>
      </c>
      <c r="M4313" t="n">
        <v>0</v>
      </c>
      <c r="N4313" t="n">
        <v>0</v>
      </c>
      <c r="O4313" t="n">
        <v>0</v>
      </c>
      <c r="P4313" t="n">
        <v>0</v>
      </c>
      <c r="Q4313" t="n">
        <v>0</v>
      </c>
      <c r="R4313" s="2" t="inlineStr"/>
    </row>
    <row r="4314" ht="15" customHeight="1">
      <c r="A4314" t="inlineStr">
        <is>
          <t>A 19295-2022</t>
        </is>
      </c>
      <c r="B4314" s="1" t="n">
        <v>44692</v>
      </c>
      <c r="C4314" s="1" t="n">
        <v>46093</v>
      </c>
      <c r="D4314" t="inlineStr">
        <is>
          <t>VÄSTERNORRLANDS LÄN</t>
        </is>
      </c>
      <c r="E4314" t="inlineStr">
        <is>
          <t>SOLLEFTEÅ</t>
        </is>
      </c>
      <c r="G4314" t="n">
        <v>3.3</v>
      </c>
      <c r="H4314" t="n">
        <v>0</v>
      </c>
      <c r="I4314" t="n">
        <v>0</v>
      </c>
      <c r="J4314" t="n">
        <v>0</v>
      </c>
      <c r="K4314" t="n">
        <v>0</v>
      </c>
      <c r="L4314" t="n">
        <v>0</v>
      </c>
      <c r="M4314" t="n">
        <v>0</v>
      </c>
      <c r="N4314" t="n">
        <v>0</v>
      </c>
      <c r="O4314" t="n">
        <v>0</v>
      </c>
      <c r="P4314" t="n">
        <v>0</v>
      </c>
      <c r="Q4314" t="n">
        <v>0</v>
      </c>
      <c r="R4314" s="2" t="inlineStr"/>
    </row>
    <row r="4315" ht="15" customHeight="1">
      <c r="A4315" t="inlineStr">
        <is>
          <t>A 41774-2025</t>
        </is>
      </c>
      <c r="B4315" s="1" t="n">
        <v>45902.56362268519</v>
      </c>
      <c r="C4315" s="1" t="n">
        <v>46093</v>
      </c>
      <c r="D4315" t="inlineStr">
        <is>
          <t>VÄSTERNORRLANDS LÄN</t>
        </is>
      </c>
      <c r="E4315" t="inlineStr">
        <is>
          <t>SUNDSVALL</t>
        </is>
      </c>
      <c r="G4315" t="n">
        <v>3.3</v>
      </c>
      <c r="H4315" t="n">
        <v>0</v>
      </c>
      <c r="I4315" t="n">
        <v>0</v>
      </c>
      <c r="J4315" t="n">
        <v>0</v>
      </c>
      <c r="K4315" t="n">
        <v>0</v>
      </c>
      <c r="L4315" t="n">
        <v>0</v>
      </c>
      <c r="M4315" t="n">
        <v>0</v>
      </c>
      <c r="N4315" t="n">
        <v>0</v>
      </c>
      <c r="O4315" t="n">
        <v>0</v>
      </c>
      <c r="P4315" t="n">
        <v>0</v>
      </c>
      <c r="Q4315" t="n">
        <v>0</v>
      </c>
      <c r="R4315" s="2" t="inlineStr"/>
    </row>
    <row r="4316" ht="15" customHeight="1">
      <c r="A4316" t="inlineStr">
        <is>
          <t>A 26011-2024</t>
        </is>
      </c>
      <c r="B4316" s="1" t="n">
        <v>45467.95828703704</v>
      </c>
      <c r="C4316" s="1" t="n">
        <v>46093</v>
      </c>
      <c r="D4316" t="inlineStr">
        <is>
          <t>VÄSTERNORRLANDS LÄN</t>
        </is>
      </c>
      <c r="E4316" t="inlineStr">
        <is>
          <t>ÅNGE</t>
        </is>
      </c>
      <c r="F4316" t="inlineStr">
        <is>
          <t>SCA</t>
        </is>
      </c>
      <c r="G4316" t="n">
        <v>4.5</v>
      </c>
      <c r="H4316" t="n">
        <v>0</v>
      </c>
      <c r="I4316" t="n">
        <v>0</v>
      </c>
      <c r="J4316" t="n">
        <v>0</v>
      </c>
      <c r="K4316" t="n">
        <v>0</v>
      </c>
      <c r="L4316" t="n">
        <v>0</v>
      </c>
      <c r="M4316" t="n">
        <v>0</v>
      </c>
      <c r="N4316" t="n">
        <v>0</v>
      </c>
      <c r="O4316" t="n">
        <v>0</v>
      </c>
      <c r="P4316" t="n">
        <v>0</v>
      </c>
      <c r="Q4316" t="n">
        <v>0</v>
      </c>
      <c r="R4316" s="2" t="inlineStr"/>
    </row>
    <row r="4317" ht="15" customHeight="1">
      <c r="A4317" t="inlineStr">
        <is>
          <t>A 26014-2024</t>
        </is>
      </c>
      <c r="B4317" s="1" t="n">
        <v>45467.95862268518</v>
      </c>
      <c r="C4317" s="1" t="n">
        <v>46093</v>
      </c>
      <c r="D4317" t="inlineStr">
        <is>
          <t>VÄSTERNORRLANDS LÄN</t>
        </is>
      </c>
      <c r="E4317" t="inlineStr">
        <is>
          <t>ÅNGE</t>
        </is>
      </c>
      <c r="F4317" t="inlineStr">
        <is>
          <t>SCA</t>
        </is>
      </c>
      <c r="G4317" t="n">
        <v>3.7</v>
      </c>
      <c r="H4317" t="n">
        <v>0</v>
      </c>
      <c r="I4317" t="n">
        <v>0</v>
      </c>
      <c r="J4317" t="n">
        <v>0</v>
      </c>
      <c r="K4317" t="n">
        <v>0</v>
      </c>
      <c r="L4317" t="n">
        <v>0</v>
      </c>
      <c r="M4317" t="n">
        <v>0</v>
      </c>
      <c r="N4317" t="n">
        <v>0</v>
      </c>
      <c r="O4317" t="n">
        <v>0</v>
      </c>
      <c r="P4317" t="n">
        <v>0</v>
      </c>
      <c r="Q4317" t="n">
        <v>0</v>
      </c>
      <c r="R4317" s="2" t="inlineStr"/>
    </row>
    <row r="4318" ht="15" customHeight="1">
      <c r="A4318" t="inlineStr">
        <is>
          <t>A 26019-2024</t>
        </is>
      </c>
      <c r="B4318" s="1" t="n">
        <v>45467.96015046296</v>
      </c>
      <c r="C4318" s="1" t="n">
        <v>46093</v>
      </c>
      <c r="D4318" t="inlineStr">
        <is>
          <t>VÄSTERNORRLANDS LÄN</t>
        </is>
      </c>
      <c r="E4318" t="inlineStr">
        <is>
          <t>ÅNGE</t>
        </is>
      </c>
      <c r="F4318" t="inlineStr">
        <is>
          <t>SCA</t>
        </is>
      </c>
      <c r="G4318" t="n">
        <v>7.5</v>
      </c>
      <c r="H4318" t="n">
        <v>0</v>
      </c>
      <c r="I4318" t="n">
        <v>0</v>
      </c>
      <c r="J4318" t="n">
        <v>0</v>
      </c>
      <c r="K4318" t="n">
        <v>0</v>
      </c>
      <c r="L4318" t="n">
        <v>0</v>
      </c>
      <c r="M4318" t="n">
        <v>0</v>
      </c>
      <c r="N4318" t="n">
        <v>0</v>
      </c>
      <c r="O4318" t="n">
        <v>0</v>
      </c>
      <c r="P4318" t="n">
        <v>0</v>
      </c>
      <c r="Q4318" t="n">
        <v>0</v>
      </c>
      <c r="R4318" s="2" t="inlineStr"/>
    </row>
    <row r="4319" ht="15" customHeight="1">
      <c r="A4319" t="inlineStr">
        <is>
          <t>A 1080-2022</t>
        </is>
      </c>
      <c r="B4319" s="1" t="n">
        <v>44571.92100694445</v>
      </c>
      <c r="C4319" s="1" t="n">
        <v>46093</v>
      </c>
      <c r="D4319" t="inlineStr">
        <is>
          <t>VÄSTERNORRLANDS LÄN</t>
        </is>
      </c>
      <c r="E4319" t="inlineStr">
        <is>
          <t>SUNDSVALL</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1986-2025</t>
        </is>
      </c>
      <c r="B4320" s="1" t="n">
        <v>45672.40684027778</v>
      </c>
      <c r="C4320" s="1" t="n">
        <v>46093</v>
      </c>
      <c r="D4320" t="inlineStr">
        <is>
          <t>VÄSTERNORRLANDS LÄN</t>
        </is>
      </c>
      <c r="E4320" t="inlineStr">
        <is>
          <t>SOLLEFTEÅ</t>
        </is>
      </c>
      <c r="F4320" t="inlineStr">
        <is>
          <t>SCA</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6690-2024</t>
        </is>
      </c>
      <c r="B4321" s="1" t="n">
        <v>45341</v>
      </c>
      <c r="C4321" s="1" t="n">
        <v>46093</v>
      </c>
      <c r="D4321" t="inlineStr">
        <is>
          <t>VÄSTERNORRLANDS LÄN</t>
        </is>
      </c>
      <c r="E4321" t="inlineStr">
        <is>
          <t>ÅNGE</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26052-2024</t>
        </is>
      </c>
      <c r="B4322" s="1" t="n">
        <v>45468.34039351852</v>
      </c>
      <c r="C4322" s="1" t="n">
        <v>46093</v>
      </c>
      <c r="D4322" t="inlineStr">
        <is>
          <t>VÄSTERNORRLANDS LÄN</t>
        </is>
      </c>
      <c r="E4322" t="inlineStr">
        <is>
          <t>ÖRNSKÖLDSVIK</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39016-2024</t>
        </is>
      </c>
      <c r="B4323" s="1" t="n">
        <v>45548.44478009259</v>
      </c>
      <c r="C4323" s="1" t="n">
        <v>46093</v>
      </c>
      <c r="D4323" t="inlineStr">
        <is>
          <t>VÄSTERNORRLANDS LÄN</t>
        </is>
      </c>
      <c r="E4323" t="inlineStr">
        <is>
          <t>ÖRNSKÖLDSVIK</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14730-2025</t>
        </is>
      </c>
      <c r="B4324" s="1" t="n">
        <v>45742.63587962963</v>
      </c>
      <c r="C4324" s="1" t="n">
        <v>46093</v>
      </c>
      <c r="D4324" t="inlineStr">
        <is>
          <t>VÄSTERNORRLANDS LÄN</t>
        </is>
      </c>
      <c r="E4324" t="inlineStr">
        <is>
          <t>SOLLEFTEÅ</t>
        </is>
      </c>
      <c r="F4324" t="inlineStr">
        <is>
          <t>SCA</t>
        </is>
      </c>
      <c r="G4324" t="n">
        <v>3.1</v>
      </c>
      <c r="H4324" t="n">
        <v>0</v>
      </c>
      <c r="I4324" t="n">
        <v>0</v>
      </c>
      <c r="J4324" t="n">
        <v>0</v>
      </c>
      <c r="K4324" t="n">
        <v>0</v>
      </c>
      <c r="L4324" t="n">
        <v>0</v>
      </c>
      <c r="M4324" t="n">
        <v>0</v>
      </c>
      <c r="N4324" t="n">
        <v>0</v>
      </c>
      <c r="O4324" t="n">
        <v>0</v>
      </c>
      <c r="P4324" t="n">
        <v>0</v>
      </c>
      <c r="Q4324" t="n">
        <v>0</v>
      </c>
      <c r="R4324" s="2" t="inlineStr"/>
    </row>
    <row r="4325" ht="15" customHeight="1">
      <c r="A4325" t="inlineStr">
        <is>
          <t>A 33495-2025</t>
        </is>
      </c>
      <c r="B4325" s="1" t="n">
        <v>45841</v>
      </c>
      <c r="C4325" s="1" t="n">
        <v>46093</v>
      </c>
      <c r="D4325" t="inlineStr">
        <is>
          <t>VÄSTERNORRLANDS LÄN</t>
        </is>
      </c>
      <c r="E4325" t="inlineStr">
        <is>
          <t>SOLLEFTEÅ</t>
        </is>
      </c>
      <c r="F4325" t="inlineStr">
        <is>
          <t>SCA</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71547-2021</t>
        </is>
      </c>
      <c r="B4326" s="1" t="n">
        <v>44540</v>
      </c>
      <c r="C4326" s="1" t="n">
        <v>46093</v>
      </c>
      <c r="D4326" t="inlineStr">
        <is>
          <t>VÄSTERNORRLANDS LÄN</t>
        </is>
      </c>
      <c r="E4326" t="inlineStr">
        <is>
          <t>ÖRNSKÖLDSVIK</t>
        </is>
      </c>
      <c r="F4326" t="inlineStr">
        <is>
          <t>Holmen skog AB</t>
        </is>
      </c>
      <c r="G4326" t="n">
        <v>4.3</v>
      </c>
      <c r="H4326" t="n">
        <v>0</v>
      </c>
      <c r="I4326" t="n">
        <v>0</v>
      </c>
      <c r="J4326" t="n">
        <v>0</v>
      </c>
      <c r="K4326" t="n">
        <v>0</v>
      </c>
      <c r="L4326" t="n">
        <v>0</v>
      </c>
      <c r="M4326" t="n">
        <v>0</v>
      </c>
      <c r="N4326" t="n">
        <v>0</v>
      </c>
      <c r="O4326" t="n">
        <v>0</v>
      </c>
      <c r="P4326" t="n">
        <v>0</v>
      </c>
      <c r="Q4326" t="n">
        <v>0</v>
      </c>
      <c r="R4326" s="2" t="inlineStr"/>
    </row>
    <row r="4327" ht="15" customHeight="1">
      <c r="A4327" t="inlineStr">
        <is>
          <t>A 3856-2025</t>
        </is>
      </c>
      <c r="B4327" s="1" t="n">
        <v>45682</v>
      </c>
      <c r="C4327" s="1" t="n">
        <v>46093</v>
      </c>
      <c r="D4327" t="inlineStr">
        <is>
          <t>VÄSTERNORRLANDS LÄN</t>
        </is>
      </c>
      <c r="E4327" t="inlineStr">
        <is>
          <t>ÖRNSKÖLDSVIK</t>
        </is>
      </c>
      <c r="G4327" t="n">
        <v>3.2</v>
      </c>
      <c r="H4327" t="n">
        <v>0</v>
      </c>
      <c r="I4327" t="n">
        <v>0</v>
      </c>
      <c r="J4327" t="n">
        <v>0</v>
      </c>
      <c r="K4327" t="n">
        <v>0</v>
      </c>
      <c r="L4327" t="n">
        <v>0</v>
      </c>
      <c r="M4327" t="n">
        <v>0</v>
      </c>
      <c r="N4327" t="n">
        <v>0</v>
      </c>
      <c r="O4327" t="n">
        <v>0</v>
      </c>
      <c r="P4327" t="n">
        <v>0</v>
      </c>
      <c r="Q4327" t="n">
        <v>0</v>
      </c>
      <c r="R4327" s="2" t="inlineStr"/>
    </row>
    <row r="4328" ht="15" customHeight="1">
      <c r="A4328" t="inlineStr">
        <is>
          <t>A 55272-2024</t>
        </is>
      </c>
      <c r="B4328" s="1" t="n">
        <v>45621</v>
      </c>
      <c r="C4328" s="1" t="n">
        <v>46093</v>
      </c>
      <c r="D4328" t="inlineStr">
        <is>
          <t>VÄSTERNORRLANDS LÄN</t>
        </is>
      </c>
      <c r="E4328" t="inlineStr">
        <is>
          <t>SOLLEFTEÅ</t>
        </is>
      </c>
      <c r="G4328" t="n">
        <v>4.1</v>
      </c>
      <c r="H4328" t="n">
        <v>0</v>
      </c>
      <c r="I4328" t="n">
        <v>0</v>
      </c>
      <c r="J4328" t="n">
        <v>0</v>
      </c>
      <c r="K4328" t="n">
        <v>0</v>
      </c>
      <c r="L4328" t="n">
        <v>0</v>
      </c>
      <c r="M4328" t="n">
        <v>0</v>
      </c>
      <c r="N4328" t="n">
        <v>0</v>
      </c>
      <c r="O4328" t="n">
        <v>0</v>
      </c>
      <c r="P4328" t="n">
        <v>0</v>
      </c>
      <c r="Q4328" t="n">
        <v>0</v>
      </c>
      <c r="R4328" s="2" t="inlineStr"/>
    </row>
    <row r="4329" ht="15" customHeight="1">
      <c r="A4329" t="inlineStr">
        <is>
          <t>A 36057-2025</t>
        </is>
      </c>
      <c r="B4329" s="1" t="n">
        <v>45866.39201388889</v>
      </c>
      <c r="C4329" s="1" t="n">
        <v>46093</v>
      </c>
      <c r="D4329" t="inlineStr">
        <is>
          <t>VÄSTERNORRLANDS LÄN</t>
        </is>
      </c>
      <c r="E4329" t="inlineStr">
        <is>
          <t>ÖRNSKÖLDSVIK</t>
        </is>
      </c>
      <c r="G4329" t="n">
        <v>3.8</v>
      </c>
      <c r="H4329" t="n">
        <v>0</v>
      </c>
      <c r="I4329" t="n">
        <v>0</v>
      </c>
      <c r="J4329" t="n">
        <v>0</v>
      </c>
      <c r="K4329" t="n">
        <v>0</v>
      </c>
      <c r="L4329" t="n">
        <v>0</v>
      </c>
      <c r="M4329" t="n">
        <v>0</v>
      </c>
      <c r="N4329" t="n">
        <v>0</v>
      </c>
      <c r="O4329" t="n">
        <v>0</v>
      </c>
      <c r="P4329" t="n">
        <v>0</v>
      </c>
      <c r="Q4329" t="n">
        <v>0</v>
      </c>
      <c r="R4329" s="2" t="inlineStr"/>
    </row>
    <row r="4330" ht="15" customHeight="1">
      <c r="A4330" t="inlineStr">
        <is>
          <t>A 43128-2024</t>
        </is>
      </c>
      <c r="B4330" s="1" t="n">
        <v>45567</v>
      </c>
      <c r="C4330" s="1" t="n">
        <v>46093</v>
      </c>
      <c r="D4330" t="inlineStr">
        <is>
          <t>VÄSTERNORRLANDS LÄN</t>
        </is>
      </c>
      <c r="E4330" t="inlineStr">
        <is>
          <t>SUNDSVALL</t>
        </is>
      </c>
      <c r="F4330" t="inlineStr">
        <is>
          <t>SCA</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11352-2022</t>
        </is>
      </c>
      <c r="B4331" s="1" t="n">
        <v>44630</v>
      </c>
      <c r="C4331" s="1" t="n">
        <v>46093</v>
      </c>
      <c r="D4331" t="inlineStr">
        <is>
          <t>VÄSTERNORRLANDS LÄN</t>
        </is>
      </c>
      <c r="E4331" t="inlineStr">
        <is>
          <t>SUNDSVALL</t>
        </is>
      </c>
      <c r="G4331" t="n">
        <v>10.2</v>
      </c>
      <c r="H4331" t="n">
        <v>0</v>
      </c>
      <c r="I4331" t="n">
        <v>0</v>
      </c>
      <c r="J4331" t="n">
        <v>0</v>
      </c>
      <c r="K4331" t="n">
        <v>0</v>
      </c>
      <c r="L4331" t="n">
        <v>0</v>
      </c>
      <c r="M4331" t="n">
        <v>0</v>
      </c>
      <c r="N4331" t="n">
        <v>0</v>
      </c>
      <c r="O4331" t="n">
        <v>0</v>
      </c>
      <c r="P4331" t="n">
        <v>0</v>
      </c>
      <c r="Q4331" t="n">
        <v>0</v>
      </c>
      <c r="R4331" s="2" t="inlineStr"/>
    </row>
    <row r="4332" ht="15" customHeight="1">
      <c r="A4332" t="inlineStr">
        <is>
          <t>A 42603-2023</t>
        </is>
      </c>
      <c r="B4332" s="1" t="n">
        <v>45181.4537037037</v>
      </c>
      <c r="C4332" s="1" t="n">
        <v>46093</v>
      </c>
      <c r="D4332" t="inlineStr">
        <is>
          <t>VÄSTERNORRLANDS LÄN</t>
        </is>
      </c>
      <c r="E4332" t="inlineStr">
        <is>
          <t>ÖRNSKÖLDSVIK</t>
        </is>
      </c>
      <c r="F4332" t="inlineStr">
        <is>
          <t>Holmen skog AB</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41433-2025</t>
        </is>
      </c>
      <c r="B4333" s="1" t="n">
        <v>45901.39608796296</v>
      </c>
      <c r="C4333" s="1" t="n">
        <v>46093</v>
      </c>
      <c r="D4333" t="inlineStr">
        <is>
          <t>VÄSTERNORRLANDS LÄN</t>
        </is>
      </c>
      <c r="E4333" t="inlineStr">
        <is>
          <t>ÖRNSKÖLDSVIK</t>
        </is>
      </c>
      <c r="F4333" t="inlineStr">
        <is>
          <t>Holmen skog AB</t>
        </is>
      </c>
      <c r="G4333" t="n">
        <v>12.8</v>
      </c>
      <c r="H4333" t="n">
        <v>0</v>
      </c>
      <c r="I4333" t="n">
        <v>0</v>
      </c>
      <c r="J4333" t="n">
        <v>0</v>
      </c>
      <c r="K4333" t="n">
        <v>0</v>
      </c>
      <c r="L4333" t="n">
        <v>0</v>
      </c>
      <c r="M4333" t="n">
        <v>0</v>
      </c>
      <c r="N4333" t="n">
        <v>0</v>
      </c>
      <c r="O4333" t="n">
        <v>0</v>
      </c>
      <c r="P4333" t="n">
        <v>0</v>
      </c>
      <c r="Q4333" t="n">
        <v>0</v>
      </c>
      <c r="R4333" s="2" t="inlineStr"/>
    </row>
    <row r="4334" ht="15" customHeight="1">
      <c r="A4334" t="inlineStr">
        <is>
          <t>A 55440-2024</t>
        </is>
      </c>
      <c r="B4334" s="1" t="n">
        <v>45622.40679398148</v>
      </c>
      <c r="C4334" s="1" t="n">
        <v>46093</v>
      </c>
      <c r="D4334" t="inlineStr">
        <is>
          <t>VÄSTERNORRLANDS LÄN</t>
        </is>
      </c>
      <c r="E4334" t="inlineStr">
        <is>
          <t>SOLLEFTEÅ</t>
        </is>
      </c>
      <c r="F4334" t="inlineStr">
        <is>
          <t>SCA</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70638-2021</t>
        </is>
      </c>
      <c r="B4335" s="1" t="n">
        <v>44536</v>
      </c>
      <c r="C4335" s="1" t="n">
        <v>46093</v>
      </c>
      <c r="D4335" t="inlineStr">
        <is>
          <t>VÄSTERNORRLANDS LÄN</t>
        </is>
      </c>
      <c r="E4335" t="inlineStr">
        <is>
          <t>KRAMFORS</t>
        </is>
      </c>
      <c r="F4335" t="inlineStr">
        <is>
          <t>Kyrkan</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51790-2023</t>
        </is>
      </c>
      <c r="B4336" s="1" t="n">
        <v>45222</v>
      </c>
      <c r="C4336" s="1" t="n">
        <v>46093</v>
      </c>
      <c r="D4336" t="inlineStr">
        <is>
          <t>VÄSTERNORRLANDS LÄN</t>
        </is>
      </c>
      <c r="E4336" t="inlineStr">
        <is>
          <t>SUNDSVALL</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51791-2023</t>
        </is>
      </c>
      <c r="B4337" s="1" t="n">
        <v>45222</v>
      </c>
      <c r="C4337" s="1" t="n">
        <v>46093</v>
      </c>
      <c r="D4337" t="inlineStr">
        <is>
          <t>VÄSTERNORRLANDS LÄN</t>
        </is>
      </c>
      <c r="E4337" t="inlineStr">
        <is>
          <t>SUNDSVALL</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43138-2024</t>
        </is>
      </c>
      <c r="B4338" s="1" t="n">
        <v>45567</v>
      </c>
      <c r="C4338" s="1" t="n">
        <v>46093</v>
      </c>
      <c r="D4338" t="inlineStr">
        <is>
          <t>VÄSTERNORRLANDS LÄN</t>
        </is>
      </c>
      <c r="E4338" t="inlineStr">
        <is>
          <t>ÖRNSKÖLDSVIK</t>
        </is>
      </c>
      <c r="G4338" t="n">
        <v>4.1</v>
      </c>
      <c r="H4338" t="n">
        <v>0</v>
      </c>
      <c r="I4338" t="n">
        <v>0</v>
      </c>
      <c r="J4338" t="n">
        <v>0</v>
      </c>
      <c r="K4338" t="n">
        <v>0</v>
      </c>
      <c r="L4338" t="n">
        <v>0</v>
      </c>
      <c r="M4338" t="n">
        <v>0</v>
      </c>
      <c r="N4338" t="n">
        <v>0</v>
      </c>
      <c r="O4338" t="n">
        <v>0</v>
      </c>
      <c r="P4338" t="n">
        <v>0</v>
      </c>
      <c r="Q4338" t="n">
        <v>0</v>
      </c>
      <c r="R4338" s="2" t="inlineStr"/>
    </row>
    <row r="4339" ht="15" customHeight="1">
      <c r="A4339" t="inlineStr">
        <is>
          <t>A 43872-2024</t>
        </is>
      </c>
      <c r="B4339" s="1" t="n">
        <v>45572.38420138889</v>
      </c>
      <c r="C4339" s="1" t="n">
        <v>46093</v>
      </c>
      <c r="D4339" t="inlineStr">
        <is>
          <t>VÄSTERNORRLANDS LÄN</t>
        </is>
      </c>
      <c r="E4339" t="inlineStr">
        <is>
          <t>KRAMFORS</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5314-2025</t>
        </is>
      </c>
      <c r="B4340" s="1" t="n">
        <v>45692.51083333333</v>
      </c>
      <c r="C4340" s="1" t="n">
        <v>46093</v>
      </c>
      <c r="D4340" t="inlineStr">
        <is>
          <t>VÄSTERNORRLANDS LÄN</t>
        </is>
      </c>
      <c r="E4340" t="inlineStr">
        <is>
          <t>SUNDSVALL</t>
        </is>
      </c>
      <c r="F4340" t="inlineStr">
        <is>
          <t>SCA</t>
        </is>
      </c>
      <c r="G4340" t="n">
        <v>7.4</v>
      </c>
      <c r="H4340" t="n">
        <v>0</v>
      </c>
      <c r="I4340" t="n">
        <v>0</v>
      </c>
      <c r="J4340" t="n">
        <v>0</v>
      </c>
      <c r="K4340" t="n">
        <v>0</v>
      </c>
      <c r="L4340" t="n">
        <v>0</v>
      </c>
      <c r="M4340" t="n">
        <v>0</v>
      </c>
      <c r="N4340" t="n">
        <v>0</v>
      </c>
      <c r="O4340" t="n">
        <v>0</v>
      </c>
      <c r="P4340" t="n">
        <v>0</v>
      </c>
      <c r="Q4340" t="n">
        <v>0</v>
      </c>
      <c r="R4340" s="2" t="inlineStr"/>
    </row>
    <row r="4341" ht="15" customHeight="1">
      <c r="A4341" t="inlineStr">
        <is>
          <t>A 41355-2025</t>
        </is>
      </c>
      <c r="B4341" s="1" t="n">
        <v>45900.34425925926</v>
      </c>
      <c r="C4341" s="1" t="n">
        <v>46093</v>
      </c>
      <c r="D4341" t="inlineStr">
        <is>
          <t>VÄSTERNORRLANDS LÄN</t>
        </is>
      </c>
      <c r="E4341" t="inlineStr">
        <is>
          <t>ÅNGE</t>
        </is>
      </c>
      <c r="F4341" t="inlineStr">
        <is>
          <t>SCA</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41437-2025</t>
        </is>
      </c>
      <c r="B4342" s="1" t="n">
        <v>45901.40284722222</v>
      </c>
      <c r="C4342" s="1" t="n">
        <v>46093</v>
      </c>
      <c r="D4342" t="inlineStr">
        <is>
          <t>VÄSTERNORRLANDS LÄN</t>
        </is>
      </c>
      <c r="E4342" t="inlineStr">
        <is>
          <t>ÖRNSKÖLDSVIK</t>
        </is>
      </c>
      <c r="F4342" t="inlineStr">
        <is>
          <t>Holmen skog AB</t>
        </is>
      </c>
      <c r="G4342" t="n">
        <v>5.4</v>
      </c>
      <c r="H4342" t="n">
        <v>0</v>
      </c>
      <c r="I4342" t="n">
        <v>0</v>
      </c>
      <c r="J4342" t="n">
        <v>0</v>
      </c>
      <c r="K4342" t="n">
        <v>0</v>
      </c>
      <c r="L4342" t="n">
        <v>0</v>
      </c>
      <c r="M4342" t="n">
        <v>0</v>
      </c>
      <c r="N4342" t="n">
        <v>0</v>
      </c>
      <c r="O4342" t="n">
        <v>0</v>
      </c>
      <c r="P4342" t="n">
        <v>0</v>
      </c>
      <c r="Q4342" t="n">
        <v>0</v>
      </c>
      <c r="R4342" s="2" t="inlineStr"/>
    </row>
    <row r="4343" ht="15" customHeight="1">
      <c r="A4343" t="inlineStr">
        <is>
          <t>A 5359-2025</t>
        </is>
      </c>
      <c r="B4343" s="1" t="n">
        <v>45692</v>
      </c>
      <c r="C4343" s="1" t="n">
        <v>46093</v>
      </c>
      <c r="D4343" t="inlineStr">
        <is>
          <t>VÄSTERNORRLANDS LÄN</t>
        </is>
      </c>
      <c r="E4343" t="inlineStr">
        <is>
          <t>SOLLEFTEÅ</t>
        </is>
      </c>
      <c r="F4343" t="inlineStr">
        <is>
          <t>Övriga statliga verk och myndigheter</t>
        </is>
      </c>
      <c r="G4343" t="n">
        <v>3.3</v>
      </c>
      <c r="H4343" t="n">
        <v>0</v>
      </c>
      <c r="I4343" t="n">
        <v>0</v>
      </c>
      <c r="J4343" t="n">
        <v>0</v>
      </c>
      <c r="K4343" t="n">
        <v>0</v>
      </c>
      <c r="L4343" t="n">
        <v>0</v>
      </c>
      <c r="M4343" t="n">
        <v>0</v>
      </c>
      <c r="N4343" t="n">
        <v>0</v>
      </c>
      <c r="O4343" t="n">
        <v>0</v>
      </c>
      <c r="P4343" t="n">
        <v>0</v>
      </c>
      <c r="Q4343" t="n">
        <v>0</v>
      </c>
      <c r="R4343" s="2" t="inlineStr"/>
    </row>
    <row r="4344" ht="15" customHeight="1">
      <c r="A4344" t="inlineStr">
        <is>
          <t>A 2777-2025</t>
        </is>
      </c>
      <c r="B4344" s="1" t="n">
        <v>45677.52034722222</v>
      </c>
      <c r="C4344" s="1" t="n">
        <v>46093</v>
      </c>
      <c r="D4344" t="inlineStr">
        <is>
          <t>VÄSTERNORRLANDS LÄN</t>
        </is>
      </c>
      <c r="E4344" t="inlineStr">
        <is>
          <t>KRAMFORS</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52421-2024</t>
        </is>
      </c>
      <c r="B4345" s="1" t="n">
        <v>45609.46614583334</v>
      </c>
      <c r="C4345" s="1" t="n">
        <v>46093</v>
      </c>
      <c r="D4345" t="inlineStr">
        <is>
          <t>VÄSTERNORRLANDS LÄN</t>
        </is>
      </c>
      <c r="E4345" t="inlineStr">
        <is>
          <t>ÖRNSKÖLDSVIK</t>
        </is>
      </c>
      <c r="F4345" t="inlineStr">
        <is>
          <t>Holmen skog AB</t>
        </is>
      </c>
      <c r="G4345" t="n">
        <v>10.2</v>
      </c>
      <c r="H4345" t="n">
        <v>0</v>
      </c>
      <c r="I4345" t="n">
        <v>0</v>
      </c>
      <c r="J4345" t="n">
        <v>0</v>
      </c>
      <c r="K4345" t="n">
        <v>0</v>
      </c>
      <c r="L4345" t="n">
        <v>0</v>
      </c>
      <c r="M4345" t="n">
        <v>0</v>
      </c>
      <c r="N4345" t="n">
        <v>0</v>
      </c>
      <c r="O4345" t="n">
        <v>0</v>
      </c>
      <c r="P4345" t="n">
        <v>0</v>
      </c>
      <c r="Q4345" t="n">
        <v>0</v>
      </c>
      <c r="R4345" s="2" t="inlineStr"/>
    </row>
    <row r="4346" ht="15" customHeight="1">
      <c r="A4346" t="inlineStr">
        <is>
          <t>A 20936-2024</t>
        </is>
      </c>
      <c r="B4346" s="1" t="n">
        <v>45439</v>
      </c>
      <c r="C4346" s="1" t="n">
        <v>46093</v>
      </c>
      <c r="D4346" t="inlineStr">
        <is>
          <t>VÄSTERNORRLANDS LÄN</t>
        </is>
      </c>
      <c r="E4346" t="inlineStr">
        <is>
          <t>TIMRÅ</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16979-2022</t>
        </is>
      </c>
      <c r="B4347" s="1" t="n">
        <v>44676</v>
      </c>
      <c r="C4347" s="1" t="n">
        <v>46093</v>
      </c>
      <c r="D4347" t="inlineStr">
        <is>
          <t>VÄSTERNORRLANDS LÄN</t>
        </is>
      </c>
      <c r="E4347" t="inlineStr">
        <is>
          <t>HÄRNÖSAND</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55787-2024</t>
        </is>
      </c>
      <c r="B4348" s="1" t="n">
        <v>45623</v>
      </c>
      <c r="C4348" s="1" t="n">
        <v>46093</v>
      </c>
      <c r="D4348" t="inlineStr">
        <is>
          <t>VÄSTERNORRLANDS LÄN</t>
        </is>
      </c>
      <c r="E4348" t="inlineStr">
        <is>
          <t>KRAMFORS</t>
        </is>
      </c>
      <c r="G4348" t="n">
        <v>5.7</v>
      </c>
      <c r="H4348" t="n">
        <v>0</v>
      </c>
      <c r="I4348" t="n">
        <v>0</v>
      </c>
      <c r="J4348" t="n">
        <v>0</v>
      </c>
      <c r="K4348" t="n">
        <v>0</v>
      </c>
      <c r="L4348" t="n">
        <v>0</v>
      </c>
      <c r="M4348" t="n">
        <v>0</v>
      </c>
      <c r="N4348" t="n">
        <v>0</v>
      </c>
      <c r="O4348" t="n">
        <v>0</v>
      </c>
      <c r="P4348" t="n">
        <v>0</v>
      </c>
      <c r="Q4348" t="n">
        <v>0</v>
      </c>
      <c r="R4348" s="2" t="inlineStr"/>
    </row>
    <row r="4349" ht="15" customHeight="1">
      <c r="A4349" t="inlineStr">
        <is>
          <t>A 55790-2024</t>
        </is>
      </c>
      <c r="B4349" s="1" t="n">
        <v>45623.42818287037</v>
      </c>
      <c r="C4349" s="1" t="n">
        <v>46093</v>
      </c>
      <c r="D4349" t="inlineStr">
        <is>
          <t>VÄSTERNORRLANDS LÄN</t>
        </is>
      </c>
      <c r="E4349" t="inlineStr">
        <is>
          <t>SUNDSVALL</t>
        </is>
      </c>
      <c r="F4349" t="inlineStr">
        <is>
          <t>Naturvårdsverket</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29055-2025</t>
        </is>
      </c>
      <c r="B4350" s="1" t="n">
        <v>45821.47163194444</v>
      </c>
      <c r="C4350" s="1" t="n">
        <v>46093</v>
      </c>
      <c r="D4350" t="inlineStr">
        <is>
          <t>VÄSTERNORRLANDS LÄN</t>
        </is>
      </c>
      <c r="E4350" t="inlineStr">
        <is>
          <t>ÖRNSKÖLDSVIK</t>
        </is>
      </c>
      <c r="F4350" t="inlineStr">
        <is>
          <t>Holmen skog AB</t>
        </is>
      </c>
      <c r="G4350" t="n">
        <v>13.5</v>
      </c>
      <c r="H4350" t="n">
        <v>0</v>
      </c>
      <c r="I4350" t="n">
        <v>0</v>
      </c>
      <c r="J4350" t="n">
        <v>0</v>
      </c>
      <c r="K4350" t="n">
        <v>0</v>
      </c>
      <c r="L4350" t="n">
        <v>0</v>
      </c>
      <c r="M4350" t="n">
        <v>0</v>
      </c>
      <c r="N4350" t="n">
        <v>0</v>
      </c>
      <c r="O4350" t="n">
        <v>0</v>
      </c>
      <c r="P4350" t="n">
        <v>0</v>
      </c>
      <c r="Q4350" t="n">
        <v>0</v>
      </c>
      <c r="R4350" s="2" t="inlineStr"/>
    </row>
    <row r="4351" ht="15" customHeight="1">
      <c r="A4351" t="inlineStr">
        <is>
          <t>A 12986-2025</t>
        </is>
      </c>
      <c r="B4351" s="1" t="n">
        <v>45734.46916666667</v>
      </c>
      <c r="C4351" s="1" t="n">
        <v>46093</v>
      </c>
      <c r="D4351" t="inlineStr">
        <is>
          <t>VÄSTERNORRLANDS LÄN</t>
        </is>
      </c>
      <c r="E4351" t="inlineStr">
        <is>
          <t>SUNDSVALL</t>
        </is>
      </c>
      <c r="F4351" t="inlineStr">
        <is>
          <t>SCA</t>
        </is>
      </c>
      <c r="G4351" t="n">
        <v>29.3</v>
      </c>
      <c r="H4351" t="n">
        <v>0</v>
      </c>
      <c r="I4351" t="n">
        <v>0</v>
      </c>
      <c r="J4351" t="n">
        <v>0</v>
      </c>
      <c r="K4351" t="n">
        <v>0</v>
      </c>
      <c r="L4351" t="n">
        <v>0</v>
      </c>
      <c r="M4351" t="n">
        <v>0</v>
      </c>
      <c r="N4351" t="n">
        <v>0</v>
      </c>
      <c r="O4351" t="n">
        <v>0</v>
      </c>
      <c r="P4351" t="n">
        <v>0</v>
      </c>
      <c r="Q4351" t="n">
        <v>0</v>
      </c>
      <c r="R4351" s="2" t="inlineStr"/>
    </row>
    <row r="4352" ht="15" customHeight="1">
      <c r="A4352" t="inlineStr">
        <is>
          <t>A 41505-2025</t>
        </is>
      </c>
      <c r="B4352" s="1" t="n">
        <v>45901.52425925926</v>
      </c>
      <c r="C4352" s="1" t="n">
        <v>46093</v>
      </c>
      <c r="D4352" t="inlineStr">
        <is>
          <t>VÄSTERNORRLANDS LÄN</t>
        </is>
      </c>
      <c r="E4352" t="inlineStr">
        <is>
          <t>SUNDSVALL</t>
        </is>
      </c>
      <c r="G4352" t="n">
        <v>3</v>
      </c>
      <c r="H4352" t="n">
        <v>0</v>
      </c>
      <c r="I4352" t="n">
        <v>0</v>
      </c>
      <c r="J4352" t="n">
        <v>0</v>
      </c>
      <c r="K4352" t="n">
        <v>0</v>
      </c>
      <c r="L4352" t="n">
        <v>0</v>
      </c>
      <c r="M4352" t="n">
        <v>0</v>
      </c>
      <c r="N4352" t="n">
        <v>0</v>
      </c>
      <c r="O4352" t="n">
        <v>0</v>
      </c>
      <c r="P4352" t="n">
        <v>0</v>
      </c>
      <c r="Q4352" t="n">
        <v>0</v>
      </c>
      <c r="R4352" s="2" t="inlineStr"/>
    </row>
    <row r="4353" ht="15" customHeight="1">
      <c r="A4353" t="inlineStr">
        <is>
          <t>A 36068-2025</t>
        </is>
      </c>
      <c r="B4353" s="1" t="n">
        <v>45866.42752314815</v>
      </c>
      <c r="C4353" s="1" t="n">
        <v>46093</v>
      </c>
      <c r="D4353" t="inlineStr">
        <is>
          <t>VÄSTERNORRLANDS LÄN</t>
        </is>
      </c>
      <c r="E4353" t="inlineStr">
        <is>
          <t>SOLLEFTEÅ</t>
        </is>
      </c>
      <c r="F4353" t="inlineStr">
        <is>
          <t>SCA</t>
        </is>
      </c>
      <c r="G4353" t="n">
        <v>5.7</v>
      </c>
      <c r="H4353" t="n">
        <v>0</v>
      </c>
      <c r="I4353" t="n">
        <v>0</v>
      </c>
      <c r="J4353" t="n">
        <v>0</v>
      </c>
      <c r="K4353" t="n">
        <v>0</v>
      </c>
      <c r="L4353" t="n">
        <v>0</v>
      </c>
      <c r="M4353" t="n">
        <v>0</v>
      </c>
      <c r="N4353" t="n">
        <v>0</v>
      </c>
      <c r="O4353" t="n">
        <v>0</v>
      </c>
      <c r="P4353" t="n">
        <v>0</v>
      </c>
      <c r="Q4353" t="n">
        <v>0</v>
      </c>
      <c r="R4353" s="2" t="inlineStr"/>
    </row>
    <row r="4354" ht="15" customHeight="1">
      <c r="A4354" t="inlineStr">
        <is>
          <t>A 36073-2025</t>
        </is>
      </c>
      <c r="B4354" s="1" t="n">
        <v>45866.4346412037</v>
      </c>
      <c r="C4354" s="1" t="n">
        <v>46093</v>
      </c>
      <c r="D4354" t="inlineStr">
        <is>
          <t>VÄSTERNORRLANDS LÄN</t>
        </is>
      </c>
      <c r="E4354" t="inlineStr">
        <is>
          <t>SUNDSVALL</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51942-2024</t>
        </is>
      </c>
      <c r="B4355" s="1" t="n">
        <v>45607.63592592593</v>
      </c>
      <c r="C4355" s="1" t="n">
        <v>46093</v>
      </c>
      <c r="D4355" t="inlineStr">
        <is>
          <t>VÄSTERNORRLANDS LÄN</t>
        </is>
      </c>
      <c r="E4355" t="inlineStr">
        <is>
          <t>SOLLEFTEÅ</t>
        </is>
      </c>
      <c r="F4355" t="inlineStr">
        <is>
          <t>SCA</t>
        </is>
      </c>
      <c r="G4355" t="n">
        <v>3.4</v>
      </c>
      <c r="H4355" t="n">
        <v>0</v>
      </c>
      <c r="I4355" t="n">
        <v>0</v>
      </c>
      <c r="J4355" t="n">
        <v>0</v>
      </c>
      <c r="K4355" t="n">
        <v>0</v>
      </c>
      <c r="L4355" t="n">
        <v>0</v>
      </c>
      <c r="M4355" t="n">
        <v>0</v>
      </c>
      <c r="N4355" t="n">
        <v>0</v>
      </c>
      <c r="O4355" t="n">
        <v>0</v>
      </c>
      <c r="P4355" t="n">
        <v>0</v>
      </c>
      <c r="Q4355" t="n">
        <v>0</v>
      </c>
      <c r="R4355" s="2" t="inlineStr"/>
    </row>
    <row r="4356" ht="15" customHeight="1">
      <c r="A4356" t="inlineStr">
        <is>
          <t>A 3962-2025</t>
        </is>
      </c>
      <c r="B4356" s="1" t="n">
        <v>45684.50478009259</v>
      </c>
      <c r="C4356" s="1" t="n">
        <v>46093</v>
      </c>
      <c r="D4356" t="inlineStr">
        <is>
          <t>VÄSTERNORRLANDS LÄN</t>
        </is>
      </c>
      <c r="E4356" t="inlineStr">
        <is>
          <t>SUNDSVALL</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3977-2025</t>
        </is>
      </c>
      <c r="B4357" s="1" t="n">
        <v>45684</v>
      </c>
      <c r="C4357" s="1" t="n">
        <v>46093</v>
      </c>
      <c r="D4357" t="inlineStr">
        <is>
          <t>VÄSTERNORRLANDS LÄN</t>
        </is>
      </c>
      <c r="E4357" t="inlineStr">
        <is>
          <t>ÅNGE</t>
        </is>
      </c>
      <c r="F4357" t="inlineStr">
        <is>
          <t>Holmen skog AB</t>
        </is>
      </c>
      <c r="G4357" t="n">
        <v>2.3</v>
      </c>
      <c r="H4357" t="n">
        <v>0</v>
      </c>
      <c r="I4357" t="n">
        <v>0</v>
      </c>
      <c r="J4357" t="n">
        <v>0</v>
      </c>
      <c r="K4357" t="n">
        <v>0</v>
      </c>
      <c r="L4357" t="n">
        <v>0</v>
      </c>
      <c r="M4357" t="n">
        <v>0</v>
      </c>
      <c r="N4357" t="n">
        <v>0</v>
      </c>
      <c r="O4357" t="n">
        <v>0</v>
      </c>
      <c r="P4357" t="n">
        <v>0</v>
      </c>
      <c r="Q4357" t="n">
        <v>0</v>
      </c>
      <c r="R4357" s="2" t="inlineStr"/>
    </row>
    <row r="4358" ht="15" customHeight="1">
      <c r="A4358" t="inlineStr">
        <is>
          <t>A 12179-2025</t>
        </is>
      </c>
      <c r="B4358" s="1" t="n">
        <v>45729.45498842592</v>
      </c>
      <c r="C4358" s="1" t="n">
        <v>46093</v>
      </c>
      <c r="D4358" t="inlineStr">
        <is>
          <t>VÄSTERNORRLANDS LÄN</t>
        </is>
      </c>
      <c r="E4358" t="inlineStr">
        <is>
          <t>ÖRNSKÖLDSVIK</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41314-2025</t>
        </is>
      </c>
      <c r="B4359" s="1" t="n">
        <v>45898.82679398148</v>
      </c>
      <c r="C4359" s="1" t="n">
        <v>46093</v>
      </c>
      <c r="D4359" t="inlineStr">
        <is>
          <t>VÄSTERNORRLANDS LÄN</t>
        </is>
      </c>
      <c r="E4359" t="inlineStr">
        <is>
          <t>KRAMFORS</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41316-2025</t>
        </is>
      </c>
      <c r="B4360" s="1" t="n">
        <v>45898.82736111111</v>
      </c>
      <c r="C4360" s="1" t="n">
        <v>46093</v>
      </c>
      <c r="D4360" t="inlineStr">
        <is>
          <t>VÄSTERNORRLANDS LÄN</t>
        </is>
      </c>
      <c r="E4360" t="inlineStr">
        <is>
          <t>KRAMFORS</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7367-2022</t>
        </is>
      </c>
      <c r="B4361" s="1" t="n">
        <v>44606</v>
      </c>
      <c r="C4361" s="1" t="n">
        <v>46093</v>
      </c>
      <c r="D4361" t="inlineStr">
        <is>
          <t>VÄSTERNORRLANDS LÄN</t>
        </is>
      </c>
      <c r="E4361" t="inlineStr">
        <is>
          <t>KRAMFORS</t>
        </is>
      </c>
      <c r="G4361" t="n">
        <v>2.9</v>
      </c>
      <c r="H4361" t="n">
        <v>0</v>
      </c>
      <c r="I4361" t="n">
        <v>0</v>
      </c>
      <c r="J4361" t="n">
        <v>0</v>
      </c>
      <c r="K4361" t="n">
        <v>0</v>
      </c>
      <c r="L4361" t="n">
        <v>0</v>
      </c>
      <c r="M4361" t="n">
        <v>0</v>
      </c>
      <c r="N4361" t="n">
        <v>0</v>
      </c>
      <c r="O4361" t="n">
        <v>0</v>
      </c>
      <c r="P4361" t="n">
        <v>0</v>
      </c>
      <c r="Q4361" t="n">
        <v>0</v>
      </c>
      <c r="R4361" s="2" t="inlineStr"/>
    </row>
    <row r="4362" ht="15" customHeight="1">
      <c r="A4362" t="inlineStr">
        <is>
          <t>A 58694-2024</t>
        </is>
      </c>
      <c r="B4362" s="1" t="n">
        <v>45635.63575231482</v>
      </c>
      <c r="C4362" s="1" t="n">
        <v>46093</v>
      </c>
      <c r="D4362" t="inlineStr">
        <is>
          <t>VÄSTERNORRLANDS LÄN</t>
        </is>
      </c>
      <c r="E4362" t="inlineStr">
        <is>
          <t>SOLLEFTEÅ</t>
        </is>
      </c>
      <c r="F4362" t="inlineStr">
        <is>
          <t>SCA</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58720-2024</t>
        </is>
      </c>
      <c r="B4363" s="1" t="n">
        <v>45635.66298611111</v>
      </c>
      <c r="C4363" s="1" t="n">
        <v>46093</v>
      </c>
      <c r="D4363" t="inlineStr">
        <is>
          <t>VÄSTERNORRLANDS LÄN</t>
        </is>
      </c>
      <c r="E4363" t="inlineStr">
        <is>
          <t>SUNDSVALL</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11414-2024</t>
        </is>
      </c>
      <c r="B4364" s="1" t="n">
        <v>45372.47179398148</v>
      </c>
      <c r="C4364" s="1" t="n">
        <v>46093</v>
      </c>
      <c r="D4364" t="inlineStr">
        <is>
          <t>VÄSTERNORRLANDS LÄN</t>
        </is>
      </c>
      <c r="E4364" t="inlineStr">
        <is>
          <t>SUNDSVALL</t>
        </is>
      </c>
      <c r="F4364" t="inlineStr">
        <is>
          <t>Kommuner</t>
        </is>
      </c>
      <c r="G4364" t="n">
        <v>5.9</v>
      </c>
      <c r="H4364" t="n">
        <v>0</v>
      </c>
      <c r="I4364" t="n">
        <v>0</v>
      </c>
      <c r="J4364" t="n">
        <v>0</v>
      </c>
      <c r="K4364" t="n">
        <v>0</v>
      </c>
      <c r="L4364" t="n">
        <v>0</v>
      </c>
      <c r="M4364" t="n">
        <v>0</v>
      </c>
      <c r="N4364" t="n">
        <v>0</v>
      </c>
      <c r="O4364" t="n">
        <v>0</v>
      </c>
      <c r="P4364" t="n">
        <v>0</v>
      </c>
      <c r="Q4364" t="n">
        <v>0</v>
      </c>
      <c r="R4364" s="2" t="inlineStr"/>
    </row>
    <row r="4365" ht="15" customHeight="1">
      <c r="A4365" t="inlineStr">
        <is>
          <t>A 29546-2025</t>
        </is>
      </c>
      <c r="B4365" s="1" t="n">
        <v>45825.34553240741</v>
      </c>
      <c r="C4365" s="1" t="n">
        <v>46093</v>
      </c>
      <c r="D4365" t="inlineStr">
        <is>
          <t>VÄSTERNORRLANDS LÄN</t>
        </is>
      </c>
      <c r="E4365" t="inlineStr">
        <is>
          <t>HÄRNÖSAND</t>
        </is>
      </c>
      <c r="G4365" t="n">
        <v>2.8</v>
      </c>
      <c r="H4365" t="n">
        <v>0</v>
      </c>
      <c r="I4365" t="n">
        <v>0</v>
      </c>
      <c r="J4365" t="n">
        <v>0</v>
      </c>
      <c r="K4365" t="n">
        <v>0</v>
      </c>
      <c r="L4365" t="n">
        <v>0</v>
      </c>
      <c r="M4365" t="n">
        <v>0</v>
      </c>
      <c r="N4365" t="n">
        <v>0</v>
      </c>
      <c r="O4365" t="n">
        <v>0</v>
      </c>
      <c r="P4365" t="n">
        <v>0</v>
      </c>
      <c r="Q4365" t="n">
        <v>0</v>
      </c>
      <c r="R4365" s="2" t="inlineStr"/>
    </row>
    <row r="4366" ht="15" customHeight="1">
      <c r="A4366" t="inlineStr">
        <is>
          <t>A 29584-2025</t>
        </is>
      </c>
      <c r="B4366" s="1" t="n">
        <v>45825.38572916666</v>
      </c>
      <c r="C4366" s="1" t="n">
        <v>46093</v>
      </c>
      <c r="D4366" t="inlineStr">
        <is>
          <t>VÄSTERNORRLANDS LÄN</t>
        </is>
      </c>
      <c r="E4366" t="inlineStr">
        <is>
          <t>KRAMFORS</t>
        </is>
      </c>
      <c r="G4366" t="n">
        <v>2.9</v>
      </c>
      <c r="H4366" t="n">
        <v>0</v>
      </c>
      <c r="I4366" t="n">
        <v>0</v>
      </c>
      <c r="J4366" t="n">
        <v>0</v>
      </c>
      <c r="K4366" t="n">
        <v>0</v>
      </c>
      <c r="L4366" t="n">
        <v>0</v>
      </c>
      <c r="M4366" t="n">
        <v>0</v>
      </c>
      <c r="N4366" t="n">
        <v>0</v>
      </c>
      <c r="O4366" t="n">
        <v>0</v>
      </c>
      <c r="P4366" t="n">
        <v>0</v>
      </c>
      <c r="Q4366" t="n">
        <v>0</v>
      </c>
      <c r="R4366" s="2" t="inlineStr"/>
    </row>
    <row r="4367" ht="15" customHeight="1">
      <c r="A4367" t="inlineStr">
        <is>
          <t>A 41557-2025</t>
        </is>
      </c>
      <c r="B4367" s="1" t="n">
        <v>45901.59296296296</v>
      </c>
      <c r="C4367" s="1" t="n">
        <v>46093</v>
      </c>
      <c r="D4367" t="inlineStr">
        <is>
          <t>VÄSTERNORRLANDS LÄN</t>
        </is>
      </c>
      <c r="E4367" t="inlineStr">
        <is>
          <t>KRAMFORS</t>
        </is>
      </c>
      <c r="G4367" t="n">
        <v>5.8</v>
      </c>
      <c r="H4367" t="n">
        <v>0</v>
      </c>
      <c r="I4367" t="n">
        <v>0</v>
      </c>
      <c r="J4367" t="n">
        <v>0</v>
      </c>
      <c r="K4367" t="n">
        <v>0</v>
      </c>
      <c r="L4367" t="n">
        <v>0</v>
      </c>
      <c r="M4367" t="n">
        <v>0</v>
      </c>
      <c r="N4367" t="n">
        <v>0</v>
      </c>
      <c r="O4367" t="n">
        <v>0</v>
      </c>
      <c r="P4367" t="n">
        <v>0</v>
      </c>
      <c r="Q4367" t="n">
        <v>0</v>
      </c>
      <c r="R4367" s="2" t="inlineStr"/>
    </row>
    <row r="4368" ht="15" customHeight="1">
      <c r="A4368" t="inlineStr">
        <is>
          <t>A 41545-2025</t>
        </is>
      </c>
      <c r="B4368" s="1" t="n">
        <v>45901.57559027777</v>
      </c>
      <c r="C4368" s="1" t="n">
        <v>46093</v>
      </c>
      <c r="D4368" t="inlineStr">
        <is>
          <t>VÄSTERNORRLANDS LÄN</t>
        </is>
      </c>
      <c r="E4368" t="inlineStr">
        <is>
          <t>ÖRNSKÖLDSVIK</t>
        </is>
      </c>
      <c r="F4368" t="inlineStr">
        <is>
          <t>Holmen skog AB</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41562-2025</t>
        </is>
      </c>
      <c r="B4369" s="1" t="n">
        <v>45901</v>
      </c>
      <c r="C4369" s="1" t="n">
        <v>46093</v>
      </c>
      <c r="D4369" t="inlineStr">
        <is>
          <t>VÄSTERNORRLANDS LÄN</t>
        </is>
      </c>
      <c r="E4369" t="inlineStr">
        <is>
          <t>HÄRNÖSAND</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59434-2024</t>
        </is>
      </c>
      <c r="B4370" s="1" t="n">
        <v>45638.43040509259</v>
      </c>
      <c r="C4370" s="1" t="n">
        <v>46093</v>
      </c>
      <c r="D4370" t="inlineStr">
        <is>
          <t>VÄSTERNORRLANDS LÄN</t>
        </is>
      </c>
      <c r="E4370" t="inlineStr">
        <is>
          <t>SOLLEFTEÅ</t>
        </is>
      </c>
      <c r="G4370" t="n">
        <v>3.9</v>
      </c>
      <c r="H4370" t="n">
        <v>0</v>
      </c>
      <c r="I4370" t="n">
        <v>0</v>
      </c>
      <c r="J4370" t="n">
        <v>0</v>
      </c>
      <c r="K4370" t="n">
        <v>0</v>
      </c>
      <c r="L4370" t="n">
        <v>0</v>
      </c>
      <c r="M4370" t="n">
        <v>0</v>
      </c>
      <c r="N4370" t="n">
        <v>0</v>
      </c>
      <c r="O4370" t="n">
        <v>0</v>
      </c>
      <c r="P4370" t="n">
        <v>0</v>
      </c>
      <c r="Q4370" t="n">
        <v>0</v>
      </c>
      <c r="R4370" s="2" t="inlineStr"/>
    </row>
    <row r="4371" ht="15" customHeight="1">
      <c r="A4371" t="inlineStr">
        <is>
          <t>A 12267-2025</t>
        </is>
      </c>
      <c r="B4371" s="1" t="n">
        <v>45729</v>
      </c>
      <c r="C4371" s="1" t="n">
        <v>46093</v>
      </c>
      <c r="D4371" t="inlineStr">
        <is>
          <t>VÄSTERNORRLANDS LÄN</t>
        </is>
      </c>
      <c r="E4371" t="inlineStr">
        <is>
          <t>HÄRNÖSAND</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45024-2023</t>
        </is>
      </c>
      <c r="B4372" s="1" t="n">
        <v>45190.96283564815</v>
      </c>
      <c r="C4372" s="1" t="n">
        <v>46093</v>
      </c>
      <c r="D4372" t="inlineStr">
        <is>
          <t>VÄSTERNORRLANDS LÄN</t>
        </is>
      </c>
      <c r="E4372" t="inlineStr">
        <is>
          <t>SUNDSVALL</t>
        </is>
      </c>
      <c r="F4372" t="inlineStr">
        <is>
          <t>SCA</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3668-2025</t>
        </is>
      </c>
      <c r="B4373" s="1" t="n">
        <v>45681.43033564815</v>
      </c>
      <c r="C4373" s="1" t="n">
        <v>46093</v>
      </c>
      <c r="D4373" t="inlineStr">
        <is>
          <t>VÄSTERNORRLANDS LÄN</t>
        </is>
      </c>
      <c r="E4373" t="inlineStr">
        <is>
          <t>KRAMFORS</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45105-2023</t>
        </is>
      </c>
      <c r="B4374" s="1" t="n">
        <v>45191</v>
      </c>
      <c r="C4374" s="1" t="n">
        <v>46093</v>
      </c>
      <c r="D4374" t="inlineStr">
        <is>
          <t>VÄSTERNORRLANDS LÄN</t>
        </is>
      </c>
      <c r="E4374" t="inlineStr">
        <is>
          <t>ÖRNSKÖLDSVIK</t>
        </is>
      </c>
      <c r="F4374" t="inlineStr">
        <is>
          <t>Holmen skog AB</t>
        </is>
      </c>
      <c r="G4374" t="n">
        <v>5.5</v>
      </c>
      <c r="H4374" t="n">
        <v>0</v>
      </c>
      <c r="I4374" t="n">
        <v>0</v>
      </c>
      <c r="J4374" t="n">
        <v>0</v>
      </c>
      <c r="K4374" t="n">
        <v>0</v>
      </c>
      <c r="L4374" t="n">
        <v>0</v>
      </c>
      <c r="M4374" t="n">
        <v>0</v>
      </c>
      <c r="N4374" t="n">
        <v>0</v>
      </c>
      <c r="O4374" t="n">
        <v>0</v>
      </c>
      <c r="P4374" t="n">
        <v>0</v>
      </c>
      <c r="Q4374" t="n">
        <v>0</v>
      </c>
      <c r="R4374" s="2" t="inlineStr"/>
    </row>
    <row r="4375" ht="15" customHeight="1">
      <c r="A4375" t="inlineStr">
        <is>
          <t>A 43006-2024</t>
        </is>
      </c>
      <c r="B4375" s="1" t="n">
        <v>45567.38202546296</v>
      </c>
      <c r="C4375" s="1" t="n">
        <v>46093</v>
      </c>
      <c r="D4375" t="inlineStr">
        <is>
          <t>VÄSTERNORRLANDS LÄN</t>
        </is>
      </c>
      <c r="E4375" t="inlineStr">
        <is>
          <t>TIMRÅ</t>
        </is>
      </c>
      <c r="F4375" t="inlineStr">
        <is>
          <t>SCA</t>
        </is>
      </c>
      <c r="G4375" t="n">
        <v>6</v>
      </c>
      <c r="H4375" t="n">
        <v>0</v>
      </c>
      <c r="I4375" t="n">
        <v>0</v>
      </c>
      <c r="J4375" t="n">
        <v>0</v>
      </c>
      <c r="K4375" t="n">
        <v>0</v>
      </c>
      <c r="L4375" t="n">
        <v>0</v>
      </c>
      <c r="M4375" t="n">
        <v>0</v>
      </c>
      <c r="N4375" t="n">
        <v>0</v>
      </c>
      <c r="O4375" t="n">
        <v>0</v>
      </c>
      <c r="P4375" t="n">
        <v>0</v>
      </c>
      <c r="Q4375" t="n">
        <v>0</v>
      </c>
      <c r="R4375" s="2" t="inlineStr"/>
    </row>
    <row r="4376" ht="15" customHeight="1">
      <c r="A4376" t="inlineStr">
        <is>
          <t>A 1825-2022</t>
        </is>
      </c>
      <c r="B4376" s="1" t="n">
        <v>44574</v>
      </c>
      <c r="C4376" s="1" t="n">
        <v>46093</v>
      </c>
      <c r="D4376" t="inlineStr">
        <is>
          <t>VÄSTERNORRLANDS LÄN</t>
        </is>
      </c>
      <c r="E4376" t="inlineStr">
        <is>
          <t>KRAMFORS</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14808-2025</t>
        </is>
      </c>
      <c r="B4377" s="1" t="n">
        <v>45743.32146990741</v>
      </c>
      <c r="C4377" s="1" t="n">
        <v>46093</v>
      </c>
      <c r="D4377" t="inlineStr">
        <is>
          <t>VÄSTERNORRLANDS LÄN</t>
        </is>
      </c>
      <c r="E4377" t="inlineStr">
        <is>
          <t>ÖRNSKÖLDSVIK</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20057-2023</t>
        </is>
      </c>
      <c r="B4378" s="1" t="n">
        <v>45051</v>
      </c>
      <c r="C4378" s="1" t="n">
        <v>46093</v>
      </c>
      <c r="D4378" t="inlineStr">
        <is>
          <t>VÄSTERNORRLANDS LÄN</t>
        </is>
      </c>
      <c r="E4378" t="inlineStr">
        <is>
          <t>SUNDSVALL</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14889-2022</t>
        </is>
      </c>
      <c r="B4379" s="1" t="n">
        <v>44656</v>
      </c>
      <c r="C4379" s="1" t="n">
        <v>46093</v>
      </c>
      <c r="D4379" t="inlineStr">
        <is>
          <t>VÄSTERNORRLANDS LÄN</t>
        </is>
      </c>
      <c r="E4379" t="inlineStr">
        <is>
          <t>ÅNGE</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41455-2025</t>
        </is>
      </c>
      <c r="B4380" s="1" t="n">
        <v>45901.44116898148</v>
      </c>
      <c r="C4380" s="1" t="n">
        <v>46093</v>
      </c>
      <c r="D4380" t="inlineStr">
        <is>
          <t>VÄSTERNORRLANDS LÄN</t>
        </is>
      </c>
      <c r="E4380" t="inlineStr">
        <is>
          <t>ÖRNSKÖLDSVIK</t>
        </is>
      </c>
      <c r="F4380" t="inlineStr">
        <is>
          <t>Holmen skog AB</t>
        </is>
      </c>
      <c r="G4380" t="n">
        <v>7.2</v>
      </c>
      <c r="H4380" t="n">
        <v>0</v>
      </c>
      <c r="I4380" t="n">
        <v>0</v>
      </c>
      <c r="J4380" t="n">
        <v>0</v>
      </c>
      <c r="K4380" t="n">
        <v>0</v>
      </c>
      <c r="L4380" t="n">
        <v>0</v>
      </c>
      <c r="M4380" t="n">
        <v>0</v>
      </c>
      <c r="N4380" t="n">
        <v>0</v>
      </c>
      <c r="O4380" t="n">
        <v>0</v>
      </c>
      <c r="P4380" t="n">
        <v>0</v>
      </c>
      <c r="Q4380" t="n">
        <v>0</v>
      </c>
      <c r="R4380" s="2" t="inlineStr"/>
    </row>
    <row r="4381" ht="15" customHeight="1">
      <c r="A4381" t="inlineStr">
        <is>
          <t>A 41489-2025</t>
        </is>
      </c>
      <c r="B4381" s="1" t="n">
        <v>45901.48653935185</v>
      </c>
      <c r="C4381" s="1" t="n">
        <v>46093</v>
      </c>
      <c r="D4381" t="inlineStr">
        <is>
          <t>VÄSTERNORRLANDS LÄN</t>
        </is>
      </c>
      <c r="E4381" t="inlineStr">
        <is>
          <t>ÖRNSKÖLDSVIK</t>
        </is>
      </c>
      <c r="G4381" t="n">
        <v>8.800000000000001</v>
      </c>
      <c r="H4381" t="n">
        <v>0</v>
      </c>
      <c r="I4381" t="n">
        <v>0</v>
      </c>
      <c r="J4381" t="n">
        <v>0</v>
      </c>
      <c r="K4381" t="n">
        <v>0</v>
      </c>
      <c r="L4381" t="n">
        <v>0</v>
      </c>
      <c r="M4381" t="n">
        <v>0</v>
      </c>
      <c r="N4381" t="n">
        <v>0</v>
      </c>
      <c r="O4381" t="n">
        <v>0</v>
      </c>
      <c r="P4381" t="n">
        <v>0</v>
      </c>
      <c r="Q4381" t="n">
        <v>0</v>
      </c>
      <c r="R4381" s="2" t="inlineStr"/>
    </row>
    <row r="4382" ht="15" customHeight="1">
      <c r="A4382" t="inlineStr">
        <is>
          <t>A 38374-2022</t>
        </is>
      </c>
      <c r="B4382" s="1" t="n">
        <v>44812.68200231482</v>
      </c>
      <c r="C4382" s="1" t="n">
        <v>46093</v>
      </c>
      <c r="D4382" t="inlineStr">
        <is>
          <t>VÄSTERNORRLANDS LÄN</t>
        </is>
      </c>
      <c r="E4382" t="inlineStr">
        <is>
          <t>ÖRNSKÖLDSVIK</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20837-2023</t>
        </is>
      </c>
      <c r="B4383" s="1" t="n">
        <v>45058.68621527778</v>
      </c>
      <c r="C4383" s="1" t="n">
        <v>46093</v>
      </c>
      <c r="D4383" t="inlineStr">
        <is>
          <t>VÄSTERNORRLANDS LÄN</t>
        </is>
      </c>
      <c r="E4383" t="inlineStr">
        <is>
          <t>TIMRÅ</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41617-2025</t>
        </is>
      </c>
      <c r="B4384" s="1" t="n">
        <v>45901.69834490741</v>
      </c>
      <c r="C4384" s="1" t="n">
        <v>46093</v>
      </c>
      <c r="D4384" t="inlineStr">
        <is>
          <t>VÄSTERNORRLANDS LÄN</t>
        </is>
      </c>
      <c r="E4384" t="inlineStr">
        <is>
          <t>SOLLEFTEÅ</t>
        </is>
      </c>
      <c r="F4384" t="inlineStr">
        <is>
          <t>SCA</t>
        </is>
      </c>
      <c r="G4384" t="n">
        <v>7.9</v>
      </c>
      <c r="H4384" t="n">
        <v>0</v>
      </c>
      <c r="I4384" t="n">
        <v>0</v>
      </c>
      <c r="J4384" t="n">
        <v>0</v>
      </c>
      <c r="K4384" t="n">
        <v>0</v>
      </c>
      <c r="L4384" t="n">
        <v>0</v>
      </c>
      <c r="M4384" t="n">
        <v>0</v>
      </c>
      <c r="N4384" t="n">
        <v>0</v>
      </c>
      <c r="O4384" t="n">
        <v>0</v>
      </c>
      <c r="P4384" t="n">
        <v>0</v>
      </c>
      <c r="Q4384" t="n">
        <v>0</v>
      </c>
      <c r="R4384" s="2" t="inlineStr"/>
    </row>
    <row r="4385" ht="15" customHeight="1">
      <c r="A4385" t="inlineStr">
        <is>
          <t>A 11860-2022</t>
        </is>
      </c>
      <c r="B4385" s="1" t="n">
        <v>44634</v>
      </c>
      <c r="C4385" s="1" t="n">
        <v>46093</v>
      </c>
      <c r="D4385" t="inlineStr">
        <is>
          <t>VÄSTERNORRLANDS LÄN</t>
        </is>
      </c>
      <c r="E4385" t="inlineStr">
        <is>
          <t>KRAMFORS</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34692-2022</t>
        </is>
      </c>
      <c r="B4386" s="1" t="n">
        <v>44795</v>
      </c>
      <c r="C4386" s="1" t="n">
        <v>46093</v>
      </c>
      <c r="D4386" t="inlineStr">
        <is>
          <t>VÄSTERNORRLANDS LÄN</t>
        </is>
      </c>
      <c r="E4386" t="inlineStr">
        <is>
          <t>ÖRNSKÖLDSVIK</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31274-2023</t>
        </is>
      </c>
      <c r="B4387" s="1" t="n">
        <v>45114.3946412037</v>
      </c>
      <c r="C4387" s="1" t="n">
        <v>46093</v>
      </c>
      <c r="D4387" t="inlineStr">
        <is>
          <t>VÄSTERNORRLANDS LÄN</t>
        </is>
      </c>
      <c r="E4387" t="inlineStr">
        <is>
          <t>SUNDSVALL</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31278-2023</t>
        </is>
      </c>
      <c r="B4388" s="1" t="n">
        <v>45114.39721064815</v>
      </c>
      <c r="C4388" s="1" t="n">
        <v>46093</v>
      </c>
      <c r="D4388" t="inlineStr">
        <is>
          <t>VÄSTERNORRLANDS LÄN</t>
        </is>
      </c>
      <c r="E4388" t="inlineStr">
        <is>
          <t>SUNDSVALL</t>
        </is>
      </c>
      <c r="G4388" t="n">
        <v>3.4</v>
      </c>
      <c r="H4388" t="n">
        <v>0</v>
      </c>
      <c r="I4388" t="n">
        <v>0</v>
      </c>
      <c r="J4388" t="n">
        <v>0</v>
      </c>
      <c r="K4388" t="n">
        <v>0</v>
      </c>
      <c r="L4388" t="n">
        <v>0</v>
      </c>
      <c r="M4388" t="n">
        <v>0</v>
      </c>
      <c r="N4388" t="n">
        <v>0</v>
      </c>
      <c r="O4388" t="n">
        <v>0</v>
      </c>
      <c r="P4388" t="n">
        <v>0</v>
      </c>
      <c r="Q4388" t="n">
        <v>0</v>
      </c>
      <c r="R4388" s="2" t="inlineStr"/>
    </row>
    <row r="4389" ht="15" customHeight="1">
      <c r="A4389" t="inlineStr">
        <is>
          <t>A 2330-2022</t>
        </is>
      </c>
      <c r="B4389" s="1" t="n">
        <v>44578</v>
      </c>
      <c r="C4389" s="1" t="n">
        <v>46093</v>
      </c>
      <c r="D4389" t="inlineStr">
        <is>
          <t>VÄSTERNORRLANDS LÄN</t>
        </is>
      </c>
      <c r="E4389" t="inlineStr">
        <is>
          <t>SUNDSVALL</t>
        </is>
      </c>
      <c r="G4389" t="n">
        <v>6</v>
      </c>
      <c r="H4389" t="n">
        <v>0</v>
      </c>
      <c r="I4389" t="n">
        <v>0</v>
      </c>
      <c r="J4389" t="n">
        <v>0</v>
      </c>
      <c r="K4389" t="n">
        <v>0</v>
      </c>
      <c r="L4389" t="n">
        <v>0</v>
      </c>
      <c r="M4389" t="n">
        <v>0</v>
      </c>
      <c r="N4389" t="n">
        <v>0</v>
      </c>
      <c r="O4389" t="n">
        <v>0</v>
      </c>
      <c r="P4389" t="n">
        <v>0</v>
      </c>
      <c r="Q4389" t="n">
        <v>0</v>
      </c>
      <c r="R4389" s="2" t="inlineStr"/>
    </row>
    <row r="4390" ht="15" customHeight="1">
      <c r="A4390" t="inlineStr">
        <is>
          <t>A 41318-2025</t>
        </is>
      </c>
      <c r="B4390" s="1" t="n">
        <v>45898.8330787037</v>
      </c>
      <c r="C4390" s="1" t="n">
        <v>46093</v>
      </c>
      <c r="D4390" t="inlineStr">
        <is>
          <t>VÄSTERNORRLANDS LÄN</t>
        </is>
      </c>
      <c r="E4390" t="inlineStr">
        <is>
          <t>KRAMFORS</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33496-2025</t>
        </is>
      </c>
      <c r="B4391" s="1" t="n">
        <v>45841</v>
      </c>
      <c r="C4391" s="1" t="n">
        <v>46093</v>
      </c>
      <c r="D4391" t="inlineStr">
        <is>
          <t>VÄSTERNORRLANDS LÄN</t>
        </is>
      </c>
      <c r="E4391" t="inlineStr">
        <is>
          <t>SOLLEFTEÅ</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13665-2025</t>
        </is>
      </c>
      <c r="B4392" s="1" t="n">
        <v>45736.81542824074</v>
      </c>
      <c r="C4392" s="1" t="n">
        <v>46093</v>
      </c>
      <c r="D4392" t="inlineStr">
        <is>
          <t>VÄSTERNORRLANDS LÄN</t>
        </is>
      </c>
      <c r="E4392" t="inlineStr">
        <is>
          <t>ÖRNSKÖLDSVIK</t>
        </is>
      </c>
      <c r="G4392" t="n">
        <v>13.7</v>
      </c>
      <c r="H4392" t="n">
        <v>0</v>
      </c>
      <c r="I4392" t="n">
        <v>0</v>
      </c>
      <c r="J4392" t="n">
        <v>0</v>
      </c>
      <c r="K4392" t="n">
        <v>0</v>
      </c>
      <c r="L4392" t="n">
        <v>0</v>
      </c>
      <c r="M4392" t="n">
        <v>0</v>
      </c>
      <c r="N4392" t="n">
        <v>0</v>
      </c>
      <c r="O4392" t="n">
        <v>0</v>
      </c>
      <c r="P4392" t="n">
        <v>0</v>
      </c>
      <c r="Q4392" t="n">
        <v>0</v>
      </c>
      <c r="R4392" s="2" t="inlineStr"/>
    </row>
    <row r="4393" ht="15" customHeight="1">
      <c r="A4393" t="inlineStr">
        <is>
          <t>A 40071-2023</t>
        </is>
      </c>
      <c r="B4393" s="1" t="n">
        <v>45168.86712962963</v>
      </c>
      <c r="C4393" s="1" t="n">
        <v>46093</v>
      </c>
      <c r="D4393" t="inlineStr">
        <is>
          <t>VÄSTERNORRLANDS LÄN</t>
        </is>
      </c>
      <c r="E4393" t="inlineStr">
        <is>
          <t>ÖRNSKÖLDSVIK</t>
        </is>
      </c>
      <c r="F4393" t="inlineStr">
        <is>
          <t>Holmen skog AB</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33628-2025</t>
        </is>
      </c>
      <c r="B4394" s="1" t="n">
        <v>45841</v>
      </c>
      <c r="C4394" s="1" t="n">
        <v>46093</v>
      </c>
      <c r="D4394" t="inlineStr">
        <is>
          <t>VÄSTERNORRLANDS LÄN</t>
        </is>
      </c>
      <c r="E4394" t="inlineStr">
        <is>
          <t>ÖRNSKÖLDSVIK</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28226-2025</t>
        </is>
      </c>
      <c r="B4395" s="1" t="n">
        <v>45818</v>
      </c>
      <c r="C4395" s="1" t="n">
        <v>46093</v>
      </c>
      <c r="D4395" t="inlineStr">
        <is>
          <t>VÄSTERNORRLANDS LÄN</t>
        </is>
      </c>
      <c r="E4395" t="inlineStr">
        <is>
          <t>ÖRNSKÖLDSVIK</t>
        </is>
      </c>
      <c r="G4395" t="n">
        <v>30.6</v>
      </c>
      <c r="H4395" t="n">
        <v>0</v>
      </c>
      <c r="I4395" t="n">
        <v>0</v>
      </c>
      <c r="J4395" t="n">
        <v>0</v>
      </c>
      <c r="K4395" t="n">
        <v>0</v>
      </c>
      <c r="L4395" t="n">
        <v>0</v>
      </c>
      <c r="M4395" t="n">
        <v>0</v>
      </c>
      <c r="N4395" t="n">
        <v>0</v>
      </c>
      <c r="O4395" t="n">
        <v>0</v>
      </c>
      <c r="P4395" t="n">
        <v>0</v>
      </c>
      <c r="Q4395" t="n">
        <v>0</v>
      </c>
      <c r="R4395" s="2" t="inlineStr"/>
    </row>
    <row r="4396" ht="15" customHeight="1">
      <c r="A4396" t="inlineStr">
        <is>
          <t>A 40590-2023</t>
        </is>
      </c>
      <c r="B4396" s="1" t="n">
        <v>45170</v>
      </c>
      <c r="C4396" s="1" t="n">
        <v>46093</v>
      </c>
      <c r="D4396" t="inlineStr">
        <is>
          <t>VÄSTERNORRLANDS LÄN</t>
        </is>
      </c>
      <c r="E4396" t="inlineStr">
        <is>
          <t>ÖRNSKÖLDSVIK</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52264-2024</t>
        </is>
      </c>
      <c r="B4397" s="1" t="n">
        <v>45608</v>
      </c>
      <c r="C4397" s="1" t="n">
        <v>46093</v>
      </c>
      <c r="D4397" t="inlineStr">
        <is>
          <t>VÄSTERNORRLANDS LÄN</t>
        </is>
      </c>
      <c r="E4397" t="inlineStr">
        <is>
          <t>ÖRNSKÖLDSVIK</t>
        </is>
      </c>
      <c r="G4397" t="n">
        <v>0.3</v>
      </c>
      <c r="H4397" t="n">
        <v>0</v>
      </c>
      <c r="I4397" t="n">
        <v>0</v>
      </c>
      <c r="J4397" t="n">
        <v>0</v>
      </c>
      <c r="K4397" t="n">
        <v>0</v>
      </c>
      <c r="L4397" t="n">
        <v>0</v>
      </c>
      <c r="M4397" t="n">
        <v>0</v>
      </c>
      <c r="N4397" t="n">
        <v>0</v>
      </c>
      <c r="O4397" t="n">
        <v>0</v>
      </c>
      <c r="P4397" t="n">
        <v>0</v>
      </c>
      <c r="Q4397" t="n">
        <v>0</v>
      </c>
      <c r="R4397" s="2" t="inlineStr"/>
    </row>
    <row r="4398" ht="15" customHeight="1">
      <c r="A4398" t="inlineStr">
        <is>
          <t>A 41944-2025</t>
        </is>
      </c>
      <c r="B4398" s="1" t="n">
        <v>45903</v>
      </c>
      <c r="C4398" s="1" t="n">
        <v>46093</v>
      </c>
      <c r="D4398" t="inlineStr">
        <is>
          <t>VÄSTERNORRLANDS LÄN</t>
        </is>
      </c>
      <c r="E4398" t="inlineStr">
        <is>
          <t>SUNDSVALL</t>
        </is>
      </c>
      <c r="F4398" t="inlineStr">
        <is>
          <t>SCA</t>
        </is>
      </c>
      <c r="G4398" t="n">
        <v>3.1</v>
      </c>
      <c r="H4398" t="n">
        <v>0</v>
      </c>
      <c r="I4398" t="n">
        <v>0</v>
      </c>
      <c r="J4398" t="n">
        <v>0</v>
      </c>
      <c r="K4398" t="n">
        <v>0</v>
      </c>
      <c r="L4398" t="n">
        <v>0</v>
      </c>
      <c r="M4398" t="n">
        <v>0</v>
      </c>
      <c r="N4398" t="n">
        <v>0</v>
      </c>
      <c r="O4398" t="n">
        <v>0</v>
      </c>
      <c r="P4398" t="n">
        <v>0</v>
      </c>
      <c r="Q4398" t="n">
        <v>0</v>
      </c>
      <c r="R4398" s="2" t="inlineStr"/>
    </row>
    <row r="4399" ht="15" customHeight="1">
      <c r="A4399" t="inlineStr">
        <is>
          <t>A 6228-2023</t>
        </is>
      </c>
      <c r="B4399" s="1" t="n">
        <v>44964</v>
      </c>
      <c r="C4399" s="1" t="n">
        <v>46093</v>
      </c>
      <c r="D4399" t="inlineStr">
        <is>
          <t>VÄSTERNORRLANDS LÄN</t>
        </is>
      </c>
      <c r="E4399" t="inlineStr">
        <is>
          <t>SUNDSVALL</t>
        </is>
      </c>
      <c r="G4399" t="n">
        <v>6.5</v>
      </c>
      <c r="H4399" t="n">
        <v>0</v>
      </c>
      <c r="I4399" t="n">
        <v>0</v>
      </c>
      <c r="J4399" t="n">
        <v>0</v>
      </c>
      <c r="K4399" t="n">
        <v>0</v>
      </c>
      <c r="L4399" t="n">
        <v>0</v>
      </c>
      <c r="M4399" t="n">
        <v>0</v>
      </c>
      <c r="N4399" t="n">
        <v>0</v>
      </c>
      <c r="O4399" t="n">
        <v>0</v>
      </c>
      <c r="P4399" t="n">
        <v>0</v>
      </c>
      <c r="Q4399" t="n">
        <v>0</v>
      </c>
      <c r="R4399" s="2" t="inlineStr"/>
    </row>
    <row r="4400" ht="15" customHeight="1">
      <c r="A4400" t="inlineStr">
        <is>
          <t>A 41829-2025</t>
        </is>
      </c>
      <c r="B4400" s="1" t="n">
        <v>45902</v>
      </c>
      <c r="C4400" s="1" t="n">
        <v>46093</v>
      </c>
      <c r="D4400" t="inlineStr">
        <is>
          <t>VÄSTERNORRLANDS LÄN</t>
        </is>
      </c>
      <c r="E4400" t="inlineStr">
        <is>
          <t>SOLLEFTEÅ</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29246-2025</t>
        </is>
      </c>
      <c r="B4401" s="1" t="n">
        <v>45824</v>
      </c>
      <c r="C4401" s="1" t="n">
        <v>46093</v>
      </c>
      <c r="D4401" t="inlineStr">
        <is>
          <t>VÄSTERNORRLANDS LÄN</t>
        </is>
      </c>
      <c r="E4401" t="inlineStr">
        <is>
          <t>SOLLEFTEÅ</t>
        </is>
      </c>
      <c r="G4401" t="n">
        <v>8.699999999999999</v>
      </c>
      <c r="H4401" t="n">
        <v>0</v>
      </c>
      <c r="I4401" t="n">
        <v>0</v>
      </c>
      <c r="J4401" t="n">
        <v>0</v>
      </c>
      <c r="K4401" t="n">
        <v>0</v>
      </c>
      <c r="L4401" t="n">
        <v>0</v>
      </c>
      <c r="M4401" t="n">
        <v>0</v>
      </c>
      <c r="N4401" t="n">
        <v>0</v>
      </c>
      <c r="O4401" t="n">
        <v>0</v>
      </c>
      <c r="P4401" t="n">
        <v>0</v>
      </c>
      <c r="Q4401" t="n">
        <v>0</v>
      </c>
      <c r="R4401" s="2" t="inlineStr"/>
    </row>
    <row r="4402" ht="15" customHeight="1">
      <c r="A4402" t="inlineStr">
        <is>
          <t>A 3515-2025</t>
        </is>
      </c>
      <c r="B4402" s="1" t="n">
        <v>45680</v>
      </c>
      <c r="C4402" s="1" t="n">
        <v>46093</v>
      </c>
      <c r="D4402" t="inlineStr">
        <is>
          <t>VÄSTERNORRLANDS LÄN</t>
        </is>
      </c>
      <c r="E4402" t="inlineStr">
        <is>
          <t>ÖRNSKÖLDSVIK</t>
        </is>
      </c>
      <c r="G4402" t="n">
        <v>14.1</v>
      </c>
      <c r="H4402" t="n">
        <v>0</v>
      </c>
      <c r="I4402" t="n">
        <v>0</v>
      </c>
      <c r="J4402" t="n">
        <v>0</v>
      </c>
      <c r="K4402" t="n">
        <v>0</v>
      </c>
      <c r="L4402" t="n">
        <v>0</v>
      </c>
      <c r="M4402" t="n">
        <v>0</v>
      </c>
      <c r="N4402" t="n">
        <v>0</v>
      </c>
      <c r="O4402" t="n">
        <v>0</v>
      </c>
      <c r="P4402" t="n">
        <v>0</v>
      </c>
      <c r="Q4402" t="n">
        <v>0</v>
      </c>
      <c r="R4402" s="2" t="inlineStr"/>
    </row>
    <row r="4403" ht="15" customHeight="1">
      <c r="A4403" t="inlineStr">
        <is>
          <t>A 58075-2024</t>
        </is>
      </c>
      <c r="B4403" s="1" t="n">
        <v>45632</v>
      </c>
      <c r="C4403" s="1" t="n">
        <v>46093</v>
      </c>
      <c r="D4403" t="inlineStr">
        <is>
          <t>VÄSTERNORRLANDS LÄN</t>
        </is>
      </c>
      <c r="E4403" t="inlineStr">
        <is>
          <t>KRAMFORS</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1467-2024</t>
        </is>
      </c>
      <c r="B4404" s="1" t="n">
        <v>45303</v>
      </c>
      <c r="C4404" s="1" t="n">
        <v>46093</v>
      </c>
      <c r="D4404" t="inlineStr">
        <is>
          <t>VÄSTERNORRLANDS LÄN</t>
        </is>
      </c>
      <c r="E4404" t="inlineStr">
        <is>
          <t>TIMRÅ</t>
        </is>
      </c>
      <c r="F4404" t="inlineStr">
        <is>
          <t>SCA</t>
        </is>
      </c>
      <c r="G4404" t="n">
        <v>3.7</v>
      </c>
      <c r="H4404" t="n">
        <v>0</v>
      </c>
      <c r="I4404" t="n">
        <v>0</v>
      </c>
      <c r="J4404" t="n">
        <v>0</v>
      </c>
      <c r="K4404" t="n">
        <v>0</v>
      </c>
      <c r="L4404" t="n">
        <v>0</v>
      </c>
      <c r="M4404" t="n">
        <v>0</v>
      </c>
      <c r="N4404" t="n">
        <v>0</v>
      </c>
      <c r="O4404" t="n">
        <v>0</v>
      </c>
      <c r="P4404" t="n">
        <v>0</v>
      </c>
      <c r="Q4404" t="n">
        <v>0</v>
      </c>
      <c r="R4404" s="2" t="inlineStr"/>
    </row>
    <row r="4405" ht="15" customHeight="1">
      <c r="A4405" t="inlineStr">
        <is>
          <t>A 21888-2024</t>
        </is>
      </c>
      <c r="B4405" s="1" t="n">
        <v>45443</v>
      </c>
      <c r="C4405" s="1" t="n">
        <v>46093</v>
      </c>
      <c r="D4405" t="inlineStr">
        <is>
          <t>VÄSTERNORRLANDS LÄN</t>
        </is>
      </c>
      <c r="E4405" t="inlineStr">
        <is>
          <t>ÖRNSKÖLDSVIK</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12064-2025</t>
        </is>
      </c>
      <c r="B4406" s="1" t="n">
        <v>45728.69861111111</v>
      </c>
      <c r="C4406" s="1" t="n">
        <v>46093</v>
      </c>
      <c r="D4406" t="inlineStr">
        <is>
          <t>VÄSTERNORRLANDS LÄN</t>
        </is>
      </c>
      <c r="E4406" t="inlineStr">
        <is>
          <t>SOLLEFTEÅ</t>
        </is>
      </c>
      <c r="F4406" t="inlineStr">
        <is>
          <t>SCA</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12104-2025</t>
        </is>
      </c>
      <c r="B4407" s="1" t="n">
        <v>45729.344375</v>
      </c>
      <c r="C4407" s="1" t="n">
        <v>46093</v>
      </c>
      <c r="D4407" t="inlineStr">
        <is>
          <t>VÄSTERNORRLANDS LÄN</t>
        </is>
      </c>
      <c r="E4407" t="inlineStr">
        <is>
          <t>HÄRNÖSAND</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163-2024</t>
        </is>
      </c>
      <c r="B4408" s="1" t="n">
        <v>45293</v>
      </c>
      <c r="C4408" s="1" t="n">
        <v>46093</v>
      </c>
      <c r="D4408" t="inlineStr">
        <is>
          <t>VÄSTERNORRLANDS LÄN</t>
        </is>
      </c>
      <c r="E4408" t="inlineStr">
        <is>
          <t>HÄRNÖSAND</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46497-2023</t>
        </is>
      </c>
      <c r="B4409" s="1" t="n">
        <v>45197.65950231482</v>
      </c>
      <c r="C4409" s="1" t="n">
        <v>46093</v>
      </c>
      <c r="D4409" t="inlineStr">
        <is>
          <t>VÄSTERNORRLANDS LÄN</t>
        </is>
      </c>
      <c r="E4409" t="inlineStr">
        <is>
          <t>SUNDSVALL</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41513-2025</t>
        </is>
      </c>
      <c r="B4410" s="1" t="n">
        <v>45901.54069444445</v>
      </c>
      <c r="C4410" s="1" t="n">
        <v>46093</v>
      </c>
      <c r="D4410" t="inlineStr">
        <is>
          <t>VÄSTERNORRLANDS LÄN</t>
        </is>
      </c>
      <c r="E4410" t="inlineStr">
        <is>
          <t>SOLLEFTEÅ</t>
        </is>
      </c>
      <c r="G4410" t="n">
        <v>3.5</v>
      </c>
      <c r="H4410" t="n">
        <v>0</v>
      </c>
      <c r="I4410" t="n">
        <v>0</v>
      </c>
      <c r="J4410" t="n">
        <v>0</v>
      </c>
      <c r="K4410" t="n">
        <v>0</v>
      </c>
      <c r="L4410" t="n">
        <v>0</v>
      </c>
      <c r="M4410" t="n">
        <v>0</v>
      </c>
      <c r="N4410" t="n">
        <v>0</v>
      </c>
      <c r="O4410" t="n">
        <v>0</v>
      </c>
      <c r="P4410" t="n">
        <v>0</v>
      </c>
      <c r="Q4410" t="n">
        <v>0</v>
      </c>
      <c r="R4410" s="2" t="inlineStr"/>
    </row>
    <row r="4411" ht="15" customHeight="1">
      <c r="A4411" t="inlineStr">
        <is>
          <t>A 41522-2025</t>
        </is>
      </c>
      <c r="B4411" s="1" t="n">
        <v>45901.55219907407</v>
      </c>
      <c r="C4411" s="1" t="n">
        <v>46093</v>
      </c>
      <c r="D4411" t="inlineStr">
        <is>
          <t>VÄSTERNORRLANDS LÄN</t>
        </is>
      </c>
      <c r="E4411" t="inlineStr">
        <is>
          <t>ÖRNSKÖLDSVIK</t>
        </is>
      </c>
      <c r="F4411" t="inlineStr">
        <is>
          <t>Holmen skog AB</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60817-2024</t>
        </is>
      </c>
      <c r="B4412" s="1" t="n">
        <v>45644</v>
      </c>
      <c r="C4412" s="1" t="n">
        <v>46093</v>
      </c>
      <c r="D4412" t="inlineStr">
        <is>
          <t>VÄSTERNORRLANDS LÄN</t>
        </is>
      </c>
      <c r="E4412" t="inlineStr">
        <is>
          <t>ÅNGE</t>
        </is>
      </c>
      <c r="G4412" t="n">
        <v>3.2</v>
      </c>
      <c r="H4412" t="n">
        <v>0</v>
      </c>
      <c r="I4412" t="n">
        <v>0</v>
      </c>
      <c r="J4412" t="n">
        <v>0</v>
      </c>
      <c r="K4412" t="n">
        <v>0</v>
      </c>
      <c r="L4412" t="n">
        <v>0</v>
      </c>
      <c r="M4412" t="n">
        <v>0</v>
      </c>
      <c r="N4412" t="n">
        <v>0</v>
      </c>
      <c r="O4412" t="n">
        <v>0</v>
      </c>
      <c r="P4412" t="n">
        <v>0</v>
      </c>
      <c r="Q4412" t="n">
        <v>0</v>
      </c>
      <c r="R4412" s="2" t="inlineStr"/>
    </row>
    <row r="4413" ht="15" customHeight="1">
      <c r="A4413" t="inlineStr">
        <is>
          <t>A 45288-2024</t>
        </is>
      </c>
      <c r="B4413" s="1" t="n">
        <v>45576.38902777778</v>
      </c>
      <c r="C4413" s="1" t="n">
        <v>46093</v>
      </c>
      <c r="D4413" t="inlineStr">
        <is>
          <t>VÄSTERNORRLANDS LÄN</t>
        </is>
      </c>
      <c r="E4413" t="inlineStr">
        <is>
          <t>ÖRNSKÖLDSVIK</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41543-2025</t>
        </is>
      </c>
      <c r="B4414" s="1" t="n">
        <v>45901.57386574074</v>
      </c>
      <c r="C4414" s="1" t="n">
        <v>46093</v>
      </c>
      <c r="D4414" t="inlineStr">
        <is>
          <t>VÄSTERNORRLANDS LÄN</t>
        </is>
      </c>
      <c r="E4414" t="inlineStr">
        <is>
          <t>SOLLEFTEÅ</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48333-2024</t>
        </is>
      </c>
      <c r="B4415" s="1" t="n">
        <v>45590.53158564815</v>
      </c>
      <c r="C4415" s="1" t="n">
        <v>46093</v>
      </c>
      <c r="D4415" t="inlineStr">
        <is>
          <t>VÄSTERNORRLANDS LÄN</t>
        </is>
      </c>
      <c r="E4415" t="inlineStr">
        <is>
          <t>SUNDSVALL</t>
        </is>
      </c>
      <c r="F4415" t="inlineStr">
        <is>
          <t>SCA</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57403-2022</t>
        </is>
      </c>
      <c r="B4416" s="1" t="n">
        <v>44889</v>
      </c>
      <c r="C4416" s="1" t="n">
        <v>46093</v>
      </c>
      <c r="D4416" t="inlineStr">
        <is>
          <t>VÄSTERNORRLANDS LÄN</t>
        </is>
      </c>
      <c r="E4416" t="inlineStr">
        <is>
          <t>TIMRÅ</t>
        </is>
      </c>
      <c r="G4416" t="n">
        <v>9.6</v>
      </c>
      <c r="H4416" t="n">
        <v>0</v>
      </c>
      <c r="I4416" t="n">
        <v>0</v>
      </c>
      <c r="J4416" t="n">
        <v>0</v>
      </c>
      <c r="K4416" t="n">
        <v>0</v>
      </c>
      <c r="L4416" t="n">
        <v>0</v>
      </c>
      <c r="M4416" t="n">
        <v>0</v>
      </c>
      <c r="N4416" t="n">
        <v>0</v>
      </c>
      <c r="O4416" t="n">
        <v>0</v>
      </c>
      <c r="P4416" t="n">
        <v>0</v>
      </c>
      <c r="Q4416" t="n">
        <v>0</v>
      </c>
      <c r="R4416" s="2" t="inlineStr"/>
    </row>
    <row r="4417" ht="15" customHeight="1">
      <c r="A4417" t="inlineStr">
        <is>
          <t>A 60170-2022</t>
        </is>
      </c>
      <c r="B4417" s="1" t="n">
        <v>44909</v>
      </c>
      <c r="C4417" s="1" t="n">
        <v>46093</v>
      </c>
      <c r="D4417" t="inlineStr">
        <is>
          <t>VÄSTERNORRLANDS LÄN</t>
        </is>
      </c>
      <c r="E4417" t="inlineStr">
        <is>
          <t>SOLLEFTEÅ</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23225-2024</t>
        </is>
      </c>
      <c r="B4418" s="1" t="n">
        <v>45452.9490162037</v>
      </c>
      <c r="C4418" s="1" t="n">
        <v>46093</v>
      </c>
      <c r="D4418" t="inlineStr">
        <is>
          <t>VÄSTERNORRLANDS LÄN</t>
        </is>
      </c>
      <c r="E4418" t="inlineStr">
        <is>
          <t>ÅNGE</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50698-2023</t>
        </is>
      </c>
      <c r="B4419" s="1" t="n">
        <v>45210</v>
      </c>
      <c r="C4419" s="1" t="n">
        <v>46093</v>
      </c>
      <c r="D4419" t="inlineStr">
        <is>
          <t>VÄSTERNORRLANDS LÄN</t>
        </is>
      </c>
      <c r="E4419" t="inlineStr">
        <is>
          <t>SOLLEFTEÅ</t>
        </is>
      </c>
      <c r="G4419" t="n">
        <v>3</v>
      </c>
      <c r="H4419" t="n">
        <v>0</v>
      </c>
      <c r="I4419" t="n">
        <v>0</v>
      </c>
      <c r="J4419" t="n">
        <v>0</v>
      </c>
      <c r="K4419" t="n">
        <v>0</v>
      </c>
      <c r="L4419" t="n">
        <v>0</v>
      </c>
      <c r="M4419" t="n">
        <v>0</v>
      </c>
      <c r="N4419" t="n">
        <v>0</v>
      </c>
      <c r="O4419" t="n">
        <v>0</v>
      </c>
      <c r="P4419" t="n">
        <v>0</v>
      </c>
      <c r="Q4419" t="n">
        <v>0</v>
      </c>
      <c r="R4419" s="2" t="inlineStr"/>
    </row>
    <row r="4420" ht="15" customHeight="1">
      <c r="A4420" t="inlineStr">
        <is>
          <t>A 14976-2025</t>
        </is>
      </c>
      <c r="B4420" s="1" t="n">
        <v>45743</v>
      </c>
      <c r="C4420" s="1" t="n">
        <v>46093</v>
      </c>
      <c r="D4420" t="inlineStr">
        <is>
          <t>VÄSTERNORRLANDS LÄN</t>
        </is>
      </c>
      <c r="E4420" t="inlineStr">
        <is>
          <t>ÅNGE</t>
        </is>
      </c>
      <c r="F4420" t="inlineStr">
        <is>
          <t>SCA</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59424-2024</t>
        </is>
      </c>
      <c r="B4421" s="1" t="n">
        <v>45638</v>
      </c>
      <c r="C4421" s="1" t="n">
        <v>46093</v>
      </c>
      <c r="D4421" t="inlineStr">
        <is>
          <t>VÄSTERNORRLANDS LÄN</t>
        </is>
      </c>
      <c r="E4421" t="inlineStr">
        <is>
          <t>SOLLEFTEÅ</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52706-2024</t>
        </is>
      </c>
      <c r="B4422" s="1" t="n">
        <v>45610.4243287037</v>
      </c>
      <c r="C4422" s="1" t="n">
        <v>46093</v>
      </c>
      <c r="D4422" t="inlineStr">
        <is>
          <t>VÄSTERNORRLANDS LÄN</t>
        </is>
      </c>
      <c r="E4422" t="inlineStr">
        <is>
          <t>SUNDSVALL</t>
        </is>
      </c>
      <c r="G4422" t="n">
        <v>2.9</v>
      </c>
      <c r="H4422" t="n">
        <v>0</v>
      </c>
      <c r="I4422" t="n">
        <v>0</v>
      </c>
      <c r="J4422" t="n">
        <v>0</v>
      </c>
      <c r="K4422" t="n">
        <v>0</v>
      </c>
      <c r="L4422" t="n">
        <v>0</v>
      </c>
      <c r="M4422" t="n">
        <v>0</v>
      </c>
      <c r="N4422" t="n">
        <v>0</v>
      </c>
      <c r="O4422" t="n">
        <v>0</v>
      </c>
      <c r="P4422" t="n">
        <v>0</v>
      </c>
      <c r="Q4422" t="n">
        <v>0</v>
      </c>
      <c r="R4422" s="2" t="inlineStr"/>
    </row>
    <row r="4423" ht="15" customHeight="1">
      <c r="A4423" t="inlineStr">
        <is>
          <t>A 52709-2024</t>
        </is>
      </c>
      <c r="B4423" s="1" t="n">
        <v>45610.42753472222</v>
      </c>
      <c r="C4423" s="1" t="n">
        <v>46093</v>
      </c>
      <c r="D4423" t="inlineStr">
        <is>
          <t>VÄSTERNORRLANDS LÄN</t>
        </is>
      </c>
      <c r="E4423" t="inlineStr">
        <is>
          <t>SOLLEFTEÅ</t>
        </is>
      </c>
      <c r="F4423" t="inlineStr">
        <is>
          <t>SCA</t>
        </is>
      </c>
      <c r="G4423" t="n">
        <v>11.6</v>
      </c>
      <c r="H4423" t="n">
        <v>0</v>
      </c>
      <c r="I4423" t="n">
        <v>0</v>
      </c>
      <c r="J4423" t="n">
        <v>0</v>
      </c>
      <c r="K4423" t="n">
        <v>0</v>
      </c>
      <c r="L4423" t="n">
        <v>0</v>
      </c>
      <c r="M4423" t="n">
        <v>0</v>
      </c>
      <c r="N4423" t="n">
        <v>0</v>
      </c>
      <c r="O4423" t="n">
        <v>0</v>
      </c>
      <c r="P4423" t="n">
        <v>0</v>
      </c>
      <c r="Q4423" t="n">
        <v>0</v>
      </c>
      <c r="R4423" s="2" t="inlineStr"/>
    </row>
    <row r="4424" ht="15" customHeight="1">
      <c r="A4424" t="inlineStr">
        <is>
          <t>A 45644-2023</t>
        </is>
      </c>
      <c r="B4424" s="1" t="n">
        <v>45188</v>
      </c>
      <c r="C4424" s="1" t="n">
        <v>46093</v>
      </c>
      <c r="D4424" t="inlineStr">
        <is>
          <t>VÄSTERNORRLANDS LÄN</t>
        </is>
      </c>
      <c r="E4424" t="inlineStr">
        <is>
          <t>SOLLEFTEÅ</t>
        </is>
      </c>
      <c r="F4424" t="inlineStr">
        <is>
          <t>SCA</t>
        </is>
      </c>
      <c r="G4424" t="n">
        <v>1</v>
      </c>
      <c r="H4424" t="n">
        <v>0</v>
      </c>
      <c r="I4424" t="n">
        <v>0</v>
      </c>
      <c r="J4424" t="n">
        <v>0</v>
      </c>
      <c r="K4424" t="n">
        <v>0</v>
      </c>
      <c r="L4424" t="n">
        <v>0</v>
      </c>
      <c r="M4424" t="n">
        <v>0</v>
      </c>
      <c r="N4424" t="n">
        <v>0</v>
      </c>
      <c r="O4424" t="n">
        <v>0</v>
      </c>
      <c r="P4424" t="n">
        <v>0</v>
      </c>
      <c r="Q4424" t="n">
        <v>0</v>
      </c>
      <c r="R4424" s="2" t="inlineStr"/>
      <c r="U4424">
        <f>HYPERLINK("https://klasma.github.io/Logging_2283/knärot/A 45644-2023 karta knärot.png", "A 45644-2023")</f>
        <v/>
      </c>
      <c r="V4424">
        <f>HYPERLINK("https://klasma.github.io/Logging_2283/klagomål/A 45644-2023 FSC-klagomål.docx", "A 45644-2023")</f>
        <v/>
      </c>
      <c r="W4424">
        <f>HYPERLINK("https://klasma.github.io/Logging_2283/klagomålsmail/A 45644-2023 FSC-klagomål mail.docx", "A 45644-2023")</f>
        <v/>
      </c>
      <c r="X4424">
        <f>HYPERLINK("https://klasma.github.io/Logging_2283/tillsyn/A 45644-2023 tillsynsbegäran.docx", "A 45644-2023")</f>
        <v/>
      </c>
      <c r="Y4424">
        <f>HYPERLINK("https://klasma.github.io/Logging_2283/tillsynsmail/A 45644-2023 tillsynsbegäran mail.docx", "A 45644-2023")</f>
        <v/>
      </c>
    </row>
    <row r="4425" ht="15" customHeight="1">
      <c r="A4425" t="inlineStr">
        <is>
          <t>A 41742-2025</t>
        </is>
      </c>
      <c r="B4425" s="1" t="n">
        <v>45902.47954861111</v>
      </c>
      <c r="C4425" s="1" t="n">
        <v>46093</v>
      </c>
      <c r="D4425" t="inlineStr">
        <is>
          <t>VÄSTERNORRLANDS LÄN</t>
        </is>
      </c>
      <c r="E4425" t="inlineStr">
        <is>
          <t>ÖRNSKÖLDSVIK</t>
        </is>
      </c>
      <c r="F4425" t="inlineStr">
        <is>
          <t>Holmen skog AB</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41405-2025</t>
        </is>
      </c>
      <c r="B4426" s="1" t="n">
        <v>45901.34476851852</v>
      </c>
      <c r="C4426" s="1" t="n">
        <v>46093</v>
      </c>
      <c r="D4426" t="inlineStr">
        <is>
          <t>VÄSTERNORRLANDS LÄN</t>
        </is>
      </c>
      <c r="E4426" t="inlineStr">
        <is>
          <t>SUNDSVALL</t>
        </is>
      </c>
      <c r="F4426" t="inlineStr">
        <is>
          <t>SCA</t>
        </is>
      </c>
      <c r="G4426" t="n">
        <v>3.8</v>
      </c>
      <c r="H4426" t="n">
        <v>0</v>
      </c>
      <c r="I4426" t="n">
        <v>0</v>
      </c>
      <c r="J4426" t="n">
        <v>0</v>
      </c>
      <c r="K4426" t="n">
        <v>0</v>
      </c>
      <c r="L4426" t="n">
        <v>0</v>
      </c>
      <c r="M4426" t="n">
        <v>0</v>
      </c>
      <c r="N4426" t="n">
        <v>0</v>
      </c>
      <c r="O4426" t="n">
        <v>0</v>
      </c>
      <c r="P4426" t="n">
        <v>0</v>
      </c>
      <c r="Q4426" t="n">
        <v>0</v>
      </c>
      <c r="R4426" s="2" t="inlineStr"/>
    </row>
    <row r="4427" ht="15" customHeight="1">
      <c r="A4427" t="inlineStr">
        <is>
          <t>A 448-2025</t>
        </is>
      </c>
      <c r="B4427" s="1" t="n">
        <v>45664</v>
      </c>
      <c r="C4427" s="1" t="n">
        <v>46093</v>
      </c>
      <c r="D4427" t="inlineStr">
        <is>
          <t>VÄSTERNORRLANDS LÄN</t>
        </is>
      </c>
      <c r="E4427" t="inlineStr">
        <is>
          <t>KRAMFORS</t>
        </is>
      </c>
      <c r="G4427" t="n">
        <v>7.4</v>
      </c>
      <c r="H4427" t="n">
        <v>0</v>
      </c>
      <c r="I4427" t="n">
        <v>0</v>
      </c>
      <c r="J4427" t="n">
        <v>0</v>
      </c>
      <c r="K4427" t="n">
        <v>0</v>
      </c>
      <c r="L4427" t="n">
        <v>0</v>
      </c>
      <c r="M4427" t="n">
        <v>0</v>
      </c>
      <c r="N4427" t="n">
        <v>0</v>
      </c>
      <c r="O4427" t="n">
        <v>0</v>
      </c>
      <c r="P4427" t="n">
        <v>0</v>
      </c>
      <c r="Q4427" t="n">
        <v>0</v>
      </c>
      <c r="R4427" s="2" t="inlineStr"/>
    </row>
    <row r="4428" ht="15" customHeight="1">
      <c r="A4428" t="inlineStr">
        <is>
          <t>A 62120-2024</t>
        </is>
      </c>
      <c r="B4428" s="1" t="n">
        <v>45646</v>
      </c>
      <c r="C4428" s="1" t="n">
        <v>46093</v>
      </c>
      <c r="D4428" t="inlineStr">
        <is>
          <t>VÄSTERNORRLANDS LÄN</t>
        </is>
      </c>
      <c r="E4428" t="inlineStr">
        <is>
          <t>SUNDSVALL</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42275-2021</t>
        </is>
      </c>
      <c r="B4429" s="1" t="n">
        <v>44426</v>
      </c>
      <c r="C4429" s="1" t="n">
        <v>46093</v>
      </c>
      <c r="D4429" t="inlineStr">
        <is>
          <t>VÄSTERNORRLANDS LÄN</t>
        </is>
      </c>
      <c r="E4429" t="inlineStr">
        <is>
          <t>ÖRNSKÖLDSVIK</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35237-2024</t>
        </is>
      </c>
      <c r="B4430" s="1" t="n">
        <v>45530.5433912037</v>
      </c>
      <c r="C4430" s="1" t="n">
        <v>46093</v>
      </c>
      <c r="D4430" t="inlineStr">
        <is>
          <t>VÄSTERNORRLANDS LÄN</t>
        </is>
      </c>
      <c r="E4430" t="inlineStr">
        <is>
          <t>KRAMFORS</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41502-2025</t>
        </is>
      </c>
      <c r="B4431" s="1" t="n">
        <v>45901</v>
      </c>
      <c r="C4431" s="1" t="n">
        <v>46093</v>
      </c>
      <c r="D4431" t="inlineStr">
        <is>
          <t>VÄSTERNORRLANDS LÄN</t>
        </is>
      </c>
      <c r="E4431" t="inlineStr">
        <is>
          <t>SOLLEFTEÅ</t>
        </is>
      </c>
      <c r="F4431" t="inlineStr">
        <is>
          <t>Holmen skog AB</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5249-2025</t>
        </is>
      </c>
      <c r="B4432" s="1" t="n">
        <v>45692.34465277778</v>
      </c>
      <c r="C4432" s="1" t="n">
        <v>46093</v>
      </c>
      <c r="D4432" t="inlineStr">
        <is>
          <t>VÄSTERNORRLANDS LÄN</t>
        </is>
      </c>
      <c r="E4432" t="inlineStr">
        <is>
          <t>ÅNGE</t>
        </is>
      </c>
      <c r="F4432" t="inlineStr">
        <is>
          <t>SCA</t>
        </is>
      </c>
      <c r="G4432" t="n">
        <v>3.5</v>
      </c>
      <c r="H4432" t="n">
        <v>0</v>
      </c>
      <c r="I4432" t="n">
        <v>0</v>
      </c>
      <c r="J4432" t="n">
        <v>0</v>
      </c>
      <c r="K4432" t="n">
        <v>0</v>
      </c>
      <c r="L4432" t="n">
        <v>0</v>
      </c>
      <c r="M4432" t="n">
        <v>0</v>
      </c>
      <c r="N4432" t="n">
        <v>0</v>
      </c>
      <c r="O4432" t="n">
        <v>0</v>
      </c>
      <c r="P4432" t="n">
        <v>0</v>
      </c>
      <c r="Q4432" t="n">
        <v>0</v>
      </c>
      <c r="R4432" s="2" t="inlineStr"/>
    </row>
    <row r="4433" ht="15" customHeight="1">
      <c r="A4433" t="inlineStr">
        <is>
          <t>A 13341-2024</t>
        </is>
      </c>
      <c r="B4433" s="1" t="n">
        <v>45386.94486111111</v>
      </c>
      <c r="C4433" s="1" t="n">
        <v>46093</v>
      </c>
      <c r="D4433" t="inlineStr">
        <is>
          <t>VÄSTERNORRLANDS LÄN</t>
        </is>
      </c>
      <c r="E4433" t="inlineStr">
        <is>
          <t>TIMRÅ</t>
        </is>
      </c>
      <c r="F4433" t="inlineStr">
        <is>
          <t>SCA</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41561-2025</t>
        </is>
      </c>
      <c r="B4434" s="1" t="n">
        <v>45901.59648148148</v>
      </c>
      <c r="C4434" s="1" t="n">
        <v>46093</v>
      </c>
      <c r="D4434" t="inlineStr">
        <is>
          <t>VÄSTERNORRLANDS LÄN</t>
        </is>
      </c>
      <c r="E4434" t="inlineStr">
        <is>
          <t>KRAMFORS</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41586-2025</t>
        </is>
      </c>
      <c r="B4435" s="1" t="n">
        <v>45901</v>
      </c>
      <c r="C4435" s="1" t="n">
        <v>46093</v>
      </c>
      <c r="D4435" t="inlineStr">
        <is>
          <t>VÄSTERNORRLANDS LÄN</t>
        </is>
      </c>
      <c r="E4435" t="inlineStr">
        <is>
          <t>ÖRNSKÖLDSVIK</t>
        </is>
      </c>
      <c r="G4435" t="n">
        <v>13.6</v>
      </c>
      <c r="H4435" t="n">
        <v>0</v>
      </c>
      <c r="I4435" t="n">
        <v>0</v>
      </c>
      <c r="J4435" t="n">
        <v>0</v>
      </c>
      <c r="K4435" t="n">
        <v>0</v>
      </c>
      <c r="L4435" t="n">
        <v>0</v>
      </c>
      <c r="M4435" t="n">
        <v>0</v>
      </c>
      <c r="N4435" t="n">
        <v>0</v>
      </c>
      <c r="O4435" t="n">
        <v>0</v>
      </c>
      <c r="P4435" t="n">
        <v>0</v>
      </c>
      <c r="Q4435" t="n">
        <v>0</v>
      </c>
      <c r="R4435" s="2" t="inlineStr"/>
    </row>
    <row r="4436" ht="15" customHeight="1">
      <c r="A4436" t="inlineStr">
        <is>
          <t>A 13360-2024</t>
        </is>
      </c>
      <c r="B4436" s="1" t="n">
        <v>45387.35157407408</v>
      </c>
      <c r="C4436" s="1" t="n">
        <v>46093</v>
      </c>
      <c r="D4436" t="inlineStr">
        <is>
          <t>VÄSTERNORRLANDS LÄN</t>
        </is>
      </c>
      <c r="E4436" t="inlineStr">
        <is>
          <t>SUNDSVALL</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15339-2025</t>
        </is>
      </c>
      <c r="B4437" s="1" t="n">
        <v>45747.36695601852</v>
      </c>
      <c r="C4437" s="1" t="n">
        <v>46093</v>
      </c>
      <c r="D4437" t="inlineStr">
        <is>
          <t>VÄSTERNORRLANDS LÄN</t>
        </is>
      </c>
      <c r="E4437" t="inlineStr">
        <is>
          <t>ÖRNSKÖLDSVIK</t>
        </is>
      </c>
      <c r="F4437" t="inlineStr">
        <is>
          <t>Holmen skog AB</t>
        </is>
      </c>
      <c r="G4437" t="n">
        <v>3.3</v>
      </c>
      <c r="H4437" t="n">
        <v>0</v>
      </c>
      <c r="I4437" t="n">
        <v>0</v>
      </c>
      <c r="J4437" t="n">
        <v>0</v>
      </c>
      <c r="K4437" t="n">
        <v>0</v>
      </c>
      <c r="L4437" t="n">
        <v>0</v>
      </c>
      <c r="M4437" t="n">
        <v>0</v>
      </c>
      <c r="N4437" t="n">
        <v>0</v>
      </c>
      <c r="O4437" t="n">
        <v>0</v>
      </c>
      <c r="P4437" t="n">
        <v>0</v>
      </c>
      <c r="Q4437" t="n">
        <v>0</v>
      </c>
      <c r="R4437" s="2" t="inlineStr"/>
    </row>
    <row r="4438" ht="15" customHeight="1">
      <c r="A4438" t="inlineStr">
        <is>
          <t>A 52010-2022</t>
        </is>
      </c>
      <c r="B4438" s="1" t="n">
        <v>44872</v>
      </c>
      <c r="C4438" s="1" t="n">
        <v>46093</v>
      </c>
      <c r="D4438" t="inlineStr">
        <is>
          <t>VÄSTERNORRLANDS LÄN</t>
        </is>
      </c>
      <c r="E4438" t="inlineStr">
        <is>
          <t>TIMRÅ</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41082-2021</t>
        </is>
      </c>
      <c r="B4439" s="1" t="n">
        <v>44422.47804398148</v>
      </c>
      <c r="C4439" s="1" t="n">
        <v>46093</v>
      </c>
      <c r="D4439" t="inlineStr">
        <is>
          <t>VÄSTERNORRLANDS LÄN</t>
        </is>
      </c>
      <c r="E4439" t="inlineStr">
        <is>
          <t>ÖRNSKÖLDSVIK</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41158-2021</t>
        </is>
      </c>
      <c r="B4440" s="1" t="n">
        <v>44424</v>
      </c>
      <c r="C4440" s="1" t="n">
        <v>46093</v>
      </c>
      <c r="D4440" t="inlineStr">
        <is>
          <t>VÄSTERNORRLANDS LÄN</t>
        </is>
      </c>
      <c r="E4440" t="inlineStr">
        <is>
          <t>KRAMFORS</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52035-2022</t>
        </is>
      </c>
      <c r="B4441" s="1" t="n">
        <v>44872</v>
      </c>
      <c r="C4441" s="1" t="n">
        <v>46093</v>
      </c>
      <c r="D4441" t="inlineStr">
        <is>
          <t>VÄSTERNORRLANDS LÄN</t>
        </is>
      </c>
      <c r="E4441" t="inlineStr">
        <is>
          <t>SOLLEFTEÅ</t>
        </is>
      </c>
      <c r="F4441" t="inlineStr">
        <is>
          <t>SCA</t>
        </is>
      </c>
      <c r="G4441" t="n">
        <v>2.5</v>
      </c>
      <c r="H4441" t="n">
        <v>0</v>
      </c>
      <c r="I4441" t="n">
        <v>0</v>
      </c>
      <c r="J4441" t="n">
        <v>0</v>
      </c>
      <c r="K4441" t="n">
        <v>0</v>
      </c>
      <c r="L4441" t="n">
        <v>0</v>
      </c>
      <c r="M4441" t="n">
        <v>0</v>
      </c>
      <c r="N4441" t="n">
        <v>0</v>
      </c>
      <c r="O4441" t="n">
        <v>0</v>
      </c>
      <c r="P4441" t="n">
        <v>0</v>
      </c>
      <c r="Q4441" t="n">
        <v>0</v>
      </c>
      <c r="R4441" s="2" t="inlineStr"/>
    </row>
    <row r="4442" ht="15" customHeight="1">
      <c r="A4442" t="inlineStr">
        <is>
          <t>A 52065-2022</t>
        </is>
      </c>
      <c r="B4442" s="1" t="n">
        <v>44873.34980324074</v>
      </c>
      <c r="C4442" s="1" t="n">
        <v>46093</v>
      </c>
      <c r="D4442" t="inlineStr">
        <is>
          <t>VÄSTERNORRLANDS LÄN</t>
        </is>
      </c>
      <c r="E4442" t="inlineStr">
        <is>
          <t>ÖRNSKÖLDSVIK</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57840-2022</t>
        </is>
      </c>
      <c r="B4443" s="1" t="n">
        <v>44897</v>
      </c>
      <c r="C4443" s="1" t="n">
        <v>46093</v>
      </c>
      <c r="D4443" t="inlineStr">
        <is>
          <t>VÄSTERNORRLANDS LÄN</t>
        </is>
      </c>
      <c r="E4443" t="inlineStr">
        <is>
          <t>TIMRÅ</t>
        </is>
      </c>
      <c r="F4443" t="inlineStr">
        <is>
          <t>SCA</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35979-2025</t>
        </is>
      </c>
      <c r="B4444" s="1" t="n">
        <v>45863.44825231482</v>
      </c>
      <c r="C4444" s="1" t="n">
        <v>46093</v>
      </c>
      <c r="D4444" t="inlineStr">
        <is>
          <t>VÄSTERNORRLANDS LÄN</t>
        </is>
      </c>
      <c r="E4444" t="inlineStr">
        <is>
          <t>SUNDSVALL</t>
        </is>
      </c>
      <c r="F4444" t="inlineStr">
        <is>
          <t>SCA</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48083-2023</t>
        </is>
      </c>
      <c r="B4445" s="1" t="n">
        <v>45204</v>
      </c>
      <c r="C4445" s="1" t="n">
        <v>46093</v>
      </c>
      <c r="D4445" t="inlineStr">
        <is>
          <t>VÄSTERNORRLANDS LÄN</t>
        </is>
      </c>
      <c r="E4445" t="inlineStr">
        <is>
          <t>SOLLEFTEÅ</t>
        </is>
      </c>
      <c r="F4445" t="inlineStr">
        <is>
          <t>SCA</t>
        </is>
      </c>
      <c r="G4445" t="n">
        <v>2.8</v>
      </c>
      <c r="H4445" t="n">
        <v>0</v>
      </c>
      <c r="I4445" t="n">
        <v>0</v>
      </c>
      <c r="J4445" t="n">
        <v>0</v>
      </c>
      <c r="K4445" t="n">
        <v>0</v>
      </c>
      <c r="L4445" t="n">
        <v>0</v>
      </c>
      <c r="M4445" t="n">
        <v>0</v>
      </c>
      <c r="N4445" t="n">
        <v>0</v>
      </c>
      <c r="O4445" t="n">
        <v>0</v>
      </c>
      <c r="P4445" t="n">
        <v>0</v>
      </c>
      <c r="Q4445" t="n">
        <v>0</v>
      </c>
      <c r="R4445" s="2" t="inlineStr"/>
    </row>
    <row r="4446" ht="15" customHeight="1">
      <c r="A4446" t="inlineStr">
        <is>
          <t>A 38247-2024</t>
        </is>
      </c>
      <c r="B4446" s="1" t="n">
        <v>45545</v>
      </c>
      <c r="C4446" s="1" t="n">
        <v>46093</v>
      </c>
      <c r="D4446" t="inlineStr">
        <is>
          <t>VÄSTERNORRLANDS LÄN</t>
        </is>
      </c>
      <c r="E4446" t="inlineStr">
        <is>
          <t>KRAMFORS</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42064-2025</t>
        </is>
      </c>
      <c r="B4447" s="1" t="n">
        <v>45903.6527199074</v>
      </c>
      <c r="C4447" s="1" t="n">
        <v>46093</v>
      </c>
      <c r="D4447" t="inlineStr">
        <is>
          <t>VÄSTERNORRLANDS LÄN</t>
        </is>
      </c>
      <c r="E4447" t="inlineStr">
        <is>
          <t>SOLLEFTEÅ</t>
        </is>
      </c>
      <c r="G4447" t="n">
        <v>4.1</v>
      </c>
      <c r="H4447" t="n">
        <v>0</v>
      </c>
      <c r="I4447" t="n">
        <v>0</v>
      </c>
      <c r="J4447" t="n">
        <v>0</v>
      </c>
      <c r="K4447" t="n">
        <v>0</v>
      </c>
      <c r="L4447" t="n">
        <v>0</v>
      </c>
      <c r="M4447" t="n">
        <v>0</v>
      </c>
      <c r="N4447" t="n">
        <v>0</v>
      </c>
      <c r="O4447" t="n">
        <v>0</v>
      </c>
      <c r="P4447" t="n">
        <v>0</v>
      </c>
      <c r="Q4447" t="n">
        <v>0</v>
      </c>
      <c r="R4447" s="2" t="inlineStr"/>
    </row>
    <row r="4448" ht="15" customHeight="1">
      <c r="A4448" t="inlineStr">
        <is>
          <t>A 10487-2025</t>
        </is>
      </c>
      <c r="B4448" s="1" t="n">
        <v>45721.34428240741</v>
      </c>
      <c r="C4448" s="1" t="n">
        <v>46093</v>
      </c>
      <c r="D4448" t="inlineStr">
        <is>
          <t>VÄSTERNORRLANDS LÄN</t>
        </is>
      </c>
      <c r="E4448" t="inlineStr">
        <is>
          <t>SUNDSVALL</t>
        </is>
      </c>
      <c r="F4448" t="inlineStr">
        <is>
          <t>SCA</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61484-2024</t>
        </is>
      </c>
      <c r="B4449" s="1" t="n">
        <v>45646.53160879629</v>
      </c>
      <c r="C4449" s="1" t="n">
        <v>46093</v>
      </c>
      <c r="D4449" t="inlineStr">
        <is>
          <t>VÄSTERNORRLANDS LÄN</t>
        </is>
      </c>
      <c r="E4449" t="inlineStr">
        <is>
          <t>TIMRÅ</t>
        </is>
      </c>
      <c r="F4449" t="inlineStr">
        <is>
          <t>SCA</t>
        </is>
      </c>
      <c r="G4449" t="n">
        <v>8.699999999999999</v>
      </c>
      <c r="H4449" t="n">
        <v>0</v>
      </c>
      <c r="I4449" t="n">
        <v>0</v>
      </c>
      <c r="J4449" t="n">
        <v>0</v>
      </c>
      <c r="K4449" t="n">
        <v>0</v>
      </c>
      <c r="L4449" t="n">
        <v>0</v>
      </c>
      <c r="M4449" t="n">
        <v>0</v>
      </c>
      <c r="N4449" t="n">
        <v>0</v>
      </c>
      <c r="O4449" t="n">
        <v>0</v>
      </c>
      <c r="P4449" t="n">
        <v>0</v>
      </c>
      <c r="Q4449" t="n">
        <v>0</v>
      </c>
      <c r="R4449" s="2" t="inlineStr"/>
    </row>
    <row r="4450" ht="15" customHeight="1">
      <c r="A4450" t="inlineStr">
        <is>
          <t>A 41891-2025</t>
        </is>
      </c>
      <c r="B4450" s="1" t="n">
        <v>45903.3791087963</v>
      </c>
      <c r="C4450" s="1" t="n">
        <v>46093</v>
      </c>
      <c r="D4450" t="inlineStr">
        <is>
          <t>VÄSTERNORRLANDS LÄN</t>
        </is>
      </c>
      <c r="E4450" t="inlineStr">
        <is>
          <t>ÖRNSKÖLDSVIK</t>
        </is>
      </c>
      <c r="G4450" t="n">
        <v>4.2</v>
      </c>
      <c r="H4450" t="n">
        <v>0</v>
      </c>
      <c r="I4450" t="n">
        <v>0</v>
      </c>
      <c r="J4450" t="n">
        <v>0</v>
      </c>
      <c r="K4450" t="n">
        <v>0</v>
      </c>
      <c r="L4450" t="n">
        <v>0</v>
      </c>
      <c r="M4450" t="n">
        <v>0</v>
      </c>
      <c r="N4450" t="n">
        <v>0</v>
      </c>
      <c r="O4450" t="n">
        <v>0</v>
      </c>
      <c r="P4450" t="n">
        <v>0</v>
      </c>
      <c r="Q4450" t="n">
        <v>0</v>
      </c>
      <c r="R4450" s="2" t="inlineStr"/>
    </row>
    <row r="4451" ht="15" customHeight="1">
      <c r="A4451" t="inlineStr">
        <is>
          <t>A 40115-2023</t>
        </is>
      </c>
      <c r="B4451" s="1" t="n">
        <v>45168.93859953704</v>
      </c>
      <c r="C4451" s="1" t="n">
        <v>46093</v>
      </c>
      <c r="D4451" t="inlineStr">
        <is>
          <t>VÄSTERNORRLANDS LÄN</t>
        </is>
      </c>
      <c r="E4451" t="inlineStr">
        <is>
          <t>SOLLEFTEÅ</t>
        </is>
      </c>
      <c r="F4451" t="inlineStr">
        <is>
          <t>SCA</t>
        </is>
      </c>
      <c r="G4451" t="n">
        <v>4</v>
      </c>
      <c r="H4451" t="n">
        <v>0</v>
      </c>
      <c r="I4451" t="n">
        <v>0</v>
      </c>
      <c r="J4451" t="n">
        <v>0</v>
      </c>
      <c r="K4451" t="n">
        <v>0</v>
      </c>
      <c r="L4451" t="n">
        <v>0</v>
      </c>
      <c r="M4451" t="n">
        <v>0</v>
      </c>
      <c r="N4451" t="n">
        <v>0</v>
      </c>
      <c r="O4451" t="n">
        <v>0</v>
      </c>
      <c r="P4451" t="n">
        <v>0</v>
      </c>
      <c r="Q4451" t="n">
        <v>0</v>
      </c>
      <c r="R4451" s="2" t="inlineStr"/>
    </row>
    <row r="4452" ht="15" customHeight="1">
      <c r="A4452" t="inlineStr">
        <is>
          <t>A 41925-2025</t>
        </is>
      </c>
      <c r="B4452" s="1" t="n">
        <v>45903.4275</v>
      </c>
      <c r="C4452" s="1" t="n">
        <v>46093</v>
      </c>
      <c r="D4452" t="inlineStr">
        <is>
          <t>VÄSTERNORRLANDS LÄN</t>
        </is>
      </c>
      <c r="E4452" t="inlineStr">
        <is>
          <t>SOLLEFTEÅ</t>
        </is>
      </c>
      <c r="G4452" t="n">
        <v>3.6</v>
      </c>
      <c r="H4452" t="n">
        <v>0</v>
      </c>
      <c r="I4452" t="n">
        <v>0</v>
      </c>
      <c r="J4452" t="n">
        <v>0</v>
      </c>
      <c r="K4452" t="n">
        <v>0</v>
      </c>
      <c r="L4452" t="n">
        <v>0</v>
      </c>
      <c r="M4452" t="n">
        <v>0</v>
      </c>
      <c r="N4452" t="n">
        <v>0</v>
      </c>
      <c r="O4452" t="n">
        <v>0</v>
      </c>
      <c r="P4452" t="n">
        <v>0</v>
      </c>
      <c r="Q4452" t="n">
        <v>0</v>
      </c>
      <c r="R4452" s="2" t="inlineStr"/>
    </row>
    <row r="4453" ht="15" customHeight="1">
      <c r="A4453" t="inlineStr">
        <is>
          <t>A 35973-2025</t>
        </is>
      </c>
      <c r="B4453" s="1" t="n">
        <v>45863.42748842593</v>
      </c>
      <c r="C4453" s="1" t="n">
        <v>46093</v>
      </c>
      <c r="D4453" t="inlineStr">
        <is>
          <t>VÄSTERNORRLANDS LÄN</t>
        </is>
      </c>
      <c r="E4453" t="inlineStr">
        <is>
          <t>SUNDSVALL</t>
        </is>
      </c>
      <c r="F4453" t="inlineStr">
        <is>
          <t>SCA</t>
        </is>
      </c>
      <c r="G4453" t="n">
        <v>15.5</v>
      </c>
      <c r="H4453" t="n">
        <v>0</v>
      </c>
      <c r="I4453" t="n">
        <v>0</v>
      </c>
      <c r="J4453" t="n">
        <v>0</v>
      </c>
      <c r="K4453" t="n">
        <v>0</v>
      </c>
      <c r="L4453" t="n">
        <v>0</v>
      </c>
      <c r="M4453" t="n">
        <v>0</v>
      </c>
      <c r="N4453" t="n">
        <v>0</v>
      </c>
      <c r="O4453" t="n">
        <v>0</v>
      </c>
      <c r="P4453" t="n">
        <v>0</v>
      </c>
      <c r="Q4453" t="n">
        <v>0</v>
      </c>
      <c r="R4453" s="2" t="inlineStr"/>
    </row>
    <row r="4454" ht="15" customHeight="1">
      <c r="A4454" t="inlineStr">
        <is>
          <t>A 39506-2023</t>
        </is>
      </c>
      <c r="B4454" s="1" t="n">
        <v>45166.95797453704</v>
      </c>
      <c r="C4454" s="1" t="n">
        <v>46093</v>
      </c>
      <c r="D4454" t="inlineStr">
        <is>
          <t>VÄSTERNORRLANDS LÄN</t>
        </is>
      </c>
      <c r="E4454" t="inlineStr">
        <is>
          <t>SUNDSVALL</t>
        </is>
      </c>
      <c r="F4454" t="inlineStr">
        <is>
          <t>SCA</t>
        </is>
      </c>
      <c r="G4454" t="n">
        <v>3</v>
      </c>
      <c r="H4454" t="n">
        <v>0</v>
      </c>
      <c r="I4454" t="n">
        <v>0</v>
      </c>
      <c r="J4454" t="n">
        <v>0</v>
      </c>
      <c r="K4454" t="n">
        <v>0</v>
      </c>
      <c r="L4454" t="n">
        <v>0</v>
      </c>
      <c r="M4454" t="n">
        <v>0</v>
      </c>
      <c r="N4454" t="n">
        <v>0</v>
      </c>
      <c r="O4454" t="n">
        <v>0</v>
      </c>
      <c r="P4454" t="n">
        <v>0</v>
      </c>
      <c r="Q4454" t="n">
        <v>0</v>
      </c>
      <c r="R4454" s="2" t="inlineStr"/>
    </row>
    <row r="4455" ht="15" customHeight="1">
      <c r="A4455" t="inlineStr">
        <is>
          <t>A 42254-2025</t>
        </is>
      </c>
      <c r="B4455" s="1" t="n">
        <v>45904.58797453704</v>
      </c>
      <c r="C4455" s="1" t="n">
        <v>46093</v>
      </c>
      <c r="D4455" t="inlineStr">
        <is>
          <t>VÄSTERNORRLANDS LÄN</t>
        </is>
      </c>
      <c r="E4455" t="inlineStr">
        <is>
          <t>ÖRNSKÖLDSVIK</t>
        </is>
      </c>
      <c r="F4455" t="inlineStr">
        <is>
          <t>Holmen skog AB</t>
        </is>
      </c>
      <c r="G4455" t="n">
        <v>2.1</v>
      </c>
      <c r="H4455" t="n">
        <v>0</v>
      </c>
      <c r="I4455" t="n">
        <v>0</v>
      </c>
      <c r="J4455" t="n">
        <v>0</v>
      </c>
      <c r="K4455" t="n">
        <v>0</v>
      </c>
      <c r="L4455" t="n">
        <v>0</v>
      </c>
      <c r="M4455" t="n">
        <v>0</v>
      </c>
      <c r="N4455" t="n">
        <v>0</v>
      </c>
      <c r="O4455" t="n">
        <v>0</v>
      </c>
      <c r="P4455" t="n">
        <v>0</v>
      </c>
      <c r="Q4455" t="n">
        <v>0</v>
      </c>
      <c r="R4455" s="2" t="inlineStr"/>
    </row>
    <row r="4456" ht="15" customHeight="1">
      <c r="A4456" t="inlineStr">
        <is>
          <t>A 42275-2025</t>
        </is>
      </c>
      <c r="B4456" s="1" t="n">
        <v>45904.61407407407</v>
      </c>
      <c r="C4456" s="1" t="n">
        <v>46093</v>
      </c>
      <c r="D4456" t="inlineStr">
        <is>
          <t>VÄSTERNORRLANDS LÄN</t>
        </is>
      </c>
      <c r="E4456" t="inlineStr">
        <is>
          <t>KRAMFORS</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33305-2024</t>
        </is>
      </c>
      <c r="B4457" s="1" t="n">
        <v>45518</v>
      </c>
      <c r="C4457" s="1" t="n">
        <v>46093</v>
      </c>
      <c r="D4457" t="inlineStr">
        <is>
          <t>VÄSTERNORRLANDS LÄN</t>
        </is>
      </c>
      <c r="E4457" t="inlineStr">
        <is>
          <t>ÅNGE</t>
        </is>
      </c>
      <c r="F4457" t="inlineStr">
        <is>
          <t>SCA</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33306-2024</t>
        </is>
      </c>
      <c r="B4458" s="1" t="n">
        <v>45518</v>
      </c>
      <c r="C4458" s="1" t="n">
        <v>46093</v>
      </c>
      <c r="D4458" t="inlineStr">
        <is>
          <t>VÄSTERNORRLANDS LÄN</t>
        </is>
      </c>
      <c r="E4458" t="inlineStr">
        <is>
          <t>ÅNGE</t>
        </is>
      </c>
      <c r="F4458" t="inlineStr">
        <is>
          <t>SCA</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33191-2024</t>
        </is>
      </c>
      <c r="B4459" s="1" t="n">
        <v>45518</v>
      </c>
      <c r="C4459" s="1" t="n">
        <v>46093</v>
      </c>
      <c r="D4459" t="inlineStr">
        <is>
          <t>VÄSTERNORRLANDS LÄN</t>
        </is>
      </c>
      <c r="E4459" t="inlineStr">
        <is>
          <t>ÖRNSKÖLDSVIK</t>
        </is>
      </c>
      <c r="F4459" t="inlineStr">
        <is>
          <t>Holmen skog AB</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42191-2025</t>
        </is>
      </c>
      <c r="B4460" s="1" t="n">
        <v>45904.47394675926</v>
      </c>
      <c r="C4460" s="1" t="n">
        <v>46093</v>
      </c>
      <c r="D4460" t="inlineStr">
        <is>
          <t>VÄSTERNORRLANDS LÄN</t>
        </is>
      </c>
      <c r="E4460" t="inlineStr">
        <is>
          <t>SOLLEFTEÅ</t>
        </is>
      </c>
      <c r="G4460" t="n">
        <v>4.2</v>
      </c>
      <c r="H4460" t="n">
        <v>0</v>
      </c>
      <c r="I4460" t="n">
        <v>0</v>
      </c>
      <c r="J4460" t="n">
        <v>0</v>
      </c>
      <c r="K4460" t="n">
        <v>0</v>
      </c>
      <c r="L4460" t="n">
        <v>0</v>
      </c>
      <c r="M4460" t="n">
        <v>0</v>
      </c>
      <c r="N4460" t="n">
        <v>0</v>
      </c>
      <c r="O4460" t="n">
        <v>0</v>
      </c>
      <c r="P4460" t="n">
        <v>0</v>
      </c>
      <c r="Q4460" t="n">
        <v>0</v>
      </c>
      <c r="R4460" s="2" t="inlineStr"/>
    </row>
    <row r="4461" ht="15" customHeight="1">
      <c r="A4461" t="inlineStr">
        <is>
          <t>A 34132-2024</t>
        </is>
      </c>
      <c r="B4461" s="1" t="n">
        <v>45524</v>
      </c>
      <c r="C4461" s="1" t="n">
        <v>46093</v>
      </c>
      <c r="D4461" t="inlineStr">
        <is>
          <t>VÄSTERNORRLANDS LÄN</t>
        </is>
      </c>
      <c r="E4461" t="inlineStr">
        <is>
          <t>ÖRNSKÖLDSVIK</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34152-2024</t>
        </is>
      </c>
      <c r="B4462" s="1" t="n">
        <v>45524.38238425926</v>
      </c>
      <c r="C4462" s="1" t="n">
        <v>46093</v>
      </c>
      <c r="D4462" t="inlineStr">
        <is>
          <t>VÄSTERNORRLANDS LÄN</t>
        </is>
      </c>
      <c r="E4462" t="inlineStr">
        <is>
          <t>ÖRNSKÖLDSVIK</t>
        </is>
      </c>
      <c r="F4462" t="inlineStr">
        <is>
          <t>Holmen skog AB</t>
        </is>
      </c>
      <c r="G4462" t="n">
        <v>3.3</v>
      </c>
      <c r="H4462" t="n">
        <v>0</v>
      </c>
      <c r="I4462" t="n">
        <v>0</v>
      </c>
      <c r="J4462" t="n">
        <v>0</v>
      </c>
      <c r="K4462" t="n">
        <v>0</v>
      </c>
      <c r="L4462" t="n">
        <v>0</v>
      </c>
      <c r="M4462" t="n">
        <v>0</v>
      </c>
      <c r="N4462" t="n">
        <v>0</v>
      </c>
      <c r="O4462" t="n">
        <v>0</v>
      </c>
      <c r="P4462" t="n">
        <v>0</v>
      </c>
      <c r="Q4462" t="n">
        <v>0</v>
      </c>
      <c r="R4462" s="2" t="inlineStr"/>
    </row>
    <row r="4463" ht="15" customHeight="1">
      <c r="A4463" t="inlineStr">
        <is>
          <t>A 36135-2025</t>
        </is>
      </c>
      <c r="B4463" s="1" t="n">
        <v>45866.63594907407</v>
      </c>
      <c r="C4463" s="1" t="n">
        <v>46093</v>
      </c>
      <c r="D4463" t="inlineStr">
        <is>
          <t>VÄSTERNORRLANDS LÄN</t>
        </is>
      </c>
      <c r="E4463" t="inlineStr">
        <is>
          <t>SOLLEFTEÅ</t>
        </is>
      </c>
      <c r="F4463" t="inlineStr">
        <is>
          <t>SCA</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52461-2024</t>
        </is>
      </c>
      <c r="B4464" s="1" t="n">
        <v>45609.51947916667</v>
      </c>
      <c r="C4464" s="1" t="n">
        <v>46093</v>
      </c>
      <c r="D4464" t="inlineStr">
        <is>
          <t>VÄSTERNORRLANDS LÄN</t>
        </is>
      </c>
      <c r="E4464" t="inlineStr">
        <is>
          <t>SOLLEFTEÅ</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42239-2025</t>
        </is>
      </c>
      <c r="B4465" s="1" t="n">
        <v>45904.56450231482</v>
      </c>
      <c r="C4465" s="1" t="n">
        <v>46093</v>
      </c>
      <c r="D4465" t="inlineStr">
        <is>
          <t>VÄSTERNORRLANDS LÄN</t>
        </is>
      </c>
      <c r="E4465" t="inlineStr">
        <is>
          <t>ÖRNSKÖLDSVIK</t>
        </is>
      </c>
      <c r="F4465" t="inlineStr">
        <is>
          <t>Holmen skog AB</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36524-2024</t>
        </is>
      </c>
      <c r="B4466" s="1" t="n">
        <v>45537</v>
      </c>
      <c r="C4466" s="1" t="n">
        <v>46093</v>
      </c>
      <c r="D4466" t="inlineStr">
        <is>
          <t>VÄSTERNORRLANDS LÄN</t>
        </is>
      </c>
      <c r="E4466" t="inlineStr">
        <is>
          <t>ÖRNSKÖLDSVIK</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61244-2022</t>
        </is>
      </c>
      <c r="B4467" s="1" t="n">
        <v>44915.57413194444</v>
      </c>
      <c r="C4467" s="1" t="n">
        <v>46093</v>
      </c>
      <c r="D4467" t="inlineStr">
        <is>
          <t>VÄSTERNORRLANDS LÄN</t>
        </is>
      </c>
      <c r="E4467" t="inlineStr">
        <is>
          <t>ÖRNSKÖLDSVIK</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61252-2022</t>
        </is>
      </c>
      <c r="B4468" s="1" t="n">
        <v>44909</v>
      </c>
      <c r="C4468" s="1" t="n">
        <v>46093</v>
      </c>
      <c r="D4468" t="inlineStr">
        <is>
          <t>VÄSTERNORRLANDS LÄN</t>
        </is>
      </c>
      <c r="E4468" t="inlineStr">
        <is>
          <t>KRAMFORS</t>
        </is>
      </c>
      <c r="G4468" t="n">
        <v>4.2</v>
      </c>
      <c r="H4468" t="n">
        <v>0</v>
      </c>
      <c r="I4468" t="n">
        <v>0</v>
      </c>
      <c r="J4468" t="n">
        <v>0</v>
      </c>
      <c r="K4468" t="n">
        <v>0</v>
      </c>
      <c r="L4468" t="n">
        <v>0</v>
      </c>
      <c r="M4468" t="n">
        <v>0</v>
      </c>
      <c r="N4468" t="n">
        <v>0</v>
      </c>
      <c r="O4468" t="n">
        <v>0</v>
      </c>
      <c r="P4468" t="n">
        <v>0</v>
      </c>
      <c r="Q4468" t="n">
        <v>0</v>
      </c>
      <c r="R4468" s="2" t="inlineStr"/>
    </row>
    <row r="4469" ht="15" customHeight="1">
      <c r="A4469" t="inlineStr">
        <is>
          <t>A 36896-2024</t>
        </is>
      </c>
      <c r="B4469" s="1" t="n">
        <v>45538.61974537037</v>
      </c>
      <c r="C4469" s="1" t="n">
        <v>46093</v>
      </c>
      <c r="D4469" t="inlineStr">
        <is>
          <t>VÄSTERNORRLANDS LÄN</t>
        </is>
      </c>
      <c r="E4469" t="inlineStr">
        <is>
          <t>KRAMFORS</t>
        </is>
      </c>
      <c r="G4469" t="n">
        <v>3</v>
      </c>
      <c r="H4469" t="n">
        <v>0</v>
      </c>
      <c r="I4469" t="n">
        <v>0</v>
      </c>
      <c r="J4469" t="n">
        <v>0</v>
      </c>
      <c r="K4469" t="n">
        <v>0</v>
      </c>
      <c r="L4469" t="n">
        <v>0</v>
      </c>
      <c r="M4469" t="n">
        <v>0</v>
      </c>
      <c r="N4469" t="n">
        <v>0</v>
      </c>
      <c r="O4469" t="n">
        <v>0</v>
      </c>
      <c r="P4469" t="n">
        <v>0</v>
      </c>
      <c r="Q4469" t="n">
        <v>0</v>
      </c>
      <c r="R4469" s="2" t="inlineStr"/>
    </row>
    <row r="4470" ht="15" customHeight="1">
      <c r="A4470" t="inlineStr">
        <is>
          <t>A 19021-2025</t>
        </is>
      </c>
      <c r="B4470" s="1" t="n">
        <v>45764.61802083333</v>
      </c>
      <c r="C4470" s="1" t="n">
        <v>46093</v>
      </c>
      <c r="D4470" t="inlineStr">
        <is>
          <t>VÄSTERNORRLANDS LÄN</t>
        </is>
      </c>
      <c r="E4470" t="inlineStr">
        <is>
          <t>KRAMFORS</t>
        </is>
      </c>
      <c r="G4470" t="n">
        <v>3.9</v>
      </c>
      <c r="H4470" t="n">
        <v>0</v>
      </c>
      <c r="I4470" t="n">
        <v>0</v>
      </c>
      <c r="J4470" t="n">
        <v>0</v>
      </c>
      <c r="K4470" t="n">
        <v>0</v>
      </c>
      <c r="L4470" t="n">
        <v>0</v>
      </c>
      <c r="M4470" t="n">
        <v>0</v>
      </c>
      <c r="N4470" t="n">
        <v>0</v>
      </c>
      <c r="O4470" t="n">
        <v>0</v>
      </c>
      <c r="P4470" t="n">
        <v>0</v>
      </c>
      <c r="Q4470" t="n">
        <v>0</v>
      </c>
      <c r="R4470" s="2" t="inlineStr"/>
    </row>
    <row r="4471" ht="15" customHeight="1">
      <c r="A4471" t="inlineStr">
        <is>
          <t>A 41956-2025</t>
        </is>
      </c>
      <c r="B4471" s="1" t="n">
        <v>45903.46487268519</v>
      </c>
      <c r="C4471" s="1" t="n">
        <v>46093</v>
      </c>
      <c r="D4471" t="inlineStr">
        <is>
          <t>VÄSTERNORRLANDS LÄN</t>
        </is>
      </c>
      <c r="E4471" t="inlineStr">
        <is>
          <t>ÖRNSKÖLDSVIK</t>
        </is>
      </c>
      <c r="F4471" t="inlineStr">
        <is>
          <t>Holmen skog AB</t>
        </is>
      </c>
      <c r="G4471" t="n">
        <v>2.2</v>
      </c>
      <c r="H4471" t="n">
        <v>0</v>
      </c>
      <c r="I4471" t="n">
        <v>0</v>
      </c>
      <c r="J4471" t="n">
        <v>0</v>
      </c>
      <c r="K4471" t="n">
        <v>0</v>
      </c>
      <c r="L4471" t="n">
        <v>0</v>
      </c>
      <c r="M4471" t="n">
        <v>0</v>
      </c>
      <c r="N4471" t="n">
        <v>0</v>
      </c>
      <c r="O4471" t="n">
        <v>0</v>
      </c>
      <c r="P4471" t="n">
        <v>0</v>
      </c>
      <c r="Q4471" t="n">
        <v>0</v>
      </c>
      <c r="R4471" s="2" t="inlineStr"/>
    </row>
    <row r="4472" ht="15" customHeight="1">
      <c r="A4472" t="inlineStr">
        <is>
          <t>A 41989-2025</t>
        </is>
      </c>
      <c r="B4472" s="1" t="n">
        <v>45903.54394675926</v>
      </c>
      <c r="C4472" s="1" t="n">
        <v>46093</v>
      </c>
      <c r="D4472" t="inlineStr">
        <is>
          <t>VÄSTERNORRLANDS LÄN</t>
        </is>
      </c>
      <c r="E4472" t="inlineStr">
        <is>
          <t>ÖRNSKÖLDSVIK</t>
        </is>
      </c>
      <c r="F4472" t="inlineStr">
        <is>
          <t>Holmen skog AB</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30179-2024</t>
        </is>
      </c>
      <c r="B4473" s="1" t="n">
        <v>45489.92717592593</v>
      </c>
      <c r="C4473" s="1" t="n">
        <v>46093</v>
      </c>
      <c r="D4473" t="inlineStr">
        <is>
          <t>VÄSTERNORRLANDS LÄN</t>
        </is>
      </c>
      <c r="E4473" t="inlineStr">
        <is>
          <t>SUNDSVALL</t>
        </is>
      </c>
      <c r="F4473" t="inlineStr">
        <is>
          <t>Kyrkan</t>
        </is>
      </c>
      <c r="G4473" t="n">
        <v>8.6</v>
      </c>
      <c r="H4473" t="n">
        <v>0</v>
      </c>
      <c r="I4473" t="n">
        <v>0</v>
      </c>
      <c r="J4473" t="n">
        <v>0</v>
      </c>
      <c r="K4473" t="n">
        <v>0</v>
      </c>
      <c r="L4473" t="n">
        <v>0</v>
      </c>
      <c r="M4473" t="n">
        <v>0</v>
      </c>
      <c r="N4473" t="n">
        <v>0</v>
      </c>
      <c r="O4473" t="n">
        <v>0</v>
      </c>
      <c r="P4473" t="n">
        <v>0</v>
      </c>
      <c r="Q4473" t="n">
        <v>0</v>
      </c>
      <c r="R4473" s="2" t="inlineStr"/>
    </row>
    <row r="4474" ht="15" customHeight="1">
      <c r="A4474" t="inlineStr">
        <is>
          <t>A 41238-2024</t>
        </is>
      </c>
      <c r="B4474" s="1" t="n">
        <v>45558</v>
      </c>
      <c r="C4474" s="1" t="n">
        <v>46093</v>
      </c>
      <c r="D4474" t="inlineStr">
        <is>
          <t>VÄSTERNORRLANDS LÄN</t>
        </is>
      </c>
      <c r="E4474" t="inlineStr">
        <is>
          <t>ÖRNSKÖLDSVIK</t>
        </is>
      </c>
      <c r="G4474" t="n">
        <v>7.5</v>
      </c>
      <c r="H4474" t="n">
        <v>0</v>
      </c>
      <c r="I4474" t="n">
        <v>0</v>
      </c>
      <c r="J4474" t="n">
        <v>0</v>
      </c>
      <c r="K4474" t="n">
        <v>0</v>
      </c>
      <c r="L4474" t="n">
        <v>0</v>
      </c>
      <c r="M4474" t="n">
        <v>0</v>
      </c>
      <c r="N4474" t="n">
        <v>0</v>
      </c>
      <c r="O4474" t="n">
        <v>0</v>
      </c>
      <c r="P4474" t="n">
        <v>0</v>
      </c>
      <c r="Q4474" t="n">
        <v>0</v>
      </c>
      <c r="R4474" s="2" t="inlineStr"/>
    </row>
    <row r="4475" ht="15" customHeight="1">
      <c r="A4475" t="inlineStr">
        <is>
          <t>A 44459-2024</t>
        </is>
      </c>
      <c r="B4475" s="1" t="n">
        <v>45574.35724537037</v>
      </c>
      <c r="C4475" s="1" t="n">
        <v>46093</v>
      </c>
      <c r="D4475" t="inlineStr">
        <is>
          <t>VÄSTERNORRLANDS LÄN</t>
        </is>
      </c>
      <c r="E4475" t="inlineStr">
        <is>
          <t>HÄRNÖSAND</t>
        </is>
      </c>
      <c r="G4475" t="n">
        <v>9.5</v>
      </c>
      <c r="H4475" t="n">
        <v>0</v>
      </c>
      <c r="I4475" t="n">
        <v>0</v>
      </c>
      <c r="J4475" t="n">
        <v>0</v>
      </c>
      <c r="K4475" t="n">
        <v>0</v>
      </c>
      <c r="L4475" t="n">
        <v>0</v>
      </c>
      <c r="M4475" t="n">
        <v>0</v>
      </c>
      <c r="N4475" t="n">
        <v>0</v>
      </c>
      <c r="O4475" t="n">
        <v>0</v>
      </c>
      <c r="P4475" t="n">
        <v>0</v>
      </c>
      <c r="Q4475" t="n">
        <v>0</v>
      </c>
      <c r="R4475" s="2" t="inlineStr"/>
    </row>
    <row r="4476" ht="15" customHeight="1">
      <c r="A4476" t="inlineStr">
        <is>
          <t>A 16057-2025</t>
        </is>
      </c>
      <c r="B4476" s="1" t="n">
        <v>45749</v>
      </c>
      <c r="C4476" s="1" t="n">
        <v>46093</v>
      </c>
      <c r="D4476" t="inlineStr">
        <is>
          <t>VÄSTERNORRLANDS LÄN</t>
        </is>
      </c>
      <c r="E4476" t="inlineStr">
        <is>
          <t>KRAMFORS</t>
        </is>
      </c>
      <c r="G4476" t="n">
        <v>9.6</v>
      </c>
      <c r="H4476" t="n">
        <v>0</v>
      </c>
      <c r="I4476" t="n">
        <v>0</v>
      </c>
      <c r="J4476" t="n">
        <v>0</v>
      </c>
      <c r="K4476" t="n">
        <v>0</v>
      </c>
      <c r="L4476" t="n">
        <v>0</v>
      </c>
      <c r="M4476" t="n">
        <v>0</v>
      </c>
      <c r="N4476" t="n">
        <v>0</v>
      </c>
      <c r="O4476" t="n">
        <v>0</v>
      </c>
      <c r="P4476" t="n">
        <v>0</v>
      </c>
      <c r="Q4476" t="n">
        <v>0</v>
      </c>
      <c r="R4476" s="2" t="inlineStr"/>
    </row>
    <row r="4477" ht="15" customHeight="1">
      <c r="A4477" t="inlineStr">
        <is>
          <t>A 7535-2023</t>
        </is>
      </c>
      <c r="B4477" s="1" t="n">
        <v>44971</v>
      </c>
      <c r="C4477" s="1" t="n">
        <v>46093</v>
      </c>
      <c r="D4477" t="inlineStr">
        <is>
          <t>VÄSTERNORRLANDS LÄN</t>
        </is>
      </c>
      <c r="E4477" t="inlineStr">
        <is>
          <t>ÅNGE</t>
        </is>
      </c>
      <c r="F4477" t="inlineStr">
        <is>
          <t>SCA</t>
        </is>
      </c>
      <c r="G4477" t="n">
        <v>14.6</v>
      </c>
      <c r="H4477" t="n">
        <v>0</v>
      </c>
      <c r="I4477" t="n">
        <v>0</v>
      </c>
      <c r="J4477" t="n">
        <v>0</v>
      </c>
      <c r="K4477" t="n">
        <v>0</v>
      </c>
      <c r="L4477" t="n">
        <v>0</v>
      </c>
      <c r="M4477" t="n">
        <v>0</v>
      </c>
      <c r="N4477" t="n">
        <v>0</v>
      </c>
      <c r="O4477" t="n">
        <v>0</v>
      </c>
      <c r="P4477" t="n">
        <v>0</v>
      </c>
      <c r="Q4477" t="n">
        <v>0</v>
      </c>
      <c r="R4477" s="2" t="inlineStr"/>
    </row>
    <row r="4478" ht="15" customHeight="1">
      <c r="A4478" t="inlineStr">
        <is>
          <t>A 7574-2023</t>
        </is>
      </c>
      <c r="B4478" s="1" t="n">
        <v>44972</v>
      </c>
      <c r="C4478" s="1" t="n">
        <v>46093</v>
      </c>
      <c r="D4478" t="inlineStr">
        <is>
          <t>VÄSTERNORRLANDS LÄN</t>
        </is>
      </c>
      <c r="E4478" t="inlineStr">
        <is>
          <t>ÖRNSKÖLDSVIK</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42299-2025</t>
        </is>
      </c>
      <c r="B4479" s="1" t="n">
        <v>45904.64100694445</v>
      </c>
      <c r="C4479" s="1" t="n">
        <v>46093</v>
      </c>
      <c r="D4479" t="inlineStr">
        <is>
          <t>VÄSTERNORRLANDS LÄN</t>
        </is>
      </c>
      <c r="E4479" t="inlineStr">
        <is>
          <t>ÖRNSKÖLDSVIK</t>
        </is>
      </c>
      <c r="F4479" t="inlineStr">
        <is>
          <t>Holmen skog AB</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31925-2023</t>
        </is>
      </c>
      <c r="B4480" s="1" t="n">
        <v>45118</v>
      </c>
      <c r="C4480" s="1" t="n">
        <v>46093</v>
      </c>
      <c r="D4480" t="inlineStr">
        <is>
          <t>VÄSTERNORRLANDS LÄN</t>
        </is>
      </c>
      <c r="E4480" t="inlineStr">
        <is>
          <t>SOLLEFTEÅ</t>
        </is>
      </c>
      <c r="G4480" t="n">
        <v>2.4</v>
      </c>
      <c r="H4480" t="n">
        <v>0</v>
      </c>
      <c r="I4480" t="n">
        <v>0</v>
      </c>
      <c r="J4480" t="n">
        <v>0</v>
      </c>
      <c r="K4480" t="n">
        <v>0</v>
      </c>
      <c r="L4480" t="n">
        <v>0</v>
      </c>
      <c r="M4480" t="n">
        <v>0</v>
      </c>
      <c r="N4480" t="n">
        <v>0</v>
      </c>
      <c r="O4480" t="n">
        <v>0</v>
      </c>
      <c r="P4480" t="n">
        <v>0</v>
      </c>
      <c r="Q4480" t="n">
        <v>0</v>
      </c>
      <c r="R4480" s="2" t="inlineStr"/>
    </row>
    <row r="4481" ht="15" customHeight="1">
      <c r="A4481" t="inlineStr">
        <is>
          <t>A 53689-2023</t>
        </is>
      </c>
      <c r="B4481" s="1" t="n">
        <v>45230</v>
      </c>
      <c r="C4481" s="1" t="n">
        <v>46093</v>
      </c>
      <c r="D4481" t="inlineStr">
        <is>
          <t>VÄSTERNORRLANDS LÄN</t>
        </is>
      </c>
      <c r="E4481" t="inlineStr">
        <is>
          <t>ÖRNSKÖLDSVIK</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41753-2024</t>
        </is>
      </c>
      <c r="B4482" s="1" t="n">
        <v>45561.34413194445</v>
      </c>
      <c r="C4482" s="1" t="n">
        <v>46093</v>
      </c>
      <c r="D4482" t="inlineStr">
        <is>
          <t>VÄSTERNORRLANDS LÄN</t>
        </is>
      </c>
      <c r="E4482" t="inlineStr">
        <is>
          <t>SUNDSVALL</t>
        </is>
      </c>
      <c r="F4482" t="inlineStr">
        <is>
          <t>SCA</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35172-2024</t>
        </is>
      </c>
      <c r="B4483" s="1" t="n">
        <v>45530</v>
      </c>
      <c r="C4483" s="1" t="n">
        <v>46093</v>
      </c>
      <c r="D4483" t="inlineStr">
        <is>
          <t>VÄSTERNORRLANDS LÄN</t>
        </is>
      </c>
      <c r="E4483" t="inlineStr">
        <is>
          <t>KRAMFORS</t>
        </is>
      </c>
      <c r="G4483" t="n">
        <v>2.9</v>
      </c>
      <c r="H4483" t="n">
        <v>0</v>
      </c>
      <c r="I4483" t="n">
        <v>0</v>
      </c>
      <c r="J4483" t="n">
        <v>0</v>
      </c>
      <c r="K4483" t="n">
        <v>0</v>
      </c>
      <c r="L4483" t="n">
        <v>0</v>
      </c>
      <c r="M4483" t="n">
        <v>0</v>
      </c>
      <c r="N4483" t="n">
        <v>0</v>
      </c>
      <c r="O4483" t="n">
        <v>0</v>
      </c>
      <c r="P4483" t="n">
        <v>0</v>
      </c>
      <c r="Q4483" t="n">
        <v>0</v>
      </c>
      <c r="R4483" s="2" t="inlineStr"/>
    </row>
    <row r="4484" ht="15" customHeight="1">
      <c r="A4484" t="inlineStr">
        <is>
          <t>A 41976-2025</t>
        </is>
      </c>
      <c r="B4484" s="1" t="n">
        <v>45903.49787037037</v>
      </c>
      <c r="C4484" s="1" t="n">
        <v>46093</v>
      </c>
      <c r="D4484" t="inlineStr">
        <is>
          <t>VÄSTERNORRLANDS LÄN</t>
        </is>
      </c>
      <c r="E4484" t="inlineStr">
        <is>
          <t>ÖRNSKÖLDSVIK</t>
        </is>
      </c>
      <c r="F4484" t="inlineStr">
        <is>
          <t>Holmen skog AB</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42214-2024</t>
        </is>
      </c>
      <c r="B4485" s="1" t="n">
        <v>45562</v>
      </c>
      <c r="C4485" s="1" t="n">
        <v>46093</v>
      </c>
      <c r="D4485" t="inlineStr">
        <is>
          <t>VÄSTERNORRLANDS LÄN</t>
        </is>
      </c>
      <c r="E4485" t="inlineStr">
        <is>
          <t>HÄRNÖSAND</t>
        </is>
      </c>
      <c r="G4485" t="n">
        <v>4.3</v>
      </c>
      <c r="H4485" t="n">
        <v>0</v>
      </c>
      <c r="I4485" t="n">
        <v>0</v>
      </c>
      <c r="J4485" t="n">
        <v>0</v>
      </c>
      <c r="K4485" t="n">
        <v>0</v>
      </c>
      <c r="L4485" t="n">
        <v>0</v>
      </c>
      <c r="M4485" t="n">
        <v>0</v>
      </c>
      <c r="N4485" t="n">
        <v>0</v>
      </c>
      <c r="O4485" t="n">
        <v>0</v>
      </c>
      <c r="P4485" t="n">
        <v>0</v>
      </c>
      <c r="Q4485" t="n">
        <v>0</v>
      </c>
      <c r="R4485" s="2" t="inlineStr"/>
    </row>
    <row r="4486" ht="15" customHeight="1">
      <c r="A4486" t="inlineStr">
        <is>
          <t>A 57271-2024</t>
        </is>
      </c>
      <c r="B4486" s="1" t="n">
        <v>45629.57364583333</v>
      </c>
      <c r="C4486" s="1" t="n">
        <v>46093</v>
      </c>
      <c r="D4486" t="inlineStr">
        <is>
          <t>VÄSTERNORRLANDS LÄN</t>
        </is>
      </c>
      <c r="E4486" t="inlineStr">
        <is>
          <t>ÅNGE</t>
        </is>
      </c>
      <c r="F4486" t="inlineStr">
        <is>
          <t>SCA</t>
        </is>
      </c>
      <c r="G4486" t="n">
        <v>5.3</v>
      </c>
      <c r="H4486" t="n">
        <v>0</v>
      </c>
      <c r="I4486" t="n">
        <v>0</v>
      </c>
      <c r="J4486" t="n">
        <v>0</v>
      </c>
      <c r="K4486" t="n">
        <v>0</v>
      </c>
      <c r="L4486" t="n">
        <v>0</v>
      </c>
      <c r="M4486" t="n">
        <v>0</v>
      </c>
      <c r="N4486" t="n">
        <v>0</v>
      </c>
      <c r="O4486" t="n">
        <v>0</v>
      </c>
      <c r="P4486" t="n">
        <v>0</v>
      </c>
      <c r="Q4486" t="n">
        <v>0</v>
      </c>
      <c r="R4486" s="2" t="inlineStr"/>
    </row>
    <row r="4487" ht="15" customHeight="1">
      <c r="A4487" t="inlineStr">
        <is>
          <t>A 62357-2022</t>
        </is>
      </c>
      <c r="B4487" s="1" t="n">
        <v>44923.62614583333</v>
      </c>
      <c r="C4487" s="1" t="n">
        <v>46093</v>
      </c>
      <c r="D4487" t="inlineStr">
        <is>
          <t>VÄSTERNORRLANDS LÄN</t>
        </is>
      </c>
      <c r="E4487" t="inlineStr">
        <is>
          <t>ÖRNSKÖLDSVIK</t>
        </is>
      </c>
      <c r="G4487" t="n">
        <v>3.4</v>
      </c>
      <c r="H4487" t="n">
        <v>0</v>
      </c>
      <c r="I4487" t="n">
        <v>0</v>
      </c>
      <c r="J4487" t="n">
        <v>0</v>
      </c>
      <c r="K4487" t="n">
        <v>0</v>
      </c>
      <c r="L4487" t="n">
        <v>0</v>
      </c>
      <c r="M4487" t="n">
        <v>0</v>
      </c>
      <c r="N4487" t="n">
        <v>0</v>
      </c>
      <c r="O4487" t="n">
        <v>0</v>
      </c>
      <c r="P4487" t="n">
        <v>0</v>
      </c>
      <c r="Q4487" t="n">
        <v>0</v>
      </c>
      <c r="R4487" s="2" t="inlineStr"/>
    </row>
    <row r="4488" ht="15" customHeight="1">
      <c r="A4488" t="inlineStr">
        <is>
          <t>A 57316-2024</t>
        </is>
      </c>
      <c r="B4488" s="1" t="n">
        <v>45629.61498842593</v>
      </c>
      <c r="C4488" s="1" t="n">
        <v>46093</v>
      </c>
      <c r="D4488" t="inlineStr">
        <is>
          <t>VÄSTERNORRLANDS LÄN</t>
        </is>
      </c>
      <c r="E4488" t="inlineStr">
        <is>
          <t>TIMRÅ</t>
        </is>
      </c>
      <c r="F4488" t="inlineStr">
        <is>
          <t>SCA</t>
        </is>
      </c>
      <c r="G4488" t="n">
        <v>5.7</v>
      </c>
      <c r="H4488" t="n">
        <v>0</v>
      </c>
      <c r="I4488" t="n">
        <v>0</v>
      </c>
      <c r="J4488" t="n">
        <v>0</v>
      </c>
      <c r="K4488" t="n">
        <v>0</v>
      </c>
      <c r="L4488" t="n">
        <v>0</v>
      </c>
      <c r="M4488" t="n">
        <v>0</v>
      </c>
      <c r="N4488" t="n">
        <v>0</v>
      </c>
      <c r="O4488" t="n">
        <v>0</v>
      </c>
      <c r="P4488" t="n">
        <v>0</v>
      </c>
      <c r="Q4488" t="n">
        <v>0</v>
      </c>
      <c r="R4488" s="2" t="inlineStr"/>
    </row>
    <row r="4489" ht="15" customHeight="1">
      <c r="A4489" t="inlineStr">
        <is>
          <t>A 39435-2023</t>
        </is>
      </c>
      <c r="B4489" s="1" t="n">
        <v>45163</v>
      </c>
      <c r="C4489" s="1" t="n">
        <v>46093</v>
      </c>
      <c r="D4489" t="inlineStr">
        <is>
          <t>VÄSTERNORRLANDS LÄN</t>
        </is>
      </c>
      <c r="E4489" t="inlineStr">
        <is>
          <t>ÖRNSKÖLDSVIK</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38536-2022</t>
        </is>
      </c>
      <c r="B4490" s="1" t="n">
        <v>44813</v>
      </c>
      <c r="C4490" s="1" t="n">
        <v>46093</v>
      </c>
      <c r="D4490" t="inlineStr">
        <is>
          <t>VÄSTERNORRLANDS LÄN</t>
        </is>
      </c>
      <c r="E4490" t="inlineStr">
        <is>
          <t>KRAMFORS</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41894-2025</t>
        </is>
      </c>
      <c r="B4491" s="1" t="n">
        <v>45903.38273148148</v>
      </c>
      <c r="C4491" s="1" t="n">
        <v>46093</v>
      </c>
      <c r="D4491" t="inlineStr">
        <is>
          <t>VÄSTERNORRLANDS LÄN</t>
        </is>
      </c>
      <c r="E4491" t="inlineStr">
        <is>
          <t>ÖRNSKÖLDSVIK</t>
        </is>
      </c>
      <c r="F4491" t="inlineStr">
        <is>
          <t>Holmen skog AB</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54799-2024</t>
        </is>
      </c>
      <c r="B4492" s="1" t="n">
        <v>45618.50144675926</v>
      </c>
      <c r="C4492" s="1" t="n">
        <v>46093</v>
      </c>
      <c r="D4492" t="inlineStr">
        <is>
          <t>VÄSTERNORRLANDS LÄN</t>
        </is>
      </c>
      <c r="E4492" t="inlineStr">
        <is>
          <t>SUNDSVALL</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54801-2024</t>
        </is>
      </c>
      <c r="B4493" s="1" t="n">
        <v>45618.50481481481</v>
      </c>
      <c r="C4493" s="1" t="n">
        <v>46093</v>
      </c>
      <c r="D4493" t="inlineStr">
        <is>
          <t>VÄSTERNORRLANDS LÄN</t>
        </is>
      </c>
      <c r="E4493" t="inlineStr">
        <is>
          <t>SUNDSVALL</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57343-2024</t>
        </is>
      </c>
      <c r="B4494" s="1" t="n">
        <v>45629.63747685185</v>
      </c>
      <c r="C4494" s="1" t="n">
        <v>46093</v>
      </c>
      <c r="D4494" t="inlineStr">
        <is>
          <t>VÄSTERNORRLANDS LÄN</t>
        </is>
      </c>
      <c r="E4494" t="inlineStr">
        <is>
          <t>HÄRNÖSAND</t>
        </is>
      </c>
      <c r="G4494" t="n">
        <v>4.3</v>
      </c>
      <c r="H4494" t="n">
        <v>0</v>
      </c>
      <c r="I4494" t="n">
        <v>0</v>
      </c>
      <c r="J4494" t="n">
        <v>0</v>
      </c>
      <c r="K4494" t="n">
        <v>0</v>
      </c>
      <c r="L4494" t="n">
        <v>0</v>
      </c>
      <c r="M4494" t="n">
        <v>0</v>
      </c>
      <c r="N4494" t="n">
        <v>0</v>
      </c>
      <c r="O4494" t="n">
        <v>0</v>
      </c>
      <c r="P4494" t="n">
        <v>0</v>
      </c>
      <c r="Q4494" t="n">
        <v>0</v>
      </c>
      <c r="R4494" s="2" t="inlineStr"/>
    </row>
    <row r="4495" ht="15" customHeight="1">
      <c r="A4495" t="inlineStr">
        <is>
          <t>A 12164-2023</t>
        </is>
      </c>
      <c r="B4495" s="1" t="n">
        <v>44995</v>
      </c>
      <c r="C4495" s="1" t="n">
        <v>46093</v>
      </c>
      <c r="D4495" t="inlineStr">
        <is>
          <t>VÄSTERNORRLANDS LÄN</t>
        </is>
      </c>
      <c r="E4495" t="inlineStr">
        <is>
          <t>SOLLEFTEÅ</t>
        </is>
      </c>
      <c r="G4495" t="n">
        <v>18.3</v>
      </c>
      <c r="H4495" t="n">
        <v>0</v>
      </c>
      <c r="I4495" t="n">
        <v>0</v>
      </c>
      <c r="J4495" t="n">
        <v>0</v>
      </c>
      <c r="K4495" t="n">
        <v>0</v>
      </c>
      <c r="L4495" t="n">
        <v>0</v>
      </c>
      <c r="M4495" t="n">
        <v>0</v>
      </c>
      <c r="N4495" t="n">
        <v>0</v>
      </c>
      <c r="O4495" t="n">
        <v>0</v>
      </c>
      <c r="P4495" t="n">
        <v>0</v>
      </c>
      <c r="Q4495" t="n">
        <v>0</v>
      </c>
      <c r="R4495" s="2" t="inlineStr"/>
    </row>
    <row r="4496" ht="15" customHeight="1">
      <c r="A4496" t="inlineStr">
        <is>
          <t>A 44551-2023</t>
        </is>
      </c>
      <c r="B4496" s="1" t="n">
        <v>45183</v>
      </c>
      <c r="C4496" s="1" t="n">
        <v>46093</v>
      </c>
      <c r="D4496" t="inlineStr">
        <is>
          <t>VÄSTERNORRLANDS LÄN</t>
        </is>
      </c>
      <c r="E4496" t="inlineStr">
        <is>
          <t>SUNDSVALL</t>
        </is>
      </c>
      <c r="G4496" t="n">
        <v>2.7</v>
      </c>
      <c r="H4496" t="n">
        <v>0</v>
      </c>
      <c r="I4496" t="n">
        <v>0</v>
      </c>
      <c r="J4496" t="n">
        <v>0</v>
      </c>
      <c r="K4496" t="n">
        <v>0</v>
      </c>
      <c r="L4496" t="n">
        <v>0</v>
      </c>
      <c r="M4496" t="n">
        <v>0</v>
      </c>
      <c r="N4496" t="n">
        <v>0</v>
      </c>
      <c r="O4496" t="n">
        <v>0</v>
      </c>
      <c r="P4496" t="n">
        <v>0</v>
      </c>
      <c r="Q4496" t="n">
        <v>0</v>
      </c>
      <c r="R4496" s="2" t="inlineStr"/>
    </row>
    <row r="4497" ht="15" customHeight="1">
      <c r="A4497" t="inlineStr">
        <is>
          <t>A 41948-2025</t>
        </is>
      </c>
      <c r="B4497" s="1" t="n">
        <v>45903.45092592593</v>
      </c>
      <c r="C4497" s="1" t="n">
        <v>46093</v>
      </c>
      <c r="D4497" t="inlineStr">
        <is>
          <t>VÄSTERNORRLANDS LÄN</t>
        </is>
      </c>
      <c r="E4497" t="inlineStr">
        <is>
          <t>SOLLEFTEÅ</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37038-2024</t>
        </is>
      </c>
      <c r="B4498" s="1" t="n">
        <v>45539.40881944444</v>
      </c>
      <c r="C4498" s="1" t="n">
        <v>46093</v>
      </c>
      <c r="D4498" t="inlineStr">
        <is>
          <t>VÄSTERNORRLANDS LÄN</t>
        </is>
      </c>
      <c r="E4498" t="inlineStr">
        <is>
          <t>ÅNGE</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61085-2022</t>
        </is>
      </c>
      <c r="B4499" s="1" t="n">
        <v>44915.39061342592</v>
      </c>
      <c r="C4499" s="1" t="n">
        <v>46093</v>
      </c>
      <c r="D4499" t="inlineStr">
        <is>
          <t>VÄSTERNORRLANDS LÄN</t>
        </is>
      </c>
      <c r="E4499" t="inlineStr">
        <is>
          <t>ÖRNSKÖLDSVIK</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5369-2022</t>
        </is>
      </c>
      <c r="B4500" s="1" t="n">
        <v>44594.92113425926</v>
      </c>
      <c r="C4500" s="1" t="n">
        <v>46093</v>
      </c>
      <c r="D4500" t="inlineStr">
        <is>
          <t>VÄSTERNORRLANDS LÄN</t>
        </is>
      </c>
      <c r="E4500" t="inlineStr">
        <is>
          <t>ÅNGE</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61090-2022</t>
        </is>
      </c>
      <c r="B4501" s="1" t="n">
        <v>44915.39385416666</v>
      </c>
      <c r="C4501" s="1" t="n">
        <v>46093</v>
      </c>
      <c r="D4501" t="inlineStr">
        <is>
          <t>VÄSTERNORRLANDS LÄN</t>
        </is>
      </c>
      <c r="E4501" t="inlineStr">
        <is>
          <t>ÖRNSKÖLDSVIK</t>
        </is>
      </c>
      <c r="G4501" t="n">
        <v>0.3</v>
      </c>
      <c r="H4501" t="n">
        <v>0</v>
      </c>
      <c r="I4501" t="n">
        <v>0</v>
      </c>
      <c r="J4501" t="n">
        <v>0</v>
      </c>
      <c r="K4501" t="n">
        <v>0</v>
      </c>
      <c r="L4501" t="n">
        <v>0</v>
      </c>
      <c r="M4501" t="n">
        <v>0</v>
      </c>
      <c r="N4501" t="n">
        <v>0</v>
      </c>
      <c r="O4501" t="n">
        <v>0</v>
      </c>
      <c r="P4501" t="n">
        <v>0</v>
      </c>
      <c r="Q4501" t="n">
        <v>0</v>
      </c>
      <c r="R4501" s="2" t="inlineStr"/>
    </row>
    <row r="4502" ht="15" customHeight="1">
      <c r="A4502" t="inlineStr">
        <is>
          <t>A 42000-2025</t>
        </is>
      </c>
      <c r="B4502" s="1" t="n">
        <v>45903.55262731481</v>
      </c>
      <c r="C4502" s="1" t="n">
        <v>46093</v>
      </c>
      <c r="D4502" t="inlineStr">
        <is>
          <t>VÄSTERNORRLANDS LÄN</t>
        </is>
      </c>
      <c r="E4502" t="inlineStr">
        <is>
          <t>SUNDSVALL</t>
        </is>
      </c>
      <c r="G4502" t="n">
        <v>4.4</v>
      </c>
      <c r="H4502" t="n">
        <v>0</v>
      </c>
      <c r="I4502" t="n">
        <v>0</v>
      </c>
      <c r="J4502" t="n">
        <v>0</v>
      </c>
      <c r="K4502" t="n">
        <v>0</v>
      </c>
      <c r="L4502" t="n">
        <v>0</v>
      </c>
      <c r="M4502" t="n">
        <v>0</v>
      </c>
      <c r="N4502" t="n">
        <v>0</v>
      </c>
      <c r="O4502" t="n">
        <v>0</v>
      </c>
      <c r="P4502" t="n">
        <v>0</v>
      </c>
      <c r="Q4502" t="n">
        <v>0</v>
      </c>
      <c r="R4502" s="2" t="inlineStr"/>
    </row>
    <row r="4503" ht="15" customHeight="1">
      <c r="A4503" t="inlineStr">
        <is>
          <t>A 42035-2025</t>
        </is>
      </c>
      <c r="B4503" s="1" t="n">
        <v>45903.61159722223</v>
      </c>
      <c r="C4503" s="1" t="n">
        <v>46093</v>
      </c>
      <c r="D4503" t="inlineStr">
        <is>
          <t>VÄSTERNORRLANDS LÄN</t>
        </is>
      </c>
      <c r="E4503" t="inlineStr">
        <is>
          <t>ÖRNSKÖLDSVIK</t>
        </is>
      </c>
      <c r="G4503" t="n">
        <v>6.8</v>
      </c>
      <c r="H4503" t="n">
        <v>0</v>
      </c>
      <c r="I4503" t="n">
        <v>0</v>
      </c>
      <c r="J4503" t="n">
        <v>0</v>
      </c>
      <c r="K4503" t="n">
        <v>0</v>
      </c>
      <c r="L4503" t="n">
        <v>0</v>
      </c>
      <c r="M4503" t="n">
        <v>0</v>
      </c>
      <c r="N4503" t="n">
        <v>0</v>
      </c>
      <c r="O4503" t="n">
        <v>0</v>
      </c>
      <c r="P4503" t="n">
        <v>0</v>
      </c>
      <c r="Q4503" t="n">
        <v>0</v>
      </c>
      <c r="R4503" s="2" t="inlineStr"/>
    </row>
    <row r="4504" ht="15" customHeight="1">
      <c r="A4504" t="inlineStr">
        <is>
          <t>A 41931-2025</t>
        </is>
      </c>
      <c r="B4504" s="1" t="n">
        <v>45903.4346412037</v>
      </c>
      <c r="C4504" s="1" t="n">
        <v>46093</v>
      </c>
      <c r="D4504" t="inlineStr">
        <is>
          <t>VÄSTERNORRLANDS LÄN</t>
        </is>
      </c>
      <c r="E4504" t="inlineStr">
        <is>
          <t>ÖRNSKÖLDSVIK</t>
        </is>
      </c>
      <c r="F4504" t="inlineStr">
        <is>
          <t>Holmen skog AB</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11989-2024</t>
        </is>
      </c>
      <c r="B4505" s="1" t="n">
        <v>45376.95318287037</v>
      </c>
      <c r="C4505" s="1" t="n">
        <v>46093</v>
      </c>
      <c r="D4505" t="inlineStr">
        <is>
          <t>VÄSTERNORRLANDS LÄN</t>
        </is>
      </c>
      <c r="E4505" t="inlineStr">
        <is>
          <t>SUNDSVALL</t>
        </is>
      </c>
      <c r="F4505" t="inlineStr">
        <is>
          <t>SCA</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28472-2023</t>
        </is>
      </c>
      <c r="B4506" s="1" t="n">
        <v>45103.41283564815</v>
      </c>
      <c r="C4506" s="1" t="n">
        <v>46093</v>
      </c>
      <c r="D4506" t="inlineStr">
        <is>
          <t>VÄSTERNORRLANDS LÄN</t>
        </is>
      </c>
      <c r="E4506" t="inlineStr">
        <is>
          <t>ÖRNSKÖLDSVIK</t>
        </is>
      </c>
      <c r="F4506" t="inlineStr">
        <is>
          <t>Holmen skog AB</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49701-2023</t>
        </is>
      </c>
      <c r="B4507" s="1" t="n">
        <v>45212</v>
      </c>
      <c r="C4507" s="1" t="n">
        <v>46093</v>
      </c>
      <c r="D4507" t="inlineStr">
        <is>
          <t>VÄSTERNORRLANDS LÄN</t>
        </is>
      </c>
      <c r="E4507" t="inlineStr">
        <is>
          <t>ÖRNSKÖLDSVIK</t>
        </is>
      </c>
      <c r="F4507" t="inlineStr">
        <is>
          <t>Holmen skog AB</t>
        </is>
      </c>
      <c r="G4507" t="n">
        <v>11.8</v>
      </c>
      <c r="H4507" t="n">
        <v>0</v>
      </c>
      <c r="I4507" t="n">
        <v>0</v>
      </c>
      <c r="J4507" t="n">
        <v>0</v>
      </c>
      <c r="K4507" t="n">
        <v>0</v>
      </c>
      <c r="L4507" t="n">
        <v>0</v>
      </c>
      <c r="M4507" t="n">
        <v>0</v>
      </c>
      <c r="N4507" t="n">
        <v>0</v>
      </c>
      <c r="O4507" t="n">
        <v>0</v>
      </c>
      <c r="P4507" t="n">
        <v>0</v>
      </c>
      <c r="Q4507" t="n">
        <v>0</v>
      </c>
      <c r="R4507" s="2" t="inlineStr"/>
    </row>
    <row r="4508" ht="15" customHeight="1">
      <c r="A4508" t="inlineStr">
        <is>
          <t>A 42192-2025</t>
        </is>
      </c>
      <c r="B4508" s="1" t="n">
        <v>45904.47975694444</v>
      </c>
      <c r="C4508" s="1" t="n">
        <v>46093</v>
      </c>
      <c r="D4508" t="inlineStr">
        <is>
          <t>VÄSTERNORRLANDS LÄN</t>
        </is>
      </c>
      <c r="E4508" t="inlineStr">
        <is>
          <t>SOLLEFTEÅ</t>
        </is>
      </c>
      <c r="G4508" t="n">
        <v>5.6</v>
      </c>
      <c r="H4508" t="n">
        <v>0</v>
      </c>
      <c r="I4508" t="n">
        <v>0</v>
      </c>
      <c r="J4508" t="n">
        <v>0</v>
      </c>
      <c r="K4508" t="n">
        <v>0</v>
      </c>
      <c r="L4508" t="n">
        <v>0</v>
      </c>
      <c r="M4508" t="n">
        <v>0</v>
      </c>
      <c r="N4508" t="n">
        <v>0</v>
      </c>
      <c r="O4508" t="n">
        <v>0</v>
      </c>
      <c r="P4508" t="n">
        <v>0</v>
      </c>
      <c r="Q4508" t="n">
        <v>0</v>
      </c>
      <c r="R4508" s="2" t="inlineStr"/>
    </row>
    <row r="4509" ht="15" customHeight="1">
      <c r="A4509" t="inlineStr">
        <is>
          <t>A 42199-2025</t>
        </is>
      </c>
      <c r="B4509" s="1" t="n">
        <v>45904.48640046296</v>
      </c>
      <c r="C4509" s="1" t="n">
        <v>46093</v>
      </c>
      <c r="D4509" t="inlineStr">
        <is>
          <t>VÄSTERNORRLANDS LÄN</t>
        </is>
      </c>
      <c r="E4509" t="inlineStr">
        <is>
          <t>SOLLEFTEÅ</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4895-2025</t>
        </is>
      </c>
      <c r="B4510" s="1" t="n">
        <v>45688.67891203704</v>
      </c>
      <c r="C4510" s="1" t="n">
        <v>46093</v>
      </c>
      <c r="D4510" t="inlineStr">
        <is>
          <t>VÄSTERNORRLANDS LÄN</t>
        </is>
      </c>
      <c r="E4510" t="inlineStr">
        <is>
          <t>SOLLEFTEÅ</t>
        </is>
      </c>
      <c r="F4510" t="inlineStr">
        <is>
          <t>SCA</t>
        </is>
      </c>
      <c r="G4510" t="n">
        <v>0.3</v>
      </c>
      <c r="H4510" t="n">
        <v>0</v>
      </c>
      <c r="I4510" t="n">
        <v>0</v>
      </c>
      <c r="J4510" t="n">
        <v>0</v>
      </c>
      <c r="K4510" t="n">
        <v>0</v>
      </c>
      <c r="L4510" t="n">
        <v>0</v>
      </c>
      <c r="M4510" t="n">
        <v>0</v>
      </c>
      <c r="N4510" t="n">
        <v>0</v>
      </c>
      <c r="O4510" t="n">
        <v>0</v>
      </c>
      <c r="P4510" t="n">
        <v>0</v>
      </c>
      <c r="Q4510" t="n">
        <v>0</v>
      </c>
      <c r="R4510" s="2" t="inlineStr"/>
    </row>
    <row r="4511" ht="15" customHeight="1">
      <c r="A4511" t="inlineStr">
        <is>
          <t>A 42010-2025</t>
        </is>
      </c>
      <c r="B4511" s="1" t="n">
        <v>45903.56363425926</v>
      </c>
      <c r="C4511" s="1" t="n">
        <v>46093</v>
      </c>
      <c r="D4511" t="inlineStr">
        <is>
          <t>VÄSTERNORRLANDS LÄN</t>
        </is>
      </c>
      <c r="E4511" t="inlineStr">
        <is>
          <t>ÖRNSKÖLDSVIK</t>
        </is>
      </c>
      <c r="F4511" t="inlineStr">
        <is>
          <t>Holmen skog AB</t>
        </is>
      </c>
      <c r="G4511" t="n">
        <v>11.4</v>
      </c>
      <c r="H4511" t="n">
        <v>0</v>
      </c>
      <c r="I4511" t="n">
        <v>0</v>
      </c>
      <c r="J4511" t="n">
        <v>0</v>
      </c>
      <c r="K4511" t="n">
        <v>0</v>
      </c>
      <c r="L4511" t="n">
        <v>0</v>
      </c>
      <c r="M4511" t="n">
        <v>0</v>
      </c>
      <c r="N4511" t="n">
        <v>0</v>
      </c>
      <c r="O4511" t="n">
        <v>0</v>
      </c>
      <c r="P4511" t="n">
        <v>0</v>
      </c>
      <c r="Q4511" t="n">
        <v>0</v>
      </c>
      <c r="R4511" s="2" t="inlineStr"/>
    </row>
    <row r="4512" ht="15" customHeight="1">
      <c r="A4512" t="inlineStr">
        <is>
          <t>A 61997-2022</t>
        </is>
      </c>
      <c r="B4512" s="1" t="n">
        <v>44914</v>
      </c>
      <c r="C4512" s="1" t="n">
        <v>46093</v>
      </c>
      <c r="D4512" t="inlineStr">
        <is>
          <t>VÄSTERNORRLANDS LÄN</t>
        </is>
      </c>
      <c r="E4512" t="inlineStr">
        <is>
          <t>SOLLEFTEÅ</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62001-2022</t>
        </is>
      </c>
      <c r="B4513" s="1" t="n">
        <v>44914</v>
      </c>
      <c r="C4513" s="1" t="n">
        <v>46093</v>
      </c>
      <c r="D4513" t="inlineStr">
        <is>
          <t>VÄSTERNORRLANDS LÄN</t>
        </is>
      </c>
      <c r="E4513" t="inlineStr">
        <is>
          <t>ÖRNSKÖLDSVIK</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20799-2024</t>
        </is>
      </c>
      <c r="B4514" s="1" t="n">
        <v>45438</v>
      </c>
      <c r="C4514" s="1" t="n">
        <v>46093</v>
      </c>
      <c r="D4514" t="inlineStr">
        <is>
          <t>VÄSTERNORRLANDS LÄN</t>
        </is>
      </c>
      <c r="E4514" t="inlineStr">
        <is>
          <t>SOLLEFTEÅ</t>
        </is>
      </c>
      <c r="F4514" t="inlineStr">
        <is>
          <t>SCA</t>
        </is>
      </c>
      <c r="G4514" t="n">
        <v>0.1</v>
      </c>
      <c r="H4514" t="n">
        <v>0</v>
      </c>
      <c r="I4514" t="n">
        <v>0</v>
      </c>
      <c r="J4514" t="n">
        <v>0</v>
      </c>
      <c r="K4514" t="n">
        <v>0</v>
      </c>
      <c r="L4514" t="n">
        <v>0</v>
      </c>
      <c r="M4514" t="n">
        <v>0</v>
      </c>
      <c r="N4514" t="n">
        <v>0</v>
      </c>
      <c r="O4514" t="n">
        <v>0</v>
      </c>
      <c r="P4514" t="n">
        <v>0</v>
      </c>
      <c r="Q4514" t="n">
        <v>0</v>
      </c>
      <c r="R4514" s="2" t="inlineStr"/>
    </row>
    <row r="4515" ht="15" customHeight="1">
      <c r="A4515" t="inlineStr">
        <is>
          <t>A 9616-2025</t>
        </is>
      </c>
      <c r="B4515" s="1" t="n">
        <v>45715.66296296296</v>
      </c>
      <c r="C4515" s="1" t="n">
        <v>46093</v>
      </c>
      <c r="D4515" t="inlineStr">
        <is>
          <t>VÄSTERNORRLANDS LÄN</t>
        </is>
      </c>
      <c r="E4515" t="inlineStr">
        <is>
          <t>SUNDSVALL</t>
        </is>
      </c>
      <c r="G4515" t="n">
        <v>0.3</v>
      </c>
      <c r="H4515" t="n">
        <v>0</v>
      </c>
      <c r="I4515" t="n">
        <v>0</v>
      </c>
      <c r="J4515" t="n">
        <v>0</v>
      </c>
      <c r="K4515" t="n">
        <v>0</v>
      </c>
      <c r="L4515" t="n">
        <v>0</v>
      </c>
      <c r="M4515" t="n">
        <v>0</v>
      </c>
      <c r="N4515" t="n">
        <v>0</v>
      </c>
      <c r="O4515" t="n">
        <v>0</v>
      </c>
      <c r="P4515" t="n">
        <v>0</v>
      </c>
      <c r="Q4515" t="n">
        <v>0</v>
      </c>
      <c r="R4515" s="2" t="inlineStr"/>
    </row>
    <row r="4516" ht="15" customHeight="1">
      <c r="A4516" t="inlineStr">
        <is>
          <t>A 9632-2025</t>
        </is>
      </c>
      <c r="B4516" s="1" t="n">
        <v>45715.71921296296</v>
      </c>
      <c r="C4516" s="1" t="n">
        <v>46093</v>
      </c>
      <c r="D4516" t="inlineStr">
        <is>
          <t>VÄSTERNORRLANDS LÄN</t>
        </is>
      </c>
      <c r="E4516" t="inlineStr">
        <is>
          <t>SOLLEFTEÅ</t>
        </is>
      </c>
      <c r="F4516" t="inlineStr">
        <is>
          <t>SCA</t>
        </is>
      </c>
      <c r="G4516" t="n">
        <v>21.6</v>
      </c>
      <c r="H4516" t="n">
        <v>0</v>
      </c>
      <c r="I4516" t="n">
        <v>0</v>
      </c>
      <c r="J4516" t="n">
        <v>0</v>
      </c>
      <c r="K4516" t="n">
        <v>0</v>
      </c>
      <c r="L4516" t="n">
        <v>0</v>
      </c>
      <c r="M4516" t="n">
        <v>0</v>
      </c>
      <c r="N4516" t="n">
        <v>0</v>
      </c>
      <c r="O4516" t="n">
        <v>0</v>
      </c>
      <c r="P4516" t="n">
        <v>0</v>
      </c>
      <c r="Q4516" t="n">
        <v>0</v>
      </c>
      <c r="R4516" s="2" t="inlineStr"/>
    </row>
    <row r="4517" ht="15" customHeight="1">
      <c r="A4517" t="inlineStr">
        <is>
          <t>A 42023-2025</t>
        </is>
      </c>
      <c r="B4517" s="1" t="n">
        <v>45903.59159722222</v>
      </c>
      <c r="C4517" s="1" t="n">
        <v>46093</v>
      </c>
      <c r="D4517" t="inlineStr">
        <is>
          <t>VÄSTERNORRLANDS LÄN</t>
        </is>
      </c>
      <c r="E4517" t="inlineStr">
        <is>
          <t>ÖRNSKÖLDSVIK</t>
        </is>
      </c>
      <c r="F4517" t="inlineStr">
        <is>
          <t>Holmen skog AB</t>
        </is>
      </c>
      <c r="G4517" t="n">
        <v>3.5</v>
      </c>
      <c r="H4517" t="n">
        <v>0</v>
      </c>
      <c r="I4517" t="n">
        <v>0</v>
      </c>
      <c r="J4517" t="n">
        <v>0</v>
      </c>
      <c r="K4517" t="n">
        <v>0</v>
      </c>
      <c r="L4517" t="n">
        <v>0</v>
      </c>
      <c r="M4517" t="n">
        <v>0</v>
      </c>
      <c r="N4517" t="n">
        <v>0</v>
      </c>
      <c r="O4517" t="n">
        <v>0</v>
      </c>
      <c r="P4517" t="n">
        <v>0</v>
      </c>
      <c r="Q4517" t="n">
        <v>0</v>
      </c>
      <c r="R4517" s="2" t="inlineStr"/>
    </row>
    <row r="4518" ht="15" customHeight="1">
      <c r="A4518" t="inlineStr">
        <is>
          <t>A 41903-2025</t>
        </is>
      </c>
      <c r="B4518" s="1" t="n">
        <v>45903.4015162037</v>
      </c>
      <c r="C4518" s="1" t="n">
        <v>46093</v>
      </c>
      <c r="D4518" t="inlineStr">
        <is>
          <t>VÄSTERNORRLANDS LÄN</t>
        </is>
      </c>
      <c r="E4518" t="inlineStr">
        <is>
          <t>ÖRNSKÖLDSVIK</t>
        </is>
      </c>
      <c r="F4518" t="inlineStr">
        <is>
          <t>Holmen skog AB</t>
        </is>
      </c>
      <c r="G4518" t="n">
        <v>3</v>
      </c>
      <c r="H4518" t="n">
        <v>0</v>
      </c>
      <c r="I4518" t="n">
        <v>0</v>
      </c>
      <c r="J4518" t="n">
        <v>0</v>
      </c>
      <c r="K4518" t="n">
        <v>0</v>
      </c>
      <c r="L4518" t="n">
        <v>0</v>
      </c>
      <c r="M4518" t="n">
        <v>0</v>
      </c>
      <c r="N4518" t="n">
        <v>0</v>
      </c>
      <c r="O4518" t="n">
        <v>0</v>
      </c>
      <c r="P4518" t="n">
        <v>0</v>
      </c>
      <c r="Q4518" t="n">
        <v>0</v>
      </c>
      <c r="R4518" s="2" t="inlineStr"/>
    </row>
    <row r="4519" ht="15" customHeight="1">
      <c r="A4519" t="inlineStr">
        <is>
          <t>A 42122-2025</t>
        </is>
      </c>
      <c r="B4519" s="1" t="n">
        <v>45904.34324074074</v>
      </c>
      <c r="C4519" s="1" t="n">
        <v>46093</v>
      </c>
      <c r="D4519" t="inlineStr">
        <is>
          <t>VÄSTERNORRLANDS LÄN</t>
        </is>
      </c>
      <c r="E4519" t="inlineStr">
        <is>
          <t>ÖRNSKÖLDSVIK</t>
        </is>
      </c>
      <c r="G4519" t="n">
        <v>3.4</v>
      </c>
      <c r="H4519" t="n">
        <v>0</v>
      </c>
      <c r="I4519" t="n">
        <v>0</v>
      </c>
      <c r="J4519" t="n">
        <v>0</v>
      </c>
      <c r="K4519" t="n">
        <v>0</v>
      </c>
      <c r="L4519" t="n">
        <v>0</v>
      </c>
      <c r="M4519" t="n">
        <v>0</v>
      </c>
      <c r="N4519" t="n">
        <v>0</v>
      </c>
      <c r="O4519" t="n">
        <v>0</v>
      </c>
      <c r="P4519" t="n">
        <v>0</v>
      </c>
      <c r="Q4519" t="n">
        <v>0</v>
      </c>
      <c r="R4519" s="2" t="inlineStr"/>
    </row>
    <row r="4520" ht="15" customHeight="1">
      <c r="A4520" t="inlineStr">
        <is>
          <t>A 42202-2025</t>
        </is>
      </c>
      <c r="B4520" s="1" t="n">
        <v>45904.4900462963</v>
      </c>
      <c r="C4520" s="1" t="n">
        <v>46093</v>
      </c>
      <c r="D4520" t="inlineStr">
        <is>
          <t>VÄSTERNORRLANDS LÄN</t>
        </is>
      </c>
      <c r="E4520" t="inlineStr">
        <is>
          <t>SUNDSVALL</t>
        </is>
      </c>
      <c r="F4520" t="inlineStr">
        <is>
          <t>SCA</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42144-2025</t>
        </is>
      </c>
      <c r="B4521" s="1" t="n">
        <v>45904.37346064814</v>
      </c>
      <c r="C4521" s="1" t="n">
        <v>46093</v>
      </c>
      <c r="D4521" t="inlineStr">
        <is>
          <t>VÄSTERNORRLANDS LÄN</t>
        </is>
      </c>
      <c r="E4521" t="inlineStr">
        <is>
          <t>TIMRÅ</t>
        </is>
      </c>
      <c r="G4521" t="n">
        <v>2.6</v>
      </c>
      <c r="H4521" t="n">
        <v>0</v>
      </c>
      <c r="I4521" t="n">
        <v>0</v>
      </c>
      <c r="J4521" t="n">
        <v>0</v>
      </c>
      <c r="K4521" t="n">
        <v>0</v>
      </c>
      <c r="L4521" t="n">
        <v>0</v>
      </c>
      <c r="M4521" t="n">
        <v>0</v>
      </c>
      <c r="N4521" t="n">
        <v>0</v>
      </c>
      <c r="O4521" t="n">
        <v>0</v>
      </c>
      <c r="P4521" t="n">
        <v>0</v>
      </c>
      <c r="Q4521" t="n">
        <v>0</v>
      </c>
      <c r="R4521" s="2" t="inlineStr"/>
    </row>
    <row r="4522" ht="15" customHeight="1">
      <c r="A4522" t="inlineStr">
        <is>
          <t>A 42228-2025</t>
        </is>
      </c>
      <c r="B4522" s="1" t="n">
        <v>45904.54723379629</v>
      </c>
      <c r="C4522" s="1" t="n">
        <v>46093</v>
      </c>
      <c r="D4522" t="inlineStr">
        <is>
          <t>VÄSTERNORRLANDS LÄN</t>
        </is>
      </c>
      <c r="E4522" t="inlineStr">
        <is>
          <t>ÖRNSKÖLDSVIK</t>
        </is>
      </c>
      <c r="F4522" t="inlineStr">
        <is>
          <t>Holmen skog AB</t>
        </is>
      </c>
      <c r="G4522" t="n">
        <v>3.5</v>
      </c>
      <c r="H4522" t="n">
        <v>0</v>
      </c>
      <c r="I4522" t="n">
        <v>0</v>
      </c>
      <c r="J4522" t="n">
        <v>0</v>
      </c>
      <c r="K4522" t="n">
        <v>0</v>
      </c>
      <c r="L4522" t="n">
        <v>0</v>
      </c>
      <c r="M4522" t="n">
        <v>0</v>
      </c>
      <c r="N4522" t="n">
        <v>0</v>
      </c>
      <c r="O4522" t="n">
        <v>0</v>
      </c>
      <c r="P4522" t="n">
        <v>0</v>
      </c>
      <c r="Q4522" t="n">
        <v>0</v>
      </c>
      <c r="R4522" s="2" t="inlineStr"/>
    </row>
    <row r="4523" ht="15" customHeight="1">
      <c r="A4523" t="inlineStr">
        <is>
          <t>A 21181-2023</t>
        </is>
      </c>
      <c r="B4523" s="1" t="n">
        <v>45062.45761574074</v>
      </c>
      <c r="C4523" s="1" t="n">
        <v>46093</v>
      </c>
      <c r="D4523" t="inlineStr">
        <is>
          <t>VÄSTERNORRLANDS LÄN</t>
        </is>
      </c>
      <c r="E4523" t="inlineStr">
        <is>
          <t>SUNDSVALL</t>
        </is>
      </c>
      <c r="G4523" t="n">
        <v>3.3</v>
      </c>
      <c r="H4523" t="n">
        <v>0</v>
      </c>
      <c r="I4523" t="n">
        <v>0</v>
      </c>
      <c r="J4523" t="n">
        <v>0</v>
      </c>
      <c r="K4523" t="n">
        <v>0</v>
      </c>
      <c r="L4523" t="n">
        <v>0</v>
      </c>
      <c r="M4523" t="n">
        <v>0</v>
      </c>
      <c r="N4523" t="n">
        <v>0</v>
      </c>
      <c r="O4523" t="n">
        <v>0</v>
      </c>
      <c r="P4523" t="n">
        <v>0</v>
      </c>
      <c r="Q4523" t="n">
        <v>0</v>
      </c>
      <c r="R4523" s="2" t="inlineStr"/>
    </row>
    <row r="4524" ht="15" customHeight="1">
      <c r="A4524" t="inlineStr">
        <is>
          <t>A 41883-2025</t>
        </is>
      </c>
      <c r="B4524" s="1" t="n">
        <v>45903.36512731481</v>
      </c>
      <c r="C4524" s="1" t="n">
        <v>46093</v>
      </c>
      <c r="D4524" t="inlineStr">
        <is>
          <t>VÄSTERNORRLANDS LÄN</t>
        </is>
      </c>
      <c r="E4524" t="inlineStr">
        <is>
          <t>SUNDSVALL</t>
        </is>
      </c>
      <c r="F4524" t="inlineStr">
        <is>
          <t>SCA</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13138-2024</t>
        </is>
      </c>
      <c r="B4525" s="1" t="n">
        <v>45386</v>
      </c>
      <c r="C4525" s="1" t="n">
        <v>46093</v>
      </c>
      <c r="D4525" t="inlineStr">
        <is>
          <t>VÄSTERNORRLANDS LÄN</t>
        </is>
      </c>
      <c r="E4525" t="inlineStr">
        <is>
          <t>SOLLEFTEÅ</t>
        </is>
      </c>
      <c r="G4525" t="n">
        <v>2.7</v>
      </c>
      <c r="H4525" t="n">
        <v>0</v>
      </c>
      <c r="I4525" t="n">
        <v>0</v>
      </c>
      <c r="J4525" t="n">
        <v>0</v>
      </c>
      <c r="K4525" t="n">
        <v>0</v>
      </c>
      <c r="L4525" t="n">
        <v>0</v>
      </c>
      <c r="M4525" t="n">
        <v>0</v>
      </c>
      <c r="N4525" t="n">
        <v>0</v>
      </c>
      <c r="O4525" t="n">
        <v>0</v>
      </c>
      <c r="P4525" t="n">
        <v>0</v>
      </c>
      <c r="Q4525" t="n">
        <v>0</v>
      </c>
      <c r="R4525" s="2" t="inlineStr"/>
    </row>
    <row r="4526" ht="15" customHeight="1">
      <c r="A4526" t="inlineStr">
        <is>
          <t>A 42024-2025</t>
        </is>
      </c>
      <c r="B4526" s="1" t="n">
        <v>45903.59418981482</v>
      </c>
      <c r="C4526" s="1" t="n">
        <v>46093</v>
      </c>
      <c r="D4526" t="inlineStr">
        <is>
          <t>VÄSTERNORRLANDS LÄN</t>
        </is>
      </c>
      <c r="E4526" t="inlineStr">
        <is>
          <t>SUNDSVALL</t>
        </is>
      </c>
      <c r="F4526" t="inlineStr">
        <is>
          <t>SCA</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42065-2025</t>
        </is>
      </c>
      <c r="B4527" s="1" t="n">
        <v>45903.65372685185</v>
      </c>
      <c r="C4527" s="1" t="n">
        <v>46093</v>
      </c>
      <c r="D4527" t="inlineStr">
        <is>
          <t>VÄSTERNORRLANDS LÄN</t>
        </is>
      </c>
      <c r="E4527" t="inlineStr">
        <is>
          <t>TIMRÅ</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30060-2024</t>
        </is>
      </c>
      <c r="B4528" s="1" t="n">
        <v>45488.94813657407</v>
      </c>
      <c r="C4528" s="1" t="n">
        <v>46093</v>
      </c>
      <c r="D4528" t="inlineStr">
        <is>
          <t>VÄSTERNORRLANDS LÄN</t>
        </is>
      </c>
      <c r="E4528" t="inlineStr">
        <is>
          <t>SOLLEFTEÅ</t>
        </is>
      </c>
      <c r="F4528" t="inlineStr">
        <is>
          <t>SCA</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12561-2022</t>
        </is>
      </c>
      <c r="B4529" s="1" t="n">
        <v>44638</v>
      </c>
      <c r="C4529" s="1" t="n">
        <v>46093</v>
      </c>
      <c r="D4529" t="inlineStr">
        <is>
          <t>VÄSTERNORRLANDS LÄN</t>
        </is>
      </c>
      <c r="E4529" t="inlineStr">
        <is>
          <t>SOLLEFTEÅ</t>
        </is>
      </c>
      <c r="F4529" t="inlineStr">
        <is>
          <t>SCA</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42048-2022</t>
        </is>
      </c>
      <c r="B4530" s="1" t="n">
        <v>44830.49101851852</v>
      </c>
      <c r="C4530" s="1" t="n">
        <v>46093</v>
      </c>
      <c r="D4530" t="inlineStr">
        <is>
          <t>VÄSTERNORRLANDS LÄN</t>
        </is>
      </c>
      <c r="E4530" t="inlineStr">
        <is>
          <t>ÖRNSKÖLDSVIK</t>
        </is>
      </c>
      <c r="G4530" t="n">
        <v>4</v>
      </c>
      <c r="H4530" t="n">
        <v>0</v>
      </c>
      <c r="I4530" t="n">
        <v>0</v>
      </c>
      <c r="J4530" t="n">
        <v>0</v>
      </c>
      <c r="K4530" t="n">
        <v>0</v>
      </c>
      <c r="L4530" t="n">
        <v>0</v>
      </c>
      <c r="M4530" t="n">
        <v>0</v>
      </c>
      <c r="N4530" t="n">
        <v>0</v>
      </c>
      <c r="O4530" t="n">
        <v>0</v>
      </c>
      <c r="P4530" t="n">
        <v>0</v>
      </c>
      <c r="Q4530" t="n">
        <v>0</v>
      </c>
      <c r="R4530" s="2" t="inlineStr"/>
    </row>
    <row r="4531" ht="15" customHeight="1">
      <c r="A4531" t="inlineStr">
        <is>
          <t>A 23284-2023</t>
        </is>
      </c>
      <c r="B4531" s="1" t="n">
        <v>45075</v>
      </c>
      <c r="C4531" s="1" t="n">
        <v>46093</v>
      </c>
      <c r="D4531" t="inlineStr">
        <is>
          <t>VÄSTERNORRLANDS LÄN</t>
        </is>
      </c>
      <c r="E4531" t="inlineStr">
        <is>
          <t>SUNDSVALL</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23285-2023</t>
        </is>
      </c>
      <c r="B4532" s="1" t="n">
        <v>45075</v>
      </c>
      <c r="C4532" s="1" t="n">
        <v>46093</v>
      </c>
      <c r="D4532" t="inlineStr">
        <is>
          <t>VÄSTERNORRLANDS LÄN</t>
        </is>
      </c>
      <c r="E4532" t="inlineStr">
        <is>
          <t>SOLLEFTEÅ</t>
        </is>
      </c>
      <c r="G4532" t="n">
        <v>0.2</v>
      </c>
      <c r="H4532" t="n">
        <v>0</v>
      </c>
      <c r="I4532" t="n">
        <v>0</v>
      </c>
      <c r="J4532" t="n">
        <v>0</v>
      </c>
      <c r="K4532" t="n">
        <v>0</v>
      </c>
      <c r="L4532" t="n">
        <v>0</v>
      </c>
      <c r="M4532" t="n">
        <v>0</v>
      </c>
      <c r="N4532" t="n">
        <v>0</v>
      </c>
      <c r="O4532" t="n">
        <v>0</v>
      </c>
      <c r="P4532" t="n">
        <v>0</v>
      </c>
      <c r="Q4532" t="n">
        <v>0</v>
      </c>
      <c r="R4532" s="2" t="inlineStr"/>
    </row>
    <row r="4533" ht="15" customHeight="1">
      <c r="A4533" t="inlineStr">
        <is>
          <t>A 49843-2024</t>
        </is>
      </c>
      <c r="B4533" s="1" t="n">
        <v>45597</v>
      </c>
      <c r="C4533" s="1" t="n">
        <v>46093</v>
      </c>
      <c r="D4533" t="inlineStr">
        <is>
          <t>VÄSTERNORRLANDS LÄN</t>
        </is>
      </c>
      <c r="E4533" t="inlineStr">
        <is>
          <t>ÖRNSKÖLDSVIK</t>
        </is>
      </c>
      <c r="F4533" t="inlineStr">
        <is>
          <t>Holmen skog AB</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27789-2024</t>
        </is>
      </c>
      <c r="B4534" s="1" t="n">
        <v>45475</v>
      </c>
      <c r="C4534" s="1" t="n">
        <v>46093</v>
      </c>
      <c r="D4534" t="inlineStr">
        <is>
          <t>VÄSTERNORRLANDS LÄN</t>
        </is>
      </c>
      <c r="E4534" t="inlineStr">
        <is>
          <t>SOLLEFTEÅ</t>
        </is>
      </c>
      <c r="F4534" t="inlineStr">
        <is>
          <t>SCA</t>
        </is>
      </c>
      <c r="G4534" t="n">
        <v>4.5</v>
      </c>
      <c r="H4534" t="n">
        <v>0</v>
      </c>
      <c r="I4534" t="n">
        <v>0</v>
      </c>
      <c r="J4534" t="n">
        <v>0</v>
      </c>
      <c r="K4534" t="n">
        <v>0</v>
      </c>
      <c r="L4534" t="n">
        <v>0</v>
      </c>
      <c r="M4534" t="n">
        <v>0</v>
      </c>
      <c r="N4534" t="n">
        <v>0</v>
      </c>
      <c r="O4534" t="n">
        <v>0</v>
      </c>
      <c r="P4534" t="n">
        <v>0</v>
      </c>
      <c r="Q4534" t="n">
        <v>0</v>
      </c>
      <c r="R4534" s="2" t="inlineStr"/>
    </row>
    <row r="4535" ht="15" customHeight="1">
      <c r="A4535" t="inlineStr">
        <is>
          <t>A 69269-2021</t>
        </is>
      </c>
      <c r="B4535" s="1" t="n">
        <v>44531.43854166667</v>
      </c>
      <c r="C4535" s="1" t="n">
        <v>46093</v>
      </c>
      <c r="D4535" t="inlineStr">
        <is>
          <t>VÄSTERNORRLANDS LÄN</t>
        </is>
      </c>
      <c r="E4535" t="inlineStr">
        <is>
          <t>HÄRNÖSAND</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69274-2021</t>
        </is>
      </c>
      <c r="B4536" s="1" t="n">
        <v>44530</v>
      </c>
      <c r="C4536" s="1" t="n">
        <v>46093</v>
      </c>
      <c r="D4536" t="inlineStr">
        <is>
          <t>VÄSTERNORRLANDS LÄN</t>
        </is>
      </c>
      <c r="E4536" t="inlineStr">
        <is>
          <t>TIMRÅ</t>
        </is>
      </c>
      <c r="G4536" t="n">
        <v>0.3</v>
      </c>
      <c r="H4536" t="n">
        <v>0</v>
      </c>
      <c r="I4536" t="n">
        <v>0</v>
      </c>
      <c r="J4536" t="n">
        <v>0</v>
      </c>
      <c r="K4536" t="n">
        <v>0</v>
      </c>
      <c r="L4536" t="n">
        <v>0</v>
      </c>
      <c r="M4536" t="n">
        <v>0</v>
      </c>
      <c r="N4536" t="n">
        <v>0</v>
      </c>
      <c r="O4536" t="n">
        <v>0</v>
      </c>
      <c r="P4536" t="n">
        <v>0</v>
      </c>
      <c r="Q4536" t="n">
        <v>0</v>
      </c>
      <c r="R4536" s="2" t="inlineStr"/>
    </row>
    <row r="4537" ht="15" customHeight="1">
      <c r="A4537" t="inlineStr">
        <is>
          <t>A 69278-2021</t>
        </is>
      </c>
      <c r="B4537" s="1" t="n">
        <v>44531.44428240741</v>
      </c>
      <c r="C4537" s="1" t="n">
        <v>46093</v>
      </c>
      <c r="D4537" t="inlineStr">
        <is>
          <t>VÄSTERNORRLANDS LÄN</t>
        </is>
      </c>
      <c r="E4537" t="inlineStr">
        <is>
          <t>TIMRÅ</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27800-2024</t>
        </is>
      </c>
      <c r="B4538" s="1" t="n">
        <v>45475.5671875</v>
      </c>
      <c r="C4538" s="1" t="n">
        <v>46093</v>
      </c>
      <c r="D4538" t="inlineStr">
        <is>
          <t>VÄSTERNORRLANDS LÄN</t>
        </is>
      </c>
      <c r="E4538" t="inlineStr">
        <is>
          <t>ÖRNSKÖLDSVIK</t>
        </is>
      </c>
      <c r="F4538" t="inlineStr">
        <is>
          <t>Holmen skog AB</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29501-2023</t>
        </is>
      </c>
      <c r="B4539" s="1" t="n">
        <v>45106.59871527777</v>
      </c>
      <c r="C4539" s="1" t="n">
        <v>46093</v>
      </c>
      <c r="D4539" t="inlineStr">
        <is>
          <t>VÄSTERNORRLANDS LÄN</t>
        </is>
      </c>
      <c r="E4539" t="inlineStr">
        <is>
          <t>ÖRNSKÖLDSVIK</t>
        </is>
      </c>
      <c r="F4539" t="inlineStr">
        <is>
          <t>Holmen skog AB</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35818-2023</t>
        </is>
      </c>
      <c r="B4540" s="1" t="n">
        <v>45147</v>
      </c>
      <c r="C4540" s="1" t="n">
        <v>46093</v>
      </c>
      <c r="D4540" t="inlineStr">
        <is>
          <t>VÄSTERNORRLANDS LÄN</t>
        </is>
      </c>
      <c r="E4540" t="inlineStr">
        <is>
          <t>SUNDSVALL</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53806-2023</t>
        </is>
      </c>
      <c r="B4541" s="1" t="n">
        <v>45231</v>
      </c>
      <c r="C4541" s="1" t="n">
        <v>46093</v>
      </c>
      <c r="D4541" t="inlineStr">
        <is>
          <t>VÄSTERNORRLANDS LÄN</t>
        </is>
      </c>
      <c r="E4541" t="inlineStr">
        <is>
          <t>ÖRNSKÖLDSVIK</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60115-2024</t>
        </is>
      </c>
      <c r="B4542" s="1" t="n">
        <v>45642.57917824074</v>
      </c>
      <c r="C4542" s="1" t="n">
        <v>46093</v>
      </c>
      <c r="D4542" t="inlineStr">
        <is>
          <t>VÄSTERNORRLANDS LÄN</t>
        </is>
      </c>
      <c r="E4542" t="inlineStr">
        <is>
          <t>ÖRNSKÖLDSVIK</t>
        </is>
      </c>
      <c r="F4542" t="inlineStr">
        <is>
          <t>Holmen skog AB</t>
        </is>
      </c>
      <c r="G4542" t="n">
        <v>6</v>
      </c>
      <c r="H4542" t="n">
        <v>0</v>
      </c>
      <c r="I4542" t="n">
        <v>0</v>
      </c>
      <c r="J4542" t="n">
        <v>0</v>
      </c>
      <c r="K4542" t="n">
        <v>0</v>
      </c>
      <c r="L4542" t="n">
        <v>0</v>
      </c>
      <c r="M4542" t="n">
        <v>0</v>
      </c>
      <c r="N4542" t="n">
        <v>0</v>
      </c>
      <c r="O4542" t="n">
        <v>0</v>
      </c>
      <c r="P4542" t="n">
        <v>0</v>
      </c>
      <c r="Q4542" t="n">
        <v>0</v>
      </c>
      <c r="R4542" s="2" t="inlineStr"/>
    </row>
    <row r="4543" ht="15" customHeight="1">
      <c r="A4543" t="inlineStr">
        <is>
          <t>A 27010-2024</t>
        </is>
      </c>
      <c r="B4543" s="1" t="n">
        <v>45471.40217592593</v>
      </c>
      <c r="C4543" s="1" t="n">
        <v>46093</v>
      </c>
      <c r="D4543" t="inlineStr">
        <is>
          <t>VÄSTERNORRLANDS LÄN</t>
        </is>
      </c>
      <c r="E4543" t="inlineStr">
        <is>
          <t>ÖRNSKÖLDSVIK</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19548-2024</t>
        </is>
      </c>
      <c r="B4544" s="1" t="n">
        <v>45429.6805787037</v>
      </c>
      <c r="C4544" s="1" t="n">
        <v>46093</v>
      </c>
      <c r="D4544" t="inlineStr">
        <is>
          <t>VÄSTERNORRLANDS LÄN</t>
        </is>
      </c>
      <c r="E4544" t="inlineStr">
        <is>
          <t>ÖRNSKÖLDSVIK</t>
        </is>
      </c>
      <c r="F4544" t="inlineStr">
        <is>
          <t>Holmen skog AB</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27392-2023</t>
        </is>
      </c>
      <c r="B4545" s="1" t="n">
        <v>45096.93997685185</v>
      </c>
      <c r="C4545" s="1" t="n">
        <v>46093</v>
      </c>
      <c r="D4545" t="inlineStr">
        <is>
          <t>VÄSTERNORRLANDS LÄN</t>
        </is>
      </c>
      <c r="E4545" t="inlineStr">
        <is>
          <t>SOLLEFTEÅ</t>
        </is>
      </c>
      <c r="F4545" t="inlineStr">
        <is>
          <t>SCA</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42040-2025</t>
        </is>
      </c>
      <c r="B4546" s="1" t="n">
        <v>45903.61538194444</v>
      </c>
      <c r="C4546" s="1" t="n">
        <v>46093</v>
      </c>
      <c r="D4546" t="inlineStr">
        <is>
          <t>VÄSTERNORRLANDS LÄN</t>
        </is>
      </c>
      <c r="E4546" t="inlineStr">
        <is>
          <t>TIMRÅ</t>
        </is>
      </c>
      <c r="F4546" t="inlineStr">
        <is>
          <t>SCA</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42041-2025</t>
        </is>
      </c>
      <c r="B4547" s="1" t="n">
        <v>45903.61568287037</v>
      </c>
      <c r="C4547" s="1" t="n">
        <v>46093</v>
      </c>
      <c r="D4547" t="inlineStr">
        <is>
          <t>VÄSTERNORRLANDS LÄN</t>
        </is>
      </c>
      <c r="E4547" t="inlineStr">
        <is>
          <t>SOLLEFTEÅ</t>
        </is>
      </c>
      <c r="F4547" t="inlineStr">
        <is>
          <t>SCA</t>
        </is>
      </c>
      <c r="G4547" t="n">
        <v>7.9</v>
      </c>
      <c r="H4547" t="n">
        <v>0</v>
      </c>
      <c r="I4547" t="n">
        <v>0</v>
      </c>
      <c r="J4547" t="n">
        <v>0</v>
      </c>
      <c r="K4547" t="n">
        <v>0</v>
      </c>
      <c r="L4547" t="n">
        <v>0</v>
      </c>
      <c r="M4547" t="n">
        <v>0</v>
      </c>
      <c r="N4547" t="n">
        <v>0</v>
      </c>
      <c r="O4547" t="n">
        <v>0</v>
      </c>
      <c r="P4547" t="n">
        <v>0</v>
      </c>
      <c r="Q4547" t="n">
        <v>0</v>
      </c>
      <c r="R4547" s="2" t="inlineStr"/>
    </row>
    <row r="4548" ht="15" customHeight="1">
      <c r="A4548" t="inlineStr">
        <is>
          <t>A 42212-2025</t>
        </is>
      </c>
      <c r="B4548" s="1" t="n">
        <v>45904.5038425926</v>
      </c>
      <c r="C4548" s="1" t="n">
        <v>46093</v>
      </c>
      <c r="D4548" t="inlineStr">
        <is>
          <t>VÄSTERNORRLANDS LÄN</t>
        </is>
      </c>
      <c r="E4548" t="inlineStr">
        <is>
          <t>KRAMFORS</t>
        </is>
      </c>
      <c r="G4548" t="n">
        <v>2.8</v>
      </c>
      <c r="H4548" t="n">
        <v>0</v>
      </c>
      <c r="I4548" t="n">
        <v>0</v>
      </c>
      <c r="J4548" t="n">
        <v>0</v>
      </c>
      <c r="K4548" t="n">
        <v>0</v>
      </c>
      <c r="L4548" t="n">
        <v>0</v>
      </c>
      <c r="M4548" t="n">
        <v>0</v>
      </c>
      <c r="N4548" t="n">
        <v>0</v>
      </c>
      <c r="O4548" t="n">
        <v>0</v>
      </c>
      <c r="P4548" t="n">
        <v>0</v>
      </c>
      <c r="Q4548" t="n">
        <v>0</v>
      </c>
      <c r="R4548" s="2" t="inlineStr"/>
    </row>
    <row r="4549" ht="15" customHeight="1">
      <c r="A4549" t="inlineStr">
        <is>
          <t>A 42326-2025</t>
        </is>
      </c>
      <c r="B4549" s="1" t="n">
        <v>45904.68515046296</v>
      </c>
      <c r="C4549" s="1" t="n">
        <v>46093</v>
      </c>
      <c r="D4549" t="inlineStr">
        <is>
          <t>VÄSTERNORRLANDS LÄN</t>
        </is>
      </c>
      <c r="E4549" t="inlineStr">
        <is>
          <t>ÖRNSKÖLDSVIK</t>
        </is>
      </c>
      <c r="F4549" t="inlineStr">
        <is>
          <t>Holmen skog AB</t>
        </is>
      </c>
      <c r="G4549" t="n">
        <v>4.4</v>
      </c>
      <c r="H4549" t="n">
        <v>0</v>
      </c>
      <c r="I4549" t="n">
        <v>0</v>
      </c>
      <c r="J4549" t="n">
        <v>0</v>
      </c>
      <c r="K4549" t="n">
        <v>0</v>
      </c>
      <c r="L4549" t="n">
        <v>0</v>
      </c>
      <c r="M4549" t="n">
        <v>0</v>
      </c>
      <c r="N4549" t="n">
        <v>0</v>
      </c>
      <c r="O4549" t="n">
        <v>0</v>
      </c>
      <c r="P4549" t="n">
        <v>0</v>
      </c>
      <c r="Q4549" t="n">
        <v>0</v>
      </c>
      <c r="R4549" s="2" t="inlineStr"/>
    </row>
    <row r="4550" ht="15" customHeight="1">
      <c r="A4550" t="inlineStr">
        <is>
          <t>A 13300-2022</t>
        </is>
      </c>
      <c r="B4550" s="1" t="n">
        <v>44644</v>
      </c>
      <c r="C4550" s="1" t="n">
        <v>46093</v>
      </c>
      <c r="D4550" t="inlineStr">
        <is>
          <t>VÄSTERNORRLANDS LÄN</t>
        </is>
      </c>
      <c r="E4550" t="inlineStr">
        <is>
          <t>SOLLEFTEÅ</t>
        </is>
      </c>
      <c r="F4550" t="inlineStr">
        <is>
          <t>SCA</t>
        </is>
      </c>
      <c r="G4550" t="n">
        <v>9.9</v>
      </c>
      <c r="H4550" t="n">
        <v>0</v>
      </c>
      <c r="I4550" t="n">
        <v>0</v>
      </c>
      <c r="J4550" t="n">
        <v>0</v>
      </c>
      <c r="K4550" t="n">
        <v>0</v>
      </c>
      <c r="L4550" t="n">
        <v>0</v>
      </c>
      <c r="M4550" t="n">
        <v>0</v>
      </c>
      <c r="N4550" t="n">
        <v>0</v>
      </c>
      <c r="O4550" t="n">
        <v>0</v>
      </c>
      <c r="P4550" t="n">
        <v>0</v>
      </c>
      <c r="Q4550" t="n">
        <v>0</v>
      </c>
      <c r="R4550" s="2" t="inlineStr"/>
    </row>
    <row r="4551" ht="15" customHeight="1">
      <c r="A4551" t="inlineStr">
        <is>
          <t>A 59474-2024</t>
        </is>
      </c>
      <c r="B4551" s="1" t="n">
        <v>45638.504375</v>
      </c>
      <c r="C4551" s="1" t="n">
        <v>46093</v>
      </c>
      <c r="D4551" t="inlineStr">
        <is>
          <t>VÄSTERNORRLANDS LÄN</t>
        </is>
      </c>
      <c r="E4551" t="inlineStr">
        <is>
          <t>SOLLEFTEÅ</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42080-2025</t>
        </is>
      </c>
      <c r="B4552" s="1" t="n">
        <v>45903.68043981482</v>
      </c>
      <c r="C4552" s="1" t="n">
        <v>46093</v>
      </c>
      <c r="D4552" t="inlineStr">
        <is>
          <t>VÄSTERNORRLANDS LÄN</t>
        </is>
      </c>
      <c r="E4552" t="inlineStr">
        <is>
          <t>ÖRNSKÖLDSVIK</t>
        </is>
      </c>
      <c r="F4552" t="inlineStr">
        <is>
          <t>Holmen skog AB</t>
        </is>
      </c>
      <c r="G4552" t="n">
        <v>5.4</v>
      </c>
      <c r="H4552" t="n">
        <v>0</v>
      </c>
      <c r="I4552" t="n">
        <v>0</v>
      </c>
      <c r="J4552" t="n">
        <v>0</v>
      </c>
      <c r="K4552" t="n">
        <v>0</v>
      </c>
      <c r="L4552" t="n">
        <v>0</v>
      </c>
      <c r="M4552" t="n">
        <v>0</v>
      </c>
      <c r="N4552" t="n">
        <v>0</v>
      </c>
      <c r="O4552" t="n">
        <v>0</v>
      </c>
      <c r="P4552" t="n">
        <v>0</v>
      </c>
      <c r="Q4552" t="n">
        <v>0</v>
      </c>
      <c r="R4552" s="2" t="inlineStr"/>
    </row>
    <row r="4553" ht="15" customHeight="1">
      <c r="A4553" t="inlineStr">
        <is>
          <t>A 42290-2025</t>
        </is>
      </c>
      <c r="B4553" s="1" t="n">
        <v>45904</v>
      </c>
      <c r="C4553" s="1" t="n">
        <v>46093</v>
      </c>
      <c r="D4553" t="inlineStr">
        <is>
          <t>VÄSTERNORRLANDS LÄN</t>
        </is>
      </c>
      <c r="E4553" t="inlineStr">
        <is>
          <t>KRAMFORS</t>
        </is>
      </c>
      <c r="G4553" t="n">
        <v>11.4</v>
      </c>
      <c r="H4553" t="n">
        <v>0</v>
      </c>
      <c r="I4553" t="n">
        <v>0</v>
      </c>
      <c r="J4553" t="n">
        <v>0</v>
      </c>
      <c r="K4553" t="n">
        <v>0</v>
      </c>
      <c r="L4553" t="n">
        <v>0</v>
      </c>
      <c r="M4553" t="n">
        <v>0</v>
      </c>
      <c r="N4553" t="n">
        <v>0</v>
      </c>
      <c r="O4553" t="n">
        <v>0</v>
      </c>
      <c r="P4553" t="n">
        <v>0</v>
      </c>
      <c r="Q4553" t="n">
        <v>0</v>
      </c>
      <c r="R4553" s="2" t="inlineStr"/>
    </row>
    <row r="4554" ht="15" customHeight="1">
      <c r="A4554" t="inlineStr">
        <is>
          <t>A 23394-2021</t>
        </is>
      </c>
      <c r="B4554" s="1" t="n">
        <v>44333</v>
      </c>
      <c r="C4554" s="1" t="n">
        <v>46093</v>
      </c>
      <c r="D4554" t="inlineStr">
        <is>
          <t>VÄSTERNORRLANDS LÄN</t>
        </is>
      </c>
      <c r="E4554" t="inlineStr">
        <is>
          <t>SOLLEFTEÅ</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22750-2023</t>
        </is>
      </c>
      <c r="B4555" s="1" t="n">
        <v>45071.94090277778</v>
      </c>
      <c r="C4555" s="1" t="n">
        <v>46093</v>
      </c>
      <c r="D4555" t="inlineStr">
        <is>
          <t>VÄSTERNORRLANDS LÄN</t>
        </is>
      </c>
      <c r="E4555" t="inlineStr">
        <is>
          <t>SOLLEFTEÅ</t>
        </is>
      </c>
      <c r="F4555" t="inlineStr">
        <is>
          <t>SCA</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22755-2023</t>
        </is>
      </c>
      <c r="B4556" s="1" t="n">
        <v>45071.94127314815</v>
      </c>
      <c r="C4556" s="1" t="n">
        <v>46093</v>
      </c>
      <c r="D4556" t="inlineStr">
        <is>
          <t>VÄSTERNORRLANDS LÄN</t>
        </is>
      </c>
      <c r="E4556" t="inlineStr">
        <is>
          <t>ÅNGE</t>
        </is>
      </c>
      <c r="F4556" t="inlineStr">
        <is>
          <t>SCA</t>
        </is>
      </c>
      <c r="G4556" t="n">
        <v>12.6</v>
      </c>
      <c r="H4556" t="n">
        <v>0</v>
      </c>
      <c r="I4556" t="n">
        <v>0</v>
      </c>
      <c r="J4556" t="n">
        <v>0</v>
      </c>
      <c r="K4556" t="n">
        <v>0</v>
      </c>
      <c r="L4556" t="n">
        <v>0</v>
      </c>
      <c r="M4556" t="n">
        <v>0</v>
      </c>
      <c r="N4556" t="n">
        <v>0</v>
      </c>
      <c r="O4556" t="n">
        <v>0</v>
      </c>
      <c r="P4556" t="n">
        <v>0</v>
      </c>
      <c r="Q4556" t="n">
        <v>0</v>
      </c>
      <c r="R4556" s="2" t="inlineStr"/>
    </row>
    <row r="4557" ht="15" customHeight="1">
      <c r="A4557" t="inlineStr">
        <is>
          <t>A 42127-2025</t>
        </is>
      </c>
      <c r="B4557" s="1" t="n">
        <v>45904.34502314815</v>
      </c>
      <c r="C4557" s="1" t="n">
        <v>46093</v>
      </c>
      <c r="D4557" t="inlineStr">
        <is>
          <t>VÄSTERNORRLANDS LÄN</t>
        </is>
      </c>
      <c r="E4557" t="inlineStr">
        <is>
          <t>SOLLEFTEÅ</t>
        </is>
      </c>
      <c r="F4557" t="inlineStr">
        <is>
          <t>SCA</t>
        </is>
      </c>
      <c r="G4557" t="n">
        <v>2.8</v>
      </c>
      <c r="H4557" t="n">
        <v>0</v>
      </c>
      <c r="I4557" t="n">
        <v>0</v>
      </c>
      <c r="J4557" t="n">
        <v>0</v>
      </c>
      <c r="K4557" t="n">
        <v>0</v>
      </c>
      <c r="L4557" t="n">
        <v>0</v>
      </c>
      <c r="M4557" t="n">
        <v>0</v>
      </c>
      <c r="N4557" t="n">
        <v>0</v>
      </c>
      <c r="O4557" t="n">
        <v>0</v>
      </c>
      <c r="P4557" t="n">
        <v>0</v>
      </c>
      <c r="Q4557" t="n">
        <v>0</v>
      </c>
      <c r="R4557" s="2" t="inlineStr"/>
    </row>
    <row r="4558" ht="15" customHeight="1">
      <c r="A4558" t="inlineStr">
        <is>
          <t>A 42058-2025</t>
        </is>
      </c>
      <c r="B4558" s="1" t="n">
        <v>45903.645</v>
      </c>
      <c r="C4558" s="1" t="n">
        <v>46093</v>
      </c>
      <c r="D4558" t="inlineStr">
        <is>
          <t>VÄSTERNORRLANDS LÄN</t>
        </is>
      </c>
      <c r="E4558" t="inlineStr">
        <is>
          <t>TIMRÅ</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41870-2025</t>
        </is>
      </c>
      <c r="B4559" s="1" t="n">
        <v>45903.3446412037</v>
      </c>
      <c r="C4559" s="1" t="n">
        <v>46093</v>
      </c>
      <c r="D4559" t="inlineStr">
        <is>
          <t>VÄSTERNORRLANDS LÄN</t>
        </is>
      </c>
      <c r="E4559" t="inlineStr">
        <is>
          <t>ÅNGE</t>
        </is>
      </c>
      <c r="F4559" t="inlineStr">
        <is>
          <t>SCA</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52231-2023</t>
        </is>
      </c>
      <c r="B4560" s="1" t="n">
        <v>45217</v>
      </c>
      <c r="C4560" s="1" t="n">
        <v>46093</v>
      </c>
      <c r="D4560" t="inlineStr">
        <is>
          <t>VÄSTERNORRLANDS LÄN</t>
        </is>
      </c>
      <c r="E4560" t="inlineStr">
        <is>
          <t>SUNDSVALL</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42467-2025</t>
        </is>
      </c>
      <c r="B4561" s="1" t="n">
        <v>45904</v>
      </c>
      <c r="C4561" s="1" t="n">
        <v>46093</v>
      </c>
      <c r="D4561" t="inlineStr">
        <is>
          <t>VÄSTERNORRLANDS LÄN</t>
        </is>
      </c>
      <c r="E4561" t="inlineStr">
        <is>
          <t>SUNDSVALL</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41872-2025</t>
        </is>
      </c>
      <c r="B4562" s="1" t="n">
        <v>45903.34497685185</v>
      </c>
      <c r="C4562" s="1" t="n">
        <v>46093</v>
      </c>
      <c r="D4562" t="inlineStr">
        <is>
          <t>VÄSTERNORRLANDS LÄN</t>
        </is>
      </c>
      <c r="E4562" t="inlineStr">
        <is>
          <t>ÅNGE</t>
        </is>
      </c>
      <c r="F4562" t="inlineStr">
        <is>
          <t>SCA</t>
        </is>
      </c>
      <c r="G4562" t="n">
        <v>3.1</v>
      </c>
      <c r="H4562" t="n">
        <v>0</v>
      </c>
      <c r="I4562" t="n">
        <v>0</v>
      </c>
      <c r="J4562" t="n">
        <v>0</v>
      </c>
      <c r="K4562" t="n">
        <v>0</v>
      </c>
      <c r="L4562" t="n">
        <v>0</v>
      </c>
      <c r="M4562" t="n">
        <v>0</v>
      </c>
      <c r="N4562" t="n">
        <v>0</v>
      </c>
      <c r="O4562" t="n">
        <v>0</v>
      </c>
      <c r="P4562" t="n">
        <v>0</v>
      </c>
      <c r="Q4562" t="n">
        <v>0</v>
      </c>
      <c r="R4562" s="2" t="inlineStr"/>
    </row>
    <row r="4563" ht="15" customHeight="1">
      <c r="A4563" t="inlineStr">
        <is>
          <t>A 7966-2022</t>
        </is>
      </c>
      <c r="B4563" s="1" t="n">
        <v>44608</v>
      </c>
      <c r="C4563" s="1" t="n">
        <v>46093</v>
      </c>
      <c r="D4563" t="inlineStr">
        <is>
          <t>VÄSTERNORRLANDS LÄN</t>
        </is>
      </c>
      <c r="E4563" t="inlineStr">
        <is>
          <t>TIMRÅ</t>
        </is>
      </c>
      <c r="F4563" t="inlineStr">
        <is>
          <t>SCA</t>
        </is>
      </c>
      <c r="G4563" t="n">
        <v>8.199999999999999</v>
      </c>
      <c r="H4563" t="n">
        <v>0</v>
      </c>
      <c r="I4563" t="n">
        <v>0</v>
      </c>
      <c r="J4563" t="n">
        <v>0</v>
      </c>
      <c r="K4563" t="n">
        <v>0</v>
      </c>
      <c r="L4563" t="n">
        <v>0</v>
      </c>
      <c r="M4563" t="n">
        <v>0</v>
      </c>
      <c r="N4563" t="n">
        <v>0</v>
      </c>
      <c r="O4563" t="n">
        <v>0</v>
      </c>
      <c r="P4563" t="n">
        <v>0</v>
      </c>
      <c r="Q4563" t="n">
        <v>0</v>
      </c>
      <c r="R4563" s="2" t="inlineStr"/>
    </row>
    <row r="4564" ht="15" customHeight="1">
      <c r="A4564" t="inlineStr">
        <is>
          <t>A 41999-2025</t>
        </is>
      </c>
      <c r="B4564" s="1" t="n">
        <v>45903.55244212963</v>
      </c>
      <c r="C4564" s="1" t="n">
        <v>46093</v>
      </c>
      <c r="D4564" t="inlineStr">
        <is>
          <t>VÄSTERNORRLANDS LÄN</t>
        </is>
      </c>
      <c r="E4564" t="inlineStr">
        <is>
          <t>SUNDSVALL</t>
        </is>
      </c>
      <c r="F4564" t="inlineStr">
        <is>
          <t>SCA</t>
        </is>
      </c>
      <c r="G4564" t="n">
        <v>4.6</v>
      </c>
      <c r="H4564" t="n">
        <v>0</v>
      </c>
      <c r="I4564" t="n">
        <v>0</v>
      </c>
      <c r="J4564" t="n">
        <v>0</v>
      </c>
      <c r="K4564" t="n">
        <v>0</v>
      </c>
      <c r="L4564" t="n">
        <v>0</v>
      </c>
      <c r="M4564" t="n">
        <v>0</v>
      </c>
      <c r="N4564" t="n">
        <v>0</v>
      </c>
      <c r="O4564" t="n">
        <v>0</v>
      </c>
      <c r="P4564" t="n">
        <v>0</v>
      </c>
      <c r="Q4564" t="n">
        <v>0</v>
      </c>
      <c r="R4564" s="2" t="inlineStr"/>
    </row>
    <row r="4565" ht="15" customHeight="1">
      <c r="A4565" t="inlineStr">
        <is>
          <t>A 9202-2022</t>
        </is>
      </c>
      <c r="B4565" s="1" t="n">
        <v>44615</v>
      </c>
      <c r="C4565" s="1" t="n">
        <v>46093</v>
      </c>
      <c r="D4565" t="inlineStr">
        <is>
          <t>VÄSTERNORRLANDS LÄN</t>
        </is>
      </c>
      <c r="E4565" t="inlineStr">
        <is>
          <t>TIMRÅ</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9203-2022</t>
        </is>
      </c>
      <c r="B4566" s="1" t="n">
        <v>44615</v>
      </c>
      <c r="C4566" s="1" t="n">
        <v>46093</v>
      </c>
      <c r="D4566" t="inlineStr">
        <is>
          <t>VÄSTERNORRLANDS LÄN</t>
        </is>
      </c>
      <c r="E4566" t="inlineStr">
        <is>
          <t>TIMRÅ</t>
        </is>
      </c>
      <c r="G4566" t="n">
        <v>5.5</v>
      </c>
      <c r="H4566" t="n">
        <v>0</v>
      </c>
      <c r="I4566" t="n">
        <v>0</v>
      </c>
      <c r="J4566" t="n">
        <v>0</v>
      </c>
      <c r="K4566" t="n">
        <v>0</v>
      </c>
      <c r="L4566" t="n">
        <v>0</v>
      </c>
      <c r="M4566" t="n">
        <v>0</v>
      </c>
      <c r="N4566" t="n">
        <v>0</v>
      </c>
      <c r="O4566" t="n">
        <v>0</v>
      </c>
      <c r="P4566" t="n">
        <v>0</v>
      </c>
      <c r="Q4566" t="n">
        <v>0</v>
      </c>
      <c r="R4566" s="2" t="inlineStr"/>
    </row>
    <row r="4567" ht="15" customHeight="1">
      <c r="A4567" t="inlineStr">
        <is>
          <t>A 18621-2024</t>
        </is>
      </c>
      <c r="B4567" s="1" t="n">
        <v>45425</v>
      </c>
      <c r="C4567" s="1" t="n">
        <v>46093</v>
      </c>
      <c r="D4567" t="inlineStr">
        <is>
          <t>VÄSTERNORRLANDS LÄN</t>
        </is>
      </c>
      <c r="E4567" t="inlineStr">
        <is>
          <t>SOLLEFTEÅ</t>
        </is>
      </c>
      <c r="F4567" t="inlineStr">
        <is>
          <t>SCA</t>
        </is>
      </c>
      <c r="G4567" t="n">
        <v>5.5</v>
      </c>
      <c r="H4567" t="n">
        <v>0</v>
      </c>
      <c r="I4567" t="n">
        <v>0</v>
      </c>
      <c r="J4567" t="n">
        <v>0</v>
      </c>
      <c r="K4567" t="n">
        <v>0</v>
      </c>
      <c r="L4567" t="n">
        <v>0</v>
      </c>
      <c r="M4567" t="n">
        <v>0</v>
      </c>
      <c r="N4567" t="n">
        <v>0</v>
      </c>
      <c r="O4567" t="n">
        <v>0</v>
      </c>
      <c r="P4567" t="n">
        <v>0</v>
      </c>
      <c r="Q4567" t="n">
        <v>0</v>
      </c>
      <c r="R4567" s="2" t="inlineStr"/>
    </row>
    <row r="4568" ht="15" customHeight="1">
      <c r="A4568" t="inlineStr">
        <is>
          <t>A 18622-2024</t>
        </is>
      </c>
      <c r="B4568" s="1" t="n">
        <v>45425.96364583333</v>
      </c>
      <c r="C4568" s="1" t="n">
        <v>46093</v>
      </c>
      <c r="D4568" t="inlineStr">
        <is>
          <t>VÄSTERNORRLANDS LÄN</t>
        </is>
      </c>
      <c r="E4568" t="inlineStr">
        <is>
          <t>SOLLEFTEÅ</t>
        </is>
      </c>
      <c r="F4568" t="inlineStr">
        <is>
          <t>SCA</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18633-2024</t>
        </is>
      </c>
      <c r="B4569" s="1" t="n">
        <v>45425.96517361111</v>
      </c>
      <c r="C4569" s="1" t="n">
        <v>46093</v>
      </c>
      <c r="D4569" t="inlineStr">
        <is>
          <t>VÄSTERNORRLANDS LÄN</t>
        </is>
      </c>
      <c r="E4569" t="inlineStr">
        <is>
          <t>KRAMFORS</t>
        </is>
      </c>
      <c r="F4569" t="inlineStr">
        <is>
          <t>SCA</t>
        </is>
      </c>
      <c r="G4569" t="n">
        <v>2.8</v>
      </c>
      <c r="H4569" t="n">
        <v>0</v>
      </c>
      <c r="I4569" t="n">
        <v>0</v>
      </c>
      <c r="J4569" t="n">
        <v>0</v>
      </c>
      <c r="K4569" t="n">
        <v>0</v>
      </c>
      <c r="L4569" t="n">
        <v>0</v>
      </c>
      <c r="M4569" t="n">
        <v>0</v>
      </c>
      <c r="N4569" t="n">
        <v>0</v>
      </c>
      <c r="O4569" t="n">
        <v>0</v>
      </c>
      <c r="P4569" t="n">
        <v>0</v>
      </c>
      <c r="Q4569" t="n">
        <v>0</v>
      </c>
      <c r="R4569" s="2" t="inlineStr"/>
    </row>
    <row r="4570" ht="15" customHeight="1">
      <c r="A4570" t="inlineStr">
        <is>
          <t>A 42034-2025</t>
        </is>
      </c>
      <c r="B4570" s="1" t="n">
        <v>45903.60880787037</v>
      </c>
      <c r="C4570" s="1" t="n">
        <v>46093</v>
      </c>
      <c r="D4570" t="inlineStr">
        <is>
          <t>VÄSTERNORRLANDS LÄN</t>
        </is>
      </c>
      <c r="E4570" t="inlineStr">
        <is>
          <t>ÖRNSKÖLDSVIK</t>
        </is>
      </c>
      <c r="F4570" t="inlineStr">
        <is>
          <t>Holmen skog AB</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30546-2025</t>
        </is>
      </c>
      <c r="B4571" s="1" t="n">
        <v>45831</v>
      </c>
      <c r="C4571" s="1" t="n">
        <v>46093</v>
      </c>
      <c r="D4571" t="inlineStr">
        <is>
          <t>VÄSTERNORRLANDS LÄN</t>
        </is>
      </c>
      <c r="E4571" t="inlineStr">
        <is>
          <t>SUNDSVALL</t>
        </is>
      </c>
      <c r="F4571" t="inlineStr">
        <is>
          <t>Kyrkan</t>
        </is>
      </c>
      <c r="G4571" t="n">
        <v>7.3</v>
      </c>
      <c r="H4571" t="n">
        <v>0</v>
      </c>
      <c r="I4571" t="n">
        <v>0</v>
      </c>
      <c r="J4571" t="n">
        <v>0</v>
      </c>
      <c r="K4571" t="n">
        <v>0</v>
      </c>
      <c r="L4571" t="n">
        <v>0</v>
      </c>
      <c r="M4571" t="n">
        <v>0</v>
      </c>
      <c r="N4571" t="n">
        <v>0</v>
      </c>
      <c r="O4571" t="n">
        <v>0</v>
      </c>
      <c r="P4571" t="n">
        <v>0</v>
      </c>
      <c r="Q4571" t="n">
        <v>0</v>
      </c>
      <c r="R4571" s="2" t="inlineStr"/>
    </row>
    <row r="4572" ht="15" customHeight="1">
      <c r="A4572" t="inlineStr">
        <is>
          <t>A 50419-2022</t>
        </is>
      </c>
      <c r="B4572" s="1" t="n">
        <v>44861</v>
      </c>
      <c r="C4572" s="1" t="n">
        <v>46093</v>
      </c>
      <c r="D4572" t="inlineStr">
        <is>
          <t>VÄSTERNORRLANDS LÄN</t>
        </is>
      </c>
      <c r="E4572" t="inlineStr">
        <is>
          <t>ÅNGE</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33134-2024</t>
        </is>
      </c>
      <c r="B4573" s="1" t="n">
        <v>45518</v>
      </c>
      <c r="C4573" s="1" t="n">
        <v>46093</v>
      </c>
      <c r="D4573" t="inlineStr">
        <is>
          <t>VÄSTERNORRLANDS LÄN</t>
        </is>
      </c>
      <c r="E4573" t="inlineStr">
        <is>
          <t>SOLLEFTEÅ</t>
        </is>
      </c>
      <c r="F4573" t="inlineStr">
        <is>
          <t>Holmen skog AB</t>
        </is>
      </c>
      <c r="G4573" t="n">
        <v>6.2</v>
      </c>
      <c r="H4573" t="n">
        <v>0</v>
      </c>
      <c r="I4573" t="n">
        <v>0</v>
      </c>
      <c r="J4573" t="n">
        <v>0</v>
      </c>
      <c r="K4573" t="n">
        <v>0</v>
      </c>
      <c r="L4573" t="n">
        <v>0</v>
      </c>
      <c r="M4573" t="n">
        <v>0</v>
      </c>
      <c r="N4573" t="n">
        <v>0</v>
      </c>
      <c r="O4573" t="n">
        <v>0</v>
      </c>
      <c r="P4573" t="n">
        <v>0</v>
      </c>
      <c r="Q4573" t="n">
        <v>0</v>
      </c>
      <c r="R4573" s="2" t="inlineStr"/>
    </row>
    <row r="4574" ht="15" customHeight="1">
      <c r="A4574" t="inlineStr">
        <is>
          <t>A 33141-2024</t>
        </is>
      </c>
      <c r="B4574" s="1" t="n">
        <v>45518</v>
      </c>
      <c r="C4574" s="1" t="n">
        <v>46093</v>
      </c>
      <c r="D4574" t="inlineStr">
        <is>
          <t>VÄSTERNORRLANDS LÄN</t>
        </is>
      </c>
      <c r="E4574" t="inlineStr">
        <is>
          <t>SOLLEFTEÅ</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33187-2024</t>
        </is>
      </c>
      <c r="B4575" s="1" t="n">
        <v>45518</v>
      </c>
      <c r="C4575" s="1" t="n">
        <v>46093</v>
      </c>
      <c r="D4575" t="inlineStr">
        <is>
          <t>VÄSTERNORRLANDS LÄN</t>
        </is>
      </c>
      <c r="E4575" t="inlineStr">
        <is>
          <t>ÖRNSKÖLDSVIK</t>
        </is>
      </c>
      <c r="F4575" t="inlineStr">
        <is>
          <t>Holmen skog AB</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8115-2024</t>
        </is>
      </c>
      <c r="B4576" s="1" t="n">
        <v>45351</v>
      </c>
      <c r="C4576" s="1" t="n">
        <v>46093</v>
      </c>
      <c r="D4576" t="inlineStr">
        <is>
          <t>VÄSTERNORRLANDS LÄN</t>
        </is>
      </c>
      <c r="E4576" t="inlineStr">
        <is>
          <t>ÖRNSKÖLDSVIK</t>
        </is>
      </c>
      <c r="F4576" t="inlineStr">
        <is>
          <t>Holmen skog AB</t>
        </is>
      </c>
      <c r="G4576" t="n">
        <v>0.3</v>
      </c>
      <c r="H4576" t="n">
        <v>0</v>
      </c>
      <c r="I4576" t="n">
        <v>0</v>
      </c>
      <c r="J4576" t="n">
        <v>0</v>
      </c>
      <c r="K4576" t="n">
        <v>0</v>
      </c>
      <c r="L4576" t="n">
        <v>0</v>
      </c>
      <c r="M4576" t="n">
        <v>0</v>
      </c>
      <c r="N4576" t="n">
        <v>0</v>
      </c>
      <c r="O4576" t="n">
        <v>0</v>
      </c>
      <c r="P4576" t="n">
        <v>0</v>
      </c>
      <c r="Q4576" t="n">
        <v>0</v>
      </c>
      <c r="R4576" s="2" t="inlineStr"/>
    </row>
    <row r="4577" ht="15" customHeight="1">
      <c r="A4577" t="inlineStr">
        <is>
          <t>A 62243-2021</t>
        </is>
      </c>
      <c r="B4577" s="1" t="n">
        <v>44503.32346064815</v>
      </c>
      <c r="C4577" s="1" t="n">
        <v>46093</v>
      </c>
      <c r="D4577" t="inlineStr">
        <is>
          <t>VÄSTERNORRLANDS LÄN</t>
        </is>
      </c>
      <c r="E4577" t="inlineStr">
        <is>
          <t>KRAMFORS</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42160-2025</t>
        </is>
      </c>
      <c r="B4578" s="1" t="n">
        <v>45904.41231481481</v>
      </c>
      <c r="C4578" s="1" t="n">
        <v>46093</v>
      </c>
      <c r="D4578" t="inlineStr">
        <is>
          <t>VÄSTERNORRLANDS LÄN</t>
        </is>
      </c>
      <c r="E4578" t="inlineStr">
        <is>
          <t>ÖRNSKÖLDSVIK</t>
        </is>
      </c>
      <c r="F4578" t="inlineStr">
        <is>
          <t>Holmen skog AB</t>
        </is>
      </c>
      <c r="G4578" t="n">
        <v>3</v>
      </c>
      <c r="H4578" t="n">
        <v>0</v>
      </c>
      <c r="I4578" t="n">
        <v>0</v>
      </c>
      <c r="J4578" t="n">
        <v>0</v>
      </c>
      <c r="K4578" t="n">
        <v>0</v>
      </c>
      <c r="L4578" t="n">
        <v>0</v>
      </c>
      <c r="M4578" t="n">
        <v>0</v>
      </c>
      <c r="N4578" t="n">
        <v>0</v>
      </c>
      <c r="O4578" t="n">
        <v>0</v>
      </c>
      <c r="P4578" t="n">
        <v>0</v>
      </c>
      <c r="Q4578" t="n">
        <v>0</v>
      </c>
      <c r="R4578" s="2" t="inlineStr"/>
    </row>
    <row r="4579" ht="15" customHeight="1">
      <c r="A4579" t="inlineStr">
        <is>
          <t>A 42164-2025</t>
        </is>
      </c>
      <c r="B4579" s="1" t="n">
        <v>45904.42023148148</v>
      </c>
      <c r="C4579" s="1" t="n">
        <v>46093</v>
      </c>
      <c r="D4579" t="inlineStr">
        <is>
          <t>VÄSTERNORRLANDS LÄN</t>
        </is>
      </c>
      <c r="E4579" t="inlineStr">
        <is>
          <t>ÖRNSKÖLDSVIK</t>
        </is>
      </c>
      <c r="F4579" t="inlineStr">
        <is>
          <t>Holmen skog AB</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600-2025</t>
        </is>
      </c>
      <c r="B4580" s="1" t="n">
        <v>45664.59428240741</v>
      </c>
      <c r="C4580" s="1" t="n">
        <v>46093</v>
      </c>
      <c r="D4580" t="inlineStr">
        <is>
          <t>VÄSTERNORRLANDS LÄN</t>
        </is>
      </c>
      <c r="E4580" t="inlineStr">
        <is>
          <t>SOLLEFTEÅ</t>
        </is>
      </c>
      <c r="F4580" t="inlineStr">
        <is>
          <t>SCA</t>
        </is>
      </c>
      <c r="G4580" t="n">
        <v>9.699999999999999</v>
      </c>
      <c r="H4580" t="n">
        <v>0</v>
      </c>
      <c r="I4580" t="n">
        <v>0</v>
      </c>
      <c r="J4580" t="n">
        <v>0</v>
      </c>
      <c r="K4580" t="n">
        <v>0</v>
      </c>
      <c r="L4580" t="n">
        <v>0</v>
      </c>
      <c r="M4580" t="n">
        <v>0</v>
      </c>
      <c r="N4580" t="n">
        <v>0</v>
      </c>
      <c r="O4580" t="n">
        <v>0</v>
      </c>
      <c r="P4580" t="n">
        <v>0</v>
      </c>
      <c r="Q4580" t="n">
        <v>0</v>
      </c>
      <c r="R4580" s="2" t="inlineStr"/>
    </row>
    <row r="4581" ht="15" customHeight="1">
      <c r="A4581" t="inlineStr">
        <is>
          <t>A 42201-2025</t>
        </is>
      </c>
      <c r="B4581" s="1" t="n">
        <v>45904.48965277777</v>
      </c>
      <c r="C4581" s="1" t="n">
        <v>46093</v>
      </c>
      <c r="D4581" t="inlineStr">
        <is>
          <t>VÄSTERNORRLANDS LÄN</t>
        </is>
      </c>
      <c r="E4581" t="inlineStr">
        <is>
          <t>SOLLEFTEÅ</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16411-2025</t>
        </is>
      </c>
      <c r="B4582" s="1" t="n">
        <v>45751.45793981481</v>
      </c>
      <c r="C4582" s="1" t="n">
        <v>46093</v>
      </c>
      <c r="D4582" t="inlineStr">
        <is>
          <t>VÄSTERNORRLANDS LÄN</t>
        </is>
      </c>
      <c r="E4582" t="inlineStr">
        <is>
          <t>ÖRNSKÖLDSVIK</t>
        </is>
      </c>
      <c r="G4582" t="n">
        <v>8.5</v>
      </c>
      <c r="H4582" t="n">
        <v>0</v>
      </c>
      <c r="I4582" t="n">
        <v>0</v>
      </c>
      <c r="J4582" t="n">
        <v>0</v>
      </c>
      <c r="K4582" t="n">
        <v>0</v>
      </c>
      <c r="L4582" t="n">
        <v>0</v>
      </c>
      <c r="M4582" t="n">
        <v>0</v>
      </c>
      <c r="N4582" t="n">
        <v>0</v>
      </c>
      <c r="O4582" t="n">
        <v>0</v>
      </c>
      <c r="P4582" t="n">
        <v>0</v>
      </c>
      <c r="Q4582" t="n">
        <v>0</v>
      </c>
      <c r="R4582" s="2" t="inlineStr"/>
    </row>
    <row r="4583" ht="15" customHeight="1">
      <c r="A4583" t="inlineStr">
        <is>
          <t>A 43177-2023</t>
        </is>
      </c>
      <c r="B4583" s="1" t="n">
        <v>45181</v>
      </c>
      <c r="C4583" s="1" t="n">
        <v>46093</v>
      </c>
      <c r="D4583" t="inlineStr">
        <is>
          <t>VÄSTERNORRLANDS LÄN</t>
        </is>
      </c>
      <c r="E4583" t="inlineStr">
        <is>
          <t>SOLLEFTEÅ</t>
        </is>
      </c>
      <c r="F4583" t="inlineStr">
        <is>
          <t>SCA</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42881-2023</t>
        </is>
      </c>
      <c r="B4584" s="1" t="n">
        <v>45182.45256944445</v>
      </c>
      <c r="C4584" s="1" t="n">
        <v>46093</v>
      </c>
      <c r="D4584" t="inlineStr">
        <is>
          <t>VÄSTERNORRLANDS LÄN</t>
        </is>
      </c>
      <c r="E4584" t="inlineStr">
        <is>
          <t>ÅNGE</t>
        </is>
      </c>
      <c r="G4584" t="n">
        <v>3.9</v>
      </c>
      <c r="H4584" t="n">
        <v>0</v>
      </c>
      <c r="I4584" t="n">
        <v>0</v>
      </c>
      <c r="J4584" t="n">
        <v>0</v>
      </c>
      <c r="K4584" t="n">
        <v>0</v>
      </c>
      <c r="L4584" t="n">
        <v>0</v>
      </c>
      <c r="M4584" t="n">
        <v>0</v>
      </c>
      <c r="N4584" t="n">
        <v>0</v>
      </c>
      <c r="O4584" t="n">
        <v>0</v>
      </c>
      <c r="P4584" t="n">
        <v>0</v>
      </c>
      <c r="Q4584" t="n">
        <v>0</v>
      </c>
      <c r="R4584" s="2" t="inlineStr"/>
    </row>
    <row r="4585" ht="15" customHeight="1">
      <c r="A4585" t="inlineStr">
        <is>
          <t>A 42916-2023</t>
        </is>
      </c>
      <c r="B4585" s="1" t="n">
        <v>45182.51847222223</v>
      </c>
      <c r="C4585" s="1" t="n">
        <v>46093</v>
      </c>
      <c r="D4585" t="inlineStr">
        <is>
          <t>VÄSTERNORRLANDS LÄN</t>
        </is>
      </c>
      <c r="E4585" t="inlineStr">
        <is>
          <t>KRAMFORS</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23346-2024</t>
        </is>
      </c>
      <c r="B4586" s="1" t="n">
        <v>45453.51660879629</v>
      </c>
      <c r="C4586" s="1" t="n">
        <v>46093</v>
      </c>
      <c r="D4586" t="inlineStr">
        <is>
          <t>VÄSTERNORRLANDS LÄN</t>
        </is>
      </c>
      <c r="E4586" t="inlineStr">
        <is>
          <t>ÖRNSKÖLDSVIK</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33312-2024</t>
        </is>
      </c>
      <c r="B4587" s="1" t="n">
        <v>45518.97113425926</v>
      </c>
      <c r="C4587" s="1" t="n">
        <v>46093</v>
      </c>
      <c r="D4587" t="inlineStr">
        <is>
          <t>VÄSTERNORRLANDS LÄN</t>
        </is>
      </c>
      <c r="E4587" t="inlineStr">
        <is>
          <t>SOLLEFTEÅ</t>
        </is>
      </c>
      <c r="F4587" t="inlineStr">
        <is>
          <t>SCA</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3231-2025</t>
        </is>
      </c>
      <c r="B4588" s="1" t="n">
        <v>45679.4852662037</v>
      </c>
      <c r="C4588" s="1" t="n">
        <v>46093</v>
      </c>
      <c r="D4588" t="inlineStr">
        <is>
          <t>VÄSTERNORRLANDS LÄN</t>
        </is>
      </c>
      <c r="E4588" t="inlineStr">
        <is>
          <t>ÖRNSKÖLDSVIK</t>
        </is>
      </c>
      <c r="G4588" t="n">
        <v>3</v>
      </c>
      <c r="H4588" t="n">
        <v>0</v>
      </c>
      <c r="I4588" t="n">
        <v>0</v>
      </c>
      <c r="J4588" t="n">
        <v>0</v>
      </c>
      <c r="K4588" t="n">
        <v>0</v>
      </c>
      <c r="L4588" t="n">
        <v>0</v>
      </c>
      <c r="M4588" t="n">
        <v>0</v>
      </c>
      <c r="N4588" t="n">
        <v>0</v>
      </c>
      <c r="O4588" t="n">
        <v>0</v>
      </c>
      <c r="P4588" t="n">
        <v>0</v>
      </c>
      <c r="Q4588" t="n">
        <v>0</v>
      </c>
      <c r="R4588" s="2" t="inlineStr"/>
    </row>
    <row r="4589" ht="15" customHeight="1">
      <c r="A4589" t="inlineStr">
        <is>
          <t>A 42889-2025</t>
        </is>
      </c>
      <c r="B4589" s="1" t="n">
        <v>45908.65546296296</v>
      </c>
      <c r="C4589" s="1" t="n">
        <v>46093</v>
      </c>
      <c r="D4589" t="inlineStr">
        <is>
          <t>VÄSTERNORRLANDS LÄN</t>
        </is>
      </c>
      <c r="E4589" t="inlineStr">
        <is>
          <t>ÅNGE</t>
        </is>
      </c>
      <c r="G4589" t="n">
        <v>11.9</v>
      </c>
      <c r="H4589" t="n">
        <v>0</v>
      </c>
      <c r="I4589" t="n">
        <v>0</v>
      </c>
      <c r="J4589" t="n">
        <v>0</v>
      </c>
      <c r="K4589" t="n">
        <v>0</v>
      </c>
      <c r="L4589" t="n">
        <v>0</v>
      </c>
      <c r="M4589" t="n">
        <v>0</v>
      </c>
      <c r="N4589" t="n">
        <v>0</v>
      </c>
      <c r="O4589" t="n">
        <v>0</v>
      </c>
      <c r="P4589" t="n">
        <v>0</v>
      </c>
      <c r="Q4589" t="n">
        <v>0</v>
      </c>
      <c r="R4589" s="2" t="inlineStr"/>
    </row>
    <row r="4590" ht="15" customHeight="1">
      <c r="A4590" t="inlineStr">
        <is>
          <t>A 42901-2025</t>
        </is>
      </c>
      <c r="B4590" s="1" t="n">
        <v>45908.67736111111</v>
      </c>
      <c r="C4590" s="1" t="n">
        <v>46093</v>
      </c>
      <c r="D4590" t="inlineStr">
        <is>
          <t>VÄSTERNORRLANDS LÄN</t>
        </is>
      </c>
      <c r="E4590" t="inlineStr">
        <is>
          <t>SOLLEFTEÅ</t>
        </is>
      </c>
      <c r="G4590" t="n">
        <v>7.1</v>
      </c>
      <c r="H4590" t="n">
        <v>0</v>
      </c>
      <c r="I4590" t="n">
        <v>0</v>
      </c>
      <c r="J4590" t="n">
        <v>0</v>
      </c>
      <c r="K4590" t="n">
        <v>0</v>
      </c>
      <c r="L4590" t="n">
        <v>0</v>
      </c>
      <c r="M4590" t="n">
        <v>0</v>
      </c>
      <c r="N4590" t="n">
        <v>0</v>
      </c>
      <c r="O4590" t="n">
        <v>0</v>
      </c>
      <c r="P4590" t="n">
        <v>0</v>
      </c>
      <c r="Q4590" t="n">
        <v>0</v>
      </c>
      <c r="R4590" s="2" t="inlineStr"/>
    </row>
    <row r="4591" ht="15" customHeight="1">
      <c r="A4591" t="inlineStr">
        <is>
          <t>A 42904-2025</t>
        </is>
      </c>
      <c r="B4591" s="1" t="n">
        <v>45908.68134259259</v>
      </c>
      <c r="C4591" s="1" t="n">
        <v>46093</v>
      </c>
      <c r="D4591" t="inlineStr">
        <is>
          <t>VÄSTERNORRLANDS LÄN</t>
        </is>
      </c>
      <c r="E4591" t="inlineStr">
        <is>
          <t>ÖRNSKÖLDSVIK</t>
        </is>
      </c>
      <c r="G4591" t="n">
        <v>22.5</v>
      </c>
      <c r="H4591" t="n">
        <v>0</v>
      </c>
      <c r="I4591" t="n">
        <v>0</v>
      </c>
      <c r="J4591" t="n">
        <v>0</v>
      </c>
      <c r="K4591" t="n">
        <v>0</v>
      </c>
      <c r="L4591" t="n">
        <v>0</v>
      </c>
      <c r="M4591" t="n">
        <v>0</v>
      </c>
      <c r="N4591" t="n">
        <v>0</v>
      </c>
      <c r="O4591" t="n">
        <v>0</v>
      </c>
      <c r="P4591" t="n">
        <v>0</v>
      </c>
      <c r="Q4591" t="n">
        <v>0</v>
      </c>
      <c r="R4591" s="2" t="inlineStr"/>
    </row>
    <row r="4592" ht="15" customHeight="1">
      <c r="A4592" t="inlineStr">
        <is>
          <t>A 42909-2025</t>
        </is>
      </c>
      <c r="B4592" s="1" t="n">
        <v>45908.69828703703</v>
      </c>
      <c r="C4592" s="1" t="n">
        <v>46093</v>
      </c>
      <c r="D4592" t="inlineStr">
        <is>
          <t>VÄSTERNORRLANDS LÄN</t>
        </is>
      </c>
      <c r="E4592" t="inlineStr">
        <is>
          <t>SUNDSVALL</t>
        </is>
      </c>
      <c r="F4592" t="inlineStr">
        <is>
          <t>Naturvårdsverket</t>
        </is>
      </c>
      <c r="G4592" t="n">
        <v>3.1</v>
      </c>
      <c r="H4592" t="n">
        <v>0</v>
      </c>
      <c r="I4592" t="n">
        <v>0</v>
      </c>
      <c r="J4592" t="n">
        <v>0</v>
      </c>
      <c r="K4592" t="n">
        <v>0</v>
      </c>
      <c r="L4592" t="n">
        <v>0</v>
      </c>
      <c r="M4592" t="n">
        <v>0</v>
      </c>
      <c r="N4592" t="n">
        <v>0</v>
      </c>
      <c r="O4592" t="n">
        <v>0</v>
      </c>
      <c r="P4592" t="n">
        <v>0</v>
      </c>
      <c r="Q4592" t="n">
        <v>0</v>
      </c>
      <c r="R4592" s="2" t="inlineStr"/>
    </row>
    <row r="4593" ht="15" customHeight="1">
      <c r="A4593" t="inlineStr">
        <is>
          <t>A 55568-2024</t>
        </is>
      </c>
      <c r="B4593" s="1" t="n">
        <v>45622.54879629629</v>
      </c>
      <c r="C4593" s="1" t="n">
        <v>46093</v>
      </c>
      <c r="D4593" t="inlineStr">
        <is>
          <t>VÄSTERNORRLANDS LÄN</t>
        </is>
      </c>
      <c r="E4593" t="inlineStr">
        <is>
          <t>SUNDSVALL</t>
        </is>
      </c>
      <c r="F4593" t="inlineStr">
        <is>
          <t>Holmen skog AB</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46821-2023</t>
        </is>
      </c>
      <c r="B4594" s="1" t="n">
        <v>45198</v>
      </c>
      <c r="C4594" s="1" t="n">
        <v>46093</v>
      </c>
      <c r="D4594" t="inlineStr">
        <is>
          <t>VÄSTERNORRLANDS LÄN</t>
        </is>
      </c>
      <c r="E4594" t="inlineStr">
        <is>
          <t>ÖRNSKÖLDSVIK</t>
        </is>
      </c>
      <c r="F4594" t="inlineStr">
        <is>
          <t>SCA</t>
        </is>
      </c>
      <c r="G4594" t="n">
        <v>4.8</v>
      </c>
      <c r="H4594" t="n">
        <v>0</v>
      </c>
      <c r="I4594" t="n">
        <v>0</v>
      </c>
      <c r="J4594" t="n">
        <v>0</v>
      </c>
      <c r="K4594" t="n">
        <v>0</v>
      </c>
      <c r="L4594" t="n">
        <v>0</v>
      </c>
      <c r="M4594" t="n">
        <v>0</v>
      </c>
      <c r="N4594" t="n">
        <v>0</v>
      </c>
      <c r="O4594" t="n">
        <v>0</v>
      </c>
      <c r="P4594" t="n">
        <v>0</v>
      </c>
      <c r="Q4594" t="n">
        <v>0</v>
      </c>
      <c r="R4594" s="2" t="inlineStr"/>
    </row>
    <row r="4595" ht="15" customHeight="1">
      <c r="A4595" t="inlineStr">
        <is>
          <t>A 42568-2025</t>
        </is>
      </c>
      <c r="B4595" s="1" t="n">
        <v>45905.60607638889</v>
      </c>
      <c r="C4595" s="1" t="n">
        <v>46093</v>
      </c>
      <c r="D4595" t="inlineStr">
        <is>
          <t>VÄSTERNORRLANDS LÄN</t>
        </is>
      </c>
      <c r="E4595" t="inlineStr">
        <is>
          <t>ÖRNSKÖLDSVIK</t>
        </is>
      </c>
      <c r="F4595" t="inlineStr">
        <is>
          <t>Holmen skog AB</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279-2023</t>
        </is>
      </c>
      <c r="B4596" s="1" t="n">
        <v>44928</v>
      </c>
      <c r="C4596" s="1" t="n">
        <v>46093</v>
      </c>
      <c r="D4596" t="inlineStr">
        <is>
          <t>VÄSTERNORRLANDS LÄN</t>
        </is>
      </c>
      <c r="E4596" t="inlineStr">
        <is>
          <t>SOLLEFTEÅ</t>
        </is>
      </c>
      <c r="G4596" t="n">
        <v>9.800000000000001</v>
      </c>
      <c r="H4596" t="n">
        <v>0</v>
      </c>
      <c r="I4596" t="n">
        <v>0</v>
      </c>
      <c r="J4596" t="n">
        <v>0</v>
      </c>
      <c r="K4596" t="n">
        <v>0</v>
      </c>
      <c r="L4596" t="n">
        <v>0</v>
      </c>
      <c r="M4596" t="n">
        <v>0</v>
      </c>
      <c r="N4596" t="n">
        <v>0</v>
      </c>
      <c r="O4596" t="n">
        <v>0</v>
      </c>
      <c r="P4596" t="n">
        <v>0</v>
      </c>
      <c r="Q4596" t="n">
        <v>0</v>
      </c>
      <c r="R4596" s="2" t="inlineStr"/>
    </row>
    <row r="4597" ht="15" customHeight="1">
      <c r="A4597" t="inlineStr">
        <is>
          <t>A 287-2023</t>
        </is>
      </c>
      <c r="B4597" s="1" t="n">
        <v>44928</v>
      </c>
      <c r="C4597" s="1" t="n">
        <v>46093</v>
      </c>
      <c r="D4597" t="inlineStr">
        <is>
          <t>VÄSTERNORRLANDS LÄN</t>
        </is>
      </c>
      <c r="E4597" t="inlineStr">
        <is>
          <t>ÖRNSKÖLDSVIK</t>
        </is>
      </c>
      <c r="F4597" t="inlineStr">
        <is>
          <t>SCA</t>
        </is>
      </c>
      <c r="G4597" t="n">
        <v>0.2</v>
      </c>
      <c r="H4597" t="n">
        <v>0</v>
      </c>
      <c r="I4597" t="n">
        <v>0</v>
      </c>
      <c r="J4597" t="n">
        <v>0</v>
      </c>
      <c r="K4597" t="n">
        <v>0</v>
      </c>
      <c r="L4597" t="n">
        <v>0</v>
      </c>
      <c r="M4597" t="n">
        <v>0</v>
      </c>
      <c r="N4597" t="n">
        <v>0</v>
      </c>
      <c r="O4597" t="n">
        <v>0</v>
      </c>
      <c r="P4597" t="n">
        <v>0</v>
      </c>
      <c r="Q4597" t="n">
        <v>0</v>
      </c>
      <c r="R4597" s="2" t="inlineStr"/>
    </row>
    <row r="4598" ht="15" customHeight="1">
      <c r="A4598" t="inlineStr">
        <is>
          <t>A 2431-2025</t>
        </is>
      </c>
      <c r="B4598" s="1" t="n">
        <v>45674.40692129629</v>
      </c>
      <c r="C4598" s="1" t="n">
        <v>46093</v>
      </c>
      <c r="D4598" t="inlineStr">
        <is>
          <t>VÄSTERNORRLANDS LÄN</t>
        </is>
      </c>
      <c r="E4598" t="inlineStr">
        <is>
          <t>SOLLEFTEÅ</t>
        </is>
      </c>
      <c r="F4598" t="inlineStr">
        <is>
          <t>SCA</t>
        </is>
      </c>
      <c r="G4598" t="n">
        <v>19.2</v>
      </c>
      <c r="H4598" t="n">
        <v>0</v>
      </c>
      <c r="I4598" t="n">
        <v>0</v>
      </c>
      <c r="J4598" t="n">
        <v>0</v>
      </c>
      <c r="K4598" t="n">
        <v>0</v>
      </c>
      <c r="L4598" t="n">
        <v>0</v>
      </c>
      <c r="M4598" t="n">
        <v>0</v>
      </c>
      <c r="N4598" t="n">
        <v>0</v>
      </c>
      <c r="O4598" t="n">
        <v>0</v>
      </c>
      <c r="P4598" t="n">
        <v>0</v>
      </c>
      <c r="Q4598" t="n">
        <v>0</v>
      </c>
      <c r="R4598" s="2" t="inlineStr"/>
    </row>
    <row r="4599" ht="15" customHeight="1">
      <c r="A4599" t="inlineStr">
        <is>
          <t>A 4563-2025</t>
        </is>
      </c>
      <c r="B4599" s="1" t="n">
        <v>45687.46021990741</v>
      </c>
      <c r="C4599" s="1" t="n">
        <v>46093</v>
      </c>
      <c r="D4599" t="inlineStr">
        <is>
          <t>VÄSTERNORRLANDS LÄN</t>
        </is>
      </c>
      <c r="E4599" t="inlineStr">
        <is>
          <t>ÖRNSKÖLDSVIK</t>
        </is>
      </c>
      <c r="G4599" t="n">
        <v>3.4</v>
      </c>
      <c r="H4599" t="n">
        <v>0</v>
      </c>
      <c r="I4599" t="n">
        <v>0</v>
      </c>
      <c r="J4599" t="n">
        <v>0</v>
      </c>
      <c r="K4599" t="n">
        <v>0</v>
      </c>
      <c r="L4599" t="n">
        <v>0</v>
      </c>
      <c r="M4599" t="n">
        <v>0</v>
      </c>
      <c r="N4599" t="n">
        <v>0</v>
      </c>
      <c r="O4599" t="n">
        <v>0</v>
      </c>
      <c r="P4599" t="n">
        <v>0</v>
      </c>
      <c r="Q4599" t="n">
        <v>0</v>
      </c>
      <c r="R4599" s="2" t="inlineStr"/>
    </row>
    <row r="4600" ht="15" customHeight="1">
      <c r="A4600" t="inlineStr">
        <is>
          <t>A 39128-2025</t>
        </is>
      </c>
      <c r="B4600" s="1" t="n">
        <v>45884</v>
      </c>
      <c r="C4600" s="1" t="n">
        <v>46093</v>
      </c>
      <c r="D4600" t="inlineStr">
        <is>
          <t>VÄSTERNORRLANDS LÄN</t>
        </is>
      </c>
      <c r="E4600" t="inlineStr">
        <is>
          <t>KRAMFORS</t>
        </is>
      </c>
      <c r="G4600" t="n">
        <v>7.2</v>
      </c>
      <c r="H4600" t="n">
        <v>0</v>
      </c>
      <c r="I4600" t="n">
        <v>0</v>
      </c>
      <c r="J4600" t="n">
        <v>0</v>
      </c>
      <c r="K4600" t="n">
        <v>0</v>
      </c>
      <c r="L4600" t="n">
        <v>0</v>
      </c>
      <c r="M4600" t="n">
        <v>0</v>
      </c>
      <c r="N4600" t="n">
        <v>0</v>
      </c>
      <c r="O4600" t="n">
        <v>0</v>
      </c>
      <c r="P4600" t="n">
        <v>0</v>
      </c>
      <c r="Q4600" t="n">
        <v>0</v>
      </c>
      <c r="R4600" s="2" t="inlineStr"/>
    </row>
    <row r="4601" ht="15" customHeight="1">
      <c r="A4601" t="inlineStr">
        <is>
          <t>A 59761-2024</t>
        </is>
      </c>
      <c r="B4601" s="1" t="n">
        <v>45639.55269675926</v>
      </c>
      <c r="C4601" s="1" t="n">
        <v>46093</v>
      </c>
      <c r="D4601" t="inlineStr">
        <is>
          <t>VÄSTERNORRLANDS LÄN</t>
        </is>
      </c>
      <c r="E4601" t="inlineStr">
        <is>
          <t>SUNDSVALL</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16312-2025</t>
        </is>
      </c>
      <c r="B4602" s="1" t="n">
        <v>45751.3474074074</v>
      </c>
      <c r="C4602" s="1" t="n">
        <v>46093</v>
      </c>
      <c r="D4602" t="inlineStr">
        <is>
          <t>VÄSTERNORRLANDS LÄN</t>
        </is>
      </c>
      <c r="E4602" t="inlineStr">
        <is>
          <t>SOLLEFTEÅ</t>
        </is>
      </c>
      <c r="F4602" t="inlineStr">
        <is>
          <t>SCA</t>
        </is>
      </c>
      <c r="G4602" t="n">
        <v>3.8</v>
      </c>
      <c r="H4602" t="n">
        <v>0</v>
      </c>
      <c r="I4602" t="n">
        <v>0</v>
      </c>
      <c r="J4602" t="n">
        <v>0</v>
      </c>
      <c r="K4602" t="n">
        <v>0</v>
      </c>
      <c r="L4602" t="n">
        <v>0</v>
      </c>
      <c r="M4602" t="n">
        <v>0</v>
      </c>
      <c r="N4602" t="n">
        <v>0</v>
      </c>
      <c r="O4602" t="n">
        <v>0</v>
      </c>
      <c r="P4602" t="n">
        <v>0</v>
      </c>
      <c r="Q4602" t="n">
        <v>0</v>
      </c>
      <c r="R4602" s="2" t="inlineStr"/>
    </row>
    <row r="4603" ht="15" customHeight="1">
      <c r="A4603" t="inlineStr">
        <is>
          <t>A 16313-2025</t>
        </is>
      </c>
      <c r="B4603" s="1" t="n">
        <v>45751.34751157407</v>
      </c>
      <c r="C4603" s="1" t="n">
        <v>46093</v>
      </c>
      <c r="D4603" t="inlineStr">
        <is>
          <t>VÄSTERNORRLANDS LÄN</t>
        </is>
      </c>
      <c r="E4603" t="inlineStr">
        <is>
          <t>SUNDSVALL</t>
        </is>
      </c>
      <c r="F4603" t="inlineStr">
        <is>
          <t>SCA</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16315-2025</t>
        </is>
      </c>
      <c r="B4604" s="1" t="n">
        <v>45751.34780092593</v>
      </c>
      <c r="C4604" s="1" t="n">
        <v>46093</v>
      </c>
      <c r="D4604" t="inlineStr">
        <is>
          <t>VÄSTERNORRLANDS LÄN</t>
        </is>
      </c>
      <c r="E4604" t="inlineStr">
        <is>
          <t>ÖRNSKÖLDSVIK</t>
        </is>
      </c>
      <c r="F4604" t="inlineStr">
        <is>
          <t>SCA</t>
        </is>
      </c>
      <c r="G4604" t="n">
        <v>12.5</v>
      </c>
      <c r="H4604" t="n">
        <v>0</v>
      </c>
      <c r="I4604" t="n">
        <v>0</v>
      </c>
      <c r="J4604" t="n">
        <v>0</v>
      </c>
      <c r="K4604" t="n">
        <v>0</v>
      </c>
      <c r="L4604" t="n">
        <v>0</v>
      </c>
      <c r="M4604" t="n">
        <v>0</v>
      </c>
      <c r="N4604" t="n">
        <v>0</v>
      </c>
      <c r="O4604" t="n">
        <v>0</v>
      </c>
      <c r="P4604" t="n">
        <v>0</v>
      </c>
      <c r="Q4604" t="n">
        <v>0</v>
      </c>
      <c r="R4604" s="2" t="inlineStr"/>
    </row>
    <row r="4605" ht="15" customHeight="1">
      <c r="A4605" t="inlineStr">
        <is>
          <t>A 18430-2025</t>
        </is>
      </c>
      <c r="B4605" s="1" t="n">
        <v>45762.63576388889</v>
      </c>
      <c r="C4605" s="1" t="n">
        <v>46093</v>
      </c>
      <c r="D4605" t="inlineStr">
        <is>
          <t>VÄSTERNORRLANDS LÄN</t>
        </is>
      </c>
      <c r="E4605" t="inlineStr">
        <is>
          <t>ÅNGE</t>
        </is>
      </c>
      <c r="F4605" t="inlineStr">
        <is>
          <t>SCA</t>
        </is>
      </c>
      <c r="G4605" t="n">
        <v>4.5</v>
      </c>
      <c r="H4605" t="n">
        <v>0</v>
      </c>
      <c r="I4605" t="n">
        <v>0</v>
      </c>
      <c r="J4605" t="n">
        <v>0</v>
      </c>
      <c r="K4605" t="n">
        <v>0</v>
      </c>
      <c r="L4605" t="n">
        <v>0</v>
      </c>
      <c r="M4605" t="n">
        <v>0</v>
      </c>
      <c r="N4605" t="n">
        <v>0</v>
      </c>
      <c r="O4605" t="n">
        <v>0</v>
      </c>
      <c r="P4605" t="n">
        <v>0</v>
      </c>
      <c r="Q4605" t="n">
        <v>0</v>
      </c>
      <c r="R4605" s="2" t="inlineStr"/>
    </row>
    <row r="4606" ht="15" customHeight="1">
      <c r="A4606" t="inlineStr">
        <is>
          <t>A 18442-2025</t>
        </is>
      </c>
      <c r="B4606" s="1" t="n">
        <v>45762.65658564815</v>
      </c>
      <c r="C4606" s="1" t="n">
        <v>46093</v>
      </c>
      <c r="D4606" t="inlineStr">
        <is>
          <t>VÄSTERNORRLANDS LÄN</t>
        </is>
      </c>
      <c r="E4606" t="inlineStr">
        <is>
          <t>SOLLEFTEÅ</t>
        </is>
      </c>
      <c r="F4606" t="inlineStr">
        <is>
          <t>SCA</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42950-2024</t>
        </is>
      </c>
      <c r="B4607" s="1" t="n">
        <v>45567.36657407408</v>
      </c>
      <c r="C4607" s="1" t="n">
        <v>46093</v>
      </c>
      <c r="D4607" t="inlineStr">
        <is>
          <t>VÄSTERNORRLANDS LÄN</t>
        </is>
      </c>
      <c r="E4607" t="inlineStr">
        <is>
          <t>SOLLEFTEÅ</t>
        </is>
      </c>
      <c r="F4607" t="inlineStr">
        <is>
          <t>SCA</t>
        </is>
      </c>
      <c r="G4607" t="n">
        <v>4.3</v>
      </c>
      <c r="H4607" t="n">
        <v>0</v>
      </c>
      <c r="I4607" t="n">
        <v>0</v>
      </c>
      <c r="J4607" t="n">
        <v>0</v>
      </c>
      <c r="K4607" t="n">
        <v>0</v>
      </c>
      <c r="L4607" t="n">
        <v>0</v>
      </c>
      <c r="M4607" t="n">
        <v>0</v>
      </c>
      <c r="N4607" t="n">
        <v>0</v>
      </c>
      <c r="O4607" t="n">
        <v>0</v>
      </c>
      <c r="P4607" t="n">
        <v>0</v>
      </c>
      <c r="Q4607" t="n">
        <v>0</v>
      </c>
      <c r="R4607" s="2" t="inlineStr"/>
    </row>
    <row r="4608" ht="15" customHeight="1">
      <c r="A4608" t="inlineStr">
        <is>
          <t>A 42762-2025</t>
        </is>
      </c>
      <c r="B4608" s="1" t="n">
        <v>45905</v>
      </c>
      <c r="C4608" s="1" t="n">
        <v>46093</v>
      </c>
      <c r="D4608" t="inlineStr">
        <is>
          <t>VÄSTERNORRLANDS LÄN</t>
        </is>
      </c>
      <c r="E4608" t="inlineStr">
        <is>
          <t>SUNDSVALL</t>
        </is>
      </c>
      <c r="G4608" t="n">
        <v>3.8</v>
      </c>
      <c r="H4608" t="n">
        <v>0</v>
      </c>
      <c r="I4608" t="n">
        <v>0</v>
      </c>
      <c r="J4608" t="n">
        <v>0</v>
      </c>
      <c r="K4608" t="n">
        <v>0</v>
      </c>
      <c r="L4608" t="n">
        <v>0</v>
      </c>
      <c r="M4608" t="n">
        <v>0</v>
      </c>
      <c r="N4608" t="n">
        <v>0</v>
      </c>
      <c r="O4608" t="n">
        <v>0</v>
      </c>
      <c r="P4608" t="n">
        <v>0</v>
      </c>
      <c r="Q4608" t="n">
        <v>0</v>
      </c>
      <c r="R4608" s="2" t="inlineStr"/>
    </row>
    <row r="4609" ht="15" customHeight="1">
      <c r="A4609" t="inlineStr">
        <is>
          <t>A 6239-2022</t>
        </is>
      </c>
      <c r="B4609" s="1" t="n">
        <v>44599</v>
      </c>
      <c r="C4609" s="1" t="n">
        <v>46093</v>
      </c>
      <c r="D4609" t="inlineStr">
        <is>
          <t>VÄSTERNORRLANDS LÄN</t>
        </is>
      </c>
      <c r="E4609" t="inlineStr">
        <is>
          <t>SUNDSVALL</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42514-2025</t>
        </is>
      </c>
      <c r="B4610" s="1" t="n">
        <v>45905.5446875</v>
      </c>
      <c r="C4610" s="1" t="n">
        <v>46093</v>
      </c>
      <c r="D4610" t="inlineStr">
        <is>
          <t>VÄSTERNORRLANDS LÄN</t>
        </is>
      </c>
      <c r="E4610" t="inlineStr">
        <is>
          <t>HÄRNÖSAND</t>
        </is>
      </c>
      <c r="G4610" t="n">
        <v>3.6</v>
      </c>
      <c r="H4610" t="n">
        <v>0</v>
      </c>
      <c r="I4610" t="n">
        <v>0</v>
      </c>
      <c r="J4610" t="n">
        <v>0</v>
      </c>
      <c r="K4610" t="n">
        <v>0</v>
      </c>
      <c r="L4610" t="n">
        <v>0</v>
      </c>
      <c r="M4610" t="n">
        <v>0</v>
      </c>
      <c r="N4610" t="n">
        <v>0</v>
      </c>
      <c r="O4610" t="n">
        <v>0</v>
      </c>
      <c r="P4610" t="n">
        <v>0</v>
      </c>
      <c r="Q4610" t="n">
        <v>0</v>
      </c>
      <c r="R4610" s="2" t="inlineStr"/>
    </row>
    <row r="4611" ht="15" customHeight="1">
      <c r="A4611" t="inlineStr">
        <is>
          <t>A 43916-2023</t>
        </is>
      </c>
      <c r="B4611" s="1" t="n">
        <v>45187.72152777778</v>
      </c>
      <c r="C4611" s="1" t="n">
        <v>46093</v>
      </c>
      <c r="D4611" t="inlineStr">
        <is>
          <t>VÄSTERNORRLANDS LÄN</t>
        </is>
      </c>
      <c r="E4611" t="inlineStr">
        <is>
          <t>ÅNGE</t>
        </is>
      </c>
      <c r="G4611" t="n">
        <v>3.1</v>
      </c>
      <c r="H4611" t="n">
        <v>0</v>
      </c>
      <c r="I4611" t="n">
        <v>0</v>
      </c>
      <c r="J4611" t="n">
        <v>0</v>
      </c>
      <c r="K4611" t="n">
        <v>0</v>
      </c>
      <c r="L4611" t="n">
        <v>0</v>
      </c>
      <c r="M4611" t="n">
        <v>0</v>
      </c>
      <c r="N4611" t="n">
        <v>0</v>
      </c>
      <c r="O4611" t="n">
        <v>0</v>
      </c>
      <c r="P4611" t="n">
        <v>0</v>
      </c>
      <c r="Q4611" t="n">
        <v>0</v>
      </c>
      <c r="R4611" s="2" t="inlineStr"/>
    </row>
    <row r="4612" ht="15" customHeight="1">
      <c r="A4612" t="inlineStr">
        <is>
          <t>A 52326-2024</t>
        </is>
      </c>
      <c r="B4612" s="1" t="n">
        <v>45609.29506944444</v>
      </c>
      <c r="C4612" s="1" t="n">
        <v>46093</v>
      </c>
      <c r="D4612" t="inlineStr">
        <is>
          <t>VÄSTERNORRLANDS LÄN</t>
        </is>
      </c>
      <c r="E4612" t="inlineStr">
        <is>
          <t>ÖRNSKÖLDSVIK</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36095-2025</t>
        </is>
      </c>
      <c r="B4613" s="1" t="n">
        <v>45866.49006944444</v>
      </c>
      <c r="C4613" s="1" t="n">
        <v>46093</v>
      </c>
      <c r="D4613" t="inlineStr">
        <is>
          <t>VÄSTERNORRLANDS LÄN</t>
        </is>
      </c>
      <c r="E4613" t="inlineStr">
        <is>
          <t>SOLLEFTEÅ</t>
        </is>
      </c>
      <c r="G4613" t="n">
        <v>5</v>
      </c>
      <c r="H4613" t="n">
        <v>0</v>
      </c>
      <c r="I4613" t="n">
        <v>0</v>
      </c>
      <c r="J4613" t="n">
        <v>0</v>
      </c>
      <c r="K4613" t="n">
        <v>0</v>
      </c>
      <c r="L4613" t="n">
        <v>0</v>
      </c>
      <c r="M4613" t="n">
        <v>0</v>
      </c>
      <c r="N4613" t="n">
        <v>0</v>
      </c>
      <c r="O4613" t="n">
        <v>0</v>
      </c>
      <c r="P4613" t="n">
        <v>0</v>
      </c>
      <c r="Q4613" t="n">
        <v>0</v>
      </c>
      <c r="R4613" s="2" t="inlineStr"/>
    </row>
    <row r="4614" ht="15" customHeight="1">
      <c r="A4614" t="inlineStr">
        <is>
          <t>A 2177-2025</t>
        </is>
      </c>
      <c r="B4614" s="1" t="n">
        <v>45673.34099537037</v>
      </c>
      <c r="C4614" s="1" t="n">
        <v>46093</v>
      </c>
      <c r="D4614" t="inlineStr">
        <is>
          <t>VÄSTERNORRLANDS LÄN</t>
        </is>
      </c>
      <c r="E4614" t="inlineStr">
        <is>
          <t>ÖRNSKÖLDSVIK</t>
        </is>
      </c>
      <c r="G4614" t="n">
        <v>5.1</v>
      </c>
      <c r="H4614" t="n">
        <v>0</v>
      </c>
      <c r="I4614" t="n">
        <v>0</v>
      </c>
      <c r="J4614" t="n">
        <v>0</v>
      </c>
      <c r="K4614" t="n">
        <v>0</v>
      </c>
      <c r="L4614" t="n">
        <v>0</v>
      </c>
      <c r="M4614" t="n">
        <v>0</v>
      </c>
      <c r="N4614" t="n">
        <v>0</v>
      </c>
      <c r="O4614" t="n">
        <v>0</v>
      </c>
      <c r="P4614" t="n">
        <v>0</v>
      </c>
      <c r="Q4614" t="n">
        <v>0</v>
      </c>
      <c r="R4614" s="2" t="inlineStr"/>
    </row>
    <row r="4615" ht="15" customHeight="1">
      <c r="A4615" t="inlineStr">
        <is>
          <t>A 45363-2023</t>
        </is>
      </c>
      <c r="B4615" s="1" t="n">
        <v>45192.55768518519</v>
      </c>
      <c r="C4615" s="1" t="n">
        <v>46093</v>
      </c>
      <c r="D4615" t="inlineStr">
        <is>
          <t>VÄSTERNORRLANDS LÄN</t>
        </is>
      </c>
      <c r="E4615" t="inlineStr">
        <is>
          <t>ÖRNSKÖLDSVIK</t>
        </is>
      </c>
      <c r="G4615" t="n">
        <v>2.9</v>
      </c>
      <c r="H4615" t="n">
        <v>0</v>
      </c>
      <c r="I4615" t="n">
        <v>0</v>
      </c>
      <c r="J4615" t="n">
        <v>0</v>
      </c>
      <c r="K4615" t="n">
        <v>0</v>
      </c>
      <c r="L4615" t="n">
        <v>0</v>
      </c>
      <c r="M4615" t="n">
        <v>0</v>
      </c>
      <c r="N4615" t="n">
        <v>0</v>
      </c>
      <c r="O4615" t="n">
        <v>0</v>
      </c>
      <c r="P4615" t="n">
        <v>0</v>
      </c>
      <c r="Q4615" t="n">
        <v>0</v>
      </c>
      <c r="R4615" s="2" t="inlineStr"/>
    </row>
    <row r="4616" ht="15" customHeight="1">
      <c r="A4616" t="inlineStr">
        <is>
          <t>A 42789-2025</t>
        </is>
      </c>
      <c r="B4616" s="1" t="n">
        <v>45908</v>
      </c>
      <c r="C4616" s="1" t="n">
        <v>46093</v>
      </c>
      <c r="D4616" t="inlineStr">
        <is>
          <t>VÄSTERNORRLANDS LÄN</t>
        </is>
      </c>
      <c r="E4616" t="inlineStr">
        <is>
          <t>SOLLEFTEÅ</t>
        </is>
      </c>
      <c r="F4616" t="inlineStr">
        <is>
          <t>Holmen skog AB</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14464-2022</t>
        </is>
      </c>
      <c r="B4617" s="1" t="n">
        <v>44654</v>
      </c>
      <c r="C4617" s="1" t="n">
        <v>46093</v>
      </c>
      <c r="D4617" t="inlineStr">
        <is>
          <t>VÄSTERNORRLANDS LÄN</t>
        </is>
      </c>
      <c r="E4617" t="inlineStr">
        <is>
          <t>SUNDSVALL</t>
        </is>
      </c>
      <c r="G4617" t="n">
        <v>3.9</v>
      </c>
      <c r="H4617" t="n">
        <v>0</v>
      </c>
      <c r="I4617" t="n">
        <v>0</v>
      </c>
      <c r="J4617" t="n">
        <v>0</v>
      </c>
      <c r="K4617" t="n">
        <v>0</v>
      </c>
      <c r="L4617" t="n">
        <v>0</v>
      </c>
      <c r="M4617" t="n">
        <v>0</v>
      </c>
      <c r="N4617" t="n">
        <v>0</v>
      </c>
      <c r="O4617" t="n">
        <v>0</v>
      </c>
      <c r="P4617" t="n">
        <v>0</v>
      </c>
      <c r="Q4617" t="n">
        <v>0</v>
      </c>
      <c r="R4617" s="2" t="inlineStr"/>
    </row>
    <row r="4618" ht="15" customHeight="1">
      <c r="A4618" t="inlineStr">
        <is>
          <t>A 14466-2022</t>
        </is>
      </c>
      <c r="B4618" s="1" t="n">
        <v>44654</v>
      </c>
      <c r="C4618" s="1" t="n">
        <v>46093</v>
      </c>
      <c r="D4618" t="inlineStr">
        <is>
          <t>VÄSTERNORRLANDS LÄN</t>
        </is>
      </c>
      <c r="E4618" t="inlineStr">
        <is>
          <t>SUNDSVALL</t>
        </is>
      </c>
      <c r="G4618" t="n">
        <v>4.4</v>
      </c>
      <c r="H4618" t="n">
        <v>0</v>
      </c>
      <c r="I4618" t="n">
        <v>0</v>
      </c>
      <c r="J4618" t="n">
        <v>0</v>
      </c>
      <c r="K4618" t="n">
        <v>0</v>
      </c>
      <c r="L4618" t="n">
        <v>0</v>
      </c>
      <c r="M4618" t="n">
        <v>0</v>
      </c>
      <c r="N4618" t="n">
        <v>0</v>
      </c>
      <c r="O4618" t="n">
        <v>0</v>
      </c>
      <c r="P4618" t="n">
        <v>0</v>
      </c>
      <c r="Q4618" t="n">
        <v>0</v>
      </c>
      <c r="R4618" s="2" t="inlineStr"/>
    </row>
    <row r="4619" ht="15" customHeight="1">
      <c r="A4619" t="inlineStr">
        <is>
          <t>A 52396-2024</t>
        </is>
      </c>
      <c r="B4619" s="1" t="n">
        <v>45609.4396875</v>
      </c>
      <c r="C4619" s="1" t="n">
        <v>46093</v>
      </c>
      <c r="D4619" t="inlineStr">
        <is>
          <t>VÄSTERNORRLANDS LÄN</t>
        </is>
      </c>
      <c r="E4619" t="inlineStr">
        <is>
          <t>ÖRNSKÖLDSVIK</t>
        </is>
      </c>
      <c r="F4619" t="inlineStr">
        <is>
          <t>Holmen skog AB</t>
        </is>
      </c>
      <c r="G4619" t="n">
        <v>2.4</v>
      </c>
      <c r="H4619" t="n">
        <v>0</v>
      </c>
      <c r="I4619" t="n">
        <v>0</v>
      </c>
      <c r="J4619" t="n">
        <v>0</v>
      </c>
      <c r="K4619" t="n">
        <v>0</v>
      </c>
      <c r="L4619" t="n">
        <v>0</v>
      </c>
      <c r="M4619" t="n">
        <v>0</v>
      </c>
      <c r="N4619" t="n">
        <v>0</v>
      </c>
      <c r="O4619" t="n">
        <v>0</v>
      </c>
      <c r="P4619" t="n">
        <v>0</v>
      </c>
      <c r="Q4619" t="n">
        <v>0</v>
      </c>
      <c r="R4619" s="2" t="inlineStr"/>
    </row>
    <row r="4620" ht="15" customHeight="1">
      <c r="A4620" t="inlineStr">
        <is>
          <t>A 54532-2024</t>
        </is>
      </c>
      <c r="B4620" s="1" t="n">
        <v>45617.60480324074</v>
      </c>
      <c r="C4620" s="1" t="n">
        <v>46093</v>
      </c>
      <c r="D4620" t="inlineStr">
        <is>
          <t>VÄSTERNORRLANDS LÄN</t>
        </is>
      </c>
      <c r="E4620" t="inlineStr">
        <is>
          <t>SOLLEFTEÅ</t>
        </is>
      </c>
      <c r="G4620" t="n">
        <v>8.199999999999999</v>
      </c>
      <c r="H4620" t="n">
        <v>0</v>
      </c>
      <c r="I4620" t="n">
        <v>0</v>
      </c>
      <c r="J4620" t="n">
        <v>0</v>
      </c>
      <c r="K4620" t="n">
        <v>0</v>
      </c>
      <c r="L4620" t="n">
        <v>0</v>
      </c>
      <c r="M4620" t="n">
        <v>0</v>
      </c>
      <c r="N4620" t="n">
        <v>0</v>
      </c>
      <c r="O4620" t="n">
        <v>0</v>
      </c>
      <c r="P4620" t="n">
        <v>0</v>
      </c>
      <c r="Q4620" t="n">
        <v>0</v>
      </c>
      <c r="R4620" s="2" t="inlineStr"/>
    </row>
    <row r="4621" ht="15" customHeight="1">
      <c r="A4621" t="inlineStr">
        <is>
          <t>A 54560-2024</t>
        </is>
      </c>
      <c r="B4621" s="1" t="n">
        <v>45617</v>
      </c>
      <c r="C4621" s="1" t="n">
        <v>46093</v>
      </c>
      <c r="D4621" t="inlineStr">
        <is>
          <t>VÄSTERNORRLANDS LÄN</t>
        </is>
      </c>
      <c r="E4621" t="inlineStr">
        <is>
          <t>HÄRNÖSAND</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54561-2024</t>
        </is>
      </c>
      <c r="B4622" s="1" t="n">
        <v>45617.63383101852</v>
      </c>
      <c r="C4622" s="1" t="n">
        <v>46093</v>
      </c>
      <c r="D4622" t="inlineStr">
        <is>
          <t>VÄSTERNORRLANDS LÄN</t>
        </is>
      </c>
      <c r="E4622" t="inlineStr">
        <is>
          <t>ÖRNSKÖLDSVIK</t>
        </is>
      </c>
      <c r="F4622" t="inlineStr">
        <is>
          <t>Holmen skog AB</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16060-2022</t>
        </is>
      </c>
      <c r="B4623" s="1" t="n">
        <v>44665</v>
      </c>
      <c r="C4623" s="1" t="n">
        <v>46093</v>
      </c>
      <c r="D4623" t="inlineStr">
        <is>
          <t>VÄSTERNORRLANDS LÄN</t>
        </is>
      </c>
      <c r="E4623" t="inlineStr">
        <is>
          <t>ÖRNSKÖLDSVIK</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29125-2025</t>
        </is>
      </c>
      <c r="B4624" s="1" t="n">
        <v>45821.59459490741</v>
      </c>
      <c r="C4624" s="1" t="n">
        <v>46093</v>
      </c>
      <c r="D4624" t="inlineStr">
        <is>
          <t>VÄSTERNORRLANDS LÄN</t>
        </is>
      </c>
      <c r="E4624" t="inlineStr">
        <is>
          <t>SOLLEFTEÅ</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60916-2022</t>
        </is>
      </c>
      <c r="B4625" s="1" t="n">
        <v>44908</v>
      </c>
      <c r="C4625" s="1" t="n">
        <v>46093</v>
      </c>
      <c r="D4625" t="inlineStr">
        <is>
          <t>VÄSTERNORRLANDS LÄN</t>
        </is>
      </c>
      <c r="E4625" t="inlineStr">
        <is>
          <t>KRAMFORS</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25696-2025</t>
        </is>
      </c>
      <c r="B4626" s="1" t="n">
        <v>45803.66592592592</v>
      </c>
      <c r="C4626" s="1" t="n">
        <v>46093</v>
      </c>
      <c r="D4626" t="inlineStr">
        <is>
          <t>VÄSTERNORRLANDS LÄN</t>
        </is>
      </c>
      <c r="E4626" t="inlineStr">
        <is>
          <t>HÄRNÖSAND</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42450-2025</t>
        </is>
      </c>
      <c r="B4627" s="1" t="n">
        <v>45905.44320601852</v>
      </c>
      <c r="C4627" s="1" t="n">
        <v>46093</v>
      </c>
      <c r="D4627" t="inlineStr">
        <is>
          <t>VÄSTERNORRLANDS LÄN</t>
        </is>
      </c>
      <c r="E4627" t="inlineStr">
        <is>
          <t>ÖRNSKÖLDSVIK</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42451-2025</t>
        </is>
      </c>
      <c r="B4628" s="1" t="n">
        <v>45905.44340277778</v>
      </c>
      <c r="C4628" s="1" t="n">
        <v>46093</v>
      </c>
      <c r="D4628" t="inlineStr">
        <is>
          <t>VÄSTERNORRLANDS LÄN</t>
        </is>
      </c>
      <c r="E4628" t="inlineStr">
        <is>
          <t>ÖRNSKÖLDSVIK</t>
        </is>
      </c>
      <c r="G4628" t="n">
        <v>5.4</v>
      </c>
      <c r="H4628" t="n">
        <v>0</v>
      </c>
      <c r="I4628" t="n">
        <v>0</v>
      </c>
      <c r="J4628" t="n">
        <v>0</v>
      </c>
      <c r="K4628" t="n">
        <v>0</v>
      </c>
      <c r="L4628" t="n">
        <v>0</v>
      </c>
      <c r="M4628" t="n">
        <v>0</v>
      </c>
      <c r="N4628" t="n">
        <v>0</v>
      </c>
      <c r="O4628" t="n">
        <v>0</v>
      </c>
      <c r="P4628" t="n">
        <v>0</v>
      </c>
      <c r="Q4628" t="n">
        <v>0</v>
      </c>
      <c r="R4628" s="2" t="inlineStr"/>
    </row>
    <row r="4629" ht="15" customHeight="1">
      <c r="A4629" t="inlineStr">
        <is>
          <t>A 42808-2025</t>
        </is>
      </c>
      <c r="B4629" s="1" t="n">
        <v>45908.55265046296</v>
      </c>
      <c r="C4629" s="1" t="n">
        <v>46093</v>
      </c>
      <c r="D4629" t="inlineStr">
        <is>
          <t>VÄSTERNORRLANDS LÄN</t>
        </is>
      </c>
      <c r="E4629" t="inlineStr">
        <is>
          <t>SOLLEFTEÅ</t>
        </is>
      </c>
      <c r="F4629" t="inlineStr">
        <is>
          <t>SCA</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59626-2022</t>
        </is>
      </c>
      <c r="B4630" s="1" t="n">
        <v>44907.92354166666</v>
      </c>
      <c r="C4630" s="1" t="n">
        <v>46093</v>
      </c>
      <c r="D4630" t="inlineStr">
        <is>
          <t>VÄSTERNORRLANDS LÄN</t>
        </is>
      </c>
      <c r="E4630" t="inlineStr">
        <is>
          <t>ÅNGE</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19699-2025</t>
        </is>
      </c>
      <c r="B4631" s="1" t="n">
        <v>45771.32137731482</v>
      </c>
      <c r="C4631" s="1" t="n">
        <v>46093</v>
      </c>
      <c r="D4631" t="inlineStr">
        <is>
          <t>VÄSTERNORRLANDS LÄN</t>
        </is>
      </c>
      <c r="E4631" t="inlineStr">
        <is>
          <t>SUNDSVALL</t>
        </is>
      </c>
      <c r="G4631" t="n">
        <v>8.800000000000001</v>
      </c>
      <c r="H4631" t="n">
        <v>0</v>
      </c>
      <c r="I4631" t="n">
        <v>0</v>
      </c>
      <c r="J4631" t="n">
        <v>0</v>
      </c>
      <c r="K4631" t="n">
        <v>0</v>
      </c>
      <c r="L4631" t="n">
        <v>0</v>
      </c>
      <c r="M4631" t="n">
        <v>0</v>
      </c>
      <c r="N4631" t="n">
        <v>0</v>
      </c>
      <c r="O4631" t="n">
        <v>0</v>
      </c>
      <c r="P4631" t="n">
        <v>0</v>
      </c>
      <c r="Q4631" t="n">
        <v>0</v>
      </c>
      <c r="R4631" s="2" t="inlineStr"/>
    </row>
    <row r="4632" ht="15" customHeight="1">
      <c r="A4632" t="inlineStr">
        <is>
          <t>A 42786-2025</t>
        </is>
      </c>
      <c r="B4632" s="1" t="n">
        <v>45908.51097222222</v>
      </c>
      <c r="C4632" s="1" t="n">
        <v>46093</v>
      </c>
      <c r="D4632" t="inlineStr">
        <is>
          <t>VÄSTERNORRLANDS LÄN</t>
        </is>
      </c>
      <c r="E4632" t="inlineStr">
        <is>
          <t>ÅNGE</t>
        </is>
      </c>
      <c r="G4632" t="n">
        <v>0.4</v>
      </c>
      <c r="H4632" t="n">
        <v>0</v>
      </c>
      <c r="I4632" t="n">
        <v>0</v>
      </c>
      <c r="J4632" t="n">
        <v>0</v>
      </c>
      <c r="K4632" t="n">
        <v>0</v>
      </c>
      <c r="L4632" t="n">
        <v>0</v>
      </c>
      <c r="M4632" t="n">
        <v>0</v>
      </c>
      <c r="N4632" t="n">
        <v>0</v>
      </c>
      <c r="O4632" t="n">
        <v>0</v>
      </c>
      <c r="P4632" t="n">
        <v>0</v>
      </c>
      <c r="Q4632" t="n">
        <v>0</v>
      </c>
      <c r="R4632" s="2" t="inlineStr"/>
    </row>
    <row r="4633" ht="15" customHeight="1">
      <c r="A4633" t="inlineStr">
        <is>
          <t>A 11551-2023</t>
        </is>
      </c>
      <c r="B4633" s="1" t="n">
        <v>44993</v>
      </c>
      <c r="C4633" s="1" t="n">
        <v>46093</v>
      </c>
      <c r="D4633" t="inlineStr">
        <is>
          <t>VÄSTERNORRLANDS LÄN</t>
        </is>
      </c>
      <c r="E4633" t="inlineStr">
        <is>
          <t>SOLLEFTEÅ</t>
        </is>
      </c>
      <c r="G4633" t="n">
        <v>4.9</v>
      </c>
      <c r="H4633" t="n">
        <v>0</v>
      </c>
      <c r="I4633" t="n">
        <v>0</v>
      </c>
      <c r="J4633" t="n">
        <v>0</v>
      </c>
      <c r="K4633" t="n">
        <v>0</v>
      </c>
      <c r="L4633" t="n">
        <v>0</v>
      </c>
      <c r="M4633" t="n">
        <v>0</v>
      </c>
      <c r="N4633" t="n">
        <v>0</v>
      </c>
      <c r="O4633" t="n">
        <v>0</v>
      </c>
      <c r="P4633" t="n">
        <v>0</v>
      </c>
      <c r="Q4633" t="n">
        <v>0</v>
      </c>
      <c r="R4633" s="2" t="inlineStr"/>
    </row>
    <row r="4634" ht="15" customHeight="1">
      <c r="A4634" t="inlineStr">
        <is>
          <t>A 10093-2023</t>
        </is>
      </c>
      <c r="B4634" s="1" t="n">
        <v>44985</v>
      </c>
      <c r="C4634" s="1" t="n">
        <v>46093</v>
      </c>
      <c r="D4634" t="inlineStr">
        <is>
          <t>VÄSTERNORRLANDS LÄN</t>
        </is>
      </c>
      <c r="E4634" t="inlineStr">
        <is>
          <t>SOLLEFTEÅ</t>
        </is>
      </c>
      <c r="F4634" t="inlineStr">
        <is>
          <t>SCA</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10094-2023</t>
        </is>
      </c>
      <c r="B4635" s="1" t="n">
        <v>44985</v>
      </c>
      <c r="C4635" s="1" t="n">
        <v>46093</v>
      </c>
      <c r="D4635" t="inlineStr">
        <is>
          <t>VÄSTERNORRLANDS LÄN</t>
        </is>
      </c>
      <c r="E4635" t="inlineStr">
        <is>
          <t>SOLLEFTEÅ</t>
        </is>
      </c>
      <c r="F4635" t="inlineStr">
        <is>
          <t>SCA</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42846-2025</t>
        </is>
      </c>
      <c r="B4636" s="1" t="n">
        <v>45908.59391203704</v>
      </c>
      <c r="C4636" s="1" t="n">
        <v>46093</v>
      </c>
      <c r="D4636" t="inlineStr">
        <is>
          <t>VÄSTERNORRLANDS LÄN</t>
        </is>
      </c>
      <c r="E4636" t="inlineStr">
        <is>
          <t>ÖRNSKÖLDSVIK</t>
        </is>
      </c>
      <c r="G4636" t="n">
        <v>2.6</v>
      </c>
      <c r="H4636" t="n">
        <v>0</v>
      </c>
      <c r="I4636" t="n">
        <v>0</v>
      </c>
      <c r="J4636" t="n">
        <v>0</v>
      </c>
      <c r="K4636" t="n">
        <v>0</v>
      </c>
      <c r="L4636" t="n">
        <v>0</v>
      </c>
      <c r="M4636" t="n">
        <v>0</v>
      </c>
      <c r="N4636" t="n">
        <v>0</v>
      </c>
      <c r="O4636" t="n">
        <v>0</v>
      </c>
      <c r="P4636" t="n">
        <v>0</v>
      </c>
      <c r="Q4636" t="n">
        <v>0</v>
      </c>
      <c r="R4636" s="2" t="inlineStr"/>
    </row>
    <row r="4637" ht="15" customHeight="1">
      <c r="A4637" t="inlineStr">
        <is>
          <t>A 60171-2022</t>
        </is>
      </c>
      <c r="B4637" s="1" t="n">
        <v>44909</v>
      </c>
      <c r="C4637" s="1" t="n">
        <v>46093</v>
      </c>
      <c r="D4637" t="inlineStr">
        <is>
          <t>VÄSTERNORRLANDS LÄN</t>
        </is>
      </c>
      <c r="E4637" t="inlineStr">
        <is>
          <t>SOLLEFTEÅ</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52718-2022</t>
        </is>
      </c>
      <c r="B4638" s="1" t="n">
        <v>44874</v>
      </c>
      <c r="C4638" s="1" t="n">
        <v>46093</v>
      </c>
      <c r="D4638" t="inlineStr">
        <is>
          <t>VÄSTERNORRLANDS LÄN</t>
        </is>
      </c>
      <c r="E4638" t="inlineStr">
        <is>
          <t>SOLLEFTEÅ</t>
        </is>
      </c>
      <c r="G4638" t="n">
        <v>3</v>
      </c>
      <c r="H4638" t="n">
        <v>0</v>
      </c>
      <c r="I4638" t="n">
        <v>0</v>
      </c>
      <c r="J4638" t="n">
        <v>0</v>
      </c>
      <c r="K4638" t="n">
        <v>0</v>
      </c>
      <c r="L4638" t="n">
        <v>0</v>
      </c>
      <c r="M4638" t="n">
        <v>0</v>
      </c>
      <c r="N4638" t="n">
        <v>0</v>
      </c>
      <c r="O4638" t="n">
        <v>0</v>
      </c>
      <c r="P4638" t="n">
        <v>0</v>
      </c>
      <c r="Q4638" t="n">
        <v>0</v>
      </c>
      <c r="R4638" s="2" t="inlineStr"/>
    </row>
    <row r="4639" ht="15" customHeight="1">
      <c r="A4639" t="inlineStr">
        <is>
          <t>A 22861-2023</t>
        </is>
      </c>
      <c r="B4639" s="1" t="n">
        <v>45070</v>
      </c>
      <c r="C4639" s="1" t="n">
        <v>46093</v>
      </c>
      <c r="D4639" t="inlineStr">
        <is>
          <t>VÄSTERNORRLANDS LÄN</t>
        </is>
      </c>
      <c r="E4639" t="inlineStr">
        <is>
          <t>ÖRNSKÖLDSVIK</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3234-2024</t>
        </is>
      </c>
      <c r="B4640" s="1" t="n">
        <v>45316.94708333333</v>
      </c>
      <c r="C4640" s="1" t="n">
        <v>46093</v>
      </c>
      <c r="D4640" t="inlineStr">
        <is>
          <t>VÄSTERNORRLANDS LÄN</t>
        </is>
      </c>
      <c r="E4640" t="inlineStr">
        <is>
          <t>SOLLEFTEÅ</t>
        </is>
      </c>
      <c r="F4640" t="inlineStr">
        <is>
          <t>SCA</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3236-2024</t>
        </is>
      </c>
      <c r="B4641" s="1" t="n">
        <v>45316.94725694445</v>
      </c>
      <c r="C4641" s="1" t="n">
        <v>46093</v>
      </c>
      <c r="D4641" t="inlineStr">
        <is>
          <t>VÄSTERNORRLANDS LÄN</t>
        </is>
      </c>
      <c r="E4641" t="inlineStr">
        <is>
          <t>SUNDSVALL</t>
        </is>
      </c>
      <c r="F4641" t="inlineStr">
        <is>
          <t>SCA</t>
        </is>
      </c>
      <c r="G4641" t="n">
        <v>2.8</v>
      </c>
      <c r="H4641" t="n">
        <v>0</v>
      </c>
      <c r="I4641" t="n">
        <v>0</v>
      </c>
      <c r="J4641" t="n">
        <v>0</v>
      </c>
      <c r="K4641" t="n">
        <v>0</v>
      </c>
      <c r="L4641" t="n">
        <v>0</v>
      </c>
      <c r="M4641" t="n">
        <v>0</v>
      </c>
      <c r="N4641" t="n">
        <v>0</v>
      </c>
      <c r="O4641" t="n">
        <v>0</v>
      </c>
      <c r="P4641" t="n">
        <v>0</v>
      </c>
      <c r="Q4641" t="n">
        <v>0</v>
      </c>
      <c r="R4641" s="2" t="inlineStr"/>
    </row>
    <row r="4642" ht="15" customHeight="1">
      <c r="A4642" t="inlineStr">
        <is>
          <t>A 3249-2024</t>
        </is>
      </c>
      <c r="B4642" s="1" t="n">
        <v>45316</v>
      </c>
      <c r="C4642" s="1" t="n">
        <v>46093</v>
      </c>
      <c r="D4642" t="inlineStr">
        <is>
          <t>VÄSTERNORRLANDS LÄN</t>
        </is>
      </c>
      <c r="E4642" t="inlineStr">
        <is>
          <t>ÅNGE</t>
        </is>
      </c>
      <c r="G4642" t="n">
        <v>0.3</v>
      </c>
      <c r="H4642" t="n">
        <v>0</v>
      </c>
      <c r="I4642" t="n">
        <v>0</v>
      </c>
      <c r="J4642" t="n">
        <v>0</v>
      </c>
      <c r="K4642" t="n">
        <v>0</v>
      </c>
      <c r="L4642" t="n">
        <v>0</v>
      </c>
      <c r="M4642" t="n">
        <v>0</v>
      </c>
      <c r="N4642" t="n">
        <v>0</v>
      </c>
      <c r="O4642" t="n">
        <v>0</v>
      </c>
      <c r="P4642" t="n">
        <v>0</v>
      </c>
      <c r="Q4642" t="n">
        <v>0</v>
      </c>
      <c r="R4642" s="2" t="inlineStr"/>
    </row>
    <row r="4643" ht="15" customHeight="1">
      <c r="A4643" t="inlineStr">
        <is>
          <t>A 37749-2025</t>
        </is>
      </c>
      <c r="B4643" s="1" t="n">
        <v>45880.66991898148</v>
      </c>
      <c r="C4643" s="1" t="n">
        <v>46093</v>
      </c>
      <c r="D4643" t="inlineStr">
        <is>
          <t>VÄSTERNORRLANDS LÄN</t>
        </is>
      </c>
      <c r="E4643" t="inlineStr">
        <is>
          <t>ÖRNSKÖLDSVIK</t>
        </is>
      </c>
      <c r="F4643" t="inlineStr">
        <is>
          <t>Holmen skog AB</t>
        </is>
      </c>
      <c r="G4643" t="n">
        <v>7.3</v>
      </c>
      <c r="H4643" t="n">
        <v>0</v>
      </c>
      <c r="I4643" t="n">
        <v>0</v>
      </c>
      <c r="J4643" t="n">
        <v>0</v>
      </c>
      <c r="K4643" t="n">
        <v>0</v>
      </c>
      <c r="L4643" t="n">
        <v>0</v>
      </c>
      <c r="M4643" t="n">
        <v>0</v>
      </c>
      <c r="N4643" t="n">
        <v>0</v>
      </c>
      <c r="O4643" t="n">
        <v>0</v>
      </c>
      <c r="P4643" t="n">
        <v>0</v>
      </c>
      <c r="Q4643" t="n">
        <v>0</v>
      </c>
      <c r="R4643" s="2" t="inlineStr"/>
    </row>
    <row r="4644" ht="15" customHeight="1">
      <c r="A4644" t="inlineStr">
        <is>
          <t>A 35646-2025</t>
        </is>
      </c>
      <c r="B4644" s="1" t="n">
        <v>45859.49032407408</v>
      </c>
      <c r="C4644" s="1" t="n">
        <v>46093</v>
      </c>
      <c r="D4644" t="inlineStr">
        <is>
          <t>VÄSTERNORRLANDS LÄN</t>
        </is>
      </c>
      <c r="E4644" t="inlineStr">
        <is>
          <t>KRAMFORS</t>
        </is>
      </c>
      <c r="G4644" t="n">
        <v>9.199999999999999</v>
      </c>
      <c r="H4644" t="n">
        <v>0</v>
      </c>
      <c r="I4644" t="n">
        <v>0</v>
      </c>
      <c r="J4644" t="n">
        <v>0</v>
      </c>
      <c r="K4644" t="n">
        <v>0</v>
      </c>
      <c r="L4644" t="n">
        <v>0</v>
      </c>
      <c r="M4644" t="n">
        <v>0</v>
      </c>
      <c r="N4644" t="n">
        <v>0</v>
      </c>
      <c r="O4644" t="n">
        <v>0</v>
      </c>
      <c r="P4644" t="n">
        <v>0</v>
      </c>
      <c r="Q4644" t="n">
        <v>0</v>
      </c>
      <c r="R4644" s="2" t="inlineStr"/>
    </row>
    <row r="4645" ht="15" customHeight="1">
      <c r="A4645" t="inlineStr">
        <is>
          <t>A 51823-2023</t>
        </is>
      </c>
      <c r="B4645" s="1" t="n">
        <v>45222.96744212963</v>
      </c>
      <c r="C4645" s="1" t="n">
        <v>46093</v>
      </c>
      <c r="D4645" t="inlineStr">
        <is>
          <t>VÄSTERNORRLANDS LÄN</t>
        </is>
      </c>
      <c r="E4645" t="inlineStr">
        <is>
          <t>SUNDSVALL</t>
        </is>
      </c>
      <c r="F4645" t="inlineStr">
        <is>
          <t>SCA</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42419-2025</t>
        </is>
      </c>
      <c r="B4646" s="1" t="n">
        <v>45905</v>
      </c>
      <c r="C4646" s="1" t="n">
        <v>46093</v>
      </c>
      <c r="D4646" t="inlineStr">
        <is>
          <t>VÄSTERNORRLANDS LÄN</t>
        </is>
      </c>
      <c r="E4646" t="inlineStr">
        <is>
          <t>ÖRNSKÖLDSVIK</t>
        </is>
      </c>
      <c r="G4646" t="n">
        <v>2.6</v>
      </c>
      <c r="H4646" t="n">
        <v>0</v>
      </c>
      <c r="I4646" t="n">
        <v>0</v>
      </c>
      <c r="J4646" t="n">
        <v>0</v>
      </c>
      <c r="K4646" t="n">
        <v>0</v>
      </c>
      <c r="L4646" t="n">
        <v>0</v>
      </c>
      <c r="M4646" t="n">
        <v>0</v>
      </c>
      <c r="N4646" t="n">
        <v>0</v>
      </c>
      <c r="O4646" t="n">
        <v>0</v>
      </c>
      <c r="P4646" t="n">
        <v>0</v>
      </c>
      <c r="Q4646" t="n">
        <v>0</v>
      </c>
      <c r="R4646" s="2" t="inlineStr"/>
    </row>
    <row r="4647" ht="15" customHeight="1">
      <c r="A4647" t="inlineStr">
        <is>
          <t>A 18348-2025</t>
        </is>
      </c>
      <c r="B4647" s="1" t="n">
        <v>45762.52983796296</v>
      </c>
      <c r="C4647" s="1" t="n">
        <v>46093</v>
      </c>
      <c r="D4647" t="inlineStr">
        <is>
          <t>VÄSTERNORRLANDS LÄN</t>
        </is>
      </c>
      <c r="E4647" t="inlineStr">
        <is>
          <t>HÄRNÖSAND</t>
        </is>
      </c>
      <c r="G4647" t="n">
        <v>0.4</v>
      </c>
      <c r="H4647" t="n">
        <v>0</v>
      </c>
      <c r="I4647" t="n">
        <v>0</v>
      </c>
      <c r="J4647" t="n">
        <v>0</v>
      </c>
      <c r="K4647" t="n">
        <v>0</v>
      </c>
      <c r="L4647" t="n">
        <v>0</v>
      </c>
      <c r="M4647" t="n">
        <v>0</v>
      </c>
      <c r="N4647" t="n">
        <v>0</v>
      </c>
      <c r="O4647" t="n">
        <v>0</v>
      </c>
      <c r="P4647" t="n">
        <v>0</v>
      </c>
      <c r="Q4647" t="n">
        <v>0</v>
      </c>
      <c r="R4647" s="2" t="inlineStr"/>
    </row>
    <row r="4648" ht="15" customHeight="1">
      <c r="A4648" t="inlineStr">
        <is>
          <t>A 61445-2022</t>
        </is>
      </c>
      <c r="B4648" s="1" t="n">
        <v>44916.396875</v>
      </c>
      <c r="C4648" s="1" t="n">
        <v>46093</v>
      </c>
      <c r="D4648" t="inlineStr">
        <is>
          <t>VÄSTERNORRLANDS LÄN</t>
        </is>
      </c>
      <c r="E4648" t="inlineStr">
        <is>
          <t>ÖRNSKÖLDSVIK</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48558-2023</t>
        </is>
      </c>
      <c r="B4649" s="1" t="n">
        <v>45202</v>
      </c>
      <c r="C4649" s="1" t="n">
        <v>46093</v>
      </c>
      <c r="D4649" t="inlineStr">
        <is>
          <t>VÄSTERNORRLANDS LÄN</t>
        </is>
      </c>
      <c r="E4649" t="inlineStr">
        <is>
          <t>KRAMFORS</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20255-2023</t>
        </is>
      </c>
      <c r="B4650" s="1" t="n">
        <v>45055</v>
      </c>
      <c r="C4650" s="1" t="n">
        <v>46093</v>
      </c>
      <c r="D4650" t="inlineStr">
        <is>
          <t>VÄSTERNORRLANDS LÄN</t>
        </is>
      </c>
      <c r="E4650" t="inlineStr">
        <is>
          <t>ÅNGE</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5035-2025</t>
        </is>
      </c>
      <c r="B4651" s="1" t="n">
        <v>45691</v>
      </c>
      <c r="C4651" s="1" t="n">
        <v>46093</v>
      </c>
      <c r="D4651" t="inlineStr">
        <is>
          <t>VÄSTERNORRLANDS LÄN</t>
        </is>
      </c>
      <c r="E4651" t="inlineStr">
        <is>
          <t>ÅNGE</t>
        </is>
      </c>
      <c r="F4651" t="inlineStr">
        <is>
          <t>SCA</t>
        </is>
      </c>
      <c r="G4651" t="n">
        <v>3.2</v>
      </c>
      <c r="H4651" t="n">
        <v>0</v>
      </c>
      <c r="I4651" t="n">
        <v>0</v>
      </c>
      <c r="J4651" t="n">
        <v>0</v>
      </c>
      <c r="K4651" t="n">
        <v>0</v>
      </c>
      <c r="L4651" t="n">
        <v>0</v>
      </c>
      <c r="M4651" t="n">
        <v>0</v>
      </c>
      <c r="N4651" t="n">
        <v>0</v>
      </c>
      <c r="O4651" t="n">
        <v>0</v>
      </c>
      <c r="P4651" t="n">
        <v>0</v>
      </c>
      <c r="Q4651" t="n">
        <v>0</v>
      </c>
      <c r="R4651" s="2" t="inlineStr"/>
    </row>
    <row r="4652" ht="15" customHeight="1">
      <c r="A4652" t="inlineStr">
        <is>
          <t>A 42428-2025</t>
        </is>
      </c>
      <c r="B4652" s="1" t="n">
        <v>45905.4219212963</v>
      </c>
      <c r="C4652" s="1" t="n">
        <v>46093</v>
      </c>
      <c r="D4652" t="inlineStr">
        <is>
          <t>VÄSTERNORRLANDS LÄN</t>
        </is>
      </c>
      <c r="E4652" t="inlineStr">
        <is>
          <t>SUNDSVALL</t>
        </is>
      </c>
      <c r="G4652" t="n">
        <v>8.1</v>
      </c>
      <c r="H4652" t="n">
        <v>0</v>
      </c>
      <c r="I4652" t="n">
        <v>0</v>
      </c>
      <c r="J4652" t="n">
        <v>0</v>
      </c>
      <c r="K4652" t="n">
        <v>0</v>
      </c>
      <c r="L4652" t="n">
        <v>0</v>
      </c>
      <c r="M4652" t="n">
        <v>0</v>
      </c>
      <c r="N4652" t="n">
        <v>0</v>
      </c>
      <c r="O4652" t="n">
        <v>0</v>
      </c>
      <c r="P4652" t="n">
        <v>0</v>
      </c>
      <c r="Q4652" t="n">
        <v>0</v>
      </c>
      <c r="R4652" s="2" t="inlineStr"/>
    </row>
    <row r="4653" ht="15" customHeight="1">
      <c r="A4653" t="inlineStr">
        <is>
          <t>A 19633-2025</t>
        </is>
      </c>
      <c r="B4653" s="1" t="n">
        <v>45770.64655092593</v>
      </c>
      <c r="C4653" s="1" t="n">
        <v>46093</v>
      </c>
      <c r="D4653" t="inlineStr">
        <is>
          <t>VÄSTERNORRLANDS LÄN</t>
        </is>
      </c>
      <c r="E4653" t="inlineStr">
        <is>
          <t>SOLLEFTEÅ</t>
        </is>
      </c>
      <c r="G4653" t="n">
        <v>9.9</v>
      </c>
      <c r="H4653" t="n">
        <v>0</v>
      </c>
      <c r="I4653" t="n">
        <v>0</v>
      </c>
      <c r="J4653" t="n">
        <v>0</v>
      </c>
      <c r="K4653" t="n">
        <v>0</v>
      </c>
      <c r="L4653" t="n">
        <v>0</v>
      </c>
      <c r="M4653" t="n">
        <v>0</v>
      </c>
      <c r="N4653" t="n">
        <v>0</v>
      </c>
      <c r="O4653" t="n">
        <v>0</v>
      </c>
      <c r="P4653" t="n">
        <v>0</v>
      </c>
      <c r="Q4653" t="n">
        <v>0</v>
      </c>
      <c r="R4653" s="2" t="inlineStr"/>
    </row>
    <row r="4654" ht="15" customHeight="1">
      <c r="A4654" t="inlineStr">
        <is>
          <t>A 25367-2025</t>
        </is>
      </c>
      <c r="B4654" s="1" t="n">
        <v>45799</v>
      </c>
      <c r="C4654" s="1" t="n">
        <v>46093</v>
      </c>
      <c r="D4654" t="inlineStr">
        <is>
          <t>VÄSTERNORRLANDS LÄN</t>
        </is>
      </c>
      <c r="E4654" t="inlineStr">
        <is>
          <t>HÄRNÖSAND</t>
        </is>
      </c>
      <c r="G4654" t="n">
        <v>5.9</v>
      </c>
      <c r="H4654" t="n">
        <v>0</v>
      </c>
      <c r="I4654" t="n">
        <v>0</v>
      </c>
      <c r="J4654" t="n">
        <v>0</v>
      </c>
      <c r="K4654" t="n">
        <v>0</v>
      </c>
      <c r="L4654" t="n">
        <v>0</v>
      </c>
      <c r="M4654" t="n">
        <v>0</v>
      </c>
      <c r="N4654" t="n">
        <v>0</v>
      </c>
      <c r="O4654" t="n">
        <v>0</v>
      </c>
      <c r="P4654" t="n">
        <v>0</v>
      </c>
      <c r="Q4654" t="n">
        <v>0</v>
      </c>
      <c r="R4654" s="2" t="inlineStr"/>
    </row>
    <row r="4655" ht="15" customHeight="1">
      <c r="A4655" t="inlineStr">
        <is>
          <t>A 35618-2024</t>
        </is>
      </c>
      <c r="B4655" s="1" t="n">
        <v>45531</v>
      </c>
      <c r="C4655" s="1" t="n">
        <v>46093</v>
      </c>
      <c r="D4655" t="inlineStr">
        <is>
          <t>VÄSTERNORRLANDS LÄN</t>
        </is>
      </c>
      <c r="E4655" t="inlineStr">
        <is>
          <t>ÖRNSKÖLDSVIK</t>
        </is>
      </c>
      <c r="G4655" t="n">
        <v>13.1</v>
      </c>
      <c r="H4655" t="n">
        <v>0</v>
      </c>
      <c r="I4655" t="n">
        <v>0</v>
      </c>
      <c r="J4655" t="n">
        <v>0</v>
      </c>
      <c r="K4655" t="n">
        <v>0</v>
      </c>
      <c r="L4655" t="n">
        <v>0</v>
      </c>
      <c r="M4655" t="n">
        <v>0</v>
      </c>
      <c r="N4655" t="n">
        <v>0</v>
      </c>
      <c r="O4655" t="n">
        <v>0</v>
      </c>
      <c r="P4655" t="n">
        <v>0</v>
      </c>
      <c r="Q4655" t="n">
        <v>0</v>
      </c>
      <c r="R4655" s="2" t="inlineStr"/>
    </row>
    <row r="4656" ht="15" customHeight="1">
      <c r="A4656" t="inlineStr">
        <is>
          <t>A 23527-2023</t>
        </is>
      </c>
      <c r="B4656" s="1" t="n">
        <v>45076</v>
      </c>
      <c r="C4656" s="1" t="n">
        <v>46093</v>
      </c>
      <c r="D4656" t="inlineStr">
        <is>
          <t>VÄSTERNORRLANDS LÄN</t>
        </is>
      </c>
      <c r="E4656" t="inlineStr">
        <is>
          <t>SOLLEFTEÅ</t>
        </is>
      </c>
      <c r="F4656" t="inlineStr">
        <is>
          <t>SCA</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45966-2023</t>
        </is>
      </c>
      <c r="B4657" s="1" t="n">
        <v>45195</v>
      </c>
      <c r="C4657" s="1" t="n">
        <v>46093</v>
      </c>
      <c r="D4657" t="inlineStr">
        <is>
          <t>VÄSTERNORRLANDS LÄN</t>
        </is>
      </c>
      <c r="E4657" t="inlineStr">
        <is>
          <t>ÖRNSKÖLDSVIK</t>
        </is>
      </c>
      <c r="F4657" t="inlineStr">
        <is>
          <t>SCA</t>
        </is>
      </c>
      <c r="G4657" t="n">
        <v>3.4</v>
      </c>
      <c r="H4657" t="n">
        <v>0</v>
      </c>
      <c r="I4657" t="n">
        <v>0</v>
      </c>
      <c r="J4657" t="n">
        <v>0</v>
      </c>
      <c r="K4657" t="n">
        <v>0</v>
      </c>
      <c r="L4657" t="n">
        <v>0</v>
      </c>
      <c r="M4657" t="n">
        <v>0</v>
      </c>
      <c r="N4657" t="n">
        <v>0</v>
      </c>
      <c r="O4657" t="n">
        <v>0</v>
      </c>
      <c r="P4657" t="n">
        <v>0</v>
      </c>
      <c r="Q4657" t="n">
        <v>0</v>
      </c>
      <c r="R4657" s="2" t="inlineStr"/>
    </row>
    <row r="4658" ht="15" customHeight="1">
      <c r="A4658" t="inlineStr">
        <is>
          <t>A 27468-2023</t>
        </is>
      </c>
      <c r="B4658" s="1" t="n">
        <v>45097</v>
      </c>
      <c r="C4658" s="1" t="n">
        <v>46093</v>
      </c>
      <c r="D4658" t="inlineStr">
        <is>
          <t>VÄSTERNORRLANDS LÄN</t>
        </is>
      </c>
      <c r="E4658" t="inlineStr">
        <is>
          <t>ÖRNSKÖLDSVIK</t>
        </is>
      </c>
      <c r="F4658" t="inlineStr">
        <is>
          <t>Holmen skog AB</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42863-2025</t>
        </is>
      </c>
      <c r="B4659" s="1" t="n">
        <v>45908.61527777778</v>
      </c>
      <c r="C4659" s="1" t="n">
        <v>46093</v>
      </c>
      <c r="D4659" t="inlineStr">
        <is>
          <t>VÄSTERNORRLANDS LÄN</t>
        </is>
      </c>
      <c r="E4659" t="inlineStr">
        <is>
          <t>ÅNGE</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42700-2025</t>
        </is>
      </c>
      <c r="B4660" s="1" t="n">
        <v>45908.36534722222</v>
      </c>
      <c r="C4660" s="1" t="n">
        <v>46093</v>
      </c>
      <c r="D4660" t="inlineStr">
        <is>
          <t>VÄSTERNORRLANDS LÄN</t>
        </is>
      </c>
      <c r="E4660" t="inlineStr">
        <is>
          <t>ÖRNSKÖLDSVIK</t>
        </is>
      </c>
      <c r="F4660" t="inlineStr">
        <is>
          <t>SCA</t>
        </is>
      </c>
      <c r="G4660" t="n">
        <v>0.4</v>
      </c>
      <c r="H4660" t="n">
        <v>0</v>
      </c>
      <c r="I4660" t="n">
        <v>0</v>
      </c>
      <c r="J4660" t="n">
        <v>0</v>
      </c>
      <c r="K4660" t="n">
        <v>0</v>
      </c>
      <c r="L4660" t="n">
        <v>0</v>
      </c>
      <c r="M4660" t="n">
        <v>0</v>
      </c>
      <c r="N4660" t="n">
        <v>0</v>
      </c>
      <c r="O4660" t="n">
        <v>0</v>
      </c>
      <c r="P4660" t="n">
        <v>0</v>
      </c>
      <c r="Q4660" t="n">
        <v>0</v>
      </c>
      <c r="R4660" s="2" t="inlineStr"/>
    </row>
    <row r="4661" ht="15" customHeight="1">
      <c r="A4661" t="inlineStr">
        <is>
          <t>A 42731-2025</t>
        </is>
      </c>
      <c r="B4661" s="1" t="n">
        <v>45908.40686342592</v>
      </c>
      <c r="C4661" s="1" t="n">
        <v>46093</v>
      </c>
      <c r="D4661" t="inlineStr">
        <is>
          <t>VÄSTERNORRLANDS LÄN</t>
        </is>
      </c>
      <c r="E4661" t="inlineStr">
        <is>
          <t>ÅNGE</t>
        </is>
      </c>
      <c r="G4661" t="n">
        <v>14.1</v>
      </c>
      <c r="H4661" t="n">
        <v>0</v>
      </c>
      <c r="I4661" t="n">
        <v>0</v>
      </c>
      <c r="J4661" t="n">
        <v>0</v>
      </c>
      <c r="K4661" t="n">
        <v>0</v>
      </c>
      <c r="L4661" t="n">
        <v>0</v>
      </c>
      <c r="M4661" t="n">
        <v>0</v>
      </c>
      <c r="N4661" t="n">
        <v>0</v>
      </c>
      <c r="O4661" t="n">
        <v>0</v>
      </c>
      <c r="P4661" t="n">
        <v>0</v>
      </c>
      <c r="Q4661" t="n">
        <v>0</v>
      </c>
      <c r="R4661" s="2" t="inlineStr"/>
    </row>
    <row r="4662" ht="15" customHeight="1">
      <c r="A4662" t="inlineStr">
        <is>
          <t>A 42746-2025</t>
        </is>
      </c>
      <c r="B4662" s="1" t="n">
        <v>45908.43310185185</v>
      </c>
      <c r="C4662" s="1" t="n">
        <v>46093</v>
      </c>
      <c r="D4662" t="inlineStr">
        <is>
          <t>VÄSTERNORRLANDS LÄN</t>
        </is>
      </c>
      <c r="E4662" t="inlineStr">
        <is>
          <t>ÖRNSKÖLDSVIK</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42785-2025</t>
        </is>
      </c>
      <c r="B4663" s="1" t="n">
        <v>45908.51083333333</v>
      </c>
      <c r="C4663" s="1" t="n">
        <v>46093</v>
      </c>
      <c r="D4663" t="inlineStr">
        <is>
          <t>VÄSTERNORRLANDS LÄN</t>
        </is>
      </c>
      <c r="E4663" t="inlineStr">
        <is>
          <t>ÅNGE</t>
        </is>
      </c>
      <c r="F4663" t="inlineStr">
        <is>
          <t>SCA</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20515-2024</t>
        </is>
      </c>
      <c r="B4664" s="1" t="n">
        <v>45435</v>
      </c>
      <c r="C4664" s="1" t="n">
        <v>46093</v>
      </c>
      <c r="D4664" t="inlineStr">
        <is>
          <t>VÄSTERNORRLANDS LÄN</t>
        </is>
      </c>
      <c r="E4664" t="inlineStr">
        <is>
          <t>SOLLEFTEÅ</t>
        </is>
      </c>
      <c r="F4664" t="inlineStr">
        <is>
          <t>SCA</t>
        </is>
      </c>
      <c r="G4664" t="n">
        <v>18.8</v>
      </c>
      <c r="H4664" t="n">
        <v>0</v>
      </c>
      <c r="I4664" t="n">
        <v>0</v>
      </c>
      <c r="J4664" t="n">
        <v>0</v>
      </c>
      <c r="K4664" t="n">
        <v>0</v>
      </c>
      <c r="L4664" t="n">
        <v>0</v>
      </c>
      <c r="M4664" t="n">
        <v>0</v>
      </c>
      <c r="N4664" t="n">
        <v>0</v>
      </c>
      <c r="O4664" t="n">
        <v>0</v>
      </c>
      <c r="P4664" t="n">
        <v>0</v>
      </c>
      <c r="Q4664" t="n">
        <v>0</v>
      </c>
      <c r="R4664" s="2" t="inlineStr"/>
    </row>
    <row r="4665" ht="15" customHeight="1">
      <c r="A4665" t="inlineStr">
        <is>
          <t>A 61611-2024</t>
        </is>
      </c>
      <c r="B4665" s="1" t="n">
        <v>45645</v>
      </c>
      <c r="C4665" s="1" t="n">
        <v>46093</v>
      </c>
      <c r="D4665" t="inlineStr">
        <is>
          <t>VÄSTERNORRLANDS LÄN</t>
        </is>
      </c>
      <c r="E4665" t="inlineStr">
        <is>
          <t>SOLLEFTEÅ</t>
        </is>
      </c>
      <c r="G4665" t="n">
        <v>13.9</v>
      </c>
      <c r="H4665" t="n">
        <v>0</v>
      </c>
      <c r="I4665" t="n">
        <v>0</v>
      </c>
      <c r="J4665" t="n">
        <v>0</v>
      </c>
      <c r="K4665" t="n">
        <v>0</v>
      </c>
      <c r="L4665" t="n">
        <v>0</v>
      </c>
      <c r="M4665" t="n">
        <v>0</v>
      </c>
      <c r="N4665" t="n">
        <v>0</v>
      </c>
      <c r="O4665" t="n">
        <v>0</v>
      </c>
      <c r="P4665" t="n">
        <v>0</v>
      </c>
      <c r="Q4665" t="n">
        <v>0</v>
      </c>
      <c r="R4665" s="2" t="inlineStr"/>
    </row>
    <row r="4666" ht="15" customHeight="1">
      <c r="A4666" t="inlineStr">
        <is>
          <t>A 62038-2024</t>
        </is>
      </c>
      <c r="B4666" s="1" t="n">
        <v>45656.34410879629</v>
      </c>
      <c r="C4666" s="1" t="n">
        <v>46093</v>
      </c>
      <c r="D4666" t="inlineStr">
        <is>
          <t>VÄSTERNORRLANDS LÄN</t>
        </is>
      </c>
      <c r="E4666" t="inlineStr">
        <is>
          <t>SOLLEFTEÅ</t>
        </is>
      </c>
      <c r="F4666" t="inlineStr">
        <is>
          <t>SCA</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21092-2024</t>
        </is>
      </c>
      <c r="B4667" s="1" t="n">
        <v>45439.95009259259</v>
      </c>
      <c r="C4667" s="1" t="n">
        <v>46093</v>
      </c>
      <c r="D4667" t="inlineStr">
        <is>
          <t>VÄSTERNORRLANDS LÄN</t>
        </is>
      </c>
      <c r="E4667" t="inlineStr">
        <is>
          <t>SOLLEFTEÅ</t>
        </is>
      </c>
      <c r="F4667" t="inlineStr">
        <is>
          <t>SCA</t>
        </is>
      </c>
      <c r="G4667" t="n">
        <v>5.5</v>
      </c>
      <c r="H4667" t="n">
        <v>0</v>
      </c>
      <c r="I4667" t="n">
        <v>0</v>
      </c>
      <c r="J4667" t="n">
        <v>0</v>
      </c>
      <c r="K4667" t="n">
        <v>0</v>
      </c>
      <c r="L4667" t="n">
        <v>0</v>
      </c>
      <c r="M4667" t="n">
        <v>0</v>
      </c>
      <c r="N4667" t="n">
        <v>0</v>
      </c>
      <c r="O4667" t="n">
        <v>0</v>
      </c>
      <c r="P4667" t="n">
        <v>0</v>
      </c>
      <c r="Q4667" t="n">
        <v>0</v>
      </c>
      <c r="R4667" s="2" t="inlineStr"/>
    </row>
    <row r="4668" ht="15" customHeight="1">
      <c r="A4668" t="inlineStr">
        <is>
          <t>A 22166-2025</t>
        </is>
      </c>
      <c r="B4668" s="1" t="n">
        <v>45785.59480324074</v>
      </c>
      <c r="C4668" s="1" t="n">
        <v>46093</v>
      </c>
      <c r="D4668" t="inlineStr">
        <is>
          <t>VÄSTERNORRLANDS LÄN</t>
        </is>
      </c>
      <c r="E4668" t="inlineStr">
        <is>
          <t>SOLLEFTEÅ</t>
        </is>
      </c>
      <c r="F4668" t="inlineStr">
        <is>
          <t>SCA</t>
        </is>
      </c>
      <c r="G4668" t="n">
        <v>10.8</v>
      </c>
      <c r="H4668" t="n">
        <v>0</v>
      </c>
      <c r="I4668" t="n">
        <v>0</v>
      </c>
      <c r="J4668" t="n">
        <v>0</v>
      </c>
      <c r="K4668" t="n">
        <v>0</v>
      </c>
      <c r="L4668" t="n">
        <v>0</v>
      </c>
      <c r="M4668" t="n">
        <v>0</v>
      </c>
      <c r="N4668" t="n">
        <v>0</v>
      </c>
      <c r="O4668" t="n">
        <v>0</v>
      </c>
      <c r="P4668" t="n">
        <v>0</v>
      </c>
      <c r="Q4668" t="n">
        <v>0</v>
      </c>
      <c r="R4668" s="2" t="inlineStr"/>
    </row>
    <row r="4669" ht="15" customHeight="1">
      <c r="A4669" t="inlineStr">
        <is>
          <t>A 42874-2025</t>
        </is>
      </c>
      <c r="B4669" s="1" t="n">
        <v>45908.6328125</v>
      </c>
      <c r="C4669" s="1" t="n">
        <v>46093</v>
      </c>
      <c r="D4669" t="inlineStr">
        <is>
          <t>VÄSTERNORRLANDS LÄN</t>
        </is>
      </c>
      <c r="E4669" t="inlineStr">
        <is>
          <t>ÖRNSKÖLDSVIK</t>
        </is>
      </c>
      <c r="F4669" t="inlineStr">
        <is>
          <t>Holmen skog AB</t>
        </is>
      </c>
      <c r="G4669" t="n">
        <v>24.6</v>
      </c>
      <c r="H4669" t="n">
        <v>0</v>
      </c>
      <c r="I4669" t="n">
        <v>0</v>
      </c>
      <c r="J4669" t="n">
        <v>0</v>
      </c>
      <c r="K4669" t="n">
        <v>0</v>
      </c>
      <c r="L4669" t="n">
        <v>0</v>
      </c>
      <c r="M4669" t="n">
        <v>0</v>
      </c>
      <c r="N4669" t="n">
        <v>0</v>
      </c>
      <c r="O4669" t="n">
        <v>0</v>
      </c>
      <c r="P4669" t="n">
        <v>0</v>
      </c>
      <c r="Q4669" t="n">
        <v>0</v>
      </c>
      <c r="R4669" s="2" t="inlineStr"/>
    </row>
    <row r="4670" ht="15" customHeight="1">
      <c r="A4670" t="inlineStr">
        <is>
          <t>A 51167-2024</t>
        </is>
      </c>
      <c r="B4670" s="1" t="n">
        <v>45603.58512731481</v>
      </c>
      <c r="C4670" s="1" t="n">
        <v>46093</v>
      </c>
      <c r="D4670" t="inlineStr">
        <is>
          <t>VÄSTERNORRLANDS LÄN</t>
        </is>
      </c>
      <c r="E4670" t="inlineStr">
        <is>
          <t>ÖRNSKÖLDSVIK</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21122-2024</t>
        </is>
      </c>
      <c r="B4671" s="1" t="n">
        <v>45440</v>
      </c>
      <c r="C4671" s="1" t="n">
        <v>46093</v>
      </c>
      <c r="D4671" t="inlineStr">
        <is>
          <t>VÄSTERNORRLANDS LÄN</t>
        </is>
      </c>
      <c r="E4671" t="inlineStr">
        <is>
          <t>ÖRNSKÖLDSVIK</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21125-2024</t>
        </is>
      </c>
      <c r="B4672" s="1" t="n">
        <v>45440.34047453704</v>
      </c>
      <c r="C4672" s="1" t="n">
        <v>46093</v>
      </c>
      <c r="D4672" t="inlineStr">
        <is>
          <t>VÄSTERNORRLANDS LÄN</t>
        </is>
      </c>
      <c r="E4672" t="inlineStr">
        <is>
          <t>ÖRNSKÖLDSVIK</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47157-2023</t>
        </is>
      </c>
      <c r="B4673" s="1" t="n">
        <v>45201</v>
      </c>
      <c r="C4673" s="1" t="n">
        <v>46093</v>
      </c>
      <c r="D4673" t="inlineStr">
        <is>
          <t>VÄSTERNORRLANDS LÄN</t>
        </is>
      </c>
      <c r="E4673" t="inlineStr">
        <is>
          <t>SUNDSVALL</t>
        </is>
      </c>
      <c r="G4673" t="n">
        <v>3.9</v>
      </c>
      <c r="H4673" t="n">
        <v>0</v>
      </c>
      <c r="I4673" t="n">
        <v>0</v>
      </c>
      <c r="J4673" t="n">
        <v>0</v>
      </c>
      <c r="K4673" t="n">
        <v>0</v>
      </c>
      <c r="L4673" t="n">
        <v>0</v>
      </c>
      <c r="M4673" t="n">
        <v>0</v>
      </c>
      <c r="N4673" t="n">
        <v>0</v>
      </c>
      <c r="O4673" t="n">
        <v>0</v>
      </c>
      <c r="P4673" t="n">
        <v>0</v>
      </c>
      <c r="Q4673" t="n">
        <v>0</v>
      </c>
      <c r="R4673" s="2" t="inlineStr"/>
    </row>
    <row r="4674" ht="15" customHeight="1">
      <c r="A4674" t="inlineStr">
        <is>
          <t>A 21133-2024</t>
        </is>
      </c>
      <c r="B4674" s="1" t="n">
        <v>45440.37265046296</v>
      </c>
      <c r="C4674" s="1" t="n">
        <v>46093</v>
      </c>
      <c r="D4674" t="inlineStr">
        <is>
          <t>VÄSTERNORRLANDS LÄN</t>
        </is>
      </c>
      <c r="E4674" t="inlineStr">
        <is>
          <t>ÖRNSKÖLDSVIK</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9759-2024</t>
        </is>
      </c>
      <c r="B4675" s="1" t="n">
        <v>45362</v>
      </c>
      <c r="C4675" s="1" t="n">
        <v>46093</v>
      </c>
      <c r="D4675" t="inlineStr">
        <is>
          <t>VÄSTERNORRLANDS LÄN</t>
        </is>
      </c>
      <c r="E4675" t="inlineStr">
        <is>
          <t>ÅNGE</t>
        </is>
      </c>
      <c r="G4675" t="n">
        <v>2.5</v>
      </c>
      <c r="H4675" t="n">
        <v>0</v>
      </c>
      <c r="I4675" t="n">
        <v>0</v>
      </c>
      <c r="J4675" t="n">
        <v>0</v>
      </c>
      <c r="K4675" t="n">
        <v>0</v>
      </c>
      <c r="L4675" t="n">
        <v>0</v>
      </c>
      <c r="M4675" t="n">
        <v>0</v>
      </c>
      <c r="N4675" t="n">
        <v>0</v>
      </c>
      <c r="O4675" t="n">
        <v>0</v>
      </c>
      <c r="P4675" t="n">
        <v>0</v>
      </c>
      <c r="Q4675" t="n">
        <v>0</v>
      </c>
      <c r="R4675" s="2" t="inlineStr"/>
    </row>
    <row r="4676" ht="15" customHeight="1">
      <c r="A4676" t="inlineStr">
        <is>
          <t>A 27875-2023</t>
        </is>
      </c>
      <c r="B4676" s="1" t="n">
        <v>45098.59216435185</v>
      </c>
      <c r="C4676" s="1" t="n">
        <v>46093</v>
      </c>
      <c r="D4676" t="inlineStr">
        <is>
          <t>VÄSTERNORRLANDS LÄN</t>
        </is>
      </c>
      <c r="E4676" t="inlineStr">
        <is>
          <t>SUNDSVALL</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21147-2024</t>
        </is>
      </c>
      <c r="B4677" s="1" t="n">
        <v>45440.40049768519</v>
      </c>
      <c r="C4677" s="1" t="n">
        <v>46093</v>
      </c>
      <c r="D4677" t="inlineStr">
        <is>
          <t>VÄSTERNORRLANDS LÄN</t>
        </is>
      </c>
      <c r="E4677" t="inlineStr">
        <is>
          <t>ÖRNSKÖLDSVIK</t>
        </is>
      </c>
      <c r="F4677" t="inlineStr">
        <is>
          <t>Holmen skog AB</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42689-2025</t>
        </is>
      </c>
      <c r="B4678" s="1" t="n">
        <v>45908.35649305556</v>
      </c>
      <c r="C4678" s="1" t="n">
        <v>46093</v>
      </c>
      <c r="D4678" t="inlineStr">
        <is>
          <t>VÄSTERNORRLANDS LÄN</t>
        </is>
      </c>
      <c r="E4678" t="inlineStr">
        <is>
          <t>SUNDSVALL</t>
        </is>
      </c>
      <c r="F4678" t="inlineStr">
        <is>
          <t>Holmen skog AB</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42657-2025</t>
        </is>
      </c>
      <c r="B4679" s="1" t="n">
        <v>45907.49268518519</v>
      </c>
      <c r="C4679" s="1" t="n">
        <v>46093</v>
      </c>
      <c r="D4679" t="inlineStr">
        <is>
          <t>VÄSTERNORRLANDS LÄN</t>
        </is>
      </c>
      <c r="E4679" t="inlineStr">
        <is>
          <t>TIMRÅ</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54429-2024</t>
        </is>
      </c>
      <c r="B4680" s="1" t="n">
        <v>45617.49087962963</v>
      </c>
      <c r="C4680" s="1" t="n">
        <v>46093</v>
      </c>
      <c r="D4680" t="inlineStr">
        <is>
          <t>VÄSTERNORRLANDS LÄN</t>
        </is>
      </c>
      <c r="E4680" t="inlineStr">
        <is>
          <t>ÅNGE</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53272-2022</t>
        </is>
      </c>
      <c r="B4681" s="1" t="n">
        <v>44876</v>
      </c>
      <c r="C4681" s="1" t="n">
        <v>46093</v>
      </c>
      <c r="D4681" t="inlineStr">
        <is>
          <t>VÄSTERNORRLANDS LÄN</t>
        </is>
      </c>
      <c r="E4681" t="inlineStr">
        <is>
          <t>SUNDSVALL</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42697-2025</t>
        </is>
      </c>
      <c r="B4682" s="1" t="n">
        <v>45908.36498842593</v>
      </c>
      <c r="C4682" s="1" t="n">
        <v>46093</v>
      </c>
      <c r="D4682" t="inlineStr">
        <is>
          <t>VÄSTERNORRLANDS LÄN</t>
        </is>
      </c>
      <c r="E4682" t="inlineStr">
        <is>
          <t>SOLLEFTEÅ</t>
        </is>
      </c>
      <c r="F4682" t="inlineStr">
        <is>
          <t>SCA</t>
        </is>
      </c>
      <c r="G4682" t="n">
        <v>3.6</v>
      </c>
      <c r="H4682" t="n">
        <v>0</v>
      </c>
      <c r="I4682" t="n">
        <v>0</v>
      </c>
      <c r="J4682" t="n">
        <v>0</v>
      </c>
      <c r="K4682" t="n">
        <v>0</v>
      </c>
      <c r="L4682" t="n">
        <v>0</v>
      </c>
      <c r="M4682" t="n">
        <v>0</v>
      </c>
      <c r="N4682" t="n">
        <v>0</v>
      </c>
      <c r="O4682" t="n">
        <v>0</v>
      </c>
      <c r="P4682" t="n">
        <v>0</v>
      </c>
      <c r="Q4682" t="n">
        <v>0</v>
      </c>
      <c r="R4682" s="2" t="inlineStr"/>
    </row>
    <row r="4683" ht="15" customHeight="1">
      <c r="A4683" t="inlineStr">
        <is>
          <t>A 516-2025</t>
        </is>
      </c>
      <c r="B4683" s="1" t="n">
        <v>45664.47753472222</v>
      </c>
      <c r="C4683" s="1" t="n">
        <v>46093</v>
      </c>
      <c r="D4683" t="inlineStr">
        <is>
          <t>VÄSTERNORRLANDS LÄN</t>
        </is>
      </c>
      <c r="E4683" t="inlineStr">
        <is>
          <t>KRAMFORS</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36063-2025</t>
        </is>
      </c>
      <c r="B4684" s="1" t="n">
        <v>45866</v>
      </c>
      <c r="C4684" s="1" t="n">
        <v>46093</v>
      </c>
      <c r="D4684" t="inlineStr">
        <is>
          <t>VÄSTERNORRLANDS LÄN</t>
        </is>
      </c>
      <c r="E4684" t="inlineStr">
        <is>
          <t>SOLLEFTEÅ</t>
        </is>
      </c>
      <c r="F4684" t="inlineStr">
        <is>
          <t>SCA</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36064-2025</t>
        </is>
      </c>
      <c r="B4685" s="1" t="n">
        <v>45866</v>
      </c>
      <c r="C4685" s="1" t="n">
        <v>46093</v>
      </c>
      <c r="D4685" t="inlineStr">
        <is>
          <t>VÄSTERNORRLANDS LÄN</t>
        </is>
      </c>
      <c r="E4685" t="inlineStr">
        <is>
          <t>SOLLEFTEÅ</t>
        </is>
      </c>
      <c r="F4685" t="inlineStr">
        <is>
          <t>SCA</t>
        </is>
      </c>
      <c r="G4685" t="n">
        <v>0.3</v>
      </c>
      <c r="H4685" t="n">
        <v>0</v>
      </c>
      <c r="I4685" t="n">
        <v>0</v>
      </c>
      <c r="J4685" t="n">
        <v>0</v>
      </c>
      <c r="K4685" t="n">
        <v>0</v>
      </c>
      <c r="L4685" t="n">
        <v>0</v>
      </c>
      <c r="M4685" t="n">
        <v>0</v>
      </c>
      <c r="N4685" t="n">
        <v>0</v>
      </c>
      <c r="O4685" t="n">
        <v>0</v>
      </c>
      <c r="P4685" t="n">
        <v>0</v>
      </c>
      <c r="Q4685" t="n">
        <v>0</v>
      </c>
      <c r="R4685" s="2" t="inlineStr"/>
    </row>
    <row r="4686" ht="15" customHeight="1">
      <c r="A4686" t="inlineStr">
        <is>
          <t>A 42396-2025</t>
        </is>
      </c>
      <c r="B4686" s="1" t="n">
        <v>45905.36559027778</v>
      </c>
      <c r="C4686" s="1" t="n">
        <v>46093</v>
      </c>
      <c r="D4686" t="inlineStr">
        <is>
          <t>VÄSTERNORRLANDS LÄN</t>
        </is>
      </c>
      <c r="E4686" t="inlineStr">
        <is>
          <t>SOLLEFTEÅ</t>
        </is>
      </c>
      <c r="G4686" t="n">
        <v>2.9</v>
      </c>
      <c r="H4686" t="n">
        <v>0</v>
      </c>
      <c r="I4686" t="n">
        <v>0</v>
      </c>
      <c r="J4686" t="n">
        <v>0</v>
      </c>
      <c r="K4686" t="n">
        <v>0</v>
      </c>
      <c r="L4686" t="n">
        <v>0</v>
      </c>
      <c r="M4686" t="n">
        <v>0</v>
      </c>
      <c r="N4686" t="n">
        <v>0</v>
      </c>
      <c r="O4686" t="n">
        <v>0</v>
      </c>
      <c r="P4686" t="n">
        <v>0</v>
      </c>
      <c r="Q4686" t="n">
        <v>0</v>
      </c>
      <c r="R4686" s="2" t="inlineStr"/>
    </row>
    <row r="4687" ht="15" customHeight="1">
      <c r="A4687" t="inlineStr">
        <is>
          <t>A 29860-2025</t>
        </is>
      </c>
      <c r="B4687" s="1" t="n">
        <v>45826.34638888889</v>
      </c>
      <c r="C4687" s="1" t="n">
        <v>46093</v>
      </c>
      <c r="D4687" t="inlineStr">
        <is>
          <t>VÄSTERNORRLANDS LÄN</t>
        </is>
      </c>
      <c r="E4687" t="inlineStr">
        <is>
          <t>SOLLEFTEÅ</t>
        </is>
      </c>
      <c r="G4687" t="n">
        <v>4.6</v>
      </c>
      <c r="H4687" t="n">
        <v>0</v>
      </c>
      <c r="I4687" t="n">
        <v>0</v>
      </c>
      <c r="J4687" t="n">
        <v>0</v>
      </c>
      <c r="K4687" t="n">
        <v>0</v>
      </c>
      <c r="L4687" t="n">
        <v>0</v>
      </c>
      <c r="M4687" t="n">
        <v>0</v>
      </c>
      <c r="N4687" t="n">
        <v>0</v>
      </c>
      <c r="O4687" t="n">
        <v>0</v>
      </c>
      <c r="P4687" t="n">
        <v>0</v>
      </c>
      <c r="Q4687" t="n">
        <v>0</v>
      </c>
      <c r="R4687" s="2" t="inlineStr"/>
    </row>
    <row r="4688" ht="15" customHeight="1">
      <c r="A4688" t="inlineStr">
        <is>
          <t>A 8945-2024</t>
        </is>
      </c>
      <c r="B4688" s="1" t="n">
        <v>45357</v>
      </c>
      <c r="C4688" s="1" t="n">
        <v>46093</v>
      </c>
      <c r="D4688" t="inlineStr">
        <is>
          <t>VÄSTERNORRLANDS LÄN</t>
        </is>
      </c>
      <c r="E4688" t="inlineStr">
        <is>
          <t>SUNDSVALL</t>
        </is>
      </c>
      <c r="G4688" t="n">
        <v>2.9</v>
      </c>
      <c r="H4688" t="n">
        <v>0</v>
      </c>
      <c r="I4688" t="n">
        <v>0</v>
      </c>
      <c r="J4688" t="n">
        <v>0</v>
      </c>
      <c r="K4688" t="n">
        <v>0</v>
      </c>
      <c r="L4688" t="n">
        <v>0</v>
      </c>
      <c r="M4688" t="n">
        <v>0</v>
      </c>
      <c r="N4688" t="n">
        <v>0</v>
      </c>
      <c r="O4688" t="n">
        <v>0</v>
      </c>
      <c r="P4688" t="n">
        <v>0</v>
      </c>
      <c r="Q4688" t="n">
        <v>0</v>
      </c>
      <c r="R4688" s="2" t="inlineStr"/>
    </row>
    <row r="4689" ht="15" customHeight="1">
      <c r="A4689" t="inlineStr">
        <is>
          <t>A 48414-2023</t>
        </is>
      </c>
      <c r="B4689" s="1" t="n">
        <v>45205.92362268519</v>
      </c>
      <c r="C4689" s="1" t="n">
        <v>46093</v>
      </c>
      <c r="D4689" t="inlineStr">
        <is>
          <t>VÄSTERNORRLANDS LÄN</t>
        </is>
      </c>
      <c r="E4689" t="inlineStr">
        <is>
          <t>KRAMFORS</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48441-2023</t>
        </is>
      </c>
      <c r="B4690" s="1" t="n">
        <v>45205</v>
      </c>
      <c r="C4690" s="1" t="n">
        <v>46093</v>
      </c>
      <c r="D4690" t="inlineStr">
        <is>
          <t>VÄSTERNORRLANDS LÄN</t>
        </is>
      </c>
      <c r="E4690" t="inlineStr">
        <is>
          <t>ÖRNSKÖLDSVIK</t>
        </is>
      </c>
      <c r="F4690" t="inlineStr">
        <is>
          <t>SCA</t>
        </is>
      </c>
      <c r="G4690" t="n">
        <v>7.7</v>
      </c>
      <c r="H4690" t="n">
        <v>0</v>
      </c>
      <c r="I4690" t="n">
        <v>0</v>
      </c>
      <c r="J4690" t="n">
        <v>0</v>
      </c>
      <c r="K4690" t="n">
        <v>0</v>
      </c>
      <c r="L4690" t="n">
        <v>0</v>
      </c>
      <c r="M4690" t="n">
        <v>0</v>
      </c>
      <c r="N4690" t="n">
        <v>0</v>
      </c>
      <c r="O4690" t="n">
        <v>0</v>
      </c>
      <c r="P4690" t="n">
        <v>0</v>
      </c>
      <c r="Q4690" t="n">
        <v>0</v>
      </c>
      <c r="R4690" s="2" t="inlineStr"/>
    </row>
    <row r="4691" ht="15" customHeight="1">
      <c r="A4691" t="inlineStr">
        <is>
          <t>A 9727-2022</t>
        </is>
      </c>
      <c r="B4691" s="1" t="n">
        <v>44617.92136574074</v>
      </c>
      <c r="C4691" s="1" t="n">
        <v>46093</v>
      </c>
      <c r="D4691" t="inlineStr">
        <is>
          <t>VÄSTERNORRLANDS LÄN</t>
        </is>
      </c>
      <c r="E4691" t="inlineStr">
        <is>
          <t>HÄRNÖSAND</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9896-2024</t>
        </is>
      </c>
      <c r="B4692" s="1" t="n">
        <v>45363.51038194444</v>
      </c>
      <c r="C4692" s="1" t="n">
        <v>46093</v>
      </c>
      <c r="D4692" t="inlineStr">
        <is>
          <t>VÄSTERNORRLANDS LÄN</t>
        </is>
      </c>
      <c r="E4692" t="inlineStr">
        <is>
          <t>ÖRNSKÖLDSVIK</t>
        </is>
      </c>
      <c r="F4692" t="inlineStr">
        <is>
          <t>Holmen skog AB</t>
        </is>
      </c>
      <c r="G4692" t="n">
        <v>14.9</v>
      </c>
      <c r="H4692" t="n">
        <v>0</v>
      </c>
      <c r="I4692" t="n">
        <v>0</v>
      </c>
      <c r="J4692" t="n">
        <v>0</v>
      </c>
      <c r="K4692" t="n">
        <v>0</v>
      </c>
      <c r="L4692" t="n">
        <v>0</v>
      </c>
      <c r="M4692" t="n">
        <v>0</v>
      </c>
      <c r="N4692" t="n">
        <v>0</v>
      </c>
      <c r="O4692" t="n">
        <v>0</v>
      </c>
      <c r="P4692" t="n">
        <v>0</v>
      </c>
      <c r="Q4692" t="n">
        <v>0</v>
      </c>
      <c r="R4692" s="2" t="inlineStr"/>
    </row>
    <row r="4693" ht="15" customHeight="1">
      <c r="A4693" t="inlineStr">
        <is>
          <t>A 42844-2025</t>
        </is>
      </c>
      <c r="B4693" s="1" t="n">
        <v>45908.58981481481</v>
      </c>
      <c r="C4693" s="1" t="n">
        <v>46093</v>
      </c>
      <c r="D4693" t="inlineStr">
        <is>
          <t>VÄSTERNORRLANDS LÄN</t>
        </is>
      </c>
      <c r="E4693" t="inlineStr">
        <is>
          <t>ÖRNSKÖLDSVIK</t>
        </is>
      </c>
      <c r="G4693" t="n">
        <v>5.2</v>
      </c>
      <c r="H4693" t="n">
        <v>0</v>
      </c>
      <c r="I4693" t="n">
        <v>0</v>
      </c>
      <c r="J4693" t="n">
        <v>0</v>
      </c>
      <c r="K4693" t="n">
        <v>0</v>
      </c>
      <c r="L4693" t="n">
        <v>0</v>
      </c>
      <c r="M4693" t="n">
        <v>0</v>
      </c>
      <c r="N4693" t="n">
        <v>0</v>
      </c>
      <c r="O4693" t="n">
        <v>0</v>
      </c>
      <c r="P4693" t="n">
        <v>0</v>
      </c>
      <c r="Q4693" t="n">
        <v>0</v>
      </c>
      <c r="R4693" s="2" t="inlineStr"/>
    </row>
    <row r="4694" ht="15" customHeight="1">
      <c r="A4694" t="inlineStr">
        <is>
          <t>A 38053-2024</t>
        </is>
      </c>
      <c r="B4694" s="1" t="n">
        <v>45544.71903935185</v>
      </c>
      <c r="C4694" s="1" t="n">
        <v>46093</v>
      </c>
      <c r="D4694" t="inlineStr">
        <is>
          <t>VÄSTERNORRLANDS LÄN</t>
        </is>
      </c>
      <c r="E4694" t="inlineStr">
        <is>
          <t>SOLLEFTEÅ</t>
        </is>
      </c>
      <c r="F4694" t="inlineStr">
        <is>
          <t>SCA</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48529-2023</t>
        </is>
      </c>
      <c r="B4695" s="1" t="n">
        <v>45208.37266203704</v>
      </c>
      <c r="C4695" s="1" t="n">
        <v>46093</v>
      </c>
      <c r="D4695" t="inlineStr">
        <is>
          <t>VÄSTERNORRLANDS LÄN</t>
        </is>
      </c>
      <c r="E4695" t="inlineStr">
        <is>
          <t>ÖRNSKÖLDSVIK</t>
        </is>
      </c>
      <c r="F4695" t="inlineStr">
        <is>
          <t>Holmen skog AB</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47614-2023</t>
        </is>
      </c>
      <c r="B4696" s="1" t="n">
        <v>45203.48283564814</v>
      </c>
      <c r="C4696" s="1" t="n">
        <v>46093</v>
      </c>
      <c r="D4696" t="inlineStr">
        <is>
          <t>VÄSTERNORRLANDS LÄN</t>
        </is>
      </c>
      <c r="E4696" t="inlineStr">
        <is>
          <t>ÖRNSKÖLDSVIK</t>
        </is>
      </c>
      <c r="F4696" t="inlineStr">
        <is>
          <t>Holmen skog AB</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11984-2022</t>
        </is>
      </c>
      <c r="B4697" s="1" t="n">
        <v>44635.68171296296</v>
      </c>
      <c r="C4697" s="1" t="n">
        <v>46093</v>
      </c>
      <c r="D4697" t="inlineStr">
        <is>
          <t>VÄSTERNORRLANDS LÄN</t>
        </is>
      </c>
      <c r="E4697" t="inlineStr">
        <is>
          <t>ÖRNSKÖLDSVIK</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2931-2025</t>
        </is>
      </c>
      <c r="B4698" s="1" t="n">
        <v>45678.359375</v>
      </c>
      <c r="C4698" s="1" t="n">
        <v>46093</v>
      </c>
      <c r="D4698" t="inlineStr">
        <is>
          <t>VÄSTERNORRLANDS LÄN</t>
        </is>
      </c>
      <c r="E4698" t="inlineStr">
        <is>
          <t>ÖRNSKÖLDSVIK</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31428-2025</t>
        </is>
      </c>
      <c r="B4699" s="1" t="n">
        <v>45833.4930787037</v>
      </c>
      <c r="C4699" s="1" t="n">
        <v>46093</v>
      </c>
      <c r="D4699" t="inlineStr">
        <is>
          <t>VÄSTERNORRLANDS LÄN</t>
        </is>
      </c>
      <c r="E4699" t="inlineStr">
        <is>
          <t>SOLLEFTEÅ</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17230-2024</t>
        </is>
      </c>
      <c r="B4700" s="1" t="n">
        <v>45414</v>
      </c>
      <c r="C4700" s="1" t="n">
        <v>46093</v>
      </c>
      <c r="D4700" t="inlineStr">
        <is>
          <t>VÄSTERNORRLANDS LÄN</t>
        </is>
      </c>
      <c r="E4700" t="inlineStr">
        <is>
          <t>ÖRNSKÖLDSVIK</t>
        </is>
      </c>
      <c r="G4700" t="n">
        <v>5.6</v>
      </c>
      <c r="H4700" t="n">
        <v>0</v>
      </c>
      <c r="I4700" t="n">
        <v>0</v>
      </c>
      <c r="J4700" t="n">
        <v>0</v>
      </c>
      <c r="K4700" t="n">
        <v>0</v>
      </c>
      <c r="L4700" t="n">
        <v>0</v>
      </c>
      <c r="M4700" t="n">
        <v>0</v>
      </c>
      <c r="N4700" t="n">
        <v>0</v>
      </c>
      <c r="O4700" t="n">
        <v>0</v>
      </c>
      <c r="P4700" t="n">
        <v>0</v>
      </c>
      <c r="Q4700" t="n">
        <v>0</v>
      </c>
      <c r="R4700" s="2" t="inlineStr"/>
    </row>
    <row r="4701" ht="15" customHeight="1">
      <c r="A4701" t="inlineStr">
        <is>
          <t>A 42755-2025</t>
        </is>
      </c>
      <c r="B4701" s="1" t="n">
        <v>45908.44833333333</v>
      </c>
      <c r="C4701" s="1" t="n">
        <v>46093</v>
      </c>
      <c r="D4701" t="inlineStr">
        <is>
          <t>VÄSTERNORRLANDS LÄN</t>
        </is>
      </c>
      <c r="E4701" t="inlineStr">
        <is>
          <t>ÖRNSKÖLDSVIK</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19121-2024</t>
        </is>
      </c>
      <c r="B4702" s="1" t="n">
        <v>45427</v>
      </c>
      <c r="C4702" s="1" t="n">
        <v>46093</v>
      </c>
      <c r="D4702" t="inlineStr">
        <is>
          <t>VÄSTERNORRLANDS LÄN</t>
        </is>
      </c>
      <c r="E4702" t="inlineStr">
        <is>
          <t>ÖRNSKÖLDSVIK</t>
        </is>
      </c>
      <c r="G4702" t="n">
        <v>3</v>
      </c>
      <c r="H4702" t="n">
        <v>0</v>
      </c>
      <c r="I4702" t="n">
        <v>0</v>
      </c>
      <c r="J4702" t="n">
        <v>0</v>
      </c>
      <c r="K4702" t="n">
        <v>0</v>
      </c>
      <c r="L4702" t="n">
        <v>0</v>
      </c>
      <c r="M4702" t="n">
        <v>0</v>
      </c>
      <c r="N4702" t="n">
        <v>0</v>
      </c>
      <c r="O4702" t="n">
        <v>0</v>
      </c>
      <c r="P4702" t="n">
        <v>0</v>
      </c>
      <c r="Q4702" t="n">
        <v>0</v>
      </c>
      <c r="R4702" s="2" t="inlineStr"/>
    </row>
    <row r="4703" ht="15" customHeight="1">
      <c r="A4703" t="inlineStr">
        <is>
          <t>A 19122-2024</t>
        </is>
      </c>
      <c r="B4703" s="1" t="n">
        <v>45428</v>
      </c>
      <c r="C4703" s="1" t="n">
        <v>46093</v>
      </c>
      <c r="D4703" t="inlineStr">
        <is>
          <t>VÄSTERNORRLANDS LÄN</t>
        </is>
      </c>
      <c r="E4703" t="inlineStr">
        <is>
          <t>HÄRNÖSAND</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61147-2024</t>
        </is>
      </c>
      <c r="B4704" s="1" t="n">
        <v>45645.5871412037</v>
      </c>
      <c r="C4704" s="1" t="n">
        <v>46093</v>
      </c>
      <c r="D4704" t="inlineStr">
        <is>
          <t>VÄSTERNORRLANDS LÄN</t>
        </is>
      </c>
      <c r="E4704" t="inlineStr">
        <is>
          <t>ÖRNSKÖLDSVIK</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14495-2025</t>
        </is>
      </c>
      <c r="B4705" s="1" t="n">
        <v>45741.61488425926</v>
      </c>
      <c r="C4705" s="1" t="n">
        <v>46093</v>
      </c>
      <c r="D4705" t="inlineStr">
        <is>
          <t>VÄSTERNORRLANDS LÄN</t>
        </is>
      </c>
      <c r="E4705" t="inlineStr">
        <is>
          <t>HÄRNÖSAND</t>
        </is>
      </c>
      <c r="G4705" t="n">
        <v>6.4</v>
      </c>
      <c r="H4705" t="n">
        <v>0</v>
      </c>
      <c r="I4705" t="n">
        <v>0</v>
      </c>
      <c r="J4705" t="n">
        <v>0</v>
      </c>
      <c r="K4705" t="n">
        <v>0</v>
      </c>
      <c r="L4705" t="n">
        <v>0</v>
      </c>
      <c r="M4705" t="n">
        <v>0</v>
      </c>
      <c r="N4705" t="n">
        <v>0</v>
      </c>
      <c r="O4705" t="n">
        <v>0</v>
      </c>
      <c r="P4705" t="n">
        <v>0</v>
      </c>
      <c r="Q4705" t="n">
        <v>0</v>
      </c>
      <c r="R4705" s="2" t="inlineStr"/>
    </row>
    <row r="4706" ht="15" customHeight="1">
      <c r="A4706" t="inlineStr">
        <is>
          <t>A 42538-2025</t>
        </is>
      </c>
      <c r="B4706" s="1" t="n">
        <v>45905.57106481482</v>
      </c>
      <c r="C4706" s="1" t="n">
        <v>46093</v>
      </c>
      <c r="D4706" t="inlineStr">
        <is>
          <t>VÄSTERNORRLANDS LÄN</t>
        </is>
      </c>
      <c r="E4706" t="inlineStr">
        <is>
          <t>ÖRNSKÖLDSVIK</t>
        </is>
      </c>
      <c r="F4706" t="inlineStr">
        <is>
          <t>Holmen skog AB</t>
        </is>
      </c>
      <c r="G4706" t="n">
        <v>10.4</v>
      </c>
      <c r="H4706" t="n">
        <v>0</v>
      </c>
      <c r="I4706" t="n">
        <v>0</v>
      </c>
      <c r="J4706" t="n">
        <v>0</v>
      </c>
      <c r="K4706" t="n">
        <v>0</v>
      </c>
      <c r="L4706" t="n">
        <v>0</v>
      </c>
      <c r="M4706" t="n">
        <v>0</v>
      </c>
      <c r="N4706" t="n">
        <v>0</v>
      </c>
      <c r="O4706" t="n">
        <v>0</v>
      </c>
      <c r="P4706" t="n">
        <v>0</v>
      </c>
      <c r="Q4706" t="n">
        <v>0</v>
      </c>
      <c r="R4706" s="2" t="inlineStr"/>
    </row>
    <row r="4707" ht="15" customHeight="1">
      <c r="A4707" t="inlineStr">
        <is>
          <t>A 49476-2023</t>
        </is>
      </c>
      <c r="B4707" s="1" t="n">
        <v>45211</v>
      </c>
      <c r="C4707" s="1" t="n">
        <v>46093</v>
      </c>
      <c r="D4707" t="inlineStr">
        <is>
          <t>VÄSTERNORRLANDS LÄN</t>
        </is>
      </c>
      <c r="E4707" t="inlineStr">
        <is>
          <t>ÖRNSKÖLDSVIK</t>
        </is>
      </c>
      <c r="F4707" t="inlineStr">
        <is>
          <t>Holmen skog AB</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2346-2025</t>
        </is>
      </c>
      <c r="B4708" s="1" t="n">
        <v>45673.67767361111</v>
      </c>
      <c r="C4708" s="1" t="n">
        <v>46093</v>
      </c>
      <c r="D4708" t="inlineStr">
        <is>
          <t>VÄSTERNORRLANDS LÄN</t>
        </is>
      </c>
      <c r="E4708" t="inlineStr">
        <is>
          <t>SOLLEFTEÅ</t>
        </is>
      </c>
      <c r="F4708" t="inlineStr">
        <is>
          <t>SCA</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9163-2025</t>
        </is>
      </c>
      <c r="B4709" s="1" t="n">
        <v>45714.36503472222</v>
      </c>
      <c r="C4709" s="1" t="n">
        <v>46093</v>
      </c>
      <c r="D4709" t="inlineStr">
        <is>
          <t>VÄSTERNORRLANDS LÄN</t>
        </is>
      </c>
      <c r="E4709" t="inlineStr">
        <is>
          <t>SOLLEFTEÅ</t>
        </is>
      </c>
      <c r="F4709" t="inlineStr">
        <is>
          <t>SCA</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3-2025</t>
        </is>
      </c>
      <c r="B4710" s="1" t="n">
        <v>45658.49819444444</v>
      </c>
      <c r="C4710" s="1" t="n">
        <v>46093</v>
      </c>
      <c r="D4710" t="inlineStr">
        <is>
          <t>VÄSTERNORRLANDS LÄN</t>
        </is>
      </c>
      <c r="E4710" t="inlineStr">
        <is>
          <t>ÅNGE</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51304-2024</t>
        </is>
      </c>
      <c r="B4711" s="1" t="n">
        <v>45603</v>
      </c>
      <c r="C4711" s="1" t="n">
        <v>46093</v>
      </c>
      <c r="D4711" t="inlineStr">
        <is>
          <t>VÄSTERNORRLANDS LÄN</t>
        </is>
      </c>
      <c r="E4711" t="inlineStr">
        <is>
          <t>HÄRNÖSAND</t>
        </is>
      </c>
      <c r="G4711" t="n">
        <v>14.3</v>
      </c>
      <c r="H4711" t="n">
        <v>0</v>
      </c>
      <c r="I4711" t="n">
        <v>0</v>
      </c>
      <c r="J4711" t="n">
        <v>0</v>
      </c>
      <c r="K4711" t="n">
        <v>0</v>
      </c>
      <c r="L4711" t="n">
        <v>0</v>
      </c>
      <c r="M4711" t="n">
        <v>0</v>
      </c>
      <c r="N4711" t="n">
        <v>0</v>
      </c>
      <c r="O4711" t="n">
        <v>0</v>
      </c>
      <c r="P4711" t="n">
        <v>0</v>
      </c>
      <c r="Q4711" t="n">
        <v>0</v>
      </c>
      <c r="R4711" s="2" t="inlineStr"/>
    </row>
    <row r="4712" ht="15" customHeight="1">
      <c r="A4712" t="inlineStr">
        <is>
          <t>A 4157-2025</t>
        </is>
      </c>
      <c r="B4712" s="1" t="n">
        <v>45685.39579861111</v>
      </c>
      <c r="C4712" s="1" t="n">
        <v>46093</v>
      </c>
      <c r="D4712" t="inlineStr">
        <is>
          <t>VÄSTERNORRLANDS LÄN</t>
        </is>
      </c>
      <c r="E4712" t="inlineStr">
        <is>
          <t>KRAMFORS</t>
        </is>
      </c>
      <c r="F4712" t="inlineStr">
        <is>
          <t>Kommuner</t>
        </is>
      </c>
      <c r="G4712" t="n">
        <v>5</v>
      </c>
      <c r="H4712" t="n">
        <v>0</v>
      </c>
      <c r="I4712" t="n">
        <v>0</v>
      </c>
      <c r="J4712" t="n">
        <v>0</v>
      </c>
      <c r="K4712" t="n">
        <v>0</v>
      </c>
      <c r="L4712" t="n">
        <v>0</v>
      </c>
      <c r="M4712" t="n">
        <v>0</v>
      </c>
      <c r="N4712" t="n">
        <v>0</v>
      </c>
      <c r="O4712" t="n">
        <v>0</v>
      </c>
      <c r="P4712" t="n">
        <v>0</v>
      </c>
      <c r="Q4712" t="n">
        <v>0</v>
      </c>
      <c r="R4712" s="2" t="inlineStr"/>
    </row>
    <row r="4713" ht="15" customHeight="1">
      <c r="A4713" t="inlineStr">
        <is>
          <t>A 39044-2023</t>
        </is>
      </c>
      <c r="B4713" s="1" t="n">
        <v>45163.92689814815</v>
      </c>
      <c r="C4713" s="1" t="n">
        <v>46093</v>
      </c>
      <c r="D4713" t="inlineStr">
        <is>
          <t>VÄSTERNORRLANDS LÄN</t>
        </is>
      </c>
      <c r="E4713" t="inlineStr">
        <is>
          <t>HÄRNÖSAND</t>
        </is>
      </c>
      <c r="G4713" t="n">
        <v>4.4</v>
      </c>
      <c r="H4713" t="n">
        <v>0</v>
      </c>
      <c r="I4713" t="n">
        <v>0</v>
      </c>
      <c r="J4713" t="n">
        <v>0</v>
      </c>
      <c r="K4713" t="n">
        <v>0</v>
      </c>
      <c r="L4713" t="n">
        <v>0</v>
      </c>
      <c r="M4713" t="n">
        <v>0</v>
      </c>
      <c r="N4713" t="n">
        <v>0</v>
      </c>
      <c r="O4713" t="n">
        <v>0</v>
      </c>
      <c r="P4713" t="n">
        <v>0</v>
      </c>
      <c r="Q4713" t="n">
        <v>0</v>
      </c>
      <c r="R4713" s="2" t="inlineStr"/>
    </row>
    <row r="4714" ht="15" customHeight="1">
      <c r="A4714" t="inlineStr">
        <is>
          <t>A 39048-2023</t>
        </is>
      </c>
      <c r="B4714" s="1" t="n">
        <v>45163.92715277777</v>
      </c>
      <c r="C4714" s="1" t="n">
        <v>46093</v>
      </c>
      <c r="D4714" t="inlineStr">
        <is>
          <t>VÄSTERNORRLANDS LÄN</t>
        </is>
      </c>
      <c r="E4714" t="inlineStr">
        <is>
          <t>TIMRÅ</t>
        </is>
      </c>
      <c r="G4714" t="n">
        <v>5.1</v>
      </c>
      <c r="H4714" t="n">
        <v>0</v>
      </c>
      <c r="I4714" t="n">
        <v>0</v>
      </c>
      <c r="J4714" t="n">
        <v>0</v>
      </c>
      <c r="K4714" t="n">
        <v>0</v>
      </c>
      <c r="L4714" t="n">
        <v>0</v>
      </c>
      <c r="M4714" t="n">
        <v>0</v>
      </c>
      <c r="N4714" t="n">
        <v>0</v>
      </c>
      <c r="O4714" t="n">
        <v>0</v>
      </c>
      <c r="P4714" t="n">
        <v>0</v>
      </c>
      <c r="Q4714" t="n">
        <v>0</v>
      </c>
      <c r="R4714" s="2" t="inlineStr"/>
    </row>
    <row r="4715" ht="15" customHeight="1">
      <c r="A4715" t="inlineStr">
        <is>
          <t>A 42699-2025</t>
        </is>
      </c>
      <c r="B4715" s="1" t="n">
        <v>45908.36521990741</v>
      </c>
      <c r="C4715" s="1" t="n">
        <v>46093</v>
      </c>
      <c r="D4715" t="inlineStr">
        <is>
          <t>VÄSTERNORRLANDS LÄN</t>
        </is>
      </c>
      <c r="E4715" t="inlineStr">
        <is>
          <t>ÖRNSKÖLDSVIK</t>
        </is>
      </c>
      <c r="F4715" t="inlineStr">
        <is>
          <t>SCA</t>
        </is>
      </c>
      <c r="G4715" t="n">
        <v>4.6</v>
      </c>
      <c r="H4715" t="n">
        <v>0</v>
      </c>
      <c r="I4715" t="n">
        <v>0</v>
      </c>
      <c r="J4715" t="n">
        <v>0</v>
      </c>
      <c r="K4715" t="n">
        <v>0</v>
      </c>
      <c r="L4715" t="n">
        <v>0</v>
      </c>
      <c r="M4715" t="n">
        <v>0</v>
      </c>
      <c r="N4715" t="n">
        <v>0</v>
      </c>
      <c r="O4715" t="n">
        <v>0</v>
      </c>
      <c r="P4715" t="n">
        <v>0</v>
      </c>
      <c r="Q4715" t="n">
        <v>0</v>
      </c>
      <c r="R4715" s="2" t="inlineStr"/>
    </row>
    <row r="4716" ht="15" customHeight="1">
      <c r="A4716" t="inlineStr">
        <is>
          <t>A 48555-2021</t>
        </is>
      </c>
      <c r="B4716" s="1" t="n">
        <v>44452</v>
      </c>
      <c r="C4716" s="1" t="n">
        <v>46093</v>
      </c>
      <c r="D4716" t="inlineStr">
        <is>
          <t>VÄSTERNORRLANDS LÄN</t>
        </is>
      </c>
      <c r="E4716" t="inlineStr">
        <is>
          <t>SOLLEFTEÅ</t>
        </is>
      </c>
      <c r="G4716" t="n">
        <v>9.300000000000001</v>
      </c>
      <c r="H4716" t="n">
        <v>0</v>
      </c>
      <c r="I4716" t="n">
        <v>0</v>
      </c>
      <c r="J4716" t="n">
        <v>0</v>
      </c>
      <c r="K4716" t="n">
        <v>0</v>
      </c>
      <c r="L4716" t="n">
        <v>0</v>
      </c>
      <c r="M4716" t="n">
        <v>0</v>
      </c>
      <c r="N4716" t="n">
        <v>0</v>
      </c>
      <c r="O4716" t="n">
        <v>0</v>
      </c>
      <c r="P4716" t="n">
        <v>0</v>
      </c>
      <c r="Q4716" t="n">
        <v>0</v>
      </c>
      <c r="R4716" s="2" t="inlineStr"/>
    </row>
    <row r="4717" ht="15" customHeight="1">
      <c r="A4717" t="inlineStr">
        <is>
          <t>A 42730-2025</t>
        </is>
      </c>
      <c r="B4717" s="1" t="n">
        <v>45908.40666666667</v>
      </c>
      <c r="C4717" s="1" t="n">
        <v>46093</v>
      </c>
      <c r="D4717" t="inlineStr">
        <is>
          <t>VÄSTERNORRLANDS LÄN</t>
        </is>
      </c>
      <c r="E4717" t="inlineStr">
        <is>
          <t>ÅNGE</t>
        </is>
      </c>
      <c r="F4717" t="inlineStr">
        <is>
          <t>SCA</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42733-2025</t>
        </is>
      </c>
      <c r="B4718" s="1" t="n">
        <v>45908.4071875</v>
      </c>
      <c r="C4718" s="1" t="n">
        <v>46093</v>
      </c>
      <c r="D4718" t="inlineStr">
        <is>
          <t>VÄSTERNORRLANDS LÄN</t>
        </is>
      </c>
      <c r="E4718" t="inlineStr">
        <is>
          <t>SOLLEFTEÅ</t>
        </is>
      </c>
      <c r="F4718" t="inlineStr">
        <is>
          <t>SCA</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42778-2025</t>
        </is>
      </c>
      <c r="B4719" s="1" t="n">
        <v>45908</v>
      </c>
      <c r="C4719" s="1" t="n">
        <v>46093</v>
      </c>
      <c r="D4719" t="inlineStr">
        <is>
          <t>VÄSTERNORRLANDS LÄN</t>
        </is>
      </c>
      <c r="E4719" t="inlineStr">
        <is>
          <t>SOLLEFTEÅ</t>
        </is>
      </c>
      <c r="F4719" t="inlineStr">
        <is>
          <t>Holmen skog AB</t>
        </is>
      </c>
      <c r="G4719" t="n">
        <v>11.3</v>
      </c>
      <c r="H4719" t="n">
        <v>0</v>
      </c>
      <c r="I4719" t="n">
        <v>0</v>
      </c>
      <c r="J4719" t="n">
        <v>0</v>
      </c>
      <c r="K4719" t="n">
        <v>0</v>
      </c>
      <c r="L4719" t="n">
        <v>0</v>
      </c>
      <c r="M4719" t="n">
        <v>0</v>
      </c>
      <c r="N4719" t="n">
        <v>0</v>
      </c>
      <c r="O4719" t="n">
        <v>0</v>
      </c>
      <c r="P4719" t="n">
        <v>0</v>
      </c>
      <c r="Q4719" t="n">
        <v>0</v>
      </c>
      <c r="R4719" s="2" t="inlineStr"/>
    </row>
    <row r="4720" ht="15" customHeight="1">
      <c r="A4720" t="inlineStr">
        <is>
          <t>A 3437-2025</t>
        </is>
      </c>
      <c r="B4720" s="1" t="n">
        <v>45680</v>
      </c>
      <c r="C4720" s="1" t="n">
        <v>46093</v>
      </c>
      <c r="D4720" t="inlineStr">
        <is>
          <t>VÄSTERNORRLANDS LÄN</t>
        </is>
      </c>
      <c r="E4720" t="inlineStr">
        <is>
          <t>ÖRNSKÖLDSVIK</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57077-2024</t>
        </is>
      </c>
      <c r="B4721" s="1" t="n">
        <v>45629.35503472222</v>
      </c>
      <c r="C4721" s="1" t="n">
        <v>46093</v>
      </c>
      <c r="D4721" t="inlineStr">
        <is>
          <t>VÄSTERNORRLANDS LÄN</t>
        </is>
      </c>
      <c r="E4721" t="inlineStr">
        <is>
          <t>SUNDSVALL</t>
        </is>
      </c>
      <c r="F4721" t="inlineStr">
        <is>
          <t>SCA</t>
        </is>
      </c>
      <c r="G4721" t="n">
        <v>3</v>
      </c>
      <c r="H4721" t="n">
        <v>0</v>
      </c>
      <c r="I4721" t="n">
        <v>0</v>
      </c>
      <c r="J4721" t="n">
        <v>0</v>
      </c>
      <c r="K4721" t="n">
        <v>0</v>
      </c>
      <c r="L4721" t="n">
        <v>0</v>
      </c>
      <c r="M4721" t="n">
        <v>0</v>
      </c>
      <c r="N4721" t="n">
        <v>0</v>
      </c>
      <c r="O4721" t="n">
        <v>0</v>
      </c>
      <c r="P4721" t="n">
        <v>0</v>
      </c>
      <c r="Q4721" t="n">
        <v>0</v>
      </c>
      <c r="R4721" s="2" t="inlineStr"/>
    </row>
    <row r="4722" ht="15" customHeight="1">
      <c r="A4722" t="inlineStr">
        <is>
          <t>A 42589-2025</t>
        </is>
      </c>
      <c r="B4722" s="1" t="n">
        <v>45905.63585648148</v>
      </c>
      <c r="C4722" s="1" t="n">
        <v>46093</v>
      </c>
      <c r="D4722" t="inlineStr">
        <is>
          <t>VÄSTERNORRLANDS LÄN</t>
        </is>
      </c>
      <c r="E4722" t="inlineStr">
        <is>
          <t>ÅNGE</t>
        </is>
      </c>
      <c r="F4722" t="inlineStr">
        <is>
          <t>SCA</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56134-2023</t>
        </is>
      </c>
      <c r="B4723" s="1" t="n">
        <v>45240</v>
      </c>
      <c r="C4723" s="1" t="n">
        <v>46093</v>
      </c>
      <c r="D4723" t="inlineStr">
        <is>
          <t>VÄSTERNORRLANDS LÄN</t>
        </is>
      </c>
      <c r="E4723" t="inlineStr">
        <is>
          <t>SOLLEFTEÅ</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56137-2023</t>
        </is>
      </c>
      <c r="B4724" s="1" t="n">
        <v>45240.59096064815</v>
      </c>
      <c r="C4724" s="1" t="n">
        <v>46093</v>
      </c>
      <c r="D4724" t="inlineStr">
        <is>
          <t>VÄSTERNORRLANDS LÄN</t>
        </is>
      </c>
      <c r="E4724" t="inlineStr">
        <is>
          <t>SOLLEFTEÅ</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60647-2024</t>
        </is>
      </c>
      <c r="B4725" s="1" t="n">
        <v>45644.43476851852</v>
      </c>
      <c r="C4725" s="1" t="n">
        <v>46093</v>
      </c>
      <c r="D4725" t="inlineStr">
        <is>
          <t>VÄSTERNORRLANDS LÄN</t>
        </is>
      </c>
      <c r="E4725" t="inlineStr">
        <is>
          <t>ÖRNSKÖLDSVIK</t>
        </is>
      </c>
      <c r="G4725" t="n">
        <v>6.9</v>
      </c>
      <c r="H4725" t="n">
        <v>0</v>
      </c>
      <c r="I4725" t="n">
        <v>0</v>
      </c>
      <c r="J4725" t="n">
        <v>0</v>
      </c>
      <c r="K4725" t="n">
        <v>0</v>
      </c>
      <c r="L4725" t="n">
        <v>0</v>
      </c>
      <c r="M4725" t="n">
        <v>0</v>
      </c>
      <c r="N4725" t="n">
        <v>0</v>
      </c>
      <c r="O4725" t="n">
        <v>0</v>
      </c>
      <c r="P4725" t="n">
        <v>0</v>
      </c>
      <c r="Q4725" t="n">
        <v>0</v>
      </c>
      <c r="R4725" s="2" t="inlineStr"/>
    </row>
    <row r="4726" ht="15" customHeight="1">
      <c r="A4726" t="inlineStr">
        <is>
          <t>A 42594-2025</t>
        </is>
      </c>
      <c r="B4726" s="1" t="n">
        <v>45905.65270833333</v>
      </c>
      <c r="C4726" s="1" t="n">
        <v>46093</v>
      </c>
      <c r="D4726" t="inlineStr">
        <is>
          <t>VÄSTERNORRLANDS LÄN</t>
        </is>
      </c>
      <c r="E4726" t="inlineStr">
        <is>
          <t>ÖRNSKÖLDSVIK</t>
        </is>
      </c>
      <c r="F4726" t="inlineStr">
        <is>
          <t>Holmen skog AB</t>
        </is>
      </c>
      <c r="G4726" t="n">
        <v>6.6</v>
      </c>
      <c r="H4726" t="n">
        <v>0</v>
      </c>
      <c r="I4726" t="n">
        <v>0</v>
      </c>
      <c r="J4726" t="n">
        <v>0</v>
      </c>
      <c r="K4726" t="n">
        <v>0</v>
      </c>
      <c r="L4726" t="n">
        <v>0</v>
      </c>
      <c r="M4726" t="n">
        <v>0</v>
      </c>
      <c r="N4726" t="n">
        <v>0</v>
      </c>
      <c r="O4726" t="n">
        <v>0</v>
      </c>
      <c r="P4726" t="n">
        <v>0</v>
      </c>
      <c r="Q4726" t="n">
        <v>0</v>
      </c>
      <c r="R4726" s="2" t="inlineStr"/>
    </row>
    <row r="4727" ht="15" customHeight="1">
      <c r="A4727" t="inlineStr">
        <is>
          <t>A 48115-2023</t>
        </is>
      </c>
      <c r="B4727" s="1" t="n">
        <v>45205.34935185185</v>
      </c>
      <c r="C4727" s="1" t="n">
        <v>46093</v>
      </c>
      <c r="D4727" t="inlineStr">
        <is>
          <t>VÄSTERNORRLANDS LÄN</t>
        </is>
      </c>
      <c r="E4727" t="inlineStr">
        <is>
          <t>ÖRNSKÖLDSVIK</t>
        </is>
      </c>
      <c r="F4727" t="inlineStr">
        <is>
          <t>Holmen skog AB</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49039-2023</t>
        </is>
      </c>
      <c r="B4728" s="1" t="n">
        <v>45209</v>
      </c>
      <c r="C4728" s="1" t="n">
        <v>46093</v>
      </c>
      <c r="D4728" t="inlineStr">
        <is>
          <t>VÄSTERNORRLANDS LÄN</t>
        </is>
      </c>
      <c r="E4728" t="inlineStr">
        <is>
          <t>HÄRNÖSAND</t>
        </is>
      </c>
      <c r="F4728" t="inlineStr">
        <is>
          <t>SCA</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42726-2025</t>
        </is>
      </c>
      <c r="B4729" s="1" t="n">
        <v>45905</v>
      </c>
      <c r="C4729" s="1" t="n">
        <v>46093</v>
      </c>
      <c r="D4729" t="inlineStr">
        <is>
          <t>VÄSTERNORRLANDS LÄN</t>
        </is>
      </c>
      <c r="E4729" t="inlineStr">
        <is>
          <t>SUNDSVALL</t>
        </is>
      </c>
      <c r="G4729" t="n">
        <v>3.2</v>
      </c>
      <c r="H4729" t="n">
        <v>0</v>
      </c>
      <c r="I4729" t="n">
        <v>0</v>
      </c>
      <c r="J4729" t="n">
        <v>0</v>
      </c>
      <c r="K4729" t="n">
        <v>0</v>
      </c>
      <c r="L4729" t="n">
        <v>0</v>
      </c>
      <c r="M4729" t="n">
        <v>0</v>
      </c>
      <c r="N4729" t="n">
        <v>0</v>
      </c>
      <c r="O4729" t="n">
        <v>0</v>
      </c>
      <c r="P4729" t="n">
        <v>0</v>
      </c>
      <c r="Q4729" t="n">
        <v>0</v>
      </c>
      <c r="R4729" s="2" t="inlineStr"/>
    </row>
    <row r="4730" ht="15" customHeight="1">
      <c r="A4730" t="inlineStr">
        <is>
          <t>A 42764-2025</t>
        </is>
      </c>
      <c r="B4730" s="1" t="n">
        <v>45908.46943287037</v>
      </c>
      <c r="C4730" s="1" t="n">
        <v>46093</v>
      </c>
      <c r="D4730" t="inlineStr">
        <is>
          <t>VÄSTERNORRLANDS LÄN</t>
        </is>
      </c>
      <c r="E4730" t="inlineStr">
        <is>
          <t>ÅNGE</t>
        </is>
      </c>
      <c r="F4730" t="inlineStr">
        <is>
          <t>SCA</t>
        </is>
      </c>
      <c r="G4730" t="n">
        <v>3.5</v>
      </c>
      <c r="H4730" t="n">
        <v>0</v>
      </c>
      <c r="I4730" t="n">
        <v>0</v>
      </c>
      <c r="J4730" t="n">
        <v>0</v>
      </c>
      <c r="K4730" t="n">
        <v>0</v>
      </c>
      <c r="L4730" t="n">
        <v>0</v>
      </c>
      <c r="M4730" t="n">
        <v>0</v>
      </c>
      <c r="N4730" t="n">
        <v>0</v>
      </c>
      <c r="O4730" t="n">
        <v>0</v>
      </c>
      <c r="P4730" t="n">
        <v>0</v>
      </c>
      <c r="Q4730" t="n">
        <v>0</v>
      </c>
      <c r="R4730" s="2" t="inlineStr"/>
    </row>
    <row r="4731" ht="15" customHeight="1">
      <c r="A4731" t="inlineStr">
        <is>
          <t>A 55188-2024</t>
        </is>
      </c>
      <c r="B4731" s="1" t="n">
        <v>45621.5429050926</v>
      </c>
      <c r="C4731" s="1" t="n">
        <v>46093</v>
      </c>
      <c r="D4731" t="inlineStr">
        <is>
          <t>VÄSTERNORRLANDS LÄN</t>
        </is>
      </c>
      <c r="E4731" t="inlineStr">
        <is>
          <t>SUNDSVALL</t>
        </is>
      </c>
      <c r="G4731" t="n">
        <v>6.8</v>
      </c>
      <c r="H4731" t="n">
        <v>0</v>
      </c>
      <c r="I4731" t="n">
        <v>0</v>
      </c>
      <c r="J4731" t="n">
        <v>0</v>
      </c>
      <c r="K4731" t="n">
        <v>0</v>
      </c>
      <c r="L4731" t="n">
        <v>0</v>
      </c>
      <c r="M4731" t="n">
        <v>0</v>
      </c>
      <c r="N4731" t="n">
        <v>0</v>
      </c>
      <c r="O4731" t="n">
        <v>0</v>
      </c>
      <c r="P4731" t="n">
        <v>0</v>
      </c>
      <c r="Q4731" t="n">
        <v>0</v>
      </c>
      <c r="R4731" s="2" t="inlineStr"/>
    </row>
    <row r="4732" ht="15" customHeight="1">
      <c r="A4732" t="inlineStr">
        <is>
          <t>A 38768-2024</t>
        </is>
      </c>
      <c r="B4732" s="1" t="n">
        <v>45547.44892361111</v>
      </c>
      <c r="C4732" s="1" t="n">
        <v>46093</v>
      </c>
      <c r="D4732" t="inlineStr">
        <is>
          <t>VÄSTERNORRLANDS LÄN</t>
        </is>
      </c>
      <c r="E4732" t="inlineStr">
        <is>
          <t>SOLLEFTEÅ</t>
        </is>
      </c>
      <c r="F4732" t="inlineStr">
        <is>
          <t>SCA</t>
        </is>
      </c>
      <c r="G4732" t="n">
        <v>3.2</v>
      </c>
      <c r="H4732" t="n">
        <v>0</v>
      </c>
      <c r="I4732" t="n">
        <v>0</v>
      </c>
      <c r="J4732" t="n">
        <v>0</v>
      </c>
      <c r="K4732" t="n">
        <v>0</v>
      </c>
      <c r="L4732" t="n">
        <v>0</v>
      </c>
      <c r="M4732" t="n">
        <v>0</v>
      </c>
      <c r="N4732" t="n">
        <v>0</v>
      </c>
      <c r="O4732" t="n">
        <v>0</v>
      </c>
      <c r="P4732" t="n">
        <v>0</v>
      </c>
      <c r="Q4732" t="n">
        <v>0</v>
      </c>
      <c r="R4732" s="2" t="inlineStr"/>
    </row>
    <row r="4733" ht="15" customHeight="1">
      <c r="A4733" t="inlineStr">
        <is>
          <t>A 42806-2025</t>
        </is>
      </c>
      <c r="B4733" s="1" t="n">
        <v>45908</v>
      </c>
      <c r="C4733" s="1" t="n">
        <v>46093</v>
      </c>
      <c r="D4733" t="inlineStr">
        <is>
          <t>VÄSTERNORRLANDS LÄN</t>
        </is>
      </c>
      <c r="E4733" t="inlineStr">
        <is>
          <t>SOLLEFTEÅ</t>
        </is>
      </c>
      <c r="F4733" t="inlineStr">
        <is>
          <t>Holmen skog AB</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31562-2023</t>
        </is>
      </c>
      <c r="B4734" s="1" t="n">
        <v>45117</v>
      </c>
      <c r="C4734" s="1" t="n">
        <v>46093</v>
      </c>
      <c r="D4734" t="inlineStr">
        <is>
          <t>VÄSTERNORRLANDS LÄN</t>
        </is>
      </c>
      <c r="E4734" t="inlineStr">
        <is>
          <t>TIMRÅ</t>
        </is>
      </c>
      <c r="G4734" t="n">
        <v>3.7</v>
      </c>
      <c r="H4734" t="n">
        <v>0</v>
      </c>
      <c r="I4734" t="n">
        <v>0</v>
      </c>
      <c r="J4734" t="n">
        <v>0</v>
      </c>
      <c r="K4734" t="n">
        <v>0</v>
      </c>
      <c r="L4734" t="n">
        <v>0</v>
      </c>
      <c r="M4734" t="n">
        <v>0</v>
      </c>
      <c r="N4734" t="n">
        <v>0</v>
      </c>
      <c r="O4734" t="n">
        <v>0</v>
      </c>
      <c r="P4734" t="n">
        <v>0</v>
      </c>
      <c r="Q4734" t="n">
        <v>0</v>
      </c>
      <c r="R4734" s="2" t="inlineStr"/>
    </row>
    <row r="4735" ht="15" customHeight="1">
      <c r="A4735" t="inlineStr">
        <is>
          <t>A 32115-2025</t>
        </is>
      </c>
      <c r="B4735" s="1" t="n">
        <v>45835.48665509259</v>
      </c>
      <c r="C4735" s="1" t="n">
        <v>46093</v>
      </c>
      <c r="D4735" t="inlineStr">
        <is>
          <t>VÄSTERNORRLANDS LÄN</t>
        </is>
      </c>
      <c r="E4735" t="inlineStr">
        <is>
          <t>ÖRNSKÖLDSVIK</t>
        </is>
      </c>
      <c r="F4735" t="inlineStr">
        <is>
          <t>Holmen skog AB</t>
        </is>
      </c>
      <c r="G4735" t="n">
        <v>3.1</v>
      </c>
      <c r="H4735" t="n">
        <v>0</v>
      </c>
      <c r="I4735" t="n">
        <v>0</v>
      </c>
      <c r="J4735" t="n">
        <v>0</v>
      </c>
      <c r="K4735" t="n">
        <v>0</v>
      </c>
      <c r="L4735" t="n">
        <v>0</v>
      </c>
      <c r="M4735" t="n">
        <v>0</v>
      </c>
      <c r="N4735" t="n">
        <v>0</v>
      </c>
      <c r="O4735" t="n">
        <v>0</v>
      </c>
      <c r="P4735" t="n">
        <v>0</v>
      </c>
      <c r="Q4735" t="n">
        <v>0</v>
      </c>
      <c r="R4735" s="2" t="inlineStr"/>
    </row>
    <row r="4736" ht="15" customHeight="1">
      <c r="A4736" t="inlineStr">
        <is>
          <t>A 30456-2024</t>
        </is>
      </c>
      <c r="B4736" s="1" t="n">
        <v>45491.94521990741</v>
      </c>
      <c r="C4736" s="1" t="n">
        <v>46093</v>
      </c>
      <c r="D4736" t="inlineStr">
        <is>
          <t>VÄSTERNORRLANDS LÄN</t>
        </is>
      </c>
      <c r="E4736" t="inlineStr">
        <is>
          <t>KRAMFORS</t>
        </is>
      </c>
      <c r="F4736" t="inlineStr">
        <is>
          <t>SCA</t>
        </is>
      </c>
      <c r="G4736" t="n">
        <v>13.4</v>
      </c>
      <c r="H4736" t="n">
        <v>0</v>
      </c>
      <c r="I4736" t="n">
        <v>0</v>
      </c>
      <c r="J4736" t="n">
        <v>0</v>
      </c>
      <c r="K4736" t="n">
        <v>0</v>
      </c>
      <c r="L4736" t="n">
        <v>0</v>
      </c>
      <c r="M4736" t="n">
        <v>0</v>
      </c>
      <c r="N4736" t="n">
        <v>0</v>
      </c>
      <c r="O4736" t="n">
        <v>0</v>
      </c>
      <c r="P4736" t="n">
        <v>0</v>
      </c>
      <c r="Q4736" t="n">
        <v>0</v>
      </c>
      <c r="R4736" s="2" t="inlineStr"/>
    </row>
    <row r="4737" ht="15" customHeight="1">
      <c r="A4737" t="inlineStr">
        <is>
          <t>A 30460-2024</t>
        </is>
      </c>
      <c r="B4737" s="1" t="n">
        <v>45491.945625</v>
      </c>
      <c r="C4737" s="1" t="n">
        <v>46093</v>
      </c>
      <c r="D4737" t="inlineStr">
        <is>
          <t>VÄSTERNORRLANDS LÄN</t>
        </is>
      </c>
      <c r="E4737" t="inlineStr">
        <is>
          <t>ÖRNSKÖLDSVIK</t>
        </is>
      </c>
      <c r="F4737" t="inlineStr">
        <is>
          <t>SCA</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2583-2025</t>
        </is>
      </c>
      <c r="B4738" s="1" t="n">
        <v>45674.67803240741</v>
      </c>
      <c r="C4738" s="1" t="n">
        <v>46093</v>
      </c>
      <c r="D4738" t="inlineStr">
        <is>
          <t>VÄSTERNORRLANDS LÄN</t>
        </is>
      </c>
      <c r="E4738" t="inlineStr">
        <is>
          <t>SOLLEFTEÅ</t>
        </is>
      </c>
      <c r="F4738" t="inlineStr">
        <is>
          <t>SCA</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41196-2024</t>
        </is>
      </c>
      <c r="B4739" s="1" t="n">
        <v>45559.51123842593</v>
      </c>
      <c r="C4739" s="1" t="n">
        <v>46093</v>
      </c>
      <c r="D4739" t="inlineStr">
        <is>
          <t>VÄSTERNORRLANDS LÄN</t>
        </is>
      </c>
      <c r="E4739" t="inlineStr">
        <is>
          <t>SUNDSVALL</t>
        </is>
      </c>
      <c r="G4739" t="n">
        <v>13.2</v>
      </c>
      <c r="H4739" t="n">
        <v>0</v>
      </c>
      <c r="I4739" t="n">
        <v>0</v>
      </c>
      <c r="J4739" t="n">
        <v>0</v>
      </c>
      <c r="K4739" t="n">
        <v>0</v>
      </c>
      <c r="L4739" t="n">
        <v>0</v>
      </c>
      <c r="M4739" t="n">
        <v>0</v>
      </c>
      <c r="N4739" t="n">
        <v>0</v>
      </c>
      <c r="O4739" t="n">
        <v>0</v>
      </c>
      <c r="P4739" t="n">
        <v>0</v>
      </c>
      <c r="Q4739" t="n">
        <v>0</v>
      </c>
      <c r="R4739" s="2" t="inlineStr"/>
    </row>
    <row r="4740" ht="15" customHeight="1">
      <c r="A4740" t="inlineStr">
        <is>
          <t>A 30464-2024</t>
        </is>
      </c>
      <c r="B4740" s="1" t="n">
        <v>45491.94599537037</v>
      </c>
      <c r="C4740" s="1" t="n">
        <v>46093</v>
      </c>
      <c r="D4740" t="inlineStr">
        <is>
          <t>VÄSTERNORRLANDS LÄN</t>
        </is>
      </c>
      <c r="E4740" t="inlineStr">
        <is>
          <t>SOLLEFTEÅ</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30466-2024</t>
        </is>
      </c>
      <c r="B4741" s="1" t="n">
        <v>45491.94641203704</v>
      </c>
      <c r="C4741" s="1" t="n">
        <v>46093</v>
      </c>
      <c r="D4741" t="inlineStr">
        <is>
          <t>VÄSTERNORRLANDS LÄN</t>
        </is>
      </c>
      <c r="E4741" t="inlineStr">
        <is>
          <t>SOLLEFTEÅ</t>
        </is>
      </c>
      <c r="F4741" t="inlineStr">
        <is>
          <t>SCA</t>
        </is>
      </c>
      <c r="G4741" t="n">
        <v>5.2</v>
      </c>
      <c r="H4741" t="n">
        <v>0</v>
      </c>
      <c r="I4741" t="n">
        <v>0</v>
      </c>
      <c r="J4741" t="n">
        <v>0</v>
      </c>
      <c r="K4741" t="n">
        <v>0</v>
      </c>
      <c r="L4741" t="n">
        <v>0</v>
      </c>
      <c r="M4741" t="n">
        <v>0</v>
      </c>
      <c r="N4741" t="n">
        <v>0</v>
      </c>
      <c r="O4741" t="n">
        <v>0</v>
      </c>
      <c r="P4741" t="n">
        <v>0</v>
      </c>
      <c r="Q4741" t="n">
        <v>0</v>
      </c>
      <c r="R4741" s="2" t="inlineStr"/>
    </row>
    <row r="4742" ht="15" customHeight="1">
      <c r="A4742" t="inlineStr">
        <is>
          <t>A 30680-2024</t>
        </is>
      </c>
      <c r="B4742" s="1" t="n">
        <v>45495</v>
      </c>
      <c r="C4742" s="1" t="n">
        <v>46093</v>
      </c>
      <c r="D4742" t="inlineStr">
        <is>
          <t>VÄSTERNORRLANDS LÄN</t>
        </is>
      </c>
      <c r="E4742" t="inlineStr">
        <is>
          <t>TIMRÅ</t>
        </is>
      </c>
      <c r="F4742" t="inlineStr">
        <is>
          <t>SCA</t>
        </is>
      </c>
      <c r="G4742" t="n">
        <v>6</v>
      </c>
      <c r="H4742" t="n">
        <v>0</v>
      </c>
      <c r="I4742" t="n">
        <v>0</v>
      </c>
      <c r="J4742" t="n">
        <v>0</v>
      </c>
      <c r="K4742" t="n">
        <v>0</v>
      </c>
      <c r="L4742" t="n">
        <v>0</v>
      </c>
      <c r="M4742" t="n">
        <v>0</v>
      </c>
      <c r="N4742" t="n">
        <v>0</v>
      </c>
      <c r="O4742" t="n">
        <v>0</v>
      </c>
      <c r="P4742" t="n">
        <v>0</v>
      </c>
      <c r="Q4742" t="n">
        <v>0</v>
      </c>
      <c r="R4742" s="2" t="inlineStr"/>
    </row>
    <row r="4743" ht="15" customHeight="1">
      <c r="A4743" t="inlineStr">
        <is>
          <t>A 5457-2023</t>
        </is>
      </c>
      <c r="B4743" s="1" t="n">
        <v>44959.94081018519</v>
      </c>
      <c r="C4743" s="1" t="n">
        <v>46093</v>
      </c>
      <c r="D4743" t="inlineStr">
        <is>
          <t>VÄSTERNORRLANDS LÄN</t>
        </is>
      </c>
      <c r="E4743" t="inlineStr">
        <is>
          <t>KRAMFORS</t>
        </is>
      </c>
      <c r="F4743" t="inlineStr">
        <is>
          <t>SCA</t>
        </is>
      </c>
      <c r="G4743" t="n">
        <v>4.4</v>
      </c>
      <c r="H4743" t="n">
        <v>0</v>
      </c>
      <c r="I4743" t="n">
        <v>0</v>
      </c>
      <c r="J4743" t="n">
        <v>0</v>
      </c>
      <c r="K4743" t="n">
        <v>0</v>
      </c>
      <c r="L4743" t="n">
        <v>0</v>
      </c>
      <c r="M4743" t="n">
        <v>0</v>
      </c>
      <c r="N4743" t="n">
        <v>0</v>
      </c>
      <c r="O4743" t="n">
        <v>0</v>
      </c>
      <c r="P4743" t="n">
        <v>0</v>
      </c>
      <c r="Q4743" t="n">
        <v>0</v>
      </c>
      <c r="R4743" s="2" t="inlineStr"/>
    </row>
    <row r="4744" ht="15" customHeight="1">
      <c r="A4744" t="inlineStr">
        <is>
          <t>A 73564-2021</t>
        </is>
      </c>
      <c r="B4744" s="1" t="n">
        <v>44551.9409375</v>
      </c>
      <c r="C4744" s="1" t="n">
        <v>46093</v>
      </c>
      <c r="D4744" t="inlineStr">
        <is>
          <t>VÄSTERNORRLANDS LÄN</t>
        </is>
      </c>
      <c r="E4744" t="inlineStr">
        <is>
          <t>SOLLEFTEÅ</t>
        </is>
      </c>
      <c r="F4744" t="inlineStr">
        <is>
          <t>SCA</t>
        </is>
      </c>
      <c r="G4744" t="n">
        <v>3.6</v>
      </c>
      <c r="H4744" t="n">
        <v>0</v>
      </c>
      <c r="I4744" t="n">
        <v>0</v>
      </c>
      <c r="J4744" t="n">
        <v>0</v>
      </c>
      <c r="K4744" t="n">
        <v>0</v>
      </c>
      <c r="L4744" t="n">
        <v>0</v>
      </c>
      <c r="M4744" t="n">
        <v>0</v>
      </c>
      <c r="N4744" t="n">
        <v>0</v>
      </c>
      <c r="O4744" t="n">
        <v>0</v>
      </c>
      <c r="P4744" t="n">
        <v>0</v>
      </c>
      <c r="Q4744" t="n">
        <v>0</v>
      </c>
      <c r="R4744" s="2" t="inlineStr"/>
    </row>
    <row r="4745" ht="15" customHeight="1">
      <c r="A4745" t="inlineStr">
        <is>
          <t>A 3326-2025</t>
        </is>
      </c>
      <c r="B4745" s="1" t="n">
        <v>45679.69952546297</v>
      </c>
      <c r="C4745" s="1" t="n">
        <v>46093</v>
      </c>
      <c r="D4745" t="inlineStr">
        <is>
          <t>VÄSTERNORRLANDS LÄN</t>
        </is>
      </c>
      <c r="E4745" t="inlineStr">
        <is>
          <t>SUNDSVALL</t>
        </is>
      </c>
      <c r="F4745" t="inlineStr">
        <is>
          <t>SCA</t>
        </is>
      </c>
      <c r="G4745" t="n">
        <v>5.6</v>
      </c>
      <c r="H4745" t="n">
        <v>0</v>
      </c>
      <c r="I4745" t="n">
        <v>0</v>
      </c>
      <c r="J4745" t="n">
        <v>0</v>
      </c>
      <c r="K4745" t="n">
        <v>0</v>
      </c>
      <c r="L4745" t="n">
        <v>0</v>
      </c>
      <c r="M4745" t="n">
        <v>0</v>
      </c>
      <c r="N4745" t="n">
        <v>0</v>
      </c>
      <c r="O4745" t="n">
        <v>0</v>
      </c>
      <c r="P4745" t="n">
        <v>0</v>
      </c>
      <c r="Q4745" t="n">
        <v>0</v>
      </c>
      <c r="R4745" s="2" t="inlineStr"/>
    </row>
    <row r="4746" ht="15" customHeight="1">
      <c r="A4746" t="inlineStr">
        <is>
          <t>A 22563-2022</t>
        </is>
      </c>
      <c r="B4746" s="1" t="n">
        <v>44713.9384375</v>
      </c>
      <c r="C4746" s="1" t="n">
        <v>46093</v>
      </c>
      <c r="D4746" t="inlineStr">
        <is>
          <t>VÄSTERNORRLANDS LÄN</t>
        </is>
      </c>
      <c r="E4746" t="inlineStr">
        <is>
          <t>SUNDSVALL</t>
        </is>
      </c>
      <c r="F4746" t="inlineStr">
        <is>
          <t>SCA</t>
        </is>
      </c>
      <c r="G4746" t="n">
        <v>2.9</v>
      </c>
      <c r="H4746" t="n">
        <v>0</v>
      </c>
      <c r="I4746" t="n">
        <v>0</v>
      </c>
      <c r="J4746" t="n">
        <v>0</v>
      </c>
      <c r="K4746" t="n">
        <v>0</v>
      </c>
      <c r="L4746" t="n">
        <v>0</v>
      </c>
      <c r="M4746" t="n">
        <v>0</v>
      </c>
      <c r="N4746" t="n">
        <v>0</v>
      </c>
      <c r="O4746" t="n">
        <v>0</v>
      </c>
      <c r="P4746" t="n">
        <v>0</v>
      </c>
      <c r="Q4746" t="n">
        <v>0</v>
      </c>
      <c r="R4746" s="2" t="inlineStr"/>
    </row>
    <row r="4747" ht="15" customHeight="1">
      <c r="A4747" t="inlineStr">
        <is>
          <t>A 59407-2024</t>
        </is>
      </c>
      <c r="B4747" s="1" t="n">
        <v>45638.38917824074</v>
      </c>
      <c r="C4747" s="1" t="n">
        <v>46093</v>
      </c>
      <c r="D4747" t="inlineStr">
        <is>
          <t>VÄSTERNORRLANDS LÄN</t>
        </is>
      </c>
      <c r="E4747" t="inlineStr">
        <is>
          <t>SOLLEFTEÅ</t>
        </is>
      </c>
      <c r="G4747" t="n">
        <v>4.7</v>
      </c>
      <c r="H4747" t="n">
        <v>0</v>
      </c>
      <c r="I4747" t="n">
        <v>0</v>
      </c>
      <c r="J4747" t="n">
        <v>0</v>
      </c>
      <c r="K4747" t="n">
        <v>0</v>
      </c>
      <c r="L4747" t="n">
        <v>0</v>
      </c>
      <c r="M4747" t="n">
        <v>0</v>
      </c>
      <c r="N4747" t="n">
        <v>0</v>
      </c>
      <c r="O4747" t="n">
        <v>0</v>
      </c>
      <c r="P4747" t="n">
        <v>0</v>
      </c>
      <c r="Q4747" t="n">
        <v>0</v>
      </c>
      <c r="R4747" s="2" t="inlineStr"/>
    </row>
    <row r="4748" ht="15" customHeight="1">
      <c r="A4748" t="inlineStr">
        <is>
          <t>A 48019-2024</t>
        </is>
      </c>
      <c r="B4748" s="1" t="n">
        <v>45589.47023148148</v>
      </c>
      <c r="C4748" s="1" t="n">
        <v>46093</v>
      </c>
      <c r="D4748" t="inlineStr">
        <is>
          <t>VÄSTERNORRLANDS LÄN</t>
        </is>
      </c>
      <c r="E4748" t="inlineStr">
        <is>
          <t>SOLLEFTEÅ</t>
        </is>
      </c>
      <c r="G4748" t="n">
        <v>10.4</v>
      </c>
      <c r="H4748" t="n">
        <v>0</v>
      </c>
      <c r="I4748" t="n">
        <v>0</v>
      </c>
      <c r="J4748" t="n">
        <v>0</v>
      </c>
      <c r="K4748" t="n">
        <v>0</v>
      </c>
      <c r="L4748" t="n">
        <v>0</v>
      </c>
      <c r="M4748" t="n">
        <v>0</v>
      </c>
      <c r="N4748" t="n">
        <v>0</v>
      </c>
      <c r="O4748" t="n">
        <v>0</v>
      </c>
      <c r="P4748" t="n">
        <v>0</v>
      </c>
      <c r="Q4748" t="n">
        <v>0</v>
      </c>
      <c r="R4748" s="2" t="inlineStr"/>
    </row>
    <row r="4749" ht="15" customHeight="1">
      <c r="A4749" t="inlineStr">
        <is>
          <t>A 42418-2025</t>
        </is>
      </c>
      <c r="B4749" s="1" t="n">
        <v>45905.39775462963</v>
      </c>
      <c r="C4749" s="1" t="n">
        <v>46093</v>
      </c>
      <c r="D4749" t="inlineStr">
        <is>
          <t>VÄSTERNORRLANDS LÄN</t>
        </is>
      </c>
      <c r="E4749" t="inlineStr">
        <is>
          <t>ÖRNSKÖLDSVIK</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15196-2024</t>
        </is>
      </c>
      <c r="B4750" s="1" t="n">
        <v>45400</v>
      </c>
      <c r="C4750" s="1" t="n">
        <v>46093</v>
      </c>
      <c r="D4750" t="inlineStr">
        <is>
          <t>VÄSTERNORRLANDS LÄN</t>
        </is>
      </c>
      <c r="E4750" t="inlineStr">
        <is>
          <t>ÖRNSKÖLDSVIK</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48778-2023</t>
        </is>
      </c>
      <c r="B4751" s="1" t="n">
        <v>45208</v>
      </c>
      <c r="C4751" s="1" t="n">
        <v>46093</v>
      </c>
      <c r="D4751" t="inlineStr">
        <is>
          <t>VÄSTERNORRLANDS LÄN</t>
        </is>
      </c>
      <c r="E4751" t="inlineStr">
        <is>
          <t>SUNDSVALL</t>
        </is>
      </c>
      <c r="F4751" t="inlineStr">
        <is>
          <t>SCA</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56170-2022</t>
        </is>
      </c>
      <c r="B4752" s="1" t="n">
        <v>44889</v>
      </c>
      <c r="C4752" s="1" t="n">
        <v>46093</v>
      </c>
      <c r="D4752" t="inlineStr">
        <is>
          <t>VÄSTERNORRLANDS LÄN</t>
        </is>
      </c>
      <c r="E4752" t="inlineStr">
        <is>
          <t>TIMRÅ</t>
        </is>
      </c>
      <c r="F4752" t="inlineStr">
        <is>
          <t>SCA</t>
        </is>
      </c>
      <c r="G4752" t="n">
        <v>2.8</v>
      </c>
      <c r="H4752" t="n">
        <v>0</v>
      </c>
      <c r="I4752" t="n">
        <v>0</v>
      </c>
      <c r="J4752" t="n">
        <v>0</v>
      </c>
      <c r="K4752" t="n">
        <v>0</v>
      </c>
      <c r="L4752" t="n">
        <v>0</v>
      </c>
      <c r="M4752" t="n">
        <v>0</v>
      </c>
      <c r="N4752" t="n">
        <v>0</v>
      </c>
      <c r="O4752" t="n">
        <v>0</v>
      </c>
      <c r="P4752" t="n">
        <v>0</v>
      </c>
      <c r="Q4752" t="n">
        <v>0</v>
      </c>
      <c r="R4752" s="2" t="inlineStr"/>
    </row>
    <row r="4753" ht="15" customHeight="1">
      <c r="A4753" t="inlineStr">
        <is>
          <t>A 52002-2022</t>
        </is>
      </c>
      <c r="B4753" s="1" t="n">
        <v>44872</v>
      </c>
      <c r="C4753" s="1" t="n">
        <v>46093</v>
      </c>
      <c r="D4753" t="inlineStr">
        <is>
          <t>VÄSTERNORRLANDS LÄN</t>
        </is>
      </c>
      <c r="E4753" t="inlineStr">
        <is>
          <t>KRAMFORS</t>
        </is>
      </c>
      <c r="G4753" t="n">
        <v>7.7</v>
      </c>
      <c r="H4753" t="n">
        <v>0</v>
      </c>
      <c r="I4753" t="n">
        <v>0</v>
      </c>
      <c r="J4753" t="n">
        <v>0</v>
      </c>
      <c r="K4753" t="n">
        <v>0</v>
      </c>
      <c r="L4753" t="n">
        <v>0</v>
      </c>
      <c r="M4753" t="n">
        <v>0</v>
      </c>
      <c r="N4753" t="n">
        <v>0</v>
      </c>
      <c r="O4753" t="n">
        <v>0</v>
      </c>
      <c r="P4753" t="n">
        <v>0</v>
      </c>
      <c r="Q4753" t="n">
        <v>0</v>
      </c>
      <c r="R4753" s="2" t="inlineStr"/>
    </row>
    <row r="4754" ht="15" customHeight="1">
      <c r="A4754" t="inlineStr">
        <is>
          <t>A 42880-2025</t>
        </is>
      </c>
      <c r="B4754" s="1" t="n">
        <v>45908.63599537037</v>
      </c>
      <c r="C4754" s="1" t="n">
        <v>46093</v>
      </c>
      <c r="D4754" t="inlineStr">
        <is>
          <t>VÄSTERNORRLANDS LÄN</t>
        </is>
      </c>
      <c r="E4754" t="inlineStr">
        <is>
          <t>ÅNGE</t>
        </is>
      </c>
      <c r="G4754" t="n">
        <v>4.3</v>
      </c>
      <c r="H4754" t="n">
        <v>0</v>
      </c>
      <c r="I4754" t="n">
        <v>0</v>
      </c>
      <c r="J4754" t="n">
        <v>0</v>
      </c>
      <c r="K4754" t="n">
        <v>0</v>
      </c>
      <c r="L4754" t="n">
        <v>0</v>
      </c>
      <c r="M4754" t="n">
        <v>0</v>
      </c>
      <c r="N4754" t="n">
        <v>0</v>
      </c>
      <c r="O4754" t="n">
        <v>0</v>
      </c>
      <c r="P4754" t="n">
        <v>0</v>
      </c>
      <c r="Q4754" t="n">
        <v>0</v>
      </c>
      <c r="R4754" s="2" t="inlineStr"/>
    </row>
    <row r="4755" ht="15" customHeight="1">
      <c r="A4755" t="inlineStr">
        <is>
          <t>A 16055-2024</t>
        </is>
      </c>
      <c r="B4755" s="1" t="n">
        <v>45406</v>
      </c>
      <c r="C4755" s="1" t="n">
        <v>46093</v>
      </c>
      <c r="D4755" t="inlineStr">
        <is>
          <t>VÄSTERNORRLANDS LÄN</t>
        </is>
      </c>
      <c r="E4755" t="inlineStr">
        <is>
          <t>TIMRÅ</t>
        </is>
      </c>
      <c r="F4755" t="inlineStr">
        <is>
          <t>SCA</t>
        </is>
      </c>
      <c r="G4755" t="n">
        <v>5.1</v>
      </c>
      <c r="H4755" t="n">
        <v>0</v>
      </c>
      <c r="I4755" t="n">
        <v>0</v>
      </c>
      <c r="J4755" t="n">
        <v>0</v>
      </c>
      <c r="K4755" t="n">
        <v>0</v>
      </c>
      <c r="L4755" t="n">
        <v>0</v>
      </c>
      <c r="M4755" t="n">
        <v>0</v>
      </c>
      <c r="N4755" t="n">
        <v>0</v>
      </c>
      <c r="O4755" t="n">
        <v>0</v>
      </c>
      <c r="P4755" t="n">
        <v>0</v>
      </c>
      <c r="Q4755" t="n">
        <v>0</v>
      </c>
      <c r="R4755" s="2" t="inlineStr"/>
    </row>
    <row r="4756" ht="15" customHeight="1">
      <c r="A4756" t="inlineStr">
        <is>
          <t>A 49074-2023</t>
        </is>
      </c>
      <c r="B4756" s="1" t="n">
        <v>45210</v>
      </c>
      <c r="C4756" s="1" t="n">
        <v>46093</v>
      </c>
      <c r="D4756" t="inlineStr">
        <is>
          <t>VÄSTERNORRLANDS LÄN</t>
        </is>
      </c>
      <c r="E4756" t="inlineStr">
        <is>
          <t>ÖRNSKÖLDSVIK</t>
        </is>
      </c>
      <c r="F4756" t="inlineStr">
        <is>
          <t>Holmen skog AB</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55441-2023</t>
        </is>
      </c>
      <c r="B4757" s="1" t="n">
        <v>45231</v>
      </c>
      <c r="C4757" s="1" t="n">
        <v>46093</v>
      </c>
      <c r="D4757" t="inlineStr">
        <is>
          <t>VÄSTERNORRLANDS LÄN</t>
        </is>
      </c>
      <c r="E4757" t="inlineStr">
        <is>
          <t>TIMRÅ</t>
        </is>
      </c>
      <c r="G4757" t="n">
        <v>1</v>
      </c>
      <c r="H4757" t="n">
        <v>0</v>
      </c>
      <c r="I4757" t="n">
        <v>0</v>
      </c>
      <c r="J4757" t="n">
        <v>0</v>
      </c>
      <c r="K4757" t="n">
        <v>0</v>
      </c>
      <c r="L4757" t="n">
        <v>0</v>
      </c>
      <c r="M4757" t="n">
        <v>0</v>
      </c>
      <c r="N4757" t="n">
        <v>0</v>
      </c>
      <c r="O4757" t="n">
        <v>0</v>
      </c>
      <c r="P4757" t="n">
        <v>0</v>
      </c>
      <c r="Q4757" t="n">
        <v>0</v>
      </c>
      <c r="R4757" s="2" t="inlineStr"/>
    </row>
    <row r="4758" ht="15" customHeight="1">
      <c r="A4758" t="inlineStr">
        <is>
          <t>A 48785-2023</t>
        </is>
      </c>
      <c r="B4758" s="1" t="n">
        <v>45208</v>
      </c>
      <c r="C4758" s="1" t="n">
        <v>46093</v>
      </c>
      <c r="D4758" t="inlineStr">
        <is>
          <t>VÄSTERNORRLANDS LÄN</t>
        </is>
      </c>
      <c r="E4758" t="inlineStr">
        <is>
          <t>TIMRÅ</t>
        </is>
      </c>
      <c r="F4758" t="inlineStr">
        <is>
          <t>SCA</t>
        </is>
      </c>
      <c r="G4758" t="n">
        <v>3.4</v>
      </c>
      <c r="H4758" t="n">
        <v>0</v>
      </c>
      <c r="I4758" t="n">
        <v>0</v>
      </c>
      <c r="J4758" t="n">
        <v>0</v>
      </c>
      <c r="K4758" t="n">
        <v>0</v>
      </c>
      <c r="L4758" t="n">
        <v>0</v>
      </c>
      <c r="M4758" t="n">
        <v>0</v>
      </c>
      <c r="N4758" t="n">
        <v>0</v>
      </c>
      <c r="O4758" t="n">
        <v>0</v>
      </c>
      <c r="P4758" t="n">
        <v>0</v>
      </c>
      <c r="Q4758" t="n">
        <v>0</v>
      </c>
      <c r="R4758" s="2" t="inlineStr"/>
    </row>
    <row r="4759" ht="15" customHeight="1">
      <c r="A4759" t="inlineStr">
        <is>
          <t>A 39739-2022</t>
        </is>
      </c>
      <c r="B4759" s="1" t="n">
        <v>44819</v>
      </c>
      <c r="C4759" s="1" t="n">
        <v>46093</v>
      </c>
      <c r="D4759" t="inlineStr">
        <is>
          <t>VÄSTERNORRLANDS LÄN</t>
        </is>
      </c>
      <c r="E4759" t="inlineStr">
        <is>
          <t>ÖRNSKÖLDSVIK</t>
        </is>
      </c>
      <c r="G4759" t="n">
        <v>3.4</v>
      </c>
      <c r="H4759" t="n">
        <v>0</v>
      </c>
      <c r="I4759" t="n">
        <v>0</v>
      </c>
      <c r="J4759" t="n">
        <v>0</v>
      </c>
      <c r="K4759" t="n">
        <v>0</v>
      </c>
      <c r="L4759" t="n">
        <v>0</v>
      </c>
      <c r="M4759" t="n">
        <v>0</v>
      </c>
      <c r="N4759" t="n">
        <v>0</v>
      </c>
      <c r="O4759" t="n">
        <v>0</v>
      </c>
      <c r="P4759" t="n">
        <v>0</v>
      </c>
      <c r="Q4759" t="n">
        <v>0</v>
      </c>
      <c r="R4759" s="2" t="inlineStr"/>
    </row>
    <row r="4760" ht="15" customHeight="1">
      <c r="A4760" t="inlineStr">
        <is>
          <t>A 56249-2023</t>
        </is>
      </c>
      <c r="B4760" s="1" t="n">
        <v>45240.9468287037</v>
      </c>
      <c r="C4760" s="1" t="n">
        <v>46093</v>
      </c>
      <c r="D4760" t="inlineStr">
        <is>
          <t>VÄSTERNORRLANDS LÄN</t>
        </is>
      </c>
      <c r="E4760" t="inlineStr">
        <is>
          <t>SOLLEFTEÅ</t>
        </is>
      </c>
      <c r="F4760" t="inlineStr">
        <is>
          <t>SCA</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33390-2025</t>
        </is>
      </c>
      <c r="B4761" s="1" t="n">
        <v>45841.40700231482</v>
      </c>
      <c r="C4761" s="1" t="n">
        <v>46093</v>
      </c>
      <c r="D4761" t="inlineStr">
        <is>
          <t>VÄSTERNORRLANDS LÄN</t>
        </is>
      </c>
      <c r="E4761" t="inlineStr">
        <is>
          <t>KRAMFORS</t>
        </is>
      </c>
      <c r="G4761" t="n">
        <v>4.8</v>
      </c>
      <c r="H4761" t="n">
        <v>0</v>
      </c>
      <c r="I4761" t="n">
        <v>0</v>
      </c>
      <c r="J4761" t="n">
        <v>0</v>
      </c>
      <c r="K4761" t="n">
        <v>0</v>
      </c>
      <c r="L4761" t="n">
        <v>0</v>
      </c>
      <c r="M4761" t="n">
        <v>0</v>
      </c>
      <c r="N4761" t="n">
        <v>0</v>
      </c>
      <c r="O4761" t="n">
        <v>0</v>
      </c>
      <c r="P4761" t="n">
        <v>0</v>
      </c>
      <c r="Q4761" t="n">
        <v>0</v>
      </c>
      <c r="R4761" s="2" t="inlineStr"/>
    </row>
    <row r="4762" ht="15" customHeight="1">
      <c r="A4762" t="inlineStr">
        <is>
          <t>A 12475-2022</t>
        </is>
      </c>
      <c r="B4762" s="1" t="n">
        <v>44638</v>
      </c>
      <c r="C4762" s="1" t="n">
        <v>46093</v>
      </c>
      <c r="D4762" t="inlineStr">
        <is>
          <t>VÄSTERNORRLANDS LÄN</t>
        </is>
      </c>
      <c r="E4762" t="inlineStr">
        <is>
          <t>ÖRNSKÖLDSVIK</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12494-2022</t>
        </is>
      </c>
      <c r="B4763" s="1" t="n">
        <v>44638.50601851852</v>
      </c>
      <c r="C4763" s="1" t="n">
        <v>46093</v>
      </c>
      <c r="D4763" t="inlineStr">
        <is>
          <t>VÄSTERNORRLANDS LÄN</t>
        </is>
      </c>
      <c r="E4763" t="inlineStr">
        <is>
          <t>SUNDSVALL</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30894-2024</t>
        </is>
      </c>
      <c r="B4764" s="1" t="n">
        <v>45498.44967592593</v>
      </c>
      <c r="C4764" s="1" t="n">
        <v>46093</v>
      </c>
      <c r="D4764" t="inlineStr">
        <is>
          <t>VÄSTERNORRLANDS LÄN</t>
        </is>
      </c>
      <c r="E4764" t="inlineStr">
        <is>
          <t>ÖRNSKÖLDSVIK</t>
        </is>
      </c>
      <c r="F4764" t="inlineStr">
        <is>
          <t>Holmen skog AB</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43023-2025</t>
        </is>
      </c>
      <c r="B4765" s="1" t="n">
        <v>45909</v>
      </c>
      <c r="C4765" s="1" t="n">
        <v>46093</v>
      </c>
      <c r="D4765" t="inlineStr">
        <is>
          <t>VÄSTERNORRLANDS LÄN</t>
        </is>
      </c>
      <c r="E4765" t="inlineStr">
        <is>
          <t>ÖRNSKÖLDSVIK</t>
        </is>
      </c>
      <c r="G4765" t="n">
        <v>8.4</v>
      </c>
      <c r="H4765" t="n">
        <v>0</v>
      </c>
      <c r="I4765" t="n">
        <v>0</v>
      </c>
      <c r="J4765" t="n">
        <v>0</v>
      </c>
      <c r="K4765" t="n">
        <v>0</v>
      </c>
      <c r="L4765" t="n">
        <v>0</v>
      </c>
      <c r="M4765" t="n">
        <v>0</v>
      </c>
      <c r="N4765" t="n">
        <v>0</v>
      </c>
      <c r="O4765" t="n">
        <v>0</v>
      </c>
      <c r="P4765" t="n">
        <v>0</v>
      </c>
      <c r="Q4765" t="n">
        <v>0</v>
      </c>
      <c r="R4765" s="2" t="inlineStr"/>
    </row>
    <row r="4766" ht="15" customHeight="1">
      <c r="A4766" t="inlineStr">
        <is>
          <t>A 18187-2024</t>
        </is>
      </c>
      <c r="B4766" s="1" t="n">
        <v>45420</v>
      </c>
      <c r="C4766" s="1" t="n">
        <v>46093</v>
      </c>
      <c r="D4766" t="inlineStr">
        <is>
          <t>VÄSTERNORRLANDS LÄN</t>
        </is>
      </c>
      <c r="E4766" t="inlineStr">
        <is>
          <t>KRAMFORS</t>
        </is>
      </c>
      <c r="G4766" t="n">
        <v>2.3</v>
      </c>
      <c r="H4766" t="n">
        <v>0</v>
      </c>
      <c r="I4766" t="n">
        <v>0</v>
      </c>
      <c r="J4766" t="n">
        <v>0</v>
      </c>
      <c r="K4766" t="n">
        <v>0</v>
      </c>
      <c r="L4766" t="n">
        <v>0</v>
      </c>
      <c r="M4766" t="n">
        <v>0</v>
      </c>
      <c r="N4766" t="n">
        <v>0</v>
      </c>
      <c r="O4766" t="n">
        <v>0</v>
      </c>
      <c r="P4766" t="n">
        <v>0</v>
      </c>
      <c r="Q4766" t="n">
        <v>0</v>
      </c>
      <c r="R4766" s="2" t="inlineStr"/>
    </row>
    <row r="4767" ht="15" customHeight="1">
      <c r="A4767" t="inlineStr">
        <is>
          <t>A 55639-2023</t>
        </is>
      </c>
      <c r="B4767" s="1" t="n">
        <v>45238.92765046296</v>
      </c>
      <c r="C4767" s="1" t="n">
        <v>46093</v>
      </c>
      <c r="D4767" t="inlineStr">
        <is>
          <t>VÄSTERNORRLANDS LÄN</t>
        </is>
      </c>
      <c r="E4767" t="inlineStr">
        <is>
          <t>ÖRNSKÖLDSVIK</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43029-2025</t>
        </is>
      </c>
      <c r="B4768" s="1" t="n">
        <v>45909.5356712963</v>
      </c>
      <c r="C4768" s="1" t="n">
        <v>46093</v>
      </c>
      <c r="D4768" t="inlineStr">
        <is>
          <t>VÄSTERNORRLANDS LÄN</t>
        </is>
      </c>
      <c r="E4768" t="inlineStr">
        <is>
          <t>KRAMFORS</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20856-2024</t>
        </is>
      </c>
      <c r="B4769" s="1" t="n">
        <v>45439.42201388889</v>
      </c>
      <c r="C4769" s="1" t="n">
        <v>46093</v>
      </c>
      <c r="D4769" t="inlineStr">
        <is>
          <t>VÄSTERNORRLANDS LÄN</t>
        </is>
      </c>
      <c r="E4769" t="inlineStr">
        <is>
          <t>ÖRNSKÖLDSVIK</t>
        </is>
      </c>
      <c r="F4769" t="inlineStr">
        <is>
          <t>Holmen skog AB</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42975-2025</t>
        </is>
      </c>
      <c r="B4770" s="1" t="n">
        <v>45909.42412037037</v>
      </c>
      <c r="C4770" s="1" t="n">
        <v>46093</v>
      </c>
      <c r="D4770" t="inlineStr">
        <is>
          <t>VÄSTERNORRLANDS LÄN</t>
        </is>
      </c>
      <c r="E4770" t="inlineStr">
        <is>
          <t>KRAMFORS</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36492-2023</t>
        </is>
      </c>
      <c r="B4771" s="1" t="n">
        <v>45152.92479166666</v>
      </c>
      <c r="C4771" s="1" t="n">
        <v>46093</v>
      </c>
      <c r="D4771" t="inlineStr">
        <is>
          <t>VÄSTERNORRLANDS LÄN</t>
        </is>
      </c>
      <c r="E4771" t="inlineStr">
        <is>
          <t>ÅNGE</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36496-2023</t>
        </is>
      </c>
      <c r="B4772" s="1" t="n">
        <v>45152</v>
      </c>
      <c r="C4772" s="1" t="n">
        <v>46093</v>
      </c>
      <c r="D4772" t="inlineStr">
        <is>
          <t>VÄSTERNORRLANDS LÄN</t>
        </is>
      </c>
      <c r="E4772" t="inlineStr">
        <is>
          <t>HÄRNÖSAND</t>
        </is>
      </c>
      <c r="G4772" t="n">
        <v>5.5</v>
      </c>
      <c r="H4772" t="n">
        <v>0</v>
      </c>
      <c r="I4772" t="n">
        <v>0</v>
      </c>
      <c r="J4772" t="n">
        <v>0</v>
      </c>
      <c r="K4772" t="n">
        <v>0</v>
      </c>
      <c r="L4772" t="n">
        <v>0</v>
      </c>
      <c r="M4772" t="n">
        <v>0</v>
      </c>
      <c r="N4772" t="n">
        <v>0</v>
      </c>
      <c r="O4772" t="n">
        <v>0</v>
      </c>
      <c r="P4772" t="n">
        <v>0</v>
      </c>
      <c r="Q4772" t="n">
        <v>0</v>
      </c>
      <c r="R4772" s="2" t="inlineStr"/>
    </row>
    <row r="4773" ht="15" customHeight="1">
      <c r="A4773" t="inlineStr">
        <is>
          <t>A 42951-2025</t>
        </is>
      </c>
      <c r="B4773" s="1" t="n">
        <v>45909.35418981482</v>
      </c>
      <c r="C4773" s="1" t="n">
        <v>46093</v>
      </c>
      <c r="D4773" t="inlineStr">
        <is>
          <t>VÄSTERNORRLANDS LÄN</t>
        </is>
      </c>
      <c r="E4773" t="inlineStr">
        <is>
          <t>KRAMFORS</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42952-2025</t>
        </is>
      </c>
      <c r="B4774" s="1" t="n">
        <v>45909.35461805556</v>
      </c>
      <c r="C4774" s="1" t="n">
        <v>46093</v>
      </c>
      <c r="D4774" t="inlineStr">
        <is>
          <t>VÄSTERNORRLANDS LÄN</t>
        </is>
      </c>
      <c r="E4774" t="inlineStr">
        <is>
          <t>KRAMFORS</t>
        </is>
      </c>
      <c r="G4774" t="n">
        <v>0.3</v>
      </c>
      <c r="H4774" t="n">
        <v>0</v>
      </c>
      <c r="I4774" t="n">
        <v>0</v>
      </c>
      <c r="J4774" t="n">
        <v>0</v>
      </c>
      <c r="K4774" t="n">
        <v>0</v>
      </c>
      <c r="L4774" t="n">
        <v>0</v>
      </c>
      <c r="M4774" t="n">
        <v>0</v>
      </c>
      <c r="N4774" t="n">
        <v>0</v>
      </c>
      <c r="O4774" t="n">
        <v>0</v>
      </c>
      <c r="P4774" t="n">
        <v>0</v>
      </c>
      <c r="Q4774" t="n">
        <v>0</v>
      </c>
      <c r="R4774" s="2" t="inlineStr"/>
    </row>
    <row r="4775" ht="15" customHeight="1">
      <c r="A4775" t="inlineStr">
        <is>
          <t>A 42962-2025</t>
        </is>
      </c>
      <c r="B4775" s="1" t="n">
        <v>45909.36797453704</v>
      </c>
      <c r="C4775" s="1" t="n">
        <v>46093</v>
      </c>
      <c r="D4775" t="inlineStr">
        <is>
          <t>VÄSTERNORRLANDS LÄN</t>
        </is>
      </c>
      <c r="E4775" t="inlineStr">
        <is>
          <t>KRAMFORS</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45820-2023</t>
        </is>
      </c>
      <c r="B4776" s="1" t="n">
        <v>45189</v>
      </c>
      <c r="C4776" s="1" t="n">
        <v>46093</v>
      </c>
      <c r="D4776" t="inlineStr">
        <is>
          <t>VÄSTERNORRLANDS LÄN</t>
        </is>
      </c>
      <c r="E4776" t="inlineStr">
        <is>
          <t>ÖRNSKÖLDSVIK</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43150-2025</t>
        </is>
      </c>
      <c r="B4777" s="1" t="n">
        <v>45910.33319444444</v>
      </c>
      <c r="C4777" s="1" t="n">
        <v>46093</v>
      </c>
      <c r="D4777" t="inlineStr">
        <is>
          <t>VÄSTERNORRLANDS LÄN</t>
        </is>
      </c>
      <c r="E4777" t="inlineStr">
        <is>
          <t>ÖRNSKÖLDSVIK</t>
        </is>
      </c>
      <c r="G4777" t="n">
        <v>22.8</v>
      </c>
      <c r="H4777" t="n">
        <v>0</v>
      </c>
      <c r="I4777" t="n">
        <v>0</v>
      </c>
      <c r="J4777" t="n">
        <v>0</v>
      </c>
      <c r="K4777" t="n">
        <v>0</v>
      </c>
      <c r="L4777" t="n">
        <v>0</v>
      </c>
      <c r="M4777" t="n">
        <v>0</v>
      </c>
      <c r="N4777" t="n">
        <v>0</v>
      </c>
      <c r="O4777" t="n">
        <v>0</v>
      </c>
      <c r="P4777" t="n">
        <v>0</v>
      </c>
      <c r="Q4777" t="n">
        <v>0</v>
      </c>
      <c r="R4777" s="2" t="inlineStr"/>
    </row>
    <row r="4778" ht="15" customHeight="1">
      <c r="A4778" t="inlineStr">
        <is>
          <t>A 43161-2025</t>
        </is>
      </c>
      <c r="B4778" s="1" t="n">
        <v>45910.36539351852</v>
      </c>
      <c r="C4778" s="1" t="n">
        <v>46093</v>
      </c>
      <c r="D4778" t="inlineStr">
        <is>
          <t>VÄSTERNORRLANDS LÄN</t>
        </is>
      </c>
      <c r="E4778" t="inlineStr">
        <is>
          <t>ÖRNSKÖLDSVIK</t>
        </is>
      </c>
      <c r="F4778" t="inlineStr">
        <is>
          <t>Kommuner</t>
        </is>
      </c>
      <c r="G4778" t="n">
        <v>11.5</v>
      </c>
      <c r="H4778" t="n">
        <v>0</v>
      </c>
      <c r="I4778" t="n">
        <v>0</v>
      </c>
      <c r="J4778" t="n">
        <v>0</v>
      </c>
      <c r="K4778" t="n">
        <v>0</v>
      </c>
      <c r="L4778" t="n">
        <v>0</v>
      </c>
      <c r="M4778" t="n">
        <v>0</v>
      </c>
      <c r="N4778" t="n">
        <v>0</v>
      </c>
      <c r="O4778" t="n">
        <v>0</v>
      </c>
      <c r="P4778" t="n">
        <v>0</v>
      </c>
      <c r="Q4778" t="n">
        <v>0</v>
      </c>
      <c r="R4778" s="2" t="inlineStr"/>
    </row>
    <row r="4779" ht="15" customHeight="1">
      <c r="A4779" t="inlineStr">
        <is>
          <t>A 8033-2024</t>
        </is>
      </c>
      <c r="B4779" s="1" t="n">
        <v>45350.95284722222</v>
      </c>
      <c r="C4779" s="1" t="n">
        <v>46093</v>
      </c>
      <c r="D4779" t="inlineStr">
        <is>
          <t>VÄSTERNORRLANDS LÄN</t>
        </is>
      </c>
      <c r="E4779" t="inlineStr">
        <is>
          <t>SOLLEFTEÅ</t>
        </is>
      </c>
      <c r="F4779" t="inlineStr">
        <is>
          <t>SCA</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8038-2024</t>
        </is>
      </c>
      <c r="B4780" s="1" t="n">
        <v>45350</v>
      </c>
      <c r="C4780" s="1" t="n">
        <v>46093</v>
      </c>
      <c r="D4780" t="inlineStr">
        <is>
          <t>VÄSTERNORRLANDS LÄN</t>
        </is>
      </c>
      <c r="E4780" t="inlineStr">
        <is>
          <t>SOLLEFTEÅ</t>
        </is>
      </c>
      <c r="F4780" t="inlineStr">
        <is>
          <t>SCA</t>
        </is>
      </c>
      <c r="G4780" t="n">
        <v>4.7</v>
      </c>
      <c r="H4780" t="n">
        <v>0</v>
      </c>
      <c r="I4780" t="n">
        <v>0</v>
      </c>
      <c r="J4780" t="n">
        <v>0</v>
      </c>
      <c r="K4780" t="n">
        <v>0</v>
      </c>
      <c r="L4780" t="n">
        <v>0</v>
      </c>
      <c r="M4780" t="n">
        <v>0</v>
      </c>
      <c r="N4780" t="n">
        <v>0</v>
      </c>
      <c r="O4780" t="n">
        <v>0</v>
      </c>
      <c r="P4780" t="n">
        <v>0</v>
      </c>
      <c r="Q4780" t="n">
        <v>0</v>
      </c>
      <c r="R4780" s="2" t="inlineStr"/>
    </row>
    <row r="4781" ht="15" customHeight="1">
      <c r="A4781" t="inlineStr">
        <is>
          <t>A 8039-2024</t>
        </is>
      </c>
      <c r="B4781" s="1" t="n">
        <v>45350</v>
      </c>
      <c r="C4781" s="1" t="n">
        <v>46093</v>
      </c>
      <c r="D4781" t="inlineStr">
        <is>
          <t>VÄSTERNORRLANDS LÄN</t>
        </is>
      </c>
      <c r="E4781" t="inlineStr">
        <is>
          <t>SOLLEFTEÅ</t>
        </is>
      </c>
      <c r="F4781" t="inlineStr">
        <is>
          <t>SCA</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42953-2024</t>
        </is>
      </c>
      <c r="B4782" s="1" t="n">
        <v>45567</v>
      </c>
      <c r="C4782" s="1" t="n">
        <v>46093</v>
      </c>
      <c r="D4782" t="inlineStr">
        <is>
          <t>VÄSTERNORRLANDS LÄN</t>
        </is>
      </c>
      <c r="E4782" t="inlineStr">
        <is>
          <t>ÅNGE</t>
        </is>
      </c>
      <c r="F4782" t="inlineStr">
        <is>
          <t>SCA</t>
        </is>
      </c>
      <c r="G4782" t="n">
        <v>3</v>
      </c>
      <c r="H4782" t="n">
        <v>0</v>
      </c>
      <c r="I4782" t="n">
        <v>0</v>
      </c>
      <c r="J4782" t="n">
        <v>0</v>
      </c>
      <c r="K4782" t="n">
        <v>0</v>
      </c>
      <c r="L4782" t="n">
        <v>0</v>
      </c>
      <c r="M4782" t="n">
        <v>0</v>
      </c>
      <c r="N4782" t="n">
        <v>0</v>
      </c>
      <c r="O4782" t="n">
        <v>0</v>
      </c>
      <c r="P4782" t="n">
        <v>0</v>
      </c>
      <c r="Q4782" t="n">
        <v>0</v>
      </c>
      <c r="R4782" s="2" t="inlineStr"/>
    </row>
    <row r="4783" ht="15" customHeight="1">
      <c r="A4783" t="inlineStr">
        <is>
          <t>A 42968-2024</t>
        </is>
      </c>
      <c r="B4783" s="1" t="n">
        <v>45567</v>
      </c>
      <c r="C4783" s="1" t="n">
        <v>46093</v>
      </c>
      <c r="D4783" t="inlineStr">
        <is>
          <t>VÄSTERNORRLANDS LÄN</t>
        </is>
      </c>
      <c r="E4783" t="inlineStr">
        <is>
          <t>ÅNGE</t>
        </is>
      </c>
      <c r="F4783" t="inlineStr">
        <is>
          <t>SCA</t>
        </is>
      </c>
      <c r="G4783" t="n">
        <v>3.4</v>
      </c>
      <c r="H4783" t="n">
        <v>0</v>
      </c>
      <c r="I4783" t="n">
        <v>0</v>
      </c>
      <c r="J4783" t="n">
        <v>0</v>
      </c>
      <c r="K4783" t="n">
        <v>0</v>
      </c>
      <c r="L4783" t="n">
        <v>0</v>
      </c>
      <c r="M4783" t="n">
        <v>0</v>
      </c>
      <c r="N4783" t="n">
        <v>0</v>
      </c>
      <c r="O4783" t="n">
        <v>0</v>
      </c>
      <c r="P4783" t="n">
        <v>0</v>
      </c>
      <c r="Q4783" t="n">
        <v>0</v>
      </c>
      <c r="R4783" s="2" t="inlineStr"/>
    </row>
    <row r="4784" ht="15" customHeight="1">
      <c r="A4784" t="inlineStr">
        <is>
          <t>A 43431-2025</t>
        </is>
      </c>
      <c r="B4784" s="1" t="n">
        <v>45910</v>
      </c>
      <c r="C4784" s="1" t="n">
        <v>46093</v>
      </c>
      <c r="D4784" t="inlineStr">
        <is>
          <t>VÄSTERNORRLANDS LÄN</t>
        </is>
      </c>
      <c r="E4784" t="inlineStr">
        <is>
          <t>ÖRNSKÖLDSVIK</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8054-2024</t>
        </is>
      </c>
      <c r="B4785" s="1" t="n">
        <v>45351.36135416666</v>
      </c>
      <c r="C4785" s="1" t="n">
        <v>46093</v>
      </c>
      <c r="D4785" t="inlineStr">
        <is>
          <t>VÄSTERNORRLANDS LÄN</t>
        </is>
      </c>
      <c r="E4785" t="inlineStr">
        <is>
          <t>ÖRNSKÖLDSVIK</t>
        </is>
      </c>
      <c r="G4785" t="n">
        <v>3.7</v>
      </c>
      <c r="H4785" t="n">
        <v>0</v>
      </c>
      <c r="I4785" t="n">
        <v>0</v>
      </c>
      <c r="J4785" t="n">
        <v>0</v>
      </c>
      <c r="K4785" t="n">
        <v>0</v>
      </c>
      <c r="L4785" t="n">
        <v>0</v>
      </c>
      <c r="M4785" t="n">
        <v>0</v>
      </c>
      <c r="N4785" t="n">
        <v>0</v>
      </c>
      <c r="O4785" t="n">
        <v>0</v>
      </c>
      <c r="P4785" t="n">
        <v>0</v>
      </c>
      <c r="Q4785" t="n">
        <v>0</v>
      </c>
      <c r="R4785" s="2" t="inlineStr"/>
    </row>
    <row r="4786" ht="15" customHeight="1">
      <c r="A4786" t="inlineStr">
        <is>
          <t>A 55937-2022</t>
        </is>
      </c>
      <c r="B4786" s="1" t="n">
        <v>44889.37806712963</v>
      </c>
      <c r="C4786" s="1" t="n">
        <v>46093</v>
      </c>
      <c r="D4786" t="inlineStr">
        <is>
          <t>VÄSTERNORRLANDS LÄN</t>
        </is>
      </c>
      <c r="E4786" t="inlineStr">
        <is>
          <t>ÖRNSKÖLDSVIK</t>
        </is>
      </c>
      <c r="G4786" t="n">
        <v>2.5</v>
      </c>
      <c r="H4786" t="n">
        <v>0</v>
      </c>
      <c r="I4786" t="n">
        <v>0</v>
      </c>
      <c r="J4786" t="n">
        <v>0</v>
      </c>
      <c r="K4786" t="n">
        <v>0</v>
      </c>
      <c r="L4786" t="n">
        <v>0</v>
      </c>
      <c r="M4786" t="n">
        <v>0</v>
      </c>
      <c r="N4786" t="n">
        <v>0</v>
      </c>
      <c r="O4786" t="n">
        <v>0</v>
      </c>
      <c r="P4786" t="n">
        <v>0</v>
      </c>
      <c r="Q4786" t="n">
        <v>0</v>
      </c>
      <c r="R4786" s="2" t="inlineStr"/>
    </row>
    <row r="4787" ht="15" customHeight="1">
      <c r="A4787" t="inlineStr">
        <is>
          <t>A 43237-2025</t>
        </is>
      </c>
      <c r="B4787" s="1" t="n">
        <v>45910.51670138889</v>
      </c>
      <c r="C4787" s="1" t="n">
        <v>46093</v>
      </c>
      <c r="D4787" t="inlineStr">
        <is>
          <t>VÄSTERNORRLANDS LÄN</t>
        </is>
      </c>
      <c r="E4787" t="inlineStr">
        <is>
          <t>ÅNGE</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43250-2025</t>
        </is>
      </c>
      <c r="B4788" s="1" t="n">
        <v>45910.5525462963</v>
      </c>
      <c r="C4788" s="1" t="n">
        <v>46093</v>
      </c>
      <c r="D4788" t="inlineStr">
        <is>
          <t>VÄSTERNORRLANDS LÄN</t>
        </is>
      </c>
      <c r="E4788" t="inlineStr">
        <is>
          <t>ÅNGE</t>
        </is>
      </c>
      <c r="F4788" t="inlineStr">
        <is>
          <t>SCA</t>
        </is>
      </c>
      <c r="G4788" t="n">
        <v>4.1</v>
      </c>
      <c r="H4788" t="n">
        <v>0</v>
      </c>
      <c r="I4788" t="n">
        <v>0</v>
      </c>
      <c r="J4788" t="n">
        <v>0</v>
      </c>
      <c r="K4788" t="n">
        <v>0</v>
      </c>
      <c r="L4788" t="n">
        <v>0</v>
      </c>
      <c r="M4788" t="n">
        <v>0</v>
      </c>
      <c r="N4788" t="n">
        <v>0</v>
      </c>
      <c r="O4788" t="n">
        <v>0</v>
      </c>
      <c r="P4788" t="n">
        <v>0</v>
      </c>
      <c r="Q4788" t="n">
        <v>0</v>
      </c>
      <c r="R4788" s="2" t="inlineStr"/>
    </row>
    <row r="4789" ht="15" customHeight="1">
      <c r="A4789" t="inlineStr">
        <is>
          <t>A 14117-2024</t>
        </is>
      </c>
      <c r="B4789" s="1" t="n">
        <v>45392</v>
      </c>
      <c r="C4789" s="1" t="n">
        <v>46093</v>
      </c>
      <c r="D4789" t="inlineStr">
        <is>
          <t>VÄSTERNORRLANDS LÄN</t>
        </is>
      </c>
      <c r="E4789" t="inlineStr">
        <is>
          <t>ÖRNSKÖLDSVIK</t>
        </is>
      </c>
      <c r="F4789" t="inlineStr">
        <is>
          <t>Holmen skog AB</t>
        </is>
      </c>
      <c r="G4789" t="n">
        <v>4.4</v>
      </c>
      <c r="H4789" t="n">
        <v>0</v>
      </c>
      <c r="I4789" t="n">
        <v>0</v>
      </c>
      <c r="J4789" t="n">
        <v>0</v>
      </c>
      <c r="K4789" t="n">
        <v>0</v>
      </c>
      <c r="L4789" t="n">
        <v>0</v>
      </c>
      <c r="M4789" t="n">
        <v>0</v>
      </c>
      <c r="N4789" t="n">
        <v>0</v>
      </c>
      <c r="O4789" t="n">
        <v>0</v>
      </c>
      <c r="P4789" t="n">
        <v>0</v>
      </c>
      <c r="Q4789" t="n">
        <v>0</v>
      </c>
      <c r="R4789" s="2" t="inlineStr"/>
    </row>
    <row r="4790" ht="15" customHeight="1">
      <c r="A4790" t="inlineStr">
        <is>
          <t>A 14124-2024</t>
        </is>
      </c>
      <c r="B4790" s="1" t="n">
        <v>45392</v>
      </c>
      <c r="C4790" s="1" t="n">
        <v>46093</v>
      </c>
      <c r="D4790" t="inlineStr">
        <is>
          <t>VÄSTERNORRLANDS LÄN</t>
        </is>
      </c>
      <c r="E4790" t="inlineStr">
        <is>
          <t>ÖRNSKÖLDSVIK</t>
        </is>
      </c>
      <c r="F4790" t="inlineStr">
        <is>
          <t>Holmen skog AB</t>
        </is>
      </c>
      <c r="G4790" t="n">
        <v>5.5</v>
      </c>
      <c r="H4790" t="n">
        <v>0</v>
      </c>
      <c r="I4790" t="n">
        <v>0</v>
      </c>
      <c r="J4790" t="n">
        <v>0</v>
      </c>
      <c r="K4790" t="n">
        <v>0</v>
      </c>
      <c r="L4790" t="n">
        <v>0</v>
      </c>
      <c r="M4790" t="n">
        <v>0</v>
      </c>
      <c r="N4790" t="n">
        <v>0</v>
      </c>
      <c r="O4790" t="n">
        <v>0</v>
      </c>
      <c r="P4790" t="n">
        <v>0</v>
      </c>
      <c r="Q4790" t="n">
        <v>0</v>
      </c>
      <c r="R4790" s="2" t="inlineStr"/>
    </row>
    <row r="4791" ht="15" customHeight="1">
      <c r="A4791" t="inlineStr">
        <is>
          <t>A 40211-2024</t>
        </is>
      </c>
      <c r="B4791" s="1" t="n">
        <v>45554.59435185185</v>
      </c>
      <c r="C4791" s="1" t="n">
        <v>46093</v>
      </c>
      <c r="D4791" t="inlineStr">
        <is>
          <t>VÄSTERNORRLANDS LÄN</t>
        </is>
      </c>
      <c r="E4791" t="inlineStr">
        <is>
          <t>SOLLEFTEÅ</t>
        </is>
      </c>
      <c r="F4791" t="inlineStr">
        <is>
          <t>SCA</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7687-2025</t>
        </is>
      </c>
      <c r="B4792" s="1" t="n">
        <v>45706</v>
      </c>
      <c r="C4792" s="1" t="n">
        <v>46093</v>
      </c>
      <c r="D4792" t="inlineStr">
        <is>
          <t>VÄSTERNORRLANDS LÄN</t>
        </is>
      </c>
      <c r="E4792" t="inlineStr">
        <is>
          <t>ÖRNSKÖLDSVIK</t>
        </is>
      </c>
      <c r="F4792" t="inlineStr">
        <is>
          <t>SCA</t>
        </is>
      </c>
      <c r="G4792" t="n">
        <v>2.7</v>
      </c>
      <c r="H4792" t="n">
        <v>0</v>
      </c>
      <c r="I4792" t="n">
        <v>0</v>
      </c>
      <c r="J4792" t="n">
        <v>0</v>
      </c>
      <c r="K4792" t="n">
        <v>0</v>
      </c>
      <c r="L4792" t="n">
        <v>0</v>
      </c>
      <c r="M4792" t="n">
        <v>0</v>
      </c>
      <c r="N4792" t="n">
        <v>0</v>
      </c>
      <c r="O4792" t="n">
        <v>0</v>
      </c>
      <c r="P4792" t="n">
        <v>0</v>
      </c>
      <c r="Q4792" t="n">
        <v>0</v>
      </c>
      <c r="R4792" s="2" t="inlineStr"/>
    </row>
    <row r="4793" ht="15" customHeight="1">
      <c r="A4793" t="inlineStr">
        <is>
          <t>A 43321-2025</t>
        </is>
      </c>
      <c r="B4793" s="1" t="n">
        <v>45910.66033564815</v>
      </c>
      <c r="C4793" s="1" t="n">
        <v>46093</v>
      </c>
      <c r="D4793" t="inlineStr">
        <is>
          <t>VÄSTERNORRLANDS LÄN</t>
        </is>
      </c>
      <c r="E4793" t="inlineStr">
        <is>
          <t>ÖRNSKÖLDSVIK</t>
        </is>
      </c>
      <c r="F4793" t="inlineStr">
        <is>
          <t>Holmen skog AB</t>
        </is>
      </c>
      <c r="G4793" t="n">
        <v>12.3</v>
      </c>
      <c r="H4793" t="n">
        <v>0</v>
      </c>
      <c r="I4793" t="n">
        <v>0</v>
      </c>
      <c r="J4793" t="n">
        <v>0</v>
      </c>
      <c r="K4793" t="n">
        <v>0</v>
      </c>
      <c r="L4793" t="n">
        <v>0</v>
      </c>
      <c r="M4793" t="n">
        <v>0</v>
      </c>
      <c r="N4793" t="n">
        <v>0</v>
      </c>
      <c r="O4793" t="n">
        <v>0</v>
      </c>
      <c r="P4793" t="n">
        <v>0</v>
      </c>
      <c r="Q4793" t="n">
        <v>0</v>
      </c>
      <c r="R4793" s="2" t="inlineStr"/>
    </row>
    <row r="4794" ht="15" customHeight="1">
      <c r="A4794" t="inlineStr">
        <is>
          <t>A 15872-2024</t>
        </is>
      </c>
      <c r="B4794" s="1" t="n">
        <v>45405</v>
      </c>
      <c r="C4794" s="1" t="n">
        <v>46093</v>
      </c>
      <c r="D4794" t="inlineStr">
        <is>
          <t>VÄSTERNORRLANDS LÄN</t>
        </is>
      </c>
      <c r="E4794" t="inlineStr">
        <is>
          <t>SOLLEFTEÅ</t>
        </is>
      </c>
      <c r="G4794" t="n">
        <v>7.1</v>
      </c>
      <c r="H4794" t="n">
        <v>0</v>
      </c>
      <c r="I4794" t="n">
        <v>0</v>
      </c>
      <c r="J4794" t="n">
        <v>0</v>
      </c>
      <c r="K4794" t="n">
        <v>0</v>
      </c>
      <c r="L4794" t="n">
        <v>0</v>
      </c>
      <c r="M4794" t="n">
        <v>0</v>
      </c>
      <c r="N4794" t="n">
        <v>0</v>
      </c>
      <c r="O4794" t="n">
        <v>0</v>
      </c>
      <c r="P4794" t="n">
        <v>0</v>
      </c>
      <c r="Q4794" t="n">
        <v>0</v>
      </c>
      <c r="R4794" s="2" t="inlineStr"/>
    </row>
    <row r="4795" ht="15" customHeight="1">
      <c r="A4795" t="inlineStr">
        <is>
          <t>A 21389-2022</t>
        </is>
      </c>
      <c r="B4795" s="1" t="n">
        <v>44705</v>
      </c>
      <c r="C4795" s="1" t="n">
        <v>46093</v>
      </c>
      <c r="D4795" t="inlineStr">
        <is>
          <t>VÄSTERNORRLANDS LÄN</t>
        </is>
      </c>
      <c r="E4795" t="inlineStr">
        <is>
          <t>SUNDSVALL</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9435-2024</t>
        </is>
      </c>
      <c r="B4796" s="1" t="n">
        <v>45359</v>
      </c>
      <c r="C4796" s="1" t="n">
        <v>46093</v>
      </c>
      <c r="D4796" t="inlineStr">
        <is>
          <t>VÄSTERNORRLANDS LÄN</t>
        </is>
      </c>
      <c r="E4796" t="inlineStr">
        <is>
          <t>SUNDSVALL</t>
        </is>
      </c>
      <c r="F4796" t="inlineStr">
        <is>
          <t>Holmen skog AB</t>
        </is>
      </c>
      <c r="G4796" t="n">
        <v>24.7</v>
      </c>
      <c r="H4796" t="n">
        <v>0</v>
      </c>
      <c r="I4796" t="n">
        <v>0</v>
      </c>
      <c r="J4796" t="n">
        <v>0</v>
      </c>
      <c r="K4796" t="n">
        <v>0</v>
      </c>
      <c r="L4796" t="n">
        <v>0</v>
      </c>
      <c r="M4796" t="n">
        <v>0</v>
      </c>
      <c r="N4796" t="n">
        <v>0</v>
      </c>
      <c r="O4796" t="n">
        <v>0</v>
      </c>
      <c r="P4796" t="n">
        <v>0</v>
      </c>
      <c r="Q4796" t="n">
        <v>0</v>
      </c>
      <c r="R4796" s="2" t="inlineStr"/>
    </row>
    <row r="4797" ht="15" customHeight="1">
      <c r="A4797" t="inlineStr">
        <is>
          <t>A 8650-2024</t>
        </is>
      </c>
      <c r="B4797" s="1" t="n">
        <v>45356</v>
      </c>
      <c r="C4797" s="1" t="n">
        <v>46093</v>
      </c>
      <c r="D4797" t="inlineStr">
        <is>
          <t>VÄSTERNORRLANDS LÄN</t>
        </is>
      </c>
      <c r="E4797" t="inlineStr">
        <is>
          <t>ÅNGE</t>
        </is>
      </c>
      <c r="F4797" t="inlineStr">
        <is>
          <t>SCA</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8653-2024</t>
        </is>
      </c>
      <c r="B4798" s="1" t="n">
        <v>45356</v>
      </c>
      <c r="C4798" s="1" t="n">
        <v>46093</v>
      </c>
      <c r="D4798" t="inlineStr">
        <is>
          <t>VÄSTERNORRLANDS LÄN</t>
        </is>
      </c>
      <c r="E4798" t="inlineStr">
        <is>
          <t>SOLLEFTEÅ</t>
        </is>
      </c>
      <c r="F4798" t="inlineStr">
        <is>
          <t>SCA</t>
        </is>
      </c>
      <c r="G4798" t="n">
        <v>67.8</v>
      </c>
      <c r="H4798" t="n">
        <v>0</v>
      </c>
      <c r="I4798" t="n">
        <v>0</v>
      </c>
      <c r="J4798" t="n">
        <v>0</v>
      </c>
      <c r="K4798" t="n">
        <v>0</v>
      </c>
      <c r="L4798" t="n">
        <v>0</v>
      </c>
      <c r="M4798" t="n">
        <v>0</v>
      </c>
      <c r="N4798" t="n">
        <v>0</v>
      </c>
      <c r="O4798" t="n">
        <v>0</v>
      </c>
      <c r="P4798" t="n">
        <v>0</v>
      </c>
      <c r="Q4798" t="n">
        <v>0</v>
      </c>
      <c r="R4798" s="2" t="inlineStr"/>
    </row>
    <row r="4799" ht="15" customHeight="1">
      <c r="A4799" t="inlineStr">
        <is>
          <t>A 43331-2025</t>
        </is>
      </c>
      <c r="B4799" s="1" t="n">
        <v>45910.69842592593</v>
      </c>
      <c r="C4799" s="1" t="n">
        <v>46093</v>
      </c>
      <c r="D4799" t="inlineStr">
        <is>
          <t>VÄSTERNORRLANDS LÄN</t>
        </is>
      </c>
      <c r="E4799" t="inlineStr">
        <is>
          <t>SUNDSVALL</t>
        </is>
      </c>
      <c r="F4799" t="inlineStr">
        <is>
          <t>SCA</t>
        </is>
      </c>
      <c r="G4799" t="n">
        <v>4.2</v>
      </c>
      <c r="H4799" t="n">
        <v>0</v>
      </c>
      <c r="I4799" t="n">
        <v>0</v>
      </c>
      <c r="J4799" t="n">
        <v>0</v>
      </c>
      <c r="K4799" t="n">
        <v>0</v>
      </c>
      <c r="L4799" t="n">
        <v>0</v>
      </c>
      <c r="M4799" t="n">
        <v>0</v>
      </c>
      <c r="N4799" t="n">
        <v>0</v>
      </c>
      <c r="O4799" t="n">
        <v>0</v>
      </c>
      <c r="P4799" t="n">
        <v>0</v>
      </c>
      <c r="Q4799" t="n">
        <v>0</v>
      </c>
      <c r="R4799" s="2" t="inlineStr"/>
    </row>
    <row r="4800" ht="15" customHeight="1">
      <c r="A4800" t="inlineStr">
        <is>
          <t>A 59073-2022</t>
        </is>
      </c>
      <c r="B4800" s="1" t="n">
        <v>44897</v>
      </c>
      <c r="C4800" s="1" t="n">
        <v>46093</v>
      </c>
      <c r="D4800" t="inlineStr">
        <is>
          <t>VÄSTERNORRLANDS LÄN</t>
        </is>
      </c>
      <c r="E4800" t="inlineStr">
        <is>
          <t>HÄRNÖSAND</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43302-2025</t>
        </is>
      </c>
      <c r="B4801" s="1" t="n">
        <v>45910.635625</v>
      </c>
      <c r="C4801" s="1" t="n">
        <v>46093</v>
      </c>
      <c r="D4801" t="inlineStr">
        <is>
          <t>VÄSTERNORRLANDS LÄN</t>
        </is>
      </c>
      <c r="E4801" t="inlineStr">
        <is>
          <t>ÖRNSKÖLDSVIK</t>
        </is>
      </c>
      <c r="F4801" t="inlineStr">
        <is>
          <t>Holmen skog AB</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43105-2025</t>
        </is>
      </c>
      <c r="B4802" s="1" t="n">
        <v>45909.6418287037</v>
      </c>
      <c r="C4802" s="1" t="n">
        <v>46093</v>
      </c>
      <c r="D4802" t="inlineStr">
        <is>
          <t>VÄSTERNORRLANDS LÄN</t>
        </is>
      </c>
      <c r="E4802" t="inlineStr">
        <is>
          <t>ÖRNSKÖLDSVIK</t>
        </is>
      </c>
      <c r="F4802" t="inlineStr">
        <is>
          <t>Holmen skog AB</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25644-2022</t>
        </is>
      </c>
      <c r="B4803" s="1" t="n">
        <v>44732</v>
      </c>
      <c r="C4803" s="1" t="n">
        <v>46093</v>
      </c>
      <c r="D4803" t="inlineStr">
        <is>
          <t>VÄSTERNORRLANDS LÄN</t>
        </is>
      </c>
      <c r="E4803" t="inlineStr">
        <is>
          <t>TIMRÅ</t>
        </is>
      </c>
      <c r="F4803" t="inlineStr">
        <is>
          <t>SCA</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11813-2022</t>
        </is>
      </c>
      <c r="B4804" s="1" t="n">
        <v>44634.68443287037</v>
      </c>
      <c r="C4804" s="1" t="n">
        <v>46093</v>
      </c>
      <c r="D4804" t="inlineStr">
        <is>
          <t>VÄSTERNORRLANDS LÄN</t>
        </is>
      </c>
      <c r="E4804" t="inlineStr">
        <is>
          <t>SUNDSVALL</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43201-2025</t>
        </is>
      </c>
      <c r="B4805" s="1" t="n">
        <v>45910.43829861111</v>
      </c>
      <c r="C4805" s="1" t="n">
        <v>46093</v>
      </c>
      <c r="D4805" t="inlineStr">
        <is>
          <t>VÄSTERNORRLANDS LÄN</t>
        </is>
      </c>
      <c r="E4805" t="inlineStr">
        <is>
          <t>ÖRNSKÖLDSVIK</t>
        </is>
      </c>
      <c r="G4805" t="n">
        <v>3.6</v>
      </c>
      <c r="H4805" t="n">
        <v>0</v>
      </c>
      <c r="I4805" t="n">
        <v>0</v>
      </c>
      <c r="J4805" t="n">
        <v>0</v>
      </c>
      <c r="K4805" t="n">
        <v>0</v>
      </c>
      <c r="L4805" t="n">
        <v>0</v>
      </c>
      <c r="M4805" t="n">
        <v>0</v>
      </c>
      <c r="N4805" t="n">
        <v>0</v>
      </c>
      <c r="O4805" t="n">
        <v>0</v>
      </c>
      <c r="P4805" t="n">
        <v>0</v>
      </c>
      <c r="Q4805" t="n">
        <v>0</v>
      </c>
      <c r="R4805" s="2" t="inlineStr"/>
    </row>
    <row r="4806" ht="15" customHeight="1">
      <c r="A4806" t="inlineStr">
        <is>
          <t>A 43221-2025</t>
        </is>
      </c>
      <c r="B4806" s="1" t="n">
        <v>45910.47981481482</v>
      </c>
      <c r="C4806" s="1" t="n">
        <v>46093</v>
      </c>
      <c r="D4806" t="inlineStr">
        <is>
          <t>VÄSTERNORRLANDS LÄN</t>
        </is>
      </c>
      <c r="E4806" t="inlineStr">
        <is>
          <t>ÅNGE</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49261-2022</t>
        </is>
      </c>
      <c r="B4807" s="1" t="n">
        <v>44858</v>
      </c>
      <c r="C4807" s="1" t="n">
        <v>46093</v>
      </c>
      <c r="D4807" t="inlineStr">
        <is>
          <t>VÄSTERNORRLANDS LÄN</t>
        </is>
      </c>
      <c r="E4807" t="inlineStr">
        <is>
          <t>HÄRNÖSAND</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43265-2025</t>
        </is>
      </c>
      <c r="B4808" s="1" t="n">
        <v>45910.57377314815</v>
      </c>
      <c r="C4808" s="1" t="n">
        <v>46093</v>
      </c>
      <c r="D4808" t="inlineStr">
        <is>
          <t>VÄSTERNORRLANDS LÄN</t>
        </is>
      </c>
      <c r="E4808" t="inlineStr">
        <is>
          <t>ÅNGE</t>
        </is>
      </c>
      <c r="F4808" t="inlineStr">
        <is>
          <t>SCA</t>
        </is>
      </c>
      <c r="G4808" t="n">
        <v>7</v>
      </c>
      <c r="H4808" t="n">
        <v>0</v>
      </c>
      <c r="I4808" t="n">
        <v>0</v>
      </c>
      <c r="J4808" t="n">
        <v>0</v>
      </c>
      <c r="K4808" t="n">
        <v>0</v>
      </c>
      <c r="L4808" t="n">
        <v>0</v>
      </c>
      <c r="M4808" t="n">
        <v>0</v>
      </c>
      <c r="N4808" t="n">
        <v>0</v>
      </c>
      <c r="O4808" t="n">
        <v>0</v>
      </c>
      <c r="P4808" t="n">
        <v>0</v>
      </c>
      <c r="Q4808" t="n">
        <v>0</v>
      </c>
      <c r="R4808" s="2" t="inlineStr"/>
    </row>
    <row r="4809" ht="15" customHeight="1">
      <c r="A4809" t="inlineStr">
        <is>
          <t>A 42164-2023</t>
        </is>
      </c>
      <c r="B4809" s="1" t="n">
        <v>45177.93747685185</v>
      </c>
      <c r="C4809" s="1" t="n">
        <v>46093</v>
      </c>
      <c r="D4809" t="inlineStr">
        <is>
          <t>VÄSTERNORRLANDS LÄN</t>
        </is>
      </c>
      <c r="E4809" t="inlineStr">
        <is>
          <t>SOLLEFTEÅ</t>
        </is>
      </c>
      <c r="F4809" t="inlineStr">
        <is>
          <t>SCA</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2880-2025</t>
        </is>
      </c>
      <c r="B4810" s="1" t="n">
        <v>45677</v>
      </c>
      <c r="C4810" s="1" t="n">
        <v>46093</v>
      </c>
      <c r="D4810" t="inlineStr">
        <is>
          <t>VÄSTERNORRLANDS LÄN</t>
        </is>
      </c>
      <c r="E4810" t="inlineStr">
        <is>
          <t>SUNDSVALL</t>
        </is>
      </c>
      <c r="F4810" t="inlineStr">
        <is>
          <t>SCA</t>
        </is>
      </c>
      <c r="G4810" t="n">
        <v>4.4</v>
      </c>
      <c r="H4810" t="n">
        <v>0</v>
      </c>
      <c r="I4810" t="n">
        <v>0</v>
      </c>
      <c r="J4810" t="n">
        <v>0</v>
      </c>
      <c r="K4810" t="n">
        <v>0</v>
      </c>
      <c r="L4810" t="n">
        <v>0</v>
      </c>
      <c r="M4810" t="n">
        <v>0</v>
      </c>
      <c r="N4810" t="n">
        <v>0</v>
      </c>
      <c r="O4810" t="n">
        <v>0</v>
      </c>
      <c r="P4810" t="n">
        <v>0</v>
      </c>
      <c r="Q4810" t="n">
        <v>0</v>
      </c>
      <c r="R4810" s="2" t="inlineStr"/>
    </row>
    <row r="4811" ht="15" customHeight="1">
      <c r="A4811" t="inlineStr">
        <is>
          <t>A 2959-2025</t>
        </is>
      </c>
      <c r="B4811" s="1" t="n">
        <v>45678.44880787037</v>
      </c>
      <c r="C4811" s="1" t="n">
        <v>46093</v>
      </c>
      <c r="D4811" t="inlineStr">
        <is>
          <t>VÄSTERNORRLANDS LÄN</t>
        </is>
      </c>
      <c r="E4811" t="inlineStr">
        <is>
          <t>SUNDSVALL</t>
        </is>
      </c>
      <c r="F4811" t="inlineStr">
        <is>
          <t>SCA</t>
        </is>
      </c>
      <c r="G4811" t="n">
        <v>21.5</v>
      </c>
      <c r="H4811" t="n">
        <v>0</v>
      </c>
      <c r="I4811" t="n">
        <v>0</v>
      </c>
      <c r="J4811" t="n">
        <v>0</v>
      </c>
      <c r="K4811" t="n">
        <v>0</v>
      </c>
      <c r="L4811" t="n">
        <v>0</v>
      </c>
      <c r="M4811" t="n">
        <v>0</v>
      </c>
      <c r="N4811" t="n">
        <v>0</v>
      </c>
      <c r="O4811" t="n">
        <v>0</v>
      </c>
      <c r="P4811" t="n">
        <v>0</v>
      </c>
      <c r="Q4811" t="n">
        <v>0</v>
      </c>
      <c r="R4811" s="2" t="inlineStr"/>
    </row>
    <row r="4812" ht="15" customHeight="1">
      <c r="A4812" t="inlineStr">
        <is>
          <t>A 5620-2025</t>
        </is>
      </c>
      <c r="B4812" s="1" t="n">
        <v>45693.62545138889</v>
      </c>
      <c r="C4812" s="1" t="n">
        <v>46093</v>
      </c>
      <c r="D4812" t="inlineStr">
        <is>
          <t>VÄSTERNORRLANDS LÄN</t>
        </is>
      </c>
      <c r="E4812" t="inlineStr">
        <is>
          <t>KRAMFORS</t>
        </is>
      </c>
      <c r="G4812" t="n">
        <v>4.1</v>
      </c>
      <c r="H4812" t="n">
        <v>0</v>
      </c>
      <c r="I4812" t="n">
        <v>0</v>
      </c>
      <c r="J4812" t="n">
        <v>0</v>
      </c>
      <c r="K4812" t="n">
        <v>0</v>
      </c>
      <c r="L4812" t="n">
        <v>0</v>
      </c>
      <c r="M4812" t="n">
        <v>0</v>
      </c>
      <c r="N4812" t="n">
        <v>0</v>
      </c>
      <c r="O4812" t="n">
        <v>0</v>
      </c>
      <c r="P4812" t="n">
        <v>0</v>
      </c>
      <c r="Q4812" t="n">
        <v>0</v>
      </c>
      <c r="R4812" s="2" t="inlineStr"/>
    </row>
    <row r="4813" ht="15" customHeight="1">
      <c r="A4813" t="inlineStr">
        <is>
          <t>A 36205-2025</t>
        </is>
      </c>
      <c r="B4813" s="1" t="n">
        <v>45867.44855324074</v>
      </c>
      <c r="C4813" s="1" t="n">
        <v>46093</v>
      </c>
      <c r="D4813" t="inlineStr">
        <is>
          <t>VÄSTERNORRLANDS LÄN</t>
        </is>
      </c>
      <c r="E4813" t="inlineStr">
        <is>
          <t>ÅNGE</t>
        </is>
      </c>
      <c r="F4813" t="inlineStr">
        <is>
          <t>SCA</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43252-2025</t>
        </is>
      </c>
      <c r="B4814" s="1" t="n">
        <v>45910.55292824074</v>
      </c>
      <c r="C4814" s="1" t="n">
        <v>46093</v>
      </c>
      <c r="D4814" t="inlineStr">
        <is>
          <t>VÄSTERNORRLANDS LÄN</t>
        </is>
      </c>
      <c r="E4814" t="inlineStr">
        <is>
          <t>ÅNGE</t>
        </is>
      </c>
      <c r="F4814" t="inlineStr">
        <is>
          <t>SCA</t>
        </is>
      </c>
      <c r="G4814" t="n">
        <v>5.2</v>
      </c>
      <c r="H4814" t="n">
        <v>0</v>
      </c>
      <c r="I4814" t="n">
        <v>0</v>
      </c>
      <c r="J4814" t="n">
        <v>0</v>
      </c>
      <c r="K4814" t="n">
        <v>0</v>
      </c>
      <c r="L4814" t="n">
        <v>0</v>
      </c>
      <c r="M4814" t="n">
        <v>0</v>
      </c>
      <c r="N4814" t="n">
        <v>0</v>
      </c>
      <c r="O4814" t="n">
        <v>0</v>
      </c>
      <c r="P4814" t="n">
        <v>0</v>
      </c>
      <c r="Q4814" t="n">
        <v>0</v>
      </c>
      <c r="R4814" s="2" t="inlineStr"/>
    </row>
    <row r="4815" ht="15" customHeight="1">
      <c r="A4815" t="inlineStr">
        <is>
          <t>A 48088-2023</t>
        </is>
      </c>
      <c r="B4815" s="1" t="n">
        <v>45204.94657407407</v>
      </c>
      <c r="C4815" s="1" t="n">
        <v>46093</v>
      </c>
      <c r="D4815" t="inlineStr">
        <is>
          <t>VÄSTERNORRLANDS LÄN</t>
        </is>
      </c>
      <c r="E4815" t="inlineStr">
        <is>
          <t>SOLLEFTEÅ</t>
        </is>
      </c>
      <c r="F4815" t="inlineStr">
        <is>
          <t>SCA</t>
        </is>
      </c>
      <c r="G4815" t="n">
        <v>3.2</v>
      </c>
      <c r="H4815" t="n">
        <v>0</v>
      </c>
      <c r="I4815" t="n">
        <v>0</v>
      </c>
      <c r="J4815" t="n">
        <v>0</v>
      </c>
      <c r="K4815" t="n">
        <v>0</v>
      </c>
      <c r="L4815" t="n">
        <v>0</v>
      </c>
      <c r="M4815" t="n">
        <v>0</v>
      </c>
      <c r="N4815" t="n">
        <v>0</v>
      </c>
      <c r="O4815" t="n">
        <v>0</v>
      </c>
      <c r="P4815" t="n">
        <v>0</v>
      </c>
      <c r="Q4815" t="n">
        <v>0</v>
      </c>
      <c r="R4815" s="2" t="inlineStr"/>
    </row>
    <row r="4816" ht="15" customHeight="1">
      <c r="A4816" t="inlineStr">
        <is>
          <t>A 43045-2025</t>
        </is>
      </c>
      <c r="B4816" s="1" t="n">
        <v>45909.56072916667</v>
      </c>
      <c r="C4816" s="1" t="n">
        <v>46093</v>
      </c>
      <c r="D4816" t="inlineStr">
        <is>
          <t>VÄSTERNORRLANDS LÄN</t>
        </is>
      </c>
      <c r="E4816" t="inlineStr">
        <is>
          <t>ÖRNSKÖLDSVIK</t>
        </is>
      </c>
      <c r="F4816" t="inlineStr">
        <is>
          <t>Holmen skog AB</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24360-2023</t>
        </is>
      </c>
      <c r="B4817" s="1" t="n">
        <v>45082</v>
      </c>
      <c r="C4817" s="1" t="n">
        <v>46093</v>
      </c>
      <c r="D4817" t="inlineStr">
        <is>
          <t>VÄSTERNORRLANDS LÄN</t>
        </is>
      </c>
      <c r="E4817" t="inlineStr">
        <is>
          <t>SUNDSVALL</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40716-2024</t>
        </is>
      </c>
      <c r="B4818" s="1" t="n">
        <v>45558.43896990741</v>
      </c>
      <c r="C4818" s="1" t="n">
        <v>46093</v>
      </c>
      <c r="D4818" t="inlineStr">
        <is>
          <t>VÄSTERNORRLANDS LÄN</t>
        </is>
      </c>
      <c r="E4818" t="inlineStr">
        <is>
          <t>HÄRNÖSAND</t>
        </is>
      </c>
      <c r="G4818" t="n">
        <v>0.4</v>
      </c>
      <c r="H4818" t="n">
        <v>0</v>
      </c>
      <c r="I4818" t="n">
        <v>0</v>
      </c>
      <c r="J4818" t="n">
        <v>0</v>
      </c>
      <c r="K4818" t="n">
        <v>0</v>
      </c>
      <c r="L4818" t="n">
        <v>0</v>
      </c>
      <c r="M4818" t="n">
        <v>0</v>
      </c>
      <c r="N4818" t="n">
        <v>0</v>
      </c>
      <c r="O4818" t="n">
        <v>0</v>
      </c>
      <c r="P4818" t="n">
        <v>0</v>
      </c>
      <c r="Q4818" t="n">
        <v>0</v>
      </c>
      <c r="R4818" s="2" t="inlineStr"/>
    </row>
    <row r="4819" ht="15" customHeight="1">
      <c r="A4819" t="inlineStr">
        <is>
          <t>A 21701-2024</t>
        </is>
      </c>
      <c r="B4819" s="1" t="n">
        <v>45442</v>
      </c>
      <c r="C4819" s="1" t="n">
        <v>46093</v>
      </c>
      <c r="D4819" t="inlineStr">
        <is>
          <t>VÄSTERNORRLANDS LÄN</t>
        </is>
      </c>
      <c r="E4819" t="inlineStr">
        <is>
          <t>ÖRNSKÖLDSVIK</t>
        </is>
      </c>
      <c r="G4819" t="n">
        <v>10.4</v>
      </c>
      <c r="H4819" t="n">
        <v>0</v>
      </c>
      <c r="I4819" t="n">
        <v>0</v>
      </c>
      <c r="J4819" t="n">
        <v>0</v>
      </c>
      <c r="K4819" t="n">
        <v>0</v>
      </c>
      <c r="L4819" t="n">
        <v>0</v>
      </c>
      <c r="M4819" t="n">
        <v>0</v>
      </c>
      <c r="N4819" t="n">
        <v>0</v>
      </c>
      <c r="O4819" t="n">
        <v>0</v>
      </c>
      <c r="P4819" t="n">
        <v>0</v>
      </c>
      <c r="Q4819" t="n">
        <v>0</v>
      </c>
      <c r="R4819" s="2" t="inlineStr"/>
    </row>
    <row r="4820" ht="15" customHeight="1">
      <c r="A4820" t="inlineStr">
        <is>
          <t>A 59038-2022</t>
        </is>
      </c>
      <c r="B4820" s="1" t="n">
        <v>44903.9496412037</v>
      </c>
      <c r="C4820" s="1" t="n">
        <v>46093</v>
      </c>
      <c r="D4820" t="inlineStr">
        <is>
          <t>VÄSTERNORRLANDS LÄN</t>
        </is>
      </c>
      <c r="E4820" t="inlineStr">
        <is>
          <t>SOLLEFTEÅ</t>
        </is>
      </c>
      <c r="F4820" t="inlineStr">
        <is>
          <t>SCA</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43091-2025</t>
        </is>
      </c>
      <c r="B4821" s="1" t="n">
        <v>45909.62511574074</v>
      </c>
      <c r="C4821" s="1" t="n">
        <v>46093</v>
      </c>
      <c r="D4821" t="inlineStr">
        <is>
          <t>VÄSTERNORRLANDS LÄN</t>
        </is>
      </c>
      <c r="E4821" t="inlineStr">
        <is>
          <t>ÅNGE</t>
        </is>
      </c>
      <c r="F4821" t="inlineStr">
        <is>
          <t>Kyrkan</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13234-2024</t>
        </is>
      </c>
      <c r="B4822" s="1" t="n">
        <v>45386</v>
      </c>
      <c r="C4822" s="1" t="n">
        <v>46093</v>
      </c>
      <c r="D4822" t="inlineStr">
        <is>
          <t>VÄSTERNORRLANDS LÄN</t>
        </is>
      </c>
      <c r="E4822" t="inlineStr">
        <is>
          <t>SUNDSVALL</t>
        </is>
      </c>
      <c r="F4822" t="inlineStr">
        <is>
          <t>Kommuner</t>
        </is>
      </c>
      <c r="G4822" t="n">
        <v>5.8</v>
      </c>
      <c r="H4822" t="n">
        <v>0</v>
      </c>
      <c r="I4822" t="n">
        <v>0</v>
      </c>
      <c r="J4822" t="n">
        <v>0</v>
      </c>
      <c r="K4822" t="n">
        <v>0</v>
      </c>
      <c r="L4822" t="n">
        <v>0</v>
      </c>
      <c r="M4822" t="n">
        <v>0</v>
      </c>
      <c r="N4822" t="n">
        <v>0</v>
      </c>
      <c r="O4822" t="n">
        <v>0</v>
      </c>
      <c r="P4822" t="n">
        <v>0</v>
      </c>
      <c r="Q4822" t="n">
        <v>0</v>
      </c>
      <c r="R4822" s="2" t="inlineStr"/>
    </row>
    <row r="4823" ht="15" customHeight="1">
      <c r="A4823" t="inlineStr">
        <is>
          <t>A 69820-2021</t>
        </is>
      </c>
      <c r="B4823" s="1" t="n">
        <v>44532</v>
      </c>
      <c r="C4823" s="1" t="n">
        <v>46093</v>
      </c>
      <c r="D4823" t="inlineStr">
        <is>
          <t>VÄSTERNORRLANDS LÄN</t>
        </is>
      </c>
      <c r="E4823" t="inlineStr">
        <is>
          <t>ÖRNSKÖLDSVIK</t>
        </is>
      </c>
      <c r="F4823" t="inlineStr">
        <is>
          <t>Holmen skog AB</t>
        </is>
      </c>
      <c r="G4823" t="n">
        <v>11.5</v>
      </c>
      <c r="H4823" t="n">
        <v>0</v>
      </c>
      <c r="I4823" t="n">
        <v>0</v>
      </c>
      <c r="J4823" t="n">
        <v>0</v>
      </c>
      <c r="K4823" t="n">
        <v>0</v>
      </c>
      <c r="L4823" t="n">
        <v>0</v>
      </c>
      <c r="M4823" t="n">
        <v>0</v>
      </c>
      <c r="N4823" t="n">
        <v>0</v>
      </c>
      <c r="O4823" t="n">
        <v>0</v>
      </c>
      <c r="P4823" t="n">
        <v>0</v>
      </c>
      <c r="Q4823" t="n">
        <v>0</v>
      </c>
      <c r="R4823" s="2" t="inlineStr"/>
    </row>
    <row r="4824" ht="15" customHeight="1">
      <c r="A4824" t="inlineStr">
        <is>
          <t>A 34560-2024</t>
        </is>
      </c>
      <c r="B4824" s="1" t="n">
        <v>45526.31116898148</v>
      </c>
      <c r="C4824" s="1" t="n">
        <v>46093</v>
      </c>
      <c r="D4824" t="inlineStr">
        <is>
          <t>VÄSTERNORRLANDS LÄN</t>
        </is>
      </c>
      <c r="E4824" t="inlineStr">
        <is>
          <t>SOLLEFTEÅ</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59598-2024</t>
        </is>
      </c>
      <c r="B4825" s="1" t="n">
        <v>45638.71168981482</v>
      </c>
      <c r="C4825" s="1" t="n">
        <v>46093</v>
      </c>
      <c r="D4825" t="inlineStr">
        <is>
          <t>VÄSTERNORRLANDS LÄN</t>
        </is>
      </c>
      <c r="E4825" t="inlineStr">
        <is>
          <t>HÄRNÖSAND</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32557-2024</t>
        </is>
      </c>
      <c r="B4826" s="1" t="n">
        <v>45513</v>
      </c>
      <c r="C4826" s="1" t="n">
        <v>46093</v>
      </c>
      <c r="D4826" t="inlineStr">
        <is>
          <t>VÄSTERNORRLANDS LÄN</t>
        </is>
      </c>
      <c r="E4826" t="inlineStr">
        <is>
          <t>ÖRNSKÖLDSVIK</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5949-2023</t>
        </is>
      </c>
      <c r="B4827" s="1" t="n">
        <v>44963</v>
      </c>
      <c r="C4827" s="1" t="n">
        <v>46093</v>
      </c>
      <c r="D4827" t="inlineStr">
        <is>
          <t>VÄSTERNORRLANDS LÄN</t>
        </is>
      </c>
      <c r="E4827" t="inlineStr">
        <is>
          <t>SUNDSVALL</t>
        </is>
      </c>
      <c r="F4827" t="inlineStr">
        <is>
          <t>SCA</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42950-2025</t>
        </is>
      </c>
      <c r="B4828" s="1" t="n">
        <v>45909.35394675926</v>
      </c>
      <c r="C4828" s="1" t="n">
        <v>46093</v>
      </c>
      <c r="D4828" t="inlineStr">
        <is>
          <t>VÄSTERNORRLANDS LÄN</t>
        </is>
      </c>
      <c r="E4828" t="inlineStr">
        <is>
          <t>KRAMFORS</t>
        </is>
      </c>
      <c r="G4828" t="n">
        <v>0.1</v>
      </c>
      <c r="H4828" t="n">
        <v>0</v>
      </c>
      <c r="I4828" t="n">
        <v>0</v>
      </c>
      <c r="J4828" t="n">
        <v>0</v>
      </c>
      <c r="K4828" t="n">
        <v>0</v>
      </c>
      <c r="L4828" t="n">
        <v>0</v>
      </c>
      <c r="M4828" t="n">
        <v>0</v>
      </c>
      <c r="N4828" t="n">
        <v>0</v>
      </c>
      <c r="O4828" t="n">
        <v>0</v>
      </c>
      <c r="P4828" t="n">
        <v>0</v>
      </c>
      <c r="Q4828" t="n">
        <v>0</v>
      </c>
      <c r="R4828" s="2" t="inlineStr"/>
    </row>
    <row r="4829" ht="15" customHeight="1">
      <c r="A4829" t="inlineStr">
        <is>
          <t>A 33004-2024</t>
        </is>
      </c>
      <c r="B4829" s="1" t="n">
        <v>45517</v>
      </c>
      <c r="C4829" s="1" t="n">
        <v>46093</v>
      </c>
      <c r="D4829" t="inlineStr">
        <is>
          <t>VÄSTERNORRLANDS LÄN</t>
        </is>
      </c>
      <c r="E4829" t="inlineStr">
        <is>
          <t>SUNDSVALL</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33042-2024</t>
        </is>
      </c>
      <c r="B4830" s="1" t="n">
        <v>45517.61229166666</v>
      </c>
      <c r="C4830" s="1" t="n">
        <v>46093</v>
      </c>
      <c r="D4830" t="inlineStr">
        <is>
          <t>VÄSTERNORRLANDS LÄN</t>
        </is>
      </c>
      <c r="E4830" t="inlineStr">
        <is>
          <t>SUNDSVALL</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12107-2025</t>
        </is>
      </c>
      <c r="B4831" s="1" t="n">
        <v>45729.34447916667</v>
      </c>
      <c r="C4831" s="1" t="n">
        <v>46093</v>
      </c>
      <c r="D4831" t="inlineStr">
        <is>
          <t>VÄSTERNORRLANDS LÄN</t>
        </is>
      </c>
      <c r="E4831" t="inlineStr">
        <is>
          <t>KRAMFORS</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33922-2023</t>
        </is>
      </c>
      <c r="B4832" s="1" t="n">
        <v>45122</v>
      </c>
      <c r="C4832" s="1" t="n">
        <v>46093</v>
      </c>
      <c r="D4832" t="inlineStr">
        <is>
          <t>VÄSTERNORRLANDS LÄN</t>
        </is>
      </c>
      <c r="E4832" t="inlineStr">
        <is>
          <t>ÖRNSKÖLDSVIK</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34296-2024</t>
        </is>
      </c>
      <c r="B4833" s="1" t="n">
        <v>45524</v>
      </c>
      <c r="C4833" s="1" t="n">
        <v>46093</v>
      </c>
      <c r="D4833" t="inlineStr">
        <is>
          <t>VÄSTERNORRLANDS LÄN</t>
        </is>
      </c>
      <c r="E4833" t="inlineStr">
        <is>
          <t>SUNDSVALL</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20333-2025</t>
        </is>
      </c>
      <c r="B4834" s="1" t="n">
        <v>45775.3646875</v>
      </c>
      <c r="C4834" s="1" t="n">
        <v>46093</v>
      </c>
      <c r="D4834" t="inlineStr">
        <is>
          <t>VÄSTERNORRLANDS LÄN</t>
        </is>
      </c>
      <c r="E4834" t="inlineStr">
        <is>
          <t>ÖRNSKÖLDSVIK</t>
        </is>
      </c>
      <c r="F4834" t="inlineStr">
        <is>
          <t>Holmen skog AB</t>
        </is>
      </c>
      <c r="G4834" t="n">
        <v>3.6</v>
      </c>
      <c r="H4834" t="n">
        <v>0</v>
      </c>
      <c r="I4834" t="n">
        <v>0</v>
      </c>
      <c r="J4834" t="n">
        <v>0</v>
      </c>
      <c r="K4834" t="n">
        <v>0</v>
      </c>
      <c r="L4834" t="n">
        <v>0</v>
      </c>
      <c r="M4834" t="n">
        <v>0</v>
      </c>
      <c r="N4834" t="n">
        <v>0</v>
      </c>
      <c r="O4834" t="n">
        <v>0</v>
      </c>
      <c r="P4834" t="n">
        <v>0</v>
      </c>
      <c r="Q4834" t="n">
        <v>0</v>
      </c>
      <c r="R4834" s="2" t="inlineStr"/>
    </row>
    <row r="4835" ht="15" customHeight="1">
      <c r="A4835" t="inlineStr">
        <is>
          <t>A 20335-2025</t>
        </is>
      </c>
      <c r="B4835" s="1" t="n">
        <v>45775.36510416667</v>
      </c>
      <c r="C4835" s="1" t="n">
        <v>46093</v>
      </c>
      <c r="D4835" t="inlineStr">
        <is>
          <t>VÄSTERNORRLANDS LÄN</t>
        </is>
      </c>
      <c r="E4835" t="inlineStr">
        <is>
          <t>SOLLEFTEÅ</t>
        </is>
      </c>
      <c r="F4835" t="inlineStr">
        <is>
          <t>SCA</t>
        </is>
      </c>
      <c r="G4835" t="n">
        <v>7</v>
      </c>
      <c r="H4835" t="n">
        <v>0</v>
      </c>
      <c r="I4835" t="n">
        <v>0</v>
      </c>
      <c r="J4835" t="n">
        <v>0</v>
      </c>
      <c r="K4835" t="n">
        <v>0</v>
      </c>
      <c r="L4835" t="n">
        <v>0</v>
      </c>
      <c r="M4835" t="n">
        <v>0</v>
      </c>
      <c r="N4835" t="n">
        <v>0</v>
      </c>
      <c r="O4835" t="n">
        <v>0</v>
      </c>
      <c r="P4835" t="n">
        <v>0</v>
      </c>
      <c r="Q4835" t="n">
        <v>0</v>
      </c>
      <c r="R4835" s="2" t="inlineStr"/>
    </row>
    <row r="4836" ht="15" customHeight="1">
      <c r="A4836" t="inlineStr">
        <is>
          <t>A 5145-2023</t>
        </is>
      </c>
      <c r="B4836" s="1" t="n">
        <v>44958</v>
      </c>
      <c r="C4836" s="1" t="n">
        <v>46093</v>
      </c>
      <c r="D4836" t="inlineStr">
        <is>
          <t>VÄSTERNORRLANDS LÄN</t>
        </is>
      </c>
      <c r="E4836" t="inlineStr">
        <is>
          <t>KRAMFORS</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5151-2023</t>
        </is>
      </c>
      <c r="B4837" s="1" t="n">
        <v>44958</v>
      </c>
      <c r="C4837" s="1" t="n">
        <v>46093</v>
      </c>
      <c r="D4837" t="inlineStr">
        <is>
          <t>VÄSTERNORRLANDS LÄN</t>
        </is>
      </c>
      <c r="E4837" t="inlineStr">
        <is>
          <t>KRAMFORS</t>
        </is>
      </c>
      <c r="G4837" t="n">
        <v>11.3</v>
      </c>
      <c r="H4837" t="n">
        <v>0</v>
      </c>
      <c r="I4837" t="n">
        <v>0</v>
      </c>
      <c r="J4837" t="n">
        <v>0</v>
      </c>
      <c r="K4837" t="n">
        <v>0</v>
      </c>
      <c r="L4837" t="n">
        <v>0</v>
      </c>
      <c r="M4837" t="n">
        <v>0</v>
      </c>
      <c r="N4837" t="n">
        <v>0</v>
      </c>
      <c r="O4837" t="n">
        <v>0</v>
      </c>
      <c r="P4837" t="n">
        <v>0</v>
      </c>
      <c r="Q4837" t="n">
        <v>0</v>
      </c>
      <c r="R4837" s="2" t="inlineStr"/>
    </row>
    <row r="4838" ht="15" customHeight="1">
      <c r="A4838" t="inlineStr">
        <is>
          <t>A 4050-2022</t>
        </is>
      </c>
      <c r="B4838" s="1" t="n">
        <v>44588</v>
      </c>
      <c r="C4838" s="1" t="n">
        <v>46093</v>
      </c>
      <c r="D4838" t="inlineStr">
        <is>
          <t>VÄSTERNORRLANDS LÄN</t>
        </is>
      </c>
      <c r="E4838" t="inlineStr">
        <is>
          <t>ÖRNSKÖLDSVIK</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34388-2024</t>
        </is>
      </c>
      <c r="B4839" s="1" t="n">
        <v>45525</v>
      </c>
      <c r="C4839" s="1" t="n">
        <v>46093</v>
      </c>
      <c r="D4839" t="inlineStr">
        <is>
          <t>VÄSTERNORRLANDS LÄN</t>
        </is>
      </c>
      <c r="E4839" t="inlineStr">
        <is>
          <t>SOLLEFTEÅ</t>
        </is>
      </c>
      <c r="F4839" t="inlineStr">
        <is>
          <t>SCA</t>
        </is>
      </c>
      <c r="G4839" t="n">
        <v>6.1</v>
      </c>
      <c r="H4839" t="n">
        <v>0</v>
      </c>
      <c r="I4839" t="n">
        <v>0</v>
      </c>
      <c r="J4839" t="n">
        <v>0</v>
      </c>
      <c r="K4839" t="n">
        <v>0</v>
      </c>
      <c r="L4839" t="n">
        <v>0</v>
      </c>
      <c r="M4839" t="n">
        <v>0</v>
      </c>
      <c r="N4839" t="n">
        <v>0</v>
      </c>
      <c r="O4839" t="n">
        <v>0</v>
      </c>
      <c r="P4839" t="n">
        <v>0</v>
      </c>
      <c r="Q4839" t="n">
        <v>0</v>
      </c>
      <c r="R4839" s="2" t="inlineStr"/>
    </row>
    <row r="4840" ht="15" customHeight="1">
      <c r="A4840" t="inlineStr">
        <is>
          <t>A 8230-2024</t>
        </is>
      </c>
      <c r="B4840" s="1" t="n">
        <v>45351.92850694444</v>
      </c>
      <c r="C4840" s="1" t="n">
        <v>46093</v>
      </c>
      <c r="D4840" t="inlineStr">
        <is>
          <t>VÄSTERNORRLANDS LÄN</t>
        </is>
      </c>
      <c r="E4840" t="inlineStr">
        <is>
          <t>SUNDSVALL</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43077-2025</t>
        </is>
      </c>
      <c r="B4841" s="1" t="n">
        <v>45909.6046412037</v>
      </c>
      <c r="C4841" s="1" t="n">
        <v>46093</v>
      </c>
      <c r="D4841" t="inlineStr">
        <is>
          <t>VÄSTERNORRLANDS LÄN</t>
        </is>
      </c>
      <c r="E4841" t="inlineStr">
        <is>
          <t>ÅNGE</t>
        </is>
      </c>
      <c r="F4841" t="inlineStr">
        <is>
          <t>Kyrkan</t>
        </is>
      </c>
      <c r="G4841" t="n">
        <v>7.6</v>
      </c>
      <c r="H4841" t="n">
        <v>0</v>
      </c>
      <c r="I4841" t="n">
        <v>0</v>
      </c>
      <c r="J4841" t="n">
        <v>0</v>
      </c>
      <c r="K4841" t="n">
        <v>0</v>
      </c>
      <c r="L4841" t="n">
        <v>0</v>
      </c>
      <c r="M4841" t="n">
        <v>0</v>
      </c>
      <c r="N4841" t="n">
        <v>0</v>
      </c>
      <c r="O4841" t="n">
        <v>0</v>
      </c>
      <c r="P4841" t="n">
        <v>0</v>
      </c>
      <c r="Q4841" t="n">
        <v>0</v>
      </c>
      <c r="R4841" s="2" t="inlineStr"/>
    </row>
    <row r="4842" ht="15" customHeight="1">
      <c r="A4842" t="inlineStr">
        <is>
          <t>A 24596-2023</t>
        </is>
      </c>
      <c r="B4842" s="1" t="n">
        <v>45083.94011574074</v>
      </c>
      <c r="C4842" s="1" t="n">
        <v>46093</v>
      </c>
      <c r="D4842" t="inlineStr">
        <is>
          <t>VÄSTERNORRLANDS LÄN</t>
        </is>
      </c>
      <c r="E4842" t="inlineStr">
        <is>
          <t>SOLLEFTEÅ</t>
        </is>
      </c>
      <c r="F4842" t="inlineStr">
        <is>
          <t>SCA</t>
        </is>
      </c>
      <c r="G4842" t="n">
        <v>4.6</v>
      </c>
      <c r="H4842" t="n">
        <v>0</v>
      </c>
      <c r="I4842" t="n">
        <v>0</v>
      </c>
      <c r="J4842" t="n">
        <v>0</v>
      </c>
      <c r="K4842" t="n">
        <v>0</v>
      </c>
      <c r="L4842" t="n">
        <v>0</v>
      </c>
      <c r="M4842" t="n">
        <v>0</v>
      </c>
      <c r="N4842" t="n">
        <v>0</v>
      </c>
      <c r="O4842" t="n">
        <v>0</v>
      </c>
      <c r="P4842" t="n">
        <v>0</v>
      </c>
      <c r="Q4842" t="n">
        <v>0</v>
      </c>
      <c r="R4842" s="2" t="inlineStr"/>
    </row>
    <row r="4843" ht="15" customHeight="1">
      <c r="A4843" t="inlineStr">
        <is>
          <t>A 43120-2025</t>
        </is>
      </c>
      <c r="B4843" s="1" t="n">
        <v>45909.67707175926</v>
      </c>
      <c r="C4843" s="1" t="n">
        <v>46093</v>
      </c>
      <c r="D4843" t="inlineStr">
        <is>
          <t>VÄSTERNORRLANDS LÄN</t>
        </is>
      </c>
      <c r="E4843" t="inlineStr">
        <is>
          <t>ÖRNSKÖLDSVIK</t>
        </is>
      </c>
      <c r="F4843" t="inlineStr">
        <is>
          <t>Holmen skog AB</t>
        </is>
      </c>
      <c r="G4843" t="n">
        <v>6.6</v>
      </c>
      <c r="H4843" t="n">
        <v>0</v>
      </c>
      <c r="I4843" t="n">
        <v>0</v>
      </c>
      <c r="J4843" t="n">
        <v>0</v>
      </c>
      <c r="K4843" t="n">
        <v>0</v>
      </c>
      <c r="L4843" t="n">
        <v>0</v>
      </c>
      <c r="M4843" t="n">
        <v>0</v>
      </c>
      <c r="N4843" t="n">
        <v>0</v>
      </c>
      <c r="O4843" t="n">
        <v>0</v>
      </c>
      <c r="P4843" t="n">
        <v>0</v>
      </c>
      <c r="Q4843" t="n">
        <v>0</v>
      </c>
      <c r="R4843" s="2" t="inlineStr"/>
    </row>
    <row r="4844" ht="15" customHeight="1">
      <c r="A4844" t="inlineStr">
        <is>
          <t>A 1689-2023</t>
        </is>
      </c>
      <c r="B4844" s="1" t="n">
        <v>44936</v>
      </c>
      <c r="C4844" s="1" t="n">
        <v>46093</v>
      </c>
      <c r="D4844" t="inlineStr">
        <is>
          <t>VÄSTERNORRLANDS LÄN</t>
        </is>
      </c>
      <c r="E4844" t="inlineStr">
        <is>
          <t>ÖRNSKÖLDSVIK</t>
        </is>
      </c>
      <c r="G4844" t="n">
        <v>3.4</v>
      </c>
      <c r="H4844" t="n">
        <v>0</v>
      </c>
      <c r="I4844" t="n">
        <v>0</v>
      </c>
      <c r="J4844" t="n">
        <v>0</v>
      </c>
      <c r="K4844" t="n">
        <v>0</v>
      </c>
      <c r="L4844" t="n">
        <v>0</v>
      </c>
      <c r="M4844" t="n">
        <v>0</v>
      </c>
      <c r="N4844" t="n">
        <v>0</v>
      </c>
      <c r="O4844" t="n">
        <v>0</v>
      </c>
      <c r="P4844" t="n">
        <v>0</v>
      </c>
      <c r="Q4844" t="n">
        <v>0</v>
      </c>
      <c r="R4844" s="2" t="inlineStr"/>
    </row>
    <row r="4845" ht="15" customHeight="1">
      <c r="A4845" t="inlineStr">
        <is>
          <t>A 43359-2025</t>
        </is>
      </c>
      <c r="B4845" s="1" t="n">
        <v>45910</v>
      </c>
      <c r="C4845" s="1" t="n">
        <v>46093</v>
      </c>
      <c r="D4845" t="inlineStr">
        <is>
          <t>VÄSTERNORRLANDS LÄN</t>
        </is>
      </c>
      <c r="E4845" t="inlineStr">
        <is>
          <t>ÖRNSKÖLDSVIK</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43035-2025</t>
        </is>
      </c>
      <c r="B4846" s="1" t="n">
        <v>45909.54824074074</v>
      </c>
      <c r="C4846" s="1" t="n">
        <v>46093</v>
      </c>
      <c r="D4846" t="inlineStr">
        <is>
          <t>VÄSTERNORRLANDS LÄN</t>
        </is>
      </c>
      <c r="E4846" t="inlineStr">
        <is>
          <t>ÖRNSKÖLDSVIK</t>
        </is>
      </c>
      <c r="G4846" t="n">
        <v>2.9</v>
      </c>
      <c r="H4846" t="n">
        <v>0</v>
      </c>
      <c r="I4846" t="n">
        <v>0</v>
      </c>
      <c r="J4846" t="n">
        <v>0</v>
      </c>
      <c r="K4846" t="n">
        <v>0</v>
      </c>
      <c r="L4846" t="n">
        <v>0</v>
      </c>
      <c r="M4846" t="n">
        <v>0</v>
      </c>
      <c r="N4846" t="n">
        <v>0</v>
      </c>
      <c r="O4846" t="n">
        <v>0</v>
      </c>
      <c r="P4846" t="n">
        <v>0</v>
      </c>
      <c r="Q4846" t="n">
        <v>0</v>
      </c>
      <c r="R4846" s="2" t="inlineStr"/>
    </row>
    <row r="4847" ht="15" customHeight="1">
      <c r="A4847" t="inlineStr">
        <is>
          <t>A 58845-2024</t>
        </is>
      </c>
      <c r="B4847" s="1" t="n">
        <v>45636.3862037037</v>
      </c>
      <c r="C4847" s="1" t="n">
        <v>46093</v>
      </c>
      <c r="D4847" t="inlineStr">
        <is>
          <t>VÄSTERNORRLANDS LÄN</t>
        </is>
      </c>
      <c r="E4847" t="inlineStr">
        <is>
          <t>SOLLEFTEÅ</t>
        </is>
      </c>
      <c r="F4847" t="inlineStr">
        <is>
          <t>SCA</t>
        </is>
      </c>
      <c r="G4847" t="n">
        <v>11.3</v>
      </c>
      <c r="H4847" t="n">
        <v>0</v>
      </c>
      <c r="I4847" t="n">
        <v>0</v>
      </c>
      <c r="J4847" t="n">
        <v>0</v>
      </c>
      <c r="K4847" t="n">
        <v>0</v>
      </c>
      <c r="L4847" t="n">
        <v>0</v>
      </c>
      <c r="M4847" t="n">
        <v>0</v>
      </c>
      <c r="N4847" t="n">
        <v>0</v>
      </c>
      <c r="O4847" t="n">
        <v>0</v>
      </c>
      <c r="P4847" t="n">
        <v>0</v>
      </c>
      <c r="Q4847" t="n">
        <v>0</v>
      </c>
      <c r="R4847" s="2" t="inlineStr"/>
    </row>
    <row r="4848" ht="15" customHeight="1">
      <c r="A4848" t="inlineStr">
        <is>
          <t>A 5258-2025</t>
        </is>
      </c>
      <c r="B4848" s="1" t="n">
        <v>45692</v>
      </c>
      <c r="C4848" s="1" t="n">
        <v>46093</v>
      </c>
      <c r="D4848" t="inlineStr">
        <is>
          <t>VÄSTERNORRLANDS LÄN</t>
        </is>
      </c>
      <c r="E4848" t="inlineStr">
        <is>
          <t>SOLLEFTEÅ</t>
        </is>
      </c>
      <c r="F4848" t="inlineStr">
        <is>
          <t>SCA</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43152-2025</t>
        </is>
      </c>
      <c r="B4849" s="1" t="n">
        <v>45910.34438657408</v>
      </c>
      <c r="C4849" s="1" t="n">
        <v>46093</v>
      </c>
      <c r="D4849" t="inlineStr">
        <is>
          <t>VÄSTERNORRLANDS LÄN</t>
        </is>
      </c>
      <c r="E4849" t="inlineStr">
        <is>
          <t>SUNDSVALL</t>
        </is>
      </c>
      <c r="F4849" t="inlineStr">
        <is>
          <t>SCA</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33241-2024</t>
        </is>
      </c>
      <c r="B4850" s="1" t="n">
        <v>45518.60484953703</v>
      </c>
      <c r="C4850" s="1" t="n">
        <v>46093</v>
      </c>
      <c r="D4850" t="inlineStr">
        <is>
          <t>VÄSTERNORRLANDS LÄN</t>
        </is>
      </c>
      <c r="E4850" t="inlineStr">
        <is>
          <t>SOLLEFTEÅ</t>
        </is>
      </c>
      <c r="G4850" t="n">
        <v>4.1</v>
      </c>
      <c r="H4850" t="n">
        <v>0</v>
      </c>
      <c r="I4850" t="n">
        <v>0</v>
      </c>
      <c r="J4850" t="n">
        <v>0</v>
      </c>
      <c r="K4850" t="n">
        <v>0</v>
      </c>
      <c r="L4850" t="n">
        <v>0</v>
      </c>
      <c r="M4850" t="n">
        <v>0</v>
      </c>
      <c r="N4850" t="n">
        <v>0</v>
      </c>
      <c r="O4850" t="n">
        <v>0</v>
      </c>
      <c r="P4850" t="n">
        <v>0</v>
      </c>
      <c r="Q4850" t="n">
        <v>0</v>
      </c>
      <c r="R4850" s="2" t="inlineStr"/>
    </row>
    <row r="4851" ht="15" customHeight="1">
      <c r="A4851" t="inlineStr">
        <is>
          <t>A 33296-2024</t>
        </is>
      </c>
      <c r="B4851" s="1" t="n">
        <v>45518</v>
      </c>
      <c r="C4851" s="1" t="n">
        <v>46093</v>
      </c>
      <c r="D4851" t="inlineStr">
        <is>
          <t>VÄSTERNORRLANDS LÄN</t>
        </is>
      </c>
      <c r="E4851" t="inlineStr">
        <is>
          <t>KRAMFORS</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43266-2025</t>
        </is>
      </c>
      <c r="B4852" s="1" t="n">
        <v>45910.57519675926</v>
      </c>
      <c r="C4852" s="1" t="n">
        <v>46093</v>
      </c>
      <c r="D4852" t="inlineStr">
        <is>
          <t>VÄSTERNORRLANDS LÄN</t>
        </is>
      </c>
      <c r="E4852" t="inlineStr">
        <is>
          <t>HÄRNÖSAND</t>
        </is>
      </c>
      <c r="G4852" t="n">
        <v>3.9</v>
      </c>
      <c r="H4852" t="n">
        <v>0</v>
      </c>
      <c r="I4852" t="n">
        <v>0</v>
      </c>
      <c r="J4852" t="n">
        <v>0</v>
      </c>
      <c r="K4852" t="n">
        <v>0</v>
      </c>
      <c r="L4852" t="n">
        <v>0</v>
      </c>
      <c r="M4852" t="n">
        <v>0</v>
      </c>
      <c r="N4852" t="n">
        <v>0</v>
      </c>
      <c r="O4852" t="n">
        <v>0</v>
      </c>
      <c r="P4852" t="n">
        <v>0</v>
      </c>
      <c r="Q4852" t="n">
        <v>0</v>
      </c>
      <c r="R4852" s="2" t="inlineStr"/>
    </row>
    <row r="4853" ht="15" customHeight="1">
      <c r="A4853" t="inlineStr">
        <is>
          <t>A 50226-2023</t>
        </is>
      </c>
      <c r="B4853" s="1" t="n">
        <v>45215.94767361111</v>
      </c>
      <c r="C4853" s="1" t="n">
        <v>46093</v>
      </c>
      <c r="D4853" t="inlineStr">
        <is>
          <t>VÄSTERNORRLANDS LÄN</t>
        </is>
      </c>
      <c r="E4853" t="inlineStr">
        <is>
          <t>SOLLEFTEÅ</t>
        </is>
      </c>
      <c r="F4853" t="inlineStr">
        <is>
          <t>SCA</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5637-2023</t>
        </is>
      </c>
      <c r="B4854" s="1" t="n">
        <v>44960.59162037037</v>
      </c>
      <c r="C4854" s="1" t="n">
        <v>46093</v>
      </c>
      <c r="D4854" t="inlineStr">
        <is>
          <t>VÄSTERNORRLANDS LÄN</t>
        </is>
      </c>
      <c r="E4854" t="inlineStr">
        <is>
          <t>ÖRNSKÖLDSVIK</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43108-2025</t>
        </is>
      </c>
      <c r="B4855" s="1" t="n">
        <v>45909.65167824074</v>
      </c>
      <c r="C4855" s="1" t="n">
        <v>46093</v>
      </c>
      <c r="D4855" t="inlineStr">
        <is>
          <t>VÄSTERNORRLANDS LÄN</t>
        </is>
      </c>
      <c r="E4855" t="inlineStr">
        <is>
          <t>SUNDSVALL</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17889-2025</t>
        </is>
      </c>
      <c r="B4856" s="1" t="n">
        <v>45758.67746527777</v>
      </c>
      <c r="C4856" s="1" t="n">
        <v>46093</v>
      </c>
      <c r="D4856" t="inlineStr">
        <is>
          <t>VÄSTERNORRLANDS LÄN</t>
        </is>
      </c>
      <c r="E4856" t="inlineStr">
        <is>
          <t>SOLLEFTEÅ</t>
        </is>
      </c>
      <c r="F4856" t="inlineStr">
        <is>
          <t>SCA</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7431-2022</t>
        </is>
      </c>
      <c r="B4857" s="1" t="n">
        <v>44606.93319444444</v>
      </c>
      <c r="C4857" s="1" t="n">
        <v>46093</v>
      </c>
      <c r="D4857" t="inlineStr">
        <is>
          <t>VÄSTERNORRLANDS LÄN</t>
        </is>
      </c>
      <c r="E4857" t="inlineStr">
        <is>
          <t>SUNDSVALL</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43053-2025</t>
        </is>
      </c>
      <c r="B4858" s="1" t="n">
        <v>45909.57015046296</v>
      </c>
      <c r="C4858" s="1" t="n">
        <v>46093</v>
      </c>
      <c r="D4858" t="inlineStr">
        <is>
          <t>VÄSTERNORRLANDS LÄN</t>
        </is>
      </c>
      <c r="E4858" t="inlineStr">
        <is>
          <t>ÖRNSKÖLDSVIK</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21010-2023</t>
        </is>
      </c>
      <c r="B4859" s="1" t="n">
        <v>45061</v>
      </c>
      <c r="C4859" s="1" t="n">
        <v>46093</v>
      </c>
      <c r="D4859" t="inlineStr">
        <is>
          <t>VÄSTERNORRLANDS LÄN</t>
        </is>
      </c>
      <c r="E4859" t="inlineStr">
        <is>
          <t>SUNDSVALL</t>
        </is>
      </c>
      <c r="G4859" t="n">
        <v>4.9</v>
      </c>
      <c r="H4859" t="n">
        <v>0</v>
      </c>
      <c r="I4859" t="n">
        <v>0</v>
      </c>
      <c r="J4859" t="n">
        <v>0</v>
      </c>
      <c r="K4859" t="n">
        <v>0</v>
      </c>
      <c r="L4859" t="n">
        <v>0</v>
      </c>
      <c r="M4859" t="n">
        <v>0</v>
      </c>
      <c r="N4859" t="n">
        <v>0</v>
      </c>
      <c r="O4859" t="n">
        <v>0</v>
      </c>
      <c r="P4859" t="n">
        <v>0</v>
      </c>
      <c r="Q4859" t="n">
        <v>0</v>
      </c>
      <c r="R4859" s="2" t="inlineStr"/>
    </row>
    <row r="4860" ht="15" customHeight="1">
      <c r="A4860" t="inlineStr">
        <is>
          <t>A 45942-2023</t>
        </is>
      </c>
      <c r="B4860" s="1" t="n">
        <v>45195</v>
      </c>
      <c r="C4860" s="1" t="n">
        <v>46093</v>
      </c>
      <c r="D4860" t="inlineStr">
        <is>
          <t>VÄSTERNORRLANDS LÄN</t>
        </is>
      </c>
      <c r="E4860" t="inlineStr">
        <is>
          <t>ÖRNSKÖLDSVIK</t>
        </is>
      </c>
      <c r="F4860" t="inlineStr">
        <is>
          <t>SCA</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22444-2025</t>
        </is>
      </c>
      <c r="B4861" s="1" t="n">
        <v>45786</v>
      </c>
      <c r="C4861" s="1" t="n">
        <v>46093</v>
      </c>
      <c r="D4861" t="inlineStr">
        <is>
          <t>VÄSTERNORRLANDS LÄN</t>
        </is>
      </c>
      <c r="E4861" t="inlineStr">
        <is>
          <t>SOLLEFTEÅ</t>
        </is>
      </c>
      <c r="F4861" t="inlineStr">
        <is>
          <t>SCA</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18816-2025</t>
        </is>
      </c>
      <c r="B4862" s="1" t="n">
        <v>45764.37059027778</v>
      </c>
      <c r="C4862" s="1" t="n">
        <v>46093</v>
      </c>
      <c r="D4862" t="inlineStr">
        <is>
          <t>VÄSTERNORRLANDS LÄN</t>
        </is>
      </c>
      <c r="E4862" t="inlineStr">
        <is>
          <t>SUNDSVALL</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43502-2025</t>
        </is>
      </c>
      <c r="B4863" s="1" t="n">
        <v>45911</v>
      </c>
      <c r="C4863" s="1" t="n">
        <v>46093</v>
      </c>
      <c r="D4863" t="inlineStr">
        <is>
          <t>VÄSTERNORRLANDS LÄN</t>
        </is>
      </c>
      <c r="E4863" t="inlineStr">
        <is>
          <t>ÖRNSKÖLDSVIK</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54841-2024</t>
        </is>
      </c>
      <c r="B4864" s="1" t="n">
        <v>45618</v>
      </c>
      <c r="C4864" s="1" t="n">
        <v>46093</v>
      </c>
      <c r="D4864" t="inlineStr">
        <is>
          <t>VÄSTERNORRLANDS LÄN</t>
        </is>
      </c>
      <c r="E4864" t="inlineStr">
        <is>
          <t>ÖRNSKÖLDSVIK</t>
        </is>
      </c>
      <c r="G4864" t="n">
        <v>2.8</v>
      </c>
      <c r="H4864" t="n">
        <v>0</v>
      </c>
      <c r="I4864" t="n">
        <v>0</v>
      </c>
      <c r="J4864" t="n">
        <v>0</v>
      </c>
      <c r="K4864" t="n">
        <v>0</v>
      </c>
      <c r="L4864" t="n">
        <v>0</v>
      </c>
      <c r="M4864" t="n">
        <v>0</v>
      </c>
      <c r="N4864" t="n">
        <v>0</v>
      </c>
      <c r="O4864" t="n">
        <v>0</v>
      </c>
      <c r="P4864" t="n">
        <v>0</v>
      </c>
      <c r="Q4864" t="n">
        <v>0</v>
      </c>
      <c r="R4864" s="2" t="inlineStr"/>
    </row>
    <row r="4865" ht="15" customHeight="1">
      <c r="A4865" t="inlineStr">
        <is>
          <t>A 43353-2025</t>
        </is>
      </c>
      <c r="B4865" s="1" t="n">
        <v>45911.2953587963</v>
      </c>
      <c r="C4865" s="1" t="n">
        <v>46093</v>
      </c>
      <c r="D4865" t="inlineStr">
        <is>
          <t>VÄSTERNORRLANDS LÄN</t>
        </is>
      </c>
      <c r="E4865" t="inlineStr">
        <is>
          <t>ÖRNSKÖLDSVIK</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49629-2024</t>
        </is>
      </c>
      <c r="B4866" s="1" t="n">
        <v>45596</v>
      </c>
      <c r="C4866" s="1" t="n">
        <v>46093</v>
      </c>
      <c r="D4866" t="inlineStr">
        <is>
          <t>VÄSTERNORRLANDS LÄN</t>
        </is>
      </c>
      <c r="E4866" t="inlineStr">
        <is>
          <t>SOLLEFTEÅ</t>
        </is>
      </c>
      <c r="F4866" t="inlineStr">
        <is>
          <t>SCA</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42100-2023</t>
        </is>
      </c>
      <c r="B4867" s="1" t="n">
        <v>45174</v>
      </c>
      <c r="C4867" s="1" t="n">
        <v>46093</v>
      </c>
      <c r="D4867" t="inlineStr">
        <is>
          <t>VÄSTERNORRLANDS LÄN</t>
        </is>
      </c>
      <c r="E4867" t="inlineStr">
        <is>
          <t>ÅNGE</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17874-2022</t>
        </is>
      </c>
      <c r="B4868" s="1" t="n">
        <v>44683</v>
      </c>
      <c r="C4868" s="1" t="n">
        <v>46093</v>
      </c>
      <c r="D4868" t="inlineStr">
        <is>
          <t>VÄSTERNORRLANDS LÄN</t>
        </is>
      </c>
      <c r="E4868" t="inlineStr">
        <is>
          <t>ÖRNSKÖLDSVIK</t>
        </is>
      </c>
      <c r="G4868" t="n">
        <v>2.7</v>
      </c>
      <c r="H4868" t="n">
        <v>0</v>
      </c>
      <c r="I4868" t="n">
        <v>0</v>
      </c>
      <c r="J4868" t="n">
        <v>0</v>
      </c>
      <c r="K4868" t="n">
        <v>0</v>
      </c>
      <c r="L4868" t="n">
        <v>0</v>
      </c>
      <c r="M4868" t="n">
        <v>0</v>
      </c>
      <c r="N4868" t="n">
        <v>0</v>
      </c>
      <c r="O4868" t="n">
        <v>0</v>
      </c>
      <c r="P4868" t="n">
        <v>0</v>
      </c>
      <c r="Q4868" t="n">
        <v>0</v>
      </c>
      <c r="R4868" s="2" t="inlineStr"/>
    </row>
    <row r="4869" ht="15" customHeight="1">
      <c r="A4869" t="inlineStr">
        <is>
          <t>A 22493-2024</t>
        </is>
      </c>
      <c r="B4869" s="1" t="n">
        <v>45447.33980324074</v>
      </c>
      <c r="C4869" s="1" t="n">
        <v>46093</v>
      </c>
      <c r="D4869" t="inlineStr">
        <is>
          <t>VÄSTERNORRLANDS LÄN</t>
        </is>
      </c>
      <c r="E4869" t="inlineStr">
        <is>
          <t>ÖRNSKÖLDSVIK</t>
        </is>
      </c>
      <c r="F4869" t="inlineStr">
        <is>
          <t>Holmen skog AB</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36329-2025</t>
        </is>
      </c>
      <c r="B4870" s="1" t="n">
        <v>45868.42763888889</v>
      </c>
      <c r="C4870" s="1" t="n">
        <v>46093</v>
      </c>
      <c r="D4870" t="inlineStr">
        <is>
          <t>VÄSTERNORRLANDS LÄN</t>
        </is>
      </c>
      <c r="E4870" t="inlineStr">
        <is>
          <t>SUNDSVALL</t>
        </is>
      </c>
      <c r="G4870" t="n">
        <v>9.5</v>
      </c>
      <c r="H4870" t="n">
        <v>0</v>
      </c>
      <c r="I4870" t="n">
        <v>0</v>
      </c>
      <c r="J4870" t="n">
        <v>0</v>
      </c>
      <c r="K4870" t="n">
        <v>0</v>
      </c>
      <c r="L4870" t="n">
        <v>0</v>
      </c>
      <c r="M4870" t="n">
        <v>0</v>
      </c>
      <c r="N4870" t="n">
        <v>0</v>
      </c>
      <c r="O4870" t="n">
        <v>0</v>
      </c>
      <c r="P4870" t="n">
        <v>0</v>
      </c>
      <c r="Q4870" t="n">
        <v>0</v>
      </c>
      <c r="R4870" s="2" t="inlineStr"/>
    </row>
    <row r="4871" ht="15" customHeight="1">
      <c r="A4871" t="inlineStr">
        <is>
          <t>A 36330-2025</t>
        </is>
      </c>
      <c r="B4871" s="1" t="n">
        <v>45868.42768518518</v>
      </c>
      <c r="C4871" s="1" t="n">
        <v>46093</v>
      </c>
      <c r="D4871" t="inlineStr">
        <is>
          <t>VÄSTERNORRLANDS LÄN</t>
        </is>
      </c>
      <c r="E4871" t="inlineStr">
        <is>
          <t>SUNDSVALL</t>
        </is>
      </c>
      <c r="G4871" t="n">
        <v>3.8</v>
      </c>
      <c r="H4871" t="n">
        <v>0</v>
      </c>
      <c r="I4871" t="n">
        <v>0</v>
      </c>
      <c r="J4871" t="n">
        <v>0</v>
      </c>
      <c r="K4871" t="n">
        <v>0</v>
      </c>
      <c r="L4871" t="n">
        <v>0</v>
      </c>
      <c r="M4871" t="n">
        <v>0</v>
      </c>
      <c r="N4871" t="n">
        <v>0</v>
      </c>
      <c r="O4871" t="n">
        <v>0</v>
      </c>
      <c r="P4871" t="n">
        <v>0</v>
      </c>
      <c r="Q4871" t="n">
        <v>0</v>
      </c>
      <c r="R4871" s="2" t="inlineStr"/>
    </row>
    <row r="4872" ht="15" customHeight="1">
      <c r="A4872" t="inlineStr">
        <is>
          <t>A 43603-2025</t>
        </is>
      </c>
      <c r="B4872" s="1" t="n">
        <v>45911</v>
      </c>
      <c r="C4872" s="1" t="n">
        <v>46093</v>
      </c>
      <c r="D4872" t="inlineStr">
        <is>
          <t>VÄSTERNORRLANDS LÄN</t>
        </is>
      </c>
      <c r="E4872" t="inlineStr">
        <is>
          <t>SOLLEFTEÅ</t>
        </is>
      </c>
      <c r="G4872" t="n">
        <v>4</v>
      </c>
      <c r="H4872" t="n">
        <v>0</v>
      </c>
      <c r="I4872" t="n">
        <v>0</v>
      </c>
      <c r="J4872" t="n">
        <v>0</v>
      </c>
      <c r="K4872" t="n">
        <v>0</v>
      </c>
      <c r="L4872" t="n">
        <v>0</v>
      </c>
      <c r="M4872" t="n">
        <v>0</v>
      </c>
      <c r="N4872" t="n">
        <v>0</v>
      </c>
      <c r="O4872" t="n">
        <v>0</v>
      </c>
      <c r="P4872" t="n">
        <v>0</v>
      </c>
      <c r="Q4872" t="n">
        <v>0</v>
      </c>
      <c r="R4872" s="2" t="inlineStr"/>
    </row>
    <row r="4873" ht="15" customHeight="1">
      <c r="A4873" t="inlineStr">
        <is>
          <t>A 35923-2022</t>
        </is>
      </c>
      <c r="B4873" s="1" t="n">
        <v>44802</v>
      </c>
      <c r="C4873" s="1" t="n">
        <v>46093</v>
      </c>
      <c r="D4873" t="inlineStr">
        <is>
          <t>VÄSTERNORRLANDS LÄN</t>
        </is>
      </c>
      <c r="E4873" t="inlineStr">
        <is>
          <t>SUNDSVALL</t>
        </is>
      </c>
      <c r="G4873" t="n">
        <v>8.1</v>
      </c>
      <c r="H4873" t="n">
        <v>0</v>
      </c>
      <c r="I4873" t="n">
        <v>0</v>
      </c>
      <c r="J4873" t="n">
        <v>0</v>
      </c>
      <c r="K4873" t="n">
        <v>0</v>
      </c>
      <c r="L4873" t="n">
        <v>0</v>
      </c>
      <c r="M4873" t="n">
        <v>0</v>
      </c>
      <c r="N4873" t="n">
        <v>0</v>
      </c>
      <c r="O4873" t="n">
        <v>0</v>
      </c>
      <c r="P4873" t="n">
        <v>0</v>
      </c>
      <c r="Q4873" t="n">
        <v>0</v>
      </c>
      <c r="R4873" s="2" t="inlineStr"/>
    </row>
    <row r="4874" ht="15" customHeight="1">
      <c r="A4874" t="inlineStr">
        <is>
          <t>A 43615-2025</t>
        </is>
      </c>
      <c r="B4874" s="1" t="n">
        <v>45911.67784722222</v>
      </c>
      <c r="C4874" s="1" t="n">
        <v>46093</v>
      </c>
      <c r="D4874" t="inlineStr">
        <is>
          <t>VÄSTERNORRLANDS LÄN</t>
        </is>
      </c>
      <c r="E4874" t="inlineStr">
        <is>
          <t>SUNDSVALL</t>
        </is>
      </c>
      <c r="F4874" t="inlineStr">
        <is>
          <t>Naturvårdsverket</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43488-2025</t>
        </is>
      </c>
      <c r="B4875" s="1" t="n">
        <v>45911.51083333333</v>
      </c>
      <c r="C4875" s="1" t="n">
        <v>46093</v>
      </c>
      <c r="D4875" t="inlineStr">
        <is>
          <t>VÄSTERNORRLANDS LÄN</t>
        </is>
      </c>
      <c r="E4875" t="inlineStr">
        <is>
          <t>SUNDSVALL</t>
        </is>
      </c>
      <c r="F4875" t="inlineStr">
        <is>
          <t>SCA</t>
        </is>
      </c>
      <c r="G4875" t="n">
        <v>5.9</v>
      </c>
      <c r="H4875" t="n">
        <v>0</v>
      </c>
      <c r="I4875" t="n">
        <v>0</v>
      </c>
      <c r="J4875" t="n">
        <v>0</v>
      </c>
      <c r="K4875" t="n">
        <v>0</v>
      </c>
      <c r="L4875" t="n">
        <v>0</v>
      </c>
      <c r="M4875" t="n">
        <v>0</v>
      </c>
      <c r="N4875" t="n">
        <v>0</v>
      </c>
      <c r="O4875" t="n">
        <v>0</v>
      </c>
      <c r="P4875" t="n">
        <v>0</v>
      </c>
      <c r="Q4875" t="n">
        <v>0</v>
      </c>
      <c r="R4875" s="2" t="inlineStr"/>
    </row>
    <row r="4876" ht="15" customHeight="1">
      <c r="A4876" t="inlineStr">
        <is>
          <t>A 42235-2023</t>
        </is>
      </c>
      <c r="B4876" s="1" t="n">
        <v>45180</v>
      </c>
      <c r="C4876" s="1" t="n">
        <v>46093</v>
      </c>
      <c r="D4876" t="inlineStr">
        <is>
          <t>VÄSTERNORRLANDS LÄN</t>
        </is>
      </c>
      <c r="E4876" t="inlineStr">
        <is>
          <t>ÖRNSKÖLDSVIK</t>
        </is>
      </c>
      <c r="F4876" t="inlineStr">
        <is>
          <t>Holmen skog AB</t>
        </is>
      </c>
      <c r="G4876" t="n">
        <v>4.1</v>
      </c>
      <c r="H4876" t="n">
        <v>0</v>
      </c>
      <c r="I4876" t="n">
        <v>0</v>
      </c>
      <c r="J4876" t="n">
        <v>0</v>
      </c>
      <c r="K4876" t="n">
        <v>0</v>
      </c>
      <c r="L4876" t="n">
        <v>0</v>
      </c>
      <c r="M4876" t="n">
        <v>0</v>
      </c>
      <c r="N4876" t="n">
        <v>0</v>
      </c>
      <c r="O4876" t="n">
        <v>0</v>
      </c>
      <c r="P4876" t="n">
        <v>0</v>
      </c>
      <c r="Q4876" t="n">
        <v>0</v>
      </c>
      <c r="R4876" s="2" t="inlineStr"/>
    </row>
    <row r="4877" ht="15" customHeight="1">
      <c r="A4877" t="inlineStr">
        <is>
          <t>A 1116-2025</t>
        </is>
      </c>
      <c r="B4877" s="1" t="n">
        <v>45666</v>
      </c>
      <c r="C4877" s="1" t="n">
        <v>46093</v>
      </c>
      <c r="D4877" t="inlineStr">
        <is>
          <t>VÄSTERNORRLANDS LÄN</t>
        </is>
      </c>
      <c r="E4877" t="inlineStr">
        <is>
          <t>SUNDSVALL</t>
        </is>
      </c>
      <c r="F4877" t="inlineStr">
        <is>
          <t>SCA</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20458-2025</t>
        </is>
      </c>
      <c r="B4878" s="1" t="n">
        <v>45775.52623842593</v>
      </c>
      <c r="C4878" s="1" t="n">
        <v>46093</v>
      </c>
      <c r="D4878" t="inlineStr">
        <is>
          <t>VÄSTERNORRLANDS LÄN</t>
        </is>
      </c>
      <c r="E4878" t="inlineStr">
        <is>
          <t>SOLLEFTEÅ</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43814-2025</t>
        </is>
      </c>
      <c r="B4879" s="1" t="n">
        <v>45912.59471064815</v>
      </c>
      <c r="C4879" s="1" t="n">
        <v>46093</v>
      </c>
      <c r="D4879" t="inlineStr">
        <is>
          <t>VÄSTERNORRLANDS LÄN</t>
        </is>
      </c>
      <c r="E4879" t="inlineStr">
        <is>
          <t>SUNDSVALL</t>
        </is>
      </c>
      <c r="F4879" t="inlineStr">
        <is>
          <t>Naturvårdsverket</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43385-2025</t>
        </is>
      </c>
      <c r="B4880" s="1" t="n">
        <v>45911.36508101852</v>
      </c>
      <c r="C4880" s="1" t="n">
        <v>46093</v>
      </c>
      <c r="D4880" t="inlineStr">
        <is>
          <t>VÄSTERNORRLANDS LÄN</t>
        </is>
      </c>
      <c r="E4880" t="inlineStr">
        <is>
          <t>ÅNGE</t>
        </is>
      </c>
      <c r="F4880" t="inlineStr">
        <is>
          <t>SCA</t>
        </is>
      </c>
      <c r="G4880" t="n">
        <v>2.8</v>
      </c>
      <c r="H4880" t="n">
        <v>0</v>
      </c>
      <c r="I4880" t="n">
        <v>0</v>
      </c>
      <c r="J4880" t="n">
        <v>0</v>
      </c>
      <c r="K4880" t="n">
        <v>0</v>
      </c>
      <c r="L4880" t="n">
        <v>0</v>
      </c>
      <c r="M4880" t="n">
        <v>0</v>
      </c>
      <c r="N4880" t="n">
        <v>0</v>
      </c>
      <c r="O4880" t="n">
        <v>0</v>
      </c>
      <c r="P4880" t="n">
        <v>0</v>
      </c>
      <c r="Q4880" t="n">
        <v>0</v>
      </c>
      <c r="R4880" s="2" t="inlineStr"/>
    </row>
    <row r="4881" ht="15" customHeight="1">
      <c r="A4881" t="inlineStr">
        <is>
          <t>A 20541-2025</t>
        </is>
      </c>
      <c r="B4881" s="1" t="n">
        <v>45775.62486111111</v>
      </c>
      <c r="C4881" s="1" t="n">
        <v>46093</v>
      </c>
      <c r="D4881" t="inlineStr">
        <is>
          <t>VÄSTERNORRLANDS LÄN</t>
        </is>
      </c>
      <c r="E4881" t="inlineStr">
        <is>
          <t>ÖRNSKÖLDSVIK</t>
        </is>
      </c>
      <c r="G4881" t="n">
        <v>8.1</v>
      </c>
      <c r="H4881" t="n">
        <v>0</v>
      </c>
      <c r="I4881" t="n">
        <v>0</v>
      </c>
      <c r="J4881" t="n">
        <v>0</v>
      </c>
      <c r="K4881" t="n">
        <v>0</v>
      </c>
      <c r="L4881" t="n">
        <v>0</v>
      </c>
      <c r="M4881" t="n">
        <v>0</v>
      </c>
      <c r="N4881" t="n">
        <v>0</v>
      </c>
      <c r="O4881" t="n">
        <v>0</v>
      </c>
      <c r="P4881" t="n">
        <v>0</v>
      </c>
      <c r="Q4881" t="n">
        <v>0</v>
      </c>
      <c r="R4881" s="2" t="inlineStr"/>
    </row>
    <row r="4882" ht="15" customHeight="1">
      <c r="A4882" t="inlineStr">
        <is>
          <t>A 43707-2025</t>
        </is>
      </c>
      <c r="B4882" s="1" t="n">
        <v>45912.40668981482</v>
      </c>
      <c r="C4882" s="1" t="n">
        <v>46093</v>
      </c>
      <c r="D4882" t="inlineStr">
        <is>
          <t>VÄSTERNORRLANDS LÄN</t>
        </is>
      </c>
      <c r="E4882" t="inlineStr">
        <is>
          <t>ÅNGE</t>
        </is>
      </c>
      <c r="F4882" t="inlineStr">
        <is>
          <t>SCA</t>
        </is>
      </c>
      <c r="G4882" t="n">
        <v>12.5</v>
      </c>
      <c r="H4882" t="n">
        <v>0</v>
      </c>
      <c r="I4882" t="n">
        <v>0</v>
      </c>
      <c r="J4882" t="n">
        <v>0</v>
      </c>
      <c r="K4882" t="n">
        <v>0</v>
      </c>
      <c r="L4882" t="n">
        <v>0</v>
      </c>
      <c r="M4882" t="n">
        <v>0</v>
      </c>
      <c r="N4882" t="n">
        <v>0</v>
      </c>
      <c r="O4882" t="n">
        <v>0</v>
      </c>
      <c r="P4882" t="n">
        <v>0</v>
      </c>
      <c r="Q4882" t="n">
        <v>0</v>
      </c>
      <c r="R4882" s="2" t="inlineStr"/>
      <c r="U4882">
        <f>HYPERLINK("https://klasma.github.io/Logging_2260/knärot/A 43707-2025 karta knärot.png", "A 43707-2025")</f>
        <v/>
      </c>
      <c r="V4882">
        <f>HYPERLINK("https://klasma.github.io/Logging_2260/klagomål/A 43707-2025 FSC-klagomål.docx", "A 43707-2025")</f>
        <v/>
      </c>
      <c r="W4882">
        <f>HYPERLINK("https://klasma.github.io/Logging_2260/klagomålsmail/A 43707-2025 FSC-klagomål mail.docx", "A 43707-2025")</f>
        <v/>
      </c>
      <c r="X4882">
        <f>HYPERLINK("https://klasma.github.io/Logging_2260/tillsyn/A 43707-2025 tillsynsbegäran.docx", "A 43707-2025")</f>
        <v/>
      </c>
      <c r="Y4882">
        <f>HYPERLINK("https://klasma.github.io/Logging_2260/tillsynsmail/A 43707-2025 tillsynsbegäran mail.docx", "A 43707-2025")</f>
        <v/>
      </c>
    </row>
    <row r="4883" ht="15" customHeight="1">
      <c r="A4883" t="inlineStr">
        <is>
          <t>A 54584-2024</t>
        </is>
      </c>
      <c r="B4883" s="1" t="n">
        <v>45617.65747685185</v>
      </c>
      <c r="C4883" s="1" t="n">
        <v>46093</v>
      </c>
      <c r="D4883" t="inlineStr">
        <is>
          <t>VÄSTERNORRLANDS LÄN</t>
        </is>
      </c>
      <c r="E4883" t="inlineStr">
        <is>
          <t>SUNDSVALL</t>
        </is>
      </c>
      <c r="F4883" t="inlineStr">
        <is>
          <t>SCA</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56232-2023</t>
        </is>
      </c>
      <c r="B4884" s="1" t="n">
        <v>45240.92402777778</v>
      </c>
      <c r="C4884" s="1" t="n">
        <v>46093</v>
      </c>
      <c r="D4884" t="inlineStr">
        <is>
          <t>VÄSTERNORRLANDS LÄN</t>
        </is>
      </c>
      <c r="E4884" t="inlineStr">
        <is>
          <t>SUNDSVALL</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56233-2023</t>
        </is>
      </c>
      <c r="B4885" s="1" t="n">
        <v>45240.9240625</v>
      </c>
      <c r="C4885" s="1" t="n">
        <v>46093</v>
      </c>
      <c r="D4885" t="inlineStr">
        <is>
          <t>VÄSTERNORRLANDS LÄN</t>
        </is>
      </c>
      <c r="E4885" t="inlineStr">
        <is>
          <t>SUNDSVALL</t>
        </is>
      </c>
      <c r="G4885" t="n">
        <v>6.5</v>
      </c>
      <c r="H4885" t="n">
        <v>0</v>
      </c>
      <c r="I4885" t="n">
        <v>0</v>
      </c>
      <c r="J4885" t="n">
        <v>0</v>
      </c>
      <c r="K4885" t="n">
        <v>0</v>
      </c>
      <c r="L4885" t="n">
        <v>0</v>
      </c>
      <c r="M4885" t="n">
        <v>0</v>
      </c>
      <c r="N4885" t="n">
        <v>0</v>
      </c>
      <c r="O4885" t="n">
        <v>0</v>
      </c>
      <c r="P4885" t="n">
        <v>0</v>
      </c>
      <c r="Q4885" t="n">
        <v>0</v>
      </c>
      <c r="R4885" s="2" t="inlineStr"/>
    </row>
    <row r="4886" ht="15" customHeight="1">
      <c r="A4886" t="inlineStr">
        <is>
          <t>A 56250-2023</t>
        </is>
      </c>
      <c r="B4886" s="1" t="n">
        <v>45240</v>
      </c>
      <c r="C4886" s="1" t="n">
        <v>46093</v>
      </c>
      <c r="D4886" t="inlineStr">
        <is>
          <t>VÄSTERNORRLANDS LÄN</t>
        </is>
      </c>
      <c r="E4886" t="inlineStr">
        <is>
          <t>SUNDSVALL</t>
        </is>
      </c>
      <c r="F4886" t="inlineStr">
        <is>
          <t>SCA</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56261-2023</t>
        </is>
      </c>
      <c r="B4887" s="1" t="n">
        <v>45240</v>
      </c>
      <c r="C4887" s="1" t="n">
        <v>46093</v>
      </c>
      <c r="D4887" t="inlineStr">
        <is>
          <t>VÄSTERNORRLANDS LÄN</t>
        </is>
      </c>
      <c r="E4887" t="inlineStr">
        <is>
          <t>SOLLEFTEÅ</t>
        </is>
      </c>
      <c r="F4887" t="inlineStr">
        <is>
          <t>SCA</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35502-2024</t>
        </is>
      </c>
      <c r="B4888" s="1" t="n">
        <v>45531</v>
      </c>
      <c r="C4888" s="1" t="n">
        <v>46093</v>
      </c>
      <c r="D4888" t="inlineStr">
        <is>
          <t>VÄSTERNORRLANDS LÄN</t>
        </is>
      </c>
      <c r="E4888" t="inlineStr">
        <is>
          <t>SOLLEFTEÅ</t>
        </is>
      </c>
      <c r="F4888" t="inlineStr">
        <is>
          <t>Övriga Aktiebolag</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54622-2024</t>
        </is>
      </c>
      <c r="B4889" s="1" t="n">
        <v>45617.76491898148</v>
      </c>
      <c r="C4889" s="1" t="n">
        <v>46093</v>
      </c>
      <c r="D4889" t="inlineStr">
        <is>
          <t>VÄSTERNORRLANDS LÄN</t>
        </is>
      </c>
      <c r="E4889" t="inlineStr">
        <is>
          <t>ÖRNSKÖLDSVIK</t>
        </is>
      </c>
      <c r="F4889" t="inlineStr">
        <is>
          <t>Holmen skog AB</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54188-2023</t>
        </is>
      </c>
      <c r="B4890" s="1" t="n">
        <v>45232.52178240741</v>
      </c>
      <c r="C4890" s="1" t="n">
        <v>46093</v>
      </c>
      <c r="D4890" t="inlineStr">
        <is>
          <t>VÄSTERNORRLANDS LÄN</t>
        </is>
      </c>
      <c r="E4890" t="inlineStr">
        <is>
          <t>KRAMFORS</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34847-2023</t>
        </is>
      </c>
      <c r="B4891" s="1" t="n">
        <v>45141.95984953704</v>
      </c>
      <c r="C4891" s="1" t="n">
        <v>46093</v>
      </c>
      <c r="D4891" t="inlineStr">
        <is>
          <t>VÄSTERNORRLANDS LÄN</t>
        </is>
      </c>
      <c r="E4891" t="inlineStr">
        <is>
          <t>ÖRNSKÖLDSVIK</t>
        </is>
      </c>
      <c r="F4891" t="inlineStr">
        <is>
          <t>SCA</t>
        </is>
      </c>
      <c r="G4891" t="n">
        <v>4.4</v>
      </c>
      <c r="H4891" t="n">
        <v>0</v>
      </c>
      <c r="I4891" t="n">
        <v>0</v>
      </c>
      <c r="J4891" t="n">
        <v>0</v>
      </c>
      <c r="K4891" t="n">
        <v>0</v>
      </c>
      <c r="L4891" t="n">
        <v>0</v>
      </c>
      <c r="M4891" t="n">
        <v>0</v>
      </c>
      <c r="N4891" t="n">
        <v>0</v>
      </c>
      <c r="O4891" t="n">
        <v>0</v>
      </c>
      <c r="P4891" t="n">
        <v>0</v>
      </c>
      <c r="Q4891" t="n">
        <v>0</v>
      </c>
      <c r="R4891" s="2" t="inlineStr"/>
    </row>
    <row r="4892" ht="15" customHeight="1">
      <c r="A4892" t="inlineStr">
        <is>
          <t>A 20061-2022</t>
        </is>
      </c>
      <c r="B4892" s="1" t="n">
        <v>44697.94140046297</v>
      </c>
      <c r="C4892" s="1" t="n">
        <v>46093</v>
      </c>
      <c r="D4892" t="inlineStr">
        <is>
          <t>VÄSTERNORRLANDS LÄN</t>
        </is>
      </c>
      <c r="E4892" t="inlineStr">
        <is>
          <t>SOLLEFTEÅ</t>
        </is>
      </c>
      <c r="F4892" t="inlineStr">
        <is>
          <t>SCA</t>
        </is>
      </c>
      <c r="G4892" t="n">
        <v>4.1</v>
      </c>
      <c r="H4892" t="n">
        <v>0</v>
      </c>
      <c r="I4892" t="n">
        <v>0</v>
      </c>
      <c r="J4892" t="n">
        <v>0</v>
      </c>
      <c r="K4892" t="n">
        <v>0</v>
      </c>
      <c r="L4892" t="n">
        <v>0</v>
      </c>
      <c r="M4892" t="n">
        <v>0</v>
      </c>
      <c r="N4892" t="n">
        <v>0</v>
      </c>
      <c r="O4892" t="n">
        <v>0</v>
      </c>
      <c r="P4892" t="n">
        <v>0</v>
      </c>
      <c r="Q4892" t="n">
        <v>0</v>
      </c>
      <c r="R4892" s="2" t="inlineStr"/>
    </row>
    <row r="4893" ht="15" customHeight="1">
      <c r="A4893" t="inlineStr">
        <is>
          <t>A 35379-2023</t>
        </is>
      </c>
      <c r="B4893" s="1" t="n">
        <v>45145</v>
      </c>
      <c r="C4893" s="1" t="n">
        <v>46093</v>
      </c>
      <c r="D4893" t="inlineStr">
        <is>
          <t>VÄSTERNORRLANDS LÄN</t>
        </is>
      </c>
      <c r="E4893" t="inlineStr">
        <is>
          <t>ÖRNSKÖLDSVIK</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10510-2024</t>
        </is>
      </c>
      <c r="B4894" s="1" t="n">
        <v>45366</v>
      </c>
      <c r="C4894" s="1" t="n">
        <v>46093</v>
      </c>
      <c r="D4894" t="inlineStr">
        <is>
          <t>VÄSTERNORRLANDS LÄN</t>
        </is>
      </c>
      <c r="E4894" t="inlineStr">
        <is>
          <t>KRAMFORS</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10557-2024</t>
        </is>
      </c>
      <c r="B4895" s="1" t="n">
        <v>45366</v>
      </c>
      <c r="C4895" s="1" t="n">
        <v>46093</v>
      </c>
      <c r="D4895" t="inlineStr">
        <is>
          <t>VÄSTERNORRLANDS LÄN</t>
        </is>
      </c>
      <c r="E4895" t="inlineStr">
        <is>
          <t>SUNDSVALL</t>
        </is>
      </c>
      <c r="G4895" t="n">
        <v>0.4</v>
      </c>
      <c r="H4895" t="n">
        <v>0</v>
      </c>
      <c r="I4895" t="n">
        <v>0</v>
      </c>
      <c r="J4895" t="n">
        <v>0</v>
      </c>
      <c r="K4895" t="n">
        <v>0</v>
      </c>
      <c r="L4895" t="n">
        <v>0</v>
      </c>
      <c r="M4895" t="n">
        <v>0</v>
      </c>
      <c r="N4895" t="n">
        <v>0</v>
      </c>
      <c r="O4895" t="n">
        <v>0</v>
      </c>
      <c r="P4895" t="n">
        <v>0</v>
      </c>
      <c r="Q4895" t="n">
        <v>0</v>
      </c>
      <c r="R4895" s="2" t="inlineStr"/>
    </row>
    <row r="4896" ht="15" customHeight="1">
      <c r="A4896" t="inlineStr">
        <is>
          <t>A 20540-2022</t>
        </is>
      </c>
      <c r="B4896" s="1" t="n">
        <v>44700</v>
      </c>
      <c r="C4896" s="1" t="n">
        <v>46093</v>
      </c>
      <c r="D4896" t="inlineStr">
        <is>
          <t>VÄSTERNORRLANDS LÄN</t>
        </is>
      </c>
      <c r="E4896" t="inlineStr">
        <is>
          <t>ÖRNSKÖLDSVIK</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20551-2022</t>
        </is>
      </c>
      <c r="B4897" s="1" t="n">
        <v>44699</v>
      </c>
      <c r="C4897" s="1" t="n">
        <v>46093</v>
      </c>
      <c r="D4897" t="inlineStr">
        <is>
          <t>VÄSTERNORRLANDS LÄN</t>
        </is>
      </c>
      <c r="E4897" t="inlineStr">
        <is>
          <t>SOLLEFTEÅ</t>
        </is>
      </c>
      <c r="G4897" t="n">
        <v>3</v>
      </c>
      <c r="H4897" t="n">
        <v>0</v>
      </c>
      <c r="I4897" t="n">
        <v>0</v>
      </c>
      <c r="J4897" t="n">
        <v>0</v>
      </c>
      <c r="K4897" t="n">
        <v>0</v>
      </c>
      <c r="L4897" t="n">
        <v>0</v>
      </c>
      <c r="M4897" t="n">
        <v>0</v>
      </c>
      <c r="N4897" t="n">
        <v>0</v>
      </c>
      <c r="O4897" t="n">
        <v>0</v>
      </c>
      <c r="P4897" t="n">
        <v>0</v>
      </c>
      <c r="Q4897" t="n">
        <v>0</v>
      </c>
      <c r="R4897" s="2" t="inlineStr"/>
    </row>
    <row r="4898" ht="15" customHeight="1">
      <c r="A4898" t="inlineStr">
        <is>
          <t>A 1790-2025</t>
        </is>
      </c>
      <c r="B4898" s="1" t="n">
        <v>45670</v>
      </c>
      <c r="C4898" s="1" t="n">
        <v>46093</v>
      </c>
      <c r="D4898" t="inlineStr">
        <is>
          <t>VÄSTERNORRLANDS LÄN</t>
        </is>
      </c>
      <c r="E4898" t="inlineStr">
        <is>
          <t>ÖRNSKÖLDSVIK</t>
        </is>
      </c>
      <c r="G4898" t="n">
        <v>8.1</v>
      </c>
      <c r="H4898" t="n">
        <v>0</v>
      </c>
      <c r="I4898" t="n">
        <v>0</v>
      </c>
      <c r="J4898" t="n">
        <v>0</v>
      </c>
      <c r="K4898" t="n">
        <v>0</v>
      </c>
      <c r="L4898" t="n">
        <v>0</v>
      </c>
      <c r="M4898" t="n">
        <v>0</v>
      </c>
      <c r="N4898" t="n">
        <v>0</v>
      </c>
      <c r="O4898" t="n">
        <v>0</v>
      </c>
      <c r="P4898" t="n">
        <v>0</v>
      </c>
      <c r="Q4898" t="n">
        <v>0</v>
      </c>
      <c r="R4898" s="2" t="inlineStr"/>
    </row>
    <row r="4899" ht="15" customHeight="1">
      <c r="A4899" t="inlineStr">
        <is>
          <t>A 43415-2025</t>
        </is>
      </c>
      <c r="B4899" s="1" t="n">
        <v>45911.40662037037</v>
      </c>
      <c r="C4899" s="1" t="n">
        <v>46093</v>
      </c>
      <c r="D4899" t="inlineStr">
        <is>
          <t>VÄSTERNORRLANDS LÄN</t>
        </is>
      </c>
      <c r="E4899" t="inlineStr">
        <is>
          <t>ÅNGE</t>
        </is>
      </c>
      <c r="F4899" t="inlineStr">
        <is>
          <t>SCA</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51431-2024</t>
        </is>
      </c>
      <c r="B4900" s="1" t="n">
        <v>45604</v>
      </c>
      <c r="C4900" s="1" t="n">
        <v>46093</v>
      </c>
      <c r="D4900" t="inlineStr">
        <is>
          <t>VÄSTERNORRLANDS LÄN</t>
        </is>
      </c>
      <c r="E4900" t="inlineStr">
        <is>
          <t>SUNDSVALL</t>
        </is>
      </c>
      <c r="F4900" t="inlineStr">
        <is>
          <t>SCA</t>
        </is>
      </c>
      <c r="G4900" t="n">
        <v>3.5</v>
      </c>
      <c r="H4900" t="n">
        <v>0</v>
      </c>
      <c r="I4900" t="n">
        <v>0</v>
      </c>
      <c r="J4900" t="n">
        <v>0</v>
      </c>
      <c r="K4900" t="n">
        <v>0</v>
      </c>
      <c r="L4900" t="n">
        <v>0</v>
      </c>
      <c r="M4900" t="n">
        <v>0</v>
      </c>
      <c r="N4900" t="n">
        <v>0</v>
      </c>
      <c r="O4900" t="n">
        <v>0</v>
      </c>
      <c r="P4900" t="n">
        <v>0</v>
      </c>
      <c r="Q4900" t="n">
        <v>0</v>
      </c>
      <c r="R4900" s="2" t="inlineStr"/>
    </row>
    <row r="4901" ht="15" customHeight="1">
      <c r="A4901" t="inlineStr">
        <is>
          <t>A 35555-2023</t>
        </is>
      </c>
      <c r="B4901" s="1" t="n">
        <v>45146</v>
      </c>
      <c r="C4901" s="1" t="n">
        <v>46093</v>
      </c>
      <c r="D4901" t="inlineStr">
        <is>
          <t>VÄSTERNORRLANDS LÄN</t>
        </is>
      </c>
      <c r="E4901" t="inlineStr">
        <is>
          <t>ÖRNSKÖLDSVIK</t>
        </is>
      </c>
      <c r="G4901" t="n">
        <v>4.7</v>
      </c>
      <c r="H4901" t="n">
        <v>0</v>
      </c>
      <c r="I4901" t="n">
        <v>0</v>
      </c>
      <c r="J4901" t="n">
        <v>0</v>
      </c>
      <c r="K4901" t="n">
        <v>0</v>
      </c>
      <c r="L4901" t="n">
        <v>0</v>
      </c>
      <c r="M4901" t="n">
        <v>0</v>
      </c>
      <c r="N4901" t="n">
        <v>0</v>
      </c>
      <c r="O4901" t="n">
        <v>0</v>
      </c>
      <c r="P4901" t="n">
        <v>0</v>
      </c>
      <c r="Q4901" t="n">
        <v>0</v>
      </c>
      <c r="R4901" s="2" t="inlineStr"/>
    </row>
    <row r="4902" ht="15" customHeight="1">
      <c r="A4902" t="inlineStr">
        <is>
          <t>A 35556-2023</t>
        </is>
      </c>
      <c r="B4902" s="1" t="n">
        <v>45147</v>
      </c>
      <c r="C4902" s="1" t="n">
        <v>46093</v>
      </c>
      <c r="D4902" t="inlineStr">
        <is>
          <t>VÄSTERNORRLANDS LÄN</t>
        </is>
      </c>
      <c r="E4902" t="inlineStr">
        <is>
          <t>SOLLEFTEÅ</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40172-2024</t>
        </is>
      </c>
      <c r="B4903" s="1" t="n">
        <v>45554.55274305555</v>
      </c>
      <c r="C4903" s="1" t="n">
        <v>46093</v>
      </c>
      <c r="D4903" t="inlineStr">
        <is>
          <t>VÄSTERNORRLANDS LÄN</t>
        </is>
      </c>
      <c r="E4903" t="inlineStr">
        <is>
          <t>ÖRNSKÖLDSVIK</t>
        </is>
      </c>
      <c r="G4903" t="n">
        <v>6.1</v>
      </c>
      <c r="H4903" t="n">
        <v>0</v>
      </c>
      <c r="I4903" t="n">
        <v>0</v>
      </c>
      <c r="J4903" t="n">
        <v>0</v>
      </c>
      <c r="K4903" t="n">
        <v>0</v>
      </c>
      <c r="L4903" t="n">
        <v>0</v>
      </c>
      <c r="M4903" t="n">
        <v>0</v>
      </c>
      <c r="N4903" t="n">
        <v>0</v>
      </c>
      <c r="O4903" t="n">
        <v>0</v>
      </c>
      <c r="P4903" t="n">
        <v>0</v>
      </c>
      <c r="Q4903" t="n">
        <v>0</v>
      </c>
      <c r="R4903" s="2" t="inlineStr"/>
    </row>
    <row r="4904" ht="15" customHeight="1">
      <c r="A4904" t="inlineStr">
        <is>
          <t>A 51433-2024</t>
        </is>
      </c>
      <c r="B4904" s="1" t="n">
        <v>45604</v>
      </c>
      <c r="C4904" s="1" t="n">
        <v>46093</v>
      </c>
      <c r="D4904" t="inlineStr">
        <is>
          <t>VÄSTERNORRLANDS LÄN</t>
        </is>
      </c>
      <c r="E4904" t="inlineStr">
        <is>
          <t>SUNDSVALL</t>
        </is>
      </c>
      <c r="F4904" t="inlineStr">
        <is>
          <t>SCA</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30822-2023</t>
        </is>
      </c>
      <c r="B4905" s="1" t="n">
        <v>45112.94289351852</v>
      </c>
      <c r="C4905" s="1" t="n">
        <v>46093</v>
      </c>
      <c r="D4905" t="inlineStr">
        <is>
          <t>VÄSTERNORRLANDS LÄN</t>
        </is>
      </c>
      <c r="E4905" t="inlineStr">
        <is>
          <t>SOLLEFTEÅ</t>
        </is>
      </c>
      <c r="F4905" t="inlineStr">
        <is>
          <t>SCA</t>
        </is>
      </c>
      <c r="G4905" t="n">
        <v>4.6</v>
      </c>
      <c r="H4905" t="n">
        <v>0</v>
      </c>
      <c r="I4905" t="n">
        <v>0</v>
      </c>
      <c r="J4905" t="n">
        <v>0</v>
      </c>
      <c r="K4905" t="n">
        <v>0</v>
      </c>
      <c r="L4905" t="n">
        <v>0</v>
      </c>
      <c r="M4905" t="n">
        <v>0</v>
      </c>
      <c r="N4905" t="n">
        <v>0</v>
      </c>
      <c r="O4905" t="n">
        <v>0</v>
      </c>
      <c r="P4905" t="n">
        <v>0</v>
      </c>
      <c r="Q4905" t="n">
        <v>0</v>
      </c>
      <c r="R4905" s="2" t="inlineStr"/>
    </row>
    <row r="4906" ht="15" customHeight="1">
      <c r="A4906" t="inlineStr">
        <is>
          <t>A 33040-2023</t>
        </is>
      </c>
      <c r="B4906" s="1" t="n">
        <v>45125.95086805556</v>
      </c>
      <c r="C4906" s="1" t="n">
        <v>46093</v>
      </c>
      <c r="D4906" t="inlineStr">
        <is>
          <t>VÄSTERNORRLANDS LÄN</t>
        </is>
      </c>
      <c r="E4906" t="inlineStr">
        <is>
          <t>SUNDSVALL</t>
        </is>
      </c>
      <c r="F4906" t="inlineStr">
        <is>
          <t>SCA</t>
        </is>
      </c>
      <c r="G4906" t="n">
        <v>3.7</v>
      </c>
      <c r="H4906" t="n">
        <v>0</v>
      </c>
      <c r="I4906" t="n">
        <v>0</v>
      </c>
      <c r="J4906" t="n">
        <v>0</v>
      </c>
      <c r="K4906" t="n">
        <v>0</v>
      </c>
      <c r="L4906" t="n">
        <v>0</v>
      </c>
      <c r="M4906" t="n">
        <v>0</v>
      </c>
      <c r="N4906" t="n">
        <v>0</v>
      </c>
      <c r="O4906" t="n">
        <v>0</v>
      </c>
      <c r="P4906" t="n">
        <v>0</v>
      </c>
      <c r="Q4906" t="n">
        <v>0</v>
      </c>
      <c r="R4906" s="2" t="inlineStr"/>
    </row>
    <row r="4907" ht="15" customHeight="1">
      <c r="A4907" t="inlineStr">
        <is>
          <t>A 55820-2024</t>
        </is>
      </c>
      <c r="B4907" s="1" t="n">
        <v>45623.47644675926</v>
      </c>
      <c r="C4907" s="1" t="n">
        <v>46093</v>
      </c>
      <c r="D4907" t="inlineStr">
        <is>
          <t>VÄSTERNORRLANDS LÄN</t>
        </is>
      </c>
      <c r="E4907" t="inlineStr">
        <is>
          <t>KRAMFORS</t>
        </is>
      </c>
      <c r="G4907" t="n">
        <v>6.5</v>
      </c>
      <c r="H4907" t="n">
        <v>0</v>
      </c>
      <c r="I4907" t="n">
        <v>0</v>
      </c>
      <c r="J4907" t="n">
        <v>0</v>
      </c>
      <c r="K4907" t="n">
        <v>0</v>
      </c>
      <c r="L4907" t="n">
        <v>0</v>
      </c>
      <c r="M4907" t="n">
        <v>0</v>
      </c>
      <c r="N4907" t="n">
        <v>0</v>
      </c>
      <c r="O4907" t="n">
        <v>0</v>
      </c>
      <c r="P4907" t="n">
        <v>0</v>
      </c>
      <c r="Q4907" t="n">
        <v>0</v>
      </c>
      <c r="R4907" s="2" t="inlineStr"/>
    </row>
    <row r="4908" ht="15" customHeight="1">
      <c r="A4908" t="inlineStr">
        <is>
          <t>A 30835-2023</t>
        </is>
      </c>
      <c r="B4908" s="1" t="n">
        <v>45112.94381944444</v>
      </c>
      <c r="C4908" s="1" t="n">
        <v>46093</v>
      </c>
      <c r="D4908" t="inlineStr">
        <is>
          <t>VÄSTERNORRLANDS LÄN</t>
        </is>
      </c>
      <c r="E4908" t="inlineStr">
        <is>
          <t>TIMRÅ</t>
        </is>
      </c>
      <c r="F4908" t="inlineStr">
        <is>
          <t>SCA</t>
        </is>
      </c>
      <c r="G4908" t="n">
        <v>4.6</v>
      </c>
      <c r="H4908" t="n">
        <v>0</v>
      </c>
      <c r="I4908" t="n">
        <v>0</v>
      </c>
      <c r="J4908" t="n">
        <v>0</v>
      </c>
      <c r="K4908" t="n">
        <v>0</v>
      </c>
      <c r="L4908" t="n">
        <v>0</v>
      </c>
      <c r="M4908" t="n">
        <v>0</v>
      </c>
      <c r="N4908" t="n">
        <v>0</v>
      </c>
      <c r="O4908" t="n">
        <v>0</v>
      </c>
      <c r="P4908" t="n">
        <v>0</v>
      </c>
      <c r="Q4908" t="n">
        <v>0</v>
      </c>
      <c r="R4908" s="2" t="inlineStr"/>
    </row>
    <row r="4909" ht="15" customHeight="1">
      <c r="A4909" t="inlineStr">
        <is>
          <t>A 51411-2023</t>
        </is>
      </c>
      <c r="B4909" s="1" t="n">
        <v>45219</v>
      </c>
      <c r="C4909" s="1" t="n">
        <v>46093</v>
      </c>
      <c r="D4909" t="inlineStr">
        <is>
          <t>VÄSTERNORRLANDS LÄN</t>
        </is>
      </c>
      <c r="E4909" t="inlineStr">
        <is>
          <t>ÅNGE</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1624-2022</t>
        </is>
      </c>
      <c r="B4910" s="1" t="n">
        <v>44573</v>
      </c>
      <c r="C4910" s="1" t="n">
        <v>46093</v>
      </c>
      <c r="D4910" t="inlineStr">
        <is>
          <t>VÄSTERNORRLANDS LÄN</t>
        </is>
      </c>
      <c r="E4910" t="inlineStr">
        <is>
          <t>KRAMFORS</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24298-2023</t>
        </is>
      </c>
      <c r="B4911" s="1" t="n">
        <v>45079</v>
      </c>
      <c r="C4911" s="1" t="n">
        <v>46093</v>
      </c>
      <c r="D4911" t="inlineStr">
        <is>
          <t>VÄSTERNORRLANDS LÄN</t>
        </is>
      </c>
      <c r="E4911" t="inlineStr">
        <is>
          <t>SUNDSVALL</t>
        </is>
      </c>
      <c r="F4911" t="inlineStr">
        <is>
          <t>SCA</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35744-2023</t>
        </is>
      </c>
      <c r="B4912" s="1" t="n">
        <v>45147.95315972222</v>
      </c>
      <c r="C4912" s="1" t="n">
        <v>46093</v>
      </c>
      <c r="D4912" t="inlineStr">
        <is>
          <t>VÄSTERNORRLANDS LÄN</t>
        </is>
      </c>
      <c r="E4912" t="inlineStr">
        <is>
          <t>KRAMFORS</t>
        </is>
      </c>
      <c r="F4912" t="inlineStr">
        <is>
          <t>SCA</t>
        </is>
      </c>
      <c r="G4912" t="n">
        <v>4.2</v>
      </c>
      <c r="H4912" t="n">
        <v>0</v>
      </c>
      <c r="I4912" t="n">
        <v>0</v>
      </c>
      <c r="J4912" t="n">
        <v>0</v>
      </c>
      <c r="K4912" t="n">
        <v>0</v>
      </c>
      <c r="L4912" t="n">
        <v>0</v>
      </c>
      <c r="M4912" t="n">
        <v>0</v>
      </c>
      <c r="N4912" t="n">
        <v>0</v>
      </c>
      <c r="O4912" t="n">
        <v>0</v>
      </c>
      <c r="P4912" t="n">
        <v>0</v>
      </c>
      <c r="Q4912" t="n">
        <v>0</v>
      </c>
      <c r="R4912" s="2" t="inlineStr"/>
    </row>
    <row r="4913" ht="15" customHeight="1">
      <c r="A4913" t="inlineStr">
        <is>
          <t>A 39347-2024</t>
        </is>
      </c>
      <c r="B4913" s="1" t="n">
        <v>45551.44858796296</v>
      </c>
      <c r="C4913" s="1" t="n">
        <v>46093</v>
      </c>
      <c r="D4913" t="inlineStr">
        <is>
          <t>VÄSTERNORRLANDS LÄN</t>
        </is>
      </c>
      <c r="E4913" t="inlineStr">
        <is>
          <t>SUNDSVALL</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43582-2025</t>
        </is>
      </c>
      <c r="B4914" s="1" t="n">
        <v>45911.64875</v>
      </c>
      <c r="C4914" s="1" t="n">
        <v>46093</v>
      </c>
      <c r="D4914" t="inlineStr">
        <is>
          <t>VÄSTERNORRLANDS LÄN</t>
        </is>
      </c>
      <c r="E4914" t="inlineStr">
        <is>
          <t>ÖRNSKÖLDSVIK</t>
        </is>
      </c>
      <c r="F4914" t="inlineStr">
        <is>
          <t>Holmen skog AB</t>
        </is>
      </c>
      <c r="G4914" t="n">
        <v>6.5</v>
      </c>
      <c r="H4914" t="n">
        <v>0</v>
      </c>
      <c r="I4914" t="n">
        <v>0</v>
      </c>
      <c r="J4914" t="n">
        <v>0</v>
      </c>
      <c r="K4914" t="n">
        <v>0</v>
      </c>
      <c r="L4914" t="n">
        <v>0</v>
      </c>
      <c r="M4914" t="n">
        <v>0</v>
      </c>
      <c r="N4914" t="n">
        <v>0</v>
      </c>
      <c r="O4914" t="n">
        <v>0</v>
      </c>
      <c r="P4914" t="n">
        <v>0</v>
      </c>
      <c r="Q4914" t="n">
        <v>0</v>
      </c>
      <c r="R4914" s="2" t="inlineStr"/>
    </row>
    <row r="4915" ht="15" customHeight="1">
      <c r="A4915" t="inlineStr">
        <is>
          <t>A 1869-2022</t>
        </is>
      </c>
      <c r="B4915" s="1" t="n">
        <v>44574</v>
      </c>
      <c r="C4915" s="1" t="n">
        <v>46093</v>
      </c>
      <c r="D4915" t="inlineStr">
        <is>
          <t>VÄSTERNORRLANDS LÄN</t>
        </is>
      </c>
      <c r="E4915" t="inlineStr">
        <is>
          <t>ÅNGE</t>
        </is>
      </c>
      <c r="F4915" t="inlineStr">
        <is>
          <t>SCA</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43648-2025</t>
        </is>
      </c>
      <c r="B4916" s="1" t="n">
        <v>45912.31762731481</v>
      </c>
      <c r="C4916" s="1" t="n">
        <v>46093</v>
      </c>
      <c r="D4916" t="inlineStr">
        <is>
          <t>VÄSTERNORRLANDS LÄN</t>
        </is>
      </c>
      <c r="E4916" t="inlineStr">
        <is>
          <t>ÖRNSKÖLDSVIK</t>
        </is>
      </c>
      <c r="F4916" t="inlineStr">
        <is>
          <t>Holmen skog AB</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43377-2025</t>
        </is>
      </c>
      <c r="B4917" s="1" t="n">
        <v>45911</v>
      </c>
      <c r="C4917" s="1" t="n">
        <v>46093</v>
      </c>
      <c r="D4917" t="inlineStr">
        <is>
          <t>VÄSTERNORRLANDS LÄN</t>
        </is>
      </c>
      <c r="E4917" t="inlineStr">
        <is>
          <t>ÖRNSKÖLDSVIK</t>
        </is>
      </c>
      <c r="F4917" t="inlineStr">
        <is>
          <t>Kommuner</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33901-2023</t>
        </is>
      </c>
      <c r="B4918" s="1" t="n">
        <v>45122</v>
      </c>
      <c r="C4918" s="1" t="n">
        <v>46093</v>
      </c>
      <c r="D4918" t="inlineStr">
        <is>
          <t>VÄSTERNORRLANDS LÄN</t>
        </is>
      </c>
      <c r="E4918" t="inlineStr">
        <is>
          <t>ÖRNSKÖLDSVIK</t>
        </is>
      </c>
      <c r="G4918" t="n">
        <v>2.8</v>
      </c>
      <c r="H4918" t="n">
        <v>0</v>
      </c>
      <c r="I4918" t="n">
        <v>0</v>
      </c>
      <c r="J4918" t="n">
        <v>0</v>
      </c>
      <c r="K4918" t="n">
        <v>0</v>
      </c>
      <c r="L4918" t="n">
        <v>0</v>
      </c>
      <c r="M4918" t="n">
        <v>0</v>
      </c>
      <c r="N4918" t="n">
        <v>0</v>
      </c>
      <c r="O4918" t="n">
        <v>0</v>
      </c>
      <c r="P4918" t="n">
        <v>0</v>
      </c>
      <c r="Q4918" t="n">
        <v>0</v>
      </c>
      <c r="R4918" s="2" t="inlineStr"/>
    </row>
    <row r="4919" ht="15" customHeight="1">
      <c r="A4919" t="inlineStr">
        <is>
          <t>A 13887-2022</t>
        </is>
      </c>
      <c r="B4919" s="1" t="n">
        <v>44649</v>
      </c>
      <c r="C4919" s="1" t="n">
        <v>46093</v>
      </c>
      <c r="D4919" t="inlineStr">
        <is>
          <t>VÄSTERNORRLANDS LÄN</t>
        </is>
      </c>
      <c r="E4919" t="inlineStr">
        <is>
          <t>ÖRNSKÖLDSVIK</t>
        </is>
      </c>
      <c r="G4919" t="n">
        <v>20</v>
      </c>
      <c r="H4919" t="n">
        <v>0</v>
      </c>
      <c r="I4919" t="n">
        <v>0</v>
      </c>
      <c r="J4919" t="n">
        <v>0</v>
      </c>
      <c r="K4919" t="n">
        <v>0</v>
      </c>
      <c r="L4919" t="n">
        <v>0</v>
      </c>
      <c r="M4919" t="n">
        <v>0</v>
      </c>
      <c r="N4919" t="n">
        <v>0</v>
      </c>
      <c r="O4919" t="n">
        <v>0</v>
      </c>
      <c r="P4919" t="n">
        <v>0</v>
      </c>
      <c r="Q4919" t="n">
        <v>0</v>
      </c>
      <c r="R4919" s="2" t="inlineStr"/>
    </row>
    <row r="4920" ht="15" customHeight="1">
      <c r="A4920" t="inlineStr">
        <is>
          <t>A 34406-2024</t>
        </is>
      </c>
      <c r="B4920" s="1" t="n">
        <v>45525.45870370371</v>
      </c>
      <c r="C4920" s="1" t="n">
        <v>46093</v>
      </c>
      <c r="D4920" t="inlineStr">
        <is>
          <t>VÄSTERNORRLANDS LÄN</t>
        </is>
      </c>
      <c r="E4920" t="inlineStr">
        <is>
          <t>ÖRNSKÖLDSVIK</t>
        </is>
      </c>
      <c r="F4920" t="inlineStr">
        <is>
          <t>Holmen skog AB</t>
        </is>
      </c>
      <c r="G4920" t="n">
        <v>3.7</v>
      </c>
      <c r="H4920" t="n">
        <v>0</v>
      </c>
      <c r="I4920" t="n">
        <v>0</v>
      </c>
      <c r="J4920" t="n">
        <v>0</v>
      </c>
      <c r="K4920" t="n">
        <v>0</v>
      </c>
      <c r="L4920" t="n">
        <v>0</v>
      </c>
      <c r="M4920" t="n">
        <v>0</v>
      </c>
      <c r="N4920" t="n">
        <v>0</v>
      </c>
      <c r="O4920" t="n">
        <v>0</v>
      </c>
      <c r="P4920" t="n">
        <v>0</v>
      </c>
      <c r="Q4920" t="n">
        <v>0</v>
      </c>
      <c r="R4920" s="2" t="inlineStr"/>
    </row>
    <row r="4921" ht="15" customHeight="1">
      <c r="A4921" t="inlineStr">
        <is>
          <t>A 43712-2025</t>
        </is>
      </c>
      <c r="B4921" s="1" t="n">
        <v>45912.40709490741</v>
      </c>
      <c r="C4921" s="1" t="n">
        <v>46093</v>
      </c>
      <c r="D4921" t="inlineStr">
        <is>
          <t>VÄSTERNORRLANDS LÄN</t>
        </is>
      </c>
      <c r="E4921" t="inlineStr">
        <is>
          <t>ÖRNSKÖLDSVIK</t>
        </is>
      </c>
      <c r="G4921" t="n">
        <v>4.3</v>
      </c>
      <c r="H4921" t="n">
        <v>0</v>
      </c>
      <c r="I4921" t="n">
        <v>0</v>
      </c>
      <c r="J4921" t="n">
        <v>0</v>
      </c>
      <c r="K4921" t="n">
        <v>0</v>
      </c>
      <c r="L4921" t="n">
        <v>0</v>
      </c>
      <c r="M4921" t="n">
        <v>0</v>
      </c>
      <c r="N4921" t="n">
        <v>0</v>
      </c>
      <c r="O4921" t="n">
        <v>0</v>
      </c>
      <c r="P4921" t="n">
        <v>0</v>
      </c>
      <c r="Q4921" t="n">
        <v>0</v>
      </c>
      <c r="R4921" s="2" t="inlineStr"/>
    </row>
    <row r="4922" ht="15" customHeight="1">
      <c r="A4922" t="inlineStr">
        <is>
          <t>A 10984-2022</t>
        </is>
      </c>
      <c r="B4922" s="1" t="n">
        <v>44628</v>
      </c>
      <c r="C4922" s="1" t="n">
        <v>46093</v>
      </c>
      <c r="D4922" t="inlineStr">
        <is>
          <t>VÄSTERNORRLANDS LÄN</t>
        </is>
      </c>
      <c r="E4922" t="inlineStr">
        <is>
          <t>SUNDSVALL</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10988-2022</t>
        </is>
      </c>
      <c r="B4923" s="1" t="n">
        <v>44628</v>
      </c>
      <c r="C4923" s="1" t="n">
        <v>46093</v>
      </c>
      <c r="D4923" t="inlineStr">
        <is>
          <t>VÄSTERNORRLANDS LÄN</t>
        </is>
      </c>
      <c r="E4923" t="inlineStr">
        <is>
          <t>SUNDSVALL</t>
        </is>
      </c>
      <c r="G4923" t="n">
        <v>3.5</v>
      </c>
      <c r="H4923" t="n">
        <v>0</v>
      </c>
      <c r="I4923" t="n">
        <v>0</v>
      </c>
      <c r="J4923" t="n">
        <v>0</v>
      </c>
      <c r="K4923" t="n">
        <v>0</v>
      </c>
      <c r="L4923" t="n">
        <v>0</v>
      </c>
      <c r="M4923" t="n">
        <v>0</v>
      </c>
      <c r="N4923" t="n">
        <v>0</v>
      </c>
      <c r="O4923" t="n">
        <v>0</v>
      </c>
      <c r="P4923" t="n">
        <v>0</v>
      </c>
      <c r="Q4923" t="n">
        <v>0</v>
      </c>
      <c r="R4923" s="2" t="inlineStr"/>
    </row>
    <row r="4924" ht="15" customHeight="1">
      <c r="A4924" t="inlineStr">
        <is>
          <t>A 53068-2024</t>
        </is>
      </c>
      <c r="B4924" s="1" t="n">
        <v>45611.47680555555</v>
      </c>
      <c r="C4924" s="1" t="n">
        <v>46093</v>
      </c>
      <c r="D4924" t="inlineStr">
        <is>
          <t>VÄSTERNORRLANDS LÄN</t>
        </is>
      </c>
      <c r="E4924" t="inlineStr">
        <is>
          <t>ÖRNSKÖLDSVIK</t>
        </is>
      </c>
      <c r="F4924" t="inlineStr">
        <is>
          <t>Holmen skog AB</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51035-2024</t>
        </is>
      </c>
      <c r="B4925" s="1" t="n">
        <v>45603.42741898148</v>
      </c>
      <c r="C4925" s="1" t="n">
        <v>46093</v>
      </c>
      <c r="D4925" t="inlineStr">
        <is>
          <t>VÄSTERNORRLANDS LÄN</t>
        </is>
      </c>
      <c r="E4925" t="inlineStr">
        <is>
          <t>ÖRNSKÖLDSVIK</t>
        </is>
      </c>
      <c r="F4925" t="inlineStr">
        <is>
          <t>Holmen skog AB</t>
        </is>
      </c>
      <c r="G4925" t="n">
        <v>16.2</v>
      </c>
      <c r="H4925" t="n">
        <v>0</v>
      </c>
      <c r="I4925" t="n">
        <v>0</v>
      </c>
      <c r="J4925" t="n">
        <v>0</v>
      </c>
      <c r="K4925" t="n">
        <v>0</v>
      </c>
      <c r="L4925" t="n">
        <v>0</v>
      </c>
      <c r="M4925" t="n">
        <v>0</v>
      </c>
      <c r="N4925" t="n">
        <v>0</v>
      </c>
      <c r="O4925" t="n">
        <v>0</v>
      </c>
      <c r="P4925" t="n">
        <v>0</v>
      </c>
      <c r="Q4925" t="n">
        <v>0</v>
      </c>
      <c r="R4925" s="2" t="inlineStr"/>
    </row>
    <row r="4926" ht="15" customHeight="1">
      <c r="A4926" t="inlineStr">
        <is>
          <t>A 56569-2024</t>
        </is>
      </c>
      <c r="B4926" s="1" t="n">
        <v>45625</v>
      </c>
      <c r="C4926" s="1" t="n">
        <v>46093</v>
      </c>
      <c r="D4926" t="inlineStr">
        <is>
          <t>VÄSTERNORRLANDS LÄN</t>
        </is>
      </c>
      <c r="E4926" t="inlineStr">
        <is>
          <t>ÅNGE</t>
        </is>
      </c>
      <c r="G4926" t="n">
        <v>4.8</v>
      </c>
      <c r="H4926" t="n">
        <v>0</v>
      </c>
      <c r="I4926" t="n">
        <v>0</v>
      </c>
      <c r="J4926" t="n">
        <v>0</v>
      </c>
      <c r="K4926" t="n">
        <v>0</v>
      </c>
      <c r="L4926" t="n">
        <v>0</v>
      </c>
      <c r="M4926" t="n">
        <v>0</v>
      </c>
      <c r="N4926" t="n">
        <v>0</v>
      </c>
      <c r="O4926" t="n">
        <v>0</v>
      </c>
      <c r="P4926" t="n">
        <v>0</v>
      </c>
      <c r="Q4926" t="n">
        <v>0</v>
      </c>
      <c r="R4926" s="2" t="inlineStr"/>
    </row>
    <row r="4927" ht="15" customHeight="1">
      <c r="A4927" t="inlineStr">
        <is>
          <t>A 36373-2025</t>
        </is>
      </c>
      <c r="B4927" s="1" t="n">
        <v>45868.55256944444</v>
      </c>
      <c r="C4927" s="1" t="n">
        <v>46093</v>
      </c>
      <c r="D4927" t="inlineStr">
        <is>
          <t>VÄSTERNORRLANDS LÄN</t>
        </is>
      </c>
      <c r="E4927" t="inlineStr">
        <is>
          <t>SOLLEFTEÅ</t>
        </is>
      </c>
      <c r="F4927" t="inlineStr">
        <is>
          <t>SCA</t>
        </is>
      </c>
      <c r="G4927" t="n">
        <v>4.8</v>
      </c>
      <c r="H4927" t="n">
        <v>0</v>
      </c>
      <c r="I4927" t="n">
        <v>0</v>
      </c>
      <c r="J4927" t="n">
        <v>0</v>
      </c>
      <c r="K4927" t="n">
        <v>0</v>
      </c>
      <c r="L4927" t="n">
        <v>0</v>
      </c>
      <c r="M4927" t="n">
        <v>0</v>
      </c>
      <c r="N4927" t="n">
        <v>0</v>
      </c>
      <c r="O4927" t="n">
        <v>0</v>
      </c>
      <c r="P4927" t="n">
        <v>0</v>
      </c>
      <c r="Q4927" t="n">
        <v>0</v>
      </c>
      <c r="R4927" s="2" t="inlineStr"/>
    </row>
    <row r="4928" ht="15" customHeight="1">
      <c r="A4928" t="inlineStr">
        <is>
          <t>A 14612-2025</t>
        </is>
      </c>
      <c r="B4928" s="1" t="n">
        <v>45742</v>
      </c>
      <c r="C4928" s="1" t="n">
        <v>46093</v>
      </c>
      <c r="D4928" t="inlineStr">
        <is>
          <t>VÄSTERNORRLANDS LÄN</t>
        </is>
      </c>
      <c r="E4928" t="inlineStr">
        <is>
          <t>SOLLEFTEÅ</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454-2025</t>
        </is>
      </c>
      <c r="B4929" s="1" t="n">
        <v>45664.40201388889</v>
      </c>
      <c r="C4929" s="1" t="n">
        <v>46093</v>
      </c>
      <c r="D4929" t="inlineStr">
        <is>
          <t>VÄSTERNORRLANDS LÄN</t>
        </is>
      </c>
      <c r="E4929" t="inlineStr">
        <is>
          <t>KRAMFORS</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43620-2025</t>
        </is>
      </c>
      <c r="B4930" s="1" t="n">
        <v>45911</v>
      </c>
      <c r="C4930" s="1" t="n">
        <v>46093</v>
      </c>
      <c r="D4930" t="inlineStr">
        <is>
          <t>VÄSTERNORRLANDS LÄN</t>
        </is>
      </c>
      <c r="E4930" t="inlineStr">
        <is>
          <t>SOLLEFTEÅ</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43650-2025</t>
        </is>
      </c>
      <c r="B4931" s="1" t="n">
        <v>45912.32196759259</v>
      </c>
      <c r="C4931" s="1" t="n">
        <v>46093</v>
      </c>
      <c r="D4931" t="inlineStr">
        <is>
          <t>VÄSTERNORRLANDS LÄN</t>
        </is>
      </c>
      <c r="E4931" t="inlineStr">
        <is>
          <t>ÖRNSKÖLDSVIK</t>
        </is>
      </c>
      <c r="F4931" t="inlineStr">
        <is>
          <t>Holmen skog AB</t>
        </is>
      </c>
      <c r="G4931" t="n">
        <v>4.8</v>
      </c>
      <c r="H4931" t="n">
        <v>0</v>
      </c>
      <c r="I4931" t="n">
        <v>0</v>
      </c>
      <c r="J4931" t="n">
        <v>0</v>
      </c>
      <c r="K4931" t="n">
        <v>0</v>
      </c>
      <c r="L4931" t="n">
        <v>0</v>
      </c>
      <c r="M4931" t="n">
        <v>0</v>
      </c>
      <c r="N4931" t="n">
        <v>0</v>
      </c>
      <c r="O4931" t="n">
        <v>0</v>
      </c>
      <c r="P4931" t="n">
        <v>0</v>
      </c>
      <c r="Q4931" t="n">
        <v>0</v>
      </c>
      <c r="R4931" s="2" t="inlineStr"/>
    </row>
    <row r="4932" ht="15" customHeight="1">
      <c r="A4932" t="inlineStr">
        <is>
          <t>A 14656-2025</t>
        </is>
      </c>
      <c r="B4932" s="1" t="n">
        <v>45742.51074074074</v>
      </c>
      <c r="C4932" s="1" t="n">
        <v>46093</v>
      </c>
      <c r="D4932" t="inlineStr">
        <is>
          <t>VÄSTERNORRLANDS LÄN</t>
        </is>
      </c>
      <c r="E4932" t="inlineStr">
        <is>
          <t>SOLLEFTEÅ</t>
        </is>
      </c>
      <c r="F4932" t="inlineStr">
        <is>
          <t>SCA</t>
        </is>
      </c>
      <c r="G4932" t="n">
        <v>7.1</v>
      </c>
      <c r="H4932" t="n">
        <v>0</v>
      </c>
      <c r="I4932" t="n">
        <v>0</v>
      </c>
      <c r="J4932" t="n">
        <v>0</v>
      </c>
      <c r="K4932" t="n">
        <v>0</v>
      </c>
      <c r="L4932" t="n">
        <v>0</v>
      </c>
      <c r="M4932" t="n">
        <v>0</v>
      </c>
      <c r="N4932" t="n">
        <v>0</v>
      </c>
      <c r="O4932" t="n">
        <v>0</v>
      </c>
      <c r="P4932" t="n">
        <v>0</v>
      </c>
      <c r="Q4932" t="n">
        <v>0</v>
      </c>
      <c r="R4932" s="2" t="inlineStr"/>
    </row>
    <row r="4933" ht="15" customHeight="1">
      <c r="A4933" t="inlineStr">
        <is>
          <t>A 36240-2025</t>
        </is>
      </c>
      <c r="B4933" s="1" t="n">
        <v>45867.55298611111</v>
      </c>
      <c r="C4933" s="1" t="n">
        <v>46093</v>
      </c>
      <c r="D4933" t="inlineStr">
        <is>
          <t>VÄSTERNORRLANDS LÄN</t>
        </is>
      </c>
      <c r="E4933" t="inlineStr">
        <is>
          <t>ÅNGE</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43686-2025</t>
        </is>
      </c>
      <c r="B4934" s="1" t="n">
        <v>45912.38262731482</v>
      </c>
      <c r="C4934" s="1" t="n">
        <v>46093</v>
      </c>
      <c r="D4934" t="inlineStr">
        <is>
          <t>VÄSTERNORRLANDS LÄN</t>
        </is>
      </c>
      <c r="E4934" t="inlineStr">
        <is>
          <t>ÖRNSKÖLDSVIK</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43716-2025</t>
        </is>
      </c>
      <c r="B4935" s="1" t="n">
        <v>45912.41435185185</v>
      </c>
      <c r="C4935" s="1" t="n">
        <v>46093</v>
      </c>
      <c r="D4935" t="inlineStr">
        <is>
          <t>VÄSTERNORRLANDS LÄN</t>
        </is>
      </c>
      <c r="E4935" t="inlineStr">
        <is>
          <t>ÖRNSKÖLDSVIK</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4722-2025</t>
        </is>
      </c>
      <c r="B4936" s="1" t="n">
        <v>45688.41627314815</v>
      </c>
      <c r="C4936" s="1" t="n">
        <v>46093</v>
      </c>
      <c r="D4936" t="inlineStr">
        <is>
          <t>VÄSTERNORRLANDS LÄN</t>
        </is>
      </c>
      <c r="E4936" t="inlineStr">
        <is>
          <t>SOLLEFTEÅ</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4726-2025</t>
        </is>
      </c>
      <c r="B4937" s="1" t="n">
        <v>45688</v>
      </c>
      <c r="C4937" s="1" t="n">
        <v>46093</v>
      </c>
      <c r="D4937" t="inlineStr">
        <is>
          <t>VÄSTERNORRLANDS LÄN</t>
        </is>
      </c>
      <c r="E4937" t="inlineStr">
        <is>
          <t>SOLLEFTEÅ</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14109-2023</t>
        </is>
      </c>
      <c r="B4938" s="1" t="n">
        <v>45008</v>
      </c>
      <c r="C4938" s="1" t="n">
        <v>46093</v>
      </c>
      <c r="D4938" t="inlineStr">
        <is>
          <t>VÄSTERNORRLANDS LÄN</t>
        </is>
      </c>
      <c r="E4938" t="inlineStr">
        <is>
          <t>SOLLEFTEÅ</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42522-2023</t>
        </is>
      </c>
      <c r="B4939" s="1" t="n">
        <v>45181</v>
      </c>
      <c r="C4939" s="1" t="n">
        <v>46093</v>
      </c>
      <c r="D4939" t="inlineStr">
        <is>
          <t>VÄSTERNORRLANDS LÄN</t>
        </is>
      </c>
      <c r="E4939" t="inlineStr">
        <is>
          <t>ÖRNSKÖLDSVIK</t>
        </is>
      </c>
      <c r="F4939" t="inlineStr">
        <is>
          <t>Holmen skog AB</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39379-2024</t>
        </is>
      </c>
      <c r="B4940" s="1" t="n">
        <v>45551.48863425926</v>
      </c>
      <c r="C4940" s="1" t="n">
        <v>46093</v>
      </c>
      <c r="D4940" t="inlineStr">
        <is>
          <t>VÄSTERNORRLANDS LÄN</t>
        </is>
      </c>
      <c r="E4940" t="inlineStr">
        <is>
          <t>ÖRNSKÖLDSVIK</t>
        </is>
      </c>
      <c r="F4940" t="inlineStr">
        <is>
          <t>Holmen skog AB</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43462-2025</t>
        </is>
      </c>
      <c r="B4941" s="1" t="n">
        <v>45911.46943287037</v>
      </c>
      <c r="C4941" s="1" t="n">
        <v>46093</v>
      </c>
      <c r="D4941" t="inlineStr">
        <is>
          <t>VÄSTERNORRLANDS LÄN</t>
        </is>
      </c>
      <c r="E4941" t="inlineStr">
        <is>
          <t>SOLLEFTEÅ</t>
        </is>
      </c>
      <c r="F4941" t="inlineStr">
        <is>
          <t>SCA</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43190-2023</t>
        </is>
      </c>
      <c r="B4942" s="1" t="n">
        <v>45180</v>
      </c>
      <c r="C4942" s="1" t="n">
        <v>46093</v>
      </c>
      <c r="D4942" t="inlineStr">
        <is>
          <t>VÄSTERNORRLANDS LÄN</t>
        </is>
      </c>
      <c r="E4942" t="inlineStr">
        <is>
          <t>SUNDSVALL</t>
        </is>
      </c>
      <c r="G4942" t="n">
        <v>4.2</v>
      </c>
      <c r="H4942" t="n">
        <v>0</v>
      </c>
      <c r="I4942" t="n">
        <v>0</v>
      </c>
      <c r="J4942" t="n">
        <v>0</v>
      </c>
      <c r="K4942" t="n">
        <v>0</v>
      </c>
      <c r="L4942" t="n">
        <v>0</v>
      </c>
      <c r="M4942" t="n">
        <v>0</v>
      </c>
      <c r="N4942" t="n">
        <v>0</v>
      </c>
      <c r="O4942" t="n">
        <v>0</v>
      </c>
      <c r="P4942" t="n">
        <v>0</v>
      </c>
      <c r="Q4942" t="n">
        <v>0</v>
      </c>
      <c r="R4942" s="2" t="inlineStr"/>
    </row>
    <row r="4943" ht="15" customHeight="1">
      <c r="A4943" t="inlineStr">
        <is>
          <t>A 39449-2024</t>
        </is>
      </c>
      <c r="B4943" s="1" t="n">
        <v>45551.61609953704</v>
      </c>
      <c r="C4943" s="1" t="n">
        <v>46093</v>
      </c>
      <c r="D4943" t="inlineStr">
        <is>
          <t>VÄSTERNORRLANDS LÄN</t>
        </is>
      </c>
      <c r="E4943" t="inlineStr">
        <is>
          <t>SOLLEFTEÅ</t>
        </is>
      </c>
      <c r="F4943" t="inlineStr">
        <is>
          <t>SCA</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43865-2025</t>
        </is>
      </c>
      <c r="B4944" s="1" t="n">
        <v>45912.65709490741</v>
      </c>
      <c r="C4944" s="1" t="n">
        <v>46093</v>
      </c>
      <c r="D4944" t="inlineStr">
        <is>
          <t>VÄSTERNORRLANDS LÄN</t>
        </is>
      </c>
      <c r="E4944" t="inlineStr">
        <is>
          <t>SUNDSVALL</t>
        </is>
      </c>
      <c r="F4944" t="inlineStr">
        <is>
          <t>Kommuner</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11042-2023</t>
        </is>
      </c>
      <c r="B4945" s="1" t="n">
        <v>44991</v>
      </c>
      <c r="C4945" s="1" t="n">
        <v>46093</v>
      </c>
      <c r="D4945" t="inlineStr">
        <is>
          <t>VÄSTERNORRLANDS LÄN</t>
        </is>
      </c>
      <c r="E4945" t="inlineStr">
        <is>
          <t>KRAMFORS</t>
        </is>
      </c>
      <c r="F4945" t="inlineStr">
        <is>
          <t>SCA</t>
        </is>
      </c>
      <c r="G4945" t="n">
        <v>5.3</v>
      </c>
      <c r="H4945" t="n">
        <v>0</v>
      </c>
      <c r="I4945" t="n">
        <v>0</v>
      </c>
      <c r="J4945" t="n">
        <v>0</v>
      </c>
      <c r="K4945" t="n">
        <v>0</v>
      </c>
      <c r="L4945" t="n">
        <v>0</v>
      </c>
      <c r="M4945" t="n">
        <v>0</v>
      </c>
      <c r="N4945" t="n">
        <v>0</v>
      </c>
      <c r="O4945" t="n">
        <v>0</v>
      </c>
      <c r="P4945" t="n">
        <v>0</v>
      </c>
      <c r="Q4945" t="n">
        <v>0</v>
      </c>
      <c r="R4945" s="2" t="inlineStr"/>
    </row>
    <row r="4946" ht="15" customHeight="1">
      <c r="A4946" t="inlineStr">
        <is>
          <t>A 11051-2023</t>
        </is>
      </c>
      <c r="B4946" s="1" t="n">
        <v>44991</v>
      </c>
      <c r="C4946" s="1" t="n">
        <v>46093</v>
      </c>
      <c r="D4946" t="inlineStr">
        <is>
          <t>VÄSTERNORRLANDS LÄN</t>
        </is>
      </c>
      <c r="E4946" t="inlineStr">
        <is>
          <t>ÖRNSKÖLDSVIK</t>
        </is>
      </c>
      <c r="F4946" t="inlineStr">
        <is>
          <t>SCA</t>
        </is>
      </c>
      <c r="G4946" t="n">
        <v>2.7</v>
      </c>
      <c r="H4946" t="n">
        <v>0</v>
      </c>
      <c r="I4946" t="n">
        <v>0</v>
      </c>
      <c r="J4946" t="n">
        <v>0</v>
      </c>
      <c r="K4946" t="n">
        <v>0</v>
      </c>
      <c r="L4946" t="n">
        <v>0</v>
      </c>
      <c r="M4946" t="n">
        <v>0</v>
      </c>
      <c r="N4946" t="n">
        <v>0</v>
      </c>
      <c r="O4946" t="n">
        <v>0</v>
      </c>
      <c r="P4946" t="n">
        <v>0</v>
      </c>
      <c r="Q4946" t="n">
        <v>0</v>
      </c>
      <c r="R4946" s="2" t="inlineStr"/>
    </row>
    <row r="4947" ht="15" customHeight="1">
      <c r="A4947" t="inlineStr">
        <is>
          <t>A 57492-2024</t>
        </is>
      </c>
      <c r="B4947" s="1" t="n">
        <v>45630.36827546296</v>
      </c>
      <c r="C4947" s="1" t="n">
        <v>46093</v>
      </c>
      <c r="D4947" t="inlineStr">
        <is>
          <t>VÄSTERNORRLANDS LÄN</t>
        </is>
      </c>
      <c r="E4947" t="inlineStr">
        <is>
          <t>SOLLEFTEÅ</t>
        </is>
      </c>
      <c r="F4947" t="inlineStr">
        <is>
          <t>Holmen skog AB</t>
        </is>
      </c>
      <c r="G4947" t="n">
        <v>0.2</v>
      </c>
      <c r="H4947" t="n">
        <v>0</v>
      </c>
      <c r="I4947" t="n">
        <v>0</v>
      </c>
      <c r="J4947" t="n">
        <v>0</v>
      </c>
      <c r="K4947" t="n">
        <v>0</v>
      </c>
      <c r="L4947" t="n">
        <v>0</v>
      </c>
      <c r="M4947" t="n">
        <v>0</v>
      </c>
      <c r="N4947" t="n">
        <v>0</v>
      </c>
      <c r="O4947" t="n">
        <v>0</v>
      </c>
      <c r="P4947" t="n">
        <v>0</v>
      </c>
      <c r="Q4947" t="n">
        <v>0</v>
      </c>
      <c r="R4947" s="2" t="inlineStr"/>
    </row>
    <row r="4948" ht="15" customHeight="1">
      <c r="A4948" t="inlineStr">
        <is>
          <t>A 57529-2024</t>
        </is>
      </c>
      <c r="B4948" s="1" t="n">
        <v>45630</v>
      </c>
      <c r="C4948" s="1" t="n">
        <v>46093</v>
      </c>
      <c r="D4948" t="inlineStr">
        <is>
          <t>VÄSTERNORRLANDS LÄN</t>
        </is>
      </c>
      <c r="E4948" t="inlineStr">
        <is>
          <t>ÅNGE</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36156-2025</t>
        </is>
      </c>
      <c r="B4949" s="1" t="n">
        <v>45867</v>
      </c>
      <c r="C4949" s="1" t="n">
        <v>46093</v>
      </c>
      <c r="D4949" t="inlineStr">
        <is>
          <t>VÄSTERNORRLANDS LÄN</t>
        </is>
      </c>
      <c r="E4949" t="inlineStr">
        <is>
          <t>ÖRNSKÖLDSVIK</t>
        </is>
      </c>
      <c r="F4949" t="inlineStr">
        <is>
          <t>Holmen skog AB</t>
        </is>
      </c>
      <c r="G4949" t="n">
        <v>5.1</v>
      </c>
      <c r="H4949" t="n">
        <v>0</v>
      </c>
      <c r="I4949" t="n">
        <v>0</v>
      </c>
      <c r="J4949" t="n">
        <v>0</v>
      </c>
      <c r="K4949" t="n">
        <v>0</v>
      </c>
      <c r="L4949" t="n">
        <v>0</v>
      </c>
      <c r="M4949" t="n">
        <v>0</v>
      </c>
      <c r="N4949" t="n">
        <v>0</v>
      </c>
      <c r="O4949" t="n">
        <v>0</v>
      </c>
      <c r="P4949" t="n">
        <v>0</v>
      </c>
      <c r="Q4949" t="n">
        <v>0</v>
      </c>
      <c r="R4949" s="2" t="inlineStr"/>
    </row>
    <row r="4950" ht="15" customHeight="1">
      <c r="A4950" t="inlineStr">
        <is>
          <t>A 58226-2024</t>
        </is>
      </c>
      <c r="B4950" s="1" t="n">
        <v>45632.51076388889</v>
      </c>
      <c r="C4950" s="1" t="n">
        <v>46093</v>
      </c>
      <c r="D4950" t="inlineStr">
        <is>
          <t>VÄSTERNORRLANDS LÄN</t>
        </is>
      </c>
      <c r="E4950" t="inlineStr">
        <is>
          <t>SOLLEFTEÅ</t>
        </is>
      </c>
      <c r="F4950" t="inlineStr">
        <is>
          <t>SCA</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4872-2025</t>
        </is>
      </c>
      <c r="B4951" s="1" t="n">
        <v>45688.67619212963</v>
      </c>
      <c r="C4951" s="1" t="n">
        <v>46093</v>
      </c>
      <c r="D4951" t="inlineStr">
        <is>
          <t>VÄSTERNORRLANDS LÄN</t>
        </is>
      </c>
      <c r="E4951" t="inlineStr">
        <is>
          <t>ÅNGE</t>
        </is>
      </c>
      <c r="F4951" t="inlineStr">
        <is>
          <t>SCA</t>
        </is>
      </c>
      <c r="G4951" t="n">
        <v>31.3</v>
      </c>
      <c r="H4951" t="n">
        <v>0</v>
      </c>
      <c r="I4951" t="n">
        <v>0</v>
      </c>
      <c r="J4951" t="n">
        <v>0</v>
      </c>
      <c r="K4951" t="n">
        <v>0</v>
      </c>
      <c r="L4951" t="n">
        <v>0</v>
      </c>
      <c r="M4951" t="n">
        <v>0</v>
      </c>
      <c r="N4951" t="n">
        <v>0</v>
      </c>
      <c r="O4951" t="n">
        <v>0</v>
      </c>
      <c r="P4951" t="n">
        <v>0</v>
      </c>
      <c r="Q4951" t="n">
        <v>0</v>
      </c>
      <c r="R4951" s="2" t="inlineStr"/>
      <c r="U4951">
        <f>HYPERLINK("https://klasma.github.io/Logging_2260/knärot/A 4872-2025 karta knärot.png", "A 4872-2025")</f>
        <v/>
      </c>
      <c r="V4951">
        <f>HYPERLINK("https://klasma.github.io/Logging_2260/klagomål/A 4872-2025 FSC-klagomål.docx", "A 4872-2025")</f>
        <v/>
      </c>
      <c r="W4951">
        <f>HYPERLINK("https://klasma.github.io/Logging_2260/klagomålsmail/A 4872-2025 FSC-klagomål mail.docx", "A 4872-2025")</f>
        <v/>
      </c>
      <c r="X4951">
        <f>HYPERLINK("https://klasma.github.io/Logging_2260/tillsyn/A 4872-2025 tillsynsbegäran.docx", "A 4872-2025")</f>
        <v/>
      </c>
      <c r="Y4951">
        <f>HYPERLINK("https://klasma.github.io/Logging_2260/tillsynsmail/A 4872-2025 tillsynsbegäran mail.docx", "A 4872-2025")</f>
        <v/>
      </c>
    </row>
    <row r="4952" ht="15" customHeight="1">
      <c r="A4952" t="inlineStr">
        <is>
          <t>A 36210-2025</t>
        </is>
      </c>
      <c r="B4952" s="1" t="n">
        <v>45867.46930555555</v>
      </c>
      <c r="C4952" s="1" t="n">
        <v>46093</v>
      </c>
      <c r="D4952" t="inlineStr">
        <is>
          <t>VÄSTERNORRLANDS LÄN</t>
        </is>
      </c>
      <c r="E4952" t="inlineStr">
        <is>
          <t>ÅNGE</t>
        </is>
      </c>
      <c r="F4952" t="inlineStr">
        <is>
          <t>SCA</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36236-2025</t>
        </is>
      </c>
      <c r="B4953" s="1" t="n">
        <v>45867.55245370371</v>
      </c>
      <c r="C4953" s="1" t="n">
        <v>46093</v>
      </c>
      <c r="D4953" t="inlineStr">
        <is>
          <t>VÄSTERNORRLANDS LÄN</t>
        </is>
      </c>
      <c r="E4953" t="inlineStr">
        <is>
          <t>ÅNGE</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30560-2024</t>
        </is>
      </c>
      <c r="B4954" s="1" t="n">
        <v>45492.92827546296</v>
      </c>
      <c r="C4954" s="1" t="n">
        <v>46093</v>
      </c>
      <c r="D4954" t="inlineStr">
        <is>
          <t>VÄSTERNORRLANDS LÄN</t>
        </is>
      </c>
      <c r="E4954" t="inlineStr">
        <is>
          <t>SUNDSVALL</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51544-2022</t>
        </is>
      </c>
      <c r="B4955" s="1" t="n">
        <v>44869</v>
      </c>
      <c r="C4955" s="1" t="n">
        <v>46093</v>
      </c>
      <c r="D4955" t="inlineStr">
        <is>
          <t>VÄSTERNORRLANDS LÄN</t>
        </is>
      </c>
      <c r="E4955" t="inlineStr">
        <is>
          <t>SOLLEFTEÅ</t>
        </is>
      </c>
      <c r="F4955" t="inlineStr">
        <is>
          <t>SCA</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31481-2024</t>
        </is>
      </c>
      <c r="B4956" s="1" t="n">
        <v>45505</v>
      </c>
      <c r="C4956" s="1" t="n">
        <v>46093</v>
      </c>
      <c r="D4956" t="inlineStr">
        <is>
          <t>VÄSTERNORRLANDS LÄN</t>
        </is>
      </c>
      <c r="E4956" t="inlineStr">
        <is>
          <t>SOLLEFTEÅ</t>
        </is>
      </c>
      <c r="F4956" t="inlineStr">
        <is>
          <t>SCA</t>
        </is>
      </c>
      <c r="G4956" t="n">
        <v>2.4</v>
      </c>
      <c r="H4956" t="n">
        <v>0</v>
      </c>
      <c r="I4956" t="n">
        <v>0</v>
      </c>
      <c r="J4956" t="n">
        <v>0</v>
      </c>
      <c r="K4956" t="n">
        <v>0</v>
      </c>
      <c r="L4956" t="n">
        <v>0</v>
      </c>
      <c r="M4956" t="n">
        <v>0</v>
      </c>
      <c r="N4956" t="n">
        <v>0</v>
      </c>
      <c r="O4956" t="n">
        <v>0</v>
      </c>
      <c r="P4956" t="n">
        <v>0</v>
      </c>
      <c r="Q4956" t="n">
        <v>0</v>
      </c>
      <c r="R4956" s="2" t="inlineStr"/>
    </row>
    <row r="4957" ht="15" customHeight="1">
      <c r="A4957" t="inlineStr">
        <is>
          <t>A 21443-2024</t>
        </is>
      </c>
      <c r="B4957" s="1" t="n">
        <v>45441</v>
      </c>
      <c r="C4957" s="1" t="n">
        <v>46093</v>
      </c>
      <c r="D4957" t="inlineStr">
        <is>
          <t>VÄSTERNORRLANDS LÄN</t>
        </is>
      </c>
      <c r="E4957" t="inlineStr">
        <is>
          <t>TIMRÅ</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19338-2024</t>
        </is>
      </c>
      <c r="B4958" s="1" t="n">
        <v>45428</v>
      </c>
      <c r="C4958" s="1" t="n">
        <v>46093</v>
      </c>
      <c r="D4958" t="inlineStr">
        <is>
          <t>VÄSTERNORRLANDS LÄN</t>
        </is>
      </c>
      <c r="E4958" t="inlineStr">
        <is>
          <t>SUNDSVALL</t>
        </is>
      </c>
      <c r="F4958" t="inlineStr">
        <is>
          <t>SCA</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60890-2023</t>
        </is>
      </c>
      <c r="B4959" s="1" t="n">
        <v>45261</v>
      </c>
      <c r="C4959" s="1" t="n">
        <v>46093</v>
      </c>
      <c r="D4959" t="inlineStr">
        <is>
          <t>VÄSTERNORRLANDS LÄN</t>
        </is>
      </c>
      <c r="E4959" t="inlineStr">
        <is>
          <t>ÖRNSKÖLDSVIK</t>
        </is>
      </c>
      <c r="G4959" t="n">
        <v>4.7</v>
      </c>
      <c r="H4959" t="n">
        <v>0</v>
      </c>
      <c r="I4959" t="n">
        <v>0</v>
      </c>
      <c r="J4959" t="n">
        <v>0</v>
      </c>
      <c r="K4959" t="n">
        <v>0</v>
      </c>
      <c r="L4959" t="n">
        <v>0</v>
      </c>
      <c r="M4959" t="n">
        <v>0</v>
      </c>
      <c r="N4959" t="n">
        <v>0</v>
      </c>
      <c r="O4959" t="n">
        <v>0</v>
      </c>
      <c r="P4959" t="n">
        <v>0</v>
      </c>
      <c r="Q4959" t="n">
        <v>0</v>
      </c>
      <c r="R4959" s="2" t="inlineStr"/>
    </row>
    <row r="4960" ht="15" customHeight="1">
      <c r="A4960" t="inlineStr">
        <is>
          <t>A 31522-2024</t>
        </is>
      </c>
      <c r="B4960" s="1" t="n">
        <v>45505</v>
      </c>
      <c r="C4960" s="1" t="n">
        <v>46093</v>
      </c>
      <c r="D4960" t="inlineStr">
        <is>
          <t>VÄSTERNORRLANDS LÄN</t>
        </is>
      </c>
      <c r="E4960" t="inlineStr">
        <is>
          <t>SUNDSVALL</t>
        </is>
      </c>
      <c r="F4960" t="inlineStr">
        <is>
          <t>SCA</t>
        </is>
      </c>
      <c r="G4960" t="n">
        <v>3.5</v>
      </c>
      <c r="H4960" t="n">
        <v>0</v>
      </c>
      <c r="I4960" t="n">
        <v>0</v>
      </c>
      <c r="J4960" t="n">
        <v>0</v>
      </c>
      <c r="K4960" t="n">
        <v>0</v>
      </c>
      <c r="L4960" t="n">
        <v>0</v>
      </c>
      <c r="M4960" t="n">
        <v>0</v>
      </c>
      <c r="N4960" t="n">
        <v>0</v>
      </c>
      <c r="O4960" t="n">
        <v>0</v>
      </c>
      <c r="P4960" t="n">
        <v>0</v>
      </c>
      <c r="Q4960" t="n">
        <v>0</v>
      </c>
      <c r="R4960" s="2" t="inlineStr"/>
    </row>
    <row r="4961" ht="15" customHeight="1">
      <c r="A4961" t="inlineStr">
        <is>
          <t>A 52467-2022</t>
        </is>
      </c>
      <c r="B4961" s="1" t="n">
        <v>44874</v>
      </c>
      <c r="C4961" s="1" t="n">
        <v>46093</v>
      </c>
      <c r="D4961" t="inlineStr">
        <is>
          <t>VÄSTERNORRLANDS LÄN</t>
        </is>
      </c>
      <c r="E4961" t="inlineStr">
        <is>
          <t>ÖRNSKÖLDSVIK</t>
        </is>
      </c>
      <c r="F4961" t="inlineStr">
        <is>
          <t>Holmen skog AB</t>
        </is>
      </c>
      <c r="G4961" t="n">
        <v>4.5</v>
      </c>
      <c r="H4961" t="n">
        <v>0</v>
      </c>
      <c r="I4961" t="n">
        <v>0</v>
      </c>
      <c r="J4961" t="n">
        <v>0</v>
      </c>
      <c r="K4961" t="n">
        <v>0</v>
      </c>
      <c r="L4961" t="n">
        <v>0</v>
      </c>
      <c r="M4961" t="n">
        <v>0</v>
      </c>
      <c r="N4961" t="n">
        <v>0</v>
      </c>
      <c r="O4961" t="n">
        <v>0</v>
      </c>
      <c r="P4961" t="n">
        <v>0</v>
      </c>
      <c r="Q4961" t="n">
        <v>0</v>
      </c>
      <c r="R4961" s="2" t="inlineStr"/>
    </row>
    <row r="4962" ht="15" customHeight="1">
      <c r="A4962" t="inlineStr">
        <is>
          <t>A 43863-2025</t>
        </is>
      </c>
      <c r="B4962" s="1" t="n">
        <v>45912.65672453704</v>
      </c>
      <c r="C4962" s="1" t="n">
        <v>46093</v>
      </c>
      <c r="D4962" t="inlineStr">
        <is>
          <t>VÄSTERNORRLANDS LÄN</t>
        </is>
      </c>
      <c r="E4962" t="inlineStr">
        <is>
          <t>SOLLEFTEÅ</t>
        </is>
      </c>
      <c r="F4962" t="inlineStr">
        <is>
          <t>SCA</t>
        </is>
      </c>
      <c r="G4962" t="n">
        <v>16.8</v>
      </c>
      <c r="H4962" t="n">
        <v>0</v>
      </c>
      <c r="I4962" t="n">
        <v>0</v>
      </c>
      <c r="J4962" t="n">
        <v>0</v>
      </c>
      <c r="K4962" t="n">
        <v>0</v>
      </c>
      <c r="L4962" t="n">
        <v>0</v>
      </c>
      <c r="M4962" t="n">
        <v>0</v>
      </c>
      <c r="N4962" t="n">
        <v>0</v>
      </c>
      <c r="O4962" t="n">
        <v>0</v>
      </c>
      <c r="P4962" t="n">
        <v>0</v>
      </c>
      <c r="Q4962" t="n">
        <v>0</v>
      </c>
      <c r="R4962" s="2" t="inlineStr"/>
    </row>
    <row r="4963" ht="15" customHeight="1">
      <c r="A4963" t="inlineStr">
        <is>
          <t>A 32071-2024</t>
        </is>
      </c>
      <c r="B4963" s="1" t="n">
        <v>45510.97246527778</v>
      </c>
      <c r="C4963" s="1" t="n">
        <v>46093</v>
      </c>
      <c r="D4963" t="inlineStr">
        <is>
          <t>VÄSTERNORRLANDS LÄN</t>
        </is>
      </c>
      <c r="E4963" t="inlineStr">
        <is>
          <t>SOLLEFTEÅ</t>
        </is>
      </c>
      <c r="F4963" t="inlineStr">
        <is>
          <t>SCA</t>
        </is>
      </c>
      <c r="G4963" t="n">
        <v>2.6</v>
      </c>
      <c r="H4963" t="n">
        <v>0</v>
      </c>
      <c r="I4963" t="n">
        <v>0</v>
      </c>
      <c r="J4963" t="n">
        <v>0</v>
      </c>
      <c r="K4963" t="n">
        <v>0</v>
      </c>
      <c r="L4963" t="n">
        <v>0</v>
      </c>
      <c r="M4963" t="n">
        <v>0</v>
      </c>
      <c r="N4963" t="n">
        <v>0</v>
      </c>
      <c r="O4963" t="n">
        <v>0</v>
      </c>
      <c r="P4963" t="n">
        <v>0</v>
      </c>
      <c r="Q4963" t="n">
        <v>0</v>
      </c>
      <c r="R4963" s="2" t="inlineStr"/>
    </row>
    <row r="4964" ht="15" customHeight="1">
      <c r="A4964" t="inlineStr">
        <is>
          <t>A 43879-2025</t>
        </is>
      </c>
      <c r="B4964" s="1" t="n">
        <v>45912.67804398148</v>
      </c>
      <c r="C4964" s="1" t="n">
        <v>46093</v>
      </c>
      <c r="D4964" t="inlineStr">
        <is>
          <t>VÄSTERNORRLANDS LÄN</t>
        </is>
      </c>
      <c r="E4964" t="inlineStr">
        <is>
          <t>SOLLEFTEÅ</t>
        </is>
      </c>
      <c r="F4964" t="inlineStr">
        <is>
          <t>SCA</t>
        </is>
      </c>
      <c r="G4964" t="n">
        <v>9.6</v>
      </c>
      <c r="H4964" t="n">
        <v>0</v>
      </c>
      <c r="I4964" t="n">
        <v>0</v>
      </c>
      <c r="J4964" t="n">
        <v>0</v>
      </c>
      <c r="K4964" t="n">
        <v>0</v>
      </c>
      <c r="L4964" t="n">
        <v>0</v>
      </c>
      <c r="M4964" t="n">
        <v>0</v>
      </c>
      <c r="N4964" t="n">
        <v>0</v>
      </c>
      <c r="O4964" t="n">
        <v>0</v>
      </c>
      <c r="P4964" t="n">
        <v>0</v>
      </c>
      <c r="Q4964" t="n">
        <v>0</v>
      </c>
      <c r="R4964" s="2" t="inlineStr"/>
    </row>
    <row r="4965" ht="15" customHeight="1">
      <c r="A4965" t="inlineStr">
        <is>
          <t>A 16973-2025</t>
        </is>
      </c>
      <c r="B4965" s="1" t="n">
        <v>45755.46967592592</v>
      </c>
      <c r="C4965" s="1" t="n">
        <v>46093</v>
      </c>
      <c r="D4965" t="inlineStr">
        <is>
          <t>VÄSTERNORRLANDS LÄN</t>
        </is>
      </c>
      <c r="E4965" t="inlineStr">
        <is>
          <t>ÅNGE</t>
        </is>
      </c>
      <c r="F4965" t="inlineStr">
        <is>
          <t>SCA</t>
        </is>
      </c>
      <c r="G4965" t="n">
        <v>3.5</v>
      </c>
      <c r="H4965" t="n">
        <v>0</v>
      </c>
      <c r="I4965" t="n">
        <v>0</v>
      </c>
      <c r="J4965" t="n">
        <v>0</v>
      </c>
      <c r="K4965" t="n">
        <v>0</v>
      </c>
      <c r="L4965" t="n">
        <v>0</v>
      </c>
      <c r="M4965" t="n">
        <v>0</v>
      </c>
      <c r="N4965" t="n">
        <v>0</v>
      </c>
      <c r="O4965" t="n">
        <v>0</v>
      </c>
      <c r="P4965" t="n">
        <v>0</v>
      </c>
      <c r="Q4965" t="n">
        <v>0</v>
      </c>
      <c r="R4965" s="2" t="inlineStr"/>
    </row>
    <row r="4966" ht="15" customHeight="1">
      <c r="A4966" t="inlineStr">
        <is>
          <t>A 51070-2023</t>
        </is>
      </c>
      <c r="B4966" s="1" t="n">
        <v>45218</v>
      </c>
      <c r="C4966" s="1" t="n">
        <v>46093</v>
      </c>
      <c r="D4966" t="inlineStr">
        <is>
          <t>VÄSTERNORRLANDS LÄN</t>
        </is>
      </c>
      <c r="E4966" t="inlineStr">
        <is>
          <t>ÖRNSKÖLDSVIK</t>
        </is>
      </c>
      <c r="F4966" t="inlineStr">
        <is>
          <t>Holmen skog AB</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40679-2024</t>
        </is>
      </c>
      <c r="B4967" s="1" t="n">
        <v>45558</v>
      </c>
      <c r="C4967" s="1" t="n">
        <v>46093</v>
      </c>
      <c r="D4967" t="inlineStr">
        <is>
          <t>VÄSTERNORRLANDS LÄN</t>
        </is>
      </c>
      <c r="E4967" t="inlineStr">
        <is>
          <t>SOLLEFTEÅ</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41650-2025</t>
        </is>
      </c>
      <c r="B4968" s="1" t="n">
        <v>45902</v>
      </c>
      <c r="C4968" s="1" t="n">
        <v>46093</v>
      </c>
      <c r="D4968" t="inlineStr">
        <is>
          <t>VÄSTERNORRLANDS LÄN</t>
        </is>
      </c>
      <c r="E4968" t="inlineStr">
        <is>
          <t>KRAMFORS</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36324-2025</t>
        </is>
      </c>
      <c r="B4969" s="1" t="n">
        <v>45868.40707175926</v>
      </c>
      <c r="C4969" s="1" t="n">
        <v>46093</v>
      </c>
      <c r="D4969" t="inlineStr">
        <is>
          <t>VÄSTERNORRLANDS LÄN</t>
        </is>
      </c>
      <c r="E4969" t="inlineStr">
        <is>
          <t>SOLLEFTEÅ</t>
        </is>
      </c>
      <c r="F4969" t="inlineStr">
        <is>
          <t>SCA</t>
        </is>
      </c>
      <c r="G4969" t="n">
        <v>5.3</v>
      </c>
      <c r="H4969" t="n">
        <v>0</v>
      </c>
      <c r="I4969" t="n">
        <v>0</v>
      </c>
      <c r="J4969" t="n">
        <v>0</v>
      </c>
      <c r="K4969" t="n">
        <v>0</v>
      </c>
      <c r="L4969" t="n">
        <v>0</v>
      </c>
      <c r="M4969" t="n">
        <v>0</v>
      </c>
      <c r="N4969" t="n">
        <v>0</v>
      </c>
      <c r="O4969" t="n">
        <v>0</v>
      </c>
      <c r="P4969" t="n">
        <v>0</v>
      </c>
      <c r="Q4969" t="n">
        <v>0</v>
      </c>
      <c r="R4969" s="2" t="inlineStr"/>
    </row>
    <row r="4970" ht="15" customHeight="1">
      <c r="A4970" t="inlineStr">
        <is>
          <t>A 43737-2025</t>
        </is>
      </c>
      <c r="B4970" s="1" t="n">
        <v>45912.45002314815</v>
      </c>
      <c r="C4970" s="1" t="n">
        <v>46093</v>
      </c>
      <c r="D4970" t="inlineStr">
        <is>
          <t>VÄSTERNORRLANDS LÄN</t>
        </is>
      </c>
      <c r="E4970" t="inlineStr">
        <is>
          <t>ÖRNSKÖLDSVIK</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43751-2025</t>
        </is>
      </c>
      <c r="B4971" s="1" t="n">
        <v>45912.46769675926</v>
      </c>
      <c r="C4971" s="1" t="n">
        <v>46093</v>
      </c>
      <c r="D4971" t="inlineStr">
        <is>
          <t>VÄSTERNORRLANDS LÄN</t>
        </is>
      </c>
      <c r="E4971" t="inlineStr">
        <is>
          <t>ÖRNSKÖLDSVIK</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43872-2025</t>
        </is>
      </c>
      <c r="B4972" s="1" t="n">
        <v>45912.67043981481</v>
      </c>
      <c r="C4972" s="1" t="n">
        <v>46093</v>
      </c>
      <c r="D4972" t="inlineStr">
        <is>
          <t>VÄSTERNORRLANDS LÄN</t>
        </is>
      </c>
      <c r="E4972" t="inlineStr">
        <is>
          <t>ÖRNSKÖLDSVIK</t>
        </is>
      </c>
      <c r="F4972" t="inlineStr">
        <is>
          <t>Holmen skog AB</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36224-2025</t>
        </is>
      </c>
      <c r="B4973" s="1" t="n">
        <v>45867.51116898148</v>
      </c>
      <c r="C4973" s="1" t="n">
        <v>46093</v>
      </c>
      <c r="D4973" t="inlineStr">
        <is>
          <t>VÄSTERNORRLANDS LÄN</t>
        </is>
      </c>
      <c r="E4973" t="inlineStr">
        <is>
          <t>SOLLEFTEÅ</t>
        </is>
      </c>
      <c r="F4973" t="inlineStr">
        <is>
          <t>SCA</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36401-2025</t>
        </is>
      </c>
      <c r="B4974" s="1" t="n">
        <v>45868.64728009259</v>
      </c>
      <c r="C4974" s="1" t="n">
        <v>46093</v>
      </c>
      <c r="D4974" t="inlineStr">
        <is>
          <t>VÄSTERNORRLANDS LÄN</t>
        </is>
      </c>
      <c r="E4974" t="inlineStr">
        <is>
          <t>ÖRNSKÖLDSVIK</t>
        </is>
      </c>
      <c r="F4974" t="inlineStr">
        <is>
          <t>Holmen skog AB</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36248-2025</t>
        </is>
      </c>
      <c r="B4975" s="1" t="n">
        <v>45867.57326388889</v>
      </c>
      <c r="C4975" s="1" t="n">
        <v>46093</v>
      </c>
      <c r="D4975" t="inlineStr">
        <is>
          <t>VÄSTERNORRLANDS LÄN</t>
        </is>
      </c>
      <c r="E4975" t="inlineStr">
        <is>
          <t>ÅNGE</t>
        </is>
      </c>
      <c r="F4975" t="inlineStr">
        <is>
          <t>SCA</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2114-2023</t>
        </is>
      </c>
      <c r="B4976" s="1" t="n">
        <v>44939.93809027778</v>
      </c>
      <c r="C4976" s="1" t="n">
        <v>46093</v>
      </c>
      <c r="D4976" t="inlineStr">
        <is>
          <t>VÄSTERNORRLANDS LÄN</t>
        </is>
      </c>
      <c r="E4976" t="inlineStr">
        <is>
          <t>SOLLEFTEÅ</t>
        </is>
      </c>
      <c r="F4976" t="inlineStr">
        <is>
          <t>SCA</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54251-2022</t>
        </is>
      </c>
      <c r="B4977" s="1" t="n">
        <v>44881</v>
      </c>
      <c r="C4977" s="1" t="n">
        <v>46093</v>
      </c>
      <c r="D4977" t="inlineStr">
        <is>
          <t>VÄSTERNORRLANDS LÄN</t>
        </is>
      </c>
      <c r="E4977" t="inlineStr">
        <is>
          <t>HÄRNÖSAND</t>
        </is>
      </c>
      <c r="F4977" t="inlineStr">
        <is>
          <t>SCA</t>
        </is>
      </c>
      <c r="G4977" t="n">
        <v>3.8</v>
      </c>
      <c r="H4977" t="n">
        <v>0</v>
      </c>
      <c r="I4977" t="n">
        <v>0</v>
      </c>
      <c r="J4977" t="n">
        <v>0</v>
      </c>
      <c r="K4977" t="n">
        <v>0</v>
      </c>
      <c r="L4977" t="n">
        <v>0</v>
      </c>
      <c r="M4977" t="n">
        <v>0</v>
      </c>
      <c r="N4977" t="n">
        <v>0</v>
      </c>
      <c r="O4977" t="n">
        <v>0</v>
      </c>
      <c r="P4977" t="n">
        <v>0</v>
      </c>
      <c r="Q4977" t="n">
        <v>0</v>
      </c>
      <c r="R4977" s="2" t="inlineStr"/>
    </row>
    <row r="4978" ht="15" customHeight="1">
      <c r="A4978" t="inlineStr">
        <is>
          <t>A 10809-2025</t>
        </is>
      </c>
      <c r="B4978" s="1" t="n">
        <v>45722</v>
      </c>
      <c r="C4978" s="1" t="n">
        <v>46093</v>
      </c>
      <c r="D4978" t="inlineStr">
        <is>
          <t>VÄSTERNORRLANDS LÄN</t>
        </is>
      </c>
      <c r="E4978" t="inlineStr">
        <is>
          <t>ÖRNSKÖLDSVIK</t>
        </is>
      </c>
      <c r="G4978" t="n">
        <v>3.1</v>
      </c>
      <c r="H4978" t="n">
        <v>0</v>
      </c>
      <c r="I4978" t="n">
        <v>0</v>
      </c>
      <c r="J4978" t="n">
        <v>0</v>
      </c>
      <c r="K4978" t="n">
        <v>0</v>
      </c>
      <c r="L4978" t="n">
        <v>0</v>
      </c>
      <c r="M4978" t="n">
        <v>0</v>
      </c>
      <c r="N4978" t="n">
        <v>0</v>
      </c>
      <c r="O4978" t="n">
        <v>0</v>
      </c>
      <c r="P4978" t="n">
        <v>0</v>
      </c>
      <c r="Q4978" t="n">
        <v>0</v>
      </c>
      <c r="R4978" s="2" t="inlineStr"/>
    </row>
    <row r="4979" ht="15" customHeight="1">
      <c r="A4979" t="inlineStr">
        <is>
          <t>A 39433-2023</t>
        </is>
      </c>
      <c r="B4979" s="1" t="n">
        <v>45163</v>
      </c>
      <c r="C4979" s="1" t="n">
        <v>46093</v>
      </c>
      <c r="D4979" t="inlineStr">
        <is>
          <t>VÄSTERNORRLANDS LÄN</t>
        </is>
      </c>
      <c r="E4979" t="inlineStr">
        <is>
          <t>HÄRNÖSAND</t>
        </is>
      </c>
      <c r="G4979" t="n">
        <v>5.5</v>
      </c>
      <c r="H4979" t="n">
        <v>0</v>
      </c>
      <c r="I4979" t="n">
        <v>0</v>
      </c>
      <c r="J4979" t="n">
        <v>0</v>
      </c>
      <c r="K4979" t="n">
        <v>0</v>
      </c>
      <c r="L4979" t="n">
        <v>0</v>
      </c>
      <c r="M4979" t="n">
        <v>0</v>
      </c>
      <c r="N4979" t="n">
        <v>0</v>
      </c>
      <c r="O4979" t="n">
        <v>0</v>
      </c>
      <c r="P4979" t="n">
        <v>0</v>
      </c>
      <c r="Q4979" t="n">
        <v>0</v>
      </c>
      <c r="R4979" s="2" t="inlineStr"/>
    </row>
    <row r="4980" ht="15" customHeight="1">
      <c r="A4980" t="inlineStr">
        <is>
          <t>A 48704-2023</t>
        </is>
      </c>
      <c r="B4980" s="1" t="n">
        <v>45208</v>
      </c>
      <c r="C4980" s="1" t="n">
        <v>46093</v>
      </c>
      <c r="D4980" t="inlineStr">
        <is>
          <t>VÄSTERNORRLANDS LÄN</t>
        </is>
      </c>
      <c r="E4980" t="inlineStr">
        <is>
          <t>ÖRNSKÖLDSVIK</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32652-2024</t>
        </is>
      </c>
      <c r="B4981" s="1" t="n">
        <v>45513</v>
      </c>
      <c r="C4981" s="1" t="n">
        <v>46093</v>
      </c>
      <c r="D4981" t="inlineStr">
        <is>
          <t>VÄSTERNORRLANDS LÄN</t>
        </is>
      </c>
      <c r="E4981" t="inlineStr">
        <is>
          <t>SUNDSVALL</t>
        </is>
      </c>
      <c r="F4981" t="inlineStr">
        <is>
          <t>SCA</t>
        </is>
      </c>
      <c r="G4981" t="n">
        <v>2.4</v>
      </c>
      <c r="H4981" t="n">
        <v>0</v>
      </c>
      <c r="I4981" t="n">
        <v>0</v>
      </c>
      <c r="J4981" t="n">
        <v>0</v>
      </c>
      <c r="K4981" t="n">
        <v>0</v>
      </c>
      <c r="L4981" t="n">
        <v>0</v>
      </c>
      <c r="M4981" t="n">
        <v>0</v>
      </c>
      <c r="N4981" t="n">
        <v>0</v>
      </c>
      <c r="O4981" t="n">
        <v>0</v>
      </c>
      <c r="P4981" t="n">
        <v>0</v>
      </c>
      <c r="Q4981" t="n">
        <v>0</v>
      </c>
      <c r="R4981" s="2" t="inlineStr"/>
    </row>
    <row r="4982" ht="15" customHeight="1">
      <c r="A4982" t="inlineStr">
        <is>
          <t>A 43884-2025</t>
        </is>
      </c>
      <c r="B4982" s="1" t="n">
        <v>45912</v>
      </c>
      <c r="C4982" s="1" t="n">
        <v>46093</v>
      </c>
      <c r="D4982" t="inlineStr">
        <is>
          <t>VÄSTERNORRLANDS LÄN</t>
        </is>
      </c>
      <c r="E4982" t="inlineStr">
        <is>
          <t>ÖRNSKÖLDSVIK</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48999-2023</t>
        </is>
      </c>
      <c r="B4983" s="1" t="n">
        <v>45209.66075231481</v>
      </c>
      <c r="C4983" s="1" t="n">
        <v>46093</v>
      </c>
      <c r="D4983" t="inlineStr">
        <is>
          <t>VÄSTERNORRLANDS LÄN</t>
        </is>
      </c>
      <c r="E4983" t="inlineStr">
        <is>
          <t>SOLLEFTEÅ</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43864-2025</t>
        </is>
      </c>
      <c r="B4984" s="1" t="n">
        <v>45912.65693287037</v>
      </c>
      <c r="C4984" s="1" t="n">
        <v>46093</v>
      </c>
      <c r="D4984" t="inlineStr">
        <is>
          <t>VÄSTERNORRLANDS LÄN</t>
        </is>
      </c>
      <c r="E4984" t="inlineStr">
        <is>
          <t>KRAMFORS</t>
        </is>
      </c>
      <c r="F4984" t="inlineStr">
        <is>
          <t>SCA</t>
        </is>
      </c>
      <c r="G4984" t="n">
        <v>2.6</v>
      </c>
      <c r="H4984" t="n">
        <v>0</v>
      </c>
      <c r="I4984" t="n">
        <v>0</v>
      </c>
      <c r="J4984" t="n">
        <v>0</v>
      </c>
      <c r="K4984" t="n">
        <v>0</v>
      </c>
      <c r="L4984" t="n">
        <v>0</v>
      </c>
      <c r="M4984" t="n">
        <v>0</v>
      </c>
      <c r="N4984" t="n">
        <v>0</v>
      </c>
      <c r="O4984" t="n">
        <v>0</v>
      </c>
      <c r="P4984" t="n">
        <v>0</v>
      </c>
      <c r="Q4984" t="n">
        <v>0</v>
      </c>
      <c r="R4984" s="2" t="inlineStr"/>
    </row>
    <row r="4985" ht="15" customHeight="1">
      <c r="A4985" t="inlineStr">
        <is>
          <t>A 59592-2023</t>
        </is>
      </c>
      <c r="B4985" s="1" t="n">
        <v>45254</v>
      </c>
      <c r="C4985" s="1" t="n">
        <v>46093</v>
      </c>
      <c r="D4985" t="inlineStr">
        <is>
          <t>VÄSTERNORRLANDS LÄN</t>
        </is>
      </c>
      <c r="E4985" t="inlineStr">
        <is>
          <t>ÖRNSKÖLDSVIK</t>
        </is>
      </c>
      <c r="F4985" t="inlineStr">
        <is>
          <t>Holmen skog AB</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10526-2025</t>
        </is>
      </c>
      <c r="B4986" s="1" t="n">
        <v>45721</v>
      </c>
      <c r="C4986" s="1" t="n">
        <v>46093</v>
      </c>
      <c r="D4986" t="inlineStr">
        <is>
          <t>VÄSTERNORRLANDS LÄN</t>
        </is>
      </c>
      <c r="E4986" t="inlineStr">
        <is>
          <t>ÖRNSKÖLDSVIK</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30329-2024</t>
        </is>
      </c>
      <c r="B4987" s="1" t="n">
        <v>45490.95304398148</v>
      </c>
      <c r="C4987" s="1" t="n">
        <v>46093</v>
      </c>
      <c r="D4987" t="inlineStr">
        <is>
          <t>VÄSTERNORRLANDS LÄN</t>
        </is>
      </c>
      <c r="E4987" t="inlineStr">
        <is>
          <t>SOLLEFTEÅ</t>
        </is>
      </c>
      <c r="F4987" t="inlineStr">
        <is>
          <t>SCA</t>
        </is>
      </c>
      <c r="G4987" t="n">
        <v>6.1</v>
      </c>
      <c r="H4987" t="n">
        <v>0</v>
      </c>
      <c r="I4987" t="n">
        <v>0</v>
      </c>
      <c r="J4987" t="n">
        <v>0</v>
      </c>
      <c r="K4987" t="n">
        <v>0</v>
      </c>
      <c r="L4987" t="n">
        <v>0</v>
      </c>
      <c r="M4987" t="n">
        <v>0</v>
      </c>
      <c r="N4987" t="n">
        <v>0</v>
      </c>
      <c r="O4987" t="n">
        <v>0</v>
      </c>
      <c r="P4987" t="n">
        <v>0</v>
      </c>
      <c r="Q4987" t="n">
        <v>0</v>
      </c>
      <c r="R4987" s="2" t="inlineStr"/>
    </row>
    <row r="4988" ht="15" customHeight="1">
      <c r="A4988" t="inlineStr">
        <is>
          <t>A 5367-2022</t>
        </is>
      </c>
      <c r="B4988" s="1" t="n">
        <v>44594.92111111111</v>
      </c>
      <c r="C4988" s="1" t="n">
        <v>46093</v>
      </c>
      <c r="D4988" t="inlineStr">
        <is>
          <t>VÄSTERNORRLANDS LÄN</t>
        </is>
      </c>
      <c r="E4988" t="inlineStr">
        <is>
          <t>ÅNGE</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43389-2025</t>
        </is>
      </c>
      <c r="B4989" s="1" t="n">
        <v>45911.36560185185</v>
      </c>
      <c r="C4989" s="1" t="n">
        <v>46093</v>
      </c>
      <c r="D4989" t="inlineStr">
        <is>
          <t>VÄSTERNORRLANDS LÄN</t>
        </is>
      </c>
      <c r="E4989" t="inlineStr">
        <is>
          <t>ÅNGE</t>
        </is>
      </c>
      <c r="F4989" t="inlineStr">
        <is>
          <t>SCA</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43395-2025</t>
        </is>
      </c>
      <c r="B4990" s="1" t="n">
        <v>45911.37043981482</v>
      </c>
      <c r="C4990" s="1" t="n">
        <v>46093</v>
      </c>
      <c r="D4990" t="inlineStr">
        <is>
          <t>VÄSTERNORRLANDS LÄN</t>
        </is>
      </c>
      <c r="E4990" t="inlineStr">
        <is>
          <t>KRAMFORS</t>
        </is>
      </c>
      <c r="G4990" t="n">
        <v>3.6</v>
      </c>
      <c r="H4990" t="n">
        <v>0</v>
      </c>
      <c r="I4990" t="n">
        <v>0</v>
      </c>
      <c r="J4990" t="n">
        <v>0</v>
      </c>
      <c r="K4990" t="n">
        <v>0</v>
      </c>
      <c r="L4990" t="n">
        <v>0</v>
      </c>
      <c r="M4990" t="n">
        <v>0</v>
      </c>
      <c r="N4990" t="n">
        <v>0</v>
      </c>
      <c r="O4990" t="n">
        <v>0</v>
      </c>
      <c r="P4990" t="n">
        <v>0</v>
      </c>
      <c r="Q4990" t="n">
        <v>0</v>
      </c>
      <c r="R4990" s="2" t="inlineStr"/>
    </row>
    <row r="4991" ht="15" customHeight="1">
      <c r="A4991" t="inlineStr">
        <is>
          <t>A 48632-2023</t>
        </is>
      </c>
      <c r="B4991" s="1" t="n">
        <v>45208.57944444445</v>
      </c>
      <c r="C4991" s="1" t="n">
        <v>46093</v>
      </c>
      <c r="D4991" t="inlineStr">
        <is>
          <t>VÄSTERNORRLANDS LÄN</t>
        </is>
      </c>
      <c r="E4991" t="inlineStr">
        <is>
          <t>ÅNGE</t>
        </is>
      </c>
      <c r="G4991" t="n">
        <v>2.2</v>
      </c>
      <c r="H4991" t="n">
        <v>0</v>
      </c>
      <c r="I4991" t="n">
        <v>0</v>
      </c>
      <c r="J4991" t="n">
        <v>0</v>
      </c>
      <c r="K4991" t="n">
        <v>0</v>
      </c>
      <c r="L4991" t="n">
        <v>0</v>
      </c>
      <c r="M4991" t="n">
        <v>0</v>
      </c>
      <c r="N4991" t="n">
        <v>0</v>
      </c>
      <c r="O4991" t="n">
        <v>0</v>
      </c>
      <c r="P4991" t="n">
        <v>0</v>
      </c>
      <c r="Q4991" t="n">
        <v>0</v>
      </c>
      <c r="R4991" s="2" t="inlineStr"/>
    </row>
    <row r="4992" ht="15" customHeight="1">
      <c r="A4992" t="inlineStr">
        <is>
          <t>A 27377-2025</t>
        </is>
      </c>
      <c r="B4992" s="1" t="n">
        <v>45812</v>
      </c>
      <c r="C4992" s="1" t="n">
        <v>46093</v>
      </c>
      <c r="D4992" t="inlineStr">
        <is>
          <t>VÄSTERNORRLANDS LÄN</t>
        </is>
      </c>
      <c r="E4992" t="inlineStr">
        <is>
          <t>KRAMFORS</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27801-2022</t>
        </is>
      </c>
      <c r="B4993" s="1" t="n">
        <v>44743.57354166666</v>
      </c>
      <c r="C4993" s="1" t="n">
        <v>46093</v>
      </c>
      <c r="D4993" t="inlineStr">
        <is>
          <t>VÄSTERNORRLANDS LÄN</t>
        </is>
      </c>
      <c r="E4993" t="inlineStr">
        <is>
          <t>ÖRNSKÖLDSVIK</t>
        </is>
      </c>
      <c r="G4993" t="n">
        <v>3.3</v>
      </c>
      <c r="H4993" t="n">
        <v>0</v>
      </c>
      <c r="I4993" t="n">
        <v>0</v>
      </c>
      <c r="J4993" t="n">
        <v>0</v>
      </c>
      <c r="K4993" t="n">
        <v>0</v>
      </c>
      <c r="L4993" t="n">
        <v>0</v>
      </c>
      <c r="M4993" t="n">
        <v>0</v>
      </c>
      <c r="N4993" t="n">
        <v>0</v>
      </c>
      <c r="O4993" t="n">
        <v>0</v>
      </c>
      <c r="P4993" t="n">
        <v>0</v>
      </c>
      <c r="Q4993" t="n">
        <v>0</v>
      </c>
      <c r="R4993" s="2" t="inlineStr"/>
    </row>
    <row r="4994" ht="15" customHeight="1">
      <c r="A4994" t="inlineStr">
        <is>
          <t>A 11289-2022</t>
        </is>
      </c>
      <c r="B4994" s="1" t="n">
        <v>44629</v>
      </c>
      <c r="C4994" s="1" t="n">
        <v>46093</v>
      </c>
      <c r="D4994" t="inlineStr">
        <is>
          <t>VÄSTERNORRLANDS LÄN</t>
        </is>
      </c>
      <c r="E4994" t="inlineStr">
        <is>
          <t>KRAMFORS</t>
        </is>
      </c>
      <c r="G4994" t="n">
        <v>6.3</v>
      </c>
      <c r="H4994" t="n">
        <v>0</v>
      </c>
      <c r="I4994" t="n">
        <v>0</v>
      </c>
      <c r="J4994" t="n">
        <v>0</v>
      </c>
      <c r="K4994" t="n">
        <v>0</v>
      </c>
      <c r="L4994" t="n">
        <v>0</v>
      </c>
      <c r="M4994" t="n">
        <v>0</v>
      </c>
      <c r="N4994" t="n">
        <v>0</v>
      </c>
      <c r="O4994" t="n">
        <v>0</v>
      </c>
      <c r="P4994" t="n">
        <v>0</v>
      </c>
      <c r="Q4994" t="n">
        <v>0</v>
      </c>
      <c r="R4994" s="2" t="inlineStr"/>
    </row>
    <row r="4995" ht="15" customHeight="1">
      <c r="A4995" t="inlineStr">
        <is>
          <t>A 11318-2022</t>
        </is>
      </c>
      <c r="B4995" s="1" t="n">
        <v>44629.94743055556</v>
      </c>
      <c r="C4995" s="1" t="n">
        <v>46093</v>
      </c>
      <c r="D4995" t="inlineStr">
        <is>
          <t>VÄSTERNORRLANDS LÄN</t>
        </is>
      </c>
      <c r="E4995" t="inlineStr">
        <is>
          <t>SOLLEFTEÅ</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40571-2024</t>
        </is>
      </c>
      <c r="B4996" s="1" t="n">
        <v>45555.67759259259</v>
      </c>
      <c r="C4996" s="1" t="n">
        <v>46093</v>
      </c>
      <c r="D4996" t="inlineStr">
        <is>
          <t>VÄSTERNORRLANDS LÄN</t>
        </is>
      </c>
      <c r="E4996" t="inlineStr">
        <is>
          <t>SOLLEFTEÅ</t>
        </is>
      </c>
      <c r="F4996" t="inlineStr">
        <is>
          <t>SCA</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43546-2025</t>
        </is>
      </c>
      <c r="B4997" s="1" t="n">
        <v>45911.6153125</v>
      </c>
      <c r="C4997" s="1" t="n">
        <v>46093</v>
      </c>
      <c r="D4997" t="inlineStr">
        <is>
          <t>VÄSTERNORRLANDS LÄN</t>
        </is>
      </c>
      <c r="E4997" t="inlineStr">
        <is>
          <t>ÅNGE</t>
        </is>
      </c>
      <c r="F4997" t="inlineStr">
        <is>
          <t>SCA</t>
        </is>
      </c>
      <c r="G4997" t="n">
        <v>9.6</v>
      </c>
      <c r="H4997" t="n">
        <v>0</v>
      </c>
      <c r="I4997" t="n">
        <v>0</v>
      </c>
      <c r="J4997" t="n">
        <v>0</v>
      </c>
      <c r="K4997" t="n">
        <v>0</v>
      </c>
      <c r="L4997" t="n">
        <v>0</v>
      </c>
      <c r="M4997" t="n">
        <v>0</v>
      </c>
      <c r="N4997" t="n">
        <v>0</v>
      </c>
      <c r="O4997" t="n">
        <v>0</v>
      </c>
      <c r="P4997" t="n">
        <v>0</v>
      </c>
      <c r="Q4997" t="n">
        <v>0</v>
      </c>
      <c r="R4997" s="2" t="inlineStr"/>
    </row>
    <row r="4998" ht="15" customHeight="1">
      <c r="A4998" t="inlineStr">
        <is>
          <t>A 40593-2024</t>
        </is>
      </c>
      <c r="B4998" s="1" t="n">
        <v>45555</v>
      </c>
      <c r="C4998" s="1" t="n">
        <v>46093</v>
      </c>
      <c r="D4998" t="inlineStr">
        <is>
          <t>VÄSTERNORRLANDS LÄN</t>
        </is>
      </c>
      <c r="E4998" t="inlineStr">
        <is>
          <t>TIMRÅ</t>
        </is>
      </c>
      <c r="G4998" t="n">
        <v>3.6</v>
      </c>
      <c r="H4998" t="n">
        <v>0</v>
      </c>
      <c r="I4998" t="n">
        <v>0</v>
      </c>
      <c r="J4998" t="n">
        <v>0</v>
      </c>
      <c r="K4998" t="n">
        <v>0</v>
      </c>
      <c r="L4998" t="n">
        <v>0</v>
      </c>
      <c r="M4998" t="n">
        <v>0</v>
      </c>
      <c r="N4998" t="n">
        <v>0</v>
      </c>
      <c r="O4998" t="n">
        <v>0</v>
      </c>
      <c r="P4998" t="n">
        <v>0</v>
      </c>
      <c r="Q4998" t="n">
        <v>0</v>
      </c>
      <c r="R4998" s="2" t="inlineStr"/>
    </row>
    <row r="4999" ht="15" customHeight="1">
      <c r="A4999" t="inlineStr">
        <is>
          <t>A 37861-2024</t>
        </is>
      </c>
      <c r="B4999" s="1" t="n">
        <v>45544</v>
      </c>
      <c r="C4999" s="1" t="n">
        <v>46093</v>
      </c>
      <c r="D4999" t="inlineStr">
        <is>
          <t>VÄSTERNORRLANDS LÄN</t>
        </is>
      </c>
      <c r="E4999" t="inlineStr">
        <is>
          <t>TIMRÅ</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37871-2024</t>
        </is>
      </c>
      <c r="B5000" s="1" t="n">
        <v>45544</v>
      </c>
      <c r="C5000" s="1" t="n">
        <v>46093</v>
      </c>
      <c r="D5000" t="inlineStr">
        <is>
          <t>VÄSTERNORRLANDS LÄN</t>
        </is>
      </c>
      <c r="E5000" t="inlineStr">
        <is>
          <t>ÖRNSKÖLDSVIK</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43784-2025</t>
        </is>
      </c>
      <c r="B5001" s="1" t="n">
        <v>45912</v>
      </c>
      <c r="C5001" s="1" t="n">
        <v>46093</v>
      </c>
      <c r="D5001" t="inlineStr">
        <is>
          <t>VÄSTERNORRLANDS LÄN</t>
        </is>
      </c>
      <c r="E5001" t="inlineStr">
        <is>
          <t>KRAMFORS</t>
        </is>
      </c>
      <c r="G5001" t="n">
        <v>4</v>
      </c>
      <c r="H5001" t="n">
        <v>0</v>
      </c>
      <c r="I5001" t="n">
        <v>0</v>
      </c>
      <c r="J5001" t="n">
        <v>0</v>
      </c>
      <c r="K5001" t="n">
        <v>0</v>
      </c>
      <c r="L5001" t="n">
        <v>0</v>
      </c>
      <c r="M5001" t="n">
        <v>0</v>
      </c>
      <c r="N5001" t="n">
        <v>0</v>
      </c>
      <c r="O5001" t="n">
        <v>0</v>
      </c>
      <c r="P5001" t="n">
        <v>0</v>
      </c>
      <c r="Q5001" t="n">
        <v>0</v>
      </c>
      <c r="R5001" s="2" t="inlineStr"/>
    </row>
    <row r="5002" ht="15" customHeight="1">
      <c r="A5002" t="inlineStr">
        <is>
          <t>A 43818-2025</t>
        </is>
      </c>
      <c r="B5002" s="1" t="n">
        <v>45912.5991087963</v>
      </c>
      <c r="C5002" s="1" t="n">
        <v>46093</v>
      </c>
      <c r="D5002" t="inlineStr">
        <is>
          <t>VÄSTERNORRLANDS LÄN</t>
        </is>
      </c>
      <c r="E5002" t="inlineStr">
        <is>
          <t>ÖRNSKÖLDSVIK</t>
        </is>
      </c>
      <c r="F5002" t="inlineStr">
        <is>
          <t>Holmen skog AB</t>
        </is>
      </c>
      <c r="G5002" t="n">
        <v>3.4</v>
      </c>
      <c r="H5002" t="n">
        <v>0</v>
      </c>
      <c r="I5002" t="n">
        <v>0</v>
      </c>
      <c r="J5002" t="n">
        <v>0</v>
      </c>
      <c r="K5002" t="n">
        <v>0</v>
      </c>
      <c r="L5002" t="n">
        <v>0</v>
      </c>
      <c r="M5002" t="n">
        <v>0</v>
      </c>
      <c r="N5002" t="n">
        <v>0</v>
      </c>
      <c r="O5002" t="n">
        <v>0</v>
      </c>
      <c r="P5002" t="n">
        <v>0</v>
      </c>
      <c r="Q5002" t="n">
        <v>0</v>
      </c>
      <c r="R5002" s="2" t="inlineStr"/>
    </row>
    <row r="5003" ht="15" customHeight="1">
      <c r="A5003" t="inlineStr">
        <is>
          <t>A 60576-2023</t>
        </is>
      </c>
      <c r="B5003" s="1" t="n">
        <v>45259</v>
      </c>
      <c r="C5003" s="1" t="n">
        <v>46093</v>
      </c>
      <c r="D5003" t="inlineStr">
        <is>
          <t>VÄSTERNORRLANDS LÄN</t>
        </is>
      </c>
      <c r="E5003" t="inlineStr">
        <is>
          <t>SUNDSVALL</t>
        </is>
      </c>
      <c r="F5003" t="inlineStr">
        <is>
          <t>SCA</t>
        </is>
      </c>
      <c r="G5003" t="n">
        <v>5.5</v>
      </c>
      <c r="H5003" t="n">
        <v>0</v>
      </c>
      <c r="I5003" t="n">
        <v>0</v>
      </c>
      <c r="J5003" t="n">
        <v>0</v>
      </c>
      <c r="K5003" t="n">
        <v>0</v>
      </c>
      <c r="L5003" t="n">
        <v>0</v>
      </c>
      <c r="M5003" t="n">
        <v>0</v>
      </c>
      <c r="N5003" t="n">
        <v>0</v>
      </c>
      <c r="O5003" t="n">
        <v>0</v>
      </c>
      <c r="P5003" t="n">
        <v>0</v>
      </c>
      <c r="Q5003" t="n">
        <v>0</v>
      </c>
      <c r="R5003" s="2" t="inlineStr"/>
    </row>
    <row r="5004" ht="15" customHeight="1">
      <c r="A5004" t="inlineStr">
        <is>
          <t>A 7946-2022</t>
        </is>
      </c>
      <c r="B5004" s="1" t="n">
        <v>44608</v>
      </c>
      <c r="C5004" s="1" t="n">
        <v>46093</v>
      </c>
      <c r="D5004" t="inlineStr">
        <is>
          <t>VÄSTERNORRLANDS LÄN</t>
        </is>
      </c>
      <c r="E5004" t="inlineStr">
        <is>
          <t>SUNDSVALL</t>
        </is>
      </c>
      <c r="G5004" t="n">
        <v>5.8</v>
      </c>
      <c r="H5004" t="n">
        <v>0</v>
      </c>
      <c r="I5004" t="n">
        <v>0</v>
      </c>
      <c r="J5004" t="n">
        <v>0</v>
      </c>
      <c r="K5004" t="n">
        <v>0</v>
      </c>
      <c r="L5004" t="n">
        <v>0</v>
      </c>
      <c r="M5004" t="n">
        <v>0</v>
      </c>
      <c r="N5004" t="n">
        <v>0</v>
      </c>
      <c r="O5004" t="n">
        <v>0</v>
      </c>
      <c r="P5004" t="n">
        <v>0</v>
      </c>
      <c r="Q5004" t="n">
        <v>0</v>
      </c>
      <c r="R5004" s="2" t="inlineStr"/>
    </row>
    <row r="5005" ht="15" customHeight="1">
      <c r="A5005" t="inlineStr">
        <is>
          <t>A 8506-2024</t>
        </is>
      </c>
      <c r="B5005" s="1" t="n">
        <v>45351</v>
      </c>
      <c r="C5005" s="1" t="n">
        <v>46093</v>
      </c>
      <c r="D5005" t="inlineStr">
        <is>
          <t>VÄSTERNORRLANDS LÄN</t>
        </is>
      </c>
      <c r="E5005" t="inlineStr">
        <is>
          <t>TIMRÅ</t>
        </is>
      </c>
      <c r="G5005" t="n">
        <v>3.6</v>
      </c>
      <c r="H5005" t="n">
        <v>0</v>
      </c>
      <c r="I5005" t="n">
        <v>0</v>
      </c>
      <c r="J5005" t="n">
        <v>0</v>
      </c>
      <c r="K5005" t="n">
        <v>0</v>
      </c>
      <c r="L5005" t="n">
        <v>0</v>
      </c>
      <c r="M5005" t="n">
        <v>0</v>
      </c>
      <c r="N5005" t="n">
        <v>0</v>
      </c>
      <c r="O5005" t="n">
        <v>0</v>
      </c>
      <c r="P5005" t="n">
        <v>0</v>
      </c>
      <c r="Q5005" t="n">
        <v>0</v>
      </c>
      <c r="R5005" s="2" t="inlineStr"/>
    </row>
    <row r="5006" ht="15" customHeight="1">
      <c r="A5006" t="inlineStr">
        <is>
          <t>A 43696-2025</t>
        </is>
      </c>
      <c r="B5006" s="1" t="n">
        <v>45912.39538194444</v>
      </c>
      <c r="C5006" s="1" t="n">
        <v>46093</v>
      </c>
      <c r="D5006" t="inlineStr">
        <is>
          <t>VÄSTERNORRLANDS LÄN</t>
        </is>
      </c>
      <c r="E5006" t="inlineStr">
        <is>
          <t>ÖRNSKÖLDSVIK</t>
        </is>
      </c>
      <c r="G5006" t="n">
        <v>3.5</v>
      </c>
      <c r="H5006" t="n">
        <v>0</v>
      </c>
      <c r="I5006" t="n">
        <v>0</v>
      </c>
      <c r="J5006" t="n">
        <v>0</v>
      </c>
      <c r="K5006" t="n">
        <v>0</v>
      </c>
      <c r="L5006" t="n">
        <v>0</v>
      </c>
      <c r="M5006" t="n">
        <v>0</v>
      </c>
      <c r="N5006" t="n">
        <v>0</v>
      </c>
      <c r="O5006" t="n">
        <v>0</v>
      </c>
      <c r="P5006" t="n">
        <v>0</v>
      </c>
      <c r="Q5006" t="n">
        <v>0</v>
      </c>
      <c r="R5006" s="2" t="inlineStr"/>
    </row>
    <row r="5007" ht="15" customHeight="1">
      <c r="A5007" t="inlineStr">
        <is>
          <t>A 38750-2024</t>
        </is>
      </c>
      <c r="B5007" s="1" t="n">
        <v>45547</v>
      </c>
      <c r="C5007" s="1" t="n">
        <v>46093</v>
      </c>
      <c r="D5007" t="inlineStr">
        <is>
          <t>VÄSTERNORRLANDS LÄN</t>
        </is>
      </c>
      <c r="E5007" t="inlineStr">
        <is>
          <t>ÖRNSKÖLDSVIK</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38753-2024</t>
        </is>
      </c>
      <c r="B5008" s="1" t="n">
        <v>45547.43258101852</v>
      </c>
      <c r="C5008" s="1" t="n">
        <v>46093</v>
      </c>
      <c r="D5008" t="inlineStr">
        <is>
          <t>VÄSTERNORRLANDS LÄN</t>
        </is>
      </c>
      <c r="E5008" t="inlineStr">
        <is>
          <t>ÖRNSKÖLDSVIK</t>
        </is>
      </c>
      <c r="G5008" t="n">
        <v>0.3</v>
      </c>
      <c r="H5008" t="n">
        <v>0</v>
      </c>
      <c r="I5008" t="n">
        <v>0</v>
      </c>
      <c r="J5008" t="n">
        <v>0</v>
      </c>
      <c r="K5008" t="n">
        <v>0</v>
      </c>
      <c r="L5008" t="n">
        <v>0</v>
      </c>
      <c r="M5008" t="n">
        <v>0</v>
      </c>
      <c r="N5008" t="n">
        <v>0</v>
      </c>
      <c r="O5008" t="n">
        <v>0</v>
      </c>
      <c r="P5008" t="n">
        <v>0</v>
      </c>
      <c r="Q5008" t="n">
        <v>0</v>
      </c>
      <c r="R5008" s="2" t="inlineStr"/>
    </row>
    <row r="5009" ht="15" customHeight="1">
      <c r="A5009" t="inlineStr">
        <is>
          <t>A 41645-2025</t>
        </is>
      </c>
      <c r="B5009" s="1" t="n">
        <v>45902</v>
      </c>
      <c r="C5009" s="1" t="n">
        <v>46093</v>
      </c>
      <c r="D5009" t="inlineStr">
        <is>
          <t>VÄSTERNORRLANDS LÄN</t>
        </is>
      </c>
      <c r="E5009" t="inlineStr">
        <is>
          <t>KRAMFORS</t>
        </is>
      </c>
      <c r="G5009" t="n">
        <v>20.4</v>
      </c>
      <c r="H5009" t="n">
        <v>0</v>
      </c>
      <c r="I5009" t="n">
        <v>0</v>
      </c>
      <c r="J5009" t="n">
        <v>0</v>
      </c>
      <c r="K5009" t="n">
        <v>0</v>
      </c>
      <c r="L5009" t="n">
        <v>0</v>
      </c>
      <c r="M5009" t="n">
        <v>0</v>
      </c>
      <c r="N5009" t="n">
        <v>0</v>
      </c>
      <c r="O5009" t="n">
        <v>0</v>
      </c>
      <c r="P5009" t="n">
        <v>0</v>
      </c>
      <c r="Q5009" t="n">
        <v>0</v>
      </c>
      <c r="R5009" s="2" t="inlineStr"/>
    </row>
    <row r="5010" ht="15" customHeight="1">
      <c r="A5010" t="inlineStr">
        <is>
          <t>A 72239-2021</t>
        </is>
      </c>
      <c r="B5010" s="1" t="n">
        <v>44544.9203587963</v>
      </c>
      <c r="C5010" s="1" t="n">
        <v>46093</v>
      </c>
      <c r="D5010" t="inlineStr">
        <is>
          <t>VÄSTERNORRLANDS LÄN</t>
        </is>
      </c>
      <c r="E5010" t="inlineStr">
        <is>
          <t>ÅNGE</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72244-2021</t>
        </is>
      </c>
      <c r="B5011" s="1" t="n">
        <v>44544.9390162037</v>
      </c>
      <c r="C5011" s="1" t="n">
        <v>46093</v>
      </c>
      <c r="D5011" t="inlineStr">
        <is>
          <t>VÄSTERNORRLANDS LÄN</t>
        </is>
      </c>
      <c r="E5011" t="inlineStr">
        <is>
          <t>SOLLEFTEÅ</t>
        </is>
      </c>
      <c r="F5011" t="inlineStr">
        <is>
          <t>SCA</t>
        </is>
      </c>
      <c r="G5011" t="n">
        <v>6.8</v>
      </c>
      <c r="H5011" t="n">
        <v>0</v>
      </c>
      <c r="I5011" t="n">
        <v>0</v>
      </c>
      <c r="J5011" t="n">
        <v>0</v>
      </c>
      <c r="K5011" t="n">
        <v>0</v>
      </c>
      <c r="L5011" t="n">
        <v>0</v>
      </c>
      <c r="M5011" t="n">
        <v>0</v>
      </c>
      <c r="N5011" t="n">
        <v>0</v>
      </c>
      <c r="O5011" t="n">
        <v>0</v>
      </c>
      <c r="P5011" t="n">
        <v>0</v>
      </c>
      <c r="Q5011" t="n">
        <v>0</v>
      </c>
      <c r="R5011" s="2" t="inlineStr"/>
    </row>
    <row r="5012" ht="15" customHeight="1">
      <c r="A5012" t="inlineStr">
        <is>
          <t>A 25246-2024</t>
        </is>
      </c>
      <c r="B5012" s="1" t="n">
        <v>45462.60493055556</v>
      </c>
      <c r="C5012" s="1" t="n">
        <v>46093</v>
      </c>
      <c r="D5012" t="inlineStr">
        <is>
          <t>VÄSTERNORRLANDS LÄN</t>
        </is>
      </c>
      <c r="E5012" t="inlineStr">
        <is>
          <t>ÖRNSKÖLDSVIK</t>
        </is>
      </c>
      <c r="F5012" t="inlineStr">
        <is>
          <t>Holmen skog AB</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72825-2021</t>
        </is>
      </c>
      <c r="B5013" s="1" t="n">
        <v>44546</v>
      </c>
      <c r="C5013" s="1" t="n">
        <v>46093</v>
      </c>
      <c r="D5013" t="inlineStr">
        <is>
          <t>VÄSTERNORRLANDS LÄN</t>
        </is>
      </c>
      <c r="E5013" t="inlineStr">
        <is>
          <t>KRAMFORS</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21471-2022</t>
        </is>
      </c>
      <c r="B5014" s="1" t="n">
        <v>44706</v>
      </c>
      <c r="C5014" s="1" t="n">
        <v>46093</v>
      </c>
      <c r="D5014" t="inlineStr">
        <is>
          <t>VÄSTERNORRLANDS LÄN</t>
        </is>
      </c>
      <c r="E5014" t="inlineStr">
        <is>
          <t>HÄRNÖSAND</t>
        </is>
      </c>
      <c r="G5014" t="n">
        <v>0.2</v>
      </c>
      <c r="H5014" t="n">
        <v>0</v>
      </c>
      <c r="I5014" t="n">
        <v>0</v>
      </c>
      <c r="J5014" t="n">
        <v>0</v>
      </c>
      <c r="K5014" t="n">
        <v>0</v>
      </c>
      <c r="L5014" t="n">
        <v>0</v>
      </c>
      <c r="M5014" t="n">
        <v>0</v>
      </c>
      <c r="N5014" t="n">
        <v>0</v>
      </c>
      <c r="O5014" t="n">
        <v>0</v>
      </c>
      <c r="P5014" t="n">
        <v>0</v>
      </c>
      <c r="Q5014" t="n">
        <v>0</v>
      </c>
      <c r="R5014" s="2" t="inlineStr"/>
    </row>
    <row r="5015" ht="15" customHeight="1">
      <c r="A5015" t="inlineStr">
        <is>
          <t>A 41834-2024</t>
        </is>
      </c>
      <c r="B5015" s="1" t="n">
        <v>45561.4084375</v>
      </c>
      <c r="C5015" s="1" t="n">
        <v>46093</v>
      </c>
      <c r="D5015" t="inlineStr">
        <is>
          <t>VÄSTERNORRLANDS LÄN</t>
        </is>
      </c>
      <c r="E5015" t="inlineStr">
        <is>
          <t>SOLLEFTEÅ</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43490-2025</t>
        </is>
      </c>
      <c r="B5016" s="1" t="n">
        <v>45911</v>
      </c>
      <c r="C5016" s="1" t="n">
        <v>46093</v>
      </c>
      <c r="D5016" t="inlineStr">
        <is>
          <t>VÄSTERNORRLANDS LÄN</t>
        </is>
      </c>
      <c r="E5016" t="inlineStr">
        <is>
          <t>SOLLEFTEÅ</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43510-2025</t>
        </is>
      </c>
      <c r="B5017" s="1" t="n">
        <v>45911</v>
      </c>
      <c r="C5017" s="1" t="n">
        <v>46093</v>
      </c>
      <c r="D5017" t="inlineStr">
        <is>
          <t>VÄSTERNORRLANDS LÄN</t>
        </is>
      </c>
      <c r="E5017" t="inlineStr">
        <is>
          <t>SOLLEFTEÅ</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41975-2024</t>
        </is>
      </c>
      <c r="B5018" s="1" t="n">
        <v>45561</v>
      </c>
      <c r="C5018" s="1" t="n">
        <v>46093</v>
      </c>
      <c r="D5018" t="inlineStr">
        <is>
          <t>VÄSTERNORRLANDS LÄN</t>
        </is>
      </c>
      <c r="E5018" t="inlineStr">
        <is>
          <t>SOLLEFTEÅ</t>
        </is>
      </c>
      <c r="G5018" t="n">
        <v>5.4</v>
      </c>
      <c r="H5018" t="n">
        <v>0</v>
      </c>
      <c r="I5018" t="n">
        <v>0</v>
      </c>
      <c r="J5018" t="n">
        <v>0</v>
      </c>
      <c r="K5018" t="n">
        <v>0</v>
      </c>
      <c r="L5018" t="n">
        <v>0</v>
      </c>
      <c r="M5018" t="n">
        <v>0</v>
      </c>
      <c r="N5018" t="n">
        <v>0</v>
      </c>
      <c r="O5018" t="n">
        <v>0</v>
      </c>
      <c r="P5018" t="n">
        <v>0</v>
      </c>
      <c r="Q5018" t="n">
        <v>0</v>
      </c>
      <c r="R5018" s="2" t="inlineStr"/>
    </row>
    <row r="5019" ht="15" customHeight="1">
      <c r="A5019" t="inlineStr">
        <is>
          <t>A 7036-2025</t>
        </is>
      </c>
      <c r="B5019" s="1" t="n">
        <v>45701.63597222222</v>
      </c>
      <c r="C5019" s="1" t="n">
        <v>46093</v>
      </c>
      <c r="D5019" t="inlineStr">
        <is>
          <t>VÄSTERNORRLANDS LÄN</t>
        </is>
      </c>
      <c r="E5019" t="inlineStr">
        <is>
          <t>SOLLEFTEÅ</t>
        </is>
      </c>
      <c r="F5019" t="inlineStr">
        <is>
          <t>SCA</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17422-2025</t>
        </is>
      </c>
      <c r="B5020" s="1" t="n">
        <v>45757.38570601852</v>
      </c>
      <c r="C5020" s="1" t="n">
        <v>46093</v>
      </c>
      <c r="D5020" t="inlineStr">
        <is>
          <t>VÄSTERNORRLANDS LÄN</t>
        </is>
      </c>
      <c r="E5020" t="inlineStr">
        <is>
          <t>SOLLEFTEÅ</t>
        </is>
      </c>
      <c r="F5020" t="inlineStr">
        <is>
          <t>SCA</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43394-2025</t>
        </is>
      </c>
      <c r="B5021" s="1" t="n">
        <v>45911.37017361111</v>
      </c>
      <c r="C5021" s="1" t="n">
        <v>46093</v>
      </c>
      <c r="D5021" t="inlineStr">
        <is>
          <t>VÄSTERNORRLANDS LÄN</t>
        </is>
      </c>
      <c r="E5021" t="inlineStr">
        <is>
          <t>KRAMFORS</t>
        </is>
      </c>
      <c r="G5021" t="n">
        <v>2.6</v>
      </c>
      <c r="H5021" t="n">
        <v>0</v>
      </c>
      <c r="I5021" t="n">
        <v>0</v>
      </c>
      <c r="J5021" t="n">
        <v>0</v>
      </c>
      <c r="K5021" t="n">
        <v>0</v>
      </c>
      <c r="L5021" t="n">
        <v>0</v>
      </c>
      <c r="M5021" t="n">
        <v>0</v>
      </c>
      <c r="N5021" t="n">
        <v>0</v>
      </c>
      <c r="O5021" t="n">
        <v>0</v>
      </c>
      <c r="P5021" t="n">
        <v>0</v>
      </c>
      <c r="Q5021" t="n">
        <v>0</v>
      </c>
      <c r="R5021" s="2" t="inlineStr"/>
    </row>
    <row r="5022" ht="15" customHeight="1">
      <c r="A5022" t="inlineStr">
        <is>
          <t>A 43403-2025</t>
        </is>
      </c>
      <c r="B5022" s="1" t="n">
        <v>45911.38699074074</v>
      </c>
      <c r="C5022" s="1" t="n">
        <v>46093</v>
      </c>
      <c r="D5022" t="inlineStr">
        <is>
          <t>VÄSTERNORRLANDS LÄN</t>
        </is>
      </c>
      <c r="E5022" t="inlineStr">
        <is>
          <t>ÖRNSKÖLDSVIK</t>
        </is>
      </c>
      <c r="F5022" t="inlineStr">
        <is>
          <t>Holmen skog AB</t>
        </is>
      </c>
      <c r="G5022" t="n">
        <v>7.8</v>
      </c>
      <c r="H5022" t="n">
        <v>0</v>
      </c>
      <c r="I5022" t="n">
        <v>0</v>
      </c>
      <c r="J5022" t="n">
        <v>0</v>
      </c>
      <c r="K5022" t="n">
        <v>0</v>
      </c>
      <c r="L5022" t="n">
        <v>0</v>
      </c>
      <c r="M5022" t="n">
        <v>0</v>
      </c>
      <c r="N5022" t="n">
        <v>0</v>
      </c>
      <c r="O5022" t="n">
        <v>0</v>
      </c>
      <c r="P5022" t="n">
        <v>0</v>
      </c>
      <c r="Q5022" t="n">
        <v>0</v>
      </c>
      <c r="R5022" s="2" t="inlineStr"/>
    </row>
    <row r="5023" ht="15" customHeight="1">
      <c r="A5023" t="inlineStr">
        <is>
          <t>A 43417-2025</t>
        </is>
      </c>
      <c r="B5023" s="1" t="n">
        <v>45911.40708333333</v>
      </c>
      <c r="C5023" s="1" t="n">
        <v>46093</v>
      </c>
      <c r="D5023" t="inlineStr">
        <is>
          <t>VÄSTERNORRLANDS LÄN</t>
        </is>
      </c>
      <c r="E5023" t="inlineStr">
        <is>
          <t>ÖRNSKÖLDSVIK</t>
        </is>
      </c>
      <c r="F5023" t="inlineStr">
        <is>
          <t>SCA</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43418-2025</t>
        </is>
      </c>
      <c r="B5024" s="1" t="n">
        <v>45911.40738425926</v>
      </c>
      <c r="C5024" s="1" t="n">
        <v>46093</v>
      </c>
      <c r="D5024" t="inlineStr">
        <is>
          <t>VÄSTERNORRLANDS LÄN</t>
        </is>
      </c>
      <c r="E5024" t="inlineStr">
        <is>
          <t>ÖRNSKÖLDSVIK</t>
        </is>
      </c>
      <c r="F5024" t="inlineStr">
        <is>
          <t>SCA</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7091-2025</t>
        </is>
      </c>
      <c r="B5025" s="1" t="n">
        <v>45701.75440972222</v>
      </c>
      <c r="C5025" s="1" t="n">
        <v>46093</v>
      </c>
      <c r="D5025" t="inlineStr">
        <is>
          <t>VÄSTERNORRLANDS LÄN</t>
        </is>
      </c>
      <c r="E5025" t="inlineStr">
        <is>
          <t>SUNDSVALL</t>
        </is>
      </c>
      <c r="G5025" t="n">
        <v>0.3</v>
      </c>
      <c r="H5025" t="n">
        <v>0</v>
      </c>
      <c r="I5025" t="n">
        <v>0</v>
      </c>
      <c r="J5025" t="n">
        <v>0</v>
      </c>
      <c r="K5025" t="n">
        <v>0</v>
      </c>
      <c r="L5025" t="n">
        <v>0</v>
      </c>
      <c r="M5025" t="n">
        <v>0</v>
      </c>
      <c r="N5025" t="n">
        <v>0</v>
      </c>
      <c r="O5025" t="n">
        <v>0</v>
      </c>
      <c r="P5025" t="n">
        <v>0</v>
      </c>
      <c r="Q5025" t="n">
        <v>0</v>
      </c>
      <c r="R5025" s="2" t="inlineStr"/>
    </row>
    <row r="5026" ht="15" customHeight="1">
      <c r="A5026" t="inlineStr">
        <is>
          <t>A 5349-2023</t>
        </is>
      </c>
      <c r="B5026" s="1" t="n">
        <v>44956</v>
      </c>
      <c r="C5026" s="1" t="n">
        <v>46093</v>
      </c>
      <c r="D5026" t="inlineStr">
        <is>
          <t>VÄSTERNORRLANDS LÄN</t>
        </is>
      </c>
      <c r="E5026" t="inlineStr">
        <is>
          <t>KRAMFORS</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7109-2025</t>
        </is>
      </c>
      <c r="B5027" s="1" t="n">
        <v>45701</v>
      </c>
      <c r="C5027" s="1" t="n">
        <v>46093</v>
      </c>
      <c r="D5027" t="inlineStr">
        <is>
          <t>VÄSTERNORRLANDS LÄN</t>
        </is>
      </c>
      <c r="E5027" t="inlineStr">
        <is>
          <t>ÖRNSKÖLDSVIK</t>
        </is>
      </c>
      <c r="G5027" t="n">
        <v>8.800000000000001</v>
      </c>
      <c r="H5027" t="n">
        <v>0</v>
      </c>
      <c r="I5027" t="n">
        <v>0</v>
      </c>
      <c r="J5027" t="n">
        <v>0</v>
      </c>
      <c r="K5027" t="n">
        <v>0</v>
      </c>
      <c r="L5027" t="n">
        <v>0</v>
      </c>
      <c r="M5027" t="n">
        <v>0</v>
      </c>
      <c r="N5027" t="n">
        <v>0</v>
      </c>
      <c r="O5027" t="n">
        <v>0</v>
      </c>
      <c r="P5027" t="n">
        <v>0</v>
      </c>
      <c r="Q5027" t="n">
        <v>0</v>
      </c>
      <c r="R5027" s="2" t="inlineStr"/>
    </row>
    <row r="5028" ht="15" customHeight="1">
      <c r="A5028" t="inlineStr">
        <is>
          <t>A 43795-2025</t>
        </is>
      </c>
      <c r="B5028" s="1" t="n">
        <v>45912</v>
      </c>
      <c r="C5028" s="1" t="n">
        <v>46093</v>
      </c>
      <c r="D5028" t="inlineStr">
        <is>
          <t>VÄSTERNORRLANDS LÄN</t>
        </is>
      </c>
      <c r="E5028" t="inlineStr">
        <is>
          <t>ÖRNSKÖLDSVIK</t>
        </is>
      </c>
      <c r="G5028" t="n">
        <v>3.7</v>
      </c>
      <c r="H5028" t="n">
        <v>0</v>
      </c>
      <c r="I5028" t="n">
        <v>0</v>
      </c>
      <c r="J5028" t="n">
        <v>0</v>
      </c>
      <c r="K5028" t="n">
        <v>0</v>
      </c>
      <c r="L5028" t="n">
        <v>0</v>
      </c>
      <c r="M5028" t="n">
        <v>0</v>
      </c>
      <c r="N5028" t="n">
        <v>0</v>
      </c>
      <c r="O5028" t="n">
        <v>0</v>
      </c>
      <c r="P5028" t="n">
        <v>0</v>
      </c>
      <c r="Q5028" t="n">
        <v>0</v>
      </c>
      <c r="R5028" s="2" t="inlineStr"/>
    </row>
    <row r="5029" ht="15" customHeight="1">
      <c r="A5029" t="inlineStr">
        <is>
          <t>A 12627-2025</t>
        </is>
      </c>
      <c r="B5029" s="1" t="n">
        <v>45733.36728009259</v>
      </c>
      <c r="C5029" s="1" t="n">
        <v>46093</v>
      </c>
      <c r="D5029" t="inlineStr">
        <is>
          <t>VÄSTERNORRLANDS LÄN</t>
        </is>
      </c>
      <c r="E5029" t="inlineStr">
        <is>
          <t>SOLLEFTEÅ</t>
        </is>
      </c>
      <c r="G5029" t="n">
        <v>12.9</v>
      </c>
      <c r="H5029" t="n">
        <v>0</v>
      </c>
      <c r="I5029" t="n">
        <v>0</v>
      </c>
      <c r="J5029" t="n">
        <v>0</v>
      </c>
      <c r="K5029" t="n">
        <v>0</v>
      </c>
      <c r="L5029" t="n">
        <v>0</v>
      </c>
      <c r="M5029" t="n">
        <v>0</v>
      </c>
      <c r="N5029" t="n">
        <v>0</v>
      </c>
      <c r="O5029" t="n">
        <v>0</v>
      </c>
      <c r="P5029" t="n">
        <v>0</v>
      </c>
      <c r="Q5029" t="n">
        <v>0</v>
      </c>
      <c r="R5029" s="2" t="inlineStr"/>
    </row>
    <row r="5030" ht="15" customHeight="1">
      <c r="A5030" t="inlineStr">
        <is>
          <t>A 74020-2021</t>
        </is>
      </c>
      <c r="B5030" s="1" t="n">
        <v>44557.43879629629</v>
      </c>
      <c r="C5030" s="1" t="n">
        <v>46093</v>
      </c>
      <c r="D5030" t="inlineStr">
        <is>
          <t>VÄSTERNORRLANDS LÄN</t>
        </is>
      </c>
      <c r="E5030" t="inlineStr">
        <is>
          <t>TIMRÅ</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43503-2025</t>
        </is>
      </c>
      <c r="B5031" s="1" t="n">
        <v>45911.55266203704</v>
      </c>
      <c r="C5031" s="1" t="n">
        <v>46093</v>
      </c>
      <c r="D5031" t="inlineStr">
        <is>
          <t>VÄSTERNORRLANDS LÄN</t>
        </is>
      </c>
      <c r="E5031" t="inlineStr">
        <is>
          <t>SOLLEFTEÅ</t>
        </is>
      </c>
      <c r="F5031" t="inlineStr">
        <is>
          <t>SCA</t>
        </is>
      </c>
      <c r="G5031" t="n">
        <v>2.8</v>
      </c>
      <c r="H5031" t="n">
        <v>0</v>
      </c>
      <c r="I5031" t="n">
        <v>0</v>
      </c>
      <c r="J5031" t="n">
        <v>0</v>
      </c>
      <c r="K5031" t="n">
        <v>0</v>
      </c>
      <c r="L5031" t="n">
        <v>0</v>
      </c>
      <c r="M5031" t="n">
        <v>0</v>
      </c>
      <c r="N5031" t="n">
        <v>0</v>
      </c>
      <c r="O5031" t="n">
        <v>0</v>
      </c>
      <c r="P5031" t="n">
        <v>0</v>
      </c>
      <c r="Q5031" t="n">
        <v>0</v>
      </c>
      <c r="R5031" s="2" t="inlineStr"/>
    </row>
    <row r="5032" ht="15" customHeight="1">
      <c r="A5032" t="inlineStr">
        <is>
          <t>A 43592-2025</t>
        </is>
      </c>
      <c r="B5032" s="1" t="n">
        <v>45911.65704861111</v>
      </c>
      <c r="C5032" s="1" t="n">
        <v>46093</v>
      </c>
      <c r="D5032" t="inlineStr">
        <is>
          <t>VÄSTERNORRLANDS LÄN</t>
        </is>
      </c>
      <c r="E5032" t="inlineStr">
        <is>
          <t>SUNDSVALL</t>
        </is>
      </c>
      <c r="F5032" t="inlineStr">
        <is>
          <t>SCA</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43810-2025</t>
        </is>
      </c>
      <c r="B5033" s="1" t="n">
        <v>45912.58195601852</v>
      </c>
      <c r="C5033" s="1" t="n">
        <v>46093</v>
      </c>
      <c r="D5033" t="inlineStr">
        <is>
          <t>VÄSTERNORRLANDS LÄN</t>
        </is>
      </c>
      <c r="E5033" t="inlineStr">
        <is>
          <t>ÖRNSKÖLDSVIK</t>
        </is>
      </c>
      <c r="F5033" t="inlineStr">
        <is>
          <t>Holmen skog AB</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55872-2022</t>
        </is>
      </c>
      <c r="B5034" s="1" t="n">
        <v>44888.92847222222</v>
      </c>
      <c r="C5034" s="1" t="n">
        <v>46093</v>
      </c>
      <c r="D5034" t="inlineStr">
        <is>
          <t>VÄSTERNORRLANDS LÄN</t>
        </is>
      </c>
      <c r="E5034" t="inlineStr">
        <is>
          <t>TIMRÅ</t>
        </is>
      </c>
      <c r="G5034" t="n">
        <v>4.7</v>
      </c>
      <c r="H5034" t="n">
        <v>0</v>
      </c>
      <c r="I5034" t="n">
        <v>0</v>
      </c>
      <c r="J5034" t="n">
        <v>0</v>
      </c>
      <c r="K5034" t="n">
        <v>0</v>
      </c>
      <c r="L5034" t="n">
        <v>0</v>
      </c>
      <c r="M5034" t="n">
        <v>0</v>
      </c>
      <c r="N5034" t="n">
        <v>0</v>
      </c>
      <c r="O5034" t="n">
        <v>0</v>
      </c>
      <c r="P5034" t="n">
        <v>0</v>
      </c>
      <c r="Q5034" t="n">
        <v>0</v>
      </c>
      <c r="R5034" s="2" t="inlineStr"/>
    </row>
    <row r="5035" ht="15" customHeight="1">
      <c r="A5035" t="inlineStr">
        <is>
          <t>A 55882-2022</t>
        </is>
      </c>
      <c r="B5035" s="1" t="n">
        <v>44888</v>
      </c>
      <c r="C5035" s="1" t="n">
        <v>46093</v>
      </c>
      <c r="D5035" t="inlineStr">
        <is>
          <t>VÄSTERNORRLANDS LÄN</t>
        </is>
      </c>
      <c r="E5035" t="inlineStr">
        <is>
          <t>ÅNGE</t>
        </is>
      </c>
      <c r="G5035" t="n">
        <v>2.7</v>
      </c>
      <c r="H5035" t="n">
        <v>0</v>
      </c>
      <c r="I5035" t="n">
        <v>0</v>
      </c>
      <c r="J5035" t="n">
        <v>0</v>
      </c>
      <c r="K5035" t="n">
        <v>0</v>
      </c>
      <c r="L5035" t="n">
        <v>0</v>
      </c>
      <c r="M5035" t="n">
        <v>0</v>
      </c>
      <c r="N5035" t="n">
        <v>0</v>
      </c>
      <c r="O5035" t="n">
        <v>0</v>
      </c>
      <c r="P5035" t="n">
        <v>0</v>
      </c>
      <c r="Q5035" t="n">
        <v>0</v>
      </c>
      <c r="R5035" s="2" t="inlineStr"/>
    </row>
    <row r="5036" ht="15" customHeight="1">
      <c r="A5036" t="inlineStr">
        <is>
          <t>A 43386-2025</t>
        </is>
      </c>
      <c r="B5036" s="1" t="n">
        <v>45911.36520833334</v>
      </c>
      <c r="C5036" s="1" t="n">
        <v>46093</v>
      </c>
      <c r="D5036" t="inlineStr">
        <is>
          <t>VÄSTERNORRLANDS LÄN</t>
        </is>
      </c>
      <c r="E5036" t="inlineStr">
        <is>
          <t>ÅNGE</t>
        </is>
      </c>
      <c r="F5036" t="inlineStr">
        <is>
          <t>SCA</t>
        </is>
      </c>
      <c r="G5036" t="n">
        <v>2.7</v>
      </c>
      <c r="H5036" t="n">
        <v>0</v>
      </c>
      <c r="I5036" t="n">
        <v>0</v>
      </c>
      <c r="J5036" t="n">
        <v>0</v>
      </c>
      <c r="K5036" t="n">
        <v>0</v>
      </c>
      <c r="L5036" t="n">
        <v>0</v>
      </c>
      <c r="M5036" t="n">
        <v>0</v>
      </c>
      <c r="N5036" t="n">
        <v>0</v>
      </c>
      <c r="O5036" t="n">
        <v>0</v>
      </c>
      <c r="P5036" t="n">
        <v>0</v>
      </c>
      <c r="Q5036" t="n">
        <v>0</v>
      </c>
      <c r="R5036" s="2" t="inlineStr"/>
    </row>
    <row r="5037" ht="15" customHeight="1">
      <c r="A5037" t="inlineStr">
        <is>
          <t>A 32644-2024</t>
        </is>
      </c>
      <c r="B5037" s="1" t="n">
        <v>45513</v>
      </c>
      <c r="C5037" s="1" t="n">
        <v>46093</v>
      </c>
      <c r="D5037" t="inlineStr">
        <is>
          <t>VÄSTERNORRLANDS LÄN</t>
        </is>
      </c>
      <c r="E5037" t="inlineStr">
        <is>
          <t>HÄRNÖSAND</t>
        </is>
      </c>
      <c r="F5037" t="inlineStr">
        <is>
          <t>SCA</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24813-2022</t>
        </is>
      </c>
      <c r="B5038" s="1" t="n">
        <v>44728</v>
      </c>
      <c r="C5038" s="1" t="n">
        <v>46093</v>
      </c>
      <c r="D5038" t="inlineStr">
        <is>
          <t>VÄSTERNORRLANDS LÄN</t>
        </is>
      </c>
      <c r="E5038" t="inlineStr">
        <is>
          <t>HÄRNÖSAND</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41925-2024</t>
        </is>
      </c>
      <c r="B5039" s="1" t="n">
        <v>45561</v>
      </c>
      <c r="C5039" s="1" t="n">
        <v>46093</v>
      </c>
      <c r="D5039" t="inlineStr">
        <is>
          <t>VÄSTERNORRLANDS LÄN</t>
        </is>
      </c>
      <c r="E5039" t="inlineStr">
        <is>
          <t>SOLLEFTEÅ</t>
        </is>
      </c>
      <c r="G5039" t="n">
        <v>6.6</v>
      </c>
      <c r="H5039" t="n">
        <v>0</v>
      </c>
      <c r="I5039" t="n">
        <v>0</v>
      </c>
      <c r="J5039" t="n">
        <v>0</v>
      </c>
      <c r="K5039" t="n">
        <v>0</v>
      </c>
      <c r="L5039" t="n">
        <v>0</v>
      </c>
      <c r="M5039" t="n">
        <v>0</v>
      </c>
      <c r="N5039" t="n">
        <v>0</v>
      </c>
      <c r="O5039" t="n">
        <v>0</v>
      </c>
      <c r="P5039" t="n">
        <v>0</v>
      </c>
      <c r="Q5039" t="n">
        <v>0</v>
      </c>
      <c r="R5039" s="2" t="inlineStr"/>
    </row>
    <row r="5040" ht="15" customHeight="1">
      <c r="A5040" t="inlineStr">
        <is>
          <t>A 11033-2025</t>
        </is>
      </c>
      <c r="B5040" s="1" t="n">
        <v>45723</v>
      </c>
      <c r="C5040" s="1" t="n">
        <v>46093</v>
      </c>
      <c r="D5040" t="inlineStr">
        <is>
          <t>VÄSTERNORRLANDS LÄN</t>
        </is>
      </c>
      <c r="E5040" t="inlineStr">
        <is>
          <t>ÖRNSKÖLDSVIK</t>
        </is>
      </c>
      <c r="G5040" t="n">
        <v>2.6</v>
      </c>
      <c r="H5040" t="n">
        <v>0</v>
      </c>
      <c r="I5040" t="n">
        <v>0</v>
      </c>
      <c r="J5040" t="n">
        <v>0</v>
      </c>
      <c r="K5040" t="n">
        <v>0</v>
      </c>
      <c r="L5040" t="n">
        <v>0</v>
      </c>
      <c r="M5040" t="n">
        <v>0</v>
      </c>
      <c r="N5040" t="n">
        <v>0</v>
      </c>
      <c r="O5040" t="n">
        <v>0</v>
      </c>
      <c r="P5040" t="n">
        <v>0</v>
      </c>
      <c r="Q5040" t="n">
        <v>0</v>
      </c>
      <c r="R5040" s="2" t="inlineStr"/>
    </row>
    <row r="5041" ht="15" customHeight="1">
      <c r="A5041" t="inlineStr">
        <is>
          <t>A 43744-2025</t>
        </is>
      </c>
      <c r="B5041" s="1" t="n">
        <v>45912.45766203704</v>
      </c>
      <c r="C5041" s="1" t="n">
        <v>46093</v>
      </c>
      <c r="D5041" t="inlineStr">
        <is>
          <t>VÄSTERNORRLANDS LÄN</t>
        </is>
      </c>
      <c r="E5041" t="inlineStr">
        <is>
          <t>ÖRNSKÖLDSVIK</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16166-2025</t>
        </is>
      </c>
      <c r="B5042" s="1" t="n">
        <v>45750.50871527778</v>
      </c>
      <c r="C5042" s="1" t="n">
        <v>46093</v>
      </c>
      <c r="D5042" t="inlineStr">
        <is>
          <t>VÄSTERNORRLANDS LÄN</t>
        </is>
      </c>
      <c r="E5042" t="inlineStr">
        <is>
          <t>KRAMFORS</t>
        </is>
      </c>
      <c r="G5042" t="n">
        <v>5.6</v>
      </c>
      <c r="H5042" t="n">
        <v>0</v>
      </c>
      <c r="I5042" t="n">
        <v>0</v>
      </c>
      <c r="J5042" t="n">
        <v>0</v>
      </c>
      <c r="K5042" t="n">
        <v>0</v>
      </c>
      <c r="L5042" t="n">
        <v>0</v>
      </c>
      <c r="M5042" t="n">
        <v>0</v>
      </c>
      <c r="N5042" t="n">
        <v>0</v>
      </c>
      <c r="O5042" t="n">
        <v>0</v>
      </c>
      <c r="P5042" t="n">
        <v>0</v>
      </c>
      <c r="Q5042" t="n">
        <v>0</v>
      </c>
      <c r="R5042" s="2" t="inlineStr"/>
    </row>
    <row r="5043" ht="15" customHeight="1">
      <c r="A5043" t="inlineStr">
        <is>
          <t>A 16167-2025</t>
        </is>
      </c>
      <c r="B5043" s="1" t="n">
        <v>45750.51447916667</v>
      </c>
      <c r="C5043" s="1" t="n">
        <v>46093</v>
      </c>
      <c r="D5043" t="inlineStr">
        <is>
          <t>VÄSTERNORRLANDS LÄN</t>
        </is>
      </c>
      <c r="E5043" t="inlineStr">
        <is>
          <t>KRAMFORS</t>
        </is>
      </c>
      <c r="G5043" t="n">
        <v>4</v>
      </c>
      <c r="H5043" t="n">
        <v>0</v>
      </c>
      <c r="I5043" t="n">
        <v>0</v>
      </c>
      <c r="J5043" t="n">
        <v>0</v>
      </c>
      <c r="K5043" t="n">
        <v>0</v>
      </c>
      <c r="L5043" t="n">
        <v>0</v>
      </c>
      <c r="M5043" t="n">
        <v>0</v>
      </c>
      <c r="N5043" t="n">
        <v>0</v>
      </c>
      <c r="O5043" t="n">
        <v>0</v>
      </c>
      <c r="P5043" t="n">
        <v>0</v>
      </c>
      <c r="Q5043" t="n">
        <v>0</v>
      </c>
      <c r="R5043" s="2" t="inlineStr"/>
    </row>
    <row r="5044" ht="15" customHeight="1">
      <c r="A5044" t="inlineStr">
        <is>
          <t>A 154-2025</t>
        </is>
      </c>
      <c r="B5044" s="1" t="n">
        <v>45659</v>
      </c>
      <c r="C5044" s="1" t="n">
        <v>46093</v>
      </c>
      <c r="D5044" t="inlineStr">
        <is>
          <t>VÄSTERNORRLANDS LÄN</t>
        </is>
      </c>
      <c r="E5044" t="inlineStr">
        <is>
          <t>SOLLEFTEÅ</t>
        </is>
      </c>
      <c r="F5044" t="inlineStr">
        <is>
          <t>Holmen skog AB</t>
        </is>
      </c>
      <c r="G5044" t="n">
        <v>4.5</v>
      </c>
      <c r="H5044" t="n">
        <v>0</v>
      </c>
      <c r="I5044" t="n">
        <v>0</v>
      </c>
      <c r="J5044" t="n">
        <v>0</v>
      </c>
      <c r="K5044" t="n">
        <v>0</v>
      </c>
      <c r="L5044" t="n">
        <v>0</v>
      </c>
      <c r="M5044" t="n">
        <v>0</v>
      </c>
      <c r="N5044" t="n">
        <v>0</v>
      </c>
      <c r="O5044" t="n">
        <v>0</v>
      </c>
      <c r="P5044" t="n">
        <v>0</v>
      </c>
      <c r="Q5044" t="n">
        <v>0</v>
      </c>
      <c r="R5044" s="2" t="inlineStr"/>
    </row>
    <row r="5045" ht="15" customHeight="1">
      <c r="A5045" t="inlineStr">
        <is>
          <t>A 44295-2025</t>
        </is>
      </c>
      <c r="B5045" s="1" t="n">
        <v>45916.36495370371</v>
      </c>
      <c r="C5045" s="1" t="n">
        <v>46093</v>
      </c>
      <c r="D5045" t="inlineStr">
        <is>
          <t>VÄSTERNORRLANDS LÄN</t>
        </is>
      </c>
      <c r="E5045" t="inlineStr">
        <is>
          <t>SOLLEFTEÅ</t>
        </is>
      </c>
      <c r="F5045" t="inlineStr">
        <is>
          <t>SCA</t>
        </is>
      </c>
      <c r="G5045" t="n">
        <v>4.7</v>
      </c>
      <c r="H5045" t="n">
        <v>0</v>
      </c>
      <c r="I5045" t="n">
        <v>0</v>
      </c>
      <c r="J5045" t="n">
        <v>0</v>
      </c>
      <c r="K5045" t="n">
        <v>0</v>
      </c>
      <c r="L5045" t="n">
        <v>0</v>
      </c>
      <c r="M5045" t="n">
        <v>0</v>
      </c>
      <c r="N5045" t="n">
        <v>0</v>
      </c>
      <c r="O5045" t="n">
        <v>0</v>
      </c>
      <c r="P5045" t="n">
        <v>0</v>
      </c>
      <c r="Q5045" t="n">
        <v>0</v>
      </c>
      <c r="R5045" s="2" t="inlineStr"/>
    </row>
    <row r="5046" ht="15" customHeight="1">
      <c r="A5046" t="inlineStr">
        <is>
          <t>A 8747-2022</t>
        </is>
      </c>
      <c r="B5046" s="1" t="n">
        <v>44614.33912037037</v>
      </c>
      <c r="C5046" s="1" t="n">
        <v>46093</v>
      </c>
      <c r="D5046" t="inlineStr">
        <is>
          <t>VÄSTERNORRLANDS LÄN</t>
        </is>
      </c>
      <c r="E5046" t="inlineStr">
        <is>
          <t>ÅNGE</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32201-2023</t>
        </is>
      </c>
      <c r="B5047" s="1" t="n">
        <v>45119</v>
      </c>
      <c r="C5047" s="1" t="n">
        <v>46093</v>
      </c>
      <c r="D5047" t="inlineStr">
        <is>
          <t>VÄSTERNORRLANDS LÄN</t>
        </is>
      </c>
      <c r="E5047" t="inlineStr">
        <is>
          <t>SUNDSVALL</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33233-2023</t>
        </is>
      </c>
      <c r="B5048" s="1" t="n">
        <v>45114</v>
      </c>
      <c r="C5048" s="1" t="n">
        <v>46093</v>
      </c>
      <c r="D5048" t="inlineStr">
        <is>
          <t>VÄSTERNORRLANDS LÄN</t>
        </is>
      </c>
      <c r="E5048" t="inlineStr">
        <is>
          <t>ÖRNSKÖLDSVIK</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44297-2025</t>
        </is>
      </c>
      <c r="B5049" s="1" t="n">
        <v>45916.36524305555</v>
      </c>
      <c r="C5049" s="1" t="n">
        <v>46093</v>
      </c>
      <c r="D5049" t="inlineStr">
        <is>
          <t>VÄSTERNORRLANDS LÄN</t>
        </is>
      </c>
      <c r="E5049" t="inlineStr">
        <is>
          <t>SUNDSVALL</t>
        </is>
      </c>
      <c r="F5049" t="inlineStr">
        <is>
          <t>Naturvårdsverket</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44314-2025</t>
        </is>
      </c>
      <c r="B5050" s="1" t="n">
        <v>45915</v>
      </c>
      <c r="C5050" s="1" t="n">
        <v>46093</v>
      </c>
      <c r="D5050" t="inlineStr">
        <is>
          <t>VÄSTERNORRLANDS LÄN</t>
        </is>
      </c>
      <c r="E5050" t="inlineStr">
        <is>
          <t>ÖRNSKÖLDSVIK</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44327-2025</t>
        </is>
      </c>
      <c r="B5051" s="1" t="n">
        <v>45916.40755787037</v>
      </c>
      <c r="C5051" s="1" t="n">
        <v>46093</v>
      </c>
      <c r="D5051" t="inlineStr">
        <is>
          <t>VÄSTERNORRLANDS LÄN</t>
        </is>
      </c>
      <c r="E5051" t="inlineStr">
        <is>
          <t>SOLLEFTEÅ</t>
        </is>
      </c>
      <c r="F5051" t="inlineStr">
        <is>
          <t>SCA</t>
        </is>
      </c>
      <c r="G5051" t="n">
        <v>3.5</v>
      </c>
      <c r="H5051" t="n">
        <v>0</v>
      </c>
      <c r="I5051" t="n">
        <v>0</v>
      </c>
      <c r="J5051" t="n">
        <v>0</v>
      </c>
      <c r="K5051" t="n">
        <v>0</v>
      </c>
      <c r="L5051" t="n">
        <v>0</v>
      </c>
      <c r="M5051" t="n">
        <v>0</v>
      </c>
      <c r="N5051" t="n">
        <v>0</v>
      </c>
      <c r="O5051" t="n">
        <v>0</v>
      </c>
      <c r="P5051" t="n">
        <v>0</v>
      </c>
      <c r="Q5051" t="n">
        <v>0</v>
      </c>
      <c r="R5051" s="2" t="inlineStr"/>
    </row>
    <row r="5052" ht="15" customHeight="1">
      <c r="A5052" t="inlineStr">
        <is>
          <t>A 1114-2025</t>
        </is>
      </c>
      <c r="B5052" s="1" t="n">
        <v>45666.65664351852</v>
      </c>
      <c r="C5052" s="1" t="n">
        <v>46093</v>
      </c>
      <c r="D5052" t="inlineStr">
        <is>
          <t>VÄSTERNORRLANDS LÄN</t>
        </is>
      </c>
      <c r="E5052" t="inlineStr">
        <is>
          <t>SOLLEFTEÅ</t>
        </is>
      </c>
      <c r="F5052" t="inlineStr">
        <is>
          <t>SCA</t>
        </is>
      </c>
      <c r="G5052" t="n">
        <v>3.2</v>
      </c>
      <c r="H5052" t="n">
        <v>0</v>
      </c>
      <c r="I5052" t="n">
        <v>0</v>
      </c>
      <c r="J5052" t="n">
        <v>0</v>
      </c>
      <c r="K5052" t="n">
        <v>0</v>
      </c>
      <c r="L5052" t="n">
        <v>0</v>
      </c>
      <c r="M5052" t="n">
        <v>0</v>
      </c>
      <c r="N5052" t="n">
        <v>0</v>
      </c>
      <c r="O5052" t="n">
        <v>0</v>
      </c>
      <c r="P5052" t="n">
        <v>0</v>
      </c>
      <c r="Q5052" t="n">
        <v>0</v>
      </c>
      <c r="R5052" s="2" t="inlineStr"/>
    </row>
    <row r="5053" ht="15" customHeight="1">
      <c r="A5053" t="inlineStr">
        <is>
          <t>A 44054-2025</t>
        </is>
      </c>
      <c r="B5053" s="1" t="n">
        <v>45915.51605324074</v>
      </c>
      <c r="C5053" s="1" t="n">
        <v>46093</v>
      </c>
      <c r="D5053" t="inlineStr">
        <is>
          <t>VÄSTERNORRLANDS LÄN</t>
        </is>
      </c>
      <c r="E5053" t="inlineStr">
        <is>
          <t>SUNDSVALL</t>
        </is>
      </c>
      <c r="G5053" t="n">
        <v>4.3</v>
      </c>
      <c r="H5053" t="n">
        <v>0</v>
      </c>
      <c r="I5053" t="n">
        <v>0</v>
      </c>
      <c r="J5053" t="n">
        <v>0</v>
      </c>
      <c r="K5053" t="n">
        <v>0</v>
      </c>
      <c r="L5053" t="n">
        <v>0</v>
      </c>
      <c r="M5053" t="n">
        <v>0</v>
      </c>
      <c r="N5053" t="n">
        <v>0</v>
      </c>
      <c r="O5053" t="n">
        <v>0</v>
      </c>
      <c r="P5053" t="n">
        <v>0</v>
      </c>
      <c r="Q5053" t="n">
        <v>0</v>
      </c>
      <c r="R5053" s="2" t="inlineStr"/>
    </row>
    <row r="5054" ht="15" customHeight="1">
      <c r="A5054" t="inlineStr">
        <is>
          <t>A 14298-2025</t>
        </is>
      </c>
      <c r="B5054" s="1" t="n">
        <v>45740.68361111111</v>
      </c>
      <c r="C5054" s="1" t="n">
        <v>46093</v>
      </c>
      <c r="D5054" t="inlineStr">
        <is>
          <t>VÄSTERNORRLANDS LÄN</t>
        </is>
      </c>
      <c r="E5054" t="inlineStr">
        <is>
          <t>ÖRNSKÖLDSVIK</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14926-2025</t>
        </is>
      </c>
      <c r="B5055" s="1" t="n">
        <v>45743.55283564814</v>
      </c>
      <c r="C5055" s="1" t="n">
        <v>46093</v>
      </c>
      <c r="D5055" t="inlineStr">
        <is>
          <t>VÄSTERNORRLANDS LÄN</t>
        </is>
      </c>
      <c r="E5055" t="inlineStr">
        <is>
          <t>TIMRÅ</t>
        </is>
      </c>
      <c r="F5055" t="inlineStr">
        <is>
          <t>SCA</t>
        </is>
      </c>
      <c r="G5055" t="n">
        <v>3</v>
      </c>
      <c r="H5055" t="n">
        <v>0</v>
      </c>
      <c r="I5055" t="n">
        <v>0</v>
      </c>
      <c r="J5055" t="n">
        <v>0</v>
      </c>
      <c r="K5055" t="n">
        <v>0</v>
      </c>
      <c r="L5055" t="n">
        <v>0</v>
      </c>
      <c r="M5055" t="n">
        <v>0</v>
      </c>
      <c r="N5055" t="n">
        <v>0</v>
      </c>
      <c r="O5055" t="n">
        <v>0</v>
      </c>
      <c r="P5055" t="n">
        <v>0</v>
      </c>
      <c r="Q5055" t="n">
        <v>0</v>
      </c>
      <c r="R5055" s="2" t="inlineStr"/>
    </row>
    <row r="5056" ht="15" customHeight="1">
      <c r="A5056" t="inlineStr">
        <is>
          <t>A 16300-2025</t>
        </is>
      </c>
      <c r="B5056" s="1" t="n">
        <v>45751.34586805556</v>
      </c>
      <c r="C5056" s="1" t="n">
        <v>46093</v>
      </c>
      <c r="D5056" t="inlineStr">
        <is>
          <t>VÄSTERNORRLANDS LÄN</t>
        </is>
      </c>
      <c r="E5056" t="inlineStr">
        <is>
          <t>ÖRNSKÖLDSVIK</t>
        </is>
      </c>
      <c r="F5056" t="inlineStr">
        <is>
          <t>SCA</t>
        </is>
      </c>
      <c r="G5056" t="n">
        <v>34.4</v>
      </c>
      <c r="H5056" t="n">
        <v>0</v>
      </c>
      <c r="I5056" t="n">
        <v>0</v>
      </c>
      <c r="J5056" t="n">
        <v>0</v>
      </c>
      <c r="K5056" t="n">
        <v>0</v>
      </c>
      <c r="L5056" t="n">
        <v>0</v>
      </c>
      <c r="M5056" t="n">
        <v>0</v>
      </c>
      <c r="N5056" t="n">
        <v>0</v>
      </c>
      <c r="O5056" t="n">
        <v>0</v>
      </c>
      <c r="P5056" t="n">
        <v>0</v>
      </c>
      <c r="Q5056" t="n">
        <v>0</v>
      </c>
      <c r="R5056" s="2" t="inlineStr"/>
    </row>
    <row r="5057" ht="15" customHeight="1">
      <c r="A5057" t="inlineStr">
        <is>
          <t>A 51054-2024</t>
        </is>
      </c>
      <c r="B5057" s="1" t="n">
        <v>45603</v>
      </c>
      <c r="C5057" s="1" t="n">
        <v>46093</v>
      </c>
      <c r="D5057" t="inlineStr">
        <is>
          <t>VÄSTERNORRLANDS LÄN</t>
        </is>
      </c>
      <c r="E5057" t="inlineStr">
        <is>
          <t>ÅNGE</t>
        </is>
      </c>
      <c r="F5057" t="inlineStr">
        <is>
          <t>SCA</t>
        </is>
      </c>
      <c r="G5057" t="n">
        <v>4</v>
      </c>
      <c r="H5057" t="n">
        <v>0</v>
      </c>
      <c r="I5057" t="n">
        <v>0</v>
      </c>
      <c r="J5057" t="n">
        <v>0</v>
      </c>
      <c r="K5057" t="n">
        <v>0</v>
      </c>
      <c r="L5057" t="n">
        <v>0</v>
      </c>
      <c r="M5057" t="n">
        <v>0</v>
      </c>
      <c r="N5057" t="n">
        <v>0</v>
      </c>
      <c r="O5057" t="n">
        <v>0</v>
      </c>
      <c r="P5057" t="n">
        <v>0</v>
      </c>
      <c r="Q5057" t="n">
        <v>0</v>
      </c>
      <c r="R5057" s="2" t="inlineStr"/>
    </row>
    <row r="5058" ht="15" customHeight="1">
      <c r="A5058" t="inlineStr">
        <is>
          <t>A 43980-2025</t>
        </is>
      </c>
      <c r="B5058" s="1" t="n">
        <v>45915.4221412037</v>
      </c>
      <c r="C5058" s="1" t="n">
        <v>46093</v>
      </c>
      <c r="D5058" t="inlineStr">
        <is>
          <t>VÄSTERNORRLANDS LÄN</t>
        </is>
      </c>
      <c r="E5058" t="inlineStr">
        <is>
          <t>SOLLEFTEÅ</t>
        </is>
      </c>
      <c r="G5058" t="n">
        <v>3.9</v>
      </c>
      <c r="H5058" t="n">
        <v>0</v>
      </c>
      <c r="I5058" t="n">
        <v>0</v>
      </c>
      <c r="J5058" t="n">
        <v>0</v>
      </c>
      <c r="K5058" t="n">
        <v>0</v>
      </c>
      <c r="L5058" t="n">
        <v>0</v>
      </c>
      <c r="M5058" t="n">
        <v>0</v>
      </c>
      <c r="N5058" t="n">
        <v>0</v>
      </c>
      <c r="O5058" t="n">
        <v>0</v>
      </c>
      <c r="P5058" t="n">
        <v>0</v>
      </c>
      <c r="Q5058" t="n">
        <v>0</v>
      </c>
      <c r="R5058" s="2" t="inlineStr"/>
    </row>
    <row r="5059" ht="15" customHeight="1">
      <c r="A5059" t="inlineStr">
        <is>
          <t>A 44011-2025</t>
        </is>
      </c>
      <c r="B5059" s="1" t="n">
        <v>45915.46614583334</v>
      </c>
      <c r="C5059" s="1" t="n">
        <v>46093</v>
      </c>
      <c r="D5059" t="inlineStr">
        <is>
          <t>VÄSTERNORRLANDS LÄN</t>
        </is>
      </c>
      <c r="E5059" t="inlineStr">
        <is>
          <t>TIMRÅ</t>
        </is>
      </c>
      <c r="G5059" t="n">
        <v>2.9</v>
      </c>
      <c r="H5059" t="n">
        <v>0</v>
      </c>
      <c r="I5059" t="n">
        <v>0</v>
      </c>
      <c r="J5059" t="n">
        <v>0</v>
      </c>
      <c r="K5059" t="n">
        <v>0</v>
      </c>
      <c r="L5059" t="n">
        <v>0</v>
      </c>
      <c r="M5059" t="n">
        <v>0</v>
      </c>
      <c r="N5059" t="n">
        <v>0</v>
      </c>
      <c r="O5059" t="n">
        <v>0</v>
      </c>
      <c r="P5059" t="n">
        <v>0</v>
      </c>
      <c r="Q5059" t="n">
        <v>0</v>
      </c>
      <c r="R5059" s="2" t="inlineStr"/>
    </row>
    <row r="5060" ht="15" customHeight="1">
      <c r="A5060" t="inlineStr">
        <is>
          <t>A 46519-2023</t>
        </is>
      </c>
      <c r="B5060" s="1" t="n">
        <v>45197</v>
      </c>
      <c r="C5060" s="1" t="n">
        <v>46093</v>
      </c>
      <c r="D5060" t="inlineStr">
        <is>
          <t>VÄSTERNORRLANDS LÄN</t>
        </is>
      </c>
      <c r="E5060" t="inlineStr">
        <is>
          <t>ÖRNSKÖLDSVIK</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43100-2023</t>
        </is>
      </c>
      <c r="B5061" s="1" t="n">
        <v>45182</v>
      </c>
      <c r="C5061" s="1" t="n">
        <v>46093</v>
      </c>
      <c r="D5061" t="inlineStr">
        <is>
          <t>VÄSTERNORRLANDS LÄN</t>
        </is>
      </c>
      <c r="E5061" t="inlineStr">
        <is>
          <t>ÖRNSKÖLDSVIK</t>
        </is>
      </c>
      <c r="G5061" t="n">
        <v>12.9</v>
      </c>
      <c r="H5061" t="n">
        <v>0</v>
      </c>
      <c r="I5061" t="n">
        <v>0</v>
      </c>
      <c r="J5061" t="n">
        <v>0</v>
      </c>
      <c r="K5061" t="n">
        <v>0</v>
      </c>
      <c r="L5061" t="n">
        <v>0</v>
      </c>
      <c r="M5061" t="n">
        <v>0</v>
      </c>
      <c r="N5061" t="n">
        <v>0</v>
      </c>
      <c r="O5061" t="n">
        <v>0</v>
      </c>
      <c r="P5061" t="n">
        <v>0</v>
      </c>
      <c r="Q5061" t="n">
        <v>0</v>
      </c>
      <c r="R5061" s="2" t="inlineStr"/>
    </row>
    <row r="5062" ht="15" customHeight="1">
      <c r="A5062" t="inlineStr">
        <is>
          <t>A 36237-2025</t>
        </is>
      </c>
      <c r="B5062" s="1" t="n">
        <v>45867.55263888889</v>
      </c>
      <c r="C5062" s="1" t="n">
        <v>46093</v>
      </c>
      <c r="D5062" t="inlineStr">
        <is>
          <t>VÄSTERNORRLANDS LÄN</t>
        </is>
      </c>
      <c r="E5062" t="inlineStr">
        <is>
          <t>ÅNGE</t>
        </is>
      </c>
      <c r="F5062" t="inlineStr">
        <is>
          <t>SCA</t>
        </is>
      </c>
      <c r="G5062" t="n">
        <v>4.8</v>
      </c>
      <c r="H5062" t="n">
        <v>0</v>
      </c>
      <c r="I5062" t="n">
        <v>0</v>
      </c>
      <c r="J5062" t="n">
        <v>0</v>
      </c>
      <c r="K5062" t="n">
        <v>0</v>
      </c>
      <c r="L5062" t="n">
        <v>0</v>
      </c>
      <c r="M5062" t="n">
        <v>0</v>
      </c>
      <c r="N5062" t="n">
        <v>0</v>
      </c>
      <c r="O5062" t="n">
        <v>0</v>
      </c>
      <c r="P5062" t="n">
        <v>0</v>
      </c>
      <c r="Q5062" t="n">
        <v>0</v>
      </c>
      <c r="R5062" s="2" t="inlineStr"/>
    </row>
    <row r="5063" ht="15" customHeight="1">
      <c r="A5063" t="inlineStr">
        <is>
          <t>A 30069-2024</t>
        </is>
      </c>
      <c r="B5063" s="1" t="n">
        <v>45488.9489699074</v>
      </c>
      <c r="C5063" s="1" t="n">
        <v>46093</v>
      </c>
      <c r="D5063" t="inlineStr">
        <is>
          <t>VÄSTERNORRLANDS LÄN</t>
        </is>
      </c>
      <c r="E5063" t="inlineStr">
        <is>
          <t>SOLLEFTEÅ</t>
        </is>
      </c>
      <c r="F5063" t="inlineStr">
        <is>
          <t>SCA</t>
        </is>
      </c>
      <c r="G5063" t="n">
        <v>7.2</v>
      </c>
      <c r="H5063" t="n">
        <v>0</v>
      </c>
      <c r="I5063" t="n">
        <v>0</v>
      </c>
      <c r="J5063" t="n">
        <v>0</v>
      </c>
      <c r="K5063" t="n">
        <v>0</v>
      </c>
      <c r="L5063" t="n">
        <v>0</v>
      </c>
      <c r="M5063" t="n">
        <v>0</v>
      </c>
      <c r="N5063" t="n">
        <v>0</v>
      </c>
      <c r="O5063" t="n">
        <v>0</v>
      </c>
      <c r="P5063" t="n">
        <v>0</v>
      </c>
      <c r="Q5063" t="n">
        <v>0</v>
      </c>
      <c r="R5063" s="2" t="inlineStr"/>
    </row>
    <row r="5064" ht="15" customHeight="1">
      <c r="A5064" t="inlineStr">
        <is>
          <t>A 43129-2023</t>
        </is>
      </c>
      <c r="B5064" s="1" t="n">
        <v>45182</v>
      </c>
      <c r="C5064" s="1" t="n">
        <v>46093</v>
      </c>
      <c r="D5064" t="inlineStr">
        <is>
          <t>VÄSTERNORRLANDS LÄN</t>
        </is>
      </c>
      <c r="E5064" t="inlineStr">
        <is>
          <t>TIMRÅ</t>
        </is>
      </c>
      <c r="F5064" t="inlineStr">
        <is>
          <t>SCA</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17778-2022</t>
        </is>
      </c>
      <c r="B5065" s="1" t="n">
        <v>44682</v>
      </c>
      <c r="C5065" s="1" t="n">
        <v>46093</v>
      </c>
      <c r="D5065" t="inlineStr">
        <is>
          <t>VÄSTERNORRLANDS LÄN</t>
        </is>
      </c>
      <c r="E5065" t="inlineStr">
        <is>
          <t>ÖRNSKÖLDSVIK</t>
        </is>
      </c>
      <c r="G5065" t="n">
        <v>15.6</v>
      </c>
      <c r="H5065" t="n">
        <v>0</v>
      </c>
      <c r="I5065" t="n">
        <v>0</v>
      </c>
      <c r="J5065" t="n">
        <v>0</v>
      </c>
      <c r="K5065" t="n">
        <v>0</v>
      </c>
      <c r="L5065" t="n">
        <v>0</v>
      </c>
      <c r="M5065" t="n">
        <v>0</v>
      </c>
      <c r="N5065" t="n">
        <v>0</v>
      </c>
      <c r="O5065" t="n">
        <v>0</v>
      </c>
      <c r="P5065" t="n">
        <v>0</v>
      </c>
      <c r="Q5065" t="n">
        <v>0</v>
      </c>
      <c r="R5065" s="2" t="inlineStr"/>
    </row>
    <row r="5066" ht="15" customHeight="1">
      <c r="A5066" t="inlineStr">
        <is>
          <t>A 14888-2022</t>
        </is>
      </c>
      <c r="B5066" s="1" t="n">
        <v>44656</v>
      </c>
      <c r="C5066" s="1" t="n">
        <v>46093</v>
      </c>
      <c r="D5066" t="inlineStr">
        <is>
          <t>VÄSTERNORRLANDS LÄN</t>
        </is>
      </c>
      <c r="E5066" t="inlineStr">
        <is>
          <t>ÅNGE</t>
        </is>
      </c>
      <c r="G5066" t="n">
        <v>6.2</v>
      </c>
      <c r="H5066" t="n">
        <v>0</v>
      </c>
      <c r="I5066" t="n">
        <v>0</v>
      </c>
      <c r="J5066" t="n">
        <v>0</v>
      </c>
      <c r="K5066" t="n">
        <v>0</v>
      </c>
      <c r="L5066" t="n">
        <v>0</v>
      </c>
      <c r="M5066" t="n">
        <v>0</v>
      </c>
      <c r="N5066" t="n">
        <v>0</v>
      </c>
      <c r="O5066" t="n">
        <v>0</v>
      </c>
      <c r="P5066" t="n">
        <v>0</v>
      </c>
      <c r="Q5066" t="n">
        <v>0</v>
      </c>
      <c r="R5066" s="2" t="inlineStr"/>
    </row>
    <row r="5067" ht="15" customHeight="1">
      <c r="A5067" t="inlineStr">
        <is>
          <t>A 53855-2024</t>
        </is>
      </c>
      <c r="B5067" s="1" t="n">
        <v>45615.63724537037</v>
      </c>
      <c r="C5067" s="1" t="n">
        <v>46093</v>
      </c>
      <c r="D5067" t="inlineStr">
        <is>
          <t>VÄSTERNORRLANDS LÄN</t>
        </is>
      </c>
      <c r="E5067" t="inlineStr">
        <is>
          <t>SOLLEFTEÅ</t>
        </is>
      </c>
      <c r="F5067" t="inlineStr">
        <is>
          <t>SCA</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59163-2024</t>
        </is>
      </c>
      <c r="B5068" s="1" t="n">
        <v>45637.47483796296</v>
      </c>
      <c r="C5068" s="1" t="n">
        <v>46093</v>
      </c>
      <c r="D5068" t="inlineStr">
        <is>
          <t>VÄSTERNORRLANDS LÄN</t>
        </is>
      </c>
      <c r="E5068" t="inlineStr">
        <is>
          <t>ÖRNSKÖLDSVIK</t>
        </is>
      </c>
      <c r="G5068" t="n">
        <v>3.9</v>
      </c>
      <c r="H5068" t="n">
        <v>0</v>
      </c>
      <c r="I5068" t="n">
        <v>0</v>
      </c>
      <c r="J5068" t="n">
        <v>0</v>
      </c>
      <c r="K5068" t="n">
        <v>0</v>
      </c>
      <c r="L5068" t="n">
        <v>0</v>
      </c>
      <c r="M5068" t="n">
        <v>0</v>
      </c>
      <c r="N5068" t="n">
        <v>0</v>
      </c>
      <c r="O5068" t="n">
        <v>0</v>
      </c>
      <c r="P5068" t="n">
        <v>0</v>
      </c>
      <c r="Q5068" t="n">
        <v>0</v>
      </c>
      <c r="R5068" s="2" t="inlineStr"/>
    </row>
    <row r="5069" ht="15" customHeight="1">
      <c r="A5069" t="inlineStr">
        <is>
          <t>A 33642-2023</t>
        </is>
      </c>
      <c r="B5069" s="1" t="n">
        <v>45119</v>
      </c>
      <c r="C5069" s="1" t="n">
        <v>46093</v>
      </c>
      <c r="D5069" t="inlineStr">
        <is>
          <t>VÄSTERNORRLANDS LÄN</t>
        </is>
      </c>
      <c r="E5069" t="inlineStr">
        <is>
          <t>SOLLEFTEÅ</t>
        </is>
      </c>
      <c r="F5069" t="inlineStr">
        <is>
          <t>SCA</t>
        </is>
      </c>
      <c r="G5069" t="n">
        <v>4.6</v>
      </c>
      <c r="H5069" t="n">
        <v>0</v>
      </c>
      <c r="I5069" t="n">
        <v>0</v>
      </c>
      <c r="J5069" t="n">
        <v>0</v>
      </c>
      <c r="K5069" t="n">
        <v>0</v>
      </c>
      <c r="L5069" t="n">
        <v>0</v>
      </c>
      <c r="M5069" t="n">
        <v>0</v>
      </c>
      <c r="N5069" t="n">
        <v>0</v>
      </c>
      <c r="O5069" t="n">
        <v>0</v>
      </c>
      <c r="P5069" t="n">
        <v>0</v>
      </c>
      <c r="Q5069" t="n">
        <v>0</v>
      </c>
      <c r="R5069" s="2" t="inlineStr"/>
    </row>
    <row r="5070" ht="15" customHeight="1">
      <c r="A5070" t="inlineStr">
        <is>
          <t>A 44161-2025</t>
        </is>
      </c>
      <c r="B5070" s="1" t="n">
        <v>45915.59734953703</v>
      </c>
      <c r="C5070" s="1" t="n">
        <v>46093</v>
      </c>
      <c r="D5070" t="inlineStr">
        <is>
          <t>VÄSTERNORRLANDS LÄN</t>
        </is>
      </c>
      <c r="E5070" t="inlineStr">
        <is>
          <t>ÖRNSKÖLDSVIK</t>
        </is>
      </c>
      <c r="F5070" t="inlineStr">
        <is>
          <t>Holmen skog AB</t>
        </is>
      </c>
      <c r="G5070" t="n">
        <v>10</v>
      </c>
      <c r="H5070" t="n">
        <v>0</v>
      </c>
      <c r="I5070" t="n">
        <v>0</v>
      </c>
      <c r="J5070" t="n">
        <v>0</v>
      </c>
      <c r="K5070" t="n">
        <v>0</v>
      </c>
      <c r="L5070" t="n">
        <v>0</v>
      </c>
      <c r="M5070" t="n">
        <v>0</v>
      </c>
      <c r="N5070" t="n">
        <v>0</v>
      </c>
      <c r="O5070" t="n">
        <v>0</v>
      </c>
      <c r="P5070" t="n">
        <v>0</v>
      </c>
      <c r="Q5070" t="n">
        <v>0</v>
      </c>
      <c r="R5070" s="2" t="inlineStr"/>
    </row>
    <row r="5071" ht="15" customHeight="1">
      <c r="A5071" t="inlineStr">
        <is>
          <t>A 33713-2023</t>
        </is>
      </c>
      <c r="B5071" s="1" t="n">
        <v>45132.94952546297</v>
      </c>
      <c r="C5071" s="1" t="n">
        <v>46093</v>
      </c>
      <c r="D5071" t="inlineStr">
        <is>
          <t>VÄSTERNORRLANDS LÄN</t>
        </is>
      </c>
      <c r="E5071" t="inlineStr">
        <is>
          <t>SOLLEFTEÅ</t>
        </is>
      </c>
      <c r="F5071" t="inlineStr">
        <is>
          <t>SCA</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1826-2025</t>
        </is>
      </c>
      <c r="B5072" s="1" t="n">
        <v>45671.53855324074</v>
      </c>
      <c r="C5072" s="1" t="n">
        <v>46093</v>
      </c>
      <c r="D5072" t="inlineStr">
        <is>
          <t>VÄSTERNORRLANDS LÄN</t>
        </is>
      </c>
      <c r="E5072" t="inlineStr">
        <is>
          <t>TIMRÅ</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44187-2025</t>
        </is>
      </c>
      <c r="B5073" s="1" t="n">
        <v>45915.61329861111</v>
      </c>
      <c r="C5073" s="1" t="n">
        <v>46093</v>
      </c>
      <c r="D5073" t="inlineStr">
        <is>
          <t>VÄSTERNORRLANDS LÄN</t>
        </is>
      </c>
      <c r="E5073" t="inlineStr">
        <is>
          <t>ÖRNSKÖLDSVIK</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49324-2023</t>
        </is>
      </c>
      <c r="B5074" s="1" t="n">
        <v>45210</v>
      </c>
      <c r="C5074" s="1" t="n">
        <v>46093</v>
      </c>
      <c r="D5074" t="inlineStr">
        <is>
          <t>VÄSTERNORRLANDS LÄN</t>
        </is>
      </c>
      <c r="E5074" t="inlineStr">
        <is>
          <t>SOLLEFTEÅ</t>
        </is>
      </c>
      <c r="F5074" t="inlineStr">
        <is>
          <t>SCA</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44525-2025</t>
        </is>
      </c>
      <c r="B5075" s="1" t="n">
        <v>45916</v>
      </c>
      <c r="C5075" s="1" t="n">
        <v>46093</v>
      </c>
      <c r="D5075" t="inlineStr">
        <is>
          <t>VÄSTERNORRLANDS LÄN</t>
        </is>
      </c>
      <c r="E5075" t="inlineStr">
        <is>
          <t>ÖRNSKÖLDSVIK</t>
        </is>
      </c>
      <c r="G5075" t="n">
        <v>1.9</v>
      </c>
      <c r="H5075" t="n">
        <v>0</v>
      </c>
      <c r="I5075" t="n">
        <v>0</v>
      </c>
      <c r="J5075" t="n">
        <v>0</v>
      </c>
      <c r="K5075" t="n">
        <v>0</v>
      </c>
      <c r="L5075" t="n">
        <v>0</v>
      </c>
      <c r="M5075" t="n">
        <v>0</v>
      </c>
      <c r="N5075" t="n">
        <v>0</v>
      </c>
      <c r="O5075" t="n">
        <v>0</v>
      </c>
      <c r="P5075" t="n">
        <v>0</v>
      </c>
      <c r="Q5075" t="n">
        <v>0</v>
      </c>
      <c r="R5075" s="2" t="inlineStr"/>
    </row>
    <row r="5076" ht="15" customHeight="1">
      <c r="A5076" t="inlineStr">
        <is>
          <t>A 59388-2024</t>
        </is>
      </c>
      <c r="B5076" s="1" t="n">
        <v>45638.365</v>
      </c>
      <c r="C5076" s="1" t="n">
        <v>46093</v>
      </c>
      <c r="D5076" t="inlineStr">
        <is>
          <t>VÄSTERNORRLANDS LÄN</t>
        </is>
      </c>
      <c r="E5076" t="inlineStr">
        <is>
          <t>SOLLEFTEÅ</t>
        </is>
      </c>
      <c r="F5076" t="inlineStr">
        <is>
          <t>SCA</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18522-2025</t>
        </is>
      </c>
      <c r="B5077" s="1" t="n">
        <v>45763.39638888889</v>
      </c>
      <c r="C5077" s="1" t="n">
        <v>46093</v>
      </c>
      <c r="D5077" t="inlineStr">
        <is>
          <t>VÄSTERNORRLANDS LÄN</t>
        </is>
      </c>
      <c r="E5077" t="inlineStr">
        <is>
          <t>SUNDSVALL</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56192-2023</t>
        </is>
      </c>
      <c r="B5078" s="1" t="n">
        <v>45240</v>
      </c>
      <c r="C5078" s="1" t="n">
        <v>46093</v>
      </c>
      <c r="D5078" t="inlineStr">
        <is>
          <t>VÄSTERNORRLANDS LÄN</t>
        </is>
      </c>
      <c r="E5078" t="inlineStr">
        <is>
          <t>SUNDSVALL</t>
        </is>
      </c>
      <c r="G5078" t="n">
        <v>6.2</v>
      </c>
      <c r="H5078" t="n">
        <v>0</v>
      </c>
      <c r="I5078" t="n">
        <v>0</v>
      </c>
      <c r="J5078" t="n">
        <v>0</v>
      </c>
      <c r="K5078" t="n">
        <v>0</v>
      </c>
      <c r="L5078" t="n">
        <v>0</v>
      </c>
      <c r="M5078" t="n">
        <v>0</v>
      </c>
      <c r="N5078" t="n">
        <v>0</v>
      </c>
      <c r="O5078" t="n">
        <v>0</v>
      </c>
      <c r="P5078" t="n">
        <v>0</v>
      </c>
      <c r="Q5078" t="n">
        <v>0</v>
      </c>
      <c r="R5078" s="2" t="inlineStr"/>
    </row>
    <row r="5079" ht="15" customHeight="1">
      <c r="A5079" t="inlineStr">
        <is>
          <t>A 56195-2023</t>
        </is>
      </c>
      <c r="B5079" s="1" t="n">
        <v>45240.66042824074</v>
      </c>
      <c r="C5079" s="1" t="n">
        <v>46093</v>
      </c>
      <c r="D5079" t="inlineStr">
        <is>
          <t>VÄSTERNORRLANDS LÄN</t>
        </is>
      </c>
      <c r="E5079" t="inlineStr">
        <is>
          <t>SUNDSVALL</t>
        </is>
      </c>
      <c r="G5079" t="n">
        <v>2.6</v>
      </c>
      <c r="H5079" t="n">
        <v>0</v>
      </c>
      <c r="I5079" t="n">
        <v>0</v>
      </c>
      <c r="J5079" t="n">
        <v>0</v>
      </c>
      <c r="K5079" t="n">
        <v>0</v>
      </c>
      <c r="L5079" t="n">
        <v>0</v>
      </c>
      <c r="M5079" t="n">
        <v>0</v>
      </c>
      <c r="N5079" t="n">
        <v>0</v>
      </c>
      <c r="O5079" t="n">
        <v>0</v>
      </c>
      <c r="P5079" t="n">
        <v>0</v>
      </c>
      <c r="Q5079" t="n">
        <v>0</v>
      </c>
      <c r="R5079" s="2" t="inlineStr"/>
    </row>
    <row r="5080" ht="15" customHeight="1">
      <c r="A5080" t="inlineStr">
        <is>
          <t>A 36300-2025</t>
        </is>
      </c>
      <c r="B5080" s="1" t="n">
        <v>45867.6984375</v>
      </c>
      <c r="C5080" s="1" t="n">
        <v>46093</v>
      </c>
      <c r="D5080" t="inlineStr">
        <is>
          <t>VÄSTERNORRLANDS LÄN</t>
        </is>
      </c>
      <c r="E5080" t="inlineStr">
        <is>
          <t>SOLLEFTEÅ</t>
        </is>
      </c>
      <c r="F5080" t="inlineStr">
        <is>
          <t>SCA</t>
        </is>
      </c>
      <c r="G5080" t="n">
        <v>6</v>
      </c>
      <c r="H5080" t="n">
        <v>0</v>
      </c>
      <c r="I5080" t="n">
        <v>0</v>
      </c>
      <c r="J5080" t="n">
        <v>0</v>
      </c>
      <c r="K5080" t="n">
        <v>0</v>
      </c>
      <c r="L5080" t="n">
        <v>0</v>
      </c>
      <c r="M5080" t="n">
        <v>0</v>
      </c>
      <c r="N5080" t="n">
        <v>0</v>
      </c>
      <c r="O5080" t="n">
        <v>0</v>
      </c>
      <c r="P5080" t="n">
        <v>0</v>
      </c>
      <c r="Q5080" t="n">
        <v>0</v>
      </c>
      <c r="R5080" s="2" t="inlineStr"/>
    </row>
    <row r="5081" ht="15" customHeight="1">
      <c r="A5081" t="inlineStr">
        <is>
          <t>A 36312-2025</t>
        </is>
      </c>
      <c r="B5081" s="1" t="n">
        <v>45868.34444444445</v>
      </c>
      <c r="C5081" s="1" t="n">
        <v>46093</v>
      </c>
      <c r="D5081" t="inlineStr">
        <is>
          <t>VÄSTERNORRLANDS LÄN</t>
        </is>
      </c>
      <c r="E5081" t="inlineStr">
        <is>
          <t>SOLLEFTEÅ</t>
        </is>
      </c>
      <c r="G5081" t="n">
        <v>4.2</v>
      </c>
      <c r="H5081" t="n">
        <v>0</v>
      </c>
      <c r="I5081" t="n">
        <v>0</v>
      </c>
      <c r="J5081" t="n">
        <v>0</v>
      </c>
      <c r="K5081" t="n">
        <v>0</v>
      </c>
      <c r="L5081" t="n">
        <v>0</v>
      </c>
      <c r="M5081" t="n">
        <v>0</v>
      </c>
      <c r="N5081" t="n">
        <v>0</v>
      </c>
      <c r="O5081" t="n">
        <v>0</v>
      </c>
      <c r="P5081" t="n">
        <v>0</v>
      </c>
      <c r="Q5081" t="n">
        <v>0</v>
      </c>
      <c r="R5081" s="2" t="inlineStr"/>
    </row>
    <row r="5082" ht="15" customHeight="1">
      <c r="A5082" t="inlineStr">
        <is>
          <t>A 44013-2025</t>
        </is>
      </c>
      <c r="B5082" s="1" t="n">
        <v>45915.46914351852</v>
      </c>
      <c r="C5082" s="1" t="n">
        <v>46093</v>
      </c>
      <c r="D5082" t="inlineStr">
        <is>
          <t>VÄSTERNORRLANDS LÄN</t>
        </is>
      </c>
      <c r="E5082" t="inlineStr">
        <is>
          <t>TIMRÅ</t>
        </is>
      </c>
      <c r="F5082" t="inlineStr">
        <is>
          <t>SCA</t>
        </is>
      </c>
      <c r="G5082" t="n">
        <v>10.9</v>
      </c>
      <c r="H5082" t="n">
        <v>0</v>
      </c>
      <c r="I5082" t="n">
        <v>0</v>
      </c>
      <c r="J5082" t="n">
        <v>0</v>
      </c>
      <c r="K5082" t="n">
        <v>0</v>
      </c>
      <c r="L5082" t="n">
        <v>0</v>
      </c>
      <c r="M5082" t="n">
        <v>0</v>
      </c>
      <c r="N5082" t="n">
        <v>0</v>
      </c>
      <c r="O5082" t="n">
        <v>0</v>
      </c>
      <c r="P5082" t="n">
        <v>0</v>
      </c>
      <c r="Q5082" t="n">
        <v>0</v>
      </c>
      <c r="R5082" s="2" t="inlineStr"/>
    </row>
    <row r="5083" ht="15" customHeight="1">
      <c r="A5083" t="inlineStr">
        <is>
          <t>A 12006-2022</t>
        </is>
      </c>
      <c r="B5083" s="1" t="n">
        <v>44635.92496527778</v>
      </c>
      <c r="C5083" s="1" t="n">
        <v>46093</v>
      </c>
      <c r="D5083" t="inlineStr">
        <is>
          <t>VÄSTERNORRLANDS LÄN</t>
        </is>
      </c>
      <c r="E5083" t="inlineStr">
        <is>
          <t>SOLLEFTEÅ</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12022-2022</t>
        </is>
      </c>
      <c r="B5084" s="1" t="n">
        <v>44635.94396990741</v>
      </c>
      <c r="C5084" s="1" t="n">
        <v>46093</v>
      </c>
      <c r="D5084" t="inlineStr">
        <is>
          <t>VÄSTERNORRLANDS LÄN</t>
        </is>
      </c>
      <c r="E5084" t="inlineStr">
        <is>
          <t>SOLLEFTEÅ</t>
        </is>
      </c>
      <c r="F5084" t="inlineStr">
        <is>
          <t>SCA</t>
        </is>
      </c>
      <c r="G5084" t="n">
        <v>2.5</v>
      </c>
      <c r="H5084" t="n">
        <v>0</v>
      </c>
      <c r="I5084" t="n">
        <v>0</v>
      </c>
      <c r="J5084" t="n">
        <v>0</v>
      </c>
      <c r="K5084" t="n">
        <v>0</v>
      </c>
      <c r="L5084" t="n">
        <v>0</v>
      </c>
      <c r="M5084" t="n">
        <v>0</v>
      </c>
      <c r="N5084" t="n">
        <v>0</v>
      </c>
      <c r="O5084" t="n">
        <v>0</v>
      </c>
      <c r="P5084" t="n">
        <v>0</v>
      </c>
      <c r="Q5084" t="n">
        <v>0</v>
      </c>
      <c r="R5084" s="2" t="inlineStr"/>
    </row>
    <row r="5085" ht="15" customHeight="1">
      <c r="A5085" t="inlineStr">
        <is>
          <t>A 44501-2025</t>
        </is>
      </c>
      <c r="B5085" s="1" t="n">
        <v>45916.6775462963</v>
      </c>
      <c r="C5085" s="1" t="n">
        <v>46093</v>
      </c>
      <c r="D5085" t="inlineStr">
        <is>
          <t>VÄSTERNORRLANDS LÄN</t>
        </is>
      </c>
      <c r="E5085" t="inlineStr">
        <is>
          <t>KRAMFORS</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46765-2024</t>
        </is>
      </c>
      <c r="B5086" s="1" t="n">
        <v>45583.49491898148</v>
      </c>
      <c r="C5086" s="1" t="n">
        <v>46093</v>
      </c>
      <c r="D5086" t="inlineStr">
        <is>
          <t>VÄSTERNORRLANDS LÄN</t>
        </is>
      </c>
      <c r="E5086" t="inlineStr">
        <is>
          <t>SOLLEFTEÅ</t>
        </is>
      </c>
      <c r="F5086" t="inlineStr">
        <is>
          <t>SCA</t>
        </is>
      </c>
      <c r="G5086" t="n">
        <v>3.8</v>
      </c>
      <c r="H5086" t="n">
        <v>0</v>
      </c>
      <c r="I5086" t="n">
        <v>0</v>
      </c>
      <c r="J5086" t="n">
        <v>0</v>
      </c>
      <c r="K5086" t="n">
        <v>0</v>
      </c>
      <c r="L5086" t="n">
        <v>0</v>
      </c>
      <c r="M5086" t="n">
        <v>0</v>
      </c>
      <c r="N5086" t="n">
        <v>0</v>
      </c>
      <c r="O5086" t="n">
        <v>0</v>
      </c>
      <c r="P5086" t="n">
        <v>0</v>
      </c>
      <c r="Q5086" t="n">
        <v>0</v>
      </c>
      <c r="R5086" s="2" t="inlineStr"/>
    </row>
    <row r="5087" ht="15" customHeight="1">
      <c r="A5087" t="inlineStr">
        <is>
          <t>A 46210-2024</t>
        </is>
      </c>
      <c r="B5087" s="1" t="n">
        <v>45581.55181712963</v>
      </c>
      <c r="C5087" s="1" t="n">
        <v>46093</v>
      </c>
      <c r="D5087" t="inlineStr">
        <is>
          <t>VÄSTERNORRLANDS LÄN</t>
        </is>
      </c>
      <c r="E5087" t="inlineStr">
        <is>
          <t>ÖRNSKÖLDSVIK</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46215-2024</t>
        </is>
      </c>
      <c r="B5088" s="1" t="n">
        <v>45581.55956018518</v>
      </c>
      <c r="C5088" s="1" t="n">
        <v>46093</v>
      </c>
      <c r="D5088" t="inlineStr">
        <is>
          <t>VÄSTERNORRLANDS LÄN</t>
        </is>
      </c>
      <c r="E5088" t="inlineStr">
        <is>
          <t>ÖRNSKÖLDSVIK</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27641-2023</t>
        </is>
      </c>
      <c r="B5089" s="1" t="n">
        <v>45097</v>
      </c>
      <c r="C5089" s="1" t="n">
        <v>46093</v>
      </c>
      <c r="D5089" t="inlineStr">
        <is>
          <t>VÄSTERNORRLANDS LÄN</t>
        </is>
      </c>
      <c r="E5089" t="inlineStr">
        <is>
          <t>SUNDSVALL</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43927-2025</t>
        </is>
      </c>
      <c r="B5090" s="1" t="n">
        <v>45915.32164351852</v>
      </c>
      <c r="C5090" s="1" t="n">
        <v>46093</v>
      </c>
      <c r="D5090" t="inlineStr">
        <is>
          <t>VÄSTERNORRLANDS LÄN</t>
        </is>
      </c>
      <c r="E5090" t="inlineStr">
        <is>
          <t>ÖRNSKÖLDSVIK</t>
        </is>
      </c>
      <c r="F5090" t="inlineStr">
        <is>
          <t>Holmen skog AB</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14940-2025</t>
        </is>
      </c>
      <c r="B5091" s="1" t="n">
        <v>45743.56175925926</v>
      </c>
      <c r="C5091" s="1" t="n">
        <v>46093</v>
      </c>
      <c r="D5091" t="inlineStr">
        <is>
          <t>VÄSTERNORRLANDS LÄN</t>
        </is>
      </c>
      <c r="E5091" t="inlineStr">
        <is>
          <t>ÖRNSKÖLDSVIK</t>
        </is>
      </c>
      <c r="G5091" t="n">
        <v>11.8</v>
      </c>
      <c r="H5091" t="n">
        <v>0</v>
      </c>
      <c r="I5091" t="n">
        <v>0</v>
      </c>
      <c r="J5091" t="n">
        <v>0</v>
      </c>
      <c r="K5091" t="n">
        <v>0</v>
      </c>
      <c r="L5091" t="n">
        <v>0</v>
      </c>
      <c r="M5091" t="n">
        <v>0</v>
      </c>
      <c r="N5091" t="n">
        <v>0</v>
      </c>
      <c r="O5091" t="n">
        <v>0</v>
      </c>
      <c r="P5091" t="n">
        <v>0</v>
      </c>
      <c r="Q5091" t="n">
        <v>0</v>
      </c>
      <c r="R5091" s="2" t="inlineStr"/>
    </row>
    <row r="5092" ht="15" customHeight="1">
      <c r="A5092" t="inlineStr">
        <is>
          <t>A 17774-2025</t>
        </is>
      </c>
      <c r="B5092" s="1" t="n">
        <v>45758.52353009259</v>
      </c>
      <c r="C5092" s="1" t="n">
        <v>46093</v>
      </c>
      <c r="D5092" t="inlineStr">
        <is>
          <t>VÄSTERNORRLANDS LÄN</t>
        </is>
      </c>
      <c r="E5092" t="inlineStr">
        <is>
          <t>KRAMFORS</t>
        </is>
      </c>
      <c r="G5092" t="n">
        <v>3.5</v>
      </c>
      <c r="H5092" t="n">
        <v>0</v>
      </c>
      <c r="I5092" t="n">
        <v>0</v>
      </c>
      <c r="J5092" t="n">
        <v>0</v>
      </c>
      <c r="K5092" t="n">
        <v>0</v>
      </c>
      <c r="L5092" t="n">
        <v>0</v>
      </c>
      <c r="M5092" t="n">
        <v>0</v>
      </c>
      <c r="N5092" t="n">
        <v>0</v>
      </c>
      <c r="O5092" t="n">
        <v>0</v>
      </c>
      <c r="P5092" t="n">
        <v>0</v>
      </c>
      <c r="Q5092" t="n">
        <v>0</v>
      </c>
      <c r="R5092" s="2" t="inlineStr"/>
    </row>
    <row r="5093" ht="15" customHeight="1">
      <c r="A5093" t="inlineStr">
        <is>
          <t>A 46249-2024</t>
        </is>
      </c>
      <c r="B5093" s="1" t="n">
        <v>45581.59409722222</v>
      </c>
      <c r="C5093" s="1" t="n">
        <v>46093</v>
      </c>
      <c r="D5093" t="inlineStr">
        <is>
          <t>VÄSTERNORRLANDS LÄN</t>
        </is>
      </c>
      <c r="E5093" t="inlineStr">
        <is>
          <t>ÅNGE</t>
        </is>
      </c>
      <c r="F5093" t="inlineStr">
        <is>
          <t>SCA</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55670-2024</t>
        </is>
      </c>
      <c r="B5094" s="1" t="n">
        <v>45622.64991898148</v>
      </c>
      <c r="C5094" s="1" t="n">
        <v>46093</v>
      </c>
      <c r="D5094" t="inlineStr">
        <is>
          <t>VÄSTERNORRLANDS LÄN</t>
        </is>
      </c>
      <c r="E5094" t="inlineStr">
        <is>
          <t>ÖRNSKÖLDSVIK</t>
        </is>
      </c>
      <c r="F5094" t="inlineStr">
        <is>
          <t>Holmen skog AB</t>
        </is>
      </c>
      <c r="G5094" t="n">
        <v>0.4</v>
      </c>
      <c r="H5094" t="n">
        <v>0</v>
      </c>
      <c r="I5094" t="n">
        <v>0</v>
      </c>
      <c r="J5094" t="n">
        <v>0</v>
      </c>
      <c r="K5094" t="n">
        <v>0</v>
      </c>
      <c r="L5094" t="n">
        <v>0</v>
      </c>
      <c r="M5094" t="n">
        <v>0</v>
      </c>
      <c r="N5094" t="n">
        <v>0</v>
      </c>
      <c r="O5094" t="n">
        <v>0</v>
      </c>
      <c r="P5094" t="n">
        <v>0</v>
      </c>
      <c r="Q5094" t="n">
        <v>0</v>
      </c>
      <c r="R5094" s="2" t="inlineStr"/>
    </row>
    <row r="5095" ht="15" customHeight="1">
      <c r="A5095" t="inlineStr">
        <is>
          <t>A 46261-2024</t>
        </is>
      </c>
      <c r="B5095" s="1" t="n">
        <v>45581.61048611111</v>
      </c>
      <c r="C5095" s="1" t="n">
        <v>46093</v>
      </c>
      <c r="D5095" t="inlineStr">
        <is>
          <t>VÄSTERNORRLANDS LÄN</t>
        </is>
      </c>
      <c r="E5095" t="inlineStr">
        <is>
          <t>SOLLEFTEÅ</t>
        </is>
      </c>
      <c r="G5095" t="n">
        <v>2.4</v>
      </c>
      <c r="H5095" t="n">
        <v>0</v>
      </c>
      <c r="I5095" t="n">
        <v>0</v>
      </c>
      <c r="J5095" t="n">
        <v>0</v>
      </c>
      <c r="K5095" t="n">
        <v>0</v>
      </c>
      <c r="L5095" t="n">
        <v>0</v>
      </c>
      <c r="M5095" t="n">
        <v>0</v>
      </c>
      <c r="N5095" t="n">
        <v>0</v>
      </c>
      <c r="O5095" t="n">
        <v>0</v>
      </c>
      <c r="P5095" t="n">
        <v>0</v>
      </c>
      <c r="Q5095" t="n">
        <v>0</v>
      </c>
      <c r="R5095" s="2" t="inlineStr"/>
    </row>
    <row r="5096" ht="15" customHeight="1">
      <c r="A5096" t="inlineStr">
        <is>
          <t>A 16463-2024</t>
        </is>
      </c>
      <c r="B5096" s="1" t="n">
        <v>45408.05027777778</v>
      </c>
      <c r="C5096" s="1" t="n">
        <v>46093</v>
      </c>
      <c r="D5096" t="inlineStr">
        <is>
          <t>VÄSTERNORRLANDS LÄN</t>
        </is>
      </c>
      <c r="E5096" t="inlineStr">
        <is>
          <t>SOLLEFTEÅ</t>
        </is>
      </c>
      <c r="F5096" t="inlineStr">
        <is>
          <t>SCA</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56286-2024</t>
        </is>
      </c>
      <c r="B5097" s="1" t="n">
        <v>45624.67921296296</v>
      </c>
      <c r="C5097" s="1" t="n">
        <v>46093</v>
      </c>
      <c r="D5097" t="inlineStr">
        <is>
          <t>VÄSTERNORRLANDS LÄN</t>
        </is>
      </c>
      <c r="E5097" t="inlineStr">
        <is>
          <t>TIMRÅ</t>
        </is>
      </c>
      <c r="F5097" t="inlineStr">
        <is>
          <t>SCA</t>
        </is>
      </c>
      <c r="G5097" t="n">
        <v>3.8</v>
      </c>
      <c r="H5097" t="n">
        <v>0</v>
      </c>
      <c r="I5097" t="n">
        <v>0</v>
      </c>
      <c r="J5097" t="n">
        <v>0</v>
      </c>
      <c r="K5097" t="n">
        <v>0</v>
      </c>
      <c r="L5097" t="n">
        <v>0</v>
      </c>
      <c r="M5097" t="n">
        <v>0</v>
      </c>
      <c r="N5097" t="n">
        <v>0</v>
      </c>
      <c r="O5097" t="n">
        <v>0</v>
      </c>
      <c r="P5097" t="n">
        <v>0</v>
      </c>
      <c r="Q5097" t="n">
        <v>0</v>
      </c>
      <c r="R5097" s="2" t="inlineStr"/>
    </row>
    <row r="5098" ht="15" customHeight="1">
      <c r="A5098" t="inlineStr">
        <is>
          <t>A 44434-2025</t>
        </is>
      </c>
      <c r="B5098" s="1" t="n">
        <v>45916.57939814815</v>
      </c>
      <c r="C5098" s="1" t="n">
        <v>46093</v>
      </c>
      <c r="D5098" t="inlineStr">
        <is>
          <t>VÄSTERNORRLANDS LÄN</t>
        </is>
      </c>
      <c r="E5098" t="inlineStr">
        <is>
          <t>ÖRNSKÖLDSVIK</t>
        </is>
      </c>
      <c r="F5098" t="inlineStr">
        <is>
          <t>Holmen skog AB</t>
        </is>
      </c>
      <c r="G5098" t="n">
        <v>7.2</v>
      </c>
      <c r="H5098" t="n">
        <v>0</v>
      </c>
      <c r="I5098" t="n">
        <v>0</v>
      </c>
      <c r="J5098" t="n">
        <v>0</v>
      </c>
      <c r="K5098" t="n">
        <v>0</v>
      </c>
      <c r="L5098" t="n">
        <v>0</v>
      </c>
      <c r="M5098" t="n">
        <v>0</v>
      </c>
      <c r="N5098" t="n">
        <v>0</v>
      </c>
      <c r="O5098" t="n">
        <v>0</v>
      </c>
      <c r="P5098" t="n">
        <v>0</v>
      </c>
      <c r="Q5098" t="n">
        <v>0</v>
      </c>
      <c r="R5098" s="2" t="inlineStr"/>
    </row>
    <row r="5099" ht="15" customHeight="1">
      <c r="A5099" t="inlineStr">
        <is>
          <t>A 25017-2022</t>
        </is>
      </c>
      <c r="B5099" s="1" t="n">
        <v>44728.94331018518</v>
      </c>
      <c r="C5099" s="1" t="n">
        <v>46093</v>
      </c>
      <c r="D5099" t="inlineStr">
        <is>
          <t>VÄSTERNORRLANDS LÄN</t>
        </is>
      </c>
      <c r="E5099" t="inlineStr">
        <is>
          <t>SOLLEFTEÅ</t>
        </is>
      </c>
      <c r="F5099" t="inlineStr">
        <is>
          <t>SCA</t>
        </is>
      </c>
      <c r="G5099" t="n">
        <v>4.8</v>
      </c>
      <c r="H5099" t="n">
        <v>0</v>
      </c>
      <c r="I5099" t="n">
        <v>0</v>
      </c>
      <c r="J5099" t="n">
        <v>0</v>
      </c>
      <c r="K5099" t="n">
        <v>0</v>
      </c>
      <c r="L5099" t="n">
        <v>0</v>
      </c>
      <c r="M5099" t="n">
        <v>0</v>
      </c>
      <c r="N5099" t="n">
        <v>0</v>
      </c>
      <c r="O5099" t="n">
        <v>0</v>
      </c>
      <c r="P5099" t="n">
        <v>0</v>
      </c>
      <c r="Q5099" t="n">
        <v>0</v>
      </c>
      <c r="R5099" s="2" t="inlineStr"/>
    </row>
    <row r="5100" ht="15" customHeight="1">
      <c r="A5100" t="inlineStr">
        <is>
          <t>A 44298-2025</t>
        </is>
      </c>
      <c r="B5100" s="1" t="n">
        <v>45916.36700231482</v>
      </c>
      <c r="C5100" s="1" t="n">
        <v>46093</v>
      </c>
      <c r="D5100" t="inlineStr">
        <is>
          <t>VÄSTERNORRLANDS LÄN</t>
        </is>
      </c>
      <c r="E5100" t="inlineStr">
        <is>
          <t>ÖRNSKÖLDSVIK</t>
        </is>
      </c>
      <c r="F5100" t="inlineStr">
        <is>
          <t>Holmen skog AB</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44307-2025</t>
        </is>
      </c>
      <c r="B5101" s="1" t="n">
        <v>45915</v>
      </c>
      <c r="C5101" s="1" t="n">
        <v>46093</v>
      </c>
      <c r="D5101" t="inlineStr">
        <is>
          <t>VÄSTERNORRLANDS LÄN</t>
        </is>
      </c>
      <c r="E5101" t="inlineStr">
        <is>
          <t>SUNDSVALL</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44326-2025</t>
        </is>
      </c>
      <c r="B5102" s="1" t="n">
        <v>45916.40740740741</v>
      </c>
      <c r="C5102" s="1" t="n">
        <v>46093</v>
      </c>
      <c r="D5102" t="inlineStr">
        <is>
          <t>VÄSTERNORRLANDS LÄN</t>
        </is>
      </c>
      <c r="E5102" t="inlineStr">
        <is>
          <t>TIMRÅ</t>
        </is>
      </c>
      <c r="F5102" t="inlineStr">
        <is>
          <t>SCA</t>
        </is>
      </c>
      <c r="G5102" t="n">
        <v>2.3</v>
      </c>
      <c r="H5102" t="n">
        <v>0</v>
      </c>
      <c r="I5102" t="n">
        <v>0</v>
      </c>
      <c r="J5102" t="n">
        <v>0</v>
      </c>
      <c r="K5102" t="n">
        <v>0</v>
      </c>
      <c r="L5102" t="n">
        <v>0</v>
      </c>
      <c r="M5102" t="n">
        <v>0</v>
      </c>
      <c r="N5102" t="n">
        <v>0</v>
      </c>
      <c r="O5102" t="n">
        <v>0</v>
      </c>
      <c r="P5102" t="n">
        <v>0</v>
      </c>
      <c r="Q5102" t="n">
        <v>0</v>
      </c>
      <c r="R5102" s="2" t="inlineStr"/>
    </row>
    <row r="5103" ht="15" customHeight="1">
      <c r="A5103" t="inlineStr">
        <is>
          <t>A 44335-2025</t>
        </is>
      </c>
      <c r="B5103" s="1" t="n">
        <v>45916.423125</v>
      </c>
      <c r="C5103" s="1" t="n">
        <v>46093</v>
      </c>
      <c r="D5103" t="inlineStr">
        <is>
          <t>VÄSTERNORRLANDS LÄN</t>
        </is>
      </c>
      <c r="E5103" t="inlineStr">
        <is>
          <t>SOLLEFTEÅ</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44352-2025</t>
        </is>
      </c>
      <c r="B5104" s="1" t="n">
        <v>45915</v>
      </c>
      <c r="C5104" s="1" t="n">
        <v>46093</v>
      </c>
      <c r="D5104" t="inlineStr">
        <is>
          <t>VÄSTERNORRLANDS LÄN</t>
        </is>
      </c>
      <c r="E5104" t="inlineStr">
        <is>
          <t>ÖRNSKÖLDSVIK</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44490-2025</t>
        </is>
      </c>
      <c r="B5105" s="1" t="n">
        <v>45916.6590162037</v>
      </c>
      <c r="C5105" s="1" t="n">
        <v>46093</v>
      </c>
      <c r="D5105" t="inlineStr">
        <is>
          <t>VÄSTERNORRLANDS LÄN</t>
        </is>
      </c>
      <c r="E5105" t="inlineStr">
        <is>
          <t>ÖRNSKÖLDSVIK</t>
        </is>
      </c>
      <c r="F5105" t="inlineStr">
        <is>
          <t>Holmen skog AB</t>
        </is>
      </c>
      <c r="G5105" t="n">
        <v>18.1</v>
      </c>
      <c r="H5105" t="n">
        <v>0</v>
      </c>
      <c r="I5105" t="n">
        <v>0</v>
      </c>
      <c r="J5105" t="n">
        <v>0</v>
      </c>
      <c r="K5105" t="n">
        <v>0</v>
      </c>
      <c r="L5105" t="n">
        <v>0</v>
      </c>
      <c r="M5105" t="n">
        <v>0</v>
      </c>
      <c r="N5105" t="n">
        <v>0</v>
      </c>
      <c r="O5105" t="n">
        <v>0</v>
      </c>
      <c r="P5105" t="n">
        <v>0</v>
      </c>
      <c r="Q5105" t="n">
        <v>0</v>
      </c>
      <c r="R5105" s="2" t="inlineStr"/>
    </row>
    <row r="5106" ht="15" customHeight="1">
      <c r="A5106" t="inlineStr">
        <is>
          <t>A 55231-2023</t>
        </is>
      </c>
      <c r="B5106" s="1" t="n">
        <v>45237</v>
      </c>
      <c r="C5106" s="1" t="n">
        <v>46093</v>
      </c>
      <c r="D5106" t="inlineStr">
        <is>
          <t>VÄSTERNORRLANDS LÄN</t>
        </is>
      </c>
      <c r="E5106" t="inlineStr">
        <is>
          <t>KRAMFORS</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44033-2025</t>
        </is>
      </c>
      <c r="B5107" s="1" t="n">
        <v>45915.49049768518</v>
      </c>
      <c r="C5107" s="1" t="n">
        <v>46093</v>
      </c>
      <c r="D5107" t="inlineStr">
        <is>
          <t>VÄSTERNORRLANDS LÄN</t>
        </is>
      </c>
      <c r="E5107" t="inlineStr">
        <is>
          <t>TIMRÅ</t>
        </is>
      </c>
      <c r="F5107" t="inlineStr">
        <is>
          <t>SCA</t>
        </is>
      </c>
      <c r="G5107" t="n">
        <v>5.1</v>
      </c>
      <c r="H5107" t="n">
        <v>0</v>
      </c>
      <c r="I5107" t="n">
        <v>0</v>
      </c>
      <c r="J5107" t="n">
        <v>0</v>
      </c>
      <c r="K5107" t="n">
        <v>0</v>
      </c>
      <c r="L5107" t="n">
        <v>0</v>
      </c>
      <c r="M5107" t="n">
        <v>0</v>
      </c>
      <c r="N5107" t="n">
        <v>0</v>
      </c>
      <c r="O5107" t="n">
        <v>0</v>
      </c>
      <c r="P5107" t="n">
        <v>0</v>
      </c>
      <c r="Q5107" t="n">
        <v>0</v>
      </c>
      <c r="R5107" s="2" t="inlineStr"/>
    </row>
    <row r="5108" ht="15" customHeight="1">
      <c r="A5108" t="inlineStr">
        <is>
          <t>A 42771-2024</t>
        </is>
      </c>
      <c r="B5108" s="1" t="n">
        <v>45566.51241898148</v>
      </c>
      <c r="C5108" s="1" t="n">
        <v>46093</v>
      </c>
      <c r="D5108" t="inlineStr">
        <is>
          <t>VÄSTERNORRLANDS LÄN</t>
        </is>
      </c>
      <c r="E5108" t="inlineStr">
        <is>
          <t>SUNDSVALL</t>
        </is>
      </c>
      <c r="G5108" t="n">
        <v>2.8</v>
      </c>
      <c r="H5108" t="n">
        <v>0</v>
      </c>
      <c r="I5108" t="n">
        <v>0</v>
      </c>
      <c r="J5108" t="n">
        <v>0</v>
      </c>
      <c r="K5108" t="n">
        <v>0</v>
      </c>
      <c r="L5108" t="n">
        <v>0</v>
      </c>
      <c r="M5108" t="n">
        <v>0</v>
      </c>
      <c r="N5108" t="n">
        <v>0</v>
      </c>
      <c r="O5108" t="n">
        <v>0</v>
      </c>
      <c r="P5108" t="n">
        <v>0</v>
      </c>
      <c r="Q5108" t="n">
        <v>0</v>
      </c>
      <c r="R5108" s="2" t="inlineStr"/>
    </row>
    <row r="5109" ht="15" customHeight="1">
      <c r="A5109" t="inlineStr">
        <is>
          <t>A 55329-2023</t>
        </is>
      </c>
      <c r="B5109" s="1" t="n">
        <v>45237</v>
      </c>
      <c r="C5109" s="1" t="n">
        <v>46093</v>
      </c>
      <c r="D5109" t="inlineStr">
        <is>
          <t>VÄSTERNORRLANDS LÄN</t>
        </is>
      </c>
      <c r="E5109" t="inlineStr">
        <is>
          <t>ÅNGE</t>
        </is>
      </c>
      <c r="F5109" t="inlineStr">
        <is>
          <t>SCA</t>
        </is>
      </c>
      <c r="G5109" t="n">
        <v>1.6</v>
      </c>
      <c r="H5109" t="n">
        <v>0</v>
      </c>
      <c r="I5109" t="n">
        <v>0</v>
      </c>
      <c r="J5109" t="n">
        <v>0</v>
      </c>
      <c r="K5109" t="n">
        <v>0</v>
      </c>
      <c r="L5109" t="n">
        <v>0</v>
      </c>
      <c r="M5109" t="n">
        <v>0</v>
      </c>
      <c r="N5109" t="n">
        <v>0</v>
      </c>
      <c r="O5109" t="n">
        <v>0</v>
      </c>
      <c r="P5109" t="n">
        <v>0</v>
      </c>
      <c r="Q5109" t="n">
        <v>0</v>
      </c>
      <c r="R5109" s="2" t="inlineStr"/>
    </row>
    <row r="5110" ht="15" customHeight="1">
      <c r="A5110" t="inlineStr">
        <is>
          <t>A 55338-2023</t>
        </is>
      </c>
      <c r="B5110" s="1" t="n">
        <v>45237.97476851852</v>
      </c>
      <c r="C5110" s="1" t="n">
        <v>46093</v>
      </c>
      <c r="D5110" t="inlineStr">
        <is>
          <t>VÄSTERNORRLANDS LÄN</t>
        </is>
      </c>
      <c r="E5110" t="inlineStr">
        <is>
          <t>SOLLEFTEÅ</t>
        </is>
      </c>
      <c r="F5110" t="inlineStr">
        <is>
          <t>SCA</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4983-2025</t>
        </is>
      </c>
      <c r="B5111" s="1" t="n">
        <v>45691</v>
      </c>
      <c r="C5111" s="1" t="n">
        <v>46093</v>
      </c>
      <c r="D5111" t="inlineStr">
        <is>
          <t>VÄSTERNORRLANDS LÄN</t>
        </is>
      </c>
      <c r="E5111" t="inlineStr">
        <is>
          <t>ÖRNSKÖLDSVIK</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44039-2025</t>
        </is>
      </c>
      <c r="B5112" s="1" t="n">
        <v>45915.49113425926</v>
      </c>
      <c r="C5112" s="1" t="n">
        <v>46093</v>
      </c>
      <c r="D5112" t="inlineStr">
        <is>
          <t>VÄSTERNORRLANDS LÄN</t>
        </is>
      </c>
      <c r="E5112" t="inlineStr">
        <is>
          <t>HÄRNÖSAND</t>
        </is>
      </c>
      <c r="F5112" t="inlineStr">
        <is>
          <t>SCA</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3986-2025</t>
        </is>
      </c>
      <c r="B5113" s="1" t="n">
        <v>45684.55262731481</v>
      </c>
      <c r="C5113" s="1" t="n">
        <v>46093</v>
      </c>
      <c r="D5113" t="inlineStr">
        <is>
          <t>VÄSTERNORRLANDS LÄN</t>
        </is>
      </c>
      <c r="E5113" t="inlineStr">
        <is>
          <t>ÅNGE</t>
        </is>
      </c>
      <c r="F5113" t="inlineStr">
        <is>
          <t>SCA</t>
        </is>
      </c>
      <c r="G5113" t="n">
        <v>10.5</v>
      </c>
      <c r="H5113" t="n">
        <v>0</v>
      </c>
      <c r="I5113" t="n">
        <v>0</v>
      </c>
      <c r="J5113" t="n">
        <v>0</v>
      </c>
      <c r="K5113" t="n">
        <v>0</v>
      </c>
      <c r="L5113" t="n">
        <v>0</v>
      </c>
      <c r="M5113" t="n">
        <v>0</v>
      </c>
      <c r="N5113" t="n">
        <v>0</v>
      </c>
      <c r="O5113" t="n">
        <v>0</v>
      </c>
      <c r="P5113" t="n">
        <v>0</v>
      </c>
      <c r="Q5113" t="n">
        <v>0</v>
      </c>
      <c r="R5113" s="2" t="inlineStr"/>
    </row>
    <row r="5114" ht="15" customHeight="1">
      <c r="A5114" t="inlineStr">
        <is>
          <t>A 4031-2025</t>
        </is>
      </c>
      <c r="B5114" s="1" t="n">
        <v>45684.5978125</v>
      </c>
      <c r="C5114" s="1" t="n">
        <v>46093</v>
      </c>
      <c r="D5114" t="inlineStr">
        <is>
          <t>VÄSTERNORRLANDS LÄN</t>
        </is>
      </c>
      <c r="E5114" t="inlineStr">
        <is>
          <t>SOLLEFTEÅ</t>
        </is>
      </c>
      <c r="F5114" t="inlineStr">
        <is>
          <t>SCA</t>
        </is>
      </c>
      <c r="G5114" t="n">
        <v>3</v>
      </c>
      <c r="H5114" t="n">
        <v>0</v>
      </c>
      <c r="I5114" t="n">
        <v>0</v>
      </c>
      <c r="J5114" t="n">
        <v>0</v>
      </c>
      <c r="K5114" t="n">
        <v>0</v>
      </c>
      <c r="L5114" t="n">
        <v>0</v>
      </c>
      <c r="M5114" t="n">
        <v>0</v>
      </c>
      <c r="N5114" t="n">
        <v>0</v>
      </c>
      <c r="O5114" t="n">
        <v>0</v>
      </c>
      <c r="P5114" t="n">
        <v>0</v>
      </c>
      <c r="Q5114" t="n">
        <v>0</v>
      </c>
      <c r="R5114" s="2" t="inlineStr"/>
    </row>
    <row r="5115" ht="15" customHeight="1">
      <c r="A5115" t="inlineStr">
        <is>
          <t>A 43981-2025</t>
        </is>
      </c>
      <c r="B5115" s="1" t="n">
        <v>45915.42752314815</v>
      </c>
      <c r="C5115" s="1" t="n">
        <v>46093</v>
      </c>
      <c r="D5115" t="inlineStr">
        <is>
          <t>VÄSTERNORRLANDS LÄN</t>
        </is>
      </c>
      <c r="E5115" t="inlineStr">
        <is>
          <t>SUNDSVALL</t>
        </is>
      </c>
      <c r="F5115" t="inlineStr">
        <is>
          <t>Naturvårdsverket</t>
        </is>
      </c>
      <c r="G5115" t="n">
        <v>2.7</v>
      </c>
      <c r="H5115" t="n">
        <v>0</v>
      </c>
      <c r="I5115" t="n">
        <v>0</v>
      </c>
      <c r="J5115" t="n">
        <v>0</v>
      </c>
      <c r="K5115" t="n">
        <v>0</v>
      </c>
      <c r="L5115" t="n">
        <v>0</v>
      </c>
      <c r="M5115" t="n">
        <v>0</v>
      </c>
      <c r="N5115" t="n">
        <v>0</v>
      </c>
      <c r="O5115" t="n">
        <v>0</v>
      </c>
      <c r="P5115" t="n">
        <v>0</v>
      </c>
      <c r="Q5115" t="n">
        <v>0</v>
      </c>
      <c r="R5115" s="2" t="inlineStr"/>
    </row>
    <row r="5116" ht="15" customHeight="1">
      <c r="A5116" t="inlineStr">
        <is>
          <t>A 44274-2025</t>
        </is>
      </c>
      <c r="B5116" s="1" t="n">
        <v>45916.33296296297</v>
      </c>
      <c r="C5116" s="1" t="n">
        <v>46093</v>
      </c>
      <c r="D5116" t="inlineStr">
        <is>
          <t>VÄSTERNORRLANDS LÄN</t>
        </is>
      </c>
      <c r="E5116" t="inlineStr">
        <is>
          <t>ÖRNSKÖLDSVIK</t>
        </is>
      </c>
      <c r="F5116" t="inlineStr">
        <is>
          <t>Holmen skog AB</t>
        </is>
      </c>
      <c r="G5116" t="n">
        <v>8.9</v>
      </c>
      <c r="H5116" t="n">
        <v>0</v>
      </c>
      <c r="I5116" t="n">
        <v>0</v>
      </c>
      <c r="J5116" t="n">
        <v>0</v>
      </c>
      <c r="K5116" t="n">
        <v>0</v>
      </c>
      <c r="L5116" t="n">
        <v>0</v>
      </c>
      <c r="M5116" t="n">
        <v>0</v>
      </c>
      <c r="N5116" t="n">
        <v>0</v>
      </c>
      <c r="O5116" t="n">
        <v>0</v>
      </c>
      <c r="P5116" t="n">
        <v>0</v>
      </c>
      <c r="Q5116" t="n">
        <v>0</v>
      </c>
      <c r="R5116" s="2" t="inlineStr"/>
    </row>
    <row r="5117" ht="15" customHeight="1">
      <c r="A5117" t="inlineStr">
        <is>
          <t>A 44276-2025</t>
        </is>
      </c>
      <c r="B5117" s="1" t="n">
        <v>45916.34459490741</v>
      </c>
      <c r="C5117" s="1" t="n">
        <v>46093</v>
      </c>
      <c r="D5117" t="inlineStr">
        <is>
          <t>VÄSTERNORRLANDS LÄN</t>
        </is>
      </c>
      <c r="E5117" t="inlineStr">
        <is>
          <t>SUNDSVALL</t>
        </is>
      </c>
      <c r="F5117" t="inlineStr">
        <is>
          <t>Naturvårdsverket</t>
        </is>
      </c>
      <c r="G5117" t="n">
        <v>4.1</v>
      </c>
      <c r="H5117" t="n">
        <v>0</v>
      </c>
      <c r="I5117" t="n">
        <v>0</v>
      </c>
      <c r="J5117" t="n">
        <v>0</v>
      </c>
      <c r="K5117" t="n">
        <v>0</v>
      </c>
      <c r="L5117" t="n">
        <v>0</v>
      </c>
      <c r="M5117" t="n">
        <v>0</v>
      </c>
      <c r="N5117" t="n">
        <v>0</v>
      </c>
      <c r="O5117" t="n">
        <v>0</v>
      </c>
      <c r="P5117" t="n">
        <v>0</v>
      </c>
      <c r="Q5117" t="n">
        <v>0</v>
      </c>
      <c r="R5117" s="2" t="inlineStr"/>
    </row>
    <row r="5118" ht="15" customHeight="1">
      <c r="A5118" t="inlineStr">
        <is>
          <t>A 44471-2025</t>
        </is>
      </c>
      <c r="B5118" s="1" t="n">
        <v>45916.64369212963</v>
      </c>
      <c r="C5118" s="1" t="n">
        <v>46093</v>
      </c>
      <c r="D5118" t="inlineStr">
        <is>
          <t>VÄSTERNORRLANDS LÄN</t>
        </is>
      </c>
      <c r="E5118" t="inlineStr">
        <is>
          <t>ÖRNSKÖLDSVIK</t>
        </is>
      </c>
      <c r="F5118" t="inlineStr">
        <is>
          <t>Holmen skog AB</t>
        </is>
      </c>
      <c r="G5118" t="n">
        <v>13.2</v>
      </c>
      <c r="H5118" t="n">
        <v>0</v>
      </c>
      <c r="I5118" t="n">
        <v>0</v>
      </c>
      <c r="J5118" t="n">
        <v>0</v>
      </c>
      <c r="K5118" t="n">
        <v>0</v>
      </c>
      <c r="L5118" t="n">
        <v>0</v>
      </c>
      <c r="M5118" t="n">
        <v>0</v>
      </c>
      <c r="N5118" t="n">
        <v>0</v>
      </c>
      <c r="O5118" t="n">
        <v>0</v>
      </c>
      <c r="P5118" t="n">
        <v>0</v>
      </c>
      <c r="Q5118" t="n">
        <v>0</v>
      </c>
      <c r="R5118" s="2" t="inlineStr"/>
    </row>
    <row r="5119" ht="15" customHeight="1">
      <c r="A5119" t="inlineStr">
        <is>
          <t>A 58588-2022</t>
        </is>
      </c>
      <c r="B5119" s="1" t="n">
        <v>44894</v>
      </c>
      <c r="C5119" s="1" t="n">
        <v>46093</v>
      </c>
      <c r="D5119" t="inlineStr">
        <is>
          <t>VÄSTERNORRLANDS LÄN</t>
        </is>
      </c>
      <c r="E5119" t="inlineStr">
        <is>
          <t>HÄRNÖSAND</t>
        </is>
      </c>
      <c r="G5119" t="n">
        <v>3.7</v>
      </c>
      <c r="H5119" t="n">
        <v>0</v>
      </c>
      <c r="I5119" t="n">
        <v>0</v>
      </c>
      <c r="J5119" t="n">
        <v>0</v>
      </c>
      <c r="K5119" t="n">
        <v>0</v>
      </c>
      <c r="L5119" t="n">
        <v>0</v>
      </c>
      <c r="M5119" t="n">
        <v>0</v>
      </c>
      <c r="N5119" t="n">
        <v>0</v>
      </c>
      <c r="O5119" t="n">
        <v>0</v>
      </c>
      <c r="P5119" t="n">
        <v>0</v>
      </c>
      <c r="Q5119" t="n">
        <v>0</v>
      </c>
      <c r="R5119" s="2" t="inlineStr"/>
    </row>
    <row r="5120" ht="15" customHeight="1">
      <c r="A5120" t="inlineStr">
        <is>
          <t>A 51059-2024</t>
        </is>
      </c>
      <c r="B5120" s="1" t="n">
        <v>45603</v>
      </c>
      <c r="C5120" s="1" t="n">
        <v>46093</v>
      </c>
      <c r="D5120" t="inlineStr">
        <is>
          <t>VÄSTERNORRLANDS LÄN</t>
        </is>
      </c>
      <c r="E5120" t="inlineStr">
        <is>
          <t>ÅNGE</t>
        </is>
      </c>
      <c r="F5120" t="inlineStr">
        <is>
          <t>SCA</t>
        </is>
      </c>
      <c r="G5120" t="n">
        <v>3.4</v>
      </c>
      <c r="H5120" t="n">
        <v>0</v>
      </c>
      <c r="I5120" t="n">
        <v>0</v>
      </c>
      <c r="J5120" t="n">
        <v>0</v>
      </c>
      <c r="K5120" t="n">
        <v>0</v>
      </c>
      <c r="L5120" t="n">
        <v>0</v>
      </c>
      <c r="M5120" t="n">
        <v>0</v>
      </c>
      <c r="N5120" t="n">
        <v>0</v>
      </c>
      <c r="O5120" t="n">
        <v>0</v>
      </c>
      <c r="P5120" t="n">
        <v>0</v>
      </c>
      <c r="Q5120" t="n">
        <v>0</v>
      </c>
      <c r="R5120" s="2" t="inlineStr"/>
    </row>
    <row r="5121" ht="15" customHeight="1">
      <c r="A5121" t="inlineStr">
        <is>
          <t>A 28749-2023</t>
        </is>
      </c>
      <c r="B5121" s="1" t="n">
        <v>45103</v>
      </c>
      <c r="C5121" s="1" t="n">
        <v>46093</v>
      </c>
      <c r="D5121" t="inlineStr">
        <is>
          <t>VÄSTERNORRLANDS LÄN</t>
        </is>
      </c>
      <c r="E5121" t="inlineStr">
        <is>
          <t>SOLLEFTEÅ</t>
        </is>
      </c>
      <c r="F5121" t="inlineStr">
        <is>
          <t>SCA</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41595-2024</t>
        </is>
      </c>
      <c r="B5122" s="1" t="n">
        <v>45560.57378472222</v>
      </c>
      <c r="C5122" s="1" t="n">
        <v>46093</v>
      </c>
      <c r="D5122" t="inlineStr">
        <is>
          <t>VÄSTERNORRLANDS LÄN</t>
        </is>
      </c>
      <c r="E5122" t="inlineStr">
        <is>
          <t>SOLLEFTEÅ</t>
        </is>
      </c>
      <c r="F5122" t="inlineStr">
        <is>
          <t>SCA</t>
        </is>
      </c>
      <c r="G5122" t="n">
        <v>3.3</v>
      </c>
      <c r="H5122" t="n">
        <v>0</v>
      </c>
      <c r="I5122" t="n">
        <v>0</v>
      </c>
      <c r="J5122" t="n">
        <v>0</v>
      </c>
      <c r="K5122" t="n">
        <v>0</v>
      </c>
      <c r="L5122" t="n">
        <v>0</v>
      </c>
      <c r="M5122" t="n">
        <v>0</v>
      </c>
      <c r="N5122" t="n">
        <v>0</v>
      </c>
      <c r="O5122" t="n">
        <v>0</v>
      </c>
      <c r="P5122" t="n">
        <v>0</v>
      </c>
      <c r="Q5122" t="n">
        <v>0</v>
      </c>
      <c r="R5122" s="2" t="inlineStr"/>
    </row>
    <row r="5123" ht="15" customHeight="1">
      <c r="A5123" t="inlineStr">
        <is>
          <t>A 45794-2023</t>
        </is>
      </c>
      <c r="B5123" s="1" t="n">
        <v>45195</v>
      </c>
      <c r="C5123" s="1" t="n">
        <v>46093</v>
      </c>
      <c r="D5123" t="inlineStr">
        <is>
          <t>VÄSTERNORRLANDS LÄN</t>
        </is>
      </c>
      <c r="E5123" t="inlineStr">
        <is>
          <t>ÖRNSKÖLDSVIK</t>
        </is>
      </c>
      <c r="G5123" t="n">
        <v>6.3</v>
      </c>
      <c r="H5123" t="n">
        <v>0</v>
      </c>
      <c r="I5123" t="n">
        <v>0</v>
      </c>
      <c r="J5123" t="n">
        <v>0</v>
      </c>
      <c r="K5123" t="n">
        <v>0</v>
      </c>
      <c r="L5123" t="n">
        <v>0</v>
      </c>
      <c r="M5123" t="n">
        <v>0</v>
      </c>
      <c r="N5123" t="n">
        <v>0</v>
      </c>
      <c r="O5123" t="n">
        <v>0</v>
      </c>
      <c r="P5123" t="n">
        <v>0</v>
      </c>
      <c r="Q5123" t="n">
        <v>0</v>
      </c>
      <c r="R5123" s="2" t="inlineStr"/>
    </row>
    <row r="5124" ht="15" customHeight="1">
      <c r="A5124" t="inlineStr">
        <is>
          <t>A 43845-2024</t>
        </is>
      </c>
      <c r="B5124" s="1" t="n">
        <v>45572.34483796296</v>
      </c>
      <c r="C5124" s="1" t="n">
        <v>46093</v>
      </c>
      <c r="D5124" t="inlineStr">
        <is>
          <t>VÄSTERNORRLANDS LÄN</t>
        </is>
      </c>
      <c r="E5124" t="inlineStr">
        <is>
          <t>SOLLEFTEÅ</t>
        </is>
      </c>
      <c r="F5124" t="inlineStr">
        <is>
          <t>SCA</t>
        </is>
      </c>
      <c r="G5124" t="n">
        <v>3.2</v>
      </c>
      <c r="H5124" t="n">
        <v>0</v>
      </c>
      <c r="I5124" t="n">
        <v>0</v>
      </c>
      <c r="J5124" t="n">
        <v>0</v>
      </c>
      <c r="K5124" t="n">
        <v>0</v>
      </c>
      <c r="L5124" t="n">
        <v>0</v>
      </c>
      <c r="M5124" t="n">
        <v>0</v>
      </c>
      <c r="N5124" t="n">
        <v>0</v>
      </c>
      <c r="O5124" t="n">
        <v>0</v>
      </c>
      <c r="P5124" t="n">
        <v>0</v>
      </c>
      <c r="Q5124" t="n">
        <v>0</v>
      </c>
      <c r="R5124" s="2" t="inlineStr"/>
    </row>
    <row r="5125" ht="15" customHeight="1">
      <c r="A5125" t="inlineStr">
        <is>
          <t>A 45824-2023</t>
        </is>
      </c>
      <c r="B5125" s="1" t="n">
        <v>45189</v>
      </c>
      <c r="C5125" s="1" t="n">
        <v>46093</v>
      </c>
      <c r="D5125" t="inlineStr">
        <is>
          <t>VÄSTERNORRLANDS LÄN</t>
        </is>
      </c>
      <c r="E5125" t="inlineStr">
        <is>
          <t>ÖRNSKÖLDSVIK</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20527-2024</t>
        </is>
      </c>
      <c r="B5126" s="1" t="n">
        <v>45435.94592592592</v>
      </c>
      <c r="C5126" s="1" t="n">
        <v>46093</v>
      </c>
      <c r="D5126" t="inlineStr">
        <is>
          <t>VÄSTERNORRLANDS LÄN</t>
        </is>
      </c>
      <c r="E5126" t="inlineStr">
        <is>
          <t>TIMRÅ</t>
        </is>
      </c>
      <c r="F5126" t="inlineStr">
        <is>
          <t>SCA</t>
        </is>
      </c>
      <c r="G5126" t="n">
        <v>10.6</v>
      </c>
      <c r="H5126" t="n">
        <v>0</v>
      </c>
      <c r="I5126" t="n">
        <v>0</v>
      </c>
      <c r="J5126" t="n">
        <v>0</v>
      </c>
      <c r="K5126" t="n">
        <v>0</v>
      </c>
      <c r="L5126" t="n">
        <v>0</v>
      </c>
      <c r="M5126" t="n">
        <v>0</v>
      </c>
      <c r="N5126" t="n">
        <v>0</v>
      </c>
      <c r="O5126" t="n">
        <v>0</v>
      </c>
      <c r="P5126" t="n">
        <v>0</v>
      </c>
      <c r="Q5126" t="n">
        <v>0</v>
      </c>
      <c r="R5126" s="2" t="inlineStr"/>
    </row>
    <row r="5127" ht="15" customHeight="1">
      <c r="A5127" t="inlineStr">
        <is>
          <t>A 44150-2025</t>
        </is>
      </c>
      <c r="B5127" s="1" t="n">
        <v>45915.59415509259</v>
      </c>
      <c r="C5127" s="1" t="n">
        <v>46093</v>
      </c>
      <c r="D5127" t="inlineStr">
        <is>
          <t>VÄSTERNORRLANDS LÄN</t>
        </is>
      </c>
      <c r="E5127" t="inlineStr">
        <is>
          <t>SUNDSVALL</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44151-2025</t>
        </is>
      </c>
      <c r="B5128" s="1" t="n">
        <v>45915.59424768519</v>
      </c>
      <c r="C5128" s="1" t="n">
        <v>46093</v>
      </c>
      <c r="D5128" t="inlineStr">
        <is>
          <t>VÄSTERNORRLANDS LÄN</t>
        </is>
      </c>
      <c r="E5128" t="inlineStr">
        <is>
          <t>SUNDSVALL</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44387-2025</t>
        </is>
      </c>
      <c r="B5129" s="1" t="n">
        <v>45916.48994212963</v>
      </c>
      <c r="C5129" s="1" t="n">
        <v>46093</v>
      </c>
      <c r="D5129" t="inlineStr">
        <is>
          <t>VÄSTERNORRLANDS LÄN</t>
        </is>
      </c>
      <c r="E5129" t="inlineStr">
        <is>
          <t>SOLLEFTEÅ</t>
        </is>
      </c>
      <c r="F5129" t="inlineStr">
        <is>
          <t>SCA</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61342-2023</t>
        </is>
      </c>
      <c r="B5130" s="1" t="n">
        <v>45264</v>
      </c>
      <c r="C5130" s="1" t="n">
        <v>46093</v>
      </c>
      <c r="D5130" t="inlineStr">
        <is>
          <t>VÄSTERNORRLANDS LÄN</t>
        </is>
      </c>
      <c r="E5130" t="inlineStr">
        <is>
          <t>ÖRNSKÖLDSVIK</t>
        </is>
      </c>
      <c r="F5130" t="inlineStr">
        <is>
          <t>Övriga Aktiebolag</t>
        </is>
      </c>
      <c r="G5130" t="n">
        <v>4.9</v>
      </c>
      <c r="H5130" t="n">
        <v>0</v>
      </c>
      <c r="I5130" t="n">
        <v>0</v>
      </c>
      <c r="J5130" t="n">
        <v>0</v>
      </c>
      <c r="K5130" t="n">
        <v>0</v>
      </c>
      <c r="L5130" t="n">
        <v>0</v>
      </c>
      <c r="M5130" t="n">
        <v>0</v>
      </c>
      <c r="N5130" t="n">
        <v>0</v>
      </c>
      <c r="O5130" t="n">
        <v>0</v>
      </c>
      <c r="P5130" t="n">
        <v>0</v>
      </c>
      <c r="Q5130" t="n">
        <v>0</v>
      </c>
      <c r="R5130" s="2" t="inlineStr"/>
    </row>
    <row r="5131" ht="15" customHeight="1">
      <c r="A5131" t="inlineStr">
        <is>
          <t>A 44002-2025</t>
        </is>
      </c>
      <c r="B5131" s="1" t="n">
        <v>45915.45387731482</v>
      </c>
      <c r="C5131" s="1" t="n">
        <v>46093</v>
      </c>
      <c r="D5131" t="inlineStr">
        <is>
          <t>VÄSTERNORRLANDS LÄN</t>
        </is>
      </c>
      <c r="E5131" t="inlineStr">
        <is>
          <t>ÖRNSKÖLDSVIK</t>
        </is>
      </c>
      <c r="F5131" t="inlineStr">
        <is>
          <t>Holmen skog AB</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31747-2021</t>
        </is>
      </c>
      <c r="B5132" s="1" t="n">
        <v>44369</v>
      </c>
      <c r="C5132" s="1" t="n">
        <v>46093</v>
      </c>
      <c r="D5132" t="inlineStr">
        <is>
          <t>VÄSTERNORRLANDS LÄN</t>
        </is>
      </c>
      <c r="E5132" t="inlineStr">
        <is>
          <t>KRAMFORS</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44008-2025</t>
        </is>
      </c>
      <c r="B5133" s="1" t="n">
        <v>45915.45916666667</v>
      </c>
      <c r="C5133" s="1" t="n">
        <v>46093</v>
      </c>
      <c r="D5133" t="inlineStr">
        <is>
          <t>VÄSTERNORRLANDS LÄN</t>
        </is>
      </c>
      <c r="E5133" t="inlineStr">
        <is>
          <t>ÖRNSKÖLDSVIK</t>
        </is>
      </c>
      <c r="F5133" t="inlineStr">
        <is>
          <t>Holmen skog AB</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48411-2023</t>
        </is>
      </c>
      <c r="B5134" s="1" t="n">
        <v>45205.92331018519</v>
      </c>
      <c r="C5134" s="1" t="n">
        <v>46093</v>
      </c>
      <c r="D5134" t="inlineStr">
        <is>
          <t>VÄSTERNORRLANDS LÄN</t>
        </is>
      </c>
      <c r="E5134" t="inlineStr">
        <is>
          <t>SUNDSVALL</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31410-2024</t>
        </is>
      </c>
      <c r="B5135" s="1" t="n">
        <v>45505.60340277778</v>
      </c>
      <c r="C5135" s="1" t="n">
        <v>46093</v>
      </c>
      <c r="D5135" t="inlineStr">
        <is>
          <t>VÄSTERNORRLANDS LÄN</t>
        </is>
      </c>
      <c r="E5135" t="inlineStr">
        <is>
          <t>ÖRNSKÖLDSVIK</t>
        </is>
      </c>
      <c r="F5135" t="inlineStr">
        <is>
          <t>Holmen skog AB</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3634-2023</t>
        </is>
      </c>
      <c r="B5136" s="1" t="n">
        <v>44950</v>
      </c>
      <c r="C5136" s="1" t="n">
        <v>46093</v>
      </c>
      <c r="D5136" t="inlineStr">
        <is>
          <t>VÄSTERNORRLANDS LÄN</t>
        </is>
      </c>
      <c r="E5136" t="inlineStr">
        <is>
          <t>SUNDSVALL</t>
        </is>
      </c>
      <c r="G5136" t="n">
        <v>49.4</v>
      </c>
      <c r="H5136" t="n">
        <v>0</v>
      </c>
      <c r="I5136" t="n">
        <v>0</v>
      </c>
      <c r="J5136" t="n">
        <v>0</v>
      </c>
      <c r="K5136" t="n">
        <v>0</v>
      </c>
      <c r="L5136" t="n">
        <v>0</v>
      </c>
      <c r="M5136" t="n">
        <v>0</v>
      </c>
      <c r="N5136" t="n">
        <v>0</v>
      </c>
      <c r="O5136" t="n">
        <v>0</v>
      </c>
      <c r="P5136" t="n">
        <v>0</v>
      </c>
      <c r="Q5136" t="n">
        <v>0</v>
      </c>
      <c r="R5136" s="2" t="inlineStr"/>
    </row>
    <row r="5137" ht="15" customHeight="1">
      <c r="A5137" t="inlineStr">
        <is>
          <t>A 32513-2024</t>
        </is>
      </c>
      <c r="B5137" s="1" t="n">
        <v>45513.45640046296</v>
      </c>
      <c r="C5137" s="1" t="n">
        <v>46093</v>
      </c>
      <c r="D5137" t="inlineStr">
        <is>
          <t>VÄSTERNORRLANDS LÄN</t>
        </is>
      </c>
      <c r="E5137" t="inlineStr">
        <is>
          <t>KRAMFORS</t>
        </is>
      </c>
      <c r="G5137" t="n">
        <v>4.3</v>
      </c>
      <c r="H5137" t="n">
        <v>0</v>
      </c>
      <c r="I5137" t="n">
        <v>0</v>
      </c>
      <c r="J5137" t="n">
        <v>0</v>
      </c>
      <c r="K5137" t="n">
        <v>0</v>
      </c>
      <c r="L5137" t="n">
        <v>0</v>
      </c>
      <c r="M5137" t="n">
        <v>0</v>
      </c>
      <c r="N5137" t="n">
        <v>0</v>
      </c>
      <c r="O5137" t="n">
        <v>0</v>
      </c>
      <c r="P5137" t="n">
        <v>0</v>
      </c>
      <c r="Q5137" t="n">
        <v>0</v>
      </c>
      <c r="R5137" s="2" t="inlineStr"/>
    </row>
    <row r="5138" ht="15" customHeight="1">
      <c r="A5138" t="inlineStr">
        <is>
          <t>A 32515-2024</t>
        </is>
      </c>
      <c r="B5138" s="1" t="n">
        <v>45513</v>
      </c>
      <c r="C5138" s="1" t="n">
        <v>46093</v>
      </c>
      <c r="D5138" t="inlineStr">
        <is>
          <t>VÄSTERNORRLANDS LÄN</t>
        </is>
      </c>
      <c r="E5138" t="inlineStr">
        <is>
          <t>ÖRNSKÖLDSVIK</t>
        </is>
      </c>
      <c r="F5138" t="inlineStr">
        <is>
          <t>Holmen skog AB</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44045-2025</t>
        </is>
      </c>
      <c r="B5139" s="1" t="n">
        <v>45915.49804398148</v>
      </c>
      <c r="C5139" s="1" t="n">
        <v>46093</v>
      </c>
      <c r="D5139" t="inlineStr">
        <is>
          <t>VÄSTERNORRLANDS LÄN</t>
        </is>
      </c>
      <c r="E5139" t="inlineStr">
        <is>
          <t>ÖRNSKÖLDSVIK</t>
        </is>
      </c>
      <c r="F5139" t="inlineStr">
        <is>
          <t>Holmen skog AB</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42514-2023</t>
        </is>
      </c>
      <c r="B5140" s="1" t="n">
        <v>45180.95969907408</v>
      </c>
      <c r="C5140" s="1" t="n">
        <v>46093</v>
      </c>
      <c r="D5140" t="inlineStr">
        <is>
          <t>VÄSTERNORRLANDS LÄN</t>
        </is>
      </c>
      <c r="E5140" t="inlineStr">
        <is>
          <t>SOLLEFTEÅ</t>
        </is>
      </c>
      <c r="F5140" t="inlineStr">
        <is>
          <t>SCA</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3619-2024</t>
        </is>
      </c>
      <c r="B5141" s="1" t="n">
        <v>45320.95262731481</v>
      </c>
      <c r="C5141" s="1" t="n">
        <v>46093</v>
      </c>
      <c r="D5141" t="inlineStr">
        <is>
          <t>VÄSTERNORRLANDS LÄN</t>
        </is>
      </c>
      <c r="E5141" t="inlineStr">
        <is>
          <t>SUNDSVALL</t>
        </is>
      </c>
      <c r="F5141" t="inlineStr">
        <is>
          <t>SCA</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44123-2025</t>
        </is>
      </c>
      <c r="B5142" s="1" t="n">
        <v>45915.57984953704</v>
      </c>
      <c r="C5142" s="1" t="n">
        <v>46093</v>
      </c>
      <c r="D5142" t="inlineStr">
        <is>
          <t>VÄSTERNORRLANDS LÄN</t>
        </is>
      </c>
      <c r="E5142" t="inlineStr">
        <is>
          <t>ÖRNSKÖLDSVIK</t>
        </is>
      </c>
      <c r="F5142" t="inlineStr">
        <is>
          <t>Holmen skog AB</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42561-2023</t>
        </is>
      </c>
      <c r="B5143" s="1" t="n">
        <v>45181</v>
      </c>
      <c r="C5143" s="1" t="n">
        <v>46093</v>
      </c>
      <c r="D5143" t="inlineStr">
        <is>
          <t>VÄSTERNORRLANDS LÄN</t>
        </is>
      </c>
      <c r="E5143" t="inlineStr">
        <is>
          <t>ÖRNSKÖLDSVIK</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42614-2023</t>
        </is>
      </c>
      <c r="B5144" s="1" t="n">
        <v>45176</v>
      </c>
      <c r="C5144" s="1" t="n">
        <v>46093</v>
      </c>
      <c r="D5144" t="inlineStr">
        <is>
          <t>VÄSTERNORRLANDS LÄN</t>
        </is>
      </c>
      <c r="E5144" t="inlineStr">
        <is>
          <t>ÖRNSKÖLDSVIK</t>
        </is>
      </c>
      <c r="G5144" t="n">
        <v>3.5</v>
      </c>
      <c r="H5144" t="n">
        <v>0</v>
      </c>
      <c r="I5144" t="n">
        <v>0</v>
      </c>
      <c r="J5144" t="n">
        <v>0</v>
      </c>
      <c r="K5144" t="n">
        <v>0</v>
      </c>
      <c r="L5144" t="n">
        <v>0</v>
      </c>
      <c r="M5144" t="n">
        <v>0</v>
      </c>
      <c r="N5144" t="n">
        <v>0</v>
      </c>
      <c r="O5144" t="n">
        <v>0</v>
      </c>
      <c r="P5144" t="n">
        <v>0</v>
      </c>
      <c r="Q5144" t="n">
        <v>0</v>
      </c>
      <c r="R5144" s="2" t="inlineStr"/>
    </row>
    <row r="5145" ht="15" customHeight="1">
      <c r="A5145" t="inlineStr">
        <is>
          <t>A 44758-2024</t>
        </is>
      </c>
      <c r="B5145" s="1" t="n">
        <v>45574.61493055556</v>
      </c>
      <c r="C5145" s="1" t="n">
        <v>46093</v>
      </c>
      <c r="D5145" t="inlineStr">
        <is>
          <t>VÄSTERNORRLANDS LÄN</t>
        </is>
      </c>
      <c r="E5145" t="inlineStr">
        <is>
          <t>SUNDSVALL</t>
        </is>
      </c>
      <c r="G5145" t="n">
        <v>3.6</v>
      </c>
      <c r="H5145" t="n">
        <v>0</v>
      </c>
      <c r="I5145" t="n">
        <v>0</v>
      </c>
      <c r="J5145" t="n">
        <v>0</v>
      </c>
      <c r="K5145" t="n">
        <v>0</v>
      </c>
      <c r="L5145" t="n">
        <v>0</v>
      </c>
      <c r="M5145" t="n">
        <v>0</v>
      </c>
      <c r="N5145" t="n">
        <v>0</v>
      </c>
      <c r="O5145" t="n">
        <v>0</v>
      </c>
      <c r="P5145" t="n">
        <v>0</v>
      </c>
      <c r="Q5145" t="n">
        <v>0</v>
      </c>
      <c r="R5145" s="2" t="inlineStr"/>
    </row>
    <row r="5146" ht="15" customHeight="1">
      <c r="A5146" t="inlineStr">
        <is>
          <t>A 44509-2025</t>
        </is>
      </c>
      <c r="B5146" s="1" t="n">
        <v>45916.68762731482</v>
      </c>
      <c r="C5146" s="1" t="n">
        <v>46093</v>
      </c>
      <c r="D5146" t="inlineStr">
        <is>
          <t>VÄSTERNORRLANDS LÄN</t>
        </is>
      </c>
      <c r="E5146" t="inlineStr">
        <is>
          <t>KRAMFORS</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5358-2023</t>
        </is>
      </c>
      <c r="B5147" s="1" t="n">
        <v>44956</v>
      </c>
      <c r="C5147" s="1" t="n">
        <v>46093</v>
      </c>
      <c r="D5147" t="inlineStr">
        <is>
          <t>VÄSTERNORRLANDS LÄN</t>
        </is>
      </c>
      <c r="E5147" t="inlineStr">
        <is>
          <t>KRAMFORS</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41492-2024</t>
        </is>
      </c>
      <c r="B5148" s="1" t="n">
        <v>45560.45149305555</v>
      </c>
      <c r="C5148" s="1" t="n">
        <v>46093</v>
      </c>
      <c r="D5148" t="inlineStr">
        <is>
          <t>VÄSTERNORRLANDS LÄN</t>
        </is>
      </c>
      <c r="E5148" t="inlineStr">
        <is>
          <t>ÖRNSKÖLDSVIK</t>
        </is>
      </c>
      <c r="F5148" t="inlineStr">
        <is>
          <t>Holmen skog AB</t>
        </is>
      </c>
      <c r="G5148" t="n">
        <v>3.2</v>
      </c>
      <c r="H5148" t="n">
        <v>0</v>
      </c>
      <c r="I5148" t="n">
        <v>0</v>
      </c>
      <c r="J5148" t="n">
        <v>0</v>
      </c>
      <c r="K5148" t="n">
        <v>0</v>
      </c>
      <c r="L5148" t="n">
        <v>0</v>
      </c>
      <c r="M5148" t="n">
        <v>0</v>
      </c>
      <c r="N5148" t="n">
        <v>0</v>
      </c>
      <c r="O5148" t="n">
        <v>0</v>
      </c>
      <c r="P5148" t="n">
        <v>0</v>
      </c>
      <c r="Q5148" t="n">
        <v>0</v>
      </c>
      <c r="R5148" s="2" t="inlineStr"/>
    </row>
    <row r="5149" ht="15" customHeight="1">
      <c r="A5149" t="inlineStr">
        <is>
          <t>A 53856-2024</t>
        </is>
      </c>
      <c r="B5149" s="1" t="n">
        <v>45615</v>
      </c>
      <c r="C5149" s="1" t="n">
        <v>46093</v>
      </c>
      <c r="D5149" t="inlineStr">
        <is>
          <t>VÄSTERNORRLANDS LÄN</t>
        </is>
      </c>
      <c r="E5149" t="inlineStr">
        <is>
          <t>ÅNGE</t>
        </is>
      </c>
      <c r="F5149" t="inlineStr">
        <is>
          <t>SCA</t>
        </is>
      </c>
      <c r="G5149" t="n">
        <v>2.9</v>
      </c>
      <c r="H5149" t="n">
        <v>0</v>
      </c>
      <c r="I5149" t="n">
        <v>0</v>
      </c>
      <c r="J5149" t="n">
        <v>0</v>
      </c>
      <c r="K5149" t="n">
        <v>0</v>
      </c>
      <c r="L5149" t="n">
        <v>0</v>
      </c>
      <c r="M5149" t="n">
        <v>0</v>
      </c>
      <c r="N5149" t="n">
        <v>0</v>
      </c>
      <c r="O5149" t="n">
        <v>0</v>
      </c>
      <c r="P5149" t="n">
        <v>0</v>
      </c>
      <c r="Q5149" t="n">
        <v>0</v>
      </c>
      <c r="R5149" s="2" t="inlineStr"/>
    </row>
    <row r="5150" ht="15" customHeight="1">
      <c r="A5150" t="inlineStr">
        <is>
          <t>A 43127-2024</t>
        </is>
      </c>
      <c r="B5150" s="1" t="n">
        <v>45567</v>
      </c>
      <c r="C5150" s="1" t="n">
        <v>46093</v>
      </c>
      <c r="D5150" t="inlineStr">
        <is>
          <t>VÄSTERNORRLANDS LÄN</t>
        </is>
      </c>
      <c r="E5150" t="inlineStr">
        <is>
          <t>ÖRNSKÖLDSVIK</t>
        </is>
      </c>
      <c r="G5150" t="n">
        <v>7.5</v>
      </c>
      <c r="H5150" t="n">
        <v>0</v>
      </c>
      <c r="I5150" t="n">
        <v>0</v>
      </c>
      <c r="J5150" t="n">
        <v>0</v>
      </c>
      <c r="K5150" t="n">
        <v>0</v>
      </c>
      <c r="L5150" t="n">
        <v>0</v>
      </c>
      <c r="M5150" t="n">
        <v>0</v>
      </c>
      <c r="N5150" t="n">
        <v>0</v>
      </c>
      <c r="O5150" t="n">
        <v>0</v>
      </c>
      <c r="P5150" t="n">
        <v>0</v>
      </c>
      <c r="Q5150" t="n">
        <v>0</v>
      </c>
      <c r="R5150" s="2" t="inlineStr"/>
    </row>
    <row r="5151" ht="15" customHeight="1">
      <c r="A5151" t="inlineStr">
        <is>
          <t>A 36193-2025</t>
        </is>
      </c>
      <c r="B5151" s="1" t="n">
        <v>45867.42741898148</v>
      </c>
      <c r="C5151" s="1" t="n">
        <v>46093</v>
      </c>
      <c r="D5151" t="inlineStr">
        <is>
          <t>VÄSTERNORRLANDS LÄN</t>
        </is>
      </c>
      <c r="E5151" t="inlineStr">
        <is>
          <t>ÅNGE</t>
        </is>
      </c>
      <c r="F5151" t="inlineStr">
        <is>
          <t>SCA</t>
        </is>
      </c>
      <c r="G5151" t="n">
        <v>3.2</v>
      </c>
      <c r="H5151" t="n">
        <v>0</v>
      </c>
      <c r="I5151" t="n">
        <v>0</v>
      </c>
      <c r="J5151" t="n">
        <v>0</v>
      </c>
      <c r="K5151" t="n">
        <v>0</v>
      </c>
      <c r="L5151" t="n">
        <v>0</v>
      </c>
      <c r="M5151" t="n">
        <v>0</v>
      </c>
      <c r="N5151" t="n">
        <v>0</v>
      </c>
      <c r="O5151" t="n">
        <v>0</v>
      </c>
      <c r="P5151" t="n">
        <v>0</v>
      </c>
      <c r="Q5151" t="n">
        <v>0</v>
      </c>
      <c r="R5151" s="2" t="inlineStr"/>
    </row>
    <row r="5152" ht="15" customHeight="1">
      <c r="A5152" t="inlineStr">
        <is>
          <t>A 36316-2025</t>
        </is>
      </c>
      <c r="B5152" s="1" t="n">
        <v>45868.36584490741</v>
      </c>
      <c r="C5152" s="1" t="n">
        <v>46093</v>
      </c>
      <c r="D5152" t="inlineStr">
        <is>
          <t>VÄSTERNORRLANDS LÄN</t>
        </is>
      </c>
      <c r="E5152" t="inlineStr">
        <is>
          <t>KRAMFORS</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15859-2024</t>
        </is>
      </c>
      <c r="B5153" s="1" t="n">
        <v>45404.99732638889</v>
      </c>
      <c r="C5153" s="1" t="n">
        <v>46093</v>
      </c>
      <c r="D5153" t="inlineStr">
        <is>
          <t>VÄSTERNORRLANDS LÄN</t>
        </is>
      </c>
      <c r="E5153" t="inlineStr">
        <is>
          <t>SOLLEFTEÅ</t>
        </is>
      </c>
      <c r="F5153" t="inlineStr">
        <is>
          <t>SCA</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16786-2023</t>
        </is>
      </c>
      <c r="B5154" s="1" t="n">
        <v>45032</v>
      </c>
      <c r="C5154" s="1" t="n">
        <v>46093</v>
      </c>
      <c r="D5154" t="inlineStr">
        <is>
          <t>VÄSTERNORRLANDS LÄN</t>
        </is>
      </c>
      <c r="E5154" t="inlineStr">
        <is>
          <t>TIMRÅ</t>
        </is>
      </c>
      <c r="F5154" t="inlineStr">
        <is>
          <t>SCA</t>
        </is>
      </c>
      <c r="G5154" t="n">
        <v>6.1</v>
      </c>
      <c r="H5154" t="n">
        <v>0</v>
      </c>
      <c r="I5154" t="n">
        <v>0</v>
      </c>
      <c r="J5154" t="n">
        <v>0</v>
      </c>
      <c r="K5154" t="n">
        <v>0</v>
      </c>
      <c r="L5154" t="n">
        <v>0</v>
      </c>
      <c r="M5154" t="n">
        <v>0</v>
      </c>
      <c r="N5154" t="n">
        <v>0</v>
      </c>
      <c r="O5154" t="n">
        <v>0</v>
      </c>
      <c r="P5154" t="n">
        <v>0</v>
      </c>
      <c r="Q5154" t="n">
        <v>0</v>
      </c>
      <c r="R5154" s="2" t="inlineStr"/>
    </row>
    <row r="5155" ht="15" customHeight="1">
      <c r="A5155" t="inlineStr">
        <is>
          <t>A 44222-2025</t>
        </is>
      </c>
      <c r="B5155" s="1" t="n">
        <v>45915.63806712963</v>
      </c>
      <c r="C5155" s="1" t="n">
        <v>46093</v>
      </c>
      <c r="D5155" t="inlineStr">
        <is>
          <t>VÄSTERNORRLANDS LÄN</t>
        </is>
      </c>
      <c r="E5155" t="inlineStr">
        <is>
          <t>ÖRNSKÖLDSVIK</t>
        </is>
      </c>
      <c r="F5155" t="inlineStr">
        <is>
          <t>Holmen skog AB</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38272-2024</t>
        </is>
      </c>
      <c r="B5156" s="1" t="n">
        <v>45545.60392361111</v>
      </c>
      <c r="C5156" s="1" t="n">
        <v>46093</v>
      </c>
      <c r="D5156" t="inlineStr">
        <is>
          <t>VÄSTERNORRLANDS LÄN</t>
        </is>
      </c>
      <c r="E5156" t="inlineStr">
        <is>
          <t>ÅNGE</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38275-2024</t>
        </is>
      </c>
      <c r="B5157" s="1" t="n">
        <v>45545</v>
      </c>
      <c r="C5157" s="1" t="n">
        <v>46093</v>
      </c>
      <c r="D5157" t="inlineStr">
        <is>
          <t>VÄSTERNORRLANDS LÄN</t>
        </is>
      </c>
      <c r="E5157" t="inlineStr">
        <is>
          <t>SOLLEFTEÅ</t>
        </is>
      </c>
      <c r="G5157" t="n">
        <v>3.8</v>
      </c>
      <c r="H5157" t="n">
        <v>0</v>
      </c>
      <c r="I5157" t="n">
        <v>0</v>
      </c>
      <c r="J5157" t="n">
        <v>0</v>
      </c>
      <c r="K5157" t="n">
        <v>0</v>
      </c>
      <c r="L5157" t="n">
        <v>0</v>
      </c>
      <c r="M5157" t="n">
        <v>0</v>
      </c>
      <c r="N5157" t="n">
        <v>0</v>
      </c>
      <c r="O5157" t="n">
        <v>0</v>
      </c>
      <c r="P5157" t="n">
        <v>0</v>
      </c>
      <c r="Q5157" t="n">
        <v>0</v>
      </c>
      <c r="R5157" s="2" t="inlineStr"/>
    </row>
    <row r="5158" ht="15" customHeight="1">
      <c r="A5158" t="inlineStr">
        <is>
          <t>A 57505-2022</t>
        </is>
      </c>
      <c r="B5158" s="1" t="n">
        <v>44896.64175925926</v>
      </c>
      <c r="C5158" s="1" t="n">
        <v>46093</v>
      </c>
      <c r="D5158" t="inlineStr">
        <is>
          <t>VÄSTERNORRLANDS LÄN</t>
        </is>
      </c>
      <c r="E5158" t="inlineStr">
        <is>
          <t>ÖRNSKÖLDSVIK</t>
        </is>
      </c>
      <c r="F5158" t="inlineStr">
        <is>
          <t>Holmen skog AB</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21896-2022</t>
        </is>
      </c>
      <c r="B5159" s="1" t="n">
        <v>44711</v>
      </c>
      <c r="C5159" s="1" t="n">
        <v>46093</v>
      </c>
      <c r="D5159" t="inlineStr">
        <is>
          <t>VÄSTERNORRLANDS LÄN</t>
        </is>
      </c>
      <c r="E5159" t="inlineStr">
        <is>
          <t>ÖRNSKÖLDSVIK</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44266-2025</t>
        </is>
      </c>
      <c r="B5160" s="1" t="n">
        <v>45916.295625</v>
      </c>
      <c r="C5160" s="1" t="n">
        <v>46093</v>
      </c>
      <c r="D5160" t="inlineStr">
        <is>
          <t>VÄSTERNORRLANDS LÄN</t>
        </is>
      </c>
      <c r="E5160" t="inlineStr">
        <is>
          <t>ÖRNSKÖLDSVIK</t>
        </is>
      </c>
      <c r="F5160" t="inlineStr">
        <is>
          <t>Holmen skog AB</t>
        </is>
      </c>
      <c r="G5160" t="n">
        <v>2.9</v>
      </c>
      <c r="H5160" t="n">
        <v>0</v>
      </c>
      <c r="I5160" t="n">
        <v>0</v>
      </c>
      <c r="J5160" t="n">
        <v>0</v>
      </c>
      <c r="K5160" t="n">
        <v>0</v>
      </c>
      <c r="L5160" t="n">
        <v>0</v>
      </c>
      <c r="M5160" t="n">
        <v>0</v>
      </c>
      <c r="N5160" t="n">
        <v>0</v>
      </c>
      <c r="O5160" t="n">
        <v>0</v>
      </c>
      <c r="P5160" t="n">
        <v>0</v>
      </c>
      <c r="Q5160" t="n">
        <v>0</v>
      </c>
      <c r="R5160" s="2" t="inlineStr"/>
    </row>
    <row r="5161" ht="15" customHeight="1">
      <c r="A5161" t="inlineStr">
        <is>
          <t>A 44284-2025</t>
        </is>
      </c>
      <c r="B5161" s="1" t="n">
        <v>45916.34548611111</v>
      </c>
      <c r="C5161" s="1" t="n">
        <v>46093</v>
      </c>
      <c r="D5161" t="inlineStr">
        <is>
          <t>VÄSTERNORRLANDS LÄN</t>
        </is>
      </c>
      <c r="E5161" t="inlineStr">
        <is>
          <t>SUNDSVALL</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3462-2024</t>
        </is>
      </c>
      <c r="B5162" s="1" t="n">
        <v>45320</v>
      </c>
      <c r="C5162" s="1" t="n">
        <v>46093</v>
      </c>
      <c r="D5162" t="inlineStr">
        <is>
          <t>VÄSTERNORRLANDS LÄN</t>
        </is>
      </c>
      <c r="E5162" t="inlineStr">
        <is>
          <t>KRAMFORS</t>
        </is>
      </c>
      <c r="F5162" t="inlineStr">
        <is>
          <t>Kommuner</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32540-2024</t>
        </is>
      </c>
      <c r="B5163" s="1" t="n">
        <v>45513</v>
      </c>
      <c r="C5163" s="1" t="n">
        <v>46093</v>
      </c>
      <c r="D5163" t="inlineStr">
        <is>
          <t>VÄSTERNORRLANDS LÄN</t>
        </is>
      </c>
      <c r="E5163" t="inlineStr">
        <is>
          <t>ÖRNSKÖLDSVIK</t>
        </is>
      </c>
      <c r="F5163" t="inlineStr">
        <is>
          <t>Holmen skog AB</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8220-2022</t>
        </is>
      </c>
      <c r="B5164" s="1" t="n">
        <v>44609</v>
      </c>
      <c r="C5164" s="1" t="n">
        <v>46093</v>
      </c>
      <c r="D5164" t="inlineStr">
        <is>
          <t>VÄSTERNORRLANDS LÄN</t>
        </is>
      </c>
      <c r="E5164" t="inlineStr">
        <is>
          <t>HÄRNÖSAND</t>
        </is>
      </c>
      <c r="F5164" t="inlineStr">
        <is>
          <t>Övriga statliga verk och myndigheter</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8232-2022</t>
        </is>
      </c>
      <c r="B5165" s="1" t="n">
        <v>44609.94840277778</v>
      </c>
      <c r="C5165" s="1" t="n">
        <v>46093</v>
      </c>
      <c r="D5165" t="inlineStr">
        <is>
          <t>VÄSTERNORRLANDS LÄN</t>
        </is>
      </c>
      <c r="E5165" t="inlineStr">
        <is>
          <t>SUNDSVALL</t>
        </is>
      </c>
      <c r="F5165" t="inlineStr">
        <is>
          <t>SCA</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36336-2025</t>
        </is>
      </c>
      <c r="B5166" s="1" t="n">
        <v>45868.44751157407</v>
      </c>
      <c r="C5166" s="1" t="n">
        <v>46093</v>
      </c>
      <c r="D5166" t="inlineStr">
        <is>
          <t>VÄSTERNORRLANDS LÄN</t>
        </is>
      </c>
      <c r="E5166" t="inlineStr">
        <is>
          <t>ÅNGE</t>
        </is>
      </c>
      <c r="G5166" t="n">
        <v>7.3</v>
      </c>
      <c r="H5166" t="n">
        <v>0</v>
      </c>
      <c r="I5166" t="n">
        <v>0</v>
      </c>
      <c r="J5166" t="n">
        <v>0</v>
      </c>
      <c r="K5166" t="n">
        <v>0</v>
      </c>
      <c r="L5166" t="n">
        <v>0</v>
      </c>
      <c r="M5166" t="n">
        <v>0</v>
      </c>
      <c r="N5166" t="n">
        <v>0</v>
      </c>
      <c r="O5166" t="n">
        <v>0</v>
      </c>
      <c r="P5166" t="n">
        <v>0</v>
      </c>
      <c r="Q5166" t="n">
        <v>0</v>
      </c>
      <c r="R5166" s="2" t="inlineStr"/>
    </row>
    <row r="5167" ht="15" customHeight="1">
      <c r="A5167" t="inlineStr">
        <is>
          <t>A 67702-2021</t>
        </is>
      </c>
      <c r="B5167" s="1" t="n">
        <v>44524.94660879629</v>
      </c>
      <c r="C5167" s="1" t="n">
        <v>46093</v>
      </c>
      <c r="D5167" t="inlineStr">
        <is>
          <t>VÄSTERNORRLANDS LÄN</t>
        </is>
      </c>
      <c r="E5167" t="inlineStr">
        <is>
          <t>SOLLEFTEÅ</t>
        </is>
      </c>
      <c r="F5167" t="inlineStr">
        <is>
          <t>SCA</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44422-2025</t>
        </is>
      </c>
      <c r="B5168" s="1" t="n">
        <v>45916.55469907408</v>
      </c>
      <c r="C5168" s="1" t="n">
        <v>46093</v>
      </c>
      <c r="D5168" t="inlineStr">
        <is>
          <t>VÄSTERNORRLANDS LÄN</t>
        </is>
      </c>
      <c r="E5168" t="inlineStr">
        <is>
          <t>ÖRNSKÖLDSVIK</t>
        </is>
      </c>
      <c r="G5168" t="n">
        <v>2.7</v>
      </c>
      <c r="H5168" t="n">
        <v>0</v>
      </c>
      <c r="I5168" t="n">
        <v>0</v>
      </c>
      <c r="J5168" t="n">
        <v>0</v>
      </c>
      <c r="K5168" t="n">
        <v>0</v>
      </c>
      <c r="L5168" t="n">
        <v>0</v>
      </c>
      <c r="M5168" t="n">
        <v>0</v>
      </c>
      <c r="N5168" t="n">
        <v>0</v>
      </c>
      <c r="O5168" t="n">
        <v>0</v>
      </c>
      <c r="P5168" t="n">
        <v>0</v>
      </c>
      <c r="Q5168" t="n">
        <v>0</v>
      </c>
      <c r="R5168" s="2" t="inlineStr"/>
    </row>
    <row r="5169" ht="15" customHeight="1">
      <c r="A5169" t="inlineStr">
        <is>
          <t>A 44426-2025</t>
        </is>
      </c>
      <c r="B5169" s="1" t="n">
        <v>45916</v>
      </c>
      <c r="C5169" s="1" t="n">
        <v>46093</v>
      </c>
      <c r="D5169" t="inlineStr">
        <is>
          <t>VÄSTERNORRLANDS LÄN</t>
        </is>
      </c>
      <c r="E5169" t="inlineStr">
        <is>
          <t>SUNDSVALL</t>
        </is>
      </c>
      <c r="G5169" t="n">
        <v>2.4</v>
      </c>
      <c r="H5169" t="n">
        <v>0</v>
      </c>
      <c r="I5169" t="n">
        <v>0</v>
      </c>
      <c r="J5169" t="n">
        <v>0</v>
      </c>
      <c r="K5169" t="n">
        <v>0</v>
      </c>
      <c r="L5169" t="n">
        <v>0</v>
      </c>
      <c r="M5169" t="n">
        <v>0</v>
      </c>
      <c r="N5169" t="n">
        <v>0</v>
      </c>
      <c r="O5169" t="n">
        <v>0</v>
      </c>
      <c r="P5169" t="n">
        <v>0</v>
      </c>
      <c r="Q5169" t="n">
        <v>0</v>
      </c>
      <c r="R5169" s="2" t="inlineStr"/>
      <c r="U5169">
        <f>HYPERLINK("https://klasma.github.io/Logging_2281/knärot/A 44426-2025 karta knärot.png", "A 44426-2025")</f>
        <v/>
      </c>
      <c r="V5169">
        <f>HYPERLINK("https://klasma.github.io/Logging_2281/klagomål/A 44426-2025 FSC-klagomål.docx", "A 44426-2025")</f>
        <v/>
      </c>
      <c r="W5169">
        <f>HYPERLINK("https://klasma.github.io/Logging_2281/klagomålsmail/A 44426-2025 FSC-klagomål mail.docx", "A 44426-2025")</f>
        <v/>
      </c>
      <c r="X5169">
        <f>HYPERLINK("https://klasma.github.io/Logging_2281/tillsyn/A 44426-2025 tillsynsbegäran.docx", "A 44426-2025")</f>
        <v/>
      </c>
      <c r="Y5169">
        <f>HYPERLINK("https://klasma.github.io/Logging_2281/tillsynsmail/A 44426-2025 tillsynsbegäran mail.docx", "A 44426-2025")</f>
        <v/>
      </c>
    </row>
    <row r="5170" ht="15" customHeight="1">
      <c r="A5170" t="inlineStr">
        <is>
          <t>A 44032-2025</t>
        </is>
      </c>
      <c r="B5170" s="1" t="n">
        <v>45915.49033564814</v>
      </c>
      <c r="C5170" s="1" t="n">
        <v>46093</v>
      </c>
      <c r="D5170" t="inlineStr">
        <is>
          <t>VÄSTERNORRLANDS LÄN</t>
        </is>
      </c>
      <c r="E5170" t="inlineStr">
        <is>
          <t>HÄRNÖSAND</t>
        </is>
      </c>
      <c r="F5170" t="inlineStr">
        <is>
          <t>SCA</t>
        </is>
      </c>
      <c r="G5170" t="n">
        <v>2.8</v>
      </c>
      <c r="H5170" t="n">
        <v>0</v>
      </c>
      <c r="I5170" t="n">
        <v>0</v>
      </c>
      <c r="J5170" t="n">
        <v>0</v>
      </c>
      <c r="K5170" t="n">
        <v>0</v>
      </c>
      <c r="L5170" t="n">
        <v>0</v>
      </c>
      <c r="M5170" t="n">
        <v>0</v>
      </c>
      <c r="N5170" t="n">
        <v>0</v>
      </c>
      <c r="O5170" t="n">
        <v>0</v>
      </c>
      <c r="P5170" t="n">
        <v>0</v>
      </c>
      <c r="Q5170" t="n">
        <v>0</v>
      </c>
      <c r="R5170" s="2" t="inlineStr"/>
    </row>
    <row r="5171" ht="15" customHeight="1">
      <c r="A5171" t="inlineStr">
        <is>
          <t>A 44165-2025</t>
        </is>
      </c>
      <c r="B5171" s="1" t="n">
        <v>45915.59840277778</v>
      </c>
      <c r="C5171" s="1" t="n">
        <v>46093</v>
      </c>
      <c r="D5171" t="inlineStr">
        <is>
          <t>VÄSTERNORRLANDS LÄN</t>
        </is>
      </c>
      <c r="E5171" t="inlineStr">
        <is>
          <t>ÅNGE</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44325-2025</t>
        </is>
      </c>
      <c r="B5172" s="1" t="n">
        <v>45916.40726851852</v>
      </c>
      <c r="C5172" s="1" t="n">
        <v>46093</v>
      </c>
      <c r="D5172" t="inlineStr">
        <is>
          <t>VÄSTERNORRLANDS LÄN</t>
        </is>
      </c>
      <c r="E5172" t="inlineStr">
        <is>
          <t>TIMRÅ</t>
        </is>
      </c>
      <c r="F5172" t="inlineStr">
        <is>
          <t>SCA</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10870-2024</t>
        </is>
      </c>
      <c r="B5173" s="1" t="n">
        <v>45370.02083333334</v>
      </c>
      <c r="C5173" s="1" t="n">
        <v>46093</v>
      </c>
      <c r="D5173" t="inlineStr">
        <is>
          <t>VÄSTERNORRLANDS LÄN</t>
        </is>
      </c>
      <c r="E5173" t="inlineStr">
        <is>
          <t>SOLLEFTEÅ</t>
        </is>
      </c>
      <c r="F5173" t="inlineStr">
        <is>
          <t>SCA</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36274-2025</t>
        </is>
      </c>
      <c r="B5174" s="1" t="n">
        <v>45867.63579861111</v>
      </c>
      <c r="C5174" s="1" t="n">
        <v>46093</v>
      </c>
      <c r="D5174" t="inlineStr">
        <is>
          <t>VÄSTERNORRLANDS LÄN</t>
        </is>
      </c>
      <c r="E5174" t="inlineStr">
        <is>
          <t>SOLLEFTEÅ</t>
        </is>
      </c>
      <c r="F5174" t="inlineStr">
        <is>
          <t>SCA</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36313-2025</t>
        </is>
      </c>
      <c r="B5175" s="1" t="n">
        <v>45868.34456018519</v>
      </c>
      <c r="C5175" s="1" t="n">
        <v>46093</v>
      </c>
      <c r="D5175" t="inlineStr">
        <is>
          <t>VÄSTERNORRLANDS LÄN</t>
        </is>
      </c>
      <c r="E5175" t="inlineStr">
        <is>
          <t>SOLLEFTEÅ</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11026-2025</t>
        </is>
      </c>
      <c r="B5176" s="1" t="n">
        <v>45723.46961805555</v>
      </c>
      <c r="C5176" s="1" t="n">
        <v>46093</v>
      </c>
      <c r="D5176" t="inlineStr">
        <is>
          <t>VÄSTERNORRLANDS LÄN</t>
        </is>
      </c>
      <c r="E5176" t="inlineStr">
        <is>
          <t>SOLLEFTEÅ</t>
        </is>
      </c>
      <c r="F5176" t="inlineStr">
        <is>
          <t>SCA</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15802-2022</t>
        </is>
      </c>
      <c r="B5177" s="1" t="n">
        <v>44663.92585648148</v>
      </c>
      <c r="C5177" s="1" t="n">
        <v>46093</v>
      </c>
      <c r="D5177" t="inlineStr">
        <is>
          <t>VÄSTERNORRLANDS LÄN</t>
        </is>
      </c>
      <c r="E5177" t="inlineStr">
        <is>
          <t>SUNDSVALL</t>
        </is>
      </c>
      <c r="G5177" t="n">
        <v>4.6</v>
      </c>
      <c r="H5177" t="n">
        <v>0</v>
      </c>
      <c r="I5177" t="n">
        <v>0</v>
      </c>
      <c r="J5177" t="n">
        <v>0</v>
      </c>
      <c r="K5177" t="n">
        <v>0</v>
      </c>
      <c r="L5177" t="n">
        <v>0</v>
      </c>
      <c r="M5177" t="n">
        <v>0</v>
      </c>
      <c r="N5177" t="n">
        <v>0</v>
      </c>
      <c r="O5177" t="n">
        <v>0</v>
      </c>
      <c r="P5177" t="n">
        <v>0</v>
      </c>
      <c r="Q5177" t="n">
        <v>0</v>
      </c>
      <c r="R5177" s="2" t="inlineStr"/>
    </row>
    <row r="5178" ht="15" customHeight="1">
      <c r="A5178" t="inlineStr">
        <is>
          <t>A 44482-2025</t>
        </is>
      </c>
      <c r="B5178" s="1" t="n">
        <v>45916.64935185185</v>
      </c>
      <c r="C5178" s="1" t="n">
        <v>46093</v>
      </c>
      <c r="D5178" t="inlineStr">
        <is>
          <t>VÄSTERNORRLANDS LÄN</t>
        </is>
      </c>
      <c r="E5178" t="inlineStr">
        <is>
          <t>ÖRNSKÖLDSVIK</t>
        </is>
      </c>
      <c r="F5178" t="inlineStr">
        <is>
          <t>Holmen skog AB</t>
        </is>
      </c>
      <c r="G5178" t="n">
        <v>3</v>
      </c>
      <c r="H5178" t="n">
        <v>0</v>
      </c>
      <c r="I5178" t="n">
        <v>0</v>
      </c>
      <c r="J5178" t="n">
        <v>0</v>
      </c>
      <c r="K5178" t="n">
        <v>0</v>
      </c>
      <c r="L5178" t="n">
        <v>0</v>
      </c>
      <c r="M5178" t="n">
        <v>0</v>
      </c>
      <c r="N5178" t="n">
        <v>0</v>
      </c>
      <c r="O5178" t="n">
        <v>0</v>
      </c>
      <c r="P5178" t="n">
        <v>0</v>
      </c>
      <c r="Q5178" t="n">
        <v>0</v>
      </c>
      <c r="R5178" s="2" t="inlineStr"/>
    </row>
    <row r="5179" ht="15" customHeight="1">
      <c r="A5179" t="inlineStr">
        <is>
          <t>A 40317-2024</t>
        </is>
      </c>
      <c r="B5179" s="1" t="n">
        <v>45554.793125</v>
      </c>
      <c r="C5179" s="1" t="n">
        <v>46093</v>
      </c>
      <c r="D5179" t="inlineStr">
        <is>
          <t>VÄSTERNORRLANDS LÄN</t>
        </is>
      </c>
      <c r="E5179" t="inlineStr">
        <is>
          <t>SUNDSVALL</t>
        </is>
      </c>
      <c r="G5179" t="n">
        <v>12.5</v>
      </c>
      <c r="H5179" t="n">
        <v>0</v>
      </c>
      <c r="I5179" t="n">
        <v>0</v>
      </c>
      <c r="J5179" t="n">
        <v>0</v>
      </c>
      <c r="K5179" t="n">
        <v>0</v>
      </c>
      <c r="L5179" t="n">
        <v>0</v>
      </c>
      <c r="M5179" t="n">
        <v>0</v>
      </c>
      <c r="N5179" t="n">
        <v>0</v>
      </c>
      <c r="O5179" t="n">
        <v>0</v>
      </c>
      <c r="P5179" t="n">
        <v>0</v>
      </c>
      <c r="Q5179" t="n">
        <v>0</v>
      </c>
      <c r="R5179" s="2" t="inlineStr"/>
    </row>
    <row r="5180" ht="15" customHeight="1">
      <c r="A5180" t="inlineStr">
        <is>
          <t>A 44105-2025</t>
        </is>
      </c>
      <c r="B5180" s="1" t="n">
        <v>45915.57025462963</v>
      </c>
      <c r="C5180" s="1" t="n">
        <v>46093</v>
      </c>
      <c r="D5180" t="inlineStr">
        <is>
          <t>VÄSTERNORRLANDS LÄN</t>
        </is>
      </c>
      <c r="E5180" t="inlineStr">
        <is>
          <t>ÖRNSKÖLDSVIK</t>
        </is>
      </c>
      <c r="F5180" t="inlineStr">
        <is>
          <t>Holmen skog AB</t>
        </is>
      </c>
      <c r="G5180" t="n">
        <v>7.5</v>
      </c>
      <c r="H5180" t="n">
        <v>0</v>
      </c>
      <c r="I5180" t="n">
        <v>0</v>
      </c>
      <c r="J5180" t="n">
        <v>0</v>
      </c>
      <c r="K5180" t="n">
        <v>0</v>
      </c>
      <c r="L5180" t="n">
        <v>0</v>
      </c>
      <c r="M5180" t="n">
        <v>0</v>
      </c>
      <c r="N5180" t="n">
        <v>0</v>
      </c>
      <c r="O5180" t="n">
        <v>0</v>
      </c>
      <c r="P5180" t="n">
        <v>0</v>
      </c>
      <c r="Q5180" t="n">
        <v>0</v>
      </c>
      <c r="R5180" s="2" t="inlineStr"/>
    </row>
    <row r="5181" ht="15" customHeight="1">
      <c r="A5181" t="inlineStr">
        <is>
          <t>A 44255-2025</t>
        </is>
      </c>
      <c r="B5181" s="1" t="n">
        <v>45915.73341435185</v>
      </c>
      <c r="C5181" s="1" t="n">
        <v>46093</v>
      </c>
      <c r="D5181" t="inlineStr">
        <is>
          <t>VÄSTERNORRLANDS LÄN</t>
        </is>
      </c>
      <c r="E5181" t="inlineStr">
        <is>
          <t>ÖRNSKÖLDSVIK</t>
        </is>
      </c>
      <c r="G5181" t="n">
        <v>8.5</v>
      </c>
      <c r="H5181" t="n">
        <v>0</v>
      </c>
      <c r="I5181" t="n">
        <v>0</v>
      </c>
      <c r="J5181" t="n">
        <v>0</v>
      </c>
      <c r="K5181" t="n">
        <v>0</v>
      </c>
      <c r="L5181" t="n">
        <v>0</v>
      </c>
      <c r="M5181" t="n">
        <v>0</v>
      </c>
      <c r="N5181" t="n">
        <v>0</v>
      </c>
      <c r="O5181" t="n">
        <v>0</v>
      </c>
      <c r="P5181" t="n">
        <v>0</v>
      </c>
      <c r="Q5181" t="n">
        <v>0</v>
      </c>
      <c r="R5181" s="2" t="inlineStr"/>
    </row>
    <row r="5182" ht="15" customHeight="1">
      <c r="A5182" t="inlineStr">
        <is>
          <t>A 18198-2023</t>
        </is>
      </c>
      <c r="B5182" s="1" t="n">
        <v>45041.36590277778</v>
      </c>
      <c r="C5182" s="1" t="n">
        <v>46093</v>
      </c>
      <c r="D5182" t="inlineStr">
        <is>
          <t>VÄSTERNORRLANDS LÄN</t>
        </is>
      </c>
      <c r="E5182" t="inlineStr">
        <is>
          <t>ÖRNSKÖLDSVIK</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44358-2025</t>
        </is>
      </c>
      <c r="B5183" s="1" t="n">
        <v>45915</v>
      </c>
      <c r="C5183" s="1" t="n">
        <v>46093</v>
      </c>
      <c r="D5183" t="inlineStr">
        <is>
          <t>VÄSTERNORRLANDS LÄN</t>
        </is>
      </c>
      <c r="E5183" t="inlineStr">
        <is>
          <t>ÖRNSKÖLDSVIK</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18203-2023</t>
        </is>
      </c>
      <c r="B5184" s="1" t="n">
        <v>45041.37564814815</v>
      </c>
      <c r="C5184" s="1" t="n">
        <v>46093</v>
      </c>
      <c r="D5184" t="inlineStr">
        <is>
          <t>VÄSTERNORRLANDS LÄN</t>
        </is>
      </c>
      <c r="E5184" t="inlineStr">
        <is>
          <t>ÖRNSKÖLDSVIK</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16593-2023</t>
        </is>
      </c>
      <c r="B5185" s="1" t="n">
        <v>45030</v>
      </c>
      <c r="C5185" s="1" t="n">
        <v>46093</v>
      </c>
      <c r="D5185" t="inlineStr">
        <is>
          <t>VÄSTERNORRLANDS LÄN</t>
        </is>
      </c>
      <c r="E5185" t="inlineStr">
        <is>
          <t>ÅNGE</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16600-2023</t>
        </is>
      </c>
      <c r="B5186" s="1" t="n">
        <v>45030</v>
      </c>
      <c r="C5186" s="1" t="n">
        <v>46093</v>
      </c>
      <c r="D5186" t="inlineStr">
        <is>
          <t>VÄSTERNORRLANDS LÄN</t>
        </is>
      </c>
      <c r="E5186" t="inlineStr">
        <is>
          <t>ÅNGE</t>
        </is>
      </c>
      <c r="G5186" t="n">
        <v>0.1</v>
      </c>
      <c r="H5186" t="n">
        <v>0</v>
      </c>
      <c r="I5186" t="n">
        <v>0</v>
      </c>
      <c r="J5186" t="n">
        <v>0</v>
      </c>
      <c r="K5186" t="n">
        <v>0</v>
      </c>
      <c r="L5186" t="n">
        <v>0</v>
      </c>
      <c r="M5186" t="n">
        <v>0</v>
      </c>
      <c r="N5186" t="n">
        <v>0</v>
      </c>
      <c r="O5186" t="n">
        <v>0</v>
      </c>
      <c r="P5186" t="n">
        <v>0</v>
      </c>
      <c r="Q5186" t="n">
        <v>0</v>
      </c>
      <c r="R5186" s="2" t="inlineStr"/>
    </row>
    <row r="5187" ht="15" customHeight="1">
      <c r="A5187" t="inlineStr">
        <is>
          <t>A 18178-2024</t>
        </is>
      </c>
      <c r="B5187" s="1" t="n">
        <v>45420</v>
      </c>
      <c r="C5187" s="1" t="n">
        <v>46093</v>
      </c>
      <c r="D5187" t="inlineStr">
        <is>
          <t>VÄSTERNORRLANDS LÄN</t>
        </is>
      </c>
      <c r="E5187" t="inlineStr">
        <is>
          <t>ÖRNSKÖLDSVIK</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44277-2025</t>
        </is>
      </c>
      <c r="B5188" s="1" t="n">
        <v>45916.34471064815</v>
      </c>
      <c r="C5188" s="1" t="n">
        <v>46093</v>
      </c>
      <c r="D5188" t="inlineStr">
        <is>
          <t>VÄSTERNORRLANDS LÄN</t>
        </is>
      </c>
      <c r="E5188" t="inlineStr">
        <is>
          <t>HÄRNÖSAND</t>
        </is>
      </c>
      <c r="F5188" t="inlineStr">
        <is>
          <t>SCA</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44388-2025</t>
        </is>
      </c>
      <c r="B5189" s="1" t="n">
        <v>45916.49010416667</v>
      </c>
      <c r="C5189" s="1" t="n">
        <v>46093</v>
      </c>
      <c r="D5189" t="inlineStr">
        <is>
          <t>VÄSTERNORRLANDS LÄN</t>
        </is>
      </c>
      <c r="E5189" t="inlineStr">
        <is>
          <t>SUNDSVALL</t>
        </is>
      </c>
      <c r="F5189" t="inlineStr">
        <is>
          <t>Naturvårdsverket</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18691-2025</t>
        </is>
      </c>
      <c r="B5190" s="1" t="n">
        <v>45763.61511574074</v>
      </c>
      <c r="C5190" s="1" t="n">
        <v>46093</v>
      </c>
      <c r="D5190" t="inlineStr">
        <is>
          <t>VÄSTERNORRLANDS LÄN</t>
        </is>
      </c>
      <c r="E5190" t="inlineStr">
        <is>
          <t>SOLLEFTEÅ</t>
        </is>
      </c>
      <c r="G5190" t="n">
        <v>9.300000000000001</v>
      </c>
      <c r="H5190" t="n">
        <v>0</v>
      </c>
      <c r="I5190" t="n">
        <v>0</v>
      </c>
      <c r="J5190" t="n">
        <v>0</v>
      </c>
      <c r="K5190" t="n">
        <v>0</v>
      </c>
      <c r="L5190" t="n">
        <v>0</v>
      </c>
      <c r="M5190" t="n">
        <v>0</v>
      </c>
      <c r="N5190" t="n">
        <v>0</v>
      </c>
      <c r="O5190" t="n">
        <v>0</v>
      </c>
      <c r="P5190" t="n">
        <v>0</v>
      </c>
      <c r="Q5190" t="n">
        <v>0</v>
      </c>
      <c r="R5190" s="2" t="inlineStr"/>
    </row>
    <row r="5191" ht="15" customHeight="1">
      <c r="A5191" t="inlineStr">
        <is>
          <t>A 44241-2025</t>
        </is>
      </c>
      <c r="B5191" s="1" t="n">
        <v>45915.67747685185</v>
      </c>
      <c r="C5191" s="1" t="n">
        <v>46093</v>
      </c>
      <c r="D5191" t="inlineStr">
        <is>
          <t>VÄSTERNORRLANDS LÄN</t>
        </is>
      </c>
      <c r="E5191" t="inlineStr">
        <is>
          <t>SOLLEFTEÅ</t>
        </is>
      </c>
      <c r="F5191" t="inlineStr">
        <is>
          <t>SCA</t>
        </is>
      </c>
      <c r="G5191" t="n">
        <v>6.9</v>
      </c>
      <c r="H5191" t="n">
        <v>0</v>
      </c>
      <c r="I5191" t="n">
        <v>0</v>
      </c>
      <c r="J5191" t="n">
        <v>0</v>
      </c>
      <c r="K5191" t="n">
        <v>0</v>
      </c>
      <c r="L5191" t="n">
        <v>0</v>
      </c>
      <c r="M5191" t="n">
        <v>0</v>
      </c>
      <c r="N5191" t="n">
        <v>0</v>
      </c>
      <c r="O5191" t="n">
        <v>0</v>
      </c>
      <c r="P5191" t="n">
        <v>0</v>
      </c>
      <c r="Q5191" t="n">
        <v>0</v>
      </c>
      <c r="R5191" s="2" t="inlineStr"/>
    </row>
    <row r="5192" ht="15" customHeight="1">
      <c r="A5192" t="inlineStr">
        <is>
          <t>A 44243-2025</t>
        </is>
      </c>
      <c r="B5192" s="1" t="n">
        <v>45915</v>
      </c>
      <c r="C5192" s="1" t="n">
        <v>46093</v>
      </c>
      <c r="D5192" t="inlineStr">
        <is>
          <t>VÄSTERNORRLANDS LÄN</t>
        </is>
      </c>
      <c r="E5192" t="inlineStr">
        <is>
          <t>SOLLEFTEÅ</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41942-2023</t>
        </is>
      </c>
      <c r="B5193" s="1" t="n">
        <v>45177</v>
      </c>
      <c r="C5193" s="1" t="n">
        <v>46093</v>
      </c>
      <c r="D5193" t="inlineStr">
        <is>
          <t>VÄSTERNORRLANDS LÄN</t>
        </is>
      </c>
      <c r="E5193" t="inlineStr">
        <is>
          <t>ÖRNSKÖLDSVIK</t>
        </is>
      </c>
      <c r="F5193" t="inlineStr">
        <is>
          <t>Holmen skog AB</t>
        </is>
      </c>
      <c r="G5193" t="n">
        <v>8.4</v>
      </c>
      <c r="H5193" t="n">
        <v>0</v>
      </c>
      <c r="I5193" t="n">
        <v>0</v>
      </c>
      <c r="J5193" t="n">
        <v>0</v>
      </c>
      <c r="K5193" t="n">
        <v>0</v>
      </c>
      <c r="L5193" t="n">
        <v>0</v>
      </c>
      <c r="M5193" t="n">
        <v>0</v>
      </c>
      <c r="N5193" t="n">
        <v>0</v>
      </c>
      <c r="O5193" t="n">
        <v>0</v>
      </c>
      <c r="P5193" t="n">
        <v>0</v>
      </c>
      <c r="Q5193" t="n">
        <v>0</v>
      </c>
      <c r="R5193" s="2" t="inlineStr"/>
    </row>
    <row r="5194" ht="15" customHeight="1">
      <c r="A5194" t="inlineStr">
        <is>
          <t>A 45413-2024</t>
        </is>
      </c>
      <c r="B5194" s="1" t="n">
        <v>45576.59421296296</v>
      </c>
      <c r="C5194" s="1" t="n">
        <v>46093</v>
      </c>
      <c r="D5194" t="inlineStr">
        <is>
          <t>VÄSTERNORRLANDS LÄN</t>
        </is>
      </c>
      <c r="E5194" t="inlineStr">
        <is>
          <t>HÄRNÖSAND</t>
        </is>
      </c>
      <c r="F5194" t="inlineStr">
        <is>
          <t>SCA</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44437-2025</t>
        </is>
      </c>
      <c r="B5195" s="1" t="n">
        <v>45916.58321759259</v>
      </c>
      <c r="C5195" s="1" t="n">
        <v>46093</v>
      </c>
      <c r="D5195" t="inlineStr">
        <is>
          <t>VÄSTERNORRLANDS LÄN</t>
        </is>
      </c>
      <c r="E5195" t="inlineStr">
        <is>
          <t>SUNDSVALL</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45333-2023</t>
        </is>
      </c>
      <c r="B5196" s="1" t="n">
        <v>45191</v>
      </c>
      <c r="C5196" s="1" t="n">
        <v>46093</v>
      </c>
      <c r="D5196" t="inlineStr">
        <is>
          <t>VÄSTERNORRLANDS LÄN</t>
        </is>
      </c>
      <c r="E5196" t="inlineStr">
        <is>
          <t>SUNDSVALL</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44736-2025</t>
        </is>
      </c>
      <c r="B5197" s="1" t="n">
        <v>45917.656875</v>
      </c>
      <c r="C5197" s="1" t="n">
        <v>46093</v>
      </c>
      <c r="D5197" t="inlineStr">
        <is>
          <t>VÄSTERNORRLANDS LÄN</t>
        </is>
      </c>
      <c r="E5197" t="inlineStr">
        <is>
          <t>SOLLEFTEÅ</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28961-2022</t>
        </is>
      </c>
      <c r="B5198" s="1" t="n">
        <v>44749</v>
      </c>
      <c r="C5198" s="1" t="n">
        <v>46093</v>
      </c>
      <c r="D5198" t="inlineStr">
        <is>
          <t>VÄSTERNORRLANDS LÄN</t>
        </is>
      </c>
      <c r="E5198" t="inlineStr">
        <is>
          <t>SUNDSVALL</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44837-2025</t>
        </is>
      </c>
      <c r="B5199" s="1" t="n">
        <v>45918.42329861111</v>
      </c>
      <c r="C5199" s="1" t="n">
        <v>46093</v>
      </c>
      <c r="D5199" t="inlineStr">
        <is>
          <t>VÄSTERNORRLANDS LÄN</t>
        </is>
      </c>
      <c r="E5199" t="inlineStr">
        <is>
          <t>SUNDSVALL</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4808-2025</t>
        </is>
      </c>
      <c r="B5200" s="1" t="n">
        <v>45688</v>
      </c>
      <c r="C5200" s="1" t="n">
        <v>46093</v>
      </c>
      <c r="D5200" t="inlineStr">
        <is>
          <t>VÄSTERNORRLANDS LÄN</t>
        </is>
      </c>
      <c r="E5200" t="inlineStr">
        <is>
          <t>ÖRNSKÖLDSVIK</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4813-2025</t>
        </is>
      </c>
      <c r="B5201" s="1" t="n">
        <v>45688</v>
      </c>
      <c r="C5201" s="1" t="n">
        <v>46093</v>
      </c>
      <c r="D5201" t="inlineStr">
        <is>
          <t>VÄSTERNORRLANDS LÄN</t>
        </is>
      </c>
      <c r="E5201" t="inlineStr">
        <is>
          <t>SUNDSVALL</t>
        </is>
      </c>
      <c r="G5201" t="n">
        <v>4.4</v>
      </c>
      <c r="H5201" t="n">
        <v>0</v>
      </c>
      <c r="I5201" t="n">
        <v>0</v>
      </c>
      <c r="J5201" t="n">
        <v>0</v>
      </c>
      <c r="K5201" t="n">
        <v>0</v>
      </c>
      <c r="L5201" t="n">
        <v>0</v>
      </c>
      <c r="M5201" t="n">
        <v>0</v>
      </c>
      <c r="N5201" t="n">
        <v>0</v>
      </c>
      <c r="O5201" t="n">
        <v>0</v>
      </c>
      <c r="P5201" t="n">
        <v>0</v>
      </c>
      <c r="Q5201" t="n">
        <v>0</v>
      </c>
      <c r="R5201" s="2" t="inlineStr"/>
    </row>
    <row r="5202" ht="15" customHeight="1">
      <c r="A5202" t="inlineStr">
        <is>
          <t>A 42451-2024</t>
        </is>
      </c>
      <c r="B5202" s="1" t="n">
        <v>45565.44592592592</v>
      </c>
      <c r="C5202" s="1" t="n">
        <v>46093</v>
      </c>
      <c r="D5202" t="inlineStr">
        <is>
          <t>VÄSTERNORRLANDS LÄN</t>
        </is>
      </c>
      <c r="E5202" t="inlineStr">
        <is>
          <t>ÖRNSKÖLDSVIK</t>
        </is>
      </c>
      <c r="F5202" t="inlineStr">
        <is>
          <t>Holmen skog AB</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36457-2025</t>
        </is>
      </c>
      <c r="B5203" s="1" t="n">
        <v>45869.44842592593</v>
      </c>
      <c r="C5203" s="1" t="n">
        <v>46093</v>
      </c>
      <c r="D5203" t="inlineStr">
        <is>
          <t>VÄSTERNORRLANDS LÄN</t>
        </is>
      </c>
      <c r="E5203" t="inlineStr">
        <is>
          <t>ÅNGE</t>
        </is>
      </c>
      <c r="F5203" t="inlineStr">
        <is>
          <t>SCA</t>
        </is>
      </c>
      <c r="G5203" t="n">
        <v>6.3</v>
      </c>
      <c r="H5203" t="n">
        <v>0</v>
      </c>
      <c r="I5203" t="n">
        <v>0</v>
      </c>
      <c r="J5203" t="n">
        <v>0</v>
      </c>
      <c r="K5203" t="n">
        <v>0</v>
      </c>
      <c r="L5203" t="n">
        <v>0</v>
      </c>
      <c r="M5203" t="n">
        <v>0</v>
      </c>
      <c r="N5203" t="n">
        <v>0</v>
      </c>
      <c r="O5203" t="n">
        <v>0</v>
      </c>
      <c r="P5203" t="n">
        <v>0</v>
      </c>
      <c r="Q5203" t="n">
        <v>0</v>
      </c>
      <c r="R5203" s="2" t="inlineStr"/>
    </row>
    <row r="5204" ht="15" customHeight="1">
      <c r="A5204" t="inlineStr">
        <is>
          <t>A 46795-2023</t>
        </is>
      </c>
      <c r="B5204" s="1" t="n">
        <v>45198</v>
      </c>
      <c r="C5204" s="1" t="n">
        <v>46093</v>
      </c>
      <c r="D5204" t="inlineStr">
        <is>
          <t>VÄSTERNORRLANDS LÄN</t>
        </is>
      </c>
      <c r="E5204" t="inlineStr">
        <is>
          <t>ÅNGE</t>
        </is>
      </c>
      <c r="F5204" t="inlineStr">
        <is>
          <t>Holmen skog AB</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44873-2025</t>
        </is>
      </c>
      <c r="B5205" s="1" t="n">
        <v>45918.46966435185</v>
      </c>
      <c r="C5205" s="1" t="n">
        <v>46093</v>
      </c>
      <c r="D5205" t="inlineStr">
        <is>
          <t>VÄSTERNORRLANDS LÄN</t>
        </is>
      </c>
      <c r="E5205" t="inlineStr">
        <is>
          <t>SOLLEFTEÅ</t>
        </is>
      </c>
      <c r="G5205" t="n">
        <v>2.2</v>
      </c>
      <c r="H5205" t="n">
        <v>0</v>
      </c>
      <c r="I5205" t="n">
        <v>0</v>
      </c>
      <c r="J5205" t="n">
        <v>0</v>
      </c>
      <c r="K5205" t="n">
        <v>0</v>
      </c>
      <c r="L5205" t="n">
        <v>0</v>
      </c>
      <c r="M5205" t="n">
        <v>0</v>
      </c>
      <c r="N5205" t="n">
        <v>0</v>
      </c>
      <c r="O5205" t="n">
        <v>0</v>
      </c>
      <c r="P5205" t="n">
        <v>0</v>
      </c>
      <c r="Q5205" t="n">
        <v>0</v>
      </c>
      <c r="R5205" s="2" t="inlineStr"/>
    </row>
    <row r="5206" ht="15" customHeight="1">
      <c r="A5206" t="inlineStr">
        <is>
          <t>A 42488-2024</t>
        </is>
      </c>
      <c r="B5206" s="1" t="n">
        <v>45565.49420138889</v>
      </c>
      <c r="C5206" s="1" t="n">
        <v>46093</v>
      </c>
      <c r="D5206" t="inlineStr">
        <is>
          <t>VÄSTERNORRLANDS LÄN</t>
        </is>
      </c>
      <c r="E5206" t="inlineStr">
        <is>
          <t>ÅNGE</t>
        </is>
      </c>
      <c r="F5206" t="inlineStr">
        <is>
          <t>SCA</t>
        </is>
      </c>
      <c r="G5206" t="n">
        <v>6</v>
      </c>
      <c r="H5206" t="n">
        <v>0</v>
      </c>
      <c r="I5206" t="n">
        <v>0</v>
      </c>
      <c r="J5206" t="n">
        <v>0</v>
      </c>
      <c r="K5206" t="n">
        <v>0</v>
      </c>
      <c r="L5206" t="n">
        <v>0</v>
      </c>
      <c r="M5206" t="n">
        <v>0</v>
      </c>
      <c r="N5206" t="n">
        <v>0</v>
      </c>
      <c r="O5206" t="n">
        <v>0</v>
      </c>
      <c r="P5206" t="n">
        <v>0</v>
      </c>
      <c r="Q5206" t="n">
        <v>0</v>
      </c>
      <c r="R5206" s="2" t="inlineStr"/>
    </row>
    <row r="5207" ht="15" customHeight="1">
      <c r="A5207" t="inlineStr">
        <is>
          <t>A 42512-2024</t>
        </is>
      </c>
      <c r="B5207" s="1" t="n">
        <v>45565.53475694444</v>
      </c>
      <c r="C5207" s="1" t="n">
        <v>46093</v>
      </c>
      <c r="D5207" t="inlineStr">
        <is>
          <t>VÄSTERNORRLANDS LÄN</t>
        </is>
      </c>
      <c r="E5207" t="inlineStr">
        <is>
          <t>ÖRNSKÖLDSVIK</t>
        </is>
      </c>
      <c r="F5207" t="inlineStr">
        <is>
          <t>Holmen skog AB</t>
        </is>
      </c>
      <c r="G5207" t="n">
        <v>2.8</v>
      </c>
      <c r="H5207" t="n">
        <v>0</v>
      </c>
      <c r="I5207" t="n">
        <v>0</v>
      </c>
      <c r="J5207" t="n">
        <v>0</v>
      </c>
      <c r="K5207" t="n">
        <v>0</v>
      </c>
      <c r="L5207" t="n">
        <v>0</v>
      </c>
      <c r="M5207" t="n">
        <v>0</v>
      </c>
      <c r="N5207" t="n">
        <v>0</v>
      </c>
      <c r="O5207" t="n">
        <v>0</v>
      </c>
      <c r="P5207" t="n">
        <v>0</v>
      </c>
      <c r="Q5207" t="n">
        <v>0</v>
      </c>
      <c r="R5207" s="2" t="inlineStr"/>
    </row>
    <row r="5208" ht="15" customHeight="1">
      <c r="A5208" t="inlineStr">
        <is>
          <t>A 44795-2025</t>
        </is>
      </c>
      <c r="B5208" s="1" t="n">
        <v>45918.34467592592</v>
      </c>
      <c r="C5208" s="1" t="n">
        <v>46093</v>
      </c>
      <c r="D5208" t="inlineStr">
        <is>
          <t>VÄSTERNORRLANDS LÄN</t>
        </is>
      </c>
      <c r="E5208" t="inlineStr">
        <is>
          <t>TIMRÅ</t>
        </is>
      </c>
      <c r="F5208" t="inlineStr">
        <is>
          <t>SCA</t>
        </is>
      </c>
      <c r="G5208" t="n">
        <v>4.7</v>
      </c>
      <c r="H5208" t="n">
        <v>0</v>
      </c>
      <c r="I5208" t="n">
        <v>0</v>
      </c>
      <c r="J5208" t="n">
        <v>0</v>
      </c>
      <c r="K5208" t="n">
        <v>0</v>
      </c>
      <c r="L5208" t="n">
        <v>0</v>
      </c>
      <c r="M5208" t="n">
        <v>0</v>
      </c>
      <c r="N5208" t="n">
        <v>0</v>
      </c>
      <c r="O5208" t="n">
        <v>0</v>
      </c>
      <c r="P5208" t="n">
        <v>0</v>
      </c>
      <c r="Q5208" t="n">
        <v>0</v>
      </c>
      <c r="R5208" s="2" t="inlineStr"/>
    </row>
    <row r="5209" ht="15" customHeight="1">
      <c r="A5209" t="inlineStr">
        <is>
          <t>A 44801-2025</t>
        </is>
      </c>
      <c r="B5209" s="1" t="n">
        <v>45918.35645833334</v>
      </c>
      <c r="C5209" s="1" t="n">
        <v>46093</v>
      </c>
      <c r="D5209" t="inlineStr">
        <is>
          <t>VÄSTERNORRLANDS LÄN</t>
        </is>
      </c>
      <c r="E5209" t="inlineStr">
        <is>
          <t>ÖRNSKÖLDSVIK</t>
        </is>
      </c>
      <c r="F5209" t="inlineStr">
        <is>
          <t>Holmen skog AB</t>
        </is>
      </c>
      <c r="G5209" t="n">
        <v>5.6</v>
      </c>
      <c r="H5209" t="n">
        <v>0</v>
      </c>
      <c r="I5209" t="n">
        <v>0</v>
      </c>
      <c r="J5209" t="n">
        <v>0</v>
      </c>
      <c r="K5209" t="n">
        <v>0</v>
      </c>
      <c r="L5209" t="n">
        <v>0</v>
      </c>
      <c r="M5209" t="n">
        <v>0</v>
      </c>
      <c r="N5209" t="n">
        <v>0</v>
      </c>
      <c r="O5209" t="n">
        <v>0</v>
      </c>
      <c r="P5209" t="n">
        <v>0</v>
      </c>
      <c r="Q5209" t="n">
        <v>0</v>
      </c>
      <c r="R5209" s="2" t="inlineStr"/>
    </row>
    <row r="5210" ht="15" customHeight="1">
      <c r="A5210" t="inlineStr">
        <is>
          <t>A 54096-2023</t>
        </is>
      </c>
      <c r="B5210" s="1" t="n">
        <v>45225</v>
      </c>
      <c r="C5210" s="1" t="n">
        <v>46093</v>
      </c>
      <c r="D5210" t="inlineStr">
        <is>
          <t>VÄSTERNORRLANDS LÄN</t>
        </is>
      </c>
      <c r="E5210" t="inlineStr">
        <is>
          <t>HÄRNÖSAND</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54178-2023</t>
        </is>
      </c>
      <c r="B5211" s="1" t="n">
        <v>45225</v>
      </c>
      <c r="C5211" s="1" t="n">
        <v>46093</v>
      </c>
      <c r="D5211" t="inlineStr">
        <is>
          <t>VÄSTERNORRLANDS LÄN</t>
        </is>
      </c>
      <c r="E5211" t="inlineStr">
        <is>
          <t>KRAMFORS</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58991-2024</t>
        </is>
      </c>
      <c r="B5212" s="1" t="n">
        <v>45636.63574074074</v>
      </c>
      <c r="C5212" s="1" t="n">
        <v>46093</v>
      </c>
      <c r="D5212" t="inlineStr">
        <is>
          <t>VÄSTERNORRLANDS LÄN</t>
        </is>
      </c>
      <c r="E5212" t="inlineStr">
        <is>
          <t>SUNDSVALL</t>
        </is>
      </c>
      <c r="F5212" t="inlineStr">
        <is>
          <t>SCA</t>
        </is>
      </c>
      <c r="G5212" t="n">
        <v>6.4</v>
      </c>
      <c r="H5212" t="n">
        <v>0</v>
      </c>
      <c r="I5212" t="n">
        <v>0</v>
      </c>
      <c r="J5212" t="n">
        <v>0</v>
      </c>
      <c r="K5212" t="n">
        <v>0</v>
      </c>
      <c r="L5212" t="n">
        <v>0</v>
      </c>
      <c r="M5212" t="n">
        <v>0</v>
      </c>
      <c r="N5212" t="n">
        <v>0</v>
      </c>
      <c r="O5212" t="n">
        <v>0</v>
      </c>
      <c r="P5212" t="n">
        <v>0</v>
      </c>
      <c r="Q5212" t="n">
        <v>0</v>
      </c>
      <c r="R5212" s="2" t="inlineStr"/>
    </row>
    <row r="5213" ht="15" customHeight="1">
      <c r="A5213" t="inlineStr">
        <is>
          <t>A 44807-2025</t>
        </is>
      </c>
      <c r="B5213" s="1" t="n">
        <v>45918.36494212963</v>
      </c>
      <c r="C5213" s="1" t="n">
        <v>46093</v>
      </c>
      <c r="D5213" t="inlineStr">
        <is>
          <t>VÄSTERNORRLANDS LÄN</t>
        </is>
      </c>
      <c r="E5213" t="inlineStr">
        <is>
          <t>TIMRÅ</t>
        </is>
      </c>
      <c r="F5213" t="inlineStr">
        <is>
          <t>SCA</t>
        </is>
      </c>
      <c r="G5213" t="n">
        <v>4.4</v>
      </c>
      <c r="H5213" t="n">
        <v>0</v>
      </c>
      <c r="I5213" t="n">
        <v>0</v>
      </c>
      <c r="J5213" t="n">
        <v>0</v>
      </c>
      <c r="K5213" t="n">
        <v>0</v>
      </c>
      <c r="L5213" t="n">
        <v>0</v>
      </c>
      <c r="M5213" t="n">
        <v>0</v>
      </c>
      <c r="N5213" t="n">
        <v>0</v>
      </c>
      <c r="O5213" t="n">
        <v>0</v>
      </c>
      <c r="P5213" t="n">
        <v>0</v>
      </c>
      <c r="Q5213" t="n">
        <v>0</v>
      </c>
      <c r="R5213" s="2" t="inlineStr"/>
    </row>
    <row r="5214" ht="15" customHeight="1">
      <c r="A5214" t="inlineStr">
        <is>
          <t>A 44830-2025</t>
        </is>
      </c>
      <c r="B5214" s="1" t="n">
        <v>45918.4020949074</v>
      </c>
      <c r="C5214" s="1" t="n">
        <v>46093</v>
      </c>
      <c r="D5214" t="inlineStr">
        <is>
          <t>VÄSTERNORRLANDS LÄN</t>
        </is>
      </c>
      <c r="E5214" t="inlineStr">
        <is>
          <t>ÖRNSKÖLDSVIK</t>
        </is>
      </c>
      <c r="F5214" t="inlineStr">
        <is>
          <t>Holmen skog AB</t>
        </is>
      </c>
      <c r="G5214" t="n">
        <v>6.7</v>
      </c>
      <c r="H5214" t="n">
        <v>0</v>
      </c>
      <c r="I5214" t="n">
        <v>0</v>
      </c>
      <c r="J5214" t="n">
        <v>0</v>
      </c>
      <c r="K5214" t="n">
        <v>0</v>
      </c>
      <c r="L5214" t="n">
        <v>0</v>
      </c>
      <c r="M5214" t="n">
        <v>0</v>
      </c>
      <c r="N5214" t="n">
        <v>0</v>
      </c>
      <c r="O5214" t="n">
        <v>0</v>
      </c>
      <c r="P5214" t="n">
        <v>0</v>
      </c>
      <c r="Q5214" t="n">
        <v>0</v>
      </c>
      <c r="R5214" s="2" t="inlineStr"/>
    </row>
    <row r="5215" ht="15" customHeight="1">
      <c r="A5215" t="inlineStr">
        <is>
          <t>A 58995-2024</t>
        </is>
      </c>
      <c r="B5215" s="1" t="n">
        <v>45636.63726851852</v>
      </c>
      <c r="C5215" s="1" t="n">
        <v>46093</v>
      </c>
      <c r="D5215" t="inlineStr">
        <is>
          <t>VÄSTERNORRLANDS LÄN</t>
        </is>
      </c>
      <c r="E5215" t="inlineStr">
        <is>
          <t>SOLLEFTEÅ</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35399-2024</t>
        </is>
      </c>
      <c r="B5216" s="1" t="n">
        <v>45531.40438657408</v>
      </c>
      <c r="C5216" s="1" t="n">
        <v>46093</v>
      </c>
      <c r="D5216" t="inlineStr">
        <is>
          <t>VÄSTERNORRLANDS LÄN</t>
        </is>
      </c>
      <c r="E5216" t="inlineStr">
        <is>
          <t>ÅNGE</t>
        </is>
      </c>
      <c r="F5216" t="inlineStr">
        <is>
          <t>SCA</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23423-2022</t>
        </is>
      </c>
      <c r="B5217" s="1" t="n">
        <v>44720</v>
      </c>
      <c r="C5217" s="1" t="n">
        <v>46093</v>
      </c>
      <c r="D5217" t="inlineStr">
        <is>
          <t>VÄSTERNORRLANDS LÄN</t>
        </is>
      </c>
      <c r="E5217" t="inlineStr">
        <is>
          <t>SUNDSVALL</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45028-2025</t>
        </is>
      </c>
      <c r="B5218" s="1" t="n">
        <v>45918.69828703703</v>
      </c>
      <c r="C5218" s="1" t="n">
        <v>46093</v>
      </c>
      <c r="D5218" t="inlineStr">
        <is>
          <t>VÄSTERNORRLANDS LÄN</t>
        </is>
      </c>
      <c r="E5218" t="inlineStr">
        <is>
          <t>SOLLEFTEÅ</t>
        </is>
      </c>
      <c r="F5218" t="inlineStr">
        <is>
          <t>SCA</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17999-2022</t>
        </is>
      </c>
      <c r="B5219" s="1" t="n">
        <v>44683</v>
      </c>
      <c r="C5219" s="1" t="n">
        <v>46093</v>
      </c>
      <c r="D5219" t="inlineStr">
        <is>
          <t>VÄSTERNORRLANDS LÄN</t>
        </is>
      </c>
      <c r="E5219" t="inlineStr">
        <is>
          <t>SOLLEFTEÅ</t>
        </is>
      </c>
      <c r="F5219" t="inlineStr">
        <is>
          <t>SCA</t>
        </is>
      </c>
      <c r="G5219" t="n">
        <v>4.8</v>
      </c>
      <c r="H5219" t="n">
        <v>0</v>
      </c>
      <c r="I5219" t="n">
        <v>0</v>
      </c>
      <c r="J5219" t="n">
        <v>0</v>
      </c>
      <c r="K5219" t="n">
        <v>0</v>
      </c>
      <c r="L5219" t="n">
        <v>0</v>
      </c>
      <c r="M5219" t="n">
        <v>0</v>
      </c>
      <c r="N5219" t="n">
        <v>0</v>
      </c>
      <c r="O5219" t="n">
        <v>0</v>
      </c>
      <c r="P5219" t="n">
        <v>0</v>
      </c>
      <c r="Q5219" t="n">
        <v>0</v>
      </c>
      <c r="R5219" s="2" t="inlineStr"/>
    </row>
    <row r="5220" ht="15" customHeight="1">
      <c r="A5220" t="inlineStr">
        <is>
          <t>A 44582-2025</t>
        </is>
      </c>
      <c r="B5220" s="1" t="n">
        <v>45917.40690972222</v>
      </c>
      <c r="C5220" s="1" t="n">
        <v>46093</v>
      </c>
      <c r="D5220" t="inlineStr">
        <is>
          <t>VÄSTERNORRLANDS LÄN</t>
        </is>
      </c>
      <c r="E5220" t="inlineStr">
        <is>
          <t>SUNDSVALL</t>
        </is>
      </c>
      <c r="F5220" t="inlineStr">
        <is>
          <t>Naturvårdsverket</t>
        </is>
      </c>
      <c r="G5220" t="n">
        <v>3.5</v>
      </c>
      <c r="H5220" t="n">
        <v>0</v>
      </c>
      <c r="I5220" t="n">
        <v>0</v>
      </c>
      <c r="J5220" t="n">
        <v>0</v>
      </c>
      <c r="K5220" t="n">
        <v>0</v>
      </c>
      <c r="L5220" t="n">
        <v>0</v>
      </c>
      <c r="M5220" t="n">
        <v>0</v>
      </c>
      <c r="N5220" t="n">
        <v>0</v>
      </c>
      <c r="O5220" t="n">
        <v>0</v>
      </c>
      <c r="P5220" t="n">
        <v>0</v>
      </c>
      <c r="Q5220" t="n">
        <v>0</v>
      </c>
      <c r="R5220" s="2" t="inlineStr"/>
    </row>
    <row r="5221" ht="15" customHeight="1">
      <c r="A5221" t="inlineStr">
        <is>
          <t>A 4909-2025</t>
        </is>
      </c>
      <c r="B5221" s="1" t="n">
        <v>45688</v>
      </c>
      <c r="C5221" s="1" t="n">
        <v>46093</v>
      </c>
      <c r="D5221" t="inlineStr">
        <is>
          <t>VÄSTERNORRLANDS LÄN</t>
        </is>
      </c>
      <c r="E5221" t="inlineStr">
        <is>
          <t>SOLLEFTEÅ</t>
        </is>
      </c>
      <c r="F5221" t="inlineStr">
        <is>
          <t>SCA</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36513-2023</t>
        </is>
      </c>
      <c r="B5222" s="1" t="n">
        <v>45152.9537037037</v>
      </c>
      <c r="C5222" s="1" t="n">
        <v>46093</v>
      </c>
      <c r="D5222" t="inlineStr">
        <is>
          <t>VÄSTERNORRLANDS LÄN</t>
        </is>
      </c>
      <c r="E5222" t="inlineStr">
        <is>
          <t>SOLLEFTEÅ</t>
        </is>
      </c>
      <c r="F5222" t="inlineStr">
        <is>
          <t>SCA</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6055-2025</t>
        </is>
      </c>
      <c r="B5223" s="1" t="n">
        <v>45695.71903935185</v>
      </c>
      <c r="C5223" s="1" t="n">
        <v>46093</v>
      </c>
      <c r="D5223" t="inlineStr">
        <is>
          <t>VÄSTERNORRLANDS LÄN</t>
        </is>
      </c>
      <c r="E5223" t="inlineStr">
        <is>
          <t>TIMRÅ</t>
        </is>
      </c>
      <c r="F5223" t="inlineStr">
        <is>
          <t>SCA</t>
        </is>
      </c>
      <c r="G5223" t="n">
        <v>6.3</v>
      </c>
      <c r="H5223" t="n">
        <v>0</v>
      </c>
      <c r="I5223" t="n">
        <v>0</v>
      </c>
      <c r="J5223" t="n">
        <v>0</v>
      </c>
      <c r="K5223" t="n">
        <v>0</v>
      </c>
      <c r="L5223" t="n">
        <v>0</v>
      </c>
      <c r="M5223" t="n">
        <v>0</v>
      </c>
      <c r="N5223" t="n">
        <v>0</v>
      </c>
      <c r="O5223" t="n">
        <v>0</v>
      </c>
      <c r="P5223" t="n">
        <v>0</v>
      </c>
      <c r="Q5223" t="n">
        <v>0</v>
      </c>
      <c r="R5223" s="2" t="inlineStr"/>
    </row>
    <row r="5224" ht="15" customHeight="1">
      <c r="A5224" t="inlineStr">
        <is>
          <t>A 44892-2025</t>
        </is>
      </c>
      <c r="B5224" s="1" t="n">
        <v>45918.50002314815</v>
      </c>
      <c r="C5224" s="1" t="n">
        <v>46093</v>
      </c>
      <c r="D5224" t="inlineStr">
        <is>
          <t>VÄSTERNORRLANDS LÄN</t>
        </is>
      </c>
      <c r="E5224" t="inlineStr">
        <is>
          <t>ÖRNSKÖLDSVIK</t>
        </is>
      </c>
      <c r="F5224" t="inlineStr">
        <is>
          <t>Holmen skog AB</t>
        </is>
      </c>
      <c r="G5224" t="n">
        <v>3</v>
      </c>
      <c r="H5224" t="n">
        <v>0</v>
      </c>
      <c r="I5224" t="n">
        <v>0</v>
      </c>
      <c r="J5224" t="n">
        <v>0</v>
      </c>
      <c r="K5224" t="n">
        <v>0</v>
      </c>
      <c r="L5224" t="n">
        <v>0</v>
      </c>
      <c r="M5224" t="n">
        <v>0</v>
      </c>
      <c r="N5224" t="n">
        <v>0</v>
      </c>
      <c r="O5224" t="n">
        <v>0</v>
      </c>
      <c r="P5224" t="n">
        <v>0</v>
      </c>
      <c r="Q5224" t="n">
        <v>0</v>
      </c>
      <c r="R5224" s="2" t="inlineStr"/>
    </row>
    <row r="5225" ht="15" customHeight="1">
      <c r="A5225" t="inlineStr">
        <is>
          <t>A 50262-2023</t>
        </is>
      </c>
      <c r="B5225" s="1" t="n">
        <v>45216.38241898148</v>
      </c>
      <c r="C5225" s="1" t="n">
        <v>46093</v>
      </c>
      <c r="D5225" t="inlineStr">
        <is>
          <t>VÄSTERNORRLANDS LÄN</t>
        </is>
      </c>
      <c r="E5225" t="inlineStr">
        <is>
          <t>ÖRNSKÖLDSVIK</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7739-2025</t>
        </is>
      </c>
      <c r="B5226" s="1" t="n">
        <v>45706.47555555555</v>
      </c>
      <c r="C5226" s="1" t="n">
        <v>46093</v>
      </c>
      <c r="D5226" t="inlineStr">
        <is>
          <t>VÄSTERNORRLANDS LÄN</t>
        </is>
      </c>
      <c r="E5226" t="inlineStr">
        <is>
          <t>ÖRNSKÖLDSVIK</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59213-2023</t>
        </is>
      </c>
      <c r="B5227" s="1" t="n">
        <v>45253.4800462963</v>
      </c>
      <c r="C5227" s="1" t="n">
        <v>46093</v>
      </c>
      <c r="D5227" t="inlineStr">
        <is>
          <t>VÄSTERNORRLANDS LÄN</t>
        </is>
      </c>
      <c r="E5227" t="inlineStr">
        <is>
          <t>SUNDSVALL</t>
        </is>
      </c>
      <c r="G5227" t="n">
        <v>0.4</v>
      </c>
      <c r="H5227" t="n">
        <v>0</v>
      </c>
      <c r="I5227" t="n">
        <v>0</v>
      </c>
      <c r="J5227" t="n">
        <v>0</v>
      </c>
      <c r="K5227" t="n">
        <v>0</v>
      </c>
      <c r="L5227" t="n">
        <v>0</v>
      </c>
      <c r="M5227" t="n">
        <v>0</v>
      </c>
      <c r="N5227" t="n">
        <v>0</v>
      </c>
      <c r="O5227" t="n">
        <v>0</v>
      </c>
      <c r="P5227" t="n">
        <v>0</v>
      </c>
      <c r="Q5227" t="n">
        <v>0</v>
      </c>
      <c r="R5227" s="2" t="inlineStr"/>
    </row>
    <row r="5228" ht="15" customHeight="1">
      <c r="A5228" t="inlineStr">
        <is>
          <t>A 44746-2025</t>
        </is>
      </c>
      <c r="B5228" s="1" t="n">
        <v>45917.67760416667</v>
      </c>
      <c r="C5228" s="1" t="n">
        <v>46093</v>
      </c>
      <c r="D5228" t="inlineStr">
        <is>
          <t>VÄSTERNORRLANDS LÄN</t>
        </is>
      </c>
      <c r="E5228" t="inlineStr">
        <is>
          <t>SOLLEFTEÅ</t>
        </is>
      </c>
      <c r="F5228" t="inlineStr">
        <is>
          <t>SCA</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44747-2025</t>
        </is>
      </c>
      <c r="B5229" s="1" t="n">
        <v>45917.67769675926</v>
      </c>
      <c r="C5229" s="1" t="n">
        <v>46093</v>
      </c>
      <c r="D5229" t="inlineStr">
        <is>
          <t>VÄSTERNORRLANDS LÄN</t>
        </is>
      </c>
      <c r="E5229" t="inlineStr">
        <is>
          <t>SOLLEFTEÅ</t>
        </is>
      </c>
      <c r="F5229" t="inlineStr">
        <is>
          <t>SCA</t>
        </is>
      </c>
      <c r="G5229" t="n">
        <v>6.5</v>
      </c>
      <c r="H5229" t="n">
        <v>0</v>
      </c>
      <c r="I5229" t="n">
        <v>0</v>
      </c>
      <c r="J5229" t="n">
        <v>0</v>
      </c>
      <c r="K5229" t="n">
        <v>0</v>
      </c>
      <c r="L5229" t="n">
        <v>0</v>
      </c>
      <c r="M5229" t="n">
        <v>0</v>
      </c>
      <c r="N5229" t="n">
        <v>0</v>
      </c>
      <c r="O5229" t="n">
        <v>0</v>
      </c>
      <c r="P5229" t="n">
        <v>0</v>
      </c>
      <c r="Q5229" t="n">
        <v>0</v>
      </c>
      <c r="R5229" s="2" t="inlineStr"/>
    </row>
    <row r="5230" ht="15" customHeight="1">
      <c r="A5230" t="inlineStr">
        <is>
          <t>A 60324-2023</t>
        </is>
      </c>
      <c r="B5230" s="1" t="n">
        <v>45258</v>
      </c>
      <c r="C5230" s="1" t="n">
        <v>46093</v>
      </c>
      <c r="D5230" t="inlineStr">
        <is>
          <t>VÄSTERNORRLANDS LÄN</t>
        </is>
      </c>
      <c r="E5230" t="inlineStr">
        <is>
          <t>ÖRNSKÖLDSVIK</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15809-2022</t>
        </is>
      </c>
      <c r="B5231" s="1" t="n">
        <v>44663</v>
      </c>
      <c r="C5231" s="1" t="n">
        <v>46093</v>
      </c>
      <c r="D5231" t="inlineStr">
        <is>
          <t>VÄSTERNORRLANDS LÄN</t>
        </is>
      </c>
      <c r="E5231" t="inlineStr">
        <is>
          <t>SOLLEFTEÅ</t>
        </is>
      </c>
      <c r="F5231" t="inlineStr">
        <is>
          <t>SCA</t>
        </is>
      </c>
      <c r="G5231" t="n">
        <v>16.3</v>
      </c>
      <c r="H5231" t="n">
        <v>0</v>
      </c>
      <c r="I5231" t="n">
        <v>0</v>
      </c>
      <c r="J5231" t="n">
        <v>0</v>
      </c>
      <c r="K5231" t="n">
        <v>0</v>
      </c>
      <c r="L5231" t="n">
        <v>0</v>
      </c>
      <c r="M5231" t="n">
        <v>0</v>
      </c>
      <c r="N5231" t="n">
        <v>0</v>
      </c>
      <c r="O5231" t="n">
        <v>0</v>
      </c>
      <c r="P5231" t="n">
        <v>0</v>
      </c>
      <c r="Q5231" t="n">
        <v>0</v>
      </c>
      <c r="R5231" s="2" t="inlineStr"/>
    </row>
    <row r="5232" ht="15" customHeight="1">
      <c r="A5232" t="inlineStr">
        <is>
          <t>A 44765-2025</t>
        </is>
      </c>
      <c r="B5232" s="1" t="n">
        <v>45917</v>
      </c>
      <c r="C5232" s="1" t="n">
        <v>46093</v>
      </c>
      <c r="D5232" t="inlineStr">
        <is>
          <t>VÄSTERNORRLANDS LÄN</t>
        </is>
      </c>
      <c r="E5232" t="inlineStr">
        <is>
          <t>HÄRNÖSAND</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44798-2025</t>
        </is>
      </c>
      <c r="B5233" s="1" t="n">
        <v>45918.35047453704</v>
      </c>
      <c r="C5233" s="1" t="n">
        <v>46093</v>
      </c>
      <c r="D5233" t="inlineStr">
        <is>
          <t>VÄSTERNORRLANDS LÄN</t>
        </is>
      </c>
      <c r="E5233" t="inlineStr">
        <is>
          <t>ÖRNSKÖLDSVIK</t>
        </is>
      </c>
      <c r="F5233" t="inlineStr">
        <is>
          <t>Holmen skog AB</t>
        </is>
      </c>
      <c r="G5233" t="n">
        <v>3.9</v>
      </c>
      <c r="H5233" t="n">
        <v>0</v>
      </c>
      <c r="I5233" t="n">
        <v>0</v>
      </c>
      <c r="J5233" t="n">
        <v>0</v>
      </c>
      <c r="K5233" t="n">
        <v>0</v>
      </c>
      <c r="L5233" t="n">
        <v>0</v>
      </c>
      <c r="M5233" t="n">
        <v>0</v>
      </c>
      <c r="N5233" t="n">
        <v>0</v>
      </c>
      <c r="O5233" t="n">
        <v>0</v>
      </c>
      <c r="P5233" t="n">
        <v>0</v>
      </c>
      <c r="Q5233" t="n">
        <v>0</v>
      </c>
      <c r="R5233" s="2" t="inlineStr"/>
    </row>
    <row r="5234" ht="15" customHeight="1">
      <c r="A5234" t="inlineStr">
        <is>
          <t>A 19053-2022</t>
        </is>
      </c>
      <c r="B5234" s="1" t="n">
        <v>44691.41626157407</v>
      </c>
      <c r="C5234" s="1" t="n">
        <v>46093</v>
      </c>
      <c r="D5234" t="inlineStr">
        <is>
          <t>VÄSTERNORRLANDS LÄN</t>
        </is>
      </c>
      <c r="E5234" t="inlineStr">
        <is>
          <t>SOLLEFTEÅ</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42321-2024</t>
        </is>
      </c>
      <c r="B5235" s="1" t="n">
        <v>45562.64748842592</v>
      </c>
      <c r="C5235" s="1" t="n">
        <v>46093</v>
      </c>
      <c r="D5235" t="inlineStr">
        <is>
          <t>VÄSTERNORRLANDS LÄN</t>
        </is>
      </c>
      <c r="E5235" t="inlineStr">
        <is>
          <t>ÖRNSKÖLDSVIK</t>
        </is>
      </c>
      <c r="F5235" t="inlineStr">
        <is>
          <t>Holmen skog AB</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42357-2024</t>
        </is>
      </c>
      <c r="B5236" s="1" t="n">
        <v>45562.75054398148</v>
      </c>
      <c r="C5236" s="1" t="n">
        <v>46093</v>
      </c>
      <c r="D5236" t="inlineStr">
        <is>
          <t>VÄSTERNORRLANDS LÄN</t>
        </is>
      </c>
      <c r="E5236" t="inlineStr">
        <is>
          <t>ÖRNSKÖLDSVIK</t>
        </is>
      </c>
      <c r="F5236" t="inlineStr">
        <is>
          <t>Holmen skog AB</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44919-2025</t>
        </is>
      </c>
      <c r="B5237" s="1" t="n">
        <v>45918.55246527777</v>
      </c>
      <c r="C5237" s="1" t="n">
        <v>46093</v>
      </c>
      <c r="D5237" t="inlineStr">
        <is>
          <t>VÄSTERNORRLANDS LÄN</t>
        </is>
      </c>
      <c r="E5237" t="inlineStr">
        <is>
          <t>ÅNGE</t>
        </is>
      </c>
      <c r="F5237" t="inlineStr">
        <is>
          <t>SCA</t>
        </is>
      </c>
      <c r="G5237" t="n">
        <v>3.2</v>
      </c>
      <c r="H5237" t="n">
        <v>0</v>
      </c>
      <c r="I5237" t="n">
        <v>0</v>
      </c>
      <c r="J5237" t="n">
        <v>0</v>
      </c>
      <c r="K5237" t="n">
        <v>0</v>
      </c>
      <c r="L5237" t="n">
        <v>0</v>
      </c>
      <c r="M5237" t="n">
        <v>0</v>
      </c>
      <c r="N5237" t="n">
        <v>0</v>
      </c>
      <c r="O5237" t="n">
        <v>0</v>
      </c>
      <c r="P5237" t="n">
        <v>0</v>
      </c>
      <c r="Q5237" t="n">
        <v>0</v>
      </c>
      <c r="R5237" s="2" t="inlineStr"/>
    </row>
    <row r="5238" ht="15" customHeight="1">
      <c r="A5238" t="inlineStr">
        <is>
          <t>A 44932-2025</t>
        </is>
      </c>
      <c r="B5238" s="1" t="n">
        <v>45918.57347222222</v>
      </c>
      <c r="C5238" s="1" t="n">
        <v>46093</v>
      </c>
      <c r="D5238" t="inlineStr">
        <is>
          <t>VÄSTERNORRLANDS LÄN</t>
        </is>
      </c>
      <c r="E5238" t="inlineStr">
        <is>
          <t>SUNDSVALL</t>
        </is>
      </c>
      <c r="F5238" t="inlineStr">
        <is>
          <t>Naturvårdsverket</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44935-2025</t>
        </is>
      </c>
      <c r="B5239" s="1" t="n">
        <v>45918.57392361111</v>
      </c>
      <c r="C5239" s="1" t="n">
        <v>46093</v>
      </c>
      <c r="D5239" t="inlineStr">
        <is>
          <t>VÄSTERNORRLANDS LÄN</t>
        </is>
      </c>
      <c r="E5239" t="inlineStr">
        <is>
          <t>ÅNGE</t>
        </is>
      </c>
      <c r="F5239" t="inlineStr">
        <is>
          <t>SCA</t>
        </is>
      </c>
      <c r="G5239" t="n">
        <v>6.8</v>
      </c>
      <c r="H5239" t="n">
        <v>0</v>
      </c>
      <c r="I5239" t="n">
        <v>0</v>
      </c>
      <c r="J5239" t="n">
        <v>0</v>
      </c>
      <c r="K5239" t="n">
        <v>0</v>
      </c>
      <c r="L5239" t="n">
        <v>0</v>
      </c>
      <c r="M5239" t="n">
        <v>0</v>
      </c>
      <c r="N5239" t="n">
        <v>0</v>
      </c>
      <c r="O5239" t="n">
        <v>0</v>
      </c>
      <c r="P5239" t="n">
        <v>0</v>
      </c>
      <c r="Q5239" t="n">
        <v>0</v>
      </c>
      <c r="R5239" s="2" t="inlineStr"/>
    </row>
    <row r="5240" ht="15" customHeight="1">
      <c r="A5240" t="inlineStr">
        <is>
          <t>A 61821-2024</t>
        </is>
      </c>
      <c r="B5240" s="1" t="n">
        <v>45649.61491898148</v>
      </c>
      <c r="C5240" s="1" t="n">
        <v>46093</v>
      </c>
      <c r="D5240" t="inlineStr">
        <is>
          <t>VÄSTERNORRLANDS LÄN</t>
        </is>
      </c>
      <c r="E5240" t="inlineStr">
        <is>
          <t>TIMRÅ</t>
        </is>
      </c>
      <c r="F5240" t="inlineStr">
        <is>
          <t>SCA</t>
        </is>
      </c>
      <c r="G5240" t="n">
        <v>5.7</v>
      </c>
      <c r="H5240" t="n">
        <v>0</v>
      </c>
      <c r="I5240" t="n">
        <v>0</v>
      </c>
      <c r="J5240" t="n">
        <v>0</v>
      </c>
      <c r="K5240" t="n">
        <v>0</v>
      </c>
      <c r="L5240" t="n">
        <v>0</v>
      </c>
      <c r="M5240" t="n">
        <v>0</v>
      </c>
      <c r="N5240" t="n">
        <v>0</v>
      </c>
      <c r="O5240" t="n">
        <v>0</v>
      </c>
      <c r="P5240" t="n">
        <v>0</v>
      </c>
      <c r="Q5240" t="n">
        <v>0</v>
      </c>
      <c r="R5240" s="2" t="inlineStr"/>
    </row>
    <row r="5241" ht="15" customHeight="1">
      <c r="A5241" t="inlineStr">
        <is>
          <t>A 8019-2025</t>
        </is>
      </c>
      <c r="B5241" s="1" t="n">
        <v>45707</v>
      </c>
      <c r="C5241" s="1" t="n">
        <v>46093</v>
      </c>
      <c r="D5241" t="inlineStr">
        <is>
          <t>VÄSTERNORRLANDS LÄN</t>
        </is>
      </c>
      <c r="E5241" t="inlineStr">
        <is>
          <t>ÖRNSKÖLDSVIK</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45026-2025</t>
        </is>
      </c>
      <c r="B5242" s="1" t="n">
        <v>45918.69408564815</v>
      </c>
      <c r="C5242" s="1" t="n">
        <v>46093</v>
      </c>
      <c r="D5242" t="inlineStr">
        <is>
          <t>VÄSTERNORRLANDS LÄN</t>
        </is>
      </c>
      <c r="E5242" t="inlineStr">
        <is>
          <t>ÖRNSKÖLDSVIK</t>
        </is>
      </c>
      <c r="F5242" t="inlineStr">
        <is>
          <t>Holmen skog AB</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469-2025</t>
        </is>
      </c>
      <c r="B5243" s="1" t="n">
        <v>45664</v>
      </c>
      <c r="C5243" s="1" t="n">
        <v>46093</v>
      </c>
      <c r="D5243" t="inlineStr">
        <is>
          <t>VÄSTERNORRLANDS LÄN</t>
        </is>
      </c>
      <c r="E5243" t="inlineStr">
        <is>
          <t>SOLLEFTEÅ</t>
        </is>
      </c>
      <c r="F5243" t="inlineStr">
        <is>
          <t>SCA</t>
        </is>
      </c>
      <c r="G5243" t="n">
        <v>4</v>
      </c>
      <c r="H5243" t="n">
        <v>0</v>
      </c>
      <c r="I5243" t="n">
        <v>0</v>
      </c>
      <c r="J5243" t="n">
        <v>0</v>
      </c>
      <c r="K5243" t="n">
        <v>0</v>
      </c>
      <c r="L5243" t="n">
        <v>0</v>
      </c>
      <c r="M5243" t="n">
        <v>0</v>
      </c>
      <c r="N5243" t="n">
        <v>0</v>
      </c>
      <c r="O5243" t="n">
        <v>0</v>
      </c>
      <c r="P5243" t="n">
        <v>0</v>
      </c>
      <c r="Q5243" t="n">
        <v>0</v>
      </c>
      <c r="R5243" s="2" t="inlineStr"/>
    </row>
    <row r="5244" ht="15" customHeight="1">
      <c r="A5244" t="inlineStr">
        <is>
          <t>A 56933-2022</t>
        </is>
      </c>
      <c r="B5244" s="1" t="n">
        <v>44888</v>
      </c>
      <c r="C5244" s="1" t="n">
        <v>46093</v>
      </c>
      <c r="D5244" t="inlineStr">
        <is>
          <t>VÄSTERNORRLANDS LÄN</t>
        </is>
      </c>
      <c r="E5244" t="inlineStr">
        <is>
          <t>KRAMFORS</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39635-2024</t>
        </is>
      </c>
      <c r="B5245" s="1" t="n">
        <v>45552.44827546296</v>
      </c>
      <c r="C5245" s="1" t="n">
        <v>46093</v>
      </c>
      <c r="D5245" t="inlineStr">
        <is>
          <t>VÄSTERNORRLANDS LÄN</t>
        </is>
      </c>
      <c r="E5245" t="inlineStr">
        <is>
          <t>ÖRNSKÖLDSVIK</t>
        </is>
      </c>
      <c r="F5245" t="inlineStr">
        <is>
          <t>SCA</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39664-2024</t>
        </is>
      </c>
      <c r="B5246" s="1" t="n">
        <v>45552</v>
      </c>
      <c r="C5246" s="1" t="n">
        <v>46093</v>
      </c>
      <c r="D5246" t="inlineStr">
        <is>
          <t>VÄSTERNORRLANDS LÄN</t>
        </is>
      </c>
      <c r="E5246" t="inlineStr">
        <is>
          <t>KRAMFORS</t>
        </is>
      </c>
      <c r="G5246" t="n">
        <v>2.7</v>
      </c>
      <c r="H5246" t="n">
        <v>0</v>
      </c>
      <c r="I5246" t="n">
        <v>0</v>
      </c>
      <c r="J5246" t="n">
        <v>0</v>
      </c>
      <c r="K5246" t="n">
        <v>0</v>
      </c>
      <c r="L5246" t="n">
        <v>0</v>
      </c>
      <c r="M5246" t="n">
        <v>0</v>
      </c>
      <c r="N5246" t="n">
        <v>0</v>
      </c>
      <c r="O5246" t="n">
        <v>0</v>
      </c>
      <c r="P5246" t="n">
        <v>0</v>
      </c>
      <c r="Q5246" t="n">
        <v>0</v>
      </c>
      <c r="R5246" s="2" t="inlineStr"/>
    </row>
    <row r="5247" ht="15" customHeight="1">
      <c r="A5247" t="inlineStr">
        <is>
          <t>A 5867-2024</t>
        </is>
      </c>
      <c r="B5247" s="1" t="n">
        <v>45335.64733796296</v>
      </c>
      <c r="C5247" s="1" t="n">
        <v>46093</v>
      </c>
      <c r="D5247" t="inlineStr">
        <is>
          <t>VÄSTERNORRLANDS LÄN</t>
        </is>
      </c>
      <c r="E5247" t="inlineStr">
        <is>
          <t>SOLLEFTEÅ</t>
        </is>
      </c>
      <c r="F5247" t="inlineStr">
        <is>
          <t>Övriga Aktiebolag</t>
        </is>
      </c>
      <c r="G5247" t="n">
        <v>2.6</v>
      </c>
      <c r="H5247" t="n">
        <v>0</v>
      </c>
      <c r="I5247" t="n">
        <v>0</v>
      </c>
      <c r="J5247" t="n">
        <v>0</v>
      </c>
      <c r="K5247" t="n">
        <v>0</v>
      </c>
      <c r="L5247" t="n">
        <v>0</v>
      </c>
      <c r="M5247" t="n">
        <v>0</v>
      </c>
      <c r="N5247" t="n">
        <v>0</v>
      </c>
      <c r="O5247" t="n">
        <v>0</v>
      </c>
      <c r="P5247" t="n">
        <v>0</v>
      </c>
      <c r="Q5247" t="n">
        <v>0</v>
      </c>
      <c r="R5247" s="2" t="inlineStr"/>
    </row>
    <row r="5248" ht="15" customHeight="1">
      <c r="A5248" t="inlineStr">
        <is>
          <t>A 39682-2024</t>
        </is>
      </c>
      <c r="B5248" s="1" t="n">
        <v>45552</v>
      </c>
      <c r="C5248" s="1" t="n">
        <v>46093</v>
      </c>
      <c r="D5248" t="inlineStr">
        <is>
          <t>VÄSTERNORRLANDS LÄN</t>
        </is>
      </c>
      <c r="E5248" t="inlineStr">
        <is>
          <t>ÅNGE</t>
        </is>
      </c>
      <c r="G5248" t="n">
        <v>35.4</v>
      </c>
      <c r="H5248" t="n">
        <v>0</v>
      </c>
      <c r="I5248" t="n">
        <v>0</v>
      </c>
      <c r="J5248" t="n">
        <v>0</v>
      </c>
      <c r="K5248" t="n">
        <v>0</v>
      </c>
      <c r="L5248" t="n">
        <v>0</v>
      </c>
      <c r="M5248" t="n">
        <v>0</v>
      </c>
      <c r="N5248" t="n">
        <v>0</v>
      </c>
      <c r="O5248" t="n">
        <v>0</v>
      </c>
      <c r="P5248" t="n">
        <v>0</v>
      </c>
      <c r="Q5248" t="n">
        <v>0</v>
      </c>
      <c r="R5248" s="2" t="inlineStr"/>
    </row>
    <row r="5249" ht="15" customHeight="1">
      <c r="A5249" t="inlineStr">
        <is>
          <t>A 39710-2024</t>
        </is>
      </c>
      <c r="B5249" s="1" t="n">
        <v>45552</v>
      </c>
      <c r="C5249" s="1" t="n">
        <v>46093</v>
      </c>
      <c r="D5249" t="inlineStr">
        <is>
          <t>VÄSTERNORRLANDS LÄN</t>
        </is>
      </c>
      <c r="E5249" t="inlineStr">
        <is>
          <t>SUNDSVALL</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21396-2022</t>
        </is>
      </c>
      <c r="B5250" s="1" t="n">
        <v>44705</v>
      </c>
      <c r="C5250" s="1" t="n">
        <v>46093</v>
      </c>
      <c r="D5250" t="inlineStr">
        <is>
          <t>VÄSTERNORRLANDS LÄN</t>
        </is>
      </c>
      <c r="E5250" t="inlineStr">
        <is>
          <t>SUNDSVALL</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40575-2024</t>
        </is>
      </c>
      <c r="B5251" s="1" t="n">
        <v>45555</v>
      </c>
      <c r="C5251" s="1" t="n">
        <v>46093</v>
      </c>
      <c r="D5251" t="inlineStr">
        <is>
          <t>VÄSTERNORRLANDS LÄN</t>
        </is>
      </c>
      <c r="E5251" t="inlineStr">
        <is>
          <t>SOLLEFTEÅ</t>
        </is>
      </c>
      <c r="F5251" t="inlineStr">
        <is>
          <t>SCA</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60344-2022</t>
        </is>
      </c>
      <c r="B5252" s="1" t="n">
        <v>44910</v>
      </c>
      <c r="C5252" s="1" t="n">
        <v>46093</v>
      </c>
      <c r="D5252" t="inlineStr">
        <is>
          <t>VÄSTERNORRLANDS LÄN</t>
        </is>
      </c>
      <c r="E5252" t="inlineStr">
        <is>
          <t>ÖRNSKÖLDSVIK</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17668-2023</t>
        </is>
      </c>
      <c r="B5253" s="1" t="n">
        <v>45036</v>
      </c>
      <c r="C5253" s="1" t="n">
        <v>46093</v>
      </c>
      <c r="D5253" t="inlineStr">
        <is>
          <t>VÄSTERNORRLANDS LÄN</t>
        </is>
      </c>
      <c r="E5253" t="inlineStr">
        <is>
          <t>ÅNGE</t>
        </is>
      </c>
      <c r="F5253" t="inlineStr">
        <is>
          <t>SCA</t>
        </is>
      </c>
      <c r="G5253" t="n">
        <v>3.9</v>
      </c>
      <c r="H5253" t="n">
        <v>0</v>
      </c>
      <c r="I5253" t="n">
        <v>0</v>
      </c>
      <c r="J5253" t="n">
        <v>0</v>
      </c>
      <c r="K5253" t="n">
        <v>0</v>
      </c>
      <c r="L5253" t="n">
        <v>0</v>
      </c>
      <c r="M5253" t="n">
        <v>0</v>
      </c>
      <c r="N5253" t="n">
        <v>0</v>
      </c>
      <c r="O5253" t="n">
        <v>0</v>
      </c>
      <c r="P5253" t="n">
        <v>0</v>
      </c>
      <c r="Q5253" t="n">
        <v>0</v>
      </c>
      <c r="R5253" s="2" t="inlineStr"/>
    </row>
    <row r="5254" ht="15" customHeight="1">
      <c r="A5254" t="inlineStr">
        <is>
          <t>A 44345-2024</t>
        </is>
      </c>
      <c r="B5254" s="1" t="n">
        <v>45573.62283564815</v>
      </c>
      <c r="C5254" s="1" t="n">
        <v>46093</v>
      </c>
      <c r="D5254" t="inlineStr">
        <is>
          <t>VÄSTERNORRLANDS LÄN</t>
        </is>
      </c>
      <c r="E5254" t="inlineStr">
        <is>
          <t>ÖRNSKÖLDSVIK</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9212-2024</t>
        </is>
      </c>
      <c r="B5255" s="1" t="n">
        <v>45358</v>
      </c>
      <c r="C5255" s="1" t="n">
        <v>46093</v>
      </c>
      <c r="D5255" t="inlineStr">
        <is>
          <t>VÄSTERNORRLANDS LÄN</t>
        </is>
      </c>
      <c r="E5255" t="inlineStr">
        <is>
          <t>HÄRNÖSAND</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36558-2025</t>
        </is>
      </c>
      <c r="B5256" s="1" t="n">
        <v>45870.35769675926</v>
      </c>
      <c r="C5256" s="1" t="n">
        <v>46093</v>
      </c>
      <c r="D5256" t="inlineStr">
        <is>
          <t>VÄSTERNORRLANDS LÄN</t>
        </is>
      </c>
      <c r="E5256" t="inlineStr">
        <is>
          <t>SOLLEFTEÅ</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36561-2025</t>
        </is>
      </c>
      <c r="B5257" s="1" t="n">
        <v>45870.36722222222</v>
      </c>
      <c r="C5257" s="1" t="n">
        <v>46093</v>
      </c>
      <c r="D5257" t="inlineStr">
        <is>
          <t>VÄSTERNORRLANDS LÄN</t>
        </is>
      </c>
      <c r="E5257" t="inlineStr">
        <is>
          <t>SOLLEFTEÅ</t>
        </is>
      </c>
      <c r="G5257" t="n">
        <v>2.9</v>
      </c>
      <c r="H5257" t="n">
        <v>0</v>
      </c>
      <c r="I5257" t="n">
        <v>0</v>
      </c>
      <c r="J5257" t="n">
        <v>0</v>
      </c>
      <c r="K5257" t="n">
        <v>0</v>
      </c>
      <c r="L5257" t="n">
        <v>0</v>
      </c>
      <c r="M5257" t="n">
        <v>0</v>
      </c>
      <c r="N5257" t="n">
        <v>0</v>
      </c>
      <c r="O5257" t="n">
        <v>0</v>
      </c>
      <c r="P5257" t="n">
        <v>0</v>
      </c>
      <c r="Q5257" t="n">
        <v>0</v>
      </c>
      <c r="R5257" s="2" t="inlineStr"/>
    </row>
    <row r="5258" ht="15" customHeight="1">
      <c r="A5258" t="inlineStr">
        <is>
          <t>A 36571-2025</t>
        </is>
      </c>
      <c r="B5258" s="1" t="n">
        <v>45870.38778935185</v>
      </c>
      <c r="C5258" s="1" t="n">
        <v>46093</v>
      </c>
      <c r="D5258" t="inlineStr">
        <is>
          <t>VÄSTERNORRLANDS LÄN</t>
        </is>
      </c>
      <c r="E5258" t="inlineStr">
        <is>
          <t>SOLLEFTEÅ</t>
        </is>
      </c>
      <c r="G5258" t="n">
        <v>2.9</v>
      </c>
      <c r="H5258" t="n">
        <v>0</v>
      </c>
      <c r="I5258" t="n">
        <v>0</v>
      </c>
      <c r="J5258" t="n">
        <v>0</v>
      </c>
      <c r="K5258" t="n">
        <v>0</v>
      </c>
      <c r="L5258" t="n">
        <v>0</v>
      </c>
      <c r="M5258" t="n">
        <v>0</v>
      </c>
      <c r="N5258" t="n">
        <v>0</v>
      </c>
      <c r="O5258" t="n">
        <v>0</v>
      </c>
      <c r="P5258" t="n">
        <v>0</v>
      </c>
      <c r="Q5258" t="n">
        <v>0</v>
      </c>
      <c r="R5258" s="2" t="inlineStr"/>
    </row>
    <row r="5259" ht="15" customHeight="1">
      <c r="A5259" t="inlineStr">
        <is>
          <t>A 4094-2025</t>
        </is>
      </c>
      <c r="B5259" s="1" t="n">
        <v>45684.6778125</v>
      </c>
      <c r="C5259" s="1" t="n">
        <v>46093</v>
      </c>
      <c r="D5259" t="inlineStr">
        <is>
          <t>VÄSTERNORRLANDS LÄN</t>
        </is>
      </c>
      <c r="E5259" t="inlineStr">
        <is>
          <t>ÅNGE</t>
        </is>
      </c>
      <c r="F5259" t="inlineStr">
        <is>
          <t>SCA</t>
        </is>
      </c>
      <c r="G5259" t="n">
        <v>7.7</v>
      </c>
      <c r="H5259" t="n">
        <v>0</v>
      </c>
      <c r="I5259" t="n">
        <v>0</v>
      </c>
      <c r="J5259" t="n">
        <v>0</v>
      </c>
      <c r="K5259" t="n">
        <v>0</v>
      </c>
      <c r="L5259" t="n">
        <v>0</v>
      </c>
      <c r="M5259" t="n">
        <v>0</v>
      </c>
      <c r="N5259" t="n">
        <v>0</v>
      </c>
      <c r="O5259" t="n">
        <v>0</v>
      </c>
      <c r="P5259" t="n">
        <v>0</v>
      </c>
      <c r="Q5259" t="n">
        <v>0</v>
      </c>
      <c r="R5259" s="2" t="inlineStr"/>
    </row>
    <row r="5260" ht="15" customHeight="1">
      <c r="A5260" t="inlineStr">
        <is>
          <t>A 45023-2025</t>
        </is>
      </c>
      <c r="B5260" s="1" t="n">
        <v>45918.68762731482</v>
      </c>
      <c r="C5260" s="1" t="n">
        <v>46093</v>
      </c>
      <c r="D5260" t="inlineStr">
        <is>
          <t>VÄSTERNORRLANDS LÄN</t>
        </is>
      </c>
      <c r="E5260" t="inlineStr">
        <is>
          <t>KRAMFORS</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45041-2025</t>
        </is>
      </c>
      <c r="B5261" s="1" t="n">
        <v>45918</v>
      </c>
      <c r="C5261" s="1" t="n">
        <v>46093</v>
      </c>
      <c r="D5261" t="inlineStr">
        <is>
          <t>VÄSTERNORRLANDS LÄN</t>
        </is>
      </c>
      <c r="E5261" t="inlineStr">
        <is>
          <t>KRAMFORS</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45042-2025</t>
        </is>
      </c>
      <c r="B5262" s="1" t="n">
        <v>45918</v>
      </c>
      <c r="C5262" s="1" t="n">
        <v>46093</v>
      </c>
      <c r="D5262" t="inlineStr">
        <is>
          <t>VÄSTERNORRLANDS LÄN</t>
        </is>
      </c>
      <c r="E5262" t="inlineStr">
        <is>
          <t>KRAMFORS</t>
        </is>
      </c>
      <c r="G5262" t="n">
        <v>8.6</v>
      </c>
      <c r="H5262" t="n">
        <v>0</v>
      </c>
      <c r="I5262" t="n">
        <v>0</v>
      </c>
      <c r="J5262" t="n">
        <v>0</v>
      </c>
      <c r="K5262" t="n">
        <v>0</v>
      </c>
      <c r="L5262" t="n">
        <v>0</v>
      </c>
      <c r="M5262" t="n">
        <v>0</v>
      </c>
      <c r="N5262" t="n">
        <v>0</v>
      </c>
      <c r="O5262" t="n">
        <v>0</v>
      </c>
      <c r="P5262" t="n">
        <v>0</v>
      </c>
      <c r="Q5262" t="n">
        <v>0</v>
      </c>
      <c r="R5262" s="2" t="inlineStr"/>
    </row>
    <row r="5263" ht="15" customHeight="1">
      <c r="A5263" t="inlineStr">
        <is>
          <t>A 36874-2023</t>
        </is>
      </c>
      <c r="B5263" s="1" t="n">
        <v>45154</v>
      </c>
      <c r="C5263" s="1" t="n">
        <v>46093</v>
      </c>
      <c r="D5263" t="inlineStr">
        <is>
          <t>VÄSTERNORRLANDS LÄN</t>
        </is>
      </c>
      <c r="E5263" t="inlineStr">
        <is>
          <t>SUNDSVALL</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43040-2024</t>
        </is>
      </c>
      <c r="B5264" s="1" t="n">
        <v>45567</v>
      </c>
      <c r="C5264" s="1" t="n">
        <v>46093</v>
      </c>
      <c r="D5264" t="inlineStr">
        <is>
          <t>VÄSTERNORRLANDS LÄN</t>
        </is>
      </c>
      <c r="E5264" t="inlineStr">
        <is>
          <t>SUNDSVALL</t>
        </is>
      </c>
      <c r="F5264" t="inlineStr">
        <is>
          <t>SCA</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44743-2025</t>
        </is>
      </c>
      <c r="B5265" s="1" t="n">
        <v>45917.67121527778</v>
      </c>
      <c r="C5265" s="1" t="n">
        <v>46093</v>
      </c>
      <c r="D5265" t="inlineStr">
        <is>
          <t>VÄSTERNORRLANDS LÄN</t>
        </is>
      </c>
      <c r="E5265" t="inlineStr">
        <is>
          <t>ÖRNSKÖLDSVIK</t>
        </is>
      </c>
      <c r="F5265" t="inlineStr">
        <is>
          <t>Holmen skog AB</t>
        </is>
      </c>
      <c r="G5265" t="n">
        <v>14.7</v>
      </c>
      <c r="H5265" t="n">
        <v>0</v>
      </c>
      <c r="I5265" t="n">
        <v>0</v>
      </c>
      <c r="J5265" t="n">
        <v>0</v>
      </c>
      <c r="K5265" t="n">
        <v>0</v>
      </c>
      <c r="L5265" t="n">
        <v>0</v>
      </c>
      <c r="M5265" t="n">
        <v>0</v>
      </c>
      <c r="N5265" t="n">
        <v>0</v>
      </c>
      <c r="O5265" t="n">
        <v>0</v>
      </c>
      <c r="P5265" t="n">
        <v>0</v>
      </c>
      <c r="Q5265" t="n">
        <v>0</v>
      </c>
      <c r="R5265" s="2" t="inlineStr"/>
    </row>
    <row r="5266" ht="15" customHeight="1">
      <c r="A5266" t="inlineStr">
        <is>
          <t>A 4129-2025</t>
        </is>
      </c>
      <c r="B5266" s="1" t="n">
        <v>45685.34425925926</v>
      </c>
      <c r="C5266" s="1" t="n">
        <v>46093</v>
      </c>
      <c r="D5266" t="inlineStr">
        <is>
          <t>VÄSTERNORRLANDS LÄN</t>
        </is>
      </c>
      <c r="E5266" t="inlineStr">
        <is>
          <t>SOLLEFTEÅ</t>
        </is>
      </c>
      <c r="G5266" t="n">
        <v>2.8</v>
      </c>
      <c r="H5266" t="n">
        <v>0</v>
      </c>
      <c r="I5266" t="n">
        <v>0</v>
      </c>
      <c r="J5266" t="n">
        <v>0</v>
      </c>
      <c r="K5266" t="n">
        <v>0</v>
      </c>
      <c r="L5266" t="n">
        <v>0</v>
      </c>
      <c r="M5266" t="n">
        <v>0</v>
      </c>
      <c r="N5266" t="n">
        <v>0</v>
      </c>
      <c r="O5266" t="n">
        <v>0</v>
      </c>
      <c r="P5266" t="n">
        <v>0</v>
      </c>
      <c r="Q5266" t="n">
        <v>0</v>
      </c>
      <c r="R5266" s="2" t="inlineStr"/>
    </row>
    <row r="5267" ht="15" customHeight="1">
      <c r="A5267" t="inlineStr">
        <is>
          <t>A 4133-2025</t>
        </is>
      </c>
      <c r="B5267" s="1" t="n">
        <v>45685.34559027778</v>
      </c>
      <c r="C5267" s="1" t="n">
        <v>46093</v>
      </c>
      <c r="D5267" t="inlineStr">
        <is>
          <t>VÄSTERNORRLANDS LÄN</t>
        </is>
      </c>
      <c r="E5267" t="inlineStr">
        <is>
          <t>SOLLEFTEÅ</t>
        </is>
      </c>
      <c r="F5267" t="inlineStr">
        <is>
          <t>SCA</t>
        </is>
      </c>
      <c r="G5267" t="n">
        <v>37.2</v>
      </c>
      <c r="H5267" t="n">
        <v>0</v>
      </c>
      <c r="I5267" t="n">
        <v>0</v>
      </c>
      <c r="J5267" t="n">
        <v>0</v>
      </c>
      <c r="K5267" t="n">
        <v>0</v>
      </c>
      <c r="L5267" t="n">
        <v>0</v>
      </c>
      <c r="M5267" t="n">
        <v>0</v>
      </c>
      <c r="N5267" t="n">
        <v>0</v>
      </c>
      <c r="O5267" t="n">
        <v>0</v>
      </c>
      <c r="P5267" t="n">
        <v>0</v>
      </c>
      <c r="Q5267" t="n">
        <v>0</v>
      </c>
      <c r="R5267" s="2" t="inlineStr"/>
    </row>
    <row r="5268" ht="15" customHeight="1">
      <c r="A5268" t="inlineStr">
        <is>
          <t>A 4145-2025</t>
        </is>
      </c>
      <c r="B5268" s="1" t="n">
        <v>45685.36495370371</v>
      </c>
      <c r="C5268" s="1" t="n">
        <v>46093</v>
      </c>
      <c r="D5268" t="inlineStr">
        <is>
          <t>VÄSTERNORRLANDS LÄN</t>
        </is>
      </c>
      <c r="E5268" t="inlineStr">
        <is>
          <t>HÄRNÖSAND</t>
        </is>
      </c>
      <c r="G5268" t="n">
        <v>3.6</v>
      </c>
      <c r="H5268" t="n">
        <v>0</v>
      </c>
      <c r="I5268" t="n">
        <v>0</v>
      </c>
      <c r="J5268" t="n">
        <v>0</v>
      </c>
      <c r="K5268" t="n">
        <v>0</v>
      </c>
      <c r="L5268" t="n">
        <v>0</v>
      </c>
      <c r="M5268" t="n">
        <v>0</v>
      </c>
      <c r="N5268" t="n">
        <v>0</v>
      </c>
      <c r="O5268" t="n">
        <v>0</v>
      </c>
      <c r="P5268" t="n">
        <v>0</v>
      </c>
      <c r="Q5268" t="n">
        <v>0</v>
      </c>
      <c r="R5268" s="2" t="inlineStr"/>
    </row>
    <row r="5269" ht="15" customHeight="1">
      <c r="A5269" t="inlineStr">
        <is>
          <t>A 22205-2025</t>
        </is>
      </c>
      <c r="B5269" s="1" t="n">
        <v>45785.65686342592</v>
      </c>
      <c r="C5269" s="1" t="n">
        <v>46093</v>
      </c>
      <c r="D5269" t="inlineStr">
        <is>
          <t>VÄSTERNORRLANDS LÄN</t>
        </is>
      </c>
      <c r="E5269" t="inlineStr">
        <is>
          <t>SOLLEFTEÅ</t>
        </is>
      </c>
      <c r="F5269" t="inlineStr">
        <is>
          <t>SCA</t>
        </is>
      </c>
      <c r="G5269" t="n">
        <v>4.1</v>
      </c>
      <c r="H5269" t="n">
        <v>0</v>
      </c>
      <c r="I5269" t="n">
        <v>0</v>
      </c>
      <c r="J5269" t="n">
        <v>0</v>
      </c>
      <c r="K5269" t="n">
        <v>0</v>
      </c>
      <c r="L5269" t="n">
        <v>0</v>
      </c>
      <c r="M5269" t="n">
        <v>0</v>
      </c>
      <c r="N5269" t="n">
        <v>0</v>
      </c>
      <c r="O5269" t="n">
        <v>0</v>
      </c>
      <c r="P5269" t="n">
        <v>0</v>
      </c>
      <c r="Q5269" t="n">
        <v>0</v>
      </c>
      <c r="R5269" s="2" t="inlineStr"/>
    </row>
    <row r="5270" ht="15" customHeight="1">
      <c r="A5270" t="inlineStr">
        <is>
          <t>A 49284-2023</t>
        </is>
      </c>
      <c r="B5270" s="1" t="n">
        <v>45210.7169212963</v>
      </c>
      <c r="C5270" s="1" t="n">
        <v>46093</v>
      </c>
      <c r="D5270" t="inlineStr">
        <is>
          <t>VÄSTERNORRLANDS LÄN</t>
        </is>
      </c>
      <c r="E5270" t="inlineStr">
        <is>
          <t>ÖRNSKÖLDSVIK</t>
        </is>
      </c>
      <c r="F5270" t="inlineStr">
        <is>
          <t>Holmen skog AB</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44566-2025</t>
        </is>
      </c>
      <c r="B5271" s="1" t="n">
        <v>45917.37303240741</v>
      </c>
      <c r="C5271" s="1" t="n">
        <v>46093</v>
      </c>
      <c r="D5271" t="inlineStr">
        <is>
          <t>VÄSTERNORRLANDS LÄN</t>
        </is>
      </c>
      <c r="E5271" t="inlineStr">
        <is>
          <t>ÖRNSKÖLDSVIK</t>
        </is>
      </c>
      <c r="G5271" t="n">
        <v>8.300000000000001</v>
      </c>
      <c r="H5271" t="n">
        <v>0</v>
      </c>
      <c r="I5271" t="n">
        <v>0</v>
      </c>
      <c r="J5271" t="n">
        <v>0</v>
      </c>
      <c r="K5271" t="n">
        <v>0</v>
      </c>
      <c r="L5271" t="n">
        <v>0</v>
      </c>
      <c r="M5271" t="n">
        <v>0</v>
      </c>
      <c r="N5271" t="n">
        <v>0</v>
      </c>
      <c r="O5271" t="n">
        <v>0</v>
      </c>
      <c r="P5271" t="n">
        <v>0</v>
      </c>
      <c r="Q5271" t="n">
        <v>0</v>
      </c>
      <c r="R5271" s="2" t="inlineStr"/>
    </row>
    <row r="5272" ht="15" customHeight="1">
      <c r="A5272" t="inlineStr">
        <is>
          <t>A 49929-2023</t>
        </is>
      </c>
      <c r="B5272" s="1" t="n">
        <v>45214.93671296296</v>
      </c>
      <c r="C5272" s="1" t="n">
        <v>46093</v>
      </c>
      <c r="D5272" t="inlineStr">
        <is>
          <t>VÄSTERNORRLANDS LÄN</t>
        </is>
      </c>
      <c r="E5272" t="inlineStr">
        <is>
          <t>ÖRNSKÖLDSVIK</t>
        </is>
      </c>
      <c r="F5272" t="inlineStr">
        <is>
          <t>SCA</t>
        </is>
      </c>
      <c r="G5272" t="n">
        <v>3.7</v>
      </c>
      <c r="H5272" t="n">
        <v>0</v>
      </c>
      <c r="I5272" t="n">
        <v>0</v>
      </c>
      <c r="J5272" t="n">
        <v>0</v>
      </c>
      <c r="K5272" t="n">
        <v>0</v>
      </c>
      <c r="L5272" t="n">
        <v>0</v>
      </c>
      <c r="M5272" t="n">
        <v>0</v>
      </c>
      <c r="N5272" t="n">
        <v>0</v>
      </c>
      <c r="O5272" t="n">
        <v>0</v>
      </c>
      <c r="P5272" t="n">
        <v>0</v>
      </c>
      <c r="Q5272" t="n">
        <v>0</v>
      </c>
      <c r="R5272" s="2" t="inlineStr"/>
    </row>
    <row r="5273" ht="15" customHeight="1">
      <c r="A5273" t="inlineStr">
        <is>
          <t>A 51011-2021</t>
        </is>
      </c>
      <c r="B5273" s="1" t="n">
        <v>44460</v>
      </c>
      <c r="C5273" s="1" t="n">
        <v>46093</v>
      </c>
      <c r="D5273" t="inlineStr">
        <is>
          <t>VÄSTERNORRLANDS LÄN</t>
        </is>
      </c>
      <c r="E5273" t="inlineStr">
        <is>
          <t>SUNDSVALL</t>
        </is>
      </c>
      <c r="G5273" t="n">
        <v>0.4</v>
      </c>
      <c r="H5273" t="n">
        <v>0</v>
      </c>
      <c r="I5273" t="n">
        <v>0</v>
      </c>
      <c r="J5273" t="n">
        <v>0</v>
      </c>
      <c r="K5273" t="n">
        <v>0</v>
      </c>
      <c r="L5273" t="n">
        <v>0</v>
      </c>
      <c r="M5273" t="n">
        <v>0</v>
      </c>
      <c r="N5273" t="n">
        <v>0</v>
      </c>
      <c r="O5273" t="n">
        <v>0</v>
      </c>
      <c r="P5273" t="n">
        <v>0</v>
      </c>
      <c r="Q5273" t="n">
        <v>0</v>
      </c>
      <c r="R5273" s="2" t="inlineStr"/>
    </row>
    <row r="5274" ht="15" customHeight="1">
      <c r="A5274" t="inlineStr">
        <is>
          <t>A 13008-2023</t>
        </is>
      </c>
      <c r="B5274" s="1" t="n">
        <v>45002</v>
      </c>
      <c r="C5274" s="1" t="n">
        <v>46093</v>
      </c>
      <c r="D5274" t="inlineStr">
        <is>
          <t>VÄSTERNORRLANDS LÄN</t>
        </is>
      </c>
      <c r="E5274" t="inlineStr">
        <is>
          <t>SOLLEFTEÅ</t>
        </is>
      </c>
      <c r="F5274" t="inlineStr">
        <is>
          <t>SCA</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7903-2025</t>
        </is>
      </c>
      <c r="B5275" s="1" t="n">
        <v>45707.32737268518</v>
      </c>
      <c r="C5275" s="1" t="n">
        <v>46093</v>
      </c>
      <c r="D5275" t="inlineStr">
        <is>
          <t>VÄSTERNORRLANDS LÄN</t>
        </is>
      </c>
      <c r="E5275" t="inlineStr">
        <is>
          <t>ÖRNSKÖLDSVIK</t>
        </is>
      </c>
      <c r="F5275" t="inlineStr">
        <is>
          <t>Holmen skog AB</t>
        </is>
      </c>
      <c r="G5275" t="n">
        <v>7.8</v>
      </c>
      <c r="H5275" t="n">
        <v>0</v>
      </c>
      <c r="I5275" t="n">
        <v>0</v>
      </c>
      <c r="J5275" t="n">
        <v>0</v>
      </c>
      <c r="K5275" t="n">
        <v>0</v>
      </c>
      <c r="L5275" t="n">
        <v>0</v>
      </c>
      <c r="M5275" t="n">
        <v>0</v>
      </c>
      <c r="N5275" t="n">
        <v>0</v>
      </c>
      <c r="O5275" t="n">
        <v>0</v>
      </c>
      <c r="P5275" t="n">
        <v>0</v>
      </c>
      <c r="Q5275" t="n">
        <v>0</v>
      </c>
      <c r="R5275" s="2" t="inlineStr"/>
    </row>
    <row r="5276" ht="15" customHeight="1">
      <c r="A5276" t="inlineStr">
        <is>
          <t>A 11009-2024</t>
        </is>
      </c>
      <c r="B5276" s="1" t="n">
        <v>45370</v>
      </c>
      <c r="C5276" s="1" t="n">
        <v>46093</v>
      </c>
      <c r="D5276" t="inlineStr">
        <is>
          <t>VÄSTERNORRLANDS LÄN</t>
        </is>
      </c>
      <c r="E5276" t="inlineStr">
        <is>
          <t>SOLLEFTEÅ</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7934-2025</t>
        </is>
      </c>
      <c r="B5277" s="1" t="n">
        <v>45707</v>
      </c>
      <c r="C5277" s="1" t="n">
        <v>46093</v>
      </c>
      <c r="D5277" t="inlineStr">
        <is>
          <t>VÄSTERNORRLANDS LÄN</t>
        </is>
      </c>
      <c r="E5277" t="inlineStr">
        <is>
          <t>KRAMFORS</t>
        </is>
      </c>
      <c r="G5277" t="n">
        <v>1.9</v>
      </c>
      <c r="H5277" t="n">
        <v>0</v>
      </c>
      <c r="I5277" t="n">
        <v>0</v>
      </c>
      <c r="J5277" t="n">
        <v>0</v>
      </c>
      <c r="K5277" t="n">
        <v>0</v>
      </c>
      <c r="L5277" t="n">
        <v>0</v>
      </c>
      <c r="M5277" t="n">
        <v>0</v>
      </c>
      <c r="N5277" t="n">
        <v>0</v>
      </c>
      <c r="O5277" t="n">
        <v>0</v>
      </c>
      <c r="P5277" t="n">
        <v>0</v>
      </c>
      <c r="Q5277" t="n">
        <v>0</v>
      </c>
      <c r="R5277" s="2" t="inlineStr"/>
    </row>
    <row r="5278" ht="15" customHeight="1">
      <c r="A5278" t="inlineStr">
        <is>
          <t>A 8406-2023</t>
        </is>
      </c>
      <c r="B5278" s="1" t="n">
        <v>44971</v>
      </c>
      <c r="C5278" s="1" t="n">
        <v>46093</v>
      </c>
      <c r="D5278" t="inlineStr">
        <is>
          <t>VÄSTERNORRLANDS LÄN</t>
        </is>
      </c>
      <c r="E5278" t="inlineStr">
        <is>
          <t>ÅNGE</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8217-2023</t>
        </is>
      </c>
      <c r="B5279" s="1" t="n">
        <v>44971</v>
      </c>
      <c r="C5279" s="1" t="n">
        <v>46093</v>
      </c>
      <c r="D5279" t="inlineStr">
        <is>
          <t>VÄSTERNORRLANDS LÄN</t>
        </is>
      </c>
      <c r="E5279" t="inlineStr">
        <is>
          <t>ÖRNSKÖLDSVIK</t>
        </is>
      </c>
      <c r="G5279" t="n">
        <v>4.2</v>
      </c>
      <c r="H5279" t="n">
        <v>0</v>
      </c>
      <c r="I5279" t="n">
        <v>0</v>
      </c>
      <c r="J5279" t="n">
        <v>0</v>
      </c>
      <c r="K5279" t="n">
        <v>0</v>
      </c>
      <c r="L5279" t="n">
        <v>0</v>
      </c>
      <c r="M5279" t="n">
        <v>0</v>
      </c>
      <c r="N5279" t="n">
        <v>0</v>
      </c>
      <c r="O5279" t="n">
        <v>0</v>
      </c>
      <c r="P5279" t="n">
        <v>0</v>
      </c>
      <c r="Q5279" t="n">
        <v>0</v>
      </c>
      <c r="R5279" s="2" t="inlineStr"/>
    </row>
    <row r="5280" ht="15" customHeight="1">
      <c r="A5280" t="inlineStr">
        <is>
          <t>A 3476-2024</t>
        </is>
      </c>
      <c r="B5280" s="1" t="n">
        <v>45320</v>
      </c>
      <c r="C5280" s="1" t="n">
        <v>46093</v>
      </c>
      <c r="D5280" t="inlineStr">
        <is>
          <t>VÄSTERNORRLANDS LÄN</t>
        </is>
      </c>
      <c r="E5280" t="inlineStr">
        <is>
          <t>HÄRNÖSAND</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48202-2023</t>
        </is>
      </c>
      <c r="B5281" s="1" t="n">
        <v>45205</v>
      </c>
      <c r="C5281" s="1" t="n">
        <v>46093</v>
      </c>
      <c r="D5281" t="inlineStr">
        <is>
          <t>VÄSTERNORRLANDS LÄN</t>
        </is>
      </c>
      <c r="E5281" t="inlineStr">
        <is>
          <t>ÖRNSKÖLDSVIK</t>
        </is>
      </c>
      <c r="F5281" t="inlineStr">
        <is>
          <t>Holmen skog AB</t>
        </is>
      </c>
      <c r="G5281" t="n">
        <v>5.4</v>
      </c>
      <c r="H5281" t="n">
        <v>0</v>
      </c>
      <c r="I5281" t="n">
        <v>0</v>
      </c>
      <c r="J5281" t="n">
        <v>0</v>
      </c>
      <c r="K5281" t="n">
        <v>0</v>
      </c>
      <c r="L5281" t="n">
        <v>0</v>
      </c>
      <c r="M5281" t="n">
        <v>0</v>
      </c>
      <c r="N5281" t="n">
        <v>0</v>
      </c>
      <c r="O5281" t="n">
        <v>0</v>
      </c>
      <c r="P5281" t="n">
        <v>0</v>
      </c>
      <c r="Q5281" t="n">
        <v>0</v>
      </c>
      <c r="R5281" s="2" t="inlineStr"/>
    </row>
    <row r="5282" ht="15" customHeight="1">
      <c r="A5282" t="inlineStr">
        <is>
          <t>A 23300-2022</t>
        </is>
      </c>
      <c r="B5282" s="1" t="n">
        <v>44720.4637962963</v>
      </c>
      <c r="C5282" s="1" t="n">
        <v>46093</v>
      </c>
      <c r="D5282" t="inlineStr">
        <is>
          <t>VÄSTERNORRLANDS LÄN</t>
        </is>
      </c>
      <c r="E5282" t="inlineStr">
        <is>
          <t>SUNDSVALL</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12903-2022</t>
        </is>
      </c>
      <c r="B5283" s="1" t="n">
        <v>44642</v>
      </c>
      <c r="C5283" s="1" t="n">
        <v>46093</v>
      </c>
      <c r="D5283" t="inlineStr">
        <is>
          <t>VÄSTERNORRLANDS LÄN</t>
        </is>
      </c>
      <c r="E5283" t="inlineStr">
        <is>
          <t>ÖRNSKÖLDSVIK</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44829-2025</t>
        </is>
      </c>
      <c r="B5284" s="1" t="n">
        <v>45918</v>
      </c>
      <c r="C5284" s="1" t="n">
        <v>46093</v>
      </c>
      <c r="D5284" t="inlineStr">
        <is>
          <t>VÄSTERNORRLANDS LÄN</t>
        </is>
      </c>
      <c r="E5284" t="inlineStr">
        <is>
          <t>KRAMFORS</t>
        </is>
      </c>
      <c r="G5284" t="n">
        <v>3.6</v>
      </c>
      <c r="H5284" t="n">
        <v>0</v>
      </c>
      <c r="I5284" t="n">
        <v>0</v>
      </c>
      <c r="J5284" t="n">
        <v>0</v>
      </c>
      <c r="K5284" t="n">
        <v>0</v>
      </c>
      <c r="L5284" t="n">
        <v>0</v>
      </c>
      <c r="M5284" t="n">
        <v>0</v>
      </c>
      <c r="N5284" t="n">
        <v>0</v>
      </c>
      <c r="O5284" t="n">
        <v>0</v>
      </c>
      <c r="P5284" t="n">
        <v>0</v>
      </c>
      <c r="Q5284" t="n">
        <v>0</v>
      </c>
      <c r="R5284" s="2" t="inlineStr"/>
    </row>
    <row r="5285" ht="15" customHeight="1">
      <c r="A5285" t="inlineStr">
        <is>
          <t>A 44839-2025</t>
        </is>
      </c>
      <c r="B5285" s="1" t="n">
        <v>45918.42751157407</v>
      </c>
      <c r="C5285" s="1" t="n">
        <v>46093</v>
      </c>
      <c r="D5285" t="inlineStr">
        <is>
          <t>VÄSTERNORRLANDS LÄN</t>
        </is>
      </c>
      <c r="E5285" t="inlineStr">
        <is>
          <t>SOLLEFTEÅ</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42646-2023</t>
        </is>
      </c>
      <c r="B5286" s="1" t="n">
        <v>45181</v>
      </c>
      <c r="C5286" s="1" t="n">
        <v>46093</v>
      </c>
      <c r="D5286" t="inlineStr">
        <is>
          <t>VÄSTERNORRLANDS LÄN</t>
        </is>
      </c>
      <c r="E5286" t="inlineStr">
        <is>
          <t>HÄRNÖSAND</t>
        </is>
      </c>
      <c r="G5286" t="n">
        <v>4.4</v>
      </c>
      <c r="H5286" t="n">
        <v>0</v>
      </c>
      <c r="I5286" t="n">
        <v>0</v>
      </c>
      <c r="J5286" t="n">
        <v>0</v>
      </c>
      <c r="K5286" t="n">
        <v>0</v>
      </c>
      <c r="L5286" t="n">
        <v>0</v>
      </c>
      <c r="M5286" t="n">
        <v>0</v>
      </c>
      <c r="N5286" t="n">
        <v>0</v>
      </c>
      <c r="O5286" t="n">
        <v>0</v>
      </c>
      <c r="P5286" t="n">
        <v>0</v>
      </c>
      <c r="Q5286" t="n">
        <v>0</v>
      </c>
      <c r="R5286" s="2" t="inlineStr"/>
    </row>
    <row r="5287" ht="15" customHeight="1">
      <c r="A5287" t="inlineStr">
        <is>
          <t>A 1371-2023</t>
        </is>
      </c>
      <c r="B5287" s="1" t="n">
        <v>44936.66162037037</v>
      </c>
      <c r="C5287" s="1" t="n">
        <v>46093</v>
      </c>
      <c r="D5287" t="inlineStr">
        <is>
          <t>VÄSTERNORRLANDS LÄN</t>
        </is>
      </c>
      <c r="E5287" t="inlineStr">
        <is>
          <t>SUNDSVALL</t>
        </is>
      </c>
      <c r="G5287" t="n">
        <v>2.7</v>
      </c>
      <c r="H5287" t="n">
        <v>0</v>
      </c>
      <c r="I5287" t="n">
        <v>0</v>
      </c>
      <c r="J5287" t="n">
        <v>0</v>
      </c>
      <c r="K5287" t="n">
        <v>0</v>
      </c>
      <c r="L5287" t="n">
        <v>0</v>
      </c>
      <c r="M5287" t="n">
        <v>0</v>
      </c>
      <c r="N5287" t="n">
        <v>0</v>
      </c>
      <c r="O5287" t="n">
        <v>0</v>
      </c>
      <c r="P5287" t="n">
        <v>0</v>
      </c>
      <c r="Q5287" t="n">
        <v>0</v>
      </c>
      <c r="R5287" s="2" t="inlineStr"/>
    </row>
    <row r="5288" ht="15" customHeight="1">
      <c r="A5288" t="inlineStr">
        <is>
          <t>A 23282-2022</t>
        </is>
      </c>
      <c r="B5288" s="1" t="n">
        <v>44720</v>
      </c>
      <c r="C5288" s="1" t="n">
        <v>46093</v>
      </c>
      <c r="D5288" t="inlineStr">
        <is>
          <t>VÄSTERNORRLANDS LÄN</t>
        </is>
      </c>
      <c r="E5288" t="inlineStr">
        <is>
          <t>SOLLEFTEÅ</t>
        </is>
      </c>
      <c r="G5288" t="n">
        <v>3.4</v>
      </c>
      <c r="H5288" t="n">
        <v>0</v>
      </c>
      <c r="I5288" t="n">
        <v>0</v>
      </c>
      <c r="J5288" t="n">
        <v>0</v>
      </c>
      <c r="K5288" t="n">
        <v>0</v>
      </c>
      <c r="L5288" t="n">
        <v>0</v>
      </c>
      <c r="M5288" t="n">
        <v>0</v>
      </c>
      <c r="N5288" t="n">
        <v>0</v>
      </c>
      <c r="O5288" t="n">
        <v>0</v>
      </c>
      <c r="P5288" t="n">
        <v>0</v>
      </c>
      <c r="Q5288" t="n">
        <v>0</v>
      </c>
      <c r="R5288" s="2" t="inlineStr"/>
    </row>
    <row r="5289" ht="15" customHeight="1">
      <c r="A5289" t="inlineStr">
        <is>
          <t>A 24552-2023</t>
        </is>
      </c>
      <c r="B5289" s="1" t="n">
        <v>45082.94226851852</v>
      </c>
      <c r="C5289" s="1" t="n">
        <v>46093</v>
      </c>
      <c r="D5289" t="inlineStr">
        <is>
          <t>VÄSTERNORRLANDS LÄN</t>
        </is>
      </c>
      <c r="E5289" t="inlineStr">
        <is>
          <t>ÅNGE</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5548-2025</t>
        </is>
      </c>
      <c r="B5290" s="1" t="n">
        <v>45693.46940972222</v>
      </c>
      <c r="C5290" s="1" t="n">
        <v>46093</v>
      </c>
      <c r="D5290" t="inlineStr">
        <is>
          <t>VÄSTERNORRLANDS LÄN</t>
        </is>
      </c>
      <c r="E5290" t="inlineStr">
        <is>
          <t>SOLLEFTEÅ</t>
        </is>
      </c>
      <c r="G5290" t="n">
        <v>7.9</v>
      </c>
      <c r="H5290" t="n">
        <v>0</v>
      </c>
      <c r="I5290" t="n">
        <v>0</v>
      </c>
      <c r="J5290" t="n">
        <v>0</v>
      </c>
      <c r="K5290" t="n">
        <v>0</v>
      </c>
      <c r="L5290" t="n">
        <v>0</v>
      </c>
      <c r="M5290" t="n">
        <v>0</v>
      </c>
      <c r="N5290" t="n">
        <v>0</v>
      </c>
      <c r="O5290" t="n">
        <v>0</v>
      </c>
      <c r="P5290" t="n">
        <v>0</v>
      </c>
      <c r="Q5290" t="n">
        <v>0</v>
      </c>
      <c r="R5290" s="2" t="inlineStr"/>
    </row>
    <row r="5291" ht="15" customHeight="1">
      <c r="A5291" t="inlineStr">
        <is>
          <t>A 4651-2022</t>
        </is>
      </c>
      <c r="B5291" s="1" t="n">
        <v>44592</v>
      </c>
      <c r="C5291" s="1" t="n">
        <v>46093</v>
      </c>
      <c r="D5291" t="inlineStr">
        <is>
          <t>VÄSTERNORRLANDS LÄN</t>
        </is>
      </c>
      <c r="E5291" t="inlineStr">
        <is>
          <t>ÅNGE</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16492-2025</t>
        </is>
      </c>
      <c r="B5292" s="1" t="n">
        <v>45751.59414351852</v>
      </c>
      <c r="C5292" s="1" t="n">
        <v>46093</v>
      </c>
      <c r="D5292" t="inlineStr">
        <is>
          <t>VÄSTERNORRLANDS LÄN</t>
        </is>
      </c>
      <c r="E5292" t="inlineStr">
        <is>
          <t>SOLLEFTEÅ</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45933-2023</t>
        </is>
      </c>
      <c r="B5293" s="1" t="n">
        <v>45195</v>
      </c>
      <c r="C5293" s="1" t="n">
        <v>46093</v>
      </c>
      <c r="D5293" t="inlineStr">
        <is>
          <t>VÄSTERNORRLANDS LÄN</t>
        </is>
      </c>
      <c r="E5293" t="inlineStr">
        <is>
          <t>ÅNGE</t>
        </is>
      </c>
      <c r="F5293" t="inlineStr">
        <is>
          <t>SCA</t>
        </is>
      </c>
      <c r="G5293" t="n">
        <v>0.4</v>
      </c>
      <c r="H5293" t="n">
        <v>0</v>
      </c>
      <c r="I5293" t="n">
        <v>0</v>
      </c>
      <c r="J5293" t="n">
        <v>0</v>
      </c>
      <c r="K5293" t="n">
        <v>0</v>
      </c>
      <c r="L5293" t="n">
        <v>0</v>
      </c>
      <c r="M5293" t="n">
        <v>0</v>
      </c>
      <c r="N5293" t="n">
        <v>0</v>
      </c>
      <c r="O5293" t="n">
        <v>0</v>
      </c>
      <c r="P5293" t="n">
        <v>0</v>
      </c>
      <c r="Q5293" t="n">
        <v>0</v>
      </c>
      <c r="R5293" s="2" t="inlineStr"/>
    </row>
    <row r="5294" ht="15" customHeight="1">
      <c r="A5294" t="inlineStr">
        <is>
          <t>A 45943-2023</t>
        </is>
      </c>
      <c r="B5294" s="1" t="n">
        <v>45195</v>
      </c>
      <c r="C5294" s="1" t="n">
        <v>46093</v>
      </c>
      <c r="D5294" t="inlineStr">
        <is>
          <t>VÄSTERNORRLANDS LÄN</t>
        </is>
      </c>
      <c r="E5294" t="inlineStr">
        <is>
          <t>ÖRNSKÖLDSVIK</t>
        </is>
      </c>
      <c r="F5294" t="inlineStr">
        <is>
          <t>SCA</t>
        </is>
      </c>
      <c r="G5294" t="n">
        <v>4.5</v>
      </c>
      <c r="H5294" t="n">
        <v>0</v>
      </c>
      <c r="I5294" t="n">
        <v>0</v>
      </c>
      <c r="J5294" t="n">
        <v>0</v>
      </c>
      <c r="K5294" t="n">
        <v>0</v>
      </c>
      <c r="L5294" t="n">
        <v>0</v>
      </c>
      <c r="M5294" t="n">
        <v>0</v>
      </c>
      <c r="N5294" t="n">
        <v>0</v>
      </c>
      <c r="O5294" t="n">
        <v>0</v>
      </c>
      <c r="P5294" t="n">
        <v>0</v>
      </c>
      <c r="Q5294" t="n">
        <v>0</v>
      </c>
      <c r="R5294" s="2" t="inlineStr"/>
    </row>
    <row r="5295" ht="15" customHeight="1">
      <c r="A5295" t="inlineStr">
        <is>
          <t>A 45944-2023</t>
        </is>
      </c>
      <c r="B5295" s="1" t="n">
        <v>45195</v>
      </c>
      <c r="C5295" s="1" t="n">
        <v>46093</v>
      </c>
      <c r="D5295" t="inlineStr">
        <is>
          <t>VÄSTERNORRLANDS LÄN</t>
        </is>
      </c>
      <c r="E5295" t="inlineStr">
        <is>
          <t>ÖRNSKÖLDSVIK</t>
        </is>
      </c>
      <c r="F5295" t="inlineStr">
        <is>
          <t>SCA</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45018-2025</t>
        </is>
      </c>
      <c r="B5296" s="1" t="n">
        <v>45918.67739583334</v>
      </c>
      <c r="C5296" s="1" t="n">
        <v>46093</v>
      </c>
      <c r="D5296" t="inlineStr">
        <is>
          <t>VÄSTERNORRLANDS LÄN</t>
        </is>
      </c>
      <c r="E5296" t="inlineStr">
        <is>
          <t>SUNDSVALL</t>
        </is>
      </c>
      <c r="F5296" t="inlineStr">
        <is>
          <t>SCA</t>
        </is>
      </c>
      <c r="G5296" t="n">
        <v>2.7</v>
      </c>
      <c r="H5296" t="n">
        <v>0</v>
      </c>
      <c r="I5296" t="n">
        <v>0</v>
      </c>
      <c r="J5296" t="n">
        <v>0</v>
      </c>
      <c r="K5296" t="n">
        <v>0</v>
      </c>
      <c r="L5296" t="n">
        <v>0</v>
      </c>
      <c r="M5296" t="n">
        <v>0</v>
      </c>
      <c r="N5296" t="n">
        <v>0</v>
      </c>
      <c r="O5296" t="n">
        <v>0</v>
      </c>
      <c r="P5296" t="n">
        <v>0</v>
      </c>
      <c r="Q5296" t="n">
        <v>0</v>
      </c>
      <c r="R5296" s="2" t="inlineStr"/>
    </row>
    <row r="5297" ht="15" customHeight="1">
      <c r="A5297" t="inlineStr">
        <is>
          <t>A 45945-2023</t>
        </is>
      </c>
      <c r="B5297" s="1" t="n">
        <v>45195</v>
      </c>
      <c r="C5297" s="1" t="n">
        <v>46093</v>
      </c>
      <c r="D5297" t="inlineStr">
        <is>
          <t>VÄSTERNORRLANDS LÄN</t>
        </is>
      </c>
      <c r="E5297" t="inlineStr">
        <is>
          <t>ÖRNSKÖLDSVIK</t>
        </is>
      </c>
      <c r="F5297" t="inlineStr">
        <is>
          <t>SCA</t>
        </is>
      </c>
      <c r="G5297" t="n">
        <v>4.9</v>
      </c>
      <c r="H5297" t="n">
        <v>0</v>
      </c>
      <c r="I5297" t="n">
        <v>0</v>
      </c>
      <c r="J5297" t="n">
        <v>0</v>
      </c>
      <c r="K5297" t="n">
        <v>0</v>
      </c>
      <c r="L5297" t="n">
        <v>0</v>
      </c>
      <c r="M5297" t="n">
        <v>0</v>
      </c>
      <c r="N5297" t="n">
        <v>0</v>
      </c>
      <c r="O5297" t="n">
        <v>0</v>
      </c>
      <c r="P5297" t="n">
        <v>0</v>
      </c>
      <c r="Q5297" t="n">
        <v>0</v>
      </c>
      <c r="R5297" s="2" t="inlineStr"/>
    </row>
    <row r="5298" ht="15" customHeight="1">
      <c r="A5298" t="inlineStr">
        <is>
          <t>A 15030-2022</t>
        </is>
      </c>
      <c r="B5298" s="1" t="n">
        <v>44657.60118055555</v>
      </c>
      <c r="C5298" s="1" t="n">
        <v>46093</v>
      </c>
      <c r="D5298" t="inlineStr">
        <is>
          <t>VÄSTERNORRLANDS LÄN</t>
        </is>
      </c>
      <c r="E5298" t="inlineStr">
        <is>
          <t>ÖRNSKÖLDSVIK</t>
        </is>
      </c>
      <c r="F5298" t="inlineStr">
        <is>
          <t>Holmen skog AB</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38997-2023</t>
        </is>
      </c>
      <c r="B5299" s="1" t="n">
        <v>45161</v>
      </c>
      <c r="C5299" s="1" t="n">
        <v>46093</v>
      </c>
      <c r="D5299" t="inlineStr">
        <is>
          <t>VÄSTERNORRLANDS LÄN</t>
        </is>
      </c>
      <c r="E5299" t="inlineStr">
        <is>
          <t>KRAMFORS</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44961-2025</t>
        </is>
      </c>
      <c r="B5300" s="1" t="n">
        <v>45918.61648148148</v>
      </c>
      <c r="C5300" s="1" t="n">
        <v>46093</v>
      </c>
      <c r="D5300" t="inlineStr">
        <is>
          <t>VÄSTERNORRLANDS LÄN</t>
        </is>
      </c>
      <c r="E5300" t="inlineStr">
        <is>
          <t>ÖRNSKÖLDSVIK</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57601-2022</t>
        </is>
      </c>
      <c r="B5301" s="1" t="n">
        <v>44896</v>
      </c>
      <c r="C5301" s="1" t="n">
        <v>46093</v>
      </c>
      <c r="D5301" t="inlineStr">
        <is>
          <t>VÄSTERNORRLANDS LÄN</t>
        </is>
      </c>
      <c r="E5301" t="inlineStr">
        <is>
          <t>ÅNGE</t>
        </is>
      </c>
      <c r="F5301" t="inlineStr">
        <is>
          <t>SCA</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44738-2025</t>
        </is>
      </c>
      <c r="B5302" s="1" t="n">
        <v>45917.65997685185</v>
      </c>
      <c r="C5302" s="1" t="n">
        <v>46093</v>
      </c>
      <c r="D5302" t="inlineStr">
        <is>
          <t>VÄSTERNORRLANDS LÄN</t>
        </is>
      </c>
      <c r="E5302" t="inlineStr">
        <is>
          <t>ÖRNSKÖLDSVIK</t>
        </is>
      </c>
      <c r="F5302" t="inlineStr">
        <is>
          <t>Holmen skog AB</t>
        </is>
      </c>
      <c r="G5302" t="n">
        <v>4.7</v>
      </c>
      <c r="H5302" t="n">
        <v>0</v>
      </c>
      <c r="I5302" t="n">
        <v>0</v>
      </c>
      <c r="J5302" t="n">
        <v>0</v>
      </c>
      <c r="K5302" t="n">
        <v>0</v>
      </c>
      <c r="L5302" t="n">
        <v>0</v>
      </c>
      <c r="M5302" t="n">
        <v>0</v>
      </c>
      <c r="N5302" t="n">
        <v>0</v>
      </c>
      <c r="O5302" t="n">
        <v>0</v>
      </c>
      <c r="P5302" t="n">
        <v>0</v>
      </c>
      <c r="Q5302" t="n">
        <v>0</v>
      </c>
      <c r="R5302" s="2" t="inlineStr"/>
    </row>
    <row r="5303" ht="15" customHeight="1">
      <c r="A5303" t="inlineStr">
        <is>
          <t>A 36545-2025</t>
        </is>
      </c>
      <c r="B5303" s="1" t="n">
        <v>45869.67761574074</v>
      </c>
      <c r="C5303" s="1" t="n">
        <v>46093</v>
      </c>
      <c r="D5303" t="inlineStr">
        <is>
          <t>VÄSTERNORRLANDS LÄN</t>
        </is>
      </c>
      <c r="E5303" t="inlineStr">
        <is>
          <t>SOLLEFTEÅ</t>
        </is>
      </c>
      <c r="F5303" t="inlineStr">
        <is>
          <t>SCA</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42348-2025</t>
        </is>
      </c>
      <c r="B5304" s="1" t="n">
        <v>45904</v>
      </c>
      <c r="C5304" s="1" t="n">
        <v>46093</v>
      </c>
      <c r="D5304" t="inlineStr">
        <is>
          <t>VÄSTERNORRLANDS LÄN</t>
        </is>
      </c>
      <c r="E5304" t="inlineStr">
        <is>
          <t>HÄRNÖSAND</t>
        </is>
      </c>
      <c r="G5304" t="n">
        <v>3.5</v>
      </c>
      <c r="H5304" t="n">
        <v>0</v>
      </c>
      <c r="I5304" t="n">
        <v>0</v>
      </c>
      <c r="J5304" t="n">
        <v>0</v>
      </c>
      <c r="K5304" t="n">
        <v>0</v>
      </c>
      <c r="L5304" t="n">
        <v>0</v>
      </c>
      <c r="M5304" t="n">
        <v>0</v>
      </c>
      <c r="N5304" t="n">
        <v>0</v>
      </c>
      <c r="O5304" t="n">
        <v>0</v>
      </c>
      <c r="P5304" t="n">
        <v>0</v>
      </c>
      <c r="Q5304" t="n">
        <v>0</v>
      </c>
      <c r="R5304" s="2" t="inlineStr"/>
    </row>
    <row r="5305" ht="15" customHeight="1">
      <c r="A5305" t="inlineStr">
        <is>
          <t>A 21852-2024</t>
        </is>
      </c>
      <c r="B5305" s="1" t="n">
        <v>45442.9628125</v>
      </c>
      <c r="C5305" s="1" t="n">
        <v>46093</v>
      </c>
      <c r="D5305" t="inlineStr">
        <is>
          <t>VÄSTERNORRLANDS LÄN</t>
        </is>
      </c>
      <c r="E5305" t="inlineStr">
        <is>
          <t>SOLLEFTEÅ</t>
        </is>
      </c>
      <c r="F5305" t="inlineStr">
        <is>
          <t>SCA</t>
        </is>
      </c>
      <c r="G5305" t="n">
        <v>3.1</v>
      </c>
      <c r="H5305" t="n">
        <v>0</v>
      </c>
      <c r="I5305" t="n">
        <v>0</v>
      </c>
      <c r="J5305" t="n">
        <v>0</v>
      </c>
      <c r="K5305" t="n">
        <v>0</v>
      </c>
      <c r="L5305" t="n">
        <v>0</v>
      </c>
      <c r="M5305" t="n">
        <v>0</v>
      </c>
      <c r="N5305" t="n">
        <v>0</v>
      </c>
      <c r="O5305" t="n">
        <v>0</v>
      </c>
      <c r="P5305" t="n">
        <v>0</v>
      </c>
      <c r="Q5305" t="n">
        <v>0</v>
      </c>
      <c r="R5305" s="2" t="inlineStr"/>
    </row>
    <row r="5306" ht="15" customHeight="1">
      <c r="A5306" t="inlineStr">
        <is>
          <t>A 44689-2025</t>
        </is>
      </c>
      <c r="B5306" s="1" t="n">
        <v>45917.59104166667</v>
      </c>
      <c r="C5306" s="1" t="n">
        <v>46093</v>
      </c>
      <c r="D5306" t="inlineStr">
        <is>
          <t>VÄSTERNORRLANDS LÄN</t>
        </is>
      </c>
      <c r="E5306" t="inlineStr">
        <is>
          <t>ÖRNSKÖLDSVIK</t>
        </is>
      </c>
      <c r="F5306" t="inlineStr">
        <is>
          <t>Holmen skog AB</t>
        </is>
      </c>
      <c r="G5306" t="n">
        <v>2.8</v>
      </c>
      <c r="H5306" t="n">
        <v>0</v>
      </c>
      <c r="I5306" t="n">
        <v>0</v>
      </c>
      <c r="J5306" t="n">
        <v>0</v>
      </c>
      <c r="K5306" t="n">
        <v>0</v>
      </c>
      <c r="L5306" t="n">
        <v>0</v>
      </c>
      <c r="M5306" t="n">
        <v>0</v>
      </c>
      <c r="N5306" t="n">
        <v>0</v>
      </c>
      <c r="O5306" t="n">
        <v>0</v>
      </c>
      <c r="P5306" t="n">
        <v>0</v>
      </c>
      <c r="Q5306" t="n">
        <v>0</v>
      </c>
      <c r="R5306" s="2" t="inlineStr"/>
    </row>
    <row r="5307" ht="15" customHeight="1">
      <c r="A5307" t="inlineStr">
        <is>
          <t>A 44947-2025</t>
        </is>
      </c>
      <c r="B5307" s="1" t="n">
        <v>45918.60491898148</v>
      </c>
      <c r="C5307" s="1" t="n">
        <v>46093</v>
      </c>
      <c r="D5307" t="inlineStr">
        <is>
          <t>VÄSTERNORRLANDS LÄN</t>
        </is>
      </c>
      <c r="E5307" t="inlineStr">
        <is>
          <t>ÖRNSKÖLDSVIK</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44952-2025</t>
        </is>
      </c>
      <c r="B5308" s="1" t="n">
        <v>45918.60824074074</v>
      </c>
      <c r="C5308" s="1" t="n">
        <v>46093</v>
      </c>
      <c r="D5308" t="inlineStr">
        <is>
          <t>VÄSTERNORRLANDS LÄN</t>
        </is>
      </c>
      <c r="E5308" t="inlineStr">
        <is>
          <t>ÖRNSKÖLDSVIK</t>
        </is>
      </c>
      <c r="F5308" t="inlineStr">
        <is>
          <t>Holmen skog AB</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39973-2023</t>
        </is>
      </c>
      <c r="B5309" s="1" t="n">
        <v>45168.5858912037</v>
      </c>
      <c r="C5309" s="1" t="n">
        <v>46093</v>
      </c>
      <c r="D5309" t="inlineStr">
        <is>
          <t>VÄSTERNORRLANDS LÄN</t>
        </is>
      </c>
      <c r="E5309" t="inlineStr">
        <is>
          <t>ÅNGE</t>
        </is>
      </c>
      <c r="G5309" t="n">
        <v>3.6</v>
      </c>
      <c r="H5309" t="n">
        <v>0</v>
      </c>
      <c r="I5309" t="n">
        <v>0</v>
      </c>
      <c r="J5309" t="n">
        <v>0</v>
      </c>
      <c r="K5309" t="n">
        <v>0</v>
      </c>
      <c r="L5309" t="n">
        <v>0</v>
      </c>
      <c r="M5309" t="n">
        <v>0</v>
      </c>
      <c r="N5309" t="n">
        <v>0</v>
      </c>
      <c r="O5309" t="n">
        <v>0</v>
      </c>
      <c r="P5309" t="n">
        <v>0</v>
      </c>
      <c r="Q5309" t="n">
        <v>0</v>
      </c>
      <c r="R5309" s="2" t="inlineStr"/>
    </row>
    <row r="5310" ht="15" customHeight="1">
      <c r="A5310" t="inlineStr">
        <is>
          <t>A 55768-2023</t>
        </is>
      </c>
      <c r="B5310" s="1" t="n">
        <v>45239.479375</v>
      </c>
      <c r="C5310" s="1" t="n">
        <v>46093</v>
      </c>
      <c r="D5310" t="inlineStr">
        <is>
          <t>VÄSTERNORRLANDS LÄN</t>
        </is>
      </c>
      <c r="E5310" t="inlineStr">
        <is>
          <t>SUNDSVALL</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44871-2025</t>
        </is>
      </c>
      <c r="B5311" s="1" t="n">
        <v>45918.46938657408</v>
      </c>
      <c r="C5311" s="1" t="n">
        <v>46093</v>
      </c>
      <c r="D5311" t="inlineStr">
        <is>
          <t>VÄSTERNORRLANDS LÄN</t>
        </is>
      </c>
      <c r="E5311" t="inlineStr">
        <is>
          <t>SOLLEFTEÅ</t>
        </is>
      </c>
      <c r="F5311" t="inlineStr">
        <is>
          <t>SCA</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44907-2025</t>
        </is>
      </c>
      <c r="B5312" s="1" t="n">
        <v>45918.531875</v>
      </c>
      <c r="C5312" s="1" t="n">
        <v>46093</v>
      </c>
      <c r="D5312" t="inlineStr">
        <is>
          <t>VÄSTERNORRLANDS LÄN</t>
        </is>
      </c>
      <c r="E5312" t="inlineStr">
        <is>
          <t>SOLLEFTEÅ</t>
        </is>
      </c>
      <c r="F5312" t="inlineStr">
        <is>
          <t>SCA</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4871-2022</t>
        </is>
      </c>
      <c r="B5313" s="1" t="n">
        <v>44592</v>
      </c>
      <c r="C5313" s="1" t="n">
        <v>46093</v>
      </c>
      <c r="D5313" t="inlineStr">
        <is>
          <t>VÄSTERNORRLANDS LÄN</t>
        </is>
      </c>
      <c r="E5313" t="inlineStr">
        <is>
          <t>SUNDSVALL</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44905-2025</t>
        </is>
      </c>
      <c r="B5314" s="1" t="n">
        <v>45918.53159722222</v>
      </c>
      <c r="C5314" s="1" t="n">
        <v>46093</v>
      </c>
      <c r="D5314" t="inlineStr">
        <is>
          <t>VÄSTERNORRLANDS LÄN</t>
        </is>
      </c>
      <c r="E5314" t="inlineStr">
        <is>
          <t>ÖRNSKÖLDSVIK</t>
        </is>
      </c>
      <c r="F5314" t="inlineStr">
        <is>
          <t>SCA</t>
        </is>
      </c>
      <c r="G5314" t="n">
        <v>9.199999999999999</v>
      </c>
      <c r="H5314" t="n">
        <v>0</v>
      </c>
      <c r="I5314" t="n">
        <v>0</v>
      </c>
      <c r="J5314" t="n">
        <v>0</v>
      </c>
      <c r="K5314" t="n">
        <v>0</v>
      </c>
      <c r="L5314" t="n">
        <v>0</v>
      </c>
      <c r="M5314" t="n">
        <v>0</v>
      </c>
      <c r="N5314" t="n">
        <v>0</v>
      </c>
      <c r="O5314" t="n">
        <v>0</v>
      </c>
      <c r="P5314" t="n">
        <v>0</v>
      </c>
      <c r="Q5314" t="n">
        <v>0</v>
      </c>
      <c r="R5314" s="2" t="inlineStr"/>
    </row>
    <row r="5315" ht="15" customHeight="1">
      <c r="A5315" t="inlineStr">
        <is>
          <t>A 44906-2025</t>
        </is>
      </c>
      <c r="B5315" s="1" t="n">
        <v>45918.53174768519</v>
      </c>
      <c r="C5315" s="1" t="n">
        <v>46093</v>
      </c>
      <c r="D5315" t="inlineStr">
        <is>
          <t>VÄSTERNORRLANDS LÄN</t>
        </is>
      </c>
      <c r="E5315" t="inlineStr">
        <is>
          <t>SOLLEFTEÅ</t>
        </is>
      </c>
      <c r="F5315" t="inlineStr">
        <is>
          <t>SCA</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5862-2025</t>
        </is>
      </c>
      <c r="B5316" s="1" t="n">
        <v>45695.35061342592</v>
      </c>
      <c r="C5316" s="1" t="n">
        <v>46093</v>
      </c>
      <c r="D5316" t="inlineStr">
        <is>
          <t>VÄSTERNORRLANDS LÄN</t>
        </is>
      </c>
      <c r="E5316" t="inlineStr">
        <is>
          <t>SOLLEFTEÅ</t>
        </is>
      </c>
      <c r="F5316" t="inlineStr">
        <is>
          <t>Holmen skog AB</t>
        </is>
      </c>
      <c r="G5316" t="n">
        <v>0.3</v>
      </c>
      <c r="H5316" t="n">
        <v>0</v>
      </c>
      <c r="I5316" t="n">
        <v>0</v>
      </c>
      <c r="J5316" t="n">
        <v>0</v>
      </c>
      <c r="K5316" t="n">
        <v>0</v>
      </c>
      <c r="L5316" t="n">
        <v>0</v>
      </c>
      <c r="M5316" t="n">
        <v>0</v>
      </c>
      <c r="N5316" t="n">
        <v>0</v>
      </c>
      <c r="O5316" t="n">
        <v>0</v>
      </c>
      <c r="P5316" t="n">
        <v>0</v>
      </c>
      <c r="Q5316" t="n">
        <v>0</v>
      </c>
      <c r="R5316" s="2" t="inlineStr"/>
    </row>
    <row r="5317" ht="15" customHeight="1">
      <c r="A5317" t="inlineStr">
        <is>
          <t>A 36432-2023</t>
        </is>
      </c>
      <c r="B5317" s="1" t="n">
        <v>45152</v>
      </c>
      <c r="C5317" s="1" t="n">
        <v>46093</v>
      </c>
      <c r="D5317" t="inlineStr">
        <is>
          <t>VÄSTERNORRLANDS LÄN</t>
        </is>
      </c>
      <c r="E5317" t="inlineStr">
        <is>
          <t>ÖRNSKÖLDSVIK</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34642-2024</t>
        </is>
      </c>
      <c r="B5318" s="1" t="n">
        <v>45526</v>
      </c>
      <c r="C5318" s="1" t="n">
        <v>46093</v>
      </c>
      <c r="D5318" t="inlineStr">
        <is>
          <t>VÄSTERNORRLANDS LÄN</t>
        </is>
      </c>
      <c r="E5318" t="inlineStr">
        <is>
          <t>KRAMFORS</t>
        </is>
      </c>
      <c r="G5318" t="n">
        <v>0.2</v>
      </c>
      <c r="H5318" t="n">
        <v>0</v>
      </c>
      <c r="I5318" t="n">
        <v>0</v>
      </c>
      <c r="J5318" t="n">
        <v>0</v>
      </c>
      <c r="K5318" t="n">
        <v>0</v>
      </c>
      <c r="L5318" t="n">
        <v>0</v>
      </c>
      <c r="M5318" t="n">
        <v>0</v>
      </c>
      <c r="N5318" t="n">
        <v>0</v>
      </c>
      <c r="O5318" t="n">
        <v>0</v>
      </c>
      <c r="P5318" t="n">
        <v>0</v>
      </c>
      <c r="Q5318" t="n">
        <v>0</v>
      </c>
      <c r="R5318" s="2" t="inlineStr"/>
    </row>
    <row r="5319" ht="15" customHeight="1">
      <c r="A5319" t="inlineStr">
        <is>
          <t>A 34649-2024</t>
        </is>
      </c>
      <c r="B5319" s="1" t="n">
        <v>45526.48325231481</v>
      </c>
      <c r="C5319" s="1" t="n">
        <v>46093</v>
      </c>
      <c r="D5319" t="inlineStr">
        <is>
          <t>VÄSTERNORRLANDS LÄN</t>
        </is>
      </c>
      <c r="E5319" t="inlineStr">
        <is>
          <t>ÅNGE</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45571-2025</t>
        </is>
      </c>
      <c r="B5320" s="1" t="n">
        <v>45922.65731481482</v>
      </c>
      <c r="C5320" s="1" t="n">
        <v>46093</v>
      </c>
      <c r="D5320" t="inlineStr">
        <is>
          <t>VÄSTERNORRLANDS LÄN</t>
        </is>
      </c>
      <c r="E5320" t="inlineStr">
        <is>
          <t>SUNDSVALL</t>
        </is>
      </c>
      <c r="F5320" t="inlineStr">
        <is>
          <t>SCA</t>
        </is>
      </c>
      <c r="G5320" t="n">
        <v>6.4</v>
      </c>
      <c r="H5320" t="n">
        <v>0</v>
      </c>
      <c r="I5320" t="n">
        <v>0</v>
      </c>
      <c r="J5320" t="n">
        <v>0</v>
      </c>
      <c r="K5320" t="n">
        <v>0</v>
      </c>
      <c r="L5320" t="n">
        <v>0</v>
      </c>
      <c r="M5320" t="n">
        <v>0</v>
      </c>
      <c r="N5320" t="n">
        <v>0</v>
      </c>
      <c r="O5320" t="n">
        <v>0</v>
      </c>
      <c r="P5320" t="n">
        <v>0</v>
      </c>
      <c r="Q5320" t="n">
        <v>0</v>
      </c>
      <c r="R5320" s="2" t="inlineStr"/>
    </row>
    <row r="5321" ht="15" customHeight="1">
      <c r="A5321" t="inlineStr">
        <is>
          <t>A 42478-2025</t>
        </is>
      </c>
      <c r="B5321" s="1" t="n">
        <v>45905</v>
      </c>
      <c r="C5321" s="1" t="n">
        <v>46093</v>
      </c>
      <c r="D5321" t="inlineStr">
        <is>
          <t>VÄSTERNORRLANDS LÄN</t>
        </is>
      </c>
      <c r="E5321" t="inlineStr">
        <is>
          <t>SOLLEFTEÅ</t>
        </is>
      </c>
      <c r="F5321" t="inlineStr">
        <is>
          <t>SCA</t>
        </is>
      </c>
      <c r="G5321" t="n">
        <v>9.300000000000001</v>
      </c>
      <c r="H5321" t="n">
        <v>0</v>
      </c>
      <c r="I5321" t="n">
        <v>0</v>
      </c>
      <c r="J5321" t="n">
        <v>0</v>
      </c>
      <c r="K5321" t="n">
        <v>0</v>
      </c>
      <c r="L5321" t="n">
        <v>0</v>
      </c>
      <c r="M5321" t="n">
        <v>0</v>
      </c>
      <c r="N5321" t="n">
        <v>0</v>
      </c>
      <c r="O5321" t="n">
        <v>0</v>
      </c>
      <c r="P5321" t="n">
        <v>0</v>
      </c>
      <c r="Q5321" t="n">
        <v>0</v>
      </c>
      <c r="R5321" s="2" t="inlineStr"/>
    </row>
    <row r="5322" ht="15" customHeight="1">
      <c r="A5322" t="inlineStr">
        <is>
          <t>A 37584-2024</t>
        </is>
      </c>
      <c r="B5322" s="1" t="n">
        <v>45541.45975694444</v>
      </c>
      <c r="C5322" s="1" t="n">
        <v>46093</v>
      </c>
      <c r="D5322" t="inlineStr">
        <is>
          <t>VÄSTERNORRLANDS LÄN</t>
        </is>
      </c>
      <c r="E5322" t="inlineStr">
        <is>
          <t>SUNDSVALL</t>
        </is>
      </c>
      <c r="G5322" t="n">
        <v>4.1</v>
      </c>
      <c r="H5322" t="n">
        <v>0</v>
      </c>
      <c r="I5322" t="n">
        <v>0</v>
      </c>
      <c r="J5322" t="n">
        <v>0</v>
      </c>
      <c r="K5322" t="n">
        <v>0</v>
      </c>
      <c r="L5322" t="n">
        <v>0</v>
      </c>
      <c r="M5322" t="n">
        <v>0</v>
      </c>
      <c r="N5322" t="n">
        <v>0</v>
      </c>
      <c r="O5322" t="n">
        <v>0</v>
      </c>
      <c r="P5322" t="n">
        <v>0</v>
      </c>
      <c r="Q5322" t="n">
        <v>0</v>
      </c>
      <c r="R5322" s="2" t="inlineStr"/>
    </row>
    <row r="5323" ht="15" customHeight="1">
      <c r="A5323" t="inlineStr">
        <is>
          <t>A 30748-2024</t>
        </is>
      </c>
      <c r="B5323" s="1" t="n">
        <v>45496.6871875</v>
      </c>
      <c r="C5323" s="1" t="n">
        <v>46093</v>
      </c>
      <c r="D5323" t="inlineStr">
        <is>
          <t>VÄSTERNORRLANDS LÄN</t>
        </is>
      </c>
      <c r="E5323" t="inlineStr">
        <is>
          <t>SUNDSVALL</t>
        </is>
      </c>
      <c r="G5323" t="n">
        <v>3.3</v>
      </c>
      <c r="H5323" t="n">
        <v>0</v>
      </c>
      <c r="I5323" t="n">
        <v>0</v>
      </c>
      <c r="J5323" t="n">
        <v>0</v>
      </c>
      <c r="K5323" t="n">
        <v>0</v>
      </c>
      <c r="L5323" t="n">
        <v>0</v>
      </c>
      <c r="M5323" t="n">
        <v>0</v>
      </c>
      <c r="N5323" t="n">
        <v>0</v>
      </c>
      <c r="O5323" t="n">
        <v>0</v>
      </c>
      <c r="P5323" t="n">
        <v>0</v>
      </c>
      <c r="Q5323" t="n">
        <v>0</v>
      </c>
      <c r="R5323" s="2" t="inlineStr"/>
    </row>
    <row r="5324" ht="15" customHeight="1">
      <c r="A5324" t="inlineStr">
        <is>
          <t>A 31712-2024</t>
        </is>
      </c>
      <c r="B5324" s="1" t="n">
        <v>45508</v>
      </c>
      <c r="C5324" s="1" t="n">
        <v>46093</v>
      </c>
      <c r="D5324" t="inlineStr">
        <is>
          <t>VÄSTERNORRLANDS LÄN</t>
        </is>
      </c>
      <c r="E5324" t="inlineStr">
        <is>
          <t>SUNDSVALL</t>
        </is>
      </c>
      <c r="F5324" t="inlineStr">
        <is>
          <t>SCA</t>
        </is>
      </c>
      <c r="G5324" t="n">
        <v>4.7</v>
      </c>
      <c r="H5324" t="n">
        <v>0</v>
      </c>
      <c r="I5324" t="n">
        <v>0</v>
      </c>
      <c r="J5324" t="n">
        <v>0</v>
      </c>
      <c r="K5324" t="n">
        <v>0</v>
      </c>
      <c r="L5324" t="n">
        <v>0</v>
      </c>
      <c r="M5324" t="n">
        <v>0</v>
      </c>
      <c r="N5324" t="n">
        <v>0</v>
      </c>
      <c r="O5324" t="n">
        <v>0</v>
      </c>
      <c r="P5324" t="n">
        <v>0</v>
      </c>
      <c r="Q5324" t="n">
        <v>0</v>
      </c>
      <c r="R5324" s="2" t="inlineStr"/>
    </row>
    <row r="5325" ht="15" customHeight="1">
      <c r="A5325" t="inlineStr">
        <is>
          <t>A 3293-2025</t>
        </is>
      </c>
      <c r="B5325" s="1" t="n">
        <v>45679</v>
      </c>
      <c r="C5325" s="1" t="n">
        <v>46093</v>
      </c>
      <c r="D5325" t="inlineStr">
        <is>
          <t>VÄSTERNORRLANDS LÄN</t>
        </is>
      </c>
      <c r="E5325" t="inlineStr">
        <is>
          <t>SUNDSVALL</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36622-2025</t>
        </is>
      </c>
      <c r="B5326" s="1" t="n">
        <v>45870.65707175926</v>
      </c>
      <c r="C5326" s="1" t="n">
        <v>46093</v>
      </c>
      <c r="D5326" t="inlineStr">
        <is>
          <t>VÄSTERNORRLANDS LÄN</t>
        </is>
      </c>
      <c r="E5326" t="inlineStr">
        <is>
          <t>SUNDSVALL</t>
        </is>
      </c>
      <c r="F5326" t="inlineStr">
        <is>
          <t>SCA</t>
        </is>
      </c>
      <c r="G5326" t="n">
        <v>5.1</v>
      </c>
      <c r="H5326" t="n">
        <v>0</v>
      </c>
      <c r="I5326" t="n">
        <v>0</v>
      </c>
      <c r="J5326" t="n">
        <v>0</v>
      </c>
      <c r="K5326" t="n">
        <v>0</v>
      </c>
      <c r="L5326" t="n">
        <v>0</v>
      </c>
      <c r="M5326" t="n">
        <v>0</v>
      </c>
      <c r="N5326" t="n">
        <v>0</v>
      </c>
      <c r="O5326" t="n">
        <v>0</v>
      </c>
      <c r="P5326" t="n">
        <v>0</v>
      </c>
      <c r="Q5326" t="n">
        <v>0</v>
      </c>
      <c r="R5326" s="2" t="inlineStr"/>
    </row>
    <row r="5327" ht="15" customHeight="1">
      <c r="A5327" t="inlineStr">
        <is>
          <t>A 45403-2025</t>
        </is>
      </c>
      <c r="B5327" s="1" t="n">
        <v>45922.42803240741</v>
      </c>
      <c r="C5327" s="1" t="n">
        <v>46093</v>
      </c>
      <c r="D5327" t="inlineStr">
        <is>
          <t>VÄSTERNORRLANDS LÄN</t>
        </is>
      </c>
      <c r="E5327" t="inlineStr">
        <is>
          <t>ÅNGE</t>
        </is>
      </c>
      <c r="F5327" t="inlineStr">
        <is>
          <t>SCA</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45404-2025</t>
        </is>
      </c>
      <c r="B5328" s="1" t="n">
        <v>45922.42820601852</v>
      </c>
      <c r="C5328" s="1" t="n">
        <v>46093</v>
      </c>
      <c r="D5328" t="inlineStr">
        <is>
          <t>VÄSTERNORRLANDS LÄN</t>
        </is>
      </c>
      <c r="E5328" t="inlineStr">
        <is>
          <t>ÅNGE</t>
        </is>
      </c>
      <c r="F5328" t="inlineStr">
        <is>
          <t>SCA</t>
        </is>
      </c>
      <c r="G5328" t="n">
        <v>6.6</v>
      </c>
      <c r="H5328" t="n">
        <v>0</v>
      </c>
      <c r="I5328" t="n">
        <v>0</v>
      </c>
      <c r="J5328" t="n">
        <v>0</v>
      </c>
      <c r="K5328" t="n">
        <v>0</v>
      </c>
      <c r="L5328" t="n">
        <v>0</v>
      </c>
      <c r="M5328" t="n">
        <v>0</v>
      </c>
      <c r="N5328" t="n">
        <v>0</v>
      </c>
      <c r="O5328" t="n">
        <v>0</v>
      </c>
      <c r="P5328" t="n">
        <v>0</v>
      </c>
      <c r="Q5328" t="n">
        <v>0</v>
      </c>
      <c r="R5328" s="2" t="inlineStr"/>
    </row>
    <row r="5329" ht="15" customHeight="1">
      <c r="A5329" t="inlineStr">
        <is>
          <t>A 21183-2022</t>
        </is>
      </c>
      <c r="B5329" s="1" t="n">
        <v>44704</v>
      </c>
      <c r="C5329" s="1" t="n">
        <v>46093</v>
      </c>
      <c r="D5329" t="inlineStr">
        <is>
          <t>VÄSTERNORRLANDS LÄN</t>
        </is>
      </c>
      <c r="E5329" t="inlineStr">
        <is>
          <t>SUNDSVALL</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25737-2022</t>
        </is>
      </c>
      <c r="B5330" s="1" t="n">
        <v>44733.43085648148</v>
      </c>
      <c r="C5330" s="1" t="n">
        <v>46093</v>
      </c>
      <c r="D5330" t="inlineStr">
        <is>
          <t>VÄSTERNORRLANDS LÄN</t>
        </is>
      </c>
      <c r="E5330" t="inlineStr">
        <is>
          <t>ÖRNSKÖLDSVIK</t>
        </is>
      </c>
      <c r="F5330" t="inlineStr">
        <is>
          <t>Holmen skog AB</t>
        </is>
      </c>
      <c r="G5330" t="n">
        <v>2.5</v>
      </c>
      <c r="H5330" t="n">
        <v>0</v>
      </c>
      <c r="I5330" t="n">
        <v>0</v>
      </c>
      <c r="J5330" t="n">
        <v>0</v>
      </c>
      <c r="K5330" t="n">
        <v>0</v>
      </c>
      <c r="L5330" t="n">
        <v>0</v>
      </c>
      <c r="M5330" t="n">
        <v>0</v>
      </c>
      <c r="N5330" t="n">
        <v>0</v>
      </c>
      <c r="O5330" t="n">
        <v>0</v>
      </c>
      <c r="P5330" t="n">
        <v>0</v>
      </c>
      <c r="Q5330" t="n">
        <v>0</v>
      </c>
      <c r="R5330" s="2" t="inlineStr"/>
    </row>
    <row r="5331" ht="15" customHeight="1">
      <c r="A5331" t="inlineStr">
        <is>
          <t>A 5394-2025</t>
        </is>
      </c>
      <c r="B5331" s="1" t="n">
        <v>45692.63591435185</v>
      </c>
      <c r="C5331" s="1" t="n">
        <v>46093</v>
      </c>
      <c r="D5331" t="inlineStr">
        <is>
          <t>VÄSTERNORRLANDS LÄN</t>
        </is>
      </c>
      <c r="E5331" t="inlineStr">
        <is>
          <t>SOLLEFTEÅ</t>
        </is>
      </c>
      <c r="F5331" t="inlineStr">
        <is>
          <t>SCA</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45252-2025</t>
        </is>
      </c>
      <c r="B5332" s="1" t="n">
        <v>45919.61493055556</v>
      </c>
      <c r="C5332" s="1" t="n">
        <v>46093</v>
      </c>
      <c r="D5332" t="inlineStr">
        <is>
          <t>VÄSTERNORRLANDS LÄN</t>
        </is>
      </c>
      <c r="E5332" t="inlineStr">
        <is>
          <t>SOLLEFTEÅ</t>
        </is>
      </c>
      <c r="F5332" t="inlineStr">
        <is>
          <t>SCA</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12736-2025</t>
        </is>
      </c>
      <c r="B5333" s="1" t="n">
        <v>45733.52583333333</v>
      </c>
      <c r="C5333" s="1" t="n">
        <v>46093</v>
      </c>
      <c r="D5333" t="inlineStr">
        <is>
          <t>VÄSTERNORRLANDS LÄN</t>
        </is>
      </c>
      <c r="E5333" t="inlineStr">
        <is>
          <t>ÖRNSKÖLDSVIK</t>
        </is>
      </c>
      <c r="G5333" t="n">
        <v>2.5</v>
      </c>
      <c r="H5333" t="n">
        <v>0</v>
      </c>
      <c r="I5333" t="n">
        <v>0</v>
      </c>
      <c r="J5333" t="n">
        <v>0</v>
      </c>
      <c r="K5333" t="n">
        <v>0</v>
      </c>
      <c r="L5333" t="n">
        <v>0</v>
      </c>
      <c r="M5333" t="n">
        <v>0</v>
      </c>
      <c r="N5333" t="n">
        <v>0</v>
      </c>
      <c r="O5333" t="n">
        <v>0</v>
      </c>
      <c r="P5333" t="n">
        <v>0</v>
      </c>
      <c r="Q5333" t="n">
        <v>0</v>
      </c>
      <c r="R5333" s="2" t="inlineStr"/>
    </row>
    <row r="5334" ht="15" customHeight="1">
      <c r="A5334" t="inlineStr">
        <is>
          <t>A 19321-2021</t>
        </is>
      </c>
      <c r="B5334" s="1" t="n">
        <v>44309</v>
      </c>
      <c r="C5334" s="1" t="n">
        <v>46093</v>
      </c>
      <c r="D5334" t="inlineStr">
        <is>
          <t>VÄSTERNORRLANDS LÄN</t>
        </is>
      </c>
      <c r="E5334" t="inlineStr">
        <is>
          <t>ÖRNSKÖLDSVIK</t>
        </is>
      </c>
      <c r="F5334" t="inlineStr">
        <is>
          <t>Holmen skog AB</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33108-2024</t>
        </is>
      </c>
      <c r="B5335" s="1" t="n">
        <v>45517</v>
      </c>
      <c r="C5335" s="1" t="n">
        <v>46093</v>
      </c>
      <c r="D5335" t="inlineStr">
        <is>
          <t>VÄSTERNORRLANDS LÄN</t>
        </is>
      </c>
      <c r="E5335" t="inlineStr">
        <is>
          <t>SUNDSVALL</t>
        </is>
      </c>
      <c r="G5335" t="n">
        <v>5.8</v>
      </c>
      <c r="H5335" t="n">
        <v>0</v>
      </c>
      <c r="I5335" t="n">
        <v>0</v>
      </c>
      <c r="J5335" t="n">
        <v>0</v>
      </c>
      <c r="K5335" t="n">
        <v>0</v>
      </c>
      <c r="L5335" t="n">
        <v>0</v>
      </c>
      <c r="M5335" t="n">
        <v>0</v>
      </c>
      <c r="N5335" t="n">
        <v>0</v>
      </c>
      <c r="O5335" t="n">
        <v>0</v>
      </c>
      <c r="P5335" t="n">
        <v>0</v>
      </c>
      <c r="Q5335" t="n">
        <v>0</v>
      </c>
      <c r="R5335" s="2" t="inlineStr"/>
    </row>
    <row r="5336" ht="15" customHeight="1">
      <c r="A5336" t="inlineStr">
        <is>
          <t>A 20086-2022</t>
        </is>
      </c>
      <c r="B5336" s="1" t="n">
        <v>44697</v>
      </c>
      <c r="C5336" s="1" t="n">
        <v>46093</v>
      </c>
      <c r="D5336" t="inlineStr">
        <is>
          <t>VÄSTERNORRLANDS LÄN</t>
        </is>
      </c>
      <c r="E5336" t="inlineStr">
        <is>
          <t>SUNDSVALL</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3713-2025</t>
        </is>
      </c>
      <c r="B5337" s="1" t="n">
        <v>45681.51127314815</v>
      </c>
      <c r="C5337" s="1" t="n">
        <v>46093</v>
      </c>
      <c r="D5337" t="inlineStr">
        <is>
          <t>VÄSTERNORRLANDS LÄN</t>
        </is>
      </c>
      <c r="E5337" t="inlineStr">
        <is>
          <t>SUNDSVALL</t>
        </is>
      </c>
      <c r="F5337" t="inlineStr">
        <is>
          <t>SCA</t>
        </is>
      </c>
      <c r="G5337" t="n">
        <v>9.6</v>
      </c>
      <c r="H5337" t="n">
        <v>0</v>
      </c>
      <c r="I5337" t="n">
        <v>0</v>
      </c>
      <c r="J5337" t="n">
        <v>0</v>
      </c>
      <c r="K5337" t="n">
        <v>0</v>
      </c>
      <c r="L5337" t="n">
        <v>0</v>
      </c>
      <c r="M5337" t="n">
        <v>0</v>
      </c>
      <c r="N5337" t="n">
        <v>0</v>
      </c>
      <c r="O5337" t="n">
        <v>0</v>
      </c>
      <c r="P5337" t="n">
        <v>0</v>
      </c>
      <c r="Q5337" t="n">
        <v>0</v>
      </c>
      <c r="R5337" s="2" t="inlineStr"/>
    </row>
    <row r="5338" ht="15" customHeight="1">
      <c r="A5338" t="inlineStr">
        <is>
          <t>A 43104-2025</t>
        </is>
      </c>
      <c r="B5338" s="1" t="n">
        <v>45909</v>
      </c>
      <c r="C5338" s="1" t="n">
        <v>46093</v>
      </c>
      <c r="D5338" t="inlineStr">
        <is>
          <t>VÄSTERNORRLANDS LÄN</t>
        </is>
      </c>
      <c r="E5338" t="inlineStr">
        <is>
          <t>ÖRNSKÖLDSVIK</t>
        </is>
      </c>
      <c r="G5338" t="n">
        <v>2.3</v>
      </c>
      <c r="H5338" t="n">
        <v>0</v>
      </c>
      <c r="I5338" t="n">
        <v>0</v>
      </c>
      <c r="J5338" t="n">
        <v>0</v>
      </c>
      <c r="K5338" t="n">
        <v>0</v>
      </c>
      <c r="L5338" t="n">
        <v>0</v>
      </c>
      <c r="M5338" t="n">
        <v>0</v>
      </c>
      <c r="N5338" t="n">
        <v>0</v>
      </c>
      <c r="O5338" t="n">
        <v>0</v>
      </c>
      <c r="P5338" t="n">
        <v>0</v>
      </c>
      <c r="Q5338" t="n">
        <v>0</v>
      </c>
      <c r="R5338" s="2" t="inlineStr"/>
    </row>
    <row r="5339" ht="15" customHeight="1">
      <c r="A5339" t="inlineStr">
        <is>
          <t>A 18188-2022</t>
        </is>
      </c>
      <c r="B5339" s="1" t="n">
        <v>44684.94004629629</v>
      </c>
      <c r="C5339" s="1" t="n">
        <v>46093</v>
      </c>
      <c r="D5339" t="inlineStr">
        <is>
          <t>VÄSTERNORRLANDS LÄN</t>
        </is>
      </c>
      <c r="E5339" t="inlineStr">
        <is>
          <t>SOLLEFTEÅ</t>
        </is>
      </c>
      <c r="F5339" t="inlineStr">
        <is>
          <t>SCA</t>
        </is>
      </c>
      <c r="G5339" t="n">
        <v>3.8</v>
      </c>
      <c r="H5339" t="n">
        <v>0</v>
      </c>
      <c r="I5339" t="n">
        <v>0</v>
      </c>
      <c r="J5339" t="n">
        <v>0</v>
      </c>
      <c r="K5339" t="n">
        <v>0</v>
      </c>
      <c r="L5339" t="n">
        <v>0</v>
      </c>
      <c r="M5339" t="n">
        <v>0</v>
      </c>
      <c r="N5339" t="n">
        <v>0</v>
      </c>
      <c r="O5339" t="n">
        <v>0</v>
      </c>
      <c r="P5339" t="n">
        <v>0</v>
      </c>
      <c r="Q5339" t="n">
        <v>0</v>
      </c>
      <c r="R5339" s="2" t="inlineStr"/>
    </row>
    <row r="5340" ht="15" customHeight="1">
      <c r="A5340" t="inlineStr">
        <is>
          <t>A 12539-2022</t>
        </is>
      </c>
      <c r="B5340" s="1" t="n">
        <v>44638</v>
      </c>
      <c r="C5340" s="1" t="n">
        <v>46093</v>
      </c>
      <c r="D5340" t="inlineStr">
        <is>
          <t>VÄSTERNORRLANDS LÄN</t>
        </is>
      </c>
      <c r="E5340" t="inlineStr">
        <is>
          <t>KRAMFORS</t>
        </is>
      </c>
      <c r="G5340" t="n">
        <v>4</v>
      </c>
      <c r="H5340" t="n">
        <v>0</v>
      </c>
      <c r="I5340" t="n">
        <v>0</v>
      </c>
      <c r="J5340" t="n">
        <v>0</v>
      </c>
      <c r="K5340" t="n">
        <v>0</v>
      </c>
      <c r="L5340" t="n">
        <v>0</v>
      </c>
      <c r="M5340" t="n">
        <v>0</v>
      </c>
      <c r="N5340" t="n">
        <v>0</v>
      </c>
      <c r="O5340" t="n">
        <v>0</v>
      </c>
      <c r="P5340" t="n">
        <v>0</v>
      </c>
      <c r="Q5340" t="n">
        <v>0</v>
      </c>
      <c r="R5340" s="2" t="inlineStr"/>
    </row>
    <row r="5341" ht="15" customHeight="1">
      <c r="A5341" t="inlineStr">
        <is>
          <t>A 45063-2025</t>
        </is>
      </c>
      <c r="B5341" s="1" t="n">
        <v>45919.34494212963</v>
      </c>
      <c r="C5341" s="1" t="n">
        <v>46093</v>
      </c>
      <c r="D5341" t="inlineStr">
        <is>
          <t>VÄSTERNORRLANDS LÄN</t>
        </is>
      </c>
      <c r="E5341" t="inlineStr">
        <is>
          <t>HÄRNÖSAND</t>
        </is>
      </c>
      <c r="F5341" t="inlineStr">
        <is>
          <t>SCA</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45250-2025</t>
        </is>
      </c>
      <c r="B5342" s="1" t="n">
        <v>45919.61296296296</v>
      </c>
      <c r="C5342" s="1" t="n">
        <v>46093</v>
      </c>
      <c r="D5342" t="inlineStr">
        <is>
          <t>VÄSTERNORRLANDS LÄN</t>
        </is>
      </c>
      <c r="E5342" t="inlineStr">
        <is>
          <t>ÖRNSKÖLDSVIK</t>
        </is>
      </c>
      <c r="F5342" t="inlineStr">
        <is>
          <t>Holmen skog AB</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47329-2023</t>
        </is>
      </c>
      <c r="B5343" s="1" t="n">
        <v>45196</v>
      </c>
      <c r="C5343" s="1" t="n">
        <v>46093</v>
      </c>
      <c r="D5343" t="inlineStr">
        <is>
          <t>VÄSTERNORRLANDS LÄN</t>
        </is>
      </c>
      <c r="E5343" t="inlineStr">
        <is>
          <t>SOLLEFTEÅ</t>
        </is>
      </c>
      <c r="F5343" t="inlineStr">
        <is>
          <t>SCA</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61268-2023</t>
        </is>
      </c>
      <c r="B5344" s="1" t="n">
        <v>45264</v>
      </c>
      <c r="C5344" s="1" t="n">
        <v>46093</v>
      </c>
      <c r="D5344" t="inlineStr">
        <is>
          <t>VÄSTERNORRLANDS LÄN</t>
        </is>
      </c>
      <c r="E5344" t="inlineStr">
        <is>
          <t>SUNDSVALL</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47342-2023</t>
        </is>
      </c>
      <c r="B5345" s="1" t="n">
        <v>45196</v>
      </c>
      <c r="C5345" s="1" t="n">
        <v>46093</v>
      </c>
      <c r="D5345" t="inlineStr">
        <is>
          <t>VÄSTERNORRLANDS LÄN</t>
        </is>
      </c>
      <c r="E5345" t="inlineStr">
        <is>
          <t>ÖRNSKÖLDSVIK</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25007-2022</t>
        </is>
      </c>
      <c r="B5346" s="1" t="n">
        <v>44728</v>
      </c>
      <c r="C5346" s="1" t="n">
        <v>46093</v>
      </c>
      <c r="D5346" t="inlineStr">
        <is>
          <t>VÄSTERNORRLANDS LÄN</t>
        </is>
      </c>
      <c r="E5346" t="inlineStr">
        <is>
          <t>HÄRNÖSAND</t>
        </is>
      </c>
      <c r="G5346" t="n">
        <v>4.1</v>
      </c>
      <c r="H5346" t="n">
        <v>0</v>
      </c>
      <c r="I5346" t="n">
        <v>0</v>
      </c>
      <c r="J5346" t="n">
        <v>0</v>
      </c>
      <c r="K5346" t="n">
        <v>0</v>
      </c>
      <c r="L5346" t="n">
        <v>0</v>
      </c>
      <c r="M5346" t="n">
        <v>0</v>
      </c>
      <c r="N5346" t="n">
        <v>0</v>
      </c>
      <c r="O5346" t="n">
        <v>0</v>
      </c>
      <c r="P5346" t="n">
        <v>0</v>
      </c>
      <c r="Q5346" t="n">
        <v>0</v>
      </c>
      <c r="R5346" s="2" t="inlineStr"/>
    </row>
    <row r="5347" ht="15" customHeight="1">
      <c r="A5347" t="inlineStr">
        <is>
          <t>A 36546-2025</t>
        </is>
      </c>
      <c r="B5347" s="1" t="n">
        <v>45869.69824074074</v>
      </c>
      <c r="C5347" s="1" t="n">
        <v>46093</v>
      </c>
      <c r="D5347" t="inlineStr">
        <is>
          <t>VÄSTERNORRLANDS LÄN</t>
        </is>
      </c>
      <c r="E5347" t="inlineStr">
        <is>
          <t>SUNDSVALL</t>
        </is>
      </c>
      <c r="F5347" t="inlineStr">
        <is>
          <t>SCA</t>
        </is>
      </c>
      <c r="G5347" t="n">
        <v>4.8</v>
      </c>
      <c r="H5347" t="n">
        <v>0</v>
      </c>
      <c r="I5347" t="n">
        <v>0</v>
      </c>
      <c r="J5347" t="n">
        <v>0</v>
      </c>
      <c r="K5347" t="n">
        <v>0</v>
      </c>
      <c r="L5347" t="n">
        <v>0</v>
      </c>
      <c r="M5347" t="n">
        <v>0</v>
      </c>
      <c r="N5347" t="n">
        <v>0</v>
      </c>
      <c r="O5347" t="n">
        <v>0</v>
      </c>
      <c r="P5347" t="n">
        <v>0</v>
      </c>
      <c r="Q5347" t="n">
        <v>0</v>
      </c>
      <c r="R5347" s="2" t="inlineStr"/>
    </row>
    <row r="5348" ht="15" customHeight="1">
      <c r="A5348" t="inlineStr">
        <is>
          <t>A 6273-2024</t>
        </is>
      </c>
      <c r="B5348" s="1" t="n">
        <v>45337.95451388889</v>
      </c>
      <c r="C5348" s="1" t="n">
        <v>46093</v>
      </c>
      <c r="D5348" t="inlineStr">
        <is>
          <t>VÄSTERNORRLANDS LÄN</t>
        </is>
      </c>
      <c r="E5348" t="inlineStr">
        <is>
          <t>ÖRNSKÖLDSVIK</t>
        </is>
      </c>
      <c r="F5348" t="inlineStr">
        <is>
          <t>SCA</t>
        </is>
      </c>
      <c r="G5348" t="n">
        <v>9.1</v>
      </c>
      <c r="H5348" t="n">
        <v>0</v>
      </c>
      <c r="I5348" t="n">
        <v>0</v>
      </c>
      <c r="J5348" t="n">
        <v>0</v>
      </c>
      <c r="K5348" t="n">
        <v>0</v>
      </c>
      <c r="L5348" t="n">
        <v>0</v>
      </c>
      <c r="M5348" t="n">
        <v>0</v>
      </c>
      <c r="N5348" t="n">
        <v>0</v>
      </c>
      <c r="O5348" t="n">
        <v>0</v>
      </c>
      <c r="P5348" t="n">
        <v>0</v>
      </c>
      <c r="Q5348" t="n">
        <v>0</v>
      </c>
      <c r="R5348" s="2" t="inlineStr"/>
    </row>
    <row r="5349" ht="15" customHeight="1">
      <c r="A5349" t="inlineStr">
        <is>
          <t>A 45265-2025</t>
        </is>
      </c>
      <c r="B5349" s="1" t="n">
        <v>45919.65136574074</v>
      </c>
      <c r="C5349" s="1" t="n">
        <v>46093</v>
      </c>
      <c r="D5349" t="inlineStr">
        <is>
          <t>VÄSTERNORRLANDS LÄN</t>
        </is>
      </c>
      <c r="E5349" t="inlineStr">
        <is>
          <t>ÖRNSKÖLDSVIK</t>
        </is>
      </c>
      <c r="F5349" t="inlineStr">
        <is>
          <t>Holmen skog AB</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20461-2023</t>
        </is>
      </c>
      <c r="B5350" s="1" t="n">
        <v>45056.95284722222</v>
      </c>
      <c r="C5350" s="1" t="n">
        <v>46093</v>
      </c>
      <c r="D5350" t="inlineStr">
        <is>
          <t>VÄSTERNORRLANDS LÄN</t>
        </is>
      </c>
      <c r="E5350" t="inlineStr">
        <is>
          <t>SOLLEFTEÅ</t>
        </is>
      </c>
      <c r="F5350" t="inlineStr">
        <is>
          <t>SCA</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45341-2025</t>
        </is>
      </c>
      <c r="B5351" s="1" t="n">
        <v>45922.34427083333</v>
      </c>
      <c r="C5351" s="1" t="n">
        <v>46093</v>
      </c>
      <c r="D5351" t="inlineStr">
        <is>
          <t>VÄSTERNORRLANDS LÄN</t>
        </is>
      </c>
      <c r="E5351" t="inlineStr">
        <is>
          <t>HÄRNÖSAND</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42983-2024</t>
        </is>
      </c>
      <c r="B5352" s="1" t="n">
        <v>45567.37471064815</v>
      </c>
      <c r="C5352" s="1" t="n">
        <v>46093</v>
      </c>
      <c r="D5352" t="inlineStr">
        <is>
          <t>VÄSTERNORRLANDS LÄN</t>
        </is>
      </c>
      <c r="E5352" t="inlineStr">
        <is>
          <t>SOLLEFTEÅ</t>
        </is>
      </c>
      <c r="F5352" t="inlineStr">
        <is>
          <t>SCA</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45339-2025</t>
        </is>
      </c>
      <c r="B5353" s="1" t="n">
        <v>45922.34416666667</v>
      </c>
      <c r="C5353" s="1" t="n">
        <v>46093</v>
      </c>
      <c r="D5353" t="inlineStr">
        <is>
          <t>VÄSTERNORRLANDS LÄN</t>
        </is>
      </c>
      <c r="E5353" t="inlineStr">
        <is>
          <t>TIMRÅ</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42984-2024</t>
        </is>
      </c>
      <c r="B5354" s="1" t="n">
        <v>45567.37532407408</v>
      </c>
      <c r="C5354" s="1" t="n">
        <v>46093</v>
      </c>
      <c r="D5354" t="inlineStr">
        <is>
          <t>VÄSTERNORRLANDS LÄN</t>
        </is>
      </c>
      <c r="E5354" t="inlineStr">
        <is>
          <t>SOLLEFTEÅ</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42985-2024</t>
        </is>
      </c>
      <c r="B5355" s="1" t="n">
        <v>45567.37533564815</v>
      </c>
      <c r="C5355" s="1" t="n">
        <v>46093</v>
      </c>
      <c r="D5355" t="inlineStr">
        <is>
          <t>VÄSTERNORRLANDS LÄN</t>
        </is>
      </c>
      <c r="E5355" t="inlineStr">
        <is>
          <t>SOLLEFTEÅ</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35261-2025</t>
        </is>
      </c>
      <c r="B5356" s="1" t="n">
        <v>45853</v>
      </c>
      <c r="C5356" s="1" t="n">
        <v>46093</v>
      </c>
      <c r="D5356" t="inlineStr">
        <is>
          <t>VÄSTERNORRLANDS LÄN</t>
        </is>
      </c>
      <c r="E5356" t="inlineStr">
        <is>
          <t>SOLLEFTEÅ</t>
        </is>
      </c>
      <c r="G5356" t="n">
        <v>4.6</v>
      </c>
      <c r="H5356" t="n">
        <v>0</v>
      </c>
      <c r="I5356" t="n">
        <v>0</v>
      </c>
      <c r="J5356" t="n">
        <v>0</v>
      </c>
      <c r="K5356" t="n">
        <v>0</v>
      </c>
      <c r="L5356" t="n">
        <v>0</v>
      </c>
      <c r="M5356" t="n">
        <v>0</v>
      </c>
      <c r="N5356" t="n">
        <v>0</v>
      </c>
      <c r="O5356" t="n">
        <v>0</v>
      </c>
      <c r="P5356" t="n">
        <v>0</v>
      </c>
      <c r="Q5356" t="n">
        <v>0</v>
      </c>
      <c r="R5356" s="2" t="inlineStr"/>
    </row>
    <row r="5357" ht="15" customHeight="1">
      <c r="A5357" t="inlineStr">
        <is>
          <t>A 51493-2024</t>
        </is>
      </c>
      <c r="B5357" s="1" t="n">
        <v>45604.53663194444</v>
      </c>
      <c r="C5357" s="1" t="n">
        <v>46093</v>
      </c>
      <c r="D5357" t="inlineStr">
        <is>
          <t>VÄSTERNORRLANDS LÄN</t>
        </is>
      </c>
      <c r="E5357" t="inlineStr">
        <is>
          <t>ÖRNSKÖLDSVIK</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11177-2025</t>
        </is>
      </c>
      <c r="B5358" s="1" t="n">
        <v>45724.77891203704</v>
      </c>
      <c r="C5358" s="1" t="n">
        <v>46093</v>
      </c>
      <c r="D5358" t="inlineStr">
        <is>
          <t>VÄSTERNORRLANDS LÄN</t>
        </is>
      </c>
      <c r="E5358" t="inlineStr">
        <is>
          <t>KRAMFORS</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45593-2025</t>
        </is>
      </c>
      <c r="B5359" s="1" t="n">
        <v>45922.67783564814</v>
      </c>
      <c r="C5359" s="1" t="n">
        <v>46093</v>
      </c>
      <c r="D5359" t="inlineStr">
        <is>
          <t>VÄSTERNORRLANDS LÄN</t>
        </is>
      </c>
      <c r="E5359" t="inlineStr">
        <is>
          <t>SOLLEFTEÅ</t>
        </is>
      </c>
      <c r="F5359" t="inlineStr">
        <is>
          <t>SCA</t>
        </is>
      </c>
      <c r="G5359" t="n">
        <v>2.3</v>
      </c>
      <c r="H5359" t="n">
        <v>0</v>
      </c>
      <c r="I5359" t="n">
        <v>0</v>
      </c>
      <c r="J5359" t="n">
        <v>0</v>
      </c>
      <c r="K5359" t="n">
        <v>0</v>
      </c>
      <c r="L5359" t="n">
        <v>0</v>
      </c>
      <c r="M5359" t="n">
        <v>0</v>
      </c>
      <c r="N5359" t="n">
        <v>0</v>
      </c>
      <c r="O5359" t="n">
        <v>0</v>
      </c>
      <c r="P5359" t="n">
        <v>0</v>
      </c>
      <c r="Q5359" t="n">
        <v>0</v>
      </c>
      <c r="R5359" s="2" t="inlineStr"/>
    </row>
    <row r="5360" ht="15" customHeight="1">
      <c r="A5360" t="inlineStr">
        <is>
          <t>A 19385-2022</t>
        </is>
      </c>
      <c r="B5360" s="1" t="n">
        <v>44692.92344907407</v>
      </c>
      <c r="C5360" s="1" t="n">
        <v>46093</v>
      </c>
      <c r="D5360" t="inlineStr">
        <is>
          <t>VÄSTERNORRLANDS LÄN</t>
        </is>
      </c>
      <c r="E5360" t="inlineStr">
        <is>
          <t>SUNDSVALL</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45060-2025</t>
        </is>
      </c>
      <c r="B5361" s="1" t="n">
        <v>45919.34434027778</v>
      </c>
      <c r="C5361" s="1" t="n">
        <v>46093</v>
      </c>
      <c r="D5361" t="inlineStr">
        <is>
          <t>VÄSTERNORRLANDS LÄN</t>
        </is>
      </c>
      <c r="E5361" t="inlineStr">
        <is>
          <t>HÄRNÖSAND</t>
        </is>
      </c>
      <c r="F5361" t="inlineStr">
        <is>
          <t>SCA</t>
        </is>
      </c>
      <c r="G5361" t="n">
        <v>7.4</v>
      </c>
      <c r="H5361" t="n">
        <v>0</v>
      </c>
      <c r="I5361" t="n">
        <v>0</v>
      </c>
      <c r="J5361" t="n">
        <v>0</v>
      </c>
      <c r="K5361" t="n">
        <v>0</v>
      </c>
      <c r="L5361" t="n">
        <v>0</v>
      </c>
      <c r="M5361" t="n">
        <v>0</v>
      </c>
      <c r="N5361" t="n">
        <v>0</v>
      </c>
      <c r="O5361" t="n">
        <v>0</v>
      </c>
      <c r="P5361" t="n">
        <v>0</v>
      </c>
      <c r="Q5361" t="n">
        <v>0</v>
      </c>
      <c r="R5361" s="2" t="inlineStr"/>
    </row>
    <row r="5362" ht="15" customHeight="1">
      <c r="A5362" t="inlineStr">
        <is>
          <t>A 51518-2023</t>
        </is>
      </c>
      <c r="B5362" s="1" t="n">
        <v>45222</v>
      </c>
      <c r="C5362" s="1" t="n">
        <v>46093</v>
      </c>
      <c r="D5362" t="inlineStr">
        <is>
          <t>VÄSTERNORRLANDS LÄN</t>
        </is>
      </c>
      <c r="E5362" t="inlineStr">
        <is>
          <t>ÖRNSKÖLDSVIK</t>
        </is>
      </c>
      <c r="F5362" t="inlineStr">
        <is>
          <t>Holmen skog AB</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45461-2025</t>
        </is>
      </c>
      <c r="B5363" s="1" t="n">
        <v>45922.49494212963</v>
      </c>
      <c r="C5363" s="1" t="n">
        <v>46093</v>
      </c>
      <c r="D5363" t="inlineStr">
        <is>
          <t>VÄSTERNORRLANDS LÄN</t>
        </is>
      </c>
      <c r="E5363" t="inlineStr">
        <is>
          <t>ÖRNSKÖLDSVIK</t>
        </is>
      </c>
      <c r="F5363" t="inlineStr">
        <is>
          <t>Holmen skog AB</t>
        </is>
      </c>
      <c r="G5363" t="n">
        <v>9.6</v>
      </c>
      <c r="H5363" t="n">
        <v>0</v>
      </c>
      <c r="I5363" t="n">
        <v>0</v>
      </c>
      <c r="J5363" t="n">
        <v>0</v>
      </c>
      <c r="K5363" t="n">
        <v>0</v>
      </c>
      <c r="L5363" t="n">
        <v>0</v>
      </c>
      <c r="M5363" t="n">
        <v>0</v>
      </c>
      <c r="N5363" t="n">
        <v>0</v>
      </c>
      <c r="O5363" t="n">
        <v>0</v>
      </c>
      <c r="P5363" t="n">
        <v>0</v>
      </c>
      <c r="Q5363" t="n">
        <v>0</v>
      </c>
      <c r="R5363" s="2" t="inlineStr"/>
    </row>
    <row r="5364" ht="15" customHeight="1">
      <c r="A5364" t="inlineStr">
        <is>
          <t>A 45451-2025</t>
        </is>
      </c>
      <c r="B5364" s="1" t="n">
        <v>45922.48488425926</v>
      </c>
      <c r="C5364" s="1" t="n">
        <v>46093</v>
      </c>
      <c r="D5364" t="inlineStr">
        <is>
          <t>VÄSTERNORRLANDS LÄN</t>
        </is>
      </c>
      <c r="E5364" t="inlineStr">
        <is>
          <t>ÖRNSKÖLDSVIK</t>
        </is>
      </c>
      <c r="G5364" t="n">
        <v>8.1</v>
      </c>
      <c r="H5364" t="n">
        <v>0</v>
      </c>
      <c r="I5364" t="n">
        <v>0</v>
      </c>
      <c r="J5364" t="n">
        <v>0</v>
      </c>
      <c r="K5364" t="n">
        <v>0</v>
      </c>
      <c r="L5364" t="n">
        <v>0</v>
      </c>
      <c r="M5364" t="n">
        <v>0</v>
      </c>
      <c r="N5364" t="n">
        <v>0</v>
      </c>
      <c r="O5364" t="n">
        <v>0</v>
      </c>
      <c r="P5364" t="n">
        <v>0</v>
      </c>
      <c r="Q5364" t="n">
        <v>0</v>
      </c>
      <c r="R5364" s="2" t="inlineStr"/>
    </row>
    <row r="5365" ht="15" customHeight="1">
      <c r="A5365" t="inlineStr">
        <is>
          <t>A 10598-2025</t>
        </is>
      </c>
      <c r="B5365" s="1" t="n">
        <v>45721.58021990741</v>
      </c>
      <c r="C5365" s="1" t="n">
        <v>46093</v>
      </c>
      <c r="D5365" t="inlineStr">
        <is>
          <t>VÄSTERNORRLANDS LÄN</t>
        </is>
      </c>
      <c r="E5365" t="inlineStr">
        <is>
          <t>ÖRNSKÖLDSVIK</t>
        </is>
      </c>
      <c r="G5365" t="n">
        <v>4.4</v>
      </c>
      <c r="H5365" t="n">
        <v>0</v>
      </c>
      <c r="I5365" t="n">
        <v>0</v>
      </c>
      <c r="J5365" t="n">
        <v>0</v>
      </c>
      <c r="K5365" t="n">
        <v>0</v>
      </c>
      <c r="L5365" t="n">
        <v>0</v>
      </c>
      <c r="M5365" t="n">
        <v>0</v>
      </c>
      <c r="N5365" t="n">
        <v>0</v>
      </c>
      <c r="O5365" t="n">
        <v>0</v>
      </c>
      <c r="P5365" t="n">
        <v>0</v>
      </c>
      <c r="Q5365" t="n">
        <v>0</v>
      </c>
      <c r="R5365" s="2" t="inlineStr"/>
    </row>
    <row r="5366" ht="15" customHeight="1">
      <c r="A5366" t="inlineStr">
        <is>
          <t>A 45095-2025</t>
        </is>
      </c>
      <c r="B5366" s="1" t="n">
        <v>45919.3859375</v>
      </c>
      <c r="C5366" s="1" t="n">
        <v>46093</v>
      </c>
      <c r="D5366" t="inlineStr">
        <is>
          <t>VÄSTERNORRLANDS LÄN</t>
        </is>
      </c>
      <c r="E5366" t="inlineStr">
        <is>
          <t>ÖRNSKÖLDSVIK</t>
        </is>
      </c>
      <c r="F5366" t="inlineStr">
        <is>
          <t>SCA</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58637-2023</t>
        </is>
      </c>
      <c r="B5367" s="1" t="n">
        <v>45251</v>
      </c>
      <c r="C5367" s="1" t="n">
        <v>46093</v>
      </c>
      <c r="D5367" t="inlineStr">
        <is>
          <t>VÄSTERNORRLANDS LÄN</t>
        </is>
      </c>
      <c r="E5367" t="inlineStr">
        <is>
          <t>ÅNGE</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58643-2023</t>
        </is>
      </c>
      <c r="B5368" s="1" t="n">
        <v>45251.58550925926</v>
      </c>
      <c r="C5368" s="1" t="n">
        <v>46093</v>
      </c>
      <c r="D5368" t="inlineStr">
        <is>
          <t>VÄSTERNORRLANDS LÄN</t>
        </is>
      </c>
      <c r="E5368" t="inlineStr">
        <is>
          <t>ÖRNSKÖLDSVIK</t>
        </is>
      </c>
      <c r="G5368" t="n">
        <v>2.4</v>
      </c>
      <c r="H5368" t="n">
        <v>0</v>
      </c>
      <c r="I5368" t="n">
        <v>0</v>
      </c>
      <c r="J5368" t="n">
        <v>0</v>
      </c>
      <c r="K5368" t="n">
        <v>0</v>
      </c>
      <c r="L5368" t="n">
        <v>0</v>
      </c>
      <c r="M5368" t="n">
        <v>0</v>
      </c>
      <c r="N5368" t="n">
        <v>0</v>
      </c>
      <c r="O5368" t="n">
        <v>0</v>
      </c>
      <c r="P5368" t="n">
        <v>0</v>
      </c>
      <c r="Q5368" t="n">
        <v>0</v>
      </c>
      <c r="R5368" s="2" t="inlineStr"/>
    </row>
    <row r="5369" ht="15" customHeight="1">
      <c r="A5369" t="inlineStr">
        <is>
          <t>A 36458-2025</t>
        </is>
      </c>
      <c r="B5369" s="1" t="n">
        <v>45869.44858796296</v>
      </c>
      <c r="C5369" s="1" t="n">
        <v>46093</v>
      </c>
      <c r="D5369" t="inlineStr">
        <is>
          <t>VÄSTERNORRLANDS LÄN</t>
        </is>
      </c>
      <c r="E5369" t="inlineStr">
        <is>
          <t>SUNDSVALL</t>
        </is>
      </c>
      <c r="G5369" t="n">
        <v>9.6</v>
      </c>
      <c r="H5369" t="n">
        <v>0</v>
      </c>
      <c r="I5369" t="n">
        <v>0</v>
      </c>
      <c r="J5369" t="n">
        <v>0</v>
      </c>
      <c r="K5369" t="n">
        <v>0</v>
      </c>
      <c r="L5369" t="n">
        <v>0</v>
      </c>
      <c r="M5369" t="n">
        <v>0</v>
      </c>
      <c r="N5369" t="n">
        <v>0</v>
      </c>
      <c r="O5369" t="n">
        <v>0</v>
      </c>
      <c r="P5369" t="n">
        <v>0</v>
      </c>
      <c r="Q5369" t="n">
        <v>0</v>
      </c>
      <c r="R5369" s="2" t="inlineStr"/>
    </row>
    <row r="5370" ht="15" customHeight="1">
      <c r="A5370" t="inlineStr">
        <is>
          <t>A 17739-2022</t>
        </is>
      </c>
      <c r="B5370" s="1" t="n">
        <v>44680</v>
      </c>
      <c r="C5370" s="1" t="n">
        <v>46093</v>
      </c>
      <c r="D5370" t="inlineStr">
        <is>
          <t>VÄSTERNORRLANDS LÄN</t>
        </is>
      </c>
      <c r="E5370" t="inlineStr">
        <is>
          <t>ÖRNSKÖLDSVIK</t>
        </is>
      </c>
      <c r="F5370" t="inlineStr">
        <is>
          <t>SCA</t>
        </is>
      </c>
      <c r="G5370" t="n">
        <v>6.2</v>
      </c>
      <c r="H5370" t="n">
        <v>0</v>
      </c>
      <c r="I5370" t="n">
        <v>0</v>
      </c>
      <c r="J5370" t="n">
        <v>0</v>
      </c>
      <c r="K5370" t="n">
        <v>0</v>
      </c>
      <c r="L5370" t="n">
        <v>0</v>
      </c>
      <c r="M5370" t="n">
        <v>0</v>
      </c>
      <c r="N5370" t="n">
        <v>0</v>
      </c>
      <c r="O5370" t="n">
        <v>0</v>
      </c>
      <c r="P5370" t="n">
        <v>0</v>
      </c>
      <c r="Q5370" t="n">
        <v>0</v>
      </c>
      <c r="R5370" s="2" t="inlineStr"/>
    </row>
    <row r="5371" ht="15" customHeight="1">
      <c r="A5371" t="inlineStr">
        <is>
          <t>A 58357-2024</t>
        </is>
      </c>
      <c r="B5371" s="1" t="n">
        <v>45632</v>
      </c>
      <c r="C5371" s="1" t="n">
        <v>46093</v>
      </c>
      <c r="D5371" t="inlineStr">
        <is>
          <t>VÄSTERNORRLANDS LÄN</t>
        </is>
      </c>
      <c r="E5371" t="inlineStr">
        <is>
          <t>SOLLEFTEÅ</t>
        </is>
      </c>
      <c r="G5371" t="n">
        <v>3.3</v>
      </c>
      <c r="H5371" t="n">
        <v>0</v>
      </c>
      <c r="I5371" t="n">
        <v>0</v>
      </c>
      <c r="J5371" t="n">
        <v>0</v>
      </c>
      <c r="K5371" t="n">
        <v>0</v>
      </c>
      <c r="L5371" t="n">
        <v>0</v>
      </c>
      <c r="M5371" t="n">
        <v>0</v>
      </c>
      <c r="N5371" t="n">
        <v>0</v>
      </c>
      <c r="O5371" t="n">
        <v>0</v>
      </c>
      <c r="P5371" t="n">
        <v>0</v>
      </c>
      <c r="Q5371" t="n">
        <v>0</v>
      </c>
      <c r="R5371" s="2" t="inlineStr"/>
    </row>
    <row r="5372" ht="15" customHeight="1">
      <c r="A5372" t="inlineStr">
        <is>
          <t>A 45735-2023</t>
        </is>
      </c>
      <c r="B5372" s="1" t="n">
        <v>45189</v>
      </c>
      <c r="C5372" s="1" t="n">
        <v>46093</v>
      </c>
      <c r="D5372" t="inlineStr">
        <is>
          <t>VÄSTERNORRLANDS LÄN</t>
        </is>
      </c>
      <c r="E5372" t="inlineStr">
        <is>
          <t>HÄRNÖSAND</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45234-2025</t>
        </is>
      </c>
      <c r="B5373" s="1" t="n">
        <v>45919.59416666667</v>
      </c>
      <c r="C5373" s="1" t="n">
        <v>46093</v>
      </c>
      <c r="D5373" t="inlineStr">
        <is>
          <t>VÄSTERNORRLANDS LÄN</t>
        </is>
      </c>
      <c r="E5373" t="inlineStr">
        <is>
          <t>SUNDSVALL</t>
        </is>
      </c>
      <c r="F5373" t="inlineStr">
        <is>
          <t>SCA</t>
        </is>
      </c>
      <c r="G5373" t="n">
        <v>10.8</v>
      </c>
      <c r="H5373" t="n">
        <v>0</v>
      </c>
      <c r="I5373" t="n">
        <v>0</v>
      </c>
      <c r="J5373" t="n">
        <v>0</v>
      </c>
      <c r="K5373" t="n">
        <v>0</v>
      </c>
      <c r="L5373" t="n">
        <v>0</v>
      </c>
      <c r="M5373" t="n">
        <v>0</v>
      </c>
      <c r="N5373" t="n">
        <v>0</v>
      </c>
      <c r="O5373" t="n">
        <v>0</v>
      </c>
      <c r="P5373" t="n">
        <v>0</v>
      </c>
      <c r="Q5373" t="n">
        <v>0</v>
      </c>
      <c r="R5373" s="2" t="inlineStr"/>
    </row>
    <row r="5374" ht="15" customHeight="1">
      <c r="A5374" t="inlineStr">
        <is>
          <t>A 58360-2024</t>
        </is>
      </c>
      <c r="B5374" s="1" t="n">
        <v>45632</v>
      </c>
      <c r="C5374" s="1" t="n">
        <v>46093</v>
      </c>
      <c r="D5374" t="inlineStr">
        <is>
          <t>VÄSTERNORRLANDS LÄN</t>
        </is>
      </c>
      <c r="E5374" t="inlineStr">
        <is>
          <t>SOLLEFTEÅ</t>
        </is>
      </c>
      <c r="G5374" t="n">
        <v>3.7</v>
      </c>
      <c r="H5374" t="n">
        <v>0</v>
      </c>
      <c r="I5374" t="n">
        <v>0</v>
      </c>
      <c r="J5374" t="n">
        <v>0</v>
      </c>
      <c r="K5374" t="n">
        <v>0</v>
      </c>
      <c r="L5374" t="n">
        <v>0</v>
      </c>
      <c r="M5374" t="n">
        <v>0</v>
      </c>
      <c r="N5374" t="n">
        <v>0</v>
      </c>
      <c r="O5374" t="n">
        <v>0</v>
      </c>
      <c r="P5374" t="n">
        <v>0</v>
      </c>
      <c r="Q5374" t="n">
        <v>0</v>
      </c>
      <c r="R5374" s="2" t="inlineStr"/>
    </row>
    <row r="5375" ht="15" customHeight="1">
      <c r="A5375" t="inlineStr">
        <is>
          <t>A 58427-2023</t>
        </is>
      </c>
      <c r="B5375" s="1" t="n">
        <v>45250</v>
      </c>
      <c r="C5375" s="1" t="n">
        <v>46093</v>
      </c>
      <c r="D5375" t="inlineStr">
        <is>
          <t>VÄSTERNORRLANDS LÄN</t>
        </is>
      </c>
      <c r="E5375" t="inlineStr">
        <is>
          <t>SOLLEFTEÅ</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15734-2025</t>
        </is>
      </c>
      <c r="B5376" s="1" t="n">
        <v>45748.53966435185</v>
      </c>
      <c r="C5376" s="1" t="n">
        <v>46093</v>
      </c>
      <c r="D5376" t="inlineStr">
        <is>
          <t>VÄSTERNORRLANDS LÄN</t>
        </is>
      </c>
      <c r="E5376" t="inlineStr">
        <is>
          <t>SUNDSVALL</t>
        </is>
      </c>
      <c r="F5376" t="inlineStr">
        <is>
          <t>SCA</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45774-2023</t>
        </is>
      </c>
      <c r="B5377" s="1" t="n">
        <v>45189</v>
      </c>
      <c r="C5377" s="1" t="n">
        <v>46093</v>
      </c>
      <c r="D5377" t="inlineStr">
        <is>
          <t>VÄSTERNORRLANDS LÄN</t>
        </is>
      </c>
      <c r="E5377" t="inlineStr">
        <is>
          <t>TIMRÅ</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45401-2025</t>
        </is>
      </c>
      <c r="B5378" s="1" t="n">
        <v>45922.42767361111</v>
      </c>
      <c r="C5378" s="1" t="n">
        <v>46093</v>
      </c>
      <c r="D5378" t="inlineStr">
        <is>
          <t>VÄSTERNORRLANDS LÄN</t>
        </is>
      </c>
      <c r="E5378" t="inlineStr">
        <is>
          <t>ÅNGE</t>
        </is>
      </c>
      <c r="F5378" t="inlineStr">
        <is>
          <t>SCA</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18650-2025</t>
        </is>
      </c>
      <c r="B5379" s="1" t="n">
        <v>45763.5741550926</v>
      </c>
      <c r="C5379" s="1" t="n">
        <v>46093</v>
      </c>
      <c r="D5379" t="inlineStr">
        <is>
          <t>VÄSTERNORRLANDS LÄN</t>
        </is>
      </c>
      <c r="E5379" t="inlineStr">
        <is>
          <t>KRAMFORS</t>
        </is>
      </c>
      <c r="F5379" t="inlineStr">
        <is>
          <t>SCA</t>
        </is>
      </c>
      <c r="G5379" t="n">
        <v>9.699999999999999</v>
      </c>
      <c r="H5379" t="n">
        <v>0</v>
      </c>
      <c r="I5379" t="n">
        <v>0</v>
      </c>
      <c r="J5379" t="n">
        <v>0</v>
      </c>
      <c r="K5379" t="n">
        <v>0</v>
      </c>
      <c r="L5379" t="n">
        <v>0</v>
      </c>
      <c r="M5379" t="n">
        <v>0</v>
      </c>
      <c r="N5379" t="n">
        <v>0</v>
      </c>
      <c r="O5379" t="n">
        <v>0</v>
      </c>
      <c r="P5379" t="n">
        <v>0</v>
      </c>
      <c r="Q5379" t="n">
        <v>0</v>
      </c>
      <c r="R5379" s="2" t="inlineStr"/>
    </row>
    <row r="5380" ht="15" customHeight="1">
      <c r="A5380" t="inlineStr">
        <is>
          <t>A 18651-2025</t>
        </is>
      </c>
      <c r="B5380" s="1" t="n">
        <v>45763</v>
      </c>
      <c r="C5380" s="1" t="n">
        <v>46093</v>
      </c>
      <c r="D5380" t="inlineStr">
        <is>
          <t>VÄSTERNORRLANDS LÄN</t>
        </is>
      </c>
      <c r="E5380" t="inlineStr">
        <is>
          <t>KRAMFORS</t>
        </is>
      </c>
      <c r="F5380" t="inlineStr">
        <is>
          <t>SCA</t>
        </is>
      </c>
      <c r="G5380" t="n">
        <v>4.1</v>
      </c>
      <c r="H5380" t="n">
        <v>0</v>
      </c>
      <c r="I5380" t="n">
        <v>0</v>
      </c>
      <c r="J5380" t="n">
        <v>0</v>
      </c>
      <c r="K5380" t="n">
        <v>0</v>
      </c>
      <c r="L5380" t="n">
        <v>0</v>
      </c>
      <c r="M5380" t="n">
        <v>0</v>
      </c>
      <c r="N5380" t="n">
        <v>0</v>
      </c>
      <c r="O5380" t="n">
        <v>0</v>
      </c>
      <c r="P5380" t="n">
        <v>0</v>
      </c>
      <c r="Q5380" t="n">
        <v>0</v>
      </c>
      <c r="R5380" s="2" t="inlineStr"/>
    </row>
    <row r="5381" ht="15" customHeight="1">
      <c r="A5381" t="inlineStr">
        <is>
          <t>A 18653-2025</t>
        </is>
      </c>
      <c r="B5381" s="1" t="n">
        <v>45763.57467592593</v>
      </c>
      <c r="C5381" s="1" t="n">
        <v>46093</v>
      </c>
      <c r="D5381" t="inlineStr">
        <is>
          <t>VÄSTERNORRLANDS LÄN</t>
        </is>
      </c>
      <c r="E5381" t="inlineStr">
        <is>
          <t>KRAMFORS</t>
        </is>
      </c>
      <c r="F5381" t="inlineStr">
        <is>
          <t>SCA</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18656-2025</t>
        </is>
      </c>
      <c r="B5382" s="1" t="n">
        <v>45763.57496527778</v>
      </c>
      <c r="C5382" s="1" t="n">
        <v>46093</v>
      </c>
      <c r="D5382" t="inlineStr">
        <is>
          <t>VÄSTERNORRLANDS LÄN</t>
        </is>
      </c>
      <c r="E5382" t="inlineStr">
        <is>
          <t>KRAMFORS</t>
        </is>
      </c>
      <c r="F5382" t="inlineStr">
        <is>
          <t>SCA</t>
        </is>
      </c>
      <c r="G5382" t="n">
        <v>8.300000000000001</v>
      </c>
      <c r="H5382" t="n">
        <v>0</v>
      </c>
      <c r="I5382" t="n">
        <v>0</v>
      </c>
      <c r="J5382" t="n">
        <v>0</v>
      </c>
      <c r="K5382" t="n">
        <v>0</v>
      </c>
      <c r="L5382" t="n">
        <v>0</v>
      </c>
      <c r="M5382" t="n">
        <v>0</v>
      </c>
      <c r="N5382" t="n">
        <v>0</v>
      </c>
      <c r="O5382" t="n">
        <v>0</v>
      </c>
      <c r="P5382" t="n">
        <v>0</v>
      </c>
      <c r="Q5382" t="n">
        <v>0</v>
      </c>
      <c r="R5382" s="2" t="inlineStr"/>
    </row>
    <row r="5383" ht="15" customHeight="1">
      <c r="A5383" t="inlineStr">
        <is>
          <t>A 44971-2023</t>
        </is>
      </c>
      <c r="B5383" s="1" t="n">
        <v>45190</v>
      </c>
      <c r="C5383" s="1" t="n">
        <v>46093</v>
      </c>
      <c r="D5383" t="inlineStr">
        <is>
          <t>VÄSTERNORRLANDS LÄN</t>
        </is>
      </c>
      <c r="E5383" t="inlineStr">
        <is>
          <t>KRAMFORS</t>
        </is>
      </c>
      <c r="G5383" t="n">
        <v>12.8</v>
      </c>
      <c r="H5383" t="n">
        <v>0</v>
      </c>
      <c r="I5383" t="n">
        <v>0</v>
      </c>
      <c r="J5383" t="n">
        <v>0</v>
      </c>
      <c r="K5383" t="n">
        <v>0</v>
      </c>
      <c r="L5383" t="n">
        <v>0</v>
      </c>
      <c r="M5383" t="n">
        <v>0</v>
      </c>
      <c r="N5383" t="n">
        <v>0</v>
      </c>
      <c r="O5383" t="n">
        <v>0</v>
      </c>
      <c r="P5383" t="n">
        <v>0</v>
      </c>
      <c r="Q5383" t="n">
        <v>0</v>
      </c>
      <c r="R5383" s="2" t="inlineStr"/>
    </row>
    <row r="5384" ht="15" customHeight="1">
      <c r="A5384" t="inlineStr">
        <is>
          <t>A 45532-2025</t>
        </is>
      </c>
      <c r="B5384" s="1" t="n">
        <v>45922.6052199074</v>
      </c>
      <c r="C5384" s="1" t="n">
        <v>46093</v>
      </c>
      <c r="D5384" t="inlineStr">
        <is>
          <t>VÄSTERNORRLANDS LÄN</t>
        </is>
      </c>
      <c r="E5384" t="inlineStr">
        <is>
          <t>ÖRNSKÖLDSVIK</t>
        </is>
      </c>
      <c r="F5384" t="inlineStr">
        <is>
          <t>Holmen skog AB</t>
        </is>
      </c>
      <c r="G5384" t="n">
        <v>6.9</v>
      </c>
      <c r="H5384" t="n">
        <v>0</v>
      </c>
      <c r="I5384" t="n">
        <v>0</v>
      </c>
      <c r="J5384" t="n">
        <v>0</v>
      </c>
      <c r="K5384" t="n">
        <v>0</v>
      </c>
      <c r="L5384" t="n">
        <v>0</v>
      </c>
      <c r="M5384" t="n">
        <v>0</v>
      </c>
      <c r="N5384" t="n">
        <v>0</v>
      </c>
      <c r="O5384" t="n">
        <v>0</v>
      </c>
      <c r="P5384" t="n">
        <v>0</v>
      </c>
      <c r="Q5384" t="n">
        <v>0</v>
      </c>
      <c r="R5384" s="2" t="inlineStr"/>
    </row>
    <row r="5385" ht="15" customHeight="1">
      <c r="A5385" t="inlineStr">
        <is>
          <t>A 18655-2025</t>
        </is>
      </c>
      <c r="B5385" s="1" t="n">
        <v>45763</v>
      </c>
      <c r="C5385" s="1" t="n">
        <v>46093</v>
      </c>
      <c r="D5385" t="inlineStr">
        <is>
          <t>VÄSTERNORRLANDS LÄN</t>
        </is>
      </c>
      <c r="E5385" t="inlineStr">
        <is>
          <t>KRAMFORS</t>
        </is>
      </c>
      <c r="F5385" t="inlineStr">
        <is>
          <t>SCA</t>
        </is>
      </c>
      <c r="G5385" t="n">
        <v>10.5</v>
      </c>
      <c r="H5385" t="n">
        <v>0</v>
      </c>
      <c r="I5385" t="n">
        <v>0</v>
      </c>
      <c r="J5385" t="n">
        <v>0</v>
      </c>
      <c r="K5385" t="n">
        <v>0</v>
      </c>
      <c r="L5385" t="n">
        <v>0</v>
      </c>
      <c r="M5385" t="n">
        <v>0</v>
      </c>
      <c r="N5385" t="n">
        <v>0</v>
      </c>
      <c r="O5385" t="n">
        <v>0</v>
      </c>
      <c r="P5385" t="n">
        <v>0</v>
      </c>
      <c r="Q5385" t="n">
        <v>0</v>
      </c>
      <c r="R5385" s="2" t="inlineStr"/>
    </row>
    <row r="5386" ht="15" customHeight="1">
      <c r="A5386" t="inlineStr">
        <is>
          <t>A 45517-2025</t>
        </is>
      </c>
      <c r="B5386" s="1" t="n">
        <v>45922.58853009259</v>
      </c>
      <c r="C5386" s="1" t="n">
        <v>46093</v>
      </c>
      <c r="D5386" t="inlineStr">
        <is>
          <t>VÄSTERNORRLANDS LÄN</t>
        </is>
      </c>
      <c r="E5386" t="inlineStr">
        <is>
          <t>SUNDSVALL</t>
        </is>
      </c>
      <c r="G5386" t="n">
        <v>2.8</v>
      </c>
      <c r="H5386" t="n">
        <v>0</v>
      </c>
      <c r="I5386" t="n">
        <v>0</v>
      </c>
      <c r="J5386" t="n">
        <v>0</v>
      </c>
      <c r="K5386" t="n">
        <v>0</v>
      </c>
      <c r="L5386" t="n">
        <v>0</v>
      </c>
      <c r="M5386" t="n">
        <v>0</v>
      </c>
      <c r="N5386" t="n">
        <v>0</v>
      </c>
      <c r="O5386" t="n">
        <v>0</v>
      </c>
      <c r="P5386" t="n">
        <v>0</v>
      </c>
      <c r="Q5386" t="n">
        <v>0</v>
      </c>
      <c r="R5386" s="2" t="inlineStr"/>
    </row>
    <row r="5387" ht="15" customHeight="1">
      <c r="A5387" t="inlineStr">
        <is>
          <t>A 45609-2025</t>
        </is>
      </c>
      <c r="B5387" s="1" t="n">
        <v>45922</v>
      </c>
      <c r="C5387" s="1" t="n">
        <v>46093</v>
      </c>
      <c r="D5387" t="inlineStr">
        <is>
          <t>VÄSTERNORRLANDS LÄN</t>
        </is>
      </c>
      <c r="E5387" t="inlineStr">
        <is>
          <t>KRAMFORS</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43842-2025</t>
        </is>
      </c>
      <c r="B5388" s="1" t="n">
        <v>45912.63587962963</v>
      </c>
      <c r="C5388" s="1" t="n">
        <v>46093</v>
      </c>
      <c r="D5388" t="inlineStr">
        <is>
          <t>VÄSTERNORRLANDS LÄN</t>
        </is>
      </c>
      <c r="E5388" t="inlineStr">
        <is>
          <t>SOLLEFTEÅ</t>
        </is>
      </c>
      <c r="F5388" t="inlineStr">
        <is>
          <t>SCA</t>
        </is>
      </c>
      <c r="G5388" t="n">
        <v>3.2</v>
      </c>
      <c r="H5388" t="n">
        <v>0</v>
      </c>
      <c r="I5388" t="n">
        <v>0</v>
      </c>
      <c r="J5388" t="n">
        <v>0</v>
      </c>
      <c r="K5388" t="n">
        <v>0</v>
      </c>
      <c r="L5388" t="n">
        <v>0</v>
      </c>
      <c r="M5388" t="n">
        <v>0</v>
      </c>
      <c r="N5388" t="n">
        <v>0</v>
      </c>
      <c r="O5388" t="n">
        <v>0</v>
      </c>
      <c r="P5388" t="n">
        <v>0</v>
      </c>
      <c r="Q5388" t="n">
        <v>0</v>
      </c>
      <c r="R5388" s="2" t="inlineStr"/>
    </row>
    <row r="5389" ht="15" customHeight="1">
      <c r="A5389" t="inlineStr">
        <is>
          <t>A 18930-2025</t>
        </is>
      </c>
      <c r="B5389" s="1" t="n">
        <v>45764.48685185185</v>
      </c>
      <c r="C5389" s="1" t="n">
        <v>46093</v>
      </c>
      <c r="D5389" t="inlineStr">
        <is>
          <t>VÄSTERNORRLANDS LÄN</t>
        </is>
      </c>
      <c r="E5389" t="inlineStr">
        <is>
          <t>KRAMFORS</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18949-2025</t>
        </is>
      </c>
      <c r="B5390" s="1" t="n">
        <v>45764</v>
      </c>
      <c r="C5390" s="1" t="n">
        <v>46093</v>
      </c>
      <c r="D5390" t="inlineStr">
        <is>
          <t>VÄSTERNORRLANDS LÄN</t>
        </is>
      </c>
      <c r="E5390" t="inlineStr">
        <is>
          <t>SOLLEFTEÅ</t>
        </is>
      </c>
      <c r="F5390" t="inlineStr">
        <is>
          <t>SCA</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37390-2025</t>
        </is>
      </c>
      <c r="B5391" s="1" t="n">
        <v>45877</v>
      </c>
      <c r="C5391" s="1" t="n">
        <v>46093</v>
      </c>
      <c r="D5391" t="inlineStr">
        <is>
          <t>VÄSTERNORRLANDS LÄN</t>
        </is>
      </c>
      <c r="E5391" t="inlineStr">
        <is>
          <t>ÖRNSKÖLDSVIK</t>
        </is>
      </c>
      <c r="G5391" t="n">
        <v>5.2</v>
      </c>
      <c r="H5391" t="n">
        <v>0</v>
      </c>
      <c r="I5391" t="n">
        <v>0</v>
      </c>
      <c r="J5391" t="n">
        <v>0</v>
      </c>
      <c r="K5391" t="n">
        <v>0</v>
      </c>
      <c r="L5391" t="n">
        <v>0</v>
      </c>
      <c r="M5391" t="n">
        <v>0</v>
      </c>
      <c r="N5391" t="n">
        <v>0</v>
      </c>
      <c r="O5391" t="n">
        <v>0</v>
      </c>
      <c r="P5391" t="n">
        <v>0</v>
      </c>
      <c r="Q5391" t="n">
        <v>0</v>
      </c>
      <c r="R5391" s="2" t="inlineStr"/>
    </row>
    <row r="5392" ht="15" customHeight="1">
      <c r="A5392" t="inlineStr">
        <is>
          <t>A 43259-2025</t>
        </is>
      </c>
      <c r="B5392" s="1" t="n">
        <v>45910</v>
      </c>
      <c r="C5392" s="1" t="n">
        <v>46093</v>
      </c>
      <c r="D5392" t="inlineStr">
        <is>
          <t>VÄSTERNORRLANDS LÄN</t>
        </is>
      </c>
      <c r="E5392" t="inlineStr">
        <is>
          <t>HÄRNÖSAND</t>
        </is>
      </c>
      <c r="G5392" t="n">
        <v>11.8</v>
      </c>
      <c r="H5392" t="n">
        <v>0</v>
      </c>
      <c r="I5392" t="n">
        <v>0</v>
      </c>
      <c r="J5392" t="n">
        <v>0</v>
      </c>
      <c r="K5392" t="n">
        <v>0</v>
      </c>
      <c r="L5392" t="n">
        <v>0</v>
      </c>
      <c r="M5392" t="n">
        <v>0</v>
      </c>
      <c r="N5392" t="n">
        <v>0</v>
      </c>
      <c r="O5392" t="n">
        <v>0</v>
      </c>
      <c r="P5392" t="n">
        <v>0</v>
      </c>
      <c r="Q5392" t="n">
        <v>0</v>
      </c>
      <c r="R5392" s="2" t="inlineStr"/>
    </row>
    <row r="5393" ht="15" customHeight="1">
      <c r="A5393" t="inlineStr">
        <is>
          <t>A 45220-2025</t>
        </is>
      </c>
      <c r="B5393" s="1" t="n">
        <v>45919.57651620371</v>
      </c>
      <c r="C5393" s="1" t="n">
        <v>46093</v>
      </c>
      <c r="D5393" t="inlineStr">
        <is>
          <t>VÄSTERNORRLANDS LÄN</t>
        </is>
      </c>
      <c r="E5393" t="inlineStr">
        <is>
          <t>ÖRNSKÖLDSVIK</t>
        </is>
      </c>
      <c r="F5393" t="inlineStr">
        <is>
          <t>Holmen skog AB</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47040-2024</t>
        </is>
      </c>
      <c r="B5394" s="1" t="n">
        <v>45586.44152777778</v>
      </c>
      <c r="C5394" s="1" t="n">
        <v>46093</v>
      </c>
      <c r="D5394" t="inlineStr">
        <is>
          <t>VÄSTERNORRLANDS LÄN</t>
        </is>
      </c>
      <c r="E5394" t="inlineStr">
        <is>
          <t>ÖRNSKÖLDSVIK</t>
        </is>
      </c>
      <c r="F5394" t="inlineStr">
        <is>
          <t>Holmen skog AB</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45094-2025</t>
        </is>
      </c>
      <c r="B5395" s="1" t="n">
        <v>45919.38578703703</v>
      </c>
      <c r="C5395" s="1" t="n">
        <v>46093</v>
      </c>
      <c r="D5395" t="inlineStr">
        <is>
          <t>VÄSTERNORRLANDS LÄN</t>
        </is>
      </c>
      <c r="E5395" t="inlineStr">
        <is>
          <t>SUNDSVALL</t>
        </is>
      </c>
      <c r="F5395" t="inlineStr">
        <is>
          <t>SCA</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45098-2025</t>
        </is>
      </c>
      <c r="B5396" s="1" t="n">
        <v>45919.39232638889</v>
      </c>
      <c r="C5396" s="1" t="n">
        <v>46093</v>
      </c>
      <c r="D5396" t="inlineStr">
        <is>
          <t>VÄSTERNORRLANDS LÄN</t>
        </is>
      </c>
      <c r="E5396" t="inlineStr">
        <is>
          <t>ÖRNSKÖLDSVIK</t>
        </is>
      </c>
      <c r="F5396" t="inlineStr">
        <is>
          <t>Holmen skog AB</t>
        </is>
      </c>
      <c r="G5396" t="n">
        <v>3.3</v>
      </c>
      <c r="H5396" t="n">
        <v>0</v>
      </c>
      <c r="I5396" t="n">
        <v>0</v>
      </c>
      <c r="J5396" t="n">
        <v>0</v>
      </c>
      <c r="K5396" t="n">
        <v>0</v>
      </c>
      <c r="L5396" t="n">
        <v>0</v>
      </c>
      <c r="M5396" t="n">
        <v>0</v>
      </c>
      <c r="N5396" t="n">
        <v>0</v>
      </c>
      <c r="O5396" t="n">
        <v>0</v>
      </c>
      <c r="P5396" t="n">
        <v>0</v>
      </c>
      <c r="Q5396" t="n">
        <v>0</v>
      </c>
      <c r="R5396" s="2" t="inlineStr"/>
    </row>
    <row r="5397" ht="15" customHeight="1">
      <c r="A5397" t="inlineStr">
        <is>
          <t>A 47112-2024</t>
        </is>
      </c>
      <c r="B5397" s="1" t="n">
        <v>45586</v>
      </c>
      <c r="C5397" s="1" t="n">
        <v>46093</v>
      </c>
      <c r="D5397" t="inlineStr">
        <is>
          <t>VÄSTERNORRLANDS LÄN</t>
        </is>
      </c>
      <c r="E5397" t="inlineStr">
        <is>
          <t>HÄRNÖSAND</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22729-2022</t>
        </is>
      </c>
      <c r="B5398" s="1" t="n">
        <v>44714.65461805555</v>
      </c>
      <c r="C5398" s="1" t="n">
        <v>46093</v>
      </c>
      <c r="D5398" t="inlineStr">
        <is>
          <t>VÄSTERNORRLANDS LÄN</t>
        </is>
      </c>
      <c r="E5398" t="inlineStr">
        <is>
          <t>SUNDSVALL</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7009-2023</t>
        </is>
      </c>
      <c r="B5399" s="1" t="n">
        <v>44967.92959490741</v>
      </c>
      <c r="C5399" s="1" t="n">
        <v>46093</v>
      </c>
      <c r="D5399" t="inlineStr">
        <is>
          <t>VÄSTERNORRLANDS LÄN</t>
        </is>
      </c>
      <c r="E5399" t="inlineStr">
        <is>
          <t>SOLLEFTEÅ</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43236-2023</t>
        </is>
      </c>
      <c r="B5400" s="1" t="n">
        <v>45183.47719907408</v>
      </c>
      <c r="C5400" s="1" t="n">
        <v>46093</v>
      </c>
      <c r="D5400" t="inlineStr">
        <is>
          <t>VÄSTERNORRLANDS LÄN</t>
        </is>
      </c>
      <c r="E5400" t="inlineStr">
        <is>
          <t>ÖRNSKÖLDSVIK</t>
        </is>
      </c>
      <c r="F5400" t="inlineStr">
        <is>
          <t>Holmen skog AB</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40798-2023</t>
        </is>
      </c>
      <c r="B5401" s="1" t="n">
        <v>45170</v>
      </c>
      <c r="C5401" s="1" t="n">
        <v>46093</v>
      </c>
      <c r="D5401" t="inlineStr">
        <is>
          <t>VÄSTERNORRLANDS LÄN</t>
        </is>
      </c>
      <c r="E5401" t="inlineStr">
        <is>
          <t>SUNDSVALL</t>
        </is>
      </c>
      <c r="F5401" t="inlineStr">
        <is>
          <t>SCA</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45236-2025</t>
        </is>
      </c>
      <c r="B5402" s="1" t="n">
        <v>45919.59450231482</v>
      </c>
      <c r="C5402" s="1" t="n">
        <v>46093</v>
      </c>
      <c r="D5402" t="inlineStr">
        <is>
          <t>VÄSTERNORRLANDS LÄN</t>
        </is>
      </c>
      <c r="E5402" t="inlineStr">
        <is>
          <t>SOLLEFTEÅ</t>
        </is>
      </c>
      <c r="F5402" t="inlineStr">
        <is>
          <t>SCA</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45569-2025</t>
        </is>
      </c>
      <c r="B5403" s="1" t="n">
        <v>45922.65694444445</v>
      </c>
      <c r="C5403" s="1" t="n">
        <v>46093</v>
      </c>
      <c r="D5403" t="inlineStr">
        <is>
          <t>VÄSTERNORRLANDS LÄN</t>
        </is>
      </c>
      <c r="E5403" t="inlineStr">
        <is>
          <t>SOLLEFTEÅ</t>
        </is>
      </c>
      <c r="F5403" t="inlineStr">
        <is>
          <t>SCA</t>
        </is>
      </c>
      <c r="G5403" t="n">
        <v>6.3</v>
      </c>
      <c r="H5403" t="n">
        <v>0</v>
      </c>
      <c r="I5403" t="n">
        <v>0</v>
      </c>
      <c r="J5403" t="n">
        <v>0</v>
      </c>
      <c r="K5403" t="n">
        <v>0</v>
      </c>
      <c r="L5403" t="n">
        <v>0</v>
      </c>
      <c r="M5403" t="n">
        <v>0</v>
      </c>
      <c r="N5403" t="n">
        <v>0</v>
      </c>
      <c r="O5403" t="n">
        <v>0</v>
      </c>
      <c r="P5403" t="n">
        <v>0</v>
      </c>
      <c r="Q5403" t="n">
        <v>0</v>
      </c>
      <c r="R5403" s="2" t="inlineStr"/>
    </row>
    <row r="5404" ht="15" customHeight="1">
      <c r="A5404" t="inlineStr">
        <is>
          <t>A 34674-2024</t>
        </is>
      </c>
      <c r="B5404" s="1" t="n">
        <v>45526</v>
      </c>
      <c r="C5404" s="1" t="n">
        <v>46093</v>
      </c>
      <c r="D5404" t="inlineStr">
        <is>
          <t>VÄSTERNORRLANDS LÄN</t>
        </is>
      </c>
      <c r="E5404" t="inlineStr">
        <is>
          <t>ÖRNSKÖLDSVIK</t>
        </is>
      </c>
      <c r="F5404" t="inlineStr">
        <is>
          <t>Holmen skog AB</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36432-2025</t>
        </is>
      </c>
      <c r="B5405" s="1" t="n">
        <v>45869.36505787037</v>
      </c>
      <c r="C5405" s="1" t="n">
        <v>46093</v>
      </c>
      <c r="D5405" t="inlineStr">
        <is>
          <t>VÄSTERNORRLANDS LÄN</t>
        </is>
      </c>
      <c r="E5405" t="inlineStr">
        <is>
          <t>SOLLEFTEÅ</t>
        </is>
      </c>
      <c r="F5405" t="inlineStr">
        <is>
          <t>SCA</t>
        </is>
      </c>
      <c r="G5405" t="n">
        <v>4.1</v>
      </c>
      <c r="H5405" t="n">
        <v>0</v>
      </c>
      <c r="I5405" t="n">
        <v>0</v>
      </c>
      <c r="J5405" t="n">
        <v>0</v>
      </c>
      <c r="K5405" t="n">
        <v>0</v>
      </c>
      <c r="L5405" t="n">
        <v>0</v>
      </c>
      <c r="M5405" t="n">
        <v>0</v>
      </c>
      <c r="N5405" t="n">
        <v>0</v>
      </c>
      <c r="O5405" t="n">
        <v>0</v>
      </c>
      <c r="P5405" t="n">
        <v>0</v>
      </c>
      <c r="Q5405" t="n">
        <v>0</v>
      </c>
      <c r="R5405" s="2" t="inlineStr"/>
    </row>
    <row r="5406" ht="15" customHeight="1">
      <c r="A5406" t="inlineStr">
        <is>
          <t>A 37087-2023</t>
        </is>
      </c>
      <c r="B5406" s="1" t="n">
        <v>45154</v>
      </c>
      <c r="C5406" s="1" t="n">
        <v>46093</v>
      </c>
      <c r="D5406" t="inlineStr">
        <is>
          <t>VÄSTERNORRLANDS LÄN</t>
        </is>
      </c>
      <c r="E5406" t="inlineStr">
        <is>
          <t>ÖRNSKÖLDSVIK</t>
        </is>
      </c>
      <c r="G5406" t="n">
        <v>4.7</v>
      </c>
      <c r="H5406" t="n">
        <v>0</v>
      </c>
      <c r="I5406" t="n">
        <v>0</v>
      </c>
      <c r="J5406" t="n">
        <v>0</v>
      </c>
      <c r="K5406" t="n">
        <v>0</v>
      </c>
      <c r="L5406" t="n">
        <v>0</v>
      </c>
      <c r="M5406" t="n">
        <v>0</v>
      </c>
      <c r="N5406" t="n">
        <v>0</v>
      </c>
      <c r="O5406" t="n">
        <v>0</v>
      </c>
      <c r="P5406" t="n">
        <v>0</v>
      </c>
      <c r="Q5406" t="n">
        <v>0</v>
      </c>
      <c r="R5406" s="2" t="inlineStr"/>
    </row>
    <row r="5407" ht="15" customHeight="1">
      <c r="A5407" t="inlineStr">
        <is>
          <t>A 34625-2024</t>
        </is>
      </c>
      <c r="B5407" s="1" t="n">
        <v>45526</v>
      </c>
      <c r="C5407" s="1" t="n">
        <v>46093</v>
      </c>
      <c r="D5407" t="inlineStr">
        <is>
          <t>VÄSTERNORRLANDS LÄN</t>
        </is>
      </c>
      <c r="E5407" t="inlineStr">
        <is>
          <t>ÖRNSKÖLDSVIK</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34638-2024</t>
        </is>
      </c>
      <c r="B5408" s="1" t="n">
        <v>45526</v>
      </c>
      <c r="C5408" s="1" t="n">
        <v>46093</v>
      </c>
      <c r="D5408" t="inlineStr">
        <is>
          <t>VÄSTERNORRLANDS LÄN</t>
        </is>
      </c>
      <c r="E5408" t="inlineStr">
        <is>
          <t>SOLLEFTEÅ</t>
        </is>
      </c>
      <c r="F5408" t="inlineStr">
        <is>
          <t>SCA</t>
        </is>
      </c>
      <c r="G5408" t="n">
        <v>3.3</v>
      </c>
      <c r="H5408" t="n">
        <v>0</v>
      </c>
      <c r="I5408" t="n">
        <v>0</v>
      </c>
      <c r="J5408" t="n">
        <v>0</v>
      </c>
      <c r="K5408" t="n">
        <v>0</v>
      </c>
      <c r="L5408" t="n">
        <v>0</v>
      </c>
      <c r="M5408" t="n">
        <v>0</v>
      </c>
      <c r="N5408" t="n">
        <v>0</v>
      </c>
      <c r="O5408" t="n">
        <v>0</v>
      </c>
      <c r="P5408" t="n">
        <v>0</v>
      </c>
      <c r="Q5408" t="n">
        <v>0</v>
      </c>
      <c r="R5408" s="2" t="inlineStr"/>
      <c r="U5408">
        <f>HYPERLINK("https://klasma.github.io/Logging_2283/knärot/A 34638-2024 karta knärot.png", "A 34638-2024")</f>
        <v/>
      </c>
      <c r="V5408">
        <f>HYPERLINK("https://klasma.github.io/Logging_2283/klagomål/A 34638-2024 FSC-klagomål.docx", "A 34638-2024")</f>
        <v/>
      </c>
      <c r="W5408">
        <f>HYPERLINK("https://klasma.github.io/Logging_2283/klagomålsmail/A 34638-2024 FSC-klagomål mail.docx", "A 34638-2024")</f>
        <v/>
      </c>
      <c r="X5408">
        <f>HYPERLINK("https://klasma.github.io/Logging_2283/tillsyn/A 34638-2024 tillsynsbegäran.docx", "A 34638-2024")</f>
        <v/>
      </c>
      <c r="Y5408">
        <f>HYPERLINK("https://klasma.github.io/Logging_2283/tillsynsmail/A 34638-2024 tillsynsbegäran mail.docx", "A 34638-2024")</f>
        <v/>
      </c>
    </row>
    <row r="5409" ht="15" customHeight="1">
      <c r="A5409" t="inlineStr">
        <is>
          <t>A 45445-2025</t>
        </is>
      </c>
      <c r="B5409" s="1" t="n">
        <v>45922.48077546297</v>
      </c>
      <c r="C5409" s="1" t="n">
        <v>46093</v>
      </c>
      <c r="D5409" t="inlineStr">
        <is>
          <t>VÄSTERNORRLANDS LÄN</t>
        </is>
      </c>
      <c r="E5409" t="inlineStr">
        <is>
          <t>ÖRNSKÖLDSVIK</t>
        </is>
      </c>
      <c r="G5409" t="n">
        <v>6.1</v>
      </c>
      <c r="H5409" t="n">
        <v>0</v>
      </c>
      <c r="I5409" t="n">
        <v>0</v>
      </c>
      <c r="J5409" t="n">
        <v>0</v>
      </c>
      <c r="K5409" t="n">
        <v>0</v>
      </c>
      <c r="L5409" t="n">
        <v>0</v>
      </c>
      <c r="M5409" t="n">
        <v>0</v>
      </c>
      <c r="N5409" t="n">
        <v>0</v>
      </c>
      <c r="O5409" t="n">
        <v>0</v>
      </c>
      <c r="P5409" t="n">
        <v>0</v>
      </c>
      <c r="Q5409" t="n">
        <v>0</v>
      </c>
      <c r="R5409" s="2" t="inlineStr"/>
    </row>
    <row r="5410" ht="15" customHeight="1">
      <c r="A5410" t="inlineStr">
        <is>
          <t>A 34679-2024</t>
        </is>
      </c>
      <c r="B5410" s="1" t="n">
        <v>45526</v>
      </c>
      <c r="C5410" s="1" t="n">
        <v>46093</v>
      </c>
      <c r="D5410" t="inlineStr">
        <is>
          <t>VÄSTERNORRLANDS LÄN</t>
        </is>
      </c>
      <c r="E5410" t="inlineStr">
        <is>
          <t>ÅNGE</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45131-2025</t>
        </is>
      </c>
      <c r="B5411" s="1" t="n">
        <v>45919.44180555556</v>
      </c>
      <c r="C5411" s="1" t="n">
        <v>46093</v>
      </c>
      <c r="D5411" t="inlineStr">
        <is>
          <t>VÄSTERNORRLANDS LÄN</t>
        </is>
      </c>
      <c r="E5411" t="inlineStr">
        <is>
          <t>ÖRNSKÖLDSVIK</t>
        </is>
      </c>
      <c r="F5411" t="inlineStr">
        <is>
          <t>Holmen skog AB</t>
        </is>
      </c>
      <c r="G5411" t="n">
        <v>3.5</v>
      </c>
      <c r="H5411" t="n">
        <v>0</v>
      </c>
      <c r="I5411" t="n">
        <v>0</v>
      </c>
      <c r="J5411" t="n">
        <v>0</v>
      </c>
      <c r="K5411" t="n">
        <v>0</v>
      </c>
      <c r="L5411" t="n">
        <v>0</v>
      </c>
      <c r="M5411" t="n">
        <v>0</v>
      </c>
      <c r="N5411" t="n">
        <v>0</v>
      </c>
      <c r="O5411" t="n">
        <v>0</v>
      </c>
      <c r="P5411" t="n">
        <v>0</v>
      </c>
      <c r="Q5411" t="n">
        <v>0</v>
      </c>
      <c r="R5411" s="2" t="inlineStr"/>
    </row>
    <row r="5412" ht="15" customHeight="1">
      <c r="A5412" t="inlineStr">
        <is>
          <t>A 45134-2025</t>
        </is>
      </c>
      <c r="B5412" s="1" t="n">
        <v>45919.44836805556</v>
      </c>
      <c r="C5412" s="1" t="n">
        <v>46093</v>
      </c>
      <c r="D5412" t="inlineStr">
        <is>
          <t>VÄSTERNORRLANDS LÄN</t>
        </is>
      </c>
      <c r="E5412" t="inlineStr">
        <is>
          <t>SUNDSVALL</t>
        </is>
      </c>
      <c r="F5412" t="inlineStr">
        <is>
          <t>SCA</t>
        </is>
      </c>
      <c r="G5412" t="n">
        <v>17.6</v>
      </c>
      <c r="H5412" t="n">
        <v>0</v>
      </c>
      <c r="I5412" t="n">
        <v>0</v>
      </c>
      <c r="J5412" t="n">
        <v>0</v>
      </c>
      <c r="K5412" t="n">
        <v>0</v>
      </c>
      <c r="L5412" t="n">
        <v>0</v>
      </c>
      <c r="M5412" t="n">
        <v>0</v>
      </c>
      <c r="N5412" t="n">
        <v>0</v>
      </c>
      <c r="O5412" t="n">
        <v>0</v>
      </c>
      <c r="P5412" t="n">
        <v>0</v>
      </c>
      <c r="Q5412" t="n">
        <v>0</v>
      </c>
      <c r="R5412" s="2" t="inlineStr"/>
    </row>
    <row r="5413" ht="15" customHeight="1">
      <c r="A5413" t="inlineStr">
        <is>
          <t>A 10047-2023</t>
        </is>
      </c>
      <c r="B5413" s="1" t="n">
        <v>44977</v>
      </c>
      <c r="C5413" s="1" t="n">
        <v>46093</v>
      </c>
      <c r="D5413" t="inlineStr">
        <is>
          <t>VÄSTERNORRLANDS LÄN</t>
        </is>
      </c>
      <c r="E5413" t="inlineStr">
        <is>
          <t>SUNDSVALL</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18245-2024</t>
        </is>
      </c>
      <c r="B5414" s="1" t="n">
        <v>45421</v>
      </c>
      <c r="C5414" s="1" t="n">
        <v>46093</v>
      </c>
      <c r="D5414" t="inlineStr">
        <is>
          <t>VÄSTERNORRLANDS LÄN</t>
        </is>
      </c>
      <c r="E5414" t="inlineStr">
        <is>
          <t>SUNDSVALL</t>
        </is>
      </c>
      <c r="G5414" t="n">
        <v>12.5</v>
      </c>
      <c r="H5414" t="n">
        <v>0</v>
      </c>
      <c r="I5414" t="n">
        <v>0</v>
      </c>
      <c r="J5414" t="n">
        <v>0</v>
      </c>
      <c r="K5414" t="n">
        <v>0</v>
      </c>
      <c r="L5414" t="n">
        <v>0</v>
      </c>
      <c r="M5414" t="n">
        <v>0</v>
      </c>
      <c r="N5414" t="n">
        <v>0</v>
      </c>
      <c r="O5414" t="n">
        <v>0</v>
      </c>
      <c r="P5414" t="n">
        <v>0</v>
      </c>
      <c r="Q5414" t="n">
        <v>0</v>
      </c>
      <c r="R5414" s="2" t="inlineStr"/>
    </row>
    <row r="5415" ht="15" customHeight="1">
      <c r="A5415" t="inlineStr">
        <is>
          <t>A 59942-2022</t>
        </is>
      </c>
      <c r="B5415" s="1" t="n">
        <v>44901</v>
      </c>
      <c r="C5415" s="1" t="n">
        <v>46093</v>
      </c>
      <c r="D5415" t="inlineStr">
        <is>
          <t>VÄSTERNORRLANDS LÄN</t>
        </is>
      </c>
      <c r="E5415" t="inlineStr">
        <is>
          <t>TIMRÅ</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45592-2025</t>
        </is>
      </c>
      <c r="B5416" s="1" t="n">
        <v>45922.67767361111</v>
      </c>
      <c r="C5416" s="1" t="n">
        <v>46093</v>
      </c>
      <c r="D5416" t="inlineStr">
        <is>
          <t>VÄSTERNORRLANDS LÄN</t>
        </is>
      </c>
      <c r="E5416" t="inlineStr">
        <is>
          <t>ÖRNSKÖLDSVIK</t>
        </is>
      </c>
      <c r="F5416" t="inlineStr">
        <is>
          <t>SCA</t>
        </is>
      </c>
      <c r="G5416" t="n">
        <v>25.8</v>
      </c>
      <c r="H5416" t="n">
        <v>0</v>
      </c>
      <c r="I5416" t="n">
        <v>0</v>
      </c>
      <c r="J5416" t="n">
        <v>0</v>
      </c>
      <c r="K5416" t="n">
        <v>0</v>
      </c>
      <c r="L5416" t="n">
        <v>0</v>
      </c>
      <c r="M5416" t="n">
        <v>0</v>
      </c>
      <c r="N5416" t="n">
        <v>0</v>
      </c>
      <c r="O5416" t="n">
        <v>0</v>
      </c>
      <c r="P5416" t="n">
        <v>0</v>
      </c>
      <c r="Q5416" t="n">
        <v>0</v>
      </c>
      <c r="R5416" s="2" t="inlineStr"/>
    </row>
    <row r="5417" ht="15" customHeight="1">
      <c r="A5417" t="inlineStr">
        <is>
          <t>A 46630-2024</t>
        </is>
      </c>
      <c r="B5417" s="1" t="n">
        <v>45583.33315972222</v>
      </c>
      <c r="C5417" s="1" t="n">
        <v>46093</v>
      </c>
      <c r="D5417" t="inlineStr">
        <is>
          <t>VÄSTERNORRLANDS LÄN</t>
        </is>
      </c>
      <c r="E5417" t="inlineStr">
        <is>
          <t>ÖRNSKÖLDSVIK</t>
        </is>
      </c>
      <c r="G5417" t="n">
        <v>2.8</v>
      </c>
      <c r="H5417" t="n">
        <v>0</v>
      </c>
      <c r="I5417" t="n">
        <v>0</v>
      </c>
      <c r="J5417" t="n">
        <v>0</v>
      </c>
      <c r="K5417" t="n">
        <v>0</v>
      </c>
      <c r="L5417" t="n">
        <v>0</v>
      </c>
      <c r="M5417" t="n">
        <v>0</v>
      </c>
      <c r="N5417" t="n">
        <v>0</v>
      </c>
      <c r="O5417" t="n">
        <v>0</v>
      </c>
      <c r="P5417" t="n">
        <v>0</v>
      </c>
      <c r="Q5417" t="n">
        <v>0</v>
      </c>
      <c r="R5417" s="2" t="inlineStr"/>
    </row>
    <row r="5418" ht="15" customHeight="1">
      <c r="A5418" t="inlineStr">
        <is>
          <t>A 45246-2025</t>
        </is>
      </c>
      <c r="B5418" s="1" t="n">
        <v>45919.60696759259</v>
      </c>
      <c r="C5418" s="1" t="n">
        <v>46093</v>
      </c>
      <c r="D5418" t="inlineStr">
        <is>
          <t>VÄSTERNORRLANDS LÄN</t>
        </is>
      </c>
      <c r="E5418" t="inlineStr">
        <is>
          <t>ÖRNSKÖLDSVIK</t>
        </is>
      </c>
      <c r="F5418" t="inlineStr">
        <is>
          <t>Holmen skog AB</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11479-2022</t>
        </is>
      </c>
      <c r="B5419" s="1" t="n">
        <v>44630.92299768519</v>
      </c>
      <c r="C5419" s="1" t="n">
        <v>46093</v>
      </c>
      <c r="D5419" t="inlineStr">
        <is>
          <t>VÄSTERNORRLANDS LÄN</t>
        </is>
      </c>
      <c r="E5419" t="inlineStr">
        <is>
          <t>TIMRÅ</t>
        </is>
      </c>
      <c r="G5419" t="n">
        <v>2.9</v>
      </c>
      <c r="H5419" t="n">
        <v>0</v>
      </c>
      <c r="I5419" t="n">
        <v>0</v>
      </c>
      <c r="J5419" t="n">
        <v>0</v>
      </c>
      <c r="K5419" t="n">
        <v>0</v>
      </c>
      <c r="L5419" t="n">
        <v>0</v>
      </c>
      <c r="M5419" t="n">
        <v>0</v>
      </c>
      <c r="N5419" t="n">
        <v>0</v>
      </c>
      <c r="O5419" t="n">
        <v>0</v>
      </c>
      <c r="P5419" t="n">
        <v>0</v>
      </c>
      <c r="Q5419" t="n">
        <v>0</v>
      </c>
      <c r="R5419" s="2" t="inlineStr"/>
    </row>
    <row r="5420" ht="15" customHeight="1">
      <c r="A5420" t="inlineStr">
        <is>
          <t>A 58419-2022</t>
        </is>
      </c>
      <c r="B5420" s="1" t="n">
        <v>44901</v>
      </c>
      <c r="C5420" s="1" t="n">
        <v>46093</v>
      </c>
      <c r="D5420" t="inlineStr">
        <is>
          <t>VÄSTERNORRLANDS LÄN</t>
        </is>
      </c>
      <c r="E5420" t="inlineStr">
        <is>
          <t>SUNDSVALL</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45229-2025</t>
        </is>
      </c>
      <c r="B5421" s="1" t="n">
        <v>45919.58902777778</v>
      </c>
      <c r="C5421" s="1" t="n">
        <v>46093</v>
      </c>
      <c r="D5421" t="inlineStr">
        <is>
          <t>VÄSTERNORRLANDS LÄN</t>
        </is>
      </c>
      <c r="E5421" t="inlineStr">
        <is>
          <t>ÖRNSKÖLDSVIK</t>
        </is>
      </c>
      <c r="F5421" t="inlineStr">
        <is>
          <t>Holmen skog AB</t>
        </is>
      </c>
      <c r="G5421" t="n">
        <v>4.5</v>
      </c>
      <c r="H5421" t="n">
        <v>0</v>
      </c>
      <c r="I5421" t="n">
        <v>0</v>
      </c>
      <c r="J5421" t="n">
        <v>0</v>
      </c>
      <c r="K5421" t="n">
        <v>0</v>
      </c>
      <c r="L5421" t="n">
        <v>0</v>
      </c>
      <c r="M5421" t="n">
        <v>0</v>
      </c>
      <c r="N5421" t="n">
        <v>0</v>
      </c>
      <c r="O5421" t="n">
        <v>0</v>
      </c>
      <c r="P5421" t="n">
        <v>0</v>
      </c>
      <c r="Q5421" t="n">
        <v>0</v>
      </c>
      <c r="R5421" s="2" t="inlineStr"/>
    </row>
    <row r="5422" ht="15" customHeight="1">
      <c r="A5422" t="inlineStr">
        <is>
          <t>A 45354-2025</t>
        </is>
      </c>
      <c r="B5422" s="1" t="n">
        <v>45922.36494212963</v>
      </c>
      <c r="C5422" s="1" t="n">
        <v>46093</v>
      </c>
      <c r="D5422" t="inlineStr">
        <is>
          <t>VÄSTERNORRLANDS LÄN</t>
        </is>
      </c>
      <c r="E5422" t="inlineStr">
        <is>
          <t>HÄRNÖSAND</t>
        </is>
      </c>
      <c r="G5422" t="n">
        <v>4.5</v>
      </c>
      <c r="H5422" t="n">
        <v>0</v>
      </c>
      <c r="I5422" t="n">
        <v>0</v>
      </c>
      <c r="J5422" t="n">
        <v>0</v>
      </c>
      <c r="K5422" t="n">
        <v>0</v>
      </c>
      <c r="L5422" t="n">
        <v>0</v>
      </c>
      <c r="M5422" t="n">
        <v>0</v>
      </c>
      <c r="N5422" t="n">
        <v>0</v>
      </c>
      <c r="O5422" t="n">
        <v>0</v>
      </c>
      <c r="P5422" t="n">
        <v>0</v>
      </c>
      <c r="Q5422" t="n">
        <v>0</v>
      </c>
      <c r="R5422" s="2" t="inlineStr"/>
    </row>
    <row r="5423" ht="15" customHeight="1">
      <c r="A5423" t="inlineStr">
        <is>
          <t>A 58445-2022</t>
        </is>
      </c>
      <c r="B5423" s="1" t="n">
        <v>44901.95453703704</v>
      </c>
      <c r="C5423" s="1" t="n">
        <v>46093</v>
      </c>
      <c r="D5423" t="inlineStr">
        <is>
          <t>VÄSTERNORRLANDS LÄN</t>
        </is>
      </c>
      <c r="E5423" t="inlineStr">
        <is>
          <t>ÅNGE</t>
        </is>
      </c>
      <c r="F5423" t="inlineStr">
        <is>
          <t>SCA</t>
        </is>
      </c>
      <c r="G5423" t="n">
        <v>3.6</v>
      </c>
      <c r="H5423" t="n">
        <v>0</v>
      </c>
      <c r="I5423" t="n">
        <v>0</v>
      </c>
      <c r="J5423" t="n">
        <v>0</v>
      </c>
      <c r="K5423" t="n">
        <v>0</v>
      </c>
      <c r="L5423" t="n">
        <v>0</v>
      </c>
      <c r="M5423" t="n">
        <v>0</v>
      </c>
      <c r="N5423" t="n">
        <v>0</v>
      </c>
      <c r="O5423" t="n">
        <v>0</v>
      </c>
      <c r="P5423" t="n">
        <v>0</v>
      </c>
      <c r="Q5423" t="n">
        <v>0</v>
      </c>
      <c r="R5423" s="2" t="inlineStr"/>
    </row>
    <row r="5424" ht="15" customHeight="1">
      <c r="A5424" t="inlineStr">
        <is>
          <t>A 39795-2023</t>
        </is>
      </c>
      <c r="B5424" s="1" t="n">
        <v>45167</v>
      </c>
      <c r="C5424" s="1" t="n">
        <v>46093</v>
      </c>
      <c r="D5424" t="inlineStr">
        <is>
          <t>VÄSTERNORRLANDS LÄN</t>
        </is>
      </c>
      <c r="E5424" t="inlineStr">
        <is>
          <t>SUNDSVALL</t>
        </is>
      </c>
      <c r="G5424" t="n">
        <v>15.2</v>
      </c>
      <c r="H5424" t="n">
        <v>0</v>
      </c>
      <c r="I5424" t="n">
        <v>0</v>
      </c>
      <c r="J5424" t="n">
        <v>0</v>
      </c>
      <c r="K5424" t="n">
        <v>0</v>
      </c>
      <c r="L5424" t="n">
        <v>0</v>
      </c>
      <c r="M5424" t="n">
        <v>0</v>
      </c>
      <c r="N5424" t="n">
        <v>0</v>
      </c>
      <c r="O5424" t="n">
        <v>0</v>
      </c>
      <c r="P5424" t="n">
        <v>0</v>
      </c>
      <c r="Q5424" t="n">
        <v>0</v>
      </c>
      <c r="R5424" s="2" t="inlineStr"/>
    </row>
    <row r="5425" ht="15" customHeight="1">
      <c r="A5425" t="inlineStr">
        <is>
          <t>A 42879-2025</t>
        </is>
      </c>
      <c r="B5425" s="1" t="n">
        <v>45908</v>
      </c>
      <c r="C5425" s="1" t="n">
        <v>46093</v>
      </c>
      <c r="D5425" t="inlineStr">
        <is>
          <t>VÄSTERNORRLANDS LÄN</t>
        </is>
      </c>
      <c r="E5425" t="inlineStr">
        <is>
          <t>SOLLEFTEÅ</t>
        </is>
      </c>
      <c r="F5425" t="inlineStr">
        <is>
          <t>SCA</t>
        </is>
      </c>
      <c r="G5425" t="n">
        <v>4.7</v>
      </c>
      <c r="H5425" t="n">
        <v>0</v>
      </c>
      <c r="I5425" t="n">
        <v>0</v>
      </c>
      <c r="J5425" t="n">
        <v>0</v>
      </c>
      <c r="K5425" t="n">
        <v>0</v>
      </c>
      <c r="L5425" t="n">
        <v>0</v>
      </c>
      <c r="M5425" t="n">
        <v>0</v>
      </c>
      <c r="N5425" t="n">
        <v>0</v>
      </c>
      <c r="O5425" t="n">
        <v>0</v>
      </c>
      <c r="P5425" t="n">
        <v>0</v>
      </c>
      <c r="Q5425" t="n">
        <v>0</v>
      </c>
      <c r="R5425" s="2" t="inlineStr"/>
    </row>
    <row r="5426" ht="15" customHeight="1">
      <c r="A5426" t="inlineStr">
        <is>
          <t>A 53301-2024</t>
        </is>
      </c>
      <c r="B5426" s="1" t="n">
        <v>45614.3884837963</v>
      </c>
      <c r="C5426" s="1" t="n">
        <v>46093</v>
      </c>
      <c r="D5426" t="inlineStr">
        <is>
          <t>VÄSTERNORRLANDS LÄN</t>
        </is>
      </c>
      <c r="E5426" t="inlineStr">
        <is>
          <t>TIMRÅ</t>
        </is>
      </c>
      <c r="F5426" t="inlineStr">
        <is>
          <t>SCA</t>
        </is>
      </c>
      <c r="G5426" t="n">
        <v>0.4</v>
      </c>
      <c r="H5426" t="n">
        <v>0</v>
      </c>
      <c r="I5426" t="n">
        <v>0</v>
      </c>
      <c r="J5426" t="n">
        <v>0</v>
      </c>
      <c r="K5426" t="n">
        <v>0</v>
      </c>
      <c r="L5426" t="n">
        <v>0</v>
      </c>
      <c r="M5426" t="n">
        <v>0</v>
      </c>
      <c r="N5426" t="n">
        <v>0</v>
      </c>
      <c r="O5426" t="n">
        <v>0</v>
      </c>
      <c r="P5426" t="n">
        <v>0</v>
      </c>
      <c r="Q5426" t="n">
        <v>0</v>
      </c>
      <c r="R5426" s="2" t="inlineStr"/>
    </row>
    <row r="5427" ht="15" customHeight="1">
      <c r="A5427" t="inlineStr">
        <is>
          <t>A 55023-2023</t>
        </is>
      </c>
      <c r="B5427" s="1" t="n">
        <v>45237</v>
      </c>
      <c r="C5427" s="1" t="n">
        <v>46093</v>
      </c>
      <c r="D5427" t="inlineStr">
        <is>
          <t>VÄSTERNORRLANDS LÄN</t>
        </is>
      </c>
      <c r="E5427" t="inlineStr">
        <is>
          <t>ÖRNSKÖLDSVIK</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45178-2024</t>
        </is>
      </c>
      <c r="B5428" s="1" t="n">
        <v>45575</v>
      </c>
      <c r="C5428" s="1" t="n">
        <v>46093</v>
      </c>
      <c r="D5428" t="inlineStr">
        <is>
          <t>VÄSTERNORRLANDS LÄN</t>
        </is>
      </c>
      <c r="E5428" t="inlineStr">
        <is>
          <t>ÖRNSKÖLDSVIK</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45340-2025</t>
        </is>
      </c>
      <c r="B5429" s="1" t="n">
        <v>45922.34421296296</v>
      </c>
      <c r="C5429" s="1" t="n">
        <v>46093</v>
      </c>
      <c r="D5429" t="inlineStr">
        <is>
          <t>VÄSTERNORRLANDS LÄN</t>
        </is>
      </c>
      <c r="E5429" t="inlineStr">
        <is>
          <t>SOLLEFTEÅ</t>
        </is>
      </c>
      <c r="F5429" t="inlineStr">
        <is>
          <t>SCA</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62076-2022</t>
        </is>
      </c>
      <c r="B5430" s="1" t="n">
        <v>44918.9221412037</v>
      </c>
      <c r="C5430" s="1" t="n">
        <v>46093</v>
      </c>
      <c r="D5430" t="inlineStr">
        <is>
          <t>VÄSTERNORRLANDS LÄN</t>
        </is>
      </c>
      <c r="E5430" t="inlineStr">
        <is>
          <t>SUNDSVALL</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62091-2022</t>
        </is>
      </c>
      <c r="B5431" s="1" t="n">
        <v>44919</v>
      </c>
      <c r="C5431" s="1" t="n">
        <v>46093</v>
      </c>
      <c r="D5431" t="inlineStr">
        <is>
          <t>VÄSTERNORRLANDS LÄN</t>
        </is>
      </c>
      <c r="E5431" t="inlineStr">
        <is>
          <t>ÖRNSKÖLDSVIK</t>
        </is>
      </c>
      <c r="G5431" t="n">
        <v>44.3</v>
      </c>
      <c r="H5431" t="n">
        <v>0</v>
      </c>
      <c r="I5431" t="n">
        <v>0</v>
      </c>
      <c r="J5431" t="n">
        <v>0</v>
      </c>
      <c r="K5431" t="n">
        <v>0</v>
      </c>
      <c r="L5431" t="n">
        <v>0</v>
      </c>
      <c r="M5431" t="n">
        <v>0</v>
      </c>
      <c r="N5431" t="n">
        <v>0</v>
      </c>
      <c r="O5431" t="n">
        <v>0</v>
      </c>
      <c r="P5431" t="n">
        <v>0</v>
      </c>
      <c r="Q5431" t="n">
        <v>0</v>
      </c>
      <c r="R5431" s="2" t="inlineStr"/>
    </row>
    <row r="5432" ht="15" customHeight="1">
      <c r="A5432" t="inlineStr">
        <is>
          <t>A 47283-2023</t>
        </is>
      </c>
      <c r="B5432" s="1" t="n">
        <v>45196</v>
      </c>
      <c r="C5432" s="1" t="n">
        <v>46093</v>
      </c>
      <c r="D5432" t="inlineStr">
        <is>
          <t>VÄSTERNORRLANDS LÄN</t>
        </is>
      </c>
      <c r="E5432" t="inlineStr">
        <is>
          <t>SUNDSVALL</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945-2025</t>
        </is>
      </c>
      <c r="B5433" s="1" t="n">
        <v>45666.34412037037</v>
      </c>
      <c r="C5433" s="1" t="n">
        <v>46093</v>
      </c>
      <c r="D5433" t="inlineStr">
        <is>
          <t>VÄSTERNORRLANDS LÄN</t>
        </is>
      </c>
      <c r="E5433" t="inlineStr">
        <is>
          <t>SOLLEFTEÅ</t>
        </is>
      </c>
      <c r="F5433" t="inlineStr">
        <is>
          <t>SCA</t>
        </is>
      </c>
      <c r="G5433" t="n">
        <v>36.6</v>
      </c>
      <c r="H5433" t="n">
        <v>0</v>
      </c>
      <c r="I5433" t="n">
        <v>0</v>
      </c>
      <c r="J5433" t="n">
        <v>0</v>
      </c>
      <c r="K5433" t="n">
        <v>0</v>
      </c>
      <c r="L5433" t="n">
        <v>0</v>
      </c>
      <c r="M5433" t="n">
        <v>0</v>
      </c>
      <c r="N5433" t="n">
        <v>0</v>
      </c>
      <c r="O5433" t="n">
        <v>0</v>
      </c>
      <c r="P5433" t="n">
        <v>0</v>
      </c>
      <c r="Q5433" t="n">
        <v>0</v>
      </c>
      <c r="R5433" s="2" t="inlineStr"/>
    </row>
    <row r="5434" ht="15" customHeight="1">
      <c r="A5434" t="inlineStr">
        <is>
          <t>A 36255-2024</t>
        </is>
      </c>
      <c r="B5434" s="1" t="n">
        <v>45534.54318287037</v>
      </c>
      <c r="C5434" s="1" t="n">
        <v>46093</v>
      </c>
      <c r="D5434" t="inlineStr">
        <is>
          <t>VÄSTERNORRLANDS LÄN</t>
        </is>
      </c>
      <c r="E5434" t="inlineStr">
        <is>
          <t>ÖRNSKÖLDSVIK</t>
        </is>
      </c>
      <c r="F5434" t="inlineStr">
        <is>
          <t>Holmen skog AB</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59317-2024</t>
        </is>
      </c>
      <c r="B5435" s="1" t="n">
        <v>45637.69873842593</v>
      </c>
      <c r="C5435" s="1" t="n">
        <v>46093</v>
      </c>
      <c r="D5435" t="inlineStr">
        <is>
          <t>VÄSTERNORRLANDS LÄN</t>
        </is>
      </c>
      <c r="E5435" t="inlineStr">
        <is>
          <t>SOLLEFTEÅ</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36567-2025</t>
        </is>
      </c>
      <c r="B5436" s="1" t="n">
        <v>45870.38320601852</v>
      </c>
      <c r="C5436" s="1" t="n">
        <v>46093</v>
      </c>
      <c r="D5436" t="inlineStr">
        <is>
          <t>VÄSTERNORRLANDS LÄN</t>
        </is>
      </c>
      <c r="E5436" t="inlineStr">
        <is>
          <t>SOLLEFTEÅ</t>
        </is>
      </c>
      <c r="G5436" t="n">
        <v>7.2</v>
      </c>
      <c r="H5436" t="n">
        <v>0</v>
      </c>
      <c r="I5436" t="n">
        <v>0</v>
      </c>
      <c r="J5436" t="n">
        <v>0</v>
      </c>
      <c r="K5436" t="n">
        <v>0</v>
      </c>
      <c r="L5436" t="n">
        <v>0</v>
      </c>
      <c r="M5436" t="n">
        <v>0</v>
      </c>
      <c r="N5436" t="n">
        <v>0</v>
      </c>
      <c r="O5436" t="n">
        <v>0</v>
      </c>
      <c r="P5436" t="n">
        <v>0</v>
      </c>
      <c r="Q5436" t="n">
        <v>0</v>
      </c>
      <c r="R5436" s="2" t="inlineStr"/>
    </row>
    <row r="5437" ht="15" customHeight="1">
      <c r="A5437" t="inlineStr">
        <is>
          <t>A 45801-2025</t>
        </is>
      </c>
      <c r="B5437" s="1" t="n">
        <v>45923.57716435185</v>
      </c>
      <c r="C5437" s="1" t="n">
        <v>46093</v>
      </c>
      <c r="D5437" t="inlineStr">
        <is>
          <t>VÄSTERNORRLANDS LÄN</t>
        </is>
      </c>
      <c r="E5437" t="inlineStr">
        <is>
          <t>ÖRNSKÖLDSVIK</t>
        </is>
      </c>
      <c r="F5437" t="inlineStr">
        <is>
          <t>Holmen skog AB</t>
        </is>
      </c>
      <c r="G5437" t="n">
        <v>2.2</v>
      </c>
      <c r="H5437" t="n">
        <v>0</v>
      </c>
      <c r="I5437" t="n">
        <v>0</v>
      </c>
      <c r="J5437" t="n">
        <v>0</v>
      </c>
      <c r="K5437" t="n">
        <v>0</v>
      </c>
      <c r="L5437" t="n">
        <v>0</v>
      </c>
      <c r="M5437" t="n">
        <v>0</v>
      </c>
      <c r="N5437" t="n">
        <v>0</v>
      </c>
      <c r="O5437" t="n">
        <v>0</v>
      </c>
      <c r="P5437" t="n">
        <v>0</v>
      </c>
      <c r="Q5437" t="n">
        <v>0</v>
      </c>
      <c r="R5437" s="2" t="inlineStr"/>
    </row>
    <row r="5438" ht="15" customHeight="1">
      <c r="A5438" t="inlineStr">
        <is>
          <t>A 23058-2024</t>
        </is>
      </c>
      <c r="B5438" s="1" t="n">
        <v>45450.44020833333</v>
      </c>
      <c r="C5438" s="1" t="n">
        <v>46093</v>
      </c>
      <c r="D5438" t="inlineStr">
        <is>
          <t>VÄSTERNORRLANDS LÄN</t>
        </is>
      </c>
      <c r="E5438" t="inlineStr">
        <is>
          <t>ÅNGE</t>
        </is>
      </c>
      <c r="G5438" t="n">
        <v>3.9</v>
      </c>
      <c r="H5438" t="n">
        <v>0</v>
      </c>
      <c r="I5438" t="n">
        <v>0</v>
      </c>
      <c r="J5438" t="n">
        <v>0</v>
      </c>
      <c r="K5438" t="n">
        <v>0</v>
      </c>
      <c r="L5438" t="n">
        <v>0</v>
      </c>
      <c r="M5438" t="n">
        <v>0</v>
      </c>
      <c r="N5438" t="n">
        <v>0</v>
      </c>
      <c r="O5438" t="n">
        <v>0</v>
      </c>
      <c r="P5438" t="n">
        <v>0</v>
      </c>
      <c r="Q5438" t="n">
        <v>0</v>
      </c>
      <c r="R5438" s="2" t="inlineStr"/>
    </row>
    <row r="5439" ht="15" customHeight="1">
      <c r="A5439" t="inlineStr">
        <is>
          <t>A 36456-2025</t>
        </is>
      </c>
      <c r="B5439" s="1" t="n">
        <v>45869.44827546296</v>
      </c>
      <c r="C5439" s="1" t="n">
        <v>46093</v>
      </c>
      <c r="D5439" t="inlineStr">
        <is>
          <t>VÄSTERNORRLANDS LÄN</t>
        </is>
      </c>
      <c r="E5439" t="inlineStr">
        <is>
          <t>ÅNGE</t>
        </is>
      </c>
      <c r="F5439" t="inlineStr">
        <is>
          <t>SCA</t>
        </is>
      </c>
      <c r="G5439" t="n">
        <v>7.2</v>
      </c>
      <c r="H5439" t="n">
        <v>0</v>
      </c>
      <c r="I5439" t="n">
        <v>0</v>
      </c>
      <c r="J5439" t="n">
        <v>0</v>
      </c>
      <c r="K5439" t="n">
        <v>0</v>
      </c>
      <c r="L5439" t="n">
        <v>0</v>
      </c>
      <c r="M5439" t="n">
        <v>0</v>
      </c>
      <c r="N5439" t="n">
        <v>0</v>
      </c>
      <c r="O5439" t="n">
        <v>0</v>
      </c>
      <c r="P5439" t="n">
        <v>0</v>
      </c>
      <c r="Q5439" t="n">
        <v>0</v>
      </c>
      <c r="R5439" s="2" t="inlineStr"/>
    </row>
    <row r="5440" ht="15" customHeight="1">
      <c r="A5440" t="inlineStr">
        <is>
          <t>A 27153-2022</t>
        </is>
      </c>
      <c r="B5440" s="1" t="n">
        <v>44741</v>
      </c>
      <c r="C5440" s="1" t="n">
        <v>46093</v>
      </c>
      <c r="D5440" t="inlineStr">
        <is>
          <t>VÄSTERNORRLANDS LÄN</t>
        </is>
      </c>
      <c r="E5440" t="inlineStr">
        <is>
          <t>ÖRNSKÖLDSVIK</t>
        </is>
      </c>
      <c r="G5440" t="n">
        <v>6.3</v>
      </c>
      <c r="H5440" t="n">
        <v>0</v>
      </c>
      <c r="I5440" t="n">
        <v>0</v>
      </c>
      <c r="J5440" t="n">
        <v>0</v>
      </c>
      <c r="K5440" t="n">
        <v>0</v>
      </c>
      <c r="L5440" t="n">
        <v>0</v>
      </c>
      <c r="M5440" t="n">
        <v>0</v>
      </c>
      <c r="N5440" t="n">
        <v>0</v>
      </c>
      <c r="O5440" t="n">
        <v>0</v>
      </c>
      <c r="P5440" t="n">
        <v>0</v>
      </c>
      <c r="Q5440" t="n">
        <v>0</v>
      </c>
      <c r="R5440" s="2" t="inlineStr"/>
    </row>
    <row r="5441" ht="15" customHeight="1">
      <c r="A5441" t="inlineStr">
        <is>
          <t>A 974-2025</t>
        </is>
      </c>
      <c r="B5441" s="1" t="n">
        <v>45666.40663194445</v>
      </c>
      <c r="C5441" s="1" t="n">
        <v>46093</v>
      </c>
      <c r="D5441" t="inlineStr">
        <is>
          <t>VÄSTERNORRLANDS LÄN</t>
        </is>
      </c>
      <c r="E5441" t="inlineStr">
        <is>
          <t>SUNDSVALL</t>
        </is>
      </c>
      <c r="F5441" t="inlineStr">
        <is>
          <t>SCA</t>
        </is>
      </c>
      <c r="G5441" t="n">
        <v>7.8</v>
      </c>
      <c r="H5441" t="n">
        <v>0</v>
      </c>
      <c r="I5441" t="n">
        <v>0</v>
      </c>
      <c r="J5441" t="n">
        <v>0</v>
      </c>
      <c r="K5441" t="n">
        <v>0</v>
      </c>
      <c r="L5441" t="n">
        <v>0</v>
      </c>
      <c r="M5441" t="n">
        <v>0</v>
      </c>
      <c r="N5441" t="n">
        <v>0</v>
      </c>
      <c r="O5441" t="n">
        <v>0</v>
      </c>
      <c r="P5441" t="n">
        <v>0</v>
      </c>
      <c r="Q5441" t="n">
        <v>0</v>
      </c>
      <c r="R5441" s="2" t="inlineStr"/>
    </row>
    <row r="5442" ht="15" customHeight="1">
      <c r="A5442" t="inlineStr">
        <is>
          <t>A 45817-2025</t>
        </is>
      </c>
      <c r="B5442" s="1" t="n">
        <v>45923.59423611111</v>
      </c>
      <c r="C5442" s="1" t="n">
        <v>46093</v>
      </c>
      <c r="D5442" t="inlineStr">
        <is>
          <t>VÄSTERNORRLANDS LÄN</t>
        </is>
      </c>
      <c r="E5442" t="inlineStr">
        <is>
          <t>ÖRNSKÖLDSVIK</t>
        </is>
      </c>
      <c r="F5442" t="inlineStr">
        <is>
          <t>Holmen skog AB</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45845-2025</t>
        </is>
      </c>
      <c r="B5443" s="1" t="n">
        <v>45923.61579861111</v>
      </c>
      <c r="C5443" s="1" t="n">
        <v>46093</v>
      </c>
      <c r="D5443" t="inlineStr">
        <is>
          <t>VÄSTERNORRLANDS LÄN</t>
        </is>
      </c>
      <c r="E5443" t="inlineStr">
        <is>
          <t>SUNDSVALL</t>
        </is>
      </c>
      <c r="F5443" t="inlineStr">
        <is>
          <t>SCA</t>
        </is>
      </c>
      <c r="G5443" t="n">
        <v>3.8</v>
      </c>
      <c r="H5443" t="n">
        <v>0</v>
      </c>
      <c r="I5443" t="n">
        <v>0</v>
      </c>
      <c r="J5443" t="n">
        <v>0</v>
      </c>
      <c r="K5443" t="n">
        <v>0</v>
      </c>
      <c r="L5443" t="n">
        <v>0</v>
      </c>
      <c r="M5443" t="n">
        <v>0</v>
      </c>
      <c r="N5443" t="n">
        <v>0</v>
      </c>
      <c r="O5443" t="n">
        <v>0</v>
      </c>
      <c r="P5443" t="n">
        <v>0</v>
      </c>
      <c r="Q5443" t="n">
        <v>0</v>
      </c>
      <c r="R5443" s="2" t="inlineStr"/>
    </row>
    <row r="5444" ht="15" customHeight="1">
      <c r="A5444" t="inlineStr">
        <is>
          <t>A 36491-2025</t>
        </is>
      </c>
      <c r="B5444" s="1" t="n">
        <v>45869.53173611111</v>
      </c>
      <c r="C5444" s="1" t="n">
        <v>46093</v>
      </c>
      <c r="D5444" t="inlineStr">
        <is>
          <t>VÄSTERNORRLANDS LÄN</t>
        </is>
      </c>
      <c r="E5444" t="inlineStr">
        <is>
          <t>ÅNGE</t>
        </is>
      </c>
      <c r="F5444" t="inlineStr">
        <is>
          <t>SCA</t>
        </is>
      </c>
      <c r="G5444" t="n">
        <v>4.2</v>
      </c>
      <c r="H5444" t="n">
        <v>0</v>
      </c>
      <c r="I5444" t="n">
        <v>0</v>
      </c>
      <c r="J5444" t="n">
        <v>0</v>
      </c>
      <c r="K5444" t="n">
        <v>0</v>
      </c>
      <c r="L5444" t="n">
        <v>0</v>
      </c>
      <c r="M5444" t="n">
        <v>0</v>
      </c>
      <c r="N5444" t="n">
        <v>0</v>
      </c>
      <c r="O5444" t="n">
        <v>0</v>
      </c>
      <c r="P5444" t="n">
        <v>0</v>
      </c>
      <c r="Q5444" t="n">
        <v>0</v>
      </c>
      <c r="R5444" s="2" t="inlineStr"/>
    </row>
    <row r="5445" ht="15" customHeight="1">
      <c r="A5445" t="inlineStr">
        <is>
          <t>A 61049-2022</t>
        </is>
      </c>
      <c r="B5445" s="1" t="n">
        <v>44914.97056712963</v>
      </c>
      <c r="C5445" s="1" t="n">
        <v>46093</v>
      </c>
      <c r="D5445" t="inlineStr">
        <is>
          <t>VÄSTERNORRLANDS LÄN</t>
        </is>
      </c>
      <c r="E5445" t="inlineStr">
        <is>
          <t>SUNDSVALL</t>
        </is>
      </c>
      <c r="F5445" t="inlineStr">
        <is>
          <t>SCA</t>
        </is>
      </c>
      <c r="G5445" t="n">
        <v>2.9</v>
      </c>
      <c r="H5445" t="n">
        <v>0</v>
      </c>
      <c r="I5445" t="n">
        <v>0</v>
      </c>
      <c r="J5445" t="n">
        <v>0</v>
      </c>
      <c r="K5445" t="n">
        <v>0</v>
      </c>
      <c r="L5445" t="n">
        <v>0</v>
      </c>
      <c r="M5445" t="n">
        <v>0</v>
      </c>
      <c r="N5445" t="n">
        <v>0</v>
      </c>
      <c r="O5445" t="n">
        <v>0</v>
      </c>
      <c r="P5445" t="n">
        <v>0</v>
      </c>
      <c r="Q5445" t="n">
        <v>0</v>
      </c>
      <c r="R5445" s="2" t="inlineStr"/>
    </row>
    <row r="5446" ht="15" customHeight="1">
      <c r="A5446" t="inlineStr">
        <is>
          <t>A 20475-2022</t>
        </is>
      </c>
      <c r="B5446" s="1" t="n">
        <v>44699</v>
      </c>
      <c r="C5446" s="1" t="n">
        <v>46093</v>
      </c>
      <c r="D5446" t="inlineStr">
        <is>
          <t>VÄSTERNORRLANDS LÄN</t>
        </is>
      </c>
      <c r="E5446" t="inlineStr">
        <is>
          <t>ÖRNSKÖLDSVIK</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15809-2024</t>
        </is>
      </c>
      <c r="B5447" s="1" t="n">
        <v>45404</v>
      </c>
      <c r="C5447" s="1" t="n">
        <v>46093</v>
      </c>
      <c r="D5447" t="inlineStr">
        <is>
          <t>VÄSTERNORRLANDS LÄN</t>
        </is>
      </c>
      <c r="E5447" t="inlineStr">
        <is>
          <t>ÖRNSKÖLDSVIK</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36169-2023</t>
        </is>
      </c>
      <c r="B5448" s="1" t="n">
        <v>45149.63590277778</v>
      </c>
      <c r="C5448" s="1" t="n">
        <v>46093</v>
      </c>
      <c r="D5448" t="inlineStr">
        <is>
          <t>VÄSTERNORRLANDS LÄN</t>
        </is>
      </c>
      <c r="E5448" t="inlineStr">
        <is>
          <t>ÖRNSKÖLDSVIK</t>
        </is>
      </c>
      <c r="F5448" t="inlineStr">
        <is>
          <t>Holmen skog AB</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45739-2025</t>
        </is>
      </c>
      <c r="B5449" s="1" t="n">
        <v>45923.46921296296</v>
      </c>
      <c r="C5449" s="1" t="n">
        <v>46093</v>
      </c>
      <c r="D5449" t="inlineStr">
        <is>
          <t>VÄSTERNORRLANDS LÄN</t>
        </is>
      </c>
      <c r="E5449" t="inlineStr">
        <is>
          <t>HÄRNÖSAND</t>
        </is>
      </c>
      <c r="F5449" t="inlineStr">
        <is>
          <t>SCA</t>
        </is>
      </c>
      <c r="G5449" t="n">
        <v>3.1</v>
      </c>
      <c r="H5449" t="n">
        <v>0</v>
      </c>
      <c r="I5449" t="n">
        <v>0</v>
      </c>
      <c r="J5449" t="n">
        <v>0</v>
      </c>
      <c r="K5449" t="n">
        <v>0</v>
      </c>
      <c r="L5449" t="n">
        <v>0</v>
      </c>
      <c r="M5449" t="n">
        <v>0</v>
      </c>
      <c r="N5449" t="n">
        <v>0</v>
      </c>
      <c r="O5449" t="n">
        <v>0</v>
      </c>
      <c r="P5449" t="n">
        <v>0</v>
      </c>
      <c r="Q5449" t="n">
        <v>0</v>
      </c>
      <c r="R5449" s="2" t="inlineStr"/>
    </row>
    <row r="5450" ht="15" customHeight="1">
      <c r="A5450" t="inlineStr">
        <is>
          <t>A 45768-2025</t>
        </is>
      </c>
      <c r="B5450" s="1" t="n">
        <v>45923.53170138889</v>
      </c>
      <c r="C5450" s="1" t="n">
        <v>46093</v>
      </c>
      <c r="D5450" t="inlineStr">
        <is>
          <t>VÄSTERNORRLANDS LÄN</t>
        </is>
      </c>
      <c r="E5450" t="inlineStr">
        <is>
          <t>SUNDSVALL</t>
        </is>
      </c>
      <c r="F5450" t="inlineStr">
        <is>
          <t>SCA</t>
        </is>
      </c>
      <c r="G5450" t="n">
        <v>9.5</v>
      </c>
      <c r="H5450" t="n">
        <v>0</v>
      </c>
      <c r="I5450" t="n">
        <v>0</v>
      </c>
      <c r="J5450" t="n">
        <v>0</v>
      </c>
      <c r="K5450" t="n">
        <v>0</v>
      </c>
      <c r="L5450" t="n">
        <v>0</v>
      </c>
      <c r="M5450" t="n">
        <v>0</v>
      </c>
      <c r="N5450" t="n">
        <v>0</v>
      </c>
      <c r="O5450" t="n">
        <v>0</v>
      </c>
      <c r="P5450" t="n">
        <v>0</v>
      </c>
      <c r="Q5450" t="n">
        <v>0</v>
      </c>
      <c r="R5450" s="2" t="inlineStr"/>
      <c r="U5450">
        <f>HYPERLINK("https://klasma.github.io/Logging_2281/knärot/A 45768-2025 karta knärot.png", "A 45768-2025")</f>
        <v/>
      </c>
      <c r="V5450">
        <f>HYPERLINK("https://klasma.github.io/Logging_2281/klagomål/A 45768-2025 FSC-klagomål.docx", "A 45768-2025")</f>
        <v/>
      </c>
      <c r="W5450">
        <f>HYPERLINK("https://klasma.github.io/Logging_2281/klagomålsmail/A 45768-2025 FSC-klagomål mail.docx", "A 45768-2025")</f>
        <v/>
      </c>
      <c r="X5450">
        <f>HYPERLINK("https://klasma.github.io/Logging_2281/tillsyn/A 45768-2025 tillsynsbegäran.docx", "A 45768-2025")</f>
        <v/>
      </c>
      <c r="Y5450">
        <f>HYPERLINK("https://klasma.github.io/Logging_2281/tillsynsmail/A 45768-2025 tillsynsbegäran mail.docx", "A 45768-2025")</f>
        <v/>
      </c>
    </row>
    <row r="5451" ht="15" customHeight="1">
      <c r="A5451" t="inlineStr">
        <is>
          <t>A 45952-2025</t>
        </is>
      </c>
      <c r="B5451" s="1" t="n">
        <v>45924.34430555555</v>
      </c>
      <c r="C5451" s="1" t="n">
        <v>46093</v>
      </c>
      <c r="D5451" t="inlineStr">
        <is>
          <t>VÄSTERNORRLANDS LÄN</t>
        </is>
      </c>
      <c r="E5451" t="inlineStr">
        <is>
          <t>SOLLEFTEÅ</t>
        </is>
      </c>
      <c r="G5451" t="n">
        <v>2.9</v>
      </c>
      <c r="H5451" t="n">
        <v>0</v>
      </c>
      <c r="I5451" t="n">
        <v>0</v>
      </c>
      <c r="J5451" t="n">
        <v>0</v>
      </c>
      <c r="K5451" t="n">
        <v>0</v>
      </c>
      <c r="L5451" t="n">
        <v>0</v>
      </c>
      <c r="M5451" t="n">
        <v>0</v>
      </c>
      <c r="N5451" t="n">
        <v>0</v>
      </c>
      <c r="O5451" t="n">
        <v>0</v>
      </c>
      <c r="P5451" t="n">
        <v>0</v>
      </c>
      <c r="Q5451" t="n">
        <v>0</v>
      </c>
      <c r="R5451" s="2" t="inlineStr"/>
    </row>
    <row r="5452" ht="15" customHeight="1">
      <c r="A5452" t="inlineStr">
        <is>
          <t>A 1880-2024</t>
        </is>
      </c>
      <c r="B5452" s="1" t="n">
        <v>45307</v>
      </c>
      <c r="C5452" s="1" t="n">
        <v>46093</v>
      </c>
      <c r="D5452" t="inlineStr">
        <is>
          <t>VÄSTERNORRLANDS LÄN</t>
        </is>
      </c>
      <c r="E5452" t="inlineStr">
        <is>
          <t>SOLLEFTEÅ</t>
        </is>
      </c>
      <c r="F5452" t="inlineStr">
        <is>
          <t>SCA</t>
        </is>
      </c>
      <c r="G5452" t="n">
        <v>2.5</v>
      </c>
      <c r="H5452" t="n">
        <v>0</v>
      </c>
      <c r="I5452" t="n">
        <v>0</v>
      </c>
      <c r="J5452" t="n">
        <v>0</v>
      </c>
      <c r="K5452" t="n">
        <v>0</v>
      </c>
      <c r="L5452" t="n">
        <v>0</v>
      </c>
      <c r="M5452" t="n">
        <v>0</v>
      </c>
      <c r="N5452" t="n">
        <v>0</v>
      </c>
      <c r="O5452" t="n">
        <v>0</v>
      </c>
      <c r="P5452" t="n">
        <v>0</v>
      </c>
      <c r="Q5452" t="n">
        <v>0</v>
      </c>
      <c r="R5452" s="2" t="inlineStr"/>
    </row>
    <row r="5453" ht="15" customHeight="1">
      <c r="A5453" t="inlineStr">
        <is>
          <t>A 44272-2023</t>
        </is>
      </c>
      <c r="B5453" s="1" t="n">
        <v>45188</v>
      </c>
      <c r="C5453" s="1" t="n">
        <v>46093</v>
      </c>
      <c r="D5453" t="inlineStr">
        <is>
          <t>VÄSTERNORRLANDS LÄN</t>
        </is>
      </c>
      <c r="E5453" t="inlineStr">
        <is>
          <t>SUNDSVALL</t>
        </is>
      </c>
      <c r="F5453" t="inlineStr">
        <is>
          <t>Holmen skog AB</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36203-2023</t>
        </is>
      </c>
      <c r="B5454" s="1" t="n">
        <v>45149</v>
      </c>
      <c r="C5454" s="1" t="n">
        <v>46093</v>
      </c>
      <c r="D5454" t="inlineStr">
        <is>
          <t>VÄSTERNORRLANDS LÄN</t>
        </is>
      </c>
      <c r="E5454" t="inlineStr">
        <is>
          <t>SUNDSVALL</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6390-2025</t>
        </is>
      </c>
      <c r="B5455" s="1" t="n">
        <v>45699.42733796296</v>
      </c>
      <c r="C5455" s="1" t="n">
        <v>46093</v>
      </c>
      <c r="D5455" t="inlineStr">
        <is>
          <t>VÄSTERNORRLANDS LÄN</t>
        </is>
      </c>
      <c r="E5455" t="inlineStr">
        <is>
          <t>HÄRNÖSAND</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46159-2024</t>
        </is>
      </c>
      <c r="B5456" s="1" t="n">
        <v>45581</v>
      </c>
      <c r="C5456" s="1" t="n">
        <v>46093</v>
      </c>
      <c r="D5456" t="inlineStr">
        <is>
          <t>VÄSTERNORRLANDS LÄN</t>
        </is>
      </c>
      <c r="E5456" t="inlineStr">
        <is>
          <t>SUNDSVALL</t>
        </is>
      </c>
      <c r="F5456" t="inlineStr">
        <is>
          <t>SCA</t>
        </is>
      </c>
      <c r="G5456" t="n">
        <v>6</v>
      </c>
      <c r="H5456" t="n">
        <v>0</v>
      </c>
      <c r="I5456" t="n">
        <v>0</v>
      </c>
      <c r="J5456" t="n">
        <v>0</v>
      </c>
      <c r="K5456" t="n">
        <v>0</v>
      </c>
      <c r="L5456" t="n">
        <v>0</v>
      </c>
      <c r="M5456" t="n">
        <v>0</v>
      </c>
      <c r="N5456" t="n">
        <v>0</v>
      </c>
      <c r="O5456" t="n">
        <v>0</v>
      </c>
      <c r="P5456" t="n">
        <v>0</v>
      </c>
      <c r="Q5456" t="n">
        <v>0</v>
      </c>
      <c r="R5456" s="2" t="inlineStr"/>
    </row>
    <row r="5457" ht="15" customHeight="1">
      <c r="A5457" t="inlineStr">
        <is>
          <t>A 45875-2025</t>
        </is>
      </c>
      <c r="B5457" s="1" t="n">
        <v>45923.65690972222</v>
      </c>
      <c r="C5457" s="1" t="n">
        <v>46093</v>
      </c>
      <c r="D5457" t="inlineStr">
        <is>
          <t>VÄSTERNORRLANDS LÄN</t>
        </is>
      </c>
      <c r="E5457" t="inlineStr">
        <is>
          <t>ÅNGE</t>
        </is>
      </c>
      <c r="F5457" t="inlineStr">
        <is>
          <t>SCA</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61699-2024</t>
        </is>
      </c>
      <c r="B5458" s="1" t="n">
        <v>45647.81799768518</v>
      </c>
      <c r="C5458" s="1" t="n">
        <v>46093</v>
      </c>
      <c r="D5458" t="inlineStr">
        <is>
          <t>VÄSTERNORRLANDS LÄN</t>
        </is>
      </c>
      <c r="E5458" t="inlineStr">
        <is>
          <t>ÖRNSKÖLDSVIK</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27293-2024</t>
        </is>
      </c>
      <c r="B5459" s="1" t="n">
        <v>45471.94259259259</v>
      </c>
      <c r="C5459" s="1" t="n">
        <v>46093</v>
      </c>
      <c r="D5459" t="inlineStr">
        <is>
          <t>VÄSTERNORRLANDS LÄN</t>
        </is>
      </c>
      <c r="E5459" t="inlineStr">
        <is>
          <t>SOLLEFTEÅ</t>
        </is>
      </c>
      <c r="F5459" t="inlineStr">
        <is>
          <t>SCA</t>
        </is>
      </c>
      <c r="G5459" t="n">
        <v>2.5</v>
      </c>
      <c r="H5459" t="n">
        <v>0</v>
      </c>
      <c r="I5459" t="n">
        <v>0</v>
      </c>
      <c r="J5459" t="n">
        <v>0</v>
      </c>
      <c r="K5459" t="n">
        <v>0</v>
      </c>
      <c r="L5459" t="n">
        <v>0</v>
      </c>
      <c r="M5459" t="n">
        <v>0</v>
      </c>
      <c r="N5459" t="n">
        <v>0</v>
      </c>
      <c r="O5459" t="n">
        <v>0</v>
      </c>
      <c r="P5459" t="n">
        <v>0</v>
      </c>
      <c r="Q5459" t="n">
        <v>0</v>
      </c>
      <c r="R5459" s="2" t="inlineStr"/>
    </row>
    <row r="5460" ht="15" customHeight="1">
      <c r="A5460" t="inlineStr">
        <is>
          <t>A 13257-2025</t>
        </is>
      </c>
      <c r="B5460" s="1" t="n">
        <v>45735.51075231482</v>
      </c>
      <c r="C5460" s="1" t="n">
        <v>46093</v>
      </c>
      <c r="D5460" t="inlineStr">
        <is>
          <t>VÄSTERNORRLANDS LÄN</t>
        </is>
      </c>
      <c r="E5460" t="inlineStr">
        <is>
          <t>SOLLEFTEÅ</t>
        </is>
      </c>
      <c r="F5460" t="inlineStr">
        <is>
          <t>SCA</t>
        </is>
      </c>
      <c r="G5460" t="n">
        <v>15.3</v>
      </c>
      <c r="H5460" t="n">
        <v>0</v>
      </c>
      <c r="I5460" t="n">
        <v>0</v>
      </c>
      <c r="J5460" t="n">
        <v>0</v>
      </c>
      <c r="K5460" t="n">
        <v>0</v>
      </c>
      <c r="L5460" t="n">
        <v>0</v>
      </c>
      <c r="M5460" t="n">
        <v>0</v>
      </c>
      <c r="N5460" t="n">
        <v>0</v>
      </c>
      <c r="O5460" t="n">
        <v>0</v>
      </c>
      <c r="P5460" t="n">
        <v>0</v>
      </c>
      <c r="Q5460" t="n">
        <v>0</v>
      </c>
      <c r="R5460" s="2" t="inlineStr"/>
    </row>
    <row r="5461" ht="15" customHeight="1">
      <c r="A5461" t="inlineStr">
        <is>
          <t>A 41253-2022</t>
        </is>
      </c>
      <c r="B5461" s="1" t="n">
        <v>44825</v>
      </c>
      <c r="C5461" s="1" t="n">
        <v>46093</v>
      </c>
      <c r="D5461" t="inlineStr">
        <is>
          <t>VÄSTERNORRLANDS LÄN</t>
        </is>
      </c>
      <c r="E5461" t="inlineStr">
        <is>
          <t>ÖRNSKÖLDSVIK</t>
        </is>
      </c>
      <c r="G5461" t="n">
        <v>2.5</v>
      </c>
      <c r="H5461" t="n">
        <v>0</v>
      </c>
      <c r="I5461" t="n">
        <v>0</v>
      </c>
      <c r="J5461" t="n">
        <v>0</v>
      </c>
      <c r="K5461" t="n">
        <v>0</v>
      </c>
      <c r="L5461" t="n">
        <v>0</v>
      </c>
      <c r="M5461" t="n">
        <v>0</v>
      </c>
      <c r="N5461" t="n">
        <v>0</v>
      </c>
      <c r="O5461" t="n">
        <v>0</v>
      </c>
      <c r="P5461" t="n">
        <v>0</v>
      </c>
      <c r="Q5461" t="n">
        <v>0</v>
      </c>
      <c r="R5461" s="2" t="inlineStr"/>
    </row>
    <row r="5462" ht="15" customHeight="1">
      <c r="A5462" t="inlineStr">
        <is>
          <t>A 45979-2025</t>
        </is>
      </c>
      <c r="B5462" s="1" t="n">
        <v>45924.37559027778</v>
      </c>
      <c r="C5462" s="1" t="n">
        <v>46093</v>
      </c>
      <c r="D5462" t="inlineStr">
        <is>
          <t>VÄSTERNORRLANDS LÄN</t>
        </is>
      </c>
      <c r="E5462" t="inlineStr">
        <is>
          <t>ÖRNSKÖLDSVIK</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46137-2025</t>
        </is>
      </c>
      <c r="B5463" s="1" t="n">
        <v>45924.59915509259</v>
      </c>
      <c r="C5463" s="1" t="n">
        <v>46093</v>
      </c>
      <c r="D5463" t="inlineStr">
        <is>
          <t>VÄSTERNORRLANDS LÄN</t>
        </is>
      </c>
      <c r="E5463" t="inlineStr">
        <is>
          <t>ÖRNSKÖLDSVIK</t>
        </is>
      </c>
      <c r="G5463" t="n">
        <v>2.8</v>
      </c>
      <c r="H5463" t="n">
        <v>0</v>
      </c>
      <c r="I5463" t="n">
        <v>0</v>
      </c>
      <c r="J5463" t="n">
        <v>0</v>
      </c>
      <c r="K5463" t="n">
        <v>0</v>
      </c>
      <c r="L5463" t="n">
        <v>0</v>
      </c>
      <c r="M5463" t="n">
        <v>0</v>
      </c>
      <c r="N5463" t="n">
        <v>0</v>
      </c>
      <c r="O5463" t="n">
        <v>0</v>
      </c>
      <c r="P5463" t="n">
        <v>0</v>
      </c>
      <c r="Q5463" t="n">
        <v>0</v>
      </c>
      <c r="R5463" s="2" t="inlineStr"/>
    </row>
    <row r="5464" ht="15" customHeight="1">
      <c r="A5464" t="inlineStr">
        <is>
          <t>A 45772-2025</t>
        </is>
      </c>
      <c r="B5464" s="1" t="n">
        <v>45923.53576388889</v>
      </c>
      <c r="C5464" s="1" t="n">
        <v>46093</v>
      </c>
      <c r="D5464" t="inlineStr">
        <is>
          <t>VÄSTERNORRLANDS LÄN</t>
        </is>
      </c>
      <c r="E5464" t="inlineStr">
        <is>
          <t>ÖRNSKÖLDSVIK</t>
        </is>
      </c>
      <c r="G5464" t="n">
        <v>4.3</v>
      </c>
      <c r="H5464" t="n">
        <v>0</v>
      </c>
      <c r="I5464" t="n">
        <v>0</v>
      </c>
      <c r="J5464" t="n">
        <v>0</v>
      </c>
      <c r="K5464" t="n">
        <v>0</v>
      </c>
      <c r="L5464" t="n">
        <v>0</v>
      </c>
      <c r="M5464" t="n">
        <v>0</v>
      </c>
      <c r="N5464" t="n">
        <v>0</v>
      </c>
      <c r="O5464" t="n">
        <v>0</v>
      </c>
      <c r="P5464" t="n">
        <v>0</v>
      </c>
      <c r="Q5464" t="n">
        <v>0</v>
      </c>
      <c r="R5464" s="2" t="inlineStr"/>
    </row>
    <row r="5465" ht="15" customHeight="1">
      <c r="A5465" t="inlineStr">
        <is>
          <t>A 43708-2024</t>
        </is>
      </c>
      <c r="B5465" s="1" t="n">
        <v>45569</v>
      </c>
      <c r="C5465" s="1" t="n">
        <v>46093</v>
      </c>
      <c r="D5465" t="inlineStr">
        <is>
          <t>VÄSTERNORRLANDS LÄN</t>
        </is>
      </c>
      <c r="E5465" t="inlineStr">
        <is>
          <t>KRAMFORS</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4272-2024</t>
        </is>
      </c>
      <c r="B5466" s="1" t="n">
        <v>45324</v>
      </c>
      <c r="C5466" s="1" t="n">
        <v>46093</v>
      </c>
      <c r="D5466" t="inlineStr">
        <is>
          <t>VÄSTERNORRLANDS LÄN</t>
        </is>
      </c>
      <c r="E5466" t="inlineStr">
        <is>
          <t>KRAMFORS</t>
        </is>
      </c>
      <c r="G5466" t="n">
        <v>0.3</v>
      </c>
      <c r="H5466" t="n">
        <v>0</v>
      </c>
      <c r="I5466" t="n">
        <v>0</v>
      </c>
      <c r="J5466" t="n">
        <v>0</v>
      </c>
      <c r="K5466" t="n">
        <v>0</v>
      </c>
      <c r="L5466" t="n">
        <v>0</v>
      </c>
      <c r="M5466" t="n">
        <v>0</v>
      </c>
      <c r="N5466" t="n">
        <v>0</v>
      </c>
      <c r="O5466" t="n">
        <v>0</v>
      </c>
      <c r="P5466" t="n">
        <v>0</v>
      </c>
      <c r="Q5466" t="n">
        <v>0</v>
      </c>
      <c r="R5466" s="2" t="inlineStr"/>
    </row>
    <row r="5467" ht="15" customHeight="1">
      <c r="A5467" t="inlineStr">
        <is>
          <t>A 17357-2022</t>
        </is>
      </c>
      <c r="B5467" s="1" t="n">
        <v>44678</v>
      </c>
      <c r="C5467" s="1" t="n">
        <v>46093</v>
      </c>
      <c r="D5467" t="inlineStr">
        <is>
          <t>VÄSTERNORRLANDS LÄN</t>
        </is>
      </c>
      <c r="E5467" t="inlineStr">
        <is>
          <t>ÖRNSKÖLDSVIK</t>
        </is>
      </c>
      <c r="G5467" t="n">
        <v>3.5</v>
      </c>
      <c r="H5467" t="n">
        <v>0</v>
      </c>
      <c r="I5467" t="n">
        <v>0</v>
      </c>
      <c r="J5467" t="n">
        <v>0</v>
      </c>
      <c r="K5467" t="n">
        <v>0</v>
      </c>
      <c r="L5467" t="n">
        <v>0</v>
      </c>
      <c r="M5467" t="n">
        <v>0</v>
      </c>
      <c r="N5467" t="n">
        <v>0</v>
      </c>
      <c r="O5467" t="n">
        <v>0</v>
      </c>
      <c r="P5467" t="n">
        <v>0</v>
      </c>
      <c r="Q5467" t="n">
        <v>0</v>
      </c>
      <c r="R5467" s="2" t="inlineStr"/>
    </row>
    <row r="5468" ht="15" customHeight="1">
      <c r="A5468" t="inlineStr">
        <is>
          <t>A 13787-2022</t>
        </is>
      </c>
      <c r="B5468" s="1" t="n">
        <v>44649</v>
      </c>
      <c r="C5468" s="1" t="n">
        <v>46093</v>
      </c>
      <c r="D5468" t="inlineStr">
        <is>
          <t>VÄSTERNORRLANDS LÄN</t>
        </is>
      </c>
      <c r="E5468" t="inlineStr">
        <is>
          <t>ÖRNSKÖLDSVIK</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41394-2023</t>
        </is>
      </c>
      <c r="B5469" s="1" t="n">
        <v>45174</v>
      </c>
      <c r="C5469" s="1" t="n">
        <v>46093</v>
      </c>
      <c r="D5469" t="inlineStr">
        <is>
          <t>VÄSTERNORRLANDS LÄN</t>
        </is>
      </c>
      <c r="E5469" t="inlineStr">
        <is>
          <t>ÖRNSKÖLDSVIK</t>
        </is>
      </c>
      <c r="G5469" t="n">
        <v>2</v>
      </c>
      <c r="H5469" t="n">
        <v>0</v>
      </c>
      <c r="I5469" t="n">
        <v>0</v>
      </c>
      <c r="J5469" t="n">
        <v>0</v>
      </c>
      <c r="K5469" t="n">
        <v>0</v>
      </c>
      <c r="L5469" t="n">
        <v>0</v>
      </c>
      <c r="M5469" t="n">
        <v>0</v>
      </c>
      <c r="N5469" t="n">
        <v>0</v>
      </c>
      <c r="O5469" t="n">
        <v>0</v>
      </c>
      <c r="P5469" t="n">
        <v>0</v>
      </c>
      <c r="Q5469" t="n">
        <v>0</v>
      </c>
      <c r="R5469" s="2" t="inlineStr"/>
    </row>
    <row r="5470" ht="15" customHeight="1">
      <c r="A5470" t="inlineStr">
        <is>
          <t>A 45673-2024</t>
        </is>
      </c>
      <c r="B5470" s="1" t="n">
        <v>45579.51072916666</v>
      </c>
      <c r="C5470" s="1" t="n">
        <v>46093</v>
      </c>
      <c r="D5470" t="inlineStr">
        <is>
          <t>VÄSTERNORRLANDS LÄN</t>
        </is>
      </c>
      <c r="E5470" t="inlineStr">
        <is>
          <t>TIMRÅ</t>
        </is>
      </c>
      <c r="F5470" t="inlineStr">
        <is>
          <t>SCA</t>
        </is>
      </c>
      <c r="G5470" t="n">
        <v>2.3</v>
      </c>
      <c r="H5470" t="n">
        <v>0</v>
      </c>
      <c r="I5470" t="n">
        <v>0</v>
      </c>
      <c r="J5470" t="n">
        <v>0</v>
      </c>
      <c r="K5470" t="n">
        <v>0</v>
      </c>
      <c r="L5470" t="n">
        <v>0</v>
      </c>
      <c r="M5470" t="n">
        <v>0</v>
      </c>
      <c r="N5470" t="n">
        <v>0</v>
      </c>
      <c r="O5470" t="n">
        <v>0</v>
      </c>
      <c r="P5470" t="n">
        <v>0</v>
      </c>
      <c r="Q5470" t="n">
        <v>0</v>
      </c>
      <c r="R5470" s="2" t="inlineStr"/>
    </row>
    <row r="5471" ht="15" customHeight="1">
      <c r="A5471" t="inlineStr">
        <is>
          <t>A 20734-2022</t>
        </is>
      </c>
      <c r="B5471" s="1" t="n">
        <v>44700.94622685185</v>
      </c>
      <c r="C5471" s="1" t="n">
        <v>46093</v>
      </c>
      <c r="D5471" t="inlineStr">
        <is>
          <t>VÄSTERNORRLANDS LÄN</t>
        </is>
      </c>
      <c r="E5471" t="inlineStr">
        <is>
          <t>SUNDSVALL</t>
        </is>
      </c>
      <c r="F5471" t="inlineStr">
        <is>
          <t>SCA</t>
        </is>
      </c>
      <c r="G5471" t="n">
        <v>0.4</v>
      </c>
      <c r="H5471" t="n">
        <v>0</v>
      </c>
      <c r="I5471" t="n">
        <v>0</v>
      </c>
      <c r="J5471" t="n">
        <v>0</v>
      </c>
      <c r="K5471" t="n">
        <v>0</v>
      </c>
      <c r="L5471" t="n">
        <v>0</v>
      </c>
      <c r="M5471" t="n">
        <v>0</v>
      </c>
      <c r="N5471" t="n">
        <v>0</v>
      </c>
      <c r="O5471" t="n">
        <v>0</v>
      </c>
      <c r="P5471" t="n">
        <v>0</v>
      </c>
      <c r="Q5471" t="n">
        <v>0</v>
      </c>
      <c r="R5471" s="2" t="inlineStr"/>
    </row>
    <row r="5472" ht="15" customHeight="1">
      <c r="A5472" t="inlineStr">
        <is>
          <t>A 16519-2022</t>
        </is>
      </c>
      <c r="B5472" s="1" t="n">
        <v>44671.926875</v>
      </c>
      <c r="C5472" s="1" t="n">
        <v>46093</v>
      </c>
      <c r="D5472" t="inlineStr">
        <is>
          <t>VÄSTERNORRLANDS LÄN</t>
        </is>
      </c>
      <c r="E5472" t="inlineStr">
        <is>
          <t>TIMRÅ</t>
        </is>
      </c>
      <c r="G5472" t="n">
        <v>3</v>
      </c>
      <c r="H5472" t="n">
        <v>0</v>
      </c>
      <c r="I5472" t="n">
        <v>0</v>
      </c>
      <c r="J5472" t="n">
        <v>0</v>
      </c>
      <c r="K5472" t="n">
        <v>0</v>
      </c>
      <c r="L5472" t="n">
        <v>0</v>
      </c>
      <c r="M5472" t="n">
        <v>0</v>
      </c>
      <c r="N5472" t="n">
        <v>0</v>
      </c>
      <c r="O5472" t="n">
        <v>0</v>
      </c>
      <c r="P5472" t="n">
        <v>0</v>
      </c>
      <c r="Q5472" t="n">
        <v>0</v>
      </c>
      <c r="R5472" s="2" t="inlineStr"/>
    </row>
    <row r="5473" ht="15" customHeight="1">
      <c r="A5473" t="inlineStr">
        <is>
          <t>A 45874-2025</t>
        </is>
      </c>
      <c r="B5473" s="1" t="n">
        <v>45923.65667824074</v>
      </c>
      <c r="C5473" s="1" t="n">
        <v>46093</v>
      </c>
      <c r="D5473" t="inlineStr">
        <is>
          <t>VÄSTERNORRLANDS LÄN</t>
        </is>
      </c>
      <c r="E5473" t="inlineStr">
        <is>
          <t>SUNDSVALL</t>
        </is>
      </c>
      <c r="F5473" t="inlineStr">
        <is>
          <t>SCA</t>
        </is>
      </c>
      <c r="G5473" t="n">
        <v>16.3</v>
      </c>
      <c r="H5473" t="n">
        <v>0</v>
      </c>
      <c r="I5473" t="n">
        <v>0</v>
      </c>
      <c r="J5473" t="n">
        <v>0</v>
      </c>
      <c r="K5473" t="n">
        <v>0</v>
      </c>
      <c r="L5473" t="n">
        <v>0</v>
      </c>
      <c r="M5473" t="n">
        <v>0</v>
      </c>
      <c r="N5473" t="n">
        <v>0</v>
      </c>
      <c r="O5473" t="n">
        <v>0</v>
      </c>
      <c r="P5473" t="n">
        <v>0</v>
      </c>
      <c r="Q5473" t="n">
        <v>0</v>
      </c>
      <c r="R5473" s="2" t="inlineStr"/>
    </row>
    <row r="5474" ht="15" customHeight="1">
      <c r="A5474" t="inlineStr">
        <is>
          <t>A 1483-2023</t>
        </is>
      </c>
      <c r="B5474" s="1" t="n">
        <v>44937.46645833334</v>
      </c>
      <c r="C5474" s="1" t="n">
        <v>46093</v>
      </c>
      <c r="D5474" t="inlineStr">
        <is>
          <t>VÄSTERNORRLANDS LÄN</t>
        </is>
      </c>
      <c r="E5474" t="inlineStr">
        <is>
          <t>SUNDSVALL</t>
        </is>
      </c>
      <c r="G5474" t="n">
        <v>3</v>
      </c>
      <c r="H5474" t="n">
        <v>0</v>
      </c>
      <c r="I5474" t="n">
        <v>0</v>
      </c>
      <c r="J5474" t="n">
        <v>0</v>
      </c>
      <c r="K5474" t="n">
        <v>0</v>
      </c>
      <c r="L5474" t="n">
        <v>0</v>
      </c>
      <c r="M5474" t="n">
        <v>0</v>
      </c>
      <c r="N5474" t="n">
        <v>0</v>
      </c>
      <c r="O5474" t="n">
        <v>0</v>
      </c>
      <c r="P5474" t="n">
        <v>0</v>
      </c>
      <c r="Q5474" t="n">
        <v>0</v>
      </c>
      <c r="R5474" s="2" t="inlineStr"/>
    </row>
    <row r="5475" ht="15" customHeight="1">
      <c r="A5475" t="inlineStr">
        <is>
          <t>A 4623-2023</t>
        </is>
      </c>
      <c r="B5475" s="1" t="n">
        <v>44956.94013888889</v>
      </c>
      <c r="C5475" s="1" t="n">
        <v>46093</v>
      </c>
      <c r="D5475" t="inlineStr">
        <is>
          <t>VÄSTERNORRLANDS LÄN</t>
        </is>
      </c>
      <c r="E5475" t="inlineStr">
        <is>
          <t>SOLLEFTEÅ</t>
        </is>
      </c>
      <c r="F5475" t="inlineStr">
        <is>
          <t>SCA</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16558-2022</t>
        </is>
      </c>
      <c r="B5476" s="1" t="n">
        <v>44672</v>
      </c>
      <c r="C5476" s="1" t="n">
        <v>46093</v>
      </c>
      <c r="D5476" t="inlineStr">
        <is>
          <t>VÄSTERNORRLANDS LÄN</t>
        </is>
      </c>
      <c r="E5476" t="inlineStr">
        <is>
          <t>ÖRNSKÖLDSVIK</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64946-2023</t>
        </is>
      </c>
      <c r="B5477" s="1" t="n">
        <v>45282.94678240741</v>
      </c>
      <c r="C5477" s="1" t="n">
        <v>46093</v>
      </c>
      <c r="D5477" t="inlineStr">
        <is>
          <t>VÄSTERNORRLANDS LÄN</t>
        </is>
      </c>
      <c r="E5477" t="inlineStr">
        <is>
          <t>ÅNGE</t>
        </is>
      </c>
      <c r="F5477" t="inlineStr">
        <is>
          <t>SCA</t>
        </is>
      </c>
      <c r="G5477" t="n">
        <v>6.4</v>
      </c>
      <c r="H5477" t="n">
        <v>0</v>
      </c>
      <c r="I5477" t="n">
        <v>0</v>
      </c>
      <c r="J5477" t="n">
        <v>0</v>
      </c>
      <c r="K5477" t="n">
        <v>0</v>
      </c>
      <c r="L5477" t="n">
        <v>0</v>
      </c>
      <c r="M5477" t="n">
        <v>0</v>
      </c>
      <c r="N5477" t="n">
        <v>0</v>
      </c>
      <c r="O5477" t="n">
        <v>0</v>
      </c>
      <c r="P5477" t="n">
        <v>0</v>
      </c>
      <c r="Q5477" t="n">
        <v>0</v>
      </c>
      <c r="R5477" s="2" t="inlineStr"/>
    </row>
    <row r="5478" ht="15" customHeight="1">
      <c r="A5478" t="inlineStr">
        <is>
          <t>A 45660-2025</t>
        </is>
      </c>
      <c r="B5478" s="1" t="n">
        <v>45923.34494212963</v>
      </c>
      <c r="C5478" s="1" t="n">
        <v>46093</v>
      </c>
      <c r="D5478" t="inlineStr">
        <is>
          <t>VÄSTERNORRLANDS LÄN</t>
        </is>
      </c>
      <c r="E5478" t="inlineStr">
        <is>
          <t>ÅNGE</t>
        </is>
      </c>
      <c r="F5478" t="inlineStr">
        <is>
          <t>SCA</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45968-2025</t>
        </is>
      </c>
      <c r="B5479" s="1" t="n">
        <v>45924</v>
      </c>
      <c r="C5479" s="1" t="n">
        <v>46093</v>
      </c>
      <c r="D5479" t="inlineStr">
        <is>
          <t>VÄSTERNORRLANDS LÄN</t>
        </is>
      </c>
      <c r="E5479" t="inlineStr">
        <is>
          <t>SUNDSVALL</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49156-2024</t>
        </is>
      </c>
      <c r="B5480" s="1" t="n">
        <v>45594.834375</v>
      </c>
      <c r="C5480" s="1" t="n">
        <v>46093</v>
      </c>
      <c r="D5480" t="inlineStr">
        <is>
          <t>VÄSTERNORRLANDS LÄN</t>
        </is>
      </c>
      <c r="E5480" t="inlineStr">
        <is>
          <t>SOLLEFTEÅ</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7721-2023</t>
        </is>
      </c>
      <c r="B5481" s="1" t="n">
        <v>44972.94123842593</v>
      </c>
      <c r="C5481" s="1" t="n">
        <v>46093</v>
      </c>
      <c r="D5481" t="inlineStr">
        <is>
          <t>VÄSTERNORRLANDS LÄN</t>
        </is>
      </c>
      <c r="E5481" t="inlineStr">
        <is>
          <t>SOLLEFTEÅ</t>
        </is>
      </c>
      <c r="F5481" t="inlineStr">
        <is>
          <t>SCA</t>
        </is>
      </c>
      <c r="G5481" t="n">
        <v>3.7</v>
      </c>
      <c r="H5481" t="n">
        <v>0</v>
      </c>
      <c r="I5481" t="n">
        <v>0</v>
      </c>
      <c r="J5481" t="n">
        <v>0</v>
      </c>
      <c r="K5481" t="n">
        <v>0</v>
      </c>
      <c r="L5481" t="n">
        <v>0</v>
      </c>
      <c r="M5481" t="n">
        <v>0</v>
      </c>
      <c r="N5481" t="n">
        <v>0</v>
      </c>
      <c r="O5481" t="n">
        <v>0</v>
      </c>
      <c r="P5481" t="n">
        <v>0</v>
      </c>
      <c r="Q5481" t="n">
        <v>0</v>
      </c>
      <c r="R5481" s="2" t="inlineStr"/>
    </row>
    <row r="5482" ht="15" customHeight="1">
      <c r="A5482" t="inlineStr">
        <is>
          <t>A 45975-2025</t>
        </is>
      </c>
      <c r="B5482" s="1" t="n">
        <v>45924.36947916666</v>
      </c>
      <c r="C5482" s="1" t="n">
        <v>46093</v>
      </c>
      <c r="D5482" t="inlineStr">
        <is>
          <t>VÄSTERNORRLANDS LÄN</t>
        </is>
      </c>
      <c r="E5482" t="inlineStr">
        <is>
          <t>ÖRNSKÖLDSVIK</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45978-2025</t>
        </is>
      </c>
      <c r="B5483" s="1" t="n">
        <v>45924.37491898148</v>
      </c>
      <c r="C5483" s="1" t="n">
        <v>46093</v>
      </c>
      <c r="D5483" t="inlineStr">
        <is>
          <t>VÄSTERNORRLANDS LÄN</t>
        </is>
      </c>
      <c r="E5483" t="inlineStr">
        <is>
          <t>SOLLEFTEÅ</t>
        </is>
      </c>
      <c r="G5483" t="n">
        <v>4.9</v>
      </c>
      <c r="H5483" t="n">
        <v>0</v>
      </c>
      <c r="I5483" t="n">
        <v>0</v>
      </c>
      <c r="J5483" t="n">
        <v>0</v>
      </c>
      <c r="K5483" t="n">
        <v>0</v>
      </c>
      <c r="L5483" t="n">
        <v>0</v>
      </c>
      <c r="M5483" t="n">
        <v>0</v>
      </c>
      <c r="N5483" t="n">
        <v>0</v>
      </c>
      <c r="O5483" t="n">
        <v>0</v>
      </c>
      <c r="P5483" t="n">
        <v>0</v>
      </c>
      <c r="Q5483" t="n">
        <v>0</v>
      </c>
      <c r="R5483" s="2" t="inlineStr"/>
    </row>
    <row r="5484" ht="15" customHeight="1">
      <c r="A5484" t="inlineStr">
        <is>
          <t>A 46003-2025</t>
        </is>
      </c>
      <c r="B5484" s="1" t="n">
        <v>45924.40726851852</v>
      </c>
      <c r="C5484" s="1" t="n">
        <v>46093</v>
      </c>
      <c r="D5484" t="inlineStr">
        <is>
          <t>VÄSTERNORRLANDS LÄN</t>
        </is>
      </c>
      <c r="E5484" t="inlineStr">
        <is>
          <t>SOLLEFTEÅ</t>
        </is>
      </c>
      <c r="F5484" t="inlineStr">
        <is>
          <t>SCA</t>
        </is>
      </c>
      <c r="G5484" t="n">
        <v>6.3</v>
      </c>
      <c r="H5484" t="n">
        <v>0</v>
      </c>
      <c r="I5484" t="n">
        <v>0</v>
      </c>
      <c r="J5484" t="n">
        <v>0</v>
      </c>
      <c r="K5484" t="n">
        <v>0</v>
      </c>
      <c r="L5484" t="n">
        <v>0</v>
      </c>
      <c r="M5484" t="n">
        <v>0</v>
      </c>
      <c r="N5484" t="n">
        <v>0</v>
      </c>
      <c r="O5484" t="n">
        <v>0</v>
      </c>
      <c r="P5484" t="n">
        <v>0</v>
      </c>
      <c r="Q5484" t="n">
        <v>0</v>
      </c>
      <c r="R5484" s="2" t="inlineStr"/>
    </row>
    <row r="5485" ht="15" customHeight="1">
      <c r="A5485" t="inlineStr">
        <is>
          <t>A 46010-2025</t>
        </is>
      </c>
      <c r="B5485" s="1" t="n">
        <v>45924.41118055556</v>
      </c>
      <c r="C5485" s="1" t="n">
        <v>46093</v>
      </c>
      <c r="D5485" t="inlineStr">
        <is>
          <t>VÄSTERNORRLANDS LÄN</t>
        </is>
      </c>
      <c r="E5485" t="inlineStr">
        <is>
          <t>HÄRNÖSAND</t>
        </is>
      </c>
      <c r="G5485" t="n">
        <v>4.9</v>
      </c>
      <c r="H5485" t="n">
        <v>0</v>
      </c>
      <c r="I5485" t="n">
        <v>0</v>
      </c>
      <c r="J5485" t="n">
        <v>0</v>
      </c>
      <c r="K5485" t="n">
        <v>0</v>
      </c>
      <c r="L5485" t="n">
        <v>0</v>
      </c>
      <c r="M5485" t="n">
        <v>0</v>
      </c>
      <c r="N5485" t="n">
        <v>0</v>
      </c>
      <c r="O5485" t="n">
        <v>0</v>
      </c>
      <c r="P5485" t="n">
        <v>0</v>
      </c>
      <c r="Q5485" t="n">
        <v>0</v>
      </c>
      <c r="R5485" s="2" t="inlineStr"/>
    </row>
    <row r="5486" ht="15" customHeight="1">
      <c r="A5486" t="inlineStr">
        <is>
          <t>A 46030-2025</t>
        </is>
      </c>
      <c r="B5486" s="1" t="n">
        <v>45924.44329861111</v>
      </c>
      <c r="C5486" s="1" t="n">
        <v>46093</v>
      </c>
      <c r="D5486" t="inlineStr">
        <is>
          <t>VÄSTERNORRLANDS LÄN</t>
        </is>
      </c>
      <c r="E5486" t="inlineStr">
        <is>
          <t>ÖRNSKÖLDSVIK</t>
        </is>
      </c>
      <c r="F5486" t="inlineStr">
        <is>
          <t>Holmen skog AB</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46174-2025</t>
        </is>
      </c>
      <c r="B5487" s="1" t="n">
        <v>45924.64704861111</v>
      </c>
      <c r="C5487" s="1" t="n">
        <v>46093</v>
      </c>
      <c r="D5487" t="inlineStr">
        <is>
          <t>VÄSTERNORRLANDS LÄN</t>
        </is>
      </c>
      <c r="E5487" t="inlineStr">
        <is>
          <t>SOLLEFTEÅ</t>
        </is>
      </c>
      <c r="F5487" t="inlineStr">
        <is>
          <t>Holmen skog AB</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46187-2025</t>
        </is>
      </c>
      <c r="B5488" s="1" t="n">
        <v>45924.66307870371</v>
      </c>
      <c r="C5488" s="1" t="n">
        <v>46093</v>
      </c>
      <c r="D5488" t="inlineStr">
        <is>
          <t>VÄSTERNORRLANDS LÄN</t>
        </is>
      </c>
      <c r="E5488" t="inlineStr">
        <is>
          <t>SUNDSVALL</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10503-2025</t>
        </is>
      </c>
      <c r="B5489" s="1" t="n">
        <v>45721.38605324074</v>
      </c>
      <c r="C5489" s="1" t="n">
        <v>46093</v>
      </c>
      <c r="D5489" t="inlineStr">
        <is>
          <t>VÄSTERNORRLANDS LÄN</t>
        </is>
      </c>
      <c r="E5489" t="inlineStr">
        <is>
          <t>KRAMFORS</t>
        </is>
      </c>
      <c r="F5489" t="inlineStr">
        <is>
          <t>SCA</t>
        </is>
      </c>
      <c r="G5489" t="n">
        <v>2.1</v>
      </c>
      <c r="H5489" t="n">
        <v>0</v>
      </c>
      <c r="I5489" t="n">
        <v>0</v>
      </c>
      <c r="J5489" t="n">
        <v>0</v>
      </c>
      <c r="K5489" t="n">
        <v>0</v>
      </c>
      <c r="L5489" t="n">
        <v>0</v>
      </c>
      <c r="M5489" t="n">
        <v>0</v>
      </c>
      <c r="N5489" t="n">
        <v>0</v>
      </c>
      <c r="O5489" t="n">
        <v>0</v>
      </c>
      <c r="P5489" t="n">
        <v>0</v>
      </c>
      <c r="Q5489" t="n">
        <v>0</v>
      </c>
      <c r="R5489" s="2" t="inlineStr"/>
    </row>
    <row r="5490" ht="15" customHeight="1">
      <c r="A5490" t="inlineStr">
        <is>
          <t>A 51103-2023</t>
        </is>
      </c>
      <c r="B5490" s="1" t="n">
        <v>45218.92510416666</v>
      </c>
      <c r="C5490" s="1" t="n">
        <v>46093</v>
      </c>
      <c r="D5490" t="inlineStr">
        <is>
          <t>VÄSTERNORRLANDS LÄN</t>
        </is>
      </c>
      <c r="E5490" t="inlineStr">
        <is>
          <t>SUNDSVALL</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51104-2023</t>
        </is>
      </c>
      <c r="B5491" s="1" t="n">
        <v>45218</v>
      </c>
      <c r="C5491" s="1" t="n">
        <v>46093</v>
      </c>
      <c r="D5491" t="inlineStr">
        <is>
          <t>VÄSTERNORRLANDS LÄN</t>
        </is>
      </c>
      <c r="E5491" t="inlineStr">
        <is>
          <t>SUNDSVALL</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26658-2023</t>
        </is>
      </c>
      <c r="B5492" s="1" t="n">
        <v>45092.94011574074</v>
      </c>
      <c r="C5492" s="1" t="n">
        <v>46093</v>
      </c>
      <c r="D5492" t="inlineStr">
        <is>
          <t>VÄSTERNORRLANDS LÄN</t>
        </is>
      </c>
      <c r="E5492" t="inlineStr">
        <is>
          <t>ÖRNSKÖLDSVIK</t>
        </is>
      </c>
      <c r="F5492" t="inlineStr">
        <is>
          <t>SCA</t>
        </is>
      </c>
      <c r="G5492" t="n">
        <v>4.5</v>
      </c>
      <c r="H5492" t="n">
        <v>0</v>
      </c>
      <c r="I5492" t="n">
        <v>0</v>
      </c>
      <c r="J5492" t="n">
        <v>0</v>
      </c>
      <c r="K5492" t="n">
        <v>0</v>
      </c>
      <c r="L5492" t="n">
        <v>0</v>
      </c>
      <c r="M5492" t="n">
        <v>0</v>
      </c>
      <c r="N5492" t="n">
        <v>0</v>
      </c>
      <c r="O5492" t="n">
        <v>0</v>
      </c>
      <c r="P5492" t="n">
        <v>0</v>
      </c>
      <c r="Q5492" t="n">
        <v>0</v>
      </c>
      <c r="R5492" s="2" t="inlineStr"/>
    </row>
    <row r="5493" ht="15" customHeight="1">
      <c r="A5493" t="inlineStr">
        <is>
          <t>A 46111-2025</t>
        </is>
      </c>
      <c r="B5493" s="1" t="n">
        <v>45924.56684027778</v>
      </c>
      <c r="C5493" s="1" t="n">
        <v>46093</v>
      </c>
      <c r="D5493" t="inlineStr">
        <is>
          <t>VÄSTERNORRLANDS LÄN</t>
        </is>
      </c>
      <c r="E5493" t="inlineStr">
        <is>
          <t>ÅNGE</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20101-2025</t>
        </is>
      </c>
      <c r="B5494" s="1" t="n">
        <v>45772</v>
      </c>
      <c r="C5494" s="1" t="n">
        <v>46093</v>
      </c>
      <c r="D5494" t="inlineStr">
        <is>
          <t>VÄSTERNORRLANDS LÄN</t>
        </is>
      </c>
      <c r="E5494" t="inlineStr">
        <is>
          <t>SOLLEFTEÅ</t>
        </is>
      </c>
      <c r="F5494" t="inlineStr">
        <is>
          <t>SCA</t>
        </is>
      </c>
      <c r="G5494" t="n">
        <v>13.5</v>
      </c>
      <c r="H5494" t="n">
        <v>0</v>
      </c>
      <c r="I5494" t="n">
        <v>0</v>
      </c>
      <c r="J5494" t="n">
        <v>0</v>
      </c>
      <c r="K5494" t="n">
        <v>0</v>
      </c>
      <c r="L5494" t="n">
        <v>0</v>
      </c>
      <c r="M5494" t="n">
        <v>0</v>
      </c>
      <c r="N5494" t="n">
        <v>0</v>
      </c>
      <c r="O5494" t="n">
        <v>0</v>
      </c>
      <c r="P5494" t="n">
        <v>0</v>
      </c>
      <c r="Q5494" t="n">
        <v>0</v>
      </c>
      <c r="R5494" s="2" t="inlineStr"/>
    </row>
    <row r="5495" ht="15" customHeight="1">
      <c r="A5495" t="inlineStr">
        <is>
          <t>A 48038-2024</t>
        </is>
      </c>
      <c r="B5495" s="1" t="n">
        <v>45589.49350694445</v>
      </c>
      <c r="C5495" s="1" t="n">
        <v>46093</v>
      </c>
      <c r="D5495" t="inlineStr">
        <is>
          <t>VÄSTERNORRLANDS LÄN</t>
        </is>
      </c>
      <c r="E5495" t="inlineStr">
        <is>
          <t>SOLLEFTEÅ</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46082-2025</t>
        </is>
      </c>
      <c r="B5496" s="1" t="n">
        <v>45924.51133101852</v>
      </c>
      <c r="C5496" s="1" t="n">
        <v>46093</v>
      </c>
      <c r="D5496" t="inlineStr">
        <is>
          <t>VÄSTERNORRLANDS LÄN</t>
        </is>
      </c>
      <c r="E5496" t="inlineStr">
        <is>
          <t>ÖRNSKÖLDSVIK</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45997-2025</t>
        </is>
      </c>
      <c r="B5497" s="1" t="n">
        <v>45924</v>
      </c>
      <c r="C5497" s="1" t="n">
        <v>46093</v>
      </c>
      <c r="D5497" t="inlineStr">
        <is>
          <t>VÄSTERNORRLANDS LÄN</t>
        </is>
      </c>
      <c r="E5497" t="inlineStr">
        <is>
          <t>HÄRNÖSAND</t>
        </is>
      </c>
      <c r="G5497" t="n">
        <v>6.6</v>
      </c>
      <c r="H5497" t="n">
        <v>0</v>
      </c>
      <c r="I5497" t="n">
        <v>0</v>
      </c>
      <c r="J5497" t="n">
        <v>0</v>
      </c>
      <c r="K5497" t="n">
        <v>0</v>
      </c>
      <c r="L5497" t="n">
        <v>0</v>
      </c>
      <c r="M5497" t="n">
        <v>0</v>
      </c>
      <c r="N5497" t="n">
        <v>0</v>
      </c>
      <c r="O5497" t="n">
        <v>0</v>
      </c>
      <c r="P5497" t="n">
        <v>0</v>
      </c>
      <c r="Q5497" t="n">
        <v>0</v>
      </c>
      <c r="R5497" s="2" t="inlineStr"/>
    </row>
    <row r="5498" ht="15" customHeight="1">
      <c r="A5498" t="inlineStr">
        <is>
          <t>A 46016-2025</t>
        </is>
      </c>
      <c r="B5498" s="1" t="n">
        <v>45924.42755787037</v>
      </c>
      <c r="C5498" s="1" t="n">
        <v>46093</v>
      </c>
      <c r="D5498" t="inlineStr">
        <is>
          <t>VÄSTERNORRLANDS LÄN</t>
        </is>
      </c>
      <c r="E5498" t="inlineStr">
        <is>
          <t>TIMRÅ</t>
        </is>
      </c>
      <c r="F5498" t="inlineStr">
        <is>
          <t>SCA</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45653-2025</t>
        </is>
      </c>
      <c r="B5499" s="1" t="n">
        <v>45923.33116898148</v>
      </c>
      <c r="C5499" s="1" t="n">
        <v>46093</v>
      </c>
      <c r="D5499" t="inlineStr">
        <is>
          <t>VÄSTERNORRLANDS LÄN</t>
        </is>
      </c>
      <c r="E5499" t="inlineStr">
        <is>
          <t>ÖRNSKÖLDSVIK</t>
        </is>
      </c>
      <c r="G5499" t="n">
        <v>2.6</v>
      </c>
      <c r="H5499" t="n">
        <v>0</v>
      </c>
      <c r="I5499" t="n">
        <v>0</v>
      </c>
      <c r="J5499" t="n">
        <v>0</v>
      </c>
      <c r="K5499" t="n">
        <v>0</v>
      </c>
      <c r="L5499" t="n">
        <v>0</v>
      </c>
      <c r="M5499" t="n">
        <v>0</v>
      </c>
      <c r="N5499" t="n">
        <v>0</v>
      </c>
      <c r="O5499" t="n">
        <v>0</v>
      </c>
      <c r="P5499" t="n">
        <v>0</v>
      </c>
      <c r="Q5499" t="n">
        <v>0</v>
      </c>
      <c r="R5499" s="2" t="inlineStr"/>
    </row>
    <row r="5500" ht="15" customHeight="1">
      <c r="A5500" t="inlineStr">
        <is>
          <t>A 56723-2022</t>
        </is>
      </c>
      <c r="B5500" s="1" t="n">
        <v>44893.9297337963</v>
      </c>
      <c r="C5500" s="1" t="n">
        <v>46093</v>
      </c>
      <c r="D5500" t="inlineStr">
        <is>
          <t>VÄSTERNORRLANDS LÄN</t>
        </is>
      </c>
      <c r="E5500" t="inlineStr">
        <is>
          <t>TIMRÅ</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46048-2025</t>
        </is>
      </c>
      <c r="B5501" s="1" t="n">
        <v>45924</v>
      </c>
      <c r="C5501" s="1" t="n">
        <v>46093</v>
      </c>
      <c r="D5501" t="inlineStr">
        <is>
          <t>VÄSTERNORRLANDS LÄN</t>
        </is>
      </c>
      <c r="E5501" t="inlineStr">
        <is>
          <t>ÖRNSKÖLDSVIK</t>
        </is>
      </c>
      <c r="G5501" t="n">
        <v>3.5</v>
      </c>
      <c r="H5501" t="n">
        <v>0</v>
      </c>
      <c r="I5501" t="n">
        <v>0</v>
      </c>
      <c r="J5501" t="n">
        <v>0</v>
      </c>
      <c r="K5501" t="n">
        <v>0</v>
      </c>
      <c r="L5501" t="n">
        <v>0</v>
      </c>
      <c r="M5501" t="n">
        <v>0</v>
      </c>
      <c r="N5501" t="n">
        <v>0</v>
      </c>
      <c r="O5501" t="n">
        <v>0</v>
      </c>
      <c r="P5501" t="n">
        <v>0</v>
      </c>
      <c r="Q5501" t="n">
        <v>0</v>
      </c>
      <c r="R5501" s="2" t="inlineStr"/>
    </row>
    <row r="5502" ht="15" customHeight="1">
      <c r="A5502" t="inlineStr">
        <is>
          <t>A 56753-2022</t>
        </is>
      </c>
      <c r="B5502" s="1" t="n">
        <v>44894</v>
      </c>
      <c r="C5502" s="1" t="n">
        <v>46093</v>
      </c>
      <c r="D5502" t="inlineStr">
        <is>
          <t>VÄSTERNORRLANDS LÄN</t>
        </is>
      </c>
      <c r="E5502" t="inlineStr">
        <is>
          <t>KRAMFORS</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46066-2025</t>
        </is>
      </c>
      <c r="B5503" s="1" t="n">
        <v>45924.48576388889</v>
      </c>
      <c r="C5503" s="1" t="n">
        <v>46093</v>
      </c>
      <c r="D5503" t="inlineStr">
        <is>
          <t>VÄSTERNORRLANDS LÄN</t>
        </is>
      </c>
      <c r="E5503" t="inlineStr">
        <is>
          <t>ÖRNSKÖLDSVIK</t>
        </is>
      </c>
      <c r="F5503" t="inlineStr">
        <is>
          <t>Holmen skog AB</t>
        </is>
      </c>
      <c r="G5503" t="n">
        <v>17.2</v>
      </c>
      <c r="H5503" t="n">
        <v>0</v>
      </c>
      <c r="I5503" t="n">
        <v>0</v>
      </c>
      <c r="J5503" t="n">
        <v>0</v>
      </c>
      <c r="K5503" t="n">
        <v>0</v>
      </c>
      <c r="L5503" t="n">
        <v>0</v>
      </c>
      <c r="M5503" t="n">
        <v>0</v>
      </c>
      <c r="N5503" t="n">
        <v>0</v>
      </c>
      <c r="O5503" t="n">
        <v>0</v>
      </c>
      <c r="P5503" t="n">
        <v>0</v>
      </c>
      <c r="Q5503" t="n">
        <v>0</v>
      </c>
      <c r="R5503" s="2" t="inlineStr"/>
    </row>
    <row r="5504" ht="15" customHeight="1">
      <c r="A5504" t="inlineStr">
        <is>
          <t>A 55439-2024</t>
        </is>
      </c>
      <c r="B5504" s="1" t="n">
        <v>45622.40663194445</v>
      </c>
      <c r="C5504" s="1" t="n">
        <v>46093</v>
      </c>
      <c r="D5504" t="inlineStr">
        <is>
          <t>VÄSTERNORRLANDS LÄN</t>
        </is>
      </c>
      <c r="E5504" t="inlineStr">
        <is>
          <t>SOLLEFTEÅ</t>
        </is>
      </c>
      <c r="F5504" t="inlineStr">
        <is>
          <t>SCA</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46105-2025</t>
        </is>
      </c>
      <c r="B5505" s="1" t="n">
        <v>45924.55243055556</v>
      </c>
      <c r="C5505" s="1" t="n">
        <v>46093</v>
      </c>
      <c r="D5505" t="inlineStr">
        <is>
          <t>VÄSTERNORRLANDS LÄN</t>
        </is>
      </c>
      <c r="E5505" t="inlineStr">
        <is>
          <t>ÖRNSKÖLDSVIK</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46109-2025</t>
        </is>
      </c>
      <c r="B5506" s="1" t="n">
        <v>45924.5596412037</v>
      </c>
      <c r="C5506" s="1" t="n">
        <v>46093</v>
      </c>
      <c r="D5506" t="inlineStr">
        <is>
          <t>VÄSTERNORRLANDS LÄN</t>
        </is>
      </c>
      <c r="E5506" t="inlineStr">
        <is>
          <t>ÅNGE</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45840-2025</t>
        </is>
      </c>
      <c r="B5507" s="1" t="n">
        <v>45923.61502314815</v>
      </c>
      <c r="C5507" s="1" t="n">
        <v>46093</v>
      </c>
      <c r="D5507" t="inlineStr">
        <is>
          <t>VÄSTERNORRLANDS LÄN</t>
        </is>
      </c>
      <c r="E5507" t="inlineStr">
        <is>
          <t>SUNDSVALL</t>
        </is>
      </c>
      <c r="F5507" t="inlineStr">
        <is>
          <t>SCA</t>
        </is>
      </c>
      <c r="G5507" t="n">
        <v>0.3</v>
      </c>
      <c r="H5507" t="n">
        <v>0</v>
      </c>
      <c r="I5507" t="n">
        <v>0</v>
      </c>
      <c r="J5507" t="n">
        <v>0</v>
      </c>
      <c r="K5507" t="n">
        <v>0</v>
      </c>
      <c r="L5507" t="n">
        <v>0</v>
      </c>
      <c r="M5507" t="n">
        <v>0</v>
      </c>
      <c r="N5507" t="n">
        <v>0</v>
      </c>
      <c r="O5507" t="n">
        <v>0</v>
      </c>
      <c r="P5507" t="n">
        <v>0</v>
      </c>
      <c r="Q5507" t="n">
        <v>0</v>
      </c>
      <c r="R5507" s="2" t="inlineStr"/>
    </row>
    <row r="5508" ht="15" customHeight="1">
      <c r="A5508" t="inlineStr">
        <is>
          <t>A 45843-2025</t>
        </is>
      </c>
      <c r="B5508" s="1" t="n">
        <v>45923.61541666667</v>
      </c>
      <c r="C5508" s="1" t="n">
        <v>46093</v>
      </c>
      <c r="D5508" t="inlineStr">
        <is>
          <t>VÄSTERNORRLANDS LÄN</t>
        </is>
      </c>
      <c r="E5508" t="inlineStr">
        <is>
          <t>SOLLEFTEÅ</t>
        </is>
      </c>
      <c r="F5508" t="inlineStr">
        <is>
          <t>SCA</t>
        </is>
      </c>
      <c r="G5508" t="n">
        <v>2.7</v>
      </c>
      <c r="H5508" t="n">
        <v>0</v>
      </c>
      <c r="I5508" t="n">
        <v>0</v>
      </c>
      <c r="J5508" t="n">
        <v>0</v>
      </c>
      <c r="K5508" t="n">
        <v>0</v>
      </c>
      <c r="L5508" t="n">
        <v>0</v>
      </c>
      <c r="M5508" t="n">
        <v>0</v>
      </c>
      <c r="N5508" t="n">
        <v>0</v>
      </c>
      <c r="O5508" t="n">
        <v>0</v>
      </c>
      <c r="P5508" t="n">
        <v>0</v>
      </c>
      <c r="Q5508" t="n">
        <v>0</v>
      </c>
      <c r="R5508" s="2" t="inlineStr"/>
    </row>
    <row r="5509" ht="15" customHeight="1">
      <c r="A5509" t="inlineStr">
        <is>
          <t>A 45846-2025</t>
        </is>
      </c>
      <c r="B5509" s="1" t="n">
        <v>45923.61597222222</v>
      </c>
      <c r="C5509" s="1" t="n">
        <v>46093</v>
      </c>
      <c r="D5509" t="inlineStr">
        <is>
          <t>VÄSTERNORRLANDS LÄN</t>
        </is>
      </c>
      <c r="E5509" t="inlineStr">
        <is>
          <t>SUNDSVALL</t>
        </is>
      </c>
      <c r="F5509" t="inlineStr">
        <is>
          <t>SCA</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3696-2025</t>
        </is>
      </c>
      <c r="B5510" s="1" t="n">
        <v>45681</v>
      </c>
      <c r="C5510" s="1" t="n">
        <v>46093</v>
      </c>
      <c r="D5510" t="inlineStr">
        <is>
          <t>VÄSTERNORRLANDS LÄN</t>
        </is>
      </c>
      <c r="E5510" t="inlineStr">
        <is>
          <t>SUNDSVALL</t>
        </is>
      </c>
      <c r="F5510" t="inlineStr">
        <is>
          <t>SCA</t>
        </is>
      </c>
      <c r="G5510" t="n">
        <v>2.5</v>
      </c>
      <c r="H5510" t="n">
        <v>0</v>
      </c>
      <c r="I5510" t="n">
        <v>0</v>
      </c>
      <c r="J5510" t="n">
        <v>0</v>
      </c>
      <c r="K5510" t="n">
        <v>0</v>
      </c>
      <c r="L5510" t="n">
        <v>0</v>
      </c>
      <c r="M5510" t="n">
        <v>0</v>
      </c>
      <c r="N5510" t="n">
        <v>0</v>
      </c>
      <c r="O5510" t="n">
        <v>0</v>
      </c>
      <c r="P5510" t="n">
        <v>0</v>
      </c>
      <c r="Q5510" t="n">
        <v>0</v>
      </c>
      <c r="R5510" s="2" t="inlineStr"/>
    </row>
    <row r="5511" ht="15" customHeight="1">
      <c r="A5511" t="inlineStr">
        <is>
          <t>A 45990-2025</t>
        </is>
      </c>
      <c r="B5511" s="1" t="n">
        <v>45924</v>
      </c>
      <c r="C5511" s="1" t="n">
        <v>46093</v>
      </c>
      <c r="D5511" t="inlineStr">
        <is>
          <t>VÄSTERNORRLANDS LÄN</t>
        </is>
      </c>
      <c r="E5511" t="inlineStr">
        <is>
          <t>HÄRNÖSAND</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42728-2021</t>
        </is>
      </c>
      <c r="B5512" s="1" t="n">
        <v>44428.59997685185</v>
      </c>
      <c r="C5512" s="1" t="n">
        <v>46093</v>
      </c>
      <c r="D5512" t="inlineStr">
        <is>
          <t>VÄSTERNORRLANDS LÄN</t>
        </is>
      </c>
      <c r="E5512" t="inlineStr">
        <is>
          <t>SUNDSVALL</t>
        </is>
      </c>
      <c r="G5512" t="n">
        <v>3.6</v>
      </c>
      <c r="H5512" t="n">
        <v>0</v>
      </c>
      <c r="I5512" t="n">
        <v>0</v>
      </c>
      <c r="J5512" t="n">
        <v>0</v>
      </c>
      <c r="K5512" t="n">
        <v>0</v>
      </c>
      <c r="L5512" t="n">
        <v>0</v>
      </c>
      <c r="M5512" t="n">
        <v>0</v>
      </c>
      <c r="N5512" t="n">
        <v>0</v>
      </c>
      <c r="O5512" t="n">
        <v>0</v>
      </c>
      <c r="P5512" t="n">
        <v>0</v>
      </c>
      <c r="Q5512" t="n">
        <v>0</v>
      </c>
      <c r="R5512" s="2" t="inlineStr"/>
    </row>
    <row r="5513" ht="15" customHeight="1">
      <c r="A5513" t="inlineStr">
        <is>
          <t>A 34905-2024</t>
        </is>
      </c>
      <c r="B5513" s="1" t="n">
        <v>45527</v>
      </c>
      <c r="C5513" s="1" t="n">
        <v>46093</v>
      </c>
      <c r="D5513" t="inlineStr">
        <is>
          <t>VÄSTERNORRLANDS LÄN</t>
        </is>
      </c>
      <c r="E5513" t="inlineStr">
        <is>
          <t>ÖRNSKÖLDSVIK</t>
        </is>
      </c>
      <c r="F5513" t="inlineStr">
        <is>
          <t>Holmen skog AB</t>
        </is>
      </c>
      <c r="G5513" t="n">
        <v>3.7</v>
      </c>
      <c r="H5513" t="n">
        <v>0</v>
      </c>
      <c r="I5513" t="n">
        <v>0</v>
      </c>
      <c r="J5513" t="n">
        <v>0</v>
      </c>
      <c r="K5513" t="n">
        <v>0</v>
      </c>
      <c r="L5513" t="n">
        <v>0</v>
      </c>
      <c r="M5513" t="n">
        <v>0</v>
      </c>
      <c r="N5513" t="n">
        <v>0</v>
      </c>
      <c r="O5513" t="n">
        <v>0</v>
      </c>
      <c r="P5513" t="n">
        <v>0</v>
      </c>
      <c r="Q5513" t="n">
        <v>0</v>
      </c>
      <c r="R5513" s="2" t="inlineStr"/>
    </row>
    <row r="5514" ht="15" customHeight="1">
      <c r="A5514" t="inlineStr">
        <is>
          <t>A 3699-2025</t>
        </is>
      </c>
      <c r="B5514" s="1" t="n">
        <v>45681.47428240741</v>
      </c>
      <c r="C5514" s="1" t="n">
        <v>46093</v>
      </c>
      <c r="D5514" t="inlineStr">
        <is>
          <t>VÄSTERNORRLANDS LÄN</t>
        </is>
      </c>
      <c r="E5514" t="inlineStr">
        <is>
          <t>KRAMFORS</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44011-2024</t>
        </is>
      </c>
      <c r="B5515" s="1" t="n">
        <v>45572.55322916667</v>
      </c>
      <c r="C5515" s="1" t="n">
        <v>46093</v>
      </c>
      <c r="D5515" t="inlineStr">
        <is>
          <t>VÄSTERNORRLANDS LÄN</t>
        </is>
      </c>
      <c r="E5515" t="inlineStr">
        <is>
          <t>TIMRÅ</t>
        </is>
      </c>
      <c r="G5515" t="n">
        <v>7.6</v>
      </c>
      <c r="H5515" t="n">
        <v>0</v>
      </c>
      <c r="I5515" t="n">
        <v>0</v>
      </c>
      <c r="J5515" t="n">
        <v>0</v>
      </c>
      <c r="K5515" t="n">
        <v>0</v>
      </c>
      <c r="L5515" t="n">
        <v>0</v>
      </c>
      <c r="M5515" t="n">
        <v>0</v>
      </c>
      <c r="N5515" t="n">
        <v>0</v>
      </c>
      <c r="O5515" t="n">
        <v>0</v>
      </c>
      <c r="P5515" t="n">
        <v>0</v>
      </c>
      <c r="Q5515" t="n">
        <v>0</v>
      </c>
      <c r="R5515" s="2" t="inlineStr"/>
    </row>
    <row r="5516" ht="15" customHeight="1">
      <c r="A5516" t="inlineStr">
        <is>
          <t>A 4236-2025</t>
        </is>
      </c>
      <c r="B5516" s="1" t="n">
        <v>45685.56534722223</v>
      </c>
      <c r="C5516" s="1" t="n">
        <v>46093</v>
      </c>
      <c r="D5516" t="inlineStr">
        <is>
          <t>VÄSTERNORRLANDS LÄN</t>
        </is>
      </c>
      <c r="E5516" t="inlineStr">
        <is>
          <t>ÅNGE</t>
        </is>
      </c>
      <c r="G5516" t="n">
        <v>2.4</v>
      </c>
      <c r="H5516" t="n">
        <v>0</v>
      </c>
      <c r="I5516" t="n">
        <v>0</v>
      </c>
      <c r="J5516" t="n">
        <v>0</v>
      </c>
      <c r="K5516" t="n">
        <v>0</v>
      </c>
      <c r="L5516" t="n">
        <v>0</v>
      </c>
      <c r="M5516" t="n">
        <v>0</v>
      </c>
      <c r="N5516" t="n">
        <v>0</v>
      </c>
      <c r="O5516" t="n">
        <v>0</v>
      </c>
      <c r="P5516" t="n">
        <v>0</v>
      </c>
      <c r="Q5516" t="n">
        <v>0</v>
      </c>
      <c r="R5516" s="2" t="inlineStr"/>
    </row>
    <row r="5517" ht="15" customHeight="1">
      <c r="A5517" t="inlineStr">
        <is>
          <t>A 40232-2023</t>
        </is>
      </c>
      <c r="B5517" s="1" t="n">
        <v>45168</v>
      </c>
      <c r="C5517" s="1" t="n">
        <v>46093</v>
      </c>
      <c r="D5517" t="inlineStr">
        <is>
          <t>VÄSTERNORRLANDS LÄN</t>
        </is>
      </c>
      <c r="E5517" t="inlineStr">
        <is>
          <t>HÄRNÖSAND</t>
        </is>
      </c>
      <c r="G5517" t="n">
        <v>2.8</v>
      </c>
      <c r="H5517" t="n">
        <v>0</v>
      </c>
      <c r="I5517" t="n">
        <v>0</v>
      </c>
      <c r="J5517" t="n">
        <v>0</v>
      </c>
      <c r="K5517" t="n">
        <v>0</v>
      </c>
      <c r="L5517" t="n">
        <v>0</v>
      </c>
      <c r="M5517" t="n">
        <v>0</v>
      </c>
      <c r="N5517" t="n">
        <v>0</v>
      </c>
      <c r="O5517" t="n">
        <v>0</v>
      </c>
      <c r="P5517" t="n">
        <v>0</v>
      </c>
      <c r="Q5517" t="n">
        <v>0</v>
      </c>
      <c r="R5517" s="2" t="inlineStr"/>
    </row>
    <row r="5518" ht="15" customHeight="1">
      <c r="A5518" t="inlineStr">
        <is>
          <t>A 46146-2025</t>
        </is>
      </c>
      <c r="B5518" s="1" t="n">
        <v>45924.60825231481</v>
      </c>
      <c r="C5518" s="1" t="n">
        <v>46093</v>
      </c>
      <c r="D5518" t="inlineStr">
        <is>
          <t>VÄSTERNORRLANDS LÄN</t>
        </is>
      </c>
      <c r="E5518" t="inlineStr">
        <is>
          <t>ÖRNSKÖLDSVIK</t>
        </is>
      </c>
      <c r="F5518" t="inlineStr">
        <is>
          <t>Holmen skog AB</t>
        </is>
      </c>
      <c r="G5518" t="n">
        <v>28.7</v>
      </c>
      <c r="H5518" t="n">
        <v>0</v>
      </c>
      <c r="I5518" t="n">
        <v>0</v>
      </c>
      <c r="J5518" t="n">
        <v>0</v>
      </c>
      <c r="K5518" t="n">
        <v>0</v>
      </c>
      <c r="L5518" t="n">
        <v>0</v>
      </c>
      <c r="M5518" t="n">
        <v>0</v>
      </c>
      <c r="N5518" t="n">
        <v>0</v>
      </c>
      <c r="O5518" t="n">
        <v>0</v>
      </c>
      <c r="P5518" t="n">
        <v>0</v>
      </c>
      <c r="Q5518" t="n">
        <v>0</v>
      </c>
      <c r="R5518" s="2" t="inlineStr"/>
    </row>
    <row r="5519" ht="15" customHeight="1">
      <c r="A5519" t="inlineStr">
        <is>
          <t>A 46037-2025</t>
        </is>
      </c>
      <c r="B5519" s="1" t="n">
        <v>45924.44836805556</v>
      </c>
      <c r="C5519" s="1" t="n">
        <v>46093</v>
      </c>
      <c r="D5519" t="inlineStr">
        <is>
          <t>VÄSTERNORRLANDS LÄN</t>
        </is>
      </c>
      <c r="E5519" t="inlineStr">
        <is>
          <t>SOLLEFTEÅ</t>
        </is>
      </c>
      <c r="F5519" t="inlineStr">
        <is>
          <t>SCA</t>
        </is>
      </c>
      <c r="G5519" t="n">
        <v>4.9</v>
      </c>
      <c r="H5519" t="n">
        <v>0</v>
      </c>
      <c r="I5519" t="n">
        <v>0</v>
      </c>
      <c r="J5519" t="n">
        <v>0</v>
      </c>
      <c r="K5519" t="n">
        <v>0</v>
      </c>
      <c r="L5519" t="n">
        <v>0</v>
      </c>
      <c r="M5519" t="n">
        <v>0</v>
      </c>
      <c r="N5519" t="n">
        <v>0</v>
      </c>
      <c r="O5519" t="n">
        <v>0</v>
      </c>
      <c r="P5519" t="n">
        <v>0</v>
      </c>
      <c r="Q5519" t="n">
        <v>0</v>
      </c>
      <c r="R5519" s="2" t="inlineStr"/>
    </row>
    <row r="5520" ht="15" customHeight="1">
      <c r="A5520" t="inlineStr">
        <is>
          <t>A 26407-2022</t>
        </is>
      </c>
      <c r="B5520" s="1" t="n">
        <v>44735</v>
      </c>
      <c r="C5520" s="1" t="n">
        <v>46093</v>
      </c>
      <c r="D5520" t="inlineStr">
        <is>
          <t>VÄSTERNORRLANDS LÄN</t>
        </is>
      </c>
      <c r="E5520" t="inlineStr">
        <is>
          <t>SOLLEFTEÅ</t>
        </is>
      </c>
      <c r="F5520" t="inlineStr">
        <is>
          <t>SCA</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38714-2024</t>
        </is>
      </c>
      <c r="B5521" s="1" t="n">
        <v>45547.38568287037</v>
      </c>
      <c r="C5521" s="1" t="n">
        <v>46093</v>
      </c>
      <c r="D5521" t="inlineStr">
        <is>
          <t>VÄSTERNORRLANDS LÄN</t>
        </is>
      </c>
      <c r="E5521" t="inlineStr">
        <is>
          <t>ÖRNSKÖLDSVIK</t>
        </is>
      </c>
      <c r="F5521" t="inlineStr">
        <is>
          <t>Holmen skog AB</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46129-2025</t>
        </is>
      </c>
      <c r="B5522" s="1" t="n">
        <v>45924.59431712963</v>
      </c>
      <c r="C5522" s="1" t="n">
        <v>46093</v>
      </c>
      <c r="D5522" t="inlineStr">
        <is>
          <t>VÄSTERNORRLANDS LÄN</t>
        </is>
      </c>
      <c r="E5522" t="inlineStr">
        <is>
          <t>ÖRNSKÖLDSVIK</t>
        </is>
      </c>
      <c r="F5522" t="inlineStr">
        <is>
          <t>SCA</t>
        </is>
      </c>
      <c r="G5522" t="n">
        <v>8.9</v>
      </c>
      <c r="H5522" t="n">
        <v>0</v>
      </c>
      <c r="I5522" t="n">
        <v>0</v>
      </c>
      <c r="J5522" t="n">
        <v>0</v>
      </c>
      <c r="K5522" t="n">
        <v>0</v>
      </c>
      <c r="L5522" t="n">
        <v>0</v>
      </c>
      <c r="M5522" t="n">
        <v>0</v>
      </c>
      <c r="N5522" t="n">
        <v>0</v>
      </c>
      <c r="O5522" t="n">
        <v>0</v>
      </c>
      <c r="P5522" t="n">
        <v>0</v>
      </c>
      <c r="Q5522" t="n">
        <v>0</v>
      </c>
      <c r="R5522" s="2" t="inlineStr"/>
    </row>
    <row r="5523" ht="15" customHeight="1">
      <c r="A5523" t="inlineStr">
        <is>
          <t>A 46130-2025</t>
        </is>
      </c>
      <c r="B5523" s="1" t="n">
        <v>45924.59452546296</v>
      </c>
      <c r="C5523" s="1" t="n">
        <v>46093</v>
      </c>
      <c r="D5523" t="inlineStr">
        <is>
          <t>VÄSTERNORRLANDS LÄN</t>
        </is>
      </c>
      <c r="E5523" t="inlineStr">
        <is>
          <t>ÖRNSKÖLDSVIK</t>
        </is>
      </c>
      <c r="F5523" t="inlineStr">
        <is>
          <t>SCA</t>
        </is>
      </c>
      <c r="G5523" t="n">
        <v>2.4</v>
      </c>
      <c r="H5523" t="n">
        <v>0</v>
      </c>
      <c r="I5523" t="n">
        <v>0</v>
      </c>
      <c r="J5523" t="n">
        <v>0</v>
      </c>
      <c r="K5523" t="n">
        <v>0</v>
      </c>
      <c r="L5523" t="n">
        <v>0</v>
      </c>
      <c r="M5523" t="n">
        <v>0</v>
      </c>
      <c r="N5523" t="n">
        <v>0</v>
      </c>
      <c r="O5523" t="n">
        <v>0</v>
      </c>
      <c r="P5523" t="n">
        <v>0</v>
      </c>
      <c r="Q5523" t="n">
        <v>0</v>
      </c>
      <c r="R5523" s="2" t="inlineStr"/>
    </row>
    <row r="5524" ht="15" customHeight="1">
      <c r="A5524" t="inlineStr">
        <is>
          <t>A 47718-2024</t>
        </is>
      </c>
      <c r="B5524" s="1" t="n">
        <v>45588.48990740741</v>
      </c>
      <c r="C5524" s="1" t="n">
        <v>46093</v>
      </c>
      <c r="D5524" t="inlineStr">
        <is>
          <t>VÄSTERNORRLANDS LÄN</t>
        </is>
      </c>
      <c r="E5524" t="inlineStr">
        <is>
          <t>SUNDSVALL</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44522-2022</t>
        </is>
      </c>
      <c r="B5525" s="1" t="n">
        <v>44840</v>
      </c>
      <c r="C5525" s="1" t="n">
        <v>46093</v>
      </c>
      <c r="D5525" t="inlineStr">
        <is>
          <t>VÄSTERNORRLANDS LÄN</t>
        </is>
      </c>
      <c r="E5525" t="inlineStr">
        <is>
          <t>ÖRNSKÖLDSVIK</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45880-2025</t>
        </is>
      </c>
      <c r="B5526" s="1" t="n">
        <v>45923.6609837963</v>
      </c>
      <c r="C5526" s="1" t="n">
        <v>46093</v>
      </c>
      <c r="D5526" t="inlineStr">
        <is>
          <t>VÄSTERNORRLANDS LÄN</t>
        </is>
      </c>
      <c r="E5526" t="inlineStr">
        <is>
          <t>ÖRNSKÖLDSVIK</t>
        </is>
      </c>
      <c r="F5526" t="inlineStr">
        <is>
          <t>Holmen skog AB</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45671-2025</t>
        </is>
      </c>
      <c r="B5527" s="1" t="n">
        <v>45923.35511574074</v>
      </c>
      <c r="C5527" s="1" t="n">
        <v>46093</v>
      </c>
      <c r="D5527" t="inlineStr">
        <is>
          <t>VÄSTERNORRLANDS LÄN</t>
        </is>
      </c>
      <c r="E5527" t="inlineStr">
        <is>
          <t>ÖRNSKÖLDSVIK</t>
        </is>
      </c>
      <c r="F5527" t="inlineStr">
        <is>
          <t>Holmen skog AB</t>
        </is>
      </c>
      <c r="G5527" t="n">
        <v>3.7</v>
      </c>
      <c r="H5527" t="n">
        <v>0</v>
      </c>
      <c r="I5527" t="n">
        <v>0</v>
      </c>
      <c r="J5527" t="n">
        <v>0</v>
      </c>
      <c r="K5527" t="n">
        <v>0</v>
      </c>
      <c r="L5527" t="n">
        <v>0</v>
      </c>
      <c r="M5527" t="n">
        <v>0</v>
      </c>
      <c r="N5527" t="n">
        <v>0</v>
      </c>
      <c r="O5527" t="n">
        <v>0</v>
      </c>
      <c r="P5527" t="n">
        <v>0</v>
      </c>
      <c r="Q5527" t="n">
        <v>0</v>
      </c>
      <c r="R5527" s="2" t="inlineStr"/>
    </row>
    <row r="5528" ht="15" customHeight="1">
      <c r="A5528" t="inlineStr">
        <is>
          <t>A 45694-2025</t>
        </is>
      </c>
      <c r="B5528" s="1" t="n">
        <v>45923.39024305555</v>
      </c>
      <c r="C5528" s="1" t="n">
        <v>46093</v>
      </c>
      <c r="D5528" t="inlineStr">
        <is>
          <t>VÄSTERNORRLANDS LÄN</t>
        </is>
      </c>
      <c r="E5528" t="inlineStr">
        <is>
          <t>ÖRNSKÖLDSVIK</t>
        </is>
      </c>
      <c r="F5528" t="inlineStr">
        <is>
          <t>Holmen skog AB</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11021-2025</t>
        </is>
      </c>
      <c r="B5529" s="1" t="n">
        <v>45723</v>
      </c>
      <c r="C5529" s="1" t="n">
        <v>46093</v>
      </c>
      <c r="D5529" t="inlineStr">
        <is>
          <t>VÄSTERNORRLANDS LÄN</t>
        </is>
      </c>
      <c r="E5529" t="inlineStr">
        <is>
          <t>KRAMFORS</t>
        </is>
      </c>
      <c r="G5529" t="n">
        <v>7.7</v>
      </c>
      <c r="H5529" t="n">
        <v>0</v>
      </c>
      <c r="I5529" t="n">
        <v>0</v>
      </c>
      <c r="J5529" t="n">
        <v>0</v>
      </c>
      <c r="K5529" t="n">
        <v>0</v>
      </c>
      <c r="L5529" t="n">
        <v>0</v>
      </c>
      <c r="M5529" t="n">
        <v>0</v>
      </c>
      <c r="N5529" t="n">
        <v>0</v>
      </c>
      <c r="O5529" t="n">
        <v>0</v>
      </c>
      <c r="P5529" t="n">
        <v>0</v>
      </c>
      <c r="Q5529" t="n">
        <v>0</v>
      </c>
      <c r="R5529" s="2" t="inlineStr"/>
    </row>
    <row r="5530" ht="15" customHeight="1">
      <c r="A5530" t="inlineStr">
        <is>
          <t>A 8068-2025</t>
        </is>
      </c>
      <c r="B5530" s="1" t="n">
        <v>45707.64283564815</v>
      </c>
      <c r="C5530" s="1" t="n">
        <v>46093</v>
      </c>
      <c r="D5530" t="inlineStr">
        <is>
          <t>VÄSTERNORRLANDS LÄN</t>
        </is>
      </c>
      <c r="E5530" t="inlineStr">
        <is>
          <t>ÖRNSKÖLDSVIK</t>
        </is>
      </c>
      <c r="G5530" t="n">
        <v>12.6</v>
      </c>
      <c r="H5530" t="n">
        <v>0</v>
      </c>
      <c r="I5530" t="n">
        <v>0</v>
      </c>
      <c r="J5530" t="n">
        <v>0</v>
      </c>
      <c r="K5530" t="n">
        <v>0</v>
      </c>
      <c r="L5530" t="n">
        <v>0</v>
      </c>
      <c r="M5530" t="n">
        <v>0</v>
      </c>
      <c r="N5530" t="n">
        <v>0</v>
      </c>
      <c r="O5530" t="n">
        <v>0</v>
      </c>
      <c r="P5530" t="n">
        <v>0</v>
      </c>
      <c r="Q5530" t="n">
        <v>0</v>
      </c>
      <c r="R5530" s="2" t="inlineStr"/>
    </row>
    <row r="5531" ht="15" customHeight="1">
      <c r="A5531" t="inlineStr">
        <is>
          <t>A 8099-2025</t>
        </is>
      </c>
      <c r="B5531" s="1" t="n">
        <v>45707.69086805556</v>
      </c>
      <c r="C5531" s="1" t="n">
        <v>46093</v>
      </c>
      <c r="D5531" t="inlineStr">
        <is>
          <t>VÄSTERNORRLANDS LÄN</t>
        </is>
      </c>
      <c r="E5531" t="inlineStr">
        <is>
          <t>SOLLEFTEÅ</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36873-2025</t>
        </is>
      </c>
      <c r="B5532" s="1" t="n">
        <v>45874.42935185185</v>
      </c>
      <c r="C5532" s="1" t="n">
        <v>46093</v>
      </c>
      <c r="D5532" t="inlineStr">
        <is>
          <t>VÄSTERNORRLANDS LÄN</t>
        </is>
      </c>
      <c r="E5532" t="inlineStr">
        <is>
          <t>ÅNGE</t>
        </is>
      </c>
      <c r="F5532" t="inlineStr">
        <is>
          <t>SCA</t>
        </is>
      </c>
      <c r="G5532" t="n">
        <v>16.9</v>
      </c>
      <c r="H5532" t="n">
        <v>0</v>
      </c>
      <c r="I5532" t="n">
        <v>0</v>
      </c>
      <c r="J5532" t="n">
        <v>0</v>
      </c>
      <c r="K5532" t="n">
        <v>0</v>
      </c>
      <c r="L5532" t="n">
        <v>0</v>
      </c>
      <c r="M5532" t="n">
        <v>0</v>
      </c>
      <c r="N5532" t="n">
        <v>0</v>
      </c>
      <c r="O5532" t="n">
        <v>0</v>
      </c>
      <c r="P5532" t="n">
        <v>0</v>
      </c>
      <c r="Q5532" t="n">
        <v>0</v>
      </c>
      <c r="R5532" s="2" t="inlineStr"/>
    </row>
    <row r="5533" ht="15" customHeight="1">
      <c r="A5533" t="inlineStr">
        <is>
          <t>A 48189-2023</t>
        </is>
      </c>
      <c r="B5533" s="1" t="n">
        <v>45205.45768518518</v>
      </c>
      <c r="C5533" s="1" t="n">
        <v>46093</v>
      </c>
      <c r="D5533" t="inlineStr">
        <is>
          <t>VÄSTERNORRLANDS LÄN</t>
        </is>
      </c>
      <c r="E5533" t="inlineStr">
        <is>
          <t>ÖRNSKÖLDSVIK</t>
        </is>
      </c>
      <c r="F5533" t="inlineStr">
        <is>
          <t>Holmen skog AB</t>
        </is>
      </c>
      <c r="G5533" t="n">
        <v>3.8</v>
      </c>
      <c r="H5533" t="n">
        <v>0</v>
      </c>
      <c r="I5533" t="n">
        <v>0</v>
      </c>
      <c r="J5533" t="n">
        <v>0</v>
      </c>
      <c r="K5533" t="n">
        <v>0</v>
      </c>
      <c r="L5533" t="n">
        <v>0</v>
      </c>
      <c r="M5533" t="n">
        <v>0</v>
      </c>
      <c r="N5533" t="n">
        <v>0</v>
      </c>
      <c r="O5533" t="n">
        <v>0</v>
      </c>
      <c r="P5533" t="n">
        <v>0</v>
      </c>
      <c r="Q5533" t="n">
        <v>0</v>
      </c>
      <c r="R5533" s="2" t="inlineStr"/>
    </row>
    <row r="5534" ht="15" customHeight="1">
      <c r="A5534" t="inlineStr">
        <is>
          <t>A 46038-2025</t>
        </is>
      </c>
      <c r="B5534" s="1" t="n">
        <v>45924.44872685185</v>
      </c>
      <c r="C5534" s="1" t="n">
        <v>46093</v>
      </c>
      <c r="D5534" t="inlineStr">
        <is>
          <t>VÄSTERNORRLANDS LÄN</t>
        </is>
      </c>
      <c r="E5534" t="inlineStr">
        <is>
          <t>ÖRNSKÖLDSVIK</t>
        </is>
      </c>
      <c r="G5534" t="n">
        <v>6.3</v>
      </c>
      <c r="H5534" t="n">
        <v>0</v>
      </c>
      <c r="I5534" t="n">
        <v>0</v>
      </c>
      <c r="J5534" t="n">
        <v>0</v>
      </c>
      <c r="K5534" t="n">
        <v>0</v>
      </c>
      <c r="L5534" t="n">
        <v>0</v>
      </c>
      <c r="M5534" t="n">
        <v>0</v>
      </c>
      <c r="N5534" t="n">
        <v>0</v>
      </c>
      <c r="O5534" t="n">
        <v>0</v>
      </c>
      <c r="P5534" t="n">
        <v>0</v>
      </c>
      <c r="Q5534" t="n">
        <v>0</v>
      </c>
      <c r="R5534" s="2" t="inlineStr"/>
    </row>
    <row r="5535" ht="15" customHeight="1">
      <c r="A5535" t="inlineStr">
        <is>
          <t>A 46039-2025</t>
        </is>
      </c>
      <c r="B5535" s="1" t="n">
        <v>45924.44880787037</v>
      </c>
      <c r="C5535" s="1" t="n">
        <v>46093</v>
      </c>
      <c r="D5535" t="inlineStr">
        <is>
          <t>VÄSTERNORRLANDS LÄN</t>
        </is>
      </c>
      <c r="E5535" t="inlineStr">
        <is>
          <t>ÖRNSKÖLDSVIK</t>
        </is>
      </c>
      <c r="G5535" t="n">
        <v>5.7</v>
      </c>
      <c r="H5535" t="n">
        <v>0</v>
      </c>
      <c r="I5535" t="n">
        <v>0</v>
      </c>
      <c r="J5535" t="n">
        <v>0</v>
      </c>
      <c r="K5535" t="n">
        <v>0</v>
      </c>
      <c r="L5535" t="n">
        <v>0</v>
      </c>
      <c r="M5535" t="n">
        <v>0</v>
      </c>
      <c r="N5535" t="n">
        <v>0</v>
      </c>
      <c r="O5535" t="n">
        <v>0</v>
      </c>
      <c r="P5535" t="n">
        <v>0</v>
      </c>
      <c r="Q5535" t="n">
        <v>0</v>
      </c>
      <c r="R5535" s="2" t="inlineStr"/>
    </row>
    <row r="5536" ht="15" customHeight="1">
      <c r="A5536" t="inlineStr">
        <is>
          <t>A 45753-2025</t>
        </is>
      </c>
      <c r="B5536" s="1" t="n">
        <v>45923.49008101852</v>
      </c>
      <c r="C5536" s="1" t="n">
        <v>46093</v>
      </c>
      <c r="D5536" t="inlineStr">
        <is>
          <t>VÄSTERNORRLANDS LÄN</t>
        </is>
      </c>
      <c r="E5536" t="inlineStr">
        <is>
          <t>SUNDSVALL</t>
        </is>
      </c>
      <c r="F5536" t="inlineStr">
        <is>
          <t>SCA</t>
        </is>
      </c>
      <c r="G5536" t="n">
        <v>14.5</v>
      </c>
      <c r="H5536" t="n">
        <v>0</v>
      </c>
      <c r="I5536" t="n">
        <v>0</v>
      </c>
      <c r="J5536" t="n">
        <v>0</v>
      </c>
      <c r="K5536" t="n">
        <v>0</v>
      </c>
      <c r="L5536" t="n">
        <v>0</v>
      </c>
      <c r="M5536" t="n">
        <v>0</v>
      </c>
      <c r="N5536" t="n">
        <v>0</v>
      </c>
      <c r="O5536" t="n">
        <v>0</v>
      </c>
      <c r="P5536" t="n">
        <v>0</v>
      </c>
      <c r="Q5536" t="n">
        <v>0</v>
      </c>
      <c r="R5536" s="2" t="inlineStr"/>
    </row>
    <row r="5537" ht="15" customHeight="1">
      <c r="A5537" t="inlineStr">
        <is>
          <t>A 46307-2023</t>
        </is>
      </c>
      <c r="B5537" s="1" t="n">
        <v>45197</v>
      </c>
      <c r="C5537" s="1" t="n">
        <v>46093</v>
      </c>
      <c r="D5537" t="inlineStr">
        <is>
          <t>VÄSTERNORRLANDS LÄN</t>
        </is>
      </c>
      <c r="E5537" t="inlineStr">
        <is>
          <t>ÖRNSKÖLDSVIK</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46068-2025</t>
        </is>
      </c>
      <c r="B5538" s="1" t="n">
        <v>45924.48935185185</v>
      </c>
      <c r="C5538" s="1" t="n">
        <v>46093</v>
      </c>
      <c r="D5538" t="inlineStr">
        <is>
          <t>VÄSTERNORRLANDS LÄN</t>
        </is>
      </c>
      <c r="E5538" t="inlineStr">
        <is>
          <t>ÖRNSKÖLDSVIK</t>
        </is>
      </c>
      <c r="G5538" t="n">
        <v>3.5</v>
      </c>
      <c r="H5538" t="n">
        <v>0</v>
      </c>
      <c r="I5538" t="n">
        <v>0</v>
      </c>
      <c r="J5538" t="n">
        <v>0</v>
      </c>
      <c r="K5538" t="n">
        <v>0</v>
      </c>
      <c r="L5538" t="n">
        <v>0</v>
      </c>
      <c r="M5538" t="n">
        <v>0</v>
      </c>
      <c r="N5538" t="n">
        <v>0</v>
      </c>
      <c r="O5538" t="n">
        <v>0</v>
      </c>
      <c r="P5538" t="n">
        <v>0</v>
      </c>
      <c r="Q5538" t="n">
        <v>0</v>
      </c>
      <c r="R5538" s="2" t="inlineStr"/>
    </row>
    <row r="5539" ht="15" customHeight="1">
      <c r="A5539" t="inlineStr">
        <is>
          <t>A 57344-2024</t>
        </is>
      </c>
      <c r="B5539" s="1" t="n">
        <v>45629.63753472222</v>
      </c>
      <c r="C5539" s="1" t="n">
        <v>46093</v>
      </c>
      <c r="D5539" t="inlineStr">
        <is>
          <t>VÄSTERNORRLANDS LÄN</t>
        </is>
      </c>
      <c r="E5539" t="inlineStr">
        <is>
          <t>HÄRNÖSAND</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46101-2025</t>
        </is>
      </c>
      <c r="B5540" s="1" t="n">
        <v>45924.54756944445</v>
      </c>
      <c r="C5540" s="1" t="n">
        <v>46093</v>
      </c>
      <c r="D5540" t="inlineStr">
        <is>
          <t>VÄSTERNORRLANDS LÄN</t>
        </is>
      </c>
      <c r="E5540" t="inlineStr">
        <is>
          <t>HÄRNÖSAND</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46107-2025</t>
        </is>
      </c>
      <c r="B5541" s="1" t="n">
        <v>45924.55260416667</v>
      </c>
      <c r="C5541" s="1" t="n">
        <v>46093</v>
      </c>
      <c r="D5541" t="inlineStr">
        <is>
          <t>VÄSTERNORRLANDS LÄN</t>
        </is>
      </c>
      <c r="E5541" t="inlineStr">
        <is>
          <t>ÖRNSKÖLDSVIK</t>
        </is>
      </c>
      <c r="G5541" t="n">
        <v>12.2</v>
      </c>
      <c r="H5541" t="n">
        <v>0</v>
      </c>
      <c r="I5541" t="n">
        <v>0</v>
      </c>
      <c r="J5541" t="n">
        <v>0</v>
      </c>
      <c r="K5541" t="n">
        <v>0</v>
      </c>
      <c r="L5541" t="n">
        <v>0</v>
      </c>
      <c r="M5541" t="n">
        <v>0</v>
      </c>
      <c r="N5541" t="n">
        <v>0</v>
      </c>
      <c r="O5541" t="n">
        <v>0</v>
      </c>
      <c r="P5541" t="n">
        <v>0</v>
      </c>
      <c r="Q5541" t="n">
        <v>0</v>
      </c>
      <c r="R5541" s="2" t="inlineStr"/>
    </row>
    <row r="5542" ht="15" customHeight="1">
      <c r="A5542" t="inlineStr">
        <is>
          <t>A 46112-2025</t>
        </is>
      </c>
      <c r="B5542" s="1" t="n">
        <v>45924.56881944444</v>
      </c>
      <c r="C5542" s="1" t="n">
        <v>46093</v>
      </c>
      <c r="D5542" t="inlineStr">
        <is>
          <t>VÄSTERNORRLANDS LÄN</t>
        </is>
      </c>
      <c r="E5542" t="inlineStr">
        <is>
          <t>ÖRNSKÖLDSVIK</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46115-2025</t>
        </is>
      </c>
      <c r="B5543" s="1" t="n">
        <v>45924.57280092593</v>
      </c>
      <c r="C5543" s="1" t="n">
        <v>46093</v>
      </c>
      <c r="D5543" t="inlineStr">
        <is>
          <t>VÄSTERNORRLANDS LÄN</t>
        </is>
      </c>
      <c r="E5543" t="inlineStr">
        <is>
          <t>KRAMFORS</t>
        </is>
      </c>
      <c r="G5543" t="n">
        <v>0.5</v>
      </c>
      <c r="H5543" t="n">
        <v>0</v>
      </c>
      <c r="I5543" t="n">
        <v>0</v>
      </c>
      <c r="J5543" t="n">
        <v>0</v>
      </c>
      <c r="K5543" t="n">
        <v>0</v>
      </c>
      <c r="L5543" t="n">
        <v>0</v>
      </c>
      <c r="M5543" t="n">
        <v>0</v>
      </c>
      <c r="N5543" t="n">
        <v>0</v>
      </c>
      <c r="O5543" t="n">
        <v>0</v>
      </c>
      <c r="P5543" t="n">
        <v>0</v>
      </c>
      <c r="Q5543" t="n">
        <v>0</v>
      </c>
      <c r="R5543" s="2" t="inlineStr"/>
      <c r="U5543">
        <f>HYPERLINK("https://klasma.github.io/Logging_2282/knärot/A 46115-2025 karta knärot.png", "A 46115-2025")</f>
        <v/>
      </c>
      <c r="V5543">
        <f>HYPERLINK("https://klasma.github.io/Logging_2282/klagomål/A 46115-2025 FSC-klagomål.docx", "A 46115-2025")</f>
        <v/>
      </c>
      <c r="W5543">
        <f>HYPERLINK("https://klasma.github.io/Logging_2282/klagomålsmail/A 46115-2025 FSC-klagomål mail.docx", "A 46115-2025")</f>
        <v/>
      </c>
      <c r="X5543">
        <f>HYPERLINK("https://klasma.github.io/Logging_2282/tillsyn/A 46115-2025 tillsynsbegäran.docx", "A 46115-2025")</f>
        <v/>
      </c>
      <c r="Y5543">
        <f>HYPERLINK("https://klasma.github.io/Logging_2282/tillsynsmail/A 46115-2025 tillsynsbegäran mail.docx", "A 46115-2025")</f>
        <v/>
      </c>
    </row>
    <row r="5544" ht="15" customHeight="1">
      <c r="A5544" t="inlineStr">
        <is>
          <t>A 46120-2025</t>
        </is>
      </c>
      <c r="B5544" s="1" t="n">
        <v>45924.58050925926</v>
      </c>
      <c r="C5544" s="1" t="n">
        <v>46093</v>
      </c>
      <c r="D5544" t="inlineStr">
        <is>
          <t>VÄSTERNORRLANDS LÄN</t>
        </is>
      </c>
      <c r="E5544" t="inlineStr">
        <is>
          <t>SUNDSVALL</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59113-2024</t>
        </is>
      </c>
      <c r="B5545" s="1" t="n">
        <v>45637.36509259259</v>
      </c>
      <c r="C5545" s="1" t="n">
        <v>46093</v>
      </c>
      <c r="D5545" t="inlineStr">
        <is>
          <t>VÄSTERNORRLANDS LÄN</t>
        </is>
      </c>
      <c r="E5545" t="inlineStr">
        <is>
          <t>HÄRNÖSAND</t>
        </is>
      </c>
      <c r="F5545" t="inlineStr">
        <is>
          <t>SCA</t>
        </is>
      </c>
      <c r="G5545" t="n">
        <v>4.5</v>
      </c>
      <c r="H5545" t="n">
        <v>0</v>
      </c>
      <c r="I5545" t="n">
        <v>0</v>
      </c>
      <c r="J5545" t="n">
        <v>0</v>
      </c>
      <c r="K5545" t="n">
        <v>0</v>
      </c>
      <c r="L5545" t="n">
        <v>0</v>
      </c>
      <c r="M5545" t="n">
        <v>0</v>
      </c>
      <c r="N5545" t="n">
        <v>0</v>
      </c>
      <c r="O5545" t="n">
        <v>0</v>
      </c>
      <c r="P5545" t="n">
        <v>0</v>
      </c>
      <c r="Q5545" t="n">
        <v>0</v>
      </c>
      <c r="R5545" s="2" t="inlineStr"/>
    </row>
    <row r="5546" ht="15" customHeight="1">
      <c r="A5546" t="inlineStr">
        <is>
          <t>A 45977-2025</t>
        </is>
      </c>
      <c r="B5546" s="1" t="n">
        <v>45924.37170138889</v>
      </c>
      <c r="C5546" s="1" t="n">
        <v>46093</v>
      </c>
      <c r="D5546" t="inlineStr">
        <is>
          <t>VÄSTERNORRLANDS LÄN</t>
        </is>
      </c>
      <c r="E5546" t="inlineStr">
        <is>
          <t>SOLLEFTEÅ</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45793-2025</t>
        </is>
      </c>
      <c r="B5547" s="1" t="n">
        <v>45923.57356481482</v>
      </c>
      <c r="C5547" s="1" t="n">
        <v>46093</v>
      </c>
      <c r="D5547" t="inlineStr">
        <is>
          <t>VÄSTERNORRLANDS LÄN</t>
        </is>
      </c>
      <c r="E5547" t="inlineStr">
        <is>
          <t>ÖRNSKÖLDSVIK</t>
        </is>
      </c>
      <c r="F5547" t="inlineStr">
        <is>
          <t>SCA</t>
        </is>
      </c>
      <c r="G5547" t="n">
        <v>5.1</v>
      </c>
      <c r="H5547" t="n">
        <v>0</v>
      </c>
      <c r="I5547" t="n">
        <v>0</v>
      </c>
      <c r="J5547" t="n">
        <v>0</v>
      </c>
      <c r="K5547" t="n">
        <v>0</v>
      </c>
      <c r="L5547" t="n">
        <v>0</v>
      </c>
      <c r="M5547" t="n">
        <v>0</v>
      </c>
      <c r="N5547" t="n">
        <v>0</v>
      </c>
      <c r="O5547" t="n">
        <v>0</v>
      </c>
      <c r="P5547" t="n">
        <v>0</v>
      </c>
      <c r="Q5547" t="n">
        <v>0</v>
      </c>
      <c r="R5547" s="2" t="inlineStr"/>
    </row>
    <row r="5548" ht="15" customHeight="1">
      <c r="A5548" t="inlineStr">
        <is>
          <t>A 45794-2025</t>
        </is>
      </c>
      <c r="B5548" s="1" t="n">
        <v>45923.57380787037</v>
      </c>
      <c r="C5548" s="1" t="n">
        <v>46093</v>
      </c>
      <c r="D5548" t="inlineStr">
        <is>
          <t>VÄSTERNORRLANDS LÄN</t>
        </is>
      </c>
      <c r="E5548" t="inlineStr">
        <is>
          <t>SOLLEFTEÅ</t>
        </is>
      </c>
      <c r="F5548" t="inlineStr">
        <is>
          <t>SCA</t>
        </is>
      </c>
      <c r="G5548" t="n">
        <v>34.9</v>
      </c>
      <c r="H5548" t="n">
        <v>0</v>
      </c>
      <c r="I5548" t="n">
        <v>0</v>
      </c>
      <c r="J5548" t="n">
        <v>0</v>
      </c>
      <c r="K5548" t="n">
        <v>0</v>
      </c>
      <c r="L5548" t="n">
        <v>0</v>
      </c>
      <c r="M5548" t="n">
        <v>0</v>
      </c>
      <c r="N5548" t="n">
        <v>0</v>
      </c>
      <c r="O5548" t="n">
        <v>0</v>
      </c>
      <c r="P5548" t="n">
        <v>0</v>
      </c>
      <c r="Q5548" t="n">
        <v>0</v>
      </c>
      <c r="R5548" s="2" t="inlineStr"/>
    </row>
    <row r="5549" ht="15" customHeight="1">
      <c r="A5549" t="inlineStr">
        <is>
          <t>A 69183-2021</t>
        </is>
      </c>
      <c r="B5549" s="1" t="n">
        <v>44531.32788194445</v>
      </c>
      <c r="C5549" s="1" t="n">
        <v>46093</v>
      </c>
      <c r="D5549" t="inlineStr">
        <is>
          <t>VÄSTERNORRLANDS LÄN</t>
        </is>
      </c>
      <c r="E5549" t="inlineStr">
        <is>
          <t>ÖRNSKÖLDSVIK</t>
        </is>
      </c>
      <c r="F5549" t="inlineStr">
        <is>
          <t>Holmen skog AB</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45652-2025</t>
        </is>
      </c>
      <c r="B5550" s="1" t="n">
        <v>45923.33097222223</v>
      </c>
      <c r="C5550" s="1" t="n">
        <v>46093</v>
      </c>
      <c r="D5550" t="inlineStr">
        <is>
          <t>VÄSTERNORRLANDS LÄN</t>
        </is>
      </c>
      <c r="E5550" t="inlineStr">
        <is>
          <t>ÖRNSKÖLDSVIK</t>
        </is>
      </c>
      <c r="G5550" t="n">
        <v>2.1</v>
      </c>
      <c r="H5550" t="n">
        <v>0</v>
      </c>
      <c r="I5550" t="n">
        <v>0</v>
      </c>
      <c r="J5550" t="n">
        <v>0</v>
      </c>
      <c r="K5550" t="n">
        <v>0</v>
      </c>
      <c r="L5550" t="n">
        <v>0</v>
      </c>
      <c r="M5550" t="n">
        <v>0</v>
      </c>
      <c r="N5550" t="n">
        <v>0</v>
      </c>
      <c r="O5550" t="n">
        <v>0</v>
      </c>
      <c r="P5550" t="n">
        <v>0</v>
      </c>
      <c r="Q5550" t="n">
        <v>0</v>
      </c>
      <c r="R5550" s="2" t="inlineStr"/>
    </row>
    <row r="5551" ht="15" customHeight="1">
      <c r="A5551" t="inlineStr">
        <is>
          <t>A 45659-2025</t>
        </is>
      </c>
      <c r="B5551" s="1" t="n">
        <v>45923.34471064815</v>
      </c>
      <c r="C5551" s="1" t="n">
        <v>46093</v>
      </c>
      <c r="D5551" t="inlineStr">
        <is>
          <t>VÄSTERNORRLANDS LÄN</t>
        </is>
      </c>
      <c r="E5551" t="inlineStr">
        <is>
          <t>ÅNGE</t>
        </is>
      </c>
      <c r="F5551" t="inlineStr">
        <is>
          <t>SCA</t>
        </is>
      </c>
      <c r="G5551" t="n">
        <v>2.8</v>
      </c>
      <c r="H5551" t="n">
        <v>0</v>
      </c>
      <c r="I5551" t="n">
        <v>0</v>
      </c>
      <c r="J5551" t="n">
        <v>0</v>
      </c>
      <c r="K5551" t="n">
        <v>0</v>
      </c>
      <c r="L5551" t="n">
        <v>0</v>
      </c>
      <c r="M5551" t="n">
        <v>0</v>
      </c>
      <c r="N5551" t="n">
        <v>0</v>
      </c>
      <c r="O5551" t="n">
        <v>0</v>
      </c>
      <c r="P5551" t="n">
        <v>0</v>
      </c>
      <c r="Q5551" t="n">
        <v>0</v>
      </c>
      <c r="R5551" s="2" t="inlineStr"/>
    </row>
    <row r="5552" ht="15" customHeight="1">
      <c r="A5552" t="inlineStr">
        <is>
          <t>A 45667-2025</t>
        </is>
      </c>
      <c r="B5552" s="1" t="n">
        <v>45923.35010416667</v>
      </c>
      <c r="C5552" s="1" t="n">
        <v>46093</v>
      </c>
      <c r="D5552" t="inlineStr">
        <is>
          <t>VÄSTERNORRLANDS LÄN</t>
        </is>
      </c>
      <c r="E5552" t="inlineStr">
        <is>
          <t>ÖRNSKÖLDSVIK</t>
        </is>
      </c>
      <c r="F5552" t="inlineStr">
        <is>
          <t>Holmen skog AB</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45970-2025</t>
        </is>
      </c>
      <c r="B5553" s="1" t="n">
        <v>45924.36519675926</v>
      </c>
      <c r="C5553" s="1" t="n">
        <v>46093</v>
      </c>
      <c r="D5553" t="inlineStr">
        <is>
          <t>VÄSTERNORRLANDS LÄN</t>
        </is>
      </c>
      <c r="E5553" t="inlineStr">
        <is>
          <t>ÅNGE</t>
        </is>
      </c>
      <c r="F5553" t="inlineStr">
        <is>
          <t>SCA</t>
        </is>
      </c>
      <c r="G5553" t="n">
        <v>2.7</v>
      </c>
      <c r="H5553" t="n">
        <v>0</v>
      </c>
      <c r="I5553" t="n">
        <v>0</v>
      </c>
      <c r="J5553" t="n">
        <v>0</v>
      </c>
      <c r="K5553" t="n">
        <v>0</v>
      </c>
      <c r="L5553" t="n">
        <v>0</v>
      </c>
      <c r="M5553" t="n">
        <v>0</v>
      </c>
      <c r="N5553" t="n">
        <v>0</v>
      </c>
      <c r="O5553" t="n">
        <v>0</v>
      </c>
      <c r="P5553" t="n">
        <v>0</v>
      </c>
      <c r="Q5553" t="n">
        <v>0</v>
      </c>
      <c r="R5553" s="2" t="inlineStr"/>
    </row>
    <row r="5554" ht="15" customHeight="1">
      <c r="A5554" t="inlineStr">
        <is>
          <t>A 45972-2025</t>
        </is>
      </c>
      <c r="B5554" s="1" t="n">
        <v>45924</v>
      </c>
      <c r="C5554" s="1" t="n">
        <v>46093</v>
      </c>
      <c r="D5554" t="inlineStr">
        <is>
          <t>VÄSTERNORRLANDS LÄN</t>
        </is>
      </c>
      <c r="E5554" t="inlineStr">
        <is>
          <t>SUNDSVALL</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45981-2025</t>
        </is>
      </c>
      <c r="B5555" s="1" t="n">
        <v>45924</v>
      </c>
      <c r="C5555" s="1" t="n">
        <v>46093</v>
      </c>
      <c r="D5555" t="inlineStr">
        <is>
          <t>VÄSTERNORRLANDS LÄN</t>
        </is>
      </c>
      <c r="E5555" t="inlineStr">
        <is>
          <t>HÄRNÖSAND</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46019-2025</t>
        </is>
      </c>
      <c r="B5556" s="1" t="n">
        <v>45924.42788194444</v>
      </c>
      <c r="C5556" s="1" t="n">
        <v>46093</v>
      </c>
      <c r="D5556" t="inlineStr">
        <is>
          <t>VÄSTERNORRLANDS LÄN</t>
        </is>
      </c>
      <c r="E5556" t="inlineStr">
        <is>
          <t>TIMRÅ</t>
        </is>
      </c>
      <c r="G5556" t="n">
        <v>5.1</v>
      </c>
      <c r="H5556" t="n">
        <v>0</v>
      </c>
      <c r="I5556" t="n">
        <v>0</v>
      </c>
      <c r="J5556" t="n">
        <v>0</v>
      </c>
      <c r="K5556" t="n">
        <v>0</v>
      </c>
      <c r="L5556" t="n">
        <v>0</v>
      </c>
      <c r="M5556" t="n">
        <v>0</v>
      </c>
      <c r="N5556" t="n">
        <v>0</v>
      </c>
      <c r="O5556" t="n">
        <v>0</v>
      </c>
      <c r="P5556" t="n">
        <v>0</v>
      </c>
      <c r="Q5556" t="n">
        <v>0</v>
      </c>
      <c r="R5556" s="2" t="inlineStr"/>
    </row>
    <row r="5557" ht="15" customHeight="1">
      <c r="A5557" t="inlineStr">
        <is>
          <t>A 46021-2025</t>
        </is>
      </c>
      <c r="B5557" s="1" t="n">
        <v>45924</v>
      </c>
      <c r="C5557" s="1" t="n">
        <v>46093</v>
      </c>
      <c r="D5557" t="inlineStr">
        <is>
          <t>VÄSTERNORRLANDS LÄN</t>
        </is>
      </c>
      <c r="E5557" t="inlineStr">
        <is>
          <t>HÄRNÖSAND</t>
        </is>
      </c>
      <c r="G5557" t="n">
        <v>3.4</v>
      </c>
      <c r="H5557" t="n">
        <v>0</v>
      </c>
      <c r="I5557" t="n">
        <v>0</v>
      </c>
      <c r="J5557" t="n">
        <v>0</v>
      </c>
      <c r="K5557" t="n">
        <v>0</v>
      </c>
      <c r="L5557" t="n">
        <v>0</v>
      </c>
      <c r="M5557" t="n">
        <v>0</v>
      </c>
      <c r="N5557" t="n">
        <v>0</v>
      </c>
      <c r="O5557" t="n">
        <v>0</v>
      </c>
      <c r="P5557" t="n">
        <v>0</v>
      </c>
      <c r="Q5557" t="n">
        <v>0</v>
      </c>
      <c r="R5557" s="2" t="inlineStr"/>
    </row>
    <row r="5558" ht="15" customHeight="1">
      <c r="A5558" t="inlineStr">
        <is>
          <t>A 51131-2022</t>
        </is>
      </c>
      <c r="B5558" s="1" t="n">
        <v>44868</v>
      </c>
      <c r="C5558" s="1" t="n">
        <v>46093</v>
      </c>
      <c r="D5558" t="inlineStr">
        <is>
          <t>VÄSTERNORRLANDS LÄN</t>
        </is>
      </c>
      <c r="E5558" t="inlineStr">
        <is>
          <t>ÅNGE</t>
        </is>
      </c>
      <c r="G5558" t="n">
        <v>11.1</v>
      </c>
      <c r="H5558" t="n">
        <v>0</v>
      </c>
      <c r="I5558" t="n">
        <v>0</v>
      </c>
      <c r="J5558" t="n">
        <v>0</v>
      </c>
      <c r="K5558" t="n">
        <v>0</v>
      </c>
      <c r="L5558" t="n">
        <v>0</v>
      </c>
      <c r="M5558" t="n">
        <v>0</v>
      </c>
      <c r="N5558" t="n">
        <v>0</v>
      </c>
      <c r="O5558" t="n">
        <v>0</v>
      </c>
      <c r="P5558" t="n">
        <v>0</v>
      </c>
      <c r="Q5558" t="n">
        <v>0</v>
      </c>
      <c r="R5558" s="2" t="inlineStr"/>
    </row>
    <row r="5559" ht="15" customHeight="1">
      <c r="A5559" t="inlineStr">
        <is>
          <t>A 7184-2025</t>
        </is>
      </c>
      <c r="B5559" s="1" t="n">
        <v>45702</v>
      </c>
      <c r="C5559" s="1" t="n">
        <v>46093</v>
      </c>
      <c r="D5559" t="inlineStr">
        <is>
          <t>VÄSTERNORRLANDS LÄN</t>
        </is>
      </c>
      <c r="E5559" t="inlineStr">
        <is>
          <t>SOLLEFTEÅ</t>
        </is>
      </c>
      <c r="F5559" t="inlineStr">
        <is>
          <t>SCA</t>
        </is>
      </c>
      <c r="G5559" t="n">
        <v>4.1</v>
      </c>
      <c r="H5559" t="n">
        <v>0</v>
      </c>
      <c r="I5559" t="n">
        <v>0</v>
      </c>
      <c r="J5559" t="n">
        <v>0</v>
      </c>
      <c r="K5559" t="n">
        <v>0</v>
      </c>
      <c r="L5559" t="n">
        <v>0</v>
      </c>
      <c r="M5559" t="n">
        <v>0</v>
      </c>
      <c r="N5559" t="n">
        <v>0</v>
      </c>
      <c r="O5559" t="n">
        <v>0</v>
      </c>
      <c r="P5559" t="n">
        <v>0</v>
      </c>
      <c r="Q5559" t="n">
        <v>0</v>
      </c>
      <c r="R5559" s="2" t="inlineStr"/>
    </row>
    <row r="5560" ht="15" customHeight="1">
      <c r="A5560" t="inlineStr">
        <is>
          <t>A 61144-2023</t>
        </is>
      </c>
      <c r="B5560" s="1" t="n">
        <v>45261.96729166667</v>
      </c>
      <c r="C5560" s="1" t="n">
        <v>46093</v>
      </c>
      <c r="D5560" t="inlineStr">
        <is>
          <t>VÄSTERNORRLANDS LÄN</t>
        </is>
      </c>
      <c r="E5560" t="inlineStr">
        <is>
          <t>ÖRNSKÖLDSVIK</t>
        </is>
      </c>
      <c r="F5560" t="inlineStr">
        <is>
          <t>SCA</t>
        </is>
      </c>
      <c r="G5560" t="n">
        <v>10.5</v>
      </c>
      <c r="H5560" t="n">
        <v>0</v>
      </c>
      <c r="I5560" t="n">
        <v>0</v>
      </c>
      <c r="J5560" t="n">
        <v>0</v>
      </c>
      <c r="K5560" t="n">
        <v>0</v>
      </c>
      <c r="L5560" t="n">
        <v>0</v>
      </c>
      <c r="M5560" t="n">
        <v>0</v>
      </c>
      <c r="N5560" t="n">
        <v>0</v>
      </c>
      <c r="O5560" t="n">
        <v>0</v>
      </c>
      <c r="P5560" t="n">
        <v>0</v>
      </c>
      <c r="Q5560" t="n">
        <v>0</v>
      </c>
      <c r="R5560" s="2" t="inlineStr"/>
    </row>
    <row r="5561" ht="15" customHeight="1">
      <c r="A5561" t="inlineStr">
        <is>
          <t>A 10725-2025</t>
        </is>
      </c>
      <c r="B5561" s="1" t="n">
        <v>45722</v>
      </c>
      <c r="C5561" s="1" t="n">
        <v>46093</v>
      </c>
      <c r="D5561" t="inlineStr">
        <is>
          <t>VÄSTERNORRLANDS LÄN</t>
        </is>
      </c>
      <c r="E5561" t="inlineStr">
        <is>
          <t>SOLLEFTEÅ</t>
        </is>
      </c>
      <c r="F5561" t="inlineStr">
        <is>
          <t>SCA</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45773-2025</t>
        </is>
      </c>
      <c r="B5562" s="1" t="n">
        <v>45923.53688657407</v>
      </c>
      <c r="C5562" s="1" t="n">
        <v>46093</v>
      </c>
      <c r="D5562" t="inlineStr">
        <is>
          <t>VÄSTERNORRLANDS LÄN</t>
        </is>
      </c>
      <c r="E5562" t="inlineStr">
        <is>
          <t>ÖRNSKÖLDSVIK</t>
        </is>
      </c>
      <c r="G5562" t="n">
        <v>3.3</v>
      </c>
      <c r="H5562" t="n">
        <v>0</v>
      </c>
      <c r="I5562" t="n">
        <v>0</v>
      </c>
      <c r="J5562" t="n">
        <v>0</v>
      </c>
      <c r="K5562" t="n">
        <v>0</v>
      </c>
      <c r="L5562" t="n">
        <v>0</v>
      </c>
      <c r="M5562" t="n">
        <v>0</v>
      </c>
      <c r="N5562" t="n">
        <v>0</v>
      </c>
      <c r="O5562" t="n">
        <v>0</v>
      </c>
      <c r="P5562" t="n">
        <v>0</v>
      </c>
      <c r="Q5562" t="n">
        <v>0</v>
      </c>
      <c r="R5562" s="2" t="inlineStr"/>
    </row>
    <row r="5563" ht="15" customHeight="1">
      <c r="A5563" t="inlineStr">
        <is>
          <t>A 45782-2025</t>
        </is>
      </c>
      <c r="B5563" s="1" t="n">
        <v>45923.55155092593</v>
      </c>
      <c r="C5563" s="1" t="n">
        <v>46093</v>
      </c>
      <c r="D5563" t="inlineStr">
        <is>
          <t>VÄSTERNORRLANDS LÄN</t>
        </is>
      </c>
      <c r="E5563" t="inlineStr">
        <is>
          <t>KRAMFORS</t>
        </is>
      </c>
      <c r="G5563" t="n">
        <v>2.8</v>
      </c>
      <c r="H5563" t="n">
        <v>0</v>
      </c>
      <c r="I5563" t="n">
        <v>0</v>
      </c>
      <c r="J5563" t="n">
        <v>0</v>
      </c>
      <c r="K5563" t="n">
        <v>0</v>
      </c>
      <c r="L5563" t="n">
        <v>0</v>
      </c>
      <c r="M5563" t="n">
        <v>0</v>
      </c>
      <c r="N5563" t="n">
        <v>0</v>
      </c>
      <c r="O5563" t="n">
        <v>0</v>
      </c>
      <c r="P5563" t="n">
        <v>0</v>
      </c>
      <c r="Q5563" t="n">
        <v>0</v>
      </c>
      <c r="R5563" s="2" t="inlineStr"/>
    </row>
    <row r="5564" ht="15" customHeight="1">
      <c r="A5564" t="inlineStr">
        <is>
          <t>A 10737-2025</t>
        </is>
      </c>
      <c r="B5564" s="1" t="n">
        <v>45722</v>
      </c>
      <c r="C5564" s="1" t="n">
        <v>46093</v>
      </c>
      <c r="D5564" t="inlineStr">
        <is>
          <t>VÄSTERNORRLANDS LÄN</t>
        </is>
      </c>
      <c r="E5564" t="inlineStr">
        <is>
          <t>SOLLEFTEÅ</t>
        </is>
      </c>
      <c r="F5564" t="inlineStr">
        <is>
          <t>SCA</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1077-2024</t>
        </is>
      </c>
      <c r="B5565" s="1" t="n">
        <v>45302</v>
      </c>
      <c r="C5565" s="1" t="n">
        <v>46093</v>
      </c>
      <c r="D5565" t="inlineStr">
        <is>
          <t>VÄSTERNORRLANDS LÄN</t>
        </is>
      </c>
      <c r="E5565" t="inlineStr">
        <is>
          <t>KRAMFORS</t>
        </is>
      </c>
      <c r="G5565" t="n">
        <v>3.6</v>
      </c>
      <c r="H5565" t="n">
        <v>0</v>
      </c>
      <c r="I5565" t="n">
        <v>0</v>
      </c>
      <c r="J5565" t="n">
        <v>0</v>
      </c>
      <c r="K5565" t="n">
        <v>0</v>
      </c>
      <c r="L5565" t="n">
        <v>0</v>
      </c>
      <c r="M5565" t="n">
        <v>0</v>
      </c>
      <c r="N5565" t="n">
        <v>0</v>
      </c>
      <c r="O5565" t="n">
        <v>0</v>
      </c>
      <c r="P5565" t="n">
        <v>0</v>
      </c>
      <c r="Q5565" t="n">
        <v>0</v>
      </c>
      <c r="R5565" s="2" t="inlineStr"/>
    </row>
    <row r="5566" ht="15" customHeight="1">
      <c r="A5566" t="inlineStr">
        <is>
          <t>A 46600-2025</t>
        </is>
      </c>
      <c r="B5566" s="1" t="n">
        <v>45926</v>
      </c>
      <c r="C5566" s="1" t="n">
        <v>46093</v>
      </c>
      <c r="D5566" t="inlineStr">
        <is>
          <t>VÄSTERNORRLANDS LÄN</t>
        </is>
      </c>
      <c r="E5566" t="inlineStr">
        <is>
          <t>KRAMFORS</t>
        </is>
      </c>
      <c r="G5566" t="n">
        <v>10.1</v>
      </c>
      <c r="H5566" t="n">
        <v>0</v>
      </c>
      <c r="I5566" t="n">
        <v>0</v>
      </c>
      <c r="J5566" t="n">
        <v>0</v>
      </c>
      <c r="K5566" t="n">
        <v>0</v>
      </c>
      <c r="L5566" t="n">
        <v>0</v>
      </c>
      <c r="M5566" t="n">
        <v>0</v>
      </c>
      <c r="N5566" t="n">
        <v>0</v>
      </c>
      <c r="O5566" t="n">
        <v>0</v>
      </c>
      <c r="P5566" t="n">
        <v>0</v>
      </c>
      <c r="Q5566" t="n">
        <v>0</v>
      </c>
      <c r="R5566" s="2" t="inlineStr"/>
    </row>
    <row r="5567" ht="15" customHeight="1">
      <c r="A5567" t="inlineStr">
        <is>
          <t>A 49260-2023</t>
        </is>
      </c>
      <c r="B5567" s="1" t="n">
        <v>45210.67532407407</v>
      </c>
      <c r="C5567" s="1" t="n">
        <v>46093</v>
      </c>
      <c r="D5567" t="inlineStr">
        <is>
          <t>VÄSTERNORRLANDS LÄN</t>
        </is>
      </c>
      <c r="E5567" t="inlineStr">
        <is>
          <t>ÖRNSKÖLDSVIK</t>
        </is>
      </c>
      <c r="F5567" t="inlineStr">
        <is>
          <t>Holmen skog AB</t>
        </is>
      </c>
      <c r="G5567" t="n">
        <v>4</v>
      </c>
      <c r="H5567" t="n">
        <v>0</v>
      </c>
      <c r="I5567" t="n">
        <v>0</v>
      </c>
      <c r="J5567" t="n">
        <v>0</v>
      </c>
      <c r="K5567" t="n">
        <v>0</v>
      </c>
      <c r="L5567" t="n">
        <v>0</v>
      </c>
      <c r="M5567" t="n">
        <v>0</v>
      </c>
      <c r="N5567" t="n">
        <v>0</v>
      </c>
      <c r="O5567" t="n">
        <v>0</v>
      </c>
      <c r="P5567" t="n">
        <v>0</v>
      </c>
      <c r="Q5567" t="n">
        <v>0</v>
      </c>
      <c r="R5567" s="2" t="inlineStr"/>
    </row>
    <row r="5568" ht="15" customHeight="1">
      <c r="A5568" t="inlineStr">
        <is>
          <t>A 58745-2023</t>
        </is>
      </c>
      <c r="B5568" s="1" t="n">
        <v>45251</v>
      </c>
      <c r="C5568" s="1" t="n">
        <v>46093</v>
      </c>
      <c r="D5568" t="inlineStr">
        <is>
          <t>VÄSTERNORRLANDS LÄN</t>
        </is>
      </c>
      <c r="E5568" t="inlineStr">
        <is>
          <t>SUNDSVALL</t>
        </is>
      </c>
      <c r="G5568" t="n">
        <v>2.7</v>
      </c>
      <c r="H5568" t="n">
        <v>0</v>
      </c>
      <c r="I5568" t="n">
        <v>0</v>
      </c>
      <c r="J5568" t="n">
        <v>0</v>
      </c>
      <c r="K5568" t="n">
        <v>0</v>
      </c>
      <c r="L5568" t="n">
        <v>0</v>
      </c>
      <c r="M5568" t="n">
        <v>0</v>
      </c>
      <c r="N5568" t="n">
        <v>0</v>
      </c>
      <c r="O5568" t="n">
        <v>0</v>
      </c>
      <c r="P5568" t="n">
        <v>0</v>
      </c>
      <c r="Q5568" t="n">
        <v>0</v>
      </c>
      <c r="R5568" s="2" t="inlineStr"/>
    </row>
    <row r="5569" ht="15" customHeight="1">
      <c r="A5569" t="inlineStr">
        <is>
          <t>A 41804-2022</t>
        </is>
      </c>
      <c r="B5569" s="1" t="n">
        <v>44827</v>
      </c>
      <c r="C5569" s="1" t="n">
        <v>46093</v>
      </c>
      <c r="D5569" t="inlineStr">
        <is>
          <t>VÄSTERNORRLANDS LÄN</t>
        </is>
      </c>
      <c r="E5569" t="inlineStr">
        <is>
          <t>SUNDSVALL</t>
        </is>
      </c>
      <c r="G5569" t="n">
        <v>9.800000000000001</v>
      </c>
      <c r="H5569" t="n">
        <v>0</v>
      </c>
      <c r="I5569" t="n">
        <v>0</v>
      </c>
      <c r="J5569" t="n">
        <v>0</v>
      </c>
      <c r="K5569" t="n">
        <v>0</v>
      </c>
      <c r="L5569" t="n">
        <v>0</v>
      </c>
      <c r="M5569" t="n">
        <v>0</v>
      </c>
      <c r="N5569" t="n">
        <v>0</v>
      </c>
      <c r="O5569" t="n">
        <v>0</v>
      </c>
      <c r="P5569" t="n">
        <v>0</v>
      </c>
      <c r="Q5569" t="n">
        <v>0</v>
      </c>
      <c r="R5569" s="2" t="inlineStr"/>
    </row>
    <row r="5570" ht="15" customHeight="1">
      <c r="A5570" t="inlineStr">
        <is>
          <t>A 54853-2023</t>
        </is>
      </c>
      <c r="B5570" s="1" t="n">
        <v>45236</v>
      </c>
      <c r="C5570" s="1" t="n">
        <v>46093</v>
      </c>
      <c r="D5570" t="inlineStr">
        <is>
          <t>VÄSTERNORRLANDS LÄN</t>
        </is>
      </c>
      <c r="E5570" t="inlineStr">
        <is>
          <t>ÖRNSKÖLDSVIK</t>
        </is>
      </c>
      <c r="F5570" t="inlineStr">
        <is>
          <t>Holmen skog AB</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6886-2025</t>
        </is>
      </c>
      <c r="B5571" s="1" t="n">
        <v>45701.34599537037</v>
      </c>
      <c r="C5571" s="1" t="n">
        <v>46093</v>
      </c>
      <c r="D5571" t="inlineStr">
        <is>
          <t>VÄSTERNORRLANDS LÄN</t>
        </is>
      </c>
      <c r="E5571" t="inlineStr">
        <is>
          <t>HÄRNÖSAND</t>
        </is>
      </c>
      <c r="F5571" t="inlineStr">
        <is>
          <t>SCA</t>
        </is>
      </c>
      <c r="G5571" t="n">
        <v>2.4</v>
      </c>
      <c r="H5571" t="n">
        <v>0</v>
      </c>
      <c r="I5571" t="n">
        <v>0</v>
      </c>
      <c r="J5571" t="n">
        <v>0</v>
      </c>
      <c r="K5571" t="n">
        <v>0</v>
      </c>
      <c r="L5571" t="n">
        <v>0</v>
      </c>
      <c r="M5571" t="n">
        <v>0</v>
      </c>
      <c r="N5571" t="n">
        <v>0</v>
      </c>
      <c r="O5571" t="n">
        <v>0</v>
      </c>
      <c r="P5571" t="n">
        <v>0</v>
      </c>
      <c r="Q5571" t="n">
        <v>0</v>
      </c>
      <c r="R5571" s="2" t="inlineStr"/>
    </row>
    <row r="5572" ht="15" customHeight="1">
      <c r="A5572" t="inlineStr">
        <is>
          <t>A 6896-2025</t>
        </is>
      </c>
      <c r="B5572" s="1" t="n">
        <v>45701.38577546296</v>
      </c>
      <c r="C5572" s="1" t="n">
        <v>46093</v>
      </c>
      <c r="D5572" t="inlineStr">
        <is>
          <t>VÄSTERNORRLANDS LÄN</t>
        </is>
      </c>
      <c r="E5572" t="inlineStr">
        <is>
          <t>SOLLEFTEÅ</t>
        </is>
      </c>
      <c r="F5572" t="inlineStr">
        <is>
          <t>SCA</t>
        </is>
      </c>
      <c r="G5572" t="n">
        <v>6.8</v>
      </c>
      <c r="H5572" t="n">
        <v>0</v>
      </c>
      <c r="I5572" t="n">
        <v>0</v>
      </c>
      <c r="J5572" t="n">
        <v>0</v>
      </c>
      <c r="K5572" t="n">
        <v>0</v>
      </c>
      <c r="L5572" t="n">
        <v>0</v>
      </c>
      <c r="M5572" t="n">
        <v>0</v>
      </c>
      <c r="N5572" t="n">
        <v>0</v>
      </c>
      <c r="O5572" t="n">
        <v>0</v>
      </c>
      <c r="P5572" t="n">
        <v>0</v>
      </c>
      <c r="Q5572" t="n">
        <v>0</v>
      </c>
      <c r="R5572" s="2" t="inlineStr"/>
    </row>
    <row r="5573" ht="15" customHeight="1">
      <c r="A5573" t="inlineStr">
        <is>
          <t>A 39276-2023</t>
        </is>
      </c>
      <c r="B5573" s="1" t="n">
        <v>45166.50868055555</v>
      </c>
      <c r="C5573" s="1" t="n">
        <v>46093</v>
      </c>
      <c r="D5573" t="inlineStr">
        <is>
          <t>VÄSTERNORRLANDS LÄN</t>
        </is>
      </c>
      <c r="E5573" t="inlineStr">
        <is>
          <t>SUNDSVALL</t>
        </is>
      </c>
      <c r="G5573" t="n">
        <v>3.4</v>
      </c>
      <c r="H5573" t="n">
        <v>0</v>
      </c>
      <c r="I5573" t="n">
        <v>0</v>
      </c>
      <c r="J5573" t="n">
        <v>0</v>
      </c>
      <c r="K5573" t="n">
        <v>0</v>
      </c>
      <c r="L5573" t="n">
        <v>0</v>
      </c>
      <c r="M5573" t="n">
        <v>0</v>
      </c>
      <c r="N5573" t="n">
        <v>0</v>
      </c>
      <c r="O5573" t="n">
        <v>0</v>
      </c>
      <c r="P5573" t="n">
        <v>0</v>
      </c>
      <c r="Q5573" t="n">
        <v>0</v>
      </c>
      <c r="R5573" s="2" t="inlineStr"/>
    </row>
    <row r="5574" ht="15" customHeight="1">
      <c r="A5574" t="inlineStr">
        <is>
          <t>A 22473-2023</t>
        </is>
      </c>
      <c r="B5574" s="1" t="n">
        <v>45070</v>
      </c>
      <c r="C5574" s="1" t="n">
        <v>46093</v>
      </c>
      <c r="D5574" t="inlineStr">
        <is>
          <t>VÄSTERNORRLANDS LÄN</t>
        </is>
      </c>
      <c r="E5574" t="inlineStr">
        <is>
          <t>SUNDSVALL</t>
        </is>
      </c>
      <c r="F5574" t="inlineStr">
        <is>
          <t>SCA</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21182-2022</t>
        </is>
      </c>
      <c r="B5575" s="1" t="n">
        <v>44704</v>
      </c>
      <c r="C5575" s="1" t="n">
        <v>46093</v>
      </c>
      <c r="D5575" t="inlineStr">
        <is>
          <t>VÄSTERNORRLANDS LÄN</t>
        </is>
      </c>
      <c r="E5575" t="inlineStr">
        <is>
          <t>SUNDSVALL</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21191-2022</t>
        </is>
      </c>
      <c r="B5576" s="1" t="n">
        <v>44704.94193287037</v>
      </c>
      <c r="C5576" s="1" t="n">
        <v>46093</v>
      </c>
      <c r="D5576" t="inlineStr">
        <is>
          <t>VÄSTERNORRLANDS LÄN</t>
        </is>
      </c>
      <c r="E5576" t="inlineStr">
        <is>
          <t>SOLLEFTEÅ</t>
        </is>
      </c>
      <c r="F5576" t="inlineStr">
        <is>
          <t>SCA</t>
        </is>
      </c>
      <c r="G5576" t="n">
        <v>26.5</v>
      </c>
      <c r="H5576" t="n">
        <v>0</v>
      </c>
      <c r="I5576" t="n">
        <v>0</v>
      </c>
      <c r="J5576" t="n">
        <v>0</v>
      </c>
      <c r="K5576" t="n">
        <v>0</v>
      </c>
      <c r="L5576" t="n">
        <v>0</v>
      </c>
      <c r="M5576" t="n">
        <v>0</v>
      </c>
      <c r="N5576" t="n">
        <v>0</v>
      </c>
      <c r="O5576" t="n">
        <v>0</v>
      </c>
      <c r="P5576" t="n">
        <v>0</v>
      </c>
      <c r="Q5576" t="n">
        <v>0</v>
      </c>
      <c r="R5576" s="2" t="inlineStr"/>
    </row>
    <row r="5577" ht="15" customHeight="1">
      <c r="A5577" t="inlineStr">
        <is>
          <t>A 22532-2023</t>
        </is>
      </c>
      <c r="B5577" s="1" t="n">
        <v>45069</v>
      </c>
      <c r="C5577" s="1" t="n">
        <v>46093</v>
      </c>
      <c r="D5577" t="inlineStr">
        <is>
          <t>VÄSTERNORRLANDS LÄN</t>
        </is>
      </c>
      <c r="E5577" t="inlineStr">
        <is>
          <t>ÖRNSKÖLDSVIK</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12750-2025</t>
        </is>
      </c>
      <c r="B5578" s="1" t="n">
        <v>45733.55538194445</v>
      </c>
      <c r="C5578" s="1" t="n">
        <v>46093</v>
      </c>
      <c r="D5578" t="inlineStr">
        <is>
          <t>VÄSTERNORRLANDS LÄN</t>
        </is>
      </c>
      <c r="E5578" t="inlineStr">
        <is>
          <t>ÖRNSKÖLDSVIK</t>
        </is>
      </c>
      <c r="F5578" t="inlineStr">
        <is>
          <t>Holmen skog AB</t>
        </is>
      </c>
      <c r="G5578" t="n">
        <v>1.4</v>
      </c>
      <c r="H5578" t="n">
        <v>0</v>
      </c>
      <c r="I5578" t="n">
        <v>0</v>
      </c>
      <c r="J5578" t="n">
        <v>0</v>
      </c>
      <c r="K5578" t="n">
        <v>0</v>
      </c>
      <c r="L5578" t="n">
        <v>0</v>
      </c>
      <c r="M5578" t="n">
        <v>0</v>
      </c>
      <c r="N5578" t="n">
        <v>0</v>
      </c>
      <c r="O5578" t="n">
        <v>0</v>
      </c>
      <c r="P5578" t="n">
        <v>0</v>
      </c>
      <c r="Q5578" t="n">
        <v>0</v>
      </c>
      <c r="R5578" s="2" t="inlineStr"/>
    </row>
    <row r="5579" ht="15" customHeight="1">
      <c r="A5579" t="inlineStr">
        <is>
          <t>A 46266-2025</t>
        </is>
      </c>
      <c r="B5579" s="1" t="n">
        <v>45925.36525462963</v>
      </c>
      <c r="C5579" s="1" t="n">
        <v>46093</v>
      </c>
      <c r="D5579" t="inlineStr">
        <is>
          <t>VÄSTERNORRLANDS LÄN</t>
        </is>
      </c>
      <c r="E5579" t="inlineStr">
        <is>
          <t>SUNDSVALL</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46267-2025</t>
        </is>
      </c>
      <c r="B5580" s="1" t="n">
        <v>45925.36578703704</v>
      </c>
      <c r="C5580" s="1" t="n">
        <v>46093</v>
      </c>
      <c r="D5580" t="inlineStr">
        <is>
          <t>VÄSTERNORRLANDS LÄN</t>
        </is>
      </c>
      <c r="E5580" t="inlineStr">
        <is>
          <t>ÅNGE</t>
        </is>
      </c>
      <c r="G5580" t="n">
        <v>1.9</v>
      </c>
      <c r="H5580" t="n">
        <v>0</v>
      </c>
      <c r="I5580" t="n">
        <v>0</v>
      </c>
      <c r="J5580" t="n">
        <v>0</v>
      </c>
      <c r="K5580" t="n">
        <v>0</v>
      </c>
      <c r="L5580" t="n">
        <v>0</v>
      </c>
      <c r="M5580" t="n">
        <v>0</v>
      </c>
      <c r="N5580" t="n">
        <v>0</v>
      </c>
      <c r="O5580" t="n">
        <v>0</v>
      </c>
      <c r="P5580" t="n">
        <v>0</v>
      </c>
      <c r="Q5580" t="n">
        <v>0</v>
      </c>
      <c r="R5580" s="2" t="inlineStr"/>
    </row>
    <row r="5581" ht="15" customHeight="1">
      <c r="A5581" t="inlineStr">
        <is>
          <t>A 31088-2025</t>
        </is>
      </c>
      <c r="B5581" s="1" t="n">
        <v>45832.59282407408</v>
      </c>
      <c r="C5581" s="1" t="n">
        <v>46093</v>
      </c>
      <c r="D5581" t="inlineStr">
        <is>
          <t>VÄSTERNORRLANDS LÄN</t>
        </is>
      </c>
      <c r="E5581" t="inlineStr">
        <is>
          <t>ÖRNSKÖLDSVIK</t>
        </is>
      </c>
      <c r="G5581" t="n">
        <v>5.9</v>
      </c>
      <c r="H5581" t="n">
        <v>0</v>
      </c>
      <c r="I5581" t="n">
        <v>0</v>
      </c>
      <c r="J5581" t="n">
        <v>0</v>
      </c>
      <c r="K5581" t="n">
        <v>0</v>
      </c>
      <c r="L5581" t="n">
        <v>0</v>
      </c>
      <c r="M5581" t="n">
        <v>0</v>
      </c>
      <c r="N5581" t="n">
        <v>0</v>
      </c>
      <c r="O5581" t="n">
        <v>0</v>
      </c>
      <c r="P5581" t="n">
        <v>0</v>
      </c>
      <c r="Q5581" t="n">
        <v>0</v>
      </c>
      <c r="R5581" s="2" t="inlineStr"/>
    </row>
    <row r="5582" ht="15" customHeight="1">
      <c r="A5582" t="inlineStr">
        <is>
          <t>A 31185-2025</t>
        </is>
      </c>
      <c r="B5582" s="1" t="n">
        <v>45832.67805555555</v>
      </c>
      <c r="C5582" s="1" t="n">
        <v>46093</v>
      </c>
      <c r="D5582" t="inlineStr">
        <is>
          <t>VÄSTERNORRLANDS LÄN</t>
        </is>
      </c>
      <c r="E5582" t="inlineStr">
        <is>
          <t>SUNDSVALL</t>
        </is>
      </c>
      <c r="F5582" t="inlineStr">
        <is>
          <t>SCA</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31395-2025</t>
        </is>
      </c>
      <c r="B5583" s="1" t="n">
        <v>45833.46438657407</v>
      </c>
      <c r="C5583" s="1" t="n">
        <v>46093</v>
      </c>
      <c r="D5583" t="inlineStr">
        <is>
          <t>VÄSTERNORRLANDS LÄN</t>
        </is>
      </c>
      <c r="E5583" t="inlineStr">
        <is>
          <t>SOLLEFTEÅ</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46681-2023</t>
        </is>
      </c>
      <c r="B5584" s="1" t="n">
        <v>45198</v>
      </c>
      <c r="C5584" s="1" t="n">
        <v>46093</v>
      </c>
      <c r="D5584" t="inlineStr">
        <is>
          <t>VÄSTERNORRLANDS LÄN</t>
        </is>
      </c>
      <c r="E5584" t="inlineStr">
        <is>
          <t>ÅNGE</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43672-2023</t>
        </is>
      </c>
      <c r="B5585" s="1" t="n">
        <v>45187</v>
      </c>
      <c r="C5585" s="1" t="n">
        <v>46093</v>
      </c>
      <c r="D5585" t="inlineStr">
        <is>
          <t>VÄSTERNORRLANDS LÄN</t>
        </is>
      </c>
      <c r="E5585" t="inlineStr">
        <is>
          <t>ÖRNSKÖLDSVIK</t>
        </is>
      </c>
      <c r="F5585" t="inlineStr">
        <is>
          <t>Holmen skog AB</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34020-2023</t>
        </is>
      </c>
      <c r="B5586" s="1" t="n">
        <v>45135.35714120371</v>
      </c>
      <c r="C5586" s="1" t="n">
        <v>46093</v>
      </c>
      <c r="D5586" t="inlineStr">
        <is>
          <t>VÄSTERNORRLANDS LÄN</t>
        </is>
      </c>
      <c r="E5586" t="inlineStr">
        <is>
          <t>ÖRNSKÖLDSVIK</t>
        </is>
      </c>
      <c r="F5586" t="inlineStr">
        <is>
          <t>Holmen skog AB</t>
        </is>
      </c>
      <c r="G5586" t="n">
        <v>3.4</v>
      </c>
      <c r="H5586" t="n">
        <v>0</v>
      </c>
      <c r="I5586" t="n">
        <v>0</v>
      </c>
      <c r="J5586" t="n">
        <v>0</v>
      </c>
      <c r="K5586" t="n">
        <v>0</v>
      </c>
      <c r="L5586" t="n">
        <v>0</v>
      </c>
      <c r="M5586" t="n">
        <v>0</v>
      </c>
      <c r="N5586" t="n">
        <v>0</v>
      </c>
      <c r="O5586" t="n">
        <v>0</v>
      </c>
      <c r="P5586" t="n">
        <v>0</v>
      </c>
      <c r="Q5586" t="n">
        <v>0</v>
      </c>
      <c r="R5586" s="2" t="inlineStr"/>
    </row>
    <row r="5587" ht="15" customHeight="1">
      <c r="A5587" t="inlineStr">
        <is>
          <t>A 17040-2022</t>
        </is>
      </c>
      <c r="B5587" s="1" t="n">
        <v>44676</v>
      </c>
      <c r="C5587" s="1" t="n">
        <v>46093</v>
      </c>
      <c r="D5587" t="inlineStr">
        <is>
          <t>VÄSTERNORRLANDS LÄN</t>
        </is>
      </c>
      <c r="E5587" t="inlineStr">
        <is>
          <t>TIMRÅ</t>
        </is>
      </c>
      <c r="G5587" t="n">
        <v>3.5</v>
      </c>
      <c r="H5587" t="n">
        <v>0</v>
      </c>
      <c r="I5587" t="n">
        <v>0</v>
      </c>
      <c r="J5587" t="n">
        <v>0</v>
      </c>
      <c r="K5587" t="n">
        <v>0</v>
      </c>
      <c r="L5587" t="n">
        <v>0</v>
      </c>
      <c r="M5587" t="n">
        <v>0</v>
      </c>
      <c r="N5587" t="n">
        <v>0</v>
      </c>
      <c r="O5587" t="n">
        <v>0</v>
      </c>
      <c r="P5587" t="n">
        <v>0</v>
      </c>
      <c r="Q5587" t="n">
        <v>0</v>
      </c>
      <c r="R5587" s="2" t="inlineStr"/>
    </row>
    <row r="5588" ht="15" customHeight="1">
      <c r="A5588" t="inlineStr">
        <is>
          <t>A 42664-2022</t>
        </is>
      </c>
      <c r="B5588" s="1" t="n">
        <v>44831</v>
      </c>
      <c r="C5588" s="1" t="n">
        <v>46093</v>
      </c>
      <c r="D5588" t="inlineStr">
        <is>
          <t>VÄSTERNORRLANDS LÄN</t>
        </is>
      </c>
      <c r="E5588" t="inlineStr">
        <is>
          <t>SOLLEFTEÅ</t>
        </is>
      </c>
      <c r="F5588" t="inlineStr">
        <is>
          <t>SCA</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16632-2025</t>
        </is>
      </c>
      <c r="B5589" s="1" t="n">
        <v>45754.36490740741</v>
      </c>
      <c r="C5589" s="1" t="n">
        <v>46093</v>
      </c>
      <c r="D5589" t="inlineStr">
        <is>
          <t>VÄSTERNORRLANDS LÄN</t>
        </is>
      </c>
      <c r="E5589" t="inlineStr">
        <is>
          <t>SOLLEFTEÅ</t>
        </is>
      </c>
      <c r="F5589" t="inlineStr">
        <is>
          <t>SCA</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41586-2024</t>
        </is>
      </c>
      <c r="B5590" s="1" t="n">
        <v>45560.56089120371</v>
      </c>
      <c r="C5590" s="1" t="n">
        <v>46093</v>
      </c>
      <c r="D5590" t="inlineStr">
        <is>
          <t>VÄSTERNORRLANDS LÄN</t>
        </is>
      </c>
      <c r="E5590" t="inlineStr">
        <is>
          <t>ÅNGE</t>
        </is>
      </c>
      <c r="F5590" t="inlineStr">
        <is>
          <t>Holmen skog AB</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41596-2024</t>
        </is>
      </c>
      <c r="B5591" s="1" t="n">
        <v>45560.57388888889</v>
      </c>
      <c r="C5591" s="1" t="n">
        <v>46093</v>
      </c>
      <c r="D5591" t="inlineStr">
        <is>
          <t>VÄSTERNORRLANDS LÄN</t>
        </is>
      </c>
      <c r="E5591" t="inlineStr">
        <is>
          <t>TIMRÅ</t>
        </is>
      </c>
      <c r="F5591" t="inlineStr">
        <is>
          <t>SCA</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40428-2023</t>
        </is>
      </c>
      <c r="B5592" s="1" t="n">
        <v>45169</v>
      </c>
      <c r="C5592" s="1" t="n">
        <v>46093</v>
      </c>
      <c r="D5592" t="inlineStr">
        <is>
          <t>VÄSTERNORRLANDS LÄN</t>
        </is>
      </c>
      <c r="E5592" t="inlineStr">
        <is>
          <t>SUNDSVALL</t>
        </is>
      </c>
      <c r="F5592" t="inlineStr">
        <is>
          <t>SCA</t>
        </is>
      </c>
      <c r="G5592" t="n">
        <v>6.6</v>
      </c>
      <c r="H5592" t="n">
        <v>0</v>
      </c>
      <c r="I5592" t="n">
        <v>0</v>
      </c>
      <c r="J5592" t="n">
        <v>0</v>
      </c>
      <c r="K5592" t="n">
        <v>0</v>
      </c>
      <c r="L5592" t="n">
        <v>0</v>
      </c>
      <c r="M5592" t="n">
        <v>0</v>
      </c>
      <c r="N5592" t="n">
        <v>0</v>
      </c>
      <c r="O5592" t="n">
        <v>0</v>
      </c>
      <c r="P5592" t="n">
        <v>0</v>
      </c>
      <c r="Q5592" t="n">
        <v>0</v>
      </c>
      <c r="R5592" s="2" t="inlineStr"/>
    </row>
    <row r="5593" ht="15" customHeight="1">
      <c r="A5593" t="inlineStr">
        <is>
          <t>A 46619-2025</t>
        </is>
      </c>
      <c r="B5593" s="1" t="n">
        <v>45926.43356481481</v>
      </c>
      <c r="C5593" s="1" t="n">
        <v>46093</v>
      </c>
      <c r="D5593" t="inlineStr">
        <is>
          <t>VÄSTERNORRLANDS LÄN</t>
        </is>
      </c>
      <c r="E5593" t="inlineStr">
        <is>
          <t>ÖRNSKÖLDSVIK</t>
        </is>
      </c>
      <c r="F5593" t="inlineStr">
        <is>
          <t>Holmen skog AB</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45515-2021</t>
        </is>
      </c>
      <c r="B5594" s="1" t="n">
        <v>44440.58136574074</v>
      </c>
      <c r="C5594" s="1" t="n">
        <v>46093</v>
      </c>
      <c r="D5594" t="inlineStr">
        <is>
          <t>VÄSTERNORRLANDS LÄN</t>
        </is>
      </c>
      <c r="E5594" t="inlineStr">
        <is>
          <t>SUNDSVALL</t>
        </is>
      </c>
      <c r="G5594" t="n">
        <v>7.3</v>
      </c>
      <c r="H5594" t="n">
        <v>0</v>
      </c>
      <c r="I5594" t="n">
        <v>0</v>
      </c>
      <c r="J5594" t="n">
        <v>0</v>
      </c>
      <c r="K5594" t="n">
        <v>0</v>
      </c>
      <c r="L5594" t="n">
        <v>0</v>
      </c>
      <c r="M5594" t="n">
        <v>0</v>
      </c>
      <c r="N5594" t="n">
        <v>0</v>
      </c>
      <c r="O5594" t="n">
        <v>0</v>
      </c>
      <c r="P5594" t="n">
        <v>0</v>
      </c>
      <c r="Q5594" t="n">
        <v>0</v>
      </c>
      <c r="R5594" s="2" t="inlineStr"/>
    </row>
    <row r="5595" ht="15" customHeight="1">
      <c r="A5595" t="inlineStr">
        <is>
          <t>A 23676-2022</t>
        </is>
      </c>
      <c r="B5595" s="1" t="n">
        <v>44721</v>
      </c>
      <c r="C5595" s="1" t="n">
        <v>46093</v>
      </c>
      <c r="D5595" t="inlineStr">
        <is>
          <t>VÄSTERNORRLANDS LÄN</t>
        </is>
      </c>
      <c r="E5595" t="inlineStr">
        <is>
          <t>TIMRÅ</t>
        </is>
      </c>
      <c r="F5595" t="inlineStr">
        <is>
          <t>SCA</t>
        </is>
      </c>
      <c r="G5595" t="n">
        <v>4.1</v>
      </c>
      <c r="H5595" t="n">
        <v>0</v>
      </c>
      <c r="I5595" t="n">
        <v>0</v>
      </c>
      <c r="J5595" t="n">
        <v>0</v>
      </c>
      <c r="K5595" t="n">
        <v>0</v>
      </c>
      <c r="L5595" t="n">
        <v>0</v>
      </c>
      <c r="M5595" t="n">
        <v>0</v>
      </c>
      <c r="N5595" t="n">
        <v>0</v>
      </c>
      <c r="O5595" t="n">
        <v>0</v>
      </c>
      <c r="P5595" t="n">
        <v>0</v>
      </c>
      <c r="Q5595" t="n">
        <v>0</v>
      </c>
      <c r="R5595" s="2" t="inlineStr"/>
    </row>
    <row r="5596" ht="15" customHeight="1">
      <c r="A5596" t="inlineStr">
        <is>
          <t>A 46664-2025</t>
        </is>
      </c>
      <c r="B5596" s="1" t="n">
        <v>45926.50829861111</v>
      </c>
      <c r="C5596" s="1" t="n">
        <v>46093</v>
      </c>
      <c r="D5596" t="inlineStr">
        <is>
          <t>VÄSTERNORRLANDS LÄN</t>
        </is>
      </c>
      <c r="E5596" t="inlineStr">
        <is>
          <t>ÖRNSKÖLDSVIK</t>
        </is>
      </c>
      <c r="F5596" t="inlineStr">
        <is>
          <t>Holmen skog AB</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46669-2025</t>
        </is>
      </c>
      <c r="B5597" s="1" t="n">
        <v>45926.53166666667</v>
      </c>
      <c r="C5597" s="1" t="n">
        <v>46093</v>
      </c>
      <c r="D5597" t="inlineStr">
        <is>
          <t>VÄSTERNORRLANDS LÄN</t>
        </is>
      </c>
      <c r="E5597" t="inlineStr">
        <is>
          <t>SUNDSVALL</t>
        </is>
      </c>
      <c r="F5597" t="inlineStr">
        <is>
          <t>SCA</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33757-2022</t>
        </is>
      </c>
      <c r="B5598" s="1" t="n">
        <v>44789</v>
      </c>
      <c r="C5598" s="1" t="n">
        <v>46093</v>
      </c>
      <c r="D5598" t="inlineStr">
        <is>
          <t>VÄSTERNORRLANDS LÄN</t>
        </is>
      </c>
      <c r="E5598" t="inlineStr">
        <is>
          <t>ÖRNSKÖLDSVIK</t>
        </is>
      </c>
      <c r="F5598" t="inlineStr">
        <is>
          <t>Kyrkan</t>
        </is>
      </c>
      <c r="G5598" t="n">
        <v>21.6</v>
      </c>
      <c r="H5598" t="n">
        <v>0</v>
      </c>
      <c r="I5598" t="n">
        <v>0</v>
      </c>
      <c r="J5598" t="n">
        <v>0</v>
      </c>
      <c r="K5598" t="n">
        <v>0</v>
      </c>
      <c r="L5598" t="n">
        <v>0</v>
      </c>
      <c r="M5598" t="n">
        <v>0</v>
      </c>
      <c r="N5598" t="n">
        <v>0</v>
      </c>
      <c r="O5598" t="n">
        <v>0</v>
      </c>
      <c r="P5598" t="n">
        <v>0</v>
      </c>
      <c r="Q5598" t="n">
        <v>0</v>
      </c>
      <c r="R5598" s="2" t="inlineStr"/>
    </row>
    <row r="5599" ht="15" customHeight="1">
      <c r="A5599" t="inlineStr">
        <is>
          <t>A 3188-2025</t>
        </is>
      </c>
      <c r="B5599" s="1" t="n">
        <v>45679.40740740741</v>
      </c>
      <c r="C5599" s="1" t="n">
        <v>46093</v>
      </c>
      <c r="D5599" t="inlineStr">
        <is>
          <t>VÄSTERNORRLANDS LÄN</t>
        </is>
      </c>
      <c r="E5599" t="inlineStr">
        <is>
          <t>SUNDSVALL</t>
        </is>
      </c>
      <c r="F5599" t="inlineStr">
        <is>
          <t>SCA</t>
        </is>
      </c>
      <c r="G5599" t="n">
        <v>7.8</v>
      </c>
      <c r="H5599" t="n">
        <v>0</v>
      </c>
      <c r="I5599" t="n">
        <v>0</v>
      </c>
      <c r="J5599" t="n">
        <v>0</v>
      </c>
      <c r="K5599" t="n">
        <v>0</v>
      </c>
      <c r="L5599" t="n">
        <v>0</v>
      </c>
      <c r="M5599" t="n">
        <v>0</v>
      </c>
      <c r="N5599" t="n">
        <v>0</v>
      </c>
      <c r="O5599" t="n">
        <v>0</v>
      </c>
      <c r="P5599" t="n">
        <v>0</v>
      </c>
      <c r="Q5599" t="n">
        <v>0</v>
      </c>
      <c r="R5599" s="2" t="inlineStr"/>
    </row>
    <row r="5600" ht="15" customHeight="1">
      <c r="A5600" t="inlineStr">
        <is>
          <t>A 3215-2025</t>
        </is>
      </c>
      <c r="B5600" s="1" t="n">
        <v>45679</v>
      </c>
      <c r="C5600" s="1" t="n">
        <v>46093</v>
      </c>
      <c r="D5600" t="inlineStr">
        <is>
          <t>VÄSTERNORRLANDS LÄN</t>
        </is>
      </c>
      <c r="E5600" t="inlineStr">
        <is>
          <t>SUNDSVALL</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5507-2025</t>
        </is>
      </c>
      <c r="B5601" s="1" t="n">
        <v>45693.39252314815</v>
      </c>
      <c r="C5601" s="1" t="n">
        <v>46093</v>
      </c>
      <c r="D5601" t="inlineStr">
        <is>
          <t>VÄSTERNORRLANDS LÄN</t>
        </is>
      </c>
      <c r="E5601" t="inlineStr">
        <is>
          <t>ÖRNSKÖLDSVIK</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5999-2025</t>
        </is>
      </c>
      <c r="B5602" s="1" t="n">
        <v>45695</v>
      </c>
      <c r="C5602" s="1" t="n">
        <v>46093</v>
      </c>
      <c r="D5602" t="inlineStr">
        <is>
          <t>VÄSTERNORRLANDS LÄN</t>
        </is>
      </c>
      <c r="E5602" t="inlineStr">
        <is>
          <t>ÅNGE</t>
        </is>
      </c>
      <c r="F5602" t="inlineStr">
        <is>
          <t>SCA</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46244-2025</t>
        </is>
      </c>
      <c r="B5603" s="1" t="n">
        <v>45925.3240625</v>
      </c>
      <c r="C5603" s="1" t="n">
        <v>46093</v>
      </c>
      <c r="D5603" t="inlineStr">
        <is>
          <t>VÄSTERNORRLANDS LÄN</t>
        </is>
      </c>
      <c r="E5603" t="inlineStr">
        <is>
          <t>HÄRNÖSAND</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46255-2025</t>
        </is>
      </c>
      <c r="B5604" s="1" t="n">
        <v>45925.34540509259</v>
      </c>
      <c r="C5604" s="1" t="n">
        <v>46093</v>
      </c>
      <c r="D5604" t="inlineStr">
        <is>
          <t>VÄSTERNORRLANDS LÄN</t>
        </is>
      </c>
      <c r="E5604" t="inlineStr">
        <is>
          <t>SUNDSVALL</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46694-2025</t>
        </is>
      </c>
      <c r="B5605" s="1" t="n">
        <v>45926.55835648148</v>
      </c>
      <c r="C5605" s="1" t="n">
        <v>46093</v>
      </c>
      <c r="D5605" t="inlineStr">
        <is>
          <t>VÄSTERNORRLANDS LÄN</t>
        </is>
      </c>
      <c r="E5605" t="inlineStr">
        <is>
          <t>ÖRNSKÖLDSVIK</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46711-2025</t>
        </is>
      </c>
      <c r="B5606" s="1" t="n">
        <v>45926.57376157407</v>
      </c>
      <c r="C5606" s="1" t="n">
        <v>46093</v>
      </c>
      <c r="D5606" t="inlineStr">
        <is>
          <t>VÄSTERNORRLANDS LÄN</t>
        </is>
      </c>
      <c r="E5606" t="inlineStr">
        <is>
          <t>ÖRNSKÖLDSVIK</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26723-2022</t>
        </is>
      </c>
      <c r="B5607" s="1" t="n">
        <v>44739</v>
      </c>
      <c r="C5607" s="1" t="n">
        <v>46093</v>
      </c>
      <c r="D5607" t="inlineStr">
        <is>
          <t>VÄSTERNORRLANDS LÄN</t>
        </is>
      </c>
      <c r="E5607" t="inlineStr">
        <is>
          <t>KRAMFORS</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35019-2022</t>
        </is>
      </c>
      <c r="B5608" s="1" t="n">
        <v>44796.94684027778</v>
      </c>
      <c r="C5608" s="1" t="n">
        <v>46093</v>
      </c>
      <c r="D5608" t="inlineStr">
        <is>
          <t>VÄSTERNORRLANDS LÄN</t>
        </is>
      </c>
      <c r="E5608" t="inlineStr">
        <is>
          <t>SOLLEFTEÅ</t>
        </is>
      </c>
      <c r="F5608" t="inlineStr">
        <is>
          <t>SCA</t>
        </is>
      </c>
      <c r="G5608" t="n">
        <v>2.7</v>
      </c>
      <c r="H5608" t="n">
        <v>0</v>
      </c>
      <c r="I5608" t="n">
        <v>0</v>
      </c>
      <c r="J5608" t="n">
        <v>0</v>
      </c>
      <c r="K5608" t="n">
        <v>0</v>
      </c>
      <c r="L5608" t="n">
        <v>0</v>
      </c>
      <c r="M5608" t="n">
        <v>0</v>
      </c>
      <c r="N5608" t="n">
        <v>0</v>
      </c>
      <c r="O5608" t="n">
        <v>0</v>
      </c>
      <c r="P5608" t="n">
        <v>0</v>
      </c>
      <c r="Q5608" t="n">
        <v>0</v>
      </c>
      <c r="R5608" s="2" t="inlineStr"/>
    </row>
    <row r="5609" ht="15" customHeight="1">
      <c r="A5609" t="inlineStr">
        <is>
          <t>A 48441-2024</t>
        </is>
      </c>
      <c r="B5609" s="1" t="n">
        <v>45590.67782407408</v>
      </c>
      <c r="C5609" s="1" t="n">
        <v>46093</v>
      </c>
      <c r="D5609" t="inlineStr">
        <is>
          <t>VÄSTERNORRLANDS LÄN</t>
        </is>
      </c>
      <c r="E5609" t="inlineStr">
        <is>
          <t>SUNDSVALL</t>
        </is>
      </c>
      <c r="G5609" t="n">
        <v>0.3</v>
      </c>
      <c r="H5609" t="n">
        <v>0</v>
      </c>
      <c r="I5609" t="n">
        <v>0</v>
      </c>
      <c r="J5609" t="n">
        <v>0</v>
      </c>
      <c r="K5609" t="n">
        <v>0</v>
      </c>
      <c r="L5609" t="n">
        <v>0</v>
      </c>
      <c r="M5609" t="n">
        <v>0</v>
      </c>
      <c r="N5609" t="n">
        <v>0</v>
      </c>
      <c r="O5609" t="n">
        <v>0</v>
      </c>
      <c r="P5609" t="n">
        <v>0</v>
      </c>
      <c r="Q5609" t="n">
        <v>0</v>
      </c>
      <c r="R5609" s="2" t="inlineStr"/>
    </row>
    <row r="5610" ht="15" customHeight="1">
      <c r="A5610" t="inlineStr">
        <is>
          <t>A 48442-2024</t>
        </is>
      </c>
      <c r="B5610" s="1" t="n">
        <v>45590.67783564814</v>
      </c>
      <c r="C5610" s="1" t="n">
        <v>46093</v>
      </c>
      <c r="D5610" t="inlineStr">
        <is>
          <t>VÄSTERNORRLANDS LÄN</t>
        </is>
      </c>
      <c r="E5610" t="inlineStr">
        <is>
          <t>SUNDSVALL</t>
        </is>
      </c>
      <c r="G5610" t="n">
        <v>0.4</v>
      </c>
      <c r="H5610" t="n">
        <v>0</v>
      </c>
      <c r="I5610" t="n">
        <v>0</v>
      </c>
      <c r="J5610" t="n">
        <v>0</v>
      </c>
      <c r="K5610" t="n">
        <v>0</v>
      </c>
      <c r="L5610" t="n">
        <v>0</v>
      </c>
      <c r="M5610" t="n">
        <v>0</v>
      </c>
      <c r="N5610" t="n">
        <v>0</v>
      </c>
      <c r="O5610" t="n">
        <v>0</v>
      </c>
      <c r="P5610" t="n">
        <v>0</v>
      </c>
      <c r="Q5610" t="n">
        <v>0</v>
      </c>
      <c r="R5610" s="2" t="inlineStr"/>
    </row>
    <row r="5611" ht="15" customHeight="1">
      <c r="A5611" t="inlineStr">
        <is>
          <t>A 46264-2025</t>
        </is>
      </c>
      <c r="B5611" s="1" t="n">
        <v>45925.36289351852</v>
      </c>
      <c r="C5611" s="1" t="n">
        <v>46093</v>
      </c>
      <c r="D5611" t="inlineStr">
        <is>
          <t>VÄSTERNORRLANDS LÄN</t>
        </is>
      </c>
      <c r="E5611" t="inlineStr">
        <is>
          <t>ÖRNSKÖLDSVIK</t>
        </is>
      </c>
      <c r="F5611" t="inlineStr">
        <is>
          <t>Holmen skog AB</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44934-2021</t>
        </is>
      </c>
      <c r="B5612" s="1" t="n">
        <v>44438</v>
      </c>
      <c r="C5612" s="1" t="n">
        <v>46093</v>
      </c>
      <c r="D5612" t="inlineStr">
        <is>
          <t>VÄSTERNORRLANDS LÄN</t>
        </is>
      </c>
      <c r="E5612" t="inlineStr">
        <is>
          <t>SUNDSVALL</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53452-2023</t>
        </is>
      </c>
      <c r="B5613" s="1" t="n">
        <v>45229</v>
      </c>
      <c r="C5613" s="1" t="n">
        <v>46093</v>
      </c>
      <c r="D5613" t="inlineStr">
        <is>
          <t>VÄSTERNORRLANDS LÄN</t>
        </is>
      </c>
      <c r="E5613" t="inlineStr">
        <is>
          <t>SOLLEFTEÅ</t>
        </is>
      </c>
      <c r="F5613" t="inlineStr">
        <is>
          <t>SCA</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53453-2023</t>
        </is>
      </c>
      <c r="B5614" s="1" t="n">
        <v>45229.96586805556</v>
      </c>
      <c r="C5614" s="1" t="n">
        <v>46093</v>
      </c>
      <c r="D5614" t="inlineStr">
        <is>
          <t>VÄSTERNORRLANDS LÄN</t>
        </is>
      </c>
      <c r="E5614" t="inlineStr">
        <is>
          <t>SOLLEFTEÅ</t>
        </is>
      </c>
      <c r="F5614" t="inlineStr">
        <is>
          <t>SCA</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46707-2024</t>
        </is>
      </c>
      <c r="B5615" s="1" t="n">
        <v>45583.44405092593</v>
      </c>
      <c r="C5615" s="1" t="n">
        <v>46093</v>
      </c>
      <c r="D5615" t="inlineStr">
        <is>
          <t>VÄSTERNORRLANDS LÄN</t>
        </is>
      </c>
      <c r="E5615" t="inlineStr">
        <is>
          <t>HÄRNÖSAND</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46759-2024</t>
        </is>
      </c>
      <c r="B5616" s="1" t="n">
        <v>45583.49101851852</v>
      </c>
      <c r="C5616" s="1" t="n">
        <v>46093</v>
      </c>
      <c r="D5616" t="inlineStr">
        <is>
          <t>VÄSTERNORRLANDS LÄN</t>
        </is>
      </c>
      <c r="E5616" t="inlineStr">
        <is>
          <t>SOLLEFTEÅ</t>
        </is>
      </c>
      <c r="F5616" t="inlineStr">
        <is>
          <t>SCA</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46419-2025</t>
        </is>
      </c>
      <c r="B5617" s="1" t="n">
        <v>45925.5949537037</v>
      </c>
      <c r="C5617" s="1" t="n">
        <v>46093</v>
      </c>
      <c r="D5617" t="inlineStr">
        <is>
          <t>VÄSTERNORRLANDS LÄN</t>
        </is>
      </c>
      <c r="E5617" t="inlineStr">
        <is>
          <t>ÅNGE</t>
        </is>
      </c>
      <c r="F5617" t="inlineStr">
        <is>
          <t>SCA</t>
        </is>
      </c>
      <c r="G5617" t="n">
        <v>4.4</v>
      </c>
      <c r="H5617" t="n">
        <v>0</v>
      </c>
      <c r="I5617" t="n">
        <v>0</v>
      </c>
      <c r="J5617" t="n">
        <v>0</v>
      </c>
      <c r="K5617" t="n">
        <v>0</v>
      </c>
      <c r="L5617" t="n">
        <v>0</v>
      </c>
      <c r="M5617" t="n">
        <v>0</v>
      </c>
      <c r="N5617" t="n">
        <v>0</v>
      </c>
      <c r="O5617" t="n">
        <v>0</v>
      </c>
      <c r="P5617" t="n">
        <v>0</v>
      </c>
      <c r="Q5617" t="n">
        <v>0</v>
      </c>
      <c r="R5617" s="2" t="inlineStr"/>
    </row>
    <row r="5618" ht="15" customHeight="1">
      <c r="A5618" t="inlineStr">
        <is>
          <t>A 8488-2025</t>
        </is>
      </c>
      <c r="B5618" s="1" t="n">
        <v>45709.50527777777</v>
      </c>
      <c r="C5618" s="1" t="n">
        <v>46093</v>
      </c>
      <c r="D5618" t="inlineStr">
        <is>
          <t>VÄSTERNORRLANDS LÄN</t>
        </is>
      </c>
      <c r="E5618" t="inlineStr">
        <is>
          <t>SUNDSVALL</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46441-2025</t>
        </is>
      </c>
      <c r="B5619" s="1" t="n">
        <v>45925.64233796296</v>
      </c>
      <c r="C5619" s="1" t="n">
        <v>46093</v>
      </c>
      <c r="D5619" t="inlineStr">
        <is>
          <t>VÄSTERNORRLANDS LÄN</t>
        </is>
      </c>
      <c r="E5619" t="inlineStr">
        <is>
          <t>ÖRNSKÖLDSVIK</t>
        </is>
      </c>
      <c r="F5619" t="inlineStr">
        <is>
          <t>Holmen skog AB</t>
        </is>
      </c>
      <c r="G5619" t="n">
        <v>2.7</v>
      </c>
      <c r="H5619" t="n">
        <v>0</v>
      </c>
      <c r="I5619" t="n">
        <v>0</v>
      </c>
      <c r="J5619" t="n">
        <v>0</v>
      </c>
      <c r="K5619" t="n">
        <v>0</v>
      </c>
      <c r="L5619" t="n">
        <v>0</v>
      </c>
      <c r="M5619" t="n">
        <v>0</v>
      </c>
      <c r="N5619" t="n">
        <v>0</v>
      </c>
      <c r="O5619" t="n">
        <v>0</v>
      </c>
      <c r="P5619" t="n">
        <v>0</v>
      </c>
      <c r="Q5619" t="n">
        <v>0</v>
      </c>
      <c r="R5619" s="2" t="inlineStr"/>
    </row>
    <row r="5620" ht="15" customHeight="1">
      <c r="A5620" t="inlineStr">
        <is>
          <t>A 48265-2024</t>
        </is>
      </c>
      <c r="B5620" s="1" t="n">
        <v>45590.42751157407</v>
      </c>
      <c r="C5620" s="1" t="n">
        <v>46093</v>
      </c>
      <c r="D5620" t="inlineStr">
        <is>
          <t>VÄSTERNORRLANDS LÄN</t>
        </is>
      </c>
      <c r="E5620" t="inlineStr">
        <is>
          <t>SOLLEFTEÅ</t>
        </is>
      </c>
      <c r="F5620" t="inlineStr">
        <is>
          <t>SCA</t>
        </is>
      </c>
      <c r="G5620" t="n">
        <v>3.6</v>
      </c>
      <c r="H5620" t="n">
        <v>0</v>
      </c>
      <c r="I5620" t="n">
        <v>0</v>
      </c>
      <c r="J5620" t="n">
        <v>0</v>
      </c>
      <c r="K5620" t="n">
        <v>0</v>
      </c>
      <c r="L5620" t="n">
        <v>0</v>
      </c>
      <c r="M5620" t="n">
        <v>0</v>
      </c>
      <c r="N5620" t="n">
        <v>0</v>
      </c>
      <c r="O5620" t="n">
        <v>0</v>
      </c>
      <c r="P5620" t="n">
        <v>0</v>
      </c>
      <c r="Q5620" t="n">
        <v>0</v>
      </c>
      <c r="R5620" s="2" t="inlineStr"/>
    </row>
    <row r="5621" ht="15" customHeight="1">
      <c r="A5621" t="inlineStr">
        <is>
          <t>A 48946-2024</t>
        </is>
      </c>
      <c r="B5621" s="1" t="n">
        <v>45594.42736111111</v>
      </c>
      <c r="C5621" s="1" t="n">
        <v>46093</v>
      </c>
      <c r="D5621" t="inlineStr">
        <is>
          <t>VÄSTERNORRLANDS LÄN</t>
        </is>
      </c>
      <c r="E5621" t="inlineStr">
        <is>
          <t>ÅNGE</t>
        </is>
      </c>
      <c r="F5621" t="inlineStr">
        <is>
          <t>SCA</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48950-2024</t>
        </is>
      </c>
      <c r="B5622" s="1" t="n">
        <v>45594.42883101852</v>
      </c>
      <c r="C5622" s="1" t="n">
        <v>46093</v>
      </c>
      <c r="D5622" t="inlineStr">
        <is>
          <t>VÄSTERNORRLANDS LÄN</t>
        </is>
      </c>
      <c r="E5622" t="inlineStr">
        <is>
          <t>SUNDSVALL</t>
        </is>
      </c>
      <c r="F5622" t="inlineStr">
        <is>
          <t>SCA</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46352-2025</t>
        </is>
      </c>
      <c r="B5623" s="1" t="n">
        <v>45925.4865162037</v>
      </c>
      <c r="C5623" s="1" t="n">
        <v>46093</v>
      </c>
      <c r="D5623" t="inlineStr">
        <is>
          <t>VÄSTERNORRLANDS LÄN</t>
        </is>
      </c>
      <c r="E5623" t="inlineStr">
        <is>
          <t>ÖRNSKÖLDSVIK</t>
        </is>
      </c>
      <c r="G5623" t="n">
        <v>14.7</v>
      </c>
      <c r="H5623" t="n">
        <v>0</v>
      </c>
      <c r="I5623" t="n">
        <v>0</v>
      </c>
      <c r="J5623" t="n">
        <v>0</v>
      </c>
      <c r="K5623" t="n">
        <v>0</v>
      </c>
      <c r="L5623" t="n">
        <v>0</v>
      </c>
      <c r="M5623" t="n">
        <v>0</v>
      </c>
      <c r="N5623" t="n">
        <v>0</v>
      </c>
      <c r="O5623" t="n">
        <v>0</v>
      </c>
      <c r="P5623" t="n">
        <v>0</v>
      </c>
      <c r="Q5623" t="n">
        <v>0</v>
      </c>
      <c r="R5623" s="2" t="inlineStr"/>
    </row>
    <row r="5624" ht="15" customHeight="1">
      <c r="A5624" t="inlineStr">
        <is>
          <t>A 46416-2025</t>
        </is>
      </c>
      <c r="B5624" s="1" t="n">
        <v>45925.594375</v>
      </c>
      <c r="C5624" s="1" t="n">
        <v>46093</v>
      </c>
      <c r="D5624" t="inlineStr">
        <is>
          <t>VÄSTERNORRLANDS LÄN</t>
        </is>
      </c>
      <c r="E5624" t="inlineStr">
        <is>
          <t>ÅNGE</t>
        </is>
      </c>
      <c r="F5624" t="inlineStr">
        <is>
          <t>SCA</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47631-2024</t>
        </is>
      </c>
      <c r="B5625" s="1" t="n">
        <v>45588.34465277778</v>
      </c>
      <c r="C5625" s="1" t="n">
        <v>46093</v>
      </c>
      <c r="D5625" t="inlineStr">
        <is>
          <t>VÄSTERNORRLANDS LÄN</t>
        </is>
      </c>
      <c r="E5625" t="inlineStr">
        <is>
          <t>SOLLEFTEÅ</t>
        </is>
      </c>
      <c r="F5625" t="inlineStr">
        <is>
          <t>SCA</t>
        </is>
      </c>
      <c r="G5625" t="n">
        <v>2.7</v>
      </c>
      <c r="H5625" t="n">
        <v>0</v>
      </c>
      <c r="I5625" t="n">
        <v>0</v>
      </c>
      <c r="J5625" t="n">
        <v>0</v>
      </c>
      <c r="K5625" t="n">
        <v>0</v>
      </c>
      <c r="L5625" t="n">
        <v>0</v>
      </c>
      <c r="M5625" t="n">
        <v>0</v>
      </c>
      <c r="N5625" t="n">
        <v>0</v>
      </c>
      <c r="O5625" t="n">
        <v>0</v>
      </c>
      <c r="P5625" t="n">
        <v>0</v>
      </c>
      <c r="Q5625" t="n">
        <v>0</v>
      </c>
      <c r="R5625" s="2" t="inlineStr"/>
    </row>
    <row r="5626" ht="15" customHeight="1">
      <c r="A5626" t="inlineStr">
        <is>
          <t>A 47639-2024</t>
        </is>
      </c>
      <c r="B5626" s="1" t="n">
        <v>45588.36490740741</v>
      </c>
      <c r="C5626" s="1" t="n">
        <v>46093</v>
      </c>
      <c r="D5626" t="inlineStr">
        <is>
          <t>VÄSTERNORRLANDS LÄN</t>
        </is>
      </c>
      <c r="E5626" t="inlineStr">
        <is>
          <t>HÄRNÖSAND</t>
        </is>
      </c>
      <c r="F5626" t="inlineStr">
        <is>
          <t>SCA</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46826-2024</t>
        </is>
      </c>
      <c r="B5627" s="1" t="n">
        <v>45583.58082175926</v>
      </c>
      <c r="C5627" s="1" t="n">
        <v>46093</v>
      </c>
      <c r="D5627" t="inlineStr">
        <is>
          <t>VÄSTERNORRLANDS LÄN</t>
        </is>
      </c>
      <c r="E5627" t="inlineStr">
        <is>
          <t>ÖRNSKÖLDSVIK</t>
        </is>
      </c>
      <c r="F5627" t="inlineStr">
        <is>
          <t>Holmen skog AB</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16709-2024</t>
        </is>
      </c>
      <c r="B5628" s="1" t="n">
        <v>45409.07737268518</v>
      </c>
      <c r="C5628" s="1" t="n">
        <v>46093</v>
      </c>
      <c r="D5628" t="inlineStr">
        <is>
          <t>VÄSTERNORRLANDS LÄN</t>
        </is>
      </c>
      <c r="E5628" t="inlineStr">
        <is>
          <t>SOLLEFTEÅ</t>
        </is>
      </c>
      <c r="F5628" t="inlineStr">
        <is>
          <t>SCA</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54618-2023</t>
        </is>
      </c>
      <c r="B5629" s="1" t="n">
        <v>45233</v>
      </c>
      <c r="C5629" s="1" t="n">
        <v>46093</v>
      </c>
      <c r="D5629" t="inlineStr">
        <is>
          <t>VÄSTERNORRLANDS LÄN</t>
        </is>
      </c>
      <c r="E5629" t="inlineStr">
        <is>
          <t>SOLLEFTEÅ</t>
        </is>
      </c>
      <c r="F5629" t="inlineStr">
        <is>
          <t>SCA</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64482-2023</t>
        </is>
      </c>
      <c r="B5630" s="1" t="n">
        <v>45280</v>
      </c>
      <c r="C5630" s="1" t="n">
        <v>46093</v>
      </c>
      <c r="D5630" t="inlineStr">
        <is>
          <t>VÄSTERNORRLANDS LÄN</t>
        </is>
      </c>
      <c r="E5630" t="inlineStr">
        <is>
          <t>KRAMFORS</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25107-2024</t>
        </is>
      </c>
      <c r="B5631" s="1" t="n">
        <v>45462.43282407407</v>
      </c>
      <c r="C5631" s="1" t="n">
        <v>46093</v>
      </c>
      <c r="D5631" t="inlineStr">
        <is>
          <t>VÄSTERNORRLANDS LÄN</t>
        </is>
      </c>
      <c r="E5631" t="inlineStr">
        <is>
          <t>ÖRNSKÖLDSVIK</t>
        </is>
      </c>
      <c r="F5631" t="inlineStr">
        <is>
          <t>Holmen skog AB</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54570-2024</t>
        </is>
      </c>
      <c r="B5632" s="1" t="n">
        <v>45617.64739583333</v>
      </c>
      <c r="C5632" s="1" t="n">
        <v>46093</v>
      </c>
      <c r="D5632" t="inlineStr">
        <is>
          <t>VÄSTERNORRLANDS LÄN</t>
        </is>
      </c>
      <c r="E5632" t="inlineStr">
        <is>
          <t>SUNDSVALL</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54575-2024</t>
        </is>
      </c>
      <c r="B5633" s="1" t="n">
        <v>45617.65232638889</v>
      </c>
      <c r="C5633" s="1" t="n">
        <v>46093</v>
      </c>
      <c r="D5633" t="inlineStr">
        <is>
          <t>VÄSTERNORRLANDS LÄN</t>
        </is>
      </c>
      <c r="E5633" t="inlineStr">
        <is>
          <t>SOLLEFTEÅ</t>
        </is>
      </c>
      <c r="F5633" t="inlineStr">
        <is>
          <t>Holmen skog AB</t>
        </is>
      </c>
      <c r="G5633" t="n">
        <v>1.7</v>
      </c>
      <c r="H5633" t="n">
        <v>0</v>
      </c>
      <c r="I5633" t="n">
        <v>0</v>
      </c>
      <c r="J5633" t="n">
        <v>0</v>
      </c>
      <c r="K5633" t="n">
        <v>0</v>
      </c>
      <c r="L5633" t="n">
        <v>0</v>
      </c>
      <c r="M5633" t="n">
        <v>0</v>
      </c>
      <c r="N5633" t="n">
        <v>0</v>
      </c>
      <c r="O5633" t="n">
        <v>0</v>
      </c>
      <c r="P5633" t="n">
        <v>0</v>
      </c>
      <c r="Q5633" t="n">
        <v>0</v>
      </c>
      <c r="R5633" s="2" t="inlineStr"/>
      <c r="U5633">
        <f>HYPERLINK("https://klasma.github.io/Logging_2283/knärot/A 54575-2024 karta knärot.png", "A 54575-2024")</f>
        <v/>
      </c>
      <c r="V5633">
        <f>HYPERLINK("https://klasma.github.io/Logging_2283/klagomål/A 54575-2024 FSC-klagomål.docx", "A 54575-2024")</f>
        <v/>
      </c>
      <c r="W5633">
        <f>HYPERLINK("https://klasma.github.io/Logging_2283/klagomålsmail/A 54575-2024 FSC-klagomål mail.docx", "A 54575-2024")</f>
        <v/>
      </c>
      <c r="X5633">
        <f>HYPERLINK("https://klasma.github.io/Logging_2283/tillsyn/A 54575-2024 tillsynsbegäran.docx", "A 54575-2024")</f>
        <v/>
      </c>
      <c r="Y5633">
        <f>HYPERLINK("https://klasma.github.io/Logging_2283/tillsynsmail/A 54575-2024 tillsynsbegäran mail.docx", "A 54575-2024")</f>
        <v/>
      </c>
    </row>
    <row r="5634" ht="15" customHeight="1">
      <c r="A5634" t="inlineStr">
        <is>
          <t>A 40875-2023</t>
        </is>
      </c>
      <c r="B5634" s="1" t="n">
        <v>45173</v>
      </c>
      <c r="C5634" s="1" t="n">
        <v>46093</v>
      </c>
      <c r="D5634" t="inlineStr">
        <is>
          <t>VÄSTERNORRLANDS LÄN</t>
        </is>
      </c>
      <c r="E5634" t="inlineStr">
        <is>
          <t>KRAMFORS</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62224-2022</t>
        </is>
      </c>
      <c r="B5635" s="1" t="n">
        <v>44916</v>
      </c>
      <c r="C5635" s="1" t="n">
        <v>46093</v>
      </c>
      <c r="D5635" t="inlineStr">
        <is>
          <t>VÄSTERNORRLANDS LÄN</t>
        </is>
      </c>
      <c r="E5635" t="inlineStr">
        <is>
          <t>KRAMFORS</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22988-2024</t>
        </is>
      </c>
      <c r="B5636" s="1" t="n">
        <v>45449.94530092592</v>
      </c>
      <c r="C5636" s="1" t="n">
        <v>46093</v>
      </c>
      <c r="D5636" t="inlineStr">
        <is>
          <t>VÄSTERNORRLANDS LÄN</t>
        </is>
      </c>
      <c r="E5636" t="inlineStr">
        <is>
          <t>ÅNGE</t>
        </is>
      </c>
      <c r="F5636" t="inlineStr">
        <is>
          <t>SCA</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62342-2022</t>
        </is>
      </c>
      <c r="B5637" s="1" t="n">
        <v>44916</v>
      </c>
      <c r="C5637" s="1" t="n">
        <v>46093</v>
      </c>
      <c r="D5637" t="inlineStr">
        <is>
          <t>VÄSTERNORRLANDS LÄN</t>
        </is>
      </c>
      <c r="E5637" t="inlineStr">
        <is>
          <t>ÖRNSKÖLDSVIK</t>
        </is>
      </c>
      <c r="G5637" t="n">
        <v>3.5</v>
      </c>
      <c r="H5637" t="n">
        <v>0</v>
      </c>
      <c r="I5637" t="n">
        <v>0</v>
      </c>
      <c r="J5637" t="n">
        <v>0</v>
      </c>
      <c r="K5637" t="n">
        <v>0</v>
      </c>
      <c r="L5637" t="n">
        <v>0</v>
      </c>
      <c r="M5637" t="n">
        <v>0</v>
      </c>
      <c r="N5637" t="n">
        <v>0</v>
      </c>
      <c r="O5637" t="n">
        <v>0</v>
      </c>
      <c r="P5637" t="n">
        <v>0</v>
      </c>
      <c r="Q5637" t="n">
        <v>0</v>
      </c>
      <c r="R5637" s="2" t="inlineStr"/>
    </row>
    <row r="5638" ht="15" customHeight="1">
      <c r="A5638" t="inlineStr">
        <is>
          <t>A 42764-2023</t>
        </is>
      </c>
      <c r="B5638" s="1" t="n">
        <v>45181.71112268518</v>
      </c>
      <c r="C5638" s="1" t="n">
        <v>46093</v>
      </c>
      <c r="D5638" t="inlineStr">
        <is>
          <t>VÄSTERNORRLANDS LÄN</t>
        </is>
      </c>
      <c r="E5638" t="inlineStr">
        <is>
          <t>ÖRNSKÖLDSVIK</t>
        </is>
      </c>
      <c r="F5638" t="inlineStr">
        <is>
          <t>Holmen skog AB</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3501-2023</t>
        </is>
      </c>
      <c r="B5639" s="1" t="n">
        <v>44949</v>
      </c>
      <c r="C5639" s="1" t="n">
        <v>46093</v>
      </c>
      <c r="D5639" t="inlineStr">
        <is>
          <t>VÄSTERNORRLANDS LÄN</t>
        </is>
      </c>
      <c r="E5639" t="inlineStr">
        <is>
          <t>KRAMFORS</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10437-2025</t>
        </is>
      </c>
      <c r="B5640" s="1" t="n">
        <v>45720.67740740741</v>
      </c>
      <c r="C5640" s="1" t="n">
        <v>46093</v>
      </c>
      <c r="D5640" t="inlineStr">
        <is>
          <t>VÄSTERNORRLANDS LÄN</t>
        </is>
      </c>
      <c r="E5640" t="inlineStr">
        <is>
          <t>SOLLEFTEÅ</t>
        </is>
      </c>
      <c r="F5640" t="inlineStr">
        <is>
          <t>SCA</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57363-2022</t>
        </is>
      </c>
      <c r="B5641" s="1" t="n">
        <v>44896.43229166666</v>
      </c>
      <c r="C5641" s="1" t="n">
        <v>46093</v>
      </c>
      <c r="D5641" t="inlineStr">
        <is>
          <t>VÄSTERNORRLANDS LÄN</t>
        </is>
      </c>
      <c r="E5641" t="inlineStr">
        <is>
          <t>SUNDSVALL</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1686-2023</t>
        </is>
      </c>
      <c r="B5642" s="1" t="n">
        <v>44936</v>
      </c>
      <c r="C5642" s="1" t="n">
        <v>46093</v>
      </c>
      <c r="D5642" t="inlineStr">
        <is>
          <t>VÄSTERNORRLANDS LÄN</t>
        </is>
      </c>
      <c r="E5642" t="inlineStr">
        <is>
          <t>ÖRNSKÖLDSVIK</t>
        </is>
      </c>
      <c r="G5642" t="n">
        <v>3.1</v>
      </c>
      <c r="H5642" t="n">
        <v>0</v>
      </c>
      <c r="I5642" t="n">
        <v>0</v>
      </c>
      <c r="J5642" t="n">
        <v>0</v>
      </c>
      <c r="K5642" t="n">
        <v>0</v>
      </c>
      <c r="L5642" t="n">
        <v>0</v>
      </c>
      <c r="M5642" t="n">
        <v>0</v>
      </c>
      <c r="N5642" t="n">
        <v>0</v>
      </c>
      <c r="O5642" t="n">
        <v>0</v>
      </c>
      <c r="P5642" t="n">
        <v>0</v>
      </c>
      <c r="Q5642" t="n">
        <v>0</v>
      </c>
      <c r="R5642" s="2" t="inlineStr"/>
    </row>
    <row r="5643" ht="15" customHeight="1">
      <c r="A5643" t="inlineStr">
        <is>
          <t>A 17462-2025</t>
        </is>
      </c>
      <c r="B5643" s="1" t="n">
        <v>45757.45752314815</v>
      </c>
      <c r="C5643" s="1" t="n">
        <v>46093</v>
      </c>
      <c r="D5643" t="inlineStr">
        <is>
          <t>VÄSTERNORRLANDS LÄN</t>
        </is>
      </c>
      <c r="E5643" t="inlineStr">
        <is>
          <t>ÖRNSKÖLDSVIK</t>
        </is>
      </c>
      <c r="F5643" t="inlineStr">
        <is>
          <t>Holmen skog AB</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46792-2025</t>
        </is>
      </c>
      <c r="B5644" s="1" t="n">
        <v>45926.65543981481</v>
      </c>
      <c r="C5644" s="1" t="n">
        <v>46093</v>
      </c>
      <c r="D5644" t="inlineStr">
        <is>
          <t>VÄSTERNORRLANDS LÄN</t>
        </is>
      </c>
      <c r="E5644" t="inlineStr">
        <is>
          <t>SUNDSVALL</t>
        </is>
      </c>
      <c r="G5644" t="n">
        <v>0.2</v>
      </c>
      <c r="H5644" t="n">
        <v>0</v>
      </c>
      <c r="I5644" t="n">
        <v>0</v>
      </c>
      <c r="J5644" t="n">
        <v>0</v>
      </c>
      <c r="K5644" t="n">
        <v>0</v>
      </c>
      <c r="L5644" t="n">
        <v>0</v>
      </c>
      <c r="M5644" t="n">
        <v>0</v>
      </c>
      <c r="N5644" t="n">
        <v>0</v>
      </c>
      <c r="O5644" t="n">
        <v>0</v>
      </c>
      <c r="P5644" t="n">
        <v>0</v>
      </c>
      <c r="Q5644" t="n">
        <v>0</v>
      </c>
      <c r="R5644" s="2" t="inlineStr"/>
    </row>
    <row r="5645" ht="15" customHeight="1">
      <c r="A5645" t="inlineStr">
        <is>
          <t>A 35451-2022</t>
        </is>
      </c>
      <c r="B5645" s="1" t="n">
        <v>44798</v>
      </c>
      <c r="C5645" s="1" t="n">
        <v>46093</v>
      </c>
      <c r="D5645" t="inlineStr">
        <is>
          <t>VÄSTERNORRLANDS LÄN</t>
        </is>
      </c>
      <c r="E5645" t="inlineStr">
        <is>
          <t>ÖRNSKÖLDSVIK</t>
        </is>
      </c>
      <c r="G5645" t="n">
        <v>2.4</v>
      </c>
      <c r="H5645" t="n">
        <v>0</v>
      </c>
      <c r="I5645" t="n">
        <v>0</v>
      </c>
      <c r="J5645" t="n">
        <v>0</v>
      </c>
      <c r="K5645" t="n">
        <v>0</v>
      </c>
      <c r="L5645" t="n">
        <v>0</v>
      </c>
      <c r="M5645" t="n">
        <v>0</v>
      </c>
      <c r="N5645" t="n">
        <v>0</v>
      </c>
      <c r="O5645" t="n">
        <v>0</v>
      </c>
      <c r="P5645" t="n">
        <v>0</v>
      </c>
      <c r="Q5645" t="n">
        <v>0</v>
      </c>
      <c r="R5645" s="2" t="inlineStr"/>
    </row>
    <row r="5646" ht="15" customHeight="1">
      <c r="A5646" t="inlineStr">
        <is>
          <t>A 17524-2025</t>
        </is>
      </c>
      <c r="B5646" s="1" t="n">
        <v>45757.58121527778</v>
      </c>
      <c r="C5646" s="1" t="n">
        <v>46093</v>
      </c>
      <c r="D5646" t="inlineStr">
        <is>
          <t>VÄSTERNORRLANDS LÄN</t>
        </is>
      </c>
      <c r="E5646" t="inlineStr">
        <is>
          <t>HÄRNÖSAND</t>
        </is>
      </c>
      <c r="G5646" t="n">
        <v>3</v>
      </c>
      <c r="H5646" t="n">
        <v>0</v>
      </c>
      <c r="I5646" t="n">
        <v>0</v>
      </c>
      <c r="J5646" t="n">
        <v>0</v>
      </c>
      <c r="K5646" t="n">
        <v>0</v>
      </c>
      <c r="L5646" t="n">
        <v>0</v>
      </c>
      <c r="M5646" t="n">
        <v>0</v>
      </c>
      <c r="N5646" t="n">
        <v>0</v>
      </c>
      <c r="O5646" t="n">
        <v>0</v>
      </c>
      <c r="P5646" t="n">
        <v>0</v>
      </c>
      <c r="Q5646" t="n">
        <v>0</v>
      </c>
      <c r="R5646" s="2" t="inlineStr"/>
    </row>
    <row r="5647" ht="15" customHeight="1">
      <c r="A5647" t="inlineStr">
        <is>
          <t>A 40319-2024</t>
        </is>
      </c>
      <c r="B5647" s="1" t="n">
        <v>45554.80418981481</v>
      </c>
      <c r="C5647" s="1" t="n">
        <v>46093</v>
      </c>
      <c r="D5647" t="inlineStr">
        <is>
          <t>VÄSTERNORRLANDS LÄN</t>
        </is>
      </c>
      <c r="E5647" t="inlineStr">
        <is>
          <t>SUNDSVALL</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44330-2022</t>
        </is>
      </c>
      <c r="B5648" s="1" t="n">
        <v>44839.65895833333</v>
      </c>
      <c r="C5648" s="1" t="n">
        <v>46093</v>
      </c>
      <c r="D5648" t="inlineStr">
        <is>
          <t>VÄSTERNORRLANDS LÄN</t>
        </is>
      </c>
      <c r="E5648" t="inlineStr">
        <is>
          <t>ÖRNSKÖLDSVIK</t>
        </is>
      </c>
      <c r="F5648" t="inlineStr">
        <is>
          <t>Holmen skog AB</t>
        </is>
      </c>
      <c r="G5648" t="n">
        <v>8.1</v>
      </c>
      <c r="H5648" t="n">
        <v>0</v>
      </c>
      <c r="I5648" t="n">
        <v>0</v>
      </c>
      <c r="J5648" t="n">
        <v>0</v>
      </c>
      <c r="K5648" t="n">
        <v>0</v>
      </c>
      <c r="L5648" t="n">
        <v>0</v>
      </c>
      <c r="M5648" t="n">
        <v>0</v>
      </c>
      <c r="N5648" t="n">
        <v>0</v>
      </c>
      <c r="O5648" t="n">
        <v>0</v>
      </c>
      <c r="P5648" t="n">
        <v>0</v>
      </c>
      <c r="Q5648" t="n">
        <v>0</v>
      </c>
      <c r="R5648" s="2" t="inlineStr"/>
    </row>
    <row r="5649" ht="15" customHeight="1">
      <c r="A5649" t="inlineStr">
        <is>
          <t>A 3023-2023</t>
        </is>
      </c>
      <c r="B5649" s="1" t="n">
        <v>44945</v>
      </c>
      <c r="C5649" s="1" t="n">
        <v>46093</v>
      </c>
      <c r="D5649" t="inlineStr">
        <is>
          <t>VÄSTERNORRLANDS LÄN</t>
        </is>
      </c>
      <c r="E5649" t="inlineStr">
        <is>
          <t>ÅNGE</t>
        </is>
      </c>
      <c r="F5649" t="inlineStr">
        <is>
          <t>SCA</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3025-2023</t>
        </is>
      </c>
      <c r="B5650" s="1" t="n">
        <v>44945</v>
      </c>
      <c r="C5650" s="1" t="n">
        <v>46093</v>
      </c>
      <c r="D5650" t="inlineStr">
        <is>
          <t>VÄSTERNORRLANDS LÄN</t>
        </is>
      </c>
      <c r="E5650" t="inlineStr">
        <is>
          <t>ÅNGE</t>
        </is>
      </c>
      <c r="F5650" t="inlineStr">
        <is>
          <t>SCA</t>
        </is>
      </c>
      <c r="G5650" t="n">
        <v>3.1</v>
      </c>
      <c r="H5650" t="n">
        <v>0</v>
      </c>
      <c r="I5650" t="n">
        <v>0</v>
      </c>
      <c r="J5650" t="n">
        <v>0</v>
      </c>
      <c r="K5650" t="n">
        <v>0</v>
      </c>
      <c r="L5650" t="n">
        <v>0</v>
      </c>
      <c r="M5650" t="n">
        <v>0</v>
      </c>
      <c r="N5650" t="n">
        <v>0</v>
      </c>
      <c r="O5650" t="n">
        <v>0</v>
      </c>
      <c r="P5650" t="n">
        <v>0</v>
      </c>
      <c r="Q5650" t="n">
        <v>0</v>
      </c>
      <c r="R5650" s="2" t="inlineStr"/>
    </row>
    <row r="5651" ht="15" customHeight="1">
      <c r="A5651" t="inlineStr">
        <is>
          <t>A 3026-2023</t>
        </is>
      </c>
      <c r="B5651" s="1" t="n">
        <v>44945</v>
      </c>
      <c r="C5651" s="1" t="n">
        <v>46093</v>
      </c>
      <c r="D5651" t="inlineStr">
        <is>
          <t>VÄSTERNORRLANDS LÄN</t>
        </is>
      </c>
      <c r="E5651" t="inlineStr">
        <is>
          <t>ÖRNSKÖLDSVIK</t>
        </is>
      </c>
      <c r="F5651" t="inlineStr">
        <is>
          <t>SCA</t>
        </is>
      </c>
      <c r="G5651" t="n">
        <v>7.6</v>
      </c>
      <c r="H5651" t="n">
        <v>0</v>
      </c>
      <c r="I5651" t="n">
        <v>0</v>
      </c>
      <c r="J5651" t="n">
        <v>0</v>
      </c>
      <c r="K5651" t="n">
        <v>0</v>
      </c>
      <c r="L5651" t="n">
        <v>0</v>
      </c>
      <c r="M5651" t="n">
        <v>0</v>
      </c>
      <c r="N5651" t="n">
        <v>0</v>
      </c>
      <c r="O5651" t="n">
        <v>0</v>
      </c>
      <c r="P5651" t="n">
        <v>0</v>
      </c>
      <c r="Q5651" t="n">
        <v>0</v>
      </c>
      <c r="R5651" s="2" t="inlineStr"/>
    </row>
    <row r="5652" ht="15" customHeight="1">
      <c r="A5652" t="inlineStr">
        <is>
          <t>A 13604-2024</t>
        </is>
      </c>
      <c r="B5652" s="1" t="n">
        <v>45390</v>
      </c>
      <c r="C5652" s="1" t="n">
        <v>46093</v>
      </c>
      <c r="D5652" t="inlineStr">
        <is>
          <t>VÄSTERNORRLANDS LÄN</t>
        </is>
      </c>
      <c r="E5652" t="inlineStr">
        <is>
          <t>HÄRNÖSAND</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60319-2022</t>
        </is>
      </c>
      <c r="B5653" s="1" t="n">
        <v>44903</v>
      </c>
      <c r="C5653" s="1" t="n">
        <v>46093</v>
      </c>
      <c r="D5653" t="inlineStr">
        <is>
          <t>VÄSTERNORRLANDS LÄN</t>
        </is>
      </c>
      <c r="E5653" t="inlineStr">
        <is>
          <t>ÖRNSKÖLDSVIK</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41287-2024</t>
        </is>
      </c>
      <c r="B5654" s="1" t="n">
        <v>45559</v>
      </c>
      <c r="C5654" s="1" t="n">
        <v>46093</v>
      </c>
      <c r="D5654" t="inlineStr">
        <is>
          <t>VÄSTERNORRLANDS LÄN</t>
        </is>
      </c>
      <c r="E5654" t="inlineStr">
        <is>
          <t>SUNDSVALL</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26015-2024</t>
        </is>
      </c>
      <c r="B5655" s="1" t="n">
        <v>45467.95872685185</v>
      </c>
      <c r="C5655" s="1" t="n">
        <v>46093</v>
      </c>
      <c r="D5655" t="inlineStr">
        <is>
          <t>VÄSTERNORRLANDS LÄN</t>
        </is>
      </c>
      <c r="E5655" t="inlineStr">
        <is>
          <t>ÅNGE</t>
        </is>
      </c>
      <c r="F5655" t="inlineStr">
        <is>
          <t>SCA</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26010-2024</t>
        </is>
      </c>
      <c r="B5656" s="1" t="n">
        <v>45467.95819444444</v>
      </c>
      <c r="C5656" s="1" t="n">
        <v>46093</v>
      </c>
      <c r="D5656" t="inlineStr">
        <is>
          <t>VÄSTERNORRLANDS LÄN</t>
        </is>
      </c>
      <c r="E5656" t="inlineStr">
        <is>
          <t>ÅNGE</t>
        </is>
      </c>
      <c r="F5656" t="inlineStr">
        <is>
          <t>SCA</t>
        </is>
      </c>
      <c r="G5656" t="n">
        <v>2.2</v>
      </c>
      <c r="H5656" t="n">
        <v>0</v>
      </c>
      <c r="I5656" t="n">
        <v>0</v>
      </c>
      <c r="J5656" t="n">
        <v>0</v>
      </c>
      <c r="K5656" t="n">
        <v>0</v>
      </c>
      <c r="L5656" t="n">
        <v>0</v>
      </c>
      <c r="M5656" t="n">
        <v>0</v>
      </c>
      <c r="N5656" t="n">
        <v>0</v>
      </c>
      <c r="O5656" t="n">
        <v>0</v>
      </c>
      <c r="P5656" t="n">
        <v>0</v>
      </c>
      <c r="Q5656" t="n">
        <v>0</v>
      </c>
      <c r="R5656" s="2" t="inlineStr"/>
    </row>
    <row r="5657" ht="15" customHeight="1">
      <c r="A5657" t="inlineStr">
        <is>
          <t>A 46385-2025</t>
        </is>
      </c>
      <c r="B5657" s="1" t="n">
        <v>45925.53165509259</v>
      </c>
      <c r="C5657" s="1" t="n">
        <v>46093</v>
      </c>
      <c r="D5657" t="inlineStr">
        <is>
          <t>VÄSTERNORRLANDS LÄN</t>
        </is>
      </c>
      <c r="E5657" t="inlineStr">
        <is>
          <t>SUNDSVALL</t>
        </is>
      </c>
      <c r="F5657" t="inlineStr">
        <is>
          <t>SCA</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34330-2022</t>
        </is>
      </c>
      <c r="B5658" s="1" t="n">
        <v>44792</v>
      </c>
      <c r="C5658" s="1" t="n">
        <v>46093</v>
      </c>
      <c r="D5658" t="inlineStr">
        <is>
          <t>VÄSTERNORRLANDS LÄN</t>
        </is>
      </c>
      <c r="E5658" t="inlineStr">
        <is>
          <t>KRAMFORS</t>
        </is>
      </c>
      <c r="G5658" t="n">
        <v>5.2</v>
      </c>
      <c r="H5658" t="n">
        <v>0</v>
      </c>
      <c r="I5658" t="n">
        <v>0</v>
      </c>
      <c r="J5658" t="n">
        <v>0</v>
      </c>
      <c r="K5658" t="n">
        <v>0</v>
      </c>
      <c r="L5658" t="n">
        <v>0</v>
      </c>
      <c r="M5658" t="n">
        <v>0</v>
      </c>
      <c r="N5658" t="n">
        <v>0</v>
      </c>
      <c r="O5658" t="n">
        <v>0</v>
      </c>
      <c r="P5658" t="n">
        <v>0</v>
      </c>
      <c r="Q5658" t="n">
        <v>0</v>
      </c>
      <c r="R5658" s="2" t="inlineStr"/>
    </row>
    <row r="5659" ht="15" customHeight="1">
      <c r="A5659" t="inlineStr">
        <is>
          <t>A 46750-2025</t>
        </is>
      </c>
      <c r="B5659" s="1" t="n">
        <v>45926.61511574074</v>
      </c>
      <c r="C5659" s="1" t="n">
        <v>46093</v>
      </c>
      <c r="D5659" t="inlineStr">
        <is>
          <t>VÄSTERNORRLANDS LÄN</t>
        </is>
      </c>
      <c r="E5659" t="inlineStr">
        <is>
          <t>SOLLEFTEÅ</t>
        </is>
      </c>
      <c r="F5659" t="inlineStr">
        <is>
          <t>SCA</t>
        </is>
      </c>
      <c r="G5659" t="n">
        <v>59.9</v>
      </c>
      <c r="H5659" t="n">
        <v>0</v>
      </c>
      <c r="I5659" t="n">
        <v>0</v>
      </c>
      <c r="J5659" t="n">
        <v>0</v>
      </c>
      <c r="K5659" t="n">
        <v>0</v>
      </c>
      <c r="L5659" t="n">
        <v>0</v>
      </c>
      <c r="M5659" t="n">
        <v>0</v>
      </c>
      <c r="N5659" t="n">
        <v>0</v>
      </c>
      <c r="O5659" t="n">
        <v>0</v>
      </c>
      <c r="P5659" t="n">
        <v>0</v>
      </c>
      <c r="Q5659" t="n">
        <v>0</v>
      </c>
      <c r="R5659" s="2" t="inlineStr"/>
    </row>
    <row r="5660" ht="15" customHeight="1">
      <c r="A5660" t="inlineStr">
        <is>
          <t>A 7220-2024</t>
        </is>
      </c>
      <c r="B5660" s="1" t="n">
        <v>45344.63797453704</v>
      </c>
      <c r="C5660" s="1" t="n">
        <v>46093</v>
      </c>
      <c r="D5660" t="inlineStr">
        <is>
          <t>VÄSTERNORRLANDS LÄN</t>
        </is>
      </c>
      <c r="E5660" t="inlineStr">
        <is>
          <t>SUNDSVALL</t>
        </is>
      </c>
      <c r="G5660" t="n">
        <v>2.9</v>
      </c>
      <c r="H5660" t="n">
        <v>0</v>
      </c>
      <c r="I5660" t="n">
        <v>0</v>
      </c>
      <c r="J5660" t="n">
        <v>0</v>
      </c>
      <c r="K5660" t="n">
        <v>0</v>
      </c>
      <c r="L5660" t="n">
        <v>0</v>
      </c>
      <c r="M5660" t="n">
        <v>0</v>
      </c>
      <c r="N5660" t="n">
        <v>0</v>
      </c>
      <c r="O5660" t="n">
        <v>0</v>
      </c>
      <c r="P5660" t="n">
        <v>0</v>
      </c>
      <c r="Q5660" t="n">
        <v>0</v>
      </c>
      <c r="R5660" s="2" t="inlineStr"/>
    </row>
    <row r="5661" ht="15" customHeight="1">
      <c r="A5661" t="inlineStr">
        <is>
          <t>A 7261-2024</t>
        </is>
      </c>
      <c r="B5661" s="1" t="n">
        <v>45344</v>
      </c>
      <c r="C5661" s="1" t="n">
        <v>46093</v>
      </c>
      <c r="D5661" t="inlineStr">
        <is>
          <t>VÄSTERNORRLANDS LÄN</t>
        </is>
      </c>
      <c r="E5661" t="inlineStr">
        <is>
          <t>SOLLEFTEÅ</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46424-2025</t>
        </is>
      </c>
      <c r="B5662" s="1" t="n">
        <v>45925.60076388889</v>
      </c>
      <c r="C5662" s="1" t="n">
        <v>46093</v>
      </c>
      <c r="D5662" t="inlineStr">
        <is>
          <t>VÄSTERNORRLANDS LÄN</t>
        </is>
      </c>
      <c r="E5662" t="inlineStr">
        <is>
          <t>ÖRNSKÖLDSVIK</t>
        </is>
      </c>
      <c r="F5662" t="inlineStr">
        <is>
          <t>Holmen skog AB</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327-2024</t>
        </is>
      </c>
      <c r="B5663" s="1" t="n">
        <v>45295</v>
      </c>
      <c r="C5663" s="1" t="n">
        <v>46093</v>
      </c>
      <c r="D5663" t="inlineStr">
        <is>
          <t>VÄSTERNORRLANDS LÄN</t>
        </is>
      </c>
      <c r="E5663" t="inlineStr">
        <is>
          <t>ÖRNSKÖLDSVIK</t>
        </is>
      </c>
      <c r="G5663" t="n">
        <v>3.4</v>
      </c>
      <c r="H5663" t="n">
        <v>0</v>
      </c>
      <c r="I5663" t="n">
        <v>0</v>
      </c>
      <c r="J5663" t="n">
        <v>0</v>
      </c>
      <c r="K5663" t="n">
        <v>0</v>
      </c>
      <c r="L5663" t="n">
        <v>0</v>
      </c>
      <c r="M5663" t="n">
        <v>0</v>
      </c>
      <c r="N5663" t="n">
        <v>0</v>
      </c>
      <c r="O5663" t="n">
        <v>0</v>
      </c>
      <c r="P5663" t="n">
        <v>0</v>
      </c>
      <c r="Q5663" t="n">
        <v>0</v>
      </c>
      <c r="R5663" s="2" t="inlineStr"/>
    </row>
    <row r="5664" ht="15" customHeight="1">
      <c r="A5664" t="inlineStr">
        <is>
          <t>A 40280-2025</t>
        </is>
      </c>
      <c r="B5664" s="1" t="n">
        <v>45895</v>
      </c>
      <c r="C5664" s="1" t="n">
        <v>46093</v>
      </c>
      <c r="D5664" t="inlineStr">
        <is>
          <t>VÄSTERNORRLANDS LÄN</t>
        </is>
      </c>
      <c r="E5664" t="inlineStr">
        <is>
          <t>SOLLEFTEÅ</t>
        </is>
      </c>
      <c r="F5664" t="inlineStr">
        <is>
          <t>SCA</t>
        </is>
      </c>
      <c r="G5664" t="n">
        <v>4.8</v>
      </c>
      <c r="H5664" t="n">
        <v>0</v>
      </c>
      <c r="I5664" t="n">
        <v>0</v>
      </c>
      <c r="J5664" t="n">
        <v>0</v>
      </c>
      <c r="K5664" t="n">
        <v>0</v>
      </c>
      <c r="L5664" t="n">
        <v>0</v>
      </c>
      <c r="M5664" t="n">
        <v>0</v>
      </c>
      <c r="N5664" t="n">
        <v>0</v>
      </c>
      <c r="O5664" t="n">
        <v>0</v>
      </c>
      <c r="P5664" t="n">
        <v>0</v>
      </c>
      <c r="Q5664" t="n">
        <v>0</v>
      </c>
      <c r="R5664" s="2" t="inlineStr"/>
    </row>
    <row r="5665" ht="15" customHeight="1">
      <c r="A5665" t="inlineStr">
        <is>
          <t>A 12101-2024</t>
        </is>
      </c>
      <c r="B5665" s="1" t="n">
        <v>45376</v>
      </c>
      <c r="C5665" s="1" t="n">
        <v>46093</v>
      </c>
      <c r="D5665" t="inlineStr">
        <is>
          <t>VÄSTERNORRLANDS LÄN</t>
        </is>
      </c>
      <c r="E5665" t="inlineStr">
        <is>
          <t>SUNDSVALL</t>
        </is>
      </c>
      <c r="G5665" t="n">
        <v>6</v>
      </c>
      <c r="H5665" t="n">
        <v>0</v>
      </c>
      <c r="I5665" t="n">
        <v>0</v>
      </c>
      <c r="J5665" t="n">
        <v>0</v>
      </c>
      <c r="K5665" t="n">
        <v>0</v>
      </c>
      <c r="L5665" t="n">
        <v>0</v>
      </c>
      <c r="M5665" t="n">
        <v>0</v>
      </c>
      <c r="N5665" t="n">
        <v>0</v>
      </c>
      <c r="O5665" t="n">
        <v>0</v>
      </c>
      <c r="P5665" t="n">
        <v>0</v>
      </c>
      <c r="Q5665" t="n">
        <v>0</v>
      </c>
      <c r="R5665" s="2" t="inlineStr"/>
    </row>
    <row r="5666" ht="15" customHeight="1">
      <c r="A5666" t="inlineStr">
        <is>
          <t>A 10160-2025</t>
        </is>
      </c>
      <c r="B5666" s="1" t="n">
        <v>45719</v>
      </c>
      <c r="C5666" s="1" t="n">
        <v>46093</v>
      </c>
      <c r="D5666" t="inlineStr">
        <is>
          <t>VÄSTERNORRLANDS LÄN</t>
        </is>
      </c>
      <c r="E5666" t="inlineStr">
        <is>
          <t>ÖRNSKÖLDSVIK</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54639-2023</t>
        </is>
      </c>
      <c r="B5667" s="1" t="n">
        <v>45234.92658564815</v>
      </c>
      <c r="C5667" s="1" t="n">
        <v>46093</v>
      </c>
      <c r="D5667" t="inlineStr">
        <is>
          <t>VÄSTERNORRLANDS LÄN</t>
        </is>
      </c>
      <c r="E5667" t="inlineStr">
        <is>
          <t>SUNDSVALL</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46322-2025</t>
        </is>
      </c>
      <c r="B5668" s="1" t="n">
        <v>45925.44989583334</v>
      </c>
      <c r="C5668" s="1" t="n">
        <v>46093</v>
      </c>
      <c r="D5668" t="inlineStr">
        <is>
          <t>VÄSTERNORRLANDS LÄN</t>
        </is>
      </c>
      <c r="E5668" t="inlineStr">
        <is>
          <t>ÖRNSKÖLDSVIK</t>
        </is>
      </c>
      <c r="F5668" t="inlineStr">
        <is>
          <t>Holmen skog AB</t>
        </is>
      </c>
      <c r="G5668" t="n">
        <v>3.3</v>
      </c>
      <c r="H5668" t="n">
        <v>0</v>
      </c>
      <c r="I5668" t="n">
        <v>0</v>
      </c>
      <c r="J5668" t="n">
        <v>0</v>
      </c>
      <c r="K5668" t="n">
        <v>0</v>
      </c>
      <c r="L5668" t="n">
        <v>0</v>
      </c>
      <c r="M5668" t="n">
        <v>0</v>
      </c>
      <c r="N5668" t="n">
        <v>0</v>
      </c>
      <c r="O5668" t="n">
        <v>0</v>
      </c>
      <c r="P5668" t="n">
        <v>0</v>
      </c>
      <c r="Q5668" t="n">
        <v>0</v>
      </c>
      <c r="R5668" s="2" t="inlineStr"/>
    </row>
    <row r="5669" ht="15" customHeight="1">
      <c r="A5669" t="inlineStr">
        <is>
          <t>A 46709-2025</t>
        </is>
      </c>
      <c r="B5669" s="1" t="n">
        <v>45926.57254629629</v>
      </c>
      <c r="C5669" s="1" t="n">
        <v>46093</v>
      </c>
      <c r="D5669" t="inlineStr">
        <is>
          <t>VÄSTERNORRLANDS LÄN</t>
        </is>
      </c>
      <c r="E5669" t="inlineStr">
        <is>
          <t>ÖRNSKÖLDSVIK</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22390-2025</t>
        </is>
      </c>
      <c r="B5670" s="1" t="n">
        <v>45786.51107638889</v>
      </c>
      <c r="C5670" s="1" t="n">
        <v>46093</v>
      </c>
      <c r="D5670" t="inlineStr">
        <is>
          <t>VÄSTERNORRLANDS LÄN</t>
        </is>
      </c>
      <c r="E5670" t="inlineStr">
        <is>
          <t>SOLLEFTEÅ</t>
        </is>
      </c>
      <c r="G5670" t="n">
        <v>8.6</v>
      </c>
      <c r="H5670" t="n">
        <v>0</v>
      </c>
      <c r="I5670" t="n">
        <v>0</v>
      </c>
      <c r="J5670" t="n">
        <v>0</v>
      </c>
      <c r="K5670" t="n">
        <v>0</v>
      </c>
      <c r="L5670" t="n">
        <v>0</v>
      </c>
      <c r="M5670" t="n">
        <v>0</v>
      </c>
      <c r="N5670" t="n">
        <v>0</v>
      </c>
      <c r="O5670" t="n">
        <v>0</v>
      </c>
      <c r="P5670" t="n">
        <v>0</v>
      </c>
      <c r="Q5670" t="n">
        <v>0</v>
      </c>
      <c r="R5670" s="2" t="inlineStr"/>
    </row>
    <row r="5671" ht="15" customHeight="1">
      <c r="A5671" t="inlineStr">
        <is>
          <t>A 43304-2024</t>
        </is>
      </c>
      <c r="B5671" s="1" t="n">
        <v>45568.43524305556</v>
      </c>
      <c r="C5671" s="1" t="n">
        <v>46093</v>
      </c>
      <c r="D5671" t="inlineStr">
        <is>
          <t>VÄSTERNORRLANDS LÄN</t>
        </is>
      </c>
      <c r="E5671" t="inlineStr">
        <is>
          <t>ÖRNSKÖLDSVIK</t>
        </is>
      </c>
      <c r="F5671" t="inlineStr">
        <is>
          <t>Holmen skog AB</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43576-2022</t>
        </is>
      </c>
      <c r="B5672" s="1" t="n">
        <v>44834</v>
      </c>
      <c r="C5672" s="1" t="n">
        <v>46093</v>
      </c>
      <c r="D5672" t="inlineStr">
        <is>
          <t>VÄSTERNORRLANDS LÄN</t>
        </is>
      </c>
      <c r="E5672" t="inlineStr">
        <is>
          <t>ÖRNSKÖLDSVIK</t>
        </is>
      </c>
      <c r="G5672" t="n">
        <v>6.1</v>
      </c>
      <c r="H5672" t="n">
        <v>0</v>
      </c>
      <c r="I5672" t="n">
        <v>0</v>
      </c>
      <c r="J5672" t="n">
        <v>0</v>
      </c>
      <c r="K5672" t="n">
        <v>0</v>
      </c>
      <c r="L5672" t="n">
        <v>0</v>
      </c>
      <c r="M5672" t="n">
        <v>0</v>
      </c>
      <c r="N5672" t="n">
        <v>0</v>
      </c>
      <c r="O5672" t="n">
        <v>0</v>
      </c>
      <c r="P5672" t="n">
        <v>0</v>
      </c>
      <c r="Q5672" t="n">
        <v>0</v>
      </c>
      <c r="R5672" s="2" t="inlineStr"/>
    </row>
    <row r="5673" ht="15" customHeight="1">
      <c r="A5673" t="inlineStr">
        <is>
          <t>A 46734-2025</t>
        </is>
      </c>
      <c r="B5673" s="1" t="n">
        <v>45926.59780092593</v>
      </c>
      <c r="C5673" s="1" t="n">
        <v>46093</v>
      </c>
      <c r="D5673" t="inlineStr">
        <is>
          <t>VÄSTERNORRLANDS LÄN</t>
        </is>
      </c>
      <c r="E5673" t="inlineStr">
        <is>
          <t>ÖRNSKÖLDSVIK</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43424-2021</t>
        </is>
      </c>
      <c r="B5674" s="1" t="n">
        <v>44432</v>
      </c>
      <c r="C5674" s="1" t="n">
        <v>46093</v>
      </c>
      <c r="D5674" t="inlineStr">
        <is>
          <t>VÄSTERNORRLANDS LÄN</t>
        </is>
      </c>
      <c r="E5674" t="inlineStr">
        <is>
          <t>ÖRNSKÖLDSVIK</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60360-2024</t>
        </is>
      </c>
      <c r="B5675" s="1" t="n">
        <v>45643.44837962963</v>
      </c>
      <c r="C5675" s="1" t="n">
        <v>46093</v>
      </c>
      <c r="D5675" t="inlineStr">
        <is>
          <t>VÄSTERNORRLANDS LÄN</t>
        </is>
      </c>
      <c r="E5675" t="inlineStr">
        <is>
          <t>SOLLEFTEÅ</t>
        </is>
      </c>
      <c r="F5675" t="inlineStr">
        <is>
          <t>SCA</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27593-2022</t>
        </is>
      </c>
      <c r="B5676" s="1" t="n">
        <v>44742</v>
      </c>
      <c r="C5676" s="1" t="n">
        <v>46093</v>
      </c>
      <c r="D5676" t="inlineStr">
        <is>
          <t>VÄSTERNORRLANDS LÄN</t>
        </is>
      </c>
      <c r="E5676" t="inlineStr">
        <is>
          <t>SOLLEFTEÅ</t>
        </is>
      </c>
      <c r="F5676" t="inlineStr">
        <is>
          <t>SCA</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60365-2024</t>
        </is>
      </c>
      <c r="B5677" s="1" t="n">
        <v>45643</v>
      </c>
      <c r="C5677" s="1" t="n">
        <v>46093</v>
      </c>
      <c r="D5677" t="inlineStr">
        <is>
          <t>VÄSTERNORRLANDS LÄN</t>
        </is>
      </c>
      <c r="E5677" t="inlineStr">
        <is>
          <t>ÅNGE</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46784-2025</t>
        </is>
      </c>
      <c r="B5678" s="1" t="n">
        <v>45926</v>
      </c>
      <c r="C5678" s="1" t="n">
        <v>46093</v>
      </c>
      <c r="D5678" t="inlineStr">
        <is>
          <t>VÄSTERNORRLANDS LÄN</t>
        </is>
      </c>
      <c r="E5678" t="inlineStr">
        <is>
          <t>SOLLEFTEÅ</t>
        </is>
      </c>
      <c r="G5678" t="n">
        <v>7.3</v>
      </c>
      <c r="H5678" t="n">
        <v>0</v>
      </c>
      <c r="I5678" t="n">
        <v>0</v>
      </c>
      <c r="J5678" t="n">
        <v>0</v>
      </c>
      <c r="K5678" t="n">
        <v>0</v>
      </c>
      <c r="L5678" t="n">
        <v>0</v>
      </c>
      <c r="M5678" t="n">
        <v>0</v>
      </c>
      <c r="N5678" t="n">
        <v>0</v>
      </c>
      <c r="O5678" t="n">
        <v>0</v>
      </c>
      <c r="P5678" t="n">
        <v>0</v>
      </c>
      <c r="Q5678" t="n">
        <v>0</v>
      </c>
      <c r="R5678" s="2" t="inlineStr"/>
    </row>
    <row r="5679" ht="15" customHeight="1">
      <c r="A5679" t="inlineStr">
        <is>
          <t>A 3689-2023</t>
        </is>
      </c>
      <c r="B5679" s="1" t="n">
        <v>44950</v>
      </c>
      <c r="C5679" s="1" t="n">
        <v>46093</v>
      </c>
      <c r="D5679" t="inlineStr">
        <is>
          <t>VÄSTERNORRLANDS LÄN</t>
        </is>
      </c>
      <c r="E5679" t="inlineStr">
        <is>
          <t>SOLLEFTEÅ</t>
        </is>
      </c>
      <c r="F5679" t="inlineStr">
        <is>
          <t>SCA</t>
        </is>
      </c>
      <c r="G5679" t="n">
        <v>4</v>
      </c>
      <c r="H5679" t="n">
        <v>0</v>
      </c>
      <c r="I5679" t="n">
        <v>0</v>
      </c>
      <c r="J5679" t="n">
        <v>0</v>
      </c>
      <c r="K5679" t="n">
        <v>0</v>
      </c>
      <c r="L5679" t="n">
        <v>0</v>
      </c>
      <c r="M5679" t="n">
        <v>0</v>
      </c>
      <c r="N5679" t="n">
        <v>0</v>
      </c>
      <c r="O5679" t="n">
        <v>0</v>
      </c>
      <c r="P5679" t="n">
        <v>0</v>
      </c>
      <c r="Q5679" t="n">
        <v>0</v>
      </c>
      <c r="R5679" s="2" t="inlineStr"/>
    </row>
    <row r="5680" ht="15" customHeight="1">
      <c r="A5680" t="inlineStr">
        <is>
          <t>A 7959-2025</t>
        </is>
      </c>
      <c r="B5680" s="1" t="n">
        <v>45707.43788194445</v>
      </c>
      <c r="C5680" s="1" t="n">
        <v>46093</v>
      </c>
      <c r="D5680" t="inlineStr">
        <is>
          <t>VÄSTERNORRLANDS LÄN</t>
        </is>
      </c>
      <c r="E5680" t="inlineStr">
        <is>
          <t>SUNDSVALL</t>
        </is>
      </c>
      <c r="G5680" t="n">
        <v>3.5</v>
      </c>
      <c r="H5680" t="n">
        <v>0</v>
      </c>
      <c r="I5680" t="n">
        <v>0</v>
      </c>
      <c r="J5680" t="n">
        <v>0</v>
      </c>
      <c r="K5680" t="n">
        <v>0</v>
      </c>
      <c r="L5680" t="n">
        <v>0</v>
      </c>
      <c r="M5680" t="n">
        <v>0</v>
      </c>
      <c r="N5680" t="n">
        <v>0</v>
      </c>
      <c r="O5680" t="n">
        <v>0</v>
      </c>
      <c r="P5680" t="n">
        <v>0</v>
      </c>
      <c r="Q5680" t="n">
        <v>0</v>
      </c>
      <c r="R5680" s="2" t="inlineStr"/>
    </row>
    <row r="5681" ht="15" customHeight="1">
      <c r="A5681" t="inlineStr">
        <is>
          <t>A 47185-2023</t>
        </is>
      </c>
      <c r="B5681" s="1" t="n">
        <v>45201</v>
      </c>
      <c r="C5681" s="1" t="n">
        <v>46093</v>
      </c>
      <c r="D5681" t="inlineStr">
        <is>
          <t>VÄSTERNORRLANDS LÄN</t>
        </is>
      </c>
      <c r="E5681" t="inlineStr">
        <is>
          <t>SOLLEFTEÅ</t>
        </is>
      </c>
      <c r="F5681" t="inlineStr">
        <is>
          <t>SCA</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47190-2023</t>
        </is>
      </c>
      <c r="B5682" s="1" t="n">
        <v>45202</v>
      </c>
      <c r="C5682" s="1" t="n">
        <v>46093</v>
      </c>
      <c r="D5682" t="inlineStr">
        <is>
          <t>VÄSTERNORRLANDS LÄN</t>
        </is>
      </c>
      <c r="E5682" t="inlineStr">
        <is>
          <t>ÖRNSKÖLDSVIK</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38939-2024</t>
        </is>
      </c>
      <c r="B5683" s="1" t="n">
        <v>45548.34457175926</v>
      </c>
      <c r="C5683" s="1" t="n">
        <v>46093</v>
      </c>
      <c r="D5683" t="inlineStr">
        <is>
          <t>VÄSTERNORRLANDS LÄN</t>
        </is>
      </c>
      <c r="E5683" t="inlineStr">
        <is>
          <t>SUNDSVALL</t>
        </is>
      </c>
      <c r="F5683" t="inlineStr">
        <is>
          <t>SCA</t>
        </is>
      </c>
      <c r="G5683" t="n">
        <v>2.3</v>
      </c>
      <c r="H5683" t="n">
        <v>0</v>
      </c>
      <c r="I5683" t="n">
        <v>0</v>
      </c>
      <c r="J5683" t="n">
        <v>0</v>
      </c>
      <c r="K5683" t="n">
        <v>0</v>
      </c>
      <c r="L5683" t="n">
        <v>0</v>
      </c>
      <c r="M5683" t="n">
        <v>0</v>
      </c>
      <c r="N5683" t="n">
        <v>0</v>
      </c>
      <c r="O5683" t="n">
        <v>0</v>
      </c>
      <c r="P5683" t="n">
        <v>0</v>
      </c>
      <c r="Q5683" t="n">
        <v>0</v>
      </c>
      <c r="R5683" s="2" t="inlineStr"/>
    </row>
    <row r="5684" ht="15" customHeight="1">
      <c r="A5684" t="inlineStr">
        <is>
          <t>A 38942-2024</t>
        </is>
      </c>
      <c r="B5684" s="1" t="n">
        <v>45548.34482638889</v>
      </c>
      <c r="C5684" s="1" t="n">
        <v>46093</v>
      </c>
      <c r="D5684" t="inlineStr">
        <is>
          <t>VÄSTERNORRLANDS LÄN</t>
        </is>
      </c>
      <c r="E5684" t="inlineStr">
        <is>
          <t>SUNDSVALL</t>
        </is>
      </c>
      <c r="F5684" t="inlineStr">
        <is>
          <t>SCA</t>
        </is>
      </c>
      <c r="G5684" t="n">
        <v>3.2</v>
      </c>
      <c r="H5684" t="n">
        <v>0</v>
      </c>
      <c r="I5684" t="n">
        <v>0</v>
      </c>
      <c r="J5684" t="n">
        <v>0</v>
      </c>
      <c r="K5684" t="n">
        <v>0</v>
      </c>
      <c r="L5684" t="n">
        <v>0</v>
      </c>
      <c r="M5684" t="n">
        <v>0</v>
      </c>
      <c r="N5684" t="n">
        <v>0</v>
      </c>
      <c r="O5684" t="n">
        <v>0</v>
      </c>
      <c r="P5684" t="n">
        <v>0</v>
      </c>
      <c r="Q5684" t="n">
        <v>0</v>
      </c>
      <c r="R5684" s="2" t="inlineStr"/>
    </row>
    <row r="5685" ht="15" customHeight="1">
      <c r="A5685" t="inlineStr">
        <is>
          <t>A 46204-2024</t>
        </is>
      </c>
      <c r="B5685" s="1" t="n">
        <v>45581.53958333333</v>
      </c>
      <c r="C5685" s="1" t="n">
        <v>46093</v>
      </c>
      <c r="D5685" t="inlineStr">
        <is>
          <t>VÄSTERNORRLANDS LÄN</t>
        </is>
      </c>
      <c r="E5685" t="inlineStr">
        <is>
          <t>ÖRNSKÖLDSVIK</t>
        </is>
      </c>
      <c r="G5685" t="n">
        <v>0.2</v>
      </c>
      <c r="H5685" t="n">
        <v>0</v>
      </c>
      <c r="I5685" t="n">
        <v>0</v>
      </c>
      <c r="J5685" t="n">
        <v>0</v>
      </c>
      <c r="K5685" t="n">
        <v>0</v>
      </c>
      <c r="L5685" t="n">
        <v>0</v>
      </c>
      <c r="M5685" t="n">
        <v>0</v>
      </c>
      <c r="N5685" t="n">
        <v>0</v>
      </c>
      <c r="O5685" t="n">
        <v>0</v>
      </c>
      <c r="P5685" t="n">
        <v>0</v>
      </c>
      <c r="Q5685" t="n">
        <v>0</v>
      </c>
      <c r="R5685" s="2" t="inlineStr"/>
    </row>
    <row r="5686" ht="15" customHeight="1">
      <c r="A5686" t="inlineStr">
        <is>
          <t>A 38002-2024</t>
        </is>
      </c>
      <c r="B5686" s="1" t="n">
        <v>45544.61484953704</v>
      </c>
      <c r="C5686" s="1" t="n">
        <v>46093</v>
      </c>
      <c r="D5686" t="inlineStr">
        <is>
          <t>VÄSTERNORRLANDS LÄN</t>
        </is>
      </c>
      <c r="E5686" t="inlineStr">
        <is>
          <t>ÅNGE</t>
        </is>
      </c>
      <c r="F5686" t="inlineStr">
        <is>
          <t>SCA</t>
        </is>
      </c>
      <c r="G5686" t="n">
        <v>4.1</v>
      </c>
      <c r="H5686" t="n">
        <v>0</v>
      </c>
      <c r="I5686" t="n">
        <v>0</v>
      </c>
      <c r="J5686" t="n">
        <v>0</v>
      </c>
      <c r="K5686" t="n">
        <v>0</v>
      </c>
      <c r="L5686" t="n">
        <v>0</v>
      </c>
      <c r="M5686" t="n">
        <v>0</v>
      </c>
      <c r="N5686" t="n">
        <v>0</v>
      </c>
      <c r="O5686" t="n">
        <v>0</v>
      </c>
      <c r="P5686" t="n">
        <v>0</v>
      </c>
      <c r="Q5686" t="n">
        <v>0</v>
      </c>
      <c r="R5686" s="2" t="inlineStr"/>
    </row>
    <row r="5687" ht="15" customHeight="1">
      <c r="A5687" t="inlineStr">
        <is>
          <t>A 31546-2024</t>
        </is>
      </c>
      <c r="B5687" s="1" t="n">
        <v>45505</v>
      </c>
      <c r="C5687" s="1" t="n">
        <v>46093</v>
      </c>
      <c r="D5687" t="inlineStr">
        <is>
          <t>VÄSTERNORRLANDS LÄN</t>
        </is>
      </c>
      <c r="E5687" t="inlineStr">
        <is>
          <t>HÄRNÖSAND</t>
        </is>
      </c>
      <c r="F5687" t="inlineStr">
        <is>
          <t>SCA</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36960-2025</t>
        </is>
      </c>
      <c r="B5688" s="1" t="n">
        <v>45874.61506944444</v>
      </c>
      <c r="C5688" s="1" t="n">
        <v>46093</v>
      </c>
      <c r="D5688" t="inlineStr">
        <is>
          <t>VÄSTERNORRLANDS LÄN</t>
        </is>
      </c>
      <c r="E5688" t="inlineStr">
        <is>
          <t>HÄRNÖSAND</t>
        </is>
      </c>
      <c r="G5688" t="n">
        <v>3.5</v>
      </c>
      <c r="H5688" t="n">
        <v>0</v>
      </c>
      <c r="I5688" t="n">
        <v>0</v>
      </c>
      <c r="J5688" t="n">
        <v>0</v>
      </c>
      <c r="K5688" t="n">
        <v>0</v>
      </c>
      <c r="L5688" t="n">
        <v>0</v>
      </c>
      <c r="M5688" t="n">
        <v>0</v>
      </c>
      <c r="N5688" t="n">
        <v>0</v>
      </c>
      <c r="O5688" t="n">
        <v>0</v>
      </c>
      <c r="P5688" t="n">
        <v>0</v>
      </c>
      <c r="Q5688" t="n">
        <v>0</v>
      </c>
      <c r="R5688" s="2" t="inlineStr"/>
    </row>
    <row r="5689" ht="15" customHeight="1">
      <c r="A5689" t="inlineStr">
        <is>
          <t>A 46556-2025</t>
        </is>
      </c>
      <c r="B5689" s="1" t="n">
        <v>45926.32258101852</v>
      </c>
      <c r="C5689" s="1" t="n">
        <v>46093</v>
      </c>
      <c r="D5689" t="inlineStr">
        <is>
          <t>VÄSTERNORRLANDS LÄN</t>
        </is>
      </c>
      <c r="E5689" t="inlineStr">
        <is>
          <t>KRAMFORS</t>
        </is>
      </c>
      <c r="G5689" t="n">
        <v>39</v>
      </c>
      <c r="H5689" t="n">
        <v>0</v>
      </c>
      <c r="I5689" t="n">
        <v>0</v>
      </c>
      <c r="J5689" t="n">
        <v>0</v>
      </c>
      <c r="K5689" t="n">
        <v>0</v>
      </c>
      <c r="L5689" t="n">
        <v>0</v>
      </c>
      <c r="M5689" t="n">
        <v>0</v>
      </c>
      <c r="N5689" t="n">
        <v>0</v>
      </c>
      <c r="O5689" t="n">
        <v>0</v>
      </c>
      <c r="P5689" t="n">
        <v>0</v>
      </c>
      <c r="Q5689" t="n">
        <v>0</v>
      </c>
      <c r="R5689" s="2" t="inlineStr"/>
    </row>
    <row r="5690" ht="15" customHeight="1">
      <c r="A5690" t="inlineStr">
        <is>
          <t>A 31555-2024</t>
        </is>
      </c>
      <c r="B5690" s="1" t="n">
        <v>45505.96484953703</v>
      </c>
      <c r="C5690" s="1" t="n">
        <v>46093</v>
      </c>
      <c r="D5690" t="inlineStr">
        <is>
          <t>VÄSTERNORRLANDS LÄN</t>
        </is>
      </c>
      <c r="E5690" t="inlineStr">
        <is>
          <t>SOLLEFTEÅ</t>
        </is>
      </c>
      <c r="F5690" t="inlineStr">
        <is>
          <t>SCA</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31568-2024</t>
        </is>
      </c>
      <c r="B5691" s="1" t="n">
        <v>45505.96721064814</v>
      </c>
      <c r="C5691" s="1" t="n">
        <v>46093</v>
      </c>
      <c r="D5691" t="inlineStr">
        <is>
          <t>VÄSTERNORRLANDS LÄN</t>
        </is>
      </c>
      <c r="E5691" t="inlineStr">
        <is>
          <t>ÅNGE</t>
        </is>
      </c>
      <c r="F5691" t="inlineStr">
        <is>
          <t>SCA</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46568-2025</t>
        </is>
      </c>
      <c r="B5692" s="1" t="n">
        <v>45926.36578703704</v>
      </c>
      <c r="C5692" s="1" t="n">
        <v>46093</v>
      </c>
      <c r="D5692" t="inlineStr">
        <is>
          <t>VÄSTERNORRLANDS LÄN</t>
        </is>
      </c>
      <c r="E5692" t="inlineStr">
        <is>
          <t>KRAMFORS</t>
        </is>
      </c>
      <c r="G5692" t="n">
        <v>16.4</v>
      </c>
      <c r="H5692" t="n">
        <v>0</v>
      </c>
      <c r="I5692" t="n">
        <v>0</v>
      </c>
      <c r="J5692" t="n">
        <v>0</v>
      </c>
      <c r="K5692" t="n">
        <v>0</v>
      </c>
      <c r="L5692" t="n">
        <v>0</v>
      </c>
      <c r="M5692" t="n">
        <v>0</v>
      </c>
      <c r="N5692" t="n">
        <v>0</v>
      </c>
      <c r="O5692" t="n">
        <v>0</v>
      </c>
      <c r="P5692" t="n">
        <v>0</v>
      </c>
      <c r="Q5692" t="n">
        <v>0</v>
      </c>
      <c r="R5692" s="2" t="inlineStr"/>
    </row>
    <row r="5693" ht="15" customHeight="1">
      <c r="A5693" t="inlineStr">
        <is>
          <t>A 57924-2023</t>
        </is>
      </c>
      <c r="B5693" s="1" t="n">
        <v>45247</v>
      </c>
      <c r="C5693" s="1" t="n">
        <v>46093</v>
      </c>
      <c r="D5693" t="inlineStr">
        <is>
          <t>VÄSTERNORRLANDS LÄN</t>
        </is>
      </c>
      <c r="E5693" t="inlineStr">
        <is>
          <t>ÖRNSKÖLDSVIK</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45630-2024</t>
        </is>
      </c>
      <c r="B5694" s="1" t="n">
        <v>45579.46971064815</v>
      </c>
      <c r="C5694" s="1" t="n">
        <v>46093</v>
      </c>
      <c r="D5694" t="inlineStr">
        <is>
          <t>VÄSTERNORRLANDS LÄN</t>
        </is>
      </c>
      <c r="E5694" t="inlineStr">
        <is>
          <t>TIMRÅ</t>
        </is>
      </c>
      <c r="F5694" t="inlineStr">
        <is>
          <t>SCA</t>
        </is>
      </c>
      <c r="G5694" t="n">
        <v>2.4</v>
      </c>
      <c r="H5694" t="n">
        <v>0</v>
      </c>
      <c r="I5694" t="n">
        <v>0</v>
      </c>
      <c r="J5694" t="n">
        <v>0</v>
      </c>
      <c r="K5694" t="n">
        <v>0</v>
      </c>
      <c r="L5694" t="n">
        <v>0</v>
      </c>
      <c r="M5694" t="n">
        <v>0</v>
      </c>
      <c r="N5694" t="n">
        <v>0</v>
      </c>
      <c r="O5694" t="n">
        <v>0</v>
      </c>
      <c r="P5694" t="n">
        <v>0</v>
      </c>
      <c r="Q5694" t="n">
        <v>0</v>
      </c>
      <c r="R5694" s="2" t="inlineStr"/>
    </row>
    <row r="5695" ht="15" customHeight="1">
      <c r="A5695" t="inlineStr">
        <is>
          <t>A 46791-2025</t>
        </is>
      </c>
      <c r="B5695" s="1" t="n">
        <v>45926.65502314815</v>
      </c>
      <c r="C5695" s="1" t="n">
        <v>46093</v>
      </c>
      <c r="D5695" t="inlineStr">
        <is>
          <t>VÄSTERNORRLANDS LÄN</t>
        </is>
      </c>
      <c r="E5695" t="inlineStr">
        <is>
          <t>SUNDSVALL</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46296-2025</t>
        </is>
      </c>
      <c r="B5696" s="1" t="n">
        <v>45925.39752314815</v>
      </c>
      <c r="C5696" s="1" t="n">
        <v>46093</v>
      </c>
      <c r="D5696" t="inlineStr">
        <is>
          <t>VÄSTERNORRLANDS LÄN</t>
        </is>
      </c>
      <c r="E5696" t="inlineStr">
        <is>
          <t>ÖRNSKÖLDSVIK</t>
        </is>
      </c>
      <c r="F5696" t="inlineStr">
        <is>
          <t>Holmen skog AB</t>
        </is>
      </c>
      <c r="G5696" t="n">
        <v>7.2</v>
      </c>
      <c r="H5696" t="n">
        <v>0</v>
      </c>
      <c r="I5696" t="n">
        <v>0</v>
      </c>
      <c r="J5696" t="n">
        <v>0</v>
      </c>
      <c r="K5696" t="n">
        <v>0</v>
      </c>
      <c r="L5696" t="n">
        <v>0</v>
      </c>
      <c r="M5696" t="n">
        <v>0</v>
      </c>
      <c r="N5696" t="n">
        <v>0</v>
      </c>
      <c r="O5696" t="n">
        <v>0</v>
      </c>
      <c r="P5696" t="n">
        <v>0</v>
      </c>
      <c r="Q5696" t="n">
        <v>0</v>
      </c>
      <c r="R5696" s="2" t="inlineStr"/>
    </row>
    <row r="5697" ht="15" customHeight="1">
      <c r="A5697" t="inlineStr">
        <is>
          <t>A 34822-2024</t>
        </is>
      </c>
      <c r="B5697" s="1" t="n">
        <v>45526.71462962963</v>
      </c>
      <c r="C5697" s="1" t="n">
        <v>46093</v>
      </c>
      <c r="D5697" t="inlineStr">
        <is>
          <t>VÄSTERNORRLANDS LÄN</t>
        </is>
      </c>
      <c r="E5697" t="inlineStr">
        <is>
          <t>SUNDSVALL</t>
        </is>
      </c>
      <c r="F5697" t="inlineStr">
        <is>
          <t>SCA</t>
        </is>
      </c>
      <c r="G5697" t="n">
        <v>3.5</v>
      </c>
      <c r="H5697" t="n">
        <v>0</v>
      </c>
      <c r="I5697" t="n">
        <v>0</v>
      </c>
      <c r="J5697" t="n">
        <v>0</v>
      </c>
      <c r="K5697" t="n">
        <v>0</v>
      </c>
      <c r="L5697" t="n">
        <v>0</v>
      </c>
      <c r="M5697" t="n">
        <v>0</v>
      </c>
      <c r="N5697" t="n">
        <v>0</v>
      </c>
      <c r="O5697" t="n">
        <v>0</v>
      </c>
      <c r="P5697" t="n">
        <v>0</v>
      </c>
      <c r="Q5697" t="n">
        <v>0</v>
      </c>
      <c r="R5697" s="2" t="inlineStr"/>
    </row>
    <row r="5698" ht="15" customHeight="1">
      <c r="A5698" t="inlineStr">
        <is>
          <t>A 20488-2023</t>
        </is>
      </c>
      <c r="B5698" s="1" t="n">
        <v>45057</v>
      </c>
      <c r="C5698" s="1" t="n">
        <v>46093</v>
      </c>
      <c r="D5698" t="inlineStr">
        <is>
          <t>VÄSTERNORRLANDS LÄN</t>
        </is>
      </c>
      <c r="E5698" t="inlineStr">
        <is>
          <t>ÖRNSKÖLDSVIK</t>
        </is>
      </c>
      <c r="G5698" t="n">
        <v>8.800000000000001</v>
      </c>
      <c r="H5698" t="n">
        <v>0</v>
      </c>
      <c r="I5698" t="n">
        <v>0</v>
      </c>
      <c r="J5698" t="n">
        <v>0</v>
      </c>
      <c r="K5698" t="n">
        <v>0</v>
      </c>
      <c r="L5698" t="n">
        <v>0</v>
      </c>
      <c r="M5698" t="n">
        <v>0</v>
      </c>
      <c r="N5698" t="n">
        <v>0</v>
      </c>
      <c r="O5698" t="n">
        <v>0</v>
      </c>
      <c r="P5698" t="n">
        <v>0</v>
      </c>
      <c r="Q5698" t="n">
        <v>0</v>
      </c>
      <c r="R5698" s="2" t="inlineStr"/>
    </row>
    <row r="5699" ht="15" customHeight="1">
      <c r="A5699" t="inlineStr">
        <is>
          <t>A 46114-2024</t>
        </is>
      </c>
      <c r="B5699" s="1" t="n">
        <v>45581</v>
      </c>
      <c r="C5699" s="1" t="n">
        <v>46093</v>
      </c>
      <c r="D5699" t="inlineStr">
        <is>
          <t>VÄSTERNORRLANDS LÄN</t>
        </is>
      </c>
      <c r="E5699" t="inlineStr">
        <is>
          <t>ÖRNSKÖLDSVIK</t>
        </is>
      </c>
      <c r="F5699" t="inlineStr">
        <is>
          <t>Holmen skog AB</t>
        </is>
      </c>
      <c r="G5699" t="n">
        <v>4.5</v>
      </c>
      <c r="H5699" t="n">
        <v>0</v>
      </c>
      <c r="I5699" t="n">
        <v>0</v>
      </c>
      <c r="J5699" t="n">
        <v>0</v>
      </c>
      <c r="K5699" t="n">
        <v>0</v>
      </c>
      <c r="L5699" t="n">
        <v>0</v>
      </c>
      <c r="M5699" t="n">
        <v>0</v>
      </c>
      <c r="N5699" t="n">
        <v>0</v>
      </c>
      <c r="O5699" t="n">
        <v>0</v>
      </c>
      <c r="P5699" t="n">
        <v>0</v>
      </c>
      <c r="Q5699" t="n">
        <v>0</v>
      </c>
      <c r="R5699" s="2" t="inlineStr"/>
    </row>
    <row r="5700" ht="15" customHeight="1">
      <c r="A5700" t="inlineStr">
        <is>
          <t>A 36811-2025</t>
        </is>
      </c>
      <c r="B5700" s="1" t="n">
        <v>45873</v>
      </c>
      <c r="C5700" s="1" t="n">
        <v>46093</v>
      </c>
      <c r="D5700" t="inlineStr">
        <is>
          <t>VÄSTERNORRLANDS LÄN</t>
        </is>
      </c>
      <c r="E5700" t="inlineStr">
        <is>
          <t>ÖRNSKÖLDSVIK</t>
        </is>
      </c>
      <c r="G5700" t="n">
        <v>0.3</v>
      </c>
      <c r="H5700" t="n">
        <v>0</v>
      </c>
      <c r="I5700" t="n">
        <v>0</v>
      </c>
      <c r="J5700" t="n">
        <v>0</v>
      </c>
      <c r="K5700" t="n">
        <v>0</v>
      </c>
      <c r="L5700" t="n">
        <v>0</v>
      </c>
      <c r="M5700" t="n">
        <v>0</v>
      </c>
      <c r="N5700" t="n">
        <v>0</v>
      </c>
      <c r="O5700" t="n">
        <v>0</v>
      </c>
      <c r="P5700" t="n">
        <v>0</v>
      </c>
      <c r="Q5700" t="n">
        <v>0</v>
      </c>
      <c r="R5700" s="2" t="inlineStr"/>
    </row>
    <row r="5701" ht="15" customHeight="1">
      <c r="A5701" t="inlineStr">
        <is>
          <t>A 46648-2025</t>
        </is>
      </c>
      <c r="B5701" s="1" t="n">
        <v>45926.4790625</v>
      </c>
      <c r="C5701" s="1" t="n">
        <v>46093</v>
      </c>
      <c r="D5701" t="inlineStr">
        <is>
          <t>VÄSTERNORRLANDS LÄN</t>
        </is>
      </c>
      <c r="E5701" t="inlineStr">
        <is>
          <t>KRAMFORS</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46615-2025</t>
        </is>
      </c>
      <c r="B5702" s="1" t="n">
        <v>45926.42761574074</v>
      </c>
      <c r="C5702" s="1" t="n">
        <v>46093</v>
      </c>
      <c r="D5702" t="inlineStr">
        <is>
          <t>VÄSTERNORRLANDS LÄN</t>
        </is>
      </c>
      <c r="E5702" t="inlineStr">
        <is>
          <t>KRAMFORS</t>
        </is>
      </c>
      <c r="G5702" t="n">
        <v>9.4</v>
      </c>
      <c r="H5702" t="n">
        <v>0</v>
      </c>
      <c r="I5702" t="n">
        <v>0</v>
      </c>
      <c r="J5702" t="n">
        <v>0</v>
      </c>
      <c r="K5702" t="n">
        <v>0</v>
      </c>
      <c r="L5702" t="n">
        <v>0</v>
      </c>
      <c r="M5702" t="n">
        <v>0</v>
      </c>
      <c r="N5702" t="n">
        <v>0</v>
      </c>
      <c r="O5702" t="n">
        <v>0</v>
      </c>
      <c r="P5702" t="n">
        <v>0</v>
      </c>
      <c r="Q5702" t="n">
        <v>0</v>
      </c>
      <c r="R5702" s="2" t="inlineStr"/>
    </row>
    <row r="5703" ht="15" customHeight="1">
      <c r="A5703" t="inlineStr">
        <is>
          <t>A 44035-2024</t>
        </is>
      </c>
      <c r="B5703" s="1" t="n">
        <v>45572.57914351852</v>
      </c>
      <c r="C5703" s="1" t="n">
        <v>46093</v>
      </c>
      <c r="D5703" t="inlineStr">
        <is>
          <t>VÄSTERNORRLANDS LÄN</t>
        </is>
      </c>
      <c r="E5703" t="inlineStr">
        <is>
          <t>SUNDSVALL</t>
        </is>
      </c>
      <c r="G5703" t="n">
        <v>3.7</v>
      </c>
      <c r="H5703" t="n">
        <v>0</v>
      </c>
      <c r="I5703" t="n">
        <v>0</v>
      </c>
      <c r="J5703" t="n">
        <v>0</v>
      </c>
      <c r="K5703" t="n">
        <v>0</v>
      </c>
      <c r="L5703" t="n">
        <v>0</v>
      </c>
      <c r="M5703" t="n">
        <v>0</v>
      </c>
      <c r="N5703" t="n">
        <v>0</v>
      </c>
      <c r="O5703" t="n">
        <v>0</v>
      </c>
      <c r="P5703" t="n">
        <v>0</v>
      </c>
      <c r="Q5703" t="n">
        <v>0</v>
      </c>
      <c r="R5703" s="2" t="inlineStr"/>
    </row>
    <row r="5704" ht="15" customHeight="1">
      <c r="A5704" t="inlineStr">
        <is>
          <t>A 44565-2024</t>
        </is>
      </c>
      <c r="B5704" s="1" t="n">
        <v>45574.47518518518</v>
      </c>
      <c r="C5704" s="1" t="n">
        <v>46093</v>
      </c>
      <c r="D5704" t="inlineStr">
        <is>
          <t>VÄSTERNORRLANDS LÄN</t>
        </is>
      </c>
      <c r="E5704" t="inlineStr">
        <is>
          <t>ÅNGE</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46356-2025</t>
        </is>
      </c>
      <c r="B5705" s="1" t="n">
        <v>45925.49037037037</v>
      </c>
      <c r="C5705" s="1" t="n">
        <v>46093</v>
      </c>
      <c r="D5705" t="inlineStr">
        <is>
          <t>VÄSTERNORRLANDS LÄN</t>
        </is>
      </c>
      <c r="E5705" t="inlineStr">
        <is>
          <t>SUNDSVALL</t>
        </is>
      </c>
      <c r="F5705" t="inlineStr">
        <is>
          <t>SCA</t>
        </is>
      </c>
      <c r="G5705" t="n">
        <v>22.4</v>
      </c>
      <c r="H5705" t="n">
        <v>0</v>
      </c>
      <c r="I5705" t="n">
        <v>0</v>
      </c>
      <c r="J5705" t="n">
        <v>0</v>
      </c>
      <c r="K5705" t="n">
        <v>0</v>
      </c>
      <c r="L5705" t="n">
        <v>0</v>
      </c>
      <c r="M5705" t="n">
        <v>0</v>
      </c>
      <c r="N5705" t="n">
        <v>0</v>
      </c>
      <c r="O5705" t="n">
        <v>0</v>
      </c>
      <c r="P5705" t="n">
        <v>0</v>
      </c>
      <c r="Q5705" t="n">
        <v>0</v>
      </c>
      <c r="R5705" s="2" t="inlineStr"/>
    </row>
    <row r="5706" ht="15" customHeight="1">
      <c r="A5706" t="inlineStr">
        <is>
          <t>A 16113-2025</t>
        </is>
      </c>
      <c r="B5706" s="1" t="n">
        <v>45750</v>
      </c>
      <c r="C5706" s="1" t="n">
        <v>46093</v>
      </c>
      <c r="D5706" t="inlineStr">
        <is>
          <t>VÄSTERNORRLANDS LÄN</t>
        </is>
      </c>
      <c r="E5706" t="inlineStr">
        <is>
          <t>KRAMFORS</t>
        </is>
      </c>
      <c r="G5706" t="n">
        <v>13.1</v>
      </c>
      <c r="H5706" t="n">
        <v>0</v>
      </c>
      <c r="I5706" t="n">
        <v>0</v>
      </c>
      <c r="J5706" t="n">
        <v>0</v>
      </c>
      <c r="K5706" t="n">
        <v>0</v>
      </c>
      <c r="L5706" t="n">
        <v>0</v>
      </c>
      <c r="M5706" t="n">
        <v>0</v>
      </c>
      <c r="N5706" t="n">
        <v>0</v>
      </c>
      <c r="O5706" t="n">
        <v>0</v>
      </c>
      <c r="P5706" t="n">
        <v>0</v>
      </c>
      <c r="Q5706" t="n">
        <v>0</v>
      </c>
      <c r="R5706" s="2" t="inlineStr"/>
    </row>
    <row r="5707" ht="15" customHeight="1">
      <c r="A5707" t="inlineStr">
        <is>
          <t>A 35484-2022</t>
        </is>
      </c>
      <c r="B5707" s="1" t="n">
        <v>44798.92724537037</v>
      </c>
      <c r="C5707" s="1" t="n">
        <v>46093</v>
      </c>
      <c r="D5707" t="inlineStr">
        <is>
          <t>VÄSTERNORRLANDS LÄN</t>
        </is>
      </c>
      <c r="E5707" t="inlineStr">
        <is>
          <t>SUNDSVALL</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36044-2024</t>
        </is>
      </c>
      <c r="B5708" s="1" t="n">
        <v>45533.60923611111</v>
      </c>
      <c r="C5708" s="1" t="n">
        <v>46093</v>
      </c>
      <c r="D5708" t="inlineStr">
        <is>
          <t>VÄSTERNORRLANDS LÄN</t>
        </is>
      </c>
      <c r="E5708" t="inlineStr">
        <is>
          <t>ÖRNSKÖLDSVIK</t>
        </is>
      </c>
      <c r="G5708" t="n">
        <v>6.6</v>
      </c>
      <c r="H5708" t="n">
        <v>0</v>
      </c>
      <c r="I5708" t="n">
        <v>0</v>
      </c>
      <c r="J5708" t="n">
        <v>0</v>
      </c>
      <c r="K5708" t="n">
        <v>0</v>
      </c>
      <c r="L5708" t="n">
        <v>0</v>
      </c>
      <c r="M5708" t="n">
        <v>0</v>
      </c>
      <c r="N5708" t="n">
        <v>0</v>
      </c>
      <c r="O5708" t="n">
        <v>0</v>
      </c>
      <c r="P5708" t="n">
        <v>0</v>
      </c>
      <c r="Q5708" t="n">
        <v>0</v>
      </c>
      <c r="R5708" s="2" t="inlineStr"/>
    </row>
    <row r="5709" ht="15" customHeight="1">
      <c r="A5709" t="inlineStr">
        <is>
          <t>A 36101-2024</t>
        </is>
      </c>
      <c r="B5709" s="1" t="n">
        <v>45533</v>
      </c>
      <c r="C5709" s="1" t="n">
        <v>46093</v>
      </c>
      <c r="D5709" t="inlineStr">
        <is>
          <t>VÄSTERNORRLANDS LÄN</t>
        </is>
      </c>
      <c r="E5709" t="inlineStr">
        <is>
          <t>SUNDSVALL</t>
        </is>
      </c>
      <c r="G5709" t="n">
        <v>3</v>
      </c>
      <c r="H5709" t="n">
        <v>0</v>
      </c>
      <c r="I5709" t="n">
        <v>0</v>
      </c>
      <c r="J5709" t="n">
        <v>0</v>
      </c>
      <c r="K5709" t="n">
        <v>0</v>
      </c>
      <c r="L5709" t="n">
        <v>0</v>
      </c>
      <c r="M5709" t="n">
        <v>0</v>
      </c>
      <c r="N5709" t="n">
        <v>0</v>
      </c>
      <c r="O5709" t="n">
        <v>0</v>
      </c>
      <c r="P5709" t="n">
        <v>0</v>
      </c>
      <c r="Q5709" t="n">
        <v>0</v>
      </c>
      <c r="R5709" s="2" t="inlineStr"/>
    </row>
    <row r="5710" ht="15" customHeight="1">
      <c r="A5710" t="inlineStr">
        <is>
          <t>A 19997-2023</t>
        </is>
      </c>
      <c r="B5710" s="1" t="n">
        <v>45054</v>
      </c>
      <c r="C5710" s="1" t="n">
        <v>46093</v>
      </c>
      <c r="D5710" t="inlineStr">
        <is>
          <t>VÄSTERNORRLANDS LÄN</t>
        </is>
      </c>
      <c r="E5710" t="inlineStr">
        <is>
          <t>ÅNGE</t>
        </is>
      </c>
      <c r="G5710" t="n">
        <v>0.3</v>
      </c>
      <c r="H5710" t="n">
        <v>0</v>
      </c>
      <c r="I5710" t="n">
        <v>0</v>
      </c>
      <c r="J5710" t="n">
        <v>0</v>
      </c>
      <c r="K5710" t="n">
        <v>0</v>
      </c>
      <c r="L5710" t="n">
        <v>0</v>
      </c>
      <c r="M5710" t="n">
        <v>0</v>
      </c>
      <c r="N5710" t="n">
        <v>0</v>
      </c>
      <c r="O5710" t="n">
        <v>0</v>
      </c>
      <c r="P5710" t="n">
        <v>0</v>
      </c>
      <c r="Q5710" t="n">
        <v>0</v>
      </c>
      <c r="R5710" s="2" t="inlineStr"/>
    </row>
    <row r="5711" ht="15" customHeight="1">
      <c r="A5711" t="inlineStr">
        <is>
          <t>A 47149-2025</t>
        </is>
      </c>
      <c r="B5711" s="1" t="n">
        <v>45929.71913194445</v>
      </c>
      <c r="C5711" s="1" t="n">
        <v>46093</v>
      </c>
      <c r="D5711" t="inlineStr">
        <is>
          <t>VÄSTERNORRLANDS LÄN</t>
        </is>
      </c>
      <c r="E5711" t="inlineStr">
        <is>
          <t>SUNDSVALL</t>
        </is>
      </c>
      <c r="G5711" t="n">
        <v>3.6</v>
      </c>
      <c r="H5711" t="n">
        <v>0</v>
      </c>
      <c r="I5711" t="n">
        <v>0</v>
      </c>
      <c r="J5711" t="n">
        <v>0</v>
      </c>
      <c r="K5711" t="n">
        <v>0</v>
      </c>
      <c r="L5711" t="n">
        <v>0</v>
      </c>
      <c r="M5711" t="n">
        <v>0</v>
      </c>
      <c r="N5711" t="n">
        <v>0</v>
      </c>
      <c r="O5711" t="n">
        <v>0</v>
      </c>
      <c r="P5711" t="n">
        <v>0</v>
      </c>
      <c r="Q5711" t="n">
        <v>0</v>
      </c>
      <c r="R5711" s="2" t="inlineStr"/>
    </row>
    <row r="5712" ht="15" customHeight="1">
      <c r="A5712" t="inlineStr">
        <is>
          <t>A 11871-2025</t>
        </is>
      </c>
      <c r="B5712" s="1" t="n">
        <v>45728.42740740741</v>
      </c>
      <c r="C5712" s="1" t="n">
        <v>46093</v>
      </c>
      <c r="D5712" t="inlineStr">
        <is>
          <t>VÄSTERNORRLANDS LÄN</t>
        </is>
      </c>
      <c r="E5712" t="inlineStr">
        <is>
          <t>ÅNGE</t>
        </is>
      </c>
      <c r="F5712" t="inlineStr">
        <is>
          <t>SCA</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47090-2025</t>
        </is>
      </c>
      <c r="B5713" s="1" t="n">
        <v>45929.64990740741</v>
      </c>
      <c r="C5713" s="1" t="n">
        <v>46093</v>
      </c>
      <c r="D5713" t="inlineStr">
        <is>
          <t>VÄSTERNORRLANDS LÄN</t>
        </is>
      </c>
      <c r="E5713" t="inlineStr">
        <is>
          <t>ÖRNSKÖLDSVIK</t>
        </is>
      </c>
      <c r="G5713" t="n">
        <v>3.4</v>
      </c>
      <c r="H5713" t="n">
        <v>0</v>
      </c>
      <c r="I5713" t="n">
        <v>0</v>
      </c>
      <c r="J5713" t="n">
        <v>0</v>
      </c>
      <c r="K5713" t="n">
        <v>0</v>
      </c>
      <c r="L5713" t="n">
        <v>0</v>
      </c>
      <c r="M5713" t="n">
        <v>0</v>
      </c>
      <c r="N5713" t="n">
        <v>0</v>
      </c>
      <c r="O5713" t="n">
        <v>0</v>
      </c>
      <c r="P5713" t="n">
        <v>0</v>
      </c>
      <c r="Q5713" t="n">
        <v>0</v>
      </c>
      <c r="R5713" s="2" t="inlineStr"/>
    </row>
    <row r="5714" ht="15" customHeight="1">
      <c r="A5714" t="inlineStr">
        <is>
          <t>A 36139-2024</t>
        </is>
      </c>
      <c r="B5714" s="1" t="n">
        <v>45534.35474537037</v>
      </c>
      <c r="C5714" s="1" t="n">
        <v>46093</v>
      </c>
      <c r="D5714" t="inlineStr">
        <is>
          <t>VÄSTERNORRLANDS LÄN</t>
        </is>
      </c>
      <c r="E5714" t="inlineStr">
        <is>
          <t>SOLLEFTEÅ</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36144-2024</t>
        </is>
      </c>
      <c r="B5715" s="1" t="n">
        <v>45534.36309027778</v>
      </c>
      <c r="C5715" s="1" t="n">
        <v>46093</v>
      </c>
      <c r="D5715" t="inlineStr">
        <is>
          <t>VÄSTERNORRLANDS LÄN</t>
        </is>
      </c>
      <c r="E5715" t="inlineStr">
        <is>
          <t>SOLLEFTEÅ</t>
        </is>
      </c>
      <c r="G5715" t="n">
        <v>0.4</v>
      </c>
      <c r="H5715" t="n">
        <v>0</v>
      </c>
      <c r="I5715" t="n">
        <v>0</v>
      </c>
      <c r="J5715" t="n">
        <v>0</v>
      </c>
      <c r="K5715" t="n">
        <v>0</v>
      </c>
      <c r="L5715" t="n">
        <v>0</v>
      </c>
      <c r="M5715" t="n">
        <v>0</v>
      </c>
      <c r="N5715" t="n">
        <v>0</v>
      </c>
      <c r="O5715" t="n">
        <v>0</v>
      </c>
      <c r="P5715" t="n">
        <v>0</v>
      </c>
      <c r="Q5715" t="n">
        <v>0</v>
      </c>
      <c r="R5715" s="2" t="inlineStr"/>
    </row>
    <row r="5716" ht="15" customHeight="1">
      <c r="A5716" t="inlineStr">
        <is>
          <t>A 8632-2023</t>
        </is>
      </c>
      <c r="B5716" s="1" t="n">
        <v>44977.934375</v>
      </c>
      <c r="C5716" s="1" t="n">
        <v>46093</v>
      </c>
      <c r="D5716" t="inlineStr">
        <is>
          <t>VÄSTERNORRLANDS LÄN</t>
        </is>
      </c>
      <c r="E5716" t="inlineStr">
        <is>
          <t>TIMRÅ</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1559-2024</t>
        </is>
      </c>
      <c r="B5717" s="1" t="n">
        <v>45306</v>
      </c>
      <c r="C5717" s="1" t="n">
        <v>46093</v>
      </c>
      <c r="D5717" t="inlineStr">
        <is>
          <t>VÄSTERNORRLANDS LÄN</t>
        </is>
      </c>
      <c r="E5717" t="inlineStr">
        <is>
          <t>ÖRNSKÖLDSVIK</t>
        </is>
      </c>
      <c r="F5717" t="inlineStr">
        <is>
          <t>Holmen skog AB</t>
        </is>
      </c>
      <c r="G5717" t="n">
        <v>3.7</v>
      </c>
      <c r="H5717" t="n">
        <v>0</v>
      </c>
      <c r="I5717" t="n">
        <v>0</v>
      </c>
      <c r="J5717" t="n">
        <v>0</v>
      </c>
      <c r="K5717" t="n">
        <v>0</v>
      </c>
      <c r="L5717" t="n">
        <v>0</v>
      </c>
      <c r="M5717" t="n">
        <v>0</v>
      </c>
      <c r="N5717" t="n">
        <v>0</v>
      </c>
      <c r="O5717" t="n">
        <v>0</v>
      </c>
      <c r="P5717" t="n">
        <v>0</v>
      </c>
      <c r="Q5717" t="n">
        <v>0</v>
      </c>
      <c r="R5717" s="2" t="inlineStr"/>
    </row>
    <row r="5718" ht="15" customHeight="1">
      <c r="A5718" t="inlineStr">
        <is>
          <t>A 47066-2025</t>
        </is>
      </c>
      <c r="B5718" s="1" t="n">
        <v>45929.63315972222</v>
      </c>
      <c r="C5718" s="1" t="n">
        <v>46093</v>
      </c>
      <c r="D5718" t="inlineStr">
        <is>
          <t>VÄSTERNORRLANDS LÄN</t>
        </is>
      </c>
      <c r="E5718" t="inlineStr">
        <is>
          <t>ÖRNSKÖLDSVIK</t>
        </is>
      </c>
      <c r="F5718" t="inlineStr">
        <is>
          <t>Holmen skog AB</t>
        </is>
      </c>
      <c r="G5718" t="n">
        <v>19.4</v>
      </c>
      <c r="H5718" t="n">
        <v>0</v>
      </c>
      <c r="I5718" t="n">
        <v>0</v>
      </c>
      <c r="J5718" t="n">
        <v>0</v>
      </c>
      <c r="K5718" t="n">
        <v>0</v>
      </c>
      <c r="L5718" t="n">
        <v>0</v>
      </c>
      <c r="M5718" t="n">
        <v>0</v>
      </c>
      <c r="N5718" t="n">
        <v>0</v>
      </c>
      <c r="O5718" t="n">
        <v>0</v>
      </c>
      <c r="P5718" t="n">
        <v>0</v>
      </c>
      <c r="Q5718" t="n">
        <v>0</v>
      </c>
      <c r="R5718" s="2" t="inlineStr"/>
    </row>
    <row r="5719" ht="15" customHeight="1">
      <c r="A5719" t="inlineStr">
        <is>
          <t>A 47209-2025</t>
        </is>
      </c>
      <c r="B5719" s="1" t="n">
        <v>45930.37652777778</v>
      </c>
      <c r="C5719" s="1" t="n">
        <v>46093</v>
      </c>
      <c r="D5719" t="inlineStr">
        <is>
          <t>VÄSTERNORRLANDS LÄN</t>
        </is>
      </c>
      <c r="E5719" t="inlineStr">
        <is>
          <t>ÖRNSKÖLDSVIK</t>
        </is>
      </c>
      <c r="F5719" t="inlineStr">
        <is>
          <t>Holmen skog AB</t>
        </is>
      </c>
      <c r="G5719" t="n">
        <v>13.4</v>
      </c>
      <c r="H5719" t="n">
        <v>0</v>
      </c>
      <c r="I5719" t="n">
        <v>0</v>
      </c>
      <c r="J5719" t="n">
        <v>0</v>
      </c>
      <c r="K5719" t="n">
        <v>0</v>
      </c>
      <c r="L5719" t="n">
        <v>0</v>
      </c>
      <c r="M5719" t="n">
        <v>0</v>
      </c>
      <c r="N5719" t="n">
        <v>0</v>
      </c>
      <c r="O5719" t="n">
        <v>0</v>
      </c>
      <c r="P5719" t="n">
        <v>0</v>
      </c>
      <c r="Q5719" t="n">
        <v>0</v>
      </c>
      <c r="R5719" s="2" t="inlineStr"/>
    </row>
    <row r="5720" ht="15" customHeight="1">
      <c r="A5720" t="inlineStr">
        <is>
          <t>A 14300-2025</t>
        </is>
      </c>
      <c r="B5720" s="1" t="n">
        <v>45740.68648148148</v>
      </c>
      <c r="C5720" s="1" t="n">
        <v>46093</v>
      </c>
      <c r="D5720" t="inlineStr">
        <is>
          <t>VÄSTERNORRLANDS LÄN</t>
        </is>
      </c>
      <c r="E5720" t="inlineStr">
        <is>
          <t>ÖRNSKÖLDSVIK</t>
        </is>
      </c>
      <c r="F5720" t="inlineStr">
        <is>
          <t>Holmen skog AB</t>
        </is>
      </c>
      <c r="G5720" t="n">
        <v>6</v>
      </c>
      <c r="H5720" t="n">
        <v>0</v>
      </c>
      <c r="I5720" t="n">
        <v>0</v>
      </c>
      <c r="J5720" t="n">
        <v>0</v>
      </c>
      <c r="K5720" t="n">
        <v>0</v>
      </c>
      <c r="L5720" t="n">
        <v>0</v>
      </c>
      <c r="M5720" t="n">
        <v>0</v>
      </c>
      <c r="N5720" t="n">
        <v>0</v>
      </c>
      <c r="O5720" t="n">
        <v>0</v>
      </c>
      <c r="P5720" t="n">
        <v>0</v>
      </c>
      <c r="Q5720" t="n">
        <v>0</v>
      </c>
      <c r="R5720" s="2" t="inlineStr"/>
    </row>
    <row r="5721" ht="15" customHeight="1">
      <c r="A5721" t="inlineStr">
        <is>
          <t>A 12310-2024</t>
        </is>
      </c>
      <c r="B5721" s="1" t="n">
        <v>45377</v>
      </c>
      <c r="C5721" s="1" t="n">
        <v>46093</v>
      </c>
      <c r="D5721" t="inlineStr">
        <is>
          <t>VÄSTERNORRLANDS LÄN</t>
        </is>
      </c>
      <c r="E5721" t="inlineStr">
        <is>
          <t>SUNDSVALL</t>
        </is>
      </c>
      <c r="G5721" t="n">
        <v>3.6</v>
      </c>
      <c r="H5721" t="n">
        <v>0</v>
      </c>
      <c r="I5721" t="n">
        <v>0</v>
      </c>
      <c r="J5721" t="n">
        <v>0</v>
      </c>
      <c r="K5721" t="n">
        <v>0</v>
      </c>
      <c r="L5721" t="n">
        <v>0</v>
      </c>
      <c r="M5721" t="n">
        <v>0</v>
      </c>
      <c r="N5721" t="n">
        <v>0</v>
      </c>
      <c r="O5721" t="n">
        <v>0</v>
      </c>
      <c r="P5721" t="n">
        <v>0</v>
      </c>
      <c r="Q5721" t="n">
        <v>0</v>
      </c>
      <c r="R5721" s="2" t="inlineStr"/>
    </row>
    <row r="5722" ht="15" customHeight="1">
      <c r="A5722" t="inlineStr">
        <is>
          <t>A 47266-2025</t>
        </is>
      </c>
      <c r="B5722" s="1" t="n">
        <v>45930.45737268519</v>
      </c>
      <c r="C5722" s="1" t="n">
        <v>46093</v>
      </c>
      <c r="D5722" t="inlineStr">
        <is>
          <t>VÄSTERNORRLANDS LÄN</t>
        </is>
      </c>
      <c r="E5722" t="inlineStr">
        <is>
          <t>ÖRNSKÖLDSVIK</t>
        </is>
      </c>
      <c r="G5722" t="n">
        <v>3</v>
      </c>
      <c r="H5722" t="n">
        <v>0</v>
      </c>
      <c r="I5722" t="n">
        <v>0</v>
      </c>
      <c r="J5722" t="n">
        <v>0</v>
      </c>
      <c r="K5722" t="n">
        <v>0</v>
      </c>
      <c r="L5722" t="n">
        <v>0</v>
      </c>
      <c r="M5722" t="n">
        <v>0</v>
      </c>
      <c r="N5722" t="n">
        <v>0</v>
      </c>
      <c r="O5722" t="n">
        <v>0</v>
      </c>
      <c r="P5722" t="n">
        <v>0</v>
      </c>
      <c r="Q5722" t="n">
        <v>0</v>
      </c>
      <c r="R5722" s="2" t="inlineStr"/>
    </row>
    <row r="5723" ht="15" customHeight="1">
      <c r="A5723" t="inlineStr">
        <is>
          <t>A 47053-2025</t>
        </is>
      </c>
      <c r="B5723" s="1" t="n">
        <v>45929.61850694445</v>
      </c>
      <c r="C5723" s="1" t="n">
        <v>46093</v>
      </c>
      <c r="D5723" t="inlineStr">
        <is>
          <t>VÄSTERNORRLANDS LÄN</t>
        </is>
      </c>
      <c r="E5723" t="inlineStr">
        <is>
          <t>ÖRNSKÖLDSVIK</t>
        </is>
      </c>
      <c r="F5723" t="inlineStr">
        <is>
          <t>Holmen skog AB</t>
        </is>
      </c>
      <c r="G5723" t="n">
        <v>8.800000000000001</v>
      </c>
      <c r="H5723" t="n">
        <v>0</v>
      </c>
      <c r="I5723" t="n">
        <v>0</v>
      </c>
      <c r="J5723" t="n">
        <v>0</v>
      </c>
      <c r="K5723" t="n">
        <v>0</v>
      </c>
      <c r="L5723" t="n">
        <v>0</v>
      </c>
      <c r="M5723" t="n">
        <v>0</v>
      </c>
      <c r="N5723" t="n">
        <v>0</v>
      </c>
      <c r="O5723" t="n">
        <v>0</v>
      </c>
      <c r="P5723" t="n">
        <v>0</v>
      </c>
      <c r="Q5723" t="n">
        <v>0</v>
      </c>
      <c r="R5723" s="2" t="inlineStr"/>
    </row>
    <row r="5724" ht="15" customHeight="1">
      <c r="A5724" t="inlineStr">
        <is>
          <t>A 24452-2022</t>
        </is>
      </c>
      <c r="B5724" s="1" t="n">
        <v>44726.61040509259</v>
      </c>
      <c r="C5724" s="1" t="n">
        <v>46093</v>
      </c>
      <c r="D5724" t="inlineStr">
        <is>
          <t>VÄSTERNORRLANDS LÄN</t>
        </is>
      </c>
      <c r="E5724" t="inlineStr">
        <is>
          <t>HÄRNÖSAND</t>
        </is>
      </c>
      <c r="G5724" t="n">
        <v>2.4</v>
      </c>
      <c r="H5724" t="n">
        <v>0</v>
      </c>
      <c r="I5724" t="n">
        <v>0</v>
      </c>
      <c r="J5724" t="n">
        <v>0</v>
      </c>
      <c r="K5724" t="n">
        <v>0</v>
      </c>
      <c r="L5724" t="n">
        <v>0</v>
      </c>
      <c r="M5724" t="n">
        <v>0</v>
      </c>
      <c r="N5724" t="n">
        <v>0</v>
      </c>
      <c r="O5724" t="n">
        <v>0</v>
      </c>
      <c r="P5724" t="n">
        <v>0</v>
      </c>
      <c r="Q5724" t="n">
        <v>0</v>
      </c>
      <c r="R5724" s="2" t="inlineStr"/>
    </row>
    <row r="5725" ht="15" customHeight="1">
      <c r="A5725" t="inlineStr">
        <is>
          <t>A 22468-2024</t>
        </is>
      </c>
      <c r="B5725" s="1" t="n">
        <v>45446.95068287037</v>
      </c>
      <c r="C5725" s="1" t="n">
        <v>46093</v>
      </c>
      <c r="D5725" t="inlineStr">
        <is>
          <t>VÄSTERNORRLANDS LÄN</t>
        </is>
      </c>
      <c r="E5725" t="inlineStr">
        <is>
          <t>SOLLEFTEÅ</t>
        </is>
      </c>
      <c r="F5725" t="inlineStr">
        <is>
          <t>SCA</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22486-2024</t>
        </is>
      </c>
      <c r="B5726" s="1" t="n">
        <v>45446</v>
      </c>
      <c r="C5726" s="1" t="n">
        <v>46093</v>
      </c>
      <c r="D5726" t="inlineStr">
        <is>
          <t>VÄSTERNORRLANDS LÄN</t>
        </is>
      </c>
      <c r="E5726" t="inlineStr">
        <is>
          <t>TIMRÅ</t>
        </is>
      </c>
      <c r="G5726" t="n">
        <v>6.8</v>
      </c>
      <c r="H5726" t="n">
        <v>0</v>
      </c>
      <c r="I5726" t="n">
        <v>0</v>
      </c>
      <c r="J5726" t="n">
        <v>0</v>
      </c>
      <c r="K5726" t="n">
        <v>0</v>
      </c>
      <c r="L5726" t="n">
        <v>0</v>
      </c>
      <c r="M5726" t="n">
        <v>0</v>
      </c>
      <c r="N5726" t="n">
        <v>0</v>
      </c>
      <c r="O5726" t="n">
        <v>0</v>
      </c>
      <c r="P5726" t="n">
        <v>0</v>
      </c>
      <c r="Q5726" t="n">
        <v>0</v>
      </c>
      <c r="R5726" s="2" t="inlineStr"/>
    </row>
    <row r="5727" ht="15" customHeight="1">
      <c r="A5727" t="inlineStr">
        <is>
          <t>A 13343-2024</t>
        </is>
      </c>
      <c r="B5727" s="1" t="n">
        <v>45386.94517361111</v>
      </c>
      <c r="C5727" s="1" t="n">
        <v>46093</v>
      </c>
      <c r="D5727" t="inlineStr">
        <is>
          <t>VÄSTERNORRLANDS LÄN</t>
        </is>
      </c>
      <c r="E5727" t="inlineStr">
        <is>
          <t>TIMRÅ</t>
        </is>
      </c>
      <c r="F5727" t="inlineStr">
        <is>
          <t>SCA</t>
        </is>
      </c>
      <c r="G5727" t="n">
        <v>6.8</v>
      </c>
      <c r="H5727" t="n">
        <v>0</v>
      </c>
      <c r="I5727" t="n">
        <v>0</v>
      </c>
      <c r="J5727" t="n">
        <v>0</v>
      </c>
      <c r="K5727" t="n">
        <v>0</v>
      </c>
      <c r="L5727" t="n">
        <v>0</v>
      </c>
      <c r="M5727" t="n">
        <v>0</v>
      </c>
      <c r="N5727" t="n">
        <v>0</v>
      </c>
      <c r="O5727" t="n">
        <v>0</v>
      </c>
      <c r="P5727" t="n">
        <v>0</v>
      </c>
      <c r="Q5727" t="n">
        <v>0</v>
      </c>
      <c r="R5727" s="2" t="inlineStr"/>
    </row>
    <row r="5728" ht="15" customHeight="1">
      <c r="A5728" t="inlineStr">
        <is>
          <t>A 15799-2025</t>
        </is>
      </c>
      <c r="B5728" s="1" t="n">
        <v>45748.64768518518</v>
      </c>
      <c r="C5728" s="1" t="n">
        <v>46093</v>
      </c>
      <c r="D5728" t="inlineStr">
        <is>
          <t>VÄSTERNORRLANDS LÄN</t>
        </is>
      </c>
      <c r="E5728" t="inlineStr">
        <is>
          <t>ÅNGE</t>
        </is>
      </c>
      <c r="G5728" t="n">
        <v>2.3</v>
      </c>
      <c r="H5728" t="n">
        <v>0</v>
      </c>
      <c r="I5728" t="n">
        <v>0</v>
      </c>
      <c r="J5728" t="n">
        <v>0</v>
      </c>
      <c r="K5728" t="n">
        <v>0</v>
      </c>
      <c r="L5728" t="n">
        <v>0</v>
      </c>
      <c r="M5728" t="n">
        <v>0</v>
      </c>
      <c r="N5728" t="n">
        <v>0</v>
      </c>
      <c r="O5728" t="n">
        <v>0</v>
      </c>
      <c r="P5728" t="n">
        <v>0</v>
      </c>
      <c r="Q5728" t="n">
        <v>0</v>
      </c>
      <c r="R5728" s="2" t="inlineStr"/>
    </row>
    <row r="5729" ht="15" customHeight="1">
      <c r="A5729" t="inlineStr">
        <is>
          <t>A 47475-2025</t>
        </is>
      </c>
      <c r="B5729" s="1" t="n">
        <v>45930</v>
      </c>
      <c r="C5729" s="1" t="n">
        <v>46093</v>
      </c>
      <c r="D5729" t="inlineStr">
        <is>
          <t>VÄSTERNORRLANDS LÄN</t>
        </is>
      </c>
      <c r="E5729" t="inlineStr">
        <is>
          <t>TIMRÅ</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47488-2023</t>
        </is>
      </c>
      <c r="B5730" s="1" t="n">
        <v>45202.94168981481</v>
      </c>
      <c r="C5730" s="1" t="n">
        <v>46093</v>
      </c>
      <c r="D5730" t="inlineStr">
        <is>
          <t>VÄSTERNORRLANDS LÄN</t>
        </is>
      </c>
      <c r="E5730" t="inlineStr">
        <is>
          <t>ÅNGE</t>
        </is>
      </c>
      <c r="F5730" t="inlineStr">
        <is>
          <t>SCA</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41586-2023</t>
        </is>
      </c>
      <c r="B5731" s="1" t="n">
        <v>45175</v>
      </c>
      <c r="C5731" s="1" t="n">
        <v>46093</v>
      </c>
      <c r="D5731" t="inlineStr">
        <is>
          <t>VÄSTERNORRLANDS LÄN</t>
        </is>
      </c>
      <c r="E5731" t="inlineStr">
        <is>
          <t>SUNDSVALL</t>
        </is>
      </c>
      <c r="G5731" t="n">
        <v>3</v>
      </c>
      <c r="H5731" t="n">
        <v>0</v>
      </c>
      <c r="I5731" t="n">
        <v>0</v>
      </c>
      <c r="J5731" t="n">
        <v>0</v>
      </c>
      <c r="K5731" t="n">
        <v>0</v>
      </c>
      <c r="L5731" t="n">
        <v>0</v>
      </c>
      <c r="M5731" t="n">
        <v>0</v>
      </c>
      <c r="N5731" t="n">
        <v>0</v>
      </c>
      <c r="O5731" t="n">
        <v>0</v>
      </c>
      <c r="P5731" t="n">
        <v>0</v>
      </c>
      <c r="Q5731" t="n">
        <v>0</v>
      </c>
      <c r="R5731" s="2" t="inlineStr"/>
    </row>
    <row r="5732" ht="15" customHeight="1">
      <c r="A5732" t="inlineStr">
        <is>
          <t>A 13296-2025</t>
        </is>
      </c>
      <c r="B5732" s="1" t="n">
        <v>45735.57365740741</v>
      </c>
      <c r="C5732" s="1" t="n">
        <v>46093</v>
      </c>
      <c r="D5732" t="inlineStr">
        <is>
          <t>VÄSTERNORRLANDS LÄN</t>
        </is>
      </c>
      <c r="E5732" t="inlineStr">
        <is>
          <t>SUNDSVALL</t>
        </is>
      </c>
      <c r="F5732" t="inlineStr">
        <is>
          <t>SCA</t>
        </is>
      </c>
      <c r="G5732" t="n">
        <v>6.3</v>
      </c>
      <c r="H5732" t="n">
        <v>0</v>
      </c>
      <c r="I5732" t="n">
        <v>0</v>
      </c>
      <c r="J5732" t="n">
        <v>0</v>
      </c>
      <c r="K5732" t="n">
        <v>0</v>
      </c>
      <c r="L5732" t="n">
        <v>0</v>
      </c>
      <c r="M5732" t="n">
        <v>0</v>
      </c>
      <c r="N5732" t="n">
        <v>0</v>
      </c>
      <c r="O5732" t="n">
        <v>0</v>
      </c>
      <c r="P5732" t="n">
        <v>0</v>
      </c>
      <c r="Q5732" t="n">
        <v>0</v>
      </c>
      <c r="R5732" s="2" t="inlineStr"/>
    </row>
    <row r="5733" ht="15" customHeight="1">
      <c r="A5733" t="inlineStr">
        <is>
          <t>A 47218-2025</t>
        </is>
      </c>
      <c r="B5733" s="1" t="n">
        <v>45930.38640046296</v>
      </c>
      <c r="C5733" s="1" t="n">
        <v>46093</v>
      </c>
      <c r="D5733" t="inlineStr">
        <is>
          <t>VÄSTERNORRLANDS LÄN</t>
        </is>
      </c>
      <c r="E5733" t="inlineStr">
        <is>
          <t>SOLLEFTEÅ</t>
        </is>
      </c>
      <c r="G5733" t="n">
        <v>10.3</v>
      </c>
      <c r="H5733" t="n">
        <v>0</v>
      </c>
      <c r="I5733" t="n">
        <v>0</v>
      </c>
      <c r="J5733" t="n">
        <v>0</v>
      </c>
      <c r="K5733" t="n">
        <v>0</v>
      </c>
      <c r="L5733" t="n">
        <v>0</v>
      </c>
      <c r="M5733" t="n">
        <v>0</v>
      </c>
      <c r="N5733" t="n">
        <v>0</v>
      </c>
      <c r="O5733" t="n">
        <v>0</v>
      </c>
      <c r="P5733" t="n">
        <v>0</v>
      </c>
      <c r="Q5733" t="n">
        <v>0</v>
      </c>
      <c r="R5733" s="2" t="inlineStr"/>
    </row>
    <row r="5734" ht="15" customHeight="1">
      <c r="A5734" t="inlineStr">
        <is>
          <t>A 47219-2025</t>
        </is>
      </c>
      <c r="B5734" s="1" t="n">
        <v>45930.38649305556</v>
      </c>
      <c r="C5734" s="1" t="n">
        <v>46093</v>
      </c>
      <c r="D5734" t="inlineStr">
        <is>
          <t>VÄSTERNORRLANDS LÄN</t>
        </is>
      </c>
      <c r="E5734" t="inlineStr">
        <is>
          <t>SOLLEFTEÅ</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47272-2025</t>
        </is>
      </c>
      <c r="B5735" s="1" t="n">
        <v>45930</v>
      </c>
      <c r="C5735" s="1" t="n">
        <v>46093</v>
      </c>
      <c r="D5735" t="inlineStr">
        <is>
          <t>VÄSTERNORRLANDS LÄN</t>
        </is>
      </c>
      <c r="E5735" t="inlineStr">
        <is>
          <t>TIMRÅ</t>
        </is>
      </c>
      <c r="G5735" t="n">
        <v>3.9</v>
      </c>
      <c r="H5735" t="n">
        <v>0</v>
      </c>
      <c r="I5735" t="n">
        <v>0</v>
      </c>
      <c r="J5735" t="n">
        <v>0</v>
      </c>
      <c r="K5735" t="n">
        <v>0</v>
      </c>
      <c r="L5735" t="n">
        <v>0</v>
      </c>
      <c r="M5735" t="n">
        <v>0</v>
      </c>
      <c r="N5735" t="n">
        <v>0</v>
      </c>
      <c r="O5735" t="n">
        <v>0</v>
      </c>
      <c r="P5735" t="n">
        <v>0</v>
      </c>
      <c r="Q5735" t="n">
        <v>0</v>
      </c>
      <c r="R5735" s="2" t="inlineStr"/>
    </row>
    <row r="5736" ht="15" customHeight="1">
      <c r="A5736" t="inlineStr">
        <is>
          <t>A 47440-2025</t>
        </is>
      </c>
      <c r="B5736" s="1" t="n">
        <v>45930.63766203704</v>
      </c>
      <c r="C5736" s="1" t="n">
        <v>46093</v>
      </c>
      <c r="D5736" t="inlineStr">
        <is>
          <t>VÄSTERNORRLANDS LÄN</t>
        </is>
      </c>
      <c r="E5736" t="inlineStr">
        <is>
          <t>ÅNGE</t>
        </is>
      </c>
      <c r="F5736" t="inlineStr">
        <is>
          <t>SCA</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47378-2025</t>
        </is>
      </c>
      <c r="B5737" s="1" t="n">
        <v>45930.59487268519</v>
      </c>
      <c r="C5737" s="1" t="n">
        <v>46093</v>
      </c>
      <c r="D5737" t="inlineStr">
        <is>
          <t>VÄSTERNORRLANDS LÄN</t>
        </is>
      </c>
      <c r="E5737" t="inlineStr">
        <is>
          <t>SUNDSVALL</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34959-2023</t>
        </is>
      </c>
      <c r="B5738" s="1" t="n">
        <v>45142</v>
      </c>
      <c r="C5738" s="1" t="n">
        <v>46093</v>
      </c>
      <c r="D5738" t="inlineStr">
        <is>
          <t>VÄSTERNORRLANDS LÄN</t>
        </is>
      </c>
      <c r="E5738" t="inlineStr">
        <is>
          <t>ÅNGE</t>
        </is>
      </c>
      <c r="F5738" t="inlineStr">
        <is>
          <t>Sveaskog</t>
        </is>
      </c>
      <c r="G5738" t="n">
        <v>6.6</v>
      </c>
      <c r="H5738" t="n">
        <v>0</v>
      </c>
      <c r="I5738" t="n">
        <v>0</v>
      </c>
      <c r="J5738" t="n">
        <v>0</v>
      </c>
      <c r="K5738" t="n">
        <v>0</v>
      </c>
      <c r="L5738" t="n">
        <v>0</v>
      </c>
      <c r="M5738" t="n">
        <v>0</v>
      </c>
      <c r="N5738" t="n">
        <v>0</v>
      </c>
      <c r="O5738" t="n">
        <v>0</v>
      </c>
      <c r="P5738" t="n">
        <v>0</v>
      </c>
      <c r="Q5738" t="n">
        <v>0</v>
      </c>
      <c r="R5738" s="2" t="inlineStr"/>
    </row>
    <row r="5739" ht="15" customHeight="1">
      <c r="A5739" t="inlineStr">
        <is>
          <t>A 47872-2024</t>
        </is>
      </c>
      <c r="B5739" s="1" t="n">
        <v>45588</v>
      </c>
      <c r="C5739" s="1" t="n">
        <v>46093</v>
      </c>
      <c r="D5739" t="inlineStr">
        <is>
          <t>VÄSTERNORRLANDS LÄN</t>
        </is>
      </c>
      <c r="E5739" t="inlineStr">
        <is>
          <t>HÄRNÖSAND</t>
        </is>
      </c>
      <c r="G5739" t="n">
        <v>4.8</v>
      </c>
      <c r="H5739" t="n">
        <v>0</v>
      </c>
      <c r="I5739" t="n">
        <v>0</v>
      </c>
      <c r="J5739" t="n">
        <v>0</v>
      </c>
      <c r="K5739" t="n">
        <v>0</v>
      </c>
      <c r="L5739" t="n">
        <v>0</v>
      </c>
      <c r="M5739" t="n">
        <v>0</v>
      </c>
      <c r="N5739" t="n">
        <v>0</v>
      </c>
      <c r="O5739" t="n">
        <v>0</v>
      </c>
      <c r="P5739" t="n">
        <v>0</v>
      </c>
      <c r="Q5739" t="n">
        <v>0</v>
      </c>
      <c r="R5739" s="2" t="inlineStr"/>
    </row>
    <row r="5740" ht="15" customHeight="1">
      <c r="A5740" t="inlineStr">
        <is>
          <t>A 14150-2024</t>
        </is>
      </c>
      <c r="B5740" s="1" t="n">
        <v>45392</v>
      </c>
      <c r="C5740" s="1" t="n">
        <v>46093</v>
      </c>
      <c r="D5740" t="inlineStr">
        <is>
          <t>VÄSTERNORRLANDS LÄN</t>
        </is>
      </c>
      <c r="E5740" t="inlineStr">
        <is>
          <t>KRAMFORS</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37671-2023</t>
        </is>
      </c>
      <c r="B5741" s="1" t="n">
        <v>45156</v>
      </c>
      <c r="C5741" s="1" t="n">
        <v>46093</v>
      </c>
      <c r="D5741" t="inlineStr">
        <is>
          <t>VÄSTERNORRLANDS LÄN</t>
        </is>
      </c>
      <c r="E5741" t="inlineStr">
        <is>
          <t>SOLLEFTEÅ</t>
        </is>
      </c>
      <c r="G5741" t="n">
        <v>0.4</v>
      </c>
      <c r="H5741" t="n">
        <v>0</v>
      </c>
      <c r="I5741" t="n">
        <v>0</v>
      </c>
      <c r="J5741" t="n">
        <v>0</v>
      </c>
      <c r="K5741" t="n">
        <v>0</v>
      </c>
      <c r="L5741" t="n">
        <v>0</v>
      </c>
      <c r="M5741" t="n">
        <v>0</v>
      </c>
      <c r="N5741" t="n">
        <v>0</v>
      </c>
      <c r="O5741" t="n">
        <v>0</v>
      </c>
      <c r="P5741" t="n">
        <v>0</v>
      </c>
      <c r="Q5741" t="n">
        <v>0</v>
      </c>
      <c r="R5741" s="2" t="inlineStr"/>
    </row>
    <row r="5742" ht="15" customHeight="1">
      <c r="A5742" t="inlineStr">
        <is>
          <t>A 47291-2025</t>
        </is>
      </c>
      <c r="B5742" s="1" t="n">
        <v>45930.49019675926</v>
      </c>
      <c r="C5742" s="1" t="n">
        <v>46093</v>
      </c>
      <c r="D5742" t="inlineStr">
        <is>
          <t>VÄSTERNORRLANDS LÄN</t>
        </is>
      </c>
      <c r="E5742" t="inlineStr">
        <is>
          <t>SOLLEFTEÅ</t>
        </is>
      </c>
      <c r="F5742" t="inlineStr">
        <is>
          <t>SCA</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44615-2023</t>
        </is>
      </c>
      <c r="B5743" s="1" t="n">
        <v>45189.63652777778</v>
      </c>
      <c r="C5743" s="1" t="n">
        <v>46093</v>
      </c>
      <c r="D5743" t="inlineStr">
        <is>
          <t>VÄSTERNORRLANDS LÄN</t>
        </is>
      </c>
      <c r="E5743" t="inlineStr">
        <is>
          <t>KRAMFORS</t>
        </is>
      </c>
      <c r="G5743" t="n">
        <v>10</v>
      </c>
      <c r="H5743" t="n">
        <v>0</v>
      </c>
      <c r="I5743" t="n">
        <v>0</v>
      </c>
      <c r="J5743" t="n">
        <v>0</v>
      </c>
      <c r="K5743" t="n">
        <v>0</v>
      </c>
      <c r="L5743" t="n">
        <v>0</v>
      </c>
      <c r="M5743" t="n">
        <v>0</v>
      </c>
      <c r="N5743" t="n">
        <v>0</v>
      </c>
      <c r="O5743" t="n">
        <v>0</v>
      </c>
      <c r="P5743" t="n">
        <v>0</v>
      </c>
      <c r="Q5743" t="n">
        <v>0</v>
      </c>
      <c r="R5743" s="2" t="inlineStr"/>
    </row>
    <row r="5744" ht="15" customHeight="1">
      <c r="A5744" t="inlineStr">
        <is>
          <t>A 47301-2025</t>
        </is>
      </c>
      <c r="B5744" s="1" t="n">
        <v>45930.50574074074</v>
      </c>
      <c r="C5744" s="1" t="n">
        <v>46093</v>
      </c>
      <c r="D5744" t="inlineStr">
        <is>
          <t>VÄSTERNORRLANDS LÄN</t>
        </is>
      </c>
      <c r="E5744" t="inlineStr">
        <is>
          <t>ÖRNSKÖLDSVIK</t>
        </is>
      </c>
      <c r="F5744" t="inlineStr">
        <is>
          <t>Holmen skog AB</t>
        </is>
      </c>
      <c r="G5744" t="n">
        <v>3.3</v>
      </c>
      <c r="H5744" t="n">
        <v>0</v>
      </c>
      <c r="I5744" t="n">
        <v>0</v>
      </c>
      <c r="J5744" t="n">
        <v>0</v>
      </c>
      <c r="K5744" t="n">
        <v>0</v>
      </c>
      <c r="L5744" t="n">
        <v>0</v>
      </c>
      <c r="M5744" t="n">
        <v>0</v>
      </c>
      <c r="N5744" t="n">
        <v>0</v>
      </c>
      <c r="O5744" t="n">
        <v>0</v>
      </c>
      <c r="P5744" t="n">
        <v>0</v>
      </c>
      <c r="Q5744" t="n">
        <v>0</v>
      </c>
      <c r="R5744" s="2" t="inlineStr"/>
    </row>
    <row r="5745" ht="15" customHeight="1">
      <c r="A5745" t="inlineStr">
        <is>
          <t>A 36933-2025</t>
        </is>
      </c>
      <c r="B5745" s="1" t="n">
        <v>45874.56565972222</v>
      </c>
      <c r="C5745" s="1" t="n">
        <v>46093</v>
      </c>
      <c r="D5745" t="inlineStr">
        <is>
          <t>VÄSTERNORRLANDS LÄN</t>
        </is>
      </c>
      <c r="E5745" t="inlineStr">
        <is>
          <t>KRAMFORS</t>
        </is>
      </c>
      <c r="G5745" t="n">
        <v>2.1</v>
      </c>
      <c r="H5745" t="n">
        <v>0</v>
      </c>
      <c r="I5745" t="n">
        <v>0</v>
      </c>
      <c r="J5745" t="n">
        <v>0</v>
      </c>
      <c r="K5745" t="n">
        <v>0</v>
      </c>
      <c r="L5745" t="n">
        <v>0</v>
      </c>
      <c r="M5745" t="n">
        <v>0</v>
      </c>
      <c r="N5745" t="n">
        <v>0</v>
      </c>
      <c r="O5745" t="n">
        <v>0</v>
      </c>
      <c r="P5745" t="n">
        <v>0</v>
      </c>
      <c r="Q5745" t="n">
        <v>0</v>
      </c>
      <c r="R5745" s="2" t="inlineStr"/>
    </row>
    <row r="5746" ht="15" customHeight="1">
      <c r="A5746" t="inlineStr">
        <is>
          <t>A 36950-2025</t>
        </is>
      </c>
      <c r="B5746" s="1" t="n">
        <v>45874.60196759259</v>
      </c>
      <c r="C5746" s="1" t="n">
        <v>46093</v>
      </c>
      <c r="D5746" t="inlineStr">
        <is>
          <t>VÄSTERNORRLANDS LÄN</t>
        </is>
      </c>
      <c r="E5746" t="inlineStr">
        <is>
          <t>SUNDSVALL</t>
        </is>
      </c>
      <c r="G5746" t="n">
        <v>2.9</v>
      </c>
      <c r="H5746" t="n">
        <v>0</v>
      </c>
      <c r="I5746" t="n">
        <v>0</v>
      </c>
      <c r="J5746" t="n">
        <v>0</v>
      </c>
      <c r="K5746" t="n">
        <v>0</v>
      </c>
      <c r="L5746" t="n">
        <v>0</v>
      </c>
      <c r="M5746" t="n">
        <v>0</v>
      </c>
      <c r="N5746" t="n">
        <v>0</v>
      </c>
      <c r="O5746" t="n">
        <v>0</v>
      </c>
      <c r="P5746" t="n">
        <v>0</v>
      </c>
      <c r="Q5746" t="n">
        <v>0</v>
      </c>
      <c r="R5746" s="2" t="inlineStr"/>
    </row>
    <row r="5747" ht="15" customHeight="1">
      <c r="A5747" t="inlineStr">
        <is>
          <t>A 36967-2025</t>
        </is>
      </c>
      <c r="B5747" s="1" t="n">
        <v>45874.63642361111</v>
      </c>
      <c r="C5747" s="1" t="n">
        <v>46093</v>
      </c>
      <c r="D5747" t="inlineStr">
        <is>
          <t>VÄSTERNORRLANDS LÄN</t>
        </is>
      </c>
      <c r="E5747" t="inlineStr">
        <is>
          <t>SOLLEFTEÅ</t>
        </is>
      </c>
      <c r="F5747" t="inlineStr">
        <is>
          <t>SCA</t>
        </is>
      </c>
      <c r="G5747" t="n">
        <v>2.3</v>
      </c>
      <c r="H5747" t="n">
        <v>0</v>
      </c>
      <c r="I5747" t="n">
        <v>0</v>
      </c>
      <c r="J5747" t="n">
        <v>0</v>
      </c>
      <c r="K5747" t="n">
        <v>0</v>
      </c>
      <c r="L5747" t="n">
        <v>0</v>
      </c>
      <c r="M5747" t="n">
        <v>0</v>
      </c>
      <c r="N5747" t="n">
        <v>0</v>
      </c>
      <c r="O5747" t="n">
        <v>0</v>
      </c>
      <c r="P5747" t="n">
        <v>0</v>
      </c>
      <c r="Q5747" t="n">
        <v>0</v>
      </c>
      <c r="R5747" s="2" t="inlineStr"/>
    </row>
    <row r="5748" ht="15" customHeight="1">
      <c r="A5748" t="inlineStr">
        <is>
          <t>A 10077-2023</t>
        </is>
      </c>
      <c r="B5748" s="1" t="n">
        <v>44985.94408564815</v>
      </c>
      <c r="C5748" s="1" t="n">
        <v>46093</v>
      </c>
      <c r="D5748" t="inlineStr">
        <is>
          <t>VÄSTERNORRLANDS LÄN</t>
        </is>
      </c>
      <c r="E5748" t="inlineStr">
        <is>
          <t>SOLLEFTEÅ</t>
        </is>
      </c>
      <c r="F5748" t="inlineStr">
        <is>
          <t>SCA</t>
        </is>
      </c>
      <c r="G5748" t="n">
        <v>10.8</v>
      </c>
      <c r="H5748" t="n">
        <v>0</v>
      </c>
      <c r="I5748" t="n">
        <v>0</v>
      </c>
      <c r="J5748" t="n">
        <v>0</v>
      </c>
      <c r="K5748" t="n">
        <v>0</v>
      </c>
      <c r="L5748" t="n">
        <v>0</v>
      </c>
      <c r="M5748" t="n">
        <v>0</v>
      </c>
      <c r="N5748" t="n">
        <v>0</v>
      </c>
      <c r="O5748" t="n">
        <v>0</v>
      </c>
      <c r="P5748" t="n">
        <v>0</v>
      </c>
      <c r="Q5748" t="n">
        <v>0</v>
      </c>
      <c r="R5748" s="2" t="inlineStr"/>
    </row>
    <row r="5749" ht="15" customHeight="1">
      <c r="A5749" t="inlineStr">
        <is>
          <t>A 55339-2023</t>
        </is>
      </c>
      <c r="B5749" s="1" t="n">
        <v>45237.97483796296</v>
      </c>
      <c r="C5749" s="1" t="n">
        <v>46093</v>
      </c>
      <c r="D5749" t="inlineStr">
        <is>
          <t>VÄSTERNORRLANDS LÄN</t>
        </is>
      </c>
      <c r="E5749" t="inlineStr">
        <is>
          <t>SUNDSVALL</t>
        </is>
      </c>
      <c r="F5749" t="inlineStr">
        <is>
          <t>SCA</t>
        </is>
      </c>
      <c r="G5749" t="n">
        <v>12.1</v>
      </c>
      <c r="H5749" t="n">
        <v>0</v>
      </c>
      <c r="I5749" t="n">
        <v>0</v>
      </c>
      <c r="J5749" t="n">
        <v>0</v>
      </c>
      <c r="K5749" t="n">
        <v>0</v>
      </c>
      <c r="L5749" t="n">
        <v>0</v>
      </c>
      <c r="M5749" t="n">
        <v>0</v>
      </c>
      <c r="N5749" t="n">
        <v>0</v>
      </c>
      <c r="O5749" t="n">
        <v>0</v>
      </c>
      <c r="P5749" t="n">
        <v>0</v>
      </c>
      <c r="Q5749" t="n">
        <v>0</v>
      </c>
      <c r="R5749" s="2" t="inlineStr"/>
    </row>
    <row r="5750" ht="15" customHeight="1">
      <c r="A5750" t="inlineStr">
        <is>
          <t>A 36876-2025</t>
        </is>
      </c>
      <c r="B5750" s="1" t="n">
        <v>45874</v>
      </c>
      <c r="C5750" s="1" t="n">
        <v>46093</v>
      </c>
      <c r="D5750" t="inlineStr">
        <is>
          <t>VÄSTERNORRLANDS LÄN</t>
        </is>
      </c>
      <c r="E5750" t="inlineStr">
        <is>
          <t>KRAMFORS</t>
        </is>
      </c>
      <c r="G5750" t="n">
        <v>15.8</v>
      </c>
      <c r="H5750" t="n">
        <v>0</v>
      </c>
      <c r="I5750" t="n">
        <v>0</v>
      </c>
      <c r="J5750" t="n">
        <v>0</v>
      </c>
      <c r="K5750" t="n">
        <v>0</v>
      </c>
      <c r="L5750" t="n">
        <v>0</v>
      </c>
      <c r="M5750" t="n">
        <v>0</v>
      </c>
      <c r="N5750" t="n">
        <v>0</v>
      </c>
      <c r="O5750" t="n">
        <v>0</v>
      </c>
      <c r="P5750" t="n">
        <v>0</v>
      </c>
      <c r="Q5750" t="n">
        <v>0</v>
      </c>
      <c r="R5750" s="2" t="inlineStr"/>
    </row>
    <row r="5751" ht="15" customHeight="1">
      <c r="A5751" t="inlineStr">
        <is>
          <t>A 47118-2025</t>
        </is>
      </c>
      <c r="B5751" s="1" t="n">
        <v>45929.67770833334</v>
      </c>
      <c r="C5751" s="1" t="n">
        <v>46093</v>
      </c>
      <c r="D5751" t="inlineStr">
        <is>
          <t>VÄSTERNORRLANDS LÄN</t>
        </is>
      </c>
      <c r="E5751" t="inlineStr">
        <is>
          <t>ÅNGE</t>
        </is>
      </c>
      <c r="F5751" t="inlineStr">
        <is>
          <t>SCA</t>
        </is>
      </c>
      <c r="G5751" t="n">
        <v>2.7</v>
      </c>
      <c r="H5751" t="n">
        <v>0</v>
      </c>
      <c r="I5751" t="n">
        <v>0</v>
      </c>
      <c r="J5751" t="n">
        <v>0</v>
      </c>
      <c r="K5751" t="n">
        <v>0</v>
      </c>
      <c r="L5751" t="n">
        <v>0</v>
      </c>
      <c r="M5751" t="n">
        <v>0</v>
      </c>
      <c r="N5751" t="n">
        <v>0</v>
      </c>
      <c r="O5751" t="n">
        <v>0</v>
      </c>
      <c r="P5751" t="n">
        <v>0</v>
      </c>
      <c r="Q5751" t="n">
        <v>0</v>
      </c>
      <c r="R5751" s="2" t="inlineStr"/>
    </row>
    <row r="5752" ht="15" customHeight="1">
      <c r="A5752" t="inlineStr">
        <is>
          <t>A 47448-2025</t>
        </is>
      </c>
      <c r="B5752" s="1" t="n">
        <v>45930.64592592593</v>
      </c>
      <c r="C5752" s="1" t="n">
        <v>46093</v>
      </c>
      <c r="D5752" t="inlineStr">
        <is>
          <t>VÄSTERNORRLANDS LÄN</t>
        </is>
      </c>
      <c r="E5752" t="inlineStr">
        <is>
          <t>SOLLEFTEÅ</t>
        </is>
      </c>
      <c r="G5752" t="n">
        <v>2.6</v>
      </c>
      <c r="H5752" t="n">
        <v>0</v>
      </c>
      <c r="I5752" t="n">
        <v>0</v>
      </c>
      <c r="J5752" t="n">
        <v>0</v>
      </c>
      <c r="K5752" t="n">
        <v>0</v>
      </c>
      <c r="L5752" t="n">
        <v>0</v>
      </c>
      <c r="M5752" t="n">
        <v>0</v>
      </c>
      <c r="N5752" t="n">
        <v>0</v>
      </c>
      <c r="O5752" t="n">
        <v>0</v>
      </c>
      <c r="P5752" t="n">
        <v>0</v>
      </c>
      <c r="Q5752" t="n">
        <v>0</v>
      </c>
      <c r="R5752" s="2" t="inlineStr"/>
    </row>
    <row r="5753" ht="15" customHeight="1">
      <c r="A5753" t="inlineStr">
        <is>
          <t>A 7579-2025</t>
        </is>
      </c>
      <c r="B5753" s="1" t="n">
        <v>45705</v>
      </c>
      <c r="C5753" s="1" t="n">
        <v>46093</v>
      </c>
      <c r="D5753" t="inlineStr">
        <is>
          <t>VÄSTERNORRLANDS LÄN</t>
        </is>
      </c>
      <c r="E5753" t="inlineStr">
        <is>
          <t>SUNDSVALL</t>
        </is>
      </c>
      <c r="G5753" t="n">
        <v>4.9</v>
      </c>
      <c r="H5753" t="n">
        <v>0</v>
      </c>
      <c r="I5753" t="n">
        <v>0</v>
      </c>
      <c r="J5753" t="n">
        <v>0</v>
      </c>
      <c r="K5753" t="n">
        <v>0</v>
      </c>
      <c r="L5753" t="n">
        <v>0</v>
      </c>
      <c r="M5753" t="n">
        <v>0</v>
      </c>
      <c r="N5753" t="n">
        <v>0</v>
      </c>
      <c r="O5753" t="n">
        <v>0</v>
      </c>
      <c r="P5753" t="n">
        <v>0</v>
      </c>
      <c r="Q5753" t="n">
        <v>0</v>
      </c>
      <c r="R5753" s="2" t="inlineStr"/>
    </row>
    <row r="5754" ht="15" customHeight="1">
      <c r="A5754" t="inlineStr">
        <is>
          <t>A 7582-2025</t>
        </is>
      </c>
      <c r="B5754" s="1" t="n">
        <v>45705</v>
      </c>
      <c r="C5754" s="1" t="n">
        <v>46093</v>
      </c>
      <c r="D5754" t="inlineStr">
        <is>
          <t>VÄSTERNORRLANDS LÄN</t>
        </is>
      </c>
      <c r="E5754" t="inlineStr">
        <is>
          <t>ÖRNSKÖLDSVIK</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4859-2025</t>
        </is>
      </c>
      <c r="B5755" s="1" t="n">
        <v>45688.67451388889</v>
      </c>
      <c r="C5755" s="1" t="n">
        <v>46093</v>
      </c>
      <c r="D5755" t="inlineStr">
        <is>
          <t>VÄSTERNORRLANDS LÄN</t>
        </is>
      </c>
      <c r="E5755" t="inlineStr">
        <is>
          <t>SOLLEFTEÅ</t>
        </is>
      </c>
      <c r="F5755" t="inlineStr">
        <is>
          <t>SCA</t>
        </is>
      </c>
      <c r="G5755" t="n">
        <v>11.8</v>
      </c>
      <c r="H5755" t="n">
        <v>0</v>
      </c>
      <c r="I5755" t="n">
        <v>0</v>
      </c>
      <c r="J5755" t="n">
        <v>0</v>
      </c>
      <c r="K5755" t="n">
        <v>0</v>
      </c>
      <c r="L5755" t="n">
        <v>0</v>
      </c>
      <c r="M5755" t="n">
        <v>0</v>
      </c>
      <c r="N5755" t="n">
        <v>0</v>
      </c>
      <c r="O5755" t="n">
        <v>0</v>
      </c>
      <c r="P5755" t="n">
        <v>0</v>
      </c>
      <c r="Q5755" t="n">
        <v>0</v>
      </c>
      <c r="R5755" s="2" t="inlineStr"/>
    </row>
    <row r="5756" ht="15" customHeight="1">
      <c r="A5756" t="inlineStr">
        <is>
          <t>A 47196-2025</t>
        </is>
      </c>
      <c r="B5756" s="1" t="n">
        <v>45930.34520833333</v>
      </c>
      <c r="C5756" s="1" t="n">
        <v>46093</v>
      </c>
      <c r="D5756" t="inlineStr">
        <is>
          <t>VÄSTERNORRLANDS LÄN</t>
        </is>
      </c>
      <c r="E5756" t="inlineStr">
        <is>
          <t>ÅNGE</t>
        </is>
      </c>
      <c r="F5756" t="inlineStr">
        <is>
          <t>SCA</t>
        </is>
      </c>
      <c r="G5756" t="n">
        <v>2.2</v>
      </c>
      <c r="H5756" t="n">
        <v>0</v>
      </c>
      <c r="I5756" t="n">
        <v>0</v>
      </c>
      <c r="J5756" t="n">
        <v>0</v>
      </c>
      <c r="K5756" t="n">
        <v>0</v>
      </c>
      <c r="L5756" t="n">
        <v>0</v>
      </c>
      <c r="M5756" t="n">
        <v>0</v>
      </c>
      <c r="N5756" t="n">
        <v>0</v>
      </c>
      <c r="O5756" t="n">
        <v>0</v>
      </c>
      <c r="P5756" t="n">
        <v>0</v>
      </c>
      <c r="Q5756" t="n">
        <v>0</v>
      </c>
      <c r="R5756" s="2" t="inlineStr"/>
    </row>
    <row r="5757" ht="15" customHeight="1">
      <c r="A5757" t="inlineStr">
        <is>
          <t>A 47376-2025</t>
        </is>
      </c>
      <c r="B5757" s="1" t="n">
        <v>45930.59454861111</v>
      </c>
      <c r="C5757" s="1" t="n">
        <v>46093</v>
      </c>
      <c r="D5757" t="inlineStr">
        <is>
          <t>VÄSTERNORRLANDS LÄN</t>
        </is>
      </c>
      <c r="E5757" t="inlineStr">
        <is>
          <t>SOLLEFTEÅ</t>
        </is>
      </c>
      <c r="F5757" t="inlineStr">
        <is>
          <t>SCA</t>
        </is>
      </c>
      <c r="G5757" t="n">
        <v>4.9</v>
      </c>
      <c r="H5757" t="n">
        <v>0</v>
      </c>
      <c r="I5757" t="n">
        <v>0</v>
      </c>
      <c r="J5757" t="n">
        <v>0</v>
      </c>
      <c r="K5757" t="n">
        <v>0</v>
      </c>
      <c r="L5757" t="n">
        <v>0</v>
      </c>
      <c r="M5757" t="n">
        <v>0</v>
      </c>
      <c r="N5757" t="n">
        <v>0</v>
      </c>
      <c r="O5757" t="n">
        <v>0</v>
      </c>
      <c r="P5757" t="n">
        <v>0</v>
      </c>
      <c r="Q5757" t="n">
        <v>0</v>
      </c>
      <c r="R5757" s="2" t="inlineStr"/>
    </row>
    <row r="5758" ht="15" customHeight="1">
      <c r="A5758" t="inlineStr">
        <is>
          <t>A 61234-2024</t>
        </is>
      </c>
      <c r="B5758" s="1" t="n">
        <v>45644</v>
      </c>
      <c r="C5758" s="1" t="n">
        <v>46093</v>
      </c>
      <c r="D5758" t="inlineStr">
        <is>
          <t>VÄSTERNORRLANDS LÄN</t>
        </is>
      </c>
      <c r="E5758" t="inlineStr">
        <is>
          <t>ÖRNSKÖLDSVIK</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46968-2025</t>
        </is>
      </c>
      <c r="B5759" s="1" t="n">
        <v>45929.50158564815</v>
      </c>
      <c r="C5759" s="1" t="n">
        <v>46093</v>
      </c>
      <c r="D5759" t="inlineStr">
        <is>
          <t>VÄSTERNORRLANDS LÄN</t>
        </is>
      </c>
      <c r="E5759" t="inlineStr">
        <is>
          <t>SOLLEFTEÅ</t>
        </is>
      </c>
      <c r="G5759" t="n">
        <v>5.3</v>
      </c>
      <c r="H5759" t="n">
        <v>0</v>
      </c>
      <c r="I5759" t="n">
        <v>0</v>
      </c>
      <c r="J5759" t="n">
        <v>0</v>
      </c>
      <c r="K5759" t="n">
        <v>0</v>
      </c>
      <c r="L5759" t="n">
        <v>0</v>
      </c>
      <c r="M5759" t="n">
        <v>0</v>
      </c>
      <c r="N5759" t="n">
        <v>0</v>
      </c>
      <c r="O5759" t="n">
        <v>0</v>
      </c>
      <c r="P5759" t="n">
        <v>0</v>
      </c>
      <c r="Q5759" t="n">
        <v>0</v>
      </c>
      <c r="R5759" s="2" t="inlineStr"/>
    </row>
    <row r="5760" ht="15" customHeight="1">
      <c r="A5760" t="inlineStr">
        <is>
          <t>A 46973-2025</t>
        </is>
      </c>
      <c r="B5760" s="1" t="n">
        <v>45929.51083333333</v>
      </c>
      <c r="C5760" s="1" t="n">
        <v>46093</v>
      </c>
      <c r="D5760" t="inlineStr">
        <is>
          <t>VÄSTERNORRLANDS LÄN</t>
        </is>
      </c>
      <c r="E5760" t="inlineStr">
        <is>
          <t>SOLLEFTEÅ</t>
        </is>
      </c>
      <c r="F5760" t="inlineStr">
        <is>
          <t>SCA</t>
        </is>
      </c>
      <c r="G5760" t="n">
        <v>3.6</v>
      </c>
      <c r="H5760" t="n">
        <v>0</v>
      </c>
      <c r="I5760" t="n">
        <v>0</v>
      </c>
      <c r="J5760" t="n">
        <v>0</v>
      </c>
      <c r="K5760" t="n">
        <v>0</v>
      </c>
      <c r="L5760" t="n">
        <v>0</v>
      </c>
      <c r="M5760" t="n">
        <v>0</v>
      </c>
      <c r="N5760" t="n">
        <v>0</v>
      </c>
      <c r="O5760" t="n">
        <v>0</v>
      </c>
      <c r="P5760" t="n">
        <v>0</v>
      </c>
      <c r="Q5760" t="n">
        <v>0</v>
      </c>
      <c r="R5760" s="2" t="inlineStr"/>
    </row>
    <row r="5761" ht="15" customHeight="1">
      <c r="A5761" t="inlineStr">
        <is>
          <t>A 54989-2023</t>
        </is>
      </c>
      <c r="B5761" s="1" t="n">
        <v>45236</v>
      </c>
      <c r="C5761" s="1" t="n">
        <v>46093</v>
      </c>
      <c r="D5761" t="inlineStr">
        <is>
          <t>VÄSTERNORRLANDS LÄN</t>
        </is>
      </c>
      <c r="E5761" t="inlineStr">
        <is>
          <t>SUNDSVALL</t>
        </is>
      </c>
      <c r="F5761" t="inlineStr">
        <is>
          <t>SCA</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29813-2022</t>
        </is>
      </c>
      <c r="B5762" s="1" t="n">
        <v>44755</v>
      </c>
      <c r="C5762" s="1" t="n">
        <v>46093</v>
      </c>
      <c r="D5762" t="inlineStr">
        <is>
          <t>VÄSTERNORRLANDS LÄN</t>
        </is>
      </c>
      <c r="E5762" t="inlineStr">
        <is>
          <t>HÄRNÖSAND</t>
        </is>
      </c>
      <c r="G5762" t="n">
        <v>2</v>
      </c>
      <c r="H5762" t="n">
        <v>0</v>
      </c>
      <c r="I5762" t="n">
        <v>0</v>
      </c>
      <c r="J5762" t="n">
        <v>0</v>
      </c>
      <c r="K5762" t="n">
        <v>0</v>
      </c>
      <c r="L5762" t="n">
        <v>0</v>
      </c>
      <c r="M5762" t="n">
        <v>0</v>
      </c>
      <c r="N5762" t="n">
        <v>0</v>
      </c>
      <c r="O5762" t="n">
        <v>0</v>
      </c>
      <c r="P5762" t="n">
        <v>0</v>
      </c>
      <c r="Q5762" t="n">
        <v>0</v>
      </c>
      <c r="R5762" s="2" t="inlineStr"/>
    </row>
    <row r="5763" ht="15" customHeight="1">
      <c r="A5763" t="inlineStr">
        <is>
          <t>A 54978-2023</t>
        </is>
      </c>
      <c r="B5763" s="1" t="n">
        <v>45236.96600694444</v>
      </c>
      <c r="C5763" s="1" t="n">
        <v>46093</v>
      </c>
      <c r="D5763" t="inlineStr">
        <is>
          <t>VÄSTERNORRLANDS LÄN</t>
        </is>
      </c>
      <c r="E5763" t="inlineStr">
        <is>
          <t>SOLLEFTEÅ</t>
        </is>
      </c>
      <c r="F5763" t="inlineStr">
        <is>
          <t>SCA</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54982-2023</t>
        </is>
      </c>
      <c r="B5764" s="1" t="n">
        <v>45236</v>
      </c>
      <c r="C5764" s="1" t="n">
        <v>46093</v>
      </c>
      <c r="D5764" t="inlineStr">
        <is>
          <t>VÄSTERNORRLANDS LÄN</t>
        </is>
      </c>
      <c r="E5764" t="inlineStr">
        <is>
          <t>ÅNGE</t>
        </is>
      </c>
      <c r="F5764" t="inlineStr">
        <is>
          <t>SCA</t>
        </is>
      </c>
      <c r="G5764" t="n">
        <v>26.2</v>
      </c>
      <c r="H5764" t="n">
        <v>0</v>
      </c>
      <c r="I5764" t="n">
        <v>0</v>
      </c>
      <c r="J5764" t="n">
        <v>0</v>
      </c>
      <c r="K5764" t="n">
        <v>0</v>
      </c>
      <c r="L5764" t="n">
        <v>0</v>
      </c>
      <c r="M5764" t="n">
        <v>0</v>
      </c>
      <c r="N5764" t="n">
        <v>0</v>
      </c>
      <c r="O5764" t="n">
        <v>0</v>
      </c>
      <c r="P5764" t="n">
        <v>0</v>
      </c>
      <c r="Q5764" t="n">
        <v>0</v>
      </c>
      <c r="R5764" s="2" t="inlineStr"/>
    </row>
    <row r="5765" ht="15" customHeight="1">
      <c r="A5765" t="inlineStr">
        <is>
          <t>A 54330-2023</t>
        </is>
      </c>
      <c r="B5765" s="1" t="n">
        <v>45232.95814814815</v>
      </c>
      <c r="C5765" s="1" t="n">
        <v>46093</v>
      </c>
      <c r="D5765" t="inlineStr">
        <is>
          <t>VÄSTERNORRLANDS LÄN</t>
        </is>
      </c>
      <c r="E5765" t="inlineStr">
        <is>
          <t>SOLLEFTEÅ</t>
        </is>
      </c>
      <c r="F5765" t="inlineStr">
        <is>
          <t>SCA</t>
        </is>
      </c>
      <c r="G5765" t="n">
        <v>3.3</v>
      </c>
      <c r="H5765" t="n">
        <v>0</v>
      </c>
      <c r="I5765" t="n">
        <v>0</v>
      </c>
      <c r="J5765" t="n">
        <v>0</v>
      </c>
      <c r="K5765" t="n">
        <v>0</v>
      </c>
      <c r="L5765" t="n">
        <v>0</v>
      </c>
      <c r="M5765" t="n">
        <v>0</v>
      </c>
      <c r="N5765" t="n">
        <v>0</v>
      </c>
      <c r="O5765" t="n">
        <v>0</v>
      </c>
      <c r="P5765" t="n">
        <v>0</v>
      </c>
      <c r="Q5765" t="n">
        <v>0</v>
      </c>
      <c r="R5765" s="2" t="inlineStr"/>
    </row>
    <row r="5766" ht="15" customHeight="1">
      <c r="A5766" t="inlineStr">
        <is>
          <t>A 54346-2023</t>
        </is>
      </c>
      <c r="B5766" s="1" t="n">
        <v>45232.96087962963</v>
      </c>
      <c r="C5766" s="1" t="n">
        <v>46093</v>
      </c>
      <c r="D5766" t="inlineStr">
        <is>
          <t>VÄSTERNORRLANDS LÄN</t>
        </is>
      </c>
      <c r="E5766" t="inlineStr">
        <is>
          <t>ÅNGE</t>
        </is>
      </c>
      <c r="F5766" t="inlineStr">
        <is>
          <t>SCA</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29795-2022</t>
        </is>
      </c>
      <c r="B5767" s="1" t="n">
        <v>44755</v>
      </c>
      <c r="C5767" s="1" t="n">
        <v>46093</v>
      </c>
      <c r="D5767" t="inlineStr">
        <is>
          <t>VÄSTERNORRLANDS LÄN</t>
        </is>
      </c>
      <c r="E5767" t="inlineStr">
        <is>
          <t>ÖRNSKÖLDSVIK</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7382-2025</t>
        </is>
      </c>
      <c r="B5768" s="1" t="n">
        <v>45705.32261574074</v>
      </c>
      <c r="C5768" s="1" t="n">
        <v>46093</v>
      </c>
      <c r="D5768" t="inlineStr">
        <is>
          <t>VÄSTERNORRLANDS LÄN</t>
        </is>
      </c>
      <c r="E5768" t="inlineStr">
        <is>
          <t>ÖRNSKÖLDSVIK</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47234-2025</t>
        </is>
      </c>
      <c r="B5769" s="1" t="n">
        <v>45930.40663194445</v>
      </c>
      <c r="C5769" s="1" t="n">
        <v>46093</v>
      </c>
      <c r="D5769" t="inlineStr">
        <is>
          <t>VÄSTERNORRLANDS LÄN</t>
        </is>
      </c>
      <c r="E5769" t="inlineStr">
        <is>
          <t>SOLLEFTEÅ</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698-2024</t>
        </is>
      </c>
      <c r="B5770" s="1" t="n">
        <v>45300.38689814815</v>
      </c>
      <c r="C5770" s="1" t="n">
        <v>46093</v>
      </c>
      <c r="D5770" t="inlineStr">
        <is>
          <t>VÄSTERNORRLANDS LÄN</t>
        </is>
      </c>
      <c r="E5770" t="inlineStr">
        <is>
          <t>ÖRNSKÖLDSVIK</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7427-2025</t>
        </is>
      </c>
      <c r="B5771" s="1" t="n">
        <v>45705</v>
      </c>
      <c r="C5771" s="1" t="n">
        <v>46093</v>
      </c>
      <c r="D5771" t="inlineStr">
        <is>
          <t>VÄSTERNORRLANDS LÄN</t>
        </is>
      </c>
      <c r="E5771" t="inlineStr">
        <is>
          <t>SUNDSVALL</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38446-2023</t>
        </is>
      </c>
      <c r="B5772" s="1" t="n">
        <v>45162</v>
      </c>
      <c r="C5772" s="1" t="n">
        <v>46093</v>
      </c>
      <c r="D5772" t="inlineStr">
        <is>
          <t>VÄSTERNORRLANDS LÄN</t>
        </is>
      </c>
      <c r="E5772" t="inlineStr">
        <is>
          <t>KRAMFORS</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38448-2023</t>
        </is>
      </c>
      <c r="B5773" s="1" t="n">
        <v>45162</v>
      </c>
      <c r="C5773" s="1" t="n">
        <v>46093</v>
      </c>
      <c r="D5773" t="inlineStr">
        <is>
          <t>VÄSTERNORRLANDS LÄN</t>
        </is>
      </c>
      <c r="E5773" t="inlineStr">
        <is>
          <t>KRAMFORS</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32850-2022</t>
        </is>
      </c>
      <c r="B5774" s="1" t="n">
        <v>44784</v>
      </c>
      <c r="C5774" s="1" t="n">
        <v>46093</v>
      </c>
      <c r="D5774" t="inlineStr">
        <is>
          <t>VÄSTERNORRLANDS LÄN</t>
        </is>
      </c>
      <c r="E5774" t="inlineStr">
        <is>
          <t>ÖRNSKÖLDSVIK</t>
        </is>
      </c>
      <c r="G5774" t="n">
        <v>5.5</v>
      </c>
      <c r="H5774" t="n">
        <v>0</v>
      </c>
      <c r="I5774" t="n">
        <v>0</v>
      </c>
      <c r="J5774" t="n">
        <v>0</v>
      </c>
      <c r="K5774" t="n">
        <v>0</v>
      </c>
      <c r="L5774" t="n">
        <v>0</v>
      </c>
      <c r="M5774" t="n">
        <v>0</v>
      </c>
      <c r="N5774" t="n">
        <v>0</v>
      </c>
      <c r="O5774" t="n">
        <v>0</v>
      </c>
      <c r="P5774" t="n">
        <v>0</v>
      </c>
      <c r="Q5774" t="n">
        <v>0</v>
      </c>
      <c r="R5774" s="2" t="inlineStr"/>
    </row>
    <row r="5775" ht="15" customHeight="1">
      <c r="A5775" t="inlineStr">
        <is>
          <t>A 46873-2025</t>
        </is>
      </c>
      <c r="B5775" s="1" t="n">
        <v>45929.34421296296</v>
      </c>
      <c r="C5775" s="1" t="n">
        <v>46093</v>
      </c>
      <c r="D5775" t="inlineStr">
        <is>
          <t>VÄSTERNORRLANDS LÄN</t>
        </is>
      </c>
      <c r="E5775" t="inlineStr">
        <is>
          <t>SOLLEFTEÅ</t>
        </is>
      </c>
      <c r="F5775" t="inlineStr">
        <is>
          <t>SCA</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46941-2025</t>
        </is>
      </c>
      <c r="B5776" s="1" t="n">
        <v>45929.45567129629</v>
      </c>
      <c r="C5776" s="1" t="n">
        <v>46093</v>
      </c>
      <c r="D5776" t="inlineStr">
        <is>
          <t>VÄSTERNORRLANDS LÄN</t>
        </is>
      </c>
      <c r="E5776" t="inlineStr">
        <is>
          <t>ÖRNSKÖLDSVIK</t>
        </is>
      </c>
      <c r="F5776" t="inlineStr">
        <is>
          <t>Holmen skog AB</t>
        </is>
      </c>
      <c r="G5776" t="n">
        <v>10.8</v>
      </c>
      <c r="H5776" t="n">
        <v>0</v>
      </c>
      <c r="I5776" t="n">
        <v>0</v>
      </c>
      <c r="J5776" t="n">
        <v>0</v>
      </c>
      <c r="K5776" t="n">
        <v>0</v>
      </c>
      <c r="L5776" t="n">
        <v>0</v>
      </c>
      <c r="M5776" t="n">
        <v>0</v>
      </c>
      <c r="N5776" t="n">
        <v>0</v>
      </c>
      <c r="O5776" t="n">
        <v>0</v>
      </c>
      <c r="P5776" t="n">
        <v>0</v>
      </c>
      <c r="Q5776" t="n">
        <v>0</v>
      </c>
      <c r="R5776" s="2" t="inlineStr"/>
    </row>
    <row r="5777" ht="15" customHeight="1">
      <c r="A5777" t="inlineStr">
        <is>
          <t>A 46960-2025</t>
        </is>
      </c>
      <c r="B5777" s="1" t="n">
        <v>45929.48690972223</v>
      </c>
      <c r="C5777" s="1" t="n">
        <v>46093</v>
      </c>
      <c r="D5777" t="inlineStr">
        <is>
          <t>VÄSTERNORRLANDS LÄN</t>
        </is>
      </c>
      <c r="E5777" t="inlineStr">
        <is>
          <t>TIMRÅ</t>
        </is>
      </c>
      <c r="G5777" t="n">
        <v>2.6</v>
      </c>
      <c r="H5777" t="n">
        <v>0</v>
      </c>
      <c r="I5777" t="n">
        <v>0</v>
      </c>
      <c r="J5777" t="n">
        <v>0</v>
      </c>
      <c r="K5777" t="n">
        <v>0</v>
      </c>
      <c r="L5777" t="n">
        <v>0</v>
      </c>
      <c r="M5777" t="n">
        <v>0</v>
      </c>
      <c r="N5777" t="n">
        <v>0</v>
      </c>
      <c r="O5777" t="n">
        <v>0</v>
      </c>
      <c r="P5777" t="n">
        <v>0</v>
      </c>
      <c r="Q5777" t="n">
        <v>0</v>
      </c>
      <c r="R5777" s="2" t="inlineStr"/>
    </row>
    <row r="5778" ht="15" customHeight="1">
      <c r="A5778" t="inlineStr">
        <is>
          <t>A 8796-2025</t>
        </is>
      </c>
      <c r="B5778" s="1" t="n">
        <v>45712.64783564815</v>
      </c>
      <c r="C5778" s="1" t="n">
        <v>46093</v>
      </c>
      <c r="D5778" t="inlineStr">
        <is>
          <t>VÄSTERNORRLANDS LÄN</t>
        </is>
      </c>
      <c r="E5778" t="inlineStr">
        <is>
          <t>SUNDSVALL</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19341-2025</t>
        </is>
      </c>
      <c r="B5779" s="1" t="n">
        <v>45769.59504629629</v>
      </c>
      <c r="C5779" s="1" t="n">
        <v>46093</v>
      </c>
      <c r="D5779" t="inlineStr">
        <is>
          <t>VÄSTERNORRLANDS LÄN</t>
        </is>
      </c>
      <c r="E5779" t="inlineStr">
        <is>
          <t>TIMRÅ</t>
        </is>
      </c>
      <c r="F5779" t="inlineStr">
        <is>
          <t>SCA</t>
        </is>
      </c>
      <c r="G5779" t="n">
        <v>4.4</v>
      </c>
      <c r="H5779" t="n">
        <v>0</v>
      </c>
      <c r="I5779" t="n">
        <v>0</v>
      </c>
      <c r="J5779" t="n">
        <v>0</v>
      </c>
      <c r="K5779" t="n">
        <v>0</v>
      </c>
      <c r="L5779" t="n">
        <v>0</v>
      </c>
      <c r="M5779" t="n">
        <v>0</v>
      </c>
      <c r="N5779" t="n">
        <v>0</v>
      </c>
      <c r="O5779" t="n">
        <v>0</v>
      </c>
      <c r="P5779" t="n">
        <v>0</v>
      </c>
      <c r="Q5779" t="n">
        <v>0</v>
      </c>
      <c r="R5779" s="2" t="inlineStr"/>
    </row>
    <row r="5780" ht="15" customHeight="1">
      <c r="A5780" t="inlineStr">
        <is>
          <t>A 47479-2025</t>
        </is>
      </c>
      <c r="B5780" s="1" t="n">
        <v>45930</v>
      </c>
      <c r="C5780" s="1" t="n">
        <v>46093</v>
      </c>
      <c r="D5780" t="inlineStr">
        <is>
          <t>VÄSTERNORRLANDS LÄN</t>
        </is>
      </c>
      <c r="E5780" t="inlineStr">
        <is>
          <t>TIMRÅ</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46899-2025</t>
        </is>
      </c>
      <c r="B5781" s="1" t="n">
        <v>45929.3870949074</v>
      </c>
      <c r="C5781" s="1" t="n">
        <v>46093</v>
      </c>
      <c r="D5781" t="inlineStr">
        <is>
          <t>VÄSTERNORRLANDS LÄN</t>
        </is>
      </c>
      <c r="E5781" t="inlineStr">
        <is>
          <t>SUNDSVALL</t>
        </is>
      </c>
      <c r="F5781" t="inlineStr">
        <is>
          <t>SCA</t>
        </is>
      </c>
      <c r="G5781" t="n">
        <v>9.1</v>
      </c>
      <c r="H5781" t="n">
        <v>0</v>
      </c>
      <c r="I5781" t="n">
        <v>0</v>
      </c>
      <c r="J5781" t="n">
        <v>0</v>
      </c>
      <c r="K5781" t="n">
        <v>0</v>
      </c>
      <c r="L5781" t="n">
        <v>0</v>
      </c>
      <c r="M5781" t="n">
        <v>0</v>
      </c>
      <c r="N5781" t="n">
        <v>0</v>
      </c>
      <c r="O5781" t="n">
        <v>0</v>
      </c>
      <c r="P5781" t="n">
        <v>0</v>
      </c>
      <c r="Q5781" t="n">
        <v>0</v>
      </c>
      <c r="R5781" s="2" t="inlineStr"/>
    </row>
    <row r="5782" ht="15" customHeight="1">
      <c r="A5782" t="inlineStr">
        <is>
          <t>A 6284-2025</t>
        </is>
      </c>
      <c r="B5782" s="1" t="n">
        <v>45698.63611111111</v>
      </c>
      <c r="C5782" s="1" t="n">
        <v>46093</v>
      </c>
      <c r="D5782" t="inlineStr">
        <is>
          <t>VÄSTERNORRLANDS LÄN</t>
        </is>
      </c>
      <c r="E5782" t="inlineStr">
        <is>
          <t>SOLLEFTEÅ</t>
        </is>
      </c>
      <c r="F5782" t="inlineStr">
        <is>
          <t>SCA</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62357-2023</t>
        </is>
      </c>
      <c r="B5783" s="1" t="n">
        <v>45267.95109953704</v>
      </c>
      <c r="C5783" s="1" t="n">
        <v>46093</v>
      </c>
      <c r="D5783" t="inlineStr">
        <is>
          <t>VÄSTERNORRLANDS LÄN</t>
        </is>
      </c>
      <c r="E5783" t="inlineStr">
        <is>
          <t>SOLLEFTEÅ</t>
        </is>
      </c>
      <c r="F5783" t="inlineStr">
        <is>
          <t>SCA</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47198-2025</t>
        </is>
      </c>
      <c r="B5784" s="1" t="n">
        <v>45930.34550925926</v>
      </c>
      <c r="C5784" s="1" t="n">
        <v>46093</v>
      </c>
      <c r="D5784" t="inlineStr">
        <is>
          <t>VÄSTERNORRLANDS LÄN</t>
        </is>
      </c>
      <c r="E5784" t="inlineStr">
        <is>
          <t>KRAMFORS</t>
        </is>
      </c>
      <c r="G5784" t="n">
        <v>8</v>
      </c>
      <c r="H5784" t="n">
        <v>0</v>
      </c>
      <c r="I5784" t="n">
        <v>0</v>
      </c>
      <c r="J5784" t="n">
        <v>0</v>
      </c>
      <c r="K5784" t="n">
        <v>0</v>
      </c>
      <c r="L5784" t="n">
        <v>0</v>
      </c>
      <c r="M5784" t="n">
        <v>0</v>
      </c>
      <c r="N5784" t="n">
        <v>0</v>
      </c>
      <c r="O5784" t="n">
        <v>0</v>
      </c>
      <c r="P5784" t="n">
        <v>0</v>
      </c>
      <c r="Q5784" t="n">
        <v>0</v>
      </c>
      <c r="R5784" s="2" t="inlineStr"/>
    </row>
    <row r="5785" ht="15" customHeight="1">
      <c r="A5785" t="inlineStr">
        <is>
          <t>A 52517-2023</t>
        </is>
      </c>
      <c r="B5785" s="1" t="n">
        <v>45225.49472222223</v>
      </c>
      <c r="C5785" s="1" t="n">
        <v>46093</v>
      </c>
      <c r="D5785" t="inlineStr">
        <is>
          <t>VÄSTERNORRLANDS LÄN</t>
        </is>
      </c>
      <c r="E5785" t="inlineStr">
        <is>
          <t>SUNDSVALL</t>
        </is>
      </c>
      <c r="F5785" t="inlineStr">
        <is>
          <t>Kommuner</t>
        </is>
      </c>
      <c r="G5785" t="n">
        <v>5.2</v>
      </c>
      <c r="H5785" t="n">
        <v>0</v>
      </c>
      <c r="I5785" t="n">
        <v>0</v>
      </c>
      <c r="J5785" t="n">
        <v>0</v>
      </c>
      <c r="K5785" t="n">
        <v>0</v>
      </c>
      <c r="L5785" t="n">
        <v>0</v>
      </c>
      <c r="M5785" t="n">
        <v>0</v>
      </c>
      <c r="N5785" t="n">
        <v>0</v>
      </c>
      <c r="O5785" t="n">
        <v>0</v>
      </c>
      <c r="P5785" t="n">
        <v>0</v>
      </c>
      <c r="Q5785" t="n">
        <v>0</v>
      </c>
      <c r="R5785" s="2" t="inlineStr"/>
    </row>
    <row r="5786" ht="15" customHeight="1">
      <c r="A5786" t="inlineStr">
        <is>
          <t>A 62467-2023</t>
        </is>
      </c>
      <c r="B5786" s="1" t="n">
        <v>45267</v>
      </c>
      <c r="C5786" s="1" t="n">
        <v>46093</v>
      </c>
      <c r="D5786" t="inlineStr">
        <is>
          <t>VÄSTERNORRLANDS LÄN</t>
        </is>
      </c>
      <c r="E5786" t="inlineStr">
        <is>
          <t>ÖRNSKÖLDSVIK</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8895-2025</t>
        </is>
      </c>
      <c r="B5787" s="1" t="n">
        <v>45713.40670138889</v>
      </c>
      <c r="C5787" s="1" t="n">
        <v>46093</v>
      </c>
      <c r="D5787" t="inlineStr">
        <is>
          <t>VÄSTERNORRLANDS LÄN</t>
        </is>
      </c>
      <c r="E5787" t="inlineStr">
        <is>
          <t>SOLLEFTEÅ</t>
        </is>
      </c>
      <c r="G5787" t="n">
        <v>5.6</v>
      </c>
      <c r="H5787" t="n">
        <v>0</v>
      </c>
      <c r="I5787" t="n">
        <v>0</v>
      </c>
      <c r="J5787" t="n">
        <v>0</v>
      </c>
      <c r="K5787" t="n">
        <v>0</v>
      </c>
      <c r="L5787" t="n">
        <v>0</v>
      </c>
      <c r="M5787" t="n">
        <v>0</v>
      </c>
      <c r="N5787" t="n">
        <v>0</v>
      </c>
      <c r="O5787" t="n">
        <v>0</v>
      </c>
      <c r="P5787" t="n">
        <v>0</v>
      </c>
      <c r="Q5787" t="n">
        <v>0</v>
      </c>
      <c r="R5787" s="2" t="inlineStr"/>
    </row>
    <row r="5788" ht="15" customHeight="1">
      <c r="A5788" t="inlineStr">
        <is>
          <t>A 11078-2025</t>
        </is>
      </c>
      <c r="B5788" s="1" t="n">
        <v>45723.55694444444</v>
      </c>
      <c r="C5788" s="1" t="n">
        <v>46093</v>
      </c>
      <c r="D5788" t="inlineStr">
        <is>
          <t>VÄSTERNORRLANDS LÄN</t>
        </is>
      </c>
      <c r="E5788" t="inlineStr">
        <is>
          <t>HÄRNÖSAND</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52573-2023</t>
        </is>
      </c>
      <c r="B5789" s="1" t="n">
        <v>45225.58909722222</v>
      </c>
      <c r="C5789" s="1" t="n">
        <v>46093</v>
      </c>
      <c r="D5789" t="inlineStr">
        <is>
          <t>VÄSTERNORRLANDS LÄN</t>
        </is>
      </c>
      <c r="E5789" t="inlineStr">
        <is>
          <t>ÖRNSKÖLDSVIK</t>
        </is>
      </c>
      <c r="F5789" t="inlineStr">
        <is>
          <t>Holmen skog AB</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47380-2025</t>
        </is>
      </c>
      <c r="B5790" s="1" t="n">
        <v>45930.59491898148</v>
      </c>
      <c r="C5790" s="1" t="n">
        <v>46093</v>
      </c>
      <c r="D5790" t="inlineStr">
        <is>
          <t>VÄSTERNORRLANDS LÄN</t>
        </is>
      </c>
      <c r="E5790" t="inlineStr">
        <is>
          <t>SUNDSVALL</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20516-2024</t>
        </is>
      </c>
      <c r="B5791" s="1" t="n">
        <v>45435</v>
      </c>
      <c r="C5791" s="1" t="n">
        <v>46093</v>
      </c>
      <c r="D5791" t="inlineStr">
        <is>
          <t>VÄSTERNORRLANDS LÄN</t>
        </is>
      </c>
      <c r="E5791" t="inlineStr">
        <is>
          <t>SOLLEFTEÅ</t>
        </is>
      </c>
      <c r="F5791" t="inlineStr">
        <is>
          <t>SCA</t>
        </is>
      </c>
      <c r="G5791" t="n">
        <v>2.3</v>
      </c>
      <c r="H5791" t="n">
        <v>0</v>
      </c>
      <c r="I5791" t="n">
        <v>0</v>
      </c>
      <c r="J5791" t="n">
        <v>0</v>
      </c>
      <c r="K5791" t="n">
        <v>0</v>
      </c>
      <c r="L5791" t="n">
        <v>0</v>
      </c>
      <c r="M5791" t="n">
        <v>0</v>
      </c>
      <c r="N5791" t="n">
        <v>0</v>
      </c>
      <c r="O5791" t="n">
        <v>0</v>
      </c>
      <c r="P5791" t="n">
        <v>0</v>
      </c>
      <c r="Q5791" t="n">
        <v>0</v>
      </c>
      <c r="R5791" s="2" t="inlineStr"/>
    </row>
    <row r="5792" ht="15" customHeight="1">
      <c r="A5792" t="inlineStr">
        <is>
          <t>A 55058-2023</t>
        </is>
      </c>
      <c r="B5792" s="1" t="n">
        <v>45229</v>
      </c>
      <c r="C5792" s="1" t="n">
        <v>46093</v>
      </c>
      <c r="D5792" t="inlineStr">
        <is>
          <t>VÄSTERNORRLANDS LÄN</t>
        </is>
      </c>
      <c r="E5792" t="inlineStr">
        <is>
          <t>HÄRNÖSAND</t>
        </is>
      </c>
      <c r="G5792" t="n">
        <v>6</v>
      </c>
      <c r="H5792" t="n">
        <v>0</v>
      </c>
      <c r="I5792" t="n">
        <v>0</v>
      </c>
      <c r="J5792" t="n">
        <v>0</v>
      </c>
      <c r="K5792" t="n">
        <v>0</v>
      </c>
      <c r="L5792" t="n">
        <v>0</v>
      </c>
      <c r="M5792" t="n">
        <v>0</v>
      </c>
      <c r="N5792" t="n">
        <v>0</v>
      </c>
      <c r="O5792" t="n">
        <v>0</v>
      </c>
      <c r="P5792" t="n">
        <v>0</v>
      </c>
      <c r="Q5792" t="n">
        <v>0</v>
      </c>
      <c r="R5792" s="2" t="inlineStr"/>
    </row>
    <row r="5793" ht="15" customHeight="1">
      <c r="A5793" t="inlineStr">
        <is>
          <t>A 11108-2025</t>
        </is>
      </c>
      <c r="B5793" s="1" t="n">
        <v>45723.6150462963</v>
      </c>
      <c r="C5793" s="1" t="n">
        <v>46093</v>
      </c>
      <c r="D5793" t="inlineStr">
        <is>
          <t>VÄSTERNORRLANDS LÄN</t>
        </is>
      </c>
      <c r="E5793" t="inlineStr">
        <is>
          <t>SOLLEFTEÅ</t>
        </is>
      </c>
      <c r="F5793" t="inlineStr">
        <is>
          <t>SCA</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47455-2025</t>
        </is>
      </c>
      <c r="B5794" s="1" t="n">
        <v>45930</v>
      </c>
      <c r="C5794" s="1" t="n">
        <v>46093</v>
      </c>
      <c r="D5794" t="inlineStr">
        <is>
          <t>VÄSTERNORRLANDS LÄN</t>
        </is>
      </c>
      <c r="E5794" t="inlineStr">
        <is>
          <t>SUNDSVALL</t>
        </is>
      </c>
      <c r="G5794" t="n">
        <v>8.5</v>
      </c>
      <c r="H5794" t="n">
        <v>0</v>
      </c>
      <c r="I5794" t="n">
        <v>0</v>
      </c>
      <c r="J5794" t="n">
        <v>0</v>
      </c>
      <c r="K5794" t="n">
        <v>0</v>
      </c>
      <c r="L5794" t="n">
        <v>0</v>
      </c>
      <c r="M5794" t="n">
        <v>0</v>
      </c>
      <c r="N5794" t="n">
        <v>0</v>
      </c>
      <c r="O5794" t="n">
        <v>0</v>
      </c>
      <c r="P5794" t="n">
        <v>0</v>
      </c>
      <c r="Q5794" t="n">
        <v>0</v>
      </c>
      <c r="R5794" s="2" t="inlineStr"/>
    </row>
    <row r="5795" ht="15" customHeight="1">
      <c r="A5795" t="inlineStr">
        <is>
          <t>A 47488-2025</t>
        </is>
      </c>
      <c r="B5795" s="1" t="n">
        <v>45930.69890046296</v>
      </c>
      <c r="C5795" s="1" t="n">
        <v>46093</v>
      </c>
      <c r="D5795" t="inlineStr">
        <is>
          <t>VÄSTERNORRLANDS LÄN</t>
        </is>
      </c>
      <c r="E5795" t="inlineStr">
        <is>
          <t>ÅNGE</t>
        </is>
      </c>
      <c r="F5795" t="inlineStr">
        <is>
          <t>SCA</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13694-2023</t>
        </is>
      </c>
      <c r="B5796" s="1" t="n">
        <v>45006</v>
      </c>
      <c r="C5796" s="1" t="n">
        <v>46093</v>
      </c>
      <c r="D5796" t="inlineStr">
        <is>
          <t>VÄSTERNORRLANDS LÄN</t>
        </is>
      </c>
      <c r="E5796" t="inlineStr">
        <is>
          <t>SUNDSVALL</t>
        </is>
      </c>
      <c r="G5796" t="n">
        <v>3.5</v>
      </c>
      <c r="H5796" t="n">
        <v>0</v>
      </c>
      <c r="I5796" t="n">
        <v>0</v>
      </c>
      <c r="J5796" t="n">
        <v>0</v>
      </c>
      <c r="K5796" t="n">
        <v>0</v>
      </c>
      <c r="L5796" t="n">
        <v>0</v>
      </c>
      <c r="M5796" t="n">
        <v>0</v>
      </c>
      <c r="N5796" t="n">
        <v>0</v>
      </c>
      <c r="O5796" t="n">
        <v>0</v>
      </c>
      <c r="P5796" t="n">
        <v>0</v>
      </c>
      <c r="Q5796" t="n">
        <v>0</v>
      </c>
      <c r="R5796" s="2" t="inlineStr"/>
    </row>
    <row r="5797" ht="15" customHeight="1">
      <c r="A5797" t="inlineStr">
        <is>
          <t>A 46827-2025</t>
        </is>
      </c>
      <c r="B5797" s="1" t="n">
        <v>45927.34444444445</v>
      </c>
      <c r="C5797" s="1" t="n">
        <v>46093</v>
      </c>
      <c r="D5797" t="inlineStr">
        <is>
          <t>VÄSTERNORRLANDS LÄN</t>
        </is>
      </c>
      <c r="E5797" t="inlineStr">
        <is>
          <t>TIMRÅ</t>
        </is>
      </c>
      <c r="F5797" t="inlineStr">
        <is>
          <t>SCA</t>
        </is>
      </c>
      <c r="G5797" t="n">
        <v>3.9</v>
      </c>
      <c r="H5797" t="n">
        <v>0</v>
      </c>
      <c r="I5797" t="n">
        <v>0</v>
      </c>
      <c r="J5797" t="n">
        <v>0</v>
      </c>
      <c r="K5797" t="n">
        <v>0</v>
      </c>
      <c r="L5797" t="n">
        <v>0</v>
      </c>
      <c r="M5797" t="n">
        <v>0</v>
      </c>
      <c r="N5797" t="n">
        <v>0</v>
      </c>
      <c r="O5797" t="n">
        <v>0</v>
      </c>
      <c r="P5797" t="n">
        <v>0</v>
      </c>
      <c r="Q5797" t="n">
        <v>0</v>
      </c>
      <c r="R5797" s="2" t="inlineStr"/>
    </row>
    <row r="5798" ht="15" customHeight="1">
      <c r="A5798" t="inlineStr">
        <is>
          <t>A 14155-2025</t>
        </is>
      </c>
      <c r="B5798" s="1" t="n">
        <v>45740</v>
      </c>
      <c r="C5798" s="1" t="n">
        <v>46093</v>
      </c>
      <c r="D5798" t="inlineStr">
        <is>
          <t>VÄSTERNORRLANDS LÄN</t>
        </is>
      </c>
      <c r="E5798" t="inlineStr">
        <is>
          <t>ÖRNSKÖLDSVIK</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55328-2023</t>
        </is>
      </c>
      <c r="B5799" s="1" t="n">
        <v>45237</v>
      </c>
      <c r="C5799" s="1" t="n">
        <v>46093</v>
      </c>
      <c r="D5799" t="inlineStr">
        <is>
          <t>VÄSTERNORRLANDS LÄN</t>
        </is>
      </c>
      <c r="E5799" t="inlineStr">
        <is>
          <t>ÅNGE</t>
        </is>
      </c>
      <c r="F5799" t="inlineStr">
        <is>
          <t>SCA</t>
        </is>
      </c>
      <c r="G5799" t="n">
        <v>5.3</v>
      </c>
      <c r="H5799" t="n">
        <v>0</v>
      </c>
      <c r="I5799" t="n">
        <v>0</v>
      </c>
      <c r="J5799" t="n">
        <v>0</v>
      </c>
      <c r="K5799" t="n">
        <v>0</v>
      </c>
      <c r="L5799" t="n">
        <v>0</v>
      </c>
      <c r="M5799" t="n">
        <v>0</v>
      </c>
      <c r="N5799" t="n">
        <v>0</v>
      </c>
      <c r="O5799" t="n">
        <v>0</v>
      </c>
      <c r="P5799" t="n">
        <v>0</v>
      </c>
      <c r="Q5799" t="n">
        <v>0</v>
      </c>
      <c r="R5799" s="2" t="inlineStr"/>
    </row>
    <row r="5800" ht="15" customHeight="1">
      <c r="A5800" t="inlineStr">
        <is>
          <t>A 47181-2023</t>
        </is>
      </c>
      <c r="B5800" s="1" t="n">
        <v>45201.94876157407</v>
      </c>
      <c r="C5800" s="1" t="n">
        <v>46093</v>
      </c>
      <c r="D5800" t="inlineStr">
        <is>
          <t>VÄSTERNORRLANDS LÄN</t>
        </is>
      </c>
      <c r="E5800" t="inlineStr">
        <is>
          <t>SOLLEFTEÅ</t>
        </is>
      </c>
      <c r="F5800" t="inlineStr">
        <is>
          <t>SCA</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57072-2023</t>
        </is>
      </c>
      <c r="B5801" s="1" t="n">
        <v>45244.96715277778</v>
      </c>
      <c r="C5801" s="1" t="n">
        <v>46093</v>
      </c>
      <c r="D5801" t="inlineStr">
        <is>
          <t>VÄSTERNORRLANDS LÄN</t>
        </is>
      </c>
      <c r="E5801" t="inlineStr">
        <is>
          <t>TIMRÅ</t>
        </is>
      </c>
      <c r="F5801" t="inlineStr">
        <is>
          <t>SCA</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46897-2025</t>
        </is>
      </c>
      <c r="B5802" s="1" t="n">
        <v>45929.38597222222</v>
      </c>
      <c r="C5802" s="1" t="n">
        <v>46093</v>
      </c>
      <c r="D5802" t="inlineStr">
        <is>
          <t>VÄSTERNORRLANDS LÄN</t>
        </is>
      </c>
      <c r="E5802" t="inlineStr">
        <is>
          <t>ÅNGE</t>
        </is>
      </c>
      <c r="G5802" t="n">
        <v>10.6</v>
      </c>
      <c r="H5802" t="n">
        <v>0</v>
      </c>
      <c r="I5802" t="n">
        <v>0</v>
      </c>
      <c r="J5802" t="n">
        <v>0</v>
      </c>
      <c r="K5802" t="n">
        <v>0</v>
      </c>
      <c r="L5802" t="n">
        <v>0</v>
      </c>
      <c r="M5802" t="n">
        <v>0</v>
      </c>
      <c r="N5802" t="n">
        <v>0</v>
      </c>
      <c r="O5802" t="n">
        <v>0</v>
      </c>
      <c r="P5802" t="n">
        <v>0</v>
      </c>
      <c r="Q5802" t="n">
        <v>0</v>
      </c>
      <c r="R5802" s="2" t="inlineStr"/>
    </row>
    <row r="5803" ht="15" customHeight="1">
      <c r="A5803" t="inlineStr">
        <is>
          <t>A 46905-2025</t>
        </is>
      </c>
      <c r="B5803" s="1" t="n">
        <v>45929.40055555556</v>
      </c>
      <c r="C5803" s="1" t="n">
        <v>46093</v>
      </c>
      <c r="D5803" t="inlineStr">
        <is>
          <t>VÄSTERNORRLANDS LÄN</t>
        </is>
      </c>
      <c r="E5803" t="inlineStr">
        <is>
          <t>SOLLEFTEÅ</t>
        </is>
      </c>
      <c r="G5803" t="n">
        <v>3.1</v>
      </c>
      <c r="H5803" t="n">
        <v>0</v>
      </c>
      <c r="I5803" t="n">
        <v>0</v>
      </c>
      <c r="J5803" t="n">
        <v>0</v>
      </c>
      <c r="K5803" t="n">
        <v>0</v>
      </c>
      <c r="L5803" t="n">
        <v>0</v>
      </c>
      <c r="M5803" t="n">
        <v>0</v>
      </c>
      <c r="N5803" t="n">
        <v>0</v>
      </c>
      <c r="O5803" t="n">
        <v>0</v>
      </c>
      <c r="P5803" t="n">
        <v>0</v>
      </c>
      <c r="Q5803" t="n">
        <v>0</v>
      </c>
      <c r="R5803" s="2" t="inlineStr"/>
    </row>
    <row r="5804" ht="15" customHeight="1">
      <c r="A5804" t="inlineStr">
        <is>
          <t>A 46911-2025</t>
        </is>
      </c>
      <c r="B5804" s="1" t="n">
        <v>45929.41128472222</v>
      </c>
      <c r="C5804" s="1" t="n">
        <v>46093</v>
      </c>
      <c r="D5804" t="inlineStr">
        <is>
          <t>VÄSTERNORRLANDS LÄN</t>
        </is>
      </c>
      <c r="E5804" t="inlineStr">
        <is>
          <t>ÖRNSKÖLDSVIK</t>
        </is>
      </c>
      <c r="F5804" t="inlineStr">
        <is>
          <t>Holmen skog AB</t>
        </is>
      </c>
      <c r="G5804" t="n">
        <v>25.2</v>
      </c>
      <c r="H5804" t="n">
        <v>0</v>
      </c>
      <c r="I5804" t="n">
        <v>0</v>
      </c>
      <c r="J5804" t="n">
        <v>0</v>
      </c>
      <c r="K5804" t="n">
        <v>0</v>
      </c>
      <c r="L5804" t="n">
        <v>0</v>
      </c>
      <c r="M5804" t="n">
        <v>0</v>
      </c>
      <c r="N5804" t="n">
        <v>0</v>
      </c>
      <c r="O5804" t="n">
        <v>0</v>
      </c>
      <c r="P5804" t="n">
        <v>0</v>
      </c>
      <c r="Q5804" t="n">
        <v>0</v>
      </c>
      <c r="R5804" s="2" t="inlineStr"/>
    </row>
    <row r="5805" ht="15" customHeight="1">
      <c r="A5805" t="inlineStr">
        <is>
          <t>A 46920-2025</t>
        </is>
      </c>
      <c r="B5805" s="1" t="n">
        <v>45929.43368055556</v>
      </c>
      <c r="C5805" s="1" t="n">
        <v>46093</v>
      </c>
      <c r="D5805" t="inlineStr">
        <is>
          <t>VÄSTERNORRLANDS LÄN</t>
        </is>
      </c>
      <c r="E5805" t="inlineStr">
        <is>
          <t>SOLLEFTEÅ</t>
        </is>
      </c>
      <c r="G5805" t="n">
        <v>5.6</v>
      </c>
      <c r="H5805" t="n">
        <v>0</v>
      </c>
      <c r="I5805" t="n">
        <v>0</v>
      </c>
      <c r="J5805" t="n">
        <v>0</v>
      </c>
      <c r="K5805" t="n">
        <v>0</v>
      </c>
      <c r="L5805" t="n">
        <v>0</v>
      </c>
      <c r="M5805" t="n">
        <v>0</v>
      </c>
      <c r="N5805" t="n">
        <v>0</v>
      </c>
      <c r="O5805" t="n">
        <v>0</v>
      </c>
      <c r="P5805" t="n">
        <v>0</v>
      </c>
      <c r="Q5805" t="n">
        <v>0</v>
      </c>
      <c r="R5805" s="2" t="inlineStr"/>
    </row>
    <row r="5806" ht="15" customHeight="1">
      <c r="A5806" t="inlineStr">
        <is>
          <t>A 36743-2025</t>
        </is>
      </c>
      <c r="B5806" s="1" t="n">
        <v>45873.53770833334</v>
      </c>
      <c r="C5806" s="1" t="n">
        <v>46093</v>
      </c>
      <c r="D5806" t="inlineStr">
        <is>
          <t>VÄSTERNORRLANDS LÄN</t>
        </is>
      </c>
      <c r="E5806" t="inlineStr">
        <is>
          <t>SUNDSVALL</t>
        </is>
      </c>
      <c r="G5806" t="n">
        <v>11.2</v>
      </c>
      <c r="H5806" t="n">
        <v>0</v>
      </c>
      <c r="I5806" t="n">
        <v>0</v>
      </c>
      <c r="J5806" t="n">
        <v>0</v>
      </c>
      <c r="K5806" t="n">
        <v>0</v>
      </c>
      <c r="L5806" t="n">
        <v>0</v>
      </c>
      <c r="M5806" t="n">
        <v>0</v>
      </c>
      <c r="N5806" t="n">
        <v>0</v>
      </c>
      <c r="O5806" t="n">
        <v>0</v>
      </c>
      <c r="P5806" t="n">
        <v>0</v>
      </c>
      <c r="Q5806" t="n">
        <v>0</v>
      </c>
      <c r="R5806" s="2" t="inlineStr"/>
    </row>
    <row r="5807" ht="15" customHeight="1">
      <c r="A5807" t="inlineStr">
        <is>
          <t>A 38888-2022</t>
        </is>
      </c>
      <c r="B5807" s="1" t="n">
        <v>44816</v>
      </c>
      <c r="C5807" s="1" t="n">
        <v>46093</v>
      </c>
      <c r="D5807" t="inlineStr">
        <is>
          <t>VÄSTERNORRLANDS LÄN</t>
        </is>
      </c>
      <c r="E5807" t="inlineStr">
        <is>
          <t>SUNDSVALL</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13690-2023</t>
        </is>
      </c>
      <c r="B5808" s="1" t="n">
        <v>45006.94331018518</v>
      </c>
      <c r="C5808" s="1" t="n">
        <v>46093</v>
      </c>
      <c r="D5808" t="inlineStr">
        <is>
          <t>VÄSTERNORRLANDS LÄN</t>
        </is>
      </c>
      <c r="E5808" t="inlineStr">
        <is>
          <t>SUNDSVALL</t>
        </is>
      </c>
      <c r="F5808" t="inlineStr">
        <is>
          <t>SCA</t>
        </is>
      </c>
      <c r="G5808" t="n">
        <v>4.8</v>
      </c>
      <c r="H5808" t="n">
        <v>0</v>
      </c>
      <c r="I5808" t="n">
        <v>0</v>
      </c>
      <c r="J5808" t="n">
        <v>0</v>
      </c>
      <c r="K5808" t="n">
        <v>0</v>
      </c>
      <c r="L5808" t="n">
        <v>0</v>
      </c>
      <c r="M5808" t="n">
        <v>0</v>
      </c>
      <c r="N5808" t="n">
        <v>0</v>
      </c>
      <c r="O5808" t="n">
        <v>0</v>
      </c>
      <c r="P5808" t="n">
        <v>0</v>
      </c>
      <c r="Q5808" t="n">
        <v>0</v>
      </c>
      <c r="R5808" s="2" t="inlineStr"/>
    </row>
    <row r="5809" ht="15" customHeight="1">
      <c r="A5809" t="inlineStr">
        <is>
          <t>A 13815-2023</t>
        </is>
      </c>
      <c r="B5809" s="1" t="n">
        <v>45007.57248842593</v>
      </c>
      <c r="C5809" s="1" t="n">
        <v>46093</v>
      </c>
      <c r="D5809" t="inlineStr">
        <is>
          <t>VÄSTERNORRLANDS LÄN</t>
        </is>
      </c>
      <c r="E5809" t="inlineStr">
        <is>
          <t>ÖRNSKÖLDSVIK</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46936-2025</t>
        </is>
      </c>
      <c r="B5810" s="1" t="n">
        <v>45929.44827546296</v>
      </c>
      <c r="C5810" s="1" t="n">
        <v>46093</v>
      </c>
      <c r="D5810" t="inlineStr">
        <is>
          <t>VÄSTERNORRLANDS LÄN</t>
        </is>
      </c>
      <c r="E5810" t="inlineStr">
        <is>
          <t>SUNDSVALL</t>
        </is>
      </c>
      <c r="F5810" t="inlineStr">
        <is>
          <t>SCA</t>
        </is>
      </c>
      <c r="G5810" t="n">
        <v>1.8</v>
      </c>
      <c r="H5810" t="n">
        <v>0</v>
      </c>
      <c r="I5810" t="n">
        <v>0</v>
      </c>
      <c r="J5810" t="n">
        <v>0</v>
      </c>
      <c r="K5810" t="n">
        <v>0</v>
      </c>
      <c r="L5810" t="n">
        <v>0</v>
      </c>
      <c r="M5810" t="n">
        <v>0</v>
      </c>
      <c r="N5810" t="n">
        <v>0</v>
      </c>
      <c r="O5810" t="n">
        <v>0</v>
      </c>
      <c r="P5810" t="n">
        <v>0</v>
      </c>
      <c r="Q5810" t="n">
        <v>0</v>
      </c>
      <c r="R5810" s="2" t="inlineStr"/>
    </row>
    <row r="5811" ht="15" customHeight="1">
      <c r="A5811" t="inlineStr">
        <is>
          <t>A 59898-2023</t>
        </is>
      </c>
      <c r="B5811" s="1" t="n">
        <v>45257</v>
      </c>
      <c r="C5811" s="1" t="n">
        <v>46093</v>
      </c>
      <c r="D5811" t="inlineStr">
        <is>
          <t>VÄSTERNORRLANDS LÄN</t>
        </is>
      </c>
      <c r="E5811" t="inlineStr">
        <is>
          <t>ÖRNSKÖLDSVIK</t>
        </is>
      </c>
      <c r="F5811" t="inlineStr">
        <is>
          <t>Holmen skog AB</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47453-2025</t>
        </is>
      </c>
      <c r="B5812" s="1" t="n">
        <v>45930.65217592593</v>
      </c>
      <c r="C5812" s="1" t="n">
        <v>46093</v>
      </c>
      <c r="D5812" t="inlineStr">
        <is>
          <t>VÄSTERNORRLANDS LÄN</t>
        </is>
      </c>
      <c r="E5812" t="inlineStr">
        <is>
          <t>ÖRNSKÖLDSVIK</t>
        </is>
      </c>
      <c r="F5812" t="inlineStr">
        <is>
          <t>Holmen skog AB</t>
        </is>
      </c>
      <c r="G5812" t="n">
        <v>6.2</v>
      </c>
      <c r="H5812" t="n">
        <v>0</v>
      </c>
      <c r="I5812" t="n">
        <v>0</v>
      </c>
      <c r="J5812" t="n">
        <v>0</v>
      </c>
      <c r="K5812" t="n">
        <v>0</v>
      </c>
      <c r="L5812" t="n">
        <v>0</v>
      </c>
      <c r="M5812" t="n">
        <v>0</v>
      </c>
      <c r="N5812" t="n">
        <v>0</v>
      </c>
      <c r="O5812" t="n">
        <v>0</v>
      </c>
      <c r="P5812" t="n">
        <v>0</v>
      </c>
      <c r="Q5812" t="n">
        <v>0</v>
      </c>
      <c r="R5812" s="2" t="inlineStr"/>
    </row>
    <row r="5813" ht="15" customHeight="1">
      <c r="A5813" t="inlineStr">
        <is>
          <t>A 47482-2025</t>
        </is>
      </c>
      <c r="B5813" s="1" t="n">
        <v>45930</v>
      </c>
      <c r="C5813" s="1" t="n">
        <v>46093</v>
      </c>
      <c r="D5813" t="inlineStr">
        <is>
          <t>VÄSTERNORRLANDS LÄN</t>
        </is>
      </c>
      <c r="E5813" t="inlineStr">
        <is>
          <t>SUNDSVALL</t>
        </is>
      </c>
      <c r="G5813" t="n">
        <v>2.8</v>
      </c>
      <c r="H5813" t="n">
        <v>0</v>
      </c>
      <c r="I5813" t="n">
        <v>0</v>
      </c>
      <c r="J5813" t="n">
        <v>0</v>
      </c>
      <c r="K5813" t="n">
        <v>0</v>
      </c>
      <c r="L5813" t="n">
        <v>0</v>
      </c>
      <c r="M5813" t="n">
        <v>0</v>
      </c>
      <c r="N5813" t="n">
        <v>0</v>
      </c>
      <c r="O5813" t="n">
        <v>0</v>
      </c>
      <c r="P5813" t="n">
        <v>0</v>
      </c>
      <c r="Q5813" t="n">
        <v>0</v>
      </c>
      <c r="R5813" s="2" t="inlineStr"/>
    </row>
    <row r="5814" ht="15" customHeight="1">
      <c r="A5814" t="inlineStr">
        <is>
          <t>A 47608-2025</t>
        </is>
      </c>
      <c r="B5814" s="1" t="n">
        <v>45930</v>
      </c>
      <c r="C5814" s="1" t="n">
        <v>46093</v>
      </c>
      <c r="D5814" t="inlineStr">
        <is>
          <t>VÄSTERNORRLANDS LÄN</t>
        </is>
      </c>
      <c r="E5814" t="inlineStr">
        <is>
          <t>TIMRÅ</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63673-2023</t>
        </is>
      </c>
      <c r="B5815" s="1" t="n">
        <v>45275</v>
      </c>
      <c r="C5815" s="1" t="n">
        <v>46093</v>
      </c>
      <c r="D5815" t="inlineStr">
        <is>
          <t>VÄSTERNORRLANDS LÄN</t>
        </is>
      </c>
      <c r="E5815" t="inlineStr">
        <is>
          <t>ÖRNSKÖLDSVIK</t>
        </is>
      </c>
      <c r="G5815" t="n">
        <v>11.5</v>
      </c>
      <c r="H5815" t="n">
        <v>0</v>
      </c>
      <c r="I5815" t="n">
        <v>0</v>
      </c>
      <c r="J5815" t="n">
        <v>0</v>
      </c>
      <c r="K5815" t="n">
        <v>0</v>
      </c>
      <c r="L5815" t="n">
        <v>0</v>
      </c>
      <c r="M5815" t="n">
        <v>0</v>
      </c>
      <c r="N5815" t="n">
        <v>0</v>
      </c>
      <c r="O5815" t="n">
        <v>0</v>
      </c>
      <c r="P5815" t="n">
        <v>0</v>
      </c>
      <c r="Q5815" t="n">
        <v>0</v>
      </c>
      <c r="R5815" s="2" t="inlineStr"/>
    </row>
    <row r="5816" ht="15" customHeight="1">
      <c r="A5816" t="inlineStr">
        <is>
          <t>A 63732-2023</t>
        </is>
      </c>
      <c r="B5816" s="1" t="n">
        <v>45277</v>
      </c>
      <c r="C5816" s="1" t="n">
        <v>46093</v>
      </c>
      <c r="D5816" t="inlineStr">
        <is>
          <t>VÄSTERNORRLANDS LÄN</t>
        </is>
      </c>
      <c r="E5816" t="inlineStr">
        <is>
          <t>ÖRNSKÖLDSVIK</t>
        </is>
      </c>
      <c r="F5816" t="inlineStr">
        <is>
          <t>Övriga Aktiebolag</t>
        </is>
      </c>
      <c r="G5816" t="n">
        <v>21.8</v>
      </c>
      <c r="H5816" t="n">
        <v>0</v>
      </c>
      <c r="I5816" t="n">
        <v>0</v>
      </c>
      <c r="J5816" t="n">
        <v>0</v>
      </c>
      <c r="K5816" t="n">
        <v>0</v>
      </c>
      <c r="L5816" t="n">
        <v>0</v>
      </c>
      <c r="M5816" t="n">
        <v>0</v>
      </c>
      <c r="N5816" t="n">
        <v>0</v>
      </c>
      <c r="O5816" t="n">
        <v>0</v>
      </c>
      <c r="P5816" t="n">
        <v>0</v>
      </c>
      <c r="Q5816" t="n">
        <v>0</v>
      </c>
      <c r="R5816" s="2" t="inlineStr"/>
    </row>
    <row r="5817" ht="15" customHeight="1">
      <c r="A5817" t="inlineStr">
        <is>
          <t>A 63733-2023</t>
        </is>
      </c>
      <c r="B5817" s="1" t="n">
        <v>45277.74315972222</v>
      </c>
      <c r="C5817" s="1" t="n">
        <v>46093</v>
      </c>
      <c r="D5817" t="inlineStr">
        <is>
          <t>VÄSTERNORRLANDS LÄN</t>
        </is>
      </c>
      <c r="E5817" t="inlineStr">
        <is>
          <t>ÖRNSKÖLDSVIK</t>
        </is>
      </c>
      <c r="F5817" t="inlineStr">
        <is>
          <t>Övriga Aktiebolag</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11023-2025</t>
        </is>
      </c>
      <c r="B5818" s="1" t="n">
        <v>45723.46907407408</v>
      </c>
      <c r="C5818" s="1" t="n">
        <v>46093</v>
      </c>
      <c r="D5818" t="inlineStr">
        <is>
          <t>VÄSTERNORRLANDS LÄN</t>
        </is>
      </c>
      <c r="E5818" t="inlineStr">
        <is>
          <t>SUNDSVALL</t>
        </is>
      </c>
      <c r="F5818" t="inlineStr">
        <is>
          <t>SCA</t>
        </is>
      </c>
      <c r="G5818" t="n">
        <v>6</v>
      </c>
      <c r="H5818" t="n">
        <v>0</v>
      </c>
      <c r="I5818" t="n">
        <v>0</v>
      </c>
      <c r="J5818" t="n">
        <v>0</v>
      </c>
      <c r="K5818" t="n">
        <v>0</v>
      </c>
      <c r="L5818" t="n">
        <v>0</v>
      </c>
      <c r="M5818" t="n">
        <v>0</v>
      </c>
      <c r="N5818" t="n">
        <v>0</v>
      </c>
      <c r="O5818" t="n">
        <v>0</v>
      </c>
      <c r="P5818" t="n">
        <v>0</v>
      </c>
      <c r="Q5818" t="n">
        <v>0</v>
      </c>
      <c r="R5818" s="2" t="inlineStr"/>
    </row>
    <row r="5819" ht="15" customHeight="1">
      <c r="A5819" t="inlineStr">
        <is>
          <t>A 47377-2025</t>
        </is>
      </c>
      <c r="B5819" s="1" t="n">
        <v>45930.59469907408</v>
      </c>
      <c r="C5819" s="1" t="n">
        <v>46093</v>
      </c>
      <c r="D5819" t="inlineStr">
        <is>
          <t>VÄSTERNORRLANDS LÄN</t>
        </is>
      </c>
      <c r="E5819" t="inlineStr">
        <is>
          <t>ÅNGE</t>
        </is>
      </c>
      <c r="F5819" t="inlineStr">
        <is>
          <t>SCA</t>
        </is>
      </c>
      <c r="G5819" t="n">
        <v>3.4</v>
      </c>
      <c r="H5819" t="n">
        <v>0</v>
      </c>
      <c r="I5819" t="n">
        <v>0</v>
      </c>
      <c r="J5819" t="n">
        <v>0</v>
      </c>
      <c r="K5819" t="n">
        <v>0</v>
      </c>
      <c r="L5819" t="n">
        <v>0</v>
      </c>
      <c r="M5819" t="n">
        <v>0</v>
      </c>
      <c r="N5819" t="n">
        <v>0</v>
      </c>
      <c r="O5819" t="n">
        <v>0</v>
      </c>
      <c r="P5819" t="n">
        <v>0</v>
      </c>
      <c r="Q5819" t="n">
        <v>0</v>
      </c>
      <c r="R5819" s="2" t="inlineStr"/>
    </row>
    <row r="5820" ht="15" customHeight="1">
      <c r="A5820" t="inlineStr">
        <is>
          <t>A 11057-2025</t>
        </is>
      </c>
      <c r="B5820" s="1" t="n">
        <v>45723.51069444444</v>
      </c>
      <c r="C5820" s="1" t="n">
        <v>46093</v>
      </c>
      <c r="D5820" t="inlineStr">
        <is>
          <t>VÄSTERNORRLANDS LÄN</t>
        </is>
      </c>
      <c r="E5820" t="inlineStr">
        <is>
          <t>SOLLEFTEÅ</t>
        </is>
      </c>
      <c r="F5820" t="inlineStr">
        <is>
          <t>SCA</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47379-2025</t>
        </is>
      </c>
      <c r="B5821" s="1" t="n">
        <v>45930.59488425926</v>
      </c>
      <c r="C5821" s="1" t="n">
        <v>46093</v>
      </c>
      <c r="D5821" t="inlineStr">
        <is>
          <t>VÄSTERNORRLANDS LÄN</t>
        </is>
      </c>
      <c r="E5821" t="inlineStr">
        <is>
          <t>SUNDSVALL</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15147-2024</t>
        </is>
      </c>
      <c r="B5822" s="1" t="n">
        <v>45399.94372685185</v>
      </c>
      <c r="C5822" s="1" t="n">
        <v>46093</v>
      </c>
      <c r="D5822" t="inlineStr">
        <is>
          <t>VÄSTERNORRLANDS LÄN</t>
        </is>
      </c>
      <c r="E5822" t="inlineStr">
        <is>
          <t>SOLLEFTEÅ</t>
        </is>
      </c>
      <c r="F5822" t="inlineStr">
        <is>
          <t>SCA</t>
        </is>
      </c>
      <c r="G5822" t="n">
        <v>7.7</v>
      </c>
      <c r="H5822" t="n">
        <v>0</v>
      </c>
      <c r="I5822" t="n">
        <v>0</v>
      </c>
      <c r="J5822" t="n">
        <v>0</v>
      </c>
      <c r="K5822" t="n">
        <v>0</v>
      </c>
      <c r="L5822" t="n">
        <v>0</v>
      </c>
      <c r="M5822" t="n">
        <v>0</v>
      </c>
      <c r="N5822" t="n">
        <v>0</v>
      </c>
      <c r="O5822" t="n">
        <v>0</v>
      </c>
      <c r="P5822" t="n">
        <v>0</v>
      </c>
      <c r="Q5822" t="n">
        <v>0</v>
      </c>
      <c r="R5822" s="2" t="inlineStr"/>
    </row>
    <row r="5823" ht="15" customHeight="1">
      <c r="A5823" t="inlineStr">
        <is>
          <t>A 50202-2024</t>
        </is>
      </c>
      <c r="B5823" s="1" t="n">
        <v>45600.49368055556</v>
      </c>
      <c r="C5823" s="1" t="n">
        <v>46093</v>
      </c>
      <c r="D5823" t="inlineStr">
        <is>
          <t>VÄSTERNORRLANDS LÄN</t>
        </is>
      </c>
      <c r="E5823" t="inlineStr">
        <is>
          <t>SUNDSVALL</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50204-2024</t>
        </is>
      </c>
      <c r="B5824" s="1" t="n">
        <v>45600.49379629629</v>
      </c>
      <c r="C5824" s="1" t="n">
        <v>46093</v>
      </c>
      <c r="D5824" t="inlineStr">
        <is>
          <t>VÄSTERNORRLANDS LÄN</t>
        </is>
      </c>
      <c r="E5824" t="inlineStr">
        <is>
          <t>SUNDSVALL</t>
        </is>
      </c>
      <c r="G5824" t="n">
        <v>4.7</v>
      </c>
      <c r="H5824" t="n">
        <v>0</v>
      </c>
      <c r="I5824" t="n">
        <v>0</v>
      </c>
      <c r="J5824" t="n">
        <v>0</v>
      </c>
      <c r="K5824" t="n">
        <v>0</v>
      </c>
      <c r="L5824" t="n">
        <v>0</v>
      </c>
      <c r="M5824" t="n">
        <v>0</v>
      </c>
      <c r="N5824" t="n">
        <v>0</v>
      </c>
      <c r="O5824" t="n">
        <v>0</v>
      </c>
      <c r="P5824" t="n">
        <v>0</v>
      </c>
      <c r="Q5824" t="n">
        <v>0</v>
      </c>
      <c r="R5824" s="2" t="inlineStr"/>
    </row>
    <row r="5825" ht="15" customHeight="1">
      <c r="A5825" t="inlineStr">
        <is>
          <t>A 40764-2024</t>
        </is>
      </c>
      <c r="B5825" s="1" t="n">
        <v>45558.469375</v>
      </c>
      <c r="C5825" s="1" t="n">
        <v>46093</v>
      </c>
      <c r="D5825" t="inlineStr">
        <is>
          <t>VÄSTERNORRLANDS LÄN</t>
        </is>
      </c>
      <c r="E5825" t="inlineStr">
        <is>
          <t>ÖRNSKÖLDSVIK</t>
        </is>
      </c>
      <c r="G5825" t="n">
        <v>5.5</v>
      </c>
      <c r="H5825" t="n">
        <v>0</v>
      </c>
      <c r="I5825" t="n">
        <v>0</v>
      </c>
      <c r="J5825" t="n">
        <v>0</v>
      </c>
      <c r="K5825" t="n">
        <v>0</v>
      </c>
      <c r="L5825" t="n">
        <v>0</v>
      </c>
      <c r="M5825" t="n">
        <v>0</v>
      </c>
      <c r="N5825" t="n">
        <v>0</v>
      </c>
      <c r="O5825" t="n">
        <v>0</v>
      </c>
      <c r="P5825" t="n">
        <v>0</v>
      </c>
      <c r="Q5825" t="n">
        <v>0</v>
      </c>
      <c r="R5825" s="2" t="inlineStr"/>
    </row>
    <row r="5826" ht="15" customHeight="1">
      <c r="A5826" t="inlineStr">
        <is>
          <t>A 55490-2023</t>
        </is>
      </c>
      <c r="B5826" s="1" t="n">
        <v>45238.54555555555</v>
      </c>
      <c r="C5826" s="1" t="n">
        <v>46093</v>
      </c>
      <c r="D5826" t="inlineStr">
        <is>
          <t>VÄSTERNORRLANDS LÄN</t>
        </is>
      </c>
      <c r="E5826" t="inlineStr">
        <is>
          <t>ÖRNSKÖLDSVIK</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41924-2023</t>
        </is>
      </c>
      <c r="B5827" s="1" t="n">
        <v>45176</v>
      </c>
      <c r="C5827" s="1" t="n">
        <v>46093</v>
      </c>
      <c r="D5827" t="inlineStr">
        <is>
          <t>VÄSTERNORRLANDS LÄN</t>
        </is>
      </c>
      <c r="E5827" t="inlineStr">
        <is>
          <t>SOLLEFTEÅ</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22890-2022</t>
        </is>
      </c>
      <c r="B5828" s="1" t="n">
        <v>44715</v>
      </c>
      <c r="C5828" s="1" t="n">
        <v>46093</v>
      </c>
      <c r="D5828" t="inlineStr">
        <is>
          <t>VÄSTERNORRLANDS LÄN</t>
        </is>
      </c>
      <c r="E5828" t="inlineStr">
        <is>
          <t>SUNDSVALL</t>
        </is>
      </c>
      <c r="G5828" t="n">
        <v>5.8</v>
      </c>
      <c r="H5828" t="n">
        <v>0</v>
      </c>
      <c r="I5828" t="n">
        <v>0</v>
      </c>
      <c r="J5828" t="n">
        <v>0</v>
      </c>
      <c r="K5828" t="n">
        <v>0</v>
      </c>
      <c r="L5828" t="n">
        <v>0</v>
      </c>
      <c r="M5828" t="n">
        <v>0</v>
      </c>
      <c r="N5828" t="n">
        <v>0</v>
      </c>
      <c r="O5828" t="n">
        <v>0</v>
      </c>
      <c r="P5828" t="n">
        <v>0</v>
      </c>
      <c r="Q5828" t="n">
        <v>0</v>
      </c>
      <c r="R5828" s="2" t="inlineStr"/>
    </row>
    <row r="5829" ht="15" customHeight="1">
      <c r="A5829" t="inlineStr">
        <is>
          <t>A 4428-2023</t>
        </is>
      </c>
      <c r="B5829" s="1" t="n">
        <v>44956</v>
      </c>
      <c r="C5829" s="1" t="n">
        <v>46093</v>
      </c>
      <c r="D5829" t="inlineStr">
        <is>
          <t>VÄSTERNORRLANDS LÄN</t>
        </is>
      </c>
      <c r="E5829" t="inlineStr">
        <is>
          <t>ÖRNSKÖLDSVIK</t>
        </is>
      </c>
      <c r="F5829" t="inlineStr">
        <is>
          <t>Kyrkan</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47305-2025</t>
        </is>
      </c>
      <c r="B5830" s="1" t="n">
        <v>45930</v>
      </c>
      <c r="C5830" s="1" t="n">
        <v>46093</v>
      </c>
      <c r="D5830" t="inlineStr">
        <is>
          <t>VÄSTERNORRLANDS LÄN</t>
        </is>
      </c>
      <c r="E5830" t="inlineStr">
        <is>
          <t>ÅNGE</t>
        </is>
      </c>
      <c r="G5830" t="n">
        <v>10.9</v>
      </c>
      <c r="H5830" t="n">
        <v>0</v>
      </c>
      <c r="I5830" t="n">
        <v>0</v>
      </c>
      <c r="J5830" t="n">
        <v>0</v>
      </c>
      <c r="K5830" t="n">
        <v>0</v>
      </c>
      <c r="L5830" t="n">
        <v>0</v>
      </c>
      <c r="M5830" t="n">
        <v>0</v>
      </c>
      <c r="N5830" t="n">
        <v>0</v>
      </c>
      <c r="O5830" t="n">
        <v>0</v>
      </c>
      <c r="P5830" t="n">
        <v>0</v>
      </c>
      <c r="Q5830" t="n">
        <v>0</v>
      </c>
      <c r="R5830" s="2" t="inlineStr"/>
    </row>
    <row r="5831" ht="15" customHeight="1">
      <c r="A5831" t="inlineStr">
        <is>
          <t>A 47346-2025</t>
        </is>
      </c>
      <c r="B5831" s="1" t="n">
        <v>45930.57329861111</v>
      </c>
      <c r="C5831" s="1" t="n">
        <v>46093</v>
      </c>
      <c r="D5831" t="inlineStr">
        <is>
          <t>VÄSTERNORRLANDS LÄN</t>
        </is>
      </c>
      <c r="E5831" t="inlineStr">
        <is>
          <t>SUNDSVALL</t>
        </is>
      </c>
      <c r="G5831" t="n">
        <v>3</v>
      </c>
      <c r="H5831" t="n">
        <v>0</v>
      </c>
      <c r="I5831" t="n">
        <v>0</v>
      </c>
      <c r="J5831" t="n">
        <v>0</v>
      </c>
      <c r="K5831" t="n">
        <v>0</v>
      </c>
      <c r="L5831" t="n">
        <v>0</v>
      </c>
      <c r="M5831" t="n">
        <v>0</v>
      </c>
      <c r="N5831" t="n">
        <v>0</v>
      </c>
      <c r="O5831" t="n">
        <v>0</v>
      </c>
      <c r="P5831" t="n">
        <v>0</v>
      </c>
      <c r="Q5831" t="n">
        <v>0</v>
      </c>
      <c r="R5831" s="2" t="inlineStr"/>
    </row>
    <row r="5832" ht="15" customHeight="1">
      <c r="A5832" t="inlineStr">
        <is>
          <t>A 255-2024</t>
        </is>
      </c>
      <c r="B5832" s="1" t="n">
        <v>45294.97679398148</v>
      </c>
      <c r="C5832" s="1" t="n">
        <v>46093</v>
      </c>
      <c r="D5832" t="inlineStr">
        <is>
          <t>VÄSTERNORRLANDS LÄN</t>
        </is>
      </c>
      <c r="E5832" t="inlineStr">
        <is>
          <t>SUNDSVALL</t>
        </is>
      </c>
      <c r="F5832" t="inlineStr">
        <is>
          <t>SCA</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46910-2025</t>
        </is>
      </c>
      <c r="B5833" s="1" t="n">
        <v>45929.40678240741</v>
      </c>
      <c r="C5833" s="1" t="n">
        <v>46093</v>
      </c>
      <c r="D5833" t="inlineStr">
        <is>
          <t>VÄSTERNORRLANDS LÄN</t>
        </is>
      </c>
      <c r="E5833" t="inlineStr">
        <is>
          <t>ÖRNSKÖLDSVIK</t>
        </is>
      </c>
      <c r="F5833" t="inlineStr">
        <is>
          <t>Holmen skog AB</t>
        </is>
      </c>
      <c r="G5833" t="n">
        <v>5</v>
      </c>
      <c r="H5833" t="n">
        <v>0</v>
      </c>
      <c r="I5833" t="n">
        <v>0</v>
      </c>
      <c r="J5833" t="n">
        <v>0</v>
      </c>
      <c r="K5833" t="n">
        <v>0</v>
      </c>
      <c r="L5833" t="n">
        <v>0</v>
      </c>
      <c r="M5833" t="n">
        <v>0</v>
      </c>
      <c r="N5833" t="n">
        <v>0</v>
      </c>
      <c r="O5833" t="n">
        <v>0</v>
      </c>
      <c r="P5833" t="n">
        <v>0</v>
      </c>
      <c r="Q5833" t="n">
        <v>0</v>
      </c>
      <c r="R5833" s="2" t="inlineStr"/>
    </row>
    <row r="5834" ht="15" customHeight="1">
      <c r="A5834" t="inlineStr">
        <is>
          <t>A 48218-2023</t>
        </is>
      </c>
      <c r="B5834" s="1" t="n">
        <v>45205.48504629629</v>
      </c>
      <c r="C5834" s="1" t="n">
        <v>46093</v>
      </c>
      <c r="D5834" t="inlineStr">
        <is>
          <t>VÄSTERNORRLANDS LÄN</t>
        </is>
      </c>
      <c r="E5834" t="inlineStr">
        <is>
          <t>ÖRNSKÖLDSVIK</t>
        </is>
      </c>
      <c r="F5834" t="inlineStr">
        <is>
          <t>Holmen skog AB</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28536-2022</t>
        </is>
      </c>
      <c r="B5835" s="1" t="n">
        <v>44748</v>
      </c>
      <c r="C5835" s="1" t="n">
        <v>46093</v>
      </c>
      <c r="D5835" t="inlineStr">
        <is>
          <t>VÄSTERNORRLANDS LÄN</t>
        </is>
      </c>
      <c r="E5835" t="inlineStr">
        <is>
          <t>SUNDSVALL</t>
        </is>
      </c>
      <c r="G5835" t="n">
        <v>8.9</v>
      </c>
      <c r="H5835" t="n">
        <v>0</v>
      </c>
      <c r="I5835" t="n">
        <v>0</v>
      </c>
      <c r="J5835" t="n">
        <v>0</v>
      </c>
      <c r="K5835" t="n">
        <v>0</v>
      </c>
      <c r="L5835" t="n">
        <v>0</v>
      </c>
      <c r="M5835" t="n">
        <v>0</v>
      </c>
      <c r="N5835" t="n">
        <v>0</v>
      </c>
      <c r="O5835" t="n">
        <v>0</v>
      </c>
      <c r="P5835" t="n">
        <v>0</v>
      </c>
      <c r="Q5835" t="n">
        <v>0</v>
      </c>
      <c r="R5835" s="2" t="inlineStr"/>
    </row>
    <row r="5836" ht="15" customHeight="1">
      <c r="A5836" t="inlineStr">
        <is>
          <t>A 46930-2025</t>
        </is>
      </c>
      <c r="B5836" s="1" t="n">
        <v>45929.44181712963</v>
      </c>
      <c r="C5836" s="1" t="n">
        <v>46093</v>
      </c>
      <c r="D5836" t="inlineStr">
        <is>
          <t>VÄSTERNORRLANDS LÄN</t>
        </is>
      </c>
      <c r="E5836" t="inlineStr">
        <is>
          <t>ÖRNSKÖLDSVIK</t>
        </is>
      </c>
      <c r="F5836" t="inlineStr">
        <is>
          <t>Holmen skog AB</t>
        </is>
      </c>
      <c r="G5836" t="n">
        <v>3.9</v>
      </c>
      <c r="H5836" t="n">
        <v>0</v>
      </c>
      <c r="I5836" t="n">
        <v>0</v>
      </c>
      <c r="J5836" t="n">
        <v>0</v>
      </c>
      <c r="K5836" t="n">
        <v>0</v>
      </c>
      <c r="L5836" t="n">
        <v>0</v>
      </c>
      <c r="M5836" t="n">
        <v>0</v>
      </c>
      <c r="N5836" t="n">
        <v>0</v>
      </c>
      <c r="O5836" t="n">
        <v>0</v>
      </c>
      <c r="P5836" t="n">
        <v>0</v>
      </c>
      <c r="Q5836" t="n">
        <v>0</v>
      </c>
      <c r="R5836" s="2" t="inlineStr"/>
    </row>
    <row r="5837" ht="15" customHeight="1">
      <c r="A5837" t="inlineStr">
        <is>
          <t>A 8266-2025</t>
        </is>
      </c>
      <c r="B5837" s="1" t="n">
        <v>45708</v>
      </c>
      <c r="C5837" s="1" t="n">
        <v>46093</v>
      </c>
      <c r="D5837" t="inlineStr">
        <is>
          <t>VÄSTERNORRLANDS LÄN</t>
        </is>
      </c>
      <c r="E5837" t="inlineStr">
        <is>
          <t>ÖRNSKÖLDSVIK</t>
        </is>
      </c>
      <c r="G5837" t="n">
        <v>2.9</v>
      </c>
      <c r="H5837" t="n">
        <v>0</v>
      </c>
      <c r="I5837" t="n">
        <v>0</v>
      </c>
      <c r="J5837" t="n">
        <v>0</v>
      </c>
      <c r="K5837" t="n">
        <v>0</v>
      </c>
      <c r="L5837" t="n">
        <v>0</v>
      </c>
      <c r="M5837" t="n">
        <v>0</v>
      </c>
      <c r="N5837" t="n">
        <v>0</v>
      </c>
      <c r="O5837" t="n">
        <v>0</v>
      </c>
      <c r="P5837" t="n">
        <v>0</v>
      </c>
      <c r="Q5837" t="n">
        <v>0</v>
      </c>
      <c r="R5837" s="2" t="inlineStr"/>
    </row>
    <row r="5838" ht="15" customHeight="1">
      <c r="A5838" t="inlineStr">
        <is>
          <t>A 64042-2023</t>
        </is>
      </c>
      <c r="B5838" s="1" t="n">
        <v>45279</v>
      </c>
      <c r="C5838" s="1" t="n">
        <v>46093</v>
      </c>
      <c r="D5838" t="inlineStr">
        <is>
          <t>VÄSTERNORRLANDS LÄN</t>
        </is>
      </c>
      <c r="E5838" t="inlineStr">
        <is>
          <t>KRAMFORS</t>
        </is>
      </c>
      <c r="G5838" t="n">
        <v>6.2</v>
      </c>
      <c r="H5838" t="n">
        <v>0</v>
      </c>
      <c r="I5838" t="n">
        <v>0</v>
      </c>
      <c r="J5838" t="n">
        <v>0</v>
      </c>
      <c r="K5838" t="n">
        <v>0</v>
      </c>
      <c r="L5838" t="n">
        <v>0</v>
      </c>
      <c r="M5838" t="n">
        <v>0</v>
      </c>
      <c r="N5838" t="n">
        <v>0</v>
      </c>
      <c r="O5838" t="n">
        <v>0</v>
      </c>
      <c r="P5838" t="n">
        <v>0</v>
      </c>
      <c r="Q5838" t="n">
        <v>0</v>
      </c>
      <c r="R5838" s="2" t="inlineStr"/>
    </row>
    <row r="5839" ht="15" customHeight="1">
      <c r="A5839" t="inlineStr">
        <is>
          <t>A 47274-2025</t>
        </is>
      </c>
      <c r="B5839" s="1" t="n">
        <v>45930.46638888889</v>
      </c>
      <c r="C5839" s="1" t="n">
        <v>46093</v>
      </c>
      <c r="D5839" t="inlineStr">
        <is>
          <t>VÄSTERNORRLANDS LÄN</t>
        </is>
      </c>
      <c r="E5839" t="inlineStr">
        <is>
          <t>ÖRNSKÖLDSVIK</t>
        </is>
      </c>
      <c r="G5839" t="n">
        <v>5.4</v>
      </c>
      <c r="H5839" t="n">
        <v>0</v>
      </c>
      <c r="I5839" t="n">
        <v>0</v>
      </c>
      <c r="J5839" t="n">
        <v>0</v>
      </c>
      <c r="K5839" t="n">
        <v>0</v>
      </c>
      <c r="L5839" t="n">
        <v>0</v>
      </c>
      <c r="M5839" t="n">
        <v>0</v>
      </c>
      <c r="N5839" t="n">
        <v>0</v>
      </c>
      <c r="O5839" t="n">
        <v>0</v>
      </c>
      <c r="P5839" t="n">
        <v>0</v>
      </c>
      <c r="Q5839" t="n">
        <v>0</v>
      </c>
      <c r="R5839" s="2" t="inlineStr"/>
    </row>
    <row r="5840" ht="15" customHeight="1">
      <c r="A5840" t="inlineStr">
        <is>
          <t>A 47275-2025</t>
        </is>
      </c>
      <c r="B5840" s="1" t="n">
        <v>45930.468125</v>
      </c>
      <c r="C5840" s="1" t="n">
        <v>46093</v>
      </c>
      <c r="D5840" t="inlineStr">
        <is>
          <t>VÄSTERNORRLANDS LÄN</t>
        </is>
      </c>
      <c r="E5840" t="inlineStr">
        <is>
          <t>ÖRNSKÖLDSVIK</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56755-2021</t>
        </is>
      </c>
      <c r="B5841" s="1" t="n">
        <v>44481</v>
      </c>
      <c r="C5841" s="1" t="n">
        <v>46093</v>
      </c>
      <c r="D5841" t="inlineStr">
        <is>
          <t>VÄSTERNORRLANDS LÄN</t>
        </is>
      </c>
      <c r="E5841" t="inlineStr">
        <is>
          <t>SUNDSVALL</t>
        </is>
      </c>
      <c r="F5841" t="inlineStr">
        <is>
          <t>Kommuner</t>
        </is>
      </c>
      <c r="G5841" t="n">
        <v>3.7</v>
      </c>
      <c r="H5841" t="n">
        <v>0</v>
      </c>
      <c r="I5841" t="n">
        <v>0</v>
      </c>
      <c r="J5841" t="n">
        <v>0</v>
      </c>
      <c r="K5841" t="n">
        <v>0</v>
      </c>
      <c r="L5841" t="n">
        <v>0</v>
      </c>
      <c r="M5841" t="n">
        <v>0</v>
      </c>
      <c r="N5841" t="n">
        <v>0</v>
      </c>
      <c r="O5841" t="n">
        <v>0</v>
      </c>
      <c r="P5841" t="n">
        <v>0</v>
      </c>
      <c r="Q5841" t="n">
        <v>0</v>
      </c>
      <c r="R5841" s="2" t="inlineStr"/>
    </row>
    <row r="5842" ht="15" customHeight="1">
      <c r="A5842" t="inlineStr">
        <is>
          <t>A 11531-2023</t>
        </is>
      </c>
      <c r="B5842" s="1" t="n">
        <v>44993.77038194444</v>
      </c>
      <c r="C5842" s="1" t="n">
        <v>46093</v>
      </c>
      <c r="D5842" t="inlineStr">
        <is>
          <t>VÄSTERNORRLANDS LÄN</t>
        </is>
      </c>
      <c r="E5842" t="inlineStr">
        <is>
          <t>ÅNGE</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11532-2023</t>
        </is>
      </c>
      <c r="B5843" s="1" t="n">
        <v>44993.77212962963</v>
      </c>
      <c r="C5843" s="1" t="n">
        <v>46093</v>
      </c>
      <c r="D5843" t="inlineStr">
        <is>
          <t>VÄSTERNORRLANDS LÄN</t>
        </is>
      </c>
      <c r="E5843" t="inlineStr">
        <is>
          <t>ÅNGE</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50829-2023</t>
        </is>
      </c>
      <c r="B5844" s="1" t="n">
        <v>45217</v>
      </c>
      <c r="C5844" s="1" t="n">
        <v>46093</v>
      </c>
      <c r="D5844" t="inlineStr">
        <is>
          <t>VÄSTERNORRLANDS LÄN</t>
        </is>
      </c>
      <c r="E5844" t="inlineStr">
        <is>
          <t>SUNDSVALL</t>
        </is>
      </c>
      <c r="F5844" t="inlineStr">
        <is>
          <t>SCA</t>
        </is>
      </c>
      <c r="G5844" t="n">
        <v>6.3</v>
      </c>
      <c r="H5844" t="n">
        <v>0</v>
      </c>
      <c r="I5844" t="n">
        <v>0</v>
      </c>
      <c r="J5844" t="n">
        <v>0</v>
      </c>
      <c r="K5844" t="n">
        <v>0</v>
      </c>
      <c r="L5844" t="n">
        <v>0</v>
      </c>
      <c r="M5844" t="n">
        <v>0</v>
      </c>
      <c r="N5844" t="n">
        <v>0</v>
      </c>
      <c r="O5844" t="n">
        <v>0</v>
      </c>
      <c r="P5844" t="n">
        <v>0</v>
      </c>
      <c r="Q5844" t="n">
        <v>0</v>
      </c>
      <c r="R5844" s="2" t="inlineStr"/>
    </row>
    <row r="5845" ht="15" customHeight="1">
      <c r="A5845" t="inlineStr">
        <is>
          <t>A 41355-2024</t>
        </is>
      </c>
      <c r="B5845" s="1" t="n">
        <v>45559.69833333333</v>
      </c>
      <c r="C5845" s="1" t="n">
        <v>46093</v>
      </c>
      <c r="D5845" t="inlineStr">
        <is>
          <t>VÄSTERNORRLANDS LÄN</t>
        </is>
      </c>
      <c r="E5845" t="inlineStr">
        <is>
          <t>ÅNGE</t>
        </is>
      </c>
      <c r="F5845" t="inlineStr">
        <is>
          <t>SCA</t>
        </is>
      </c>
      <c r="G5845" t="n">
        <v>6.1</v>
      </c>
      <c r="H5845" t="n">
        <v>0</v>
      </c>
      <c r="I5845" t="n">
        <v>0</v>
      </c>
      <c r="J5845" t="n">
        <v>0</v>
      </c>
      <c r="K5845" t="n">
        <v>0</v>
      </c>
      <c r="L5845" t="n">
        <v>0</v>
      </c>
      <c r="M5845" t="n">
        <v>0</v>
      </c>
      <c r="N5845" t="n">
        <v>0</v>
      </c>
      <c r="O5845" t="n">
        <v>0</v>
      </c>
      <c r="P5845" t="n">
        <v>0</v>
      </c>
      <c r="Q5845" t="n">
        <v>0</v>
      </c>
      <c r="R5845" s="2" t="inlineStr"/>
    </row>
    <row r="5846" ht="15" customHeight="1">
      <c r="A5846" t="inlineStr">
        <is>
          <t>A 54477-2024</t>
        </is>
      </c>
      <c r="B5846" s="1" t="n">
        <v>45617.55256944444</v>
      </c>
      <c r="C5846" s="1" t="n">
        <v>46093</v>
      </c>
      <c r="D5846" t="inlineStr">
        <is>
          <t>VÄSTERNORRLANDS LÄN</t>
        </is>
      </c>
      <c r="E5846" t="inlineStr">
        <is>
          <t>SUNDSVALL</t>
        </is>
      </c>
      <c r="F5846" t="inlineStr">
        <is>
          <t>SCA</t>
        </is>
      </c>
      <c r="G5846" t="n">
        <v>2.9</v>
      </c>
      <c r="H5846" t="n">
        <v>0</v>
      </c>
      <c r="I5846" t="n">
        <v>0</v>
      </c>
      <c r="J5846" t="n">
        <v>0</v>
      </c>
      <c r="K5846" t="n">
        <v>0</v>
      </c>
      <c r="L5846" t="n">
        <v>0</v>
      </c>
      <c r="M5846" t="n">
        <v>0</v>
      </c>
      <c r="N5846" t="n">
        <v>0</v>
      </c>
      <c r="O5846" t="n">
        <v>0</v>
      </c>
      <c r="P5846" t="n">
        <v>0</v>
      </c>
      <c r="Q5846" t="n">
        <v>0</v>
      </c>
      <c r="R5846" s="2" t="inlineStr"/>
    </row>
    <row r="5847" ht="15" customHeight="1">
      <c r="A5847" t="inlineStr">
        <is>
          <t>A 46987-2025</t>
        </is>
      </c>
      <c r="B5847" s="1" t="n">
        <v>45929.53701388889</v>
      </c>
      <c r="C5847" s="1" t="n">
        <v>46093</v>
      </c>
      <c r="D5847" t="inlineStr">
        <is>
          <t>VÄSTERNORRLANDS LÄN</t>
        </is>
      </c>
      <c r="E5847" t="inlineStr">
        <is>
          <t>ÖRNSKÖLDSVIK</t>
        </is>
      </c>
      <c r="F5847" t="inlineStr">
        <is>
          <t>Holmen skog AB</t>
        </is>
      </c>
      <c r="G5847" t="n">
        <v>0.4</v>
      </c>
      <c r="H5847" t="n">
        <v>0</v>
      </c>
      <c r="I5847" t="n">
        <v>0</v>
      </c>
      <c r="J5847" t="n">
        <v>0</v>
      </c>
      <c r="K5847" t="n">
        <v>0</v>
      </c>
      <c r="L5847" t="n">
        <v>0</v>
      </c>
      <c r="M5847" t="n">
        <v>0</v>
      </c>
      <c r="N5847" t="n">
        <v>0</v>
      </c>
      <c r="O5847" t="n">
        <v>0</v>
      </c>
      <c r="P5847" t="n">
        <v>0</v>
      </c>
      <c r="Q5847" t="n">
        <v>0</v>
      </c>
      <c r="R5847" s="2" t="inlineStr"/>
    </row>
    <row r="5848" ht="15" customHeight="1">
      <c r="A5848" t="inlineStr">
        <is>
          <t>A 36065-2025</t>
        </is>
      </c>
      <c r="B5848" s="1" t="n">
        <v>45866</v>
      </c>
      <c r="C5848" s="1" t="n">
        <v>46093</v>
      </c>
      <c r="D5848" t="inlineStr">
        <is>
          <t>VÄSTERNORRLANDS LÄN</t>
        </is>
      </c>
      <c r="E5848" t="inlineStr">
        <is>
          <t>SOLLEFTEÅ</t>
        </is>
      </c>
      <c r="F5848" t="inlineStr">
        <is>
          <t>SCA</t>
        </is>
      </c>
      <c r="G5848" t="n">
        <v>2.6</v>
      </c>
      <c r="H5848" t="n">
        <v>0</v>
      </c>
      <c r="I5848" t="n">
        <v>0</v>
      </c>
      <c r="J5848" t="n">
        <v>0</v>
      </c>
      <c r="K5848" t="n">
        <v>0</v>
      </c>
      <c r="L5848" t="n">
        <v>0</v>
      </c>
      <c r="M5848" t="n">
        <v>0</v>
      </c>
      <c r="N5848" t="n">
        <v>0</v>
      </c>
      <c r="O5848" t="n">
        <v>0</v>
      </c>
      <c r="P5848" t="n">
        <v>0</v>
      </c>
      <c r="Q5848" t="n">
        <v>0</v>
      </c>
      <c r="R5848" s="2" t="inlineStr"/>
    </row>
    <row r="5849" ht="15" customHeight="1">
      <c r="A5849" t="inlineStr">
        <is>
          <t>A 36667-2025</t>
        </is>
      </c>
      <c r="B5849" s="1" t="n">
        <v>45873.381875</v>
      </c>
      <c r="C5849" s="1" t="n">
        <v>46093</v>
      </c>
      <c r="D5849" t="inlineStr">
        <is>
          <t>VÄSTERNORRLANDS LÄN</t>
        </is>
      </c>
      <c r="E5849" t="inlineStr">
        <is>
          <t>SUNDSVALL</t>
        </is>
      </c>
      <c r="F5849" t="inlineStr">
        <is>
          <t>Holmen skog AB</t>
        </is>
      </c>
      <c r="G5849" t="n">
        <v>2.7</v>
      </c>
      <c r="H5849" t="n">
        <v>0</v>
      </c>
      <c r="I5849" t="n">
        <v>0</v>
      </c>
      <c r="J5849" t="n">
        <v>0</v>
      </c>
      <c r="K5849" t="n">
        <v>0</v>
      </c>
      <c r="L5849" t="n">
        <v>0</v>
      </c>
      <c r="M5849" t="n">
        <v>0</v>
      </c>
      <c r="N5849" t="n">
        <v>0</v>
      </c>
      <c r="O5849" t="n">
        <v>0</v>
      </c>
      <c r="P5849" t="n">
        <v>0</v>
      </c>
      <c r="Q5849" t="n">
        <v>0</v>
      </c>
      <c r="R5849" s="2" t="inlineStr"/>
    </row>
    <row r="5850" ht="15" customHeight="1">
      <c r="A5850" t="inlineStr">
        <is>
          <t>A 36673-2025</t>
        </is>
      </c>
      <c r="B5850" s="1" t="n">
        <v>45873.39258101852</v>
      </c>
      <c r="C5850" s="1" t="n">
        <v>46093</v>
      </c>
      <c r="D5850" t="inlineStr">
        <is>
          <t>VÄSTERNORRLANDS LÄN</t>
        </is>
      </c>
      <c r="E5850" t="inlineStr">
        <is>
          <t>ÖRNSKÖLDSVIK</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52626-2024</t>
        </is>
      </c>
      <c r="B5851" s="1" t="n">
        <v>45609.90972222222</v>
      </c>
      <c r="C5851" s="1" t="n">
        <v>46093</v>
      </c>
      <c r="D5851" t="inlineStr">
        <is>
          <t>VÄSTERNORRLANDS LÄN</t>
        </is>
      </c>
      <c r="E5851" t="inlineStr">
        <is>
          <t>ÖRNSKÖLDSVIK</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59296-2022</t>
        </is>
      </c>
      <c r="B5852" s="1" t="n">
        <v>44904.61346064815</v>
      </c>
      <c r="C5852" s="1" t="n">
        <v>46093</v>
      </c>
      <c r="D5852" t="inlineStr">
        <is>
          <t>VÄSTERNORRLANDS LÄN</t>
        </is>
      </c>
      <c r="E5852" t="inlineStr">
        <is>
          <t>SUNDSVALL</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57560-2023</t>
        </is>
      </c>
      <c r="B5853" s="1" t="n">
        <v>45243</v>
      </c>
      <c r="C5853" s="1" t="n">
        <v>46093</v>
      </c>
      <c r="D5853" t="inlineStr">
        <is>
          <t>VÄSTERNORRLANDS LÄN</t>
        </is>
      </c>
      <c r="E5853" t="inlineStr">
        <is>
          <t>ÅNGE</t>
        </is>
      </c>
      <c r="G5853" t="n">
        <v>7.4</v>
      </c>
      <c r="H5853" t="n">
        <v>0</v>
      </c>
      <c r="I5853" t="n">
        <v>0</v>
      </c>
      <c r="J5853" t="n">
        <v>0</v>
      </c>
      <c r="K5853" t="n">
        <v>0</v>
      </c>
      <c r="L5853" t="n">
        <v>0</v>
      </c>
      <c r="M5853" t="n">
        <v>0</v>
      </c>
      <c r="N5853" t="n">
        <v>0</v>
      </c>
      <c r="O5853" t="n">
        <v>0</v>
      </c>
      <c r="P5853" t="n">
        <v>0</v>
      </c>
      <c r="Q5853" t="n">
        <v>0</v>
      </c>
      <c r="R5853" s="2" t="inlineStr"/>
    </row>
    <row r="5854" ht="15" customHeight="1">
      <c r="A5854" t="inlineStr">
        <is>
          <t>A 47224-2025</t>
        </is>
      </c>
      <c r="B5854" s="1" t="n">
        <v>45930</v>
      </c>
      <c r="C5854" s="1" t="n">
        <v>46093</v>
      </c>
      <c r="D5854" t="inlineStr">
        <is>
          <t>VÄSTERNORRLANDS LÄN</t>
        </is>
      </c>
      <c r="E5854" t="inlineStr">
        <is>
          <t>HÄRNÖSAND</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34706-2024</t>
        </is>
      </c>
      <c r="B5855" s="1" t="n">
        <v>45526</v>
      </c>
      <c r="C5855" s="1" t="n">
        <v>46093</v>
      </c>
      <c r="D5855" t="inlineStr">
        <is>
          <t>VÄSTERNORRLANDS LÄN</t>
        </is>
      </c>
      <c r="E5855" t="inlineStr">
        <is>
          <t>SUNDSVALL</t>
        </is>
      </c>
      <c r="F5855" t="inlineStr">
        <is>
          <t>SCA</t>
        </is>
      </c>
      <c r="G5855" t="n">
        <v>2.7</v>
      </c>
      <c r="H5855" t="n">
        <v>0</v>
      </c>
      <c r="I5855" t="n">
        <v>0</v>
      </c>
      <c r="J5855" t="n">
        <v>0</v>
      </c>
      <c r="K5855" t="n">
        <v>0</v>
      </c>
      <c r="L5855" t="n">
        <v>0</v>
      </c>
      <c r="M5855" t="n">
        <v>0</v>
      </c>
      <c r="N5855" t="n">
        <v>0</v>
      </c>
      <c r="O5855" t="n">
        <v>0</v>
      </c>
      <c r="P5855" t="n">
        <v>0</v>
      </c>
      <c r="Q5855" t="n">
        <v>0</v>
      </c>
      <c r="R5855" s="2" t="inlineStr"/>
    </row>
    <row r="5856" ht="15" customHeight="1">
      <c r="A5856" t="inlineStr">
        <is>
          <t>A 57568-2023</t>
        </is>
      </c>
      <c r="B5856" s="1" t="n">
        <v>45246.50484953704</v>
      </c>
      <c r="C5856" s="1" t="n">
        <v>46093</v>
      </c>
      <c r="D5856" t="inlineStr">
        <is>
          <t>VÄSTERNORRLANDS LÄN</t>
        </is>
      </c>
      <c r="E5856" t="inlineStr">
        <is>
          <t>ÅNGE</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47217-2025</t>
        </is>
      </c>
      <c r="B5857" s="1" t="n">
        <v>45930.38625</v>
      </c>
      <c r="C5857" s="1" t="n">
        <v>46093</v>
      </c>
      <c r="D5857" t="inlineStr">
        <is>
          <t>VÄSTERNORRLANDS LÄN</t>
        </is>
      </c>
      <c r="E5857" t="inlineStr">
        <is>
          <t>SOLLEFTEÅ</t>
        </is>
      </c>
      <c r="F5857" t="inlineStr">
        <is>
          <t>SCA</t>
        </is>
      </c>
      <c r="G5857" t="n">
        <v>9</v>
      </c>
      <c r="H5857" t="n">
        <v>0</v>
      </c>
      <c r="I5857" t="n">
        <v>0</v>
      </c>
      <c r="J5857" t="n">
        <v>0</v>
      </c>
      <c r="K5857" t="n">
        <v>0</v>
      </c>
      <c r="L5857" t="n">
        <v>0</v>
      </c>
      <c r="M5857" t="n">
        <v>0</v>
      </c>
      <c r="N5857" t="n">
        <v>0</v>
      </c>
      <c r="O5857" t="n">
        <v>0</v>
      </c>
      <c r="P5857" t="n">
        <v>0</v>
      </c>
      <c r="Q5857" t="n">
        <v>0</v>
      </c>
      <c r="R5857" s="2" t="inlineStr"/>
    </row>
    <row r="5858" ht="15" customHeight="1">
      <c r="A5858" t="inlineStr">
        <is>
          <t>A 47069-2025</t>
        </is>
      </c>
      <c r="B5858" s="1" t="n">
        <v>45929.63596064815</v>
      </c>
      <c r="C5858" s="1" t="n">
        <v>46093</v>
      </c>
      <c r="D5858" t="inlineStr">
        <is>
          <t>VÄSTERNORRLANDS LÄN</t>
        </is>
      </c>
      <c r="E5858" t="inlineStr">
        <is>
          <t>SOLLEFTEÅ</t>
        </is>
      </c>
      <c r="F5858" t="inlineStr">
        <is>
          <t>SCA</t>
        </is>
      </c>
      <c r="G5858" t="n">
        <v>3.7</v>
      </c>
      <c r="H5858" t="n">
        <v>0</v>
      </c>
      <c r="I5858" t="n">
        <v>0</v>
      </c>
      <c r="J5858" t="n">
        <v>0</v>
      </c>
      <c r="K5858" t="n">
        <v>0</v>
      </c>
      <c r="L5858" t="n">
        <v>0</v>
      </c>
      <c r="M5858" t="n">
        <v>0</v>
      </c>
      <c r="N5858" t="n">
        <v>0</v>
      </c>
      <c r="O5858" t="n">
        <v>0</v>
      </c>
      <c r="P5858" t="n">
        <v>0</v>
      </c>
      <c r="Q5858" t="n">
        <v>0</v>
      </c>
      <c r="R5858" s="2" t="inlineStr"/>
    </row>
    <row r="5859" ht="15" customHeight="1">
      <c r="A5859" t="inlineStr">
        <is>
          <t>A 47071-2025</t>
        </is>
      </c>
      <c r="B5859" s="1" t="n">
        <v>45929.63642361111</v>
      </c>
      <c r="C5859" s="1" t="n">
        <v>46093</v>
      </c>
      <c r="D5859" t="inlineStr">
        <is>
          <t>VÄSTERNORRLANDS LÄN</t>
        </is>
      </c>
      <c r="E5859" t="inlineStr">
        <is>
          <t>SUNDSVALL</t>
        </is>
      </c>
      <c r="F5859" t="inlineStr">
        <is>
          <t>SCA</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55650-2023</t>
        </is>
      </c>
      <c r="B5860" s="1" t="n">
        <v>45238.96600694444</v>
      </c>
      <c r="C5860" s="1" t="n">
        <v>46093</v>
      </c>
      <c r="D5860" t="inlineStr">
        <is>
          <t>VÄSTERNORRLANDS LÄN</t>
        </is>
      </c>
      <c r="E5860" t="inlineStr">
        <is>
          <t>SOLLEFTEÅ</t>
        </is>
      </c>
      <c r="F5860" t="inlineStr">
        <is>
          <t>SCA</t>
        </is>
      </c>
      <c r="G5860" t="n">
        <v>4.6</v>
      </c>
      <c r="H5860" t="n">
        <v>0</v>
      </c>
      <c r="I5860" t="n">
        <v>0</v>
      </c>
      <c r="J5860" t="n">
        <v>0</v>
      </c>
      <c r="K5860" t="n">
        <v>0</v>
      </c>
      <c r="L5860" t="n">
        <v>0</v>
      </c>
      <c r="M5860" t="n">
        <v>0</v>
      </c>
      <c r="N5860" t="n">
        <v>0</v>
      </c>
      <c r="O5860" t="n">
        <v>0</v>
      </c>
      <c r="P5860" t="n">
        <v>0</v>
      </c>
      <c r="Q5860" t="n">
        <v>0</v>
      </c>
      <c r="R5860" s="2" t="inlineStr"/>
    </row>
    <row r="5861" ht="15" customHeight="1">
      <c r="A5861" t="inlineStr">
        <is>
          <t>A 55654-2023</t>
        </is>
      </c>
      <c r="B5861" s="1" t="n">
        <v>45238.96642361111</v>
      </c>
      <c r="C5861" s="1" t="n">
        <v>46093</v>
      </c>
      <c r="D5861" t="inlineStr">
        <is>
          <t>VÄSTERNORRLANDS LÄN</t>
        </is>
      </c>
      <c r="E5861" t="inlineStr">
        <is>
          <t>SOLLEFTEÅ</t>
        </is>
      </c>
      <c r="F5861" t="inlineStr">
        <is>
          <t>SCA</t>
        </is>
      </c>
      <c r="G5861" t="n">
        <v>4.1</v>
      </c>
      <c r="H5861" t="n">
        <v>0</v>
      </c>
      <c r="I5861" t="n">
        <v>0</v>
      </c>
      <c r="J5861" t="n">
        <v>0</v>
      </c>
      <c r="K5861" t="n">
        <v>0</v>
      </c>
      <c r="L5861" t="n">
        <v>0</v>
      </c>
      <c r="M5861" t="n">
        <v>0</v>
      </c>
      <c r="N5861" t="n">
        <v>0</v>
      </c>
      <c r="O5861" t="n">
        <v>0</v>
      </c>
      <c r="P5861" t="n">
        <v>0</v>
      </c>
      <c r="Q5861" t="n">
        <v>0</v>
      </c>
      <c r="R5861" s="2" t="inlineStr"/>
    </row>
    <row r="5862" ht="15" customHeight="1">
      <c r="A5862" t="inlineStr">
        <is>
          <t>A 43004-2024</t>
        </is>
      </c>
      <c r="B5862" s="1" t="n">
        <v>45567.37616898148</v>
      </c>
      <c r="C5862" s="1" t="n">
        <v>46093</v>
      </c>
      <c r="D5862" t="inlineStr">
        <is>
          <t>VÄSTERNORRLANDS LÄN</t>
        </is>
      </c>
      <c r="E5862" t="inlineStr">
        <is>
          <t>SUNDSVALL</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46895-2025</t>
        </is>
      </c>
      <c r="B5863" s="1" t="n">
        <v>45929.38577546296</v>
      </c>
      <c r="C5863" s="1" t="n">
        <v>46093</v>
      </c>
      <c r="D5863" t="inlineStr">
        <is>
          <t>VÄSTERNORRLANDS LÄN</t>
        </is>
      </c>
      <c r="E5863" t="inlineStr">
        <is>
          <t>ÖRNSKÖLDSVIK</t>
        </is>
      </c>
      <c r="F5863" t="inlineStr">
        <is>
          <t>SCA</t>
        </is>
      </c>
      <c r="G5863" t="n">
        <v>3.5</v>
      </c>
      <c r="H5863" t="n">
        <v>0</v>
      </c>
      <c r="I5863" t="n">
        <v>0</v>
      </c>
      <c r="J5863" t="n">
        <v>0</v>
      </c>
      <c r="K5863" t="n">
        <v>0</v>
      </c>
      <c r="L5863" t="n">
        <v>0</v>
      </c>
      <c r="M5863" t="n">
        <v>0</v>
      </c>
      <c r="N5863" t="n">
        <v>0</v>
      </c>
      <c r="O5863" t="n">
        <v>0</v>
      </c>
      <c r="P5863" t="n">
        <v>0</v>
      </c>
      <c r="Q5863" t="n">
        <v>0</v>
      </c>
      <c r="R5863" s="2" t="inlineStr"/>
    </row>
    <row r="5864" ht="15" customHeight="1">
      <c r="A5864" t="inlineStr">
        <is>
          <t>A 47292-2025</t>
        </is>
      </c>
      <c r="B5864" s="1" t="n">
        <v>45930.4903125</v>
      </c>
      <c r="C5864" s="1" t="n">
        <v>46093</v>
      </c>
      <c r="D5864" t="inlineStr">
        <is>
          <t>VÄSTERNORRLANDS LÄN</t>
        </is>
      </c>
      <c r="E5864" t="inlineStr">
        <is>
          <t>SOLLEFTEÅ</t>
        </is>
      </c>
      <c r="F5864" t="inlineStr">
        <is>
          <t>SCA</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53831-2024</t>
        </is>
      </c>
      <c r="B5865" s="1" t="n">
        <v>45615.61575231481</v>
      </c>
      <c r="C5865" s="1" t="n">
        <v>46093</v>
      </c>
      <c r="D5865" t="inlineStr">
        <is>
          <t>VÄSTERNORRLANDS LÄN</t>
        </is>
      </c>
      <c r="E5865" t="inlineStr">
        <is>
          <t>SOLLEFTEÅ</t>
        </is>
      </c>
      <c r="F5865" t="inlineStr">
        <is>
          <t>SCA</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47293-2025</t>
        </is>
      </c>
      <c r="B5866" s="1" t="n">
        <v>45930.49034722222</v>
      </c>
      <c r="C5866" s="1" t="n">
        <v>46093</v>
      </c>
      <c r="D5866" t="inlineStr">
        <is>
          <t>VÄSTERNORRLANDS LÄN</t>
        </is>
      </c>
      <c r="E5866" t="inlineStr">
        <is>
          <t>SOLLEFTEÅ</t>
        </is>
      </c>
      <c r="F5866" t="inlineStr">
        <is>
          <t>SCA</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47489-2025</t>
        </is>
      </c>
      <c r="B5867" s="1" t="n">
        <v>45930.69912037037</v>
      </c>
      <c r="C5867" s="1" t="n">
        <v>46093</v>
      </c>
      <c r="D5867" t="inlineStr">
        <is>
          <t>VÄSTERNORRLANDS LÄN</t>
        </is>
      </c>
      <c r="E5867" t="inlineStr">
        <is>
          <t>SOLLEFTEÅ</t>
        </is>
      </c>
      <c r="F5867" t="inlineStr">
        <is>
          <t>SCA</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47490-2025</t>
        </is>
      </c>
      <c r="B5868" s="1" t="n">
        <v>45930.69918981481</v>
      </c>
      <c r="C5868" s="1" t="n">
        <v>46093</v>
      </c>
      <c r="D5868" t="inlineStr">
        <is>
          <t>VÄSTERNORRLANDS LÄN</t>
        </is>
      </c>
      <c r="E5868" t="inlineStr">
        <is>
          <t>SOLLEFTEÅ</t>
        </is>
      </c>
      <c r="F5868" t="inlineStr">
        <is>
          <t>SCA</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46933-2025</t>
        </is>
      </c>
      <c r="B5869" s="1" t="n">
        <v>45929.44645833333</v>
      </c>
      <c r="C5869" s="1" t="n">
        <v>46093</v>
      </c>
      <c r="D5869" t="inlineStr">
        <is>
          <t>VÄSTERNORRLANDS LÄN</t>
        </is>
      </c>
      <c r="E5869" t="inlineStr">
        <is>
          <t>ÅNGE</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45435-2024</t>
        </is>
      </c>
      <c r="B5870" s="1" t="n">
        <v>45576.61538194444</v>
      </c>
      <c r="C5870" s="1" t="n">
        <v>46093</v>
      </c>
      <c r="D5870" t="inlineStr">
        <is>
          <t>VÄSTERNORRLANDS LÄN</t>
        </is>
      </c>
      <c r="E5870" t="inlineStr">
        <is>
          <t>SOLLEFTEÅ</t>
        </is>
      </c>
      <c r="F5870" t="inlineStr">
        <is>
          <t>SCA</t>
        </is>
      </c>
      <c r="G5870" t="n">
        <v>8.9</v>
      </c>
      <c r="H5870" t="n">
        <v>0</v>
      </c>
      <c r="I5870" t="n">
        <v>0</v>
      </c>
      <c r="J5870" t="n">
        <v>0</v>
      </c>
      <c r="K5870" t="n">
        <v>0</v>
      </c>
      <c r="L5870" t="n">
        <v>0</v>
      </c>
      <c r="M5870" t="n">
        <v>0</v>
      </c>
      <c r="N5870" t="n">
        <v>0</v>
      </c>
      <c r="O5870" t="n">
        <v>0</v>
      </c>
      <c r="P5870" t="n">
        <v>0</v>
      </c>
      <c r="Q5870" t="n">
        <v>0</v>
      </c>
      <c r="R5870" s="2" t="inlineStr"/>
    </row>
    <row r="5871" ht="15" customHeight="1">
      <c r="A5871" t="inlineStr">
        <is>
          <t>A 53669-2023</t>
        </is>
      </c>
      <c r="B5871" s="1" t="n">
        <v>45230</v>
      </c>
      <c r="C5871" s="1" t="n">
        <v>46093</v>
      </c>
      <c r="D5871" t="inlineStr">
        <is>
          <t>VÄSTERNORRLANDS LÄN</t>
        </is>
      </c>
      <c r="E5871" t="inlineStr">
        <is>
          <t>SOLLEFTEÅ</t>
        </is>
      </c>
      <c r="G5871" t="n">
        <v>11.2</v>
      </c>
      <c r="H5871" t="n">
        <v>0</v>
      </c>
      <c r="I5871" t="n">
        <v>0</v>
      </c>
      <c r="J5871" t="n">
        <v>0</v>
      </c>
      <c r="K5871" t="n">
        <v>0</v>
      </c>
      <c r="L5871" t="n">
        <v>0</v>
      </c>
      <c r="M5871" t="n">
        <v>0</v>
      </c>
      <c r="N5871" t="n">
        <v>0</v>
      </c>
      <c r="O5871" t="n">
        <v>0</v>
      </c>
      <c r="P5871" t="n">
        <v>0</v>
      </c>
      <c r="Q5871" t="n">
        <v>0</v>
      </c>
      <c r="R5871" s="2" t="inlineStr"/>
    </row>
    <row r="5872" ht="15" customHeight="1">
      <c r="A5872" t="inlineStr">
        <is>
          <t>A 53674-2023</t>
        </is>
      </c>
      <c r="B5872" s="1" t="n">
        <v>45224</v>
      </c>
      <c r="C5872" s="1" t="n">
        <v>46093</v>
      </c>
      <c r="D5872" t="inlineStr">
        <is>
          <t>VÄSTERNORRLANDS LÄN</t>
        </is>
      </c>
      <c r="E5872" t="inlineStr">
        <is>
          <t>SUNDSVALL</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53112-2024</t>
        </is>
      </c>
      <c r="B5873" s="1" t="n">
        <v>45611.5637037037</v>
      </c>
      <c r="C5873" s="1" t="n">
        <v>46093</v>
      </c>
      <c r="D5873" t="inlineStr">
        <is>
          <t>VÄSTERNORRLANDS LÄN</t>
        </is>
      </c>
      <c r="E5873" t="inlineStr">
        <is>
          <t>ÖRNSKÖLDSVIK</t>
        </is>
      </c>
      <c r="F5873" t="inlineStr">
        <is>
          <t>Holmen skog AB</t>
        </is>
      </c>
      <c r="G5873" t="n">
        <v>5.8</v>
      </c>
      <c r="H5873" t="n">
        <v>0</v>
      </c>
      <c r="I5873" t="n">
        <v>0</v>
      </c>
      <c r="J5873" t="n">
        <v>0</v>
      </c>
      <c r="K5873" t="n">
        <v>0</v>
      </c>
      <c r="L5873" t="n">
        <v>0</v>
      </c>
      <c r="M5873" t="n">
        <v>0</v>
      </c>
      <c r="N5873" t="n">
        <v>0</v>
      </c>
      <c r="O5873" t="n">
        <v>0</v>
      </c>
      <c r="P5873" t="n">
        <v>0</v>
      </c>
      <c r="Q5873" t="n">
        <v>0</v>
      </c>
      <c r="R5873" s="2" t="inlineStr"/>
    </row>
    <row r="5874" ht="15" customHeight="1">
      <c r="A5874" t="inlineStr">
        <is>
          <t>A 53120-2024</t>
        </is>
      </c>
      <c r="B5874" s="1" t="n">
        <v>45611</v>
      </c>
      <c r="C5874" s="1" t="n">
        <v>46093</v>
      </c>
      <c r="D5874" t="inlineStr">
        <is>
          <t>VÄSTERNORRLANDS LÄN</t>
        </is>
      </c>
      <c r="E5874" t="inlineStr">
        <is>
          <t>SOLLEFTEÅ</t>
        </is>
      </c>
      <c r="G5874" t="n">
        <v>2.5</v>
      </c>
      <c r="H5874" t="n">
        <v>0</v>
      </c>
      <c r="I5874" t="n">
        <v>0</v>
      </c>
      <c r="J5874" t="n">
        <v>0</v>
      </c>
      <c r="K5874" t="n">
        <v>0</v>
      </c>
      <c r="L5874" t="n">
        <v>0</v>
      </c>
      <c r="M5874" t="n">
        <v>0</v>
      </c>
      <c r="N5874" t="n">
        <v>0</v>
      </c>
      <c r="O5874" t="n">
        <v>0</v>
      </c>
      <c r="P5874" t="n">
        <v>0</v>
      </c>
      <c r="Q5874" t="n">
        <v>0</v>
      </c>
      <c r="R5874" s="2" t="inlineStr"/>
    </row>
    <row r="5875" ht="15" customHeight="1">
      <c r="A5875" t="inlineStr">
        <is>
          <t>A 21265-2024</t>
        </is>
      </c>
      <c r="B5875" s="1" t="n">
        <v>45440.63270833333</v>
      </c>
      <c r="C5875" s="1" t="n">
        <v>46093</v>
      </c>
      <c r="D5875" t="inlineStr">
        <is>
          <t>VÄSTERNORRLANDS LÄN</t>
        </is>
      </c>
      <c r="E5875" t="inlineStr">
        <is>
          <t>ÖRNSKÖLDSVIK</t>
        </is>
      </c>
      <c r="F5875" t="inlineStr">
        <is>
          <t>Holmen skog AB</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16084-2025</t>
        </is>
      </c>
      <c r="B5876" s="1" t="n">
        <v>45749</v>
      </c>
      <c r="C5876" s="1" t="n">
        <v>46093</v>
      </c>
      <c r="D5876" t="inlineStr">
        <is>
          <t>VÄSTERNORRLANDS LÄN</t>
        </is>
      </c>
      <c r="E5876" t="inlineStr">
        <is>
          <t>TIMRÅ</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47702-2025</t>
        </is>
      </c>
      <c r="B5877" s="1" t="n">
        <v>45931.60685185185</v>
      </c>
      <c r="C5877" s="1" t="n">
        <v>46093</v>
      </c>
      <c r="D5877" t="inlineStr">
        <is>
          <t>VÄSTERNORRLANDS LÄN</t>
        </is>
      </c>
      <c r="E5877" t="inlineStr">
        <is>
          <t>SOLLEFTEÅ</t>
        </is>
      </c>
      <c r="F5877" t="inlineStr">
        <is>
          <t>Holmen skog AB</t>
        </is>
      </c>
      <c r="G5877" t="n">
        <v>3</v>
      </c>
      <c r="H5877" t="n">
        <v>0</v>
      </c>
      <c r="I5877" t="n">
        <v>0</v>
      </c>
      <c r="J5877" t="n">
        <v>0</v>
      </c>
      <c r="K5877" t="n">
        <v>0</v>
      </c>
      <c r="L5877" t="n">
        <v>0</v>
      </c>
      <c r="M5877" t="n">
        <v>0</v>
      </c>
      <c r="N5877" t="n">
        <v>0</v>
      </c>
      <c r="O5877" t="n">
        <v>0</v>
      </c>
      <c r="P5877" t="n">
        <v>0</v>
      </c>
      <c r="Q5877" t="n">
        <v>0</v>
      </c>
      <c r="R5877" s="2" t="inlineStr"/>
    </row>
    <row r="5878" ht="15" customHeight="1">
      <c r="A5878" t="inlineStr">
        <is>
          <t>A 47752-2025</t>
        </is>
      </c>
      <c r="B5878" s="1" t="n">
        <v>45931.66358796296</v>
      </c>
      <c r="C5878" s="1" t="n">
        <v>46093</v>
      </c>
      <c r="D5878" t="inlineStr">
        <is>
          <t>VÄSTERNORRLANDS LÄN</t>
        </is>
      </c>
      <c r="E5878" t="inlineStr">
        <is>
          <t>ÅNGE</t>
        </is>
      </c>
      <c r="G5878" t="n">
        <v>3.9</v>
      </c>
      <c r="H5878" t="n">
        <v>0</v>
      </c>
      <c r="I5878" t="n">
        <v>0</v>
      </c>
      <c r="J5878" t="n">
        <v>0</v>
      </c>
      <c r="K5878" t="n">
        <v>0</v>
      </c>
      <c r="L5878" t="n">
        <v>0</v>
      </c>
      <c r="M5878" t="n">
        <v>0</v>
      </c>
      <c r="N5878" t="n">
        <v>0</v>
      </c>
      <c r="O5878" t="n">
        <v>0</v>
      </c>
      <c r="P5878" t="n">
        <v>0</v>
      </c>
      <c r="Q5878" t="n">
        <v>0</v>
      </c>
      <c r="R5878" s="2" t="inlineStr"/>
    </row>
    <row r="5879" ht="15" customHeight="1">
      <c r="A5879" t="inlineStr">
        <is>
          <t>A 43568-2024</t>
        </is>
      </c>
      <c r="B5879" s="1" t="n">
        <v>45569.40684027778</v>
      </c>
      <c r="C5879" s="1" t="n">
        <v>46093</v>
      </c>
      <c r="D5879" t="inlineStr">
        <is>
          <t>VÄSTERNORRLANDS LÄN</t>
        </is>
      </c>
      <c r="E5879" t="inlineStr">
        <is>
          <t>TIMRÅ</t>
        </is>
      </c>
      <c r="F5879" t="inlineStr">
        <is>
          <t>SCA</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43585-2024</t>
        </is>
      </c>
      <c r="B5880" s="1" t="n">
        <v>45569.42770833334</v>
      </c>
      <c r="C5880" s="1" t="n">
        <v>46093</v>
      </c>
      <c r="D5880" t="inlineStr">
        <is>
          <t>VÄSTERNORRLANDS LÄN</t>
        </is>
      </c>
      <c r="E5880" t="inlineStr">
        <is>
          <t>SOLLEFTEÅ</t>
        </is>
      </c>
      <c r="G5880" t="n">
        <v>0.1</v>
      </c>
      <c r="H5880" t="n">
        <v>0</v>
      </c>
      <c r="I5880" t="n">
        <v>0</v>
      </c>
      <c r="J5880" t="n">
        <v>0</v>
      </c>
      <c r="K5880" t="n">
        <v>0</v>
      </c>
      <c r="L5880" t="n">
        <v>0</v>
      </c>
      <c r="M5880" t="n">
        <v>0</v>
      </c>
      <c r="N5880" t="n">
        <v>0</v>
      </c>
      <c r="O5880" t="n">
        <v>0</v>
      </c>
      <c r="P5880" t="n">
        <v>0</v>
      </c>
      <c r="Q5880" t="n">
        <v>0</v>
      </c>
      <c r="R5880" s="2" t="inlineStr"/>
    </row>
    <row r="5881" ht="15" customHeight="1">
      <c r="A5881" t="inlineStr">
        <is>
          <t>A 43628-2024</t>
        </is>
      </c>
      <c r="B5881" s="1" t="n">
        <v>45569.49033564814</v>
      </c>
      <c r="C5881" s="1" t="n">
        <v>46093</v>
      </c>
      <c r="D5881" t="inlineStr">
        <is>
          <t>VÄSTERNORRLANDS LÄN</t>
        </is>
      </c>
      <c r="E5881" t="inlineStr">
        <is>
          <t>ÖRNSKÖLDSVIK</t>
        </is>
      </c>
      <c r="F5881" t="inlineStr">
        <is>
          <t>SCA</t>
        </is>
      </c>
      <c r="G5881" t="n">
        <v>3.3</v>
      </c>
      <c r="H5881" t="n">
        <v>0</v>
      </c>
      <c r="I5881" t="n">
        <v>0</v>
      </c>
      <c r="J5881" t="n">
        <v>0</v>
      </c>
      <c r="K5881" t="n">
        <v>0</v>
      </c>
      <c r="L5881" t="n">
        <v>0</v>
      </c>
      <c r="M5881" t="n">
        <v>0</v>
      </c>
      <c r="N5881" t="n">
        <v>0</v>
      </c>
      <c r="O5881" t="n">
        <v>0</v>
      </c>
      <c r="P5881" t="n">
        <v>0</v>
      </c>
      <c r="Q5881" t="n">
        <v>0</v>
      </c>
      <c r="R5881" s="2" t="inlineStr"/>
    </row>
    <row r="5882" ht="15" customHeight="1">
      <c r="A5882" t="inlineStr">
        <is>
          <t>A 23097-2023</t>
        </is>
      </c>
      <c r="B5882" s="1" t="n">
        <v>45075</v>
      </c>
      <c r="C5882" s="1" t="n">
        <v>46093</v>
      </c>
      <c r="D5882" t="inlineStr">
        <is>
          <t>VÄSTERNORRLANDS LÄN</t>
        </is>
      </c>
      <c r="E5882" t="inlineStr">
        <is>
          <t>ÖRNSKÖLDSVIK</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45338-2025</t>
        </is>
      </c>
      <c r="B5883" s="1" t="n">
        <v>45922</v>
      </c>
      <c r="C5883" s="1" t="n">
        <v>46093</v>
      </c>
      <c r="D5883" t="inlineStr">
        <is>
          <t>VÄSTERNORRLANDS LÄN</t>
        </is>
      </c>
      <c r="E5883" t="inlineStr">
        <is>
          <t>TIMRÅ</t>
        </is>
      </c>
      <c r="G5883" t="n">
        <v>2.1</v>
      </c>
      <c r="H5883" t="n">
        <v>0</v>
      </c>
      <c r="I5883" t="n">
        <v>0</v>
      </c>
      <c r="J5883" t="n">
        <v>0</v>
      </c>
      <c r="K5883" t="n">
        <v>0</v>
      </c>
      <c r="L5883" t="n">
        <v>0</v>
      </c>
      <c r="M5883" t="n">
        <v>0</v>
      </c>
      <c r="N5883" t="n">
        <v>0</v>
      </c>
      <c r="O5883" t="n">
        <v>0</v>
      </c>
      <c r="P5883" t="n">
        <v>0</v>
      </c>
      <c r="Q5883" t="n">
        <v>0</v>
      </c>
      <c r="R5883" s="2" t="inlineStr"/>
    </row>
    <row r="5884" ht="15" customHeight="1">
      <c r="A5884" t="inlineStr">
        <is>
          <t>A 47590-2025</t>
        </is>
      </c>
      <c r="B5884" s="1" t="n">
        <v>45931.44510416667</v>
      </c>
      <c r="C5884" s="1" t="n">
        <v>46093</v>
      </c>
      <c r="D5884" t="inlineStr">
        <is>
          <t>VÄSTERNORRLANDS LÄN</t>
        </is>
      </c>
      <c r="E5884" t="inlineStr">
        <is>
          <t>ÖRNSKÖLDSVIK</t>
        </is>
      </c>
      <c r="F5884" t="inlineStr">
        <is>
          <t>Holmen skog AB</t>
        </is>
      </c>
      <c r="G5884" t="n">
        <v>3.9</v>
      </c>
      <c r="H5884" t="n">
        <v>0</v>
      </c>
      <c r="I5884" t="n">
        <v>0</v>
      </c>
      <c r="J5884" t="n">
        <v>0</v>
      </c>
      <c r="K5884" t="n">
        <v>0</v>
      </c>
      <c r="L5884" t="n">
        <v>0</v>
      </c>
      <c r="M5884" t="n">
        <v>0</v>
      </c>
      <c r="N5884" t="n">
        <v>0</v>
      </c>
      <c r="O5884" t="n">
        <v>0</v>
      </c>
      <c r="P5884" t="n">
        <v>0</v>
      </c>
      <c r="Q5884" t="n">
        <v>0</v>
      </c>
      <c r="R5884" s="2" t="inlineStr"/>
    </row>
    <row r="5885" ht="15" customHeight="1">
      <c r="A5885" t="inlineStr">
        <is>
          <t>A 59649-2023</t>
        </is>
      </c>
      <c r="B5885" s="1" t="n">
        <v>45253</v>
      </c>
      <c r="C5885" s="1" t="n">
        <v>46093</v>
      </c>
      <c r="D5885" t="inlineStr">
        <is>
          <t>VÄSTERNORRLANDS LÄN</t>
        </is>
      </c>
      <c r="E5885" t="inlineStr">
        <is>
          <t>ÖRNSKÖLDSVIK</t>
        </is>
      </c>
      <c r="G5885" t="n">
        <v>3.7</v>
      </c>
      <c r="H5885" t="n">
        <v>0</v>
      </c>
      <c r="I5885" t="n">
        <v>0</v>
      </c>
      <c r="J5885" t="n">
        <v>0</v>
      </c>
      <c r="K5885" t="n">
        <v>0</v>
      </c>
      <c r="L5885" t="n">
        <v>0</v>
      </c>
      <c r="M5885" t="n">
        <v>0</v>
      </c>
      <c r="N5885" t="n">
        <v>0</v>
      </c>
      <c r="O5885" t="n">
        <v>0</v>
      </c>
      <c r="P5885" t="n">
        <v>0</v>
      </c>
      <c r="Q5885" t="n">
        <v>0</v>
      </c>
      <c r="R5885" s="2" t="inlineStr"/>
    </row>
    <row r="5886" ht="15" customHeight="1">
      <c r="A5886" t="inlineStr">
        <is>
          <t>A 48127-2024</t>
        </is>
      </c>
      <c r="B5886" s="1" t="n">
        <v>45589.64355324074</v>
      </c>
      <c r="C5886" s="1" t="n">
        <v>46093</v>
      </c>
      <c r="D5886" t="inlineStr">
        <is>
          <t>VÄSTERNORRLANDS LÄN</t>
        </is>
      </c>
      <c r="E5886" t="inlineStr">
        <is>
          <t>KRAMFORS</t>
        </is>
      </c>
      <c r="G5886" t="n">
        <v>6.3</v>
      </c>
      <c r="H5886" t="n">
        <v>0</v>
      </c>
      <c r="I5886" t="n">
        <v>0</v>
      </c>
      <c r="J5886" t="n">
        <v>0</v>
      </c>
      <c r="K5886" t="n">
        <v>0</v>
      </c>
      <c r="L5886" t="n">
        <v>0</v>
      </c>
      <c r="M5886" t="n">
        <v>0</v>
      </c>
      <c r="N5886" t="n">
        <v>0</v>
      </c>
      <c r="O5886" t="n">
        <v>0</v>
      </c>
      <c r="P5886" t="n">
        <v>0</v>
      </c>
      <c r="Q5886" t="n">
        <v>0</v>
      </c>
      <c r="R5886" s="2" t="inlineStr"/>
    </row>
    <row r="5887" ht="15" customHeight="1">
      <c r="A5887" t="inlineStr">
        <is>
          <t>A 47626-2025</t>
        </is>
      </c>
      <c r="B5887" s="1" t="n">
        <v>45931.4872800926</v>
      </c>
      <c r="C5887" s="1" t="n">
        <v>46093</v>
      </c>
      <c r="D5887" t="inlineStr">
        <is>
          <t>VÄSTERNORRLANDS LÄN</t>
        </is>
      </c>
      <c r="E5887" t="inlineStr">
        <is>
          <t>ÖRNSKÖLDSVIK</t>
        </is>
      </c>
      <c r="F5887" t="inlineStr">
        <is>
          <t>Holmen skog AB</t>
        </is>
      </c>
      <c r="G5887" t="n">
        <v>3.4</v>
      </c>
      <c r="H5887" t="n">
        <v>0</v>
      </c>
      <c r="I5887" t="n">
        <v>0</v>
      </c>
      <c r="J5887" t="n">
        <v>0</v>
      </c>
      <c r="K5887" t="n">
        <v>0</v>
      </c>
      <c r="L5887" t="n">
        <v>0</v>
      </c>
      <c r="M5887" t="n">
        <v>0</v>
      </c>
      <c r="N5887" t="n">
        <v>0</v>
      </c>
      <c r="O5887" t="n">
        <v>0</v>
      </c>
      <c r="P5887" t="n">
        <v>0</v>
      </c>
      <c r="Q5887" t="n">
        <v>0</v>
      </c>
      <c r="R5887" s="2" t="inlineStr"/>
    </row>
    <row r="5888" ht="15" customHeight="1">
      <c r="A5888" t="inlineStr">
        <is>
          <t>A 16795-2025</t>
        </is>
      </c>
      <c r="B5888" s="1" t="n">
        <v>45754.61487268518</v>
      </c>
      <c r="C5888" s="1" t="n">
        <v>46093</v>
      </c>
      <c r="D5888" t="inlineStr">
        <is>
          <t>VÄSTERNORRLANDS LÄN</t>
        </is>
      </c>
      <c r="E5888" t="inlineStr">
        <is>
          <t>SOLLEFTEÅ</t>
        </is>
      </c>
      <c r="F5888" t="inlineStr">
        <is>
          <t>SCA</t>
        </is>
      </c>
      <c r="G5888" t="n">
        <v>2.4</v>
      </c>
      <c r="H5888" t="n">
        <v>0</v>
      </c>
      <c r="I5888" t="n">
        <v>0</v>
      </c>
      <c r="J5888" t="n">
        <v>0</v>
      </c>
      <c r="K5888" t="n">
        <v>0</v>
      </c>
      <c r="L5888" t="n">
        <v>0</v>
      </c>
      <c r="M5888" t="n">
        <v>0</v>
      </c>
      <c r="N5888" t="n">
        <v>0</v>
      </c>
      <c r="O5888" t="n">
        <v>0</v>
      </c>
      <c r="P5888" t="n">
        <v>0</v>
      </c>
      <c r="Q5888" t="n">
        <v>0</v>
      </c>
      <c r="R5888" s="2" t="inlineStr"/>
    </row>
    <row r="5889" ht="15" customHeight="1">
      <c r="A5889" t="inlineStr">
        <is>
          <t>A 26521-2022</t>
        </is>
      </c>
      <c r="B5889" s="1" t="n">
        <v>44739</v>
      </c>
      <c r="C5889" s="1" t="n">
        <v>46093</v>
      </c>
      <c r="D5889" t="inlineStr">
        <is>
          <t>VÄSTERNORRLANDS LÄN</t>
        </is>
      </c>
      <c r="E5889" t="inlineStr">
        <is>
          <t>ÖRNSKÖLDSVIK</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52438-2024</t>
        </is>
      </c>
      <c r="B5890" s="1" t="n">
        <v>45609.48300925926</v>
      </c>
      <c r="C5890" s="1" t="n">
        <v>46093</v>
      </c>
      <c r="D5890" t="inlineStr">
        <is>
          <t>VÄSTERNORRLANDS LÄN</t>
        </is>
      </c>
      <c r="E5890" t="inlineStr">
        <is>
          <t>SOLLEFTEÅ</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28618-2024</t>
        </is>
      </c>
      <c r="B5891" s="1" t="n">
        <v>45478.43987268519</v>
      </c>
      <c r="C5891" s="1" t="n">
        <v>46093</v>
      </c>
      <c r="D5891" t="inlineStr">
        <is>
          <t>VÄSTERNORRLANDS LÄN</t>
        </is>
      </c>
      <c r="E5891" t="inlineStr">
        <is>
          <t>ÖRNSKÖLDSVIK</t>
        </is>
      </c>
      <c r="F5891" t="inlineStr">
        <is>
          <t>Holmen skog AB</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12311-2023</t>
        </is>
      </c>
      <c r="B5892" s="1" t="n">
        <v>44995</v>
      </c>
      <c r="C5892" s="1" t="n">
        <v>46093</v>
      </c>
      <c r="D5892" t="inlineStr">
        <is>
          <t>VÄSTERNORRLANDS LÄN</t>
        </is>
      </c>
      <c r="E5892" t="inlineStr">
        <is>
          <t>SOLLEFTEÅ</t>
        </is>
      </c>
      <c r="G5892" t="n">
        <v>16.8</v>
      </c>
      <c r="H5892" t="n">
        <v>0</v>
      </c>
      <c r="I5892" t="n">
        <v>0</v>
      </c>
      <c r="J5892" t="n">
        <v>0</v>
      </c>
      <c r="K5892" t="n">
        <v>0</v>
      </c>
      <c r="L5892" t="n">
        <v>0</v>
      </c>
      <c r="M5892" t="n">
        <v>0</v>
      </c>
      <c r="N5892" t="n">
        <v>0</v>
      </c>
      <c r="O5892" t="n">
        <v>0</v>
      </c>
      <c r="P5892" t="n">
        <v>0</v>
      </c>
      <c r="Q5892" t="n">
        <v>0</v>
      </c>
      <c r="R5892" s="2" t="inlineStr"/>
    </row>
    <row r="5893" ht="15" customHeight="1">
      <c r="A5893" t="inlineStr">
        <is>
          <t>A 12764-2022</t>
        </is>
      </c>
      <c r="B5893" s="1" t="n">
        <v>44641.93445601852</v>
      </c>
      <c r="C5893" s="1" t="n">
        <v>46093</v>
      </c>
      <c r="D5893" t="inlineStr">
        <is>
          <t>VÄSTERNORRLANDS LÄN</t>
        </is>
      </c>
      <c r="E5893" t="inlineStr">
        <is>
          <t>SOLLEFTEÅ</t>
        </is>
      </c>
      <c r="F5893" t="inlineStr">
        <is>
          <t>SCA</t>
        </is>
      </c>
      <c r="G5893" t="n">
        <v>13.7</v>
      </c>
      <c r="H5893" t="n">
        <v>0</v>
      </c>
      <c r="I5893" t="n">
        <v>0</v>
      </c>
      <c r="J5893" t="n">
        <v>0</v>
      </c>
      <c r="K5893" t="n">
        <v>0</v>
      </c>
      <c r="L5893" t="n">
        <v>0</v>
      </c>
      <c r="M5893" t="n">
        <v>0</v>
      </c>
      <c r="N5893" t="n">
        <v>0</v>
      </c>
      <c r="O5893" t="n">
        <v>0</v>
      </c>
      <c r="P5893" t="n">
        <v>0</v>
      </c>
      <c r="Q5893" t="n">
        <v>0</v>
      </c>
      <c r="R5893" s="2" t="inlineStr"/>
    </row>
    <row r="5894" ht="15" customHeight="1">
      <c r="A5894" t="inlineStr">
        <is>
          <t>A 47532-2025</t>
        </is>
      </c>
      <c r="B5894" s="1" t="n">
        <v>45931.34635416666</v>
      </c>
      <c r="C5894" s="1" t="n">
        <v>46093</v>
      </c>
      <c r="D5894" t="inlineStr">
        <is>
          <t>VÄSTERNORRLANDS LÄN</t>
        </is>
      </c>
      <c r="E5894" t="inlineStr">
        <is>
          <t>SOLLEFTEÅ</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19011-2025</t>
        </is>
      </c>
      <c r="B5895" s="1" t="n">
        <v>45764.59440972222</v>
      </c>
      <c r="C5895" s="1" t="n">
        <v>46093</v>
      </c>
      <c r="D5895" t="inlineStr">
        <is>
          <t>VÄSTERNORRLANDS LÄN</t>
        </is>
      </c>
      <c r="E5895" t="inlineStr">
        <is>
          <t>SUNDSVALL</t>
        </is>
      </c>
      <c r="F5895" t="inlineStr">
        <is>
          <t>SCA</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17257-2025</t>
        </is>
      </c>
      <c r="B5896" s="1" t="n">
        <v>45756.53157407408</v>
      </c>
      <c r="C5896" s="1" t="n">
        <v>46093</v>
      </c>
      <c r="D5896" t="inlineStr">
        <is>
          <t>VÄSTERNORRLANDS LÄN</t>
        </is>
      </c>
      <c r="E5896" t="inlineStr">
        <is>
          <t>KRAMFORS</t>
        </is>
      </c>
      <c r="G5896" t="n">
        <v>9.800000000000001</v>
      </c>
      <c r="H5896" t="n">
        <v>0</v>
      </c>
      <c r="I5896" t="n">
        <v>0</v>
      </c>
      <c r="J5896" t="n">
        <v>0</v>
      </c>
      <c r="K5896" t="n">
        <v>0</v>
      </c>
      <c r="L5896" t="n">
        <v>0</v>
      </c>
      <c r="M5896" t="n">
        <v>0</v>
      </c>
      <c r="N5896" t="n">
        <v>0</v>
      </c>
      <c r="O5896" t="n">
        <v>0</v>
      </c>
      <c r="P5896" t="n">
        <v>0</v>
      </c>
      <c r="Q5896" t="n">
        <v>0</v>
      </c>
      <c r="R5896" s="2" t="inlineStr"/>
    </row>
    <row r="5897" ht="15" customHeight="1">
      <c r="A5897" t="inlineStr">
        <is>
          <t>A 47671-2025</t>
        </is>
      </c>
      <c r="B5897" s="1" t="n">
        <v>45931.57368055556</v>
      </c>
      <c r="C5897" s="1" t="n">
        <v>46093</v>
      </c>
      <c r="D5897" t="inlineStr">
        <is>
          <t>VÄSTERNORRLANDS LÄN</t>
        </is>
      </c>
      <c r="E5897" t="inlineStr">
        <is>
          <t>SUNDSVALL</t>
        </is>
      </c>
      <c r="F5897" t="inlineStr">
        <is>
          <t>SCA</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13494-2023</t>
        </is>
      </c>
      <c r="B5898" s="1" t="n">
        <v>45005.93950231482</v>
      </c>
      <c r="C5898" s="1" t="n">
        <v>46093</v>
      </c>
      <c r="D5898" t="inlineStr">
        <is>
          <t>VÄSTERNORRLANDS LÄN</t>
        </is>
      </c>
      <c r="E5898" t="inlineStr">
        <is>
          <t>ÖRNSKÖLDSVIK</t>
        </is>
      </c>
      <c r="F5898" t="inlineStr">
        <is>
          <t>SCA</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50008-2024</t>
        </is>
      </c>
      <c r="B5899" s="1" t="n">
        <v>45598.57908564815</v>
      </c>
      <c r="C5899" s="1" t="n">
        <v>46093</v>
      </c>
      <c r="D5899" t="inlineStr">
        <is>
          <t>VÄSTERNORRLANDS LÄN</t>
        </is>
      </c>
      <c r="E5899" t="inlineStr">
        <is>
          <t>SOLLEFTEÅ</t>
        </is>
      </c>
      <c r="G5899" t="n">
        <v>2.1</v>
      </c>
      <c r="H5899" t="n">
        <v>0</v>
      </c>
      <c r="I5899" t="n">
        <v>0</v>
      </c>
      <c r="J5899" t="n">
        <v>0</v>
      </c>
      <c r="K5899" t="n">
        <v>0</v>
      </c>
      <c r="L5899" t="n">
        <v>0</v>
      </c>
      <c r="M5899" t="n">
        <v>0</v>
      </c>
      <c r="N5899" t="n">
        <v>0</v>
      </c>
      <c r="O5899" t="n">
        <v>0</v>
      </c>
      <c r="P5899" t="n">
        <v>0</v>
      </c>
      <c r="Q5899" t="n">
        <v>0</v>
      </c>
      <c r="R5899" s="2" t="inlineStr"/>
    </row>
    <row r="5900" ht="15" customHeight="1">
      <c r="A5900" t="inlineStr">
        <is>
          <t>A 47636-2025</t>
        </is>
      </c>
      <c r="B5900" s="1" t="n">
        <v>45931.49577546296</v>
      </c>
      <c r="C5900" s="1" t="n">
        <v>46093</v>
      </c>
      <c r="D5900" t="inlineStr">
        <is>
          <t>VÄSTERNORRLANDS LÄN</t>
        </is>
      </c>
      <c r="E5900" t="inlineStr">
        <is>
          <t>SOLLEFTEÅ</t>
        </is>
      </c>
      <c r="G5900" t="n">
        <v>13.6</v>
      </c>
      <c r="H5900" t="n">
        <v>0</v>
      </c>
      <c r="I5900" t="n">
        <v>0</v>
      </c>
      <c r="J5900" t="n">
        <v>0</v>
      </c>
      <c r="K5900" t="n">
        <v>0</v>
      </c>
      <c r="L5900" t="n">
        <v>0</v>
      </c>
      <c r="M5900" t="n">
        <v>0</v>
      </c>
      <c r="N5900" t="n">
        <v>0</v>
      </c>
      <c r="O5900" t="n">
        <v>0</v>
      </c>
      <c r="P5900" t="n">
        <v>0</v>
      </c>
      <c r="Q5900" t="n">
        <v>0</v>
      </c>
      <c r="R5900" s="2" t="inlineStr"/>
    </row>
    <row r="5901" ht="15" customHeight="1">
      <c r="A5901" t="inlineStr">
        <is>
          <t>A 47824-2025</t>
        </is>
      </c>
      <c r="B5901" s="1" t="n">
        <v>45932.34465277778</v>
      </c>
      <c r="C5901" s="1" t="n">
        <v>46093</v>
      </c>
      <c r="D5901" t="inlineStr">
        <is>
          <t>VÄSTERNORRLANDS LÄN</t>
        </is>
      </c>
      <c r="E5901" t="inlineStr">
        <is>
          <t>SUNDSVALL</t>
        </is>
      </c>
      <c r="F5901" t="inlineStr">
        <is>
          <t>SCA</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47851-2025</t>
        </is>
      </c>
      <c r="B5902" s="1" t="n">
        <v>45932.38645833333</v>
      </c>
      <c r="C5902" s="1" t="n">
        <v>46093</v>
      </c>
      <c r="D5902" t="inlineStr">
        <is>
          <t>VÄSTERNORRLANDS LÄN</t>
        </is>
      </c>
      <c r="E5902" t="inlineStr">
        <is>
          <t>SOLLEFTEÅ</t>
        </is>
      </c>
      <c r="F5902" t="inlineStr">
        <is>
          <t>SCA</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8983-2025</t>
        </is>
      </c>
      <c r="B5903" s="1" t="n">
        <v>45713.53502314815</v>
      </c>
      <c r="C5903" s="1" t="n">
        <v>46093</v>
      </c>
      <c r="D5903" t="inlineStr">
        <is>
          <t>VÄSTERNORRLANDS LÄN</t>
        </is>
      </c>
      <c r="E5903" t="inlineStr">
        <is>
          <t>ÖRNSKÖLDSVIK</t>
        </is>
      </c>
      <c r="G5903" t="n">
        <v>3.6</v>
      </c>
      <c r="H5903" t="n">
        <v>0</v>
      </c>
      <c r="I5903" t="n">
        <v>0</v>
      </c>
      <c r="J5903" t="n">
        <v>0</v>
      </c>
      <c r="K5903" t="n">
        <v>0</v>
      </c>
      <c r="L5903" t="n">
        <v>0</v>
      </c>
      <c r="M5903" t="n">
        <v>0</v>
      </c>
      <c r="N5903" t="n">
        <v>0</v>
      </c>
      <c r="O5903" t="n">
        <v>0</v>
      </c>
      <c r="P5903" t="n">
        <v>0</v>
      </c>
      <c r="Q5903" t="n">
        <v>0</v>
      </c>
      <c r="R5903" s="2" t="inlineStr"/>
    </row>
    <row r="5904" ht="15" customHeight="1">
      <c r="A5904" t="inlineStr">
        <is>
          <t>A 61081-2022</t>
        </is>
      </c>
      <c r="B5904" s="1" t="n">
        <v>44915</v>
      </c>
      <c r="C5904" s="1" t="n">
        <v>46093</v>
      </c>
      <c r="D5904" t="inlineStr">
        <is>
          <t>VÄSTERNORRLANDS LÄN</t>
        </is>
      </c>
      <c r="E5904" t="inlineStr">
        <is>
          <t>ÖRNSKÖLDSVIK</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9009-2025</t>
        </is>
      </c>
      <c r="B5905" s="1" t="n">
        <v>45713</v>
      </c>
      <c r="C5905" s="1" t="n">
        <v>46093</v>
      </c>
      <c r="D5905" t="inlineStr">
        <is>
          <t>VÄSTERNORRLANDS LÄN</t>
        </is>
      </c>
      <c r="E5905" t="inlineStr">
        <is>
          <t>KRAMFORS</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17279-2025</t>
        </is>
      </c>
      <c r="B5906" s="1" t="n">
        <v>45756.56396990741</v>
      </c>
      <c r="C5906" s="1" t="n">
        <v>46093</v>
      </c>
      <c r="D5906" t="inlineStr">
        <is>
          <t>VÄSTERNORRLANDS LÄN</t>
        </is>
      </c>
      <c r="E5906" t="inlineStr">
        <is>
          <t>SOLLEFTEÅ</t>
        </is>
      </c>
      <c r="G5906" t="n">
        <v>22.4</v>
      </c>
      <c r="H5906" t="n">
        <v>0</v>
      </c>
      <c r="I5906" t="n">
        <v>0</v>
      </c>
      <c r="J5906" t="n">
        <v>0</v>
      </c>
      <c r="K5906" t="n">
        <v>0</v>
      </c>
      <c r="L5906" t="n">
        <v>0</v>
      </c>
      <c r="M5906" t="n">
        <v>0</v>
      </c>
      <c r="N5906" t="n">
        <v>0</v>
      </c>
      <c r="O5906" t="n">
        <v>0</v>
      </c>
      <c r="P5906" t="n">
        <v>0</v>
      </c>
      <c r="Q5906" t="n">
        <v>0</v>
      </c>
      <c r="R5906" s="2" t="inlineStr"/>
    </row>
    <row r="5907" ht="15" customHeight="1">
      <c r="A5907" t="inlineStr">
        <is>
          <t>A 27005-2022</t>
        </is>
      </c>
      <c r="B5907" s="1" t="n">
        <v>44740</v>
      </c>
      <c r="C5907" s="1" t="n">
        <v>46093</v>
      </c>
      <c r="D5907" t="inlineStr">
        <is>
          <t>VÄSTERNORRLANDS LÄN</t>
        </is>
      </c>
      <c r="E5907" t="inlineStr">
        <is>
          <t>SUNDSVALL</t>
        </is>
      </c>
      <c r="G5907" t="n">
        <v>4.6</v>
      </c>
      <c r="H5907" t="n">
        <v>0</v>
      </c>
      <c r="I5907" t="n">
        <v>0</v>
      </c>
      <c r="J5907" t="n">
        <v>0</v>
      </c>
      <c r="K5907" t="n">
        <v>0</v>
      </c>
      <c r="L5907" t="n">
        <v>0</v>
      </c>
      <c r="M5907" t="n">
        <v>0</v>
      </c>
      <c r="N5907" t="n">
        <v>0</v>
      </c>
      <c r="O5907" t="n">
        <v>0</v>
      </c>
      <c r="P5907" t="n">
        <v>0</v>
      </c>
      <c r="Q5907" t="n">
        <v>0</v>
      </c>
      <c r="R5907" s="2" t="inlineStr"/>
    </row>
    <row r="5908" ht="15" customHeight="1">
      <c r="A5908" t="inlineStr">
        <is>
          <t>A 48070-2025</t>
        </is>
      </c>
      <c r="B5908" s="1" t="n">
        <v>45932.69886574074</v>
      </c>
      <c r="C5908" s="1" t="n">
        <v>46093</v>
      </c>
      <c r="D5908" t="inlineStr">
        <is>
          <t>VÄSTERNORRLANDS LÄN</t>
        </is>
      </c>
      <c r="E5908" t="inlineStr">
        <is>
          <t>SOLLEFTEÅ</t>
        </is>
      </c>
      <c r="F5908" t="inlineStr">
        <is>
          <t>SCA</t>
        </is>
      </c>
      <c r="G5908" t="n">
        <v>3</v>
      </c>
      <c r="H5908" t="n">
        <v>0</v>
      </c>
      <c r="I5908" t="n">
        <v>0</v>
      </c>
      <c r="J5908" t="n">
        <v>0</v>
      </c>
      <c r="K5908" t="n">
        <v>0</v>
      </c>
      <c r="L5908" t="n">
        <v>0</v>
      </c>
      <c r="M5908" t="n">
        <v>0</v>
      </c>
      <c r="N5908" t="n">
        <v>0</v>
      </c>
      <c r="O5908" t="n">
        <v>0</v>
      </c>
      <c r="P5908" t="n">
        <v>0</v>
      </c>
      <c r="Q5908" t="n">
        <v>0</v>
      </c>
      <c r="R5908" s="2" t="inlineStr"/>
    </row>
    <row r="5909" ht="15" customHeight="1">
      <c r="A5909" t="inlineStr">
        <is>
          <t>A 48035-2025</t>
        </is>
      </c>
      <c r="B5909" s="1" t="n">
        <v>45932</v>
      </c>
      <c r="C5909" s="1" t="n">
        <v>46093</v>
      </c>
      <c r="D5909" t="inlineStr">
        <is>
          <t>VÄSTERNORRLANDS LÄN</t>
        </is>
      </c>
      <c r="E5909" t="inlineStr">
        <is>
          <t>SOLLEFTEÅ</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12941-2025</t>
        </is>
      </c>
      <c r="B5910" s="1" t="n">
        <v>45734.36525462963</v>
      </c>
      <c r="C5910" s="1" t="n">
        <v>46093</v>
      </c>
      <c r="D5910" t="inlineStr">
        <is>
          <t>VÄSTERNORRLANDS LÄN</t>
        </is>
      </c>
      <c r="E5910" t="inlineStr">
        <is>
          <t>SOLLEFTEÅ</t>
        </is>
      </c>
      <c r="G5910" t="n">
        <v>5.8</v>
      </c>
      <c r="H5910" t="n">
        <v>0</v>
      </c>
      <c r="I5910" t="n">
        <v>0</v>
      </c>
      <c r="J5910" t="n">
        <v>0</v>
      </c>
      <c r="K5910" t="n">
        <v>0</v>
      </c>
      <c r="L5910" t="n">
        <v>0</v>
      </c>
      <c r="M5910" t="n">
        <v>0</v>
      </c>
      <c r="N5910" t="n">
        <v>0</v>
      </c>
      <c r="O5910" t="n">
        <v>0</v>
      </c>
      <c r="P5910" t="n">
        <v>0</v>
      </c>
      <c r="Q5910" t="n">
        <v>0</v>
      </c>
      <c r="R5910" s="2" t="inlineStr"/>
    </row>
    <row r="5911" ht="15" customHeight="1">
      <c r="A5911" t="inlineStr">
        <is>
          <t>A 42356-2023</t>
        </is>
      </c>
      <c r="B5911" s="1" t="n">
        <v>45180</v>
      </c>
      <c r="C5911" s="1" t="n">
        <v>46093</v>
      </c>
      <c r="D5911" t="inlineStr">
        <is>
          <t>VÄSTERNORRLANDS LÄN</t>
        </is>
      </c>
      <c r="E5911" t="inlineStr">
        <is>
          <t>ÖRNSKÖLDSVIK</t>
        </is>
      </c>
      <c r="F5911" t="inlineStr">
        <is>
          <t>Holmen skog AB</t>
        </is>
      </c>
      <c r="G5911" t="n">
        <v>3.5</v>
      </c>
      <c r="H5911" t="n">
        <v>0</v>
      </c>
      <c r="I5911" t="n">
        <v>0</v>
      </c>
      <c r="J5911" t="n">
        <v>0</v>
      </c>
      <c r="K5911" t="n">
        <v>0</v>
      </c>
      <c r="L5911" t="n">
        <v>0</v>
      </c>
      <c r="M5911" t="n">
        <v>0</v>
      </c>
      <c r="N5911" t="n">
        <v>0</v>
      </c>
      <c r="O5911" t="n">
        <v>0</v>
      </c>
      <c r="P5911" t="n">
        <v>0</v>
      </c>
      <c r="Q5911" t="n">
        <v>0</v>
      </c>
      <c r="R5911" s="2" t="inlineStr"/>
    </row>
    <row r="5912" ht="15" customHeight="1">
      <c r="A5912" t="inlineStr">
        <is>
          <t>A 47582-2025</t>
        </is>
      </c>
      <c r="B5912" s="1" t="n">
        <v>45931.41561342592</v>
      </c>
      <c r="C5912" s="1" t="n">
        <v>46093</v>
      </c>
      <c r="D5912" t="inlineStr">
        <is>
          <t>VÄSTERNORRLANDS LÄN</t>
        </is>
      </c>
      <c r="E5912" t="inlineStr">
        <is>
          <t>KRAMFORS</t>
        </is>
      </c>
      <c r="G5912" t="n">
        <v>3.2</v>
      </c>
      <c r="H5912" t="n">
        <v>0</v>
      </c>
      <c r="I5912" t="n">
        <v>0</v>
      </c>
      <c r="J5912" t="n">
        <v>0</v>
      </c>
      <c r="K5912" t="n">
        <v>0</v>
      </c>
      <c r="L5912" t="n">
        <v>0</v>
      </c>
      <c r="M5912" t="n">
        <v>0</v>
      </c>
      <c r="N5912" t="n">
        <v>0</v>
      </c>
      <c r="O5912" t="n">
        <v>0</v>
      </c>
      <c r="P5912" t="n">
        <v>0</v>
      </c>
      <c r="Q5912" t="n">
        <v>0</v>
      </c>
      <c r="R5912" s="2" t="inlineStr"/>
    </row>
    <row r="5913" ht="15" customHeight="1">
      <c r="A5913" t="inlineStr">
        <is>
          <t>A 47610-2025</t>
        </is>
      </c>
      <c r="B5913" s="1" t="n">
        <v>45931.46916666667</v>
      </c>
      <c r="C5913" s="1" t="n">
        <v>46093</v>
      </c>
      <c r="D5913" t="inlineStr">
        <is>
          <t>VÄSTERNORRLANDS LÄN</t>
        </is>
      </c>
      <c r="E5913" t="inlineStr">
        <is>
          <t>ÖRNSKÖLDSVIK</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18828-2025</t>
        </is>
      </c>
      <c r="B5914" s="1" t="n">
        <v>45764.38630787037</v>
      </c>
      <c r="C5914" s="1" t="n">
        <v>46093</v>
      </c>
      <c r="D5914" t="inlineStr">
        <is>
          <t>VÄSTERNORRLANDS LÄN</t>
        </is>
      </c>
      <c r="E5914" t="inlineStr">
        <is>
          <t>HÄRNÖSAND</t>
        </is>
      </c>
      <c r="F5914" t="inlineStr">
        <is>
          <t>SCA</t>
        </is>
      </c>
      <c r="G5914" t="n">
        <v>32.6</v>
      </c>
      <c r="H5914" t="n">
        <v>0</v>
      </c>
      <c r="I5914" t="n">
        <v>0</v>
      </c>
      <c r="J5914" t="n">
        <v>0</v>
      </c>
      <c r="K5914" t="n">
        <v>0</v>
      </c>
      <c r="L5914" t="n">
        <v>0</v>
      </c>
      <c r="M5914" t="n">
        <v>0</v>
      </c>
      <c r="N5914" t="n">
        <v>0</v>
      </c>
      <c r="O5914" t="n">
        <v>0</v>
      </c>
      <c r="P5914" t="n">
        <v>0</v>
      </c>
      <c r="Q5914" t="n">
        <v>0</v>
      </c>
      <c r="R5914" s="2" t="inlineStr"/>
    </row>
    <row r="5915" ht="15" customHeight="1">
      <c r="A5915" t="inlineStr">
        <is>
          <t>A 39498-2023</t>
        </is>
      </c>
      <c r="B5915" s="1" t="n">
        <v>45166</v>
      </c>
      <c r="C5915" s="1" t="n">
        <v>46093</v>
      </c>
      <c r="D5915" t="inlineStr">
        <is>
          <t>VÄSTERNORRLANDS LÄN</t>
        </is>
      </c>
      <c r="E5915" t="inlineStr">
        <is>
          <t>HÄRNÖSAND</t>
        </is>
      </c>
      <c r="F5915" t="inlineStr">
        <is>
          <t>SCA</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12496-2022</t>
        </is>
      </c>
      <c r="B5916" s="1" t="n">
        <v>44638.51076388889</v>
      </c>
      <c r="C5916" s="1" t="n">
        <v>46093</v>
      </c>
      <c r="D5916" t="inlineStr">
        <is>
          <t>VÄSTERNORRLANDS LÄN</t>
        </is>
      </c>
      <c r="E5916" t="inlineStr">
        <is>
          <t>SUNDSVALL</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47672-2025</t>
        </is>
      </c>
      <c r="B5917" s="1" t="n">
        <v>45931.57385416667</v>
      </c>
      <c r="C5917" s="1" t="n">
        <v>46093</v>
      </c>
      <c r="D5917" t="inlineStr">
        <is>
          <t>VÄSTERNORRLANDS LÄN</t>
        </is>
      </c>
      <c r="E5917" t="inlineStr">
        <is>
          <t>SUNDSVALL</t>
        </is>
      </c>
      <c r="F5917" t="inlineStr">
        <is>
          <t>SCA</t>
        </is>
      </c>
      <c r="G5917" t="n">
        <v>16.6</v>
      </c>
      <c r="H5917" t="n">
        <v>0</v>
      </c>
      <c r="I5917" t="n">
        <v>0</v>
      </c>
      <c r="J5917" t="n">
        <v>0</v>
      </c>
      <c r="K5917" t="n">
        <v>0</v>
      </c>
      <c r="L5917" t="n">
        <v>0</v>
      </c>
      <c r="M5917" t="n">
        <v>0</v>
      </c>
      <c r="N5917" t="n">
        <v>0</v>
      </c>
      <c r="O5917" t="n">
        <v>0</v>
      </c>
      <c r="P5917" t="n">
        <v>0</v>
      </c>
      <c r="Q5917" t="n">
        <v>0</v>
      </c>
      <c r="R5917" s="2" t="inlineStr"/>
    </row>
    <row r="5918" ht="15" customHeight="1">
      <c r="A5918" t="inlineStr">
        <is>
          <t>A 18951-2025</t>
        </is>
      </c>
      <c r="B5918" s="1" t="n">
        <v>45764.51086805556</v>
      </c>
      <c r="C5918" s="1" t="n">
        <v>46093</v>
      </c>
      <c r="D5918" t="inlineStr">
        <is>
          <t>VÄSTERNORRLANDS LÄN</t>
        </is>
      </c>
      <c r="E5918" t="inlineStr">
        <is>
          <t>SOLLEFTEÅ</t>
        </is>
      </c>
      <c r="F5918" t="inlineStr">
        <is>
          <t>SCA</t>
        </is>
      </c>
      <c r="G5918" t="n">
        <v>3.8</v>
      </c>
      <c r="H5918" t="n">
        <v>0</v>
      </c>
      <c r="I5918" t="n">
        <v>0</v>
      </c>
      <c r="J5918" t="n">
        <v>0</v>
      </c>
      <c r="K5918" t="n">
        <v>0</v>
      </c>
      <c r="L5918" t="n">
        <v>0</v>
      </c>
      <c r="M5918" t="n">
        <v>0</v>
      </c>
      <c r="N5918" t="n">
        <v>0</v>
      </c>
      <c r="O5918" t="n">
        <v>0</v>
      </c>
      <c r="P5918" t="n">
        <v>0</v>
      </c>
      <c r="Q5918" t="n">
        <v>0</v>
      </c>
      <c r="R5918" s="2" t="inlineStr"/>
    </row>
    <row r="5919" ht="15" customHeight="1">
      <c r="A5919" t="inlineStr">
        <is>
          <t>A 47908-2025</t>
        </is>
      </c>
      <c r="B5919" s="1" t="n">
        <v>45932.5109837963</v>
      </c>
      <c r="C5919" s="1" t="n">
        <v>46093</v>
      </c>
      <c r="D5919" t="inlineStr">
        <is>
          <t>VÄSTERNORRLANDS LÄN</t>
        </is>
      </c>
      <c r="E5919" t="inlineStr">
        <is>
          <t>TIMRÅ</t>
        </is>
      </c>
      <c r="F5919" t="inlineStr">
        <is>
          <t>SCA</t>
        </is>
      </c>
      <c r="G5919" t="n">
        <v>9.300000000000001</v>
      </c>
      <c r="H5919" t="n">
        <v>0</v>
      </c>
      <c r="I5919" t="n">
        <v>0</v>
      </c>
      <c r="J5919" t="n">
        <v>0</v>
      </c>
      <c r="K5919" t="n">
        <v>0</v>
      </c>
      <c r="L5919" t="n">
        <v>0</v>
      </c>
      <c r="M5919" t="n">
        <v>0</v>
      </c>
      <c r="N5919" t="n">
        <v>0</v>
      </c>
      <c r="O5919" t="n">
        <v>0</v>
      </c>
      <c r="P5919" t="n">
        <v>0</v>
      </c>
      <c r="Q5919" t="n">
        <v>0</v>
      </c>
      <c r="R5919" s="2" t="inlineStr"/>
    </row>
    <row r="5920" ht="15" customHeight="1">
      <c r="A5920" t="inlineStr">
        <is>
          <t>A 45631-2021</t>
        </is>
      </c>
      <c r="B5920" s="1" t="n">
        <v>44440.98045138889</v>
      </c>
      <c r="C5920" s="1" t="n">
        <v>46093</v>
      </c>
      <c r="D5920" t="inlineStr">
        <is>
          <t>VÄSTERNORRLANDS LÄN</t>
        </is>
      </c>
      <c r="E5920" t="inlineStr">
        <is>
          <t>ÅNGE</t>
        </is>
      </c>
      <c r="F5920" t="inlineStr">
        <is>
          <t>SCA</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36323-2023</t>
        </is>
      </c>
      <c r="B5921" s="1" t="n">
        <v>45152</v>
      </c>
      <c r="C5921" s="1" t="n">
        <v>46093</v>
      </c>
      <c r="D5921" t="inlineStr">
        <is>
          <t>VÄSTERNORRLANDS LÄN</t>
        </is>
      </c>
      <c r="E5921" t="inlineStr">
        <is>
          <t>ÖRNSKÖLDSVIK</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36326-2023</t>
        </is>
      </c>
      <c r="B5922" s="1" t="n">
        <v>45152</v>
      </c>
      <c r="C5922" s="1" t="n">
        <v>46093</v>
      </c>
      <c r="D5922" t="inlineStr">
        <is>
          <t>VÄSTERNORRLANDS LÄN</t>
        </is>
      </c>
      <c r="E5922" t="inlineStr">
        <is>
          <t>ÖRNSKÖLDSVIK</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53162-2021</t>
        </is>
      </c>
      <c r="B5923" s="1" t="n">
        <v>44468</v>
      </c>
      <c r="C5923" s="1" t="n">
        <v>46093</v>
      </c>
      <c r="D5923" t="inlineStr">
        <is>
          <t>VÄSTERNORRLANDS LÄN</t>
        </is>
      </c>
      <c r="E5923" t="inlineStr">
        <is>
          <t>ÖRNSKÖLDSVIK</t>
        </is>
      </c>
      <c r="F5923" t="inlineStr">
        <is>
          <t>Holmen skog AB</t>
        </is>
      </c>
      <c r="G5923" t="n">
        <v>9.199999999999999</v>
      </c>
      <c r="H5923" t="n">
        <v>0</v>
      </c>
      <c r="I5923" t="n">
        <v>0</v>
      </c>
      <c r="J5923" t="n">
        <v>0</v>
      </c>
      <c r="K5923" t="n">
        <v>0</v>
      </c>
      <c r="L5923" t="n">
        <v>0</v>
      </c>
      <c r="M5923" t="n">
        <v>0</v>
      </c>
      <c r="N5923" t="n">
        <v>0</v>
      </c>
      <c r="O5923" t="n">
        <v>0</v>
      </c>
      <c r="P5923" t="n">
        <v>0</v>
      </c>
      <c r="Q5923" t="n">
        <v>0</v>
      </c>
      <c r="R5923" s="2" t="inlineStr"/>
    </row>
    <row r="5924" ht="15" customHeight="1">
      <c r="A5924" t="inlineStr">
        <is>
          <t>A 25278-2024</t>
        </is>
      </c>
      <c r="B5924" s="1" t="n">
        <v>45462.63206018518</v>
      </c>
      <c r="C5924" s="1" t="n">
        <v>46093</v>
      </c>
      <c r="D5924" t="inlineStr">
        <is>
          <t>VÄSTERNORRLANDS LÄN</t>
        </is>
      </c>
      <c r="E5924" t="inlineStr">
        <is>
          <t>ÖRNSKÖLDSVIK</t>
        </is>
      </c>
      <c r="F5924" t="inlineStr">
        <is>
          <t>Holmen skog AB</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57592-2022</t>
        </is>
      </c>
      <c r="B5925" s="1" t="n">
        <v>44896.97841435186</v>
      </c>
      <c r="C5925" s="1" t="n">
        <v>46093</v>
      </c>
      <c r="D5925" t="inlineStr">
        <is>
          <t>VÄSTERNORRLANDS LÄN</t>
        </is>
      </c>
      <c r="E5925" t="inlineStr">
        <is>
          <t>ÅNGE</t>
        </is>
      </c>
      <c r="F5925" t="inlineStr">
        <is>
          <t>SCA</t>
        </is>
      </c>
      <c r="G5925" t="n">
        <v>3.6</v>
      </c>
      <c r="H5925" t="n">
        <v>0</v>
      </c>
      <c r="I5925" t="n">
        <v>0</v>
      </c>
      <c r="J5925" t="n">
        <v>0</v>
      </c>
      <c r="K5925" t="n">
        <v>0</v>
      </c>
      <c r="L5925" t="n">
        <v>0</v>
      </c>
      <c r="M5925" t="n">
        <v>0</v>
      </c>
      <c r="N5925" t="n">
        <v>0</v>
      </c>
      <c r="O5925" t="n">
        <v>0</v>
      </c>
      <c r="P5925" t="n">
        <v>0</v>
      </c>
      <c r="Q5925" t="n">
        <v>0</v>
      </c>
      <c r="R5925" s="2" t="inlineStr"/>
    </row>
    <row r="5926" ht="15" customHeight="1">
      <c r="A5926" t="inlineStr">
        <is>
          <t>A 57602-2022</t>
        </is>
      </c>
      <c r="B5926" s="1" t="n">
        <v>44896</v>
      </c>
      <c r="C5926" s="1" t="n">
        <v>46093</v>
      </c>
      <c r="D5926" t="inlineStr">
        <is>
          <t>VÄSTERNORRLANDS LÄN</t>
        </is>
      </c>
      <c r="E5926" t="inlineStr">
        <is>
          <t>ÅNGE</t>
        </is>
      </c>
      <c r="F5926" t="inlineStr">
        <is>
          <t>SCA</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20231-2022</t>
        </is>
      </c>
      <c r="B5927" s="1" t="n">
        <v>44698</v>
      </c>
      <c r="C5927" s="1" t="n">
        <v>46093</v>
      </c>
      <c r="D5927" t="inlineStr">
        <is>
          <t>VÄSTERNORRLANDS LÄN</t>
        </is>
      </c>
      <c r="E5927" t="inlineStr">
        <is>
          <t>ÅNGE</t>
        </is>
      </c>
      <c r="G5927" t="n">
        <v>4.2</v>
      </c>
      <c r="H5927" t="n">
        <v>0</v>
      </c>
      <c r="I5927" t="n">
        <v>0</v>
      </c>
      <c r="J5927" t="n">
        <v>0</v>
      </c>
      <c r="K5927" t="n">
        <v>0</v>
      </c>
      <c r="L5927" t="n">
        <v>0</v>
      </c>
      <c r="M5927" t="n">
        <v>0</v>
      </c>
      <c r="N5927" t="n">
        <v>0</v>
      </c>
      <c r="O5927" t="n">
        <v>0</v>
      </c>
      <c r="P5927" t="n">
        <v>0</v>
      </c>
      <c r="Q5927" t="n">
        <v>0</v>
      </c>
      <c r="R5927" s="2" t="inlineStr"/>
    </row>
    <row r="5928" ht="15" customHeight="1">
      <c r="A5928" t="inlineStr">
        <is>
          <t>A 39985-2023</t>
        </is>
      </c>
      <c r="B5928" s="1" t="n">
        <v>45168</v>
      </c>
      <c r="C5928" s="1" t="n">
        <v>46093</v>
      </c>
      <c r="D5928" t="inlineStr">
        <is>
          <t>VÄSTERNORRLANDS LÄN</t>
        </is>
      </c>
      <c r="E5928" t="inlineStr">
        <is>
          <t>ÅNGE</t>
        </is>
      </c>
      <c r="G5928" t="n">
        <v>0.1</v>
      </c>
      <c r="H5928" t="n">
        <v>0</v>
      </c>
      <c r="I5928" t="n">
        <v>0</v>
      </c>
      <c r="J5928" t="n">
        <v>0</v>
      </c>
      <c r="K5928" t="n">
        <v>0</v>
      </c>
      <c r="L5928" t="n">
        <v>0</v>
      </c>
      <c r="M5928" t="n">
        <v>0</v>
      </c>
      <c r="N5928" t="n">
        <v>0</v>
      </c>
      <c r="O5928" t="n">
        <v>0</v>
      </c>
      <c r="P5928" t="n">
        <v>0</v>
      </c>
      <c r="Q5928" t="n">
        <v>0</v>
      </c>
      <c r="R5928" s="2" t="inlineStr"/>
    </row>
    <row r="5929" ht="15" customHeight="1">
      <c r="A5929" t="inlineStr">
        <is>
          <t>A 19472-2025</t>
        </is>
      </c>
      <c r="B5929" s="1" t="n">
        <v>45770</v>
      </c>
      <c r="C5929" s="1" t="n">
        <v>46093</v>
      </c>
      <c r="D5929" t="inlineStr">
        <is>
          <t>VÄSTERNORRLANDS LÄN</t>
        </is>
      </c>
      <c r="E5929" t="inlineStr">
        <is>
          <t>ÖRNSKÖLDSVIK</t>
        </is>
      </c>
      <c r="F5929" t="inlineStr">
        <is>
          <t>Holmen skog AB</t>
        </is>
      </c>
      <c r="G5929" t="n">
        <v>4.6</v>
      </c>
      <c r="H5929" t="n">
        <v>0</v>
      </c>
      <c r="I5929" t="n">
        <v>0</v>
      </c>
      <c r="J5929" t="n">
        <v>0</v>
      </c>
      <c r="K5929" t="n">
        <v>0</v>
      </c>
      <c r="L5929" t="n">
        <v>0</v>
      </c>
      <c r="M5929" t="n">
        <v>0</v>
      </c>
      <c r="N5929" t="n">
        <v>0</v>
      </c>
      <c r="O5929" t="n">
        <v>0</v>
      </c>
      <c r="P5929" t="n">
        <v>0</v>
      </c>
      <c r="Q5929" t="n">
        <v>0</v>
      </c>
      <c r="R5929" s="2" t="inlineStr"/>
    </row>
    <row r="5930" ht="15" customHeight="1">
      <c r="A5930" t="inlineStr">
        <is>
          <t>A 48048-2025</t>
        </is>
      </c>
      <c r="B5930" s="1" t="n">
        <v>45932.67753472222</v>
      </c>
      <c r="C5930" s="1" t="n">
        <v>46093</v>
      </c>
      <c r="D5930" t="inlineStr">
        <is>
          <t>VÄSTERNORRLANDS LÄN</t>
        </is>
      </c>
      <c r="E5930" t="inlineStr">
        <is>
          <t>SUNDSVALL</t>
        </is>
      </c>
      <c r="F5930" t="inlineStr">
        <is>
          <t>SCA</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48053-2025</t>
        </is>
      </c>
      <c r="B5931" s="1" t="n">
        <v>45932.67856481481</v>
      </c>
      <c r="C5931" s="1" t="n">
        <v>46093</v>
      </c>
      <c r="D5931" t="inlineStr">
        <is>
          <t>VÄSTERNORRLANDS LÄN</t>
        </is>
      </c>
      <c r="E5931" t="inlineStr">
        <is>
          <t>SOLLEFTEÅ</t>
        </is>
      </c>
      <c r="F5931" t="inlineStr">
        <is>
          <t>SCA</t>
        </is>
      </c>
      <c r="G5931" t="n">
        <v>5.4</v>
      </c>
      <c r="H5931" t="n">
        <v>0</v>
      </c>
      <c r="I5931" t="n">
        <v>0</v>
      </c>
      <c r="J5931" t="n">
        <v>0</v>
      </c>
      <c r="K5931" t="n">
        <v>0</v>
      </c>
      <c r="L5931" t="n">
        <v>0</v>
      </c>
      <c r="M5931" t="n">
        <v>0</v>
      </c>
      <c r="N5931" t="n">
        <v>0</v>
      </c>
      <c r="O5931" t="n">
        <v>0</v>
      </c>
      <c r="P5931" t="n">
        <v>0</v>
      </c>
      <c r="Q5931" t="n">
        <v>0</v>
      </c>
      <c r="R5931" s="2" t="inlineStr"/>
    </row>
    <row r="5932" ht="15" customHeight="1">
      <c r="A5932" t="inlineStr">
        <is>
          <t>A 48054-2025</t>
        </is>
      </c>
      <c r="B5932" s="1" t="n">
        <v>45932.67890046296</v>
      </c>
      <c r="C5932" s="1" t="n">
        <v>46093</v>
      </c>
      <c r="D5932" t="inlineStr">
        <is>
          <t>VÄSTERNORRLANDS LÄN</t>
        </is>
      </c>
      <c r="E5932" t="inlineStr">
        <is>
          <t>SUNDSVALL</t>
        </is>
      </c>
      <c r="F5932" t="inlineStr">
        <is>
          <t>SCA</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19494-2025</t>
        </is>
      </c>
      <c r="B5933" s="1" t="n">
        <v>45770.38898148148</v>
      </c>
      <c r="C5933" s="1" t="n">
        <v>46093</v>
      </c>
      <c r="D5933" t="inlineStr">
        <is>
          <t>VÄSTERNORRLANDS LÄN</t>
        </is>
      </c>
      <c r="E5933" t="inlineStr">
        <is>
          <t>KRAMFORS</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44685-2023</t>
        </is>
      </c>
      <c r="B5934" s="1" t="n">
        <v>45189</v>
      </c>
      <c r="C5934" s="1" t="n">
        <v>46093</v>
      </c>
      <c r="D5934" t="inlineStr">
        <is>
          <t>VÄSTERNORRLANDS LÄN</t>
        </is>
      </c>
      <c r="E5934" t="inlineStr">
        <is>
          <t>KRAMFORS</t>
        </is>
      </c>
      <c r="G5934" t="n">
        <v>0.2</v>
      </c>
      <c r="H5934" t="n">
        <v>0</v>
      </c>
      <c r="I5934" t="n">
        <v>0</v>
      </c>
      <c r="J5934" t="n">
        <v>0</v>
      </c>
      <c r="K5934" t="n">
        <v>0</v>
      </c>
      <c r="L5934" t="n">
        <v>0</v>
      </c>
      <c r="M5934" t="n">
        <v>0</v>
      </c>
      <c r="N5934" t="n">
        <v>0</v>
      </c>
      <c r="O5934" t="n">
        <v>0</v>
      </c>
      <c r="P5934" t="n">
        <v>0</v>
      </c>
      <c r="Q5934" t="n">
        <v>0</v>
      </c>
      <c r="R5934" s="2" t="inlineStr"/>
    </row>
    <row r="5935" ht="15" customHeight="1">
      <c r="A5935" t="inlineStr">
        <is>
          <t>A 36927-2025</t>
        </is>
      </c>
      <c r="B5935" s="1" t="n">
        <v>45874.55273148148</v>
      </c>
      <c r="C5935" s="1" t="n">
        <v>46093</v>
      </c>
      <c r="D5935" t="inlineStr">
        <is>
          <t>VÄSTERNORRLANDS LÄN</t>
        </is>
      </c>
      <c r="E5935" t="inlineStr">
        <is>
          <t>SOLLEFTEÅ</t>
        </is>
      </c>
      <c r="F5935" t="inlineStr">
        <is>
          <t>SCA</t>
        </is>
      </c>
      <c r="G5935" t="n">
        <v>2.1</v>
      </c>
      <c r="H5935" t="n">
        <v>0</v>
      </c>
      <c r="I5935" t="n">
        <v>0</v>
      </c>
      <c r="J5935" t="n">
        <v>0</v>
      </c>
      <c r="K5935" t="n">
        <v>0</v>
      </c>
      <c r="L5935" t="n">
        <v>0</v>
      </c>
      <c r="M5935" t="n">
        <v>0</v>
      </c>
      <c r="N5935" t="n">
        <v>0</v>
      </c>
      <c r="O5935" t="n">
        <v>0</v>
      </c>
      <c r="P5935" t="n">
        <v>0</v>
      </c>
      <c r="Q5935" t="n">
        <v>0</v>
      </c>
      <c r="R5935" s="2" t="inlineStr"/>
    </row>
    <row r="5936" ht="15" customHeight="1">
      <c r="A5936" t="inlineStr">
        <is>
          <t>A 36946-2025</t>
        </is>
      </c>
      <c r="B5936" s="1" t="n">
        <v>45874.59483796296</v>
      </c>
      <c r="C5936" s="1" t="n">
        <v>46093</v>
      </c>
      <c r="D5936" t="inlineStr">
        <is>
          <t>VÄSTERNORRLANDS LÄN</t>
        </is>
      </c>
      <c r="E5936" t="inlineStr">
        <is>
          <t>SUNDSVALL</t>
        </is>
      </c>
      <c r="F5936" t="inlineStr">
        <is>
          <t>SCA</t>
        </is>
      </c>
      <c r="G5936" t="n">
        <v>7</v>
      </c>
      <c r="H5936" t="n">
        <v>0</v>
      </c>
      <c r="I5936" t="n">
        <v>0</v>
      </c>
      <c r="J5936" t="n">
        <v>0</v>
      </c>
      <c r="K5936" t="n">
        <v>0</v>
      </c>
      <c r="L5936" t="n">
        <v>0</v>
      </c>
      <c r="M5936" t="n">
        <v>0</v>
      </c>
      <c r="N5936" t="n">
        <v>0</v>
      </c>
      <c r="O5936" t="n">
        <v>0</v>
      </c>
      <c r="P5936" t="n">
        <v>0</v>
      </c>
      <c r="Q5936" t="n">
        <v>0</v>
      </c>
      <c r="R5936" s="2" t="inlineStr"/>
    </row>
    <row r="5937" ht="15" customHeight="1">
      <c r="A5937" t="inlineStr">
        <is>
          <t>A 43978-2023</t>
        </is>
      </c>
      <c r="B5937" s="1" t="n">
        <v>45187</v>
      </c>
      <c r="C5937" s="1" t="n">
        <v>46093</v>
      </c>
      <c r="D5937" t="inlineStr">
        <is>
          <t>VÄSTERNORRLANDS LÄN</t>
        </is>
      </c>
      <c r="E5937" t="inlineStr">
        <is>
          <t>SUNDSVALL</t>
        </is>
      </c>
      <c r="F5937" t="inlineStr">
        <is>
          <t>SCA</t>
        </is>
      </c>
      <c r="G5937" t="n">
        <v>2.8</v>
      </c>
      <c r="H5937" t="n">
        <v>0</v>
      </c>
      <c r="I5937" t="n">
        <v>0</v>
      </c>
      <c r="J5937" t="n">
        <v>0</v>
      </c>
      <c r="K5937" t="n">
        <v>0</v>
      </c>
      <c r="L5937" t="n">
        <v>0</v>
      </c>
      <c r="M5937" t="n">
        <v>0</v>
      </c>
      <c r="N5937" t="n">
        <v>0</v>
      </c>
      <c r="O5937" t="n">
        <v>0</v>
      </c>
      <c r="P5937" t="n">
        <v>0</v>
      </c>
      <c r="Q5937" t="n">
        <v>0</v>
      </c>
      <c r="R5937" s="2" t="inlineStr"/>
    </row>
    <row r="5938" ht="15" customHeight="1">
      <c r="A5938" t="inlineStr">
        <is>
          <t>A 36740-2025</t>
        </is>
      </c>
      <c r="B5938" s="1" t="n">
        <v>45873.53237268519</v>
      </c>
      <c r="C5938" s="1" t="n">
        <v>46093</v>
      </c>
      <c r="D5938" t="inlineStr">
        <is>
          <t>VÄSTERNORRLANDS LÄN</t>
        </is>
      </c>
      <c r="E5938" t="inlineStr">
        <is>
          <t>ÅNGE</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43986-2023</t>
        </is>
      </c>
      <c r="B5939" s="1" t="n">
        <v>45187</v>
      </c>
      <c r="C5939" s="1" t="n">
        <v>46093</v>
      </c>
      <c r="D5939" t="inlineStr">
        <is>
          <t>VÄSTERNORRLANDS LÄN</t>
        </is>
      </c>
      <c r="E5939" t="inlineStr">
        <is>
          <t>ÖRNSKÖLDSVIK</t>
        </is>
      </c>
      <c r="F5939" t="inlineStr">
        <is>
          <t>SCA</t>
        </is>
      </c>
      <c r="G5939" t="n">
        <v>11.2</v>
      </c>
      <c r="H5939" t="n">
        <v>0</v>
      </c>
      <c r="I5939" t="n">
        <v>0</v>
      </c>
      <c r="J5939" t="n">
        <v>0</v>
      </c>
      <c r="K5939" t="n">
        <v>0</v>
      </c>
      <c r="L5939" t="n">
        <v>0</v>
      </c>
      <c r="M5939" t="n">
        <v>0</v>
      </c>
      <c r="N5939" t="n">
        <v>0</v>
      </c>
      <c r="O5939" t="n">
        <v>0</v>
      </c>
      <c r="P5939" t="n">
        <v>0</v>
      </c>
      <c r="Q5939" t="n">
        <v>0</v>
      </c>
      <c r="R5939" s="2" t="inlineStr"/>
    </row>
    <row r="5940" ht="15" customHeight="1">
      <c r="A5940" t="inlineStr">
        <is>
          <t>A 36966-2025</t>
        </is>
      </c>
      <c r="B5940" s="1" t="n">
        <v>45874.63614583333</v>
      </c>
      <c r="C5940" s="1" t="n">
        <v>46093</v>
      </c>
      <c r="D5940" t="inlineStr">
        <is>
          <t>VÄSTERNORRLANDS LÄN</t>
        </is>
      </c>
      <c r="E5940" t="inlineStr">
        <is>
          <t>SOLLEFTEÅ</t>
        </is>
      </c>
      <c r="F5940" t="inlineStr">
        <is>
          <t>SCA</t>
        </is>
      </c>
      <c r="G5940" t="n">
        <v>5.6</v>
      </c>
      <c r="H5940" t="n">
        <v>0</v>
      </c>
      <c r="I5940" t="n">
        <v>0</v>
      </c>
      <c r="J5940" t="n">
        <v>0</v>
      </c>
      <c r="K5940" t="n">
        <v>0</v>
      </c>
      <c r="L5940" t="n">
        <v>0</v>
      </c>
      <c r="M5940" t="n">
        <v>0</v>
      </c>
      <c r="N5940" t="n">
        <v>0</v>
      </c>
      <c r="O5940" t="n">
        <v>0</v>
      </c>
      <c r="P5940" t="n">
        <v>0</v>
      </c>
      <c r="Q5940" t="n">
        <v>0</v>
      </c>
      <c r="R5940" s="2" t="inlineStr"/>
    </row>
    <row r="5941" ht="15" customHeight="1">
      <c r="A5941" t="inlineStr">
        <is>
          <t>A 47536-2025</t>
        </is>
      </c>
      <c r="B5941" s="1" t="n">
        <v>45931.34695601852</v>
      </c>
      <c r="C5941" s="1" t="n">
        <v>46093</v>
      </c>
      <c r="D5941" t="inlineStr">
        <is>
          <t>VÄSTERNORRLANDS LÄN</t>
        </is>
      </c>
      <c r="E5941" t="inlineStr">
        <is>
          <t>SOLLEFTEÅ</t>
        </is>
      </c>
      <c r="F5941" t="inlineStr">
        <is>
          <t>SCA</t>
        </is>
      </c>
      <c r="G5941" t="n">
        <v>3.9</v>
      </c>
      <c r="H5941" t="n">
        <v>0</v>
      </c>
      <c r="I5941" t="n">
        <v>0</v>
      </c>
      <c r="J5941" t="n">
        <v>0</v>
      </c>
      <c r="K5941" t="n">
        <v>0</v>
      </c>
      <c r="L5941" t="n">
        <v>0</v>
      </c>
      <c r="M5941" t="n">
        <v>0</v>
      </c>
      <c r="N5941" t="n">
        <v>0</v>
      </c>
      <c r="O5941" t="n">
        <v>0</v>
      </c>
      <c r="P5941" t="n">
        <v>0</v>
      </c>
      <c r="Q5941" t="n">
        <v>0</v>
      </c>
      <c r="R5941" s="2" t="inlineStr"/>
    </row>
    <row r="5942" ht="15" customHeight="1">
      <c r="A5942" t="inlineStr">
        <is>
          <t>A 47550-2025</t>
        </is>
      </c>
      <c r="B5942" s="1" t="n">
        <v>45931.36900462963</v>
      </c>
      <c r="C5942" s="1" t="n">
        <v>46093</v>
      </c>
      <c r="D5942" t="inlineStr">
        <is>
          <t>VÄSTERNORRLANDS LÄN</t>
        </is>
      </c>
      <c r="E5942" t="inlineStr">
        <is>
          <t>ÖRNSKÖLDSVIK</t>
        </is>
      </c>
      <c r="F5942" t="inlineStr">
        <is>
          <t>Holmen skog AB</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47949-2025</t>
        </is>
      </c>
      <c r="B5943" s="1" t="n">
        <v>45932.57452546297</v>
      </c>
      <c r="C5943" s="1" t="n">
        <v>46093</v>
      </c>
      <c r="D5943" t="inlineStr">
        <is>
          <t>VÄSTERNORRLANDS LÄN</t>
        </is>
      </c>
      <c r="E5943" t="inlineStr">
        <is>
          <t>KRAMFORS</t>
        </is>
      </c>
      <c r="F5943" t="inlineStr">
        <is>
          <t>SCA</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27467-2022</t>
        </is>
      </c>
      <c r="B5944" s="1" t="n">
        <v>44742.59049768518</v>
      </c>
      <c r="C5944" s="1" t="n">
        <v>46093</v>
      </c>
      <c r="D5944" t="inlineStr">
        <is>
          <t>VÄSTERNORRLANDS LÄN</t>
        </is>
      </c>
      <c r="E5944" t="inlineStr">
        <is>
          <t>ÖRNSKÖLDSVIK</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56311-2023</t>
        </is>
      </c>
      <c r="B5945" s="1" t="n">
        <v>45242.94203703704</v>
      </c>
      <c r="C5945" s="1" t="n">
        <v>46093</v>
      </c>
      <c r="D5945" t="inlineStr">
        <is>
          <t>VÄSTERNORRLANDS LÄN</t>
        </is>
      </c>
      <c r="E5945" t="inlineStr">
        <is>
          <t>SOLLEFTEÅ</t>
        </is>
      </c>
      <c r="G5945" t="n">
        <v>2.1</v>
      </c>
      <c r="H5945" t="n">
        <v>0</v>
      </c>
      <c r="I5945" t="n">
        <v>0</v>
      </c>
      <c r="J5945" t="n">
        <v>0</v>
      </c>
      <c r="K5945" t="n">
        <v>0</v>
      </c>
      <c r="L5945" t="n">
        <v>0</v>
      </c>
      <c r="M5945" t="n">
        <v>0</v>
      </c>
      <c r="N5945" t="n">
        <v>0</v>
      </c>
      <c r="O5945" t="n">
        <v>0</v>
      </c>
      <c r="P5945" t="n">
        <v>0</v>
      </c>
      <c r="Q5945" t="n">
        <v>0</v>
      </c>
      <c r="R5945" s="2" t="inlineStr"/>
    </row>
    <row r="5946" ht="15" customHeight="1">
      <c r="A5946" t="inlineStr">
        <is>
          <t>A 28325-2022</t>
        </is>
      </c>
      <c r="B5946" s="1" t="n">
        <v>44747.38347222222</v>
      </c>
      <c r="C5946" s="1" t="n">
        <v>46093</v>
      </c>
      <c r="D5946" t="inlineStr">
        <is>
          <t>VÄSTERNORRLANDS LÄN</t>
        </is>
      </c>
      <c r="E5946" t="inlineStr">
        <is>
          <t>HÄRNÖSAND</t>
        </is>
      </c>
      <c r="G5946" t="n">
        <v>3.8</v>
      </c>
      <c r="H5946" t="n">
        <v>0</v>
      </c>
      <c r="I5946" t="n">
        <v>0</v>
      </c>
      <c r="J5946" t="n">
        <v>0</v>
      </c>
      <c r="K5946" t="n">
        <v>0</v>
      </c>
      <c r="L5946" t="n">
        <v>0</v>
      </c>
      <c r="M5946" t="n">
        <v>0</v>
      </c>
      <c r="N5946" t="n">
        <v>0</v>
      </c>
      <c r="O5946" t="n">
        <v>0</v>
      </c>
      <c r="P5946" t="n">
        <v>0</v>
      </c>
      <c r="Q5946" t="n">
        <v>0</v>
      </c>
      <c r="R5946" s="2" t="inlineStr"/>
    </row>
    <row r="5947" ht="15" customHeight="1">
      <c r="A5947" t="inlineStr">
        <is>
          <t>A 47715-2025</t>
        </is>
      </c>
      <c r="B5947" s="1" t="n">
        <v>45931.61570601852</v>
      </c>
      <c r="C5947" s="1" t="n">
        <v>46093</v>
      </c>
      <c r="D5947" t="inlineStr">
        <is>
          <t>VÄSTERNORRLANDS LÄN</t>
        </is>
      </c>
      <c r="E5947" t="inlineStr">
        <is>
          <t>ÖRNSKÖLDSVIK</t>
        </is>
      </c>
      <c r="F5947" t="inlineStr">
        <is>
          <t>SCA</t>
        </is>
      </c>
      <c r="G5947" t="n">
        <v>5.1</v>
      </c>
      <c r="H5947" t="n">
        <v>0</v>
      </c>
      <c r="I5947" t="n">
        <v>0</v>
      </c>
      <c r="J5947" t="n">
        <v>0</v>
      </c>
      <c r="K5947" t="n">
        <v>0</v>
      </c>
      <c r="L5947" t="n">
        <v>0</v>
      </c>
      <c r="M5947" t="n">
        <v>0</v>
      </c>
      <c r="N5947" t="n">
        <v>0</v>
      </c>
      <c r="O5947" t="n">
        <v>0</v>
      </c>
      <c r="P5947" t="n">
        <v>0</v>
      </c>
      <c r="Q5947" t="n">
        <v>0</v>
      </c>
      <c r="R5947" s="2" t="inlineStr"/>
    </row>
    <row r="5948" ht="15" customHeight="1">
      <c r="A5948" t="inlineStr">
        <is>
          <t>A 47719-2025</t>
        </is>
      </c>
      <c r="B5948" s="1" t="n">
        <v>45931.62795138889</v>
      </c>
      <c r="C5948" s="1" t="n">
        <v>46093</v>
      </c>
      <c r="D5948" t="inlineStr">
        <is>
          <t>VÄSTERNORRLANDS LÄN</t>
        </is>
      </c>
      <c r="E5948" t="inlineStr">
        <is>
          <t>ÖRNSKÖLDSVIK</t>
        </is>
      </c>
      <c r="F5948" t="inlineStr">
        <is>
          <t>Holmen skog AB</t>
        </is>
      </c>
      <c r="G5948" t="n">
        <v>2.5</v>
      </c>
      <c r="H5948" t="n">
        <v>0</v>
      </c>
      <c r="I5948" t="n">
        <v>0</v>
      </c>
      <c r="J5948" t="n">
        <v>0</v>
      </c>
      <c r="K5948" t="n">
        <v>0</v>
      </c>
      <c r="L5948" t="n">
        <v>0</v>
      </c>
      <c r="M5948" t="n">
        <v>0</v>
      </c>
      <c r="N5948" t="n">
        <v>0</v>
      </c>
      <c r="O5948" t="n">
        <v>0</v>
      </c>
      <c r="P5948" t="n">
        <v>0</v>
      </c>
      <c r="Q5948" t="n">
        <v>0</v>
      </c>
      <c r="R5948" s="2" t="inlineStr"/>
    </row>
    <row r="5949" ht="15" customHeight="1">
      <c r="A5949" t="inlineStr">
        <is>
          <t>A 58743-2023</t>
        </is>
      </c>
      <c r="B5949" s="1" t="n">
        <v>45251.9290625</v>
      </c>
      <c r="C5949" s="1" t="n">
        <v>46093</v>
      </c>
      <c r="D5949" t="inlineStr">
        <is>
          <t>VÄSTERNORRLANDS LÄN</t>
        </is>
      </c>
      <c r="E5949" t="inlineStr">
        <is>
          <t>KRAMFORS</t>
        </is>
      </c>
      <c r="F5949" t="inlineStr">
        <is>
          <t>Kommuner</t>
        </is>
      </c>
      <c r="G5949" t="n">
        <v>3.7</v>
      </c>
      <c r="H5949" t="n">
        <v>0</v>
      </c>
      <c r="I5949" t="n">
        <v>0</v>
      </c>
      <c r="J5949" t="n">
        <v>0</v>
      </c>
      <c r="K5949" t="n">
        <v>0</v>
      </c>
      <c r="L5949" t="n">
        <v>0</v>
      </c>
      <c r="M5949" t="n">
        <v>0</v>
      </c>
      <c r="N5949" t="n">
        <v>0</v>
      </c>
      <c r="O5949" t="n">
        <v>0</v>
      </c>
      <c r="P5949" t="n">
        <v>0</v>
      </c>
      <c r="Q5949" t="n">
        <v>0</v>
      </c>
      <c r="R5949" s="2" t="inlineStr"/>
    </row>
    <row r="5950" ht="15" customHeight="1">
      <c r="A5950" t="inlineStr">
        <is>
          <t>A 58748-2023</t>
        </is>
      </c>
      <c r="B5950" s="1" t="n">
        <v>45251.92936342592</v>
      </c>
      <c r="C5950" s="1" t="n">
        <v>46093</v>
      </c>
      <c r="D5950" t="inlineStr">
        <is>
          <t>VÄSTERNORRLANDS LÄN</t>
        </is>
      </c>
      <c r="E5950" t="inlineStr">
        <is>
          <t>ÅNGE</t>
        </is>
      </c>
      <c r="G5950" t="n">
        <v>2.7</v>
      </c>
      <c r="H5950" t="n">
        <v>0</v>
      </c>
      <c r="I5950" t="n">
        <v>0</v>
      </c>
      <c r="J5950" t="n">
        <v>0</v>
      </c>
      <c r="K5950" t="n">
        <v>0</v>
      </c>
      <c r="L5950" t="n">
        <v>0</v>
      </c>
      <c r="M5950" t="n">
        <v>0</v>
      </c>
      <c r="N5950" t="n">
        <v>0</v>
      </c>
      <c r="O5950" t="n">
        <v>0</v>
      </c>
      <c r="P5950" t="n">
        <v>0</v>
      </c>
      <c r="Q5950" t="n">
        <v>0</v>
      </c>
      <c r="R5950" s="2" t="inlineStr"/>
    </row>
    <row r="5951" ht="15" customHeight="1">
      <c r="A5951" t="inlineStr">
        <is>
          <t>A 48055-2025</t>
        </is>
      </c>
      <c r="B5951" s="1" t="n">
        <v>45932.67922453704</v>
      </c>
      <c r="C5951" s="1" t="n">
        <v>46093</v>
      </c>
      <c r="D5951" t="inlineStr">
        <is>
          <t>VÄSTERNORRLANDS LÄN</t>
        </is>
      </c>
      <c r="E5951" t="inlineStr">
        <is>
          <t>ÅNGE</t>
        </is>
      </c>
      <c r="F5951" t="inlineStr">
        <is>
          <t>SCA</t>
        </is>
      </c>
      <c r="G5951" t="n">
        <v>2.3</v>
      </c>
      <c r="H5951" t="n">
        <v>0</v>
      </c>
      <c r="I5951" t="n">
        <v>0</v>
      </c>
      <c r="J5951" t="n">
        <v>0</v>
      </c>
      <c r="K5951" t="n">
        <v>0</v>
      </c>
      <c r="L5951" t="n">
        <v>0</v>
      </c>
      <c r="M5951" t="n">
        <v>0</v>
      </c>
      <c r="N5951" t="n">
        <v>0</v>
      </c>
      <c r="O5951" t="n">
        <v>0</v>
      </c>
      <c r="P5951" t="n">
        <v>0</v>
      </c>
      <c r="Q5951" t="n">
        <v>0</v>
      </c>
      <c r="R5951" s="2" t="inlineStr"/>
    </row>
    <row r="5952" ht="15" customHeight="1">
      <c r="A5952" t="inlineStr">
        <is>
          <t>A 48069-2025</t>
        </is>
      </c>
      <c r="B5952" s="1" t="n">
        <v>45932.69865740741</v>
      </c>
      <c r="C5952" s="1" t="n">
        <v>46093</v>
      </c>
      <c r="D5952" t="inlineStr">
        <is>
          <t>VÄSTERNORRLANDS LÄN</t>
        </is>
      </c>
      <c r="E5952" t="inlineStr">
        <is>
          <t>ÅNGE</t>
        </is>
      </c>
      <c r="F5952" t="inlineStr">
        <is>
          <t>SCA</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43113-2023</t>
        </is>
      </c>
      <c r="B5953" s="1" t="n">
        <v>45182</v>
      </c>
      <c r="C5953" s="1" t="n">
        <v>46093</v>
      </c>
      <c r="D5953" t="inlineStr">
        <is>
          <t>VÄSTERNORRLANDS LÄN</t>
        </is>
      </c>
      <c r="E5953" t="inlineStr">
        <is>
          <t>TIMRÅ</t>
        </is>
      </c>
      <c r="F5953" t="inlineStr">
        <is>
          <t>SCA</t>
        </is>
      </c>
      <c r="G5953" t="n">
        <v>2.1</v>
      </c>
      <c r="H5953" t="n">
        <v>0</v>
      </c>
      <c r="I5953" t="n">
        <v>0</v>
      </c>
      <c r="J5953" t="n">
        <v>0</v>
      </c>
      <c r="K5953" t="n">
        <v>0</v>
      </c>
      <c r="L5953" t="n">
        <v>0</v>
      </c>
      <c r="M5953" t="n">
        <v>0</v>
      </c>
      <c r="N5953" t="n">
        <v>0</v>
      </c>
      <c r="O5953" t="n">
        <v>0</v>
      </c>
      <c r="P5953" t="n">
        <v>0</v>
      </c>
      <c r="Q5953" t="n">
        <v>0</v>
      </c>
      <c r="R5953" s="2" t="inlineStr"/>
    </row>
    <row r="5954" ht="15" customHeight="1">
      <c r="A5954" t="inlineStr">
        <is>
          <t>A 9052-2025</t>
        </is>
      </c>
      <c r="B5954" s="1" t="n">
        <v>45713.63570601852</v>
      </c>
      <c r="C5954" s="1" t="n">
        <v>46093</v>
      </c>
      <c r="D5954" t="inlineStr">
        <is>
          <t>VÄSTERNORRLANDS LÄN</t>
        </is>
      </c>
      <c r="E5954" t="inlineStr">
        <is>
          <t>ÖRNSKÖLDSVIK</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9053-2025</t>
        </is>
      </c>
      <c r="B5955" s="1" t="n">
        <v>45713.63590277778</v>
      </c>
      <c r="C5955" s="1" t="n">
        <v>46093</v>
      </c>
      <c r="D5955" t="inlineStr">
        <is>
          <t>VÄSTERNORRLANDS LÄN</t>
        </is>
      </c>
      <c r="E5955" t="inlineStr">
        <is>
          <t>ÖRNSKÖLDSVIK</t>
        </is>
      </c>
      <c r="G5955" t="n">
        <v>7.1</v>
      </c>
      <c r="H5955" t="n">
        <v>0</v>
      </c>
      <c r="I5955" t="n">
        <v>0</v>
      </c>
      <c r="J5955" t="n">
        <v>0</v>
      </c>
      <c r="K5955" t="n">
        <v>0</v>
      </c>
      <c r="L5955" t="n">
        <v>0</v>
      </c>
      <c r="M5955" t="n">
        <v>0</v>
      </c>
      <c r="N5955" t="n">
        <v>0</v>
      </c>
      <c r="O5955" t="n">
        <v>0</v>
      </c>
      <c r="P5955" t="n">
        <v>0</v>
      </c>
      <c r="Q5955" t="n">
        <v>0</v>
      </c>
      <c r="R5955" s="2" t="inlineStr"/>
    </row>
    <row r="5956" ht="15" customHeight="1">
      <c r="A5956" t="inlineStr">
        <is>
          <t>A 43138-2023</t>
        </is>
      </c>
      <c r="B5956" s="1" t="n">
        <v>45180</v>
      </c>
      <c r="C5956" s="1" t="n">
        <v>46093</v>
      </c>
      <c r="D5956" t="inlineStr">
        <is>
          <t>VÄSTERNORRLANDS LÄN</t>
        </is>
      </c>
      <c r="E5956" t="inlineStr">
        <is>
          <t>SUNDSVALL</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47673-2025</t>
        </is>
      </c>
      <c r="B5957" s="1" t="n">
        <v>45931.57407407407</v>
      </c>
      <c r="C5957" s="1" t="n">
        <v>46093</v>
      </c>
      <c r="D5957" t="inlineStr">
        <is>
          <t>VÄSTERNORRLANDS LÄN</t>
        </is>
      </c>
      <c r="E5957" t="inlineStr">
        <is>
          <t>SUNDSVALL</t>
        </is>
      </c>
      <c r="F5957" t="inlineStr">
        <is>
          <t>SCA</t>
        </is>
      </c>
      <c r="G5957" t="n">
        <v>15.3</v>
      </c>
      <c r="H5957" t="n">
        <v>0</v>
      </c>
      <c r="I5957" t="n">
        <v>0</v>
      </c>
      <c r="J5957" t="n">
        <v>0</v>
      </c>
      <c r="K5957" t="n">
        <v>0</v>
      </c>
      <c r="L5957" t="n">
        <v>0</v>
      </c>
      <c r="M5957" t="n">
        <v>0</v>
      </c>
      <c r="N5957" t="n">
        <v>0</v>
      </c>
      <c r="O5957" t="n">
        <v>0</v>
      </c>
      <c r="P5957" t="n">
        <v>0</v>
      </c>
      <c r="Q5957" t="n">
        <v>0</v>
      </c>
      <c r="R5957" s="2" t="inlineStr"/>
    </row>
    <row r="5958" ht="15" customHeight="1">
      <c r="A5958" t="inlineStr">
        <is>
          <t>A 47675-2025</t>
        </is>
      </c>
      <c r="B5958" s="1" t="n">
        <v>45931.5742824074</v>
      </c>
      <c r="C5958" s="1" t="n">
        <v>46093</v>
      </c>
      <c r="D5958" t="inlineStr">
        <is>
          <t>VÄSTERNORRLANDS LÄN</t>
        </is>
      </c>
      <c r="E5958" t="inlineStr">
        <is>
          <t>SOLLEFTEÅ</t>
        </is>
      </c>
      <c r="F5958" t="inlineStr">
        <is>
          <t>SCA</t>
        </is>
      </c>
      <c r="G5958" t="n">
        <v>27.8</v>
      </c>
      <c r="H5958" t="n">
        <v>0</v>
      </c>
      <c r="I5958" t="n">
        <v>0</v>
      </c>
      <c r="J5958" t="n">
        <v>0</v>
      </c>
      <c r="K5958" t="n">
        <v>0</v>
      </c>
      <c r="L5958" t="n">
        <v>0</v>
      </c>
      <c r="M5958" t="n">
        <v>0</v>
      </c>
      <c r="N5958" t="n">
        <v>0</v>
      </c>
      <c r="O5958" t="n">
        <v>0</v>
      </c>
      <c r="P5958" t="n">
        <v>0</v>
      </c>
      <c r="Q5958" t="n">
        <v>0</v>
      </c>
      <c r="R5958" s="2" t="inlineStr"/>
    </row>
    <row r="5959" ht="15" customHeight="1">
      <c r="A5959" t="inlineStr">
        <is>
          <t>A 47962-2025</t>
        </is>
      </c>
      <c r="B5959" s="1" t="n">
        <v>45932.59434027778</v>
      </c>
      <c r="C5959" s="1" t="n">
        <v>46093</v>
      </c>
      <c r="D5959" t="inlineStr">
        <is>
          <t>VÄSTERNORRLANDS LÄN</t>
        </is>
      </c>
      <c r="E5959" t="inlineStr">
        <is>
          <t>SOLLEFTEÅ</t>
        </is>
      </c>
      <c r="F5959" t="inlineStr">
        <is>
          <t>SCA</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32969-2022</t>
        </is>
      </c>
      <c r="B5960" s="1" t="n">
        <v>44784.9402662037</v>
      </c>
      <c r="C5960" s="1" t="n">
        <v>46093</v>
      </c>
      <c r="D5960" t="inlineStr">
        <is>
          <t>VÄSTERNORRLANDS LÄN</t>
        </is>
      </c>
      <c r="E5960" t="inlineStr">
        <is>
          <t>SOLLEFTEÅ</t>
        </is>
      </c>
      <c r="F5960" t="inlineStr">
        <is>
          <t>SCA</t>
        </is>
      </c>
      <c r="G5960" t="n">
        <v>2.3</v>
      </c>
      <c r="H5960" t="n">
        <v>0</v>
      </c>
      <c r="I5960" t="n">
        <v>0</v>
      </c>
      <c r="J5960" t="n">
        <v>0</v>
      </c>
      <c r="K5960" t="n">
        <v>0</v>
      </c>
      <c r="L5960" t="n">
        <v>0</v>
      </c>
      <c r="M5960" t="n">
        <v>0</v>
      </c>
      <c r="N5960" t="n">
        <v>0</v>
      </c>
      <c r="O5960" t="n">
        <v>0</v>
      </c>
      <c r="P5960" t="n">
        <v>0</v>
      </c>
      <c r="Q5960" t="n">
        <v>0</v>
      </c>
      <c r="R5960" s="2" t="inlineStr"/>
    </row>
    <row r="5961" ht="15" customHeight="1">
      <c r="A5961" t="inlineStr">
        <is>
          <t>A 57394-2023</t>
        </is>
      </c>
      <c r="B5961" s="1" t="n">
        <v>45245.96774305555</v>
      </c>
      <c r="C5961" s="1" t="n">
        <v>46093</v>
      </c>
      <c r="D5961" t="inlineStr">
        <is>
          <t>VÄSTERNORRLANDS LÄN</t>
        </is>
      </c>
      <c r="E5961" t="inlineStr">
        <is>
          <t>SOLLEFTEÅ</t>
        </is>
      </c>
      <c r="F5961" t="inlineStr">
        <is>
          <t>SCA</t>
        </is>
      </c>
      <c r="G5961" t="n">
        <v>2.5</v>
      </c>
      <c r="H5961" t="n">
        <v>0</v>
      </c>
      <c r="I5961" t="n">
        <v>0</v>
      </c>
      <c r="J5961" t="n">
        <v>0</v>
      </c>
      <c r="K5961" t="n">
        <v>0</v>
      </c>
      <c r="L5961" t="n">
        <v>0</v>
      </c>
      <c r="M5961" t="n">
        <v>0</v>
      </c>
      <c r="N5961" t="n">
        <v>0</v>
      </c>
      <c r="O5961" t="n">
        <v>0</v>
      </c>
      <c r="P5961" t="n">
        <v>0</v>
      </c>
      <c r="Q5961" t="n">
        <v>0</v>
      </c>
      <c r="R5961" s="2" t="inlineStr"/>
    </row>
    <row r="5962" ht="15" customHeight="1">
      <c r="A5962" t="inlineStr">
        <is>
          <t>A 57972-2023</t>
        </is>
      </c>
      <c r="B5962" s="1" t="n">
        <v>45245</v>
      </c>
      <c r="C5962" s="1" t="n">
        <v>46093</v>
      </c>
      <c r="D5962" t="inlineStr">
        <is>
          <t>VÄSTERNORRLANDS LÄN</t>
        </is>
      </c>
      <c r="E5962" t="inlineStr">
        <is>
          <t>KRAMFORS</t>
        </is>
      </c>
      <c r="G5962" t="n">
        <v>4.4</v>
      </c>
      <c r="H5962" t="n">
        <v>0</v>
      </c>
      <c r="I5962" t="n">
        <v>0</v>
      </c>
      <c r="J5962" t="n">
        <v>0</v>
      </c>
      <c r="K5962" t="n">
        <v>0</v>
      </c>
      <c r="L5962" t="n">
        <v>0</v>
      </c>
      <c r="M5962" t="n">
        <v>0</v>
      </c>
      <c r="N5962" t="n">
        <v>0</v>
      </c>
      <c r="O5962" t="n">
        <v>0</v>
      </c>
      <c r="P5962" t="n">
        <v>0</v>
      </c>
      <c r="Q5962" t="n">
        <v>0</v>
      </c>
      <c r="R5962" s="2" t="inlineStr"/>
    </row>
    <row r="5963" ht="15" customHeight="1">
      <c r="A5963" t="inlineStr">
        <is>
          <t>A 47832-2025</t>
        </is>
      </c>
      <c r="B5963" s="1" t="n">
        <v>45932.36141203704</v>
      </c>
      <c r="C5963" s="1" t="n">
        <v>46093</v>
      </c>
      <c r="D5963" t="inlineStr">
        <is>
          <t>VÄSTERNORRLANDS LÄN</t>
        </is>
      </c>
      <c r="E5963" t="inlineStr">
        <is>
          <t>ÖRNSKÖLDSVIK</t>
        </is>
      </c>
      <c r="F5963" t="inlineStr">
        <is>
          <t>Holmen skog AB</t>
        </is>
      </c>
      <c r="G5963" t="n">
        <v>3.6</v>
      </c>
      <c r="H5963" t="n">
        <v>0</v>
      </c>
      <c r="I5963" t="n">
        <v>0</v>
      </c>
      <c r="J5963" t="n">
        <v>0</v>
      </c>
      <c r="K5963" t="n">
        <v>0</v>
      </c>
      <c r="L5963" t="n">
        <v>0</v>
      </c>
      <c r="M5963" t="n">
        <v>0</v>
      </c>
      <c r="N5963" t="n">
        <v>0</v>
      </c>
      <c r="O5963" t="n">
        <v>0</v>
      </c>
      <c r="P5963" t="n">
        <v>0</v>
      </c>
      <c r="Q5963" t="n">
        <v>0</v>
      </c>
      <c r="R5963" s="2" t="inlineStr"/>
    </row>
    <row r="5964" ht="15" customHeight="1">
      <c r="A5964" t="inlineStr">
        <is>
          <t>A 7924-2025</t>
        </is>
      </c>
      <c r="B5964" s="1" t="n">
        <v>45707.36533564814</v>
      </c>
      <c r="C5964" s="1" t="n">
        <v>46093</v>
      </c>
      <c r="D5964" t="inlineStr">
        <is>
          <t>VÄSTERNORRLANDS LÄN</t>
        </is>
      </c>
      <c r="E5964" t="inlineStr">
        <is>
          <t>SUNDSVALL</t>
        </is>
      </c>
      <c r="F5964" t="inlineStr">
        <is>
          <t>SCA</t>
        </is>
      </c>
      <c r="G5964" t="n">
        <v>3.9</v>
      </c>
      <c r="H5964" t="n">
        <v>0</v>
      </c>
      <c r="I5964" t="n">
        <v>0</v>
      </c>
      <c r="J5964" t="n">
        <v>0</v>
      </c>
      <c r="K5964" t="n">
        <v>0</v>
      </c>
      <c r="L5964" t="n">
        <v>0</v>
      </c>
      <c r="M5964" t="n">
        <v>0</v>
      </c>
      <c r="N5964" t="n">
        <v>0</v>
      </c>
      <c r="O5964" t="n">
        <v>0</v>
      </c>
      <c r="P5964" t="n">
        <v>0</v>
      </c>
      <c r="Q5964" t="n">
        <v>0</v>
      </c>
      <c r="R5964" s="2" t="inlineStr"/>
    </row>
    <row r="5965" ht="15" customHeight="1">
      <c r="A5965" t="inlineStr">
        <is>
          <t>A 47609-2025</t>
        </is>
      </c>
      <c r="B5965" s="1" t="n">
        <v>45931.46905092592</v>
      </c>
      <c r="C5965" s="1" t="n">
        <v>46093</v>
      </c>
      <c r="D5965" t="inlineStr">
        <is>
          <t>VÄSTERNORRLANDS LÄN</t>
        </is>
      </c>
      <c r="E5965" t="inlineStr">
        <is>
          <t>ÖRNSKÖLDSVIK</t>
        </is>
      </c>
      <c r="G5965" t="n">
        <v>3.2</v>
      </c>
      <c r="H5965" t="n">
        <v>0</v>
      </c>
      <c r="I5965" t="n">
        <v>0</v>
      </c>
      <c r="J5965" t="n">
        <v>0</v>
      </c>
      <c r="K5965" t="n">
        <v>0</v>
      </c>
      <c r="L5965" t="n">
        <v>0</v>
      </c>
      <c r="M5965" t="n">
        <v>0</v>
      </c>
      <c r="N5965" t="n">
        <v>0</v>
      </c>
      <c r="O5965" t="n">
        <v>0</v>
      </c>
      <c r="P5965" t="n">
        <v>0</v>
      </c>
      <c r="Q5965" t="n">
        <v>0</v>
      </c>
      <c r="R5965" s="2" t="inlineStr"/>
    </row>
    <row r="5966" ht="15" customHeight="1">
      <c r="A5966" t="inlineStr">
        <is>
          <t>A 47611-2025</t>
        </is>
      </c>
      <c r="B5966" s="1" t="n">
        <v>45931.46918981482</v>
      </c>
      <c r="C5966" s="1" t="n">
        <v>46093</v>
      </c>
      <c r="D5966" t="inlineStr">
        <is>
          <t>VÄSTERNORRLANDS LÄN</t>
        </is>
      </c>
      <c r="E5966" t="inlineStr">
        <is>
          <t>ÖRNSKÖLDSVIK</t>
        </is>
      </c>
      <c r="G5966" t="n">
        <v>0.2</v>
      </c>
      <c r="H5966" t="n">
        <v>0</v>
      </c>
      <c r="I5966" t="n">
        <v>0</v>
      </c>
      <c r="J5966" t="n">
        <v>0</v>
      </c>
      <c r="K5966" t="n">
        <v>0</v>
      </c>
      <c r="L5966" t="n">
        <v>0</v>
      </c>
      <c r="M5966" t="n">
        <v>0</v>
      </c>
      <c r="N5966" t="n">
        <v>0</v>
      </c>
      <c r="O5966" t="n">
        <v>0</v>
      </c>
      <c r="P5966" t="n">
        <v>0</v>
      </c>
      <c r="Q5966" t="n">
        <v>0</v>
      </c>
      <c r="R5966" s="2" t="inlineStr"/>
    </row>
    <row r="5967" ht="15" customHeight="1">
      <c r="A5967" t="inlineStr">
        <is>
          <t>A 14448-2022</t>
        </is>
      </c>
      <c r="B5967" s="1" t="n">
        <v>44652</v>
      </c>
      <c r="C5967" s="1" t="n">
        <v>46093</v>
      </c>
      <c r="D5967" t="inlineStr">
        <is>
          <t>VÄSTERNORRLANDS LÄN</t>
        </is>
      </c>
      <c r="E5967" t="inlineStr">
        <is>
          <t>SOLLEFTEÅ</t>
        </is>
      </c>
      <c r="F5967" t="inlineStr">
        <is>
          <t>SCA</t>
        </is>
      </c>
      <c r="G5967" t="n">
        <v>4</v>
      </c>
      <c r="H5967" t="n">
        <v>0</v>
      </c>
      <c r="I5967" t="n">
        <v>0</v>
      </c>
      <c r="J5967" t="n">
        <v>0</v>
      </c>
      <c r="K5967" t="n">
        <v>0</v>
      </c>
      <c r="L5967" t="n">
        <v>0</v>
      </c>
      <c r="M5967" t="n">
        <v>0</v>
      </c>
      <c r="N5967" t="n">
        <v>0</v>
      </c>
      <c r="O5967" t="n">
        <v>0</v>
      </c>
      <c r="P5967" t="n">
        <v>0</v>
      </c>
      <c r="Q5967" t="n">
        <v>0</v>
      </c>
      <c r="R5967" s="2" t="inlineStr"/>
    </row>
    <row r="5968" ht="15" customHeight="1">
      <c r="A5968" t="inlineStr">
        <is>
          <t>A 47886-2025</t>
        </is>
      </c>
      <c r="B5968" s="1" t="n">
        <v>45932.46719907408</v>
      </c>
      <c r="C5968" s="1" t="n">
        <v>46093</v>
      </c>
      <c r="D5968" t="inlineStr">
        <is>
          <t>VÄSTERNORRLANDS LÄN</t>
        </is>
      </c>
      <c r="E5968" t="inlineStr">
        <is>
          <t>ÖRNSKÖLDSVIK</t>
        </is>
      </c>
      <c r="F5968" t="inlineStr">
        <is>
          <t>Holmen skog AB</t>
        </is>
      </c>
      <c r="G5968" t="n">
        <v>2.6</v>
      </c>
      <c r="H5968" t="n">
        <v>0</v>
      </c>
      <c r="I5968" t="n">
        <v>0</v>
      </c>
      <c r="J5968" t="n">
        <v>0</v>
      </c>
      <c r="K5968" t="n">
        <v>0</v>
      </c>
      <c r="L5968" t="n">
        <v>0</v>
      </c>
      <c r="M5968" t="n">
        <v>0</v>
      </c>
      <c r="N5968" t="n">
        <v>0</v>
      </c>
      <c r="O5968" t="n">
        <v>0</v>
      </c>
      <c r="P5968" t="n">
        <v>0</v>
      </c>
      <c r="Q5968" t="n">
        <v>0</v>
      </c>
      <c r="R5968" s="2" t="inlineStr"/>
    </row>
    <row r="5969" ht="15" customHeight="1">
      <c r="A5969" t="inlineStr">
        <is>
          <t>A 47899-2025</t>
        </is>
      </c>
      <c r="B5969" s="1" t="n">
        <v>45932.49662037037</v>
      </c>
      <c r="C5969" s="1" t="n">
        <v>46093</v>
      </c>
      <c r="D5969" t="inlineStr">
        <is>
          <t>VÄSTERNORRLANDS LÄN</t>
        </is>
      </c>
      <c r="E5969" t="inlineStr">
        <is>
          <t>ÖRNSKÖLDSVIK</t>
        </is>
      </c>
      <c r="F5969" t="inlineStr">
        <is>
          <t>Holmen skog AB</t>
        </is>
      </c>
      <c r="G5969" t="n">
        <v>4.3</v>
      </c>
      <c r="H5969" t="n">
        <v>0</v>
      </c>
      <c r="I5969" t="n">
        <v>0</v>
      </c>
      <c r="J5969" t="n">
        <v>0</v>
      </c>
      <c r="K5969" t="n">
        <v>0</v>
      </c>
      <c r="L5969" t="n">
        <v>0</v>
      </c>
      <c r="M5969" t="n">
        <v>0</v>
      </c>
      <c r="N5969" t="n">
        <v>0</v>
      </c>
      <c r="O5969" t="n">
        <v>0</v>
      </c>
      <c r="P5969" t="n">
        <v>0</v>
      </c>
      <c r="Q5969" t="n">
        <v>0</v>
      </c>
      <c r="R5969" s="2" t="inlineStr"/>
    </row>
    <row r="5970" ht="15" customHeight="1">
      <c r="A5970" t="inlineStr">
        <is>
          <t>A 7961-2025</t>
        </is>
      </c>
      <c r="B5970" s="1" t="n">
        <v>45707.44523148148</v>
      </c>
      <c r="C5970" s="1" t="n">
        <v>46093</v>
      </c>
      <c r="D5970" t="inlineStr">
        <is>
          <t>VÄSTERNORRLANDS LÄN</t>
        </is>
      </c>
      <c r="E5970" t="inlineStr">
        <is>
          <t>SUNDSVALL</t>
        </is>
      </c>
      <c r="G5970" t="n">
        <v>3.7</v>
      </c>
      <c r="H5970" t="n">
        <v>0</v>
      </c>
      <c r="I5970" t="n">
        <v>0</v>
      </c>
      <c r="J5970" t="n">
        <v>0</v>
      </c>
      <c r="K5970" t="n">
        <v>0</v>
      </c>
      <c r="L5970" t="n">
        <v>0</v>
      </c>
      <c r="M5970" t="n">
        <v>0</v>
      </c>
      <c r="N5970" t="n">
        <v>0</v>
      </c>
      <c r="O5970" t="n">
        <v>0</v>
      </c>
      <c r="P5970" t="n">
        <v>0</v>
      </c>
      <c r="Q5970" t="n">
        <v>0</v>
      </c>
      <c r="R5970" s="2" t="inlineStr"/>
    </row>
    <row r="5971" ht="15" customHeight="1">
      <c r="A5971" t="inlineStr">
        <is>
          <t>A 7970-2025</t>
        </is>
      </c>
      <c r="B5971" s="1" t="n">
        <v>45707.45626157407</v>
      </c>
      <c r="C5971" s="1" t="n">
        <v>46093</v>
      </c>
      <c r="D5971" t="inlineStr">
        <is>
          <t>VÄSTERNORRLANDS LÄN</t>
        </is>
      </c>
      <c r="E5971" t="inlineStr">
        <is>
          <t>SUNDSVALL</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43552-2023</t>
        </is>
      </c>
      <c r="B5972" s="1" t="n">
        <v>45181</v>
      </c>
      <c r="C5972" s="1" t="n">
        <v>46093</v>
      </c>
      <c r="D5972" t="inlineStr">
        <is>
          <t>VÄSTERNORRLANDS LÄN</t>
        </is>
      </c>
      <c r="E5972" t="inlineStr">
        <is>
          <t>ÅNGE</t>
        </is>
      </c>
      <c r="F5972" t="inlineStr">
        <is>
          <t>SCA</t>
        </is>
      </c>
      <c r="G5972" t="n">
        <v>7.3</v>
      </c>
      <c r="H5972" t="n">
        <v>0</v>
      </c>
      <c r="I5972" t="n">
        <v>0</v>
      </c>
      <c r="J5972" t="n">
        <v>0</v>
      </c>
      <c r="K5972" t="n">
        <v>0</v>
      </c>
      <c r="L5972" t="n">
        <v>0</v>
      </c>
      <c r="M5972" t="n">
        <v>0</v>
      </c>
      <c r="N5972" t="n">
        <v>0</v>
      </c>
      <c r="O5972" t="n">
        <v>0</v>
      </c>
      <c r="P5972" t="n">
        <v>0</v>
      </c>
      <c r="Q5972" t="n">
        <v>0</v>
      </c>
      <c r="R5972" s="2" t="inlineStr"/>
    </row>
    <row r="5973" ht="15" customHeight="1">
      <c r="A5973" t="inlineStr">
        <is>
          <t>A 35318-2021</t>
        </is>
      </c>
      <c r="B5973" s="1" t="n">
        <v>44384</v>
      </c>
      <c r="C5973" s="1" t="n">
        <v>46093</v>
      </c>
      <c r="D5973" t="inlineStr">
        <is>
          <t>VÄSTERNORRLANDS LÄN</t>
        </is>
      </c>
      <c r="E5973" t="inlineStr">
        <is>
          <t>SUNDSVALL</t>
        </is>
      </c>
      <c r="G5973" t="n">
        <v>2.6</v>
      </c>
      <c r="H5973" t="n">
        <v>0</v>
      </c>
      <c r="I5973" t="n">
        <v>0</v>
      </c>
      <c r="J5973" t="n">
        <v>0</v>
      </c>
      <c r="K5973" t="n">
        <v>0</v>
      </c>
      <c r="L5973" t="n">
        <v>0</v>
      </c>
      <c r="M5973" t="n">
        <v>0</v>
      </c>
      <c r="N5973" t="n">
        <v>0</v>
      </c>
      <c r="O5973" t="n">
        <v>0</v>
      </c>
      <c r="P5973" t="n">
        <v>0</v>
      </c>
      <c r="Q5973" t="n">
        <v>0</v>
      </c>
      <c r="R5973" s="2" t="inlineStr"/>
    </row>
    <row r="5974" ht="15" customHeight="1">
      <c r="A5974" t="inlineStr">
        <is>
          <t>A 51108-2023</t>
        </is>
      </c>
      <c r="B5974" s="1" t="n">
        <v>45218</v>
      </c>
      <c r="C5974" s="1" t="n">
        <v>46093</v>
      </c>
      <c r="D5974" t="inlineStr">
        <is>
          <t>VÄSTERNORRLANDS LÄN</t>
        </is>
      </c>
      <c r="E5974" t="inlineStr">
        <is>
          <t>SUNDSVALL</t>
        </is>
      </c>
      <c r="F5974" t="inlineStr">
        <is>
          <t>SCA</t>
        </is>
      </c>
      <c r="G5974" t="n">
        <v>3</v>
      </c>
      <c r="H5974" t="n">
        <v>0</v>
      </c>
      <c r="I5974" t="n">
        <v>0</v>
      </c>
      <c r="J5974" t="n">
        <v>0</v>
      </c>
      <c r="K5974" t="n">
        <v>0</v>
      </c>
      <c r="L5974" t="n">
        <v>0</v>
      </c>
      <c r="M5974" t="n">
        <v>0</v>
      </c>
      <c r="N5974" t="n">
        <v>0</v>
      </c>
      <c r="O5974" t="n">
        <v>0</v>
      </c>
      <c r="P5974" t="n">
        <v>0</v>
      </c>
      <c r="Q5974" t="n">
        <v>0</v>
      </c>
      <c r="R5974" s="2" t="inlineStr"/>
    </row>
    <row r="5975" ht="15" customHeight="1">
      <c r="A5975" t="inlineStr">
        <is>
          <t>A 51109-2023</t>
        </is>
      </c>
      <c r="B5975" s="1" t="n">
        <v>45218.96215277778</v>
      </c>
      <c r="C5975" s="1" t="n">
        <v>46093</v>
      </c>
      <c r="D5975" t="inlineStr">
        <is>
          <t>VÄSTERNORRLANDS LÄN</t>
        </is>
      </c>
      <c r="E5975" t="inlineStr">
        <is>
          <t>SUNDSVALL</t>
        </is>
      </c>
      <c r="F5975" t="inlineStr">
        <is>
          <t>SCA</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47918-2025</t>
        </is>
      </c>
      <c r="B5976" s="1" t="n">
        <v>45932.52326388889</v>
      </c>
      <c r="C5976" s="1" t="n">
        <v>46093</v>
      </c>
      <c r="D5976" t="inlineStr">
        <is>
          <t>VÄSTERNORRLANDS LÄN</t>
        </is>
      </c>
      <c r="E5976" t="inlineStr">
        <is>
          <t>ÖRNSKÖLDSVIK</t>
        </is>
      </c>
      <c r="F5976" t="inlineStr">
        <is>
          <t>Holmen skog AB</t>
        </is>
      </c>
      <c r="G5976" t="n">
        <v>5.6</v>
      </c>
      <c r="H5976" t="n">
        <v>0</v>
      </c>
      <c r="I5976" t="n">
        <v>0</v>
      </c>
      <c r="J5976" t="n">
        <v>0</v>
      </c>
      <c r="K5976" t="n">
        <v>0</v>
      </c>
      <c r="L5976" t="n">
        <v>0</v>
      </c>
      <c r="M5976" t="n">
        <v>0</v>
      </c>
      <c r="N5976" t="n">
        <v>0</v>
      </c>
      <c r="O5976" t="n">
        <v>0</v>
      </c>
      <c r="P5976" t="n">
        <v>0</v>
      </c>
      <c r="Q5976" t="n">
        <v>0</v>
      </c>
      <c r="R5976" s="2" t="inlineStr"/>
    </row>
    <row r="5977" ht="15" customHeight="1">
      <c r="A5977" t="inlineStr">
        <is>
          <t>A 47926-2025</t>
        </is>
      </c>
      <c r="B5977" s="1" t="n">
        <v>45932.54571759259</v>
      </c>
      <c r="C5977" s="1" t="n">
        <v>46093</v>
      </c>
      <c r="D5977" t="inlineStr">
        <is>
          <t>VÄSTERNORRLANDS LÄN</t>
        </is>
      </c>
      <c r="E5977" t="inlineStr">
        <is>
          <t>ÖRNSKÖLDSVIK</t>
        </is>
      </c>
      <c r="F5977" t="inlineStr">
        <is>
          <t>Holmen skog AB</t>
        </is>
      </c>
      <c r="G5977" t="n">
        <v>3.3</v>
      </c>
      <c r="H5977" t="n">
        <v>0</v>
      </c>
      <c r="I5977" t="n">
        <v>0</v>
      </c>
      <c r="J5977" t="n">
        <v>0</v>
      </c>
      <c r="K5977" t="n">
        <v>0</v>
      </c>
      <c r="L5977" t="n">
        <v>0</v>
      </c>
      <c r="M5977" t="n">
        <v>0</v>
      </c>
      <c r="N5977" t="n">
        <v>0</v>
      </c>
      <c r="O5977" t="n">
        <v>0</v>
      </c>
      <c r="P5977" t="n">
        <v>0</v>
      </c>
      <c r="Q5977" t="n">
        <v>0</v>
      </c>
      <c r="R5977" s="2" t="inlineStr"/>
    </row>
    <row r="5978" ht="15" customHeight="1">
      <c r="A5978" t="inlineStr">
        <is>
          <t>A 47947-2025</t>
        </is>
      </c>
      <c r="B5978" s="1" t="n">
        <v>45932.5740625</v>
      </c>
      <c r="C5978" s="1" t="n">
        <v>46093</v>
      </c>
      <c r="D5978" t="inlineStr">
        <is>
          <t>VÄSTERNORRLANDS LÄN</t>
        </is>
      </c>
      <c r="E5978" t="inlineStr">
        <is>
          <t>SOLLEFTEÅ</t>
        </is>
      </c>
      <c r="F5978" t="inlineStr">
        <is>
          <t>SCA</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36805-2025</t>
        </is>
      </c>
      <c r="B5979" s="1" t="n">
        <v>45873.68559027778</v>
      </c>
      <c r="C5979" s="1" t="n">
        <v>46093</v>
      </c>
      <c r="D5979" t="inlineStr">
        <is>
          <t>VÄSTERNORRLANDS LÄN</t>
        </is>
      </c>
      <c r="E5979" t="inlineStr">
        <is>
          <t>KRAMFORS</t>
        </is>
      </c>
      <c r="G5979" t="n">
        <v>0.4</v>
      </c>
      <c r="H5979" t="n">
        <v>0</v>
      </c>
      <c r="I5979" t="n">
        <v>0</v>
      </c>
      <c r="J5979" t="n">
        <v>0</v>
      </c>
      <c r="K5979" t="n">
        <v>0</v>
      </c>
      <c r="L5979" t="n">
        <v>0</v>
      </c>
      <c r="M5979" t="n">
        <v>0</v>
      </c>
      <c r="N5979" t="n">
        <v>0</v>
      </c>
      <c r="O5979" t="n">
        <v>0</v>
      </c>
      <c r="P5979" t="n">
        <v>0</v>
      </c>
      <c r="Q5979" t="n">
        <v>0</v>
      </c>
      <c r="R5979" s="2" t="inlineStr"/>
    </row>
    <row r="5980" ht="15" customHeight="1">
      <c r="A5980" t="inlineStr">
        <is>
          <t>A 36850-2025</t>
        </is>
      </c>
      <c r="B5980" s="1" t="n">
        <v>45874.39098379629</v>
      </c>
      <c r="C5980" s="1" t="n">
        <v>46093</v>
      </c>
      <c r="D5980" t="inlineStr">
        <is>
          <t>VÄSTERNORRLANDS LÄN</t>
        </is>
      </c>
      <c r="E5980" t="inlineStr">
        <is>
          <t>SOLLEFTEÅ</t>
        </is>
      </c>
      <c r="G5980" t="n">
        <v>8.9</v>
      </c>
      <c r="H5980" t="n">
        <v>0</v>
      </c>
      <c r="I5980" t="n">
        <v>0</v>
      </c>
      <c r="J5980" t="n">
        <v>0</v>
      </c>
      <c r="K5980" t="n">
        <v>0</v>
      </c>
      <c r="L5980" t="n">
        <v>0</v>
      </c>
      <c r="M5980" t="n">
        <v>0</v>
      </c>
      <c r="N5980" t="n">
        <v>0</v>
      </c>
      <c r="O5980" t="n">
        <v>0</v>
      </c>
      <c r="P5980" t="n">
        <v>0</v>
      </c>
      <c r="Q5980" t="n">
        <v>0</v>
      </c>
      <c r="R5980" s="2" t="inlineStr"/>
    </row>
    <row r="5981" ht="15" customHeight="1">
      <c r="A5981" t="inlineStr">
        <is>
          <t>A 48052-2025</t>
        </is>
      </c>
      <c r="B5981" s="1" t="n">
        <v>45932.67831018518</v>
      </c>
      <c r="C5981" s="1" t="n">
        <v>46093</v>
      </c>
      <c r="D5981" t="inlineStr">
        <is>
          <t>VÄSTERNORRLANDS LÄN</t>
        </is>
      </c>
      <c r="E5981" t="inlineStr">
        <is>
          <t>SOLLEFTEÅ</t>
        </is>
      </c>
      <c r="F5981" t="inlineStr">
        <is>
          <t>SCA</t>
        </is>
      </c>
      <c r="G5981" t="n">
        <v>4.4</v>
      </c>
      <c r="H5981" t="n">
        <v>0</v>
      </c>
      <c r="I5981" t="n">
        <v>0</v>
      </c>
      <c r="J5981" t="n">
        <v>0</v>
      </c>
      <c r="K5981" t="n">
        <v>0</v>
      </c>
      <c r="L5981" t="n">
        <v>0</v>
      </c>
      <c r="M5981" t="n">
        <v>0</v>
      </c>
      <c r="N5981" t="n">
        <v>0</v>
      </c>
      <c r="O5981" t="n">
        <v>0</v>
      </c>
      <c r="P5981" t="n">
        <v>0</v>
      </c>
      <c r="Q5981" t="n">
        <v>0</v>
      </c>
      <c r="R5981" s="2" t="inlineStr"/>
    </row>
    <row r="5982" ht="15" customHeight="1">
      <c r="A5982" t="inlineStr">
        <is>
          <t>A 47732-2025</t>
        </is>
      </c>
      <c r="B5982" s="1" t="n">
        <v>45931.63561342593</v>
      </c>
      <c r="C5982" s="1" t="n">
        <v>46093</v>
      </c>
      <c r="D5982" t="inlineStr">
        <is>
          <t>VÄSTERNORRLANDS LÄN</t>
        </is>
      </c>
      <c r="E5982" t="inlineStr">
        <is>
          <t>SOLLEFTEÅ</t>
        </is>
      </c>
      <c r="F5982" t="inlineStr">
        <is>
          <t>Holmen skog AB</t>
        </is>
      </c>
      <c r="G5982" t="n">
        <v>4.6</v>
      </c>
      <c r="H5982" t="n">
        <v>0</v>
      </c>
      <c r="I5982" t="n">
        <v>0</v>
      </c>
      <c r="J5982" t="n">
        <v>0</v>
      </c>
      <c r="K5982" t="n">
        <v>0</v>
      </c>
      <c r="L5982" t="n">
        <v>0</v>
      </c>
      <c r="M5982" t="n">
        <v>0</v>
      </c>
      <c r="N5982" t="n">
        <v>0</v>
      </c>
      <c r="O5982" t="n">
        <v>0</v>
      </c>
      <c r="P5982" t="n">
        <v>0</v>
      </c>
      <c r="Q5982" t="n">
        <v>0</v>
      </c>
      <c r="R5982" s="2" t="inlineStr"/>
    </row>
    <row r="5983" ht="15" customHeight="1">
      <c r="A5983" t="inlineStr">
        <is>
          <t>A 58773-2023</t>
        </is>
      </c>
      <c r="B5983" s="1" t="n">
        <v>45251.9671875</v>
      </c>
      <c r="C5983" s="1" t="n">
        <v>46093</v>
      </c>
      <c r="D5983" t="inlineStr">
        <is>
          <t>VÄSTERNORRLANDS LÄN</t>
        </is>
      </c>
      <c r="E5983" t="inlineStr">
        <is>
          <t>SUNDSVALL</t>
        </is>
      </c>
      <c r="F5983" t="inlineStr">
        <is>
          <t>SCA</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41027-2024</t>
        </is>
      </c>
      <c r="B5984" s="1" t="n">
        <v>45559</v>
      </c>
      <c r="C5984" s="1" t="n">
        <v>46093</v>
      </c>
      <c r="D5984" t="inlineStr">
        <is>
          <t>VÄSTERNORRLANDS LÄN</t>
        </is>
      </c>
      <c r="E5984" t="inlineStr">
        <is>
          <t>SUNDSVALL</t>
        </is>
      </c>
      <c r="F5984" t="inlineStr">
        <is>
          <t>SCA</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47641-2025</t>
        </is>
      </c>
      <c r="B5985" s="1" t="n">
        <v>45931.51086805556</v>
      </c>
      <c r="C5985" s="1" t="n">
        <v>46093</v>
      </c>
      <c r="D5985" t="inlineStr">
        <is>
          <t>VÄSTERNORRLANDS LÄN</t>
        </is>
      </c>
      <c r="E5985" t="inlineStr">
        <is>
          <t>SOLLEFTEÅ</t>
        </is>
      </c>
      <c r="F5985" t="inlineStr">
        <is>
          <t>SCA</t>
        </is>
      </c>
      <c r="G5985" t="n">
        <v>3</v>
      </c>
      <c r="H5985" t="n">
        <v>0</v>
      </c>
      <c r="I5985" t="n">
        <v>0</v>
      </c>
      <c r="J5985" t="n">
        <v>0</v>
      </c>
      <c r="K5985" t="n">
        <v>0</v>
      </c>
      <c r="L5985" t="n">
        <v>0</v>
      </c>
      <c r="M5985" t="n">
        <v>0</v>
      </c>
      <c r="N5985" t="n">
        <v>0</v>
      </c>
      <c r="O5985" t="n">
        <v>0</v>
      </c>
      <c r="P5985" t="n">
        <v>0</v>
      </c>
      <c r="Q5985" t="n">
        <v>0</v>
      </c>
      <c r="R5985" s="2" t="inlineStr"/>
    </row>
    <row r="5986" ht="15" customHeight="1">
      <c r="A5986" t="inlineStr">
        <is>
          <t>A 47642-2025</t>
        </is>
      </c>
      <c r="B5986" s="1" t="n">
        <v>45931.51105324074</v>
      </c>
      <c r="C5986" s="1" t="n">
        <v>46093</v>
      </c>
      <c r="D5986" t="inlineStr">
        <is>
          <t>VÄSTERNORRLANDS LÄN</t>
        </is>
      </c>
      <c r="E5986" t="inlineStr">
        <is>
          <t>SOLLEFTEÅ</t>
        </is>
      </c>
      <c r="F5986" t="inlineStr">
        <is>
          <t>SCA</t>
        </is>
      </c>
      <c r="G5986" t="n">
        <v>5.2</v>
      </c>
      <c r="H5986" t="n">
        <v>0</v>
      </c>
      <c r="I5986" t="n">
        <v>0</v>
      </c>
      <c r="J5986" t="n">
        <v>0</v>
      </c>
      <c r="K5986" t="n">
        <v>0</v>
      </c>
      <c r="L5986" t="n">
        <v>0</v>
      </c>
      <c r="M5986" t="n">
        <v>0</v>
      </c>
      <c r="N5986" t="n">
        <v>0</v>
      </c>
      <c r="O5986" t="n">
        <v>0</v>
      </c>
      <c r="P5986" t="n">
        <v>0</v>
      </c>
      <c r="Q5986" t="n">
        <v>0</v>
      </c>
      <c r="R5986" s="2" t="inlineStr"/>
    </row>
    <row r="5987" ht="15" customHeight="1">
      <c r="A5987" t="inlineStr">
        <is>
          <t>A 41041-2024</t>
        </is>
      </c>
      <c r="B5987" s="1" t="n">
        <v>45558</v>
      </c>
      <c r="C5987" s="1" t="n">
        <v>46093</v>
      </c>
      <c r="D5987" t="inlineStr">
        <is>
          <t>VÄSTERNORRLANDS LÄN</t>
        </is>
      </c>
      <c r="E5987" t="inlineStr">
        <is>
          <t>SOLLEFTEÅ</t>
        </is>
      </c>
      <c r="G5987" t="n">
        <v>2.4</v>
      </c>
      <c r="H5987" t="n">
        <v>0</v>
      </c>
      <c r="I5987" t="n">
        <v>0</v>
      </c>
      <c r="J5987" t="n">
        <v>0</v>
      </c>
      <c r="K5987" t="n">
        <v>0</v>
      </c>
      <c r="L5987" t="n">
        <v>0</v>
      </c>
      <c r="M5987" t="n">
        <v>0</v>
      </c>
      <c r="N5987" t="n">
        <v>0</v>
      </c>
      <c r="O5987" t="n">
        <v>0</v>
      </c>
      <c r="P5987" t="n">
        <v>0</v>
      </c>
      <c r="Q5987" t="n">
        <v>0</v>
      </c>
      <c r="R5987" s="2" t="inlineStr"/>
    </row>
    <row r="5988" ht="15" customHeight="1">
      <c r="A5988" t="inlineStr">
        <is>
          <t>A 41042-2024</t>
        </is>
      </c>
      <c r="B5988" s="1" t="n">
        <v>45559.36490740741</v>
      </c>
      <c r="C5988" s="1" t="n">
        <v>46093</v>
      </c>
      <c r="D5988" t="inlineStr">
        <is>
          <t>VÄSTERNORRLANDS LÄN</t>
        </is>
      </c>
      <c r="E5988" t="inlineStr">
        <is>
          <t>SOLLEFTEÅ</t>
        </is>
      </c>
      <c r="F5988" t="inlineStr">
        <is>
          <t>SCA</t>
        </is>
      </c>
      <c r="G5988" t="n">
        <v>3.9</v>
      </c>
      <c r="H5988" t="n">
        <v>0</v>
      </c>
      <c r="I5988" t="n">
        <v>0</v>
      </c>
      <c r="J5988" t="n">
        <v>0</v>
      </c>
      <c r="K5988" t="n">
        <v>0</v>
      </c>
      <c r="L5988" t="n">
        <v>0</v>
      </c>
      <c r="M5988" t="n">
        <v>0</v>
      </c>
      <c r="N5988" t="n">
        <v>0</v>
      </c>
      <c r="O5988" t="n">
        <v>0</v>
      </c>
      <c r="P5988" t="n">
        <v>0</v>
      </c>
      <c r="Q5988" t="n">
        <v>0</v>
      </c>
      <c r="R5988" s="2" t="inlineStr"/>
    </row>
    <row r="5989" ht="15" customHeight="1">
      <c r="A5989" t="inlineStr">
        <is>
          <t>A 60754-2023</t>
        </is>
      </c>
      <c r="B5989" s="1" t="n">
        <v>45260</v>
      </c>
      <c r="C5989" s="1" t="n">
        <v>46093</v>
      </c>
      <c r="D5989" t="inlineStr">
        <is>
          <t>VÄSTERNORRLANDS LÄN</t>
        </is>
      </c>
      <c r="E5989" t="inlineStr">
        <is>
          <t>ÖRNSKÖLDSVIK</t>
        </is>
      </c>
      <c r="G5989" t="n">
        <v>0.1</v>
      </c>
      <c r="H5989" t="n">
        <v>0</v>
      </c>
      <c r="I5989" t="n">
        <v>0</v>
      </c>
      <c r="J5989" t="n">
        <v>0</v>
      </c>
      <c r="K5989" t="n">
        <v>0</v>
      </c>
      <c r="L5989" t="n">
        <v>0</v>
      </c>
      <c r="M5989" t="n">
        <v>0</v>
      </c>
      <c r="N5989" t="n">
        <v>0</v>
      </c>
      <c r="O5989" t="n">
        <v>0</v>
      </c>
      <c r="P5989" t="n">
        <v>0</v>
      </c>
      <c r="Q5989" t="n">
        <v>0</v>
      </c>
      <c r="R5989" s="2" t="inlineStr"/>
    </row>
    <row r="5990" ht="15" customHeight="1">
      <c r="A5990" t="inlineStr">
        <is>
          <t>A 60773-2023</t>
        </is>
      </c>
      <c r="B5990" s="1" t="n">
        <v>45260</v>
      </c>
      <c r="C5990" s="1" t="n">
        <v>46093</v>
      </c>
      <c r="D5990" t="inlineStr">
        <is>
          <t>VÄSTERNORRLANDS LÄN</t>
        </is>
      </c>
      <c r="E5990" t="inlineStr">
        <is>
          <t>ÖRNSKÖLDSVIK</t>
        </is>
      </c>
      <c r="G5990" t="n">
        <v>3.6</v>
      </c>
      <c r="H5990" t="n">
        <v>0</v>
      </c>
      <c r="I5990" t="n">
        <v>0</v>
      </c>
      <c r="J5990" t="n">
        <v>0</v>
      </c>
      <c r="K5990" t="n">
        <v>0</v>
      </c>
      <c r="L5990" t="n">
        <v>0</v>
      </c>
      <c r="M5990" t="n">
        <v>0</v>
      </c>
      <c r="N5990" t="n">
        <v>0</v>
      </c>
      <c r="O5990" t="n">
        <v>0</v>
      </c>
      <c r="P5990" t="n">
        <v>0</v>
      </c>
      <c r="Q5990" t="n">
        <v>0</v>
      </c>
      <c r="R5990" s="2" t="inlineStr"/>
    </row>
    <row r="5991" ht="15" customHeight="1">
      <c r="A5991" t="inlineStr">
        <is>
          <t>A 26674-2022</t>
        </is>
      </c>
      <c r="B5991" s="1" t="n">
        <v>44739</v>
      </c>
      <c r="C5991" s="1" t="n">
        <v>46093</v>
      </c>
      <c r="D5991" t="inlineStr">
        <is>
          <t>VÄSTERNORRLANDS LÄN</t>
        </is>
      </c>
      <c r="E5991" t="inlineStr">
        <is>
          <t>SUNDSVALL</t>
        </is>
      </c>
      <c r="G5991" t="n">
        <v>3.4</v>
      </c>
      <c r="H5991" t="n">
        <v>0</v>
      </c>
      <c r="I5991" t="n">
        <v>0</v>
      </c>
      <c r="J5991" t="n">
        <v>0</v>
      </c>
      <c r="K5991" t="n">
        <v>0</v>
      </c>
      <c r="L5991" t="n">
        <v>0</v>
      </c>
      <c r="M5991" t="n">
        <v>0</v>
      </c>
      <c r="N5991" t="n">
        <v>0</v>
      </c>
      <c r="O5991" t="n">
        <v>0</v>
      </c>
      <c r="P5991" t="n">
        <v>0</v>
      </c>
      <c r="Q5991" t="n">
        <v>0</v>
      </c>
      <c r="R5991" s="2" t="inlineStr"/>
    </row>
    <row r="5992" ht="15" customHeight="1">
      <c r="A5992" t="inlineStr">
        <is>
          <t>A 47521-2025</t>
        </is>
      </c>
      <c r="B5992" s="1" t="n">
        <v>45931.32556712963</v>
      </c>
      <c r="C5992" s="1" t="n">
        <v>46093</v>
      </c>
      <c r="D5992" t="inlineStr">
        <is>
          <t>VÄSTERNORRLANDS LÄN</t>
        </is>
      </c>
      <c r="E5992" t="inlineStr">
        <is>
          <t>KRAMFORS</t>
        </is>
      </c>
      <c r="G5992" t="n">
        <v>6.4</v>
      </c>
      <c r="H5992" t="n">
        <v>0</v>
      </c>
      <c r="I5992" t="n">
        <v>0</v>
      </c>
      <c r="J5992" t="n">
        <v>0</v>
      </c>
      <c r="K5992" t="n">
        <v>0</v>
      </c>
      <c r="L5992" t="n">
        <v>0</v>
      </c>
      <c r="M5992" t="n">
        <v>0</v>
      </c>
      <c r="N5992" t="n">
        <v>0</v>
      </c>
      <c r="O5992" t="n">
        <v>0</v>
      </c>
      <c r="P5992" t="n">
        <v>0</v>
      </c>
      <c r="Q5992" t="n">
        <v>0</v>
      </c>
      <c r="R5992" s="2" t="inlineStr"/>
    </row>
    <row r="5993" ht="15" customHeight="1">
      <c r="A5993" t="inlineStr">
        <is>
          <t>A 39801-2024</t>
        </is>
      </c>
      <c r="B5993" s="1" t="n">
        <v>45553.34439814815</v>
      </c>
      <c r="C5993" s="1" t="n">
        <v>46093</v>
      </c>
      <c r="D5993" t="inlineStr">
        <is>
          <t>VÄSTERNORRLANDS LÄN</t>
        </is>
      </c>
      <c r="E5993" t="inlineStr">
        <is>
          <t>SOLLEFTEÅ</t>
        </is>
      </c>
      <c r="F5993" t="inlineStr">
        <is>
          <t>SCA</t>
        </is>
      </c>
      <c r="G5993" t="n">
        <v>3.3</v>
      </c>
      <c r="H5993" t="n">
        <v>0</v>
      </c>
      <c r="I5993" t="n">
        <v>0</v>
      </c>
      <c r="J5993" t="n">
        <v>0</v>
      </c>
      <c r="K5993" t="n">
        <v>0</v>
      </c>
      <c r="L5993" t="n">
        <v>0</v>
      </c>
      <c r="M5993" t="n">
        <v>0</v>
      </c>
      <c r="N5993" t="n">
        <v>0</v>
      </c>
      <c r="O5993" t="n">
        <v>0</v>
      </c>
      <c r="P5993" t="n">
        <v>0</v>
      </c>
      <c r="Q5993" t="n">
        <v>0</v>
      </c>
      <c r="R5993" s="2" t="inlineStr"/>
    </row>
    <row r="5994" ht="15" customHeight="1">
      <c r="A5994" t="inlineStr">
        <is>
          <t>A 19532-2025</t>
        </is>
      </c>
      <c r="B5994" s="1" t="n">
        <v>45770.47039351852</v>
      </c>
      <c r="C5994" s="1" t="n">
        <v>46093</v>
      </c>
      <c r="D5994" t="inlineStr">
        <is>
          <t>VÄSTERNORRLANDS LÄN</t>
        </is>
      </c>
      <c r="E5994" t="inlineStr">
        <is>
          <t>ÖRNSKÖLDSVIK</t>
        </is>
      </c>
      <c r="F5994" t="inlineStr">
        <is>
          <t>Holmen skog AB</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25543-2024</t>
        </is>
      </c>
      <c r="B5995" s="1" t="n">
        <v>45463.56653935185</v>
      </c>
      <c r="C5995" s="1" t="n">
        <v>46093</v>
      </c>
      <c r="D5995" t="inlineStr">
        <is>
          <t>VÄSTERNORRLANDS LÄN</t>
        </is>
      </c>
      <c r="E5995" t="inlineStr">
        <is>
          <t>ÖRNSKÖLDSVIK</t>
        </is>
      </c>
      <c r="F5995" t="inlineStr">
        <is>
          <t>Holmen skog AB</t>
        </is>
      </c>
      <c r="G5995" t="n">
        <v>6.6</v>
      </c>
      <c r="H5995" t="n">
        <v>0</v>
      </c>
      <c r="I5995" t="n">
        <v>0</v>
      </c>
      <c r="J5995" t="n">
        <v>0</v>
      </c>
      <c r="K5995" t="n">
        <v>0</v>
      </c>
      <c r="L5995" t="n">
        <v>0</v>
      </c>
      <c r="M5995" t="n">
        <v>0</v>
      </c>
      <c r="N5995" t="n">
        <v>0</v>
      </c>
      <c r="O5995" t="n">
        <v>0</v>
      </c>
      <c r="P5995" t="n">
        <v>0</v>
      </c>
      <c r="Q5995" t="n">
        <v>0</v>
      </c>
      <c r="R5995" s="2" t="inlineStr"/>
    </row>
    <row r="5996" ht="15" customHeight="1">
      <c r="A5996" t="inlineStr">
        <is>
          <t>A 45082-2025</t>
        </is>
      </c>
      <c r="B5996" s="1" t="n">
        <v>45919</v>
      </c>
      <c r="C5996" s="1" t="n">
        <v>46093</v>
      </c>
      <c r="D5996" t="inlineStr">
        <is>
          <t>VÄSTERNORRLANDS LÄN</t>
        </is>
      </c>
      <c r="E5996" t="inlineStr">
        <is>
          <t>HÄRNÖSAND</t>
        </is>
      </c>
      <c r="F5996" t="inlineStr">
        <is>
          <t>SCA</t>
        </is>
      </c>
      <c r="G5996" t="n">
        <v>6</v>
      </c>
      <c r="H5996" t="n">
        <v>0</v>
      </c>
      <c r="I5996" t="n">
        <v>0</v>
      </c>
      <c r="J5996" t="n">
        <v>0</v>
      </c>
      <c r="K5996" t="n">
        <v>0</v>
      </c>
      <c r="L5996" t="n">
        <v>0</v>
      </c>
      <c r="M5996" t="n">
        <v>0</v>
      </c>
      <c r="N5996" t="n">
        <v>0</v>
      </c>
      <c r="O5996" t="n">
        <v>0</v>
      </c>
      <c r="P5996" t="n">
        <v>0</v>
      </c>
      <c r="Q5996" t="n">
        <v>0</v>
      </c>
      <c r="R5996" s="2" t="inlineStr"/>
    </row>
    <row r="5997" ht="15" customHeight="1">
      <c r="A5997" t="inlineStr">
        <is>
          <t>A 38623-2022</t>
        </is>
      </c>
      <c r="B5997" s="1" t="n">
        <v>44813</v>
      </c>
      <c r="C5997" s="1" t="n">
        <v>46093</v>
      </c>
      <c r="D5997" t="inlineStr">
        <is>
          <t>VÄSTERNORRLANDS LÄN</t>
        </is>
      </c>
      <c r="E5997" t="inlineStr">
        <is>
          <t>KRAMFORS</t>
        </is>
      </c>
      <c r="G5997" t="n">
        <v>78.7</v>
      </c>
      <c r="H5997" t="n">
        <v>0</v>
      </c>
      <c r="I5997" t="n">
        <v>0</v>
      </c>
      <c r="J5997" t="n">
        <v>0</v>
      </c>
      <c r="K5997" t="n">
        <v>0</v>
      </c>
      <c r="L5997" t="n">
        <v>0</v>
      </c>
      <c r="M5997" t="n">
        <v>0</v>
      </c>
      <c r="N5997" t="n">
        <v>0</v>
      </c>
      <c r="O5997" t="n">
        <v>0</v>
      </c>
      <c r="P5997" t="n">
        <v>0</v>
      </c>
      <c r="Q5997" t="n">
        <v>0</v>
      </c>
      <c r="R5997" s="2" t="inlineStr"/>
    </row>
    <row r="5998" ht="15" customHeight="1">
      <c r="A5998" t="inlineStr">
        <is>
          <t>A 47757-2025</t>
        </is>
      </c>
      <c r="B5998" s="1" t="n">
        <v>45931.66871527778</v>
      </c>
      <c r="C5998" s="1" t="n">
        <v>46093</v>
      </c>
      <c r="D5998" t="inlineStr">
        <is>
          <t>VÄSTERNORRLANDS LÄN</t>
        </is>
      </c>
      <c r="E5998" t="inlineStr">
        <is>
          <t>ÖRNSKÖLDSVIK</t>
        </is>
      </c>
      <c r="F5998" t="inlineStr">
        <is>
          <t>Holmen skog AB</t>
        </is>
      </c>
      <c r="G5998" t="n">
        <v>5.3</v>
      </c>
      <c r="H5998" t="n">
        <v>0</v>
      </c>
      <c r="I5998" t="n">
        <v>0</v>
      </c>
      <c r="J5998" t="n">
        <v>0</v>
      </c>
      <c r="K5998" t="n">
        <v>0</v>
      </c>
      <c r="L5998" t="n">
        <v>0</v>
      </c>
      <c r="M5998" t="n">
        <v>0</v>
      </c>
      <c r="N5998" t="n">
        <v>0</v>
      </c>
      <c r="O5998" t="n">
        <v>0</v>
      </c>
      <c r="P5998" t="n">
        <v>0</v>
      </c>
      <c r="Q5998" t="n">
        <v>0</v>
      </c>
      <c r="R5998" s="2" t="inlineStr"/>
    </row>
    <row r="5999" ht="15" customHeight="1">
      <c r="A5999" t="inlineStr">
        <is>
          <t>A 47570-2025</t>
        </is>
      </c>
      <c r="B5999" s="1" t="n">
        <v>45931.39334490741</v>
      </c>
      <c r="C5999" s="1" t="n">
        <v>46093</v>
      </c>
      <c r="D5999" t="inlineStr">
        <is>
          <t>VÄSTERNORRLANDS LÄN</t>
        </is>
      </c>
      <c r="E5999" t="inlineStr">
        <is>
          <t>ÖRNSKÖLDSVIK</t>
        </is>
      </c>
      <c r="F5999" t="inlineStr">
        <is>
          <t>Holmen skog AB</t>
        </is>
      </c>
      <c r="G5999" t="n">
        <v>0.2</v>
      </c>
      <c r="H5999" t="n">
        <v>0</v>
      </c>
      <c r="I5999" t="n">
        <v>0</v>
      </c>
      <c r="J5999" t="n">
        <v>0</v>
      </c>
      <c r="K5999" t="n">
        <v>0</v>
      </c>
      <c r="L5999" t="n">
        <v>0</v>
      </c>
      <c r="M5999" t="n">
        <v>0</v>
      </c>
      <c r="N5999" t="n">
        <v>0</v>
      </c>
      <c r="O5999" t="n">
        <v>0</v>
      </c>
      <c r="P5999" t="n">
        <v>0</v>
      </c>
      <c r="Q5999" t="n">
        <v>0</v>
      </c>
      <c r="R5999" s="2" t="inlineStr"/>
    </row>
    <row r="6000" ht="15" customHeight="1">
      <c r="A6000" t="inlineStr">
        <is>
          <t>A 55923-2024</t>
        </is>
      </c>
      <c r="B6000" s="1" t="n">
        <v>45623.60091435185</v>
      </c>
      <c r="C6000" s="1" t="n">
        <v>46093</v>
      </c>
      <c r="D6000" t="inlineStr">
        <is>
          <t>VÄSTERNORRLANDS LÄN</t>
        </is>
      </c>
      <c r="E6000" t="inlineStr">
        <is>
          <t>KRAMFORS</t>
        </is>
      </c>
      <c r="G6000" t="n">
        <v>2.3</v>
      </c>
      <c r="H6000" t="n">
        <v>0</v>
      </c>
      <c r="I6000" t="n">
        <v>0</v>
      </c>
      <c r="J6000" t="n">
        <v>0</v>
      </c>
      <c r="K6000" t="n">
        <v>0</v>
      </c>
      <c r="L6000" t="n">
        <v>0</v>
      </c>
      <c r="M6000" t="n">
        <v>0</v>
      </c>
      <c r="N6000" t="n">
        <v>0</v>
      </c>
      <c r="O6000" t="n">
        <v>0</v>
      </c>
      <c r="P6000" t="n">
        <v>0</v>
      </c>
      <c r="Q6000" t="n">
        <v>0</v>
      </c>
      <c r="R6000" s="2" t="inlineStr"/>
    </row>
    <row r="6001" ht="15" customHeight="1">
      <c r="A6001" t="inlineStr">
        <is>
          <t>A 47565-2025</t>
        </is>
      </c>
      <c r="B6001" s="1" t="n">
        <v>45931.39020833333</v>
      </c>
      <c r="C6001" s="1" t="n">
        <v>46093</v>
      </c>
      <c r="D6001" t="inlineStr">
        <is>
          <t>VÄSTERNORRLANDS LÄN</t>
        </is>
      </c>
      <c r="E6001" t="inlineStr">
        <is>
          <t>ÖRNSKÖLDSVIK</t>
        </is>
      </c>
      <c r="F6001" t="inlineStr">
        <is>
          <t>Holmen skog AB</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57305-2023</t>
        </is>
      </c>
      <c r="B6002" s="1" t="n">
        <v>45245.61770833333</v>
      </c>
      <c r="C6002" s="1" t="n">
        <v>46093</v>
      </c>
      <c r="D6002" t="inlineStr">
        <is>
          <t>VÄSTERNORRLANDS LÄN</t>
        </is>
      </c>
      <c r="E6002" t="inlineStr">
        <is>
          <t>ÖRNSKÖLDSVIK</t>
        </is>
      </c>
      <c r="G6002" t="n">
        <v>0.4</v>
      </c>
      <c r="H6002" t="n">
        <v>0</v>
      </c>
      <c r="I6002" t="n">
        <v>0</v>
      </c>
      <c r="J6002" t="n">
        <v>0</v>
      </c>
      <c r="K6002" t="n">
        <v>0</v>
      </c>
      <c r="L6002" t="n">
        <v>0</v>
      </c>
      <c r="M6002" t="n">
        <v>0</v>
      </c>
      <c r="N6002" t="n">
        <v>0</v>
      </c>
      <c r="O6002" t="n">
        <v>0</v>
      </c>
      <c r="P6002" t="n">
        <v>0</v>
      </c>
      <c r="Q6002" t="n">
        <v>0</v>
      </c>
      <c r="R6002" s="2" t="inlineStr"/>
    </row>
    <row r="6003" ht="15" customHeight="1">
      <c r="A6003" t="inlineStr">
        <is>
          <t>A 47647-2025</t>
        </is>
      </c>
      <c r="B6003" s="1" t="n">
        <v>45931.51834490741</v>
      </c>
      <c r="C6003" s="1" t="n">
        <v>46093</v>
      </c>
      <c r="D6003" t="inlineStr">
        <is>
          <t>VÄSTERNORRLANDS LÄN</t>
        </is>
      </c>
      <c r="E6003" t="inlineStr">
        <is>
          <t>SOLLEFTEÅ</t>
        </is>
      </c>
      <c r="F6003" t="inlineStr">
        <is>
          <t>Holmen skog AB</t>
        </is>
      </c>
      <c r="G6003" t="n">
        <v>6</v>
      </c>
      <c r="H6003" t="n">
        <v>0</v>
      </c>
      <c r="I6003" t="n">
        <v>0</v>
      </c>
      <c r="J6003" t="n">
        <v>0</v>
      </c>
      <c r="K6003" t="n">
        <v>0</v>
      </c>
      <c r="L6003" t="n">
        <v>0</v>
      </c>
      <c r="M6003" t="n">
        <v>0</v>
      </c>
      <c r="N6003" t="n">
        <v>0</v>
      </c>
      <c r="O6003" t="n">
        <v>0</v>
      </c>
      <c r="P6003" t="n">
        <v>0</v>
      </c>
      <c r="Q6003" t="n">
        <v>0</v>
      </c>
      <c r="R6003" s="2" t="inlineStr"/>
    </row>
    <row r="6004" ht="15" customHeight="1">
      <c r="A6004" t="inlineStr">
        <is>
          <t>A 46775-2024</t>
        </is>
      </c>
      <c r="B6004" s="1" t="n">
        <v>45583.49711805556</v>
      </c>
      <c r="C6004" s="1" t="n">
        <v>46093</v>
      </c>
      <c r="D6004" t="inlineStr">
        <is>
          <t>VÄSTERNORRLANDS LÄN</t>
        </is>
      </c>
      <c r="E6004" t="inlineStr">
        <is>
          <t>ÅNGE</t>
        </is>
      </c>
      <c r="F6004" t="inlineStr">
        <is>
          <t>SCA</t>
        </is>
      </c>
      <c r="G6004" t="n">
        <v>3.4</v>
      </c>
      <c r="H6004" t="n">
        <v>0</v>
      </c>
      <c r="I6004" t="n">
        <v>0</v>
      </c>
      <c r="J6004" t="n">
        <v>0</v>
      </c>
      <c r="K6004" t="n">
        <v>0</v>
      </c>
      <c r="L6004" t="n">
        <v>0</v>
      </c>
      <c r="M6004" t="n">
        <v>0</v>
      </c>
      <c r="N6004" t="n">
        <v>0</v>
      </c>
      <c r="O6004" t="n">
        <v>0</v>
      </c>
      <c r="P6004" t="n">
        <v>0</v>
      </c>
      <c r="Q6004" t="n">
        <v>0</v>
      </c>
      <c r="R6004" s="2" t="inlineStr"/>
    </row>
    <row r="6005" ht="15" customHeight="1">
      <c r="A6005" t="inlineStr">
        <is>
          <t>A 46780-2024</t>
        </is>
      </c>
      <c r="B6005" s="1" t="n">
        <v>45583.51076388889</v>
      </c>
      <c r="C6005" s="1" t="n">
        <v>46093</v>
      </c>
      <c r="D6005" t="inlineStr">
        <is>
          <t>VÄSTERNORRLANDS LÄN</t>
        </is>
      </c>
      <c r="E6005" t="inlineStr">
        <is>
          <t>ÅNGE</t>
        </is>
      </c>
      <c r="F6005" t="inlineStr">
        <is>
          <t>SCA</t>
        </is>
      </c>
      <c r="G6005" t="n">
        <v>2.3</v>
      </c>
      <c r="H6005" t="n">
        <v>0</v>
      </c>
      <c r="I6005" t="n">
        <v>0</v>
      </c>
      <c r="J6005" t="n">
        <v>0</v>
      </c>
      <c r="K6005" t="n">
        <v>0</v>
      </c>
      <c r="L6005" t="n">
        <v>0</v>
      </c>
      <c r="M6005" t="n">
        <v>0</v>
      </c>
      <c r="N6005" t="n">
        <v>0</v>
      </c>
      <c r="O6005" t="n">
        <v>0</v>
      </c>
      <c r="P6005" t="n">
        <v>0</v>
      </c>
      <c r="Q6005" t="n">
        <v>0</v>
      </c>
      <c r="R6005" s="2" t="inlineStr"/>
    </row>
    <row r="6006" ht="15" customHeight="1">
      <c r="A6006" t="inlineStr">
        <is>
          <t>A 47670-2025</t>
        </is>
      </c>
      <c r="B6006" s="1" t="n">
        <v>45931.57358796296</v>
      </c>
      <c r="C6006" s="1" t="n">
        <v>46093</v>
      </c>
      <c r="D6006" t="inlineStr">
        <is>
          <t>VÄSTERNORRLANDS LÄN</t>
        </is>
      </c>
      <c r="E6006" t="inlineStr">
        <is>
          <t>SUNDSVALL</t>
        </is>
      </c>
      <c r="F6006" t="inlineStr">
        <is>
          <t>SCA</t>
        </is>
      </c>
      <c r="G6006" t="n">
        <v>20.8</v>
      </c>
      <c r="H6006" t="n">
        <v>0</v>
      </c>
      <c r="I6006" t="n">
        <v>0</v>
      </c>
      <c r="J6006" t="n">
        <v>0</v>
      </c>
      <c r="K6006" t="n">
        <v>0</v>
      </c>
      <c r="L6006" t="n">
        <v>0</v>
      </c>
      <c r="M6006" t="n">
        <v>0</v>
      </c>
      <c r="N6006" t="n">
        <v>0</v>
      </c>
      <c r="O6006" t="n">
        <v>0</v>
      </c>
      <c r="P6006" t="n">
        <v>0</v>
      </c>
      <c r="Q6006" t="n">
        <v>0</v>
      </c>
      <c r="R6006" s="2" t="inlineStr"/>
    </row>
    <row r="6007" ht="15" customHeight="1">
      <c r="A6007" t="inlineStr">
        <is>
          <t>A 18880-2024</t>
        </is>
      </c>
      <c r="B6007" s="1" t="n">
        <v>45426</v>
      </c>
      <c r="C6007" s="1" t="n">
        <v>46093</v>
      </c>
      <c r="D6007" t="inlineStr">
        <is>
          <t>VÄSTERNORRLANDS LÄN</t>
        </is>
      </c>
      <c r="E6007" t="inlineStr">
        <is>
          <t>ÅNGE</t>
        </is>
      </c>
      <c r="F6007" t="inlineStr">
        <is>
          <t>SCA</t>
        </is>
      </c>
      <c r="G6007" t="n">
        <v>2.7</v>
      </c>
      <c r="H6007" t="n">
        <v>0</v>
      </c>
      <c r="I6007" t="n">
        <v>0</v>
      </c>
      <c r="J6007" t="n">
        <v>0</v>
      </c>
      <c r="K6007" t="n">
        <v>0</v>
      </c>
      <c r="L6007" t="n">
        <v>0</v>
      </c>
      <c r="M6007" t="n">
        <v>0</v>
      </c>
      <c r="N6007" t="n">
        <v>0</v>
      </c>
      <c r="O6007" t="n">
        <v>0</v>
      </c>
      <c r="P6007" t="n">
        <v>0</v>
      </c>
      <c r="Q6007" t="n">
        <v>0</v>
      </c>
      <c r="R6007" s="2" t="inlineStr"/>
    </row>
    <row r="6008" ht="15" customHeight="1">
      <c r="A6008" t="inlineStr">
        <is>
          <t>A 48037-2025</t>
        </is>
      </c>
      <c r="B6008" s="1" t="n">
        <v>45932.65895833333</v>
      </c>
      <c r="C6008" s="1" t="n">
        <v>46093</v>
      </c>
      <c r="D6008" t="inlineStr">
        <is>
          <t>VÄSTERNORRLANDS LÄN</t>
        </is>
      </c>
      <c r="E6008" t="inlineStr">
        <is>
          <t>ÖRNSKÖLDSVIK</t>
        </is>
      </c>
      <c r="F6008" t="inlineStr">
        <is>
          <t>Holmen skog AB</t>
        </is>
      </c>
      <c r="G6008" t="n">
        <v>4.7</v>
      </c>
      <c r="H6008" t="n">
        <v>0</v>
      </c>
      <c r="I6008" t="n">
        <v>0</v>
      </c>
      <c r="J6008" t="n">
        <v>0</v>
      </c>
      <c r="K6008" t="n">
        <v>0</v>
      </c>
      <c r="L6008" t="n">
        <v>0</v>
      </c>
      <c r="M6008" t="n">
        <v>0</v>
      </c>
      <c r="N6008" t="n">
        <v>0</v>
      </c>
      <c r="O6008" t="n">
        <v>0</v>
      </c>
      <c r="P6008" t="n">
        <v>0</v>
      </c>
      <c r="Q6008" t="n">
        <v>0</v>
      </c>
      <c r="R6008" s="2" t="inlineStr"/>
    </row>
    <row r="6009" ht="15" customHeight="1">
      <c r="A6009" t="inlineStr">
        <is>
          <t>A 47952-2025</t>
        </is>
      </c>
      <c r="B6009" s="1" t="n">
        <v>45932.58497685185</v>
      </c>
      <c r="C6009" s="1" t="n">
        <v>46093</v>
      </c>
      <c r="D6009" t="inlineStr">
        <is>
          <t>VÄSTERNORRLANDS LÄN</t>
        </is>
      </c>
      <c r="E6009" t="inlineStr">
        <is>
          <t>ÖRNSKÖLDSVIK</t>
        </is>
      </c>
      <c r="F6009" t="inlineStr">
        <is>
          <t>Holmen skog AB</t>
        </is>
      </c>
      <c r="G6009" t="n">
        <v>4.6</v>
      </c>
      <c r="H6009" t="n">
        <v>0</v>
      </c>
      <c r="I6009" t="n">
        <v>0</v>
      </c>
      <c r="J6009" t="n">
        <v>0</v>
      </c>
      <c r="K6009" t="n">
        <v>0</v>
      </c>
      <c r="L6009" t="n">
        <v>0</v>
      </c>
      <c r="M6009" t="n">
        <v>0</v>
      </c>
      <c r="N6009" t="n">
        <v>0</v>
      </c>
      <c r="O6009" t="n">
        <v>0</v>
      </c>
      <c r="P6009" t="n">
        <v>0</v>
      </c>
      <c r="Q6009" t="n">
        <v>0</v>
      </c>
      <c r="R6009" s="2" t="inlineStr"/>
    </row>
    <row r="6010" ht="15" customHeight="1">
      <c r="A6010" t="inlineStr">
        <is>
          <t>A 47771-2025</t>
        </is>
      </c>
      <c r="B6010" s="1" t="n">
        <v>45931.719375</v>
      </c>
      <c r="C6010" s="1" t="n">
        <v>46093</v>
      </c>
      <c r="D6010" t="inlineStr">
        <is>
          <t>VÄSTERNORRLANDS LÄN</t>
        </is>
      </c>
      <c r="E6010" t="inlineStr">
        <is>
          <t>SOLLEFTEÅ</t>
        </is>
      </c>
      <c r="F6010" t="inlineStr">
        <is>
          <t>SCA</t>
        </is>
      </c>
      <c r="G6010" t="n">
        <v>23.8</v>
      </c>
      <c r="H6010" t="n">
        <v>0</v>
      </c>
      <c r="I6010" t="n">
        <v>0</v>
      </c>
      <c r="J6010" t="n">
        <v>0</v>
      </c>
      <c r="K6010" t="n">
        <v>0</v>
      </c>
      <c r="L6010" t="n">
        <v>0</v>
      </c>
      <c r="M6010" t="n">
        <v>0</v>
      </c>
      <c r="N6010" t="n">
        <v>0</v>
      </c>
      <c r="O6010" t="n">
        <v>0</v>
      </c>
      <c r="P6010" t="n">
        <v>0</v>
      </c>
      <c r="Q6010" t="n">
        <v>0</v>
      </c>
      <c r="R6010" s="2" t="inlineStr"/>
    </row>
    <row r="6011" ht="15" customHeight="1">
      <c r="A6011" t="inlineStr">
        <is>
          <t>A 36249-2025</t>
        </is>
      </c>
      <c r="B6011" s="1" t="n">
        <v>45867</v>
      </c>
      <c r="C6011" s="1" t="n">
        <v>46093</v>
      </c>
      <c r="D6011" t="inlineStr">
        <is>
          <t>VÄSTERNORRLANDS LÄN</t>
        </is>
      </c>
      <c r="E6011" t="inlineStr">
        <is>
          <t>ÅNGE</t>
        </is>
      </c>
      <c r="F6011" t="inlineStr">
        <is>
          <t>SCA</t>
        </is>
      </c>
      <c r="G6011" t="n">
        <v>5.7</v>
      </c>
      <c r="H6011" t="n">
        <v>0</v>
      </c>
      <c r="I6011" t="n">
        <v>0</v>
      </c>
      <c r="J6011" t="n">
        <v>0</v>
      </c>
      <c r="K6011" t="n">
        <v>0</v>
      </c>
      <c r="L6011" t="n">
        <v>0</v>
      </c>
      <c r="M6011" t="n">
        <v>0</v>
      </c>
      <c r="N6011" t="n">
        <v>0</v>
      </c>
      <c r="O6011" t="n">
        <v>0</v>
      </c>
      <c r="P6011" t="n">
        <v>0</v>
      </c>
      <c r="Q6011" t="n">
        <v>0</v>
      </c>
      <c r="R6011" s="2" t="inlineStr"/>
    </row>
    <row r="6012" ht="15" customHeight="1">
      <c r="A6012" t="inlineStr">
        <is>
          <t>A 26250-2024</t>
        </is>
      </c>
      <c r="B6012" s="1" t="n">
        <v>45468.64174768519</v>
      </c>
      <c r="C6012" s="1" t="n">
        <v>46093</v>
      </c>
      <c r="D6012" t="inlineStr">
        <is>
          <t>VÄSTERNORRLANDS LÄN</t>
        </is>
      </c>
      <c r="E6012" t="inlineStr">
        <is>
          <t>SUNDSVALL</t>
        </is>
      </c>
      <c r="G6012" t="n">
        <v>2.5</v>
      </c>
      <c r="H6012" t="n">
        <v>0</v>
      </c>
      <c r="I6012" t="n">
        <v>0</v>
      </c>
      <c r="J6012" t="n">
        <v>0</v>
      </c>
      <c r="K6012" t="n">
        <v>0</v>
      </c>
      <c r="L6012" t="n">
        <v>0</v>
      </c>
      <c r="M6012" t="n">
        <v>0</v>
      </c>
      <c r="N6012" t="n">
        <v>0</v>
      </c>
      <c r="O6012" t="n">
        <v>0</v>
      </c>
      <c r="P6012" t="n">
        <v>0</v>
      </c>
      <c r="Q6012" t="n">
        <v>0</v>
      </c>
      <c r="R6012" s="2" t="inlineStr"/>
    </row>
    <row r="6013" ht="15" customHeight="1">
      <c r="A6013" t="inlineStr">
        <is>
          <t>A 11263-2025</t>
        </is>
      </c>
      <c r="B6013" s="1" t="n">
        <v>45726</v>
      </c>
      <c r="C6013" s="1" t="n">
        <v>46093</v>
      </c>
      <c r="D6013" t="inlineStr">
        <is>
          <t>VÄSTERNORRLANDS LÄN</t>
        </is>
      </c>
      <c r="E6013" t="inlineStr">
        <is>
          <t>SUNDSVALL</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47843-2025</t>
        </is>
      </c>
      <c r="B6014" s="1" t="n">
        <v>45932.37553240741</v>
      </c>
      <c r="C6014" s="1" t="n">
        <v>46093</v>
      </c>
      <c r="D6014" t="inlineStr">
        <is>
          <t>VÄSTERNORRLANDS LÄN</t>
        </is>
      </c>
      <c r="E6014" t="inlineStr">
        <is>
          <t>ÖRNSKÖLDSVIK</t>
        </is>
      </c>
      <c r="G6014" t="n">
        <v>3.3</v>
      </c>
      <c r="H6014" t="n">
        <v>0</v>
      </c>
      <c r="I6014" t="n">
        <v>0</v>
      </c>
      <c r="J6014" t="n">
        <v>0</v>
      </c>
      <c r="K6014" t="n">
        <v>0</v>
      </c>
      <c r="L6014" t="n">
        <v>0</v>
      </c>
      <c r="M6014" t="n">
        <v>0</v>
      </c>
      <c r="N6014" t="n">
        <v>0</v>
      </c>
      <c r="O6014" t="n">
        <v>0</v>
      </c>
      <c r="P6014" t="n">
        <v>0</v>
      </c>
      <c r="Q6014" t="n">
        <v>0</v>
      </c>
      <c r="R6014" s="2" t="inlineStr"/>
    </row>
    <row r="6015" ht="15" customHeight="1">
      <c r="A6015" t="inlineStr">
        <is>
          <t>A 29956-2023</t>
        </is>
      </c>
      <c r="B6015" s="1" t="n">
        <v>45107</v>
      </c>
      <c r="C6015" s="1" t="n">
        <v>46093</v>
      </c>
      <c r="D6015" t="inlineStr">
        <is>
          <t>VÄSTERNORRLANDS LÄN</t>
        </is>
      </c>
      <c r="E6015" t="inlineStr">
        <is>
          <t>SOLLEFTEÅ</t>
        </is>
      </c>
      <c r="F6015" t="inlineStr">
        <is>
          <t>SCA</t>
        </is>
      </c>
      <c r="G6015" t="n">
        <v>5.7</v>
      </c>
      <c r="H6015" t="n">
        <v>0</v>
      </c>
      <c r="I6015" t="n">
        <v>0</v>
      </c>
      <c r="J6015" t="n">
        <v>0</v>
      </c>
      <c r="K6015" t="n">
        <v>0</v>
      </c>
      <c r="L6015" t="n">
        <v>0</v>
      </c>
      <c r="M6015" t="n">
        <v>0</v>
      </c>
      <c r="N6015" t="n">
        <v>0</v>
      </c>
      <c r="O6015" t="n">
        <v>0</v>
      </c>
      <c r="P6015" t="n">
        <v>0</v>
      </c>
      <c r="Q6015" t="n">
        <v>0</v>
      </c>
      <c r="R6015" s="2" t="inlineStr"/>
    </row>
    <row r="6016" ht="15" customHeight="1">
      <c r="A6016" t="inlineStr">
        <is>
          <t>A 48125-2025</t>
        </is>
      </c>
      <c r="B6016" s="1" t="n">
        <v>45933.36511574074</v>
      </c>
      <c r="C6016" s="1" t="n">
        <v>46093</v>
      </c>
      <c r="D6016" t="inlineStr">
        <is>
          <t>VÄSTERNORRLANDS LÄN</t>
        </is>
      </c>
      <c r="E6016" t="inlineStr">
        <is>
          <t>SOLLEFTEÅ</t>
        </is>
      </c>
      <c r="F6016" t="inlineStr">
        <is>
          <t>SCA</t>
        </is>
      </c>
      <c r="G6016" t="n">
        <v>13.3</v>
      </c>
      <c r="H6016" t="n">
        <v>0</v>
      </c>
      <c r="I6016" t="n">
        <v>0</v>
      </c>
      <c r="J6016" t="n">
        <v>0</v>
      </c>
      <c r="K6016" t="n">
        <v>0</v>
      </c>
      <c r="L6016" t="n">
        <v>0</v>
      </c>
      <c r="M6016" t="n">
        <v>0</v>
      </c>
      <c r="N6016" t="n">
        <v>0</v>
      </c>
      <c r="O6016" t="n">
        <v>0</v>
      </c>
      <c r="P6016" t="n">
        <v>0</v>
      </c>
      <c r="Q6016" t="n">
        <v>0</v>
      </c>
      <c r="R6016" s="2" t="inlineStr"/>
    </row>
    <row r="6017" ht="15" customHeight="1">
      <c r="A6017" t="inlineStr">
        <is>
          <t>A 48328-2025</t>
        </is>
      </c>
      <c r="B6017" s="1" t="n">
        <v>45933.63284722222</v>
      </c>
      <c r="C6017" s="1" t="n">
        <v>46093</v>
      </c>
      <c r="D6017" t="inlineStr">
        <is>
          <t>VÄSTERNORRLANDS LÄN</t>
        </is>
      </c>
      <c r="E6017" t="inlineStr">
        <is>
          <t>ÖRNSKÖLDSVIK</t>
        </is>
      </c>
      <c r="F6017" t="inlineStr">
        <is>
          <t>Holmen skog AB</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48422-2025</t>
        </is>
      </c>
      <c r="B6018" s="1" t="n">
        <v>45934.67761574074</v>
      </c>
      <c r="C6018" s="1" t="n">
        <v>46093</v>
      </c>
      <c r="D6018" t="inlineStr">
        <is>
          <t>VÄSTERNORRLANDS LÄN</t>
        </is>
      </c>
      <c r="E6018" t="inlineStr">
        <is>
          <t>SOLLEFTEÅ</t>
        </is>
      </c>
      <c r="G6018" t="n">
        <v>3.4</v>
      </c>
      <c r="H6018" t="n">
        <v>0</v>
      </c>
      <c r="I6018" t="n">
        <v>0</v>
      </c>
      <c r="J6018" t="n">
        <v>0</v>
      </c>
      <c r="K6018" t="n">
        <v>0</v>
      </c>
      <c r="L6018" t="n">
        <v>0</v>
      </c>
      <c r="M6018" t="n">
        <v>0</v>
      </c>
      <c r="N6018" t="n">
        <v>0</v>
      </c>
      <c r="O6018" t="n">
        <v>0</v>
      </c>
      <c r="P6018" t="n">
        <v>0</v>
      </c>
      <c r="Q6018" t="n">
        <v>0</v>
      </c>
      <c r="R6018" s="2" t="inlineStr"/>
    </row>
    <row r="6019" ht="15" customHeight="1">
      <c r="A6019" t="inlineStr">
        <is>
          <t>A 36968-2025</t>
        </is>
      </c>
      <c r="B6019" s="1" t="n">
        <v>45874.63667824074</v>
      </c>
      <c r="C6019" s="1" t="n">
        <v>46093</v>
      </c>
      <c r="D6019" t="inlineStr">
        <is>
          <t>VÄSTERNORRLANDS LÄN</t>
        </is>
      </c>
      <c r="E6019" t="inlineStr">
        <is>
          <t>SOLLEFTEÅ</t>
        </is>
      </c>
      <c r="G6019" t="n">
        <v>7.1</v>
      </c>
      <c r="H6019" t="n">
        <v>0</v>
      </c>
      <c r="I6019" t="n">
        <v>0</v>
      </c>
      <c r="J6019" t="n">
        <v>0</v>
      </c>
      <c r="K6019" t="n">
        <v>0</v>
      </c>
      <c r="L6019" t="n">
        <v>0</v>
      </c>
      <c r="M6019" t="n">
        <v>0</v>
      </c>
      <c r="N6019" t="n">
        <v>0</v>
      </c>
      <c r="O6019" t="n">
        <v>0</v>
      </c>
      <c r="P6019" t="n">
        <v>0</v>
      </c>
      <c r="Q6019" t="n">
        <v>0</v>
      </c>
      <c r="R6019" s="2" t="inlineStr"/>
    </row>
    <row r="6020" ht="15" customHeight="1">
      <c r="A6020" t="inlineStr">
        <is>
          <t>A 8742-2024</t>
        </is>
      </c>
      <c r="B6020" s="1" t="n">
        <v>45356.48425925926</v>
      </c>
      <c r="C6020" s="1" t="n">
        <v>46093</v>
      </c>
      <c r="D6020" t="inlineStr">
        <is>
          <t>VÄSTERNORRLANDS LÄN</t>
        </is>
      </c>
      <c r="E6020" t="inlineStr">
        <is>
          <t>KRAMFORS</t>
        </is>
      </c>
      <c r="G6020" t="n">
        <v>5.5</v>
      </c>
      <c r="H6020" t="n">
        <v>0</v>
      </c>
      <c r="I6020" t="n">
        <v>0</v>
      </c>
      <c r="J6020" t="n">
        <v>0</v>
      </c>
      <c r="K6020" t="n">
        <v>0</v>
      </c>
      <c r="L6020" t="n">
        <v>0</v>
      </c>
      <c r="M6020" t="n">
        <v>0</v>
      </c>
      <c r="N6020" t="n">
        <v>0</v>
      </c>
      <c r="O6020" t="n">
        <v>0</v>
      </c>
      <c r="P6020" t="n">
        <v>0</v>
      </c>
      <c r="Q6020" t="n">
        <v>0</v>
      </c>
      <c r="R6020" s="2" t="inlineStr"/>
    </row>
    <row r="6021" ht="15" customHeight="1">
      <c r="A6021" t="inlineStr">
        <is>
          <t>A 40598-2023</t>
        </is>
      </c>
      <c r="B6021" s="1" t="n">
        <v>45170</v>
      </c>
      <c r="C6021" s="1" t="n">
        <v>46093</v>
      </c>
      <c r="D6021" t="inlineStr">
        <is>
          <t>VÄSTERNORRLANDS LÄN</t>
        </is>
      </c>
      <c r="E6021" t="inlineStr">
        <is>
          <t>ÖRNSKÖLDSVIK</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39799-2024</t>
        </is>
      </c>
      <c r="B6022" s="1" t="n">
        <v>45553.34415509259</v>
      </c>
      <c r="C6022" s="1" t="n">
        <v>46093</v>
      </c>
      <c r="D6022" t="inlineStr">
        <is>
          <t>VÄSTERNORRLANDS LÄN</t>
        </is>
      </c>
      <c r="E6022" t="inlineStr">
        <is>
          <t>SOLLEFTEÅ</t>
        </is>
      </c>
      <c r="F6022" t="inlineStr">
        <is>
          <t>SCA</t>
        </is>
      </c>
      <c r="G6022" t="n">
        <v>3.1</v>
      </c>
      <c r="H6022" t="n">
        <v>0</v>
      </c>
      <c r="I6022" t="n">
        <v>0</v>
      </c>
      <c r="J6022" t="n">
        <v>0</v>
      </c>
      <c r="K6022" t="n">
        <v>0</v>
      </c>
      <c r="L6022" t="n">
        <v>0</v>
      </c>
      <c r="M6022" t="n">
        <v>0</v>
      </c>
      <c r="N6022" t="n">
        <v>0</v>
      </c>
      <c r="O6022" t="n">
        <v>0</v>
      </c>
      <c r="P6022" t="n">
        <v>0</v>
      </c>
      <c r="Q6022" t="n">
        <v>0</v>
      </c>
      <c r="R6022" s="2" t="inlineStr"/>
    </row>
    <row r="6023" ht="15" customHeight="1">
      <c r="A6023" t="inlineStr">
        <is>
          <t>A 36989-2025</t>
        </is>
      </c>
      <c r="B6023" s="1" t="n">
        <v>45874.65864583333</v>
      </c>
      <c r="C6023" s="1" t="n">
        <v>46093</v>
      </c>
      <c r="D6023" t="inlineStr">
        <is>
          <t>VÄSTERNORRLANDS LÄN</t>
        </is>
      </c>
      <c r="E6023" t="inlineStr">
        <is>
          <t>HÄRNÖSAND</t>
        </is>
      </c>
      <c r="G6023" t="n">
        <v>2.1</v>
      </c>
      <c r="H6023" t="n">
        <v>0</v>
      </c>
      <c r="I6023" t="n">
        <v>0</v>
      </c>
      <c r="J6023" t="n">
        <v>0</v>
      </c>
      <c r="K6023" t="n">
        <v>0</v>
      </c>
      <c r="L6023" t="n">
        <v>0</v>
      </c>
      <c r="M6023" t="n">
        <v>0</v>
      </c>
      <c r="N6023" t="n">
        <v>0</v>
      </c>
      <c r="O6023" t="n">
        <v>0</v>
      </c>
      <c r="P6023" t="n">
        <v>0</v>
      </c>
      <c r="Q6023" t="n">
        <v>0</v>
      </c>
      <c r="R6023" s="2" t="inlineStr"/>
    </row>
    <row r="6024" ht="15" customHeight="1">
      <c r="A6024" t="inlineStr">
        <is>
          <t>A 36991-2025</t>
        </is>
      </c>
      <c r="B6024" s="1" t="n">
        <v>45874.66869212963</v>
      </c>
      <c r="C6024" s="1" t="n">
        <v>46093</v>
      </c>
      <c r="D6024" t="inlineStr">
        <is>
          <t>VÄSTERNORRLANDS LÄN</t>
        </is>
      </c>
      <c r="E6024" t="inlineStr">
        <is>
          <t>HÄRNÖSAND</t>
        </is>
      </c>
      <c r="G6024" t="n">
        <v>3.9</v>
      </c>
      <c r="H6024" t="n">
        <v>0</v>
      </c>
      <c r="I6024" t="n">
        <v>0</v>
      </c>
      <c r="J6024" t="n">
        <v>0</v>
      </c>
      <c r="K6024" t="n">
        <v>0</v>
      </c>
      <c r="L6024" t="n">
        <v>0</v>
      </c>
      <c r="M6024" t="n">
        <v>0</v>
      </c>
      <c r="N6024" t="n">
        <v>0</v>
      </c>
      <c r="O6024" t="n">
        <v>0</v>
      </c>
      <c r="P6024" t="n">
        <v>0</v>
      </c>
      <c r="Q6024" t="n">
        <v>0</v>
      </c>
      <c r="R6024" s="2" t="inlineStr"/>
    </row>
    <row r="6025" ht="15" customHeight="1">
      <c r="A6025" t="inlineStr">
        <is>
          <t>A 36993-2025</t>
        </is>
      </c>
      <c r="B6025" s="1" t="n">
        <v>45874.6715625</v>
      </c>
      <c r="C6025" s="1" t="n">
        <v>46093</v>
      </c>
      <c r="D6025" t="inlineStr">
        <is>
          <t>VÄSTERNORRLANDS LÄN</t>
        </is>
      </c>
      <c r="E6025" t="inlineStr">
        <is>
          <t>HÄRNÖSAND</t>
        </is>
      </c>
      <c r="G6025" t="n">
        <v>0.4</v>
      </c>
      <c r="H6025" t="n">
        <v>0</v>
      </c>
      <c r="I6025" t="n">
        <v>0</v>
      </c>
      <c r="J6025" t="n">
        <v>0</v>
      </c>
      <c r="K6025" t="n">
        <v>0</v>
      </c>
      <c r="L6025" t="n">
        <v>0</v>
      </c>
      <c r="M6025" t="n">
        <v>0</v>
      </c>
      <c r="N6025" t="n">
        <v>0</v>
      </c>
      <c r="O6025" t="n">
        <v>0</v>
      </c>
      <c r="P6025" t="n">
        <v>0</v>
      </c>
      <c r="Q6025" t="n">
        <v>0</v>
      </c>
      <c r="R6025" s="2" t="inlineStr"/>
    </row>
    <row r="6026" ht="15" customHeight="1">
      <c r="A6026" t="inlineStr">
        <is>
          <t>A 48473-2025</t>
        </is>
      </c>
      <c r="B6026" s="1" t="n">
        <v>45936.34555555556</v>
      </c>
      <c r="C6026" s="1" t="n">
        <v>46093</v>
      </c>
      <c r="D6026" t="inlineStr">
        <is>
          <t>VÄSTERNORRLANDS LÄN</t>
        </is>
      </c>
      <c r="E6026" t="inlineStr">
        <is>
          <t>ÖRNSKÖLDSVIK</t>
        </is>
      </c>
      <c r="F6026" t="inlineStr">
        <is>
          <t>SCA</t>
        </is>
      </c>
      <c r="G6026" t="n">
        <v>8</v>
      </c>
      <c r="H6026" t="n">
        <v>0</v>
      </c>
      <c r="I6026" t="n">
        <v>0</v>
      </c>
      <c r="J6026" t="n">
        <v>0</v>
      </c>
      <c r="K6026" t="n">
        <v>0</v>
      </c>
      <c r="L6026" t="n">
        <v>0</v>
      </c>
      <c r="M6026" t="n">
        <v>0</v>
      </c>
      <c r="N6026" t="n">
        <v>0</v>
      </c>
      <c r="O6026" t="n">
        <v>0</v>
      </c>
      <c r="P6026" t="n">
        <v>0</v>
      </c>
      <c r="Q6026" t="n">
        <v>0</v>
      </c>
      <c r="R6026" s="2" t="inlineStr"/>
    </row>
    <row r="6027" ht="15" customHeight="1">
      <c r="A6027" t="inlineStr">
        <is>
          <t>A 9967-2025</t>
        </is>
      </c>
      <c r="B6027" s="1" t="n">
        <v>45719.37890046297</v>
      </c>
      <c r="C6027" s="1" t="n">
        <v>46093</v>
      </c>
      <c r="D6027" t="inlineStr">
        <is>
          <t>VÄSTERNORRLANDS LÄN</t>
        </is>
      </c>
      <c r="E6027" t="inlineStr">
        <is>
          <t>SOLLEFTEÅ</t>
        </is>
      </c>
      <c r="G6027" t="n">
        <v>3</v>
      </c>
      <c r="H6027" t="n">
        <v>0</v>
      </c>
      <c r="I6027" t="n">
        <v>0</v>
      </c>
      <c r="J6027" t="n">
        <v>0</v>
      </c>
      <c r="K6027" t="n">
        <v>0</v>
      </c>
      <c r="L6027" t="n">
        <v>0</v>
      </c>
      <c r="M6027" t="n">
        <v>0</v>
      </c>
      <c r="N6027" t="n">
        <v>0</v>
      </c>
      <c r="O6027" t="n">
        <v>0</v>
      </c>
      <c r="P6027" t="n">
        <v>0</v>
      </c>
      <c r="Q6027" t="n">
        <v>0</v>
      </c>
      <c r="R6027" s="2" t="inlineStr"/>
    </row>
    <row r="6028" ht="15" customHeight="1">
      <c r="A6028" t="inlineStr">
        <is>
          <t>A 55558-2024</t>
        </is>
      </c>
      <c r="B6028" s="1" t="n">
        <v>45622.52586805556</v>
      </c>
      <c r="C6028" s="1" t="n">
        <v>46093</v>
      </c>
      <c r="D6028" t="inlineStr">
        <is>
          <t>VÄSTERNORRLANDS LÄN</t>
        </is>
      </c>
      <c r="E6028" t="inlineStr">
        <is>
          <t>ÅNGE</t>
        </is>
      </c>
      <c r="F6028" t="inlineStr">
        <is>
          <t>Holmen skog AB</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17211-2022</t>
        </is>
      </c>
      <c r="B6029" s="1" t="n">
        <v>44677</v>
      </c>
      <c r="C6029" s="1" t="n">
        <v>46093</v>
      </c>
      <c r="D6029" t="inlineStr">
        <is>
          <t>VÄSTERNORRLANDS LÄN</t>
        </is>
      </c>
      <c r="E6029" t="inlineStr">
        <is>
          <t>SUNDSVALL</t>
        </is>
      </c>
      <c r="G6029" t="n">
        <v>5.4</v>
      </c>
      <c r="H6029" t="n">
        <v>0</v>
      </c>
      <c r="I6029" t="n">
        <v>0</v>
      </c>
      <c r="J6029" t="n">
        <v>0</v>
      </c>
      <c r="K6029" t="n">
        <v>0</v>
      </c>
      <c r="L6029" t="n">
        <v>0</v>
      </c>
      <c r="M6029" t="n">
        <v>0</v>
      </c>
      <c r="N6029" t="n">
        <v>0</v>
      </c>
      <c r="O6029" t="n">
        <v>0</v>
      </c>
      <c r="P6029" t="n">
        <v>0</v>
      </c>
      <c r="Q6029" t="n">
        <v>0</v>
      </c>
      <c r="R6029" s="2" t="inlineStr"/>
    </row>
    <row r="6030" ht="15" customHeight="1">
      <c r="A6030" t="inlineStr">
        <is>
          <t>A 55576-2024</t>
        </is>
      </c>
      <c r="B6030" s="1" t="n">
        <v>45622</v>
      </c>
      <c r="C6030" s="1" t="n">
        <v>46093</v>
      </c>
      <c r="D6030" t="inlineStr">
        <is>
          <t>VÄSTERNORRLANDS LÄN</t>
        </is>
      </c>
      <c r="E6030" t="inlineStr">
        <is>
          <t>TIMRÅ</t>
        </is>
      </c>
      <c r="G6030" t="n">
        <v>5.1</v>
      </c>
      <c r="H6030" t="n">
        <v>0</v>
      </c>
      <c r="I6030" t="n">
        <v>0</v>
      </c>
      <c r="J6030" t="n">
        <v>0</v>
      </c>
      <c r="K6030" t="n">
        <v>0</v>
      </c>
      <c r="L6030" t="n">
        <v>0</v>
      </c>
      <c r="M6030" t="n">
        <v>0</v>
      </c>
      <c r="N6030" t="n">
        <v>0</v>
      </c>
      <c r="O6030" t="n">
        <v>0</v>
      </c>
      <c r="P6030" t="n">
        <v>0</v>
      </c>
      <c r="Q6030" t="n">
        <v>0</v>
      </c>
      <c r="R6030" s="2" t="inlineStr"/>
    </row>
    <row r="6031" ht="15" customHeight="1">
      <c r="A6031" t="inlineStr">
        <is>
          <t>A 17219-2022</t>
        </is>
      </c>
      <c r="B6031" s="1" t="n">
        <v>44677</v>
      </c>
      <c r="C6031" s="1" t="n">
        <v>46093</v>
      </c>
      <c r="D6031" t="inlineStr">
        <is>
          <t>VÄSTERNORRLANDS LÄN</t>
        </is>
      </c>
      <c r="E6031" t="inlineStr">
        <is>
          <t>ÖRNSKÖLDSVIK</t>
        </is>
      </c>
      <c r="F6031" t="inlineStr">
        <is>
          <t>SCA</t>
        </is>
      </c>
      <c r="G6031" t="n">
        <v>8.6</v>
      </c>
      <c r="H6031" t="n">
        <v>0</v>
      </c>
      <c r="I6031" t="n">
        <v>0</v>
      </c>
      <c r="J6031" t="n">
        <v>0</v>
      </c>
      <c r="K6031" t="n">
        <v>0</v>
      </c>
      <c r="L6031" t="n">
        <v>0</v>
      </c>
      <c r="M6031" t="n">
        <v>0</v>
      </c>
      <c r="N6031" t="n">
        <v>0</v>
      </c>
      <c r="O6031" t="n">
        <v>0</v>
      </c>
      <c r="P6031" t="n">
        <v>0</v>
      </c>
      <c r="Q6031" t="n">
        <v>0</v>
      </c>
      <c r="R6031" s="2" t="inlineStr"/>
    </row>
    <row r="6032" ht="15" customHeight="1">
      <c r="A6032" t="inlineStr">
        <is>
          <t>A 4123-2023</t>
        </is>
      </c>
      <c r="B6032" s="1" t="n">
        <v>44952</v>
      </c>
      <c r="C6032" s="1" t="n">
        <v>46093</v>
      </c>
      <c r="D6032" t="inlineStr">
        <is>
          <t>VÄSTERNORRLANDS LÄN</t>
        </is>
      </c>
      <c r="E6032" t="inlineStr">
        <is>
          <t>TIMRÅ</t>
        </is>
      </c>
      <c r="G6032" t="n">
        <v>9.5</v>
      </c>
      <c r="H6032" t="n">
        <v>0</v>
      </c>
      <c r="I6032" t="n">
        <v>0</v>
      </c>
      <c r="J6032" t="n">
        <v>0</v>
      </c>
      <c r="K6032" t="n">
        <v>0</v>
      </c>
      <c r="L6032" t="n">
        <v>0</v>
      </c>
      <c r="M6032" t="n">
        <v>0</v>
      </c>
      <c r="N6032" t="n">
        <v>0</v>
      </c>
      <c r="O6032" t="n">
        <v>0</v>
      </c>
      <c r="P6032" t="n">
        <v>0</v>
      </c>
      <c r="Q6032" t="n">
        <v>0</v>
      </c>
      <c r="R6032" s="2" t="inlineStr"/>
    </row>
    <row r="6033" ht="15" customHeight="1">
      <c r="A6033" t="inlineStr">
        <is>
          <t>A 1825-2025</t>
        </is>
      </c>
      <c r="B6033" s="1" t="n">
        <v>45671.53853009259</v>
      </c>
      <c r="C6033" s="1" t="n">
        <v>46093</v>
      </c>
      <c r="D6033" t="inlineStr">
        <is>
          <t>VÄSTERNORRLANDS LÄN</t>
        </is>
      </c>
      <c r="E6033" t="inlineStr">
        <is>
          <t>TIMRÅ</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4125-2023</t>
        </is>
      </c>
      <c r="B6034" s="1" t="n">
        <v>44952</v>
      </c>
      <c r="C6034" s="1" t="n">
        <v>46093</v>
      </c>
      <c r="D6034" t="inlineStr">
        <is>
          <t>VÄSTERNORRLANDS LÄN</t>
        </is>
      </c>
      <c r="E6034" t="inlineStr">
        <is>
          <t>TIMRÅ</t>
        </is>
      </c>
      <c r="G6034" t="n">
        <v>2.3</v>
      </c>
      <c r="H6034" t="n">
        <v>0</v>
      </c>
      <c r="I6034" t="n">
        <v>0</v>
      </c>
      <c r="J6034" t="n">
        <v>0</v>
      </c>
      <c r="K6034" t="n">
        <v>0</v>
      </c>
      <c r="L6034" t="n">
        <v>0</v>
      </c>
      <c r="M6034" t="n">
        <v>0</v>
      </c>
      <c r="N6034" t="n">
        <v>0</v>
      </c>
      <c r="O6034" t="n">
        <v>0</v>
      </c>
      <c r="P6034" t="n">
        <v>0</v>
      </c>
      <c r="Q6034" t="n">
        <v>0</v>
      </c>
      <c r="R6034" s="2" t="inlineStr"/>
    </row>
    <row r="6035" ht="15" customHeight="1">
      <c r="A6035" t="inlineStr">
        <is>
          <t>A 31346-2024</t>
        </is>
      </c>
      <c r="B6035" s="1" t="n">
        <v>45504.92356481482</v>
      </c>
      <c r="C6035" s="1" t="n">
        <v>46093</v>
      </c>
      <c r="D6035" t="inlineStr">
        <is>
          <t>VÄSTERNORRLANDS LÄN</t>
        </is>
      </c>
      <c r="E6035" t="inlineStr">
        <is>
          <t>ÖRNSKÖLDSVIK</t>
        </is>
      </c>
      <c r="F6035" t="inlineStr">
        <is>
          <t>Holmen skog AB</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37009-2025</t>
        </is>
      </c>
      <c r="B6036" s="1" t="n">
        <v>45874.70120370371</v>
      </c>
      <c r="C6036" s="1" t="n">
        <v>46093</v>
      </c>
      <c r="D6036" t="inlineStr">
        <is>
          <t>VÄSTERNORRLANDS LÄN</t>
        </is>
      </c>
      <c r="E6036" t="inlineStr">
        <is>
          <t>SUNDSVALL</t>
        </is>
      </c>
      <c r="G6036" t="n">
        <v>2.2</v>
      </c>
      <c r="H6036" t="n">
        <v>0</v>
      </c>
      <c r="I6036" t="n">
        <v>0</v>
      </c>
      <c r="J6036" t="n">
        <v>0</v>
      </c>
      <c r="K6036" t="n">
        <v>0</v>
      </c>
      <c r="L6036" t="n">
        <v>0</v>
      </c>
      <c r="M6036" t="n">
        <v>0</v>
      </c>
      <c r="N6036" t="n">
        <v>0</v>
      </c>
      <c r="O6036" t="n">
        <v>0</v>
      </c>
      <c r="P6036" t="n">
        <v>0</v>
      </c>
      <c r="Q6036" t="n">
        <v>0</v>
      </c>
      <c r="R6036" s="2" t="inlineStr"/>
    </row>
    <row r="6037" ht="15" customHeight="1">
      <c r="A6037" t="inlineStr">
        <is>
          <t>A 4484-2024</t>
        </is>
      </c>
      <c r="B6037" s="1" t="n">
        <v>45327</v>
      </c>
      <c r="C6037" s="1" t="n">
        <v>46093</v>
      </c>
      <c r="D6037" t="inlineStr">
        <is>
          <t>VÄSTERNORRLANDS LÄN</t>
        </is>
      </c>
      <c r="E6037" t="inlineStr">
        <is>
          <t>KRAMFORS</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50044-2023</t>
        </is>
      </c>
      <c r="B6038" s="1" t="n">
        <v>45215.49438657407</v>
      </c>
      <c r="C6038" s="1" t="n">
        <v>46093</v>
      </c>
      <c r="D6038" t="inlineStr">
        <is>
          <t>VÄSTERNORRLANDS LÄN</t>
        </is>
      </c>
      <c r="E6038" t="inlineStr">
        <is>
          <t>ÖRNSKÖLDSVIK</t>
        </is>
      </c>
      <c r="F6038" t="inlineStr">
        <is>
          <t>Holmen skog AB</t>
        </is>
      </c>
      <c r="G6038" t="n">
        <v>8.1</v>
      </c>
      <c r="H6038" t="n">
        <v>0</v>
      </c>
      <c r="I6038" t="n">
        <v>0</v>
      </c>
      <c r="J6038" t="n">
        <v>0</v>
      </c>
      <c r="K6038" t="n">
        <v>0</v>
      </c>
      <c r="L6038" t="n">
        <v>0</v>
      </c>
      <c r="M6038" t="n">
        <v>0</v>
      </c>
      <c r="N6038" t="n">
        <v>0</v>
      </c>
      <c r="O6038" t="n">
        <v>0</v>
      </c>
      <c r="P6038" t="n">
        <v>0</v>
      </c>
      <c r="Q6038" t="n">
        <v>0</v>
      </c>
      <c r="R6038" s="2" t="inlineStr"/>
    </row>
    <row r="6039" ht="15" customHeight="1">
      <c r="A6039" t="inlineStr">
        <is>
          <t>A 48132-2025</t>
        </is>
      </c>
      <c r="B6039" s="1" t="n">
        <v>45933.36881944445</v>
      </c>
      <c r="C6039" s="1" t="n">
        <v>46093</v>
      </c>
      <c r="D6039" t="inlineStr">
        <is>
          <t>VÄSTERNORRLANDS LÄN</t>
        </is>
      </c>
      <c r="E6039" t="inlineStr">
        <is>
          <t>KRAMFORS</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4575-2024</t>
        </is>
      </c>
      <c r="B6040" s="1" t="n">
        <v>45327</v>
      </c>
      <c r="C6040" s="1" t="n">
        <v>46093</v>
      </c>
      <c r="D6040" t="inlineStr">
        <is>
          <t>VÄSTERNORRLANDS LÄN</t>
        </is>
      </c>
      <c r="E6040" t="inlineStr">
        <is>
          <t>ÖRNSKÖLDSVIK</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42115-2024</t>
        </is>
      </c>
      <c r="B6041" s="1" t="n">
        <v>45562.38615740741</v>
      </c>
      <c r="C6041" s="1" t="n">
        <v>46093</v>
      </c>
      <c r="D6041" t="inlineStr">
        <is>
          <t>VÄSTERNORRLANDS LÄN</t>
        </is>
      </c>
      <c r="E6041" t="inlineStr">
        <is>
          <t>SOLLEFTEÅ</t>
        </is>
      </c>
      <c r="G6041" t="n">
        <v>2.4</v>
      </c>
      <c r="H6041" t="n">
        <v>0</v>
      </c>
      <c r="I6041" t="n">
        <v>0</v>
      </c>
      <c r="J6041" t="n">
        <v>0</v>
      </c>
      <c r="K6041" t="n">
        <v>0</v>
      </c>
      <c r="L6041" t="n">
        <v>0</v>
      </c>
      <c r="M6041" t="n">
        <v>0</v>
      </c>
      <c r="N6041" t="n">
        <v>0</v>
      </c>
      <c r="O6041" t="n">
        <v>0</v>
      </c>
      <c r="P6041" t="n">
        <v>0</v>
      </c>
      <c r="Q6041" t="n">
        <v>0</v>
      </c>
      <c r="R6041" s="2" t="inlineStr"/>
    </row>
    <row r="6042" ht="15" customHeight="1">
      <c r="A6042" t="inlineStr">
        <is>
          <t>A 20097-2022</t>
        </is>
      </c>
      <c r="B6042" s="1" t="n">
        <v>44698.32898148148</v>
      </c>
      <c r="C6042" s="1" t="n">
        <v>46093</v>
      </c>
      <c r="D6042" t="inlineStr">
        <is>
          <t>VÄSTERNORRLANDS LÄN</t>
        </is>
      </c>
      <c r="E6042" t="inlineStr">
        <is>
          <t>ÖRNSKÖLDSVIK</t>
        </is>
      </c>
      <c r="G6042" t="n">
        <v>2.9</v>
      </c>
      <c r="H6042" t="n">
        <v>0</v>
      </c>
      <c r="I6042" t="n">
        <v>0</v>
      </c>
      <c r="J6042" t="n">
        <v>0</v>
      </c>
      <c r="K6042" t="n">
        <v>0</v>
      </c>
      <c r="L6042" t="n">
        <v>0</v>
      </c>
      <c r="M6042" t="n">
        <v>0</v>
      </c>
      <c r="N6042" t="n">
        <v>0</v>
      </c>
      <c r="O6042" t="n">
        <v>0</v>
      </c>
      <c r="P6042" t="n">
        <v>0</v>
      </c>
      <c r="Q6042" t="n">
        <v>0</v>
      </c>
      <c r="R6042" s="2" t="inlineStr"/>
    </row>
    <row r="6043" ht="15" customHeight="1">
      <c r="A6043" t="inlineStr">
        <is>
          <t>A 59155-2023</t>
        </is>
      </c>
      <c r="B6043" s="1" t="n">
        <v>45251</v>
      </c>
      <c r="C6043" s="1" t="n">
        <v>46093</v>
      </c>
      <c r="D6043" t="inlineStr">
        <is>
          <t>VÄSTERNORRLANDS LÄN</t>
        </is>
      </c>
      <c r="E6043" t="inlineStr">
        <is>
          <t>HÄRNÖSAND</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48336-2025</t>
        </is>
      </c>
      <c r="B6044" s="1" t="n">
        <v>45933</v>
      </c>
      <c r="C6044" s="1" t="n">
        <v>46093</v>
      </c>
      <c r="D6044" t="inlineStr">
        <is>
          <t>VÄSTERNORRLANDS LÄN</t>
        </is>
      </c>
      <c r="E6044" t="inlineStr">
        <is>
          <t>SUNDSVALL</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15050-2023</t>
        </is>
      </c>
      <c r="B6045" s="1" t="n">
        <v>45015.67113425926</v>
      </c>
      <c r="C6045" s="1" t="n">
        <v>46093</v>
      </c>
      <c r="D6045" t="inlineStr">
        <is>
          <t>VÄSTERNORRLANDS LÄN</t>
        </is>
      </c>
      <c r="E6045" t="inlineStr">
        <is>
          <t>ÖRNSKÖLDSVIK</t>
        </is>
      </c>
      <c r="G6045" t="n">
        <v>6.5</v>
      </c>
      <c r="H6045" t="n">
        <v>0</v>
      </c>
      <c r="I6045" t="n">
        <v>0</v>
      </c>
      <c r="J6045" t="n">
        <v>0</v>
      </c>
      <c r="K6045" t="n">
        <v>0</v>
      </c>
      <c r="L6045" t="n">
        <v>0</v>
      </c>
      <c r="M6045" t="n">
        <v>0</v>
      </c>
      <c r="N6045" t="n">
        <v>0</v>
      </c>
      <c r="O6045" t="n">
        <v>0</v>
      </c>
      <c r="P6045" t="n">
        <v>0</v>
      </c>
      <c r="Q6045" t="n">
        <v>0</v>
      </c>
      <c r="R6045" s="2" t="inlineStr"/>
    </row>
    <row r="6046" ht="15" customHeight="1">
      <c r="A6046" t="inlineStr">
        <is>
          <t>A 48351-2025</t>
        </is>
      </c>
      <c r="B6046" s="1" t="n">
        <v>45933.65725694445</v>
      </c>
      <c r="C6046" s="1" t="n">
        <v>46093</v>
      </c>
      <c r="D6046" t="inlineStr">
        <is>
          <t>VÄSTERNORRLANDS LÄN</t>
        </is>
      </c>
      <c r="E6046" t="inlineStr">
        <is>
          <t>SOLLEFTEÅ</t>
        </is>
      </c>
      <c r="F6046" t="inlineStr">
        <is>
          <t>SCA</t>
        </is>
      </c>
      <c r="G6046" t="n">
        <v>5.6</v>
      </c>
      <c r="H6046" t="n">
        <v>0</v>
      </c>
      <c r="I6046" t="n">
        <v>0</v>
      </c>
      <c r="J6046" t="n">
        <v>0</v>
      </c>
      <c r="K6046" t="n">
        <v>0</v>
      </c>
      <c r="L6046" t="n">
        <v>0</v>
      </c>
      <c r="M6046" t="n">
        <v>0</v>
      </c>
      <c r="N6046" t="n">
        <v>0</v>
      </c>
      <c r="O6046" t="n">
        <v>0</v>
      </c>
      <c r="P6046" t="n">
        <v>0</v>
      </c>
      <c r="Q6046" t="n">
        <v>0</v>
      </c>
      <c r="R6046" s="2" t="inlineStr"/>
    </row>
    <row r="6047" ht="15" customHeight="1">
      <c r="A6047" t="inlineStr">
        <is>
          <t>A 4635-2024</t>
        </is>
      </c>
      <c r="B6047" s="1" t="n">
        <v>45328</v>
      </c>
      <c r="C6047" s="1" t="n">
        <v>46093</v>
      </c>
      <c r="D6047" t="inlineStr">
        <is>
          <t>VÄSTERNORRLANDS LÄN</t>
        </is>
      </c>
      <c r="E6047" t="inlineStr">
        <is>
          <t>SUNDSVALL</t>
        </is>
      </c>
      <c r="G6047" t="n">
        <v>8.699999999999999</v>
      </c>
      <c r="H6047" t="n">
        <v>0</v>
      </c>
      <c r="I6047" t="n">
        <v>0</v>
      </c>
      <c r="J6047" t="n">
        <v>0</v>
      </c>
      <c r="K6047" t="n">
        <v>0</v>
      </c>
      <c r="L6047" t="n">
        <v>0</v>
      </c>
      <c r="M6047" t="n">
        <v>0</v>
      </c>
      <c r="N6047" t="n">
        <v>0</v>
      </c>
      <c r="O6047" t="n">
        <v>0</v>
      </c>
      <c r="P6047" t="n">
        <v>0</v>
      </c>
      <c r="Q6047" t="n">
        <v>0</v>
      </c>
      <c r="R6047" s="2" t="inlineStr"/>
    </row>
    <row r="6048" ht="15" customHeight="1">
      <c r="A6048" t="inlineStr">
        <is>
          <t>A 20229-2022</t>
        </is>
      </c>
      <c r="B6048" s="1" t="n">
        <v>44698.61150462963</v>
      </c>
      <c r="C6048" s="1" t="n">
        <v>46093</v>
      </c>
      <c r="D6048" t="inlineStr">
        <is>
          <t>VÄSTERNORRLANDS LÄN</t>
        </is>
      </c>
      <c r="E6048" t="inlineStr">
        <is>
          <t>ÅNGE</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48210-2025</t>
        </is>
      </c>
      <c r="B6049" s="1" t="n">
        <v>45933.49079861111</v>
      </c>
      <c r="C6049" s="1" t="n">
        <v>46093</v>
      </c>
      <c r="D6049" t="inlineStr">
        <is>
          <t>VÄSTERNORRLANDS LÄN</t>
        </is>
      </c>
      <c r="E6049" t="inlineStr">
        <is>
          <t>ÖRNSKÖLDSVIK</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48234-2025</t>
        </is>
      </c>
      <c r="B6050" s="1" t="n">
        <v>45933.53211805555</v>
      </c>
      <c r="C6050" s="1" t="n">
        <v>46093</v>
      </c>
      <c r="D6050" t="inlineStr">
        <is>
          <t>VÄSTERNORRLANDS LÄN</t>
        </is>
      </c>
      <c r="E6050" t="inlineStr">
        <is>
          <t>ÅNGE</t>
        </is>
      </c>
      <c r="F6050" t="inlineStr">
        <is>
          <t>SCA</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48235-2025</t>
        </is>
      </c>
      <c r="B6051" s="1" t="n">
        <v>45933.5321412037</v>
      </c>
      <c r="C6051" s="1" t="n">
        <v>46093</v>
      </c>
      <c r="D6051" t="inlineStr">
        <is>
          <t>VÄSTERNORRLANDS LÄN</t>
        </is>
      </c>
      <c r="E6051" t="inlineStr">
        <is>
          <t>ÅNGE</t>
        </is>
      </c>
      <c r="G6051" t="n">
        <v>3.1</v>
      </c>
      <c r="H6051" t="n">
        <v>0</v>
      </c>
      <c r="I6051" t="n">
        <v>0</v>
      </c>
      <c r="J6051" t="n">
        <v>0</v>
      </c>
      <c r="K6051" t="n">
        <v>0</v>
      </c>
      <c r="L6051" t="n">
        <v>0</v>
      </c>
      <c r="M6051" t="n">
        <v>0</v>
      </c>
      <c r="N6051" t="n">
        <v>0</v>
      </c>
      <c r="O6051" t="n">
        <v>0</v>
      </c>
      <c r="P6051" t="n">
        <v>0</v>
      </c>
      <c r="Q6051" t="n">
        <v>0</v>
      </c>
      <c r="R6051" s="2" t="inlineStr"/>
    </row>
    <row r="6052" ht="15" customHeight="1">
      <c r="A6052" t="inlineStr">
        <is>
          <t>A 35248-2022</t>
        </is>
      </c>
      <c r="B6052" s="1" t="n">
        <v>44798.33049768519</v>
      </c>
      <c r="C6052" s="1" t="n">
        <v>46093</v>
      </c>
      <c r="D6052" t="inlineStr">
        <is>
          <t>VÄSTERNORRLANDS LÄN</t>
        </is>
      </c>
      <c r="E6052" t="inlineStr">
        <is>
          <t>ÖRNSKÖLDSVIK</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2408-2023</t>
        </is>
      </c>
      <c r="B6053" s="1" t="n">
        <v>44942</v>
      </c>
      <c r="C6053" s="1" t="n">
        <v>46093</v>
      </c>
      <c r="D6053" t="inlineStr">
        <is>
          <t>VÄSTERNORRLANDS LÄN</t>
        </is>
      </c>
      <c r="E6053" t="inlineStr">
        <is>
          <t>SOLLEFTEÅ</t>
        </is>
      </c>
      <c r="F6053" t="inlineStr">
        <is>
          <t>SCA</t>
        </is>
      </c>
      <c r="G6053" t="n">
        <v>3.3</v>
      </c>
      <c r="H6053" t="n">
        <v>0</v>
      </c>
      <c r="I6053" t="n">
        <v>0</v>
      </c>
      <c r="J6053" t="n">
        <v>0</v>
      </c>
      <c r="K6053" t="n">
        <v>0</v>
      </c>
      <c r="L6053" t="n">
        <v>0</v>
      </c>
      <c r="M6053" t="n">
        <v>0</v>
      </c>
      <c r="N6053" t="n">
        <v>0</v>
      </c>
      <c r="O6053" t="n">
        <v>0</v>
      </c>
      <c r="P6053" t="n">
        <v>0</v>
      </c>
      <c r="Q6053" t="n">
        <v>0</v>
      </c>
      <c r="R6053" s="2" t="inlineStr"/>
    </row>
    <row r="6054" ht="15" customHeight="1">
      <c r="A6054" t="inlineStr">
        <is>
          <t>A 9829-2024</t>
        </is>
      </c>
      <c r="B6054" s="1" t="n">
        <v>45363.0468287037</v>
      </c>
      <c r="C6054" s="1" t="n">
        <v>46093</v>
      </c>
      <c r="D6054" t="inlineStr">
        <is>
          <t>VÄSTERNORRLANDS LÄN</t>
        </is>
      </c>
      <c r="E6054" t="inlineStr">
        <is>
          <t>KRAMFORS</t>
        </is>
      </c>
      <c r="F6054" t="inlineStr">
        <is>
          <t>SCA</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24996-2024</t>
        </is>
      </c>
      <c r="B6055" s="1" t="n">
        <v>45461.7502662037</v>
      </c>
      <c r="C6055" s="1" t="n">
        <v>46093</v>
      </c>
      <c r="D6055" t="inlineStr">
        <is>
          <t>VÄSTERNORRLANDS LÄN</t>
        </is>
      </c>
      <c r="E6055" t="inlineStr">
        <is>
          <t>ÖRNSKÖLDSVIK</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25024-2024</t>
        </is>
      </c>
      <c r="B6056" s="1" t="n">
        <v>45461</v>
      </c>
      <c r="C6056" s="1" t="n">
        <v>46093</v>
      </c>
      <c r="D6056" t="inlineStr">
        <is>
          <t>VÄSTERNORRLANDS LÄN</t>
        </is>
      </c>
      <c r="E6056" t="inlineStr">
        <is>
          <t>SUNDSVALL</t>
        </is>
      </c>
      <c r="F6056" t="inlineStr">
        <is>
          <t>SCA</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25032-2024</t>
        </is>
      </c>
      <c r="B6057" s="1" t="n">
        <v>45461.96425925926</v>
      </c>
      <c r="C6057" s="1" t="n">
        <v>46093</v>
      </c>
      <c r="D6057" t="inlineStr">
        <is>
          <t>VÄSTERNORRLANDS LÄN</t>
        </is>
      </c>
      <c r="E6057" t="inlineStr">
        <is>
          <t>KRAMFORS</t>
        </is>
      </c>
      <c r="F6057" t="inlineStr">
        <is>
          <t>SCA</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41091-2024</t>
        </is>
      </c>
      <c r="B6058" s="1" t="n">
        <v>45559.42767361111</v>
      </c>
      <c r="C6058" s="1" t="n">
        <v>46093</v>
      </c>
      <c r="D6058" t="inlineStr">
        <is>
          <t>VÄSTERNORRLANDS LÄN</t>
        </is>
      </c>
      <c r="E6058" t="inlineStr">
        <is>
          <t>SUNDSVALL</t>
        </is>
      </c>
      <c r="F6058" t="inlineStr">
        <is>
          <t>SCA</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41102-2024</t>
        </is>
      </c>
      <c r="B6059" s="1" t="n">
        <v>45559.44012731482</v>
      </c>
      <c r="C6059" s="1" t="n">
        <v>46093</v>
      </c>
      <c r="D6059" t="inlineStr">
        <is>
          <t>VÄSTERNORRLANDS LÄN</t>
        </is>
      </c>
      <c r="E6059" t="inlineStr">
        <is>
          <t>ÖRNSKÖLDSVIK</t>
        </is>
      </c>
      <c r="G6059" t="n">
        <v>5.3</v>
      </c>
      <c r="H6059" t="n">
        <v>0</v>
      </c>
      <c r="I6059" t="n">
        <v>0</v>
      </c>
      <c r="J6059" t="n">
        <v>0</v>
      </c>
      <c r="K6059" t="n">
        <v>0</v>
      </c>
      <c r="L6059" t="n">
        <v>0</v>
      </c>
      <c r="M6059" t="n">
        <v>0</v>
      </c>
      <c r="N6059" t="n">
        <v>0</v>
      </c>
      <c r="O6059" t="n">
        <v>0</v>
      </c>
      <c r="P6059" t="n">
        <v>0</v>
      </c>
      <c r="Q6059" t="n">
        <v>0</v>
      </c>
      <c r="R6059" s="2" t="inlineStr"/>
    </row>
    <row r="6060" ht="15" customHeight="1">
      <c r="A6060" t="inlineStr">
        <is>
          <t>A 48713-2025</t>
        </is>
      </c>
      <c r="B6060" s="1" t="n">
        <v>45936.63592592593</v>
      </c>
      <c r="C6060" s="1" t="n">
        <v>46093</v>
      </c>
      <c r="D6060" t="inlineStr">
        <is>
          <t>VÄSTERNORRLANDS LÄN</t>
        </is>
      </c>
      <c r="E6060" t="inlineStr">
        <is>
          <t>SOLLEFTEÅ</t>
        </is>
      </c>
      <c r="F6060" t="inlineStr">
        <is>
          <t>SCA</t>
        </is>
      </c>
      <c r="G6060" t="n">
        <v>24.2</v>
      </c>
      <c r="H6060" t="n">
        <v>0</v>
      </c>
      <c r="I6060" t="n">
        <v>0</v>
      </c>
      <c r="J6060" t="n">
        <v>0</v>
      </c>
      <c r="K6060" t="n">
        <v>0</v>
      </c>
      <c r="L6060" t="n">
        <v>0</v>
      </c>
      <c r="M6060" t="n">
        <v>0</v>
      </c>
      <c r="N6060" t="n">
        <v>0</v>
      </c>
      <c r="O6060" t="n">
        <v>0</v>
      </c>
      <c r="P6060" t="n">
        <v>0</v>
      </c>
      <c r="Q6060" t="n">
        <v>0</v>
      </c>
      <c r="R6060" s="2" t="inlineStr"/>
    </row>
    <row r="6061" ht="15" customHeight="1">
      <c r="A6061" t="inlineStr">
        <is>
          <t>A 48322-2025</t>
        </is>
      </c>
      <c r="B6061" s="1" t="n">
        <v>45933.62678240741</v>
      </c>
      <c r="C6061" s="1" t="n">
        <v>46093</v>
      </c>
      <c r="D6061" t="inlineStr">
        <is>
          <t>VÄSTERNORRLANDS LÄN</t>
        </is>
      </c>
      <c r="E6061" t="inlineStr">
        <is>
          <t>ÖRNSKÖLDSVIK</t>
        </is>
      </c>
      <c r="F6061" t="inlineStr">
        <is>
          <t>Holmen skog AB</t>
        </is>
      </c>
      <c r="G6061" t="n">
        <v>5.8</v>
      </c>
      <c r="H6061" t="n">
        <v>0</v>
      </c>
      <c r="I6061" t="n">
        <v>0</v>
      </c>
      <c r="J6061" t="n">
        <v>0</v>
      </c>
      <c r="K6061" t="n">
        <v>0</v>
      </c>
      <c r="L6061" t="n">
        <v>0</v>
      </c>
      <c r="M6061" t="n">
        <v>0</v>
      </c>
      <c r="N6061" t="n">
        <v>0</v>
      </c>
      <c r="O6061" t="n">
        <v>0</v>
      </c>
      <c r="P6061" t="n">
        <v>0</v>
      </c>
      <c r="Q6061" t="n">
        <v>0</v>
      </c>
      <c r="R6061" s="2" t="inlineStr"/>
    </row>
    <row r="6062" ht="15" customHeight="1">
      <c r="A6062" t="inlineStr">
        <is>
          <t>A 48340-2025</t>
        </is>
      </c>
      <c r="B6062" s="1" t="n">
        <v>45933.64240740741</v>
      </c>
      <c r="C6062" s="1" t="n">
        <v>46093</v>
      </c>
      <c r="D6062" t="inlineStr">
        <is>
          <t>VÄSTERNORRLANDS LÄN</t>
        </is>
      </c>
      <c r="E6062" t="inlineStr">
        <is>
          <t>SOLLEFTEÅ</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20550-2025</t>
        </is>
      </c>
      <c r="B6063" s="1" t="n">
        <v>45775.6360300926</v>
      </c>
      <c r="C6063" s="1" t="n">
        <v>46093</v>
      </c>
      <c r="D6063" t="inlineStr">
        <is>
          <t>VÄSTERNORRLANDS LÄN</t>
        </is>
      </c>
      <c r="E6063" t="inlineStr">
        <is>
          <t>SOLLEFTEÅ</t>
        </is>
      </c>
      <c r="F6063" t="inlineStr">
        <is>
          <t>SCA</t>
        </is>
      </c>
      <c r="G6063" t="n">
        <v>6.9</v>
      </c>
      <c r="H6063" t="n">
        <v>0</v>
      </c>
      <c r="I6063" t="n">
        <v>0</v>
      </c>
      <c r="J6063" t="n">
        <v>0</v>
      </c>
      <c r="K6063" t="n">
        <v>0</v>
      </c>
      <c r="L6063" t="n">
        <v>0</v>
      </c>
      <c r="M6063" t="n">
        <v>0</v>
      </c>
      <c r="N6063" t="n">
        <v>0</v>
      </c>
      <c r="O6063" t="n">
        <v>0</v>
      </c>
      <c r="P6063" t="n">
        <v>0</v>
      </c>
      <c r="Q6063" t="n">
        <v>0</v>
      </c>
      <c r="R6063" s="2" t="inlineStr"/>
    </row>
    <row r="6064" ht="15" customHeight="1">
      <c r="A6064" t="inlineStr">
        <is>
          <t>A 51717-2024</t>
        </is>
      </c>
      <c r="B6064" s="1" t="n">
        <v>45607.37754629629</v>
      </c>
      <c r="C6064" s="1" t="n">
        <v>46093</v>
      </c>
      <c r="D6064" t="inlineStr">
        <is>
          <t>VÄSTERNORRLANDS LÄN</t>
        </is>
      </c>
      <c r="E6064" t="inlineStr">
        <is>
          <t>ÖRNSKÖLDSVIK</t>
        </is>
      </c>
      <c r="F6064" t="inlineStr">
        <is>
          <t>Holmen skog AB</t>
        </is>
      </c>
      <c r="G6064" t="n">
        <v>6</v>
      </c>
      <c r="H6064" t="n">
        <v>0</v>
      </c>
      <c r="I6064" t="n">
        <v>0</v>
      </c>
      <c r="J6064" t="n">
        <v>0</v>
      </c>
      <c r="K6064" t="n">
        <v>0</v>
      </c>
      <c r="L6064" t="n">
        <v>0</v>
      </c>
      <c r="M6064" t="n">
        <v>0</v>
      </c>
      <c r="N6064" t="n">
        <v>0</v>
      </c>
      <c r="O6064" t="n">
        <v>0</v>
      </c>
      <c r="P6064" t="n">
        <v>0</v>
      </c>
      <c r="Q6064" t="n">
        <v>0</v>
      </c>
      <c r="R6064" s="2" t="inlineStr"/>
    </row>
    <row r="6065" ht="15" customHeight="1">
      <c r="A6065" t="inlineStr">
        <is>
          <t>A 48350-2025</t>
        </is>
      </c>
      <c r="B6065" s="1" t="n">
        <v>45933.65699074074</v>
      </c>
      <c r="C6065" s="1" t="n">
        <v>46093</v>
      </c>
      <c r="D6065" t="inlineStr">
        <is>
          <t>VÄSTERNORRLANDS LÄN</t>
        </is>
      </c>
      <c r="E6065" t="inlineStr">
        <is>
          <t>SUNDSVALL</t>
        </is>
      </c>
      <c r="F6065" t="inlineStr">
        <is>
          <t>SCA</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39317-2024</t>
        </is>
      </c>
      <c r="B6066" s="1" t="n">
        <v>45551.40878472223</v>
      </c>
      <c r="C6066" s="1" t="n">
        <v>46093</v>
      </c>
      <c r="D6066" t="inlineStr">
        <is>
          <t>VÄSTERNORRLANDS LÄN</t>
        </is>
      </c>
      <c r="E6066" t="inlineStr">
        <is>
          <t>ÖRNSKÖLDSVIK</t>
        </is>
      </c>
      <c r="F6066" t="inlineStr">
        <is>
          <t>Holmen skog AB</t>
        </is>
      </c>
      <c r="G6066" t="n">
        <v>7.4</v>
      </c>
      <c r="H6066" t="n">
        <v>0</v>
      </c>
      <c r="I6066" t="n">
        <v>0</v>
      </c>
      <c r="J6066" t="n">
        <v>0</v>
      </c>
      <c r="K6066" t="n">
        <v>0</v>
      </c>
      <c r="L6066" t="n">
        <v>0</v>
      </c>
      <c r="M6066" t="n">
        <v>0</v>
      </c>
      <c r="N6066" t="n">
        <v>0</v>
      </c>
      <c r="O6066" t="n">
        <v>0</v>
      </c>
      <c r="P6066" t="n">
        <v>0</v>
      </c>
      <c r="Q6066" t="n">
        <v>0</v>
      </c>
      <c r="R6066" s="2" t="inlineStr"/>
    </row>
    <row r="6067" ht="15" customHeight="1">
      <c r="A6067" t="inlineStr">
        <is>
          <t>A 48442-2025</t>
        </is>
      </c>
      <c r="B6067" s="1" t="n">
        <v>45935.53334490741</v>
      </c>
      <c r="C6067" s="1" t="n">
        <v>46093</v>
      </c>
      <c r="D6067" t="inlineStr">
        <is>
          <t>VÄSTERNORRLANDS LÄN</t>
        </is>
      </c>
      <c r="E6067" t="inlineStr">
        <is>
          <t>SUNDSVALL</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48740-2025</t>
        </is>
      </c>
      <c r="B6068" s="1" t="n">
        <v>45936.67753472222</v>
      </c>
      <c r="C6068" s="1" t="n">
        <v>46093</v>
      </c>
      <c r="D6068" t="inlineStr">
        <is>
          <t>VÄSTERNORRLANDS LÄN</t>
        </is>
      </c>
      <c r="E6068" t="inlineStr">
        <is>
          <t>ÖRNSKÖLDSVIK</t>
        </is>
      </c>
      <c r="F6068" t="inlineStr">
        <is>
          <t>SCA</t>
        </is>
      </c>
      <c r="G6068" t="n">
        <v>7.6</v>
      </c>
      <c r="H6068" t="n">
        <v>0</v>
      </c>
      <c r="I6068" t="n">
        <v>0</v>
      </c>
      <c r="J6068" t="n">
        <v>0</v>
      </c>
      <c r="K6068" t="n">
        <v>0</v>
      </c>
      <c r="L6068" t="n">
        <v>0</v>
      </c>
      <c r="M6068" t="n">
        <v>0</v>
      </c>
      <c r="N6068" t="n">
        <v>0</v>
      </c>
      <c r="O6068" t="n">
        <v>0</v>
      </c>
      <c r="P6068" t="n">
        <v>0</v>
      </c>
      <c r="Q6068" t="n">
        <v>0</v>
      </c>
      <c r="R6068" s="2" t="inlineStr"/>
    </row>
    <row r="6069" ht="15" customHeight="1">
      <c r="A6069" t="inlineStr">
        <is>
          <t>A 21637-2023</t>
        </is>
      </c>
      <c r="B6069" s="1" t="n">
        <v>45063</v>
      </c>
      <c r="C6069" s="1" t="n">
        <v>46093</v>
      </c>
      <c r="D6069" t="inlineStr">
        <is>
          <t>VÄSTERNORRLANDS LÄN</t>
        </is>
      </c>
      <c r="E6069" t="inlineStr">
        <is>
          <t>SUNDSVALL</t>
        </is>
      </c>
      <c r="G6069" t="n">
        <v>3</v>
      </c>
      <c r="H6069" t="n">
        <v>0</v>
      </c>
      <c r="I6069" t="n">
        <v>0</v>
      </c>
      <c r="J6069" t="n">
        <v>0</v>
      </c>
      <c r="K6069" t="n">
        <v>0</v>
      </c>
      <c r="L6069" t="n">
        <v>0</v>
      </c>
      <c r="M6069" t="n">
        <v>0</v>
      </c>
      <c r="N6069" t="n">
        <v>0</v>
      </c>
      <c r="O6069" t="n">
        <v>0</v>
      </c>
      <c r="P6069" t="n">
        <v>0</v>
      </c>
      <c r="Q6069" t="n">
        <v>0</v>
      </c>
      <c r="R6069" s="2" t="inlineStr"/>
    </row>
    <row r="6070" ht="15" customHeight="1">
      <c r="A6070" t="inlineStr">
        <is>
          <t>A 19145-2025</t>
        </is>
      </c>
      <c r="B6070" s="1" t="n">
        <v>45769.34452546296</v>
      </c>
      <c r="C6070" s="1" t="n">
        <v>46093</v>
      </c>
      <c r="D6070" t="inlineStr">
        <is>
          <t>VÄSTERNORRLANDS LÄN</t>
        </is>
      </c>
      <c r="E6070" t="inlineStr">
        <is>
          <t>SOLLEFTEÅ</t>
        </is>
      </c>
      <c r="F6070" t="inlineStr">
        <is>
          <t>SCA</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14027-2025</t>
        </is>
      </c>
      <c r="B6071" s="1" t="n">
        <v>45740.35100694445</v>
      </c>
      <c r="C6071" s="1" t="n">
        <v>46093</v>
      </c>
      <c r="D6071" t="inlineStr">
        <is>
          <t>VÄSTERNORRLANDS LÄN</t>
        </is>
      </c>
      <c r="E6071" t="inlineStr">
        <is>
          <t>ÖRNSKÖLDSVIK</t>
        </is>
      </c>
      <c r="G6071" t="n">
        <v>27.3</v>
      </c>
      <c r="H6071" t="n">
        <v>0</v>
      </c>
      <c r="I6071" t="n">
        <v>0</v>
      </c>
      <c r="J6071" t="n">
        <v>0</v>
      </c>
      <c r="K6071" t="n">
        <v>0</v>
      </c>
      <c r="L6071" t="n">
        <v>0</v>
      </c>
      <c r="M6071" t="n">
        <v>0</v>
      </c>
      <c r="N6071" t="n">
        <v>0</v>
      </c>
      <c r="O6071" t="n">
        <v>0</v>
      </c>
      <c r="P6071" t="n">
        <v>0</v>
      </c>
      <c r="Q6071" t="n">
        <v>0</v>
      </c>
      <c r="R6071" s="2" t="inlineStr"/>
    </row>
    <row r="6072" ht="15" customHeight="1">
      <c r="A6072" t="inlineStr">
        <is>
          <t>A 48603-2025</t>
        </is>
      </c>
      <c r="B6072" s="1" t="n">
        <v>45936.46928240741</v>
      </c>
      <c r="C6072" s="1" t="n">
        <v>46093</v>
      </c>
      <c r="D6072" t="inlineStr">
        <is>
          <t>VÄSTERNORRLANDS LÄN</t>
        </is>
      </c>
      <c r="E6072" t="inlineStr">
        <is>
          <t>SOLLEFTEÅ</t>
        </is>
      </c>
      <c r="F6072" t="inlineStr">
        <is>
          <t>SCA</t>
        </is>
      </c>
      <c r="G6072" t="n">
        <v>25.6</v>
      </c>
      <c r="H6072" t="n">
        <v>0</v>
      </c>
      <c r="I6072" t="n">
        <v>0</v>
      </c>
      <c r="J6072" t="n">
        <v>0</v>
      </c>
      <c r="K6072" t="n">
        <v>0</v>
      </c>
      <c r="L6072" t="n">
        <v>0</v>
      </c>
      <c r="M6072" t="n">
        <v>0</v>
      </c>
      <c r="N6072" t="n">
        <v>0</v>
      </c>
      <c r="O6072" t="n">
        <v>0</v>
      </c>
      <c r="P6072" t="n">
        <v>0</v>
      </c>
      <c r="Q6072" t="n">
        <v>0</v>
      </c>
      <c r="R6072" s="2" t="inlineStr"/>
    </row>
    <row r="6073" ht="15" customHeight="1">
      <c r="A6073" t="inlineStr">
        <is>
          <t>A 29671-2023</t>
        </is>
      </c>
      <c r="B6073" s="1" t="n">
        <v>45107</v>
      </c>
      <c r="C6073" s="1" t="n">
        <v>46093</v>
      </c>
      <c r="D6073" t="inlineStr">
        <is>
          <t>VÄSTERNORRLANDS LÄN</t>
        </is>
      </c>
      <c r="E6073" t="inlineStr">
        <is>
          <t>ÖRNSKÖLDSVIK</t>
        </is>
      </c>
      <c r="G6073" t="n">
        <v>7.9</v>
      </c>
      <c r="H6073" t="n">
        <v>0</v>
      </c>
      <c r="I6073" t="n">
        <v>0</v>
      </c>
      <c r="J6073" t="n">
        <v>0</v>
      </c>
      <c r="K6073" t="n">
        <v>0</v>
      </c>
      <c r="L6073" t="n">
        <v>0</v>
      </c>
      <c r="M6073" t="n">
        <v>0</v>
      </c>
      <c r="N6073" t="n">
        <v>0</v>
      </c>
      <c r="O6073" t="n">
        <v>0</v>
      </c>
      <c r="P6073" t="n">
        <v>0</v>
      </c>
      <c r="Q6073" t="n">
        <v>0</v>
      </c>
      <c r="R6073" s="2" t="inlineStr"/>
    </row>
    <row r="6074" ht="15" customHeight="1">
      <c r="A6074" t="inlineStr">
        <is>
          <t>A 19184-2025</t>
        </is>
      </c>
      <c r="B6074" s="1" t="n">
        <v>45769</v>
      </c>
      <c r="C6074" s="1" t="n">
        <v>46093</v>
      </c>
      <c r="D6074" t="inlineStr">
        <is>
          <t>VÄSTERNORRLANDS LÄN</t>
        </is>
      </c>
      <c r="E6074" t="inlineStr">
        <is>
          <t>SUNDSVALL</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48402-2025</t>
        </is>
      </c>
      <c r="B6075" s="1" t="n">
        <v>45934.34449074074</v>
      </c>
      <c r="C6075" s="1" t="n">
        <v>46093</v>
      </c>
      <c r="D6075" t="inlineStr">
        <is>
          <t>VÄSTERNORRLANDS LÄN</t>
        </is>
      </c>
      <c r="E6075" t="inlineStr">
        <is>
          <t>SUNDSVALL</t>
        </is>
      </c>
      <c r="F6075" t="inlineStr">
        <is>
          <t>SCA</t>
        </is>
      </c>
      <c r="G6075" t="n">
        <v>15.2</v>
      </c>
      <c r="H6075" t="n">
        <v>0</v>
      </c>
      <c r="I6075" t="n">
        <v>0</v>
      </c>
      <c r="J6075" t="n">
        <v>0</v>
      </c>
      <c r="K6075" t="n">
        <v>0</v>
      </c>
      <c r="L6075" t="n">
        <v>0</v>
      </c>
      <c r="M6075" t="n">
        <v>0</v>
      </c>
      <c r="N6075" t="n">
        <v>0</v>
      </c>
      <c r="O6075" t="n">
        <v>0</v>
      </c>
      <c r="P6075" t="n">
        <v>0</v>
      </c>
      <c r="Q6075" t="n">
        <v>0</v>
      </c>
      <c r="R6075" s="2" t="inlineStr"/>
    </row>
    <row r="6076" ht="15" customHeight="1">
      <c r="A6076" t="inlineStr">
        <is>
          <t>A 48471-2025</t>
        </is>
      </c>
      <c r="B6076" s="1" t="n">
        <v>45936.34520833333</v>
      </c>
      <c r="C6076" s="1" t="n">
        <v>46093</v>
      </c>
      <c r="D6076" t="inlineStr">
        <is>
          <t>VÄSTERNORRLANDS LÄN</t>
        </is>
      </c>
      <c r="E6076" t="inlineStr">
        <is>
          <t>SUNDSVALL</t>
        </is>
      </c>
      <c r="F6076" t="inlineStr">
        <is>
          <t>SCA</t>
        </is>
      </c>
      <c r="G6076" t="n">
        <v>7.8</v>
      </c>
      <c r="H6076" t="n">
        <v>0</v>
      </c>
      <c r="I6076" t="n">
        <v>0</v>
      </c>
      <c r="J6076" t="n">
        <v>0</v>
      </c>
      <c r="K6076" t="n">
        <v>0</v>
      </c>
      <c r="L6076" t="n">
        <v>0</v>
      </c>
      <c r="M6076" t="n">
        <v>0</v>
      </c>
      <c r="N6076" t="n">
        <v>0</v>
      </c>
      <c r="O6076" t="n">
        <v>0</v>
      </c>
      <c r="P6076" t="n">
        <v>0</v>
      </c>
      <c r="Q6076" t="n">
        <v>0</v>
      </c>
      <c r="R6076" s="2" t="inlineStr"/>
    </row>
    <row r="6077" ht="15" customHeight="1">
      <c r="A6077" t="inlineStr">
        <is>
          <t>A 51547-2022</t>
        </is>
      </c>
      <c r="B6077" s="1" t="n">
        <v>44869</v>
      </c>
      <c r="C6077" s="1" t="n">
        <v>46093</v>
      </c>
      <c r="D6077" t="inlineStr">
        <is>
          <t>VÄSTERNORRLANDS LÄN</t>
        </is>
      </c>
      <c r="E6077" t="inlineStr">
        <is>
          <t>SUNDSVALL</t>
        </is>
      </c>
      <c r="F6077" t="inlineStr">
        <is>
          <t>SCA</t>
        </is>
      </c>
      <c r="G6077" t="n">
        <v>11.3</v>
      </c>
      <c r="H6077" t="n">
        <v>0</v>
      </c>
      <c r="I6077" t="n">
        <v>0</v>
      </c>
      <c r="J6077" t="n">
        <v>0</v>
      </c>
      <c r="K6077" t="n">
        <v>0</v>
      </c>
      <c r="L6077" t="n">
        <v>0</v>
      </c>
      <c r="M6077" t="n">
        <v>0</v>
      </c>
      <c r="N6077" t="n">
        <v>0</v>
      </c>
      <c r="O6077" t="n">
        <v>0</v>
      </c>
      <c r="P6077" t="n">
        <v>0</v>
      </c>
      <c r="Q6077" t="n">
        <v>0</v>
      </c>
      <c r="R6077" s="2" t="inlineStr"/>
    </row>
    <row r="6078" ht="15" customHeight="1">
      <c r="A6078" t="inlineStr">
        <is>
          <t>A 48233-2025</t>
        </is>
      </c>
      <c r="B6078" s="1" t="n">
        <v>45933.53196759259</v>
      </c>
      <c r="C6078" s="1" t="n">
        <v>46093</v>
      </c>
      <c r="D6078" t="inlineStr">
        <is>
          <t>VÄSTERNORRLANDS LÄN</t>
        </is>
      </c>
      <c r="E6078" t="inlineStr">
        <is>
          <t>SUNDSVALL</t>
        </is>
      </c>
      <c r="F6078" t="inlineStr">
        <is>
          <t>SCA</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48192-2025</t>
        </is>
      </c>
      <c r="B6079" s="1" t="n">
        <v>45933.4696875</v>
      </c>
      <c r="C6079" s="1" t="n">
        <v>46093</v>
      </c>
      <c r="D6079" t="inlineStr">
        <is>
          <t>VÄSTERNORRLANDS LÄN</t>
        </is>
      </c>
      <c r="E6079" t="inlineStr">
        <is>
          <t>SUNDSVALL</t>
        </is>
      </c>
      <c r="G6079" t="n">
        <v>2.8</v>
      </c>
      <c r="H6079" t="n">
        <v>0</v>
      </c>
      <c r="I6079" t="n">
        <v>0</v>
      </c>
      <c r="J6079" t="n">
        <v>0</v>
      </c>
      <c r="K6079" t="n">
        <v>0</v>
      </c>
      <c r="L6079" t="n">
        <v>0</v>
      </c>
      <c r="M6079" t="n">
        <v>0</v>
      </c>
      <c r="N6079" t="n">
        <v>0</v>
      </c>
      <c r="O6079" t="n">
        <v>0</v>
      </c>
      <c r="P6079" t="n">
        <v>0</v>
      </c>
      <c r="Q6079" t="n">
        <v>0</v>
      </c>
      <c r="R6079" s="2" t="inlineStr"/>
    </row>
    <row r="6080" ht="15" customHeight="1">
      <c r="A6080" t="inlineStr">
        <is>
          <t>A 45000-2023</t>
        </is>
      </c>
      <c r="B6080" s="1" t="n">
        <v>45190.95990740741</v>
      </c>
      <c r="C6080" s="1" t="n">
        <v>46093</v>
      </c>
      <c r="D6080" t="inlineStr">
        <is>
          <t>VÄSTERNORRLANDS LÄN</t>
        </is>
      </c>
      <c r="E6080" t="inlineStr">
        <is>
          <t>SUNDSVALL</t>
        </is>
      </c>
      <c r="G6080" t="n">
        <v>4.1</v>
      </c>
      <c r="H6080" t="n">
        <v>0</v>
      </c>
      <c r="I6080" t="n">
        <v>0</v>
      </c>
      <c r="J6080" t="n">
        <v>0</v>
      </c>
      <c r="K6080" t="n">
        <v>0</v>
      </c>
      <c r="L6080" t="n">
        <v>0</v>
      </c>
      <c r="M6080" t="n">
        <v>0</v>
      </c>
      <c r="N6080" t="n">
        <v>0</v>
      </c>
      <c r="O6080" t="n">
        <v>0</v>
      </c>
      <c r="P6080" t="n">
        <v>0</v>
      </c>
      <c r="Q6080" t="n">
        <v>0</v>
      </c>
      <c r="R6080" s="2" t="inlineStr"/>
    </row>
    <row r="6081" ht="15" customHeight="1">
      <c r="A6081" t="inlineStr">
        <is>
          <t>A 45001-2023</t>
        </is>
      </c>
      <c r="B6081" s="1" t="n">
        <v>45190.95998842592</v>
      </c>
      <c r="C6081" s="1" t="n">
        <v>46093</v>
      </c>
      <c r="D6081" t="inlineStr">
        <is>
          <t>VÄSTERNORRLANDS LÄN</t>
        </is>
      </c>
      <c r="E6081" t="inlineStr">
        <is>
          <t>SUNDSVALL</t>
        </is>
      </c>
      <c r="F6081" t="inlineStr">
        <is>
          <t>SCA</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48441-2025</t>
        </is>
      </c>
      <c r="B6082" s="1" t="n">
        <v>45935.53166666667</v>
      </c>
      <c r="C6082" s="1" t="n">
        <v>46093</v>
      </c>
      <c r="D6082" t="inlineStr">
        <is>
          <t>VÄSTERNORRLANDS LÄN</t>
        </is>
      </c>
      <c r="E6082" t="inlineStr">
        <is>
          <t>KRAMFORS</t>
        </is>
      </c>
      <c r="F6082" t="inlineStr">
        <is>
          <t>SCA</t>
        </is>
      </c>
      <c r="G6082" t="n">
        <v>2</v>
      </c>
      <c r="H6082" t="n">
        <v>0</v>
      </c>
      <c r="I6082" t="n">
        <v>0</v>
      </c>
      <c r="J6082" t="n">
        <v>0</v>
      </c>
      <c r="K6082" t="n">
        <v>0</v>
      </c>
      <c r="L6082" t="n">
        <v>0</v>
      </c>
      <c r="M6082" t="n">
        <v>0</v>
      </c>
      <c r="N6082" t="n">
        <v>0</v>
      </c>
      <c r="O6082" t="n">
        <v>0</v>
      </c>
      <c r="P6082" t="n">
        <v>0</v>
      </c>
      <c r="Q6082" t="n">
        <v>0</v>
      </c>
      <c r="R6082" s="2" t="inlineStr"/>
    </row>
    <row r="6083" ht="15" customHeight="1">
      <c r="A6083" t="inlineStr">
        <is>
          <t>A 14982-2024</t>
        </is>
      </c>
      <c r="B6083" s="1" t="n">
        <v>45398.94193287037</v>
      </c>
      <c r="C6083" s="1" t="n">
        <v>46093</v>
      </c>
      <c r="D6083" t="inlineStr">
        <is>
          <t>VÄSTERNORRLANDS LÄN</t>
        </is>
      </c>
      <c r="E6083" t="inlineStr">
        <is>
          <t>SOLLEFTEÅ</t>
        </is>
      </c>
      <c r="F6083" t="inlineStr">
        <is>
          <t>SCA</t>
        </is>
      </c>
      <c r="G6083" t="n">
        <v>5.4</v>
      </c>
      <c r="H6083" t="n">
        <v>0</v>
      </c>
      <c r="I6083" t="n">
        <v>0</v>
      </c>
      <c r="J6083" t="n">
        <v>0</v>
      </c>
      <c r="K6083" t="n">
        <v>0</v>
      </c>
      <c r="L6083" t="n">
        <v>0</v>
      </c>
      <c r="M6083" t="n">
        <v>0</v>
      </c>
      <c r="N6083" t="n">
        <v>0</v>
      </c>
      <c r="O6083" t="n">
        <v>0</v>
      </c>
      <c r="P6083" t="n">
        <v>0</v>
      </c>
      <c r="Q6083" t="n">
        <v>0</v>
      </c>
      <c r="R6083" s="2" t="inlineStr"/>
    </row>
    <row r="6084" ht="15" customHeight="1">
      <c r="A6084" t="inlineStr">
        <is>
          <t>A 7852-2024</t>
        </is>
      </c>
      <c r="B6084" s="1" t="n">
        <v>45350</v>
      </c>
      <c r="C6084" s="1" t="n">
        <v>46093</v>
      </c>
      <c r="D6084" t="inlineStr">
        <is>
          <t>VÄSTERNORRLANDS LÄN</t>
        </is>
      </c>
      <c r="E6084" t="inlineStr">
        <is>
          <t>HÄRNÖSAND</t>
        </is>
      </c>
      <c r="F6084" t="inlineStr">
        <is>
          <t>SCA</t>
        </is>
      </c>
      <c r="G6084" t="n">
        <v>2.8</v>
      </c>
      <c r="H6084" t="n">
        <v>0</v>
      </c>
      <c r="I6084" t="n">
        <v>0</v>
      </c>
      <c r="J6084" t="n">
        <v>0</v>
      </c>
      <c r="K6084" t="n">
        <v>0</v>
      </c>
      <c r="L6084" t="n">
        <v>0</v>
      </c>
      <c r="M6084" t="n">
        <v>0</v>
      </c>
      <c r="N6084" t="n">
        <v>0</v>
      </c>
      <c r="O6084" t="n">
        <v>0</v>
      </c>
      <c r="P6084" t="n">
        <v>0</v>
      </c>
      <c r="Q6084" t="n">
        <v>0</v>
      </c>
      <c r="R6084" s="2" t="inlineStr"/>
    </row>
    <row r="6085" ht="15" customHeight="1">
      <c r="A6085" t="inlineStr">
        <is>
          <t>A 48290-2025</t>
        </is>
      </c>
      <c r="B6085" s="1" t="n">
        <v>45933.59497685185</v>
      </c>
      <c r="C6085" s="1" t="n">
        <v>46093</v>
      </c>
      <c r="D6085" t="inlineStr">
        <is>
          <t>VÄSTERNORRLANDS LÄN</t>
        </is>
      </c>
      <c r="E6085" t="inlineStr">
        <is>
          <t>SOLLEFTEÅ</t>
        </is>
      </c>
      <c r="F6085" t="inlineStr">
        <is>
          <t>SCA</t>
        </is>
      </c>
      <c r="G6085" t="n">
        <v>10.4</v>
      </c>
      <c r="H6085" t="n">
        <v>0</v>
      </c>
      <c r="I6085" t="n">
        <v>0</v>
      </c>
      <c r="J6085" t="n">
        <v>0</v>
      </c>
      <c r="K6085" t="n">
        <v>0</v>
      </c>
      <c r="L6085" t="n">
        <v>0</v>
      </c>
      <c r="M6085" t="n">
        <v>0</v>
      </c>
      <c r="N6085" t="n">
        <v>0</v>
      </c>
      <c r="O6085" t="n">
        <v>0</v>
      </c>
      <c r="P6085" t="n">
        <v>0</v>
      </c>
      <c r="Q6085" t="n">
        <v>0</v>
      </c>
      <c r="R6085" s="2" t="inlineStr"/>
    </row>
    <row r="6086" ht="15" customHeight="1">
      <c r="A6086" t="inlineStr">
        <is>
          <t>A 48306-2025</t>
        </is>
      </c>
      <c r="B6086" s="1" t="n">
        <v>45933.615</v>
      </c>
      <c r="C6086" s="1" t="n">
        <v>46093</v>
      </c>
      <c r="D6086" t="inlineStr">
        <is>
          <t>VÄSTERNORRLANDS LÄN</t>
        </is>
      </c>
      <c r="E6086" t="inlineStr">
        <is>
          <t>SOLLEFTEÅ</t>
        </is>
      </c>
      <c r="F6086" t="inlineStr">
        <is>
          <t>SCA</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48311-2025</t>
        </is>
      </c>
      <c r="B6087" s="1" t="n">
        <v>45933.61584490741</v>
      </c>
      <c r="C6087" s="1" t="n">
        <v>46093</v>
      </c>
      <c r="D6087" t="inlineStr">
        <is>
          <t>VÄSTERNORRLANDS LÄN</t>
        </is>
      </c>
      <c r="E6087" t="inlineStr">
        <is>
          <t>SOLLEFTEÅ</t>
        </is>
      </c>
      <c r="F6087" t="inlineStr">
        <is>
          <t>SCA</t>
        </is>
      </c>
      <c r="G6087" t="n">
        <v>61.2</v>
      </c>
      <c r="H6087" t="n">
        <v>0</v>
      </c>
      <c r="I6087" t="n">
        <v>0</v>
      </c>
      <c r="J6087" t="n">
        <v>0</v>
      </c>
      <c r="K6087" t="n">
        <v>0</v>
      </c>
      <c r="L6087" t="n">
        <v>0</v>
      </c>
      <c r="M6087" t="n">
        <v>0</v>
      </c>
      <c r="N6087" t="n">
        <v>0</v>
      </c>
      <c r="O6087" t="n">
        <v>0</v>
      </c>
      <c r="P6087" t="n">
        <v>0</v>
      </c>
      <c r="Q6087" t="n">
        <v>0</v>
      </c>
      <c r="R6087" s="2" t="inlineStr"/>
    </row>
    <row r="6088" ht="15" customHeight="1">
      <c r="A6088" t="inlineStr">
        <is>
          <t>A 25350-2024</t>
        </is>
      </c>
      <c r="B6088" s="1" t="n">
        <v>45462</v>
      </c>
      <c r="C6088" s="1" t="n">
        <v>46093</v>
      </c>
      <c r="D6088" t="inlineStr">
        <is>
          <t>VÄSTERNORRLANDS LÄN</t>
        </is>
      </c>
      <c r="E6088" t="inlineStr">
        <is>
          <t>SUNDSVALL</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25356-2024</t>
        </is>
      </c>
      <c r="B6089" s="1" t="n">
        <v>45462.9565162037</v>
      </c>
      <c r="C6089" s="1" t="n">
        <v>46093</v>
      </c>
      <c r="D6089" t="inlineStr">
        <is>
          <t>VÄSTERNORRLANDS LÄN</t>
        </is>
      </c>
      <c r="E6089" t="inlineStr">
        <is>
          <t>SOLLEFTEÅ</t>
        </is>
      </c>
      <c r="F6089" t="inlineStr">
        <is>
          <t>SCA</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48472-2025</t>
        </is>
      </c>
      <c r="B6090" s="1" t="n">
        <v>45936.34538194445</v>
      </c>
      <c r="C6090" s="1" t="n">
        <v>46093</v>
      </c>
      <c r="D6090" t="inlineStr">
        <is>
          <t>VÄSTERNORRLANDS LÄN</t>
        </is>
      </c>
      <c r="E6090" t="inlineStr">
        <is>
          <t>SUNDSVALL</t>
        </is>
      </c>
      <c r="F6090" t="inlineStr">
        <is>
          <t>SCA</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55895-2024</t>
        </is>
      </c>
      <c r="B6091" s="1" t="n">
        <v>45622</v>
      </c>
      <c r="C6091" s="1" t="n">
        <v>46093</v>
      </c>
      <c r="D6091" t="inlineStr">
        <is>
          <t>VÄSTERNORRLANDS LÄN</t>
        </is>
      </c>
      <c r="E6091" t="inlineStr">
        <is>
          <t>HÄRNÖSAND</t>
        </is>
      </c>
      <c r="G6091" t="n">
        <v>2.5</v>
      </c>
      <c r="H6091" t="n">
        <v>0</v>
      </c>
      <c r="I6091" t="n">
        <v>0</v>
      </c>
      <c r="J6091" t="n">
        <v>0</v>
      </c>
      <c r="K6091" t="n">
        <v>0</v>
      </c>
      <c r="L6091" t="n">
        <v>0</v>
      </c>
      <c r="M6091" t="n">
        <v>0</v>
      </c>
      <c r="N6091" t="n">
        <v>0</v>
      </c>
      <c r="O6091" t="n">
        <v>0</v>
      </c>
      <c r="P6091" t="n">
        <v>0</v>
      </c>
      <c r="Q6091" t="n">
        <v>0</v>
      </c>
      <c r="R6091" s="2" t="inlineStr"/>
    </row>
    <row r="6092" ht="15" customHeight="1">
      <c r="A6092" t="inlineStr">
        <is>
          <t>A 48721-2025</t>
        </is>
      </c>
      <c r="B6092" s="1" t="n">
        <v>45936.64701388889</v>
      </c>
      <c r="C6092" s="1" t="n">
        <v>46093</v>
      </c>
      <c r="D6092" t="inlineStr">
        <is>
          <t>VÄSTERNORRLANDS LÄN</t>
        </is>
      </c>
      <c r="E6092" t="inlineStr">
        <is>
          <t>HÄRNÖSAND</t>
        </is>
      </c>
      <c r="G6092" t="n">
        <v>4.5</v>
      </c>
      <c r="H6092" t="n">
        <v>0</v>
      </c>
      <c r="I6092" t="n">
        <v>0</v>
      </c>
      <c r="J6092" t="n">
        <v>0</v>
      </c>
      <c r="K6092" t="n">
        <v>0</v>
      </c>
      <c r="L6092" t="n">
        <v>0</v>
      </c>
      <c r="M6092" t="n">
        <v>0</v>
      </c>
      <c r="N6092" t="n">
        <v>0</v>
      </c>
      <c r="O6092" t="n">
        <v>0</v>
      </c>
      <c r="P6092" t="n">
        <v>0</v>
      </c>
      <c r="Q6092" t="n">
        <v>0</v>
      </c>
      <c r="R6092" s="2" t="inlineStr"/>
    </row>
    <row r="6093" ht="15" customHeight="1">
      <c r="A6093" t="inlineStr">
        <is>
          <t>A 17592-2025</t>
        </is>
      </c>
      <c r="B6093" s="1" t="n">
        <v>45757.69828703703</v>
      </c>
      <c r="C6093" s="1" t="n">
        <v>46093</v>
      </c>
      <c r="D6093" t="inlineStr">
        <is>
          <t>VÄSTERNORRLANDS LÄN</t>
        </is>
      </c>
      <c r="E6093" t="inlineStr">
        <is>
          <t>SUNDSVALL</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16308-2025</t>
        </is>
      </c>
      <c r="B6094" s="1" t="n">
        <v>45751.34700231482</v>
      </c>
      <c r="C6094" s="1" t="n">
        <v>46093</v>
      </c>
      <c r="D6094" t="inlineStr">
        <is>
          <t>VÄSTERNORRLANDS LÄN</t>
        </is>
      </c>
      <c r="E6094" t="inlineStr">
        <is>
          <t>SOLLEFTEÅ</t>
        </is>
      </c>
      <c r="F6094" t="inlineStr">
        <is>
          <t>SCA</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48142-2025</t>
        </is>
      </c>
      <c r="B6095" s="1" t="n">
        <v>45933.38564814815</v>
      </c>
      <c r="C6095" s="1" t="n">
        <v>46093</v>
      </c>
      <c r="D6095" t="inlineStr">
        <is>
          <t>VÄSTERNORRLANDS LÄN</t>
        </is>
      </c>
      <c r="E6095" t="inlineStr">
        <is>
          <t>ÖRNSKÖLDSVIK</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48410-2025</t>
        </is>
      </c>
      <c r="B6096" s="1" t="n">
        <v>45934.42759259259</v>
      </c>
      <c r="C6096" s="1" t="n">
        <v>46093</v>
      </c>
      <c r="D6096" t="inlineStr">
        <is>
          <t>VÄSTERNORRLANDS LÄN</t>
        </is>
      </c>
      <c r="E6096" t="inlineStr">
        <is>
          <t>SUNDSVALL</t>
        </is>
      </c>
      <c r="F6096" t="inlineStr">
        <is>
          <t>SCA</t>
        </is>
      </c>
      <c r="G6096" t="n">
        <v>16.5</v>
      </c>
      <c r="H6096" t="n">
        <v>0</v>
      </c>
      <c r="I6096" t="n">
        <v>0</v>
      </c>
      <c r="J6096" t="n">
        <v>0</v>
      </c>
      <c r="K6096" t="n">
        <v>0</v>
      </c>
      <c r="L6096" t="n">
        <v>0</v>
      </c>
      <c r="M6096" t="n">
        <v>0</v>
      </c>
      <c r="N6096" t="n">
        <v>0</v>
      </c>
      <c r="O6096" t="n">
        <v>0</v>
      </c>
      <c r="P6096" t="n">
        <v>0</v>
      </c>
      <c r="Q6096" t="n">
        <v>0</v>
      </c>
      <c r="R6096" s="2" t="inlineStr"/>
    </row>
    <row r="6097" ht="15" customHeight="1">
      <c r="A6097" t="inlineStr">
        <is>
          <t>A 58639-2023</t>
        </is>
      </c>
      <c r="B6097" s="1" t="n">
        <v>45251</v>
      </c>
      <c r="C6097" s="1" t="n">
        <v>46093</v>
      </c>
      <c r="D6097" t="inlineStr">
        <is>
          <t>VÄSTERNORRLANDS LÄN</t>
        </is>
      </c>
      <c r="E6097" t="inlineStr">
        <is>
          <t>ÅNGE</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36594-2022</t>
        </is>
      </c>
      <c r="B6098" s="1" t="n">
        <v>44804.63513888889</v>
      </c>
      <c r="C6098" s="1" t="n">
        <v>46093</v>
      </c>
      <c r="D6098" t="inlineStr">
        <is>
          <t>VÄSTERNORRLANDS LÄN</t>
        </is>
      </c>
      <c r="E6098" t="inlineStr">
        <is>
          <t>KRAMFORS</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48426-2025</t>
        </is>
      </c>
      <c r="B6099" s="1" t="n">
        <v>45934.71929398148</v>
      </c>
      <c r="C6099" s="1" t="n">
        <v>46093</v>
      </c>
      <c r="D6099" t="inlineStr">
        <is>
          <t>VÄSTERNORRLANDS LÄN</t>
        </is>
      </c>
      <c r="E6099" t="inlineStr">
        <is>
          <t>SUNDSVALL</t>
        </is>
      </c>
      <c r="F6099" t="inlineStr">
        <is>
          <t>SCA</t>
        </is>
      </c>
      <c r="G6099" t="n">
        <v>19.9</v>
      </c>
      <c r="H6099" t="n">
        <v>0</v>
      </c>
      <c r="I6099" t="n">
        <v>0</v>
      </c>
      <c r="J6099" t="n">
        <v>0</v>
      </c>
      <c r="K6099" t="n">
        <v>0</v>
      </c>
      <c r="L6099" t="n">
        <v>0</v>
      </c>
      <c r="M6099" t="n">
        <v>0</v>
      </c>
      <c r="N6099" t="n">
        <v>0</v>
      </c>
      <c r="O6099" t="n">
        <v>0</v>
      </c>
      <c r="P6099" t="n">
        <v>0</v>
      </c>
      <c r="Q6099" t="n">
        <v>0</v>
      </c>
      <c r="R6099" s="2" t="inlineStr"/>
    </row>
    <row r="6100" ht="15" customHeight="1">
      <c r="A6100" t="inlineStr">
        <is>
          <t>A 208-2024</t>
        </is>
      </c>
      <c r="B6100" s="1" t="n">
        <v>45293</v>
      </c>
      <c r="C6100" s="1" t="n">
        <v>46093</v>
      </c>
      <c r="D6100" t="inlineStr">
        <is>
          <t>VÄSTERNORRLANDS LÄN</t>
        </is>
      </c>
      <c r="E6100" t="inlineStr">
        <is>
          <t>HÄRNÖSAND</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48467-2025</t>
        </is>
      </c>
      <c r="B6101" s="1" t="n">
        <v>45936.34452546296</v>
      </c>
      <c r="C6101" s="1" t="n">
        <v>46093</v>
      </c>
      <c r="D6101" t="inlineStr">
        <is>
          <t>VÄSTERNORRLANDS LÄN</t>
        </is>
      </c>
      <c r="E6101" t="inlineStr">
        <is>
          <t>SOLLEFTEÅ</t>
        </is>
      </c>
      <c r="F6101" t="inlineStr">
        <is>
          <t>SCA</t>
        </is>
      </c>
      <c r="G6101" t="n">
        <v>7.9</v>
      </c>
      <c r="H6101" t="n">
        <v>0</v>
      </c>
      <c r="I6101" t="n">
        <v>0</v>
      </c>
      <c r="J6101" t="n">
        <v>0</v>
      </c>
      <c r="K6101" t="n">
        <v>0</v>
      </c>
      <c r="L6101" t="n">
        <v>0</v>
      </c>
      <c r="M6101" t="n">
        <v>0</v>
      </c>
      <c r="N6101" t="n">
        <v>0</v>
      </c>
      <c r="O6101" t="n">
        <v>0</v>
      </c>
      <c r="P6101" t="n">
        <v>0</v>
      </c>
      <c r="Q6101" t="n">
        <v>0</v>
      </c>
      <c r="R6101" s="2" t="inlineStr"/>
    </row>
    <row r="6102" ht="15" customHeight="1">
      <c r="A6102" t="inlineStr">
        <is>
          <t>A 16937-2025</t>
        </is>
      </c>
      <c r="B6102" s="1" t="n">
        <v>45754</v>
      </c>
      <c r="C6102" s="1" t="n">
        <v>46093</v>
      </c>
      <c r="D6102" t="inlineStr">
        <is>
          <t>VÄSTERNORRLANDS LÄN</t>
        </is>
      </c>
      <c r="E6102" t="inlineStr">
        <is>
          <t>ÖRNSKÖLDSVIK</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27874-2023</t>
        </is>
      </c>
      <c r="B6103" s="1" t="n">
        <v>45098.5915625</v>
      </c>
      <c r="C6103" s="1" t="n">
        <v>46093</v>
      </c>
      <c r="D6103" t="inlineStr">
        <is>
          <t>VÄSTERNORRLANDS LÄN</t>
        </is>
      </c>
      <c r="E6103" t="inlineStr">
        <is>
          <t>ÖRNSKÖLDSVIK</t>
        </is>
      </c>
      <c r="F6103" t="inlineStr">
        <is>
          <t>Holmen skog AB</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6061-2024</t>
        </is>
      </c>
      <c r="B6104" s="1" t="n">
        <v>45336.80003472222</v>
      </c>
      <c r="C6104" s="1" t="n">
        <v>46093</v>
      </c>
      <c r="D6104" t="inlineStr">
        <is>
          <t>VÄSTERNORRLANDS LÄN</t>
        </is>
      </c>
      <c r="E6104" t="inlineStr">
        <is>
          <t>KRAMFORS</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6065-2024</t>
        </is>
      </c>
      <c r="B6105" s="1" t="n">
        <v>45336.87826388889</v>
      </c>
      <c r="C6105" s="1" t="n">
        <v>46093</v>
      </c>
      <c r="D6105" t="inlineStr">
        <is>
          <t>VÄSTERNORRLANDS LÄN</t>
        </is>
      </c>
      <c r="E6105" t="inlineStr">
        <is>
          <t>SOLLEFTEÅ</t>
        </is>
      </c>
      <c r="F6105" t="inlineStr">
        <is>
          <t>Övriga Aktiebolag</t>
        </is>
      </c>
      <c r="G6105" t="n">
        <v>2.3</v>
      </c>
      <c r="H6105" t="n">
        <v>0</v>
      </c>
      <c r="I6105" t="n">
        <v>0</v>
      </c>
      <c r="J6105" t="n">
        <v>0</v>
      </c>
      <c r="K6105" t="n">
        <v>0</v>
      </c>
      <c r="L6105" t="n">
        <v>0</v>
      </c>
      <c r="M6105" t="n">
        <v>0</v>
      </c>
      <c r="N6105" t="n">
        <v>0</v>
      </c>
      <c r="O6105" t="n">
        <v>0</v>
      </c>
      <c r="P6105" t="n">
        <v>0</v>
      </c>
      <c r="Q6105" t="n">
        <v>0</v>
      </c>
      <c r="R6105" s="2" t="inlineStr"/>
    </row>
    <row r="6106" ht="15" customHeight="1">
      <c r="A6106" t="inlineStr">
        <is>
          <t>A 48485-2025</t>
        </is>
      </c>
      <c r="B6106" s="1" t="n">
        <v>45936.35751157408</v>
      </c>
      <c r="C6106" s="1" t="n">
        <v>46093</v>
      </c>
      <c r="D6106" t="inlineStr">
        <is>
          <t>VÄSTERNORRLANDS LÄN</t>
        </is>
      </c>
      <c r="E6106" t="inlineStr">
        <is>
          <t>ÖRNSKÖLDSVIK</t>
        </is>
      </c>
      <c r="G6106" t="n">
        <v>2.5</v>
      </c>
      <c r="H6106" t="n">
        <v>0</v>
      </c>
      <c r="I6106" t="n">
        <v>0</v>
      </c>
      <c r="J6106" t="n">
        <v>0</v>
      </c>
      <c r="K6106" t="n">
        <v>0</v>
      </c>
      <c r="L6106" t="n">
        <v>0</v>
      </c>
      <c r="M6106" t="n">
        <v>0</v>
      </c>
      <c r="N6106" t="n">
        <v>0</v>
      </c>
      <c r="O6106" t="n">
        <v>0</v>
      </c>
      <c r="P6106" t="n">
        <v>0</v>
      </c>
      <c r="Q6106" t="n">
        <v>0</v>
      </c>
      <c r="R6106" s="2" t="inlineStr"/>
    </row>
    <row r="6107" ht="15" customHeight="1">
      <c r="A6107" t="inlineStr">
        <is>
          <t>A 48239-2025</t>
        </is>
      </c>
      <c r="B6107" s="1" t="n">
        <v>45933.53252314815</v>
      </c>
      <c r="C6107" s="1" t="n">
        <v>46093</v>
      </c>
      <c r="D6107" t="inlineStr">
        <is>
          <t>VÄSTERNORRLANDS LÄN</t>
        </is>
      </c>
      <c r="E6107" t="inlineStr">
        <is>
          <t>SUNDSVALL</t>
        </is>
      </c>
      <c r="F6107" t="inlineStr">
        <is>
          <t>SCA</t>
        </is>
      </c>
      <c r="G6107" t="n">
        <v>3.7</v>
      </c>
      <c r="H6107" t="n">
        <v>0</v>
      </c>
      <c r="I6107" t="n">
        <v>0</v>
      </c>
      <c r="J6107" t="n">
        <v>0</v>
      </c>
      <c r="K6107" t="n">
        <v>0</v>
      </c>
      <c r="L6107" t="n">
        <v>0</v>
      </c>
      <c r="M6107" t="n">
        <v>0</v>
      </c>
      <c r="N6107" t="n">
        <v>0</v>
      </c>
      <c r="O6107" t="n">
        <v>0</v>
      </c>
      <c r="P6107" t="n">
        <v>0</v>
      </c>
      <c r="Q6107" t="n">
        <v>0</v>
      </c>
      <c r="R6107" s="2" t="inlineStr"/>
    </row>
    <row r="6108" ht="15" customHeight="1">
      <c r="A6108" t="inlineStr">
        <is>
          <t>A 48282-2025</t>
        </is>
      </c>
      <c r="B6108" s="1" t="n">
        <v>45933.58826388889</v>
      </c>
      <c r="C6108" s="1" t="n">
        <v>46093</v>
      </c>
      <c r="D6108" t="inlineStr">
        <is>
          <t>VÄSTERNORRLANDS LÄN</t>
        </is>
      </c>
      <c r="E6108" t="inlineStr">
        <is>
          <t>ÖRNSKÖLDSVIK</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48307-2025</t>
        </is>
      </c>
      <c r="B6109" s="1" t="n">
        <v>45933.61519675926</v>
      </c>
      <c r="C6109" s="1" t="n">
        <v>46093</v>
      </c>
      <c r="D6109" t="inlineStr">
        <is>
          <t>VÄSTERNORRLANDS LÄN</t>
        </is>
      </c>
      <c r="E6109" t="inlineStr">
        <is>
          <t>SOLLEFTEÅ</t>
        </is>
      </c>
      <c r="F6109" t="inlineStr">
        <is>
          <t>SCA</t>
        </is>
      </c>
      <c r="G6109" t="n">
        <v>2.5</v>
      </c>
      <c r="H6109" t="n">
        <v>0</v>
      </c>
      <c r="I6109" t="n">
        <v>0</v>
      </c>
      <c r="J6109" t="n">
        <v>0</v>
      </c>
      <c r="K6109" t="n">
        <v>0</v>
      </c>
      <c r="L6109" t="n">
        <v>0</v>
      </c>
      <c r="M6109" t="n">
        <v>0</v>
      </c>
      <c r="N6109" t="n">
        <v>0</v>
      </c>
      <c r="O6109" t="n">
        <v>0</v>
      </c>
      <c r="P6109" t="n">
        <v>0</v>
      </c>
      <c r="Q6109" t="n">
        <v>0</v>
      </c>
      <c r="R6109" s="2" t="inlineStr"/>
    </row>
    <row r="6110" ht="15" customHeight="1">
      <c r="A6110" t="inlineStr">
        <is>
          <t>A 48308-2025</t>
        </is>
      </c>
      <c r="B6110" s="1" t="n">
        <v>45933</v>
      </c>
      <c r="C6110" s="1" t="n">
        <v>46093</v>
      </c>
      <c r="D6110" t="inlineStr">
        <is>
          <t>VÄSTERNORRLANDS LÄN</t>
        </is>
      </c>
      <c r="E6110" t="inlineStr">
        <is>
          <t>SOLLEFTEÅ</t>
        </is>
      </c>
      <c r="F6110" t="inlineStr">
        <is>
          <t>SCA</t>
        </is>
      </c>
      <c r="G6110" t="n">
        <v>10.2</v>
      </c>
      <c r="H6110" t="n">
        <v>0</v>
      </c>
      <c r="I6110" t="n">
        <v>0</v>
      </c>
      <c r="J6110" t="n">
        <v>0</v>
      </c>
      <c r="K6110" t="n">
        <v>0</v>
      </c>
      <c r="L6110" t="n">
        <v>0</v>
      </c>
      <c r="M6110" t="n">
        <v>0</v>
      </c>
      <c r="N6110" t="n">
        <v>0</v>
      </c>
      <c r="O6110" t="n">
        <v>0</v>
      </c>
      <c r="P6110" t="n">
        <v>0</v>
      </c>
      <c r="Q6110" t="n">
        <v>0</v>
      </c>
      <c r="R6110" s="2" t="inlineStr"/>
    </row>
    <row r="6111" ht="15" customHeight="1">
      <c r="A6111" t="inlineStr">
        <is>
          <t>A 156-2024</t>
        </is>
      </c>
      <c r="B6111" s="1" t="n">
        <v>45294</v>
      </c>
      <c r="C6111" s="1" t="n">
        <v>46093</v>
      </c>
      <c r="D6111" t="inlineStr">
        <is>
          <t>VÄSTERNORRLANDS LÄN</t>
        </is>
      </c>
      <c r="E6111" t="inlineStr">
        <is>
          <t>KRAMFORS</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48313-2025</t>
        </is>
      </c>
      <c r="B6112" s="1" t="n">
        <v>45933.61605324074</v>
      </c>
      <c r="C6112" s="1" t="n">
        <v>46093</v>
      </c>
      <c r="D6112" t="inlineStr">
        <is>
          <t>VÄSTERNORRLANDS LÄN</t>
        </is>
      </c>
      <c r="E6112" t="inlineStr">
        <is>
          <t>SOLLEFTEÅ</t>
        </is>
      </c>
      <c r="F6112" t="inlineStr">
        <is>
          <t>SCA</t>
        </is>
      </c>
      <c r="G6112" t="n">
        <v>5</v>
      </c>
      <c r="H6112" t="n">
        <v>0</v>
      </c>
      <c r="I6112" t="n">
        <v>0</v>
      </c>
      <c r="J6112" t="n">
        <v>0</v>
      </c>
      <c r="K6112" t="n">
        <v>0</v>
      </c>
      <c r="L6112" t="n">
        <v>0</v>
      </c>
      <c r="M6112" t="n">
        <v>0</v>
      </c>
      <c r="N6112" t="n">
        <v>0</v>
      </c>
      <c r="O6112" t="n">
        <v>0</v>
      </c>
      <c r="P6112" t="n">
        <v>0</v>
      </c>
      <c r="Q6112" t="n">
        <v>0</v>
      </c>
      <c r="R6112" s="2" t="inlineStr"/>
    </row>
    <row r="6113" ht="15" customHeight="1">
      <c r="A6113" t="inlineStr">
        <is>
          <t>A 51755-2024</t>
        </is>
      </c>
      <c r="B6113" s="1" t="n">
        <v>45607.43230324074</v>
      </c>
      <c r="C6113" s="1" t="n">
        <v>46093</v>
      </c>
      <c r="D6113" t="inlineStr">
        <is>
          <t>VÄSTERNORRLANDS LÄN</t>
        </is>
      </c>
      <c r="E6113" t="inlineStr">
        <is>
          <t>ÖRNSKÖLDSVIK</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3476-2024</t>
        </is>
      </c>
      <c r="B6114" s="1" t="n">
        <v>45320</v>
      </c>
      <c r="C6114" s="1" t="n">
        <v>46093</v>
      </c>
      <c r="D6114" t="inlineStr">
        <is>
          <t>VÄSTERNORRLANDS LÄN</t>
        </is>
      </c>
      <c r="E6114" t="inlineStr">
        <is>
          <t>HÄRNÖSAND</t>
        </is>
      </c>
      <c r="G6114" t="n">
        <v>0.1</v>
      </c>
      <c r="H6114" t="n">
        <v>0</v>
      </c>
      <c r="I6114" t="n">
        <v>0</v>
      </c>
      <c r="J6114" t="n">
        <v>0</v>
      </c>
      <c r="K6114" t="n">
        <v>0</v>
      </c>
      <c r="L6114" t="n">
        <v>0</v>
      </c>
      <c r="M6114" t="n">
        <v>0</v>
      </c>
      <c r="N6114" t="n">
        <v>0</v>
      </c>
      <c r="O6114" t="n">
        <v>0</v>
      </c>
      <c r="P6114" t="n">
        <v>0</v>
      </c>
      <c r="Q6114" t="n">
        <v>0</v>
      </c>
      <c r="R6114" s="2" t="inlineStr"/>
    </row>
    <row r="6115" ht="15" customHeight="1">
      <c r="A6115" t="inlineStr">
        <is>
          <t>A 44404-2023</t>
        </is>
      </c>
      <c r="B6115" s="1" t="n">
        <v>45188</v>
      </c>
      <c r="C6115" s="1" t="n">
        <v>46093</v>
      </c>
      <c r="D6115" t="inlineStr">
        <is>
          <t>VÄSTERNORRLANDS LÄN</t>
        </is>
      </c>
      <c r="E6115" t="inlineStr">
        <is>
          <t>TIMRÅ</t>
        </is>
      </c>
      <c r="F6115" t="inlineStr">
        <is>
          <t>SCA</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48578-2025</t>
        </is>
      </c>
      <c r="B6116" s="1" t="n">
        <v>45936.45436342592</v>
      </c>
      <c r="C6116" s="1" t="n">
        <v>46093</v>
      </c>
      <c r="D6116" t="inlineStr">
        <is>
          <t>VÄSTERNORRLANDS LÄN</t>
        </is>
      </c>
      <c r="E6116" t="inlineStr">
        <is>
          <t>HÄRNÖSAND</t>
        </is>
      </c>
      <c r="G6116" t="n">
        <v>4.3</v>
      </c>
      <c r="H6116" t="n">
        <v>0</v>
      </c>
      <c r="I6116" t="n">
        <v>0</v>
      </c>
      <c r="J6116" t="n">
        <v>0</v>
      </c>
      <c r="K6116" t="n">
        <v>0</v>
      </c>
      <c r="L6116" t="n">
        <v>0</v>
      </c>
      <c r="M6116" t="n">
        <v>0</v>
      </c>
      <c r="N6116" t="n">
        <v>0</v>
      </c>
      <c r="O6116" t="n">
        <v>0</v>
      </c>
      <c r="P6116" t="n">
        <v>0</v>
      </c>
      <c r="Q6116" t="n">
        <v>0</v>
      </c>
      <c r="R6116" s="2" t="inlineStr"/>
    </row>
    <row r="6117" ht="15" customHeight="1">
      <c r="A6117" t="inlineStr">
        <is>
          <t>A 48604-2025</t>
        </is>
      </c>
      <c r="B6117" s="1" t="n">
        <v>45936.46949074074</v>
      </c>
      <c r="C6117" s="1" t="n">
        <v>46093</v>
      </c>
      <c r="D6117" t="inlineStr">
        <is>
          <t>VÄSTERNORRLANDS LÄN</t>
        </is>
      </c>
      <c r="E6117" t="inlineStr">
        <is>
          <t>TIMRÅ</t>
        </is>
      </c>
      <c r="F6117" t="inlineStr">
        <is>
          <t>SCA</t>
        </is>
      </c>
      <c r="G6117" t="n">
        <v>4.4</v>
      </c>
      <c r="H6117" t="n">
        <v>0</v>
      </c>
      <c r="I6117" t="n">
        <v>0</v>
      </c>
      <c r="J6117" t="n">
        <v>0</v>
      </c>
      <c r="K6117" t="n">
        <v>0</v>
      </c>
      <c r="L6117" t="n">
        <v>0</v>
      </c>
      <c r="M6117" t="n">
        <v>0</v>
      </c>
      <c r="N6117" t="n">
        <v>0</v>
      </c>
      <c r="O6117" t="n">
        <v>0</v>
      </c>
      <c r="P6117" t="n">
        <v>0</v>
      </c>
      <c r="Q6117" t="n">
        <v>0</v>
      </c>
      <c r="R6117" s="2" t="inlineStr"/>
    </row>
    <row r="6118" ht="15" customHeight="1">
      <c r="A6118" t="inlineStr">
        <is>
          <t>A 48605-2025</t>
        </is>
      </c>
      <c r="B6118" s="1" t="n">
        <v>45936.46971064815</v>
      </c>
      <c r="C6118" s="1" t="n">
        <v>46093</v>
      </c>
      <c r="D6118" t="inlineStr">
        <is>
          <t>VÄSTERNORRLANDS LÄN</t>
        </is>
      </c>
      <c r="E6118" t="inlineStr">
        <is>
          <t>SUNDSVALL</t>
        </is>
      </c>
      <c r="F6118" t="inlineStr">
        <is>
          <t>SCA</t>
        </is>
      </c>
      <c r="G6118" t="n">
        <v>3.7</v>
      </c>
      <c r="H6118" t="n">
        <v>0</v>
      </c>
      <c r="I6118" t="n">
        <v>0</v>
      </c>
      <c r="J6118" t="n">
        <v>0</v>
      </c>
      <c r="K6118" t="n">
        <v>0</v>
      </c>
      <c r="L6118" t="n">
        <v>0</v>
      </c>
      <c r="M6118" t="n">
        <v>0</v>
      </c>
      <c r="N6118" t="n">
        <v>0</v>
      </c>
      <c r="O6118" t="n">
        <v>0</v>
      </c>
      <c r="P6118" t="n">
        <v>0</v>
      </c>
      <c r="Q6118" t="n">
        <v>0</v>
      </c>
      <c r="R6118" s="2" t="inlineStr"/>
    </row>
    <row r="6119" ht="15" customHeight="1">
      <c r="A6119" t="inlineStr">
        <is>
          <t>A 56408-2024</t>
        </is>
      </c>
      <c r="B6119" s="1" t="n">
        <v>45625</v>
      </c>
      <c r="C6119" s="1" t="n">
        <v>46093</v>
      </c>
      <c r="D6119" t="inlineStr">
        <is>
          <t>VÄSTERNORRLANDS LÄN</t>
        </is>
      </c>
      <c r="E6119" t="inlineStr">
        <is>
          <t>SOLLEFTEÅ</t>
        </is>
      </c>
      <c r="F6119" t="inlineStr">
        <is>
          <t>SCA</t>
        </is>
      </c>
      <c r="G6119" t="n">
        <v>4.6</v>
      </c>
      <c r="H6119" t="n">
        <v>0</v>
      </c>
      <c r="I6119" t="n">
        <v>0</v>
      </c>
      <c r="J6119" t="n">
        <v>0</v>
      </c>
      <c r="K6119" t="n">
        <v>0</v>
      </c>
      <c r="L6119" t="n">
        <v>0</v>
      </c>
      <c r="M6119" t="n">
        <v>0</v>
      </c>
      <c r="N6119" t="n">
        <v>0</v>
      </c>
      <c r="O6119" t="n">
        <v>0</v>
      </c>
      <c r="P6119" t="n">
        <v>0</v>
      </c>
      <c r="Q6119" t="n">
        <v>0</v>
      </c>
      <c r="R6119" s="2" t="inlineStr"/>
    </row>
    <row r="6120" ht="15" customHeight="1">
      <c r="A6120" t="inlineStr">
        <is>
          <t>A 48349-2025</t>
        </is>
      </c>
      <c r="B6120" s="1" t="n">
        <v>45933.65673611111</v>
      </c>
      <c r="C6120" s="1" t="n">
        <v>46093</v>
      </c>
      <c r="D6120" t="inlineStr">
        <is>
          <t>VÄSTERNORRLANDS LÄN</t>
        </is>
      </c>
      <c r="E6120" t="inlineStr">
        <is>
          <t>SOLLEFTEÅ</t>
        </is>
      </c>
      <c r="F6120" t="inlineStr">
        <is>
          <t>SCA</t>
        </is>
      </c>
      <c r="G6120" t="n">
        <v>3.5</v>
      </c>
      <c r="H6120" t="n">
        <v>0</v>
      </c>
      <c r="I6120" t="n">
        <v>0</v>
      </c>
      <c r="J6120" t="n">
        <v>0</v>
      </c>
      <c r="K6120" t="n">
        <v>0</v>
      </c>
      <c r="L6120" t="n">
        <v>0</v>
      </c>
      <c r="M6120" t="n">
        <v>0</v>
      </c>
      <c r="N6120" t="n">
        <v>0</v>
      </c>
      <c r="O6120" t="n">
        <v>0</v>
      </c>
      <c r="P6120" t="n">
        <v>0</v>
      </c>
      <c r="Q6120" t="n">
        <v>0</v>
      </c>
      <c r="R6120" s="2" t="inlineStr"/>
    </row>
    <row r="6121" ht="15" customHeight="1">
      <c r="A6121" t="inlineStr">
        <is>
          <t>A 48352-2025</t>
        </is>
      </c>
      <c r="B6121" s="1" t="n">
        <v>45933</v>
      </c>
      <c r="C6121" s="1" t="n">
        <v>46093</v>
      </c>
      <c r="D6121" t="inlineStr">
        <is>
          <t>VÄSTERNORRLANDS LÄN</t>
        </is>
      </c>
      <c r="E6121" t="inlineStr">
        <is>
          <t>SUNDSVALL</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14055-2022</t>
        </is>
      </c>
      <c r="B6122" s="1" t="n">
        <v>44650.93824074074</v>
      </c>
      <c r="C6122" s="1" t="n">
        <v>46093</v>
      </c>
      <c r="D6122" t="inlineStr">
        <is>
          <t>VÄSTERNORRLANDS LÄN</t>
        </is>
      </c>
      <c r="E6122" t="inlineStr">
        <is>
          <t>SOLLEFTEÅ</t>
        </is>
      </c>
      <c r="F6122" t="inlineStr">
        <is>
          <t>SCA</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48219-2025</t>
        </is>
      </c>
      <c r="B6123" s="1" t="n">
        <v>45933.5</v>
      </c>
      <c r="C6123" s="1" t="n">
        <v>46093</v>
      </c>
      <c r="D6123" t="inlineStr">
        <is>
          <t>VÄSTERNORRLANDS LÄN</t>
        </is>
      </c>
      <c r="E6123" t="inlineStr">
        <is>
          <t>ÖRNSKÖLDSVIK</t>
        </is>
      </c>
      <c r="G6123" t="n">
        <v>9.4</v>
      </c>
      <c r="H6123" t="n">
        <v>0</v>
      </c>
      <c r="I6123" t="n">
        <v>0</v>
      </c>
      <c r="J6123" t="n">
        <v>0</v>
      </c>
      <c r="K6123" t="n">
        <v>0</v>
      </c>
      <c r="L6123" t="n">
        <v>0</v>
      </c>
      <c r="M6123" t="n">
        <v>0</v>
      </c>
      <c r="N6123" t="n">
        <v>0</v>
      </c>
      <c r="O6123" t="n">
        <v>0</v>
      </c>
      <c r="P6123" t="n">
        <v>0</v>
      </c>
      <c r="Q6123" t="n">
        <v>0</v>
      </c>
      <c r="R6123" s="2" t="inlineStr"/>
    </row>
    <row r="6124" ht="15" customHeight="1">
      <c r="A6124" t="inlineStr">
        <is>
          <t>A 48665-2025</t>
        </is>
      </c>
      <c r="B6124" s="1" t="n">
        <v>45936.57366898148</v>
      </c>
      <c r="C6124" s="1" t="n">
        <v>46093</v>
      </c>
      <c r="D6124" t="inlineStr">
        <is>
          <t>VÄSTERNORRLANDS LÄN</t>
        </is>
      </c>
      <c r="E6124" t="inlineStr">
        <is>
          <t>ÖRNSKÖLDSVIK</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35498-2022</t>
        </is>
      </c>
      <c r="B6125" s="1" t="n">
        <v>44798.94810185185</v>
      </c>
      <c r="C6125" s="1" t="n">
        <v>46093</v>
      </c>
      <c r="D6125" t="inlineStr">
        <is>
          <t>VÄSTERNORRLANDS LÄN</t>
        </is>
      </c>
      <c r="E6125" t="inlineStr">
        <is>
          <t>ÅNGE</t>
        </is>
      </c>
      <c r="F6125" t="inlineStr">
        <is>
          <t>SCA</t>
        </is>
      </c>
      <c r="G6125" t="n">
        <v>3</v>
      </c>
      <c r="H6125" t="n">
        <v>0</v>
      </c>
      <c r="I6125" t="n">
        <v>0</v>
      </c>
      <c r="J6125" t="n">
        <v>0</v>
      </c>
      <c r="K6125" t="n">
        <v>0</v>
      </c>
      <c r="L6125" t="n">
        <v>0</v>
      </c>
      <c r="M6125" t="n">
        <v>0</v>
      </c>
      <c r="N6125" t="n">
        <v>0</v>
      </c>
      <c r="O6125" t="n">
        <v>0</v>
      </c>
      <c r="P6125" t="n">
        <v>0</v>
      </c>
      <c r="Q6125" t="n">
        <v>0</v>
      </c>
      <c r="R6125" s="2" t="inlineStr"/>
    </row>
    <row r="6126" ht="15" customHeight="1">
      <c r="A6126" t="inlineStr">
        <is>
          <t>A 36755-2025</t>
        </is>
      </c>
      <c r="B6126" s="1" t="n">
        <v>45873.56207175926</v>
      </c>
      <c r="C6126" s="1" t="n">
        <v>46093</v>
      </c>
      <c r="D6126" t="inlineStr">
        <is>
          <t>VÄSTERNORRLANDS LÄN</t>
        </is>
      </c>
      <c r="E6126" t="inlineStr">
        <is>
          <t>SUNDSVALL</t>
        </is>
      </c>
      <c r="G6126" t="n">
        <v>2.5</v>
      </c>
      <c r="H6126" t="n">
        <v>0</v>
      </c>
      <c r="I6126" t="n">
        <v>0</v>
      </c>
      <c r="J6126" t="n">
        <v>0</v>
      </c>
      <c r="K6126" t="n">
        <v>0</v>
      </c>
      <c r="L6126" t="n">
        <v>0</v>
      </c>
      <c r="M6126" t="n">
        <v>0</v>
      </c>
      <c r="N6126" t="n">
        <v>0</v>
      </c>
      <c r="O6126" t="n">
        <v>0</v>
      </c>
      <c r="P6126" t="n">
        <v>0</v>
      </c>
      <c r="Q6126" t="n">
        <v>0</v>
      </c>
      <c r="R6126" s="2" t="inlineStr"/>
    </row>
    <row r="6127" ht="15" customHeight="1">
      <c r="A6127" t="inlineStr">
        <is>
          <t>A 46707-2025</t>
        </is>
      </c>
      <c r="B6127" s="1" t="n">
        <v>45926.56895833334</v>
      </c>
      <c r="C6127" s="1" t="n">
        <v>46093</v>
      </c>
      <c r="D6127" t="inlineStr">
        <is>
          <t>VÄSTERNORRLANDS LÄN</t>
        </is>
      </c>
      <c r="E6127" t="inlineStr">
        <is>
          <t>ÖRNSKÖLDSVIK</t>
        </is>
      </c>
      <c r="G6127" t="n">
        <v>6</v>
      </c>
      <c r="H6127" t="n">
        <v>0</v>
      </c>
      <c r="I6127" t="n">
        <v>0</v>
      </c>
      <c r="J6127" t="n">
        <v>0</v>
      </c>
      <c r="K6127" t="n">
        <v>0</v>
      </c>
      <c r="L6127" t="n">
        <v>0</v>
      </c>
      <c r="M6127" t="n">
        <v>0</v>
      </c>
      <c r="N6127" t="n">
        <v>0</v>
      </c>
      <c r="O6127" t="n">
        <v>0</v>
      </c>
      <c r="P6127" t="n">
        <v>0</v>
      </c>
      <c r="Q6127" t="n">
        <v>0</v>
      </c>
      <c r="R6127" s="2" t="inlineStr"/>
    </row>
    <row r="6128" ht="15" customHeight="1">
      <c r="A6128" t="inlineStr">
        <is>
          <t>A 9455-2025</t>
        </is>
      </c>
      <c r="B6128" s="1" t="n">
        <v>45715.43388888889</v>
      </c>
      <c r="C6128" s="1" t="n">
        <v>46093</v>
      </c>
      <c r="D6128" t="inlineStr">
        <is>
          <t>VÄSTERNORRLANDS LÄN</t>
        </is>
      </c>
      <c r="E6128" t="inlineStr">
        <is>
          <t>ÖRNSKÖLDSVIK</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36928-2025</t>
        </is>
      </c>
      <c r="B6129" s="1" t="n">
        <v>45874.55299768518</v>
      </c>
      <c r="C6129" s="1" t="n">
        <v>46093</v>
      </c>
      <c r="D6129" t="inlineStr">
        <is>
          <t>VÄSTERNORRLANDS LÄN</t>
        </is>
      </c>
      <c r="E6129" t="inlineStr">
        <is>
          <t>SOLLEFTEÅ</t>
        </is>
      </c>
      <c r="G6129" t="n">
        <v>6.3</v>
      </c>
      <c r="H6129" t="n">
        <v>0</v>
      </c>
      <c r="I6129" t="n">
        <v>0</v>
      </c>
      <c r="J6129" t="n">
        <v>0</v>
      </c>
      <c r="K6129" t="n">
        <v>0</v>
      </c>
      <c r="L6129" t="n">
        <v>0</v>
      </c>
      <c r="M6129" t="n">
        <v>0</v>
      </c>
      <c r="N6129" t="n">
        <v>0</v>
      </c>
      <c r="O6129" t="n">
        <v>0</v>
      </c>
      <c r="P6129" t="n">
        <v>0</v>
      </c>
      <c r="Q6129" t="n">
        <v>0</v>
      </c>
      <c r="R6129" s="2" t="inlineStr"/>
    </row>
    <row r="6130" ht="15" customHeight="1">
      <c r="A6130" t="inlineStr">
        <is>
          <t>A 18599-2025</t>
        </is>
      </c>
      <c r="B6130" s="1" t="n">
        <v>45763.48993055556</v>
      </c>
      <c r="C6130" s="1" t="n">
        <v>46093</v>
      </c>
      <c r="D6130" t="inlineStr">
        <is>
          <t>VÄSTERNORRLANDS LÄN</t>
        </is>
      </c>
      <c r="E6130" t="inlineStr">
        <is>
          <t>KRAMFORS</t>
        </is>
      </c>
      <c r="F6130" t="inlineStr">
        <is>
          <t>SCA</t>
        </is>
      </c>
      <c r="G6130" t="n">
        <v>4.9</v>
      </c>
      <c r="H6130" t="n">
        <v>0</v>
      </c>
      <c r="I6130" t="n">
        <v>0</v>
      </c>
      <c r="J6130" t="n">
        <v>0</v>
      </c>
      <c r="K6130" t="n">
        <v>0</v>
      </c>
      <c r="L6130" t="n">
        <v>0</v>
      </c>
      <c r="M6130" t="n">
        <v>0</v>
      </c>
      <c r="N6130" t="n">
        <v>0</v>
      </c>
      <c r="O6130" t="n">
        <v>0</v>
      </c>
      <c r="P6130" t="n">
        <v>0</v>
      </c>
      <c r="Q6130" t="n">
        <v>0</v>
      </c>
      <c r="R6130" s="2" t="inlineStr"/>
    </row>
    <row r="6131" ht="15" customHeight="1">
      <c r="A6131" t="inlineStr">
        <is>
          <t>A 4083-2025</t>
        </is>
      </c>
      <c r="B6131" s="1" t="n">
        <v>45684.66047453704</v>
      </c>
      <c r="C6131" s="1" t="n">
        <v>46093</v>
      </c>
      <c r="D6131" t="inlineStr">
        <is>
          <t>VÄSTERNORRLANDS LÄN</t>
        </is>
      </c>
      <c r="E6131" t="inlineStr">
        <is>
          <t>KRAMFORS</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18113-2025</t>
        </is>
      </c>
      <c r="B6132" s="1" t="n">
        <v>45761.57361111111</v>
      </c>
      <c r="C6132" s="1" t="n">
        <v>46093</v>
      </c>
      <c r="D6132" t="inlineStr">
        <is>
          <t>VÄSTERNORRLANDS LÄN</t>
        </is>
      </c>
      <c r="E6132" t="inlineStr">
        <is>
          <t>SUNDSVALL</t>
        </is>
      </c>
      <c r="F6132" t="inlineStr">
        <is>
          <t>SCA</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18610-2025</t>
        </is>
      </c>
      <c r="B6133" s="1" t="n">
        <v>45763.49549768519</v>
      </c>
      <c r="C6133" s="1" t="n">
        <v>46093</v>
      </c>
      <c r="D6133" t="inlineStr">
        <is>
          <t>VÄSTERNORRLANDS LÄN</t>
        </is>
      </c>
      <c r="E6133" t="inlineStr">
        <is>
          <t>ÖRNSKÖLDSVIK</t>
        </is>
      </c>
      <c r="G6133" t="n">
        <v>11.8</v>
      </c>
      <c r="H6133" t="n">
        <v>0</v>
      </c>
      <c r="I6133" t="n">
        <v>0</v>
      </c>
      <c r="J6133" t="n">
        <v>0</v>
      </c>
      <c r="K6133" t="n">
        <v>0</v>
      </c>
      <c r="L6133" t="n">
        <v>0</v>
      </c>
      <c r="M6133" t="n">
        <v>0</v>
      </c>
      <c r="N6133" t="n">
        <v>0</v>
      </c>
      <c r="O6133" t="n">
        <v>0</v>
      </c>
      <c r="P6133" t="n">
        <v>0</v>
      </c>
      <c r="Q6133" t="n">
        <v>0</v>
      </c>
      <c r="R6133" s="2" t="inlineStr"/>
    </row>
    <row r="6134" ht="15" customHeight="1">
      <c r="A6134" t="inlineStr">
        <is>
          <t>A 48583-2025</t>
        </is>
      </c>
      <c r="B6134" s="1" t="n">
        <v>45936.4578587963</v>
      </c>
      <c r="C6134" s="1" t="n">
        <v>46093</v>
      </c>
      <c r="D6134" t="inlineStr">
        <is>
          <t>VÄSTERNORRLANDS LÄN</t>
        </is>
      </c>
      <c r="E6134" t="inlineStr">
        <is>
          <t>KRAMFORS</t>
        </is>
      </c>
      <c r="G6134" t="n">
        <v>5.9</v>
      </c>
      <c r="H6134" t="n">
        <v>0</v>
      </c>
      <c r="I6134" t="n">
        <v>0</v>
      </c>
      <c r="J6134" t="n">
        <v>0</v>
      </c>
      <c r="K6134" t="n">
        <v>0</v>
      </c>
      <c r="L6134" t="n">
        <v>0</v>
      </c>
      <c r="M6134" t="n">
        <v>0</v>
      </c>
      <c r="N6134" t="n">
        <v>0</v>
      </c>
      <c r="O6134" t="n">
        <v>0</v>
      </c>
      <c r="P6134" t="n">
        <v>0</v>
      </c>
      <c r="Q6134" t="n">
        <v>0</v>
      </c>
      <c r="R6134" s="2" t="inlineStr"/>
    </row>
    <row r="6135" ht="15" customHeight="1">
      <c r="A6135" t="inlineStr">
        <is>
          <t>A 48588-2025</t>
        </is>
      </c>
      <c r="B6135" s="1" t="n">
        <v>45936.460625</v>
      </c>
      <c r="C6135" s="1" t="n">
        <v>46093</v>
      </c>
      <c r="D6135" t="inlineStr">
        <is>
          <t>VÄSTERNORRLANDS LÄN</t>
        </is>
      </c>
      <c r="E6135" t="inlineStr">
        <is>
          <t>KRAMFORS</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48633-2025</t>
        </is>
      </c>
      <c r="B6136" s="1" t="n">
        <v>45936.5117824074</v>
      </c>
      <c r="C6136" s="1" t="n">
        <v>46093</v>
      </c>
      <c r="D6136" t="inlineStr">
        <is>
          <t>VÄSTERNORRLANDS LÄN</t>
        </is>
      </c>
      <c r="E6136" t="inlineStr">
        <is>
          <t>HÄRNÖSAND</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48629-2025</t>
        </is>
      </c>
      <c r="B6137" s="1" t="n">
        <v>45936.51148148148</v>
      </c>
      <c r="C6137" s="1" t="n">
        <v>46093</v>
      </c>
      <c r="D6137" t="inlineStr">
        <is>
          <t>VÄSTERNORRLANDS LÄN</t>
        </is>
      </c>
      <c r="E6137" t="inlineStr">
        <is>
          <t>SUNDSVALL</t>
        </is>
      </c>
      <c r="F6137" t="inlineStr">
        <is>
          <t>SCA</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48630-2025</t>
        </is>
      </c>
      <c r="B6138" s="1" t="n">
        <v>45936.51167824074</v>
      </c>
      <c r="C6138" s="1" t="n">
        <v>46093</v>
      </c>
      <c r="D6138" t="inlineStr">
        <is>
          <t>VÄSTERNORRLANDS LÄN</t>
        </is>
      </c>
      <c r="E6138" t="inlineStr">
        <is>
          <t>HÄRNÖSAND</t>
        </is>
      </c>
      <c r="G6138" t="n">
        <v>4.7</v>
      </c>
      <c r="H6138" t="n">
        <v>0</v>
      </c>
      <c r="I6138" t="n">
        <v>0</v>
      </c>
      <c r="J6138" t="n">
        <v>0</v>
      </c>
      <c r="K6138" t="n">
        <v>0</v>
      </c>
      <c r="L6138" t="n">
        <v>0</v>
      </c>
      <c r="M6138" t="n">
        <v>0</v>
      </c>
      <c r="N6138" t="n">
        <v>0</v>
      </c>
      <c r="O6138" t="n">
        <v>0</v>
      </c>
      <c r="P6138" t="n">
        <v>0</v>
      </c>
      <c r="Q6138" t="n">
        <v>0</v>
      </c>
      <c r="R6138" s="2" t="inlineStr"/>
    </row>
    <row r="6139" ht="15" customHeight="1">
      <c r="A6139" t="inlineStr">
        <is>
          <t>A 7234-2024</t>
        </is>
      </c>
      <c r="B6139" s="1" t="n">
        <v>45344.65627314815</v>
      </c>
      <c r="C6139" s="1" t="n">
        <v>46093</v>
      </c>
      <c r="D6139" t="inlineStr">
        <is>
          <t>VÄSTERNORRLANDS LÄN</t>
        </is>
      </c>
      <c r="E6139" t="inlineStr">
        <is>
          <t>SOLLEFTEÅ</t>
        </is>
      </c>
      <c r="G6139" t="n">
        <v>3.1</v>
      </c>
      <c r="H6139" t="n">
        <v>0</v>
      </c>
      <c r="I6139" t="n">
        <v>0</v>
      </c>
      <c r="J6139" t="n">
        <v>0</v>
      </c>
      <c r="K6139" t="n">
        <v>0</v>
      </c>
      <c r="L6139" t="n">
        <v>0</v>
      </c>
      <c r="M6139" t="n">
        <v>0</v>
      </c>
      <c r="N6139" t="n">
        <v>0</v>
      </c>
      <c r="O6139" t="n">
        <v>0</v>
      </c>
      <c r="P6139" t="n">
        <v>0</v>
      </c>
      <c r="Q6139" t="n">
        <v>0</v>
      </c>
      <c r="R6139" s="2" t="inlineStr"/>
    </row>
    <row r="6140" ht="15" customHeight="1">
      <c r="A6140" t="inlineStr">
        <is>
          <t>A 48679-2025</t>
        </is>
      </c>
      <c r="B6140" s="1" t="n">
        <v>45936.59196759259</v>
      </c>
      <c r="C6140" s="1" t="n">
        <v>46093</v>
      </c>
      <c r="D6140" t="inlineStr">
        <is>
          <t>VÄSTERNORRLANDS LÄN</t>
        </is>
      </c>
      <c r="E6140" t="inlineStr">
        <is>
          <t>ÅNGE</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17512-2024</t>
        </is>
      </c>
      <c r="B6141" s="1" t="n">
        <v>45415</v>
      </c>
      <c r="C6141" s="1" t="n">
        <v>46093</v>
      </c>
      <c r="D6141" t="inlineStr">
        <is>
          <t>VÄSTERNORRLANDS LÄN</t>
        </is>
      </c>
      <c r="E6141" t="inlineStr">
        <is>
          <t>SOLLEFTEÅ</t>
        </is>
      </c>
      <c r="G6141" t="n">
        <v>3</v>
      </c>
      <c r="H6141" t="n">
        <v>0</v>
      </c>
      <c r="I6141" t="n">
        <v>0</v>
      </c>
      <c r="J6141" t="n">
        <v>0</v>
      </c>
      <c r="K6141" t="n">
        <v>0</v>
      </c>
      <c r="L6141" t="n">
        <v>0</v>
      </c>
      <c r="M6141" t="n">
        <v>0</v>
      </c>
      <c r="N6141" t="n">
        <v>0</v>
      </c>
      <c r="O6141" t="n">
        <v>0</v>
      </c>
      <c r="P6141" t="n">
        <v>0</v>
      </c>
      <c r="Q6141" t="n">
        <v>0</v>
      </c>
      <c r="R6141" s="2" t="inlineStr"/>
    </row>
    <row r="6142" ht="15" customHeight="1">
      <c r="A6142" t="inlineStr">
        <is>
          <t>A 57875-2024</t>
        </is>
      </c>
      <c r="B6142" s="1" t="n">
        <v>45631.44851851852</v>
      </c>
      <c r="C6142" s="1" t="n">
        <v>46093</v>
      </c>
      <c r="D6142" t="inlineStr">
        <is>
          <t>VÄSTERNORRLANDS LÄN</t>
        </is>
      </c>
      <c r="E6142" t="inlineStr">
        <is>
          <t>SUNDSVALL</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48269-2025</t>
        </is>
      </c>
      <c r="B6143" s="1" t="n">
        <v>45933</v>
      </c>
      <c r="C6143" s="1" t="n">
        <v>46093</v>
      </c>
      <c r="D6143" t="inlineStr">
        <is>
          <t>VÄSTERNORRLANDS LÄN</t>
        </is>
      </c>
      <c r="E6143" t="inlineStr">
        <is>
          <t>ÖRNSKÖLDSVIK</t>
        </is>
      </c>
      <c r="F6143" t="inlineStr">
        <is>
          <t>Holmen skog AB</t>
        </is>
      </c>
      <c r="G6143" t="n">
        <v>5.2</v>
      </c>
      <c r="H6143" t="n">
        <v>0</v>
      </c>
      <c r="I6143" t="n">
        <v>0</v>
      </c>
      <c r="J6143" t="n">
        <v>0</v>
      </c>
      <c r="K6143" t="n">
        <v>0</v>
      </c>
      <c r="L6143" t="n">
        <v>0</v>
      </c>
      <c r="M6143" t="n">
        <v>0</v>
      </c>
      <c r="N6143" t="n">
        <v>0</v>
      </c>
      <c r="O6143" t="n">
        <v>0</v>
      </c>
      <c r="P6143" t="n">
        <v>0</v>
      </c>
      <c r="Q6143" t="n">
        <v>0</v>
      </c>
      <c r="R6143" s="2" t="inlineStr"/>
    </row>
    <row r="6144" ht="15" customHeight="1">
      <c r="A6144" t="inlineStr">
        <is>
          <t>A 57922-2024</t>
        </is>
      </c>
      <c r="B6144" s="1" t="n">
        <v>45631.5107175926</v>
      </c>
      <c r="C6144" s="1" t="n">
        <v>46093</v>
      </c>
      <c r="D6144" t="inlineStr">
        <is>
          <t>VÄSTERNORRLANDS LÄN</t>
        </is>
      </c>
      <c r="E6144" t="inlineStr">
        <is>
          <t>SOLLEFTEÅ</t>
        </is>
      </c>
      <c r="F6144" t="inlineStr">
        <is>
          <t>SCA</t>
        </is>
      </c>
      <c r="G6144" t="n">
        <v>4.1</v>
      </c>
      <c r="H6144" t="n">
        <v>0</v>
      </c>
      <c r="I6144" t="n">
        <v>0</v>
      </c>
      <c r="J6144" t="n">
        <v>0</v>
      </c>
      <c r="K6144" t="n">
        <v>0</v>
      </c>
      <c r="L6144" t="n">
        <v>0</v>
      </c>
      <c r="M6144" t="n">
        <v>0</v>
      </c>
      <c r="N6144" t="n">
        <v>0</v>
      </c>
      <c r="O6144" t="n">
        <v>0</v>
      </c>
      <c r="P6144" t="n">
        <v>0</v>
      </c>
      <c r="Q6144" t="n">
        <v>0</v>
      </c>
      <c r="R6144" s="2" t="inlineStr"/>
    </row>
    <row r="6145" ht="15" customHeight="1">
      <c r="A6145" t="inlineStr">
        <is>
          <t>A 8423-2024</t>
        </is>
      </c>
      <c r="B6145" s="1" t="n">
        <v>45352.98938657407</v>
      </c>
      <c r="C6145" s="1" t="n">
        <v>46093</v>
      </c>
      <c r="D6145" t="inlineStr">
        <is>
          <t>VÄSTERNORRLANDS LÄN</t>
        </is>
      </c>
      <c r="E6145" t="inlineStr">
        <is>
          <t>SUNDSVALL</t>
        </is>
      </c>
      <c r="F6145" t="inlineStr">
        <is>
          <t>SCA</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7018-2023</t>
        </is>
      </c>
      <c r="B6146" s="1" t="n">
        <v>44967</v>
      </c>
      <c r="C6146" s="1" t="n">
        <v>46093</v>
      </c>
      <c r="D6146" t="inlineStr">
        <is>
          <t>VÄSTERNORRLANDS LÄN</t>
        </is>
      </c>
      <c r="E6146" t="inlineStr">
        <is>
          <t>KRAMFORS</t>
        </is>
      </c>
      <c r="F6146" t="inlineStr">
        <is>
          <t>SCA</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48310-2025</t>
        </is>
      </c>
      <c r="B6147" s="1" t="n">
        <v>45933.61559027778</v>
      </c>
      <c r="C6147" s="1" t="n">
        <v>46093</v>
      </c>
      <c r="D6147" t="inlineStr">
        <is>
          <t>VÄSTERNORRLANDS LÄN</t>
        </is>
      </c>
      <c r="E6147" t="inlineStr">
        <is>
          <t>SOLLEFTEÅ</t>
        </is>
      </c>
      <c r="F6147" t="inlineStr">
        <is>
          <t>SCA</t>
        </is>
      </c>
      <c r="G6147" t="n">
        <v>3.8</v>
      </c>
      <c r="H6147" t="n">
        <v>0</v>
      </c>
      <c r="I6147" t="n">
        <v>0</v>
      </c>
      <c r="J6147" t="n">
        <v>0</v>
      </c>
      <c r="K6147" t="n">
        <v>0</v>
      </c>
      <c r="L6147" t="n">
        <v>0</v>
      </c>
      <c r="M6147" t="n">
        <v>0</v>
      </c>
      <c r="N6147" t="n">
        <v>0</v>
      </c>
      <c r="O6147" t="n">
        <v>0</v>
      </c>
      <c r="P6147" t="n">
        <v>0</v>
      </c>
      <c r="Q6147" t="n">
        <v>0</v>
      </c>
      <c r="R6147" s="2" t="inlineStr"/>
    </row>
    <row r="6148" ht="15" customHeight="1">
      <c r="A6148" t="inlineStr">
        <is>
          <t>A 48425-2025</t>
        </is>
      </c>
      <c r="B6148" s="1" t="n">
        <v>45934.6984837963</v>
      </c>
      <c r="C6148" s="1" t="n">
        <v>46093</v>
      </c>
      <c r="D6148" t="inlineStr">
        <is>
          <t>VÄSTERNORRLANDS LÄN</t>
        </is>
      </c>
      <c r="E6148" t="inlineStr">
        <is>
          <t>SOLLEFTEÅ</t>
        </is>
      </c>
      <c r="F6148" t="inlineStr">
        <is>
          <t>SCA</t>
        </is>
      </c>
      <c r="G6148" t="n">
        <v>7.4</v>
      </c>
      <c r="H6148" t="n">
        <v>0</v>
      </c>
      <c r="I6148" t="n">
        <v>0</v>
      </c>
      <c r="J6148" t="n">
        <v>0</v>
      </c>
      <c r="K6148" t="n">
        <v>0</v>
      </c>
      <c r="L6148" t="n">
        <v>0</v>
      </c>
      <c r="M6148" t="n">
        <v>0</v>
      </c>
      <c r="N6148" t="n">
        <v>0</v>
      </c>
      <c r="O6148" t="n">
        <v>0</v>
      </c>
      <c r="P6148" t="n">
        <v>0</v>
      </c>
      <c r="Q6148" t="n">
        <v>0</v>
      </c>
      <c r="R6148" s="2" t="inlineStr"/>
    </row>
    <row r="6149" ht="15" customHeight="1">
      <c r="A6149" t="inlineStr">
        <is>
          <t>A 12477-2024</t>
        </is>
      </c>
      <c r="B6149" s="1" t="n">
        <v>45379</v>
      </c>
      <c r="C6149" s="1" t="n">
        <v>46093</v>
      </c>
      <c r="D6149" t="inlineStr">
        <is>
          <t>VÄSTERNORRLANDS LÄN</t>
        </is>
      </c>
      <c r="E6149" t="inlineStr">
        <is>
          <t>ÖRNSKÖLDSVIK</t>
        </is>
      </c>
      <c r="G6149" t="n">
        <v>7.5</v>
      </c>
      <c r="H6149" t="n">
        <v>0</v>
      </c>
      <c r="I6149" t="n">
        <v>0</v>
      </c>
      <c r="J6149" t="n">
        <v>0</v>
      </c>
      <c r="K6149" t="n">
        <v>0</v>
      </c>
      <c r="L6149" t="n">
        <v>0</v>
      </c>
      <c r="M6149" t="n">
        <v>0</v>
      </c>
      <c r="N6149" t="n">
        <v>0</v>
      </c>
      <c r="O6149" t="n">
        <v>0</v>
      </c>
      <c r="P6149" t="n">
        <v>0</v>
      </c>
      <c r="Q6149" t="n">
        <v>0</v>
      </c>
      <c r="R6149" s="2" t="inlineStr"/>
    </row>
    <row r="6150" ht="15" customHeight="1">
      <c r="A6150" t="inlineStr">
        <is>
          <t>A 3448-2025</t>
        </is>
      </c>
      <c r="B6150" s="1" t="n">
        <v>45680.47209490741</v>
      </c>
      <c r="C6150" s="1" t="n">
        <v>46093</v>
      </c>
      <c r="D6150" t="inlineStr">
        <is>
          <t>VÄSTERNORRLANDS LÄN</t>
        </is>
      </c>
      <c r="E6150" t="inlineStr">
        <is>
          <t>KRAMFORS</t>
        </is>
      </c>
      <c r="G6150" t="n">
        <v>0.4</v>
      </c>
      <c r="H6150" t="n">
        <v>0</v>
      </c>
      <c r="I6150" t="n">
        <v>0</v>
      </c>
      <c r="J6150" t="n">
        <v>0</v>
      </c>
      <c r="K6150" t="n">
        <v>0</v>
      </c>
      <c r="L6150" t="n">
        <v>0</v>
      </c>
      <c r="M6150" t="n">
        <v>0</v>
      </c>
      <c r="N6150" t="n">
        <v>0</v>
      </c>
      <c r="O6150" t="n">
        <v>0</v>
      </c>
      <c r="P6150" t="n">
        <v>0</v>
      </c>
      <c r="Q6150" t="n">
        <v>0</v>
      </c>
      <c r="R6150" s="2" t="inlineStr"/>
    </row>
    <row r="6151" ht="15" customHeight="1">
      <c r="A6151" t="inlineStr">
        <is>
          <t>A 50757-2023</t>
        </is>
      </c>
      <c r="B6151" s="1" t="n">
        <v>45217</v>
      </c>
      <c r="C6151" s="1" t="n">
        <v>46093</v>
      </c>
      <c r="D6151" t="inlineStr">
        <is>
          <t>VÄSTERNORRLANDS LÄN</t>
        </is>
      </c>
      <c r="E6151" t="inlineStr">
        <is>
          <t>SOLLEFTEÅ</t>
        </is>
      </c>
      <c r="F6151" t="inlineStr">
        <is>
          <t>Holmen skog AB</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48126-2025</t>
        </is>
      </c>
      <c r="B6152" s="1" t="n">
        <v>45933.36530092593</v>
      </c>
      <c r="C6152" s="1" t="n">
        <v>46093</v>
      </c>
      <c r="D6152" t="inlineStr">
        <is>
          <t>VÄSTERNORRLANDS LÄN</t>
        </is>
      </c>
      <c r="E6152" t="inlineStr">
        <is>
          <t>SOLLEFTEÅ</t>
        </is>
      </c>
      <c r="F6152" t="inlineStr">
        <is>
          <t>SCA</t>
        </is>
      </c>
      <c r="G6152" t="n">
        <v>7.7</v>
      </c>
      <c r="H6152" t="n">
        <v>0</v>
      </c>
      <c r="I6152" t="n">
        <v>0</v>
      </c>
      <c r="J6152" t="n">
        <v>0</v>
      </c>
      <c r="K6152" t="n">
        <v>0</v>
      </c>
      <c r="L6152" t="n">
        <v>0</v>
      </c>
      <c r="M6152" t="n">
        <v>0</v>
      </c>
      <c r="N6152" t="n">
        <v>0</v>
      </c>
      <c r="O6152" t="n">
        <v>0</v>
      </c>
      <c r="P6152" t="n">
        <v>0</v>
      </c>
      <c r="Q6152" t="n">
        <v>0</v>
      </c>
      <c r="R6152" s="2" t="inlineStr"/>
    </row>
    <row r="6153" ht="15" customHeight="1">
      <c r="A6153" t="inlineStr">
        <is>
          <t>A 50763-2023</t>
        </is>
      </c>
      <c r="B6153" s="1" t="n">
        <v>45210</v>
      </c>
      <c r="C6153" s="1" t="n">
        <v>46093</v>
      </c>
      <c r="D6153" t="inlineStr">
        <is>
          <t>VÄSTERNORRLANDS LÄN</t>
        </is>
      </c>
      <c r="E6153" t="inlineStr">
        <is>
          <t>SUNDSVALL</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48136-2025</t>
        </is>
      </c>
      <c r="B6154" s="1" t="n">
        <v>45933.37855324074</v>
      </c>
      <c r="C6154" s="1" t="n">
        <v>46093</v>
      </c>
      <c r="D6154" t="inlineStr">
        <is>
          <t>VÄSTERNORRLANDS LÄN</t>
        </is>
      </c>
      <c r="E6154" t="inlineStr">
        <is>
          <t>SUNDSVALL</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36958-2025</t>
        </is>
      </c>
      <c r="B6155" s="1" t="n">
        <v>45874.61498842593</v>
      </c>
      <c r="C6155" s="1" t="n">
        <v>46093</v>
      </c>
      <c r="D6155" t="inlineStr">
        <is>
          <t>VÄSTERNORRLANDS LÄN</t>
        </is>
      </c>
      <c r="E6155" t="inlineStr">
        <is>
          <t>HÄRNÖSAND</t>
        </is>
      </c>
      <c r="G6155" t="n">
        <v>4.1</v>
      </c>
      <c r="H6155" t="n">
        <v>0</v>
      </c>
      <c r="I6155" t="n">
        <v>0</v>
      </c>
      <c r="J6155" t="n">
        <v>0</v>
      </c>
      <c r="K6155" t="n">
        <v>0</v>
      </c>
      <c r="L6155" t="n">
        <v>0</v>
      </c>
      <c r="M6155" t="n">
        <v>0</v>
      </c>
      <c r="N6155" t="n">
        <v>0</v>
      </c>
      <c r="O6155" t="n">
        <v>0</v>
      </c>
      <c r="P6155" t="n">
        <v>0</v>
      </c>
      <c r="Q6155" t="n">
        <v>0</v>
      </c>
      <c r="R6155" s="2" t="inlineStr"/>
    </row>
    <row r="6156" ht="15" customHeight="1">
      <c r="A6156" t="inlineStr">
        <is>
          <t>A 36959-2025</t>
        </is>
      </c>
      <c r="B6156" s="1" t="n">
        <v>45874.61505787037</v>
      </c>
      <c r="C6156" s="1" t="n">
        <v>46093</v>
      </c>
      <c r="D6156" t="inlineStr">
        <is>
          <t>VÄSTERNORRLANDS LÄN</t>
        </is>
      </c>
      <c r="E6156" t="inlineStr">
        <is>
          <t>HÄRNÖSAND</t>
        </is>
      </c>
      <c r="G6156" t="n">
        <v>0.4</v>
      </c>
      <c r="H6156" t="n">
        <v>0</v>
      </c>
      <c r="I6156" t="n">
        <v>0</v>
      </c>
      <c r="J6156" t="n">
        <v>0</v>
      </c>
      <c r="K6156" t="n">
        <v>0</v>
      </c>
      <c r="L6156" t="n">
        <v>0</v>
      </c>
      <c r="M6156" t="n">
        <v>0</v>
      </c>
      <c r="N6156" t="n">
        <v>0</v>
      </c>
      <c r="O6156" t="n">
        <v>0</v>
      </c>
      <c r="P6156" t="n">
        <v>0</v>
      </c>
      <c r="Q6156" t="n">
        <v>0</v>
      </c>
      <c r="R6156" s="2" t="inlineStr"/>
    </row>
    <row r="6157" ht="15" customHeight="1">
      <c r="A6157" t="inlineStr">
        <is>
          <t>A 36972-2025</t>
        </is>
      </c>
      <c r="B6157" s="1" t="n">
        <v>45874.63732638889</v>
      </c>
      <c r="C6157" s="1" t="n">
        <v>46093</v>
      </c>
      <c r="D6157" t="inlineStr">
        <is>
          <t>VÄSTERNORRLANDS LÄN</t>
        </is>
      </c>
      <c r="E6157" t="inlineStr">
        <is>
          <t>SUNDSVALL</t>
        </is>
      </c>
      <c r="F6157" t="inlineStr">
        <is>
          <t>SCA</t>
        </is>
      </c>
      <c r="G6157" t="n">
        <v>9.9</v>
      </c>
      <c r="H6157" t="n">
        <v>0</v>
      </c>
      <c r="I6157" t="n">
        <v>0</v>
      </c>
      <c r="J6157" t="n">
        <v>0</v>
      </c>
      <c r="K6157" t="n">
        <v>0</v>
      </c>
      <c r="L6157" t="n">
        <v>0</v>
      </c>
      <c r="M6157" t="n">
        <v>0</v>
      </c>
      <c r="N6157" t="n">
        <v>0</v>
      </c>
      <c r="O6157" t="n">
        <v>0</v>
      </c>
      <c r="P6157" t="n">
        <v>0</v>
      </c>
      <c r="Q6157" t="n">
        <v>0</v>
      </c>
      <c r="R6157" s="2" t="inlineStr"/>
    </row>
    <row r="6158" ht="15" customHeight="1">
      <c r="A6158" t="inlineStr">
        <is>
          <t>A 51783-2024</t>
        </is>
      </c>
      <c r="B6158" s="1" t="n">
        <v>45607.45813657407</v>
      </c>
      <c r="C6158" s="1" t="n">
        <v>46093</v>
      </c>
      <c r="D6158" t="inlineStr">
        <is>
          <t>VÄSTERNORRLANDS LÄN</t>
        </is>
      </c>
      <c r="E6158" t="inlineStr">
        <is>
          <t>ÖRNSKÖLDSVIK</t>
        </is>
      </c>
      <c r="G6158" t="n">
        <v>3.6</v>
      </c>
      <c r="H6158" t="n">
        <v>0</v>
      </c>
      <c r="I6158" t="n">
        <v>0</v>
      </c>
      <c r="J6158" t="n">
        <v>0</v>
      </c>
      <c r="K6158" t="n">
        <v>0</v>
      </c>
      <c r="L6158" t="n">
        <v>0</v>
      </c>
      <c r="M6158" t="n">
        <v>0</v>
      </c>
      <c r="N6158" t="n">
        <v>0</v>
      </c>
      <c r="O6158" t="n">
        <v>0</v>
      </c>
      <c r="P6158" t="n">
        <v>0</v>
      </c>
      <c r="Q6158" t="n">
        <v>0</v>
      </c>
      <c r="R6158" s="2" t="inlineStr"/>
    </row>
    <row r="6159" ht="15" customHeight="1">
      <c r="A6159" t="inlineStr">
        <is>
          <t>A 48743-2025</t>
        </is>
      </c>
      <c r="B6159" s="1" t="n">
        <v>45936.67827546296</v>
      </c>
      <c r="C6159" s="1" t="n">
        <v>46093</v>
      </c>
      <c r="D6159" t="inlineStr">
        <is>
          <t>VÄSTERNORRLANDS LÄN</t>
        </is>
      </c>
      <c r="E6159" t="inlineStr">
        <is>
          <t>SOLLEFTEÅ</t>
        </is>
      </c>
      <c r="F6159" t="inlineStr">
        <is>
          <t>SCA</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3347-2024</t>
        </is>
      </c>
      <c r="B6160" s="1" t="n">
        <v>45317</v>
      </c>
      <c r="C6160" s="1" t="n">
        <v>46093</v>
      </c>
      <c r="D6160" t="inlineStr">
        <is>
          <t>VÄSTERNORRLANDS LÄN</t>
        </is>
      </c>
      <c r="E6160" t="inlineStr">
        <is>
          <t>ÅNGE</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48222-2025</t>
        </is>
      </c>
      <c r="B6161" s="1" t="n">
        <v>45933.50403935185</v>
      </c>
      <c r="C6161" s="1" t="n">
        <v>46093</v>
      </c>
      <c r="D6161" t="inlineStr">
        <is>
          <t>VÄSTERNORRLANDS LÄN</t>
        </is>
      </c>
      <c r="E6161" t="inlineStr">
        <is>
          <t>ÖRNSKÖLDSVIK</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20153-2025</t>
        </is>
      </c>
      <c r="B6162" s="1" t="n">
        <v>45772.55599537037</v>
      </c>
      <c r="C6162" s="1" t="n">
        <v>46093</v>
      </c>
      <c r="D6162" t="inlineStr">
        <is>
          <t>VÄSTERNORRLANDS LÄN</t>
        </is>
      </c>
      <c r="E6162" t="inlineStr">
        <is>
          <t>ÖRNSKÖLDSVIK</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10852-2024</t>
        </is>
      </c>
      <c r="B6163" s="1" t="n">
        <v>45370</v>
      </c>
      <c r="C6163" s="1" t="n">
        <v>46093</v>
      </c>
      <c r="D6163" t="inlineStr">
        <is>
          <t>VÄSTERNORRLANDS LÄN</t>
        </is>
      </c>
      <c r="E6163" t="inlineStr">
        <is>
          <t>TIMRÅ</t>
        </is>
      </c>
      <c r="F6163" t="inlineStr">
        <is>
          <t>SCA</t>
        </is>
      </c>
      <c r="G6163" t="n">
        <v>3.4</v>
      </c>
      <c r="H6163" t="n">
        <v>0</v>
      </c>
      <c r="I6163" t="n">
        <v>0</v>
      </c>
      <c r="J6163" t="n">
        <v>0</v>
      </c>
      <c r="K6163" t="n">
        <v>0</v>
      </c>
      <c r="L6163" t="n">
        <v>0</v>
      </c>
      <c r="M6163" t="n">
        <v>0</v>
      </c>
      <c r="N6163" t="n">
        <v>0</v>
      </c>
      <c r="O6163" t="n">
        <v>0</v>
      </c>
      <c r="P6163" t="n">
        <v>0</v>
      </c>
      <c r="Q6163" t="n">
        <v>0</v>
      </c>
      <c r="R6163" s="2" t="inlineStr"/>
    </row>
    <row r="6164" ht="15" customHeight="1">
      <c r="A6164" t="inlineStr">
        <is>
          <t>A 63529-2023</t>
        </is>
      </c>
      <c r="B6164" s="1" t="n">
        <v>45274.94859953703</v>
      </c>
      <c r="C6164" s="1" t="n">
        <v>46093</v>
      </c>
      <c r="D6164" t="inlineStr">
        <is>
          <t>VÄSTERNORRLANDS LÄN</t>
        </is>
      </c>
      <c r="E6164" t="inlineStr">
        <is>
          <t>SOLLEFTEÅ</t>
        </is>
      </c>
      <c r="F6164" t="inlineStr">
        <is>
          <t>SCA</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63530-2023</t>
        </is>
      </c>
      <c r="B6165" s="1" t="n">
        <v>45274</v>
      </c>
      <c r="C6165" s="1" t="n">
        <v>46093</v>
      </c>
      <c r="D6165" t="inlineStr">
        <is>
          <t>VÄSTERNORRLANDS LÄN</t>
        </is>
      </c>
      <c r="E6165" t="inlineStr">
        <is>
          <t>ÅNGE</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36363-2022</t>
        </is>
      </c>
      <c r="B6166" s="1" t="n">
        <v>44803</v>
      </c>
      <c r="C6166" s="1" t="n">
        <v>46093</v>
      </c>
      <c r="D6166" t="inlineStr">
        <is>
          <t>VÄSTERNORRLANDS LÄN</t>
        </is>
      </c>
      <c r="E6166" t="inlineStr">
        <is>
          <t>KRAMFORS</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48668-2025</t>
        </is>
      </c>
      <c r="B6167" s="1" t="n">
        <v>45936.5741550926</v>
      </c>
      <c r="C6167" s="1" t="n">
        <v>46093</v>
      </c>
      <c r="D6167" t="inlineStr">
        <is>
          <t>VÄSTERNORRLANDS LÄN</t>
        </is>
      </c>
      <c r="E6167" t="inlineStr">
        <is>
          <t>SUNDSVALL</t>
        </is>
      </c>
      <c r="F6167" t="inlineStr">
        <is>
          <t>SCA</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20204-2025</t>
        </is>
      </c>
      <c r="B6168" s="1" t="n">
        <v>45772.61537037037</v>
      </c>
      <c r="C6168" s="1" t="n">
        <v>46093</v>
      </c>
      <c r="D6168" t="inlineStr">
        <is>
          <t>VÄSTERNORRLANDS LÄN</t>
        </is>
      </c>
      <c r="E6168" t="inlineStr">
        <is>
          <t>SOLLEFTEÅ</t>
        </is>
      </c>
      <c r="F6168" t="inlineStr">
        <is>
          <t>SCA</t>
        </is>
      </c>
      <c r="G6168" t="n">
        <v>3</v>
      </c>
      <c r="H6168" t="n">
        <v>0</v>
      </c>
      <c r="I6168" t="n">
        <v>0</v>
      </c>
      <c r="J6168" t="n">
        <v>0</v>
      </c>
      <c r="K6168" t="n">
        <v>0</v>
      </c>
      <c r="L6168" t="n">
        <v>0</v>
      </c>
      <c r="M6168" t="n">
        <v>0</v>
      </c>
      <c r="N6168" t="n">
        <v>0</v>
      </c>
      <c r="O6168" t="n">
        <v>0</v>
      </c>
      <c r="P6168" t="n">
        <v>0</v>
      </c>
      <c r="Q6168" t="n">
        <v>0</v>
      </c>
      <c r="R6168" s="2" t="inlineStr"/>
    </row>
    <row r="6169" ht="15" customHeight="1">
      <c r="A6169" t="inlineStr">
        <is>
          <t>A 9853-2025</t>
        </is>
      </c>
      <c r="B6169" s="1" t="n">
        <v>45716</v>
      </c>
      <c r="C6169" s="1" t="n">
        <v>46093</v>
      </c>
      <c r="D6169" t="inlineStr">
        <is>
          <t>VÄSTERNORRLANDS LÄN</t>
        </is>
      </c>
      <c r="E6169" t="inlineStr">
        <is>
          <t>ÖRNSKÖLDSVIK</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25430-2022</t>
        </is>
      </c>
      <c r="B6170" s="1" t="n">
        <v>44732</v>
      </c>
      <c r="C6170" s="1" t="n">
        <v>46093</v>
      </c>
      <c r="D6170" t="inlineStr">
        <is>
          <t>VÄSTERNORRLANDS LÄN</t>
        </is>
      </c>
      <c r="E6170" t="inlineStr">
        <is>
          <t>HÄRNÖSAND</t>
        </is>
      </c>
      <c r="G6170" t="n">
        <v>18.7</v>
      </c>
      <c r="H6170" t="n">
        <v>0</v>
      </c>
      <c r="I6170" t="n">
        <v>0</v>
      </c>
      <c r="J6170" t="n">
        <v>0</v>
      </c>
      <c r="K6170" t="n">
        <v>0</v>
      </c>
      <c r="L6170" t="n">
        <v>0</v>
      </c>
      <c r="M6170" t="n">
        <v>0</v>
      </c>
      <c r="N6170" t="n">
        <v>0</v>
      </c>
      <c r="O6170" t="n">
        <v>0</v>
      </c>
      <c r="P6170" t="n">
        <v>0</v>
      </c>
      <c r="Q6170" t="n">
        <v>0</v>
      </c>
      <c r="R6170" s="2" t="inlineStr"/>
    </row>
    <row r="6171" ht="15" customHeight="1">
      <c r="A6171" t="inlineStr">
        <is>
          <t>A 60942-2023</t>
        </is>
      </c>
      <c r="B6171" s="1" t="n">
        <v>45259</v>
      </c>
      <c r="C6171" s="1" t="n">
        <v>46093</v>
      </c>
      <c r="D6171" t="inlineStr">
        <is>
          <t>VÄSTERNORRLANDS LÄN</t>
        </is>
      </c>
      <c r="E6171" t="inlineStr">
        <is>
          <t>SUNDSVALL</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28336-2024</t>
        </is>
      </c>
      <c r="B6172" s="1" t="n">
        <v>45477.54378472222</v>
      </c>
      <c r="C6172" s="1" t="n">
        <v>46093</v>
      </c>
      <c r="D6172" t="inlineStr">
        <is>
          <t>VÄSTERNORRLANDS LÄN</t>
        </is>
      </c>
      <c r="E6172" t="inlineStr">
        <is>
          <t>ÖRNSKÖLDSVIK</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37619-2022</t>
        </is>
      </c>
      <c r="B6173" s="1" t="n">
        <v>44810</v>
      </c>
      <c r="C6173" s="1" t="n">
        <v>46093</v>
      </c>
      <c r="D6173" t="inlineStr">
        <is>
          <t>VÄSTERNORRLANDS LÄN</t>
        </is>
      </c>
      <c r="E6173" t="inlineStr">
        <is>
          <t>ÖRNSKÖLDSVIK</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48215-2025</t>
        </is>
      </c>
      <c r="B6174" s="1" t="n">
        <v>45933.49534722222</v>
      </c>
      <c r="C6174" s="1" t="n">
        <v>46093</v>
      </c>
      <c r="D6174" t="inlineStr">
        <is>
          <t>VÄSTERNORRLANDS LÄN</t>
        </is>
      </c>
      <c r="E6174" t="inlineStr">
        <is>
          <t>ÖRNSKÖLDSVIK</t>
        </is>
      </c>
      <c r="G6174" t="n">
        <v>2.9</v>
      </c>
      <c r="H6174" t="n">
        <v>0</v>
      </c>
      <c r="I6174" t="n">
        <v>0</v>
      </c>
      <c r="J6174" t="n">
        <v>0</v>
      </c>
      <c r="K6174" t="n">
        <v>0</v>
      </c>
      <c r="L6174" t="n">
        <v>0</v>
      </c>
      <c r="M6174" t="n">
        <v>0</v>
      </c>
      <c r="N6174" t="n">
        <v>0</v>
      </c>
      <c r="O6174" t="n">
        <v>0</v>
      </c>
      <c r="P6174" t="n">
        <v>0</v>
      </c>
      <c r="Q6174" t="n">
        <v>0</v>
      </c>
      <c r="R6174" s="2" t="inlineStr"/>
    </row>
    <row r="6175" ht="15" customHeight="1">
      <c r="A6175" t="inlineStr">
        <is>
          <t>A 48838-2025</t>
        </is>
      </c>
      <c r="B6175" s="1" t="n">
        <v>45937.41309027778</v>
      </c>
      <c r="C6175" s="1" t="n">
        <v>46093</v>
      </c>
      <c r="D6175" t="inlineStr">
        <is>
          <t>VÄSTERNORRLANDS LÄN</t>
        </is>
      </c>
      <c r="E6175" t="inlineStr">
        <is>
          <t>SOLLEFTEÅ</t>
        </is>
      </c>
      <c r="G6175" t="n">
        <v>9.300000000000001</v>
      </c>
      <c r="H6175" t="n">
        <v>0</v>
      </c>
      <c r="I6175" t="n">
        <v>0</v>
      </c>
      <c r="J6175" t="n">
        <v>0</v>
      </c>
      <c r="K6175" t="n">
        <v>0</v>
      </c>
      <c r="L6175" t="n">
        <v>0</v>
      </c>
      <c r="M6175" t="n">
        <v>0</v>
      </c>
      <c r="N6175" t="n">
        <v>0</v>
      </c>
      <c r="O6175" t="n">
        <v>0</v>
      </c>
      <c r="P6175" t="n">
        <v>0</v>
      </c>
      <c r="Q6175" t="n">
        <v>0</v>
      </c>
      <c r="R6175" s="2" t="inlineStr"/>
    </row>
    <row r="6176" ht="15" customHeight="1">
      <c r="A6176" t="inlineStr">
        <is>
          <t>A 31559-2024</t>
        </is>
      </c>
      <c r="B6176" s="1" t="n">
        <v>45505.96555555556</v>
      </c>
      <c r="C6176" s="1" t="n">
        <v>46093</v>
      </c>
      <c r="D6176" t="inlineStr">
        <is>
          <t>VÄSTERNORRLANDS LÄN</t>
        </is>
      </c>
      <c r="E6176" t="inlineStr">
        <is>
          <t>SOLLEFTEÅ</t>
        </is>
      </c>
      <c r="F6176" t="inlineStr">
        <is>
          <t>SCA</t>
        </is>
      </c>
      <c r="G6176" t="n">
        <v>2.6</v>
      </c>
      <c r="H6176" t="n">
        <v>0</v>
      </c>
      <c r="I6176" t="n">
        <v>0</v>
      </c>
      <c r="J6176" t="n">
        <v>0</v>
      </c>
      <c r="K6176" t="n">
        <v>0</v>
      </c>
      <c r="L6176" t="n">
        <v>0</v>
      </c>
      <c r="M6176" t="n">
        <v>0</v>
      </c>
      <c r="N6176" t="n">
        <v>0</v>
      </c>
      <c r="O6176" t="n">
        <v>0</v>
      </c>
      <c r="P6176" t="n">
        <v>0</v>
      </c>
      <c r="Q6176" t="n">
        <v>0</v>
      </c>
      <c r="R6176" s="2" t="inlineStr"/>
    </row>
    <row r="6177" ht="15" customHeight="1">
      <c r="A6177" t="inlineStr">
        <is>
          <t>A 55276-2023</t>
        </is>
      </c>
      <c r="B6177" s="1" t="n">
        <v>45231</v>
      </c>
      <c r="C6177" s="1" t="n">
        <v>46093</v>
      </c>
      <c r="D6177" t="inlineStr">
        <is>
          <t>VÄSTERNORRLANDS LÄN</t>
        </is>
      </c>
      <c r="E6177" t="inlineStr">
        <is>
          <t>HÄRNÖSAND</t>
        </is>
      </c>
      <c r="G6177" t="n">
        <v>2.7</v>
      </c>
      <c r="H6177" t="n">
        <v>0</v>
      </c>
      <c r="I6177" t="n">
        <v>0</v>
      </c>
      <c r="J6177" t="n">
        <v>0</v>
      </c>
      <c r="K6177" t="n">
        <v>0</v>
      </c>
      <c r="L6177" t="n">
        <v>0</v>
      </c>
      <c r="M6177" t="n">
        <v>0</v>
      </c>
      <c r="N6177" t="n">
        <v>0</v>
      </c>
      <c r="O6177" t="n">
        <v>0</v>
      </c>
      <c r="P6177" t="n">
        <v>0</v>
      </c>
      <c r="Q6177" t="n">
        <v>0</v>
      </c>
      <c r="R6177" s="2" t="inlineStr"/>
    </row>
    <row r="6178" ht="15" customHeight="1">
      <c r="A6178" t="inlineStr">
        <is>
          <t>A 13262-2023</t>
        </is>
      </c>
      <c r="B6178" s="1" t="n">
        <v>45002</v>
      </c>
      <c r="C6178" s="1" t="n">
        <v>46093</v>
      </c>
      <c r="D6178" t="inlineStr">
        <is>
          <t>VÄSTERNORRLANDS LÄN</t>
        </is>
      </c>
      <c r="E6178" t="inlineStr">
        <is>
          <t>SUNDSVALL</t>
        </is>
      </c>
      <c r="F6178" t="inlineStr">
        <is>
          <t>Naturvårdsverket</t>
        </is>
      </c>
      <c r="G6178" t="n">
        <v>8.6</v>
      </c>
      <c r="H6178" t="n">
        <v>0</v>
      </c>
      <c r="I6178" t="n">
        <v>0</v>
      </c>
      <c r="J6178" t="n">
        <v>0</v>
      </c>
      <c r="K6178" t="n">
        <v>0</v>
      </c>
      <c r="L6178" t="n">
        <v>0</v>
      </c>
      <c r="M6178" t="n">
        <v>0</v>
      </c>
      <c r="N6178" t="n">
        <v>0</v>
      </c>
      <c r="O6178" t="n">
        <v>0</v>
      </c>
      <c r="P6178" t="n">
        <v>0</v>
      </c>
      <c r="Q6178" t="n">
        <v>0</v>
      </c>
      <c r="R6178" s="2" t="inlineStr"/>
    </row>
    <row r="6179" ht="15" customHeight="1">
      <c r="A6179" t="inlineStr">
        <is>
          <t>A 4894-2025</t>
        </is>
      </c>
      <c r="B6179" s="1" t="n">
        <v>45688.67888888889</v>
      </c>
      <c r="C6179" s="1" t="n">
        <v>46093</v>
      </c>
      <c r="D6179" t="inlineStr">
        <is>
          <t>VÄSTERNORRLANDS LÄN</t>
        </is>
      </c>
      <c r="E6179" t="inlineStr">
        <is>
          <t>SOLLEFTEÅ</t>
        </is>
      </c>
      <c r="F6179" t="inlineStr">
        <is>
          <t>SCA</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36825-2025</t>
        </is>
      </c>
      <c r="B6180" s="1" t="n">
        <v>45874.30641203704</v>
      </c>
      <c r="C6180" s="1" t="n">
        <v>46093</v>
      </c>
      <c r="D6180" t="inlineStr">
        <is>
          <t>VÄSTERNORRLANDS LÄN</t>
        </is>
      </c>
      <c r="E6180" t="inlineStr">
        <is>
          <t>ÖRNSKÖLDSVIK</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48891-2025</t>
        </is>
      </c>
      <c r="B6181" s="1" t="n">
        <v>45937.47082175926</v>
      </c>
      <c r="C6181" s="1" t="n">
        <v>46093</v>
      </c>
      <c r="D6181" t="inlineStr">
        <is>
          <t>VÄSTERNORRLANDS LÄN</t>
        </is>
      </c>
      <c r="E6181" t="inlineStr">
        <is>
          <t>ÖRNSKÖLDSVIK</t>
        </is>
      </c>
      <c r="G6181" t="n">
        <v>9.300000000000001</v>
      </c>
      <c r="H6181" t="n">
        <v>0</v>
      </c>
      <c r="I6181" t="n">
        <v>0</v>
      </c>
      <c r="J6181" t="n">
        <v>0</v>
      </c>
      <c r="K6181" t="n">
        <v>0</v>
      </c>
      <c r="L6181" t="n">
        <v>0</v>
      </c>
      <c r="M6181" t="n">
        <v>0</v>
      </c>
      <c r="N6181" t="n">
        <v>0</v>
      </c>
      <c r="O6181" t="n">
        <v>0</v>
      </c>
      <c r="P6181" t="n">
        <v>0</v>
      </c>
      <c r="Q6181" t="n">
        <v>0</v>
      </c>
      <c r="R6181" s="2" t="inlineStr"/>
    </row>
    <row r="6182" ht="15" customHeight="1">
      <c r="A6182" t="inlineStr">
        <is>
          <t>A 48914-2025</t>
        </is>
      </c>
      <c r="B6182" s="1" t="n">
        <v>45937</v>
      </c>
      <c r="C6182" s="1" t="n">
        <v>46093</v>
      </c>
      <c r="D6182" t="inlineStr">
        <is>
          <t>VÄSTERNORRLANDS LÄN</t>
        </is>
      </c>
      <c r="E6182" t="inlineStr">
        <is>
          <t>SOLLEFTEÅ</t>
        </is>
      </c>
      <c r="F6182" t="inlineStr">
        <is>
          <t>SCA</t>
        </is>
      </c>
      <c r="G6182" t="n">
        <v>24.1</v>
      </c>
      <c r="H6182" t="n">
        <v>0</v>
      </c>
      <c r="I6182" t="n">
        <v>0</v>
      </c>
      <c r="J6182" t="n">
        <v>0</v>
      </c>
      <c r="K6182" t="n">
        <v>0</v>
      </c>
      <c r="L6182" t="n">
        <v>0</v>
      </c>
      <c r="M6182" t="n">
        <v>0</v>
      </c>
      <c r="N6182" t="n">
        <v>0</v>
      </c>
      <c r="O6182" t="n">
        <v>0</v>
      </c>
      <c r="P6182" t="n">
        <v>0</v>
      </c>
      <c r="Q6182" t="n">
        <v>0</v>
      </c>
      <c r="R6182" s="2" t="inlineStr"/>
    </row>
    <row r="6183" ht="15" customHeight="1">
      <c r="A6183" t="inlineStr">
        <is>
          <t>A 4917-2025</t>
        </is>
      </c>
      <c r="B6183" s="1" t="n">
        <v>45688</v>
      </c>
      <c r="C6183" s="1" t="n">
        <v>46093</v>
      </c>
      <c r="D6183" t="inlineStr">
        <is>
          <t>VÄSTERNORRLANDS LÄN</t>
        </is>
      </c>
      <c r="E6183" t="inlineStr">
        <is>
          <t>SUNDSVALL</t>
        </is>
      </c>
      <c r="F6183" t="inlineStr">
        <is>
          <t>SCA</t>
        </is>
      </c>
      <c r="G6183" t="n">
        <v>3.3</v>
      </c>
      <c r="H6183" t="n">
        <v>0</v>
      </c>
      <c r="I6183" t="n">
        <v>0</v>
      </c>
      <c r="J6183" t="n">
        <v>0</v>
      </c>
      <c r="K6183" t="n">
        <v>0</v>
      </c>
      <c r="L6183" t="n">
        <v>0</v>
      </c>
      <c r="M6183" t="n">
        <v>0</v>
      </c>
      <c r="N6183" t="n">
        <v>0</v>
      </c>
      <c r="O6183" t="n">
        <v>0</v>
      </c>
      <c r="P6183" t="n">
        <v>0</v>
      </c>
      <c r="Q6183" t="n">
        <v>0</v>
      </c>
      <c r="R6183" s="2" t="inlineStr"/>
    </row>
    <row r="6184" ht="15" customHeight="1">
      <c r="A6184" t="inlineStr">
        <is>
          <t>A 4931-2025</t>
        </is>
      </c>
      <c r="B6184" s="1" t="n">
        <v>45688.68476851852</v>
      </c>
      <c r="C6184" s="1" t="n">
        <v>46093</v>
      </c>
      <c r="D6184" t="inlineStr">
        <is>
          <t>VÄSTERNORRLANDS LÄN</t>
        </is>
      </c>
      <c r="E6184" t="inlineStr">
        <is>
          <t>SOLLEFTEÅ</t>
        </is>
      </c>
      <c r="G6184" t="n">
        <v>3.1</v>
      </c>
      <c r="H6184" t="n">
        <v>0</v>
      </c>
      <c r="I6184" t="n">
        <v>0</v>
      </c>
      <c r="J6184" t="n">
        <v>0</v>
      </c>
      <c r="K6184" t="n">
        <v>0</v>
      </c>
      <c r="L6184" t="n">
        <v>0</v>
      </c>
      <c r="M6184" t="n">
        <v>0</v>
      </c>
      <c r="N6184" t="n">
        <v>0</v>
      </c>
      <c r="O6184" t="n">
        <v>0</v>
      </c>
      <c r="P6184" t="n">
        <v>0</v>
      </c>
      <c r="Q6184" t="n">
        <v>0</v>
      </c>
      <c r="R6184" s="2" t="inlineStr"/>
    </row>
    <row r="6185" ht="15" customHeight="1">
      <c r="A6185" t="inlineStr">
        <is>
          <t>A 18112-2025</t>
        </is>
      </c>
      <c r="B6185" s="1" t="n">
        <v>45761.57350694444</v>
      </c>
      <c r="C6185" s="1" t="n">
        <v>46093</v>
      </c>
      <c r="D6185" t="inlineStr">
        <is>
          <t>VÄSTERNORRLANDS LÄN</t>
        </is>
      </c>
      <c r="E6185" t="inlineStr">
        <is>
          <t>ÅNGE</t>
        </is>
      </c>
      <c r="F6185" t="inlineStr">
        <is>
          <t>SCA</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48815-2025</t>
        </is>
      </c>
      <c r="B6186" s="1" t="n">
        <v>45937.36503472222</v>
      </c>
      <c r="C6186" s="1" t="n">
        <v>46093</v>
      </c>
      <c r="D6186" t="inlineStr">
        <is>
          <t>VÄSTERNORRLANDS LÄN</t>
        </is>
      </c>
      <c r="E6186" t="inlineStr">
        <is>
          <t>SOLLEFTEÅ</t>
        </is>
      </c>
      <c r="F6186" t="inlineStr">
        <is>
          <t>SCA</t>
        </is>
      </c>
      <c r="G6186" t="n">
        <v>3</v>
      </c>
      <c r="H6186" t="n">
        <v>0</v>
      </c>
      <c r="I6186" t="n">
        <v>0</v>
      </c>
      <c r="J6186" t="n">
        <v>0</v>
      </c>
      <c r="K6186" t="n">
        <v>0</v>
      </c>
      <c r="L6186" t="n">
        <v>0</v>
      </c>
      <c r="M6186" t="n">
        <v>0</v>
      </c>
      <c r="N6186" t="n">
        <v>0</v>
      </c>
      <c r="O6186" t="n">
        <v>0</v>
      </c>
      <c r="P6186" t="n">
        <v>0</v>
      </c>
      <c r="Q6186" t="n">
        <v>0</v>
      </c>
      <c r="R6186" s="2" t="inlineStr"/>
    </row>
    <row r="6187" ht="15" customHeight="1">
      <c r="A6187" t="inlineStr">
        <is>
          <t>A 48817-2025</t>
        </is>
      </c>
      <c r="B6187" s="1" t="n">
        <v>45937.36546296296</v>
      </c>
      <c r="C6187" s="1" t="n">
        <v>46093</v>
      </c>
      <c r="D6187" t="inlineStr">
        <is>
          <t>VÄSTERNORRLANDS LÄN</t>
        </is>
      </c>
      <c r="E6187" t="inlineStr">
        <is>
          <t>SOLLEFTEÅ</t>
        </is>
      </c>
      <c r="F6187" t="inlineStr">
        <is>
          <t>SCA</t>
        </is>
      </c>
      <c r="G6187" t="n">
        <v>2.9</v>
      </c>
      <c r="H6187" t="n">
        <v>0</v>
      </c>
      <c r="I6187" t="n">
        <v>0</v>
      </c>
      <c r="J6187" t="n">
        <v>0</v>
      </c>
      <c r="K6187" t="n">
        <v>0</v>
      </c>
      <c r="L6187" t="n">
        <v>0</v>
      </c>
      <c r="M6187" t="n">
        <v>0</v>
      </c>
      <c r="N6187" t="n">
        <v>0</v>
      </c>
      <c r="O6187" t="n">
        <v>0</v>
      </c>
      <c r="P6187" t="n">
        <v>0</v>
      </c>
      <c r="Q6187" t="n">
        <v>0</v>
      </c>
      <c r="R6187" s="2" t="inlineStr"/>
    </row>
    <row r="6188" ht="15" customHeight="1">
      <c r="A6188" t="inlineStr">
        <is>
          <t>A 48848-2025</t>
        </is>
      </c>
      <c r="B6188" s="1" t="n">
        <v>45937</v>
      </c>
      <c r="C6188" s="1" t="n">
        <v>46093</v>
      </c>
      <c r="D6188" t="inlineStr">
        <is>
          <t>VÄSTERNORRLANDS LÄN</t>
        </is>
      </c>
      <c r="E6188" t="inlineStr">
        <is>
          <t>SOLLEFTEÅ</t>
        </is>
      </c>
      <c r="F6188" t="inlineStr">
        <is>
          <t>SCA</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33129-2022</t>
        </is>
      </c>
      <c r="B6189" s="1" t="n">
        <v>44785</v>
      </c>
      <c r="C6189" s="1" t="n">
        <v>46093</v>
      </c>
      <c r="D6189" t="inlineStr">
        <is>
          <t>VÄSTERNORRLANDS LÄN</t>
        </is>
      </c>
      <c r="E6189" t="inlineStr">
        <is>
          <t>ÖRNSKÖLDSVIK</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36723-2025</t>
        </is>
      </c>
      <c r="B6190" s="1" t="n">
        <v>45873.47770833333</v>
      </c>
      <c r="C6190" s="1" t="n">
        <v>46093</v>
      </c>
      <c r="D6190" t="inlineStr">
        <is>
          <t>VÄSTERNORRLANDS LÄN</t>
        </is>
      </c>
      <c r="E6190" t="inlineStr">
        <is>
          <t>ÅNGE</t>
        </is>
      </c>
      <c r="G6190" t="n">
        <v>2.8</v>
      </c>
      <c r="H6190" t="n">
        <v>0</v>
      </c>
      <c r="I6190" t="n">
        <v>0</v>
      </c>
      <c r="J6190" t="n">
        <v>0</v>
      </c>
      <c r="K6190" t="n">
        <v>0</v>
      </c>
      <c r="L6190" t="n">
        <v>0</v>
      </c>
      <c r="M6190" t="n">
        <v>0</v>
      </c>
      <c r="N6190" t="n">
        <v>0</v>
      </c>
      <c r="O6190" t="n">
        <v>0</v>
      </c>
      <c r="P6190" t="n">
        <v>0</v>
      </c>
      <c r="Q6190" t="n">
        <v>0</v>
      </c>
      <c r="R6190" s="2" t="inlineStr"/>
    </row>
    <row r="6191" ht="15" customHeight="1">
      <c r="A6191" t="inlineStr">
        <is>
          <t>A 35472-2024</t>
        </is>
      </c>
      <c r="B6191" s="1" t="n">
        <v>45531.46997685185</v>
      </c>
      <c r="C6191" s="1" t="n">
        <v>46093</v>
      </c>
      <c r="D6191" t="inlineStr">
        <is>
          <t>VÄSTERNORRLANDS LÄN</t>
        </is>
      </c>
      <c r="E6191" t="inlineStr">
        <is>
          <t>ÖRNSKÖLDSVIK</t>
        </is>
      </c>
      <c r="F6191" t="inlineStr">
        <is>
          <t>Holmen skog AB</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18212-2025</t>
        </is>
      </c>
      <c r="B6192" s="1" t="n">
        <v>45761.69392361111</v>
      </c>
      <c r="C6192" s="1" t="n">
        <v>46093</v>
      </c>
      <c r="D6192" t="inlineStr">
        <is>
          <t>VÄSTERNORRLANDS LÄN</t>
        </is>
      </c>
      <c r="E6192" t="inlineStr">
        <is>
          <t>SUNDSVALL</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49204-2025</t>
        </is>
      </c>
      <c r="B6193" s="1" t="n">
        <v>45938.41931712963</v>
      </c>
      <c r="C6193" s="1" t="n">
        <v>46093</v>
      </c>
      <c r="D6193" t="inlineStr">
        <is>
          <t>VÄSTERNORRLANDS LÄN</t>
        </is>
      </c>
      <c r="E6193" t="inlineStr">
        <is>
          <t>ÖRNSKÖLDSVIK</t>
        </is>
      </c>
      <c r="G6193" t="n">
        <v>9.6</v>
      </c>
      <c r="H6193" t="n">
        <v>0</v>
      </c>
      <c r="I6193" t="n">
        <v>0</v>
      </c>
      <c r="J6193" t="n">
        <v>0</v>
      </c>
      <c r="K6193" t="n">
        <v>0</v>
      </c>
      <c r="L6193" t="n">
        <v>0</v>
      </c>
      <c r="M6193" t="n">
        <v>0</v>
      </c>
      <c r="N6193" t="n">
        <v>0</v>
      </c>
      <c r="O6193" t="n">
        <v>0</v>
      </c>
      <c r="P6193" t="n">
        <v>0</v>
      </c>
      <c r="Q6193" t="n">
        <v>0</v>
      </c>
      <c r="R6193" s="2" t="inlineStr"/>
    </row>
    <row r="6194" ht="15" customHeight="1">
      <c r="A6194" t="inlineStr">
        <is>
          <t>A 17058-2023</t>
        </is>
      </c>
      <c r="B6194" s="1" t="n">
        <v>45034</v>
      </c>
      <c r="C6194" s="1" t="n">
        <v>46093</v>
      </c>
      <c r="D6194" t="inlineStr">
        <is>
          <t>VÄSTERNORRLANDS LÄN</t>
        </is>
      </c>
      <c r="E6194" t="inlineStr">
        <is>
          <t>KRAMFORS</t>
        </is>
      </c>
      <c r="G6194" t="n">
        <v>2.6</v>
      </c>
      <c r="H6194" t="n">
        <v>0</v>
      </c>
      <c r="I6194" t="n">
        <v>0</v>
      </c>
      <c r="J6194" t="n">
        <v>0</v>
      </c>
      <c r="K6194" t="n">
        <v>0</v>
      </c>
      <c r="L6194" t="n">
        <v>0</v>
      </c>
      <c r="M6194" t="n">
        <v>0</v>
      </c>
      <c r="N6194" t="n">
        <v>0</v>
      </c>
      <c r="O6194" t="n">
        <v>0</v>
      </c>
      <c r="P6194" t="n">
        <v>0</v>
      </c>
      <c r="Q6194" t="n">
        <v>0</v>
      </c>
      <c r="R6194" s="2" t="inlineStr"/>
    </row>
    <row r="6195" ht="15" customHeight="1">
      <c r="A6195" t="inlineStr">
        <is>
          <t>A 48831-2025</t>
        </is>
      </c>
      <c r="B6195" s="1" t="n">
        <v>45937.3866087963</v>
      </c>
      <c r="C6195" s="1" t="n">
        <v>46093</v>
      </c>
      <c r="D6195" t="inlineStr">
        <is>
          <t>VÄSTERNORRLANDS LÄN</t>
        </is>
      </c>
      <c r="E6195" t="inlineStr">
        <is>
          <t>SUNDSVALL</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59924-2023</t>
        </is>
      </c>
      <c r="B6196" s="1" t="n">
        <v>45257.65327546297</v>
      </c>
      <c r="C6196" s="1" t="n">
        <v>46093</v>
      </c>
      <c r="D6196" t="inlineStr">
        <is>
          <t>VÄSTERNORRLANDS LÄN</t>
        </is>
      </c>
      <c r="E6196" t="inlineStr">
        <is>
          <t>ÖRNSKÖLDSVIK</t>
        </is>
      </c>
      <c r="F6196" t="inlineStr">
        <is>
          <t>Holmen skog AB</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9379-2025</t>
        </is>
      </c>
      <c r="B6197" s="1" t="n">
        <v>45715.34306712963</v>
      </c>
      <c r="C6197" s="1" t="n">
        <v>46093</v>
      </c>
      <c r="D6197" t="inlineStr">
        <is>
          <t>VÄSTERNORRLANDS LÄN</t>
        </is>
      </c>
      <c r="E6197" t="inlineStr">
        <is>
          <t>ÖRNSKÖLDSVIK</t>
        </is>
      </c>
      <c r="G6197" t="n">
        <v>2.1</v>
      </c>
      <c r="H6197" t="n">
        <v>0</v>
      </c>
      <c r="I6197" t="n">
        <v>0</v>
      </c>
      <c r="J6197" t="n">
        <v>0</v>
      </c>
      <c r="K6197" t="n">
        <v>0</v>
      </c>
      <c r="L6197" t="n">
        <v>0</v>
      </c>
      <c r="M6197" t="n">
        <v>0</v>
      </c>
      <c r="N6197" t="n">
        <v>0</v>
      </c>
      <c r="O6197" t="n">
        <v>0</v>
      </c>
      <c r="P6197" t="n">
        <v>0</v>
      </c>
      <c r="Q6197" t="n">
        <v>0</v>
      </c>
      <c r="R6197" s="2" t="inlineStr"/>
    </row>
    <row r="6198" ht="15" customHeight="1">
      <c r="A6198" t="inlineStr">
        <is>
          <t>A 21711-2022</t>
        </is>
      </c>
      <c r="B6198" s="1" t="n">
        <v>44707</v>
      </c>
      <c r="C6198" s="1" t="n">
        <v>46093</v>
      </c>
      <c r="D6198" t="inlineStr">
        <is>
          <t>VÄSTERNORRLANDS LÄN</t>
        </is>
      </c>
      <c r="E6198" t="inlineStr">
        <is>
          <t>SOLLEFTEÅ</t>
        </is>
      </c>
      <c r="G6198" t="n">
        <v>3.8</v>
      </c>
      <c r="H6198" t="n">
        <v>0</v>
      </c>
      <c r="I6198" t="n">
        <v>0</v>
      </c>
      <c r="J6198" t="n">
        <v>0</v>
      </c>
      <c r="K6198" t="n">
        <v>0</v>
      </c>
      <c r="L6198" t="n">
        <v>0</v>
      </c>
      <c r="M6198" t="n">
        <v>0</v>
      </c>
      <c r="N6198" t="n">
        <v>0</v>
      </c>
      <c r="O6198" t="n">
        <v>0</v>
      </c>
      <c r="P6198" t="n">
        <v>0</v>
      </c>
      <c r="Q6198" t="n">
        <v>0</v>
      </c>
      <c r="R6198" s="2" t="inlineStr"/>
    </row>
    <row r="6199" ht="15" customHeight="1">
      <c r="A6199" t="inlineStr">
        <is>
          <t>A 3211-2024</t>
        </is>
      </c>
      <c r="B6199" s="1" t="n">
        <v>45316</v>
      </c>
      <c r="C6199" s="1" t="n">
        <v>46093</v>
      </c>
      <c r="D6199" t="inlineStr">
        <is>
          <t>VÄSTERNORRLANDS LÄN</t>
        </is>
      </c>
      <c r="E6199" t="inlineStr">
        <is>
          <t>SOLLEFTEÅ</t>
        </is>
      </c>
      <c r="G6199" t="n">
        <v>2.6</v>
      </c>
      <c r="H6199" t="n">
        <v>0</v>
      </c>
      <c r="I6199" t="n">
        <v>0</v>
      </c>
      <c r="J6199" t="n">
        <v>0</v>
      </c>
      <c r="K6199" t="n">
        <v>0</v>
      </c>
      <c r="L6199" t="n">
        <v>0</v>
      </c>
      <c r="M6199" t="n">
        <v>0</v>
      </c>
      <c r="N6199" t="n">
        <v>0</v>
      </c>
      <c r="O6199" t="n">
        <v>0</v>
      </c>
      <c r="P6199" t="n">
        <v>0</v>
      </c>
      <c r="Q6199" t="n">
        <v>0</v>
      </c>
      <c r="R6199" s="2" t="inlineStr"/>
    </row>
    <row r="6200" ht="15" customHeight="1">
      <c r="A6200" t="inlineStr">
        <is>
          <t>A 5360-2023</t>
        </is>
      </c>
      <c r="B6200" s="1" t="n">
        <v>44956</v>
      </c>
      <c r="C6200" s="1" t="n">
        <v>46093</v>
      </c>
      <c r="D6200" t="inlineStr">
        <is>
          <t>VÄSTERNORRLANDS LÄN</t>
        </is>
      </c>
      <c r="E6200" t="inlineStr">
        <is>
          <t>KRAMFORS</t>
        </is>
      </c>
      <c r="G6200" t="n">
        <v>11.4</v>
      </c>
      <c r="H6200" t="n">
        <v>0</v>
      </c>
      <c r="I6200" t="n">
        <v>0</v>
      </c>
      <c r="J6200" t="n">
        <v>0</v>
      </c>
      <c r="K6200" t="n">
        <v>0</v>
      </c>
      <c r="L6200" t="n">
        <v>0</v>
      </c>
      <c r="M6200" t="n">
        <v>0</v>
      </c>
      <c r="N6200" t="n">
        <v>0</v>
      </c>
      <c r="O6200" t="n">
        <v>0</v>
      </c>
      <c r="P6200" t="n">
        <v>0</v>
      </c>
      <c r="Q6200" t="n">
        <v>0</v>
      </c>
      <c r="R6200" s="2" t="inlineStr"/>
    </row>
    <row r="6201" ht="15" customHeight="1">
      <c r="A6201" t="inlineStr">
        <is>
          <t>A 3231-2024</t>
        </is>
      </c>
      <c r="B6201" s="1" t="n">
        <v>45316</v>
      </c>
      <c r="C6201" s="1" t="n">
        <v>46093</v>
      </c>
      <c r="D6201" t="inlineStr">
        <is>
          <t>VÄSTERNORRLANDS LÄN</t>
        </is>
      </c>
      <c r="E6201" t="inlineStr">
        <is>
          <t>SOLLEFTEÅ</t>
        </is>
      </c>
      <c r="F6201" t="inlineStr">
        <is>
          <t>SCA</t>
        </is>
      </c>
      <c r="G6201" t="n">
        <v>3.3</v>
      </c>
      <c r="H6201" t="n">
        <v>0</v>
      </c>
      <c r="I6201" t="n">
        <v>0</v>
      </c>
      <c r="J6201" t="n">
        <v>0</v>
      </c>
      <c r="K6201" t="n">
        <v>0</v>
      </c>
      <c r="L6201" t="n">
        <v>0</v>
      </c>
      <c r="M6201" t="n">
        <v>0</v>
      </c>
      <c r="N6201" t="n">
        <v>0</v>
      </c>
      <c r="O6201" t="n">
        <v>0</v>
      </c>
      <c r="P6201" t="n">
        <v>0</v>
      </c>
      <c r="Q6201" t="n">
        <v>0</v>
      </c>
      <c r="R6201" s="2" t="inlineStr"/>
    </row>
    <row r="6202" ht="15" customHeight="1">
      <c r="A6202" t="inlineStr">
        <is>
          <t>A 9382-2025</t>
        </is>
      </c>
      <c r="B6202" s="1" t="n">
        <v>45715.34425925926</v>
      </c>
      <c r="C6202" s="1" t="n">
        <v>46093</v>
      </c>
      <c r="D6202" t="inlineStr">
        <is>
          <t>VÄSTERNORRLANDS LÄN</t>
        </is>
      </c>
      <c r="E6202" t="inlineStr">
        <is>
          <t>ÅNGE</t>
        </is>
      </c>
      <c r="F6202" t="inlineStr">
        <is>
          <t>SCA</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3252-2024</t>
        </is>
      </c>
      <c r="B6203" s="1" t="n">
        <v>45316</v>
      </c>
      <c r="C6203" s="1" t="n">
        <v>46093</v>
      </c>
      <c r="D6203" t="inlineStr">
        <is>
          <t>VÄSTERNORRLANDS LÄN</t>
        </is>
      </c>
      <c r="E6203" t="inlineStr">
        <is>
          <t>SOLLEFTEÅ</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3253-2024</t>
        </is>
      </c>
      <c r="B6204" s="1" t="n">
        <v>45316</v>
      </c>
      <c r="C6204" s="1" t="n">
        <v>46093</v>
      </c>
      <c r="D6204" t="inlineStr">
        <is>
          <t>VÄSTERNORRLANDS LÄN</t>
        </is>
      </c>
      <c r="E6204" t="inlineStr">
        <is>
          <t>ÅNGE</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48814-2025</t>
        </is>
      </c>
      <c r="B6205" s="1" t="n">
        <v>45937.36435185185</v>
      </c>
      <c r="C6205" s="1" t="n">
        <v>46093</v>
      </c>
      <c r="D6205" t="inlineStr">
        <is>
          <t>VÄSTERNORRLANDS LÄN</t>
        </is>
      </c>
      <c r="E6205" t="inlineStr">
        <is>
          <t>SUNDSVALL</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48819-2025</t>
        </is>
      </c>
      <c r="B6206" s="1" t="n">
        <v>45937.3687037037</v>
      </c>
      <c r="C6206" s="1" t="n">
        <v>46093</v>
      </c>
      <c r="D6206" t="inlineStr">
        <is>
          <t>VÄSTERNORRLANDS LÄN</t>
        </is>
      </c>
      <c r="E6206" t="inlineStr">
        <is>
          <t>SUNDSVALL</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48822-2025</t>
        </is>
      </c>
      <c r="B6207" s="1" t="n">
        <v>45937.37262731481</v>
      </c>
      <c r="C6207" s="1" t="n">
        <v>46093</v>
      </c>
      <c r="D6207" t="inlineStr">
        <is>
          <t>VÄSTERNORRLANDS LÄN</t>
        </is>
      </c>
      <c r="E6207" t="inlineStr">
        <is>
          <t>ÖRNSKÖLDSVIK</t>
        </is>
      </c>
      <c r="F6207" t="inlineStr">
        <is>
          <t>Holmen skog AB</t>
        </is>
      </c>
      <c r="G6207" t="n">
        <v>6.9</v>
      </c>
      <c r="H6207" t="n">
        <v>0</v>
      </c>
      <c r="I6207" t="n">
        <v>0</v>
      </c>
      <c r="J6207" t="n">
        <v>0</v>
      </c>
      <c r="K6207" t="n">
        <v>0</v>
      </c>
      <c r="L6207" t="n">
        <v>0</v>
      </c>
      <c r="M6207" t="n">
        <v>0</v>
      </c>
      <c r="N6207" t="n">
        <v>0</v>
      </c>
      <c r="O6207" t="n">
        <v>0</v>
      </c>
      <c r="P6207" t="n">
        <v>0</v>
      </c>
      <c r="Q6207" t="n">
        <v>0</v>
      </c>
      <c r="R6207" s="2" t="inlineStr"/>
    </row>
    <row r="6208" ht="15" customHeight="1">
      <c r="A6208" t="inlineStr">
        <is>
          <t>A 49945-2023</t>
        </is>
      </c>
      <c r="B6208" s="1" t="n">
        <v>45215.3625462963</v>
      </c>
      <c r="C6208" s="1" t="n">
        <v>46093</v>
      </c>
      <c r="D6208" t="inlineStr">
        <is>
          <t>VÄSTERNORRLANDS LÄN</t>
        </is>
      </c>
      <c r="E6208" t="inlineStr">
        <is>
          <t>ÅNGE</t>
        </is>
      </c>
      <c r="F6208" t="inlineStr">
        <is>
          <t>Holmen skog AB</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58055-2023</t>
        </is>
      </c>
      <c r="B6209" s="1" t="n">
        <v>45247</v>
      </c>
      <c r="C6209" s="1" t="n">
        <v>46093</v>
      </c>
      <c r="D6209" t="inlineStr">
        <is>
          <t>VÄSTERNORRLANDS LÄN</t>
        </is>
      </c>
      <c r="E6209" t="inlineStr">
        <is>
          <t>ÖRNSKÖLDSVIK</t>
        </is>
      </c>
      <c r="G6209" t="n">
        <v>5</v>
      </c>
      <c r="H6209" t="n">
        <v>0</v>
      </c>
      <c r="I6209" t="n">
        <v>0</v>
      </c>
      <c r="J6209" t="n">
        <v>0</v>
      </c>
      <c r="K6209" t="n">
        <v>0</v>
      </c>
      <c r="L6209" t="n">
        <v>0</v>
      </c>
      <c r="M6209" t="n">
        <v>0</v>
      </c>
      <c r="N6209" t="n">
        <v>0</v>
      </c>
      <c r="O6209" t="n">
        <v>0</v>
      </c>
      <c r="P6209" t="n">
        <v>0</v>
      </c>
      <c r="Q6209" t="n">
        <v>0</v>
      </c>
      <c r="R6209" s="2" t="inlineStr"/>
    </row>
    <row r="6210" ht="15" customHeight="1">
      <c r="A6210" t="inlineStr">
        <is>
          <t>A 7005-2024</t>
        </is>
      </c>
      <c r="B6210" s="1" t="n">
        <v>45343</v>
      </c>
      <c r="C6210" s="1" t="n">
        <v>46093</v>
      </c>
      <c r="D6210" t="inlineStr">
        <is>
          <t>VÄSTERNORRLANDS LÄN</t>
        </is>
      </c>
      <c r="E6210" t="inlineStr">
        <is>
          <t>SUNDSVALL</t>
        </is>
      </c>
      <c r="G6210" t="n">
        <v>3.3</v>
      </c>
      <c r="H6210" t="n">
        <v>0</v>
      </c>
      <c r="I6210" t="n">
        <v>0</v>
      </c>
      <c r="J6210" t="n">
        <v>0</v>
      </c>
      <c r="K6210" t="n">
        <v>0</v>
      </c>
      <c r="L6210" t="n">
        <v>0</v>
      </c>
      <c r="M6210" t="n">
        <v>0</v>
      </c>
      <c r="N6210" t="n">
        <v>0</v>
      </c>
      <c r="O6210" t="n">
        <v>0</v>
      </c>
      <c r="P6210" t="n">
        <v>0</v>
      </c>
      <c r="Q6210" t="n">
        <v>0</v>
      </c>
      <c r="R6210" s="2" t="inlineStr"/>
    </row>
    <row r="6211" ht="15" customHeight="1">
      <c r="A6211" t="inlineStr">
        <is>
          <t>A 49377-2025</t>
        </is>
      </c>
      <c r="B6211" s="1" t="n">
        <v>45938.63626157407</v>
      </c>
      <c r="C6211" s="1" t="n">
        <v>46093</v>
      </c>
      <c r="D6211" t="inlineStr">
        <is>
          <t>VÄSTERNORRLANDS LÄN</t>
        </is>
      </c>
      <c r="E6211" t="inlineStr">
        <is>
          <t>ÅNGE</t>
        </is>
      </c>
      <c r="F6211" t="inlineStr">
        <is>
          <t>SCA</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48812-2025</t>
        </is>
      </c>
      <c r="B6212" s="1" t="n">
        <v>45937.35930555555</v>
      </c>
      <c r="C6212" s="1" t="n">
        <v>46093</v>
      </c>
      <c r="D6212" t="inlineStr">
        <is>
          <t>VÄSTERNORRLANDS LÄN</t>
        </is>
      </c>
      <c r="E6212" t="inlineStr">
        <is>
          <t>ÖRNSKÖLDSVIK</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49380-2025</t>
        </is>
      </c>
      <c r="B6213" s="1" t="n">
        <v>45938.63677083333</v>
      </c>
      <c r="C6213" s="1" t="n">
        <v>46093</v>
      </c>
      <c r="D6213" t="inlineStr">
        <is>
          <t>VÄSTERNORRLANDS LÄN</t>
        </is>
      </c>
      <c r="E6213" t="inlineStr">
        <is>
          <t>SOLLEFTEÅ</t>
        </is>
      </c>
      <c r="F6213" t="inlineStr">
        <is>
          <t>SCA</t>
        </is>
      </c>
      <c r="G6213" t="n">
        <v>12.4</v>
      </c>
      <c r="H6213" t="n">
        <v>0</v>
      </c>
      <c r="I6213" t="n">
        <v>0</v>
      </c>
      <c r="J6213" t="n">
        <v>0</v>
      </c>
      <c r="K6213" t="n">
        <v>0</v>
      </c>
      <c r="L6213" t="n">
        <v>0</v>
      </c>
      <c r="M6213" t="n">
        <v>0</v>
      </c>
      <c r="N6213" t="n">
        <v>0</v>
      </c>
      <c r="O6213" t="n">
        <v>0</v>
      </c>
      <c r="P6213" t="n">
        <v>0</v>
      </c>
      <c r="Q6213" t="n">
        <v>0</v>
      </c>
      <c r="R6213" s="2" t="inlineStr"/>
    </row>
    <row r="6214" ht="15" customHeight="1">
      <c r="A6214" t="inlineStr">
        <is>
          <t>A 49114-2025</t>
        </is>
      </c>
      <c r="B6214" s="1" t="n">
        <v>45937</v>
      </c>
      <c r="C6214" s="1" t="n">
        <v>46093</v>
      </c>
      <c r="D6214" t="inlineStr">
        <is>
          <t>VÄSTERNORRLANDS LÄN</t>
        </is>
      </c>
      <c r="E6214" t="inlineStr">
        <is>
          <t>ÖRNSKÖLDSVIK</t>
        </is>
      </c>
      <c r="G6214" t="n">
        <v>6.4</v>
      </c>
      <c r="H6214" t="n">
        <v>0</v>
      </c>
      <c r="I6214" t="n">
        <v>0</v>
      </c>
      <c r="J6214" t="n">
        <v>0</v>
      </c>
      <c r="K6214" t="n">
        <v>0</v>
      </c>
      <c r="L6214" t="n">
        <v>0</v>
      </c>
      <c r="M6214" t="n">
        <v>0</v>
      </c>
      <c r="N6214" t="n">
        <v>0</v>
      </c>
      <c r="O6214" t="n">
        <v>0</v>
      </c>
      <c r="P6214" t="n">
        <v>0</v>
      </c>
      <c r="Q6214" t="n">
        <v>0</v>
      </c>
      <c r="R6214" s="2" t="inlineStr"/>
    </row>
    <row r="6215" ht="15" customHeight="1">
      <c r="A6215" t="inlineStr">
        <is>
          <t>A 43271-2025</t>
        </is>
      </c>
      <c r="B6215" s="1" t="n">
        <v>45910</v>
      </c>
      <c r="C6215" s="1" t="n">
        <v>46093</v>
      </c>
      <c r="D6215" t="inlineStr">
        <is>
          <t>VÄSTERNORRLANDS LÄN</t>
        </is>
      </c>
      <c r="E6215" t="inlineStr">
        <is>
          <t>HÄRNÖSAND</t>
        </is>
      </c>
      <c r="G6215" t="n">
        <v>10.1</v>
      </c>
      <c r="H6215" t="n">
        <v>0</v>
      </c>
      <c r="I6215" t="n">
        <v>0</v>
      </c>
      <c r="J6215" t="n">
        <v>0</v>
      </c>
      <c r="K6215" t="n">
        <v>0</v>
      </c>
      <c r="L6215" t="n">
        <v>0</v>
      </c>
      <c r="M6215" t="n">
        <v>0</v>
      </c>
      <c r="N6215" t="n">
        <v>0</v>
      </c>
      <c r="O6215" t="n">
        <v>0</v>
      </c>
      <c r="P6215" t="n">
        <v>0</v>
      </c>
      <c r="Q6215" t="n">
        <v>0</v>
      </c>
      <c r="R6215" s="2" t="inlineStr"/>
    </row>
    <row r="6216" ht="15" customHeight="1">
      <c r="A6216" t="inlineStr">
        <is>
          <t>A 49156-2025</t>
        </is>
      </c>
      <c r="B6216" s="1" t="n">
        <v>45938.3458912037</v>
      </c>
      <c r="C6216" s="1" t="n">
        <v>46093</v>
      </c>
      <c r="D6216" t="inlineStr">
        <is>
          <t>VÄSTERNORRLANDS LÄN</t>
        </is>
      </c>
      <c r="E6216" t="inlineStr">
        <is>
          <t>ÅNGE</t>
        </is>
      </c>
      <c r="G6216" t="n">
        <v>2.3</v>
      </c>
      <c r="H6216" t="n">
        <v>0</v>
      </c>
      <c r="I6216" t="n">
        <v>0</v>
      </c>
      <c r="J6216" t="n">
        <v>0</v>
      </c>
      <c r="K6216" t="n">
        <v>0</v>
      </c>
      <c r="L6216" t="n">
        <v>0</v>
      </c>
      <c r="M6216" t="n">
        <v>0</v>
      </c>
      <c r="N6216" t="n">
        <v>0</v>
      </c>
      <c r="O6216" t="n">
        <v>0</v>
      </c>
      <c r="P6216" t="n">
        <v>0</v>
      </c>
      <c r="Q6216" t="n">
        <v>0</v>
      </c>
      <c r="R6216" s="2" t="inlineStr"/>
    </row>
    <row r="6217" ht="15" customHeight="1">
      <c r="A6217" t="inlineStr">
        <is>
          <t>A 49179-2025</t>
        </is>
      </c>
      <c r="B6217" s="1" t="n">
        <v>45938.38579861111</v>
      </c>
      <c r="C6217" s="1" t="n">
        <v>46093</v>
      </c>
      <c r="D6217" t="inlineStr">
        <is>
          <t>VÄSTERNORRLANDS LÄN</t>
        </is>
      </c>
      <c r="E6217" t="inlineStr">
        <is>
          <t>ÅNGE</t>
        </is>
      </c>
      <c r="G6217" t="n">
        <v>2.3</v>
      </c>
      <c r="H6217" t="n">
        <v>0</v>
      </c>
      <c r="I6217" t="n">
        <v>0</v>
      </c>
      <c r="J6217" t="n">
        <v>0</v>
      </c>
      <c r="K6217" t="n">
        <v>0</v>
      </c>
      <c r="L6217" t="n">
        <v>0</v>
      </c>
      <c r="M6217" t="n">
        <v>0</v>
      </c>
      <c r="N6217" t="n">
        <v>0</v>
      </c>
      <c r="O6217" t="n">
        <v>0</v>
      </c>
      <c r="P6217" t="n">
        <v>0</v>
      </c>
      <c r="Q6217" t="n">
        <v>0</v>
      </c>
      <c r="R6217" s="2" t="inlineStr"/>
    </row>
    <row r="6218" ht="15" customHeight="1">
      <c r="A6218" t="inlineStr">
        <is>
          <t>A 25903-2022</t>
        </is>
      </c>
      <c r="B6218" s="1" t="n">
        <v>44733</v>
      </c>
      <c r="C6218" s="1" t="n">
        <v>46093</v>
      </c>
      <c r="D6218" t="inlineStr">
        <is>
          <t>VÄSTERNORRLANDS LÄN</t>
        </is>
      </c>
      <c r="E6218" t="inlineStr">
        <is>
          <t>ÅNGE</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28319-2022</t>
        </is>
      </c>
      <c r="B6219" s="1" t="n">
        <v>44747</v>
      </c>
      <c r="C6219" s="1" t="n">
        <v>46093</v>
      </c>
      <c r="D6219" t="inlineStr">
        <is>
          <t>VÄSTERNORRLANDS LÄN</t>
        </is>
      </c>
      <c r="E6219" t="inlineStr">
        <is>
          <t>HÄRNÖSAND</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59370-2024</t>
        </is>
      </c>
      <c r="B6220" s="1" t="n">
        <v>45638.34339120371</v>
      </c>
      <c r="C6220" s="1" t="n">
        <v>46093</v>
      </c>
      <c r="D6220" t="inlineStr">
        <is>
          <t>VÄSTERNORRLANDS LÄN</t>
        </is>
      </c>
      <c r="E6220" t="inlineStr">
        <is>
          <t>HÄRNÖSAND</t>
        </is>
      </c>
      <c r="G6220" t="n">
        <v>2.7</v>
      </c>
      <c r="H6220" t="n">
        <v>0</v>
      </c>
      <c r="I6220" t="n">
        <v>0</v>
      </c>
      <c r="J6220" t="n">
        <v>0</v>
      </c>
      <c r="K6220" t="n">
        <v>0</v>
      </c>
      <c r="L6220" t="n">
        <v>0</v>
      </c>
      <c r="M6220" t="n">
        <v>0</v>
      </c>
      <c r="N6220" t="n">
        <v>0</v>
      </c>
      <c r="O6220" t="n">
        <v>0</v>
      </c>
      <c r="P6220" t="n">
        <v>0</v>
      </c>
      <c r="Q6220" t="n">
        <v>0</v>
      </c>
      <c r="R6220" s="2" t="inlineStr"/>
    </row>
    <row r="6221" ht="15" customHeight="1">
      <c r="A6221" t="inlineStr">
        <is>
          <t>A 62560-2023</t>
        </is>
      </c>
      <c r="B6221" s="1" t="n">
        <v>45268.94784722223</v>
      </c>
      <c r="C6221" s="1" t="n">
        <v>46093</v>
      </c>
      <c r="D6221" t="inlineStr">
        <is>
          <t>VÄSTERNORRLANDS LÄN</t>
        </is>
      </c>
      <c r="E6221" t="inlineStr">
        <is>
          <t>ÖRNSKÖLDSVIK</t>
        </is>
      </c>
      <c r="F6221" t="inlineStr">
        <is>
          <t>SCA</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14718-2023</t>
        </is>
      </c>
      <c r="B6222" s="1" t="n">
        <v>45012</v>
      </c>
      <c r="C6222" s="1" t="n">
        <v>46093</v>
      </c>
      <c r="D6222" t="inlineStr">
        <is>
          <t>VÄSTERNORRLANDS LÄN</t>
        </is>
      </c>
      <c r="E6222" t="inlineStr">
        <is>
          <t>SOLLEFTEÅ</t>
        </is>
      </c>
      <c r="G6222" t="n">
        <v>6</v>
      </c>
      <c r="H6222" t="n">
        <v>0</v>
      </c>
      <c r="I6222" t="n">
        <v>0</v>
      </c>
      <c r="J6222" t="n">
        <v>0</v>
      </c>
      <c r="K6222" t="n">
        <v>0</v>
      </c>
      <c r="L6222" t="n">
        <v>0</v>
      </c>
      <c r="M6222" t="n">
        <v>0</v>
      </c>
      <c r="N6222" t="n">
        <v>0</v>
      </c>
      <c r="O6222" t="n">
        <v>0</v>
      </c>
      <c r="P6222" t="n">
        <v>0</v>
      </c>
      <c r="Q6222" t="n">
        <v>0</v>
      </c>
      <c r="R6222" s="2" t="inlineStr"/>
    </row>
    <row r="6223" ht="15" customHeight="1">
      <c r="A6223" t="inlineStr">
        <is>
          <t>A 1711-2025</t>
        </is>
      </c>
      <c r="B6223" s="1" t="n">
        <v>45671.31184027778</v>
      </c>
      <c r="C6223" s="1" t="n">
        <v>46093</v>
      </c>
      <c r="D6223" t="inlineStr">
        <is>
          <t>VÄSTERNORRLANDS LÄN</t>
        </is>
      </c>
      <c r="E6223" t="inlineStr">
        <is>
          <t>ÅNGE</t>
        </is>
      </c>
      <c r="G6223" t="n">
        <v>2.8</v>
      </c>
      <c r="H6223" t="n">
        <v>0</v>
      </c>
      <c r="I6223" t="n">
        <v>0</v>
      </c>
      <c r="J6223" t="n">
        <v>0</v>
      </c>
      <c r="K6223" t="n">
        <v>0</v>
      </c>
      <c r="L6223" t="n">
        <v>0</v>
      </c>
      <c r="M6223" t="n">
        <v>0</v>
      </c>
      <c r="N6223" t="n">
        <v>0</v>
      </c>
      <c r="O6223" t="n">
        <v>0</v>
      </c>
      <c r="P6223" t="n">
        <v>0</v>
      </c>
      <c r="Q6223" t="n">
        <v>0</v>
      </c>
      <c r="R6223" s="2" t="inlineStr"/>
    </row>
    <row r="6224" ht="15" customHeight="1">
      <c r="A6224" t="inlineStr">
        <is>
          <t>A 49254-2025</t>
        </is>
      </c>
      <c r="B6224" s="1" t="n">
        <v>45938.49143518518</v>
      </c>
      <c r="C6224" s="1" t="n">
        <v>46093</v>
      </c>
      <c r="D6224" t="inlineStr">
        <is>
          <t>VÄSTERNORRLANDS LÄN</t>
        </is>
      </c>
      <c r="E6224" t="inlineStr">
        <is>
          <t>SOLLEFTEÅ</t>
        </is>
      </c>
      <c r="F6224" t="inlineStr">
        <is>
          <t>SCA</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49314-2025</t>
        </is>
      </c>
      <c r="B6225" s="1" t="n">
        <v>45938.56480324074</v>
      </c>
      <c r="C6225" s="1" t="n">
        <v>46093</v>
      </c>
      <c r="D6225" t="inlineStr">
        <is>
          <t>VÄSTERNORRLANDS LÄN</t>
        </is>
      </c>
      <c r="E6225" t="inlineStr">
        <is>
          <t>ÖRNSKÖLDSVIK</t>
        </is>
      </c>
      <c r="F6225" t="inlineStr">
        <is>
          <t>Holmen skog AB</t>
        </is>
      </c>
      <c r="G6225" t="n">
        <v>5.3</v>
      </c>
      <c r="H6225" t="n">
        <v>0</v>
      </c>
      <c r="I6225" t="n">
        <v>0</v>
      </c>
      <c r="J6225" t="n">
        <v>0</v>
      </c>
      <c r="K6225" t="n">
        <v>0</v>
      </c>
      <c r="L6225" t="n">
        <v>0</v>
      </c>
      <c r="M6225" t="n">
        <v>0</v>
      </c>
      <c r="N6225" t="n">
        <v>0</v>
      </c>
      <c r="O6225" t="n">
        <v>0</v>
      </c>
      <c r="P6225" t="n">
        <v>0</v>
      </c>
      <c r="Q6225" t="n">
        <v>0</v>
      </c>
      <c r="R6225" s="2" t="inlineStr"/>
    </row>
    <row r="6226" ht="15" customHeight="1">
      <c r="A6226" t="inlineStr">
        <is>
          <t>A 49335-2025</t>
        </is>
      </c>
      <c r="B6226" s="1" t="n">
        <v>45938.58600694445</v>
      </c>
      <c r="C6226" s="1" t="n">
        <v>46093</v>
      </c>
      <c r="D6226" t="inlineStr">
        <is>
          <t>VÄSTERNORRLANDS LÄN</t>
        </is>
      </c>
      <c r="E6226" t="inlineStr">
        <is>
          <t>ÖRNSKÖLDSVIK</t>
        </is>
      </c>
      <c r="F6226" t="inlineStr">
        <is>
          <t>Holmen skog AB</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49348-2025</t>
        </is>
      </c>
      <c r="B6227" s="1" t="n">
        <v>45938.60829861111</v>
      </c>
      <c r="C6227" s="1" t="n">
        <v>46093</v>
      </c>
      <c r="D6227" t="inlineStr">
        <is>
          <t>VÄSTERNORRLANDS LÄN</t>
        </is>
      </c>
      <c r="E6227" t="inlineStr">
        <is>
          <t>ÖRNSKÖLDSVIK</t>
        </is>
      </c>
      <c r="G6227" t="n">
        <v>10.1</v>
      </c>
      <c r="H6227" t="n">
        <v>0</v>
      </c>
      <c r="I6227" t="n">
        <v>0</v>
      </c>
      <c r="J6227" t="n">
        <v>0</v>
      </c>
      <c r="K6227" t="n">
        <v>0</v>
      </c>
      <c r="L6227" t="n">
        <v>0</v>
      </c>
      <c r="M6227" t="n">
        <v>0</v>
      </c>
      <c r="N6227" t="n">
        <v>0</v>
      </c>
      <c r="O6227" t="n">
        <v>0</v>
      </c>
      <c r="P6227" t="n">
        <v>0</v>
      </c>
      <c r="Q6227" t="n">
        <v>0</v>
      </c>
      <c r="R6227" s="2" t="inlineStr"/>
    </row>
    <row r="6228" ht="15" customHeight="1">
      <c r="A6228" t="inlineStr">
        <is>
          <t>A 49381-2025</t>
        </is>
      </c>
      <c r="B6228" s="1" t="n">
        <v>45938.63694444444</v>
      </c>
      <c r="C6228" s="1" t="n">
        <v>46093</v>
      </c>
      <c r="D6228" t="inlineStr">
        <is>
          <t>VÄSTERNORRLANDS LÄN</t>
        </is>
      </c>
      <c r="E6228" t="inlineStr">
        <is>
          <t>ÅNGE</t>
        </is>
      </c>
      <c r="F6228" t="inlineStr">
        <is>
          <t>SCA</t>
        </is>
      </c>
      <c r="G6228" t="n">
        <v>20.6</v>
      </c>
      <c r="H6228" t="n">
        <v>0</v>
      </c>
      <c r="I6228" t="n">
        <v>0</v>
      </c>
      <c r="J6228" t="n">
        <v>0</v>
      </c>
      <c r="K6228" t="n">
        <v>0</v>
      </c>
      <c r="L6228" t="n">
        <v>0</v>
      </c>
      <c r="M6228" t="n">
        <v>0</v>
      </c>
      <c r="N6228" t="n">
        <v>0</v>
      </c>
      <c r="O6228" t="n">
        <v>0</v>
      </c>
      <c r="P6228" t="n">
        <v>0</v>
      </c>
      <c r="Q6228" t="n">
        <v>0</v>
      </c>
      <c r="R6228" s="2" t="inlineStr"/>
    </row>
    <row r="6229" ht="15" customHeight="1">
      <c r="A6229" t="inlineStr">
        <is>
          <t>A 49387-2025</t>
        </is>
      </c>
      <c r="B6229" s="1" t="n">
        <v>45938.64680555555</v>
      </c>
      <c r="C6229" s="1" t="n">
        <v>46093</v>
      </c>
      <c r="D6229" t="inlineStr">
        <is>
          <t>VÄSTERNORRLANDS LÄN</t>
        </is>
      </c>
      <c r="E6229" t="inlineStr">
        <is>
          <t>ÖRNSKÖLDSVIK</t>
        </is>
      </c>
      <c r="F6229" t="inlineStr">
        <is>
          <t>Holmen skog AB</t>
        </is>
      </c>
      <c r="G6229" t="n">
        <v>2.7</v>
      </c>
      <c r="H6229" t="n">
        <v>0</v>
      </c>
      <c r="I6229" t="n">
        <v>0</v>
      </c>
      <c r="J6229" t="n">
        <v>0</v>
      </c>
      <c r="K6229" t="n">
        <v>0</v>
      </c>
      <c r="L6229" t="n">
        <v>0</v>
      </c>
      <c r="M6229" t="n">
        <v>0</v>
      </c>
      <c r="N6229" t="n">
        <v>0</v>
      </c>
      <c r="O6229" t="n">
        <v>0</v>
      </c>
      <c r="P6229" t="n">
        <v>0</v>
      </c>
      <c r="Q6229" t="n">
        <v>0</v>
      </c>
      <c r="R6229" s="2" t="inlineStr"/>
    </row>
    <row r="6230" ht="15" customHeight="1">
      <c r="A6230" t="inlineStr">
        <is>
          <t>A 5248-2023</t>
        </is>
      </c>
      <c r="B6230" s="1" t="n">
        <v>44959.44559027778</v>
      </c>
      <c r="C6230" s="1" t="n">
        <v>46093</v>
      </c>
      <c r="D6230" t="inlineStr">
        <is>
          <t>VÄSTERNORRLANDS LÄN</t>
        </is>
      </c>
      <c r="E6230" t="inlineStr">
        <is>
          <t>ÖRNSKÖLDSVIK</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139-2024</t>
        </is>
      </c>
      <c r="B6231" s="1" t="n">
        <v>45293</v>
      </c>
      <c r="C6231" s="1" t="n">
        <v>46093</v>
      </c>
      <c r="D6231" t="inlineStr">
        <is>
          <t>VÄSTERNORRLANDS LÄN</t>
        </is>
      </c>
      <c r="E6231" t="inlineStr">
        <is>
          <t>HÄRNÖSAND</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5255-2024</t>
        </is>
      </c>
      <c r="B6232" s="1" t="n">
        <v>45330</v>
      </c>
      <c r="C6232" s="1" t="n">
        <v>46093</v>
      </c>
      <c r="D6232" t="inlineStr">
        <is>
          <t>VÄSTERNORRLANDS LÄN</t>
        </is>
      </c>
      <c r="E6232" t="inlineStr">
        <is>
          <t>SOLLEFTEÅ</t>
        </is>
      </c>
      <c r="F6232" t="inlineStr">
        <is>
          <t>SCA</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152-2024</t>
        </is>
      </c>
      <c r="B6233" s="1" t="n">
        <v>45294</v>
      </c>
      <c r="C6233" s="1" t="n">
        <v>46093</v>
      </c>
      <c r="D6233" t="inlineStr">
        <is>
          <t>VÄSTERNORRLANDS LÄN</t>
        </is>
      </c>
      <c r="E6233" t="inlineStr">
        <is>
          <t>KRAMFORS</t>
        </is>
      </c>
      <c r="G6233" t="n">
        <v>11.3</v>
      </c>
      <c r="H6233" t="n">
        <v>0</v>
      </c>
      <c r="I6233" t="n">
        <v>0</v>
      </c>
      <c r="J6233" t="n">
        <v>0</v>
      </c>
      <c r="K6233" t="n">
        <v>0</v>
      </c>
      <c r="L6233" t="n">
        <v>0</v>
      </c>
      <c r="M6233" t="n">
        <v>0</v>
      </c>
      <c r="N6233" t="n">
        <v>0</v>
      </c>
      <c r="O6233" t="n">
        <v>0</v>
      </c>
      <c r="P6233" t="n">
        <v>0</v>
      </c>
      <c r="Q6233" t="n">
        <v>0</v>
      </c>
      <c r="R6233" s="2" t="inlineStr"/>
    </row>
    <row r="6234" ht="15" customHeight="1">
      <c r="A6234" t="inlineStr">
        <is>
          <t>A 42043-2024</t>
        </is>
      </c>
      <c r="B6234" s="1" t="n">
        <v>45561</v>
      </c>
      <c r="C6234" s="1" t="n">
        <v>46093</v>
      </c>
      <c r="D6234" t="inlineStr">
        <is>
          <t>VÄSTERNORRLANDS LÄN</t>
        </is>
      </c>
      <c r="E6234" t="inlineStr">
        <is>
          <t>ÅNGE</t>
        </is>
      </c>
      <c r="G6234" t="n">
        <v>3.1</v>
      </c>
      <c r="H6234" t="n">
        <v>0</v>
      </c>
      <c r="I6234" t="n">
        <v>0</v>
      </c>
      <c r="J6234" t="n">
        <v>0</v>
      </c>
      <c r="K6234" t="n">
        <v>0</v>
      </c>
      <c r="L6234" t="n">
        <v>0</v>
      </c>
      <c r="M6234" t="n">
        <v>0</v>
      </c>
      <c r="N6234" t="n">
        <v>0</v>
      </c>
      <c r="O6234" t="n">
        <v>0</v>
      </c>
      <c r="P6234" t="n">
        <v>0</v>
      </c>
      <c r="Q6234" t="n">
        <v>0</v>
      </c>
      <c r="R6234" s="2" t="inlineStr"/>
    </row>
    <row r="6235" ht="15" customHeight="1">
      <c r="A6235" t="inlineStr">
        <is>
          <t>A 42046-2024</t>
        </is>
      </c>
      <c r="B6235" s="1" t="n">
        <v>45561.83422453704</v>
      </c>
      <c r="C6235" s="1" t="n">
        <v>46093</v>
      </c>
      <c r="D6235" t="inlineStr">
        <is>
          <t>VÄSTERNORRLANDS LÄN</t>
        </is>
      </c>
      <c r="E6235" t="inlineStr">
        <is>
          <t>ÅNGE</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56395-2022</t>
        </is>
      </c>
      <c r="B6236" s="1" t="n">
        <v>44890</v>
      </c>
      <c r="C6236" s="1" t="n">
        <v>46093</v>
      </c>
      <c r="D6236" t="inlineStr">
        <is>
          <t>VÄSTERNORRLANDS LÄN</t>
        </is>
      </c>
      <c r="E6236" t="inlineStr">
        <is>
          <t>HÄRNÖSAND</t>
        </is>
      </c>
      <c r="F6236" t="inlineStr">
        <is>
          <t>Kyrkan</t>
        </is>
      </c>
      <c r="G6236" t="n">
        <v>7.4</v>
      </c>
      <c r="H6236" t="n">
        <v>0</v>
      </c>
      <c r="I6236" t="n">
        <v>0</v>
      </c>
      <c r="J6236" t="n">
        <v>0</v>
      </c>
      <c r="K6236" t="n">
        <v>0</v>
      </c>
      <c r="L6236" t="n">
        <v>0</v>
      </c>
      <c r="M6236" t="n">
        <v>0</v>
      </c>
      <c r="N6236" t="n">
        <v>0</v>
      </c>
      <c r="O6236" t="n">
        <v>0</v>
      </c>
      <c r="P6236" t="n">
        <v>0</v>
      </c>
      <c r="Q6236" t="n">
        <v>0</v>
      </c>
      <c r="R6236" s="2" t="inlineStr"/>
    </row>
    <row r="6237" ht="15" customHeight="1">
      <c r="A6237" t="inlineStr">
        <is>
          <t>A 48782-2025</t>
        </is>
      </c>
      <c r="B6237" s="1" t="n">
        <v>45937.30981481481</v>
      </c>
      <c r="C6237" s="1" t="n">
        <v>46093</v>
      </c>
      <c r="D6237" t="inlineStr">
        <is>
          <t>VÄSTERNORRLANDS LÄN</t>
        </is>
      </c>
      <c r="E6237" t="inlineStr">
        <is>
          <t>ÖRNSKÖLDSVIK</t>
        </is>
      </c>
      <c r="F6237" t="inlineStr">
        <is>
          <t>Holmen skog AB</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28232-2022</t>
        </is>
      </c>
      <c r="B6238" s="1" t="n">
        <v>44746</v>
      </c>
      <c r="C6238" s="1" t="n">
        <v>46093</v>
      </c>
      <c r="D6238" t="inlineStr">
        <is>
          <t>VÄSTERNORRLANDS LÄN</t>
        </is>
      </c>
      <c r="E6238" t="inlineStr">
        <is>
          <t>SUNDSVALL</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28580-2024</t>
        </is>
      </c>
      <c r="B6239" s="1" t="n">
        <v>45478</v>
      </c>
      <c r="C6239" s="1" t="n">
        <v>46093</v>
      </c>
      <c r="D6239" t="inlineStr">
        <is>
          <t>VÄSTERNORRLANDS LÄN</t>
        </is>
      </c>
      <c r="E6239" t="inlineStr">
        <is>
          <t>SOLLEFTEÅ</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6457-2023</t>
        </is>
      </c>
      <c r="B6240" s="1" t="n">
        <v>44965.93969907407</v>
      </c>
      <c r="C6240" s="1" t="n">
        <v>46093</v>
      </c>
      <c r="D6240" t="inlineStr">
        <is>
          <t>VÄSTERNORRLANDS LÄN</t>
        </is>
      </c>
      <c r="E6240" t="inlineStr">
        <is>
          <t>SUNDSVALL</t>
        </is>
      </c>
      <c r="F6240" t="inlineStr">
        <is>
          <t>SCA</t>
        </is>
      </c>
      <c r="G6240" t="n">
        <v>5.4</v>
      </c>
      <c r="H6240" t="n">
        <v>0</v>
      </c>
      <c r="I6240" t="n">
        <v>0</v>
      </c>
      <c r="J6240" t="n">
        <v>0</v>
      </c>
      <c r="K6240" t="n">
        <v>0</v>
      </c>
      <c r="L6240" t="n">
        <v>0</v>
      </c>
      <c r="M6240" t="n">
        <v>0</v>
      </c>
      <c r="N6240" t="n">
        <v>0</v>
      </c>
      <c r="O6240" t="n">
        <v>0</v>
      </c>
      <c r="P6240" t="n">
        <v>0</v>
      </c>
      <c r="Q6240" t="n">
        <v>0</v>
      </c>
      <c r="R6240" s="2" t="inlineStr"/>
    </row>
    <row r="6241" ht="15" customHeight="1">
      <c r="A6241" t="inlineStr">
        <is>
          <t>A 56485-2022</t>
        </is>
      </c>
      <c r="B6241" s="1" t="n">
        <v>44887</v>
      </c>
      <c r="C6241" s="1" t="n">
        <v>46093</v>
      </c>
      <c r="D6241" t="inlineStr">
        <is>
          <t>VÄSTERNORRLANDS LÄN</t>
        </is>
      </c>
      <c r="E6241" t="inlineStr">
        <is>
          <t>ÖRNSKÖLDSVIK</t>
        </is>
      </c>
      <c r="G6241" t="n">
        <v>4.5</v>
      </c>
      <c r="H6241" t="n">
        <v>0</v>
      </c>
      <c r="I6241" t="n">
        <v>0</v>
      </c>
      <c r="J6241" t="n">
        <v>0</v>
      </c>
      <c r="K6241" t="n">
        <v>0</v>
      </c>
      <c r="L6241" t="n">
        <v>0</v>
      </c>
      <c r="M6241" t="n">
        <v>0</v>
      </c>
      <c r="N6241" t="n">
        <v>0</v>
      </c>
      <c r="O6241" t="n">
        <v>0</v>
      </c>
      <c r="P6241" t="n">
        <v>0</v>
      </c>
      <c r="Q6241" t="n">
        <v>0</v>
      </c>
      <c r="R6241" s="2" t="inlineStr"/>
    </row>
    <row r="6242" ht="15" customHeight="1">
      <c r="A6242" t="inlineStr">
        <is>
          <t>A 7793-2024</t>
        </is>
      </c>
      <c r="B6242" s="1" t="n">
        <v>45348</v>
      </c>
      <c r="C6242" s="1" t="n">
        <v>46093</v>
      </c>
      <c r="D6242" t="inlineStr">
        <is>
          <t>VÄSTERNORRLANDS LÄN</t>
        </is>
      </c>
      <c r="E6242" t="inlineStr">
        <is>
          <t>HÄRNÖSAND</t>
        </is>
      </c>
      <c r="G6242" t="n">
        <v>3.3</v>
      </c>
      <c r="H6242" t="n">
        <v>0</v>
      </c>
      <c r="I6242" t="n">
        <v>0</v>
      </c>
      <c r="J6242" t="n">
        <v>0</v>
      </c>
      <c r="K6242" t="n">
        <v>0</v>
      </c>
      <c r="L6242" t="n">
        <v>0</v>
      </c>
      <c r="M6242" t="n">
        <v>0</v>
      </c>
      <c r="N6242" t="n">
        <v>0</v>
      </c>
      <c r="O6242" t="n">
        <v>0</v>
      </c>
      <c r="P6242" t="n">
        <v>0</v>
      </c>
      <c r="Q6242" t="n">
        <v>0</v>
      </c>
      <c r="R6242" s="2" t="inlineStr"/>
    </row>
    <row r="6243" ht="15" customHeight="1">
      <c r="A6243" t="inlineStr">
        <is>
          <t>A 16997-2023</t>
        </is>
      </c>
      <c r="B6243" s="1" t="n">
        <v>45033.92600694444</v>
      </c>
      <c r="C6243" s="1" t="n">
        <v>46093</v>
      </c>
      <c r="D6243" t="inlineStr">
        <is>
          <t>VÄSTERNORRLANDS LÄN</t>
        </is>
      </c>
      <c r="E6243" t="inlineStr">
        <is>
          <t>SUNDSVALL</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52272-2024</t>
        </is>
      </c>
      <c r="B6244" s="1" t="n">
        <v>45608.65947916666</v>
      </c>
      <c r="C6244" s="1" t="n">
        <v>46093</v>
      </c>
      <c r="D6244" t="inlineStr">
        <is>
          <t>VÄSTERNORRLANDS LÄN</t>
        </is>
      </c>
      <c r="E6244" t="inlineStr">
        <is>
          <t>KRAMFORS</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53288-2024</t>
        </is>
      </c>
      <c r="B6245" s="1" t="n">
        <v>45614.38604166666</v>
      </c>
      <c r="C6245" s="1" t="n">
        <v>46093</v>
      </c>
      <c r="D6245" t="inlineStr">
        <is>
          <t>VÄSTERNORRLANDS LÄN</t>
        </is>
      </c>
      <c r="E6245" t="inlineStr">
        <is>
          <t>TIMRÅ</t>
        </is>
      </c>
      <c r="F6245" t="inlineStr">
        <is>
          <t>SCA</t>
        </is>
      </c>
      <c r="G6245" t="n">
        <v>4</v>
      </c>
      <c r="H6245" t="n">
        <v>0</v>
      </c>
      <c r="I6245" t="n">
        <v>0</v>
      </c>
      <c r="J6245" t="n">
        <v>0</v>
      </c>
      <c r="K6245" t="n">
        <v>0</v>
      </c>
      <c r="L6245" t="n">
        <v>0</v>
      </c>
      <c r="M6245" t="n">
        <v>0</v>
      </c>
      <c r="N6245" t="n">
        <v>0</v>
      </c>
      <c r="O6245" t="n">
        <v>0</v>
      </c>
      <c r="P6245" t="n">
        <v>0</v>
      </c>
      <c r="Q6245" t="n">
        <v>0</v>
      </c>
      <c r="R6245" s="2" t="inlineStr"/>
    </row>
    <row r="6246" ht="15" customHeight="1">
      <c r="A6246" t="inlineStr">
        <is>
          <t>A 53294-2024</t>
        </is>
      </c>
      <c r="B6246" s="1" t="n">
        <v>45614.3875462963</v>
      </c>
      <c r="C6246" s="1" t="n">
        <v>46093</v>
      </c>
      <c r="D6246" t="inlineStr">
        <is>
          <t>VÄSTERNORRLANDS LÄN</t>
        </is>
      </c>
      <c r="E6246" t="inlineStr">
        <is>
          <t>TIMRÅ</t>
        </is>
      </c>
      <c r="F6246" t="inlineStr">
        <is>
          <t>SCA</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49318-2025</t>
        </is>
      </c>
      <c r="B6247" s="1" t="n">
        <v>45938</v>
      </c>
      <c r="C6247" s="1" t="n">
        <v>46093</v>
      </c>
      <c r="D6247" t="inlineStr">
        <is>
          <t>VÄSTERNORRLANDS LÄN</t>
        </is>
      </c>
      <c r="E6247" t="inlineStr">
        <is>
          <t>ÖRNSKÖLDSVIK</t>
        </is>
      </c>
      <c r="F6247" t="inlineStr">
        <is>
          <t>Övriga Aktiebolag</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19709-2025</t>
        </is>
      </c>
      <c r="B6248" s="1" t="n">
        <v>45771.34263888889</v>
      </c>
      <c r="C6248" s="1" t="n">
        <v>46093</v>
      </c>
      <c r="D6248" t="inlineStr">
        <is>
          <t>VÄSTERNORRLANDS LÄN</t>
        </is>
      </c>
      <c r="E6248" t="inlineStr">
        <is>
          <t>ÅNGE</t>
        </is>
      </c>
      <c r="G6248" t="n">
        <v>3.8</v>
      </c>
      <c r="H6248" t="n">
        <v>0</v>
      </c>
      <c r="I6248" t="n">
        <v>0</v>
      </c>
      <c r="J6248" t="n">
        <v>0</v>
      </c>
      <c r="K6248" t="n">
        <v>0</v>
      </c>
      <c r="L6248" t="n">
        <v>0</v>
      </c>
      <c r="M6248" t="n">
        <v>0</v>
      </c>
      <c r="N6248" t="n">
        <v>0</v>
      </c>
      <c r="O6248" t="n">
        <v>0</v>
      </c>
      <c r="P6248" t="n">
        <v>0</v>
      </c>
      <c r="Q6248" t="n">
        <v>0</v>
      </c>
      <c r="R6248" s="2" t="inlineStr"/>
    </row>
    <row r="6249" ht="15" customHeight="1">
      <c r="A6249" t="inlineStr">
        <is>
          <t>A 49351-2025</t>
        </is>
      </c>
      <c r="B6249" s="1" t="n">
        <v>45938.61270833333</v>
      </c>
      <c r="C6249" s="1" t="n">
        <v>46093</v>
      </c>
      <c r="D6249" t="inlineStr">
        <is>
          <t>VÄSTERNORRLANDS LÄN</t>
        </is>
      </c>
      <c r="E6249" t="inlineStr">
        <is>
          <t>ÖRNSKÖLDSVIK</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43526-2024</t>
        </is>
      </c>
      <c r="B6250" s="1" t="n">
        <v>45569.34474537037</v>
      </c>
      <c r="C6250" s="1" t="n">
        <v>46093</v>
      </c>
      <c r="D6250" t="inlineStr">
        <is>
          <t>VÄSTERNORRLANDS LÄN</t>
        </is>
      </c>
      <c r="E6250" t="inlineStr">
        <is>
          <t>TIMRÅ</t>
        </is>
      </c>
      <c r="F6250" t="inlineStr">
        <is>
          <t>SCA</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11485-2025</t>
        </is>
      </c>
      <c r="B6251" s="1" t="n">
        <v>45726.69515046296</v>
      </c>
      <c r="C6251" s="1" t="n">
        <v>46093</v>
      </c>
      <c r="D6251" t="inlineStr">
        <is>
          <t>VÄSTERNORRLANDS LÄN</t>
        </is>
      </c>
      <c r="E6251" t="inlineStr">
        <is>
          <t>ÖRNSKÖLDSVIK</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49257-2025</t>
        </is>
      </c>
      <c r="B6252" s="1" t="n">
        <v>45938.49212962963</v>
      </c>
      <c r="C6252" s="1" t="n">
        <v>46093</v>
      </c>
      <c r="D6252" t="inlineStr">
        <is>
          <t>VÄSTERNORRLANDS LÄN</t>
        </is>
      </c>
      <c r="E6252" t="inlineStr">
        <is>
          <t>TIMRÅ</t>
        </is>
      </c>
      <c r="F6252" t="inlineStr">
        <is>
          <t>SCA</t>
        </is>
      </c>
      <c r="G6252" t="n">
        <v>0.3</v>
      </c>
      <c r="H6252" t="n">
        <v>0</v>
      </c>
      <c r="I6252" t="n">
        <v>0</v>
      </c>
      <c r="J6252" t="n">
        <v>0</v>
      </c>
      <c r="K6252" t="n">
        <v>0</v>
      </c>
      <c r="L6252" t="n">
        <v>0</v>
      </c>
      <c r="M6252" t="n">
        <v>0</v>
      </c>
      <c r="N6252" t="n">
        <v>0</v>
      </c>
      <c r="O6252" t="n">
        <v>0</v>
      </c>
      <c r="P6252" t="n">
        <v>0</v>
      </c>
      <c r="Q6252" t="n">
        <v>0</v>
      </c>
      <c r="R6252" s="2" t="inlineStr"/>
    </row>
    <row r="6253" ht="15" customHeight="1">
      <c r="A6253" t="inlineStr">
        <is>
          <t>A 23030-2021</t>
        </is>
      </c>
      <c r="B6253" s="1" t="n">
        <v>44328.94091435185</v>
      </c>
      <c r="C6253" s="1" t="n">
        <v>46093</v>
      </c>
      <c r="D6253" t="inlineStr">
        <is>
          <t>VÄSTERNORRLANDS LÄN</t>
        </is>
      </c>
      <c r="E6253" t="inlineStr">
        <is>
          <t>SOLLEFTEÅ</t>
        </is>
      </c>
      <c r="F6253" t="inlineStr">
        <is>
          <t>SCA</t>
        </is>
      </c>
      <c r="G6253" t="n">
        <v>3.1</v>
      </c>
      <c r="H6253" t="n">
        <v>0</v>
      </c>
      <c r="I6253" t="n">
        <v>0</v>
      </c>
      <c r="J6253" t="n">
        <v>0</v>
      </c>
      <c r="K6253" t="n">
        <v>0</v>
      </c>
      <c r="L6253" t="n">
        <v>0</v>
      </c>
      <c r="M6253" t="n">
        <v>0</v>
      </c>
      <c r="N6253" t="n">
        <v>0</v>
      </c>
      <c r="O6253" t="n">
        <v>0</v>
      </c>
      <c r="P6253" t="n">
        <v>0</v>
      </c>
      <c r="Q6253" t="n">
        <v>0</v>
      </c>
      <c r="R6253" s="2" t="inlineStr"/>
    </row>
    <row r="6254" ht="15" customHeight="1">
      <c r="A6254" t="inlineStr">
        <is>
          <t>A 55710-2024</t>
        </is>
      </c>
      <c r="B6254" s="1" t="n">
        <v>45622.6985300926</v>
      </c>
      <c r="C6254" s="1" t="n">
        <v>46093</v>
      </c>
      <c r="D6254" t="inlineStr">
        <is>
          <t>VÄSTERNORRLANDS LÄN</t>
        </is>
      </c>
      <c r="E6254" t="inlineStr">
        <is>
          <t>SOLLEFTEÅ</t>
        </is>
      </c>
      <c r="F6254" t="inlineStr">
        <is>
          <t>SCA</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55751-2024</t>
        </is>
      </c>
      <c r="B6255" s="1" t="n">
        <v>45623.34409722222</v>
      </c>
      <c r="C6255" s="1" t="n">
        <v>46093</v>
      </c>
      <c r="D6255" t="inlineStr">
        <is>
          <t>VÄSTERNORRLANDS LÄN</t>
        </is>
      </c>
      <c r="E6255" t="inlineStr">
        <is>
          <t>ÅNGE</t>
        </is>
      </c>
      <c r="F6255" t="inlineStr">
        <is>
          <t>SCA</t>
        </is>
      </c>
      <c r="G6255" t="n">
        <v>2.3</v>
      </c>
      <c r="H6255" t="n">
        <v>0</v>
      </c>
      <c r="I6255" t="n">
        <v>0</v>
      </c>
      <c r="J6255" t="n">
        <v>0</v>
      </c>
      <c r="K6255" t="n">
        <v>0</v>
      </c>
      <c r="L6255" t="n">
        <v>0</v>
      </c>
      <c r="M6255" t="n">
        <v>0</v>
      </c>
      <c r="N6255" t="n">
        <v>0</v>
      </c>
      <c r="O6255" t="n">
        <v>0</v>
      </c>
      <c r="P6255" t="n">
        <v>0</v>
      </c>
      <c r="Q6255" t="n">
        <v>0</v>
      </c>
      <c r="R6255" s="2" t="inlineStr"/>
    </row>
    <row r="6256" ht="15" customHeight="1">
      <c r="A6256" t="inlineStr">
        <is>
          <t>A 49161-2025</t>
        </is>
      </c>
      <c r="B6256" s="1" t="n">
        <v>45938.35079861111</v>
      </c>
      <c r="C6256" s="1" t="n">
        <v>46093</v>
      </c>
      <c r="D6256" t="inlineStr">
        <is>
          <t>VÄSTERNORRLANDS LÄN</t>
        </is>
      </c>
      <c r="E6256" t="inlineStr">
        <is>
          <t>ÖRNSKÖLDSVIK</t>
        </is>
      </c>
      <c r="F6256" t="inlineStr">
        <is>
          <t>Holmen skog AB</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49162-2025</t>
        </is>
      </c>
      <c r="B6257" s="1" t="n">
        <v>45938.35298611111</v>
      </c>
      <c r="C6257" s="1" t="n">
        <v>46093</v>
      </c>
      <c r="D6257" t="inlineStr">
        <is>
          <t>VÄSTERNORRLANDS LÄN</t>
        </is>
      </c>
      <c r="E6257" t="inlineStr">
        <is>
          <t>ÖRNSKÖLDSVIK</t>
        </is>
      </c>
      <c r="F6257" t="inlineStr">
        <is>
          <t>Holmen skog AB</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49172-2025</t>
        </is>
      </c>
      <c r="B6258" s="1" t="n">
        <v>45938.37459490741</v>
      </c>
      <c r="C6258" s="1" t="n">
        <v>46093</v>
      </c>
      <c r="D6258" t="inlineStr">
        <is>
          <t>VÄSTERNORRLANDS LÄN</t>
        </is>
      </c>
      <c r="E6258" t="inlineStr">
        <is>
          <t>ÖRNSKÖLDSVIK</t>
        </is>
      </c>
      <c r="F6258" t="inlineStr">
        <is>
          <t>Holmen skog AB</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49372-2025</t>
        </is>
      </c>
      <c r="B6259" s="1" t="n">
        <v>45938.63089120371</v>
      </c>
      <c r="C6259" s="1" t="n">
        <v>46093</v>
      </c>
      <c r="D6259" t="inlineStr">
        <is>
          <t>VÄSTERNORRLANDS LÄN</t>
        </is>
      </c>
      <c r="E6259" t="inlineStr">
        <is>
          <t>ÖRNSKÖLDSVIK</t>
        </is>
      </c>
      <c r="F6259" t="inlineStr">
        <is>
          <t>Holmen skog AB</t>
        </is>
      </c>
      <c r="G6259" t="n">
        <v>8.699999999999999</v>
      </c>
      <c r="H6259" t="n">
        <v>0</v>
      </c>
      <c r="I6259" t="n">
        <v>0</v>
      </c>
      <c r="J6259" t="n">
        <v>0</v>
      </c>
      <c r="K6259" t="n">
        <v>0</v>
      </c>
      <c r="L6259" t="n">
        <v>0</v>
      </c>
      <c r="M6259" t="n">
        <v>0</v>
      </c>
      <c r="N6259" t="n">
        <v>0</v>
      </c>
      <c r="O6259" t="n">
        <v>0</v>
      </c>
      <c r="P6259" t="n">
        <v>0</v>
      </c>
      <c r="Q6259" t="n">
        <v>0</v>
      </c>
      <c r="R6259" s="2" t="inlineStr"/>
    </row>
    <row r="6260" ht="15" customHeight="1">
      <c r="A6260" t="inlineStr">
        <is>
          <t>A 36936-2025</t>
        </is>
      </c>
      <c r="B6260" s="1" t="n">
        <v>45874.57541666667</v>
      </c>
      <c r="C6260" s="1" t="n">
        <v>46093</v>
      </c>
      <c r="D6260" t="inlineStr">
        <is>
          <t>VÄSTERNORRLANDS LÄN</t>
        </is>
      </c>
      <c r="E6260" t="inlineStr">
        <is>
          <t>KRAMFORS</t>
        </is>
      </c>
      <c r="G6260" t="n">
        <v>2.6</v>
      </c>
      <c r="H6260" t="n">
        <v>0</v>
      </c>
      <c r="I6260" t="n">
        <v>0</v>
      </c>
      <c r="J6260" t="n">
        <v>0</v>
      </c>
      <c r="K6260" t="n">
        <v>0</v>
      </c>
      <c r="L6260" t="n">
        <v>0</v>
      </c>
      <c r="M6260" t="n">
        <v>0</v>
      </c>
      <c r="N6260" t="n">
        <v>0</v>
      </c>
      <c r="O6260" t="n">
        <v>0</v>
      </c>
      <c r="P6260" t="n">
        <v>0</v>
      </c>
      <c r="Q6260" t="n">
        <v>0</v>
      </c>
      <c r="R6260" s="2" t="inlineStr"/>
    </row>
    <row r="6261" ht="15" customHeight="1">
      <c r="A6261" t="inlineStr">
        <is>
          <t>A 37001-2025</t>
        </is>
      </c>
      <c r="B6261" s="1" t="n">
        <v>45874.68542824074</v>
      </c>
      <c r="C6261" s="1" t="n">
        <v>46093</v>
      </c>
      <c r="D6261" t="inlineStr">
        <is>
          <t>VÄSTERNORRLANDS LÄN</t>
        </is>
      </c>
      <c r="E6261" t="inlineStr">
        <is>
          <t>SUNDSVALL</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44316-2024</t>
        </is>
      </c>
      <c r="B6262" s="1" t="n">
        <v>45573.58326388889</v>
      </c>
      <c r="C6262" s="1" t="n">
        <v>46093</v>
      </c>
      <c r="D6262" t="inlineStr">
        <is>
          <t>VÄSTERNORRLANDS LÄN</t>
        </is>
      </c>
      <c r="E6262" t="inlineStr">
        <is>
          <t>ÖRNSKÖLDSVIK</t>
        </is>
      </c>
      <c r="F6262" t="inlineStr">
        <is>
          <t>Holmen skog AB</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44329-2024</t>
        </is>
      </c>
      <c r="B6263" s="1" t="n">
        <v>45573.59604166666</v>
      </c>
      <c r="C6263" s="1" t="n">
        <v>46093</v>
      </c>
      <c r="D6263" t="inlineStr">
        <is>
          <t>VÄSTERNORRLANDS LÄN</t>
        </is>
      </c>
      <c r="E6263" t="inlineStr">
        <is>
          <t>ÖRNSKÖLDSVIK</t>
        </is>
      </c>
      <c r="F6263" t="inlineStr">
        <is>
          <t>Holmen skog AB</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49378-2025</t>
        </is>
      </c>
      <c r="B6264" s="1" t="n">
        <v>45938.6364699074</v>
      </c>
      <c r="C6264" s="1" t="n">
        <v>46093</v>
      </c>
      <c r="D6264" t="inlineStr">
        <is>
          <t>VÄSTERNORRLANDS LÄN</t>
        </is>
      </c>
      <c r="E6264" t="inlineStr">
        <is>
          <t>SOLLEFTEÅ</t>
        </is>
      </c>
      <c r="F6264" t="inlineStr">
        <is>
          <t>SCA</t>
        </is>
      </c>
      <c r="G6264" t="n">
        <v>16.8</v>
      </c>
      <c r="H6264" t="n">
        <v>0</v>
      </c>
      <c r="I6264" t="n">
        <v>0</v>
      </c>
      <c r="J6264" t="n">
        <v>0</v>
      </c>
      <c r="K6264" t="n">
        <v>0</v>
      </c>
      <c r="L6264" t="n">
        <v>0</v>
      </c>
      <c r="M6264" t="n">
        <v>0</v>
      </c>
      <c r="N6264" t="n">
        <v>0</v>
      </c>
      <c r="O6264" t="n">
        <v>0</v>
      </c>
      <c r="P6264" t="n">
        <v>0</v>
      </c>
      <c r="Q6264" t="n">
        <v>0</v>
      </c>
      <c r="R6264" s="2" t="inlineStr"/>
    </row>
    <row r="6265" ht="15" customHeight="1">
      <c r="A6265" t="inlineStr">
        <is>
          <t>A 20507-2024</t>
        </is>
      </c>
      <c r="B6265" s="1" t="n">
        <v>45435</v>
      </c>
      <c r="C6265" s="1" t="n">
        <v>46093</v>
      </c>
      <c r="D6265" t="inlineStr">
        <is>
          <t>VÄSTERNORRLANDS LÄN</t>
        </is>
      </c>
      <c r="E6265" t="inlineStr">
        <is>
          <t>SOLLEFTEÅ</t>
        </is>
      </c>
      <c r="F6265" t="inlineStr">
        <is>
          <t>SCA</t>
        </is>
      </c>
      <c r="G6265" t="n">
        <v>5.4</v>
      </c>
      <c r="H6265" t="n">
        <v>0</v>
      </c>
      <c r="I6265" t="n">
        <v>0</v>
      </c>
      <c r="J6265" t="n">
        <v>0</v>
      </c>
      <c r="K6265" t="n">
        <v>0</v>
      </c>
      <c r="L6265" t="n">
        <v>0</v>
      </c>
      <c r="M6265" t="n">
        <v>0</v>
      </c>
      <c r="N6265" t="n">
        <v>0</v>
      </c>
      <c r="O6265" t="n">
        <v>0</v>
      </c>
      <c r="P6265" t="n">
        <v>0</v>
      </c>
      <c r="Q6265" t="n">
        <v>0</v>
      </c>
      <c r="R6265" s="2" t="inlineStr"/>
    </row>
    <row r="6266" ht="15" customHeight="1">
      <c r="A6266" t="inlineStr">
        <is>
          <t>A 49406-2025</t>
        </is>
      </c>
      <c r="B6266" s="1" t="n">
        <v>45938.67761574074</v>
      </c>
      <c r="C6266" s="1" t="n">
        <v>46093</v>
      </c>
      <c r="D6266" t="inlineStr">
        <is>
          <t>VÄSTERNORRLANDS LÄN</t>
        </is>
      </c>
      <c r="E6266" t="inlineStr">
        <is>
          <t>SOLLEFTEÅ</t>
        </is>
      </c>
      <c r="F6266" t="inlineStr">
        <is>
          <t>SCA</t>
        </is>
      </c>
      <c r="G6266" t="n">
        <v>28.6</v>
      </c>
      <c r="H6266" t="n">
        <v>0</v>
      </c>
      <c r="I6266" t="n">
        <v>0</v>
      </c>
      <c r="J6266" t="n">
        <v>0</v>
      </c>
      <c r="K6266" t="n">
        <v>0</v>
      </c>
      <c r="L6266" t="n">
        <v>0</v>
      </c>
      <c r="M6266" t="n">
        <v>0</v>
      </c>
      <c r="N6266" t="n">
        <v>0</v>
      </c>
      <c r="O6266" t="n">
        <v>0</v>
      </c>
      <c r="P6266" t="n">
        <v>0</v>
      </c>
      <c r="Q6266" t="n">
        <v>0</v>
      </c>
      <c r="R6266" s="2" t="inlineStr"/>
    </row>
    <row r="6267" ht="15" customHeight="1">
      <c r="A6267" t="inlineStr">
        <is>
          <t>A 20529-2024</t>
        </is>
      </c>
      <c r="B6267" s="1" t="n">
        <v>45435</v>
      </c>
      <c r="C6267" s="1" t="n">
        <v>46093</v>
      </c>
      <c r="D6267" t="inlineStr">
        <is>
          <t>VÄSTERNORRLANDS LÄN</t>
        </is>
      </c>
      <c r="E6267" t="inlineStr">
        <is>
          <t>ÖRNSKÖLDSVIK</t>
        </is>
      </c>
      <c r="F6267" t="inlineStr">
        <is>
          <t>SCA</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123-2024</t>
        </is>
      </c>
      <c r="B6268" s="1" t="n">
        <v>45294.3955324074</v>
      </c>
      <c r="C6268" s="1" t="n">
        <v>46093</v>
      </c>
      <c r="D6268" t="inlineStr">
        <is>
          <t>VÄSTERNORRLANDS LÄN</t>
        </is>
      </c>
      <c r="E6268" t="inlineStr">
        <is>
          <t>SUNDSVALL</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137-2024</t>
        </is>
      </c>
      <c r="B6269" s="1" t="n">
        <v>45294</v>
      </c>
      <c r="C6269" s="1" t="n">
        <v>46093</v>
      </c>
      <c r="D6269" t="inlineStr">
        <is>
          <t>VÄSTERNORRLANDS LÄN</t>
        </is>
      </c>
      <c r="E6269" t="inlineStr">
        <is>
          <t>KRAMFORS</t>
        </is>
      </c>
      <c r="G6269" t="n">
        <v>6.2</v>
      </c>
      <c r="H6269" t="n">
        <v>0</v>
      </c>
      <c r="I6269" t="n">
        <v>0</v>
      </c>
      <c r="J6269" t="n">
        <v>0</v>
      </c>
      <c r="K6269" t="n">
        <v>0</v>
      </c>
      <c r="L6269" t="n">
        <v>0</v>
      </c>
      <c r="M6269" t="n">
        <v>0</v>
      </c>
      <c r="N6269" t="n">
        <v>0</v>
      </c>
      <c r="O6269" t="n">
        <v>0</v>
      </c>
      <c r="P6269" t="n">
        <v>0</v>
      </c>
      <c r="Q6269" t="n">
        <v>0</v>
      </c>
      <c r="R6269" s="2" t="inlineStr"/>
    </row>
    <row r="6270" ht="15" customHeight="1">
      <c r="A6270" t="inlineStr">
        <is>
          <t>A 35277-2023</t>
        </is>
      </c>
      <c r="B6270" s="1" t="n">
        <v>45145</v>
      </c>
      <c r="C6270" s="1" t="n">
        <v>46093</v>
      </c>
      <c r="D6270" t="inlineStr">
        <is>
          <t>VÄSTERNORRLANDS LÄN</t>
        </is>
      </c>
      <c r="E6270" t="inlineStr">
        <is>
          <t>SOLLEFTEÅ</t>
        </is>
      </c>
      <c r="F6270" t="inlineStr">
        <is>
          <t>SCA</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45586-2024</t>
        </is>
      </c>
      <c r="B6271" s="1" t="n">
        <v>45579.40659722222</v>
      </c>
      <c r="C6271" s="1" t="n">
        <v>46093</v>
      </c>
      <c r="D6271" t="inlineStr">
        <is>
          <t>VÄSTERNORRLANDS LÄN</t>
        </is>
      </c>
      <c r="E6271" t="inlineStr">
        <is>
          <t>TIMRÅ</t>
        </is>
      </c>
      <c r="F6271" t="inlineStr">
        <is>
          <t>SCA</t>
        </is>
      </c>
      <c r="G6271" t="n">
        <v>2.6</v>
      </c>
      <c r="H6271" t="n">
        <v>0</v>
      </c>
      <c r="I6271" t="n">
        <v>0</v>
      </c>
      <c r="J6271" t="n">
        <v>0</v>
      </c>
      <c r="K6271" t="n">
        <v>0</v>
      </c>
      <c r="L6271" t="n">
        <v>0</v>
      </c>
      <c r="M6271" t="n">
        <v>0</v>
      </c>
      <c r="N6271" t="n">
        <v>0</v>
      </c>
      <c r="O6271" t="n">
        <v>0</v>
      </c>
      <c r="P6271" t="n">
        <v>0</v>
      </c>
      <c r="Q6271" t="n">
        <v>0</v>
      </c>
      <c r="R6271" s="2" t="inlineStr"/>
    </row>
    <row r="6272" ht="15" customHeight="1">
      <c r="A6272" t="inlineStr">
        <is>
          <t>A 49222-2025</t>
        </is>
      </c>
      <c r="B6272" s="1" t="n">
        <v>45937</v>
      </c>
      <c r="C6272" s="1" t="n">
        <v>46093</v>
      </c>
      <c r="D6272" t="inlineStr">
        <is>
          <t>VÄSTERNORRLANDS LÄN</t>
        </is>
      </c>
      <c r="E6272" t="inlineStr">
        <is>
          <t>ÖRNSKÖLDSVIK</t>
        </is>
      </c>
      <c r="F6272" t="inlineStr">
        <is>
          <t>Kyrkan</t>
        </is>
      </c>
      <c r="G6272" t="n">
        <v>4.8</v>
      </c>
      <c r="H6272" t="n">
        <v>0</v>
      </c>
      <c r="I6272" t="n">
        <v>0</v>
      </c>
      <c r="J6272" t="n">
        <v>0</v>
      </c>
      <c r="K6272" t="n">
        <v>0</v>
      </c>
      <c r="L6272" t="n">
        <v>0</v>
      </c>
      <c r="M6272" t="n">
        <v>0</v>
      </c>
      <c r="N6272" t="n">
        <v>0</v>
      </c>
      <c r="O6272" t="n">
        <v>0</v>
      </c>
      <c r="P6272" t="n">
        <v>0</v>
      </c>
      <c r="Q6272" t="n">
        <v>0</v>
      </c>
      <c r="R6272" s="2" t="inlineStr"/>
    </row>
    <row r="6273" ht="15" customHeight="1">
      <c r="A6273" t="inlineStr">
        <is>
          <t>A 32446-2024</t>
        </is>
      </c>
      <c r="B6273" s="1" t="n">
        <v>45512</v>
      </c>
      <c r="C6273" s="1" t="n">
        <v>46093</v>
      </c>
      <c r="D6273" t="inlineStr">
        <is>
          <t>VÄSTERNORRLANDS LÄN</t>
        </is>
      </c>
      <c r="E6273" t="inlineStr">
        <is>
          <t>KRAMFORS</t>
        </is>
      </c>
      <c r="F6273" t="inlineStr">
        <is>
          <t>SCA</t>
        </is>
      </c>
      <c r="G6273" t="n">
        <v>6.5</v>
      </c>
      <c r="H6273" t="n">
        <v>0</v>
      </c>
      <c r="I6273" t="n">
        <v>0</v>
      </c>
      <c r="J6273" t="n">
        <v>0</v>
      </c>
      <c r="K6273" t="n">
        <v>0</v>
      </c>
      <c r="L6273" t="n">
        <v>0</v>
      </c>
      <c r="M6273" t="n">
        <v>0</v>
      </c>
      <c r="N6273" t="n">
        <v>0</v>
      </c>
      <c r="O6273" t="n">
        <v>0</v>
      </c>
      <c r="P6273" t="n">
        <v>0</v>
      </c>
      <c r="Q6273" t="n">
        <v>0</v>
      </c>
      <c r="R6273" s="2" t="inlineStr"/>
    </row>
    <row r="6274" ht="15" customHeight="1">
      <c r="A6274" t="inlineStr">
        <is>
          <t>A 49055-2025</t>
        </is>
      </c>
      <c r="B6274" s="1" t="n">
        <v>45937.64056712963</v>
      </c>
      <c r="C6274" s="1" t="n">
        <v>46093</v>
      </c>
      <c r="D6274" t="inlineStr">
        <is>
          <t>VÄSTERNORRLANDS LÄN</t>
        </is>
      </c>
      <c r="E6274" t="inlineStr">
        <is>
          <t>SUNDSVALL</t>
        </is>
      </c>
      <c r="F6274" t="inlineStr">
        <is>
          <t>SCA</t>
        </is>
      </c>
      <c r="G6274" t="n">
        <v>3</v>
      </c>
      <c r="H6274" t="n">
        <v>0</v>
      </c>
      <c r="I6274" t="n">
        <v>0</v>
      </c>
      <c r="J6274" t="n">
        <v>0</v>
      </c>
      <c r="K6274" t="n">
        <v>0</v>
      </c>
      <c r="L6274" t="n">
        <v>0</v>
      </c>
      <c r="M6274" t="n">
        <v>0</v>
      </c>
      <c r="N6274" t="n">
        <v>0</v>
      </c>
      <c r="O6274" t="n">
        <v>0</v>
      </c>
      <c r="P6274" t="n">
        <v>0</v>
      </c>
      <c r="Q6274" t="n">
        <v>0</v>
      </c>
      <c r="R6274" s="2" t="inlineStr"/>
    </row>
    <row r="6275" ht="15" customHeight="1">
      <c r="A6275" t="inlineStr">
        <is>
          <t>A 56809-2024</t>
        </is>
      </c>
      <c r="B6275" s="1" t="n">
        <v>45628.47583333333</v>
      </c>
      <c r="C6275" s="1" t="n">
        <v>46093</v>
      </c>
      <c r="D6275" t="inlineStr">
        <is>
          <t>VÄSTERNORRLANDS LÄN</t>
        </is>
      </c>
      <c r="E6275" t="inlineStr">
        <is>
          <t>ÖRNSKÖLDSVIK</t>
        </is>
      </c>
      <c r="G6275" t="n">
        <v>2.8</v>
      </c>
      <c r="H6275" t="n">
        <v>0</v>
      </c>
      <c r="I6275" t="n">
        <v>0</v>
      </c>
      <c r="J6275" t="n">
        <v>0</v>
      </c>
      <c r="K6275" t="n">
        <v>0</v>
      </c>
      <c r="L6275" t="n">
        <v>0</v>
      </c>
      <c r="M6275" t="n">
        <v>0</v>
      </c>
      <c r="N6275" t="n">
        <v>0</v>
      </c>
      <c r="O6275" t="n">
        <v>0</v>
      </c>
      <c r="P6275" t="n">
        <v>0</v>
      </c>
      <c r="Q6275" t="n">
        <v>0</v>
      </c>
      <c r="R6275" s="2" t="inlineStr"/>
    </row>
    <row r="6276" ht="15" customHeight="1">
      <c r="A6276" t="inlineStr">
        <is>
          <t>A 49074-2025</t>
        </is>
      </c>
      <c r="B6276" s="1" t="n">
        <v>45937.65530092592</v>
      </c>
      <c r="C6276" s="1" t="n">
        <v>46093</v>
      </c>
      <c r="D6276" t="inlineStr">
        <is>
          <t>VÄSTERNORRLANDS LÄN</t>
        </is>
      </c>
      <c r="E6276" t="inlineStr">
        <is>
          <t>KRAMFORS</t>
        </is>
      </c>
      <c r="G6276" t="n">
        <v>7.2</v>
      </c>
      <c r="H6276" t="n">
        <v>0</v>
      </c>
      <c r="I6276" t="n">
        <v>0</v>
      </c>
      <c r="J6276" t="n">
        <v>0</v>
      </c>
      <c r="K6276" t="n">
        <v>0</v>
      </c>
      <c r="L6276" t="n">
        <v>0</v>
      </c>
      <c r="M6276" t="n">
        <v>0</v>
      </c>
      <c r="N6276" t="n">
        <v>0</v>
      </c>
      <c r="O6276" t="n">
        <v>0</v>
      </c>
      <c r="P6276" t="n">
        <v>0</v>
      </c>
      <c r="Q6276" t="n">
        <v>0</v>
      </c>
      <c r="R6276" s="2" t="inlineStr"/>
    </row>
    <row r="6277" ht="15" customHeight="1">
      <c r="A6277" t="inlineStr">
        <is>
          <t>A 21590-2022</t>
        </is>
      </c>
      <c r="B6277" s="1" t="n">
        <v>44706</v>
      </c>
      <c r="C6277" s="1" t="n">
        <v>46093</v>
      </c>
      <c r="D6277" t="inlineStr">
        <is>
          <t>VÄSTERNORRLANDS LÄN</t>
        </is>
      </c>
      <c r="E6277" t="inlineStr">
        <is>
          <t>ÖRNSKÖLDSVIK</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60905-2023</t>
        </is>
      </c>
      <c r="B6278" s="1" t="n">
        <v>45261</v>
      </c>
      <c r="C6278" s="1" t="n">
        <v>46093</v>
      </c>
      <c r="D6278" t="inlineStr">
        <is>
          <t>VÄSTERNORRLANDS LÄN</t>
        </is>
      </c>
      <c r="E6278" t="inlineStr">
        <is>
          <t>ÖRNSKÖLDSVIK</t>
        </is>
      </c>
      <c r="G6278" t="n">
        <v>3.5</v>
      </c>
      <c r="H6278" t="n">
        <v>0</v>
      </c>
      <c r="I6278" t="n">
        <v>0</v>
      </c>
      <c r="J6278" t="n">
        <v>0</v>
      </c>
      <c r="K6278" t="n">
        <v>0</v>
      </c>
      <c r="L6278" t="n">
        <v>0</v>
      </c>
      <c r="M6278" t="n">
        <v>0</v>
      </c>
      <c r="N6278" t="n">
        <v>0</v>
      </c>
      <c r="O6278" t="n">
        <v>0</v>
      </c>
      <c r="P6278" t="n">
        <v>0</v>
      </c>
      <c r="Q6278" t="n">
        <v>0</v>
      </c>
      <c r="R6278" s="2" t="inlineStr"/>
    </row>
    <row r="6279" ht="15" customHeight="1">
      <c r="A6279" t="inlineStr">
        <is>
          <t>A 37019-2025</t>
        </is>
      </c>
      <c r="B6279" s="1" t="n">
        <v>45874</v>
      </c>
      <c r="C6279" s="1" t="n">
        <v>46093</v>
      </c>
      <c r="D6279" t="inlineStr">
        <is>
          <t>VÄSTERNORRLANDS LÄN</t>
        </is>
      </c>
      <c r="E6279" t="inlineStr">
        <is>
          <t>SOLLEFTEÅ</t>
        </is>
      </c>
      <c r="G6279" t="n">
        <v>3.6</v>
      </c>
      <c r="H6279" t="n">
        <v>0</v>
      </c>
      <c r="I6279" t="n">
        <v>0</v>
      </c>
      <c r="J6279" t="n">
        <v>0</v>
      </c>
      <c r="K6279" t="n">
        <v>0</v>
      </c>
      <c r="L6279" t="n">
        <v>0</v>
      </c>
      <c r="M6279" t="n">
        <v>0</v>
      </c>
      <c r="N6279" t="n">
        <v>0</v>
      </c>
      <c r="O6279" t="n">
        <v>0</v>
      </c>
      <c r="P6279" t="n">
        <v>0</v>
      </c>
      <c r="Q6279" t="n">
        <v>0</v>
      </c>
      <c r="R6279" s="2" t="inlineStr"/>
    </row>
    <row r="6280" ht="15" customHeight="1">
      <c r="A6280" t="inlineStr">
        <is>
          <t>A 36992-2025</t>
        </is>
      </c>
      <c r="B6280" s="1" t="n">
        <v>45874.66950231481</v>
      </c>
      <c r="C6280" s="1" t="n">
        <v>46093</v>
      </c>
      <c r="D6280" t="inlineStr">
        <is>
          <t>VÄSTERNORRLANDS LÄN</t>
        </is>
      </c>
      <c r="E6280" t="inlineStr">
        <is>
          <t>KRAMFORS</t>
        </is>
      </c>
      <c r="G6280" t="n">
        <v>3.6</v>
      </c>
      <c r="H6280" t="n">
        <v>0</v>
      </c>
      <c r="I6280" t="n">
        <v>0</v>
      </c>
      <c r="J6280" t="n">
        <v>0</v>
      </c>
      <c r="K6280" t="n">
        <v>0</v>
      </c>
      <c r="L6280" t="n">
        <v>0</v>
      </c>
      <c r="M6280" t="n">
        <v>0</v>
      </c>
      <c r="N6280" t="n">
        <v>0</v>
      </c>
      <c r="O6280" t="n">
        <v>0</v>
      </c>
      <c r="P6280" t="n">
        <v>0</v>
      </c>
      <c r="Q6280" t="n">
        <v>0</v>
      </c>
      <c r="R6280" s="2" t="inlineStr"/>
    </row>
    <row r="6281" ht="15" customHeight="1">
      <c r="A6281" t="inlineStr">
        <is>
          <t>A 23547-2023</t>
        </is>
      </c>
      <c r="B6281" s="1" t="n">
        <v>45072</v>
      </c>
      <c r="C6281" s="1" t="n">
        <v>46093</v>
      </c>
      <c r="D6281" t="inlineStr">
        <is>
          <t>VÄSTERNORRLANDS LÄN</t>
        </is>
      </c>
      <c r="E6281" t="inlineStr">
        <is>
          <t>HÄRNÖSAND</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19902-2023</t>
        </is>
      </c>
      <c r="B6282" s="1" t="n">
        <v>45054</v>
      </c>
      <c r="C6282" s="1" t="n">
        <v>46093</v>
      </c>
      <c r="D6282" t="inlineStr">
        <is>
          <t>VÄSTERNORRLANDS LÄN</t>
        </is>
      </c>
      <c r="E6282" t="inlineStr">
        <is>
          <t>SUNDSVALL</t>
        </is>
      </c>
      <c r="G6282" t="n">
        <v>2.1</v>
      </c>
      <c r="H6282" t="n">
        <v>0</v>
      </c>
      <c r="I6282" t="n">
        <v>0</v>
      </c>
      <c r="J6282" t="n">
        <v>0</v>
      </c>
      <c r="K6282" t="n">
        <v>0</v>
      </c>
      <c r="L6282" t="n">
        <v>0</v>
      </c>
      <c r="M6282" t="n">
        <v>0</v>
      </c>
      <c r="N6282" t="n">
        <v>0</v>
      </c>
      <c r="O6282" t="n">
        <v>0</v>
      </c>
      <c r="P6282" t="n">
        <v>0</v>
      </c>
      <c r="Q6282" t="n">
        <v>0</v>
      </c>
      <c r="R6282" s="2" t="inlineStr"/>
    </row>
    <row r="6283" ht="15" customHeight="1">
      <c r="A6283" t="inlineStr">
        <is>
          <t>A 49154-2025</t>
        </is>
      </c>
      <c r="B6283" s="1" t="n">
        <v>45938.34567129629</v>
      </c>
      <c r="C6283" s="1" t="n">
        <v>46093</v>
      </c>
      <c r="D6283" t="inlineStr">
        <is>
          <t>VÄSTERNORRLANDS LÄN</t>
        </is>
      </c>
      <c r="E6283" t="inlineStr">
        <is>
          <t>SOLLEFTEÅ</t>
        </is>
      </c>
      <c r="F6283" t="inlineStr">
        <is>
          <t>SCA</t>
        </is>
      </c>
      <c r="G6283" t="n">
        <v>3.4</v>
      </c>
      <c r="H6283" t="n">
        <v>0</v>
      </c>
      <c r="I6283" t="n">
        <v>0</v>
      </c>
      <c r="J6283" t="n">
        <v>0</v>
      </c>
      <c r="K6283" t="n">
        <v>0</v>
      </c>
      <c r="L6283" t="n">
        <v>0</v>
      </c>
      <c r="M6283" t="n">
        <v>0</v>
      </c>
      <c r="N6283" t="n">
        <v>0</v>
      </c>
      <c r="O6283" t="n">
        <v>0</v>
      </c>
      <c r="P6283" t="n">
        <v>0</v>
      </c>
      <c r="Q6283" t="n">
        <v>0</v>
      </c>
      <c r="R6283" s="2" t="inlineStr"/>
    </row>
    <row r="6284" ht="15" customHeight="1">
      <c r="A6284" t="inlineStr">
        <is>
          <t>A 49157-2025</t>
        </is>
      </c>
      <c r="B6284" s="1" t="n">
        <v>45938.34599537037</v>
      </c>
      <c r="C6284" s="1" t="n">
        <v>46093</v>
      </c>
      <c r="D6284" t="inlineStr">
        <is>
          <t>VÄSTERNORRLANDS LÄN</t>
        </is>
      </c>
      <c r="E6284" t="inlineStr">
        <is>
          <t>ÖRNSKÖLDSVIK</t>
        </is>
      </c>
      <c r="F6284" t="inlineStr">
        <is>
          <t>Holmen skog AB</t>
        </is>
      </c>
      <c r="G6284" t="n">
        <v>0.4</v>
      </c>
      <c r="H6284" t="n">
        <v>0</v>
      </c>
      <c r="I6284" t="n">
        <v>0</v>
      </c>
      <c r="J6284" t="n">
        <v>0</v>
      </c>
      <c r="K6284" t="n">
        <v>0</v>
      </c>
      <c r="L6284" t="n">
        <v>0</v>
      </c>
      <c r="M6284" t="n">
        <v>0</v>
      </c>
      <c r="N6284" t="n">
        <v>0</v>
      </c>
      <c r="O6284" t="n">
        <v>0</v>
      </c>
      <c r="P6284" t="n">
        <v>0</v>
      </c>
      <c r="Q6284" t="n">
        <v>0</v>
      </c>
      <c r="R6284" s="2" t="inlineStr"/>
    </row>
    <row r="6285" ht="15" customHeight="1">
      <c r="A6285" t="inlineStr">
        <is>
          <t>A 55726-2024</t>
        </is>
      </c>
      <c r="B6285" s="1" t="n">
        <v>45622.84653935185</v>
      </c>
      <c r="C6285" s="1" t="n">
        <v>46093</v>
      </c>
      <c r="D6285" t="inlineStr">
        <is>
          <t>VÄSTERNORRLANDS LÄN</t>
        </is>
      </c>
      <c r="E6285" t="inlineStr">
        <is>
          <t>SOLLEFTEÅ</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55756-2024</t>
        </is>
      </c>
      <c r="B6286" s="1" t="n">
        <v>45623</v>
      </c>
      <c r="C6286" s="1" t="n">
        <v>46093</v>
      </c>
      <c r="D6286" t="inlineStr">
        <is>
          <t>VÄSTERNORRLANDS LÄN</t>
        </is>
      </c>
      <c r="E6286" t="inlineStr">
        <is>
          <t>SOLLEFTEÅ</t>
        </is>
      </c>
      <c r="F6286" t="inlineStr">
        <is>
          <t>Holmen skog AB</t>
        </is>
      </c>
      <c r="G6286" t="n">
        <v>5.6</v>
      </c>
      <c r="H6286" t="n">
        <v>0</v>
      </c>
      <c r="I6286" t="n">
        <v>0</v>
      </c>
      <c r="J6286" t="n">
        <v>0</v>
      </c>
      <c r="K6286" t="n">
        <v>0</v>
      </c>
      <c r="L6286" t="n">
        <v>0</v>
      </c>
      <c r="M6286" t="n">
        <v>0</v>
      </c>
      <c r="N6286" t="n">
        <v>0</v>
      </c>
      <c r="O6286" t="n">
        <v>0</v>
      </c>
      <c r="P6286" t="n">
        <v>0</v>
      </c>
      <c r="Q6286" t="n">
        <v>0</v>
      </c>
      <c r="R6286" s="2" t="inlineStr"/>
    </row>
    <row r="6287" ht="15" customHeight="1">
      <c r="A6287" t="inlineStr">
        <is>
          <t>A 48863-2025</t>
        </is>
      </c>
      <c r="B6287" s="1" t="n">
        <v>45937.44482638889</v>
      </c>
      <c r="C6287" s="1" t="n">
        <v>46093</v>
      </c>
      <c r="D6287" t="inlineStr">
        <is>
          <t>VÄSTERNORRLANDS LÄN</t>
        </is>
      </c>
      <c r="E6287" t="inlineStr">
        <is>
          <t>ÖRNSKÖLDSVIK</t>
        </is>
      </c>
      <c r="G6287" t="n">
        <v>6</v>
      </c>
      <c r="H6287" t="n">
        <v>0</v>
      </c>
      <c r="I6287" t="n">
        <v>0</v>
      </c>
      <c r="J6287" t="n">
        <v>0</v>
      </c>
      <c r="K6287" t="n">
        <v>0</v>
      </c>
      <c r="L6287" t="n">
        <v>0</v>
      </c>
      <c r="M6287" t="n">
        <v>0</v>
      </c>
      <c r="N6287" t="n">
        <v>0</v>
      </c>
      <c r="O6287" t="n">
        <v>0</v>
      </c>
      <c r="P6287" t="n">
        <v>0</v>
      </c>
      <c r="Q6287" t="n">
        <v>0</v>
      </c>
      <c r="R6287" s="2" t="inlineStr"/>
    </row>
    <row r="6288" ht="15" customHeight="1">
      <c r="A6288" t="inlineStr">
        <is>
          <t>A 73269-2021</t>
        </is>
      </c>
      <c r="B6288" s="1" t="n">
        <v>44550.88486111111</v>
      </c>
      <c r="C6288" s="1" t="n">
        <v>46093</v>
      </c>
      <c r="D6288" t="inlineStr">
        <is>
          <t>VÄSTERNORRLANDS LÄN</t>
        </is>
      </c>
      <c r="E6288" t="inlineStr">
        <is>
          <t>ÖRNSKÖLDSVIK</t>
        </is>
      </c>
      <c r="G6288" t="n">
        <v>6.6</v>
      </c>
      <c r="H6288" t="n">
        <v>0</v>
      </c>
      <c r="I6288" t="n">
        <v>0</v>
      </c>
      <c r="J6288" t="n">
        <v>0</v>
      </c>
      <c r="K6288" t="n">
        <v>0</v>
      </c>
      <c r="L6288" t="n">
        <v>0</v>
      </c>
      <c r="M6288" t="n">
        <v>0</v>
      </c>
      <c r="N6288" t="n">
        <v>0</v>
      </c>
      <c r="O6288" t="n">
        <v>0</v>
      </c>
      <c r="P6288" t="n">
        <v>0</v>
      </c>
      <c r="Q6288" t="n">
        <v>0</v>
      </c>
      <c r="R6288" s="2" t="inlineStr"/>
    </row>
    <row r="6289" ht="15" customHeight="1">
      <c r="A6289" t="inlineStr">
        <is>
          <t>A 28726-2022</t>
        </is>
      </c>
      <c r="B6289" s="1" t="n">
        <v>44748</v>
      </c>
      <c r="C6289" s="1" t="n">
        <v>46093</v>
      </c>
      <c r="D6289" t="inlineStr">
        <is>
          <t>VÄSTERNORRLANDS LÄN</t>
        </is>
      </c>
      <c r="E6289" t="inlineStr">
        <is>
          <t>SUNDSVALL</t>
        </is>
      </c>
      <c r="F6289" t="inlineStr">
        <is>
          <t>SCA</t>
        </is>
      </c>
      <c r="G6289" t="n">
        <v>2.8</v>
      </c>
      <c r="H6289" t="n">
        <v>0</v>
      </c>
      <c r="I6289" t="n">
        <v>0</v>
      </c>
      <c r="J6289" t="n">
        <v>0</v>
      </c>
      <c r="K6289" t="n">
        <v>0</v>
      </c>
      <c r="L6289" t="n">
        <v>0</v>
      </c>
      <c r="M6289" t="n">
        <v>0</v>
      </c>
      <c r="N6289" t="n">
        <v>0</v>
      </c>
      <c r="O6289" t="n">
        <v>0</v>
      </c>
      <c r="P6289" t="n">
        <v>0</v>
      </c>
      <c r="Q6289" t="n">
        <v>0</v>
      </c>
      <c r="R6289" s="2" t="inlineStr"/>
    </row>
    <row r="6290" ht="15" customHeight="1">
      <c r="A6290" t="inlineStr">
        <is>
          <t>A 55769-2024</t>
        </is>
      </c>
      <c r="B6290" s="1" t="n">
        <v>45623.38574074074</v>
      </c>
      <c r="C6290" s="1" t="n">
        <v>46093</v>
      </c>
      <c r="D6290" t="inlineStr">
        <is>
          <t>VÄSTERNORRLANDS LÄN</t>
        </is>
      </c>
      <c r="E6290" t="inlineStr">
        <is>
          <t>SOLLEFTEÅ</t>
        </is>
      </c>
      <c r="F6290" t="inlineStr">
        <is>
          <t>SCA</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48981-2025</t>
        </is>
      </c>
      <c r="B6291" s="1" t="n">
        <v>45937.57354166666</v>
      </c>
      <c r="C6291" s="1" t="n">
        <v>46093</v>
      </c>
      <c r="D6291" t="inlineStr">
        <is>
          <t>VÄSTERNORRLANDS LÄN</t>
        </is>
      </c>
      <c r="E6291" t="inlineStr">
        <is>
          <t>SOLLEFTEÅ</t>
        </is>
      </c>
      <c r="F6291" t="inlineStr">
        <is>
          <t>SCA</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48768-2025</t>
        </is>
      </c>
      <c r="B6292" s="1" t="n">
        <v>45936.88189814815</v>
      </c>
      <c r="C6292" s="1" t="n">
        <v>46093</v>
      </c>
      <c r="D6292" t="inlineStr">
        <is>
          <t>VÄSTERNORRLANDS LÄN</t>
        </is>
      </c>
      <c r="E6292" t="inlineStr">
        <is>
          <t>KRAMFORS</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49052-2025</t>
        </is>
      </c>
      <c r="B6293" s="1" t="n">
        <v>45937.63813657407</v>
      </c>
      <c r="C6293" s="1" t="n">
        <v>46093</v>
      </c>
      <c r="D6293" t="inlineStr">
        <is>
          <t>VÄSTERNORRLANDS LÄN</t>
        </is>
      </c>
      <c r="E6293" t="inlineStr">
        <is>
          <t>SOLLEFTEÅ</t>
        </is>
      </c>
      <c r="F6293" t="inlineStr">
        <is>
          <t>SCA</t>
        </is>
      </c>
      <c r="G6293" t="n">
        <v>6.7</v>
      </c>
      <c r="H6293" t="n">
        <v>0</v>
      </c>
      <c r="I6293" t="n">
        <v>0</v>
      </c>
      <c r="J6293" t="n">
        <v>0</v>
      </c>
      <c r="K6293" t="n">
        <v>0</v>
      </c>
      <c r="L6293" t="n">
        <v>0</v>
      </c>
      <c r="M6293" t="n">
        <v>0</v>
      </c>
      <c r="N6293" t="n">
        <v>0</v>
      </c>
      <c r="O6293" t="n">
        <v>0</v>
      </c>
      <c r="P6293" t="n">
        <v>0</v>
      </c>
      <c r="Q6293" t="n">
        <v>0</v>
      </c>
      <c r="R6293" s="2" t="inlineStr"/>
    </row>
    <row r="6294" ht="15" customHeight="1">
      <c r="A6294" t="inlineStr">
        <is>
          <t>A 62857-2023</t>
        </is>
      </c>
      <c r="B6294" s="1" t="n">
        <v>45272</v>
      </c>
      <c r="C6294" s="1" t="n">
        <v>46093</v>
      </c>
      <c r="D6294" t="inlineStr">
        <is>
          <t>VÄSTERNORRLANDS LÄN</t>
        </is>
      </c>
      <c r="E6294" t="inlineStr">
        <is>
          <t>ÖRNSKÖLDSVIK</t>
        </is>
      </c>
      <c r="F6294" t="inlineStr">
        <is>
          <t>Holmen skog AB</t>
        </is>
      </c>
      <c r="G6294" t="n">
        <v>7.4</v>
      </c>
      <c r="H6294" t="n">
        <v>0</v>
      </c>
      <c r="I6294" t="n">
        <v>0</v>
      </c>
      <c r="J6294" t="n">
        <v>0</v>
      </c>
      <c r="K6294" t="n">
        <v>0</v>
      </c>
      <c r="L6294" t="n">
        <v>0</v>
      </c>
      <c r="M6294" t="n">
        <v>0</v>
      </c>
      <c r="N6294" t="n">
        <v>0</v>
      </c>
      <c r="O6294" t="n">
        <v>0</v>
      </c>
      <c r="P6294" t="n">
        <v>0</v>
      </c>
      <c r="Q6294" t="n">
        <v>0</v>
      </c>
      <c r="R6294" s="2" t="inlineStr"/>
    </row>
    <row r="6295" ht="15" customHeight="1">
      <c r="A6295" t="inlineStr">
        <is>
          <t>A 13598-2022</t>
        </is>
      </c>
      <c r="B6295" s="1" t="n">
        <v>44648</v>
      </c>
      <c r="C6295" s="1" t="n">
        <v>46093</v>
      </c>
      <c r="D6295" t="inlineStr">
        <is>
          <t>VÄSTERNORRLANDS LÄN</t>
        </is>
      </c>
      <c r="E6295" t="inlineStr">
        <is>
          <t>SOLLEFTEÅ</t>
        </is>
      </c>
      <c r="G6295" t="n">
        <v>2.5</v>
      </c>
      <c r="H6295" t="n">
        <v>0</v>
      </c>
      <c r="I6295" t="n">
        <v>0</v>
      </c>
      <c r="J6295" t="n">
        <v>0</v>
      </c>
      <c r="K6295" t="n">
        <v>0</v>
      </c>
      <c r="L6295" t="n">
        <v>0</v>
      </c>
      <c r="M6295" t="n">
        <v>0</v>
      </c>
      <c r="N6295" t="n">
        <v>0</v>
      </c>
      <c r="O6295" t="n">
        <v>0</v>
      </c>
      <c r="P6295" t="n">
        <v>0</v>
      </c>
      <c r="Q6295" t="n">
        <v>0</v>
      </c>
      <c r="R6295" s="2" t="inlineStr"/>
    </row>
    <row r="6296" ht="15" customHeight="1">
      <c r="A6296" t="inlineStr">
        <is>
          <t>A 49071-2025</t>
        </is>
      </c>
      <c r="B6296" s="1" t="n">
        <v>45937.65337962963</v>
      </c>
      <c r="C6296" s="1" t="n">
        <v>46093</v>
      </c>
      <c r="D6296" t="inlineStr">
        <is>
          <t>VÄSTERNORRLANDS LÄN</t>
        </is>
      </c>
      <c r="E6296" t="inlineStr">
        <is>
          <t>KRAMFORS</t>
        </is>
      </c>
      <c r="G6296" t="n">
        <v>4.3</v>
      </c>
      <c r="H6296" t="n">
        <v>0</v>
      </c>
      <c r="I6296" t="n">
        <v>0</v>
      </c>
      <c r="J6296" t="n">
        <v>0</v>
      </c>
      <c r="K6296" t="n">
        <v>0</v>
      </c>
      <c r="L6296" t="n">
        <v>0</v>
      </c>
      <c r="M6296" t="n">
        <v>0</v>
      </c>
      <c r="N6296" t="n">
        <v>0</v>
      </c>
      <c r="O6296" t="n">
        <v>0</v>
      </c>
      <c r="P6296" t="n">
        <v>0</v>
      </c>
      <c r="Q6296" t="n">
        <v>0</v>
      </c>
      <c r="R6296" s="2" t="inlineStr"/>
    </row>
    <row r="6297" ht="15" customHeight="1">
      <c r="A6297" t="inlineStr">
        <is>
          <t>A 37003-2025</t>
        </is>
      </c>
      <c r="B6297" s="1" t="n">
        <v>45874.68918981482</v>
      </c>
      <c r="C6297" s="1" t="n">
        <v>46093</v>
      </c>
      <c r="D6297" t="inlineStr">
        <is>
          <t>VÄSTERNORRLANDS LÄN</t>
        </is>
      </c>
      <c r="E6297" t="inlineStr">
        <is>
          <t>SUNDSVALL</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37018-2025</t>
        </is>
      </c>
      <c r="B6298" s="1" t="n">
        <v>45874</v>
      </c>
      <c r="C6298" s="1" t="n">
        <v>46093</v>
      </c>
      <c r="D6298" t="inlineStr">
        <is>
          <t>VÄSTERNORRLANDS LÄN</t>
        </is>
      </c>
      <c r="E6298" t="inlineStr">
        <is>
          <t>SOLLEFTEÅ</t>
        </is>
      </c>
      <c r="G6298" t="n">
        <v>3.6</v>
      </c>
      <c r="H6298" t="n">
        <v>0</v>
      </c>
      <c r="I6298" t="n">
        <v>0</v>
      </c>
      <c r="J6298" t="n">
        <v>0</v>
      </c>
      <c r="K6298" t="n">
        <v>0</v>
      </c>
      <c r="L6298" t="n">
        <v>0</v>
      </c>
      <c r="M6298" t="n">
        <v>0</v>
      </c>
      <c r="N6298" t="n">
        <v>0</v>
      </c>
      <c r="O6298" t="n">
        <v>0</v>
      </c>
      <c r="P6298" t="n">
        <v>0</v>
      </c>
      <c r="Q6298" t="n">
        <v>0</v>
      </c>
      <c r="R6298" s="2" t="inlineStr"/>
    </row>
    <row r="6299" ht="15" customHeight="1">
      <c r="A6299" t="inlineStr">
        <is>
          <t>A 14874-2023</t>
        </is>
      </c>
      <c r="B6299" s="1" t="n">
        <v>45015</v>
      </c>
      <c r="C6299" s="1" t="n">
        <v>46093</v>
      </c>
      <c r="D6299" t="inlineStr">
        <is>
          <t>VÄSTERNORRLANDS LÄN</t>
        </is>
      </c>
      <c r="E6299" t="inlineStr">
        <is>
          <t>HÄRNÖSAND</t>
        </is>
      </c>
      <c r="F6299" t="inlineStr">
        <is>
          <t>SCA</t>
        </is>
      </c>
      <c r="G6299" t="n">
        <v>8</v>
      </c>
      <c r="H6299" t="n">
        <v>0</v>
      </c>
      <c r="I6299" t="n">
        <v>0</v>
      </c>
      <c r="J6299" t="n">
        <v>0</v>
      </c>
      <c r="K6299" t="n">
        <v>0</v>
      </c>
      <c r="L6299" t="n">
        <v>0</v>
      </c>
      <c r="M6299" t="n">
        <v>0</v>
      </c>
      <c r="N6299" t="n">
        <v>0</v>
      </c>
      <c r="O6299" t="n">
        <v>0</v>
      </c>
      <c r="P6299" t="n">
        <v>0</v>
      </c>
      <c r="Q6299" t="n">
        <v>0</v>
      </c>
      <c r="R6299" s="2" t="inlineStr"/>
    </row>
    <row r="6300" ht="15" customHeight="1">
      <c r="A6300" t="inlineStr">
        <is>
          <t>A 49221-2025</t>
        </is>
      </c>
      <c r="B6300" s="1" t="n">
        <v>45938.46335648148</v>
      </c>
      <c r="C6300" s="1" t="n">
        <v>46093</v>
      </c>
      <c r="D6300" t="inlineStr">
        <is>
          <t>VÄSTERNORRLANDS LÄN</t>
        </is>
      </c>
      <c r="E6300" t="inlineStr">
        <is>
          <t>SOLLEFTEÅ</t>
        </is>
      </c>
      <c r="G6300" t="n">
        <v>3.2</v>
      </c>
      <c r="H6300" t="n">
        <v>0</v>
      </c>
      <c r="I6300" t="n">
        <v>0</v>
      </c>
      <c r="J6300" t="n">
        <v>0</v>
      </c>
      <c r="K6300" t="n">
        <v>0</v>
      </c>
      <c r="L6300" t="n">
        <v>0</v>
      </c>
      <c r="M6300" t="n">
        <v>0</v>
      </c>
      <c r="N6300" t="n">
        <v>0</v>
      </c>
      <c r="O6300" t="n">
        <v>0</v>
      </c>
      <c r="P6300" t="n">
        <v>0</v>
      </c>
      <c r="Q6300" t="n">
        <v>0</v>
      </c>
      <c r="R6300" s="2" t="inlineStr"/>
    </row>
    <row r="6301" ht="15" customHeight="1">
      <c r="A6301" t="inlineStr">
        <is>
          <t>A 35165-2022</t>
        </is>
      </c>
      <c r="B6301" s="1" t="n">
        <v>44797</v>
      </c>
      <c r="C6301" s="1" t="n">
        <v>46093</v>
      </c>
      <c r="D6301" t="inlineStr">
        <is>
          <t>VÄSTERNORRLANDS LÄN</t>
        </is>
      </c>
      <c r="E6301" t="inlineStr">
        <is>
          <t>SUNDSVALL</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48872-2025</t>
        </is>
      </c>
      <c r="B6302" s="1" t="n">
        <v>45937.45410879629</v>
      </c>
      <c r="C6302" s="1" t="n">
        <v>46093</v>
      </c>
      <c r="D6302" t="inlineStr">
        <is>
          <t>VÄSTERNORRLANDS LÄN</t>
        </is>
      </c>
      <c r="E6302" t="inlineStr">
        <is>
          <t>ÖRNSKÖLDSVIK</t>
        </is>
      </c>
      <c r="F6302" t="inlineStr">
        <is>
          <t>Holmen skog AB</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8244-2024</t>
        </is>
      </c>
      <c r="B6303" s="1" t="n">
        <v>45351</v>
      </c>
      <c r="C6303" s="1" t="n">
        <v>46093</v>
      </c>
      <c r="D6303" t="inlineStr">
        <is>
          <t>VÄSTERNORRLANDS LÄN</t>
        </is>
      </c>
      <c r="E6303" t="inlineStr">
        <is>
          <t>SOLLEFTEÅ</t>
        </is>
      </c>
      <c r="F6303" t="inlineStr">
        <is>
          <t>SCA</t>
        </is>
      </c>
      <c r="G6303" t="n">
        <v>0.1</v>
      </c>
      <c r="H6303" t="n">
        <v>0</v>
      </c>
      <c r="I6303" t="n">
        <v>0</v>
      </c>
      <c r="J6303" t="n">
        <v>0</v>
      </c>
      <c r="K6303" t="n">
        <v>0</v>
      </c>
      <c r="L6303" t="n">
        <v>0</v>
      </c>
      <c r="M6303" t="n">
        <v>0</v>
      </c>
      <c r="N6303" t="n">
        <v>0</v>
      </c>
      <c r="O6303" t="n">
        <v>0</v>
      </c>
      <c r="P6303" t="n">
        <v>0</v>
      </c>
      <c r="Q6303" t="n">
        <v>0</v>
      </c>
      <c r="R6303" s="2" t="inlineStr"/>
    </row>
    <row r="6304" ht="15" customHeight="1">
      <c r="A6304" t="inlineStr">
        <is>
          <t>A 48913-2025</t>
        </is>
      </c>
      <c r="B6304" s="1" t="n">
        <v>45937.49005787037</v>
      </c>
      <c r="C6304" s="1" t="n">
        <v>46093</v>
      </c>
      <c r="D6304" t="inlineStr">
        <is>
          <t>VÄSTERNORRLANDS LÄN</t>
        </is>
      </c>
      <c r="E6304" t="inlineStr">
        <is>
          <t>SUNDSVALL</t>
        </is>
      </c>
      <c r="F6304" t="inlineStr">
        <is>
          <t>Naturvårdsverket</t>
        </is>
      </c>
      <c r="G6304" t="n">
        <v>9.9</v>
      </c>
      <c r="H6304" t="n">
        <v>0</v>
      </c>
      <c r="I6304" t="n">
        <v>0</v>
      </c>
      <c r="J6304" t="n">
        <v>0</v>
      </c>
      <c r="K6304" t="n">
        <v>0</v>
      </c>
      <c r="L6304" t="n">
        <v>0</v>
      </c>
      <c r="M6304" t="n">
        <v>0</v>
      </c>
      <c r="N6304" t="n">
        <v>0</v>
      </c>
      <c r="O6304" t="n">
        <v>0</v>
      </c>
      <c r="P6304" t="n">
        <v>0</v>
      </c>
      <c r="Q6304" t="n">
        <v>0</v>
      </c>
      <c r="R6304" s="2" t="inlineStr"/>
    </row>
    <row r="6305" ht="15" customHeight="1">
      <c r="A6305" t="inlineStr">
        <is>
          <t>A 56197-2024</t>
        </is>
      </c>
      <c r="B6305" s="1" t="n">
        <v>45624</v>
      </c>
      <c r="C6305" s="1" t="n">
        <v>46093</v>
      </c>
      <c r="D6305" t="inlineStr">
        <is>
          <t>VÄSTERNORRLANDS LÄN</t>
        </is>
      </c>
      <c r="E6305" t="inlineStr">
        <is>
          <t>SUNDSVALL</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53038-2023</t>
        </is>
      </c>
      <c r="B6306" s="1" t="n">
        <v>45226.96298611111</v>
      </c>
      <c r="C6306" s="1" t="n">
        <v>46093</v>
      </c>
      <c r="D6306" t="inlineStr">
        <is>
          <t>VÄSTERNORRLANDS LÄN</t>
        </is>
      </c>
      <c r="E6306" t="inlineStr">
        <is>
          <t>SUNDSVALL</t>
        </is>
      </c>
      <c r="F6306" t="inlineStr">
        <is>
          <t>SCA</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49289-2025</t>
        </is>
      </c>
      <c r="B6307" s="1" t="n">
        <v>45938.52868055556</v>
      </c>
      <c r="C6307" s="1" t="n">
        <v>46093</v>
      </c>
      <c r="D6307" t="inlineStr">
        <is>
          <t>VÄSTERNORRLANDS LÄN</t>
        </is>
      </c>
      <c r="E6307" t="inlineStr">
        <is>
          <t>SOLLEFTEÅ</t>
        </is>
      </c>
      <c r="G6307" t="n">
        <v>2.7</v>
      </c>
      <c r="H6307" t="n">
        <v>0</v>
      </c>
      <c r="I6307" t="n">
        <v>0</v>
      </c>
      <c r="J6307" t="n">
        <v>0</v>
      </c>
      <c r="K6307" t="n">
        <v>0</v>
      </c>
      <c r="L6307" t="n">
        <v>0</v>
      </c>
      <c r="M6307" t="n">
        <v>0</v>
      </c>
      <c r="N6307" t="n">
        <v>0</v>
      </c>
      <c r="O6307" t="n">
        <v>0</v>
      </c>
      <c r="P6307" t="n">
        <v>0</v>
      </c>
      <c r="Q6307" t="n">
        <v>0</v>
      </c>
      <c r="R6307" s="2" t="inlineStr"/>
    </row>
    <row r="6308" ht="15" customHeight="1">
      <c r="A6308" t="inlineStr">
        <is>
          <t>A 49346-2025</t>
        </is>
      </c>
      <c r="B6308" s="1" t="n">
        <v>45938.60650462963</v>
      </c>
      <c r="C6308" s="1" t="n">
        <v>46093</v>
      </c>
      <c r="D6308" t="inlineStr">
        <is>
          <t>VÄSTERNORRLANDS LÄN</t>
        </is>
      </c>
      <c r="E6308" t="inlineStr">
        <is>
          <t>ÖRNSKÖLDSVIK</t>
        </is>
      </c>
      <c r="F6308" t="inlineStr">
        <is>
          <t>Holmen skog AB</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56204-2024</t>
        </is>
      </c>
      <c r="B6309" s="1" t="n">
        <v>45624</v>
      </c>
      <c r="C6309" s="1" t="n">
        <v>46093</v>
      </c>
      <c r="D6309" t="inlineStr">
        <is>
          <t>VÄSTERNORRLANDS LÄN</t>
        </is>
      </c>
      <c r="E6309" t="inlineStr">
        <is>
          <t>SOLLEFTEÅ</t>
        </is>
      </c>
      <c r="G6309" t="n">
        <v>6.4</v>
      </c>
      <c r="H6309" t="n">
        <v>0</v>
      </c>
      <c r="I6309" t="n">
        <v>0</v>
      </c>
      <c r="J6309" t="n">
        <v>0</v>
      </c>
      <c r="K6309" t="n">
        <v>0</v>
      </c>
      <c r="L6309" t="n">
        <v>0</v>
      </c>
      <c r="M6309" t="n">
        <v>0</v>
      </c>
      <c r="N6309" t="n">
        <v>0</v>
      </c>
      <c r="O6309" t="n">
        <v>0</v>
      </c>
      <c r="P6309" t="n">
        <v>0</v>
      </c>
      <c r="Q6309" t="n">
        <v>0</v>
      </c>
      <c r="R6309" s="2" t="inlineStr"/>
    </row>
    <row r="6310" ht="15" customHeight="1">
      <c r="A6310" t="inlineStr">
        <is>
          <t>A 2698-2024</t>
        </is>
      </c>
      <c r="B6310" s="1" t="n">
        <v>45314</v>
      </c>
      <c r="C6310" s="1" t="n">
        <v>46093</v>
      </c>
      <c r="D6310" t="inlineStr">
        <is>
          <t>VÄSTERNORRLANDS LÄN</t>
        </is>
      </c>
      <c r="E6310" t="inlineStr">
        <is>
          <t>HÄRNÖSAND</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56232-2024</t>
        </is>
      </c>
      <c r="B6311" s="1" t="n">
        <v>45624</v>
      </c>
      <c r="C6311" s="1" t="n">
        <v>46093</v>
      </c>
      <c r="D6311" t="inlineStr">
        <is>
          <t>VÄSTERNORRLANDS LÄN</t>
        </is>
      </c>
      <c r="E6311" t="inlineStr">
        <is>
          <t>ÅNGE</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48795-2025</t>
        </is>
      </c>
      <c r="B6312" s="1" t="n">
        <v>45937.34444444445</v>
      </c>
      <c r="C6312" s="1" t="n">
        <v>46093</v>
      </c>
      <c r="D6312" t="inlineStr">
        <is>
          <t>VÄSTERNORRLANDS LÄN</t>
        </is>
      </c>
      <c r="E6312" t="inlineStr">
        <is>
          <t>SUNDSVALL</t>
        </is>
      </c>
      <c r="F6312" t="inlineStr">
        <is>
          <t>SCA</t>
        </is>
      </c>
      <c r="G6312" t="n">
        <v>4.7</v>
      </c>
      <c r="H6312" t="n">
        <v>0</v>
      </c>
      <c r="I6312" t="n">
        <v>0</v>
      </c>
      <c r="J6312" t="n">
        <v>0</v>
      </c>
      <c r="K6312" t="n">
        <v>0</v>
      </c>
      <c r="L6312" t="n">
        <v>0</v>
      </c>
      <c r="M6312" t="n">
        <v>0</v>
      </c>
      <c r="N6312" t="n">
        <v>0</v>
      </c>
      <c r="O6312" t="n">
        <v>0</v>
      </c>
      <c r="P6312" t="n">
        <v>0</v>
      </c>
      <c r="Q6312" t="n">
        <v>0</v>
      </c>
      <c r="R6312" s="2" t="inlineStr"/>
    </row>
    <row r="6313" ht="15" customHeight="1">
      <c r="A6313" t="inlineStr">
        <is>
          <t>A 44635-2024</t>
        </is>
      </c>
      <c r="B6313" s="1" t="n">
        <v>45574.51488425926</v>
      </c>
      <c r="C6313" s="1" t="n">
        <v>46093</v>
      </c>
      <c r="D6313" t="inlineStr">
        <is>
          <t>VÄSTERNORRLANDS LÄN</t>
        </is>
      </c>
      <c r="E6313" t="inlineStr">
        <is>
          <t>ÅNGE</t>
        </is>
      </c>
      <c r="F6313" t="inlineStr">
        <is>
          <t>SCA</t>
        </is>
      </c>
      <c r="G6313" t="n">
        <v>2.6</v>
      </c>
      <c r="H6313" t="n">
        <v>0</v>
      </c>
      <c r="I6313" t="n">
        <v>0</v>
      </c>
      <c r="J6313" t="n">
        <v>0</v>
      </c>
      <c r="K6313" t="n">
        <v>0</v>
      </c>
      <c r="L6313" t="n">
        <v>0</v>
      </c>
      <c r="M6313" t="n">
        <v>0</v>
      </c>
      <c r="N6313" t="n">
        <v>0</v>
      </c>
      <c r="O6313" t="n">
        <v>0</v>
      </c>
      <c r="P6313" t="n">
        <v>0</v>
      </c>
      <c r="Q6313" t="n">
        <v>0</v>
      </c>
      <c r="R6313" s="2" t="inlineStr"/>
    </row>
    <row r="6314" ht="15" customHeight="1">
      <c r="A6314" t="inlineStr">
        <is>
          <t>A 48800-2025</t>
        </is>
      </c>
      <c r="B6314" s="1" t="n">
        <v>45937.34498842592</v>
      </c>
      <c r="C6314" s="1" t="n">
        <v>46093</v>
      </c>
      <c r="D6314" t="inlineStr">
        <is>
          <t>VÄSTERNORRLANDS LÄN</t>
        </is>
      </c>
      <c r="E6314" t="inlineStr">
        <is>
          <t>HÄRNÖSAND</t>
        </is>
      </c>
      <c r="F6314" t="inlineStr">
        <is>
          <t>SCA</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48810-2025</t>
        </is>
      </c>
      <c r="B6315" s="1" t="n">
        <v>45937.35652777777</v>
      </c>
      <c r="C6315" s="1" t="n">
        <v>46093</v>
      </c>
      <c r="D6315" t="inlineStr">
        <is>
          <t>VÄSTERNORRLANDS LÄN</t>
        </is>
      </c>
      <c r="E6315" t="inlineStr">
        <is>
          <t>ÖRNSKÖLDSVIK</t>
        </is>
      </c>
      <c r="G6315" t="n">
        <v>0.4</v>
      </c>
      <c r="H6315" t="n">
        <v>0</v>
      </c>
      <c r="I6315" t="n">
        <v>0</v>
      </c>
      <c r="J6315" t="n">
        <v>0</v>
      </c>
      <c r="K6315" t="n">
        <v>0</v>
      </c>
      <c r="L6315" t="n">
        <v>0</v>
      </c>
      <c r="M6315" t="n">
        <v>0</v>
      </c>
      <c r="N6315" t="n">
        <v>0</v>
      </c>
      <c r="O6315" t="n">
        <v>0</v>
      </c>
      <c r="P6315" t="n">
        <v>0</v>
      </c>
      <c r="Q6315" t="n">
        <v>0</v>
      </c>
      <c r="R6315" s="2" t="inlineStr"/>
    </row>
    <row r="6316" ht="15" customHeight="1">
      <c r="A6316" t="inlineStr">
        <is>
          <t>A 49115-2025</t>
        </is>
      </c>
      <c r="B6316" s="1" t="n">
        <v>45937</v>
      </c>
      <c r="C6316" s="1" t="n">
        <v>46093</v>
      </c>
      <c r="D6316" t="inlineStr">
        <is>
          <t>VÄSTERNORRLANDS LÄN</t>
        </is>
      </c>
      <c r="E6316" t="inlineStr">
        <is>
          <t>SOLLEFTEÅ</t>
        </is>
      </c>
      <c r="F6316" t="inlineStr">
        <is>
          <t>Övriga Aktiebolag</t>
        </is>
      </c>
      <c r="G6316" t="n">
        <v>3.2</v>
      </c>
      <c r="H6316" t="n">
        <v>0</v>
      </c>
      <c r="I6316" t="n">
        <v>0</v>
      </c>
      <c r="J6316" t="n">
        <v>0</v>
      </c>
      <c r="K6316" t="n">
        <v>0</v>
      </c>
      <c r="L6316" t="n">
        <v>0</v>
      </c>
      <c r="M6316" t="n">
        <v>0</v>
      </c>
      <c r="N6316" t="n">
        <v>0</v>
      </c>
      <c r="O6316" t="n">
        <v>0</v>
      </c>
      <c r="P6316" t="n">
        <v>0</v>
      </c>
      <c r="Q6316" t="n">
        <v>0</v>
      </c>
      <c r="R6316" s="2" t="inlineStr"/>
    </row>
    <row r="6317" ht="15" customHeight="1">
      <c r="A6317" t="inlineStr">
        <is>
          <t>A 15712-2022</t>
        </is>
      </c>
      <c r="B6317" s="1" t="n">
        <v>44663</v>
      </c>
      <c r="C6317" s="1" t="n">
        <v>46093</v>
      </c>
      <c r="D6317" t="inlineStr">
        <is>
          <t>VÄSTERNORRLANDS LÄN</t>
        </is>
      </c>
      <c r="E6317" t="inlineStr">
        <is>
          <t>SUNDSVALL</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19876-2025</t>
        </is>
      </c>
      <c r="B6318" s="1" t="n">
        <v>45771.55269675926</v>
      </c>
      <c r="C6318" s="1" t="n">
        <v>46093</v>
      </c>
      <c r="D6318" t="inlineStr">
        <is>
          <t>VÄSTERNORRLANDS LÄN</t>
        </is>
      </c>
      <c r="E6318" t="inlineStr">
        <is>
          <t>ÖRNSKÖLDSVIK</t>
        </is>
      </c>
      <c r="G6318" t="n">
        <v>3</v>
      </c>
      <c r="H6318" t="n">
        <v>0</v>
      </c>
      <c r="I6318" t="n">
        <v>0</v>
      </c>
      <c r="J6318" t="n">
        <v>0</v>
      </c>
      <c r="K6318" t="n">
        <v>0</v>
      </c>
      <c r="L6318" t="n">
        <v>0</v>
      </c>
      <c r="M6318" t="n">
        <v>0</v>
      </c>
      <c r="N6318" t="n">
        <v>0</v>
      </c>
      <c r="O6318" t="n">
        <v>0</v>
      </c>
      <c r="P6318" t="n">
        <v>0</v>
      </c>
      <c r="Q6318" t="n">
        <v>0</v>
      </c>
      <c r="R6318" s="2" t="inlineStr"/>
    </row>
    <row r="6319" ht="15" customHeight="1">
      <c r="A6319" t="inlineStr">
        <is>
          <t>A 49341-2025</t>
        </is>
      </c>
      <c r="B6319" s="1" t="n">
        <v>45938.59512731482</v>
      </c>
      <c r="C6319" s="1" t="n">
        <v>46093</v>
      </c>
      <c r="D6319" t="inlineStr">
        <is>
          <t>VÄSTERNORRLANDS LÄN</t>
        </is>
      </c>
      <c r="E6319" t="inlineStr">
        <is>
          <t>ÖRNSKÖLDSVIK</t>
        </is>
      </c>
      <c r="F6319" t="inlineStr">
        <is>
          <t>Holmen skog AB</t>
        </is>
      </c>
      <c r="G6319" t="n">
        <v>7</v>
      </c>
      <c r="H6319" t="n">
        <v>0</v>
      </c>
      <c r="I6319" t="n">
        <v>0</v>
      </c>
      <c r="J6319" t="n">
        <v>0</v>
      </c>
      <c r="K6319" t="n">
        <v>0</v>
      </c>
      <c r="L6319" t="n">
        <v>0</v>
      </c>
      <c r="M6319" t="n">
        <v>0</v>
      </c>
      <c r="N6319" t="n">
        <v>0</v>
      </c>
      <c r="O6319" t="n">
        <v>0</v>
      </c>
      <c r="P6319" t="n">
        <v>0</v>
      </c>
      <c r="Q6319" t="n">
        <v>0</v>
      </c>
      <c r="R6319" s="2" t="inlineStr"/>
    </row>
    <row r="6320" ht="15" customHeight="1">
      <c r="A6320" t="inlineStr">
        <is>
          <t>A 24324-2022</t>
        </is>
      </c>
      <c r="B6320" s="1" t="n">
        <v>44725.945</v>
      </c>
      <c r="C6320" s="1" t="n">
        <v>46093</v>
      </c>
      <c r="D6320" t="inlineStr">
        <is>
          <t>VÄSTERNORRLANDS LÄN</t>
        </is>
      </c>
      <c r="E6320" t="inlineStr">
        <is>
          <t>ÅNGE</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24325-2022</t>
        </is>
      </c>
      <c r="B6321" s="1" t="n">
        <v>44725.94506944445</v>
      </c>
      <c r="C6321" s="1" t="n">
        <v>46093</v>
      </c>
      <c r="D6321" t="inlineStr">
        <is>
          <t>VÄSTERNORRLANDS LÄN</t>
        </is>
      </c>
      <c r="E6321" t="inlineStr">
        <is>
          <t>ÅNGE</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57107-2024</t>
        </is>
      </c>
      <c r="B6322" s="1" t="n">
        <v>45629</v>
      </c>
      <c r="C6322" s="1" t="n">
        <v>46093</v>
      </c>
      <c r="D6322" t="inlineStr">
        <is>
          <t>VÄSTERNORRLANDS LÄN</t>
        </is>
      </c>
      <c r="E6322" t="inlineStr">
        <is>
          <t>SOLLEFTEÅ</t>
        </is>
      </c>
      <c r="F6322" t="inlineStr">
        <is>
          <t>SCA</t>
        </is>
      </c>
      <c r="G6322" t="n">
        <v>2.1</v>
      </c>
      <c r="H6322" t="n">
        <v>0</v>
      </c>
      <c r="I6322" t="n">
        <v>0</v>
      </c>
      <c r="J6322" t="n">
        <v>0</v>
      </c>
      <c r="K6322" t="n">
        <v>0</v>
      </c>
      <c r="L6322" t="n">
        <v>0</v>
      </c>
      <c r="M6322" t="n">
        <v>0</v>
      </c>
      <c r="N6322" t="n">
        <v>0</v>
      </c>
      <c r="O6322" t="n">
        <v>0</v>
      </c>
      <c r="P6322" t="n">
        <v>0</v>
      </c>
      <c r="Q6322" t="n">
        <v>0</v>
      </c>
      <c r="R6322" s="2" t="inlineStr"/>
    </row>
    <row r="6323" ht="15" customHeight="1">
      <c r="A6323" t="inlineStr">
        <is>
          <t>A 49155-2025</t>
        </is>
      </c>
      <c r="B6323" s="1" t="n">
        <v>45938.34578703704</v>
      </c>
      <c r="C6323" s="1" t="n">
        <v>46093</v>
      </c>
      <c r="D6323" t="inlineStr">
        <is>
          <t>VÄSTERNORRLANDS LÄN</t>
        </is>
      </c>
      <c r="E6323" t="inlineStr">
        <is>
          <t>SOLLEFTEÅ</t>
        </is>
      </c>
      <c r="F6323" t="inlineStr">
        <is>
          <t>SCA</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49696-2025</t>
        </is>
      </c>
      <c r="B6324" s="1" t="n">
        <v>45939.6775462963</v>
      </c>
      <c r="C6324" s="1" t="n">
        <v>46093</v>
      </c>
      <c r="D6324" t="inlineStr">
        <is>
          <t>VÄSTERNORRLANDS LÄN</t>
        </is>
      </c>
      <c r="E6324" t="inlineStr">
        <is>
          <t>SOLLEFTEÅ</t>
        </is>
      </c>
      <c r="F6324" t="inlineStr">
        <is>
          <t>SCA</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49751-2025</t>
        </is>
      </c>
      <c r="B6325" s="1" t="n">
        <v>45940.34512731482</v>
      </c>
      <c r="C6325" s="1" t="n">
        <v>46093</v>
      </c>
      <c r="D6325" t="inlineStr">
        <is>
          <t>VÄSTERNORRLANDS LÄN</t>
        </is>
      </c>
      <c r="E6325" t="inlineStr">
        <is>
          <t>TIMRÅ</t>
        </is>
      </c>
      <c r="F6325" t="inlineStr">
        <is>
          <t>SCA</t>
        </is>
      </c>
      <c r="G6325" t="n">
        <v>2.9</v>
      </c>
      <c r="H6325" t="n">
        <v>0</v>
      </c>
      <c r="I6325" t="n">
        <v>0</v>
      </c>
      <c r="J6325" t="n">
        <v>0</v>
      </c>
      <c r="K6325" t="n">
        <v>0</v>
      </c>
      <c r="L6325" t="n">
        <v>0</v>
      </c>
      <c r="M6325" t="n">
        <v>0</v>
      </c>
      <c r="N6325" t="n">
        <v>0</v>
      </c>
      <c r="O6325" t="n">
        <v>0</v>
      </c>
      <c r="P6325" t="n">
        <v>0</v>
      </c>
      <c r="Q6325" t="n">
        <v>0</v>
      </c>
      <c r="R6325" s="2" t="inlineStr"/>
    </row>
    <row r="6326" ht="15" customHeight="1">
      <c r="A6326" t="inlineStr">
        <is>
          <t>A 49627-2025</t>
        </is>
      </c>
      <c r="B6326" s="1" t="n">
        <v>45939.59503472222</v>
      </c>
      <c r="C6326" s="1" t="n">
        <v>46093</v>
      </c>
      <c r="D6326" t="inlineStr">
        <is>
          <t>VÄSTERNORRLANDS LÄN</t>
        </is>
      </c>
      <c r="E6326" t="inlineStr">
        <is>
          <t>SOLLEFTEÅ</t>
        </is>
      </c>
      <c r="F6326" t="inlineStr">
        <is>
          <t>SCA</t>
        </is>
      </c>
      <c r="G6326" t="n">
        <v>29.4</v>
      </c>
      <c r="H6326" t="n">
        <v>0</v>
      </c>
      <c r="I6326" t="n">
        <v>0</v>
      </c>
      <c r="J6326" t="n">
        <v>0</v>
      </c>
      <c r="K6326" t="n">
        <v>0</v>
      </c>
      <c r="L6326" t="n">
        <v>0</v>
      </c>
      <c r="M6326" t="n">
        <v>0</v>
      </c>
      <c r="N6326" t="n">
        <v>0</v>
      </c>
      <c r="O6326" t="n">
        <v>0</v>
      </c>
      <c r="P6326" t="n">
        <v>0</v>
      </c>
      <c r="Q6326" t="n">
        <v>0</v>
      </c>
      <c r="R6326" s="2" t="inlineStr"/>
    </row>
    <row r="6327" ht="15" customHeight="1">
      <c r="A6327" t="inlineStr">
        <is>
          <t>A 49699-2025</t>
        </is>
      </c>
      <c r="B6327" s="1" t="n">
        <v>45939.67807870371</v>
      </c>
      <c r="C6327" s="1" t="n">
        <v>46093</v>
      </c>
      <c r="D6327" t="inlineStr">
        <is>
          <t>VÄSTERNORRLANDS LÄN</t>
        </is>
      </c>
      <c r="E6327" t="inlineStr">
        <is>
          <t>SOLLEFTEÅ</t>
        </is>
      </c>
      <c r="F6327" t="inlineStr">
        <is>
          <t>SCA</t>
        </is>
      </c>
      <c r="G6327" t="n">
        <v>7.5</v>
      </c>
      <c r="H6327" t="n">
        <v>0</v>
      </c>
      <c r="I6327" t="n">
        <v>0</v>
      </c>
      <c r="J6327" t="n">
        <v>0</v>
      </c>
      <c r="K6327" t="n">
        <v>0</v>
      </c>
      <c r="L6327" t="n">
        <v>0</v>
      </c>
      <c r="M6327" t="n">
        <v>0</v>
      </c>
      <c r="N6327" t="n">
        <v>0</v>
      </c>
      <c r="O6327" t="n">
        <v>0</v>
      </c>
      <c r="P6327" t="n">
        <v>0</v>
      </c>
      <c r="Q6327" t="n">
        <v>0</v>
      </c>
      <c r="R6327" s="2" t="inlineStr"/>
    </row>
    <row r="6328" ht="15" customHeight="1">
      <c r="A6328" t="inlineStr">
        <is>
          <t>A 49700-2025</t>
        </is>
      </c>
      <c r="B6328" s="1" t="n">
        <v>45939.67822916667</v>
      </c>
      <c r="C6328" s="1" t="n">
        <v>46093</v>
      </c>
      <c r="D6328" t="inlineStr">
        <is>
          <t>VÄSTERNORRLANDS LÄN</t>
        </is>
      </c>
      <c r="E6328" t="inlineStr">
        <is>
          <t>SOLLEFTEÅ</t>
        </is>
      </c>
      <c r="F6328" t="inlineStr">
        <is>
          <t>SCA</t>
        </is>
      </c>
      <c r="G6328" t="n">
        <v>1.4</v>
      </c>
      <c r="H6328" t="n">
        <v>0</v>
      </c>
      <c r="I6328" t="n">
        <v>0</v>
      </c>
      <c r="J6328" t="n">
        <v>0</v>
      </c>
      <c r="K6328" t="n">
        <v>0</v>
      </c>
      <c r="L6328" t="n">
        <v>0</v>
      </c>
      <c r="M6328" t="n">
        <v>0</v>
      </c>
      <c r="N6328" t="n">
        <v>0</v>
      </c>
      <c r="O6328" t="n">
        <v>0</v>
      </c>
      <c r="P6328" t="n">
        <v>0</v>
      </c>
      <c r="Q6328" t="n">
        <v>0</v>
      </c>
      <c r="R6328" s="2" t="inlineStr"/>
    </row>
    <row r="6329" ht="15" customHeight="1">
      <c r="A6329" t="inlineStr">
        <is>
          <t>A 49706-2025</t>
        </is>
      </c>
      <c r="B6329" s="1" t="n">
        <v>45939.67949074074</v>
      </c>
      <c r="C6329" s="1" t="n">
        <v>46093</v>
      </c>
      <c r="D6329" t="inlineStr">
        <is>
          <t>VÄSTERNORRLANDS LÄN</t>
        </is>
      </c>
      <c r="E6329" t="inlineStr">
        <is>
          <t>SOLLEFTEÅ</t>
        </is>
      </c>
      <c r="F6329" t="inlineStr">
        <is>
          <t>SCA</t>
        </is>
      </c>
      <c r="G6329" t="n">
        <v>4.1</v>
      </c>
      <c r="H6329" t="n">
        <v>0</v>
      </c>
      <c r="I6329" t="n">
        <v>0</v>
      </c>
      <c r="J6329" t="n">
        <v>0</v>
      </c>
      <c r="K6329" t="n">
        <v>0</v>
      </c>
      <c r="L6329" t="n">
        <v>0</v>
      </c>
      <c r="M6329" t="n">
        <v>0</v>
      </c>
      <c r="N6329" t="n">
        <v>0</v>
      </c>
      <c r="O6329" t="n">
        <v>0</v>
      </c>
      <c r="P6329" t="n">
        <v>0</v>
      </c>
      <c r="Q6329" t="n">
        <v>0</v>
      </c>
      <c r="R6329" s="2" t="inlineStr"/>
    </row>
    <row r="6330" ht="15" customHeight="1">
      <c r="A6330" t="inlineStr">
        <is>
          <t>A 30803-2022</t>
        </is>
      </c>
      <c r="B6330" s="1" t="n">
        <v>44764</v>
      </c>
      <c r="C6330" s="1" t="n">
        <v>46093</v>
      </c>
      <c r="D6330" t="inlineStr">
        <is>
          <t>VÄSTERNORRLANDS LÄN</t>
        </is>
      </c>
      <c r="E6330" t="inlineStr">
        <is>
          <t>ÅNGE</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158-2024</t>
        </is>
      </c>
      <c r="B6331" s="1" t="n">
        <v>45294.49413194445</v>
      </c>
      <c r="C6331" s="1" t="n">
        <v>46093</v>
      </c>
      <c r="D6331" t="inlineStr">
        <is>
          <t>VÄSTERNORRLANDS LÄN</t>
        </is>
      </c>
      <c r="E6331" t="inlineStr">
        <is>
          <t>KRAMFORS</t>
        </is>
      </c>
      <c r="G6331" t="n">
        <v>2.8</v>
      </c>
      <c r="H6331" t="n">
        <v>0</v>
      </c>
      <c r="I6331" t="n">
        <v>0</v>
      </c>
      <c r="J6331" t="n">
        <v>0</v>
      </c>
      <c r="K6331" t="n">
        <v>0</v>
      </c>
      <c r="L6331" t="n">
        <v>0</v>
      </c>
      <c r="M6331" t="n">
        <v>0</v>
      </c>
      <c r="N6331" t="n">
        <v>0</v>
      </c>
      <c r="O6331" t="n">
        <v>0</v>
      </c>
      <c r="P6331" t="n">
        <v>0</v>
      </c>
      <c r="Q6331" t="n">
        <v>0</v>
      </c>
      <c r="R6331" s="2" t="inlineStr"/>
    </row>
    <row r="6332" ht="15" customHeight="1">
      <c r="A6332" t="inlineStr">
        <is>
          <t>A 65019-2023</t>
        </is>
      </c>
      <c r="B6332" s="1" t="n">
        <v>45282</v>
      </c>
      <c r="C6332" s="1" t="n">
        <v>46093</v>
      </c>
      <c r="D6332" t="inlineStr">
        <is>
          <t>VÄSTERNORRLANDS LÄN</t>
        </is>
      </c>
      <c r="E6332" t="inlineStr">
        <is>
          <t>SUNDSVALL</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3467-2024</t>
        </is>
      </c>
      <c r="B6333" s="1" t="n">
        <v>45317</v>
      </c>
      <c r="C6333" s="1" t="n">
        <v>46093</v>
      </c>
      <c r="D6333" t="inlineStr">
        <is>
          <t>VÄSTERNORRLANDS LÄN</t>
        </is>
      </c>
      <c r="E6333" t="inlineStr">
        <is>
          <t>SUNDSVALL</t>
        </is>
      </c>
      <c r="G6333" t="n">
        <v>5.5</v>
      </c>
      <c r="H6333" t="n">
        <v>0</v>
      </c>
      <c r="I6333" t="n">
        <v>0</v>
      </c>
      <c r="J6333" t="n">
        <v>0</v>
      </c>
      <c r="K6333" t="n">
        <v>0</v>
      </c>
      <c r="L6333" t="n">
        <v>0</v>
      </c>
      <c r="M6333" t="n">
        <v>0</v>
      </c>
      <c r="N6333" t="n">
        <v>0</v>
      </c>
      <c r="O6333" t="n">
        <v>0</v>
      </c>
      <c r="P6333" t="n">
        <v>0</v>
      </c>
      <c r="Q6333" t="n">
        <v>0</v>
      </c>
      <c r="R6333" s="2" t="inlineStr"/>
    </row>
    <row r="6334" ht="15" customHeight="1">
      <c r="A6334" t="inlineStr">
        <is>
          <t>A 5519-2023</t>
        </is>
      </c>
      <c r="B6334" s="1" t="n">
        <v>44960.42409722223</v>
      </c>
      <c r="C6334" s="1" t="n">
        <v>46093</v>
      </c>
      <c r="D6334" t="inlineStr">
        <is>
          <t>VÄSTERNORRLANDS LÄN</t>
        </is>
      </c>
      <c r="E6334" t="inlineStr">
        <is>
          <t>SOLLEFTEÅ</t>
        </is>
      </c>
      <c r="F6334" t="inlineStr">
        <is>
          <t>Holmen skog AB</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49752-2025</t>
        </is>
      </c>
      <c r="B6335" s="1" t="n">
        <v>45940.34524305556</v>
      </c>
      <c r="C6335" s="1" t="n">
        <v>46093</v>
      </c>
      <c r="D6335" t="inlineStr">
        <is>
          <t>VÄSTERNORRLANDS LÄN</t>
        </is>
      </c>
      <c r="E6335" t="inlineStr">
        <is>
          <t>SUNDSVALL</t>
        </is>
      </c>
      <c r="F6335" t="inlineStr">
        <is>
          <t>Naturvårdsverket</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49919-2025</t>
        </is>
      </c>
      <c r="B6336" s="1" t="n">
        <v>45940.63591435185</v>
      </c>
      <c r="C6336" s="1" t="n">
        <v>46093</v>
      </c>
      <c r="D6336" t="inlineStr">
        <is>
          <t>VÄSTERNORRLANDS LÄN</t>
        </is>
      </c>
      <c r="E6336" t="inlineStr">
        <is>
          <t>SOLLEFTEÅ</t>
        </is>
      </c>
      <c r="F6336" t="inlineStr">
        <is>
          <t>SCA</t>
        </is>
      </c>
      <c r="G6336" t="n">
        <v>41.5</v>
      </c>
      <c r="H6336" t="n">
        <v>0</v>
      </c>
      <c r="I6336" t="n">
        <v>0</v>
      </c>
      <c r="J6336" t="n">
        <v>0</v>
      </c>
      <c r="K6336" t="n">
        <v>0</v>
      </c>
      <c r="L6336" t="n">
        <v>0</v>
      </c>
      <c r="M6336" t="n">
        <v>0</v>
      </c>
      <c r="N6336" t="n">
        <v>0</v>
      </c>
      <c r="O6336" t="n">
        <v>0</v>
      </c>
      <c r="P6336" t="n">
        <v>0</v>
      </c>
      <c r="Q6336" t="n">
        <v>0</v>
      </c>
      <c r="R6336" s="2" t="inlineStr"/>
    </row>
    <row r="6337" ht="15" customHeight="1">
      <c r="A6337" t="inlineStr">
        <is>
          <t>A 36674-2025</t>
        </is>
      </c>
      <c r="B6337" s="1" t="n">
        <v>45873.3930787037</v>
      </c>
      <c r="C6337" s="1" t="n">
        <v>46093</v>
      </c>
      <c r="D6337" t="inlineStr">
        <is>
          <t>VÄSTERNORRLANDS LÄN</t>
        </is>
      </c>
      <c r="E6337" t="inlineStr">
        <is>
          <t>ÅNGE</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58613-2023</t>
        </is>
      </c>
      <c r="B6338" s="1" t="n">
        <v>45251.50709490741</v>
      </c>
      <c r="C6338" s="1" t="n">
        <v>46093</v>
      </c>
      <c r="D6338" t="inlineStr">
        <is>
          <t>VÄSTERNORRLANDS LÄN</t>
        </is>
      </c>
      <c r="E6338" t="inlineStr">
        <is>
          <t>ÅNGE</t>
        </is>
      </c>
      <c r="F6338" t="inlineStr">
        <is>
          <t>Övriga Aktiebolag</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58130-2024</t>
        </is>
      </c>
      <c r="B6339" s="1" t="n">
        <v>45632.40662037037</v>
      </c>
      <c r="C6339" s="1" t="n">
        <v>46093</v>
      </c>
      <c r="D6339" t="inlineStr">
        <is>
          <t>VÄSTERNORRLANDS LÄN</t>
        </is>
      </c>
      <c r="E6339" t="inlineStr">
        <is>
          <t>SUNDSVALL</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17744-2025</t>
        </is>
      </c>
      <c r="B6340" s="1" t="n">
        <v>45758</v>
      </c>
      <c r="C6340" s="1" t="n">
        <v>46093</v>
      </c>
      <c r="D6340" t="inlineStr">
        <is>
          <t>VÄSTERNORRLANDS LÄN</t>
        </is>
      </c>
      <c r="E6340" t="inlineStr">
        <is>
          <t>ÅNGE</t>
        </is>
      </c>
      <c r="G6340" t="n">
        <v>5</v>
      </c>
      <c r="H6340" t="n">
        <v>0</v>
      </c>
      <c r="I6340" t="n">
        <v>0</v>
      </c>
      <c r="J6340" t="n">
        <v>0</v>
      </c>
      <c r="K6340" t="n">
        <v>0</v>
      </c>
      <c r="L6340" t="n">
        <v>0</v>
      </c>
      <c r="M6340" t="n">
        <v>0</v>
      </c>
      <c r="N6340" t="n">
        <v>0</v>
      </c>
      <c r="O6340" t="n">
        <v>0</v>
      </c>
      <c r="P6340" t="n">
        <v>0</v>
      </c>
      <c r="Q6340" t="n">
        <v>0</v>
      </c>
      <c r="R6340" s="2" t="inlineStr"/>
    </row>
    <row r="6341" ht="15" customHeight="1">
      <c r="A6341" t="inlineStr">
        <is>
          <t>A 9514-2025</t>
        </is>
      </c>
      <c r="B6341" s="1" t="n">
        <v>45715.54472222222</v>
      </c>
      <c r="C6341" s="1" t="n">
        <v>46093</v>
      </c>
      <c r="D6341" t="inlineStr">
        <is>
          <t>VÄSTERNORRLANDS LÄN</t>
        </is>
      </c>
      <c r="E6341" t="inlineStr">
        <is>
          <t>SUNDSVALL</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49705-2025</t>
        </is>
      </c>
      <c r="B6342" s="1" t="n">
        <v>45939.67929398148</v>
      </c>
      <c r="C6342" s="1" t="n">
        <v>46093</v>
      </c>
      <c r="D6342" t="inlineStr">
        <is>
          <t>VÄSTERNORRLANDS LÄN</t>
        </is>
      </c>
      <c r="E6342" t="inlineStr">
        <is>
          <t>SOLLEFTEÅ</t>
        </is>
      </c>
      <c r="F6342" t="inlineStr">
        <is>
          <t>SCA</t>
        </is>
      </c>
      <c r="G6342" t="n">
        <v>6.3</v>
      </c>
      <c r="H6342" t="n">
        <v>0</v>
      </c>
      <c r="I6342" t="n">
        <v>0</v>
      </c>
      <c r="J6342" t="n">
        <v>0</v>
      </c>
      <c r="K6342" t="n">
        <v>0</v>
      </c>
      <c r="L6342" t="n">
        <v>0</v>
      </c>
      <c r="M6342" t="n">
        <v>0</v>
      </c>
      <c r="N6342" t="n">
        <v>0</v>
      </c>
      <c r="O6342" t="n">
        <v>0</v>
      </c>
      <c r="P6342" t="n">
        <v>0</v>
      </c>
      <c r="Q6342" t="n">
        <v>0</v>
      </c>
      <c r="R6342" s="2" t="inlineStr"/>
    </row>
    <row r="6343" ht="15" customHeight="1">
      <c r="A6343" t="inlineStr">
        <is>
          <t>A 9556-2024</t>
        </is>
      </c>
      <c r="B6343" s="1" t="n">
        <v>45360.0352199074</v>
      </c>
      <c r="C6343" s="1" t="n">
        <v>46093</v>
      </c>
      <c r="D6343" t="inlineStr">
        <is>
          <t>VÄSTERNORRLANDS LÄN</t>
        </is>
      </c>
      <c r="E6343" t="inlineStr">
        <is>
          <t>ÖRNSKÖLDSVIK</t>
        </is>
      </c>
      <c r="F6343" t="inlineStr">
        <is>
          <t>SCA</t>
        </is>
      </c>
      <c r="G6343" t="n">
        <v>0.4</v>
      </c>
      <c r="H6343" t="n">
        <v>0</v>
      </c>
      <c r="I6343" t="n">
        <v>0</v>
      </c>
      <c r="J6343" t="n">
        <v>0</v>
      </c>
      <c r="K6343" t="n">
        <v>0</v>
      </c>
      <c r="L6343" t="n">
        <v>0</v>
      </c>
      <c r="M6343" t="n">
        <v>0</v>
      </c>
      <c r="N6343" t="n">
        <v>0</v>
      </c>
      <c r="O6343" t="n">
        <v>0</v>
      </c>
      <c r="P6343" t="n">
        <v>0</v>
      </c>
      <c r="Q6343" t="n">
        <v>0</v>
      </c>
      <c r="R6343" s="2" t="inlineStr"/>
    </row>
    <row r="6344" ht="15" customHeight="1">
      <c r="A6344" t="inlineStr">
        <is>
          <t>A 9562-2024</t>
        </is>
      </c>
      <c r="B6344" s="1" t="n">
        <v>45360.03582175926</v>
      </c>
      <c r="C6344" s="1" t="n">
        <v>46093</v>
      </c>
      <c r="D6344" t="inlineStr">
        <is>
          <t>VÄSTERNORRLANDS LÄN</t>
        </is>
      </c>
      <c r="E6344" t="inlineStr">
        <is>
          <t>SUNDSVALL</t>
        </is>
      </c>
      <c r="F6344" t="inlineStr">
        <is>
          <t>SCA</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40742-2021</t>
        </is>
      </c>
      <c r="B6345" s="1" t="n">
        <v>44420.67804398148</v>
      </c>
      <c r="C6345" s="1" t="n">
        <v>46093</v>
      </c>
      <c r="D6345" t="inlineStr">
        <is>
          <t>VÄSTERNORRLANDS LÄN</t>
        </is>
      </c>
      <c r="E6345" t="inlineStr">
        <is>
          <t>ÖRNSKÖLDSVIK</t>
        </is>
      </c>
      <c r="F6345" t="inlineStr">
        <is>
          <t>Holmen skog AB</t>
        </is>
      </c>
      <c r="G6345" t="n">
        <v>3.9</v>
      </c>
      <c r="H6345" t="n">
        <v>0</v>
      </c>
      <c r="I6345" t="n">
        <v>0</v>
      </c>
      <c r="J6345" t="n">
        <v>0</v>
      </c>
      <c r="K6345" t="n">
        <v>0</v>
      </c>
      <c r="L6345" t="n">
        <v>0</v>
      </c>
      <c r="M6345" t="n">
        <v>0</v>
      </c>
      <c r="N6345" t="n">
        <v>0</v>
      </c>
      <c r="O6345" t="n">
        <v>0</v>
      </c>
      <c r="P6345" t="n">
        <v>0</v>
      </c>
      <c r="Q6345" t="n">
        <v>0</v>
      </c>
      <c r="R6345" s="2" t="inlineStr"/>
    </row>
    <row r="6346" ht="15" customHeight="1">
      <c r="A6346" t="inlineStr">
        <is>
          <t>A 55824-2024</t>
        </is>
      </c>
      <c r="B6346" s="1" t="n">
        <v>45623.47813657407</v>
      </c>
      <c r="C6346" s="1" t="n">
        <v>46093</v>
      </c>
      <c r="D6346" t="inlineStr">
        <is>
          <t>VÄSTERNORRLANDS LÄN</t>
        </is>
      </c>
      <c r="E6346" t="inlineStr">
        <is>
          <t>SOLLEFTEÅ</t>
        </is>
      </c>
      <c r="G6346" t="n">
        <v>4.5</v>
      </c>
      <c r="H6346" t="n">
        <v>0</v>
      </c>
      <c r="I6346" t="n">
        <v>0</v>
      </c>
      <c r="J6346" t="n">
        <v>0</v>
      </c>
      <c r="K6346" t="n">
        <v>0</v>
      </c>
      <c r="L6346" t="n">
        <v>0</v>
      </c>
      <c r="M6346" t="n">
        <v>0</v>
      </c>
      <c r="N6346" t="n">
        <v>0</v>
      </c>
      <c r="O6346" t="n">
        <v>0</v>
      </c>
      <c r="P6346" t="n">
        <v>0</v>
      </c>
      <c r="Q6346" t="n">
        <v>0</v>
      </c>
      <c r="R6346" s="2" t="inlineStr"/>
    </row>
    <row r="6347" ht="15" customHeight="1">
      <c r="A6347" t="inlineStr">
        <is>
          <t>A 2433-2024</t>
        </is>
      </c>
      <c r="B6347" s="1" t="n">
        <v>45310</v>
      </c>
      <c r="C6347" s="1" t="n">
        <v>46093</v>
      </c>
      <c r="D6347" t="inlineStr">
        <is>
          <t>VÄSTERNORRLANDS LÄN</t>
        </is>
      </c>
      <c r="E6347" t="inlineStr">
        <is>
          <t>ÅNGE</t>
        </is>
      </c>
      <c r="F6347" t="inlineStr">
        <is>
          <t>SCA</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49458-2025</t>
        </is>
      </c>
      <c r="B6348" s="1" t="n">
        <v>45939.29663194445</v>
      </c>
      <c r="C6348" s="1" t="n">
        <v>46093</v>
      </c>
      <c r="D6348" t="inlineStr">
        <is>
          <t>VÄSTERNORRLANDS LÄN</t>
        </is>
      </c>
      <c r="E6348" t="inlineStr">
        <is>
          <t>ÖRNSKÖLDSVIK</t>
        </is>
      </c>
      <c r="F6348" t="inlineStr">
        <is>
          <t>Holmen skog AB</t>
        </is>
      </c>
      <c r="G6348" t="n">
        <v>3.3</v>
      </c>
      <c r="H6348" t="n">
        <v>0</v>
      </c>
      <c r="I6348" t="n">
        <v>0</v>
      </c>
      <c r="J6348" t="n">
        <v>0</v>
      </c>
      <c r="K6348" t="n">
        <v>0</v>
      </c>
      <c r="L6348" t="n">
        <v>0</v>
      </c>
      <c r="M6348" t="n">
        <v>0</v>
      </c>
      <c r="N6348" t="n">
        <v>0</v>
      </c>
      <c r="O6348" t="n">
        <v>0</v>
      </c>
      <c r="P6348" t="n">
        <v>0</v>
      </c>
      <c r="Q6348" t="n">
        <v>0</v>
      </c>
      <c r="R6348" s="2" t="inlineStr"/>
    </row>
    <row r="6349" ht="15" customHeight="1">
      <c r="A6349" t="inlineStr">
        <is>
          <t>A 49473-2025</t>
        </is>
      </c>
      <c r="B6349" s="1" t="n">
        <v>45939.34458333333</v>
      </c>
      <c r="C6349" s="1" t="n">
        <v>46093</v>
      </c>
      <c r="D6349" t="inlineStr">
        <is>
          <t>VÄSTERNORRLANDS LÄN</t>
        </is>
      </c>
      <c r="E6349" t="inlineStr">
        <is>
          <t>ÖRNSKÖLDSVIK</t>
        </is>
      </c>
      <c r="F6349" t="inlineStr">
        <is>
          <t>SCA</t>
        </is>
      </c>
      <c r="G6349" t="n">
        <v>3</v>
      </c>
      <c r="H6349" t="n">
        <v>0</v>
      </c>
      <c r="I6349" t="n">
        <v>0</v>
      </c>
      <c r="J6349" t="n">
        <v>0</v>
      </c>
      <c r="K6349" t="n">
        <v>0</v>
      </c>
      <c r="L6349" t="n">
        <v>0</v>
      </c>
      <c r="M6349" t="n">
        <v>0</v>
      </c>
      <c r="N6349" t="n">
        <v>0</v>
      </c>
      <c r="O6349" t="n">
        <v>0</v>
      </c>
      <c r="P6349" t="n">
        <v>0</v>
      </c>
      <c r="Q6349" t="n">
        <v>0</v>
      </c>
      <c r="R6349" s="2" t="inlineStr"/>
    </row>
    <row r="6350" ht="15" customHeight="1">
      <c r="A6350" t="inlineStr">
        <is>
          <t>A 49491-2025</t>
        </is>
      </c>
      <c r="B6350" s="1" t="n">
        <v>45939.36596064815</v>
      </c>
      <c r="C6350" s="1" t="n">
        <v>46093</v>
      </c>
      <c r="D6350" t="inlineStr">
        <is>
          <t>VÄSTERNORRLANDS LÄN</t>
        </is>
      </c>
      <c r="E6350" t="inlineStr">
        <is>
          <t>SOLLEFTEÅ</t>
        </is>
      </c>
      <c r="F6350" t="inlineStr">
        <is>
          <t>SCA</t>
        </is>
      </c>
      <c r="G6350" t="n">
        <v>10.5</v>
      </c>
      <c r="H6350" t="n">
        <v>0</v>
      </c>
      <c r="I6350" t="n">
        <v>0</v>
      </c>
      <c r="J6350" t="n">
        <v>0</v>
      </c>
      <c r="K6350" t="n">
        <v>0</v>
      </c>
      <c r="L6350" t="n">
        <v>0</v>
      </c>
      <c r="M6350" t="n">
        <v>0</v>
      </c>
      <c r="N6350" t="n">
        <v>0</v>
      </c>
      <c r="O6350" t="n">
        <v>0</v>
      </c>
      <c r="P6350" t="n">
        <v>0</v>
      </c>
      <c r="Q6350" t="n">
        <v>0</v>
      </c>
      <c r="R6350" s="2" t="inlineStr"/>
    </row>
    <row r="6351" ht="15" customHeight="1">
      <c r="A6351" t="inlineStr">
        <is>
          <t>A 2492-2024</t>
        </is>
      </c>
      <c r="B6351" s="1" t="n">
        <v>45313</v>
      </c>
      <c r="C6351" s="1" t="n">
        <v>46093</v>
      </c>
      <c r="D6351" t="inlineStr">
        <is>
          <t>VÄSTERNORRLANDS LÄN</t>
        </is>
      </c>
      <c r="E6351" t="inlineStr">
        <is>
          <t>HÄRNÖSAND</t>
        </is>
      </c>
      <c r="G6351" t="n">
        <v>0.4</v>
      </c>
      <c r="H6351" t="n">
        <v>0</v>
      </c>
      <c r="I6351" t="n">
        <v>0</v>
      </c>
      <c r="J6351" t="n">
        <v>0</v>
      </c>
      <c r="K6351" t="n">
        <v>0</v>
      </c>
      <c r="L6351" t="n">
        <v>0</v>
      </c>
      <c r="M6351" t="n">
        <v>0</v>
      </c>
      <c r="N6351" t="n">
        <v>0</v>
      </c>
      <c r="O6351" t="n">
        <v>0</v>
      </c>
      <c r="P6351" t="n">
        <v>0</v>
      </c>
      <c r="Q6351" t="n">
        <v>0</v>
      </c>
      <c r="R6351" s="2" t="inlineStr"/>
    </row>
    <row r="6352" ht="15" customHeight="1">
      <c r="A6352" t="inlineStr">
        <is>
          <t>A 20123-2021</t>
        </is>
      </c>
      <c r="B6352" s="1" t="n">
        <v>44314</v>
      </c>
      <c r="C6352" s="1" t="n">
        <v>46093</v>
      </c>
      <c r="D6352" t="inlineStr">
        <is>
          <t>VÄSTERNORRLANDS LÄN</t>
        </is>
      </c>
      <c r="E6352" t="inlineStr">
        <is>
          <t>ÖRNSKÖLDSVIK</t>
        </is>
      </c>
      <c r="G6352" t="n">
        <v>2.8</v>
      </c>
      <c r="H6352" t="n">
        <v>0</v>
      </c>
      <c r="I6352" t="n">
        <v>0</v>
      </c>
      <c r="J6352" t="n">
        <v>0</v>
      </c>
      <c r="K6352" t="n">
        <v>0</v>
      </c>
      <c r="L6352" t="n">
        <v>0</v>
      </c>
      <c r="M6352" t="n">
        <v>0</v>
      </c>
      <c r="N6352" t="n">
        <v>0</v>
      </c>
      <c r="O6352" t="n">
        <v>0</v>
      </c>
      <c r="P6352" t="n">
        <v>0</v>
      </c>
      <c r="Q6352" t="n">
        <v>0</v>
      </c>
      <c r="R6352" s="2" t="inlineStr"/>
    </row>
    <row r="6353" ht="15" customHeight="1">
      <c r="A6353" t="inlineStr">
        <is>
          <t>A 15871-2025</t>
        </is>
      </c>
      <c r="B6353" s="1" t="n">
        <v>45749</v>
      </c>
      <c r="C6353" s="1" t="n">
        <v>46093</v>
      </c>
      <c r="D6353" t="inlineStr">
        <is>
          <t>VÄSTERNORRLANDS LÄN</t>
        </is>
      </c>
      <c r="E6353" t="inlineStr">
        <is>
          <t>SUNDSVALL</t>
        </is>
      </c>
      <c r="F6353" t="inlineStr">
        <is>
          <t>SCA</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49529-2025</t>
        </is>
      </c>
      <c r="B6354" s="1" t="n">
        <v>45939.4068287037</v>
      </c>
      <c r="C6354" s="1" t="n">
        <v>46093</v>
      </c>
      <c r="D6354" t="inlineStr">
        <is>
          <t>VÄSTERNORRLANDS LÄN</t>
        </is>
      </c>
      <c r="E6354" t="inlineStr">
        <is>
          <t>SUNDSVALL</t>
        </is>
      </c>
      <c r="F6354" t="inlineStr">
        <is>
          <t>SCA</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49459-2025</t>
        </is>
      </c>
      <c r="B6355" s="1" t="n">
        <v>45939.3175</v>
      </c>
      <c r="C6355" s="1" t="n">
        <v>46093</v>
      </c>
      <c r="D6355" t="inlineStr">
        <is>
          <t>VÄSTERNORRLANDS LÄN</t>
        </is>
      </c>
      <c r="E6355" t="inlineStr">
        <is>
          <t>ÖRNSKÖLDSVIK</t>
        </is>
      </c>
      <c r="F6355" t="inlineStr">
        <is>
          <t>Holmen skog AB</t>
        </is>
      </c>
      <c r="G6355" t="n">
        <v>5</v>
      </c>
      <c r="H6355" t="n">
        <v>0</v>
      </c>
      <c r="I6355" t="n">
        <v>0</v>
      </c>
      <c r="J6355" t="n">
        <v>0</v>
      </c>
      <c r="K6355" t="n">
        <v>0</v>
      </c>
      <c r="L6355" t="n">
        <v>0</v>
      </c>
      <c r="M6355" t="n">
        <v>0</v>
      </c>
      <c r="N6355" t="n">
        <v>0</v>
      </c>
      <c r="O6355" t="n">
        <v>0</v>
      </c>
      <c r="P6355" t="n">
        <v>0</v>
      </c>
      <c r="Q6355" t="n">
        <v>0</v>
      </c>
      <c r="R6355" s="2" t="inlineStr"/>
    </row>
    <row r="6356" ht="15" customHeight="1">
      <c r="A6356" t="inlineStr">
        <is>
          <t>A 16191-2023</t>
        </is>
      </c>
      <c r="B6356" s="1" t="n">
        <v>45027.94111111111</v>
      </c>
      <c r="C6356" s="1" t="n">
        <v>46093</v>
      </c>
      <c r="D6356" t="inlineStr">
        <is>
          <t>VÄSTERNORRLANDS LÄN</t>
        </is>
      </c>
      <c r="E6356" t="inlineStr">
        <is>
          <t>ÅNGE</t>
        </is>
      </c>
      <c r="F6356" t="inlineStr">
        <is>
          <t>SCA</t>
        </is>
      </c>
      <c r="G6356" t="n">
        <v>6.8</v>
      </c>
      <c r="H6356" t="n">
        <v>0</v>
      </c>
      <c r="I6356" t="n">
        <v>0</v>
      </c>
      <c r="J6356" t="n">
        <v>0</v>
      </c>
      <c r="K6356" t="n">
        <v>0</v>
      </c>
      <c r="L6356" t="n">
        <v>0</v>
      </c>
      <c r="M6356" t="n">
        <v>0</v>
      </c>
      <c r="N6356" t="n">
        <v>0</v>
      </c>
      <c r="O6356" t="n">
        <v>0</v>
      </c>
      <c r="P6356" t="n">
        <v>0</v>
      </c>
      <c r="Q6356" t="n">
        <v>0</v>
      </c>
      <c r="R6356" s="2" t="inlineStr"/>
    </row>
    <row r="6357" ht="15" customHeight="1">
      <c r="A6357" t="inlineStr">
        <is>
          <t>A 10549-2024</t>
        </is>
      </c>
      <c r="B6357" s="1" t="n">
        <v>45366</v>
      </c>
      <c r="C6357" s="1" t="n">
        <v>46093</v>
      </c>
      <c r="D6357" t="inlineStr">
        <is>
          <t>VÄSTERNORRLANDS LÄN</t>
        </is>
      </c>
      <c r="E6357" t="inlineStr">
        <is>
          <t>HÄRNÖSAND</t>
        </is>
      </c>
      <c r="G6357" t="n">
        <v>8.4</v>
      </c>
      <c r="H6357" t="n">
        <v>0</v>
      </c>
      <c r="I6357" t="n">
        <v>0</v>
      </c>
      <c r="J6357" t="n">
        <v>0</v>
      </c>
      <c r="K6357" t="n">
        <v>0</v>
      </c>
      <c r="L6357" t="n">
        <v>0</v>
      </c>
      <c r="M6357" t="n">
        <v>0</v>
      </c>
      <c r="N6357" t="n">
        <v>0</v>
      </c>
      <c r="O6357" t="n">
        <v>0</v>
      </c>
      <c r="P6357" t="n">
        <v>0</v>
      </c>
      <c r="Q6357" t="n">
        <v>0</v>
      </c>
      <c r="R6357" s="2" t="inlineStr"/>
    </row>
    <row r="6358" ht="15" customHeight="1">
      <c r="A6358" t="inlineStr">
        <is>
          <t>A 49794-2025</t>
        </is>
      </c>
      <c r="B6358" s="1" t="n">
        <v>45940.40777777778</v>
      </c>
      <c r="C6358" s="1" t="n">
        <v>46093</v>
      </c>
      <c r="D6358" t="inlineStr">
        <is>
          <t>VÄSTERNORRLANDS LÄN</t>
        </is>
      </c>
      <c r="E6358" t="inlineStr">
        <is>
          <t>SOLLEFTEÅ</t>
        </is>
      </c>
      <c r="F6358" t="inlineStr">
        <is>
          <t>SCA</t>
        </is>
      </c>
      <c r="G6358" t="n">
        <v>12.8</v>
      </c>
      <c r="H6358" t="n">
        <v>0</v>
      </c>
      <c r="I6358" t="n">
        <v>0</v>
      </c>
      <c r="J6358" t="n">
        <v>0</v>
      </c>
      <c r="K6358" t="n">
        <v>0</v>
      </c>
      <c r="L6358" t="n">
        <v>0</v>
      </c>
      <c r="M6358" t="n">
        <v>0</v>
      </c>
      <c r="N6358" t="n">
        <v>0</v>
      </c>
      <c r="O6358" t="n">
        <v>0</v>
      </c>
      <c r="P6358" t="n">
        <v>0</v>
      </c>
      <c r="Q6358" t="n">
        <v>0</v>
      </c>
      <c r="R6358" s="2" t="inlineStr"/>
    </row>
    <row r="6359" ht="15" customHeight="1">
      <c r="A6359" t="inlineStr">
        <is>
          <t>A 49920-2025</t>
        </is>
      </c>
      <c r="B6359" s="1" t="n">
        <v>45940.63611111111</v>
      </c>
      <c r="C6359" s="1" t="n">
        <v>46093</v>
      </c>
      <c r="D6359" t="inlineStr">
        <is>
          <t>VÄSTERNORRLANDS LÄN</t>
        </is>
      </c>
      <c r="E6359" t="inlineStr">
        <is>
          <t>SOLLEFTEÅ</t>
        </is>
      </c>
      <c r="F6359" t="inlineStr">
        <is>
          <t>SCA</t>
        </is>
      </c>
      <c r="G6359" t="n">
        <v>4.4</v>
      </c>
      <c r="H6359" t="n">
        <v>0</v>
      </c>
      <c r="I6359" t="n">
        <v>0</v>
      </c>
      <c r="J6359" t="n">
        <v>0</v>
      </c>
      <c r="K6359" t="n">
        <v>0</v>
      </c>
      <c r="L6359" t="n">
        <v>0</v>
      </c>
      <c r="M6359" t="n">
        <v>0</v>
      </c>
      <c r="N6359" t="n">
        <v>0</v>
      </c>
      <c r="O6359" t="n">
        <v>0</v>
      </c>
      <c r="P6359" t="n">
        <v>0</v>
      </c>
      <c r="Q6359" t="n">
        <v>0</v>
      </c>
      <c r="R6359" s="2" t="inlineStr"/>
    </row>
    <row r="6360" ht="15" customHeight="1">
      <c r="A6360" t="inlineStr">
        <is>
          <t>A 49562-2025</t>
        </is>
      </c>
      <c r="B6360" s="1" t="n">
        <v>45939.46524305556</v>
      </c>
      <c r="C6360" s="1" t="n">
        <v>46093</v>
      </c>
      <c r="D6360" t="inlineStr">
        <is>
          <t>VÄSTERNORRLANDS LÄN</t>
        </is>
      </c>
      <c r="E6360" t="inlineStr">
        <is>
          <t>ÅNGE</t>
        </is>
      </c>
      <c r="G6360" t="n">
        <v>4.4</v>
      </c>
      <c r="H6360" t="n">
        <v>0</v>
      </c>
      <c r="I6360" t="n">
        <v>0</v>
      </c>
      <c r="J6360" t="n">
        <v>0</v>
      </c>
      <c r="K6360" t="n">
        <v>0</v>
      </c>
      <c r="L6360" t="n">
        <v>0</v>
      </c>
      <c r="M6360" t="n">
        <v>0</v>
      </c>
      <c r="N6360" t="n">
        <v>0</v>
      </c>
      <c r="O6360" t="n">
        <v>0</v>
      </c>
      <c r="P6360" t="n">
        <v>0</v>
      </c>
      <c r="Q6360" t="n">
        <v>0</v>
      </c>
      <c r="R6360" s="2" t="inlineStr"/>
    </row>
    <row r="6361" ht="15" customHeight="1">
      <c r="A6361" t="inlineStr">
        <is>
          <t>A 53576-2021</t>
        </is>
      </c>
      <c r="B6361" s="1" t="n">
        <v>44469</v>
      </c>
      <c r="C6361" s="1" t="n">
        <v>46093</v>
      </c>
      <c r="D6361" t="inlineStr">
        <is>
          <t>VÄSTERNORRLANDS LÄN</t>
        </is>
      </c>
      <c r="E6361" t="inlineStr">
        <is>
          <t>KRAMFORS</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49468-2025</t>
        </is>
      </c>
      <c r="B6362" s="1" t="n">
        <v>45939.33886574074</v>
      </c>
      <c r="C6362" s="1" t="n">
        <v>46093</v>
      </c>
      <c r="D6362" t="inlineStr">
        <is>
          <t>VÄSTERNORRLANDS LÄN</t>
        </is>
      </c>
      <c r="E6362" t="inlineStr">
        <is>
          <t>SOLLEFTEÅ</t>
        </is>
      </c>
      <c r="F6362" t="inlineStr">
        <is>
          <t>Holmen skog AB</t>
        </is>
      </c>
      <c r="G6362" t="n">
        <v>4.3</v>
      </c>
      <c r="H6362" t="n">
        <v>0</v>
      </c>
      <c r="I6362" t="n">
        <v>0</v>
      </c>
      <c r="J6362" t="n">
        <v>0</v>
      </c>
      <c r="K6362" t="n">
        <v>0</v>
      </c>
      <c r="L6362" t="n">
        <v>0</v>
      </c>
      <c r="M6362" t="n">
        <v>0</v>
      </c>
      <c r="N6362" t="n">
        <v>0</v>
      </c>
      <c r="O6362" t="n">
        <v>0</v>
      </c>
      <c r="P6362" t="n">
        <v>0</v>
      </c>
      <c r="Q6362" t="n">
        <v>0</v>
      </c>
      <c r="R6362" s="2" t="inlineStr"/>
    </row>
    <row r="6363" ht="15" customHeight="1">
      <c r="A6363" t="inlineStr">
        <is>
          <t>A 49476-2025</t>
        </is>
      </c>
      <c r="B6363" s="1" t="n">
        <v>45939.34506944445</v>
      </c>
      <c r="C6363" s="1" t="n">
        <v>46093</v>
      </c>
      <c r="D6363" t="inlineStr">
        <is>
          <t>VÄSTERNORRLANDS LÄN</t>
        </is>
      </c>
      <c r="E6363" t="inlineStr">
        <is>
          <t>ÅNGE</t>
        </is>
      </c>
      <c r="F6363" t="inlineStr">
        <is>
          <t>SCA</t>
        </is>
      </c>
      <c r="G6363" t="n">
        <v>11.4</v>
      </c>
      <c r="H6363" t="n">
        <v>0</v>
      </c>
      <c r="I6363" t="n">
        <v>0</v>
      </c>
      <c r="J6363" t="n">
        <v>0</v>
      </c>
      <c r="K6363" t="n">
        <v>0</v>
      </c>
      <c r="L6363" t="n">
        <v>0</v>
      </c>
      <c r="M6363" t="n">
        <v>0</v>
      </c>
      <c r="N6363" t="n">
        <v>0</v>
      </c>
      <c r="O6363" t="n">
        <v>0</v>
      </c>
      <c r="P6363" t="n">
        <v>0</v>
      </c>
      <c r="Q6363" t="n">
        <v>0</v>
      </c>
      <c r="R6363" s="2" t="inlineStr"/>
    </row>
    <row r="6364" ht="15" customHeight="1">
      <c r="A6364" t="inlineStr">
        <is>
          <t>A 17670-2023</t>
        </is>
      </c>
      <c r="B6364" s="1" t="n">
        <v>45036</v>
      </c>
      <c r="C6364" s="1" t="n">
        <v>46093</v>
      </c>
      <c r="D6364" t="inlineStr">
        <is>
          <t>VÄSTERNORRLANDS LÄN</t>
        </is>
      </c>
      <c r="E6364" t="inlineStr">
        <is>
          <t>ÅNGE</t>
        </is>
      </c>
      <c r="F6364" t="inlineStr">
        <is>
          <t>SCA</t>
        </is>
      </c>
      <c r="G6364" t="n">
        <v>4</v>
      </c>
      <c r="H6364" t="n">
        <v>0</v>
      </c>
      <c r="I6364" t="n">
        <v>0</v>
      </c>
      <c r="J6364" t="n">
        <v>0</v>
      </c>
      <c r="K6364" t="n">
        <v>0</v>
      </c>
      <c r="L6364" t="n">
        <v>0</v>
      </c>
      <c r="M6364" t="n">
        <v>0</v>
      </c>
      <c r="N6364" t="n">
        <v>0</v>
      </c>
      <c r="O6364" t="n">
        <v>0</v>
      </c>
      <c r="P6364" t="n">
        <v>0</v>
      </c>
      <c r="Q6364" t="n">
        <v>0</v>
      </c>
      <c r="R6364" s="2" t="inlineStr"/>
    </row>
    <row r="6365" ht="15" customHeight="1">
      <c r="A6365" t="inlineStr">
        <is>
          <t>A 5595-2023</t>
        </is>
      </c>
      <c r="B6365" s="1" t="n">
        <v>44960</v>
      </c>
      <c r="C6365" s="1" t="n">
        <v>46093</v>
      </c>
      <c r="D6365" t="inlineStr">
        <is>
          <t>VÄSTERNORRLANDS LÄN</t>
        </is>
      </c>
      <c r="E6365" t="inlineStr">
        <is>
          <t>ÖRNSKÖLDSVIK</t>
        </is>
      </c>
      <c r="G6365" t="n">
        <v>22.8</v>
      </c>
      <c r="H6365" t="n">
        <v>0</v>
      </c>
      <c r="I6365" t="n">
        <v>0</v>
      </c>
      <c r="J6365" t="n">
        <v>0</v>
      </c>
      <c r="K6365" t="n">
        <v>0</v>
      </c>
      <c r="L6365" t="n">
        <v>0</v>
      </c>
      <c r="M6365" t="n">
        <v>0</v>
      </c>
      <c r="N6365" t="n">
        <v>0</v>
      </c>
      <c r="O6365" t="n">
        <v>0</v>
      </c>
      <c r="P6365" t="n">
        <v>0</v>
      </c>
      <c r="Q6365" t="n">
        <v>0</v>
      </c>
      <c r="R6365" s="2" t="inlineStr"/>
    </row>
    <row r="6366" ht="15" customHeight="1">
      <c r="A6366" t="inlineStr">
        <is>
          <t>A 49750-2025</t>
        </is>
      </c>
      <c r="B6366" s="1" t="n">
        <v>45940.34497685185</v>
      </c>
      <c r="C6366" s="1" t="n">
        <v>46093</v>
      </c>
      <c r="D6366" t="inlineStr">
        <is>
          <t>VÄSTERNORRLANDS LÄN</t>
        </is>
      </c>
      <c r="E6366" t="inlineStr">
        <is>
          <t>SOLLEFTEÅ</t>
        </is>
      </c>
      <c r="F6366" t="inlineStr">
        <is>
          <t>SCA</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49911-2025</t>
        </is>
      </c>
      <c r="B6367" s="1" t="n">
        <v>45940.60769675926</v>
      </c>
      <c r="C6367" s="1" t="n">
        <v>46093</v>
      </c>
      <c r="D6367" t="inlineStr">
        <is>
          <t>VÄSTERNORRLANDS LÄN</t>
        </is>
      </c>
      <c r="E6367" t="inlineStr">
        <is>
          <t>ÖRNSKÖLDSVIK</t>
        </is>
      </c>
      <c r="F6367" t="inlineStr">
        <is>
          <t>Holmen skog AB</t>
        </is>
      </c>
      <c r="G6367" t="n">
        <v>4.7</v>
      </c>
      <c r="H6367" t="n">
        <v>0</v>
      </c>
      <c r="I6367" t="n">
        <v>0</v>
      </c>
      <c r="J6367" t="n">
        <v>0</v>
      </c>
      <c r="K6367" t="n">
        <v>0</v>
      </c>
      <c r="L6367" t="n">
        <v>0</v>
      </c>
      <c r="M6367" t="n">
        <v>0</v>
      </c>
      <c r="N6367" t="n">
        <v>0</v>
      </c>
      <c r="O6367" t="n">
        <v>0</v>
      </c>
      <c r="P6367" t="n">
        <v>0</v>
      </c>
      <c r="Q6367" t="n">
        <v>0</v>
      </c>
      <c r="R6367" s="2" t="inlineStr"/>
    </row>
    <row r="6368" ht="15" customHeight="1">
      <c r="A6368" t="inlineStr">
        <is>
          <t>A 36772-2025</t>
        </is>
      </c>
      <c r="B6368" s="1" t="n">
        <v>45873</v>
      </c>
      <c r="C6368" s="1" t="n">
        <v>46093</v>
      </c>
      <c r="D6368" t="inlineStr">
        <is>
          <t>VÄSTERNORRLANDS LÄN</t>
        </is>
      </c>
      <c r="E6368" t="inlineStr">
        <is>
          <t>SUNDSVALL</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56615-2023</t>
        </is>
      </c>
      <c r="B6369" s="1" t="n">
        <v>45243</v>
      </c>
      <c r="C6369" s="1" t="n">
        <v>46093</v>
      </c>
      <c r="D6369" t="inlineStr">
        <is>
          <t>VÄSTERNORRLANDS LÄN</t>
        </is>
      </c>
      <c r="E6369" t="inlineStr">
        <is>
          <t>ÅNGE</t>
        </is>
      </c>
      <c r="G6369" t="n">
        <v>7.4</v>
      </c>
      <c r="H6369" t="n">
        <v>0</v>
      </c>
      <c r="I6369" t="n">
        <v>0</v>
      </c>
      <c r="J6369" t="n">
        <v>0</v>
      </c>
      <c r="K6369" t="n">
        <v>0</v>
      </c>
      <c r="L6369" t="n">
        <v>0</v>
      </c>
      <c r="M6369" t="n">
        <v>0</v>
      </c>
      <c r="N6369" t="n">
        <v>0</v>
      </c>
      <c r="O6369" t="n">
        <v>0</v>
      </c>
      <c r="P6369" t="n">
        <v>0</v>
      </c>
      <c r="Q6369" t="n">
        <v>0</v>
      </c>
      <c r="R6369" s="2" t="inlineStr"/>
    </row>
    <row r="6370" ht="15" customHeight="1">
      <c r="A6370" t="inlineStr">
        <is>
          <t>A 49697-2025</t>
        </is>
      </c>
      <c r="B6370" s="1" t="n">
        <v>45939.67776620371</v>
      </c>
      <c r="C6370" s="1" t="n">
        <v>46093</v>
      </c>
      <c r="D6370" t="inlineStr">
        <is>
          <t>VÄSTERNORRLANDS LÄN</t>
        </is>
      </c>
      <c r="E6370" t="inlineStr">
        <is>
          <t>SUNDSVALL</t>
        </is>
      </c>
      <c r="F6370" t="inlineStr">
        <is>
          <t>SCA</t>
        </is>
      </c>
      <c r="G6370" t="n">
        <v>4.3</v>
      </c>
      <c r="H6370" t="n">
        <v>0</v>
      </c>
      <c r="I6370" t="n">
        <v>0</v>
      </c>
      <c r="J6370" t="n">
        <v>0</v>
      </c>
      <c r="K6370" t="n">
        <v>0</v>
      </c>
      <c r="L6370" t="n">
        <v>0</v>
      </c>
      <c r="M6370" t="n">
        <v>0</v>
      </c>
      <c r="N6370" t="n">
        <v>0</v>
      </c>
      <c r="O6370" t="n">
        <v>0</v>
      </c>
      <c r="P6370" t="n">
        <v>0</v>
      </c>
      <c r="Q6370" t="n">
        <v>0</v>
      </c>
      <c r="R6370" s="2" t="inlineStr"/>
    </row>
    <row r="6371" ht="15" customHeight="1">
      <c r="A6371" t="inlineStr">
        <is>
          <t>A 49703-2025</t>
        </is>
      </c>
      <c r="B6371" s="1" t="n">
        <v>45939.67894675926</v>
      </c>
      <c r="C6371" s="1" t="n">
        <v>46093</v>
      </c>
      <c r="D6371" t="inlineStr">
        <is>
          <t>VÄSTERNORRLANDS LÄN</t>
        </is>
      </c>
      <c r="E6371" t="inlineStr">
        <is>
          <t>SOLLEFTEÅ</t>
        </is>
      </c>
      <c r="F6371" t="inlineStr">
        <is>
          <t>SCA</t>
        </is>
      </c>
      <c r="G6371" t="n">
        <v>2.5</v>
      </c>
      <c r="H6371" t="n">
        <v>0</v>
      </c>
      <c r="I6371" t="n">
        <v>0</v>
      </c>
      <c r="J6371" t="n">
        <v>0</v>
      </c>
      <c r="K6371" t="n">
        <v>0</v>
      </c>
      <c r="L6371" t="n">
        <v>0</v>
      </c>
      <c r="M6371" t="n">
        <v>0</v>
      </c>
      <c r="N6371" t="n">
        <v>0</v>
      </c>
      <c r="O6371" t="n">
        <v>0</v>
      </c>
      <c r="P6371" t="n">
        <v>0</v>
      </c>
      <c r="Q6371" t="n">
        <v>0</v>
      </c>
      <c r="R6371" s="2" t="inlineStr"/>
    </row>
    <row r="6372" ht="15" customHeight="1">
      <c r="A6372" t="inlineStr">
        <is>
          <t>A 49474-2025</t>
        </is>
      </c>
      <c r="B6372" s="1" t="n">
        <v>45939.34472222222</v>
      </c>
      <c r="C6372" s="1" t="n">
        <v>46093</v>
      </c>
      <c r="D6372" t="inlineStr">
        <is>
          <t>VÄSTERNORRLANDS LÄN</t>
        </is>
      </c>
      <c r="E6372" t="inlineStr">
        <is>
          <t>SOLLEFTEÅ</t>
        </is>
      </c>
      <c r="F6372" t="inlineStr">
        <is>
          <t>SCA</t>
        </is>
      </c>
      <c r="G6372" t="n">
        <v>6</v>
      </c>
      <c r="H6372" t="n">
        <v>0</v>
      </c>
      <c r="I6372" t="n">
        <v>0</v>
      </c>
      <c r="J6372" t="n">
        <v>0</v>
      </c>
      <c r="K6372" t="n">
        <v>0</v>
      </c>
      <c r="L6372" t="n">
        <v>0</v>
      </c>
      <c r="M6372" t="n">
        <v>0</v>
      </c>
      <c r="N6372" t="n">
        <v>0</v>
      </c>
      <c r="O6372" t="n">
        <v>0</v>
      </c>
      <c r="P6372" t="n">
        <v>0</v>
      </c>
      <c r="Q6372" t="n">
        <v>0</v>
      </c>
      <c r="R6372" s="2" t="inlineStr"/>
    </row>
    <row r="6373" ht="15" customHeight="1">
      <c r="A6373" t="inlineStr">
        <is>
          <t>A 61461-2023</t>
        </is>
      </c>
      <c r="B6373" s="1" t="n">
        <v>45264.9261574074</v>
      </c>
      <c r="C6373" s="1" t="n">
        <v>46093</v>
      </c>
      <c r="D6373" t="inlineStr">
        <is>
          <t>VÄSTERNORRLANDS LÄN</t>
        </is>
      </c>
      <c r="E6373" t="inlineStr">
        <is>
          <t>ÅNGE</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49488-2025</t>
        </is>
      </c>
      <c r="B6374" s="1" t="n">
        <v>45939.36506944444</v>
      </c>
      <c r="C6374" s="1" t="n">
        <v>46093</v>
      </c>
      <c r="D6374" t="inlineStr">
        <is>
          <t>VÄSTERNORRLANDS LÄN</t>
        </is>
      </c>
      <c r="E6374" t="inlineStr">
        <is>
          <t>SOLLEFTEÅ</t>
        </is>
      </c>
      <c r="F6374" t="inlineStr">
        <is>
          <t>SCA</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62406-2022</t>
        </is>
      </c>
      <c r="B6375" s="1" t="n">
        <v>44923</v>
      </c>
      <c r="C6375" s="1" t="n">
        <v>46093</v>
      </c>
      <c r="D6375" t="inlineStr">
        <is>
          <t>VÄSTERNORRLANDS LÄN</t>
        </is>
      </c>
      <c r="E6375" t="inlineStr">
        <is>
          <t>SOLLEFTEÅ</t>
        </is>
      </c>
      <c r="F6375" t="inlineStr">
        <is>
          <t>SCA</t>
        </is>
      </c>
      <c r="G6375" t="n">
        <v>2.3</v>
      </c>
      <c r="H6375" t="n">
        <v>0</v>
      </c>
      <c r="I6375" t="n">
        <v>0</v>
      </c>
      <c r="J6375" t="n">
        <v>0</v>
      </c>
      <c r="K6375" t="n">
        <v>0</v>
      </c>
      <c r="L6375" t="n">
        <v>0</v>
      </c>
      <c r="M6375" t="n">
        <v>0</v>
      </c>
      <c r="N6375" t="n">
        <v>0</v>
      </c>
      <c r="O6375" t="n">
        <v>0</v>
      </c>
      <c r="P6375" t="n">
        <v>0</v>
      </c>
      <c r="Q6375" t="n">
        <v>0</v>
      </c>
      <c r="R6375" s="2" t="inlineStr"/>
    </row>
    <row r="6376" ht="15" customHeight="1">
      <c r="A6376" t="inlineStr">
        <is>
          <t>A 59287-2024</t>
        </is>
      </c>
      <c r="B6376" s="1" t="n">
        <v>45637</v>
      </c>
      <c r="C6376" s="1" t="n">
        <v>46093</v>
      </c>
      <c r="D6376" t="inlineStr">
        <is>
          <t>VÄSTERNORRLANDS LÄN</t>
        </is>
      </c>
      <c r="E6376" t="inlineStr">
        <is>
          <t>ÖRNSKÖLDSVIK</t>
        </is>
      </c>
      <c r="G6376" t="n">
        <v>3.7</v>
      </c>
      <c r="H6376" t="n">
        <v>0</v>
      </c>
      <c r="I6376" t="n">
        <v>0</v>
      </c>
      <c r="J6376" t="n">
        <v>0</v>
      </c>
      <c r="K6376" t="n">
        <v>0</v>
      </c>
      <c r="L6376" t="n">
        <v>0</v>
      </c>
      <c r="M6376" t="n">
        <v>0</v>
      </c>
      <c r="N6376" t="n">
        <v>0</v>
      </c>
      <c r="O6376" t="n">
        <v>0</v>
      </c>
      <c r="P6376" t="n">
        <v>0</v>
      </c>
      <c r="Q6376" t="n">
        <v>0</v>
      </c>
      <c r="R6376" s="2" t="inlineStr"/>
    </row>
    <row r="6377" ht="15" customHeight="1">
      <c r="A6377" t="inlineStr">
        <is>
          <t>A 49590-2025</t>
        </is>
      </c>
      <c r="B6377" s="1" t="n">
        <v>45939.52335648148</v>
      </c>
      <c r="C6377" s="1" t="n">
        <v>46093</v>
      </c>
      <c r="D6377" t="inlineStr">
        <is>
          <t>VÄSTERNORRLANDS LÄN</t>
        </is>
      </c>
      <c r="E6377" t="inlineStr">
        <is>
          <t>ÖRNSKÖLDSVIK</t>
        </is>
      </c>
      <c r="F6377" t="inlineStr">
        <is>
          <t>Holmen skog AB</t>
        </is>
      </c>
      <c r="G6377" t="n">
        <v>2.8</v>
      </c>
      <c r="H6377" t="n">
        <v>0</v>
      </c>
      <c r="I6377" t="n">
        <v>0</v>
      </c>
      <c r="J6377" t="n">
        <v>0</v>
      </c>
      <c r="K6377" t="n">
        <v>0</v>
      </c>
      <c r="L6377" t="n">
        <v>0</v>
      </c>
      <c r="M6377" t="n">
        <v>0</v>
      </c>
      <c r="N6377" t="n">
        <v>0</v>
      </c>
      <c r="O6377" t="n">
        <v>0</v>
      </c>
      <c r="P6377" t="n">
        <v>0</v>
      </c>
      <c r="Q6377" t="n">
        <v>0</v>
      </c>
      <c r="R6377" s="2" t="inlineStr"/>
    </row>
    <row r="6378" ht="15" customHeight="1">
      <c r="A6378" t="inlineStr">
        <is>
          <t>A 49867-2025</t>
        </is>
      </c>
      <c r="B6378" s="1" t="n">
        <v>45940.53179398148</v>
      </c>
      <c r="C6378" s="1" t="n">
        <v>46093</v>
      </c>
      <c r="D6378" t="inlineStr">
        <is>
          <t>VÄSTERNORRLANDS LÄN</t>
        </is>
      </c>
      <c r="E6378" t="inlineStr">
        <is>
          <t>SUNDSVALL</t>
        </is>
      </c>
      <c r="F6378" t="inlineStr">
        <is>
          <t>Naturvårdsverket</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49904-2025</t>
        </is>
      </c>
      <c r="B6379" s="1" t="n">
        <v>45940.59594907407</v>
      </c>
      <c r="C6379" s="1" t="n">
        <v>46093</v>
      </c>
      <c r="D6379" t="inlineStr">
        <is>
          <t>VÄSTERNORRLANDS LÄN</t>
        </is>
      </c>
      <c r="E6379" t="inlineStr">
        <is>
          <t>SOLLEFTEÅ</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46130-2022</t>
        </is>
      </c>
      <c r="B6380" s="1" t="n">
        <v>44844</v>
      </c>
      <c r="C6380" s="1" t="n">
        <v>46093</v>
      </c>
      <c r="D6380" t="inlineStr">
        <is>
          <t>VÄSTERNORRLANDS LÄN</t>
        </is>
      </c>
      <c r="E6380" t="inlineStr">
        <is>
          <t>SOLLEFTEÅ</t>
        </is>
      </c>
      <c r="F6380" t="inlineStr">
        <is>
          <t>SCA</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4001-2024</t>
        </is>
      </c>
      <c r="B6381" s="1" t="n">
        <v>45323</v>
      </c>
      <c r="C6381" s="1" t="n">
        <v>46093</v>
      </c>
      <c r="D6381" t="inlineStr">
        <is>
          <t>VÄSTERNORRLANDS LÄN</t>
        </is>
      </c>
      <c r="E6381" t="inlineStr">
        <is>
          <t>KRAMFORS</t>
        </is>
      </c>
      <c r="G6381" t="n">
        <v>2.6</v>
      </c>
      <c r="H6381" t="n">
        <v>0</v>
      </c>
      <c r="I6381" t="n">
        <v>0</v>
      </c>
      <c r="J6381" t="n">
        <v>0</v>
      </c>
      <c r="K6381" t="n">
        <v>0</v>
      </c>
      <c r="L6381" t="n">
        <v>0</v>
      </c>
      <c r="M6381" t="n">
        <v>0</v>
      </c>
      <c r="N6381" t="n">
        <v>0</v>
      </c>
      <c r="O6381" t="n">
        <v>0</v>
      </c>
      <c r="P6381" t="n">
        <v>0</v>
      </c>
      <c r="Q6381" t="n">
        <v>0</v>
      </c>
      <c r="R6381" s="2" t="inlineStr"/>
    </row>
    <row r="6382" ht="15" customHeight="1">
      <c r="A6382" t="inlineStr">
        <is>
          <t>A 56217-2024</t>
        </is>
      </c>
      <c r="B6382" s="1" t="n">
        <v>45624</v>
      </c>
      <c r="C6382" s="1" t="n">
        <v>46093</v>
      </c>
      <c r="D6382" t="inlineStr">
        <is>
          <t>VÄSTERNORRLANDS LÄN</t>
        </is>
      </c>
      <c r="E6382" t="inlineStr">
        <is>
          <t>ÖRNSKÖLDSVIK</t>
        </is>
      </c>
      <c r="F6382" t="inlineStr">
        <is>
          <t>Holmen skog AB</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4052-2024</t>
        </is>
      </c>
      <c r="B6383" s="1" t="n">
        <v>45323</v>
      </c>
      <c r="C6383" s="1" t="n">
        <v>46093</v>
      </c>
      <c r="D6383" t="inlineStr">
        <is>
          <t>VÄSTERNORRLANDS LÄN</t>
        </is>
      </c>
      <c r="E6383" t="inlineStr">
        <is>
          <t>SUNDSVALL</t>
        </is>
      </c>
      <c r="F6383" t="inlineStr">
        <is>
          <t>Kommuner</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4061-2024</t>
        </is>
      </c>
      <c r="B6384" s="1" t="n">
        <v>45323</v>
      </c>
      <c r="C6384" s="1" t="n">
        <v>46093</v>
      </c>
      <c r="D6384" t="inlineStr">
        <is>
          <t>VÄSTERNORRLANDS LÄN</t>
        </is>
      </c>
      <c r="E6384" t="inlineStr">
        <is>
          <t>SOLLEFTEÅ</t>
        </is>
      </c>
      <c r="G6384" t="n">
        <v>2.2</v>
      </c>
      <c r="H6384" t="n">
        <v>0</v>
      </c>
      <c r="I6384" t="n">
        <v>0</v>
      </c>
      <c r="J6384" t="n">
        <v>0</v>
      </c>
      <c r="K6384" t="n">
        <v>0</v>
      </c>
      <c r="L6384" t="n">
        <v>0</v>
      </c>
      <c r="M6384" t="n">
        <v>0</v>
      </c>
      <c r="N6384" t="n">
        <v>0</v>
      </c>
      <c r="O6384" t="n">
        <v>0</v>
      </c>
      <c r="P6384" t="n">
        <v>0</v>
      </c>
      <c r="Q6384" t="n">
        <v>0</v>
      </c>
      <c r="R6384" s="2" t="inlineStr"/>
    </row>
    <row r="6385" ht="15" customHeight="1">
      <c r="A6385" t="inlineStr">
        <is>
          <t>A 49932-2025</t>
        </is>
      </c>
      <c r="B6385" s="1" t="n">
        <v>45940.65695601852</v>
      </c>
      <c r="C6385" s="1" t="n">
        <v>46093</v>
      </c>
      <c r="D6385" t="inlineStr">
        <is>
          <t>VÄSTERNORRLANDS LÄN</t>
        </is>
      </c>
      <c r="E6385" t="inlineStr">
        <is>
          <t>SOLLEFTEÅ</t>
        </is>
      </c>
      <c r="F6385" t="inlineStr">
        <is>
          <t>SCA</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49748-2025</t>
        </is>
      </c>
      <c r="B6386" s="1" t="n">
        <v>45940.34472222222</v>
      </c>
      <c r="C6386" s="1" t="n">
        <v>46093</v>
      </c>
      <c r="D6386" t="inlineStr">
        <is>
          <t>VÄSTERNORRLANDS LÄN</t>
        </is>
      </c>
      <c r="E6386" t="inlineStr">
        <is>
          <t>SOLLEFTEÅ</t>
        </is>
      </c>
      <c r="F6386" t="inlineStr">
        <is>
          <t>SCA</t>
        </is>
      </c>
      <c r="G6386" t="n">
        <v>5.5</v>
      </c>
      <c r="H6386" t="n">
        <v>0</v>
      </c>
      <c r="I6386" t="n">
        <v>0</v>
      </c>
      <c r="J6386" t="n">
        <v>0</v>
      </c>
      <c r="K6386" t="n">
        <v>0</v>
      </c>
      <c r="L6386" t="n">
        <v>0</v>
      </c>
      <c r="M6386" t="n">
        <v>0</v>
      </c>
      <c r="N6386" t="n">
        <v>0</v>
      </c>
      <c r="O6386" t="n">
        <v>0</v>
      </c>
      <c r="P6386" t="n">
        <v>0</v>
      </c>
      <c r="Q6386" t="n">
        <v>0</v>
      </c>
      <c r="R6386" s="2" t="inlineStr"/>
    </row>
    <row r="6387" ht="15" customHeight="1">
      <c r="A6387" t="inlineStr">
        <is>
          <t>A 6528-2024</t>
        </is>
      </c>
      <c r="B6387" s="1" t="n">
        <v>45341.35649305556</v>
      </c>
      <c r="C6387" s="1" t="n">
        <v>46093</v>
      </c>
      <c r="D6387" t="inlineStr">
        <is>
          <t>VÄSTERNORRLANDS LÄN</t>
        </is>
      </c>
      <c r="E6387" t="inlineStr">
        <is>
          <t>ÖRNSKÖLDSVIK</t>
        </is>
      </c>
      <c r="F6387" t="inlineStr">
        <is>
          <t>Holmen skog AB</t>
        </is>
      </c>
      <c r="G6387" t="n">
        <v>2.9</v>
      </c>
      <c r="H6387" t="n">
        <v>0</v>
      </c>
      <c r="I6387" t="n">
        <v>0</v>
      </c>
      <c r="J6387" t="n">
        <v>0</v>
      </c>
      <c r="K6387" t="n">
        <v>0</v>
      </c>
      <c r="L6387" t="n">
        <v>0</v>
      </c>
      <c r="M6387" t="n">
        <v>0</v>
      </c>
      <c r="N6387" t="n">
        <v>0</v>
      </c>
      <c r="O6387" t="n">
        <v>0</v>
      </c>
      <c r="P6387" t="n">
        <v>0</v>
      </c>
      <c r="Q6387" t="n">
        <v>0</v>
      </c>
      <c r="R6387" s="2" t="inlineStr"/>
    </row>
    <row r="6388" ht="15" customHeight="1">
      <c r="A6388" t="inlineStr">
        <is>
          <t>A 56288-2024</t>
        </is>
      </c>
      <c r="B6388" s="1" t="n">
        <v>45624.67949074074</v>
      </c>
      <c r="C6388" s="1" t="n">
        <v>46093</v>
      </c>
      <c r="D6388" t="inlineStr">
        <is>
          <t>VÄSTERNORRLANDS LÄN</t>
        </is>
      </c>
      <c r="E6388" t="inlineStr">
        <is>
          <t>TIMRÅ</t>
        </is>
      </c>
      <c r="F6388" t="inlineStr">
        <is>
          <t>SCA</t>
        </is>
      </c>
      <c r="G6388" t="n">
        <v>4.3</v>
      </c>
      <c r="H6388" t="n">
        <v>0</v>
      </c>
      <c r="I6388" t="n">
        <v>0</v>
      </c>
      <c r="J6388" t="n">
        <v>0</v>
      </c>
      <c r="K6388" t="n">
        <v>0</v>
      </c>
      <c r="L6388" t="n">
        <v>0</v>
      </c>
      <c r="M6388" t="n">
        <v>0</v>
      </c>
      <c r="N6388" t="n">
        <v>0</v>
      </c>
      <c r="O6388" t="n">
        <v>0</v>
      </c>
      <c r="P6388" t="n">
        <v>0</v>
      </c>
      <c r="Q6388" t="n">
        <v>0</v>
      </c>
      <c r="R6388" s="2" t="inlineStr"/>
    </row>
    <row r="6389" ht="15" customHeight="1">
      <c r="A6389" t="inlineStr">
        <is>
          <t>A 58725-2024</t>
        </is>
      </c>
      <c r="B6389" s="1" t="n">
        <v>45635.66519675926</v>
      </c>
      <c r="C6389" s="1" t="n">
        <v>46093</v>
      </c>
      <c r="D6389" t="inlineStr">
        <is>
          <t>VÄSTERNORRLANDS LÄN</t>
        </is>
      </c>
      <c r="E6389" t="inlineStr">
        <is>
          <t>ÖRNSKÖLDSVIK</t>
        </is>
      </c>
      <c r="F6389" t="inlineStr">
        <is>
          <t>Holmen skog AB</t>
        </is>
      </c>
      <c r="G6389" t="n">
        <v>5.2</v>
      </c>
      <c r="H6389" t="n">
        <v>0</v>
      </c>
      <c r="I6389" t="n">
        <v>0</v>
      </c>
      <c r="J6389" t="n">
        <v>0</v>
      </c>
      <c r="K6389" t="n">
        <v>0</v>
      </c>
      <c r="L6389" t="n">
        <v>0</v>
      </c>
      <c r="M6389" t="n">
        <v>0</v>
      </c>
      <c r="N6389" t="n">
        <v>0</v>
      </c>
      <c r="O6389" t="n">
        <v>0</v>
      </c>
      <c r="P6389" t="n">
        <v>0</v>
      </c>
      <c r="Q6389" t="n">
        <v>0</v>
      </c>
      <c r="R6389" s="2" t="inlineStr"/>
    </row>
    <row r="6390" ht="15" customHeight="1">
      <c r="A6390" t="inlineStr">
        <is>
          <t>A 49933-2025</t>
        </is>
      </c>
      <c r="B6390" s="1" t="n">
        <v>45940.65717592592</v>
      </c>
      <c r="C6390" s="1" t="n">
        <v>46093</v>
      </c>
      <c r="D6390" t="inlineStr">
        <is>
          <t>VÄSTERNORRLANDS LÄN</t>
        </is>
      </c>
      <c r="E6390" t="inlineStr">
        <is>
          <t>SOLLEFTEÅ</t>
        </is>
      </c>
      <c r="F6390" t="inlineStr">
        <is>
          <t>SCA</t>
        </is>
      </c>
      <c r="G6390" t="n">
        <v>3.1</v>
      </c>
      <c r="H6390" t="n">
        <v>0</v>
      </c>
      <c r="I6390" t="n">
        <v>0</v>
      </c>
      <c r="J6390" t="n">
        <v>0</v>
      </c>
      <c r="K6390" t="n">
        <v>0</v>
      </c>
      <c r="L6390" t="n">
        <v>0</v>
      </c>
      <c r="M6390" t="n">
        <v>0</v>
      </c>
      <c r="N6390" t="n">
        <v>0</v>
      </c>
      <c r="O6390" t="n">
        <v>0</v>
      </c>
      <c r="P6390" t="n">
        <v>0</v>
      </c>
      <c r="Q6390" t="n">
        <v>0</v>
      </c>
      <c r="R6390" s="2" t="inlineStr"/>
    </row>
    <row r="6391" ht="15" customHeight="1">
      <c r="A6391" t="inlineStr">
        <is>
          <t>A 37113-2025</t>
        </is>
      </c>
      <c r="B6391" s="1" t="n">
        <v>45875.51104166666</v>
      </c>
      <c r="C6391" s="1" t="n">
        <v>46093</v>
      </c>
      <c r="D6391" t="inlineStr">
        <is>
          <t>VÄSTERNORRLANDS LÄN</t>
        </is>
      </c>
      <c r="E6391" t="inlineStr">
        <is>
          <t>SUNDSVALL</t>
        </is>
      </c>
      <c r="F6391" t="inlineStr">
        <is>
          <t>SCA</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49667-2025</t>
        </is>
      </c>
      <c r="B6392" s="1" t="n">
        <v>45939.63671296297</v>
      </c>
      <c r="C6392" s="1" t="n">
        <v>46093</v>
      </c>
      <c r="D6392" t="inlineStr">
        <is>
          <t>VÄSTERNORRLANDS LÄN</t>
        </is>
      </c>
      <c r="E6392" t="inlineStr">
        <is>
          <t>SOLLEFTEÅ</t>
        </is>
      </c>
      <c r="F6392" t="inlineStr">
        <is>
          <t>SCA</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2338-2024</t>
        </is>
      </c>
      <c r="B6393" s="1" t="n">
        <v>45310</v>
      </c>
      <c r="C6393" s="1" t="n">
        <v>46093</v>
      </c>
      <c r="D6393" t="inlineStr">
        <is>
          <t>VÄSTERNORRLANDS LÄN</t>
        </is>
      </c>
      <c r="E6393" t="inlineStr">
        <is>
          <t>ÖRNSKÖLDSVIK</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49698-2025</t>
        </is>
      </c>
      <c r="B6394" s="1" t="n">
        <v>45939.67790509259</v>
      </c>
      <c r="C6394" s="1" t="n">
        <v>46093</v>
      </c>
      <c r="D6394" t="inlineStr">
        <is>
          <t>VÄSTERNORRLANDS LÄN</t>
        </is>
      </c>
      <c r="E6394" t="inlineStr">
        <is>
          <t>SOLLEFTEÅ</t>
        </is>
      </c>
      <c r="F6394" t="inlineStr">
        <is>
          <t>SCA</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49701-2025</t>
        </is>
      </c>
      <c r="B6395" s="1" t="n">
        <v>45939.67840277778</v>
      </c>
      <c r="C6395" s="1" t="n">
        <v>46093</v>
      </c>
      <c r="D6395" t="inlineStr">
        <is>
          <t>VÄSTERNORRLANDS LÄN</t>
        </is>
      </c>
      <c r="E6395" t="inlineStr">
        <is>
          <t>SOLLEFTEÅ</t>
        </is>
      </c>
      <c r="F6395" t="inlineStr">
        <is>
          <t>SCA</t>
        </is>
      </c>
      <c r="G6395" t="n">
        <v>10.3</v>
      </c>
      <c r="H6395" t="n">
        <v>0</v>
      </c>
      <c r="I6395" t="n">
        <v>0</v>
      </c>
      <c r="J6395" t="n">
        <v>0</v>
      </c>
      <c r="K6395" t="n">
        <v>0</v>
      </c>
      <c r="L6395" t="n">
        <v>0</v>
      </c>
      <c r="M6395" t="n">
        <v>0</v>
      </c>
      <c r="N6395" t="n">
        <v>0</v>
      </c>
      <c r="O6395" t="n">
        <v>0</v>
      </c>
      <c r="P6395" t="n">
        <v>0</v>
      </c>
      <c r="Q6395" t="n">
        <v>0</v>
      </c>
      <c r="R6395" s="2" t="inlineStr"/>
    </row>
    <row r="6396" ht="15" customHeight="1">
      <c r="A6396" t="inlineStr">
        <is>
          <t>A 49702-2025</t>
        </is>
      </c>
      <c r="B6396" s="1" t="n">
        <v>45939.67875</v>
      </c>
      <c r="C6396" s="1" t="n">
        <v>46093</v>
      </c>
      <c r="D6396" t="inlineStr">
        <is>
          <t>VÄSTERNORRLANDS LÄN</t>
        </is>
      </c>
      <c r="E6396" t="inlineStr">
        <is>
          <t>SOLLEFTEÅ</t>
        </is>
      </c>
      <c r="F6396" t="inlineStr">
        <is>
          <t>SCA</t>
        </is>
      </c>
      <c r="G6396" t="n">
        <v>7.5</v>
      </c>
      <c r="H6396" t="n">
        <v>0</v>
      </c>
      <c r="I6396" t="n">
        <v>0</v>
      </c>
      <c r="J6396" t="n">
        <v>0</v>
      </c>
      <c r="K6396" t="n">
        <v>0</v>
      </c>
      <c r="L6396" t="n">
        <v>0</v>
      </c>
      <c r="M6396" t="n">
        <v>0</v>
      </c>
      <c r="N6396" t="n">
        <v>0</v>
      </c>
      <c r="O6396" t="n">
        <v>0</v>
      </c>
      <c r="P6396" t="n">
        <v>0</v>
      </c>
      <c r="Q6396" t="n">
        <v>0</v>
      </c>
      <c r="R6396" s="2" t="inlineStr"/>
    </row>
    <row r="6397" ht="15" customHeight="1">
      <c r="A6397" t="inlineStr">
        <is>
          <t>A 49719-2025</t>
        </is>
      </c>
      <c r="B6397" s="1" t="n">
        <v>45939.76648148148</v>
      </c>
      <c r="C6397" s="1" t="n">
        <v>46093</v>
      </c>
      <c r="D6397" t="inlineStr">
        <is>
          <t>VÄSTERNORRLANDS LÄN</t>
        </is>
      </c>
      <c r="E6397" t="inlineStr">
        <is>
          <t>ÖRNSKÖLDSVIK</t>
        </is>
      </c>
      <c r="G6397" t="n">
        <v>0.3</v>
      </c>
      <c r="H6397" t="n">
        <v>0</v>
      </c>
      <c r="I6397" t="n">
        <v>0</v>
      </c>
      <c r="J6397" t="n">
        <v>0</v>
      </c>
      <c r="K6397" t="n">
        <v>0</v>
      </c>
      <c r="L6397" t="n">
        <v>0</v>
      </c>
      <c r="M6397" t="n">
        <v>0</v>
      </c>
      <c r="N6397" t="n">
        <v>0</v>
      </c>
      <c r="O6397" t="n">
        <v>0</v>
      </c>
      <c r="P6397" t="n">
        <v>0</v>
      </c>
      <c r="Q6397" t="n">
        <v>0</v>
      </c>
      <c r="R6397" s="2" t="inlineStr"/>
    </row>
    <row r="6398" ht="15" customHeight="1">
      <c r="A6398" t="inlineStr">
        <is>
          <t>A 59412-2024</t>
        </is>
      </c>
      <c r="B6398" s="1" t="n">
        <v>45638</v>
      </c>
      <c r="C6398" s="1" t="n">
        <v>46093</v>
      </c>
      <c r="D6398" t="inlineStr">
        <is>
          <t>VÄSTERNORRLANDS LÄN</t>
        </is>
      </c>
      <c r="E6398" t="inlineStr">
        <is>
          <t>ÅNGE</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59421-2024</t>
        </is>
      </c>
      <c r="B6399" s="1" t="n">
        <v>45638.41244212963</v>
      </c>
      <c r="C6399" s="1" t="n">
        <v>46093</v>
      </c>
      <c r="D6399" t="inlineStr">
        <is>
          <t>VÄSTERNORRLANDS LÄN</t>
        </is>
      </c>
      <c r="E6399" t="inlineStr">
        <is>
          <t>SOLLEFTEÅ</t>
        </is>
      </c>
      <c r="G6399" t="n">
        <v>5.1</v>
      </c>
      <c r="H6399" t="n">
        <v>0</v>
      </c>
      <c r="I6399" t="n">
        <v>0</v>
      </c>
      <c r="J6399" t="n">
        <v>0</v>
      </c>
      <c r="K6399" t="n">
        <v>0</v>
      </c>
      <c r="L6399" t="n">
        <v>0</v>
      </c>
      <c r="M6399" t="n">
        <v>0</v>
      </c>
      <c r="N6399" t="n">
        <v>0</v>
      </c>
      <c r="O6399" t="n">
        <v>0</v>
      </c>
      <c r="P6399" t="n">
        <v>0</v>
      </c>
      <c r="Q6399" t="n">
        <v>0</v>
      </c>
      <c r="R6399" s="2" t="inlineStr"/>
    </row>
    <row r="6400" ht="15" customHeight="1">
      <c r="A6400" t="inlineStr">
        <is>
          <t>A 49908-2025</t>
        </is>
      </c>
      <c r="B6400" s="1" t="n">
        <v>45940.60159722222</v>
      </c>
      <c r="C6400" s="1" t="n">
        <v>46093</v>
      </c>
      <c r="D6400" t="inlineStr">
        <is>
          <t>VÄSTERNORRLANDS LÄN</t>
        </is>
      </c>
      <c r="E6400" t="inlineStr">
        <is>
          <t>ÖRNSKÖLDSVIK</t>
        </is>
      </c>
      <c r="F6400" t="inlineStr">
        <is>
          <t>Holmen skog AB</t>
        </is>
      </c>
      <c r="G6400" t="n">
        <v>5.4</v>
      </c>
      <c r="H6400" t="n">
        <v>0</v>
      </c>
      <c r="I6400" t="n">
        <v>0</v>
      </c>
      <c r="J6400" t="n">
        <v>0</v>
      </c>
      <c r="K6400" t="n">
        <v>0</v>
      </c>
      <c r="L6400" t="n">
        <v>0</v>
      </c>
      <c r="M6400" t="n">
        <v>0</v>
      </c>
      <c r="N6400" t="n">
        <v>0</v>
      </c>
      <c r="O6400" t="n">
        <v>0</v>
      </c>
      <c r="P6400" t="n">
        <v>0</v>
      </c>
      <c r="Q6400" t="n">
        <v>0</v>
      </c>
      <c r="R6400" s="2" t="inlineStr"/>
    </row>
    <row r="6401" ht="15" customHeight="1">
      <c r="A6401" t="inlineStr">
        <is>
          <t>A 21362-2021</t>
        </is>
      </c>
      <c r="B6401" s="1" t="n">
        <v>44320.95611111111</v>
      </c>
      <c r="C6401" s="1" t="n">
        <v>46093</v>
      </c>
      <c r="D6401" t="inlineStr">
        <is>
          <t>VÄSTERNORRLANDS LÄN</t>
        </is>
      </c>
      <c r="E6401" t="inlineStr">
        <is>
          <t>SOLLEFTEÅ</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59485-2024</t>
        </is>
      </c>
      <c r="B6402" s="1" t="n">
        <v>45638.5315625</v>
      </c>
      <c r="C6402" s="1" t="n">
        <v>46093</v>
      </c>
      <c r="D6402" t="inlineStr">
        <is>
          <t>VÄSTERNORRLANDS LÄN</t>
        </is>
      </c>
      <c r="E6402" t="inlineStr">
        <is>
          <t>ÖRNSKÖLDSVIK</t>
        </is>
      </c>
      <c r="F6402" t="inlineStr">
        <is>
          <t>SCA</t>
        </is>
      </c>
      <c r="G6402" t="n">
        <v>3</v>
      </c>
      <c r="H6402" t="n">
        <v>0</v>
      </c>
      <c r="I6402" t="n">
        <v>0</v>
      </c>
      <c r="J6402" t="n">
        <v>0</v>
      </c>
      <c r="K6402" t="n">
        <v>0</v>
      </c>
      <c r="L6402" t="n">
        <v>0</v>
      </c>
      <c r="M6402" t="n">
        <v>0</v>
      </c>
      <c r="N6402" t="n">
        <v>0</v>
      </c>
      <c r="O6402" t="n">
        <v>0</v>
      </c>
      <c r="P6402" t="n">
        <v>0</v>
      </c>
      <c r="Q6402" t="n">
        <v>0</v>
      </c>
      <c r="R6402" s="2" t="inlineStr"/>
    </row>
    <row r="6403" ht="15" customHeight="1">
      <c r="A6403" t="inlineStr">
        <is>
          <t>A 59491-2024</t>
        </is>
      </c>
      <c r="B6403" s="1" t="n">
        <v>45637</v>
      </c>
      <c r="C6403" s="1" t="n">
        <v>46093</v>
      </c>
      <c r="D6403" t="inlineStr">
        <is>
          <t>VÄSTERNORRLANDS LÄN</t>
        </is>
      </c>
      <c r="E6403" t="inlineStr">
        <is>
          <t>SOLLEFTEÅ</t>
        </is>
      </c>
      <c r="G6403" t="n">
        <v>4.9</v>
      </c>
      <c r="H6403" t="n">
        <v>0</v>
      </c>
      <c r="I6403" t="n">
        <v>0</v>
      </c>
      <c r="J6403" t="n">
        <v>0</v>
      </c>
      <c r="K6403" t="n">
        <v>0</v>
      </c>
      <c r="L6403" t="n">
        <v>0</v>
      </c>
      <c r="M6403" t="n">
        <v>0</v>
      </c>
      <c r="N6403" t="n">
        <v>0</v>
      </c>
      <c r="O6403" t="n">
        <v>0</v>
      </c>
      <c r="P6403" t="n">
        <v>0</v>
      </c>
      <c r="Q6403" t="n">
        <v>0</v>
      </c>
      <c r="R6403" s="2" t="inlineStr"/>
    </row>
    <row r="6404" ht="15" customHeight="1">
      <c r="A6404" t="inlineStr">
        <is>
          <t>A 44518-2024</t>
        </is>
      </c>
      <c r="B6404" s="1" t="n">
        <v>45574.43376157407</v>
      </c>
      <c r="C6404" s="1" t="n">
        <v>46093</v>
      </c>
      <c r="D6404" t="inlineStr">
        <is>
          <t>VÄSTERNORRLANDS LÄN</t>
        </is>
      </c>
      <c r="E6404" t="inlineStr">
        <is>
          <t>ÅNGE</t>
        </is>
      </c>
      <c r="G6404" t="n">
        <v>2.6</v>
      </c>
      <c r="H6404" t="n">
        <v>0</v>
      </c>
      <c r="I6404" t="n">
        <v>0</v>
      </c>
      <c r="J6404" t="n">
        <v>0</v>
      </c>
      <c r="K6404" t="n">
        <v>0</v>
      </c>
      <c r="L6404" t="n">
        <v>0</v>
      </c>
      <c r="M6404" t="n">
        <v>0</v>
      </c>
      <c r="N6404" t="n">
        <v>0</v>
      </c>
      <c r="O6404" t="n">
        <v>0</v>
      </c>
      <c r="P6404" t="n">
        <v>0</v>
      </c>
      <c r="Q6404" t="n">
        <v>0</v>
      </c>
      <c r="R6404" s="2" t="inlineStr"/>
    </row>
    <row r="6405" ht="15" customHeight="1">
      <c r="A6405" t="inlineStr">
        <is>
          <t>A 4103-2024</t>
        </is>
      </c>
      <c r="B6405" s="1" t="n">
        <v>45323</v>
      </c>
      <c r="C6405" s="1" t="n">
        <v>46093</v>
      </c>
      <c r="D6405" t="inlineStr">
        <is>
          <t>VÄSTERNORRLANDS LÄN</t>
        </is>
      </c>
      <c r="E6405" t="inlineStr">
        <is>
          <t>ÖRNSKÖLDSVIK</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49625-2025</t>
        </is>
      </c>
      <c r="B6406" s="1" t="n">
        <v>45939.59466435185</v>
      </c>
      <c r="C6406" s="1" t="n">
        <v>46093</v>
      </c>
      <c r="D6406" t="inlineStr">
        <is>
          <t>VÄSTERNORRLANDS LÄN</t>
        </is>
      </c>
      <c r="E6406" t="inlineStr">
        <is>
          <t>HÄRNÖSAND</t>
        </is>
      </c>
      <c r="F6406" t="inlineStr">
        <is>
          <t>SCA</t>
        </is>
      </c>
      <c r="G6406" t="n">
        <v>4.7</v>
      </c>
      <c r="H6406" t="n">
        <v>0</v>
      </c>
      <c r="I6406" t="n">
        <v>0</v>
      </c>
      <c r="J6406" t="n">
        <v>0</v>
      </c>
      <c r="K6406" t="n">
        <v>0</v>
      </c>
      <c r="L6406" t="n">
        <v>0</v>
      </c>
      <c r="M6406" t="n">
        <v>0</v>
      </c>
      <c r="N6406" t="n">
        <v>0</v>
      </c>
      <c r="O6406" t="n">
        <v>0</v>
      </c>
      <c r="P6406" t="n">
        <v>0</v>
      </c>
      <c r="Q6406" t="n">
        <v>0</v>
      </c>
      <c r="R6406" s="2" t="inlineStr"/>
    </row>
    <row r="6407" ht="15" customHeight="1">
      <c r="A6407" t="inlineStr">
        <is>
          <t>A 49603-2025</t>
        </is>
      </c>
      <c r="B6407" s="1" t="n">
        <v>45939.5484375</v>
      </c>
      <c r="C6407" s="1" t="n">
        <v>46093</v>
      </c>
      <c r="D6407" t="inlineStr">
        <is>
          <t>VÄSTERNORRLANDS LÄN</t>
        </is>
      </c>
      <c r="E6407" t="inlineStr">
        <is>
          <t>ÅNGE</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62219-2023</t>
        </is>
      </c>
      <c r="B6408" s="1" t="n">
        <v>45267</v>
      </c>
      <c r="C6408" s="1" t="n">
        <v>46093</v>
      </c>
      <c r="D6408" t="inlineStr">
        <is>
          <t>VÄSTERNORRLANDS LÄN</t>
        </is>
      </c>
      <c r="E6408" t="inlineStr">
        <is>
          <t>SUNDSVALL</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58879-2024</t>
        </is>
      </c>
      <c r="B6409" s="1" t="n">
        <v>45636.44822916666</v>
      </c>
      <c r="C6409" s="1" t="n">
        <v>46093</v>
      </c>
      <c r="D6409" t="inlineStr">
        <is>
          <t>VÄSTERNORRLANDS LÄN</t>
        </is>
      </c>
      <c r="E6409" t="inlineStr">
        <is>
          <t>TIMRÅ</t>
        </is>
      </c>
      <c r="F6409" t="inlineStr">
        <is>
          <t>SCA</t>
        </is>
      </c>
      <c r="G6409" t="n">
        <v>3</v>
      </c>
      <c r="H6409" t="n">
        <v>0</v>
      </c>
      <c r="I6409" t="n">
        <v>0</v>
      </c>
      <c r="J6409" t="n">
        <v>0</v>
      </c>
      <c r="K6409" t="n">
        <v>0</v>
      </c>
      <c r="L6409" t="n">
        <v>0</v>
      </c>
      <c r="M6409" t="n">
        <v>0</v>
      </c>
      <c r="N6409" t="n">
        <v>0</v>
      </c>
      <c r="O6409" t="n">
        <v>0</v>
      </c>
      <c r="P6409" t="n">
        <v>0</v>
      </c>
      <c r="Q6409" t="n">
        <v>0</v>
      </c>
      <c r="R6409" s="2" t="inlineStr"/>
    </row>
    <row r="6410" ht="15" customHeight="1">
      <c r="A6410" t="inlineStr">
        <is>
          <t>A 49600-2025</t>
        </is>
      </c>
      <c r="B6410" s="1" t="n">
        <v>45939.54434027777</v>
      </c>
      <c r="C6410" s="1" t="n">
        <v>46093</v>
      </c>
      <c r="D6410" t="inlineStr">
        <is>
          <t>VÄSTERNORRLANDS LÄN</t>
        </is>
      </c>
      <c r="E6410" t="inlineStr">
        <is>
          <t>ÅNGE</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44569-2024</t>
        </is>
      </c>
      <c r="B6411" s="1" t="n">
        <v>45574.48010416667</v>
      </c>
      <c r="C6411" s="1" t="n">
        <v>46093</v>
      </c>
      <c r="D6411" t="inlineStr">
        <is>
          <t>VÄSTERNORRLANDS LÄN</t>
        </is>
      </c>
      <c r="E6411" t="inlineStr">
        <is>
          <t>SUNDSVALL</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19420-2021</t>
        </is>
      </c>
      <c r="B6412" s="1" t="n">
        <v>44309.94315972222</v>
      </c>
      <c r="C6412" s="1" t="n">
        <v>46093</v>
      </c>
      <c r="D6412" t="inlineStr">
        <is>
          <t>VÄSTERNORRLANDS LÄN</t>
        </is>
      </c>
      <c r="E6412" t="inlineStr">
        <is>
          <t>KRAMFORS</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19433-2021</t>
        </is>
      </c>
      <c r="B6413" s="1" t="n">
        <v>44309.94400462963</v>
      </c>
      <c r="C6413" s="1" t="n">
        <v>46093</v>
      </c>
      <c r="D6413" t="inlineStr">
        <is>
          <t>VÄSTERNORRLANDS LÄN</t>
        </is>
      </c>
      <c r="E6413" t="inlineStr">
        <is>
          <t>SOLLEFTEÅ</t>
        </is>
      </c>
      <c r="F6413" t="inlineStr">
        <is>
          <t>SCA</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42497-2024</t>
        </is>
      </c>
      <c r="B6414" s="1" t="n">
        <v>45565</v>
      </c>
      <c r="C6414" s="1" t="n">
        <v>46093</v>
      </c>
      <c r="D6414" t="inlineStr">
        <is>
          <t>VÄSTERNORRLANDS LÄN</t>
        </is>
      </c>
      <c r="E6414" t="inlineStr">
        <is>
          <t>SUNDSVALL</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51124-2024</t>
        </is>
      </c>
      <c r="B6415" s="1" t="n">
        <v>45603.50716435185</v>
      </c>
      <c r="C6415" s="1" t="n">
        <v>46093</v>
      </c>
      <c r="D6415" t="inlineStr">
        <is>
          <t>VÄSTERNORRLANDS LÄN</t>
        </is>
      </c>
      <c r="E6415" t="inlineStr">
        <is>
          <t>ÅNGE</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44829-2021</t>
        </is>
      </c>
      <c r="B6416" s="1" t="n">
        <v>44438</v>
      </c>
      <c r="C6416" s="1" t="n">
        <v>46093</v>
      </c>
      <c r="D6416" t="inlineStr">
        <is>
          <t>VÄSTERNORRLANDS LÄN</t>
        </is>
      </c>
      <c r="E6416" t="inlineStr">
        <is>
          <t>KRAMFORS</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27633-2024</t>
        </is>
      </c>
      <c r="B6417" s="1" t="n">
        <v>45474.94590277778</v>
      </c>
      <c r="C6417" s="1" t="n">
        <v>46093</v>
      </c>
      <c r="D6417" t="inlineStr">
        <is>
          <t>VÄSTERNORRLANDS LÄN</t>
        </is>
      </c>
      <c r="E6417" t="inlineStr">
        <is>
          <t>SOLLEFTEÅ</t>
        </is>
      </c>
      <c r="F6417" t="inlineStr">
        <is>
          <t>SCA</t>
        </is>
      </c>
      <c r="G6417" t="n">
        <v>3.2</v>
      </c>
      <c r="H6417" t="n">
        <v>0</v>
      </c>
      <c r="I6417" t="n">
        <v>0</v>
      </c>
      <c r="J6417" t="n">
        <v>0</v>
      </c>
      <c r="K6417" t="n">
        <v>0</v>
      </c>
      <c r="L6417" t="n">
        <v>0</v>
      </c>
      <c r="M6417" t="n">
        <v>0</v>
      </c>
      <c r="N6417" t="n">
        <v>0</v>
      </c>
      <c r="O6417" t="n">
        <v>0</v>
      </c>
      <c r="P6417" t="n">
        <v>0</v>
      </c>
      <c r="Q6417" t="n">
        <v>0</v>
      </c>
      <c r="R6417" s="2" t="inlineStr"/>
    </row>
    <row r="6418" ht="15" customHeight="1">
      <c r="A6418" t="inlineStr">
        <is>
          <t>A 27634-2024</t>
        </is>
      </c>
      <c r="B6418" s="1" t="n">
        <v>45474.94599537037</v>
      </c>
      <c r="C6418" s="1" t="n">
        <v>46093</v>
      </c>
      <c r="D6418" t="inlineStr">
        <is>
          <t>VÄSTERNORRLANDS LÄN</t>
        </is>
      </c>
      <c r="E6418" t="inlineStr">
        <is>
          <t>SOLLEFTEÅ</t>
        </is>
      </c>
      <c r="F6418" t="inlineStr">
        <is>
          <t>SCA</t>
        </is>
      </c>
      <c r="G6418" t="n">
        <v>4.2</v>
      </c>
      <c r="H6418" t="n">
        <v>0</v>
      </c>
      <c r="I6418" t="n">
        <v>0</v>
      </c>
      <c r="J6418" t="n">
        <v>0</v>
      </c>
      <c r="K6418" t="n">
        <v>0</v>
      </c>
      <c r="L6418" t="n">
        <v>0</v>
      </c>
      <c r="M6418" t="n">
        <v>0</v>
      </c>
      <c r="N6418" t="n">
        <v>0</v>
      </c>
      <c r="O6418" t="n">
        <v>0</v>
      </c>
      <c r="P6418" t="n">
        <v>0</v>
      </c>
      <c r="Q6418" t="n">
        <v>0</v>
      </c>
      <c r="R6418" s="2" t="inlineStr"/>
    </row>
    <row r="6419" ht="15" customHeight="1">
      <c r="A6419" t="inlineStr">
        <is>
          <t>A 49565-2025</t>
        </is>
      </c>
      <c r="B6419" s="1" t="n">
        <v>45939.46921296296</v>
      </c>
      <c r="C6419" s="1" t="n">
        <v>46093</v>
      </c>
      <c r="D6419" t="inlineStr">
        <is>
          <t>VÄSTERNORRLANDS LÄN</t>
        </is>
      </c>
      <c r="E6419" t="inlineStr">
        <is>
          <t>SOLLEFTEÅ</t>
        </is>
      </c>
      <c r="F6419" t="inlineStr">
        <is>
          <t>SCA</t>
        </is>
      </c>
      <c r="G6419" t="n">
        <v>5</v>
      </c>
      <c r="H6419" t="n">
        <v>0</v>
      </c>
      <c r="I6419" t="n">
        <v>0</v>
      </c>
      <c r="J6419" t="n">
        <v>0</v>
      </c>
      <c r="K6419" t="n">
        <v>0</v>
      </c>
      <c r="L6419" t="n">
        <v>0</v>
      </c>
      <c r="M6419" t="n">
        <v>0</v>
      </c>
      <c r="N6419" t="n">
        <v>0</v>
      </c>
      <c r="O6419" t="n">
        <v>0</v>
      </c>
      <c r="P6419" t="n">
        <v>0</v>
      </c>
      <c r="Q6419" t="n">
        <v>0</v>
      </c>
      <c r="R6419" s="2" t="inlineStr"/>
    </row>
    <row r="6420" ht="15" customHeight="1">
      <c r="A6420" t="inlineStr">
        <is>
          <t>A 49566-2025</t>
        </is>
      </c>
      <c r="B6420" s="1" t="n">
        <v>45939.46939814815</v>
      </c>
      <c r="C6420" s="1" t="n">
        <v>46093</v>
      </c>
      <c r="D6420" t="inlineStr">
        <is>
          <t>VÄSTERNORRLANDS LÄN</t>
        </is>
      </c>
      <c r="E6420" t="inlineStr">
        <is>
          <t>ÅNGE</t>
        </is>
      </c>
      <c r="F6420" t="inlineStr">
        <is>
          <t>SCA</t>
        </is>
      </c>
      <c r="G6420" t="n">
        <v>7.7</v>
      </c>
      <c r="H6420" t="n">
        <v>0</v>
      </c>
      <c r="I6420" t="n">
        <v>0</v>
      </c>
      <c r="J6420" t="n">
        <v>0</v>
      </c>
      <c r="K6420" t="n">
        <v>0</v>
      </c>
      <c r="L6420" t="n">
        <v>0</v>
      </c>
      <c r="M6420" t="n">
        <v>0</v>
      </c>
      <c r="N6420" t="n">
        <v>0</v>
      </c>
      <c r="O6420" t="n">
        <v>0</v>
      </c>
      <c r="P6420" t="n">
        <v>0</v>
      </c>
      <c r="Q6420" t="n">
        <v>0</v>
      </c>
      <c r="R6420" s="2" t="inlineStr"/>
    </row>
    <row r="6421" ht="15" customHeight="1">
      <c r="A6421" t="inlineStr">
        <is>
          <t>A 49641-2025</t>
        </is>
      </c>
      <c r="B6421" s="1" t="n">
        <v>45939.61519675926</v>
      </c>
      <c r="C6421" s="1" t="n">
        <v>46093</v>
      </c>
      <c r="D6421" t="inlineStr">
        <is>
          <t>VÄSTERNORRLANDS LÄN</t>
        </is>
      </c>
      <c r="E6421" t="inlineStr">
        <is>
          <t>SUNDSVALL</t>
        </is>
      </c>
      <c r="F6421" t="inlineStr">
        <is>
          <t>SCA</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31138-2024</t>
        </is>
      </c>
      <c r="B6422" s="1" t="n">
        <v>45502</v>
      </c>
      <c r="C6422" s="1" t="n">
        <v>46093</v>
      </c>
      <c r="D6422" t="inlineStr">
        <is>
          <t>VÄSTERNORRLANDS LÄN</t>
        </is>
      </c>
      <c r="E6422" t="inlineStr">
        <is>
          <t>KRAMFORS</t>
        </is>
      </c>
      <c r="G6422" t="n">
        <v>3.9</v>
      </c>
      <c r="H6422" t="n">
        <v>0</v>
      </c>
      <c r="I6422" t="n">
        <v>0</v>
      </c>
      <c r="J6422" t="n">
        <v>0</v>
      </c>
      <c r="K6422" t="n">
        <v>0</v>
      </c>
      <c r="L6422" t="n">
        <v>0</v>
      </c>
      <c r="M6422" t="n">
        <v>0</v>
      </c>
      <c r="N6422" t="n">
        <v>0</v>
      </c>
      <c r="O6422" t="n">
        <v>0</v>
      </c>
      <c r="P6422" t="n">
        <v>0</v>
      </c>
      <c r="Q6422" t="n">
        <v>0</v>
      </c>
      <c r="R6422" s="2" t="inlineStr"/>
    </row>
    <row r="6423" ht="15" customHeight="1">
      <c r="A6423" t="inlineStr">
        <is>
          <t>A 27641-2024</t>
        </is>
      </c>
      <c r="B6423" s="1" t="n">
        <v>45474.94694444445</v>
      </c>
      <c r="C6423" s="1" t="n">
        <v>46093</v>
      </c>
      <c r="D6423" t="inlineStr">
        <is>
          <t>VÄSTERNORRLANDS LÄN</t>
        </is>
      </c>
      <c r="E6423" t="inlineStr">
        <is>
          <t>SOLLEFTEÅ</t>
        </is>
      </c>
      <c r="F6423" t="inlineStr">
        <is>
          <t>SCA</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28438-2024</t>
        </is>
      </c>
      <c r="B6424" s="1" t="n">
        <v>45477</v>
      </c>
      <c r="C6424" s="1" t="n">
        <v>46093</v>
      </c>
      <c r="D6424" t="inlineStr">
        <is>
          <t>VÄSTERNORRLANDS LÄN</t>
        </is>
      </c>
      <c r="E6424" t="inlineStr">
        <is>
          <t>ÖRNSKÖLDSVIK</t>
        </is>
      </c>
      <c r="F6424" t="inlineStr">
        <is>
          <t>Holmen skog AB</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27661-2024</t>
        </is>
      </c>
      <c r="B6425" s="1" t="n">
        <v>45474.95365740741</v>
      </c>
      <c r="C6425" s="1" t="n">
        <v>46093</v>
      </c>
      <c r="D6425" t="inlineStr">
        <is>
          <t>VÄSTERNORRLANDS LÄN</t>
        </is>
      </c>
      <c r="E6425" t="inlineStr">
        <is>
          <t>ÅNGE</t>
        </is>
      </c>
      <c r="F6425" t="inlineStr">
        <is>
          <t>SCA</t>
        </is>
      </c>
      <c r="G6425" t="n">
        <v>19.1</v>
      </c>
      <c r="H6425" t="n">
        <v>0</v>
      </c>
      <c r="I6425" t="n">
        <v>0</v>
      </c>
      <c r="J6425" t="n">
        <v>0</v>
      </c>
      <c r="K6425" t="n">
        <v>0</v>
      </c>
      <c r="L6425" t="n">
        <v>0</v>
      </c>
      <c r="M6425" t="n">
        <v>0</v>
      </c>
      <c r="N6425" t="n">
        <v>0</v>
      </c>
      <c r="O6425" t="n">
        <v>0</v>
      </c>
      <c r="P6425" t="n">
        <v>0</v>
      </c>
      <c r="Q6425" t="n">
        <v>0</v>
      </c>
      <c r="R6425" s="2" t="inlineStr"/>
    </row>
    <row r="6426" ht="15" customHeight="1">
      <c r="A6426" t="inlineStr">
        <is>
          <t>A 49575-2025</t>
        </is>
      </c>
      <c r="B6426" s="1" t="n">
        <v>45939.49052083334</v>
      </c>
      <c r="C6426" s="1" t="n">
        <v>46093</v>
      </c>
      <c r="D6426" t="inlineStr">
        <is>
          <t>VÄSTERNORRLANDS LÄN</t>
        </is>
      </c>
      <c r="E6426" t="inlineStr">
        <is>
          <t>TIMRÅ</t>
        </is>
      </c>
      <c r="F6426" t="inlineStr">
        <is>
          <t>SCA</t>
        </is>
      </c>
      <c r="G6426" t="n">
        <v>8.5</v>
      </c>
      <c r="H6426" t="n">
        <v>0</v>
      </c>
      <c r="I6426" t="n">
        <v>0</v>
      </c>
      <c r="J6426" t="n">
        <v>0</v>
      </c>
      <c r="K6426" t="n">
        <v>0</v>
      </c>
      <c r="L6426" t="n">
        <v>0</v>
      </c>
      <c r="M6426" t="n">
        <v>0</v>
      </c>
      <c r="N6426" t="n">
        <v>0</v>
      </c>
      <c r="O6426" t="n">
        <v>0</v>
      </c>
      <c r="P6426" t="n">
        <v>0</v>
      </c>
      <c r="Q6426" t="n">
        <v>0</v>
      </c>
      <c r="R6426" s="2" t="inlineStr"/>
    </row>
    <row r="6427" ht="15" customHeight="1">
      <c r="A6427" t="inlineStr">
        <is>
          <t>A 49746-2025</t>
        </is>
      </c>
      <c r="B6427" s="1" t="n">
        <v>45940.34447916667</v>
      </c>
      <c r="C6427" s="1" t="n">
        <v>46093</v>
      </c>
      <c r="D6427" t="inlineStr">
        <is>
          <t>VÄSTERNORRLANDS LÄN</t>
        </is>
      </c>
      <c r="E6427" t="inlineStr">
        <is>
          <t>ÖRNSKÖLDSVIK</t>
        </is>
      </c>
      <c r="F6427" t="inlineStr">
        <is>
          <t>SCA</t>
        </is>
      </c>
      <c r="G6427" t="n">
        <v>4.5</v>
      </c>
      <c r="H6427" t="n">
        <v>0</v>
      </c>
      <c r="I6427" t="n">
        <v>0</v>
      </c>
      <c r="J6427" t="n">
        <v>0</v>
      </c>
      <c r="K6427" t="n">
        <v>0</v>
      </c>
      <c r="L6427" t="n">
        <v>0</v>
      </c>
      <c r="M6427" t="n">
        <v>0</v>
      </c>
      <c r="N6427" t="n">
        <v>0</v>
      </c>
      <c r="O6427" t="n">
        <v>0</v>
      </c>
      <c r="P6427" t="n">
        <v>0</v>
      </c>
      <c r="Q6427" t="n">
        <v>0</v>
      </c>
      <c r="R6427" s="2" t="inlineStr"/>
    </row>
    <row r="6428" ht="15" customHeight="1">
      <c r="A6428" t="inlineStr">
        <is>
          <t>A 49512-2025</t>
        </is>
      </c>
      <c r="B6428" s="1" t="n">
        <v>45939.38305555555</v>
      </c>
      <c r="C6428" s="1" t="n">
        <v>46093</v>
      </c>
      <c r="D6428" t="inlineStr">
        <is>
          <t>VÄSTERNORRLANDS LÄN</t>
        </is>
      </c>
      <c r="E6428" t="inlineStr">
        <is>
          <t>TIMRÅ</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49513-2025</t>
        </is>
      </c>
      <c r="B6429" s="1" t="n">
        <v>45939.38412037037</v>
      </c>
      <c r="C6429" s="1" t="n">
        <v>46093</v>
      </c>
      <c r="D6429" t="inlineStr">
        <is>
          <t>VÄSTERNORRLANDS LÄN</t>
        </is>
      </c>
      <c r="E6429" t="inlineStr">
        <is>
          <t>ÖRNSKÖLDSVIK</t>
        </is>
      </c>
      <c r="F6429" t="inlineStr">
        <is>
          <t>Holmen skog AB</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28462-2024</t>
        </is>
      </c>
      <c r="B6430" s="1" t="n">
        <v>45477.69827546296</v>
      </c>
      <c r="C6430" s="1" t="n">
        <v>46093</v>
      </c>
      <c r="D6430" t="inlineStr">
        <is>
          <t>VÄSTERNORRLANDS LÄN</t>
        </is>
      </c>
      <c r="E6430" t="inlineStr">
        <is>
          <t>ÖRNSKÖLDSVIK</t>
        </is>
      </c>
      <c r="F6430" t="inlineStr">
        <is>
          <t>Holmen skog AB</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51768-2021</t>
        </is>
      </c>
      <c r="B6431" s="1" t="n">
        <v>44462</v>
      </c>
      <c r="C6431" s="1" t="n">
        <v>46093</v>
      </c>
      <c r="D6431" t="inlineStr">
        <is>
          <t>VÄSTERNORRLANDS LÄN</t>
        </is>
      </c>
      <c r="E6431" t="inlineStr">
        <is>
          <t>SUNDSVALL</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49556-2025</t>
        </is>
      </c>
      <c r="B6432" s="1" t="n">
        <v>45939.45039351852</v>
      </c>
      <c r="C6432" s="1" t="n">
        <v>46093</v>
      </c>
      <c r="D6432" t="inlineStr">
        <is>
          <t>VÄSTERNORRLANDS LÄN</t>
        </is>
      </c>
      <c r="E6432" t="inlineStr">
        <is>
          <t>ÖRNSKÖLDSVIK</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49646-2025</t>
        </is>
      </c>
      <c r="B6433" s="1" t="n">
        <v>45939.61747685185</v>
      </c>
      <c r="C6433" s="1" t="n">
        <v>46093</v>
      </c>
      <c r="D6433" t="inlineStr">
        <is>
          <t>VÄSTERNORRLANDS LÄN</t>
        </is>
      </c>
      <c r="E6433" t="inlineStr">
        <is>
          <t>TIMRÅ</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50162-2025</t>
        </is>
      </c>
      <c r="B6434" s="1" t="n">
        <v>45943.58706018519</v>
      </c>
      <c r="C6434" s="1" t="n">
        <v>46093</v>
      </c>
      <c r="D6434" t="inlineStr">
        <is>
          <t>VÄSTERNORRLANDS LÄN</t>
        </is>
      </c>
      <c r="E6434" t="inlineStr">
        <is>
          <t>ÖRNSKÖLDSVIK</t>
        </is>
      </c>
      <c r="F6434" t="inlineStr">
        <is>
          <t>Holmen skog AB</t>
        </is>
      </c>
      <c r="G6434" t="n">
        <v>10.1</v>
      </c>
      <c r="H6434" t="n">
        <v>0</v>
      </c>
      <c r="I6434" t="n">
        <v>0</v>
      </c>
      <c r="J6434" t="n">
        <v>0</v>
      </c>
      <c r="K6434" t="n">
        <v>0</v>
      </c>
      <c r="L6434" t="n">
        <v>0</v>
      </c>
      <c r="M6434" t="n">
        <v>0</v>
      </c>
      <c r="N6434" t="n">
        <v>0</v>
      </c>
      <c r="O6434" t="n">
        <v>0</v>
      </c>
      <c r="P6434" t="n">
        <v>0</v>
      </c>
      <c r="Q6434" t="n">
        <v>0</v>
      </c>
      <c r="R6434" s="2" t="inlineStr"/>
    </row>
    <row r="6435" ht="15" customHeight="1">
      <c r="A6435" t="inlineStr">
        <is>
          <t>A 18646-2025</t>
        </is>
      </c>
      <c r="B6435" s="1" t="n">
        <v>45763</v>
      </c>
      <c r="C6435" s="1" t="n">
        <v>46093</v>
      </c>
      <c r="D6435" t="inlineStr">
        <is>
          <t>VÄSTERNORRLANDS LÄN</t>
        </is>
      </c>
      <c r="E6435" t="inlineStr">
        <is>
          <t>KRAMFORS</t>
        </is>
      </c>
      <c r="F6435" t="inlineStr">
        <is>
          <t>SCA</t>
        </is>
      </c>
      <c r="G6435" t="n">
        <v>6.3</v>
      </c>
      <c r="H6435" t="n">
        <v>0</v>
      </c>
      <c r="I6435" t="n">
        <v>0</v>
      </c>
      <c r="J6435" t="n">
        <v>0</v>
      </c>
      <c r="K6435" t="n">
        <v>0</v>
      </c>
      <c r="L6435" t="n">
        <v>0</v>
      </c>
      <c r="M6435" t="n">
        <v>0</v>
      </c>
      <c r="N6435" t="n">
        <v>0</v>
      </c>
      <c r="O6435" t="n">
        <v>0</v>
      </c>
      <c r="P6435" t="n">
        <v>0</v>
      </c>
      <c r="Q6435" t="n">
        <v>0</v>
      </c>
      <c r="R6435" s="2" t="inlineStr"/>
    </row>
    <row r="6436" ht="15" customHeight="1">
      <c r="A6436" t="inlineStr">
        <is>
          <t>A 18652-2025</t>
        </is>
      </c>
      <c r="B6436" s="1" t="n">
        <v>45763.5746412037</v>
      </c>
      <c r="C6436" s="1" t="n">
        <v>46093</v>
      </c>
      <c r="D6436" t="inlineStr">
        <is>
          <t>VÄSTERNORRLANDS LÄN</t>
        </is>
      </c>
      <c r="E6436" t="inlineStr">
        <is>
          <t>KRAMFORS</t>
        </is>
      </c>
      <c r="F6436" t="inlineStr">
        <is>
          <t>SCA</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8518-2024</t>
        </is>
      </c>
      <c r="B6437" s="1" t="n">
        <v>45351</v>
      </c>
      <c r="C6437" s="1" t="n">
        <v>46093</v>
      </c>
      <c r="D6437" t="inlineStr">
        <is>
          <t>VÄSTERNORRLANDS LÄN</t>
        </is>
      </c>
      <c r="E6437" t="inlineStr">
        <is>
          <t>SUNDSVALL</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50401-2025</t>
        </is>
      </c>
      <c r="B6438" s="1" t="n">
        <v>45944.63585648148</v>
      </c>
      <c r="C6438" s="1" t="n">
        <v>46093</v>
      </c>
      <c r="D6438" t="inlineStr">
        <is>
          <t>VÄSTERNORRLANDS LÄN</t>
        </is>
      </c>
      <c r="E6438" t="inlineStr">
        <is>
          <t>SUNDSVALL</t>
        </is>
      </c>
      <c r="F6438" t="inlineStr">
        <is>
          <t>SCA</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29459-2024</t>
        </is>
      </c>
      <c r="B6439" s="1" t="n">
        <v>45483.96939814815</v>
      </c>
      <c r="C6439" s="1" t="n">
        <v>46093</v>
      </c>
      <c r="D6439" t="inlineStr">
        <is>
          <t>VÄSTERNORRLANDS LÄN</t>
        </is>
      </c>
      <c r="E6439" t="inlineStr">
        <is>
          <t>SOLLEFTEÅ</t>
        </is>
      </c>
      <c r="F6439" t="inlineStr">
        <is>
          <t>SCA</t>
        </is>
      </c>
      <c r="G6439" t="n">
        <v>2.6</v>
      </c>
      <c r="H6439" t="n">
        <v>0</v>
      </c>
      <c r="I6439" t="n">
        <v>0</v>
      </c>
      <c r="J6439" t="n">
        <v>0</v>
      </c>
      <c r="K6439" t="n">
        <v>0</v>
      </c>
      <c r="L6439" t="n">
        <v>0</v>
      </c>
      <c r="M6439" t="n">
        <v>0</v>
      </c>
      <c r="N6439" t="n">
        <v>0</v>
      </c>
      <c r="O6439" t="n">
        <v>0</v>
      </c>
      <c r="P6439" t="n">
        <v>0</v>
      </c>
      <c r="Q6439" t="n">
        <v>0</v>
      </c>
      <c r="R6439" s="2" t="inlineStr"/>
    </row>
    <row r="6440" ht="15" customHeight="1">
      <c r="A6440" t="inlineStr">
        <is>
          <t>A 55851-2024</t>
        </is>
      </c>
      <c r="B6440" s="1" t="n">
        <v>45623.51140046296</v>
      </c>
      <c r="C6440" s="1" t="n">
        <v>46093</v>
      </c>
      <c r="D6440" t="inlineStr">
        <is>
          <t>VÄSTERNORRLANDS LÄN</t>
        </is>
      </c>
      <c r="E6440" t="inlineStr">
        <is>
          <t>SOLLEFTEÅ</t>
        </is>
      </c>
      <c r="G6440" t="n">
        <v>2.5</v>
      </c>
      <c r="H6440" t="n">
        <v>0</v>
      </c>
      <c r="I6440" t="n">
        <v>0</v>
      </c>
      <c r="J6440" t="n">
        <v>0</v>
      </c>
      <c r="K6440" t="n">
        <v>0</v>
      </c>
      <c r="L6440" t="n">
        <v>0</v>
      </c>
      <c r="M6440" t="n">
        <v>0</v>
      </c>
      <c r="N6440" t="n">
        <v>0</v>
      </c>
      <c r="O6440" t="n">
        <v>0</v>
      </c>
      <c r="P6440" t="n">
        <v>0</v>
      </c>
      <c r="Q6440" t="n">
        <v>0</v>
      </c>
      <c r="R6440" s="2" t="inlineStr"/>
    </row>
    <row r="6441" ht="15" customHeight="1">
      <c r="A6441" t="inlineStr">
        <is>
          <t>A 50229-2025</t>
        </is>
      </c>
      <c r="B6441" s="1" t="n">
        <v>45943.69855324074</v>
      </c>
      <c r="C6441" s="1" t="n">
        <v>46093</v>
      </c>
      <c r="D6441" t="inlineStr">
        <is>
          <t>VÄSTERNORRLANDS LÄN</t>
        </is>
      </c>
      <c r="E6441" t="inlineStr">
        <is>
          <t>SOLLEFTEÅ</t>
        </is>
      </c>
      <c r="F6441" t="inlineStr">
        <is>
          <t>SCA</t>
        </is>
      </c>
      <c r="G6441" t="n">
        <v>10.1</v>
      </c>
      <c r="H6441" t="n">
        <v>0</v>
      </c>
      <c r="I6441" t="n">
        <v>0</v>
      </c>
      <c r="J6441" t="n">
        <v>0</v>
      </c>
      <c r="K6441" t="n">
        <v>0</v>
      </c>
      <c r="L6441" t="n">
        <v>0</v>
      </c>
      <c r="M6441" t="n">
        <v>0</v>
      </c>
      <c r="N6441" t="n">
        <v>0</v>
      </c>
      <c r="O6441" t="n">
        <v>0</v>
      </c>
      <c r="P6441" t="n">
        <v>0</v>
      </c>
      <c r="Q6441" t="n">
        <v>0</v>
      </c>
      <c r="R6441" s="2" t="inlineStr"/>
    </row>
    <row r="6442" ht="15" customHeight="1">
      <c r="A6442" t="inlineStr">
        <is>
          <t>A 54688-2024</t>
        </is>
      </c>
      <c r="B6442" s="1" t="n">
        <v>45618</v>
      </c>
      <c r="C6442" s="1" t="n">
        <v>46093</v>
      </c>
      <c r="D6442" t="inlineStr">
        <is>
          <t>VÄSTERNORRLANDS LÄN</t>
        </is>
      </c>
      <c r="E6442" t="inlineStr">
        <is>
          <t>ÖRNSKÖLDSVIK</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47944-2022</t>
        </is>
      </c>
      <c r="B6443" s="1" t="n">
        <v>44853</v>
      </c>
      <c r="C6443" s="1" t="n">
        <v>46093</v>
      </c>
      <c r="D6443" t="inlineStr">
        <is>
          <t>VÄSTERNORRLANDS LÄN</t>
        </is>
      </c>
      <c r="E6443" t="inlineStr">
        <is>
          <t>HÄRNÖSAND</t>
        </is>
      </c>
      <c r="G6443" t="n">
        <v>7.6</v>
      </c>
      <c r="H6443" t="n">
        <v>0</v>
      </c>
      <c r="I6443" t="n">
        <v>0</v>
      </c>
      <c r="J6443" t="n">
        <v>0</v>
      </c>
      <c r="K6443" t="n">
        <v>0</v>
      </c>
      <c r="L6443" t="n">
        <v>0</v>
      </c>
      <c r="M6443" t="n">
        <v>0</v>
      </c>
      <c r="N6443" t="n">
        <v>0</v>
      </c>
      <c r="O6443" t="n">
        <v>0</v>
      </c>
      <c r="P6443" t="n">
        <v>0</v>
      </c>
      <c r="Q6443" t="n">
        <v>0</v>
      </c>
      <c r="R6443" s="2" t="inlineStr"/>
    </row>
    <row r="6444" ht="15" customHeight="1">
      <c r="A6444" t="inlineStr">
        <is>
          <t>A 50674-2024</t>
        </is>
      </c>
      <c r="B6444" s="1" t="n">
        <v>45601.85402777778</v>
      </c>
      <c r="C6444" s="1" t="n">
        <v>46093</v>
      </c>
      <c r="D6444" t="inlineStr">
        <is>
          <t>VÄSTERNORRLANDS LÄN</t>
        </is>
      </c>
      <c r="E6444" t="inlineStr">
        <is>
          <t>ÅNGE</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54720-2024</t>
        </is>
      </c>
      <c r="B6445" s="1" t="n">
        <v>45618.43715277778</v>
      </c>
      <c r="C6445" s="1" t="n">
        <v>46093</v>
      </c>
      <c r="D6445" t="inlineStr">
        <is>
          <t>VÄSTERNORRLANDS LÄN</t>
        </is>
      </c>
      <c r="E6445" t="inlineStr">
        <is>
          <t>ÅNGE</t>
        </is>
      </c>
      <c r="F6445" t="inlineStr">
        <is>
          <t>SCA</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54798-2024</t>
        </is>
      </c>
      <c r="B6446" s="1" t="n">
        <v>45618.50070601852</v>
      </c>
      <c r="C6446" s="1" t="n">
        <v>46093</v>
      </c>
      <c r="D6446" t="inlineStr">
        <is>
          <t>VÄSTERNORRLANDS LÄN</t>
        </is>
      </c>
      <c r="E6446" t="inlineStr">
        <is>
          <t>ÖRNSKÖLDSVIK</t>
        </is>
      </c>
      <c r="F6446" t="inlineStr">
        <is>
          <t>Holmen skog AB</t>
        </is>
      </c>
      <c r="G6446" t="n">
        <v>2.8</v>
      </c>
      <c r="H6446" t="n">
        <v>0</v>
      </c>
      <c r="I6446" t="n">
        <v>0</v>
      </c>
      <c r="J6446" t="n">
        <v>0</v>
      </c>
      <c r="K6446" t="n">
        <v>0</v>
      </c>
      <c r="L6446" t="n">
        <v>0</v>
      </c>
      <c r="M6446" t="n">
        <v>0</v>
      </c>
      <c r="N6446" t="n">
        <v>0</v>
      </c>
      <c r="O6446" t="n">
        <v>0</v>
      </c>
      <c r="P6446" t="n">
        <v>0</v>
      </c>
      <c r="Q6446" t="n">
        <v>0</v>
      </c>
      <c r="R6446" s="2" t="inlineStr"/>
    </row>
    <row r="6447" ht="15" customHeight="1">
      <c r="A6447" t="inlineStr">
        <is>
          <t>A 50281-2025</t>
        </is>
      </c>
      <c r="B6447" s="1" t="n">
        <v>45944.38600694444</v>
      </c>
      <c r="C6447" s="1" t="n">
        <v>46093</v>
      </c>
      <c r="D6447" t="inlineStr">
        <is>
          <t>VÄSTERNORRLANDS LÄN</t>
        </is>
      </c>
      <c r="E6447" t="inlineStr">
        <is>
          <t>SOLLEFTEÅ</t>
        </is>
      </c>
      <c r="F6447" t="inlineStr">
        <is>
          <t>SCA</t>
        </is>
      </c>
      <c r="G6447" t="n">
        <v>29.2</v>
      </c>
      <c r="H6447" t="n">
        <v>0</v>
      </c>
      <c r="I6447" t="n">
        <v>0</v>
      </c>
      <c r="J6447" t="n">
        <v>0</v>
      </c>
      <c r="K6447" t="n">
        <v>0</v>
      </c>
      <c r="L6447" t="n">
        <v>0</v>
      </c>
      <c r="M6447" t="n">
        <v>0</v>
      </c>
      <c r="N6447" t="n">
        <v>0</v>
      </c>
      <c r="O6447" t="n">
        <v>0</v>
      </c>
      <c r="P6447" t="n">
        <v>0</v>
      </c>
      <c r="Q6447" t="n">
        <v>0</v>
      </c>
      <c r="R6447" s="2" t="inlineStr"/>
    </row>
    <row r="6448" ht="15" customHeight="1">
      <c r="A6448" t="inlineStr">
        <is>
          <t>A 54806-2024</t>
        </is>
      </c>
      <c r="B6448" s="1" t="n">
        <v>45618.51133101852</v>
      </c>
      <c r="C6448" s="1" t="n">
        <v>46093</v>
      </c>
      <c r="D6448" t="inlineStr">
        <is>
          <t>VÄSTERNORRLANDS LÄN</t>
        </is>
      </c>
      <c r="E6448" t="inlineStr">
        <is>
          <t>SOLLEFTEÅ</t>
        </is>
      </c>
      <c r="F6448" t="inlineStr">
        <is>
          <t>SCA</t>
        </is>
      </c>
      <c r="G6448" t="n">
        <v>4.7</v>
      </c>
      <c r="H6448" t="n">
        <v>0</v>
      </c>
      <c r="I6448" t="n">
        <v>0</v>
      </c>
      <c r="J6448" t="n">
        <v>0</v>
      </c>
      <c r="K6448" t="n">
        <v>0</v>
      </c>
      <c r="L6448" t="n">
        <v>0</v>
      </c>
      <c r="M6448" t="n">
        <v>0</v>
      </c>
      <c r="N6448" t="n">
        <v>0</v>
      </c>
      <c r="O6448" t="n">
        <v>0</v>
      </c>
      <c r="P6448" t="n">
        <v>0</v>
      </c>
      <c r="Q6448" t="n">
        <v>0</v>
      </c>
      <c r="R6448" s="2" t="inlineStr"/>
    </row>
    <row r="6449" ht="15" customHeight="1">
      <c r="A6449" t="inlineStr">
        <is>
          <t>A 37053-2025</t>
        </is>
      </c>
      <c r="B6449" s="1" t="n">
        <v>45875.36493055556</v>
      </c>
      <c r="C6449" s="1" t="n">
        <v>46093</v>
      </c>
      <c r="D6449" t="inlineStr">
        <is>
          <t>VÄSTERNORRLANDS LÄN</t>
        </is>
      </c>
      <c r="E6449" t="inlineStr">
        <is>
          <t>SOLLEFTEÅ</t>
        </is>
      </c>
      <c r="F6449" t="inlineStr">
        <is>
          <t>SCA</t>
        </is>
      </c>
      <c r="G6449" t="n">
        <v>2.3</v>
      </c>
      <c r="H6449" t="n">
        <v>0</v>
      </c>
      <c r="I6449" t="n">
        <v>0</v>
      </c>
      <c r="J6449" t="n">
        <v>0</v>
      </c>
      <c r="K6449" t="n">
        <v>0</v>
      </c>
      <c r="L6449" t="n">
        <v>0</v>
      </c>
      <c r="M6449" t="n">
        <v>0</v>
      </c>
      <c r="N6449" t="n">
        <v>0</v>
      </c>
      <c r="O6449" t="n">
        <v>0</v>
      </c>
      <c r="P6449" t="n">
        <v>0</v>
      </c>
      <c r="Q6449" t="n">
        <v>0</v>
      </c>
      <c r="R6449" s="2" t="inlineStr"/>
    </row>
    <row r="6450" ht="15" customHeight="1">
      <c r="A6450" t="inlineStr">
        <is>
          <t>A 37126-2025</t>
        </is>
      </c>
      <c r="B6450" s="1" t="n">
        <v>45875.52920138889</v>
      </c>
      <c r="C6450" s="1" t="n">
        <v>46093</v>
      </c>
      <c r="D6450" t="inlineStr">
        <is>
          <t>VÄSTERNORRLANDS LÄN</t>
        </is>
      </c>
      <c r="E6450" t="inlineStr">
        <is>
          <t>KRAMFORS</t>
        </is>
      </c>
      <c r="G6450" t="n">
        <v>6.3</v>
      </c>
      <c r="H6450" t="n">
        <v>0</v>
      </c>
      <c r="I6450" t="n">
        <v>0</v>
      </c>
      <c r="J6450" t="n">
        <v>0</v>
      </c>
      <c r="K6450" t="n">
        <v>0</v>
      </c>
      <c r="L6450" t="n">
        <v>0</v>
      </c>
      <c r="M6450" t="n">
        <v>0</v>
      </c>
      <c r="N6450" t="n">
        <v>0</v>
      </c>
      <c r="O6450" t="n">
        <v>0</v>
      </c>
      <c r="P6450" t="n">
        <v>0</v>
      </c>
      <c r="Q6450" t="n">
        <v>0</v>
      </c>
      <c r="R6450" s="2" t="inlineStr"/>
    </row>
    <row r="6451" ht="15" customHeight="1">
      <c r="A6451" t="inlineStr">
        <is>
          <t>A 50405-2025</t>
        </is>
      </c>
      <c r="B6451" s="1" t="n">
        <v>45944.63644675926</v>
      </c>
      <c r="C6451" s="1" t="n">
        <v>46093</v>
      </c>
      <c r="D6451" t="inlineStr">
        <is>
          <t>VÄSTERNORRLANDS LÄN</t>
        </is>
      </c>
      <c r="E6451" t="inlineStr">
        <is>
          <t>SUNDSVALL</t>
        </is>
      </c>
      <c r="F6451" t="inlineStr">
        <is>
          <t>SCA</t>
        </is>
      </c>
      <c r="G6451" t="n">
        <v>6.9</v>
      </c>
      <c r="H6451" t="n">
        <v>0</v>
      </c>
      <c r="I6451" t="n">
        <v>0</v>
      </c>
      <c r="J6451" t="n">
        <v>0</v>
      </c>
      <c r="K6451" t="n">
        <v>0</v>
      </c>
      <c r="L6451" t="n">
        <v>0</v>
      </c>
      <c r="M6451" t="n">
        <v>0</v>
      </c>
      <c r="N6451" t="n">
        <v>0</v>
      </c>
      <c r="O6451" t="n">
        <v>0</v>
      </c>
      <c r="P6451" t="n">
        <v>0</v>
      </c>
      <c r="Q6451" t="n">
        <v>0</v>
      </c>
      <c r="R6451" s="2" t="inlineStr"/>
    </row>
    <row r="6452" ht="15" customHeight="1">
      <c r="A6452" t="inlineStr">
        <is>
          <t>A 50407-2025</t>
        </is>
      </c>
      <c r="B6452" s="1" t="n">
        <v>45944.63677083333</v>
      </c>
      <c r="C6452" s="1" t="n">
        <v>46093</v>
      </c>
      <c r="D6452" t="inlineStr">
        <is>
          <t>VÄSTERNORRLANDS LÄN</t>
        </is>
      </c>
      <c r="E6452" t="inlineStr">
        <is>
          <t>SUNDSVALL</t>
        </is>
      </c>
      <c r="F6452" t="inlineStr">
        <is>
          <t>SCA</t>
        </is>
      </c>
      <c r="G6452" t="n">
        <v>4</v>
      </c>
      <c r="H6452" t="n">
        <v>0</v>
      </c>
      <c r="I6452" t="n">
        <v>0</v>
      </c>
      <c r="J6452" t="n">
        <v>0</v>
      </c>
      <c r="K6452" t="n">
        <v>0</v>
      </c>
      <c r="L6452" t="n">
        <v>0</v>
      </c>
      <c r="M6452" t="n">
        <v>0</v>
      </c>
      <c r="N6452" t="n">
        <v>0</v>
      </c>
      <c r="O6452" t="n">
        <v>0</v>
      </c>
      <c r="P6452" t="n">
        <v>0</v>
      </c>
      <c r="Q6452" t="n">
        <v>0</v>
      </c>
      <c r="R6452" s="2" t="inlineStr"/>
    </row>
    <row r="6453" ht="15" customHeight="1">
      <c r="A6453" t="inlineStr">
        <is>
          <t>A 50153-2025</t>
        </is>
      </c>
      <c r="B6453" s="1" t="n">
        <v>45943.57528935185</v>
      </c>
      <c r="C6453" s="1" t="n">
        <v>46093</v>
      </c>
      <c r="D6453" t="inlineStr">
        <is>
          <t>VÄSTERNORRLANDS LÄN</t>
        </is>
      </c>
      <c r="E6453" t="inlineStr">
        <is>
          <t>KRAMFORS</t>
        </is>
      </c>
      <c r="G6453" t="n">
        <v>6.9</v>
      </c>
      <c r="H6453" t="n">
        <v>0</v>
      </c>
      <c r="I6453" t="n">
        <v>0</v>
      </c>
      <c r="J6453" t="n">
        <v>0</v>
      </c>
      <c r="K6453" t="n">
        <v>0</v>
      </c>
      <c r="L6453" t="n">
        <v>0</v>
      </c>
      <c r="M6453" t="n">
        <v>0</v>
      </c>
      <c r="N6453" t="n">
        <v>0</v>
      </c>
      <c r="O6453" t="n">
        <v>0</v>
      </c>
      <c r="P6453" t="n">
        <v>0</v>
      </c>
      <c r="Q6453" t="n">
        <v>0</v>
      </c>
      <c r="R6453" s="2" t="inlineStr"/>
    </row>
    <row r="6454" ht="15" customHeight="1">
      <c r="A6454" t="inlineStr">
        <is>
          <t>A 10312-2024</t>
        </is>
      </c>
      <c r="B6454" s="1" t="n">
        <v>45365</v>
      </c>
      <c r="C6454" s="1" t="n">
        <v>46093</v>
      </c>
      <c r="D6454" t="inlineStr">
        <is>
          <t>VÄSTERNORRLANDS LÄN</t>
        </is>
      </c>
      <c r="E6454" t="inlineStr">
        <is>
          <t>KRAMFORS</t>
        </is>
      </c>
      <c r="G6454" t="n">
        <v>0.4</v>
      </c>
      <c r="H6454" t="n">
        <v>0</v>
      </c>
      <c r="I6454" t="n">
        <v>0</v>
      </c>
      <c r="J6454" t="n">
        <v>0</v>
      </c>
      <c r="K6454" t="n">
        <v>0</v>
      </c>
      <c r="L6454" t="n">
        <v>0</v>
      </c>
      <c r="M6454" t="n">
        <v>0</v>
      </c>
      <c r="N6454" t="n">
        <v>0</v>
      </c>
      <c r="O6454" t="n">
        <v>0</v>
      </c>
      <c r="P6454" t="n">
        <v>0</v>
      </c>
      <c r="Q6454" t="n">
        <v>0</v>
      </c>
      <c r="R6454" s="2" t="inlineStr"/>
    </row>
    <row r="6455" ht="15" customHeight="1">
      <c r="A6455" t="inlineStr">
        <is>
          <t>A 10314-2024</t>
        </is>
      </c>
      <c r="B6455" s="1" t="n">
        <v>45365</v>
      </c>
      <c r="C6455" s="1" t="n">
        <v>46093</v>
      </c>
      <c r="D6455" t="inlineStr">
        <is>
          <t>VÄSTERNORRLANDS LÄN</t>
        </is>
      </c>
      <c r="E6455" t="inlineStr">
        <is>
          <t>HÄRNÖSAND</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18696-2025</t>
        </is>
      </c>
      <c r="B6456" s="1" t="n">
        <v>45763.61578703704</v>
      </c>
      <c r="C6456" s="1" t="n">
        <v>46093</v>
      </c>
      <c r="D6456" t="inlineStr">
        <is>
          <t>VÄSTERNORRLANDS LÄN</t>
        </is>
      </c>
      <c r="E6456" t="inlineStr">
        <is>
          <t>SOLLEFTEÅ</t>
        </is>
      </c>
      <c r="F6456" t="inlineStr">
        <is>
          <t>SCA</t>
        </is>
      </c>
      <c r="G6456" t="n">
        <v>11.4</v>
      </c>
      <c r="H6456" t="n">
        <v>0</v>
      </c>
      <c r="I6456" t="n">
        <v>0</v>
      </c>
      <c r="J6456" t="n">
        <v>0</v>
      </c>
      <c r="K6456" t="n">
        <v>0</v>
      </c>
      <c r="L6456" t="n">
        <v>0</v>
      </c>
      <c r="M6456" t="n">
        <v>0</v>
      </c>
      <c r="N6456" t="n">
        <v>0</v>
      </c>
      <c r="O6456" t="n">
        <v>0</v>
      </c>
      <c r="P6456" t="n">
        <v>0</v>
      </c>
      <c r="Q6456" t="n">
        <v>0</v>
      </c>
      <c r="R6456" s="2" t="inlineStr"/>
    </row>
    <row r="6457" ht="15" customHeight="1">
      <c r="A6457" t="inlineStr">
        <is>
          <t>A 3966-2023</t>
        </is>
      </c>
      <c r="B6457" s="1" t="n">
        <v>44952</v>
      </c>
      <c r="C6457" s="1" t="n">
        <v>46093</v>
      </c>
      <c r="D6457" t="inlineStr">
        <is>
          <t>VÄSTERNORRLANDS LÄN</t>
        </is>
      </c>
      <c r="E6457" t="inlineStr">
        <is>
          <t>ÖRNSKÖLDSVIK</t>
        </is>
      </c>
      <c r="F6457" t="inlineStr">
        <is>
          <t>Holmen skog AB</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8880-2023</t>
        </is>
      </c>
      <c r="B6458" s="1" t="n">
        <v>44978.94346064814</v>
      </c>
      <c r="C6458" s="1" t="n">
        <v>46093</v>
      </c>
      <c r="D6458" t="inlineStr">
        <is>
          <t>VÄSTERNORRLANDS LÄN</t>
        </is>
      </c>
      <c r="E6458" t="inlineStr">
        <is>
          <t>SOLLEFTEÅ</t>
        </is>
      </c>
      <c r="F6458" t="inlineStr">
        <is>
          <t>SCA</t>
        </is>
      </c>
      <c r="G6458" t="n">
        <v>2.4</v>
      </c>
      <c r="H6458" t="n">
        <v>0</v>
      </c>
      <c r="I6458" t="n">
        <v>0</v>
      </c>
      <c r="J6458" t="n">
        <v>0</v>
      </c>
      <c r="K6458" t="n">
        <v>0</v>
      </c>
      <c r="L6458" t="n">
        <v>0</v>
      </c>
      <c r="M6458" t="n">
        <v>0</v>
      </c>
      <c r="N6458" t="n">
        <v>0</v>
      </c>
      <c r="O6458" t="n">
        <v>0</v>
      </c>
      <c r="P6458" t="n">
        <v>0</v>
      </c>
      <c r="Q6458" t="n">
        <v>0</v>
      </c>
      <c r="R6458" s="2" t="inlineStr"/>
    </row>
    <row r="6459" ht="15" customHeight="1">
      <c r="A6459" t="inlineStr">
        <is>
          <t>A 50294-2025</t>
        </is>
      </c>
      <c r="B6459" s="1" t="n">
        <v>45944.408125</v>
      </c>
      <c r="C6459" s="1" t="n">
        <v>46093</v>
      </c>
      <c r="D6459" t="inlineStr">
        <is>
          <t>VÄSTERNORRLANDS LÄN</t>
        </is>
      </c>
      <c r="E6459" t="inlineStr">
        <is>
          <t>SUNDSVALL</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50067-2025</t>
        </is>
      </c>
      <c r="B6460" s="1" t="n">
        <v>45943</v>
      </c>
      <c r="C6460" s="1" t="n">
        <v>46093</v>
      </c>
      <c r="D6460" t="inlineStr">
        <is>
          <t>VÄSTERNORRLANDS LÄN</t>
        </is>
      </c>
      <c r="E6460" t="inlineStr">
        <is>
          <t>ÖRNSKÖLDSVIK</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50404-2025</t>
        </is>
      </c>
      <c r="B6461" s="1" t="n">
        <v>45944.63642361111</v>
      </c>
      <c r="C6461" s="1" t="n">
        <v>46093</v>
      </c>
      <c r="D6461" t="inlineStr">
        <is>
          <t>VÄSTERNORRLANDS LÄN</t>
        </is>
      </c>
      <c r="E6461" t="inlineStr">
        <is>
          <t>ÖRNSKÖLDSVIK</t>
        </is>
      </c>
      <c r="F6461" t="inlineStr">
        <is>
          <t>Holmen skog AB</t>
        </is>
      </c>
      <c r="G6461" t="n">
        <v>0.5</v>
      </c>
      <c r="H6461" t="n">
        <v>0</v>
      </c>
      <c r="I6461" t="n">
        <v>0</v>
      </c>
      <c r="J6461" t="n">
        <v>0</v>
      </c>
      <c r="K6461" t="n">
        <v>0</v>
      </c>
      <c r="L6461" t="n">
        <v>0</v>
      </c>
      <c r="M6461" t="n">
        <v>0</v>
      </c>
      <c r="N6461" t="n">
        <v>0</v>
      </c>
      <c r="O6461" t="n">
        <v>0</v>
      </c>
      <c r="P6461" t="n">
        <v>0</v>
      </c>
      <c r="Q6461" t="n">
        <v>0</v>
      </c>
      <c r="R6461" s="2" t="inlineStr"/>
    </row>
    <row r="6462" ht="15" customHeight="1">
      <c r="A6462" t="inlineStr">
        <is>
          <t>A 53289-2024</t>
        </is>
      </c>
      <c r="B6462" s="1" t="n">
        <v>45614.38622685185</v>
      </c>
      <c r="C6462" s="1" t="n">
        <v>46093</v>
      </c>
      <c r="D6462" t="inlineStr">
        <is>
          <t>VÄSTERNORRLANDS LÄN</t>
        </is>
      </c>
      <c r="E6462" t="inlineStr">
        <is>
          <t>TIMRÅ</t>
        </is>
      </c>
      <c r="F6462" t="inlineStr">
        <is>
          <t>SCA</t>
        </is>
      </c>
      <c r="G6462" t="n">
        <v>7.8</v>
      </c>
      <c r="H6462" t="n">
        <v>0</v>
      </c>
      <c r="I6462" t="n">
        <v>0</v>
      </c>
      <c r="J6462" t="n">
        <v>0</v>
      </c>
      <c r="K6462" t="n">
        <v>0</v>
      </c>
      <c r="L6462" t="n">
        <v>0</v>
      </c>
      <c r="M6462" t="n">
        <v>0</v>
      </c>
      <c r="N6462" t="n">
        <v>0</v>
      </c>
      <c r="O6462" t="n">
        <v>0</v>
      </c>
      <c r="P6462" t="n">
        <v>0</v>
      </c>
      <c r="Q6462" t="n">
        <v>0</v>
      </c>
      <c r="R6462" s="2" t="inlineStr"/>
    </row>
    <row r="6463" ht="15" customHeight="1">
      <c r="A6463" t="inlineStr">
        <is>
          <t>A 11468-2024</t>
        </is>
      </c>
      <c r="B6463" s="1" t="n">
        <v>45372.59917824074</v>
      </c>
      <c r="C6463" s="1" t="n">
        <v>46093</v>
      </c>
      <c r="D6463" t="inlineStr">
        <is>
          <t>VÄSTERNORRLANDS LÄN</t>
        </is>
      </c>
      <c r="E6463" t="inlineStr">
        <is>
          <t>ÖRNSKÖLDSVIK</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53292-2024</t>
        </is>
      </c>
      <c r="B6464" s="1" t="n">
        <v>45614.38694444444</v>
      </c>
      <c r="C6464" s="1" t="n">
        <v>46093</v>
      </c>
      <c r="D6464" t="inlineStr">
        <is>
          <t>VÄSTERNORRLANDS LÄN</t>
        </is>
      </c>
      <c r="E6464" t="inlineStr">
        <is>
          <t>TIMRÅ</t>
        </is>
      </c>
      <c r="F6464" t="inlineStr">
        <is>
          <t>SCA</t>
        </is>
      </c>
      <c r="G6464" t="n">
        <v>6.9</v>
      </c>
      <c r="H6464" t="n">
        <v>0</v>
      </c>
      <c r="I6464" t="n">
        <v>0</v>
      </c>
      <c r="J6464" t="n">
        <v>0</v>
      </c>
      <c r="K6464" t="n">
        <v>0</v>
      </c>
      <c r="L6464" t="n">
        <v>0</v>
      </c>
      <c r="M6464" t="n">
        <v>0</v>
      </c>
      <c r="N6464" t="n">
        <v>0</v>
      </c>
      <c r="O6464" t="n">
        <v>0</v>
      </c>
      <c r="P6464" t="n">
        <v>0</v>
      </c>
      <c r="Q6464" t="n">
        <v>0</v>
      </c>
      <c r="R6464" s="2" t="inlineStr"/>
    </row>
    <row r="6465" ht="15" customHeight="1">
      <c r="A6465" t="inlineStr">
        <is>
          <t>A 50210-2025</t>
        </is>
      </c>
      <c r="B6465" s="1" t="n">
        <v>45943.67379629629</v>
      </c>
      <c r="C6465" s="1" t="n">
        <v>46093</v>
      </c>
      <c r="D6465" t="inlineStr">
        <is>
          <t>VÄSTERNORRLANDS LÄN</t>
        </is>
      </c>
      <c r="E6465" t="inlineStr">
        <is>
          <t>ÅNGE</t>
        </is>
      </c>
      <c r="G6465" t="n">
        <v>2.5</v>
      </c>
      <c r="H6465" t="n">
        <v>0</v>
      </c>
      <c r="I6465" t="n">
        <v>0</v>
      </c>
      <c r="J6465" t="n">
        <v>0</v>
      </c>
      <c r="K6465" t="n">
        <v>0</v>
      </c>
      <c r="L6465" t="n">
        <v>0</v>
      </c>
      <c r="M6465" t="n">
        <v>0</v>
      </c>
      <c r="N6465" t="n">
        <v>0</v>
      </c>
      <c r="O6465" t="n">
        <v>0</v>
      </c>
      <c r="P6465" t="n">
        <v>0</v>
      </c>
      <c r="Q6465" t="n">
        <v>0</v>
      </c>
      <c r="R6465" s="2" t="inlineStr"/>
    </row>
    <row r="6466" ht="15" customHeight="1">
      <c r="A6466" t="inlineStr">
        <is>
          <t>A 52376-2024</t>
        </is>
      </c>
      <c r="B6466" s="1" t="n">
        <v>45609.40081018519</v>
      </c>
      <c r="C6466" s="1" t="n">
        <v>46093</v>
      </c>
      <c r="D6466" t="inlineStr">
        <is>
          <t>VÄSTERNORRLANDS LÄN</t>
        </is>
      </c>
      <c r="E6466" t="inlineStr">
        <is>
          <t>ÖRNSKÖLDSVIK</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5649-2022</t>
        </is>
      </c>
      <c r="B6467" s="1" t="n">
        <v>44595.92520833333</v>
      </c>
      <c r="C6467" s="1" t="n">
        <v>46093</v>
      </c>
      <c r="D6467" t="inlineStr">
        <is>
          <t>VÄSTERNORRLANDS LÄN</t>
        </is>
      </c>
      <c r="E6467" t="inlineStr">
        <is>
          <t>TIMRÅ</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6068-2024</t>
        </is>
      </c>
      <c r="B6468" s="1" t="n">
        <v>45336.89725694444</v>
      </c>
      <c r="C6468" s="1" t="n">
        <v>46093</v>
      </c>
      <c r="D6468" t="inlineStr">
        <is>
          <t>VÄSTERNORRLANDS LÄN</t>
        </is>
      </c>
      <c r="E6468" t="inlineStr">
        <is>
          <t>SOLLEFTEÅ</t>
        </is>
      </c>
      <c r="F6468" t="inlineStr">
        <is>
          <t>Övriga Aktiebolag</t>
        </is>
      </c>
      <c r="G6468" t="n">
        <v>12.6</v>
      </c>
      <c r="H6468" t="n">
        <v>0</v>
      </c>
      <c r="I6468" t="n">
        <v>0</v>
      </c>
      <c r="J6468" t="n">
        <v>0</v>
      </c>
      <c r="K6468" t="n">
        <v>0</v>
      </c>
      <c r="L6468" t="n">
        <v>0</v>
      </c>
      <c r="M6468" t="n">
        <v>0</v>
      </c>
      <c r="N6468" t="n">
        <v>0</v>
      </c>
      <c r="O6468" t="n">
        <v>0</v>
      </c>
      <c r="P6468" t="n">
        <v>0</v>
      </c>
      <c r="Q6468" t="n">
        <v>0</v>
      </c>
      <c r="R6468" s="2" t="inlineStr"/>
    </row>
    <row r="6469" ht="15" customHeight="1">
      <c r="A6469" t="inlineStr">
        <is>
          <t>A 50245-2025</t>
        </is>
      </c>
      <c r="B6469" s="1" t="n">
        <v>45944.30101851852</v>
      </c>
      <c r="C6469" s="1" t="n">
        <v>46093</v>
      </c>
      <c r="D6469" t="inlineStr">
        <is>
          <t>VÄSTERNORRLANDS LÄN</t>
        </is>
      </c>
      <c r="E6469" t="inlineStr">
        <is>
          <t>SOLLEFTEÅ</t>
        </is>
      </c>
      <c r="F6469" t="inlineStr">
        <is>
          <t>Holmen skog AB</t>
        </is>
      </c>
      <c r="G6469" t="n">
        <v>5.8</v>
      </c>
      <c r="H6469" t="n">
        <v>0</v>
      </c>
      <c r="I6469" t="n">
        <v>0</v>
      </c>
      <c r="J6469" t="n">
        <v>0</v>
      </c>
      <c r="K6469" t="n">
        <v>0</v>
      </c>
      <c r="L6469" t="n">
        <v>0</v>
      </c>
      <c r="M6469" t="n">
        <v>0</v>
      </c>
      <c r="N6469" t="n">
        <v>0</v>
      </c>
      <c r="O6469" t="n">
        <v>0</v>
      </c>
      <c r="P6469" t="n">
        <v>0</v>
      </c>
      <c r="Q6469" t="n">
        <v>0</v>
      </c>
      <c r="R6469" s="2" t="inlineStr"/>
    </row>
    <row r="6470" ht="15" customHeight="1">
      <c r="A6470" t="inlineStr">
        <is>
          <t>A 56442-2024</t>
        </is>
      </c>
      <c r="B6470" s="1" t="n">
        <v>45625</v>
      </c>
      <c r="C6470" s="1" t="n">
        <v>46093</v>
      </c>
      <c r="D6470" t="inlineStr">
        <is>
          <t>VÄSTERNORRLANDS LÄN</t>
        </is>
      </c>
      <c r="E6470" t="inlineStr">
        <is>
          <t>TIMRÅ</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50001-2025</t>
        </is>
      </c>
      <c r="B6471" s="1" t="n">
        <v>45943.34421296296</v>
      </c>
      <c r="C6471" s="1" t="n">
        <v>46093</v>
      </c>
      <c r="D6471" t="inlineStr">
        <is>
          <t>VÄSTERNORRLANDS LÄN</t>
        </is>
      </c>
      <c r="E6471" t="inlineStr">
        <is>
          <t>ÅNGE</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50122-2025</t>
        </is>
      </c>
      <c r="B6472" s="1" t="n">
        <v>45943.55063657407</v>
      </c>
      <c r="C6472" s="1" t="n">
        <v>46093</v>
      </c>
      <c r="D6472" t="inlineStr">
        <is>
          <t>VÄSTERNORRLANDS LÄN</t>
        </is>
      </c>
      <c r="E6472" t="inlineStr">
        <is>
          <t>TIMRÅ</t>
        </is>
      </c>
      <c r="G6472" t="n">
        <v>3</v>
      </c>
      <c r="H6472" t="n">
        <v>0</v>
      </c>
      <c r="I6472" t="n">
        <v>0</v>
      </c>
      <c r="J6472" t="n">
        <v>0</v>
      </c>
      <c r="K6472" t="n">
        <v>0</v>
      </c>
      <c r="L6472" t="n">
        <v>0</v>
      </c>
      <c r="M6472" t="n">
        <v>0</v>
      </c>
      <c r="N6472" t="n">
        <v>0</v>
      </c>
      <c r="O6472" t="n">
        <v>0</v>
      </c>
      <c r="P6472" t="n">
        <v>0</v>
      </c>
      <c r="Q6472" t="n">
        <v>0</v>
      </c>
      <c r="R6472" s="2" t="inlineStr"/>
    </row>
    <row r="6473" ht="15" customHeight="1">
      <c r="A6473" t="inlineStr">
        <is>
          <t>A 51107-2023</t>
        </is>
      </c>
      <c r="B6473" s="1" t="n">
        <v>45218.92530092593</v>
      </c>
      <c r="C6473" s="1" t="n">
        <v>46093</v>
      </c>
      <c r="D6473" t="inlineStr">
        <is>
          <t>VÄSTERNORRLANDS LÄN</t>
        </is>
      </c>
      <c r="E6473" t="inlineStr">
        <is>
          <t>SOLLEFTEÅ</t>
        </is>
      </c>
      <c r="G6473" t="n">
        <v>4.6</v>
      </c>
      <c r="H6473" t="n">
        <v>0</v>
      </c>
      <c r="I6473" t="n">
        <v>0</v>
      </c>
      <c r="J6473" t="n">
        <v>0</v>
      </c>
      <c r="K6473" t="n">
        <v>0</v>
      </c>
      <c r="L6473" t="n">
        <v>0</v>
      </c>
      <c r="M6473" t="n">
        <v>0</v>
      </c>
      <c r="N6473" t="n">
        <v>0</v>
      </c>
      <c r="O6473" t="n">
        <v>0</v>
      </c>
      <c r="P6473" t="n">
        <v>0</v>
      </c>
      <c r="Q6473" t="n">
        <v>0</v>
      </c>
      <c r="R6473" s="2" t="inlineStr"/>
    </row>
    <row r="6474" ht="15" customHeight="1">
      <c r="A6474" t="inlineStr">
        <is>
          <t>A 53336-2024</t>
        </is>
      </c>
      <c r="B6474" s="1" t="n">
        <v>45614.42753472222</v>
      </c>
      <c r="C6474" s="1" t="n">
        <v>46093</v>
      </c>
      <c r="D6474" t="inlineStr">
        <is>
          <t>VÄSTERNORRLANDS LÄN</t>
        </is>
      </c>
      <c r="E6474" t="inlineStr">
        <is>
          <t>ÅNGE</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50134-2025</t>
        </is>
      </c>
      <c r="B6475" s="1" t="n">
        <v>45943.55722222223</v>
      </c>
      <c r="C6475" s="1" t="n">
        <v>46093</v>
      </c>
      <c r="D6475" t="inlineStr">
        <is>
          <t>VÄSTERNORRLANDS LÄN</t>
        </is>
      </c>
      <c r="E6475" t="inlineStr">
        <is>
          <t>KRAMFORS</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14508-2021</t>
        </is>
      </c>
      <c r="B6476" s="1" t="n">
        <v>44279.63966435185</v>
      </c>
      <c r="C6476" s="1" t="n">
        <v>46093</v>
      </c>
      <c r="D6476" t="inlineStr">
        <is>
          <t>VÄSTERNORRLANDS LÄN</t>
        </is>
      </c>
      <c r="E6476" t="inlineStr">
        <is>
          <t>ÖRNSKÖLDSVIK</t>
        </is>
      </c>
      <c r="G6476" t="n">
        <v>12.7</v>
      </c>
      <c r="H6476" t="n">
        <v>0</v>
      </c>
      <c r="I6476" t="n">
        <v>0</v>
      </c>
      <c r="J6476" t="n">
        <v>0</v>
      </c>
      <c r="K6476" t="n">
        <v>0</v>
      </c>
      <c r="L6476" t="n">
        <v>0</v>
      </c>
      <c r="M6476" t="n">
        <v>0</v>
      </c>
      <c r="N6476" t="n">
        <v>0</v>
      </c>
      <c r="O6476" t="n">
        <v>0</v>
      </c>
      <c r="P6476" t="n">
        <v>0</v>
      </c>
      <c r="Q6476" t="n">
        <v>0</v>
      </c>
      <c r="R6476" s="2" t="inlineStr"/>
    </row>
    <row r="6477" ht="15" customHeight="1">
      <c r="A6477" t="inlineStr">
        <is>
          <t>A 51437-2024</t>
        </is>
      </c>
      <c r="B6477" s="1" t="n">
        <v>45604.47586805555</v>
      </c>
      <c r="C6477" s="1" t="n">
        <v>46093</v>
      </c>
      <c r="D6477" t="inlineStr">
        <is>
          <t>VÄSTERNORRLANDS LÄN</t>
        </is>
      </c>
      <c r="E6477" t="inlineStr">
        <is>
          <t>ÖRNSKÖLDSVIK</t>
        </is>
      </c>
      <c r="F6477" t="inlineStr">
        <is>
          <t>Holmen skog AB</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37242-2025</t>
        </is>
      </c>
      <c r="B6478" s="1" t="n">
        <v>45876.38614583333</v>
      </c>
      <c r="C6478" s="1" t="n">
        <v>46093</v>
      </c>
      <c r="D6478" t="inlineStr">
        <is>
          <t>VÄSTERNORRLANDS LÄN</t>
        </is>
      </c>
      <c r="E6478" t="inlineStr">
        <is>
          <t>SOLLEFTEÅ</t>
        </is>
      </c>
      <c r="F6478" t="inlineStr">
        <is>
          <t>SCA</t>
        </is>
      </c>
      <c r="G6478" t="n">
        <v>3.8</v>
      </c>
      <c r="H6478" t="n">
        <v>0</v>
      </c>
      <c r="I6478" t="n">
        <v>0</v>
      </c>
      <c r="J6478" t="n">
        <v>0</v>
      </c>
      <c r="K6478" t="n">
        <v>0</v>
      </c>
      <c r="L6478" t="n">
        <v>0</v>
      </c>
      <c r="M6478" t="n">
        <v>0</v>
      </c>
      <c r="N6478" t="n">
        <v>0</v>
      </c>
      <c r="O6478" t="n">
        <v>0</v>
      </c>
      <c r="P6478" t="n">
        <v>0</v>
      </c>
      <c r="Q6478" t="n">
        <v>0</v>
      </c>
      <c r="R6478" s="2" t="inlineStr"/>
    </row>
    <row r="6479" ht="15" customHeight="1">
      <c r="A6479" t="inlineStr">
        <is>
          <t>A 50139-2025</t>
        </is>
      </c>
      <c r="B6479" s="1" t="n">
        <v>45943.56555555556</v>
      </c>
      <c r="C6479" s="1" t="n">
        <v>46093</v>
      </c>
      <c r="D6479" t="inlineStr">
        <is>
          <t>VÄSTERNORRLANDS LÄN</t>
        </is>
      </c>
      <c r="E6479" t="inlineStr">
        <is>
          <t>KRAMFORS</t>
        </is>
      </c>
      <c r="G6479" t="n">
        <v>6.3</v>
      </c>
      <c r="H6479" t="n">
        <v>0</v>
      </c>
      <c r="I6479" t="n">
        <v>0</v>
      </c>
      <c r="J6479" t="n">
        <v>0</v>
      </c>
      <c r="K6479" t="n">
        <v>0</v>
      </c>
      <c r="L6479" t="n">
        <v>0</v>
      </c>
      <c r="M6479" t="n">
        <v>0</v>
      </c>
      <c r="N6479" t="n">
        <v>0</v>
      </c>
      <c r="O6479" t="n">
        <v>0</v>
      </c>
      <c r="P6479" t="n">
        <v>0</v>
      </c>
      <c r="Q6479" t="n">
        <v>0</v>
      </c>
      <c r="R6479" s="2" t="inlineStr"/>
    </row>
    <row r="6480" ht="15" customHeight="1">
      <c r="A6480" t="inlineStr">
        <is>
          <t>A 50165-2025</t>
        </is>
      </c>
      <c r="B6480" s="1" t="n">
        <v>45943.5905324074</v>
      </c>
      <c r="C6480" s="1" t="n">
        <v>46093</v>
      </c>
      <c r="D6480" t="inlineStr">
        <is>
          <t>VÄSTERNORRLANDS LÄN</t>
        </is>
      </c>
      <c r="E6480" t="inlineStr">
        <is>
          <t>ÖRNSKÖLDSVIK</t>
        </is>
      </c>
      <c r="F6480" t="inlineStr">
        <is>
          <t>Holmen skog AB</t>
        </is>
      </c>
      <c r="G6480" t="n">
        <v>4.9</v>
      </c>
      <c r="H6480" t="n">
        <v>0</v>
      </c>
      <c r="I6480" t="n">
        <v>0</v>
      </c>
      <c r="J6480" t="n">
        <v>0</v>
      </c>
      <c r="K6480" t="n">
        <v>0</v>
      </c>
      <c r="L6480" t="n">
        <v>0</v>
      </c>
      <c r="M6480" t="n">
        <v>0</v>
      </c>
      <c r="N6480" t="n">
        <v>0</v>
      </c>
      <c r="O6480" t="n">
        <v>0</v>
      </c>
      <c r="P6480" t="n">
        <v>0</v>
      </c>
      <c r="Q6480" t="n">
        <v>0</v>
      </c>
      <c r="R6480" s="2" t="inlineStr"/>
    </row>
    <row r="6481" ht="15" customHeight="1">
      <c r="A6481" t="inlineStr">
        <is>
          <t>A 50180-2025</t>
        </is>
      </c>
      <c r="B6481" s="1" t="n">
        <v>45943.61502314815</v>
      </c>
      <c r="C6481" s="1" t="n">
        <v>46093</v>
      </c>
      <c r="D6481" t="inlineStr">
        <is>
          <t>VÄSTERNORRLANDS LÄN</t>
        </is>
      </c>
      <c r="E6481" t="inlineStr">
        <is>
          <t>SUNDSVALL</t>
        </is>
      </c>
      <c r="F6481" t="inlineStr">
        <is>
          <t>SCA</t>
        </is>
      </c>
      <c r="G6481" t="n">
        <v>2.3</v>
      </c>
      <c r="H6481" t="n">
        <v>0</v>
      </c>
      <c r="I6481" t="n">
        <v>0</v>
      </c>
      <c r="J6481" t="n">
        <v>0</v>
      </c>
      <c r="K6481" t="n">
        <v>0</v>
      </c>
      <c r="L6481" t="n">
        <v>0</v>
      </c>
      <c r="M6481" t="n">
        <v>0</v>
      </c>
      <c r="N6481" t="n">
        <v>0</v>
      </c>
      <c r="O6481" t="n">
        <v>0</v>
      </c>
      <c r="P6481" t="n">
        <v>0</v>
      </c>
      <c r="Q6481" t="n">
        <v>0</v>
      </c>
      <c r="R6481" s="2" t="inlineStr"/>
    </row>
    <row r="6482" ht="15" customHeight="1">
      <c r="A6482" t="inlineStr">
        <is>
          <t>A 45890-2021</t>
        </is>
      </c>
      <c r="B6482" s="1" t="n">
        <v>44441</v>
      </c>
      <c r="C6482" s="1" t="n">
        <v>46093</v>
      </c>
      <c r="D6482" t="inlineStr">
        <is>
          <t>VÄSTERNORRLANDS LÄN</t>
        </is>
      </c>
      <c r="E6482" t="inlineStr">
        <is>
          <t>ÅNGE</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51456-2024</t>
        </is>
      </c>
      <c r="B6483" s="1" t="n">
        <v>45604.49204861111</v>
      </c>
      <c r="C6483" s="1" t="n">
        <v>46093</v>
      </c>
      <c r="D6483" t="inlineStr">
        <is>
          <t>VÄSTERNORRLANDS LÄN</t>
        </is>
      </c>
      <c r="E6483" t="inlineStr">
        <is>
          <t>ÖRNSKÖLDSVIK</t>
        </is>
      </c>
      <c r="F6483" t="inlineStr">
        <is>
          <t>Holmen skog AB</t>
        </is>
      </c>
      <c r="G6483" t="n">
        <v>3</v>
      </c>
      <c r="H6483" t="n">
        <v>0</v>
      </c>
      <c r="I6483" t="n">
        <v>0</v>
      </c>
      <c r="J6483" t="n">
        <v>0</v>
      </c>
      <c r="K6483" t="n">
        <v>0</v>
      </c>
      <c r="L6483" t="n">
        <v>0</v>
      </c>
      <c r="M6483" t="n">
        <v>0</v>
      </c>
      <c r="N6483" t="n">
        <v>0</v>
      </c>
      <c r="O6483" t="n">
        <v>0</v>
      </c>
      <c r="P6483" t="n">
        <v>0</v>
      </c>
      <c r="Q6483" t="n">
        <v>0</v>
      </c>
      <c r="R6483" s="2" t="inlineStr"/>
    </row>
    <row r="6484" ht="15" customHeight="1">
      <c r="A6484" t="inlineStr">
        <is>
          <t>A 50388-2025</t>
        </is>
      </c>
      <c r="B6484" s="1" t="n">
        <v>45944.61509259259</v>
      </c>
      <c r="C6484" s="1" t="n">
        <v>46093</v>
      </c>
      <c r="D6484" t="inlineStr">
        <is>
          <t>VÄSTERNORRLANDS LÄN</t>
        </is>
      </c>
      <c r="E6484" t="inlineStr">
        <is>
          <t>SOLLEFTEÅ</t>
        </is>
      </c>
      <c r="F6484" t="inlineStr">
        <is>
          <t>SCA</t>
        </is>
      </c>
      <c r="G6484" t="n">
        <v>22.8</v>
      </c>
      <c r="H6484" t="n">
        <v>0</v>
      </c>
      <c r="I6484" t="n">
        <v>0</v>
      </c>
      <c r="J6484" t="n">
        <v>0</v>
      </c>
      <c r="K6484" t="n">
        <v>0</v>
      </c>
      <c r="L6484" t="n">
        <v>0</v>
      </c>
      <c r="M6484" t="n">
        <v>0</v>
      </c>
      <c r="N6484" t="n">
        <v>0</v>
      </c>
      <c r="O6484" t="n">
        <v>0</v>
      </c>
      <c r="P6484" t="n">
        <v>0</v>
      </c>
      <c r="Q6484" t="n">
        <v>0</v>
      </c>
      <c r="R6484" s="2" t="inlineStr"/>
    </row>
    <row r="6485" ht="15" customHeight="1">
      <c r="A6485" t="inlineStr">
        <is>
          <t>A 21582-2022</t>
        </is>
      </c>
      <c r="B6485" s="1" t="n">
        <v>44706</v>
      </c>
      <c r="C6485" s="1" t="n">
        <v>46093</v>
      </c>
      <c r="D6485" t="inlineStr">
        <is>
          <t>VÄSTERNORRLANDS LÄN</t>
        </is>
      </c>
      <c r="E6485" t="inlineStr">
        <is>
          <t>SOLLEFTEÅ</t>
        </is>
      </c>
      <c r="G6485" t="n">
        <v>3.8</v>
      </c>
      <c r="H6485" t="n">
        <v>0</v>
      </c>
      <c r="I6485" t="n">
        <v>0</v>
      </c>
      <c r="J6485" t="n">
        <v>0</v>
      </c>
      <c r="K6485" t="n">
        <v>0</v>
      </c>
      <c r="L6485" t="n">
        <v>0</v>
      </c>
      <c r="M6485" t="n">
        <v>0</v>
      </c>
      <c r="N6485" t="n">
        <v>0</v>
      </c>
      <c r="O6485" t="n">
        <v>0</v>
      </c>
      <c r="P6485" t="n">
        <v>0</v>
      </c>
      <c r="Q6485" t="n">
        <v>0</v>
      </c>
      <c r="R6485" s="2" t="inlineStr"/>
    </row>
    <row r="6486" ht="15" customHeight="1">
      <c r="A6486" t="inlineStr">
        <is>
          <t>A 37194-2025</t>
        </is>
      </c>
      <c r="B6486" s="1" t="n">
        <v>45875.65592592592</v>
      </c>
      <c r="C6486" s="1" t="n">
        <v>46093</v>
      </c>
      <c r="D6486" t="inlineStr">
        <is>
          <t>VÄSTERNORRLANDS LÄN</t>
        </is>
      </c>
      <c r="E6486" t="inlineStr">
        <is>
          <t>ÖRNSKÖLDSVIK</t>
        </is>
      </c>
      <c r="G6486" t="n">
        <v>2.8</v>
      </c>
      <c r="H6486" t="n">
        <v>0</v>
      </c>
      <c r="I6486" t="n">
        <v>0</v>
      </c>
      <c r="J6486" t="n">
        <v>0</v>
      </c>
      <c r="K6486" t="n">
        <v>0</v>
      </c>
      <c r="L6486" t="n">
        <v>0</v>
      </c>
      <c r="M6486" t="n">
        <v>0</v>
      </c>
      <c r="N6486" t="n">
        <v>0</v>
      </c>
      <c r="O6486" t="n">
        <v>0</v>
      </c>
      <c r="P6486" t="n">
        <v>0</v>
      </c>
      <c r="Q6486" t="n">
        <v>0</v>
      </c>
      <c r="R6486" s="2" t="inlineStr"/>
    </row>
    <row r="6487" ht="15" customHeight="1">
      <c r="A6487" t="inlineStr">
        <is>
          <t>A 12333-2023</t>
        </is>
      </c>
      <c r="B6487" s="1" t="n">
        <v>44999</v>
      </c>
      <c r="C6487" s="1" t="n">
        <v>46093</v>
      </c>
      <c r="D6487" t="inlineStr">
        <is>
          <t>VÄSTERNORRLANDS LÄN</t>
        </is>
      </c>
      <c r="E6487" t="inlineStr">
        <is>
          <t>SUNDSVALL</t>
        </is>
      </c>
      <c r="G6487" t="n">
        <v>2.6</v>
      </c>
      <c r="H6487" t="n">
        <v>0</v>
      </c>
      <c r="I6487" t="n">
        <v>0</v>
      </c>
      <c r="J6487" t="n">
        <v>0</v>
      </c>
      <c r="K6487" t="n">
        <v>0</v>
      </c>
      <c r="L6487" t="n">
        <v>0</v>
      </c>
      <c r="M6487" t="n">
        <v>0</v>
      </c>
      <c r="N6487" t="n">
        <v>0</v>
      </c>
      <c r="O6487" t="n">
        <v>0</v>
      </c>
      <c r="P6487" t="n">
        <v>0</v>
      </c>
      <c r="Q6487" t="n">
        <v>0</v>
      </c>
      <c r="R6487" s="2" t="inlineStr"/>
    </row>
    <row r="6488" ht="15" customHeight="1">
      <c r="A6488" t="inlineStr">
        <is>
          <t>A 12371-2023</t>
        </is>
      </c>
      <c r="B6488" s="1" t="n">
        <v>44998</v>
      </c>
      <c r="C6488" s="1" t="n">
        <v>46093</v>
      </c>
      <c r="D6488" t="inlineStr">
        <is>
          <t>VÄSTERNORRLANDS LÄN</t>
        </is>
      </c>
      <c r="E6488" t="inlineStr">
        <is>
          <t>KRAMFORS</t>
        </is>
      </c>
      <c r="G6488" t="n">
        <v>4.4</v>
      </c>
      <c r="H6488" t="n">
        <v>0</v>
      </c>
      <c r="I6488" t="n">
        <v>0</v>
      </c>
      <c r="J6488" t="n">
        <v>0</v>
      </c>
      <c r="K6488" t="n">
        <v>0</v>
      </c>
      <c r="L6488" t="n">
        <v>0</v>
      </c>
      <c r="M6488" t="n">
        <v>0</v>
      </c>
      <c r="N6488" t="n">
        <v>0</v>
      </c>
      <c r="O6488" t="n">
        <v>0</v>
      </c>
      <c r="P6488" t="n">
        <v>0</v>
      </c>
      <c r="Q6488" t="n">
        <v>0</v>
      </c>
      <c r="R6488" s="2" t="inlineStr"/>
    </row>
    <row r="6489" ht="15" customHeight="1">
      <c r="A6489" t="inlineStr">
        <is>
          <t>A 50727-2021</t>
        </is>
      </c>
      <c r="B6489" s="1" t="n">
        <v>44459</v>
      </c>
      <c r="C6489" s="1" t="n">
        <v>46093</v>
      </c>
      <c r="D6489" t="inlineStr">
        <is>
          <t>VÄSTERNORRLANDS LÄN</t>
        </is>
      </c>
      <c r="E6489" t="inlineStr">
        <is>
          <t>ÖRNSKÖLDSVIK</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57598-2022</t>
        </is>
      </c>
      <c r="B6490" s="1" t="n">
        <v>44896</v>
      </c>
      <c r="C6490" s="1" t="n">
        <v>46093</v>
      </c>
      <c r="D6490" t="inlineStr">
        <is>
          <t>VÄSTERNORRLANDS LÄN</t>
        </is>
      </c>
      <c r="E6490" t="inlineStr">
        <is>
          <t>ÅNGE</t>
        </is>
      </c>
      <c r="F6490" t="inlineStr">
        <is>
          <t>SCA</t>
        </is>
      </c>
      <c r="G6490" t="n">
        <v>3.1</v>
      </c>
      <c r="H6490" t="n">
        <v>0</v>
      </c>
      <c r="I6490" t="n">
        <v>0</v>
      </c>
      <c r="J6490" t="n">
        <v>0</v>
      </c>
      <c r="K6490" t="n">
        <v>0</v>
      </c>
      <c r="L6490" t="n">
        <v>0</v>
      </c>
      <c r="M6490" t="n">
        <v>0</v>
      </c>
      <c r="N6490" t="n">
        <v>0</v>
      </c>
      <c r="O6490" t="n">
        <v>0</v>
      </c>
      <c r="P6490" t="n">
        <v>0</v>
      </c>
      <c r="Q6490" t="n">
        <v>0</v>
      </c>
      <c r="R6490" s="2" t="inlineStr"/>
    </row>
    <row r="6491" ht="15" customHeight="1">
      <c r="A6491" t="inlineStr">
        <is>
          <t>A 48886-2024</t>
        </is>
      </c>
      <c r="B6491" s="1" t="n">
        <v>45594</v>
      </c>
      <c r="C6491" s="1" t="n">
        <v>46093</v>
      </c>
      <c r="D6491" t="inlineStr">
        <is>
          <t>VÄSTERNORRLANDS LÄN</t>
        </is>
      </c>
      <c r="E6491" t="inlineStr">
        <is>
          <t>ÖRNSKÖLDSVIK</t>
        </is>
      </c>
      <c r="G6491" t="n">
        <v>5</v>
      </c>
      <c r="H6491" t="n">
        <v>0</v>
      </c>
      <c r="I6491" t="n">
        <v>0</v>
      </c>
      <c r="J6491" t="n">
        <v>0</v>
      </c>
      <c r="K6491" t="n">
        <v>0</v>
      </c>
      <c r="L6491" t="n">
        <v>0</v>
      </c>
      <c r="M6491" t="n">
        <v>0</v>
      </c>
      <c r="N6491" t="n">
        <v>0</v>
      </c>
      <c r="O6491" t="n">
        <v>0</v>
      </c>
      <c r="P6491" t="n">
        <v>0</v>
      </c>
      <c r="Q6491" t="n">
        <v>0</v>
      </c>
      <c r="R6491" s="2" t="inlineStr"/>
    </row>
    <row r="6492" ht="15" customHeight="1">
      <c r="A6492" t="inlineStr">
        <is>
          <t>A 37227-2025</t>
        </is>
      </c>
      <c r="B6492" s="1" t="n">
        <v>45876.29931712963</v>
      </c>
      <c r="C6492" s="1" t="n">
        <v>46093</v>
      </c>
      <c r="D6492" t="inlineStr">
        <is>
          <t>VÄSTERNORRLANDS LÄN</t>
        </is>
      </c>
      <c r="E6492" t="inlineStr">
        <is>
          <t>ÖRNSKÖLDSVIK</t>
        </is>
      </c>
      <c r="G6492" t="n">
        <v>9.699999999999999</v>
      </c>
      <c r="H6492" t="n">
        <v>0</v>
      </c>
      <c r="I6492" t="n">
        <v>0</v>
      </c>
      <c r="J6492" t="n">
        <v>0</v>
      </c>
      <c r="K6492" t="n">
        <v>0</v>
      </c>
      <c r="L6492" t="n">
        <v>0</v>
      </c>
      <c r="M6492" t="n">
        <v>0</v>
      </c>
      <c r="N6492" t="n">
        <v>0</v>
      </c>
      <c r="O6492" t="n">
        <v>0</v>
      </c>
      <c r="P6492" t="n">
        <v>0</v>
      </c>
      <c r="Q6492" t="n">
        <v>0</v>
      </c>
      <c r="R6492" s="2" t="inlineStr"/>
    </row>
    <row r="6493" ht="15" customHeight="1">
      <c r="A6493" t="inlineStr">
        <is>
          <t>A 63660-2023</t>
        </is>
      </c>
      <c r="B6493" s="1" t="n">
        <v>45275</v>
      </c>
      <c r="C6493" s="1" t="n">
        <v>46093</v>
      </c>
      <c r="D6493" t="inlineStr">
        <is>
          <t>VÄSTERNORRLANDS LÄN</t>
        </is>
      </c>
      <c r="E6493" t="inlineStr">
        <is>
          <t>ÖRNSKÖLDSVIK</t>
        </is>
      </c>
      <c r="G6493" t="n">
        <v>16.3</v>
      </c>
      <c r="H6493" t="n">
        <v>0</v>
      </c>
      <c r="I6493" t="n">
        <v>0</v>
      </c>
      <c r="J6493" t="n">
        <v>0</v>
      </c>
      <c r="K6493" t="n">
        <v>0</v>
      </c>
      <c r="L6493" t="n">
        <v>0</v>
      </c>
      <c r="M6493" t="n">
        <v>0</v>
      </c>
      <c r="N6493" t="n">
        <v>0</v>
      </c>
      <c r="O6493" t="n">
        <v>0</v>
      </c>
      <c r="P6493" t="n">
        <v>0</v>
      </c>
      <c r="Q6493" t="n">
        <v>0</v>
      </c>
      <c r="R6493" s="2" t="inlineStr"/>
    </row>
    <row r="6494" ht="15" customHeight="1">
      <c r="A6494" t="inlineStr">
        <is>
          <t>A 50155-2025</t>
        </is>
      </c>
      <c r="B6494" s="1" t="n">
        <v>45943.57865740741</v>
      </c>
      <c r="C6494" s="1" t="n">
        <v>46093</v>
      </c>
      <c r="D6494" t="inlineStr">
        <is>
          <t>VÄSTERNORRLANDS LÄN</t>
        </is>
      </c>
      <c r="E6494" t="inlineStr">
        <is>
          <t>KRAMFORS</t>
        </is>
      </c>
      <c r="G6494" t="n">
        <v>5.8</v>
      </c>
      <c r="H6494" t="n">
        <v>0</v>
      </c>
      <c r="I6494" t="n">
        <v>0</v>
      </c>
      <c r="J6494" t="n">
        <v>0</v>
      </c>
      <c r="K6494" t="n">
        <v>0</v>
      </c>
      <c r="L6494" t="n">
        <v>0</v>
      </c>
      <c r="M6494" t="n">
        <v>0</v>
      </c>
      <c r="N6494" t="n">
        <v>0</v>
      </c>
      <c r="O6494" t="n">
        <v>0</v>
      </c>
      <c r="P6494" t="n">
        <v>0</v>
      </c>
      <c r="Q6494" t="n">
        <v>0</v>
      </c>
      <c r="R6494" s="2" t="inlineStr"/>
    </row>
    <row r="6495" ht="15" customHeight="1">
      <c r="A6495" t="inlineStr">
        <is>
          <t>A 49960-2025</t>
        </is>
      </c>
      <c r="B6495" s="1" t="n">
        <v>45941.34421296296</v>
      </c>
      <c r="C6495" s="1" t="n">
        <v>46093</v>
      </c>
      <c r="D6495" t="inlineStr">
        <is>
          <t>VÄSTERNORRLANDS LÄN</t>
        </is>
      </c>
      <c r="E6495" t="inlineStr">
        <is>
          <t>SUNDSVALL</t>
        </is>
      </c>
      <c r="F6495" t="inlineStr">
        <is>
          <t>SCA</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28917-2024</t>
        </is>
      </c>
      <c r="B6496" s="1" t="n">
        <v>45480</v>
      </c>
      <c r="C6496" s="1" t="n">
        <v>46093</v>
      </c>
      <c r="D6496" t="inlineStr">
        <is>
          <t>VÄSTERNORRLANDS LÄN</t>
        </is>
      </c>
      <c r="E6496" t="inlineStr">
        <is>
          <t>SUNDSVALL</t>
        </is>
      </c>
      <c r="G6496" t="n">
        <v>5.3</v>
      </c>
      <c r="H6496" t="n">
        <v>0</v>
      </c>
      <c r="I6496" t="n">
        <v>0</v>
      </c>
      <c r="J6496" t="n">
        <v>0</v>
      </c>
      <c r="K6496" t="n">
        <v>0</v>
      </c>
      <c r="L6496" t="n">
        <v>0</v>
      </c>
      <c r="M6496" t="n">
        <v>0</v>
      </c>
      <c r="N6496" t="n">
        <v>0</v>
      </c>
      <c r="O6496" t="n">
        <v>0</v>
      </c>
      <c r="P6496" t="n">
        <v>0</v>
      </c>
      <c r="Q6496" t="n">
        <v>0</v>
      </c>
      <c r="R6496" s="2" t="inlineStr"/>
    </row>
    <row r="6497" ht="15" customHeight="1">
      <c r="A6497" t="inlineStr">
        <is>
          <t>A 37329-2025</t>
        </is>
      </c>
      <c r="B6497" s="1" t="n">
        <v>45876</v>
      </c>
      <c r="C6497" s="1" t="n">
        <v>46093</v>
      </c>
      <c r="D6497" t="inlineStr">
        <is>
          <t>VÄSTERNORRLANDS LÄN</t>
        </is>
      </c>
      <c r="E6497" t="inlineStr">
        <is>
          <t>SUNDSVALL</t>
        </is>
      </c>
      <c r="F6497" t="inlineStr">
        <is>
          <t>SCA</t>
        </is>
      </c>
      <c r="G6497" t="n">
        <v>7.3</v>
      </c>
      <c r="H6497" t="n">
        <v>0</v>
      </c>
      <c r="I6497" t="n">
        <v>0</v>
      </c>
      <c r="J6497" t="n">
        <v>0</v>
      </c>
      <c r="K6497" t="n">
        <v>0</v>
      </c>
      <c r="L6497" t="n">
        <v>0</v>
      </c>
      <c r="M6497" t="n">
        <v>0</v>
      </c>
      <c r="N6497" t="n">
        <v>0</v>
      </c>
      <c r="O6497" t="n">
        <v>0</v>
      </c>
      <c r="P6497" t="n">
        <v>0</v>
      </c>
      <c r="Q6497" t="n">
        <v>0</v>
      </c>
      <c r="R6497" s="2" t="inlineStr"/>
    </row>
    <row r="6498" ht="15" customHeight="1">
      <c r="A6498" t="inlineStr">
        <is>
          <t>A 44407-2023</t>
        </is>
      </c>
      <c r="B6498" s="1" t="n">
        <v>45188.9465625</v>
      </c>
      <c r="C6498" s="1" t="n">
        <v>46093</v>
      </c>
      <c r="D6498" t="inlineStr">
        <is>
          <t>VÄSTERNORRLANDS LÄN</t>
        </is>
      </c>
      <c r="E6498" t="inlineStr">
        <is>
          <t>SOLLEFTEÅ</t>
        </is>
      </c>
      <c r="F6498" t="inlineStr">
        <is>
          <t>SCA</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44408-2023</t>
        </is>
      </c>
      <c r="B6499" s="1" t="n">
        <v>45188.94663194445</v>
      </c>
      <c r="C6499" s="1" t="n">
        <v>46093</v>
      </c>
      <c r="D6499" t="inlineStr">
        <is>
          <t>VÄSTERNORRLANDS LÄN</t>
        </is>
      </c>
      <c r="E6499" t="inlineStr">
        <is>
          <t>SOLLEFTEÅ</t>
        </is>
      </c>
      <c r="F6499" t="inlineStr">
        <is>
          <t>SCA</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50009-2025</t>
        </is>
      </c>
      <c r="B6500" s="1" t="n">
        <v>45943.34527777778</v>
      </c>
      <c r="C6500" s="1" t="n">
        <v>46093</v>
      </c>
      <c r="D6500" t="inlineStr">
        <is>
          <t>VÄSTERNORRLANDS LÄN</t>
        </is>
      </c>
      <c r="E6500" t="inlineStr">
        <is>
          <t>ÅNGE</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27072-2024</t>
        </is>
      </c>
      <c r="B6501" s="1" t="n">
        <v>45471.46767361111</v>
      </c>
      <c r="C6501" s="1" t="n">
        <v>46093</v>
      </c>
      <c r="D6501" t="inlineStr">
        <is>
          <t>VÄSTERNORRLANDS LÄN</t>
        </is>
      </c>
      <c r="E6501" t="inlineStr">
        <is>
          <t>ÖRNSKÖLDSVIK</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17682-2025</t>
        </is>
      </c>
      <c r="B6502" s="1" t="n">
        <v>45758</v>
      </c>
      <c r="C6502" s="1" t="n">
        <v>46093</v>
      </c>
      <c r="D6502" t="inlineStr">
        <is>
          <t>VÄSTERNORRLANDS LÄN</t>
        </is>
      </c>
      <c r="E6502" t="inlineStr">
        <is>
          <t>SOLLEFTEÅ</t>
        </is>
      </c>
      <c r="F6502" t="inlineStr">
        <is>
          <t>SCA</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36078-2022</t>
        </is>
      </c>
      <c r="B6503" s="1" t="n">
        <v>44802.9459375</v>
      </c>
      <c r="C6503" s="1" t="n">
        <v>46093</v>
      </c>
      <c r="D6503" t="inlineStr">
        <is>
          <t>VÄSTERNORRLANDS LÄN</t>
        </is>
      </c>
      <c r="E6503" t="inlineStr">
        <is>
          <t>SOLLEFTEÅ</t>
        </is>
      </c>
      <c r="F6503" t="inlineStr">
        <is>
          <t>SCA</t>
        </is>
      </c>
      <c r="G6503" t="n">
        <v>12.5</v>
      </c>
      <c r="H6503" t="n">
        <v>0</v>
      </c>
      <c r="I6503" t="n">
        <v>0</v>
      </c>
      <c r="J6503" t="n">
        <v>0</v>
      </c>
      <c r="K6503" t="n">
        <v>0</v>
      </c>
      <c r="L6503" t="n">
        <v>0</v>
      </c>
      <c r="M6503" t="n">
        <v>0</v>
      </c>
      <c r="N6503" t="n">
        <v>0</v>
      </c>
      <c r="O6503" t="n">
        <v>0</v>
      </c>
      <c r="P6503" t="n">
        <v>0</v>
      </c>
      <c r="Q6503" t="n">
        <v>0</v>
      </c>
      <c r="R6503" s="2" t="inlineStr"/>
    </row>
    <row r="6504" ht="15" customHeight="1">
      <c r="A6504" t="inlineStr">
        <is>
          <t>A 37045-2025</t>
        </is>
      </c>
      <c r="B6504" s="1" t="n">
        <v>45875.34451388889</v>
      </c>
      <c r="C6504" s="1" t="n">
        <v>46093</v>
      </c>
      <c r="D6504" t="inlineStr">
        <is>
          <t>VÄSTERNORRLANDS LÄN</t>
        </is>
      </c>
      <c r="E6504" t="inlineStr">
        <is>
          <t>ÅNGE</t>
        </is>
      </c>
      <c r="F6504" t="inlineStr">
        <is>
          <t>SCA</t>
        </is>
      </c>
      <c r="G6504" t="n">
        <v>1.9</v>
      </c>
      <c r="H6504" t="n">
        <v>0</v>
      </c>
      <c r="I6504" t="n">
        <v>0</v>
      </c>
      <c r="J6504" t="n">
        <v>0</v>
      </c>
      <c r="K6504" t="n">
        <v>0</v>
      </c>
      <c r="L6504" t="n">
        <v>0</v>
      </c>
      <c r="M6504" t="n">
        <v>0</v>
      </c>
      <c r="N6504" t="n">
        <v>0</v>
      </c>
      <c r="O6504" t="n">
        <v>0</v>
      </c>
      <c r="P6504" t="n">
        <v>0</v>
      </c>
      <c r="Q6504" t="n">
        <v>0</v>
      </c>
      <c r="R6504" s="2" t="inlineStr"/>
    </row>
    <row r="6505" ht="15" customHeight="1">
      <c r="A6505" t="inlineStr">
        <is>
          <t>A 37047-2025</t>
        </is>
      </c>
      <c r="B6505" s="1" t="n">
        <v>45875.34489583333</v>
      </c>
      <c r="C6505" s="1" t="n">
        <v>46093</v>
      </c>
      <c r="D6505" t="inlineStr">
        <is>
          <t>VÄSTERNORRLANDS LÄN</t>
        </is>
      </c>
      <c r="E6505" t="inlineStr">
        <is>
          <t>ÅNGE</t>
        </is>
      </c>
      <c r="F6505" t="inlineStr">
        <is>
          <t>SCA</t>
        </is>
      </c>
      <c r="G6505" t="n">
        <v>2</v>
      </c>
      <c r="H6505" t="n">
        <v>0</v>
      </c>
      <c r="I6505" t="n">
        <v>0</v>
      </c>
      <c r="J6505" t="n">
        <v>0</v>
      </c>
      <c r="K6505" t="n">
        <v>0</v>
      </c>
      <c r="L6505" t="n">
        <v>0</v>
      </c>
      <c r="M6505" t="n">
        <v>0</v>
      </c>
      <c r="N6505" t="n">
        <v>0</v>
      </c>
      <c r="O6505" t="n">
        <v>0</v>
      </c>
      <c r="P6505" t="n">
        <v>0</v>
      </c>
      <c r="Q6505" t="n">
        <v>0</v>
      </c>
      <c r="R6505" s="2" t="inlineStr"/>
    </row>
    <row r="6506" ht="15" customHeight="1">
      <c r="A6506" t="inlineStr">
        <is>
          <t>A 37084-2025</t>
        </is>
      </c>
      <c r="B6506" s="1" t="n">
        <v>45875.44826388889</v>
      </c>
      <c r="C6506" s="1" t="n">
        <v>46093</v>
      </c>
      <c r="D6506" t="inlineStr">
        <is>
          <t>VÄSTERNORRLANDS LÄN</t>
        </is>
      </c>
      <c r="E6506" t="inlineStr">
        <is>
          <t>SOLLEFTEÅ</t>
        </is>
      </c>
      <c r="F6506" t="inlineStr">
        <is>
          <t>SCA</t>
        </is>
      </c>
      <c r="G6506" t="n">
        <v>3.5</v>
      </c>
      <c r="H6506" t="n">
        <v>0</v>
      </c>
      <c r="I6506" t="n">
        <v>0</v>
      </c>
      <c r="J6506" t="n">
        <v>0</v>
      </c>
      <c r="K6506" t="n">
        <v>0</v>
      </c>
      <c r="L6506" t="n">
        <v>0</v>
      </c>
      <c r="M6506" t="n">
        <v>0</v>
      </c>
      <c r="N6506" t="n">
        <v>0</v>
      </c>
      <c r="O6506" t="n">
        <v>0</v>
      </c>
      <c r="P6506" t="n">
        <v>0</v>
      </c>
      <c r="Q6506" t="n">
        <v>0</v>
      </c>
      <c r="R6506" s="2" t="inlineStr"/>
    </row>
    <row r="6507" ht="15" customHeight="1">
      <c r="A6507" t="inlineStr">
        <is>
          <t>A 50008-2025</t>
        </is>
      </c>
      <c r="B6507" s="1" t="n">
        <v>45943.34515046296</v>
      </c>
      <c r="C6507" s="1" t="n">
        <v>46093</v>
      </c>
      <c r="D6507" t="inlineStr">
        <is>
          <t>VÄSTERNORRLANDS LÄN</t>
        </is>
      </c>
      <c r="E6507" t="inlineStr">
        <is>
          <t>ÅNGE</t>
        </is>
      </c>
      <c r="G6507" t="n">
        <v>13.9</v>
      </c>
      <c r="H6507" t="n">
        <v>0</v>
      </c>
      <c r="I6507" t="n">
        <v>0</v>
      </c>
      <c r="J6507" t="n">
        <v>0</v>
      </c>
      <c r="K6507" t="n">
        <v>0</v>
      </c>
      <c r="L6507" t="n">
        <v>0</v>
      </c>
      <c r="M6507" t="n">
        <v>0</v>
      </c>
      <c r="N6507" t="n">
        <v>0</v>
      </c>
      <c r="O6507" t="n">
        <v>0</v>
      </c>
      <c r="P6507" t="n">
        <v>0</v>
      </c>
      <c r="Q6507" t="n">
        <v>0</v>
      </c>
      <c r="R6507" s="2" t="inlineStr"/>
    </row>
    <row r="6508" ht="15" customHeight="1">
      <c r="A6508" t="inlineStr">
        <is>
          <t>A 50015-2025</t>
        </is>
      </c>
      <c r="B6508" s="1" t="n">
        <v>45943.35023148148</v>
      </c>
      <c r="C6508" s="1" t="n">
        <v>46093</v>
      </c>
      <c r="D6508" t="inlineStr">
        <is>
          <t>VÄSTERNORRLANDS LÄN</t>
        </is>
      </c>
      <c r="E6508" t="inlineStr">
        <is>
          <t>ÖRNSKÖLDSVIK</t>
        </is>
      </c>
      <c r="G6508" t="n">
        <v>3.5</v>
      </c>
      <c r="H6508" t="n">
        <v>0</v>
      </c>
      <c r="I6508" t="n">
        <v>0</v>
      </c>
      <c r="J6508" t="n">
        <v>0</v>
      </c>
      <c r="K6508" t="n">
        <v>0</v>
      </c>
      <c r="L6508" t="n">
        <v>0</v>
      </c>
      <c r="M6508" t="n">
        <v>0</v>
      </c>
      <c r="N6508" t="n">
        <v>0</v>
      </c>
      <c r="O6508" t="n">
        <v>0</v>
      </c>
      <c r="P6508" t="n">
        <v>0</v>
      </c>
      <c r="Q6508" t="n">
        <v>0</v>
      </c>
      <c r="R6508" s="2" t="inlineStr"/>
    </row>
    <row r="6509" ht="15" customHeight="1">
      <c r="A6509" t="inlineStr">
        <is>
          <t>A 18246-2024</t>
        </is>
      </c>
      <c r="B6509" s="1" t="n">
        <v>45421</v>
      </c>
      <c r="C6509" s="1" t="n">
        <v>46093</v>
      </c>
      <c r="D6509" t="inlineStr">
        <is>
          <t>VÄSTERNORRLANDS LÄN</t>
        </is>
      </c>
      <c r="E6509" t="inlineStr">
        <is>
          <t>SUNDSVALL</t>
        </is>
      </c>
      <c r="G6509" t="n">
        <v>8.1</v>
      </c>
      <c r="H6509" t="n">
        <v>0</v>
      </c>
      <c r="I6509" t="n">
        <v>0</v>
      </c>
      <c r="J6509" t="n">
        <v>0</v>
      </c>
      <c r="K6509" t="n">
        <v>0</v>
      </c>
      <c r="L6509" t="n">
        <v>0</v>
      </c>
      <c r="M6509" t="n">
        <v>0</v>
      </c>
      <c r="N6509" t="n">
        <v>0</v>
      </c>
      <c r="O6509" t="n">
        <v>0</v>
      </c>
      <c r="P6509" t="n">
        <v>0</v>
      </c>
      <c r="Q6509" t="n">
        <v>0</v>
      </c>
      <c r="R6509" s="2" t="inlineStr"/>
    </row>
    <row r="6510" ht="15" customHeight="1">
      <c r="A6510" t="inlineStr">
        <is>
          <t>A 36163-2022</t>
        </is>
      </c>
      <c r="B6510" s="1" t="n">
        <v>44803.39111111111</v>
      </c>
      <c r="C6510" s="1" t="n">
        <v>46093</v>
      </c>
      <c r="D6510" t="inlineStr">
        <is>
          <t>VÄSTERNORRLANDS LÄN</t>
        </is>
      </c>
      <c r="E6510" t="inlineStr">
        <is>
          <t>ÖRNSKÖLDSVIK</t>
        </is>
      </c>
      <c r="F6510" t="inlineStr">
        <is>
          <t>Holmen skog AB</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50347-2025</t>
        </is>
      </c>
      <c r="B6511" s="1" t="n">
        <v>45944.54627314815</v>
      </c>
      <c r="C6511" s="1" t="n">
        <v>46093</v>
      </c>
      <c r="D6511" t="inlineStr">
        <is>
          <t>VÄSTERNORRLANDS LÄN</t>
        </is>
      </c>
      <c r="E6511" t="inlineStr">
        <is>
          <t>ÖRNSKÖLDSVIK</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34462-2024</t>
        </is>
      </c>
      <c r="B6512" s="1" t="n">
        <v>45525</v>
      </c>
      <c r="C6512" s="1" t="n">
        <v>46093</v>
      </c>
      <c r="D6512" t="inlineStr">
        <is>
          <t>VÄSTERNORRLANDS LÄN</t>
        </is>
      </c>
      <c r="E6512" t="inlineStr">
        <is>
          <t>ÖRNSKÖLDSVIK</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37275-2025</t>
        </is>
      </c>
      <c r="B6513" s="1" t="n">
        <v>45876.49003472222</v>
      </c>
      <c r="C6513" s="1" t="n">
        <v>46093</v>
      </c>
      <c r="D6513" t="inlineStr">
        <is>
          <t>VÄSTERNORRLANDS LÄN</t>
        </is>
      </c>
      <c r="E6513" t="inlineStr">
        <is>
          <t>ÅNGE</t>
        </is>
      </c>
      <c r="G6513" t="n">
        <v>3.5</v>
      </c>
      <c r="H6513" t="n">
        <v>0</v>
      </c>
      <c r="I6513" t="n">
        <v>0</v>
      </c>
      <c r="J6513" t="n">
        <v>0</v>
      </c>
      <c r="K6513" t="n">
        <v>0</v>
      </c>
      <c r="L6513" t="n">
        <v>0</v>
      </c>
      <c r="M6513" t="n">
        <v>0</v>
      </c>
      <c r="N6513" t="n">
        <v>0</v>
      </c>
      <c r="O6513" t="n">
        <v>0</v>
      </c>
      <c r="P6513" t="n">
        <v>0</v>
      </c>
      <c r="Q6513" t="n">
        <v>0</v>
      </c>
      <c r="R6513" s="2" t="inlineStr"/>
    </row>
    <row r="6514" ht="15" customHeight="1">
      <c r="A6514" t="inlineStr">
        <is>
          <t>A 37278-2025</t>
        </is>
      </c>
      <c r="B6514" s="1" t="n">
        <v>45876.490625</v>
      </c>
      <c r="C6514" s="1" t="n">
        <v>46093</v>
      </c>
      <c r="D6514" t="inlineStr">
        <is>
          <t>VÄSTERNORRLANDS LÄN</t>
        </is>
      </c>
      <c r="E6514" t="inlineStr">
        <is>
          <t>SOLLEFTEÅ</t>
        </is>
      </c>
      <c r="F6514" t="inlineStr">
        <is>
          <t>SCA</t>
        </is>
      </c>
      <c r="G6514" t="n">
        <v>10.7</v>
      </c>
      <c r="H6514" t="n">
        <v>0</v>
      </c>
      <c r="I6514" t="n">
        <v>0</v>
      </c>
      <c r="J6514" t="n">
        <v>0</v>
      </c>
      <c r="K6514" t="n">
        <v>0</v>
      </c>
      <c r="L6514" t="n">
        <v>0</v>
      </c>
      <c r="M6514" t="n">
        <v>0</v>
      </c>
      <c r="N6514" t="n">
        <v>0</v>
      </c>
      <c r="O6514" t="n">
        <v>0</v>
      </c>
      <c r="P6514" t="n">
        <v>0</v>
      </c>
      <c r="Q6514" t="n">
        <v>0</v>
      </c>
      <c r="R6514" s="2" t="inlineStr"/>
    </row>
    <row r="6515" ht="15" customHeight="1">
      <c r="A6515" t="inlineStr">
        <is>
          <t>A 48993-2022</t>
        </is>
      </c>
      <c r="B6515" s="1" t="n">
        <v>44860</v>
      </c>
      <c r="C6515" s="1" t="n">
        <v>46093</v>
      </c>
      <c r="D6515" t="inlineStr">
        <is>
          <t>VÄSTERNORRLANDS LÄN</t>
        </is>
      </c>
      <c r="E6515" t="inlineStr">
        <is>
          <t>SUNDSVALL</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39723-2024</t>
        </is>
      </c>
      <c r="B6516" s="1" t="n">
        <v>45552.61725694445</v>
      </c>
      <c r="C6516" s="1" t="n">
        <v>46093</v>
      </c>
      <c r="D6516" t="inlineStr">
        <is>
          <t>VÄSTERNORRLANDS LÄN</t>
        </is>
      </c>
      <c r="E6516" t="inlineStr">
        <is>
          <t>ÖRNSKÖLDSVIK</t>
        </is>
      </c>
      <c r="G6516" t="n">
        <v>3.3</v>
      </c>
      <c r="H6516" t="n">
        <v>0</v>
      </c>
      <c r="I6516" t="n">
        <v>0</v>
      </c>
      <c r="J6516" t="n">
        <v>0</v>
      </c>
      <c r="K6516" t="n">
        <v>0</v>
      </c>
      <c r="L6516" t="n">
        <v>0</v>
      </c>
      <c r="M6516" t="n">
        <v>0</v>
      </c>
      <c r="N6516" t="n">
        <v>0</v>
      </c>
      <c r="O6516" t="n">
        <v>0</v>
      </c>
      <c r="P6516" t="n">
        <v>0</v>
      </c>
      <c r="Q6516" t="n">
        <v>0</v>
      </c>
      <c r="R6516" s="2" t="inlineStr"/>
    </row>
    <row r="6517" ht="15" customHeight="1">
      <c r="A6517" t="inlineStr">
        <is>
          <t>A 50252-2025</t>
        </is>
      </c>
      <c r="B6517" s="1" t="n">
        <v>45944.32577546296</v>
      </c>
      <c r="C6517" s="1" t="n">
        <v>46093</v>
      </c>
      <c r="D6517" t="inlineStr">
        <is>
          <t>VÄSTERNORRLANDS LÄN</t>
        </is>
      </c>
      <c r="E6517" t="inlineStr">
        <is>
          <t>ÖRNSKÖLDSVIK</t>
        </is>
      </c>
      <c r="G6517" t="n">
        <v>3.6</v>
      </c>
      <c r="H6517" t="n">
        <v>0</v>
      </c>
      <c r="I6517" t="n">
        <v>0</v>
      </c>
      <c r="J6517" t="n">
        <v>0</v>
      </c>
      <c r="K6517" t="n">
        <v>0</v>
      </c>
      <c r="L6517" t="n">
        <v>0</v>
      </c>
      <c r="M6517" t="n">
        <v>0</v>
      </c>
      <c r="N6517" t="n">
        <v>0</v>
      </c>
      <c r="O6517" t="n">
        <v>0</v>
      </c>
      <c r="P6517" t="n">
        <v>0</v>
      </c>
      <c r="Q6517" t="n">
        <v>0</v>
      </c>
      <c r="R6517" s="2" t="inlineStr"/>
    </row>
    <row r="6518" ht="15" customHeight="1">
      <c r="A6518" t="inlineStr">
        <is>
          <t>A 10413-2024</t>
        </is>
      </c>
      <c r="B6518" s="1" t="n">
        <v>45365</v>
      </c>
      <c r="C6518" s="1" t="n">
        <v>46093</v>
      </c>
      <c r="D6518" t="inlineStr">
        <is>
          <t>VÄSTERNORRLANDS LÄN</t>
        </is>
      </c>
      <c r="E6518" t="inlineStr">
        <is>
          <t>KRAMFORS</t>
        </is>
      </c>
      <c r="G6518" t="n">
        <v>3.6</v>
      </c>
      <c r="H6518" t="n">
        <v>0</v>
      </c>
      <c r="I6518" t="n">
        <v>0</v>
      </c>
      <c r="J6518" t="n">
        <v>0</v>
      </c>
      <c r="K6518" t="n">
        <v>0</v>
      </c>
      <c r="L6518" t="n">
        <v>0</v>
      </c>
      <c r="M6518" t="n">
        <v>0</v>
      </c>
      <c r="N6518" t="n">
        <v>0</v>
      </c>
      <c r="O6518" t="n">
        <v>0</v>
      </c>
      <c r="P6518" t="n">
        <v>0</v>
      </c>
      <c r="Q6518" t="n">
        <v>0</v>
      </c>
      <c r="R6518" s="2" t="inlineStr"/>
    </row>
    <row r="6519" ht="15" customHeight="1">
      <c r="A6519" t="inlineStr">
        <is>
          <t>A 50217-2025</t>
        </is>
      </c>
      <c r="B6519" s="1" t="n">
        <v>45943</v>
      </c>
      <c r="C6519" s="1" t="n">
        <v>46093</v>
      </c>
      <c r="D6519" t="inlineStr">
        <is>
          <t>VÄSTERNORRLANDS LÄN</t>
        </is>
      </c>
      <c r="E6519" t="inlineStr">
        <is>
          <t>KRAMFORS</t>
        </is>
      </c>
      <c r="G6519" t="n">
        <v>11.2</v>
      </c>
      <c r="H6519" t="n">
        <v>0</v>
      </c>
      <c r="I6519" t="n">
        <v>0</v>
      </c>
      <c r="J6519" t="n">
        <v>0</v>
      </c>
      <c r="K6519" t="n">
        <v>0</v>
      </c>
      <c r="L6519" t="n">
        <v>0</v>
      </c>
      <c r="M6519" t="n">
        <v>0</v>
      </c>
      <c r="N6519" t="n">
        <v>0</v>
      </c>
      <c r="O6519" t="n">
        <v>0</v>
      </c>
      <c r="P6519" t="n">
        <v>0</v>
      </c>
      <c r="Q6519" t="n">
        <v>0</v>
      </c>
      <c r="R6519" s="2" t="inlineStr"/>
    </row>
    <row r="6520" ht="15" customHeight="1">
      <c r="A6520" t="inlineStr">
        <is>
          <t>A 50228-2025</t>
        </is>
      </c>
      <c r="B6520" s="1" t="n">
        <v>45943.69835648148</v>
      </c>
      <c r="C6520" s="1" t="n">
        <v>46093</v>
      </c>
      <c r="D6520" t="inlineStr">
        <is>
          <t>VÄSTERNORRLANDS LÄN</t>
        </is>
      </c>
      <c r="E6520" t="inlineStr">
        <is>
          <t>SUNDSVALL</t>
        </is>
      </c>
      <c r="F6520" t="inlineStr">
        <is>
          <t>SCA</t>
        </is>
      </c>
      <c r="G6520" t="n">
        <v>6.3</v>
      </c>
      <c r="H6520" t="n">
        <v>0</v>
      </c>
      <c r="I6520" t="n">
        <v>0</v>
      </c>
      <c r="J6520" t="n">
        <v>0</v>
      </c>
      <c r="K6520" t="n">
        <v>0</v>
      </c>
      <c r="L6520" t="n">
        <v>0</v>
      </c>
      <c r="M6520" t="n">
        <v>0</v>
      </c>
      <c r="N6520" t="n">
        <v>0</v>
      </c>
      <c r="O6520" t="n">
        <v>0</v>
      </c>
      <c r="P6520" t="n">
        <v>0</v>
      </c>
      <c r="Q6520" t="n">
        <v>0</v>
      </c>
      <c r="R6520" s="2" t="inlineStr"/>
    </row>
    <row r="6521" ht="15" customHeight="1">
      <c r="A6521" t="inlineStr">
        <is>
          <t>A 13440-2025</t>
        </is>
      </c>
      <c r="B6521" s="1" t="n">
        <v>45736</v>
      </c>
      <c r="C6521" s="1" t="n">
        <v>46093</v>
      </c>
      <c r="D6521" t="inlineStr">
        <is>
          <t>VÄSTERNORRLANDS LÄN</t>
        </is>
      </c>
      <c r="E6521" t="inlineStr">
        <is>
          <t>SUNDSVALL</t>
        </is>
      </c>
      <c r="F6521" t="inlineStr">
        <is>
          <t>SCA</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58775-2022</t>
        </is>
      </c>
      <c r="B6522" s="1" t="n">
        <v>44903.38847222222</v>
      </c>
      <c r="C6522" s="1" t="n">
        <v>46093</v>
      </c>
      <c r="D6522" t="inlineStr">
        <is>
          <t>VÄSTERNORRLANDS LÄN</t>
        </is>
      </c>
      <c r="E6522" t="inlineStr">
        <is>
          <t>ÖRNSKÖLDSVIK</t>
        </is>
      </c>
      <c r="F6522" t="inlineStr">
        <is>
          <t>Holmen skog AB</t>
        </is>
      </c>
      <c r="G6522" t="n">
        <v>2.8</v>
      </c>
      <c r="H6522" t="n">
        <v>0</v>
      </c>
      <c r="I6522" t="n">
        <v>0</v>
      </c>
      <c r="J6522" t="n">
        <v>0</v>
      </c>
      <c r="K6522" t="n">
        <v>0</v>
      </c>
      <c r="L6522" t="n">
        <v>0</v>
      </c>
      <c r="M6522" t="n">
        <v>0</v>
      </c>
      <c r="N6522" t="n">
        <v>0</v>
      </c>
      <c r="O6522" t="n">
        <v>0</v>
      </c>
      <c r="P6522" t="n">
        <v>0</v>
      </c>
      <c r="Q6522" t="n">
        <v>0</v>
      </c>
      <c r="R6522" s="2" t="inlineStr"/>
    </row>
    <row r="6523" ht="15" customHeight="1">
      <c r="A6523" t="inlineStr">
        <is>
          <t>A 50283-2025</t>
        </is>
      </c>
      <c r="B6523" s="1" t="n">
        <v>45944.38641203703</v>
      </c>
      <c r="C6523" s="1" t="n">
        <v>46093</v>
      </c>
      <c r="D6523" t="inlineStr">
        <is>
          <t>VÄSTERNORRLANDS LÄN</t>
        </is>
      </c>
      <c r="E6523" t="inlineStr">
        <is>
          <t>SOLLEFTEÅ</t>
        </is>
      </c>
      <c r="F6523" t="inlineStr">
        <is>
          <t>SCA</t>
        </is>
      </c>
      <c r="G6523" t="n">
        <v>7</v>
      </c>
      <c r="H6523" t="n">
        <v>0</v>
      </c>
      <c r="I6523" t="n">
        <v>0</v>
      </c>
      <c r="J6523" t="n">
        <v>0</v>
      </c>
      <c r="K6523" t="n">
        <v>0</v>
      </c>
      <c r="L6523" t="n">
        <v>0</v>
      </c>
      <c r="M6523" t="n">
        <v>0</v>
      </c>
      <c r="N6523" t="n">
        <v>0</v>
      </c>
      <c r="O6523" t="n">
        <v>0</v>
      </c>
      <c r="P6523" t="n">
        <v>0</v>
      </c>
      <c r="Q6523" t="n">
        <v>0</v>
      </c>
      <c r="R6523" s="2" t="inlineStr"/>
    </row>
    <row r="6524" ht="15" customHeight="1">
      <c r="A6524" t="inlineStr">
        <is>
          <t>A 60003-2023</t>
        </is>
      </c>
      <c r="B6524" s="1" t="n">
        <v>45257</v>
      </c>
      <c r="C6524" s="1" t="n">
        <v>46093</v>
      </c>
      <c r="D6524" t="inlineStr">
        <is>
          <t>VÄSTERNORRLANDS LÄN</t>
        </is>
      </c>
      <c r="E6524" t="inlineStr">
        <is>
          <t>ÅNGE</t>
        </is>
      </c>
      <c r="F6524" t="inlineStr">
        <is>
          <t>SCA</t>
        </is>
      </c>
      <c r="G6524" t="n">
        <v>2.7</v>
      </c>
      <c r="H6524" t="n">
        <v>0</v>
      </c>
      <c r="I6524" t="n">
        <v>0</v>
      </c>
      <c r="J6524" t="n">
        <v>0</v>
      </c>
      <c r="K6524" t="n">
        <v>0</v>
      </c>
      <c r="L6524" t="n">
        <v>0</v>
      </c>
      <c r="M6524" t="n">
        <v>0</v>
      </c>
      <c r="N6524" t="n">
        <v>0</v>
      </c>
      <c r="O6524" t="n">
        <v>0</v>
      </c>
      <c r="P6524" t="n">
        <v>0</v>
      </c>
      <c r="Q6524" t="n">
        <v>0</v>
      </c>
      <c r="R6524" s="2" t="inlineStr"/>
    </row>
    <row r="6525" ht="15" customHeight="1">
      <c r="A6525" t="inlineStr">
        <is>
          <t>A 50382-2025</t>
        </is>
      </c>
      <c r="B6525" s="1" t="n">
        <v>45944.60185185185</v>
      </c>
      <c r="C6525" s="1" t="n">
        <v>46093</v>
      </c>
      <c r="D6525" t="inlineStr">
        <is>
          <t>VÄSTERNORRLANDS LÄN</t>
        </is>
      </c>
      <c r="E6525" t="inlineStr">
        <is>
          <t>ÖRNSKÖLDSVIK</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6445-2023</t>
        </is>
      </c>
      <c r="B6526" s="1" t="n">
        <v>44965</v>
      </c>
      <c r="C6526" s="1" t="n">
        <v>46093</v>
      </c>
      <c r="D6526" t="inlineStr">
        <is>
          <t>VÄSTERNORRLANDS LÄN</t>
        </is>
      </c>
      <c r="E6526" t="inlineStr">
        <is>
          <t>KRAMFORS</t>
        </is>
      </c>
      <c r="G6526" t="n">
        <v>5.2</v>
      </c>
      <c r="H6526" t="n">
        <v>0</v>
      </c>
      <c r="I6526" t="n">
        <v>0</v>
      </c>
      <c r="J6526" t="n">
        <v>0</v>
      </c>
      <c r="K6526" t="n">
        <v>0</v>
      </c>
      <c r="L6526" t="n">
        <v>0</v>
      </c>
      <c r="M6526" t="n">
        <v>0</v>
      </c>
      <c r="N6526" t="n">
        <v>0</v>
      </c>
      <c r="O6526" t="n">
        <v>0</v>
      </c>
      <c r="P6526" t="n">
        <v>0</v>
      </c>
      <c r="Q6526" t="n">
        <v>0</v>
      </c>
      <c r="R6526" s="2" t="inlineStr"/>
    </row>
    <row r="6527" ht="15" customHeight="1">
      <c r="A6527" t="inlineStr">
        <is>
          <t>A 6446-2023</t>
        </is>
      </c>
      <c r="B6527" s="1" t="n">
        <v>44965</v>
      </c>
      <c r="C6527" s="1" t="n">
        <v>46093</v>
      </c>
      <c r="D6527" t="inlineStr">
        <is>
          <t>VÄSTERNORRLANDS LÄN</t>
        </is>
      </c>
      <c r="E6527" t="inlineStr">
        <is>
          <t>KRAMFORS</t>
        </is>
      </c>
      <c r="G6527" t="n">
        <v>3.8</v>
      </c>
      <c r="H6527" t="n">
        <v>0</v>
      </c>
      <c r="I6527" t="n">
        <v>0</v>
      </c>
      <c r="J6527" t="n">
        <v>0</v>
      </c>
      <c r="K6527" t="n">
        <v>0</v>
      </c>
      <c r="L6527" t="n">
        <v>0</v>
      </c>
      <c r="M6527" t="n">
        <v>0</v>
      </c>
      <c r="N6527" t="n">
        <v>0</v>
      </c>
      <c r="O6527" t="n">
        <v>0</v>
      </c>
      <c r="P6527" t="n">
        <v>0</v>
      </c>
      <c r="Q6527" t="n">
        <v>0</v>
      </c>
      <c r="R6527" s="2" t="inlineStr"/>
    </row>
    <row r="6528" ht="15" customHeight="1">
      <c r="A6528" t="inlineStr">
        <is>
          <t>A 6449-2023</t>
        </is>
      </c>
      <c r="B6528" s="1" t="n">
        <v>44965.92510416666</v>
      </c>
      <c r="C6528" s="1" t="n">
        <v>46093</v>
      </c>
      <c r="D6528" t="inlineStr">
        <is>
          <t>VÄSTERNORRLANDS LÄN</t>
        </is>
      </c>
      <c r="E6528" t="inlineStr">
        <is>
          <t>KRAMFORS</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213-2024</t>
        </is>
      </c>
      <c r="B6529" s="1" t="n">
        <v>45293</v>
      </c>
      <c r="C6529" s="1" t="n">
        <v>46093</v>
      </c>
      <c r="D6529" t="inlineStr">
        <is>
          <t>VÄSTERNORRLANDS LÄN</t>
        </is>
      </c>
      <c r="E6529" t="inlineStr">
        <is>
          <t>ÅNGE</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43627-2024</t>
        </is>
      </c>
      <c r="B6530" s="1" t="n">
        <v>45569.49006944444</v>
      </c>
      <c r="C6530" s="1" t="n">
        <v>46093</v>
      </c>
      <c r="D6530" t="inlineStr">
        <is>
          <t>VÄSTERNORRLANDS LÄN</t>
        </is>
      </c>
      <c r="E6530" t="inlineStr">
        <is>
          <t>SOLLEFTEÅ</t>
        </is>
      </c>
      <c r="F6530" t="inlineStr">
        <is>
          <t>SCA</t>
        </is>
      </c>
      <c r="G6530" t="n">
        <v>2.8</v>
      </c>
      <c r="H6530" t="n">
        <v>0</v>
      </c>
      <c r="I6530" t="n">
        <v>0</v>
      </c>
      <c r="J6530" t="n">
        <v>0</v>
      </c>
      <c r="K6530" t="n">
        <v>0</v>
      </c>
      <c r="L6530" t="n">
        <v>0</v>
      </c>
      <c r="M6530" t="n">
        <v>0</v>
      </c>
      <c r="N6530" t="n">
        <v>0</v>
      </c>
      <c r="O6530" t="n">
        <v>0</v>
      </c>
      <c r="P6530" t="n">
        <v>0</v>
      </c>
      <c r="Q6530" t="n">
        <v>0</v>
      </c>
      <c r="R6530" s="2" t="inlineStr"/>
    </row>
    <row r="6531" ht="15" customHeight="1">
      <c r="A6531" t="inlineStr">
        <is>
          <t>A 50402-2025</t>
        </is>
      </c>
      <c r="B6531" s="1" t="n">
        <v>45944.63606481482</v>
      </c>
      <c r="C6531" s="1" t="n">
        <v>46093</v>
      </c>
      <c r="D6531" t="inlineStr">
        <is>
          <t>VÄSTERNORRLANDS LÄN</t>
        </is>
      </c>
      <c r="E6531" t="inlineStr">
        <is>
          <t>SOLLEFTEÅ</t>
        </is>
      </c>
      <c r="F6531" t="inlineStr">
        <is>
          <t>SCA</t>
        </is>
      </c>
      <c r="G6531" t="n">
        <v>6.1</v>
      </c>
      <c r="H6531" t="n">
        <v>0</v>
      </c>
      <c r="I6531" t="n">
        <v>0</v>
      </c>
      <c r="J6531" t="n">
        <v>0</v>
      </c>
      <c r="K6531" t="n">
        <v>0</v>
      </c>
      <c r="L6531" t="n">
        <v>0</v>
      </c>
      <c r="M6531" t="n">
        <v>0</v>
      </c>
      <c r="N6531" t="n">
        <v>0</v>
      </c>
      <c r="O6531" t="n">
        <v>0</v>
      </c>
      <c r="P6531" t="n">
        <v>0</v>
      </c>
      <c r="Q6531" t="n">
        <v>0</v>
      </c>
      <c r="R6531" s="2" t="inlineStr"/>
    </row>
    <row r="6532" ht="15" customHeight="1">
      <c r="A6532" t="inlineStr">
        <is>
          <t>A 40788-2024</t>
        </is>
      </c>
      <c r="B6532" s="1" t="n">
        <v>45558.50974537037</v>
      </c>
      <c r="C6532" s="1" t="n">
        <v>46093</v>
      </c>
      <c r="D6532" t="inlineStr">
        <is>
          <t>VÄSTERNORRLANDS LÄN</t>
        </is>
      </c>
      <c r="E6532" t="inlineStr">
        <is>
          <t>ÅNGE</t>
        </is>
      </c>
      <c r="G6532" t="n">
        <v>4.2</v>
      </c>
      <c r="H6532" t="n">
        <v>0</v>
      </c>
      <c r="I6532" t="n">
        <v>0</v>
      </c>
      <c r="J6532" t="n">
        <v>0</v>
      </c>
      <c r="K6532" t="n">
        <v>0</v>
      </c>
      <c r="L6532" t="n">
        <v>0</v>
      </c>
      <c r="M6532" t="n">
        <v>0</v>
      </c>
      <c r="N6532" t="n">
        <v>0</v>
      </c>
      <c r="O6532" t="n">
        <v>0</v>
      </c>
      <c r="P6532" t="n">
        <v>0</v>
      </c>
      <c r="Q6532" t="n">
        <v>0</v>
      </c>
      <c r="R6532" s="2" t="inlineStr"/>
    </row>
    <row r="6533" ht="15" customHeight="1">
      <c r="A6533" t="inlineStr">
        <is>
          <t>A 863-2024</t>
        </is>
      </c>
      <c r="B6533" s="1" t="n">
        <v>45301.28461805556</v>
      </c>
      <c r="C6533" s="1" t="n">
        <v>46093</v>
      </c>
      <c r="D6533" t="inlineStr">
        <is>
          <t>VÄSTERNORRLANDS LÄN</t>
        </is>
      </c>
      <c r="E6533" t="inlineStr">
        <is>
          <t>ÖRNSKÖLDSVIK</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12734-2023</t>
        </is>
      </c>
      <c r="B6534" s="1" t="n">
        <v>45000.92436342593</v>
      </c>
      <c r="C6534" s="1" t="n">
        <v>46093</v>
      </c>
      <c r="D6534" t="inlineStr">
        <is>
          <t>VÄSTERNORRLANDS LÄN</t>
        </is>
      </c>
      <c r="E6534" t="inlineStr">
        <is>
          <t>SOLLEFTEÅ</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50017-2025</t>
        </is>
      </c>
      <c r="B6535" s="1" t="n">
        <v>45943.36004629629</v>
      </c>
      <c r="C6535" s="1" t="n">
        <v>46093</v>
      </c>
      <c r="D6535" t="inlineStr">
        <is>
          <t>VÄSTERNORRLANDS LÄN</t>
        </is>
      </c>
      <c r="E6535" t="inlineStr">
        <is>
          <t>ÖRNSKÖLDSVIK</t>
        </is>
      </c>
      <c r="F6535" t="inlineStr">
        <is>
          <t>Holmen skog AB</t>
        </is>
      </c>
      <c r="G6535" t="n">
        <v>8.300000000000001</v>
      </c>
      <c r="H6535" t="n">
        <v>0</v>
      </c>
      <c r="I6535" t="n">
        <v>0</v>
      </c>
      <c r="J6535" t="n">
        <v>0</v>
      </c>
      <c r="K6535" t="n">
        <v>0</v>
      </c>
      <c r="L6535" t="n">
        <v>0</v>
      </c>
      <c r="M6535" t="n">
        <v>0</v>
      </c>
      <c r="N6535" t="n">
        <v>0</v>
      </c>
      <c r="O6535" t="n">
        <v>0</v>
      </c>
      <c r="P6535" t="n">
        <v>0</v>
      </c>
      <c r="Q6535" t="n">
        <v>0</v>
      </c>
      <c r="R6535" s="2" t="inlineStr"/>
    </row>
    <row r="6536" ht="15" customHeight="1">
      <c r="A6536" t="inlineStr">
        <is>
          <t>A 19235-2023</t>
        </is>
      </c>
      <c r="B6536" s="1" t="n">
        <v>45048.92684027777</v>
      </c>
      <c r="C6536" s="1" t="n">
        <v>46093</v>
      </c>
      <c r="D6536" t="inlineStr">
        <is>
          <t>VÄSTERNORRLANDS LÄN</t>
        </is>
      </c>
      <c r="E6536" t="inlineStr">
        <is>
          <t>SUNDSVALL</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19236-2023</t>
        </is>
      </c>
      <c r="B6537" s="1" t="n">
        <v>45048</v>
      </c>
      <c r="C6537" s="1" t="n">
        <v>46093</v>
      </c>
      <c r="D6537" t="inlineStr">
        <is>
          <t>VÄSTERNORRLANDS LÄN</t>
        </is>
      </c>
      <c r="E6537" t="inlineStr">
        <is>
          <t>SUNDSVALL</t>
        </is>
      </c>
      <c r="G6537" t="n">
        <v>3.4</v>
      </c>
      <c r="H6537" t="n">
        <v>0</v>
      </c>
      <c r="I6537" t="n">
        <v>0</v>
      </c>
      <c r="J6537" t="n">
        <v>0</v>
      </c>
      <c r="K6537" t="n">
        <v>0</v>
      </c>
      <c r="L6537" t="n">
        <v>0</v>
      </c>
      <c r="M6537" t="n">
        <v>0</v>
      </c>
      <c r="N6537" t="n">
        <v>0</v>
      </c>
      <c r="O6537" t="n">
        <v>0</v>
      </c>
      <c r="P6537" t="n">
        <v>0</v>
      </c>
      <c r="Q6537" t="n">
        <v>0</v>
      </c>
      <c r="R6537" s="2" t="inlineStr"/>
    </row>
    <row r="6538" ht="15" customHeight="1">
      <c r="A6538" t="inlineStr">
        <is>
          <t>A 12820-2023</t>
        </is>
      </c>
      <c r="B6538" s="1" t="n">
        <v>45000</v>
      </c>
      <c r="C6538" s="1" t="n">
        <v>46093</v>
      </c>
      <c r="D6538" t="inlineStr">
        <is>
          <t>VÄSTERNORRLANDS LÄN</t>
        </is>
      </c>
      <c r="E6538" t="inlineStr">
        <is>
          <t>SOLLEFTEÅ</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27391-2023</t>
        </is>
      </c>
      <c r="B6539" s="1" t="n">
        <v>45096.93991898148</v>
      </c>
      <c r="C6539" s="1" t="n">
        <v>46093</v>
      </c>
      <c r="D6539" t="inlineStr">
        <is>
          <t>VÄSTERNORRLANDS LÄN</t>
        </is>
      </c>
      <c r="E6539" t="inlineStr">
        <is>
          <t>SOLLEFTEÅ</t>
        </is>
      </c>
      <c r="F6539" t="inlineStr">
        <is>
          <t>SCA</t>
        </is>
      </c>
      <c r="G6539" t="n">
        <v>3.7</v>
      </c>
      <c r="H6539" t="n">
        <v>0</v>
      </c>
      <c r="I6539" t="n">
        <v>0</v>
      </c>
      <c r="J6539" t="n">
        <v>0</v>
      </c>
      <c r="K6539" t="n">
        <v>0</v>
      </c>
      <c r="L6539" t="n">
        <v>0</v>
      </c>
      <c r="M6539" t="n">
        <v>0</v>
      </c>
      <c r="N6539" t="n">
        <v>0</v>
      </c>
      <c r="O6539" t="n">
        <v>0</v>
      </c>
      <c r="P6539" t="n">
        <v>0</v>
      </c>
      <c r="Q6539" t="n">
        <v>0</v>
      </c>
      <c r="R6539" s="2" t="inlineStr"/>
    </row>
    <row r="6540" ht="15" customHeight="1">
      <c r="A6540" t="inlineStr">
        <is>
          <t>A 61297-2023</t>
        </is>
      </c>
      <c r="B6540" s="1" t="n">
        <v>45261</v>
      </c>
      <c r="C6540" s="1" t="n">
        <v>46093</v>
      </c>
      <c r="D6540" t="inlineStr">
        <is>
          <t>VÄSTERNORRLANDS LÄN</t>
        </is>
      </c>
      <c r="E6540" t="inlineStr">
        <is>
          <t>ÖRNSKÖLDSVIK</t>
        </is>
      </c>
      <c r="G6540" t="n">
        <v>5.6</v>
      </c>
      <c r="H6540" t="n">
        <v>0</v>
      </c>
      <c r="I6540" t="n">
        <v>0</v>
      </c>
      <c r="J6540" t="n">
        <v>0</v>
      </c>
      <c r="K6540" t="n">
        <v>0</v>
      </c>
      <c r="L6540" t="n">
        <v>0</v>
      </c>
      <c r="M6540" t="n">
        <v>0</v>
      </c>
      <c r="N6540" t="n">
        <v>0</v>
      </c>
      <c r="O6540" t="n">
        <v>0</v>
      </c>
      <c r="P6540" t="n">
        <v>0</v>
      </c>
      <c r="Q6540" t="n">
        <v>0</v>
      </c>
      <c r="R6540" s="2" t="inlineStr"/>
    </row>
    <row r="6541" ht="15" customHeight="1">
      <c r="A6541" t="inlineStr">
        <is>
          <t>A 50291-2025</t>
        </is>
      </c>
      <c r="B6541" s="1" t="n">
        <v>45944.40677083333</v>
      </c>
      <c r="C6541" s="1" t="n">
        <v>46093</v>
      </c>
      <c r="D6541" t="inlineStr">
        <is>
          <t>VÄSTERNORRLANDS LÄN</t>
        </is>
      </c>
      <c r="E6541" t="inlineStr">
        <is>
          <t>ÅNGE</t>
        </is>
      </c>
      <c r="F6541" t="inlineStr">
        <is>
          <t>SCA</t>
        </is>
      </c>
      <c r="G6541" t="n">
        <v>3.2</v>
      </c>
      <c r="H6541" t="n">
        <v>0</v>
      </c>
      <c r="I6541" t="n">
        <v>0</v>
      </c>
      <c r="J6541" t="n">
        <v>0</v>
      </c>
      <c r="K6541" t="n">
        <v>0</v>
      </c>
      <c r="L6541" t="n">
        <v>0</v>
      </c>
      <c r="M6541" t="n">
        <v>0</v>
      </c>
      <c r="N6541" t="n">
        <v>0</v>
      </c>
      <c r="O6541" t="n">
        <v>0</v>
      </c>
      <c r="P6541" t="n">
        <v>0</v>
      </c>
      <c r="Q6541" t="n">
        <v>0</v>
      </c>
      <c r="R6541" s="2" t="inlineStr"/>
    </row>
    <row r="6542" ht="15" customHeight="1">
      <c r="A6542" t="inlineStr">
        <is>
          <t>A 20599-2023</t>
        </is>
      </c>
      <c r="B6542" s="1" t="n">
        <v>45057.94172453704</v>
      </c>
      <c r="C6542" s="1" t="n">
        <v>46093</v>
      </c>
      <c r="D6542" t="inlineStr">
        <is>
          <t>VÄSTERNORRLANDS LÄN</t>
        </is>
      </c>
      <c r="E6542" t="inlineStr">
        <is>
          <t>SOLLEFTEÅ</t>
        </is>
      </c>
      <c r="F6542" t="inlineStr">
        <is>
          <t>SCA</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50127-2025</t>
        </is>
      </c>
      <c r="B6543" s="1" t="n">
        <v>45943.55300925926</v>
      </c>
      <c r="C6543" s="1" t="n">
        <v>46093</v>
      </c>
      <c r="D6543" t="inlineStr">
        <is>
          <t>VÄSTERNORRLANDS LÄN</t>
        </is>
      </c>
      <c r="E6543" t="inlineStr">
        <is>
          <t>ÖRNSKÖLDSVIK</t>
        </is>
      </c>
      <c r="F6543" t="inlineStr">
        <is>
          <t>Holmen skog AB</t>
        </is>
      </c>
      <c r="G6543" t="n">
        <v>3.7</v>
      </c>
      <c r="H6543" t="n">
        <v>0</v>
      </c>
      <c r="I6543" t="n">
        <v>0</v>
      </c>
      <c r="J6543" t="n">
        <v>0</v>
      </c>
      <c r="K6543" t="n">
        <v>0</v>
      </c>
      <c r="L6543" t="n">
        <v>0</v>
      </c>
      <c r="M6543" t="n">
        <v>0</v>
      </c>
      <c r="N6543" t="n">
        <v>0</v>
      </c>
      <c r="O6543" t="n">
        <v>0</v>
      </c>
      <c r="P6543" t="n">
        <v>0</v>
      </c>
      <c r="Q6543" t="n">
        <v>0</v>
      </c>
      <c r="R6543" s="2" t="inlineStr"/>
    </row>
    <row r="6544" ht="15" customHeight="1">
      <c r="A6544" t="inlineStr">
        <is>
          <t>A 50285-2025</t>
        </is>
      </c>
      <c r="B6544" s="1" t="n">
        <v>45944.39403935185</v>
      </c>
      <c r="C6544" s="1" t="n">
        <v>46093</v>
      </c>
      <c r="D6544" t="inlineStr">
        <is>
          <t>VÄSTERNORRLANDS LÄN</t>
        </is>
      </c>
      <c r="E6544" t="inlineStr">
        <is>
          <t>ÖRNSKÖLDSVIK</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68315-2021</t>
        </is>
      </c>
      <c r="B6545" s="1" t="n">
        <v>44526</v>
      </c>
      <c r="C6545" s="1" t="n">
        <v>46093</v>
      </c>
      <c r="D6545" t="inlineStr">
        <is>
          <t>VÄSTERNORRLANDS LÄN</t>
        </is>
      </c>
      <c r="E6545" t="inlineStr">
        <is>
          <t>ÖRNSKÖLDSVIK</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50293-2025</t>
        </is>
      </c>
      <c r="B6546" s="1" t="n">
        <v>45944.40810185186</v>
      </c>
      <c r="C6546" s="1" t="n">
        <v>46093</v>
      </c>
      <c r="D6546" t="inlineStr">
        <is>
          <t>VÄSTERNORRLANDS LÄN</t>
        </is>
      </c>
      <c r="E6546" t="inlineStr">
        <is>
          <t>SUNDSVALL</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11039-2023</t>
        </is>
      </c>
      <c r="B6547" s="1" t="n">
        <v>44991.94622685185</v>
      </c>
      <c r="C6547" s="1" t="n">
        <v>46093</v>
      </c>
      <c r="D6547" t="inlineStr">
        <is>
          <t>VÄSTERNORRLANDS LÄN</t>
        </is>
      </c>
      <c r="E6547" t="inlineStr">
        <is>
          <t>SOLLEFTEÅ</t>
        </is>
      </c>
      <c r="F6547" t="inlineStr">
        <is>
          <t>SCA</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50265-2025</t>
        </is>
      </c>
      <c r="B6548" s="1" t="n">
        <v>45944.34559027778</v>
      </c>
      <c r="C6548" s="1" t="n">
        <v>46093</v>
      </c>
      <c r="D6548" t="inlineStr">
        <is>
          <t>VÄSTERNORRLANDS LÄN</t>
        </is>
      </c>
      <c r="E6548" t="inlineStr">
        <is>
          <t>SUNDSVALL</t>
        </is>
      </c>
      <c r="G6548" t="n">
        <v>4.8</v>
      </c>
      <c r="H6548" t="n">
        <v>0</v>
      </c>
      <c r="I6548" t="n">
        <v>0</v>
      </c>
      <c r="J6548" t="n">
        <v>0</v>
      </c>
      <c r="K6548" t="n">
        <v>0</v>
      </c>
      <c r="L6548" t="n">
        <v>0</v>
      </c>
      <c r="M6548" t="n">
        <v>0</v>
      </c>
      <c r="N6548" t="n">
        <v>0</v>
      </c>
      <c r="O6548" t="n">
        <v>0</v>
      </c>
      <c r="P6548" t="n">
        <v>0</v>
      </c>
      <c r="Q6548" t="n">
        <v>0</v>
      </c>
      <c r="R6548" s="2" t="inlineStr"/>
    </row>
    <row r="6549" ht="15" customHeight="1">
      <c r="A6549" t="inlineStr">
        <is>
          <t>A 37303-2025</t>
        </is>
      </c>
      <c r="B6549" s="1" t="n">
        <v>45876.59445601852</v>
      </c>
      <c r="C6549" s="1" t="n">
        <v>46093</v>
      </c>
      <c r="D6549" t="inlineStr">
        <is>
          <t>VÄSTERNORRLANDS LÄN</t>
        </is>
      </c>
      <c r="E6549" t="inlineStr">
        <is>
          <t>ÅNGE</t>
        </is>
      </c>
      <c r="F6549" t="inlineStr">
        <is>
          <t>SCA</t>
        </is>
      </c>
      <c r="G6549" t="n">
        <v>3.9</v>
      </c>
      <c r="H6549" t="n">
        <v>0</v>
      </c>
      <c r="I6549" t="n">
        <v>0</v>
      </c>
      <c r="J6549" t="n">
        <v>0</v>
      </c>
      <c r="K6549" t="n">
        <v>0</v>
      </c>
      <c r="L6549" t="n">
        <v>0</v>
      </c>
      <c r="M6549" t="n">
        <v>0</v>
      </c>
      <c r="N6549" t="n">
        <v>0</v>
      </c>
      <c r="O6549" t="n">
        <v>0</v>
      </c>
      <c r="P6549" t="n">
        <v>0</v>
      </c>
      <c r="Q6549" t="n">
        <v>0</v>
      </c>
      <c r="R6549" s="2" t="inlineStr"/>
    </row>
    <row r="6550" ht="15" customHeight="1">
      <c r="A6550" t="inlineStr">
        <is>
          <t>A 37304-2025</t>
        </is>
      </c>
      <c r="B6550" s="1" t="n">
        <v>45876.59458333333</v>
      </c>
      <c r="C6550" s="1" t="n">
        <v>46093</v>
      </c>
      <c r="D6550" t="inlineStr">
        <is>
          <t>VÄSTERNORRLANDS LÄN</t>
        </is>
      </c>
      <c r="E6550" t="inlineStr">
        <is>
          <t>SOLLEFTEÅ</t>
        </is>
      </c>
      <c r="F6550" t="inlineStr">
        <is>
          <t>SCA</t>
        </is>
      </c>
      <c r="G6550" t="n">
        <v>9.199999999999999</v>
      </c>
      <c r="H6550" t="n">
        <v>0</v>
      </c>
      <c r="I6550" t="n">
        <v>0</v>
      </c>
      <c r="J6550" t="n">
        <v>0</v>
      </c>
      <c r="K6550" t="n">
        <v>0</v>
      </c>
      <c r="L6550" t="n">
        <v>0</v>
      </c>
      <c r="M6550" t="n">
        <v>0</v>
      </c>
      <c r="N6550" t="n">
        <v>0</v>
      </c>
      <c r="O6550" t="n">
        <v>0</v>
      </c>
      <c r="P6550" t="n">
        <v>0</v>
      </c>
      <c r="Q6550" t="n">
        <v>0</v>
      </c>
      <c r="R6550" s="2" t="inlineStr"/>
    </row>
    <row r="6551" ht="15" customHeight="1">
      <c r="A6551" t="inlineStr">
        <is>
          <t>A 50493-2025</t>
        </is>
      </c>
      <c r="B6551" s="1" t="n">
        <v>45945.40685185185</v>
      </c>
      <c r="C6551" s="1" t="n">
        <v>46093</v>
      </c>
      <c r="D6551" t="inlineStr">
        <is>
          <t>VÄSTERNORRLANDS LÄN</t>
        </is>
      </c>
      <c r="E6551" t="inlineStr">
        <is>
          <t>SOLLEFTEÅ</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33368-2024</t>
        </is>
      </c>
      <c r="B6552" s="1" t="n">
        <v>45519</v>
      </c>
      <c r="C6552" s="1" t="n">
        <v>46093</v>
      </c>
      <c r="D6552" t="inlineStr">
        <is>
          <t>VÄSTERNORRLANDS LÄN</t>
        </is>
      </c>
      <c r="E6552" t="inlineStr">
        <is>
          <t>ÖRNSKÖLDSVIK</t>
        </is>
      </c>
      <c r="F6552" t="inlineStr">
        <is>
          <t>Holmen skog AB</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50767-2025</t>
        </is>
      </c>
      <c r="B6553" s="1" t="n">
        <v>45946</v>
      </c>
      <c r="C6553" s="1" t="n">
        <v>46093</v>
      </c>
      <c r="D6553" t="inlineStr">
        <is>
          <t>VÄSTERNORRLANDS LÄN</t>
        </is>
      </c>
      <c r="E6553" t="inlineStr">
        <is>
          <t>ÅNGE</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50769-2025</t>
        </is>
      </c>
      <c r="B6554" s="1" t="n">
        <v>45946.44864583333</v>
      </c>
      <c r="C6554" s="1" t="n">
        <v>46093</v>
      </c>
      <c r="D6554" t="inlineStr">
        <is>
          <t>VÄSTERNORRLANDS LÄN</t>
        </is>
      </c>
      <c r="E6554" t="inlineStr">
        <is>
          <t>ÅNGE</t>
        </is>
      </c>
      <c r="G6554" t="n">
        <v>3.4</v>
      </c>
      <c r="H6554" t="n">
        <v>0</v>
      </c>
      <c r="I6554" t="n">
        <v>0</v>
      </c>
      <c r="J6554" t="n">
        <v>0</v>
      </c>
      <c r="K6554" t="n">
        <v>0</v>
      </c>
      <c r="L6554" t="n">
        <v>0</v>
      </c>
      <c r="M6554" t="n">
        <v>0</v>
      </c>
      <c r="N6554" t="n">
        <v>0</v>
      </c>
      <c r="O6554" t="n">
        <v>0</v>
      </c>
      <c r="P6554" t="n">
        <v>0</v>
      </c>
      <c r="Q6554" t="n">
        <v>0</v>
      </c>
      <c r="R6554" s="2" t="inlineStr"/>
    </row>
    <row r="6555" ht="15" customHeight="1">
      <c r="A6555" t="inlineStr">
        <is>
          <t>A 26962-2024</t>
        </is>
      </c>
      <c r="B6555" s="1" t="n">
        <v>45470.9716087963</v>
      </c>
      <c r="C6555" s="1" t="n">
        <v>46093</v>
      </c>
      <c r="D6555" t="inlineStr">
        <is>
          <t>VÄSTERNORRLANDS LÄN</t>
        </is>
      </c>
      <c r="E6555" t="inlineStr">
        <is>
          <t>SOLLEFTEÅ</t>
        </is>
      </c>
      <c r="F6555" t="inlineStr">
        <is>
          <t>SCA</t>
        </is>
      </c>
      <c r="G6555" t="n">
        <v>3.3</v>
      </c>
      <c r="H6555" t="n">
        <v>0</v>
      </c>
      <c r="I6555" t="n">
        <v>0</v>
      </c>
      <c r="J6555" t="n">
        <v>0</v>
      </c>
      <c r="K6555" t="n">
        <v>0</v>
      </c>
      <c r="L6555" t="n">
        <v>0</v>
      </c>
      <c r="M6555" t="n">
        <v>0</v>
      </c>
      <c r="N6555" t="n">
        <v>0</v>
      </c>
      <c r="O6555" t="n">
        <v>0</v>
      </c>
      <c r="P6555" t="n">
        <v>0</v>
      </c>
      <c r="Q6555" t="n">
        <v>0</v>
      </c>
      <c r="R6555" s="2" t="inlineStr"/>
    </row>
    <row r="6556" ht="15" customHeight="1">
      <c r="A6556" t="inlineStr">
        <is>
          <t>A 54723-2024</t>
        </is>
      </c>
      <c r="B6556" s="1" t="n">
        <v>45618.43747685185</v>
      </c>
      <c r="C6556" s="1" t="n">
        <v>46093</v>
      </c>
      <c r="D6556" t="inlineStr">
        <is>
          <t>VÄSTERNORRLANDS LÄN</t>
        </is>
      </c>
      <c r="E6556" t="inlineStr">
        <is>
          <t>TIMRÅ</t>
        </is>
      </c>
      <c r="F6556" t="inlineStr">
        <is>
          <t>SCA</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50675-2025</t>
        </is>
      </c>
      <c r="B6557" s="1" t="n">
        <v>45945.73092592593</v>
      </c>
      <c r="C6557" s="1" t="n">
        <v>46093</v>
      </c>
      <c r="D6557" t="inlineStr">
        <is>
          <t>VÄSTERNORRLANDS LÄN</t>
        </is>
      </c>
      <c r="E6557" t="inlineStr">
        <is>
          <t>ÖRNSKÖLDSVIK</t>
        </is>
      </c>
      <c r="F6557" t="inlineStr">
        <is>
          <t>Holmen skog AB</t>
        </is>
      </c>
      <c r="G6557" t="n">
        <v>13.5</v>
      </c>
      <c r="H6557" t="n">
        <v>0</v>
      </c>
      <c r="I6557" t="n">
        <v>0</v>
      </c>
      <c r="J6557" t="n">
        <v>0</v>
      </c>
      <c r="K6557" t="n">
        <v>0</v>
      </c>
      <c r="L6557" t="n">
        <v>0</v>
      </c>
      <c r="M6557" t="n">
        <v>0</v>
      </c>
      <c r="N6557" t="n">
        <v>0</v>
      </c>
      <c r="O6557" t="n">
        <v>0</v>
      </c>
      <c r="P6557" t="n">
        <v>0</v>
      </c>
      <c r="Q6557" t="n">
        <v>0</v>
      </c>
      <c r="R6557" s="2" t="inlineStr"/>
    </row>
    <row r="6558" ht="15" customHeight="1">
      <c r="A6558" t="inlineStr">
        <is>
          <t>A 26500-2024</t>
        </is>
      </c>
      <c r="B6558" s="1" t="n">
        <v>45469.57174768519</v>
      </c>
      <c r="C6558" s="1" t="n">
        <v>46093</v>
      </c>
      <c r="D6558" t="inlineStr">
        <is>
          <t>VÄSTERNORRLANDS LÄN</t>
        </is>
      </c>
      <c r="E6558" t="inlineStr">
        <is>
          <t>SOLLEFTEÅ</t>
        </is>
      </c>
      <c r="F6558" t="inlineStr">
        <is>
          <t>Holmen skog AB</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22235-2024</t>
        </is>
      </c>
      <c r="B6559" s="1" t="n">
        <v>45446</v>
      </c>
      <c r="C6559" s="1" t="n">
        <v>46093</v>
      </c>
      <c r="D6559" t="inlineStr">
        <is>
          <t>VÄSTERNORRLANDS LÄN</t>
        </is>
      </c>
      <c r="E6559" t="inlineStr">
        <is>
          <t>SOLLEFTEÅ</t>
        </is>
      </c>
      <c r="G6559" t="n">
        <v>2.7</v>
      </c>
      <c r="H6559" t="n">
        <v>0</v>
      </c>
      <c r="I6559" t="n">
        <v>0</v>
      </c>
      <c r="J6559" t="n">
        <v>0</v>
      </c>
      <c r="K6559" t="n">
        <v>0</v>
      </c>
      <c r="L6559" t="n">
        <v>0</v>
      </c>
      <c r="M6559" t="n">
        <v>0</v>
      </c>
      <c r="N6559" t="n">
        <v>0</v>
      </c>
      <c r="O6559" t="n">
        <v>0</v>
      </c>
      <c r="P6559" t="n">
        <v>0</v>
      </c>
      <c r="Q6559" t="n">
        <v>0</v>
      </c>
      <c r="R6559" s="2" t="inlineStr"/>
    </row>
    <row r="6560" ht="15" customHeight="1">
      <c r="A6560" t="inlineStr">
        <is>
          <t>A 50670-2025</t>
        </is>
      </c>
      <c r="B6560" s="1" t="n">
        <v>45945</v>
      </c>
      <c r="C6560" s="1" t="n">
        <v>46093</v>
      </c>
      <c r="D6560" t="inlineStr">
        <is>
          <t>VÄSTERNORRLANDS LÄN</t>
        </is>
      </c>
      <c r="E6560" t="inlineStr">
        <is>
          <t>ÖRNSKÖLDSVIK</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60111-2024</t>
        </is>
      </c>
      <c r="B6561" s="1" t="n">
        <v>45642</v>
      </c>
      <c r="C6561" s="1" t="n">
        <v>46093</v>
      </c>
      <c r="D6561" t="inlineStr">
        <is>
          <t>VÄSTERNORRLANDS LÄN</t>
        </is>
      </c>
      <c r="E6561" t="inlineStr">
        <is>
          <t>TIMRÅ</t>
        </is>
      </c>
      <c r="F6561" t="inlineStr">
        <is>
          <t>SCA</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57094-2024</t>
        </is>
      </c>
      <c r="B6562" s="1" t="n">
        <v>45629.35780092593</v>
      </c>
      <c r="C6562" s="1" t="n">
        <v>46093</v>
      </c>
      <c r="D6562" t="inlineStr">
        <is>
          <t>VÄSTERNORRLANDS LÄN</t>
        </is>
      </c>
      <c r="E6562" t="inlineStr">
        <is>
          <t>SOLLEFTEÅ</t>
        </is>
      </c>
      <c r="F6562" t="inlineStr">
        <is>
          <t>SCA</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3439-2025</t>
        </is>
      </c>
      <c r="B6563" s="1" t="n">
        <v>45680.44873842593</v>
      </c>
      <c r="C6563" s="1" t="n">
        <v>46093</v>
      </c>
      <c r="D6563" t="inlineStr">
        <is>
          <t>VÄSTERNORRLANDS LÄN</t>
        </is>
      </c>
      <c r="E6563" t="inlineStr">
        <is>
          <t>ÖRNSKÖLDSVIK</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50627-2025</t>
        </is>
      </c>
      <c r="B6564" s="1" t="n">
        <v>45945</v>
      </c>
      <c r="C6564" s="1" t="n">
        <v>46093</v>
      </c>
      <c r="D6564" t="inlineStr">
        <is>
          <t>VÄSTERNORRLANDS LÄN</t>
        </is>
      </c>
      <c r="E6564" t="inlineStr">
        <is>
          <t>SOLLEFTEÅ</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741-2024</t>
        </is>
      </c>
      <c r="B6565" s="1" t="n">
        <v>45300.46591435185</v>
      </c>
      <c r="C6565" s="1" t="n">
        <v>46093</v>
      </c>
      <c r="D6565" t="inlineStr">
        <is>
          <t>VÄSTERNORRLANDS LÄN</t>
        </is>
      </c>
      <c r="E6565" t="inlineStr">
        <is>
          <t>ÅNGE</t>
        </is>
      </c>
      <c r="G6565" t="n">
        <v>8</v>
      </c>
      <c r="H6565" t="n">
        <v>0</v>
      </c>
      <c r="I6565" t="n">
        <v>0</v>
      </c>
      <c r="J6565" t="n">
        <v>0</v>
      </c>
      <c r="K6565" t="n">
        <v>0</v>
      </c>
      <c r="L6565" t="n">
        <v>0</v>
      </c>
      <c r="M6565" t="n">
        <v>0</v>
      </c>
      <c r="N6565" t="n">
        <v>0</v>
      </c>
      <c r="O6565" t="n">
        <v>0</v>
      </c>
      <c r="P6565" t="n">
        <v>0</v>
      </c>
      <c r="Q6565" t="n">
        <v>0</v>
      </c>
      <c r="R6565" s="2" t="inlineStr"/>
    </row>
    <row r="6566" ht="15" customHeight="1">
      <c r="A6566" t="inlineStr">
        <is>
          <t>A 7820-2025</t>
        </is>
      </c>
      <c r="B6566" s="1" t="n">
        <v>45706</v>
      </c>
      <c r="C6566" s="1" t="n">
        <v>46093</v>
      </c>
      <c r="D6566" t="inlineStr">
        <is>
          <t>VÄSTERNORRLANDS LÄN</t>
        </is>
      </c>
      <c r="E6566" t="inlineStr">
        <is>
          <t>ÖRNSKÖLDSVIK</t>
        </is>
      </c>
      <c r="F6566" t="inlineStr">
        <is>
          <t>SCA</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50733-2025</t>
        </is>
      </c>
      <c r="B6567" s="1" t="n">
        <v>45946.36538194444</v>
      </c>
      <c r="C6567" s="1" t="n">
        <v>46093</v>
      </c>
      <c r="D6567" t="inlineStr">
        <is>
          <t>VÄSTERNORRLANDS LÄN</t>
        </is>
      </c>
      <c r="E6567" t="inlineStr">
        <is>
          <t>SOLLEFTEÅ</t>
        </is>
      </c>
      <c r="F6567" t="inlineStr">
        <is>
          <t>SCA</t>
        </is>
      </c>
      <c r="G6567" t="n">
        <v>15.3</v>
      </c>
      <c r="H6567" t="n">
        <v>0</v>
      </c>
      <c r="I6567" t="n">
        <v>0</v>
      </c>
      <c r="J6567" t="n">
        <v>0</v>
      </c>
      <c r="K6567" t="n">
        <v>0</v>
      </c>
      <c r="L6567" t="n">
        <v>0</v>
      </c>
      <c r="M6567" t="n">
        <v>0</v>
      </c>
      <c r="N6567" t="n">
        <v>0</v>
      </c>
      <c r="O6567" t="n">
        <v>0</v>
      </c>
      <c r="P6567" t="n">
        <v>0</v>
      </c>
      <c r="Q6567" t="n">
        <v>0</v>
      </c>
      <c r="R6567" s="2" t="inlineStr"/>
    </row>
    <row r="6568" ht="15" customHeight="1">
      <c r="A6568" t="inlineStr">
        <is>
          <t>A 15268-2025</t>
        </is>
      </c>
      <c r="B6568" s="1" t="n">
        <v>45744.66462962963</v>
      </c>
      <c r="C6568" s="1" t="n">
        <v>46093</v>
      </c>
      <c r="D6568" t="inlineStr">
        <is>
          <t>VÄSTERNORRLANDS LÄN</t>
        </is>
      </c>
      <c r="E6568" t="inlineStr">
        <is>
          <t>ÖRNSKÖLDSVIK</t>
        </is>
      </c>
      <c r="F6568" t="inlineStr">
        <is>
          <t>Holmen skog AB</t>
        </is>
      </c>
      <c r="G6568" t="n">
        <v>9</v>
      </c>
      <c r="H6568" t="n">
        <v>0</v>
      </c>
      <c r="I6568" t="n">
        <v>0</v>
      </c>
      <c r="J6568" t="n">
        <v>0</v>
      </c>
      <c r="K6568" t="n">
        <v>0</v>
      </c>
      <c r="L6568" t="n">
        <v>0</v>
      </c>
      <c r="M6568" t="n">
        <v>0</v>
      </c>
      <c r="N6568" t="n">
        <v>0</v>
      </c>
      <c r="O6568" t="n">
        <v>0</v>
      </c>
      <c r="P6568" t="n">
        <v>0</v>
      </c>
      <c r="Q6568" t="n">
        <v>0</v>
      </c>
      <c r="R6568" s="2" t="inlineStr"/>
    </row>
    <row r="6569" ht="15" customHeight="1">
      <c r="A6569" t="inlineStr">
        <is>
          <t>A 50925-2025</t>
        </is>
      </c>
      <c r="B6569" s="1" t="n">
        <v>45946.67796296296</v>
      </c>
      <c r="C6569" s="1" t="n">
        <v>46093</v>
      </c>
      <c r="D6569" t="inlineStr">
        <is>
          <t>VÄSTERNORRLANDS LÄN</t>
        </is>
      </c>
      <c r="E6569" t="inlineStr">
        <is>
          <t>SUNDSVALL</t>
        </is>
      </c>
      <c r="G6569" t="n">
        <v>14.8</v>
      </c>
      <c r="H6569" t="n">
        <v>0</v>
      </c>
      <c r="I6569" t="n">
        <v>0</v>
      </c>
      <c r="J6569" t="n">
        <v>0</v>
      </c>
      <c r="K6569" t="n">
        <v>0</v>
      </c>
      <c r="L6569" t="n">
        <v>0</v>
      </c>
      <c r="M6569" t="n">
        <v>0</v>
      </c>
      <c r="N6569" t="n">
        <v>0</v>
      </c>
      <c r="O6569" t="n">
        <v>0</v>
      </c>
      <c r="P6569" t="n">
        <v>0</v>
      </c>
      <c r="Q6569" t="n">
        <v>0</v>
      </c>
      <c r="R6569" s="2" t="inlineStr"/>
    </row>
    <row r="6570" ht="15" customHeight="1">
      <c r="A6570" t="inlineStr">
        <is>
          <t>A 22690-2024</t>
        </is>
      </c>
      <c r="B6570" s="1" t="n">
        <v>45448.31293981482</v>
      </c>
      <c r="C6570" s="1" t="n">
        <v>46093</v>
      </c>
      <c r="D6570" t="inlineStr">
        <is>
          <t>VÄSTERNORRLANDS LÄN</t>
        </is>
      </c>
      <c r="E6570" t="inlineStr">
        <is>
          <t>SOLLEFTEÅ</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50859-2025</t>
        </is>
      </c>
      <c r="B6571" s="1" t="n">
        <v>45946.59450231482</v>
      </c>
      <c r="C6571" s="1" t="n">
        <v>46093</v>
      </c>
      <c r="D6571" t="inlineStr">
        <is>
          <t>VÄSTERNORRLANDS LÄN</t>
        </is>
      </c>
      <c r="E6571" t="inlineStr">
        <is>
          <t>SOLLEFTEÅ</t>
        </is>
      </c>
      <c r="F6571" t="inlineStr">
        <is>
          <t>SCA</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20011-2021</t>
        </is>
      </c>
      <c r="B6572" s="1" t="n">
        <v>44313</v>
      </c>
      <c r="C6572" s="1" t="n">
        <v>46093</v>
      </c>
      <c r="D6572" t="inlineStr">
        <is>
          <t>VÄSTERNORRLANDS LÄN</t>
        </is>
      </c>
      <c r="E6572" t="inlineStr">
        <is>
          <t>SUNDSVALL</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1975-2025</t>
        </is>
      </c>
      <c r="B6573" s="1" t="n">
        <v>45672.39332175926</v>
      </c>
      <c r="C6573" s="1" t="n">
        <v>46093</v>
      </c>
      <c r="D6573" t="inlineStr">
        <is>
          <t>VÄSTERNORRLANDS LÄN</t>
        </is>
      </c>
      <c r="E6573" t="inlineStr">
        <is>
          <t>ÅNGE</t>
        </is>
      </c>
      <c r="G6573" t="n">
        <v>6.2</v>
      </c>
      <c r="H6573" t="n">
        <v>0</v>
      </c>
      <c r="I6573" t="n">
        <v>0</v>
      </c>
      <c r="J6573" t="n">
        <v>0</v>
      </c>
      <c r="K6573" t="n">
        <v>0</v>
      </c>
      <c r="L6573" t="n">
        <v>0</v>
      </c>
      <c r="M6573" t="n">
        <v>0</v>
      </c>
      <c r="N6573" t="n">
        <v>0</v>
      </c>
      <c r="O6573" t="n">
        <v>0</v>
      </c>
      <c r="P6573" t="n">
        <v>0</v>
      </c>
      <c r="Q6573" t="n">
        <v>0</v>
      </c>
      <c r="R6573" s="2" t="inlineStr"/>
    </row>
    <row r="6574" ht="15" customHeight="1">
      <c r="A6574" t="inlineStr">
        <is>
          <t>A 50929-2025</t>
        </is>
      </c>
      <c r="B6574" s="1" t="n">
        <v>45946.67913194445</v>
      </c>
      <c r="C6574" s="1" t="n">
        <v>46093</v>
      </c>
      <c r="D6574" t="inlineStr">
        <is>
          <t>VÄSTERNORRLANDS LÄN</t>
        </is>
      </c>
      <c r="E6574" t="inlineStr">
        <is>
          <t>SOLLEFTEÅ</t>
        </is>
      </c>
      <c r="F6574" t="inlineStr">
        <is>
          <t>SCA</t>
        </is>
      </c>
      <c r="G6574" t="n">
        <v>8.699999999999999</v>
      </c>
      <c r="H6574" t="n">
        <v>0</v>
      </c>
      <c r="I6574" t="n">
        <v>0</v>
      </c>
      <c r="J6574" t="n">
        <v>0</v>
      </c>
      <c r="K6574" t="n">
        <v>0</v>
      </c>
      <c r="L6574" t="n">
        <v>0</v>
      </c>
      <c r="M6574" t="n">
        <v>0</v>
      </c>
      <c r="N6574" t="n">
        <v>0</v>
      </c>
      <c r="O6574" t="n">
        <v>0</v>
      </c>
      <c r="P6574" t="n">
        <v>0</v>
      </c>
      <c r="Q6574" t="n">
        <v>0</v>
      </c>
      <c r="R6574" s="2" t="inlineStr"/>
    </row>
    <row r="6575" ht="15" customHeight="1">
      <c r="A6575" t="inlineStr">
        <is>
          <t>A 50930-2025</t>
        </is>
      </c>
      <c r="B6575" s="1" t="n">
        <v>45946.6796875</v>
      </c>
      <c r="C6575" s="1" t="n">
        <v>46093</v>
      </c>
      <c r="D6575" t="inlineStr">
        <is>
          <t>VÄSTERNORRLANDS LÄN</t>
        </is>
      </c>
      <c r="E6575" t="inlineStr">
        <is>
          <t>SOLLEFTEÅ</t>
        </is>
      </c>
      <c r="F6575" t="inlineStr">
        <is>
          <t>SCA</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19812-2023</t>
        </is>
      </c>
      <c r="B6576" s="1" t="n">
        <v>45051.92583333333</v>
      </c>
      <c r="C6576" s="1" t="n">
        <v>46093</v>
      </c>
      <c r="D6576" t="inlineStr">
        <is>
          <t>VÄSTERNORRLANDS LÄN</t>
        </is>
      </c>
      <c r="E6576" t="inlineStr">
        <is>
          <t>SUNDSVALL</t>
        </is>
      </c>
      <c r="G6576" t="n">
        <v>3</v>
      </c>
      <c r="H6576" t="n">
        <v>0</v>
      </c>
      <c r="I6576" t="n">
        <v>0</v>
      </c>
      <c r="J6576" t="n">
        <v>0</v>
      </c>
      <c r="K6576" t="n">
        <v>0</v>
      </c>
      <c r="L6576" t="n">
        <v>0</v>
      </c>
      <c r="M6576" t="n">
        <v>0</v>
      </c>
      <c r="N6576" t="n">
        <v>0</v>
      </c>
      <c r="O6576" t="n">
        <v>0</v>
      </c>
      <c r="P6576" t="n">
        <v>0</v>
      </c>
      <c r="Q6576" t="n">
        <v>0</v>
      </c>
      <c r="R6576" s="2" t="inlineStr"/>
    </row>
    <row r="6577" ht="15" customHeight="1">
      <c r="A6577" t="inlineStr">
        <is>
          <t>A 3873-2025</t>
        </is>
      </c>
      <c r="B6577" s="1" t="n">
        <v>45684</v>
      </c>
      <c r="C6577" s="1" t="n">
        <v>46093</v>
      </c>
      <c r="D6577" t="inlineStr">
        <is>
          <t>VÄSTERNORRLANDS LÄN</t>
        </is>
      </c>
      <c r="E6577" t="inlineStr">
        <is>
          <t>SOLLEFTEÅ</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3945-2025</t>
        </is>
      </c>
      <c r="B6578" s="1" t="n">
        <v>45684</v>
      </c>
      <c r="C6578" s="1" t="n">
        <v>46093</v>
      </c>
      <c r="D6578" t="inlineStr">
        <is>
          <t>VÄSTERNORRLANDS LÄN</t>
        </is>
      </c>
      <c r="E6578" t="inlineStr">
        <is>
          <t>KRAMFORS</t>
        </is>
      </c>
      <c r="G6578" t="n">
        <v>5.3</v>
      </c>
      <c r="H6578" t="n">
        <v>0</v>
      </c>
      <c r="I6578" t="n">
        <v>0</v>
      </c>
      <c r="J6578" t="n">
        <v>0</v>
      </c>
      <c r="K6578" t="n">
        <v>0</v>
      </c>
      <c r="L6578" t="n">
        <v>0</v>
      </c>
      <c r="M6578" t="n">
        <v>0</v>
      </c>
      <c r="N6578" t="n">
        <v>0</v>
      </c>
      <c r="O6578" t="n">
        <v>0</v>
      </c>
      <c r="P6578" t="n">
        <v>0</v>
      </c>
      <c r="Q6578" t="n">
        <v>0</v>
      </c>
      <c r="R6578" s="2" t="inlineStr"/>
    </row>
    <row r="6579" ht="15" customHeight="1">
      <c r="A6579" t="inlineStr">
        <is>
          <t>A 25093-2021</t>
        </is>
      </c>
      <c r="B6579" s="1" t="n">
        <v>44341</v>
      </c>
      <c r="C6579" s="1" t="n">
        <v>46093</v>
      </c>
      <c r="D6579" t="inlineStr">
        <is>
          <t>VÄSTERNORRLANDS LÄN</t>
        </is>
      </c>
      <c r="E6579" t="inlineStr">
        <is>
          <t>ÖRNSKÖLDSVIK</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50843-2025</t>
        </is>
      </c>
      <c r="B6580" s="1" t="n">
        <v>45946.57344907407</v>
      </c>
      <c r="C6580" s="1" t="n">
        <v>46093</v>
      </c>
      <c r="D6580" t="inlineStr">
        <is>
          <t>VÄSTERNORRLANDS LÄN</t>
        </is>
      </c>
      <c r="E6580" t="inlineStr">
        <is>
          <t>SOLLEFTEÅ</t>
        </is>
      </c>
      <c r="F6580" t="inlineStr">
        <is>
          <t>SCA</t>
        </is>
      </c>
      <c r="G6580" t="n">
        <v>7.1</v>
      </c>
      <c r="H6580" t="n">
        <v>0</v>
      </c>
      <c r="I6580" t="n">
        <v>0</v>
      </c>
      <c r="J6580" t="n">
        <v>0</v>
      </c>
      <c r="K6580" t="n">
        <v>0</v>
      </c>
      <c r="L6580" t="n">
        <v>0</v>
      </c>
      <c r="M6580" t="n">
        <v>0</v>
      </c>
      <c r="N6580" t="n">
        <v>0</v>
      </c>
      <c r="O6580" t="n">
        <v>0</v>
      </c>
      <c r="P6580" t="n">
        <v>0</v>
      </c>
      <c r="Q6580" t="n">
        <v>0</v>
      </c>
      <c r="R6580" s="2" t="inlineStr"/>
    </row>
    <row r="6581" ht="15" customHeight="1">
      <c r="A6581" t="inlineStr">
        <is>
          <t>A 50844-2025</t>
        </is>
      </c>
      <c r="B6581" s="1" t="n">
        <v>45946.57359953703</v>
      </c>
      <c r="C6581" s="1" t="n">
        <v>46093</v>
      </c>
      <c r="D6581" t="inlineStr">
        <is>
          <t>VÄSTERNORRLANDS LÄN</t>
        </is>
      </c>
      <c r="E6581" t="inlineStr">
        <is>
          <t>KRAMFORS</t>
        </is>
      </c>
      <c r="G6581" t="n">
        <v>3.2</v>
      </c>
      <c r="H6581" t="n">
        <v>0</v>
      </c>
      <c r="I6581" t="n">
        <v>0</v>
      </c>
      <c r="J6581" t="n">
        <v>0</v>
      </c>
      <c r="K6581" t="n">
        <v>0</v>
      </c>
      <c r="L6581" t="n">
        <v>0</v>
      </c>
      <c r="M6581" t="n">
        <v>0</v>
      </c>
      <c r="N6581" t="n">
        <v>0</v>
      </c>
      <c r="O6581" t="n">
        <v>0</v>
      </c>
      <c r="P6581" t="n">
        <v>0</v>
      </c>
      <c r="Q6581" t="n">
        <v>0</v>
      </c>
      <c r="R6581" s="2" t="inlineStr"/>
    </row>
    <row r="6582" ht="15" customHeight="1">
      <c r="A6582" t="inlineStr">
        <is>
          <t>A 41456-2022</t>
        </is>
      </c>
      <c r="B6582" s="1" t="n">
        <v>44826</v>
      </c>
      <c r="C6582" s="1" t="n">
        <v>46093</v>
      </c>
      <c r="D6582" t="inlineStr">
        <is>
          <t>VÄSTERNORRLANDS LÄN</t>
        </is>
      </c>
      <c r="E6582" t="inlineStr">
        <is>
          <t>SOLLEFTEÅ</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41457-2022</t>
        </is>
      </c>
      <c r="B6583" s="1" t="n">
        <v>44826</v>
      </c>
      <c r="C6583" s="1" t="n">
        <v>46093</v>
      </c>
      <c r="D6583" t="inlineStr">
        <is>
          <t>VÄSTERNORRLANDS LÄN</t>
        </is>
      </c>
      <c r="E6583" t="inlineStr">
        <is>
          <t>TIMRÅ</t>
        </is>
      </c>
      <c r="G6583" t="n">
        <v>2.9</v>
      </c>
      <c r="H6583" t="n">
        <v>0</v>
      </c>
      <c r="I6583" t="n">
        <v>0</v>
      </c>
      <c r="J6583" t="n">
        <v>0</v>
      </c>
      <c r="K6583" t="n">
        <v>0</v>
      </c>
      <c r="L6583" t="n">
        <v>0</v>
      </c>
      <c r="M6583" t="n">
        <v>0</v>
      </c>
      <c r="N6583" t="n">
        <v>0</v>
      </c>
      <c r="O6583" t="n">
        <v>0</v>
      </c>
      <c r="P6583" t="n">
        <v>0</v>
      </c>
      <c r="Q6583" t="n">
        <v>0</v>
      </c>
      <c r="R6583" s="2" t="inlineStr"/>
    </row>
    <row r="6584" ht="15" customHeight="1">
      <c r="A6584" t="inlineStr">
        <is>
          <t>A 41465-2022</t>
        </is>
      </c>
      <c r="B6584" s="1" t="n">
        <v>44826.94804398148</v>
      </c>
      <c r="C6584" s="1" t="n">
        <v>46093</v>
      </c>
      <c r="D6584" t="inlineStr">
        <is>
          <t>VÄSTERNORRLANDS LÄN</t>
        </is>
      </c>
      <c r="E6584" t="inlineStr">
        <is>
          <t>TIMRÅ</t>
        </is>
      </c>
      <c r="F6584" t="inlineStr">
        <is>
          <t>SCA</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1795-2025</t>
        </is>
      </c>
      <c r="B6585" s="1" t="n">
        <v>45670</v>
      </c>
      <c r="C6585" s="1" t="n">
        <v>46093</v>
      </c>
      <c r="D6585" t="inlineStr">
        <is>
          <t>VÄSTERNORRLANDS LÄN</t>
        </is>
      </c>
      <c r="E6585" t="inlineStr">
        <is>
          <t>ÖRNSKÖLDSVIK</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1842-2025</t>
        </is>
      </c>
      <c r="B6586" s="1" t="n">
        <v>45671.57582175926</v>
      </c>
      <c r="C6586" s="1" t="n">
        <v>46093</v>
      </c>
      <c r="D6586" t="inlineStr">
        <is>
          <t>VÄSTERNORRLANDS LÄN</t>
        </is>
      </c>
      <c r="E6586" t="inlineStr">
        <is>
          <t>TIMRÅ</t>
        </is>
      </c>
      <c r="G6586" t="n">
        <v>2.1</v>
      </c>
      <c r="H6586" t="n">
        <v>0</v>
      </c>
      <c r="I6586" t="n">
        <v>0</v>
      </c>
      <c r="J6586" t="n">
        <v>0</v>
      </c>
      <c r="K6586" t="n">
        <v>0</v>
      </c>
      <c r="L6586" t="n">
        <v>0</v>
      </c>
      <c r="M6586" t="n">
        <v>0</v>
      </c>
      <c r="N6586" t="n">
        <v>0</v>
      </c>
      <c r="O6586" t="n">
        <v>0</v>
      </c>
      <c r="P6586" t="n">
        <v>0</v>
      </c>
      <c r="Q6586" t="n">
        <v>0</v>
      </c>
      <c r="R6586" s="2" t="inlineStr"/>
    </row>
    <row r="6587" ht="15" customHeight="1">
      <c r="A6587" t="inlineStr">
        <is>
          <t>A 38661-2024</t>
        </is>
      </c>
      <c r="B6587" s="1" t="n">
        <v>45547.25223379629</v>
      </c>
      <c r="C6587" s="1" t="n">
        <v>46093</v>
      </c>
      <c r="D6587" t="inlineStr">
        <is>
          <t>VÄSTERNORRLANDS LÄN</t>
        </is>
      </c>
      <c r="E6587" t="inlineStr">
        <is>
          <t>ÖRNSKÖLDSVIK</t>
        </is>
      </c>
      <c r="F6587" t="inlineStr">
        <is>
          <t>Holmen skog AB</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50480-2025</t>
        </is>
      </c>
      <c r="B6588" s="1" t="n">
        <v>45945.36724537037</v>
      </c>
      <c r="C6588" s="1" t="n">
        <v>46093</v>
      </c>
      <c r="D6588" t="inlineStr">
        <is>
          <t>VÄSTERNORRLANDS LÄN</t>
        </is>
      </c>
      <c r="E6588" t="inlineStr">
        <is>
          <t>ÖRNSKÖLDSVIK</t>
        </is>
      </c>
      <c r="F6588" t="inlineStr">
        <is>
          <t>Holmen skog AB</t>
        </is>
      </c>
      <c r="G6588" t="n">
        <v>2.6</v>
      </c>
      <c r="H6588" t="n">
        <v>0</v>
      </c>
      <c r="I6588" t="n">
        <v>0</v>
      </c>
      <c r="J6588" t="n">
        <v>0</v>
      </c>
      <c r="K6588" t="n">
        <v>0</v>
      </c>
      <c r="L6588" t="n">
        <v>0</v>
      </c>
      <c r="M6588" t="n">
        <v>0</v>
      </c>
      <c r="N6588" t="n">
        <v>0</v>
      </c>
      <c r="O6588" t="n">
        <v>0</v>
      </c>
      <c r="P6588" t="n">
        <v>0</v>
      </c>
      <c r="Q6588" t="n">
        <v>0</v>
      </c>
      <c r="R6588" s="2" t="inlineStr"/>
    </row>
    <row r="6589" ht="15" customHeight="1">
      <c r="A6589" t="inlineStr">
        <is>
          <t>A 21182-2023</t>
        </is>
      </c>
      <c r="B6589" s="1" t="n">
        <v>45062.4587962963</v>
      </c>
      <c r="C6589" s="1" t="n">
        <v>46093</v>
      </c>
      <c r="D6589" t="inlineStr">
        <is>
          <t>VÄSTERNORRLANDS LÄN</t>
        </is>
      </c>
      <c r="E6589" t="inlineStr">
        <is>
          <t>KRAMFORS</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16246-2025</t>
        </is>
      </c>
      <c r="B6590" s="1" t="n">
        <v>45749</v>
      </c>
      <c r="C6590" s="1" t="n">
        <v>46093</v>
      </c>
      <c r="D6590" t="inlineStr">
        <is>
          <t>VÄSTERNORRLANDS LÄN</t>
        </is>
      </c>
      <c r="E6590" t="inlineStr">
        <is>
          <t>HÄRNÖSAND</t>
        </is>
      </c>
      <c r="G6590" t="n">
        <v>0.3</v>
      </c>
      <c r="H6590" t="n">
        <v>0</v>
      </c>
      <c r="I6590" t="n">
        <v>0</v>
      </c>
      <c r="J6590" t="n">
        <v>0</v>
      </c>
      <c r="K6590" t="n">
        <v>0</v>
      </c>
      <c r="L6590" t="n">
        <v>0</v>
      </c>
      <c r="M6590" t="n">
        <v>0</v>
      </c>
      <c r="N6590" t="n">
        <v>0</v>
      </c>
      <c r="O6590" t="n">
        <v>0</v>
      </c>
      <c r="P6590" t="n">
        <v>0</v>
      </c>
      <c r="Q6590" t="n">
        <v>0</v>
      </c>
      <c r="R6590" s="2" t="inlineStr"/>
    </row>
    <row r="6591" ht="15" customHeight="1">
      <c r="A6591" t="inlineStr">
        <is>
          <t>A 50799-2025</t>
        </is>
      </c>
      <c r="B6591" s="1" t="n">
        <v>45946.49013888889</v>
      </c>
      <c r="C6591" s="1" t="n">
        <v>46093</v>
      </c>
      <c r="D6591" t="inlineStr">
        <is>
          <t>VÄSTERNORRLANDS LÄN</t>
        </is>
      </c>
      <c r="E6591" t="inlineStr">
        <is>
          <t>SUNDSVALL</t>
        </is>
      </c>
      <c r="F6591" t="inlineStr">
        <is>
          <t>SCA</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50800-2025</t>
        </is>
      </c>
      <c r="B6592" s="1" t="n">
        <v>45946.49042824074</v>
      </c>
      <c r="C6592" s="1" t="n">
        <v>46093</v>
      </c>
      <c r="D6592" t="inlineStr">
        <is>
          <t>VÄSTERNORRLANDS LÄN</t>
        </is>
      </c>
      <c r="E6592" t="inlineStr">
        <is>
          <t>SUNDSVALL</t>
        </is>
      </c>
      <c r="F6592" t="inlineStr">
        <is>
          <t>SCA</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41805-2022</t>
        </is>
      </c>
      <c r="B6593" s="1" t="n">
        <v>44827</v>
      </c>
      <c r="C6593" s="1" t="n">
        <v>46093</v>
      </c>
      <c r="D6593" t="inlineStr">
        <is>
          <t>VÄSTERNORRLANDS LÄN</t>
        </is>
      </c>
      <c r="E6593" t="inlineStr">
        <is>
          <t>SUNDSVALL</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50828-2025</t>
        </is>
      </c>
      <c r="B6594" s="1" t="n">
        <v>45946.55261574074</v>
      </c>
      <c r="C6594" s="1" t="n">
        <v>46093</v>
      </c>
      <c r="D6594" t="inlineStr">
        <is>
          <t>VÄSTERNORRLANDS LÄN</t>
        </is>
      </c>
      <c r="E6594" t="inlineStr">
        <is>
          <t>SUNDSVALL</t>
        </is>
      </c>
      <c r="G6594" t="n">
        <v>4.9</v>
      </c>
      <c r="H6594" t="n">
        <v>0</v>
      </c>
      <c r="I6594" t="n">
        <v>0</v>
      </c>
      <c r="J6594" t="n">
        <v>0</v>
      </c>
      <c r="K6594" t="n">
        <v>0</v>
      </c>
      <c r="L6594" t="n">
        <v>0</v>
      </c>
      <c r="M6594" t="n">
        <v>0</v>
      </c>
      <c r="N6594" t="n">
        <v>0</v>
      </c>
      <c r="O6594" t="n">
        <v>0</v>
      </c>
      <c r="P6594" t="n">
        <v>0</v>
      </c>
      <c r="Q6594" t="n">
        <v>0</v>
      </c>
      <c r="R6594" s="2" t="inlineStr"/>
    </row>
    <row r="6595" ht="15" customHeight="1">
      <c r="A6595" t="inlineStr">
        <is>
          <t>A 33429-2023</t>
        </is>
      </c>
      <c r="B6595" s="1" t="n">
        <v>45128.94983796297</v>
      </c>
      <c r="C6595" s="1" t="n">
        <v>46093</v>
      </c>
      <c r="D6595" t="inlineStr">
        <is>
          <t>VÄSTERNORRLANDS LÄN</t>
        </is>
      </c>
      <c r="E6595" t="inlineStr">
        <is>
          <t>ÅNGE</t>
        </is>
      </c>
      <c r="F6595" t="inlineStr">
        <is>
          <t>SCA</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54611-2023</t>
        </is>
      </c>
      <c r="B6596" s="1" t="n">
        <v>45233</v>
      </c>
      <c r="C6596" s="1" t="n">
        <v>46093</v>
      </c>
      <c r="D6596" t="inlineStr">
        <is>
          <t>VÄSTERNORRLANDS LÄN</t>
        </is>
      </c>
      <c r="E6596" t="inlineStr">
        <is>
          <t>ÅNGE</t>
        </is>
      </c>
      <c r="F6596" t="inlineStr">
        <is>
          <t>SCA</t>
        </is>
      </c>
      <c r="G6596" t="n">
        <v>6.2</v>
      </c>
      <c r="H6596" t="n">
        <v>0</v>
      </c>
      <c r="I6596" t="n">
        <v>0</v>
      </c>
      <c r="J6596" t="n">
        <v>0</v>
      </c>
      <c r="K6596" t="n">
        <v>0</v>
      </c>
      <c r="L6596" t="n">
        <v>0</v>
      </c>
      <c r="M6596" t="n">
        <v>0</v>
      </c>
      <c r="N6596" t="n">
        <v>0</v>
      </c>
      <c r="O6596" t="n">
        <v>0</v>
      </c>
      <c r="P6596" t="n">
        <v>0</v>
      </c>
      <c r="Q6596" t="n">
        <v>0</v>
      </c>
      <c r="R6596" s="2" t="inlineStr"/>
    </row>
    <row r="6597" ht="15" customHeight="1">
      <c r="A6597" t="inlineStr">
        <is>
          <t>A 17516-2025</t>
        </is>
      </c>
      <c r="B6597" s="1" t="n">
        <v>45757</v>
      </c>
      <c r="C6597" s="1" t="n">
        <v>46093</v>
      </c>
      <c r="D6597" t="inlineStr">
        <is>
          <t>VÄSTERNORRLANDS LÄN</t>
        </is>
      </c>
      <c r="E6597" t="inlineStr">
        <is>
          <t>HÄRNÖSAND</t>
        </is>
      </c>
      <c r="G6597" t="n">
        <v>3.1</v>
      </c>
      <c r="H6597" t="n">
        <v>0</v>
      </c>
      <c r="I6597" t="n">
        <v>0</v>
      </c>
      <c r="J6597" t="n">
        <v>0</v>
      </c>
      <c r="K6597" t="n">
        <v>0</v>
      </c>
      <c r="L6597" t="n">
        <v>0</v>
      </c>
      <c r="M6597" t="n">
        <v>0</v>
      </c>
      <c r="N6597" t="n">
        <v>0</v>
      </c>
      <c r="O6597" t="n">
        <v>0</v>
      </c>
      <c r="P6597" t="n">
        <v>0</v>
      </c>
      <c r="Q6597" t="n">
        <v>0</v>
      </c>
      <c r="R6597" s="2" t="inlineStr"/>
    </row>
    <row r="6598" ht="15" customHeight="1">
      <c r="A6598" t="inlineStr">
        <is>
          <t>A 50575-2025</t>
        </is>
      </c>
      <c r="B6598" s="1" t="n">
        <v>45945.57913194445</v>
      </c>
      <c r="C6598" s="1" t="n">
        <v>46093</v>
      </c>
      <c r="D6598" t="inlineStr">
        <is>
          <t>VÄSTERNORRLANDS LÄN</t>
        </is>
      </c>
      <c r="E6598" t="inlineStr">
        <is>
          <t>SUNDSVALL</t>
        </is>
      </c>
      <c r="G6598" t="n">
        <v>2.9</v>
      </c>
      <c r="H6598" t="n">
        <v>0</v>
      </c>
      <c r="I6598" t="n">
        <v>0</v>
      </c>
      <c r="J6598" t="n">
        <v>0</v>
      </c>
      <c r="K6598" t="n">
        <v>0</v>
      </c>
      <c r="L6598" t="n">
        <v>0</v>
      </c>
      <c r="M6598" t="n">
        <v>0</v>
      </c>
      <c r="N6598" t="n">
        <v>0</v>
      </c>
      <c r="O6598" t="n">
        <v>0</v>
      </c>
      <c r="P6598" t="n">
        <v>0</v>
      </c>
      <c r="Q6598" t="n">
        <v>0</v>
      </c>
      <c r="R6598" s="2" t="inlineStr"/>
    </row>
    <row r="6599" ht="15" customHeight="1">
      <c r="A6599" t="inlineStr">
        <is>
          <t>A 61201-2024</t>
        </is>
      </c>
      <c r="B6599" s="1" t="n">
        <v>45645.6360300926</v>
      </c>
      <c r="C6599" s="1" t="n">
        <v>46093</v>
      </c>
      <c r="D6599" t="inlineStr">
        <is>
          <t>VÄSTERNORRLANDS LÄN</t>
        </is>
      </c>
      <c r="E6599" t="inlineStr">
        <is>
          <t>SOLLEFTEÅ</t>
        </is>
      </c>
      <c r="F6599" t="inlineStr">
        <is>
          <t>SCA</t>
        </is>
      </c>
      <c r="G6599" t="n">
        <v>2.5</v>
      </c>
      <c r="H6599" t="n">
        <v>0</v>
      </c>
      <c r="I6599" t="n">
        <v>0</v>
      </c>
      <c r="J6599" t="n">
        <v>0</v>
      </c>
      <c r="K6599" t="n">
        <v>0</v>
      </c>
      <c r="L6599" t="n">
        <v>0</v>
      </c>
      <c r="M6599" t="n">
        <v>0</v>
      </c>
      <c r="N6599" t="n">
        <v>0</v>
      </c>
      <c r="O6599" t="n">
        <v>0</v>
      </c>
      <c r="P6599" t="n">
        <v>0</v>
      </c>
      <c r="Q6599" t="n">
        <v>0</v>
      </c>
      <c r="R6599" s="2" t="inlineStr"/>
    </row>
    <row r="6600" ht="15" customHeight="1">
      <c r="A6600" t="inlineStr">
        <is>
          <t>A 61606-2023</t>
        </is>
      </c>
      <c r="B6600" s="1" t="n">
        <v>45261</v>
      </c>
      <c r="C6600" s="1" t="n">
        <v>46093</v>
      </c>
      <c r="D6600" t="inlineStr">
        <is>
          <t>VÄSTERNORRLANDS LÄN</t>
        </is>
      </c>
      <c r="E6600" t="inlineStr">
        <is>
          <t>TIMRÅ</t>
        </is>
      </c>
      <c r="G6600" t="n">
        <v>0.3</v>
      </c>
      <c r="H6600" t="n">
        <v>0</v>
      </c>
      <c r="I6600" t="n">
        <v>0</v>
      </c>
      <c r="J6600" t="n">
        <v>0</v>
      </c>
      <c r="K6600" t="n">
        <v>0</v>
      </c>
      <c r="L6600" t="n">
        <v>0</v>
      </c>
      <c r="M6600" t="n">
        <v>0</v>
      </c>
      <c r="N6600" t="n">
        <v>0</v>
      </c>
      <c r="O6600" t="n">
        <v>0</v>
      </c>
      <c r="P6600" t="n">
        <v>0</v>
      </c>
      <c r="Q6600" t="n">
        <v>0</v>
      </c>
      <c r="R6600" s="2" t="inlineStr"/>
    </row>
    <row r="6601" ht="15" customHeight="1">
      <c r="A6601" t="inlineStr">
        <is>
          <t>A 54977-2023</t>
        </is>
      </c>
      <c r="B6601" s="1" t="n">
        <v>45236</v>
      </c>
      <c r="C6601" s="1" t="n">
        <v>46093</v>
      </c>
      <c r="D6601" t="inlineStr">
        <is>
          <t>VÄSTERNORRLANDS LÄN</t>
        </is>
      </c>
      <c r="E6601" t="inlineStr">
        <is>
          <t>SUNDSVALL</t>
        </is>
      </c>
      <c r="F6601" t="inlineStr">
        <is>
          <t>Kyrkan</t>
        </is>
      </c>
      <c r="G6601" t="n">
        <v>7.1</v>
      </c>
      <c r="H6601" t="n">
        <v>0</v>
      </c>
      <c r="I6601" t="n">
        <v>0</v>
      </c>
      <c r="J6601" t="n">
        <v>0</v>
      </c>
      <c r="K6601" t="n">
        <v>0</v>
      </c>
      <c r="L6601" t="n">
        <v>0</v>
      </c>
      <c r="M6601" t="n">
        <v>0</v>
      </c>
      <c r="N6601" t="n">
        <v>0</v>
      </c>
      <c r="O6601" t="n">
        <v>0</v>
      </c>
      <c r="P6601" t="n">
        <v>0</v>
      </c>
      <c r="Q6601" t="n">
        <v>0</v>
      </c>
      <c r="R6601" s="2" t="inlineStr"/>
    </row>
    <row r="6602" ht="15" customHeight="1">
      <c r="A6602" t="inlineStr">
        <is>
          <t>A 29914-2024</t>
        </is>
      </c>
      <c r="B6602" s="1" t="n">
        <v>45487.92814814814</v>
      </c>
      <c r="C6602" s="1" t="n">
        <v>46093</v>
      </c>
      <c r="D6602" t="inlineStr">
        <is>
          <t>VÄSTERNORRLANDS LÄN</t>
        </is>
      </c>
      <c r="E6602" t="inlineStr">
        <is>
          <t>SOLLEFTEÅ</t>
        </is>
      </c>
      <c r="G6602" t="n">
        <v>6.3</v>
      </c>
      <c r="H6602" t="n">
        <v>0</v>
      </c>
      <c r="I6602" t="n">
        <v>0</v>
      </c>
      <c r="J6602" t="n">
        <v>0</v>
      </c>
      <c r="K6602" t="n">
        <v>0</v>
      </c>
      <c r="L6602" t="n">
        <v>0</v>
      </c>
      <c r="M6602" t="n">
        <v>0</v>
      </c>
      <c r="N6602" t="n">
        <v>0</v>
      </c>
      <c r="O6602" t="n">
        <v>0</v>
      </c>
      <c r="P6602" t="n">
        <v>0</v>
      </c>
      <c r="Q6602" t="n">
        <v>0</v>
      </c>
      <c r="R6602" s="2" t="inlineStr"/>
    </row>
    <row r="6603" ht="15" customHeight="1">
      <c r="A6603" t="inlineStr">
        <is>
          <t>A 61255-2024</t>
        </is>
      </c>
      <c r="B6603" s="1" t="n">
        <v>45644</v>
      </c>
      <c r="C6603" s="1" t="n">
        <v>46093</v>
      </c>
      <c r="D6603" t="inlineStr">
        <is>
          <t>VÄSTERNORRLANDS LÄN</t>
        </is>
      </c>
      <c r="E6603" t="inlineStr">
        <is>
          <t>ÖRNSKÖLDSVIK</t>
        </is>
      </c>
      <c r="G6603" t="n">
        <v>2.8</v>
      </c>
      <c r="H6603" t="n">
        <v>0</v>
      </c>
      <c r="I6603" t="n">
        <v>0</v>
      </c>
      <c r="J6603" t="n">
        <v>0</v>
      </c>
      <c r="K6603" t="n">
        <v>0</v>
      </c>
      <c r="L6603" t="n">
        <v>0</v>
      </c>
      <c r="M6603" t="n">
        <v>0</v>
      </c>
      <c r="N6603" t="n">
        <v>0</v>
      </c>
      <c r="O6603" t="n">
        <v>0</v>
      </c>
      <c r="P6603" t="n">
        <v>0</v>
      </c>
      <c r="Q6603" t="n">
        <v>0</v>
      </c>
      <c r="R6603" s="2" t="inlineStr"/>
    </row>
    <row r="6604" ht="15" customHeight="1">
      <c r="A6604" t="inlineStr">
        <is>
          <t>A 50796-2024</t>
        </is>
      </c>
      <c r="B6604" s="1" t="n">
        <v>45602.48866898148</v>
      </c>
      <c r="C6604" s="1" t="n">
        <v>46093</v>
      </c>
      <c r="D6604" t="inlineStr">
        <is>
          <t>VÄSTERNORRLANDS LÄN</t>
        </is>
      </c>
      <c r="E6604" t="inlineStr">
        <is>
          <t>ÖRNSKÖLDSVIK</t>
        </is>
      </c>
      <c r="F6604" t="inlineStr">
        <is>
          <t>Holmen skog AB</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50809-2025</t>
        </is>
      </c>
      <c r="B6605" s="1" t="n">
        <v>45946.51101851852</v>
      </c>
      <c r="C6605" s="1" t="n">
        <v>46093</v>
      </c>
      <c r="D6605" t="inlineStr">
        <is>
          <t>VÄSTERNORRLANDS LÄN</t>
        </is>
      </c>
      <c r="E6605" t="inlineStr">
        <is>
          <t>SUNDSVALL</t>
        </is>
      </c>
      <c r="F6605" t="inlineStr">
        <is>
          <t>SCA</t>
        </is>
      </c>
      <c r="G6605" t="n">
        <v>7.1</v>
      </c>
      <c r="H6605" t="n">
        <v>0</v>
      </c>
      <c r="I6605" t="n">
        <v>0</v>
      </c>
      <c r="J6605" t="n">
        <v>0</v>
      </c>
      <c r="K6605" t="n">
        <v>0</v>
      </c>
      <c r="L6605" t="n">
        <v>0</v>
      </c>
      <c r="M6605" t="n">
        <v>0</v>
      </c>
      <c r="N6605" t="n">
        <v>0</v>
      </c>
      <c r="O6605" t="n">
        <v>0</v>
      </c>
      <c r="P6605" t="n">
        <v>0</v>
      </c>
      <c r="Q6605" t="n">
        <v>0</v>
      </c>
      <c r="R6605" s="2" t="inlineStr"/>
    </row>
    <row r="6606" ht="15" customHeight="1">
      <c r="A6606" t="inlineStr">
        <is>
          <t>A 50466-2025</t>
        </is>
      </c>
      <c r="B6606" s="1" t="n">
        <v>45945.35434027778</v>
      </c>
      <c r="C6606" s="1" t="n">
        <v>46093</v>
      </c>
      <c r="D6606" t="inlineStr">
        <is>
          <t>VÄSTERNORRLANDS LÄN</t>
        </is>
      </c>
      <c r="E6606" t="inlineStr">
        <is>
          <t>ÖRNSKÖLDSVIK</t>
        </is>
      </c>
      <c r="F6606" t="inlineStr">
        <is>
          <t>Holmen skog AB</t>
        </is>
      </c>
      <c r="G6606" t="n">
        <v>8.4</v>
      </c>
      <c r="H6606" t="n">
        <v>0</v>
      </c>
      <c r="I6606" t="n">
        <v>0</v>
      </c>
      <c r="J6606" t="n">
        <v>0</v>
      </c>
      <c r="K6606" t="n">
        <v>0</v>
      </c>
      <c r="L6606" t="n">
        <v>0</v>
      </c>
      <c r="M6606" t="n">
        <v>0</v>
      </c>
      <c r="N6606" t="n">
        <v>0</v>
      </c>
      <c r="O6606" t="n">
        <v>0</v>
      </c>
      <c r="P6606" t="n">
        <v>0</v>
      </c>
      <c r="Q6606" t="n">
        <v>0</v>
      </c>
      <c r="R6606" s="2" t="inlineStr"/>
    </row>
    <row r="6607" ht="15" customHeight="1">
      <c r="A6607" t="inlineStr">
        <is>
          <t>A 50469-2025</t>
        </is>
      </c>
      <c r="B6607" s="1" t="n">
        <v>45945.36196759259</v>
      </c>
      <c r="C6607" s="1" t="n">
        <v>46093</v>
      </c>
      <c r="D6607" t="inlineStr">
        <is>
          <t>VÄSTERNORRLANDS LÄN</t>
        </is>
      </c>
      <c r="E6607" t="inlineStr">
        <is>
          <t>ÖRNSKÖLDSVIK</t>
        </is>
      </c>
      <c r="F6607" t="inlineStr">
        <is>
          <t>Holmen skog AB</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20576-2021</t>
        </is>
      </c>
      <c r="B6608" s="1" t="n">
        <v>44316.3290162037</v>
      </c>
      <c r="C6608" s="1" t="n">
        <v>46093</v>
      </c>
      <c r="D6608" t="inlineStr">
        <is>
          <t>VÄSTERNORRLANDS LÄN</t>
        </is>
      </c>
      <c r="E6608" t="inlineStr">
        <is>
          <t>ÅNGE</t>
        </is>
      </c>
      <c r="F6608" t="inlineStr">
        <is>
          <t>Holmen skog AB</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17032-2025</t>
        </is>
      </c>
      <c r="B6609" s="1" t="n">
        <v>45755</v>
      </c>
      <c r="C6609" s="1" t="n">
        <v>46093</v>
      </c>
      <c r="D6609" t="inlineStr">
        <is>
          <t>VÄSTERNORRLANDS LÄN</t>
        </is>
      </c>
      <c r="E6609" t="inlineStr">
        <is>
          <t>SOLLEFTEÅ</t>
        </is>
      </c>
      <c r="F6609" t="inlineStr">
        <is>
          <t>SCA</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50645-2025</t>
        </is>
      </c>
      <c r="B6610" s="1" t="n">
        <v>45945.65685185185</v>
      </c>
      <c r="C6610" s="1" t="n">
        <v>46093</v>
      </c>
      <c r="D6610" t="inlineStr">
        <is>
          <t>VÄSTERNORRLANDS LÄN</t>
        </is>
      </c>
      <c r="E6610" t="inlineStr">
        <is>
          <t>SOLLEFTEÅ</t>
        </is>
      </c>
      <c r="F6610" t="inlineStr">
        <is>
          <t>SCA</t>
        </is>
      </c>
      <c r="G6610" t="n">
        <v>3.1</v>
      </c>
      <c r="H6610" t="n">
        <v>0</v>
      </c>
      <c r="I6610" t="n">
        <v>0</v>
      </c>
      <c r="J6610" t="n">
        <v>0</v>
      </c>
      <c r="K6610" t="n">
        <v>0</v>
      </c>
      <c r="L6610" t="n">
        <v>0</v>
      </c>
      <c r="M6610" t="n">
        <v>0</v>
      </c>
      <c r="N6610" t="n">
        <v>0</v>
      </c>
      <c r="O6610" t="n">
        <v>0</v>
      </c>
      <c r="P6610" t="n">
        <v>0</v>
      </c>
      <c r="Q6610" t="n">
        <v>0</v>
      </c>
      <c r="R6610" s="2" t="inlineStr"/>
    </row>
    <row r="6611" ht="15" customHeight="1">
      <c r="A6611" t="inlineStr">
        <is>
          <t>A 37233-2025</t>
        </is>
      </c>
      <c r="B6611" s="1" t="n">
        <v>45876.34474537037</v>
      </c>
      <c r="C6611" s="1" t="n">
        <v>46093</v>
      </c>
      <c r="D6611" t="inlineStr">
        <is>
          <t>VÄSTERNORRLANDS LÄN</t>
        </is>
      </c>
      <c r="E6611" t="inlineStr">
        <is>
          <t>ÅNGE</t>
        </is>
      </c>
      <c r="F6611" t="inlineStr">
        <is>
          <t>SCA</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50904-2025</t>
        </is>
      </c>
      <c r="B6612" s="1" t="n">
        <v>45946.6493287037</v>
      </c>
      <c r="C6612" s="1" t="n">
        <v>46093</v>
      </c>
      <c r="D6612" t="inlineStr">
        <is>
          <t>VÄSTERNORRLANDS LÄN</t>
        </is>
      </c>
      <c r="E6612" t="inlineStr">
        <is>
          <t>ÖRNSKÖLDSVIK</t>
        </is>
      </c>
      <c r="F6612" t="inlineStr">
        <is>
          <t>Holmen skog AB</t>
        </is>
      </c>
      <c r="G6612" t="n">
        <v>3.9</v>
      </c>
      <c r="H6612" t="n">
        <v>0</v>
      </c>
      <c r="I6612" t="n">
        <v>0</v>
      </c>
      <c r="J6612" t="n">
        <v>0</v>
      </c>
      <c r="K6612" t="n">
        <v>0</v>
      </c>
      <c r="L6612" t="n">
        <v>0</v>
      </c>
      <c r="M6612" t="n">
        <v>0</v>
      </c>
      <c r="N6612" t="n">
        <v>0</v>
      </c>
      <c r="O6612" t="n">
        <v>0</v>
      </c>
      <c r="P6612" t="n">
        <v>0</v>
      </c>
      <c r="Q6612" t="n">
        <v>0</v>
      </c>
      <c r="R6612" s="2" t="inlineStr"/>
    </row>
    <row r="6613" ht="15" customHeight="1">
      <c r="A6613" t="inlineStr">
        <is>
          <t>A 27818-2023</t>
        </is>
      </c>
      <c r="B6613" s="1" t="n">
        <v>45098.50498842593</v>
      </c>
      <c r="C6613" s="1" t="n">
        <v>46093</v>
      </c>
      <c r="D6613" t="inlineStr">
        <is>
          <t>VÄSTERNORRLANDS LÄN</t>
        </is>
      </c>
      <c r="E6613" t="inlineStr">
        <is>
          <t>ÖRNSKÖLDSVIK</t>
        </is>
      </c>
      <c r="F6613" t="inlineStr">
        <is>
          <t>Holmen skog AB</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50863-2025</t>
        </is>
      </c>
      <c r="B6614" s="1" t="n">
        <v>45946.59517361111</v>
      </c>
      <c r="C6614" s="1" t="n">
        <v>46093</v>
      </c>
      <c r="D6614" t="inlineStr">
        <is>
          <t>VÄSTERNORRLANDS LÄN</t>
        </is>
      </c>
      <c r="E6614" t="inlineStr">
        <is>
          <t>SUNDSVALL</t>
        </is>
      </c>
      <c r="F6614" t="inlineStr">
        <is>
          <t>SCA</t>
        </is>
      </c>
      <c r="G6614" t="n">
        <v>2.3</v>
      </c>
      <c r="H6614" t="n">
        <v>0</v>
      </c>
      <c r="I6614" t="n">
        <v>0</v>
      </c>
      <c r="J6614" t="n">
        <v>0</v>
      </c>
      <c r="K6614" t="n">
        <v>0</v>
      </c>
      <c r="L6614" t="n">
        <v>0</v>
      </c>
      <c r="M6614" t="n">
        <v>0</v>
      </c>
      <c r="N6614" t="n">
        <v>0</v>
      </c>
      <c r="O6614" t="n">
        <v>0</v>
      </c>
      <c r="P6614" t="n">
        <v>0</v>
      </c>
      <c r="Q6614" t="n">
        <v>0</v>
      </c>
      <c r="R6614" s="2" t="inlineStr"/>
    </row>
    <row r="6615" ht="15" customHeight="1">
      <c r="A6615" t="inlineStr">
        <is>
          <t>A 1235-2023</t>
        </is>
      </c>
      <c r="B6615" s="1" t="n">
        <v>44935</v>
      </c>
      <c r="C6615" s="1" t="n">
        <v>46093</v>
      </c>
      <c r="D6615" t="inlineStr">
        <is>
          <t>VÄSTERNORRLANDS LÄN</t>
        </is>
      </c>
      <c r="E6615" t="inlineStr">
        <is>
          <t>ÅNGE</t>
        </is>
      </c>
      <c r="F6615" t="inlineStr">
        <is>
          <t>SCA</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13225-2023</t>
        </is>
      </c>
      <c r="B6616" s="1" t="n">
        <v>45002</v>
      </c>
      <c r="C6616" s="1" t="n">
        <v>46093</v>
      </c>
      <c r="D6616" t="inlineStr">
        <is>
          <t>VÄSTERNORRLANDS LÄN</t>
        </is>
      </c>
      <c r="E6616" t="inlineStr">
        <is>
          <t>ÖRNSKÖLDSVIK</t>
        </is>
      </c>
      <c r="G6616" t="n">
        <v>2.7</v>
      </c>
      <c r="H6616" t="n">
        <v>0</v>
      </c>
      <c r="I6616" t="n">
        <v>0</v>
      </c>
      <c r="J6616" t="n">
        <v>0</v>
      </c>
      <c r="K6616" t="n">
        <v>0</v>
      </c>
      <c r="L6616" t="n">
        <v>0</v>
      </c>
      <c r="M6616" t="n">
        <v>0</v>
      </c>
      <c r="N6616" t="n">
        <v>0</v>
      </c>
      <c r="O6616" t="n">
        <v>0</v>
      </c>
      <c r="P6616" t="n">
        <v>0</v>
      </c>
      <c r="Q6616" t="n">
        <v>0</v>
      </c>
      <c r="R6616" s="2" t="inlineStr"/>
    </row>
    <row r="6617" ht="15" customHeight="1">
      <c r="A6617" t="inlineStr">
        <is>
          <t>A 13226-2023</t>
        </is>
      </c>
      <c r="B6617" s="1" t="n">
        <v>45002</v>
      </c>
      <c r="C6617" s="1" t="n">
        <v>46093</v>
      </c>
      <c r="D6617" t="inlineStr">
        <is>
          <t>VÄSTERNORRLANDS LÄN</t>
        </is>
      </c>
      <c r="E6617" t="inlineStr">
        <is>
          <t>ÖRNSKÖLDSVIK</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13279-2023</t>
        </is>
      </c>
      <c r="B6618" s="1" t="n">
        <v>45004</v>
      </c>
      <c r="C6618" s="1" t="n">
        <v>46093</v>
      </c>
      <c r="D6618" t="inlineStr">
        <is>
          <t>VÄSTERNORRLANDS LÄN</t>
        </is>
      </c>
      <c r="E6618" t="inlineStr">
        <is>
          <t>ÖRNSKÖLDSVIK</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50846-2025</t>
        </is>
      </c>
      <c r="B6619" s="1" t="n">
        <v>45946.57378472222</v>
      </c>
      <c r="C6619" s="1" t="n">
        <v>46093</v>
      </c>
      <c r="D6619" t="inlineStr">
        <is>
          <t>VÄSTERNORRLANDS LÄN</t>
        </is>
      </c>
      <c r="E6619" t="inlineStr">
        <is>
          <t>KRAMFORS</t>
        </is>
      </c>
      <c r="G6619" t="n">
        <v>2.2</v>
      </c>
      <c r="H6619" t="n">
        <v>0</v>
      </c>
      <c r="I6619" t="n">
        <v>0</v>
      </c>
      <c r="J6619" t="n">
        <v>0</v>
      </c>
      <c r="K6619" t="n">
        <v>0</v>
      </c>
      <c r="L6619" t="n">
        <v>0</v>
      </c>
      <c r="M6619" t="n">
        <v>0</v>
      </c>
      <c r="N6619" t="n">
        <v>0</v>
      </c>
      <c r="O6619" t="n">
        <v>0</v>
      </c>
      <c r="P6619" t="n">
        <v>0</v>
      </c>
      <c r="Q6619" t="n">
        <v>0</v>
      </c>
      <c r="R6619" s="2" t="inlineStr"/>
    </row>
    <row r="6620" ht="15" customHeight="1">
      <c r="A6620" t="inlineStr">
        <is>
          <t>A 11125-2022</t>
        </is>
      </c>
      <c r="B6620" s="1" t="n">
        <v>44628</v>
      </c>
      <c r="C6620" s="1" t="n">
        <v>46093</v>
      </c>
      <c r="D6620" t="inlineStr">
        <is>
          <t>VÄSTERNORRLANDS LÄN</t>
        </is>
      </c>
      <c r="E6620" t="inlineStr">
        <is>
          <t>SOLLEFTEÅ</t>
        </is>
      </c>
      <c r="F6620" t="inlineStr">
        <is>
          <t>SCA</t>
        </is>
      </c>
      <c r="G6620" t="n">
        <v>6.2</v>
      </c>
      <c r="H6620" t="n">
        <v>0</v>
      </c>
      <c r="I6620" t="n">
        <v>0</v>
      </c>
      <c r="J6620" t="n">
        <v>0</v>
      </c>
      <c r="K6620" t="n">
        <v>0</v>
      </c>
      <c r="L6620" t="n">
        <v>0</v>
      </c>
      <c r="M6620" t="n">
        <v>0</v>
      </c>
      <c r="N6620" t="n">
        <v>0</v>
      </c>
      <c r="O6620" t="n">
        <v>0</v>
      </c>
      <c r="P6620" t="n">
        <v>0</v>
      </c>
      <c r="Q6620" t="n">
        <v>0</v>
      </c>
      <c r="R6620" s="2" t="inlineStr"/>
    </row>
    <row r="6621" ht="15" customHeight="1">
      <c r="A6621" t="inlineStr">
        <is>
          <t>A 13501-2021</t>
        </is>
      </c>
      <c r="B6621" s="1" t="n">
        <v>44273</v>
      </c>
      <c r="C6621" s="1" t="n">
        <v>46093</v>
      </c>
      <c r="D6621" t="inlineStr">
        <is>
          <t>VÄSTERNORRLANDS LÄN</t>
        </is>
      </c>
      <c r="E6621" t="inlineStr">
        <is>
          <t>ÅNGE</t>
        </is>
      </c>
      <c r="G6621" t="n">
        <v>0.4</v>
      </c>
      <c r="H6621" t="n">
        <v>0</v>
      </c>
      <c r="I6621" t="n">
        <v>0</v>
      </c>
      <c r="J6621" t="n">
        <v>0</v>
      </c>
      <c r="K6621" t="n">
        <v>0</v>
      </c>
      <c r="L6621" t="n">
        <v>0</v>
      </c>
      <c r="M6621" t="n">
        <v>0</v>
      </c>
      <c r="N6621" t="n">
        <v>0</v>
      </c>
      <c r="O6621" t="n">
        <v>0</v>
      </c>
      <c r="P6621" t="n">
        <v>0</v>
      </c>
      <c r="Q6621" t="n">
        <v>0</v>
      </c>
      <c r="R6621" s="2" t="inlineStr"/>
    </row>
    <row r="6622" ht="15" customHeight="1">
      <c r="A6622" t="inlineStr">
        <is>
          <t>A 50567-2025</t>
        </is>
      </c>
      <c r="B6622" s="1" t="n">
        <v>45945.5684375</v>
      </c>
      <c r="C6622" s="1" t="n">
        <v>46093</v>
      </c>
      <c r="D6622" t="inlineStr">
        <is>
          <t>VÄSTERNORRLANDS LÄN</t>
        </is>
      </c>
      <c r="E6622" t="inlineStr">
        <is>
          <t>SUNDSVALL</t>
        </is>
      </c>
      <c r="G6622" t="n">
        <v>3.5</v>
      </c>
      <c r="H6622" t="n">
        <v>0</v>
      </c>
      <c r="I6622" t="n">
        <v>0</v>
      </c>
      <c r="J6622" t="n">
        <v>0</v>
      </c>
      <c r="K6622" t="n">
        <v>0</v>
      </c>
      <c r="L6622" t="n">
        <v>0</v>
      </c>
      <c r="M6622" t="n">
        <v>0</v>
      </c>
      <c r="N6622" t="n">
        <v>0</v>
      </c>
      <c r="O6622" t="n">
        <v>0</v>
      </c>
      <c r="P6622" t="n">
        <v>0</v>
      </c>
      <c r="Q6622" t="n">
        <v>0</v>
      </c>
      <c r="R6622" s="2" t="inlineStr"/>
    </row>
    <row r="6623" ht="15" customHeight="1">
      <c r="A6623" t="inlineStr">
        <is>
          <t>A 50568-2025</t>
        </is>
      </c>
      <c r="B6623" s="1" t="n">
        <v>45945.57202546296</v>
      </c>
      <c r="C6623" s="1" t="n">
        <v>46093</v>
      </c>
      <c r="D6623" t="inlineStr">
        <is>
          <t>VÄSTERNORRLANDS LÄN</t>
        </is>
      </c>
      <c r="E6623" t="inlineStr">
        <is>
          <t>ÖRNSKÖLDSVIK</t>
        </is>
      </c>
      <c r="G6623" t="n">
        <v>3.3</v>
      </c>
      <c r="H6623" t="n">
        <v>0</v>
      </c>
      <c r="I6623" t="n">
        <v>0</v>
      </c>
      <c r="J6623" t="n">
        <v>0</v>
      </c>
      <c r="K6623" t="n">
        <v>0</v>
      </c>
      <c r="L6623" t="n">
        <v>0</v>
      </c>
      <c r="M6623" t="n">
        <v>0</v>
      </c>
      <c r="N6623" t="n">
        <v>0</v>
      </c>
      <c r="O6623" t="n">
        <v>0</v>
      </c>
      <c r="P6623" t="n">
        <v>0</v>
      </c>
      <c r="Q6623" t="n">
        <v>0</v>
      </c>
      <c r="R6623" s="2" t="inlineStr"/>
    </row>
    <row r="6624" ht="15" customHeight="1">
      <c r="A6624" t="inlineStr">
        <is>
          <t>A 50569-2025</t>
        </is>
      </c>
      <c r="B6624" s="1" t="n">
        <v>45945.57335648148</v>
      </c>
      <c r="C6624" s="1" t="n">
        <v>46093</v>
      </c>
      <c r="D6624" t="inlineStr">
        <is>
          <t>VÄSTERNORRLANDS LÄN</t>
        </is>
      </c>
      <c r="E6624" t="inlineStr">
        <is>
          <t>SUNDSVALL</t>
        </is>
      </c>
      <c r="F6624" t="inlineStr">
        <is>
          <t>SCA</t>
        </is>
      </c>
      <c r="G6624" t="n">
        <v>5.4</v>
      </c>
      <c r="H6624" t="n">
        <v>0</v>
      </c>
      <c r="I6624" t="n">
        <v>0</v>
      </c>
      <c r="J6624" t="n">
        <v>0</v>
      </c>
      <c r="K6624" t="n">
        <v>0</v>
      </c>
      <c r="L6624" t="n">
        <v>0</v>
      </c>
      <c r="M6624" t="n">
        <v>0</v>
      </c>
      <c r="N6624" t="n">
        <v>0</v>
      </c>
      <c r="O6624" t="n">
        <v>0</v>
      </c>
      <c r="P6624" t="n">
        <v>0</v>
      </c>
      <c r="Q6624" t="n">
        <v>0</v>
      </c>
      <c r="R6624" s="2" t="inlineStr"/>
    </row>
    <row r="6625" ht="15" customHeight="1">
      <c r="A6625" t="inlineStr">
        <is>
          <t>A 50576-2025</t>
        </is>
      </c>
      <c r="B6625" s="1" t="n">
        <v>45945.58091435185</v>
      </c>
      <c r="C6625" s="1" t="n">
        <v>46093</v>
      </c>
      <c r="D6625" t="inlineStr">
        <is>
          <t>VÄSTERNORRLANDS LÄN</t>
        </is>
      </c>
      <c r="E6625" t="inlineStr">
        <is>
          <t>SUNDSVALL</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37256-2025</t>
        </is>
      </c>
      <c r="B6626" s="1" t="n">
        <v>45876.43637731481</v>
      </c>
      <c r="C6626" s="1" t="n">
        <v>46093</v>
      </c>
      <c r="D6626" t="inlineStr">
        <is>
          <t>VÄSTERNORRLANDS LÄN</t>
        </is>
      </c>
      <c r="E6626" t="inlineStr">
        <is>
          <t>KRAMFORS</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50860-2025</t>
        </is>
      </c>
      <c r="B6627" s="1" t="n">
        <v>45946.59475694445</v>
      </c>
      <c r="C6627" s="1" t="n">
        <v>46093</v>
      </c>
      <c r="D6627" t="inlineStr">
        <is>
          <t>VÄSTERNORRLANDS LÄN</t>
        </is>
      </c>
      <c r="E6627" t="inlineStr">
        <is>
          <t>SOLLEFTEÅ</t>
        </is>
      </c>
      <c r="F6627" t="inlineStr">
        <is>
          <t>SCA</t>
        </is>
      </c>
      <c r="G6627" t="n">
        <v>12.5</v>
      </c>
      <c r="H6627" t="n">
        <v>0</v>
      </c>
      <c r="I6627" t="n">
        <v>0</v>
      </c>
      <c r="J6627" t="n">
        <v>0</v>
      </c>
      <c r="K6627" t="n">
        <v>0</v>
      </c>
      <c r="L6627" t="n">
        <v>0</v>
      </c>
      <c r="M6627" t="n">
        <v>0</v>
      </c>
      <c r="N6627" t="n">
        <v>0</v>
      </c>
      <c r="O6627" t="n">
        <v>0</v>
      </c>
      <c r="P6627" t="n">
        <v>0</v>
      </c>
      <c r="Q6627" t="n">
        <v>0</v>
      </c>
      <c r="R6627" s="2" t="inlineStr"/>
    </row>
    <row r="6628" ht="15" customHeight="1">
      <c r="A6628" t="inlineStr">
        <is>
          <t>A 50526-2025</t>
        </is>
      </c>
      <c r="B6628" s="1" t="n">
        <v>45945.46888888889</v>
      </c>
      <c r="C6628" s="1" t="n">
        <v>46093</v>
      </c>
      <c r="D6628" t="inlineStr">
        <is>
          <t>VÄSTERNORRLANDS LÄN</t>
        </is>
      </c>
      <c r="E6628" t="inlineStr">
        <is>
          <t>ÖRNSKÖLDSVIK</t>
        </is>
      </c>
      <c r="F6628" t="inlineStr">
        <is>
          <t>Holmen skog AB</t>
        </is>
      </c>
      <c r="G6628" t="n">
        <v>51</v>
      </c>
      <c r="H6628" t="n">
        <v>0</v>
      </c>
      <c r="I6628" t="n">
        <v>0</v>
      </c>
      <c r="J6628" t="n">
        <v>0</v>
      </c>
      <c r="K6628" t="n">
        <v>0</v>
      </c>
      <c r="L6628" t="n">
        <v>0</v>
      </c>
      <c r="M6628" t="n">
        <v>0</v>
      </c>
      <c r="N6628" t="n">
        <v>0</v>
      </c>
      <c r="O6628" t="n">
        <v>0</v>
      </c>
      <c r="P6628" t="n">
        <v>0</v>
      </c>
      <c r="Q6628" t="n">
        <v>0</v>
      </c>
      <c r="R6628" s="2" t="inlineStr"/>
    </row>
    <row r="6629" ht="15" customHeight="1">
      <c r="A6629" t="inlineStr">
        <is>
          <t>A 50555-2025</t>
        </is>
      </c>
      <c r="B6629" s="1" t="n">
        <v>45945.53164351852</v>
      </c>
      <c r="C6629" s="1" t="n">
        <v>46093</v>
      </c>
      <c r="D6629" t="inlineStr">
        <is>
          <t>VÄSTERNORRLANDS LÄN</t>
        </is>
      </c>
      <c r="E6629" t="inlineStr">
        <is>
          <t>SOLLEFTEÅ</t>
        </is>
      </c>
      <c r="F6629" t="inlineStr">
        <is>
          <t>SCA</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50571-2025</t>
        </is>
      </c>
      <c r="B6630" s="1" t="n">
        <v>45945.57443287037</v>
      </c>
      <c r="C6630" s="1" t="n">
        <v>46093</v>
      </c>
      <c r="D6630" t="inlineStr">
        <is>
          <t>VÄSTERNORRLANDS LÄN</t>
        </is>
      </c>
      <c r="E6630" t="inlineStr">
        <is>
          <t>ÅNGE</t>
        </is>
      </c>
      <c r="G6630" t="n">
        <v>2.5</v>
      </c>
      <c r="H6630" t="n">
        <v>0</v>
      </c>
      <c r="I6630" t="n">
        <v>0</v>
      </c>
      <c r="J6630" t="n">
        <v>0</v>
      </c>
      <c r="K6630" t="n">
        <v>0</v>
      </c>
      <c r="L6630" t="n">
        <v>0</v>
      </c>
      <c r="M6630" t="n">
        <v>0</v>
      </c>
      <c r="N6630" t="n">
        <v>0</v>
      </c>
      <c r="O6630" t="n">
        <v>0</v>
      </c>
      <c r="P6630" t="n">
        <v>0</v>
      </c>
      <c r="Q6630" t="n">
        <v>0</v>
      </c>
      <c r="R6630" s="2" t="inlineStr"/>
    </row>
    <row r="6631" ht="15" customHeight="1">
      <c r="A6631" t="inlineStr">
        <is>
          <t>A 50577-2025</t>
        </is>
      </c>
      <c r="B6631" s="1" t="n">
        <v>45945</v>
      </c>
      <c r="C6631" s="1" t="n">
        <v>46093</v>
      </c>
      <c r="D6631" t="inlineStr">
        <is>
          <t>VÄSTERNORRLANDS LÄN</t>
        </is>
      </c>
      <c r="E6631" t="inlineStr">
        <is>
          <t>SUNDSVALL</t>
        </is>
      </c>
      <c r="G6631" t="n">
        <v>3.5</v>
      </c>
      <c r="H6631" t="n">
        <v>0</v>
      </c>
      <c r="I6631" t="n">
        <v>0</v>
      </c>
      <c r="J6631" t="n">
        <v>0</v>
      </c>
      <c r="K6631" t="n">
        <v>0</v>
      </c>
      <c r="L6631" t="n">
        <v>0</v>
      </c>
      <c r="M6631" t="n">
        <v>0</v>
      </c>
      <c r="N6631" t="n">
        <v>0</v>
      </c>
      <c r="O6631" t="n">
        <v>0</v>
      </c>
      <c r="P6631" t="n">
        <v>0</v>
      </c>
      <c r="Q6631" t="n">
        <v>0</v>
      </c>
      <c r="R6631" s="2" t="inlineStr"/>
    </row>
    <row r="6632" ht="15" customHeight="1">
      <c r="A6632" t="inlineStr">
        <is>
          <t>A 33302-2024</t>
        </is>
      </c>
      <c r="B6632" s="1" t="n">
        <v>45518.96967592592</v>
      </c>
      <c r="C6632" s="1" t="n">
        <v>46093</v>
      </c>
      <c r="D6632" t="inlineStr">
        <is>
          <t>VÄSTERNORRLANDS LÄN</t>
        </is>
      </c>
      <c r="E6632" t="inlineStr">
        <is>
          <t>ÅNGE</t>
        </is>
      </c>
      <c r="F6632" t="inlineStr">
        <is>
          <t>SCA</t>
        </is>
      </c>
      <c r="G6632" t="n">
        <v>4.1</v>
      </c>
      <c r="H6632" t="n">
        <v>0</v>
      </c>
      <c r="I6632" t="n">
        <v>0</v>
      </c>
      <c r="J6632" t="n">
        <v>0</v>
      </c>
      <c r="K6632" t="n">
        <v>0</v>
      </c>
      <c r="L6632" t="n">
        <v>0</v>
      </c>
      <c r="M6632" t="n">
        <v>0</v>
      </c>
      <c r="N6632" t="n">
        <v>0</v>
      </c>
      <c r="O6632" t="n">
        <v>0</v>
      </c>
      <c r="P6632" t="n">
        <v>0</v>
      </c>
      <c r="Q6632" t="n">
        <v>0</v>
      </c>
      <c r="R6632" s="2" t="inlineStr"/>
    </row>
    <row r="6633" ht="15" customHeight="1">
      <c r="A6633" t="inlineStr">
        <is>
          <t>A 7522-2023</t>
        </is>
      </c>
      <c r="B6633" s="1" t="n">
        <v>44971</v>
      </c>
      <c r="C6633" s="1" t="n">
        <v>46093</v>
      </c>
      <c r="D6633" t="inlineStr">
        <is>
          <t>VÄSTERNORRLANDS LÄN</t>
        </is>
      </c>
      <c r="E6633" t="inlineStr">
        <is>
          <t>HÄRNÖSAND</t>
        </is>
      </c>
      <c r="F6633" t="inlineStr">
        <is>
          <t>SCA</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7528-2023</t>
        </is>
      </c>
      <c r="B6634" s="1" t="n">
        <v>44971.97662037037</v>
      </c>
      <c r="C6634" s="1" t="n">
        <v>46093</v>
      </c>
      <c r="D6634" t="inlineStr">
        <is>
          <t>VÄSTERNORRLANDS LÄN</t>
        </is>
      </c>
      <c r="E6634" t="inlineStr">
        <is>
          <t>ÅNGE</t>
        </is>
      </c>
      <c r="F6634" t="inlineStr">
        <is>
          <t>SCA</t>
        </is>
      </c>
      <c r="G6634" t="n">
        <v>2.8</v>
      </c>
      <c r="H6634" t="n">
        <v>0</v>
      </c>
      <c r="I6634" t="n">
        <v>0</v>
      </c>
      <c r="J6634" t="n">
        <v>0</v>
      </c>
      <c r="K6634" t="n">
        <v>0</v>
      </c>
      <c r="L6634" t="n">
        <v>0</v>
      </c>
      <c r="M6634" t="n">
        <v>0</v>
      </c>
      <c r="N6634" t="n">
        <v>0</v>
      </c>
      <c r="O6634" t="n">
        <v>0</v>
      </c>
      <c r="P6634" t="n">
        <v>0</v>
      </c>
      <c r="Q6634" t="n">
        <v>0</v>
      </c>
      <c r="R6634" s="2" t="inlineStr"/>
    </row>
    <row r="6635" ht="15" customHeight="1">
      <c r="A6635" t="inlineStr">
        <is>
          <t>A 63510-2023</t>
        </is>
      </c>
      <c r="B6635" s="1" t="n">
        <v>45274.69578703704</v>
      </c>
      <c r="C6635" s="1" t="n">
        <v>46093</v>
      </c>
      <c r="D6635" t="inlineStr">
        <is>
          <t>VÄSTERNORRLANDS LÄN</t>
        </is>
      </c>
      <c r="E6635" t="inlineStr">
        <is>
          <t>ÖRNSKÖLDSVIK</t>
        </is>
      </c>
      <c r="F6635" t="inlineStr">
        <is>
          <t>Övriga Aktiebolag</t>
        </is>
      </c>
      <c r="G6635" t="n">
        <v>6.9</v>
      </c>
      <c r="H6635" t="n">
        <v>0</v>
      </c>
      <c r="I6635" t="n">
        <v>0</v>
      </c>
      <c r="J6635" t="n">
        <v>0</v>
      </c>
      <c r="K6635" t="n">
        <v>0</v>
      </c>
      <c r="L6635" t="n">
        <v>0</v>
      </c>
      <c r="M6635" t="n">
        <v>0</v>
      </c>
      <c r="N6635" t="n">
        <v>0</v>
      </c>
      <c r="O6635" t="n">
        <v>0</v>
      </c>
      <c r="P6635" t="n">
        <v>0</v>
      </c>
      <c r="Q6635" t="n">
        <v>0</v>
      </c>
      <c r="R6635" s="2" t="inlineStr"/>
    </row>
    <row r="6636" ht="15" customHeight="1">
      <c r="A6636" t="inlineStr">
        <is>
          <t>A 35241-2024</t>
        </is>
      </c>
      <c r="B6636" s="1" t="n">
        <v>45530.55289351852</v>
      </c>
      <c r="C6636" s="1" t="n">
        <v>46093</v>
      </c>
      <c r="D6636" t="inlineStr">
        <is>
          <t>VÄSTERNORRLANDS LÄN</t>
        </is>
      </c>
      <c r="E6636" t="inlineStr">
        <is>
          <t>KRAMFORS</t>
        </is>
      </c>
      <c r="G6636" t="n">
        <v>10.8</v>
      </c>
      <c r="H6636" t="n">
        <v>0</v>
      </c>
      <c r="I6636" t="n">
        <v>0</v>
      </c>
      <c r="J6636" t="n">
        <v>0</v>
      </c>
      <c r="K6636" t="n">
        <v>0</v>
      </c>
      <c r="L6636" t="n">
        <v>0</v>
      </c>
      <c r="M6636" t="n">
        <v>0</v>
      </c>
      <c r="N6636" t="n">
        <v>0</v>
      </c>
      <c r="O6636" t="n">
        <v>0</v>
      </c>
      <c r="P6636" t="n">
        <v>0</v>
      </c>
      <c r="Q6636" t="n">
        <v>0</v>
      </c>
      <c r="R6636" s="2" t="inlineStr"/>
    </row>
    <row r="6637" ht="15" customHeight="1">
      <c r="A6637" t="inlineStr">
        <is>
          <t>A 58170-2021</t>
        </is>
      </c>
      <c r="B6637" s="1" t="n">
        <v>44487</v>
      </c>
      <c r="C6637" s="1" t="n">
        <v>46093</v>
      </c>
      <c r="D6637" t="inlineStr">
        <is>
          <t>VÄSTERNORRLANDS LÄN</t>
        </is>
      </c>
      <c r="E6637" t="inlineStr">
        <is>
          <t>ÖRNSKÖLDSVIK</t>
        </is>
      </c>
      <c r="G6637" t="n">
        <v>6.3</v>
      </c>
      <c r="H6637" t="n">
        <v>0</v>
      </c>
      <c r="I6637" t="n">
        <v>0</v>
      </c>
      <c r="J6637" t="n">
        <v>0</v>
      </c>
      <c r="K6637" t="n">
        <v>0</v>
      </c>
      <c r="L6637" t="n">
        <v>0</v>
      </c>
      <c r="M6637" t="n">
        <v>0</v>
      </c>
      <c r="N6637" t="n">
        <v>0</v>
      </c>
      <c r="O6637" t="n">
        <v>0</v>
      </c>
      <c r="P6637" t="n">
        <v>0</v>
      </c>
      <c r="Q6637" t="n">
        <v>0</v>
      </c>
      <c r="R6637" s="2" t="inlineStr"/>
    </row>
    <row r="6638" ht="15" customHeight="1">
      <c r="A6638" t="inlineStr">
        <is>
          <t>A 50602-2025</t>
        </is>
      </c>
      <c r="B6638" s="1" t="n">
        <v>45945.61494212963</v>
      </c>
      <c r="C6638" s="1" t="n">
        <v>46093</v>
      </c>
      <c r="D6638" t="inlineStr">
        <is>
          <t>VÄSTERNORRLANDS LÄN</t>
        </is>
      </c>
      <c r="E6638" t="inlineStr">
        <is>
          <t>ÖRNSKÖLDSVIK</t>
        </is>
      </c>
      <c r="F6638" t="inlineStr">
        <is>
          <t>Holmen skog AB</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60494-2024</t>
        </is>
      </c>
      <c r="B6639" s="1" t="n">
        <v>45643.656875</v>
      </c>
      <c r="C6639" s="1" t="n">
        <v>46093</v>
      </c>
      <c r="D6639" t="inlineStr">
        <is>
          <t>VÄSTERNORRLANDS LÄN</t>
        </is>
      </c>
      <c r="E6639" t="inlineStr">
        <is>
          <t>ÖRNSKÖLDSVIK</t>
        </is>
      </c>
      <c r="F6639" t="inlineStr">
        <is>
          <t>SCA</t>
        </is>
      </c>
      <c r="G6639" t="n">
        <v>3.1</v>
      </c>
      <c r="H6639" t="n">
        <v>0</v>
      </c>
      <c r="I6639" t="n">
        <v>0</v>
      </c>
      <c r="J6639" t="n">
        <v>0</v>
      </c>
      <c r="K6639" t="n">
        <v>0</v>
      </c>
      <c r="L6639" t="n">
        <v>0</v>
      </c>
      <c r="M6639" t="n">
        <v>0</v>
      </c>
      <c r="N6639" t="n">
        <v>0</v>
      </c>
      <c r="O6639" t="n">
        <v>0</v>
      </c>
      <c r="P6639" t="n">
        <v>0</v>
      </c>
      <c r="Q6639" t="n">
        <v>0</v>
      </c>
      <c r="R6639" s="2" t="inlineStr"/>
    </row>
    <row r="6640" ht="15" customHeight="1">
      <c r="A6640" t="inlineStr">
        <is>
          <t>A 8711-2025</t>
        </is>
      </c>
      <c r="B6640" s="1" t="n">
        <v>45712.49378472222</v>
      </c>
      <c r="C6640" s="1" t="n">
        <v>46093</v>
      </c>
      <c r="D6640" t="inlineStr">
        <is>
          <t>VÄSTERNORRLANDS LÄN</t>
        </is>
      </c>
      <c r="E6640" t="inlineStr">
        <is>
          <t>KRAMFORS</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35298-2023</t>
        </is>
      </c>
      <c r="B6641" s="1" t="n">
        <v>45145.98226851852</v>
      </c>
      <c r="C6641" s="1" t="n">
        <v>46093</v>
      </c>
      <c r="D6641" t="inlineStr">
        <is>
          <t>VÄSTERNORRLANDS LÄN</t>
        </is>
      </c>
      <c r="E6641" t="inlineStr">
        <is>
          <t>KRAMFORS</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878-2022</t>
        </is>
      </c>
      <c r="B6642" s="1" t="n">
        <v>44571</v>
      </c>
      <c r="C6642" s="1" t="n">
        <v>46093</v>
      </c>
      <c r="D6642" t="inlineStr">
        <is>
          <t>VÄSTERNORRLANDS LÄN</t>
        </is>
      </c>
      <c r="E6642" t="inlineStr">
        <is>
          <t>KRAMFORS</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50861-2025</t>
        </is>
      </c>
      <c r="B6643" s="1" t="n">
        <v>45946.59496527778</v>
      </c>
      <c r="C6643" s="1" t="n">
        <v>46093</v>
      </c>
      <c r="D6643" t="inlineStr">
        <is>
          <t>VÄSTERNORRLANDS LÄN</t>
        </is>
      </c>
      <c r="E6643" t="inlineStr">
        <is>
          <t>SUNDSVALL</t>
        </is>
      </c>
      <c r="F6643" t="inlineStr">
        <is>
          <t>SCA</t>
        </is>
      </c>
      <c r="G6643" t="n">
        <v>2.8</v>
      </c>
      <c r="H6643" t="n">
        <v>0</v>
      </c>
      <c r="I6643" t="n">
        <v>0</v>
      </c>
      <c r="J6643" t="n">
        <v>0</v>
      </c>
      <c r="K6643" t="n">
        <v>0</v>
      </c>
      <c r="L6643" t="n">
        <v>0</v>
      </c>
      <c r="M6643" t="n">
        <v>0</v>
      </c>
      <c r="N6643" t="n">
        <v>0</v>
      </c>
      <c r="O6643" t="n">
        <v>0</v>
      </c>
      <c r="P6643" t="n">
        <v>0</v>
      </c>
      <c r="Q6643" t="n">
        <v>0</v>
      </c>
      <c r="R6643" s="2" t="inlineStr"/>
    </row>
    <row r="6644" ht="15" customHeight="1">
      <c r="A6644" t="inlineStr">
        <is>
          <t>A 50900-2025</t>
        </is>
      </c>
      <c r="B6644" s="1" t="n">
        <v>45946.64461805556</v>
      </c>
      <c r="C6644" s="1" t="n">
        <v>46093</v>
      </c>
      <c r="D6644" t="inlineStr">
        <is>
          <t>VÄSTERNORRLANDS LÄN</t>
        </is>
      </c>
      <c r="E6644" t="inlineStr">
        <is>
          <t>ÖRNSKÖLDSVIK</t>
        </is>
      </c>
      <c r="F6644" t="inlineStr">
        <is>
          <t>Holmen skog AB</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50597-2025</t>
        </is>
      </c>
      <c r="B6645" s="1" t="n">
        <v>45945.60997685185</v>
      </c>
      <c r="C6645" s="1" t="n">
        <v>46093</v>
      </c>
      <c r="D6645" t="inlineStr">
        <is>
          <t>VÄSTERNORRLANDS LÄN</t>
        </is>
      </c>
      <c r="E6645" t="inlineStr">
        <is>
          <t>ÖRNSKÖLDSVIK</t>
        </is>
      </c>
      <c r="F6645" t="inlineStr">
        <is>
          <t>Holmen skog AB</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32494-2022</t>
        </is>
      </c>
      <c r="B6646" s="1" t="n">
        <v>44782</v>
      </c>
      <c r="C6646" s="1" t="n">
        <v>46093</v>
      </c>
      <c r="D6646" t="inlineStr">
        <is>
          <t>VÄSTERNORRLANDS LÄN</t>
        </is>
      </c>
      <c r="E6646" t="inlineStr">
        <is>
          <t>KRAMFORS</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11050-2023</t>
        </is>
      </c>
      <c r="B6647" s="1" t="n">
        <v>44991</v>
      </c>
      <c r="C6647" s="1" t="n">
        <v>46093</v>
      </c>
      <c r="D6647" t="inlineStr">
        <is>
          <t>VÄSTERNORRLANDS LÄN</t>
        </is>
      </c>
      <c r="E6647" t="inlineStr">
        <is>
          <t>ÖRNSKÖLDSVIK</t>
        </is>
      </c>
      <c r="F6647" t="inlineStr">
        <is>
          <t>SCA</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37306-2025</t>
        </is>
      </c>
      <c r="B6648" s="1" t="n">
        <v>45876.59484953704</v>
      </c>
      <c r="C6648" s="1" t="n">
        <v>46093</v>
      </c>
      <c r="D6648" t="inlineStr">
        <is>
          <t>VÄSTERNORRLANDS LÄN</t>
        </is>
      </c>
      <c r="E6648" t="inlineStr">
        <is>
          <t>KRAMFORS</t>
        </is>
      </c>
      <c r="G6648" t="n">
        <v>3.5</v>
      </c>
      <c r="H6648" t="n">
        <v>0</v>
      </c>
      <c r="I6648" t="n">
        <v>0</v>
      </c>
      <c r="J6648" t="n">
        <v>0</v>
      </c>
      <c r="K6648" t="n">
        <v>0</v>
      </c>
      <c r="L6648" t="n">
        <v>0</v>
      </c>
      <c r="M6648" t="n">
        <v>0</v>
      </c>
      <c r="N6648" t="n">
        <v>0</v>
      </c>
      <c r="O6648" t="n">
        <v>0</v>
      </c>
      <c r="P6648" t="n">
        <v>0</v>
      </c>
      <c r="Q6648" t="n">
        <v>0</v>
      </c>
      <c r="R6648" s="2" t="inlineStr"/>
    </row>
    <row r="6649" ht="15" customHeight="1">
      <c r="A6649" t="inlineStr">
        <is>
          <t>A 14589-2025</t>
        </is>
      </c>
      <c r="B6649" s="1" t="n">
        <v>45741</v>
      </c>
      <c r="C6649" s="1" t="n">
        <v>46093</v>
      </c>
      <c r="D6649" t="inlineStr">
        <is>
          <t>VÄSTERNORRLANDS LÄN</t>
        </is>
      </c>
      <c r="E6649" t="inlineStr">
        <is>
          <t>ÖRNSKÖLDSVIK</t>
        </is>
      </c>
      <c r="G6649" t="n">
        <v>2.2</v>
      </c>
      <c r="H6649" t="n">
        <v>0</v>
      </c>
      <c r="I6649" t="n">
        <v>0</v>
      </c>
      <c r="J6649" t="n">
        <v>0</v>
      </c>
      <c r="K6649" t="n">
        <v>0</v>
      </c>
      <c r="L6649" t="n">
        <v>0</v>
      </c>
      <c r="M6649" t="n">
        <v>0</v>
      </c>
      <c r="N6649" t="n">
        <v>0</v>
      </c>
      <c r="O6649" t="n">
        <v>0</v>
      </c>
      <c r="P6649" t="n">
        <v>0</v>
      </c>
      <c r="Q6649" t="n">
        <v>0</v>
      </c>
      <c r="R6649" s="2" t="inlineStr"/>
    </row>
    <row r="6650" ht="15" customHeight="1">
      <c r="A6650" t="inlineStr">
        <is>
          <t>A 50743-2025</t>
        </is>
      </c>
      <c r="B6650" s="1" t="n">
        <v>45946.38587962963</v>
      </c>
      <c r="C6650" s="1" t="n">
        <v>46093</v>
      </c>
      <c r="D6650" t="inlineStr">
        <is>
          <t>VÄSTERNORRLANDS LÄN</t>
        </is>
      </c>
      <c r="E6650" t="inlineStr">
        <is>
          <t>SUNDSVALL</t>
        </is>
      </c>
      <c r="F6650" t="inlineStr">
        <is>
          <t>SCA</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50748-2025</t>
        </is>
      </c>
      <c r="B6651" s="1" t="n">
        <v>45946.38806712963</v>
      </c>
      <c r="C6651" s="1" t="n">
        <v>46093</v>
      </c>
      <c r="D6651" t="inlineStr">
        <is>
          <t>VÄSTERNORRLANDS LÄN</t>
        </is>
      </c>
      <c r="E6651" t="inlineStr">
        <is>
          <t>SUNDSVALL</t>
        </is>
      </c>
      <c r="G6651" t="n">
        <v>3.4</v>
      </c>
      <c r="H6651" t="n">
        <v>0</v>
      </c>
      <c r="I6651" t="n">
        <v>0</v>
      </c>
      <c r="J6651" t="n">
        <v>0</v>
      </c>
      <c r="K6651" t="n">
        <v>0</v>
      </c>
      <c r="L6651" t="n">
        <v>0</v>
      </c>
      <c r="M6651" t="n">
        <v>0</v>
      </c>
      <c r="N6651" t="n">
        <v>0</v>
      </c>
      <c r="O6651" t="n">
        <v>0</v>
      </c>
      <c r="P6651" t="n">
        <v>0</v>
      </c>
      <c r="Q6651" t="n">
        <v>0</v>
      </c>
      <c r="R6651" s="2" t="inlineStr"/>
    </row>
    <row r="6652" ht="15" customHeight="1">
      <c r="A6652" t="inlineStr">
        <is>
          <t>A 50911-2025</t>
        </is>
      </c>
      <c r="B6652" s="1" t="n">
        <v>45946.65690972222</v>
      </c>
      <c r="C6652" s="1" t="n">
        <v>46093</v>
      </c>
      <c r="D6652" t="inlineStr">
        <is>
          <t>VÄSTERNORRLANDS LÄN</t>
        </is>
      </c>
      <c r="E6652" t="inlineStr">
        <is>
          <t>SOLLEFTEÅ</t>
        </is>
      </c>
      <c r="F6652" t="inlineStr">
        <is>
          <t>SCA</t>
        </is>
      </c>
      <c r="G6652" t="n">
        <v>6.4</v>
      </c>
      <c r="H6652" t="n">
        <v>0</v>
      </c>
      <c r="I6652" t="n">
        <v>0</v>
      </c>
      <c r="J6652" t="n">
        <v>0</v>
      </c>
      <c r="K6652" t="n">
        <v>0</v>
      </c>
      <c r="L6652" t="n">
        <v>0</v>
      </c>
      <c r="M6652" t="n">
        <v>0</v>
      </c>
      <c r="N6652" t="n">
        <v>0</v>
      </c>
      <c r="O6652" t="n">
        <v>0</v>
      </c>
      <c r="P6652" t="n">
        <v>0</v>
      </c>
      <c r="Q6652" t="n">
        <v>0</v>
      </c>
      <c r="R6652" s="2" t="inlineStr"/>
    </row>
    <row r="6653" ht="15" customHeight="1">
      <c r="A6653" t="inlineStr">
        <is>
          <t>A 50505-2025</t>
        </is>
      </c>
      <c r="B6653" s="1" t="n">
        <v>45945.42863425926</v>
      </c>
      <c r="C6653" s="1" t="n">
        <v>46093</v>
      </c>
      <c r="D6653" t="inlineStr">
        <is>
          <t>VÄSTERNORRLANDS LÄN</t>
        </is>
      </c>
      <c r="E6653" t="inlineStr">
        <is>
          <t>SOLLEFTEÅ</t>
        </is>
      </c>
      <c r="F6653" t="inlineStr">
        <is>
          <t>SCA</t>
        </is>
      </c>
      <c r="G6653" t="n">
        <v>14.6</v>
      </c>
      <c r="H6653" t="n">
        <v>0</v>
      </c>
      <c r="I6653" t="n">
        <v>0</v>
      </c>
      <c r="J6653" t="n">
        <v>0</v>
      </c>
      <c r="K6653" t="n">
        <v>0</v>
      </c>
      <c r="L6653" t="n">
        <v>0</v>
      </c>
      <c r="M6653" t="n">
        <v>0</v>
      </c>
      <c r="N6653" t="n">
        <v>0</v>
      </c>
      <c r="O6653" t="n">
        <v>0</v>
      </c>
      <c r="P6653" t="n">
        <v>0</v>
      </c>
      <c r="Q6653" t="n">
        <v>0</v>
      </c>
      <c r="R6653" s="2" t="inlineStr"/>
    </row>
    <row r="6654" ht="15" customHeight="1">
      <c r="A6654" t="inlineStr">
        <is>
          <t>A 17604-2021</t>
        </is>
      </c>
      <c r="B6654" s="1" t="n">
        <v>44299</v>
      </c>
      <c r="C6654" s="1" t="n">
        <v>46093</v>
      </c>
      <c r="D6654" t="inlineStr">
        <is>
          <t>VÄSTERNORRLANDS LÄN</t>
        </is>
      </c>
      <c r="E6654" t="inlineStr">
        <is>
          <t>SOLLEFTEÅ</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50522-2025</t>
        </is>
      </c>
      <c r="B6655" s="1" t="n">
        <v>45945</v>
      </c>
      <c r="C6655" s="1" t="n">
        <v>46093</v>
      </c>
      <c r="D6655" t="inlineStr">
        <is>
          <t>VÄSTERNORRLANDS LÄN</t>
        </is>
      </c>
      <c r="E6655" t="inlineStr">
        <is>
          <t>SOLLEFTEÅ</t>
        </is>
      </c>
      <c r="G6655" t="n">
        <v>4.7</v>
      </c>
      <c r="H6655" t="n">
        <v>0</v>
      </c>
      <c r="I6655" t="n">
        <v>0</v>
      </c>
      <c r="J6655" t="n">
        <v>0</v>
      </c>
      <c r="K6655" t="n">
        <v>0</v>
      </c>
      <c r="L6655" t="n">
        <v>0</v>
      </c>
      <c r="M6655" t="n">
        <v>0</v>
      </c>
      <c r="N6655" t="n">
        <v>0</v>
      </c>
      <c r="O6655" t="n">
        <v>0</v>
      </c>
      <c r="P6655" t="n">
        <v>0</v>
      </c>
      <c r="Q6655" t="n">
        <v>0</v>
      </c>
      <c r="R6655" s="2" t="inlineStr"/>
    </row>
    <row r="6656" ht="15" customHeight="1">
      <c r="A6656" t="inlineStr">
        <is>
          <t>A 62363-2023</t>
        </is>
      </c>
      <c r="B6656" s="1" t="n">
        <v>45267</v>
      </c>
      <c r="C6656" s="1" t="n">
        <v>46093</v>
      </c>
      <c r="D6656" t="inlineStr">
        <is>
          <t>VÄSTERNORRLANDS LÄN</t>
        </is>
      </c>
      <c r="E6656" t="inlineStr">
        <is>
          <t>SOLLEFTEÅ</t>
        </is>
      </c>
      <c r="F6656" t="inlineStr">
        <is>
          <t>SCA</t>
        </is>
      </c>
      <c r="G6656" t="n">
        <v>0.4</v>
      </c>
      <c r="H6656" t="n">
        <v>0</v>
      </c>
      <c r="I6656" t="n">
        <v>0</v>
      </c>
      <c r="J6656" t="n">
        <v>0</v>
      </c>
      <c r="K6656" t="n">
        <v>0</v>
      </c>
      <c r="L6656" t="n">
        <v>0</v>
      </c>
      <c r="M6656" t="n">
        <v>0</v>
      </c>
      <c r="N6656" t="n">
        <v>0</v>
      </c>
      <c r="O6656" t="n">
        <v>0</v>
      </c>
      <c r="P6656" t="n">
        <v>0</v>
      </c>
      <c r="Q6656" t="n">
        <v>0</v>
      </c>
      <c r="R6656" s="2" t="inlineStr"/>
    </row>
    <row r="6657" ht="15" customHeight="1">
      <c r="A6657" t="inlineStr">
        <is>
          <t>A 14673-2025</t>
        </is>
      </c>
      <c r="B6657" s="1" t="n">
        <v>45742.55309027778</v>
      </c>
      <c r="C6657" s="1" t="n">
        <v>46093</v>
      </c>
      <c r="D6657" t="inlineStr">
        <is>
          <t>VÄSTERNORRLANDS LÄN</t>
        </is>
      </c>
      <c r="E6657" t="inlineStr">
        <is>
          <t>ÅNGE</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50573-2025</t>
        </is>
      </c>
      <c r="B6658" s="1" t="n">
        <v>45945.5749537037</v>
      </c>
      <c r="C6658" s="1" t="n">
        <v>46093</v>
      </c>
      <c r="D6658" t="inlineStr">
        <is>
          <t>VÄSTERNORRLANDS LÄN</t>
        </is>
      </c>
      <c r="E6658" t="inlineStr">
        <is>
          <t>ÖRNSKÖLDSVIK</t>
        </is>
      </c>
      <c r="G6658" t="n">
        <v>15.2</v>
      </c>
      <c r="H6658" t="n">
        <v>0</v>
      </c>
      <c r="I6658" t="n">
        <v>0</v>
      </c>
      <c r="J6658" t="n">
        <v>0</v>
      </c>
      <c r="K6658" t="n">
        <v>0</v>
      </c>
      <c r="L6658" t="n">
        <v>0</v>
      </c>
      <c r="M6658" t="n">
        <v>0</v>
      </c>
      <c r="N6658" t="n">
        <v>0</v>
      </c>
      <c r="O6658" t="n">
        <v>0</v>
      </c>
      <c r="P6658" t="n">
        <v>0</v>
      </c>
      <c r="Q6658" t="n">
        <v>0</v>
      </c>
      <c r="R6658" s="2" t="inlineStr"/>
    </row>
    <row r="6659" ht="15" customHeight="1">
      <c r="A6659" t="inlineStr">
        <is>
          <t>A 37325-2025</t>
        </is>
      </c>
      <c r="B6659" s="1" t="n">
        <v>45876.63581018519</v>
      </c>
      <c r="C6659" s="1" t="n">
        <v>46093</v>
      </c>
      <c r="D6659" t="inlineStr">
        <is>
          <t>VÄSTERNORRLANDS LÄN</t>
        </is>
      </c>
      <c r="E6659" t="inlineStr">
        <is>
          <t>SOLLEFTEÅ</t>
        </is>
      </c>
      <c r="F6659" t="inlineStr">
        <is>
          <t>SCA</t>
        </is>
      </c>
      <c r="G6659" t="n">
        <v>3.1</v>
      </c>
      <c r="H6659" t="n">
        <v>0</v>
      </c>
      <c r="I6659" t="n">
        <v>0</v>
      </c>
      <c r="J6659" t="n">
        <v>0</v>
      </c>
      <c r="K6659" t="n">
        <v>0</v>
      </c>
      <c r="L6659" t="n">
        <v>0</v>
      </c>
      <c r="M6659" t="n">
        <v>0</v>
      </c>
      <c r="N6659" t="n">
        <v>0</v>
      </c>
      <c r="O6659" t="n">
        <v>0</v>
      </c>
      <c r="P6659" t="n">
        <v>0</v>
      </c>
      <c r="Q6659" t="n">
        <v>0</v>
      </c>
      <c r="R6659" s="2" t="inlineStr"/>
    </row>
    <row r="6660" ht="15" customHeight="1">
      <c r="A6660" t="inlineStr">
        <is>
          <t>A 52034-2022</t>
        </is>
      </c>
      <c r="B6660" s="1" t="n">
        <v>44872</v>
      </c>
      <c r="C6660" s="1" t="n">
        <v>46093</v>
      </c>
      <c r="D6660" t="inlineStr">
        <is>
          <t>VÄSTERNORRLANDS LÄN</t>
        </is>
      </c>
      <c r="E6660" t="inlineStr">
        <is>
          <t>SOLLEFTEÅ</t>
        </is>
      </c>
      <c r="F6660" t="inlineStr">
        <is>
          <t>SCA</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4275-2024</t>
        </is>
      </c>
      <c r="B6661" s="1" t="n">
        <v>45324</v>
      </c>
      <c r="C6661" s="1" t="n">
        <v>46093</v>
      </c>
      <c r="D6661" t="inlineStr">
        <is>
          <t>VÄSTERNORRLANDS LÄN</t>
        </is>
      </c>
      <c r="E6661" t="inlineStr">
        <is>
          <t>KRAMFORS</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50710-2025</t>
        </is>
      </c>
      <c r="B6662" s="1" t="n">
        <v>45946.33462962963</v>
      </c>
      <c r="C6662" s="1" t="n">
        <v>46093</v>
      </c>
      <c r="D6662" t="inlineStr">
        <is>
          <t>VÄSTERNORRLANDS LÄN</t>
        </is>
      </c>
      <c r="E6662" t="inlineStr">
        <is>
          <t>ÖRNSKÖLDSVIK</t>
        </is>
      </c>
      <c r="F6662" t="inlineStr">
        <is>
          <t>Holmen skog AB</t>
        </is>
      </c>
      <c r="G6662" t="n">
        <v>11.1</v>
      </c>
      <c r="H6662" t="n">
        <v>0</v>
      </c>
      <c r="I6662" t="n">
        <v>0</v>
      </c>
      <c r="J6662" t="n">
        <v>0</v>
      </c>
      <c r="K6662" t="n">
        <v>0</v>
      </c>
      <c r="L6662" t="n">
        <v>0</v>
      </c>
      <c r="M6662" t="n">
        <v>0</v>
      </c>
      <c r="N6662" t="n">
        <v>0</v>
      </c>
      <c r="O6662" t="n">
        <v>0</v>
      </c>
      <c r="P6662" t="n">
        <v>0</v>
      </c>
      <c r="Q6662" t="n">
        <v>0</v>
      </c>
      <c r="R6662" s="2" t="inlineStr"/>
    </row>
    <row r="6663" ht="15" customHeight="1">
      <c r="A6663" t="inlineStr">
        <is>
          <t>A 50457-2025</t>
        </is>
      </c>
      <c r="B6663" s="1" t="n">
        <v>45945</v>
      </c>
      <c r="C6663" s="1" t="n">
        <v>46093</v>
      </c>
      <c r="D6663" t="inlineStr">
        <is>
          <t>VÄSTERNORRLANDS LÄN</t>
        </is>
      </c>
      <c r="E6663" t="inlineStr">
        <is>
          <t>SUNDSVALL</t>
        </is>
      </c>
      <c r="F6663" t="inlineStr">
        <is>
          <t>SCA</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50926-2025</t>
        </is>
      </c>
      <c r="B6664" s="1" t="n">
        <v>45946.67871527778</v>
      </c>
      <c r="C6664" s="1" t="n">
        <v>46093</v>
      </c>
      <c r="D6664" t="inlineStr">
        <is>
          <t>VÄSTERNORRLANDS LÄN</t>
        </is>
      </c>
      <c r="E6664" t="inlineStr">
        <is>
          <t>SUNDSVALL</t>
        </is>
      </c>
      <c r="G6664" t="n">
        <v>7.9</v>
      </c>
      <c r="H6664" t="n">
        <v>0</v>
      </c>
      <c r="I6664" t="n">
        <v>0</v>
      </c>
      <c r="J6664" t="n">
        <v>0</v>
      </c>
      <c r="K6664" t="n">
        <v>0</v>
      </c>
      <c r="L6664" t="n">
        <v>0</v>
      </c>
      <c r="M6664" t="n">
        <v>0</v>
      </c>
      <c r="N6664" t="n">
        <v>0</v>
      </c>
      <c r="O6664" t="n">
        <v>0</v>
      </c>
      <c r="P6664" t="n">
        <v>0</v>
      </c>
      <c r="Q6664" t="n">
        <v>0</v>
      </c>
      <c r="R6664" s="2" t="inlineStr"/>
    </row>
    <row r="6665" ht="15" customHeight="1">
      <c r="A6665" t="inlineStr">
        <is>
          <t>A 47025-2023</t>
        </is>
      </c>
      <c r="B6665" s="1" t="n">
        <v>45195</v>
      </c>
      <c r="C6665" s="1" t="n">
        <v>46093</v>
      </c>
      <c r="D6665" t="inlineStr">
        <is>
          <t>VÄSTERNORRLANDS LÄN</t>
        </is>
      </c>
      <c r="E6665" t="inlineStr">
        <is>
          <t>SUNDSVALL</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249-2024</t>
        </is>
      </c>
      <c r="B6666" s="1" t="n">
        <v>45294</v>
      </c>
      <c r="C6666" s="1" t="n">
        <v>46093</v>
      </c>
      <c r="D6666" t="inlineStr">
        <is>
          <t>VÄSTERNORRLANDS LÄN</t>
        </is>
      </c>
      <c r="E6666" t="inlineStr">
        <is>
          <t>SUNDSVALL</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250-2024</t>
        </is>
      </c>
      <c r="B6667" s="1" t="n">
        <v>45294</v>
      </c>
      <c r="C6667" s="1" t="n">
        <v>46093</v>
      </c>
      <c r="D6667" t="inlineStr">
        <is>
          <t>VÄSTERNORRLANDS LÄN</t>
        </is>
      </c>
      <c r="E6667" t="inlineStr">
        <is>
          <t>ÖRNSKÖLDSVIK</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50935-2025</t>
        </is>
      </c>
      <c r="B6668" s="1" t="n">
        <v>45946.69409722222</v>
      </c>
      <c r="C6668" s="1" t="n">
        <v>46093</v>
      </c>
      <c r="D6668" t="inlineStr">
        <is>
          <t>VÄSTERNORRLANDS LÄN</t>
        </is>
      </c>
      <c r="E6668" t="inlineStr">
        <is>
          <t>SUNDSVALL</t>
        </is>
      </c>
      <c r="G6668" t="n">
        <v>4.2</v>
      </c>
      <c r="H6668" t="n">
        <v>0</v>
      </c>
      <c r="I6668" t="n">
        <v>0</v>
      </c>
      <c r="J6668" t="n">
        <v>0</v>
      </c>
      <c r="K6668" t="n">
        <v>0</v>
      </c>
      <c r="L6668" t="n">
        <v>0</v>
      </c>
      <c r="M6668" t="n">
        <v>0</v>
      </c>
      <c r="N6668" t="n">
        <v>0</v>
      </c>
      <c r="O6668" t="n">
        <v>0</v>
      </c>
      <c r="P6668" t="n">
        <v>0</v>
      </c>
      <c r="Q6668" t="n">
        <v>0</v>
      </c>
      <c r="R6668" s="2" t="inlineStr"/>
    </row>
    <row r="6669" ht="15" customHeight="1">
      <c r="A6669" t="inlineStr">
        <is>
          <t>A 50512-2025</t>
        </is>
      </c>
      <c r="B6669" s="1" t="n">
        <v>45945.44846064815</v>
      </c>
      <c r="C6669" s="1" t="n">
        <v>46093</v>
      </c>
      <c r="D6669" t="inlineStr">
        <is>
          <t>VÄSTERNORRLANDS LÄN</t>
        </is>
      </c>
      <c r="E6669" t="inlineStr">
        <is>
          <t>SUNDSVALL</t>
        </is>
      </c>
      <c r="F6669" t="inlineStr">
        <is>
          <t>SCA</t>
        </is>
      </c>
      <c r="G6669" t="n">
        <v>5</v>
      </c>
      <c r="H6669" t="n">
        <v>0</v>
      </c>
      <c r="I6669" t="n">
        <v>0</v>
      </c>
      <c r="J6669" t="n">
        <v>0</v>
      </c>
      <c r="K6669" t="n">
        <v>0</v>
      </c>
      <c r="L6669" t="n">
        <v>0</v>
      </c>
      <c r="M6669" t="n">
        <v>0</v>
      </c>
      <c r="N6669" t="n">
        <v>0</v>
      </c>
      <c r="O6669" t="n">
        <v>0</v>
      </c>
      <c r="P6669" t="n">
        <v>0</v>
      </c>
      <c r="Q6669" t="n">
        <v>0</v>
      </c>
      <c r="R6669" s="2" t="inlineStr"/>
    </row>
    <row r="6670" ht="15" customHeight="1">
      <c r="A6670" t="inlineStr">
        <is>
          <t>A 9113-2024</t>
        </is>
      </c>
      <c r="B6670" s="1" t="n">
        <v>45357</v>
      </c>
      <c r="C6670" s="1" t="n">
        <v>46093</v>
      </c>
      <c r="D6670" t="inlineStr">
        <is>
          <t>VÄSTERNORRLANDS LÄN</t>
        </is>
      </c>
      <c r="E6670" t="inlineStr">
        <is>
          <t>SUNDSVALL</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9120-2024</t>
        </is>
      </c>
      <c r="B6671" s="1" t="n">
        <v>45358.04091435186</v>
      </c>
      <c r="C6671" s="1" t="n">
        <v>46093</v>
      </c>
      <c r="D6671" t="inlineStr">
        <is>
          <t>VÄSTERNORRLANDS LÄN</t>
        </is>
      </c>
      <c r="E6671" t="inlineStr">
        <is>
          <t>SOLLEFTEÅ</t>
        </is>
      </c>
      <c r="F6671" t="inlineStr">
        <is>
          <t>SCA</t>
        </is>
      </c>
      <c r="G6671" t="n">
        <v>2.9</v>
      </c>
      <c r="H6671" t="n">
        <v>0</v>
      </c>
      <c r="I6671" t="n">
        <v>0</v>
      </c>
      <c r="J6671" t="n">
        <v>0</v>
      </c>
      <c r="K6671" t="n">
        <v>0</v>
      </c>
      <c r="L6671" t="n">
        <v>0</v>
      </c>
      <c r="M6671" t="n">
        <v>0</v>
      </c>
      <c r="N6671" t="n">
        <v>0</v>
      </c>
      <c r="O6671" t="n">
        <v>0</v>
      </c>
      <c r="P6671" t="n">
        <v>0</v>
      </c>
      <c r="Q6671" t="n">
        <v>0</v>
      </c>
      <c r="R6671" s="2" t="inlineStr"/>
    </row>
    <row r="6672" ht="15" customHeight="1">
      <c r="A6672" t="inlineStr">
        <is>
          <t>A 9122-2024</t>
        </is>
      </c>
      <c r="B6672" s="1" t="n">
        <v>45358.04107638889</v>
      </c>
      <c r="C6672" s="1" t="n">
        <v>46093</v>
      </c>
      <c r="D6672" t="inlineStr">
        <is>
          <t>VÄSTERNORRLANDS LÄN</t>
        </is>
      </c>
      <c r="E6672" t="inlineStr">
        <is>
          <t>SOLLEFTEÅ</t>
        </is>
      </c>
      <c r="F6672" t="inlineStr">
        <is>
          <t>SCA</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58085-2023</t>
        </is>
      </c>
      <c r="B6673" s="1" t="n">
        <v>45247</v>
      </c>
      <c r="C6673" s="1" t="n">
        <v>46093</v>
      </c>
      <c r="D6673" t="inlineStr">
        <is>
          <t>VÄSTERNORRLANDS LÄN</t>
        </is>
      </c>
      <c r="E6673" t="inlineStr">
        <is>
          <t>SOLLEFTEÅ</t>
        </is>
      </c>
      <c r="F6673" t="inlineStr">
        <is>
          <t>SCA</t>
        </is>
      </c>
      <c r="G6673" t="n">
        <v>2.8</v>
      </c>
      <c r="H6673" t="n">
        <v>0</v>
      </c>
      <c r="I6673" t="n">
        <v>0</v>
      </c>
      <c r="J6673" t="n">
        <v>0</v>
      </c>
      <c r="K6673" t="n">
        <v>0</v>
      </c>
      <c r="L6673" t="n">
        <v>0</v>
      </c>
      <c r="M6673" t="n">
        <v>0</v>
      </c>
      <c r="N6673" t="n">
        <v>0</v>
      </c>
      <c r="O6673" t="n">
        <v>0</v>
      </c>
      <c r="P6673" t="n">
        <v>0</v>
      </c>
      <c r="Q6673" t="n">
        <v>0</v>
      </c>
      <c r="R6673" s="2" t="inlineStr"/>
    </row>
    <row r="6674" ht="15" customHeight="1">
      <c r="A6674" t="inlineStr">
        <is>
          <t>A 8707-2024</t>
        </is>
      </c>
      <c r="B6674" s="1" t="n">
        <v>45356.38680555556</v>
      </c>
      <c r="C6674" s="1" t="n">
        <v>46093</v>
      </c>
      <c r="D6674" t="inlineStr">
        <is>
          <t>VÄSTERNORRLANDS LÄN</t>
        </is>
      </c>
      <c r="E6674" t="inlineStr">
        <is>
          <t>ÖRNSKÖLDSVIK</t>
        </is>
      </c>
      <c r="F6674" t="inlineStr">
        <is>
          <t>Holmen skog AB</t>
        </is>
      </c>
      <c r="G6674" t="n">
        <v>3</v>
      </c>
      <c r="H6674" t="n">
        <v>0</v>
      </c>
      <c r="I6674" t="n">
        <v>0</v>
      </c>
      <c r="J6674" t="n">
        <v>0</v>
      </c>
      <c r="K6674" t="n">
        <v>0</v>
      </c>
      <c r="L6674" t="n">
        <v>0</v>
      </c>
      <c r="M6674" t="n">
        <v>0</v>
      </c>
      <c r="N6674" t="n">
        <v>0</v>
      </c>
      <c r="O6674" t="n">
        <v>0</v>
      </c>
      <c r="P6674" t="n">
        <v>0</v>
      </c>
      <c r="Q6674" t="n">
        <v>0</v>
      </c>
      <c r="R6674" s="2" t="inlineStr"/>
    </row>
    <row r="6675" ht="15" customHeight="1">
      <c r="A6675" t="inlineStr">
        <is>
          <t>A 59408-2024</t>
        </is>
      </c>
      <c r="B6675" s="1" t="n">
        <v>45638.38923611111</v>
      </c>
      <c r="C6675" s="1" t="n">
        <v>46093</v>
      </c>
      <c r="D6675" t="inlineStr">
        <is>
          <t>VÄSTERNORRLANDS LÄN</t>
        </is>
      </c>
      <c r="E6675" t="inlineStr">
        <is>
          <t>HÄRNÖSAND</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51382-2025</t>
        </is>
      </c>
      <c r="B6676" s="1" t="n">
        <v>45950.46019675926</v>
      </c>
      <c r="C6676" s="1" t="n">
        <v>46093</v>
      </c>
      <c r="D6676" t="inlineStr">
        <is>
          <t>VÄSTERNORRLANDS LÄN</t>
        </is>
      </c>
      <c r="E6676" t="inlineStr">
        <is>
          <t>ÅNGE</t>
        </is>
      </c>
      <c r="G6676" t="n">
        <v>3</v>
      </c>
      <c r="H6676" t="n">
        <v>0</v>
      </c>
      <c r="I6676" t="n">
        <v>0</v>
      </c>
      <c r="J6676" t="n">
        <v>0</v>
      </c>
      <c r="K6676" t="n">
        <v>0</v>
      </c>
      <c r="L6676" t="n">
        <v>0</v>
      </c>
      <c r="M6676" t="n">
        <v>0</v>
      </c>
      <c r="N6676" t="n">
        <v>0</v>
      </c>
      <c r="O6676" t="n">
        <v>0</v>
      </c>
      <c r="P6676" t="n">
        <v>0</v>
      </c>
      <c r="Q6676" t="n">
        <v>0</v>
      </c>
      <c r="R6676" s="2" t="inlineStr"/>
    </row>
    <row r="6677" ht="15" customHeight="1">
      <c r="A6677" t="inlineStr">
        <is>
          <t>A 51387-2025</t>
        </is>
      </c>
      <c r="B6677" s="1" t="n">
        <v>45950.46667824074</v>
      </c>
      <c r="C6677" s="1" t="n">
        <v>46093</v>
      </c>
      <c r="D6677" t="inlineStr">
        <is>
          <t>VÄSTERNORRLANDS LÄN</t>
        </is>
      </c>
      <c r="E6677" t="inlineStr">
        <is>
          <t>ÖRNSKÖLDSVIK</t>
        </is>
      </c>
      <c r="F6677" t="inlineStr">
        <is>
          <t>Holmen skog AB</t>
        </is>
      </c>
      <c r="G6677" t="n">
        <v>23.1</v>
      </c>
      <c r="H6677" t="n">
        <v>0</v>
      </c>
      <c r="I6677" t="n">
        <v>0</v>
      </c>
      <c r="J6677" t="n">
        <v>0</v>
      </c>
      <c r="K6677" t="n">
        <v>0</v>
      </c>
      <c r="L6677" t="n">
        <v>0</v>
      </c>
      <c r="M6677" t="n">
        <v>0</v>
      </c>
      <c r="N6677" t="n">
        <v>0</v>
      </c>
      <c r="O6677" t="n">
        <v>0</v>
      </c>
      <c r="P6677" t="n">
        <v>0</v>
      </c>
      <c r="Q6677" t="n">
        <v>0</v>
      </c>
      <c r="R6677" s="2" t="inlineStr"/>
    </row>
    <row r="6678" ht="15" customHeight="1">
      <c r="A6678" t="inlineStr">
        <is>
          <t>A 51400-2025</t>
        </is>
      </c>
      <c r="B6678" s="1" t="n">
        <v>45950.48018518519</v>
      </c>
      <c r="C6678" s="1" t="n">
        <v>46093</v>
      </c>
      <c r="D6678" t="inlineStr">
        <is>
          <t>VÄSTERNORRLANDS LÄN</t>
        </is>
      </c>
      <c r="E6678" t="inlineStr">
        <is>
          <t>KRAMFORS</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51192-2025</t>
        </is>
      </c>
      <c r="B6679" s="1" t="n">
        <v>45947.62763888889</v>
      </c>
      <c r="C6679" s="1" t="n">
        <v>46093</v>
      </c>
      <c r="D6679" t="inlineStr">
        <is>
          <t>VÄSTERNORRLANDS LÄN</t>
        </is>
      </c>
      <c r="E6679" t="inlineStr">
        <is>
          <t>KRAMFORS</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1001-2025</t>
        </is>
      </c>
      <c r="B6680" s="1" t="n">
        <v>45666</v>
      </c>
      <c r="C6680" s="1" t="n">
        <v>46093</v>
      </c>
      <c r="D6680" t="inlineStr">
        <is>
          <t>VÄSTERNORRLANDS LÄN</t>
        </is>
      </c>
      <c r="E6680" t="inlineStr">
        <is>
          <t>ÖRNSKÖLDSVIK</t>
        </is>
      </c>
      <c r="G6680" t="n">
        <v>1.3</v>
      </c>
      <c r="H6680" t="n">
        <v>0</v>
      </c>
      <c r="I6680" t="n">
        <v>0</v>
      </c>
      <c r="J6680" t="n">
        <v>0</v>
      </c>
      <c r="K6680" t="n">
        <v>0</v>
      </c>
      <c r="L6680" t="n">
        <v>0</v>
      </c>
      <c r="M6680" t="n">
        <v>0</v>
      </c>
      <c r="N6680" t="n">
        <v>0</v>
      </c>
      <c r="O6680" t="n">
        <v>0</v>
      </c>
      <c r="P6680" t="n">
        <v>0</v>
      </c>
      <c r="Q6680" t="n">
        <v>0</v>
      </c>
      <c r="R6680" s="2" t="inlineStr"/>
    </row>
    <row r="6681" ht="15" customHeight="1">
      <c r="A6681" t="inlineStr">
        <is>
          <t>A 51239-2025</t>
        </is>
      </c>
      <c r="B6681" s="1" t="n">
        <v>45947.69834490741</v>
      </c>
      <c r="C6681" s="1" t="n">
        <v>46093</v>
      </c>
      <c r="D6681" t="inlineStr">
        <is>
          <t>VÄSTERNORRLANDS LÄN</t>
        </is>
      </c>
      <c r="E6681" t="inlineStr">
        <is>
          <t>SUNDSVALL</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15032-2025</t>
        </is>
      </c>
      <c r="B6682" s="1" t="n">
        <v>45743.67748842593</v>
      </c>
      <c r="C6682" s="1" t="n">
        <v>46093</v>
      </c>
      <c r="D6682" t="inlineStr">
        <is>
          <t>VÄSTERNORRLANDS LÄN</t>
        </is>
      </c>
      <c r="E6682" t="inlineStr">
        <is>
          <t>ÅNGE</t>
        </is>
      </c>
      <c r="F6682" t="inlineStr">
        <is>
          <t>SCA</t>
        </is>
      </c>
      <c r="G6682" t="n">
        <v>9.699999999999999</v>
      </c>
      <c r="H6682" t="n">
        <v>0</v>
      </c>
      <c r="I6682" t="n">
        <v>0</v>
      </c>
      <c r="J6682" t="n">
        <v>0</v>
      </c>
      <c r="K6682" t="n">
        <v>0</v>
      </c>
      <c r="L6682" t="n">
        <v>0</v>
      </c>
      <c r="M6682" t="n">
        <v>0</v>
      </c>
      <c r="N6682" t="n">
        <v>0</v>
      </c>
      <c r="O6682" t="n">
        <v>0</v>
      </c>
      <c r="P6682" t="n">
        <v>0</v>
      </c>
      <c r="Q6682" t="n">
        <v>0</v>
      </c>
      <c r="R6682" s="2" t="inlineStr"/>
    </row>
    <row r="6683" ht="15" customHeight="1">
      <c r="A6683" t="inlineStr">
        <is>
          <t>A 51303-2025</t>
        </is>
      </c>
      <c r="B6683" s="1" t="n">
        <v>45950.36518518518</v>
      </c>
      <c r="C6683" s="1" t="n">
        <v>46093</v>
      </c>
      <c r="D6683" t="inlineStr">
        <is>
          <t>VÄSTERNORRLANDS LÄN</t>
        </is>
      </c>
      <c r="E6683" t="inlineStr">
        <is>
          <t>SOLLEFTEÅ</t>
        </is>
      </c>
      <c r="F6683" t="inlineStr">
        <is>
          <t>SCA</t>
        </is>
      </c>
      <c r="G6683" t="n">
        <v>29.2</v>
      </c>
      <c r="H6683" t="n">
        <v>0</v>
      </c>
      <c r="I6683" t="n">
        <v>0</v>
      </c>
      <c r="J6683" t="n">
        <v>0</v>
      </c>
      <c r="K6683" t="n">
        <v>0</v>
      </c>
      <c r="L6683" t="n">
        <v>0</v>
      </c>
      <c r="M6683" t="n">
        <v>0</v>
      </c>
      <c r="N6683" t="n">
        <v>0</v>
      </c>
      <c r="O6683" t="n">
        <v>0</v>
      </c>
      <c r="P6683" t="n">
        <v>0</v>
      </c>
      <c r="Q6683" t="n">
        <v>0</v>
      </c>
      <c r="R6683" s="2" t="inlineStr"/>
    </row>
    <row r="6684" ht="15" customHeight="1">
      <c r="A6684" t="inlineStr">
        <is>
          <t>A 51321-2025</t>
        </is>
      </c>
      <c r="B6684" s="1" t="n">
        <v>45950.38615740741</v>
      </c>
      <c r="C6684" s="1" t="n">
        <v>46093</v>
      </c>
      <c r="D6684" t="inlineStr">
        <is>
          <t>VÄSTERNORRLANDS LÄN</t>
        </is>
      </c>
      <c r="E6684" t="inlineStr">
        <is>
          <t>SOLLEFTEÅ</t>
        </is>
      </c>
      <c r="G6684" t="n">
        <v>4.3</v>
      </c>
      <c r="H6684" t="n">
        <v>0</v>
      </c>
      <c r="I6684" t="n">
        <v>0</v>
      </c>
      <c r="J6684" t="n">
        <v>0</v>
      </c>
      <c r="K6684" t="n">
        <v>0</v>
      </c>
      <c r="L6684" t="n">
        <v>0</v>
      </c>
      <c r="M6684" t="n">
        <v>0</v>
      </c>
      <c r="N6684" t="n">
        <v>0</v>
      </c>
      <c r="O6684" t="n">
        <v>0</v>
      </c>
      <c r="P6684" t="n">
        <v>0</v>
      </c>
      <c r="Q6684" t="n">
        <v>0</v>
      </c>
      <c r="R6684" s="2" t="inlineStr"/>
    </row>
    <row r="6685" ht="15" customHeight="1">
      <c r="A6685" t="inlineStr">
        <is>
          <t>A 51372-2025</t>
        </is>
      </c>
      <c r="B6685" s="1" t="n">
        <v>45950.44846064815</v>
      </c>
      <c r="C6685" s="1" t="n">
        <v>46093</v>
      </c>
      <c r="D6685" t="inlineStr">
        <is>
          <t>VÄSTERNORRLANDS LÄN</t>
        </is>
      </c>
      <c r="E6685" t="inlineStr">
        <is>
          <t>SOLLEFTEÅ</t>
        </is>
      </c>
      <c r="F6685" t="inlineStr">
        <is>
          <t>SCA</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64120-2023</t>
        </is>
      </c>
      <c r="B6686" s="1" t="n">
        <v>45279</v>
      </c>
      <c r="C6686" s="1" t="n">
        <v>46093</v>
      </c>
      <c r="D6686" t="inlineStr">
        <is>
          <t>VÄSTERNORRLANDS LÄN</t>
        </is>
      </c>
      <c r="E6686" t="inlineStr">
        <is>
          <t>SOLLEFTEÅ</t>
        </is>
      </c>
      <c r="G6686" t="n">
        <v>3.5</v>
      </c>
      <c r="H6686" t="n">
        <v>0</v>
      </c>
      <c r="I6686" t="n">
        <v>0</v>
      </c>
      <c r="J6686" t="n">
        <v>0</v>
      </c>
      <c r="K6686" t="n">
        <v>0</v>
      </c>
      <c r="L6686" t="n">
        <v>0</v>
      </c>
      <c r="M6686" t="n">
        <v>0</v>
      </c>
      <c r="N6686" t="n">
        <v>0</v>
      </c>
      <c r="O6686" t="n">
        <v>0</v>
      </c>
      <c r="P6686" t="n">
        <v>0</v>
      </c>
      <c r="Q6686" t="n">
        <v>0</v>
      </c>
      <c r="R6686" s="2" t="inlineStr"/>
    </row>
    <row r="6687" ht="15" customHeight="1">
      <c r="A6687" t="inlineStr">
        <is>
          <t>A 31667-2024</t>
        </is>
      </c>
      <c r="B6687" s="1" t="n">
        <v>45506</v>
      </c>
      <c r="C6687" s="1" t="n">
        <v>46093</v>
      </c>
      <c r="D6687" t="inlineStr">
        <is>
          <t>VÄSTERNORRLANDS LÄN</t>
        </is>
      </c>
      <c r="E6687" t="inlineStr">
        <is>
          <t>SUNDSVALL</t>
        </is>
      </c>
      <c r="F6687" t="inlineStr">
        <is>
          <t>SCA</t>
        </is>
      </c>
      <c r="G6687" t="n">
        <v>3.4</v>
      </c>
      <c r="H6687" t="n">
        <v>0</v>
      </c>
      <c r="I6687" t="n">
        <v>0</v>
      </c>
      <c r="J6687" t="n">
        <v>0</v>
      </c>
      <c r="K6687" t="n">
        <v>0</v>
      </c>
      <c r="L6687" t="n">
        <v>0</v>
      </c>
      <c r="M6687" t="n">
        <v>0</v>
      </c>
      <c r="N6687" t="n">
        <v>0</v>
      </c>
      <c r="O6687" t="n">
        <v>0</v>
      </c>
      <c r="P6687" t="n">
        <v>0</v>
      </c>
      <c r="Q6687" t="n">
        <v>0</v>
      </c>
      <c r="R6687" s="2" t="inlineStr"/>
    </row>
    <row r="6688" ht="15" customHeight="1">
      <c r="A6688" t="inlineStr">
        <is>
          <t>A 27303-2024</t>
        </is>
      </c>
      <c r="B6688" s="1" t="n">
        <v>45471</v>
      </c>
      <c r="C6688" s="1" t="n">
        <v>46093</v>
      </c>
      <c r="D6688" t="inlineStr">
        <is>
          <t>VÄSTERNORRLANDS LÄN</t>
        </is>
      </c>
      <c r="E6688" t="inlineStr">
        <is>
          <t>SUNDSVALL</t>
        </is>
      </c>
      <c r="F6688" t="inlineStr">
        <is>
          <t>SCA</t>
        </is>
      </c>
      <c r="G6688" t="n">
        <v>3.4</v>
      </c>
      <c r="H6688" t="n">
        <v>0</v>
      </c>
      <c r="I6688" t="n">
        <v>0</v>
      </c>
      <c r="J6688" t="n">
        <v>0</v>
      </c>
      <c r="K6688" t="n">
        <v>0</v>
      </c>
      <c r="L6688" t="n">
        <v>0</v>
      </c>
      <c r="M6688" t="n">
        <v>0</v>
      </c>
      <c r="N6688" t="n">
        <v>0</v>
      </c>
      <c r="O6688" t="n">
        <v>0</v>
      </c>
      <c r="P6688" t="n">
        <v>0</v>
      </c>
      <c r="Q6688" t="n">
        <v>0</v>
      </c>
      <c r="R6688" s="2" t="inlineStr"/>
    </row>
    <row r="6689" ht="15" customHeight="1">
      <c r="A6689" t="inlineStr">
        <is>
          <t>A 37065-2025</t>
        </is>
      </c>
      <c r="B6689" s="1" t="n">
        <v>45875.38619212963</v>
      </c>
      <c r="C6689" s="1" t="n">
        <v>46093</v>
      </c>
      <c r="D6689" t="inlineStr">
        <is>
          <t>VÄSTERNORRLANDS LÄN</t>
        </is>
      </c>
      <c r="E6689" t="inlineStr">
        <is>
          <t>SOLLEFTEÅ</t>
        </is>
      </c>
      <c r="F6689" t="inlineStr">
        <is>
          <t>SCA</t>
        </is>
      </c>
      <c r="G6689" t="n">
        <v>3.2</v>
      </c>
      <c r="H6689" t="n">
        <v>0</v>
      </c>
      <c r="I6689" t="n">
        <v>0</v>
      </c>
      <c r="J6689" t="n">
        <v>0</v>
      </c>
      <c r="K6689" t="n">
        <v>0</v>
      </c>
      <c r="L6689" t="n">
        <v>0</v>
      </c>
      <c r="M6689" t="n">
        <v>0</v>
      </c>
      <c r="N6689" t="n">
        <v>0</v>
      </c>
      <c r="O6689" t="n">
        <v>0</v>
      </c>
      <c r="P6689" t="n">
        <v>0</v>
      </c>
      <c r="Q6689" t="n">
        <v>0</v>
      </c>
      <c r="R6689" s="2" t="inlineStr"/>
    </row>
    <row r="6690" ht="15" customHeight="1">
      <c r="A6690" t="inlineStr">
        <is>
          <t>A 37081-2025</t>
        </is>
      </c>
      <c r="B6690" s="1" t="n">
        <v>45875.43229166666</v>
      </c>
      <c r="C6690" s="1" t="n">
        <v>46093</v>
      </c>
      <c r="D6690" t="inlineStr">
        <is>
          <t>VÄSTERNORRLANDS LÄN</t>
        </is>
      </c>
      <c r="E6690" t="inlineStr">
        <is>
          <t>SUNDSVALL</t>
        </is>
      </c>
      <c r="G6690" t="n">
        <v>1.6</v>
      </c>
      <c r="H6690" t="n">
        <v>0</v>
      </c>
      <c r="I6690" t="n">
        <v>0</v>
      </c>
      <c r="J6690" t="n">
        <v>0</v>
      </c>
      <c r="K6690" t="n">
        <v>0</v>
      </c>
      <c r="L6690" t="n">
        <v>0</v>
      </c>
      <c r="M6690" t="n">
        <v>0</v>
      </c>
      <c r="N6690" t="n">
        <v>0</v>
      </c>
      <c r="O6690" t="n">
        <v>0</v>
      </c>
      <c r="P6690" t="n">
        <v>0</v>
      </c>
      <c r="Q6690" t="n">
        <v>0</v>
      </c>
      <c r="R6690" s="2" t="inlineStr"/>
    </row>
    <row r="6691" ht="15" customHeight="1">
      <c r="A6691" t="inlineStr">
        <is>
          <t>A 63138-2023</t>
        </is>
      </c>
      <c r="B6691" s="1" t="n">
        <v>45272</v>
      </c>
      <c r="C6691" s="1" t="n">
        <v>46093</v>
      </c>
      <c r="D6691" t="inlineStr">
        <is>
          <t>VÄSTERNORRLANDS LÄN</t>
        </is>
      </c>
      <c r="E6691" t="inlineStr">
        <is>
          <t>SOLLEFTEÅ</t>
        </is>
      </c>
      <c r="G6691" t="n">
        <v>6.2</v>
      </c>
      <c r="H6691" t="n">
        <v>0</v>
      </c>
      <c r="I6691" t="n">
        <v>0</v>
      </c>
      <c r="J6691" t="n">
        <v>0</v>
      </c>
      <c r="K6691" t="n">
        <v>0</v>
      </c>
      <c r="L6691" t="n">
        <v>0</v>
      </c>
      <c r="M6691" t="n">
        <v>0</v>
      </c>
      <c r="N6691" t="n">
        <v>0</v>
      </c>
      <c r="O6691" t="n">
        <v>0</v>
      </c>
      <c r="P6691" t="n">
        <v>0</v>
      </c>
      <c r="Q6691" t="n">
        <v>0</v>
      </c>
      <c r="R6691" s="2" t="inlineStr"/>
    </row>
    <row r="6692" ht="15" customHeight="1">
      <c r="A6692" t="inlineStr">
        <is>
          <t>A 60827-2024</t>
        </is>
      </c>
      <c r="B6692" s="1" t="n">
        <v>45644.63590277778</v>
      </c>
      <c r="C6692" s="1" t="n">
        <v>46093</v>
      </c>
      <c r="D6692" t="inlineStr">
        <is>
          <t>VÄSTERNORRLANDS LÄN</t>
        </is>
      </c>
      <c r="E6692" t="inlineStr">
        <is>
          <t>SOLLEFTEÅ</t>
        </is>
      </c>
      <c r="F6692" t="inlineStr">
        <is>
          <t>SCA</t>
        </is>
      </c>
      <c r="G6692" t="n">
        <v>3.5</v>
      </c>
      <c r="H6692" t="n">
        <v>0</v>
      </c>
      <c r="I6692" t="n">
        <v>0</v>
      </c>
      <c r="J6692" t="n">
        <v>0</v>
      </c>
      <c r="K6692" t="n">
        <v>0</v>
      </c>
      <c r="L6692" t="n">
        <v>0</v>
      </c>
      <c r="M6692" t="n">
        <v>0</v>
      </c>
      <c r="N6692" t="n">
        <v>0</v>
      </c>
      <c r="O6692" t="n">
        <v>0</v>
      </c>
      <c r="P6692" t="n">
        <v>0</v>
      </c>
      <c r="Q6692" t="n">
        <v>0</v>
      </c>
      <c r="R6692" s="2" t="inlineStr"/>
    </row>
    <row r="6693" ht="15" customHeight="1">
      <c r="A6693" t="inlineStr">
        <is>
          <t>A 51102-2025</t>
        </is>
      </c>
      <c r="B6693" s="1" t="n">
        <v>45947.49001157407</v>
      </c>
      <c r="C6693" s="1" t="n">
        <v>46093</v>
      </c>
      <c r="D6693" t="inlineStr">
        <is>
          <t>VÄSTERNORRLANDS LÄN</t>
        </is>
      </c>
      <c r="E6693" t="inlineStr">
        <is>
          <t>SOLLEFTEÅ</t>
        </is>
      </c>
      <c r="F6693" t="inlineStr">
        <is>
          <t>SCA</t>
        </is>
      </c>
      <c r="G6693" t="n">
        <v>6.4</v>
      </c>
      <c r="H6693" t="n">
        <v>0</v>
      </c>
      <c r="I6693" t="n">
        <v>0</v>
      </c>
      <c r="J6693" t="n">
        <v>0</v>
      </c>
      <c r="K6693" t="n">
        <v>0</v>
      </c>
      <c r="L6693" t="n">
        <v>0</v>
      </c>
      <c r="M6693" t="n">
        <v>0</v>
      </c>
      <c r="N6693" t="n">
        <v>0</v>
      </c>
      <c r="O6693" t="n">
        <v>0</v>
      </c>
      <c r="P6693" t="n">
        <v>0</v>
      </c>
      <c r="Q6693" t="n">
        <v>0</v>
      </c>
      <c r="R6693" s="2" t="inlineStr"/>
    </row>
    <row r="6694" ht="15" customHeight="1">
      <c r="A6694" t="inlineStr">
        <is>
          <t>A 20738-2022</t>
        </is>
      </c>
      <c r="B6694" s="1" t="n">
        <v>44700</v>
      </c>
      <c r="C6694" s="1" t="n">
        <v>46093</v>
      </c>
      <c r="D6694" t="inlineStr">
        <is>
          <t>VÄSTERNORRLANDS LÄN</t>
        </is>
      </c>
      <c r="E6694" t="inlineStr">
        <is>
          <t>SOLLEFTEÅ</t>
        </is>
      </c>
      <c r="G6694" t="n">
        <v>8.1</v>
      </c>
      <c r="H6694" t="n">
        <v>0</v>
      </c>
      <c r="I6694" t="n">
        <v>0</v>
      </c>
      <c r="J6694" t="n">
        <v>0</v>
      </c>
      <c r="K6694" t="n">
        <v>0</v>
      </c>
      <c r="L6694" t="n">
        <v>0</v>
      </c>
      <c r="M6694" t="n">
        <v>0</v>
      </c>
      <c r="N6694" t="n">
        <v>0</v>
      </c>
      <c r="O6694" t="n">
        <v>0</v>
      </c>
      <c r="P6694" t="n">
        <v>0</v>
      </c>
      <c r="Q6694" t="n">
        <v>0</v>
      </c>
      <c r="R6694" s="2" t="inlineStr"/>
    </row>
    <row r="6695" ht="15" customHeight="1">
      <c r="A6695" t="inlineStr">
        <is>
          <t>A 15735-2025</t>
        </is>
      </c>
      <c r="B6695" s="1" t="n">
        <v>45748.53971064815</v>
      </c>
      <c r="C6695" s="1" t="n">
        <v>46093</v>
      </c>
      <c r="D6695" t="inlineStr">
        <is>
          <t>VÄSTERNORRLANDS LÄN</t>
        </is>
      </c>
      <c r="E6695" t="inlineStr">
        <is>
          <t>SUNDSVALL</t>
        </is>
      </c>
      <c r="F6695" t="inlineStr">
        <is>
          <t>SCA</t>
        </is>
      </c>
      <c r="G6695" t="n">
        <v>14.1</v>
      </c>
      <c r="H6695" t="n">
        <v>0</v>
      </c>
      <c r="I6695" t="n">
        <v>0</v>
      </c>
      <c r="J6695" t="n">
        <v>0</v>
      </c>
      <c r="K6695" t="n">
        <v>0</v>
      </c>
      <c r="L6695" t="n">
        <v>0</v>
      </c>
      <c r="M6695" t="n">
        <v>0</v>
      </c>
      <c r="N6695" t="n">
        <v>0</v>
      </c>
      <c r="O6695" t="n">
        <v>0</v>
      </c>
      <c r="P6695" t="n">
        <v>0</v>
      </c>
      <c r="Q6695" t="n">
        <v>0</v>
      </c>
      <c r="R6695" s="2" t="inlineStr"/>
    </row>
    <row r="6696" ht="15" customHeight="1">
      <c r="A6696" t="inlineStr">
        <is>
          <t>A 7692-2024</t>
        </is>
      </c>
      <c r="B6696" s="1" t="n">
        <v>45349</v>
      </c>
      <c r="C6696" s="1" t="n">
        <v>46093</v>
      </c>
      <c r="D6696" t="inlineStr">
        <is>
          <t>VÄSTERNORRLANDS LÄN</t>
        </is>
      </c>
      <c r="E6696" t="inlineStr">
        <is>
          <t>ÅNGE</t>
        </is>
      </c>
      <c r="F6696" t="inlineStr">
        <is>
          <t>SCA</t>
        </is>
      </c>
      <c r="G6696" t="n">
        <v>8.300000000000001</v>
      </c>
      <c r="H6696" t="n">
        <v>0</v>
      </c>
      <c r="I6696" t="n">
        <v>0</v>
      </c>
      <c r="J6696" t="n">
        <v>0</v>
      </c>
      <c r="K6696" t="n">
        <v>0</v>
      </c>
      <c r="L6696" t="n">
        <v>0</v>
      </c>
      <c r="M6696" t="n">
        <v>0</v>
      </c>
      <c r="N6696" t="n">
        <v>0</v>
      </c>
      <c r="O6696" t="n">
        <v>0</v>
      </c>
      <c r="P6696" t="n">
        <v>0</v>
      </c>
      <c r="Q6696" t="n">
        <v>0</v>
      </c>
      <c r="R6696" s="2" t="inlineStr"/>
    </row>
    <row r="6697" ht="15" customHeight="1">
      <c r="A6697" t="inlineStr">
        <is>
          <t>A 51755-2025</t>
        </is>
      </c>
      <c r="B6697" s="1" t="n">
        <v>45950</v>
      </c>
      <c r="C6697" s="1" t="n">
        <v>46093</v>
      </c>
      <c r="D6697" t="inlineStr">
        <is>
          <t>VÄSTERNORRLANDS LÄN</t>
        </is>
      </c>
      <c r="E6697" t="inlineStr">
        <is>
          <t>SOLLEFTEÅ</t>
        </is>
      </c>
      <c r="G6697" t="n">
        <v>5.1</v>
      </c>
      <c r="H6697" t="n">
        <v>0</v>
      </c>
      <c r="I6697" t="n">
        <v>0</v>
      </c>
      <c r="J6697" t="n">
        <v>0</v>
      </c>
      <c r="K6697" t="n">
        <v>0</v>
      </c>
      <c r="L6697" t="n">
        <v>0</v>
      </c>
      <c r="M6697" t="n">
        <v>0</v>
      </c>
      <c r="N6697" t="n">
        <v>0</v>
      </c>
      <c r="O6697" t="n">
        <v>0</v>
      </c>
      <c r="P6697" t="n">
        <v>0</v>
      </c>
      <c r="Q6697" t="n">
        <v>0</v>
      </c>
      <c r="R6697" s="2" t="inlineStr"/>
    </row>
    <row r="6698" ht="15" customHeight="1">
      <c r="A6698" t="inlineStr">
        <is>
          <t>A 21136-2024</t>
        </is>
      </c>
      <c r="B6698" s="1" t="n">
        <v>45440</v>
      </c>
      <c r="C6698" s="1" t="n">
        <v>46093</v>
      </c>
      <c r="D6698" t="inlineStr">
        <is>
          <t>VÄSTERNORRLANDS LÄN</t>
        </is>
      </c>
      <c r="E6698" t="inlineStr">
        <is>
          <t>ÖRNSKÖLDSVIK</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21138-2024</t>
        </is>
      </c>
      <c r="B6699" s="1" t="n">
        <v>45440.37989583334</v>
      </c>
      <c r="C6699" s="1" t="n">
        <v>46093</v>
      </c>
      <c r="D6699" t="inlineStr">
        <is>
          <t>VÄSTERNORRLANDS LÄN</t>
        </is>
      </c>
      <c r="E6699" t="inlineStr">
        <is>
          <t>ÖRNSKÖLDSVIK</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51175-2025</t>
        </is>
      </c>
      <c r="B6700" s="1" t="n">
        <v>45947.61067129629</v>
      </c>
      <c r="C6700" s="1" t="n">
        <v>46093</v>
      </c>
      <c r="D6700" t="inlineStr">
        <is>
          <t>VÄSTERNORRLANDS LÄN</t>
        </is>
      </c>
      <c r="E6700" t="inlineStr">
        <is>
          <t>KRAMFORS</t>
        </is>
      </c>
      <c r="G6700" t="n">
        <v>8.300000000000001</v>
      </c>
      <c r="H6700" t="n">
        <v>0</v>
      </c>
      <c r="I6700" t="n">
        <v>0</v>
      </c>
      <c r="J6700" t="n">
        <v>0</v>
      </c>
      <c r="K6700" t="n">
        <v>0</v>
      </c>
      <c r="L6700" t="n">
        <v>0</v>
      </c>
      <c r="M6700" t="n">
        <v>0</v>
      </c>
      <c r="N6700" t="n">
        <v>0</v>
      </c>
      <c r="O6700" t="n">
        <v>0</v>
      </c>
      <c r="P6700" t="n">
        <v>0</v>
      </c>
      <c r="Q6700" t="n">
        <v>0</v>
      </c>
      <c r="R6700" s="2" t="inlineStr"/>
    </row>
    <row r="6701" ht="15" customHeight="1">
      <c r="A6701" t="inlineStr">
        <is>
          <t>A 51409-2025</t>
        </is>
      </c>
      <c r="B6701" s="1" t="n">
        <v>45950.49034722222</v>
      </c>
      <c r="C6701" s="1" t="n">
        <v>46093</v>
      </c>
      <c r="D6701" t="inlineStr">
        <is>
          <t>VÄSTERNORRLANDS LÄN</t>
        </is>
      </c>
      <c r="E6701" t="inlineStr">
        <is>
          <t>SUNDSVALL</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51109-2025</t>
        </is>
      </c>
      <c r="B6702" s="1" t="n">
        <v>45947.50263888889</v>
      </c>
      <c r="C6702" s="1" t="n">
        <v>46093</v>
      </c>
      <c r="D6702" t="inlineStr">
        <is>
          <t>VÄSTERNORRLANDS LÄN</t>
        </is>
      </c>
      <c r="E6702" t="inlineStr">
        <is>
          <t>ÅNGE</t>
        </is>
      </c>
      <c r="F6702" t="inlineStr">
        <is>
          <t>Holmen skog AB</t>
        </is>
      </c>
      <c r="G6702" t="n">
        <v>2.4</v>
      </c>
      <c r="H6702" t="n">
        <v>0</v>
      </c>
      <c r="I6702" t="n">
        <v>0</v>
      </c>
      <c r="J6702" t="n">
        <v>0</v>
      </c>
      <c r="K6702" t="n">
        <v>0</v>
      </c>
      <c r="L6702" t="n">
        <v>0</v>
      </c>
      <c r="M6702" t="n">
        <v>0</v>
      </c>
      <c r="N6702" t="n">
        <v>0</v>
      </c>
      <c r="O6702" t="n">
        <v>0</v>
      </c>
      <c r="P6702" t="n">
        <v>0</v>
      </c>
      <c r="Q6702" t="n">
        <v>0</v>
      </c>
      <c r="R6702" s="2" t="inlineStr"/>
    </row>
    <row r="6703" ht="15" customHeight="1">
      <c r="A6703" t="inlineStr">
        <is>
          <t>A 34846-2023</t>
        </is>
      </c>
      <c r="B6703" s="1" t="n">
        <v>45141.9597337963</v>
      </c>
      <c r="C6703" s="1" t="n">
        <v>46093</v>
      </c>
      <c r="D6703" t="inlineStr">
        <is>
          <t>VÄSTERNORRLANDS LÄN</t>
        </is>
      </c>
      <c r="E6703" t="inlineStr">
        <is>
          <t>ÖRNSKÖLDSVIK</t>
        </is>
      </c>
      <c r="F6703" t="inlineStr">
        <is>
          <t>SCA</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34851-2023</t>
        </is>
      </c>
      <c r="B6704" s="1" t="n">
        <v>45141</v>
      </c>
      <c r="C6704" s="1" t="n">
        <v>46093</v>
      </c>
      <c r="D6704" t="inlineStr">
        <is>
          <t>VÄSTERNORRLANDS LÄN</t>
        </is>
      </c>
      <c r="E6704" t="inlineStr">
        <is>
          <t>ÅNGE</t>
        </is>
      </c>
      <c r="F6704" t="inlineStr">
        <is>
          <t>SCA</t>
        </is>
      </c>
      <c r="G6704" t="n">
        <v>3.9</v>
      </c>
      <c r="H6704" t="n">
        <v>0</v>
      </c>
      <c r="I6704" t="n">
        <v>0</v>
      </c>
      <c r="J6704" t="n">
        <v>0</v>
      </c>
      <c r="K6704" t="n">
        <v>0</v>
      </c>
      <c r="L6704" t="n">
        <v>0</v>
      </c>
      <c r="M6704" t="n">
        <v>0</v>
      </c>
      <c r="N6704" t="n">
        <v>0</v>
      </c>
      <c r="O6704" t="n">
        <v>0</v>
      </c>
      <c r="P6704" t="n">
        <v>0</v>
      </c>
      <c r="Q6704" t="n">
        <v>0</v>
      </c>
      <c r="R6704" s="2" t="inlineStr"/>
    </row>
    <row r="6705" ht="15" customHeight="1">
      <c r="A6705" t="inlineStr">
        <is>
          <t>A 51018-2025</t>
        </is>
      </c>
      <c r="B6705" s="1" t="n">
        <v>45947.38604166666</v>
      </c>
      <c r="C6705" s="1" t="n">
        <v>46093</v>
      </c>
      <c r="D6705" t="inlineStr">
        <is>
          <t>VÄSTERNORRLANDS LÄN</t>
        </is>
      </c>
      <c r="E6705" t="inlineStr">
        <is>
          <t>SUNDSVALL</t>
        </is>
      </c>
      <c r="F6705" t="inlineStr">
        <is>
          <t>SCA</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51036-2025</t>
        </is>
      </c>
      <c r="B6706" s="1" t="n">
        <v>45947.40709490741</v>
      </c>
      <c r="C6706" s="1" t="n">
        <v>46093</v>
      </c>
      <c r="D6706" t="inlineStr">
        <is>
          <t>VÄSTERNORRLANDS LÄN</t>
        </is>
      </c>
      <c r="E6706" t="inlineStr">
        <is>
          <t>SOLLEFTEÅ</t>
        </is>
      </c>
      <c r="F6706" t="inlineStr">
        <is>
          <t>SCA</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51451-2025</t>
        </is>
      </c>
      <c r="B6707" s="1" t="n">
        <v>45950.59311342592</v>
      </c>
      <c r="C6707" s="1" t="n">
        <v>46093</v>
      </c>
      <c r="D6707" t="inlineStr">
        <is>
          <t>VÄSTERNORRLANDS LÄN</t>
        </is>
      </c>
      <c r="E6707" t="inlineStr">
        <is>
          <t>SOLLEFTEÅ</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34513-2022</t>
        </is>
      </c>
      <c r="B6708" s="1" t="n">
        <v>44792</v>
      </c>
      <c r="C6708" s="1" t="n">
        <v>46093</v>
      </c>
      <c r="D6708" t="inlineStr">
        <is>
          <t>VÄSTERNORRLANDS LÄN</t>
        </is>
      </c>
      <c r="E6708" t="inlineStr">
        <is>
          <t>HÄRNÖSAND</t>
        </is>
      </c>
      <c r="G6708" t="n">
        <v>3.5</v>
      </c>
      <c r="H6708" t="n">
        <v>0</v>
      </c>
      <c r="I6708" t="n">
        <v>0</v>
      </c>
      <c r="J6708" t="n">
        <v>0</v>
      </c>
      <c r="K6708" t="n">
        <v>0</v>
      </c>
      <c r="L6708" t="n">
        <v>0</v>
      </c>
      <c r="M6708" t="n">
        <v>0</v>
      </c>
      <c r="N6708" t="n">
        <v>0</v>
      </c>
      <c r="O6708" t="n">
        <v>0</v>
      </c>
      <c r="P6708" t="n">
        <v>0</v>
      </c>
      <c r="Q6708" t="n">
        <v>0</v>
      </c>
      <c r="R6708" s="2" t="inlineStr"/>
    </row>
    <row r="6709" ht="15" customHeight="1">
      <c r="A6709" t="inlineStr">
        <is>
          <t>A 34546-2022</t>
        </is>
      </c>
      <c r="B6709" s="1" t="n">
        <v>44793.93449074074</v>
      </c>
      <c r="C6709" s="1" t="n">
        <v>46093</v>
      </c>
      <c r="D6709" t="inlineStr">
        <is>
          <t>VÄSTERNORRLANDS LÄN</t>
        </is>
      </c>
      <c r="E6709" t="inlineStr">
        <is>
          <t>ÖRNSKÖLDSVIK</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13785-2025</t>
        </is>
      </c>
      <c r="B6710" s="1" t="n">
        <v>45737.45123842593</v>
      </c>
      <c r="C6710" s="1" t="n">
        <v>46093</v>
      </c>
      <c r="D6710" t="inlineStr">
        <is>
          <t>VÄSTERNORRLANDS LÄN</t>
        </is>
      </c>
      <c r="E6710" t="inlineStr">
        <is>
          <t>ÖRNSKÖLDSVIK</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17514-2023</t>
        </is>
      </c>
      <c r="B6711" s="1" t="n">
        <v>45034</v>
      </c>
      <c r="C6711" s="1" t="n">
        <v>46093</v>
      </c>
      <c r="D6711" t="inlineStr">
        <is>
          <t>VÄSTERNORRLANDS LÄN</t>
        </is>
      </c>
      <c r="E6711" t="inlineStr">
        <is>
          <t>ÖRNSKÖLDSVIK</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17540-2023</t>
        </is>
      </c>
      <c r="B6712" s="1" t="n">
        <v>45036.48344907408</v>
      </c>
      <c r="C6712" s="1" t="n">
        <v>46093</v>
      </c>
      <c r="D6712" t="inlineStr">
        <is>
          <t>VÄSTERNORRLANDS LÄN</t>
        </is>
      </c>
      <c r="E6712" t="inlineStr">
        <is>
          <t>KRAMFORS</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64642-2021</t>
        </is>
      </c>
      <c r="B6713" s="1" t="n">
        <v>44511</v>
      </c>
      <c r="C6713" s="1" t="n">
        <v>46093</v>
      </c>
      <c r="D6713" t="inlineStr">
        <is>
          <t>VÄSTERNORRLANDS LÄN</t>
        </is>
      </c>
      <c r="E6713" t="inlineStr">
        <is>
          <t>SUNDSVALL</t>
        </is>
      </c>
      <c r="F6713" t="inlineStr">
        <is>
          <t>SCA</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51223-2025</t>
        </is>
      </c>
      <c r="B6714" s="1" t="n">
        <v>45947.65533564815</v>
      </c>
      <c r="C6714" s="1" t="n">
        <v>46093</v>
      </c>
      <c r="D6714" t="inlineStr">
        <is>
          <t>VÄSTERNORRLANDS LÄN</t>
        </is>
      </c>
      <c r="E6714" t="inlineStr">
        <is>
          <t>SOLLEFTEÅ</t>
        </is>
      </c>
      <c r="G6714" t="n">
        <v>3.8</v>
      </c>
      <c r="H6714" t="n">
        <v>0</v>
      </c>
      <c r="I6714" t="n">
        <v>0</v>
      </c>
      <c r="J6714" t="n">
        <v>0</v>
      </c>
      <c r="K6714" t="n">
        <v>0</v>
      </c>
      <c r="L6714" t="n">
        <v>0</v>
      </c>
      <c r="M6714" t="n">
        <v>0</v>
      </c>
      <c r="N6714" t="n">
        <v>0</v>
      </c>
      <c r="O6714" t="n">
        <v>0</v>
      </c>
      <c r="P6714" t="n">
        <v>0</v>
      </c>
      <c r="Q6714" t="n">
        <v>0</v>
      </c>
      <c r="R6714" s="2" t="inlineStr"/>
    </row>
    <row r="6715" ht="15" customHeight="1">
      <c r="A6715" t="inlineStr">
        <is>
          <t>A 61265-2024</t>
        </is>
      </c>
      <c r="B6715" s="1" t="n">
        <v>45644</v>
      </c>
      <c r="C6715" s="1" t="n">
        <v>46093</v>
      </c>
      <c r="D6715" t="inlineStr">
        <is>
          <t>VÄSTERNORRLANDS LÄN</t>
        </is>
      </c>
      <c r="E6715" t="inlineStr">
        <is>
          <t>ÖRNSKÖLDSVIK</t>
        </is>
      </c>
      <c r="G6715" t="n">
        <v>3.1</v>
      </c>
      <c r="H6715" t="n">
        <v>0</v>
      </c>
      <c r="I6715" t="n">
        <v>0</v>
      </c>
      <c r="J6715" t="n">
        <v>0</v>
      </c>
      <c r="K6715" t="n">
        <v>0</v>
      </c>
      <c r="L6715" t="n">
        <v>0</v>
      </c>
      <c r="M6715" t="n">
        <v>0</v>
      </c>
      <c r="N6715" t="n">
        <v>0</v>
      </c>
      <c r="O6715" t="n">
        <v>0</v>
      </c>
      <c r="P6715" t="n">
        <v>0</v>
      </c>
      <c r="Q6715" t="n">
        <v>0</v>
      </c>
      <c r="R6715" s="2" t="inlineStr"/>
    </row>
    <row r="6716" ht="15" customHeight="1">
      <c r="A6716" t="inlineStr">
        <is>
          <t>A 37108-2025</t>
        </is>
      </c>
      <c r="B6716" s="1" t="n">
        <v>45875</v>
      </c>
      <c r="C6716" s="1" t="n">
        <v>46093</v>
      </c>
      <c r="D6716" t="inlineStr">
        <is>
          <t>VÄSTERNORRLANDS LÄN</t>
        </is>
      </c>
      <c r="E6716" t="inlineStr">
        <is>
          <t>ÅNGE</t>
        </is>
      </c>
      <c r="G6716" t="n">
        <v>4</v>
      </c>
      <c r="H6716" t="n">
        <v>0</v>
      </c>
      <c r="I6716" t="n">
        <v>0</v>
      </c>
      <c r="J6716" t="n">
        <v>0</v>
      </c>
      <c r="K6716" t="n">
        <v>0</v>
      </c>
      <c r="L6716" t="n">
        <v>0</v>
      </c>
      <c r="M6716" t="n">
        <v>0</v>
      </c>
      <c r="N6716" t="n">
        <v>0</v>
      </c>
      <c r="O6716" t="n">
        <v>0</v>
      </c>
      <c r="P6716" t="n">
        <v>0</v>
      </c>
      <c r="Q6716" t="n">
        <v>0</v>
      </c>
      <c r="R6716" s="2" t="inlineStr"/>
    </row>
    <row r="6717" ht="15" customHeight="1">
      <c r="A6717" t="inlineStr">
        <is>
          <t>A 37114-2025</t>
        </is>
      </c>
      <c r="B6717" s="1" t="n">
        <v>45875.5112037037</v>
      </c>
      <c r="C6717" s="1" t="n">
        <v>46093</v>
      </c>
      <c r="D6717" t="inlineStr">
        <is>
          <t>VÄSTERNORRLANDS LÄN</t>
        </is>
      </c>
      <c r="E6717" t="inlineStr">
        <is>
          <t>SUNDSVALL</t>
        </is>
      </c>
      <c r="F6717" t="inlineStr">
        <is>
          <t>SCA</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29673-2024</t>
        </is>
      </c>
      <c r="B6718" s="1" t="n">
        <v>45484.94210648148</v>
      </c>
      <c r="C6718" s="1" t="n">
        <v>46093</v>
      </c>
      <c r="D6718" t="inlineStr">
        <is>
          <t>VÄSTERNORRLANDS LÄN</t>
        </is>
      </c>
      <c r="E6718" t="inlineStr">
        <is>
          <t>ÅNGE</t>
        </is>
      </c>
      <c r="F6718" t="inlineStr">
        <is>
          <t>SCA</t>
        </is>
      </c>
      <c r="G6718" t="n">
        <v>4.9</v>
      </c>
      <c r="H6718" t="n">
        <v>0</v>
      </c>
      <c r="I6718" t="n">
        <v>0</v>
      </c>
      <c r="J6718" t="n">
        <v>0</v>
      </c>
      <c r="K6718" t="n">
        <v>0</v>
      </c>
      <c r="L6718" t="n">
        <v>0</v>
      </c>
      <c r="M6718" t="n">
        <v>0</v>
      </c>
      <c r="N6718" t="n">
        <v>0</v>
      </c>
      <c r="O6718" t="n">
        <v>0</v>
      </c>
      <c r="P6718" t="n">
        <v>0</v>
      </c>
      <c r="Q6718" t="n">
        <v>0</v>
      </c>
      <c r="R6718" s="2" t="inlineStr"/>
    </row>
    <row r="6719" ht="15" customHeight="1">
      <c r="A6719" t="inlineStr">
        <is>
          <t>A 51118-2025</t>
        </is>
      </c>
      <c r="B6719" s="1" t="n">
        <v>45947.53177083333</v>
      </c>
      <c r="C6719" s="1" t="n">
        <v>46093</v>
      </c>
      <c r="D6719" t="inlineStr">
        <is>
          <t>VÄSTERNORRLANDS LÄN</t>
        </is>
      </c>
      <c r="E6719" t="inlineStr">
        <is>
          <t>SOLLEFTEÅ</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37148-2025</t>
        </is>
      </c>
      <c r="B6720" s="1" t="n">
        <v>45875.57324074074</v>
      </c>
      <c r="C6720" s="1" t="n">
        <v>46093</v>
      </c>
      <c r="D6720" t="inlineStr">
        <is>
          <t>VÄSTERNORRLANDS LÄN</t>
        </is>
      </c>
      <c r="E6720" t="inlineStr">
        <is>
          <t>KRAMFORS</t>
        </is>
      </c>
      <c r="G6720" t="n">
        <v>2.7</v>
      </c>
      <c r="H6720" t="n">
        <v>0</v>
      </c>
      <c r="I6720" t="n">
        <v>0</v>
      </c>
      <c r="J6720" t="n">
        <v>0</v>
      </c>
      <c r="K6720" t="n">
        <v>0</v>
      </c>
      <c r="L6720" t="n">
        <v>0</v>
      </c>
      <c r="M6720" t="n">
        <v>0</v>
      </c>
      <c r="N6720" t="n">
        <v>0</v>
      </c>
      <c r="O6720" t="n">
        <v>0</v>
      </c>
      <c r="P6720" t="n">
        <v>0</v>
      </c>
      <c r="Q6720" t="n">
        <v>0</v>
      </c>
      <c r="R6720" s="2" t="inlineStr"/>
    </row>
    <row r="6721" ht="15" customHeight="1">
      <c r="A6721" t="inlineStr">
        <is>
          <t>A 37177-2025</t>
        </is>
      </c>
      <c r="B6721" s="1" t="n">
        <v>45875.61539351852</v>
      </c>
      <c r="C6721" s="1" t="n">
        <v>46093</v>
      </c>
      <c r="D6721" t="inlineStr">
        <is>
          <t>VÄSTERNORRLANDS LÄN</t>
        </is>
      </c>
      <c r="E6721" t="inlineStr">
        <is>
          <t>ÅNGE</t>
        </is>
      </c>
      <c r="F6721" t="inlineStr">
        <is>
          <t>SCA</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51281-2025</t>
        </is>
      </c>
      <c r="B6722" s="1" t="n">
        <v>45950.32935185185</v>
      </c>
      <c r="C6722" s="1" t="n">
        <v>46093</v>
      </c>
      <c r="D6722" t="inlineStr">
        <is>
          <t>VÄSTERNORRLANDS LÄN</t>
        </is>
      </c>
      <c r="E6722" t="inlineStr">
        <is>
          <t>ÖRNSKÖLDSVIK</t>
        </is>
      </c>
      <c r="F6722" t="inlineStr">
        <is>
          <t>Holmen skog AB</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51457-2025</t>
        </is>
      </c>
      <c r="B6723" s="1" t="n">
        <v>45950.59730324074</v>
      </c>
      <c r="C6723" s="1" t="n">
        <v>46093</v>
      </c>
      <c r="D6723" t="inlineStr">
        <is>
          <t>VÄSTERNORRLANDS LÄN</t>
        </is>
      </c>
      <c r="E6723" t="inlineStr">
        <is>
          <t>TIMRÅ</t>
        </is>
      </c>
      <c r="G6723" t="n">
        <v>7.5</v>
      </c>
      <c r="H6723" t="n">
        <v>0</v>
      </c>
      <c r="I6723" t="n">
        <v>0</v>
      </c>
      <c r="J6723" t="n">
        <v>0</v>
      </c>
      <c r="K6723" t="n">
        <v>0</v>
      </c>
      <c r="L6723" t="n">
        <v>0</v>
      </c>
      <c r="M6723" t="n">
        <v>0</v>
      </c>
      <c r="N6723" t="n">
        <v>0</v>
      </c>
      <c r="O6723" t="n">
        <v>0</v>
      </c>
      <c r="P6723" t="n">
        <v>0</v>
      </c>
      <c r="Q6723" t="n">
        <v>0</v>
      </c>
      <c r="R6723" s="2" t="inlineStr"/>
    </row>
    <row r="6724" ht="15" customHeight="1">
      <c r="A6724" t="inlineStr">
        <is>
          <t>A 37205-2025</t>
        </is>
      </c>
      <c r="B6724" s="1" t="n">
        <v>45875.69844907407</v>
      </c>
      <c r="C6724" s="1" t="n">
        <v>46093</v>
      </c>
      <c r="D6724" t="inlineStr">
        <is>
          <t>VÄSTERNORRLANDS LÄN</t>
        </is>
      </c>
      <c r="E6724" t="inlineStr">
        <is>
          <t>SUNDSVALL</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5569-2025</t>
        </is>
      </c>
      <c r="B6725" s="1" t="n">
        <v>45693</v>
      </c>
      <c r="C6725" s="1" t="n">
        <v>46093</v>
      </c>
      <c r="D6725" t="inlineStr">
        <is>
          <t>VÄSTERNORRLANDS LÄN</t>
        </is>
      </c>
      <c r="E6725" t="inlineStr">
        <is>
          <t>SUNDSVALL</t>
        </is>
      </c>
      <c r="F6725" t="inlineStr">
        <is>
          <t>SCA</t>
        </is>
      </c>
      <c r="G6725" t="n">
        <v>3.9</v>
      </c>
      <c r="H6725" t="n">
        <v>0</v>
      </c>
      <c r="I6725" t="n">
        <v>0</v>
      </c>
      <c r="J6725" t="n">
        <v>0</v>
      </c>
      <c r="K6725" t="n">
        <v>0</v>
      </c>
      <c r="L6725" t="n">
        <v>0</v>
      </c>
      <c r="M6725" t="n">
        <v>0</v>
      </c>
      <c r="N6725" t="n">
        <v>0</v>
      </c>
      <c r="O6725" t="n">
        <v>0</v>
      </c>
      <c r="P6725" t="n">
        <v>0</v>
      </c>
      <c r="Q6725" t="n">
        <v>0</v>
      </c>
      <c r="R6725" s="2" t="inlineStr"/>
    </row>
    <row r="6726" ht="15" customHeight="1">
      <c r="A6726" t="inlineStr">
        <is>
          <t>A 5602-2025</t>
        </is>
      </c>
      <c r="B6726" s="1" t="n">
        <v>45693</v>
      </c>
      <c r="C6726" s="1" t="n">
        <v>46093</v>
      </c>
      <c r="D6726" t="inlineStr">
        <is>
          <t>VÄSTERNORRLANDS LÄN</t>
        </is>
      </c>
      <c r="E6726" t="inlineStr">
        <is>
          <t>ÅNGE</t>
        </is>
      </c>
      <c r="G6726" t="n">
        <v>2.5</v>
      </c>
      <c r="H6726" t="n">
        <v>0</v>
      </c>
      <c r="I6726" t="n">
        <v>0</v>
      </c>
      <c r="J6726" t="n">
        <v>0</v>
      </c>
      <c r="K6726" t="n">
        <v>0</v>
      </c>
      <c r="L6726" t="n">
        <v>0</v>
      </c>
      <c r="M6726" t="n">
        <v>0</v>
      </c>
      <c r="N6726" t="n">
        <v>0</v>
      </c>
      <c r="O6726" t="n">
        <v>0</v>
      </c>
      <c r="P6726" t="n">
        <v>0</v>
      </c>
      <c r="Q6726" t="n">
        <v>0</v>
      </c>
      <c r="R6726" s="2" t="inlineStr"/>
    </row>
    <row r="6727" ht="15" customHeight="1">
      <c r="A6727" t="inlineStr">
        <is>
          <t>A 30612-2024</t>
        </is>
      </c>
      <c r="B6727" s="1" t="n">
        <v>45495</v>
      </c>
      <c r="C6727" s="1" t="n">
        <v>46093</v>
      </c>
      <c r="D6727" t="inlineStr">
        <is>
          <t>VÄSTERNORRLANDS LÄN</t>
        </is>
      </c>
      <c r="E6727" t="inlineStr">
        <is>
          <t>TIMRÅ</t>
        </is>
      </c>
      <c r="G6727" t="n">
        <v>4.6</v>
      </c>
      <c r="H6727" t="n">
        <v>0</v>
      </c>
      <c r="I6727" t="n">
        <v>0</v>
      </c>
      <c r="J6727" t="n">
        <v>0</v>
      </c>
      <c r="K6727" t="n">
        <v>0</v>
      </c>
      <c r="L6727" t="n">
        <v>0</v>
      </c>
      <c r="M6727" t="n">
        <v>0</v>
      </c>
      <c r="N6727" t="n">
        <v>0</v>
      </c>
      <c r="O6727" t="n">
        <v>0</v>
      </c>
      <c r="P6727" t="n">
        <v>0</v>
      </c>
      <c r="Q6727" t="n">
        <v>0</v>
      </c>
      <c r="R6727" s="2" t="inlineStr"/>
    </row>
    <row r="6728" ht="15" customHeight="1">
      <c r="A6728" t="inlineStr">
        <is>
          <t>A 7404-2024</t>
        </is>
      </c>
      <c r="B6728" s="1" t="n">
        <v>45345</v>
      </c>
      <c r="C6728" s="1" t="n">
        <v>46093</v>
      </c>
      <c r="D6728" t="inlineStr">
        <is>
          <t>VÄSTERNORRLANDS LÄN</t>
        </is>
      </c>
      <c r="E6728" t="inlineStr">
        <is>
          <t>SUNDSVALL</t>
        </is>
      </c>
      <c r="G6728" t="n">
        <v>1.6</v>
      </c>
      <c r="H6728" t="n">
        <v>0</v>
      </c>
      <c r="I6728" t="n">
        <v>0</v>
      </c>
      <c r="J6728" t="n">
        <v>0</v>
      </c>
      <c r="K6728" t="n">
        <v>0</v>
      </c>
      <c r="L6728" t="n">
        <v>0</v>
      </c>
      <c r="M6728" t="n">
        <v>0</v>
      </c>
      <c r="N6728" t="n">
        <v>0</v>
      </c>
      <c r="O6728" t="n">
        <v>0</v>
      </c>
      <c r="P6728" t="n">
        <v>0</v>
      </c>
      <c r="Q6728" t="n">
        <v>0</v>
      </c>
      <c r="R6728" s="2" t="inlineStr"/>
    </row>
    <row r="6729" ht="15" customHeight="1">
      <c r="A6729" t="inlineStr">
        <is>
          <t>A 7412-2024</t>
        </is>
      </c>
      <c r="B6729" s="1" t="n">
        <v>45345</v>
      </c>
      <c r="C6729" s="1" t="n">
        <v>46093</v>
      </c>
      <c r="D6729" t="inlineStr">
        <is>
          <t>VÄSTERNORRLANDS LÄN</t>
        </is>
      </c>
      <c r="E6729" t="inlineStr">
        <is>
          <t>SUNDSVALL</t>
        </is>
      </c>
      <c r="G6729" t="n">
        <v>3.6</v>
      </c>
      <c r="H6729" t="n">
        <v>0</v>
      </c>
      <c r="I6729" t="n">
        <v>0</v>
      </c>
      <c r="J6729" t="n">
        <v>0</v>
      </c>
      <c r="K6729" t="n">
        <v>0</v>
      </c>
      <c r="L6729" t="n">
        <v>0</v>
      </c>
      <c r="M6729" t="n">
        <v>0</v>
      </c>
      <c r="N6729" t="n">
        <v>0</v>
      </c>
      <c r="O6729" t="n">
        <v>0</v>
      </c>
      <c r="P6729" t="n">
        <v>0</v>
      </c>
      <c r="Q6729" t="n">
        <v>0</v>
      </c>
      <c r="R6729" s="2" t="inlineStr"/>
    </row>
    <row r="6730" ht="15" customHeight="1">
      <c r="A6730" t="inlineStr">
        <is>
          <t>A 38350-2023</t>
        </is>
      </c>
      <c r="B6730" s="1" t="n">
        <v>45161.92380787037</v>
      </c>
      <c r="C6730" s="1" t="n">
        <v>46093</v>
      </c>
      <c r="D6730" t="inlineStr">
        <is>
          <t>VÄSTERNORRLANDS LÄN</t>
        </is>
      </c>
      <c r="E6730" t="inlineStr">
        <is>
          <t>SUNDSVALL</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51389-2025</t>
        </is>
      </c>
      <c r="B6731" s="1" t="n">
        <v>45950.46767361111</v>
      </c>
      <c r="C6731" s="1" t="n">
        <v>46093</v>
      </c>
      <c r="D6731" t="inlineStr">
        <is>
          <t>VÄSTERNORRLANDS LÄN</t>
        </is>
      </c>
      <c r="E6731" t="inlineStr">
        <is>
          <t>ÅNGE</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51004-2025</t>
        </is>
      </c>
      <c r="B6732" s="1" t="n">
        <v>45947.36502314815</v>
      </c>
      <c r="C6732" s="1" t="n">
        <v>46093</v>
      </c>
      <c r="D6732" t="inlineStr">
        <is>
          <t>VÄSTERNORRLANDS LÄN</t>
        </is>
      </c>
      <c r="E6732" t="inlineStr">
        <is>
          <t>ÖRNSKÖLDSVIK</t>
        </is>
      </c>
      <c r="F6732" t="inlineStr">
        <is>
          <t>SCA</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51507-2025</t>
        </is>
      </c>
      <c r="B6733" s="1" t="n">
        <v>45950.64262731482</v>
      </c>
      <c r="C6733" s="1" t="n">
        <v>46093</v>
      </c>
      <c r="D6733" t="inlineStr">
        <is>
          <t>VÄSTERNORRLANDS LÄN</t>
        </is>
      </c>
      <c r="E6733" t="inlineStr">
        <is>
          <t>ÖRNSKÖLDSVIK</t>
        </is>
      </c>
      <c r="F6733" t="inlineStr">
        <is>
          <t>Holmen skog AB</t>
        </is>
      </c>
      <c r="G6733" t="n">
        <v>4.5</v>
      </c>
      <c r="H6733" t="n">
        <v>0</v>
      </c>
      <c r="I6733" t="n">
        <v>0</v>
      </c>
      <c r="J6733" t="n">
        <v>0</v>
      </c>
      <c r="K6733" t="n">
        <v>0</v>
      </c>
      <c r="L6733" t="n">
        <v>0</v>
      </c>
      <c r="M6733" t="n">
        <v>0</v>
      </c>
      <c r="N6733" t="n">
        <v>0</v>
      </c>
      <c r="O6733" t="n">
        <v>0</v>
      </c>
      <c r="P6733" t="n">
        <v>0</v>
      </c>
      <c r="Q6733" t="n">
        <v>0</v>
      </c>
      <c r="R6733" s="2" t="inlineStr"/>
    </row>
    <row r="6734" ht="15" customHeight="1">
      <c r="A6734" t="inlineStr">
        <is>
          <t>A 12675-2025</t>
        </is>
      </c>
      <c r="B6734" s="1" t="n">
        <v>45733.4356712963</v>
      </c>
      <c r="C6734" s="1" t="n">
        <v>46093</v>
      </c>
      <c r="D6734" t="inlineStr">
        <is>
          <t>VÄSTERNORRLANDS LÄN</t>
        </is>
      </c>
      <c r="E6734" t="inlineStr">
        <is>
          <t>HÄRNÖSAND</t>
        </is>
      </c>
      <c r="G6734" t="n">
        <v>5.1</v>
      </c>
      <c r="H6734" t="n">
        <v>0</v>
      </c>
      <c r="I6734" t="n">
        <v>0</v>
      </c>
      <c r="J6734" t="n">
        <v>0</v>
      </c>
      <c r="K6734" t="n">
        <v>0</v>
      </c>
      <c r="L6734" t="n">
        <v>0</v>
      </c>
      <c r="M6734" t="n">
        <v>0</v>
      </c>
      <c r="N6734" t="n">
        <v>0</v>
      </c>
      <c r="O6734" t="n">
        <v>0</v>
      </c>
      <c r="P6734" t="n">
        <v>0</v>
      </c>
      <c r="Q6734" t="n">
        <v>0</v>
      </c>
      <c r="R6734" s="2" t="inlineStr"/>
    </row>
    <row r="6735" ht="15" customHeight="1">
      <c r="A6735" t="inlineStr">
        <is>
          <t>A 37167-2025</t>
        </is>
      </c>
      <c r="B6735" s="1" t="n">
        <v>45875.60767361111</v>
      </c>
      <c r="C6735" s="1" t="n">
        <v>46093</v>
      </c>
      <c r="D6735" t="inlineStr">
        <is>
          <t>VÄSTERNORRLANDS LÄN</t>
        </is>
      </c>
      <c r="E6735" t="inlineStr">
        <is>
          <t>KRAMFORS</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12685-2025</t>
        </is>
      </c>
      <c r="B6736" s="1" t="n">
        <v>45733.44667824074</v>
      </c>
      <c r="C6736" s="1" t="n">
        <v>46093</v>
      </c>
      <c r="D6736" t="inlineStr">
        <is>
          <t>VÄSTERNORRLANDS LÄN</t>
        </is>
      </c>
      <c r="E6736" t="inlineStr">
        <is>
          <t>HÄRNÖSAND</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12706-2025</t>
        </is>
      </c>
      <c r="B6737" s="1" t="n">
        <v>45733.46958333333</v>
      </c>
      <c r="C6737" s="1" t="n">
        <v>46093</v>
      </c>
      <c r="D6737" t="inlineStr">
        <is>
          <t>VÄSTERNORRLANDS LÄN</t>
        </is>
      </c>
      <c r="E6737" t="inlineStr">
        <is>
          <t>SOLLEFTEÅ</t>
        </is>
      </c>
      <c r="F6737" t="inlineStr">
        <is>
          <t>SCA</t>
        </is>
      </c>
      <c r="G6737" t="n">
        <v>21.7</v>
      </c>
      <c r="H6737" t="n">
        <v>0</v>
      </c>
      <c r="I6737" t="n">
        <v>0</v>
      </c>
      <c r="J6737" t="n">
        <v>0</v>
      </c>
      <c r="K6737" t="n">
        <v>0</v>
      </c>
      <c r="L6737" t="n">
        <v>0</v>
      </c>
      <c r="M6737" t="n">
        <v>0</v>
      </c>
      <c r="N6737" t="n">
        <v>0</v>
      </c>
      <c r="O6737" t="n">
        <v>0</v>
      </c>
      <c r="P6737" t="n">
        <v>0</v>
      </c>
      <c r="Q6737" t="n">
        <v>0</v>
      </c>
      <c r="R6737" s="2" t="inlineStr"/>
    </row>
    <row r="6738" ht="15" customHeight="1">
      <c r="A6738" t="inlineStr">
        <is>
          <t>A 51008-2025</t>
        </is>
      </c>
      <c r="B6738" s="1" t="n">
        <v>45947.37548611111</v>
      </c>
      <c r="C6738" s="1" t="n">
        <v>46093</v>
      </c>
      <c r="D6738" t="inlineStr">
        <is>
          <t>VÄSTERNORRLANDS LÄN</t>
        </is>
      </c>
      <c r="E6738" t="inlineStr">
        <is>
          <t>ÖRNSKÖLDSVIK</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51087-2025</t>
        </is>
      </c>
      <c r="B6739" s="1" t="n">
        <v>45947.46954861111</v>
      </c>
      <c r="C6739" s="1" t="n">
        <v>46093</v>
      </c>
      <c r="D6739" t="inlineStr">
        <is>
          <t>VÄSTERNORRLANDS LÄN</t>
        </is>
      </c>
      <c r="E6739" t="inlineStr">
        <is>
          <t>SOLLEFTEÅ</t>
        </is>
      </c>
      <c r="F6739" t="inlineStr">
        <is>
          <t>SCA</t>
        </is>
      </c>
      <c r="G6739" t="n">
        <v>2.4</v>
      </c>
      <c r="H6739" t="n">
        <v>0</v>
      </c>
      <c r="I6739" t="n">
        <v>0</v>
      </c>
      <c r="J6739" t="n">
        <v>0</v>
      </c>
      <c r="K6739" t="n">
        <v>0</v>
      </c>
      <c r="L6739" t="n">
        <v>0</v>
      </c>
      <c r="M6739" t="n">
        <v>0</v>
      </c>
      <c r="N6739" t="n">
        <v>0</v>
      </c>
      <c r="O6739" t="n">
        <v>0</v>
      </c>
      <c r="P6739" t="n">
        <v>0</v>
      </c>
      <c r="Q6739" t="n">
        <v>0</v>
      </c>
      <c r="R6739" s="2" t="inlineStr"/>
    </row>
    <row r="6740" ht="15" customHeight="1">
      <c r="A6740" t="inlineStr">
        <is>
          <t>A 36971-2025</t>
        </is>
      </c>
      <c r="B6740" s="1" t="n">
        <v>45874.6371875</v>
      </c>
      <c r="C6740" s="1" t="n">
        <v>46093</v>
      </c>
      <c r="D6740" t="inlineStr">
        <is>
          <t>VÄSTERNORRLANDS LÄN</t>
        </is>
      </c>
      <c r="E6740" t="inlineStr">
        <is>
          <t>SUNDSVALL</t>
        </is>
      </c>
      <c r="F6740" t="inlineStr">
        <is>
          <t>SCA</t>
        </is>
      </c>
      <c r="G6740" t="n">
        <v>3.5</v>
      </c>
      <c r="H6740" t="n">
        <v>0</v>
      </c>
      <c r="I6740" t="n">
        <v>0</v>
      </c>
      <c r="J6740" t="n">
        <v>0</v>
      </c>
      <c r="K6740" t="n">
        <v>0</v>
      </c>
      <c r="L6740" t="n">
        <v>0</v>
      </c>
      <c r="M6740" t="n">
        <v>0</v>
      </c>
      <c r="N6740" t="n">
        <v>0</v>
      </c>
      <c r="O6740" t="n">
        <v>0</v>
      </c>
      <c r="P6740" t="n">
        <v>0</v>
      </c>
      <c r="Q6740" t="n">
        <v>0</v>
      </c>
      <c r="R6740" s="2" t="inlineStr"/>
    </row>
    <row r="6741" ht="15" customHeight="1">
      <c r="A6741" t="inlineStr">
        <is>
          <t>A 19965-2025</t>
        </is>
      </c>
      <c r="B6741" s="1" t="n">
        <v>45771</v>
      </c>
      <c r="C6741" s="1" t="n">
        <v>46093</v>
      </c>
      <c r="D6741" t="inlineStr">
        <is>
          <t>VÄSTERNORRLANDS LÄN</t>
        </is>
      </c>
      <c r="E6741" t="inlineStr">
        <is>
          <t>ÖRNSKÖLDSVIK</t>
        </is>
      </c>
      <c r="G6741" t="n">
        <v>15.9</v>
      </c>
      <c r="H6741" t="n">
        <v>0</v>
      </c>
      <c r="I6741" t="n">
        <v>0</v>
      </c>
      <c r="J6741" t="n">
        <v>0</v>
      </c>
      <c r="K6741" t="n">
        <v>0</v>
      </c>
      <c r="L6741" t="n">
        <v>0</v>
      </c>
      <c r="M6741" t="n">
        <v>0</v>
      </c>
      <c r="N6741" t="n">
        <v>0</v>
      </c>
      <c r="O6741" t="n">
        <v>0</v>
      </c>
      <c r="P6741" t="n">
        <v>0</v>
      </c>
      <c r="Q6741" t="n">
        <v>0</v>
      </c>
      <c r="R6741" s="2" t="inlineStr"/>
    </row>
    <row r="6742" ht="15" customHeight="1">
      <c r="A6742" t="inlineStr">
        <is>
          <t>A 59164-2024</t>
        </is>
      </c>
      <c r="B6742" s="1" t="n">
        <v>45637.47819444445</v>
      </c>
      <c r="C6742" s="1" t="n">
        <v>46093</v>
      </c>
      <c r="D6742" t="inlineStr">
        <is>
          <t>VÄSTERNORRLANDS LÄN</t>
        </is>
      </c>
      <c r="E6742" t="inlineStr">
        <is>
          <t>ÖRNSKÖLDSVIK</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53703-2021</t>
        </is>
      </c>
      <c r="B6743" s="1" t="n">
        <v>44469</v>
      </c>
      <c r="C6743" s="1" t="n">
        <v>46093</v>
      </c>
      <c r="D6743" t="inlineStr">
        <is>
          <t>VÄSTERNORRLANDS LÄN</t>
        </is>
      </c>
      <c r="E6743" t="inlineStr">
        <is>
          <t>TIMRÅ</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51088-2025</t>
        </is>
      </c>
      <c r="B6744" s="1" t="n">
        <v>45947.46975694445</v>
      </c>
      <c r="C6744" s="1" t="n">
        <v>46093</v>
      </c>
      <c r="D6744" t="inlineStr">
        <is>
          <t>VÄSTERNORRLANDS LÄN</t>
        </is>
      </c>
      <c r="E6744" t="inlineStr">
        <is>
          <t>SOLLEFTEÅ</t>
        </is>
      </c>
      <c r="F6744" t="inlineStr">
        <is>
          <t>SCA</t>
        </is>
      </c>
      <c r="G6744" t="n">
        <v>8.199999999999999</v>
      </c>
      <c r="H6744" t="n">
        <v>0</v>
      </c>
      <c r="I6744" t="n">
        <v>0</v>
      </c>
      <c r="J6744" t="n">
        <v>0</v>
      </c>
      <c r="K6744" t="n">
        <v>0</v>
      </c>
      <c r="L6744" t="n">
        <v>0</v>
      </c>
      <c r="M6744" t="n">
        <v>0</v>
      </c>
      <c r="N6744" t="n">
        <v>0</v>
      </c>
      <c r="O6744" t="n">
        <v>0</v>
      </c>
      <c r="P6744" t="n">
        <v>0</v>
      </c>
      <c r="Q6744" t="n">
        <v>0</v>
      </c>
      <c r="R6744" s="2" t="inlineStr"/>
    </row>
    <row r="6745" ht="15" customHeight="1">
      <c r="A6745" t="inlineStr">
        <is>
          <t>A 21095-2024</t>
        </is>
      </c>
      <c r="B6745" s="1" t="n">
        <v>45439.95034722222</v>
      </c>
      <c r="C6745" s="1" t="n">
        <v>46093</v>
      </c>
      <c r="D6745" t="inlineStr">
        <is>
          <t>VÄSTERNORRLANDS LÄN</t>
        </is>
      </c>
      <c r="E6745" t="inlineStr">
        <is>
          <t>SOLLEFTEÅ</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30710-2024</t>
        </is>
      </c>
      <c r="B6746" s="1" t="n">
        <v>45496</v>
      </c>
      <c r="C6746" s="1" t="n">
        <v>46093</v>
      </c>
      <c r="D6746" t="inlineStr">
        <is>
          <t>VÄSTERNORRLANDS LÄN</t>
        </is>
      </c>
      <c r="E6746" t="inlineStr">
        <is>
          <t>HÄRNÖSAND</t>
        </is>
      </c>
      <c r="G6746" t="n">
        <v>2.5</v>
      </c>
      <c r="H6746" t="n">
        <v>0</v>
      </c>
      <c r="I6746" t="n">
        <v>0</v>
      </c>
      <c r="J6746" t="n">
        <v>0</v>
      </c>
      <c r="K6746" t="n">
        <v>0</v>
      </c>
      <c r="L6746" t="n">
        <v>0</v>
      </c>
      <c r="M6746" t="n">
        <v>0</v>
      </c>
      <c r="N6746" t="n">
        <v>0</v>
      </c>
      <c r="O6746" t="n">
        <v>0</v>
      </c>
      <c r="P6746" t="n">
        <v>0</v>
      </c>
      <c r="Q6746" t="n">
        <v>0</v>
      </c>
      <c r="R6746" s="2" t="inlineStr"/>
    </row>
    <row r="6747" ht="15" customHeight="1">
      <c r="A6747" t="inlineStr">
        <is>
          <t>A 30751-2024</t>
        </is>
      </c>
      <c r="B6747" s="1" t="n">
        <v>45496.69339120371</v>
      </c>
      <c r="C6747" s="1" t="n">
        <v>46093</v>
      </c>
      <c r="D6747" t="inlineStr">
        <is>
          <t>VÄSTERNORRLANDS LÄN</t>
        </is>
      </c>
      <c r="E6747" t="inlineStr">
        <is>
          <t>ÅNGE</t>
        </is>
      </c>
      <c r="G6747" t="n">
        <v>0.3</v>
      </c>
      <c r="H6747" t="n">
        <v>0</v>
      </c>
      <c r="I6747" t="n">
        <v>0</v>
      </c>
      <c r="J6747" t="n">
        <v>0</v>
      </c>
      <c r="K6747" t="n">
        <v>0</v>
      </c>
      <c r="L6747" t="n">
        <v>0</v>
      </c>
      <c r="M6747" t="n">
        <v>0</v>
      </c>
      <c r="N6747" t="n">
        <v>0</v>
      </c>
      <c r="O6747" t="n">
        <v>0</v>
      </c>
      <c r="P6747" t="n">
        <v>0</v>
      </c>
      <c r="Q6747" t="n">
        <v>0</v>
      </c>
      <c r="R6747" s="2" t="inlineStr"/>
    </row>
    <row r="6748" ht="15" customHeight="1">
      <c r="A6748" t="inlineStr">
        <is>
          <t>A 37234-2025</t>
        </is>
      </c>
      <c r="B6748" s="1" t="n">
        <v>45876.35302083333</v>
      </c>
      <c r="C6748" s="1" t="n">
        <v>46093</v>
      </c>
      <c r="D6748" t="inlineStr">
        <is>
          <t>VÄSTERNORRLANDS LÄN</t>
        </is>
      </c>
      <c r="E6748" t="inlineStr">
        <is>
          <t>ÖRNSKÖLDSVIK</t>
        </is>
      </c>
      <c r="F6748" t="inlineStr">
        <is>
          <t>Holmen skog AB</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37073-2025</t>
        </is>
      </c>
      <c r="B6749" s="1" t="n">
        <v>45875.40703703704</v>
      </c>
      <c r="C6749" s="1" t="n">
        <v>46093</v>
      </c>
      <c r="D6749" t="inlineStr">
        <is>
          <t>VÄSTERNORRLANDS LÄN</t>
        </is>
      </c>
      <c r="E6749" t="inlineStr">
        <is>
          <t>SOLLEFTEÅ</t>
        </is>
      </c>
      <c r="F6749" t="inlineStr">
        <is>
          <t>SCA</t>
        </is>
      </c>
      <c r="G6749" t="n">
        <v>2.9</v>
      </c>
      <c r="H6749" t="n">
        <v>0</v>
      </c>
      <c r="I6749" t="n">
        <v>0</v>
      </c>
      <c r="J6749" t="n">
        <v>0</v>
      </c>
      <c r="K6749" t="n">
        <v>0</v>
      </c>
      <c r="L6749" t="n">
        <v>0</v>
      </c>
      <c r="M6749" t="n">
        <v>0</v>
      </c>
      <c r="N6749" t="n">
        <v>0</v>
      </c>
      <c r="O6749" t="n">
        <v>0</v>
      </c>
      <c r="P6749" t="n">
        <v>0</v>
      </c>
      <c r="Q6749" t="n">
        <v>0</v>
      </c>
      <c r="R6749" s="2" t="inlineStr"/>
    </row>
    <row r="6750" ht="15" customHeight="1">
      <c r="A6750" t="inlineStr">
        <is>
          <t>A 36368-2024</t>
        </is>
      </c>
      <c r="B6750" s="1" t="n">
        <v>45534.6622337963</v>
      </c>
      <c r="C6750" s="1" t="n">
        <v>46093</v>
      </c>
      <c r="D6750" t="inlineStr">
        <is>
          <t>VÄSTERNORRLANDS LÄN</t>
        </is>
      </c>
      <c r="E6750" t="inlineStr">
        <is>
          <t>ÖRNSKÖLDSVIK</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51170-2025</t>
        </is>
      </c>
      <c r="B6751" s="1" t="n">
        <v>45947.60293981482</v>
      </c>
      <c r="C6751" s="1" t="n">
        <v>46093</v>
      </c>
      <c r="D6751" t="inlineStr">
        <is>
          <t>VÄSTERNORRLANDS LÄN</t>
        </is>
      </c>
      <c r="E6751" t="inlineStr">
        <is>
          <t>ÖRNSKÖLDSVIK</t>
        </is>
      </c>
      <c r="F6751" t="inlineStr">
        <is>
          <t>Holmen skog AB</t>
        </is>
      </c>
      <c r="G6751" t="n">
        <v>4.8</v>
      </c>
      <c r="H6751" t="n">
        <v>0</v>
      </c>
      <c r="I6751" t="n">
        <v>0</v>
      </c>
      <c r="J6751" t="n">
        <v>0</v>
      </c>
      <c r="K6751" t="n">
        <v>0</v>
      </c>
      <c r="L6751" t="n">
        <v>0</v>
      </c>
      <c r="M6751" t="n">
        <v>0</v>
      </c>
      <c r="N6751" t="n">
        <v>0</v>
      </c>
      <c r="O6751" t="n">
        <v>0</v>
      </c>
      <c r="P6751" t="n">
        <v>0</v>
      </c>
      <c r="Q6751" t="n">
        <v>0</v>
      </c>
      <c r="R6751" s="2" t="inlineStr"/>
    </row>
    <row r="6752" ht="15" customHeight="1">
      <c r="A6752" t="inlineStr">
        <is>
          <t>A 8959-2023</t>
        </is>
      </c>
      <c r="B6752" s="1" t="n">
        <v>44974</v>
      </c>
      <c r="C6752" s="1" t="n">
        <v>46093</v>
      </c>
      <c r="D6752" t="inlineStr">
        <is>
          <t>VÄSTERNORRLANDS LÄN</t>
        </is>
      </c>
      <c r="E6752" t="inlineStr">
        <is>
          <t>SOLLEFTEÅ</t>
        </is>
      </c>
      <c r="G6752" t="n">
        <v>2.3</v>
      </c>
      <c r="H6752" t="n">
        <v>0</v>
      </c>
      <c r="I6752" t="n">
        <v>0</v>
      </c>
      <c r="J6752" t="n">
        <v>0</v>
      </c>
      <c r="K6752" t="n">
        <v>0</v>
      </c>
      <c r="L6752" t="n">
        <v>0</v>
      </c>
      <c r="M6752" t="n">
        <v>0</v>
      </c>
      <c r="N6752" t="n">
        <v>0</v>
      </c>
      <c r="O6752" t="n">
        <v>0</v>
      </c>
      <c r="P6752" t="n">
        <v>0</v>
      </c>
      <c r="Q6752" t="n">
        <v>0</v>
      </c>
      <c r="R6752" s="2" t="inlineStr"/>
    </row>
    <row r="6753" ht="15" customHeight="1">
      <c r="A6753" t="inlineStr">
        <is>
          <t>A 37307-2025</t>
        </is>
      </c>
      <c r="B6753" s="1" t="n">
        <v>45876.59489583333</v>
      </c>
      <c r="C6753" s="1" t="n">
        <v>46093</v>
      </c>
      <c r="D6753" t="inlineStr">
        <is>
          <t>VÄSTERNORRLANDS LÄN</t>
        </is>
      </c>
      <c r="E6753" t="inlineStr">
        <is>
          <t>KRAMFORS</t>
        </is>
      </c>
      <c r="G6753" t="n">
        <v>8.199999999999999</v>
      </c>
      <c r="H6753" t="n">
        <v>0</v>
      </c>
      <c r="I6753" t="n">
        <v>0</v>
      </c>
      <c r="J6753" t="n">
        <v>0</v>
      </c>
      <c r="K6753" t="n">
        <v>0</v>
      </c>
      <c r="L6753" t="n">
        <v>0</v>
      </c>
      <c r="M6753" t="n">
        <v>0</v>
      </c>
      <c r="N6753" t="n">
        <v>0</v>
      </c>
      <c r="O6753" t="n">
        <v>0</v>
      </c>
      <c r="P6753" t="n">
        <v>0</v>
      </c>
      <c r="Q6753" t="n">
        <v>0</v>
      </c>
      <c r="R6753" s="2" t="inlineStr"/>
    </row>
    <row r="6754" ht="15" customHeight="1">
      <c r="A6754" t="inlineStr">
        <is>
          <t>A 51413-2025</t>
        </is>
      </c>
      <c r="B6754" s="1" t="n">
        <v>45950.49594907407</v>
      </c>
      <c r="C6754" s="1" t="n">
        <v>46093</v>
      </c>
      <c r="D6754" t="inlineStr">
        <is>
          <t>VÄSTERNORRLANDS LÄN</t>
        </is>
      </c>
      <c r="E6754" t="inlineStr">
        <is>
          <t>KRAMFORS</t>
        </is>
      </c>
      <c r="G6754" t="n">
        <v>8.6</v>
      </c>
      <c r="H6754" t="n">
        <v>0</v>
      </c>
      <c r="I6754" t="n">
        <v>0</v>
      </c>
      <c r="J6754" t="n">
        <v>0</v>
      </c>
      <c r="K6754" t="n">
        <v>0</v>
      </c>
      <c r="L6754" t="n">
        <v>0</v>
      </c>
      <c r="M6754" t="n">
        <v>0</v>
      </c>
      <c r="N6754" t="n">
        <v>0</v>
      </c>
      <c r="O6754" t="n">
        <v>0</v>
      </c>
      <c r="P6754" t="n">
        <v>0</v>
      </c>
      <c r="Q6754" t="n">
        <v>0</v>
      </c>
      <c r="R6754" s="2" t="inlineStr"/>
    </row>
    <row r="6755" ht="15" customHeight="1">
      <c r="A6755" t="inlineStr">
        <is>
          <t>A 51416-2025</t>
        </is>
      </c>
      <c r="B6755" s="1" t="n">
        <v>45950.51097222222</v>
      </c>
      <c r="C6755" s="1" t="n">
        <v>46093</v>
      </c>
      <c r="D6755" t="inlineStr">
        <is>
          <t>VÄSTERNORRLANDS LÄN</t>
        </is>
      </c>
      <c r="E6755" t="inlineStr">
        <is>
          <t>ÅNGE</t>
        </is>
      </c>
      <c r="F6755" t="inlineStr">
        <is>
          <t>SCA</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37080-2025</t>
        </is>
      </c>
      <c r="B6756" s="1" t="n">
        <v>45875.42811342593</v>
      </c>
      <c r="C6756" s="1" t="n">
        <v>46093</v>
      </c>
      <c r="D6756" t="inlineStr">
        <is>
          <t>VÄSTERNORRLANDS LÄN</t>
        </is>
      </c>
      <c r="E6756" t="inlineStr">
        <is>
          <t>SUNDSVALL</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41187-2023</t>
        </is>
      </c>
      <c r="B6757" s="1" t="n">
        <v>45174</v>
      </c>
      <c r="C6757" s="1" t="n">
        <v>46093</v>
      </c>
      <c r="D6757" t="inlineStr">
        <is>
          <t>VÄSTERNORRLANDS LÄN</t>
        </is>
      </c>
      <c r="E6757" t="inlineStr">
        <is>
          <t>ÖRNSKÖLDSVIK</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51229-2025</t>
        </is>
      </c>
      <c r="B6758" s="1" t="n">
        <v>45947.66895833334</v>
      </c>
      <c r="C6758" s="1" t="n">
        <v>46093</v>
      </c>
      <c r="D6758" t="inlineStr">
        <is>
          <t>VÄSTERNORRLANDS LÄN</t>
        </is>
      </c>
      <c r="E6758" t="inlineStr">
        <is>
          <t>ÖRNSKÖLDSVIK</t>
        </is>
      </c>
      <c r="G6758" t="n">
        <v>2.2</v>
      </c>
      <c r="H6758" t="n">
        <v>0</v>
      </c>
      <c r="I6758" t="n">
        <v>0</v>
      </c>
      <c r="J6758" t="n">
        <v>0</v>
      </c>
      <c r="K6758" t="n">
        <v>0</v>
      </c>
      <c r="L6758" t="n">
        <v>0</v>
      </c>
      <c r="M6758" t="n">
        <v>0</v>
      </c>
      <c r="N6758" t="n">
        <v>0</v>
      </c>
      <c r="O6758" t="n">
        <v>0</v>
      </c>
      <c r="P6758" t="n">
        <v>0</v>
      </c>
      <c r="Q6758" t="n">
        <v>0</v>
      </c>
      <c r="R6758" s="2" t="inlineStr"/>
    </row>
    <row r="6759" ht="15" customHeight="1">
      <c r="A6759" t="inlineStr">
        <is>
          <t>A 51521-2025</t>
        </is>
      </c>
      <c r="B6759" s="1" t="n">
        <v>45950.65715277778</v>
      </c>
      <c r="C6759" s="1" t="n">
        <v>46093</v>
      </c>
      <c r="D6759" t="inlineStr">
        <is>
          <t>VÄSTERNORRLANDS LÄN</t>
        </is>
      </c>
      <c r="E6759" t="inlineStr">
        <is>
          <t>SOLLEFTEÅ</t>
        </is>
      </c>
      <c r="G6759" t="n">
        <v>3.1</v>
      </c>
      <c r="H6759" t="n">
        <v>0</v>
      </c>
      <c r="I6759" t="n">
        <v>0</v>
      </c>
      <c r="J6759" t="n">
        <v>0</v>
      </c>
      <c r="K6759" t="n">
        <v>0</v>
      </c>
      <c r="L6759" t="n">
        <v>0</v>
      </c>
      <c r="M6759" t="n">
        <v>0</v>
      </c>
      <c r="N6759" t="n">
        <v>0</v>
      </c>
      <c r="O6759" t="n">
        <v>0</v>
      </c>
      <c r="P6759" t="n">
        <v>0</v>
      </c>
      <c r="Q6759" t="n">
        <v>0</v>
      </c>
      <c r="R6759" s="2" t="inlineStr"/>
    </row>
    <row r="6760" ht="15" customHeight="1">
      <c r="A6760" t="inlineStr">
        <is>
          <t>A 35395-2023</t>
        </is>
      </c>
      <c r="B6760" s="1" t="n">
        <v>45146.58788194445</v>
      </c>
      <c r="C6760" s="1" t="n">
        <v>46093</v>
      </c>
      <c r="D6760" t="inlineStr">
        <is>
          <t>VÄSTERNORRLANDS LÄN</t>
        </is>
      </c>
      <c r="E6760" t="inlineStr">
        <is>
          <t>ÖRNSKÖLDSVIK</t>
        </is>
      </c>
      <c r="F6760" t="inlineStr">
        <is>
          <t>Holmen skog AB</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2345-2025</t>
        </is>
      </c>
      <c r="B6761" s="1" t="n">
        <v>45673.67747685185</v>
      </c>
      <c r="C6761" s="1" t="n">
        <v>46093</v>
      </c>
      <c r="D6761" t="inlineStr">
        <is>
          <t>VÄSTERNORRLANDS LÄN</t>
        </is>
      </c>
      <c r="E6761" t="inlineStr">
        <is>
          <t>SOLLEFTEÅ</t>
        </is>
      </c>
      <c r="F6761" t="inlineStr">
        <is>
          <t>SCA</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51213-2025</t>
        </is>
      </c>
      <c r="B6762" s="1" t="n">
        <v>45947.64268518519</v>
      </c>
      <c r="C6762" s="1" t="n">
        <v>46093</v>
      </c>
      <c r="D6762" t="inlineStr">
        <is>
          <t>VÄSTERNORRLANDS LÄN</t>
        </is>
      </c>
      <c r="E6762" t="inlineStr">
        <is>
          <t>KRAMFORS</t>
        </is>
      </c>
      <c r="G6762" t="n">
        <v>8.9</v>
      </c>
      <c r="H6762" t="n">
        <v>0</v>
      </c>
      <c r="I6762" t="n">
        <v>0</v>
      </c>
      <c r="J6762" t="n">
        <v>0</v>
      </c>
      <c r="K6762" t="n">
        <v>0</v>
      </c>
      <c r="L6762" t="n">
        <v>0</v>
      </c>
      <c r="M6762" t="n">
        <v>0</v>
      </c>
      <c r="N6762" t="n">
        <v>0</v>
      </c>
      <c r="O6762" t="n">
        <v>0</v>
      </c>
      <c r="P6762" t="n">
        <v>0</v>
      </c>
      <c r="Q6762" t="n">
        <v>0</v>
      </c>
      <c r="R6762" s="2" t="inlineStr"/>
    </row>
    <row r="6763" ht="15" customHeight="1">
      <c r="A6763" t="inlineStr">
        <is>
          <t>A 51226-2025</t>
        </is>
      </c>
      <c r="B6763" s="1" t="n">
        <v>45947.65663194445</v>
      </c>
      <c r="C6763" s="1" t="n">
        <v>46093</v>
      </c>
      <c r="D6763" t="inlineStr">
        <is>
          <t>VÄSTERNORRLANDS LÄN</t>
        </is>
      </c>
      <c r="E6763" t="inlineStr">
        <is>
          <t>SOLLEFTEÅ</t>
        </is>
      </c>
      <c r="F6763" t="inlineStr">
        <is>
          <t>SCA</t>
        </is>
      </c>
      <c r="G6763" t="n">
        <v>3.3</v>
      </c>
      <c r="H6763" t="n">
        <v>0</v>
      </c>
      <c r="I6763" t="n">
        <v>0</v>
      </c>
      <c r="J6763" t="n">
        <v>0</v>
      </c>
      <c r="K6763" t="n">
        <v>0</v>
      </c>
      <c r="L6763" t="n">
        <v>0</v>
      </c>
      <c r="M6763" t="n">
        <v>0</v>
      </c>
      <c r="N6763" t="n">
        <v>0</v>
      </c>
      <c r="O6763" t="n">
        <v>0</v>
      </c>
      <c r="P6763" t="n">
        <v>0</v>
      </c>
      <c r="Q6763" t="n">
        <v>0</v>
      </c>
      <c r="R6763" s="2" t="inlineStr"/>
    </row>
    <row r="6764" ht="15" customHeight="1">
      <c r="A6764" t="inlineStr">
        <is>
          <t>A 37104-2025</t>
        </is>
      </c>
      <c r="B6764" s="1" t="n">
        <v>45875.47746527778</v>
      </c>
      <c r="C6764" s="1" t="n">
        <v>46093</v>
      </c>
      <c r="D6764" t="inlineStr">
        <is>
          <t>VÄSTERNORRLANDS LÄN</t>
        </is>
      </c>
      <c r="E6764" t="inlineStr">
        <is>
          <t>ÖRNSKÖLDSVIK</t>
        </is>
      </c>
      <c r="F6764" t="inlineStr">
        <is>
          <t>Holmen skog AB</t>
        </is>
      </c>
      <c r="G6764" t="n">
        <v>2.4</v>
      </c>
      <c r="H6764" t="n">
        <v>0</v>
      </c>
      <c r="I6764" t="n">
        <v>0</v>
      </c>
      <c r="J6764" t="n">
        <v>0</v>
      </c>
      <c r="K6764" t="n">
        <v>0</v>
      </c>
      <c r="L6764" t="n">
        <v>0</v>
      </c>
      <c r="M6764" t="n">
        <v>0</v>
      </c>
      <c r="N6764" t="n">
        <v>0</v>
      </c>
      <c r="O6764" t="n">
        <v>0</v>
      </c>
      <c r="P6764" t="n">
        <v>0</v>
      </c>
      <c r="Q6764" t="n">
        <v>0</v>
      </c>
      <c r="R6764" s="2" t="inlineStr"/>
    </row>
    <row r="6765" ht="15" customHeight="1">
      <c r="A6765" t="inlineStr">
        <is>
          <t>A 51112-2025</t>
        </is>
      </c>
      <c r="B6765" s="1" t="n">
        <v>45947.51068287037</v>
      </c>
      <c r="C6765" s="1" t="n">
        <v>46093</v>
      </c>
      <c r="D6765" t="inlineStr">
        <is>
          <t>VÄSTERNORRLANDS LÄN</t>
        </is>
      </c>
      <c r="E6765" t="inlineStr">
        <is>
          <t>SUNDSVALL</t>
        </is>
      </c>
      <c r="F6765" t="inlineStr">
        <is>
          <t>Holmen skog AB</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53693-2024</t>
        </is>
      </c>
      <c r="B6766" s="1" t="n">
        <v>45615.37758101852</v>
      </c>
      <c r="C6766" s="1" t="n">
        <v>46093</v>
      </c>
      <c r="D6766" t="inlineStr">
        <is>
          <t>VÄSTERNORRLANDS LÄN</t>
        </is>
      </c>
      <c r="E6766" t="inlineStr">
        <is>
          <t>ÖRNSKÖLDSVIK</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51313-2025</t>
        </is>
      </c>
      <c r="B6767" s="1" t="n">
        <v>45950.37559027778</v>
      </c>
      <c r="C6767" s="1" t="n">
        <v>46093</v>
      </c>
      <c r="D6767" t="inlineStr">
        <is>
          <t>VÄSTERNORRLANDS LÄN</t>
        </is>
      </c>
      <c r="E6767" t="inlineStr">
        <is>
          <t>KRAMFORS</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51530-2025</t>
        </is>
      </c>
      <c r="B6768" s="1" t="n">
        <v>45950.68016203704</v>
      </c>
      <c r="C6768" s="1" t="n">
        <v>46093</v>
      </c>
      <c r="D6768" t="inlineStr">
        <is>
          <t>VÄSTERNORRLANDS LÄN</t>
        </is>
      </c>
      <c r="E6768" t="inlineStr">
        <is>
          <t>ÖRNSKÖLDSVIK</t>
        </is>
      </c>
      <c r="F6768" t="inlineStr">
        <is>
          <t>Holmen skog AB</t>
        </is>
      </c>
      <c r="G6768" t="n">
        <v>2.8</v>
      </c>
      <c r="H6768" t="n">
        <v>0</v>
      </c>
      <c r="I6768" t="n">
        <v>0</v>
      </c>
      <c r="J6768" t="n">
        <v>0</v>
      </c>
      <c r="K6768" t="n">
        <v>0</v>
      </c>
      <c r="L6768" t="n">
        <v>0</v>
      </c>
      <c r="M6768" t="n">
        <v>0</v>
      </c>
      <c r="N6768" t="n">
        <v>0</v>
      </c>
      <c r="O6768" t="n">
        <v>0</v>
      </c>
      <c r="P6768" t="n">
        <v>0</v>
      </c>
      <c r="Q6768" t="n">
        <v>0</v>
      </c>
      <c r="R6768" s="2" t="inlineStr"/>
    </row>
    <row r="6769" ht="15" customHeight="1">
      <c r="A6769" t="inlineStr">
        <is>
          <t>A 12539-2023</t>
        </is>
      </c>
      <c r="B6769" s="1" t="n">
        <v>45000.01452546296</v>
      </c>
      <c r="C6769" s="1" t="n">
        <v>46093</v>
      </c>
      <c r="D6769" t="inlineStr">
        <is>
          <t>VÄSTERNORRLANDS LÄN</t>
        </is>
      </c>
      <c r="E6769" t="inlineStr">
        <is>
          <t>SOLLEFTEÅ</t>
        </is>
      </c>
      <c r="F6769" t="inlineStr">
        <is>
          <t>SCA</t>
        </is>
      </c>
      <c r="G6769" t="n">
        <v>3.8</v>
      </c>
      <c r="H6769" t="n">
        <v>0</v>
      </c>
      <c r="I6769" t="n">
        <v>0</v>
      </c>
      <c r="J6769" t="n">
        <v>0</v>
      </c>
      <c r="K6769" t="n">
        <v>0</v>
      </c>
      <c r="L6769" t="n">
        <v>0</v>
      </c>
      <c r="M6769" t="n">
        <v>0</v>
      </c>
      <c r="N6769" t="n">
        <v>0</v>
      </c>
      <c r="O6769" t="n">
        <v>0</v>
      </c>
      <c r="P6769" t="n">
        <v>0</v>
      </c>
      <c r="Q6769" t="n">
        <v>0</v>
      </c>
      <c r="R6769" s="2" t="inlineStr"/>
    </row>
    <row r="6770" ht="15" customHeight="1">
      <c r="A6770" t="inlineStr">
        <is>
          <t>A 60566-2023</t>
        </is>
      </c>
      <c r="B6770" s="1" t="n">
        <v>45259</v>
      </c>
      <c r="C6770" s="1" t="n">
        <v>46093</v>
      </c>
      <c r="D6770" t="inlineStr">
        <is>
          <t>VÄSTERNORRLANDS LÄN</t>
        </is>
      </c>
      <c r="E6770" t="inlineStr">
        <is>
          <t>KRAMFORS</t>
        </is>
      </c>
      <c r="G6770" t="n">
        <v>2.1</v>
      </c>
      <c r="H6770" t="n">
        <v>0</v>
      </c>
      <c r="I6770" t="n">
        <v>0</v>
      </c>
      <c r="J6770" t="n">
        <v>0</v>
      </c>
      <c r="K6770" t="n">
        <v>0</v>
      </c>
      <c r="L6770" t="n">
        <v>0</v>
      </c>
      <c r="M6770" t="n">
        <v>0</v>
      </c>
      <c r="N6770" t="n">
        <v>0</v>
      </c>
      <c r="O6770" t="n">
        <v>0</v>
      </c>
      <c r="P6770" t="n">
        <v>0</v>
      </c>
      <c r="Q6770" t="n">
        <v>0</v>
      </c>
      <c r="R6770" s="2" t="inlineStr"/>
    </row>
    <row r="6771" ht="15" customHeight="1">
      <c r="A6771" t="inlineStr">
        <is>
          <t>A 61490-2023</t>
        </is>
      </c>
      <c r="B6771" s="1" t="n">
        <v>45264</v>
      </c>
      <c r="C6771" s="1" t="n">
        <v>46093</v>
      </c>
      <c r="D6771" t="inlineStr">
        <is>
          <t>VÄSTERNORRLANDS LÄN</t>
        </is>
      </c>
      <c r="E6771" t="inlineStr">
        <is>
          <t>SUNDSVALL</t>
        </is>
      </c>
      <c r="F6771" t="inlineStr">
        <is>
          <t>SCA</t>
        </is>
      </c>
      <c r="G6771" t="n">
        <v>9.699999999999999</v>
      </c>
      <c r="H6771" t="n">
        <v>0</v>
      </c>
      <c r="I6771" t="n">
        <v>0</v>
      </c>
      <c r="J6771" t="n">
        <v>0</v>
      </c>
      <c r="K6771" t="n">
        <v>0</v>
      </c>
      <c r="L6771" t="n">
        <v>0</v>
      </c>
      <c r="M6771" t="n">
        <v>0</v>
      </c>
      <c r="N6771" t="n">
        <v>0</v>
      </c>
      <c r="O6771" t="n">
        <v>0</v>
      </c>
      <c r="P6771" t="n">
        <v>0</v>
      </c>
      <c r="Q6771" t="n">
        <v>0</v>
      </c>
      <c r="R6771" s="2" t="inlineStr"/>
    </row>
    <row r="6772" ht="15" customHeight="1">
      <c r="A6772" t="inlineStr">
        <is>
          <t>A 2481-2025</t>
        </is>
      </c>
      <c r="B6772" s="1" t="n">
        <v>45674.48996527777</v>
      </c>
      <c r="C6772" s="1" t="n">
        <v>46093</v>
      </c>
      <c r="D6772" t="inlineStr">
        <is>
          <t>VÄSTERNORRLANDS LÄN</t>
        </is>
      </c>
      <c r="E6772" t="inlineStr">
        <is>
          <t>SOLLEFTEÅ</t>
        </is>
      </c>
      <c r="F6772" t="inlineStr">
        <is>
          <t>SCA</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8411-2024</t>
        </is>
      </c>
      <c r="B6773" s="1" t="n">
        <v>45352</v>
      </c>
      <c r="C6773" s="1" t="n">
        <v>46093</v>
      </c>
      <c r="D6773" t="inlineStr">
        <is>
          <t>VÄSTERNORRLANDS LÄN</t>
        </is>
      </c>
      <c r="E6773" t="inlineStr">
        <is>
          <t>HÄRNÖSAND</t>
        </is>
      </c>
      <c r="F6773" t="inlineStr">
        <is>
          <t>SCA</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52763-2024</t>
        </is>
      </c>
      <c r="B6774" s="1" t="n">
        <v>45610.5115625</v>
      </c>
      <c r="C6774" s="1" t="n">
        <v>46093</v>
      </c>
      <c r="D6774" t="inlineStr">
        <is>
          <t>VÄSTERNORRLANDS LÄN</t>
        </is>
      </c>
      <c r="E6774" t="inlineStr">
        <is>
          <t>ÖRNSKÖLDSVIK</t>
        </is>
      </c>
      <c r="G6774" t="n">
        <v>5.2</v>
      </c>
      <c r="H6774" t="n">
        <v>0</v>
      </c>
      <c r="I6774" t="n">
        <v>0</v>
      </c>
      <c r="J6774" t="n">
        <v>0</v>
      </c>
      <c r="K6774" t="n">
        <v>0</v>
      </c>
      <c r="L6774" t="n">
        <v>0</v>
      </c>
      <c r="M6774" t="n">
        <v>0</v>
      </c>
      <c r="N6774" t="n">
        <v>0</v>
      </c>
      <c r="O6774" t="n">
        <v>0</v>
      </c>
      <c r="P6774" t="n">
        <v>0</v>
      </c>
      <c r="Q6774" t="n">
        <v>0</v>
      </c>
      <c r="R6774" s="2" t="inlineStr"/>
    </row>
    <row r="6775" ht="15" customHeight="1">
      <c r="A6775" t="inlineStr">
        <is>
          <t>A 37165-2025</t>
        </is>
      </c>
      <c r="B6775" s="1" t="n">
        <v>45875.60496527778</v>
      </c>
      <c r="C6775" s="1" t="n">
        <v>46093</v>
      </c>
      <c r="D6775" t="inlineStr">
        <is>
          <t>VÄSTERNORRLANDS LÄN</t>
        </is>
      </c>
      <c r="E6775" t="inlineStr">
        <is>
          <t>SUNDSVALL</t>
        </is>
      </c>
      <c r="G6775" t="n">
        <v>4.1</v>
      </c>
      <c r="H6775" t="n">
        <v>0</v>
      </c>
      <c r="I6775" t="n">
        <v>0</v>
      </c>
      <c r="J6775" t="n">
        <v>0</v>
      </c>
      <c r="K6775" t="n">
        <v>0</v>
      </c>
      <c r="L6775" t="n">
        <v>0</v>
      </c>
      <c r="M6775" t="n">
        <v>0</v>
      </c>
      <c r="N6775" t="n">
        <v>0</v>
      </c>
      <c r="O6775" t="n">
        <v>0</v>
      </c>
      <c r="P6775" t="n">
        <v>0</v>
      </c>
      <c r="Q6775" t="n">
        <v>0</v>
      </c>
      <c r="R6775" s="2" t="inlineStr"/>
    </row>
    <row r="6776" ht="15" customHeight="1">
      <c r="A6776" t="inlineStr">
        <is>
          <t>A 8418-2024</t>
        </is>
      </c>
      <c r="B6776" s="1" t="n">
        <v>45352.98878472222</v>
      </c>
      <c r="C6776" s="1" t="n">
        <v>46093</v>
      </c>
      <c r="D6776" t="inlineStr">
        <is>
          <t>VÄSTERNORRLANDS LÄN</t>
        </is>
      </c>
      <c r="E6776" t="inlineStr">
        <is>
          <t>SUNDSVALL</t>
        </is>
      </c>
      <c r="F6776" t="inlineStr">
        <is>
          <t>SCA</t>
        </is>
      </c>
      <c r="G6776" t="n">
        <v>4.6</v>
      </c>
      <c r="H6776" t="n">
        <v>0</v>
      </c>
      <c r="I6776" t="n">
        <v>0</v>
      </c>
      <c r="J6776" t="n">
        <v>0</v>
      </c>
      <c r="K6776" t="n">
        <v>0</v>
      </c>
      <c r="L6776" t="n">
        <v>0</v>
      </c>
      <c r="M6776" t="n">
        <v>0</v>
      </c>
      <c r="N6776" t="n">
        <v>0</v>
      </c>
      <c r="O6776" t="n">
        <v>0</v>
      </c>
      <c r="P6776" t="n">
        <v>0</v>
      </c>
      <c r="Q6776" t="n">
        <v>0</v>
      </c>
      <c r="R6776" s="2" t="inlineStr"/>
    </row>
    <row r="6777" ht="15" customHeight="1">
      <c r="A6777" t="inlineStr">
        <is>
          <t>A 31721-2024</t>
        </is>
      </c>
      <c r="B6777" s="1" t="n">
        <v>45509</v>
      </c>
      <c r="C6777" s="1" t="n">
        <v>46093</v>
      </c>
      <c r="D6777" t="inlineStr">
        <is>
          <t>VÄSTERNORRLANDS LÄN</t>
        </is>
      </c>
      <c r="E6777" t="inlineStr">
        <is>
          <t>ÖRNSKÖLDSVIK</t>
        </is>
      </c>
      <c r="F6777" t="inlineStr">
        <is>
          <t>Holmen skog AB</t>
        </is>
      </c>
      <c r="G6777" t="n">
        <v>5.9</v>
      </c>
      <c r="H6777" t="n">
        <v>0</v>
      </c>
      <c r="I6777" t="n">
        <v>0</v>
      </c>
      <c r="J6777" t="n">
        <v>0</v>
      </c>
      <c r="K6777" t="n">
        <v>0</v>
      </c>
      <c r="L6777" t="n">
        <v>0</v>
      </c>
      <c r="M6777" t="n">
        <v>0</v>
      </c>
      <c r="N6777" t="n">
        <v>0</v>
      </c>
      <c r="O6777" t="n">
        <v>0</v>
      </c>
      <c r="P6777" t="n">
        <v>0</v>
      </c>
      <c r="Q6777" t="n">
        <v>0</v>
      </c>
      <c r="R6777" s="2" t="inlineStr"/>
    </row>
    <row r="6778" ht="15" customHeight="1">
      <c r="A6778" t="inlineStr">
        <is>
          <t>A 51370-2025</t>
        </is>
      </c>
      <c r="B6778" s="1" t="n">
        <v>45950.44818287037</v>
      </c>
      <c r="C6778" s="1" t="n">
        <v>46093</v>
      </c>
      <c r="D6778" t="inlineStr">
        <is>
          <t>VÄSTERNORRLANDS LÄN</t>
        </is>
      </c>
      <c r="E6778" t="inlineStr">
        <is>
          <t>ÅNGE</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37435-2025</t>
        </is>
      </c>
      <c r="B6779" s="1" t="n">
        <v>45877.52358796296</v>
      </c>
      <c r="C6779" s="1" t="n">
        <v>46093</v>
      </c>
      <c r="D6779" t="inlineStr">
        <is>
          <t>VÄSTERNORRLANDS LÄN</t>
        </is>
      </c>
      <c r="E6779" t="inlineStr">
        <is>
          <t>ÖRNSKÖLDSVIK</t>
        </is>
      </c>
      <c r="G6779" t="n">
        <v>14.1</v>
      </c>
      <c r="H6779" t="n">
        <v>0</v>
      </c>
      <c r="I6779" t="n">
        <v>0</v>
      </c>
      <c r="J6779" t="n">
        <v>0</v>
      </c>
      <c r="K6779" t="n">
        <v>0</v>
      </c>
      <c r="L6779" t="n">
        <v>0</v>
      </c>
      <c r="M6779" t="n">
        <v>0</v>
      </c>
      <c r="N6779" t="n">
        <v>0</v>
      </c>
      <c r="O6779" t="n">
        <v>0</v>
      </c>
      <c r="P6779" t="n">
        <v>0</v>
      </c>
      <c r="Q6779" t="n">
        <v>0</v>
      </c>
      <c r="R6779" s="2" t="inlineStr"/>
    </row>
    <row r="6780" ht="15" customHeight="1">
      <c r="A6780" t="inlineStr">
        <is>
          <t>A 37407-2025</t>
        </is>
      </c>
      <c r="B6780" s="1" t="n">
        <v>45877.46506944444</v>
      </c>
      <c r="C6780" s="1" t="n">
        <v>46093</v>
      </c>
      <c r="D6780" t="inlineStr">
        <is>
          <t>VÄSTERNORRLANDS LÄN</t>
        </is>
      </c>
      <c r="E6780" t="inlineStr">
        <is>
          <t>KRAMFORS</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38099-2024</t>
        </is>
      </c>
      <c r="B6781" s="1" t="n">
        <v>45545.35920138889</v>
      </c>
      <c r="C6781" s="1" t="n">
        <v>46093</v>
      </c>
      <c r="D6781" t="inlineStr">
        <is>
          <t>VÄSTERNORRLANDS LÄN</t>
        </is>
      </c>
      <c r="E6781" t="inlineStr">
        <is>
          <t>ÅNGE</t>
        </is>
      </c>
      <c r="F6781" t="inlineStr">
        <is>
          <t>Holmen skog AB</t>
        </is>
      </c>
      <c r="G6781" t="n">
        <v>3.7</v>
      </c>
      <c r="H6781" t="n">
        <v>0</v>
      </c>
      <c r="I6781" t="n">
        <v>0</v>
      </c>
      <c r="J6781" t="n">
        <v>0</v>
      </c>
      <c r="K6781" t="n">
        <v>0</v>
      </c>
      <c r="L6781" t="n">
        <v>0</v>
      </c>
      <c r="M6781" t="n">
        <v>0</v>
      </c>
      <c r="N6781" t="n">
        <v>0</v>
      </c>
      <c r="O6781" t="n">
        <v>0</v>
      </c>
      <c r="P6781" t="n">
        <v>0</v>
      </c>
      <c r="Q6781" t="n">
        <v>0</v>
      </c>
      <c r="R6781" s="2" t="inlineStr"/>
    </row>
    <row r="6782" ht="15" customHeight="1">
      <c r="A6782" t="inlineStr">
        <is>
          <t>A 51482-2025</t>
        </is>
      </c>
      <c r="B6782" s="1" t="n">
        <v>45950.62047453703</v>
      </c>
      <c r="C6782" s="1" t="n">
        <v>46093</v>
      </c>
      <c r="D6782" t="inlineStr">
        <is>
          <t>VÄSTERNORRLANDS LÄN</t>
        </is>
      </c>
      <c r="E6782" t="inlineStr">
        <is>
          <t>TIMRÅ</t>
        </is>
      </c>
      <c r="F6782" t="inlineStr">
        <is>
          <t>SCA</t>
        </is>
      </c>
      <c r="G6782" t="n">
        <v>2.1</v>
      </c>
      <c r="H6782" t="n">
        <v>0</v>
      </c>
      <c r="I6782" t="n">
        <v>0</v>
      </c>
      <c r="J6782" t="n">
        <v>0</v>
      </c>
      <c r="K6782" t="n">
        <v>0</v>
      </c>
      <c r="L6782" t="n">
        <v>0</v>
      </c>
      <c r="M6782" t="n">
        <v>0</v>
      </c>
      <c r="N6782" t="n">
        <v>0</v>
      </c>
      <c r="O6782" t="n">
        <v>0</v>
      </c>
      <c r="P6782" t="n">
        <v>0</v>
      </c>
      <c r="Q6782" t="n">
        <v>0</v>
      </c>
      <c r="R6782" s="2" t="inlineStr"/>
    </row>
    <row r="6783" ht="15" customHeight="1">
      <c r="A6783" t="inlineStr">
        <is>
          <t>A 51378-2025</t>
        </is>
      </c>
      <c r="B6783" s="1" t="n">
        <v>45950.45506944445</v>
      </c>
      <c r="C6783" s="1" t="n">
        <v>46093</v>
      </c>
      <c r="D6783" t="inlineStr">
        <is>
          <t>VÄSTERNORRLANDS LÄN</t>
        </is>
      </c>
      <c r="E6783" t="inlineStr">
        <is>
          <t>SUNDSVALL</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52909-2024</t>
        </is>
      </c>
      <c r="B6784" s="1" t="n">
        <v>45610.69864583333</v>
      </c>
      <c r="C6784" s="1" t="n">
        <v>46093</v>
      </c>
      <c r="D6784" t="inlineStr">
        <is>
          <t>VÄSTERNORRLANDS LÄN</t>
        </is>
      </c>
      <c r="E6784" t="inlineStr">
        <is>
          <t>TIMRÅ</t>
        </is>
      </c>
      <c r="F6784" t="inlineStr">
        <is>
          <t>SCA</t>
        </is>
      </c>
      <c r="G6784" t="n">
        <v>2.9</v>
      </c>
      <c r="H6784" t="n">
        <v>0</v>
      </c>
      <c r="I6784" t="n">
        <v>0</v>
      </c>
      <c r="J6784" t="n">
        <v>0</v>
      </c>
      <c r="K6784" t="n">
        <v>0</v>
      </c>
      <c r="L6784" t="n">
        <v>0</v>
      </c>
      <c r="M6784" t="n">
        <v>0</v>
      </c>
      <c r="N6784" t="n">
        <v>0</v>
      </c>
      <c r="O6784" t="n">
        <v>0</v>
      </c>
      <c r="P6784" t="n">
        <v>0</v>
      </c>
      <c r="Q6784" t="n">
        <v>0</v>
      </c>
      <c r="R6784" s="2" t="inlineStr"/>
    </row>
    <row r="6785" ht="15" customHeight="1">
      <c r="A6785" t="inlineStr">
        <is>
          <t>A 44636-2024</t>
        </is>
      </c>
      <c r="B6785" s="1" t="n">
        <v>45574.51491898148</v>
      </c>
      <c r="C6785" s="1" t="n">
        <v>46093</v>
      </c>
      <c r="D6785" t="inlineStr">
        <is>
          <t>VÄSTERNORRLANDS LÄN</t>
        </is>
      </c>
      <c r="E6785" t="inlineStr">
        <is>
          <t>ÅNGE</t>
        </is>
      </c>
      <c r="F6785" t="inlineStr">
        <is>
          <t>SCA</t>
        </is>
      </c>
      <c r="G6785" t="n">
        <v>0.5</v>
      </c>
      <c r="H6785" t="n">
        <v>0</v>
      </c>
      <c r="I6785" t="n">
        <v>0</v>
      </c>
      <c r="J6785" t="n">
        <v>0</v>
      </c>
      <c r="K6785" t="n">
        <v>0</v>
      </c>
      <c r="L6785" t="n">
        <v>0</v>
      </c>
      <c r="M6785" t="n">
        <v>0</v>
      </c>
      <c r="N6785" t="n">
        <v>0</v>
      </c>
      <c r="O6785" t="n">
        <v>0</v>
      </c>
      <c r="P6785" t="n">
        <v>0</v>
      </c>
      <c r="Q6785" t="n">
        <v>0</v>
      </c>
      <c r="R6785" s="2" t="inlineStr"/>
    </row>
    <row r="6786" ht="15" customHeight="1">
      <c r="A6786" t="inlineStr">
        <is>
          <t>A 50978-2025</t>
        </is>
      </c>
      <c r="B6786" s="1" t="n">
        <v>45947</v>
      </c>
      <c r="C6786" s="1" t="n">
        <v>46093</v>
      </c>
      <c r="D6786" t="inlineStr">
        <is>
          <t>VÄSTERNORRLANDS LÄN</t>
        </is>
      </c>
      <c r="E6786" t="inlineStr">
        <is>
          <t>KRAMFORS</t>
        </is>
      </c>
      <c r="G6786" t="n">
        <v>5.3</v>
      </c>
      <c r="H6786" t="n">
        <v>0</v>
      </c>
      <c r="I6786" t="n">
        <v>0</v>
      </c>
      <c r="J6786" t="n">
        <v>0</v>
      </c>
      <c r="K6786" t="n">
        <v>0</v>
      </c>
      <c r="L6786" t="n">
        <v>0</v>
      </c>
      <c r="M6786" t="n">
        <v>0</v>
      </c>
      <c r="N6786" t="n">
        <v>0</v>
      </c>
      <c r="O6786" t="n">
        <v>0</v>
      </c>
      <c r="P6786" t="n">
        <v>0</v>
      </c>
      <c r="Q6786" t="n">
        <v>0</v>
      </c>
      <c r="R6786" s="2" t="inlineStr"/>
    </row>
    <row r="6787" ht="15" customHeight="1">
      <c r="A6787" t="inlineStr">
        <is>
          <t>A 37674-2024</t>
        </is>
      </c>
      <c r="B6787" s="1" t="n">
        <v>45541</v>
      </c>
      <c r="C6787" s="1" t="n">
        <v>46093</v>
      </c>
      <c r="D6787" t="inlineStr">
        <is>
          <t>VÄSTERNORRLANDS LÄN</t>
        </is>
      </c>
      <c r="E6787" t="inlineStr">
        <is>
          <t>KRAMFORS</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37676-2024</t>
        </is>
      </c>
      <c r="B6788" s="1" t="n">
        <v>45541</v>
      </c>
      <c r="C6788" s="1" t="n">
        <v>46093</v>
      </c>
      <c r="D6788" t="inlineStr">
        <is>
          <t>VÄSTERNORRLANDS LÄN</t>
        </is>
      </c>
      <c r="E6788" t="inlineStr">
        <is>
          <t>TIMRÅ</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51516-2025</t>
        </is>
      </c>
      <c r="B6789" s="1" t="n">
        <v>45950.65561342592</v>
      </c>
      <c r="C6789" s="1" t="n">
        <v>46093</v>
      </c>
      <c r="D6789" t="inlineStr">
        <is>
          <t>VÄSTERNORRLANDS LÄN</t>
        </is>
      </c>
      <c r="E6789" t="inlineStr">
        <is>
          <t>ÖRNSKÖLDSVIK</t>
        </is>
      </c>
      <c r="F6789" t="inlineStr">
        <is>
          <t>Holmen skog AB</t>
        </is>
      </c>
      <c r="G6789" t="n">
        <v>6.8</v>
      </c>
      <c r="H6789" t="n">
        <v>0</v>
      </c>
      <c r="I6789" t="n">
        <v>0</v>
      </c>
      <c r="J6789" t="n">
        <v>0</v>
      </c>
      <c r="K6789" t="n">
        <v>0</v>
      </c>
      <c r="L6789" t="n">
        <v>0</v>
      </c>
      <c r="M6789" t="n">
        <v>0</v>
      </c>
      <c r="N6789" t="n">
        <v>0</v>
      </c>
      <c r="O6789" t="n">
        <v>0</v>
      </c>
      <c r="P6789" t="n">
        <v>0</v>
      </c>
      <c r="Q6789" t="n">
        <v>0</v>
      </c>
      <c r="R6789" s="2" t="inlineStr"/>
    </row>
    <row r="6790" ht="15" customHeight="1">
      <c r="A6790" t="inlineStr">
        <is>
          <t>A 51714-2025</t>
        </is>
      </c>
      <c r="B6790" s="1" t="n">
        <v>45950</v>
      </c>
      <c r="C6790" s="1" t="n">
        <v>46093</v>
      </c>
      <c r="D6790" t="inlineStr">
        <is>
          <t>VÄSTERNORRLANDS LÄN</t>
        </is>
      </c>
      <c r="E6790" t="inlineStr">
        <is>
          <t>SUNDSVALL</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45773-2024</t>
        </is>
      </c>
      <c r="B6791" s="1" t="n">
        <v>45579.65280092593</v>
      </c>
      <c r="C6791" s="1" t="n">
        <v>46093</v>
      </c>
      <c r="D6791" t="inlineStr">
        <is>
          <t>VÄSTERNORRLANDS LÄN</t>
        </is>
      </c>
      <c r="E6791" t="inlineStr">
        <is>
          <t>ÖRNSKÖLDSVIK</t>
        </is>
      </c>
      <c r="F6791" t="inlineStr">
        <is>
          <t>Holmen skog AB</t>
        </is>
      </c>
      <c r="G6791" t="n">
        <v>4.5</v>
      </c>
      <c r="H6791" t="n">
        <v>0</v>
      </c>
      <c r="I6791" t="n">
        <v>0</v>
      </c>
      <c r="J6791" t="n">
        <v>0</v>
      </c>
      <c r="K6791" t="n">
        <v>0</v>
      </c>
      <c r="L6791" t="n">
        <v>0</v>
      </c>
      <c r="M6791" t="n">
        <v>0</v>
      </c>
      <c r="N6791" t="n">
        <v>0</v>
      </c>
      <c r="O6791" t="n">
        <v>0</v>
      </c>
      <c r="P6791" t="n">
        <v>0</v>
      </c>
      <c r="Q6791" t="n">
        <v>0</v>
      </c>
      <c r="R6791" s="2" t="inlineStr"/>
    </row>
    <row r="6792" ht="15" customHeight="1">
      <c r="A6792" t="inlineStr">
        <is>
          <t>A 15617-2025</t>
        </is>
      </c>
      <c r="B6792" s="1" t="n">
        <v>45748.35231481482</v>
      </c>
      <c r="C6792" s="1" t="n">
        <v>46093</v>
      </c>
      <c r="D6792" t="inlineStr">
        <is>
          <t>VÄSTERNORRLANDS LÄN</t>
        </is>
      </c>
      <c r="E6792" t="inlineStr">
        <is>
          <t>SUNDSVALL</t>
        </is>
      </c>
      <c r="F6792" t="inlineStr">
        <is>
          <t>SCA</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15621-2025</t>
        </is>
      </c>
      <c r="B6793" s="1" t="n">
        <v>45748.35635416667</v>
      </c>
      <c r="C6793" s="1" t="n">
        <v>46093</v>
      </c>
      <c r="D6793" t="inlineStr">
        <is>
          <t>VÄSTERNORRLANDS LÄN</t>
        </is>
      </c>
      <c r="E6793" t="inlineStr">
        <is>
          <t>SOLLEFTEÅ</t>
        </is>
      </c>
      <c r="F6793" t="inlineStr">
        <is>
          <t>SCA</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37371-2025</t>
        </is>
      </c>
      <c r="B6794" s="1" t="n">
        <v>45877.34472222222</v>
      </c>
      <c r="C6794" s="1" t="n">
        <v>46093</v>
      </c>
      <c r="D6794" t="inlineStr">
        <is>
          <t>VÄSTERNORRLANDS LÄN</t>
        </is>
      </c>
      <c r="E6794" t="inlineStr">
        <is>
          <t>ÅNGE</t>
        </is>
      </c>
      <c r="F6794" t="inlineStr">
        <is>
          <t>SCA</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56584-2023</t>
        </is>
      </c>
      <c r="B6795" s="1" t="n">
        <v>45238</v>
      </c>
      <c r="C6795" s="1" t="n">
        <v>46093</v>
      </c>
      <c r="D6795" t="inlineStr">
        <is>
          <t>VÄSTERNORRLANDS LÄN</t>
        </is>
      </c>
      <c r="E6795" t="inlineStr">
        <is>
          <t>ÖRNSKÖLDSVIK</t>
        </is>
      </c>
      <c r="F6795" t="inlineStr">
        <is>
          <t>Kyrkan</t>
        </is>
      </c>
      <c r="G6795" t="n">
        <v>7.8</v>
      </c>
      <c r="H6795" t="n">
        <v>0</v>
      </c>
      <c r="I6795" t="n">
        <v>0</v>
      </c>
      <c r="J6795" t="n">
        <v>0</v>
      </c>
      <c r="K6795" t="n">
        <v>0</v>
      </c>
      <c r="L6795" t="n">
        <v>0</v>
      </c>
      <c r="M6795" t="n">
        <v>0</v>
      </c>
      <c r="N6795" t="n">
        <v>0</v>
      </c>
      <c r="O6795" t="n">
        <v>0</v>
      </c>
      <c r="P6795" t="n">
        <v>0</v>
      </c>
      <c r="Q6795" t="n">
        <v>0</v>
      </c>
      <c r="R6795" s="2" t="inlineStr"/>
    </row>
    <row r="6796" ht="15" customHeight="1">
      <c r="A6796" t="inlineStr">
        <is>
          <t>A 10311-2024</t>
        </is>
      </c>
      <c r="B6796" s="1" t="n">
        <v>45365</v>
      </c>
      <c r="C6796" s="1" t="n">
        <v>46093</v>
      </c>
      <c r="D6796" t="inlineStr">
        <is>
          <t>VÄSTERNORRLANDS LÄN</t>
        </is>
      </c>
      <c r="E6796" t="inlineStr">
        <is>
          <t>KRAMFORS</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38985-2023</t>
        </is>
      </c>
      <c r="B6797" s="1" t="n">
        <v>45163</v>
      </c>
      <c r="C6797" s="1" t="n">
        <v>46093</v>
      </c>
      <c r="D6797" t="inlineStr">
        <is>
          <t>VÄSTERNORRLANDS LÄN</t>
        </is>
      </c>
      <c r="E6797" t="inlineStr">
        <is>
          <t>KRAMFORS</t>
        </is>
      </c>
      <c r="F6797" t="inlineStr">
        <is>
          <t>Kommuner</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60628-2021</t>
        </is>
      </c>
      <c r="B6798" s="1" t="n">
        <v>44495</v>
      </c>
      <c r="C6798" s="1" t="n">
        <v>46093</v>
      </c>
      <c r="D6798" t="inlineStr">
        <is>
          <t>VÄSTERNORRLANDS LÄN</t>
        </is>
      </c>
      <c r="E6798" t="inlineStr">
        <is>
          <t>ÖRNSKÖLDSVIK</t>
        </is>
      </c>
      <c r="G6798" t="n">
        <v>0.3</v>
      </c>
      <c r="H6798" t="n">
        <v>0</v>
      </c>
      <c r="I6798" t="n">
        <v>0</v>
      </c>
      <c r="J6798" t="n">
        <v>0</v>
      </c>
      <c r="K6798" t="n">
        <v>0</v>
      </c>
      <c r="L6798" t="n">
        <v>0</v>
      </c>
      <c r="M6798" t="n">
        <v>0</v>
      </c>
      <c r="N6798" t="n">
        <v>0</v>
      </c>
      <c r="O6798" t="n">
        <v>0</v>
      </c>
      <c r="P6798" t="n">
        <v>0</v>
      </c>
      <c r="Q6798" t="n">
        <v>0</v>
      </c>
      <c r="R6798" s="2" t="inlineStr"/>
    </row>
    <row r="6799" ht="15" customHeight="1">
      <c r="A6799" t="inlineStr">
        <is>
          <t>A 51261-2025</t>
        </is>
      </c>
      <c r="B6799" s="1" t="n">
        <v>45949.46915509259</v>
      </c>
      <c r="C6799" s="1" t="n">
        <v>46093</v>
      </c>
      <c r="D6799" t="inlineStr">
        <is>
          <t>VÄSTERNORRLANDS LÄN</t>
        </is>
      </c>
      <c r="E6799" t="inlineStr">
        <is>
          <t>SOLLEFTEÅ</t>
        </is>
      </c>
      <c r="G6799" t="n">
        <v>7.9</v>
      </c>
      <c r="H6799" t="n">
        <v>0</v>
      </c>
      <c r="I6799" t="n">
        <v>0</v>
      </c>
      <c r="J6799" t="n">
        <v>0</v>
      </c>
      <c r="K6799" t="n">
        <v>0</v>
      </c>
      <c r="L6799" t="n">
        <v>0</v>
      </c>
      <c r="M6799" t="n">
        <v>0</v>
      </c>
      <c r="N6799" t="n">
        <v>0</v>
      </c>
      <c r="O6799" t="n">
        <v>0</v>
      </c>
      <c r="P6799" t="n">
        <v>0</v>
      </c>
      <c r="Q6799" t="n">
        <v>0</v>
      </c>
      <c r="R6799" s="2" t="inlineStr"/>
    </row>
    <row r="6800" ht="15" customHeight="1">
      <c r="A6800" t="inlineStr">
        <is>
          <t>A 26976-2023</t>
        </is>
      </c>
      <c r="B6800" s="1" t="n">
        <v>45091</v>
      </c>
      <c r="C6800" s="1" t="n">
        <v>46093</v>
      </c>
      <c r="D6800" t="inlineStr">
        <is>
          <t>VÄSTERNORRLANDS LÄN</t>
        </is>
      </c>
      <c r="E6800" t="inlineStr">
        <is>
          <t>HÄRNÖSAND</t>
        </is>
      </c>
      <c r="G6800" t="n">
        <v>2.7</v>
      </c>
      <c r="H6800" t="n">
        <v>0</v>
      </c>
      <c r="I6800" t="n">
        <v>0</v>
      </c>
      <c r="J6800" t="n">
        <v>0</v>
      </c>
      <c r="K6800" t="n">
        <v>0</v>
      </c>
      <c r="L6800" t="n">
        <v>0</v>
      </c>
      <c r="M6800" t="n">
        <v>0</v>
      </c>
      <c r="N6800" t="n">
        <v>0</v>
      </c>
      <c r="O6800" t="n">
        <v>0</v>
      </c>
      <c r="P6800" t="n">
        <v>0</v>
      </c>
      <c r="Q6800" t="n">
        <v>0</v>
      </c>
      <c r="R6800" s="2" t="inlineStr"/>
    </row>
    <row r="6801" ht="15" customHeight="1">
      <c r="A6801" t="inlineStr">
        <is>
          <t>A 46988-2023</t>
        </is>
      </c>
      <c r="B6801" s="1" t="n">
        <v>45201.47769675926</v>
      </c>
      <c r="C6801" s="1" t="n">
        <v>46093</v>
      </c>
      <c r="D6801" t="inlineStr">
        <is>
          <t>VÄSTERNORRLANDS LÄN</t>
        </is>
      </c>
      <c r="E6801" t="inlineStr">
        <is>
          <t>ÖRNSKÖLDSVIK</t>
        </is>
      </c>
      <c r="F6801" t="inlineStr">
        <is>
          <t>Holmen skog AB</t>
        </is>
      </c>
      <c r="G6801" t="n">
        <v>2.4</v>
      </c>
      <c r="H6801" t="n">
        <v>0</v>
      </c>
      <c r="I6801" t="n">
        <v>0</v>
      </c>
      <c r="J6801" t="n">
        <v>0</v>
      </c>
      <c r="K6801" t="n">
        <v>0</v>
      </c>
      <c r="L6801" t="n">
        <v>0</v>
      </c>
      <c r="M6801" t="n">
        <v>0</v>
      </c>
      <c r="N6801" t="n">
        <v>0</v>
      </c>
      <c r="O6801" t="n">
        <v>0</v>
      </c>
      <c r="P6801" t="n">
        <v>0</v>
      </c>
      <c r="Q6801" t="n">
        <v>0</v>
      </c>
      <c r="R6801" s="2" t="inlineStr"/>
    </row>
    <row r="6802" ht="15" customHeight="1">
      <c r="A6802" t="inlineStr">
        <is>
          <t>A 22547-2023</t>
        </is>
      </c>
      <c r="B6802" s="1" t="n">
        <v>45069</v>
      </c>
      <c r="C6802" s="1" t="n">
        <v>46093</v>
      </c>
      <c r="D6802" t="inlineStr">
        <is>
          <t>VÄSTERNORRLANDS LÄN</t>
        </is>
      </c>
      <c r="E6802" t="inlineStr">
        <is>
          <t>ÖRNSKÖLDSVIK</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51259-2025</t>
        </is>
      </c>
      <c r="B6803" s="1" t="n">
        <v>45949.44818287037</v>
      </c>
      <c r="C6803" s="1" t="n">
        <v>46093</v>
      </c>
      <c r="D6803" t="inlineStr">
        <is>
          <t>VÄSTERNORRLANDS LÄN</t>
        </is>
      </c>
      <c r="E6803" t="inlineStr">
        <is>
          <t>SOLLEFTEÅ</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1375-2023</t>
        </is>
      </c>
      <c r="B6804" s="1" t="n">
        <v>44936.66675925926</v>
      </c>
      <c r="C6804" s="1" t="n">
        <v>46093</v>
      </c>
      <c r="D6804" t="inlineStr">
        <is>
          <t>VÄSTERNORRLANDS LÄN</t>
        </is>
      </c>
      <c r="E6804" t="inlineStr">
        <is>
          <t>SUNDSVALL</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11252-2024</t>
        </is>
      </c>
      <c r="B6805" s="1" t="n">
        <v>45371</v>
      </c>
      <c r="C6805" s="1" t="n">
        <v>46093</v>
      </c>
      <c r="D6805" t="inlineStr">
        <is>
          <t>VÄSTERNORRLANDS LÄN</t>
        </is>
      </c>
      <c r="E6805" t="inlineStr">
        <is>
          <t>ÖRNSKÖLDSVIK</t>
        </is>
      </c>
      <c r="G6805" t="n">
        <v>2.6</v>
      </c>
      <c r="H6805" t="n">
        <v>0</v>
      </c>
      <c r="I6805" t="n">
        <v>0</v>
      </c>
      <c r="J6805" t="n">
        <v>0</v>
      </c>
      <c r="K6805" t="n">
        <v>0</v>
      </c>
      <c r="L6805" t="n">
        <v>0</v>
      </c>
      <c r="M6805" t="n">
        <v>0</v>
      </c>
      <c r="N6805" t="n">
        <v>0</v>
      </c>
      <c r="O6805" t="n">
        <v>0</v>
      </c>
      <c r="P6805" t="n">
        <v>0</v>
      </c>
      <c r="Q6805" t="n">
        <v>0</v>
      </c>
      <c r="R6805" s="2" t="inlineStr"/>
    </row>
    <row r="6806" ht="15" customHeight="1">
      <c r="A6806" t="inlineStr">
        <is>
          <t>A 51299-2025</t>
        </is>
      </c>
      <c r="B6806" s="1" t="n">
        <v>45950.36258101852</v>
      </c>
      <c r="C6806" s="1" t="n">
        <v>46093</v>
      </c>
      <c r="D6806" t="inlineStr">
        <is>
          <t>VÄSTERNORRLANDS LÄN</t>
        </is>
      </c>
      <c r="E6806" t="inlineStr">
        <is>
          <t>ÖRNSKÖLDSVIK</t>
        </is>
      </c>
      <c r="F6806" t="inlineStr">
        <is>
          <t>Holmen skog AB</t>
        </is>
      </c>
      <c r="G6806" t="n">
        <v>4.2</v>
      </c>
      <c r="H6806" t="n">
        <v>0</v>
      </c>
      <c r="I6806" t="n">
        <v>0</v>
      </c>
      <c r="J6806" t="n">
        <v>0</v>
      </c>
      <c r="K6806" t="n">
        <v>0</v>
      </c>
      <c r="L6806" t="n">
        <v>0</v>
      </c>
      <c r="M6806" t="n">
        <v>0</v>
      </c>
      <c r="N6806" t="n">
        <v>0</v>
      </c>
      <c r="O6806" t="n">
        <v>0</v>
      </c>
      <c r="P6806" t="n">
        <v>0</v>
      </c>
      <c r="Q6806" t="n">
        <v>0</v>
      </c>
      <c r="R6806" s="2" t="inlineStr"/>
    </row>
    <row r="6807" ht="15" customHeight="1">
      <c r="A6807" t="inlineStr">
        <is>
          <t>A 51316-2025</t>
        </is>
      </c>
      <c r="B6807" s="1" t="n">
        <v>45950.38076388889</v>
      </c>
      <c r="C6807" s="1" t="n">
        <v>46093</v>
      </c>
      <c r="D6807" t="inlineStr">
        <is>
          <t>VÄSTERNORRLANDS LÄN</t>
        </is>
      </c>
      <c r="E6807" t="inlineStr">
        <is>
          <t>ÖRNSKÖLDSVIK</t>
        </is>
      </c>
      <c r="F6807" t="inlineStr">
        <is>
          <t>Holmen skog AB</t>
        </is>
      </c>
      <c r="G6807" t="n">
        <v>3.6</v>
      </c>
      <c r="H6807" t="n">
        <v>0</v>
      </c>
      <c r="I6807" t="n">
        <v>0</v>
      </c>
      <c r="J6807" t="n">
        <v>0</v>
      </c>
      <c r="K6807" t="n">
        <v>0</v>
      </c>
      <c r="L6807" t="n">
        <v>0</v>
      </c>
      <c r="M6807" t="n">
        <v>0</v>
      </c>
      <c r="N6807" t="n">
        <v>0</v>
      </c>
      <c r="O6807" t="n">
        <v>0</v>
      </c>
      <c r="P6807" t="n">
        <v>0</v>
      </c>
      <c r="Q6807" t="n">
        <v>0</v>
      </c>
      <c r="R6807" s="2" t="inlineStr"/>
    </row>
    <row r="6808" ht="15" customHeight="1">
      <c r="A6808" t="inlineStr">
        <is>
          <t>A 55152-2024</t>
        </is>
      </c>
      <c r="B6808" s="1" t="n">
        <v>45621.49590277778</v>
      </c>
      <c r="C6808" s="1" t="n">
        <v>46093</v>
      </c>
      <c r="D6808" t="inlineStr">
        <is>
          <t>VÄSTERNORRLANDS LÄN</t>
        </is>
      </c>
      <c r="E6808" t="inlineStr">
        <is>
          <t>SUNDSVALL</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62262-2022</t>
        </is>
      </c>
      <c r="B6809" s="1" t="n">
        <v>44922.94387731481</v>
      </c>
      <c r="C6809" s="1" t="n">
        <v>46093</v>
      </c>
      <c r="D6809" t="inlineStr">
        <is>
          <t>VÄSTERNORRLANDS LÄN</t>
        </is>
      </c>
      <c r="E6809" t="inlineStr">
        <is>
          <t>SOLLEFTEÅ</t>
        </is>
      </c>
      <c r="F6809" t="inlineStr">
        <is>
          <t>SCA</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51114-2025</t>
        </is>
      </c>
      <c r="B6810" s="1" t="n">
        <v>45947.51740740741</v>
      </c>
      <c r="C6810" s="1" t="n">
        <v>46093</v>
      </c>
      <c r="D6810" t="inlineStr">
        <is>
          <t>VÄSTERNORRLANDS LÄN</t>
        </is>
      </c>
      <c r="E6810" t="inlineStr">
        <is>
          <t>ÖRNSKÖLDSVIK</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14842-2025</t>
        </is>
      </c>
      <c r="B6811" s="1" t="n">
        <v>45743.38627314815</v>
      </c>
      <c r="C6811" s="1" t="n">
        <v>46093</v>
      </c>
      <c r="D6811" t="inlineStr">
        <is>
          <t>VÄSTERNORRLANDS LÄN</t>
        </is>
      </c>
      <c r="E6811" t="inlineStr">
        <is>
          <t>KRAMFORS</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3082-2025</t>
        </is>
      </c>
      <c r="B6812" s="1" t="n">
        <v>45678.64443287037</v>
      </c>
      <c r="C6812" s="1" t="n">
        <v>46093</v>
      </c>
      <c r="D6812" t="inlineStr">
        <is>
          <t>VÄSTERNORRLANDS LÄN</t>
        </is>
      </c>
      <c r="E6812" t="inlineStr">
        <is>
          <t>SOLLEFTEÅ</t>
        </is>
      </c>
      <c r="G6812" t="n">
        <v>3.7</v>
      </c>
      <c r="H6812" t="n">
        <v>0</v>
      </c>
      <c r="I6812" t="n">
        <v>0</v>
      </c>
      <c r="J6812" t="n">
        <v>0</v>
      </c>
      <c r="K6812" t="n">
        <v>0</v>
      </c>
      <c r="L6812" t="n">
        <v>0</v>
      </c>
      <c r="M6812" t="n">
        <v>0</v>
      </c>
      <c r="N6812" t="n">
        <v>0</v>
      </c>
      <c r="O6812" t="n">
        <v>0</v>
      </c>
      <c r="P6812" t="n">
        <v>0</v>
      </c>
      <c r="Q6812" t="n">
        <v>0</v>
      </c>
      <c r="R6812" s="2" t="inlineStr"/>
    </row>
    <row r="6813" ht="15" customHeight="1">
      <c r="A6813" t="inlineStr">
        <is>
          <t>A 3095-2025</t>
        </is>
      </c>
      <c r="B6813" s="1" t="n">
        <v>45678.66633101852</v>
      </c>
      <c r="C6813" s="1" t="n">
        <v>46093</v>
      </c>
      <c r="D6813" t="inlineStr">
        <is>
          <t>VÄSTERNORRLANDS LÄN</t>
        </is>
      </c>
      <c r="E6813" t="inlineStr">
        <is>
          <t>SOLLEFTEÅ</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3103-2025</t>
        </is>
      </c>
      <c r="B6814" s="1" t="n">
        <v>45678.67739583334</v>
      </c>
      <c r="C6814" s="1" t="n">
        <v>46093</v>
      </c>
      <c r="D6814" t="inlineStr">
        <is>
          <t>VÄSTERNORRLANDS LÄN</t>
        </is>
      </c>
      <c r="E6814" t="inlineStr">
        <is>
          <t>SOLLEFTEÅ</t>
        </is>
      </c>
      <c r="F6814" t="inlineStr">
        <is>
          <t>SCA</t>
        </is>
      </c>
      <c r="G6814" t="n">
        <v>5.2</v>
      </c>
      <c r="H6814" t="n">
        <v>0</v>
      </c>
      <c r="I6814" t="n">
        <v>0</v>
      </c>
      <c r="J6814" t="n">
        <v>0</v>
      </c>
      <c r="K6814" t="n">
        <v>0</v>
      </c>
      <c r="L6814" t="n">
        <v>0</v>
      </c>
      <c r="M6814" t="n">
        <v>0</v>
      </c>
      <c r="N6814" t="n">
        <v>0</v>
      </c>
      <c r="O6814" t="n">
        <v>0</v>
      </c>
      <c r="P6814" t="n">
        <v>0</v>
      </c>
      <c r="Q6814" t="n">
        <v>0</v>
      </c>
      <c r="R6814" s="2" t="inlineStr"/>
    </row>
    <row r="6815" ht="15" customHeight="1">
      <c r="A6815" t="inlineStr">
        <is>
          <t>A 31525-2022</t>
        </is>
      </c>
      <c r="B6815" s="1" t="n">
        <v>44775.25996527778</v>
      </c>
      <c r="C6815" s="1" t="n">
        <v>46093</v>
      </c>
      <c r="D6815" t="inlineStr">
        <is>
          <t>VÄSTERNORRLANDS LÄN</t>
        </is>
      </c>
      <c r="E6815" t="inlineStr">
        <is>
          <t>SUNDSVALL</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49829-2024</t>
        </is>
      </c>
      <c r="B6816" s="1" t="n">
        <v>45597</v>
      </c>
      <c r="C6816" s="1" t="n">
        <v>46093</v>
      </c>
      <c r="D6816" t="inlineStr">
        <is>
          <t>VÄSTERNORRLANDS LÄN</t>
        </is>
      </c>
      <c r="E6816" t="inlineStr">
        <is>
          <t>SOLLEFTEÅ</t>
        </is>
      </c>
      <c r="F6816" t="inlineStr">
        <is>
          <t>SCA</t>
        </is>
      </c>
      <c r="G6816" t="n">
        <v>2.1</v>
      </c>
      <c r="H6816" t="n">
        <v>0</v>
      </c>
      <c r="I6816" t="n">
        <v>0</v>
      </c>
      <c r="J6816" t="n">
        <v>0</v>
      </c>
      <c r="K6816" t="n">
        <v>0</v>
      </c>
      <c r="L6816" t="n">
        <v>0</v>
      </c>
      <c r="M6816" t="n">
        <v>0</v>
      </c>
      <c r="N6816" t="n">
        <v>0</v>
      </c>
      <c r="O6816" t="n">
        <v>0</v>
      </c>
      <c r="P6816" t="n">
        <v>0</v>
      </c>
      <c r="Q6816" t="n">
        <v>0</v>
      </c>
      <c r="R6816" s="2" t="inlineStr"/>
    </row>
    <row r="6817" ht="15" customHeight="1">
      <c r="A6817" t="inlineStr">
        <is>
          <t>A 51208-2025</t>
        </is>
      </c>
      <c r="B6817" s="1" t="n">
        <v>45947</v>
      </c>
      <c r="C6817" s="1" t="n">
        <v>46093</v>
      </c>
      <c r="D6817" t="inlineStr">
        <is>
          <t>VÄSTERNORRLANDS LÄN</t>
        </is>
      </c>
      <c r="E6817" t="inlineStr">
        <is>
          <t>KRAMFORS</t>
        </is>
      </c>
      <c r="G6817" t="n">
        <v>9</v>
      </c>
      <c r="H6817" t="n">
        <v>0</v>
      </c>
      <c r="I6817" t="n">
        <v>0</v>
      </c>
      <c r="J6817" t="n">
        <v>0</v>
      </c>
      <c r="K6817" t="n">
        <v>0</v>
      </c>
      <c r="L6817" t="n">
        <v>0</v>
      </c>
      <c r="M6817" t="n">
        <v>0</v>
      </c>
      <c r="N6817" t="n">
        <v>0</v>
      </c>
      <c r="O6817" t="n">
        <v>0</v>
      </c>
      <c r="P6817" t="n">
        <v>0</v>
      </c>
      <c r="Q6817" t="n">
        <v>0</v>
      </c>
      <c r="R6817" s="2" t="inlineStr"/>
    </row>
    <row r="6818" ht="15" customHeight="1">
      <c r="A6818" t="inlineStr">
        <is>
          <t>A 39796-2023</t>
        </is>
      </c>
      <c r="B6818" s="1" t="n">
        <v>45167</v>
      </c>
      <c r="C6818" s="1" t="n">
        <v>46093</v>
      </c>
      <c r="D6818" t="inlineStr">
        <is>
          <t>VÄSTERNORRLANDS LÄN</t>
        </is>
      </c>
      <c r="E6818" t="inlineStr">
        <is>
          <t>SUNDSVALL</t>
        </is>
      </c>
      <c r="G6818" t="n">
        <v>2.7</v>
      </c>
      <c r="H6818" t="n">
        <v>0</v>
      </c>
      <c r="I6818" t="n">
        <v>0</v>
      </c>
      <c r="J6818" t="n">
        <v>0</v>
      </c>
      <c r="K6818" t="n">
        <v>0</v>
      </c>
      <c r="L6818" t="n">
        <v>0</v>
      </c>
      <c r="M6818" t="n">
        <v>0</v>
      </c>
      <c r="N6818" t="n">
        <v>0</v>
      </c>
      <c r="O6818" t="n">
        <v>0</v>
      </c>
      <c r="P6818" t="n">
        <v>0</v>
      </c>
      <c r="Q6818" t="n">
        <v>0</v>
      </c>
      <c r="R6818" s="2" t="inlineStr"/>
    </row>
    <row r="6819" ht="15" customHeight="1">
      <c r="A6819" t="inlineStr">
        <is>
          <t>A 64375-2023</t>
        </is>
      </c>
      <c r="B6819" s="1" t="n">
        <v>45280</v>
      </c>
      <c r="C6819" s="1" t="n">
        <v>46093</v>
      </c>
      <c r="D6819" t="inlineStr">
        <is>
          <t>VÄSTERNORRLANDS LÄN</t>
        </is>
      </c>
      <c r="E6819" t="inlineStr">
        <is>
          <t>ÅNGE</t>
        </is>
      </c>
      <c r="G6819" t="n">
        <v>7.5</v>
      </c>
      <c r="H6819" t="n">
        <v>0</v>
      </c>
      <c r="I6819" t="n">
        <v>0</v>
      </c>
      <c r="J6819" t="n">
        <v>0</v>
      </c>
      <c r="K6819" t="n">
        <v>0</v>
      </c>
      <c r="L6819" t="n">
        <v>0</v>
      </c>
      <c r="M6819" t="n">
        <v>0</v>
      </c>
      <c r="N6819" t="n">
        <v>0</v>
      </c>
      <c r="O6819" t="n">
        <v>0</v>
      </c>
      <c r="P6819" t="n">
        <v>0</v>
      </c>
      <c r="Q6819" t="n">
        <v>0</v>
      </c>
      <c r="R6819" s="2" t="inlineStr"/>
    </row>
    <row r="6820" ht="15" customHeight="1">
      <c r="A6820" t="inlineStr">
        <is>
          <t>A 64377-2023</t>
        </is>
      </c>
      <c r="B6820" s="1" t="n">
        <v>45280</v>
      </c>
      <c r="C6820" s="1" t="n">
        <v>46093</v>
      </c>
      <c r="D6820" t="inlineStr">
        <is>
          <t>VÄSTERNORRLANDS LÄN</t>
        </is>
      </c>
      <c r="E6820" t="inlineStr">
        <is>
          <t>HÄRNÖSAND</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39318-2023</t>
        </is>
      </c>
      <c r="B6821" s="1" t="n">
        <v>45166.58703703704</v>
      </c>
      <c r="C6821" s="1" t="n">
        <v>46093</v>
      </c>
      <c r="D6821" t="inlineStr">
        <is>
          <t>VÄSTERNORRLANDS LÄN</t>
        </is>
      </c>
      <c r="E6821" t="inlineStr">
        <is>
          <t>ÖRNSKÖLDSVIK</t>
        </is>
      </c>
      <c r="F6821" t="inlineStr">
        <is>
          <t>Holmen skog AB</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51359-2025</t>
        </is>
      </c>
      <c r="B6822" s="1" t="n">
        <v>45950.44296296296</v>
      </c>
      <c r="C6822" s="1" t="n">
        <v>46093</v>
      </c>
      <c r="D6822" t="inlineStr">
        <is>
          <t>VÄSTERNORRLANDS LÄN</t>
        </is>
      </c>
      <c r="E6822" t="inlineStr">
        <is>
          <t>ÖRNSKÖLDSVIK</t>
        </is>
      </c>
      <c r="F6822" t="inlineStr">
        <is>
          <t>Holmen skog AB</t>
        </is>
      </c>
      <c r="G6822" t="n">
        <v>11.9</v>
      </c>
      <c r="H6822" t="n">
        <v>0</v>
      </c>
      <c r="I6822" t="n">
        <v>0</v>
      </c>
      <c r="J6822" t="n">
        <v>0</v>
      </c>
      <c r="K6822" t="n">
        <v>0</v>
      </c>
      <c r="L6822" t="n">
        <v>0</v>
      </c>
      <c r="M6822" t="n">
        <v>0</v>
      </c>
      <c r="N6822" t="n">
        <v>0</v>
      </c>
      <c r="O6822" t="n">
        <v>0</v>
      </c>
      <c r="P6822" t="n">
        <v>0</v>
      </c>
      <c r="Q6822" t="n">
        <v>0</v>
      </c>
      <c r="R6822" s="2" t="inlineStr"/>
    </row>
    <row r="6823" ht="15" customHeight="1">
      <c r="A6823" t="inlineStr">
        <is>
          <t>A 51490-2025</t>
        </is>
      </c>
      <c r="B6823" s="1" t="n">
        <v>45950.63325231482</v>
      </c>
      <c r="C6823" s="1" t="n">
        <v>46093</v>
      </c>
      <c r="D6823" t="inlineStr">
        <is>
          <t>VÄSTERNORRLANDS LÄN</t>
        </is>
      </c>
      <c r="E6823" t="inlineStr">
        <is>
          <t>ÖRNSKÖLDSVIK</t>
        </is>
      </c>
      <c r="F6823" t="inlineStr">
        <is>
          <t>Holmen skog AB</t>
        </is>
      </c>
      <c r="G6823" t="n">
        <v>4.5</v>
      </c>
      <c r="H6823" t="n">
        <v>0</v>
      </c>
      <c r="I6823" t="n">
        <v>0</v>
      </c>
      <c r="J6823" t="n">
        <v>0</v>
      </c>
      <c r="K6823" t="n">
        <v>0</v>
      </c>
      <c r="L6823" t="n">
        <v>0</v>
      </c>
      <c r="M6823" t="n">
        <v>0</v>
      </c>
      <c r="N6823" t="n">
        <v>0</v>
      </c>
      <c r="O6823" t="n">
        <v>0</v>
      </c>
      <c r="P6823" t="n">
        <v>0</v>
      </c>
      <c r="Q6823" t="n">
        <v>0</v>
      </c>
      <c r="R6823" s="2" t="inlineStr"/>
    </row>
    <row r="6824" ht="15" customHeight="1">
      <c r="A6824" t="inlineStr">
        <is>
          <t>A 51492-2025</t>
        </is>
      </c>
      <c r="B6824" s="1" t="n">
        <v>45950.63407407407</v>
      </c>
      <c r="C6824" s="1" t="n">
        <v>46093</v>
      </c>
      <c r="D6824" t="inlineStr">
        <is>
          <t>VÄSTERNORRLANDS LÄN</t>
        </is>
      </c>
      <c r="E6824" t="inlineStr">
        <is>
          <t>ÖRNSKÖLDSVIK</t>
        </is>
      </c>
      <c r="F6824" t="inlineStr">
        <is>
          <t>Holmen skog AB</t>
        </is>
      </c>
      <c r="G6824" t="n">
        <v>3.5</v>
      </c>
      <c r="H6824" t="n">
        <v>0</v>
      </c>
      <c r="I6824" t="n">
        <v>0</v>
      </c>
      <c r="J6824" t="n">
        <v>0</v>
      </c>
      <c r="K6824" t="n">
        <v>0</v>
      </c>
      <c r="L6824" t="n">
        <v>0</v>
      </c>
      <c r="M6824" t="n">
        <v>0</v>
      </c>
      <c r="N6824" t="n">
        <v>0</v>
      </c>
      <c r="O6824" t="n">
        <v>0</v>
      </c>
      <c r="P6824" t="n">
        <v>0</v>
      </c>
      <c r="Q6824" t="n">
        <v>0</v>
      </c>
      <c r="R6824" s="2" t="inlineStr"/>
    </row>
    <row r="6825" ht="15" customHeight="1">
      <c r="A6825" t="inlineStr">
        <is>
          <t>A 39625-2023</t>
        </is>
      </c>
      <c r="B6825" s="1" t="n">
        <v>45167.4912962963</v>
      </c>
      <c r="C6825" s="1" t="n">
        <v>46093</v>
      </c>
      <c r="D6825" t="inlineStr">
        <is>
          <t>VÄSTERNORRLANDS LÄN</t>
        </is>
      </c>
      <c r="E6825" t="inlineStr">
        <is>
          <t>ÖRNSKÖLDSVIK</t>
        </is>
      </c>
      <c r="F6825" t="inlineStr">
        <is>
          <t>Holmen skog AB</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53483-2024</t>
        </is>
      </c>
      <c r="B6826" s="1" t="n">
        <v>45611</v>
      </c>
      <c r="C6826" s="1" t="n">
        <v>46093</v>
      </c>
      <c r="D6826" t="inlineStr">
        <is>
          <t>VÄSTERNORRLANDS LÄN</t>
        </is>
      </c>
      <c r="E6826" t="inlineStr">
        <is>
          <t>SOLLEFTEÅ</t>
        </is>
      </c>
      <c r="G6826" t="n">
        <v>2.4</v>
      </c>
      <c r="H6826" t="n">
        <v>0</v>
      </c>
      <c r="I6826" t="n">
        <v>0</v>
      </c>
      <c r="J6826" t="n">
        <v>0</v>
      </c>
      <c r="K6826" t="n">
        <v>0</v>
      </c>
      <c r="L6826" t="n">
        <v>0</v>
      </c>
      <c r="M6826" t="n">
        <v>0</v>
      </c>
      <c r="N6826" t="n">
        <v>0</v>
      </c>
      <c r="O6826" t="n">
        <v>0</v>
      </c>
      <c r="P6826" t="n">
        <v>0</v>
      </c>
      <c r="Q6826" t="n">
        <v>0</v>
      </c>
      <c r="R6826" s="2" t="inlineStr"/>
    </row>
    <row r="6827" ht="15" customHeight="1">
      <c r="A6827" t="inlineStr">
        <is>
          <t>A 26084-2024</t>
        </is>
      </c>
      <c r="B6827" s="1" t="n">
        <v>45468</v>
      </c>
      <c r="C6827" s="1" t="n">
        <v>46093</v>
      </c>
      <c r="D6827" t="inlineStr">
        <is>
          <t>VÄSTERNORRLANDS LÄN</t>
        </is>
      </c>
      <c r="E6827" t="inlineStr">
        <is>
          <t>SUNDSVALL</t>
        </is>
      </c>
      <c r="G6827" t="n">
        <v>6</v>
      </c>
      <c r="H6827" t="n">
        <v>0</v>
      </c>
      <c r="I6827" t="n">
        <v>0</v>
      </c>
      <c r="J6827" t="n">
        <v>0</v>
      </c>
      <c r="K6827" t="n">
        <v>0</v>
      </c>
      <c r="L6827" t="n">
        <v>0</v>
      </c>
      <c r="M6827" t="n">
        <v>0</v>
      </c>
      <c r="N6827" t="n">
        <v>0</v>
      </c>
      <c r="O6827" t="n">
        <v>0</v>
      </c>
      <c r="P6827" t="n">
        <v>0</v>
      </c>
      <c r="Q6827" t="n">
        <v>0</v>
      </c>
      <c r="R6827" s="2" t="inlineStr"/>
    </row>
    <row r="6828" ht="15" customHeight="1">
      <c r="A6828" t="inlineStr">
        <is>
          <t>A 27092-2023</t>
        </is>
      </c>
      <c r="B6828" s="1" t="n">
        <v>45096</v>
      </c>
      <c r="C6828" s="1" t="n">
        <v>46093</v>
      </c>
      <c r="D6828" t="inlineStr">
        <is>
          <t>VÄSTERNORRLANDS LÄN</t>
        </is>
      </c>
      <c r="E6828" t="inlineStr">
        <is>
          <t>ÖRNSKÖLDSVIK</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51510-2025</t>
        </is>
      </c>
      <c r="B6829" s="1" t="n">
        <v>45950.64591435185</v>
      </c>
      <c r="C6829" s="1" t="n">
        <v>46093</v>
      </c>
      <c r="D6829" t="inlineStr">
        <is>
          <t>VÄSTERNORRLANDS LÄN</t>
        </is>
      </c>
      <c r="E6829" t="inlineStr">
        <is>
          <t>TIMRÅ</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51527-2025</t>
        </is>
      </c>
      <c r="B6830" s="1" t="n">
        <v>45950.67748842593</v>
      </c>
      <c r="C6830" s="1" t="n">
        <v>46093</v>
      </c>
      <c r="D6830" t="inlineStr">
        <is>
          <t>VÄSTERNORRLANDS LÄN</t>
        </is>
      </c>
      <c r="E6830" t="inlineStr">
        <is>
          <t>SOLLEFTEÅ</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51529-2025</t>
        </is>
      </c>
      <c r="B6831" s="1" t="n">
        <v>45950.67769675926</v>
      </c>
      <c r="C6831" s="1" t="n">
        <v>46093</v>
      </c>
      <c r="D6831" t="inlineStr">
        <is>
          <t>VÄSTERNORRLANDS LÄN</t>
        </is>
      </c>
      <c r="E6831" t="inlineStr">
        <is>
          <t>SOLLEFTEÅ</t>
        </is>
      </c>
      <c r="G6831" t="n">
        <v>6.4</v>
      </c>
      <c r="H6831" t="n">
        <v>0</v>
      </c>
      <c r="I6831" t="n">
        <v>0</v>
      </c>
      <c r="J6831" t="n">
        <v>0</v>
      </c>
      <c r="K6831" t="n">
        <v>0</v>
      </c>
      <c r="L6831" t="n">
        <v>0</v>
      </c>
      <c r="M6831" t="n">
        <v>0</v>
      </c>
      <c r="N6831" t="n">
        <v>0</v>
      </c>
      <c r="O6831" t="n">
        <v>0</v>
      </c>
      <c r="P6831" t="n">
        <v>0</v>
      </c>
      <c r="Q6831" t="n">
        <v>0</v>
      </c>
      <c r="R6831" s="2" t="inlineStr"/>
    </row>
    <row r="6832" ht="15" customHeight="1">
      <c r="A6832" t="inlineStr">
        <is>
          <t>A 4897-2025</t>
        </is>
      </c>
      <c r="B6832" s="1" t="n">
        <v>45688.67913194445</v>
      </c>
      <c r="C6832" s="1" t="n">
        <v>46093</v>
      </c>
      <c r="D6832" t="inlineStr">
        <is>
          <t>VÄSTERNORRLANDS LÄN</t>
        </is>
      </c>
      <c r="E6832" t="inlineStr">
        <is>
          <t>SOLLEFTEÅ</t>
        </is>
      </c>
      <c r="F6832" t="inlineStr">
        <is>
          <t>SCA</t>
        </is>
      </c>
      <c r="G6832" t="n">
        <v>3</v>
      </c>
      <c r="H6832" t="n">
        <v>0</v>
      </c>
      <c r="I6832" t="n">
        <v>0</v>
      </c>
      <c r="J6832" t="n">
        <v>0</v>
      </c>
      <c r="K6832" t="n">
        <v>0</v>
      </c>
      <c r="L6832" t="n">
        <v>0</v>
      </c>
      <c r="M6832" t="n">
        <v>0</v>
      </c>
      <c r="N6832" t="n">
        <v>0</v>
      </c>
      <c r="O6832" t="n">
        <v>0</v>
      </c>
      <c r="P6832" t="n">
        <v>0</v>
      </c>
      <c r="Q6832" t="n">
        <v>0</v>
      </c>
      <c r="R6832" s="2" t="inlineStr"/>
    </row>
    <row r="6833" ht="15" customHeight="1">
      <c r="A6833" t="inlineStr">
        <is>
          <t>A 51918-2025</t>
        </is>
      </c>
      <c r="B6833" s="1" t="n">
        <v>45952.48068287037</v>
      </c>
      <c r="C6833" s="1" t="n">
        <v>46093</v>
      </c>
      <c r="D6833" t="inlineStr">
        <is>
          <t>VÄSTERNORRLANDS LÄN</t>
        </is>
      </c>
      <c r="E6833" t="inlineStr">
        <is>
          <t>SOLLEFTEÅ</t>
        </is>
      </c>
      <c r="G6833" t="n">
        <v>8.699999999999999</v>
      </c>
      <c r="H6833" t="n">
        <v>0</v>
      </c>
      <c r="I6833" t="n">
        <v>0</v>
      </c>
      <c r="J6833" t="n">
        <v>0</v>
      </c>
      <c r="K6833" t="n">
        <v>0</v>
      </c>
      <c r="L6833" t="n">
        <v>0</v>
      </c>
      <c r="M6833" t="n">
        <v>0</v>
      </c>
      <c r="N6833" t="n">
        <v>0</v>
      </c>
      <c r="O6833" t="n">
        <v>0</v>
      </c>
      <c r="P6833" t="n">
        <v>0</v>
      </c>
      <c r="Q6833" t="n">
        <v>0</v>
      </c>
      <c r="R6833" s="2" t="inlineStr"/>
    </row>
    <row r="6834" ht="15" customHeight="1">
      <c r="A6834" t="inlineStr">
        <is>
          <t>A 52114-2025</t>
        </is>
      </c>
      <c r="B6834" s="1" t="n">
        <v>45952.69902777778</v>
      </c>
      <c r="C6834" s="1" t="n">
        <v>46093</v>
      </c>
      <c r="D6834" t="inlineStr">
        <is>
          <t>VÄSTERNORRLANDS LÄN</t>
        </is>
      </c>
      <c r="E6834" t="inlineStr">
        <is>
          <t>TIMRÅ</t>
        </is>
      </c>
      <c r="F6834" t="inlineStr">
        <is>
          <t>SCA</t>
        </is>
      </c>
      <c r="G6834" t="n">
        <v>4</v>
      </c>
      <c r="H6834" t="n">
        <v>0</v>
      </c>
      <c r="I6834" t="n">
        <v>0</v>
      </c>
      <c r="J6834" t="n">
        <v>0</v>
      </c>
      <c r="K6834" t="n">
        <v>0</v>
      </c>
      <c r="L6834" t="n">
        <v>0</v>
      </c>
      <c r="M6834" t="n">
        <v>0</v>
      </c>
      <c r="N6834" t="n">
        <v>0</v>
      </c>
      <c r="O6834" t="n">
        <v>0</v>
      </c>
      <c r="P6834" t="n">
        <v>0</v>
      </c>
      <c r="Q6834" t="n">
        <v>0</v>
      </c>
      <c r="R6834" s="2" t="inlineStr"/>
    </row>
    <row r="6835" ht="15" customHeight="1">
      <c r="A6835" t="inlineStr">
        <is>
          <t>A 37467-2025</t>
        </is>
      </c>
      <c r="B6835" s="1" t="n">
        <v>45877.57797453704</v>
      </c>
      <c r="C6835" s="1" t="n">
        <v>46093</v>
      </c>
      <c r="D6835" t="inlineStr">
        <is>
          <t>VÄSTERNORRLANDS LÄN</t>
        </is>
      </c>
      <c r="E6835" t="inlineStr">
        <is>
          <t>ÖRNSKÖLDSVIK</t>
        </is>
      </c>
      <c r="F6835" t="inlineStr">
        <is>
          <t>Holmen skog AB</t>
        </is>
      </c>
      <c r="G6835" t="n">
        <v>3.1</v>
      </c>
      <c r="H6835" t="n">
        <v>0</v>
      </c>
      <c r="I6835" t="n">
        <v>0</v>
      </c>
      <c r="J6835" t="n">
        <v>0</v>
      </c>
      <c r="K6835" t="n">
        <v>0</v>
      </c>
      <c r="L6835" t="n">
        <v>0</v>
      </c>
      <c r="M6835" t="n">
        <v>0</v>
      </c>
      <c r="N6835" t="n">
        <v>0</v>
      </c>
      <c r="O6835" t="n">
        <v>0</v>
      </c>
      <c r="P6835" t="n">
        <v>0</v>
      </c>
      <c r="Q6835" t="n">
        <v>0</v>
      </c>
      <c r="R6835" s="2" t="inlineStr"/>
    </row>
    <row r="6836" ht="15" customHeight="1">
      <c r="A6836" t="inlineStr">
        <is>
          <t>A 37684-2025</t>
        </is>
      </c>
      <c r="B6836" s="1" t="n">
        <v>45880.55261574074</v>
      </c>
      <c r="C6836" s="1" t="n">
        <v>46093</v>
      </c>
      <c r="D6836" t="inlineStr">
        <is>
          <t>VÄSTERNORRLANDS LÄN</t>
        </is>
      </c>
      <c r="E6836" t="inlineStr">
        <is>
          <t>TIMRÅ</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52124-2025</t>
        </is>
      </c>
      <c r="B6837" s="1" t="n">
        <v>45952.72013888889</v>
      </c>
      <c r="C6837" s="1" t="n">
        <v>46093</v>
      </c>
      <c r="D6837" t="inlineStr">
        <is>
          <t>VÄSTERNORRLANDS LÄN</t>
        </is>
      </c>
      <c r="E6837" t="inlineStr">
        <is>
          <t>TIMRÅ</t>
        </is>
      </c>
      <c r="F6837" t="inlineStr">
        <is>
          <t>SCA</t>
        </is>
      </c>
      <c r="G6837" t="n">
        <v>9</v>
      </c>
      <c r="H6837" t="n">
        <v>0</v>
      </c>
      <c r="I6837" t="n">
        <v>0</v>
      </c>
      <c r="J6837" t="n">
        <v>0</v>
      </c>
      <c r="K6837" t="n">
        <v>0</v>
      </c>
      <c r="L6837" t="n">
        <v>0</v>
      </c>
      <c r="M6837" t="n">
        <v>0</v>
      </c>
      <c r="N6837" t="n">
        <v>0</v>
      </c>
      <c r="O6837" t="n">
        <v>0</v>
      </c>
      <c r="P6837" t="n">
        <v>0</v>
      </c>
      <c r="Q6837" t="n">
        <v>0</v>
      </c>
      <c r="R6837" s="2" t="inlineStr"/>
    </row>
    <row r="6838" ht="15" customHeight="1">
      <c r="A6838" t="inlineStr">
        <is>
          <t>A 51590-2025</t>
        </is>
      </c>
      <c r="B6838" s="1" t="n">
        <v>45951.36527777778</v>
      </c>
      <c r="C6838" s="1" t="n">
        <v>46093</v>
      </c>
      <c r="D6838" t="inlineStr">
        <is>
          <t>VÄSTERNORRLANDS LÄN</t>
        </is>
      </c>
      <c r="E6838" t="inlineStr">
        <is>
          <t>TIMRÅ</t>
        </is>
      </c>
      <c r="G6838" t="n">
        <v>2.7</v>
      </c>
      <c r="H6838" t="n">
        <v>0</v>
      </c>
      <c r="I6838" t="n">
        <v>0</v>
      </c>
      <c r="J6838" t="n">
        <v>0</v>
      </c>
      <c r="K6838" t="n">
        <v>0</v>
      </c>
      <c r="L6838" t="n">
        <v>0</v>
      </c>
      <c r="M6838" t="n">
        <v>0</v>
      </c>
      <c r="N6838" t="n">
        <v>0</v>
      </c>
      <c r="O6838" t="n">
        <v>0</v>
      </c>
      <c r="P6838" t="n">
        <v>0</v>
      </c>
      <c r="Q6838" t="n">
        <v>0</v>
      </c>
      <c r="R6838" s="2" t="inlineStr"/>
    </row>
    <row r="6839" ht="15" customHeight="1">
      <c r="A6839" t="inlineStr">
        <is>
          <t>A 51770-2025</t>
        </is>
      </c>
      <c r="B6839" s="1" t="n">
        <v>45951.64315972223</v>
      </c>
      <c r="C6839" s="1" t="n">
        <v>46093</v>
      </c>
      <c r="D6839" t="inlineStr">
        <is>
          <t>VÄSTERNORRLANDS LÄN</t>
        </is>
      </c>
      <c r="E6839" t="inlineStr">
        <is>
          <t>SOLLEFTEÅ</t>
        </is>
      </c>
      <c r="G6839" t="n">
        <v>1.9</v>
      </c>
      <c r="H6839" t="n">
        <v>0</v>
      </c>
      <c r="I6839" t="n">
        <v>0</v>
      </c>
      <c r="J6839" t="n">
        <v>0</v>
      </c>
      <c r="K6839" t="n">
        <v>0</v>
      </c>
      <c r="L6839" t="n">
        <v>0</v>
      </c>
      <c r="M6839" t="n">
        <v>0</v>
      </c>
      <c r="N6839" t="n">
        <v>0</v>
      </c>
      <c r="O6839" t="n">
        <v>0</v>
      </c>
      <c r="P6839" t="n">
        <v>0</v>
      </c>
      <c r="Q6839" t="n">
        <v>0</v>
      </c>
      <c r="R6839" s="2" t="inlineStr"/>
    </row>
    <row r="6840" ht="15" customHeight="1">
      <c r="A6840" t="inlineStr">
        <is>
          <t>A 51617-2025</t>
        </is>
      </c>
      <c r="B6840" s="1" t="n">
        <v>45951.40674768519</v>
      </c>
      <c r="C6840" s="1" t="n">
        <v>46093</v>
      </c>
      <c r="D6840" t="inlineStr">
        <is>
          <t>VÄSTERNORRLANDS LÄN</t>
        </is>
      </c>
      <c r="E6840" t="inlineStr">
        <is>
          <t>SOLLEFTEÅ</t>
        </is>
      </c>
      <c r="F6840" t="inlineStr">
        <is>
          <t>SCA</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6736-2025</t>
        </is>
      </c>
      <c r="B6841" s="1" t="n">
        <v>45700.59442129629</v>
      </c>
      <c r="C6841" s="1" t="n">
        <v>46093</v>
      </c>
      <c r="D6841" t="inlineStr">
        <is>
          <t>VÄSTERNORRLANDS LÄN</t>
        </is>
      </c>
      <c r="E6841" t="inlineStr">
        <is>
          <t>SOLLEFTEÅ</t>
        </is>
      </c>
      <c r="F6841" t="inlineStr">
        <is>
          <t>SCA</t>
        </is>
      </c>
      <c r="G6841" t="n">
        <v>0.2</v>
      </c>
      <c r="H6841" t="n">
        <v>0</v>
      </c>
      <c r="I6841" t="n">
        <v>0</v>
      </c>
      <c r="J6841" t="n">
        <v>0</v>
      </c>
      <c r="K6841" t="n">
        <v>0</v>
      </c>
      <c r="L6841" t="n">
        <v>0</v>
      </c>
      <c r="M6841" t="n">
        <v>0</v>
      </c>
      <c r="N6841" t="n">
        <v>0</v>
      </c>
      <c r="O6841" t="n">
        <v>0</v>
      </c>
      <c r="P6841" t="n">
        <v>0</v>
      </c>
      <c r="Q6841" t="n">
        <v>0</v>
      </c>
      <c r="R6841" s="2" t="inlineStr"/>
    </row>
    <row r="6842" ht="15" customHeight="1">
      <c r="A6842" t="inlineStr">
        <is>
          <t>A 52049-2025</t>
        </is>
      </c>
      <c r="B6842" s="1" t="n">
        <v>45952.61918981482</v>
      </c>
      <c r="C6842" s="1" t="n">
        <v>46093</v>
      </c>
      <c r="D6842" t="inlineStr">
        <is>
          <t>VÄSTERNORRLANDS LÄN</t>
        </is>
      </c>
      <c r="E6842" t="inlineStr">
        <is>
          <t>KRAMFORS</t>
        </is>
      </c>
      <c r="G6842" t="n">
        <v>5.2</v>
      </c>
      <c r="H6842" t="n">
        <v>0</v>
      </c>
      <c r="I6842" t="n">
        <v>0</v>
      </c>
      <c r="J6842" t="n">
        <v>0</v>
      </c>
      <c r="K6842" t="n">
        <v>0</v>
      </c>
      <c r="L6842" t="n">
        <v>0</v>
      </c>
      <c r="M6842" t="n">
        <v>0</v>
      </c>
      <c r="N6842" t="n">
        <v>0</v>
      </c>
      <c r="O6842" t="n">
        <v>0</v>
      </c>
      <c r="P6842" t="n">
        <v>0</v>
      </c>
      <c r="Q6842" t="n">
        <v>0</v>
      </c>
      <c r="R6842" s="2" t="inlineStr"/>
    </row>
    <row r="6843" ht="15" customHeight="1">
      <c r="A6843" t="inlineStr">
        <is>
          <t>A 52054-2025</t>
        </is>
      </c>
      <c r="B6843" s="1" t="n">
        <v>45952.6281712963</v>
      </c>
      <c r="C6843" s="1" t="n">
        <v>46093</v>
      </c>
      <c r="D6843" t="inlineStr">
        <is>
          <t>VÄSTERNORRLANDS LÄN</t>
        </is>
      </c>
      <c r="E6843" t="inlineStr">
        <is>
          <t>KRAMFORS</t>
        </is>
      </c>
      <c r="G6843" t="n">
        <v>6.6</v>
      </c>
      <c r="H6843" t="n">
        <v>0</v>
      </c>
      <c r="I6843" t="n">
        <v>0</v>
      </c>
      <c r="J6843" t="n">
        <v>0</v>
      </c>
      <c r="K6843" t="n">
        <v>0</v>
      </c>
      <c r="L6843" t="n">
        <v>0</v>
      </c>
      <c r="M6843" t="n">
        <v>0</v>
      </c>
      <c r="N6843" t="n">
        <v>0</v>
      </c>
      <c r="O6843" t="n">
        <v>0</v>
      </c>
      <c r="P6843" t="n">
        <v>0</v>
      </c>
      <c r="Q6843" t="n">
        <v>0</v>
      </c>
      <c r="R6843" s="2" t="inlineStr"/>
    </row>
    <row r="6844" ht="15" customHeight="1">
      <c r="A6844" t="inlineStr">
        <is>
          <t>A 52078-2025</t>
        </is>
      </c>
      <c r="B6844" s="1" t="n">
        <v>45952.65828703704</v>
      </c>
      <c r="C6844" s="1" t="n">
        <v>46093</v>
      </c>
      <c r="D6844" t="inlineStr">
        <is>
          <t>VÄSTERNORRLANDS LÄN</t>
        </is>
      </c>
      <c r="E6844" t="inlineStr">
        <is>
          <t>SOLLEFTEÅ</t>
        </is>
      </c>
      <c r="G6844" t="n">
        <v>4</v>
      </c>
      <c r="H6844" t="n">
        <v>0</v>
      </c>
      <c r="I6844" t="n">
        <v>0</v>
      </c>
      <c r="J6844" t="n">
        <v>0</v>
      </c>
      <c r="K6844" t="n">
        <v>0</v>
      </c>
      <c r="L6844" t="n">
        <v>0</v>
      </c>
      <c r="M6844" t="n">
        <v>0</v>
      </c>
      <c r="N6844" t="n">
        <v>0</v>
      </c>
      <c r="O6844" t="n">
        <v>0</v>
      </c>
      <c r="P6844" t="n">
        <v>0</v>
      </c>
      <c r="Q6844" t="n">
        <v>0</v>
      </c>
      <c r="R6844" s="2" t="inlineStr"/>
    </row>
    <row r="6845" ht="15" customHeight="1">
      <c r="A6845" t="inlineStr">
        <is>
          <t>A 52080-2025</t>
        </is>
      </c>
      <c r="B6845" s="1" t="n">
        <v>45952.66023148148</v>
      </c>
      <c r="C6845" s="1" t="n">
        <v>46093</v>
      </c>
      <c r="D6845" t="inlineStr">
        <is>
          <t>VÄSTERNORRLANDS LÄN</t>
        </is>
      </c>
      <c r="E6845" t="inlineStr">
        <is>
          <t>KRAMFORS</t>
        </is>
      </c>
      <c r="G6845" t="n">
        <v>5.8</v>
      </c>
      <c r="H6845" t="n">
        <v>0</v>
      </c>
      <c r="I6845" t="n">
        <v>0</v>
      </c>
      <c r="J6845" t="n">
        <v>0</v>
      </c>
      <c r="K6845" t="n">
        <v>0</v>
      </c>
      <c r="L6845" t="n">
        <v>0</v>
      </c>
      <c r="M6845" t="n">
        <v>0</v>
      </c>
      <c r="N6845" t="n">
        <v>0</v>
      </c>
      <c r="O6845" t="n">
        <v>0</v>
      </c>
      <c r="P6845" t="n">
        <v>0</v>
      </c>
      <c r="Q6845" t="n">
        <v>0</v>
      </c>
      <c r="R6845" s="2" t="inlineStr"/>
    </row>
    <row r="6846" ht="15" customHeight="1">
      <c r="A6846" t="inlineStr">
        <is>
          <t>A 19983-2023</t>
        </is>
      </c>
      <c r="B6846" s="1" t="n">
        <v>45054.60201388889</v>
      </c>
      <c r="C6846" s="1" t="n">
        <v>46093</v>
      </c>
      <c r="D6846" t="inlineStr">
        <is>
          <t>VÄSTERNORRLANDS LÄN</t>
        </is>
      </c>
      <c r="E6846" t="inlineStr">
        <is>
          <t>ÖRNSKÖLDSVIK</t>
        </is>
      </c>
      <c r="F6846" t="inlineStr">
        <is>
          <t>Holmen skog AB</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51792-2025</t>
        </is>
      </c>
      <c r="B6847" s="1" t="n">
        <v>45951.6984837963</v>
      </c>
      <c r="C6847" s="1" t="n">
        <v>46093</v>
      </c>
      <c r="D6847" t="inlineStr">
        <is>
          <t>VÄSTERNORRLANDS LÄN</t>
        </is>
      </c>
      <c r="E6847" t="inlineStr">
        <is>
          <t>SOLLEFTEÅ</t>
        </is>
      </c>
      <c r="F6847" t="inlineStr">
        <is>
          <t>SCA</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43370-2021</t>
        </is>
      </c>
      <c r="B6848" s="1" t="n">
        <v>44432</v>
      </c>
      <c r="C6848" s="1" t="n">
        <v>46093</v>
      </c>
      <c r="D6848" t="inlineStr">
        <is>
          <t>VÄSTERNORRLANDS LÄN</t>
        </is>
      </c>
      <c r="E6848" t="inlineStr">
        <is>
          <t>ÖRNSKÖLDSVIK</t>
        </is>
      </c>
      <c r="G6848" t="n">
        <v>3.9</v>
      </c>
      <c r="H6848" t="n">
        <v>0</v>
      </c>
      <c r="I6848" t="n">
        <v>0</v>
      </c>
      <c r="J6848" t="n">
        <v>0</v>
      </c>
      <c r="K6848" t="n">
        <v>0</v>
      </c>
      <c r="L6848" t="n">
        <v>0</v>
      </c>
      <c r="M6848" t="n">
        <v>0</v>
      </c>
      <c r="N6848" t="n">
        <v>0</v>
      </c>
      <c r="O6848" t="n">
        <v>0</v>
      </c>
      <c r="P6848" t="n">
        <v>0</v>
      </c>
      <c r="Q6848" t="n">
        <v>0</v>
      </c>
      <c r="R6848" s="2" t="inlineStr"/>
    </row>
    <row r="6849" ht="15" customHeight="1">
      <c r="A6849" t="inlineStr">
        <is>
          <t>A 51658-2025</t>
        </is>
      </c>
      <c r="B6849" s="1" t="n">
        <v>45951.4737962963</v>
      </c>
      <c r="C6849" s="1" t="n">
        <v>46093</v>
      </c>
      <c r="D6849" t="inlineStr">
        <is>
          <t>VÄSTERNORRLANDS LÄN</t>
        </is>
      </c>
      <c r="E6849" t="inlineStr">
        <is>
          <t>ÖRNSKÖLDSVIK</t>
        </is>
      </c>
      <c r="F6849" t="inlineStr">
        <is>
          <t>Holmen skog AB</t>
        </is>
      </c>
      <c r="G6849" t="n">
        <v>2.7</v>
      </c>
      <c r="H6849" t="n">
        <v>0</v>
      </c>
      <c r="I6849" t="n">
        <v>0</v>
      </c>
      <c r="J6849" t="n">
        <v>0</v>
      </c>
      <c r="K6849" t="n">
        <v>0</v>
      </c>
      <c r="L6849" t="n">
        <v>0</v>
      </c>
      <c r="M6849" t="n">
        <v>0</v>
      </c>
      <c r="N6849" t="n">
        <v>0</v>
      </c>
      <c r="O6849" t="n">
        <v>0</v>
      </c>
      <c r="P6849" t="n">
        <v>0</v>
      </c>
      <c r="Q6849" t="n">
        <v>0</v>
      </c>
      <c r="R6849" s="2" t="inlineStr"/>
    </row>
    <row r="6850" ht="15" customHeight="1">
      <c r="A6850" t="inlineStr">
        <is>
          <t>A 37577-2025</t>
        </is>
      </c>
      <c r="B6850" s="1" t="n">
        <v>45880.38368055555</v>
      </c>
      <c r="C6850" s="1" t="n">
        <v>46093</v>
      </c>
      <c r="D6850" t="inlineStr">
        <is>
          <t>VÄSTERNORRLANDS LÄN</t>
        </is>
      </c>
      <c r="E6850" t="inlineStr">
        <is>
          <t>SUNDSVALL</t>
        </is>
      </c>
      <c r="F6850" t="inlineStr">
        <is>
          <t>Holmen skog AB</t>
        </is>
      </c>
      <c r="G6850" t="n">
        <v>5.9</v>
      </c>
      <c r="H6850" t="n">
        <v>0</v>
      </c>
      <c r="I6850" t="n">
        <v>0</v>
      </c>
      <c r="J6850" t="n">
        <v>0</v>
      </c>
      <c r="K6850" t="n">
        <v>0</v>
      </c>
      <c r="L6850" t="n">
        <v>0</v>
      </c>
      <c r="M6850" t="n">
        <v>0</v>
      </c>
      <c r="N6850" t="n">
        <v>0</v>
      </c>
      <c r="O6850" t="n">
        <v>0</v>
      </c>
      <c r="P6850" t="n">
        <v>0</v>
      </c>
      <c r="Q6850" t="n">
        <v>0</v>
      </c>
      <c r="R6850" s="2" t="inlineStr"/>
    </row>
    <row r="6851" ht="15" customHeight="1">
      <c r="A6851" t="inlineStr">
        <is>
          <t>A 37579-2025</t>
        </is>
      </c>
      <c r="B6851" s="1" t="n">
        <v>45880.38383101852</v>
      </c>
      <c r="C6851" s="1" t="n">
        <v>46093</v>
      </c>
      <c r="D6851" t="inlineStr">
        <is>
          <t>VÄSTERNORRLANDS LÄN</t>
        </is>
      </c>
      <c r="E6851" t="inlineStr">
        <is>
          <t>ÖRNSKÖLDSVIK</t>
        </is>
      </c>
      <c r="F6851" t="inlineStr">
        <is>
          <t>Holmen skog AB</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51751-2025</t>
        </is>
      </c>
      <c r="B6852" s="1" t="n">
        <v>45951</v>
      </c>
      <c r="C6852" s="1" t="n">
        <v>46093</v>
      </c>
      <c r="D6852" t="inlineStr">
        <is>
          <t>VÄSTERNORRLANDS LÄN</t>
        </is>
      </c>
      <c r="E6852" t="inlineStr">
        <is>
          <t>ÖRNSKÖLDSVIK</t>
        </is>
      </c>
      <c r="G6852" t="n">
        <v>2.2</v>
      </c>
      <c r="H6852" t="n">
        <v>0</v>
      </c>
      <c r="I6852" t="n">
        <v>0</v>
      </c>
      <c r="J6852" t="n">
        <v>0</v>
      </c>
      <c r="K6852" t="n">
        <v>0</v>
      </c>
      <c r="L6852" t="n">
        <v>0</v>
      </c>
      <c r="M6852" t="n">
        <v>0</v>
      </c>
      <c r="N6852" t="n">
        <v>0</v>
      </c>
      <c r="O6852" t="n">
        <v>0</v>
      </c>
      <c r="P6852" t="n">
        <v>0</v>
      </c>
      <c r="Q6852" t="n">
        <v>0</v>
      </c>
      <c r="R6852" s="2" t="inlineStr"/>
    </row>
    <row r="6853" ht="15" customHeight="1">
      <c r="A6853" t="inlineStr">
        <is>
          <t>A 27501-2025</t>
        </is>
      </c>
      <c r="B6853" s="1" t="n">
        <v>45813.40934027778</v>
      </c>
      <c r="C6853" s="1" t="n">
        <v>46093</v>
      </c>
      <c r="D6853" t="inlineStr">
        <is>
          <t>VÄSTERNORRLANDS LÄN</t>
        </is>
      </c>
      <c r="E6853" t="inlineStr">
        <is>
          <t>ÖRNSKÖLDSVIK</t>
        </is>
      </c>
      <c r="G6853" t="n">
        <v>5.5</v>
      </c>
      <c r="H6853" t="n">
        <v>0</v>
      </c>
      <c r="I6853" t="n">
        <v>0</v>
      </c>
      <c r="J6853" t="n">
        <v>0</v>
      </c>
      <c r="K6853" t="n">
        <v>0</v>
      </c>
      <c r="L6853" t="n">
        <v>0</v>
      </c>
      <c r="M6853" t="n">
        <v>0</v>
      </c>
      <c r="N6853" t="n">
        <v>0</v>
      </c>
      <c r="O6853" t="n">
        <v>0</v>
      </c>
      <c r="P6853" t="n">
        <v>0</v>
      </c>
      <c r="Q6853" t="n">
        <v>0</v>
      </c>
      <c r="R6853" s="2" t="inlineStr"/>
    </row>
    <row r="6854" ht="15" customHeight="1">
      <c r="A6854" t="inlineStr">
        <is>
          <t>A 37598-2025</t>
        </is>
      </c>
      <c r="B6854" s="1" t="n">
        <v>45880.41893518518</v>
      </c>
      <c r="C6854" s="1" t="n">
        <v>46093</v>
      </c>
      <c r="D6854" t="inlineStr">
        <is>
          <t>VÄSTERNORRLANDS LÄN</t>
        </is>
      </c>
      <c r="E6854" t="inlineStr">
        <is>
          <t>SUNDSVALL</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52023-2025</t>
        </is>
      </c>
      <c r="B6855" s="1" t="n">
        <v>45952.60252314815</v>
      </c>
      <c r="C6855" s="1" t="n">
        <v>46093</v>
      </c>
      <c r="D6855" t="inlineStr">
        <is>
          <t>VÄSTERNORRLANDS LÄN</t>
        </is>
      </c>
      <c r="E6855" t="inlineStr">
        <is>
          <t>SOLLEFTEÅ</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12107-2023</t>
        </is>
      </c>
      <c r="B6856" s="1" t="n">
        <v>44995</v>
      </c>
      <c r="C6856" s="1" t="n">
        <v>46093</v>
      </c>
      <c r="D6856" t="inlineStr">
        <is>
          <t>VÄSTERNORRLANDS LÄN</t>
        </is>
      </c>
      <c r="E6856" t="inlineStr">
        <is>
          <t>SOLLEFTEÅ</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51870-2025</t>
        </is>
      </c>
      <c r="B6857" s="1" t="n">
        <v>45952.38590277778</v>
      </c>
      <c r="C6857" s="1" t="n">
        <v>46093</v>
      </c>
      <c r="D6857" t="inlineStr">
        <is>
          <t>VÄSTERNORRLANDS LÄN</t>
        </is>
      </c>
      <c r="E6857" t="inlineStr">
        <is>
          <t>SOLLEFTEÅ</t>
        </is>
      </c>
      <c r="F6857" t="inlineStr">
        <is>
          <t>SCA</t>
        </is>
      </c>
      <c r="G6857" t="n">
        <v>2.6</v>
      </c>
      <c r="H6857" t="n">
        <v>0</v>
      </c>
      <c r="I6857" t="n">
        <v>0</v>
      </c>
      <c r="J6857" t="n">
        <v>0</v>
      </c>
      <c r="K6857" t="n">
        <v>0</v>
      </c>
      <c r="L6857" t="n">
        <v>0</v>
      </c>
      <c r="M6857" t="n">
        <v>0</v>
      </c>
      <c r="N6857" t="n">
        <v>0</v>
      </c>
      <c r="O6857" t="n">
        <v>0</v>
      </c>
      <c r="P6857" t="n">
        <v>0</v>
      </c>
      <c r="Q6857" t="n">
        <v>0</v>
      </c>
      <c r="R6857" s="2" t="inlineStr"/>
    </row>
    <row r="6858" ht="15" customHeight="1">
      <c r="A6858" t="inlineStr">
        <is>
          <t>A 52120-2025</t>
        </is>
      </c>
      <c r="B6858" s="1" t="n">
        <v>45952</v>
      </c>
      <c r="C6858" s="1" t="n">
        <v>46093</v>
      </c>
      <c r="D6858" t="inlineStr">
        <is>
          <t>VÄSTERNORRLANDS LÄN</t>
        </is>
      </c>
      <c r="E6858" t="inlineStr">
        <is>
          <t>KRAMFORS</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51846-2025</t>
        </is>
      </c>
      <c r="B6859" s="1" t="n">
        <v>45952.34964120371</v>
      </c>
      <c r="C6859" s="1" t="n">
        <v>46093</v>
      </c>
      <c r="D6859" t="inlineStr">
        <is>
          <t>VÄSTERNORRLANDS LÄN</t>
        </is>
      </c>
      <c r="E6859" t="inlineStr">
        <is>
          <t>SUNDSVALL</t>
        </is>
      </c>
      <c r="G6859" t="n">
        <v>0.3</v>
      </c>
      <c r="H6859" t="n">
        <v>0</v>
      </c>
      <c r="I6859" t="n">
        <v>0</v>
      </c>
      <c r="J6859" t="n">
        <v>0</v>
      </c>
      <c r="K6859" t="n">
        <v>0</v>
      </c>
      <c r="L6859" t="n">
        <v>0</v>
      </c>
      <c r="M6859" t="n">
        <v>0</v>
      </c>
      <c r="N6859" t="n">
        <v>0</v>
      </c>
      <c r="O6859" t="n">
        <v>0</v>
      </c>
      <c r="P6859" t="n">
        <v>0</v>
      </c>
      <c r="Q6859" t="n">
        <v>0</v>
      </c>
      <c r="R6859" s="2" t="inlineStr"/>
    </row>
    <row r="6860" ht="15" customHeight="1">
      <c r="A6860" t="inlineStr">
        <is>
          <t>A 52352-2025</t>
        </is>
      </c>
      <c r="B6860" s="1" t="n">
        <v>45952</v>
      </c>
      <c r="C6860" s="1" t="n">
        <v>46093</v>
      </c>
      <c r="D6860" t="inlineStr">
        <is>
          <t>VÄSTERNORRLANDS LÄN</t>
        </is>
      </c>
      <c r="E6860" t="inlineStr">
        <is>
          <t>HÄRNÖSAND</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52354-2025</t>
        </is>
      </c>
      <c r="B6861" s="1" t="n">
        <v>45952</v>
      </c>
      <c r="C6861" s="1" t="n">
        <v>46093</v>
      </c>
      <c r="D6861" t="inlineStr">
        <is>
          <t>VÄSTERNORRLANDS LÄN</t>
        </is>
      </c>
      <c r="E6861" t="inlineStr">
        <is>
          <t>HÄRNÖSAND</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58165-2022</t>
        </is>
      </c>
      <c r="B6862" s="1" t="n">
        <v>44900</v>
      </c>
      <c r="C6862" s="1" t="n">
        <v>46093</v>
      </c>
      <c r="D6862" t="inlineStr">
        <is>
          <t>VÄSTERNORRLANDS LÄN</t>
        </is>
      </c>
      <c r="E6862" t="inlineStr">
        <is>
          <t>SUNDSVALL</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53997-2024</t>
        </is>
      </c>
      <c r="B6863" s="1" t="n">
        <v>45616.3599537037</v>
      </c>
      <c r="C6863" s="1" t="n">
        <v>46093</v>
      </c>
      <c r="D6863" t="inlineStr">
        <is>
          <t>VÄSTERNORRLANDS LÄN</t>
        </is>
      </c>
      <c r="E6863" t="inlineStr">
        <is>
          <t>ÖRNSKÖLDSVIK</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52057-2025</t>
        </is>
      </c>
      <c r="B6864" s="1" t="n">
        <v>45952.63260416667</v>
      </c>
      <c r="C6864" s="1" t="n">
        <v>46093</v>
      </c>
      <c r="D6864" t="inlineStr">
        <is>
          <t>VÄSTERNORRLANDS LÄN</t>
        </is>
      </c>
      <c r="E6864" t="inlineStr">
        <is>
          <t>KRAMFORS</t>
        </is>
      </c>
      <c r="G6864" t="n">
        <v>6.6</v>
      </c>
      <c r="H6864" t="n">
        <v>0</v>
      </c>
      <c r="I6864" t="n">
        <v>0</v>
      </c>
      <c r="J6864" t="n">
        <v>0</v>
      </c>
      <c r="K6864" t="n">
        <v>0</v>
      </c>
      <c r="L6864" t="n">
        <v>0</v>
      </c>
      <c r="M6864" t="n">
        <v>0</v>
      </c>
      <c r="N6864" t="n">
        <v>0</v>
      </c>
      <c r="O6864" t="n">
        <v>0</v>
      </c>
      <c r="P6864" t="n">
        <v>0</v>
      </c>
      <c r="Q6864" t="n">
        <v>0</v>
      </c>
      <c r="R6864" s="2" t="inlineStr"/>
    </row>
    <row r="6865" ht="15" customHeight="1">
      <c r="A6865" t="inlineStr">
        <is>
          <t>A 52068-2025</t>
        </is>
      </c>
      <c r="B6865" s="1" t="n">
        <v>45952.64356481482</v>
      </c>
      <c r="C6865" s="1" t="n">
        <v>46093</v>
      </c>
      <c r="D6865" t="inlineStr">
        <is>
          <t>VÄSTERNORRLANDS LÄN</t>
        </is>
      </c>
      <c r="E6865" t="inlineStr">
        <is>
          <t>ÖRNSKÖLDSVIK</t>
        </is>
      </c>
      <c r="G6865" t="n">
        <v>48</v>
      </c>
      <c r="H6865" t="n">
        <v>0</v>
      </c>
      <c r="I6865" t="n">
        <v>0</v>
      </c>
      <c r="J6865" t="n">
        <v>0</v>
      </c>
      <c r="K6865" t="n">
        <v>0</v>
      </c>
      <c r="L6865" t="n">
        <v>0</v>
      </c>
      <c r="M6865" t="n">
        <v>0</v>
      </c>
      <c r="N6865" t="n">
        <v>0</v>
      </c>
      <c r="O6865" t="n">
        <v>0</v>
      </c>
      <c r="P6865" t="n">
        <v>0</v>
      </c>
      <c r="Q6865" t="n">
        <v>0</v>
      </c>
      <c r="R6865" s="2" t="inlineStr"/>
    </row>
    <row r="6866" ht="15" customHeight="1">
      <c r="A6866" t="inlineStr">
        <is>
          <t>A 52071-2025</t>
        </is>
      </c>
      <c r="B6866" s="1" t="n">
        <v>45952.64829861111</v>
      </c>
      <c r="C6866" s="1" t="n">
        <v>46093</v>
      </c>
      <c r="D6866" t="inlineStr">
        <is>
          <t>VÄSTERNORRLANDS LÄN</t>
        </is>
      </c>
      <c r="E6866" t="inlineStr">
        <is>
          <t>ÖRNSKÖLDSVIK</t>
        </is>
      </c>
      <c r="G6866" t="n">
        <v>7.9</v>
      </c>
      <c r="H6866" t="n">
        <v>0</v>
      </c>
      <c r="I6866" t="n">
        <v>0</v>
      </c>
      <c r="J6866" t="n">
        <v>0</v>
      </c>
      <c r="K6866" t="n">
        <v>0</v>
      </c>
      <c r="L6866" t="n">
        <v>0</v>
      </c>
      <c r="M6866" t="n">
        <v>0</v>
      </c>
      <c r="N6866" t="n">
        <v>0</v>
      </c>
      <c r="O6866" t="n">
        <v>0</v>
      </c>
      <c r="P6866" t="n">
        <v>0</v>
      </c>
      <c r="Q6866" t="n">
        <v>0</v>
      </c>
      <c r="R6866" s="2" t="inlineStr"/>
    </row>
    <row r="6867" ht="15" customHeight="1">
      <c r="A6867" t="inlineStr">
        <is>
          <t>A 64638-2021</t>
        </is>
      </c>
      <c r="B6867" s="1" t="n">
        <v>44511</v>
      </c>
      <c r="C6867" s="1" t="n">
        <v>46093</v>
      </c>
      <c r="D6867" t="inlineStr">
        <is>
          <t>VÄSTERNORRLANDS LÄN</t>
        </is>
      </c>
      <c r="E6867" t="inlineStr">
        <is>
          <t>SOLLEFTEÅ</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441-2024</t>
        </is>
      </c>
      <c r="B6868" s="1" t="n">
        <v>45296.60201388889</v>
      </c>
      <c r="C6868" s="1" t="n">
        <v>46093</v>
      </c>
      <c r="D6868" t="inlineStr">
        <is>
          <t>VÄSTERNORRLANDS LÄN</t>
        </is>
      </c>
      <c r="E6868" t="inlineStr">
        <is>
          <t>ÖRNSKÖLDSVIK</t>
        </is>
      </c>
      <c r="F6868" t="inlineStr">
        <is>
          <t>Holmen skog AB</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52092-2025</t>
        </is>
      </c>
      <c r="B6869" s="1" t="n">
        <v>45952.67827546296</v>
      </c>
      <c r="C6869" s="1" t="n">
        <v>46093</v>
      </c>
      <c r="D6869" t="inlineStr">
        <is>
          <t>VÄSTERNORRLANDS LÄN</t>
        </is>
      </c>
      <c r="E6869" t="inlineStr">
        <is>
          <t>SOLLEFTEÅ</t>
        </is>
      </c>
      <c r="F6869" t="inlineStr">
        <is>
          <t>SCA</t>
        </is>
      </c>
      <c r="G6869" t="n">
        <v>2.9</v>
      </c>
      <c r="H6869" t="n">
        <v>0</v>
      </c>
      <c r="I6869" t="n">
        <v>0</v>
      </c>
      <c r="J6869" t="n">
        <v>0</v>
      </c>
      <c r="K6869" t="n">
        <v>0</v>
      </c>
      <c r="L6869" t="n">
        <v>0</v>
      </c>
      <c r="M6869" t="n">
        <v>0</v>
      </c>
      <c r="N6869" t="n">
        <v>0</v>
      </c>
      <c r="O6869" t="n">
        <v>0</v>
      </c>
      <c r="P6869" t="n">
        <v>0</v>
      </c>
      <c r="Q6869" t="n">
        <v>0</v>
      </c>
      <c r="R6869" s="2" t="inlineStr"/>
    </row>
    <row r="6870" ht="15" customHeight="1">
      <c r="A6870" t="inlineStr">
        <is>
          <t>A 52121-2025</t>
        </is>
      </c>
      <c r="B6870" s="1" t="n">
        <v>45952.71921296296</v>
      </c>
      <c r="C6870" s="1" t="n">
        <v>46093</v>
      </c>
      <c r="D6870" t="inlineStr">
        <is>
          <t>VÄSTERNORRLANDS LÄN</t>
        </is>
      </c>
      <c r="E6870" t="inlineStr">
        <is>
          <t>ÅNGE</t>
        </is>
      </c>
      <c r="F6870" t="inlineStr">
        <is>
          <t>SCA</t>
        </is>
      </c>
      <c r="G6870" t="n">
        <v>0.4</v>
      </c>
      <c r="H6870" t="n">
        <v>0</v>
      </c>
      <c r="I6870" t="n">
        <v>0</v>
      </c>
      <c r="J6870" t="n">
        <v>0</v>
      </c>
      <c r="K6870" t="n">
        <v>0</v>
      </c>
      <c r="L6870" t="n">
        <v>0</v>
      </c>
      <c r="M6870" t="n">
        <v>0</v>
      </c>
      <c r="N6870" t="n">
        <v>0</v>
      </c>
      <c r="O6870" t="n">
        <v>0</v>
      </c>
      <c r="P6870" t="n">
        <v>0</v>
      </c>
      <c r="Q6870" t="n">
        <v>0</v>
      </c>
      <c r="R6870" s="2" t="inlineStr"/>
    </row>
    <row r="6871" ht="15" customHeight="1">
      <c r="A6871" t="inlineStr">
        <is>
          <t>A 20010-2021</t>
        </is>
      </c>
      <c r="B6871" s="1" t="n">
        <v>44313</v>
      </c>
      <c r="C6871" s="1" t="n">
        <v>46093</v>
      </c>
      <c r="D6871" t="inlineStr">
        <is>
          <t>VÄSTERNORRLANDS LÄN</t>
        </is>
      </c>
      <c r="E6871" t="inlineStr">
        <is>
          <t>SUNDSVALL</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44118-2024</t>
        </is>
      </c>
      <c r="B6872" s="1" t="n">
        <v>45572.63793981481</v>
      </c>
      <c r="C6872" s="1" t="n">
        <v>46093</v>
      </c>
      <c r="D6872" t="inlineStr">
        <is>
          <t>VÄSTERNORRLANDS LÄN</t>
        </is>
      </c>
      <c r="E6872" t="inlineStr">
        <is>
          <t>ÖRNSKÖLDSVIK</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67063-2021</t>
        </is>
      </c>
      <c r="B6873" s="1" t="n">
        <v>44522.92043981481</v>
      </c>
      <c r="C6873" s="1" t="n">
        <v>46093</v>
      </c>
      <c r="D6873" t="inlineStr">
        <is>
          <t>VÄSTERNORRLANDS LÄN</t>
        </is>
      </c>
      <c r="E6873" t="inlineStr">
        <is>
          <t>TIMRÅ</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43168-2024</t>
        </is>
      </c>
      <c r="B6874" s="1" t="n">
        <v>45567.656875</v>
      </c>
      <c r="C6874" s="1" t="n">
        <v>46093</v>
      </c>
      <c r="D6874" t="inlineStr">
        <is>
          <t>VÄSTERNORRLANDS LÄN</t>
        </is>
      </c>
      <c r="E6874" t="inlineStr">
        <is>
          <t>SUNDSVALL</t>
        </is>
      </c>
      <c r="F6874" t="inlineStr">
        <is>
          <t>SCA</t>
        </is>
      </c>
      <c r="G6874" t="n">
        <v>3.7</v>
      </c>
      <c r="H6874" t="n">
        <v>0</v>
      </c>
      <c r="I6874" t="n">
        <v>0</v>
      </c>
      <c r="J6874" t="n">
        <v>0</v>
      </c>
      <c r="K6874" t="n">
        <v>0</v>
      </c>
      <c r="L6874" t="n">
        <v>0</v>
      </c>
      <c r="M6874" t="n">
        <v>0</v>
      </c>
      <c r="N6874" t="n">
        <v>0</v>
      </c>
      <c r="O6874" t="n">
        <v>0</v>
      </c>
      <c r="P6874" t="n">
        <v>0</v>
      </c>
      <c r="Q6874" t="n">
        <v>0</v>
      </c>
      <c r="R6874" s="2" t="inlineStr"/>
    </row>
    <row r="6875" ht="15" customHeight="1">
      <c r="A6875" t="inlineStr">
        <is>
          <t>A 52047-2025</t>
        </is>
      </c>
      <c r="B6875" s="1" t="n">
        <v>45952.6171412037</v>
      </c>
      <c r="C6875" s="1" t="n">
        <v>46093</v>
      </c>
      <c r="D6875" t="inlineStr">
        <is>
          <t>VÄSTERNORRLANDS LÄN</t>
        </is>
      </c>
      <c r="E6875" t="inlineStr">
        <is>
          <t>ÖRNSKÖLDSVIK</t>
        </is>
      </c>
      <c r="F6875" t="inlineStr">
        <is>
          <t>Holmen skog AB</t>
        </is>
      </c>
      <c r="G6875" t="n">
        <v>2.3</v>
      </c>
      <c r="H6875" t="n">
        <v>0</v>
      </c>
      <c r="I6875" t="n">
        <v>0</v>
      </c>
      <c r="J6875" t="n">
        <v>0</v>
      </c>
      <c r="K6875" t="n">
        <v>0</v>
      </c>
      <c r="L6875" t="n">
        <v>0</v>
      </c>
      <c r="M6875" t="n">
        <v>0</v>
      </c>
      <c r="N6875" t="n">
        <v>0</v>
      </c>
      <c r="O6875" t="n">
        <v>0</v>
      </c>
      <c r="P6875" t="n">
        <v>0</v>
      </c>
      <c r="Q6875" t="n">
        <v>0</v>
      </c>
      <c r="R6875" s="2" t="inlineStr"/>
    </row>
    <row r="6876" ht="15" customHeight="1">
      <c r="A6876" t="inlineStr">
        <is>
          <t>A 51645-2025</t>
        </is>
      </c>
      <c r="B6876" s="1" t="n">
        <v>45951.44699074074</v>
      </c>
      <c r="C6876" s="1" t="n">
        <v>46093</v>
      </c>
      <c r="D6876" t="inlineStr">
        <is>
          <t>VÄSTERNORRLANDS LÄN</t>
        </is>
      </c>
      <c r="E6876" t="inlineStr">
        <is>
          <t>ÖRNSKÖLDSVIK</t>
        </is>
      </c>
      <c r="F6876" t="inlineStr">
        <is>
          <t>Holmen skog AB</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51731-2025</t>
        </is>
      </c>
      <c r="B6877" s="1" t="n">
        <v>45951.59444444445</v>
      </c>
      <c r="C6877" s="1" t="n">
        <v>46093</v>
      </c>
      <c r="D6877" t="inlineStr">
        <is>
          <t>VÄSTERNORRLANDS LÄN</t>
        </is>
      </c>
      <c r="E6877" t="inlineStr">
        <is>
          <t>SUNDSVALL</t>
        </is>
      </c>
      <c r="F6877" t="inlineStr">
        <is>
          <t>SCA</t>
        </is>
      </c>
      <c r="G6877" t="n">
        <v>7.2</v>
      </c>
      <c r="H6877" t="n">
        <v>0</v>
      </c>
      <c r="I6877" t="n">
        <v>0</v>
      </c>
      <c r="J6877" t="n">
        <v>0</v>
      </c>
      <c r="K6877" t="n">
        <v>0</v>
      </c>
      <c r="L6877" t="n">
        <v>0</v>
      </c>
      <c r="M6877" t="n">
        <v>0</v>
      </c>
      <c r="N6877" t="n">
        <v>0</v>
      </c>
      <c r="O6877" t="n">
        <v>0</v>
      </c>
      <c r="P6877" t="n">
        <v>0</v>
      </c>
      <c r="Q6877" t="n">
        <v>0</v>
      </c>
      <c r="R6877" s="2" t="inlineStr"/>
    </row>
    <row r="6878" ht="15" customHeight="1">
      <c r="A6878" t="inlineStr">
        <is>
          <t>A 25153-2025</t>
        </is>
      </c>
      <c r="B6878" s="1" t="n">
        <v>45800.42759259259</v>
      </c>
      <c r="C6878" s="1" t="n">
        <v>46093</v>
      </c>
      <c r="D6878" t="inlineStr">
        <is>
          <t>VÄSTERNORRLANDS LÄN</t>
        </is>
      </c>
      <c r="E6878" t="inlineStr">
        <is>
          <t>SUNDSVALL</t>
        </is>
      </c>
      <c r="F6878" t="inlineStr">
        <is>
          <t>SCA</t>
        </is>
      </c>
      <c r="G6878" t="n">
        <v>2.7</v>
      </c>
      <c r="H6878" t="n">
        <v>0</v>
      </c>
      <c r="I6878" t="n">
        <v>0</v>
      </c>
      <c r="J6878" t="n">
        <v>0</v>
      </c>
      <c r="K6878" t="n">
        <v>0</v>
      </c>
      <c r="L6878" t="n">
        <v>0</v>
      </c>
      <c r="M6878" t="n">
        <v>0</v>
      </c>
      <c r="N6878" t="n">
        <v>0</v>
      </c>
      <c r="O6878" t="n">
        <v>0</v>
      </c>
      <c r="P6878" t="n">
        <v>0</v>
      </c>
      <c r="Q6878" t="n">
        <v>0</v>
      </c>
      <c r="R6878" s="2" t="inlineStr"/>
    </row>
    <row r="6879" ht="15" customHeight="1">
      <c r="A6879" t="inlineStr">
        <is>
          <t>A 37384-2025</t>
        </is>
      </c>
      <c r="B6879" s="1" t="n">
        <v>45877.3859837963</v>
      </c>
      <c r="C6879" s="1" t="n">
        <v>46093</v>
      </c>
      <c r="D6879" t="inlineStr">
        <is>
          <t>VÄSTERNORRLANDS LÄN</t>
        </is>
      </c>
      <c r="E6879" t="inlineStr">
        <is>
          <t>ÅNGE</t>
        </is>
      </c>
      <c r="F6879" t="inlineStr">
        <is>
          <t>SCA</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51749-2025</t>
        </is>
      </c>
      <c r="B6880" s="1" t="n">
        <v>45951.61526620371</v>
      </c>
      <c r="C6880" s="1" t="n">
        <v>46093</v>
      </c>
      <c r="D6880" t="inlineStr">
        <is>
          <t>VÄSTERNORRLANDS LÄN</t>
        </is>
      </c>
      <c r="E6880" t="inlineStr">
        <is>
          <t>ÖRNSKÖLDSVIK</t>
        </is>
      </c>
      <c r="G6880" t="n">
        <v>3.9</v>
      </c>
      <c r="H6880" t="n">
        <v>0</v>
      </c>
      <c r="I6880" t="n">
        <v>0</v>
      </c>
      <c r="J6880" t="n">
        <v>0</v>
      </c>
      <c r="K6880" t="n">
        <v>0</v>
      </c>
      <c r="L6880" t="n">
        <v>0</v>
      </c>
      <c r="M6880" t="n">
        <v>0</v>
      </c>
      <c r="N6880" t="n">
        <v>0</v>
      </c>
      <c r="O6880" t="n">
        <v>0</v>
      </c>
      <c r="P6880" t="n">
        <v>0</v>
      </c>
      <c r="Q6880" t="n">
        <v>0</v>
      </c>
      <c r="R6880" s="2" t="inlineStr"/>
    </row>
    <row r="6881" ht="15" customHeight="1">
      <c r="A6881" t="inlineStr">
        <is>
          <t>A 51752-2025</t>
        </is>
      </c>
      <c r="B6881" s="1" t="n">
        <v>45951</v>
      </c>
      <c r="C6881" s="1" t="n">
        <v>46093</v>
      </c>
      <c r="D6881" t="inlineStr">
        <is>
          <t>VÄSTERNORRLANDS LÄN</t>
        </is>
      </c>
      <c r="E6881" t="inlineStr">
        <is>
          <t>ÖRNSKÖLDSVIK</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51788-2025</t>
        </is>
      </c>
      <c r="B6882" s="1" t="n">
        <v>45951.67846064815</v>
      </c>
      <c r="C6882" s="1" t="n">
        <v>46093</v>
      </c>
      <c r="D6882" t="inlineStr">
        <is>
          <t>VÄSTERNORRLANDS LÄN</t>
        </is>
      </c>
      <c r="E6882" t="inlineStr">
        <is>
          <t>TIMRÅ</t>
        </is>
      </c>
      <c r="F6882" t="inlineStr">
        <is>
          <t>SCA</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51730-2025</t>
        </is>
      </c>
      <c r="B6883" s="1" t="n">
        <v>45951.59440972222</v>
      </c>
      <c r="C6883" s="1" t="n">
        <v>46093</v>
      </c>
      <c r="D6883" t="inlineStr">
        <is>
          <t>VÄSTERNORRLANDS LÄN</t>
        </is>
      </c>
      <c r="E6883" t="inlineStr">
        <is>
          <t>KRAMFORS</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51740-2025</t>
        </is>
      </c>
      <c r="B6884" s="1" t="n">
        <v>45951.60530092593</v>
      </c>
      <c r="C6884" s="1" t="n">
        <v>46093</v>
      </c>
      <c r="D6884" t="inlineStr">
        <is>
          <t>VÄSTERNORRLANDS LÄN</t>
        </is>
      </c>
      <c r="E6884" t="inlineStr">
        <is>
          <t>ÖRNSKÖLDSVIK</t>
        </is>
      </c>
      <c r="G6884" t="n">
        <v>3.9</v>
      </c>
      <c r="H6884" t="n">
        <v>0</v>
      </c>
      <c r="I6884" t="n">
        <v>0</v>
      </c>
      <c r="J6884" t="n">
        <v>0</v>
      </c>
      <c r="K6884" t="n">
        <v>0</v>
      </c>
      <c r="L6884" t="n">
        <v>0</v>
      </c>
      <c r="M6884" t="n">
        <v>0</v>
      </c>
      <c r="N6884" t="n">
        <v>0</v>
      </c>
      <c r="O6884" t="n">
        <v>0</v>
      </c>
      <c r="P6884" t="n">
        <v>0</v>
      </c>
      <c r="Q6884" t="n">
        <v>0</v>
      </c>
      <c r="R6884" s="2" t="inlineStr"/>
    </row>
    <row r="6885" ht="15" customHeight="1">
      <c r="A6885" t="inlineStr">
        <is>
          <t>A 52011-2025</t>
        </is>
      </c>
      <c r="B6885" s="1" t="n">
        <v>45952.59517361111</v>
      </c>
      <c r="C6885" s="1" t="n">
        <v>46093</v>
      </c>
      <c r="D6885" t="inlineStr">
        <is>
          <t>VÄSTERNORRLANDS LÄN</t>
        </is>
      </c>
      <c r="E6885" t="inlineStr">
        <is>
          <t>SOLLEFTEÅ</t>
        </is>
      </c>
      <c r="G6885" t="n">
        <v>12.2</v>
      </c>
      <c r="H6885" t="n">
        <v>0</v>
      </c>
      <c r="I6885" t="n">
        <v>0</v>
      </c>
      <c r="J6885" t="n">
        <v>0</v>
      </c>
      <c r="K6885" t="n">
        <v>0</v>
      </c>
      <c r="L6885" t="n">
        <v>0</v>
      </c>
      <c r="M6885" t="n">
        <v>0</v>
      </c>
      <c r="N6885" t="n">
        <v>0</v>
      </c>
      <c r="O6885" t="n">
        <v>0</v>
      </c>
      <c r="P6885" t="n">
        <v>0</v>
      </c>
      <c r="Q6885" t="n">
        <v>0</v>
      </c>
      <c r="R6885" s="2" t="inlineStr"/>
    </row>
    <row r="6886" ht="15" customHeight="1">
      <c r="A6886" t="inlineStr">
        <is>
          <t>A 26018-2024</t>
        </is>
      </c>
      <c r="B6886" s="1" t="n">
        <v>45467.95998842592</v>
      </c>
      <c r="C6886" s="1" t="n">
        <v>46093</v>
      </c>
      <c r="D6886" t="inlineStr">
        <is>
          <t>VÄSTERNORRLANDS LÄN</t>
        </is>
      </c>
      <c r="E6886" t="inlineStr">
        <is>
          <t>ÅNGE</t>
        </is>
      </c>
      <c r="F6886" t="inlineStr">
        <is>
          <t>SCA</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26021-2024</t>
        </is>
      </c>
      <c r="B6887" s="1" t="n">
        <v>45467</v>
      </c>
      <c r="C6887" s="1" t="n">
        <v>46093</v>
      </c>
      <c r="D6887" t="inlineStr">
        <is>
          <t>VÄSTERNORRLANDS LÄN</t>
        </is>
      </c>
      <c r="E6887" t="inlineStr">
        <is>
          <t>ÅNGE</t>
        </is>
      </c>
      <c r="F6887" t="inlineStr">
        <is>
          <t>SCA</t>
        </is>
      </c>
      <c r="G6887" t="n">
        <v>7.7</v>
      </c>
      <c r="H6887" t="n">
        <v>0</v>
      </c>
      <c r="I6887" t="n">
        <v>0</v>
      </c>
      <c r="J6887" t="n">
        <v>0</v>
      </c>
      <c r="K6887" t="n">
        <v>0</v>
      </c>
      <c r="L6887" t="n">
        <v>0</v>
      </c>
      <c r="M6887" t="n">
        <v>0</v>
      </c>
      <c r="N6887" t="n">
        <v>0</v>
      </c>
      <c r="O6887" t="n">
        <v>0</v>
      </c>
      <c r="P6887" t="n">
        <v>0</v>
      </c>
      <c r="Q6887" t="n">
        <v>0</v>
      </c>
      <c r="R6887" s="2" t="inlineStr"/>
    </row>
    <row r="6888" ht="15" customHeight="1">
      <c r="A6888" t="inlineStr">
        <is>
          <t>A 51585-2025</t>
        </is>
      </c>
      <c r="B6888" s="1" t="n">
        <v>45951.34582175926</v>
      </c>
      <c r="C6888" s="1" t="n">
        <v>46093</v>
      </c>
      <c r="D6888" t="inlineStr">
        <is>
          <t>VÄSTERNORRLANDS LÄN</t>
        </is>
      </c>
      <c r="E6888" t="inlineStr">
        <is>
          <t>TIMRÅ</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51609-2025</t>
        </is>
      </c>
      <c r="B6889" s="1" t="n">
        <v>45951.39130787037</v>
      </c>
      <c r="C6889" s="1" t="n">
        <v>46093</v>
      </c>
      <c r="D6889" t="inlineStr">
        <is>
          <t>VÄSTERNORRLANDS LÄN</t>
        </is>
      </c>
      <c r="E6889" t="inlineStr">
        <is>
          <t>SOLLEFTEÅ</t>
        </is>
      </c>
      <c r="F6889" t="inlineStr">
        <is>
          <t>Holmen skog AB</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23832-2024</t>
        </is>
      </c>
      <c r="B6890" s="1" t="n">
        <v>45455.4840625</v>
      </c>
      <c r="C6890" s="1" t="n">
        <v>46093</v>
      </c>
      <c r="D6890" t="inlineStr">
        <is>
          <t>VÄSTERNORRLANDS LÄN</t>
        </is>
      </c>
      <c r="E6890" t="inlineStr">
        <is>
          <t>SUNDSVALL</t>
        </is>
      </c>
      <c r="F6890" t="inlineStr">
        <is>
          <t>Holmen skog AB</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51583-2025</t>
        </is>
      </c>
      <c r="B6891" s="1" t="n">
        <v>45951.34568287037</v>
      </c>
      <c r="C6891" s="1" t="n">
        <v>46093</v>
      </c>
      <c r="D6891" t="inlineStr">
        <is>
          <t>VÄSTERNORRLANDS LÄN</t>
        </is>
      </c>
      <c r="E6891" t="inlineStr">
        <is>
          <t>SUNDSVALL</t>
        </is>
      </c>
      <c r="G6891" t="n">
        <v>1.9</v>
      </c>
      <c r="H6891" t="n">
        <v>0</v>
      </c>
      <c r="I6891" t="n">
        <v>0</v>
      </c>
      <c r="J6891" t="n">
        <v>0</v>
      </c>
      <c r="K6891" t="n">
        <v>0</v>
      </c>
      <c r="L6891" t="n">
        <v>0</v>
      </c>
      <c r="M6891" t="n">
        <v>0</v>
      </c>
      <c r="N6891" t="n">
        <v>0</v>
      </c>
      <c r="O6891" t="n">
        <v>0</v>
      </c>
      <c r="P6891" t="n">
        <v>0</v>
      </c>
      <c r="Q6891" t="n">
        <v>0</v>
      </c>
      <c r="R6891" s="2" t="inlineStr"/>
    </row>
    <row r="6892" ht="15" customHeight="1">
      <c r="A6892" t="inlineStr">
        <is>
          <t>A 51584-2025</t>
        </is>
      </c>
      <c r="B6892" s="1" t="n">
        <v>45951.34575231482</v>
      </c>
      <c r="C6892" s="1" t="n">
        <v>46093</v>
      </c>
      <c r="D6892" t="inlineStr">
        <is>
          <t>VÄSTERNORRLANDS LÄN</t>
        </is>
      </c>
      <c r="E6892" t="inlineStr">
        <is>
          <t>TIMRÅ</t>
        </is>
      </c>
      <c r="G6892" t="n">
        <v>3.1</v>
      </c>
      <c r="H6892" t="n">
        <v>0</v>
      </c>
      <c r="I6892" t="n">
        <v>0</v>
      </c>
      <c r="J6892" t="n">
        <v>0</v>
      </c>
      <c r="K6892" t="n">
        <v>0</v>
      </c>
      <c r="L6892" t="n">
        <v>0</v>
      </c>
      <c r="M6892" t="n">
        <v>0</v>
      </c>
      <c r="N6892" t="n">
        <v>0</v>
      </c>
      <c r="O6892" t="n">
        <v>0</v>
      </c>
      <c r="P6892" t="n">
        <v>0</v>
      </c>
      <c r="Q6892" t="n">
        <v>0</v>
      </c>
      <c r="R6892" s="2" t="inlineStr"/>
    </row>
    <row r="6893" ht="15" customHeight="1">
      <c r="A6893" t="inlineStr">
        <is>
          <t>A 51591-2025</t>
        </is>
      </c>
      <c r="B6893" s="1" t="n">
        <v>45951.3653587963</v>
      </c>
      <c r="C6893" s="1" t="n">
        <v>46093</v>
      </c>
      <c r="D6893" t="inlineStr">
        <is>
          <t>VÄSTERNORRLANDS LÄN</t>
        </is>
      </c>
      <c r="E6893" t="inlineStr">
        <is>
          <t>SOLLEFTEÅ</t>
        </is>
      </c>
      <c r="G6893" t="n">
        <v>5.9</v>
      </c>
      <c r="H6893" t="n">
        <v>0</v>
      </c>
      <c r="I6893" t="n">
        <v>0</v>
      </c>
      <c r="J6893" t="n">
        <v>0</v>
      </c>
      <c r="K6893" t="n">
        <v>0</v>
      </c>
      <c r="L6893" t="n">
        <v>0</v>
      </c>
      <c r="M6893" t="n">
        <v>0</v>
      </c>
      <c r="N6893" t="n">
        <v>0</v>
      </c>
      <c r="O6893" t="n">
        <v>0</v>
      </c>
      <c r="P6893" t="n">
        <v>0</v>
      </c>
      <c r="Q6893" t="n">
        <v>0</v>
      </c>
      <c r="R6893" s="2" t="inlineStr"/>
    </row>
    <row r="6894" ht="15" customHeight="1">
      <c r="A6894" t="inlineStr">
        <is>
          <t>A 53403-2024</t>
        </is>
      </c>
      <c r="B6894" s="1" t="n">
        <v>45614.49353009259</v>
      </c>
      <c r="C6894" s="1" t="n">
        <v>46093</v>
      </c>
      <c r="D6894" t="inlineStr">
        <is>
          <t>VÄSTERNORRLANDS LÄN</t>
        </is>
      </c>
      <c r="E6894" t="inlineStr">
        <is>
          <t>SUNDSVALL</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52005-2025</t>
        </is>
      </c>
      <c r="B6895" s="1" t="n">
        <v>45952.59306712963</v>
      </c>
      <c r="C6895" s="1" t="n">
        <v>46093</v>
      </c>
      <c r="D6895" t="inlineStr">
        <is>
          <t>VÄSTERNORRLANDS LÄN</t>
        </is>
      </c>
      <c r="E6895" t="inlineStr">
        <is>
          <t>ÖRNSKÖLDSVIK</t>
        </is>
      </c>
      <c r="F6895" t="inlineStr">
        <is>
          <t>Holmen skog AB</t>
        </is>
      </c>
      <c r="G6895" t="n">
        <v>2.3</v>
      </c>
      <c r="H6895" t="n">
        <v>0</v>
      </c>
      <c r="I6895" t="n">
        <v>0</v>
      </c>
      <c r="J6895" t="n">
        <v>0</v>
      </c>
      <c r="K6895" t="n">
        <v>0</v>
      </c>
      <c r="L6895" t="n">
        <v>0</v>
      </c>
      <c r="M6895" t="n">
        <v>0</v>
      </c>
      <c r="N6895" t="n">
        <v>0</v>
      </c>
      <c r="O6895" t="n">
        <v>0</v>
      </c>
      <c r="P6895" t="n">
        <v>0</v>
      </c>
      <c r="Q6895" t="n">
        <v>0</v>
      </c>
      <c r="R6895" s="2" t="inlineStr"/>
    </row>
    <row r="6896" ht="15" customHeight="1">
      <c r="A6896" t="inlineStr">
        <is>
          <t>A 51761-2025</t>
        </is>
      </c>
      <c r="B6896" s="1" t="n">
        <v>45951.63597222222</v>
      </c>
      <c r="C6896" s="1" t="n">
        <v>46093</v>
      </c>
      <c r="D6896" t="inlineStr">
        <is>
          <t>VÄSTERNORRLANDS LÄN</t>
        </is>
      </c>
      <c r="E6896" t="inlineStr">
        <is>
          <t>ÖRNSKÖLDSVIK</t>
        </is>
      </c>
      <c r="G6896" t="n">
        <v>8.5</v>
      </c>
      <c r="H6896" t="n">
        <v>0</v>
      </c>
      <c r="I6896" t="n">
        <v>0</v>
      </c>
      <c r="J6896" t="n">
        <v>0</v>
      </c>
      <c r="K6896" t="n">
        <v>0</v>
      </c>
      <c r="L6896" t="n">
        <v>0</v>
      </c>
      <c r="M6896" t="n">
        <v>0</v>
      </c>
      <c r="N6896" t="n">
        <v>0</v>
      </c>
      <c r="O6896" t="n">
        <v>0</v>
      </c>
      <c r="P6896" t="n">
        <v>0</v>
      </c>
      <c r="Q6896" t="n">
        <v>0</v>
      </c>
      <c r="R6896" s="2" t="inlineStr"/>
    </row>
    <row r="6897" ht="15" customHeight="1">
      <c r="A6897" t="inlineStr">
        <is>
          <t>A 13584-2025</t>
        </is>
      </c>
      <c r="B6897" s="1" t="n">
        <v>45736.59193287037</v>
      </c>
      <c r="C6897" s="1" t="n">
        <v>46093</v>
      </c>
      <c r="D6897" t="inlineStr">
        <is>
          <t>VÄSTERNORRLANDS LÄN</t>
        </is>
      </c>
      <c r="E6897" t="inlineStr">
        <is>
          <t>SOLLEFTEÅ</t>
        </is>
      </c>
      <c r="G6897" t="n">
        <v>3.6</v>
      </c>
      <c r="H6897" t="n">
        <v>0</v>
      </c>
      <c r="I6897" t="n">
        <v>0</v>
      </c>
      <c r="J6897" t="n">
        <v>0</v>
      </c>
      <c r="K6897" t="n">
        <v>0</v>
      </c>
      <c r="L6897" t="n">
        <v>0</v>
      </c>
      <c r="M6897" t="n">
        <v>0</v>
      </c>
      <c r="N6897" t="n">
        <v>0</v>
      </c>
      <c r="O6897" t="n">
        <v>0</v>
      </c>
      <c r="P6897" t="n">
        <v>0</v>
      </c>
      <c r="Q6897" t="n">
        <v>0</v>
      </c>
      <c r="R6897" s="2" t="inlineStr"/>
    </row>
    <row r="6898" ht="15" customHeight="1">
      <c r="A6898" t="inlineStr">
        <is>
          <t>A 51579-2025</t>
        </is>
      </c>
      <c r="B6898" s="1" t="n">
        <v>45951.34535879629</v>
      </c>
      <c r="C6898" s="1" t="n">
        <v>46093</v>
      </c>
      <c r="D6898" t="inlineStr">
        <is>
          <t>VÄSTERNORRLANDS LÄN</t>
        </is>
      </c>
      <c r="E6898" t="inlineStr">
        <is>
          <t>HÄRNÖSAND</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37663-2025</t>
        </is>
      </c>
      <c r="B6899" s="1" t="n">
        <v>45880.51079861111</v>
      </c>
      <c r="C6899" s="1" t="n">
        <v>46093</v>
      </c>
      <c r="D6899" t="inlineStr">
        <is>
          <t>VÄSTERNORRLANDS LÄN</t>
        </is>
      </c>
      <c r="E6899" t="inlineStr">
        <is>
          <t>ÅNGE</t>
        </is>
      </c>
      <c r="F6899" t="inlineStr">
        <is>
          <t>SCA</t>
        </is>
      </c>
      <c r="G6899" t="n">
        <v>2.7</v>
      </c>
      <c r="H6899" t="n">
        <v>0</v>
      </c>
      <c r="I6899" t="n">
        <v>0</v>
      </c>
      <c r="J6899" t="n">
        <v>0</v>
      </c>
      <c r="K6899" t="n">
        <v>0</v>
      </c>
      <c r="L6899" t="n">
        <v>0</v>
      </c>
      <c r="M6899" t="n">
        <v>0</v>
      </c>
      <c r="N6899" t="n">
        <v>0</v>
      </c>
      <c r="O6899" t="n">
        <v>0</v>
      </c>
      <c r="P6899" t="n">
        <v>0</v>
      </c>
      <c r="Q6899" t="n">
        <v>0</v>
      </c>
      <c r="R6899" s="2" t="inlineStr"/>
    </row>
    <row r="6900" ht="15" customHeight="1">
      <c r="A6900" t="inlineStr">
        <is>
          <t>A 54307-2023</t>
        </is>
      </c>
      <c r="B6900" s="1" t="n">
        <v>45225</v>
      </c>
      <c r="C6900" s="1" t="n">
        <v>46093</v>
      </c>
      <c r="D6900" t="inlineStr">
        <is>
          <t>VÄSTERNORRLANDS LÄN</t>
        </is>
      </c>
      <c r="E6900" t="inlineStr">
        <is>
          <t>SOLLEFTEÅ</t>
        </is>
      </c>
      <c r="G6900" t="n">
        <v>2.9</v>
      </c>
      <c r="H6900" t="n">
        <v>0</v>
      </c>
      <c r="I6900" t="n">
        <v>0</v>
      </c>
      <c r="J6900" t="n">
        <v>0</v>
      </c>
      <c r="K6900" t="n">
        <v>0</v>
      </c>
      <c r="L6900" t="n">
        <v>0</v>
      </c>
      <c r="M6900" t="n">
        <v>0</v>
      </c>
      <c r="N6900" t="n">
        <v>0</v>
      </c>
      <c r="O6900" t="n">
        <v>0</v>
      </c>
      <c r="P6900" t="n">
        <v>0</v>
      </c>
      <c r="Q6900" t="n">
        <v>0</v>
      </c>
      <c r="R6900" s="2" t="inlineStr"/>
    </row>
    <row r="6901" ht="15" customHeight="1">
      <c r="A6901" t="inlineStr">
        <is>
          <t>A 46735-2022</t>
        </is>
      </c>
      <c r="B6901" s="1" t="n">
        <v>44851</v>
      </c>
      <c r="C6901" s="1" t="n">
        <v>46093</v>
      </c>
      <c r="D6901" t="inlineStr">
        <is>
          <t>VÄSTERNORRLANDS LÄN</t>
        </is>
      </c>
      <c r="E6901" t="inlineStr">
        <is>
          <t>SUNDSVALL</t>
        </is>
      </c>
      <c r="G6901" t="n">
        <v>3</v>
      </c>
      <c r="H6901" t="n">
        <v>0</v>
      </c>
      <c r="I6901" t="n">
        <v>0</v>
      </c>
      <c r="J6901" t="n">
        <v>0</v>
      </c>
      <c r="K6901" t="n">
        <v>0</v>
      </c>
      <c r="L6901" t="n">
        <v>0</v>
      </c>
      <c r="M6901" t="n">
        <v>0</v>
      </c>
      <c r="N6901" t="n">
        <v>0</v>
      </c>
      <c r="O6901" t="n">
        <v>0</v>
      </c>
      <c r="P6901" t="n">
        <v>0</v>
      </c>
      <c r="Q6901" t="n">
        <v>0</v>
      </c>
      <c r="R6901" s="2" t="inlineStr"/>
    </row>
    <row r="6902" ht="15" customHeight="1">
      <c r="A6902" t="inlineStr">
        <is>
          <t>A 51856-2025</t>
        </is>
      </c>
      <c r="B6902" s="1" t="n">
        <v>45952.3637962963</v>
      </c>
      <c r="C6902" s="1" t="n">
        <v>46093</v>
      </c>
      <c r="D6902" t="inlineStr">
        <is>
          <t>VÄSTERNORRLANDS LÄN</t>
        </is>
      </c>
      <c r="E6902" t="inlineStr">
        <is>
          <t>ÖRNSKÖLDSVIK</t>
        </is>
      </c>
      <c r="F6902" t="inlineStr">
        <is>
          <t>Holmen skog AB</t>
        </is>
      </c>
      <c r="G6902" t="n">
        <v>5.4</v>
      </c>
      <c r="H6902" t="n">
        <v>0</v>
      </c>
      <c r="I6902" t="n">
        <v>0</v>
      </c>
      <c r="J6902" t="n">
        <v>0</v>
      </c>
      <c r="K6902" t="n">
        <v>0</v>
      </c>
      <c r="L6902" t="n">
        <v>0</v>
      </c>
      <c r="M6902" t="n">
        <v>0</v>
      </c>
      <c r="N6902" t="n">
        <v>0</v>
      </c>
      <c r="O6902" t="n">
        <v>0</v>
      </c>
      <c r="P6902" t="n">
        <v>0</v>
      </c>
      <c r="Q6902" t="n">
        <v>0</v>
      </c>
      <c r="R6902" s="2" t="inlineStr"/>
    </row>
    <row r="6903" ht="15" customHeight="1">
      <c r="A6903" t="inlineStr">
        <is>
          <t>A 51857-2025</t>
        </is>
      </c>
      <c r="B6903" s="1" t="n">
        <v>45952.36506944444</v>
      </c>
      <c r="C6903" s="1" t="n">
        <v>46093</v>
      </c>
      <c r="D6903" t="inlineStr">
        <is>
          <t>VÄSTERNORRLANDS LÄN</t>
        </is>
      </c>
      <c r="E6903" t="inlineStr">
        <is>
          <t>ÅNGE</t>
        </is>
      </c>
      <c r="F6903" t="inlineStr">
        <is>
          <t>SCA</t>
        </is>
      </c>
      <c r="G6903" t="n">
        <v>3.1</v>
      </c>
      <c r="H6903" t="n">
        <v>0</v>
      </c>
      <c r="I6903" t="n">
        <v>0</v>
      </c>
      <c r="J6903" t="n">
        <v>0</v>
      </c>
      <c r="K6903" t="n">
        <v>0</v>
      </c>
      <c r="L6903" t="n">
        <v>0</v>
      </c>
      <c r="M6903" t="n">
        <v>0</v>
      </c>
      <c r="N6903" t="n">
        <v>0</v>
      </c>
      <c r="O6903" t="n">
        <v>0</v>
      </c>
      <c r="P6903" t="n">
        <v>0</v>
      </c>
      <c r="Q6903" t="n">
        <v>0</v>
      </c>
      <c r="R6903" s="2" t="inlineStr"/>
    </row>
    <row r="6904" ht="15" customHeight="1">
      <c r="A6904" t="inlineStr">
        <is>
          <t>A 47109-2023</t>
        </is>
      </c>
      <c r="B6904" s="1" t="n">
        <v>45201.66905092593</v>
      </c>
      <c r="C6904" s="1" t="n">
        <v>46093</v>
      </c>
      <c r="D6904" t="inlineStr">
        <is>
          <t>VÄSTERNORRLANDS LÄN</t>
        </is>
      </c>
      <c r="E6904" t="inlineStr">
        <is>
          <t>ÖRNSKÖLDSVIK</t>
        </is>
      </c>
      <c r="F6904" t="inlineStr">
        <is>
          <t>Holmen skog AB</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27366-2021</t>
        </is>
      </c>
      <c r="B6905" s="1" t="n">
        <v>44351.4417824074</v>
      </c>
      <c r="C6905" s="1" t="n">
        <v>46093</v>
      </c>
      <c r="D6905" t="inlineStr">
        <is>
          <t>VÄSTERNORRLANDS LÄN</t>
        </is>
      </c>
      <c r="E6905" t="inlineStr">
        <is>
          <t>SUNDSVALL</t>
        </is>
      </c>
      <c r="G6905" t="n">
        <v>15.9</v>
      </c>
      <c r="H6905" t="n">
        <v>0</v>
      </c>
      <c r="I6905" t="n">
        <v>0</v>
      </c>
      <c r="J6905" t="n">
        <v>0</v>
      </c>
      <c r="K6905" t="n">
        <v>0</v>
      </c>
      <c r="L6905" t="n">
        <v>0</v>
      </c>
      <c r="M6905" t="n">
        <v>0</v>
      </c>
      <c r="N6905" t="n">
        <v>0</v>
      </c>
      <c r="O6905" t="n">
        <v>0</v>
      </c>
      <c r="P6905" t="n">
        <v>0</v>
      </c>
      <c r="Q6905" t="n">
        <v>0</v>
      </c>
      <c r="R6905" s="2" t="inlineStr"/>
    </row>
    <row r="6906" ht="15" customHeight="1">
      <c r="A6906" t="inlineStr">
        <is>
          <t>A 51861-2025</t>
        </is>
      </c>
      <c r="B6906" s="1" t="n">
        <v>45952.36784722222</v>
      </c>
      <c r="C6906" s="1" t="n">
        <v>46093</v>
      </c>
      <c r="D6906" t="inlineStr">
        <is>
          <t>VÄSTERNORRLANDS LÄN</t>
        </is>
      </c>
      <c r="E6906" t="inlineStr">
        <is>
          <t>SUNDSVALL</t>
        </is>
      </c>
      <c r="G6906" t="n">
        <v>0.2</v>
      </c>
      <c r="H6906" t="n">
        <v>0</v>
      </c>
      <c r="I6906" t="n">
        <v>0</v>
      </c>
      <c r="J6906" t="n">
        <v>0</v>
      </c>
      <c r="K6906" t="n">
        <v>0</v>
      </c>
      <c r="L6906" t="n">
        <v>0</v>
      </c>
      <c r="M6906" t="n">
        <v>0</v>
      </c>
      <c r="N6906" t="n">
        <v>0</v>
      </c>
      <c r="O6906" t="n">
        <v>0</v>
      </c>
      <c r="P6906" t="n">
        <v>0</v>
      </c>
      <c r="Q6906" t="n">
        <v>0</v>
      </c>
      <c r="R6906" s="2" t="inlineStr"/>
    </row>
    <row r="6907" ht="15" customHeight="1">
      <c r="A6907" t="inlineStr">
        <is>
          <t>A 25079-2023</t>
        </is>
      </c>
      <c r="B6907" s="1" t="n">
        <v>45086</v>
      </c>
      <c r="C6907" s="1" t="n">
        <v>46093</v>
      </c>
      <c r="D6907" t="inlineStr">
        <is>
          <t>VÄSTERNORRLANDS LÄN</t>
        </is>
      </c>
      <c r="E6907" t="inlineStr">
        <is>
          <t>SOLLEFTEÅ</t>
        </is>
      </c>
      <c r="F6907" t="inlineStr">
        <is>
          <t>Kommuner</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32203-2023</t>
        </is>
      </c>
      <c r="B6908" s="1" t="n">
        <v>45119.92622685185</v>
      </c>
      <c r="C6908" s="1" t="n">
        <v>46093</v>
      </c>
      <c r="D6908" t="inlineStr">
        <is>
          <t>VÄSTERNORRLANDS LÄN</t>
        </is>
      </c>
      <c r="E6908" t="inlineStr">
        <is>
          <t>SUNDSVALL</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60296-2021</t>
        </is>
      </c>
      <c r="B6909" s="1" t="n">
        <v>44495</v>
      </c>
      <c r="C6909" s="1" t="n">
        <v>46093</v>
      </c>
      <c r="D6909" t="inlineStr">
        <is>
          <t>VÄSTERNORRLANDS LÄN</t>
        </is>
      </c>
      <c r="E6909" t="inlineStr">
        <is>
          <t>ÅNGE</t>
        </is>
      </c>
      <c r="G6909" t="n">
        <v>0.4</v>
      </c>
      <c r="H6909" t="n">
        <v>0</v>
      </c>
      <c r="I6909" t="n">
        <v>0</v>
      </c>
      <c r="J6909" t="n">
        <v>0</v>
      </c>
      <c r="K6909" t="n">
        <v>0</v>
      </c>
      <c r="L6909" t="n">
        <v>0</v>
      </c>
      <c r="M6909" t="n">
        <v>0</v>
      </c>
      <c r="N6909" t="n">
        <v>0</v>
      </c>
      <c r="O6909" t="n">
        <v>0</v>
      </c>
      <c r="P6909" t="n">
        <v>0</v>
      </c>
      <c r="Q6909" t="n">
        <v>0</v>
      </c>
      <c r="R6909" s="2" t="inlineStr"/>
    </row>
    <row r="6910" ht="15" customHeight="1">
      <c r="A6910" t="inlineStr">
        <is>
          <t>A 52996-2024</t>
        </is>
      </c>
      <c r="B6910" s="1" t="n">
        <v>45611.38575231482</v>
      </c>
      <c r="C6910" s="1" t="n">
        <v>46093</v>
      </c>
      <c r="D6910" t="inlineStr">
        <is>
          <t>VÄSTERNORRLANDS LÄN</t>
        </is>
      </c>
      <c r="E6910" t="inlineStr">
        <is>
          <t>ÖRNSKÖLDSVIK</t>
        </is>
      </c>
      <c r="F6910" t="inlineStr">
        <is>
          <t>SCA</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51599-2025</t>
        </is>
      </c>
      <c r="B6911" s="1" t="n">
        <v>45951.37236111111</v>
      </c>
      <c r="C6911" s="1" t="n">
        <v>46093</v>
      </c>
      <c r="D6911" t="inlineStr">
        <is>
          <t>VÄSTERNORRLANDS LÄN</t>
        </is>
      </c>
      <c r="E6911" t="inlineStr">
        <is>
          <t>ÖRNSKÖLDSVIK</t>
        </is>
      </c>
      <c r="F6911" t="inlineStr">
        <is>
          <t>Holmen skog AB</t>
        </is>
      </c>
      <c r="G6911" t="n">
        <v>0.5</v>
      </c>
      <c r="H6911" t="n">
        <v>0</v>
      </c>
      <c r="I6911" t="n">
        <v>0</v>
      </c>
      <c r="J6911" t="n">
        <v>0</v>
      </c>
      <c r="K6911" t="n">
        <v>0</v>
      </c>
      <c r="L6911" t="n">
        <v>0</v>
      </c>
      <c r="M6911" t="n">
        <v>0</v>
      </c>
      <c r="N6911" t="n">
        <v>0</v>
      </c>
      <c r="O6911" t="n">
        <v>0</v>
      </c>
      <c r="P6911" t="n">
        <v>0</v>
      </c>
      <c r="Q6911" t="n">
        <v>0</v>
      </c>
      <c r="R6911" s="2" t="inlineStr"/>
    </row>
    <row r="6912" ht="15" customHeight="1">
      <c r="A6912" t="inlineStr">
        <is>
          <t>A 51559-2025</t>
        </is>
      </c>
      <c r="B6912" s="1" t="n">
        <v>45950.93180555556</v>
      </c>
      <c r="C6912" s="1" t="n">
        <v>46093</v>
      </c>
      <c r="D6912" t="inlineStr">
        <is>
          <t>VÄSTERNORRLANDS LÄN</t>
        </is>
      </c>
      <c r="E6912" t="inlineStr">
        <is>
          <t>SOLLEFTEÅ</t>
        </is>
      </c>
      <c r="G6912" t="n">
        <v>13.2</v>
      </c>
      <c r="H6912" t="n">
        <v>0</v>
      </c>
      <c r="I6912" t="n">
        <v>0</v>
      </c>
      <c r="J6912" t="n">
        <v>0</v>
      </c>
      <c r="K6912" t="n">
        <v>0</v>
      </c>
      <c r="L6912" t="n">
        <v>0</v>
      </c>
      <c r="M6912" t="n">
        <v>0</v>
      </c>
      <c r="N6912" t="n">
        <v>0</v>
      </c>
      <c r="O6912" t="n">
        <v>0</v>
      </c>
      <c r="P6912" t="n">
        <v>0</v>
      </c>
      <c r="Q6912" t="n">
        <v>0</v>
      </c>
      <c r="R6912" s="2" t="inlineStr"/>
    </row>
    <row r="6913" ht="15" customHeight="1">
      <c r="A6913" t="inlineStr">
        <is>
          <t>A 20326-2025</t>
        </is>
      </c>
      <c r="B6913" s="1" t="n">
        <v>45775.35231481482</v>
      </c>
      <c r="C6913" s="1" t="n">
        <v>46093</v>
      </c>
      <c r="D6913" t="inlineStr">
        <is>
          <t>VÄSTERNORRLANDS LÄN</t>
        </is>
      </c>
      <c r="E6913" t="inlineStr">
        <is>
          <t>ÖRNSKÖLDSVIK</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51603-2025</t>
        </is>
      </c>
      <c r="B6914" s="1" t="n">
        <v>45951.38317129629</v>
      </c>
      <c r="C6914" s="1" t="n">
        <v>46093</v>
      </c>
      <c r="D6914" t="inlineStr">
        <is>
          <t>VÄSTERNORRLANDS LÄN</t>
        </is>
      </c>
      <c r="E6914" t="inlineStr">
        <is>
          <t>SOLLEFTEÅ</t>
        </is>
      </c>
      <c r="G6914" t="n">
        <v>5</v>
      </c>
      <c r="H6914" t="n">
        <v>0</v>
      </c>
      <c r="I6914" t="n">
        <v>0</v>
      </c>
      <c r="J6914" t="n">
        <v>0</v>
      </c>
      <c r="K6914" t="n">
        <v>0</v>
      </c>
      <c r="L6914" t="n">
        <v>0</v>
      </c>
      <c r="M6914" t="n">
        <v>0</v>
      </c>
      <c r="N6914" t="n">
        <v>0</v>
      </c>
      <c r="O6914" t="n">
        <v>0</v>
      </c>
      <c r="P6914" t="n">
        <v>0</v>
      </c>
      <c r="Q6914" t="n">
        <v>0</v>
      </c>
      <c r="R6914" s="2" t="inlineStr"/>
    </row>
    <row r="6915" ht="15" customHeight="1">
      <c r="A6915" t="inlineStr">
        <is>
          <t>A 37753-2025</t>
        </is>
      </c>
      <c r="B6915" s="1" t="n">
        <v>45880.67625</v>
      </c>
      <c r="C6915" s="1" t="n">
        <v>46093</v>
      </c>
      <c r="D6915" t="inlineStr">
        <is>
          <t>VÄSTERNORRLANDS LÄN</t>
        </is>
      </c>
      <c r="E6915" t="inlineStr">
        <is>
          <t>ÖRNSKÖLDSVIK</t>
        </is>
      </c>
      <c r="F6915" t="inlineStr">
        <is>
          <t>Holmen skog AB</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51501-2024</t>
        </is>
      </c>
      <c r="B6916" s="1" t="n">
        <v>45604.54997685185</v>
      </c>
      <c r="C6916" s="1" t="n">
        <v>46093</v>
      </c>
      <c r="D6916" t="inlineStr">
        <is>
          <t>VÄSTERNORRLANDS LÄN</t>
        </is>
      </c>
      <c r="E6916" t="inlineStr">
        <is>
          <t>KRAMFORS</t>
        </is>
      </c>
      <c r="G6916" t="n">
        <v>5.8</v>
      </c>
      <c r="H6916" t="n">
        <v>0</v>
      </c>
      <c r="I6916" t="n">
        <v>0</v>
      </c>
      <c r="J6916" t="n">
        <v>0</v>
      </c>
      <c r="K6916" t="n">
        <v>0</v>
      </c>
      <c r="L6916" t="n">
        <v>0</v>
      </c>
      <c r="M6916" t="n">
        <v>0</v>
      </c>
      <c r="N6916" t="n">
        <v>0</v>
      </c>
      <c r="O6916" t="n">
        <v>0</v>
      </c>
      <c r="P6916" t="n">
        <v>0</v>
      </c>
      <c r="Q6916" t="n">
        <v>0</v>
      </c>
      <c r="R6916" s="2" t="inlineStr"/>
    </row>
    <row r="6917" ht="15" customHeight="1">
      <c r="A6917" t="inlineStr">
        <is>
          <t>A 58966-2024</t>
        </is>
      </c>
      <c r="B6917" s="1" t="n">
        <v>45636.59261574074</v>
      </c>
      <c r="C6917" s="1" t="n">
        <v>46093</v>
      </c>
      <c r="D6917" t="inlineStr">
        <is>
          <t>VÄSTERNORRLANDS LÄN</t>
        </is>
      </c>
      <c r="E6917" t="inlineStr">
        <is>
          <t>KRAMFORS</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51705-2025</t>
        </is>
      </c>
      <c r="B6918" s="1" t="n">
        <v>45951.56091435185</v>
      </c>
      <c r="C6918" s="1" t="n">
        <v>46093</v>
      </c>
      <c r="D6918" t="inlineStr">
        <is>
          <t>VÄSTERNORRLANDS LÄN</t>
        </is>
      </c>
      <c r="E6918" t="inlineStr">
        <is>
          <t>KRAMFORS</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51929-2025</t>
        </is>
      </c>
      <c r="B6919" s="1" t="n">
        <v>45952</v>
      </c>
      <c r="C6919" s="1" t="n">
        <v>46093</v>
      </c>
      <c r="D6919" t="inlineStr">
        <is>
          <t>VÄSTERNORRLANDS LÄN</t>
        </is>
      </c>
      <c r="E6919" t="inlineStr">
        <is>
          <t>KRAMFORS</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45932-2023</t>
        </is>
      </c>
      <c r="B6920" s="1" t="n">
        <v>45195</v>
      </c>
      <c r="C6920" s="1" t="n">
        <v>46093</v>
      </c>
      <c r="D6920" t="inlineStr">
        <is>
          <t>VÄSTERNORRLANDS LÄN</t>
        </is>
      </c>
      <c r="E6920" t="inlineStr">
        <is>
          <t>ÅNGE</t>
        </is>
      </c>
      <c r="F6920" t="inlineStr">
        <is>
          <t>SCA</t>
        </is>
      </c>
      <c r="G6920" t="n">
        <v>0.1</v>
      </c>
      <c r="H6920" t="n">
        <v>0</v>
      </c>
      <c r="I6920" t="n">
        <v>0</v>
      </c>
      <c r="J6920" t="n">
        <v>0</v>
      </c>
      <c r="K6920" t="n">
        <v>0</v>
      </c>
      <c r="L6920" t="n">
        <v>0</v>
      </c>
      <c r="M6920" t="n">
        <v>0</v>
      </c>
      <c r="N6920" t="n">
        <v>0</v>
      </c>
      <c r="O6920" t="n">
        <v>0</v>
      </c>
      <c r="P6920" t="n">
        <v>0</v>
      </c>
      <c r="Q6920" t="n">
        <v>0</v>
      </c>
      <c r="R6920" s="2" t="inlineStr"/>
    </row>
    <row r="6921" ht="15" customHeight="1">
      <c r="A6921" t="inlineStr">
        <is>
          <t>A 52029-2025</t>
        </is>
      </c>
      <c r="B6921" s="1" t="n">
        <v>45952.6055324074</v>
      </c>
      <c r="C6921" s="1" t="n">
        <v>46093</v>
      </c>
      <c r="D6921" t="inlineStr">
        <is>
          <t>VÄSTERNORRLANDS LÄN</t>
        </is>
      </c>
      <c r="E6921" t="inlineStr">
        <is>
          <t>ÖRNSKÖLDSVIK</t>
        </is>
      </c>
      <c r="G6921" t="n">
        <v>3.2</v>
      </c>
      <c r="H6921" t="n">
        <v>0</v>
      </c>
      <c r="I6921" t="n">
        <v>0</v>
      </c>
      <c r="J6921" t="n">
        <v>0</v>
      </c>
      <c r="K6921" t="n">
        <v>0</v>
      </c>
      <c r="L6921" t="n">
        <v>0</v>
      </c>
      <c r="M6921" t="n">
        <v>0</v>
      </c>
      <c r="N6921" t="n">
        <v>0</v>
      </c>
      <c r="O6921" t="n">
        <v>0</v>
      </c>
      <c r="P6921" t="n">
        <v>0</v>
      </c>
      <c r="Q6921" t="n">
        <v>0</v>
      </c>
      <c r="R6921" s="2" t="inlineStr"/>
    </row>
    <row r="6922" ht="15" customHeight="1">
      <c r="A6922" t="inlineStr">
        <is>
          <t>A 58850-2024</t>
        </is>
      </c>
      <c r="B6922" s="1" t="n">
        <v>45636.38758101852</v>
      </c>
      <c r="C6922" s="1" t="n">
        <v>46093</v>
      </c>
      <c r="D6922" t="inlineStr">
        <is>
          <t>VÄSTERNORRLANDS LÄN</t>
        </is>
      </c>
      <c r="E6922" t="inlineStr">
        <is>
          <t>ÖRNSKÖLDSVIK</t>
        </is>
      </c>
      <c r="G6922" t="n">
        <v>5.9</v>
      </c>
      <c r="H6922" t="n">
        <v>0</v>
      </c>
      <c r="I6922" t="n">
        <v>0</v>
      </c>
      <c r="J6922" t="n">
        <v>0</v>
      </c>
      <c r="K6922" t="n">
        <v>0</v>
      </c>
      <c r="L6922" t="n">
        <v>0</v>
      </c>
      <c r="M6922" t="n">
        <v>0</v>
      </c>
      <c r="N6922" t="n">
        <v>0</v>
      </c>
      <c r="O6922" t="n">
        <v>0</v>
      </c>
      <c r="P6922" t="n">
        <v>0</v>
      </c>
      <c r="Q6922" t="n">
        <v>0</v>
      </c>
      <c r="R6922" s="2" t="inlineStr"/>
    </row>
    <row r="6923" ht="15" customHeight="1">
      <c r="A6923" t="inlineStr">
        <is>
          <t>A 37569-2025</t>
        </is>
      </c>
      <c r="B6923" s="1" t="n">
        <v>45880.36773148148</v>
      </c>
      <c r="C6923" s="1" t="n">
        <v>46093</v>
      </c>
      <c r="D6923" t="inlineStr">
        <is>
          <t>VÄSTERNORRLANDS LÄN</t>
        </is>
      </c>
      <c r="E6923" t="inlineStr">
        <is>
          <t>ÖRNSKÖLDSVIK</t>
        </is>
      </c>
      <c r="F6923" t="inlineStr">
        <is>
          <t>Holmen skog AB</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63556-2021</t>
        </is>
      </c>
      <c r="B6924" s="1" t="n">
        <v>44508.70231481481</v>
      </c>
      <c r="C6924" s="1" t="n">
        <v>46093</v>
      </c>
      <c r="D6924" t="inlineStr">
        <is>
          <t>VÄSTERNORRLANDS LÄN</t>
        </is>
      </c>
      <c r="E6924" t="inlineStr">
        <is>
          <t>ÅNGE</t>
        </is>
      </c>
      <c r="G6924" t="n">
        <v>4.2</v>
      </c>
      <c r="H6924" t="n">
        <v>0</v>
      </c>
      <c r="I6924" t="n">
        <v>0</v>
      </c>
      <c r="J6924" t="n">
        <v>0</v>
      </c>
      <c r="K6924" t="n">
        <v>0</v>
      </c>
      <c r="L6924" t="n">
        <v>0</v>
      </c>
      <c r="M6924" t="n">
        <v>0</v>
      </c>
      <c r="N6924" t="n">
        <v>0</v>
      </c>
      <c r="O6924" t="n">
        <v>0</v>
      </c>
      <c r="P6924" t="n">
        <v>0</v>
      </c>
      <c r="Q6924" t="n">
        <v>0</v>
      </c>
      <c r="R6924" s="2" t="inlineStr"/>
    </row>
    <row r="6925" ht="15" customHeight="1">
      <c r="A6925" t="inlineStr">
        <is>
          <t>A 51880-2025</t>
        </is>
      </c>
      <c r="B6925" s="1" t="n">
        <v>45952.40435185185</v>
      </c>
      <c r="C6925" s="1" t="n">
        <v>46093</v>
      </c>
      <c r="D6925" t="inlineStr">
        <is>
          <t>VÄSTERNORRLANDS LÄN</t>
        </is>
      </c>
      <c r="E6925" t="inlineStr">
        <is>
          <t>SOLLEFTEÅ</t>
        </is>
      </c>
      <c r="G6925" t="n">
        <v>2.5</v>
      </c>
      <c r="H6925" t="n">
        <v>0</v>
      </c>
      <c r="I6925" t="n">
        <v>0</v>
      </c>
      <c r="J6925" t="n">
        <v>0</v>
      </c>
      <c r="K6925" t="n">
        <v>0</v>
      </c>
      <c r="L6925" t="n">
        <v>0</v>
      </c>
      <c r="M6925" t="n">
        <v>0</v>
      </c>
      <c r="N6925" t="n">
        <v>0</v>
      </c>
      <c r="O6925" t="n">
        <v>0</v>
      </c>
      <c r="P6925" t="n">
        <v>0</v>
      </c>
      <c r="Q6925" t="n">
        <v>0</v>
      </c>
      <c r="R6925" s="2" t="inlineStr"/>
    </row>
    <row r="6926" ht="15" customHeight="1">
      <c r="A6926" t="inlineStr">
        <is>
          <t>A 10922-2024</t>
        </is>
      </c>
      <c r="B6926" s="1" t="n">
        <v>45370</v>
      </c>
      <c r="C6926" s="1" t="n">
        <v>46093</v>
      </c>
      <c r="D6926" t="inlineStr">
        <is>
          <t>VÄSTERNORRLANDS LÄN</t>
        </is>
      </c>
      <c r="E6926" t="inlineStr">
        <is>
          <t>ÅNGE</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14274-2025</t>
        </is>
      </c>
      <c r="B6927" s="1" t="n">
        <v>45740.64412037037</v>
      </c>
      <c r="C6927" s="1" t="n">
        <v>46093</v>
      </c>
      <c r="D6927" t="inlineStr">
        <is>
          <t>VÄSTERNORRLANDS LÄN</t>
        </is>
      </c>
      <c r="E6927" t="inlineStr">
        <is>
          <t>SOLLEFTEÅ</t>
        </is>
      </c>
      <c r="G6927" t="n">
        <v>2.9</v>
      </c>
      <c r="H6927" t="n">
        <v>0</v>
      </c>
      <c r="I6927" t="n">
        <v>0</v>
      </c>
      <c r="J6927" t="n">
        <v>0</v>
      </c>
      <c r="K6927" t="n">
        <v>0</v>
      </c>
      <c r="L6927" t="n">
        <v>0</v>
      </c>
      <c r="M6927" t="n">
        <v>0</v>
      </c>
      <c r="N6927" t="n">
        <v>0</v>
      </c>
      <c r="O6927" t="n">
        <v>0</v>
      </c>
      <c r="P6927" t="n">
        <v>0</v>
      </c>
      <c r="Q6927" t="n">
        <v>0</v>
      </c>
      <c r="R6927" s="2" t="inlineStr"/>
    </row>
    <row r="6928" ht="15" customHeight="1">
      <c r="A6928" t="inlineStr">
        <is>
          <t>A 52091-2025</t>
        </is>
      </c>
      <c r="B6928" s="1" t="n">
        <v>45952.67809027778</v>
      </c>
      <c r="C6928" s="1" t="n">
        <v>46093</v>
      </c>
      <c r="D6928" t="inlineStr">
        <is>
          <t>VÄSTERNORRLANDS LÄN</t>
        </is>
      </c>
      <c r="E6928" t="inlineStr">
        <is>
          <t>TIMRÅ</t>
        </is>
      </c>
      <c r="G6928" t="n">
        <v>4.8</v>
      </c>
      <c r="H6928" t="n">
        <v>0</v>
      </c>
      <c r="I6928" t="n">
        <v>0</v>
      </c>
      <c r="J6928" t="n">
        <v>0</v>
      </c>
      <c r="K6928" t="n">
        <v>0</v>
      </c>
      <c r="L6928" t="n">
        <v>0</v>
      </c>
      <c r="M6928" t="n">
        <v>0</v>
      </c>
      <c r="N6928" t="n">
        <v>0</v>
      </c>
      <c r="O6928" t="n">
        <v>0</v>
      </c>
      <c r="P6928" t="n">
        <v>0</v>
      </c>
      <c r="Q6928" t="n">
        <v>0</v>
      </c>
      <c r="R6928" s="2" t="inlineStr"/>
    </row>
    <row r="6929" ht="15" customHeight="1">
      <c r="A6929" t="inlineStr">
        <is>
          <t>A 62171-2024</t>
        </is>
      </c>
      <c r="B6929" s="1" t="n">
        <v>45657.65657407408</v>
      </c>
      <c r="C6929" s="1" t="n">
        <v>46093</v>
      </c>
      <c r="D6929" t="inlineStr">
        <is>
          <t>VÄSTERNORRLANDS LÄN</t>
        </is>
      </c>
      <c r="E6929" t="inlineStr">
        <is>
          <t>SOLLEFTEÅ</t>
        </is>
      </c>
      <c r="F6929" t="inlineStr">
        <is>
          <t>SCA</t>
        </is>
      </c>
      <c r="G6929" t="n">
        <v>1.7</v>
      </c>
      <c r="H6929" t="n">
        <v>0</v>
      </c>
      <c r="I6929" t="n">
        <v>0</v>
      </c>
      <c r="J6929" t="n">
        <v>0</v>
      </c>
      <c r="K6929" t="n">
        <v>0</v>
      </c>
      <c r="L6929" t="n">
        <v>0</v>
      </c>
      <c r="M6929" t="n">
        <v>0</v>
      </c>
      <c r="N6929" t="n">
        <v>0</v>
      </c>
      <c r="O6929" t="n">
        <v>0</v>
      </c>
      <c r="P6929" t="n">
        <v>0</v>
      </c>
      <c r="Q6929" t="n">
        <v>0</v>
      </c>
      <c r="R6929" s="2" t="inlineStr"/>
    </row>
    <row r="6930" ht="15" customHeight="1">
      <c r="A6930" t="inlineStr">
        <is>
          <t>A 6-2025</t>
        </is>
      </c>
      <c r="B6930" s="1" t="n">
        <v>45658.50759259259</v>
      </c>
      <c r="C6930" s="1" t="n">
        <v>46093</v>
      </c>
      <c r="D6930" t="inlineStr">
        <is>
          <t>VÄSTERNORRLANDS LÄN</t>
        </is>
      </c>
      <c r="E6930" t="inlineStr">
        <is>
          <t>ÅNGE</t>
        </is>
      </c>
      <c r="G6930" t="n">
        <v>4.3</v>
      </c>
      <c r="H6930" t="n">
        <v>0</v>
      </c>
      <c r="I6930" t="n">
        <v>0</v>
      </c>
      <c r="J6930" t="n">
        <v>0</v>
      </c>
      <c r="K6930" t="n">
        <v>0</v>
      </c>
      <c r="L6930" t="n">
        <v>0</v>
      </c>
      <c r="M6930" t="n">
        <v>0</v>
      </c>
      <c r="N6930" t="n">
        <v>0</v>
      </c>
      <c r="O6930" t="n">
        <v>0</v>
      </c>
      <c r="P6930" t="n">
        <v>0</v>
      </c>
      <c r="Q6930" t="n">
        <v>0</v>
      </c>
      <c r="R6930" s="2" t="inlineStr"/>
    </row>
    <row r="6931" ht="15" customHeight="1">
      <c r="A6931" t="inlineStr">
        <is>
          <t>A 54360-2024</t>
        </is>
      </c>
      <c r="B6931" s="1" t="n">
        <v>45617.41064814815</v>
      </c>
      <c r="C6931" s="1" t="n">
        <v>46093</v>
      </c>
      <c r="D6931" t="inlineStr">
        <is>
          <t>VÄSTERNORRLANDS LÄN</t>
        </is>
      </c>
      <c r="E6931" t="inlineStr">
        <is>
          <t>KRAMFORS</t>
        </is>
      </c>
      <c r="G6931" t="n">
        <v>6.8</v>
      </c>
      <c r="H6931" t="n">
        <v>0</v>
      </c>
      <c r="I6931" t="n">
        <v>0</v>
      </c>
      <c r="J6931" t="n">
        <v>0</v>
      </c>
      <c r="K6931" t="n">
        <v>0</v>
      </c>
      <c r="L6931" t="n">
        <v>0</v>
      </c>
      <c r="M6931" t="n">
        <v>0</v>
      </c>
      <c r="N6931" t="n">
        <v>0</v>
      </c>
      <c r="O6931" t="n">
        <v>0</v>
      </c>
      <c r="P6931" t="n">
        <v>0</v>
      </c>
      <c r="Q6931" t="n">
        <v>0</v>
      </c>
      <c r="R6931" s="2" t="inlineStr"/>
    </row>
    <row r="6932" ht="15" customHeight="1">
      <c r="A6932" t="inlineStr">
        <is>
          <t>A 40690-2024</t>
        </is>
      </c>
      <c r="B6932" s="1" t="n">
        <v>45558.39309027778</v>
      </c>
      <c r="C6932" s="1" t="n">
        <v>46093</v>
      </c>
      <c r="D6932" t="inlineStr">
        <is>
          <t>VÄSTERNORRLANDS LÄN</t>
        </is>
      </c>
      <c r="E6932" t="inlineStr">
        <is>
          <t>ÖRNSKÖLDSVIK</t>
        </is>
      </c>
      <c r="F6932" t="inlineStr">
        <is>
          <t>Holmen skog AB</t>
        </is>
      </c>
      <c r="G6932" t="n">
        <v>0.4</v>
      </c>
      <c r="H6932" t="n">
        <v>0</v>
      </c>
      <c r="I6932" t="n">
        <v>0</v>
      </c>
      <c r="J6932" t="n">
        <v>0</v>
      </c>
      <c r="K6932" t="n">
        <v>0</v>
      </c>
      <c r="L6932" t="n">
        <v>0</v>
      </c>
      <c r="M6932" t="n">
        <v>0</v>
      </c>
      <c r="N6932" t="n">
        <v>0</v>
      </c>
      <c r="O6932" t="n">
        <v>0</v>
      </c>
      <c r="P6932" t="n">
        <v>0</v>
      </c>
      <c r="Q6932" t="n">
        <v>0</v>
      </c>
      <c r="R6932" s="2" t="inlineStr"/>
    </row>
    <row r="6933" ht="15" customHeight="1">
      <c r="A6933" t="inlineStr">
        <is>
          <t>A 48304-2024</t>
        </is>
      </c>
      <c r="B6933" s="1" t="n">
        <v>45590.47163194444</v>
      </c>
      <c r="C6933" s="1" t="n">
        <v>46093</v>
      </c>
      <c r="D6933" t="inlineStr">
        <is>
          <t>VÄSTERNORRLANDS LÄN</t>
        </is>
      </c>
      <c r="E6933" t="inlineStr">
        <is>
          <t>ÖRNSKÖLDSVIK</t>
        </is>
      </c>
      <c r="F6933" t="inlineStr">
        <is>
          <t>Holmen skog AB</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51779-2025</t>
        </is>
      </c>
      <c r="B6934" s="1" t="n">
        <v>45951.65715277778</v>
      </c>
      <c r="C6934" s="1" t="n">
        <v>46093</v>
      </c>
      <c r="D6934" t="inlineStr">
        <is>
          <t>VÄSTERNORRLANDS LÄN</t>
        </is>
      </c>
      <c r="E6934" t="inlineStr">
        <is>
          <t>TIMRÅ</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657-2025</t>
        </is>
      </c>
      <c r="B6935" s="1" t="n">
        <v>45664.67766203704</v>
      </c>
      <c r="C6935" s="1" t="n">
        <v>46093</v>
      </c>
      <c r="D6935" t="inlineStr">
        <is>
          <t>VÄSTERNORRLANDS LÄN</t>
        </is>
      </c>
      <c r="E6935" t="inlineStr">
        <is>
          <t>SOLLEFTEÅ</t>
        </is>
      </c>
      <c r="F6935" t="inlineStr">
        <is>
          <t>SCA</t>
        </is>
      </c>
      <c r="G6935" t="n">
        <v>2.7</v>
      </c>
      <c r="H6935" t="n">
        <v>0</v>
      </c>
      <c r="I6935" t="n">
        <v>0</v>
      </c>
      <c r="J6935" t="n">
        <v>0</v>
      </c>
      <c r="K6935" t="n">
        <v>0</v>
      </c>
      <c r="L6935" t="n">
        <v>0</v>
      </c>
      <c r="M6935" t="n">
        <v>0</v>
      </c>
      <c r="N6935" t="n">
        <v>0</v>
      </c>
      <c r="O6935" t="n">
        <v>0</v>
      </c>
      <c r="P6935" t="n">
        <v>0</v>
      </c>
      <c r="Q6935" t="n">
        <v>0</v>
      </c>
      <c r="R6935" s="2" t="inlineStr"/>
    </row>
    <row r="6936" ht="15" customHeight="1">
      <c r="A6936" t="inlineStr">
        <is>
          <t>A 27912-2022</t>
        </is>
      </c>
      <c r="B6936" s="1" t="n">
        <v>44743.92454861111</v>
      </c>
      <c r="C6936" s="1" t="n">
        <v>46093</v>
      </c>
      <c r="D6936" t="inlineStr">
        <is>
          <t>VÄSTERNORRLANDS LÄN</t>
        </is>
      </c>
      <c r="E6936" t="inlineStr">
        <is>
          <t>HÄRNÖSAND</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39764-2024</t>
        </is>
      </c>
      <c r="B6937" s="1" t="n">
        <v>45552.7190162037</v>
      </c>
      <c r="C6937" s="1" t="n">
        <v>46093</v>
      </c>
      <c r="D6937" t="inlineStr">
        <is>
          <t>VÄSTERNORRLANDS LÄN</t>
        </is>
      </c>
      <c r="E6937" t="inlineStr">
        <is>
          <t>ÅNGE</t>
        </is>
      </c>
      <c r="F6937" t="inlineStr">
        <is>
          <t>SCA</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51580-2025</t>
        </is>
      </c>
      <c r="B6938" s="1" t="n">
        <v>45951.34542824074</v>
      </c>
      <c r="C6938" s="1" t="n">
        <v>46093</v>
      </c>
      <c r="D6938" t="inlineStr">
        <is>
          <t>VÄSTERNORRLANDS LÄN</t>
        </is>
      </c>
      <c r="E6938" t="inlineStr">
        <is>
          <t>TIMRÅ</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51582-2025</t>
        </is>
      </c>
      <c r="B6939" s="1" t="n">
        <v>45951.34561342592</v>
      </c>
      <c r="C6939" s="1" t="n">
        <v>46093</v>
      </c>
      <c r="D6939" t="inlineStr">
        <is>
          <t>VÄSTERNORRLANDS LÄN</t>
        </is>
      </c>
      <c r="E6939" t="inlineStr">
        <is>
          <t>TIMRÅ</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52353-2025</t>
        </is>
      </c>
      <c r="B6940" s="1" t="n">
        <v>45952</v>
      </c>
      <c r="C6940" s="1" t="n">
        <v>46093</v>
      </c>
      <c r="D6940" t="inlineStr">
        <is>
          <t>VÄSTERNORRLANDS LÄN</t>
        </is>
      </c>
      <c r="E6940" t="inlineStr">
        <is>
          <t>HÄRNÖSAND</t>
        </is>
      </c>
      <c r="G6940" t="n">
        <v>2.9</v>
      </c>
      <c r="H6940" t="n">
        <v>0</v>
      </c>
      <c r="I6940" t="n">
        <v>0</v>
      </c>
      <c r="J6940" t="n">
        <v>0</v>
      </c>
      <c r="K6940" t="n">
        <v>0</v>
      </c>
      <c r="L6940" t="n">
        <v>0</v>
      </c>
      <c r="M6940" t="n">
        <v>0</v>
      </c>
      <c r="N6940" t="n">
        <v>0</v>
      </c>
      <c r="O6940" t="n">
        <v>0</v>
      </c>
      <c r="P6940" t="n">
        <v>0</v>
      </c>
      <c r="Q6940" t="n">
        <v>0</v>
      </c>
      <c r="R6940" s="2" t="inlineStr"/>
    </row>
    <row r="6941" ht="15" customHeight="1">
      <c r="A6941" t="inlineStr">
        <is>
          <t>A 52081-2025</t>
        </is>
      </c>
      <c r="B6941" s="1" t="n">
        <v>45952.66413194445</v>
      </c>
      <c r="C6941" s="1" t="n">
        <v>46093</v>
      </c>
      <c r="D6941" t="inlineStr">
        <is>
          <t>VÄSTERNORRLANDS LÄN</t>
        </is>
      </c>
      <c r="E6941" t="inlineStr">
        <is>
          <t>ÖRNSKÖLDSVIK</t>
        </is>
      </c>
      <c r="F6941" t="inlineStr">
        <is>
          <t>Holmen skog AB</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52090-2025</t>
        </is>
      </c>
      <c r="B6942" s="1" t="n">
        <v>45952.67783564814</v>
      </c>
      <c r="C6942" s="1" t="n">
        <v>46093</v>
      </c>
      <c r="D6942" t="inlineStr">
        <is>
          <t>VÄSTERNORRLANDS LÄN</t>
        </is>
      </c>
      <c r="E6942" t="inlineStr">
        <is>
          <t>TIMRÅ</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52107-2025</t>
        </is>
      </c>
      <c r="B6943" s="1" t="n">
        <v>45952</v>
      </c>
      <c r="C6943" s="1" t="n">
        <v>46093</v>
      </c>
      <c r="D6943" t="inlineStr">
        <is>
          <t>VÄSTERNORRLANDS LÄN</t>
        </is>
      </c>
      <c r="E6943" t="inlineStr">
        <is>
          <t>KRAMFORS</t>
        </is>
      </c>
      <c r="G6943" t="n">
        <v>2.3</v>
      </c>
      <c r="H6943" t="n">
        <v>0</v>
      </c>
      <c r="I6943" t="n">
        <v>0</v>
      </c>
      <c r="J6943" t="n">
        <v>0</v>
      </c>
      <c r="K6943" t="n">
        <v>0</v>
      </c>
      <c r="L6943" t="n">
        <v>0</v>
      </c>
      <c r="M6943" t="n">
        <v>0</v>
      </c>
      <c r="N6943" t="n">
        <v>0</v>
      </c>
      <c r="O6943" t="n">
        <v>0</v>
      </c>
      <c r="P6943" t="n">
        <v>0</v>
      </c>
      <c r="Q6943" t="n">
        <v>0</v>
      </c>
      <c r="R6943" s="2" t="inlineStr"/>
    </row>
    <row r="6944" ht="15" customHeight="1">
      <c r="A6944" t="inlineStr">
        <is>
          <t>A 58702-2023</t>
        </is>
      </c>
      <c r="B6944" s="1" t="n">
        <v>45251.68495370371</v>
      </c>
      <c r="C6944" s="1" t="n">
        <v>46093</v>
      </c>
      <c r="D6944" t="inlineStr">
        <is>
          <t>VÄSTERNORRLANDS LÄN</t>
        </is>
      </c>
      <c r="E6944" t="inlineStr">
        <is>
          <t>ÖRNSKÖLDSVIK</t>
        </is>
      </c>
      <c r="F6944" t="inlineStr">
        <is>
          <t>Holmen skog AB</t>
        </is>
      </c>
      <c r="G6944" t="n">
        <v>3.7</v>
      </c>
      <c r="H6944" t="n">
        <v>0</v>
      </c>
      <c r="I6944" t="n">
        <v>0</v>
      </c>
      <c r="J6944" t="n">
        <v>0</v>
      </c>
      <c r="K6944" t="n">
        <v>0</v>
      </c>
      <c r="L6944" t="n">
        <v>0</v>
      </c>
      <c r="M6944" t="n">
        <v>0</v>
      </c>
      <c r="N6944" t="n">
        <v>0</v>
      </c>
      <c r="O6944" t="n">
        <v>0</v>
      </c>
      <c r="P6944" t="n">
        <v>0</v>
      </c>
      <c r="Q6944" t="n">
        <v>0</v>
      </c>
      <c r="R6944" s="2" t="inlineStr"/>
    </row>
    <row r="6945" ht="15" customHeight="1">
      <c r="A6945" t="inlineStr">
        <is>
          <t>A 52055-2025</t>
        </is>
      </c>
      <c r="B6945" s="1" t="n">
        <v>45952.63206018518</v>
      </c>
      <c r="C6945" s="1" t="n">
        <v>46093</v>
      </c>
      <c r="D6945" t="inlineStr">
        <is>
          <t>VÄSTERNORRLANDS LÄN</t>
        </is>
      </c>
      <c r="E6945" t="inlineStr">
        <is>
          <t>ÖRNSKÖLDSVIK</t>
        </is>
      </c>
      <c r="F6945" t="inlineStr">
        <is>
          <t>Holmen skog AB</t>
        </is>
      </c>
      <c r="G6945" t="n">
        <v>2.7</v>
      </c>
      <c r="H6945" t="n">
        <v>0</v>
      </c>
      <c r="I6945" t="n">
        <v>0</v>
      </c>
      <c r="J6945" t="n">
        <v>0</v>
      </c>
      <c r="K6945" t="n">
        <v>0</v>
      </c>
      <c r="L6945" t="n">
        <v>0</v>
      </c>
      <c r="M6945" t="n">
        <v>0</v>
      </c>
      <c r="N6945" t="n">
        <v>0</v>
      </c>
      <c r="O6945" t="n">
        <v>0</v>
      </c>
      <c r="P6945" t="n">
        <v>0</v>
      </c>
      <c r="Q6945" t="n">
        <v>0</v>
      </c>
      <c r="R6945" s="2" t="inlineStr"/>
    </row>
    <row r="6946" ht="15" customHeight="1">
      <c r="A6946" t="inlineStr">
        <is>
          <t>A 52060-2025</t>
        </is>
      </c>
      <c r="B6946" s="1" t="n">
        <v>45952.63641203703</v>
      </c>
      <c r="C6946" s="1" t="n">
        <v>46093</v>
      </c>
      <c r="D6946" t="inlineStr">
        <is>
          <t>VÄSTERNORRLANDS LÄN</t>
        </is>
      </c>
      <c r="E6946" t="inlineStr">
        <is>
          <t>ÅNGE</t>
        </is>
      </c>
      <c r="F6946" t="inlineStr">
        <is>
          <t>SCA</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51784-2025</t>
        </is>
      </c>
      <c r="B6947" s="1" t="n">
        <v>45951.67762731481</v>
      </c>
      <c r="C6947" s="1" t="n">
        <v>46093</v>
      </c>
      <c r="D6947" t="inlineStr">
        <is>
          <t>VÄSTERNORRLANDS LÄN</t>
        </is>
      </c>
      <c r="E6947" t="inlineStr">
        <is>
          <t>ÖRNSKÖLDSVIK</t>
        </is>
      </c>
      <c r="F6947" t="inlineStr">
        <is>
          <t>SCA</t>
        </is>
      </c>
      <c r="G6947" t="n">
        <v>7.6</v>
      </c>
      <c r="H6947" t="n">
        <v>0</v>
      </c>
      <c r="I6947" t="n">
        <v>0</v>
      </c>
      <c r="J6947" t="n">
        <v>0</v>
      </c>
      <c r="K6947" t="n">
        <v>0</v>
      </c>
      <c r="L6947" t="n">
        <v>0</v>
      </c>
      <c r="M6947" t="n">
        <v>0</v>
      </c>
      <c r="N6947" t="n">
        <v>0</v>
      </c>
      <c r="O6947" t="n">
        <v>0</v>
      </c>
      <c r="P6947" t="n">
        <v>0</v>
      </c>
      <c r="Q6947" t="n">
        <v>0</v>
      </c>
      <c r="R6947" s="2" t="inlineStr"/>
    </row>
    <row r="6948" ht="15" customHeight="1">
      <c r="A6948" t="inlineStr">
        <is>
          <t>A 51813-2025</t>
        </is>
      </c>
      <c r="B6948" s="1" t="n">
        <v>45951.83082175926</v>
      </c>
      <c r="C6948" s="1" t="n">
        <v>46093</v>
      </c>
      <c r="D6948" t="inlineStr">
        <is>
          <t>VÄSTERNORRLANDS LÄN</t>
        </is>
      </c>
      <c r="E6948" t="inlineStr">
        <is>
          <t>ÅNGE</t>
        </is>
      </c>
      <c r="G6948" t="n">
        <v>2.5</v>
      </c>
      <c r="H6948" t="n">
        <v>0</v>
      </c>
      <c r="I6948" t="n">
        <v>0</v>
      </c>
      <c r="J6948" t="n">
        <v>0</v>
      </c>
      <c r="K6948" t="n">
        <v>0</v>
      </c>
      <c r="L6948" t="n">
        <v>0</v>
      </c>
      <c r="M6948" t="n">
        <v>0</v>
      </c>
      <c r="N6948" t="n">
        <v>0</v>
      </c>
      <c r="O6948" t="n">
        <v>0</v>
      </c>
      <c r="P6948" t="n">
        <v>0</v>
      </c>
      <c r="Q6948" t="n">
        <v>0</v>
      </c>
      <c r="R6948" s="2" t="inlineStr"/>
    </row>
    <row r="6949" ht="15" customHeight="1">
      <c r="A6949" t="inlineStr">
        <is>
          <t>A 51814-2025</t>
        </is>
      </c>
      <c r="B6949" s="1" t="n">
        <v>45951.83572916667</v>
      </c>
      <c r="C6949" s="1" t="n">
        <v>46093</v>
      </c>
      <c r="D6949" t="inlineStr">
        <is>
          <t>VÄSTERNORRLANDS LÄN</t>
        </is>
      </c>
      <c r="E6949" t="inlineStr">
        <is>
          <t>SUNDSVALL</t>
        </is>
      </c>
      <c r="G6949" t="n">
        <v>5.5</v>
      </c>
      <c r="H6949" t="n">
        <v>0</v>
      </c>
      <c r="I6949" t="n">
        <v>0</v>
      </c>
      <c r="J6949" t="n">
        <v>0</v>
      </c>
      <c r="K6949" t="n">
        <v>0</v>
      </c>
      <c r="L6949" t="n">
        <v>0</v>
      </c>
      <c r="M6949" t="n">
        <v>0</v>
      </c>
      <c r="N6949" t="n">
        <v>0</v>
      </c>
      <c r="O6949" t="n">
        <v>0</v>
      </c>
      <c r="P6949" t="n">
        <v>0</v>
      </c>
      <c r="Q6949" t="n">
        <v>0</v>
      </c>
      <c r="R6949" s="2" t="inlineStr"/>
    </row>
    <row r="6950" ht="15" customHeight="1">
      <c r="A6950" t="inlineStr">
        <is>
          <t>A 37723-2025</t>
        </is>
      </c>
      <c r="B6950" s="1" t="n">
        <v>45880.61528935185</v>
      </c>
      <c r="C6950" s="1" t="n">
        <v>46093</v>
      </c>
      <c r="D6950" t="inlineStr">
        <is>
          <t>VÄSTERNORRLANDS LÄN</t>
        </is>
      </c>
      <c r="E6950" t="inlineStr">
        <is>
          <t>ÅNGE</t>
        </is>
      </c>
      <c r="G6950" t="n">
        <v>3</v>
      </c>
      <c r="H6950" t="n">
        <v>0</v>
      </c>
      <c r="I6950" t="n">
        <v>0</v>
      </c>
      <c r="J6950" t="n">
        <v>0</v>
      </c>
      <c r="K6950" t="n">
        <v>0</v>
      </c>
      <c r="L6950" t="n">
        <v>0</v>
      </c>
      <c r="M6950" t="n">
        <v>0</v>
      </c>
      <c r="N6950" t="n">
        <v>0</v>
      </c>
      <c r="O6950" t="n">
        <v>0</v>
      </c>
      <c r="P6950" t="n">
        <v>0</v>
      </c>
      <c r="Q6950" t="n">
        <v>0</v>
      </c>
      <c r="R6950" s="2" t="inlineStr"/>
    </row>
    <row r="6951" ht="15" customHeight="1">
      <c r="A6951" t="inlineStr">
        <is>
          <t>A 62484-2023</t>
        </is>
      </c>
      <c r="B6951" s="1" t="n">
        <v>45268.57909722222</v>
      </c>
      <c r="C6951" s="1" t="n">
        <v>46093</v>
      </c>
      <c r="D6951" t="inlineStr">
        <is>
          <t>VÄSTERNORRLANDS LÄN</t>
        </is>
      </c>
      <c r="E6951" t="inlineStr">
        <is>
          <t>ÖRNSKÖLDSVIK</t>
        </is>
      </c>
      <c r="G6951" t="n">
        <v>2.9</v>
      </c>
      <c r="H6951" t="n">
        <v>0</v>
      </c>
      <c r="I6951" t="n">
        <v>0</v>
      </c>
      <c r="J6951" t="n">
        <v>0</v>
      </c>
      <c r="K6951" t="n">
        <v>0</v>
      </c>
      <c r="L6951" t="n">
        <v>0</v>
      </c>
      <c r="M6951" t="n">
        <v>0</v>
      </c>
      <c r="N6951" t="n">
        <v>0</v>
      </c>
      <c r="O6951" t="n">
        <v>0</v>
      </c>
      <c r="P6951" t="n">
        <v>0</v>
      </c>
      <c r="Q6951" t="n">
        <v>0</v>
      </c>
      <c r="R6951" s="2" t="inlineStr"/>
    </row>
    <row r="6952" ht="15" customHeight="1">
      <c r="A6952" t="inlineStr">
        <is>
          <t>A 1002-2024</t>
        </is>
      </c>
      <c r="B6952" s="1" t="n">
        <v>45301</v>
      </c>
      <c r="C6952" s="1" t="n">
        <v>46093</v>
      </c>
      <c r="D6952" t="inlineStr">
        <is>
          <t>VÄSTERNORRLANDS LÄN</t>
        </is>
      </c>
      <c r="E6952" t="inlineStr">
        <is>
          <t>ÖRNSKÖLDSVIK</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51713-2025</t>
        </is>
      </c>
      <c r="B6953" s="1" t="n">
        <v>45951.5744212963</v>
      </c>
      <c r="C6953" s="1" t="n">
        <v>46093</v>
      </c>
      <c r="D6953" t="inlineStr">
        <is>
          <t>VÄSTERNORRLANDS LÄN</t>
        </is>
      </c>
      <c r="E6953" t="inlineStr">
        <is>
          <t>ÖRNSKÖLDSVIK</t>
        </is>
      </c>
      <c r="G6953" t="n">
        <v>2.9</v>
      </c>
      <c r="H6953" t="n">
        <v>0</v>
      </c>
      <c r="I6953" t="n">
        <v>0</v>
      </c>
      <c r="J6953" t="n">
        <v>0</v>
      </c>
      <c r="K6953" t="n">
        <v>0</v>
      </c>
      <c r="L6953" t="n">
        <v>0</v>
      </c>
      <c r="M6953" t="n">
        <v>0</v>
      </c>
      <c r="N6953" t="n">
        <v>0</v>
      </c>
      <c r="O6953" t="n">
        <v>0</v>
      </c>
      <c r="P6953" t="n">
        <v>0</v>
      </c>
      <c r="Q6953" t="n">
        <v>0</v>
      </c>
      <c r="R6953" s="2" t="inlineStr"/>
    </row>
    <row r="6954" ht="15" customHeight="1">
      <c r="A6954" t="inlineStr">
        <is>
          <t>A 51726-2025</t>
        </is>
      </c>
      <c r="B6954" s="1" t="n">
        <v>45951.58940972222</v>
      </c>
      <c r="C6954" s="1" t="n">
        <v>46093</v>
      </c>
      <c r="D6954" t="inlineStr">
        <is>
          <t>VÄSTERNORRLANDS LÄN</t>
        </is>
      </c>
      <c r="E6954" t="inlineStr">
        <is>
          <t>KRAMFORS</t>
        </is>
      </c>
      <c r="G6954" t="n">
        <v>3</v>
      </c>
      <c r="H6954" t="n">
        <v>0</v>
      </c>
      <c r="I6954" t="n">
        <v>0</v>
      </c>
      <c r="J6954" t="n">
        <v>0</v>
      </c>
      <c r="K6954" t="n">
        <v>0</v>
      </c>
      <c r="L6954" t="n">
        <v>0</v>
      </c>
      <c r="M6954" t="n">
        <v>0</v>
      </c>
      <c r="N6954" t="n">
        <v>0</v>
      </c>
      <c r="O6954" t="n">
        <v>0</v>
      </c>
      <c r="P6954" t="n">
        <v>0</v>
      </c>
      <c r="Q6954" t="n">
        <v>0</v>
      </c>
      <c r="R6954" s="2" t="inlineStr"/>
    </row>
    <row r="6955" ht="15" customHeight="1">
      <c r="A6955" t="inlineStr">
        <is>
          <t>A 52116-2025</t>
        </is>
      </c>
      <c r="B6955" s="1" t="n">
        <v>45952</v>
      </c>
      <c r="C6955" s="1" t="n">
        <v>46093</v>
      </c>
      <c r="D6955" t="inlineStr">
        <is>
          <t>VÄSTERNORRLANDS LÄN</t>
        </is>
      </c>
      <c r="E6955" t="inlineStr">
        <is>
          <t>SOLLEFTEÅ</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52123-2025</t>
        </is>
      </c>
      <c r="B6956" s="1" t="n">
        <v>45952.71978009259</v>
      </c>
      <c r="C6956" s="1" t="n">
        <v>46093</v>
      </c>
      <c r="D6956" t="inlineStr">
        <is>
          <t>VÄSTERNORRLANDS LÄN</t>
        </is>
      </c>
      <c r="E6956" t="inlineStr">
        <is>
          <t>TIMRÅ</t>
        </is>
      </c>
      <c r="F6956" t="inlineStr">
        <is>
          <t>SCA</t>
        </is>
      </c>
      <c r="G6956" t="n">
        <v>14.7</v>
      </c>
      <c r="H6956" t="n">
        <v>0</v>
      </c>
      <c r="I6956" t="n">
        <v>0</v>
      </c>
      <c r="J6956" t="n">
        <v>0</v>
      </c>
      <c r="K6956" t="n">
        <v>0</v>
      </c>
      <c r="L6956" t="n">
        <v>0</v>
      </c>
      <c r="M6956" t="n">
        <v>0</v>
      </c>
      <c r="N6956" t="n">
        <v>0</v>
      </c>
      <c r="O6956" t="n">
        <v>0</v>
      </c>
      <c r="P6956" t="n">
        <v>0</v>
      </c>
      <c r="Q6956" t="n">
        <v>0</v>
      </c>
      <c r="R6956" s="2" t="inlineStr"/>
    </row>
    <row r="6957" ht="15" customHeight="1">
      <c r="A6957" t="inlineStr">
        <is>
          <t>A 8250-2025</t>
        </is>
      </c>
      <c r="B6957" s="1" t="n">
        <v>45708</v>
      </c>
      <c r="C6957" s="1" t="n">
        <v>46093</v>
      </c>
      <c r="D6957" t="inlineStr">
        <is>
          <t>VÄSTERNORRLANDS LÄN</t>
        </is>
      </c>
      <c r="E6957" t="inlineStr">
        <is>
          <t>ÖRNSKÖLDSVIK</t>
        </is>
      </c>
      <c r="G6957" t="n">
        <v>5</v>
      </c>
      <c r="H6957" t="n">
        <v>0</v>
      </c>
      <c r="I6957" t="n">
        <v>0</v>
      </c>
      <c r="J6957" t="n">
        <v>0</v>
      </c>
      <c r="K6957" t="n">
        <v>0</v>
      </c>
      <c r="L6957" t="n">
        <v>0</v>
      </c>
      <c r="M6957" t="n">
        <v>0</v>
      </c>
      <c r="N6957" t="n">
        <v>0</v>
      </c>
      <c r="O6957" t="n">
        <v>0</v>
      </c>
      <c r="P6957" t="n">
        <v>0</v>
      </c>
      <c r="Q6957" t="n">
        <v>0</v>
      </c>
      <c r="R6957" s="2" t="inlineStr"/>
    </row>
    <row r="6958" ht="15" customHeight="1">
      <c r="A6958" t="inlineStr">
        <is>
          <t>A 52129-2025</t>
        </is>
      </c>
      <c r="B6958" s="1" t="n">
        <v>45952</v>
      </c>
      <c r="C6958" s="1" t="n">
        <v>46093</v>
      </c>
      <c r="D6958" t="inlineStr">
        <is>
          <t>VÄSTERNORRLANDS LÄN</t>
        </is>
      </c>
      <c r="E6958" t="inlineStr">
        <is>
          <t>ÖRNSKÖLDSVIK</t>
        </is>
      </c>
      <c r="G6958" t="n">
        <v>22.6</v>
      </c>
      <c r="H6958" t="n">
        <v>0</v>
      </c>
      <c r="I6958" t="n">
        <v>0</v>
      </c>
      <c r="J6958" t="n">
        <v>0</v>
      </c>
      <c r="K6958" t="n">
        <v>0</v>
      </c>
      <c r="L6958" t="n">
        <v>0</v>
      </c>
      <c r="M6958" t="n">
        <v>0</v>
      </c>
      <c r="N6958" t="n">
        <v>0</v>
      </c>
      <c r="O6958" t="n">
        <v>0</v>
      </c>
      <c r="P6958" t="n">
        <v>0</v>
      </c>
      <c r="Q6958" t="n">
        <v>0</v>
      </c>
      <c r="R6958" s="2" t="inlineStr"/>
    </row>
    <row r="6959" ht="15" customHeight="1">
      <c r="A6959" t="inlineStr">
        <is>
          <t>A 50272-2023</t>
        </is>
      </c>
      <c r="B6959" s="1" t="n">
        <v>45216</v>
      </c>
      <c r="C6959" s="1" t="n">
        <v>46093</v>
      </c>
      <c r="D6959" t="inlineStr">
        <is>
          <t>VÄSTERNORRLANDS LÄN</t>
        </is>
      </c>
      <c r="E6959" t="inlineStr">
        <is>
          <t>SUNDSVALL</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14554-2024</t>
        </is>
      </c>
      <c r="B6960" s="1" t="n">
        <v>45394</v>
      </c>
      <c r="C6960" s="1" t="n">
        <v>46093</v>
      </c>
      <c r="D6960" t="inlineStr">
        <is>
          <t>VÄSTERNORRLANDS LÄN</t>
        </is>
      </c>
      <c r="E6960" t="inlineStr">
        <is>
          <t>SOLLEFTEÅ</t>
        </is>
      </c>
      <c r="G6960" t="n">
        <v>3.8</v>
      </c>
      <c r="H6960" t="n">
        <v>0</v>
      </c>
      <c r="I6960" t="n">
        <v>0</v>
      </c>
      <c r="J6960" t="n">
        <v>0</v>
      </c>
      <c r="K6960" t="n">
        <v>0</v>
      </c>
      <c r="L6960" t="n">
        <v>0</v>
      </c>
      <c r="M6960" t="n">
        <v>0</v>
      </c>
      <c r="N6960" t="n">
        <v>0</v>
      </c>
      <c r="O6960" t="n">
        <v>0</v>
      </c>
      <c r="P6960" t="n">
        <v>0</v>
      </c>
      <c r="Q6960" t="n">
        <v>0</v>
      </c>
      <c r="R6960" s="2" t="inlineStr"/>
    </row>
    <row r="6961" ht="15" customHeight="1">
      <c r="A6961" t="inlineStr">
        <is>
          <t>A 53687-2024</t>
        </is>
      </c>
      <c r="B6961" s="1" t="n">
        <v>45615.36915509259</v>
      </c>
      <c r="C6961" s="1" t="n">
        <v>46093</v>
      </c>
      <c r="D6961" t="inlineStr">
        <is>
          <t>VÄSTERNORRLANDS LÄN</t>
        </is>
      </c>
      <c r="E6961" t="inlineStr">
        <is>
          <t>ÖRNSKÖLDSVIK</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51562-2025</t>
        </is>
      </c>
      <c r="B6962" s="1" t="n">
        <v>45951.26741898148</v>
      </c>
      <c r="C6962" s="1" t="n">
        <v>46093</v>
      </c>
      <c r="D6962" t="inlineStr">
        <is>
          <t>VÄSTERNORRLANDS LÄN</t>
        </is>
      </c>
      <c r="E6962" t="inlineStr">
        <is>
          <t>ÖRNSKÖLDSVIK</t>
        </is>
      </c>
      <c r="F6962" t="inlineStr">
        <is>
          <t>Holmen skog AB</t>
        </is>
      </c>
      <c r="G6962" t="n">
        <v>22.5</v>
      </c>
      <c r="H6962" t="n">
        <v>0</v>
      </c>
      <c r="I6962" t="n">
        <v>0</v>
      </c>
      <c r="J6962" t="n">
        <v>0</v>
      </c>
      <c r="K6962" t="n">
        <v>0</v>
      </c>
      <c r="L6962" t="n">
        <v>0</v>
      </c>
      <c r="M6962" t="n">
        <v>0</v>
      </c>
      <c r="N6962" t="n">
        <v>0</v>
      </c>
      <c r="O6962" t="n">
        <v>0</v>
      </c>
      <c r="P6962" t="n">
        <v>0</v>
      </c>
      <c r="Q6962" t="n">
        <v>0</v>
      </c>
      <c r="R6962" s="2" t="inlineStr"/>
    </row>
    <row r="6963" ht="15" customHeight="1">
      <c r="A6963" t="inlineStr">
        <is>
          <t>A 37562-2025</t>
        </is>
      </c>
      <c r="B6963" s="1" t="n">
        <v>45880.34414351852</v>
      </c>
      <c r="C6963" s="1" t="n">
        <v>46093</v>
      </c>
      <c r="D6963" t="inlineStr">
        <is>
          <t>VÄSTERNORRLANDS LÄN</t>
        </is>
      </c>
      <c r="E6963" t="inlineStr">
        <is>
          <t>HÄRNÖSAND</t>
        </is>
      </c>
      <c r="G6963" t="n">
        <v>4.2</v>
      </c>
      <c r="H6963" t="n">
        <v>0</v>
      </c>
      <c r="I6963" t="n">
        <v>0</v>
      </c>
      <c r="J6963" t="n">
        <v>0</v>
      </c>
      <c r="K6963" t="n">
        <v>0</v>
      </c>
      <c r="L6963" t="n">
        <v>0</v>
      </c>
      <c r="M6963" t="n">
        <v>0</v>
      </c>
      <c r="N6963" t="n">
        <v>0</v>
      </c>
      <c r="O6963" t="n">
        <v>0</v>
      </c>
      <c r="P6963" t="n">
        <v>0</v>
      </c>
      <c r="Q6963" t="n">
        <v>0</v>
      </c>
      <c r="R6963" s="2" t="inlineStr"/>
    </row>
    <row r="6964" ht="15" customHeight="1">
      <c r="A6964" t="inlineStr">
        <is>
          <t>A 28642-2022</t>
        </is>
      </c>
      <c r="B6964" s="1" t="n">
        <v>44748</v>
      </c>
      <c r="C6964" s="1" t="n">
        <v>46093</v>
      </c>
      <c r="D6964" t="inlineStr">
        <is>
          <t>VÄSTERNORRLANDS LÄN</t>
        </is>
      </c>
      <c r="E6964" t="inlineStr">
        <is>
          <t>ÖRNSKÖLDSVIK</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21089-2024</t>
        </is>
      </c>
      <c r="B6965" s="1" t="n">
        <v>45439.94987268518</v>
      </c>
      <c r="C6965" s="1" t="n">
        <v>46093</v>
      </c>
      <c r="D6965" t="inlineStr">
        <is>
          <t>VÄSTERNORRLANDS LÄN</t>
        </is>
      </c>
      <c r="E6965" t="inlineStr">
        <is>
          <t>ÅNGE</t>
        </is>
      </c>
      <c r="F6965" t="inlineStr">
        <is>
          <t>SCA</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53379-2023</t>
        </is>
      </c>
      <c r="B6966" s="1" t="n">
        <v>45222</v>
      </c>
      <c r="C6966" s="1" t="n">
        <v>46093</v>
      </c>
      <c r="D6966" t="inlineStr">
        <is>
          <t>VÄSTERNORRLANDS LÄN</t>
        </is>
      </c>
      <c r="E6966" t="inlineStr">
        <is>
          <t>SOLLEFTEÅ</t>
        </is>
      </c>
      <c r="G6966" t="n">
        <v>3.2</v>
      </c>
      <c r="H6966" t="n">
        <v>0</v>
      </c>
      <c r="I6966" t="n">
        <v>0</v>
      </c>
      <c r="J6966" t="n">
        <v>0</v>
      </c>
      <c r="K6966" t="n">
        <v>0</v>
      </c>
      <c r="L6966" t="n">
        <v>0</v>
      </c>
      <c r="M6966" t="n">
        <v>0</v>
      </c>
      <c r="N6966" t="n">
        <v>0</v>
      </c>
      <c r="O6966" t="n">
        <v>0</v>
      </c>
      <c r="P6966" t="n">
        <v>0</v>
      </c>
      <c r="Q6966" t="n">
        <v>0</v>
      </c>
      <c r="R6966" s="2" t="inlineStr"/>
    </row>
    <row r="6967" ht="15" customHeight="1">
      <c r="A6967" t="inlineStr">
        <is>
          <t>A 51706-2025</t>
        </is>
      </c>
      <c r="B6967" s="1" t="n">
        <v>45951.56513888889</v>
      </c>
      <c r="C6967" s="1" t="n">
        <v>46093</v>
      </c>
      <c r="D6967" t="inlineStr">
        <is>
          <t>VÄSTERNORRLANDS LÄN</t>
        </is>
      </c>
      <c r="E6967" t="inlineStr">
        <is>
          <t>KRAMFORS</t>
        </is>
      </c>
      <c r="G6967" t="n">
        <v>7.5</v>
      </c>
      <c r="H6967" t="n">
        <v>0</v>
      </c>
      <c r="I6967" t="n">
        <v>0</v>
      </c>
      <c r="J6967" t="n">
        <v>0</v>
      </c>
      <c r="K6967" t="n">
        <v>0</v>
      </c>
      <c r="L6967" t="n">
        <v>0</v>
      </c>
      <c r="M6967" t="n">
        <v>0</v>
      </c>
      <c r="N6967" t="n">
        <v>0</v>
      </c>
      <c r="O6967" t="n">
        <v>0</v>
      </c>
      <c r="P6967" t="n">
        <v>0</v>
      </c>
      <c r="Q6967" t="n">
        <v>0</v>
      </c>
      <c r="R6967" s="2" t="inlineStr"/>
    </row>
    <row r="6968" ht="15" customHeight="1">
      <c r="A6968" t="inlineStr">
        <is>
          <t>A 21124-2024</t>
        </is>
      </c>
      <c r="B6968" s="1" t="n">
        <v>45440.33819444444</v>
      </c>
      <c r="C6968" s="1" t="n">
        <v>46093</v>
      </c>
      <c r="D6968" t="inlineStr">
        <is>
          <t>VÄSTERNORRLANDS LÄN</t>
        </is>
      </c>
      <c r="E6968" t="inlineStr">
        <is>
          <t>ÖRNSKÖLDSVIK</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25560-2021</t>
        </is>
      </c>
      <c r="B6969" s="1" t="n">
        <v>44342</v>
      </c>
      <c r="C6969" s="1" t="n">
        <v>46093</v>
      </c>
      <c r="D6969" t="inlineStr">
        <is>
          <t>VÄSTERNORRLANDS LÄN</t>
        </is>
      </c>
      <c r="E6969" t="inlineStr">
        <is>
          <t>ÖRNSKÖLDSVIK</t>
        </is>
      </c>
      <c r="G6969" t="n">
        <v>2.8</v>
      </c>
      <c r="H6969" t="n">
        <v>0</v>
      </c>
      <c r="I6969" t="n">
        <v>0</v>
      </c>
      <c r="J6969" t="n">
        <v>0</v>
      </c>
      <c r="K6969" t="n">
        <v>0</v>
      </c>
      <c r="L6969" t="n">
        <v>0</v>
      </c>
      <c r="M6969" t="n">
        <v>0</v>
      </c>
      <c r="N6969" t="n">
        <v>0</v>
      </c>
      <c r="O6969" t="n">
        <v>0</v>
      </c>
      <c r="P6969" t="n">
        <v>0</v>
      </c>
      <c r="Q6969" t="n">
        <v>0</v>
      </c>
      <c r="R6969" s="2" t="inlineStr"/>
    </row>
    <row r="6970" ht="15" customHeight="1">
      <c r="A6970" t="inlineStr">
        <is>
          <t>A 51742-2025</t>
        </is>
      </c>
      <c r="B6970" s="1" t="n">
        <v>45951</v>
      </c>
      <c r="C6970" s="1" t="n">
        <v>46093</v>
      </c>
      <c r="D6970" t="inlineStr">
        <is>
          <t>VÄSTERNORRLANDS LÄN</t>
        </is>
      </c>
      <c r="E6970" t="inlineStr">
        <is>
          <t>ÖRNSKÖLDSVIK</t>
        </is>
      </c>
      <c r="G6970" t="n">
        <v>3.9</v>
      </c>
      <c r="H6970" t="n">
        <v>0</v>
      </c>
      <c r="I6970" t="n">
        <v>0</v>
      </c>
      <c r="J6970" t="n">
        <v>0</v>
      </c>
      <c r="K6970" t="n">
        <v>0</v>
      </c>
      <c r="L6970" t="n">
        <v>0</v>
      </c>
      <c r="M6970" t="n">
        <v>0</v>
      </c>
      <c r="N6970" t="n">
        <v>0</v>
      </c>
      <c r="O6970" t="n">
        <v>0</v>
      </c>
      <c r="P6970" t="n">
        <v>0</v>
      </c>
      <c r="Q6970" t="n">
        <v>0</v>
      </c>
      <c r="R6970" s="2" t="inlineStr"/>
    </row>
    <row r="6971" ht="15" customHeight="1">
      <c r="A6971" t="inlineStr">
        <is>
          <t>A 37695-2025</t>
        </is>
      </c>
      <c r="B6971" s="1" t="n">
        <v>45880.57357638889</v>
      </c>
      <c r="C6971" s="1" t="n">
        <v>46093</v>
      </c>
      <c r="D6971" t="inlineStr">
        <is>
          <t>VÄSTERNORRLANDS LÄN</t>
        </is>
      </c>
      <c r="E6971" t="inlineStr">
        <is>
          <t>TIMRÅ</t>
        </is>
      </c>
      <c r="G6971" t="n">
        <v>3.1</v>
      </c>
      <c r="H6971" t="n">
        <v>0</v>
      </c>
      <c r="I6971" t="n">
        <v>0</v>
      </c>
      <c r="J6971" t="n">
        <v>0</v>
      </c>
      <c r="K6971" t="n">
        <v>0</v>
      </c>
      <c r="L6971" t="n">
        <v>0</v>
      </c>
      <c r="M6971" t="n">
        <v>0</v>
      </c>
      <c r="N6971" t="n">
        <v>0</v>
      </c>
      <c r="O6971" t="n">
        <v>0</v>
      </c>
      <c r="P6971" t="n">
        <v>0</v>
      </c>
      <c r="Q6971" t="n">
        <v>0</v>
      </c>
      <c r="R6971" s="2" t="inlineStr"/>
    </row>
    <row r="6972" ht="15" customHeight="1">
      <c r="A6972" t="inlineStr">
        <is>
          <t>A 31343-2023</t>
        </is>
      </c>
      <c r="B6972" s="1" t="n">
        <v>45104</v>
      </c>
      <c r="C6972" s="1" t="n">
        <v>46093</v>
      </c>
      <c r="D6972" t="inlineStr">
        <is>
          <t>VÄSTERNORRLANDS LÄN</t>
        </is>
      </c>
      <c r="E6972" t="inlineStr">
        <is>
          <t>TIMRÅ</t>
        </is>
      </c>
      <c r="G6972" t="n">
        <v>7.1</v>
      </c>
      <c r="H6972" t="n">
        <v>0</v>
      </c>
      <c r="I6972" t="n">
        <v>0</v>
      </c>
      <c r="J6972" t="n">
        <v>0</v>
      </c>
      <c r="K6972" t="n">
        <v>0</v>
      </c>
      <c r="L6972" t="n">
        <v>0</v>
      </c>
      <c r="M6972" t="n">
        <v>0</v>
      </c>
      <c r="N6972" t="n">
        <v>0</v>
      </c>
      <c r="O6972" t="n">
        <v>0</v>
      </c>
      <c r="P6972" t="n">
        <v>0</v>
      </c>
      <c r="Q6972" t="n">
        <v>0</v>
      </c>
      <c r="R6972" s="2" t="inlineStr"/>
    </row>
    <row r="6973" ht="15" customHeight="1">
      <c r="A6973" t="inlineStr">
        <is>
          <t>A 37761-2025</t>
        </is>
      </c>
      <c r="B6973" s="1" t="n">
        <v>45880.68714120371</v>
      </c>
      <c r="C6973" s="1" t="n">
        <v>46093</v>
      </c>
      <c r="D6973" t="inlineStr">
        <is>
          <t>VÄSTERNORRLANDS LÄN</t>
        </is>
      </c>
      <c r="E6973" t="inlineStr">
        <is>
          <t>ÖRNSKÖLDSVIK</t>
        </is>
      </c>
      <c r="F6973" t="inlineStr">
        <is>
          <t>Holmen skog AB</t>
        </is>
      </c>
      <c r="G6973" t="n">
        <v>2.8</v>
      </c>
      <c r="H6973" t="n">
        <v>0</v>
      </c>
      <c r="I6973" t="n">
        <v>0</v>
      </c>
      <c r="J6973" t="n">
        <v>0</v>
      </c>
      <c r="K6973" t="n">
        <v>0</v>
      </c>
      <c r="L6973" t="n">
        <v>0</v>
      </c>
      <c r="M6973" t="n">
        <v>0</v>
      </c>
      <c r="N6973" t="n">
        <v>0</v>
      </c>
      <c r="O6973" t="n">
        <v>0</v>
      </c>
      <c r="P6973" t="n">
        <v>0</v>
      </c>
      <c r="Q6973" t="n">
        <v>0</v>
      </c>
      <c r="R6973" s="2" t="inlineStr"/>
    </row>
    <row r="6974" ht="15" customHeight="1">
      <c r="A6974" t="inlineStr">
        <is>
          <t>A 7147-2023</t>
        </is>
      </c>
      <c r="B6974" s="1" t="n">
        <v>44965</v>
      </c>
      <c r="C6974" s="1" t="n">
        <v>46093</v>
      </c>
      <c r="D6974" t="inlineStr">
        <is>
          <t>VÄSTERNORRLANDS LÄN</t>
        </is>
      </c>
      <c r="E6974" t="inlineStr">
        <is>
          <t>ÖRNSKÖLDSVIK</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37726-2023</t>
        </is>
      </c>
      <c r="B6975" s="1" t="n">
        <v>45156</v>
      </c>
      <c r="C6975" s="1" t="n">
        <v>46093</v>
      </c>
      <c r="D6975" t="inlineStr">
        <is>
          <t>VÄSTERNORRLANDS LÄN</t>
        </is>
      </c>
      <c r="E6975" t="inlineStr">
        <is>
          <t>SOLLEFTEÅ</t>
        </is>
      </c>
      <c r="G6975" t="n">
        <v>2.6</v>
      </c>
      <c r="H6975" t="n">
        <v>0</v>
      </c>
      <c r="I6975" t="n">
        <v>0</v>
      </c>
      <c r="J6975" t="n">
        <v>0</v>
      </c>
      <c r="K6975" t="n">
        <v>0</v>
      </c>
      <c r="L6975" t="n">
        <v>0</v>
      </c>
      <c r="M6975" t="n">
        <v>0</v>
      </c>
      <c r="N6975" t="n">
        <v>0</v>
      </c>
      <c r="O6975" t="n">
        <v>0</v>
      </c>
      <c r="P6975" t="n">
        <v>0</v>
      </c>
      <c r="Q6975" t="n">
        <v>0</v>
      </c>
      <c r="R6975" s="2" t="inlineStr"/>
    </row>
    <row r="6976" ht="15" customHeight="1">
      <c r="A6976" t="inlineStr">
        <is>
          <t>A 37736-2023</t>
        </is>
      </c>
      <c r="B6976" s="1" t="n">
        <v>45159</v>
      </c>
      <c r="C6976" s="1" t="n">
        <v>46093</v>
      </c>
      <c r="D6976" t="inlineStr">
        <is>
          <t>VÄSTERNORRLANDS LÄN</t>
        </is>
      </c>
      <c r="E6976" t="inlineStr">
        <is>
          <t>ÖRNSKÖLDSVIK</t>
        </is>
      </c>
      <c r="F6976" t="inlineStr">
        <is>
          <t>Holmen skog AB</t>
        </is>
      </c>
      <c r="G6976" t="n">
        <v>3.2</v>
      </c>
      <c r="H6976" t="n">
        <v>0</v>
      </c>
      <c r="I6976" t="n">
        <v>0</v>
      </c>
      <c r="J6976" t="n">
        <v>0</v>
      </c>
      <c r="K6976" t="n">
        <v>0</v>
      </c>
      <c r="L6976" t="n">
        <v>0</v>
      </c>
      <c r="M6976" t="n">
        <v>0</v>
      </c>
      <c r="N6976" t="n">
        <v>0</v>
      </c>
      <c r="O6976" t="n">
        <v>0</v>
      </c>
      <c r="P6976" t="n">
        <v>0</v>
      </c>
      <c r="Q6976" t="n">
        <v>0</v>
      </c>
      <c r="R6976" s="2" t="inlineStr"/>
    </row>
    <row r="6977" ht="15" customHeight="1">
      <c r="A6977" t="inlineStr">
        <is>
          <t>A 26378-2024</t>
        </is>
      </c>
      <c r="B6977" s="1" t="n">
        <v>45469.41646990741</v>
      </c>
      <c r="C6977" s="1" t="n">
        <v>46093</v>
      </c>
      <c r="D6977" t="inlineStr">
        <is>
          <t>VÄSTERNORRLANDS LÄN</t>
        </is>
      </c>
      <c r="E6977" t="inlineStr">
        <is>
          <t>ÖRNSKÖLDSVIK</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51899-2025</t>
        </is>
      </c>
      <c r="B6978" s="1" t="n">
        <v>45952.44201388889</v>
      </c>
      <c r="C6978" s="1" t="n">
        <v>46093</v>
      </c>
      <c r="D6978" t="inlineStr">
        <is>
          <t>VÄSTERNORRLANDS LÄN</t>
        </is>
      </c>
      <c r="E6978" t="inlineStr">
        <is>
          <t>SOLLEFTEÅ</t>
        </is>
      </c>
      <c r="G6978" t="n">
        <v>6.7</v>
      </c>
      <c r="H6978" t="n">
        <v>0</v>
      </c>
      <c r="I6978" t="n">
        <v>0</v>
      </c>
      <c r="J6978" t="n">
        <v>0</v>
      </c>
      <c r="K6978" t="n">
        <v>0</v>
      </c>
      <c r="L6978" t="n">
        <v>0</v>
      </c>
      <c r="M6978" t="n">
        <v>0</v>
      </c>
      <c r="N6978" t="n">
        <v>0</v>
      </c>
      <c r="O6978" t="n">
        <v>0</v>
      </c>
      <c r="P6978" t="n">
        <v>0</v>
      </c>
      <c r="Q6978" t="n">
        <v>0</v>
      </c>
      <c r="R6978" s="2" t="inlineStr"/>
    </row>
    <row r="6979" ht="15" customHeight="1">
      <c r="A6979" t="inlineStr">
        <is>
          <t>A 61121-2024</t>
        </is>
      </c>
      <c r="B6979" s="1" t="n">
        <v>45645.57063657408</v>
      </c>
      <c r="C6979" s="1" t="n">
        <v>46093</v>
      </c>
      <c r="D6979" t="inlineStr">
        <is>
          <t>VÄSTERNORRLANDS LÄN</t>
        </is>
      </c>
      <c r="E6979" t="inlineStr">
        <is>
          <t>ÖRNSKÖLDSVIK</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61148-2024</t>
        </is>
      </c>
      <c r="B6980" s="1" t="n">
        <v>45645.58738425926</v>
      </c>
      <c r="C6980" s="1" t="n">
        <v>46093</v>
      </c>
      <c r="D6980" t="inlineStr">
        <is>
          <t>VÄSTERNORRLANDS LÄN</t>
        </is>
      </c>
      <c r="E6980" t="inlineStr">
        <is>
          <t>ÖRNSKÖLDSVIK</t>
        </is>
      </c>
      <c r="G6980" t="n">
        <v>4.7</v>
      </c>
      <c r="H6980" t="n">
        <v>0</v>
      </c>
      <c r="I6980" t="n">
        <v>0</v>
      </c>
      <c r="J6980" t="n">
        <v>0</v>
      </c>
      <c r="K6980" t="n">
        <v>0</v>
      </c>
      <c r="L6980" t="n">
        <v>0</v>
      </c>
      <c r="M6980" t="n">
        <v>0</v>
      </c>
      <c r="N6980" t="n">
        <v>0</v>
      </c>
      <c r="O6980" t="n">
        <v>0</v>
      </c>
      <c r="P6980" t="n">
        <v>0</v>
      </c>
      <c r="Q6980" t="n">
        <v>0</v>
      </c>
      <c r="R6980" s="2" t="inlineStr"/>
    </row>
    <row r="6981" ht="15" customHeight="1">
      <c r="A6981" t="inlineStr">
        <is>
          <t>A 26444-2024</t>
        </is>
      </c>
      <c r="B6981" s="1" t="n">
        <v>45469.50122685185</v>
      </c>
      <c r="C6981" s="1" t="n">
        <v>46093</v>
      </c>
      <c r="D6981" t="inlineStr">
        <is>
          <t>VÄSTERNORRLANDS LÄN</t>
        </is>
      </c>
      <c r="E6981" t="inlineStr">
        <is>
          <t>SOLLEFTEÅ</t>
        </is>
      </c>
      <c r="F6981" t="inlineStr">
        <is>
          <t>Holmen skog AB</t>
        </is>
      </c>
      <c r="G6981" t="n">
        <v>3.5</v>
      </c>
      <c r="H6981" t="n">
        <v>0</v>
      </c>
      <c r="I6981" t="n">
        <v>0</v>
      </c>
      <c r="J6981" t="n">
        <v>0</v>
      </c>
      <c r="K6981" t="n">
        <v>0</v>
      </c>
      <c r="L6981" t="n">
        <v>0</v>
      </c>
      <c r="M6981" t="n">
        <v>0</v>
      </c>
      <c r="N6981" t="n">
        <v>0</v>
      </c>
      <c r="O6981" t="n">
        <v>0</v>
      </c>
      <c r="P6981" t="n">
        <v>0</v>
      </c>
      <c r="Q6981" t="n">
        <v>0</v>
      </c>
      <c r="R6981" s="2" t="inlineStr"/>
    </row>
    <row r="6982" ht="15" customHeight="1">
      <c r="A6982" t="inlineStr">
        <is>
          <t>A 51578-2025</t>
        </is>
      </c>
      <c r="B6982" s="1" t="n">
        <v>45951.34520833333</v>
      </c>
      <c r="C6982" s="1" t="n">
        <v>46093</v>
      </c>
      <c r="D6982" t="inlineStr">
        <is>
          <t>VÄSTERNORRLANDS LÄN</t>
        </is>
      </c>
      <c r="E6982" t="inlineStr">
        <is>
          <t>SUNDSVALL</t>
        </is>
      </c>
      <c r="F6982" t="inlineStr">
        <is>
          <t>SCA</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51581-2025</t>
        </is>
      </c>
      <c r="B6983" s="1" t="n">
        <v>45951.34552083333</v>
      </c>
      <c r="C6983" s="1" t="n">
        <v>46093</v>
      </c>
      <c r="D6983" t="inlineStr">
        <is>
          <t>VÄSTERNORRLANDS LÄN</t>
        </is>
      </c>
      <c r="E6983" t="inlineStr">
        <is>
          <t>SUNDSVALL</t>
        </is>
      </c>
      <c r="G6983" t="n">
        <v>5.3</v>
      </c>
      <c r="H6983" t="n">
        <v>0</v>
      </c>
      <c r="I6983" t="n">
        <v>0</v>
      </c>
      <c r="J6983" t="n">
        <v>0</v>
      </c>
      <c r="K6983" t="n">
        <v>0</v>
      </c>
      <c r="L6983" t="n">
        <v>0</v>
      </c>
      <c r="M6983" t="n">
        <v>0</v>
      </c>
      <c r="N6983" t="n">
        <v>0</v>
      </c>
      <c r="O6983" t="n">
        <v>0</v>
      </c>
      <c r="P6983" t="n">
        <v>0</v>
      </c>
      <c r="Q6983" t="n">
        <v>0</v>
      </c>
      <c r="R6983" s="2" t="inlineStr"/>
    </row>
    <row r="6984" ht="15" customHeight="1">
      <c r="A6984" t="inlineStr">
        <is>
          <t>A 37383-2025</t>
        </is>
      </c>
      <c r="B6984" s="1" t="n">
        <v>45877.38581018519</v>
      </c>
      <c r="C6984" s="1" t="n">
        <v>46093</v>
      </c>
      <c r="D6984" t="inlineStr">
        <is>
          <t>VÄSTERNORRLANDS LÄN</t>
        </is>
      </c>
      <c r="E6984" t="inlineStr">
        <is>
          <t>ÅNGE</t>
        </is>
      </c>
      <c r="F6984" t="inlineStr">
        <is>
          <t>SCA</t>
        </is>
      </c>
      <c r="G6984" t="n">
        <v>4.1</v>
      </c>
      <c r="H6984" t="n">
        <v>0</v>
      </c>
      <c r="I6984" t="n">
        <v>0</v>
      </c>
      <c r="J6984" t="n">
        <v>0</v>
      </c>
      <c r="K6984" t="n">
        <v>0</v>
      </c>
      <c r="L6984" t="n">
        <v>0</v>
      </c>
      <c r="M6984" t="n">
        <v>0</v>
      </c>
      <c r="N6984" t="n">
        <v>0</v>
      </c>
      <c r="O6984" t="n">
        <v>0</v>
      </c>
      <c r="P6984" t="n">
        <v>0</v>
      </c>
      <c r="Q6984" t="n">
        <v>0</v>
      </c>
      <c r="R6984" s="2" t="inlineStr"/>
    </row>
    <row r="6985" ht="15" customHeight="1">
      <c r="A6985" t="inlineStr">
        <is>
          <t>A 37417-2025</t>
        </is>
      </c>
      <c r="B6985" s="1" t="n">
        <v>45877</v>
      </c>
      <c r="C6985" s="1" t="n">
        <v>46093</v>
      </c>
      <c r="D6985" t="inlineStr">
        <is>
          <t>VÄSTERNORRLANDS LÄN</t>
        </is>
      </c>
      <c r="E6985" t="inlineStr">
        <is>
          <t>KRAMFORS</t>
        </is>
      </c>
      <c r="G6985" t="n">
        <v>19.9</v>
      </c>
      <c r="H6985" t="n">
        <v>0</v>
      </c>
      <c r="I6985" t="n">
        <v>0</v>
      </c>
      <c r="J6985" t="n">
        <v>0</v>
      </c>
      <c r="K6985" t="n">
        <v>0</v>
      </c>
      <c r="L6985" t="n">
        <v>0</v>
      </c>
      <c r="M6985" t="n">
        <v>0</v>
      </c>
      <c r="N6985" t="n">
        <v>0</v>
      </c>
      <c r="O6985" t="n">
        <v>0</v>
      </c>
      <c r="P6985" t="n">
        <v>0</v>
      </c>
      <c r="Q6985" t="n">
        <v>0</v>
      </c>
      <c r="R6985" s="2" t="inlineStr"/>
    </row>
    <row r="6986" ht="15" customHeight="1">
      <c r="A6986" t="inlineStr">
        <is>
          <t>A 53988-2024</t>
        </is>
      </c>
      <c r="B6986" s="1" t="n">
        <v>45616.34408564815</v>
      </c>
      <c r="C6986" s="1" t="n">
        <v>46093</v>
      </c>
      <c r="D6986" t="inlineStr">
        <is>
          <t>VÄSTERNORRLANDS LÄN</t>
        </is>
      </c>
      <c r="E6986" t="inlineStr">
        <is>
          <t>ÅNGE</t>
        </is>
      </c>
      <c r="F6986" t="inlineStr">
        <is>
          <t>SCA</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26436-2022</t>
        </is>
      </c>
      <c r="B6987" s="1" t="n">
        <v>44736.93907407407</v>
      </c>
      <c r="C6987" s="1" t="n">
        <v>46093</v>
      </c>
      <c r="D6987" t="inlineStr">
        <is>
          <t>VÄSTERNORRLANDS LÄN</t>
        </is>
      </c>
      <c r="E6987" t="inlineStr">
        <is>
          <t>SUNDSVALL</t>
        </is>
      </c>
      <c r="F6987" t="inlineStr">
        <is>
          <t>Naturvårdsverket</t>
        </is>
      </c>
      <c r="G6987" t="n">
        <v>2.4</v>
      </c>
      <c r="H6987" t="n">
        <v>0</v>
      </c>
      <c r="I6987" t="n">
        <v>0</v>
      </c>
      <c r="J6987" t="n">
        <v>0</v>
      </c>
      <c r="K6987" t="n">
        <v>0</v>
      </c>
      <c r="L6987" t="n">
        <v>0</v>
      </c>
      <c r="M6987" t="n">
        <v>0</v>
      </c>
      <c r="N6987" t="n">
        <v>0</v>
      </c>
      <c r="O6987" t="n">
        <v>0</v>
      </c>
      <c r="P6987" t="n">
        <v>0</v>
      </c>
      <c r="Q6987" t="n">
        <v>0</v>
      </c>
      <c r="R6987" s="2" t="inlineStr"/>
    </row>
    <row r="6988" ht="15" customHeight="1">
      <c r="A6988" t="inlineStr">
        <is>
          <t>A 54002-2024</t>
        </is>
      </c>
      <c r="B6988" s="1" t="n">
        <v>45616.36491898148</v>
      </c>
      <c r="C6988" s="1" t="n">
        <v>46093</v>
      </c>
      <c r="D6988" t="inlineStr">
        <is>
          <t>VÄSTERNORRLANDS LÄN</t>
        </is>
      </c>
      <c r="E6988" t="inlineStr">
        <is>
          <t>ÅNGE</t>
        </is>
      </c>
      <c r="F6988" t="inlineStr">
        <is>
          <t>SCA</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51834-2025</t>
        </is>
      </c>
      <c r="B6989" s="1" t="n">
        <v>45952.33072916666</v>
      </c>
      <c r="C6989" s="1" t="n">
        <v>46093</v>
      </c>
      <c r="D6989" t="inlineStr">
        <is>
          <t>VÄSTERNORRLANDS LÄN</t>
        </is>
      </c>
      <c r="E6989" t="inlineStr">
        <is>
          <t>ÖRNSKÖLDSVIK</t>
        </is>
      </c>
      <c r="F6989" t="inlineStr">
        <is>
          <t>Holmen skog AB</t>
        </is>
      </c>
      <c r="G6989" t="n">
        <v>6.8</v>
      </c>
      <c r="H6989" t="n">
        <v>0</v>
      </c>
      <c r="I6989" t="n">
        <v>0</v>
      </c>
      <c r="J6989" t="n">
        <v>0</v>
      </c>
      <c r="K6989" t="n">
        <v>0</v>
      </c>
      <c r="L6989" t="n">
        <v>0</v>
      </c>
      <c r="M6989" t="n">
        <v>0</v>
      </c>
      <c r="N6989" t="n">
        <v>0</v>
      </c>
      <c r="O6989" t="n">
        <v>0</v>
      </c>
      <c r="P6989" t="n">
        <v>0</v>
      </c>
      <c r="Q6989" t="n">
        <v>0</v>
      </c>
      <c r="R6989" s="2" t="inlineStr"/>
    </row>
    <row r="6990" ht="15" customHeight="1">
      <c r="A6990" t="inlineStr">
        <is>
          <t>A 51841-2025</t>
        </is>
      </c>
      <c r="B6990" s="1" t="n">
        <v>45952.34482638889</v>
      </c>
      <c r="C6990" s="1" t="n">
        <v>46093</v>
      </c>
      <c r="D6990" t="inlineStr">
        <is>
          <t>VÄSTERNORRLANDS LÄN</t>
        </is>
      </c>
      <c r="E6990" t="inlineStr">
        <is>
          <t>TIMRÅ</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37719-2025</t>
        </is>
      </c>
      <c r="B6991" s="1" t="n">
        <v>45880.61505787037</v>
      </c>
      <c r="C6991" s="1" t="n">
        <v>46093</v>
      </c>
      <c r="D6991" t="inlineStr">
        <is>
          <t>VÄSTERNORRLANDS LÄN</t>
        </is>
      </c>
      <c r="E6991" t="inlineStr">
        <is>
          <t>ÅNGE</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59593-2023</t>
        </is>
      </c>
      <c r="B6992" s="1" t="n">
        <v>45254.61885416666</v>
      </c>
      <c r="C6992" s="1" t="n">
        <v>46093</v>
      </c>
      <c r="D6992" t="inlineStr">
        <is>
          <t>VÄSTERNORRLANDS LÄN</t>
        </is>
      </c>
      <c r="E6992" t="inlineStr">
        <is>
          <t>SOLLEFTEÅ</t>
        </is>
      </c>
      <c r="F6992" t="inlineStr">
        <is>
          <t>Holmen skog AB</t>
        </is>
      </c>
      <c r="G6992" t="n">
        <v>2.7</v>
      </c>
      <c r="H6992" t="n">
        <v>0</v>
      </c>
      <c r="I6992" t="n">
        <v>0</v>
      </c>
      <c r="J6992" t="n">
        <v>0</v>
      </c>
      <c r="K6992" t="n">
        <v>0</v>
      </c>
      <c r="L6992" t="n">
        <v>0</v>
      </c>
      <c r="M6992" t="n">
        <v>0</v>
      </c>
      <c r="N6992" t="n">
        <v>0</v>
      </c>
      <c r="O6992" t="n">
        <v>0</v>
      </c>
      <c r="P6992" t="n">
        <v>0</v>
      </c>
      <c r="Q6992" t="n">
        <v>0</v>
      </c>
      <c r="R6992" s="2" t="inlineStr"/>
    </row>
    <row r="6993" ht="15" customHeight="1">
      <c r="A6993" t="inlineStr">
        <is>
          <t>A 8712-2025</t>
        </is>
      </c>
      <c r="B6993" s="1" t="n">
        <v>45712.49872685185</v>
      </c>
      <c r="C6993" s="1" t="n">
        <v>46093</v>
      </c>
      <c r="D6993" t="inlineStr">
        <is>
          <t>VÄSTERNORRLANDS LÄN</t>
        </is>
      </c>
      <c r="E6993" t="inlineStr">
        <is>
          <t>SOLLEFTEÅ</t>
        </is>
      </c>
      <c r="G6993" t="n">
        <v>2.6</v>
      </c>
      <c r="H6993" t="n">
        <v>0</v>
      </c>
      <c r="I6993" t="n">
        <v>0</v>
      </c>
      <c r="J6993" t="n">
        <v>0</v>
      </c>
      <c r="K6993" t="n">
        <v>0</v>
      </c>
      <c r="L6993" t="n">
        <v>0</v>
      </c>
      <c r="M6993" t="n">
        <v>0</v>
      </c>
      <c r="N6993" t="n">
        <v>0</v>
      </c>
      <c r="O6993" t="n">
        <v>0</v>
      </c>
      <c r="P6993" t="n">
        <v>0</v>
      </c>
      <c r="Q6993" t="n">
        <v>0</v>
      </c>
      <c r="R6993" s="2" t="inlineStr"/>
    </row>
    <row r="6994" ht="15" customHeight="1">
      <c r="A6994" t="inlineStr">
        <is>
          <t>A 33735-2024</t>
        </is>
      </c>
      <c r="B6994" s="1" t="n">
        <v>45520</v>
      </c>
      <c r="C6994" s="1" t="n">
        <v>46093</v>
      </c>
      <c r="D6994" t="inlineStr">
        <is>
          <t>VÄSTERNORRLANDS LÄN</t>
        </is>
      </c>
      <c r="E6994" t="inlineStr">
        <is>
          <t>SUNDSVALL</t>
        </is>
      </c>
      <c r="F6994" t="inlineStr">
        <is>
          <t>SCA</t>
        </is>
      </c>
      <c r="G6994" t="n">
        <v>5.6</v>
      </c>
      <c r="H6994" t="n">
        <v>0</v>
      </c>
      <c r="I6994" t="n">
        <v>0</v>
      </c>
      <c r="J6994" t="n">
        <v>0</v>
      </c>
      <c r="K6994" t="n">
        <v>0</v>
      </c>
      <c r="L6994" t="n">
        <v>0</v>
      </c>
      <c r="M6994" t="n">
        <v>0</v>
      </c>
      <c r="N6994" t="n">
        <v>0</v>
      </c>
      <c r="O6994" t="n">
        <v>0</v>
      </c>
      <c r="P6994" t="n">
        <v>0</v>
      </c>
      <c r="Q6994" t="n">
        <v>0</v>
      </c>
      <c r="R6994" s="2" t="inlineStr"/>
    </row>
    <row r="6995" ht="15" customHeight="1">
      <c r="A6995" t="inlineStr">
        <is>
          <t>A 64950-2023</t>
        </is>
      </c>
      <c r="B6995" s="1" t="n">
        <v>45282</v>
      </c>
      <c r="C6995" s="1" t="n">
        <v>46093</v>
      </c>
      <c r="D6995" t="inlineStr">
        <is>
          <t>VÄSTERNORRLANDS LÄN</t>
        </is>
      </c>
      <c r="E6995" t="inlineStr">
        <is>
          <t>ÅNGE</t>
        </is>
      </c>
      <c r="F6995" t="inlineStr">
        <is>
          <t>SCA</t>
        </is>
      </c>
      <c r="G6995" t="n">
        <v>5.2</v>
      </c>
      <c r="H6995" t="n">
        <v>0</v>
      </c>
      <c r="I6995" t="n">
        <v>0</v>
      </c>
      <c r="J6995" t="n">
        <v>0</v>
      </c>
      <c r="K6995" t="n">
        <v>0</v>
      </c>
      <c r="L6995" t="n">
        <v>0</v>
      </c>
      <c r="M6995" t="n">
        <v>0</v>
      </c>
      <c r="N6995" t="n">
        <v>0</v>
      </c>
      <c r="O6995" t="n">
        <v>0</v>
      </c>
      <c r="P6995" t="n">
        <v>0</v>
      </c>
      <c r="Q6995" t="n">
        <v>0</v>
      </c>
      <c r="R6995" s="2" t="inlineStr"/>
    </row>
    <row r="6996" ht="15" customHeight="1">
      <c r="A6996" t="inlineStr">
        <is>
          <t>A 52253-2025</t>
        </is>
      </c>
      <c r="B6996" s="1" t="n">
        <v>45953.49253472222</v>
      </c>
      <c r="C6996" s="1" t="n">
        <v>46093</v>
      </c>
      <c r="D6996" t="inlineStr">
        <is>
          <t>VÄSTERNORRLANDS LÄN</t>
        </is>
      </c>
      <c r="E6996" t="inlineStr">
        <is>
          <t>ÖRNSKÖLDSVIK</t>
        </is>
      </c>
      <c r="F6996" t="inlineStr">
        <is>
          <t>Holmen skog AB</t>
        </is>
      </c>
      <c r="G6996" t="n">
        <v>6.3</v>
      </c>
      <c r="H6996" t="n">
        <v>0</v>
      </c>
      <c r="I6996" t="n">
        <v>0</v>
      </c>
      <c r="J6996" t="n">
        <v>0</v>
      </c>
      <c r="K6996" t="n">
        <v>0</v>
      </c>
      <c r="L6996" t="n">
        <v>0</v>
      </c>
      <c r="M6996" t="n">
        <v>0</v>
      </c>
      <c r="N6996" t="n">
        <v>0</v>
      </c>
      <c r="O6996" t="n">
        <v>0</v>
      </c>
      <c r="P6996" t="n">
        <v>0</v>
      </c>
      <c r="Q6996" t="n">
        <v>0</v>
      </c>
      <c r="R6996" s="2" t="inlineStr"/>
    </row>
    <row r="6997" ht="15" customHeight="1">
      <c r="A6997" t="inlineStr">
        <is>
          <t>A 52356-2025</t>
        </is>
      </c>
      <c r="B6997" s="1" t="n">
        <v>45953.80394675926</v>
      </c>
      <c r="C6997" s="1" t="n">
        <v>46093</v>
      </c>
      <c r="D6997" t="inlineStr">
        <is>
          <t>VÄSTERNORRLANDS LÄN</t>
        </is>
      </c>
      <c r="E6997" t="inlineStr">
        <is>
          <t>TIMRÅ</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52483-2025</t>
        </is>
      </c>
      <c r="B6998" s="1" t="n">
        <v>45954.47412037037</v>
      </c>
      <c r="C6998" s="1" t="n">
        <v>46093</v>
      </c>
      <c r="D6998" t="inlineStr">
        <is>
          <t>VÄSTERNORRLANDS LÄN</t>
        </is>
      </c>
      <c r="E6998" t="inlineStr">
        <is>
          <t>SOLLEFTEÅ</t>
        </is>
      </c>
      <c r="G6998" t="n">
        <v>10.3</v>
      </c>
      <c r="H6998" t="n">
        <v>0</v>
      </c>
      <c r="I6998" t="n">
        <v>0</v>
      </c>
      <c r="J6998" t="n">
        <v>0</v>
      </c>
      <c r="K6998" t="n">
        <v>0</v>
      </c>
      <c r="L6998" t="n">
        <v>0</v>
      </c>
      <c r="M6998" t="n">
        <v>0</v>
      </c>
      <c r="N6998" t="n">
        <v>0</v>
      </c>
      <c r="O6998" t="n">
        <v>0</v>
      </c>
      <c r="P6998" t="n">
        <v>0</v>
      </c>
      <c r="Q6998" t="n">
        <v>0</v>
      </c>
      <c r="R6998" s="2" t="inlineStr"/>
    </row>
    <row r="6999" ht="15" customHeight="1">
      <c r="A6999" t="inlineStr">
        <is>
          <t>A 52335-2025</t>
        </is>
      </c>
      <c r="B6999" s="1" t="n">
        <v>45953.68591435185</v>
      </c>
      <c r="C6999" s="1" t="n">
        <v>46093</v>
      </c>
      <c r="D6999" t="inlineStr">
        <is>
          <t>VÄSTERNORRLANDS LÄN</t>
        </is>
      </c>
      <c r="E6999" t="inlineStr">
        <is>
          <t>ÅNGE</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51197-2024</t>
        </is>
      </c>
      <c r="B7000" s="1" t="n">
        <v>45603.61863425926</v>
      </c>
      <c r="C7000" s="1" t="n">
        <v>46093</v>
      </c>
      <c r="D7000" t="inlineStr">
        <is>
          <t>VÄSTERNORRLANDS LÄN</t>
        </is>
      </c>
      <c r="E7000" t="inlineStr">
        <is>
          <t>ÖRNSKÖLDSVIK</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49567-2024</t>
        </is>
      </c>
      <c r="B7001" s="1" t="n">
        <v>45596.49003472222</v>
      </c>
      <c r="C7001" s="1" t="n">
        <v>46093</v>
      </c>
      <c r="D7001" t="inlineStr">
        <is>
          <t>VÄSTERNORRLANDS LÄN</t>
        </is>
      </c>
      <c r="E7001" t="inlineStr">
        <is>
          <t>SOLLEFTEÅ</t>
        </is>
      </c>
      <c r="F7001" t="inlineStr">
        <is>
          <t>SCA</t>
        </is>
      </c>
      <c r="G7001" t="n">
        <v>4.3</v>
      </c>
      <c r="H7001" t="n">
        <v>0</v>
      </c>
      <c r="I7001" t="n">
        <v>0</v>
      </c>
      <c r="J7001" t="n">
        <v>0</v>
      </c>
      <c r="K7001" t="n">
        <v>0</v>
      </c>
      <c r="L7001" t="n">
        <v>0</v>
      </c>
      <c r="M7001" t="n">
        <v>0</v>
      </c>
      <c r="N7001" t="n">
        <v>0</v>
      </c>
      <c r="O7001" t="n">
        <v>0</v>
      </c>
      <c r="P7001" t="n">
        <v>0</v>
      </c>
      <c r="Q7001" t="n">
        <v>0</v>
      </c>
      <c r="R7001" s="2" t="inlineStr"/>
      <c r="U7001">
        <f>HYPERLINK("https://klasma.github.io/Logging_2283/knärot/A 49567-2024 karta knärot.png", "A 49567-2024")</f>
        <v/>
      </c>
      <c r="V7001">
        <f>HYPERLINK("https://klasma.github.io/Logging_2283/klagomål/A 49567-2024 FSC-klagomål.docx", "A 49567-2024")</f>
        <v/>
      </c>
      <c r="W7001">
        <f>HYPERLINK("https://klasma.github.io/Logging_2283/klagomålsmail/A 49567-2024 FSC-klagomål mail.docx", "A 49567-2024")</f>
        <v/>
      </c>
      <c r="X7001">
        <f>HYPERLINK("https://klasma.github.io/Logging_2283/tillsyn/A 49567-2024 tillsynsbegäran.docx", "A 49567-2024")</f>
        <v/>
      </c>
      <c r="Y7001">
        <f>HYPERLINK("https://klasma.github.io/Logging_2283/tillsynsmail/A 49567-2024 tillsynsbegäran mail.docx", "A 49567-2024")</f>
        <v/>
      </c>
    </row>
    <row r="7002" ht="15" customHeight="1">
      <c r="A7002" t="inlineStr">
        <is>
          <t>A 21022-2025</t>
        </is>
      </c>
      <c r="B7002" s="1" t="n">
        <v>45777.51106481482</v>
      </c>
      <c r="C7002" s="1" t="n">
        <v>46093</v>
      </c>
      <c r="D7002" t="inlineStr">
        <is>
          <t>VÄSTERNORRLANDS LÄN</t>
        </is>
      </c>
      <c r="E7002" t="inlineStr">
        <is>
          <t>ÖRNSKÖLDSVIK</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20393-2022</t>
        </is>
      </c>
      <c r="B7003" s="1" t="n">
        <v>44699</v>
      </c>
      <c r="C7003" s="1" t="n">
        <v>46093</v>
      </c>
      <c r="D7003" t="inlineStr">
        <is>
          <t>VÄSTERNORRLANDS LÄN</t>
        </is>
      </c>
      <c r="E7003" t="inlineStr">
        <is>
          <t>ÅNGE</t>
        </is>
      </c>
      <c r="G7003" t="n">
        <v>6.9</v>
      </c>
      <c r="H7003" t="n">
        <v>0</v>
      </c>
      <c r="I7003" t="n">
        <v>0</v>
      </c>
      <c r="J7003" t="n">
        <v>0</v>
      </c>
      <c r="K7003" t="n">
        <v>0</v>
      </c>
      <c r="L7003" t="n">
        <v>0</v>
      </c>
      <c r="M7003" t="n">
        <v>0</v>
      </c>
      <c r="N7003" t="n">
        <v>0</v>
      </c>
      <c r="O7003" t="n">
        <v>0</v>
      </c>
      <c r="P7003" t="n">
        <v>0</v>
      </c>
      <c r="Q7003" t="n">
        <v>0</v>
      </c>
      <c r="R7003" s="2" t="inlineStr"/>
    </row>
    <row r="7004" ht="15" customHeight="1">
      <c r="A7004" t="inlineStr">
        <is>
          <t>A 8455-2023</t>
        </is>
      </c>
      <c r="B7004" s="1" t="n">
        <v>44971</v>
      </c>
      <c r="C7004" s="1" t="n">
        <v>46093</v>
      </c>
      <c r="D7004" t="inlineStr">
        <is>
          <t>VÄSTERNORRLANDS LÄN</t>
        </is>
      </c>
      <c r="E7004" t="inlineStr">
        <is>
          <t>KRAMFORS</t>
        </is>
      </c>
      <c r="G7004" t="n">
        <v>0.4</v>
      </c>
      <c r="H7004" t="n">
        <v>0</v>
      </c>
      <c r="I7004" t="n">
        <v>0</v>
      </c>
      <c r="J7004" t="n">
        <v>0</v>
      </c>
      <c r="K7004" t="n">
        <v>0</v>
      </c>
      <c r="L7004" t="n">
        <v>0</v>
      </c>
      <c r="M7004" t="n">
        <v>0</v>
      </c>
      <c r="N7004" t="n">
        <v>0</v>
      </c>
      <c r="O7004" t="n">
        <v>0</v>
      </c>
      <c r="P7004" t="n">
        <v>0</v>
      </c>
      <c r="Q7004" t="n">
        <v>0</v>
      </c>
      <c r="R7004" s="2" t="inlineStr"/>
    </row>
    <row r="7005" ht="15" customHeight="1">
      <c r="A7005" t="inlineStr">
        <is>
          <t>A 18263-2025</t>
        </is>
      </c>
      <c r="B7005" s="1" t="n">
        <v>45762.36509259259</v>
      </c>
      <c r="C7005" s="1" t="n">
        <v>46093</v>
      </c>
      <c r="D7005" t="inlineStr">
        <is>
          <t>VÄSTERNORRLANDS LÄN</t>
        </is>
      </c>
      <c r="E7005" t="inlineStr">
        <is>
          <t>SOLLEFTEÅ</t>
        </is>
      </c>
      <c r="F7005" t="inlineStr">
        <is>
          <t>SCA</t>
        </is>
      </c>
      <c r="G7005" t="n">
        <v>3.4</v>
      </c>
      <c r="H7005" t="n">
        <v>0</v>
      </c>
      <c r="I7005" t="n">
        <v>0</v>
      </c>
      <c r="J7005" t="n">
        <v>0</v>
      </c>
      <c r="K7005" t="n">
        <v>0</v>
      </c>
      <c r="L7005" t="n">
        <v>0</v>
      </c>
      <c r="M7005" t="n">
        <v>0</v>
      </c>
      <c r="N7005" t="n">
        <v>0</v>
      </c>
      <c r="O7005" t="n">
        <v>0</v>
      </c>
      <c r="P7005" t="n">
        <v>0</v>
      </c>
      <c r="Q7005" t="n">
        <v>0</v>
      </c>
      <c r="R7005" s="2" t="inlineStr"/>
    </row>
    <row r="7006" ht="15" customHeight="1">
      <c r="A7006" t="inlineStr">
        <is>
          <t>A 19577-2024</t>
        </is>
      </c>
      <c r="B7006" s="1" t="n">
        <v>45429</v>
      </c>
      <c r="C7006" s="1" t="n">
        <v>46093</v>
      </c>
      <c r="D7006" t="inlineStr">
        <is>
          <t>VÄSTERNORRLANDS LÄN</t>
        </is>
      </c>
      <c r="E7006" t="inlineStr">
        <is>
          <t>SOLLEFTEÅ</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4727-2023</t>
        </is>
      </c>
      <c r="B7007" s="1" t="n">
        <v>44953</v>
      </c>
      <c r="C7007" s="1" t="n">
        <v>46093</v>
      </c>
      <c r="D7007" t="inlineStr">
        <is>
          <t>VÄSTERNORRLANDS LÄN</t>
        </is>
      </c>
      <c r="E7007" t="inlineStr">
        <is>
          <t>ÅNGE</t>
        </is>
      </c>
      <c r="G7007" t="n">
        <v>0.4</v>
      </c>
      <c r="H7007" t="n">
        <v>0</v>
      </c>
      <c r="I7007" t="n">
        <v>0</v>
      </c>
      <c r="J7007" t="n">
        <v>0</v>
      </c>
      <c r="K7007" t="n">
        <v>0</v>
      </c>
      <c r="L7007" t="n">
        <v>0</v>
      </c>
      <c r="M7007" t="n">
        <v>0</v>
      </c>
      <c r="N7007" t="n">
        <v>0</v>
      </c>
      <c r="O7007" t="n">
        <v>0</v>
      </c>
      <c r="P7007" t="n">
        <v>0</v>
      </c>
      <c r="Q7007" t="n">
        <v>0</v>
      </c>
      <c r="R7007" s="2" t="inlineStr"/>
    </row>
    <row r="7008" ht="15" customHeight="1">
      <c r="A7008" t="inlineStr">
        <is>
          <t>A 52561-2025</t>
        </is>
      </c>
      <c r="B7008" s="1" t="n">
        <v>45954.5725</v>
      </c>
      <c r="C7008" s="1" t="n">
        <v>46093</v>
      </c>
      <c r="D7008" t="inlineStr">
        <is>
          <t>VÄSTERNORRLANDS LÄN</t>
        </is>
      </c>
      <c r="E7008" t="inlineStr">
        <is>
          <t>TIMRÅ</t>
        </is>
      </c>
      <c r="G7008" t="n">
        <v>2.9</v>
      </c>
      <c r="H7008" t="n">
        <v>0</v>
      </c>
      <c r="I7008" t="n">
        <v>0</v>
      </c>
      <c r="J7008" t="n">
        <v>0</v>
      </c>
      <c r="K7008" t="n">
        <v>0</v>
      </c>
      <c r="L7008" t="n">
        <v>0</v>
      </c>
      <c r="M7008" t="n">
        <v>0</v>
      </c>
      <c r="N7008" t="n">
        <v>0</v>
      </c>
      <c r="O7008" t="n">
        <v>0</v>
      </c>
      <c r="P7008" t="n">
        <v>0</v>
      </c>
      <c r="Q7008" t="n">
        <v>0</v>
      </c>
      <c r="R7008" s="2" t="inlineStr"/>
    </row>
    <row r="7009" ht="15" customHeight="1">
      <c r="A7009" t="inlineStr">
        <is>
          <t>A 19328-2021</t>
        </is>
      </c>
      <c r="B7009" s="1" t="n">
        <v>44309</v>
      </c>
      <c r="C7009" s="1" t="n">
        <v>46093</v>
      </c>
      <c r="D7009" t="inlineStr">
        <is>
          <t>VÄSTERNORRLANDS LÄN</t>
        </is>
      </c>
      <c r="E7009" t="inlineStr">
        <is>
          <t>ÖRNSKÖLDSVIK</t>
        </is>
      </c>
      <c r="F7009" t="inlineStr">
        <is>
          <t>Holmen skog AB</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35650-2024</t>
        </is>
      </c>
      <c r="B7010" s="1" t="n">
        <v>45532.34123842593</v>
      </c>
      <c r="C7010" s="1" t="n">
        <v>46093</v>
      </c>
      <c r="D7010" t="inlineStr">
        <is>
          <t>VÄSTERNORRLANDS LÄN</t>
        </is>
      </c>
      <c r="E7010" t="inlineStr">
        <is>
          <t>ÅNGE</t>
        </is>
      </c>
      <c r="G7010" t="n">
        <v>3.8</v>
      </c>
      <c r="H7010" t="n">
        <v>0</v>
      </c>
      <c r="I7010" t="n">
        <v>0</v>
      </c>
      <c r="J7010" t="n">
        <v>0</v>
      </c>
      <c r="K7010" t="n">
        <v>0</v>
      </c>
      <c r="L7010" t="n">
        <v>0</v>
      </c>
      <c r="M7010" t="n">
        <v>0</v>
      </c>
      <c r="N7010" t="n">
        <v>0</v>
      </c>
      <c r="O7010" t="n">
        <v>0</v>
      </c>
      <c r="P7010" t="n">
        <v>0</v>
      </c>
      <c r="Q7010" t="n">
        <v>0</v>
      </c>
      <c r="R7010" s="2" t="inlineStr"/>
    </row>
    <row r="7011" ht="15" customHeight="1">
      <c r="A7011" t="inlineStr">
        <is>
          <t>A 52137-2025</t>
        </is>
      </c>
      <c r="B7011" s="1" t="n">
        <v>45953.26305555556</v>
      </c>
      <c r="C7011" s="1" t="n">
        <v>46093</v>
      </c>
      <c r="D7011" t="inlineStr">
        <is>
          <t>VÄSTERNORRLANDS LÄN</t>
        </is>
      </c>
      <c r="E7011" t="inlineStr">
        <is>
          <t>ÖRNSKÖLDSVIK</t>
        </is>
      </c>
      <c r="F7011" t="inlineStr">
        <is>
          <t>Holmen skog AB</t>
        </is>
      </c>
      <c r="G7011" t="n">
        <v>9.199999999999999</v>
      </c>
      <c r="H7011" t="n">
        <v>0</v>
      </c>
      <c r="I7011" t="n">
        <v>0</v>
      </c>
      <c r="J7011" t="n">
        <v>0</v>
      </c>
      <c r="K7011" t="n">
        <v>0</v>
      </c>
      <c r="L7011" t="n">
        <v>0</v>
      </c>
      <c r="M7011" t="n">
        <v>0</v>
      </c>
      <c r="N7011" t="n">
        <v>0</v>
      </c>
      <c r="O7011" t="n">
        <v>0</v>
      </c>
      <c r="P7011" t="n">
        <v>0</v>
      </c>
      <c r="Q7011" t="n">
        <v>0</v>
      </c>
      <c r="R7011" s="2" t="inlineStr"/>
    </row>
    <row r="7012" ht="15" customHeight="1">
      <c r="A7012" t="inlineStr">
        <is>
          <t>A 52144-2025</t>
        </is>
      </c>
      <c r="B7012" s="1" t="n">
        <v>45953.34181712963</v>
      </c>
      <c r="C7012" s="1" t="n">
        <v>46093</v>
      </c>
      <c r="D7012" t="inlineStr">
        <is>
          <t>VÄSTERNORRLANDS LÄN</t>
        </is>
      </c>
      <c r="E7012" t="inlineStr">
        <is>
          <t>ÖRNSKÖLDSVIK</t>
        </is>
      </c>
      <c r="G7012" t="n">
        <v>17.9</v>
      </c>
      <c r="H7012" t="n">
        <v>0</v>
      </c>
      <c r="I7012" t="n">
        <v>0</v>
      </c>
      <c r="J7012" t="n">
        <v>0</v>
      </c>
      <c r="K7012" t="n">
        <v>0</v>
      </c>
      <c r="L7012" t="n">
        <v>0</v>
      </c>
      <c r="M7012" t="n">
        <v>0</v>
      </c>
      <c r="N7012" t="n">
        <v>0</v>
      </c>
      <c r="O7012" t="n">
        <v>0</v>
      </c>
      <c r="P7012" t="n">
        <v>0</v>
      </c>
      <c r="Q7012" t="n">
        <v>0</v>
      </c>
      <c r="R7012" s="2" t="inlineStr"/>
    </row>
    <row r="7013" ht="15" customHeight="1">
      <c r="A7013" t="inlineStr">
        <is>
          <t>A 52145-2025</t>
        </is>
      </c>
      <c r="B7013" s="1" t="n">
        <v>45953.34225694444</v>
      </c>
      <c r="C7013" s="1" t="n">
        <v>46093</v>
      </c>
      <c r="D7013" t="inlineStr">
        <is>
          <t>VÄSTERNORRLANDS LÄN</t>
        </is>
      </c>
      <c r="E7013" t="inlineStr">
        <is>
          <t>ÖRNSKÖLDSVIK</t>
        </is>
      </c>
      <c r="F7013" t="inlineStr">
        <is>
          <t>Holmen skog AB</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52148-2025</t>
        </is>
      </c>
      <c r="B7014" s="1" t="n">
        <v>45953.34452546296</v>
      </c>
      <c r="C7014" s="1" t="n">
        <v>46093</v>
      </c>
      <c r="D7014" t="inlineStr">
        <is>
          <t>VÄSTERNORRLANDS LÄN</t>
        </is>
      </c>
      <c r="E7014" t="inlineStr">
        <is>
          <t>SUNDSVALL</t>
        </is>
      </c>
      <c r="F7014" t="inlineStr">
        <is>
          <t>SCA</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52151-2025</t>
        </is>
      </c>
      <c r="B7015" s="1" t="n">
        <v>45953.34508101852</v>
      </c>
      <c r="C7015" s="1" t="n">
        <v>46093</v>
      </c>
      <c r="D7015" t="inlineStr">
        <is>
          <t>VÄSTERNORRLANDS LÄN</t>
        </is>
      </c>
      <c r="E7015" t="inlineStr">
        <is>
          <t>TIMRÅ</t>
        </is>
      </c>
      <c r="F7015" t="inlineStr">
        <is>
          <t>SCA</t>
        </is>
      </c>
      <c r="G7015" t="n">
        <v>4.4</v>
      </c>
      <c r="H7015" t="n">
        <v>0</v>
      </c>
      <c r="I7015" t="n">
        <v>0</v>
      </c>
      <c r="J7015" t="n">
        <v>0</v>
      </c>
      <c r="K7015" t="n">
        <v>0</v>
      </c>
      <c r="L7015" t="n">
        <v>0</v>
      </c>
      <c r="M7015" t="n">
        <v>0</v>
      </c>
      <c r="N7015" t="n">
        <v>0</v>
      </c>
      <c r="O7015" t="n">
        <v>0</v>
      </c>
      <c r="P7015" t="n">
        <v>0</v>
      </c>
      <c r="Q7015" t="n">
        <v>0</v>
      </c>
      <c r="R7015" s="2" t="inlineStr"/>
    </row>
    <row r="7016" ht="15" customHeight="1">
      <c r="A7016" t="inlineStr">
        <is>
          <t>A 23477-2021</t>
        </is>
      </c>
      <c r="B7016" s="1" t="n">
        <v>44333.93837962963</v>
      </c>
      <c r="C7016" s="1" t="n">
        <v>46093</v>
      </c>
      <c r="D7016" t="inlineStr">
        <is>
          <t>VÄSTERNORRLANDS LÄN</t>
        </is>
      </c>
      <c r="E7016" t="inlineStr">
        <is>
          <t>KRAMFORS</t>
        </is>
      </c>
      <c r="F7016" t="inlineStr">
        <is>
          <t>SCA</t>
        </is>
      </c>
      <c r="G7016" t="n">
        <v>3.4</v>
      </c>
      <c r="H7016" t="n">
        <v>0</v>
      </c>
      <c r="I7016" t="n">
        <v>0</v>
      </c>
      <c r="J7016" t="n">
        <v>0</v>
      </c>
      <c r="K7016" t="n">
        <v>0</v>
      </c>
      <c r="L7016" t="n">
        <v>0</v>
      </c>
      <c r="M7016" t="n">
        <v>0</v>
      </c>
      <c r="N7016" t="n">
        <v>0</v>
      </c>
      <c r="O7016" t="n">
        <v>0</v>
      </c>
      <c r="P7016" t="n">
        <v>0</v>
      </c>
      <c r="Q7016" t="n">
        <v>0</v>
      </c>
      <c r="R7016" s="2" t="inlineStr"/>
    </row>
    <row r="7017" ht="15" customHeight="1">
      <c r="A7017" t="inlineStr">
        <is>
          <t>A 23611-2021</t>
        </is>
      </c>
      <c r="B7017" s="1" t="n">
        <v>44334</v>
      </c>
      <c r="C7017" s="1" t="n">
        <v>46093</v>
      </c>
      <c r="D7017" t="inlineStr">
        <is>
          <t>VÄSTERNORRLANDS LÄN</t>
        </is>
      </c>
      <c r="E7017" t="inlineStr">
        <is>
          <t>TIMRÅ</t>
        </is>
      </c>
      <c r="G7017" t="n">
        <v>13.7</v>
      </c>
      <c r="H7017" t="n">
        <v>0</v>
      </c>
      <c r="I7017" t="n">
        <v>0</v>
      </c>
      <c r="J7017" t="n">
        <v>0</v>
      </c>
      <c r="K7017" t="n">
        <v>0</v>
      </c>
      <c r="L7017" t="n">
        <v>0</v>
      </c>
      <c r="M7017" t="n">
        <v>0</v>
      </c>
      <c r="N7017" t="n">
        <v>0</v>
      </c>
      <c r="O7017" t="n">
        <v>0</v>
      </c>
      <c r="P7017" t="n">
        <v>0</v>
      </c>
      <c r="Q7017" t="n">
        <v>0</v>
      </c>
      <c r="R7017" s="2" t="inlineStr"/>
    </row>
    <row r="7018" ht="15" customHeight="1">
      <c r="A7018" t="inlineStr">
        <is>
          <t>A 3357-2024</t>
        </is>
      </c>
      <c r="B7018" s="1" t="n">
        <v>45317</v>
      </c>
      <c r="C7018" s="1" t="n">
        <v>46093</v>
      </c>
      <c r="D7018" t="inlineStr">
        <is>
          <t>VÄSTERNORRLANDS LÄN</t>
        </is>
      </c>
      <c r="E7018" t="inlineStr">
        <is>
          <t>ÅNGE</t>
        </is>
      </c>
      <c r="G7018" t="n">
        <v>8</v>
      </c>
      <c r="H7018" t="n">
        <v>0</v>
      </c>
      <c r="I7018" t="n">
        <v>0</v>
      </c>
      <c r="J7018" t="n">
        <v>0</v>
      </c>
      <c r="K7018" t="n">
        <v>0</v>
      </c>
      <c r="L7018" t="n">
        <v>0</v>
      </c>
      <c r="M7018" t="n">
        <v>0</v>
      </c>
      <c r="N7018" t="n">
        <v>0</v>
      </c>
      <c r="O7018" t="n">
        <v>0</v>
      </c>
      <c r="P7018" t="n">
        <v>0</v>
      </c>
      <c r="Q7018" t="n">
        <v>0</v>
      </c>
      <c r="R7018" s="2" t="inlineStr"/>
    </row>
    <row r="7019" ht="15" customHeight="1">
      <c r="A7019" t="inlineStr">
        <is>
          <t>A 52142-2025</t>
        </is>
      </c>
      <c r="B7019" s="1" t="n">
        <v>45953.32988425926</v>
      </c>
      <c r="C7019" s="1" t="n">
        <v>46093</v>
      </c>
      <c r="D7019" t="inlineStr">
        <is>
          <t>VÄSTERNORRLANDS LÄN</t>
        </is>
      </c>
      <c r="E7019" t="inlineStr">
        <is>
          <t>ÖRNSKÖLDSVIK</t>
        </is>
      </c>
      <c r="F7019" t="inlineStr">
        <is>
          <t>Holmen skog AB</t>
        </is>
      </c>
      <c r="G7019" t="n">
        <v>10.8</v>
      </c>
      <c r="H7019" t="n">
        <v>0</v>
      </c>
      <c r="I7019" t="n">
        <v>0</v>
      </c>
      <c r="J7019" t="n">
        <v>0</v>
      </c>
      <c r="K7019" t="n">
        <v>0</v>
      </c>
      <c r="L7019" t="n">
        <v>0</v>
      </c>
      <c r="M7019" t="n">
        <v>0</v>
      </c>
      <c r="N7019" t="n">
        <v>0</v>
      </c>
      <c r="O7019" t="n">
        <v>0</v>
      </c>
      <c r="P7019" t="n">
        <v>0</v>
      </c>
      <c r="Q7019" t="n">
        <v>0</v>
      </c>
      <c r="R7019" s="2" t="inlineStr"/>
    </row>
    <row r="7020" ht="15" customHeight="1">
      <c r="A7020" t="inlineStr">
        <is>
          <t>A 52149-2025</t>
        </is>
      </c>
      <c r="B7020" s="1" t="n">
        <v>45953.34471064815</v>
      </c>
      <c r="C7020" s="1" t="n">
        <v>46093</v>
      </c>
      <c r="D7020" t="inlineStr">
        <is>
          <t>VÄSTERNORRLANDS LÄN</t>
        </is>
      </c>
      <c r="E7020" t="inlineStr">
        <is>
          <t>SUNDSVALL</t>
        </is>
      </c>
      <c r="F7020" t="inlineStr">
        <is>
          <t>SCA</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52616-2025</t>
        </is>
      </c>
      <c r="B7021" s="1" t="n">
        <v>45954.67804398148</v>
      </c>
      <c r="C7021" s="1" t="n">
        <v>46093</v>
      </c>
      <c r="D7021" t="inlineStr">
        <is>
          <t>VÄSTERNORRLANDS LÄN</t>
        </is>
      </c>
      <c r="E7021" t="inlineStr">
        <is>
          <t>SUNDSVALL</t>
        </is>
      </c>
      <c r="F7021" t="inlineStr">
        <is>
          <t>SCA</t>
        </is>
      </c>
      <c r="G7021" t="n">
        <v>1.9</v>
      </c>
      <c r="H7021" t="n">
        <v>0</v>
      </c>
      <c r="I7021" t="n">
        <v>0</v>
      </c>
      <c r="J7021" t="n">
        <v>0</v>
      </c>
      <c r="K7021" t="n">
        <v>0</v>
      </c>
      <c r="L7021" t="n">
        <v>0</v>
      </c>
      <c r="M7021" t="n">
        <v>0</v>
      </c>
      <c r="N7021" t="n">
        <v>0</v>
      </c>
      <c r="O7021" t="n">
        <v>0</v>
      </c>
      <c r="P7021" t="n">
        <v>0</v>
      </c>
      <c r="Q7021" t="n">
        <v>0</v>
      </c>
      <c r="R7021" s="2" t="inlineStr"/>
    </row>
    <row r="7022" ht="15" customHeight="1">
      <c r="A7022" t="inlineStr">
        <is>
          <t>A 52627-2025</t>
        </is>
      </c>
      <c r="B7022" s="1" t="n">
        <v>45953</v>
      </c>
      <c r="C7022" s="1" t="n">
        <v>46093</v>
      </c>
      <c r="D7022" t="inlineStr">
        <is>
          <t>VÄSTERNORRLANDS LÄN</t>
        </is>
      </c>
      <c r="E7022" t="inlineStr">
        <is>
          <t>TIMRÅ</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52140-2025</t>
        </is>
      </c>
      <c r="B7023" s="1" t="n">
        <v>45953.32174768519</v>
      </c>
      <c r="C7023" s="1" t="n">
        <v>46093</v>
      </c>
      <c r="D7023" t="inlineStr">
        <is>
          <t>VÄSTERNORRLANDS LÄN</t>
        </is>
      </c>
      <c r="E7023" t="inlineStr">
        <is>
          <t>ÖRNSKÖLDSVIK</t>
        </is>
      </c>
      <c r="F7023" t="inlineStr">
        <is>
          <t>Holmen skog AB</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52147-2025</t>
        </is>
      </c>
      <c r="B7024" s="1" t="n">
        <v>45953.34431712963</v>
      </c>
      <c r="C7024" s="1" t="n">
        <v>46093</v>
      </c>
      <c r="D7024" t="inlineStr">
        <is>
          <t>VÄSTERNORRLANDS LÄN</t>
        </is>
      </c>
      <c r="E7024" t="inlineStr">
        <is>
          <t>HÄRNÖSAND</t>
        </is>
      </c>
      <c r="F7024" t="inlineStr">
        <is>
          <t>SCA</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58043-2024</t>
        </is>
      </c>
      <c r="B7025" s="1" t="n">
        <v>45631</v>
      </c>
      <c r="C7025" s="1" t="n">
        <v>46093</v>
      </c>
      <c r="D7025" t="inlineStr">
        <is>
          <t>VÄSTERNORRLANDS LÄN</t>
        </is>
      </c>
      <c r="E7025" t="inlineStr">
        <is>
          <t>ÖRNSKÖLDSVIK</t>
        </is>
      </c>
      <c r="G7025" t="n">
        <v>5.2</v>
      </c>
      <c r="H7025" t="n">
        <v>0</v>
      </c>
      <c r="I7025" t="n">
        <v>0</v>
      </c>
      <c r="J7025" t="n">
        <v>0</v>
      </c>
      <c r="K7025" t="n">
        <v>0</v>
      </c>
      <c r="L7025" t="n">
        <v>0</v>
      </c>
      <c r="M7025" t="n">
        <v>0</v>
      </c>
      <c r="N7025" t="n">
        <v>0</v>
      </c>
      <c r="O7025" t="n">
        <v>0</v>
      </c>
      <c r="P7025" t="n">
        <v>0</v>
      </c>
      <c r="Q7025" t="n">
        <v>0</v>
      </c>
      <c r="R7025" s="2" t="inlineStr"/>
    </row>
    <row r="7026" ht="15" customHeight="1">
      <c r="A7026" t="inlineStr">
        <is>
          <t>A 52176-2025</t>
        </is>
      </c>
      <c r="B7026" s="1" t="n">
        <v>45953.37601851852</v>
      </c>
      <c r="C7026" s="1" t="n">
        <v>46093</v>
      </c>
      <c r="D7026" t="inlineStr">
        <is>
          <t>VÄSTERNORRLANDS LÄN</t>
        </is>
      </c>
      <c r="E7026" t="inlineStr">
        <is>
          <t>ÖRNSKÖLDSVIK</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2883-2025</t>
        </is>
      </c>
      <c r="B7027" s="1" t="n">
        <v>45677</v>
      </c>
      <c r="C7027" s="1" t="n">
        <v>46093</v>
      </c>
      <c r="D7027" t="inlineStr">
        <is>
          <t>VÄSTERNORRLANDS LÄN</t>
        </is>
      </c>
      <c r="E7027" t="inlineStr">
        <is>
          <t>SOLLEFTEÅ</t>
        </is>
      </c>
      <c r="F7027" t="inlineStr">
        <is>
          <t>SCA</t>
        </is>
      </c>
      <c r="G7027" t="n">
        <v>4.8</v>
      </c>
      <c r="H7027" t="n">
        <v>0</v>
      </c>
      <c r="I7027" t="n">
        <v>0</v>
      </c>
      <c r="J7027" t="n">
        <v>0</v>
      </c>
      <c r="K7027" t="n">
        <v>0</v>
      </c>
      <c r="L7027" t="n">
        <v>0</v>
      </c>
      <c r="M7027" t="n">
        <v>0</v>
      </c>
      <c r="N7027" t="n">
        <v>0</v>
      </c>
      <c r="O7027" t="n">
        <v>0</v>
      </c>
      <c r="P7027" t="n">
        <v>0</v>
      </c>
      <c r="Q7027" t="n">
        <v>0</v>
      </c>
      <c r="R7027" s="2" t="inlineStr"/>
    </row>
    <row r="7028" ht="15" customHeight="1">
      <c r="A7028" t="inlineStr">
        <is>
          <t>A 52426-2025</t>
        </is>
      </c>
      <c r="B7028" s="1" t="n">
        <v>45954.38292824074</v>
      </c>
      <c r="C7028" s="1" t="n">
        <v>46093</v>
      </c>
      <c r="D7028" t="inlineStr">
        <is>
          <t>VÄSTERNORRLANDS LÄN</t>
        </is>
      </c>
      <c r="E7028" t="inlineStr">
        <is>
          <t>KRAMFORS</t>
        </is>
      </c>
      <c r="G7028" t="n">
        <v>3.4</v>
      </c>
      <c r="H7028" t="n">
        <v>0</v>
      </c>
      <c r="I7028" t="n">
        <v>0</v>
      </c>
      <c r="J7028" t="n">
        <v>0</v>
      </c>
      <c r="K7028" t="n">
        <v>0</v>
      </c>
      <c r="L7028" t="n">
        <v>0</v>
      </c>
      <c r="M7028" t="n">
        <v>0</v>
      </c>
      <c r="N7028" t="n">
        <v>0</v>
      </c>
      <c r="O7028" t="n">
        <v>0</v>
      </c>
      <c r="P7028" t="n">
        <v>0</v>
      </c>
      <c r="Q7028" t="n">
        <v>0</v>
      </c>
      <c r="R7028" s="2" t="inlineStr"/>
    </row>
    <row r="7029" ht="15" customHeight="1">
      <c r="A7029" t="inlineStr">
        <is>
          <t>A 46332-2023</t>
        </is>
      </c>
      <c r="B7029" s="1" t="n">
        <v>45196</v>
      </c>
      <c r="C7029" s="1" t="n">
        <v>46093</v>
      </c>
      <c r="D7029" t="inlineStr">
        <is>
          <t>VÄSTERNORRLANDS LÄN</t>
        </is>
      </c>
      <c r="E7029" t="inlineStr">
        <is>
          <t>ÅNGE</t>
        </is>
      </c>
      <c r="F7029" t="inlineStr">
        <is>
          <t>SCA</t>
        </is>
      </c>
      <c r="G7029" t="n">
        <v>6.1</v>
      </c>
      <c r="H7029" t="n">
        <v>0</v>
      </c>
      <c r="I7029" t="n">
        <v>0</v>
      </c>
      <c r="J7029" t="n">
        <v>0</v>
      </c>
      <c r="K7029" t="n">
        <v>0</v>
      </c>
      <c r="L7029" t="n">
        <v>0</v>
      </c>
      <c r="M7029" t="n">
        <v>0</v>
      </c>
      <c r="N7029" t="n">
        <v>0</v>
      </c>
      <c r="O7029" t="n">
        <v>0</v>
      </c>
      <c r="P7029" t="n">
        <v>0</v>
      </c>
      <c r="Q7029" t="n">
        <v>0</v>
      </c>
      <c r="R7029" s="2" t="inlineStr"/>
    </row>
    <row r="7030" ht="15" customHeight="1">
      <c r="A7030" t="inlineStr">
        <is>
          <t>A 23556-2024</t>
        </is>
      </c>
      <c r="B7030" s="1" t="n">
        <v>45453</v>
      </c>
      <c r="C7030" s="1" t="n">
        <v>46093</v>
      </c>
      <c r="D7030" t="inlineStr">
        <is>
          <t>VÄSTERNORRLANDS LÄN</t>
        </is>
      </c>
      <c r="E7030" t="inlineStr">
        <is>
          <t>TIMRÅ</t>
        </is>
      </c>
      <c r="F7030" t="inlineStr">
        <is>
          <t>SCA</t>
        </is>
      </c>
      <c r="G7030" t="n">
        <v>6.5</v>
      </c>
      <c r="H7030" t="n">
        <v>0</v>
      </c>
      <c r="I7030" t="n">
        <v>0</v>
      </c>
      <c r="J7030" t="n">
        <v>0</v>
      </c>
      <c r="K7030" t="n">
        <v>0</v>
      </c>
      <c r="L7030" t="n">
        <v>0</v>
      </c>
      <c r="M7030" t="n">
        <v>0</v>
      </c>
      <c r="N7030" t="n">
        <v>0</v>
      </c>
      <c r="O7030" t="n">
        <v>0</v>
      </c>
      <c r="P7030" t="n">
        <v>0</v>
      </c>
      <c r="Q7030" t="n">
        <v>0</v>
      </c>
      <c r="R7030" s="2" t="inlineStr"/>
    </row>
    <row r="7031" ht="15" customHeight="1">
      <c r="A7031" t="inlineStr">
        <is>
          <t>A 48697-2024</t>
        </is>
      </c>
      <c r="B7031" s="1" t="n">
        <v>45593.51136574074</v>
      </c>
      <c r="C7031" s="1" t="n">
        <v>46093</v>
      </c>
      <c r="D7031" t="inlineStr">
        <is>
          <t>VÄSTERNORRLANDS LÄN</t>
        </is>
      </c>
      <c r="E7031" t="inlineStr">
        <is>
          <t>ÅNGE</t>
        </is>
      </c>
      <c r="F7031" t="inlineStr">
        <is>
          <t>SCA</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7007-2025</t>
        </is>
      </c>
      <c r="B7032" s="1" t="n">
        <v>45701</v>
      </c>
      <c r="C7032" s="1" t="n">
        <v>46093</v>
      </c>
      <c r="D7032" t="inlineStr">
        <is>
          <t>VÄSTERNORRLANDS LÄN</t>
        </is>
      </c>
      <c r="E7032" t="inlineStr">
        <is>
          <t>SOLLEFTEÅ</t>
        </is>
      </c>
      <c r="G7032" t="n">
        <v>6.1</v>
      </c>
      <c r="H7032" t="n">
        <v>0</v>
      </c>
      <c r="I7032" t="n">
        <v>0</v>
      </c>
      <c r="J7032" t="n">
        <v>0</v>
      </c>
      <c r="K7032" t="n">
        <v>0</v>
      </c>
      <c r="L7032" t="n">
        <v>0</v>
      </c>
      <c r="M7032" t="n">
        <v>0</v>
      </c>
      <c r="N7032" t="n">
        <v>0</v>
      </c>
      <c r="O7032" t="n">
        <v>0</v>
      </c>
      <c r="P7032" t="n">
        <v>0</v>
      </c>
      <c r="Q7032" t="n">
        <v>0</v>
      </c>
      <c r="R7032" s="2" t="inlineStr"/>
    </row>
    <row r="7033" ht="15" customHeight="1">
      <c r="A7033" t="inlineStr">
        <is>
          <t>A 7089-2025</t>
        </is>
      </c>
      <c r="B7033" s="1" t="n">
        <v>45701.74523148148</v>
      </c>
      <c r="C7033" s="1" t="n">
        <v>46093</v>
      </c>
      <c r="D7033" t="inlineStr">
        <is>
          <t>VÄSTERNORRLANDS LÄN</t>
        </is>
      </c>
      <c r="E7033" t="inlineStr">
        <is>
          <t>SUNDSVALL</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7090-2025</t>
        </is>
      </c>
      <c r="B7034" s="1" t="n">
        <v>45701.75070601852</v>
      </c>
      <c r="C7034" s="1" t="n">
        <v>46093</v>
      </c>
      <c r="D7034" t="inlineStr">
        <is>
          <t>VÄSTERNORRLANDS LÄN</t>
        </is>
      </c>
      <c r="E7034" t="inlineStr">
        <is>
          <t>SUNDSVALL</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52193-2025</t>
        </is>
      </c>
      <c r="B7035" s="1" t="n">
        <v>45953.38885416667</v>
      </c>
      <c r="C7035" s="1" t="n">
        <v>46093</v>
      </c>
      <c r="D7035" t="inlineStr">
        <is>
          <t>VÄSTERNORRLANDS LÄN</t>
        </is>
      </c>
      <c r="E7035" t="inlineStr">
        <is>
          <t>ÖRNSKÖLDSVIK</t>
        </is>
      </c>
      <c r="F7035" t="inlineStr">
        <is>
          <t>Holmen skog AB</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40050-2024</t>
        </is>
      </c>
      <c r="B7036" s="1" t="n">
        <v>45553.80729166666</v>
      </c>
      <c r="C7036" s="1" t="n">
        <v>46093</v>
      </c>
      <c r="D7036" t="inlineStr">
        <is>
          <t>VÄSTERNORRLANDS LÄN</t>
        </is>
      </c>
      <c r="E7036" t="inlineStr">
        <is>
          <t>SUNDSVALL</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37588-2025</t>
        </is>
      </c>
      <c r="B7037" s="1" t="n">
        <v>45880.40707175926</v>
      </c>
      <c r="C7037" s="1" t="n">
        <v>46093</v>
      </c>
      <c r="D7037" t="inlineStr">
        <is>
          <t>VÄSTERNORRLANDS LÄN</t>
        </is>
      </c>
      <c r="E7037" t="inlineStr">
        <is>
          <t>SUNDSVALL</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37607-2025</t>
        </is>
      </c>
      <c r="B7038" s="1" t="n">
        <v>45880</v>
      </c>
      <c r="C7038" s="1" t="n">
        <v>46093</v>
      </c>
      <c r="D7038" t="inlineStr">
        <is>
          <t>VÄSTERNORRLANDS LÄN</t>
        </is>
      </c>
      <c r="E7038" t="inlineStr">
        <is>
          <t>SOLLEFTEÅ</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52196-2025</t>
        </is>
      </c>
      <c r="B7039" s="1" t="n">
        <v>45953.39898148148</v>
      </c>
      <c r="C7039" s="1" t="n">
        <v>46093</v>
      </c>
      <c r="D7039" t="inlineStr">
        <is>
          <t>VÄSTERNORRLANDS LÄN</t>
        </is>
      </c>
      <c r="E7039" t="inlineStr">
        <is>
          <t>ÖRNSKÖLDSVIK</t>
        </is>
      </c>
      <c r="F7039" t="inlineStr">
        <is>
          <t>Holmen skog AB</t>
        </is>
      </c>
      <c r="G7039" t="n">
        <v>11.5</v>
      </c>
      <c r="H7039" t="n">
        <v>0</v>
      </c>
      <c r="I7039" t="n">
        <v>0</v>
      </c>
      <c r="J7039" t="n">
        <v>0</v>
      </c>
      <c r="K7039" t="n">
        <v>0</v>
      </c>
      <c r="L7039" t="n">
        <v>0</v>
      </c>
      <c r="M7039" t="n">
        <v>0</v>
      </c>
      <c r="N7039" t="n">
        <v>0</v>
      </c>
      <c r="O7039" t="n">
        <v>0</v>
      </c>
      <c r="P7039" t="n">
        <v>0</v>
      </c>
      <c r="Q7039" t="n">
        <v>0</v>
      </c>
      <c r="R7039" s="2" t="inlineStr"/>
    </row>
    <row r="7040" ht="15" customHeight="1">
      <c r="A7040" t="inlineStr">
        <is>
          <t>A 63814-2023</t>
        </is>
      </c>
      <c r="B7040" s="1" t="n">
        <v>45278</v>
      </c>
      <c r="C7040" s="1" t="n">
        <v>46093</v>
      </c>
      <c r="D7040" t="inlineStr">
        <is>
          <t>VÄSTERNORRLANDS LÄN</t>
        </is>
      </c>
      <c r="E7040" t="inlineStr">
        <is>
          <t>SUNDSVALL</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52283-2025</t>
        </is>
      </c>
      <c r="B7041" s="1" t="n">
        <v>45953.57346064815</v>
      </c>
      <c r="C7041" s="1" t="n">
        <v>46093</v>
      </c>
      <c r="D7041" t="inlineStr">
        <is>
          <t>VÄSTERNORRLANDS LÄN</t>
        </is>
      </c>
      <c r="E7041" t="inlineStr">
        <is>
          <t>ÅNGE</t>
        </is>
      </c>
      <c r="G7041" t="n">
        <v>8.9</v>
      </c>
      <c r="H7041" t="n">
        <v>0</v>
      </c>
      <c r="I7041" t="n">
        <v>0</v>
      </c>
      <c r="J7041" t="n">
        <v>0</v>
      </c>
      <c r="K7041" t="n">
        <v>0</v>
      </c>
      <c r="L7041" t="n">
        <v>0</v>
      </c>
      <c r="M7041" t="n">
        <v>0</v>
      </c>
      <c r="N7041" t="n">
        <v>0</v>
      </c>
      <c r="O7041" t="n">
        <v>0</v>
      </c>
      <c r="P7041" t="n">
        <v>0</v>
      </c>
      <c r="Q7041" t="n">
        <v>0</v>
      </c>
      <c r="R7041" s="2" t="inlineStr"/>
    </row>
    <row r="7042" ht="15" customHeight="1">
      <c r="A7042" t="inlineStr">
        <is>
          <t>A 52236-2025</t>
        </is>
      </c>
      <c r="B7042" s="1" t="n">
        <v>45953.45596064815</v>
      </c>
      <c r="C7042" s="1" t="n">
        <v>46093</v>
      </c>
      <c r="D7042" t="inlineStr">
        <is>
          <t>VÄSTERNORRLANDS LÄN</t>
        </is>
      </c>
      <c r="E7042" t="inlineStr">
        <is>
          <t>SOLLEFTEÅ</t>
        </is>
      </c>
      <c r="F7042" t="inlineStr">
        <is>
          <t>Holmen skog AB</t>
        </is>
      </c>
      <c r="G7042" t="n">
        <v>7.2</v>
      </c>
      <c r="H7042" t="n">
        <v>0</v>
      </c>
      <c r="I7042" t="n">
        <v>0</v>
      </c>
      <c r="J7042" t="n">
        <v>0</v>
      </c>
      <c r="K7042" t="n">
        <v>0</v>
      </c>
      <c r="L7042" t="n">
        <v>0</v>
      </c>
      <c r="M7042" t="n">
        <v>0</v>
      </c>
      <c r="N7042" t="n">
        <v>0</v>
      </c>
      <c r="O7042" t="n">
        <v>0</v>
      </c>
      <c r="P7042" t="n">
        <v>0</v>
      </c>
      <c r="Q7042" t="n">
        <v>0</v>
      </c>
      <c r="R7042" s="2" t="inlineStr"/>
    </row>
    <row r="7043" ht="15" customHeight="1">
      <c r="A7043" t="inlineStr">
        <is>
          <t>A 52393-2025</t>
        </is>
      </c>
      <c r="B7043" s="1" t="n">
        <v>45954.34443287037</v>
      </c>
      <c r="C7043" s="1" t="n">
        <v>46093</v>
      </c>
      <c r="D7043" t="inlineStr">
        <is>
          <t>VÄSTERNORRLANDS LÄN</t>
        </is>
      </c>
      <c r="E7043" t="inlineStr">
        <is>
          <t>SOLLEFTEÅ</t>
        </is>
      </c>
      <c r="F7043" t="inlineStr">
        <is>
          <t>SCA</t>
        </is>
      </c>
      <c r="G7043" t="n">
        <v>29.1</v>
      </c>
      <c r="H7043" t="n">
        <v>0</v>
      </c>
      <c r="I7043" t="n">
        <v>0</v>
      </c>
      <c r="J7043" t="n">
        <v>0</v>
      </c>
      <c r="K7043" t="n">
        <v>0</v>
      </c>
      <c r="L7043" t="n">
        <v>0</v>
      </c>
      <c r="M7043" t="n">
        <v>0</v>
      </c>
      <c r="N7043" t="n">
        <v>0</v>
      </c>
      <c r="O7043" t="n">
        <v>0</v>
      </c>
      <c r="P7043" t="n">
        <v>0</v>
      </c>
      <c r="Q7043" t="n">
        <v>0</v>
      </c>
      <c r="R7043" s="2" t="inlineStr"/>
    </row>
    <row r="7044" ht="15" customHeight="1">
      <c r="A7044" t="inlineStr">
        <is>
          <t>A 59594-2024</t>
        </is>
      </c>
      <c r="B7044" s="1" t="n">
        <v>45638.69611111111</v>
      </c>
      <c r="C7044" s="1" t="n">
        <v>46093</v>
      </c>
      <c r="D7044" t="inlineStr">
        <is>
          <t>VÄSTERNORRLANDS LÄN</t>
        </is>
      </c>
      <c r="E7044" t="inlineStr">
        <is>
          <t>ÖRNSKÖLDSVIK</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50638-2023</t>
        </is>
      </c>
      <c r="B7045" s="1" t="n">
        <v>45210</v>
      </c>
      <c r="C7045" s="1" t="n">
        <v>46093</v>
      </c>
      <c r="D7045" t="inlineStr">
        <is>
          <t>VÄSTERNORRLANDS LÄN</t>
        </is>
      </c>
      <c r="E7045" t="inlineStr">
        <is>
          <t>TIMRÅ</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52252-2025</t>
        </is>
      </c>
      <c r="B7046" s="1" t="n">
        <v>45953.49189814815</v>
      </c>
      <c r="C7046" s="1" t="n">
        <v>46093</v>
      </c>
      <c r="D7046" t="inlineStr">
        <is>
          <t>VÄSTERNORRLANDS LÄN</t>
        </is>
      </c>
      <c r="E7046" t="inlineStr">
        <is>
          <t>SUNDSVALL</t>
        </is>
      </c>
      <c r="G7046" t="n">
        <v>6.4</v>
      </c>
      <c r="H7046" t="n">
        <v>0</v>
      </c>
      <c r="I7046" t="n">
        <v>0</v>
      </c>
      <c r="J7046" t="n">
        <v>0</v>
      </c>
      <c r="K7046" t="n">
        <v>0</v>
      </c>
      <c r="L7046" t="n">
        <v>0</v>
      </c>
      <c r="M7046" t="n">
        <v>0</v>
      </c>
      <c r="N7046" t="n">
        <v>0</v>
      </c>
      <c r="O7046" t="n">
        <v>0</v>
      </c>
      <c r="P7046" t="n">
        <v>0</v>
      </c>
      <c r="Q7046" t="n">
        <v>0</v>
      </c>
      <c r="R7046" s="2" t="inlineStr"/>
    </row>
    <row r="7047" ht="15" customHeight="1">
      <c r="A7047" t="inlineStr">
        <is>
          <t>A 52264-2025</t>
        </is>
      </c>
      <c r="B7047" s="1" t="n">
        <v>45953.52818287037</v>
      </c>
      <c r="C7047" s="1" t="n">
        <v>46093</v>
      </c>
      <c r="D7047" t="inlineStr">
        <is>
          <t>VÄSTERNORRLANDS LÄN</t>
        </is>
      </c>
      <c r="E7047" t="inlineStr">
        <is>
          <t>ÖRNSKÖLDSVIK</t>
        </is>
      </c>
      <c r="F7047" t="inlineStr">
        <is>
          <t>Holmen skog AB</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52275-2025</t>
        </is>
      </c>
      <c r="B7048" s="1" t="n">
        <v>45953.55248842593</v>
      </c>
      <c r="C7048" s="1" t="n">
        <v>46093</v>
      </c>
      <c r="D7048" t="inlineStr">
        <is>
          <t>VÄSTERNORRLANDS LÄN</t>
        </is>
      </c>
      <c r="E7048" t="inlineStr">
        <is>
          <t>TIMRÅ</t>
        </is>
      </c>
      <c r="F7048" t="inlineStr">
        <is>
          <t>SCA</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52411-2025</t>
        </is>
      </c>
      <c r="B7049" s="1" t="n">
        <v>45954.36518518518</v>
      </c>
      <c r="C7049" s="1" t="n">
        <v>46093</v>
      </c>
      <c r="D7049" t="inlineStr">
        <is>
          <t>VÄSTERNORRLANDS LÄN</t>
        </is>
      </c>
      <c r="E7049" t="inlineStr">
        <is>
          <t>ÅNGE</t>
        </is>
      </c>
      <c r="F7049" t="inlineStr">
        <is>
          <t>SCA</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62302-2023</t>
        </is>
      </c>
      <c r="B7050" s="1" t="n">
        <v>45266</v>
      </c>
      <c r="C7050" s="1" t="n">
        <v>46093</v>
      </c>
      <c r="D7050" t="inlineStr">
        <is>
          <t>VÄSTERNORRLANDS LÄN</t>
        </is>
      </c>
      <c r="E7050" t="inlineStr">
        <is>
          <t>SUNDSVALL</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56023-2022</t>
        </is>
      </c>
      <c r="B7051" s="1" t="n">
        <v>44887</v>
      </c>
      <c r="C7051" s="1" t="n">
        <v>46093</v>
      </c>
      <c r="D7051" t="inlineStr">
        <is>
          <t>VÄSTERNORRLANDS LÄN</t>
        </is>
      </c>
      <c r="E7051" t="inlineStr">
        <is>
          <t>ÖRNSKÖLDSVIK</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25116-2024</t>
        </is>
      </c>
      <c r="B7052" s="1" t="n">
        <v>45462</v>
      </c>
      <c r="C7052" s="1" t="n">
        <v>46093</v>
      </c>
      <c r="D7052" t="inlineStr">
        <is>
          <t>VÄSTERNORRLANDS LÄN</t>
        </is>
      </c>
      <c r="E7052" t="inlineStr">
        <is>
          <t>HÄRNÖSAND</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52305-2025</t>
        </is>
      </c>
      <c r="B7053" s="1" t="n">
        <v>45953.63582175926</v>
      </c>
      <c r="C7053" s="1" t="n">
        <v>46093</v>
      </c>
      <c r="D7053" t="inlineStr">
        <is>
          <t>VÄSTERNORRLANDS LÄN</t>
        </is>
      </c>
      <c r="E7053" t="inlineStr">
        <is>
          <t>SOLLEFTEÅ</t>
        </is>
      </c>
      <c r="F7053" t="inlineStr">
        <is>
          <t>SCA</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52306-2025</t>
        </is>
      </c>
      <c r="B7054" s="1" t="n">
        <v>45953.63600694444</v>
      </c>
      <c r="C7054" s="1" t="n">
        <v>46093</v>
      </c>
      <c r="D7054" t="inlineStr">
        <is>
          <t>VÄSTERNORRLANDS LÄN</t>
        </is>
      </c>
      <c r="E7054" t="inlineStr">
        <is>
          <t>ÅNGE</t>
        </is>
      </c>
      <c r="F7054" t="inlineStr">
        <is>
          <t>SCA</t>
        </is>
      </c>
      <c r="G7054" t="n">
        <v>1.9</v>
      </c>
      <c r="H7054" t="n">
        <v>0</v>
      </c>
      <c r="I7054" t="n">
        <v>0</v>
      </c>
      <c r="J7054" t="n">
        <v>0</v>
      </c>
      <c r="K7054" t="n">
        <v>0</v>
      </c>
      <c r="L7054" t="n">
        <v>0</v>
      </c>
      <c r="M7054" t="n">
        <v>0</v>
      </c>
      <c r="N7054" t="n">
        <v>0</v>
      </c>
      <c r="O7054" t="n">
        <v>0</v>
      </c>
      <c r="P7054" t="n">
        <v>0</v>
      </c>
      <c r="Q7054" t="n">
        <v>0</v>
      </c>
      <c r="R7054" s="2" t="inlineStr"/>
    </row>
    <row r="7055" ht="15" customHeight="1">
      <c r="A7055" t="inlineStr">
        <is>
          <t>A 52160-2025</t>
        </is>
      </c>
      <c r="B7055" s="1" t="n">
        <v>45953.35965277778</v>
      </c>
      <c r="C7055" s="1" t="n">
        <v>46093</v>
      </c>
      <c r="D7055" t="inlineStr">
        <is>
          <t>VÄSTERNORRLANDS LÄN</t>
        </is>
      </c>
      <c r="E7055" t="inlineStr">
        <is>
          <t>ÖRNSKÖLDSVIK</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61424-2024</t>
        </is>
      </c>
      <c r="B7056" s="1" t="n">
        <v>45646.45277777778</v>
      </c>
      <c r="C7056" s="1" t="n">
        <v>46093</v>
      </c>
      <c r="D7056" t="inlineStr">
        <is>
          <t>VÄSTERNORRLANDS LÄN</t>
        </is>
      </c>
      <c r="E7056" t="inlineStr">
        <is>
          <t>ÖRNSKÖLDSVIK</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2111-2025</t>
        </is>
      </c>
      <c r="B7057" s="1" t="n">
        <v>45672</v>
      </c>
      <c r="C7057" s="1" t="n">
        <v>46093</v>
      </c>
      <c r="D7057" t="inlineStr">
        <is>
          <t>VÄSTERNORRLANDS LÄN</t>
        </is>
      </c>
      <c r="E7057" t="inlineStr">
        <is>
          <t>ÖRNSKÖLDSVIK</t>
        </is>
      </c>
      <c r="G7057" t="n">
        <v>13.7</v>
      </c>
      <c r="H7057" t="n">
        <v>0</v>
      </c>
      <c r="I7057" t="n">
        <v>0</v>
      </c>
      <c r="J7057" t="n">
        <v>0</v>
      </c>
      <c r="K7057" t="n">
        <v>0</v>
      </c>
      <c r="L7057" t="n">
        <v>0</v>
      </c>
      <c r="M7057" t="n">
        <v>0</v>
      </c>
      <c r="N7057" t="n">
        <v>0</v>
      </c>
      <c r="O7057" t="n">
        <v>0</v>
      </c>
      <c r="P7057" t="n">
        <v>0</v>
      </c>
      <c r="Q7057" t="n">
        <v>0</v>
      </c>
      <c r="R7057" s="2" t="inlineStr"/>
    </row>
    <row r="7058" ht="15" customHeight="1">
      <c r="A7058" t="inlineStr">
        <is>
          <t>A 4775-2024</t>
        </is>
      </c>
      <c r="B7058" s="1" t="n">
        <v>45328</v>
      </c>
      <c r="C7058" s="1" t="n">
        <v>46093</v>
      </c>
      <c r="D7058" t="inlineStr">
        <is>
          <t>VÄSTERNORRLANDS LÄN</t>
        </is>
      </c>
      <c r="E7058" t="inlineStr">
        <is>
          <t>KRAMFORS</t>
        </is>
      </c>
      <c r="G7058" t="n">
        <v>0.4</v>
      </c>
      <c r="H7058" t="n">
        <v>0</v>
      </c>
      <c r="I7058" t="n">
        <v>0</v>
      </c>
      <c r="J7058" t="n">
        <v>0</v>
      </c>
      <c r="K7058" t="n">
        <v>0</v>
      </c>
      <c r="L7058" t="n">
        <v>0</v>
      </c>
      <c r="M7058" t="n">
        <v>0</v>
      </c>
      <c r="N7058" t="n">
        <v>0</v>
      </c>
      <c r="O7058" t="n">
        <v>0</v>
      </c>
      <c r="P7058" t="n">
        <v>0</v>
      </c>
      <c r="Q7058" t="n">
        <v>0</v>
      </c>
      <c r="R7058" s="2" t="inlineStr"/>
    </row>
    <row r="7059" ht="15" customHeight="1">
      <c r="A7059" t="inlineStr">
        <is>
          <t>A 9072-2025</t>
        </is>
      </c>
      <c r="B7059" s="1" t="n">
        <v>45713.65673611111</v>
      </c>
      <c r="C7059" s="1" t="n">
        <v>46093</v>
      </c>
      <c r="D7059" t="inlineStr">
        <is>
          <t>VÄSTERNORRLANDS LÄN</t>
        </is>
      </c>
      <c r="E7059" t="inlineStr">
        <is>
          <t>SOLLEFTEÅ</t>
        </is>
      </c>
      <c r="F7059" t="inlineStr">
        <is>
          <t>SCA</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34309-2023</t>
        </is>
      </c>
      <c r="B7060" s="1" t="n">
        <v>45138.92300925926</v>
      </c>
      <c r="C7060" s="1" t="n">
        <v>46093</v>
      </c>
      <c r="D7060" t="inlineStr">
        <is>
          <t>VÄSTERNORRLANDS LÄN</t>
        </is>
      </c>
      <c r="E7060" t="inlineStr">
        <is>
          <t>SOLLEFTEÅ</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9070-2025</t>
        </is>
      </c>
      <c r="B7061" s="1" t="n">
        <v>45713.65658564815</v>
      </c>
      <c r="C7061" s="1" t="n">
        <v>46093</v>
      </c>
      <c r="D7061" t="inlineStr">
        <is>
          <t>VÄSTERNORRLANDS LÄN</t>
        </is>
      </c>
      <c r="E7061" t="inlineStr">
        <is>
          <t>SOLLEFTEÅ</t>
        </is>
      </c>
      <c r="F7061" t="inlineStr">
        <is>
          <t>SCA</t>
        </is>
      </c>
      <c r="G7061" t="n">
        <v>6.4</v>
      </c>
      <c r="H7061" t="n">
        <v>0</v>
      </c>
      <c r="I7061" t="n">
        <v>0</v>
      </c>
      <c r="J7061" t="n">
        <v>0</v>
      </c>
      <c r="K7061" t="n">
        <v>0</v>
      </c>
      <c r="L7061" t="n">
        <v>0</v>
      </c>
      <c r="M7061" t="n">
        <v>0</v>
      </c>
      <c r="N7061" t="n">
        <v>0</v>
      </c>
      <c r="O7061" t="n">
        <v>0</v>
      </c>
      <c r="P7061" t="n">
        <v>0</v>
      </c>
      <c r="Q7061" t="n">
        <v>0</v>
      </c>
      <c r="R7061" s="2" t="inlineStr"/>
    </row>
    <row r="7062" ht="15" customHeight="1">
      <c r="A7062" t="inlineStr">
        <is>
          <t>A 34328-2023</t>
        </is>
      </c>
      <c r="B7062" s="1" t="n">
        <v>45138.9499074074</v>
      </c>
      <c r="C7062" s="1" t="n">
        <v>46093</v>
      </c>
      <c r="D7062" t="inlineStr">
        <is>
          <t>VÄSTERNORRLANDS LÄN</t>
        </is>
      </c>
      <c r="E7062" t="inlineStr">
        <is>
          <t>SOLLEFTEÅ</t>
        </is>
      </c>
      <c r="F7062" t="inlineStr">
        <is>
          <t>SCA</t>
        </is>
      </c>
      <c r="G7062" t="n">
        <v>1.9</v>
      </c>
      <c r="H7062" t="n">
        <v>0</v>
      </c>
      <c r="I7062" t="n">
        <v>0</v>
      </c>
      <c r="J7062" t="n">
        <v>0</v>
      </c>
      <c r="K7062" t="n">
        <v>0</v>
      </c>
      <c r="L7062" t="n">
        <v>0</v>
      </c>
      <c r="M7062" t="n">
        <v>0</v>
      </c>
      <c r="N7062" t="n">
        <v>0</v>
      </c>
      <c r="O7062" t="n">
        <v>0</v>
      </c>
      <c r="P7062" t="n">
        <v>0</v>
      </c>
      <c r="Q7062" t="n">
        <v>0</v>
      </c>
      <c r="R7062" s="2" t="inlineStr"/>
    </row>
    <row r="7063" ht="15" customHeight="1">
      <c r="A7063" t="inlineStr">
        <is>
          <t>A 34330-2023</t>
        </is>
      </c>
      <c r="B7063" s="1" t="n">
        <v>45138</v>
      </c>
      <c r="C7063" s="1" t="n">
        <v>46093</v>
      </c>
      <c r="D7063" t="inlineStr">
        <is>
          <t>VÄSTERNORRLANDS LÄN</t>
        </is>
      </c>
      <c r="E7063" t="inlineStr">
        <is>
          <t>SOLLEFTEÅ</t>
        </is>
      </c>
      <c r="F7063" t="inlineStr">
        <is>
          <t>SCA</t>
        </is>
      </c>
      <c r="G7063" t="n">
        <v>4.4</v>
      </c>
      <c r="H7063" t="n">
        <v>0</v>
      </c>
      <c r="I7063" t="n">
        <v>0</v>
      </c>
      <c r="J7063" t="n">
        <v>0</v>
      </c>
      <c r="K7063" t="n">
        <v>0</v>
      </c>
      <c r="L7063" t="n">
        <v>0</v>
      </c>
      <c r="M7063" t="n">
        <v>0</v>
      </c>
      <c r="N7063" t="n">
        <v>0</v>
      </c>
      <c r="O7063" t="n">
        <v>0</v>
      </c>
      <c r="P7063" t="n">
        <v>0</v>
      </c>
      <c r="Q7063" t="n">
        <v>0</v>
      </c>
      <c r="R7063" s="2" t="inlineStr"/>
    </row>
    <row r="7064" ht="15" customHeight="1">
      <c r="A7064" t="inlineStr">
        <is>
          <t>A 52573-2025</t>
        </is>
      </c>
      <c r="B7064" s="1" t="n">
        <v>45954.60927083333</v>
      </c>
      <c r="C7064" s="1" t="n">
        <v>46093</v>
      </c>
      <c r="D7064" t="inlineStr">
        <is>
          <t>VÄSTERNORRLANDS LÄN</t>
        </is>
      </c>
      <c r="E7064" t="inlineStr">
        <is>
          <t>ÖRNSKÖLDSVIK</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52569-2025</t>
        </is>
      </c>
      <c r="B7065" s="1" t="n">
        <v>45954</v>
      </c>
      <c r="C7065" s="1" t="n">
        <v>46093</v>
      </c>
      <c r="D7065" t="inlineStr">
        <is>
          <t>VÄSTERNORRLANDS LÄN</t>
        </is>
      </c>
      <c r="E7065" t="inlineStr">
        <is>
          <t>ÖRNSKÖLDSVIK</t>
        </is>
      </c>
      <c r="G7065" t="n">
        <v>6.6</v>
      </c>
      <c r="H7065" t="n">
        <v>0</v>
      </c>
      <c r="I7065" t="n">
        <v>0</v>
      </c>
      <c r="J7065" t="n">
        <v>0</v>
      </c>
      <c r="K7065" t="n">
        <v>0</v>
      </c>
      <c r="L7065" t="n">
        <v>0</v>
      </c>
      <c r="M7065" t="n">
        <v>0</v>
      </c>
      <c r="N7065" t="n">
        <v>0</v>
      </c>
      <c r="O7065" t="n">
        <v>0</v>
      </c>
      <c r="P7065" t="n">
        <v>0</v>
      </c>
      <c r="Q7065" t="n">
        <v>0</v>
      </c>
      <c r="R7065" s="2" t="inlineStr"/>
    </row>
    <row r="7066" ht="15" customHeight="1">
      <c r="A7066" t="inlineStr">
        <is>
          <t>A 59218-2024</t>
        </is>
      </c>
      <c r="B7066" s="1" t="n">
        <v>45637.57275462963</v>
      </c>
      <c r="C7066" s="1" t="n">
        <v>46093</v>
      </c>
      <c r="D7066" t="inlineStr">
        <is>
          <t>VÄSTERNORRLANDS LÄN</t>
        </is>
      </c>
      <c r="E7066" t="inlineStr">
        <is>
          <t>ÖRNSKÖLDSVIK</t>
        </is>
      </c>
      <c r="G7066" t="n">
        <v>2.8</v>
      </c>
      <c r="H7066" t="n">
        <v>0</v>
      </c>
      <c r="I7066" t="n">
        <v>0</v>
      </c>
      <c r="J7066" t="n">
        <v>0</v>
      </c>
      <c r="K7066" t="n">
        <v>0</v>
      </c>
      <c r="L7066" t="n">
        <v>0</v>
      </c>
      <c r="M7066" t="n">
        <v>0</v>
      </c>
      <c r="N7066" t="n">
        <v>0</v>
      </c>
      <c r="O7066" t="n">
        <v>0</v>
      </c>
      <c r="P7066" t="n">
        <v>0</v>
      </c>
      <c r="Q7066" t="n">
        <v>0</v>
      </c>
      <c r="R7066" s="2" t="inlineStr"/>
    </row>
    <row r="7067" ht="15" customHeight="1">
      <c r="A7067" t="inlineStr">
        <is>
          <t>A 17436-2023</t>
        </is>
      </c>
      <c r="B7067" s="1" t="n">
        <v>45035.92699074074</v>
      </c>
      <c r="C7067" s="1" t="n">
        <v>46093</v>
      </c>
      <c r="D7067" t="inlineStr">
        <is>
          <t>VÄSTERNORRLANDS LÄN</t>
        </is>
      </c>
      <c r="E7067" t="inlineStr">
        <is>
          <t>SUNDSVALL</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13736-2025</t>
        </is>
      </c>
      <c r="B7068" s="1" t="n">
        <v>45736</v>
      </c>
      <c r="C7068" s="1" t="n">
        <v>46093</v>
      </c>
      <c r="D7068" t="inlineStr">
        <is>
          <t>VÄSTERNORRLANDS LÄN</t>
        </is>
      </c>
      <c r="E7068" t="inlineStr">
        <is>
          <t>ÖRNSKÖLDSVIK</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52227-2025</t>
        </is>
      </c>
      <c r="B7069" s="1" t="n">
        <v>45953.44878472222</v>
      </c>
      <c r="C7069" s="1" t="n">
        <v>46093</v>
      </c>
      <c r="D7069" t="inlineStr">
        <is>
          <t>VÄSTERNORRLANDS LÄN</t>
        </is>
      </c>
      <c r="E7069" t="inlineStr">
        <is>
          <t>TIMRÅ</t>
        </is>
      </c>
      <c r="G7069" t="n">
        <v>2.6</v>
      </c>
      <c r="H7069" t="n">
        <v>0</v>
      </c>
      <c r="I7069" t="n">
        <v>0</v>
      </c>
      <c r="J7069" t="n">
        <v>0</v>
      </c>
      <c r="K7069" t="n">
        <v>0</v>
      </c>
      <c r="L7069" t="n">
        <v>0</v>
      </c>
      <c r="M7069" t="n">
        <v>0</v>
      </c>
      <c r="N7069" t="n">
        <v>0</v>
      </c>
      <c r="O7069" t="n">
        <v>0</v>
      </c>
      <c r="P7069" t="n">
        <v>0</v>
      </c>
      <c r="Q7069" t="n">
        <v>0</v>
      </c>
      <c r="R7069" s="2" t="inlineStr"/>
    </row>
    <row r="7070" ht="15" customHeight="1">
      <c r="A7070" t="inlineStr">
        <is>
          <t>A 33743-2025</t>
        </is>
      </c>
      <c r="B7070" s="1" t="n">
        <v>45842.34496527778</v>
      </c>
      <c r="C7070" s="1" t="n">
        <v>46093</v>
      </c>
      <c r="D7070" t="inlineStr">
        <is>
          <t>VÄSTERNORRLANDS LÄN</t>
        </is>
      </c>
      <c r="E7070" t="inlineStr">
        <is>
          <t>SOLLEFTEÅ</t>
        </is>
      </c>
      <c r="F7070" t="inlineStr">
        <is>
          <t>SCA</t>
        </is>
      </c>
      <c r="G7070" t="n">
        <v>5</v>
      </c>
      <c r="H7070" t="n">
        <v>0</v>
      </c>
      <c r="I7070" t="n">
        <v>0</v>
      </c>
      <c r="J7070" t="n">
        <v>0</v>
      </c>
      <c r="K7070" t="n">
        <v>0</v>
      </c>
      <c r="L7070" t="n">
        <v>0</v>
      </c>
      <c r="M7070" t="n">
        <v>0</v>
      </c>
      <c r="N7070" t="n">
        <v>0</v>
      </c>
      <c r="O7070" t="n">
        <v>0</v>
      </c>
      <c r="P7070" t="n">
        <v>0</v>
      </c>
      <c r="Q7070" t="n">
        <v>0</v>
      </c>
      <c r="R7070" s="2" t="inlineStr"/>
    </row>
    <row r="7071" ht="15" customHeight="1">
      <c r="A7071" t="inlineStr">
        <is>
          <t>A 52255-2025</t>
        </is>
      </c>
      <c r="B7071" s="1" t="n">
        <v>45953.50049768519</v>
      </c>
      <c r="C7071" s="1" t="n">
        <v>46093</v>
      </c>
      <c r="D7071" t="inlineStr">
        <is>
          <t>VÄSTERNORRLANDS LÄN</t>
        </is>
      </c>
      <c r="E7071" t="inlineStr">
        <is>
          <t>ÖRNSKÖLDSVIK</t>
        </is>
      </c>
      <c r="F7071" t="inlineStr">
        <is>
          <t>Holmen skog AB</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12062-2025</t>
        </is>
      </c>
      <c r="B7072" s="1" t="n">
        <v>45728.6984837963</v>
      </c>
      <c r="C7072" s="1" t="n">
        <v>46093</v>
      </c>
      <c r="D7072" t="inlineStr">
        <is>
          <t>VÄSTERNORRLANDS LÄN</t>
        </is>
      </c>
      <c r="E7072" t="inlineStr">
        <is>
          <t>SOLLEFTEÅ</t>
        </is>
      </c>
      <c r="F7072" t="inlineStr">
        <is>
          <t>SCA</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52522-2025</t>
        </is>
      </c>
      <c r="B7073" s="1" t="n">
        <v>45954.52670138889</v>
      </c>
      <c r="C7073" s="1" t="n">
        <v>46093</v>
      </c>
      <c r="D7073" t="inlineStr">
        <is>
          <t>VÄSTERNORRLANDS LÄN</t>
        </is>
      </c>
      <c r="E7073" t="inlineStr">
        <is>
          <t>ÖRNSKÖLDSVIK</t>
        </is>
      </c>
      <c r="F7073" t="inlineStr">
        <is>
          <t>Holmen skog AB</t>
        </is>
      </c>
      <c r="G7073" t="n">
        <v>10.7</v>
      </c>
      <c r="H7073" t="n">
        <v>0</v>
      </c>
      <c r="I7073" t="n">
        <v>0</v>
      </c>
      <c r="J7073" t="n">
        <v>0</v>
      </c>
      <c r="K7073" t="n">
        <v>0</v>
      </c>
      <c r="L7073" t="n">
        <v>0</v>
      </c>
      <c r="M7073" t="n">
        <v>0</v>
      </c>
      <c r="N7073" t="n">
        <v>0</v>
      </c>
      <c r="O7073" t="n">
        <v>0</v>
      </c>
      <c r="P7073" t="n">
        <v>0</v>
      </c>
      <c r="Q7073" t="n">
        <v>0</v>
      </c>
      <c r="R7073" s="2" t="inlineStr"/>
    </row>
    <row r="7074" ht="15" customHeight="1">
      <c r="A7074" t="inlineStr">
        <is>
          <t>A 37471-2025</t>
        </is>
      </c>
      <c r="B7074" s="1" t="n">
        <v>45877.58614583333</v>
      </c>
      <c r="C7074" s="1" t="n">
        <v>46093</v>
      </c>
      <c r="D7074" t="inlineStr">
        <is>
          <t>VÄSTERNORRLANDS LÄN</t>
        </is>
      </c>
      <c r="E7074" t="inlineStr">
        <is>
          <t>ÖRNSKÖLDSVIK</t>
        </is>
      </c>
      <c r="G7074" t="n">
        <v>8.9</v>
      </c>
      <c r="H7074" t="n">
        <v>0</v>
      </c>
      <c r="I7074" t="n">
        <v>0</v>
      </c>
      <c r="J7074" t="n">
        <v>0</v>
      </c>
      <c r="K7074" t="n">
        <v>0</v>
      </c>
      <c r="L7074" t="n">
        <v>0</v>
      </c>
      <c r="M7074" t="n">
        <v>0</v>
      </c>
      <c r="N7074" t="n">
        <v>0</v>
      </c>
      <c r="O7074" t="n">
        <v>0</v>
      </c>
      <c r="P7074" t="n">
        <v>0</v>
      </c>
      <c r="Q7074" t="n">
        <v>0</v>
      </c>
      <c r="R7074" s="2" t="inlineStr"/>
    </row>
    <row r="7075" ht="15" customHeight="1">
      <c r="A7075" t="inlineStr">
        <is>
          <t>A 37480-2025</t>
        </is>
      </c>
      <c r="B7075" s="1" t="n">
        <v>45877.61545138889</v>
      </c>
      <c r="C7075" s="1" t="n">
        <v>46093</v>
      </c>
      <c r="D7075" t="inlineStr">
        <is>
          <t>VÄSTERNORRLANDS LÄN</t>
        </is>
      </c>
      <c r="E7075" t="inlineStr">
        <is>
          <t>ÖRNSKÖLDSVIK</t>
        </is>
      </c>
      <c r="F7075" t="inlineStr">
        <is>
          <t>SCA</t>
        </is>
      </c>
      <c r="G7075" t="n">
        <v>6.2</v>
      </c>
      <c r="H7075" t="n">
        <v>0</v>
      </c>
      <c r="I7075" t="n">
        <v>0</v>
      </c>
      <c r="J7075" t="n">
        <v>0</v>
      </c>
      <c r="K7075" t="n">
        <v>0</v>
      </c>
      <c r="L7075" t="n">
        <v>0</v>
      </c>
      <c r="M7075" t="n">
        <v>0</v>
      </c>
      <c r="N7075" t="n">
        <v>0</v>
      </c>
      <c r="O7075" t="n">
        <v>0</v>
      </c>
      <c r="P7075" t="n">
        <v>0</v>
      </c>
      <c r="Q7075" t="n">
        <v>0</v>
      </c>
      <c r="R7075" s="2" t="inlineStr"/>
    </row>
    <row r="7076" ht="15" customHeight="1">
      <c r="A7076" t="inlineStr">
        <is>
          <t>A 37584-2025</t>
        </is>
      </c>
      <c r="B7076" s="1" t="n">
        <v>45880.39467592593</v>
      </c>
      <c r="C7076" s="1" t="n">
        <v>46093</v>
      </c>
      <c r="D7076" t="inlineStr">
        <is>
          <t>VÄSTERNORRLANDS LÄN</t>
        </is>
      </c>
      <c r="E7076" t="inlineStr">
        <is>
          <t>ÖRNSKÖLDSVIK</t>
        </is>
      </c>
      <c r="F7076" t="inlineStr">
        <is>
          <t>Holmen skog AB</t>
        </is>
      </c>
      <c r="G7076" t="n">
        <v>7.2</v>
      </c>
      <c r="H7076" t="n">
        <v>0</v>
      </c>
      <c r="I7076" t="n">
        <v>0</v>
      </c>
      <c r="J7076" t="n">
        <v>0</v>
      </c>
      <c r="K7076" t="n">
        <v>0</v>
      </c>
      <c r="L7076" t="n">
        <v>0</v>
      </c>
      <c r="M7076" t="n">
        <v>0</v>
      </c>
      <c r="N7076" t="n">
        <v>0</v>
      </c>
      <c r="O7076" t="n">
        <v>0</v>
      </c>
      <c r="P7076" t="n">
        <v>0</v>
      </c>
      <c r="Q7076" t="n">
        <v>0</v>
      </c>
      <c r="R7076" s="2" t="inlineStr"/>
    </row>
    <row r="7077" ht="15" customHeight="1">
      <c r="A7077" t="inlineStr">
        <is>
          <t>A 56765-2023</t>
        </is>
      </c>
      <c r="B7077" s="1" t="n">
        <v>45244</v>
      </c>
      <c r="C7077" s="1" t="n">
        <v>46093</v>
      </c>
      <c r="D7077" t="inlineStr">
        <is>
          <t>VÄSTERNORRLANDS LÄN</t>
        </is>
      </c>
      <c r="E7077" t="inlineStr">
        <is>
          <t>TIMRÅ</t>
        </is>
      </c>
      <c r="G7077" t="n">
        <v>2</v>
      </c>
      <c r="H7077" t="n">
        <v>0</v>
      </c>
      <c r="I7077" t="n">
        <v>0</v>
      </c>
      <c r="J7077" t="n">
        <v>0</v>
      </c>
      <c r="K7077" t="n">
        <v>0</v>
      </c>
      <c r="L7077" t="n">
        <v>0</v>
      </c>
      <c r="M7077" t="n">
        <v>0</v>
      </c>
      <c r="N7077" t="n">
        <v>0</v>
      </c>
      <c r="O7077" t="n">
        <v>0</v>
      </c>
      <c r="P7077" t="n">
        <v>0</v>
      </c>
      <c r="Q7077" t="n">
        <v>0</v>
      </c>
      <c r="R7077" s="2" t="inlineStr"/>
    </row>
    <row r="7078" ht="15" customHeight="1">
      <c r="A7078" t="inlineStr">
        <is>
          <t>A 37597-2025</t>
        </is>
      </c>
      <c r="B7078" s="1" t="n">
        <v>45880.41709490741</v>
      </c>
      <c r="C7078" s="1" t="n">
        <v>46093</v>
      </c>
      <c r="D7078" t="inlineStr">
        <is>
          <t>VÄSTERNORRLANDS LÄN</t>
        </is>
      </c>
      <c r="E7078" t="inlineStr">
        <is>
          <t>SUNDSVALL</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37600-2025</t>
        </is>
      </c>
      <c r="B7079" s="1" t="n">
        <v>45880.42237268519</v>
      </c>
      <c r="C7079" s="1" t="n">
        <v>46093</v>
      </c>
      <c r="D7079" t="inlineStr">
        <is>
          <t>VÄSTERNORRLANDS LÄN</t>
        </is>
      </c>
      <c r="E7079" t="inlineStr">
        <is>
          <t>ÖRNSKÖLDSVIK</t>
        </is>
      </c>
      <c r="G7079" t="n">
        <v>3</v>
      </c>
      <c r="H7079" t="n">
        <v>0</v>
      </c>
      <c r="I7079" t="n">
        <v>0</v>
      </c>
      <c r="J7079" t="n">
        <v>0</v>
      </c>
      <c r="K7079" t="n">
        <v>0</v>
      </c>
      <c r="L7079" t="n">
        <v>0</v>
      </c>
      <c r="M7079" t="n">
        <v>0</v>
      </c>
      <c r="N7079" t="n">
        <v>0</v>
      </c>
      <c r="O7079" t="n">
        <v>0</v>
      </c>
      <c r="P7079" t="n">
        <v>0</v>
      </c>
      <c r="Q7079" t="n">
        <v>0</v>
      </c>
      <c r="R7079" s="2" t="inlineStr"/>
    </row>
    <row r="7080" ht="15" customHeight="1">
      <c r="A7080" t="inlineStr">
        <is>
          <t>A 20110-2023</t>
        </is>
      </c>
      <c r="B7080" s="1" t="n">
        <v>45051</v>
      </c>
      <c r="C7080" s="1" t="n">
        <v>46093</v>
      </c>
      <c r="D7080" t="inlineStr">
        <is>
          <t>VÄSTERNORRLANDS LÄN</t>
        </is>
      </c>
      <c r="E7080" t="inlineStr">
        <is>
          <t>ÅNGE</t>
        </is>
      </c>
      <c r="G7080" t="n">
        <v>2.5</v>
      </c>
      <c r="H7080" t="n">
        <v>0</v>
      </c>
      <c r="I7080" t="n">
        <v>0</v>
      </c>
      <c r="J7080" t="n">
        <v>0</v>
      </c>
      <c r="K7080" t="n">
        <v>0</v>
      </c>
      <c r="L7080" t="n">
        <v>0</v>
      </c>
      <c r="M7080" t="n">
        <v>0</v>
      </c>
      <c r="N7080" t="n">
        <v>0</v>
      </c>
      <c r="O7080" t="n">
        <v>0</v>
      </c>
      <c r="P7080" t="n">
        <v>0</v>
      </c>
      <c r="Q7080" t="n">
        <v>0</v>
      </c>
      <c r="R7080" s="2" t="inlineStr"/>
    </row>
    <row r="7081" ht="15" customHeight="1">
      <c r="A7081" t="inlineStr">
        <is>
          <t>A 57110-2024</t>
        </is>
      </c>
      <c r="B7081" s="1" t="n">
        <v>45629.36476851852</v>
      </c>
      <c r="C7081" s="1" t="n">
        <v>46093</v>
      </c>
      <c r="D7081" t="inlineStr">
        <is>
          <t>VÄSTERNORRLANDS LÄN</t>
        </is>
      </c>
      <c r="E7081" t="inlineStr">
        <is>
          <t>SUNDSVALL</t>
        </is>
      </c>
      <c r="G7081" t="n">
        <v>2.6</v>
      </c>
      <c r="H7081" t="n">
        <v>0</v>
      </c>
      <c r="I7081" t="n">
        <v>0</v>
      </c>
      <c r="J7081" t="n">
        <v>0</v>
      </c>
      <c r="K7081" t="n">
        <v>0</v>
      </c>
      <c r="L7081" t="n">
        <v>0</v>
      </c>
      <c r="M7081" t="n">
        <v>0</v>
      </c>
      <c r="N7081" t="n">
        <v>0</v>
      </c>
      <c r="O7081" t="n">
        <v>0</v>
      </c>
      <c r="P7081" t="n">
        <v>0</v>
      </c>
      <c r="Q7081" t="n">
        <v>0</v>
      </c>
      <c r="R7081" s="2" t="inlineStr"/>
    </row>
    <row r="7082" ht="15" customHeight="1">
      <c r="A7082" t="inlineStr">
        <is>
          <t>A 37581-2025</t>
        </is>
      </c>
      <c r="B7082" s="1" t="n">
        <v>45880.38623842593</v>
      </c>
      <c r="C7082" s="1" t="n">
        <v>46093</v>
      </c>
      <c r="D7082" t="inlineStr">
        <is>
          <t>VÄSTERNORRLANDS LÄN</t>
        </is>
      </c>
      <c r="E7082" t="inlineStr">
        <is>
          <t>SOLLEFTEÅ</t>
        </is>
      </c>
      <c r="G7082" t="n">
        <v>9.5</v>
      </c>
      <c r="H7082" t="n">
        <v>0</v>
      </c>
      <c r="I7082" t="n">
        <v>0</v>
      </c>
      <c r="J7082" t="n">
        <v>0</v>
      </c>
      <c r="K7082" t="n">
        <v>0</v>
      </c>
      <c r="L7082" t="n">
        <v>0</v>
      </c>
      <c r="M7082" t="n">
        <v>0</v>
      </c>
      <c r="N7082" t="n">
        <v>0</v>
      </c>
      <c r="O7082" t="n">
        <v>0</v>
      </c>
      <c r="P7082" t="n">
        <v>0</v>
      </c>
      <c r="Q7082" t="n">
        <v>0</v>
      </c>
      <c r="R7082" s="2" t="inlineStr"/>
    </row>
    <row r="7083" ht="15" customHeight="1">
      <c r="A7083" t="inlineStr">
        <is>
          <t>A 59189-2024</t>
        </is>
      </c>
      <c r="B7083" s="1" t="n">
        <v>45637</v>
      </c>
      <c r="C7083" s="1" t="n">
        <v>46093</v>
      </c>
      <c r="D7083" t="inlineStr">
        <is>
          <t>VÄSTERNORRLANDS LÄN</t>
        </is>
      </c>
      <c r="E7083" t="inlineStr">
        <is>
          <t>TIMRÅ</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52282-2025</t>
        </is>
      </c>
      <c r="B7084" s="1" t="n">
        <v>45953.57335648148</v>
      </c>
      <c r="C7084" s="1" t="n">
        <v>46093</v>
      </c>
      <c r="D7084" t="inlineStr">
        <is>
          <t>VÄSTERNORRLANDS LÄN</t>
        </is>
      </c>
      <c r="E7084" t="inlineStr">
        <is>
          <t>SUNDSVALL</t>
        </is>
      </c>
      <c r="F7084" t="inlineStr">
        <is>
          <t>SCA</t>
        </is>
      </c>
      <c r="G7084" t="n">
        <v>5.4</v>
      </c>
      <c r="H7084" t="n">
        <v>0</v>
      </c>
      <c r="I7084" t="n">
        <v>0</v>
      </c>
      <c r="J7084" t="n">
        <v>0</v>
      </c>
      <c r="K7084" t="n">
        <v>0</v>
      </c>
      <c r="L7084" t="n">
        <v>0</v>
      </c>
      <c r="M7084" t="n">
        <v>0</v>
      </c>
      <c r="N7084" t="n">
        <v>0</v>
      </c>
      <c r="O7084" t="n">
        <v>0</v>
      </c>
      <c r="P7084" t="n">
        <v>0</v>
      </c>
      <c r="Q7084" t="n">
        <v>0</v>
      </c>
      <c r="R7084" s="2" t="inlineStr"/>
    </row>
    <row r="7085" ht="15" customHeight="1">
      <c r="A7085" t="inlineStr">
        <is>
          <t>A 53976-2024</t>
        </is>
      </c>
      <c r="B7085" s="1" t="n">
        <v>45616.32620370371</v>
      </c>
      <c r="C7085" s="1" t="n">
        <v>46093</v>
      </c>
      <c r="D7085" t="inlineStr">
        <is>
          <t>VÄSTERNORRLANDS LÄN</t>
        </is>
      </c>
      <c r="E7085" t="inlineStr">
        <is>
          <t>ÖRNSKÖLDSVIK</t>
        </is>
      </c>
      <c r="G7085" t="n">
        <v>2.3</v>
      </c>
      <c r="H7085" t="n">
        <v>0</v>
      </c>
      <c r="I7085" t="n">
        <v>0</v>
      </c>
      <c r="J7085" t="n">
        <v>0</v>
      </c>
      <c r="K7085" t="n">
        <v>0</v>
      </c>
      <c r="L7085" t="n">
        <v>0</v>
      </c>
      <c r="M7085" t="n">
        <v>0</v>
      </c>
      <c r="N7085" t="n">
        <v>0</v>
      </c>
      <c r="O7085" t="n">
        <v>0</v>
      </c>
      <c r="P7085" t="n">
        <v>0</v>
      </c>
      <c r="Q7085" t="n">
        <v>0</v>
      </c>
      <c r="R7085" s="2" t="inlineStr"/>
    </row>
    <row r="7086" ht="15" customHeight="1">
      <c r="A7086" t="inlineStr">
        <is>
          <t>A 774-2025</t>
        </is>
      </c>
      <c r="B7086" s="1" t="n">
        <v>45659</v>
      </c>
      <c r="C7086" s="1" t="n">
        <v>46093</v>
      </c>
      <c r="D7086" t="inlineStr">
        <is>
          <t>VÄSTERNORRLANDS LÄN</t>
        </is>
      </c>
      <c r="E7086" t="inlineStr">
        <is>
          <t>SOLLEFTEÅ</t>
        </is>
      </c>
      <c r="G7086" t="n">
        <v>3.8</v>
      </c>
      <c r="H7086" t="n">
        <v>0</v>
      </c>
      <c r="I7086" t="n">
        <v>0</v>
      </c>
      <c r="J7086" t="n">
        <v>0</v>
      </c>
      <c r="K7086" t="n">
        <v>0</v>
      </c>
      <c r="L7086" t="n">
        <v>0</v>
      </c>
      <c r="M7086" t="n">
        <v>0</v>
      </c>
      <c r="N7086" t="n">
        <v>0</v>
      </c>
      <c r="O7086" t="n">
        <v>0</v>
      </c>
      <c r="P7086" t="n">
        <v>0</v>
      </c>
      <c r="Q7086" t="n">
        <v>0</v>
      </c>
      <c r="R7086" s="2" t="inlineStr"/>
    </row>
    <row r="7087" ht="15" customHeight="1">
      <c r="A7087" t="inlineStr">
        <is>
          <t>A 775-2025</t>
        </is>
      </c>
      <c r="B7087" s="1" t="n">
        <v>45659</v>
      </c>
      <c r="C7087" s="1" t="n">
        <v>46093</v>
      </c>
      <c r="D7087" t="inlineStr">
        <is>
          <t>VÄSTERNORRLANDS LÄN</t>
        </is>
      </c>
      <c r="E7087" t="inlineStr">
        <is>
          <t>SOLLEFTEÅ</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34726-2024</t>
        </is>
      </c>
      <c r="B7088" s="1" t="n">
        <v>45526.5733912037</v>
      </c>
      <c r="C7088" s="1" t="n">
        <v>46093</v>
      </c>
      <c r="D7088" t="inlineStr">
        <is>
          <t>VÄSTERNORRLANDS LÄN</t>
        </is>
      </c>
      <c r="E7088" t="inlineStr">
        <is>
          <t>ÅNGE</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31177-2023</t>
        </is>
      </c>
      <c r="B7089" s="1" t="n">
        <v>45113</v>
      </c>
      <c r="C7089" s="1" t="n">
        <v>46093</v>
      </c>
      <c r="D7089" t="inlineStr">
        <is>
          <t>VÄSTERNORRLANDS LÄN</t>
        </is>
      </c>
      <c r="E7089" t="inlineStr">
        <is>
          <t>SOLLEFTEÅ</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52636-2025</t>
        </is>
      </c>
      <c r="B7090" s="1" t="n">
        <v>45954.74804398148</v>
      </c>
      <c r="C7090" s="1" t="n">
        <v>46093</v>
      </c>
      <c r="D7090" t="inlineStr">
        <is>
          <t>VÄSTERNORRLANDS LÄN</t>
        </is>
      </c>
      <c r="E7090" t="inlineStr">
        <is>
          <t>SUNDSVALL</t>
        </is>
      </c>
      <c r="G7090" t="n">
        <v>7.1</v>
      </c>
      <c r="H7090" t="n">
        <v>0</v>
      </c>
      <c r="I7090" t="n">
        <v>0</v>
      </c>
      <c r="J7090" t="n">
        <v>0</v>
      </c>
      <c r="K7090" t="n">
        <v>0</v>
      </c>
      <c r="L7090" t="n">
        <v>0</v>
      </c>
      <c r="M7090" t="n">
        <v>0</v>
      </c>
      <c r="N7090" t="n">
        <v>0</v>
      </c>
      <c r="O7090" t="n">
        <v>0</v>
      </c>
      <c r="P7090" t="n">
        <v>0</v>
      </c>
      <c r="Q7090" t="n">
        <v>0</v>
      </c>
      <c r="R7090" s="2" t="inlineStr"/>
    </row>
    <row r="7091" ht="15" customHeight="1">
      <c r="A7091" t="inlineStr">
        <is>
          <t>A 2045-2025</t>
        </is>
      </c>
      <c r="B7091" s="1" t="n">
        <v>45672.51086805556</v>
      </c>
      <c r="C7091" s="1" t="n">
        <v>46093</v>
      </c>
      <c r="D7091" t="inlineStr">
        <is>
          <t>VÄSTERNORRLANDS LÄN</t>
        </is>
      </c>
      <c r="E7091" t="inlineStr">
        <is>
          <t>SOLLEFTEÅ</t>
        </is>
      </c>
      <c r="F7091" t="inlineStr">
        <is>
          <t>SCA</t>
        </is>
      </c>
      <c r="G7091" t="n">
        <v>2.4</v>
      </c>
      <c r="H7091" t="n">
        <v>0</v>
      </c>
      <c r="I7091" t="n">
        <v>0</v>
      </c>
      <c r="J7091" t="n">
        <v>0</v>
      </c>
      <c r="K7091" t="n">
        <v>0</v>
      </c>
      <c r="L7091" t="n">
        <v>0</v>
      </c>
      <c r="M7091" t="n">
        <v>0</v>
      </c>
      <c r="N7091" t="n">
        <v>0</v>
      </c>
      <c r="O7091" t="n">
        <v>0</v>
      </c>
      <c r="P7091" t="n">
        <v>0</v>
      </c>
      <c r="Q7091" t="n">
        <v>0</v>
      </c>
      <c r="R7091" s="2" t="inlineStr"/>
    </row>
    <row r="7092" ht="15" customHeight="1">
      <c r="A7092" t="inlineStr">
        <is>
          <t>A 52338-2025</t>
        </is>
      </c>
      <c r="B7092" s="1" t="n">
        <v>45953.69459490741</v>
      </c>
      <c r="C7092" s="1" t="n">
        <v>46093</v>
      </c>
      <c r="D7092" t="inlineStr">
        <is>
          <t>VÄSTERNORRLANDS LÄN</t>
        </is>
      </c>
      <c r="E7092" t="inlineStr">
        <is>
          <t>ÖRNSKÖLDSVIK</t>
        </is>
      </c>
      <c r="F7092" t="inlineStr">
        <is>
          <t>Holmen skog AB</t>
        </is>
      </c>
      <c r="G7092" t="n">
        <v>2.8</v>
      </c>
      <c r="H7092" t="n">
        <v>0</v>
      </c>
      <c r="I7092" t="n">
        <v>0</v>
      </c>
      <c r="J7092" t="n">
        <v>0</v>
      </c>
      <c r="K7092" t="n">
        <v>0</v>
      </c>
      <c r="L7092" t="n">
        <v>0</v>
      </c>
      <c r="M7092" t="n">
        <v>0</v>
      </c>
      <c r="N7092" t="n">
        <v>0</v>
      </c>
      <c r="O7092" t="n">
        <v>0</v>
      </c>
      <c r="P7092" t="n">
        <v>0</v>
      </c>
      <c r="Q7092" t="n">
        <v>0</v>
      </c>
      <c r="R7092" s="2" t="inlineStr"/>
    </row>
    <row r="7093" ht="15" customHeight="1">
      <c r="A7093" t="inlineStr">
        <is>
          <t>A 46320-2022</t>
        </is>
      </c>
      <c r="B7093" s="1" t="n">
        <v>44847</v>
      </c>
      <c r="C7093" s="1" t="n">
        <v>46093</v>
      </c>
      <c r="D7093" t="inlineStr">
        <is>
          <t>VÄSTERNORRLANDS LÄN</t>
        </is>
      </c>
      <c r="E7093" t="inlineStr">
        <is>
          <t>HÄRNÖSAND</t>
        </is>
      </c>
      <c r="F7093" t="inlineStr">
        <is>
          <t>Kyrkan</t>
        </is>
      </c>
      <c r="G7093" t="n">
        <v>7</v>
      </c>
      <c r="H7093" t="n">
        <v>0</v>
      </c>
      <c r="I7093" t="n">
        <v>0</v>
      </c>
      <c r="J7093" t="n">
        <v>0</v>
      </c>
      <c r="K7093" t="n">
        <v>0</v>
      </c>
      <c r="L7093" t="n">
        <v>0</v>
      </c>
      <c r="M7093" t="n">
        <v>0</v>
      </c>
      <c r="N7093" t="n">
        <v>0</v>
      </c>
      <c r="O7093" t="n">
        <v>0</v>
      </c>
      <c r="P7093" t="n">
        <v>0</v>
      </c>
      <c r="Q7093" t="n">
        <v>0</v>
      </c>
      <c r="R7093" s="2" t="inlineStr"/>
    </row>
    <row r="7094" ht="15" customHeight="1">
      <c r="A7094" t="inlineStr">
        <is>
          <t>A 37755-2025</t>
        </is>
      </c>
      <c r="B7094" s="1" t="n">
        <v>45880.67763888889</v>
      </c>
      <c r="C7094" s="1" t="n">
        <v>46093</v>
      </c>
      <c r="D7094" t="inlineStr">
        <is>
          <t>VÄSTERNORRLANDS LÄN</t>
        </is>
      </c>
      <c r="E7094" t="inlineStr">
        <is>
          <t>ÖRNSKÖLDSVIK</t>
        </is>
      </c>
      <c r="F7094" t="inlineStr">
        <is>
          <t>SCA</t>
        </is>
      </c>
      <c r="G7094" t="n">
        <v>3.6</v>
      </c>
      <c r="H7094" t="n">
        <v>0</v>
      </c>
      <c r="I7094" t="n">
        <v>0</v>
      </c>
      <c r="J7094" t="n">
        <v>0</v>
      </c>
      <c r="K7094" t="n">
        <v>0</v>
      </c>
      <c r="L7094" t="n">
        <v>0</v>
      </c>
      <c r="M7094" t="n">
        <v>0</v>
      </c>
      <c r="N7094" t="n">
        <v>0</v>
      </c>
      <c r="O7094" t="n">
        <v>0</v>
      </c>
      <c r="P7094" t="n">
        <v>0</v>
      </c>
      <c r="Q7094" t="n">
        <v>0</v>
      </c>
      <c r="R7094" s="2" t="inlineStr"/>
    </row>
    <row r="7095" ht="15" customHeight="1">
      <c r="A7095" t="inlineStr">
        <is>
          <t>A 52615-2025</t>
        </is>
      </c>
      <c r="B7095" s="1" t="n">
        <v>45954.6778125</v>
      </c>
      <c r="C7095" s="1" t="n">
        <v>46093</v>
      </c>
      <c r="D7095" t="inlineStr">
        <is>
          <t>VÄSTERNORRLANDS LÄN</t>
        </is>
      </c>
      <c r="E7095" t="inlineStr">
        <is>
          <t>SUNDSVALL</t>
        </is>
      </c>
      <c r="F7095" t="inlineStr">
        <is>
          <t>SCA</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53105-2025</t>
        </is>
      </c>
      <c r="B7096" s="1" t="n">
        <v>45958.4336574074</v>
      </c>
      <c r="C7096" s="1" t="n">
        <v>46093</v>
      </c>
      <c r="D7096" t="inlineStr">
        <is>
          <t>VÄSTERNORRLANDS LÄN</t>
        </is>
      </c>
      <c r="E7096" t="inlineStr">
        <is>
          <t>SUNDSVALL</t>
        </is>
      </c>
      <c r="F7096" t="inlineStr">
        <is>
          <t>Holmen skog AB</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23869-2024</t>
        </is>
      </c>
      <c r="B7097" s="1" t="n">
        <v>45455.60939814815</v>
      </c>
      <c r="C7097" s="1" t="n">
        <v>46093</v>
      </c>
      <c r="D7097" t="inlineStr">
        <is>
          <t>VÄSTERNORRLANDS LÄN</t>
        </is>
      </c>
      <c r="E7097" t="inlineStr">
        <is>
          <t>ÖRNSKÖLDSVIK</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23878-2024</t>
        </is>
      </c>
      <c r="B7098" s="1" t="n">
        <v>45455</v>
      </c>
      <c r="C7098" s="1" t="n">
        <v>46093</v>
      </c>
      <c r="D7098" t="inlineStr">
        <is>
          <t>VÄSTERNORRLANDS LÄN</t>
        </is>
      </c>
      <c r="E7098" t="inlineStr">
        <is>
          <t>TIMRÅ</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5040-2024</t>
        </is>
      </c>
      <c r="B7099" s="1" t="n">
        <v>45329.88962962963</v>
      </c>
      <c r="C7099" s="1" t="n">
        <v>46093</v>
      </c>
      <c r="D7099" t="inlineStr">
        <is>
          <t>VÄSTERNORRLANDS LÄN</t>
        </is>
      </c>
      <c r="E7099" t="inlineStr">
        <is>
          <t>SOLLEFTEÅ</t>
        </is>
      </c>
      <c r="F7099" t="inlineStr">
        <is>
          <t>Övriga Aktiebolag</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62082-2023</t>
        </is>
      </c>
      <c r="B7100" s="1" t="n">
        <v>45266</v>
      </c>
      <c r="C7100" s="1" t="n">
        <v>46093</v>
      </c>
      <c r="D7100" t="inlineStr">
        <is>
          <t>VÄSTERNORRLANDS LÄN</t>
        </is>
      </c>
      <c r="E7100" t="inlineStr">
        <is>
          <t>ÖRNSKÖLDSVIK</t>
        </is>
      </c>
      <c r="G7100" t="n">
        <v>4.6</v>
      </c>
      <c r="H7100" t="n">
        <v>0</v>
      </c>
      <c r="I7100" t="n">
        <v>0</v>
      </c>
      <c r="J7100" t="n">
        <v>0</v>
      </c>
      <c r="K7100" t="n">
        <v>0</v>
      </c>
      <c r="L7100" t="n">
        <v>0</v>
      </c>
      <c r="M7100" t="n">
        <v>0</v>
      </c>
      <c r="N7100" t="n">
        <v>0</v>
      </c>
      <c r="O7100" t="n">
        <v>0</v>
      </c>
      <c r="P7100" t="n">
        <v>0</v>
      </c>
      <c r="Q7100" t="n">
        <v>0</v>
      </c>
      <c r="R7100" s="2" t="inlineStr"/>
    </row>
    <row r="7101" ht="15" customHeight="1">
      <c r="A7101" t="inlineStr">
        <is>
          <t>A 19805-2025</t>
        </is>
      </c>
      <c r="B7101" s="1" t="n">
        <v>45771</v>
      </c>
      <c r="C7101" s="1" t="n">
        <v>46093</v>
      </c>
      <c r="D7101" t="inlineStr">
        <is>
          <t>VÄSTERNORRLANDS LÄN</t>
        </is>
      </c>
      <c r="E7101" t="inlineStr">
        <is>
          <t>SUNDSVALL</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53269-2025</t>
        </is>
      </c>
      <c r="B7102" s="1" t="n">
        <v>45958.6985300926</v>
      </c>
      <c r="C7102" s="1" t="n">
        <v>46093</v>
      </c>
      <c r="D7102" t="inlineStr">
        <is>
          <t>VÄSTERNORRLANDS LÄN</t>
        </is>
      </c>
      <c r="E7102" t="inlineStr">
        <is>
          <t>SOLLEFTEÅ</t>
        </is>
      </c>
      <c r="F7102" t="inlineStr">
        <is>
          <t>SCA</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21089-2025</t>
        </is>
      </c>
      <c r="B7103" s="1" t="n">
        <v>45777</v>
      </c>
      <c r="C7103" s="1" t="n">
        <v>46093</v>
      </c>
      <c r="D7103" t="inlineStr">
        <is>
          <t>VÄSTERNORRLANDS LÄN</t>
        </is>
      </c>
      <c r="E7103" t="inlineStr">
        <is>
          <t>SOLLEFTEÅ</t>
        </is>
      </c>
      <c r="F7103" t="inlineStr">
        <is>
          <t>SCA</t>
        </is>
      </c>
      <c r="G7103" t="n">
        <v>19.9</v>
      </c>
      <c r="H7103" t="n">
        <v>0</v>
      </c>
      <c r="I7103" t="n">
        <v>0</v>
      </c>
      <c r="J7103" t="n">
        <v>0</v>
      </c>
      <c r="K7103" t="n">
        <v>0</v>
      </c>
      <c r="L7103" t="n">
        <v>0</v>
      </c>
      <c r="M7103" t="n">
        <v>0</v>
      </c>
      <c r="N7103" t="n">
        <v>0</v>
      </c>
      <c r="O7103" t="n">
        <v>0</v>
      </c>
      <c r="P7103" t="n">
        <v>0</v>
      </c>
      <c r="Q7103" t="n">
        <v>0</v>
      </c>
      <c r="R7103" s="2" t="inlineStr"/>
    </row>
    <row r="7104" ht="15" customHeight="1">
      <c r="A7104" t="inlineStr">
        <is>
          <t>A 62099-2023</t>
        </is>
      </c>
      <c r="B7104" s="1" t="n">
        <v>45266</v>
      </c>
      <c r="C7104" s="1" t="n">
        <v>46093</v>
      </c>
      <c r="D7104" t="inlineStr">
        <is>
          <t>VÄSTERNORRLANDS LÄN</t>
        </is>
      </c>
      <c r="E7104" t="inlineStr">
        <is>
          <t>SOLLEFTEÅ</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13539-2024</t>
        </is>
      </c>
      <c r="B7105" s="1" t="n">
        <v>45387.92583333333</v>
      </c>
      <c r="C7105" s="1" t="n">
        <v>46093</v>
      </c>
      <c r="D7105" t="inlineStr">
        <is>
          <t>VÄSTERNORRLANDS LÄN</t>
        </is>
      </c>
      <c r="E7105" t="inlineStr">
        <is>
          <t>SOLLEFTEÅ</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8962-2024</t>
        </is>
      </c>
      <c r="B7106" s="1" t="n">
        <v>45357.46949074074</v>
      </c>
      <c r="C7106" s="1" t="n">
        <v>46093</v>
      </c>
      <c r="D7106" t="inlineStr">
        <is>
          <t>VÄSTERNORRLANDS LÄN</t>
        </is>
      </c>
      <c r="E7106" t="inlineStr">
        <is>
          <t>SUNDSVALL</t>
        </is>
      </c>
      <c r="G7106" t="n">
        <v>2.9</v>
      </c>
      <c r="H7106" t="n">
        <v>0</v>
      </c>
      <c r="I7106" t="n">
        <v>0</v>
      </c>
      <c r="J7106" t="n">
        <v>0</v>
      </c>
      <c r="K7106" t="n">
        <v>0</v>
      </c>
      <c r="L7106" t="n">
        <v>0</v>
      </c>
      <c r="M7106" t="n">
        <v>0</v>
      </c>
      <c r="N7106" t="n">
        <v>0</v>
      </c>
      <c r="O7106" t="n">
        <v>0</v>
      </c>
      <c r="P7106" t="n">
        <v>0</v>
      </c>
      <c r="Q7106" t="n">
        <v>0</v>
      </c>
      <c r="R7106" s="2" t="inlineStr"/>
    </row>
    <row r="7107" ht="15" customHeight="1">
      <c r="A7107" t="inlineStr">
        <is>
          <t>A 11764-2024</t>
        </is>
      </c>
      <c r="B7107" s="1" t="n">
        <v>45373.94837962963</v>
      </c>
      <c r="C7107" s="1" t="n">
        <v>46093</v>
      </c>
      <c r="D7107" t="inlineStr">
        <is>
          <t>VÄSTERNORRLANDS LÄN</t>
        </is>
      </c>
      <c r="E7107" t="inlineStr">
        <is>
          <t>ÅNGE</t>
        </is>
      </c>
      <c r="F7107" t="inlineStr">
        <is>
          <t>SCA</t>
        </is>
      </c>
      <c r="G7107" t="n">
        <v>3.7</v>
      </c>
      <c r="H7107" t="n">
        <v>0</v>
      </c>
      <c r="I7107" t="n">
        <v>0</v>
      </c>
      <c r="J7107" t="n">
        <v>0</v>
      </c>
      <c r="K7107" t="n">
        <v>0</v>
      </c>
      <c r="L7107" t="n">
        <v>0</v>
      </c>
      <c r="M7107" t="n">
        <v>0</v>
      </c>
      <c r="N7107" t="n">
        <v>0</v>
      </c>
      <c r="O7107" t="n">
        <v>0</v>
      </c>
      <c r="P7107" t="n">
        <v>0</v>
      </c>
      <c r="Q7107" t="n">
        <v>0</v>
      </c>
      <c r="R7107" s="2" t="inlineStr"/>
    </row>
    <row r="7108" ht="15" customHeight="1">
      <c r="A7108" t="inlineStr">
        <is>
          <t>A 52642-2025</t>
        </is>
      </c>
      <c r="B7108" s="1" t="n">
        <v>45955.34576388889</v>
      </c>
      <c r="C7108" s="1" t="n">
        <v>46093</v>
      </c>
      <c r="D7108" t="inlineStr">
        <is>
          <t>VÄSTERNORRLANDS LÄN</t>
        </is>
      </c>
      <c r="E7108" t="inlineStr">
        <is>
          <t>ÅNGE</t>
        </is>
      </c>
      <c r="F7108" t="inlineStr">
        <is>
          <t>SCA</t>
        </is>
      </c>
      <c r="G7108" t="n">
        <v>4.1</v>
      </c>
      <c r="H7108" t="n">
        <v>0</v>
      </c>
      <c r="I7108" t="n">
        <v>0</v>
      </c>
      <c r="J7108" t="n">
        <v>0</v>
      </c>
      <c r="K7108" t="n">
        <v>0</v>
      </c>
      <c r="L7108" t="n">
        <v>0</v>
      </c>
      <c r="M7108" t="n">
        <v>0</v>
      </c>
      <c r="N7108" t="n">
        <v>0</v>
      </c>
      <c r="O7108" t="n">
        <v>0</v>
      </c>
      <c r="P7108" t="n">
        <v>0</v>
      </c>
      <c r="Q7108" t="n">
        <v>0</v>
      </c>
      <c r="R7108" s="2" t="inlineStr"/>
    </row>
    <row r="7109" ht="15" customHeight="1">
      <c r="A7109" t="inlineStr">
        <is>
          <t>A 68084-2021</t>
        </is>
      </c>
      <c r="B7109" s="1" t="n">
        <v>44526.33138888889</v>
      </c>
      <c r="C7109" s="1" t="n">
        <v>46093</v>
      </c>
      <c r="D7109" t="inlineStr">
        <is>
          <t>VÄSTERNORRLANDS LÄN</t>
        </is>
      </c>
      <c r="E7109" t="inlineStr">
        <is>
          <t>ÖRNSKÖLDSVIK</t>
        </is>
      </c>
      <c r="F7109" t="inlineStr">
        <is>
          <t>Övriga Aktiebolag</t>
        </is>
      </c>
      <c r="G7109" t="n">
        <v>9.699999999999999</v>
      </c>
      <c r="H7109" t="n">
        <v>0</v>
      </c>
      <c r="I7109" t="n">
        <v>0</v>
      </c>
      <c r="J7109" t="n">
        <v>0</v>
      </c>
      <c r="K7109" t="n">
        <v>0</v>
      </c>
      <c r="L7109" t="n">
        <v>0</v>
      </c>
      <c r="M7109" t="n">
        <v>0</v>
      </c>
      <c r="N7109" t="n">
        <v>0</v>
      </c>
      <c r="O7109" t="n">
        <v>0</v>
      </c>
      <c r="P7109" t="n">
        <v>0</v>
      </c>
      <c r="Q7109" t="n">
        <v>0</v>
      </c>
      <c r="R7109" s="2" t="inlineStr"/>
    </row>
    <row r="7110" ht="15" customHeight="1">
      <c r="A7110" t="inlineStr">
        <is>
          <t>A 37658-2025</t>
        </is>
      </c>
      <c r="B7110" s="1" t="n">
        <v>45880.49670138889</v>
      </c>
      <c r="C7110" s="1" t="n">
        <v>46093</v>
      </c>
      <c r="D7110" t="inlineStr">
        <is>
          <t>VÄSTERNORRLANDS LÄN</t>
        </is>
      </c>
      <c r="E7110" t="inlineStr">
        <is>
          <t>ÖRNSKÖLDSVIK</t>
        </is>
      </c>
      <c r="G7110" t="n">
        <v>4.2</v>
      </c>
      <c r="H7110" t="n">
        <v>0</v>
      </c>
      <c r="I7110" t="n">
        <v>0</v>
      </c>
      <c r="J7110" t="n">
        <v>0</v>
      </c>
      <c r="K7110" t="n">
        <v>0</v>
      </c>
      <c r="L7110" t="n">
        <v>0</v>
      </c>
      <c r="M7110" t="n">
        <v>0</v>
      </c>
      <c r="N7110" t="n">
        <v>0</v>
      </c>
      <c r="O7110" t="n">
        <v>0</v>
      </c>
      <c r="P7110" t="n">
        <v>0</v>
      </c>
      <c r="Q7110" t="n">
        <v>0</v>
      </c>
      <c r="R7110" s="2" t="inlineStr"/>
    </row>
    <row r="7111" ht="15" customHeight="1">
      <c r="A7111" t="inlineStr">
        <is>
          <t>A 18417-2023</t>
        </is>
      </c>
      <c r="B7111" s="1" t="n">
        <v>45042</v>
      </c>
      <c r="C7111" s="1" t="n">
        <v>46093</v>
      </c>
      <c r="D7111" t="inlineStr">
        <is>
          <t>VÄSTERNORRLANDS LÄN</t>
        </is>
      </c>
      <c r="E7111" t="inlineStr">
        <is>
          <t>ÖRNSKÖLDSVIK</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52987-2022</t>
        </is>
      </c>
      <c r="B7112" s="1" t="n">
        <v>44875</v>
      </c>
      <c r="C7112" s="1" t="n">
        <v>46093</v>
      </c>
      <c r="D7112" t="inlineStr">
        <is>
          <t>VÄSTERNORRLANDS LÄN</t>
        </is>
      </c>
      <c r="E7112" t="inlineStr">
        <is>
          <t>HÄRNÖSAND</t>
        </is>
      </c>
      <c r="G7112" t="n">
        <v>3.5</v>
      </c>
      <c r="H7112" t="n">
        <v>0</v>
      </c>
      <c r="I7112" t="n">
        <v>0</v>
      </c>
      <c r="J7112" t="n">
        <v>0</v>
      </c>
      <c r="K7112" t="n">
        <v>0</v>
      </c>
      <c r="L7112" t="n">
        <v>0</v>
      </c>
      <c r="M7112" t="n">
        <v>0</v>
      </c>
      <c r="N7112" t="n">
        <v>0</v>
      </c>
      <c r="O7112" t="n">
        <v>0</v>
      </c>
      <c r="P7112" t="n">
        <v>0</v>
      </c>
      <c r="Q7112" t="n">
        <v>0</v>
      </c>
      <c r="R7112" s="2" t="inlineStr"/>
    </row>
    <row r="7113" ht="15" customHeight="1">
      <c r="A7113" t="inlineStr">
        <is>
          <t>A 58526-2024</t>
        </is>
      </c>
      <c r="B7113" s="1" t="n">
        <v>45635.44359953704</v>
      </c>
      <c r="C7113" s="1" t="n">
        <v>46093</v>
      </c>
      <c r="D7113" t="inlineStr">
        <is>
          <t>VÄSTERNORRLANDS LÄN</t>
        </is>
      </c>
      <c r="E7113" t="inlineStr">
        <is>
          <t>ÖRNSKÖLDSVIK</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5447-2025</t>
        </is>
      </c>
      <c r="B7114" s="1" t="n">
        <v>45692</v>
      </c>
      <c r="C7114" s="1" t="n">
        <v>46093</v>
      </c>
      <c r="D7114" t="inlineStr">
        <is>
          <t>VÄSTERNORRLANDS LÄN</t>
        </is>
      </c>
      <c r="E7114" t="inlineStr">
        <is>
          <t>SOLLEFTEÅ</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37470-2025</t>
        </is>
      </c>
      <c r="B7115" s="1" t="n">
        <v>45877.58502314815</v>
      </c>
      <c r="C7115" s="1" t="n">
        <v>46093</v>
      </c>
      <c r="D7115" t="inlineStr">
        <is>
          <t>VÄSTERNORRLANDS LÄN</t>
        </is>
      </c>
      <c r="E7115" t="inlineStr">
        <is>
          <t>TIMRÅ</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53251-2025</t>
        </is>
      </c>
      <c r="B7116" s="1" t="n">
        <v>45958.66457175926</v>
      </c>
      <c r="C7116" s="1" t="n">
        <v>46093</v>
      </c>
      <c r="D7116" t="inlineStr">
        <is>
          <t>VÄSTERNORRLANDS LÄN</t>
        </is>
      </c>
      <c r="E7116" t="inlineStr">
        <is>
          <t>SUNDSVALL</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4144-2025</t>
        </is>
      </c>
      <c r="B7117" s="1" t="n">
        <v>45685</v>
      </c>
      <c r="C7117" s="1" t="n">
        <v>46093</v>
      </c>
      <c r="D7117" t="inlineStr">
        <is>
          <t>VÄSTERNORRLANDS LÄN</t>
        </is>
      </c>
      <c r="E7117" t="inlineStr">
        <is>
          <t>KRAMFORS</t>
        </is>
      </c>
      <c r="G7117" t="n">
        <v>22</v>
      </c>
      <c r="H7117" t="n">
        <v>0</v>
      </c>
      <c r="I7117" t="n">
        <v>0</v>
      </c>
      <c r="J7117" t="n">
        <v>0</v>
      </c>
      <c r="K7117" t="n">
        <v>0</v>
      </c>
      <c r="L7117" t="n">
        <v>0</v>
      </c>
      <c r="M7117" t="n">
        <v>0</v>
      </c>
      <c r="N7117" t="n">
        <v>0</v>
      </c>
      <c r="O7117" t="n">
        <v>0</v>
      </c>
      <c r="P7117" t="n">
        <v>0</v>
      </c>
      <c r="Q7117" t="n">
        <v>0</v>
      </c>
      <c r="R7117" s="2" t="inlineStr"/>
    </row>
    <row r="7118" ht="15" customHeight="1">
      <c r="A7118" t="inlineStr">
        <is>
          <t>A 53055-2025</t>
        </is>
      </c>
      <c r="B7118" s="1" t="n">
        <v>45958.36517361111</v>
      </c>
      <c r="C7118" s="1" t="n">
        <v>46093</v>
      </c>
      <c r="D7118" t="inlineStr">
        <is>
          <t>VÄSTERNORRLANDS LÄN</t>
        </is>
      </c>
      <c r="E7118" t="inlineStr">
        <is>
          <t>SOLLEFTEÅ</t>
        </is>
      </c>
      <c r="F7118" t="inlineStr">
        <is>
          <t>SCA</t>
        </is>
      </c>
      <c r="G7118" t="n">
        <v>3.8</v>
      </c>
      <c r="H7118" t="n">
        <v>0</v>
      </c>
      <c r="I7118" t="n">
        <v>0</v>
      </c>
      <c r="J7118" t="n">
        <v>0</v>
      </c>
      <c r="K7118" t="n">
        <v>0</v>
      </c>
      <c r="L7118" t="n">
        <v>0</v>
      </c>
      <c r="M7118" t="n">
        <v>0</v>
      </c>
      <c r="N7118" t="n">
        <v>0</v>
      </c>
      <c r="O7118" t="n">
        <v>0</v>
      </c>
      <c r="P7118" t="n">
        <v>0</v>
      </c>
      <c r="Q7118" t="n">
        <v>0</v>
      </c>
      <c r="R7118" s="2" t="inlineStr"/>
    </row>
    <row r="7119" ht="15" customHeight="1">
      <c r="A7119" t="inlineStr">
        <is>
          <t>A 53069-2025</t>
        </is>
      </c>
      <c r="B7119" s="1" t="n">
        <v>45958.37827546296</v>
      </c>
      <c r="C7119" s="1" t="n">
        <v>46093</v>
      </c>
      <c r="D7119" t="inlineStr">
        <is>
          <t>VÄSTERNORRLANDS LÄN</t>
        </is>
      </c>
      <c r="E7119" t="inlineStr">
        <is>
          <t>ÖRNSKÖLDSVIK</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44662-2024</t>
        </is>
      </c>
      <c r="B7120" s="1" t="n">
        <v>45574.53189814815</v>
      </c>
      <c r="C7120" s="1" t="n">
        <v>46093</v>
      </c>
      <c r="D7120" t="inlineStr">
        <is>
          <t>VÄSTERNORRLANDS LÄN</t>
        </is>
      </c>
      <c r="E7120" t="inlineStr">
        <is>
          <t>SOLLEFTEÅ</t>
        </is>
      </c>
      <c r="F7120" t="inlineStr">
        <is>
          <t>SCA</t>
        </is>
      </c>
      <c r="G7120" t="n">
        <v>6.7</v>
      </c>
      <c r="H7120" t="n">
        <v>0</v>
      </c>
      <c r="I7120" t="n">
        <v>0</v>
      </c>
      <c r="J7120" t="n">
        <v>0</v>
      </c>
      <c r="K7120" t="n">
        <v>0</v>
      </c>
      <c r="L7120" t="n">
        <v>0</v>
      </c>
      <c r="M7120" t="n">
        <v>0</v>
      </c>
      <c r="N7120" t="n">
        <v>0</v>
      </c>
      <c r="O7120" t="n">
        <v>0</v>
      </c>
      <c r="P7120" t="n">
        <v>0</v>
      </c>
      <c r="Q7120" t="n">
        <v>0</v>
      </c>
      <c r="R7120" s="2" t="inlineStr"/>
    </row>
    <row r="7121" ht="15" customHeight="1">
      <c r="A7121" t="inlineStr">
        <is>
          <t>A 57846-2024</t>
        </is>
      </c>
      <c r="B7121" s="1" t="n">
        <v>45631.40759259259</v>
      </c>
      <c r="C7121" s="1" t="n">
        <v>46093</v>
      </c>
      <c r="D7121" t="inlineStr">
        <is>
          <t>VÄSTERNORRLANDS LÄN</t>
        </is>
      </c>
      <c r="E7121" t="inlineStr">
        <is>
          <t>SOLLEFTEÅ</t>
        </is>
      </c>
      <c r="G7121" t="n">
        <v>0.3</v>
      </c>
      <c r="H7121" t="n">
        <v>0</v>
      </c>
      <c r="I7121" t="n">
        <v>0</v>
      </c>
      <c r="J7121" t="n">
        <v>0</v>
      </c>
      <c r="K7121" t="n">
        <v>0</v>
      </c>
      <c r="L7121" t="n">
        <v>0</v>
      </c>
      <c r="M7121" t="n">
        <v>0</v>
      </c>
      <c r="N7121" t="n">
        <v>0</v>
      </c>
      <c r="O7121" t="n">
        <v>0</v>
      </c>
      <c r="P7121" t="n">
        <v>0</v>
      </c>
      <c r="Q7121" t="n">
        <v>0</v>
      </c>
      <c r="R7121" s="2" t="inlineStr"/>
    </row>
    <row r="7122" ht="15" customHeight="1">
      <c r="A7122" t="inlineStr">
        <is>
          <t>A 58808-2024</t>
        </is>
      </c>
      <c r="B7122" s="1" t="n">
        <v>45636.34446759259</v>
      </c>
      <c r="C7122" s="1" t="n">
        <v>46093</v>
      </c>
      <c r="D7122" t="inlineStr">
        <is>
          <t>VÄSTERNORRLANDS LÄN</t>
        </is>
      </c>
      <c r="E7122" t="inlineStr">
        <is>
          <t>SOLLEFTEÅ</t>
        </is>
      </c>
      <c r="G7122" t="n">
        <v>1.9</v>
      </c>
      <c r="H7122" t="n">
        <v>0</v>
      </c>
      <c r="I7122" t="n">
        <v>0</v>
      </c>
      <c r="J7122" t="n">
        <v>0</v>
      </c>
      <c r="K7122" t="n">
        <v>0</v>
      </c>
      <c r="L7122" t="n">
        <v>0</v>
      </c>
      <c r="M7122" t="n">
        <v>0</v>
      </c>
      <c r="N7122" t="n">
        <v>0</v>
      </c>
      <c r="O7122" t="n">
        <v>0</v>
      </c>
      <c r="P7122" t="n">
        <v>0</v>
      </c>
      <c r="Q7122" t="n">
        <v>0</v>
      </c>
      <c r="R7122" s="2" t="inlineStr"/>
    </row>
    <row r="7123" ht="15" customHeight="1">
      <c r="A7123" t="inlineStr">
        <is>
          <t>A 52923-2025</t>
        </is>
      </c>
      <c r="B7123" s="1" t="n">
        <v>45957.61545138889</v>
      </c>
      <c r="C7123" s="1" t="n">
        <v>46093</v>
      </c>
      <c r="D7123" t="inlineStr">
        <is>
          <t>VÄSTERNORRLANDS LÄN</t>
        </is>
      </c>
      <c r="E7123" t="inlineStr">
        <is>
          <t>SUNDSVALL</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29279-2024</t>
        </is>
      </c>
      <c r="B7124" s="1" t="n">
        <v>45482.95092592593</v>
      </c>
      <c r="C7124" s="1" t="n">
        <v>46093</v>
      </c>
      <c r="D7124" t="inlineStr">
        <is>
          <t>VÄSTERNORRLANDS LÄN</t>
        </is>
      </c>
      <c r="E7124" t="inlineStr">
        <is>
          <t>HÄRNÖSAND</t>
        </is>
      </c>
      <c r="F7124" t="inlineStr">
        <is>
          <t>SCA</t>
        </is>
      </c>
      <c r="G7124" t="n">
        <v>0.4</v>
      </c>
      <c r="H7124" t="n">
        <v>0</v>
      </c>
      <c r="I7124" t="n">
        <v>0</v>
      </c>
      <c r="J7124" t="n">
        <v>0</v>
      </c>
      <c r="K7124" t="n">
        <v>0</v>
      </c>
      <c r="L7124" t="n">
        <v>0</v>
      </c>
      <c r="M7124" t="n">
        <v>0</v>
      </c>
      <c r="N7124" t="n">
        <v>0</v>
      </c>
      <c r="O7124" t="n">
        <v>0</v>
      </c>
      <c r="P7124" t="n">
        <v>0</v>
      </c>
      <c r="Q7124" t="n">
        <v>0</v>
      </c>
      <c r="R7124" s="2" t="inlineStr"/>
    </row>
    <row r="7125" ht="15" customHeight="1">
      <c r="A7125" t="inlineStr">
        <is>
          <t>A 34904-2022</t>
        </is>
      </c>
      <c r="B7125" s="1" t="n">
        <v>44796</v>
      </c>
      <c r="C7125" s="1" t="n">
        <v>46093</v>
      </c>
      <c r="D7125" t="inlineStr">
        <is>
          <t>VÄSTERNORRLANDS LÄN</t>
        </is>
      </c>
      <c r="E7125" t="inlineStr">
        <is>
          <t>ÖRNSKÖLDSVIK</t>
        </is>
      </c>
      <c r="G7125" t="n">
        <v>9.699999999999999</v>
      </c>
      <c r="H7125" t="n">
        <v>0</v>
      </c>
      <c r="I7125" t="n">
        <v>0</v>
      </c>
      <c r="J7125" t="n">
        <v>0</v>
      </c>
      <c r="K7125" t="n">
        <v>0</v>
      </c>
      <c r="L7125" t="n">
        <v>0</v>
      </c>
      <c r="M7125" t="n">
        <v>0</v>
      </c>
      <c r="N7125" t="n">
        <v>0</v>
      </c>
      <c r="O7125" t="n">
        <v>0</v>
      </c>
      <c r="P7125" t="n">
        <v>0</v>
      </c>
      <c r="Q7125" t="n">
        <v>0</v>
      </c>
      <c r="R7125" s="2" t="inlineStr"/>
    </row>
    <row r="7126" ht="15" customHeight="1">
      <c r="A7126" t="inlineStr">
        <is>
          <t>A 64945-2023</t>
        </is>
      </c>
      <c r="B7126" s="1" t="n">
        <v>45282.94668981482</v>
      </c>
      <c r="C7126" s="1" t="n">
        <v>46093</v>
      </c>
      <c r="D7126" t="inlineStr">
        <is>
          <t>VÄSTERNORRLANDS LÄN</t>
        </is>
      </c>
      <c r="E7126" t="inlineStr">
        <is>
          <t>ÅNGE</t>
        </is>
      </c>
      <c r="F7126" t="inlineStr">
        <is>
          <t>SCA</t>
        </is>
      </c>
      <c r="G7126" t="n">
        <v>4.6</v>
      </c>
      <c r="H7126" t="n">
        <v>0</v>
      </c>
      <c r="I7126" t="n">
        <v>0</v>
      </c>
      <c r="J7126" t="n">
        <v>0</v>
      </c>
      <c r="K7126" t="n">
        <v>0</v>
      </c>
      <c r="L7126" t="n">
        <v>0</v>
      </c>
      <c r="M7126" t="n">
        <v>0</v>
      </c>
      <c r="N7126" t="n">
        <v>0</v>
      </c>
      <c r="O7126" t="n">
        <v>0</v>
      </c>
      <c r="P7126" t="n">
        <v>0</v>
      </c>
      <c r="Q7126" t="n">
        <v>0</v>
      </c>
      <c r="R7126" s="2" t="inlineStr"/>
    </row>
    <row r="7127" ht="15" customHeight="1">
      <c r="A7127" t="inlineStr">
        <is>
          <t>A 37567-2025</t>
        </is>
      </c>
      <c r="B7127" s="1" t="n">
        <v>45880</v>
      </c>
      <c r="C7127" s="1" t="n">
        <v>46093</v>
      </c>
      <c r="D7127" t="inlineStr">
        <is>
          <t>VÄSTERNORRLANDS LÄN</t>
        </is>
      </c>
      <c r="E7127" t="inlineStr">
        <is>
          <t>SUNDSVALL</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53254-2025</t>
        </is>
      </c>
      <c r="B7128" s="1" t="n">
        <v>45958.66876157407</v>
      </c>
      <c r="C7128" s="1" t="n">
        <v>46093</v>
      </c>
      <c r="D7128" t="inlineStr">
        <is>
          <t>VÄSTERNORRLANDS LÄN</t>
        </is>
      </c>
      <c r="E7128" t="inlineStr">
        <is>
          <t>SUNDSVALL</t>
        </is>
      </c>
      <c r="G7128" t="n">
        <v>2.4</v>
      </c>
      <c r="H7128" t="n">
        <v>0</v>
      </c>
      <c r="I7128" t="n">
        <v>0</v>
      </c>
      <c r="J7128" t="n">
        <v>0</v>
      </c>
      <c r="K7128" t="n">
        <v>0</v>
      </c>
      <c r="L7128" t="n">
        <v>0</v>
      </c>
      <c r="M7128" t="n">
        <v>0</v>
      </c>
      <c r="N7128" t="n">
        <v>0</v>
      </c>
      <c r="O7128" t="n">
        <v>0</v>
      </c>
      <c r="P7128" t="n">
        <v>0</v>
      </c>
      <c r="Q7128" t="n">
        <v>0</v>
      </c>
      <c r="R7128" s="2" t="inlineStr"/>
    </row>
    <row r="7129" ht="15" customHeight="1">
      <c r="A7129" t="inlineStr">
        <is>
          <t>A 58521-2024</t>
        </is>
      </c>
      <c r="B7129" s="1" t="n">
        <v>45629</v>
      </c>
      <c r="C7129" s="1" t="n">
        <v>46093</v>
      </c>
      <c r="D7129" t="inlineStr">
        <is>
          <t>VÄSTERNORRLANDS LÄN</t>
        </is>
      </c>
      <c r="E7129" t="inlineStr">
        <is>
          <t>KRAMFORS</t>
        </is>
      </c>
      <c r="G7129" t="n">
        <v>4</v>
      </c>
      <c r="H7129" t="n">
        <v>0</v>
      </c>
      <c r="I7129" t="n">
        <v>0</v>
      </c>
      <c r="J7129" t="n">
        <v>0</v>
      </c>
      <c r="K7129" t="n">
        <v>0</v>
      </c>
      <c r="L7129" t="n">
        <v>0</v>
      </c>
      <c r="M7129" t="n">
        <v>0</v>
      </c>
      <c r="N7129" t="n">
        <v>0</v>
      </c>
      <c r="O7129" t="n">
        <v>0</v>
      </c>
      <c r="P7129" t="n">
        <v>0</v>
      </c>
      <c r="Q7129" t="n">
        <v>0</v>
      </c>
      <c r="R7129" s="2" t="inlineStr"/>
    </row>
    <row r="7130" ht="15" customHeight="1">
      <c r="A7130" t="inlineStr">
        <is>
          <t>A 52846-2025</t>
        </is>
      </c>
      <c r="B7130" s="1" t="n">
        <v>45957.48726851852</v>
      </c>
      <c r="C7130" s="1" t="n">
        <v>46093</v>
      </c>
      <c r="D7130" t="inlineStr">
        <is>
          <t>VÄSTERNORRLANDS LÄN</t>
        </is>
      </c>
      <c r="E7130" t="inlineStr">
        <is>
          <t>ÖRNSKÖLDSVIK</t>
        </is>
      </c>
      <c r="G7130" t="n">
        <v>3.2</v>
      </c>
      <c r="H7130" t="n">
        <v>0</v>
      </c>
      <c r="I7130" t="n">
        <v>0</v>
      </c>
      <c r="J7130" t="n">
        <v>0</v>
      </c>
      <c r="K7130" t="n">
        <v>0</v>
      </c>
      <c r="L7130" t="n">
        <v>0</v>
      </c>
      <c r="M7130" t="n">
        <v>0</v>
      </c>
      <c r="N7130" t="n">
        <v>0</v>
      </c>
      <c r="O7130" t="n">
        <v>0</v>
      </c>
      <c r="P7130" t="n">
        <v>0</v>
      </c>
      <c r="Q7130" t="n">
        <v>0</v>
      </c>
      <c r="R7130" s="2" t="inlineStr"/>
    </row>
    <row r="7131" ht="15" customHeight="1">
      <c r="A7131" t="inlineStr">
        <is>
          <t>A 52851-2025</t>
        </is>
      </c>
      <c r="B7131" s="1" t="n">
        <v>45957.49204861111</v>
      </c>
      <c r="C7131" s="1" t="n">
        <v>46093</v>
      </c>
      <c r="D7131" t="inlineStr">
        <is>
          <t>VÄSTERNORRLANDS LÄN</t>
        </is>
      </c>
      <c r="E7131" t="inlineStr">
        <is>
          <t>ÖRNSKÖLDSVIK</t>
        </is>
      </c>
      <c r="G7131" t="n">
        <v>6.4</v>
      </c>
      <c r="H7131" t="n">
        <v>0</v>
      </c>
      <c r="I7131" t="n">
        <v>0</v>
      </c>
      <c r="J7131" t="n">
        <v>0</v>
      </c>
      <c r="K7131" t="n">
        <v>0</v>
      </c>
      <c r="L7131" t="n">
        <v>0</v>
      </c>
      <c r="M7131" t="n">
        <v>0</v>
      </c>
      <c r="N7131" t="n">
        <v>0</v>
      </c>
      <c r="O7131" t="n">
        <v>0</v>
      </c>
      <c r="P7131" t="n">
        <v>0</v>
      </c>
      <c r="Q7131" t="n">
        <v>0</v>
      </c>
      <c r="R7131" s="2" t="inlineStr"/>
    </row>
    <row r="7132" ht="15" customHeight="1">
      <c r="A7132" t="inlineStr">
        <is>
          <t>A 52854-2025</t>
        </is>
      </c>
      <c r="B7132" s="1" t="n">
        <v>45957.49766203704</v>
      </c>
      <c r="C7132" s="1" t="n">
        <v>46093</v>
      </c>
      <c r="D7132" t="inlineStr">
        <is>
          <t>VÄSTERNORRLANDS LÄN</t>
        </is>
      </c>
      <c r="E7132" t="inlineStr">
        <is>
          <t>ÖRNSKÖLDSVIK</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62019-2023</t>
        </is>
      </c>
      <c r="B7133" s="1" t="n">
        <v>45266</v>
      </c>
      <c r="C7133" s="1" t="n">
        <v>46093</v>
      </c>
      <c r="D7133" t="inlineStr">
        <is>
          <t>VÄSTERNORRLANDS LÄN</t>
        </is>
      </c>
      <c r="E7133" t="inlineStr">
        <is>
          <t>ÖRNSKÖLDSVIK</t>
        </is>
      </c>
      <c r="F7133" t="inlineStr">
        <is>
          <t>Holmen skog AB</t>
        </is>
      </c>
      <c r="G7133" t="n">
        <v>4.3</v>
      </c>
      <c r="H7133" t="n">
        <v>0</v>
      </c>
      <c r="I7133" t="n">
        <v>0</v>
      </c>
      <c r="J7133" t="n">
        <v>0</v>
      </c>
      <c r="K7133" t="n">
        <v>0</v>
      </c>
      <c r="L7133" t="n">
        <v>0</v>
      </c>
      <c r="M7133" t="n">
        <v>0</v>
      </c>
      <c r="N7133" t="n">
        <v>0</v>
      </c>
      <c r="O7133" t="n">
        <v>0</v>
      </c>
      <c r="P7133" t="n">
        <v>0</v>
      </c>
      <c r="Q7133" t="n">
        <v>0</v>
      </c>
      <c r="R7133" s="2" t="inlineStr"/>
    </row>
    <row r="7134" ht="15" customHeight="1">
      <c r="A7134" t="inlineStr">
        <is>
          <t>A 37762-2025</t>
        </is>
      </c>
      <c r="B7134" s="1" t="n">
        <v>45880</v>
      </c>
      <c r="C7134" s="1" t="n">
        <v>46093</v>
      </c>
      <c r="D7134" t="inlineStr">
        <is>
          <t>VÄSTERNORRLANDS LÄN</t>
        </is>
      </c>
      <c r="E7134" t="inlineStr">
        <is>
          <t>ÖRNSKÖLDSVIK</t>
        </is>
      </c>
      <c r="G7134" t="n">
        <v>7</v>
      </c>
      <c r="H7134" t="n">
        <v>0</v>
      </c>
      <c r="I7134" t="n">
        <v>0</v>
      </c>
      <c r="J7134" t="n">
        <v>0</v>
      </c>
      <c r="K7134" t="n">
        <v>0</v>
      </c>
      <c r="L7134" t="n">
        <v>0</v>
      </c>
      <c r="M7134" t="n">
        <v>0</v>
      </c>
      <c r="N7134" t="n">
        <v>0</v>
      </c>
      <c r="O7134" t="n">
        <v>0</v>
      </c>
      <c r="P7134" t="n">
        <v>0</v>
      </c>
      <c r="Q7134" t="n">
        <v>0</v>
      </c>
      <c r="R7134" s="2" t="inlineStr"/>
    </row>
    <row r="7135" ht="15" customHeight="1">
      <c r="A7135" t="inlineStr">
        <is>
          <t>A 27243-2021</t>
        </is>
      </c>
      <c r="B7135" s="1" t="n">
        <v>44350</v>
      </c>
      <c r="C7135" s="1" t="n">
        <v>46093</v>
      </c>
      <c r="D7135" t="inlineStr">
        <is>
          <t>VÄSTERNORRLANDS LÄN</t>
        </is>
      </c>
      <c r="E7135" t="inlineStr">
        <is>
          <t>TIMRÅ</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45217-2024</t>
        </is>
      </c>
      <c r="B7136" s="1" t="n">
        <v>45575</v>
      </c>
      <c r="C7136" s="1" t="n">
        <v>46093</v>
      </c>
      <c r="D7136" t="inlineStr">
        <is>
          <t>VÄSTERNORRLANDS LÄN</t>
        </is>
      </c>
      <c r="E7136" t="inlineStr">
        <is>
          <t>ÖRNSKÖLDSVIK</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52732-2025</t>
        </is>
      </c>
      <c r="B7137" s="1" t="n">
        <v>45957.36707175926</v>
      </c>
      <c r="C7137" s="1" t="n">
        <v>46093</v>
      </c>
      <c r="D7137" t="inlineStr">
        <is>
          <t>VÄSTERNORRLANDS LÄN</t>
        </is>
      </c>
      <c r="E7137" t="inlineStr">
        <is>
          <t>ÖRNSKÖLDSVIK</t>
        </is>
      </c>
      <c r="G7137" t="n">
        <v>22.6</v>
      </c>
      <c r="H7137" t="n">
        <v>0</v>
      </c>
      <c r="I7137" t="n">
        <v>0</v>
      </c>
      <c r="J7137" t="n">
        <v>0</v>
      </c>
      <c r="K7137" t="n">
        <v>0</v>
      </c>
      <c r="L7137" t="n">
        <v>0</v>
      </c>
      <c r="M7137" t="n">
        <v>0</v>
      </c>
      <c r="N7137" t="n">
        <v>0</v>
      </c>
      <c r="O7137" t="n">
        <v>0</v>
      </c>
      <c r="P7137" t="n">
        <v>0</v>
      </c>
      <c r="Q7137" t="n">
        <v>0</v>
      </c>
      <c r="R7137" s="2" t="inlineStr"/>
    </row>
    <row r="7138" ht="15" customHeight="1">
      <c r="A7138" t="inlineStr">
        <is>
          <t>A 63492-2023</t>
        </is>
      </c>
      <c r="B7138" s="1" t="n">
        <v>45273</v>
      </c>
      <c r="C7138" s="1" t="n">
        <v>46093</v>
      </c>
      <c r="D7138" t="inlineStr">
        <is>
          <t>VÄSTERNORRLANDS LÄN</t>
        </is>
      </c>
      <c r="E7138" t="inlineStr">
        <is>
          <t>KRAMFORS</t>
        </is>
      </c>
      <c r="G7138" t="n">
        <v>3.4</v>
      </c>
      <c r="H7138" t="n">
        <v>0</v>
      </c>
      <c r="I7138" t="n">
        <v>0</v>
      </c>
      <c r="J7138" t="n">
        <v>0</v>
      </c>
      <c r="K7138" t="n">
        <v>0</v>
      </c>
      <c r="L7138" t="n">
        <v>0</v>
      </c>
      <c r="M7138" t="n">
        <v>0</v>
      </c>
      <c r="N7138" t="n">
        <v>0</v>
      </c>
      <c r="O7138" t="n">
        <v>0</v>
      </c>
      <c r="P7138" t="n">
        <v>0</v>
      </c>
      <c r="Q7138" t="n">
        <v>0</v>
      </c>
      <c r="R7138" s="2" t="inlineStr"/>
    </row>
    <row r="7139" ht="15" customHeight="1">
      <c r="A7139" t="inlineStr">
        <is>
          <t>A 54059-2024</t>
        </is>
      </c>
      <c r="B7139" s="1" t="n">
        <v>45616.46943287037</v>
      </c>
      <c r="C7139" s="1" t="n">
        <v>46093</v>
      </c>
      <c r="D7139" t="inlineStr">
        <is>
          <t>VÄSTERNORRLANDS LÄN</t>
        </is>
      </c>
      <c r="E7139" t="inlineStr">
        <is>
          <t>ÅNGE</t>
        </is>
      </c>
      <c r="F7139" t="inlineStr">
        <is>
          <t>SCA</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52858-2025</t>
        </is>
      </c>
      <c r="B7140" s="1" t="n">
        <v>45957.50284722223</v>
      </c>
      <c r="C7140" s="1" t="n">
        <v>46093</v>
      </c>
      <c r="D7140" t="inlineStr">
        <is>
          <t>VÄSTERNORRLANDS LÄN</t>
        </is>
      </c>
      <c r="E7140" t="inlineStr">
        <is>
          <t>ÅNGE</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52887-2025</t>
        </is>
      </c>
      <c r="B7141" s="1" t="n">
        <v>45957.56839120371</v>
      </c>
      <c r="C7141" s="1" t="n">
        <v>46093</v>
      </c>
      <c r="D7141" t="inlineStr">
        <is>
          <t>VÄSTERNORRLANDS LÄN</t>
        </is>
      </c>
      <c r="E7141" t="inlineStr">
        <is>
          <t>ÖRNSKÖLDSVIK</t>
        </is>
      </c>
      <c r="G7141" t="n">
        <v>10.1</v>
      </c>
      <c r="H7141" t="n">
        <v>0</v>
      </c>
      <c r="I7141" t="n">
        <v>0</v>
      </c>
      <c r="J7141" t="n">
        <v>0</v>
      </c>
      <c r="K7141" t="n">
        <v>0</v>
      </c>
      <c r="L7141" t="n">
        <v>0</v>
      </c>
      <c r="M7141" t="n">
        <v>0</v>
      </c>
      <c r="N7141" t="n">
        <v>0</v>
      </c>
      <c r="O7141" t="n">
        <v>0</v>
      </c>
      <c r="P7141" t="n">
        <v>0</v>
      </c>
      <c r="Q7141" t="n">
        <v>0</v>
      </c>
      <c r="R7141" s="2" t="inlineStr"/>
    </row>
    <row r="7142" ht="15" customHeight="1">
      <c r="A7142" t="inlineStr">
        <is>
          <t>A 22962-2024</t>
        </is>
      </c>
      <c r="B7142" s="1" t="n">
        <v>45449.51231481481</v>
      </c>
      <c r="C7142" s="1" t="n">
        <v>46093</v>
      </c>
      <c r="D7142" t="inlineStr">
        <is>
          <t>VÄSTERNORRLANDS LÄN</t>
        </is>
      </c>
      <c r="E7142" t="inlineStr">
        <is>
          <t>ÖRNSKÖLDSVIK</t>
        </is>
      </c>
      <c r="F7142" t="inlineStr">
        <is>
          <t>Holmen skog AB</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57416-2024</t>
        </is>
      </c>
      <c r="B7143" s="1" t="n">
        <v>45629.78733796296</v>
      </c>
      <c r="C7143" s="1" t="n">
        <v>46093</v>
      </c>
      <c r="D7143" t="inlineStr">
        <is>
          <t>VÄSTERNORRLANDS LÄN</t>
        </is>
      </c>
      <c r="E7143" t="inlineStr">
        <is>
          <t>ÖRNSKÖLDSVIK</t>
        </is>
      </c>
      <c r="G7143" t="n">
        <v>5.3</v>
      </c>
      <c r="H7143" t="n">
        <v>0</v>
      </c>
      <c r="I7143" t="n">
        <v>0</v>
      </c>
      <c r="J7143" t="n">
        <v>0</v>
      </c>
      <c r="K7143" t="n">
        <v>0</v>
      </c>
      <c r="L7143" t="n">
        <v>0</v>
      </c>
      <c r="M7143" t="n">
        <v>0</v>
      </c>
      <c r="N7143" t="n">
        <v>0</v>
      </c>
      <c r="O7143" t="n">
        <v>0</v>
      </c>
      <c r="P7143" t="n">
        <v>0</v>
      </c>
      <c r="Q7143" t="n">
        <v>0</v>
      </c>
      <c r="R7143" s="2" t="inlineStr"/>
    </row>
    <row r="7144" ht="15" customHeight="1">
      <c r="A7144" t="inlineStr">
        <is>
          <t>A 53030-2025</t>
        </is>
      </c>
      <c r="B7144" s="1" t="n">
        <v>45958.34442129629</v>
      </c>
      <c r="C7144" s="1" t="n">
        <v>46093</v>
      </c>
      <c r="D7144" t="inlineStr">
        <is>
          <t>VÄSTERNORRLANDS LÄN</t>
        </is>
      </c>
      <c r="E7144" t="inlineStr">
        <is>
          <t>SOLLEFTEÅ</t>
        </is>
      </c>
      <c r="F7144" t="inlineStr">
        <is>
          <t>SCA</t>
        </is>
      </c>
      <c r="G7144" t="n">
        <v>11.7</v>
      </c>
      <c r="H7144" t="n">
        <v>0</v>
      </c>
      <c r="I7144" t="n">
        <v>0</v>
      </c>
      <c r="J7144" t="n">
        <v>0</v>
      </c>
      <c r="K7144" t="n">
        <v>0</v>
      </c>
      <c r="L7144" t="n">
        <v>0</v>
      </c>
      <c r="M7144" t="n">
        <v>0</v>
      </c>
      <c r="N7144" t="n">
        <v>0</v>
      </c>
      <c r="O7144" t="n">
        <v>0</v>
      </c>
      <c r="P7144" t="n">
        <v>0</v>
      </c>
      <c r="Q7144" t="n">
        <v>0</v>
      </c>
      <c r="R7144" s="2" t="inlineStr"/>
    </row>
    <row r="7145" ht="15" customHeight="1">
      <c r="A7145" t="inlineStr">
        <is>
          <t>A 3750-2025</t>
        </is>
      </c>
      <c r="B7145" s="1" t="n">
        <v>45681.580625</v>
      </c>
      <c r="C7145" s="1" t="n">
        <v>46093</v>
      </c>
      <c r="D7145" t="inlineStr">
        <is>
          <t>VÄSTERNORRLANDS LÄN</t>
        </is>
      </c>
      <c r="E7145" t="inlineStr">
        <is>
          <t>SOLLEFTEÅ</t>
        </is>
      </c>
      <c r="G7145" t="n">
        <v>5.4</v>
      </c>
      <c r="H7145" t="n">
        <v>0</v>
      </c>
      <c r="I7145" t="n">
        <v>0</v>
      </c>
      <c r="J7145" t="n">
        <v>0</v>
      </c>
      <c r="K7145" t="n">
        <v>0</v>
      </c>
      <c r="L7145" t="n">
        <v>0</v>
      </c>
      <c r="M7145" t="n">
        <v>0</v>
      </c>
      <c r="N7145" t="n">
        <v>0</v>
      </c>
      <c r="O7145" t="n">
        <v>0</v>
      </c>
      <c r="P7145" t="n">
        <v>0</v>
      </c>
      <c r="Q7145" t="n">
        <v>0</v>
      </c>
      <c r="R7145" s="2" t="inlineStr"/>
    </row>
    <row r="7146" ht="15" customHeight="1">
      <c r="A7146" t="inlineStr">
        <is>
          <t>A 34221-2024</t>
        </is>
      </c>
      <c r="B7146" s="1" t="n">
        <v>45524</v>
      </c>
      <c r="C7146" s="1" t="n">
        <v>46093</v>
      </c>
      <c r="D7146" t="inlineStr">
        <is>
          <t>VÄSTERNORRLANDS LÄN</t>
        </is>
      </c>
      <c r="E7146" t="inlineStr">
        <is>
          <t>ÖRNSKÖLDSVIK</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23018-2021</t>
        </is>
      </c>
      <c r="B7147" s="1" t="n">
        <v>44328</v>
      </c>
      <c r="C7147" s="1" t="n">
        <v>46093</v>
      </c>
      <c r="D7147" t="inlineStr">
        <is>
          <t>VÄSTERNORRLANDS LÄN</t>
        </is>
      </c>
      <c r="E7147" t="inlineStr">
        <is>
          <t>ÅNGE</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52780-2025</t>
        </is>
      </c>
      <c r="B7148" s="1" t="n">
        <v>45957.42261574074</v>
      </c>
      <c r="C7148" s="1" t="n">
        <v>46093</v>
      </c>
      <c r="D7148" t="inlineStr">
        <is>
          <t>VÄSTERNORRLANDS LÄN</t>
        </is>
      </c>
      <c r="E7148" t="inlineStr">
        <is>
          <t>SOLLEFTEÅ</t>
        </is>
      </c>
      <c r="G7148" t="n">
        <v>12.4</v>
      </c>
      <c r="H7148" t="n">
        <v>0</v>
      </c>
      <c r="I7148" t="n">
        <v>0</v>
      </c>
      <c r="J7148" t="n">
        <v>0</v>
      </c>
      <c r="K7148" t="n">
        <v>0</v>
      </c>
      <c r="L7148" t="n">
        <v>0</v>
      </c>
      <c r="M7148" t="n">
        <v>0</v>
      </c>
      <c r="N7148" t="n">
        <v>0</v>
      </c>
      <c r="O7148" t="n">
        <v>0</v>
      </c>
      <c r="P7148" t="n">
        <v>0</v>
      </c>
      <c r="Q7148" t="n">
        <v>0</v>
      </c>
      <c r="R7148" s="2" t="inlineStr"/>
    </row>
    <row r="7149" ht="15" customHeight="1">
      <c r="A7149" t="inlineStr">
        <is>
          <t>A 31785-2024</t>
        </is>
      </c>
      <c r="B7149" s="1" t="n">
        <v>45509.50349537037</v>
      </c>
      <c r="C7149" s="1" t="n">
        <v>46093</v>
      </c>
      <c r="D7149" t="inlineStr">
        <is>
          <t>VÄSTERNORRLANDS LÄN</t>
        </is>
      </c>
      <c r="E7149" t="inlineStr">
        <is>
          <t>ÖRNSKÖLDSVIK</t>
        </is>
      </c>
      <c r="F7149" t="inlineStr">
        <is>
          <t>Holmen skog AB</t>
        </is>
      </c>
      <c r="G7149" t="n">
        <v>2.4</v>
      </c>
      <c r="H7149" t="n">
        <v>0</v>
      </c>
      <c r="I7149" t="n">
        <v>0</v>
      </c>
      <c r="J7149" t="n">
        <v>0</v>
      </c>
      <c r="K7149" t="n">
        <v>0</v>
      </c>
      <c r="L7149" t="n">
        <v>0</v>
      </c>
      <c r="M7149" t="n">
        <v>0</v>
      </c>
      <c r="N7149" t="n">
        <v>0</v>
      </c>
      <c r="O7149" t="n">
        <v>0</v>
      </c>
      <c r="P7149" t="n">
        <v>0</v>
      </c>
      <c r="Q7149" t="n">
        <v>0</v>
      </c>
      <c r="R7149" s="2" t="inlineStr"/>
    </row>
    <row r="7150" ht="15" customHeight="1">
      <c r="A7150" t="inlineStr">
        <is>
          <t>A 31786-2024</t>
        </is>
      </c>
      <c r="B7150" s="1" t="n">
        <v>45509.50989583333</v>
      </c>
      <c r="C7150" s="1" t="n">
        <v>46093</v>
      </c>
      <c r="D7150" t="inlineStr">
        <is>
          <t>VÄSTERNORRLANDS LÄN</t>
        </is>
      </c>
      <c r="E7150" t="inlineStr">
        <is>
          <t>ÖRNSKÖLDSVIK</t>
        </is>
      </c>
      <c r="F7150" t="inlineStr">
        <is>
          <t>Holmen skog AB</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31866-2024</t>
        </is>
      </c>
      <c r="B7151" s="1" t="n">
        <v>45509</v>
      </c>
      <c r="C7151" s="1" t="n">
        <v>46093</v>
      </c>
      <c r="D7151" t="inlineStr">
        <is>
          <t>VÄSTERNORRLANDS LÄN</t>
        </is>
      </c>
      <c r="E7151" t="inlineStr">
        <is>
          <t>ÅNGE</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31867-2024</t>
        </is>
      </c>
      <c r="B7152" s="1" t="n">
        <v>45509</v>
      </c>
      <c r="C7152" s="1" t="n">
        <v>46093</v>
      </c>
      <c r="D7152" t="inlineStr">
        <is>
          <t>VÄSTERNORRLANDS LÄN</t>
        </is>
      </c>
      <c r="E7152" t="inlineStr">
        <is>
          <t>ÅNGE</t>
        </is>
      </c>
      <c r="G7152" t="n">
        <v>7.8</v>
      </c>
      <c r="H7152" t="n">
        <v>0</v>
      </c>
      <c r="I7152" t="n">
        <v>0</v>
      </c>
      <c r="J7152" t="n">
        <v>0</v>
      </c>
      <c r="K7152" t="n">
        <v>0</v>
      </c>
      <c r="L7152" t="n">
        <v>0</v>
      </c>
      <c r="M7152" t="n">
        <v>0</v>
      </c>
      <c r="N7152" t="n">
        <v>0</v>
      </c>
      <c r="O7152" t="n">
        <v>0</v>
      </c>
      <c r="P7152" t="n">
        <v>0</v>
      </c>
      <c r="Q7152" t="n">
        <v>0</v>
      </c>
      <c r="R7152" s="2" t="inlineStr"/>
    </row>
    <row r="7153" ht="15" customHeight="1">
      <c r="A7153" t="inlineStr">
        <is>
          <t>A 47246-2024</t>
        </is>
      </c>
      <c r="B7153" s="1" t="n">
        <v>45586.69940972222</v>
      </c>
      <c r="C7153" s="1" t="n">
        <v>46093</v>
      </c>
      <c r="D7153" t="inlineStr">
        <is>
          <t>VÄSTERNORRLANDS LÄN</t>
        </is>
      </c>
      <c r="E7153" t="inlineStr">
        <is>
          <t>SUNDSVALL</t>
        </is>
      </c>
      <c r="F7153" t="inlineStr">
        <is>
          <t>SCA</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52936-2025</t>
        </is>
      </c>
      <c r="B7154" s="1" t="n">
        <v>45957.63228009259</v>
      </c>
      <c r="C7154" s="1" t="n">
        <v>46093</v>
      </c>
      <c r="D7154" t="inlineStr">
        <is>
          <t>VÄSTERNORRLANDS LÄN</t>
        </is>
      </c>
      <c r="E7154" t="inlineStr">
        <is>
          <t>ÖRNSKÖLDSVIK</t>
        </is>
      </c>
      <c r="F7154" t="inlineStr">
        <is>
          <t>Holmen skog AB</t>
        </is>
      </c>
      <c r="G7154" t="n">
        <v>6.3</v>
      </c>
      <c r="H7154" t="n">
        <v>0</v>
      </c>
      <c r="I7154" t="n">
        <v>0</v>
      </c>
      <c r="J7154" t="n">
        <v>0</v>
      </c>
      <c r="K7154" t="n">
        <v>0</v>
      </c>
      <c r="L7154" t="n">
        <v>0</v>
      </c>
      <c r="M7154" t="n">
        <v>0</v>
      </c>
      <c r="N7154" t="n">
        <v>0</v>
      </c>
      <c r="O7154" t="n">
        <v>0</v>
      </c>
      <c r="P7154" t="n">
        <v>0</v>
      </c>
      <c r="Q7154" t="n">
        <v>0</v>
      </c>
      <c r="R7154" s="2" t="inlineStr"/>
    </row>
    <row r="7155" ht="15" customHeight="1">
      <c r="A7155" t="inlineStr">
        <is>
          <t>A 53012-2025</t>
        </is>
      </c>
      <c r="B7155" s="1" t="n">
        <v>45957.80320601852</v>
      </c>
      <c r="C7155" s="1" t="n">
        <v>46093</v>
      </c>
      <c r="D7155" t="inlineStr">
        <is>
          <t>VÄSTERNORRLANDS LÄN</t>
        </is>
      </c>
      <c r="E7155" t="inlineStr">
        <is>
          <t>ÅNGE</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1269-2024</t>
        </is>
      </c>
      <c r="B7156" s="1" t="n">
        <v>45302</v>
      </c>
      <c r="C7156" s="1" t="n">
        <v>46093</v>
      </c>
      <c r="D7156" t="inlineStr">
        <is>
          <t>VÄSTERNORRLANDS LÄN</t>
        </is>
      </c>
      <c r="E7156" t="inlineStr">
        <is>
          <t>SOLLEFTEÅ</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49360-2024</t>
        </is>
      </c>
      <c r="B7157" s="1" t="n">
        <v>45595.626875</v>
      </c>
      <c r="C7157" s="1" t="n">
        <v>46093</v>
      </c>
      <c r="D7157" t="inlineStr">
        <is>
          <t>VÄSTERNORRLANDS LÄN</t>
        </is>
      </c>
      <c r="E7157" t="inlineStr">
        <is>
          <t>SUNDSVALL</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52867-2025</t>
        </is>
      </c>
      <c r="B7158" s="1" t="n">
        <v>45957.51130787037</v>
      </c>
      <c r="C7158" s="1" t="n">
        <v>46093</v>
      </c>
      <c r="D7158" t="inlineStr">
        <is>
          <t>VÄSTERNORRLANDS LÄN</t>
        </is>
      </c>
      <c r="E7158" t="inlineStr">
        <is>
          <t>TIMRÅ</t>
        </is>
      </c>
      <c r="G7158" t="n">
        <v>2.6</v>
      </c>
      <c r="H7158" t="n">
        <v>0</v>
      </c>
      <c r="I7158" t="n">
        <v>0</v>
      </c>
      <c r="J7158" t="n">
        <v>0</v>
      </c>
      <c r="K7158" t="n">
        <v>0</v>
      </c>
      <c r="L7158" t="n">
        <v>0</v>
      </c>
      <c r="M7158" t="n">
        <v>0</v>
      </c>
      <c r="N7158" t="n">
        <v>0</v>
      </c>
      <c r="O7158" t="n">
        <v>0</v>
      </c>
      <c r="P7158" t="n">
        <v>0</v>
      </c>
      <c r="Q7158" t="n">
        <v>0</v>
      </c>
      <c r="R7158" s="2" t="inlineStr"/>
    </row>
    <row r="7159" ht="15" customHeight="1">
      <c r="A7159" t="inlineStr">
        <is>
          <t>A 53921-2022</t>
        </is>
      </c>
      <c r="B7159" s="1" t="n">
        <v>44880</v>
      </c>
      <c r="C7159" s="1" t="n">
        <v>46093</v>
      </c>
      <c r="D7159" t="inlineStr">
        <is>
          <t>VÄSTERNORRLANDS LÄN</t>
        </is>
      </c>
      <c r="E7159" t="inlineStr">
        <is>
          <t>SUNDSVALL</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53929-2022</t>
        </is>
      </c>
      <c r="B7160" s="1" t="n">
        <v>44880</v>
      </c>
      <c r="C7160" s="1" t="n">
        <v>46093</v>
      </c>
      <c r="D7160" t="inlineStr">
        <is>
          <t>VÄSTERNORRLANDS LÄN</t>
        </is>
      </c>
      <c r="E7160" t="inlineStr">
        <is>
          <t>SOLLEFTEÅ</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53939-2022</t>
        </is>
      </c>
      <c r="B7161" s="1" t="n">
        <v>44880.95625</v>
      </c>
      <c r="C7161" s="1" t="n">
        <v>46093</v>
      </c>
      <c r="D7161" t="inlineStr">
        <is>
          <t>VÄSTERNORRLANDS LÄN</t>
        </is>
      </c>
      <c r="E7161" t="inlineStr">
        <is>
          <t>SUNDSVALL</t>
        </is>
      </c>
      <c r="F7161" t="inlineStr">
        <is>
          <t>SCA</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52961-2025</t>
        </is>
      </c>
      <c r="B7162" s="1" t="n">
        <v>45957.66293981481</v>
      </c>
      <c r="C7162" s="1" t="n">
        <v>46093</v>
      </c>
      <c r="D7162" t="inlineStr">
        <is>
          <t>VÄSTERNORRLANDS LÄN</t>
        </is>
      </c>
      <c r="E7162" t="inlineStr">
        <is>
          <t>KRAMFORS</t>
        </is>
      </c>
      <c r="G7162" t="n">
        <v>9.199999999999999</v>
      </c>
      <c r="H7162" t="n">
        <v>0</v>
      </c>
      <c r="I7162" t="n">
        <v>0</v>
      </c>
      <c r="J7162" t="n">
        <v>0</v>
      </c>
      <c r="K7162" t="n">
        <v>0</v>
      </c>
      <c r="L7162" t="n">
        <v>0</v>
      </c>
      <c r="M7162" t="n">
        <v>0</v>
      </c>
      <c r="N7162" t="n">
        <v>0</v>
      </c>
      <c r="O7162" t="n">
        <v>0</v>
      </c>
      <c r="P7162" t="n">
        <v>0</v>
      </c>
      <c r="Q7162" t="n">
        <v>0</v>
      </c>
      <c r="R7162" s="2" t="inlineStr"/>
    </row>
    <row r="7163" ht="15" customHeight="1">
      <c r="A7163" t="inlineStr">
        <is>
          <t>A 52971-2025</t>
        </is>
      </c>
      <c r="B7163" s="1" t="n">
        <v>45957.67755787037</v>
      </c>
      <c r="C7163" s="1" t="n">
        <v>46093</v>
      </c>
      <c r="D7163" t="inlineStr">
        <is>
          <t>VÄSTERNORRLANDS LÄN</t>
        </is>
      </c>
      <c r="E7163" t="inlineStr">
        <is>
          <t>KRAMFORS</t>
        </is>
      </c>
      <c r="F7163" t="inlineStr">
        <is>
          <t>SCA</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53943-2022</t>
        </is>
      </c>
      <c r="B7164" s="1" t="n">
        <v>44880</v>
      </c>
      <c r="C7164" s="1" t="n">
        <v>46093</v>
      </c>
      <c r="D7164" t="inlineStr">
        <is>
          <t>VÄSTERNORRLANDS LÄN</t>
        </is>
      </c>
      <c r="E7164" t="inlineStr">
        <is>
          <t>SUNDSVALL</t>
        </is>
      </c>
      <c r="F7164" t="inlineStr">
        <is>
          <t>SCA</t>
        </is>
      </c>
      <c r="G7164" t="n">
        <v>2.6</v>
      </c>
      <c r="H7164" t="n">
        <v>0</v>
      </c>
      <c r="I7164" t="n">
        <v>0</v>
      </c>
      <c r="J7164" t="n">
        <v>0</v>
      </c>
      <c r="K7164" t="n">
        <v>0</v>
      </c>
      <c r="L7164" t="n">
        <v>0</v>
      </c>
      <c r="M7164" t="n">
        <v>0</v>
      </c>
      <c r="N7164" t="n">
        <v>0</v>
      </c>
      <c r="O7164" t="n">
        <v>0</v>
      </c>
      <c r="P7164" t="n">
        <v>0</v>
      </c>
      <c r="Q7164" t="n">
        <v>0</v>
      </c>
      <c r="R7164" s="2" t="inlineStr"/>
    </row>
    <row r="7165" ht="15" customHeight="1">
      <c r="A7165" t="inlineStr">
        <is>
          <t>A 53947-2022</t>
        </is>
      </c>
      <c r="B7165" s="1" t="n">
        <v>44880.95685185185</v>
      </c>
      <c r="C7165" s="1" t="n">
        <v>46093</v>
      </c>
      <c r="D7165" t="inlineStr">
        <is>
          <t>VÄSTERNORRLANDS LÄN</t>
        </is>
      </c>
      <c r="E7165" t="inlineStr">
        <is>
          <t>SOLLEFTEÅ</t>
        </is>
      </c>
      <c r="F7165" t="inlineStr">
        <is>
          <t>SCA</t>
        </is>
      </c>
      <c r="G7165" t="n">
        <v>2.6</v>
      </c>
      <c r="H7165" t="n">
        <v>0</v>
      </c>
      <c r="I7165" t="n">
        <v>0</v>
      </c>
      <c r="J7165" t="n">
        <v>0</v>
      </c>
      <c r="K7165" t="n">
        <v>0</v>
      </c>
      <c r="L7165" t="n">
        <v>0</v>
      </c>
      <c r="M7165" t="n">
        <v>0</v>
      </c>
      <c r="N7165" t="n">
        <v>0</v>
      </c>
      <c r="O7165" t="n">
        <v>0</v>
      </c>
      <c r="P7165" t="n">
        <v>0</v>
      </c>
      <c r="Q7165" t="n">
        <v>0</v>
      </c>
      <c r="R7165" s="2" t="inlineStr"/>
    </row>
    <row r="7166" ht="15" customHeight="1">
      <c r="A7166" t="inlineStr">
        <is>
          <t>A 50557-2024</t>
        </is>
      </c>
      <c r="B7166" s="1" t="n">
        <v>45601</v>
      </c>
      <c r="C7166" s="1" t="n">
        <v>46093</v>
      </c>
      <c r="D7166" t="inlineStr">
        <is>
          <t>VÄSTERNORRLANDS LÄN</t>
        </is>
      </c>
      <c r="E7166" t="inlineStr">
        <is>
          <t>SOLLEFTEÅ</t>
        </is>
      </c>
      <c r="G7166" t="n">
        <v>2.7</v>
      </c>
      <c r="H7166" t="n">
        <v>0</v>
      </c>
      <c r="I7166" t="n">
        <v>0</v>
      </c>
      <c r="J7166" t="n">
        <v>0</v>
      </c>
      <c r="K7166" t="n">
        <v>0</v>
      </c>
      <c r="L7166" t="n">
        <v>0</v>
      </c>
      <c r="M7166" t="n">
        <v>0</v>
      </c>
      <c r="N7166" t="n">
        <v>0</v>
      </c>
      <c r="O7166" t="n">
        <v>0</v>
      </c>
      <c r="P7166" t="n">
        <v>0</v>
      </c>
      <c r="Q7166" t="n">
        <v>0</v>
      </c>
      <c r="R7166" s="2" t="inlineStr"/>
    </row>
    <row r="7167" ht="15" customHeight="1">
      <c r="A7167" t="inlineStr">
        <is>
          <t>A 39178-2024</t>
        </is>
      </c>
      <c r="B7167" s="1" t="n">
        <v>45548.65692129629</v>
      </c>
      <c r="C7167" s="1" t="n">
        <v>46093</v>
      </c>
      <c r="D7167" t="inlineStr">
        <is>
          <t>VÄSTERNORRLANDS LÄN</t>
        </is>
      </c>
      <c r="E7167" t="inlineStr">
        <is>
          <t>ÅNGE</t>
        </is>
      </c>
      <c r="F7167" t="inlineStr">
        <is>
          <t>SCA</t>
        </is>
      </c>
      <c r="G7167" t="n">
        <v>4.2</v>
      </c>
      <c r="H7167" t="n">
        <v>0</v>
      </c>
      <c r="I7167" t="n">
        <v>0</v>
      </c>
      <c r="J7167" t="n">
        <v>0</v>
      </c>
      <c r="K7167" t="n">
        <v>0</v>
      </c>
      <c r="L7167" t="n">
        <v>0</v>
      </c>
      <c r="M7167" t="n">
        <v>0</v>
      </c>
      <c r="N7167" t="n">
        <v>0</v>
      </c>
      <c r="O7167" t="n">
        <v>0</v>
      </c>
      <c r="P7167" t="n">
        <v>0</v>
      </c>
      <c r="Q7167" t="n">
        <v>0</v>
      </c>
      <c r="R7167" s="2" t="inlineStr"/>
    </row>
    <row r="7168" ht="15" customHeight="1">
      <c r="A7168" t="inlineStr">
        <is>
          <t>A 3216-2025</t>
        </is>
      </c>
      <c r="B7168" s="1" t="n">
        <v>45679.46209490741</v>
      </c>
      <c r="C7168" s="1" t="n">
        <v>46093</v>
      </c>
      <c r="D7168" t="inlineStr">
        <is>
          <t>VÄSTERNORRLANDS LÄN</t>
        </is>
      </c>
      <c r="E7168" t="inlineStr">
        <is>
          <t>SUNDSVALL</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55655-2024</t>
        </is>
      </c>
      <c r="B7169" s="1" t="n">
        <v>45622.63578703703</v>
      </c>
      <c r="C7169" s="1" t="n">
        <v>46093</v>
      </c>
      <c r="D7169" t="inlineStr">
        <is>
          <t>VÄSTERNORRLANDS LÄN</t>
        </is>
      </c>
      <c r="E7169" t="inlineStr">
        <is>
          <t>ÖRNSKÖLDSVIK</t>
        </is>
      </c>
      <c r="F7169" t="inlineStr">
        <is>
          <t>SCA</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47871-2024</t>
        </is>
      </c>
      <c r="B7170" s="1" t="n">
        <v>45588</v>
      </c>
      <c r="C7170" s="1" t="n">
        <v>46093</v>
      </c>
      <c r="D7170" t="inlineStr">
        <is>
          <t>VÄSTERNORRLANDS LÄN</t>
        </is>
      </c>
      <c r="E7170" t="inlineStr">
        <is>
          <t>ÖRNSKÖLDSVIK</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39079-2023</t>
        </is>
      </c>
      <c r="B7171" s="1" t="n">
        <v>45163.95831018518</v>
      </c>
      <c r="C7171" s="1" t="n">
        <v>46093</v>
      </c>
      <c r="D7171" t="inlineStr">
        <is>
          <t>VÄSTERNORRLANDS LÄN</t>
        </is>
      </c>
      <c r="E7171" t="inlineStr">
        <is>
          <t>ÖRNSKÖLDSVIK</t>
        </is>
      </c>
      <c r="F7171" t="inlineStr">
        <is>
          <t>SCA</t>
        </is>
      </c>
      <c r="G7171" t="n">
        <v>9</v>
      </c>
      <c r="H7171" t="n">
        <v>0</v>
      </c>
      <c r="I7171" t="n">
        <v>0</v>
      </c>
      <c r="J7171" t="n">
        <v>0</v>
      </c>
      <c r="K7171" t="n">
        <v>0</v>
      </c>
      <c r="L7171" t="n">
        <v>0</v>
      </c>
      <c r="M7171" t="n">
        <v>0</v>
      </c>
      <c r="N7171" t="n">
        <v>0</v>
      </c>
      <c r="O7171" t="n">
        <v>0</v>
      </c>
      <c r="P7171" t="n">
        <v>0</v>
      </c>
      <c r="Q7171" t="n">
        <v>0</v>
      </c>
      <c r="R7171" s="2" t="inlineStr"/>
    </row>
    <row r="7172" ht="15" customHeight="1">
      <c r="A7172" t="inlineStr">
        <is>
          <t>A 43531-2023</t>
        </is>
      </c>
      <c r="B7172" s="1" t="n">
        <v>45184.52731481481</v>
      </c>
      <c r="C7172" s="1" t="n">
        <v>46093</v>
      </c>
      <c r="D7172" t="inlineStr">
        <is>
          <t>VÄSTERNORRLANDS LÄN</t>
        </is>
      </c>
      <c r="E7172" t="inlineStr">
        <is>
          <t>SOLLEFTEÅ</t>
        </is>
      </c>
      <c r="F7172" t="inlineStr">
        <is>
          <t>Holmen skog AB</t>
        </is>
      </c>
      <c r="G7172" t="n">
        <v>2.6</v>
      </c>
      <c r="H7172" t="n">
        <v>0</v>
      </c>
      <c r="I7172" t="n">
        <v>0</v>
      </c>
      <c r="J7172" t="n">
        <v>0</v>
      </c>
      <c r="K7172" t="n">
        <v>0</v>
      </c>
      <c r="L7172" t="n">
        <v>0</v>
      </c>
      <c r="M7172" t="n">
        <v>0</v>
      </c>
      <c r="N7172" t="n">
        <v>0</v>
      </c>
      <c r="O7172" t="n">
        <v>0</v>
      </c>
      <c r="P7172" t="n">
        <v>0</v>
      </c>
      <c r="Q7172" t="n">
        <v>0</v>
      </c>
      <c r="R7172" s="2" t="inlineStr"/>
    </row>
    <row r="7173" ht="15" customHeight="1">
      <c r="A7173" t="inlineStr">
        <is>
          <t>A 53013-2025</t>
        </is>
      </c>
      <c r="B7173" s="1" t="n">
        <v>45957.81732638889</v>
      </c>
      <c r="C7173" s="1" t="n">
        <v>46093</v>
      </c>
      <c r="D7173" t="inlineStr">
        <is>
          <t>VÄSTERNORRLANDS LÄN</t>
        </is>
      </c>
      <c r="E7173" t="inlineStr">
        <is>
          <t>ÅNGE</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39779-2021</t>
        </is>
      </c>
      <c r="B7174" s="1" t="n">
        <v>44417</v>
      </c>
      <c r="C7174" s="1" t="n">
        <v>46093</v>
      </c>
      <c r="D7174" t="inlineStr">
        <is>
          <t>VÄSTERNORRLANDS LÄN</t>
        </is>
      </c>
      <c r="E7174" t="inlineStr">
        <is>
          <t>ÖRNSKÖLDSVIK</t>
        </is>
      </c>
      <c r="F7174" t="inlineStr">
        <is>
          <t>Holmen skog AB</t>
        </is>
      </c>
      <c r="G7174" t="n">
        <v>1.7</v>
      </c>
      <c r="H7174" t="n">
        <v>0</v>
      </c>
      <c r="I7174" t="n">
        <v>0</v>
      </c>
      <c r="J7174" t="n">
        <v>0</v>
      </c>
      <c r="K7174" t="n">
        <v>0</v>
      </c>
      <c r="L7174" t="n">
        <v>0</v>
      </c>
      <c r="M7174" t="n">
        <v>0</v>
      </c>
      <c r="N7174" t="n">
        <v>0</v>
      </c>
      <c r="O7174" t="n">
        <v>0</v>
      </c>
      <c r="P7174" t="n">
        <v>0</v>
      </c>
      <c r="Q7174" t="n">
        <v>0</v>
      </c>
      <c r="R7174" s="2" t="inlineStr"/>
    </row>
    <row r="7175" ht="15" customHeight="1">
      <c r="A7175" t="inlineStr">
        <is>
          <t>A 46101-2024</t>
        </is>
      </c>
      <c r="B7175" s="1" t="n">
        <v>45581</v>
      </c>
      <c r="C7175" s="1" t="n">
        <v>46093</v>
      </c>
      <c r="D7175" t="inlineStr">
        <is>
          <t>VÄSTERNORRLANDS LÄN</t>
        </is>
      </c>
      <c r="E7175" t="inlineStr">
        <is>
          <t>SOLLEFTEÅ</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52499-2025</t>
        </is>
      </c>
      <c r="B7176" s="1" t="n">
        <v>45954.49407407407</v>
      </c>
      <c r="C7176" s="1" t="n">
        <v>46093</v>
      </c>
      <c r="D7176" t="inlineStr">
        <is>
          <t>VÄSTERNORRLANDS LÄN</t>
        </is>
      </c>
      <c r="E7176" t="inlineStr">
        <is>
          <t>SOLLEFTEÅ</t>
        </is>
      </c>
      <c r="G7176" t="n">
        <v>10.2</v>
      </c>
      <c r="H7176" t="n">
        <v>0</v>
      </c>
      <c r="I7176" t="n">
        <v>0</v>
      </c>
      <c r="J7176" t="n">
        <v>0</v>
      </c>
      <c r="K7176" t="n">
        <v>0</v>
      </c>
      <c r="L7176" t="n">
        <v>0</v>
      </c>
      <c r="M7176" t="n">
        <v>0</v>
      </c>
      <c r="N7176" t="n">
        <v>0</v>
      </c>
      <c r="O7176" t="n">
        <v>0</v>
      </c>
      <c r="P7176" t="n">
        <v>0</v>
      </c>
      <c r="Q7176" t="n">
        <v>0</v>
      </c>
      <c r="R7176" s="2" t="inlineStr"/>
    </row>
    <row r="7177" ht="15" customHeight="1">
      <c r="A7177" t="inlineStr">
        <is>
          <t>A 28449-2022</t>
        </is>
      </c>
      <c r="B7177" s="1" t="n">
        <v>44747.68142361111</v>
      </c>
      <c r="C7177" s="1" t="n">
        <v>46093</v>
      </c>
      <c r="D7177" t="inlineStr">
        <is>
          <t>VÄSTERNORRLANDS LÄN</t>
        </is>
      </c>
      <c r="E7177" t="inlineStr">
        <is>
          <t>SUNDSVALL</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44158-2024</t>
        </is>
      </c>
      <c r="B7178" s="1" t="n">
        <v>45572</v>
      </c>
      <c r="C7178" s="1" t="n">
        <v>46093</v>
      </c>
      <c r="D7178" t="inlineStr">
        <is>
          <t>VÄSTERNORRLANDS LÄN</t>
        </is>
      </c>
      <c r="E7178" t="inlineStr">
        <is>
          <t>ÅNGE</t>
        </is>
      </c>
      <c r="G7178" t="n">
        <v>2.6</v>
      </c>
      <c r="H7178" t="n">
        <v>0</v>
      </c>
      <c r="I7178" t="n">
        <v>0</v>
      </c>
      <c r="J7178" t="n">
        <v>0</v>
      </c>
      <c r="K7178" t="n">
        <v>0</v>
      </c>
      <c r="L7178" t="n">
        <v>0</v>
      </c>
      <c r="M7178" t="n">
        <v>0</v>
      </c>
      <c r="N7178" t="n">
        <v>0</v>
      </c>
      <c r="O7178" t="n">
        <v>0</v>
      </c>
      <c r="P7178" t="n">
        <v>0</v>
      </c>
      <c r="Q7178" t="n">
        <v>0</v>
      </c>
      <c r="R7178" s="2" t="inlineStr"/>
    </row>
    <row r="7179" ht="15" customHeight="1">
      <c r="A7179" t="inlineStr">
        <is>
          <t>A 44159-2024</t>
        </is>
      </c>
      <c r="B7179" s="1" t="n">
        <v>45572.69930555556</v>
      </c>
      <c r="C7179" s="1" t="n">
        <v>46093</v>
      </c>
      <c r="D7179" t="inlineStr">
        <is>
          <t>VÄSTERNORRLANDS LÄN</t>
        </is>
      </c>
      <c r="E7179" t="inlineStr">
        <is>
          <t>ÖRNSKÖLDSVIK</t>
        </is>
      </c>
      <c r="G7179" t="n">
        <v>2.5</v>
      </c>
      <c r="H7179" t="n">
        <v>0</v>
      </c>
      <c r="I7179" t="n">
        <v>0</v>
      </c>
      <c r="J7179" t="n">
        <v>0</v>
      </c>
      <c r="K7179" t="n">
        <v>0</v>
      </c>
      <c r="L7179" t="n">
        <v>0</v>
      </c>
      <c r="M7179" t="n">
        <v>0</v>
      </c>
      <c r="N7179" t="n">
        <v>0</v>
      </c>
      <c r="O7179" t="n">
        <v>0</v>
      </c>
      <c r="P7179" t="n">
        <v>0</v>
      </c>
      <c r="Q7179" t="n">
        <v>0</v>
      </c>
      <c r="R7179" s="2" t="inlineStr"/>
    </row>
    <row r="7180" ht="15" customHeight="1">
      <c r="A7180" t="inlineStr">
        <is>
          <t>A 21226-2024</t>
        </is>
      </c>
      <c r="B7180" s="1" t="n">
        <v>45440.57903935185</v>
      </c>
      <c r="C7180" s="1" t="n">
        <v>46093</v>
      </c>
      <c r="D7180" t="inlineStr">
        <is>
          <t>VÄSTERNORRLANDS LÄN</t>
        </is>
      </c>
      <c r="E7180" t="inlineStr">
        <is>
          <t>ÖRNSKÖLDSVIK</t>
        </is>
      </c>
      <c r="F7180" t="inlineStr">
        <is>
          <t>Holmen skog AB</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21247-2024</t>
        </is>
      </c>
      <c r="B7181" s="1" t="n">
        <v>45440</v>
      </c>
      <c r="C7181" s="1" t="n">
        <v>46093</v>
      </c>
      <c r="D7181" t="inlineStr">
        <is>
          <t>VÄSTERNORRLANDS LÄN</t>
        </is>
      </c>
      <c r="E7181" t="inlineStr">
        <is>
          <t>SUNDSVALL</t>
        </is>
      </c>
      <c r="G7181" t="n">
        <v>2</v>
      </c>
      <c r="H7181" t="n">
        <v>0</v>
      </c>
      <c r="I7181" t="n">
        <v>0</v>
      </c>
      <c r="J7181" t="n">
        <v>0</v>
      </c>
      <c r="K7181" t="n">
        <v>0</v>
      </c>
      <c r="L7181" t="n">
        <v>0</v>
      </c>
      <c r="M7181" t="n">
        <v>0</v>
      </c>
      <c r="N7181" t="n">
        <v>0</v>
      </c>
      <c r="O7181" t="n">
        <v>0</v>
      </c>
      <c r="P7181" t="n">
        <v>0</v>
      </c>
      <c r="Q7181" t="n">
        <v>0</v>
      </c>
      <c r="R7181" s="2" t="inlineStr"/>
    </row>
    <row r="7182" ht="15" customHeight="1">
      <c r="A7182" t="inlineStr">
        <is>
          <t>A 53221-2025</t>
        </is>
      </c>
      <c r="B7182" s="1" t="n">
        <v>45958.60331018519</v>
      </c>
      <c r="C7182" s="1" t="n">
        <v>46093</v>
      </c>
      <c r="D7182" t="inlineStr">
        <is>
          <t>VÄSTERNORRLANDS LÄN</t>
        </is>
      </c>
      <c r="E7182" t="inlineStr">
        <is>
          <t>ÅNGE</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19991-2024</t>
        </is>
      </c>
      <c r="B7183" s="1" t="n">
        <v>45433</v>
      </c>
      <c r="C7183" s="1" t="n">
        <v>46093</v>
      </c>
      <c r="D7183" t="inlineStr">
        <is>
          <t>VÄSTERNORRLANDS LÄN</t>
        </is>
      </c>
      <c r="E7183" t="inlineStr">
        <is>
          <t>ÖRNSKÖLDSVIK</t>
        </is>
      </c>
      <c r="G7183" t="n">
        <v>0.4</v>
      </c>
      <c r="H7183" t="n">
        <v>0</v>
      </c>
      <c r="I7183" t="n">
        <v>0</v>
      </c>
      <c r="J7183" t="n">
        <v>0</v>
      </c>
      <c r="K7183" t="n">
        <v>0</v>
      </c>
      <c r="L7183" t="n">
        <v>0</v>
      </c>
      <c r="M7183" t="n">
        <v>0</v>
      </c>
      <c r="N7183" t="n">
        <v>0</v>
      </c>
      <c r="O7183" t="n">
        <v>0</v>
      </c>
      <c r="P7183" t="n">
        <v>0</v>
      </c>
      <c r="Q7183" t="n">
        <v>0</v>
      </c>
      <c r="R7183" s="2" t="inlineStr"/>
    </row>
    <row r="7184" ht="15" customHeight="1">
      <c r="A7184" t="inlineStr">
        <is>
          <t>A 21589-2021</t>
        </is>
      </c>
      <c r="B7184" s="1" t="n">
        <v>44321.66534722222</v>
      </c>
      <c r="C7184" s="1" t="n">
        <v>46093</v>
      </c>
      <c r="D7184" t="inlineStr">
        <is>
          <t>VÄSTERNORRLANDS LÄN</t>
        </is>
      </c>
      <c r="E7184" t="inlineStr">
        <is>
          <t>SOLLEFTEÅ</t>
        </is>
      </c>
      <c r="G7184" t="n">
        <v>7</v>
      </c>
      <c r="H7184" t="n">
        <v>0</v>
      </c>
      <c r="I7184" t="n">
        <v>0</v>
      </c>
      <c r="J7184" t="n">
        <v>0</v>
      </c>
      <c r="K7184" t="n">
        <v>0</v>
      </c>
      <c r="L7184" t="n">
        <v>0</v>
      </c>
      <c r="M7184" t="n">
        <v>0</v>
      </c>
      <c r="N7184" t="n">
        <v>0</v>
      </c>
      <c r="O7184" t="n">
        <v>0</v>
      </c>
      <c r="P7184" t="n">
        <v>0</v>
      </c>
      <c r="Q7184" t="n">
        <v>0</v>
      </c>
      <c r="R7184" s="2" t="inlineStr"/>
    </row>
    <row r="7185" ht="15" customHeight="1">
      <c r="A7185" t="inlineStr">
        <is>
          <t>A 11727-2025</t>
        </is>
      </c>
      <c r="B7185" s="1" t="n">
        <v>45727.61512731481</v>
      </c>
      <c r="C7185" s="1" t="n">
        <v>46093</v>
      </c>
      <c r="D7185" t="inlineStr">
        <is>
          <t>VÄSTERNORRLANDS LÄN</t>
        </is>
      </c>
      <c r="E7185" t="inlineStr">
        <is>
          <t>SOLLEFTEÅ</t>
        </is>
      </c>
      <c r="G7185" t="n">
        <v>2.2</v>
      </c>
      <c r="H7185" t="n">
        <v>0</v>
      </c>
      <c r="I7185" t="n">
        <v>0</v>
      </c>
      <c r="J7185" t="n">
        <v>0</v>
      </c>
      <c r="K7185" t="n">
        <v>0</v>
      </c>
      <c r="L7185" t="n">
        <v>0</v>
      </c>
      <c r="M7185" t="n">
        <v>0</v>
      </c>
      <c r="N7185" t="n">
        <v>0</v>
      </c>
      <c r="O7185" t="n">
        <v>0</v>
      </c>
      <c r="P7185" t="n">
        <v>0</v>
      </c>
      <c r="Q7185" t="n">
        <v>0</v>
      </c>
      <c r="R7185" s="2" t="inlineStr"/>
    </row>
    <row r="7186" ht="15" customHeight="1">
      <c r="A7186" t="inlineStr">
        <is>
          <t>A 11764-2025</t>
        </is>
      </c>
      <c r="B7186" s="1" t="n">
        <v>45727.65665509259</v>
      </c>
      <c r="C7186" s="1" t="n">
        <v>46093</v>
      </c>
      <c r="D7186" t="inlineStr">
        <is>
          <t>VÄSTERNORRLANDS LÄN</t>
        </is>
      </c>
      <c r="E7186" t="inlineStr">
        <is>
          <t>SUNDSVALL</t>
        </is>
      </c>
      <c r="F7186" t="inlineStr">
        <is>
          <t>SCA</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2299-2025</t>
        </is>
      </c>
      <c r="B7187" s="1" t="n">
        <v>45673.59516203704</v>
      </c>
      <c r="C7187" s="1" t="n">
        <v>46093</v>
      </c>
      <c r="D7187" t="inlineStr">
        <is>
          <t>VÄSTERNORRLANDS LÄN</t>
        </is>
      </c>
      <c r="E7187" t="inlineStr">
        <is>
          <t>ÅNGE</t>
        </is>
      </c>
      <c r="F7187" t="inlineStr">
        <is>
          <t>SCA</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51479-2024</t>
        </is>
      </c>
      <c r="B7188" s="1" t="n">
        <v>45604.51273148148</v>
      </c>
      <c r="C7188" s="1" t="n">
        <v>46093</v>
      </c>
      <c r="D7188" t="inlineStr">
        <is>
          <t>VÄSTERNORRLANDS LÄN</t>
        </is>
      </c>
      <c r="E7188" t="inlineStr">
        <is>
          <t>ÖRNSKÖLDSVIK</t>
        </is>
      </c>
      <c r="F7188" t="inlineStr">
        <is>
          <t>Holmen skog AB</t>
        </is>
      </c>
      <c r="G7188" t="n">
        <v>2.6</v>
      </c>
      <c r="H7188" t="n">
        <v>0</v>
      </c>
      <c r="I7188" t="n">
        <v>0</v>
      </c>
      <c r="J7188" t="n">
        <v>0</v>
      </c>
      <c r="K7188" t="n">
        <v>0</v>
      </c>
      <c r="L7188" t="n">
        <v>0</v>
      </c>
      <c r="M7188" t="n">
        <v>0</v>
      </c>
      <c r="N7188" t="n">
        <v>0</v>
      </c>
      <c r="O7188" t="n">
        <v>0</v>
      </c>
      <c r="P7188" t="n">
        <v>0</v>
      </c>
      <c r="Q7188" t="n">
        <v>0</v>
      </c>
      <c r="R7188" s="2" t="inlineStr"/>
    </row>
    <row r="7189" ht="15" customHeight="1">
      <c r="A7189" t="inlineStr">
        <is>
          <t>A 1306-2025</t>
        </is>
      </c>
      <c r="B7189" s="1" t="n">
        <v>45667.55081018519</v>
      </c>
      <c r="C7189" s="1" t="n">
        <v>46093</v>
      </c>
      <c r="D7189" t="inlineStr">
        <is>
          <t>VÄSTERNORRLANDS LÄN</t>
        </is>
      </c>
      <c r="E7189" t="inlineStr">
        <is>
          <t>HÄRNÖSAND</t>
        </is>
      </c>
      <c r="G7189" t="n">
        <v>0.4</v>
      </c>
      <c r="H7189" t="n">
        <v>0</v>
      </c>
      <c r="I7189" t="n">
        <v>0</v>
      </c>
      <c r="J7189" t="n">
        <v>0</v>
      </c>
      <c r="K7189" t="n">
        <v>0</v>
      </c>
      <c r="L7189" t="n">
        <v>0</v>
      </c>
      <c r="M7189" t="n">
        <v>0</v>
      </c>
      <c r="N7189" t="n">
        <v>0</v>
      </c>
      <c r="O7189" t="n">
        <v>0</v>
      </c>
      <c r="P7189" t="n">
        <v>0</v>
      </c>
      <c r="Q7189" t="n">
        <v>0</v>
      </c>
      <c r="R7189" s="2" t="inlineStr"/>
    </row>
    <row r="7190" ht="15" customHeight="1">
      <c r="A7190" t="inlineStr">
        <is>
          <t>A 52765-2025</t>
        </is>
      </c>
      <c r="B7190" s="1" t="n">
        <v>45957</v>
      </c>
      <c r="C7190" s="1" t="n">
        <v>46093</v>
      </c>
      <c r="D7190" t="inlineStr">
        <is>
          <t>VÄSTERNORRLANDS LÄN</t>
        </is>
      </c>
      <c r="E7190" t="inlineStr">
        <is>
          <t>SOLLEFTEÅ</t>
        </is>
      </c>
      <c r="G7190" t="n">
        <v>2.9</v>
      </c>
      <c r="H7190" t="n">
        <v>0</v>
      </c>
      <c r="I7190" t="n">
        <v>0</v>
      </c>
      <c r="J7190" t="n">
        <v>0</v>
      </c>
      <c r="K7190" t="n">
        <v>0</v>
      </c>
      <c r="L7190" t="n">
        <v>0</v>
      </c>
      <c r="M7190" t="n">
        <v>0</v>
      </c>
      <c r="N7190" t="n">
        <v>0</v>
      </c>
      <c r="O7190" t="n">
        <v>0</v>
      </c>
      <c r="P7190" t="n">
        <v>0</v>
      </c>
      <c r="Q7190" t="n">
        <v>0</v>
      </c>
      <c r="R7190" s="2" t="inlineStr"/>
    </row>
    <row r="7191" ht="15" customHeight="1">
      <c r="A7191" t="inlineStr">
        <is>
          <t>A 37885-2025</t>
        </is>
      </c>
      <c r="B7191" s="1" t="n">
        <v>45881.50678240741</v>
      </c>
      <c r="C7191" s="1" t="n">
        <v>46093</v>
      </c>
      <c r="D7191" t="inlineStr">
        <is>
          <t>VÄSTERNORRLANDS LÄN</t>
        </is>
      </c>
      <c r="E7191" t="inlineStr">
        <is>
          <t>ÖRNSKÖLDSVIK</t>
        </is>
      </c>
      <c r="G7191" t="n">
        <v>2.6</v>
      </c>
      <c r="H7191" t="n">
        <v>0</v>
      </c>
      <c r="I7191" t="n">
        <v>0</v>
      </c>
      <c r="J7191" t="n">
        <v>0</v>
      </c>
      <c r="K7191" t="n">
        <v>0</v>
      </c>
      <c r="L7191" t="n">
        <v>0</v>
      </c>
      <c r="M7191" t="n">
        <v>0</v>
      </c>
      <c r="N7191" t="n">
        <v>0</v>
      </c>
      <c r="O7191" t="n">
        <v>0</v>
      </c>
      <c r="P7191" t="n">
        <v>0</v>
      </c>
      <c r="Q7191" t="n">
        <v>0</v>
      </c>
      <c r="R7191" s="2" t="inlineStr"/>
    </row>
    <row r="7192" ht="15" customHeight="1">
      <c r="A7192" t="inlineStr">
        <is>
          <t>A 28651-2023</t>
        </is>
      </c>
      <c r="B7192" s="1" t="n">
        <v>45096</v>
      </c>
      <c r="C7192" s="1" t="n">
        <v>46093</v>
      </c>
      <c r="D7192" t="inlineStr">
        <is>
          <t>VÄSTERNORRLANDS LÄN</t>
        </is>
      </c>
      <c r="E7192" t="inlineStr">
        <is>
          <t>ÖRNSKÖLDSVIK</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52665-2025</t>
        </is>
      </c>
      <c r="B7193" s="1" t="n">
        <v>45955.65716435185</v>
      </c>
      <c r="C7193" s="1" t="n">
        <v>46093</v>
      </c>
      <c r="D7193" t="inlineStr">
        <is>
          <t>VÄSTERNORRLANDS LÄN</t>
        </is>
      </c>
      <c r="E7193" t="inlineStr">
        <is>
          <t>SOLLEFTEÅ</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57288-2024</t>
        </is>
      </c>
      <c r="B7194" s="1" t="n">
        <v>45629.58568287037</v>
      </c>
      <c r="C7194" s="1" t="n">
        <v>46093</v>
      </c>
      <c r="D7194" t="inlineStr">
        <is>
          <t>VÄSTERNORRLANDS LÄN</t>
        </is>
      </c>
      <c r="E7194" t="inlineStr">
        <is>
          <t>SUNDSVALL</t>
        </is>
      </c>
      <c r="G7194" t="n">
        <v>3.2</v>
      </c>
      <c r="H7194" t="n">
        <v>0</v>
      </c>
      <c r="I7194" t="n">
        <v>0</v>
      </c>
      <c r="J7194" t="n">
        <v>0</v>
      </c>
      <c r="K7194" t="n">
        <v>0</v>
      </c>
      <c r="L7194" t="n">
        <v>0</v>
      </c>
      <c r="M7194" t="n">
        <v>0</v>
      </c>
      <c r="N7194" t="n">
        <v>0</v>
      </c>
      <c r="O7194" t="n">
        <v>0</v>
      </c>
      <c r="P7194" t="n">
        <v>0</v>
      </c>
      <c r="Q7194" t="n">
        <v>0</v>
      </c>
      <c r="R7194" s="2" t="inlineStr"/>
    </row>
    <row r="7195" ht="15" customHeight="1">
      <c r="A7195" t="inlineStr">
        <is>
          <t>A 52824-2025</t>
        </is>
      </c>
      <c r="B7195" s="1" t="n">
        <v>45957.46375</v>
      </c>
      <c r="C7195" s="1" t="n">
        <v>46093</v>
      </c>
      <c r="D7195" t="inlineStr">
        <is>
          <t>VÄSTERNORRLANDS LÄN</t>
        </is>
      </c>
      <c r="E7195" t="inlineStr">
        <is>
          <t>ÖRNSKÖLDSVIK</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52856-2025</t>
        </is>
      </c>
      <c r="B7196" s="1" t="n">
        <v>45957.50234953704</v>
      </c>
      <c r="C7196" s="1" t="n">
        <v>46093</v>
      </c>
      <c r="D7196" t="inlineStr">
        <is>
          <t>VÄSTERNORRLANDS LÄN</t>
        </is>
      </c>
      <c r="E7196" t="inlineStr">
        <is>
          <t>ÖRNSKÖLDSVIK</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60600-2024</t>
        </is>
      </c>
      <c r="B7197" s="1" t="n">
        <v>45644.37100694444</v>
      </c>
      <c r="C7197" s="1" t="n">
        <v>46093</v>
      </c>
      <c r="D7197" t="inlineStr">
        <is>
          <t>VÄSTERNORRLANDS LÄN</t>
        </is>
      </c>
      <c r="E7197" t="inlineStr">
        <is>
          <t>ÖRNSKÖLDSVIK</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47164-2023</t>
        </is>
      </c>
      <c r="B7198" s="1" t="n">
        <v>45201</v>
      </c>
      <c r="C7198" s="1" t="n">
        <v>46093</v>
      </c>
      <c r="D7198" t="inlineStr">
        <is>
          <t>VÄSTERNORRLANDS LÄN</t>
        </is>
      </c>
      <c r="E7198" t="inlineStr">
        <is>
          <t>ÖRNSKÖLDSVIK</t>
        </is>
      </c>
      <c r="F7198" t="inlineStr">
        <is>
          <t>SCA</t>
        </is>
      </c>
      <c r="G7198" t="n">
        <v>10.5</v>
      </c>
      <c r="H7198" t="n">
        <v>0</v>
      </c>
      <c r="I7198" t="n">
        <v>0</v>
      </c>
      <c r="J7198" t="n">
        <v>0</v>
      </c>
      <c r="K7198" t="n">
        <v>0</v>
      </c>
      <c r="L7198" t="n">
        <v>0</v>
      </c>
      <c r="M7198" t="n">
        <v>0</v>
      </c>
      <c r="N7198" t="n">
        <v>0</v>
      </c>
      <c r="O7198" t="n">
        <v>0</v>
      </c>
      <c r="P7198" t="n">
        <v>0</v>
      </c>
      <c r="Q7198" t="n">
        <v>0</v>
      </c>
      <c r="R7198" s="2" t="inlineStr"/>
    </row>
    <row r="7199" ht="15" customHeight="1">
      <c r="A7199" t="inlineStr">
        <is>
          <t>A 54361-2024</t>
        </is>
      </c>
      <c r="B7199" s="1" t="n">
        <v>45617.41069444444</v>
      </c>
      <c r="C7199" s="1" t="n">
        <v>46093</v>
      </c>
      <c r="D7199" t="inlineStr">
        <is>
          <t>VÄSTERNORRLANDS LÄN</t>
        </is>
      </c>
      <c r="E7199" t="inlineStr">
        <is>
          <t>KRAMFORS</t>
        </is>
      </c>
      <c r="G7199" t="n">
        <v>2</v>
      </c>
      <c r="H7199" t="n">
        <v>0</v>
      </c>
      <c r="I7199" t="n">
        <v>0</v>
      </c>
      <c r="J7199" t="n">
        <v>0</v>
      </c>
      <c r="K7199" t="n">
        <v>0</v>
      </c>
      <c r="L7199" t="n">
        <v>0</v>
      </c>
      <c r="M7199" t="n">
        <v>0</v>
      </c>
      <c r="N7199" t="n">
        <v>0</v>
      </c>
      <c r="O7199" t="n">
        <v>0</v>
      </c>
      <c r="P7199" t="n">
        <v>0</v>
      </c>
      <c r="Q7199" t="n">
        <v>0</v>
      </c>
      <c r="R7199" s="2" t="inlineStr"/>
    </row>
    <row r="7200" ht="15" customHeight="1">
      <c r="A7200" t="inlineStr">
        <is>
          <t>A 49312-2024</t>
        </is>
      </c>
      <c r="B7200" s="1" t="n">
        <v>45595.55799768519</v>
      </c>
      <c r="C7200" s="1" t="n">
        <v>46093</v>
      </c>
      <c r="D7200" t="inlineStr">
        <is>
          <t>VÄSTERNORRLANDS LÄN</t>
        </is>
      </c>
      <c r="E7200" t="inlineStr">
        <is>
          <t>ÖRNSKÖLDSVIK</t>
        </is>
      </c>
      <c r="G7200" t="n">
        <v>7.8</v>
      </c>
      <c r="H7200" t="n">
        <v>0</v>
      </c>
      <c r="I7200" t="n">
        <v>0</v>
      </c>
      <c r="J7200" t="n">
        <v>0</v>
      </c>
      <c r="K7200" t="n">
        <v>0</v>
      </c>
      <c r="L7200" t="n">
        <v>0</v>
      </c>
      <c r="M7200" t="n">
        <v>0</v>
      </c>
      <c r="N7200" t="n">
        <v>0</v>
      </c>
      <c r="O7200" t="n">
        <v>0</v>
      </c>
      <c r="P7200" t="n">
        <v>0</v>
      </c>
      <c r="Q7200" t="n">
        <v>0</v>
      </c>
      <c r="R7200" s="2" t="inlineStr"/>
    </row>
    <row r="7201" ht="15" customHeight="1">
      <c r="A7201" t="inlineStr">
        <is>
          <t>A 52821-2025</t>
        </is>
      </c>
      <c r="B7201" s="1" t="n">
        <v>45957.45657407407</v>
      </c>
      <c r="C7201" s="1" t="n">
        <v>46093</v>
      </c>
      <c r="D7201" t="inlineStr">
        <is>
          <t>VÄSTERNORRLANDS LÄN</t>
        </is>
      </c>
      <c r="E7201" t="inlineStr">
        <is>
          <t>ÖRNSKÖLDSVIK</t>
        </is>
      </c>
      <c r="G7201" t="n">
        <v>6</v>
      </c>
      <c r="H7201" t="n">
        <v>0</v>
      </c>
      <c r="I7201" t="n">
        <v>0</v>
      </c>
      <c r="J7201" t="n">
        <v>0</v>
      </c>
      <c r="K7201" t="n">
        <v>0</v>
      </c>
      <c r="L7201" t="n">
        <v>0</v>
      </c>
      <c r="M7201" t="n">
        <v>0</v>
      </c>
      <c r="N7201" t="n">
        <v>0</v>
      </c>
      <c r="O7201" t="n">
        <v>0</v>
      </c>
      <c r="P7201" t="n">
        <v>0</v>
      </c>
      <c r="Q7201" t="n">
        <v>0</v>
      </c>
      <c r="R7201" s="2" t="inlineStr"/>
    </row>
    <row r="7202" ht="15" customHeight="1">
      <c r="A7202" t="inlineStr">
        <is>
          <t>A 53058-2025</t>
        </is>
      </c>
      <c r="B7202" s="1" t="n">
        <v>45958.36549768518</v>
      </c>
      <c r="C7202" s="1" t="n">
        <v>46093</v>
      </c>
      <c r="D7202" t="inlineStr">
        <is>
          <t>VÄSTERNORRLANDS LÄN</t>
        </is>
      </c>
      <c r="E7202" t="inlineStr">
        <is>
          <t>KRAMFORS</t>
        </is>
      </c>
      <c r="G7202" t="n">
        <v>3.8</v>
      </c>
      <c r="H7202" t="n">
        <v>0</v>
      </c>
      <c r="I7202" t="n">
        <v>0</v>
      </c>
      <c r="J7202" t="n">
        <v>0</v>
      </c>
      <c r="K7202" t="n">
        <v>0</v>
      </c>
      <c r="L7202" t="n">
        <v>0</v>
      </c>
      <c r="M7202" t="n">
        <v>0</v>
      </c>
      <c r="N7202" t="n">
        <v>0</v>
      </c>
      <c r="O7202" t="n">
        <v>0</v>
      </c>
      <c r="P7202" t="n">
        <v>0</v>
      </c>
      <c r="Q7202" t="n">
        <v>0</v>
      </c>
      <c r="R7202" s="2" t="inlineStr"/>
    </row>
    <row r="7203" ht="15" customHeight="1">
      <c r="A7203" t="inlineStr">
        <is>
          <t>A 17729-2024</t>
        </is>
      </c>
      <c r="B7203" s="1" t="n">
        <v>45418.56018518518</v>
      </c>
      <c r="C7203" s="1" t="n">
        <v>46093</v>
      </c>
      <c r="D7203" t="inlineStr">
        <is>
          <t>VÄSTERNORRLANDS LÄN</t>
        </is>
      </c>
      <c r="E7203" t="inlineStr">
        <is>
          <t>KRAMFORS</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2488-2022</t>
        </is>
      </c>
      <c r="B7204" s="1" t="n">
        <v>44579.67612268519</v>
      </c>
      <c r="C7204" s="1" t="n">
        <v>46093</v>
      </c>
      <c r="D7204" t="inlineStr">
        <is>
          <t>VÄSTERNORRLANDS LÄN</t>
        </is>
      </c>
      <c r="E7204" t="inlineStr">
        <is>
          <t>ÖRNSKÖLDSVIK</t>
        </is>
      </c>
      <c r="G7204" t="n">
        <v>2.3</v>
      </c>
      <c r="H7204" t="n">
        <v>0</v>
      </c>
      <c r="I7204" t="n">
        <v>0</v>
      </c>
      <c r="J7204" t="n">
        <v>0</v>
      </c>
      <c r="K7204" t="n">
        <v>0</v>
      </c>
      <c r="L7204" t="n">
        <v>0</v>
      </c>
      <c r="M7204" t="n">
        <v>0</v>
      </c>
      <c r="N7204" t="n">
        <v>0</v>
      </c>
      <c r="O7204" t="n">
        <v>0</v>
      </c>
      <c r="P7204" t="n">
        <v>0</v>
      </c>
      <c r="Q7204" t="n">
        <v>0</v>
      </c>
      <c r="R7204" s="2" t="inlineStr"/>
    </row>
    <row r="7205" ht="15" customHeight="1">
      <c r="A7205" t="inlineStr">
        <is>
          <t>A 43843-2024</t>
        </is>
      </c>
      <c r="B7205" s="1" t="n">
        <v>45572</v>
      </c>
      <c r="C7205" s="1" t="n">
        <v>46093</v>
      </c>
      <c r="D7205" t="inlineStr">
        <is>
          <t>VÄSTERNORRLANDS LÄN</t>
        </is>
      </c>
      <c r="E7205" t="inlineStr">
        <is>
          <t>SOLLEFTEÅ</t>
        </is>
      </c>
      <c r="F7205" t="inlineStr">
        <is>
          <t>SCA</t>
        </is>
      </c>
      <c r="G7205" t="n">
        <v>4</v>
      </c>
      <c r="H7205" t="n">
        <v>0</v>
      </c>
      <c r="I7205" t="n">
        <v>0</v>
      </c>
      <c r="J7205" t="n">
        <v>0</v>
      </c>
      <c r="K7205" t="n">
        <v>0</v>
      </c>
      <c r="L7205" t="n">
        <v>0</v>
      </c>
      <c r="M7205" t="n">
        <v>0</v>
      </c>
      <c r="N7205" t="n">
        <v>0</v>
      </c>
      <c r="O7205" t="n">
        <v>0</v>
      </c>
      <c r="P7205" t="n">
        <v>0</v>
      </c>
      <c r="Q7205" t="n">
        <v>0</v>
      </c>
      <c r="R7205" s="2" t="inlineStr"/>
    </row>
    <row r="7206" ht="15" customHeight="1">
      <c r="A7206" t="inlineStr">
        <is>
          <t>A 51303-2024</t>
        </is>
      </c>
      <c r="B7206" s="1" t="n">
        <v>45604.30552083333</v>
      </c>
      <c r="C7206" s="1" t="n">
        <v>46093</v>
      </c>
      <c r="D7206" t="inlineStr">
        <is>
          <t>VÄSTERNORRLANDS LÄN</t>
        </is>
      </c>
      <c r="E7206" t="inlineStr">
        <is>
          <t>ÖRNSKÖLDSVIK</t>
        </is>
      </c>
      <c r="F7206" t="inlineStr">
        <is>
          <t>Holmen skog AB</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44639-2023</t>
        </is>
      </c>
      <c r="B7207" s="1" t="n">
        <v>45184</v>
      </c>
      <c r="C7207" s="1" t="n">
        <v>46093</v>
      </c>
      <c r="D7207" t="inlineStr">
        <is>
          <t>VÄSTERNORRLANDS LÄN</t>
        </is>
      </c>
      <c r="E7207" t="inlineStr">
        <is>
          <t>ÅNGE</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53193-2025</t>
        </is>
      </c>
      <c r="B7208" s="1" t="n">
        <v>45958.57056712963</v>
      </c>
      <c r="C7208" s="1" t="n">
        <v>46093</v>
      </c>
      <c r="D7208" t="inlineStr">
        <is>
          <t>VÄSTERNORRLANDS LÄN</t>
        </is>
      </c>
      <c r="E7208" t="inlineStr">
        <is>
          <t>ÖRNSKÖLDSVIK</t>
        </is>
      </c>
      <c r="F7208" t="inlineStr">
        <is>
          <t>Holmen skog AB</t>
        </is>
      </c>
      <c r="G7208" t="n">
        <v>3.2</v>
      </c>
      <c r="H7208" t="n">
        <v>0</v>
      </c>
      <c r="I7208" t="n">
        <v>0</v>
      </c>
      <c r="J7208" t="n">
        <v>0</v>
      </c>
      <c r="K7208" t="n">
        <v>0</v>
      </c>
      <c r="L7208" t="n">
        <v>0</v>
      </c>
      <c r="M7208" t="n">
        <v>0</v>
      </c>
      <c r="N7208" t="n">
        <v>0</v>
      </c>
      <c r="O7208" t="n">
        <v>0</v>
      </c>
      <c r="P7208" t="n">
        <v>0</v>
      </c>
      <c r="Q7208" t="n">
        <v>0</v>
      </c>
      <c r="R7208" s="2" t="inlineStr"/>
    </row>
    <row r="7209" ht="15" customHeight="1">
      <c r="A7209" t="inlineStr">
        <is>
          <t>A 23137-2024</t>
        </is>
      </c>
      <c r="B7209" s="1" t="n">
        <v>45450.62260416667</v>
      </c>
      <c r="C7209" s="1" t="n">
        <v>46093</v>
      </c>
      <c r="D7209" t="inlineStr">
        <is>
          <t>VÄSTERNORRLANDS LÄN</t>
        </is>
      </c>
      <c r="E7209" t="inlineStr">
        <is>
          <t>ÖRNSKÖLDSVIK</t>
        </is>
      </c>
      <c r="G7209" t="n">
        <v>2.2</v>
      </c>
      <c r="H7209" t="n">
        <v>0</v>
      </c>
      <c r="I7209" t="n">
        <v>0</v>
      </c>
      <c r="J7209" t="n">
        <v>0</v>
      </c>
      <c r="K7209" t="n">
        <v>0</v>
      </c>
      <c r="L7209" t="n">
        <v>0</v>
      </c>
      <c r="M7209" t="n">
        <v>0</v>
      </c>
      <c r="N7209" t="n">
        <v>0</v>
      </c>
      <c r="O7209" t="n">
        <v>0</v>
      </c>
      <c r="P7209" t="n">
        <v>0</v>
      </c>
      <c r="Q7209" t="n">
        <v>0</v>
      </c>
      <c r="R7209" s="2" t="inlineStr"/>
    </row>
    <row r="7210" ht="15" customHeight="1">
      <c r="A7210" t="inlineStr">
        <is>
          <t>A 31204-2023</t>
        </is>
      </c>
      <c r="B7210" s="1" t="n">
        <v>45113.95047453704</v>
      </c>
      <c r="C7210" s="1" t="n">
        <v>46093</v>
      </c>
      <c r="D7210" t="inlineStr">
        <is>
          <t>VÄSTERNORRLANDS LÄN</t>
        </is>
      </c>
      <c r="E7210" t="inlineStr">
        <is>
          <t>SUNDSVALL</t>
        </is>
      </c>
      <c r="F7210" t="inlineStr">
        <is>
          <t>SCA</t>
        </is>
      </c>
      <c r="G7210" t="n">
        <v>1.7</v>
      </c>
      <c r="H7210" t="n">
        <v>0</v>
      </c>
      <c r="I7210" t="n">
        <v>0</v>
      </c>
      <c r="J7210" t="n">
        <v>0</v>
      </c>
      <c r="K7210" t="n">
        <v>0</v>
      </c>
      <c r="L7210" t="n">
        <v>0</v>
      </c>
      <c r="M7210" t="n">
        <v>0</v>
      </c>
      <c r="N7210" t="n">
        <v>0</v>
      </c>
      <c r="O7210" t="n">
        <v>0</v>
      </c>
      <c r="P7210" t="n">
        <v>0</v>
      </c>
      <c r="Q7210" t="n">
        <v>0</v>
      </c>
      <c r="R7210" s="2" t="inlineStr"/>
    </row>
    <row r="7211" ht="15" customHeight="1">
      <c r="A7211" t="inlineStr">
        <is>
          <t>A 37982-2025</t>
        </is>
      </c>
      <c r="B7211" s="1" t="n">
        <v>45881</v>
      </c>
      <c r="C7211" s="1" t="n">
        <v>46093</v>
      </c>
      <c r="D7211" t="inlineStr">
        <is>
          <t>VÄSTERNORRLANDS LÄN</t>
        </is>
      </c>
      <c r="E7211" t="inlineStr">
        <is>
          <t>ÖRNSKÖLDSVIK</t>
        </is>
      </c>
      <c r="G7211" t="n">
        <v>8.6</v>
      </c>
      <c r="H7211" t="n">
        <v>0</v>
      </c>
      <c r="I7211" t="n">
        <v>0</v>
      </c>
      <c r="J7211" t="n">
        <v>0</v>
      </c>
      <c r="K7211" t="n">
        <v>0</v>
      </c>
      <c r="L7211" t="n">
        <v>0</v>
      </c>
      <c r="M7211" t="n">
        <v>0</v>
      </c>
      <c r="N7211" t="n">
        <v>0</v>
      </c>
      <c r="O7211" t="n">
        <v>0</v>
      </c>
      <c r="P7211" t="n">
        <v>0</v>
      </c>
      <c r="Q7211" t="n">
        <v>0</v>
      </c>
      <c r="R7211" s="2" t="inlineStr"/>
    </row>
    <row r="7212" ht="15" customHeight="1">
      <c r="A7212" t="inlineStr">
        <is>
          <t>A 23753-2021</t>
        </is>
      </c>
      <c r="B7212" s="1" t="n">
        <v>44334</v>
      </c>
      <c r="C7212" s="1" t="n">
        <v>46093</v>
      </c>
      <c r="D7212" t="inlineStr">
        <is>
          <t>VÄSTERNORRLANDS LÄN</t>
        </is>
      </c>
      <c r="E7212" t="inlineStr">
        <is>
          <t>SOLLEFTEÅ</t>
        </is>
      </c>
      <c r="G7212" t="n">
        <v>14.8</v>
      </c>
      <c r="H7212" t="n">
        <v>0</v>
      </c>
      <c r="I7212" t="n">
        <v>0</v>
      </c>
      <c r="J7212" t="n">
        <v>0</v>
      </c>
      <c r="K7212" t="n">
        <v>0</v>
      </c>
      <c r="L7212" t="n">
        <v>0</v>
      </c>
      <c r="M7212" t="n">
        <v>0</v>
      </c>
      <c r="N7212" t="n">
        <v>0</v>
      </c>
      <c r="O7212" t="n">
        <v>0</v>
      </c>
      <c r="P7212" t="n">
        <v>0</v>
      </c>
      <c r="Q7212" t="n">
        <v>0</v>
      </c>
      <c r="R7212" s="2" t="inlineStr"/>
    </row>
    <row r="7213" ht="15" customHeight="1">
      <c r="A7213" t="inlineStr">
        <is>
          <t>A 43136-2023</t>
        </is>
      </c>
      <c r="B7213" s="1" t="n">
        <v>45180</v>
      </c>
      <c r="C7213" s="1" t="n">
        <v>46093</v>
      </c>
      <c r="D7213" t="inlineStr">
        <is>
          <t>VÄSTERNORRLANDS LÄN</t>
        </is>
      </c>
      <c r="E7213" t="inlineStr">
        <is>
          <t>KRAMFORS</t>
        </is>
      </c>
      <c r="G7213" t="n">
        <v>10.2</v>
      </c>
      <c r="H7213" t="n">
        <v>0</v>
      </c>
      <c r="I7213" t="n">
        <v>0</v>
      </c>
      <c r="J7213" t="n">
        <v>0</v>
      </c>
      <c r="K7213" t="n">
        <v>0</v>
      </c>
      <c r="L7213" t="n">
        <v>0</v>
      </c>
      <c r="M7213" t="n">
        <v>0</v>
      </c>
      <c r="N7213" t="n">
        <v>0</v>
      </c>
      <c r="O7213" t="n">
        <v>0</v>
      </c>
      <c r="P7213" t="n">
        <v>0</v>
      </c>
      <c r="Q7213" t="n">
        <v>0</v>
      </c>
      <c r="R7213" s="2" t="inlineStr"/>
    </row>
    <row r="7214" ht="15" customHeight="1">
      <c r="A7214" t="inlineStr">
        <is>
          <t>A 31918-2023</t>
        </is>
      </c>
      <c r="B7214" s="1" t="n">
        <v>45118</v>
      </c>
      <c r="C7214" s="1" t="n">
        <v>46093</v>
      </c>
      <c r="D7214" t="inlineStr">
        <is>
          <t>VÄSTERNORRLANDS LÄN</t>
        </is>
      </c>
      <c r="E7214" t="inlineStr">
        <is>
          <t>SOLLEFTEÅ</t>
        </is>
      </c>
      <c r="F7214" t="inlineStr">
        <is>
          <t>SCA</t>
        </is>
      </c>
      <c r="G7214" t="n">
        <v>5.7</v>
      </c>
      <c r="H7214" t="n">
        <v>0</v>
      </c>
      <c r="I7214" t="n">
        <v>0</v>
      </c>
      <c r="J7214" t="n">
        <v>0</v>
      </c>
      <c r="K7214" t="n">
        <v>0</v>
      </c>
      <c r="L7214" t="n">
        <v>0</v>
      </c>
      <c r="M7214" t="n">
        <v>0</v>
      </c>
      <c r="N7214" t="n">
        <v>0</v>
      </c>
      <c r="O7214" t="n">
        <v>0</v>
      </c>
      <c r="P7214" t="n">
        <v>0</v>
      </c>
      <c r="Q7214" t="n">
        <v>0</v>
      </c>
      <c r="R7214" s="2" t="inlineStr"/>
    </row>
    <row r="7215" ht="15" customHeight="1">
      <c r="A7215" t="inlineStr">
        <is>
          <t>A 53240-2025</t>
        </is>
      </c>
      <c r="B7215" s="1" t="n">
        <v>45958.63600694444</v>
      </c>
      <c r="C7215" s="1" t="n">
        <v>46093</v>
      </c>
      <c r="D7215" t="inlineStr">
        <is>
          <t>VÄSTERNORRLANDS LÄN</t>
        </is>
      </c>
      <c r="E7215" t="inlineStr">
        <is>
          <t>SOLLEFTEÅ</t>
        </is>
      </c>
      <c r="F7215" t="inlineStr">
        <is>
          <t>SCA</t>
        </is>
      </c>
      <c r="G7215" t="n">
        <v>36.2</v>
      </c>
      <c r="H7215" t="n">
        <v>0</v>
      </c>
      <c r="I7215" t="n">
        <v>0</v>
      </c>
      <c r="J7215" t="n">
        <v>0</v>
      </c>
      <c r="K7215" t="n">
        <v>0</v>
      </c>
      <c r="L7215" t="n">
        <v>0</v>
      </c>
      <c r="M7215" t="n">
        <v>0</v>
      </c>
      <c r="N7215" t="n">
        <v>0</v>
      </c>
      <c r="O7215" t="n">
        <v>0</v>
      </c>
      <c r="P7215" t="n">
        <v>0</v>
      </c>
      <c r="Q7215" t="n">
        <v>0</v>
      </c>
      <c r="R7215" s="2" t="inlineStr"/>
    </row>
    <row r="7216" ht="15" customHeight="1">
      <c r="A7216" t="inlineStr">
        <is>
          <t>A 37896-2025</t>
        </is>
      </c>
      <c r="B7216" s="1" t="n">
        <v>45881.55258101852</v>
      </c>
      <c r="C7216" s="1" t="n">
        <v>46093</v>
      </c>
      <c r="D7216" t="inlineStr">
        <is>
          <t>VÄSTERNORRLANDS LÄN</t>
        </is>
      </c>
      <c r="E7216" t="inlineStr">
        <is>
          <t>SUNDSVALL</t>
        </is>
      </c>
      <c r="F7216" t="inlineStr">
        <is>
          <t>SCA</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53033-2025</t>
        </is>
      </c>
      <c r="B7217" s="1" t="n">
        <v>45958.34479166667</v>
      </c>
      <c r="C7217" s="1" t="n">
        <v>46093</v>
      </c>
      <c r="D7217" t="inlineStr">
        <is>
          <t>VÄSTERNORRLANDS LÄN</t>
        </is>
      </c>
      <c r="E7217" t="inlineStr">
        <is>
          <t>ÅNGE</t>
        </is>
      </c>
      <c r="G7217" t="n">
        <v>2.7</v>
      </c>
      <c r="H7217" t="n">
        <v>0</v>
      </c>
      <c r="I7217" t="n">
        <v>0</v>
      </c>
      <c r="J7217" t="n">
        <v>0</v>
      </c>
      <c r="K7217" t="n">
        <v>0</v>
      </c>
      <c r="L7217" t="n">
        <v>0</v>
      </c>
      <c r="M7217" t="n">
        <v>0</v>
      </c>
      <c r="N7217" t="n">
        <v>0</v>
      </c>
      <c r="O7217" t="n">
        <v>0</v>
      </c>
      <c r="P7217" t="n">
        <v>0</v>
      </c>
      <c r="Q7217" t="n">
        <v>0</v>
      </c>
      <c r="R7217" s="2" t="inlineStr"/>
    </row>
    <row r="7218" ht="15" customHeight="1">
      <c r="A7218" t="inlineStr">
        <is>
          <t>A 53034-2025</t>
        </is>
      </c>
      <c r="B7218" s="1" t="n">
        <v>45958</v>
      </c>
      <c r="C7218" s="1" t="n">
        <v>46093</v>
      </c>
      <c r="D7218" t="inlineStr">
        <is>
          <t>VÄSTERNORRLANDS LÄN</t>
        </is>
      </c>
      <c r="E7218" t="inlineStr">
        <is>
          <t>SUNDSVALL</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31922-2023</t>
        </is>
      </c>
      <c r="B7219" s="1" t="n">
        <v>45118.94021990741</v>
      </c>
      <c r="C7219" s="1" t="n">
        <v>46093</v>
      </c>
      <c r="D7219" t="inlineStr">
        <is>
          <t>VÄSTERNORRLANDS LÄN</t>
        </is>
      </c>
      <c r="E7219" t="inlineStr">
        <is>
          <t>SOLLEFTEÅ</t>
        </is>
      </c>
      <c r="F7219" t="inlineStr">
        <is>
          <t>SCA</t>
        </is>
      </c>
      <c r="G7219" t="n">
        <v>0.4</v>
      </c>
      <c r="H7219" t="n">
        <v>0</v>
      </c>
      <c r="I7219" t="n">
        <v>0</v>
      </c>
      <c r="J7219" t="n">
        <v>0</v>
      </c>
      <c r="K7219" t="n">
        <v>0</v>
      </c>
      <c r="L7219" t="n">
        <v>0</v>
      </c>
      <c r="M7219" t="n">
        <v>0</v>
      </c>
      <c r="N7219" t="n">
        <v>0</v>
      </c>
      <c r="O7219" t="n">
        <v>0</v>
      </c>
      <c r="P7219" t="n">
        <v>0</v>
      </c>
      <c r="Q7219" t="n">
        <v>0</v>
      </c>
      <c r="R7219" s="2" t="inlineStr"/>
    </row>
    <row r="7220" ht="15" customHeight="1">
      <c r="A7220" t="inlineStr">
        <is>
          <t>A 8195-2025</t>
        </is>
      </c>
      <c r="B7220" s="1" t="n">
        <v>45708</v>
      </c>
      <c r="C7220" s="1" t="n">
        <v>46093</v>
      </c>
      <c r="D7220" t="inlineStr">
        <is>
          <t>VÄSTERNORRLANDS LÄN</t>
        </is>
      </c>
      <c r="E7220" t="inlineStr">
        <is>
          <t>SOLLEFTEÅ</t>
        </is>
      </c>
      <c r="F7220" t="inlineStr">
        <is>
          <t>SCA</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53086-2025</t>
        </is>
      </c>
      <c r="B7221" s="1" t="n">
        <v>45958.41050925926</v>
      </c>
      <c r="C7221" s="1" t="n">
        <v>46093</v>
      </c>
      <c r="D7221" t="inlineStr">
        <is>
          <t>VÄSTERNORRLANDS LÄN</t>
        </is>
      </c>
      <c r="E7221" t="inlineStr">
        <is>
          <t>ÖRNSKÖLDSVIK</t>
        </is>
      </c>
      <c r="G7221" t="n">
        <v>1.7</v>
      </c>
      <c r="H7221" t="n">
        <v>0</v>
      </c>
      <c r="I7221" t="n">
        <v>0</v>
      </c>
      <c r="J7221" t="n">
        <v>0</v>
      </c>
      <c r="K7221" t="n">
        <v>0</v>
      </c>
      <c r="L7221" t="n">
        <v>0</v>
      </c>
      <c r="M7221" t="n">
        <v>0</v>
      </c>
      <c r="N7221" t="n">
        <v>0</v>
      </c>
      <c r="O7221" t="n">
        <v>0</v>
      </c>
      <c r="P7221" t="n">
        <v>0</v>
      </c>
      <c r="Q7221" t="n">
        <v>0</v>
      </c>
      <c r="R7221" s="2" t="inlineStr"/>
    </row>
    <row r="7222" ht="15" customHeight="1">
      <c r="A7222" t="inlineStr">
        <is>
          <t>A 53097-2025</t>
        </is>
      </c>
      <c r="B7222" s="1" t="n">
        <v>45958.42767361111</v>
      </c>
      <c r="C7222" s="1" t="n">
        <v>46093</v>
      </c>
      <c r="D7222" t="inlineStr">
        <is>
          <t>VÄSTERNORRLANDS LÄN</t>
        </is>
      </c>
      <c r="E7222" t="inlineStr">
        <is>
          <t>SOLLEFTEÅ</t>
        </is>
      </c>
      <c r="F7222" t="inlineStr">
        <is>
          <t>SCA</t>
        </is>
      </c>
      <c r="G7222" t="n">
        <v>3.7</v>
      </c>
      <c r="H7222" t="n">
        <v>0</v>
      </c>
      <c r="I7222" t="n">
        <v>0</v>
      </c>
      <c r="J7222" t="n">
        <v>0</v>
      </c>
      <c r="K7222" t="n">
        <v>0</v>
      </c>
      <c r="L7222" t="n">
        <v>0</v>
      </c>
      <c r="M7222" t="n">
        <v>0</v>
      </c>
      <c r="N7222" t="n">
        <v>0</v>
      </c>
      <c r="O7222" t="n">
        <v>0</v>
      </c>
      <c r="P7222" t="n">
        <v>0</v>
      </c>
      <c r="Q7222" t="n">
        <v>0</v>
      </c>
      <c r="R7222" s="2" t="inlineStr"/>
    </row>
    <row r="7223" ht="15" customHeight="1">
      <c r="A7223" t="inlineStr">
        <is>
          <t>A 53098-2025</t>
        </is>
      </c>
      <c r="B7223" s="1" t="n">
        <v>45958.42774305555</v>
      </c>
      <c r="C7223" s="1" t="n">
        <v>46093</v>
      </c>
      <c r="D7223" t="inlineStr">
        <is>
          <t>VÄSTERNORRLANDS LÄN</t>
        </is>
      </c>
      <c r="E7223" t="inlineStr">
        <is>
          <t>SOLLEFTEÅ</t>
        </is>
      </c>
      <c r="F7223" t="inlineStr">
        <is>
          <t>SCA</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58754-2024</t>
        </is>
      </c>
      <c r="B7224" s="1" t="n">
        <v>45635.71917824074</v>
      </c>
      <c r="C7224" s="1" t="n">
        <v>46093</v>
      </c>
      <c r="D7224" t="inlineStr">
        <is>
          <t>VÄSTERNORRLANDS LÄN</t>
        </is>
      </c>
      <c r="E7224" t="inlineStr">
        <is>
          <t>TIMRÅ</t>
        </is>
      </c>
      <c r="F7224" t="inlineStr">
        <is>
          <t>SCA</t>
        </is>
      </c>
      <c r="G7224" t="n">
        <v>9.1</v>
      </c>
      <c r="H7224" t="n">
        <v>0</v>
      </c>
      <c r="I7224" t="n">
        <v>0</v>
      </c>
      <c r="J7224" t="n">
        <v>0</v>
      </c>
      <c r="K7224" t="n">
        <v>0</v>
      </c>
      <c r="L7224" t="n">
        <v>0</v>
      </c>
      <c r="M7224" t="n">
        <v>0</v>
      </c>
      <c r="N7224" t="n">
        <v>0</v>
      </c>
      <c r="O7224" t="n">
        <v>0</v>
      </c>
      <c r="P7224" t="n">
        <v>0</v>
      </c>
      <c r="Q7224" t="n">
        <v>0</v>
      </c>
      <c r="R7224" s="2" t="inlineStr"/>
    </row>
    <row r="7225" ht="15" customHeight="1">
      <c r="A7225" t="inlineStr">
        <is>
          <t>A 51193-2024</t>
        </is>
      </c>
      <c r="B7225" s="1" t="n">
        <v>45603.61511574074</v>
      </c>
      <c r="C7225" s="1" t="n">
        <v>46093</v>
      </c>
      <c r="D7225" t="inlineStr">
        <is>
          <t>VÄSTERNORRLANDS LÄN</t>
        </is>
      </c>
      <c r="E7225" t="inlineStr">
        <is>
          <t>SOLLEFTEÅ</t>
        </is>
      </c>
      <c r="F7225" t="inlineStr">
        <is>
          <t>SCA</t>
        </is>
      </c>
      <c r="G7225" t="n">
        <v>2.6</v>
      </c>
      <c r="H7225" t="n">
        <v>0</v>
      </c>
      <c r="I7225" t="n">
        <v>0</v>
      </c>
      <c r="J7225" t="n">
        <v>0</v>
      </c>
      <c r="K7225" t="n">
        <v>0</v>
      </c>
      <c r="L7225" t="n">
        <v>0</v>
      </c>
      <c r="M7225" t="n">
        <v>0</v>
      </c>
      <c r="N7225" t="n">
        <v>0</v>
      </c>
      <c r="O7225" t="n">
        <v>0</v>
      </c>
      <c r="P7225" t="n">
        <v>0</v>
      </c>
      <c r="Q7225" t="n">
        <v>0</v>
      </c>
      <c r="R7225" s="2" t="inlineStr"/>
    </row>
    <row r="7226" ht="15" customHeight="1">
      <c r="A7226" t="inlineStr">
        <is>
          <t>A 52993-2025</t>
        </is>
      </c>
      <c r="B7226" s="1" t="n">
        <v>45957</v>
      </c>
      <c r="C7226" s="1" t="n">
        <v>46093</v>
      </c>
      <c r="D7226" t="inlineStr">
        <is>
          <t>VÄSTERNORRLANDS LÄN</t>
        </is>
      </c>
      <c r="E7226" t="inlineStr">
        <is>
          <t>SUNDSVALL</t>
        </is>
      </c>
      <c r="G7226" t="n">
        <v>1.8</v>
      </c>
      <c r="H7226" t="n">
        <v>0</v>
      </c>
      <c r="I7226" t="n">
        <v>0</v>
      </c>
      <c r="J7226" t="n">
        <v>0</v>
      </c>
      <c r="K7226" t="n">
        <v>0</v>
      </c>
      <c r="L7226" t="n">
        <v>0</v>
      </c>
      <c r="M7226" t="n">
        <v>0</v>
      </c>
      <c r="N7226" t="n">
        <v>0</v>
      </c>
      <c r="O7226" t="n">
        <v>0</v>
      </c>
      <c r="P7226" t="n">
        <v>0</v>
      </c>
      <c r="Q7226" t="n">
        <v>0</v>
      </c>
      <c r="R7226" s="2" t="inlineStr"/>
    </row>
    <row r="7227" ht="15" customHeight="1">
      <c r="A7227" t="inlineStr">
        <is>
          <t>A 41381-2022</t>
        </is>
      </c>
      <c r="B7227" s="1" t="n">
        <v>44826</v>
      </c>
      <c r="C7227" s="1" t="n">
        <v>46093</v>
      </c>
      <c r="D7227" t="inlineStr">
        <is>
          <t>VÄSTERNORRLANDS LÄN</t>
        </is>
      </c>
      <c r="E7227" t="inlineStr">
        <is>
          <t>KRAMFORS</t>
        </is>
      </c>
      <c r="G7227" t="n">
        <v>2.5</v>
      </c>
      <c r="H7227" t="n">
        <v>0</v>
      </c>
      <c r="I7227" t="n">
        <v>0</v>
      </c>
      <c r="J7227" t="n">
        <v>0</v>
      </c>
      <c r="K7227" t="n">
        <v>0</v>
      </c>
      <c r="L7227" t="n">
        <v>0</v>
      </c>
      <c r="M7227" t="n">
        <v>0</v>
      </c>
      <c r="N7227" t="n">
        <v>0</v>
      </c>
      <c r="O7227" t="n">
        <v>0</v>
      </c>
      <c r="P7227" t="n">
        <v>0</v>
      </c>
      <c r="Q7227" t="n">
        <v>0</v>
      </c>
      <c r="R7227" s="2" t="inlineStr"/>
    </row>
    <row r="7228" ht="15" customHeight="1">
      <c r="A7228" t="inlineStr">
        <is>
          <t>A 1817-2025</t>
        </is>
      </c>
      <c r="B7228" s="1" t="n">
        <v>45671.51324074074</v>
      </c>
      <c r="C7228" s="1" t="n">
        <v>46093</v>
      </c>
      <c r="D7228" t="inlineStr">
        <is>
          <t>VÄSTERNORRLANDS LÄN</t>
        </is>
      </c>
      <c r="E7228" t="inlineStr">
        <is>
          <t>TIMRÅ</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52767-2025</t>
        </is>
      </c>
      <c r="B7229" s="1" t="n">
        <v>45957.40163194444</v>
      </c>
      <c r="C7229" s="1" t="n">
        <v>46093</v>
      </c>
      <c r="D7229" t="inlineStr">
        <is>
          <t>VÄSTERNORRLANDS LÄN</t>
        </is>
      </c>
      <c r="E7229" t="inlineStr">
        <is>
          <t>SOLLEFTEÅ</t>
        </is>
      </c>
      <c r="G7229" t="n">
        <v>2</v>
      </c>
      <c r="H7229" t="n">
        <v>0</v>
      </c>
      <c r="I7229" t="n">
        <v>0</v>
      </c>
      <c r="J7229" t="n">
        <v>0</v>
      </c>
      <c r="K7229" t="n">
        <v>0</v>
      </c>
      <c r="L7229" t="n">
        <v>0</v>
      </c>
      <c r="M7229" t="n">
        <v>0</v>
      </c>
      <c r="N7229" t="n">
        <v>0</v>
      </c>
      <c r="O7229" t="n">
        <v>0</v>
      </c>
      <c r="P7229" t="n">
        <v>0</v>
      </c>
      <c r="Q7229" t="n">
        <v>0</v>
      </c>
      <c r="R7229" s="2" t="inlineStr"/>
    </row>
    <row r="7230" ht="15" customHeight="1">
      <c r="A7230" t="inlineStr">
        <is>
          <t>A 17009-2023</t>
        </is>
      </c>
      <c r="B7230" s="1" t="n">
        <v>45033.9455787037</v>
      </c>
      <c r="C7230" s="1" t="n">
        <v>46093</v>
      </c>
      <c r="D7230" t="inlineStr">
        <is>
          <t>VÄSTERNORRLANDS LÄN</t>
        </is>
      </c>
      <c r="E7230" t="inlineStr">
        <is>
          <t>ÅNGE</t>
        </is>
      </c>
      <c r="F7230" t="inlineStr">
        <is>
          <t>SCA</t>
        </is>
      </c>
      <c r="G7230" t="n">
        <v>5.8</v>
      </c>
      <c r="H7230" t="n">
        <v>0</v>
      </c>
      <c r="I7230" t="n">
        <v>0</v>
      </c>
      <c r="J7230" t="n">
        <v>0</v>
      </c>
      <c r="K7230" t="n">
        <v>0</v>
      </c>
      <c r="L7230" t="n">
        <v>0</v>
      </c>
      <c r="M7230" t="n">
        <v>0</v>
      </c>
      <c r="N7230" t="n">
        <v>0</v>
      </c>
      <c r="O7230" t="n">
        <v>0</v>
      </c>
      <c r="P7230" t="n">
        <v>0</v>
      </c>
      <c r="Q7230" t="n">
        <v>0</v>
      </c>
      <c r="R7230" s="2" t="inlineStr"/>
    </row>
    <row r="7231" ht="15" customHeight="1">
      <c r="A7231" t="inlineStr">
        <is>
          <t>A 10872-2025</t>
        </is>
      </c>
      <c r="B7231" s="1" t="n">
        <v>45722.63076388889</v>
      </c>
      <c r="C7231" s="1" t="n">
        <v>46093</v>
      </c>
      <c r="D7231" t="inlineStr">
        <is>
          <t>VÄSTERNORRLANDS LÄN</t>
        </is>
      </c>
      <c r="E7231" t="inlineStr">
        <is>
          <t>ÖRNSKÖLDSVIK</t>
        </is>
      </c>
      <c r="G7231" t="n">
        <v>2.5</v>
      </c>
      <c r="H7231" t="n">
        <v>0</v>
      </c>
      <c r="I7231" t="n">
        <v>0</v>
      </c>
      <c r="J7231" t="n">
        <v>0</v>
      </c>
      <c r="K7231" t="n">
        <v>0</v>
      </c>
      <c r="L7231" t="n">
        <v>0</v>
      </c>
      <c r="M7231" t="n">
        <v>0</v>
      </c>
      <c r="N7231" t="n">
        <v>0</v>
      </c>
      <c r="O7231" t="n">
        <v>0</v>
      </c>
      <c r="P7231" t="n">
        <v>0</v>
      </c>
      <c r="Q7231" t="n">
        <v>0</v>
      </c>
      <c r="R7231" s="2" t="inlineStr"/>
    </row>
    <row r="7232" ht="15" customHeight="1">
      <c r="A7232" t="inlineStr">
        <is>
          <t>A 52739-2025</t>
        </is>
      </c>
      <c r="B7232" s="1" t="n">
        <v>45957.37555555555</v>
      </c>
      <c r="C7232" s="1" t="n">
        <v>46093</v>
      </c>
      <c r="D7232" t="inlineStr">
        <is>
          <t>VÄSTERNORRLANDS LÄN</t>
        </is>
      </c>
      <c r="E7232" t="inlineStr">
        <is>
          <t>SOLLEFTEÅ</t>
        </is>
      </c>
      <c r="G7232" t="n">
        <v>2.7</v>
      </c>
      <c r="H7232" t="n">
        <v>0</v>
      </c>
      <c r="I7232" t="n">
        <v>0</v>
      </c>
      <c r="J7232" t="n">
        <v>0</v>
      </c>
      <c r="K7232" t="n">
        <v>0</v>
      </c>
      <c r="L7232" t="n">
        <v>0</v>
      </c>
      <c r="M7232" t="n">
        <v>0</v>
      </c>
      <c r="N7232" t="n">
        <v>0</v>
      </c>
      <c r="O7232" t="n">
        <v>0</v>
      </c>
      <c r="P7232" t="n">
        <v>0</v>
      </c>
      <c r="Q7232" t="n">
        <v>0</v>
      </c>
      <c r="R7232" s="2" t="inlineStr"/>
    </row>
    <row r="7233" ht="15" customHeight="1">
      <c r="A7233" t="inlineStr">
        <is>
          <t>A 29193-2024</t>
        </is>
      </c>
      <c r="B7233" s="1" t="n">
        <v>45482.56510416666</v>
      </c>
      <c r="C7233" s="1" t="n">
        <v>46093</v>
      </c>
      <c r="D7233" t="inlineStr">
        <is>
          <t>VÄSTERNORRLANDS LÄN</t>
        </is>
      </c>
      <c r="E7233" t="inlineStr">
        <is>
          <t>ÅNGE</t>
        </is>
      </c>
      <c r="G7233" t="n">
        <v>5.6</v>
      </c>
      <c r="H7233" t="n">
        <v>0</v>
      </c>
      <c r="I7233" t="n">
        <v>0</v>
      </c>
      <c r="J7233" t="n">
        <v>0</v>
      </c>
      <c r="K7233" t="n">
        <v>0</v>
      </c>
      <c r="L7233" t="n">
        <v>0</v>
      </c>
      <c r="M7233" t="n">
        <v>0</v>
      </c>
      <c r="N7233" t="n">
        <v>0</v>
      </c>
      <c r="O7233" t="n">
        <v>0</v>
      </c>
      <c r="P7233" t="n">
        <v>0</v>
      </c>
      <c r="Q7233" t="n">
        <v>0</v>
      </c>
      <c r="R7233" s="2" t="inlineStr"/>
    </row>
    <row r="7234" ht="15" customHeight="1">
      <c r="A7234" t="inlineStr">
        <is>
          <t>A 48611-2022</t>
        </is>
      </c>
      <c r="B7234" s="1" t="n">
        <v>44859</v>
      </c>
      <c r="C7234" s="1" t="n">
        <v>46093</v>
      </c>
      <c r="D7234" t="inlineStr">
        <is>
          <t>VÄSTERNORRLANDS LÄN</t>
        </is>
      </c>
      <c r="E7234" t="inlineStr">
        <is>
          <t>ÖRNSKÖLDSVIK</t>
        </is>
      </c>
      <c r="F7234" t="inlineStr">
        <is>
          <t>Holmen skog AB</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15875-2024</t>
        </is>
      </c>
      <c r="B7235" s="1" t="n">
        <v>45405.32438657407</v>
      </c>
      <c r="C7235" s="1" t="n">
        <v>46093</v>
      </c>
      <c r="D7235" t="inlineStr">
        <is>
          <t>VÄSTERNORRLANDS LÄN</t>
        </is>
      </c>
      <c r="E7235" t="inlineStr">
        <is>
          <t>SOLLEFTEÅ</t>
        </is>
      </c>
      <c r="G7235" t="n">
        <v>7.1</v>
      </c>
      <c r="H7235" t="n">
        <v>0</v>
      </c>
      <c r="I7235" t="n">
        <v>0</v>
      </c>
      <c r="J7235" t="n">
        <v>0</v>
      </c>
      <c r="K7235" t="n">
        <v>0</v>
      </c>
      <c r="L7235" t="n">
        <v>0</v>
      </c>
      <c r="M7235" t="n">
        <v>0</v>
      </c>
      <c r="N7235" t="n">
        <v>0</v>
      </c>
      <c r="O7235" t="n">
        <v>0</v>
      </c>
      <c r="P7235" t="n">
        <v>0</v>
      </c>
      <c r="Q7235" t="n">
        <v>0</v>
      </c>
      <c r="R7235" s="2" t="inlineStr"/>
    </row>
    <row r="7236" ht="15" customHeight="1">
      <c r="A7236" t="inlineStr">
        <is>
          <t>A 42040-2024</t>
        </is>
      </c>
      <c r="B7236" s="1" t="n">
        <v>45561.80983796297</v>
      </c>
      <c r="C7236" s="1" t="n">
        <v>46093</v>
      </c>
      <c r="D7236" t="inlineStr">
        <is>
          <t>VÄSTERNORRLANDS LÄN</t>
        </is>
      </c>
      <c r="E7236" t="inlineStr">
        <is>
          <t>ÅNGE</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8084-2025</t>
        </is>
      </c>
      <c r="B7237" s="1" t="n">
        <v>45707</v>
      </c>
      <c r="C7237" s="1" t="n">
        <v>46093</v>
      </c>
      <c r="D7237" t="inlineStr">
        <is>
          <t>VÄSTERNORRLANDS LÄN</t>
        </is>
      </c>
      <c r="E7237" t="inlineStr">
        <is>
          <t>SOLLEFTEÅ</t>
        </is>
      </c>
      <c r="G7237" t="n">
        <v>9.199999999999999</v>
      </c>
      <c r="H7237" t="n">
        <v>0</v>
      </c>
      <c r="I7237" t="n">
        <v>0</v>
      </c>
      <c r="J7237" t="n">
        <v>0</v>
      </c>
      <c r="K7237" t="n">
        <v>0</v>
      </c>
      <c r="L7237" t="n">
        <v>0</v>
      </c>
      <c r="M7237" t="n">
        <v>0</v>
      </c>
      <c r="N7237" t="n">
        <v>0</v>
      </c>
      <c r="O7237" t="n">
        <v>0</v>
      </c>
      <c r="P7237" t="n">
        <v>0</v>
      </c>
      <c r="Q7237" t="n">
        <v>0</v>
      </c>
      <c r="R7237" s="2" t="inlineStr"/>
    </row>
    <row r="7238" ht="15" customHeight="1">
      <c r="A7238" t="inlineStr">
        <is>
          <t>A 52974-2025</t>
        </is>
      </c>
      <c r="B7238" s="1" t="n">
        <v>45957.67858796296</v>
      </c>
      <c r="C7238" s="1" t="n">
        <v>46093</v>
      </c>
      <c r="D7238" t="inlineStr">
        <is>
          <t>VÄSTERNORRLANDS LÄN</t>
        </is>
      </c>
      <c r="E7238" t="inlineStr">
        <is>
          <t>SOLLEFTEÅ</t>
        </is>
      </c>
      <c r="F7238" t="inlineStr">
        <is>
          <t>SCA</t>
        </is>
      </c>
      <c r="G7238" t="n">
        <v>5.1</v>
      </c>
      <c r="H7238" t="n">
        <v>0</v>
      </c>
      <c r="I7238" t="n">
        <v>0</v>
      </c>
      <c r="J7238" t="n">
        <v>0</v>
      </c>
      <c r="K7238" t="n">
        <v>0</v>
      </c>
      <c r="L7238" t="n">
        <v>0</v>
      </c>
      <c r="M7238" t="n">
        <v>0</v>
      </c>
      <c r="N7238" t="n">
        <v>0</v>
      </c>
      <c r="O7238" t="n">
        <v>0</v>
      </c>
      <c r="P7238" t="n">
        <v>0</v>
      </c>
      <c r="Q7238" t="n">
        <v>0</v>
      </c>
      <c r="R7238" s="2" t="inlineStr"/>
    </row>
    <row r="7239" ht="15" customHeight="1">
      <c r="A7239" t="inlineStr">
        <is>
          <t>A 60578-2024</t>
        </is>
      </c>
      <c r="B7239" s="1" t="n">
        <v>45644.34434027778</v>
      </c>
      <c r="C7239" s="1" t="n">
        <v>46093</v>
      </c>
      <c r="D7239" t="inlineStr">
        <is>
          <t>VÄSTERNORRLANDS LÄN</t>
        </is>
      </c>
      <c r="E7239" t="inlineStr">
        <is>
          <t>ÅNGE</t>
        </is>
      </c>
      <c r="F7239" t="inlineStr">
        <is>
          <t>SCA</t>
        </is>
      </c>
      <c r="G7239" t="n">
        <v>5.8</v>
      </c>
      <c r="H7239" t="n">
        <v>0</v>
      </c>
      <c r="I7239" t="n">
        <v>0</v>
      </c>
      <c r="J7239" t="n">
        <v>0</v>
      </c>
      <c r="K7239" t="n">
        <v>0</v>
      </c>
      <c r="L7239" t="n">
        <v>0</v>
      </c>
      <c r="M7239" t="n">
        <v>0</v>
      </c>
      <c r="N7239" t="n">
        <v>0</v>
      </c>
      <c r="O7239" t="n">
        <v>0</v>
      </c>
      <c r="P7239" t="n">
        <v>0</v>
      </c>
      <c r="Q7239" t="n">
        <v>0</v>
      </c>
      <c r="R7239" s="2" t="inlineStr"/>
    </row>
    <row r="7240" ht="15" customHeight="1">
      <c r="A7240" t="inlineStr">
        <is>
          <t>A 13424-2025</t>
        </is>
      </c>
      <c r="B7240" s="1" t="n">
        <v>45736.32135416667</v>
      </c>
      <c r="C7240" s="1" t="n">
        <v>46093</v>
      </c>
      <c r="D7240" t="inlineStr">
        <is>
          <t>VÄSTERNORRLANDS LÄN</t>
        </is>
      </c>
      <c r="E7240" t="inlineStr">
        <is>
          <t>ÖRNSKÖLDSVIK</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50888-2023</t>
        </is>
      </c>
      <c r="B7241" s="1" t="n">
        <v>45218.39269675926</v>
      </c>
      <c r="C7241" s="1" t="n">
        <v>46093</v>
      </c>
      <c r="D7241" t="inlineStr">
        <is>
          <t>VÄSTERNORRLANDS LÄN</t>
        </is>
      </c>
      <c r="E7241" t="inlineStr">
        <is>
          <t>ÖRNSKÖLDSVIK</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53326-2025</t>
        </is>
      </c>
      <c r="B7242" s="1" t="n">
        <v>45959.36498842593</v>
      </c>
      <c r="C7242" s="1" t="n">
        <v>46093</v>
      </c>
      <c r="D7242" t="inlineStr">
        <is>
          <t>VÄSTERNORRLANDS LÄN</t>
        </is>
      </c>
      <c r="E7242" t="inlineStr">
        <is>
          <t>KRAMFORS</t>
        </is>
      </c>
      <c r="G7242" t="n">
        <v>4.6</v>
      </c>
      <c r="H7242" t="n">
        <v>0</v>
      </c>
      <c r="I7242" t="n">
        <v>0</v>
      </c>
      <c r="J7242" t="n">
        <v>0</v>
      </c>
      <c r="K7242" t="n">
        <v>0</v>
      </c>
      <c r="L7242" t="n">
        <v>0</v>
      </c>
      <c r="M7242" t="n">
        <v>0</v>
      </c>
      <c r="N7242" t="n">
        <v>0</v>
      </c>
      <c r="O7242" t="n">
        <v>0</v>
      </c>
      <c r="P7242" t="n">
        <v>0</v>
      </c>
      <c r="Q7242" t="n">
        <v>0</v>
      </c>
      <c r="R7242" s="2" t="inlineStr"/>
    </row>
    <row r="7243" ht="15" customHeight="1">
      <c r="A7243" t="inlineStr">
        <is>
          <t>A 815-2024</t>
        </is>
      </c>
      <c r="B7243" s="1" t="n">
        <v>45300.63804398148</v>
      </c>
      <c r="C7243" s="1" t="n">
        <v>46093</v>
      </c>
      <c r="D7243" t="inlineStr">
        <is>
          <t>VÄSTERNORRLANDS LÄN</t>
        </is>
      </c>
      <c r="E7243" t="inlineStr">
        <is>
          <t>KRAMFORS</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38039-2025</t>
        </is>
      </c>
      <c r="B7244" s="1" t="n">
        <v>45882.3791087963</v>
      </c>
      <c r="C7244" s="1" t="n">
        <v>46093</v>
      </c>
      <c r="D7244" t="inlineStr">
        <is>
          <t>VÄSTERNORRLANDS LÄN</t>
        </is>
      </c>
      <c r="E7244" t="inlineStr">
        <is>
          <t>ÖRNSKÖLDSVIK</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54613-2024</t>
        </is>
      </c>
      <c r="B7245" s="1" t="n">
        <v>45617.70974537037</v>
      </c>
      <c r="C7245" s="1" t="n">
        <v>46093</v>
      </c>
      <c r="D7245" t="inlineStr">
        <is>
          <t>VÄSTERNORRLANDS LÄN</t>
        </is>
      </c>
      <c r="E7245" t="inlineStr">
        <is>
          <t>ÖRNSKÖLDSVIK</t>
        </is>
      </c>
      <c r="F7245" t="inlineStr">
        <is>
          <t>Holmen skog AB</t>
        </is>
      </c>
      <c r="G7245" t="n">
        <v>3.2</v>
      </c>
      <c r="H7245" t="n">
        <v>0</v>
      </c>
      <c r="I7245" t="n">
        <v>0</v>
      </c>
      <c r="J7245" t="n">
        <v>0</v>
      </c>
      <c r="K7245" t="n">
        <v>0</v>
      </c>
      <c r="L7245" t="n">
        <v>0</v>
      </c>
      <c r="M7245" t="n">
        <v>0</v>
      </c>
      <c r="N7245" t="n">
        <v>0</v>
      </c>
      <c r="O7245" t="n">
        <v>0</v>
      </c>
      <c r="P7245" t="n">
        <v>0</v>
      </c>
      <c r="Q7245" t="n">
        <v>0</v>
      </c>
      <c r="R7245" s="2" t="inlineStr"/>
    </row>
    <row r="7246" ht="15" customHeight="1">
      <c r="A7246" t="inlineStr">
        <is>
          <t>A 35624-2023</t>
        </is>
      </c>
      <c r="B7246" s="1" t="n">
        <v>45147.54612268518</v>
      </c>
      <c r="C7246" s="1" t="n">
        <v>46093</v>
      </c>
      <c r="D7246" t="inlineStr">
        <is>
          <t>VÄSTERNORRLANDS LÄN</t>
        </is>
      </c>
      <c r="E7246" t="inlineStr">
        <is>
          <t>ÖRNSKÖLDSVIK</t>
        </is>
      </c>
      <c r="F7246" t="inlineStr">
        <is>
          <t>Holmen skog AB</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35682-2023</t>
        </is>
      </c>
      <c r="B7247" s="1" t="n">
        <v>45147</v>
      </c>
      <c r="C7247" s="1" t="n">
        <v>46093</v>
      </c>
      <c r="D7247" t="inlineStr">
        <is>
          <t>VÄSTERNORRLANDS LÄN</t>
        </is>
      </c>
      <c r="E7247" t="inlineStr">
        <is>
          <t>SUNDSVALL</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53431-2025</t>
        </is>
      </c>
      <c r="B7248" s="1" t="n">
        <v>45959</v>
      </c>
      <c r="C7248" s="1" t="n">
        <v>46093</v>
      </c>
      <c r="D7248" t="inlineStr">
        <is>
          <t>VÄSTERNORRLANDS LÄN</t>
        </is>
      </c>
      <c r="E7248" t="inlineStr">
        <is>
          <t>KRAMFORS</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57991-2022</t>
        </is>
      </c>
      <c r="B7249" s="1" t="n">
        <v>44900.48915509259</v>
      </c>
      <c r="C7249" s="1" t="n">
        <v>46093</v>
      </c>
      <c r="D7249" t="inlineStr">
        <is>
          <t>VÄSTERNORRLANDS LÄN</t>
        </is>
      </c>
      <c r="E7249" t="inlineStr">
        <is>
          <t>SOLLEFTEÅ</t>
        </is>
      </c>
      <c r="G7249" t="n">
        <v>14.2</v>
      </c>
      <c r="H7249" t="n">
        <v>0</v>
      </c>
      <c r="I7249" t="n">
        <v>0</v>
      </c>
      <c r="J7249" t="n">
        <v>0</v>
      </c>
      <c r="K7249" t="n">
        <v>0</v>
      </c>
      <c r="L7249" t="n">
        <v>0</v>
      </c>
      <c r="M7249" t="n">
        <v>0</v>
      </c>
      <c r="N7249" t="n">
        <v>0</v>
      </c>
      <c r="O7249" t="n">
        <v>0</v>
      </c>
      <c r="P7249" t="n">
        <v>0</v>
      </c>
      <c r="Q7249" t="n">
        <v>0</v>
      </c>
      <c r="R7249" s="2" t="inlineStr"/>
    </row>
    <row r="7250" ht="15" customHeight="1">
      <c r="A7250" t="inlineStr">
        <is>
          <t>A 34342-2024</t>
        </is>
      </c>
      <c r="B7250" s="1" t="n">
        <v>45525.32556712963</v>
      </c>
      <c r="C7250" s="1" t="n">
        <v>46093</v>
      </c>
      <c r="D7250" t="inlineStr">
        <is>
          <t>VÄSTERNORRLANDS LÄN</t>
        </is>
      </c>
      <c r="E7250" t="inlineStr">
        <is>
          <t>ÖRNSKÖLDSVIK</t>
        </is>
      </c>
      <c r="F7250" t="inlineStr">
        <is>
          <t>Holmen skog AB</t>
        </is>
      </c>
      <c r="G7250" t="n">
        <v>5.2</v>
      </c>
      <c r="H7250" t="n">
        <v>0</v>
      </c>
      <c r="I7250" t="n">
        <v>0</v>
      </c>
      <c r="J7250" t="n">
        <v>0</v>
      </c>
      <c r="K7250" t="n">
        <v>0</v>
      </c>
      <c r="L7250" t="n">
        <v>0</v>
      </c>
      <c r="M7250" t="n">
        <v>0</v>
      </c>
      <c r="N7250" t="n">
        <v>0</v>
      </c>
      <c r="O7250" t="n">
        <v>0</v>
      </c>
      <c r="P7250" t="n">
        <v>0</v>
      </c>
      <c r="Q7250" t="n">
        <v>0</v>
      </c>
      <c r="R7250" s="2" t="inlineStr"/>
    </row>
    <row r="7251" ht="15" customHeight="1">
      <c r="A7251" t="inlineStr">
        <is>
          <t>A 53463-2025</t>
        </is>
      </c>
      <c r="B7251" s="1" t="n">
        <v>45959.68188657407</v>
      </c>
      <c r="C7251" s="1" t="n">
        <v>46093</v>
      </c>
      <c r="D7251" t="inlineStr">
        <is>
          <t>VÄSTERNORRLANDS LÄN</t>
        </is>
      </c>
      <c r="E7251" t="inlineStr">
        <is>
          <t>SUNDSVALL</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37825-2025</t>
        </is>
      </c>
      <c r="B7252" s="1" t="n">
        <v>45881.40697916667</v>
      </c>
      <c r="C7252" s="1" t="n">
        <v>46093</v>
      </c>
      <c r="D7252" t="inlineStr">
        <is>
          <t>VÄSTERNORRLANDS LÄN</t>
        </is>
      </c>
      <c r="E7252" t="inlineStr">
        <is>
          <t>KRAMFORS</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13087-2025</t>
        </is>
      </c>
      <c r="B7253" s="1" t="n">
        <v>45734.64340277778</v>
      </c>
      <c r="C7253" s="1" t="n">
        <v>46093</v>
      </c>
      <c r="D7253" t="inlineStr">
        <is>
          <t>VÄSTERNORRLANDS LÄN</t>
        </is>
      </c>
      <c r="E7253" t="inlineStr">
        <is>
          <t>ÖRNSKÖLDSVIK</t>
        </is>
      </c>
      <c r="F7253" t="inlineStr">
        <is>
          <t>Holmen skog AB</t>
        </is>
      </c>
      <c r="G7253" t="n">
        <v>2.7</v>
      </c>
      <c r="H7253" t="n">
        <v>0</v>
      </c>
      <c r="I7253" t="n">
        <v>0</v>
      </c>
      <c r="J7253" t="n">
        <v>0</v>
      </c>
      <c r="K7253" t="n">
        <v>0</v>
      </c>
      <c r="L7253" t="n">
        <v>0</v>
      </c>
      <c r="M7253" t="n">
        <v>0</v>
      </c>
      <c r="N7253" t="n">
        <v>0</v>
      </c>
      <c r="O7253" t="n">
        <v>0</v>
      </c>
      <c r="P7253" t="n">
        <v>0</v>
      </c>
      <c r="Q7253" t="n">
        <v>0</v>
      </c>
      <c r="R7253" s="2" t="inlineStr"/>
    </row>
    <row r="7254" ht="15" customHeight="1">
      <c r="A7254" t="inlineStr">
        <is>
          <t>A 53653-2025</t>
        </is>
      </c>
      <c r="B7254" s="1" t="n">
        <v>45960.53180555555</v>
      </c>
      <c r="C7254" s="1" t="n">
        <v>46093</v>
      </c>
      <c r="D7254" t="inlineStr">
        <is>
          <t>VÄSTERNORRLANDS LÄN</t>
        </is>
      </c>
      <c r="E7254" t="inlineStr">
        <is>
          <t>ÖRNSKÖLDSVIK</t>
        </is>
      </c>
      <c r="F7254" t="inlineStr">
        <is>
          <t>SCA</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53313-2025</t>
        </is>
      </c>
      <c r="B7255" s="1" t="n">
        <v>45959.34465277778</v>
      </c>
      <c r="C7255" s="1" t="n">
        <v>46093</v>
      </c>
      <c r="D7255" t="inlineStr">
        <is>
          <t>VÄSTERNORRLANDS LÄN</t>
        </is>
      </c>
      <c r="E7255" t="inlineStr">
        <is>
          <t>SUNDSVALL</t>
        </is>
      </c>
      <c r="F7255" t="inlineStr">
        <is>
          <t>SCA</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53258-2025</t>
        </is>
      </c>
      <c r="B7256" s="1" t="n">
        <v>45958.6775</v>
      </c>
      <c r="C7256" s="1" t="n">
        <v>46093</v>
      </c>
      <c r="D7256" t="inlineStr">
        <is>
          <t>VÄSTERNORRLANDS LÄN</t>
        </is>
      </c>
      <c r="E7256" t="inlineStr">
        <is>
          <t>SUNDSVALL</t>
        </is>
      </c>
      <c r="F7256" t="inlineStr">
        <is>
          <t>SCA</t>
        </is>
      </c>
      <c r="G7256" t="n">
        <v>5</v>
      </c>
      <c r="H7256" t="n">
        <v>0</v>
      </c>
      <c r="I7256" t="n">
        <v>0</v>
      </c>
      <c r="J7256" t="n">
        <v>0</v>
      </c>
      <c r="K7256" t="n">
        <v>0</v>
      </c>
      <c r="L7256" t="n">
        <v>0</v>
      </c>
      <c r="M7256" t="n">
        <v>0</v>
      </c>
      <c r="N7256" t="n">
        <v>0</v>
      </c>
      <c r="O7256" t="n">
        <v>0</v>
      </c>
      <c r="P7256" t="n">
        <v>0</v>
      </c>
      <c r="Q7256" t="n">
        <v>0</v>
      </c>
      <c r="R7256" s="2" t="inlineStr"/>
    </row>
    <row r="7257" ht="15" customHeight="1">
      <c r="A7257" t="inlineStr">
        <is>
          <t>A 37914-2022</t>
        </is>
      </c>
      <c r="B7257" s="1" t="n">
        <v>44811</v>
      </c>
      <c r="C7257" s="1" t="n">
        <v>46093</v>
      </c>
      <c r="D7257" t="inlineStr">
        <is>
          <t>VÄSTERNORRLANDS LÄN</t>
        </is>
      </c>
      <c r="E7257" t="inlineStr">
        <is>
          <t>ÖRNSKÖLDSVIK</t>
        </is>
      </c>
      <c r="F7257" t="inlineStr">
        <is>
          <t>Holmen skog AB</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49789-2025</t>
        </is>
      </c>
      <c r="B7258" s="1" t="n">
        <v>45940</v>
      </c>
      <c r="C7258" s="1" t="n">
        <v>46093</v>
      </c>
      <c r="D7258" t="inlineStr">
        <is>
          <t>VÄSTERNORRLANDS LÄN</t>
        </is>
      </c>
      <c r="E7258" t="inlineStr">
        <is>
          <t>SOLLEFTEÅ</t>
        </is>
      </c>
      <c r="G7258" t="n">
        <v>2.5</v>
      </c>
      <c r="H7258" t="n">
        <v>0</v>
      </c>
      <c r="I7258" t="n">
        <v>0</v>
      </c>
      <c r="J7258" t="n">
        <v>0</v>
      </c>
      <c r="K7258" t="n">
        <v>0</v>
      </c>
      <c r="L7258" t="n">
        <v>0</v>
      </c>
      <c r="M7258" t="n">
        <v>0</v>
      </c>
      <c r="N7258" t="n">
        <v>0</v>
      </c>
      <c r="O7258" t="n">
        <v>0</v>
      </c>
      <c r="P7258" t="n">
        <v>0</v>
      </c>
      <c r="Q7258" t="n">
        <v>0</v>
      </c>
      <c r="R7258" s="2" t="inlineStr"/>
    </row>
    <row r="7259" ht="15" customHeight="1">
      <c r="A7259" t="inlineStr">
        <is>
          <t>A 68866-2021</t>
        </is>
      </c>
      <c r="B7259" s="1" t="n">
        <v>44529</v>
      </c>
      <c r="C7259" s="1" t="n">
        <v>46093</v>
      </c>
      <c r="D7259" t="inlineStr">
        <is>
          <t>VÄSTERNORRLANDS LÄN</t>
        </is>
      </c>
      <c r="E7259" t="inlineStr">
        <is>
          <t>ÖRNSKÖLDSVIK</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68880-2021</t>
        </is>
      </c>
      <c r="B7260" s="1" t="n">
        <v>44529</v>
      </c>
      <c r="C7260" s="1" t="n">
        <v>46093</v>
      </c>
      <c r="D7260" t="inlineStr">
        <is>
          <t>VÄSTERNORRLANDS LÄN</t>
        </is>
      </c>
      <c r="E7260" t="inlineStr">
        <is>
          <t>SUNDSVALL</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53675-2025</t>
        </is>
      </c>
      <c r="B7261" s="1" t="n">
        <v>45960.55678240741</v>
      </c>
      <c r="C7261" s="1" t="n">
        <v>46093</v>
      </c>
      <c r="D7261" t="inlineStr">
        <is>
          <t>VÄSTERNORRLANDS LÄN</t>
        </is>
      </c>
      <c r="E7261" t="inlineStr">
        <is>
          <t>ÖRNSKÖLDSVIK</t>
        </is>
      </c>
      <c r="F7261" t="inlineStr">
        <is>
          <t>Holmen skog AB</t>
        </is>
      </c>
      <c r="G7261" t="n">
        <v>2.9</v>
      </c>
      <c r="H7261" t="n">
        <v>0</v>
      </c>
      <c r="I7261" t="n">
        <v>0</v>
      </c>
      <c r="J7261" t="n">
        <v>0</v>
      </c>
      <c r="K7261" t="n">
        <v>0</v>
      </c>
      <c r="L7261" t="n">
        <v>0</v>
      </c>
      <c r="M7261" t="n">
        <v>0</v>
      </c>
      <c r="N7261" t="n">
        <v>0</v>
      </c>
      <c r="O7261" t="n">
        <v>0</v>
      </c>
      <c r="P7261" t="n">
        <v>0</v>
      </c>
      <c r="Q7261" t="n">
        <v>0</v>
      </c>
      <c r="R7261" s="2" t="inlineStr"/>
    </row>
    <row r="7262" ht="15" customHeight="1">
      <c r="A7262" t="inlineStr">
        <is>
          <t>A 10947-2025</t>
        </is>
      </c>
      <c r="B7262" s="1" t="n">
        <v>45723.34417824074</v>
      </c>
      <c r="C7262" s="1" t="n">
        <v>46093</v>
      </c>
      <c r="D7262" t="inlineStr">
        <is>
          <t>VÄSTERNORRLANDS LÄN</t>
        </is>
      </c>
      <c r="E7262" t="inlineStr">
        <is>
          <t>TIMRÅ</t>
        </is>
      </c>
      <c r="F7262" t="inlineStr">
        <is>
          <t>SCA</t>
        </is>
      </c>
      <c r="G7262" t="n">
        <v>2.6</v>
      </c>
      <c r="H7262" t="n">
        <v>0</v>
      </c>
      <c r="I7262" t="n">
        <v>0</v>
      </c>
      <c r="J7262" t="n">
        <v>0</v>
      </c>
      <c r="K7262" t="n">
        <v>0</v>
      </c>
      <c r="L7262" t="n">
        <v>0</v>
      </c>
      <c r="M7262" t="n">
        <v>0</v>
      </c>
      <c r="N7262" t="n">
        <v>0</v>
      </c>
      <c r="O7262" t="n">
        <v>0</v>
      </c>
      <c r="P7262" t="n">
        <v>0</v>
      </c>
      <c r="Q7262" t="n">
        <v>0</v>
      </c>
      <c r="R7262" s="2" t="inlineStr"/>
    </row>
    <row r="7263" ht="15" customHeight="1">
      <c r="A7263" t="inlineStr">
        <is>
          <t>A 37795-2025</t>
        </is>
      </c>
      <c r="B7263" s="1" t="n">
        <v>45881</v>
      </c>
      <c r="C7263" s="1" t="n">
        <v>46093</v>
      </c>
      <c r="D7263" t="inlineStr">
        <is>
          <t>VÄSTERNORRLANDS LÄN</t>
        </is>
      </c>
      <c r="E7263" t="inlineStr">
        <is>
          <t>ÖRNSKÖLDSVIK</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37801-2025</t>
        </is>
      </c>
      <c r="B7264" s="1" t="n">
        <v>45881.34436342592</v>
      </c>
      <c r="C7264" s="1" t="n">
        <v>46093</v>
      </c>
      <c r="D7264" t="inlineStr">
        <is>
          <t>VÄSTERNORRLANDS LÄN</t>
        </is>
      </c>
      <c r="E7264" t="inlineStr">
        <is>
          <t>SOLLEFTEÅ</t>
        </is>
      </c>
      <c r="F7264" t="inlineStr">
        <is>
          <t>SCA</t>
        </is>
      </c>
      <c r="G7264" t="n">
        <v>3.1</v>
      </c>
      <c r="H7264" t="n">
        <v>0</v>
      </c>
      <c r="I7264" t="n">
        <v>0</v>
      </c>
      <c r="J7264" t="n">
        <v>0</v>
      </c>
      <c r="K7264" t="n">
        <v>0</v>
      </c>
      <c r="L7264" t="n">
        <v>0</v>
      </c>
      <c r="M7264" t="n">
        <v>0</v>
      </c>
      <c r="N7264" t="n">
        <v>0</v>
      </c>
      <c r="O7264" t="n">
        <v>0</v>
      </c>
      <c r="P7264" t="n">
        <v>0</v>
      </c>
      <c r="Q7264" t="n">
        <v>0</v>
      </c>
      <c r="R7264" s="2" t="inlineStr"/>
    </row>
    <row r="7265" ht="15" customHeight="1">
      <c r="A7265" t="inlineStr">
        <is>
          <t>A 34691-2024</t>
        </is>
      </c>
      <c r="B7265" s="1" t="n">
        <v>45526.54516203704</v>
      </c>
      <c r="C7265" s="1" t="n">
        <v>46093</v>
      </c>
      <c r="D7265" t="inlineStr">
        <is>
          <t>VÄSTERNORRLANDS LÄN</t>
        </is>
      </c>
      <c r="E7265" t="inlineStr">
        <is>
          <t>ÅNGE</t>
        </is>
      </c>
      <c r="G7265" t="n">
        <v>0.5</v>
      </c>
      <c r="H7265" t="n">
        <v>0</v>
      </c>
      <c r="I7265" t="n">
        <v>0</v>
      </c>
      <c r="J7265" t="n">
        <v>0</v>
      </c>
      <c r="K7265" t="n">
        <v>0</v>
      </c>
      <c r="L7265" t="n">
        <v>0</v>
      </c>
      <c r="M7265" t="n">
        <v>0</v>
      </c>
      <c r="N7265" t="n">
        <v>0</v>
      </c>
      <c r="O7265" t="n">
        <v>0</v>
      </c>
      <c r="P7265" t="n">
        <v>0</v>
      </c>
      <c r="Q7265" t="n">
        <v>0</v>
      </c>
      <c r="R7265" s="2" t="inlineStr"/>
    </row>
    <row r="7266" ht="15" customHeight="1">
      <c r="A7266" t="inlineStr">
        <is>
          <t>A 51440-2021</t>
        </is>
      </c>
      <c r="B7266" s="1" t="n">
        <v>44461</v>
      </c>
      <c r="C7266" s="1" t="n">
        <v>46093</v>
      </c>
      <c r="D7266" t="inlineStr">
        <is>
          <t>VÄSTERNORRLANDS LÄN</t>
        </is>
      </c>
      <c r="E7266" t="inlineStr">
        <is>
          <t>SOLLEFTEÅ</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61174-2024</t>
        </is>
      </c>
      <c r="B7267" s="1" t="n">
        <v>45645</v>
      </c>
      <c r="C7267" s="1" t="n">
        <v>46093</v>
      </c>
      <c r="D7267" t="inlineStr">
        <is>
          <t>VÄSTERNORRLANDS LÄN</t>
        </is>
      </c>
      <c r="E7267" t="inlineStr">
        <is>
          <t>KRAMFORS</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61176-2024</t>
        </is>
      </c>
      <c r="B7268" s="1" t="n">
        <v>45645.60534722222</v>
      </c>
      <c r="C7268" s="1" t="n">
        <v>46093</v>
      </c>
      <c r="D7268" t="inlineStr">
        <is>
          <t>VÄSTERNORRLANDS LÄN</t>
        </is>
      </c>
      <c r="E7268" t="inlineStr">
        <is>
          <t>KRAMFORS</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24977-2021</t>
        </is>
      </c>
      <c r="B7269" s="1" t="n">
        <v>44341.51386574074</v>
      </c>
      <c r="C7269" s="1" t="n">
        <v>46093</v>
      </c>
      <c r="D7269" t="inlineStr">
        <is>
          <t>VÄSTERNORRLANDS LÄN</t>
        </is>
      </c>
      <c r="E7269" t="inlineStr">
        <is>
          <t>ÅNGE</t>
        </is>
      </c>
      <c r="F7269" t="inlineStr">
        <is>
          <t>Sveaskog</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53659-2025</t>
        </is>
      </c>
      <c r="B7270" s="1" t="n">
        <v>45960.53931712963</v>
      </c>
      <c r="C7270" s="1" t="n">
        <v>46093</v>
      </c>
      <c r="D7270" t="inlineStr">
        <is>
          <t>VÄSTERNORRLANDS LÄN</t>
        </is>
      </c>
      <c r="E7270" t="inlineStr">
        <is>
          <t>ÖRNSKÖLDSVIK</t>
        </is>
      </c>
      <c r="F7270" t="inlineStr">
        <is>
          <t>Holmen skog AB</t>
        </is>
      </c>
      <c r="G7270" t="n">
        <v>6.6</v>
      </c>
      <c r="H7270" t="n">
        <v>0</v>
      </c>
      <c r="I7270" t="n">
        <v>0</v>
      </c>
      <c r="J7270" t="n">
        <v>0</v>
      </c>
      <c r="K7270" t="n">
        <v>0</v>
      </c>
      <c r="L7270" t="n">
        <v>0</v>
      </c>
      <c r="M7270" t="n">
        <v>0</v>
      </c>
      <c r="N7270" t="n">
        <v>0</v>
      </c>
      <c r="O7270" t="n">
        <v>0</v>
      </c>
      <c r="P7270" t="n">
        <v>0</v>
      </c>
      <c r="Q7270" t="n">
        <v>0</v>
      </c>
      <c r="R7270" s="2" t="inlineStr"/>
    </row>
    <row r="7271" ht="15" customHeight="1">
      <c r="A7271" t="inlineStr">
        <is>
          <t>A 55251-2024</t>
        </is>
      </c>
      <c r="B7271" s="1" t="n">
        <v>45621.59560185186</v>
      </c>
      <c r="C7271" s="1" t="n">
        <v>46093</v>
      </c>
      <c r="D7271" t="inlineStr">
        <is>
          <t>VÄSTERNORRLANDS LÄN</t>
        </is>
      </c>
      <c r="E7271" t="inlineStr">
        <is>
          <t>ÖRNSKÖLDSVIK</t>
        </is>
      </c>
      <c r="G7271" t="n">
        <v>5</v>
      </c>
      <c r="H7271" t="n">
        <v>0</v>
      </c>
      <c r="I7271" t="n">
        <v>0</v>
      </c>
      <c r="J7271" t="n">
        <v>0</v>
      </c>
      <c r="K7271" t="n">
        <v>0</v>
      </c>
      <c r="L7271" t="n">
        <v>0</v>
      </c>
      <c r="M7271" t="n">
        <v>0</v>
      </c>
      <c r="N7271" t="n">
        <v>0</v>
      </c>
      <c r="O7271" t="n">
        <v>0</v>
      </c>
      <c r="P7271" t="n">
        <v>0</v>
      </c>
      <c r="Q7271" t="n">
        <v>0</v>
      </c>
      <c r="R7271" s="2" t="inlineStr"/>
    </row>
    <row r="7272" ht="15" customHeight="1">
      <c r="A7272" t="inlineStr">
        <is>
          <t>A 37861-2025</t>
        </is>
      </c>
      <c r="B7272" s="1" t="n">
        <v>45881.46341435185</v>
      </c>
      <c r="C7272" s="1" t="n">
        <v>46093</v>
      </c>
      <c r="D7272" t="inlineStr">
        <is>
          <t>VÄSTERNORRLANDS LÄN</t>
        </is>
      </c>
      <c r="E7272" t="inlineStr">
        <is>
          <t>ÖRNSKÖLDSVIK</t>
        </is>
      </c>
      <c r="G7272" t="n">
        <v>3</v>
      </c>
      <c r="H7272" t="n">
        <v>0</v>
      </c>
      <c r="I7272" t="n">
        <v>0</v>
      </c>
      <c r="J7272" t="n">
        <v>0</v>
      </c>
      <c r="K7272" t="n">
        <v>0</v>
      </c>
      <c r="L7272" t="n">
        <v>0</v>
      </c>
      <c r="M7272" t="n">
        <v>0</v>
      </c>
      <c r="N7272" t="n">
        <v>0</v>
      </c>
      <c r="O7272" t="n">
        <v>0</v>
      </c>
      <c r="P7272" t="n">
        <v>0</v>
      </c>
      <c r="Q7272" t="n">
        <v>0</v>
      </c>
      <c r="R7272" s="2" t="inlineStr"/>
    </row>
    <row r="7273" ht="15" customHeight="1">
      <c r="A7273" t="inlineStr">
        <is>
          <t>A 30762-2024</t>
        </is>
      </c>
      <c r="B7273" s="1" t="n">
        <v>45496.92956018518</v>
      </c>
      <c r="C7273" s="1" t="n">
        <v>46093</v>
      </c>
      <c r="D7273" t="inlineStr">
        <is>
          <t>VÄSTERNORRLANDS LÄN</t>
        </is>
      </c>
      <c r="E7273" t="inlineStr">
        <is>
          <t>HÄRNÖSAND</t>
        </is>
      </c>
      <c r="G7273" t="n">
        <v>0.5</v>
      </c>
      <c r="H7273" t="n">
        <v>0</v>
      </c>
      <c r="I7273" t="n">
        <v>0</v>
      </c>
      <c r="J7273" t="n">
        <v>0</v>
      </c>
      <c r="K7273" t="n">
        <v>0</v>
      </c>
      <c r="L7273" t="n">
        <v>0</v>
      </c>
      <c r="M7273" t="n">
        <v>0</v>
      </c>
      <c r="N7273" t="n">
        <v>0</v>
      </c>
      <c r="O7273" t="n">
        <v>0</v>
      </c>
      <c r="P7273" t="n">
        <v>0</v>
      </c>
      <c r="Q7273" t="n">
        <v>0</v>
      </c>
      <c r="R7273" s="2" t="inlineStr"/>
    </row>
    <row r="7274" ht="15" customHeight="1">
      <c r="A7274" t="inlineStr">
        <is>
          <t>A 20732-2021</t>
        </is>
      </c>
      <c r="B7274" s="1" t="n">
        <v>44316</v>
      </c>
      <c r="C7274" s="1" t="n">
        <v>46093</v>
      </c>
      <c r="D7274" t="inlineStr">
        <is>
          <t>VÄSTERNORRLANDS LÄN</t>
        </is>
      </c>
      <c r="E7274" t="inlineStr">
        <is>
          <t>TIMRÅ</t>
        </is>
      </c>
      <c r="G7274" t="n">
        <v>3.8</v>
      </c>
      <c r="H7274" t="n">
        <v>0</v>
      </c>
      <c r="I7274" t="n">
        <v>0</v>
      </c>
      <c r="J7274" t="n">
        <v>0</v>
      </c>
      <c r="K7274" t="n">
        <v>0</v>
      </c>
      <c r="L7274" t="n">
        <v>0</v>
      </c>
      <c r="M7274" t="n">
        <v>0</v>
      </c>
      <c r="N7274" t="n">
        <v>0</v>
      </c>
      <c r="O7274" t="n">
        <v>0</v>
      </c>
      <c r="P7274" t="n">
        <v>0</v>
      </c>
      <c r="Q7274" t="n">
        <v>0</v>
      </c>
      <c r="R7274" s="2" t="inlineStr"/>
    </row>
    <row r="7275" ht="15" customHeight="1">
      <c r="A7275" t="inlineStr">
        <is>
          <t>A 25034-2023</t>
        </is>
      </c>
      <c r="B7275" s="1" t="n">
        <v>45085</v>
      </c>
      <c r="C7275" s="1" t="n">
        <v>46093</v>
      </c>
      <c r="D7275" t="inlineStr">
        <is>
          <t>VÄSTERNORRLANDS LÄN</t>
        </is>
      </c>
      <c r="E7275" t="inlineStr">
        <is>
          <t>ÅNGE</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53532-2025</t>
        </is>
      </c>
      <c r="B7276" s="1" t="n">
        <v>45960.36541666667</v>
      </c>
      <c r="C7276" s="1" t="n">
        <v>46093</v>
      </c>
      <c r="D7276" t="inlineStr">
        <is>
          <t>VÄSTERNORRLANDS LÄN</t>
        </is>
      </c>
      <c r="E7276" t="inlineStr">
        <is>
          <t>KRAMFORS</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53372-2025</t>
        </is>
      </c>
      <c r="B7277" s="1" t="n">
        <v>45959.50277777778</v>
      </c>
      <c r="C7277" s="1" t="n">
        <v>46093</v>
      </c>
      <c r="D7277" t="inlineStr">
        <is>
          <t>VÄSTERNORRLANDS LÄN</t>
        </is>
      </c>
      <c r="E7277" t="inlineStr">
        <is>
          <t>KRAMFORS</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50007-2024</t>
        </is>
      </c>
      <c r="B7278" s="1" t="n">
        <v>45598.57574074074</v>
      </c>
      <c r="C7278" s="1" t="n">
        <v>46093</v>
      </c>
      <c r="D7278" t="inlineStr">
        <is>
          <t>VÄSTERNORRLANDS LÄN</t>
        </is>
      </c>
      <c r="E7278" t="inlineStr">
        <is>
          <t>SOLLEFTEÅ</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54210-2024</t>
        </is>
      </c>
      <c r="B7279" s="1" t="n">
        <v>45616.65662037037</v>
      </c>
      <c r="C7279" s="1" t="n">
        <v>46093</v>
      </c>
      <c r="D7279" t="inlineStr">
        <is>
          <t>VÄSTERNORRLANDS LÄN</t>
        </is>
      </c>
      <c r="E7279" t="inlineStr">
        <is>
          <t>ÅNGE</t>
        </is>
      </c>
      <c r="F7279" t="inlineStr">
        <is>
          <t>SCA</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38190-2025</t>
        </is>
      </c>
      <c r="B7280" s="1" t="n">
        <v>45882.65680555555</v>
      </c>
      <c r="C7280" s="1" t="n">
        <v>46093</v>
      </c>
      <c r="D7280" t="inlineStr">
        <is>
          <t>VÄSTERNORRLANDS LÄN</t>
        </is>
      </c>
      <c r="E7280" t="inlineStr">
        <is>
          <t>SOLLEFTEÅ</t>
        </is>
      </c>
      <c r="F7280" t="inlineStr">
        <is>
          <t>SCA</t>
        </is>
      </c>
      <c r="G7280" t="n">
        <v>6.5</v>
      </c>
      <c r="H7280" t="n">
        <v>0</v>
      </c>
      <c r="I7280" t="n">
        <v>0</v>
      </c>
      <c r="J7280" t="n">
        <v>0</v>
      </c>
      <c r="K7280" t="n">
        <v>0</v>
      </c>
      <c r="L7280" t="n">
        <v>0</v>
      </c>
      <c r="M7280" t="n">
        <v>0</v>
      </c>
      <c r="N7280" t="n">
        <v>0</v>
      </c>
      <c r="O7280" t="n">
        <v>0</v>
      </c>
      <c r="P7280" t="n">
        <v>0</v>
      </c>
      <c r="Q7280" t="n">
        <v>0</v>
      </c>
      <c r="R7280" s="2" t="inlineStr"/>
    </row>
    <row r="7281" ht="15" customHeight="1">
      <c r="A7281" t="inlineStr">
        <is>
          <t>A 53365-2025</t>
        </is>
      </c>
      <c r="B7281" s="1" t="n">
        <v>45959.48501157408</v>
      </c>
      <c r="C7281" s="1" t="n">
        <v>46093</v>
      </c>
      <c r="D7281" t="inlineStr">
        <is>
          <t>VÄSTERNORRLANDS LÄN</t>
        </is>
      </c>
      <c r="E7281" t="inlineStr">
        <is>
          <t>KRAMFORS</t>
        </is>
      </c>
      <c r="G7281" t="n">
        <v>2.7</v>
      </c>
      <c r="H7281" t="n">
        <v>0</v>
      </c>
      <c r="I7281" t="n">
        <v>0</v>
      </c>
      <c r="J7281" t="n">
        <v>0</v>
      </c>
      <c r="K7281" t="n">
        <v>0</v>
      </c>
      <c r="L7281" t="n">
        <v>0</v>
      </c>
      <c r="M7281" t="n">
        <v>0</v>
      </c>
      <c r="N7281" t="n">
        <v>0</v>
      </c>
      <c r="O7281" t="n">
        <v>0</v>
      </c>
      <c r="P7281" t="n">
        <v>0</v>
      </c>
      <c r="Q7281" t="n">
        <v>0</v>
      </c>
      <c r="R7281" s="2" t="inlineStr"/>
    </row>
    <row r="7282" ht="15" customHeight="1">
      <c r="A7282" t="inlineStr">
        <is>
          <t>A 29584-2021</t>
        </is>
      </c>
      <c r="B7282" s="1" t="n">
        <v>44361</v>
      </c>
      <c r="C7282" s="1" t="n">
        <v>46093</v>
      </c>
      <c r="D7282" t="inlineStr">
        <is>
          <t>VÄSTERNORRLANDS LÄN</t>
        </is>
      </c>
      <c r="E7282" t="inlineStr">
        <is>
          <t>SUNDSVALL</t>
        </is>
      </c>
      <c r="G7282" t="n">
        <v>14.6</v>
      </c>
      <c r="H7282" t="n">
        <v>0</v>
      </c>
      <c r="I7282" t="n">
        <v>0</v>
      </c>
      <c r="J7282" t="n">
        <v>0</v>
      </c>
      <c r="K7282" t="n">
        <v>0</v>
      </c>
      <c r="L7282" t="n">
        <v>0</v>
      </c>
      <c r="M7282" t="n">
        <v>0</v>
      </c>
      <c r="N7282" t="n">
        <v>0</v>
      </c>
      <c r="O7282" t="n">
        <v>0</v>
      </c>
      <c r="P7282" t="n">
        <v>0</v>
      </c>
      <c r="Q7282" t="n">
        <v>0</v>
      </c>
      <c r="R7282" s="2" t="inlineStr"/>
    </row>
    <row r="7283" ht="15" customHeight="1">
      <c r="A7283" t="inlineStr">
        <is>
          <t>A 33897-2024</t>
        </is>
      </c>
      <c r="B7283" s="1" t="n">
        <v>45523</v>
      </c>
      <c r="C7283" s="1" t="n">
        <v>46093</v>
      </c>
      <c r="D7283" t="inlineStr">
        <is>
          <t>VÄSTERNORRLANDS LÄN</t>
        </is>
      </c>
      <c r="E7283" t="inlineStr">
        <is>
          <t>ÖRNSKÖLDSVIK</t>
        </is>
      </c>
      <c r="F7283" t="inlineStr">
        <is>
          <t>Holmen skog AB</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35250-2022</t>
        </is>
      </c>
      <c r="B7284" s="1" t="n">
        <v>44798.33560185185</v>
      </c>
      <c r="C7284" s="1" t="n">
        <v>46093</v>
      </c>
      <c r="D7284" t="inlineStr">
        <is>
          <t>VÄSTERNORRLANDS LÄN</t>
        </is>
      </c>
      <c r="E7284" t="inlineStr">
        <is>
          <t>ÖRNSKÖLDSVIK</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35266-2022</t>
        </is>
      </c>
      <c r="B7285" s="1" t="n">
        <v>44798</v>
      </c>
      <c r="C7285" s="1" t="n">
        <v>46093</v>
      </c>
      <c r="D7285" t="inlineStr">
        <is>
          <t>VÄSTERNORRLANDS LÄN</t>
        </is>
      </c>
      <c r="E7285" t="inlineStr">
        <is>
          <t>ÖRNSKÖLDSVIK</t>
        </is>
      </c>
      <c r="F7285" t="inlineStr">
        <is>
          <t>Kyrkan</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1385-2022</t>
        </is>
      </c>
      <c r="B7286" s="1" t="n">
        <v>44573.38556712963</v>
      </c>
      <c r="C7286" s="1" t="n">
        <v>46093</v>
      </c>
      <c r="D7286" t="inlineStr">
        <is>
          <t>VÄSTERNORRLANDS LÄN</t>
        </is>
      </c>
      <c r="E7286" t="inlineStr">
        <is>
          <t>KRAMFORS</t>
        </is>
      </c>
      <c r="G7286" t="n">
        <v>4.6</v>
      </c>
      <c r="H7286" t="n">
        <v>0</v>
      </c>
      <c r="I7286" t="n">
        <v>0</v>
      </c>
      <c r="J7286" t="n">
        <v>0</v>
      </c>
      <c r="K7286" t="n">
        <v>0</v>
      </c>
      <c r="L7286" t="n">
        <v>0</v>
      </c>
      <c r="M7286" t="n">
        <v>0</v>
      </c>
      <c r="N7286" t="n">
        <v>0</v>
      </c>
      <c r="O7286" t="n">
        <v>0</v>
      </c>
      <c r="P7286" t="n">
        <v>0</v>
      </c>
      <c r="Q7286" t="n">
        <v>0</v>
      </c>
      <c r="R7286" s="2" t="inlineStr"/>
    </row>
    <row r="7287" ht="15" customHeight="1">
      <c r="A7287" t="inlineStr">
        <is>
          <t>A 37949-2025</t>
        </is>
      </c>
      <c r="B7287" s="1" t="n">
        <v>45881.61547453704</v>
      </c>
      <c r="C7287" s="1" t="n">
        <v>46093</v>
      </c>
      <c r="D7287" t="inlineStr">
        <is>
          <t>VÄSTERNORRLANDS LÄN</t>
        </is>
      </c>
      <c r="E7287" t="inlineStr">
        <is>
          <t>KRAMFORS</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53449-2025</t>
        </is>
      </c>
      <c r="B7288" s="1" t="n">
        <v>45959</v>
      </c>
      <c r="C7288" s="1" t="n">
        <v>46093</v>
      </c>
      <c r="D7288" t="inlineStr">
        <is>
          <t>VÄSTERNORRLANDS LÄN</t>
        </is>
      </c>
      <c r="E7288" t="inlineStr">
        <is>
          <t>KRAMFORS</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53452-2025</t>
        </is>
      </c>
      <c r="B7289" s="1" t="n">
        <v>45959.65700231482</v>
      </c>
      <c r="C7289" s="1" t="n">
        <v>46093</v>
      </c>
      <c r="D7289" t="inlineStr">
        <is>
          <t>VÄSTERNORRLANDS LÄN</t>
        </is>
      </c>
      <c r="E7289" t="inlineStr">
        <is>
          <t>KRAMFORS</t>
        </is>
      </c>
      <c r="G7289" t="n">
        <v>2.6</v>
      </c>
      <c r="H7289" t="n">
        <v>0</v>
      </c>
      <c r="I7289" t="n">
        <v>0</v>
      </c>
      <c r="J7289" t="n">
        <v>0</v>
      </c>
      <c r="K7289" t="n">
        <v>0</v>
      </c>
      <c r="L7289" t="n">
        <v>0</v>
      </c>
      <c r="M7289" t="n">
        <v>0</v>
      </c>
      <c r="N7289" t="n">
        <v>0</v>
      </c>
      <c r="O7289" t="n">
        <v>0</v>
      </c>
      <c r="P7289" t="n">
        <v>0</v>
      </c>
      <c r="Q7289" t="n">
        <v>0</v>
      </c>
      <c r="R7289" s="2" t="inlineStr"/>
    </row>
    <row r="7290" ht="15" customHeight="1">
      <c r="A7290" t="inlineStr">
        <is>
          <t>A 37953-2025</t>
        </is>
      </c>
      <c r="B7290" s="1" t="n">
        <v>45881.63622685185</v>
      </c>
      <c r="C7290" s="1" t="n">
        <v>46093</v>
      </c>
      <c r="D7290" t="inlineStr">
        <is>
          <t>VÄSTERNORRLANDS LÄN</t>
        </is>
      </c>
      <c r="E7290" t="inlineStr">
        <is>
          <t>KRAMFORS</t>
        </is>
      </c>
      <c r="G7290" t="n">
        <v>4.1</v>
      </c>
      <c r="H7290" t="n">
        <v>0</v>
      </c>
      <c r="I7290" t="n">
        <v>0</v>
      </c>
      <c r="J7290" t="n">
        <v>0</v>
      </c>
      <c r="K7290" t="n">
        <v>0</v>
      </c>
      <c r="L7290" t="n">
        <v>0</v>
      </c>
      <c r="M7290" t="n">
        <v>0</v>
      </c>
      <c r="N7290" t="n">
        <v>0</v>
      </c>
      <c r="O7290" t="n">
        <v>0</v>
      </c>
      <c r="P7290" t="n">
        <v>0</v>
      </c>
      <c r="Q7290" t="n">
        <v>0</v>
      </c>
      <c r="R7290" s="2" t="inlineStr"/>
    </row>
    <row r="7291" ht="15" customHeight="1">
      <c r="A7291" t="inlineStr">
        <is>
          <t>A 60583-2024</t>
        </is>
      </c>
      <c r="B7291" s="1" t="n">
        <v>45644</v>
      </c>
      <c r="C7291" s="1" t="n">
        <v>46093</v>
      </c>
      <c r="D7291" t="inlineStr">
        <is>
          <t>VÄSTERNORRLANDS LÄN</t>
        </is>
      </c>
      <c r="E7291" t="inlineStr">
        <is>
          <t>SOLLEFTEÅ</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53530-2025</t>
        </is>
      </c>
      <c r="B7292" s="1" t="n">
        <v>45960.36521990741</v>
      </c>
      <c r="C7292" s="1" t="n">
        <v>46093</v>
      </c>
      <c r="D7292" t="inlineStr">
        <is>
          <t>VÄSTERNORRLANDS LÄN</t>
        </is>
      </c>
      <c r="E7292" t="inlineStr">
        <is>
          <t>SOLLEFTEÅ</t>
        </is>
      </c>
      <c r="F7292" t="inlineStr">
        <is>
          <t>SCA</t>
        </is>
      </c>
      <c r="G7292" t="n">
        <v>3.2</v>
      </c>
      <c r="H7292" t="n">
        <v>0</v>
      </c>
      <c r="I7292" t="n">
        <v>0</v>
      </c>
      <c r="J7292" t="n">
        <v>0</v>
      </c>
      <c r="K7292" t="n">
        <v>0</v>
      </c>
      <c r="L7292" t="n">
        <v>0</v>
      </c>
      <c r="M7292" t="n">
        <v>0</v>
      </c>
      <c r="N7292" t="n">
        <v>0</v>
      </c>
      <c r="O7292" t="n">
        <v>0</v>
      </c>
      <c r="P7292" t="n">
        <v>0</v>
      </c>
      <c r="Q7292" t="n">
        <v>0</v>
      </c>
      <c r="R7292" s="2" t="inlineStr"/>
    </row>
    <row r="7293" ht="15" customHeight="1">
      <c r="A7293" t="inlineStr">
        <is>
          <t>A 25795-2023</t>
        </is>
      </c>
      <c r="B7293" s="1" t="n">
        <v>45085</v>
      </c>
      <c r="C7293" s="1" t="n">
        <v>46093</v>
      </c>
      <c r="D7293" t="inlineStr">
        <is>
          <t>VÄSTERNORRLANDS LÄN</t>
        </is>
      </c>
      <c r="E7293" t="inlineStr">
        <is>
          <t>SOLLEFTEÅ</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53550-2025</t>
        </is>
      </c>
      <c r="B7294" s="1" t="n">
        <v>45960.38583333333</v>
      </c>
      <c r="C7294" s="1" t="n">
        <v>46093</v>
      </c>
      <c r="D7294" t="inlineStr">
        <is>
          <t>VÄSTERNORRLANDS LÄN</t>
        </is>
      </c>
      <c r="E7294" t="inlineStr">
        <is>
          <t>SOLLEFTEÅ</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37792-2025</t>
        </is>
      </c>
      <c r="B7295" s="1" t="n">
        <v>45881.31625</v>
      </c>
      <c r="C7295" s="1" t="n">
        <v>46093</v>
      </c>
      <c r="D7295" t="inlineStr">
        <is>
          <t>VÄSTERNORRLANDS LÄN</t>
        </is>
      </c>
      <c r="E7295" t="inlineStr">
        <is>
          <t>ÖRNSKÖLDSVIK</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37799-2025</t>
        </is>
      </c>
      <c r="B7296" s="1" t="n">
        <v>45881.34387731482</v>
      </c>
      <c r="C7296" s="1" t="n">
        <v>46093</v>
      </c>
      <c r="D7296" t="inlineStr">
        <is>
          <t>VÄSTERNORRLANDS LÄN</t>
        </is>
      </c>
      <c r="E7296" t="inlineStr">
        <is>
          <t>ÖRNSKÖLDSVIK</t>
        </is>
      </c>
      <c r="F7296" t="inlineStr">
        <is>
          <t>Holmen skog AB</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264-2025</t>
        </is>
      </c>
      <c r="B7297" s="1" t="n">
        <v>45660.4575</v>
      </c>
      <c r="C7297" s="1" t="n">
        <v>46093</v>
      </c>
      <c r="D7297" t="inlineStr">
        <is>
          <t>VÄSTERNORRLANDS LÄN</t>
        </is>
      </c>
      <c r="E7297" t="inlineStr">
        <is>
          <t>ÖRNSKÖLDSVIK</t>
        </is>
      </c>
      <c r="F7297" t="inlineStr">
        <is>
          <t>Holmen skog AB</t>
        </is>
      </c>
      <c r="G7297" t="n">
        <v>3.9</v>
      </c>
      <c r="H7297" t="n">
        <v>0</v>
      </c>
      <c r="I7297" t="n">
        <v>0</v>
      </c>
      <c r="J7297" t="n">
        <v>0</v>
      </c>
      <c r="K7297" t="n">
        <v>0</v>
      </c>
      <c r="L7297" t="n">
        <v>0</v>
      </c>
      <c r="M7297" t="n">
        <v>0</v>
      </c>
      <c r="N7297" t="n">
        <v>0</v>
      </c>
      <c r="O7297" t="n">
        <v>0</v>
      </c>
      <c r="P7297" t="n">
        <v>0</v>
      </c>
      <c r="Q7297" t="n">
        <v>0</v>
      </c>
      <c r="R7297" s="2" t="inlineStr"/>
    </row>
    <row r="7298" ht="15" customHeight="1">
      <c r="A7298" t="inlineStr">
        <is>
          <t>A 53703-2025</t>
        </is>
      </c>
      <c r="B7298" s="1" t="n">
        <v>45960.60027777778</v>
      </c>
      <c r="C7298" s="1" t="n">
        <v>46093</v>
      </c>
      <c r="D7298" t="inlineStr">
        <is>
          <t>VÄSTERNORRLANDS LÄN</t>
        </is>
      </c>
      <c r="E7298" t="inlineStr">
        <is>
          <t>KRAMFORS</t>
        </is>
      </c>
      <c r="G7298" t="n">
        <v>7.9</v>
      </c>
      <c r="H7298" t="n">
        <v>0</v>
      </c>
      <c r="I7298" t="n">
        <v>0</v>
      </c>
      <c r="J7298" t="n">
        <v>0</v>
      </c>
      <c r="K7298" t="n">
        <v>0</v>
      </c>
      <c r="L7298" t="n">
        <v>0</v>
      </c>
      <c r="M7298" t="n">
        <v>0</v>
      </c>
      <c r="N7298" t="n">
        <v>0</v>
      </c>
      <c r="O7298" t="n">
        <v>0</v>
      </c>
      <c r="P7298" t="n">
        <v>0</v>
      </c>
      <c r="Q7298" t="n">
        <v>0</v>
      </c>
      <c r="R7298" s="2" t="inlineStr"/>
    </row>
    <row r="7299" ht="15" customHeight="1">
      <c r="A7299" t="inlineStr">
        <is>
          <t>A 58172-2022</t>
        </is>
      </c>
      <c r="B7299" s="1" t="n">
        <v>44900.95525462963</v>
      </c>
      <c r="C7299" s="1" t="n">
        <v>46093</v>
      </c>
      <c r="D7299" t="inlineStr">
        <is>
          <t>VÄSTERNORRLANDS LÄN</t>
        </is>
      </c>
      <c r="E7299" t="inlineStr">
        <is>
          <t>SOLLEFTEÅ</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38053-2025</t>
        </is>
      </c>
      <c r="B7300" s="1" t="n">
        <v>45882.40902777778</v>
      </c>
      <c r="C7300" s="1" t="n">
        <v>46093</v>
      </c>
      <c r="D7300" t="inlineStr">
        <is>
          <t>VÄSTERNORRLANDS LÄN</t>
        </is>
      </c>
      <c r="E7300" t="inlineStr">
        <is>
          <t>ÖRNSKÖLDSVIK</t>
        </is>
      </c>
      <c r="G7300" t="n">
        <v>8.699999999999999</v>
      </c>
      <c r="H7300" t="n">
        <v>0</v>
      </c>
      <c r="I7300" t="n">
        <v>0</v>
      </c>
      <c r="J7300" t="n">
        <v>0</v>
      </c>
      <c r="K7300" t="n">
        <v>0</v>
      </c>
      <c r="L7300" t="n">
        <v>0</v>
      </c>
      <c r="M7300" t="n">
        <v>0</v>
      </c>
      <c r="N7300" t="n">
        <v>0</v>
      </c>
      <c r="O7300" t="n">
        <v>0</v>
      </c>
      <c r="P7300" t="n">
        <v>0</v>
      </c>
      <c r="Q7300" t="n">
        <v>0</v>
      </c>
      <c r="R7300" s="2" t="inlineStr"/>
    </row>
    <row r="7301" ht="15" customHeight="1">
      <c r="A7301" t="inlineStr">
        <is>
          <t>A 53740-2025</t>
        </is>
      </c>
      <c r="B7301" s="1" t="n">
        <v>45960</v>
      </c>
      <c r="C7301" s="1" t="n">
        <v>46093</v>
      </c>
      <c r="D7301" t="inlineStr">
        <is>
          <t>VÄSTERNORRLANDS LÄN</t>
        </is>
      </c>
      <c r="E7301" t="inlineStr">
        <is>
          <t>ÖRNSKÖLDSVIK</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6258-2023</t>
        </is>
      </c>
      <c r="B7302" s="1" t="n">
        <v>44957</v>
      </c>
      <c r="C7302" s="1" t="n">
        <v>46093</v>
      </c>
      <c r="D7302" t="inlineStr">
        <is>
          <t>VÄSTERNORRLANDS LÄN</t>
        </is>
      </c>
      <c r="E7302" t="inlineStr">
        <is>
          <t>HÄRNÖSAND</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53537-2025</t>
        </is>
      </c>
      <c r="B7303" s="1" t="n">
        <v>45960.37328703704</v>
      </c>
      <c r="C7303" s="1" t="n">
        <v>46093</v>
      </c>
      <c r="D7303" t="inlineStr">
        <is>
          <t>VÄSTERNORRLANDS LÄN</t>
        </is>
      </c>
      <c r="E7303" t="inlineStr">
        <is>
          <t>ÖRNSKÖLDSVIK</t>
        </is>
      </c>
      <c r="F7303" t="inlineStr">
        <is>
          <t>Holmen skog AB</t>
        </is>
      </c>
      <c r="G7303" t="n">
        <v>2.9</v>
      </c>
      <c r="H7303" t="n">
        <v>0</v>
      </c>
      <c r="I7303" t="n">
        <v>0</v>
      </c>
      <c r="J7303" t="n">
        <v>0</v>
      </c>
      <c r="K7303" t="n">
        <v>0</v>
      </c>
      <c r="L7303" t="n">
        <v>0</v>
      </c>
      <c r="M7303" t="n">
        <v>0</v>
      </c>
      <c r="N7303" t="n">
        <v>0</v>
      </c>
      <c r="O7303" t="n">
        <v>0</v>
      </c>
      <c r="P7303" t="n">
        <v>0</v>
      </c>
      <c r="Q7303" t="n">
        <v>0</v>
      </c>
      <c r="R7303" s="2" t="inlineStr"/>
    </row>
    <row r="7304" ht="15" customHeight="1">
      <c r="A7304" t="inlineStr">
        <is>
          <t>A 38078-2025</t>
        </is>
      </c>
      <c r="B7304" s="1" t="n">
        <v>45882.46918981482</v>
      </c>
      <c r="C7304" s="1" t="n">
        <v>46093</v>
      </c>
      <c r="D7304" t="inlineStr">
        <is>
          <t>VÄSTERNORRLANDS LÄN</t>
        </is>
      </c>
      <c r="E7304" t="inlineStr">
        <is>
          <t>ÅNGE</t>
        </is>
      </c>
      <c r="F7304" t="inlineStr">
        <is>
          <t>SCA</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5580-2025</t>
        </is>
      </c>
      <c r="B7305" s="1" t="n">
        <v>45693.54991898148</v>
      </c>
      <c r="C7305" s="1" t="n">
        <v>46093</v>
      </c>
      <c r="D7305" t="inlineStr">
        <is>
          <t>VÄSTERNORRLANDS LÄN</t>
        </is>
      </c>
      <c r="E7305" t="inlineStr">
        <is>
          <t>ÖRNSKÖLDSVIK</t>
        </is>
      </c>
      <c r="G7305" t="n">
        <v>6</v>
      </c>
      <c r="H7305" t="n">
        <v>0</v>
      </c>
      <c r="I7305" t="n">
        <v>0</v>
      </c>
      <c r="J7305" t="n">
        <v>0</v>
      </c>
      <c r="K7305" t="n">
        <v>0</v>
      </c>
      <c r="L7305" t="n">
        <v>0</v>
      </c>
      <c r="M7305" t="n">
        <v>0</v>
      </c>
      <c r="N7305" t="n">
        <v>0</v>
      </c>
      <c r="O7305" t="n">
        <v>0</v>
      </c>
      <c r="P7305" t="n">
        <v>0</v>
      </c>
      <c r="Q7305" t="n">
        <v>0</v>
      </c>
      <c r="R7305" s="2" t="inlineStr"/>
    </row>
    <row r="7306" ht="15" customHeight="1">
      <c r="A7306" t="inlineStr">
        <is>
          <t>A 6271-2023</t>
        </is>
      </c>
      <c r="B7306" s="1" t="n">
        <v>44959</v>
      </c>
      <c r="C7306" s="1" t="n">
        <v>46093</v>
      </c>
      <c r="D7306" t="inlineStr">
        <is>
          <t>VÄSTERNORRLANDS LÄN</t>
        </is>
      </c>
      <c r="E7306" t="inlineStr">
        <is>
          <t>SOLLEFTEÅ</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61245-2024</t>
        </is>
      </c>
      <c r="B7307" s="1" t="n">
        <v>45645</v>
      </c>
      <c r="C7307" s="1" t="n">
        <v>46093</v>
      </c>
      <c r="D7307" t="inlineStr">
        <is>
          <t>VÄSTERNORRLANDS LÄN</t>
        </is>
      </c>
      <c r="E7307" t="inlineStr">
        <is>
          <t>HÄRNÖSAND</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12957-2025</t>
        </is>
      </c>
      <c r="B7308" s="1" t="n">
        <v>45734.41164351852</v>
      </c>
      <c r="C7308" s="1" t="n">
        <v>46093</v>
      </c>
      <c r="D7308" t="inlineStr">
        <is>
          <t>VÄSTERNORRLANDS LÄN</t>
        </is>
      </c>
      <c r="E7308" t="inlineStr">
        <is>
          <t>KRAMFORS</t>
        </is>
      </c>
      <c r="G7308" t="n">
        <v>10.4</v>
      </c>
      <c r="H7308" t="n">
        <v>0</v>
      </c>
      <c r="I7308" t="n">
        <v>0</v>
      </c>
      <c r="J7308" t="n">
        <v>0</v>
      </c>
      <c r="K7308" t="n">
        <v>0</v>
      </c>
      <c r="L7308" t="n">
        <v>0</v>
      </c>
      <c r="M7308" t="n">
        <v>0</v>
      </c>
      <c r="N7308" t="n">
        <v>0</v>
      </c>
      <c r="O7308" t="n">
        <v>0</v>
      </c>
      <c r="P7308" t="n">
        <v>0</v>
      </c>
      <c r="Q7308" t="n">
        <v>0</v>
      </c>
      <c r="R7308" s="2" t="inlineStr"/>
    </row>
    <row r="7309" ht="15" customHeight="1">
      <c r="A7309" t="inlineStr">
        <is>
          <t>A 53509-2025</t>
        </is>
      </c>
      <c r="B7309" s="1" t="n">
        <v>45960.34506944445</v>
      </c>
      <c r="C7309" s="1" t="n">
        <v>46093</v>
      </c>
      <c r="D7309" t="inlineStr">
        <is>
          <t>VÄSTERNORRLANDS LÄN</t>
        </is>
      </c>
      <c r="E7309" t="inlineStr">
        <is>
          <t>ÅNGE</t>
        </is>
      </c>
      <c r="F7309" t="inlineStr">
        <is>
          <t>SCA</t>
        </is>
      </c>
      <c r="G7309" t="n">
        <v>2.8</v>
      </c>
      <c r="H7309" t="n">
        <v>0</v>
      </c>
      <c r="I7309" t="n">
        <v>0</v>
      </c>
      <c r="J7309" t="n">
        <v>0</v>
      </c>
      <c r="K7309" t="n">
        <v>0</v>
      </c>
      <c r="L7309" t="n">
        <v>0</v>
      </c>
      <c r="M7309" t="n">
        <v>0</v>
      </c>
      <c r="N7309" t="n">
        <v>0</v>
      </c>
      <c r="O7309" t="n">
        <v>0</v>
      </c>
      <c r="P7309" t="n">
        <v>0</v>
      </c>
      <c r="Q7309" t="n">
        <v>0</v>
      </c>
      <c r="R7309" s="2" t="inlineStr"/>
    </row>
    <row r="7310" ht="15" customHeight="1">
      <c r="A7310" t="inlineStr">
        <is>
          <t>A 14645-2025</t>
        </is>
      </c>
      <c r="B7310" s="1" t="n">
        <v>45742</v>
      </c>
      <c r="C7310" s="1" t="n">
        <v>46093</v>
      </c>
      <c r="D7310" t="inlineStr">
        <is>
          <t>VÄSTERNORRLANDS LÄN</t>
        </is>
      </c>
      <c r="E7310" t="inlineStr">
        <is>
          <t>ÖRNSKÖLDSVIK</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52805-2024</t>
        </is>
      </c>
      <c r="B7311" s="1" t="n">
        <v>45610.57344907407</v>
      </c>
      <c r="C7311" s="1" t="n">
        <v>46093</v>
      </c>
      <c r="D7311" t="inlineStr">
        <is>
          <t>VÄSTERNORRLANDS LÄN</t>
        </is>
      </c>
      <c r="E7311" t="inlineStr">
        <is>
          <t>ÅNGE</t>
        </is>
      </c>
      <c r="F7311" t="inlineStr">
        <is>
          <t>SCA</t>
        </is>
      </c>
      <c r="G7311" t="n">
        <v>2.7</v>
      </c>
      <c r="H7311" t="n">
        <v>0</v>
      </c>
      <c r="I7311" t="n">
        <v>0</v>
      </c>
      <c r="J7311" t="n">
        <v>0</v>
      </c>
      <c r="K7311" t="n">
        <v>0</v>
      </c>
      <c r="L7311" t="n">
        <v>0</v>
      </c>
      <c r="M7311" t="n">
        <v>0</v>
      </c>
      <c r="N7311" t="n">
        <v>0</v>
      </c>
      <c r="O7311" t="n">
        <v>0</v>
      </c>
      <c r="P7311" t="n">
        <v>0</v>
      </c>
      <c r="Q7311" t="n">
        <v>0</v>
      </c>
      <c r="R7311" s="2" t="inlineStr"/>
    </row>
    <row r="7312" ht="15" customHeight="1">
      <c r="A7312" t="inlineStr">
        <is>
          <t>A 22597-2021</t>
        </is>
      </c>
      <c r="B7312" s="1" t="n">
        <v>44326</v>
      </c>
      <c r="C7312" s="1" t="n">
        <v>46093</v>
      </c>
      <c r="D7312" t="inlineStr">
        <is>
          <t>VÄSTERNORRLANDS LÄN</t>
        </is>
      </c>
      <c r="E7312" t="inlineStr">
        <is>
          <t>ÅNGE</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49791-2025</t>
        </is>
      </c>
      <c r="B7313" s="1" t="n">
        <v>45940</v>
      </c>
      <c r="C7313" s="1" t="n">
        <v>46093</v>
      </c>
      <c r="D7313" t="inlineStr">
        <is>
          <t>VÄSTERNORRLANDS LÄN</t>
        </is>
      </c>
      <c r="E7313" t="inlineStr">
        <is>
          <t>SOLLEFTEÅ</t>
        </is>
      </c>
      <c r="F7313" t="inlineStr">
        <is>
          <t>SCA</t>
        </is>
      </c>
      <c r="G7313" t="n">
        <v>3.7</v>
      </c>
      <c r="H7313" t="n">
        <v>0</v>
      </c>
      <c r="I7313" t="n">
        <v>0</v>
      </c>
      <c r="J7313" t="n">
        <v>0</v>
      </c>
      <c r="K7313" t="n">
        <v>0</v>
      </c>
      <c r="L7313" t="n">
        <v>0</v>
      </c>
      <c r="M7313" t="n">
        <v>0</v>
      </c>
      <c r="N7313" t="n">
        <v>0</v>
      </c>
      <c r="O7313" t="n">
        <v>0</v>
      </c>
      <c r="P7313" t="n">
        <v>0</v>
      </c>
      <c r="Q7313" t="n">
        <v>0</v>
      </c>
      <c r="R7313" s="2" t="inlineStr"/>
    </row>
    <row r="7314" ht="15" customHeight="1">
      <c r="A7314" t="inlineStr">
        <is>
          <t>A 394-2024</t>
        </is>
      </c>
      <c r="B7314" s="1" t="n">
        <v>45296</v>
      </c>
      <c r="C7314" s="1" t="n">
        <v>46093</v>
      </c>
      <c r="D7314" t="inlineStr">
        <is>
          <t>VÄSTERNORRLANDS LÄN</t>
        </is>
      </c>
      <c r="E7314" t="inlineStr">
        <is>
          <t>SOLLEFTEÅ</t>
        </is>
      </c>
      <c r="G7314" t="n">
        <v>2.2</v>
      </c>
      <c r="H7314" t="n">
        <v>0</v>
      </c>
      <c r="I7314" t="n">
        <v>0</v>
      </c>
      <c r="J7314" t="n">
        <v>0</v>
      </c>
      <c r="K7314" t="n">
        <v>0</v>
      </c>
      <c r="L7314" t="n">
        <v>0</v>
      </c>
      <c r="M7314" t="n">
        <v>0</v>
      </c>
      <c r="N7314" t="n">
        <v>0</v>
      </c>
      <c r="O7314" t="n">
        <v>0</v>
      </c>
      <c r="P7314" t="n">
        <v>0</v>
      </c>
      <c r="Q7314" t="n">
        <v>0</v>
      </c>
      <c r="R7314" s="2" t="inlineStr"/>
    </row>
    <row r="7315" ht="15" customHeight="1">
      <c r="A7315" t="inlineStr">
        <is>
          <t>A 58481-2024</t>
        </is>
      </c>
      <c r="B7315" s="1" t="n">
        <v>45635.39123842592</v>
      </c>
      <c r="C7315" s="1" t="n">
        <v>46093</v>
      </c>
      <c r="D7315" t="inlineStr">
        <is>
          <t>VÄSTERNORRLANDS LÄN</t>
        </is>
      </c>
      <c r="E7315" t="inlineStr">
        <is>
          <t>ÖRNSKÖLDSVIK</t>
        </is>
      </c>
      <c r="G7315" t="n">
        <v>0.3</v>
      </c>
      <c r="H7315" t="n">
        <v>0</v>
      </c>
      <c r="I7315" t="n">
        <v>0</v>
      </c>
      <c r="J7315" t="n">
        <v>0</v>
      </c>
      <c r="K7315" t="n">
        <v>0</v>
      </c>
      <c r="L7315" t="n">
        <v>0</v>
      </c>
      <c r="M7315" t="n">
        <v>0</v>
      </c>
      <c r="N7315" t="n">
        <v>0</v>
      </c>
      <c r="O7315" t="n">
        <v>0</v>
      </c>
      <c r="P7315" t="n">
        <v>0</v>
      </c>
      <c r="Q7315" t="n">
        <v>0</v>
      </c>
      <c r="R7315" s="2" t="inlineStr"/>
    </row>
    <row r="7316" ht="15" customHeight="1">
      <c r="A7316" t="inlineStr">
        <is>
          <t>A 40098-2023</t>
        </is>
      </c>
      <c r="B7316" s="1" t="n">
        <v>45168.93726851852</v>
      </c>
      <c r="C7316" s="1" t="n">
        <v>46093</v>
      </c>
      <c r="D7316" t="inlineStr">
        <is>
          <t>VÄSTERNORRLANDS LÄN</t>
        </is>
      </c>
      <c r="E7316" t="inlineStr">
        <is>
          <t>SOLLEFTEÅ</t>
        </is>
      </c>
      <c r="F7316" t="inlineStr">
        <is>
          <t>SCA</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53640-2025</t>
        </is>
      </c>
      <c r="B7317" s="1" t="n">
        <v>45960.51094907407</v>
      </c>
      <c r="C7317" s="1" t="n">
        <v>46093</v>
      </c>
      <c r="D7317" t="inlineStr">
        <is>
          <t>VÄSTERNORRLANDS LÄN</t>
        </is>
      </c>
      <c r="E7317" t="inlineStr">
        <is>
          <t>ÖRNSKÖLDSVIK</t>
        </is>
      </c>
      <c r="F7317" t="inlineStr">
        <is>
          <t>Holmen skog AB</t>
        </is>
      </c>
      <c r="G7317" t="n">
        <v>9.6</v>
      </c>
      <c r="H7317" t="n">
        <v>0</v>
      </c>
      <c r="I7317" t="n">
        <v>0</v>
      </c>
      <c r="J7317" t="n">
        <v>0</v>
      </c>
      <c r="K7317" t="n">
        <v>0</v>
      </c>
      <c r="L7317" t="n">
        <v>0</v>
      </c>
      <c r="M7317" t="n">
        <v>0</v>
      </c>
      <c r="N7317" t="n">
        <v>0</v>
      </c>
      <c r="O7317" t="n">
        <v>0</v>
      </c>
      <c r="P7317" t="n">
        <v>0</v>
      </c>
      <c r="Q7317" t="n">
        <v>0</v>
      </c>
      <c r="R7317" s="2" t="inlineStr"/>
    </row>
    <row r="7318" ht="15" customHeight="1">
      <c r="A7318" t="inlineStr">
        <is>
          <t>A 37919-2025</t>
        </is>
      </c>
      <c r="B7318" s="1" t="n">
        <v>45881.57478009259</v>
      </c>
      <c r="C7318" s="1" t="n">
        <v>46093</v>
      </c>
      <c r="D7318" t="inlineStr">
        <is>
          <t>VÄSTERNORRLANDS LÄN</t>
        </is>
      </c>
      <c r="E7318" t="inlineStr">
        <is>
          <t>ÅNGE</t>
        </is>
      </c>
      <c r="F7318" t="inlineStr">
        <is>
          <t>SCA</t>
        </is>
      </c>
      <c r="G7318" t="n">
        <v>3.1</v>
      </c>
      <c r="H7318" t="n">
        <v>0</v>
      </c>
      <c r="I7318" t="n">
        <v>0</v>
      </c>
      <c r="J7318" t="n">
        <v>0</v>
      </c>
      <c r="K7318" t="n">
        <v>0</v>
      </c>
      <c r="L7318" t="n">
        <v>0</v>
      </c>
      <c r="M7318" t="n">
        <v>0</v>
      </c>
      <c r="N7318" t="n">
        <v>0</v>
      </c>
      <c r="O7318" t="n">
        <v>0</v>
      </c>
      <c r="P7318" t="n">
        <v>0</v>
      </c>
      <c r="Q7318" t="n">
        <v>0</v>
      </c>
      <c r="R7318" s="2" t="inlineStr"/>
    </row>
    <row r="7319" ht="15" customHeight="1">
      <c r="A7319" t="inlineStr">
        <is>
          <t>A 53733-2025</t>
        </is>
      </c>
      <c r="B7319" s="1" t="n">
        <v>45960.6437037037</v>
      </c>
      <c r="C7319" s="1" t="n">
        <v>46093</v>
      </c>
      <c r="D7319" t="inlineStr">
        <is>
          <t>VÄSTERNORRLANDS LÄN</t>
        </is>
      </c>
      <c r="E7319" t="inlineStr">
        <is>
          <t>ÖRNSKÖLDSVIK</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62098-2023</t>
        </is>
      </c>
      <c r="B7320" s="1" t="n">
        <v>45266</v>
      </c>
      <c r="C7320" s="1" t="n">
        <v>46093</v>
      </c>
      <c r="D7320" t="inlineStr">
        <is>
          <t>VÄSTERNORRLANDS LÄN</t>
        </is>
      </c>
      <c r="E7320" t="inlineStr">
        <is>
          <t>SOLLEFTEÅ</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62100-2023</t>
        </is>
      </c>
      <c r="B7321" s="1" t="n">
        <v>45266.92689814815</v>
      </c>
      <c r="C7321" s="1" t="n">
        <v>46093</v>
      </c>
      <c r="D7321" t="inlineStr">
        <is>
          <t>VÄSTERNORRLANDS LÄN</t>
        </is>
      </c>
      <c r="E7321" t="inlineStr">
        <is>
          <t>SOLLEFTEÅ</t>
        </is>
      </c>
      <c r="G7321" t="n">
        <v>16.6</v>
      </c>
      <c r="H7321" t="n">
        <v>0</v>
      </c>
      <c r="I7321" t="n">
        <v>0</v>
      </c>
      <c r="J7321" t="n">
        <v>0</v>
      </c>
      <c r="K7321" t="n">
        <v>0</v>
      </c>
      <c r="L7321" t="n">
        <v>0</v>
      </c>
      <c r="M7321" t="n">
        <v>0</v>
      </c>
      <c r="N7321" t="n">
        <v>0</v>
      </c>
      <c r="O7321" t="n">
        <v>0</v>
      </c>
      <c r="P7321" t="n">
        <v>0</v>
      </c>
      <c r="Q7321" t="n">
        <v>0</v>
      </c>
      <c r="R7321" s="2" t="inlineStr"/>
    </row>
    <row r="7322" ht="15" customHeight="1">
      <c r="A7322" t="inlineStr">
        <is>
          <t>A 53314-2025</t>
        </is>
      </c>
      <c r="B7322" s="1" t="n">
        <v>45959.34474537037</v>
      </c>
      <c r="C7322" s="1" t="n">
        <v>46093</v>
      </c>
      <c r="D7322" t="inlineStr">
        <is>
          <t>VÄSTERNORRLANDS LÄN</t>
        </is>
      </c>
      <c r="E7322" t="inlineStr">
        <is>
          <t>KRAMFORS</t>
        </is>
      </c>
      <c r="G7322" t="n">
        <v>2.7</v>
      </c>
      <c r="H7322" t="n">
        <v>0</v>
      </c>
      <c r="I7322" t="n">
        <v>0</v>
      </c>
      <c r="J7322" t="n">
        <v>0</v>
      </c>
      <c r="K7322" t="n">
        <v>0</v>
      </c>
      <c r="L7322" t="n">
        <v>0</v>
      </c>
      <c r="M7322" t="n">
        <v>0</v>
      </c>
      <c r="N7322" t="n">
        <v>0</v>
      </c>
      <c r="O7322" t="n">
        <v>0</v>
      </c>
      <c r="P7322" t="n">
        <v>0</v>
      </c>
      <c r="Q7322" t="n">
        <v>0</v>
      </c>
      <c r="R7322" s="2" t="inlineStr"/>
    </row>
    <row r="7323" ht="15" customHeight="1">
      <c r="A7323" t="inlineStr">
        <is>
          <t>A 37933-2025</t>
        </is>
      </c>
      <c r="B7323" s="1" t="n">
        <v>45881.59413194445</v>
      </c>
      <c r="C7323" s="1" t="n">
        <v>46093</v>
      </c>
      <c r="D7323" t="inlineStr">
        <is>
          <t>VÄSTERNORRLANDS LÄN</t>
        </is>
      </c>
      <c r="E7323" t="inlineStr">
        <is>
          <t>SUNDSVALL</t>
        </is>
      </c>
      <c r="G7323" t="n">
        <v>3.9</v>
      </c>
      <c r="H7323" t="n">
        <v>0</v>
      </c>
      <c r="I7323" t="n">
        <v>0</v>
      </c>
      <c r="J7323" t="n">
        <v>0</v>
      </c>
      <c r="K7323" t="n">
        <v>0</v>
      </c>
      <c r="L7323" t="n">
        <v>0</v>
      </c>
      <c r="M7323" t="n">
        <v>0</v>
      </c>
      <c r="N7323" t="n">
        <v>0</v>
      </c>
      <c r="O7323" t="n">
        <v>0</v>
      </c>
      <c r="P7323" t="n">
        <v>0</v>
      </c>
      <c r="Q7323" t="n">
        <v>0</v>
      </c>
      <c r="R7323" s="2" t="inlineStr"/>
    </row>
    <row r="7324" ht="15" customHeight="1">
      <c r="A7324" t="inlineStr">
        <is>
          <t>A 61010-2024</t>
        </is>
      </c>
      <c r="B7324" s="1" t="n">
        <v>45645.4458912037</v>
      </c>
      <c r="C7324" s="1" t="n">
        <v>46093</v>
      </c>
      <c r="D7324" t="inlineStr">
        <is>
          <t>VÄSTERNORRLANDS LÄN</t>
        </is>
      </c>
      <c r="E7324" t="inlineStr">
        <is>
          <t>KRAMFORS</t>
        </is>
      </c>
      <c r="G7324" t="n">
        <v>5.6</v>
      </c>
      <c r="H7324" t="n">
        <v>0</v>
      </c>
      <c r="I7324" t="n">
        <v>0</v>
      </c>
      <c r="J7324" t="n">
        <v>0</v>
      </c>
      <c r="K7324" t="n">
        <v>0</v>
      </c>
      <c r="L7324" t="n">
        <v>0</v>
      </c>
      <c r="M7324" t="n">
        <v>0</v>
      </c>
      <c r="N7324" t="n">
        <v>0</v>
      </c>
      <c r="O7324" t="n">
        <v>0</v>
      </c>
      <c r="P7324" t="n">
        <v>0</v>
      </c>
      <c r="Q7324" t="n">
        <v>0</v>
      </c>
      <c r="R7324" s="2" t="inlineStr"/>
    </row>
    <row r="7325" ht="15" customHeight="1">
      <c r="A7325" t="inlineStr">
        <is>
          <t>A 53468-2025</t>
        </is>
      </c>
      <c r="B7325" s="1" t="n">
        <v>45959.69859953703</v>
      </c>
      <c r="C7325" s="1" t="n">
        <v>46093</v>
      </c>
      <c r="D7325" t="inlineStr">
        <is>
          <t>VÄSTERNORRLANDS LÄN</t>
        </is>
      </c>
      <c r="E7325" t="inlineStr">
        <is>
          <t>SOLLEFTEÅ</t>
        </is>
      </c>
      <c r="F7325" t="inlineStr">
        <is>
          <t>SCA</t>
        </is>
      </c>
      <c r="G7325" t="n">
        <v>6.3</v>
      </c>
      <c r="H7325" t="n">
        <v>0</v>
      </c>
      <c r="I7325" t="n">
        <v>0</v>
      </c>
      <c r="J7325" t="n">
        <v>0</v>
      </c>
      <c r="K7325" t="n">
        <v>0</v>
      </c>
      <c r="L7325" t="n">
        <v>0</v>
      </c>
      <c r="M7325" t="n">
        <v>0</v>
      </c>
      <c r="N7325" t="n">
        <v>0</v>
      </c>
      <c r="O7325" t="n">
        <v>0</v>
      </c>
      <c r="P7325" t="n">
        <v>0</v>
      </c>
      <c r="Q7325" t="n">
        <v>0</v>
      </c>
      <c r="R7325" s="2" t="inlineStr"/>
    </row>
    <row r="7326" ht="15" customHeight="1">
      <c r="A7326" t="inlineStr">
        <is>
          <t>A 12258-2025</t>
        </is>
      </c>
      <c r="B7326" s="1" t="n">
        <v>45729.61900462963</v>
      </c>
      <c r="C7326" s="1" t="n">
        <v>46093</v>
      </c>
      <c r="D7326" t="inlineStr">
        <is>
          <t>VÄSTERNORRLANDS LÄN</t>
        </is>
      </c>
      <c r="E7326" t="inlineStr">
        <is>
          <t>KRAMFORS</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12786-2025</t>
        </is>
      </c>
      <c r="B7327" s="1" t="n">
        <v>45733.60231481482</v>
      </c>
      <c r="C7327" s="1" t="n">
        <v>46093</v>
      </c>
      <c r="D7327" t="inlineStr">
        <is>
          <t>VÄSTERNORRLANDS LÄN</t>
        </is>
      </c>
      <c r="E7327" t="inlineStr">
        <is>
          <t>TIMRÅ</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37802-2025</t>
        </is>
      </c>
      <c r="B7328" s="1" t="n">
        <v>45881.34447916667</v>
      </c>
      <c r="C7328" s="1" t="n">
        <v>46093</v>
      </c>
      <c r="D7328" t="inlineStr">
        <is>
          <t>VÄSTERNORRLANDS LÄN</t>
        </is>
      </c>
      <c r="E7328" t="inlineStr">
        <is>
          <t>ÅNGE</t>
        </is>
      </c>
      <c r="F7328" t="inlineStr">
        <is>
          <t>SCA</t>
        </is>
      </c>
      <c r="G7328" t="n">
        <v>4.2</v>
      </c>
      <c r="H7328" t="n">
        <v>0</v>
      </c>
      <c r="I7328" t="n">
        <v>0</v>
      </c>
      <c r="J7328" t="n">
        <v>0</v>
      </c>
      <c r="K7328" t="n">
        <v>0</v>
      </c>
      <c r="L7328" t="n">
        <v>0</v>
      </c>
      <c r="M7328" t="n">
        <v>0</v>
      </c>
      <c r="N7328" t="n">
        <v>0</v>
      </c>
      <c r="O7328" t="n">
        <v>0</v>
      </c>
      <c r="P7328" t="n">
        <v>0</v>
      </c>
      <c r="Q7328" t="n">
        <v>0</v>
      </c>
      <c r="R7328" s="2" t="inlineStr"/>
    </row>
    <row r="7329" ht="15" customHeight="1">
      <c r="A7329" t="inlineStr">
        <is>
          <t>A 53327-2025</t>
        </is>
      </c>
      <c r="B7329" s="1" t="n">
        <v>45959.36515046296</v>
      </c>
      <c r="C7329" s="1" t="n">
        <v>46093</v>
      </c>
      <c r="D7329" t="inlineStr">
        <is>
          <t>VÄSTERNORRLANDS LÄN</t>
        </is>
      </c>
      <c r="E7329" t="inlineStr">
        <is>
          <t>HÄRNÖSAND</t>
        </is>
      </c>
      <c r="G7329" t="n">
        <v>2.6</v>
      </c>
      <c r="H7329" t="n">
        <v>0</v>
      </c>
      <c r="I7329" t="n">
        <v>0</v>
      </c>
      <c r="J7329" t="n">
        <v>0</v>
      </c>
      <c r="K7329" t="n">
        <v>0</v>
      </c>
      <c r="L7329" t="n">
        <v>0</v>
      </c>
      <c r="M7329" t="n">
        <v>0</v>
      </c>
      <c r="N7329" t="n">
        <v>0</v>
      </c>
      <c r="O7329" t="n">
        <v>0</v>
      </c>
      <c r="P7329" t="n">
        <v>0</v>
      </c>
      <c r="Q7329" t="n">
        <v>0</v>
      </c>
      <c r="R7329" s="2" t="inlineStr"/>
    </row>
    <row r="7330" ht="15" customHeight="1">
      <c r="A7330" t="inlineStr">
        <is>
          <t>A 53328-2025</t>
        </is>
      </c>
      <c r="B7330" s="1" t="n">
        <v>45959.36518518518</v>
      </c>
      <c r="C7330" s="1" t="n">
        <v>46093</v>
      </c>
      <c r="D7330" t="inlineStr">
        <is>
          <t>VÄSTERNORRLANDS LÄN</t>
        </is>
      </c>
      <c r="E7330" t="inlineStr">
        <is>
          <t>HÄRNÖSAND</t>
        </is>
      </c>
      <c r="G7330" t="n">
        <v>2.5</v>
      </c>
      <c r="H7330" t="n">
        <v>0</v>
      </c>
      <c r="I7330" t="n">
        <v>0</v>
      </c>
      <c r="J7330" t="n">
        <v>0</v>
      </c>
      <c r="K7330" t="n">
        <v>0</v>
      </c>
      <c r="L7330" t="n">
        <v>0</v>
      </c>
      <c r="M7330" t="n">
        <v>0</v>
      </c>
      <c r="N7330" t="n">
        <v>0</v>
      </c>
      <c r="O7330" t="n">
        <v>0</v>
      </c>
      <c r="P7330" t="n">
        <v>0</v>
      </c>
      <c r="Q7330" t="n">
        <v>0</v>
      </c>
      <c r="R7330" s="2" t="inlineStr"/>
    </row>
    <row r="7331" ht="15" customHeight="1">
      <c r="A7331" t="inlineStr">
        <is>
          <t>A 17166-2025</t>
        </is>
      </c>
      <c r="B7331" s="1" t="n">
        <v>45756.36495370371</v>
      </c>
      <c r="C7331" s="1" t="n">
        <v>46093</v>
      </c>
      <c r="D7331" t="inlineStr">
        <is>
          <t>VÄSTERNORRLANDS LÄN</t>
        </is>
      </c>
      <c r="E7331" t="inlineStr">
        <is>
          <t>SUNDSVALL</t>
        </is>
      </c>
      <c r="F7331" t="inlineStr">
        <is>
          <t>SCA</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61577-2023</t>
        </is>
      </c>
      <c r="B7332" s="1" t="n">
        <v>45265.47366898148</v>
      </c>
      <c r="C7332" s="1" t="n">
        <v>46093</v>
      </c>
      <c r="D7332" t="inlineStr">
        <is>
          <t>VÄSTERNORRLANDS LÄN</t>
        </is>
      </c>
      <c r="E7332" t="inlineStr">
        <is>
          <t>ÅNGE</t>
        </is>
      </c>
      <c r="G7332" t="n">
        <v>2.9</v>
      </c>
      <c r="H7332" t="n">
        <v>0</v>
      </c>
      <c r="I7332" t="n">
        <v>0</v>
      </c>
      <c r="J7332" t="n">
        <v>0</v>
      </c>
      <c r="K7332" t="n">
        <v>0</v>
      </c>
      <c r="L7332" t="n">
        <v>0</v>
      </c>
      <c r="M7332" t="n">
        <v>0</v>
      </c>
      <c r="N7332" t="n">
        <v>0</v>
      </c>
      <c r="O7332" t="n">
        <v>0</v>
      </c>
      <c r="P7332" t="n">
        <v>0</v>
      </c>
      <c r="Q7332" t="n">
        <v>0</v>
      </c>
      <c r="R7332" s="2" t="inlineStr"/>
    </row>
    <row r="7333" ht="15" customHeight="1">
      <c r="A7333" t="inlineStr">
        <is>
          <t>A 53368-2025</t>
        </is>
      </c>
      <c r="B7333" s="1" t="n">
        <v>45959.49068287037</v>
      </c>
      <c r="C7333" s="1" t="n">
        <v>46093</v>
      </c>
      <c r="D7333" t="inlineStr">
        <is>
          <t>VÄSTERNORRLANDS LÄN</t>
        </is>
      </c>
      <c r="E7333" t="inlineStr">
        <is>
          <t>KRAMFORS</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53374-2025</t>
        </is>
      </c>
      <c r="B7334" s="1" t="n">
        <v>45959.51681712963</v>
      </c>
      <c r="C7334" s="1" t="n">
        <v>46093</v>
      </c>
      <c r="D7334" t="inlineStr">
        <is>
          <t>VÄSTERNORRLANDS LÄN</t>
        </is>
      </c>
      <c r="E7334" t="inlineStr">
        <is>
          <t>ÖRNSKÖLDSVIK</t>
        </is>
      </c>
      <c r="G7334" t="n">
        <v>2.1</v>
      </c>
      <c r="H7334" t="n">
        <v>0</v>
      </c>
      <c r="I7334" t="n">
        <v>0</v>
      </c>
      <c r="J7334" t="n">
        <v>0</v>
      </c>
      <c r="K7334" t="n">
        <v>0</v>
      </c>
      <c r="L7334" t="n">
        <v>0</v>
      </c>
      <c r="M7334" t="n">
        <v>0</v>
      </c>
      <c r="N7334" t="n">
        <v>0</v>
      </c>
      <c r="O7334" t="n">
        <v>0</v>
      </c>
      <c r="P7334" t="n">
        <v>0</v>
      </c>
      <c r="Q7334" t="n">
        <v>0</v>
      </c>
      <c r="R7334" s="2" t="inlineStr"/>
    </row>
    <row r="7335" ht="15" customHeight="1">
      <c r="A7335" t="inlineStr">
        <is>
          <t>A 49249-2025</t>
        </is>
      </c>
      <c r="B7335" s="1" t="n">
        <v>45938</v>
      </c>
      <c r="C7335" s="1" t="n">
        <v>46093</v>
      </c>
      <c r="D7335" t="inlineStr">
        <is>
          <t>VÄSTERNORRLANDS LÄN</t>
        </is>
      </c>
      <c r="E7335" t="inlineStr">
        <is>
          <t>SOLLEFTEÅ</t>
        </is>
      </c>
      <c r="F7335" t="inlineStr">
        <is>
          <t>SCA</t>
        </is>
      </c>
      <c r="G7335" t="n">
        <v>5.8</v>
      </c>
      <c r="H7335" t="n">
        <v>0</v>
      </c>
      <c r="I7335" t="n">
        <v>0</v>
      </c>
      <c r="J7335" t="n">
        <v>0</v>
      </c>
      <c r="K7335" t="n">
        <v>0</v>
      </c>
      <c r="L7335" t="n">
        <v>0</v>
      </c>
      <c r="M7335" t="n">
        <v>0</v>
      </c>
      <c r="N7335" t="n">
        <v>0</v>
      </c>
      <c r="O7335" t="n">
        <v>0</v>
      </c>
      <c r="P7335" t="n">
        <v>0</v>
      </c>
      <c r="Q7335" t="n">
        <v>0</v>
      </c>
      <c r="R7335" s="2" t="inlineStr"/>
    </row>
    <row r="7336" ht="15" customHeight="1">
      <c r="A7336" t="inlineStr">
        <is>
          <t>A 11248-2025</t>
        </is>
      </c>
      <c r="B7336" s="1" t="n">
        <v>45726</v>
      </c>
      <c r="C7336" s="1" t="n">
        <v>46093</v>
      </c>
      <c r="D7336" t="inlineStr">
        <is>
          <t>VÄSTERNORRLANDS LÄN</t>
        </is>
      </c>
      <c r="E7336" t="inlineStr">
        <is>
          <t>KRAMFORS</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53528-2025</t>
        </is>
      </c>
      <c r="B7337" s="1" t="n">
        <v>45960.36251157407</v>
      </c>
      <c r="C7337" s="1" t="n">
        <v>46093</v>
      </c>
      <c r="D7337" t="inlineStr">
        <is>
          <t>VÄSTERNORRLANDS LÄN</t>
        </is>
      </c>
      <c r="E7337" t="inlineStr">
        <is>
          <t>ÖRNSKÖLDSVIK</t>
        </is>
      </c>
      <c r="F7337" t="inlineStr">
        <is>
          <t>Holmen skog AB</t>
        </is>
      </c>
      <c r="G7337" t="n">
        <v>9.1</v>
      </c>
      <c r="H7337" t="n">
        <v>0</v>
      </c>
      <c r="I7337" t="n">
        <v>0</v>
      </c>
      <c r="J7337" t="n">
        <v>0</v>
      </c>
      <c r="K7337" t="n">
        <v>0</v>
      </c>
      <c r="L7337" t="n">
        <v>0</v>
      </c>
      <c r="M7337" t="n">
        <v>0</v>
      </c>
      <c r="N7337" t="n">
        <v>0</v>
      </c>
      <c r="O7337" t="n">
        <v>0</v>
      </c>
      <c r="P7337" t="n">
        <v>0</v>
      </c>
      <c r="Q7337" t="n">
        <v>0</v>
      </c>
      <c r="R7337" s="2" t="inlineStr"/>
    </row>
    <row r="7338" ht="15" customHeight="1">
      <c r="A7338" t="inlineStr">
        <is>
          <t>A 51297-2025</t>
        </is>
      </c>
      <c r="B7338" s="1" t="n">
        <v>45950.35905092592</v>
      </c>
      <c r="C7338" s="1" t="n">
        <v>46093</v>
      </c>
      <c r="D7338" t="inlineStr">
        <is>
          <t>VÄSTERNORRLANDS LÄN</t>
        </is>
      </c>
      <c r="E7338" t="inlineStr">
        <is>
          <t>ÖRNSKÖLDSVIK</t>
        </is>
      </c>
      <c r="F7338" t="inlineStr">
        <is>
          <t>Holmen skog AB</t>
        </is>
      </c>
      <c r="G7338" t="n">
        <v>16.9</v>
      </c>
      <c r="H7338" t="n">
        <v>0</v>
      </c>
      <c r="I7338" t="n">
        <v>0</v>
      </c>
      <c r="J7338" t="n">
        <v>0</v>
      </c>
      <c r="K7338" t="n">
        <v>0</v>
      </c>
      <c r="L7338" t="n">
        <v>0</v>
      </c>
      <c r="M7338" t="n">
        <v>0</v>
      </c>
      <c r="N7338" t="n">
        <v>0</v>
      </c>
      <c r="O7338" t="n">
        <v>0</v>
      </c>
      <c r="P7338" t="n">
        <v>0</v>
      </c>
      <c r="Q7338" t="n">
        <v>0</v>
      </c>
      <c r="R7338" s="2" t="inlineStr"/>
    </row>
    <row r="7339" ht="15" customHeight="1">
      <c r="A7339" t="inlineStr">
        <is>
          <t>A 1735-2025</t>
        </is>
      </c>
      <c r="B7339" s="1" t="n">
        <v>45671.38594907407</v>
      </c>
      <c r="C7339" s="1" t="n">
        <v>46093</v>
      </c>
      <c r="D7339" t="inlineStr">
        <is>
          <t>VÄSTERNORRLANDS LÄN</t>
        </is>
      </c>
      <c r="E7339" t="inlineStr">
        <is>
          <t>ÅNGE</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33591-2023</t>
        </is>
      </c>
      <c r="B7340" s="1" t="n">
        <v>45131</v>
      </c>
      <c r="C7340" s="1" t="n">
        <v>46093</v>
      </c>
      <c r="D7340" t="inlineStr">
        <is>
          <t>VÄSTERNORRLANDS LÄN</t>
        </is>
      </c>
      <c r="E7340" t="inlineStr">
        <is>
          <t>SOLLEFTEÅ</t>
        </is>
      </c>
      <c r="F7340" t="inlineStr">
        <is>
          <t>SCA</t>
        </is>
      </c>
      <c r="G7340" t="n">
        <v>4.9</v>
      </c>
      <c r="H7340" t="n">
        <v>0</v>
      </c>
      <c r="I7340" t="n">
        <v>0</v>
      </c>
      <c r="J7340" t="n">
        <v>0</v>
      </c>
      <c r="K7340" t="n">
        <v>0</v>
      </c>
      <c r="L7340" t="n">
        <v>0</v>
      </c>
      <c r="M7340" t="n">
        <v>0</v>
      </c>
      <c r="N7340" t="n">
        <v>0</v>
      </c>
      <c r="O7340" t="n">
        <v>0</v>
      </c>
      <c r="P7340" t="n">
        <v>0</v>
      </c>
      <c r="Q7340" t="n">
        <v>0</v>
      </c>
      <c r="R7340" s="2" t="inlineStr"/>
    </row>
    <row r="7341" ht="15" customHeight="1">
      <c r="A7341" t="inlineStr">
        <is>
          <t>A 45939-2023</t>
        </is>
      </c>
      <c r="B7341" s="1" t="n">
        <v>45195.94578703704</v>
      </c>
      <c r="C7341" s="1" t="n">
        <v>46093</v>
      </c>
      <c r="D7341" t="inlineStr">
        <is>
          <t>VÄSTERNORRLANDS LÄN</t>
        </is>
      </c>
      <c r="E7341" t="inlineStr">
        <is>
          <t>ÅNGE</t>
        </is>
      </c>
      <c r="F7341" t="inlineStr">
        <is>
          <t>SCA</t>
        </is>
      </c>
      <c r="G7341" t="n">
        <v>5.7</v>
      </c>
      <c r="H7341" t="n">
        <v>0</v>
      </c>
      <c r="I7341" t="n">
        <v>0</v>
      </c>
      <c r="J7341" t="n">
        <v>0</v>
      </c>
      <c r="K7341" t="n">
        <v>0</v>
      </c>
      <c r="L7341" t="n">
        <v>0</v>
      </c>
      <c r="M7341" t="n">
        <v>0</v>
      </c>
      <c r="N7341" t="n">
        <v>0</v>
      </c>
      <c r="O7341" t="n">
        <v>0</v>
      </c>
      <c r="P7341" t="n">
        <v>0</v>
      </c>
      <c r="Q7341" t="n">
        <v>0</v>
      </c>
      <c r="R7341" s="2" t="inlineStr"/>
    </row>
    <row r="7342" ht="15" customHeight="1">
      <c r="A7342" t="inlineStr">
        <is>
          <t>A 53639-2025</t>
        </is>
      </c>
      <c r="B7342" s="1" t="n">
        <v>45960</v>
      </c>
      <c r="C7342" s="1" t="n">
        <v>46093</v>
      </c>
      <c r="D7342" t="inlineStr">
        <is>
          <t>VÄSTERNORRLANDS LÄN</t>
        </is>
      </c>
      <c r="E7342" t="inlineStr">
        <is>
          <t>SOLLEFTEÅ</t>
        </is>
      </c>
      <c r="F7342" t="inlineStr">
        <is>
          <t>SCA</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53373-2025</t>
        </is>
      </c>
      <c r="B7343" s="1" t="n">
        <v>45959.50439814815</v>
      </c>
      <c r="C7343" s="1" t="n">
        <v>46093</v>
      </c>
      <c r="D7343" t="inlineStr">
        <is>
          <t>VÄSTERNORRLANDS LÄN</t>
        </is>
      </c>
      <c r="E7343" t="inlineStr">
        <is>
          <t>KRAMFORS</t>
        </is>
      </c>
      <c r="G7343" t="n">
        <v>2.2</v>
      </c>
      <c r="H7343" t="n">
        <v>0</v>
      </c>
      <c r="I7343" t="n">
        <v>0</v>
      </c>
      <c r="J7343" t="n">
        <v>0</v>
      </c>
      <c r="K7343" t="n">
        <v>0</v>
      </c>
      <c r="L7343" t="n">
        <v>0</v>
      </c>
      <c r="M7343" t="n">
        <v>0</v>
      </c>
      <c r="N7343" t="n">
        <v>0</v>
      </c>
      <c r="O7343" t="n">
        <v>0</v>
      </c>
      <c r="P7343" t="n">
        <v>0</v>
      </c>
      <c r="Q7343" t="n">
        <v>0</v>
      </c>
      <c r="R7343" s="2" t="inlineStr"/>
    </row>
    <row r="7344" ht="15" customHeight="1">
      <c r="A7344" t="inlineStr">
        <is>
          <t>A 53381-2025</t>
        </is>
      </c>
      <c r="B7344" s="1" t="n">
        <v>45959.53690972222</v>
      </c>
      <c r="C7344" s="1" t="n">
        <v>46093</v>
      </c>
      <c r="D7344" t="inlineStr">
        <is>
          <t>VÄSTERNORRLANDS LÄN</t>
        </is>
      </c>
      <c r="E7344" t="inlineStr">
        <is>
          <t>ÅNGE</t>
        </is>
      </c>
      <c r="G7344" t="n">
        <v>9.6</v>
      </c>
      <c r="H7344" t="n">
        <v>0</v>
      </c>
      <c r="I7344" t="n">
        <v>0</v>
      </c>
      <c r="J7344" t="n">
        <v>0</v>
      </c>
      <c r="K7344" t="n">
        <v>0</v>
      </c>
      <c r="L7344" t="n">
        <v>0</v>
      </c>
      <c r="M7344" t="n">
        <v>0</v>
      </c>
      <c r="N7344" t="n">
        <v>0</v>
      </c>
      <c r="O7344" t="n">
        <v>0</v>
      </c>
      <c r="P7344" t="n">
        <v>0</v>
      </c>
      <c r="Q7344" t="n">
        <v>0</v>
      </c>
      <c r="R7344" s="2" t="inlineStr"/>
    </row>
    <row r="7345" ht="15" customHeight="1">
      <c r="A7345" t="inlineStr">
        <is>
          <t>A 61616-2024</t>
        </is>
      </c>
      <c r="B7345" s="1" t="n">
        <v>45645</v>
      </c>
      <c r="C7345" s="1" t="n">
        <v>46093</v>
      </c>
      <c r="D7345" t="inlineStr">
        <is>
          <t>VÄSTERNORRLANDS LÄN</t>
        </is>
      </c>
      <c r="E7345" t="inlineStr">
        <is>
          <t>SOLLEFTEÅ</t>
        </is>
      </c>
      <c r="G7345" t="n">
        <v>6.5</v>
      </c>
      <c r="H7345" t="n">
        <v>0</v>
      </c>
      <c r="I7345" t="n">
        <v>0</v>
      </c>
      <c r="J7345" t="n">
        <v>0</v>
      </c>
      <c r="K7345" t="n">
        <v>0</v>
      </c>
      <c r="L7345" t="n">
        <v>0</v>
      </c>
      <c r="M7345" t="n">
        <v>0</v>
      </c>
      <c r="N7345" t="n">
        <v>0</v>
      </c>
      <c r="O7345" t="n">
        <v>0</v>
      </c>
      <c r="P7345" t="n">
        <v>0</v>
      </c>
      <c r="Q7345" t="n">
        <v>0</v>
      </c>
      <c r="R7345" s="2" t="inlineStr"/>
    </row>
    <row r="7346" ht="15" customHeight="1">
      <c r="A7346" t="inlineStr">
        <is>
          <t>A 3161-2022</t>
        </is>
      </c>
      <c r="B7346" s="1" t="n">
        <v>44582.58618055555</v>
      </c>
      <c r="C7346" s="1" t="n">
        <v>46093</v>
      </c>
      <c r="D7346" t="inlineStr">
        <is>
          <t>VÄSTERNORRLANDS LÄN</t>
        </is>
      </c>
      <c r="E7346" t="inlineStr">
        <is>
          <t>SUNDSVALL</t>
        </is>
      </c>
      <c r="G7346" t="n">
        <v>2.7</v>
      </c>
      <c r="H7346" t="n">
        <v>0</v>
      </c>
      <c r="I7346" t="n">
        <v>0</v>
      </c>
      <c r="J7346" t="n">
        <v>0</v>
      </c>
      <c r="K7346" t="n">
        <v>0</v>
      </c>
      <c r="L7346" t="n">
        <v>0</v>
      </c>
      <c r="M7346" t="n">
        <v>0</v>
      </c>
      <c r="N7346" t="n">
        <v>0</v>
      </c>
      <c r="O7346" t="n">
        <v>0</v>
      </c>
      <c r="P7346" t="n">
        <v>0</v>
      </c>
      <c r="Q7346" t="n">
        <v>0</v>
      </c>
      <c r="R7346" s="2" t="inlineStr"/>
    </row>
    <row r="7347" ht="15" customHeight="1">
      <c r="A7347" t="inlineStr">
        <is>
          <t>A 53791-2025</t>
        </is>
      </c>
      <c r="B7347" s="1" t="n">
        <v>45960.72030092592</v>
      </c>
      <c r="C7347" s="1" t="n">
        <v>46093</v>
      </c>
      <c r="D7347" t="inlineStr">
        <is>
          <t>VÄSTERNORRLANDS LÄN</t>
        </is>
      </c>
      <c r="E7347" t="inlineStr">
        <is>
          <t>KRAMFORS</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53792-2025</t>
        </is>
      </c>
      <c r="B7348" s="1" t="n">
        <v>45960.72216435185</v>
      </c>
      <c r="C7348" s="1" t="n">
        <v>46093</v>
      </c>
      <c r="D7348" t="inlineStr">
        <is>
          <t>VÄSTERNORRLANDS LÄN</t>
        </is>
      </c>
      <c r="E7348" t="inlineStr">
        <is>
          <t>KRAMFORS</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53713-2025</t>
        </is>
      </c>
      <c r="B7349" s="1" t="n">
        <v>45960.61568287037</v>
      </c>
      <c r="C7349" s="1" t="n">
        <v>46093</v>
      </c>
      <c r="D7349" t="inlineStr">
        <is>
          <t>VÄSTERNORRLANDS LÄN</t>
        </is>
      </c>
      <c r="E7349" t="inlineStr">
        <is>
          <t>ÅNGE</t>
        </is>
      </c>
      <c r="F7349" t="inlineStr">
        <is>
          <t>SCA</t>
        </is>
      </c>
      <c r="G7349" t="n">
        <v>4.7</v>
      </c>
      <c r="H7349" t="n">
        <v>0</v>
      </c>
      <c r="I7349" t="n">
        <v>0</v>
      </c>
      <c r="J7349" t="n">
        <v>0</v>
      </c>
      <c r="K7349" t="n">
        <v>0</v>
      </c>
      <c r="L7349" t="n">
        <v>0</v>
      </c>
      <c r="M7349" t="n">
        <v>0</v>
      </c>
      <c r="N7349" t="n">
        <v>0</v>
      </c>
      <c r="O7349" t="n">
        <v>0</v>
      </c>
      <c r="P7349" t="n">
        <v>0</v>
      </c>
      <c r="Q7349" t="n">
        <v>0</v>
      </c>
      <c r="R7349" s="2" t="inlineStr"/>
    </row>
    <row r="7350" ht="15" customHeight="1">
      <c r="A7350" t="inlineStr">
        <is>
          <t>A 373-2025</t>
        </is>
      </c>
      <c r="B7350" s="1" t="n">
        <v>45661.62334490741</v>
      </c>
      <c r="C7350" s="1" t="n">
        <v>46093</v>
      </c>
      <c r="D7350" t="inlineStr">
        <is>
          <t>VÄSTERNORRLANDS LÄN</t>
        </is>
      </c>
      <c r="E7350" t="inlineStr">
        <is>
          <t>ÖRNSKÖLDSVIK</t>
        </is>
      </c>
      <c r="G7350" t="n">
        <v>0.3</v>
      </c>
      <c r="H7350" t="n">
        <v>0</v>
      </c>
      <c r="I7350" t="n">
        <v>0</v>
      </c>
      <c r="J7350" t="n">
        <v>0</v>
      </c>
      <c r="K7350" t="n">
        <v>0</v>
      </c>
      <c r="L7350" t="n">
        <v>0</v>
      </c>
      <c r="M7350" t="n">
        <v>0</v>
      </c>
      <c r="N7350" t="n">
        <v>0</v>
      </c>
      <c r="O7350" t="n">
        <v>0</v>
      </c>
      <c r="P7350" t="n">
        <v>0</v>
      </c>
      <c r="Q7350" t="n">
        <v>0</v>
      </c>
      <c r="R7350" s="2" t="inlineStr"/>
    </row>
    <row r="7351" ht="15" customHeight="1">
      <c r="A7351" t="inlineStr">
        <is>
          <t>A 38092-2025</t>
        </is>
      </c>
      <c r="B7351" s="1" t="n">
        <v>45882.49005787037</v>
      </c>
      <c r="C7351" s="1" t="n">
        <v>46093</v>
      </c>
      <c r="D7351" t="inlineStr">
        <is>
          <t>VÄSTERNORRLANDS LÄN</t>
        </is>
      </c>
      <c r="E7351" t="inlineStr">
        <is>
          <t>SOLLEFTEÅ</t>
        </is>
      </c>
      <c r="F7351" t="inlineStr">
        <is>
          <t>SCA</t>
        </is>
      </c>
      <c r="G7351" t="n">
        <v>4.4</v>
      </c>
      <c r="H7351" t="n">
        <v>0</v>
      </c>
      <c r="I7351" t="n">
        <v>0</v>
      </c>
      <c r="J7351" t="n">
        <v>0</v>
      </c>
      <c r="K7351" t="n">
        <v>0</v>
      </c>
      <c r="L7351" t="n">
        <v>0</v>
      </c>
      <c r="M7351" t="n">
        <v>0</v>
      </c>
      <c r="N7351" t="n">
        <v>0</v>
      </c>
      <c r="O7351" t="n">
        <v>0</v>
      </c>
      <c r="P7351" t="n">
        <v>0</v>
      </c>
      <c r="Q7351" t="n">
        <v>0</v>
      </c>
      <c r="R7351" s="2" t="inlineStr"/>
    </row>
    <row r="7352" ht="15" customHeight="1">
      <c r="A7352" t="inlineStr">
        <is>
          <t>A 28716-2025</t>
        </is>
      </c>
      <c r="B7352" s="1" t="n">
        <v>45820.34417824074</v>
      </c>
      <c r="C7352" s="1" t="n">
        <v>46093</v>
      </c>
      <c r="D7352" t="inlineStr">
        <is>
          <t>VÄSTERNORRLANDS LÄN</t>
        </is>
      </c>
      <c r="E7352" t="inlineStr">
        <is>
          <t>ÖRNSKÖLDSVIK</t>
        </is>
      </c>
      <c r="F7352" t="inlineStr">
        <is>
          <t>Holmen skog AB</t>
        </is>
      </c>
      <c r="G7352" t="n">
        <v>2.6</v>
      </c>
      <c r="H7352" t="n">
        <v>0</v>
      </c>
      <c r="I7352" t="n">
        <v>0</v>
      </c>
      <c r="J7352" t="n">
        <v>0</v>
      </c>
      <c r="K7352" t="n">
        <v>0</v>
      </c>
      <c r="L7352" t="n">
        <v>0</v>
      </c>
      <c r="M7352" t="n">
        <v>0</v>
      </c>
      <c r="N7352" t="n">
        <v>0</v>
      </c>
      <c r="O7352" t="n">
        <v>0</v>
      </c>
      <c r="P7352" t="n">
        <v>0</v>
      </c>
      <c r="Q7352" t="n">
        <v>0</v>
      </c>
      <c r="R7352" s="2" t="inlineStr"/>
    </row>
    <row r="7353" ht="15" customHeight="1">
      <c r="A7353" t="inlineStr">
        <is>
          <t>A 53508-2025</t>
        </is>
      </c>
      <c r="B7353" s="1" t="n">
        <v>45960.34491898148</v>
      </c>
      <c r="C7353" s="1" t="n">
        <v>46093</v>
      </c>
      <c r="D7353" t="inlineStr">
        <is>
          <t>VÄSTERNORRLANDS LÄN</t>
        </is>
      </c>
      <c r="E7353" t="inlineStr">
        <is>
          <t>TIMRÅ</t>
        </is>
      </c>
      <c r="F7353" t="inlineStr">
        <is>
          <t>SCA</t>
        </is>
      </c>
      <c r="G7353" t="n">
        <v>3.1</v>
      </c>
      <c r="H7353" t="n">
        <v>0</v>
      </c>
      <c r="I7353" t="n">
        <v>0</v>
      </c>
      <c r="J7353" t="n">
        <v>0</v>
      </c>
      <c r="K7353" t="n">
        <v>0</v>
      </c>
      <c r="L7353" t="n">
        <v>0</v>
      </c>
      <c r="M7353" t="n">
        <v>0</v>
      </c>
      <c r="N7353" t="n">
        <v>0</v>
      </c>
      <c r="O7353" t="n">
        <v>0</v>
      </c>
      <c r="P7353" t="n">
        <v>0</v>
      </c>
      <c r="Q7353" t="n">
        <v>0</v>
      </c>
      <c r="R7353" s="2" t="inlineStr"/>
    </row>
    <row r="7354" ht="15" customHeight="1">
      <c r="A7354" t="inlineStr">
        <is>
          <t>A 15314-2024</t>
        </is>
      </c>
      <c r="B7354" s="1" t="n">
        <v>45400</v>
      </c>
      <c r="C7354" s="1" t="n">
        <v>46093</v>
      </c>
      <c r="D7354" t="inlineStr">
        <is>
          <t>VÄSTERNORRLANDS LÄN</t>
        </is>
      </c>
      <c r="E7354" t="inlineStr">
        <is>
          <t>KRAMFORS</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53321-2025</t>
        </is>
      </c>
      <c r="B7355" s="1" t="n">
        <v>45959.35797453704</v>
      </c>
      <c r="C7355" s="1" t="n">
        <v>46093</v>
      </c>
      <c r="D7355" t="inlineStr">
        <is>
          <t>VÄSTERNORRLANDS LÄN</t>
        </is>
      </c>
      <c r="E7355" t="inlineStr">
        <is>
          <t>ÖRNSKÖLDSVIK</t>
        </is>
      </c>
      <c r="G7355" t="n">
        <v>3</v>
      </c>
      <c r="H7355" t="n">
        <v>0</v>
      </c>
      <c r="I7355" t="n">
        <v>0</v>
      </c>
      <c r="J7355" t="n">
        <v>0</v>
      </c>
      <c r="K7355" t="n">
        <v>0</v>
      </c>
      <c r="L7355" t="n">
        <v>0</v>
      </c>
      <c r="M7355" t="n">
        <v>0</v>
      </c>
      <c r="N7355" t="n">
        <v>0</v>
      </c>
      <c r="O7355" t="n">
        <v>0</v>
      </c>
      <c r="P7355" t="n">
        <v>0</v>
      </c>
      <c r="Q7355" t="n">
        <v>0</v>
      </c>
      <c r="R7355" s="2" t="inlineStr"/>
    </row>
    <row r="7356" ht="15" customHeight="1">
      <c r="A7356" t="inlineStr">
        <is>
          <t>A 53428-2025</t>
        </is>
      </c>
      <c r="B7356" s="1" t="n">
        <v>45959.61526620371</v>
      </c>
      <c r="C7356" s="1" t="n">
        <v>46093</v>
      </c>
      <c r="D7356" t="inlineStr">
        <is>
          <t>VÄSTERNORRLANDS LÄN</t>
        </is>
      </c>
      <c r="E7356" t="inlineStr">
        <is>
          <t>SOLLEFTEÅ</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9121-2024</t>
        </is>
      </c>
      <c r="B7357" s="1" t="n">
        <v>45358.04099537037</v>
      </c>
      <c r="C7357" s="1" t="n">
        <v>46093</v>
      </c>
      <c r="D7357" t="inlineStr">
        <is>
          <t>VÄSTERNORRLANDS LÄN</t>
        </is>
      </c>
      <c r="E7357" t="inlineStr">
        <is>
          <t>SOLLEFTEÅ</t>
        </is>
      </c>
      <c r="F7357" t="inlineStr">
        <is>
          <t>SCA</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61585-2022</t>
        </is>
      </c>
      <c r="B7358" s="1" t="n">
        <v>44916.63380787037</v>
      </c>
      <c r="C7358" s="1" t="n">
        <v>46093</v>
      </c>
      <c r="D7358" t="inlineStr">
        <is>
          <t>VÄSTERNORRLANDS LÄN</t>
        </is>
      </c>
      <c r="E7358" t="inlineStr">
        <is>
          <t>ÅNGE</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51668-2024</t>
        </is>
      </c>
      <c r="B7359" s="1" t="n">
        <v>45606.84892361111</v>
      </c>
      <c r="C7359" s="1" t="n">
        <v>46093</v>
      </c>
      <c r="D7359" t="inlineStr">
        <is>
          <t>VÄSTERNORRLANDS LÄN</t>
        </is>
      </c>
      <c r="E7359" t="inlineStr">
        <is>
          <t>ÖRNSKÖLDSVIK</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23488-2023</t>
        </is>
      </c>
      <c r="B7360" s="1" t="n">
        <v>45072</v>
      </c>
      <c r="C7360" s="1" t="n">
        <v>46093</v>
      </c>
      <c r="D7360" t="inlineStr">
        <is>
          <t>VÄSTERNORRLANDS LÄN</t>
        </is>
      </c>
      <c r="E7360" t="inlineStr">
        <is>
          <t>SOLLEFTEÅ</t>
        </is>
      </c>
      <c r="G7360" t="n">
        <v>3.9</v>
      </c>
      <c r="H7360" t="n">
        <v>0</v>
      </c>
      <c r="I7360" t="n">
        <v>0</v>
      </c>
      <c r="J7360" t="n">
        <v>0</v>
      </c>
      <c r="K7360" t="n">
        <v>0</v>
      </c>
      <c r="L7360" t="n">
        <v>0</v>
      </c>
      <c r="M7360" t="n">
        <v>0</v>
      </c>
      <c r="N7360" t="n">
        <v>0</v>
      </c>
      <c r="O7360" t="n">
        <v>0</v>
      </c>
      <c r="P7360" t="n">
        <v>0</v>
      </c>
      <c r="Q7360" t="n">
        <v>0</v>
      </c>
      <c r="R7360" s="2" t="inlineStr"/>
    </row>
    <row r="7361" ht="15" customHeight="1">
      <c r="A7361" t="inlineStr">
        <is>
          <t>A 34011-2024</t>
        </is>
      </c>
      <c r="B7361" s="1" t="n">
        <v>45523</v>
      </c>
      <c r="C7361" s="1" t="n">
        <v>46093</v>
      </c>
      <c r="D7361" t="inlineStr">
        <is>
          <t>VÄSTERNORRLANDS LÄN</t>
        </is>
      </c>
      <c r="E7361" t="inlineStr">
        <is>
          <t>HÄRNÖSAND</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53553-2025</t>
        </is>
      </c>
      <c r="B7362" s="1" t="n">
        <v>45960.38935185185</v>
      </c>
      <c r="C7362" s="1" t="n">
        <v>46093</v>
      </c>
      <c r="D7362" t="inlineStr">
        <is>
          <t>VÄSTERNORRLANDS LÄN</t>
        </is>
      </c>
      <c r="E7362" t="inlineStr">
        <is>
          <t>ÖRNSKÖLDSVIK</t>
        </is>
      </c>
      <c r="F7362" t="inlineStr">
        <is>
          <t>Holmen skog AB</t>
        </is>
      </c>
      <c r="G7362" t="n">
        <v>3</v>
      </c>
      <c r="H7362" t="n">
        <v>0</v>
      </c>
      <c r="I7362" t="n">
        <v>0</v>
      </c>
      <c r="J7362" t="n">
        <v>0</v>
      </c>
      <c r="K7362" t="n">
        <v>0</v>
      </c>
      <c r="L7362" t="n">
        <v>0</v>
      </c>
      <c r="M7362" t="n">
        <v>0</v>
      </c>
      <c r="N7362" t="n">
        <v>0</v>
      </c>
      <c r="O7362" t="n">
        <v>0</v>
      </c>
      <c r="P7362" t="n">
        <v>0</v>
      </c>
      <c r="Q7362" t="n">
        <v>0</v>
      </c>
      <c r="R7362" s="2" t="inlineStr"/>
    </row>
    <row r="7363" ht="15" customHeight="1">
      <c r="A7363" t="inlineStr">
        <is>
          <t>A 55588-2024</t>
        </is>
      </c>
      <c r="B7363" s="1" t="n">
        <v>45622</v>
      </c>
      <c r="C7363" s="1" t="n">
        <v>46093</v>
      </c>
      <c r="D7363" t="inlineStr">
        <is>
          <t>VÄSTERNORRLANDS LÄN</t>
        </is>
      </c>
      <c r="E7363" t="inlineStr">
        <is>
          <t>TIMRÅ</t>
        </is>
      </c>
      <c r="G7363" t="n">
        <v>2.9</v>
      </c>
      <c r="H7363" t="n">
        <v>0</v>
      </c>
      <c r="I7363" t="n">
        <v>0</v>
      </c>
      <c r="J7363" t="n">
        <v>0</v>
      </c>
      <c r="K7363" t="n">
        <v>0</v>
      </c>
      <c r="L7363" t="n">
        <v>0</v>
      </c>
      <c r="M7363" t="n">
        <v>0</v>
      </c>
      <c r="N7363" t="n">
        <v>0</v>
      </c>
      <c r="O7363" t="n">
        <v>0</v>
      </c>
      <c r="P7363" t="n">
        <v>0</v>
      </c>
      <c r="Q7363" t="n">
        <v>0</v>
      </c>
      <c r="R7363" s="2" t="inlineStr"/>
    </row>
    <row r="7364" ht="15" customHeight="1">
      <c r="A7364" t="inlineStr">
        <is>
          <t>A 10282-2025</t>
        </is>
      </c>
      <c r="B7364" s="1" t="n">
        <v>45720.40659722222</v>
      </c>
      <c r="C7364" s="1" t="n">
        <v>46093</v>
      </c>
      <c r="D7364" t="inlineStr">
        <is>
          <t>VÄSTERNORRLANDS LÄN</t>
        </is>
      </c>
      <c r="E7364" t="inlineStr">
        <is>
          <t>ÅNGE</t>
        </is>
      </c>
      <c r="F7364" t="inlineStr">
        <is>
          <t>SCA</t>
        </is>
      </c>
      <c r="G7364" t="n">
        <v>3.8</v>
      </c>
      <c r="H7364" t="n">
        <v>0</v>
      </c>
      <c r="I7364" t="n">
        <v>0</v>
      </c>
      <c r="J7364" t="n">
        <v>0</v>
      </c>
      <c r="K7364" t="n">
        <v>0</v>
      </c>
      <c r="L7364" t="n">
        <v>0</v>
      </c>
      <c r="M7364" t="n">
        <v>0</v>
      </c>
      <c r="N7364" t="n">
        <v>0</v>
      </c>
      <c r="O7364" t="n">
        <v>0</v>
      </c>
      <c r="P7364" t="n">
        <v>0</v>
      </c>
      <c r="Q7364" t="n">
        <v>0</v>
      </c>
      <c r="R7364" s="2" t="inlineStr"/>
    </row>
    <row r="7365" ht="15" customHeight="1">
      <c r="A7365" t="inlineStr">
        <is>
          <t>A 53790-2025</t>
        </is>
      </c>
      <c r="B7365" s="1" t="n">
        <v>45960.72025462963</v>
      </c>
      <c r="C7365" s="1" t="n">
        <v>46093</v>
      </c>
      <c r="D7365" t="inlineStr">
        <is>
          <t>VÄSTERNORRLANDS LÄN</t>
        </is>
      </c>
      <c r="E7365" t="inlineStr">
        <is>
          <t>KRAMFORS</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41200-2024</t>
        </is>
      </c>
      <c r="B7366" s="1" t="n">
        <v>45559.51616898148</v>
      </c>
      <c r="C7366" s="1" t="n">
        <v>46093</v>
      </c>
      <c r="D7366" t="inlineStr">
        <is>
          <t>VÄSTERNORRLANDS LÄN</t>
        </is>
      </c>
      <c r="E7366" t="inlineStr">
        <is>
          <t>SUNDSVALL</t>
        </is>
      </c>
      <c r="G7366" t="n">
        <v>2.5</v>
      </c>
      <c r="H7366" t="n">
        <v>0</v>
      </c>
      <c r="I7366" t="n">
        <v>0</v>
      </c>
      <c r="J7366" t="n">
        <v>0</v>
      </c>
      <c r="K7366" t="n">
        <v>0</v>
      </c>
      <c r="L7366" t="n">
        <v>0</v>
      </c>
      <c r="M7366" t="n">
        <v>0</v>
      </c>
      <c r="N7366" t="n">
        <v>0</v>
      </c>
      <c r="O7366" t="n">
        <v>0</v>
      </c>
      <c r="P7366" t="n">
        <v>0</v>
      </c>
      <c r="Q7366" t="n">
        <v>0</v>
      </c>
      <c r="R7366" s="2" t="inlineStr"/>
    </row>
    <row r="7367" ht="15" customHeight="1">
      <c r="A7367" t="inlineStr">
        <is>
          <t>A 3574-2025</t>
        </is>
      </c>
      <c r="B7367" s="1" t="n">
        <v>45680.71916666667</v>
      </c>
      <c r="C7367" s="1" t="n">
        <v>46093</v>
      </c>
      <c r="D7367" t="inlineStr">
        <is>
          <t>VÄSTERNORRLANDS LÄN</t>
        </is>
      </c>
      <c r="E7367" t="inlineStr">
        <is>
          <t>ÅNGE</t>
        </is>
      </c>
      <c r="F7367" t="inlineStr">
        <is>
          <t>SCA</t>
        </is>
      </c>
      <c r="G7367" t="n">
        <v>4.4</v>
      </c>
      <c r="H7367" t="n">
        <v>0</v>
      </c>
      <c r="I7367" t="n">
        <v>0</v>
      </c>
      <c r="J7367" t="n">
        <v>0</v>
      </c>
      <c r="K7367" t="n">
        <v>0</v>
      </c>
      <c r="L7367" t="n">
        <v>0</v>
      </c>
      <c r="M7367" t="n">
        <v>0</v>
      </c>
      <c r="N7367" t="n">
        <v>0</v>
      </c>
      <c r="O7367" t="n">
        <v>0</v>
      </c>
      <c r="P7367" t="n">
        <v>0</v>
      </c>
      <c r="Q7367" t="n">
        <v>0</v>
      </c>
      <c r="R7367" s="2" t="inlineStr"/>
    </row>
    <row r="7368" ht="15" customHeight="1">
      <c r="A7368" t="inlineStr">
        <is>
          <t>A 53611-2025</t>
        </is>
      </c>
      <c r="B7368" s="1" t="n">
        <v>45960.46984953704</v>
      </c>
      <c r="C7368" s="1" t="n">
        <v>46093</v>
      </c>
      <c r="D7368" t="inlineStr">
        <is>
          <t>VÄSTERNORRLANDS LÄN</t>
        </is>
      </c>
      <c r="E7368" t="inlineStr">
        <is>
          <t>SUNDSVALL</t>
        </is>
      </c>
      <c r="F7368" t="inlineStr">
        <is>
          <t>SCA</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53382-2025</t>
        </is>
      </c>
      <c r="B7369" s="1" t="n">
        <v>45959</v>
      </c>
      <c r="C7369" s="1" t="n">
        <v>46093</v>
      </c>
      <c r="D7369" t="inlineStr">
        <is>
          <t>VÄSTERNORRLANDS LÄN</t>
        </is>
      </c>
      <c r="E7369" t="inlineStr">
        <is>
          <t>SOLLEFTEÅ</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53916-2025</t>
        </is>
      </c>
      <c r="B7370" s="1" t="n">
        <v>45961.4484837963</v>
      </c>
      <c r="C7370" s="1" t="n">
        <v>46093</v>
      </c>
      <c r="D7370" t="inlineStr">
        <is>
          <t>VÄSTERNORRLANDS LÄN</t>
        </is>
      </c>
      <c r="E7370" t="inlineStr">
        <is>
          <t>SUNDSVALL</t>
        </is>
      </c>
      <c r="F7370" t="inlineStr">
        <is>
          <t>SCA</t>
        </is>
      </c>
      <c r="G7370" t="n">
        <v>4.4</v>
      </c>
      <c r="H7370" t="n">
        <v>0</v>
      </c>
      <c r="I7370" t="n">
        <v>0</v>
      </c>
      <c r="J7370" t="n">
        <v>0</v>
      </c>
      <c r="K7370" t="n">
        <v>0</v>
      </c>
      <c r="L7370" t="n">
        <v>0</v>
      </c>
      <c r="M7370" t="n">
        <v>0</v>
      </c>
      <c r="N7370" t="n">
        <v>0</v>
      </c>
      <c r="O7370" t="n">
        <v>0</v>
      </c>
      <c r="P7370" t="n">
        <v>0</v>
      </c>
      <c r="Q7370" t="n">
        <v>0</v>
      </c>
      <c r="R7370" s="2" t="inlineStr"/>
    </row>
    <row r="7371" ht="15" customHeight="1">
      <c r="A7371" t="inlineStr">
        <is>
          <t>A 53922-2025</t>
        </is>
      </c>
      <c r="B7371" s="1" t="n">
        <v>45961.45351851852</v>
      </c>
      <c r="C7371" s="1" t="n">
        <v>46093</v>
      </c>
      <c r="D7371" t="inlineStr">
        <is>
          <t>VÄSTERNORRLANDS LÄN</t>
        </is>
      </c>
      <c r="E7371" t="inlineStr">
        <is>
          <t>ÖRNSKÖLDSVIK</t>
        </is>
      </c>
      <c r="F7371" t="inlineStr">
        <is>
          <t>Holmen skog AB</t>
        </is>
      </c>
      <c r="G7371" t="n">
        <v>2.1</v>
      </c>
      <c r="H7371" t="n">
        <v>0</v>
      </c>
      <c r="I7371" t="n">
        <v>0</v>
      </c>
      <c r="J7371" t="n">
        <v>0</v>
      </c>
      <c r="K7371" t="n">
        <v>0</v>
      </c>
      <c r="L7371" t="n">
        <v>0</v>
      </c>
      <c r="M7371" t="n">
        <v>0</v>
      </c>
      <c r="N7371" t="n">
        <v>0</v>
      </c>
      <c r="O7371" t="n">
        <v>0</v>
      </c>
      <c r="P7371" t="n">
        <v>0</v>
      </c>
      <c r="Q7371" t="n">
        <v>0</v>
      </c>
      <c r="R7371" s="2" t="inlineStr"/>
    </row>
    <row r="7372" ht="15" customHeight="1">
      <c r="A7372" t="inlineStr">
        <is>
          <t>A 36987-2021</t>
        </is>
      </c>
      <c r="B7372" s="1" t="n">
        <v>44393</v>
      </c>
      <c r="C7372" s="1" t="n">
        <v>46093</v>
      </c>
      <c r="D7372" t="inlineStr">
        <is>
          <t>VÄSTERNORRLANDS LÄN</t>
        </is>
      </c>
      <c r="E7372" t="inlineStr">
        <is>
          <t>TIMRÅ</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17377-2024</t>
        </is>
      </c>
      <c r="B7373" s="1" t="n">
        <v>45414</v>
      </c>
      <c r="C7373" s="1" t="n">
        <v>46093</v>
      </c>
      <c r="D7373" t="inlineStr">
        <is>
          <t>VÄSTERNORRLANDS LÄN</t>
        </is>
      </c>
      <c r="E7373" t="inlineStr">
        <is>
          <t>SUNDSVALL</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33739-2024</t>
        </is>
      </c>
      <c r="B7374" s="1" t="n">
        <v>45520.55943287037</v>
      </c>
      <c r="C7374" s="1" t="n">
        <v>46093</v>
      </c>
      <c r="D7374" t="inlineStr">
        <is>
          <t>VÄSTERNORRLANDS LÄN</t>
        </is>
      </c>
      <c r="E7374" t="inlineStr">
        <is>
          <t>SOLLEFTEÅ</t>
        </is>
      </c>
      <c r="F7374" t="inlineStr">
        <is>
          <t>SCA</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33749-2024</t>
        </is>
      </c>
      <c r="B7375" s="1" t="n">
        <v>45520</v>
      </c>
      <c r="C7375" s="1" t="n">
        <v>46093</v>
      </c>
      <c r="D7375" t="inlineStr">
        <is>
          <t>VÄSTERNORRLANDS LÄN</t>
        </is>
      </c>
      <c r="E7375" t="inlineStr">
        <is>
          <t>TIMRÅ</t>
        </is>
      </c>
      <c r="F7375" t="inlineStr">
        <is>
          <t>SCA</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53984-2025</t>
        </is>
      </c>
      <c r="B7376" s="1" t="n">
        <v>45961.5734837963</v>
      </c>
      <c r="C7376" s="1" t="n">
        <v>46093</v>
      </c>
      <c r="D7376" t="inlineStr">
        <is>
          <t>VÄSTERNORRLANDS LÄN</t>
        </is>
      </c>
      <c r="E7376" t="inlineStr">
        <is>
          <t>ÅNGE</t>
        </is>
      </c>
      <c r="F7376" t="inlineStr">
        <is>
          <t>SCA</t>
        </is>
      </c>
      <c r="G7376" t="n">
        <v>14.8</v>
      </c>
      <c r="H7376" t="n">
        <v>0</v>
      </c>
      <c r="I7376" t="n">
        <v>0</v>
      </c>
      <c r="J7376" t="n">
        <v>0</v>
      </c>
      <c r="K7376" t="n">
        <v>0</v>
      </c>
      <c r="L7376" t="n">
        <v>0</v>
      </c>
      <c r="M7376" t="n">
        <v>0</v>
      </c>
      <c r="N7376" t="n">
        <v>0</v>
      </c>
      <c r="O7376" t="n">
        <v>0</v>
      </c>
      <c r="P7376" t="n">
        <v>0</v>
      </c>
      <c r="Q7376" t="n">
        <v>0</v>
      </c>
      <c r="R7376" s="2" t="inlineStr"/>
    </row>
    <row r="7377" ht="15" customHeight="1">
      <c r="A7377" t="inlineStr">
        <is>
          <t>A 33771-2024</t>
        </is>
      </c>
      <c r="B7377" s="1" t="n">
        <v>45520.57565972222</v>
      </c>
      <c r="C7377" s="1" t="n">
        <v>46093</v>
      </c>
      <c r="D7377" t="inlineStr">
        <is>
          <t>VÄSTERNORRLANDS LÄN</t>
        </is>
      </c>
      <c r="E7377" t="inlineStr">
        <is>
          <t>ÖRNSKÖLDSVIK</t>
        </is>
      </c>
      <c r="G7377" t="n">
        <v>1.9</v>
      </c>
      <c r="H7377" t="n">
        <v>0</v>
      </c>
      <c r="I7377" t="n">
        <v>0</v>
      </c>
      <c r="J7377" t="n">
        <v>0</v>
      </c>
      <c r="K7377" t="n">
        <v>0</v>
      </c>
      <c r="L7377" t="n">
        <v>0</v>
      </c>
      <c r="M7377" t="n">
        <v>0</v>
      </c>
      <c r="N7377" t="n">
        <v>0</v>
      </c>
      <c r="O7377" t="n">
        <v>0</v>
      </c>
      <c r="P7377" t="n">
        <v>0</v>
      </c>
      <c r="Q7377" t="n">
        <v>0</v>
      </c>
      <c r="R7377" s="2" t="inlineStr"/>
    </row>
    <row r="7378" ht="15" customHeight="1">
      <c r="A7378" t="inlineStr">
        <is>
          <t>A 53385-2022</t>
        </is>
      </c>
      <c r="B7378" s="1" t="n">
        <v>44879</v>
      </c>
      <c r="C7378" s="1" t="n">
        <v>46093</v>
      </c>
      <c r="D7378" t="inlineStr">
        <is>
          <t>VÄSTERNORRLANDS LÄN</t>
        </is>
      </c>
      <c r="E7378" t="inlineStr">
        <is>
          <t>KRAMFORS</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12060-2025</t>
        </is>
      </c>
      <c r="B7379" s="1" t="n">
        <v>45728</v>
      </c>
      <c r="C7379" s="1" t="n">
        <v>46093</v>
      </c>
      <c r="D7379" t="inlineStr">
        <is>
          <t>VÄSTERNORRLANDS LÄN</t>
        </is>
      </c>
      <c r="E7379" t="inlineStr">
        <is>
          <t>KRAMFORS</t>
        </is>
      </c>
      <c r="G7379" t="n">
        <v>5.7</v>
      </c>
      <c r="H7379" t="n">
        <v>0</v>
      </c>
      <c r="I7379" t="n">
        <v>0</v>
      </c>
      <c r="J7379" t="n">
        <v>0</v>
      </c>
      <c r="K7379" t="n">
        <v>0</v>
      </c>
      <c r="L7379" t="n">
        <v>0</v>
      </c>
      <c r="M7379" t="n">
        <v>0</v>
      </c>
      <c r="N7379" t="n">
        <v>0</v>
      </c>
      <c r="O7379" t="n">
        <v>0</v>
      </c>
      <c r="P7379" t="n">
        <v>0</v>
      </c>
      <c r="Q7379" t="n">
        <v>0</v>
      </c>
      <c r="R7379" s="2" t="inlineStr"/>
    </row>
    <row r="7380" ht="15" customHeight="1">
      <c r="A7380" t="inlineStr">
        <is>
          <t>A 37880-2025</t>
        </is>
      </c>
      <c r="B7380" s="1" t="n">
        <v>45881.48998842593</v>
      </c>
      <c r="C7380" s="1" t="n">
        <v>46093</v>
      </c>
      <c r="D7380" t="inlineStr">
        <is>
          <t>VÄSTERNORRLANDS LÄN</t>
        </is>
      </c>
      <c r="E7380" t="inlineStr">
        <is>
          <t>SOLLEFTEÅ</t>
        </is>
      </c>
      <c r="F7380" t="inlineStr">
        <is>
          <t>SCA</t>
        </is>
      </c>
      <c r="G7380" t="n">
        <v>26.1</v>
      </c>
      <c r="H7380" t="n">
        <v>0</v>
      </c>
      <c r="I7380" t="n">
        <v>0</v>
      </c>
      <c r="J7380" t="n">
        <v>0</v>
      </c>
      <c r="K7380" t="n">
        <v>0</v>
      </c>
      <c r="L7380" t="n">
        <v>0</v>
      </c>
      <c r="M7380" t="n">
        <v>0</v>
      </c>
      <c r="N7380" t="n">
        <v>0</v>
      </c>
      <c r="O7380" t="n">
        <v>0</v>
      </c>
      <c r="P7380" t="n">
        <v>0</v>
      </c>
      <c r="Q7380" t="n">
        <v>0</v>
      </c>
      <c r="R7380" s="2" t="inlineStr"/>
    </row>
    <row r="7381" ht="15" customHeight="1">
      <c r="A7381" t="inlineStr">
        <is>
          <t>A 108-2025</t>
        </is>
      </c>
      <c r="B7381" s="1" t="n">
        <v>45649</v>
      </c>
      <c r="C7381" s="1" t="n">
        <v>46093</v>
      </c>
      <c r="D7381" t="inlineStr">
        <is>
          <t>VÄSTERNORRLANDS LÄN</t>
        </is>
      </c>
      <c r="E7381" t="inlineStr">
        <is>
          <t>ÖRNSKÖLDSVIK</t>
        </is>
      </c>
      <c r="G7381" t="n">
        <v>13.6</v>
      </c>
      <c r="H7381" t="n">
        <v>0</v>
      </c>
      <c r="I7381" t="n">
        <v>0</v>
      </c>
      <c r="J7381" t="n">
        <v>0</v>
      </c>
      <c r="K7381" t="n">
        <v>0</v>
      </c>
      <c r="L7381" t="n">
        <v>0</v>
      </c>
      <c r="M7381" t="n">
        <v>0</v>
      </c>
      <c r="N7381" t="n">
        <v>0</v>
      </c>
      <c r="O7381" t="n">
        <v>0</v>
      </c>
      <c r="P7381" t="n">
        <v>0</v>
      </c>
      <c r="Q7381" t="n">
        <v>0</v>
      </c>
      <c r="R7381" s="2" t="inlineStr"/>
    </row>
    <row r="7382" ht="15" customHeight="1">
      <c r="A7382" t="inlineStr">
        <is>
          <t>A 53902-2025</t>
        </is>
      </c>
      <c r="B7382" s="1" t="n">
        <v>45961.43697916667</v>
      </c>
      <c r="C7382" s="1" t="n">
        <v>46093</v>
      </c>
      <c r="D7382" t="inlineStr">
        <is>
          <t>VÄSTERNORRLANDS LÄN</t>
        </is>
      </c>
      <c r="E7382" t="inlineStr">
        <is>
          <t>ÖRNSKÖLDSVIK</t>
        </is>
      </c>
      <c r="F7382" t="inlineStr">
        <is>
          <t>Holmen skog AB</t>
        </is>
      </c>
      <c r="G7382" t="n">
        <v>2.4</v>
      </c>
      <c r="H7382" t="n">
        <v>0</v>
      </c>
      <c r="I7382" t="n">
        <v>0</v>
      </c>
      <c r="J7382" t="n">
        <v>0</v>
      </c>
      <c r="K7382" t="n">
        <v>0</v>
      </c>
      <c r="L7382" t="n">
        <v>0</v>
      </c>
      <c r="M7382" t="n">
        <v>0</v>
      </c>
      <c r="N7382" t="n">
        <v>0</v>
      </c>
      <c r="O7382" t="n">
        <v>0</v>
      </c>
      <c r="P7382" t="n">
        <v>0</v>
      </c>
      <c r="Q7382" t="n">
        <v>0</v>
      </c>
      <c r="R7382" s="2" t="inlineStr"/>
    </row>
    <row r="7383" ht="15" customHeight="1">
      <c r="A7383" t="inlineStr">
        <is>
          <t>A 18364-2024</t>
        </is>
      </c>
      <c r="B7383" s="1" t="n">
        <v>45422</v>
      </c>
      <c r="C7383" s="1" t="n">
        <v>46093</v>
      </c>
      <c r="D7383" t="inlineStr">
        <is>
          <t>VÄSTERNORRLANDS LÄN</t>
        </is>
      </c>
      <c r="E7383" t="inlineStr">
        <is>
          <t>SOLLEFTEÅ</t>
        </is>
      </c>
      <c r="G7383" t="n">
        <v>4.9</v>
      </c>
      <c r="H7383" t="n">
        <v>0</v>
      </c>
      <c r="I7383" t="n">
        <v>0</v>
      </c>
      <c r="J7383" t="n">
        <v>0</v>
      </c>
      <c r="K7383" t="n">
        <v>0</v>
      </c>
      <c r="L7383" t="n">
        <v>0</v>
      </c>
      <c r="M7383" t="n">
        <v>0</v>
      </c>
      <c r="N7383" t="n">
        <v>0</v>
      </c>
      <c r="O7383" t="n">
        <v>0</v>
      </c>
      <c r="P7383" t="n">
        <v>0</v>
      </c>
      <c r="Q7383" t="n">
        <v>0</v>
      </c>
      <c r="R7383" s="2" t="inlineStr"/>
    </row>
    <row r="7384" ht="15" customHeight="1">
      <c r="A7384" t="inlineStr">
        <is>
          <t>A 112-2025</t>
        </is>
      </c>
      <c r="B7384" s="1" t="n">
        <v>45659</v>
      </c>
      <c r="C7384" s="1" t="n">
        <v>46093</v>
      </c>
      <c r="D7384" t="inlineStr">
        <is>
          <t>VÄSTERNORRLANDS LÄN</t>
        </is>
      </c>
      <c r="E7384" t="inlineStr">
        <is>
          <t>SUNDSVALL</t>
        </is>
      </c>
      <c r="G7384" t="n">
        <v>2.5</v>
      </c>
      <c r="H7384" t="n">
        <v>0</v>
      </c>
      <c r="I7384" t="n">
        <v>0</v>
      </c>
      <c r="J7384" t="n">
        <v>0</v>
      </c>
      <c r="K7384" t="n">
        <v>0</v>
      </c>
      <c r="L7384" t="n">
        <v>0</v>
      </c>
      <c r="M7384" t="n">
        <v>0</v>
      </c>
      <c r="N7384" t="n">
        <v>0</v>
      </c>
      <c r="O7384" t="n">
        <v>0</v>
      </c>
      <c r="P7384" t="n">
        <v>0</v>
      </c>
      <c r="Q7384" t="n">
        <v>0</v>
      </c>
      <c r="R7384" s="2" t="inlineStr"/>
    </row>
    <row r="7385" ht="15" customHeight="1">
      <c r="A7385" t="inlineStr">
        <is>
          <t>A 137-2025</t>
        </is>
      </c>
      <c r="B7385" s="1" t="n">
        <v>45659.57684027778</v>
      </c>
      <c r="C7385" s="1" t="n">
        <v>46093</v>
      </c>
      <c r="D7385" t="inlineStr">
        <is>
          <t>VÄSTERNORRLANDS LÄN</t>
        </is>
      </c>
      <c r="E7385" t="inlineStr">
        <is>
          <t>ÅNGE</t>
        </is>
      </c>
      <c r="G7385" t="n">
        <v>0.2</v>
      </c>
      <c r="H7385" t="n">
        <v>0</v>
      </c>
      <c r="I7385" t="n">
        <v>0</v>
      </c>
      <c r="J7385" t="n">
        <v>0</v>
      </c>
      <c r="K7385" t="n">
        <v>0</v>
      </c>
      <c r="L7385" t="n">
        <v>0</v>
      </c>
      <c r="M7385" t="n">
        <v>0</v>
      </c>
      <c r="N7385" t="n">
        <v>0</v>
      </c>
      <c r="O7385" t="n">
        <v>0</v>
      </c>
      <c r="P7385" t="n">
        <v>0</v>
      </c>
      <c r="Q7385" t="n">
        <v>0</v>
      </c>
      <c r="R7385" s="2" t="inlineStr"/>
    </row>
    <row r="7386" ht="15" customHeight="1">
      <c r="A7386" t="inlineStr">
        <is>
          <t>A 1030-2025</t>
        </is>
      </c>
      <c r="B7386" s="1" t="n">
        <v>45666</v>
      </c>
      <c r="C7386" s="1" t="n">
        <v>46093</v>
      </c>
      <c r="D7386" t="inlineStr">
        <is>
          <t>VÄSTERNORRLANDS LÄN</t>
        </is>
      </c>
      <c r="E7386" t="inlineStr">
        <is>
          <t>SOLLEFTEÅ</t>
        </is>
      </c>
      <c r="F7386" t="inlineStr">
        <is>
          <t>SCA</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53934-2025</t>
        </is>
      </c>
      <c r="B7387" s="1" t="n">
        <v>45961.47958333333</v>
      </c>
      <c r="C7387" s="1" t="n">
        <v>46093</v>
      </c>
      <c r="D7387" t="inlineStr">
        <is>
          <t>VÄSTERNORRLANDS LÄN</t>
        </is>
      </c>
      <c r="E7387" t="inlineStr">
        <is>
          <t>ÖRNSKÖLDSVIK</t>
        </is>
      </c>
      <c r="F7387" t="inlineStr">
        <is>
          <t>Holmen skog AB</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37883-2025</t>
        </is>
      </c>
      <c r="B7388" s="1" t="n">
        <v>45881.50258101852</v>
      </c>
      <c r="C7388" s="1" t="n">
        <v>46093</v>
      </c>
      <c r="D7388" t="inlineStr">
        <is>
          <t>VÄSTERNORRLANDS LÄN</t>
        </is>
      </c>
      <c r="E7388" t="inlineStr">
        <is>
          <t>ÖRNSKÖLDSVIK</t>
        </is>
      </c>
      <c r="G7388" t="n">
        <v>6.7</v>
      </c>
      <c r="H7388" t="n">
        <v>0</v>
      </c>
      <c r="I7388" t="n">
        <v>0</v>
      </c>
      <c r="J7388" t="n">
        <v>0</v>
      </c>
      <c r="K7388" t="n">
        <v>0</v>
      </c>
      <c r="L7388" t="n">
        <v>0</v>
      </c>
      <c r="M7388" t="n">
        <v>0</v>
      </c>
      <c r="N7388" t="n">
        <v>0</v>
      </c>
      <c r="O7388" t="n">
        <v>0</v>
      </c>
      <c r="P7388" t="n">
        <v>0</v>
      </c>
      <c r="Q7388" t="n">
        <v>0</v>
      </c>
      <c r="R7388" s="2" t="inlineStr"/>
    </row>
    <row r="7389" ht="15" customHeight="1">
      <c r="A7389" t="inlineStr">
        <is>
          <t>A 53799-2025</t>
        </is>
      </c>
      <c r="B7389" s="1" t="n">
        <v>45960.77087962963</v>
      </c>
      <c r="C7389" s="1" t="n">
        <v>46093</v>
      </c>
      <c r="D7389" t="inlineStr">
        <is>
          <t>VÄSTERNORRLANDS LÄN</t>
        </is>
      </c>
      <c r="E7389" t="inlineStr">
        <is>
          <t>ÖRNSKÖLDSVIK</t>
        </is>
      </c>
      <c r="F7389" t="inlineStr">
        <is>
          <t>Holmen skog AB</t>
        </is>
      </c>
      <c r="G7389" t="n">
        <v>9.6</v>
      </c>
      <c r="H7389" t="n">
        <v>0</v>
      </c>
      <c r="I7389" t="n">
        <v>0</v>
      </c>
      <c r="J7389" t="n">
        <v>0</v>
      </c>
      <c r="K7389" t="n">
        <v>0</v>
      </c>
      <c r="L7389" t="n">
        <v>0</v>
      </c>
      <c r="M7389" t="n">
        <v>0</v>
      </c>
      <c r="N7389" t="n">
        <v>0</v>
      </c>
      <c r="O7389" t="n">
        <v>0</v>
      </c>
      <c r="P7389" t="n">
        <v>0</v>
      </c>
      <c r="Q7389" t="n">
        <v>0</v>
      </c>
      <c r="R7389" s="2" t="inlineStr"/>
    </row>
    <row r="7390" ht="15" customHeight="1">
      <c r="A7390" t="inlineStr">
        <is>
          <t>A 53832-2025</t>
        </is>
      </c>
      <c r="B7390" s="1" t="n">
        <v>45961.34505787037</v>
      </c>
      <c r="C7390" s="1" t="n">
        <v>46093</v>
      </c>
      <c r="D7390" t="inlineStr">
        <is>
          <t>VÄSTERNORRLANDS LÄN</t>
        </is>
      </c>
      <c r="E7390" t="inlineStr">
        <is>
          <t>SUNDSVALL</t>
        </is>
      </c>
      <c r="F7390" t="inlineStr">
        <is>
          <t>SCA</t>
        </is>
      </c>
      <c r="G7390" t="n">
        <v>2.9</v>
      </c>
      <c r="H7390" t="n">
        <v>0</v>
      </c>
      <c r="I7390" t="n">
        <v>0</v>
      </c>
      <c r="J7390" t="n">
        <v>0</v>
      </c>
      <c r="K7390" t="n">
        <v>0</v>
      </c>
      <c r="L7390" t="n">
        <v>0</v>
      </c>
      <c r="M7390" t="n">
        <v>0</v>
      </c>
      <c r="N7390" t="n">
        <v>0</v>
      </c>
      <c r="O7390" t="n">
        <v>0</v>
      </c>
      <c r="P7390" t="n">
        <v>0</v>
      </c>
      <c r="Q7390" t="n">
        <v>0</v>
      </c>
      <c r="R7390" s="2" t="inlineStr"/>
    </row>
    <row r="7391" ht="15" customHeight="1">
      <c r="A7391" t="inlineStr">
        <is>
          <t>A 7585-2024</t>
        </is>
      </c>
      <c r="B7391" s="1" t="n">
        <v>45348</v>
      </c>
      <c r="C7391" s="1" t="n">
        <v>46093</v>
      </c>
      <c r="D7391" t="inlineStr">
        <is>
          <t>VÄSTERNORRLANDS LÄN</t>
        </is>
      </c>
      <c r="E7391" t="inlineStr">
        <is>
          <t>SOLLEFTEÅ</t>
        </is>
      </c>
      <c r="G7391" t="n">
        <v>2</v>
      </c>
      <c r="H7391" t="n">
        <v>0</v>
      </c>
      <c r="I7391" t="n">
        <v>0</v>
      </c>
      <c r="J7391" t="n">
        <v>0</v>
      </c>
      <c r="K7391" t="n">
        <v>0</v>
      </c>
      <c r="L7391" t="n">
        <v>0</v>
      </c>
      <c r="M7391" t="n">
        <v>0</v>
      </c>
      <c r="N7391" t="n">
        <v>0</v>
      </c>
      <c r="O7391" t="n">
        <v>0</v>
      </c>
      <c r="P7391" t="n">
        <v>0</v>
      </c>
      <c r="Q7391" t="n">
        <v>0</v>
      </c>
      <c r="R7391" s="2" t="inlineStr"/>
    </row>
    <row r="7392" ht="15" customHeight="1">
      <c r="A7392" t="inlineStr">
        <is>
          <t>A 30282-2021</t>
        </is>
      </c>
      <c r="B7392" s="1" t="n">
        <v>44364</v>
      </c>
      <c r="C7392" s="1" t="n">
        <v>46093</v>
      </c>
      <c r="D7392" t="inlineStr">
        <is>
          <t>VÄSTERNORRLANDS LÄN</t>
        </is>
      </c>
      <c r="E7392" t="inlineStr">
        <is>
          <t>ÖRNSKÖLDSVIK</t>
        </is>
      </c>
      <c r="F7392" t="inlineStr">
        <is>
          <t>Holmen skog AB</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33911-2021</t>
        </is>
      </c>
      <c r="B7393" s="1" t="n">
        <v>44378</v>
      </c>
      <c r="C7393" s="1" t="n">
        <v>46093</v>
      </c>
      <c r="D7393" t="inlineStr">
        <is>
          <t>VÄSTERNORRLANDS LÄN</t>
        </is>
      </c>
      <c r="E7393" t="inlineStr">
        <is>
          <t>KRAMFORS</t>
        </is>
      </c>
      <c r="G7393" t="n">
        <v>7.2</v>
      </c>
      <c r="H7393" t="n">
        <v>0</v>
      </c>
      <c r="I7393" t="n">
        <v>0</v>
      </c>
      <c r="J7393" t="n">
        <v>0</v>
      </c>
      <c r="K7393" t="n">
        <v>0</v>
      </c>
      <c r="L7393" t="n">
        <v>0</v>
      </c>
      <c r="M7393" t="n">
        <v>0</v>
      </c>
      <c r="N7393" t="n">
        <v>0</v>
      </c>
      <c r="O7393" t="n">
        <v>0</v>
      </c>
      <c r="P7393" t="n">
        <v>0</v>
      </c>
      <c r="Q7393" t="n">
        <v>0</v>
      </c>
      <c r="R7393" s="2" t="inlineStr"/>
    </row>
    <row r="7394" ht="15" customHeight="1">
      <c r="A7394" t="inlineStr">
        <is>
          <t>A 54184-2025</t>
        </is>
      </c>
      <c r="B7394" s="1" t="n">
        <v>45964</v>
      </c>
      <c r="C7394" s="1" t="n">
        <v>46093</v>
      </c>
      <c r="D7394" t="inlineStr">
        <is>
          <t>VÄSTERNORRLANDS LÄN</t>
        </is>
      </c>
      <c r="E7394" t="inlineStr">
        <is>
          <t>KRAMFORS</t>
        </is>
      </c>
      <c r="G7394" t="n">
        <v>6.3</v>
      </c>
      <c r="H7394" t="n">
        <v>0</v>
      </c>
      <c r="I7394" t="n">
        <v>0</v>
      </c>
      <c r="J7394" t="n">
        <v>0</v>
      </c>
      <c r="K7394" t="n">
        <v>0</v>
      </c>
      <c r="L7394" t="n">
        <v>0</v>
      </c>
      <c r="M7394" t="n">
        <v>0</v>
      </c>
      <c r="N7394" t="n">
        <v>0</v>
      </c>
      <c r="O7394" t="n">
        <v>0</v>
      </c>
      <c r="P7394" t="n">
        <v>0</v>
      </c>
      <c r="Q7394" t="n">
        <v>0</v>
      </c>
      <c r="R7394" s="2" t="inlineStr"/>
    </row>
    <row r="7395" ht="15" customHeight="1">
      <c r="A7395" t="inlineStr">
        <is>
          <t>A 54192-2025</t>
        </is>
      </c>
      <c r="B7395" s="1" t="n">
        <v>45964.57350694444</v>
      </c>
      <c r="C7395" s="1" t="n">
        <v>46093</v>
      </c>
      <c r="D7395" t="inlineStr">
        <is>
          <t>VÄSTERNORRLANDS LÄN</t>
        </is>
      </c>
      <c r="E7395" t="inlineStr">
        <is>
          <t>SOLLEFTEÅ</t>
        </is>
      </c>
      <c r="F7395" t="inlineStr">
        <is>
          <t>SCA</t>
        </is>
      </c>
      <c r="G7395" t="n">
        <v>3.2</v>
      </c>
      <c r="H7395" t="n">
        <v>0</v>
      </c>
      <c r="I7395" t="n">
        <v>0</v>
      </c>
      <c r="J7395" t="n">
        <v>0</v>
      </c>
      <c r="K7395" t="n">
        <v>0</v>
      </c>
      <c r="L7395" t="n">
        <v>0</v>
      </c>
      <c r="M7395" t="n">
        <v>0</v>
      </c>
      <c r="N7395" t="n">
        <v>0</v>
      </c>
      <c r="O7395" t="n">
        <v>0</v>
      </c>
      <c r="P7395" t="n">
        <v>0</v>
      </c>
      <c r="Q7395" t="n">
        <v>0</v>
      </c>
      <c r="R7395" s="2" t="inlineStr"/>
    </row>
    <row r="7396" ht="15" customHeight="1">
      <c r="A7396" t="inlineStr">
        <is>
          <t>A 48489-2024</t>
        </is>
      </c>
      <c r="B7396" s="1" t="n">
        <v>45592</v>
      </c>
      <c r="C7396" s="1" t="n">
        <v>46093</v>
      </c>
      <c r="D7396" t="inlineStr">
        <is>
          <t>VÄSTERNORRLANDS LÄN</t>
        </is>
      </c>
      <c r="E7396" t="inlineStr">
        <is>
          <t>SOLLEFTEÅ</t>
        </is>
      </c>
      <c r="F7396" t="inlineStr">
        <is>
          <t>SCA</t>
        </is>
      </c>
      <c r="G7396" t="n">
        <v>3.9</v>
      </c>
      <c r="H7396" t="n">
        <v>0</v>
      </c>
      <c r="I7396" t="n">
        <v>0</v>
      </c>
      <c r="J7396" t="n">
        <v>0</v>
      </c>
      <c r="K7396" t="n">
        <v>0</v>
      </c>
      <c r="L7396" t="n">
        <v>0</v>
      </c>
      <c r="M7396" t="n">
        <v>0</v>
      </c>
      <c r="N7396" t="n">
        <v>0</v>
      </c>
      <c r="O7396" t="n">
        <v>0</v>
      </c>
      <c r="P7396" t="n">
        <v>0</v>
      </c>
      <c r="Q7396" t="n">
        <v>0</v>
      </c>
      <c r="R7396" s="2" t="inlineStr"/>
    </row>
    <row r="7397" ht="15" customHeight="1">
      <c r="A7397" t="inlineStr">
        <is>
          <t>A 38150-2025</t>
        </is>
      </c>
      <c r="B7397" s="1" t="n">
        <v>45882.59444444445</v>
      </c>
      <c r="C7397" s="1" t="n">
        <v>46093</v>
      </c>
      <c r="D7397" t="inlineStr">
        <is>
          <t>VÄSTERNORRLANDS LÄN</t>
        </is>
      </c>
      <c r="E7397" t="inlineStr">
        <is>
          <t>ÖRNSKÖLDSVIK</t>
        </is>
      </c>
      <c r="F7397" t="inlineStr">
        <is>
          <t>SCA</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20514-2021</t>
        </is>
      </c>
      <c r="B7398" s="1" t="n">
        <v>44315</v>
      </c>
      <c r="C7398" s="1" t="n">
        <v>46093</v>
      </c>
      <c r="D7398" t="inlineStr">
        <is>
          <t>VÄSTERNORRLANDS LÄN</t>
        </is>
      </c>
      <c r="E7398" t="inlineStr">
        <is>
          <t>SUNDSVALL</t>
        </is>
      </c>
      <c r="G7398" t="n">
        <v>6.7</v>
      </c>
      <c r="H7398" t="n">
        <v>0</v>
      </c>
      <c r="I7398" t="n">
        <v>0</v>
      </c>
      <c r="J7398" t="n">
        <v>0</v>
      </c>
      <c r="K7398" t="n">
        <v>0</v>
      </c>
      <c r="L7398" t="n">
        <v>0</v>
      </c>
      <c r="M7398" t="n">
        <v>0</v>
      </c>
      <c r="N7398" t="n">
        <v>0</v>
      </c>
      <c r="O7398" t="n">
        <v>0</v>
      </c>
      <c r="P7398" t="n">
        <v>0</v>
      </c>
      <c r="Q7398" t="n">
        <v>0</v>
      </c>
      <c r="R7398" s="2" t="inlineStr"/>
    </row>
    <row r="7399" ht="15" customHeight="1">
      <c r="A7399" t="inlineStr">
        <is>
          <t>A 29048-2021</t>
        </is>
      </c>
      <c r="B7399" s="1" t="n">
        <v>44358</v>
      </c>
      <c r="C7399" s="1" t="n">
        <v>46093</v>
      </c>
      <c r="D7399" t="inlineStr">
        <is>
          <t>VÄSTERNORRLANDS LÄN</t>
        </is>
      </c>
      <c r="E7399" t="inlineStr">
        <is>
          <t>ÅNGE</t>
        </is>
      </c>
      <c r="G7399" t="n">
        <v>2.5</v>
      </c>
      <c r="H7399" t="n">
        <v>0</v>
      </c>
      <c r="I7399" t="n">
        <v>0</v>
      </c>
      <c r="J7399" t="n">
        <v>0</v>
      </c>
      <c r="K7399" t="n">
        <v>0</v>
      </c>
      <c r="L7399" t="n">
        <v>0</v>
      </c>
      <c r="M7399" t="n">
        <v>0</v>
      </c>
      <c r="N7399" t="n">
        <v>0</v>
      </c>
      <c r="O7399" t="n">
        <v>0</v>
      </c>
      <c r="P7399" t="n">
        <v>0</v>
      </c>
      <c r="Q7399" t="n">
        <v>0</v>
      </c>
      <c r="R7399" s="2" t="inlineStr"/>
    </row>
    <row r="7400" ht="15" customHeight="1">
      <c r="A7400" t="inlineStr">
        <is>
          <t>A 37810-2025</t>
        </is>
      </c>
      <c r="B7400" s="1" t="n">
        <v>45881.36994212963</v>
      </c>
      <c r="C7400" s="1" t="n">
        <v>46093</v>
      </c>
      <c r="D7400" t="inlineStr">
        <is>
          <t>VÄSTERNORRLANDS LÄN</t>
        </is>
      </c>
      <c r="E7400" t="inlineStr">
        <is>
          <t>ÖRNSKÖLDSVIK</t>
        </is>
      </c>
      <c r="F7400" t="inlineStr">
        <is>
          <t>Holmen skog AB</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10071-2023</t>
        </is>
      </c>
      <c r="B7401" s="1" t="n">
        <v>44985.92418981482</v>
      </c>
      <c r="C7401" s="1" t="n">
        <v>46093</v>
      </c>
      <c r="D7401" t="inlineStr">
        <is>
          <t>VÄSTERNORRLANDS LÄN</t>
        </is>
      </c>
      <c r="E7401" t="inlineStr">
        <is>
          <t>ÅNGE</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8670-2023</t>
        </is>
      </c>
      <c r="B7402" s="1" t="n">
        <v>44977</v>
      </c>
      <c r="C7402" s="1" t="n">
        <v>46093</v>
      </c>
      <c r="D7402" t="inlineStr">
        <is>
          <t>VÄSTERNORRLANDS LÄN</t>
        </is>
      </c>
      <c r="E7402" t="inlineStr">
        <is>
          <t>SOLLEFTEÅ</t>
        </is>
      </c>
      <c r="F7402" t="inlineStr">
        <is>
          <t>SCA</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44533-2023</t>
        </is>
      </c>
      <c r="B7403" s="1" t="n">
        <v>45183</v>
      </c>
      <c r="C7403" s="1" t="n">
        <v>46093</v>
      </c>
      <c r="D7403" t="inlineStr">
        <is>
          <t>VÄSTERNORRLANDS LÄN</t>
        </is>
      </c>
      <c r="E7403" t="inlineStr">
        <is>
          <t>SOLLEFTEÅ</t>
        </is>
      </c>
      <c r="G7403" t="n">
        <v>2.2</v>
      </c>
      <c r="H7403" t="n">
        <v>0</v>
      </c>
      <c r="I7403" t="n">
        <v>0</v>
      </c>
      <c r="J7403" t="n">
        <v>0</v>
      </c>
      <c r="K7403" t="n">
        <v>0</v>
      </c>
      <c r="L7403" t="n">
        <v>0</v>
      </c>
      <c r="M7403" t="n">
        <v>0</v>
      </c>
      <c r="N7403" t="n">
        <v>0</v>
      </c>
      <c r="O7403" t="n">
        <v>0</v>
      </c>
      <c r="P7403" t="n">
        <v>0</v>
      </c>
      <c r="Q7403" t="n">
        <v>0</v>
      </c>
      <c r="R7403" s="2" t="inlineStr"/>
    </row>
    <row r="7404" ht="15" customHeight="1">
      <c r="A7404" t="inlineStr">
        <is>
          <t>A 57519-2024</t>
        </is>
      </c>
      <c r="B7404" s="1" t="n">
        <v>45630.40659722222</v>
      </c>
      <c r="C7404" s="1" t="n">
        <v>46093</v>
      </c>
      <c r="D7404" t="inlineStr">
        <is>
          <t>VÄSTERNORRLANDS LÄN</t>
        </is>
      </c>
      <c r="E7404" t="inlineStr">
        <is>
          <t>SUNDSVALL</t>
        </is>
      </c>
      <c r="F7404" t="inlineStr">
        <is>
          <t>SCA</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10726-2025</t>
        </is>
      </c>
      <c r="B7405" s="1" t="n">
        <v>45722.38599537037</v>
      </c>
      <c r="C7405" s="1" t="n">
        <v>46093</v>
      </c>
      <c r="D7405" t="inlineStr">
        <is>
          <t>VÄSTERNORRLANDS LÄN</t>
        </is>
      </c>
      <c r="E7405" t="inlineStr">
        <is>
          <t>SOLLEFTEÅ</t>
        </is>
      </c>
      <c r="F7405" t="inlineStr">
        <is>
          <t>SCA</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24417-2024</t>
        </is>
      </c>
      <c r="B7406" s="1" t="n">
        <v>45457.80538194445</v>
      </c>
      <c r="C7406" s="1" t="n">
        <v>46093</v>
      </c>
      <c r="D7406" t="inlineStr">
        <is>
          <t>VÄSTERNORRLANDS LÄN</t>
        </is>
      </c>
      <c r="E7406" t="inlineStr">
        <is>
          <t>ÖRNSKÖLDSVIK</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40452-2023</t>
        </is>
      </c>
      <c r="B7407" s="1" t="n">
        <v>45168</v>
      </c>
      <c r="C7407" s="1" t="n">
        <v>46093</v>
      </c>
      <c r="D7407" t="inlineStr">
        <is>
          <t>VÄSTERNORRLANDS LÄN</t>
        </is>
      </c>
      <c r="E7407" t="inlineStr">
        <is>
          <t>HÄRNÖSAND</t>
        </is>
      </c>
      <c r="G7407" t="n">
        <v>3.2</v>
      </c>
      <c r="H7407" t="n">
        <v>0</v>
      </c>
      <c r="I7407" t="n">
        <v>0</v>
      </c>
      <c r="J7407" t="n">
        <v>0</v>
      </c>
      <c r="K7407" t="n">
        <v>0</v>
      </c>
      <c r="L7407" t="n">
        <v>0</v>
      </c>
      <c r="M7407" t="n">
        <v>0</v>
      </c>
      <c r="N7407" t="n">
        <v>0</v>
      </c>
      <c r="O7407" t="n">
        <v>0</v>
      </c>
      <c r="P7407" t="n">
        <v>0</v>
      </c>
      <c r="Q7407" t="n">
        <v>0</v>
      </c>
      <c r="R7407" s="2" t="inlineStr"/>
    </row>
    <row r="7408" ht="15" customHeight="1">
      <c r="A7408" t="inlineStr">
        <is>
          <t>A 53956-2025</t>
        </is>
      </c>
      <c r="B7408" s="1" t="n">
        <v>45961.52731481481</v>
      </c>
      <c r="C7408" s="1" t="n">
        <v>46093</v>
      </c>
      <c r="D7408" t="inlineStr">
        <is>
          <t>VÄSTERNORRLANDS LÄN</t>
        </is>
      </c>
      <c r="E7408" t="inlineStr">
        <is>
          <t>ÖRNSKÖLDSVIK</t>
        </is>
      </c>
      <c r="F7408" t="inlineStr">
        <is>
          <t>Holmen skog AB</t>
        </is>
      </c>
      <c r="G7408" t="n">
        <v>9.300000000000001</v>
      </c>
      <c r="H7408" t="n">
        <v>0</v>
      </c>
      <c r="I7408" t="n">
        <v>0</v>
      </c>
      <c r="J7408" t="n">
        <v>0</v>
      </c>
      <c r="K7408" t="n">
        <v>0</v>
      </c>
      <c r="L7408" t="n">
        <v>0</v>
      </c>
      <c r="M7408" t="n">
        <v>0</v>
      </c>
      <c r="N7408" t="n">
        <v>0</v>
      </c>
      <c r="O7408" t="n">
        <v>0</v>
      </c>
      <c r="P7408" t="n">
        <v>0</v>
      </c>
      <c r="Q7408" t="n">
        <v>0</v>
      </c>
      <c r="R7408" s="2" t="inlineStr"/>
    </row>
    <row r="7409" ht="15" customHeight="1">
      <c r="A7409" t="inlineStr">
        <is>
          <t>A 53974-2025</t>
        </is>
      </c>
      <c r="B7409" s="1" t="n">
        <v>45961.55261574074</v>
      </c>
      <c r="C7409" s="1" t="n">
        <v>46093</v>
      </c>
      <c r="D7409" t="inlineStr">
        <is>
          <t>VÄSTERNORRLANDS LÄN</t>
        </is>
      </c>
      <c r="E7409" t="inlineStr">
        <is>
          <t>SOLLEFTEÅ</t>
        </is>
      </c>
      <c r="F7409" t="inlineStr">
        <is>
          <t>SCA</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37890-2025</t>
        </is>
      </c>
      <c r="B7410" s="1" t="n">
        <v>45881.52633101852</v>
      </c>
      <c r="C7410" s="1" t="n">
        <v>46093</v>
      </c>
      <c r="D7410" t="inlineStr">
        <is>
          <t>VÄSTERNORRLANDS LÄN</t>
        </is>
      </c>
      <c r="E7410" t="inlineStr">
        <is>
          <t>ÖRNSKÖLDSVIK</t>
        </is>
      </c>
      <c r="G7410" t="n">
        <v>3.5</v>
      </c>
      <c r="H7410" t="n">
        <v>0</v>
      </c>
      <c r="I7410" t="n">
        <v>0</v>
      </c>
      <c r="J7410" t="n">
        <v>0</v>
      </c>
      <c r="K7410" t="n">
        <v>0</v>
      </c>
      <c r="L7410" t="n">
        <v>0</v>
      </c>
      <c r="M7410" t="n">
        <v>0</v>
      </c>
      <c r="N7410" t="n">
        <v>0</v>
      </c>
      <c r="O7410" t="n">
        <v>0</v>
      </c>
      <c r="P7410" t="n">
        <v>0</v>
      </c>
      <c r="Q7410" t="n">
        <v>0</v>
      </c>
      <c r="R7410" s="2" t="inlineStr"/>
    </row>
    <row r="7411" ht="15" customHeight="1">
      <c r="A7411" t="inlineStr">
        <is>
          <t>A 53985-2025</t>
        </is>
      </c>
      <c r="B7411" s="1" t="n">
        <v>45961.57366898148</v>
      </c>
      <c r="C7411" s="1" t="n">
        <v>46093</v>
      </c>
      <c r="D7411" t="inlineStr">
        <is>
          <t>VÄSTERNORRLANDS LÄN</t>
        </is>
      </c>
      <c r="E7411" t="inlineStr">
        <is>
          <t>ÅNGE</t>
        </is>
      </c>
      <c r="F7411" t="inlineStr">
        <is>
          <t>SCA</t>
        </is>
      </c>
      <c r="G7411" t="n">
        <v>14.2</v>
      </c>
      <c r="H7411" t="n">
        <v>0</v>
      </c>
      <c r="I7411" t="n">
        <v>0</v>
      </c>
      <c r="J7411" t="n">
        <v>0</v>
      </c>
      <c r="K7411" t="n">
        <v>0</v>
      </c>
      <c r="L7411" t="n">
        <v>0</v>
      </c>
      <c r="M7411" t="n">
        <v>0</v>
      </c>
      <c r="N7411" t="n">
        <v>0</v>
      </c>
      <c r="O7411" t="n">
        <v>0</v>
      </c>
      <c r="P7411" t="n">
        <v>0</v>
      </c>
      <c r="Q7411" t="n">
        <v>0</v>
      </c>
      <c r="R7411" s="2" t="inlineStr"/>
    </row>
    <row r="7412" ht="15" customHeight="1">
      <c r="A7412" t="inlineStr">
        <is>
          <t>A 10517-2025</t>
        </is>
      </c>
      <c r="B7412" s="1" t="n">
        <v>45721.42747685185</v>
      </c>
      <c r="C7412" s="1" t="n">
        <v>46093</v>
      </c>
      <c r="D7412" t="inlineStr">
        <is>
          <t>VÄSTERNORRLANDS LÄN</t>
        </is>
      </c>
      <c r="E7412" t="inlineStr">
        <is>
          <t>SUNDSVALL</t>
        </is>
      </c>
      <c r="F7412" t="inlineStr">
        <is>
          <t>SCA</t>
        </is>
      </c>
      <c r="G7412" t="n">
        <v>2.7</v>
      </c>
      <c r="H7412" t="n">
        <v>0</v>
      </c>
      <c r="I7412" t="n">
        <v>0</v>
      </c>
      <c r="J7412" t="n">
        <v>0</v>
      </c>
      <c r="K7412" t="n">
        <v>0</v>
      </c>
      <c r="L7412" t="n">
        <v>0</v>
      </c>
      <c r="M7412" t="n">
        <v>0</v>
      </c>
      <c r="N7412" t="n">
        <v>0</v>
      </c>
      <c r="O7412" t="n">
        <v>0</v>
      </c>
      <c r="P7412" t="n">
        <v>0</v>
      </c>
      <c r="Q7412" t="n">
        <v>0</v>
      </c>
      <c r="R7412" s="2" t="inlineStr"/>
    </row>
    <row r="7413" ht="15" customHeight="1">
      <c r="A7413" t="inlineStr">
        <is>
          <t>A 34931-2021</t>
        </is>
      </c>
      <c r="B7413" s="1" t="n">
        <v>44379</v>
      </c>
      <c r="C7413" s="1" t="n">
        <v>46093</v>
      </c>
      <c r="D7413" t="inlineStr">
        <is>
          <t>VÄSTERNORRLANDS LÄN</t>
        </is>
      </c>
      <c r="E7413" t="inlineStr">
        <is>
          <t>SUNDSVALL</t>
        </is>
      </c>
      <c r="G7413" t="n">
        <v>2.2</v>
      </c>
      <c r="H7413" t="n">
        <v>0</v>
      </c>
      <c r="I7413" t="n">
        <v>0</v>
      </c>
      <c r="J7413" t="n">
        <v>0</v>
      </c>
      <c r="K7413" t="n">
        <v>0</v>
      </c>
      <c r="L7413" t="n">
        <v>0</v>
      </c>
      <c r="M7413" t="n">
        <v>0</v>
      </c>
      <c r="N7413" t="n">
        <v>0</v>
      </c>
      <c r="O7413" t="n">
        <v>0</v>
      </c>
      <c r="P7413" t="n">
        <v>0</v>
      </c>
      <c r="Q7413" t="n">
        <v>0</v>
      </c>
      <c r="R7413" s="2" t="inlineStr"/>
    </row>
    <row r="7414" ht="15" customHeight="1">
      <c r="A7414" t="inlineStr">
        <is>
          <t>A 54196-2025</t>
        </is>
      </c>
      <c r="B7414" s="1" t="n">
        <v>45964.57424768519</v>
      </c>
      <c r="C7414" s="1" t="n">
        <v>46093</v>
      </c>
      <c r="D7414" t="inlineStr">
        <is>
          <t>VÄSTERNORRLANDS LÄN</t>
        </is>
      </c>
      <c r="E7414" t="inlineStr">
        <is>
          <t>KRAMFORS</t>
        </is>
      </c>
      <c r="G7414" t="n">
        <v>2</v>
      </c>
      <c r="H7414" t="n">
        <v>0</v>
      </c>
      <c r="I7414" t="n">
        <v>0</v>
      </c>
      <c r="J7414" t="n">
        <v>0</v>
      </c>
      <c r="K7414" t="n">
        <v>0</v>
      </c>
      <c r="L7414" t="n">
        <v>0</v>
      </c>
      <c r="M7414" t="n">
        <v>0</v>
      </c>
      <c r="N7414" t="n">
        <v>0</v>
      </c>
      <c r="O7414" t="n">
        <v>0</v>
      </c>
      <c r="P7414" t="n">
        <v>0</v>
      </c>
      <c r="Q7414" t="n">
        <v>0</v>
      </c>
      <c r="R7414" s="2" t="inlineStr"/>
    </row>
    <row r="7415" ht="15" customHeight="1">
      <c r="A7415" t="inlineStr">
        <is>
          <t>A 42354-2021</t>
        </is>
      </c>
      <c r="B7415" s="1" t="n">
        <v>44427.44137731481</v>
      </c>
      <c r="C7415" s="1" t="n">
        <v>46093</v>
      </c>
      <c r="D7415" t="inlineStr">
        <is>
          <t>VÄSTERNORRLANDS LÄN</t>
        </is>
      </c>
      <c r="E7415" t="inlineStr">
        <is>
          <t>ÖRNSKÖLDSVIK</t>
        </is>
      </c>
      <c r="G7415" t="n">
        <v>4.1</v>
      </c>
      <c r="H7415" t="n">
        <v>0</v>
      </c>
      <c r="I7415" t="n">
        <v>0</v>
      </c>
      <c r="J7415" t="n">
        <v>0</v>
      </c>
      <c r="K7415" t="n">
        <v>0</v>
      </c>
      <c r="L7415" t="n">
        <v>0</v>
      </c>
      <c r="M7415" t="n">
        <v>0</v>
      </c>
      <c r="N7415" t="n">
        <v>0</v>
      </c>
      <c r="O7415" t="n">
        <v>0</v>
      </c>
      <c r="P7415" t="n">
        <v>0</v>
      </c>
      <c r="Q7415" t="n">
        <v>0</v>
      </c>
      <c r="R7415" s="2" t="inlineStr"/>
    </row>
    <row r="7416" ht="15" customHeight="1">
      <c r="A7416" t="inlineStr">
        <is>
          <t>A 10890-2022</t>
        </is>
      </c>
      <c r="B7416" s="1" t="n">
        <v>44627</v>
      </c>
      <c r="C7416" s="1" t="n">
        <v>46093</v>
      </c>
      <c r="D7416" t="inlineStr">
        <is>
          <t>VÄSTERNORRLANDS LÄN</t>
        </is>
      </c>
      <c r="E7416" t="inlineStr">
        <is>
          <t>SUNDSVALL</t>
        </is>
      </c>
      <c r="F7416" t="inlineStr">
        <is>
          <t>Kommuner</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54273-2025</t>
        </is>
      </c>
      <c r="B7417" s="1" t="n">
        <v>45964.67859953704</v>
      </c>
      <c r="C7417" s="1" t="n">
        <v>46093</v>
      </c>
      <c r="D7417" t="inlineStr">
        <is>
          <t>VÄSTERNORRLANDS LÄN</t>
        </is>
      </c>
      <c r="E7417" t="inlineStr">
        <is>
          <t>KRAMFORS</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31071-2022</t>
        </is>
      </c>
      <c r="B7418" s="1" t="n">
        <v>44769</v>
      </c>
      <c r="C7418" s="1" t="n">
        <v>46093</v>
      </c>
      <c r="D7418" t="inlineStr">
        <is>
          <t>VÄSTERNORRLANDS LÄN</t>
        </is>
      </c>
      <c r="E7418" t="inlineStr">
        <is>
          <t>KRAMFORS</t>
        </is>
      </c>
      <c r="G7418" t="n">
        <v>4.3</v>
      </c>
      <c r="H7418" t="n">
        <v>0</v>
      </c>
      <c r="I7418" t="n">
        <v>0</v>
      </c>
      <c r="J7418" t="n">
        <v>0</v>
      </c>
      <c r="K7418" t="n">
        <v>0</v>
      </c>
      <c r="L7418" t="n">
        <v>0</v>
      </c>
      <c r="M7418" t="n">
        <v>0</v>
      </c>
      <c r="N7418" t="n">
        <v>0</v>
      </c>
      <c r="O7418" t="n">
        <v>0</v>
      </c>
      <c r="P7418" t="n">
        <v>0</v>
      </c>
      <c r="Q7418" t="n">
        <v>0</v>
      </c>
      <c r="R7418" s="2" t="inlineStr"/>
    </row>
    <row r="7419" ht="15" customHeight="1">
      <c r="A7419" t="inlineStr">
        <is>
          <t>A 16549-2023</t>
        </is>
      </c>
      <c r="B7419" s="1" t="n">
        <v>45029</v>
      </c>
      <c r="C7419" s="1" t="n">
        <v>46093</v>
      </c>
      <c r="D7419" t="inlineStr">
        <is>
          <t>VÄSTERNORRLANDS LÄN</t>
        </is>
      </c>
      <c r="E7419" t="inlineStr">
        <is>
          <t>ÖRNSKÖLDSVIK</t>
        </is>
      </c>
      <c r="G7419" t="n">
        <v>4</v>
      </c>
      <c r="H7419" t="n">
        <v>0</v>
      </c>
      <c r="I7419" t="n">
        <v>0</v>
      </c>
      <c r="J7419" t="n">
        <v>0</v>
      </c>
      <c r="K7419" t="n">
        <v>0</v>
      </c>
      <c r="L7419" t="n">
        <v>0</v>
      </c>
      <c r="M7419" t="n">
        <v>0</v>
      </c>
      <c r="N7419" t="n">
        <v>0</v>
      </c>
      <c r="O7419" t="n">
        <v>0</v>
      </c>
      <c r="P7419" t="n">
        <v>0</v>
      </c>
      <c r="Q7419" t="n">
        <v>0</v>
      </c>
      <c r="R7419" s="2" t="inlineStr"/>
    </row>
    <row r="7420" ht="15" customHeight="1">
      <c r="A7420" t="inlineStr">
        <is>
          <t>A 16568-2023</t>
        </is>
      </c>
      <c r="B7420" s="1" t="n">
        <v>45029.94200231481</v>
      </c>
      <c r="C7420" s="1" t="n">
        <v>46093</v>
      </c>
      <c r="D7420" t="inlineStr">
        <is>
          <t>VÄSTERNORRLANDS LÄN</t>
        </is>
      </c>
      <c r="E7420" t="inlineStr">
        <is>
          <t>SUNDSVALL</t>
        </is>
      </c>
      <c r="F7420" t="inlineStr">
        <is>
          <t>SCA</t>
        </is>
      </c>
      <c r="G7420" t="n">
        <v>5</v>
      </c>
      <c r="H7420" t="n">
        <v>0</v>
      </c>
      <c r="I7420" t="n">
        <v>0</v>
      </c>
      <c r="J7420" t="n">
        <v>0</v>
      </c>
      <c r="K7420" t="n">
        <v>0</v>
      </c>
      <c r="L7420" t="n">
        <v>0</v>
      </c>
      <c r="M7420" t="n">
        <v>0</v>
      </c>
      <c r="N7420" t="n">
        <v>0</v>
      </c>
      <c r="O7420" t="n">
        <v>0</v>
      </c>
      <c r="P7420" t="n">
        <v>0</v>
      </c>
      <c r="Q7420" t="n">
        <v>0</v>
      </c>
      <c r="R7420" s="2" t="inlineStr"/>
    </row>
    <row r="7421" ht="15" customHeight="1">
      <c r="A7421" t="inlineStr">
        <is>
          <t>A 37986-2025</t>
        </is>
      </c>
      <c r="B7421" s="1" t="n">
        <v>45881</v>
      </c>
      <c r="C7421" s="1" t="n">
        <v>46093</v>
      </c>
      <c r="D7421" t="inlineStr">
        <is>
          <t>VÄSTERNORRLANDS LÄN</t>
        </is>
      </c>
      <c r="E7421" t="inlineStr">
        <is>
          <t>ÖRNSKÖLDSVIK</t>
        </is>
      </c>
      <c r="G7421" t="n">
        <v>2.8</v>
      </c>
      <c r="H7421" t="n">
        <v>0</v>
      </c>
      <c r="I7421" t="n">
        <v>0</v>
      </c>
      <c r="J7421" t="n">
        <v>0</v>
      </c>
      <c r="K7421" t="n">
        <v>0</v>
      </c>
      <c r="L7421" t="n">
        <v>0</v>
      </c>
      <c r="M7421" t="n">
        <v>0</v>
      </c>
      <c r="N7421" t="n">
        <v>0</v>
      </c>
      <c r="O7421" t="n">
        <v>0</v>
      </c>
      <c r="P7421" t="n">
        <v>0</v>
      </c>
      <c r="Q7421" t="n">
        <v>0</v>
      </c>
      <c r="R7421" s="2" t="inlineStr"/>
    </row>
    <row r="7422" ht="15" customHeight="1">
      <c r="A7422" t="inlineStr">
        <is>
          <t>A 53466-2025</t>
        </is>
      </c>
      <c r="B7422" s="1" t="n">
        <v>45959</v>
      </c>
      <c r="C7422" s="1" t="n">
        <v>46093</v>
      </c>
      <c r="D7422" t="inlineStr">
        <is>
          <t>VÄSTERNORRLANDS LÄN</t>
        </is>
      </c>
      <c r="E7422" t="inlineStr">
        <is>
          <t>SOLLEFTEÅ</t>
        </is>
      </c>
      <c r="G7422" t="n">
        <v>4.9</v>
      </c>
      <c r="H7422" t="n">
        <v>0</v>
      </c>
      <c r="I7422" t="n">
        <v>0</v>
      </c>
      <c r="J7422" t="n">
        <v>0</v>
      </c>
      <c r="K7422" t="n">
        <v>0</v>
      </c>
      <c r="L7422" t="n">
        <v>0</v>
      </c>
      <c r="M7422" t="n">
        <v>0</v>
      </c>
      <c r="N7422" t="n">
        <v>0</v>
      </c>
      <c r="O7422" t="n">
        <v>0</v>
      </c>
      <c r="P7422" t="n">
        <v>0</v>
      </c>
      <c r="Q7422" t="n">
        <v>0</v>
      </c>
      <c r="R7422" s="2" t="inlineStr"/>
    </row>
    <row r="7423" ht="15" customHeight="1">
      <c r="A7423" t="inlineStr">
        <is>
          <t>A 11269-2022</t>
        </is>
      </c>
      <c r="B7423" s="1" t="n">
        <v>44629.71497685185</v>
      </c>
      <c r="C7423" s="1" t="n">
        <v>46093</v>
      </c>
      <c r="D7423" t="inlineStr">
        <is>
          <t>VÄSTERNORRLANDS LÄN</t>
        </is>
      </c>
      <c r="E7423" t="inlineStr">
        <is>
          <t>TIMRÅ</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59034-2022</t>
        </is>
      </c>
      <c r="B7424" s="1" t="n">
        <v>44903</v>
      </c>
      <c r="C7424" s="1" t="n">
        <v>46093</v>
      </c>
      <c r="D7424" t="inlineStr">
        <is>
          <t>VÄSTERNORRLANDS LÄN</t>
        </is>
      </c>
      <c r="E7424" t="inlineStr">
        <is>
          <t>HÄRNÖSAND</t>
        </is>
      </c>
      <c r="F7424" t="inlineStr">
        <is>
          <t>SCA</t>
        </is>
      </c>
      <c r="G7424" t="n">
        <v>3.2</v>
      </c>
      <c r="H7424" t="n">
        <v>0</v>
      </c>
      <c r="I7424" t="n">
        <v>0</v>
      </c>
      <c r="J7424" t="n">
        <v>0</v>
      </c>
      <c r="K7424" t="n">
        <v>0</v>
      </c>
      <c r="L7424" t="n">
        <v>0</v>
      </c>
      <c r="M7424" t="n">
        <v>0</v>
      </c>
      <c r="N7424" t="n">
        <v>0</v>
      </c>
      <c r="O7424" t="n">
        <v>0</v>
      </c>
      <c r="P7424" t="n">
        <v>0</v>
      </c>
      <c r="Q7424" t="n">
        <v>0</v>
      </c>
      <c r="R7424" s="2" t="inlineStr"/>
    </row>
    <row r="7425" ht="15" customHeight="1">
      <c r="A7425" t="inlineStr">
        <is>
          <t>A 38038-2025</t>
        </is>
      </c>
      <c r="B7425" s="1" t="n">
        <v>45882.37533564815</v>
      </c>
      <c r="C7425" s="1" t="n">
        <v>46093</v>
      </c>
      <c r="D7425" t="inlineStr">
        <is>
          <t>VÄSTERNORRLANDS LÄN</t>
        </is>
      </c>
      <c r="E7425" t="inlineStr">
        <is>
          <t>ÖRNSKÖLDSVIK</t>
        </is>
      </c>
      <c r="F7425" t="inlineStr">
        <is>
          <t>Holmen skog AB</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61345-2022</t>
        </is>
      </c>
      <c r="B7426" s="1" t="n">
        <v>44915</v>
      </c>
      <c r="C7426" s="1" t="n">
        <v>46093</v>
      </c>
      <c r="D7426" t="inlineStr">
        <is>
          <t>VÄSTERNORRLANDS LÄN</t>
        </is>
      </c>
      <c r="E7426" t="inlineStr">
        <is>
          <t>SOLLEFTEÅ</t>
        </is>
      </c>
      <c r="G7426" t="n">
        <v>0.5</v>
      </c>
      <c r="H7426" t="n">
        <v>0</v>
      </c>
      <c r="I7426" t="n">
        <v>0</v>
      </c>
      <c r="J7426" t="n">
        <v>0</v>
      </c>
      <c r="K7426" t="n">
        <v>0</v>
      </c>
      <c r="L7426" t="n">
        <v>0</v>
      </c>
      <c r="M7426" t="n">
        <v>0</v>
      </c>
      <c r="N7426" t="n">
        <v>0</v>
      </c>
      <c r="O7426" t="n">
        <v>0</v>
      </c>
      <c r="P7426" t="n">
        <v>0</v>
      </c>
      <c r="Q7426" t="n">
        <v>0</v>
      </c>
      <c r="R7426" s="2" t="inlineStr"/>
    </row>
    <row r="7427" ht="15" customHeight="1">
      <c r="A7427" t="inlineStr">
        <is>
          <t>A 61383-2022</t>
        </is>
      </c>
      <c r="B7427" s="1" t="n">
        <v>44915</v>
      </c>
      <c r="C7427" s="1" t="n">
        <v>46093</v>
      </c>
      <c r="D7427" t="inlineStr">
        <is>
          <t>VÄSTERNORRLANDS LÄN</t>
        </is>
      </c>
      <c r="E7427" t="inlineStr">
        <is>
          <t>SOLLEFTEÅ</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66504-2021</t>
        </is>
      </c>
      <c r="B7428" s="1" t="n">
        <v>44517</v>
      </c>
      <c r="C7428" s="1" t="n">
        <v>46093</v>
      </c>
      <c r="D7428" t="inlineStr">
        <is>
          <t>VÄSTERNORRLANDS LÄN</t>
        </is>
      </c>
      <c r="E7428" t="inlineStr">
        <is>
          <t>ÖRNSKÖLDSVIK</t>
        </is>
      </c>
      <c r="G7428" t="n">
        <v>7</v>
      </c>
      <c r="H7428" t="n">
        <v>0</v>
      </c>
      <c r="I7428" t="n">
        <v>0</v>
      </c>
      <c r="J7428" t="n">
        <v>0</v>
      </c>
      <c r="K7428" t="n">
        <v>0</v>
      </c>
      <c r="L7428" t="n">
        <v>0</v>
      </c>
      <c r="M7428" t="n">
        <v>0</v>
      </c>
      <c r="N7428" t="n">
        <v>0</v>
      </c>
      <c r="O7428" t="n">
        <v>0</v>
      </c>
      <c r="P7428" t="n">
        <v>0</v>
      </c>
      <c r="Q7428" t="n">
        <v>0</v>
      </c>
      <c r="R7428" s="2" t="inlineStr"/>
    </row>
    <row r="7429" ht="15" customHeight="1">
      <c r="A7429" t="inlineStr">
        <is>
          <t>A 54185-2025</t>
        </is>
      </c>
      <c r="B7429" s="1" t="n">
        <v>45964.56795138889</v>
      </c>
      <c r="C7429" s="1" t="n">
        <v>46093</v>
      </c>
      <c r="D7429" t="inlineStr">
        <is>
          <t>VÄSTERNORRLANDS LÄN</t>
        </is>
      </c>
      <c r="E7429" t="inlineStr">
        <is>
          <t>KRAMFORS</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54188-2025</t>
        </is>
      </c>
      <c r="B7430" s="1" t="n">
        <v>45964.56894675926</v>
      </c>
      <c r="C7430" s="1" t="n">
        <v>46093</v>
      </c>
      <c r="D7430" t="inlineStr">
        <is>
          <t>VÄSTERNORRLANDS LÄN</t>
        </is>
      </c>
      <c r="E7430" t="inlineStr">
        <is>
          <t>KRAMFORS</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54193-2025</t>
        </is>
      </c>
      <c r="B7431" s="1" t="n">
        <v>45964.57373842593</v>
      </c>
      <c r="C7431" s="1" t="n">
        <v>46093</v>
      </c>
      <c r="D7431" t="inlineStr">
        <is>
          <t>VÄSTERNORRLANDS LÄN</t>
        </is>
      </c>
      <c r="E7431" t="inlineStr">
        <is>
          <t>SOLLEFTEÅ</t>
        </is>
      </c>
      <c r="F7431" t="inlineStr">
        <is>
          <t>SCA</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38110-2025</t>
        </is>
      </c>
      <c r="B7432" s="1" t="n">
        <v>45882</v>
      </c>
      <c r="C7432" s="1" t="n">
        <v>46093</v>
      </c>
      <c r="D7432" t="inlineStr">
        <is>
          <t>VÄSTERNORRLANDS LÄN</t>
        </is>
      </c>
      <c r="E7432" t="inlineStr">
        <is>
          <t>TIMRÅ</t>
        </is>
      </c>
      <c r="G7432" t="n">
        <v>7.4</v>
      </c>
      <c r="H7432" t="n">
        <v>0</v>
      </c>
      <c r="I7432" t="n">
        <v>0</v>
      </c>
      <c r="J7432" t="n">
        <v>0</v>
      </c>
      <c r="K7432" t="n">
        <v>0</v>
      </c>
      <c r="L7432" t="n">
        <v>0</v>
      </c>
      <c r="M7432" t="n">
        <v>0</v>
      </c>
      <c r="N7432" t="n">
        <v>0</v>
      </c>
      <c r="O7432" t="n">
        <v>0</v>
      </c>
      <c r="P7432" t="n">
        <v>0</v>
      </c>
      <c r="Q7432" t="n">
        <v>0</v>
      </c>
      <c r="R7432" s="2" t="inlineStr"/>
    </row>
    <row r="7433" ht="15" customHeight="1">
      <c r="A7433" t="inlineStr">
        <is>
          <t>A 54272-2025</t>
        </is>
      </c>
      <c r="B7433" s="1" t="n">
        <v>45964.67846064815</v>
      </c>
      <c r="C7433" s="1" t="n">
        <v>46093</v>
      </c>
      <c r="D7433" t="inlineStr">
        <is>
          <t>VÄSTERNORRLANDS LÄN</t>
        </is>
      </c>
      <c r="E7433" t="inlineStr">
        <is>
          <t>SOLLEFTEÅ</t>
        </is>
      </c>
      <c r="F7433" t="inlineStr">
        <is>
          <t>SCA</t>
        </is>
      </c>
      <c r="G7433" t="n">
        <v>3.8</v>
      </c>
      <c r="H7433" t="n">
        <v>0</v>
      </c>
      <c r="I7433" t="n">
        <v>0</v>
      </c>
      <c r="J7433" t="n">
        <v>0</v>
      </c>
      <c r="K7433" t="n">
        <v>0</v>
      </c>
      <c r="L7433" t="n">
        <v>0</v>
      </c>
      <c r="M7433" t="n">
        <v>0</v>
      </c>
      <c r="N7433" t="n">
        <v>0</v>
      </c>
      <c r="O7433" t="n">
        <v>0</v>
      </c>
      <c r="P7433" t="n">
        <v>0</v>
      </c>
      <c r="Q7433" t="n">
        <v>0</v>
      </c>
      <c r="R7433" s="2" t="inlineStr"/>
    </row>
    <row r="7434" ht="15" customHeight="1">
      <c r="A7434" t="inlineStr">
        <is>
          <t>A 54165-2025</t>
        </is>
      </c>
      <c r="B7434" s="1" t="n">
        <v>45964</v>
      </c>
      <c r="C7434" s="1" t="n">
        <v>46093</v>
      </c>
      <c r="D7434" t="inlineStr">
        <is>
          <t>VÄSTERNORRLANDS LÄN</t>
        </is>
      </c>
      <c r="E7434" t="inlineStr">
        <is>
          <t>SOLLEFTEÅ</t>
        </is>
      </c>
      <c r="G7434" t="n">
        <v>5.8</v>
      </c>
      <c r="H7434" t="n">
        <v>0</v>
      </c>
      <c r="I7434" t="n">
        <v>0</v>
      </c>
      <c r="J7434" t="n">
        <v>0</v>
      </c>
      <c r="K7434" t="n">
        <v>0</v>
      </c>
      <c r="L7434" t="n">
        <v>0</v>
      </c>
      <c r="M7434" t="n">
        <v>0</v>
      </c>
      <c r="N7434" t="n">
        <v>0</v>
      </c>
      <c r="O7434" t="n">
        <v>0</v>
      </c>
      <c r="P7434" t="n">
        <v>0</v>
      </c>
      <c r="Q7434" t="n">
        <v>0</v>
      </c>
      <c r="R7434" s="2" t="inlineStr"/>
    </row>
    <row r="7435" ht="15" customHeight="1">
      <c r="A7435" t="inlineStr">
        <is>
          <t>A 54256-2025</t>
        </is>
      </c>
      <c r="B7435" s="1" t="n">
        <v>45964.65710648148</v>
      </c>
      <c r="C7435" s="1" t="n">
        <v>46093</v>
      </c>
      <c r="D7435" t="inlineStr">
        <is>
          <t>VÄSTERNORRLANDS LÄN</t>
        </is>
      </c>
      <c r="E7435" t="inlineStr">
        <is>
          <t>SOLLEFTEÅ</t>
        </is>
      </c>
      <c r="F7435" t="inlineStr">
        <is>
          <t>SCA</t>
        </is>
      </c>
      <c r="G7435" t="n">
        <v>2.3</v>
      </c>
      <c r="H7435" t="n">
        <v>0</v>
      </c>
      <c r="I7435" t="n">
        <v>0</v>
      </c>
      <c r="J7435" t="n">
        <v>0</v>
      </c>
      <c r="K7435" t="n">
        <v>0</v>
      </c>
      <c r="L7435" t="n">
        <v>0</v>
      </c>
      <c r="M7435" t="n">
        <v>0</v>
      </c>
      <c r="N7435" t="n">
        <v>0</v>
      </c>
      <c r="O7435" t="n">
        <v>0</v>
      </c>
      <c r="P7435" t="n">
        <v>0</v>
      </c>
      <c r="Q7435" t="n">
        <v>0</v>
      </c>
      <c r="R7435" s="2" t="inlineStr"/>
    </row>
    <row r="7436" ht="15" customHeight="1">
      <c r="A7436" t="inlineStr">
        <is>
          <t>A 38156-2025</t>
        </is>
      </c>
      <c r="B7436" s="1" t="n">
        <v>45882.61491898148</v>
      </c>
      <c r="C7436" s="1" t="n">
        <v>46093</v>
      </c>
      <c r="D7436" t="inlineStr">
        <is>
          <t>VÄSTERNORRLANDS LÄN</t>
        </is>
      </c>
      <c r="E7436" t="inlineStr">
        <is>
          <t>SOLLEFTEÅ</t>
        </is>
      </c>
      <c r="F7436" t="inlineStr">
        <is>
          <t>SCA</t>
        </is>
      </c>
      <c r="G7436" t="n">
        <v>13.5</v>
      </c>
      <c r="H7436" t="n">
        <v>0</v>
      </c>
      <c r="I7436" t="n">
        <v>0</v>
      </c>
      <c r="J7436" t="n">
        <v>0</v>
      </c>
      <c r="K7436" t="n">
        <v>0</v>
      </c>
      <c r="L7436" t="n">
        <v>0</v>
      </c>
      <c r="M7436" t="n">
        <v>0</v>
      </c>
      <c r="N7436" t="n">
        <v>0</v>
      </c>
      <c r="O7436" t="n">
        <v>0</v>
      </c>
      <c r="P7436" t="n">
        <v>0</v>
      </c>
      <c r="Q7436" t="n">
        <v>0</v>
      </c>
      <c r="R7436" s="2" t="inlineStr"/>
    </row>
    <row r="7437" ht="15" customHeight="1">
      <c r="A7437" t="inlineStr">
        <is>
          <t>A 37921-2025</t>
        </is>
      </c>
      <c r="B7437" s="1" t="n">
        <v>45881.57491898148</v>
      </c>
      <c r="C7437" s="1" t="n">
        <v>46093</v>
      </c>
      <c r="D7437" t="inlineStr">
        <is>
          <t>VÄSTERNORRLANDS LÄN</t>
        </is>
      </c>
      <c r="E7437" t="inlineStr">
        <is>
          <t>SOLLEFTEÅ</t>
        </is>
      </c>
      <c r="F7437" t="inlineStr">
        <is>
          <t>SCA</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54042-2025</t>
        </is>
      </c>
      <c r="B7438" s="1" t="n">
        <v>45963.78603009259</v>
      </c>
      <c r="C7438" s="1" t="n">
        <v>46093</v>
      </c>
      <c r="D7438" t="inlineStr">
        <is>
          <t>VÄSTERNORRLANDS LÄN</t>
        </is>
      </c>
      <c r="E7438" t="inlineStr">
        <is>
          <t>ÖRNSKÖLDSVIK</t>
        </is>
      </c>
      <c r="F7438" t="inlineStr">
        <is>
          <t>Holmen skog AB</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6876-2025</t>
        </is>
      </c>
      <c r="B7439" s="1" t="n">
        <v>45701.34446759259</v>
      </c>
      <c r="C7439" s="1" t="n">
        <v>46093</v>
      </c>
      <c r="D7439" t="inlineStr">
        <is>
          <t>VÄSTERNORRLANDS LÄN</t>
        </is>
      </c>
      <c r="E7439" t="inlineStr">
        <is>
          <t>SOLLEFTEÅ</t>
        </is>
      </c>
      <c r="F7439" t="inlineStr">
        <is>
          <t>SCA</t>
        </is>
      </c>
      <c r="G7439" t="n">
        <v>10.4</v>
      </c>
      <c r="H7439" t="n">
        <v>0</v>
      </c>
      <c r="I7439" t="n">
        <v>0</v>
      </c>
      <c r="J7439" t="n">
        <v>0</v>
      </c>
      <c r="K7439" t="n">
        <v>0</v>
      </c>
      <c r="L7439" t="n">
        <v>0</v>
      </c>
      <c r="M7439" t="n">
        <v>0</v>
      </c>
      <c r="N7439" t="n">
        <v>0</v>
      </c>
      <c r="O7439" t="n">
        <v>0</v>
      </c>
      <c r="P7439" t="n">
        <v>0</v>
      </c>
      <c r="Q7439" t="n">
        <v>0</v>
      </c>
      <c r="R7439" s="2" t="inlineStr"/>
    </row>
    <row r="7440" ht="15" customHeight="1">
      <c r="A7440" t="inlineStr">
        <is>
          <t>A 6882-2025</t>
        </is>
      </c>
      <c r="B7440" s="1" t="n">
        <v>45701.34545138889</v>
      </c>
      <c r="C7440" s="1" t="n">
        <v>46093</v>
      </c>
      <c r="D7440" t="inlineStr">
        <is>
          <t>VÄSTERNORRLANDS LÄN</t>
        </is>
      </c>
      <c r="E7440" t="inlineStr">
        <is>
          <t>SUNDSVALL</t>
        </is>
      </c>
      <c r="F7440" t="inlineStr">
        <is>
          <t>SCA</t>
        </is>
      </c>
      <c r="G7440" t="n">
        <v>3</v>
      </c>
      <c r="H7440" t="n">
        <v>0</v>
      </c>
      <c r="I7440" t="n">
        <v>0</v>
      </c>
      <c r="J7440" t="n">
        <v>0</v>
      </c>
      <c r="K7440" t="n">
        <v>0</v>
      </c>
      <c r="L7440" t="n">
        <v>0</v>
      </c>
      <c r="M7440" t="n">
        <v>0</v>
      </c>
      <c r="N7440" t="n">
        <v>0</v>
      </c>
      <c r="O7440" t="n">
        <v>0</v>
      </c>
      <c r="P7440" t="n">
        <v>0</v>
      </c>
      <c r="Q7440" t="n">
        <v>0</v>
      </c>
      <c r="R7440" s="2" t="inlineStr"/>
    </row>
    <row r="7441" ht="15" customHeight="1">
      <c r="A7441" t="inlineStr">
        <is>
          <t>A 27509-2022</t>
        </is>
      </c>
      <c r="B7441" s="1" t="n">
        <v>44742</v>
      </c>
      <c r="C7441" s="1" t="n">
        <v>46093</v>
      </c>
      <c r="D7441" t="inlineStr">
        <is>
          <t>VÄSTERNORRLANDS LÄN</t>
        </is>
      </c>
      <c r="E7441" t="inlineStr">
        <is>
          <t>ÖRNSKÖLDSVIK</t>
        </is>
      </c>
      <c r="G7441" t="n">
        <v>2.8</v>
      </c>
      <c r="H7441" t="n">
        <v>0</v>
      </c>
      <c r="I7441" t="n">
        <v>0</v>
      </c>
      <c r="J7441" t="n">
        <v>0</v>
      </c>
      <c r="K7441" t="n">
        <v>0</v>
      </c>
      <c r="L7441" t="n">
        <v>0</v>
      </c>
      <c r="M7441" t="n">
        <v>0</v>
      </c>
      <c r="N7441" t="n">
        <v>0</v>
      </c>
      <c r="O7441" t="n">
        <v>0</v>
      </c>
      <c r="P7441" t="n">
        <v>0</v>
      </c>
      <c r="Q7441" t="n">
        <v>0</v>
      </c>
      <c r="R7441" s="2" t="inlineStr"/>
    </row>
    <row r="7442" ht="15" customHeight="1">
      <c r="A7442" t="inlineStr">
        <is>
          <t>A 27522-2022</t>
        </is>
      </c>
      <c r="B7442" s="1" t="n">
        <v>44742</v>
      </c>
      <c r="C7442" s="1" t="n">
        <v>46093</v>
      </c>
      <c r="D7442" t="inlineStr">
        <is>
          <t>VÄSTERNORRLANDS LÄN</t>
        </is>
      </c>
      <c r="E7442" t="inlineStr">
        <is>
          <t>ÖRNSKÖLDSVIK</t>
        </is>
      </c>
      <c r="F7442" t="inlineStr">
        <is>
          <t>Holmen skog AB</t>
        </is>
      </c>
      <c r="G7442" t="n">
        <v>11.3</v>
      </c>
      <c r="H7442" t="n">
        <v>0</v>
      </c>
      <c r="I7442" t="n">
        <v>0</v>
      </c>
      <c r="J7442" t="n">
        <v>0</v>
      </c>
      <c r="K7442" t="n">
        <v>0</v>
      </c>
      <c r="L7442" t="n">
        <v>0</v>
      </c>
      <c r="M7442" t="n">
        <v>0</v>
      </c>
      <c r="N7442" t="n">
        <v>0</v>
      </c>
      <c r="O7442" t="n">
        <v>0</v>
      </c>
      <c r="P7442" t="n">
        <v>0</v>
      </c>
      <c r="Q7442" t="n">
        <v>0</v>
      </c>
      <c r="R7442" s="2" t="inlineStr"/>
    </row>
    <row r="7443" ht="15" customHeight="1">
      <c r="A7443" t="inlineStr">
        <is>
          <t>A 38621-2025</t>
        </is>
      </c>
      <c r="B7443" s="1" t="n">
        <v>45884.55306712963</v>
      </c>
      <c r="C7443" s="1" t="n">
        <v>46093</v>
      </c>
      <c r="D7443" t="inlineStr">
        <is>
          <t>VÄSTERNORRLANDS LÄN</t>
        </is>
      </c>
      <c r="E7443" t="inlineStr">
        <is>
          <t>SUNDSVALL</t>
        </is>
      </c>
      <c r="F7443" t="inlineStr">
        <is>
          <t>Naturvårdsverket</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53896-2025</t>
        </is>
      </c>
      <c r="B7444" s="1" t="n">
        <v>45961.42748842593</v>
      </c>
      <c r="C7444" s="1" t="n">
        <v>46093</v>
      </c>
      <c r="D7444" t="inlineStr">
        <is>
          <t>VÄSTERNORRLANDS LÄN</t>
        </is>
      </c>
      <c r="E7444" t="inlineStr">
        <is>
          <t>SOLLEFTEÅ</t>
        </is>
      </c>
      <c r="F7444" t="inlineStr">
        <is>
          <t>SCA</t>
        </is>
      </c>
      <c r="G7444" t="n">
        <v>7</v>
      </c>
      <c r="H7444" t="n">
        <v>0</v>
      </c>
      <c r="I7444" t="n">
        <v>0</v>
      </c>
      <c r="J7444" t="n">
        <v>0</v>
      </c>
      <c r="K7444" t="n">
        <v>0</v>
      </c>
      <c r="L7444" t="n">
        <v>0</v>
      </c>
      <c r="M7444" t="n">
        <v>0</v>
      </c>
      <c r="N7444" t="n">
        <v>0</v>
      </c>
      <c r="O7444" t="n">
        <v>0</v>
      </c>
      <c r="P7444" t="n">
        <v>0</v>
      </c>
      <c r="Q7444" t="n">
        <v>0</v>
      </c>
      <c r="R7444" s="2" t="inlineStr"/>
    </row>
    <row r="7445" ht="15" customHeight="1">
      <c r="A7445" t="inlineStr">
        <is>
          <t>A 3022-2023</t>
        </is>
      </c>
      <c r="B7445" s="1" t="n">
        <v>44945</v>
      </c>
      <c r="C7445" s="1" t="n">
        <v>46093</v>
      </c>
      <c r="D7445" t="inlineStr">
        <is>
          <t>VÄSTERNORRLANDS LÄN</t>
        </is>
      </c>
      <c r="E7445" t="inlineStr">
        <is>
          <t>ÅNGE</t>
        </is>
      </c>
      <c r="F7445" t="inlineStr">
        <is>
          <t>SCA</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3024-2023</t>
        </is>
      </c>
      <c r="B7446" s="1" t="n">
        <v>44945</v>
      </c>
      <c r="C7446" s="1" t="n">
        <v>46093</v>
      </c>
      <c r="D7446" t="inlineStr">
        <is>
          <t>VÄSTERNORRLANDS LÄN</t>
        </is>
      </c>
      <c r="E7446" t="inlineStr">
        <is>
          <t>HÄRNÖSAND</t>
        </is>
      </c>
      <c r="F7446" t="inlineStr">
        <is>
          <t>SCA</t>
        </is>
      </c>
      <c r="G7446" t="n">
        <v>2.5</v>
      </c>
      <c r="H7446" t="n">
        <v>0</v>
      </c>
      <c r="I7446" t="n">
        <v>0</v>
      </c>
      <c r="J7446" t="n">
        <v>0</v>
      </c>
      <c r="K7446" t="n">
        <v>0</v>
      </c>
      <c r="L7446" t="n">
        <v>0</v>
      </c>
      <c r="M7446" t="n">
        <v>0</v>
      </c>
      <c r="N7446" t="n">
        <v>0</v>
      </c>
      <c r="O7446" t="n">
        <v>0</v>
      </c>
      <c r="P7446" t="n">
        <v>0</v>
      </c>
      <c r="Q7446" t="n">
        <v>0</v>
      </c>
      <c r="R7446" s="2" t="inlineStr"/>
    </row>
    <row r="7447" ht="15" customHeight="1">
      <c r="A7447" t="inlineStr">
        <is>
          <t>A 47939-2022</t>
        </is>
      </c>
      <c r="B7447" s="1" t="n">
        <v>44853</v>
      </c>
      <c r="C7447" s="1" t="n">
        <v>46093</v>
      </c>
      <c r="D7447" t="inlineStr">
        <is>
          <t>VÄSTERNORRLANDS LÄN</t>
        </is>
      </c>
      <c r="E7447" t="inlineStr">
        <is>
          <t>HÄRNÖSAND</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53926-2025</t>
        </is>
      </c>
      <c r="B7448" s="1" t="n">
        <v>45961.46501157407</v>
      </c>
      <c r="C7448" s="1" t="n">
        <v>46093</v>
      </c>
      <c r="D7448" t="inlineStr">
        <is>
          <t>VÄSTERNORRLANDS LÄN</t>
        </is>
      </c>
      <c r="E7448" t="inlineStr">
        <is>
          <t>ÖRNSKÖLDSVIK</t>
        </is>
      </c>
      <c r="F7448" t="inlineStr">
        <is>
          <t>Holmen skog AB</t>
        </is>
      </c>
      <c r="G7448" t="n">
        <v>2.2</v>
      </c>
      <c r="H7448" t="n">
        <v>0</v>
      </c>
      <c r="I7448" t="n">
        <v>0</v>
      </c>
      <c r="J7448" t="n">
        <v>0</v>
      </c>
      <c r="K7448" t="n">
        <v>0</v>
      </c>
      <c r="L7448" t="n">
        <v>0</v>
      </c>
      <c r="M7448" t="n">
        <v>0</v>
      </c>
      <c r="N7448" t="n">
        <v>0</v>
      </c>
      <c r="O7448" t="n">
        <v>0</v>
      </c>
      <c r="P7448" t="n">
        <v>0</v>
      </c>
      <c r="Q7448" t="n">
        <v>0</v>
      </c>
      <c r="R7448" s="2" t="inlineStr"/>
    </row>
    <row r="7449" ht="15" customHeight="1">
      <c r="A7449" t="inlineStr">
        <is>
          <t>A 37046-2024</t>
        </is>
      </c>
      <c r="B7449" s="1" t="n">
        <v>45539.42739583334</v>
      </c>
      <c r="C7449" s="1" t="n">
        <v>46093</v>
      </c>
      <c r="D7449" t="inlineStr">
        <is>
          <t>VÄSTERNORRLANDS LÄN</t>
        </is>
      </c>
      <c r="E7449" t="inlineStr">
        <is>
          <t>SOLLEFTEÅ</t>
        </is>
      </c>
      <c r="F7449" t="inlineStr">
        <is>
          <t>SCA</t>
        </is>
      </c>
      <c r="G7449" t="n">
        <v>6.2</v>
      </c>
      <c r="H7449" t="n">
        <v>0</v>
      </c>
      <c r="I7449" t="n">
        <v>0</v>
      </c>
      <c r="J7449" t="n">
        <v>0</v>
      </c>
      <c r="K7449" t="n">
        <v>0</v>
      </c>
      <c r="L7449" t="n">
        <v>0</v>
      </c>
      <c r="M7449" t="n">
        <v>0</v>
      </c>
      <c r="N7449" t="n">
        <v>0</v>
      </c>
      <c r="O7449" t="n">
        <v>0</v>
      </c>
      <c r="P7449" t="n">
        <v>0</v>
      </c>
      <c r="Q7449" t="n">
        <v>0</v>
      </c>
      <c r="R7449" s="2" t="inlineStr"/>
    </row>
    <row r="7450" ht="15" customHeight="1">
      <c r="A7450" t="inlineStr">
        <is>
          <t>A 60720-2024</t>
        </is>
      </c>
      <c r="B7450" s="1" t="n">
        <v>45638</v>
      </c>
      <c r="C7450" s="1" t="n">
        <v>46093</v>
      </c>
      <c r="D7450" t="inlineStr">
        <is>
          <t>VÄSTERNORRLANDS LÄN</t>
        </is>
      </c>
      <c r="E7450" t="inlineStr">
        <is>
          <t>ÖRNSKÖLDSVIK</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195-2025</t>
        </is>
      </c>
      <c r="B7451" s="1" t="n">
        <v>45659.79195601852</v>
      </c>
      <c r="C7451" s="1" t="n">
        <v>46093</v>
      </c>
      <c r="D7451" t="inlineStr">
        <is>
          <t>VÄSTERNORRLANDS LÄN</t>
        </is>
      </c>
      <c r="E7451" t="inlineStr">
        <is>
          <t>ÖRNSKÖLDSVIK</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12693-2025</t>
        </is>
      </c>
      <c r="B7452" s="1" t="n">
        <v>45733.45829861111</v>
      </c>
      <c r="C7452" s="1" t="n">
        <v>46093</v>
      </c>
      <c r="D7452" t="inlineStr">
        <is>
          <t>VÄSTERNORRLANDS LÄN</t>
        </is>
      </c>
      <c r="E7452" t="inlineStr">
        <is>
          <t>ÖRNSKÖLDSVIK</t>
        </is>
      </c>
      <c r="G7452" t="n">
        <v>3.7</v>
      </c>
      <c r="H7452" t="n">
        <v>0</v>
      </c>
      <c r="I7452" t="n">
        <v>0</v>
      </c>
      <c r="J7452" t="n">
        <v>0</v>
      </c>
      <c r="K7452" t="n">
        <v>0</v>
      </c>
      <c r="L7452" t="n">
        <v>0</v>
      </c>
      <c r="M7452" t="n">
        <v>0</v>
      </c>
      <c r="N7452" t="n">
        <v>0</v>
      </c>
      <c r="O7452" t="n">
        <v>0</v>
      </c>
      <c r="P7452" t="n">
        <v>0</v>
      </c>
      <c r="Q7452" t="n">
        <v>0</v>
      </c>
      <c r="R7452" s="2" t="inlineStr"/>
    </row>
    <row r="7453" ht="15" customHeight="1">
      <c r="A7453" t="inlineStr">
        <is>
          <t>A 53830-2025</t>
        </is>
      </c>
      <c r="B7453" s="1" t="n">
        <v>45961.34489583333</v>
      </c>
      <c r="C7453" s="1" t="n">
        <v>46093</v>
      </c>
      <c r="D7453" t="inlineStr">
        <is>
          <t>VÄSTERNORRLANDS LÄN</t>
        </is>
      </c>
      <c r="E7453" t="inlineStr">
        <is>
          <t>SUNDSVALL</t>
        </is>
      </c>
      <c r="F7453" t="inlineStr">
        <is>
          <t>SCA</t>
        </is>
      </c>
      <c r="G7453" t="n">
        <v>2.5</v>
      </c>
      <c r="H7453" t="n">
        <v>0</v>
      </c>
      <c r="I7453" t="n">
        <v>0</v>
      </c>
      <c r="J7453" t="n">
        <v>0</v>
      </c>
      <c r="K7453" t="n">
        <v>0</v>
      </c>
      <c r="L7453" t="n">
        <v>0</v>
      </c>
      <c r="M7453" t="n">
        <v>0</v>
      </c>
      <c r="N7453" t="n">
        <v>0</v>
      </c>
      <c r="O7453" t="n">
        <v>0</v>
      </c>
      <c r="P7453" t="n">
        <v>0</v>
      </c>
      <c r="Q7453" t="n">
        <v>0</v>
      </c>
      <c r="R7453" s="2" t="inlineStr"/>
    </row>
    <row r="7454" ht="15" customHeight="1">
      <c r="A7454" t="inlineStr">
        <is>
          <t>A 53997-2025</t>
        </is>
      </c>
      <c r="B7454" s="1" t="n">
        <v>45961</v>
      </c>
      <c r="C7454" s="1" t="n">
        <v>46093</v>
      </c>
      <c r="D7454" t="inlineStr">
        <is>
          <t>VÄSTERNORRLANDS LÄN</t>
        </is>
      </c>
      <c r="E7454" t="inlineStr">
        <is>
          <t>ÖRNSKÖLDSVIK</t>
        </is>
      </c>
      <c r="F7454" t="inlineStr">
        <is>
          <t>Holmen skog AB</t>
        </is>
      </c>
      <c r="G7454" t="n">
        <v>17.1</v>
      </c>
      <c r="H7454" t="n">
        <v>0</v>
      </c>
      <c r="I7454" t="n">
        <v>0</v>
      </c>
      <c r="J7454" t="n">
        <v>0</v>
      </c>
      <c r="K7454" t="n">
        <v>0</v>
      </c>
      <c r="L7454" t="n">
        <v>0</v>
      </c>
      <c r="M7454" t="n">
        <v>0</v>
      </c>
      <c r="N7454" t="n">
        <v>0</v>
      </c>
      <c r="O7454" t="n">
        <v>0</v>
      </c>
      <c r="P7454" t="n">
        <v>0</v>
      </c>
      <c r="Q7454" t="n">
        <v>0</v>
      </c>
      <c r="R7454" s="2" t="inlineStr"/>
    </row>
    <row r="7455" ht="15" customHeight="1">
      <c r="A7455" t="inlineStr">
        <is>
          <t>A 54026-2025</t>
        </is>
      </c>
      <c r="B7455" s="1" t="n">
        <v>45961.91059027778</v>
      </c>
      <c r="C7455" s="1" t="n">
        <v>46093</v>
      </c>
      <c r="D7455" t="inlineStr">
        <is>
          <t>VÄSTERNORRLANDS LÄN</t>
        </is>
      </c>
      <c r="E7455" t="inlineStr">
        <is>
          <t>ÖRNSKÖLDSVIK</t>
        </is>
      </c>
      <c r="F7455" t="inlineStr">
        <is>
          <t>Holmen skog AB</t>
        </is>
      </c>
      <c r="G7455" t="n">
        <v>3.7</v>
      </c>
      <c r="H7455" t="n">
        <v>0</v>
      </c>
      <c r="I7455" t="n">
        <v>0</v>
      </c>
      <c r="J7455" t="n">
        <v>0</v>
      </c>
      <c r="K7455" t="n">
        <v>0</v>
      </c>
      <c r="L7455" t="n">
        <v>0</v>
      </c>
      <c r="M7455" t="n">
        <v>0</v>
      </c>
      <c r="N7455" t="n">
        <v>0</v>
      </c>
      <c r="O7455" t="n">
        <v>0</v>
      </c>
      <c r="P7455" t="n">
        <v>0</v>
      </c>
      <c r="Q7455" t="n">
        <v>0</v>
      </c>
      <c r="R7455" s="2" t="inlineStr"/>
    </row>
    <row r="7456" ht="15" customHeight="1">
      <c r="A7456" t="inlineStr">
        <is>
          <t>A 46804-2023</t>
        </is>
      </c>
      <c r="B7456" s="1" t="n">
        <v>45198</v>
      </c>
      <c r="C7456" s="1" t="n">
        <v>46093</v>
      </c>
      <c r="D7456" t="inlineStr">
        <is>
          <t>VÄSTERNORRLANDS LÄN</t>
        </is>
      </c>
      <c r="E7456" t="inlineStr">
        <is>
          <t>SOLLEFTEÅ</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46822-2023</t>
        </is>
      </c>
      <c r="B7457" s="1" t="n">
        <v>45198</v>
      </c>
      <c r="C7457" s="1" t="n">
        <v>46093</v>
      </c>
      <c r="D7457" t="inlineStr">
        <is>
          <t>VÄSTERNORRLANDS LÄN</t>
        </is>
      </c>
      <c r="E7457" t="inlineStr">
        <is>
          <t>KRAMFORS</t>
        </is>
      </c>
      <c r="F7457" t="inlineStr">
        <is>
          <t>SCA</t>
        </is>
      </c>
      <c r="G7457" t="n">
        <v>21.2</v>
      </c>
      <c r="H7457" t="n">
        <v>0</v>
      </c>
      <c r="I7457" t="n">
        <v>0</v>
      </c>
      <c r="J7457" t="n">
        <v>0</v>
      </c>
      <c r="K7457" t="n">
        <v>0</v>
      </c>
      <c r="L7457" t="n">
        <v>0</v>
      </c>
      <c r="M7457" t="n">
        <v>0</v>
      </c>
      <c r="N7457" t="n">
        <v>0</v>
      </c>
      <c r="O7457" t="n">
        <v>0</v>
      </c>
      <c r="P7457" t="n">
        <v>0</v>
      </c>
      <c r="Q7457" t="n">
        <v>0</v>
      </c>
      <c r="R7457" s="2" t="inlineStr"/>
    </row>
    <row r="7458" ht="15" customHeight="1">
      <c r="A7458" t="inlineStr">
        <is>
          <t>A 54103-2025</t>
        </is>
      </c>
      <c r="B7458" s="1" t="n">
        <v>45964.42760416667</v>
      </c>
      <c r="C7458" s="1" t="n">
        <v>46093</v>
      </c>
      <c r="D7458" t="inlineStr">
        <is>
          <t>VÄSTERNORRLANDS LÄN</t>
        </is>
      </c>
      <c r="E7458" t="inlineStr">
        <is>
          <t>KRAMFORS</t>
        </is>
      </c>
      <c r="F7458" t="inlineStr">
        <is>
          <t>SCA</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54024-2025</t>
        </is>
      </c>
      <c r="B7459" s="1" t="n">
        <v>45961.79054398148</v>
      </c>
      <c r="C7459" s="1" t="n">
        <v>46093</v>
      </c>
      <c r="D7459" t="inlineStr">
        <is>
          <t>VÄSTERNORRLANDS LÄN</t>
        </is>
      </c>
      <c r="E7459" t="inlineStr">
        <is>
          <t>ÖRNSKÖLDSVIK</t>
        </is>
      </c>
      <c r="F7459" t="inlineStr">
        <is>
          <t>Holmen skog AB</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54271-2025</t>
        </is>
      </c>
      <c r="B7460" s="1" t="n">
        <v>45964.67839120371</v>
      </c>
      <c r="C7460" s="1" t="n">
        <v>46093</v>
      </c>
      <c r="D7460" t="inlineStr">
        <is>
          <t>VÄSTERNORRLANDS LÄN</t>
        </is>
      </c>
      <c r="E7460" t="inlineStr">
        <is>
          <t>SOLLEFTEÅ</t>
        </is>
      </c>
      <c r="F7460" t="inlineStr">
        <is>
          <t>SCA</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41484-2021</t>
        </is>
      </c>
      <c r="B7461" s="1" t="n">
        <v>44424</v>
      </c>
      <c r="C7461" s="1" t="n">
        <v>46093</v>
      </c>
      <c r="D7461" t="inlineStr">
        <is>
          <t>VÄSTERNORRLANDS LÄN</t>
        </is>
      </c>
      <c r="E7461" t="inlineStr">
        <is>
          <t>HÄRNÖSAND</t>
        </is>
      </c>
      <c r="G7461" t="n">
        <v>7</v>
      </c>
      <c r="H7461" t="n">
        <v>0</v>
      </c>
      <c r="I7461" t="n">
        <v>0</v>
      </c>
      <c r="J7461" t="n">
        <v>0</v>
      </c>
      <c r="K7461" t="n">
        <v>0</v>
      </c>
      <c r="L7461" t="n">
        <v>0</v>
      </c>
      <c r="M7461" t="n">
        <v>0</v>
      </c>
      <c r="N7461" t="n">
        <v>0</v>
      </c>
      <c r="O7461" t="n">
        <v>0</v>
      </c>
      <c r="P7461" t="n">
        <v>0</v>
      </c>
      <c r="Q7461" t="n">
        <v>0</v>
      </c>
      <c r="R7461" s="2" t="inlineStr"/>
    </row>
    <row r="7462" ht="15" customHeight="1">
      <c r="A7462" t="inlineStr">
        <is>
          <t>A 65188-2023</t>
        </is>
      </c>
      <c r="B7462" s="1" t="n">
        <v>45288</v>
      </c>
      <c r="C7462" s="1" t="n">
        <v>46093</v>
      </c>
      <c r="D7462" t="inlineStr">
        <is>
          <t>VÄSTERNORRLANDS LÄN</t>
        </is>
      </c>
      <c r="E7462" t="inlineStr">
        <is>
          <t>SUNDSVALL</t>
        </is>
      </c>
      <c r="F7462" t="inlineStr">
        <is>
          <t>SCA</t>
        </is>
      </c>
      <c r="G7462" t="n">
        <v>16.9</v>
      </c>
      <c r="H7462" t="n">
        <v>0</v>
      </c>
      <c r="I7462" t="n">
        <v>0</v>
      </c>
      <c r="J7462" t="n">
        <v>0</v>
      </c>
      <c r="K7462" t="n">
        <v>0</v>
      </c>
      <c r="L7462" t="n">
        <v>0</v>
      </c>
      <c r="M7462" t="n">
        <v>0</v>
      </c>
      <c r="N7462" t="n">
        <v>0</v>
      </c>
      <c r="O7462" t="n">
        <v>0</v>
      </c>
      <c r="P7462" t="n">
        <v>0</v>
      </c>
      <c r="Q7462" t="n">
        <v>0</v>
      </c>
      <c r="R7462" s="2" t="inlineStr"/>
    </row>
    <row r="7463" ht="15" customHeight="1">
      <c r="A7463" t="inlineStr">
        <is>
          <t>A 54226-2025</t>
        </is>
      </c>
      <c r="B7463" s="1" t="n">
        <v>45964.61069444445</v>
      </c>
      <c r="C7463" s="1" t="n">
        <v>46093</v>
      </c>
      <c r="D7463" t="inlineStr">
        <is>
          <t>VÄSTERNORRLANDS LÄN</t>
        </is>
      </c>
      <c r="E7463" t="inlineStr">
        <is>
          <t>ÖRNSKÖLDSVIK</t>
        </is>
      </c>
      <c r="F7463" t="inlineStr">
        <is>
          <t>Holmen skog AB</t>
        </is>
      </c>
      <c r="G7463" t="n">
        <v>4.9</v>
      </c>
      <c r="H7463" t="n">
        <v>0</v>
      </c>
      <c r="I7463" t="n">
        <v>0</v>
      </c>
      <c r="J7463" t="n">
        <v>0</v>
      </c>
      <c r="K7463" t="n">
        <v>0</v>
      </c>
      <c r="L7463" t="n">
        <v>0</v>
      </c>
      <c r="M7463" t="n">
        <v>0</v>
      </c>
      <c r="N7463" t="n">
        <v>0</v>
      </c>
      <c r="O7463" t="n">
        <v>0</v>
      </c>
      <c r="P7463" t="n">
        <v>0</v>
      </c>
      <c r="Q7463" t="n">
        <v>0</v>
      </c>
      <c r="R7463" s="2" t="inlineStr"/>
    </row>
    <row r="7464" ht="15" customHeight="1">
      <c r="A7464" t="inlineStr">
        <is>
          <t>A 15133-2025</t>
        </is>
      </c>
      <c r="B7464" s="1" t="n">
        <v>45744.38577546296</v>
      </c>
      <c r="C7464" s="1" t="n">
        <v>46093</v>
      </c>
      <c r="D7464" t="inlineStr">
        <is>
          <t>VÄSTERNORRLANDS LÄN</t>
        </is>
      </c>
      <c r="E7464" t="inlineStr">
        <is>
          <t>SUNDSVALL</t>
        </is>
      </c>
      <c r="F7464" t="inlineStr">
        <is>
          <t>SCA</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15135-2025</t>
        </is>
      </c>
      <c r="B7465" s="1" t="n">
        <v>45744</v>
      </c>
      <c r="C7465" s="1" t="n">
        <v>46093</v>
      </c>
      <c r="D7465" t="inlineStr">
        <is>
          <t>VÄSTERNORRLANDS LÄN</t>
        </is>
      </c>
      <c r="E7465" t="inlineStr">
        <is>
          <t>SUNDSVALL</t>
        </is>
      </c>
      <c r="F7465" t="inlineStr">
        <is>
          <t>SCA</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58578-2024</t>
        </is>
      </c>
      <c r="B7466" s="1" t="n">
        <v>45635</v>
      </c>
      <c r="C7466" s="1" t="n">
        <v>46093</v>
      </c>
      <c r="D7466" t="inlineStr">
        <is>
          <t>VÄSTERNORRLANDS LÄN</t>
        </is>
      </c>
      <c r="E7466" t="inlineStr">
        <is>
          <t>SOLLEFTEÅ</t>
        </is>
      </c>
      <c r="G7466" t="n">
        <v>2.2</v>
      </c>
      <c r="H7466" t="n">
        <v>0</v>
      </c>
      <c r="I7466" t="n">
        <v>0</v>
      </c>
      <c r="J7466" t="n">
        <v>0</v>
      </c>
      <c r="K7466" t="n">
        <v>0</v>
      </c>
      <c r="L7466" t="n">
        <v>0</v>
      </c>
      <c r="M7466" t="n">
        <v>0</v>
      </c>
      <c r="N7466" t="n">
        <v>0</v>
      </c>
      <c r="O7466" t="n">
        <v>0</v>
      </c>
      <c r="P7466" t="n">
        <v>0</v>
      </c>
      <c r="Q7466" t="n">
        <v>0</v>
      </c>
      <c r="R7466" s="2" t="inlineStr"/>
    </row>
    <row r="7467" ht="15" customHeight="1">
      <c r="A7467" t="inlineStr">
        <is>
          <t>A 58588-2024</t>
        </is>
      </c>
      <c r="B7467" s="1" t="n">
        <v>45635.50605324074</v>
      </c>
      <c r="C7467" s="1" t="n">
        <v>46093</v>
      </c>
      <c r="D7467" t="inlineStr">
        <is>
          <t>VÄSTERNORRLANDS LÄN</t>
        </is>
      </c>
      <c r="E7467" t="inlineStr">
        <is>
          <t>SOLLEFTEÅ</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54255-2025</t>
        </is>
      </c>
      <c r="B7468" s="1" t="n">
        <v>45964.65692129629</v>
      </c>
      <c r="C7468" s="1" t="n">
        <v>46093</v>
      </c>
      <c r="D7468" t="inlineStr">
        <is>
          <t>VÄSTERNORRLANDS LÄN</t>
        </is>
      </c>
      <c r="E7468" t="inlineStr">
        <is>
          <t>SOLLEFTEÅ</t>
        </is>
      </c>
      <c r="F7468" t="inlineStr">
        <is>
          <t>SCA</t>
        </is>
      </c>
      <c r="G7468" t="n">
        <v>0.5</v>
      </c>
      <c r="H7468" t="n">
        <v>0</v>
      </c>
      <c r="I7468" t="n">
        <v>0</v>
      </c>
      <c r="J7468" t="n">
        <v>0</v>
      </c>
      <c r="K7468" t="n">
        <v>0</v>
      </c>
      <c r="L7468" t="n">
        <v>0</v>
      </c>
      <c r="M7468" t="n">
        <v>0</v>
      </c>
      <c r="N7468" t="n">
        <v>0</v>
      </c>
      <c r="O7468" t="n">
        <v>0</v>
      </c>
      <c r="P7468" t="n">
        <v>0</v>
      </c>
      <c r="Q7468" t="n">
        <v>0</v>
      </c>
      <c r="R7468" s="2" t="inlineStr"/>
    </row>
    <row r="7469" ht="15" customHeight="1">
      <c r="A7469" t="inlineStr">
        <is>
          <t>A 53221-2021</t>
        </is>
      </c>
      <c r="B7469" s="1" t="n">
        <v>44467</v>
      </c>
      <c r="C7469" s="1" t="n">
        <v>46093</v>
      </c>
      <c r="D7469" t="inlineStr">
        <is>
          <t>VÄSTERNORRLANDS LÄN</t>
        </is>
      </c>
      <c r="E7469" t="inlineStr">
        <is>
          <t>ÖRNSKÖLDSVIK</t>
        </is>
      </c>
      <c r="G7469" t="n">
        <v>1.8</v>
      </c>
      <c r="H7469" t="n">
        <v>0</v>
      </c>
      <c r="I7469" t="n">
        <v>0</v>
      </c>
      <c r="J7469" t="n">
        <v>0</v>
      </c>
      <c r="K7469" t="n">
        <v>0</v>
      </c>
      <c r="L7469" t="n">
        <v>0</v>
      </c>
      <c r="M7469" t="n">
        <v>0</v>
      </c>
      <c r="N7469" t="n">
        <v>0</v>
      </c>
      <c r="O7469" t="n">
        <v>0</v>
      </c>
      <c r="P7469" t="n">
        <v>0</v>
      </c>
      <c r="Q7469" t="n">
        <v>0</v>
      </c>
      <c r="R7469" s="2" t="inlineStr"/>
    </row>
    <row r="7470" ht="15" customHeight="1">
      <c r="A7470" t="inlineStr">
        <is>
          <t>A 10738-2025</t>
        </is>
      </c>
      <c r="B7470" s="1" t="n">
        <v>45722.40704861111</v>
      </c>
      <c r="C7470" s="1" t="n">
        <v>46093</v>
      </c>
      <c r="D7470" t="inlineStr">
        <is>
          <t>VÄSTERNORRLANDS LÄN</t>
        </is>
      </c>
      <c r="E7470" t="inlineStr">
        <is>
          <t>SOLLEFTEÅ</t>
        </is>
      </c>
      <c r="F7470" t="inlineStr">
        <is>
          <t>SCA</t>
        </is>
      </c>
      <c r="G7470" t="n">
        <v>10</v>
      </c>
      <c r="H7470" t="n">
        <v>0</v>
      </c>
      <c r="I7470" t="n">
        <v>0</v>
      </c>
      <c r="J7470" t="n">
        <v>0</v>
      </c>
      <c r="K7470" t="n">
        <v>0</v>
      </c>
      <c r="L7470" t="n">
        <v>0</v>
      </c>
      <c r="M7470" t="n">
        <v>0</v>
      </c>
      <c r="N7470" t="n">
        <v>0</v>
      </c>
      <c r="O7470" t="n">
        <v>0</v>
      </c>
      <c r="P7470" t="n">
        <v>0</v>
      </c>
      <c r="Q7470" t="n">
        <v>0</v>
      </c>
      <c r="R7470" s="2" t="inlineStr"/>
    </row>
    <row r="7471" ht="15" customHeight="1">
      <c r="A7471" t="inlineStr">
        <is>
          <t>A 9529-2024</t>
        </is>
      </c>
      <c r="B7471" s="1" t="n">
        <v>45359</v>
      </c>
      <c r="C7471" s="1" t="n">
        <v>46093</v>
      </c>
      <c r="D7471" t="inlineStr">
        <is>
          <t>VÄSTERNORRLANDS LÄN</t>
        </is>
      </c>
      <c r="E7471" t="inlineStr">
        <is>
          <t>ÖRNSKÖLDSVIK</t>
        </is>
      </c>
      <c r="F7471" t="inlineStr">
        <is>
          <t>Holmen skog AB</t>
        </is>
      </c>
      <c r="G7471" t="n">
        <v>0.3</v>
      </c>
      <c r="H7471" t="n">
        <v>0</v>
      </c>
      <c r="I7471" t="n">
        <v>0</v>
      </c>
      <c r="J7471" t="n">
        <v>0</v>
      </c>
      <c r="K7471" t="n">
        <v>0</v>
      </c>
      <c r="L7471" t="n">
        <v>0</v>
      </c>
      <c r="M7471" t="n">
        <v>0</v>
      </c>
      <c r="N7471" t="n">
        <v>0</v>
      </c>
      <c r="O7471" t="n">
        <v>0</v>
      </c>
      <c r="P7471" t="n">
        <v>0</v>
      </c>
      <c r="Q7471" t="n">
        <v>0</v>
      </c>
      <c r="R7471" s="2" t="inlineStr"/>
    </row>
    <row r="7472" ht="15" customHeight="1">
      <c r="A7472" t="inlineStr">
        <is>
          <t>A 54069-2025</t>
        </is>
      </c>
      <c r="B7472" s="1" t="n">
        <v>45964.3446875</v>
      </c>
      <c r="C7472" s="1" t="n">
        <v>46093</v>
      </c>
      <c r="D7472" t="inlineStr">
        <is>
          <t>VÄSTERNORRLANDS LÄN</t>
        </is>
      </c>
      <c r="E7472" t="inlineStr">
        <is>
          <t>KRAMFORS</t>
        </is>
      </c>
      <c r="F7472" t="inlineStr">
        <is>
          <t>SCA</t>
        </is>
      </c>
      <c r="G7472" t="n">
        <v>3.2</v>
      </c>
      <c r="H7472" t="n">
        <v>0</v>
      </c>
      <c r="I7472" t="n">
        <v>0</v>
      </c>
      <c r="J7472" t="n">
        <v>0</v>
      </c>
      <c r="K7472" t="n">
        <v>0</v>
      </c>
      <c r="L7472" t="n">
        <v>0</v>
      </c>
      <c r="M7472" t="n">
        <v>0</v>
      </c>
      <c r="N7472" t="n">
        <v>0</v>
      </c>
      <c r="O7472" t="n">
        <v>0</v>
      </c>
      <c r="P7472" t="n">
        <v>0</v>
      </c>
      <c r="Q7472" t="n">
        <v>0</v>
      </c>
      <c r="R7472" s="2" t="inlineStr"/>
    </row>
    <row r="7473" ht="15" customHeight="1">
      <c r="A7473" t="inlineStr">
        <is>
          <t>A 59770-2022</t>
        </is>
      </c>
      <c r="B7473" s="1" t="n">
        <v>44908</v>
      </c>
      <c r="C7473" s="1" t="n">
        <v>46093</v>
      </c>
      <c r="D7473" t="inlineStr">
        <is>
          <t>VÄSTERNORRLANDS LÄN</t>
        </is>
      </c>
      <c r="E7473" t="inlineStr">
        <is>
          <t>SUNDSVALL</t>
        </is>
      </c>
      <c r="G7473" t="n">
        <v>6.1</v>
      </c>
      <c r="H7473" t="n">
        <v>0</v>
      </c>
      <c r="I7473" t="n">
        <v>0</v>
      </c>
      <c r="J7473" t="n">
        <v>0</v>
      </c>
      <c r="K7473" t="n">
        <v>0</v>
      </c>
      <c r="L7473" t="n">
        <v>0</v>
      </c>
      <c r="M7473" t="n">
        <v>0</v>
      </c>
      <c r="N7473" t="n">
        <v>0</v>
      </c>
      <c r="O7473" t="n">
        <v>0</v>
      </c>
      <c r="P7473" t="n">
        <v>0</v>
      </c>
      <c r="Q7473" t="n">
        <v>0</v>
      </c>
      <c r="R7473" s="2" t="inlineStr"/>
    </row>
    <row r="7474" ht="15" customHeight="1">
      <c r="A7474" t="inlineStr">
        <is>
          <t>A 53999-2025</t>
        </is>
      </c>
      <c r="B7474" s="1" t="n">
        <v>45961</v>
      </c>
      <c r="C7474" s="1" t="n">
        <v>46093</v>
      </c>
      <c r="D7474" t="inlineStr">
        <is>
          <t>VÄSTERNORRLANDS LÄN</t>
        </is>
      </c>
      <c r="E7474" t="inlineStr">
        <is>
          <t>ÅNGE</t>
        </is>
      </c>
      <c r="F7474" t="inlineStr">
        <is>
          <t>SCA</t>
        </is>
      </c>
      <c r="G7474" t="n">
        <v>6.7</v>
      </c>
      <c r="H7474" t="n">
        <v>0</v>
      </c>
      <c r="I7474" t="n">
        <v>0</v>
      </c>
      <c r="J7474" t="n">
        <v>0</v>
      </c>
      <c r="K7474" t="n">
        <v>0</v>
      </c>
      <c r="L7474" t="n">
        <v>0</v>
      </c>
      <c r="M7474" t="n">
        <v>0</v>
      </c>
      <c r="N7474" t="n">
        <v>0</v>
      </c>
      <c r="O7474" t="n">
        <v>0</v>
      </c>
      <c r="P7474" t="n">
        <v>0</v>
      </c>
      <c r="Q7474" t="n">
        <v>0</v>
      </c>
      <c r="R7474" s="2" t="inlineStr"/>
    </row>
    <row r="7475" ht="15" customHeight="1">
      <c r="A7475" t="inlineStr">
        <is>
          <t>A 54025-2025</t>
        </is>
      </c>
      <c r="B7475" s="1" t="n">
        <v>45961.83200231481</v>
      </c>
      <c r="C7475" s="1" t="n">
        <v>46093</v>
      </c>
      <c r="D7475" t="inlineStr">
        <is>
          <t>VÄSTERNORRLANDS LÄN</t>
        </is>
      </c>
      <c r="E7475" t="inlineStr">
        <is>
          <t>ÖRNSKÖLDSVIK</t>
        </is>
      </c>
      <c r="F7475" t="inlineStr">
        <is>
          <t>Holmen skog AB</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10821-2025</t>
        </is>
      </c>
      <c r="B7476" s="1" t="n">
        <v>45722.5502662037</v>
      </c>
      <c r="C7476" s="1" t="n">
        <v>46093</v>
      </c>
      <c r="D7476" t="inlineStr">
        <is>
          <t>VÄSTERNORRLANDS LÄN</t>
        </is>
      </c>
      <c r="E7476" t="inlineStr">
        <is>
          <t>ÖRNSKÖLDSVIK</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47248-2025</t>
        </is>
      </c>
      <c r="B7477" s="1" t="n">
        <v>45930</v>
      </c>
      <c r="C7477" s="1" t="n">
        <v>46093</v>
      </c>
      <c r="D7477" t="inlineStr">
        <is>
          <t>VÄSTERNORRLANDS LÄN</t>
        </is>
      </c>
      <c r="E7477" t="inlineStr">
        <is>
          <t>SUNDSVALL</t>
        </is>
      </c>
      <c r="G7477" t="n">
        <v>4.5</v>
      </c>
      <c r="H7477" t="n">
        <v>0</v>
      </c>
      <c r="I7477" t="n">
        <v>0</v>
      </c>
      <c r="J7477" t="n">
        <v>0</v>
      </c>
      <c r="K7477" t="n">
        <v>0</v>
      </c>
      <c r="L7477" t="n">
        <v>0</v>
      </c>
      <c r="M7477" t="n">
        <v>0</v>
      </c>
      <c r="N7477" t="n">
        <v>0</v>
      </c>
      <c r="O7477" t="n">
        <v>0</v>
      </c>
      <c r="P7477" t="n">
        <v>0</v>
      </c>
      <c r="Q7477" t="n">
        <v>0</v>
      </c>
      <c r="R7477" s="2" t="inlineStr"/>
    </row>
    <row r="7478" ht="15" customHeight="1">
      <c r="A7478" t="inlineStr">
        <is>
          <t>A 54068-2025</t>
        </is>
      </c>
      <c r="B7478" s="1" t="n">
        <v>45964.34452546296</v>
      </c>
      <c r="C7478" s="1" t="n">
        <v>46093</v>
      </c>
      <c r="D7478" t="inlineStr">
        <is>
          <t>VÄSTERNORRLANDS LÄN</t>
        </is>
      </c>
      <c r="E7478" t="inlineStr">
        <is>
          <t>KRAMFORS</t>
        </is>
      </c>
      <c r="F7478" t="inlineStr">
        <is>
          <t>SCA</t>
        </is>
      </c>
      <c r="G7478" t="n">
        <v>4.3</v>
      </c>
      <c r="H7478" t="n">
        <v>0</v>
      </c>
      <c r="I7478" t="n">
        <v>0</v>
      </c>
      <c r="J7478" t="n">
        <v>0</v>
      </c>
      <c r="K7478" t="n">
        <v>0</v>
      </c>
      <c r="L7478" t="n">
        <v>0</v>
      </c>
      <c r="M7478" t="n">
        <v>0</v>
      </c>
      <c r="N7478" t="n">
        <v>0</v>
      </c>
      <c r="O7478" t="n">
        <v>0</v>
      </c>
      <c r="P7478" t="n">
        <v>0</v>
      </c>
      <c r="Q7478" t="n">
        <v>0</v>
      </c>
      <c r="R7478" s="2" t="inlineStr"/>
    </row>
    <row r="7479" ht="15" customHeight="1">
      <c r="A7479" t="inlineStr">
        <is>
          <t>A 54187-2025</t>
        </is>
      </c>
      <c r="B7479" s="1" t="n">
        <v>45964</v>
      </c>
      <c r="C7479" s="1" t="n">
        <v>46093</v>
      </c>
      <c r="D7479" t="inlineStr">
        <is>
          <t>VÄSTERNORRLANDS LÄN</t>
        </is>
      </c>
      <c r="E7479" t="inlineStr">
        <is>
          <t>KRAMFORS</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39021-2024</t>
        </is>
      </c>
      <c r="B7480" s="1" t="n">
        <v>45548</v>
      </c>
      <c r="C7480" s="1" t="n">
        <v>46093</v>
      </c>
      <c r="D7480" t="inlineStr">
        <is>
          <t>VÄSTERNORRLANDS LÄN</t>
        </is>
      </c>
      <c r="E7480" t="inlineStr">
        <is>
          <t>ÅNGE</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34619-2023</t>
        </is>
      </c>
      <c r="B7481" s="1" t="n">
        <v>45138</v>
      </c>
      <c r="C7481" s="1" t="n">
        <v>46093</v>
      </c>
      <c r="D7481" t="inlineStr">
        <is>
          <t>VÄSTERNORRLANDS LÄN</t>
        </is>
      </c>
      <c r="E7481" t="inlineStr">
        <is>
          <t>HÄRNÖSAND</t>
        </is>
      </c>
      <c r="G7481" t="n">
        <v>2.3</v>
      </c>
      <c r="H7481" t="n">
        <v>0</v>
      </c>
      <c r="I7481" t="n">
        <v>0</v>
      </c>
      <c r="J7481" t="n">
        <v>0</v>
      </c>
      <c r="K7481" t="n">
        <v>0</v>
      </c>
      <c r="L7481" t="n">
        <v>0</v>
      </c>
      <c r="M7481" t="n">
        <v>0</v>
      </c>
      <c r="N7481" t="n">
        <v>0</v>
      </c>
      <c r="O7481" t="n">
        <v>0</v>
      </c>
      <c r="P7481" t="n">
        <v>0</v>
      </c>
      <c r="Q7481" t="n">
        <v>0</v>
      </c>
      <c r="R7481" s="2" t="inlineStr"/>
    </row>
    <row r="7482" ht="15" customHeight="1">
      <c r="A7482" t="inlineStr">
        <is>
          <t>A 54197-2025</t>
        </is>
      </c>
      <c r="B7482" s="1" t="n">
        <v>45964</v>
      </c>
      <c r="C7482" s="1" t="n">
        <v>46093</v>
      </c>
      <c r="D7482" t="inlineStr">
        <is>
          <t>VÄSTERNORRLANDS LÄN</t>
        </is>
      </c>
      <c r="E7482" t="inlineStr">
        <is>
          <t>ÅNGE</t>
        </is>
      </c>
      <c r="G7482" t="n">
        <v>0.6</v>
      </c>
      <c r="H7482" t="n">
        <v>0</v>
      </c>
      <c r="I7482" t="n">
        <v>0</v>
      </c>
      <c r="J7482" t="n">
        <v>0</v>
      </c>
      <c r="K7482" t="n">
        <v>0</v>
      </c>
      <c r="L7482" t="n">
        <v>0</v>
      </c>
      <c r="M7482" t="n">
        <v>0</v>
      </c>
      <c r="N7482" t="n">
        <v>0</v>
      </c>
      <c r="O7482" t="n">
        <v>0</v>
      </c>
      <c r="P7482" t="n">
        <v>0</v>
      </c>
      <c r="Q7482" t="n">
        <v>0</v>
      </c>
      <c r="R7482" s="2" t="inlineStr"/>
    </row>
    <row r="7483" ht="15" customHeight="1">
      <c r="A7483" t="inlineStr">
        <is>
          <t>A 5437-2025</t>
        </is>
      </c>
      <c r="B7483" s="1" t="n">
        <v>45692</v>
      </c>
      <c r="C7483" s="1" t="n">
        <v>46093</v>
      </c>
      <c r="D7483" t="inlineStr">
        <is>
          <t>VÄSTERNORRLANDS LÄN</t>
        </is>
      </c>
      <c r="E7483" t="inlineStr">
        <is>
          <t>ÖRNSKÖLDSVIK</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53949-2025</t>
        </is>
      </c>
      <c r="B7484" s="1" t="n">
        <v>45961.50123842592</v>
      </c>
      <c r="C7484" s="1" t="n">
        <v>46093</v>
      </c>
      <c r="D7484" t="inlineStr">
        <is>
          <t>VÄSTERNORRLANDS LÄN</t>
        </is>
      </c>
      <c r="E7484" t="inlineStr">
        <is>
          <t>ÖRNSKÖLDSVIK</t>
        </is>
      </c>
      <c r="F7484" t="inlineStr">
        <is>
          <t>Holmen skog AB</t>
        </is>
      </c>
      <c r="G7484" t="n">
        <v>2.9</v>
      </c>
      <c r="H7484" t="n">
        <v>0</v>
      </c>
      <c r="I7484" t="n">
        <v>0</v>
      </c>
      <c r="J7484" t="n">
        <v>0</v>
      </c>
      <c r="K7484" t="n">
        <v>0</v>
      </c>
      <c r="L7484" t="n">
        <v>0</v>
      </c>
      <c r="M7484" t="n">
        <v>0</v>
      </c>
      <c r="N7484" t="n">
        <v>0</v>
      </c>
      <c r="O7484" t="n">
        <v>0</v>
      </c>
      <c r="P7484" t="n">
        <v>0</v>
      </c>
      <c r="Q7484" t="n">
        <v>0</v>
      </c>
      <c r="R7484" s="2" t="inlineStr"/>
    </row>
    <row r="7485" ht="15" customHeight="1">
      <c r="A7485" t="inlineStr">
        <is>
          <t>A 53867-2025</t>
        </is>
      </c>
      <c r="B7485" s="1" t="n">
        <v>45961.38581018519</v>
      </c>
      <c r="C7485" s="1" t="n">
        <v>46093</v>
      </c>
      <c r="D7485" t="inlineStr">
        <is>
          <t>VÄSTERNORRLANDS LÄN</t>
        </is>
      </c>
      <c r="E7485" t="inlineStr">
        <is>
          <t>SOLLEFTEÅ</t>
        </is>
      </c>
      <c r="F7485" t="inlineStr">
        <is>
          <t>SCA</t>
        </is>
      </c>
      <c r="G7485" t="n">
        <v>2.2</v>
      </c>
      <c r="H7485" t="n">
        <v>0</v>
      </c>
      <c r="I7485" t="n">
        <v>0</v>
      </c>
      <c r="J7485" t="n">
        <v>0</v>
      </c>
      <c r="K7485" t="n">
        <v>0</v>
      </c>
      <c r="L7485" t="n">
        <v>0</v>
      </c>
      <c r="M7485" t="n">
        <v>0</v>
      </c>
      <c r="N7485" t="n">
        <v>0</v>
      </c>
      <c r="O7485" t="n">
        <v>0</v>
      </c>
      <c r="P7485" t="n">
        <v>0</v>
      </c>
      <c r="Q7485" t="n">
        <v>0</v>
      </c>
      <c r="R7485" s="2" t="inlineStr"/>
    </row>
    <row r="7486" ht="15" customHeight="1">
      <c r="A7486" t="inlineStr">
        <is>
          <t>A 38054-2024</t>
        </is>
      </c>
      <c r="B7486" s="1" t="n">
        <v>45544.71916666667</v>
      </c>
      <c r="C7486" s="1" t="n">
        <v>46093</v>
      </c>
      <c r="D7486" t="inlineStr">
        <is>
          <t>VÄSTERNORRLANDS LÄN</t>
        </is>
      </c>
      <c r="E7486" t="inlineStr">
        <is>
          <t>SOLLEFTEÅ</t>
        </is>
      </c>
      <c r="F7486" t="inlineStr">
        <is>
          <t>SCA</t>
        </is>
      </c>
      <c r="G7486" t="n">
        <v>3.2</v>
      </c>
      <c r="H7486" t="n">
        <v>0</v>
      </c>
      <c r="I7486" t="n">
        <v>0</v>
      </c>
      <c r="J7486" t="n">
        <v>0</v>
      </c>
      <c r="K7486" t="n">
        <v>0</v>
      </c>
      <c r="L7486" t="n">
        <v>0</v>
      </c>
      <c r="M7486" t="n">
        <v>0</v>
      </c>
      <c r="N7486" t="n">
        <v>0</v>
      </c>
      <c r="O7486" t="n">
        <v>0</v>
      </c>
      <c r="P7486" t="n">
        <v>0</v>
      </c>
      <c r="Q7486" t="n">
        <v>0</v>
      </c>
      <c r="R7486" s="2" t="inlineStr"/>
    </row>
    <row r="7487" ht="15" customHeight="1">
      <c r="A7487" t="inlineStr">
        <is>
          <t>A 55676-2021</t>
        </is>
      </c>
      <c r="B7487" s="1" t="n">
        <v>44476</v>
      </c>
      <c r="C7487" s="1" t="n">
        <v>46093</v>
      </c>
      <c r="D7487" t="inlineStr">
        <is>
          <t>VÄSTERNORRLANDS LÄN</t>
        </is>
      </c>
      <c r="E7487" t="inlineStr">
        <is>
          <t>SUNDSVALL</t>
        </is>
      </c>
      <c r="G7487" t="n">
        <v>3.5</v>
      </c>
      <c r="H7487" t="n">
        <v>0</v>
      </c>
      <c r="I7487" t="n">
        <v>0</v>
      </c>
      <c r="J7487" t="n">
        <v>0</v>
      </c>
      <c r="K7487" t="n">
        <v>0</v>
      </c>
      <c r="L7487" t="n">
        <v>0</v>
      </c>
      <c r="M7487" t="n">
        <v>0</v>
      </c>
      <c r="N7487" t="n">
        <v>0</v>
      </c>
      <c r="O7487" t="n">
        <v>0</v>
      </c>
      <c r="P7487" t="n">
        <v>0</v>
      </c>
      <c r="Q7487" t="n">
        <v>0</v>
      </c>
      <c r="R7487" s="2" t="inlineStr"/>
    </row>
    <row r="7488" ht="15" customHeight="1">
      <c r="A7488" t="inlineStr">
        <is>
          <t>A 53833-2025</t>
        </is>
      </c>
      <c r="B7488" s="1" t="n">
        <v>45961.34518518519</v>
      </c>
      <c r="C7488" s="1" t="n">
        <v>46093</v>
      </c>
      <c r="D7488" t="inlineStr">
        <is>
          <t>VÄSTERNORRLANDS LÄN</t>
        </is>
      </c>
      <c r="E7488" t="inlineStr">
        <is>
          <t>SOLLEFTEÅ</t>
        </is>
      </c>
      <c r="F7488" t="inlineStr">
        <is>
          <t>SCA</t>
        </is>
      </c>
      <c r="G7488" t="n">
        <v>2.4</v>
      </c>
      <c r="H7488" t="n">
        <v>0</v>
      </c>
      <c r="I7488" t="n">
        <v>0</v>
      </c>
      <c r="J7488" t="n">
        <v>0</v>
      </c>
      <c r="K7488" t="n">
        <v>0</v>
      </c>
      <c r="L7488" t="n">
        <v>0</v>
      </c>
      <c r="M7488" t="n">
        <v>0</v>
      </c>
      <c r="N7488" t="n">
        <v>0</v>
      </c>
      <c r="O7488" t="n">
        <v>0</v>
      </c>
      <c r="P7488" t="n">
        <v>0</v>
      </c>
      <c r="Q7488" t="n">
        <v>0</v>
      </c>
      <c r="R7488" s="2" t="inlineStr"/>
    </row>
    <row r="7489" ht="15" customHeight="1">
      <c r="A7489" t="inlineStr">
        <is>
          <t>A 1402-2022</t>
        </is>
      </c>
      <c r="B7489" s="1" t="n">
        <v>44573</v>
      </c>
      <c r="C7489" s="1" t="n">
        <v>46093</v>
      </c>
      <c r="D7489" t="inlineStr">
        <is>
          <t>VÄSTERNORRLANDS LÄN</t>
        </is>
      </c>
      <c r="E7489" t="inlineStr">
        <is>
          <t>SOLLEFTEÅ</t>
        </is>
      </c>
      <c r="G7489" t="n">
        <v>8</v>
      </c>
      <c r="H7489" t="n">
        <v>0</v>
      </c>
      <c r="I7489" t="n">
        <v>0</v>
      </c>
      <c r="J7489" t="n">
        <v>0</v>
      </c>
      <c r="K7489" t="n">
        <v>0</v>
      </c>
      <c r="L7489" t="n">
        <v>0</v>
      </c>
      <c r="M7489" t="n">
        <v>0</v>
      </c>
      <c r="N7489" t="n">
        <v>0</v>
      </c>
      <c r="O7489" t="n">
        <v>0</v>
      </c>
      <c r="P7489" t="n">
        <v>0</v>
      </c>
      <c r="Q7489" t="n">
        <v>0</v>
      </c>
      <c r="R7489" s="2" t="inlineStr"/>
    </row>
    <row r="7490" ht="15" customHeight="1">
      <c r="A7490" t="inlineStr">
        <is>
          <t>A 13875-2022</t>
        </is>
      </c>
      <c r="B7490" s="1" t="n">
        <v>44649</v>
      </c>
      <c r="C7490" s="1" t="n">
        <v>46093</v>
      </c>
      <c r="D7490" t="inlineStr">
        <is>
          <t>VÄSTERNORRLANDS LÄN</t>
        </is>
      </c>
      <c r="E7490" t="inlineStr">
        <is>
          <t>ÅNGE</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14870-2025</t>
        </is>
      </c>
      <c r="B7491" s="1" t="n">
        <v>45743.44844907407</v>
      </c>
      <c r="C7491" s="1" t="n">
        <v>46093</v>
      </c>
      <c r="D7491" t="inlineStr">
        <is>
          <t>VÄSTERNORRLANDS LÄN</t>
        </is>
      </c>
      <c r="E7491" t="inlineStr">
        <is>
          <t>KRAMFORS</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48239-2023</t>
        </is>
      </c>
      <c r="B7492" s="1" t="n">
        <v>45205.50068287037</v>
      </c>
      <c r="C7492" s="1" t="n">
        <v>46093</v>
      </c>
      <c r="D7492" t="inlineStr">
        <is>
          <t>VÄSTERNORRLANDS LÄN</t>
        </is>
      </c>
      <c r="E7492" t="inlineStr">
        <is>
          <t>ÖRNSKÖLDSVIK</t>
        </is>
      </c>
      <c r="F7492" t="inlineStr">
        <is>
          <t>Holmen skog AB</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38567-2025</t>
        </is>
      </c>
      <c r="B7493" s="1" t="n">
        <v>45884.45579861111</v>
      </c>
      <c r="C7493" s="1" t="n">
        <v>46093</v>
      </c>
      <c r="D7493" t="inlineStr">
        <is>
          <t>VÄSTERNORRLANDS LÄN</t>
        </is>
      </c>
      <c r="E7493" t="inlineStr">
        <is>
          <t>HÄRNÖSAND</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54194-2025</t>
        </is>
      </c>
      <c r="B7494" s="1" t="n">
        <v>45964.57395833333</v>
      </c>
      <c r="C7494" s="1" t="n">
        <v>46093</v>
      </c>
      <c r="D7494" t="inlineStr">
        <is>
          <t>VÄSTERNORRLANDS LÄN</t>
        </is>
      </c>
      <c r="E7494" t="inlineStr">
        <is>
          <t>SOLLEFTEÅ</t>
        </is>
      </c>
      <c r="F7494" t="inlineStr">
        <is>
          <t>SCA</t>
        </is>
      </c>
      <c r="G7494" t="n">
        <v>2.2</v>
      </c>
      <c r="H7494" t="n">
        <v>0</v>
      </c>
      <c r="I7494" t="n">
        <v>0</v>
      </c>
      <c r="J7494" t="n">
        <v>0</v>
      </c>
      <c r="K7494" t="n">
        <v>0</v>
      </c>
      <c r="L7494" t="n">
        <v>0</v>
      </c>
      <c r="M7494" t="n">
        <v>0</v>
      </c>
      <c r="N7494" t="n">
        <v>0</v>
      </c>
      <c r="O7494" t="n">
        <v>0</v>
      </c>
      <c r="P7494" t="n">
        <v>0</v>
      </c>
      <c r="Q7494" t="n">
        <v>0</v>
      </c>
      <c r="R7494" s="2" t="inlineStr"/>
    </row>
    <row r="7495" ht="15" customHeight="1">
      <c r="A7495" t="inlineStr">
        <is>
          <t>A 28798-2024</t>
        </is>
      </c>
      <c r="B7495" s="1" t="n">
        <v>45478</v>
      </c>
      <c r="C7495" s="1" t="n">
        <v>46093</v>
      </c>
      <c r="D7495" t="inlineStr">
        <is>
          <t>VÄSTERNORRLANDS LÄN</t>
        </is>
      </c>
      <c r="E7495" t="inlineStr">
        <is>
          <t>SUNDSVALL</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48323-2023</t>
        </is>
      </c>
      <c r="B7496" s="1" t="n">
        <v>45201</v>
      </c>
      <c r="C7496" s="1" t="n">
        <v>46093</v>
      </c>
      <c r="D7496" t="inlineStr">
        <is>
          <t>VÄSTERNORRLANDS LÄN</t>
        </is>
      </c>
      <c r="E7496" t="inlineStr">
        <is>
          <t>ÖRNSKÖLDSVIK</t>
        </is>
      </c>
      <c r="G7496" t="n">
        <v>0.5</v>
      </c>
      <c r="H7496" t="n">
        <v>0</v>
      </c>
      <c r="I7496" t="n">
        <v>0</v>
      </c>
      <c r="J7496" t="n">
        <v>0</v>
      </c>
      <c r="K7496" t="n">
        <v>0</v>
      </c>
      <c r="L7496" t="n">
        <v>0</v>
      </c>
      <c r="M7496" t="n">
        <v>0</v>
      </c>
      <c r="N7496" t="n">
        <v>0</v>
      </c>
      <c r="O7496" t="n">
        <v>0</v>
      </c>
      <c r="P7496" t="n">
        <v>0</v>
      </c>
      <c r="Q7496" t="n">
        <v>0</v>
      </c>
      <c r="R7496" s="2" t="inlineStr"/>
    </row>
    <row r="7497" ht="15" customHeight="1">
      <c r="A7497" t="inlineStr">
        <is>
          <t>A 15692-2022</t>
        </is>
      </c>
      <c r="B7497" s="1" t="n">
        <v>44663</v>
      </c>
      <c r="C7497" s="1" t="n">
        <v>46093</v>
      </c>
      <c r="D7497" t="inlineStr">
        <is>
          <t>VÄSTERNORRLANDS LÄN</t>
        </is>
      </c>
      <c r="E7497" t="inlineStr">
        <is>
          <t>ÖRNSKÖLDSVIK</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16223-2024</t>
        </is>
      </c>
      <c r="B7498" s="1" t="n">
        <v>45406.96440972222</v>
      </c>
      <c r="C7498" s="1" t="n">
        <v>46093</v>
      </c>
      <c r="D7498" t="inlineStr">
        <is>
          <t>VÄSTERNORRLANDS LÄN</t>
        </is>
      </c>
      <c r="E7498" t="inlineStr">
        <is>
          <t>SUNDSVALL</t>
        </is>
      </c>
      <c r="G7498" t="n">
        <v>6.7</v>
      </c>
      <c r="H7498" t="n">
        <v>0</v>
      </c>
      <c r="I7498" t="n">
        <v>0</v>
      </c>
      <c r="J7498" t="n">
        <v>0</v>
      </c>
      <c r="K7498" t="n">
        <v>0</v>
      </c>
      <c r="L7498" t="n">
        <v>0</v>
      </c>
      <c r="M7498" t="n">
        <v>0</v>
      </c>
      <c r="N7498" t="n">
        <v>0</v>
      </c>
      <c r="O7498" t="n">
        <v>0</v>
      </c>
      <c r="P7498" t="n">
        <v>0</v>
      </c>
      <c r="Q7498" t="n">
        <v>0</v>
      </c>
      <c r="R7498" s="2" t="inlineStr"/>
    </row>
    <row r="7499" ht="15" customHeight="1">
      <c r="A7499" t="inlineStr">
        <is>
          <t>A 40483-2025</t>
        </is>
      </c>
      <c r="B7499" s="1" t="n">
        <v>45895</v>
      </c>
      <c r="C7499" s="1" t="n">
        <v>46093</v>
      </c>
      <c r="D7499" t="inlineStr">
        <is>
          <t>VÄSTERNORRLANDS LÄN</t>
        </is>
      </c>
      <c r="E7499" t="inlineStr">
        <is>
          <t>TIMRÅ</t>
        </is>
      </c>
      <c r="G7499" t="n">
        <v>3.1</v>
      </c>
      <c r="H7499" t="n">
        <v>0</v>
      </c>
      <c r="I7499" t="n">
        <v>0</v>
      </c>
      <c r="J7499" t="n">
        <v>0</v>
      </c>
      <c r="K7499" t="n">
        <v>0</v>
      </c>
      <c r="L7499" t="n">
        <v>0</v>
      </c>
      <c r="M7499" t="n">
        <v>0</v>
      </c>
      <c r="N7499" t="n">
        <v>0</v>
      </c>
      <c r="O7499" t="n">
        <v>0</v>
      </c>
      <c r="P7499" t="n">
        <v>0</v>
      </c>
      <c r="Q7499" t="n">
        <v>0</v>
      </c>
      <c r="R7499" s="2" t="inlineStr"/>
    </row>
    <row r="7500" ht="15" customHeight="1">
      <c r="A7500" t="inlineStr">
        <is>
          <t>A 8104-2025</t>
        </is>
      </c>
      <c r="B7500" s="1" t="n">
        <v>45707.69835648148</v>
      </c>
      <c r="C7500" s="1" t="n">
        <v>46093</v>
      </c>
      <c r="D7500" t="inlineStr">
        <is>
          <t>VÄSTERNORRLANDS LÄN</t>
        </is>
      </c>
      <c r="E7500" t="inlineStr">
        <is>
          <t>SOLLEFTEÅ</t>
        </is>
      </c>
      <c r="F7500" t="inlineStr">
        <is>
          <t>SCA</t>
        </is>
      </c>
      <c r="G7500" t="n">
        <v>8.4</v>
      </c>
      <c r="H7500" t="n">
        <v>0</v>
      </c>
      <c r="I7500" t="n">
        <v>0</v>
      </c>
      <c r="J7500" t="n">
        <v>0</v>
      </c>
      <c r="K7500" t="n">
        <v>0</v>
      </c>
      <c r="L7500" t="n">
        <v>0</v>
      </c>
      <c r="M7500" t="n">
        <v>0</v>
      </c>
      <c r="N7500" t="n">
        <v>0</v>
      </c>
      <c r="O7500" t="n">
        <v>0</v>
      </c>
      <c r="P7500" t="n">
        <v>0</v>
      </c>
      <c r="Q7500" t="n">
        <v>0</v>
      </c>
      <c r="R7500" s="2" t="inlineStr"/>
    </row>
    <row r="7501" ht="15" customHeight="1">
      <c r="A7501" t="inlineStr">
        <is>
          <t>A 8124-2025</t>
        </is>
      </c>
      <c r="B7501" s="1" t="n">
        <v>45707</v>
      </c>
      <c r="C7501" s="1" t="n">
        <v>46093</v>
      </c>
      <c r="D7501" t="inlineStr">
        <is>
          <t>VÄSTERNORRLANDS LÄN</t>
        </is>
      </c>
      <c r="E7501" t="inlineStr">
        <is>
          <t>SOLLEFTEÅ</t>
        </is>
      </c>
      <c r="G7501" t="n">
        <v>1.3</v>
      </c>
      <c r="H7501" t="n">
        <v>0</v>
      </c>
      <c r="I7501" t="n">
        <v>0</v>
      </c>
      <c r="J7501" t="n">
        <v>0</v>
      </c>
      <c r="K7501" t="n">
        <v>0</v>
      </c>
      <c r="L7501" t="n">
        <v>0</v>
      </c>
      <c r="M7501" t="n">
        <v>0</v>
      </c>
      <c r="N7501" t="n">
        <v>0</v>
      </c>
      <c r="O7501" t="n">
        <v>0</v>
      </c>
      <c r="P7501" t="n">
        <v>0</v>
      </c>
      <c r="Q7501" t="n">
        <v>0</v>
      </c>
      <c r="R7501" s="2" t="inlineStr"/>
    </row>
    <row r="7502" ht="15" customHeight="1">
      <c r="A7502" t="inlineStr">
        <is>
          <t>A 35602-2023</t>
        </is>
      </c>
      <c r="B7502" s="1" t="n">
        <v>45147.5024537037</v>
      </c>
      <c r="C7502" s="1" t="n">
        <v>46093</v>
      </c>
      <c r="D7502" t="inlineStr">
        <is>
          <t>VÄSTERNORRLANDS LÄN</t>
        </is>
      </c>
      <c r="E7502" t="inlineStr">
        <is>
          <t>ÖRNSKÖLDSVIK</t>
        </is>
      </c>
      <c r="F7502" t="inlineStr">
        <is>
          <t>Holmen skog AB</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580-2022</t>
        </is>
      </c>
      <c r="B7503" s="1" t="n">
        <v>44566</v>
      </c>
      <c r="C7503" s="1" t="n">
        <v>46093</v>
      </c>
      <c r="D7503" t="inlineStr">
        <is>
          <t>VÄSTERNORRLANDS LÄN</t>
        </is>
      </c>
      <c r="E7503" t="inlineStr">
        <is>
          <t>TIMRÅ</t>
        </is>
      </c>
      <c r="F7503" t="inlineStr">
        <is>
          <t>SCA</t>
        </is>
      </c>
      <c r="G7503" t="n">
        <v>5.9</v>
      </c>
      <c r="H7503" t="n">
        <v>0</v>
      </c>
      <c r="I7503" t="n">
        <v>0</v>
      </c>
      <c r="J7503" t="n">
        <v>0</v>
      </c>
      <c r="K7503" t="n">
        <v>0</v>
      </c>
      <c r="L7503" t="n">
        <v>0</v>
      </c>
      <c r="M7503" t="n">
        <v>0</v>
      </c>
      <c r="N7503" t="n">
        <v>0</v>
      </c>
      <c r="O7503" t="n">
        <v>0</v>
      </c>
      <c r="P7503" t="n">
        <v>0</v>
      </c>
      <c r="Q7503" t="n">
        <v>0</v>
      </c>
      <c r="R7503" s="2" t="inlineStr"/>
    </row>
    <row r="7504" ht="15" customHeight="1">
      <c r="A7504" t="inlineStr">
        <is>
          <t>A 38675-2025</t>
        </is>
      </c>
      <c r="B7504" s="1" t="n">
        <v>45884.63487268519</v>
      </c>
      <c r="C7504" s="1" t="n">
        <v>46093</v>
      </c>
      <c r="D7504" t="inlineStr">
        <is>
          <t>VÄSTERNORRLANDS LÄN</t>
        </is>
      </c>
      <c r="E7504" t="inlineStr">
        <is>
          <t>SUNDSVALL</t>
        </is>
      </c>
      <c r="G7504" t="n">
        <v>8</v>
      </c>
      <c r="H7504" t="n">
        <v>0</v>
      </c>
      <c r="I7504" t="n">
        <v>0</v>
      </c>
      <c r="J7504" t="n">
        <v>0</v>
      </c>
      <c r="K7504" t="n">
        <v>0</v>
      </c>
      <c r="L7504" t="n">
        <v>0</v>
      </c>
      <c r="M7504" t="n">
        <v>0</v>
      </c>
      <c r="N7504" t="n">
        <v>0</v>
      </c>
      <c r="O7504" t="n">
        <v>0</v>
      </c>
      <c r="P7504" t="n">
        <v>0</v>
      </c>
      <c r="Q7504" t="n">
        <v>0</v>
      </c>
      <c r="R7504" s="2" t="inlineStr"/>
    </row>
    <row r="7505" ht="15" customHeight="1">
      <c r="A7505" t="inlineStr">
        <is>
          <t>A 38686-2025</t>
        </is>
      </c>
      <c r="B7505" s="1" t="n">
        <v>45884.65658564815</v>
      </c>
      <c r="C7505" s="1" t="n">
        <v>46093</v>
      </c>
      <c r="D7505" t="inlineStr">
        <is>
          <t>VÄSTERNORRLANDS LÄN</t>
        </is>
      </c>
      <c r="E7505" t="inlineStr">
        <is>
          <t>ÅNGE</t>
        </is>
      </c>
      <c r="F7505" t="inlineStr">
        <is>
          <t>SCA</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38354-2025</t>
        </is>
      </c>
      <c r="B7506" s="1" t="n">
        <v>45883.53215277778</v>
      </c>
      <c r="C7506" s="1" t="n">
        <v>46093</v>
      </c>
      <c r="D7506" t="inlineStr">
        <is>
          <t>VÄSTERNORRLANDS LÄN</t>
        </is>
      </c>
      <c r="E7506" t="inlineStr">
        <is>
          <t>SUNDSVALL</t>
        </is>
      </c>
      <c r="F7506" t="inlineStr">
        <is>
          <t>SCA</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54696-2025</t>
        </is>
      </c>
      <c r="B7507" s="1" t="n">
        <v>45966.47189814815</v>
      </c>
      <c r="C7507" s="1" t="n">
        <v>46093</v>
      </c>
      <c r="D7507" t="inlineStr">
        <is>
          <t>VÄSTERNORRLANDS LÄN</t>
        </is>
      </c>
      <c r="E7507" t="inlineStr">
        <is>
          <t>ÖRNSKÖLDSVIK</t>
        </is>
      </c>
      <c r="G7507" t="n">
        <v>2.2</v>
      </c>
      <c r="H7507" t="n">
        <v>0</v>
      </c>
      <c r="I7507" t="n">
        <v>0</v>
      </c>
      <c r="J7507" t="n">
        <v>0</v>
      </c>
      <c r="K7507" t="n">
        <v>0</v>
      </c>
      <c r="L7507" t="n">
        <v>0</v>
      </c>
      <c r="M7507" t="n">
        <v>0</v>
      </c>
      <c r="N7507" t="n">
        <v>0</v>
      </c>
      <c r="O7507" t="n">
        <v>0</v>
      </c>
      <c r="P7507" t="n">
        <v>0</v>
      </c>
      <c r="Q7507" t="n">
        <v>0</v>
      </c>
      <c r="R7507" s="2" t="inlineStr"/>
    </row>
    <row r="7508" ht="15" customHeight="1">
      <c r="A7508" t="inlineStr">
        <is>
          <t>A 54702-2025</t>
        </is>
      </c>
      <c r="B7508" s="1" t="n">
        <v>45966.4828587963</v>
      </c>
      <c r="C7508" s="1" t="n">
        <v>46093</v>
      </c>
      <c r="D7508" t="inlineStr">
        <is>
          <t>VÄSTERNORRLANDS LÄN</t>
        </is>
      </c>
      <c r="E7508" t="inlineStr">
        <is>
          <t>ÅNGE</t>
        </is>
      </c>
      <c r="G7508" t="n">
        <v>12.3</v>
      </c>
      <c r="H7508" t="n">
        <v>0</v>
      </c>
      <c r="I7508" t="n">
        <v>0</v>
      </c>
      <c r="J7508" t="n">
        <v>0</v>
      </c>
      <c r="K7508" t="n">
        <v>0</v>
      </c>
      <c r="L7508" t="n">
        <v>0</v>
      </c>
      <c r="M7508" t="n">
        <v>0</v>
      </c>
      <c r="N7508" t="n">
        <v>0</v>
      </c>
      <c r="O7508" t="n">
        <v>0</v>
      </c>
      <c r="P7508" t="n">
        <v>0</v>
      </c>
      <c r="Q7508" t="n">
        <v>0</v>
      </c>
      <c r="R7508" s="2" t="inlineStr"/>
    </row>
    <row r="7509" ht="15" customHeight="1">
      <c r="A7509" t="inlineStr">
        <is>
          <t>A 54709-2025</t>
        </is>
      </c>
      <c r="B7509" s="1" t="n">
        <v>45966.49469907407</v>
      </c>
      <c r="C7509" s="1" t="n">
        <v>46093</v>
      </c>
      <c r="D7509" t="inlineStr">
        <is>
          <t>VÄSTERNORRLANDS LÄN</t>
        </is>
      </c>
      <c r="E7509" t="inlineStr">
        <is>
          <t>ÖRNSKÖLDSVIK</t>
        </is>
      </c>
      <c r="G7509" t="n">
        <v>2.7</v>
      </c>
      <c r="H7509" t="n">
        <v>0</v>
      </c>
      <c r="I7509" t="n">
        <v>0</v>
      </c>
      <c r="J7509" t="n">
        <v>0</v>
      </c>
      <c r="K7509" t="n">
        <v>0</v>
      </c>
      <c r="L7509" t="n">
        <v>0</v>
      </c>
      <c r="M7509" t="n">
        <v>0</v>
      </c>
      <c r="N7509" t="n">
        <v>0</v>
      </c>
      <c r="O7509" t="n">
        <v>0</v>
      </c>
      <c r="P7509" t="n">
        <v>0</v>
      </c>
      <c r="Q7509" t="n">
        <v>0</v>
      </c>
      <c r="R7509" s="2" t="inlineStr"/>
    </row>
    <row r="7510" ht="15" customHeight="1">
      <c r="A7510" t="inlineStr">
        <is>
          <t>A 54387-2025</t>
        </is>
      </c>
      <c r="B7510" s="1" t="n">
        <v>45965.43760416667</v>
      </c>
      <c r="C7510" s="1" t="n">
        <v>46093</v>
      </c>
      <c r="D7510" t="inlineStr">
        <is>
          <t>VÄSTERNORRLANDS LÄN</t>
        </is>
      </c>
      <c r="E7510" t="inlineStr">
        <is>
          <t>ÖRNSKÖLDSVIK</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14732-2025</t>
        </is>
      </c>
      <c r="B7511" s="1" t="n">
        <v>45742.63611111111</v>
      </c>
      <c r="C7511" s="1" t="n">
        <v>46093</v>
      </c>
      <c r="D7511" t="inlineStr">
        <is>
          <t>VÄSTERNORRLANDS LÄN</t>
        </is>
      </c>
      <c r="E7511" t="inlineStr">
        <is>
          <t>SUNDSVALL</t>
        </is>
      </c>
      <c r="F7511" t="inlineStr">
        <is>
          <t>Kommuner</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43964-2023</t>
        </is>
      </c>
      <c r="B7512" s="1" t="n">
        <v>45187</v>
      </c>
      <c r="C7512" s="1" t="n">
        <v>46093</v>
      </c>
      <c r="D7512" t="inlineStr">
        <is>
          <t>VÄSTERNORRLANDS LÄN</t>
        </is>
      </c>
      <c r="E7512" t="inlineStr">
        <is>
          <t>TIMRÅ</t>
        </is>
      </c>
      <c r="F7512" t="inlineStr">
        <is>
          <t>SCA</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54411-2025</t>
        </is>
      </c>
      <c r="B7513" s="1" t="n">
        <v>45965.45954861111</v>
      </c>
      <c r="C7513" s="1" t="n">
        <v>46093</v>
      </c>
      <c r="D7513" t="inlineStr">
        <is>
          <t>VÄSTERNORRLANDS LÄN</t>
        </is>
      </c>
      <c r="E7513" t="inlineStr">
        <is>
          <t>ÖRNSKÖLDSVIK</t>
        </is>
      </c>
      <c r="F7513" t="inlineStr">
        <is>
          <t>Holmen skog AB</t>
        </is>
      </c>
      <c r="G7513" t="n">
        <v>2.1</v>
      </c>
      <c r="H7513" t="n">
        <v>0</v>
      </c>
      <c r="I7513" t="n">
        <v>0</v>
      </c>
      <c r="J7513" t="n">
        <v>0</v>
      </c>
      <c r="K7513" t="n">
        <v>0</v>
      </c>
      <c r="L7513" t="n">
        <v>0</v>
      </c>
      <c r="M7513" t="n">
        <v>0</v>
      </c>
      <c r="N7513" t="n">
        <v>0</v>
      </c>
      <c r="O7513" t="n">
        <v>0</v>
      </c>
      <c r="P7513" t="n">
        <v>0</v>
      </c>
      <c r="Q7513" t="n">
        <v>0</v>
      </c>
      <c r="R7513" s="2" t="inlineStr"/>
    </row>
    <row r="7514" ht="15" customHeight="1">
      <c r="A7514" t="inlineStr">
        <is>
          <t>A 16362-2023</t>
        </is>
      </c>
      <c r="B7514" s="1" t="n">
        <v>45028.9250462963</v>
      </c>
      <c r="C7514" s="1" t="n">
        <v>46093</v>
      </c>
      <c r="D7514" t="inlineStr">
        <is>
          <t>VÄSTERNORRLANDS LÄN</t>
        </is>
      </c>
      <c r="E7514" t="inlineStr">
        <is>
          <t>ÅNGE</t>
        </is>
      </c>
      <c r="G7514" t="n">
        <v>4.8</v>
      </c>
      <c r="H7514" t="n">
        <v>0</v>
      </c>
      <c r="I7514" t="n">
        <v>0</v>
      </c>
      <c r="J7514" t="n">
        <v>0</v>
      </c>
      <c r="K7514" t="n">
        <v>0</v>
      </c>
      <c r="L7514" t="n">
        <v>0</v>
      </c>
      <c r="M7514" t="n">
        <v>0</v>
      </c>
      <c r="N7514" t="n">
        <v>0</v>
      </c>
      <c r="O7514" t="n">
        <v>0</v>
      </c>
      <c r="P7514" t="n">
        <v>0</v>
      </c>
      <c r="Q7514" t="n">
        <v>0</v>
      </c>
      <c r="R7514" s="2" t="inlineStr"/>
    </row>
    <row r="7515" ht="15" customHeight="1">
      <c r="A7515" t="inlineStr">
        <is>
          <t>A 54472-2025</t>
        </is>
      </c>
      <c r="B7515" s="1" t="n">
        <v>45965.57381944444</v>
      </c>
      <c r="C7515" s="1" t="n">
        <v>46093</v>
      </c>
      <c r="D7515" t="inlineStr">
        <is>
          <t>VÄSTERNORRLANDS LÄN</t>
        </is>
      </c>
      <c r="E7515" t="inlineStr">
        <is>
          <t>SOLLEFTEÅ</t>
        </is>
      </c>
      <c r="F7515" t="inlineStr">
        <is>
          <t>SCA</t>
        </is>
      </c>
      <c r="G7515" t="n">
        <v>2.6</v>
      </c>
      <c r="H7515" t="n">
        <v>0</v>
      </c>
      <c r="I7515" t="n">
        <v>0</v>
      </c>
      <c r="J7515" t="n">
        <v>0</v>
      </c>
      <c r="K7515" t="n">
        <v>0</v>
      </c>
      <c r="L7515" t="n">
        <v>0</v>
      </c>
      <c r="M7515" t="n">
        <v>0</v>
      </c>
      <c r="N7515" t="n">
        <v>0</v>
      </c>
      <c r="O7515" t="n">
        <v>0</v>
      </c>
      <c r="P7515" t="n">
        <v>0</v>
      </c>
      <c r="Q7515" t="n">
        <v>0</v>
      </c>
      <c r="R7515" s="2" t="inlineStr"/>
    </row>
    <row r="7516" ht="15" customHeight="1">
      <c r="A7516" t="inlineStr">
        <is>
          <t>A 43772-2022</t>
        </is>
      </c>
      <c r="B7516" s="1" t="n">
        <v>44837</v>
      </c>
      <c r="C7516" s="1" t="n">
        <v>46093</v>
      </c>
      <c r="D7516" t="inlineStr">
        <is>
          <t>VÄSTERNORRLANDS LÄN</t>
        </is>
      </c>
      <c r="E7516" t="inlineStr">
        <is>
          <t>SOLLEFTEÅ</t>
        </is>
      </c>
      <c r="F7516" t="inlineStr">
        <is>
          <t>Kyrkan</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38450-2025</t>
        </is>
      </c>
      <c r="B7517" s="1" t="n">
        <v>45883.6778587963</v>
      </c>
      <c r="C7517" s="1" t="n">
        <v>46093</v>
      </c>
      <c r="D7517" t="inlineStr">
        <is>
          <t>VÄSTERNORRLANDS LÄN</t>
        </is>
      </c>
      <c r="E7517" t="inlineStr">
        <is>
          <t>SUNDSVALL</t>
        </is>
      </c>
      <c r="F7517" t="inlineStr">
        <is>
          <t>SCA</t>
        </is>
      </c>
      <c r="G7517" t="n">
        <v>3.2</v>
      </c>
      <c r="H7517" t="n">
        <v>0</v>
      </c>
      <c r="I7517" t="n">
        <v>0</v>
      </c>
      <c r="J7517" t="n">
        <v>0</v>
      </c>
      <c r="K7517" t="n">
        <v>0</v>
      </c>
      <c r="L7517" t="n">
        <v>0</v>
      </c>
      <c r="M7517" t="n">
        <v>0</v>
      </c>
      <c r="N7517" t="n">
        <v>0</v>
      </c>
      <c r="O7517" t="n">
        <v>0</v>
      </c>
      <c r="P7517" t="n">
        <v>0</v>
      </c>
      <c r="Q7517" t="n">
        <v>0</v>
      </c>
      <c r="R7517" s="2" t="inlineStr"/>
    </row>
    <row r="7518" ht="15" customHeight="1">
      <c r="A7518" t="inlineStr">
        <is>
          <t>A 54357-2025</t>
        </is>
      </c>
      <c r="B7518" s="1" t="n">
        <v>45965.3858912037</v>
      </c>
      <c r="C7518" s="1" t="n">
        <v>46093</v>
      </c>
      <c r="D7518" t="inlineStr">
        <is>
          <t>VÄSTERNORRLANDS LÄN</t>
        </is>
      </c>
      <c r="E7518" t="inlineStr">
        <is>
          <t>ÅNGE</t>
        </is>
      </c>
      <c r="F7518" t="inlineStr">
        <is>
          <t>SCA</t>
        </is>
      </c>
      <c r="G7518" t="n">
        <v>5</v>
      </c>
      <c r="H7518" t="n">
        <v>0</v>
      </c>
      <c r="I7518" t="n">
        <v>0</v>
      </c>
      <c r="J7518" t="n">
        <v>0</v>
      </c>
      <c r="K7518" t="n">
        <v>0</v>
      </c>
      <c r="L7518" t="n">
        <v>0</v>
      </c>
      <c r="M7518" t="n">
        <v>0</v>
      </c>
      <c r="N7518" t="n">
        <v>0</v>
      </c>
      <c r="O7518" t="n">
        <v>0</v>
      </c>
      <c r="P7518" t="n">
        <v>0</v>
      </c>
      <c r="Q7518" t="n">
        <v>0</v>
      </c>
      <c r="R7518" s="2" t="inlineStr"/>
    </row>
    <row r="7519" ht="15" customHeight="1">
      <c r="A7519" t="inlineStr">
        <is>
          <t>A 24867-2023</t>
        </is>
      </c>
      <c r="B7519" s="1" t="n">
        <v>45085</v>
      </c>
      <c r="C7519" s="1" t="n">
        <v>46093</v>
      </c>
      <c r="D7519" t="inlineStr">
        <is>
          <t>VÄSTERNORRLANDS LÄN</t>
        </is>
      </c>
      <c r="E7519" t="inlineStr">
        <is>
          <t>ÖRNSKÖLDSVIK</t>
        </is>
      </c>
      <c r="F7519" t="inlineStr">
        <is>
          <t>Holmen skog AB</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61790-2024</t>
        </is>
      </c>
      <c r="B7520" s="1" t="n">
        <v>45649</v>
      </c>
      <c r="C7520" s="1" t="n">
        <v>46093</v>
      </c>
      <c r="D7520" t="inlineStr">
        <is>
          <t>VÄSTERNORRLANDS LÄN</t>
        </is>
      </c>
      <c r="E7520" t="inlineStr">
        <is>
          <t>SOLLEFTEÅ</t>
        </is>
      </c>
      <c r="F7520" t="inlineStr">
        <is>
          <t>Övriga statliga verk och myndigheter</t>
        </is>
      </c>
      <c r="G7520" t="n">
        <v>3.5</v>
      </c>
      <c r="H7520" t="n">
        <v>0</v>
      </c>
      <c r="I7520" t="n">
        <v>0</v>
      </c>
      <c r="J7520" t="n">
        <v>0</v>
      </c>
      <c r="K7520" t="n">
        <v>0</v>
      </c>
      <c r="L7520" t="n">
        <v>0</v>
      </c>
      <c r="M7520" t="n">
        <v>0</v>
      </c>
      <c r="N7520" t="n">
        <v>0</v>
      </c>
      <c r="O7520" t="n">
        <v>0</v>
      </c>
      <c r="P7520" t="n">
        <v>0</v>
      </c>
      <c r="Q7520" t="n">
        <v>0</v>
      </c>
      <c r="R7520" s="2" t="inlineStr"/>
    </row>
    <row r="7521" ht="15" customHeight="1">
      <c r="A7521" t="inlineStr">
        <is>
          <t>A 6383-2024</t>
        </is>
      </c>
      <c r="B7521" s="1" t="n">
        <v>45338</v>
      </c>
      <c r="C7521" s="1" t="n">
        <v>46093</v>
      </c>
      <c r="D7521" t="inlineStr">
        <is>
          <t>VÄSTERNORRLANDS LÄN</t>
        </is>
      </c>
      <c r="E7521" t="inlineStr">
        <is>
          <t>ÖRNSKÖLDSVIK</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11455-2025</t>
        </is>
      </c>
      <c r="B7522" s="1" t="n">
        <v>45726.64886574074</v>
      </c>
      <c r="C7522" s="1" t="n">
        <v>46093</v>
      </c>
      <c r="D7522" t="inlineStr">
        <is>
          <t>VÄSTERNORRLANDS LÄN</t>
        </is>
      </c>
      <c r="E7522" t="inlineStr">
        <is>
          <t>SOLLEFTEÅ</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1268-2025</t>
        </is>
      </c>
      <c r="B7523" s="1" t="n">
        <v>45667</v>
      </c>
      <c r="C7523" s="1" t="n">
        <v>46093</v>
      </c>
      <c r="D7523" t="inlineStr">
        <is>
          <t>VÄSTERNORRLANDS LÄN</t>
        </is>
      </c>
      <c r="E7523" t="inlineStr">
        <is>
          <t>ÖRNSKÖLDSVIK</t>
        </is>
      </c>
      <c r="G7523" t="n">
        <v>7.7</v>
      </c>
      <c r="H7523" t="n">
        <v>0</v>
      </c>
      <c r="I7523" t="n">
        <v>0</v>
      </c>
      <c r="J7523" t="n">
        <v>0</v>
      </c>
      <c r="K7523" t="n">
        <v>0</v>
      </c>
      <c r="L7523" t="n">
        <v>0</v>
      </c>
      <c r="M7523" t="n">
        <v>0</v>
      </c>
      <c r="N7523" t="n">
        <v>0</v>
      </c>
      <c r="O7523" t="n">
        <v>0</v>
      </c>
      <c r="P7523" t="n">
        <v>0</v>
      </c>
      <c r="Q7523" t="n">
        <v>0</v>
      </c>
      <c r="R7523" s="2" t="inlineStr"/>
    </row>
    <row r="7524" ht="15" customHeight="1">
      <c r="A7524" t="inlineStr">
        <is>
          <t>A 54471-2025</t>
        </is>
      </c>
      <c r="B7524" s="1" t="n">
        <v>45965.57357638889</v>
      </c>
      <c r="C7524" s="1" t="n">
        <v>46093</v>
      </c>
      <c r="D7524" t="inlineStr">
        <is>
          <t>VÄSTERNORRLANDS LÄN</t>
        </is>
      </c>
      <c r="E7524" t="inlineStr">
        <is>
          <t>SOLLEFTEÅ</t>
        </is>
      </c>
      <c r="F7524" t="inlineStr">
        <is>
          <t>SCA</t>
        </is>
      </c>
      <c r="G7524" t="n">
        <v>2.1</v>
      </c>
      <c r="H7524" t="n">
        <v>0</v>
      </c>
      <c r="I7524" t="n">
        <v>0</v>
      </c>
      <c r="J7524" t="n">
        <v>0</v>
      </c>
      <c r="K7524" t="n">
        <v>0</v>
      </c>
      <c r="L7524" t="n">
        <v>0</v>
      </c>
      <c r="M7524" t="n">
        <v>0</v>
      </c>
      <c r="N7524" t="n">
        <v>0</v>
      </c>
      <c r="O7524" t="n">
        <v>0</v>
      </c>
      <c r="P7524" t="n">
        <v>0</v>
      </c>
      <c r="Q7524" t="n">
        <v>0</v>
      </c>
      <c r="R7524" s="2" t="inlineStr"/>
    </row>
    <row r="7525" ht="15" customHeight="1">
      <c r="A7525" t="inlineStr">
        <is>
          <t>A 54486-2025</t>
        </is>
      </c>
      <c r="B7525" s="1" t="n">
        <v>45965.59438657408</v>
      </c>
      <c r="C7525" s="1" t="n">
        <v>46093</v>
      </c>
      <c r="D7525" t="inlineStr">
        <is>
          <t>VÄSTERNORRLANDS LÄN</t>
        </is>
      </c>
      <c r="E7525" t="inlineStr">
        <is>
          <t>SOLLEFTEÅ</t>
        </is>
      </c>
      <c r="F7525" t="inlineStr">
        <is>
          <t>SCA</t>
        </is>
      </c>
      <c r="G7525" t="n">
        <v>10</v>
      </c>
      <c r="H7525" t="n">
        <v>0</v>
      </c>
      <c r="I7525" t="n">
        <v>0</v>
      </c>
      <c r="J7525" t="n">
        <v>0</v>
      </c>
      <c r="K7525" t="n">
        <v>0</v>
      </c>
      <c r="L7525" t="n">
        <v>0</v>
      </c>
      <c r="M7525" t="n">
        <v>0</v>
      </c>
      <c r="N7525" t="n">
        <v>0</v>
      </c>
      <c r="O7525" t="n">
        <v>0</v>
      </c>
      <c r="P7525" t="n">
        <v>0</v>
      </c>
      <c r="Q7525" t="n">
        <v>0</v>
      </c>
      <c r="R7525" s="2" t="inlineStr"/>
    </row>
    <row r="7526" ht="15" customHeight="1">
      <c r="A7526" t="inlineStr">
        <is>
          <t>A 54487-2025</t>
        </is>
      </c>
      <c r="B7526" s="1" t="n">
        <v>45965.59460648148</v>
      </c>
      <c r="C7526" s="1" t="n">
        <v>46093</v>
      </c>
      <c r="D7526" t="inlineStr">
        <is>
          <t>VÄSTERNORRLANDS LÄN</t>
        </is>
      </c>
      <c r="E7526" t="inlineStr">
        <is>
          <t>SOLLEFTEÅ</t>
        </is>
      </c>
      <c r="F7526" t="inlineStr">
        <is>
          <t>SCA</t>
        </is>
      </c>
      <c r="G7526" t="n">
        <v>6</v>
      </c>
      <c r="H7526" t="n">
        <v>0</v>
      </c>
      <c r="I7526" t="n">
        <v>0</v>
      </c>
      <c r="J7526" t="n">
        <v>0</v>
      </c>
      <c r="K7526" t="n">
        <v>0</v>
      </c>
      <c r="L7526" t="n">
        <v>0</v>
      </c>
      <c r="M7526" t="n">
        <v>0</v>
      </c>
      <c r="N7526" t="n">
        <v>0</v>
      </c>
      <c r="O7526" t="n">
        <v>0</v>
      </c>
      <c r="P7526" t="n">
        <v>0</v>
      </c>
      <c r="Q7526" t="n">
        <v>0</v>
      </c>
      <c r="R7526" s="2" t="inlineStr"/>
    </row>
    <row r="7527" ht="15" customHeight="1">
      <c r="A7527" t="inlineStr">
        <is>
          <t>A 38483-2025</t>
        </is>
      </c>
      <c r="B7527" s="1" t="n">
        <v>45884.33432870371</v>
      </c>
      <c r="C7527" s="1" t="n">
        <v>46093</v>
      </c>
      <c r="D7527" t="inlineStr">
        <is>
          <t>VÄSTERNORRLANDS LÄN</t>
        </is>
      </c>
      <c r="E7527" t="inlineStr">
        <is>
          <t>SUNDSVALL</t>
        </is>
      </c>
      <c r="G7527" t="n">
        <v>3.6</v>
      </c>
      <c r="H7527" t="n">
        <v>0</v>
      </c>
      <c r="I7527" t="n">
        <v>0</v>
      </c>
      <c r="J7527" t="n">
        <v>0</v>
      </c>
      <c r="K7527" t="n">
        <v>0</v>
      </c>
      <c r="L7527" t="n">
        <v>0</v>
      </c>
      <c r="M7527" t="n">
        <v>0</v>
      </c>
      <c r="N7527" t="n">
        <v>0</v>
      </c>
      <c r="O7527" t="n">
        <v>0</v>
      </c>
      <c r="P7527" t="n">
        <v>0</v>
      </c>
      <c r="Q7527" t="n">
        <v>0</v>
      </c>
      <c r="R7527" s="2" t="inlineStr"/>
    </row>
    <row r="7528" ht="15" customHeight="1">
      <c r="A7528" t="inlineStr">
        <is>
          <t>A 38493-2025</t>
        </is>
      </c>
      <c r="B7528" s="1" t="n">
        <v>45884.36516203704</v>
      </c>
      <c r="C7528" s="1" t="n">
        <v>46093</v>
      </c>
      <c r="D7528" t="inlineStr">
        <is>
          <t>VÄSTERNORRLANDS LÄN</t>
        </is>
      </c>
      <c r="E7528" t="inlineStr">
        <is>
          <t>SOLLEFTEÅ</t>
        </is>
      </c>
      <c r="F7528" t="inlineStr">
        <is>
          <t>SCA</t>
        </is>
      </c>
      <c r="G7528" t="n">
        <v>3.4</v>
      </c>
      <c r="H7528" t="n">
        <v>0</v>
      </c>
      <c r="I7528" t="n">
        <v>0</v>
      </c>
      <c r="J7528" t="n">
        <v>0</v>
      </c>
      <c r="K7528" t="n">
        <v>0</v>
      </c>
      <c r="L7528" t="n">
        <v>0</v>
      </c>
      <c r="M7528" t="n">
        <v>0</v>
      </c>
      <c r="N7528" t="n">
        <v>0</v>
      </c>
      <c r="O7528" t="n">
        <v>0</v>
      </c>
      <c r="P7528" t="n">
        <v>0</v>
      </c>
      <c r="Q7528" t="n">
        <v>0</v>
      </c>
      <c r="R7528" s="2" t="inlineStr"/>
    </row>
    <row r="7529" ht="15" customHeight="1">
      <c r="A7529" t="inlineStr">
        <is>
          <t>A 54356-2025</t>
        </is>
      </c>
      <c r="B7529" s="1" t="n">
        <v>45965.38269675926</v>
      </c>
      <c r="C7529" s="1" t="n">
        <v>46093</v>
      </c>
      <c r="D7529" t="inlineStr">
        <is>
          <t>VÄSTERNORRLANDS LÄN</t>
        </is>
      </c>
      <c r="E7529" t="inlineStr">
        <is>
          <t>KRAMFORS</t>
        </is>
      </c>
      <c r="G7529" t="n">
        <v>4.3</v>
      </c>
      <c r="H7529" t="n">
        <v>0</v>
      </c>
      <c r="I7529" t="n">
        <v>0</v>
      </c>
      <c r="J7529" t="n">
        <v>0</v>
      </c>
      <c r="K7529" t="n">
        <v>0</v>
      </c>
      <c r="L7529" t="n">
        <v>0</v>
      </c>
      <c r="M7529" t="n">
        <v>0</v>
      </c>
      <c r="N7529" t="n">
        <v>0</v>
      </c>
      <c r="O7529" t="n">
        <v>0</v>
      </c>
      <c r="P7529" t="n">
        <v>0</v>
      </c>
      <c r="Q7529" t="n">
        <v>0</v>
      </c>
      <c r="R7529" s="2" t="inlineStr"/>
    </row>
    <row r="7530" ht="15" customHeight="1">
      <c r="A7530" t="inlineStr">
        <is>
          <t>A 39121-2025</t>
        </is>
      </c>
      <c r="B7530" s="1" t="n">
        <v>45884</v>
      </c>
      <c r="C7530" s="1" t="n">
        <v>46093</v>
      </c>
      <c r="D7530" t="inlineStr">
        <is>
          <t>VÄSTERNORRLANDS LÄN</t>
        </is>
      </c>
      <c r="E7530" t="inlineStr">
        <is>
          <t>KRAMFORS</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32048-2024</t>
        </is>
      </c>
      <c r="B7531" s="1" t="n">
        <v>45510</v>
      </c>
      <c r="C7531" s="1" t="n">
        <v>46093</v>
      </c>
      <c r="D7531" t="inlineStr">
        <is>
          <t>VÄSTERNORRLANDS LÄN</t>
        </is>
      </c>
      <c r="E7531" t="inlineStr">
        <is>
          <t>TIMRÅ</t>
        </is>
      </c>
      <c r="G7531" t="n">
        <v>2.7</v>
      </c>
      <c r="H7531" t="n">
        <v>0</v>
      </c>
      <c r="I7531" t="n">
        <v>0</v>
      </c>
      <c r="J7531" t="n">
        <v>0</v>
      </c>
      <c r="K7531" t="n">
        <v>0</v>
      </c>
      <c r="L7531" t="n">
        <v>0</v>
      </c>
      <c r="M7531" t="n">
        <v>0</v>
      </c>
      <c r="N7531" t="n">
        <v>0</v>
      </c>
      <c r="O7531" t="n">
        <v>0</v>
      </c>
      <c r="P7531" t="n">
        <v>0</v>
      </c>
      <c r="Q7531" t="n">
        <v>0</v>
      </c>
      <c r="R7531" s="2" t="inlineStr"/>
    </row>
    <row r="7532" ht="15" customHeight="1">
      <c r="A7532" t="inlineStr">
        <is>
          <t>A 23951-2021</t>
        </is>
      </c>
      <c r="B7532" s="1" t="n">
        <v>44335</v>
      </c>
      <c r="C7532" s="1" t="n">
        <v>46093</v>
      </c>
      <c r="D7532" t="inlineStr">
        <is>
          <t>VÄSTERNORRLANDS LÄN</t>
        </is>
      </c>
      <c r="E7532" t="inlineStr">
        <is>
          <t>SUNDSVALL</t>
        </is>
      </c>
      <c r="G7532" t="n">
        <v>3.3</v>
      </c>
      <c r="H7532" t="n">
        <v>0</v>
      </c>
      <c r="I7532" t="n">
        <v>0</v>
      </c>
      <c r="J7532" t="n">
        <v>0</v>
      </c>
      <c r="K7532" t="n">
        <v>0</v>
      </c>
      <c r="L7532" t="n">
        <v>0</v>
      </c>
      <c r="M7532" t="n">
        <v>0</v>
      </c>
      <c r="N7532" t="n">
        <v>0</v>
      </c>
      <c r="O7532" t="n">
        <v>0</v>
      </c>
      <c r="P7532" t="n">
        <v>0</v>
      </c>
      <c r="Q7532" t="n">
        <v>0</v>
      </c>
      <c r="R7532" s="2" t="inlineStr"/>
    </row>
    <row r="7533" ht="15" customHeight="1">
      <c r="A7533" t="inlineStr">
        <is>
          <t>A 54349-2025</t>
        </is>
      </c>
      <c r="B7533" s="1" t="n">
        <v>45965.37119212963</v>
      </c>
      <c r="C7533" s="1" t="n">
        <v>46093</v>
      </c>
      <c r="D7533" t="inlineStr">
        <is>
          <t>VÄSTERNORRLANDS LÄN</t>
        </is>
      </c>
      <c r="E7533" t="inlineStr">
        <is>
          <t>ÖRNSKÖLDSVIK</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4876-2023</t>
        </is>
      </c>
      <c r="B7534" s="1" t="n">
        <v>44957.94023148148</v>
      </c>
      <c r="C7534" s="1" t="n">
        <v>46093</v>
      </c>
      <c r="D7534" t="inlineStr">
        <is>
          <t>VÄSTERNORRLANDS LÄN</t>
        </is>
      </c>
      <c r="E7534" t="inlineStr">
        <is>
          <t>ÅNGE</t>
        </is>
      </c>
      <c r="F7534" t="inlineStr">
        <is>
          <t>SCA</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54490-2025</t>
        </is>
      </c>
      <c r="B7535" s="1" t="n">
        <v>45965.59504629629</v>
      </c>
      <c r="C7535" s="1" t="n">
        <v>46093</v>
      </c>
      <c r="D7535" t="inlineStr">
        <is>
          <t>VÄSTERNORRLANDS LÄN</t>
        </is>
      </c>
      <c r="E7535" t="inlineStr">
        <is>
          <t>SUNDSVALL</t>
        </is>
      </c>
      <c r="F7535" t="inlineStr">
        <is>
          <t>SCA</t>
        </is>
      </c>
      <c r="G7535" t="n">
        <v>29.4</v>
      </c>
      <c r="H7535" t="n">
        <v>0</v>
      </c>
      <c r="I7535" t="n">
        <v>0</v>
      </c>
      <c r="J7535" t="n">
        <v>0</v>
      </c>
      <c r="K7535" t="n">
        <v>0</v>
      </c>
      <c r="L7535" t="n">
        <v>0</v>
      </c>
      <c r="M7535" t="n">
        <v>0</v>
      </c>
      <c r="N7535" t="n">
        <v>0</v>
      </c>
      <c r="O7535" t="n">
        <v>0</v>
      </c>
      <c r="P7535" t="n">
        <v>0</v>
      </c>
      <c r="Q7535" t="n">
        <v>0</v>
      </c>
      <c r="R7535" s="2" t="inlineStr"/>
    </row>
    <row r="7536" ht="15" customHeight="1">
      <c r="A7536" t="inlineStr">
        <is>
          <t>A 28779-2023</t>
        </is>
      </c>
      <c r="B7536" s="1" t="n">
        <v>45104.34314814815</v>
      </c>
      <c r="C7536" s="1" t="n">
        <v>46093</v>
      </c>
      <c r="D7536" t="inlineStr">
        <is>
          <t>VÄSTERNORRLANDS LÄN</t>
        </is>
      </c>
      <c r="E7536" t="inlineStr">
        <is>
          <t>ÅNGE</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63607-2021</t>
        </is>
      </c>
      <c r="B7537" s="1" t="n">
        <v>44508.94650462963</v>
      </c>
      <c r="C7537" s="1" t="n">
        <v>46093</v>
      </c>
      <c r="D7537" t="inlineStr">
        <is>
          <t>VÄSTERNORRLANDS LÄN</t>
        </is>
      </c>
      <c r="E7537" t="inlineStr">
        <is>
          <t>ÅNGE</t>
        </is>
      </c>
      <c r="F7537" t="inlineStr">
        <is>
          <t>SCA</t>
        </is>
      </c>
      <c r="G7537" t="n">
        <v>6.7</v>
      </c>
      <c r="H7537" t="n">
        <v>0</v>
      </c>
      <c r="I7537" t="n">
        <v>0</v>
      </c>
      <c r="J7537" t="n">
        <v>0</v>
      </c>
      <c r="K7537" t="n">
        <v>0</v>
      </c>
      <c r="L7537" t="n">
        <v>0</v>
      </c>
      <c r="M7537" t="n">
        <v>0</v>
      </c>
      <c r="N7537" t="n">
        <v>0</v>
      </c>
      <c r="O7537" t="n">
        <v>0</v>
      </c>
      <c r="P7537" t="n">
        <v>0</v>
      </c>
      <c r="Q7537" t="n">
        <v>0</v>
      </c>
      <c r="R7537" s="2" t="inlineStr"/>
    </row>
    <row r="7538" ht="15" customHeight="1">
      <c r="A7538" t="inlineStr">
        <is>
          <t>A 63651-2021</t>
        </is>
      </c>
      <c r="B7538" s="1" t="n">
        <v>44508</v>
      </c>
      <c r="C7538" s="1" t="n">
        <v>46093</v>
      </c>
      <c r="D7538" t="inlineStr">
        <is>
          <t>VÄSTERNORRLANDS LÄN</t>
        </is>
      </c>
      <c r="E7538" t="inlineStr">
        <is>
          <t>SUNDSVALL</t>
        </is>
      </c>
      <c r="G7538" t="n">
        <v>0.6</v>
      </c>
      <c r="H7538" t="n">
        <v>0</v>
      </c>
      <c r="I7538" t="n">
        <v>0</v>
      </c>
      <c r="J7538" t="n">
        <v>0</v>
      </c>
      <c r="K7538" t="n">
        <v>0</v>
      </c>
      <c r="L7538" t="n">
        <v>0</v>
      </c>
      <c r="M7538" t="n">
        <v>0</v>
      </c>
      <c r="N7538" t="n">
        <v>0</v>
      </c>
      <c r="O7538" t="n">
        <v>0</v>
      </c>
      <c r="P7538" t="n">
        <v>0</v>
      </c>
      <c r="Q7538" t="n">
        <v>0</v>
      </c>
      <c r="R7538" s="2" t="inlineStr"/>
    </row>
    <row r="7539" ht="15" customHeight="1">
      <c r="A7539" t="inlineStr">
        <is>
          <t>A 30226-2024</t>
        </is>
      </c>
      <c r="B7539" s="1" t="n">
        <v>45489</v>
      </c>
      <c r="C7539" s="1" t="n">
        <v>46093</v>
      </c>
      <c r="D7539" t="inlineStr">
        <is>
          <t>VÄSTERNORRLANDS LÄN</t>
        </is>
      </c>
      <c r="E7539" t="inlineStr">
        <is>
          <t>ÖRNSKÖLDSVIK</t>
        </is>
      </c>
      <c r="G7539" t="n">
        <v>1.8</v>
      </c>
      <c r="H7539" t="n">
        <v>0</v>
      </c>
      <c r="I7539" t="n">
        <v>0</v>
      </c>
      <c r="J7539" t="n">
        <v>0</v>
      </c>
      <c r="K7539" t="n">
        <v>0</v>
      </c>
      <c r="L7539" t="n">
        <v>0</v>
      </c>
      <c r="M7539" t="n">
        <v>0</v>
      </c>
      <c r="N7539" t="n">
        <v>0</v>
      </c>
      <c r="O7539" t="n">
        <v>0</v>
      </c>
      <c r="P7539" t="n">
        <v>0</v>
      </c>
      <c r="Q7539" t="n">
        <v>0</v>
      </c>
      <c r="R7539" s="2" t="inlineStr"/>
    </row>
    <row r="7540" ht="15" customHeight="1">
      <c r="A7540" t="inlineStr">
        <is>
          <t>A 30235-2024</t>
        </is>
      </c>
      <c r="B7540" s="1" t="n">
        <v>45490.49040509259</v>
      </c>
      <c r="C7540" s="1" t="n">
        <v>46093</v>
      </c>
      <c r="D7540" t="inlineStr">
        <is>
          <t>VÄSTERNORRLANDS LÄN</t>
        </is>
      </c>
      <c r="E7540" t="inlineStr">
        <is>
          <t>ÅNGE</t>
        </is>
      </c>
      <c r="G7540" t="n">
        <v>3.7</v>
      </c>
      <c r="H7540" t="n">
        <v>0</v>
      </c>
      <c r="I7540" t="n">
        <v>0</v>
      </c>
      <c r="J7540" t="n">
        <v>0</v>
      </c>
      <c r="K7540" t="n">
        <v>0</v>
      </c>
      <c r="L7540" t="n">
        <v>0</v>
      </c>
      <c r="M7540" t="n">
        <v>0</v>
      </c>
      <c r="N7540" t="n">
        <v>0</v>
      </c>
      <c r="O7540" t="n">
        <v>0</v>
      </c>
      <c r="P7540" t="n">
        <v>0</v>
      </c>
      <c r="Q7540" t="n">
        <v>0</v>
      </c>
      <c r="R7540" s="2" t="inlineStr"/>
    </row>
    <row r="7541" ht="15" customHeight="1">
      <c r="A7541" t="inlineStr">
        <is>
          <t>A 45426-2021</t>
        </is>
      </c>
      <c r="B7541" s="1" t="n">
        <v>44440</v>
      </c>
      <c r="C7541" s="1" t="n">
        <v>46093</v>
      </c>
      <c r="D7541" t="inlineStr">
        <is>
          <t>VÄSTERNORRLANDS LÄN</t>
        </is>
      </c>
      <c r="E7541" t="inlineStr">
        <is>
          <t>ÖRNSKÖLDSVIK</t>
        </is>
      </c>
      <c r="F7541" t="inlineStr">
        <is>
          <t>Holmen skog AB</t>
        </is>
      </c>
      <c r="G7541" t="n">
        <v>7.5</v>
      </c>
      <c r="H7541" t="n">
        <v>0</v>
      </c>
      <c r="I7541" t="n">
        <v>0</v>
      </c>
      <c r="J7541" t="n">
        <v>0</v>
      </c>
      <c r="K7541" t="n">
        <v>0</v>
      </c>
      <c r="L7541" t="n">
        <v>0</v>
      </c>
      <c r="M7541" t="n">
        <v>0</v>
      </c>
      <c r="N7541" t="n">
        <v>0</v>
      </c>
      <c r="O7541" t="n">
        <v>0</v>
      </c>
      <c r="P7541" t="n">
        <v>0</v>
      </c>
      <c r="Q7541" t="n">
        <v>0</v>
      </c>
      <c r="R7541" s="2" t="inlineStr"/>
    </row>
    <row r="7542" ht="15" customHeight="1">
      <c r="A7542" t="inlineStr">
        <is>
          <t>A 2591-2025</t>
        </is>
      </c>
      <c r="B7542" s="1" t="n">
        <v>45674.69960648148</v>
      </c>
      <c r="C7542" s="1" t="n">
        <v>46093</v>
      </c>
      <c r="D7542" t="inlineStr">
        <is>
          <t>VÄSTERNORRLANDS LÄN</t>
        </is>
      </c>
      <c r="E7542" t="inlineStr">
        <is>
          <t>SUNDSVALL</t>
        </is>
      </c>
      <c r="G7542" t="n">
        <v>1.9</v>
      </c>
      <c r="H7542" t="n">
        <v>0</v>
      </c>
      <c r="I7542" t="n">
        <v>0</v>
      </c>
      <c r="J7542" t="n">
        <v>0</v>
      </c>
      <c r="K7542" t="n">
        <v>0</v>
      </c>
      <c r="L7542" t="n">
        <v>0</v>
      </c>
      <c r="M7542" t="n">
        <v>0</v>
      </c>
      <c r="N7542" t="n">
        <v>0</v>
      </c>
      <c r="O7542" t="n">
        <v>0</v>
      </c>
      <c r="P7542" t="n">
        <v>0</v>
      </c>
      <c r="Q7542" t="n">
        <v>0</v>
      </c>
      <c r="R7542" s="2" t="inlineStr"/>
    </row>
    <row r="7543" ht="15" customHeight="1">
      <c r="A7543" t="inlineStr">
        <is>
          <t>A 2595-2025</t>
        </is>
      </c>
      <c r="B7543" s="1" t="n">
        <v>45674.70722222222</v>
      </c>
      <c r="C7543" s="1" t="n">
        <v>46093</v>
      </c>
      <c r="D7543" t="inlineStr">
        <is>
          <t>VÄSTERNORRLANDS LÄN</t>
        </is>
      </c>
      <c r="E7543" t="inlineStr">
        <is>
          <t>SUNDSVALL</t>
        </is>
      </c>
      <c r="F7543" t="inlineStr">
        <is>
          <t>Kommuner</t>
        </is>
      </c>
      <c r="G7543" t="n">
        <v>3.4</v>
      </c>
      <c r="H7543" t="n">
        <v>0</v>
      </c>
      <c r="I7543" t="n">
        <v>0</v>
      </c>
      <c r="J7543" t="n">
        <v>0</v>
      </c>
      <c r="K7543" t="n">
        <v>0</v>
      </c>
      <c r="L7543" t="n">
        <v>0</v>
      </c>
      <c r="M7543" t="n">
        <v>0</v>
      </c>
      <c r="N7543" t="n">
        <v>0</v>
      </c>
      <c r="O7543" t="n">
        <v>0</v>
      </c>
      <c r="P7543" t="n">
        <v>0</v>
      </c>
      <c r="Q7543" t="n">
        <v>0</v>
      </c>
      <c r="R7543" s="2" t="inlineStr"/>
    </row>
    <row r="7544" ht="15" customHeight="1">
      <c r="A7544" t="inlineStr">
        <is>
          <t>A 36523-2023</t>
        </is>
      </c>
      <c r="B7544" s="1" t="n">
        <v>45153</v>
      </c>
      <c r="C7544" s="1" t="n">
        <v>46093</v>
      </c>
      <c r="D7544" t="inlineStr">
        <is>
          <t>VÄSTERNORRLANDS LÄN</t>
        </is>
      </c>
      <c r="E7544" t="inlineStr">
        <is>
          <t>KRAMFORS</t>
        </is>
      </c>
      <c r="G7544" t="n">
        <v>0.3</v>
      </c>
      <c r="H7544" t="n">
        <v>0</v>
      </c>
      <c r="I7544" t="n">
        <v>0</v>
      </c>
      <c r="J7544" t="n">
        <v>0</v>
      </c>
      <c r="K7544" t="n">
        <v>0</v>
      </c>
      <c r="L7544" t="n">
        <v>0</v>
      </c>
      <c r="M7544" t="n">
        <v>0</v>
      </c>
      <c r="N7544" t="n">
        <v>0</v>
      </c>
      <c r="O7544" t="n">
        <v>0</v>
      </c>
      <c r="P7544" t="n">
        <v>0</v>
      </c>
      <c r="Q7544" t="n">
        <v>0</v>
      </c>
      <c r="R7544" s="2" t="inlineStr"/>
    </row>
    <row r="7545" ht="15" customHeight="1">
      <c r="A7545" t="inlineStr">
        <is>
          <t>A 38693-2025</t>
        </is>
      </c>
      <c r="B7545" s="1" t="n">
        <v>45884.69829861111</v>
      </c>
      <c r="C7545" s="1" t="n">
        <v>46093</v>
      </c>
      <c r="D7545" t="inlineStr">
        <is>
          <t>VÄSTERNORRLANDS LÄN</t>
        </is>
      </c>
      <c r="E7545" t="inlineStr">
        <is>
          <t>ÅNGE</t>
        </is>
      </c>
      <c r="F7545" t="inlineStr">
        <is>
          <t>SCA</t>
        </is>
      </c>
      <c r="G7545" t="n">
        <v>3.4</v>
      </c>
      <c r="H7545" t="n">
        <v>0</v>
      </c>
      <c r="I7545" t="n">
        <v>0</v>
      </c>
      <c r="J7545" t="n">
        <v>0</v>
      </c>
      <c r="K7545" t="n">
        <v>0</v>
      </c>
      <c r="L7545" t="n">
        <v>0</v>
      </c>
      <c r="M7545" t="n">
        <v>0</v>
      </c>
      <c r="N7545" t="n">
        <v>0</v>
      </c>
      <c r="O7545" t="n">
        <v>0</v>
      </c>
      <c r="P7545" t="n">
        <v>0</v>
      </c>
      <c r="Q7545" t="n">
        <v>0</v>
      </c>
      <c r="R7545" s="2" t="inlineStr"/>
    </row>
    <row r="7546" ht="15" customHeight="1">
      <c r="A7546" t="inlineStr">
        <is>
          <t>A 10369-2023</t>
        </is>
      </c>
      <c r="B7546" s="1" t="n">
        <v>44980</v>
      </c>
      <c r="C7546" s="1" t="n">
        <v>46093</v>
      </c>
      <c r="D7546" t="inlineStr">
        <is>
          <t>VÄSTERNORRLANDS LÄN</t>
        </is>
      </c>
      <c r="E7546" t="inlineStr">
        <is>
          <t>ÖRNSKÖLDSVIK</t>
        </is>
      </c>
      <c r="G7546" t="n">
        <v>0.5</v>
      </c>
      <c r="H7546" t="n">
        <v>0</v>
      </c>
      <c r="I7546" t="n">
        <v>0</v>
      </c>
      <c r="J7546" t="n">
        <v>0</v>
      </c>
      <c r="K7546" t="n">
        <v>0</v>
      </c>
      <c r="L7546" t="n">
        <v>0</v>
      </c>
      <c r="M7546" t="n">
        <v>0</v>
      </c>
      <c r="N7546" t="n">
        <v>0</v>
      </c>
      <c r="O7546" t="n">
        <v>0</v>
      </c>
      <c r="P7546" t="n">
        <v>0</v>
      </c>
      <c r="Q7546" t="n">
        <v>0</v>
      </c>
      <c r="R7546" s="2" t="inlineStr"/>
    </row>
    <row r="7547" ht="15" customHeight="1">
      <c r="A7547" t="inlineStr">
        <is>
          <t>A 10865-2025</t>
        </is>
      </c>
      <c r="B7547" s="1" t="n">
        <v>45722.61526620371</v>
      </c>
      <c r="C7547" s="1" t="n">
        <v>46093</v>
      </c>
      <c r="D7547" t="inlineStr">
        <is>
          <t>VÄSTERNORRLANDS LÄN</t>
        </is>
      </c>
      <c r="E7547" t="inlineStr">
        <is>
          <t>SOLLEFTEÅ</t>
        </is>
      </c>
      <c r="F7547" t="inlineStr">
        <is>
          <t>SCA</t>
        </is>
      </c>
      <c r="G7547" t="n">
        <v>2.8</v>
      </c>
      <c r="H7547" t="n">
        <v>0</v>
      </c>
      <c r="I7547" t="n">
        <v>0</v>
      </c>
      <c r="J7547" t="n">
        <v>0</v>
      </c>
      <c r="K7547" t="n">
        <v>0</v>
      </c>
      <c r="L7547" t="n">
        <v>0</v>
      </c>
      <c r="M7547" t="n">
        <v>0</v>
      </c>
      <c r="N7547" t="n">
        <v>0</v>
      </c>
      <c r="O7547" t="n">
        <v>0</v>
      </c>
      <c r="P7547" t="n">
        <v>0</v>
      </c>
      <c r="Q7547" t="n">
        <v>0</v>
      </c>
      <c r="R7547" s="2" t="inlineStr"/>
    </row>
    <row r="7548" ht="15" customHeight="1">
      <c r="A7548" t="inlineStr">
        <is>
          <t>A 3362-2023</t>
        </is>
      </c>
      <c r="B7548" s="1" t="n">
        <v>44945</v>
      </c>
      <c r="C7548" s="1" t="n">
        <v>46093</v>
      </c>
      <c r="D7548" t="inlineStr">
        <is>
          <t>VÄSTERNORRLANDS LÄN</t>
        </is>
      </c>
      <c r="E7548" t="inlineStr">
        <is>
          <t>ÅNGE</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51366-2022</t>
        </is>
      </c>
      <c r="B7549" s="1" t="n">
        <v>44869</v>
      </c>
      <c r="C7549" s="1" t="n">
        <v>46093</v>
      </c>
      <c r="D7549" t="inlineStr">
        <is>
          <t>VÄSTERNORRLANDS LÄN</t>
        </is>
      </c>
      <c r="E7549" t="inlineStr">
        <is>
          <t>SUNDSVALL</t>
        </is>
      </c>
      <c r="G7549" t="n">
        <v>31.8</v>
      </c>
      <c r="H7549" t="n">
        <v>0</v>
      </c>
      <c r="I7549" t="n">
        <v>0</v>
      </c>
      <c r="J7549" t="n">
        <v>0</v>
      </c>
      <c r="K7549" t="n">
        <v>0</v>
      </c>
      <c r="L7549" t="n">
        <v>0</v>
      </c>
      <c r="M7549" t="n">
        <v>0</v>
      </c>
      <c r="N7549" t="n">
        <v>0</v>
      </c>
      <c r="O7549" t="n">
        <v>0</v>
      </c>
      <c r="P7549" t="n">
        <v>0</v>
      </c>
      <c r="Q7549" t="n">
        <v>0</v>
      </c>
      <c r="R7549" s="2" t="inlineStr"/>
    </row>
    <row r="7550" ht="15" customHeight="1">
      <c r="A7550" t="inlineStr">
        <is>
          <t>A 46971-2022</t>
        </is>
      </c>
      <c r="B7550" s="1" t="n">
        <v>44851.953125</v>
      </c>
      <c r="C7550" s="1" t="n">
        <v>46093</v>
      </c>
      <c r="D7550" t="inlineStr">
        <is>
          <t>VÄSTERNORRLANDS LÄN</t>
        </is>
      </c>
      <c r="E7550" t="inlineStr">
        <is>
          <t>TIMRÅ</t>
        </is>
      </c>
      <c r="F7550" t="inlineStr">
        <is>
          <t>SCA</t>
        </is>
      </c>
      <c r="G7550" t="n">
        <v>2.9</v>
      </c>
      <c r="H7550" t="n">
        <v>0</v>
      </c>
      <c r="I7550" t="n">
        <v>0</v>
      </c>
      <c r="J7550" t="n">
        <v>0</v>
      </c>
      <c r="K7550" t="n">
        <v>0</v>
      </c>
      <c r="L7550" t="n">
        <v>0</v>
      </c>
      <c r="M7550" t="n">
        <v>0</v>
      </c>
      <c r="N7550" t="n">
        <v>0</v>
      </c>
      <c r="O7550" t="n">
        <v>0</v>
      </c>
      <c r="P7550" t="n">
        <v>0</v>
      </c>
      <c r="Q7550" t="n">
        <v>0</v>
      </c>
      <c r="R7550" s="2" t="inlineStr"/>
    </row>
    <row r="7551" ht="15" customHeight="1">
      <c r="A7551" t="inlineStr">
        <is>
          <t>A 49160-2021</t>
        </is>
      </c>
      <c r="B7551" s="1" t="n">
        <v>44453.94021990741</v>
      </c>
      <c r="C7551" s="1" t="n">
        <v>46093</v>
      </c>
      <c r="D7551" t="inlineStr">
        <is>
          <t>VÄSTERNORRLANDS LÄN</t>
        </is>
      </c>
      <c r="E7551" t="inlineStr">
        <is>
          <t>SOLLEFTEÅ</t>
        </is>
      </c>
      <c r="F7551" t="inlineStr">
        <is>
          <t>SCA</t>
        </is>
      </c>
      <c r="G7551" t="n">
        <v>3.4</v>
      </c>
      <c r="H7551" t="n">
        <v>0</v>
      </c>
      <c r="I7551" t="n">
        <v>0</v>
      </c>
      <c r="J7551" t="n">
        <v>0</v>
      </c>
      <c r="K7551" t="n">
        <v>0</v>
      </c>
      <c r="L7551" t="n">
        <v>0</v>
      </c>
      <c r="M7551" t="n">
        <v>0</v>
      </c>
      <c r="N7551" t="n">
        <v>0</v>
      </c>
      <c r="O7551" t="n">
        <v>0</v>
      </c>
      <c r="P7551" t="n">
        <v>0</v>
      </c>
      <c r="Q7551" t="n">
        <v>0</v>
      </c>
      <c r="R7551" s="2" t="inlineStr"/>
    </row>
    <row r="7552" ht="15" customHeight="1">
      <c r="A7552" t="inlineStr">
        <is>
          <t>A 38386-2025</t>
        </is>
      </c>
      <c r="B7552" s="1" t="n">
        <v>45883.57430555556</v>
      </c>
      <c r="C7552" s="1" t="n">
        <v>46093</v>
      </c>
      <c r="D7552" t="inlineStr">
        <is>
          <t>VÄSTERNORRLANDS LÄN</t>
        </is>
      </c>
      <c r="E7552" t="inlineStr">
        <is>
          <t>ÅNGE</t>
        </is>
      </c>
      <c r="F7552" t="inlineStr">
        <is>
          <t>SCA</t>
        </is>
      </c>
      <c r="G7552" t="n">
        <v>3.8</v>
      </c>
      <c r="H7552" t="n">
        <v>0</v>
      </c>
      <c r="I7552" t="n">
        <v>0</v>
      </c>
      <c r="J7552" t="n">
        <v>0</v>
      </c>
      <c r="K7552" t="n">
        <v>0</v>
      </c>
      <c r="L7552" t="n">
        <v>0</v>
      </c>
      <c r="M7552" t="n">
        <v>0</v>
      </c>
      <c r="N7552" t="n">
        <v>0</v>
      </c>
      <c r="O7552" t="n">
        <v>0</v>
      </c>
      <c r="P7552" t="n">
        <v>0</v>
      </c>
      <c r="Q7552" t="n">
        <v>0</v>
      </c>
      <c r="R7552" s="2" t="inlineStr"/>
    </row>
    <row r="7553" ht="15" customHeight="1">
      <c r="A7553" t="inlineStr">
        <is>
          <t>A 54697-2025</t>
        </is>
      </c>
      <c r="B7553" s="1" t="n">
        <v>45966.47638888889</v>
      </c>
      <c r="C7553" s="1" t="n">
        <v>46093</v>
      </c>
      <c r="D7553" t="inlineStr">
        <is>
          <t>VÄSTERNORRLANDS LÄN</t>
        </is>
      </c>
      <c r="E7553" t="inlineStr">
        <is>
          <t>SOLLEFTEÅ</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54713-2025</t>
        </is>
      </c>
      <c r="B7554" s="1" t="n">
        <v>45966.50446759259</v>
      </c>
      <c r="C7554" s="1" t="n">
        <v>46093</v>
      </c>
      <c r="D7554" t="inlineStr">
        <is>
          <t>VÄSTERNORRLANDS LÄN</t>
        </is>
      </c>
      <c r="E7554" t="inlineStr">
        <is>
          <t>ÅNGE</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54719-2025</t>
        </is>
      </c>
      <c r="B7555" s="1" t="n">
        <v>45966.53165509259</v>
      </c>
      <c r="C7555" s="1" t="n">
        <v>46093</v>
      </c>
      <c r="D7555" t="inlineStr">
        <is>
          <t>VÄSTERNORRLANDS LÄN</t>
        </is>
      </c>
      <c r="E7555" t="inlineStr">
        <is>
          <t>SUNDSVALL</t>
        </is>
      </c>
      <c r="F7555" t="inlineStr">
        <is>
          <t>SCA</t>
        </is>
      </c>
      <c r="G7555" t="n">
        <v>3</v>
      </c>
      <c r="H7555" t="n">
        <v>0</v>
      </c>
      <c r="I7555" t="n">
        <v>0</v>
      </c>
      <c r="J7555" t="n">
        <v>0</v>
      </c>
      <c r="K7555" t="n">
        <v>0</v>
      </c>
      <c r="L7555" t="n">
        <v>0</v>
      </c>
      <c r="M7555" t="n">
        <v>0</v>
      </c>
      <c r="N7555" t="n">
        <v>0</v>
      </c>
      <c r="O7555" t="n">
        <v>0</v>
      </c>
      <c r="P7555" t="n">
        <v>0</v>
      </c>
      <c r="Q7555" t="n">
        <v>0</v>
      </c>
      <c r="R7555" s="2" t="inlineStr"/>
    </row>
    <row r="7556" ht="15" customHeight="1">
      <c r="A7556" t="inlineStr">
        <is>
          <t>A 44415-2021</t>
        </is>
      </c>
      <c r="B7556" s="1" t="n">
        <v>44435</v>
      </c>
      <c r="C7556" s="1" t="n">
        <v>46093</v>
      </c>
      <c r="D7556" t="inlineStr">
        <is>
          <t>VÄSTERNORRLANDS LÄN</t>
        </is>
      </c>
      <c r="E7556" t="inlineStr">
        <is>
          <t>ÅNGE</t>
        </is>
      </c>
      <c r="G7556" t="n">
        <v>5.2</v>
      </c>
      <c r="H7556" t="n">
        <v>0</v>
      </c>
      <c r="I7556" t="n">
        <v>0</v>
      </c>
      <c r="J7556" t="n">
        <v>0</v>
      </c>
      <c r="K7556" t="n">
        <v>0</v>
      </c>
      <c r="L7556" t="n">
        <v>0</v>
      </c>
      <c r="M7556" t="n">
        <v>0</v>
      </c>
      <c r="N7556" t="n">
        <v>0</v>
      </c>
      <c r="O7556" t="n">
        <v>0</v>
      </c>
      <c r="P7556" t="n">
        <v>0</v>
      </c>
      <c r="Q7556" t="n">
        <v>0</v>
      </c>
      <c r="R7556" s="2" t="inlineStr"/>
    </row>
    <row r="7557" ht="15" customHeight="1">
      <c r="A7557" t="inlineStr">
        <is>
          <t>A 54754-2025</t>
        </is>
      </c>
      <c r="B7557" s="1" t="n">
        <v>45966.59429398148</v>
      </c>
      <c r="C7557" s="1" t="n">
        <v>46093</v>
      </c>
      <c r="D7557" t="inlineStr">
        <is>
          <t>VÄSTERNORRLANDS LÄN</t>
        </is>
      </c>
      <c r="E7557" t="inlineStr">
        <is>
          <t>SUNDSVALL</t>
        </is>
      </c>
      <c r="F7557" t="inlineStr">
        <is>
          <t>SCA</t>
        </is>
      </c>
      <c r="G7557" t="n">
        <v>5</v>
      </c>
      <c r="H7557" t="n">
        <v>0</v>
      </c>
      <c r="I7557" t="n">
        <v>0</v>
      </c>
      <c r="J7557" t="n">
        <v>0</v>
      </c>
      <c r="K7557" t="n">
        <v>0</v>
      </c>
      <c r="L7557" t="n">
        <v>0</v>
      </c>
      <c r="M7557" t="n">
        <v>0</v>
      </c>
      <c r="N7557" t="n">
        <v>0</v>
      </c>
      <c r="O7557" t="n">
        <v>0</v>
      </c>
      <c r="P7557" t="n">
        <v>0</v>
      </c>
      <c r="Q7557" t="n">
        <v>0</v>
      </c>
      <c r="R7557" s="2" t="inlineStr"/>
    </row>
    <row r="7558" ht="15" customHeight="1">
      <c r="A7558" t="inlineStr">
        <is>
          <t>A 29662-2024</t>
        </is>
      </c>
      <c r="B7558" s="1" t="n">
        <v>45484.93993055556</v>
      </c>
      <c r="C7558" s="1" t="n">
        <v>46093</v>
      </c>
      <c r="D7558" t="inlineStr">
        <is>
          <t>VÄSTERNORRLANDS LÄN</t>
        </is>
      </c>
      <c r="E7558" t="inlineStr">
        <is>
          <t>SUNDSVALL</t>
        </is>
      </c>
      <c r="F7558" t="inlineStr">
        <is>
          <t>SCA</t>
        </is>
      </c>
      <c r="G7558" t="n">
        <v>27.8</v>
      </c>
      <c r="H7558" t="n">
        <v>0</v>
      </c>
      <c r="I7558" t="n">
        <v>0</v>
      </c>
      <c r="J7558" t="n">
        <v>0</v>
      </c>
      <c r="K7558" t="n">
        <v>0</v>
      </c>
      <c r="L7558" t="n">
        <v>0</v>
      </c>
      <c r="M7558" t="n">
        <v>0</v>
      </c>
      <c r="N7558" t="n">
        <v>0</v>
      </c>
      <c r="O7558" t="n">
        <v>0</v>
      </c>
      <c r="P7558" t="n">
        <v>0</v>
      </c>
      <c r="Q7558" t="n">
        <v>0</v>
      </c>
      <c r="R7558" s="2" t="inlineStr"/>
    </row>
    <row r="7559" ht="15" customHeight="1">
      <c r="A7559" t="inlineStr">
        <is>
          <t>A 54680-2025</t>
        </is>
      </c>
      <c r="B7559" s="1" t="n">
        <v>45966.42751157407</v>
      </c>
      <c r="C7559" s="1" t="n">
        <v>46093</v>
      </c>
      <c r="D7559" t="inlineStr">
        <is>
          <t>VÄSTERNORRLANDS LÄN</t>
        </is>
      </c>
      <c r="E7559" t="inlineStr">
        <is>
          <t>ÅNGE</t>
        </is>
      </c>
      <c r="F7559" t="inlineStr">
        <is>
          <t>SCA</t>
        </is>
      </c>
      <c r="G7559" t="n">
        <v>5.2</v>
      </c>
      <c r="H7559" t="n">
        <v>0</v>
      </c>
      <c r="I7559" t="n">
        <v>0</v>
      </c>
      <c r="J7559" t="n">
        <v>0</v>
      </c>
      <c r="K7559" t="n">
        <v>0</v>
      </c>
      <c r="L7559" t="n">
        <v>0</v>
      </c>
      <c r="M7559" t="n">
        <v>0</v>
      </c>
      <c r="N7559" t="n">
        <v>0</v>
      </c>
      <c r="O7559" t="n">
        <v>0</v>
      </c>
      <c r="P7559" t="n">
        <v>0</v>
      </c>
      <c r="Q7559" t="n">
        <v>0</v>
      </c>
      <c r="R7559" s="2" t="inlineStr"/>
    </row>
    <row r="7560" ht="15" customHeight="1">
      <c r="A7560" t="inlineStr">
        <is>
          <t>A 38273-2025</t>
        </is>
      </c>
      <c r="B7560" s="1" t="n">
        <v>45883.40740740741</v>
      </c>
      <c r="C7560" s="1" t="n">
        <v>46093</v>
      </c>
      <c r="D7560" t="inlineStr">
        <is>
          <t>VÄSTERNORRLANDS LÄN</t>
        </is>
      </c>
      <c r="E7560" t="inlineStr">
        <is>
          <t>ÅNGE</t>
        </is>
      </c>
      <c r="F7560" t="inlineStr">
        <is>
          <t>SCA</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57455-2023</t>
        </is>
      </c>
      <c r="B7561" s="1" t="n">
        <v>45246</v>
      </c>
      <c r="C7561" s="1" t="n">
        <v>46093</v>
      </c>
      <c r="D7561" t="inlineStr">
        <is>
          <t>VÄSTERNORRLANDS LÄN</t>
        </is>
      </c>
      <c r="E7561" t="inlineStr">
        <is>
          <t>SUNDSVALL</t>
        </is>
      </c>
      <c r="G7561" t="n">
        <v>0.3</v>
      </c>
      <c r="H7561" t="n">
        <v>0</v>
      </c>
      <c r="I7561" t="n">
        <v>0</v>
      </c>
      <c r="J7561" t="n">
        <v>0</v>
      </c>
      <c r="K7561" t="n">
        <v>0</v>
      </c>
      <c r="L7561" t="n">
        <v>0</v>
      </c>
      <c r="M7561" t="n">
        <v>0</v>
      </c>
      <c r="N7561" t="n">
        <v>0</v>
      </c>
      <c r="O7561" t="n">
        <v>0</v>
      </c>
      <c r="P7561" t="n">
        <v>0</v>
      </c>
      <c r="Q7561" t="n">
        <v>0</v>
      </c>
      <c r="R7561" s="2" t="inlineStr"/>
    </row>
    <row r="7562" ht="15" customHeight="1">
      <c r="A7562" t="inlineStr">
        <is>
          <t>A 57469-2023</t>
        </is>
      </c>
      <c r="B7562" s="1" t="n">
        <v>45240</v>
      </c>
      <c r="C7562" s="1" t="n">
        <v>46093</v>
      </c>
      <c r="D7562" t="inlineStr">
        <is>
          <t>VÄSTERNORRLANDS LÄN</t>
        </is>
      </c>
      <c r="E7562" t="inlineStr">
        <is>
          <t>ÖRNSKÖLDSVIK</t>
        </is>
      </c>
      <c r="G7562" t="n">
        <v>0.4</v>
      </c>
      <c r="H7562" t="n">
        <v>0</v>
      </c>
      <c r="I7562" t="n">
        <v>0</v>
      </c>
      <c r="J7562" t="n">
        <v>0</v>
      </c>
      <c r="K7562" t="n">
        <v>0</v>
      </c>
      <c r="L7562" t="n">
        <v>0</v>
      </c>
      <c r="M7562" t="n">
        <v>0</v>
      </c>
      <c r="N7562" t="n">
        <v>0</v>
      </c>
      <c r="O7562" t="n">
        <v>0</v>
      </c>
      <c r="P7562" t="n">
        <v>0</v>
      </c>
      <c r="Q7562" t="n">
        <v>0</v>
      </c>
      <c r="R7562" s="2" t="inlineStr"/>
    </row>
    <row r="7563" ht="15" customHeight="1">
      <c r="A7563" t="inlineStr">
        <is>
          <t>A 57480-2023</t>
        </is>
      </c>
      <c r="B7563" s="1" t="n">
        <v>45240</v>
      </c>
      <c r="C7563" s="1" t="n">
        <v>46093</v>
      </c>
      <c r="D7563" t="inlineStr">
        <is>
          <t>VÄSTERNORRLANDS LÄN</t>
        </is>
      </c>
      <c r="E7563" t="inlineStr">
        <is>
          <t>ÖRNSKÖLDSVIK</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54705-2025</t>
        </is>
      </c>
      <c r="B7564" s="1" t="n">
        <v>45966.4853125</v>
      </c>
      <c r="C7564" s="1" t="n">
        <v>46093</v>
      </c>
      <c r="D7564" t="inlineStr">
        <is>
          <t>VÄSTERNORRLANDS LÄN</t>
        </is>
      </c>
      <c r="E7564" t="inlineStr">
        <is>
          <t>ÅNGE</t>
        </is>
      </c>
      <c r="G7564" t="n">
        <v>4.5</v>
      </c>
      <c r="H7564" t="n">
        <v>0</v>
      </c>
      <c r="I7564" t="n">
        <v>0</v>
      </c>
      <c r="J7564" t="n">
        <v>0</v>
      </c>
      <c r="K7564" t="n">
        <v>0</v>
      </c>
      <c r="L7564" t="n">
        <v>0</v>
      </c>
      <c r="M7564" t="n">
        <v>0</v>
      </c>
      <c r="N7564" t="n">
        <v>0</v>
      </c>
      <c r="O7564" t="n">
        <v>0</v>
      </c>
      <c r="P7564" t="n">
        <v>0</v>
      </c>
      <c r="Q7564" t="n">
        <v>0</v>
      </c>
      <c r="R7564" s="2" t="inlineStr"/>
    </row>
    <row r="7565" ht="15" customHeight="1">
      <c r="A7565" t="inlineStr">
        <is>
          <t>A 54707-2025</t>
        </is>
      </c>
      <c r="B7565" s="1" t="n">
        <v>45966</v>
      </c>
      <c r="C7565" s="1" t="n">
        <v>46093</v>
      </c>
      <c r="D7565" t="inlineStr">
        <is>
          <t>VÄSTERNORRLANDS LÄN</t>
        </is>
      </c>
      <c r="E7565" t="inlineStr">
        <is>
          <t>ÅNGE</t>
        </is>
      </c>
      <c r="G7565" t="n">
        <v>3.2</v>
      </c>
      <c r="H7565" t="n">
        <v>0</v>
      </c>
      <c r="I7565" t="n">
        <v>0</v>
      </c>
      <c r="J7565" t="n">
        <v>0</v>
      </c>
      <c r="K7565" t="n">
        <v>0</v>
      </c>
      <c r="L7565" t="n">
        <v>0</v>
      </c>
      <c r="M7565" t="n">
        <v>0</v>
      </c>
      <c r="N7565" t="n">
        <v>0</v>
      </c>
      <c r="O7565" t="n">
        <v>0</v>
      </c>
      <c r="P7565" t="n">
        <v>0</v>
      </c>
      <c r="Q7565" t="n">
        <v>0</v>
      </c>
      <c r="R7565" s="2" t="inlineStr"/>
    </row>
    <row r="7566" ht="15" customHeight="1">
      <c r="A7566" t="inlineStr">
        <is>
          <t>A 54710-2025</t>
        </is>
      </c>
      <c r="B7566" s="1" t="n">
        <v>45966.49515046296</v>
      </c>
      <c r="C7566" s="1" t="n">
        <v>46093</v>
      </c>
      <c r="D7566" t="inlineStr">
        <is>
          <t>VÄSTERNORRLANDS LÄN</t>
        </is>
      </c>
      <c r="E7566" t="inlineStr">
        <is>
          <t>ÅNGE</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54819-2025</t>
        </is>
      </c>
      <c r="B7567" s="1" t="n">
        <v>45966.65709490741</v>
      </c>
      <c r="C7567" s="1" t="n">
        <v>46093</v>
      </c>
      <c r="D7567" t="inlineStr">
        <is>
          <t>VÄSTERNORRLANDS LÄN</t>
        </is>
      </c>
      <c r="E7567" t="inlineStr">
        <is>
          <t>ÅNGE</t>
        </is>
      </c>
      <c r="F7567" t="inlineStr">
        <is>
          <t>SCA</t>
        </is>
      </c>
      <c r="G7567" t="n">
        <v>4</v>
      </c>
      <c r="H7567" t="n">
        <v>0</v>
      </c>
      <c r="I7567" t="n">
        <v>0</v>
      </c>
      <c r="J7567" t="n">
        <v>0</v>
      </c>
      <c r="K7567" t="n">
        <v>0</v>
      </c>
      <c r="L7567" t="n">
        <v>0</v>
      </c>
      <c r="M7567" t="n">
        <v>0</v>
      </c>
      <c r="N7567" t="n">
        <v>0</v>
      </c>
      <c r="O7567" t="n">
        <v>0</v>
      </c>
      <c r="P7567" t="n">
        <v>0</v>
      </c>
      <c r="Q7567" t="n">
        <v>0</v>
      </c>
      <c r="R7567" s="2" t="inlineStr"/>
    </row>
    <row r="7568" ht="15" customHeight="1">
      <c r="A7568" t="inlineStr">
        <is>
          <t>A 41413-2024</t>
        </is>
      </c>
      <c r="B7568" s="1" t="n">
        <v>45560.345</v>
      </c>
      <c r="C7568" s="1" t="n">
        <v>46093</v>
      </c>
      <c r="D7568" t="inlineStr">
        <is>
          <t>VÄSTERNORRLANDS LÄN</t>
        </is>
      </c>
      <c r="E7568" t="inlineStr">
        <is>
          <t>SOLLEFTEÅ</t>
        </is>
      </c>
      <c r="F7568" t="inlineStr">
        <is>
          <t>SCA</t>
        </is>
      </c>
      <c r="G7568" t="n">
        <v>2.6</v>
      </c>
      <c r="H7568" t="n">
        <v>0</v>
      </c>
      <c r="I7568" t="n">
        <v>0</v>
      </c>
      <c r="J7568" t="n">
        <v>0</v>
      </c>
      <c r="K7568" t="n">
        <v>0</v>
      </c>
      <c r="L7568" t="n">
        <v>0</v>
      </c>
      <c r="M7568" t="n">
        <v>0</v>
      </c>
      <c r="N7568" t="n">
        <v>0</v>
      </c>
      <c r="O7568" t="n">
        <v>0</v>
      </c>
      <c r="P7568" t="n">
        <v>0</v>
      </c>
      <c r="Q7568" t="n">
        <v>0</v>
      </c>
      <c r="R7568" s="2" t="inlineStr"/>
    </row>
    <row r="7569" ht="15" customHeight="1">
      <c r="A7569" t="inlineStr">
        <is>
          <t>A 41420-2024</t>
        </is>
      </c>
      <c r="B7569" s="1" t="n">
        <v>45560.34616898148</v>
      </c>
      <c r="C7569" s="1" t="n">
        <v>46093</v>
      </c>
      <c r="D7569" t="inlineStr">
        <is>
          <t>VÄSTERNORRLANDS LÄN</t>
        </is>
      </c>
      <c r="E7569" t="inlineStr">
        <is>
          <t>SOLLEFTEÅ</t>
        </is>
      </c>
      <c r="F7569" t="inlineStr">
        <is>
          <t>SCA</t>
        </is>
      </c>
      <c r="G7569" t="n">
        <v>6.1</v>
      </c>
      <c r="H7569" t="n">
        <v>0</v>
      </c>
      <c r="I7569" t="n">
        <v>0</v>
      </c>
      <c r="J7569" t="n">
        <v>0</v>
      </c>
      <c r="K7569" t="n">
        <v>0</v>
      </c>
      <c r="L7569" t="n">
        <v>0</v>
      </c>
      <c r="M7569" t="n">
        <v>0</v>
      </c>
      <c r="N7569" t="n">
        <v>0</v>
      </c>
      <c r="O7569" t="n">
        <v>0</v>
      </c>
      <c r="P7569" t="n">
        <v>0</v>
      </c>
      <c r="Q7569" t="n">
        <v>0</v>
      </c>
      <c r="R7569" s="2" t="inlineStr"/>
    </row>
    <row r="7570" ht="15" customHeight="1">
      <c r="A7570" t="inlineStr">
        <is>
          <t>A 38254-2025</t>
        </is>
      </c>
      <c r="B7570" s="1" t="n">
        <v>45883.37956018518</v>
      </c>
      <c r="C7570" s="1" t="n">
        <v>46093</v>
      </c>
      <c r="D7570" t="inlineStr">
        <is>
          <t>VÄSTERNORRLANDS LÄN</t>
        </is>
      </c>
      <c r="E7570" t="inlineStr">
        <is>
          <t>ÖRNSKÖLDSVIK</t>
        </is>
      </c>
      <c r="G7570" t="n">
        <v>2.5</v>
      </c>
      <c r="H7570" t="n">
        <v>0</v>
      </c>
      <c r="I7570" t="n">
        <v>0</v>
      </c>
      <c r="J7570" t="n">
        <v>0</v>
      </c>
      <c r="K7570" t="n">
        <v>0</v>
      </c>
      <c r="L7570" t="n">
        <v>0</v>
      </c>
      <c r="M7570" t="n">
        <v>0</v>
      </c>
      <c r="N7570" t="n">
        <v>0</v>
      </c>
      <c r="O7570" t="n">
        <v>0</v>
      </c>
      <c r="P7570" t="n">
        <v>0</v>
      </c>
      <c r="Q7570" t="n">
        <v>0</v>
      </c>
      <c r="R7570" s="2" t="inlineStr"/>
    </row>
    <row r="7571" ht="15" customHeight="1">
      <c r="A7571" t="inlineStr">
        <is>
          <t>A 27952-2023</t>
        </is>
      </c>
      <c r="B7571" s="1" t="n">
        <v>45098.6758912037</v>
      </c>
      <c r="C7571" s="1" t="n">
        <v>46093</v>
      </c>
      <c r="D7571" t="inlineStr">
        <is>
          <t>VÄSTERNORRLANDS LÄN</t>
        </is>
      </c>
      <c r="E7571" t="inlineStr">
        <is>
          <t>ÖRNSKÖLDSVIK</t>
        </is>
      </c>
      <c r="F7571" t="inlineStr">
        <is>
          <t>Holmen skog AB</t>
        </is>
      </c>
      <c r="G7571" t="n">
        <v>2.8</v>
      </c>
      <c r="H7571" t="n">
        <v>0</v>
      </c>
      <c r="I7571" t="n">
        <v>0</v>
      </c>
      <c r="J7571" t="n">
        <v>0</v>
      </c>
      <c r="K7571" t="n">
        <v>0</v>
      </c>
      <c r="L7571" t="n">
        <v>0</v>
      </c>
      <c r="M7571" t="n">
        <v>0</v>
      </c>
      <c r="N7571" t="n">
        <v>0</v>
      </c>
      <c r="O7571" t="n">
        <v>0</v>
      </c>
      <c r="P7571" t="n">
        <v>0</v>
      </c>
      <c r="Q7571" t="n">
        <v>0</v>
      </c>
      <c r="R7571" s="2" t="inlineStr"/>
    </row>
    <row r="7572" ht="15" customHeight="1">
      <c r="A7572" t="inlineStr">
        <is>
          <t>A 38432-2022</t>
        </is>
      </c>
      <c r="B7572" s="1" t="n">
        <v>44812</v>
      </c>
      <c r="C7572" s="1" t="n">
        <v>46093</v>
      </c>
      <c r="D7572" t="inlineStr">
        <is>
          <t>VÄSTERNORRLANDS LÄN</t>
        </is>
      </c>
      <c r="E7572" t="inlineStr">
        <is>
          <t>SOLLEFTEÅ</t>
        </is>
      </c>
      <c r="G7572" t="n">
        <v>2.9</v>
      </c>
      <c r="H7572" t="n">
        <v>0</v>
      </c>
      <c r="I7572" t="n">
        <v>0</v>
      </c>
      <c r="J7572" t="n">
        <v>0</v>
      </c>
      <c r="K7572" t="n">
        <v>0</v>
      </c>
      <c r="L7572" t="n">
        <v>0</v>
      </c>
      <c r="M7572" t="n">
        <v>0</v>
      </c>
      <c r="N7572" t="n">
        <v>0</v>
      </c>
      <c r="O7572" t="n">
        <v>0</v>
      </c>
      <c r="P7572" t="n">
        <v>0</v>
      </c>
      <c r="Q7572" t="n">
        <v>0</v>
      </c>
      <c r="R7572" s="2" t="inlineStr"/>
    </row>
    <row r="7573" ht="15" customHeight="1">
      <c r="A7573" t="inlineStr">
        <is>
          <t>A 27998-2023</t>
        </is>
      </c>
      <c r="B7573" s="1" t="n">
        <v>45098.92375</v>
      </c>
      <c r="C7573" s="1" t="n">
        <v>46093</v>
      </c>
      <c r="D7573" t="inlineStr">
        <is>
          <t>VÄSTERNORRLANDS LÄN</t>
        </is>
      </c>
      <c r="E7573" t="inlineStr">
        <is>
          <t>SUNDSVALL</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18171-2023</t>
        </is>
      </c>
      <c r="B7574" s="1" t="n">
        <v>45040.94369212963</v>
      </c>
      <c r="C7574" s="1" t="n">
        <v>46093</v>
      </c>
      <c r="D7574" t="inlineStr">
        <is>
          <t>VÄSTERNORRLANDS LÄN</t>
        </is>
      </c>
      <c r="E7574" t="inlineStr">
        <is>
          <t>SUNDSVALL</t>
        </is>
      </c>
      <c r="F7574" t="inlineStr">
        <is>
          <t>SCA</t>
        </is>
      </c>
      <c r="G7574" t="n">
        <v>6.5</v>
      </c>
      <c r="H7574" t="n">
        <v>0</v>
      </c>
      <c r="I7574" t="n">
        <v>0</v>
      </c>
      <c r="J7574" t="n">
        <v>0</v>
      </c>
      <c r="K7574" t="n">
        <v>0</v>
      </c>
      <c r="L7574" t="n">
        <v>0</v>
      </c>
      <c r="M7574" t="n">
        <v>0</v>
      </c>
      <c r="N7574" t="n">
        <v>0</v>
      </c>
      <c r="O7574" t="n">
        <v>0</v>
      </c>
      <c r="P7574" t="n">
        <v>0</v>
      </c>
      <c r="Q7574" t="n">
        <v>0</v>
      </c>
      <c r="R7574" s="2" t="inlineStr"/>
    </row>
    <row r="7575" ht="15" customHeight="1">
      <c r="A7575" t="inlineStr">
        <is>
          <t>A 42566-2021</t>
        </is>
      </c>
      <c r="B7575" s="1" t="n">
        <v>44428</v>
      </c>
      <c r="C7575" s="1" t="n">
        <v>46093</v>
      </c>
      <c r="D7575" t="inlineStr">
        <is>
          <t>VÄSTERNORRLANDS LÄN</t>
        </is>
      </c>
      <c r="E7575" t="inlineStr">
        <is>
          <t>KRAMFORS</t>
        </is>
      </c>
      <c r="G7575" t="n">
        <v>5.1</v>
      </c>
      <c r="H7575" t="n">
        <v>0</v>
      </c>
      <c r="I7575" t="n">
        <v>0</v>
      </c>
      <c r="J7575" t="n">
        <v>0</v>
      </c>
      <c r="K7575" t="n">
        <v>0</v>
      </c>
      <c r="L7575" t="n">
        <v>0</v>
      </c>
      <c r="M7575" t="n">
        <v>0</v>
      </c>
      <c r="N7575" t="n">
        <v>0</v>
      </c>
      <c r="O7575" t="n">
        <v>0</v>
      </c>
      <c r="P7575" t="n">
        <v>0</v>
      </c>
      <c r="Q7575" t="n">
        <v>0</v>
      </c>
      <c r="R7575" s="2" t="inlineStr"/>
    </row>
    <row r="7576" ht="15" customHeight="1">
      <c r="A7576" t="inlineStr">
        <is>
          <t>A 38265-2025</t>
        </is>
      </c>
      <c r="B7576" s="1" t="n">
        <v>45883.40185185185</v>
      </c>
      <c r="C7576" s="1" t="n">
        <v>46093</v>
      </c>
      <c r="D7576" t="inlineStr">
        <is>
          <t>VÄSTERNORRLANDS LÄN</t>
        </is>
      </c>
      <c r="E7576" t="inlineStr">
        <is>
          <t>KRAMFORS</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38271-2025</t>
        </is>
      </c>
      <c r="B7577" s="1" t="n">
        <v>45883.4071412037</v>
      </c>
      <c r="C7577" s="1" t="n">
        <v>46093</v>
      </c>
      <c r="D7577" t="inlineStr">
        <is>
          <t>VÄSTERNORRLANDS LÄN</t>
        </is>
      </c>
      <c r="E7577" t="inlineStr">
        <is>
          <t>SOLLEFTEÅ</t>
        </is>
      </c>
      <c r="F7577" t="inlineStr">
        <is>
          <t>SCA</t>
        </is>
      </c>
      <c r="G7577" t="n">
        <v>2.4</v>
      </c>
      <c r="H7577" t="n">
        <v>0</v>
      </c>
      <c r="I7577" t="n">
        <v>0</v>
      </c>
      <c r="J7577" t="n">
        <v>0</v>
      </c>
      <c r="K7577" t="n">
        <v>0</v>
      </c>
      <c r="L7577" t="n">
        <v>0</v>
      </c>
      <c r="M7577" t="n">
        <v>0</v>
      </c>
      <c r="N7577" t="n">
        <v>0</v>
      </c>
      <c r="O7577" t="n">
        <v>0</v>
      </c>
      <c r="P7577" t="n">
        <v>0</v>
      </c>
      <c r="Q7577" t="n">
        <v>0</v>
      </c>
      <c r="R7577" s="2" t="inlineStr"/>
    </row>
    <row r="7578" ht="15" customHeight="1">
      <c r="A7578" t="inlineStr">
        <is>
          <t>A 30692-2021</t>
        </is>
      </c>
      <c r="B7578" s="1" t="n">
        <v>44365</v>
      </c>
      <c r="C7578" s="1" t="n">
        <v>46093</v>
      </c>
      <c r="D7578" t="inlineStr">
        <is>
          <t>VÄSTERNORRLANDS LÄN</t>
        </is>
      </c>
      <c r="E7578" t="inlineStr">
        <is>
          <t>SOLLEFTEÅ</t>
        </is>
      </c>
      <c r="G7578" t="n">
        <v>2.4</v>
      </c>
      <c r="H7578" t="n">
        <v>0</v>
      </c>
      <c r="I7578" t="n">
        <v>0</v>
      </c>
      <c r="J7578" t="n">
        <v>0</v>
      </c>
      <c r="K7578" t="n">
        <v>0</v>
      </c>
      <c r="L7578" t="n">
        <v>0</v>
      </c>
      <c r="M7578" t="n">
        <v>0</v>
      </c>
      <c r="N7578" t="n">
        <v>0</v>
      </c>
      <c r="O7578" t="n">
        <v>0</v>
      </c>
      <c r="P7578" t="n">
        <v>0</v>
      </c>
      <c r="Q7578" t="n">
        <v>0</v>
      </c>
      <c r="R7578" s="2" t="inlineStr"/>
    </row>
    <row r="7579" ht="15" customHeight="1">
      <c r="A7579" t="inlineStr">
        <is>
          <t>A 54802-2025</t>
        </is>
      </c>
      <c r="B7579" s="1" t="n">
        <v>45966</v>
      </c>
      <c r="C7579" s="1" t="n">
        <v>46093</v>
      </c>
      <c r="D7579" t="inlineStr">
        <is>
          <t>VÄSTERNORRLANDS LÄN</t>
        </is>
      </c>
      <c r="E7579" t="inlineStr">
        <is>
          <t>SOLLEFTEÅ</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54818-2025</t>
        </is>
      </c>
      <c r="B7580" s="1" t="n">
        <v>45966.656875</v>
      </c>
      <c r="C7580" s="1" t="n">
        <v>46093</v>
      </c>
      <c r="D7580" t="inlineStr">
        <is>
          <t>VÄSTERNORRLANDS LÄN</t>
        </is>
      </c>
      <c r="E7580" t="inlineStr">
        <is>
          <t>SUNDSVALL</t>
        </is>
      </c>
      <c r="F7580" t="inlineStr">
        <is>
          <t>SCA</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48612-2022</t>
        </is>
      </c>
      <c r="B7581" s="1" t="n">
        <v>44854</v>
      </c>
      <c r="C7581" s="1" t="n">
        <v>46093</v>
      </c>
      <c r="D7581" t="inlineStr">
        <is>
          <t>VÄSTERNORRLANDS LÄN</t>
        </is>
      </c>
      <c r="E7581" t="inlineStr">
        <is>
          <t>ÖRNSKÖLDSVIK</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54633-2025</t>
        </is>
      </c>
      <c r="B7582" s="1" t="n">
        <v>45966.35143518518</v>
      </c>
      <c r="C7582" s="1" t="n">
        <v>46093</v>
      </c>
      <c r="D7582" t="inlineStr">
        <is>
          <t>VÄSTERNORRLANDS LÄN</t>
        </is>
      </c>
      <c r="E7582" t="inlineStr">
        <is>
          <t>ÖRNSKÖLDSVIK</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42970-2024</t>
        </is>
      </c>
      <c r="B7583" s="1" t="n">
        <v>45567.37322916667</v>
      </c>
      <c r="C7583" s="1" t="n">
        <v>46093</v>
      </c>
      <c r="D7583" t="inlineStr">
        <is>
          <t>VÄSTERNORRLANDS LÄN</t>
        </is>
      </c>
      <c r="E7583" t="inlineStr">
        <is>
          <t>SOLLEFTEÅ</t>
        </is>
      </c>
      <c r="F7583" t="inlineStr">
        <is>
          <t>SCA</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42981-2024</t>
        </is>
      </c>
      <c r="B7584" s="1" t="n">
        <v>45567.37460648148</v>
      </c>
      <c r="C7584" s="1" t="n">
        <v>46093</v>
      </c>
      <c r="D7584" t="inlineStr">
        <is>
          <t>VÄSTERNORRLANDS LÄN</t>
        </is>
      </c>
      <c r="E7584" t="inlineStr">
        <is>
          <t>SOLLEFTEÅ</t>
        </is>
      </c>
      <c r="F7584" t="inlineStr">
        <is>
          <t>SCA</t>
        </is>
      </c>
      <c r="G7584" t="n">
        <v>2.7</v>
      </c>
      <c r="H7584" t="n">
        <v>0</v>
      </c>
      <c r="I7584" t="n">
        <v>0</v>
      </c>
      <c r="J7584" t="n">
        <v>0</v>
      </c>
      <c r="K7584" t="n">
        <v>0</v>
      </c>
      <c r="L7584" t="n">
        <v>0</v>
      </c>
      <c r="M7584" t="n">
        <v>0</v>
      </c>
      <c r="N7584" t="n">
        <v>0</v>
      </c>
      <c r="O7584" t="n">
        <v>0</v>
      </c>
      <c r="P7584" t="n">
        <v>0</v>
      </c>
      <c r="Q7584" t="n">
        <v>0</v>
      </c>
      <c r="R7584" s="2" t="inlineStr"/>
    </row>
    <row r="7585" ht="15" customHeight="1">
      <c r="A7585" t="inlineStr">
        <is>
          <t>A 54708-2025</t>
        </is>
      </c>
      <c r="B7585" s="1" t="n">
        <v>45966.49259259259</v>
      </c>
      <c r="C7585" s="1" t="n">
        <v>46093</v>
      </c>
      <c r="D7585" t="inlineStr">
        <is>
          <t>VÄSTERNORRLANDS LÄN</t>
        </is>
      </c>
      <c r="E7585" t="inlineStr">
        <is>
          <t>ÖRNSKÖLDSVIK</t>
        </is>
      </c>
      <c r="G7585" t="n">
        <v>3.4</v>
      </c>
      <c r="H7585" t="n">
        <v>0</v>
      </c>
      <c r="I7585" t="n">
        <v>0</v>
      </c>
      <c r="J7585" t="n">
        <v>0</v>
      </c>
      <c r="K7585" t="n">
        <v>0</v>
      </c>
      <c r="L7585" t="n">
        <v>0</v>
      </c>
      <c r="M7585" t="n">
        <v>0</v>
      </c>
      <c r="N7585" t="n">
        <v>0</v>
      </c>
      <c r="O7585" t="n">
        <v>0</v>
      </c>
      <c r="P7585" t="n">
        <v>0</v>
      </c>
      <c r="Q7585" t="n">
        <v>0</v>
      </c>
      <c r="R7585" s="2" t="inlineStr"/>
    </row>
    <row r="7586" ht="15" customHeight="1">
      <c r="A7586" t="inlineStr">
        <is>
          <t>A 54715-2025</t>
        </is>
      </c>
      <c r="B7586" s="1" t="n">
        <v>45966.50961805556</v>
      </c>
      <c r="C7586" s="1" t="n">
        <v>46093</v>
      </c>
      <c r="D7586" t="inlineStr">
        <is>
          <t>VÄSTERNORRLANDS LÄN</t>
        </is>
      </c>
      <c r="E7586" t="inlineStr">
        <is>
          <t>ÅNGE</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27943-2022</t>
        </is>
      </c>
      <c r="B7587" s="1" t="n">
        <v>44743</v>
      </c>
      <c r="C7587" s="1" t="n">
        <v>46093</v>
      </c>
      <c r="D7587" t="inlineStr">
        <is>
          <t>VÄSTERNORRLANDS LÄN</t>
        </is>
      </c>
      <c r="E7587" t="inlineStr">
        <is>
          <t>SOLLEFTEÅ</t>
        </is>
      </c>
      <c r="F7587" t="inlineStr">
        <is>
          <t>SCA</t>
        </is>
      </c>
      <c r="G7587" t="n">
        <v>10</v>
      </c>
      <c r="H7587" t="n">
        <v>0</v>
      </c>
      <c r="I7587" t="n">
        <v>0</v>
      </c>
      <c r="J7587" t="n">
        <v>0</v>
      </c>
      <c r="K7587" t="n">
        <v>0</v>
      </c>
      <c r="L7587" t="n">
        <v>0</v>
      </c>
      <c r="M7587" t="n">
        <v>0</v>
      </c>
      <c r="N7587" t="n">
        <v>0</v>
      </c>
      <c r="O7587" t="n">
        <v>0</v>
      </c>
      <c r="P7587" t="n">
        <v>0</v>
      </c>
      <c r="Q7587" t="n">
        <v>0</v>
      </c>
      <c r="R7587" s="2" t="inlineStr"/>
    </row>
    <row r="7588" ht="15" customHeight="1">
      <c r="A7588" t="inlineStr">
        <is>
          <t>A 41370-2023</t>
        </is>
      </c>
      <c r="B7588" s="1" t="n">
        <v>45174.85951388889</v>
      </c>
      <c r="C7588" s="1" t="n">
        <v>46093</v>
      </c>
      <c r="D7588" t="inlineStr">
        <is>
          <t>VÄSTERNORRLANDS LÄN</t>
        </is>
      </c>
      <c r="E7588" t="inlineStr">
        <is>
          <t>ÅNGE</t>
        </is>
      </c>
      <c r="F7588" t="inlineStr">
        <is>
          <t>Sveaskog</t>
        </is>
      </c>
      <c r="G7588" t="n">
        <v>1.6</v>
      </c>
      <c r="H7588" t="n">
        <v>0</v>
      </c>
      <c r="I7588" t="n">
        <v>0</v>
      </c>
      <c r="J7588" t="n">
        <v>0</v>
      </c>
      <c r="K7588" t="n">
        <v>0</v>
      </c>
      <c r="L7588" t="n">
        <v>0</v>
      </c>
      <c r="M7588" t="n">
        <v>0</v>
      </c>
      <c r="N7588" t="n">
        <v>0</v>
      </c>
      <c r="O7588" t="n">
        <v>0</v>
      </c>
      <c r="P7588" t="n">
        <v>0</v>
      </c>
      <c r="Q7588" t="n">
        <v>0</v>
      </c>
      <c r="R7588" s="2" t="inlineStr"/>
    </row>
    <row r="7589" ht="15" customHeight="1">
      <c r="A7589" t="inlineStr">
        <is>
          <t>A 1968-2023</t>
        </is>
      </c>
      <c r="B7589" s="1" t="n">
        <v>44938</v>
      </c>
      <c r="C7589" s="1" t="n">
        <v>46093</v>
      </c>
      <c r="D7589" t="inlineStr">
        <is>
          <t>VÄSTERNORRLANDS LÄN</t>
        </is>
      </c>
      <c r="E7589" t="inlineStr">
        <is>
          <t>ÖRNSKÖLDSVIK</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70307-2021</t>
        </is>
      </c>
      <c r="B7590" s="1" t="n">
        <v>44536</v>
      </c>
      <c r="C7590" s="1" t="n">
        <v>46093</v>
      </c>
      <c r="D7590" t="inlineStr">
        <is>
          <t>VÄSTERNORRLANDS LÄN</t>
        </is>
      </c>
      <c r="E7590" t="inlineStr">
        <is>
          <t>ÖRNSKÖLDSVIK</t>
        </is>
      </c>
      <c r="G7590" t="n">
        <v>9.699999999999999</v>
      </c>
      <c r="H7590" t="n">
        <v>0</v>
      </c>
      <c r="I7590" t="n">
        <v>0</v>
      </c>
      <c r="J7590" t="n">
        <v>0</v>
      </c>
      <c r="K7590" t="n">
        <v>0</v>
      </c>
      <c r="L7590" t="n">
        <v>0</v>
      </c>
      <c r="M7590" t="n">
        <v>0</v>
      </c>
      <c r="N7590" t="n">
        <v>0</v>
      </c>
      <c r="O7590" t="n">
        <v>0</v>
      </c>
      <c r="P7590" t="n">
        <v>0</v>
      </c>
      <c r="Q7590" t="n">
        <v>0</v>
      </c>
      <c r="R7590" s="2" t="inlineStr"/>
    </row>
    <row r="7591" ht="15" customHeight="1">
      <c r="A7591" t="inlineStr">
        <is>
          <t>A 22207-2025</t>
        </is>
      </c>
      <c r="B7591" s="1" t="n">
        <v>45785.65710648148</v>
      </c>
      <c r="C7591" s="1" t="n">
        <v>46093</v>
      </c>
      <c r="D7591" t="inlineStr">
        <is>
          <t>VÄSTERNORRLANDS LÄN</t>
        </is>
      </c>
      <c r="E7591" t="inlineStr">
        <is>
          <t>SOLLEFTEÅ</t>
        </is>
      </c>
      <c r="F7591" t="inlineStr">
        <is>
          <t>SCA</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51272-2023</t>
        </is>
      </c>
      <c r="B7592" s="1" t="n">
        <v>45219.51002314815</v>
      </c>
      <c r="C7592" s="1" t="n">
        <v>46093</v>
      </c>
      <c r="D7592" t="inlineStr">
        <is>
          <t>VÄSTERNORRLANDS LÄN</t>
        </is>
      </c>
      <c r="E7592" t="inlineStr">
        <is>
          <t>ÖRNSKÖLDSVIK</t>
        </is>
      </c>
      <c r="F7592" t="inlineStr">
        <is>
          <t>Holmen skog AB</t>
        </is>
      </c>
      <c r="G7592" t="n">
        <v>6.9</v>
      </c>
      <c r="H7592" t="n">
        <v>0</v>
      </c>
      <c r="I7592" t="n">
        <v>0</v>
      </c>
      <c r="J7592" t="n">
        <v>0</v>
      </c>
      <c r="K7592" t="n">
        <v>0</v>
      </c>
      <c r="L7592" t="n">
        <v>0</v>
      </c>
      <c r="M7592" t="n">
        <v>0</v>
      </c>
      <c r="N7592" t="n">
        <v>0</v>
      </c>
      <c r="O7592" t="n">
        <v>0</v>
      </c>
      <c r="P7592" t="n">
        <v>0</v>
      </c>
      <c r="Q7592" t="n">
        <v>0</v>
      </c>
      <c r="R7592" s="2" t="inlineStr"/>
    </row>
    <row r="7593" ht="15" customHeight="1">
      <c r="A7593" t="inlineStr">
        <is>
          <t>A 54619-2025</t>
        </is>
      </c>
      <c r="B7593" s="1" t="n">
        <v>45966.34471064815</v>
      </c>
      <c r="C7593" s="1" t="n">
        <v>46093</v>
      </c>
      <c r="D7593" t="inlineStr">
        <is>
          <t>VÄSTERNORRLANDS LÄN</t>
        </is>
      </c>
      <c r="E7593" t="inlineStr">
        <is>
          <t>SOLLEFTEÅ</t>
        </is>
      </c>
      <c r="F7593" t="inlineStr">
        <is>
          <t>SCA</t>
        </is>
      </c>
      <c r="G7593" t="n">
        <v>2.9</v>
      </c>
      <c r="H7593" t="n">
        <v>0</v>
      </c>
      <c r="I7593" t="n">
        <v>0</v>
      </c>
      <c r="J7593" t="n">
        <v>0</v>
      </c>
      <c r="K7593" t="n">
        <v>0</v>
      </c>
      <c r="L7593" t="n">
        <v>0</v>
      </c>
      <c r="M7593" t="n">
        <v>0</v>
      </c>
      <c r="N7593" t="n">
        <v>0</v>
      </c>
      <c r="O7593" t="n">
        <v>0</v>
      </c>
      <c r="P7593" t="n">
        <v>0</v>
      </c>
      <c r="Q7593" t="n">
        <v>0</v>
      </c>
      <c r="R7593" s="2" t="inlineStr"/>
    </row>
    <row r="7594" ht="15" customHeight="1">
      <c r="A7594" t="inlineStr">
        <is>
          <t>A 4332-2022</t>
        </is>
      </c>
      <c r="B7594" s="1" t="n">
        <v>44588</v>
      </c>
      <c r="C7594" s="1" t="n">
        <v>46093</v>
      </c>
      <c r="D7594" t="inlineStr">
        <is>
          <t>VÄSTERNORRLANDS LÄN</t>
        </is>
      </c>
      <c r="E7594" t="inlineStr">
        <is>
          <t>SUNDSVALL</t>
        </is>
      </c>
      <c r="G7594" t="n">
        <v>0.4</v>
      </c>
      <c r="H7594" t="n">
        <v>0</v>
      </c>
      <c r="I7594" t="n">
        <v>0</v>
      </c>
      <c r="J7594" t="n">
        <v>0</v>
      </c>
      <c r="K7594" t="n">
        <v>0</v>
      </c>
      <c r="L7594" t="n">
        <v>0</v>
      </c>
      <c r="M7594" t="n">
        <v>0</v>
      </c>
      <c r="N7594" t="n">
        <v>0</v>
      </c>
      <c r="O7594" t="n">
        <v>0</v>
      </c>
      <c r="P7594" t="n">
        <v>0</v>
      </c>
      <c r="Q7594" t="n">
        <v>0</v>
      </c>
      <c r="R7594" s="2" t="inlineStr"/>
    </row>
    <row r="7595" ht="15" customHeight="1">
      <c r="A7595" t="inlineStr">
        <is>
          <t>A 26457-2023</t>
        </is>
      </c>
      <c r="B7595" s="1" t="n">
        <v>45089</v>
      </c>
      <c r="C7595" s="1" t="n">
        <v>46093</v>
      </c>
      <c r="D7595" t="inlineStr">
        <is>
          <t>VÄSTERNORRLANDS LÄN</t>
        </is>
      </c>
      <c r="E7595" t="inlineStr">
        <is>
          <t>ÖRNSKÖLDSVIK</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14927-2025</t>
        </is>
      </c>
      <c r="B7596" s="1" t="n">
        <v>45743</v>
      </c>
      <c r="C7596" s="1" t="n">
        <v>46093</v>
      </c>
      <c r="D7596" t="inlineStr">
        <is>
          <t>VÄSTERNORRLANDS LÄN</t>
        </is>
      </c>
      <c r="E7596" t="inlineStr">
        <is>
          <t>ÅNGE</t>
        </is>
      </c>
      <c r="F7596" t="inlineStr">
        <is>
          <t>SCA</t>
        </is>
      </c>
      <c r="G7596" t="n">
        <v>2.3</v>
      </c>
      <c r="H7596" t="n">
        <v>0</v>
      </c>
      <c r="I7596" t="n">
        <v>0</v>
      </c>
      <c r="J7596" t="n">
        <v>0</v>
      </c>
      <c r="K7596" t="n">
        <v>0</v>
      </c>
      <c r="L7596" t="n">
        <v>0</v>
      </c>
      <c r="M7596" t="n">
        <v>0</v>
      </c>
      <c r="N7596" t="n">
        <v>0</v>
      </c>
      <c r="O7596" t="n">
        <v>0</v>
      </c>
      <c r="P7596" t="n">
        <v>0</v>
      </c>
      <c r="Q7596" t="n">
        <v>0</v>
      </c>
      <c r="R7596" s="2" t="inlineStr"/>
    </row>
    <row r="7597" ht="15" customHeight="1">
      <c r="A7597" t="inlineStr">
        <is>
          <t>A 54511-2025</t>
        </is>
      </c>
      <c r="B7597" s="1" t="n">
        <v>45965.62</v>
      </c>
      <c r="C7597" s="1" t="n">
        <v>46093</v>
      </c>
      <c r="D7597" t="inlineStr">
        <is>
          <t>VÄSTERNORRLANDS LÄN</t>
        </is>
      </c>
      <c r="E7597" t="inlineStr">
        <is>
          <t>ÖRNSKÖLDSVIK</t>
        </is>
      </c>
      <c r="F7597" t="inlineStr">
        <is>
          <t>Holmen skog AB</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54397-2025</t>
        </is>
      </c>
      <c r="B7598" s="1" t="n">
        <v>45965.44869212963</v>
      </c>
      <c r="C7598" s="1" t="n">
        <v>46093</v>
      </c>
      <c r="D7598" t="inlineStr">
        <is>
          <t>VÄSTERNORRLANDS LÄN</t>
        </is>
      </c>
      <c r="E7598" t="inlineStr">
        <is>
          <t>SOLLEFTEÅ</t>
        </is>
      </c>
      <c r="F7598" t="inlineStr">
        <is>
          <t>SCA</t>
        </is>
      </c>
      <c r="G7598" t="n">
        <v>1.6</v>
      </c>
      <c r="H7598" t="n">
        <v>0</v>
      </c>
      <c r="I7598" t="n">
        <v>0</v>
      </c>
      <c r="J7598" t="n">
        <v>0</v>
      </c>
      <c r="K7598" t="n">
        <v>0</v>
      </c>
      <c r="L7598" t="n">
        <v>0</v>
      </c>
      <c r="M7598" t="n">
        <v>0</v>
      </c>
      <c r="N7598" t="n">
        <v>0</v>
      </c>
      <c r="O7598" t="n">
        <v>0</v>
      </c>
      <c r="P7598" t="n">
        <v>0</v>
      </c>
      <c r="Q7598" t="n">
        <v>0</v>
      </c>
      <c r="R7598" s="2" t="inlineStr"/>
    </row>
    <row r="7599" ht="15" customHeight="1">
      <c r="A7599" t="inlineStr">
        <is>
          <t>A 59876-2021</t>
        </is>
      </c>
      <c r="B7599" s="1" t="n">
        <v>44494</v>
      </c>
      <c r="C7599" s="1" t="n">
        <v>46093</v>
      </c>
      <c r="D7599" t="inlineStr">
        <is>
          <t>VÄSTERNORRLANDS LÄN</t>
        </is>
      </c>
      <c r="E7599" t="inlineStr">
        <is>
          <t>ÖRNSKÖLDSVIK</t>
        </is>
      </c>
      <c r="F7599" t="inlineStr">
        <is>
          <t>Holmen skog AB</t>
        </is>
      </c>
      <c r="G7599" t="n">
        <v>5</v>
      </c>
      <c r="H7599" t="n">
        <v>0</v>
      </c>
      <c r="I7599" t="n">
        <v>0</v>
      </c>
      <c r="J7599" t="n">
        <v>0</v>
      </c>
      <c r="K7599" t="n">
        <v>0</v>
      </c>
      <c r="L7599" t="n">
        <v>0</v>
      </c>
      <c r="M7599" t="n">
        <v>0</v>
      </c>
      <c r="N7599" t="n">
        <v>0</v>
      </c>
      <c r="O7599" t="n">
        <v>0</v>
      </c>
      <c r="P7599" t="n">
        <v>0</v>
      </c>
      <c r="Q7599" t="n">
        <v>0</v>
      </c>
      <c r="R7599" s="2" t="inlineStr"/>
    </row>
    <row r="7600" ht="15" customHeight="1">
      <c r="A7600" t="inlineStr">
        <is>
          <t>A 38560-2025</t>
        </is>
      </c>
      <c r="B7600" s="1" t="n">
        <v>45884.44844907407</v>
      </c>
      <c r="C7600" s="1" t="n">
        <v>46093</v>
      </c>
      <c r="D7600" t="inlineStr">
        <is>
          <t>VÄSTERNORRLANDS LÄN</t>
        </is>
      </c>
      <c r="E7600" t="inlineStr">
        <is>
          <t>SOLLEFTEÅ</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52759-2023</t>
        </is>
      </c>
      <c r="B7601" s="1" t="n">
        <v>45225</v>
      </c>
      <c r="C7601" s="1" t="n">
        <v>46093</v>
      </c>
      <c r="D7601" t="inlineStr">
        <is>
          <t>VÄSTERNORRLANDS LÄN</t>
        </is>
      </c>
      <c r="E7601" t="inlineStr">
        <is>
          <t>SUNDSVALL</t>
        </is>
      </c>
      <c r="F7601" t="inlineStr">
        <is>
          <t>SCA</t>
        </is>
      </c>
      <c r="G7601" t="n">
        <v>6.3</v>
      </c>
      <c r="H7601" t="n">
        <v>0</v>
      </c>
      <c r="I7601" t="n">
        <v>0</v>
      </c>
      <c r="J7601" t="n">
        <v>0</v>
      </c>
      <c r="K7601" t="n">
        <v>0</v>
      </c>
      <c r="L7601" t="n">
        <v>0</v>
      </c>
      <c r="M7601" t="n">
        <v>0</v>
      </c>
      <c r="N7601" t="n">
        <v>0</v>
      </c>
      <c r="O7601" t="n">
        <v>0</v>
      </c>
      <c r="P7601" t="n">
        <v>0</v>
      </c>
      <c r="Q7601" t="n">
        <v>0</v>
      </c>
      <c r="R7601" s="2" t="inlineStr"/>
    </row>
    <row r="7602" ht="15" customHeight="1">
      <c r="A7602" t="inlineStr">
        <is>
          <t>A 47836-2022</t>
        </is>
      </c>
      <c r="B7602" s="1" t="n">
        <v>44855</v>
      </c>
      <c r="C7602" s="1" t="n">
        <v>46093</v>
      </c>
      <c r="D7602" t="inlineStr">
        <is>
          <t>VÄSTERNORRLANDS LÄN</t>
        </is>
      </c>
      <c r="E7602" t="inlineStr">
        <is>
          <t>ÖRNSKÖLDSVIK</t>
        </is>
      </c>
      <c r="F7602" t="inlineStr">
        <is>
          <t>Holmen skog AB</t>
        </is>
      </c>
      <c r="G7602" t="n">
        <v>10.2</v>
      </c>
      <c r="H7602" t="n">
        <v>0</v>
      </c>
      <c r="I7602" t="n">
        <v>0</v>
      </c>
      <c r="J7602" t="n">
        <v>0</v>
      </c>
      <c r="K7602" t="n">
        <v>0</v>
      </c>
      <c r="L7602" t="n">
        <v>0</v>
      </c>
      <c r="M7602" t="n">
        <v>0</v>
      </c>
      <c r="N7602" t="n">
        <v>0</v>
      </c>
      <c r="O7602" t="n">
        <v>0</v>
      </c>
      <c r="P7602" t="n">
        <v>0</v>
      </c>
      <c r="Q7602" t="n">
        <v>0</v>
      </c>
      <c r="R7602" s="2" t="inlineStr"/>
    </row>
    <row r="7603" ht="15" customHeight="1">
      <c r="A7603" t="inlineStr">
        <is>
          <t>A 38284-2022</t>
        </is>
      </c>
      <c r="B7603" s="1" t="n">
        <v>44812.55149305556</v>
      </c>
      <c r="C7603" s="1" t="n">
        <v>46093</v>
      </c>
      <c r="D7603" t="inlineStr">
        <is>
          <t>VÄSTERNORRLANDS LÄN</t>
        </is>
      </c>
      <c r="E7603" t="inlineStr">
        <is>
          <t>ÅNGE</t>
        </is>
      </c>
      <c r="G7603" t="n">
        <v>2.4</v>
      </c>
      <c r="H7603" t="n">
        <v>0</v>
      </c>
      <c r="I7603" t="n">
        <v>0</v>
      </c>
      <c r="J7603" t="n">
        <v>0</v>
      </c>
      <c r="K7603" t="n">
        <v>0</v>
      </c>
      <c r="L7603" t="n">
        <v>0</v>
      </c>
      <c r="M7603" t="n">
        <v>0</v>
      </c>
      <c r="N7603" t="n">
        <v>0</v>
      </c>
      <c r="O7603" t="n">
        <v>0</v>
      </c>
      <c r="P7603" t="n">
        <v>0</v>
      </c>
      <c r="Q7603" t="n">
        <v>0</v>
      </c>
      <c r="R7603" s="2" t="inlineStr"/>
    </row>
    <row r="7604" ht="15" customHeight="1">
      <c r="A7604" t="inlineStr">
        <is>
          <t>A 54484-2025</t>
        </is>
      </c>
      <c r="B7604" s="1" t="n">
        <v>45965</v>
      </c>
      <c r="C7604" s="1" t="n">
        <v>46093</v>
      </c>
      <c r="D7604" t="inlineStr">
        <is>
          <t>VÄSTERNORRLANDS LÄN</t>
        </is>
      </c>
      <c r="E7604" t="inlineStr">
        <is>
          <t>ÖRNSKÖLDSVIK</t>
        </is>
      </c>
      <c r="G7604" t="n">
        <v>6.7</v>
      </c>
      <c r="H7604" t="n">
        <v>0</v>
      </c>
      <c r="I7604" t="n">
        <v>0</v>
      </c>
      <c r="J7604" t="n">
        <v>0</v>
      </c>
      <c r="K7604" t="n">
        <v>0</v>
      </c>
      <c r="L7604" t="n">
        <v>0</v>
      </c>
      <c r="M7604" t="n">
        <v>0</v>
      </c>
      <c r="N7604" t="n">
        <v>0</v>
      </c>
      <c r="O7604" t="n">
        <v>0</v>
      </c>
      <c r="P7604" t="n">
        <v>0</v>
      </c>
      <c r="Q7604" t="n">
        <v>0</v>
      </c>
      <c r="R7604" s="2" t="inlineStr"/>
    </row>
    <row r="7605" ht="15" customHeight="1">
      <c r="A7605" t="inlineStr">
        <is>
          <t>A 54500-2025</t>
        </is>
      </c>
      <c r="B7605" s="1" t="n">
        <v>45965</v>
      </c>
      <c r="C7605" s="1" t="n">
        <v>46093</v>
      </c>
      <c r="D7605" t="inlineStr">
        <is>
          <t>VÄSTERNORRLANDS LÄN</t>
        </is>
      </c>
      <c r="E7605" t="inlineStr">
        <is>
          <t>ÖRNSKÖLDSVIK</t>
        </is>
      </c>
      <c r="G7605" t="n">
        <v>5.4</v>
      </c>
      <c r="H7605" t="n">
        <v>0</v>
      </c>
      <c r="I7605" t="n">
        <v>0</v>
      </c>
      <c r="J7605" t="n">
        <v>0</v>
      </c>
      <c r="K7605" t="n">
        <v>0</v>
      </c>
      <c r="L7605" t="n">
        <v>0</v>
      </c>
      <c r="M7605" t="n">
        <v>0</v>
      </c>
      <c r="N7605" t="n">
        <v>0</v>
      </c>
      <c r="O7605" t="n">
        <v>0</v>
      </c>
      <c r="P7605" t="n">
        <v>0</v>
      </c>
      <c r="Q7605" t="n">
        <v>0</v>
      </c>
      <c r="R7605" s="2" t="inlineStr"/>
    </row>
    <row r="7606" ht="15" customHeight="1">
      <c r="A7606" t="inlineStr">
        <is>
          <t>A 54816-2025</t>
        </is>
      </c>
      <c r="B7606" s="1" t="n">
        <v>45966.65668981482</v>
      </c>
      <c r="C7606" s="1" t="n">
        <v>46093</v>
      </c>
      <c r="D7606" t="inlineStr">
        <is>
          <t>VÄSTERNORRLANDS LÄN</t>
        </is>
      </c>
      <c r="E7606" t="inlineStr">
        <is>
          <t>SOLLEFTEÅ</t>
        </is>
      </c>
      <c r="F7606" t="inlineStr">
        <is>
          <t>SCA</t>
        </is>
      </c>
      <c r="G7606" t="n">
        <v>11.7</v>
      </c>
      <c r="H7606" t="n">
        <v>0</v>
      </c>
      <c r="I7606" t="n">
        <v>0</v>
      </c>
      <c r="J7606" t="n">
        <v>0</v>
      </c>
      <c r="K7606" t="n">
        <v>0</v>
      </c>
      <c r="L7606" t="n">
        <v>0</v>
      </c>
      <c r="M7606" t="n">
        <v>0</v>
      </c>
      <c r="N7606" t="n">
        <v>0</v>
      </c>
      <c r="O7606" t="n">
        <v>0</v>
      </c>
      <c r="P7606" t="n">
        <v>0</v>
      </c>
      <c r="Q7606" t="n">
        <v>0</v>
      </c>
      <c r="R7606" s="2" t="inlineStr"/>
    </row>
    <row r="7607" ht="15" customHeight="1">
      <c r="A7607" t="inlineStr">
        <is>
          <t>A 38283-2025</t>
        </is>
      </c>
      <c r="B7607" s="1" t="n">
        <v>45883.42740740741</v>
      </c>
      <c r="C7607" s="1" t="n">
        <v>46093</v>
      </c>
      <c r="D7607" t="inlineStr">
        <is>
          <t>VÄSTERNORRLANDS LÄN</t>
        </is>
      </c>
      <c r="E7607" t="inlineStr">
        <is>
          <t>ÅNGE</t>
        </is>
      </c>
      <c r="F7607" t="inlineStr">
        <is>
          <t>SCA</t>
        </is>
      </c>
      <c r="G7607" t="n">
        <v>0.6</v>
      </c>
      <c r="H7607" t="n">
        <v>0</v>
      </c>
      <c r="I7607" t="n">
        <v>0</v>
      </c>
      <c r="J7607" t="n">
        <v>0</v>
      </c>
      <c r="K7607" t="n">
        <v>0</v>
      </c>
      <c r="L7607" t="n">
        <v>0</v>
      </c>
      <c r="M7607" t="n">
        <v>0</v>
      </c>
      <c r="N7607" t="n">
        <v>0</v>
      </c>
      <c r="O7607" t="n">
        <v>0</v>
      </c>
      <c r="P7607" t="n">
        <v>0</v>
      </c>
      <c r="Q7607" t="n">
        <v>0</v>
      </c>
      <c r="R7607" s="2" t="inlineStr"/>
    </row>
    <row r="7608" ht="15" customHeight="1">
      <c r="A7608" t="inlineStr">
        <is>
          <t>A 54620-2025</t>
        </is>
      </c>
      <c r="B7608" s="1" t="n">
        <v>45966.34483796296</v>
      </c>
      <c r="C7608" s="1" t="n">
        <v>46093</v>
      </c>
      <c r="D7608" t="inlineStr">
        <is>
          <t>VÄSTERNORRLANDS LÄN</t>
        </is>
      </c>
      <c r="E7608" t="inlineStr">
        <is>
          <t>ÖRNSKÖLDSVIK</t>
        </is>
      </c>
      <c r="F7608" t="inlineStr">
        <is>
          <t>SCA</t>
        </is>
      </c>
      <c r="G7608" t="n">
        <v>2.6</v>
      </c>
      <c r="H7608" t="n">
        <v>0</v>
      </c>
      <c r="I7608" t="n">
        <v>0</v>
      </c>
      <c r="J7608" t="n">
        <v>0</v>
      </c>
      <c r="K7608" t="n">
        <v>0</v>
      </c>
      <c r="L7608" t="n">
        <v>0</v>
      </c>
      <c r="M7608" t="n">
        <v>0</v>
      </c>
      <c r="N7608" t="n">
        <v>0</v>
      </c>
      <c r="O7608" t="n">
        <v>0</v>
      </c>
      <c r="P7608" t="n">
        <v>0</v>
      </c>
      <c r="Q7608" t="n">
        <v>0</v>
      </c>
      <c r="R7608" s="2" t="inlineStr"/>
    </row>
    <row r="7609" ht="15" customHeight="1">
      <c r="A7609" t="inlineStr">
        <is>
          <t>A 56356-2023</t>
        </is>
      </c>
      <c r="B7609" s="1" t="n">
        <v>45236</v>
      </c>
      <c r="C7609" s="1" t="n">
        <v>46093</v>
      </c>
      <c r="D7609" t="inlineStr">
        <is>
          <t>VÄSTERNORRLANDS LÄN</t>
        </is>
      </c>
      <c r="E7609" t="inlineStr">
        <is>
          <t>SOLLEFTEÅ</t>
        </is>
      </c>
      <c r="G7609" t="n">
        <v>1.8</v>
      </c>
      <c r="H7609" t="n">
        <v>0</v>
      </c>
      <c r="I7609" t="n">
        <v>0</v>
      </c>
      <c r="J7609" t="n">
        <v>0</v>
      </c>
      <c r="K7609" t="n">
        <v>0</v>
      </c>
      <c r="L7609" t="n">
        <v>0</v>
      </c>
      <c r="M7609" t="n">
        <v>0</v>
      </c>
      <c r="N7609" t="n">
        <v>0</v>
      </c>
      <c r="O7609" t="n">
        <v>0</v>
      </c>
      <c r="P7609" t="n">
        <v>0</v>
      </c>
      <c r="Q7609" t="n">
        <v>0</v>
      </c>
      <c r="R7609" s="2" t="inlineStr"/>
    </row>
    <row r="7610" ht="15" customHeight="1">
      <c r="A7610" t="inlineStr">
        <is>
          <t>A 22102-2024</t>
        </is>
      </c>
      <c r="B7610" s="1" t="n">
        <v>45443.95085648148</v>
      </c>
      <c r="C7610" s="1" t="n">
        <v>46093</v>
      </c>
      <c r="D7610" t="inlineStr">
        <is>
          <t>VÄSTERNORRLANDS LÄN</t>
        </is>
      </c>
      <c r="E7610" t="inlineStr">
        <is>
          <t>SUNDSVALL</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69296-2021</t>
        </is>
      </c>
      <c r="B7611" s="1" t="n">
        <v>44531.45909722222</v>
      </c>
      <c r="C7611" s="1" t="n">
        <v>46093</v>
      </c>
      <c r="D7611" t="inlineStr">
        <is>
          <t>VÄSTERNORRLANDS LÄN</t>
        </is>
      </c>
      <c r="E7611" t="inlineStr">
        <is>
          <t>ÖRNSKÖLDSVIK</t>
        </is>
      </c>
      <c r="F7611" t="inlineStr">
        <is>
          <t>Holmen skog AB</t>
        </is>
      </c>
      <c r="G7611" t="n">
        <v>3.1</v>
      </c>
      <c r="H7611" t="n">
        <v>0</v>
      </c>
      <c r="I7611" t="n">
        <v>0</v>
      </c>
      <c r="J7611" t="n">
        <v>0</v>
      </c>
      <c r="K7611" t="n">
        <v>0</v>
      </c>
      <c r="L7611" t="n">
        <v>0</v>
      </c>
      <c r="M7611" t="n">
        <v>0</v>
      </c>
      <c r="N7611" t="n">
        <v>0</v>
      </c>
      <c r="O7611" t="n">
        <v>0</v>
      </c>
      <c r="P7611" t="n">
        <v>0</v>
      </c>
      <c r="Q7611" t="n">
        <v>0</v>
      </c>
      <c r="R7611" s="2" t="inlineStr"/>
    </row>
    <row r="7612" ht="15" customHeight="1">
      <c r="A7612" t="inlineStr">
        <is>
          <t>A 54539-2025</t>
        </is>
      </c>
      <c r="B7612" s="1" t="n">
        <v>45965.64638888889</v>
      </c>
      <c r="C7612" s="1" t="n">
        <v>46093</v>
      </c>
      <c r="D7612" t="inlineStr">
        <is>
          <t>VÄSTERNORRLANDS LÄN</t>
        </is>
      </c>
      <c r="E7612" t="inlineStr">
        <is>
          <t>ÖRNSKÖLDSVIK</t>
        </is>
      </c>
      <c r="F7612" t="inlineStr">
        <is>
          <t>Holmen skog AB</t>
        </is>
      </c>
      <c r="G7612" t="n">
        <v>6.1</v>
      </c>
      <c r="H7612" t="n">
        <v>0</v>
      </c>
      <c r="I7612" t="n">
        <v>0</v>
      </c>
      <c r="J7612" t="n">
        <v>0</v>
      </c>
      <c r="K7612" t="n">
        <v>0</v>
      </c>
      <c r="L7612" t="n">
        <v>0</v>
      </c>
      <c r="M7612" t="n">
        <v>0</v>
      </c>
      <c r="N7612" t="n">
        <v>0</v>
      </c>
      <c r="O7612" t="n">
        <v>0</v>
      </c>
      <c r="P7612" t="n">
        <v>0</v>
      </c>
      <c r="Q7612" t="n">
        <v>0</v>
      </c>
      <c r="R7612" s="2" t="inlineStr"/>
    </row>
    <row r="7613" ht="15" customHeight="1">
      <c r="A7613" t="inlineStr">
        <is>
          <t>A 7014-2025</t>
        </is>
      </c>
      <c r="B7613" s="1" t="n">
        <v>45701.61085648148</v>
      </c>
      <c r="C7613" s="1" t="n">
        <v>46093</v>
      </c>
      <c r="D7613" t="inlineStr">
        <is>
          <t>VÄSTERNORRLANDS LÄN</t>
        </is>
      </c>
      <c r="E7613" t="inlineStr">
        <is>
          <t>SOLLEFTEÅ</t>
        </is>
      </c>
      <c r="G7613" t="n">
        <v>9.6</v>
      </c>
      <c r="H7613" t="n">
        <v>0</v>
      </c>
      <c r="I7613" t="n">
        <v>0</v>
      </c>
      <c r="J7613" t="n">
        <v>0</v>
      </c>
      <c r="K7613" t="n">
        <v>0</v>
      </c>
      <c r="L7613" t="n">
        <v>0</v>
      </c>
      <c r="M7613" t="n">
        <v>0</v>
      </c>
      <c r="N7613" t="n">
        <v>0</v>
      </c>
      <c r="O7613" t="n">
        <v>0</v>
      </c>
      <c r="P7613" t="n">
        <v>0</v>
      </c>
      <c r="Q7613" t="n">
        <v>0</v>
      </c>
      <c r="R7613" s="2" t="inlineStr"/>
    </row>
    <row r="7614" ht="15" customHeight="1">
      <c r="A7614" t="inlineStr">
        <is>
          <t>A 28366-2023</t>
        </is>
      </c>
      <c r="B7614" s="1" t="n">
        <v>45099</v>
      </c>
      <c r="C7614" s="1" t="n">
        <v>46093</v>
      </c>
      <c r="D7614" t="inlineStr">
        <is>
          <t>VÄSTERNORRLANDS LÄN</t>
        </is>
      </c>
      <c r="E7614" t="inlineStr">
        <is>
          <t>SOLLEFTEÅ</t>
        </is>
      </c>
      <c r="F7614" t="inlineStr">
        <is>
          <t>SCA</t>
        </is>
      </c>
      <c r="G7614" t="n">
        <v>8.1</v>
      </c>
      <c r="H7614" t="n">
        <v>0</v>
      </c>
      <c r="I7614" t="n">
        <v>0</v>
      </c>
      <c r="J7614" t="n">
        <v>0</v>
      </c>
      <c r="K7614" t="n">
        <v>0</v>
      </c>
      <c r="L7614" t="n">
        <v>0</v>
      </c>
      <c r="M7614" t="n">
        <v>0</v>
      </c>
      <c r="N7614" t="n">
        <v>0</v>
      </c>
      <c r="O7614" t="n">
        <v>0</v>
      </c>
      <c r="P7614" t="n">
        <v>0</v>
      </c>
      <c r="Q7614" t="n">
        <v>0</v>
      </c>
      <c r="R7614" s="2" t="inlineStr"/>
    </row>
    <row r="7615" ht="15" customHeight="1">
      <c r="A7615" t="inlineStr">
        <is>
          <t>A 54346-2025</t>
        </is>
      </c>
      <c r="B7615" s="1" t="n">
        <v>45965.36525462963</v>
      </c>
      <c r="C7615" s="1" t="n">
        <v>46093</v>
      </c>
      <c r="D7615" t="inlineStr">
        <is>
          <t>VÄSTERNORRLANDS LÄN</t>
        </is>
      </c>
      <c r="E7615" t="inlineStr">
        <is>
          <t>ÅNGE</t>
        </is>
      </c>
      <c r="F7615" t="inlineStr">
        <is>
          <t>SCA</t>
        </is>
      </c>
      <c r="G7615" t="n">
        <v>2</v>
      </c>
      <c r="H7615" t="n">
        <v>0</v>
      </c>
      <c r="I7615" t="n">
        <v>0</v>
      </c>
      <c r="J7615" t="n">
        <v>0</v>
      </c>
      <c r="K7615" t="n">
        <v>0</v>
      </c>
      <c r="L7615" t="n">
        <v>0</v>
      </c>
      <c r="M7615" t="n">
        <v>0</v>
      </c>
      <c r="N7615" t="n">
        <v>0</v>
      </c>
      <c r="O7615" t="n">
        <v>0</v>
      </c>
      <c r="P7615" t="n">
        <v>0</v>
      </c>
      <c r="Q7615" t="n">
        <v>0</v>
      </c>
      <c r="R7615" s="2" t="inlineStr"/>
    </row>
    <row r="7616" ht="15" customHeight="1">
      <c r="A7616" t="inlineStr">
        <is>
          <t>A 54347-2025</t>
        </is>
      </c>
      <c r="B7616" s="1" t="n">
        <v>45965.36548611111</v>
      </c>
      <c r="C7616" s="1" t="n">
        <v>46093</v>
      </c>
      <c r="D7616" t="inlineStr">
        <is>
          <t>VÄSTERNORRLANDS LÄN</t>
        </is>
      </c>
      <c r="E7616" t="inlineStr">
        <is>
          <t>TIMRÅ</t>
        </is>
      </c>
      <c r="F7616" t="inlineStr">
        <is>
          <t>SCA</t>
        </is>
      </c>
      <c r="G7616" t="n">
        <v>11.6</v>
      </c>
      <c r="H7616" t="n">
        <v>0</v>
      </c>
      <c r="I7616" t="n">
        <v>0</v>
      </c>
      <c r="J7616" t="n">
        <v>0</v>
      </c>
      <c r="K7616" t="n">
        <v>0</v>
      </c>
      <c r="L7616" t="n">
        <v>0</v>
      </c>
      <c r="M7616" t="n">
        <v>0</v>
      </c>
      <c r="N7616" t="n">
        <v>0</v>
      </c>
      <c r="O7616" t="n">
        <v>0</v>
      </c>
      <c r="P7616" t="n">
        <v>0</v>
      </c>
      <c r="Q7616" t="n">
        <v>0</v>
      </c>
      <c r="R7616" s="2" t="inlineStr"/>
    </row>
    <row r="7617" ht="15" customHeight="1">
      <c r="A7617" t="inlineStr">
        <is>
          <t>A 28373-2023</t>
        </is>
      </c>
      <c r="B7617" s="1" t="n">
        <v>45099.95390046296</v>
      </c>
      <c r="C7617" s="1" t="n">
        <v>46093</v>
      </c>
      <c r="D7617" t="inlineStr">
        <is>
          <t>VÄSTERNORRLANDS LÄN</t>
        </is>
      </c>
      <c r="E7617" t="inlineStr">
        <is>
          <t>TIMRÅ</t>
        </is>
      </c>
      <c r="F7617" t="inlineStr">
        <is>
          <t>SCA</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54854-2025</t>
        </is>
      </c>
      <c r="B7618" s="1" t="n">
        <v>45966</v>
      </c>
      <c r="C7618" s="1" t="n">
        <v>46093</v>
      </c>
      <c r="D7618" t="inlineStr">
        <is>
          <t>VÄSTERNORRLANDS LÄN</t>
        </is>
      </c>
      <c r="E7618" t="inlineStr">
        <is>
          <t>SUNDSVALL</t>
        </is>
      </c>
      <c r="G7618" t="n">
        <v>2.2</v>
      </c>
      <c r="H7618" t="n">
        <v>0</v>
      </c>
      <c r="I7618" t="n">
        <v>0</v>
      </c>
      <c r="J7618" t="n">
        <v>0</v>
      </c>
      <c r="K7618" t="n">
        <v>0</v>
      </c>
      <c r="L7618" t="n">
        <v>0</v>
      </c>
      <c r="M7618" t="n">
        <v>0</v>
      </c>
      <c r="N7618" t="n">
        <v>0</v>
      </c>
      <c r="O7618" t="n">
        <v>0</v>
      </c>
      <c r="P7618" t="n">
        <v>0</v>
      </c>
      <c r="Q7618" t="n">
        <v>0</v>
      </c>
      <c r="R7618" s="2" t="inlineStr"/>
    </row>
    <row r="7619" ht="15" customHeight="1">
      <c r="A7619" t="inlineStr">
        <is>
          <t>A 58936-2024</t>
        </is>
      </c>
      <c r="B7619" s="1" t="n">
        <v>45636</v>
      </c>
      <c r="C7619" s="1" t="n">
        <v>46093</v>
      </c>
      <c r="D7619" t="inlineStr">
        <is>
          <t>VÄSTERNORRLANDS LÄN</t>
        </is>
      </c>
      <c r="E7619" t="inlineStr">
        <is>
          <t>ÖRNSKÖLDSVIK</t>
        </is>
      </c>
      <c r="G7619" t="n">
        <v>7.3</v>
      </c>
      <c r="H7619" t="n">
        <v>0</v>
      </c>
      <c r="I7619" t="n">
        <v>0</v>
      </c>
      <c r="J7619" t="n">
        <v>0</v>
      </c>
      <c r="K7619" t="n">
        <v>0</v>
      </c>
      <c r="L7619" t="n">
        <v>0</v>
      </c>
      <c r="M7619" t="n">
        <v>0</v>
      </c>
      <c r="N7619" t="n">
        <v>0</v>
      </c>
      <c r="O7619" t="n">
        <v>0</v>
      </c>
      <c r="P7619" t="n">
        <v>0</v>
      </c>
      <c r="Q7619" t="n">
        <v>0</v>
      </c>
      <c r="R7619" s="2" t="inlineStr"/>
    </row>
    <row r="7620" ht="15" customHeight="1">
      <c r="A7620" t="inlineStr">
        <is>
          <t>A 58994-2024</t>
        </is>
      </c>
      <c r="B7620" s="1" t="n">
        <v>45636.63717592593</v>
      </c>
      <c r="C7620" s="1" t="n">
        <v>46093</v>
      </c>
      <c r="D7620" t="inlineStr">
        <is>
          <t>VÄSTERNORRLANDS LÄN</t>
        </is>
      </c>
      <c r="E7620" t="inlineStr">
        <is>
          <t>SOLLEFTEÅ</t>
        </is>
      </c>
      <c r="G7620" t="n">
        <v>2.6</v>
      </c>
      <c r="H7620" t="n">
        <v>0</v>
      </c>
      <c r="I7620" t="n">
        <v>0</v>
      </c>
      <c r="J7620" t="n">
        <v>0</v>
      </c>
      <c r="K7620" t="n">
        <v>0</v>
      </c>
      <c r="L7620" t="n">
        <v>0</v>
      </c>
      <c r="M7620" t="n">
        <v>0</v>
      </c>
      <c r="N7620" t="n">
        <v>0</v>
      </c>
      <c r="O7620" t="n">
        <v>0</v>
      </c>
      <c r="P7620" t="n">
        <v>0</v>
      </c>
      <c r="Q7620" t="n">
        <v>0</v>
      </c>
      <c r="R7620" s="2" t="inlineStr"/>
    </row>
    <row r="7621" ht="15" customHeight="1">
      <c r="A7621" t="inlineStr">
        <is>
          <t>A 8531-2025</t>
        </is>
      </c>
      <c r="B7621" s="1" t="n">
        <v>45709.5850462963</v>
      </c>
      <c r="C7621" s="1" t="n">
        <v>46093</v>
      </c>
      <c r="D7621" t="inlineStr">
        <is>
          <t>VÄSTERNORRLANDS LÄN</t>
        </is>
      </c>
      <c r="E7621" t="inlineStr">
        <is>
          <t>SUNDSVALL</t>
        </is>
      </c>
      <c r="G7621" t="n">
        <v>6.5</v>
      </c>
      <c r="H7621" t="n">
        <v>0</v>
      </c>
      <c r="I7621" t="n">
        <v>0</v>
      </c>
      <c r="J7621" t="n">
        <v>0</v>
      </c>
      <c r="K7621" t="n">
        <v>0</v>
      </c>
      <c r="L7621" t="n">
        <v>0</v>
      </c>
      <c r="M7621" t="n">
        <v>0</v>
      </c>
      <c r="N7621" t="n">
        <v>0</v>
      </c>
      <c r="O7621" t="n">
        <v>0</v>
      </c>
      <c r="P7621" t="n">
        <v>0</v>
      </c>
      <c r="Q7621" t="n">
        <v>0</v>
      </c>
      <c r="R7621" s="2" t="inlineStr"/>
    </row>
    <row r="7622" ht="15" customHeight="1">
      <c r="A7622" t="inlineStr">
        <is>
          <t>A 18987-2022</t>
        </is>
      </c>
      <c r="B7622" s="1" t="n">
        <v>44690.92653935185</v>
      </c>
      <c r="C7622" s="1" t="n">
        <v>46093</v>
      </c>
      <c r="D7622" t="inlineStr">
        <is>
          <t>VÄSTERNORRLANDS LÄN</t>
        </is>
      </c>
      <c r="E7622" t="inlineStr">
        <is>
          <t>SUNDSVALL</t>
        </is>
      </c>
      <c r="G7622" t="n">
        <v>2.3</v>
      </c>
      <c r="H7622" t="n">
        <v>0</v>
      </c>
      <c r="I7622" t="n">
        <v>0</v>
      </c>
      <c r="J7622" t="n">
        <v>0</v>
      </c>
      <c r="K7622" t="n">
        <v>0</v>
      </c>
      <c r="L7622" t="n">
        <v>0</v>
      </c>
      <c r="M7622" t="n">
        <v>0</v>
      </c>
      <c r="N7622" t="n">
        <v>0</v>
      </c>
      <c r="O7622" t="n">
        <v>0</v>
      </c>
      <c r="P7622" t="n">
        <v>0</v>
      </c>
      <c r="Q7622" t="n">
        <v>0</v>
      </c>
      <c r="R7622" s="2" t="inlineStr"/>
    </row>
    <row r="7623" ht="15" customHeight="1">
      <c r="A7623" t="inlineStr">
        <is>
          <t>A 27847-2023</t>
        </is>
      </c>
      <c r="B7623" s="1" t="n">
        <v>45098.5552662037</v>
      </c>
      <c r="C7623" s="1" t="n">
        <v>46093</v>
      </c>
      <c r="D7623" t="inlineStr">
        <is>
          <t>VÄSTERNORRLANDS LÄN</t>
        </is>
      </c>
      <c r="E7623" t="inlineStr">
        <is>
          <t>ÖRNSKÖLDSVIK</t>
        </is>
      </c>
      <c r="G7623" t="n">
        <v>5</v>
      </c>
      <c r="H7623" t="n">
        <v>0</v>
      </c>
      <c r="I7623" t="n">
        <v>0</v>
      </c>
      <c r="J7623" t="n">
        <v>0</v>
      </c>
      <c r="K7623" t="n">
        <v>0</v>
      </c>
      <c r="L7623" t="n">
        <v>0</v>
      </c>
      <c r="M7623" t="n">
        <v>0</v>
      </c>
      <c r="N7623" t="n">
        <v>0</v>
      </c>
      <c r="O7623" t="n">
        <v>0</v>
      </c>
      <c r="P7623" t="n">
        <v>0</v>
      </c>
      <c r="Q7623" t="n">
        <v>0</v>
      </c>
      <c r="R7623" s="2" t="inlineStr"/>
    </row>
    <row r="7624" ht="15" customHeight="1">
      <c r="A7624" t="inlineStr">
        <is>
          <t>A 34015-2021</t>
        </is>
      </c>
      <c r="B7624" s="1" t="n">
        <v>44379</v>
      </c>
      <c r="C7624" s="1" t="n">
        <v>46093</v>
      </c>
      <c r="D7624" t="inlineStr">
        <is>
          <t>VÄSTERNORRLANDS LÄN</t>
        </is>
      </c>
      <c r="E7624" t="inlineStr">
        <is>
          <t>ÖRNSKÖLDSVIK</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34035-2021</t>
        </is>
      </c>
      <c r="B7625" s="1" t="n">
        <v>44378</v>
      </c>
      <c r="C7625" s="1" t="n">
        <v>46093</v>
      </c>
      <c r="D7625" t="inlineStr">
        <is>
          <t>VÄSTERNORRLANDS LÄN</t>
        </is>
      </c>
      <c r="E7625" t="inlineStr">
        <is>
          <t>TIMRÅ</t>
        </is>
      </c>
      <c r="G7625" t="n">
        <v>4</v>
      </c>
      <c r="H7625" t="n">
        <v>0</v>
      </c>
      <c r="I7625" t="n">
        <v>0</v>
      </c>
      <c r="J7625" t="n">
        <v>0</v>
      </c>
      <c r="K7625" t="n">
        <v>0</v>
      </c>
      <c r="L7625" t="n">
        <v>0</v>
      </c>
      <c r="M7625" t="n">
        <v>0</v>
      </c>
      <c r="N7625" t="n">
        <v>0</v>
      </c>
      <c r="O7625" t="n">
        <v>0</v>
      </c>
      <c r="P7625" t="n">
        <v>0</v>
      </c>
      <c r="Q7625" t="n">
        <v>0</v>
      </c>
      <c r="R7625" s="2" t="inlineStr"/>
    </row>
    <row r="7626" ht="15" customHeight="1">
      <c r="A7626" t="inlineStr">
        <is>
          <t>A 40572-2021</t>
        </is>
      </c>
      <c r="B7626" s="1" t="n">
        <v>44420</v>
      </c>
      <c r="C7626" s="1" t="n">
        <v>46093</v>
      </c>
      <c r="D7626" t="inlineStr">
        <is>
          <t>VÄSTERNORRLANDS LÄN</t>
        </is>
      </c>
      <c r="E7626" t="inlineStr">
        <is>
          <t>ÖRNSKÖLDSVIK</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30353-2024</t>
        </is>
      </c>
      <c r="B7627" s="1" t="n">
        <v>45490.95567129629</v>
      </c>
      <c r="C7627" s="1" t="n">
        <v>46093</v>
      </c>
      <c r="D7627" t="inlineStr">
        <is>
          <t>VÄSTERNORRLANDS LÄN</t>
        </is>
      </c>
      <c r="E7627" t="inlineStr">
        <is>
          <t>ÅNGE</t>
        </is>
      </c>
      <c r="F7627" t="inlineStr">
        <is>
          <t>SCA</t>
        </is>
      </c>
      <c r="G7627" t="n">
        <v>4.6</v>
      </c>
      <c r="H7627" t="n">
        <v>0</v>
      </c>
      <c r="I7627" t="n">
        <v>0</v>
      </c>
      <c r="J7627" t="n">
        <v>0</v>
      </c>
      <c r="K7627" t="n">
        <v>0</v>
      </c>
      <c r="L7627" t="n">
        <v>0</v>
      </c>
      <c r="M7627" t="n">
        <v>0</v>
      </c>
      <c r="N7627" t="n">
        <v>0</v>
      </c>
      <c r="O7627" t="n">
        <v>0</v>
      </c>
      <c r="P7627" t="n">
        <v>0</v>
      </c>
      <c r="Q7627" t="n">
        <v>0</v>
      </c>
      <c r="R7627" s="2" t="inlineStr"/>
    </row>
    <row r="7628" ht="15" customHeight="1">
      <c r="A7628" t="inlineStr">
        <is>
          <t>A 51519-2025</t>
        </is>
      </c>
      <c r="B7628" s="1" t="n">
        <v>45950</v>
      </c>
      <c r="C7628" s="1" t="n">
        <v>46093</v>
      </c>
      <c r="D7628" t="inlineStr">
        <is>
          <t>VÄSTERNORRLANDS LÄN</t>
        </is>
      </c>
      <c r="E7628" t="inlineStr">
        <is>
          <t>KRAMFORS</t>
        </is>
      </c>
      <c r="G7628" t="n">
        <v>14.9</v>
      </c>
      <c r="H7628" t="n">
        <v>0</v>
      </c>
      <c r="I7628" t="n">
        <v>0</v>
      </c>
      <c r="J7628" t="n">
        <v>0</v>
      </c>
      <c r="K7628" t="n">
        <v>0</v>
      </c>
      <c r="L7628" t="n">
        <v>0</v>
      </c>
      <c r="M7628" t="n">
        <v>0</v>
      </c>
      <c r="N7628" t="n">
        <v>0</v>
      </c>
      <c r="O7628" t="n">
        <v>0</v>
      </c>
      <c r="P7628" t="n">
        <v>0</v>
      </c>
      <c r="Q7628" t="n">
        <v>0</v>
      </c>
      <c r="R7628" s="2" t="inlineStr"/>
    </row>
    <row r="7629" ht="15" customHeight="1">
      <c r="A7629" t="inlineStr">
        <is>
          <t>A 54947-2025</t>
        </is>
      </c>
      <c r="B7629" s="1" t="n">
        <v>45967.4485300926</v>
      </c>
      <c r="C7629" s="1" t="n">
        <v>46093</v>
      </c>
      <c r="D7629" t="inlineStr">
        <is>
          <t>VÄSTERNORRLANDS LÄN</t>
        </is>
      </c>
      <c r="E7629" t="inlineStr">
        <is>
          <t>SOLLEFTEÅ</t>
        </is>
      </c>
      <c r="F7629" t="inlineStr">
        <is>
          <t>SCA</t>
        </is>
      </c>
      <c r="G7629" t="n">
        <v>9.800000000000001</v>
      </c>
      <c r="H7629" t="n">
        <v>0</v>
      </c>
      <c r="I7629" t="n">
        <v>0</v>
      </c>
      <c r="J7629" t="n">
        <v>0</v>
      </c>
      <c r="K7629" t="n">
        <v>0</v>
      </c>
      <c r="L7629" t="n">
        <v>0</v>
      </c>
      <c r="M7629" t="n">
        <v>0</v>
      </c>
      <c r="N7629" t="n">
        <v>0</v>
      </c>
      <c r="O7629" t="n">
        <v>0</v>
      </c>
      <c r="P7629" t="n">
        <v>0</v>
      </c>
      <c r="Q7629" t="n">
        <v>0</v>
      </c>
      <c r="R7629" s="2" t="inlineStr"/>
    </row>
    <row r="7630" ht="15" customHeight="1">
      <c r="A7630" t="inlineStr">
        <is>
          <t>A 45334-2024</t>
        </is>
      </c>
      <c r="B7630" s="1" t="n">
        <v>45576</v>
      </c>
      <c r="C7630" s="1" t="n">
        <v>46093</v>
      </c>
      <c r="D7630" t="inlineStr">
        <is>
          <t>VÄSTERNORRLANDS LÄN</t>
        </is>
      </c>
      <c r="E7630" t="inlineStr">
        <is>
          <t>SOLLEFTEÅ</t>
        </is>
      </c>
      <c r="F7630" t="inlineStr">
        <is>
          <t>SCA</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55026-2025</t>
        </is>
      </c>
      <c r="B7631" s="1" t="n">
        <v>45967</v>
      </c>
      <c r="C7631" s="1" t="n">
        <v>46093</v>
      </c>
      <c r="D7631" t="inlineStr">
        <is>
          <t>VÄSTERNORRLANDS LÄN</t>
        </is>
      </c>
      <c r="E7631" t="inlineStr">
        <is>
          <t>SUNDSVALL</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26337-2022</t>
        </is>
      </c>
      <c r="B7632" s="1" t="n">
        <v>44735</v>
      </c>
      <c r="C7632" s="1" t="n">
        <v>46093</v>
      </c>
      <c r="D7632" t="inlineStr">
        <is>
          <t>VÄSTERNORRLANDS LÄN</t>
        </is>
      </c>
      <c r="E7632" t="inlineStr">
        <is>
          <t>SUNDSVALL</t>
        </is>
      </c>
      <c r="F7632" t="inlineStr">
        <is>
          <t>Holmen skog AB</t>
        </is>
      </c>
      <c r="G7632" t="n">
        <v>4.4</v>
      </c>
      <c r="H7632" t="n">
        <v>0</v>
      </c>
      <c r="I7632" t="n">
        <v>0</v>
      </c>
      <c r="J7632" t="n">
        <v>0</v>
      </c>
      <c r="K7632" t="n">
        <v>0</v>
      </c>
      <c r="L7632" t="n">
        <v>0</v>
      </c>
      <c r="M7632" t="n">
        <v>0</v>
      </c>
      <c r="N7632" t="n">
        <v>0</v>
      </c>
      <c r="O7632" t="n">
        <v>0</v>
      </c>
      <c r="P7632" t="n">
        <v>0</v>
      </c>
      <c r="Q7632" t="n">
        <v>0</v>
      </c>
      <c r="R7632" s="2" t="inlineStr"/>
    </row>
    <row r="7633" ht="15" customHeight="1">
      <c r="A7633" t="inlineStr">
        <is>
          <t>A 8227-2023</t>
        </is>
      </c>
      <c r="B7633" s="1" t="n">
        <v>44971</v>
      </c>
      <c r="C7633" s="1" t="n">
        <v>46093</v>
      </c>
      <c r="D7633" t="inlineStr">
        <is>
          <t>VÄSTERNORRLANDS LÄN</t>
        </is>
      </c>
      <c r="E7633" t="inlineStr">
        <is>
          <t>ÖRNSKÖLDSVIK</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35217-2024</t>
        </is>
      </c>
      <c r="B7634" s="1" t="n">
        <v>45530</v>
      </c>
      <c r="C7634" s="1" t="n">
        <v>46093</v>
      </c>
      <c r="D7634" t="inlineStr">
        <is>
          <t>VÄSTERNORRLANDS LÄN</t>
        </is>
      </c>
      <c r="E7634" t="inlineStr">
        <is>
          <t>SOLLEFTEÅ</t>
        </is>
      </c>
      <c r="F7634" t="inlineStr">
        <is>
          <t>Kommuner</t>
        </is>
      </c>
      <c r="G7634" t="n">
        <v>4.8</v>
      </c>
      <c r="H7634" t="n">
        <v>0</v>
      </c>
      <c r="I7634" t="n">
        <v>0</v>
      </c>
      <c r="J7634" t="n">
        <v>0</v>
      </c>
      <c r="K7634" t="n">
        <v>0</v>
      </c>
      <c r="L7634" t="n">
        <v>0</v>
      </c>
      <c r="M7634" t="n">
        <v>0</v>
      </c>
      <c r="N7634" t="n">
        <v>0</v>
      </c>
      <c r="O7634" t="n">
        <v>0</v>
      </c>
      <c r="P7634" t="n">
        <v>0</v>
      </c>
      <c r="Q7634" t="n">
        <v>0</v>
      </c>
      <c r="R7634" s="2" t="inlineStr"/>
    </row>
    <row r="7635" ht="15" customHeight="1">
      <c r="A7635" t="inlineStr">
        <is>
          <t>A 55053-2025</t>
        </is>
      </c>
      <c r="B7635" s="1" t="n">
        <v>45967.67755787037</v>
      </c>
      <c r="C7635" s="1" t="n">
        <v>46093</v>
      </c>
      <c r="D7635" t="inlineStr">
        <is>
          <t>VÄSTERNORRLANDS LÄN</t>
        </is>
      </c>
      <c r="E7635" t="inlineStr">
        <is>
          <t>SOLLEFTEÅ</t>
        </is>
      </c>
      <c r="F7635" t="inlineStr">
        <is>
          <t>SCA</t>
        </is>
      </c>
      <c r="G7635" t="n">
        <v>25</v>
      </c>
      <c r="H7635" t="n">
        <v>0</v>
      </c>
      <c r="I7635" t="n">
        <v>0</v>
      </c>
      <c r="J7635" t="n">
        <v>0</v>
      </c>
      <c r="K7635" t="n">
        <v>0</v>
      </c>
      <c r="L7635" t="n">
        <v>0</v>
      </c>
      <c r="M7635" t="n">
        <v>0</v>
      </c>
      <c r="N7635" t="n">
        <v>0</v>
      </c>
      <c r="O7635" t="n">
        <v>0</v>
      </c>
      <c r="P7635" t="n">
        <v>0</v>
      </c>
      <c r="Q7635" t="n">
        <v>0</v>
      </c>
      <c r="R7635" s="2" t="inlineStr"/>
    </row>
    <row r="7636" ht="15" customHeight="1">
      <c r="A7636" t="inlineStr">
        <is>
          <t>A 11881-2024</t>
        </is>
      </c>
      <c r="B7636" s="1" t="n">
        <v>45376</v>
      </c>
      <c r="C7636" s="1" t="n">
        <v>46093</v>
      </c>
      <c r="D7636" t="inlineStr">
        <is>
          <t>VÄSTERNORRLANDS LÄN</t>
        </is>
      </c>
      <c r="E7636" t="inlineStr">
        <is>
          <t>HÄRNÖSAND</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40434-2022</t>
        </is>
      </c>
      <c r="B7637" s="1" t="n">
        <v>44819</v>
      </c>
      <c r="C7637" s="1" t="n">
        <v>46093</v>
      </c>
      <c r="D7637" t="inlineStr">
        <is>
          <t>VÄSTERNORRLANDS LÄN</t>
        </is>
      </c>
      <c r="E7637" t="inlineStr">
        <is>
          <t>KRAMFORS</t>
        </is>
      </c>
      <c r="G7637" t="n">
        <v>3.4</v>
      </c>
      <c r="H7637" t="n">
        <v>0</v>
      </c>
      <c r="I7637" t="n">
        <v>0</v>
      </c>
      <c r="J7637" t="n">
        <v>0</v>
      </c>
      <c r="K7637" t="n">
        <v>0</v>
      </c>
      <c r="L7637" t="n">
        <v>0</v>
      </c>
      <c r="M7637" t="n">
        <v>0</v>
      </c>
      <c r="N7637" t="n">
        <v>0</v>
      </c>
      <c r="O7637" t="n">
        <v>0</v>
      </c>
      <c r="P7637" t="n">
        <v>0</v>
      </c>
      <c r="Q7637" t="n">
        <v>0</v>
      </c>
      <c r="R7637" s="2" t="inlineStr"/>
    </row>
    <row r="7638" ht="15" customHeight="1">
      <c r="A7638" t="inlineStr">
        <is>
          <t>A 7938-2022</t>
        </is>
      </c>
      <c r="B7638" s="1" t="n">
        <v>44608</v>
      </c>
      <c r="C7638" s="1" t="n">
        <v>46093</v>
      </c>
      <c r="D7638" t="inlineStr">
        <is>
          <t>VÄSTERNORRLANDS LÄN</t>
        </is>
      </c>
      <c r="E7638" t="inlineStr">
        <is>
          <t>KRAMFORS</t>
        </is>
      </c>
      <c r="G7638" t="n">
        <v>1.8</v>
      </c>
      <c r="H7638" t="n">
        <v>0</v>
      </c>
      <c r="I7638" t="n">
        <v>0</v>
      </c>
      <c r="J7638" t="n">
        <v>0</v>
      </c>
      <c r="K7638" t="n">
        <v>0</v>
      </c>
      <c r="L7638" t="n">
        <v>0</v>
      </c>
      <c r="M7638" t="n">
        <v>0</v>
      </c>
      <c r="N7638" t="n">
        <v>0</v>
      </c>
      <c r="O7638" t="n">
        <v>0</v>
      </c>
      <c r="P7638" t="n">
        <v>0</v>
      </c>
      <c r="Q7638" t="n">
        <v>0</v>
      </c>
      <c r="R7638" s="2" t="inlineStr"/>
    </row>
    <row r="7639" ht="15" customHeight="1">
      <c r="A7639" t="inlineStr">
        <is>
          <t>A 54903-2025</t>
        </is>
      </c>
      <c r="B7639" s="1" t="n">
        <v>45967.36623842592</v>
      </c>
      <c r="C7639" s="1" t="n">
        <v>46093</v>
      </c>
      <c r="D7639" t="inlineStr">
        <is>
          <t>VÄSTERNORRLANDS LÄN</t>
        </is>
      </c>
      <c r="E7639" t="inlineStr">
        <is>
          <t>SOLLEFTEÅ</t>
        </is>
      </c>
      <c r="F7639" t="inlineStr">
        <is>
          <t>SCA</t>
        </is>
      </c>
      <c r="G7639" t="n">
        <v>4.8</v>
      </c>
      <c r="H7639" t="n">
        <v>0</v>
      </c>
      <c r="I7639" t="n">
        <v>0</v>
      </c>
      <c r="J7639" t="n">
        <v>0</v>
      </c>
      <c r="K7639" t="n">
        <v>0</v>
      </c>
      <c r="L7639" t="n">
        <v>0</v>
      </c>
      <c r="M7639" t="n">
        <v>0</v>
      </c>
      <c r="N7639" t="n">
        <v>0</v>
      </c>
      <c r="O7639" t="n">
        <v>0</v>
      </c>
      <c r="P7639" t="n">
        <v>0</v>
      </c>
      <c r="Q7639" t="n">
        <v>0</v>
      </c>
      <c r="R7639" s="2" t="inlineStr"/>
    </row>
    <row r="7640" ht="15" customHeight="1">
      <c r="A7640" t="inlineStr">
        <is>
          <t>A 14720-2025</t>
        </is>
      </c>
      <c r="B7640" s="1" t="n">
        <v>45742.62204861111</v>
      </c>
      <c r="C7640" s="1" t="n">
        <v>46093</v>
      </c>
      <c r="D7640" t="inlineStr">
        <is>
          <t>VÄSTERNORRLANDS LÄN</t>
        </is>
      </c>
      <c r="E7640" t="inlineStr">
        <is>
          <t>ÖRNSKÖLDSVIK</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55160-2025</t>
        </is>
      </c>
      <c r="B7641" s="1" t="n">
        <v>45968.46930555555</v>
      </c>
      <c r="C7641" s="1" t="n">
        <v>46093</v>
      </c>
      <c r="D7641" t="inlineStr">
        <is>
          <t>VÄSTERNORRLANDS LÄN</t>
        </is>
      </c>
      <c r="E7641" t="inlineStr">
        <is>
          <t>ÅNGE</t>
        </is>
      </c>
      <c r="G7641" t="n">
        <v>6.8</v>
      </c>
      <c r="H7641" t="n">
        <v>0</v>
      </c>
      <c r="I7641" t="n">
        <v>0</v>
      </c>
      <c r="J7641" t="n">
        <v>0</v>
      </c>
      <c r="K7641" t="n">
        <v>0</v>
      </c>
      <c r="L7641" t="n">
        <v>0</v>
      </c>
      <c r="M7641" t="n">
        <v>0</v>
      </c>
      <c r="N7641" t="n">
        <v>0</v>
      </c>
      <c r="O7641" t="n">
        <v>0</v>
      </c>
      <c r="P7641" t="n">
        <v>0</v>
      </c>
      <c r="Q7641" t="n">
        <v>0</v>
      </c>
      <c r="R7641" s="2" t="inlineStr"/>
    </row>
    <row r="7642" ht="15" customHeight="1">
      <c r="A7642" t="inlineStr">
        <is>
          <t>A 55115-2025</t>
        </is>
      </c>
      <c r="B7642" s="1" t="n">
        <v>45968</v>
      </c>
      <c r="C7642" s="1" t="n">
        <v>46093</v>
      </c>
      <c r="D7642" t="inlineStr">
        <is>
          <t>VÄSTERNORRLANDS LÄN</t>
        </is>
      </c>
      <c r="E7642" t="inlineStr">
        <is>
          <t>SOLLEFTEÅ</t>
        </is>
      </c>
      <c r="F7642" t="inlineStr">
        <is>
          <t>SCA</t>
        </is>
      </c>
      <c r="G7642" t="n">
        <v>9.1</v>
      </c>
      <c r="H7642" t="n">
        <v>0</v>
      </c>
      <c r="I7642" t="n">
        <v>0</v>
      </c>
      <c r="J7642" t="n">
        <v>0</v>
      </c>
      <c r="K7642" t="n">
        <v>0</v>
      </c>
      <c r="L7642" t="n">
        <v>0</v>
      </c>
      <c r="M7642" t="n">
        <v>0</v>
      </c>
      <c r="N7642" t="n">
        <v>0</v>
      </c>
      <c r="O7642" t="n">
        <v>0</v>
      </c>
      <c r="P7642" t="n">
        <v>0</v>
      </c>
      <c r="Q7642" t="n">
        <v>0</v>
      </c>
      <c r="R7642" s="2" t="inlineStr"/>
    </row>
    <row r="7643" ht="15" customHeight="1">
      <c r="A7643" t="inlineStr">
        <is>
          <t>A 55009-2025</t>
        </is>
      </c>
      <c r="B7643" s="1" t="n">
        <v>45967.61523148148</v>
      </c>
      <c r="C7643" s="1" t="n">
        <v>46093</v>
      </c>
      <c r="D7643" t="inlineStr">
        <is>
          <t>VÄSTERNORRLANDS LÄN</t>
        </is>
      </c>
      <c r="E7643" t="inlineStr">
        <is>
          <t>SUNDSVALL</t>
        </is>
      </c>
      <c r="F7643" t="inlineStr">
        <is>
          <t>SCA</t>
        </is>
      </c>
      <c r="G7643" t="n">
        <v>5.4</v>
      </c>
      <c r="H7643" t="n">
        <v>0</v>
      </c>
      <c r="I7643" t="n">
        <v>0</v>
      </c>
      <c r="J7643" t="n">
        <v>0</v>
      </c>
      <c r="K7643" t="n">
        <v>0</v>
      </c>
      <c r="L7643" t="n">
        <v>0</v>
      </c>
      <c r="M7643" t="n">
        <v>0</v>
      </c>
      <c r="N7643" t="n">
        <v>0</v>
      </c>
      <c r="O7643" t="n">
        <v>0</v>
      </c>
      <c r="P7643" t="n">
        <v>0</v>
      </c>
      <c r="Q7643" t="n">
        <v>0</v>
      </c>
      <c r="R7643" s="2" t="inlineStr"/>
    </row>
    <row r="7644" ht="15" customHeight="1">
      <c r="A7644" t="inlineStr">
        <is>
          <t>A 11976-2022</t>
        </is>
      </c>
      <c r="B7644" s="1" t="n">
        <v>44635</v>
      </c>
      <c r="C7644" s="1" t="n">
        <v>46093</v>
      </c>
      <c r="D7644" t="inlineStr">
        <is>
          <t>VÄSTERNORRLANDS LÄN</t>
        </is>
      </c>
      <c r="E7644" t="inlineStr">
        <is>
          <t>ÖRNSKÖLDSVIK</t>
        </is>
      </c>
      <c r="G7644" t="n">
        <v>11.9</v>
      </c>
      <c r="H7644" t="n">
        <v>0</v>
      </c>
      <c r="I7644" t="n">
        <v>0</v>
      </c>
      <c r="J7644" t="n">
        <v>0</v>
      </c>
      <c r="K7644" t="n">
        <v>0</v>
      </c>
      <c r="L7644" t="n">
        <v>0</v>
      </c>
      <c r="M7644" t="n">
        <v>0</v>
      </c>
      <c r="N7644" t="n">
        <v>0</v>
      </c>
      <c r="O7644" t="n">
        <v>0</v>
      </c>
      <c r="P7644" t="n">
        <v>0</v>
      </c>
      <c r="Q7644" t="n">
        <v>0</v>
      </c>
      <c r="R7644" s="2" t="inlineStr"/>
    </row>
    <row r="7645" ht="15" customHeight="1">
      <c r="A7645" t="inlineStr">
        <is>
          <t>A 55094-2025</t>
        </is>
      </c>
      <c r="B7645" s="1" t="n">
        <v>45968.34483796296</v>
      </c>
      <c r="C7645" s="1" t="n">
        <v>46093</v>
      </c>
      <c r="D7645" t="inlineStr">
        <is>
          <t>VÄSTERNORRLANDS LÄN</t>
        </is>
      </c>
      <c r="E7645" t="inlineStr">
        <is>
          <t>SOLLEFTEÅ</t>
        </is>
      </c>
      <c r="F7645" t="inlineStr">
        <is>
          <t>SCA</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43245-2023</t>
        </is>
      </c>
      <c r="B7646" s="1" t="n">
        <v>45183</v>
      </c>
      <c r="C7646" s="1" t="n">
        <v>46093</v>
      </c>
      <c r="D7646" t="inlineStr">
        <is>
          <t>VÄSTERNORRLANDS LÄN</t>
        </is>
      </c>
      <c r="E7646" t="inlineStr">
        <is>
          <t>ÖRNSKÖLDSVIK</t>
        </is>
      </c>
      <c r="G7646" t="n">
        <v>3.2</v>
      </c>
      <c r="H7646" t="n">
        <v>0</v>
      </c>
      <c r="I7646" t="n">
        <v>0</v>
      </c>
      <c r="J7646" t="n">
        <v>0</v>
      </c>
      <c r="K7646" t="n">
        <v>0</v>
      </c>
      <c r="L7646" t="n">
        <v>0</v>
      </c>
      <c r="M7646" t="n">
        <v>0</v>
      </c>
      <c r="N7646" t="n">
        <v>0</v>
      </c>
      <c r="O7646" t="n">
        <v>0</v>
      </c>
      <c r="P7646" t="n">
        <v>0</v>
      </c>
      <c r="Q7646" t="n">
        <v>0</v>
      </c>
      <c r="R7646" s="2" t="inlineStr"/>
    </row>
    <row r="7647" ht="15" customHeight="1">
      <c r="A7647" t="inlineStr">
        <is>
          <t>A 55204-2025</t>
        </is>
      </c>
      <c r="B7647" s="1" t="n">
        <v>45968.56802083334</v>
      </c>
      <c r="C7647" s="1" t="n">
        <v>46093</v>
      </c>
      <c r="D7647" t="inlineStr">
        <is>
          <t>VÄSTERNORRLANDS LÄN</t>
        </is>
      </c>
      <c r="E7647" t="inlineStr">
        <is>
          <t>ÖRNSKÖLDSVIK</t>
        </is>
      </c>
      <c r="F7647" t="inlineStr">
        <is>
          <t>Holmen skog AB</t>
        </is>
      </c>
      <c r="G7647" t="n">
        <v>8.4</v>
      </c>
      <c r="H7647" t="n">
        <v>0</v>
      </c>
      <c r="I7647" t="n">
        <v>0</v>
      </c>
      <c r="J7647" t="n">
        <v>0</v>
      </c>
      <c r="K7647" t="n">
        <v>0</v>
      </c>
      <c r="L7647" t="n">
        <v>0</v>
      </c>
      <c r="M7647" t="n">
        <v>0</v>
      </c>
      <c r="N7647" t="n">
        <v>0</v>
      </c>
      <c r="O7647" t="n">
        <v>0</v>
      </c>
      <c r="P7647" t="n">
        <v>0</v>
      </c>
      <c r="Q7647" t="n">
        <v>0</v>
      </c>
      <c r="R7647" s="2" t="inlineStr"/>
    </row>
    <row r="7648" ht="15" customHeight="1">
      <c r="A7648" t="inlineStr">
        <is>
          <t>A 17946-2023</t>
        </is>
      </c>
      <c r="B7648" s="1" t="n">
        <v>45040</v>
      </c>
      <c r="C7648" s="1" t="n">
        <v>46093</v>
      </c>
      <c r="D7648" t="inlineStr">
        <is>
          <t>VÄSTERNORRLANDS LÄN</t>
        </is>
      </c>
      <c r="E7648" t="inlineStr">
        <is>
          <t>KRAMFORS</t>
        </is>
      </c>
      <c r="G7648" t="n">
        <v>2.4</v>
      </c>
      <c r="H7648" t="n">
        <v>0</v>
      </c>
      <c r="I7648" t="n">
        <v>0</v>
      </c>
      <c r="J7648" t="n">
        <v>0</v>
      </c>
      <c r="K7648" t="n">
        <v>0</v>
      </c>
      <c r="L7648" t="n">
        <v>0</v>
      </c>
      <c r="M7648" t="n">
        <v>0</v>
      </c>
      <c r="N7648" t="n">
        <v>0</v>
      </c>
      <c r="O7648" t="n">
        <v>0</v>
      </c>
      <c r="P7648" t="n">
        <v>0</v>
      </c>
      <c r="Q7648" t="n">
        <v>0</v>
      </c>
      <c r="R7648" s="2" t="inlineStr"/>
    </row>
    <row r="7649" ht="15" customHeight="1">
      <c r="A7649" t="inlineStr">
        <is>
          <t>A 52404-2023</t>
        </is>
      </c>
      <c r="B7649" s="1" t="n">
        <v>45224.96506944444</v>
      </c>
      <c r="C7649" s="1" t="n">
        <v>46093</v>
      </c>
      <c r="D7649" t="inlineStr">
        <is>
          <t>VÄSTERNORRLANDS LÄN</t>
        </is>
      </c>
      <c r="E7649" t="inlineStr">
        <is>
          <t>SUNDSVALL</t>
        </is>
      </c>
      <c r="F7649" t="inlineStr">
        <is>
          <t>SCA</t>
        </is>
      </c>
      <c r="G7649" t="n">
        <v>1</v>
      </c>
      <c r="H7649" t="n">
        <v>0</v>
      </c>
      <c r="I7649" t="n">
        <v>0</v>
      </c>
      <c r="J7649" t="n">
        <v>0</v>
      </c>
      <c r="K7649" t="n">
        <v>0</v>
      </c>
      <c r="L7649" t="n">
        <v>0</v>
      </c>
      <c r="M7649" t="n">
        <v>0</v>
      </c>
      <c r="N7649" t="n">
        <v>0</v>
      </c>
      <c r="O7649" t="n">
        <v>0</v>
      </c>
      <c r="P7649" t="n">
        <v>0</v>
      </c>
      <c r="Q7649" t="n">
        <v>0</v>
      </c>
      <c r="R7649" s="2" t="inlineStr"/>
    </row>
    <row r="7650" ht="15" customHeight="1">
      <c r="A7650" t="inlineStr">
        <is>
          <t>A 52416-2023</t>
        </is>
      </c>
      <c r="B7650" s="1" t="n">
        <v>45225</v>
      </c>
      <c r="C7650" s="1" t="n">
        <v>46093</v>
      </c>
      <c r="D7650" t="inlineStr">
        <is>
          <t>VÄSTERNORRLANDS LÄN</t>
        </is>
      </c>
      <c r="E7650" t="inlineStr">
        <is>
          <t>ÖRNSKÖLDSVIK</t>
        </is>
      </c>
      <c r="F7650" t="inlineStr">
        <is>
          <t>Holmen skog AB</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26071-2023</t>
        </is>
      </c>
      <c r="B7651" s="1" t="n">
        <v>45091</v>
      </c>
      <c r="C7651" s="1" t="n">
        <v>46093</v>
      </c>
      <c r="D7651" t="inlineStr">
        <is>
          <t>VÄSTERNORRLANDS LÄN</t>
        </is>
      </c>
      <c r="E7651" t="inlineStr">
        <is>
          <t>SUNDSVALL</t>
        </is>
      </c>
      <c r="G7651" t="n">
        <v>3.7</v>
      </c>
      <c r="H7651" t="n">
        <v>0</v>
      </c>
      <c r="I7651" t="n">
        <v>0</v>
      </c>
      <c r="J7651" t="n">
        <v>0</v>
      </c>
      <c r="K7651" t="n">
        <v>0</v>
      </c>
      <c r="L7651" t="n">
        <v>0</v>
      </c>
      <c r="M7651" t="n">
        <v>0</v>
      </c>
      <c r="N7651" t="n">
        <v>0</v>
      </c>
      <c r="O7651" t="n">
        <v>0</v>
      </c>
      <c r="P7651" t="n">
        <v>0</v>
      </c>
      <c r="Q7651" t="n">
        <v>0</v>
      </c>
      <c r="R7651" s="2" t="inlineStr"/>
    </row>
    <row r="7652" ht="15" customHeight="1">
      <c r="A7652" t="inlineStr">
        <is>
          <t>A 54925-2025</t>
        </is>
      </c>
      <c r="B7652" s="1" t="n">
        <v>45967.40699074074</v>
      </c>
      <c r="C7652" s="1" t="n">
        <v>46093</v>
      </c>
      <c r="D7652" t="inlineStr">
        <is>
          <t>VÄSTERNORRLANDS LÄN</t>
        </is>
      </c>
      <c r="E7652" t="inlineStr">
        <is>
          <t>ÅNGE</t>
        </is>
      </c>
      <c r="G7652" t="n">
        <v>2.6</v>
      </c>
      <c r="H7652" t="n">
        <v>0</v>
      </c>
      <c r="I7652" t="n">
        <v>0</v>
      </c>
      <c r="J7652" t="n">
        <v>0</v>
      </c>
      <c r="K7652" t="n">
        <v>0</v>
      </c>
      <c r="L7652" t="n">
        <v>0</v>
      </c>
      <c r="M7652" t="n">
        <v>0</v>
      </c>
      <c r="N7652" t="n">
        <v>0</v>
      </c>
      <c r="O7652" t="n">
        <v>0</v>
      </c>
      <c r="P7652" t="n">
        <v>0</v>
      </c>
      <c r="Q7652" t="n">
        <v>0</v>
      </c>
      <c r="R7652" s="2" t="inlineStr"/>
    </row>
    <row r="7653" ht="15" customHeight="1">
      <c r="A7653" t="inlineStr">
        <is>
          <t>A 5918-2024</t>
        </is>
      </c>
      <c r="B7653" s="1" t="n">
        <v>45335</v>
      </c>
      <c r="C7653" s="1" t="n">
        <v>46093</v>
      </c>
      <c r="D7653" t="inlineStr">
        <is>
          <t>VÄSTERNORRLANDS LÄN</t>
        </is>
      </c>
      <c r="E7653" t="inlineStr">
        <is>
          <t>SUNDSVALL</t>
        </is>
      </c>
      <c r="G7653" t="n">
        <v>1.9</v>
      </c>
      <c r="H7653" t="n">
        <v>0</v>
      </c>
      <c r="I7653" t="n">
        <v>0</v>
      </c>
      <c r="J7653" t="n">
        <v>0</v>
      </c>
      <c r="K7653" t="n">
        <v>0</v>
      </c>
      <c r="L7653" t="n">
        <v>0</v>
      </c>
      <c r="M7653" t="n">
        <v>0</v>
      </c>
      <c r="N7653" t="n">
        <v>0</v>
      </c>
      <c r="O7653" t="n">
        <v>0</v>
      </c>
      <c r="P7653" t="n">
        <v>0</v>
      </c>
      <c r="Q7653" t="n">
        <v>0</v>
      </c>
      <c r="R7653" s="2" t="inlineStr"/>
    </row>
    <row r="7654" ht="15" customHeight="1">
      <c r="A7654" t="inlineStr">
        <is>
          <t>A 16633-2025</t>
        </is>
      </c>
      <c r="B7654" s="1" t="n">
        <v>45754.36517361111</v>
      </c>
      <c r="C7654" s="1" t="n">
        <v>46093</v>
      </c>
      <c r="D7654" t="inlineStr">
        <is>
          <t>VÄSTERNORRLANDS LÄN</t>
        </is>
      </c>
      <c r="E7654" t="inlineStr">
        <is>
          <t>SOLLEFTEÅ</t>
        </is>
      </c>
      <c r="F7654" t="inlineStr">
        <is>
          <t>SCA</t>
        </is>
      </c>
      <c r="G7654" t="n">
        <v>6.9</v>
      </c>
      <c r="H7654" t="n">
        <v>0</v>
      </c>
      <c r="I7654" t="n">
        <v>0</v>
      </c>
      <c r="J7654" t="n">
        <v>0</v>
      </c>
      <c r="K7654" t="n">
        <v>0</v>
      </c>
      <c r="L7654" t="n">
        <v>0</v>
      </c>
      <c r="M7654" t="n">
        <v>0</v>
      </c>
      <c r="N7654" t="n">
        <v>0</v>
      </c>
      <c r="O7654" t="n">
        <v>0</v>
      </c>
      <c r="P7654" t="n">
        <v>0</v>
      </c>
      <c r="Q7654" t="n">
        <v>0</v>
      </c>
      <c r="R7654" s="2" t="inlineStr"/>
    </row>
    <row r="7655" ht="15" customHeight="1">
      <c r="A7655" t="inlineStr">
        <is>
          <t>A 55116-2025</t>
        </is>
      </c>
      <c r="B7655" s="1" t="n">
        <v>45968.38623842593</v>
      </c>
      <c r="C7655" s="1" t="n">
        <v>46093</v>
      </c>
      <c r="D7655" t="inlineStr">
        <is>
          <t>VÄSTERNORRLANDS LÄN</t>
        </is>
      </c>
      <c r="E7655" t="inlineStr">
        <is>
          <t>SOLLEFTEÅ</t>
        </is>
      </c>
      <c r="F7655" t="inlineStr">
        <is>
          <t>SCA</t>
        </is>
      </c>
      <c r="G7655" t="n">
        <v>9.5</v>
      </c>
      <c r="H7655" t="n">
        <v>0</v>
      </c>
      <c r="I7655" t="n">
        <v>0</v>
      </c>
      <c r="J7655" t="n">
        <v>0</v>
      </c>
      <c r="K7655" t="n">
        <v>0</v>
      </c>
      <c r="L7655" t="n">
        <v>0</v>
      </c>
      <c r="M7655" t="n">
        <v>0</v>
      </c>
      <c r="N7655" t="n">
        <v>0</v>
      </c>
      <c r="O7655" t="n">
        <v>0</v>
      </c>
      <c r="P7655" t="n">
        <v>0</v>
      </c>
      <c r="Q7655" t="n">
        <v>0</v>
      </c>
      <c r="R7655" s="2" t="inlineStr"/>
    </row>
    <row r="7656" ht="15" customHeight="1">
      <c r="A7656" t="inlineStr">
        <is>
          <t>A 5455-2023</t>
        </is>
      </c>
      <c r="B7656" s="1" t="n">
        <v>44959.93983796296</v>
      </c>
      <c r="C7656" s="1" t="n">
        <v>46093</v>
      </c>
      <c r="D7656" t="inlineStr">
        <is>
          <t>VÄSTERNORRLANDS LÄN</t>
        </is>
      </c>
      <c r="E7656" t="inlineStr">
        <is>
          <t>ÅNGE</t>
        </is>
      </c>
      <c r="F7656" t="inlineStr">
        <is>
          <t>SCA</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36388-2021</t>
        </is>
      </c>
      <c r="B7657" s="1" t="n">
        <v>44390</v>
      </c>
      <c r="C7657" s="1" t="n">
        <v>46093</v>
      </c>
      <c r="D7657" t="inlineStr">
        <is>
          <t>VÄSTERNORRLANDS LÄN</t>
        </is>
      </c>
      <c r="E7657" t="inlineStr">
        <is>
          <t>HÄRNÖSAND</t>
        </is>
      </c>
      <c r="G7657" t="n">
        <v>9</v>
      </c>
      <c r="H7657" t="n">
        <v>0</v>
      </c>
      <c r="I7657" t="n">
        <v>0</v>
      </c>
      <c r="J7657" t="n">
        <v>0</v>
      </c>
      <c r="K7657" t="n">
        <v>0</v>
      </c>
      <c r="L7657" t="n">
        <v>0</v>
      </c>
      <c r="M7657" t="n">
        <v>0</v>
      </c>
      <c r="N7657" t="n">
        <v>0</v>
      </c>
      <c r="O7657" t="n">
        <v>0</v>
      </c>
      <c r="P7657" t="n">
        <v>0</v>
      </c>
      <c r="Q7657" t="n">
        <v>0</v>
      </c>
      <c r="R7657" s="2" t="inlineStr"/>
    </row>
    <row r="7658" ht="15" customHeight="1">
      <c r="A7658" t="inlineStr">
        <is>
          <t>A 15620-2023</t>
        </is>
      </c>
      <c r="B7658" s="1" t="n">
        <v>45020</v>
      </c>
      <c r="C7658" s="1" t="n">
        <v>46093</v>
      </c>
      <c r="D7658" t="inlineStr">
        <is>
          <t>VÄSTERNORRLANDS LÄN</t>
        </is>
      </c>
      <c r="E7658" t="inlineStr">
        <is>
          <t>SUNDSVALL</t>
        </is>
      </c>
      <c r="G7658" t="n">
        <v>2.1</v>
      </c>
      <c r="H7658" t="n">
        <v>0</v>
      </c>
      <c r="I7658" t="n">
        <v>0</v>
      </c>
      <c r="J7658" t="n">
        <v>0</v>
      </c>
      <c r="K7658" t="n">
        <v>0</v>
      </c>
      <c r="L7658" t="n">
        <v>0</v>
      </c>
      <c r="M7658" t="n">
        <v>0</v>
      </c>
      <c r="N7658" t="n">
        <v>0</v>
      </c>
      <c r="O7658" t="n">
        <v>0</v>
      </c>
      <c r="P7658" t="n">
        <v>0</v>
      </c>
      <c r="Q7658" t="n">
        <v>0</v>
      </c>
      <c r="R7658" s="2" t="inlineStr"/>
    </row>
    <row r="7659" ht="15" customHeight="1">
      <c r="A7659" t="inlineStr">
        <is>
          <t>A 3424-2025</t>
        </is>
      </c>
      <c r="B7659" s="1" t="n">
        <v>45680</v>
      </c>
      <c r="C7659" s="1" t="n">
        <v>46093</v>
      </c>
      <c r="D7659" t="inlineStr">
        <is>
          <t>VÄSTERNORRLANDS LÄN</t>
        </is>
      </c>
      <c r="E7659" t="inlineStr">
        <is>
          <t>SOLLEFTEÅ</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55212-2025</t>
        </is>
      </c>
      <c r="B7660" s="1" t="n">
        <v>45968.58164351852</v>
      </c>
      <c r="C7660" s="1" t="n">
        <v>46093</v>
      </c>
      <c r="D7660" t="inlineStr">
        <is>
          <t>VÄSTERNORRLANDS LÄN</t>
        </is>
      </c>
      <c r="E7660" t="inlineStr">
        <is>
          <t>ÖRNSKÖLDSVIK</t>
        </is>
      </c>
      <c r="F7660" t="inlineStr">
        <is>
          <t>Holmen skog AB</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55213-2025</t>
        </is>
      </c>
      <c r="B7661" s="1" t="n">
        <v>45968.5834837963</v>
      </c>
      <c r="C7661" s="1" t="n">
        <v>46093</v>
      </c>
      <c r="D7661" t="inlineStr">
        <is>
          <t>VÄSTERNORRLANDS LÄN</t>
        </is>
      </c>
      <c r="E7661" t="inlineStr">
        <is>
          <t>ÖRNSKÖLDSVIK</t>
        </is>
      </c>
      <c r="F7661" t="inlineStr">
        <is>
          <t>Holmen skog AB</t>
        </is>
      </c>
      <c r="G7661" t="n">
        <v>7.8</v>
      </c>
      <c r="H7661" t="n">
        <v>0</v>
      </c>
      <c r="I7661" t="n">
        <v>0</v>
      </c>
      <c r="J7661" t="n">
        <v>0</v>
      </c>
      <c r="K7661" t="n">
        <v>0</v>
      </c>
      <c r="L7661" t="n">
        <v>0</v>
      </c>
      <c r="M7661" t="n">
        <v>0</v>
      </c>
      <c r="N7661" t="n">
        <v>0</v>
      </c>
      <c r="O7661" t="n">
        <v>0</v>
      </c>
      <c r="P7661" t="n">
        <v>0</v>
      </c>
      <c r="Q7661" t="n">
        <v>0</v>
      </c>
      <c r="R7661" s="2" t="inlineStr"/>
    </row>
    <row r="7662" ht="15" customHeight="1">
      <c r="A7662" t="inlineStr">
        <is>
          <t>A 3493-2025</t>
        </is>
      </c>
      <c r="B7662" s="1" t="n">
        <v>45680.55401620371</v>
      </c>
      <c r="C7662" s="1" t="n">
        <v>46093</v>
      </c>
      <c r="D7662" t="inlineStr">
        <is>
          <t>VÄSTERNORRLANDS LÄN</t>
        </is>
      </c>
      <c r="E7662" t="inlineStr">
        <is>
          <t>KRAMFORS</t>
        </is>
      </c>
      <c r="G7662" t="n">
        <v>6.4</v>
      </c>
      <c r="H7662" t="n">
        <v>0</v>
      </c>
      <c r="I7662" t="n">
        <v>0</v>
      </c>
      <c r="J7662" t="n">
        <v>0</v>
      </c>
      <c r="K7662" t="n">
        <v>0</v>
      </c>
      <c r="L7662" t="n">
        <v>0</v>
      </c>
      <c r="M7662" t="n">
        <v>0</v>
      </c>
      <c r="N7662" t="n">
        <v>0</v>
      </c>
      <c r="O7662" t="n">
        <v>0</v>
      </c>
      <c r="P7662" t="n">
        <v>0</v>
      </c>
      <c r="Q7662" t="n">
        <v>0</v>
      </c>
      <c r="R7662" s="2" t="inlineStr"/>
    </row>
    <row r="7663" ht="15" customHeight="1">
      <c r="A7663" t="inlineStr">
        <is>
          <t>A 54946-2025</t>
        </is>
      </c>
      <c r="B7663" s="1" t="n">
        <v>45967.44832175926</v>
      </c>
      <c r="C7663" s="1" t="n">
        <v>46093</v>
      </c>
      <c r="D7663" t="inlineStr">
        <is>
          <t>VÄSTERNORRLANDS LÄN</t>
        </is>
      </c>
      <c r="E7663" t="inlineStr">
        <is>
          <t>SOLLEFTEÅ</t>
        </is>
      </c>
      <c r="F7663" t="inlineStr">
        <is>
          <t>Kyrkan</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9241-2025</t>
        </is>
      </c>
      <c r="B7664" s="1" t="n">
        <v>45714.56277777778</v>
      </c>
      <c r="C7664" s="1" t="n">
        <v>46093</v>
      </c>
      <c r="D7664" t="inlineStr">
        <is>
          <t>VÄSTERNORRLANDS LÄN</t>
        </is>
      </c>
      <c r="E7664" t="inlineStr">
        <is>
          <t>KRAMFORS</t>
        </is>
      </c>
      <c r="G7664" t="n">
        <v>3</v>
      </c>
      <c r="H7664" t="n">
        <v>0</v>
      </c>
      <c r="I7664" t="n">
        <v>0</v>
      </c>
      <c r="J7664" t="n">
        <v>0</v>
      </c>
      <c r="K7664" t="n">
        <v>0</v>
      </c>
      <c r="L7664" t="n">
        <v>0</v>
      </c>
      <c r="M7664" t="n">
        <v>0</v>
      </c>
      <c r="N7664" t="n">
        <v>0</v>
      </c>
      <c r="O7664" t="n">
        <v>0</v>
      </c>
      <c r="P7664" t="n">
        <v>0</v>
      </c>
      <c r="Q7664" t="n">
        <v>0</v>
      </c>
      <c r="R7664" s="2" t="inlineStr"/>
    </row>
    <row r="7665" ht="15" customHeight="1">
      <c r="A7665" t="inlineStr">
        <is>
          <t>A 9254-2025</t>
        </is>
      </c>
      <c r="B7665" s="1" t="n">
        <v>45714.59442129629</v>
      </c>
      <c r="C7665" s="1" t="n">
        <v>46093</v>
      </c>
      <c r="D7665" t="inlineStr">
        <is>
          <t>VÄSTERNORRLANDS LÄN</t>
        </is>
      </c>
      <c r="E7665" t="inlineStr">
        <is>
          <t>SOLLEFTEÅ</t>
        </is>
      </c>
      <c r="F7665" t="inlineStr">
        <is>
          <t>SCA</t>
        </is>
      </c>
      <c r="G7665" t="n">
        <v>5.3</v>
      </c>
      <c r="H7665" t="n">
        <v>0</v>
      </c>
      <c r="I7665" t="n">
        <v>0</v>
      </c>
      <c r="J7665" t="n">
        <v>0</v>
      </c>
      <c r="K7665" t="n">
        <v>0</v>
      </c>
      <c r="L7665" t="n">
        <v>0</v>
      </c>
      <c r="M7665" t="n">
        <v>0</v>
      </c>
      <c r="N7665" t="n">
        <v>0</v>
      </c>
      <c r="O7665" t="n">
        <v>0</v>
      </c>
      <c r="P7665" t="n">
        <v>0</v>
      </c>
      <c r="Q7665" t="n">
        <v>0</v>
      </c>
      <c r="R7665" s="2" t="inlineStr"/>
    </row>
    <row r="7666" ht="15" customHeight="1">
      <c r="A7666" t="inlineStr">
        <is>
          <t>A 3887-2023</t>
        </is>
      </c>
      <c r="B7666" s="1" t="n">
        <v>44951</v>
      </c>
      <c r="C7666" s="1" t="n">
        <v>46093</v>
      </c>
      <c r="D7666" t="inlineStr">
        <is>
          <t>VÄSTERNORRLANDS LÄN</t>
        </is>
      </c>
      <c r="E7666" t="inlineStr">
        <is>
          <t>KRAMFORS</t>
        </is>
      </c>
      <c r="G7666" t="n">
        <v>5.1</v>
      </c>
      <c r="H7666" t="n">
        <v>0</v>
      </c>
      <c r="I7666" t="n">
        <v>0</v>
      </c>
      <c r="J7666" t="n">
        <v>0</v>
      </c>
      <c r="K7666" t="n">
        <v>0</v>
      </c>
      <c r="L7666" t="n">
        <v>0</v>
      </c>
      <c r="M7666" t="n">
        <v>0</v>
      </c>
      <c r="N7666" t="n">
        <v>0</v>
      </c>
      <c r="O7666" t="n">
        <v>0</v>
      </c>
      <c r="P7666" t="n">
        <v>0</v>
      </c>
      <c r="Q7666" t="n">
        <v>0</v>
      </c>
      <c r="R7666" s="2" t="inlineStr"/>
    </row>
    <row r="7667" ht="15" customHeight="1">
      <c r="A7667" t="inlineStr">
        <is>
          <t>A 55006-2025</t>
        </is>
      </c>
      <c r="B7667" s="1" t="n">
        <v>45967.61280092593</v>
      </c>
      <c r="C7667" s="1" t="n">
        <v>46093</v>
      </c>
      <c r="D7667" t="inlineStr">
        <is>
          <t>VÄSTERNORRLANDS LÄN</t>
        </is>
      </c>
      <c r="E7667" t="inlineStr">
        <is>
          <t>ÖRNSKÖLDSVIK</t>
        </is>
      </c>
      <c r="G7667" t="n">
        <v>1.6</v>
      </c>
      <c r="H7667" t="n">
        <v>0</v>
      </c>
      <c r="I7667" t="n">
        <v>0</v>
      </c>
      <c r="J7667" t="n">
        <v>0</v>
      </c>
      <c r="K7667" t="n">
        <v>0</v>
      </c>
      <c r="L7667" t="n">
        <v>0</v>
      </c>
      <c r="M7667" t="n">
        <v>0</v>
      </c>
      <c r="N7667" t="n">
        <v>0</v>
      </c>
      <c r="O7667" t="n">
        <v>0</v>
      </c>
      <c r="P7667" t="n">
        <v>0</v>
      </c>
      <c r="Q7667" t="n">
        <v>0</v>
      </c>
      <c r="R7667" s="2" t="inlineStr"/>
    </row>
    <row r="7668" ht="15" customHeight="1">
      <c r="A7668" t="inlineStr">
        <is>
          <t>A 31680-2024</t>
        </is>
      </c>
      <c r="B7668" s="1" t="n">
        <v>45506.94894675926</v>
      </c>
      <c r="C7668" s="1" t="n">
        <v>46093</v>
      </c>
      <c r="D7668" t="inlineStr">
        <is>
          <t>VÄSTERNORRLANDS LÄN</t>
        </is>
      </c>
      <c r="E7668" t="inlineStr">
        <is>
          <t>SOLLEFTEÅ</t>
        </is>
      </c>
      <c r="F7668" t="inlineStr">
        <is>
          <t>SCA</t>
        </is>
      </c>
      <c r="G7668" t="n">
        <v>3.5</v>
      </c>
      <c r="H7668" t="n">
        <v>0</v>
      </c>
      <c r="I7668" t="n">
        <v>0</v>
      </c>
      <c r="J7668" t="n">
        <v>0</v>
      </c>
      <c r="K7668" t="n">
        <v>0</v>
      </c>
      <c r="L7668" t="n">
        <v>0</v>
      </c>
      <c r="M7668" t="n">
        <v>0</v>
      </c>
      <c r="N7668" t="n">
        <v>0</v>
      </c>
      <c r="O7668" t="n">
        <v>0</v>
      </c>
      <c r="P7668" t="n">
        <v>0</v>
      </c>
      <c r="Q7668" t="n">
        <v>0</v>
      </c>
      <c r="R7668" s="2" t="inlineStr"/>
    </row>
    <row r="7669" ht="15" customHeight="1">
      <c r="A7669" t="inlineStr">
        <is>
          <t>A 31693-2024</t>
        </is>
      </c>
      <c r="B7669" s="1" t="n">
        <v>45507.95694444444</v>
      </c>
      <c r="C7669" s="1" t="n">
        <v>46093</v>
      </c>
      <c r="D7669" t="inlineStr">
        <is>
          <t>VÄSTERNORRLANDS LÄN</t>
        </is>
      </c>
      <c r="E7669" t="inlineStr">
        <is>
          <t>ÖRNSKÖLDSVIK</t>
        </is>
      </c>
      <c r="F7669" t="inlineStr">
        <is>
          <t>SCA</t>
        </is>
      </c>
      <c r="G7669" t="n">
        <v>8.9</v>
      </c>
      <c r="H7669" t="n">
        <v>0</v>
      </c>
      <c r="I7669" t="n">
        <v>0</v>
      </c>
      <c r="J7669" t="n">
        <v>0</v>
      </c>
      <c r="K7669" t="n">
        <v>0</v>
      </c>
      <c r="L7669" t="n">
        <v>0</v>
      </c>
      <c r="M7669" t="n">
        <v>0</v>
      </c>
      <c r="N7669" t="n">
        <v>0</v>
      </c>
      <c r="O7669" t="n">
        <v>0</v>
      </c>
      <c r="P7669" t="n">
        <v>0</v>
      </c>
      <c r="Q7669" t="n">
        <v>0</v>
      </c>
      <c r="R7669" s="2" t="inlineStr"/>
    </row>
    <row r="7670" ht="15" customHeight="1">
      <c r="A7670" t="inlineStr">
        <is>
          <t>A 59986-2021</t>
        </is>
      </c>
      <c r="B7670" s="1" t="n">
        <v>44494</v>
      </c>
      <c r="C7670" s="1" t="n">
        <v>46093</v>
      </c>
      <c r="D7670" t="inlineStr">
        <is>
          <t>VÄSTERNORRLANDS LÄN</t>
        </is>
      </c>
      <c r="E7670" t="inlineStr">
        <is>
          <t>ÅNGE</t>
        </is>
      </c>
      <c r="F7670" t="inlineStr">
        <is>
          <t>SCA</t>
        </is>
      </c>
      <c r="G7670" t="n">
        <v>2.3</v>
      </c>
      <c r="H7670" t="n">
        <v>0</v>
      </c>
      <c r="I7670" t="n">
        <v>0</v>
      </c>
      <c r="J7670" t="n">
        <v>0</v>
      </c>
      <c r="K7670" t="n">
        <v>0</v>
      </c>
      <c r="L7670" t="n">
        <v>0</v>
      </c>
      <c r="M7670" t="n">
        <v>0</v>
      </c>
      <c r="N7670" t="n">
        <v>0</v>
      </c>
      <c r="O7670" t="n">
        <v>0</v>
      </c>
      <c r="P7670" t="n">
        <v>0</v>
      </c>
      <c r="Q7670" t="n">
        <v>0</v>
      </c>
      <c r="R7670" s="2" t="inlineStr"/>
    </row>
    <row r="7671" ht="15" customHeight="1">
      <c r="A7671" t="inlineStr">
        <is>
          <t>A 52721-2025</t>
        </is>
      </c>
      <c r="B7671" s="1" t="n">
        <v>45957</v>
      </c>
      <c r="C7671" s="1" t="n">
        <v>46093</v>
      </c>
      <c r="D7671" t="inlineStr">
        <is>
          <t>VÄSTERNORRLANDS LÄN</t>
        </is>
      </c>
      <c r="E7671" t="inlineStr">
        <is>
          <t>KRAMFORS</t>
        </is>
      </c>
      <c r="G7671" t="n">
        <v>6.2</v>
      </c>
      <c r="H7671" t="n">
        <v>0</v>
      </c>
      <c r="I7671" t="n">
        <v>0</v>
      </c>
      <c r="J7671" t="n">
        <v>0</v>
      </c>
      <c r="K7671" t="n">
        <v>0</v>
      </c>
      <c r="L7671" t="n">
        <v>0</v>
      </c>
      <c r="M7671" t="n">
        <v>0</v>
      </c>
      <c r="N7671" t="n">
        <v>0</v>
      </c>
      <c r="O7671" t="n">
        <v>0</v>
      </c>
      <c r="P7671" t="n">
        <v>0</v>
      </c>
      <c r="Q7671" t="n">
        <v>0</v>
      </c>
      <c r="R7671" s="2" t="inlineStr"/>
    </row>
    <row r="7672" ht="15" customHeight="1">
      <c r="A7672" t="inlineStr">
        <is>
          <t>A 58285-2022</t>
        </is>
      </c>
      <c r="B7672" s="1" t="n">
        <v>44901.49482638889</v>
      </c>
      <c r="C7672" s="1" t="n">
        <v>46093</v>
      </c>
      <c r="D7672" t="inlineStr">
        <is>
          <t>VÄSTERNORRLANDS LÄN</t>
        </is>
      </c>
      <c r="E7672" t="inlineStr">
        <is>
          <t>SUNDSVALL</t>
        </is>
      </c>
      <c r="G7672" t="n">
        <v>12.5</v>
      </c>
      <c r="H7672" t="n">
        <v>0</v>
      </c>
      <c r="I7672" t="n">
        <v>0</v>
      </c>
      <c r="J7672" t="n">
        <v>0</v>
      </c>
      <c r="K7672" t="n">
        <v>0</v>
      </c>
      <c r="L7672" t="n">
        <v>0</v>
      </c>
      <c r="M7672" t="n">
        <v>0</v>
      </c>
      <c r="N7672" t="n">
        <v>0</v>
      </c>
      <c r="O7672" t="n">
        <v>0</v>
      </c>
      <c r="P7672" t="n">
        <v>0</v>
      </c>
      <c r="Q7672" t="n">
        <v>0</v>
      </c>
      <c r="R7672" s="2" t="inlineStr"/>
    </row>
    <row r="7673" ht="15" customHeight="1">
      <c r="A7673" t="inlineStr">
        <is>
          <t>A 37851-2024</t>
        </is>
      </c>
      <c r="B7673" s="1" t="n">
        <v>45544.37743055556</v>
      </c>
      <c r="C7673" s="1" t="n">
        <v>46093</v>
      </c>
      <c r="D7673" t="inlineStr">
        <is>
          <t>VÄSTERNORRLANDS LÄN</t>
        </is>
      </c>
      <c r="E7673" t="inlineStr">
        <is>
          <t>ÖRNSKÖLDSVIK</t>
        </is>
      </c>
      <c r="F7673" t="inlineStr">
        <is>
          <t>Holmen skog AB</t>
        </is>
      </c>
      <c r="G7673" t="n">
        <v>0.3</v>
      </c>
      <c r="H7673" t="n">
        <v>0</v>
      </c>
      <c r="I7673" t="n">
        <v>0</v>
      </c>
      <c r="J7673" t="n">
        <v>0</v>
      </c>
      <c r="K7673" t="n">
        <v>0</v>
      </c>
      <c r="L7673" t="n">
        <v>0</v>
      </c>
      <c r="M7673" t="n">
        <v>0</v>
      </c>
      <c r="N7673" t="n">
        <v>0</v>
      </c>
      <c r="O7673" t="n">
        <v>0</v>
      </c>
      <c r="P7673" t="n">
        <v>0</v>
      </c>
      <c r="Q7673" t="n">
        <v>0</v>
      </c>
      <c r="R7673" s="2" t="inlineStr"/>
    </row>
    <row r="7674" ht="15" customHeight="1">
      <c r="A7674" t="inlineStr">
        <is>
          <t>A 37873-2024</t>
        </is>
      </c>
      <c r="B7674" s="1" t="n">
        <v>45544</v>
      </c>
      <c r="C7674" s="1" t="n">
        <v>46093</v>
      </c>
      <c r="D7674" t="inlineStr">
        <is>
          <t>VÄSTERNORRLANDS LÄN</t>
        </is>
      </c>
      <c r="E7674" t="inlineStr">
        <is>
          <t>ÖRNSKÖLDSVIK</t>
        </is>
      </c>
      <c r="G7674" t="n">
        <v>12.3</v>
      </c>
      <c r="H7674" t="n">
        <v>0</v>
      </c>
      <c r="I7674" t="n">
        <v>0</v>
      </c>
      <c r="J7674" t="n">
        <v>0</v>
      </c>
      <c r="K7674" t="n">
        <v>0</v>
      </c>
      <c r="L7674" t="n">
        <v>0</v>
      </c>
      <c r="M7674" t="n">
        <v>0</v>
      </c>
      <c r="N7674" t="n">
        <v>0</v>
      </c>
      <c r="O7674" t="n">
        <v>0</v>
      </c>
      <c r="P7674" t="n">
        <v>0</v>
      </c>
      <c r="Q7674" t="n">
        <v>0</v>
      </c>
      <c r="R7674" s="2" t="inlineStr"/>
    </row>
    <row r="7675" ht="15" customHeight="1">
      <c r="A7675" t="inlineStr">
        <is>
          <t>A 16606-2023</t>
        </is>
      </c>
      <c r="B7675" s="1" t="n">
        <v>45030.3990625</v>
      </c>
      <c r="C7675" s="1" t="n">
        <v>46093</v>
      </c>
      <c r="D7675" t="inlineStr">
        <is>
          <t>VÄSTERNORRLANDS LÄN</t>
        </is>
      </c>
      <c r="E7675" t="inlineStr">
        <is>
          <t>ÅNGE</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54934-2025</t>
        </is>
      </c>
      <c r="B7676" s="1" t="n">
        <v>45967.42795138889</v>
      </c>
      <c r="C7676" s="1" t="n">
        <v>46093</v>
      </c>
      <c r="D7676" t="inlineStr">
        <is>
          <t>VÄSTERNORRLANDS LÄN</t>
        </is>
      </c>
      <c r="E7676" t="inlineStr">
        <is>
          <t>SOLLEFTEÅ</t>
        </is>
      </c>
      <c r="F7676" t="inlineStr">
        <is>
          <t>SCA</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54950-2025</t>
        </is>
      </c>
      <c r="B7677" s="1" t="n">
        <v>45967.44888888889</v>
      </c>
      <c r="C7677" s="1" t="n">
        <v>46093</v>
      </c>
      <c r="D7677" t="inlineStr">
        <is>
          <t>VÄSTERNORRLANDS LÄN</t>
        </is>
      </c>
      <c r="E7677" t="inlineStr">
        <is>
          <t>SOLLEFTEÅ</t>
        </is>
      </c>
      <c r="F7677" t="inlineStr">
        <is>
          <t>SCA</t>
        </is>
      </c>
      <c r="G7677" t="n">
        <v>1.4</v>
      </c>
      <c r="H7677" t="n">
        <v>0</v>
      </c>
      <c r="I7677" t="n">
        <v>0</v>
      </c>
      <c r="J7677" t="n">
        <v>0</v>
      </c>
      <c r="K7677" t="n">
        <v>0</v>
      </c>
      <c r="L7677" t="n">
        <v>0</v>
      </c>
      <c r="M7677" t="n">
        <v>0</v>
      </c>
      <c r="N7677" t="n">
        <v>0</v>
      </c>
      <c r="O7677" t="n">
        <v>0</v>
      </c>
      <c r="P7677" t="n">
        <v>0</v>
      </c>
      <c r="Q7677" t="n">
        <v>0</v>
      </c>
      <c r="R7677" s="2" t="inlineStr"/>
    </row>
    <row r="7678" ht="15" customHeight="1">
      <c r="A7678" t="inlineStr">
        <is>
          <t>A 16250-2024</t>
        </is>
      </c>
      <c r="B7678" s="1" t="n">
        <v>45407</v>
      </c>
      <c r="C7678" s="1" t="n">
        <v>46093</v>
      </c>
      <c r="D7678" t="inlineStr">
        <is>
          <t>VÄSTERNORRLANDS LÄN</t>
        </is>
      </c>
      <c r="E7678" t="inlineStr">
        <is>
          <t>SUNDSVALL</t>
        </is>
      </c>
      <c r="F7678" t="inlineStr">
        <is>
          <t>SCA</t>
        </is>
      </c>
      <c r="G7678" t="n">
        <v>5.8</v>
      </c>
      <c r="H7678" t="n">
        <v>0</v>
      </c>
      <c r="I7678" t="n">
        <v>0</v>
      </c>
      <c r="J7678" t="n">
        <v>0</v>
      </c>
      <c r="K7678" t="n">
        <v>0</v>
      </c>
      <c r="L7678" t="n">
        <v>0</v>
      </c>
      <c r="M7678" t="n">
        <v>0</v>
      </c>
      <c r="N7678" t="n">
        <v>0</v>
      </c>
      <c r="O7678" t="n">
        <v>0</v>
      </c>
      <c r="P7678" t="n">
        <v>0</v>
      </c>
      <c r="Q7678" t="n">
        <v>0</v>
      </c>
      <c r="R7678" s="2" t="inlineStr"/>
    </row>
    <row r="7679" ht="15" customHeight="1">
      <c r="A7679" t="inlineStr">
        <is>
          <t>A 61409-2021</t>
        </is>
      </c>
      <c r="B7679" s="1" t="n">
        <v>44500.91974537037</v>
      </c>
      <c r="C7679" s="1" t="n">
        <v>46093</v>
      </c>
      <c r="D7679" t="inlineStr">
        <is>
          <t>VÄSTERNORRLANDS LÄN</t>
        </is>
      </c>
      <c r="E7679" t="inlineStr">
        <is>
          <t>SUNDSVALL</t>
        </is>
      </c>
      <c r="G7679" t="n">
        <v>1.3</v>
      </c>
      <c r="H7679" t="n">
        <v>0</v>
      </c>
      <c r="I7679" t="n">
        <v>0</v>
      </c>
      <c r="J7679" t="n">
        <v>0</v>
      </c>
      <c r="K7679" t="n">
        <v>0</v>
      </c>
      <c r="L7679" t="n">
        <v>0</v>
      </c>
      <c r="M7679" t="n">
        <v>0</v>
      </c>
      <c r="N7679" t="n">
        <v>0</v>
      </c>
      <c r="O7679" t="n">
        <v>0</v>
      </c>
      <c r="P7679" t="n">
        <v>0</v>
      </c>
      <c r="Q7679" t="n">
        <v>0</v>
      </c>
      <c r="R7679" s="2" t="inlineStr"/>
    </row>
    <row r="7680" ht="15" customHeight="1">
      <c r="A7680" t="inlineStr">
        <is>
          <t>A 38146-2024</t>
        </is>
      </c>
      <c r="B7680" s="1" t="n">
        <v>45545</v>
      </c>
      <c r="C7680" s="1" t="n">
        <v>46093</v>
      </c>
      <c r="D7680" t="inlineStr">
        <is>
          <t>VÄSTERNORRLANDS LÄN</t>
        </is>
      </c>
      <c r="E7680" t="inlineStr">
        <is>
          <t>HÄRNÖSAND</t>
        </is>
      </c>
      <c r="G7680" t="n">
        <v>7.2</v>
      </c>
      <c r="H7680" t="n">
        <v>0</v>
      </c>
      <c r="I7680" t="n">
        <v>0</v>
      </c>
      <c r="J7680" t="n">
        <v>0</v>
      </c>
      <c r="K7680" t="n">
        <v>0</v>
      </c>
      <c r="L7680" t="n">
        <v>0</v>
      </c>
      <c r="M7680" t="n">
        <v>0</v>
      </c>
      <c r="N7680" t="n">
        <v>0</v>
      </c>
      <c r="O7680" t="n">
        <v>0</v>
      </c>
      <c r="P7680" t="n">
        <v>0</v>
      </c>
      <c r="Q7680" t="n">
        <v>0</v>
      </c>
      <c r="R7680" s="2" t="inlineStr"/>
    </row>
    <row r="7681" ht="15" customHeight="1">
      <c r="A7681" t="inlineStr">
        <is>
          <t>A 51528-2025</t>
        </is>
      </c>
      <c r="B7681" s="1" t="n">
        <v>45950</v>
      </c>
      <c r="C7681" s="1" t="n">
        <v>46093</v>
      </c>
      <c r="D7681" t="inlineStr">
        <is>
          <t>VÄSTERNORRLANDS LÄN</t>
        </is>
      </c>
      <c r="E7681" t="inlineStr">
        <is>
          <t>KRAMFORS</t>
        </is>
      </c>
      <c r="G7681" t="n">
        <v>2.4</v>
      </c>
      <c r="H7681" t="n">
        <v>0</v>
      </c>
      <c r="I7681" t="n">
        <v>0</v>
      </c>
      <c r="J7681" t="n">
        <v>0</v>
      </c>
      <c r="K7681" t="n">
        <v>0</v>
      </c>
      <c r="L7681" t="n">
        <v>0</v>
      </c>
      <c r="M7681" t="n">
        <v>0</v>
      </c>
      <c r="N7681" t="n">
        <v>0</v>
      </c>
      <c r="O7681" t="n">
        <v>0</v>
      </c>
      <c r="P7681" t="n">
        <v>0</v>
      </c>
      <c r="Q7681" t="n">
        <v>0</v>
      </c>
      <c r="R7681" s="2" t="inlineStr"/>
    </row>
    <row r="7682" ht="15" customHeight="1">
      <c r="A7682" t="inlineStr">
        <is>
          <t>A 27703-2024</t>
        </is>
      </c>
      <c r="B7682" s="1" t="n">
        <v>45475</v>
      </c>
      <c r="C7682" s="1" t="n">
        <v>46093</v>
      </c>
      <c r="D7682" t="inlineStr">
        <is>
          <t>VÄSTERNORRLANDS LÄN</t>
        </is>
      </c>
      <c r="E7682" t="inlineStr">
        <is>
          <t>ÖRNSKÖLDSVIK</t>
        </is>
      </c>
      <c r="F7682" t="inlineStr">
        <is>
          <t>Holmen skog AB</t>
        </is>
      </c>
      <c r="G7682" t="n">
        <v>2.6</v>
      </c>
      <c r="H7682" t="n">
        <v>0</v>
      </c>
      <c r="I7682" t="n">
        <v>0</v>
      </c>
      <c r="J7682" t="n">
        <v>0</v>
      </c>
      <c r="K7682" t="n">
        <v>0</v>
      </c>
      <c r="L7682" t="n">
        <v>0</v>
      </c>
      <c r="M7682" t="n">
        <v>0</v>
      </c>
      <c r="N7682" t="n">
        <v>0</v>
      </c>
      <c r="O7682" t="n">
        <v>0</v>
      </c>
      <c r="P7682" t="n">
        <v>0</v>
      </c>
      <c r="Q7682" t="n">
        <v>0</v>
      </c>
      <c r="R7682" s="2" t="inlineStr"/>
    </row>
    <row r="7683" ht="15" customHeight="1">
      <c r="A7683" t="inlineStr">
        <is>
          <t>A 6907-2025</t>
        </is>
      </c>
      <c r="B7683" s="1" t="n">
        <v>45701.42153935185</v>
      </c>
      <c r="C7683" s="1" t="n">
        <v>46093</v>
      </c>
      <c r="D7683" t="inlineStr">
        <is>
          <t>VÄSTERNORRLANDS LÄN</t>
        </is>
      </c>
      <c r="E7683" t="inlineStr">
        <is>
          <t>ÖRNSKÖLDSVIK</t>
        </is>
      </c>
      <c r="G7683" t="n">
        <v>1.3</v>
      </c>
      <c r="H7683" t="n">
        <v>0</v>
      </c>
      <c r="I7683" t="n">
        <v>0</v>
      </c>
      <c r="J7683" t="n">
        <v>0</v>
      </c>
      <c r="K7683" t="n">
        <v>0</v>
      </c>
      <c r="L7683" t="n">
        <v>0</v>
      </c>
      <c r="M7683" t="n">
        <v>0</v>
      </c>
      <c r="N7683" t="n">
        <v>0</v>
      </c>
      <c r="O7683" t="n">
        <v>0</v>
      </c>
      <c r="P7683" t="n">
        <v>0</v>
      </c>
      <c r="Q7683" t="n">
        <v>0</v>
      </c>
      <c r="R7683" s="2" t="inlineStr"/>
    </row>
    <row r="7684" ht="15" customHeight="1">
      <c r="A7684" t="inlineStr">
        <is>
          <t>A 54926-2025</t>
        </is>
      </c>
      <c r="B7684" s="1" t="n">
        <v>45967.40707175926</v>
      </c>
      <c r="C7684" s="1" t="n">
        <v>46093</v>
      </c>
      <c r="D7684" t="inlineStr">
        <is>
          <t>VÄSTERNORRLANDS LÄN</t>
        </is>
      </c>
      <c r="E7684" t="inlineStr">
        <is>
          <t>ÅNGE</t>
        </is>
      </c>
      <c r="G7684" t="n">
        <v>3.1</v>
      </c>
      <c r="H7684" t="n">
        <v>0</v>
      </c>
      <c r="I7684" t="n">
        <v>0</v>
      </c>
      <c r="J7684" t="n">
        <v>0</v>
      </c>
      <c r="K7684" t="n">
        <v>0</v>
      </c>
      <c r="L7684" t="n">
        <v>0</v>
      </c>
      <c r="M7684" t="n">
        <v>0</v>
      </c>
      <c r="N7684" t="n">
        <v>0</v>
      </c>
      <c r="O7684" t="n">
        <v>0</v>
      </c>
      <c r="P7684" t="n">
        <v>0</v>
      </c>
      <c r="Q7684" t="n">
        <v>0</v>
      </c>
      <c r="R7684" s="2" t="inlineStr"/>
    </row>
    <row r="7685" ht="15" customHeight="1">
      <c r="A7685" t="inlineStr">
        <is>
          <t>A 54932-2025</t>
        </is>
      </c>
      <c r="B7685" s="1" t="n">
        <v>45967.42759259259</v>
      </c>
      <c r="C7685" s="1" t="n">
        <v>46093</v>
      </c>
      <c r="D7685" t="inlineStr">
        <is>
          <t>VÄSTERNORRLANDS LÄN</t>
        </is>
      </c>
      <c r="E7685" t="inlineStr">
        <is>
          <t>SOLLEFTEÅ</t>
        </is>
      </c>
      <c r="F7685" t="inlineStr">
        <is>
          <t>SCA</t>
        </is>
      </c>
      <c r="G7685" t="n">
        <v>8</v>
      </c>
      <c r="H7685" t="n">
        <v>0</v>
      </c>
      <c r="I7685" t="n">
        <v>0</v>
      </c>
      <c r="J7685" t="n">
        <v>0</v>
      </c>
      <c r="K7685" t="n">
        <v>0</v>
      </c>
      <c r="L7685" t="n">
        <v>0</v>
      </c>
      <c r="M7685" t="n">
        <v>0</v>
      </c>
      <c r="N7685" t="n">
        <v>0</v>
      </c>
      <c r="O7685" t="n">
        <v>0</v>
      </c>
      <c r="P7685" t="n">
        <v>0</v>
      </c>
      <c r="Q7685" t="n">
        <v>0</v>
      </c>
      <c r="R7685" s="2" t="inlineStr"/>
    </row>
    <row r="7686" ht="15" customHeight="1">
      <c r="A7686" t="inlineStr">
        <is>
          <t>A 54935-2025</t>
        </is>
      </c>
      <c r="B7686" s="1" t="n">
        <v>45967.428125</v>
      </c>
      <c r="C7686" s="1" t="n">
        <v>46093</v>
      </c>
      <c r="D7686" t="inlineStr">
        <is>
          <t>VÄSTERNORRLANDS LÄN</t>
        </is>
      </c>
      <c r="E7686" t="inlineStr">
        <is>
          <t>SOLLEFTEÅ</t>
        </is>
      </c>
      <c r="F7686" t="inlineStr">
        <is>
          <t>Kyrkan</t>
        </is>
      </c>
      <c r="G7686" t="n">
        <v>2.1</v>
      </c>
      <c r="H7686" t="n">
        <v>0</v>
      </c>
      <c r="I7686" t="n">
        <v>0</v>
      </c>
      <c r="J7686" t="n">
        <v>0</v>
      </c>
      <c r="K7686" t="n">
        <v>0</v>
      </c>
      <c r="L7686" t="n">
        <v>0</v>
      </c>
      <c r="M7686" t="n">
        <v>0</v>
      </c>
      <c r="N7686" t="n">
        <v>0</v>
      </c>
      <c r="O7686" t="n">
        <v>0</v>
      </c>
      <c r="P7686" t="n">
        <v>0</v>
      </c>
      <c r="Q7686" t="n">
        <v>0</v>
      </c>
      <c r="R7686" s="2" t="inlineStr"/>
    </row>
    <row r="7687" ht="15" customHeight="1">
      <c r="A7687" t="inlineStr">
        <is>
          <t>A 55148-2025</t>
        </is>
      </c>
      <c r="B7687" s="1" t="n">
        <v>45968.44716435186</v>
      </c>
      <c r="C7687" s="1" t="n">
        <v>46093</v>
      </c>
      <c r="D7687" t="inlineStr">
        <is>
          <t>VÄSTERNORRLANDS LÄN</t>
        </is>
      </c>
      <c r="E7687" t="inlineStr">
        <is>
          <t>KRAMFORS</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55193-2025</t>
        </is>
      </c>
      <c r="B7688" s="1" t="n">
        <v>45968.54936342593</v>
      </c>
      <c r="C7688" s="1" t="n">
        <v>46093</v>
      </c>
      <c r="D7688" t="inlineStr">
        <is>
          <t>VÄSTERNORRLANDS LÄN</t>
        </is>
      </c>
      <c r="E7688" t="inlineStr">
        <is>
          <t>ÖRNSKÖLDSVIK</t>
        </is>
      </c>
      <c r="F7688" t="inlineStr">
        <is>
          <t>Holmen skog AB</t>
        </is>
      </c>
      <c r="G7688" t="n">
        <v>4.7</v>
      </c>
      <c r="H7688" t="n">
        <v>0</v>
      </c>
      <c r="I7688" t="n">
        <v>0</v>
      </c>
      <c r="J7688" t="n">
        <v>0</v>
      </c>
      <c r="K7688" t="n">
        <v>0</v>
      </c>
      <c r="L7688" t="n">
        <v>0</v>
      </c>
      <c r="M7688" t="n">
        <v>0</v>
      </c>
      <c r="N7688" t="n">
        <v>0</v>
      </c>
      <c r="O7688" t="n">
        <v>0</v>
      </c>
      <c r="P7688" t="n">
        <v>0</v>
      </c>
      <c r="Q7688" t="n">
        <v>0</v>
      </c>
      <c r="R7688" s="2" t="inlineStr"/>
    </row>
    <row r="7689" ht="15" customHeight="1">
      <c r="A7689" t="inlineStr">
        <is>
          <t>A 54936-2025</t>
        </is>
      </c>
      <c r="B7689" s="1" t="n">
        <v>45967.42828703704</v>
      </c>
      <c r="C7689" s="1" t="n">
        <v>46093</v>
      </c>
      <c r="D7689" t="inlineStr">
        <is>
          <t>VÄSTERNORRLANDS LÄN</t>
        </is>
      </c>
      <c r="E7689" t="inlineStr">
        <is>
          <t>SOLLEFTEÅ</t>
        </is>
      </c>
      <c r="F7689" t="inlineStr">
        <is>
          <t>SCA</t>
        </is>
      </c>
      <c r="G7689" t="n">
        <v>3.5</v>
      </c>
      <c r="H7689" t="n">
        <v>0</v>
      </c>
      <c r="I7689" t="n">
        <v>0</v>
      </c>
      <c r="J7689" t="n">
        <v>0</v>
      </c>
      <c r="K7689" t="n">
        <v>0</v>
      </c>
      <c r="L7689" t="n">
        <v>0</v>
      </c>
      <c r="M7689" t="n">
        <v>0</v>
      </c>
      <c r="N7689" t="n">
        <v>0</v>
      </c>
      <c r="O7689" t="n">
        <v>0</v>
      </c>
      <c r="P7689" t="n">
        <v>0</v>
      </c>
      <c r="Q7689" t="n">
        <v>0</v>
      </c>
      <c r="R7689" s="2" t="inlineStr"/>
    </row>
    <row r="7690" ht="15" customHeight="1">
      <c r="A7690" t="inlineStr">
        <is>
          <t>A 54939-2025</t>
        </is>
      </c>
      <c r="B7690" s="1" t="n">
        <v>45967.43951388889</v>
      </c>
      <c r="C7690" s="1" t="n">
        <v>46093</v>
      </c>
      <c r="D7690" t="inlineStr">
        <is>
          <t>VÄSTERNORRLANDS LÄN</t>
        </is>
      </c>
      <c r="E7690" t="inlineStr">
        <is>
          <t>ÖRNSKÖLDSVIK</t>
        </is>
      </c>
      <c r="F7690" t="inlineStr">
        <is>
          <t>Holmen skog AB</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40590-2022</t>
        </is>
      </c>
      <c r="B7691" s="1" t="n">
        <v>44823.82476851852</v>
      </c>
      <c r="C7691" s="1" t="n">
        <v>46093</v>
      </c>
      <c r="D7691" t="inlineStr">
        <is>
          <t>VÄSTERNORRLANDS LÄN</t>
        </is>
      </c>
      <c r="E7691" t="inlineStr">
        <is>
          <t>ÖRNSKÖLDSVIK</t>
        </is>
      </c>
      <c r="G7691" t="n">
        <v>10</v>
      </c>
      <c r="H7691" t="n">
        <v>0</v>
      </c>
      <c r="I7691" t="n">
        <v>0</v>
      </c>
      <c r="J7691" t="n">
        <v>0</v>
      </c>
      <c r="K7691" t="n">
        <v>0</v>
      </c>
      <c r="L7691" t="n">
        <v>0</v>
      </c>
      <c r="M7691" t="n">
        <v>0</v>
      </c>
      <c r="N7691" t="n">
        <v>0</v>
      </c>
      <c r="O7691" t="n">
        <v>0</v>
      </c>
      <c r="P7691" t="n">
        <v>0</v>
      </c>
      <c r="Q7691" t="n">
        <v>0</v>
      </c>
      <c r="R7691" s="2" t="inlineStr"/>
    </row>
    <row r="7692" ht="15" customHeight="1">
      <c r="A7692" t="inlineStr">
        <is>
          <t>A 54951-2025</t>
        </is>
      </c>
      <c r="B7692" s="1" t="n">
        <v>45967.44902777778</v>
      </c>
      <c r="C7692" s="1" t="n">
        <v>46093</v>
      </c>
      <c r="D7692" t="inlineStr">
        <is>
          <t>VÄSTERNORRLANDS LÄN</t>
        </is>
      </c>
      <c r="E7692" t="inlineStr">
        <is>
          <t>SOLLEFTEÅ</t>
        </is>
      </c>
      <c r="F7692" t="inlineStr">
        <is>
          <t>Kyrkan</t>
        </is>
      </c>
      <c r="G7692" t="n">
        <v>1.7</v>
      </c>
      <c r="H7692" t="n">
        <v>0</v>
      </c>
      <c r="I7692" t="n">
        <v>0</v>
      </c>
      <c r="J7692" t="n">
        <v>0</v>
      </c>
      <c r="K7692" t="n">
        <v>0</v>
      </c>
      <c r="L7692" t="n">
        <v>0</v>
      </c>
      <c r="M7692" t="n">
        <v>0</v>
      </c>
      <c r="N7692" t="n">
        <v>0</v>
      </c>
      <c r="O7692" t="n">
        <v>0</v>
      </c>
      <c r="P7692" t="n">
        <v>0</v>
      </c>
      <c r="Q7692" t="n">
        <v>0</v>
      </c>
      <c r="R7692" s="2" t="inlineStr"/>
    </row>
    <row r="7693" ht="15" customHeight="1">
      <c r="A7693" t="inlineStr">
        <is>
          <t>A 54956-2025</t>
        </is>
      </c>
      <c r="B7693" s="1" t="n">
        <v>45967.46923611111</v>
      </c>
      <c r="C7693" s="1" t="n">
        <v>46093</v>
      </c>
      <c r="D7693" t="inlineStr">
        <is>
          <t>VÄSTERNORRLANDS LÄN</t>
        </is>
      </c>
      <c r="E7693" t="inlineStr">
        <is>
          <t>SOLLEFTEÅ</t>
        </is>
      </c>
      <c r="F7693" t="inlineStr">
        <is>
          <t>SCA</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10463-2025</t>
        </is>
      </c>
      <c r="B7694" s="1" t="n">
        <v>45720.77386574074</v>
      </c>
      <c r="C7694" s="1" t="n">
        <v>46093</v>
      </c>
      <c r="D7694" t="inlineStr">
        <is>
          <t>VÄSTERNORRLANDS LÄN</t>
        </is>
      </c>
      <c r="E7694" t="inlineStr">
        <is>
          <t>ÖRNSKÖLDSVIK</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57203-2021</t>
        </is>
      </c>
      <c r="B7695" s="1" t="n">
        <v>44482</v>
      </c>
      <c r="C7695" s="1" t="n">
        <v>46093</v>
      </c>
      <c r="D7695" t="inlineStr">
        <is>
          <t>VÄSTERNORRLANDS LÄN</t>
        </is>
      </c>
      <c r="E7695" t="inlineStr">
        <is>
          <t>KRAMFORS</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9146-2025</t>
        </is>
      </c>
      <c r="B7696" s="1" t="n">
        <v>45714.33052083333</v>
      </c>
      <c r="C7696" s="1" t="n">
        <v>46093</v>
      </c>
      <c r="D7696" t="inlineStr">
        <is>
          <t>VÄSTERNORRLANDS LÄN</t>
        </is>
      </c>
      <c r="E7696" t="inlineStr">
        <is>
          <t>ÖRNSKÖLDSVIK</t>
        </is>
      </c>
      <c r="G7696" t="n">
        <v>0.5</v>
      </c>
      <c r="H7696" t="n">
        <v>0</v>
      </c>
      <c r="I7696" t="n">
        <v>0</v>
      </c>
      <c r="J7696" t="n">
        <v>0</v>
      </c>
      <c r="K7696" t="n">
        <v>0</v>
      </c>
      <c r="L7696" t="n">
        <v>0</v>
      </c>
      <c r="M7696" t="n">
        <v>0</v>
      </c>
      <c r="N7696" t="n">
        <v>0</v>
      </c>
      <c r="O7696" t="n">
        <v>0</v>
      </c>
      <c r="P7696" t="n">
        <v>0</v>
      </c>
      <c r="Q7696" t="n">
        <v>0</v>
      </c>
      <c r="R7696" s="2" t="inlineStr"/>
    </row>
    <row r="7697" ht="15" customHeight="1">
      <c r="A7697" t="inlineStr">
        <is>
          <t>A 55093-2025</t>
        </is>
      </c>
      <c r="B7697" s="1" t="n">
        <v>45968.34474537037</v>
      </c>
      <c r="C7697" s="1" t="n">
        <v>46093</v>
      </c>
      <c r="D7697" t="inlineStr">
        <is>
          <t>VÄSTERNORRLANDS LÄN</t>
        </is>
      </c>
      <c r="E7697" t="inlineStr">
        <is>
          <t>ÖRNSKÖLDSVIK</t>
        </is>
      </c>
      <c r="F7697" t="inlineStr">
        <is>
          <t>SCA</t>
        </is>
      </c>
      <c r="G7697" t="n">
        <v>4.9</v>
      </c>
      <c r="H7697" t="n">
        <v>0</v>
      </c>
      <c r="I7697" t="n">
        <v>0</v>
      </c>
      <c r="J7697" t="n">
        <v>0</v>
      </c>
      <c r="K7697" t="n">
        <v>0</v>
      </c>
      <c r="L7697" t="n">
        <v>0</v>
      </c>
      <c r="M7697" t="n">
        <v>0</v>
      </c>
      <c r="N7697" t="n">
        <v>0</v>
      </c>
      <c r="O7697" t="n">
        <v>0</v>
      </c>
      <c r="P7697" t="n">
        <v>0</v>
      </c>
      <c r="Q7697" t="n">
        <v>0</v>
      </c>
      <c r="R7697" s="2" t="inlineStr"/>
    </row>
    <row r="7698" ht="15" customHeight="1">
      <c r="A7698" t="inlineStr">
        <is>
          <t>A 55013-2025</t>
        </is>
      </c>
      <c r="B7698" s="1" t="n">
        <v>45967.61578703704</v>
      </c>
      <c r="C7698" s="1" t="n">
        <v>46093</v>
      </c>
      <c r="D7698" t="inlineStr">
        <is>
          <t>VÄSTERNORRLANDS LÄN</t>
        </is>
      </c>
      <c r="E7698" t="inlineStr">
        <is>
          <t>SOLLEFTEÅ</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55014-2025</t>
        </is>
      </c>
      <c r="B7699" s="1" t="n">
        <v>45967.61597222222</v>
      </c>
      <c r="C7699" s="1" t="n">
        <v>46093</v>
      </c>
      <c r="D7699" t="inlineStr">
        <is>
          <t>VÄSTERNORRLANDS LÄN</t>
        </is>
      </c>
      <c r="E7699" t="inlineStr">
        <is>
          <t>SOLLEFTEÅ</t>
        </is>
      </c>
      <c r="G7699" t="n">
        <v>12.5</v>
      </c>
      <c r="H7699" t="n">
        <v>0</v>
      </c>
      <c r="I7699" t="n">
        <v>0</v>
      </c>
      <c r="J7699" t="n">
        <v>0</v>
      </c>
      <c r="K7699" t="n">
        <v>0</v>
      </c>
      <c r="L7699" t="n">
        <v>0</v>
      </c>
      <c r="M7699" t="n">
        <v>0</v>
      </c>
      <c r="N7699" t="n">
        <v>0</v>
      </c>
      <c r="O7699" t="n">
        <v>0</v>
      </c>
      <c r="P7699" t="n">
        <v>0</v>
      </c>
      <c r="Q7699" t="n">
        <v>0</v>
      </c>
      <c r="R7699" s="2" t="inlineStr"/>
    </row>
    <row r="7700" ht="15" customHeight="1">
      <c r="A7700" t="inlineStr">
        <is>
          <t>A 45266-2024</t>
        </is>
      </c>
      <c r="B7700" s="1" t="n">
        <v>45576.35297453704</v>
      </c>
      <c r="C7700" s="1" t="n">
        <v>46093</v>
      </c>
      <c r="D7700" t="inlineStr">
        <is>
          <t>VÄSTERNORRLANDS LÄN</t>
        </is>
      </c>
      <c r="E7700" t="inlineStr">
        <is>
          <t>ÖRNSKÖLDSVIK</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19079-2021</t>
        </is>
      </c>
      <c r="B7701" s="1" t="n">
        <v>44308</v>
      </c>
      <c r="C7701" s="1" t="n">
        <v>46093</v>
      </c>
      <c r="D7701" t="inlineStr">
        <is>
          <t>VÄSTERNORRLANDS LÄN</t>
        </is>
      </c>
      <c r="E7701" t="inlineStr">
        <is>
          <t>ÖRNSKÖLDSVIK</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55038-2025</t>
        </is>
      </c>
      <c r="B7702" s="1" t="n">
        <v>45967.65527777778</v>
      </c>
      <c r="C7702" s="1" t="n">
        <v>46093</v>
      </c>
      <c r="D7702" t="inlineStr">
        <is>
          <t>VÄSTERNORRLANDS LÄN</t>
        </is>
      </c>
      <c r="E7702" t="inlineStr">
        <is>
          <t>ÅNGE</t>
        </is>
      </c>
      <c r="G7702" t="n">
        <v>4.5</v>
      </c>
      <c r="H7702" t="n">
        <v>0</v>
      </c>
      <c r="I7702" t="n">
        <v>0</v>
      </c>
      <c r="J7702" t="n">
        <v>0</v>
      </c>
      <c r="K7702" t="n">
        <v>0</v>
      </c>
      <c r="L7702" t="n">
        <v>0</v>
      </c>
      <c r="M7702" t="n">
        <v>0</v>
      </c>
      <c r="N7702" t="n">
        <v>0</v>
      </c>
      <c r="O7702" t="n">
        <v>0</v>
      </c>
      <c r="P7702" t="n">
        <v>0</v>
      </c>
      <c r="Q7702" t="n">
        <v>0</v>
      </c>
      <c r="R7702" s="2" t="inlineStr"/>
    </row>
    <row r="7703" ht="15" customHeight="1">
      <c r="A7703" t="inlineStr">
        <is>
          <t>A 55045-2025</t>
        </is>
      </c>
      <c r="B7703" s="1" t="n">
        <v>45967.66068287037</v>
      </c>
      <c r="C7703" s="1" t="n">
        <v>46093</v>
      </c>
      <c r="D7703" t="inlineStr">
        <is>
          <t>VÄSTERNORRLANDS LÄN</t>
        </is>
      </c>
      <c r="E7703" t="inlineStr">
        <is>
          <t>ÅNGE</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55214-2025</t>
        </is>
      </c>
      <c r="B7704" s="1" t="n">
        <v>45968.58409722222</v>
      </c>
      <c r="C7704" s="1" t="n">
        <v>46093</v>
      </c>
      <c r="D7704" t="inlineStr">
        <is>
          <t>VÄSTERNORRLANDS LÄN</t>
        </is>
      </c>
      <c r="E7704" t="inlineStr">
        <is>
          <t>ÖRNSKÖLDSVIK</t>
        </is>
      </c>
      <c r="F7704" t="inlineStr">
        <is>
          <t>Holmen skog AB</t>
        </is>
      </c>
      <c r="G7704" t="n">
        <v>0.6</v>
      </c>
      <c r="H7704" t="n">
        <v>0</v>
      </c>
      <c r="I7704" t="n">
        <v>0</v>
      </c>
      <c r="J7704" t="n">
        <v>0</v>
      </c>
      <c r="K7704" t="n">
        <v>0</v>
      </c>
      <c r="L7704" t="n">
        <v>0</v>
      </c>
      <c r="M7704" t="n">
        <v>0</v>
      </c>
      <c r="N7704" t="n">
        <v>0</v>
      </c>
      <c r="O7704" t="n">
        <v>0</v>
      </c>
      <c r="P7704" t="n">
        <v>0</v>
      </c>
      <c r="Q7704" t="n">
        <v>0</v>
      </c>
      <c r="R7704" s="2" t="inlineStr"/>
    </row>
    <row r="7705" ht="15" customHeight="1">
      <c r="A7705" t="inlineStr">
        <is>
          <t>A 55219-2025</t>
        </is>
      </c>
      <c r="B7705" s="1" t="n">
        <v>45968.58971064815</v>
      </c>
      <c r="C7705" s="1" t="n">
        <v>46093</v>
      </c>
      <c r="D7705" t="inlineStr">
        <is>
          <t>VÄSTERNORRLANDS LÄN</t>
        </is>
      </c>
      <c r="E7705" t="inlineStr">
        <is>
          <t>ÖRNSKÖLDSVIK</t>
        </is>
      </c>
      <c r="F7705" t="inlineStr">
        <is>
          <t>Holmen skog AB</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55244-2025</t>
        </is>
      </c>
      <c r="B7706" s="1" t="n">
        <v>45968.6209375</v>
      </c>
      <c r="C7706" s="1" t="n">
        <v>46093</v>
      </c>
      <c r="D7706" t="inlineStr">
        <is>
          <t>VÄSTERNORRLANDS LÄN</t>
        </is>
      </c>
      <c r="E7706" t="inlineStr">
        <is>
          <t>ÖRNSKÖLDSVIK</t>
        </is>
      </c>
      <c r="F7706" t="inlineStr">
        <is>
          <t>Holmen skog AB</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55136-2025</t>
        </is>
      </c>
      <c r="B7707" s="1" t="n">
        <v>45968.42752314815</v>
      </c>
      <c r="C7707" s="1" t="n">
        <v>46093</v>
      </c>
      <c r="D7707" t="inlineStr">
        <is>
          <t>VÄSTERNORRLANDS LÄN</t>
        </is>
      </c>
      <c r="E7707" t="inlineStr">
        <is>
          <t>SOLLEFTEÅ</t>
        </is>
      </c>
      <c r="F7707" t="inlineStr">
        <is>
          <t>SCA</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55068-2025</t>
        </is>
      </c>
      <c r="B7708" s="1" t="n">
        <v>45967.7225462963</v>
      </c>
      <c r="C7708" s="1" t="n">
        <v>46093</v>
      </c>
      <c r="D7708" t="inlineStr">
        <is>
          <t>VÄSTERNORRLANDS LÄN</t>
        </is>
      </c>
      <c r="E7708" t="inlineStr">
        <is>
          <t>SOLLEFTEÅ</t>
        </is>
      </c>
      <c r="F7708" t="inlineStr">
        <is>
          <t>SCA</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55128-2025</t>
        </is>
      </c>
      <c r="B7709" s="1" t="n">
        <v>45968.41428240741</v>
      </c>
      <c r="C7709" s="1" t="n">
        <v>46093</v>
      </c>
      <c r="D7709" t="inlineStr">
        <is>
          <t>VÄSTERNORRLANDS LÄN</t>
        </is>
      </c>
      <c r="E7709" t="inlineStr">
        <is>
          <t>KRAMFORS</t>
        </is>
      </c>
      <c r="G7709" t="n">
        <v>3.5</v>
      </c>
      <c r="H7709" t="n">
        <v>0</v>
      </c>
      <c r="I7709" t="n">
        <v>0</v>
      </c>
      <c r="J7709" t="n">
        <v>0</v>
      </c>
      <c r="K7709" t="n">
        <v>0</v>
      </c>
      <c r="L7709" t="n">
        <v>0</v>
      </c>
      <c r="M7709" t="n">
        <v>0</v>
      </c>
      <c r="N7709" t="n">
        <v>0</v>
      </c>
      <c r="O7709" t="n">
        <v>0</v>
      </c>
      <c r="P7709" t="n">
        <v>0</v>
      </c>
      <c r="Q7709" t="n">
        <v>0</v>
      </c>
      <c r="R7709" s="2" t="inlineStr"/>
    </row>
    <row r="7710" ht="15" customHeight="1">
      <c r="A7710" t="inlineStr">
        <is>
          <t>A 42482-2024</t>
        </is>
      </c>
      <c r="B7710" s="1" t="n">
        <v>45565</v>
      </c>
      <c r="C7710" s="1" t="n">
        <v>46093</v>
      </c>
      <c r="D7710" t="inlineStr">
        <is>
          <t>VÄSTERNORRLANDS LÄN</t>
        </is>
      </c>
      <c r="E7710" t="inlineStr">
        <is>
          <t>SOLLEFTEÅ</t>
        </is>
      </c>
      <c r="F7710" t="inlineStr">
        <is>
          <t>SCA</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35042-2025</t>
        </is>
      </c>
      <c r="B7711" s="1" t="n">
        <v>45852.34447916667</v>
      </c>
      <c r="C7711" s="1" t="n">
        <v>46093</v>
      </c>
      <c r="D7711" t="inlineStr">
        <is>
          <t>VÄSTERNORRLANDS LÄN</t>
        </is>
      </c>
      <c r="E7711" t="inlineStr">
        <is>
          <t>SOLLEFTEÅ</t>
        </is>
      </c>
      <c r="F7711" t="inlineStr">
        <is>
          <t>SCA</t>
        </is>
      </c>
      <c r="G7711" t="n">
        <v>4.1</v>
      </c>
      <c r="H7711" t="n">
        <v>0</v>
      </c>
      <c r="I7711" t="n">
        <v>0</v>
      </c>
      <c r="J7711" t="n">
        <v>0</v>
      </c>
      <c r="K7711" t="n">
        <v>0</v>
      </c>
      <c r="L7711" t="n">
        <v>0</v>
      </c>
      <c r="M7711" t="n">
        <v>0</v>
      </c>
      <c r="N7711" t="n">
        <v>0</v>
      </c>
      <c r="O7711" t="n">
        <v>0</v>
      </c>
      <c r="P7711" t="n">
        <v>0</v>
      </c>
      <c r="Q7711" t="n">
        <v>0</v>
      </c>
      <c r="R7711" s="2" t="inlineStr"/>
    </row>
    <row r="7712" ht="15" customHeight="1">
      <c r="A7712" t="inlineStr">
        <is>
          <t>A 55157-2025</t>
        </is>
      </c>
      <c r="B7712" s="1" t="n">
        <v>45968.46418981482</v>
      </c>
      <c r="C7712" s="1" t="n">
        <v>46093</v>
      </c>
      <c r="D7712" t="inlineStr">
        <is>
          <t>VÄSTERNORRLANDS LÄN</t>
        </is>
      </c>
      <c r="E7712" t="inlineStr">
        <is>
          <t>KRAMFORS</t>
        </is>
      </c>
      <c r="G7712" t="n">
        <v>2.1</v>
      </c>
      <c r="H7712" t="n">
        <v>0</v>
      </c>
      <c r="I7712" t="n">
        <v>0</v>
      </c>
      <c r="J7712" t="n">
        <v>0</v>
      </c>
      <c r="K7712" t="n">
        <v>0</v>
      </c>
      <c r="L7712" t="n">
        <v>0</v>
      </c>
      <c r="M7712" t="n">
        <v>0</v>
      </c>
      <c r="N7712" t="n">
        <v>0</v>
      </c>
      <c r="O7712" t="n">
        <v>0</v>
      </c>
      <c r="P7712" t="n">
        <v>0</v>
      </c>
      <c r="Q7712" t="n">
        <v>0</v>
      </c>
      <c r="R7712" s="2" t="inlineStr"/>
    </row>
    <row r="7713" ht="15" customHeight="1">
      <c r="A7713" t="inlineStr">
        <is>
          <t>A 55091-2025</t>
        </is>
      </c>
      <c r="B7713" s="1" t="n">
        <v>45968.34451388889</v>
      </c>
      <c r="C7713" s="1" t="n">
        <v>46093</v>
      </c>
      <c r="D7713" t="inlineStr">
        <is>
          <t>VÄSTERNORRLANDS LÄN</t>
        </is>
      </c>
      <c r="E7713" t="inlineStr">
        <is>
          <t>ÖRNSKÖLDSVIK</t>
        </is>
      </c>
      <c r="F7713" t="inlineStr">
        <is>
          <t>SCA</t>
        </is>
      </c>
      <c r="G7713" t="n">
        <v>2.5</v>
      </c>
      <c r="H7713" t="n">
        <v>0</v>
      </c>
      <c r="I7713" t="n">
        <v>0</v>
      </c>
      <c r="J7713" t="n">
        <v>0</v>
      </c>
      <c r="K7713" t="n">
        <v>0</v>
      </c>
      <c r="L7713" t="n">
        <v>0</v>
      </c>
      <c r="M7713" t="n">
        <v>0</v>
      </c>
      <c r="N7713" t="n">
        <v>0</v>
      </c>
      <c r="O7713" t="n">
        <v>0</v>
      </c>
      <c r="P7713" t="n">
        <v>0</v>
      </c>
      <c r="Q7713" t="n">
        <v>0</v>
      </c>
      <c r="R7713" s="2" t="inlineStr"/>
    </row>
    <row r="7714" ht="15" customHeight="1">
      <c r="A7714" t="inlineStr">
        <is>
          <t>A 55133-2025</t>
        </is>
      </c>
      <c r="B7714" s="1" t="n">
        <v>45968.41929398148</v>
      </c>
      <c r="C7714" s="1" t="n">
        <v>46093</v>
      </c>
      <c r="D7714" t="inlineStr">
        <is>
          <t>VÄSTERNORRLANDS LÄN</t>
        </is>
      </c>
      <c r="E7714" t="inlineStr">
        <is>
          <t>SUNDSVALL</t>
        </is>
      </c>
      <c r="G7714" t="n">
        <v>2.3</v>
      </c>
      <c r="H7714" t="n">
        <v>0</v>
      </c>
      <c r="I7714" t="n">
        <v>0</v>
      </c>
      <c r="J7714" t="n">
        <v>0</v>
      </c>
      <c r="K7714" t="n">
        <v>0</v>
      </c>
      <c r="L7714" t="n">
        <v>0</v>
      </c>
      <c r="M7714" t="n">
        <v>0</v>
      </c>
      <c r="N7714" t="n">
        <v>0</v>
      </c>
      <c r="O7714" t="n">
        <v>0</v>
      </c>
      <c r="P7714" t="n">
        <v>0</v>
      </c>
      <c r="Q7714" t="n">
        <v>0</v>
      </c>
      <c r="R7714" s="2" t="inlineStr"/>
    </row>
    <row r="7715" ht="15" customHeight="1">
      <c r="A7715" t="inlineStr">
        <is>
          <t>A 55137-2025</t>
        </is>
      </c>
      <c r="B7715" s="1" t="n">
        <v>45968.42770833334</v>
      </c>
      <c r="C7715" s="1" t="n">
        <v>46093</v>
      </c>
      <c r="D7715" t="inlineStr">
        <is>
          <t>VÄSTERNORRLANDS LÄN</t>
        </is>
      </c>
      <c r="E7715" t="inlineStr">
        <is>
          <t>SOLLEFTEÅ</t>
        </is>
      </c>
      <c r="F7715" t="inlineStr">
        <is>
          <t>SCA</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41813-2024</t>
        </is>
      </c>
      <c r="B7716" s="1" t="n">
        <v>45561.37765046296</v>
      </c>
      <c r="C7716" s="1" t="n">
        <v>46093</v>
      </c>
      <c r="D7716" t="inlineStr">
        <is>
          <t>VÄSTERNORRLANDS LÄN</t>
        </is>
      </c>
      <c r="E7716" t="inlineStr">
        <is>
          <t>KRAMFORS</t>
        </is>
      </c>
      <c r="G7716" t="n">
        <v>8.1</v>
      </c>
      <c r="H7716" t="n">
        <v>0</v>
      </c>
      <c r="I7716" t="n">
        <v>0</v>
      </c>
      <c r="J7716" t="n">
        <v>0</v>
      </c>
      <c r="K7716" t="n">
        <v>0</v>
      </c>
      <c r="L7716" t="n">
        <v>0</v>
      </c>
      <c r="M7716" t="n">
        <v>0</v>
      </c>
      <c r="N7716" t="n">
        <v>0</v>
      </c>
      <c r="O7716" t="n">
        <v>0</v>
      </c>
      <c r="P7716" t="n">
        <v>0</v>
      </c>
      <c r="Q7716" t="n">
        <v>0</v>
      </c>
      <c r="R7716" s="2" t="inlineStr"/>
    </row>
    <row r="7717" ht="15" customHeight="1">
      <c r="A7717" t="inlineStr">
        <is>
          <t>A 55049-2025</t>
        </is>
      </c>
      <c r="B7717" s="1" t="n">
        <v>45967.66614583333</v>
      </c>
      <c r="C7717" s="1" t="n">
        <v>46093</v>
      </c>
      <c r="D7717" t="inlineStr">
        <is>
          <t>VÄSTERNORRLANDS LÄN</t>
        </is>
      </c>
      <c r="E7717" t="inlineStr">
        <is>
          <t>ÅNGE</t>
        </is>
      </c>
      <c r="G7717" t="n">
        <v>2.4</v>
      </c>
      <c r="H7717" t="n">
        <v>0</v>
      </c>
      <c r="I7717" t="n">
        <v>0</v>
      </c>
      <c r="J7717" t="n">
        <v>0</v>
      </c>
      <c r="K7717" t="n">
        <v>0</v>
      </c>
      <c r="L7717" t="n">
        <v>0</v>
      </c>
      <c r="M7717" t="n">
        <v>0</v>
      </c>
      <c r="N7717" t="n">
        <v>0</v>
      </c>
      <c r="O7717" t="n">
        <v>0</v>
      </c>
      <c r="P7717" t="n">
        <v>0</v>
      </c>
      <c r="Q7717" t="n">
        <v>0</v>
      </c>
      <c r="R7717" s="2" t="inlineStr"/>
    </row>
    <row r="7718" ht="15" customHeight="1">
      <c r="A7718" t="inlineStr">
        <is>
          <t>A 55096-2025</t>
        </is>
      </c>
      <c r="B7718" s="1" t="n">
        <v>45968.34510416666</v>
      </c>
      <c r="C7718" s="1" t="n">
        <v>46093</v>
      </c>
      <c r="D7718" t="inlineStr">
        <is>
          <t>VÄSTERNORRLANDS LÄN</t>
        </is>
      </c>
      <c r="E7718" t="inlineStr">
        <is>
          <t>SOLLEFTEÅ</t>
        </is>
      </c>
      <c r="F7718" t="inlineStr">
        <is>
          <t>SCA</t>
        </is>
      </c>
      <c r="G7718" t="n">
        <v>4.1</v>
      </c>
      <c r="H7718" t="n">
        <v>0</v>
      </c>
      <c r="I7718" t="n">
        <v>0</v>
      </c>
      <c r="J7718" t="n">
        <v>0</v>
      </c>
      <c r="K7718" t="n">
        <v>0</v>
      </c>
      <c r="L7718" t="n">
        <v>0</v>
      </c>
      <c r="M7718" t="n">
        <v>0</v>
      </c>
      <c r="N7718" t="n">
        <v>0</v>
      </c>
      <c r="O7718" t="n">
        <v>0</v>
      </c>
      <c r="P7718" t="n">
        <v>0</v>
      </c>
      <c r="Q7718" t="n">
        <v>0</v>
      </c>
      <c r="R7718" s="2" t="inlineStr"/>
    </row>
    <row r="7719" ht="15" customHeight="1">
      <c r="A7719" t="inlineStr">
        <is>
          <t>A 55101-2025</t>
        </is>
      </c>
      <c r="B7719" s="1" t="n">
        <v>45968.35240740741</v>
      </c>
      <c r="C7719" s="1" t="n">
        <v>46093</v>
      </c>
      <c r="D7719" t="inlineStr">
        <is>
          <t>VÄSTERNORRLANDS LÄN</t>
        </is>
      </c>
      <c r="E7719" t="inlineStr">
        <is>
          <t>SUNDSVALL</t>
        </is>
      </c>
      <c r="G7719" t="n">
        <v>2.3</v>
      </c>
      <c r="H7719" t="n">
        <v>0</v>
      </c>
      <c r="I7719" t="n">
        <v>0</v>
      </c>
      <c r="J7719" t="n">
        <v>0</v>
      </c>
      <c r="K7719" t="n">
        <v>0</v>
      </c>
      <c r="L7719" t="n">
        <v>0</v>
      </c>
      <c r="M7719" t="n">
        <v>0</v>
      </c>
      <c r="N7719" t="n">
        <v>0</v>
      </c>
      <c r="O7719" t="n">
        <v>0</v>
      </c>
      <c r="P7719" t="n">
        <v>0</v>
      </c>
      <c r="Q7719" t="n">
        <v>0</v>
      </c>
      <c r="R7719" s="2" t="inlineStr"/>
    </row>
    <row r="7720" ht="15" customHeight="1">
      <c r="A7720" t="inlineStr">
        <is>
          <t>A 55103-2025</t>
        </is>
      </c>
      <c r="B7720" s="1" t="n">
        <v>45968.3553125</v>
      </c>
      <c r="C7720" s="1" t="n">
        <v>46093</v>
      </c>
      <c r="D7720" t="inlineStr">
        <is>
          <t>VÄSTERNORRLANDS LÄN</t>
        </is>
      </c>
      <c r="E7720" t="inlineStr">
        <is>
          <t>ÖRNSKÖLDSVIK</t>
        </is>
      </c>
      <c r="F7720" t="inlineStr">
        <is>
          <t>Holmen skog AB</t>
        </is>
      </c>
      <c r="G7720" t="n">
        <v>2.3</v>
      </c>
      <c r="H7720" t="n">
        <v>0</v>
      </c>
      <c r="I7720" t="n">
        <v>0</v>
      </c>
      <c r="J7720" t="n">
        <v>0</v>
      </c>
      <c r="K7720" t="n">
        <v>0</v>
      </c>
      <c r="L7720" t="n">
        <v>0</v>
      </c>
      <c r="M7720" t="n">
        <v>0</v>
      </c>
      <c r="N7720" t="n">
        <v>0</v>
      </c>
      <c r="O7720" t="n">
        <v>0</v>
      </c>
      <c r="P7720" t="n">
        <v>0</v>
      </c>
      <c r="Q7720" t="n">
        <v>0</v>
      </c>
      <c r="R7720" s="2" t="inlineStr"/>
    </row>
    <row r="7721" ht="15" customHeight="1">
      <c r="A7721" t="inlineStr">
        <is>
          <t>A 55131-2025</t>
        </is>
      </c>
      <c r="B7721" s="1" t="n">
        <v>45968.41751157407</v>
      </c>
      <c r="C7721" s="1" t="n">
        <v>46093</v>
      </c>
      <c r="D7721" t="inlineStr">
        <is>
          <t>VÄSTERNORRLANDS LÄN</t>
        </is>
      </c>
      <c r="E7721" t="inlineStr">
        <is>
          <t>KRAMFORS</t>
        </is>
      </c>
      <c r="G7721" t="n">
        <v>2.5</v>
      </c>
      <c r="H7721" t="n">
        <v>0</v>
      </c>
      <c r="I7721" t="n">
        <v>0</v>
      </c>
      <c r="J7721" t="n">
        <v>0</v>
      </c>
      <c r="K7721" t="n">
        <v>0</v>
      </c>
      <c r="L7721" t="n">
        <v>0</v>
      </c>
      <c r="M7721" t="n">
        <v>0</v>
      </c>
      <c r="N7721" t="n">
        <v>0</v>
      </c>
      <c r="O7721" t="n">
        <v>0</v>
      </c>
      <c r="P7721" t="n">
        <v>0</v>
      </c>
      <c r="Q7721" t="n">
        <v>0</v>
      </c>
      <c r="R7721" s="2" t="inlineStr"/>
    </row>
    <row r="7722" ht="15" customHeight="1">
      <c r="A7722" t="inlineStr">
        <is>
          <t>A 28114-2024</t>
        </is>
      </c>
      <c r="B7722" s="1" t="n">
        <v>45476.63940972222</v>
      </c>
      <c r="C7722" s="1" t="n">
        <v>46093</v>
      </c>
      <c r="D7722" t="inlineStr">
        <is>
          <t>VÄSTERNORRLANDS LÄN</t>
        </is>
      </c>
      <c r="E7722" t="inlineStr">
        <is>
          <t>KRAMFORS</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55134-2025</t>
        </is>
      </c>
      <c r="B7723" s="1" t="n">
        <v>45968.42226851852</v>
      </c>
      <c r="C7723" s="1" t="n">
        <v>46093</v>
      </c>
      <c r="D7723" t="inlineStr">
        <is>
          <t>VÄSTERNORRLANDS LÄN</t>
        </is>
      </c>
      <c r="E7723" t="inlineStr">
        <is>
          <t>SUNDSVALL</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4159-2025</t>
        </is>
      </c>
      <c r="B7724" s="1" t="n">
        <v>45685.39597222222</v>
      </c>
      <c r="C7724" s="1" t="n">
        <v>46093</v>
      </c>
      <c r="D7724" t="inlineStr">
        <is>
          <t>VÄSTERNORRLANDS LÄN</t>
        </is>
      </c>
      <c r="E7724" t="inlineStr">
        <is>
          <t>KRAMFORS</t>
        </is>
      </c>
      <c r="G7724" t="n">
        <v>8.4</v>
      </c>
      <c r="H7724" t="n">
        <v>0</v>
      </c>
      <c r="I7724" t="n">
        <v>0</v>
      </c>
      <c r="J7724" t="n">
        <v>0</v>
      </c>
      <c r="K7724" t="n">
        <v>0</v>
      </c>
      <c r="L7724" t="n">
        <v>0</v>
      </c>
      <c r="M7724" t="n">
        <v>0</v>
      </c>
      <c r="N7724" t="n">
        <v>0</v>
      </c>
      <c r="O7724" t="n">
        <v>0</v>
      </c>
      <c r="P7724" t="n">
        <v>0</v>
      </c>
      <c r="Q7724" t="n">
        <v>0</v>
      </c>
      <c r="R7724" s="2" t="inlineStr"/>
    </row>
    <row r="7725" ht="15" customHeight="1">
      <c r="A7725" t="inlineStr">
        <is>
          <t>A 4160-2025</t>
        </is>
      </c>
      <c r="B7725" s="1" t="n">
        <v>45685.39604166667</v>
      </c>
      <c r="C7725" s="1" t="n">
        <v>46093</v>
      </c>
      <c r="D7725" t="inlineStr">
        <is>
          <t>VÄSTERNORRLANDS LÄN</t>
        </is>
      </c>
      <c r="E7725" t="inlineStr">
        <is>
          <t>KRAMFORS</t>
        </is>
      </c>
      <c r="G7725" t="n">
        <v>5.4</v>
      </c>
      <c r="H7725" t="n">
        <v>0</v>
      </c>
      <c r="I7725" t="n">
        <v>0</v>
      </c>
      <c r="J7725" t="n">
        <v>0</v>
      </c>
      <c r="K7725" t="n">
        <v>0</v>
      </c>
      <c r="L7725" t="n">
        <v>0</v>
      </c>
      <c r="M7725" t="n">
        <v>0</v>
      </c>
      <c r="N7725" t="n">
        <v>0</v>
      </c>
      <c r="O7725" t="n">
        <v>0</v>
      </c>
      <c r="P7725" t="n">
        <v>0</v>
      </c>
      <c r="Q7725" t="n">
        <v>0</v>
      </c>
      <c r="R7725" s="2" t="inlineStr"/>
    </row>
    <row r="7726" ht="15" customHeight="1">
      <c r="A7726" t="inlineStr">
        <is>
          <t>A 25047-2023</t>
        </is>
      </c>
      <c r="B7726" s="1" t="n">
        <v>45085.94569444445</v>
      </c>
      <c r="C7726" s="1" t="n">
        <v>46093</v>
      </c>
      <c r="D7726" t="inlineStr">
        <is>
          <t>VÄSTERNORRLANDS LÄN</t>
        </is>
      </c>
      <c r="E7726" t="inlineStr">
        <is>
          <t>ÅNGE</t>
        </is>
      </c>
      <c r="F7726" t="inlineStr">
        <is>
          <t>SCA</t>
        </is>
      </c>
      <c r="G7726" t="n">
        <v>3.3</v>
      </c>
      <c r="H7726" t="n">
        <v>0</v>
      </c>
      <c r="I7726" t="n">
        <v>0</v>
      </c>
      <c r="J7726" t="n">
        <v>0</v>
      </c>
      <c r="K7726" t="n">
        <v>0</v>
      </c>
      <c r="L7726" t="n">
        <v>0</v>
      </c>
      <c r="M7726" t="n">
        <v>0</v>
      </c>
      <c r="N7726" t="n">
        <v>0</v>
      </c>
      <c r="O7726" t="n">
        <v>0</v>
      </c>
      <c r="P7726" t="n">
        <v>0</v>
      </c>
      <c r="Q7726" t="n">
        <v>0</v>
      </c>
      <c r="R7726" s="2" t="inlineStr"/>
    </row>
    <row r="7727" ht="15" customHeight="1">
      <c r="A7727" t="inlineStr">
        <is>
          <t>A 28169-2024</t>
        </is>
      </c>
      <c r="B7727" s="1" t="n">
        <v>45476.94462962963</v>
      </c>
      <c r="C7727" s="1" t="n">
        <v>46093</v>
      </c>
      <c r="D7727" t="inlineStr">
        <is>
          <t>VÄSTERNORRLANDS LÄN</t>
        </is>
      </c>
      <c r="E7727" t="inlineStr">
        <is>
          <t>ÖRNSKÖLDSVIK</t>
        </is>
      </c>
      <c r="F7727" t="inlineStr">
        <is>
          <t>SCA</t>
        </is>
      </c>
      <c r="G7727" t="n">
        <v>7.8</v>
      </c>
      <c r="H7727" t="n">
        <v>0</v>
      </c>
      <c r="I7727" t="n">
        <v>0</v>
      </c>
      <c r="J7727" t="n">
        <v>0</v>
      </c>
      <c r="K7727" t="n">
        <v>0</v>
      </c>
      <c r="L7727" t="n">
        <v>0</v>
      </c>
      <c r="M7727" t="n">
        <v>0</v>
      </c>
      <c r="N7727" t="n">
        <v>0</v>
      </c>
      <c r="O7727" t="n">
        <v>0</v>
      </c>
      <c r="P7727" t="n">
        <v>0</v>
      </c>
      <c r="Q7727" t="n">
        <v>0</v>
      </c>
      <c r="R7727" s="2" t="inlineStr"/>
    </row>
    <row r="7728" ht="15" customHeight="1">
      <c r="A7728" t="inlineStr">
        <is>
          <t>A 55360-2025</t>
        </is>
      </c>
      <c r="B7728" s="1" t="n">
        <v>45971.38597222222</v>
      </c>
      <c r="C7728" s="1" t="n">
        <v>46093</v>
      </c>
      <c r="D7728" t="inlineStr">
        <is>
          <t>VÄSTERNORRLANDS LÄN</t>
        </is>
      </c>
      <c r="E7728" t="inlineStr">
        <is>
          <t>SOLLEFTEÅ</t>
        </is>
      </c>
      <c r="F7728" t="inlineStr">
        <is>
          <t>SCA</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55168-2025</t>
        </is>
      </c>
      <c r="B7729" s="1" t="n">
        <v>45968</v>
      </c>
      <c r="C7729" s="1" t="n">
        <v>46093</v>
      </c>
      <c r="D7729" t="inlineStr">
        <is>
          <t>VÄSTERNORRLANDS LÄN</t>
        </is>
      </c>
      <c r="E7729" t="inlineStr">
        <is>
          <t>SOLLEFTEÅ</t>
        </is>
      </c>
      <c r="F7729" t="inlineStr">
        <is>
          <t>SCA</t>
        </is>
      </c>
      <c r="G7729" t="n">
        <v>1.8</v>
      </c>
      <c r="H7729" t="n">
        <v>0</v>
      </c>
      <c r="I7729" t="n">
        <v>0</v>
      </c>
      <c r="J7729" t="n">
        <v>0</v>
      </c>
      <c r="K7729" t="n">
        <v>0</v>
      </c>
      <c r="L7729" t="n">
        <v>0</v>
      </c>
      <c r="M7729" t="n">
        <v>0</v>
      </c>
      <c r="N7729" t="n">
        <v>0</v>
      </c>
      <c r="O7729" t="n">
        <v>0</v>
      </c>
      <c r="P7729" t="n">
        <v>0</v>
      </c>
      <c r="Q7729" t="n">
        <v>0</v>
      </c>
      <c r="R7729" s="2" t="inlineStr"/>
    </row>
    <row r="7730" ht="15" customHeight="1">
      <c r="A7730" t="inlineStr">
        <is>
          <t>A 10128-2023</t>
        </is>
      </c>
      <c r="B7730" s="1" t="n">
        <v>44980</v>
      </c>
      <c r="C7730" s="1" t="n">
        <v>46093</v>
      </c>
      <c r="D7730" t="inlineStr">
        <is>
          <t>VÄSTERNORRLANDS LÄN</t>
        </is>
      </c>
      <c r="E7730" t="inlineStr">
        <is>
          <t>HÄRNÖSAND</t>
        </is>
      </c>
      <c r="G7730" t="n">
        <v>2</v>
      </c>
      <c r="H7730" t="n">
        <v>0</v>
      </c>
      <c r="I7730" t="n">
        <v>0</v>
      </c>
      <c r="J7730" t="n">
        <v>0</v>
      </c>
      <c r="K7730" t="n">
        <v>0</v>
      </c>
      <c r="L7730" t="n">
        <v>0</v>
      </c>
      <c r="M7730" t="n">
        <v>0</v>
      </c>
      <c r="N7730" t="n">
        <v>0</v>
      </c>
      <c r="O7730" t="n">
        <v>0</v>
      </c>
      <c r="P7730" t="n">
        <v>0</v>
      </c>
      <c r="Q7730" t="n">
        <v>0</v>
      </c>
      <c r="R7730" s="2" t="inlineStr"/>
    </row>
    <row r="7731" ht="15" customHeight="1">
      <c r="A7731" t="inlineStr">
        <is>
          <t>A 55408-2025</t>
        </is>
      </c>
      <c r="B7731" s="1" t="n">
        <v>45971.45810185185</v>
      </c>
      <c r="C7731" s="1" t="n">
        <v>46093</v>
      </c>
      <c r="D7731" t="inlineStr">
        <is>
          <t>VÄSTERNORRLANDS LÄN</t>
        </is>
      </c>
      <c r="E7731" t="inlineStr">
        <is>
          <t>ÖRNSKÖLDSVIK</t>
        </is>
      </c>
      <c r="G7731" t="n">
        <v>6.2</v>
      </c>
      <c r="H7731" t="n">
        <v>0</v>
      </c>
      <c r="I7731" t="n">
        <v>0</v>
      </c>
      <c r="J7731" t="n">
        <v>0</v>
      </c>
      <c r="K7731" t="n">
        <v>0</v>
      </c>
      <c r="L7731" t="n">
        <v>0</v>
      </c>
      <c r="M7731" t="n">
        <v>0</v>
      </c>
      <c r="N7731" t="n">
        <v>0</v>
      </c>
      <c r="O7731" t="n">
        <v>0</v>
      </c>
      <c r="P7731" t="n">
        <v>0</v>
      </c>
      <c r="Q7731" t="n">
        <v>0</v>
      </c>
      <c r="R7731" s="2" t="inlineStr"/>
    </row>
    <row r="7732" ht="15" customHeight="1">
      <c r="A7732" t="inlineStr">
        <is>
          <t>A 55397-2025</t>
        </is>
      </c>
      <c r="B7732" s="1" t="n">
        <v>45971.4491550926</v>
      </c>
      <c r="C7732" s="1" t="n">
        <v>46093</v>
      </c>
      <c r="D7732" t="inlineStr">
        <is>
          <t>VÄSTERNORRLANDS LÄN</t>
        </is>
      </c>
      <c r="E7732" t="inlineStr">
        <is>
          <t>ÖRNSKÖLDSVIK</t>
        </is>
      </c>
      <c r="G7732" t="n">
        <v>8.4</v>
      </c>
      <c r="H7732" t="n">
        <v>0</v>
      </c>
      <c r="I7732" t="n">
        <v>0</v>
      </c>
      <c r="J7732" t="n">
        <v>0</v>
      </c>
      <c r="K7732" t="n">
        <v>0</v>
      </c>
      <c r="L7732" t="n">
        <v>0</v>
      </c>
      <c r="M7732" t="n">
        <v>0</v>
      </c>
      <c r="N7732" t="n">
        <v>0</v>
      </c>
      <c r="O7732" t="n">
        <v>0</v>
      </c>
      <c r="P7732" t="n">
        <v>0</v>
      </c>
      <c r="Q7732" t="n">
        <v>0</v>
      </c>
      <c r="R7732" s="2" t="inlineStr"/>
    </row>
    <row r="7733" ht="15" customHeight="1">
      <c r="A7733" t="inlineStr">
        <is>
          <t>A 1100-2022</t>
        </is>
      </c>
      <c r="B7733" s="1" t="n">
        <v>44571</v>
      </c>
      <c r="C7733" s="1" t="n">
        <v>46093</v>
      </c>
      <c r="D7733" t="inlineStr">
        <is>
          <t>VÄSTERNORRLANDS LÄN</t>
        </is>
      </c>
      <c r="E7733" t="inlineStr">
        <is>
          <t>SUNDSVALL</t>
        </is>
      </c>
      <c r="G7733" t="n">
        <v>2.8</v>
      </c>
      <c r="H7733" t="n">
        <v>0</v>
      </c>
      <c r="I7733" t="n">
        <v>0</v>
      </c>
      <c r="J7733" t="n">
        <v>0</v>
      </c>
      <c r="K7733" t="n">
        <v>0</v>
      </c>
      <c r="L7733" t="n">
        <v>0</v>
      </c>
      <c r="M7733" t="n">
        <v>0</v>
      </c>
      <c r="N7733" t="n">
        <v>0</v>
      </c>
      <c r="O7733" t="n">
        <v>0</v>
      </c>
      <c r="P7733" t="n">
        <v>0</v>
      </c>
      <c r="Q7733" t="n">
        <v>0</v>
      </c>
      <c r="R7733" s="2" t="inlineStr"/>
    </row>
    <row r="7734" ht="15" customHeight="1">
      <c r="A7734" t="inlineStr">
        <is>
          <t>A 55657-2025</t>
        </is>
      </c>
      <c r="B7734" s="1" t="n">
        <v>45972.39055555555</v>
      </c>
      <c r="C7734" s="1" t="n">
        <v>46093</v>
      </c>
      <c r="D7734" t="inlineStr">
        <is>
          <t>VÄSTERNORRLANDS LÄN</t>
        </is>
      </c>
      <c r="E7734" t="inlineStr">
        <is>
          <t>ÖRNSKÖLDSVIK</t>
        </is>
      </c>
      <c r="F7734" t="inlineStr">
        <is>
          <t>Holmen skog AB</t>
        </is>
      </c>
      <c r="G7734" t="n">
        <v>2</v>
      </c>
      <c r="H7734" t="n">
        <v>0</v>
      </c>
      <c r="I7734" t="n">
        <v>0</v>
      </c>
      <c r="J7734" t="n">
        <v>0</v>
      </c>
      <c r="K7734" t="n">
        <v>0</v>
      </c>
      <c r="L7734" t="n">
        <v>0</v>
      </c>
      <c r="M7734" t="n">
        <v>0</v>
      </c>
      <c r="N7734" t="n">
        <v>0</v>
      </c>
      <c r="O7734" t="n">
        <v>0</v>
      </c>
      <c r="P7734" t="n">
        <v>0</v>
      </c>
      <c r="Q7734" t="n">
        <v>0</v>
      </c>
      <c r="R7734" s="2" t="inlineStr"/>
    </row>
    <row r="7735" ht="15" customHeight="1">
      <c r="A7735" t="inlineStr">
        <is>
          <t>A 59162-2024</t>
        </is>
      </c>
      <c r="B7735" s="1" t="n">
        <v>45637.47460648148</v>
      </c>
      <c r="C7735" s="1" t="n">
        <v>46093</v>
      </c>
      <c r="D7735" t="inlineStr">
        <is>
          <t>VÄSTERNORRLANDS LÄN</t>
        </is>
      </c>
      <c r="E7735" t="inlineStr">
        <is>
          <t>ÖRNSKÖLDSVIK</t>
        </is>
      </c>
      <c r="G7735" t="n">
        <v>2.1</v>
      </c>
      <c r="H7735" t="n">
        <v>0</v>
      </c>
      <c r="I7735" t="n">
        <v>0</v>
      </c>
      <c r="J7735" t="n">
        <v>0</v>
      </c>
      <c r="K7735" t="n">
        <v>0</v>
      </c>
      <c r="L7735" t="n">
        <v>0</v>
      </c>
      <c r="M7735" t="n">
        <v>0</v>
      </c>
      <c r="N7735" t="n">
        <v>0</v>
      </c>
      <c r="O7735" t="n">
        <v>0</v>
      </c>
      <c r="P7735" t="n">
        <v>0</v>
      </c>
      <c r="Q7735" t="n">
        <v>0</v>
      </c>
      <c r="R7735" s="2" t="inlineStr"/>
    </row>
    <row r="7736" ht="15" customHeight="1">
      <c r="A7736" t="inlineStr">
        <is>
          <t>A 59179-2024</t>
        </is>
      </c>
      <c r="B7736" s="1" t="n">
        <v>45637.51149305556</v>
      </c>
      <c r="C7736" s="1" t="n">
        <v>46093</v>
      </c>
      <c r="D7736" t="inlineStr">
        <is>
          <t>VÄSTERNORRLANDS LÄN</t>
        </is>
      </c>
      <c r="E7736" t="inlineStr">
        <is>
          <t>SOLLEFTEÅ</t>
        </is>
      </c>
      <c r="G7736" t="n">
        <v>5.1</v>
      </c>
      <c r="H7736" t="n">
        <v>0</v>
      </c>
      <c r="I7736" t="n">
        <v>0</v>
      </c>
      <c r="J7736" t="n">
        <v>0</v>
      </c>
      <c r="K7736" t="n">
        <v>0</v>
      </c>
      <c r="L7736" t="n">
        <v>0</v>
      </c>
      <c r="M7736" t="n">
        <v>0</v>
      </c>
      <c r="N7736" t="n">
        <v>0</v>
      </c>
      <c r="O7736" t="n">
        <v>0</v>
      </c>
      <c r="P7736" t="n">
        <v>0</v>
      </c>
      <c r="Q7736" t="n">
        <v>0</v>
      </c>
      <c r="R7736" s="2" t="inlineStr"/>
    </row>
    <row r="7737" ht="15" customHeight="1">
      <c r="A7737" t="inlineStr">
        <is>
          <t>A 59313-2024</t>
        </is>
      </c>
      <c r="B7737" s="1" t="n">
        <v>45637.68454861111</v>
      </c>
      <c r="C7737" s="1" t="n">
        <v>46093</v>
      </c>
      <c r="D7737" t="inlineStr">
        <is>
          <t>VÄSTERNORRLANDS LÄN</t>
        </is>
      </c>
      <c r="E7737" t="inlineStr">
        <is>
          <t>ÖRNSKÖLDSVIK</t>
        </is>
      </c>
      <c r="F7737" t="inlineStr">
        <is>
          <t>Holmen skog AB</t>
        </is>
      </c>
      <c r="G7737" t="n">
        <v>5.6</v>
      </c>
      <c r="H7737" t="n">
        <v>0</v>
      </c>
      <c r="I7737" t="n">
        <v>0</v>
      </c>
      <c r="J7737" t="n">
        <v>0</v>
      </c>
      <c r="K7737" t="n">
        <v>0</v>
      </c>
      <c r="L7737" t="n">
        <v>0</v>
      </c>
      <c r="M7737" t="n">
        <v>0</v>
      </c>
      <c r="N7737" t="n">
        <v>0</v>
      </c>
      <c r="O7737" t="n">
        <v>0</v>
      </c>
      <c r="P7737" t="n">
        <v>0</v>
      </c>
      <c r="Q7737" t="n">
        <v>0</v>
      </c>
      <c r="R7737" s="2" t="inlineStr"/>
    </row>
    <row r="7738" ht="15" customHeight="1">
      <c r="A7738" t="inlineStr">
        <is>
          <t>A 62285-2023</t>
        </is>
      </c>
      <c r="B7738" s="1" t="n">
        <v>45267.65267361111</v>
      </c>
      <c r="C7738" s="1" t="n">
        <v>46093</v>
      </c>
      <c r="D7738" t="inlineStr">
        <is>
          <t>VÄSTERNORRLANDS LÄN</t>
        </is>
      </c>
      <c r="E7738" t="inlineStr">
        <is>
          <t>ÖRNSKÖLDSVIK</t>
        </is>
      </c>
      <c r="F7738" t="inlineStr">
        <is>
          <t>Holmen skog AB</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4950-2025</t>
        </is>
      </c>
      <c r="B7739" s="1" t="n">
        <v>45689</v>
      </c>
      <c r="C7739" s="1" t="n">
        <v>46093</v>
      </c>
      <c r="D7739" t="inlineStr">
        <is>
          <t>VÄSTERNORRLANDS LÄN</t>
        </is>
      </c>
      <c r="E7739" t="inlineStr">
        <is>
          <t>KRAMFORS</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60462-2022</t>
        </is>
      </c>
      <c r="B7740" s="1" t="n">
        <v>44904</v>
      </c>
      <c r="C7740" s="1" t="n">
        <v>46093</v>
      </c>
      <c r="D7740" t="inlineStr">
        <is>
          <t>VÄSTERNORRLANDS LÄN</t>
        </is>
      </c>
      <c r="E7740" t="inlineStr">
        <is>
          <t>ÖRNSKÖLDSVIK</t>
        </is>
      </c>
      <c r="F7740" t="inlineStr">
        <is>
          <t>Kyrkan</t>
        </is>
      </c>
      <c r="G7740" t="n">
        <v>6</v>
      </c>
      <c r="H7740" t="n">
        <v>0</v>
      </c>
      <c r="I7740" t="n">
        <v>0</v>
      </c>
      <c r="J7740" t="n">
        <v>0</v>
      </c>
      <c r="K7740" t="n">
        <v>0</v>
      </c>
      <c r="L7740" t="n">
        <v>0</v>
      </c>
      <c r="M7740" t="n">
        <v>0</v>
      </c>
      <c r="N7740" t="n">
        <v>0</v>
      </c>
      <c r="O7740" t="n">
        <v>0</v>
      </c>
      <c r="P7740" t="n">
        <v>0</v>
      </c>
      <c r="Q7740" t="n">
        <v>0</v>
      </c>
      <c r="R7740" s="2" t="inlineStr"/>
    </row>
    <row r="7741" ht="15" customHeight="1">
      <c r="A7741" t="inlineStr">
        <is>
          <t>A 5046-2025</t>
        </is>
      </c>
      <c r="B7741" s="1" t="n">
        <v>45691</v>
      </c>
      <c r="C7741" s="1" t="n">
        <v>46093</v>
      </c>
      <c r="D7741" t="inlineStr">
        <is>
          <t>VÄSTERNORRLANDS LÄN</t>
        </is>
      </c>
      <c r="E7741" t="inlineStr">
        <is>
          <t>ÖRNSKÖLDSVIK</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15791-2025</t>
        </is>
      </c>
      <c r="B7742" s="1" t="n">
        <v>45748.631875</v>
      </c>
      <c r="C7742" s="1" t="n">
        <v>46093</v>
      </c>
      <c r="D7742" t="inlineStr">
        <is>
          <t>VÄSTERNORRLANDS LÄN</t>
        </is>
      </c>
      <c r="E7742" t="inlineStr">
        <is>
          <t>ÅNGE</t>
        </is>
      </c>
      <c r="F7742" t="inlineStr">
        <is>
          <t>SCA</t>
        </is>
      </c>
      <c r="G7742" t="n">
        <v>4.1</v>
      </c>
      <c r="H7742" t="n">
        <v>0</v>
      </c>
      <c r="I7742" t="n">
        <v>0</v>
      </c>
      <c r="J7742" t="n">
        <v>0</v>
      </c>
      <c r="K7742" t="n">
        <v>0</v>
      </c>
      <c r="L7742" t="n">
        <v>0</v>
      </c>
      <c r="M7742" t="n">
        <v>0</v>
      </c>
      <c r="N7742" t="n">
        <v>0</v>
      </c>
      <c r="O7742" t="n">
        <v>0</v>
      </c>
      <c r="P7742" t="n">
        <v>0</v>
      </c>
      <c r="Q7742" t="n">
        <v>0</v>
      </c>
      <c r="R7742" s="2" t="inlineStr"/>
    </row>
    <row r="7743" ht="15" customHeight="1">
      <c r="A7743" t="inlineStr">
        <is>
          <t>A 55471-2025</t>
        </is>
      </c>
      <c r="B7743" s="1" t="n">
        <v>45971</v>
      </c>
      <c r="C7743" s="1" t="n">
        <v>46093</v>
      </c>
      <c r="D7743" t="inlineStr">
        <is>
          <t>VÄSTERNORRLANDS LÄN</t>
        </is>
      </c>
      <c r="E7743" t="inlineStr">
        <is>
          <t>SOLLEFTEÅ</t>
        </is>
      </c>
      <c r="G7743" t="n">
        <v>7.5</v>
      </c>
      <c r="H7743" t="n">
        <v>0</v>
      </c>
      <c r="I7743" t="n">
        <v>0</v>
      </c>
      <c r="J7743" t="n">
        <v>0</v>
      </c>
      <c r="K7743" t="n">
        <v>0</v>
      </c>
      <c r="L7743" t="n">
        <v>0</v>
      </c>
      <c r="M7743" t="n">
        <v>0</v>
      </c>
      <c r="N7743" t="n">
        <v>0</v>
      </c>
      <c r="O7743" t="n">
        <v>0</v>
      </c>
      <c r="P7743" t="n">
        <v>0</v>
      </c>
      <c r="Q7743" t="n">
        <v>0</v>
      </c>
      <c r="R7743" s="2" t="inlineStr"/>
    </row>
    <row r="7744" ht="15" customHeight="1">
      <c r="A7744" t="inlineStr">
        <is>
          <t>A 25449-2021</t>
        </is>
      </c>
      <c r="B7744" s="1" t="n">
        <v>44342.6740162037</v>
      </c>
      <c r="C7744" s="1" t="n">
        <v>46093</v>
      </c>
      <c r="D7744" t="inlineStr">
        <is>
          <t>VÄSTERNORRLANDS LÄN</t>
        </is>
      </c>
      <c r="E7744" t="inlineStr">
        <is>
          <t>ÖRNSKÖLDSVIK</t>
        </is>
      </c>
      <c r="F7744" t="inlineStr">
        <is>
          <t>Holmen skog AB</t>
        </is>
      </c>
      <c r="G7744" t="n">
        <v>3.7</v>
      </c>
      <c r="H7744" t="n">
        <v>0</v>
      </c>
      <c r="I7744" t="n">
        <v>0</v>
      </c>
      <c r="J7744" t="n">
        <v>0</v>
      </c>
      <c r="K7744" t="n">
        <v>0</v>
      </c>
      <c r="L7744" t="n">
        <v>0</v>
      </c>
      <c r="M7744" t="n">
        <v>0</v>
      </c>
      <c r="N7744" t="n">
        <v>0</v>
      </c>
      <c r="O7744" t="n">
        <v>0</v>
      </c>
      <c r="P7744" t="n">
        <v>0</v>
      </c>
      <c r="Q7744" t="n">
        <v>0</v>
      </c>
      <c r="R7744" s="2" t="inlineStr"/>
    </row>
    <row r="7745" ht="15" customHeight="1">
      <c r="A7745" t="inlineStr">
        <is>
          <t>A 55591-2025</t>
        </is>
      </c>
      <c r="B7745" s="1" t="n">
        <v>45971.68888888889</v>
      </c>
      <c r="C7745" s="1" t="n">
        <v>46093</v>
      </c>
      <c r="D7745" t="inlineStr">
        <is>
          <t>VÄSTERNORRLANDS LÄN</t>
        </is>
      </c>
      <c r="E7745" t="inlineStr">
        <is>
          <t>TIMRÅ</t>
        </is>
      </c>
      <c r="G7745" t="n">
        <v>0.7</v>
      </c>
      <c r="H7745" t="n">
        <v>0</v>
      </c>
      <c r="I7745" t="n">
        <v>0</v>
      </c>
      <c r="J7745" t="n">
        <v>0</v>
      </c>
      <c r="K7745" t="n">
        <v>0</v>
      </c>
      <c r="L7745" t="n">
        <v>0</v>
      </c>
      <c r="M7745" t="n">
        <v>0</v>
      </c>
      <c r="N7745" t="n">
        <v>0</v>
      </c>
      <c r="O7745" t="n">
        <v>0</v>
      </c>
      <c r="P7745" t="n">
        <v>0</v>
      </c>
      <c r="Q7745" t="n">
        <v>0</v>
      </c>
      <c r="R7745" s="2" t="inlineStr"/>
    </row>
    <row r="7746" ht="15" customHeight="1">
      <c r="A7746" t="inlineStr">
        <is>
          <t>A 55507-2025</t>
        </is>
      </c>
      <c r="B7746" s="1" t="n">
        <v>45971.59289351852</v>
      </c>
      <c r="C7746" s="1" t="n">
        <v>46093</v>
      </c>
      <c r="D7746" t="inlineStr">
        <is>
          <t>VÄSTERNORRLANDS LÄN</t>
        </is>
      </c>
      <c r="E7746" t="inlineStr">
        <is>
          <t>ÖRNSKÖLDSVIK</t>
        </is>
      </c>
      <c r="G7746" t="n">
        <v>4.3</v>
      </c>
      <c r="H7746" t="n">
        <v>0</v>
      </c>
      <c r="I7746" t="n">
        <v>0</v>
      </c>
      <c r="J7746" t="n">
        <v>0</v>
      </c>
      <c r="K7746" t="n">
        <v>0</v>
      </c>
      <c r="L7746" t="n">
        <v>0</v>
      </c>
      <c r="M7746" t="n">
        <v>0</v>
      </c>
      <c r="N7746" t="n">
        <v>0</v>
      </c>
      <c r="O7746" t="n">
        <v>0</v>
      </c>
      <c r="P7746" t="n">
        <v>0</v>
      </c>
      <c r="Q7746" t="n">
        <v>0</v>
      </c>
      <c r="R7746" s="2" t="inlineStr"/>
    </row>
    <row r="7747" ht="15" customHeight="1">
      <c r="A7747" t="inlineStr">
        <is>
          <t>A 55510-2025</t>
        </is>
      </c>
      <c r="B7747" s="1" t="n">
        <v>45971.60037037037</v>
      </c>
      <c r="C7747" s="1" t="n">
        <v>46093</v>
      </c>
      <c r="D7747" t="inlineStr">
        <is>
          <t>VÄSTERNORRLANDS LÄN</t>
        </is>
      </c>
      <c r="E7747" t="inlineStr">
        <is>
          <t>SOLLEFTEÅ</t>
        </is>
      </c>
      <c r="G7747" t="n">
        <v>4.7</v>
      </c>
      <c r="H7747" t="n">
        <v>0</v>
      </c>
      <c r="I7747" t="n">
        <v>0</v>
      </c>
      <c r="J7747" t="n">
        <v>0</v>
      </c>
      <c r="K7747" t="n">
        <v>0</v>
      </c>
      <c r="L7747" t="n">
        <v>0</v>
      </c>
      <c r="M7747" t="n">
        <v>0</v>
      </c>
      <c r="N7747" t="n">
        <v>0</v>
      </c>
      <c r="O7747" t="n">
        <v>0</v>
      </c>
      <c r="P7747" t="n">
        <v>0</v>
      </c>
      <c r="Q7747" t="n">
        <v>0</v>
      </c>
      <c r="R7747" s="2" t="inlineStr"/>
    </row>
    <row r="7748" ht="15" customHeight="1">
      <c r="A7748" t="inlineStr">
        <is>
          <t>A 18741-2021</t>
        </is>
      </c>
      <c r="B7748" s="1" t="n">
        <v>44306</v>
      </c>
      <c r="C7748" s="1" t="n">
        <v>46093</v>
      </c>
      <c r="D7748" t="inlineStr">
        <is>
          <t>VÄSTERNORRLANDS LÄN</t>
        </is>
      </c>
      <c r="E7748" t="inlineStr">
        <is>
          <t>SOLLEFTEÅ</t>
        </is>
      </c>
      <c r="F7748" t="inlineStr">
        <is>
          <t>Kyrkan</t>
        </is>
      </c>
      <c r="G7748" t="n">
        <v>4.8</v>
      </c>
      <c r="H7748" t="n">
        <v>0</v>
      </c>
      <c r="I7748" t="n">
        <v>0</v>
      </c>
      <c r="J7748" t="n">
        <v>0</v>
      </c>
      <c r="K7748" t="n">
        <v>0</v>
      </c>
      <c r="L7748" t="n">
        <v>0</v>
      </c>
      <c r="M7748" t="n">
        <v>0</v>
      </c>
      <c r="N7748" t="n">
        <v>0</v>
      </c>
      <c r="O7748" t="n">
        <v>0</v>
      </c>
      <c r="P7748" t="n">
        <v>0</v>
      </c>
      <c r="Q7748" t="n">
        <v>0</v>
      </c>
      <c r="R7748" s="2" t="inlineStr"/>
    </row>
    <row r="7749" ht="15" customHeight="1">
      <c r="A7749" t="inlineStr">
        <is>
          <t>A 24653-2022</t>
        </is>
      </c>
      <c r="B7749" s="1" t="n">
        <v>44727.61612268518</v>
      </c>
      <c r="C7749" s="1" t="n">
        <v>46093</v>
      </c>
      <c r="D7749" t="inlineStr">
        <is>
          <t>VÄSTERNORRLANDS LÄN</t>
        </is>
      </c>
      <c r="E7749" t="inlineStr">
        <is>
          <t>KRAMFORS</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55710-2025</t>
        </is>
      </c>
      <c r="B7750" s="1" t="n">
        <v>45972.47881944444</v>
      </c>
      <c r="C7750" s="1" t="n">
        <v>46093</v>
      </c>
      <c r="D7750" t="inlineStr">
        <is>
          <t>VÄSTERNORRLANDS LÄN</t>
        </is>
      </c>
      <c r="E7750" t="inlineStr">
        <is>
          <t>ÖRNSKÖLDSVIK</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55326-2025</t>
        </is>
      </c>
      <c r="B7751" s="1" t="n">
        <v>45971.33721064815</v>
      </c>
      <c r="C7751" s="1" t="n">
        <v>46093</v>
      </c>
      <c r="D7751" t="inlineStr">
        <is>
          <t>VÄSTERNORRLANDS LÄN</t>
        </is>
      </c>
      <c r="E7751" t="inlineStr">
        <is>
          <t>ÖRNSKÖLDSVIK</t>
        </is>
      </c>
      <c r="F7751" t="inlineStr">
        <is>
          <t>Holmen skog AB</t>
        </is>
      </c>
      <c r="G7751" t="n">
        <v>3.4</v>
      </c>
      <c r="H7751" t="n">
        <v>0</v>
      </c>
      <c r="I7751" t="n">
        <v>0</v>
      </c>
      <c r="J7751" t="n">
        <v>0</v>
      </c>
      <c r="K7751" t="n">
        <v>0</v>
      </c>
      <c r="L7751" t="n">
        <v>0</v>
      </c>
      <c r="M7751" t="n">
        <v>0</v>
      </c>
      <c r="N7751" t="n">
        <v>0</v>
      </c>
      <c r="O7751" t="n">
        <v>0</v>
      </c>
      <c r="P7751" t="n">
        <v>0</v>
      </c>
      <c r="Q7751" t="n">
        <v>0</v>
      </c>
      <c r="R7751" s="2" t="inlineStr"/>
    </row>
    <row r="7752" ht="15" customHeight="1">
      <c r="A7752" t="inlineStr">
        <is>
          <t>A 30063-2024</t>
        </is>
      </c>
      <c r="B7752" s="1" t="n">
        <v>45488.94841435185</v>
      </c>
      <c r="C7752" s="1" t="n">
        <v>46093</v>
      </c>
      <c r="D7752" t="inlineStr">
        <is>
          <t>VÄSTERNORRLANDS LÄN</t>
        </is>
      </c>
      <c r="E7752" t="inlineStr">
        <is>
          <t>SOLLEFTEÅ</t>
        </is>
      </c>
      <c r="F7752" t="inlineStr">
        <is>
          <t>SCA</t>
        </is>
      </c>
      <c r="G7752" t="n">
        <v>1.7</v>
      </c>
      <c r="H7752" t="n">
        <v>0</v>
      </c>
      <c r="I7752" t="n">
        <v>0</v>
      </c>
      <c r="J7752" t="n">
        <v>0</v>
      </c>
      <c r="K7752" t="n">
        <v>0</v>
      </c>
      <c r="L7752" t="n">
        <v>0</v>
      </c>
      <c r="M7752" t="n">
        <v>0</v>
      </c>
      <c r="N7752" t="n">
        <v>0</v>
      </c>
      <c r="O7752" t="n">
        <v>0</v>
      </c>
      <c r="P7752" t="n">
        <v>0</v>
      </c>
      <c r="Q7752" t="n">
        <v>0</v>
      </c>
      <c r="R7752" s="2" t="inlineStr"/>
    </row>
    <row r="7753" ht="15" customHeight="1">
      <c r="A7753" t="inlineStr">
        <is>
          <t>A 34543-2022</t>
        </is>
      </c>
      <c r="B7753" s="1" t="n">
        <v>44793</v>
      </c>
      <c r="C7753" s="1" t="n">
        <v>46093</v>
      </c>
      <c r="D7753" t="inlineStr">
        <is>
          <t>VÄSTERNORRLANDS LÄN</t>
        </is>
      </c>
      <c r="E7753" t="inlineStr">
        <is>
          <t>SOLLEFTEÅ</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30066-2024</t>
        </is>
      </c>
      <c r="B7754" s="1" t="n">
        <v>45488.94865740741</v>
      </c>
      <c r="C7754" s="1" t="n">
        <v>46093</v>
      </c>
      <c r="D7754" t="inlineStr">
        <is>
          <t>VÄSTERNORRLANDS LÄN</t>
        </is>
      </c>
      <c r="E7754" t="inlineStr">
        <is>
          <t>SUNDSVALL</t>
        </is>
      </c>
      <c r="F7754" t="inlineStr">
        <is>
          <t>SCA</t>
        </is>
      </c>
      <c r="G7754" t="n">
        <v>2.1</v>
      </c>
      <c r="H7754" t="n">
        <v>0</v>
      </c>
      <c r="I7754" t="n">
        <v>0</v>
      </c>
      <c r="J7754" t="n">
        <v>0</v>
      </c>
      <c r="K7754" t="n">
        <v>0</v>
      </c>
      <c r="L7754" t="n">
        <v>0</v>
      </c>
      <c r="M7754" t="n">
        <v>0</v>
      </c>
      <c r="N7754" t="n">
        <v>0</v>
      </c>
      <c r="O7754" t="n">
        <v>0</v>
      </c>
      <c r="P7754" t="n">
        <v>0</v>
      </c>
      <c r="Q7754" t="n">
        <v>0</v>
      </c>
      <c r="R7754" s="2" t="inlineStr"/>
    </row>
    <row r="7755" ht="15" customHeight="1">
      <c r="A7755" t="inlineStr">
        <is>
          <t>A 30068-2024</t>
        </is>
      </c>
      <c r="B7755" s="1" t="n">
        <v>45488.94886574074</v>
      </c>
      <c r="C7755" s="1" t="n">
        <v>46093</v>
      </c>
      <c r="D7755" t="inlineStr">
        <is>
          <t>VÄSTERNORRLANDS LÄN</t>
        </is>
      </c>
      <c r="E7755" t="inlineStr">
        <is>
          <t>SOLLEFTEÅ</t>
        </is>
      </c>
      <c r="F7755" t="inlineStr">
        <is>
          <t>SCA</t>
        </is>
      </c>
      <c r="G7755" t="n">
        <v>2.1</v>
      </c>
      <c r="H7755" t="n">
        <v>0</v>
      </c>
      <c r="I7755" t="n">
        <v>0</v>
      </c>
      <c r="J7755" t="n">
        <v>0</v>
      </c>
      <c r="K7755" t="n">
        <v>0</v>
      </c>
      <c r="L7755" t="n">
        <v>0</v>
      </c>
      <c r="M7755" t="n">
        <v>0</v>
      </c>
      <c r="N7755" t="n">
        <v>0</v>
      </c>
      <c r="O7755" t="n">
        <v>0</v>
      </c>
      <c r="P7755" t="n">
        <v>0</v>
      </c>
      <c r="Q7755" t="n">
        <v>0</v>
      </c>
      <c r="R7755" s="2" t="inlineStr"/>
    </row>
    <row r="7756" ht="15" customHeight="1">
      <c r="A7756" t="inlineStr">
        <is>
          <t>A 55586-2025</t>
        </is>
      </c>
      <c r="B7756" s="1" t="n">
        <v>45971</v>
      </c>
      <c r="C7756" s="1" t="n">
        <v>46093</v>
      </c>
      <c r="D7756" t="inlineStr">
        <is>
          <t>VÄSTERNORRLANDS LÄN</t>
        </is>
      </c>
      <c r="E7756" t="inlineStr">
        <is>
          <t>SOLLEFTEÅ</t>
        </is>
      </c>
      <c r="G7756" t="n">
        <v>7.8</v>
      </c>
      <c r="H7756" t="n">
        <v>0</v>
      </c>
      <c r="I7756" t="n">
        <v>0</v>
      </c>
      <c r="J7756" t="n">
        <v>0</v>
      </c>
      <c r="K7756" t="n">
        <v>0</v>
      </c>
      <c r="L7756" t="n">
        <v>0</v>
      </c>
      <c r="M7756" t="n">
        <v>0</v>
      </c>
      <c r="N7756" t="n">
        <v>0</v>
      </c>
      <c r="O7756" t="n">
        <v>0</v>
      </c>
      <c r="P7756" t="n">
        <v>0</v>
      </c>
      <c r="Q7756" t="n">
        <v>0</v>
      </c>
      <c r="R7756" s="2" t="inlineStr"/>
    </row>
    <row r="7757" ht="15" customHeight="1">
      <c r="A7757" t="inlineStr">
        <is>
          <t>A 8012-2025</t>
        </is>
      </c>
      <c r="B7757" s="1" t="n">
        <v>45707.55304398148</v>
      </c>
      <c r="C7757" s="1" t="n">
        <v>46093</v>
      </c>
      <c r="D7757" t="inlineStr">
        <is>
          <t>VÄSTERNORRLANDS LÄN</t>
        </is>
      </c>
      <c r="E7757" t="inlineStr">
        <is>
          <t>ÖRNSKÖLDSVIK</t>
        </is>
      </c>
      <c r="G7757" t="n">
        <v>0.4</v>
      </c>
      <c r="H7757" t="n">
        <v>0</v>
      </c>
      <c r="I7757" t="n">
        <v>0</v>
      </c>
      <c r="J7757" t="n">
        <v>0</v>
      </c>
      <c r="K7757" t="n">
        <v>0</v>
      </c>
      <c r="L7757" t="n">
        <v>0</v>
      </c>
      <c r="M7757" t="n">
        <v>0</v>
      </c>
      <c r="N7757" t="n">
        <v>0</v>
      </c>
      <c r="O7757" t="n">
        <v>0</v>
      </c>
      <c r="P7757" t="n">
        <v>0</v>
      </c>
      <c r="Q7757" t="n">
        <v>0</v>
      </c>
      <c r="R7757" s="2" t="inlineStr"/>
    </row>
    <row r="7758" ht="15" customHeight="1">
      <c r="A7758" t="inlineStr">
        <is>
          <t>A 55482-2025</t>
        </is>
      </c>
      <c r="B7758" s="1" t="n">
        <v>45971.56703703704</v>
      </c>
      <c r="C7758" s="1" t="n">
        <v>46093</v>
      </c>
      <c r="D7758" t="inlineStr">
        <is>
          <t>VÄSTERNORRLANDS LÄN</t>
        </is>
      </c>
      <c r="E7758" t="inlineStr">
        <is>
          <t>ÖRNSKÖLDSVIK</t>
        </is>
      </c>
      <c r="F7758" t="inlineStr">
        <is>
          <t>Holmen skog AB</t>
        </is>
      </c>
      <c r="G7758" t="n">
        <v>6.1</v>
      </c>
      <c r="H7758" t="n">
        <v>0</v>
      </c>
      <c r="I7758" t="n">
        <v>0</v>
      </c>
      <c r="J7758" t="n">
        <v>0</v>
      </c>
      <c r="K7758" t="n">
        <v>0</v>
      </c>
      <c r="L7758" t="n">
        <v>0</v>
      </c>
      <c r="M7758" t="n">
        <v>0</v>
      </c>
      <c r="N7758" t="n">
        <v>0</v>
      </c>
      <c r="O7758" t="n">
        <v>0</v>
      </c>
      <c r="P7758" t="n">
        <v>0</v>
      </c>
      <c r="Q7758" t="n">
        <v>0</v>
      </c>
      <c r="R7758" s="2" t="inlineStr"/>
    </row>
    <row r="7759" ht="15" customHeight="1">
      <c r="A7759" t="inlineStr">
        <is>
          <t>A 17646-2021</t>
        </is>
      </c>
      <c r="B7759" s="1" t="n">
        <v>44300</v>
      </c>
      <c r="C7759" s="1" t="n">
        <v>46093</v>
      </c>
      <c r="D7759" t="inlineStr">
        <is>
          <t>VÄSTERNORRLANDS LÄN</t>
        </is>
      </c>
      <c r="E7759" t="inlineStr">
        <is>
          <t>ÖRNSKÖLDSVIK</t>
        </is>
      </c>
      <c r="F7759" t="inlineStr">
        <is>
          <t>Holmen skog AB</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12980-2023</t>
        </is>
      </c>
      <c r="B7760" s="1" t="n">
        <v>45002</v>
      </c>
      <c r="C7760" s="1" t="n">
        <v>46093</v>
      </c>
      <c r="D7760" t="inlineStr">
        <is>
          <t>VÄSTERNORRLANDS LÄN</t>
        </is>
      </c>
      <c r="E7760" t="inlineStr">
        <is>
          <t>ÖRNSKÖLDSVIK</t>
        </is>
      </c>
      <c r="F7760" t="inlineStr">
        <is>
          <t>SCA</t>
        </is>
      </c>
      <c r="G7760" t="n">
        <v>5.2</v>
      </c>
      <c r="H7760" t="n">
        <v>0</v>
      </c>
      <c r="I7760" t="n">
        <v>0</v>
      </c>
      <c r="J7760" t="n">
        <v>0</v>
      </c>
      <c r="K7760" t="n">
        <v>0</v>
      </c>
      <c r="L7760" t="n">
        <v>0</v>
      </c>
      <c r="M7760" t="n">
        <v>0</v>
      </c>
      <c r="N7760" t="n">
        <v>0</v>
      </c>
      <c r="O7760" t="n">
        <v>0</v>
      </c>
      <c r="P7760" t="n">
        <v>0</v>
      </c>
      <c r="Q7760" t="n">
        <v>0</v>
      </c>
      <c r="R7760" s="2" t="inlineStr"/>
    </row>
    <row r="7761" ht="15" customHeight="1">
      <c r="A7761" t="inlineStr">
        <is>
          <t>A 55749-2025</t>
        </is>
      </c>
      <c r="B7761" s="1" t="n">
        <v>45972.58099537037</v>
      </c>
      <c r="C7761" s="1" t="n">
        <v>46093</v>
      </c>
      <c r="D7761" t="inlineStr">
        <is>
          <t>VÄSTERNORRLANDS LÄN</t>
        </is>
      </c>
      <c r="E7761" t="inlineStr">
        <is>
          <t>ÖRNSKÖLDSVIK</t>
        </is>
      </c>
      <c r="F7761" t="inlineStr">
        <is>
          <t>Holmen skog AB</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55725-2025</t>
        </is>
      </c>
      <c r="B7762" s="1" t="n">
        <v>45972.53172453704</v>
      </c>
      <c r="C7762" s="1" t="n">
        <v>46093</v>
      </c>
      <c r="D7762" t="inlineStr">
        <is>
          <t>VÄSTERNORRLANDS LÄN</t>
        </is>
      </c>
      <c r="E7762" t="inlineStr">
        <is>
          <t>SOLLEFTEÅ</t>
        </is>
      </c>
      <c r="F7762" t="inlineStr">
        <is>
          <t>SCA</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55747-2025</t>
        </is>
      </c>
      <c r="B7763" s="1" t="n">
        <v>45972.57777777778</v>
      </c>
      <c r="C7763" s="1" t="n">
        <v>46093</v>
      </c>
      <c r="D7763" t="inlineStr">
        <is>
          <t>VÄSTERNORRLANDS LÄN</t>
        </is>
      </c>
      <c r="E7763" t="inlineStr">
        <is>
          <t>ÖRNSKÖLDSVIK</t>
        </is>
      </c>
      <c r="F7763" t="inlineStr">
        <is>
          <t>Holmen skog AB</t>
        </is>
      </c>
      <c r="G7763" t="n">
        <v>3.4</v>
      </c>
      <c r="H7763" t="n">
        <v>0</v>
      </c>
      <c r="I7763" t="n">
        <v>0</v>
      </c>
      <c r="J7763" t="n">
        <v>0</v>
      </c>
      <c r="K7763" t="n">
        <v>0</v>
      </c>
      <c r="L7763" t="n">
        <v>0</v>
      </c>
      <c r="M7763" t="n">
        <v>0</v>
      </c>
      <c r="N7763" t="n">
        <v>0</v>
      </c>
      <c r="O7763" t="n">
        <v>0</v>
      </c>
      <c r="P7763" t="n">
        <v>0</v>
      </c>
      <c r="Q7763" t="n">
        <v>0</v>
      </c>
      <c r="R7763" s="2" t="inlineStr"/>
    </row>
    <row r="7764" ht="15" customHeight="1">
      <c r="A7764" t="inlineStr">
        <is>
          <t>A 21257-2021</t>
        </is>
      </c>
      <c r="B7764" s="1" t="n">
        <v>44320</v>
      </c>
      <c r="C7764" s="1" t="n">
        <v>46093</v>
      </c>
      <c r="D7764" t="inlineStr">
        <is>
          <t>VÄSTERNORRLANDS LÄN</t>
        </is>
      </c>
      <c r="E7764" t="inlineStr">
        <is>
          <t>HÄRNÖSAND</t>
        </is>
      </c>
      <c r="G7764" t="n">
        <v>12.8</v>
      </c>
      <c r="H7764" t="n">
        <v>0</v>
      </c>
      <c r="I7764" t="n">
        <v>0</v>
      </c>
      <c r="J7764" t="n">
        <v>0</v>
      </c>
      <c r="K7764" t="n">
        <v>0</v>
      </c>
      <c r="L7764" t="n">
        <v>0</v>
      </c>
      <c r="M7764" t="n">
        <v>0</v>
      </c>
      <c r="N7764" t="n">
        <v>0</v>
      </c>
      <c r="O7764" t="n">
        <v>0</v>
      </c>
      <c r="P7764" t="n">
        <v>0</v>
      </c>
      <c r="Q7764" t="n">
        <v>0</v>
      </c>
      <c r="R7764" s="2" t="inlineStr"/>
    </row>
    <row r="7765" ht="15" customHeight="1">
      <c r="A7765" t="inlineStr">
        <is>
          <t>A 60313-2023</t>
        </is>
      </c>
      <c r="B7765" s="1" t="n">
        <v>45258.85435185185</v>
      </c>
      <c r="C7765" s="1" t="n">
        <v>46093</v>
      </c>
      <c r="D7765" t="inlineStr">
        <is>
          <t>VÄSTERNORRLANDS LÄN</t>
        </is>
      </c>
      <c r="E7765" t="inlineStr">
        <is>
          <t>ÖRNSKÖLDSVIK</t>
        </is>
      </c>
      <c r="G7765" t="n">
        <v>3.9</v>
      </c>
      <c r="H7765" t="n">
        <v>0</v>
      </c>
      <c r="I7765" t="n">
        <v>0</v>
      </c>
      <c r="J7765" t="n">
        <v>0</v>
      </c>
      <c r="K7765" t="n">
        <v>0</v>
      </c>
      <c r="L7765" t="n">
        <v>0</v>
      </c>
      <c r="M7765" t="n">
        <v>0</v>
      </c>
      <c r="N7765" t="n">
        <v>0</v>
      </c>
      <c r="O7765" t="n">
        <v>0</v>
      </c>
      <c r="P7765" t="n">
        <v>0</v>
      </c>
      <c r="Q7765" t="n">
        <v>0</v>
      </c>
      <c r="R7765" s="2" t="inlineStr"/>
    </row>
    <row r="7766" ht="15" customHeight="1">
      <c r="A7766" t="inlineStr">
        <is>
          <t>A 60319-2023</t>
        </is>
      </c>
      <c r="B7766" s="1" t="n">
        <v>45258.9266087963</v>
      </c>
      <c r="C7766" s="1" t="n">
        <v>46093</v>
      </c>
      <c r="D7766" t="inlineStr">
        <is>
          <t>VÄSTERNORRLANDS LÄN</t>
        </is>
      </c>
      <c r="E7766" t="inlineStr">
        <is>
          <t>ÖRNSKÖLDSVIK</t>
        </is>
      </c>
      <c r="G7766" t="n">
        <v>0.4</v>
      </c>
      <c r="H7766" t="n">
        <v>0</v>
      </c>
      <c r="I7766" t="n">
        <v>0</v>
      </c>
      <c r="J7766" t="n">
        <v>0</v>
      </c>
      <c r="K7766" t="n">
        <v>0</v>
      </c>
      <c r="L7766" t="n">
        <v>0</v>
      </c>
      <c r="M7766" t="n">
        <v>0</v>
      </c>
      <c r="N7766" t="n">
        <v>0</v>
      </c>
      <c r="O7766" t="n">
        <v>0</v>
      </c>
      <c r="P7766" t="n">
        <v>0</v>
      </c>
      <c r="Q7766" t="n">
        <v>0</v>
      </c>
      <c r="R7766" s="2" t="inlineStr"/>
    </row>
    <row r="7767" ht="15" customHeight="1">
      <c r="A7767" t="inlineStr">
        <is>
          <t>A 50235-2021</t>
        </is>
      </c>
      <c r="B7767" s="1" t="n">
        <v>44457</v>
      </c>
      <c r="C7767" s="1" t="n">
        <v>46093</v>
      </c>
      <c r="D7767" t="inlineStr">
        <is>
          <t>VÄSTERNORRLANDS LÄN</t>
        </is>
      </c>
      <c r="E7767" t="inlineStr">
        <is>
          <t>ÅNGE</t>
        </is>
      </c>
      <c r="G7767" t="n">
        <v>3.8</v>
      </c>
      <c r="H7767" t="n">
        <v>0</v>
      </c>
      <c r="I7767" t="n">
        <v>0</v>
      </c>
      <c r="J7767" t="n">
        <v>0</v>
      </c>
      <c r="K7767" t="n">
        <v>0</v>
      </c>
      <c r="L7767" t="n">
        <v>0</v>
      </c>
      <c r="M7767" t="n">
        <v>0</v>
      </c>
      <c r="N7767" t="n">
        <v>0</v>
      </c>
      <c r="O7767" t="n">
        <v>0</v>
      </c>
      <c r="P7767" t="n">
        <v>0</v>
      </c>
      <c r="Q7767" t="n">
        <v>0</v>
      </c>
      <c r="R7767" s="2" t="inlineStr"/>
    </row>
    <row r="7768" ht="15" customHeight="1">
      <c r="A7768" t="inlineStr">
        <is>
          <t>A 55769-2025</t>
        </is>
      </c>
      <c r="B7768" s="1" t="n">
        <v>45972</v>
      </c>
      <c r="C7768" s="1" t="n">
        <v>46093</v>
      </c>
      <c r="D7768" t="inlineStr">
        <is>
          <t>VÄSTERNORRLANDS LÄN</t>
        </is>
      </c>
      <c r="E7768" t="inlineStr">
        <is>
          <t>SUNDSVALL</t>
        </is>
      </c>
      <c r="G7768" t="n">
        <v>2.6</v>
      </c>
      <c r="H7768" t="n">
        <v>0</v>
      </c>
      <c r="I7768" t="n">
        <v>0</v>
      </c>
      <c r="J7768" t="n">
        <v>0</v>
      </c>
      <c r="K7768" t="n">
        <v>0</v>
      </c>
      <c r="L7768" t="n">
        <v>0</v>
      </c>
      <c r="M7768" t="n">
        <v>0</v>
      </c>
      <c r="N7768" t="n">
        <v>0</v>
      </c>
      <c r="O7768" t="n">
        <v>0</v>
      </c>
      <c r="P7768" t="n">
        <v>0</v>
      </c>
      <c r="Q7768" t="n">
        <v>0</v>
      </c>
      <c r="R7768" s="2" t="inlineStr"/>
    </row>
    <row r="7769" ht="15" customHeight="1">
      <c r="A7769" t="inlineStr">
        <is>
          <t>A 15609-2025</t>
        </is>
      </c>
      <c r="B7769" s="1" t="n">
        <v>45748.34819444444</v>
      </c>
      <c r="C7769" s="1" t="n">
        <v>46093</v>
      </c>
      <c r="D7769" t="inlineStr">
        <is>
          <t>VÄSTERNORRLANDS LÄN</t>
        </is>
      </c>
      <c r="E7769" t="inlineStr">
        <is>
          <t>SUNDSVALL</t>
        </is>
      </c>
      <c r="F7769" t="inlineStr">
        <is>
          <t>SCA</t>
        </is>
      </c>
      <c r="G7769" t="n">
        <v>0.7</v>
      </c>
      <c r="H7769" t="n">
        <v>0</v>
      </c>
      <c r="I7769" t="n">
        <v>0</v>
      </c>
      <c r="J7769" t="n">
        <v>0</v>
      </c>
      <c r="K7769" t="n">
        <v>0</v>
      </c>
      <c r="L7769" t="n">
        <v>0</v>
      </c>
      <c r="M7769" t="n">
        <v>0</v>
      </c>
      <c r="N7769" t="n">
        <v>0</v>
      </c>
      <c r="O7769" t="n">
        <v>0</v>
      </c>
      <c r="P7769" t="n">
        <v>0</v>
      </c>
      <c r="Q7769" t="n">
        <v>0</v>
      </c>
      <c r="R7769" s="2" t="inlineStr"/>
    </row>
    <row r="7770" ht="15" customHeight="1">
      <c r="A7770" t="inlineStr">
        <is>
          <t>A 15612-2025</t>
        </is>
      </c>
      <c r="B7770" s="1" t="n">
        <v>45747</v>
      </c>
      <c r="C7770" s="1" t="n">
        <v>46093</v>
      </c>
      <c r="D7770" t="inlineStr">
        <is>
          <t>VÄSTERNORRLANDS LÄN</t>
        </is>
      </c>
      <c r="E7770" t="inlineStr">
        <is>
          <t>ÖRNSKÖLDSVIK</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58478-2021</t>
        </is>
      </c>
      <c r="B7771" s="1" t="n">
        <v>44488</v>
      </c>
      <c r="C7771" s="1" t="n">
        <v>46093</v>
      </c>
      <c r="D7771" t="inlineStr">
        <is>
          <t>VÄSTERNORRLANDS LÄN</t>
        </is>
      </c>
      <c r="E7771" t="inlineStr">
        <is>
          <t>SOLLEFTEÅ</t>
        </is>
      </c>
      <c r="G7771" t="n">
        <v>9.5</v>
      </c>
      <c r="H7771" t="n">
        <v>0</v>
      </c>
      <c r="I7771" t="n">
        <v>0</v>
      </c>
      <c r="J7771" t="n">
        <v>0</v>
      </c>
      <c r="K7771" t="n">
        <v>0</v>
      </c>
      <c r="L7771" t="n">
        <v>0</v>
      </c>
      <c r="M7771" t="n">
        <v>0</v>
      </c>
      <c r="N7771" t="n">
        <v>0</v>
      </c>
      <c r="O7771" t="n">
        <v>0</v>
      </c>
      <c r="P7771" t="n">
        <v>0</v>
      </c>
      <c r="Q7771" t="n">
        <v>0</v>
      </c>
      <c r="R7771" s="2" t="inlineStr"/>
    </row>
    <row r="7772" ht="15" customHeight="1">
      <c r="A7772" t="inlineStr">
        <is>
          <t>A 55387-2025</t>
        </is>
      </c>
      <c r="B7772" s="1" t="n">
        <v>45971.43796296296</v>
      </c>
      <c r="C7772" s="1" t="n">
        <v>46093</v>
      </c>
      <c r="D7772" t="inlineStr">
        <is>
          <t>VÄSTERNORRLANDS LÄN</t>
        </is>
      </c>
      <c r="E7772" t="inlineStr">
        <is>
          <t>ÖRNSKÖLDSVIK</t>
        </is>
      </c>
      <c r="G7772" t="n">
        <v>8.800000000000001</v>
      </c>
      <c r="H7772" t="n">
        <v>0</v>
      </c>
      <c r="I7772" t="n">
        <v>0</v>
      </c>
      <c r="J7772" t="n">
        <v>0</v>
      </c>
      <c r="K7772" t="n">
        <v>0</v>
      </c>
      <c r="L7772" t="n">
        <v>0</v>
      </c>
      <c r="M7772" t="n">
        <v>0</v>
      </c>
      <c r="N7772" t="n">
        <v>0</v>
      </c>
      <c r="O7772" t="n">
        <v>0</v>
      </c>
      <c r="P7772" t="n">
        <v>0</v>
      </c>
      <c r="Q7772" t="n">
        <v>0</v>
      </c>
      <c r="R7772" s="2" t="inlineStr"/>
    </row>
    <row r="7773" ht="15" customHeight="1">
      <c r="A7773" t="inlineStr">
        <is>
          <t>A 2939-2025</t>
        </is>
      </c>
      <c r="B7773" s="1" t="n">
        <v>45678.38581018519</v>
      </c>
      <c r="C7773" s="1" t="n">
        <v>46093</v>
      </c>
      <c r="D7773" t="inlineStr">
        <is>
          <t>VÄSTERNORRLANDS LÄN</t>
        </is>
      </c>
      <c r="E7773" t="inlineStr">
        <is>
          <t>SOLLEFTEÅ</t>
        </is>
      </c>
      <c r="F7773" t="inlineStr">
        <is>
          <t>SCA</t>
        </is>
      </c>
      <c r="G7773" t="n">
        <v>2.7</v>
      </c>
      <c r="H7773" t="n">
        <v>0</v>
      </c>
      <c r="I7773" t="n">
        <v>0</v>
      </c>
      <c r="J7773" t="n">
        <v>0</v>
      </c>
      <c r="K7773" t="n">
        <v>0</v>
      </c>
      <c r="L7773" t="n">
        <v>0</v>
      </c>
      <c r="M7773" t="n">
        <v>0</v>
      </c>
      <c r="N7773" t="n">
        <v>0</v>
      </c>
      <c r="O7773" t="n">
        <v>0</v>
      </c>
      <c r="P7773" t="n">
        <v>0</v>
      </c>
      <c r="Q7773" t="n">
        <v>0</v>
      </c>
      <c r="R7773" s="2" t="inlineStr"/>
    </row>
    <row r="7774" ht="15" customHeight="1">
      <c r="A7774" t="inlineStr">
        <is>
          <t>A 31965-2022</t>
        </is>
      </c>
      <c r="B7774" s="1" t="n">
        <v>44777.95460648148</v>
      </c>
      <c r="C7774" s="1" t="n">
        <v>46093</v>
      </c>
      <c r="D7774" t="inlineStr">
        <is>
          <t>VÄSTERNORRLANDS LÄN</t>
        </is>
      </c>
      <c r="E7774" t="inlineStr">
        <is>
          <t>SOLLEFTEÅ</t>
        </is>
      </c>
      <c r="F7774" t="inlineStr">
        <is>
          <t>SCA</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55563-2025</t>
        </is>
      </c>
      <c r="B7775" s="1" t="n">
        <v>45971.65373842593</v>
      </c>
      <c r="C7775" s="1" t="n">
        <v>46093</v>
      </c>
      <c r="D7775" t="inlineStr">
        <is>
          <t>VÄSTERNORRLANDS LÄN</t>
        </is>
      </c>
      <c r="E7775" t="inlineStr">
        <is>
          <t>SUNDSVALL</t>
        </is>
      </c>
      <c r="G7775" t="n">
        <v>7.4</v>
      </c>
      <c r="H7775" t="n">
        <v>0</v>
      </c>
      <c r="I7775" t="n">
        <v>0</v>
      </c>
      <c r="J7775" t="n">
        <v>0</v>
      </c>
      <c r="K7775" t="n">
        <v>0</v>
      </c>
      <c r="L7775" t="n">
        <v>0</v>
      </c>
      <c r="M7775" t="n">
        <v>0</v>
      </c>
      <c r="N7775" t="n">
        <v>0</v>
      </c>
      <c r="O7775" t="n">
        <v>0</v>
      </c>
      <c r="P7775" t="n">
        <v>0</v>
      </c>
      <c r="Q7775" t="n">
        <v>0</v>
      </c>
      <c r="R7775" s="2" t="inlineStr"/>
    </row>
    <row r="7776" ht="15" customHeight="1">
      <c r="A7776" t="inlineStr">
        <is>
          <t>A 18643-2025</t>
        </is>
      </c>
      <c r="B7776" s="1" t="n">
        <v>45763.57328703703</v>
      </c>
      <c r="C7776" s="1" t="n">
        <v>46093</v>
      </c>
      <c r="D7776" t="inlineStr">
        <is>
          <t>VÄSTERNORRLANDS LÄN</t>
        </is>
      </c>
      <c r="E7776" t="inlineStr">
        <is>
          <t>KRAMFORS</t>
        </is>
      </c>
      <c r="F7776" t="inlineStr">
        <is>
          <t>SCA</t>
        </is>
      </c>
      <c r="G7776" t="n">
        <v>3.1</v>
      </c>
      <c r="H7776" t="n">
        <v>0</v>
      </c>
      <c r="I7776" t="n">
        <v>0</v>
      </c>
      <c r="J7776" t="n">
        <v>0</v>
      </c>
      <c r="K7776" t="n">
        <v>0</v>
      </c>
      <c r="L7776" t="n">
        <v>0</v>
      </c>
      <c r="M7776" t="n">
        <v>0</v>
      </c>
      <c r="N7776" t="n">
        <v>0</v>
      </c>
      <c r="O7776" t="n">
        <v>0</v>
      </c>
      <c r="P7776" t="n">
        <v>0</v>
      </c>
      <c r="Q7776" t="n">
        <v>0</v>
      </c>
      <c r="R7776" s="2" t="inlineStr"/>
    </row>
    <row r="7777" ht="15" customHeight="1">
      <c r="A7777" t="inlineStr">
        <is>
          <t>A 3368-2025</t>
        </is>
      </c>
      <c r="B7777" s="1" t="n">
        <v>45679</v>
      </c>
      <c r="C7777" s="1" t="n">
        <v>46093</v>
      </c>
      <c r="D7777" t="inlineStr">
        <is>
          <t>VÄSTERNORRLANDS LÄN</t>
        </is>
      </c>
      <c r="E7777" t="inlineStr">
        <is>
          <t>SOLLEFTEÅ</t>
        </is>
      </c>
      <c r="G7777" t="n">
        <v>1.8</v>
      </c>
      <c r="H7777" t="n">
        <v>0</v>
      </c>
      <c r="I7777" t="n">
        <v>0</v>
      </c>
      <c r="J7777" t="n">
        <v>0</v>
      </c>
      <c r="K7777" t="n">
        <v>0</v>
      </c>
      <c r="L7777" t="n">
        <v>0</v>
      </c>
      <c r="M7777" t="n">
        <v>0</v>
      </c>
      <c r="N7777" t="n">
        <v>0</v>
      </c>
      <c r="O7777" t="n">
        <v>0</v>
      </c>
      <c r="P7777" t="n">
        <v>0</v>
      </c>
      <c r="Q7777" t="n">
        <v>0</v>
      </c>
      <c r="R7777" s="2" t="inlineStr"/>
    </row>
    <row r="7778" ht="15" customHeight="1">
      <c r="A7778" t="inlineStr">
        <is>
          <t>A 18648-2025</t>
        </is>
      </c>
      <c r="B7778" s="1" t="n">
        <v>45763.57391203703</v>
      </c>
      <c r="C7778" s="1" t="n">
        <v>46093</v>
      </c>
      <c r="D7778" t="inlineStr">
        <is>
          <t>VÄSTERNORRLANDS LÄN</t>
        </is>
      </c>
      <c r="E7778" t="inlineStr">
        <is>
          <t>KRAMFORS</t>
        </is>
      </c>
      <c r="F7778" t="inlineStr">
        <is>
          <t>SCA</t>
        </is>
      </c>
      <c r="G7778" t="n">
        <v>2.1</v>
      </c>
      <c r="H7778" t="n">
        <v>0</v>
      </c>
      <c r="I7778" t="n">
        <v>0</v>
      </c>
      <c r="J7778" t="n">
        <v>0</v>
      </c>
      <c r="K7778" t="n">
        <v>0</v>
      </c>
      <c r="L7778" t="n">
        <v>0</v>
      </c>
      <c r="M7778" t="n">
        <v>0</v>
      </c>
      <c r="N7778" t="n">
        <v>0</v>
      </c>
      <c r="O7778" t="n">
        <v>0</v>
      </c>
      <c r="P7778" t="n">
        <v>0</v>
      </c>
      <c r="Q7778" t="n">
        <v>0</v>
      </c>
      <c r="R7778" s="2" t="inlineStr"/>
    </row>
    <row r="7779" ht="15" customHeight="1">
      <c r="A7779" t="inlineStr">
        <is>
          <t>A 3382-2025</t>
        </is>
      </c>
      <c r="B7779" s="1" t="n">
        <v>45680.34305555555</v>
      </c>
      <c r="C7779" s="1" t="n">
        <v>46093</v>
      </c>
      <c r="D7779" t="inlineStr">
        <is>
          <t>VÄSTERNORRLANDS LÄN</t>
        </is>
      </c>
      <c r="E7779" t="inlineStr">
        <is>
          <t>ÖRNSKÖLDSVIK</t>
        </is>
      </c>
      <c r="G7779" t="n">
        <v>3.1</v>
      </c>
      <c r="H7779" t="n">
        <v>0</v>
      </c>
      <c r="I7779" t="n">
        <v>0</v>
      </c>
      <c r="J7779" t="n">
        <v>0</v>
      </c>
      <c r="K7779" t="n">
        <v>0</v>
      </c>
      <c r="L7779" t="n">
        <v>0</v>
      </c>
      <c r="M7779" t="n">
        <v>0</v>
      </c>
      <c r="N7779" t="n">
        <v>0</v>
      </c>
      <c r="O7779" t="n">
        <v>0</v>
      </c>
      <c r="P7779" t="n">
        <v>0</v>
      </c>
      <c r="Q7779" t="n">
        <v>0</v>
      </c>
      <c r="R7779" s="2" t="inlineStr"/>
    </row>
    <row r="7780" ht="15" customHeight="1">
      <c r="A7780" t="inlineStr">
        <is>
          <t>A 55580-2025</t>
        </is>
      </c>
      <c r="B7780" s="1" t="n">
        <v>45971.67268518519</v>
      </c>
      <c r="C7780" s="1" t="n">
        <v>46093</v>
      </c>
      <c r="D7780" t="inlineStr">
        <is>
          <t>VÄSTERNORRLANDS LÄN</t>
        </is>
      </c>
      <c r="E7780" t="inlineStr">
        <is>
          <t>ÖRNSKÖLDSVIK</t>
        </is>
      </c>
      <c r="F7780" t="inlineStr">
        <is>
          <t>Holmen skog AB</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55583-2025</t>
        </is>
      </c>
      <c r="B7781" s="1" t="n">
        <v>45971.67804398148</v>
      </c>
      <c r="C7781" s="1" t="n">
        <v>46093</v>
      </c>
      <c r="D7781" t="inlineStr">
        <is>
          <t>VÄSTERNORRLANDS LÄN</t>
        </is>
      </c>
      <c r="E7781" t="inlineStr">
        <is>
          <t>SOLLEFTEÅ</t>
        </is>
      </c>
      <c r="F7781" t="inlineStr">
        <is>
          <t>SCA</t>
        </is>
      </c>
      <c r="G7781" t="n">
        <v>4.5</v>
      </c>
      <c r="H7781" t="n">
        <v>0</v>
      </c>
      <c r="I7781" t="n">
        <v>0</v>
      </c>
      <c r="J7781" t="n">
        <v>0</v>
      </c>
      <c r="K7781" t="n">
        <v>0</v>
      </c>
      <c r="L7781" t="n">
        <v>0</v>
      </c>
      <c r="M7781" t="n">
        <v>0</v>
      </c>
      <c r="N7781" t="n">
        <v>0</v>
      </c>
      <c r="O7781" t="n">
        <v>0</v>
      </c>
      <c r="P7781" t="n">
        <v>0</v>
      </c>
      <c r="Q7781" t="n">
        <v>0</v>
      </c>
      <c r="R7781" s="2" t="inlineStr"/>
    </row>
    <row r="7782" ht="15" customHeight="1">
      <c r="A7782" t="inlineStr">
        <is>
          <t>A 55584-2025</t>
        </is>
      </c>
      <c r="B7782" s="1" t="n">
        <v>45971.67821759259</v>
      </c>
      <c r="C7782" s="1" t="n">
        <v>46093</v>
      </c>
      <c r="D7782" t="inlineStr">
        <is>
          <t>VÄSTERNORRLANDS LÄN</t>
        </is>
      </c>
      <c r="E7782" t="inlineStr">
        <is>
          <t>SOLLEFTEÅ</t>
        </is>
      </c>
      <c r="F7782" t="inlineStr">
        <is>
          <t>SCA</t>
        </is>
      </c>
      <c r="G7782" t="n">
        <v>2.5</v>
      </c>
      <c r="H7782" t="n">
        <v>0</v>
      </c>
      <c r="I7782" t="n">
        <v>0</v>
      </c>
      <c r="J7782" t="n">
        <v>0</v>
      </c>
      <c r="K7782" t="n">
        <v>0</v>
      </c>
      <c r="L7782" t="n">
        <v>0</v>
      </c>
      <c r="M7782" t="n">
        <v>0</v>
      </c>
      <c r="N7782" t="n">
        <v>0</v>
      </c>
      <c r="O7782" t="n">
        <v>0</v>
      </c>
      <c r="P7782" t="n">
        <v>0</v>
      </c>
      <c r="Q7782" t="n">
        <v>0</v>
      </c>
      <c r="R7782" s="2" t="inlineStr"/>
    </row>
    <row r="7783" ht="15" customHeight="1">
      <c r="A7783" t="inlineStr">
        <is>
          <t>A 55585-2025</t>
        </is>
      </c>
      <c r="B7783" s="1" t="n">
        <v>45971.6784375</v>
      </c>
      <c r="C7783" s="1" t="n">
        <v>46093</v>
      </c>
      <c r="D7783" t="inlineStr">
        <is>
          <t>VÄSTERNORRLANDS LÄN</t>
        </is>
      </c>
      <c r="E7783" t="inlineStr">
        <is>
          <t>SOLLEFTEÅ</t>
        </is>
      </c>
      <c r="F7783" t="inlineStr">
        <is>
          <t>SCA</t>
        </is>
      </c>
      <c r="G7783" t="n">
        <v>11.8</v>
      </c>
      <c r="H7783" t="n">
        <v>0</v>
      </c>
      <c r="I7783" t="n">
        <v>0</v>
      </c>
      <c r="J7783" t="n">
        <v>0</v>
      </c>
      <c r="K7783" t="n">
        <v>0</v>
      </c>
      <c r="L7783" t="n">
        <v>0</v>
      </c>
      <c r="M7783" t="n">
        <v>0</v>
      </c>
      <c r="N7783" t="n">
        <v>0</v>
      </c>
      <c r="O7783" t="n">
        <v>0</v>
      </c>
      <c r="P7783" t="n">
        <v>0</v>
      </c>
      <c r="Q7783" t="n">
        <v>0</v>
      </c>
      <c r="R7783" s="2" t="inlineStr"/>
    </row>
    <row r="7784" ht="15" customHeight="1">
      <c r="A7784" t="inlineStr">
        <is>
          <t>A 61322-2022</t>
        </is>
      </c>
      <c r="B7784" s="1" t="n">
        <v>44909</v>
      </c>
      <c r="C7784" s="1" t="n">
        <v>46093</v>
      </c>
      <c r="D7784" t="inlineStr">
        <is>
          <t>VÄSTERNORRLANDS LÄN</t>
        </is>
      </c>
      <c r="E7784" t="inlineStr">
        <is>
          <t>ÖRNSKÖLDSVIK</t>
        </is>
      </c>
      <c r="G7784" t="n">
        <v>3.8</v>
      </c>
      <c r="H7784" t="n">
        <v>0</v>
      </c>
      <c r="I7784" t="n">
        <v>0</v>
      </c>
      <c r="J7784" t="n">
        <v>0</v>
      </c>
      <c r="K7784" t="n">
        <v>0</v>
      </c>
      <c r="L7784" t="n">
        <v>0</v>
      </c>
      <c r="M7784" t="n">
        <v>0</v>
      </c>
      <c r="N7784" t="n">
        <v>0</v>
      </c>
      <c r="O7784" t="n">
        <v>0</v>
      </c>
      <c r="P7784" t="n">
        <v>0</v>
      </c>
      <c r="Q7784" t="n">
        <v>0</v>
      </c>
      <c r="R7784" s="2" t="inlineStr"/>
    </row>
    <row r="7785" ht="15" customHeight="1">
      <c r="A7785" t="inlineStr">
        <is>
          <t>A 7790-2025</t>
        </is>
      </c>
      <c r="B7785" s="1" t="n">
        <v>45706.59415509259</v>
      </c>
      <c r="C7785" s="1" t="n">
        <v>46093</v>
      </c>
      <c r="D7785" t="inlineStr">
        <is>
          <t>VÄSTERNORRLANDS LÄN</t>
        </is>
      </c>
      <c r="E7785" t="inlineStr">
        <is>
          <t>HÄRNÖSAND</t>
        </is>
      </c>
      <c r="F7785" t="inlineStr">
        <is>
          <t>SCA</t>
        </is>
      </c>
      <c r="G7785" t="n">
        <v>4.9</v>
      </c>
      <c r="H7785" t="n">
        <v>0</v>
      </c>
      <c r="I7785" t="n">
        <v>0</v>
      </c>
      <c r="J7785" t="n">
        <v>0</v>
      </c>
      <c r="K7785" t="n">
        <v>0</v>
      </c>
      <c r="L7785" t="n">
        <v>0</v>
      </c>
      <c r="M7785" t="n">
        <v>0</v>
      </c>
      <c r="N7785" t="n">
        <v>0</v>
      </c>
      <c r="O7785" t="n">
        <v>0</v>
      </c>
      <c r="P7785" t="n">
        <v>0</v>
      </c>
      <c r="Q7785" t="n">
        <v>0</v>
      </c>
      <c r="R7785" s="2" t="inlineStr"/>
    </row>
    <row r="7786" ht="15" customHeight="1">
      <c r="A7786" t="inlineStr">
        <is>
          <t>A 55659-2025</t>
        </is>
      </c>
      <c r="B7786" s="1" t="n">
        <v>45972.39212962963</v>
      </c>
      <c r="C7786" s="1" t="n">
        <v>46093</v>
      </c>
      <c r="D7786" t="inlineStr">
        <is>
          <t>VÄSTERNORRLANDS LÄN</t>
        </is>
      </c>
      <c r="E7786" t="inlineStr">
        <is>
          <t>ÖRNSKÖLDSVIK</t>
        </is>
      </c>
      <c r="G7786" t="n">
        <v>5.5</v>
      </c>
      <c r="H7786" t="n">
        <v>0</v>
      </c>
      <c r="I7786" t="n">
        <v>0</v>
      </c>
      <c r="J7786" t="n">
        <v>0</v>
      </c>
      <c r="K7786" t="n">
        <v>0</v>
      </c>
      <c r="L7786" t="n">
        <v>0</v>
      </c>
      <c r="M7786" t="n">
        <v>0</v>
      </c>
      <c r="N7786" t="n">
        <v>0</v>
      </c>
      <c r="O7786" t="n">
        <v>0</v>
      </c>
      <c r="P7786" t="n">
        <v>0</v>
      </c>
      <c r="Q7786" t="n">
        <v>0</v>
      </c>
      <c r="R7786" s="2" t="inlineStr"/>
    </row>
    <row r="7787" ht="15" customHeight="1">
      <c r="A7787" t="inlineStr">
        <is>
          <t>A 55663-2025</t>
        </is>
      </c>
      <c r="B7787" s="1" t="n">
        <v>45972.3959837963</v>
      </c>
      <c r="C7787" s="1" t="n">
        <v>46093</v>
      </c>
      <c r="D7787" t="inlineStr">
        <is>
          <t>VÄSTERNORRLANDS LÄN</t>
        </is>
      </c>
      <c r="E7787" t="inlineStr">
        <is>
          <t>ÖRNSKÖLDSVIK</t>
        </is>
      </c>
      <c r="G7787" t="n">
        <v>2.6</v>
      </c>
      <c r="H7787" t="n">
        <v>0</v>
      </c>
      <c r="I7787" t="n">
        <v>0</v>
      </c>
      <c r="J7787" t="n">
        <v>0</v>
      </c>
      <c r="K7787" t="n">
        <v>0</v>
      </c>
      <c r="L7787" t="n">
        <v>0</v>
      </c>
      <c r="M7787" t="n">
        <v>0</v>
      </c>
      <c r="N7787" t="n">
        <v>0</v>
      </c>
      <c r="O7787" t="n">
        <v>0</v>
      </c>
      <c r="P7787" t="n">
        <v>0</v>
      </c>
      <c r="Q7787" t="n">
        <v>0</v>
      </c>
      <c r="R7787" s="2" t="inlineStr"/>
    </row>
    <row r="7788" ht="15" customHeight="1">
      <c r="A7788" t="inlineStr">
        <is>
          <t>A 55667-2025</t>
        </is>
      </c>
      <c r="B7788" s="1" t="n">
        <v>45972.40171296296</v>
      </c>
      <c r="C7788" s="1" t="n">
        <v>46093</v>
      </c>
      <c r="D7788" t="inlineStr">
        <is>
          <t>VÄSTERNORRLANDS LÄN</t>
        </is>
      </c>
      <c r="E7788" t="inlineStr">
        <is>
          <t>ÖRNSKÖLDSVIK</t>
        </is>
      </c>
      <c r="G7788" t="n">
        <v>2.7</v>
      </c>
      <c r="H7788" t="n">
        <v>0</v>
      </c>
      <c r="I7788" t="n">
        <v>0</v>
      </c>
      <c r="J7788" t="n">
        <v>0</v>
      </c>
      <c r="K7788" t="n">
        <v>0</v>
      </c>
      <c r="L7788" t="n">
        <v>0</v>
      </c>
      <c r="M7788" t="n">
        <v>0</v>
      </c>
      <c r="N7788" t="n">
        <v>0</v>
      </c>
      <c r="O7788" t="n">
        <v>0</v>
      </c>
      <c r="P7788" t="n">
        <v>0</v>
      </c>
      <c r="Q7788" t="n">
        <v>0</v>
      </c>
      <c r="R7788" s="2" t="inlineStr"/>
    </row>
    <row r="7789" ht="15" customHeight="1">
      <c r="A7789" t="inlineStr">
        <is>
          <t>A 61392-2022</t>
        </is>
      </c>
      <c r="B7789" s="1" t="n">
        <v>44915.94341435185</v>
      </c>
      <c r="C7789" s="1" t="n">
        <v>46093</v>
      </c>
      <c r="D7789" t="inlineStr">
        <is>
          <t>VÄSTERNORRLANDS LÄN</t>
        </is>
      </c>
      <c r="E7789" t="inlineStr">
        <is>
          <t>ÖRNSKÖLDSVIK</t>
        </is>
      </c>
      <c r="F7789" t="inlineStr">
        <is>
          <t>SCA</t>
        </is>
      </c>
      <c r="G7789" t="n">
        <v>6.8</v>
      </c>
      <c r="H7789" t="n">
        <v>0</v>
      </c>
      <c r="I7789" t="n">
        <v>0</v>
      </c>
      <c r="J7789" t="n">
        <v>0</v>
      </c>
      <c r="K7789" t="n">
        <v>0</v>
      </c>
      <c r="L7789" t="n">
        <v>0</v>
      </c>
      <c r="M7789" t="n">
        <v>0</v>
      </c>
      <c r="N7789" t="n">
        <v>0</v>
      </c>
      <c r="O7789" t="n">
        <v>0</v>
      </c>
      <c r="P7789" t="n">
        <v>0</v>
      </c>
      <c r="Q7789" t="n">
        <v>0</v>
      </c>
      <c r="R7789" s="2" t="inlineStr"/>
    </row>
    <row r="7790" ht="15" customHeight="1">
      <c r="A7790" t="inlineStr">
        <is>
          <t>A 23688-2025</t>
        </is>
      </c>
      <c r="B7790" s="1" t="n">
        <v>45793.34438657408</v>
      </c>
      <c r="C7790" s="1" t="n">
        <v>46093</v>
      </c>
      <c r="D7790" t="inlineStr">
        <is>
          <t>VÄSTERNORRLANDS LÄN</t>
        </is>
      </c>
      <c r="E7790" t="inlineStr">
        <is>
          <t>HÄRNÖSAND</t>
        </is>
      </c>
      <c r="F7790" t="inlineStr">
        <is>
          <t>SCA</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47950-2024</t>
        </is>
      </c>
      <c r="B7791" s="1" t="n">
        <v>45589.36511574074</v>
      </c>
      <c r="C7791" s="1" t="n">
        <v>46093</v>
      </c>
      <c r="D7791" t="inlineStr">
        <is>
          <t>VÄSTERNORRLANDS LÄN</t>
        </is>
      </c>
      <c r="E7791" t="inlineStr">
        <is>
          <t>ÅNGE</t>
        </is>
      </c>
      <c r="F7791" t="inlineStr">
        <is>
          <t>SCA</t>
        </is>
      </c>
      <c r="G7791" t="n">
        <v>6</v>
      </c>
      <c r="H7791" t="n">
        <v>0</v>
      </c>
      <c r="I7791" t="n">
        <v>0</v>
      </c>
      <c r="J7791" t="n">
        <v>0</v>
      </c>
      <c r="K7791" t="n">
        <v>0</v>
      </c>
      <c r="L7791" t="n">
        <v>0</v>
      </c>
      <c r="M7791" t="n">
        <v>0</v>
      </c>
      <c r="N7791" t="n">
        <v>0</v>
      </c>
      <c r="O7791" t="n">
        <v>0</v>
      </c>
      <c r="P7791" t="n">
        <v>0</v>
      </c>
      <c r="Q7791" t="n">
        <v>0</v>
      </c>
      <c r="R7791" s="2" t="inlineStr"/>
    </row>
    <row r="7792" ht="15" customHeight="1">
      <c r="A7792" t="inlineStr">
        <is>
          <t>A 47982-2024</t>
        </is>
      </c>
      <c r="B7792" s="1" t="n">
        <v>45589.41234953704</v>
      </c>
      <c r="C7792" s="1" t="n">
        <v>46093</v>
      </c>
      <c r="D7792" t="inlineStr">
        <is>
          <t>VÄSTERNORRLANDS LÄN</t>
        </is>
      </c>
      <c r="E7792" t="inlineStr">
        <is>
          <t>ÖRNSKÖLDSVIK</t>
        </is>
      </c>
      <c r="F7792" t="inlineStr">
        <is>
          <t>Holmen skog AB</t>
        </is>
      </c>
      <c r="G7792" t="n">
        <v>5.5</v>
      </c>
      <c r="H7792" t="n">
        <v>0</v>
      </c>
      <c r="I7792" t="n">
        <v>0</v>
      </c>
      <c r="J7792" t="n">
        <v>0</v>
      </c>
      <c r="K7792" t="n">
        <v>0</v>
      </c>
      <c r="L7792" t="n">
        <v>0</v>
      </c>
      <c r="M7792" t="n">
        <v>0</v>
      </c>
      <c r="N7792" t="n">
        <v>0</v>
      </c>
      <c r="O7792" t="n">
        <v>0</v>
      </c>
      <c r="P7792" t="n">
        <v>0</v>
      </c>
      <c r="Q7792" t="n">
        <v>0</v>
      </c>
      <c r="R7792" s="2" t="inlineStr"/>
    </row>
    <row r="7793" ht="15" customHeight="1">
      <c r="A7793" t="inlineStr">
        <is>
          <t>A 55573-2025</t>
        </is>
      </c>
      <c r="B7793" s="1" t="n">
        <v>45971.65982638889</v>
      </c>
      <c r="C7793" s="1" t="n">
        <v>46093</v>
      </c>
      <c r="D7793" t="inlineStr">
        <is>
          <t>VÄSTERNORRLANDS LÄN</t>
        </is>
      </c>
      <c r="E7793" t="inlineStr">
        <is>
          <t>KRAMFORS</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55582-2025</t>
        </is>
      </c>
      <c r="B7794" s="1" t="n">
        <v>45971.67768518518</v>
      </c>
      <c r="C7794" s="1" t="n">
        <v>46093</v>
      </c>
      <c r="D7794" t="inlineStr">
        <is>
          <t>VÄSTERNORRLANDS LÄN</t>
        </is>
      </c>
      <c r="E7794" t="inlineStr">
        <is>
          <t>SOLLEFTEÅ</t>
        </is>
      </c>
      <c r="F7794" t="inlineStr">
        <is>
          <t>SCA</t>
        </is>
      </c>
      <c r="G7794" t="n">
        <v>5.3</v>
      </c>
      <c r="H7794" t="n">
        <v>0</v>
      </c>
      <c r="I7794" t="n">
        <v>0</v>
      </c>
      <c r="J7794" t="n">
        <v>0</v>
      </c>
      <c r="K7794" t="n">
        <v>0</v>
      </c>
      <c r="L7794" t="n">
        <v>0</v>
      </c>
      <c r="M7794" t="n">
        <v>0</v>
      </c>
      <c r="N7794" t="n">
        <v>0</v>
      </c>
      <c r="O7794" t="n">
        <v>0</v>
      </c>
      <c r="P7794" t="n">
        <v>0</v>
      </c>
      <c r="Q7794" t="n">
        <v>0</v>
      </c>
      <c r="R7794" s="2" t="inlineStr"/>
    </row>
    <row r="7795" ht="15" customHeight="1">
      <c r="A7795" t="inlineStr">
        <is>
          <t>A 55289-2025</t>
        </is>
      </c>
      <c r="B7795" s="1" t="n">
        <v>45969.344375</v>
      </c>
      <c r="C7795" s="1" t="n">
        <v>46093</v>
      </c>
      <c r="D7795" t="inlineStr">
        <is>
          <t>VÄSTERNORRLANDS LÄN</t>
        </is>
      </c>
      <c r="E7795" t="inlineStr">
        <is>
          <t>SOLLEFTEÅ</t>
        </is>
      </c>
      <c r="F7795" t="inlineStr">
        <is>
          <t>SCA</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55533-2025</t>
        </is>
      </c>
      <c r="B7796" s="1" t="n">
        <v>45971.62730324074</v>
      </c>
      <c r="C7796" s="1" t="n">
        <v>46093</v>
      </c>
      <c r="D7796" t="inlineStr">
        <is>
          <t>VÄSTERNORRLANDS LÄN</t>
        </is>
      </c>
      <c r="E7796" t="inlineStr">
        <is>
          <t>ÖRNSKÖLDSVIK</t>
        </is>
      </c>
      <c r="G7796" t="n">
        <v>3.8</v>
      </c>
      <c r="H7796" t="n">
        <v>0</v>
      </c>
      <c r="I7796" t="n">
        <v>0</v>
      </c>
      <c r="J7796" t="n">
        <v>0</v>
      </c>
      <c r="K7796" t="n">
        <v>0</v>
      </c>
      <c r="L7796" t="n">
        <v>0</v>
      </c>
      <c r="M7796" t="n">
        <v>0</v>
      </c>
      <c r="N7796" t="n">
        <v>0</v>
      </c>
      <c r="O7796" t="n">
        <v>0</v>
      </c>
      <c r="P7796" t="n">
        <v>0</v>
      </c>
      <c r="Q7796" t="n">
        <v>0</v>
      </c>
      <c r="R7796" s="2" t="inlineStr"/>
    </row>
    <row r="7797" ht="15" customHeight="1">
      <c r="A7797" t="inlineStr">
        <is>
          <t>A 54982-2022</t>
        </is>
      </c>
      <c r="B7797" s="1" t="n">
        <v>44886</v>
      </c>
      <c r="C7797" s="1" t="n">
        <v>46093</v>
      </c>
      <c r="D7797" t="inlineStr">
        <is>
          <t>VÄSTERNORRLANDS LÄN</t>
        </is>
      </c>
      <c r="E7797" t="inlineStr">
        <is>
          <t>ÖRNSKÖLDSVIK</t>
        </is>
      </c>
      <c r="G7797" t="n">
        <v>3.1</v>
      </c>
      <c r="H7797" t="n">
        <v>0</v>
      </c>
      <c r="I7797" t="n">
        <v>0</v>
      </c>
      <c r="J7797" t="n">
        <v>0</v>
      </c>
      <c r="K7797" t="n">
        <v>0</v>
      </c>
      <c r="L7797" t="n">
        <v>0</v>
      </c>
      <c r="M7797" t="n">
        <v>0</v>
      </c>
      <c r="N7797" t="n">
        <v>0</v>
      </c>
      <c r="O7797" t="n">
        <v>0</v>
      </c>
      <c r="P7797" t="n">
        <v>0</v>
      </c>
      <c r="Q7797" t="n">
        <v>0</v>
      </c>
      <c r="R7797" s="2" t="inlineStr"/>
    </row>
    <row r="7798" ht="15" customHeight="1">
      <c r="A7798" t="inlineStr">
        <is>
          <t>A 55007-2022</t>
        </is>
      </c>
      <c r="B7798" s="1" t="n">
        <v>44881</v>
      </c>
      <c r="C7798" s="1" t="n">
        <v>46093</v>
      </c>
      <c r="D7798" t="inlineStr">
        <is>
          <t>VÄSTERNORRLANDS LÄN</t>
        </is>
      </c>
      <c r="E7798" t="inlineStr">
        <is>
          <t>ÅNGE</t>
        </is>
      </c>
      <c r="G7798" t="n">
        <v>2</v>
      </c>
      <c r="H7798" t="n">
        <v>0</v>
      </c>
      <c r="I7798" t="n">
        <v>0</v>
      </c>
      <c r="J7798" t="n">
        <v>0</v>
      </c>
      <c r="K7798" t="n">
        <v>0</v>
      </c>
      <c r="L7798" t="n">
        <v>0</v>
      </c>
      <c r="M7798" t="n">
        <v>0</v>
      </c>
      <c r="N7798" t="n">
        <v>0</v>
      </c>
      <c r="O7798" t="n">
        <v>0</v>
      </c>
      <c r="P7798" t="n">
        <v>0</v>
      </c>
      <c r="Q7798" t="n">
        <v>0</v>
      </c>
      <c r="R7798" s="2" t="inlineStr"/>
    </row>
    <row r="7799" ht="15" customHeight="1">
      <c r="A7799" t="inlineStr">
        <is>
          <t>A 55466-2025</t>
        </is>
      </c>
      <c r="B7799" s="1" t="n">
        <v>45971.52743055556</v>
      </c>
      <c r="C7799" s="1" t="n">
        <v>46093</v>
      </c>
      <c r="D7799" t="inlineStr">
        <is>
          <t>VÄSTERNORRLANDS LÄN</t>
        </is>
      </c>
      <c r="E7799" t="inlineStr">
        <is>
          <t>ÖRNSKÖLDSVIK</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55449-2025</t>
        </is>
      </c>
      <c r="B7800" s="1" t="n">
        <v>45971.50532407407</v>
      </c>
      <c r="C7800" s="1" t="n">
        <v>46093</v>
      </c>
      <c r="D7800" t="inlineStr">
        <is>
          <t>VÄSTERNORRLANDS LÄN</t>
        </is>
      </c>
      <c r="E7800" t="inlineStr">
        <is>
          <t>ÖRNSKÖLDSVIK</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20264-2023</t>
        </is>
      </c>
      <c r="B7801" s="1" t="n">
        <v>45055</v>
      </c>
      <c r="C7801" s="1" t="n">
        <v>46093</v>
      </c>
      <c r="D7801" t="inlineStr">
        <is>
          <t>VÄSTERNORRLANDS LÄN</t>
        </is>
      </c>
      <c r="E7801" t="inlineStr">
        <is>
          <t>SUNDSVALL</t>
        </is>
      </c>
      <c r="G7801" t="n">
        <v>5.2</v>
      </c>
      <c r="H7801" t="n">
        <v>0</v>
      </c>
      <c r="I7801" t="n">
        <v>0</v>
      </c>
      <c r="J7801" t="n">
        <v>0</v>
      </c>
      <c r="K7801" t="n">
        <v>0</v>
      </c>
      <c r="L7801" t="n">
        <v>0</v>
      </c>
      <c r="M7801" t="n">
        <v>0</v>
      </c>
      <c r="N7801" t="n">
        <v>0</v>
      </c>
      <c r="O7801" t="n">
        <v>0</v>
      </c>
      <c r="P7801" t="n">
        <v>0</v>
      </c>
      <c r="Q7801" t="n">
        <v>0</v>
      </c>
      <c r="R7801" s="2" t="inlineStr"/>
    </row>
    <row r="7802" ht="15" customHeight="1">
      <c r="A7802" t="inlineStr">
        <is>
          <t>A 39504-2021</t>
        </is>
      </c>
      <c r="B7802" s="1" t="n">
        <v>44414.93480324074</v>
      </c>
      <c r="C7802" s="1" t="n">
        <v>46093</v>
      </c>
      <c r="D7802" t="inlineStr">
        <is>
          <t>VÄSTERNORRLANDS LÄN</t>
        </is>
      </c>
      <c r="E7802" t="inlineStr">
        <is>
          <t>SOLLEFTEÅ</t>
        </is>
      </c>
      <c r="F7802" t="inlineStr">
        <is>
          <t>SCA</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55348-2025</t>
        </is>
      </c>
      <c r="B7803" s="1" t="n">
        <v>45971.3566087963</v>
      </c>
      <c r="C7803" s="1" t="n">
        <v>46093</v>
      </c>
      <c r="D7803" t="inlineStr">
        <is>
          <t>VÄSTERNORRLANDS LÄN</t>
        </is>
      </c>
      <c r="E7803" t="inlineStr">
        <is>
          <t>ÖRNSKÖLDSVIK</t>
        </is>
      </c>
      <c r="F7803" t="inlineStr">
        <is>
          <t>Holmen skog AB</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53259-2023</t>
        </is>
      </c>
      <c r="B7804" s="1" t="n">
        <v>45229.5362037037</v>
      </c>
      <c r="C7804" s="1" t="n">
        <v>46093</v>
      </c>
      <c r="D7804" t="inlineStr">
        <is>
          <t>VÄSTERNORRLANDS LÄN</t>
        </is>
      </c>
      <c r="E7804" t="inlineStr">
        <is>
          <t>ÖRNSKÖLDSVIK</t>
        </is>
      </c>
      <c r="G7804" t="n">
        <v>2.2</v>
      </c>
      <c r="H7804" t="n">
        <v>0</v>
      </c>
      <c r="I7804" t="n">
        <v>0</v>
      </c>
      <c r="J7804" t="n">
        <v>0</v>
      </c>
      <c r="K7804" t="n">
        <v>0</v>
      </c>
      <c r="L7804" t="n">
        <v>0</v>
      </c>
      <c r="M7804" t="n">
        <v>0</v>
      </c>
      <c r="N7804" t="n">
        <v>0</v>
      </c>
      <c r="O7804" t="n">
        <v>0</v>
      </c>
      <c r="P7804" t="n">
        <v>0</v>
      </c>
      <c r="Q7804" t="n">
        <v>0</v>
      </c>
      <c r="R7804" s="2" t="inlineStr"/>
    </row>
    <row r="7805" ht="15" customHeight="1">
      <c r="A7805" t="inlineStr">
        <is>
          <t>A 16281-2023</t>
        </is>
      </c>
      <c r="B7805" s="1" t="n">
        <v>45028</v>
      </c>
      <c r="C7805" s="1" t="n">
        <v>46093</v>
      </c>
      <c r="D7805" t="inlineStr">
        <is>
          <t>VÄSTERNORRLANDS LÄN</t>
        </is>
      </c>
      <c r="E7805" t="inlineStr">
        <is>
          <t>ÅNGE</t>
        </is>
      </c>
      <c r="G7805" t="n">
        <v>1.6</v>
      </c>
      <c r="H7805" t="n">
        <v>0</v>
      </c>
      <c r="I7805" t="n">
        <v>0</v>
      </c>
      <c r="J7805" t="n">
        <v>0</v>
      </c>
      <c r="K7805" t="n">
        <v>0</v>
      </c>
      <c r="L7805" t="n">
        <v>0</v>
      </c>
      <c r="M7805" t="n">
        <v>0</v>
      </c>
      <c r="N7805" t="n">
        <v>0</v>
      </c>
      <c r="O7805" t="n">
        <v>0</v>
      </c>
      <c r="P7805" t="n">
        <v>0</v>
      </c>
      <c r="Q7805" t="n">
        <v>0</v>
      </c>
      <c r="R7805" s="2" t="inlineStr"/>
    </row>
    <row r="7806" ht="15" customHeight="1">
      <c r="A7806" t="inlineStr">
        <is>
          <t>A 55556-2025</t>
        </is>
      </c>
      <c r="B7806" s="1" t="n">
        <v>45971.64694444444</v>
      </c>
      <c r="C7806" s="1" t="n">
        <v>46093</v>
      </c>
      <c r="D7806" t="inlineStr">
        <is>
          <t>VÄSTERNORRLANDS LÄN</t>
        </is>
      </c>
      <c r="E7806" t="inlineStr">
        <is>
          <t>ÅNGE</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13834-2024</t>
        </is>
      </c>
      <c r="B7807" s="1" t="n">
        <v>45390</v>
      </c>
      <c r="C7807" s="1" t="n">
        <v>46093</v>
      </c>
      <c r="D7807" t="inlineStr">
        <is>
          <t>VÄSTERNORRLANDS LÄN</t>
        </is>
      </c>
      <c r="E7807" t="inlineStr">
        <is>
          <t>SUNDSVALL</t>
        </is>
      </c>
      <c r="G7807" t="n">
        <v>4.1</v>
      </c>
      <c r="H7807" t="n">
        <v>0</v>
      </c>
      <c r="I7807" t="n">
        <v>0</v>
      </c>
      <c r="J7807" t="n">
        <v>0</v>
      </c>
      <c r="K7807" t="n">
        <v>0</v>
      </c>
      <c r="L7807" t="n">
        <v>0</v>
      </c>
      <c r="M7807" t="n">
        <v>0</v>
      </c>
      <c r="N7807" t="n">
        <v>0</v>
      </c>
      <c r="O7807" t="n">
        <v>0</v>
      </c>
      <c r="P7807" t="n">
        <v>0</v>
      </c>
      <c r="Q7807" t="n">
        <v>0</v>
      </c>
      <c r="R7807" s="2" t="inlineStr"/>
    </row>
    <row r="7808" ht="15" customHeight="1">
      <c r="A7808" t="inlineStr">
        <is>
          <t>A 13926-2023</t>
        </is>
      </c>
      <c r="B7808" s="1" t="n">
        <v>45008</v>
      </c>
      <c r="C7808" s="1" t="n">
        <v>46093</v>
      </c>
      <c r="D7808" t="inlineStr">
        <is>
          <t>VÄSTERNORRLANDS LÄN</t>
        </is>
      </c>
      <c r="E7808" t="inlineStr">
        <is>
          <t>KRAMFORS</t>
        </is>
      </c>
      <c r="G7808" t="n">
        <v>2.2</v>
      </c>
      <c r="H7808" t="n">
        <v>0</v>
      </c>
      <c r="I7808" t="n">
        <v>0</v>
      </c>
      <c r="J7808" t="n">
        <v>0</v>
      </c>
      <c r="K7808" t="n">
        <v>0</v>
      </c>
      <c r="L7808" t="n">
        <v>0</v>
      </c>
      <c r="M7808" t="n">
        <v>0</v>
      </c>
      <c r="N7808" t="n">
        <v>0</v>
      </c>
      <c r="O7808" t="n">
        <v>0</v>
      </c>
      <c r="P7808" t="n">
        <v>0</v>
      </c>
      <c r="Q7808" t="n">
        <v>0</v>
      </c>
      <c r="R7808" s="2" t="inlineStr"/>
    </row>
    <row r="7809" ht="15" customHeight="1">
      <c r="A7809" t="inlineStr">
        <is>
          <t>A 11299-2023</t>
        </is>
      </c>
      <c r="B7809" s="1" t="n">
        <v>44993.01074074074</v>
      </c>
      <c r="C7809" s="1" t="n">
        <v>46093</v>
      </c>
      <c r="D7809" t="inlineStr">
        <is>
          <t>VÄSTERNORRLANDS LÄN</t>
        </is>
      </c>
      <c r="E7809" t="inlineStr">
        <is>
          <t>ÅNGE</t>
        </is>
      </c>
      <c r="F7809" t="inlineStr">
        <is>
          <t>SCA</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11309-2023</t>
        </is>
      </c>
      <c r="B7810" s="1" t="n">
        <v>44993.0118287037</v>
      </c>
      <c r="C7810" s="1" t="n">
        <v>46093</v>
      </c>
      <c r="D7810" t="inlineStr">
        <is>
          <t>VÄSTERNORRLANDS LÄN</t>
        </is>
      </c>
      <c r="E7810" t="inlineStr">
        <is>
          <t>ÅNGE</t>
        </is>
      </c>
      <c r="F7810" t="inlineStr">
        <is>
          <t>SCA</t>
        </is>
      </c>
      <c r="G7810" t="n">
        <v>3.8</v>
      </c>
      <c r="H7810" t="n">
        <v>0</v>
      </c>
      <c r="I7810" t="n">
        <v>0</v>
      </c>
      <c r="J7810" t="n">
        <v>0</v>
      </c>
      <c r="K7810" t="n">
        <v>0</v>
      </c>
      <c r="L7810" t="n">
        <v>0</v>
      </c>
      <c r="M7810" t="n">
        <v>0</v>
      </c>
      <c r="N7810" t="n">
        <v>0</v>
      </c>
      <c r="O7810" t="n">
        <v>0</v>
      </c>
      <c r="P7810" t="n">
        <v>0</v>
      </c>
      <c r="Q7810" t="n">
        <v>0</v>
      </c>
      <c r="R7810" s="2" t="inlineStr"/>
    </row>
    <row r="7811" ht="15" customHeight="1">
      <c r="A7811" t="inlineStr">
        <is>
          <t>A 55746-2025</t>
        </is>
      </c>
      <c r="B7811" s="1" t="n">
        <v>45972.57427083333</v>
      </c>
      <c r="C7811" s="1" t="n">
        <v>46093</v>
      </c>
      <c r="D7811" t="inlineStr">
        <is>
          <t>VÄSTERNORRLANDS LÄN</t>
        </is>
      </c>
      <c r="E7811" t="inlineStr">
        <is>
          <t>SUNDSVALL</t>
        </is>
      </c>
      <c r="F7811" t="inlineStr">
        <is>
          <t>SCA</t>
        </is>
      </c>
      <c r="G7811" t="n">
        <v>8.199999999999999</v>
      </c>
      <c r="H7811" t="n">
        <v>0</v>
      </c>
      <c r="I7811" t="n">
        <v>0</v>
      </c>
      <c r="J7811" t="n">
        <v>0</v>
      </c>
      <c r="K7811" t="n">
        <v>0</v>
      </c>
      <c r="L7811" t="n">
        <v>0</v>
      </c>
      <c r="M7811" t="n">
        <v>0</v>
      </c>
      <c r="N7811" t="n">
        <v>0</v>
      </c>
      <c r="O7811" t="n">
        <v>0</v>
      </c>
      <c r="P7811" t="n">
        <v>0</v>
      </c>
      <c r="Q7811" t="n">
        <v>0</v>
      </c>
      <c r="R7811" s="2" t="inlineStr"/>
    </row>
    <row r="7812" ht="15" customHeight="1">
      <c r="A7812" t="inlineStr">
        <is>
          <t>A 55779-2025</t>
        </is>
      </c>
      <c r="B7812" s="1" t="n">
        <v>45972.62805555556</v>
      </c>
      <c r="C7812" s="1" t="n">
        <v>46093</v>
      </c>
      <c r="D7812" t="inlineStr">
        <is>
          <t>VÄSTERNORRLANDS LÄN</t>
        </is>
      </c>
      <c r="E7812" t="inlineStr">
        <is>
          <t>ÖRNSKÖLDSVIK</t>
        </is>
      </c>
      <c r="G7812" t="n">
        <v>1.9</v>
      </c>
      <c r="H7812" t="n">
        <v>0</v>
      </c>
      <c r="I7812" t="n">
        <v>0</v>
      </c>
      <c r="J7812" t="n">
        <v>0</v>
      </c>
      <c r="K7812" t="n">
        <v>0</v>
      </c>
      <c r="L7812" t="n">
        <v>0</v>
      </c>
      <c r="M7812" t="n">
        <v>0</v>
      </c>
      <c r="N7812" t="n">
        <v>0</v>
      </c>
      <c r="O7812" t="n">
        <v>0</v>
      </c>
      <c r="P7812" t="n">
        <v>0</v>
      </c>
      <c r="Q7812" t="n">
        <v>0</v>
      </c>
      <c r="R7812" s="2" t="inlineStr"/>
    </row>
    <row r="7813" ht="15" customHeight="1">
      <c r="A7813" t="inlineStr">
        <is>
          <t>A 55790-2025</t>
        </is>
      </c>
      <c r="B7813" s="1" t="n">
        <v>45972.64644675926</v>
      </c>
      <c r="C7813" s="1" t="n">
        <v>46093</v>
      </c>
      <c r="D7813" t="inlineStr">
        <is>
          <t>VÄSTERNORRLANDS LÄN</t>
        </is>
      </c>
      <c r="E7813" t="inlineStr">
        <is>
          <t>SOLLEFTEÅ</t>
        </is>
      </c>
      <c r="G7813" t="n">
        <v>1.8</v>
      </c>
      <c r="H7813" t="n">
        <v>0</v>
      </c>
      <c r="I7813" t="n">
        <v>0</v>
      </c>
      <c r="J7813" t="n">
        <v>0</v>
      </c>
      <c r="K7813" t="n">
        <v>0</v>
      </c>
      <c r="L7813" t="n">
        <v>0</v>
      </c>
      <c r="M7813" t="n">
        <v>0</v>
      </c>
      <c r="N7813" t="n">
        <v>0</v>
      </c>
      <c r="O7813" t="n">
        <v>0</v>
      </c>
      <c r="P7813" t="n">
        <v>0</v>
      </c>
      <c r="Q7813" t="n">
        <v>0</v>
      </c>
      <c r="R7813" s="2" t="inlineStr"/>
    </row>
    <row r="7814" ht="15" customHeight="1">
      <c r="A7814" t="inlineStr">
        <is>
          <t>A 62834-2021</t>
        </is>
      </c>
      <c r="B7814" s="1" t="n">
        <v>44503</v>
      </c>
      <c r="C7814" s="1" t="n">
        <v>46093</v>
      </c>
      <c r="D7814" t="inlineStr">
        <is>
          <t>VÄSTERNORRLANDS LÄN</t>
        </is>
      </c>
      <c r="E7814" t="inlineStr">
        <is>
          <t>ÅNGE</t>
        </is>
      </c>
      <c r="F7814" t="inlineStr">
        <is>
          <t>Övriga statliga verk och myndigheter</t>
        </is>
      </c>
      <c r="G7814" t="n">
        <v>2.6</v>
      </c>
      <c r="H7814" t="n">
        <v>0</v>
      </c>
      <c r="I7814" t="n">
        <v>0</v>
      </c>
      <c r="J7814" t="n">
        <v>0</v>
      </c>
      <c r="K7814" t="n">
        <v>0</v>
      </c>
      <c r="L7814" t="n">
        <v>0</v>
      </c>
      <c r="M7814" t="n">
        <v>0</v>
      </c>
      <c r="N7814" t="n">
        <v>0</v>
      </c>
      <c r="O7814" t="n">
        <v>0</v>
      </c>
      <c r="P7814" t="n">
        <v>0</v>
      </c>
      <c r="Q7814" t="n">
        <v>0</v>
      </c>
      <c r="R7814" s="2" t="inlineStr"/>
    </row>
    <row r="7815" ht="15" customHeight="1">
      <c r="A7815" t="inlineStr">
        <is>
          <t>A 45459-2022</t>
        </is>
      </c>
      <c r="B7815" s="1" t="n">
        <v>44845</v>
      </c>
      <c r="C7815" s="1" t="n">
        <v>46093</v>
      </c>
      <c r="D7815" t="inlineStr">
        <is>
          <t>VÄSTERNORRLANDS LÄN</t>
        </is>
      </c>
      <c r="E7815" t="inlineStr">
        <is>
          <t>ÅNGE</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7569-2025</t>
        </is>
      </c>
      <c r="B7816" s="1" t="n">
        <v>45705.59442129629</v>
      </c>
      <c r="C7816" s="1" t="n">
        <v>46093</v>
      </c>
      <c r="D7816" t="inlineStr">
        <is>
          <t>VÄSTERNORRLANDS LÄN</t>
        </is>
      </c>
      <c r="E7816" t="inlineStr">
        <is>
          <t>SOLLEFTEÅ</t>
        </is>
      </c>
      <c r="F7816" t="inlineStr">
        <is>
          <t>SCA</t>
        </is>
      </c>
      <c r="G7816" t="n">
        <v>2.7</v>
      </c>
      <c r="H7816" t="n">
        <v>0</v>
      </c>
      <c r="I7816" t="n">
        <v>0</v>
      </c>
      <c r="J7816" t="n">
        <v>0</v>
      </c>
      <c r="K7816" t="n">
        <v>0</v>
      </c>
      <c r="L7816" t="n">
        <v>0</v>
      </c>
      <c r="M7816" t="n">
        <v>0</v>
      </c>
      <c r="N7816" t="n">
        <v>0</v>
      </c>
      <c r="O7816" t="n">
        <v>0</v>
      </c>
      <c r="P7816" t="n">
        <v>0</v>
      </c>
      <c r="Q7816" t="n">
        <v>0</v>
      </c>
      <c r="R7816" s="2" t="inlineStr"/>
    </row>
    <row r="7817" ht="15" customHeight="1">
      <c r="A7817" t="inlineStr">
        <is>
          <t>A 7612-2025</t>
        </is>
      </c>
      <c r="B7817" s="1" t="n">
        <v>45705.67758101852</v>
      </c>
      <c r="C7817" s="1" t="n">
        <v>46093</v>
      </c>
      <c r="D7817" t="inlineStr">
        <is>
          <t>VÄSTERNORRLANDS LÄN</t>
        </is>
      </c>
      <c r="E7817" t="inlineStr">
        <is>
          <t>SUNDSVALL</t>
        </is>
      </c>
      <c r="F7817" t="inlineStr">
        <is>
          <t>SCA</t>
        </is>
      </c>
      <c r="G7817" t="n">
        <v>3.2</v>
      </c>
      <c r="H7817" t="n">
        <v>0</v>
      </c>
      <c r="I7817" t="n">
        <v>0</v>
      </c>
      <c r="J7817" t="n">
        <v>0</v>
      </c>
      <c r="K7817" t="n">
        <v>0</v>
      </c>
      <c r="L7817" t="n">
        <v>0</v>
      </c>
      <c r="M7817" t="n">
        <v>0</v>
      </c>
      <c r="N7817" t="n">
        <v>0</v>
      </c>
      <c r="O7817" t="n">
        <v>0</v>
      </c>
      <c r="P7817" t="n">
        <v>0</v>
      </c>
      <c r="Q7817" t="n">
        <v>0</v>
      </c>
      <c r="R7817" s="2" t="inlineStr"/>
    </row>
    <row r="7818" ht="15" customHeight="1">
      <c r="A7818" t="inlineStr">
        <is>
          <t>A 55529-2025</t>
        </is>
      </c>
      <c r="B7818" s="1" t="n">
        <v>45971.62087962963</v>
      </c>
      <c r="C7818" s="1" t="n">
        <v>46093</v>
      </c>
      <c r="D7818" t="inlineStr">
        <is>
          <t>VÄSTERNORRLANDS LÄN</t>
        </is>
      </c>
      <c r="E7818" t="inlineStr">
        <is>
          <t>SOLLEFTEÅ</t>
        </is>
      </c>
      <c r="G7818" t="n">
        <v>2.5</v>
      </c>
      <c r="H7818" t="n">
        <v>0</v>
      </c>
      <c r="I7818" t="n">
        <v>0</v>
      </c>
      <c r="J7818" t="n">
        <v>0</v>
      </c>
      <c r="K7818" t="n">
        <v>0</v>
      </c>
      <c r="L7818" t="n">
        <v>0</v>
      </c>
      <c r="M7818" t="n">
        <v>0</v>
      </c>
      <c r="N7818" t="n">
        <v>0</v>
      </c>
      <c r="O7818" t="n">
        <v>0</v>
      </c>
      <c r="P7818" t="n">
        <v>0</v>
      </c>
      <c r="Q7818" t="n">
        <v>0</v>
      </c>
      <c r="R7818" s="2" t="inlineStr"/>
    </row>
    <row r="7819" ht="15" customHeight="1">
      <c r="A7819" t="inlineStr">
        <is>
          <t>A 10557-2023</t>
        </is>
      </c>
      <c r="B7819" s="1" t="n">
        <v>44987</v>
      </c>
      <c r="C7819" s="1" t="n">
        <v>46093</v>
      </c>
      <c r="D7819" t="inlineStr">
        <is>
          <t>VÄSTERNORRLANDS LÄN</t>
        </is>
      </c>
      <c r="E7819" t="inlineStr">
        <is>
          <t>ÅNGE</t>
        </is>
      </c>
      <c r="F7819" t="inlineStr">
        <is>
          <t>SCA</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55351-2025</t>
        </is>
      </c>
      <c r="B7820" s="1" t="n">
        <v>45971.36251157407</v>
      </c>
      <c r="C7820" s="1" t="n">
        <v>46093</v>
      </c>
      <c r="D7820" t="inlineStr">
        <is>
          <t>VÄSTERNORRLANDS LÄN</t>
        </is>
      </c>
      <c r="E7820" t="inlineStr">
        <is>
          <t>ÖRNSKÖLDSVIK</t>
        </is>
      </c>
      <c r="F7820" t="inlineStr">
        <is>
          <t>Holmen skog AB</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55365-2025</t>
        </is>
      </c>
      <c r="B7821" s="1" t="n">
        <v>45971.40697916667</v>
      </c>
      <c r="C7821" s="1" t="n">
        <v>46093</v>
      </c>
      <c r="D7821" t="inlineStr">
        <is>
          <t>VÄSTERNORRLANDS LÄN</t>
        </is>
      </c>
      <c r="E7821" t="inlineStr">
        <is>
          <t>SUNDSVALL</t>
        </is>
      </c>
      <c r="F7821" t="inlineStr">
        <is>
          <t>SCA</t>
        </is>
      </c>
      <c r="G7821" t="n">
        <v>5.6</v>
      </c>
      <c r="H7821" t="n">
        <v>0</v>
      </c>
      <c r="I7821" t="n">
        <v>0</v>
      </c>
      <c r="J7821" t="n">
        <v>0</v>
      </c>
      <c r="K7821" t="n">
        <v>0</v>
      </c>
      <c r="L7821" t="n">
        <v>0</v>
      </c>
      <c r="M7821" t="n">
        <v>0</v>
      </c>
      <c r="N7821" t="n">
        <v>0</v>
      </c>
      <c r="O7821" t="n">
        <v>0</v>
      </c>
      <c r="P7821" t="n">
        <v>0</v>
      </c>
      <c r="Q7821" t="n">
        <v>0</v>
      </c>
      <c r="R7821" s="2" t="inlineStr"/>
    </row>
    <row r="7822" ht="15" customHeight="1">
      <c r="A7822" t="inlineStr">
        <is>
          <t>A 55803-2025</t>
        </is>
      </c>
      <c r="B7822" s="1" t="n">
        <v>45972.67751157407</v>
      </c>
      <c r="C7822" s="1" t="n">
        <v>46093</v>
      </c>
      <c r="D7822" t="inlineStr">
        <is>
          <t>VÄSTERNORRLANDS LÄN</t>
        </is>
      </c>
      <c r="E7822" t="inlineStr">
        <is>
          <t>SUNDSVALL</t>
        </is>
      </c>
      <c r="F7822" t="inlineStr">
        <is>
          <t>Naturvårdsverket</t>
        </is>
      </c>
      <c r="G7822" t="n">
        <v>2.7</v>
      </c>
      <c r="H7822" t="n">
        <v>0</v>
      </c>
      <c r="I7822" t="n">
        <v>0</v>
      </c>
      <c r="J7822" t="n">
        <v>0</v>
      </c>
      <c r="K7822" t="n">
        <v>0</v>
      </c>
      <c r="L7822" t="n">
        <v>0</v>
      </c>
      <c r="M7822" t="n">
        <v>0</v>
      </c>
      <c r="N7822" t="n">
        <v>0</v>
      </c>
      <c r="O7822" t="n">
        <v>0</v>
      </c>
      <c r="P7822" t="n">
        <v>0</v>
      </c>
      <c r="Q7822" t="n">
        <v>0</v>
      </c>
      <c r="R7822" s="2" t="inlineStr"/>
    </row>
    <row r="7823" ht="15" customHeight="1">
      <c r="A7823" t="inlineStr">
        <is>
          <t>A 55376-2025</t>
        </is>
      </c>
      <c r="B7823" s="1" t="n">
        <v>45971.42753472222</v>
      </c>
      <c r="C7823" s="1" t="n">
        <v>46093</v>
      </c>
      <c r="D7823" t="inlineStr">
        <is>
          <t>VÄSTERNORRLANDS LÄN</t>
        </is>
      </c>
      <c r="E7823" t="inlineStr">
        <is>
          <t>SUNDSVALL</t>
        </is>
      </c>
      <c r="F7823" t="inlineStr">
        <is>
          <t>SCA</t>
        </is>
      </c>
      <c r="G7823" t="n">
        <v>5.1</v>
      </c>
      <c r="H7823" t="n">
        <v>0</v>
      </c>
      <c r="I7823" t="n">
        <v>0</v>
      </c>
      <c r="J7823" t="n">
        <v>0</v>
      </c>
      <c r="K7823" t="n">
        <v>0</v>
      </c>
      <c r="L7823" t="n">
        <v>0</v>
      </c>
      <c r="M7823" t="n">
        <v>0</v>
      </c>
      <c r="N7823" t="n">
        <v>0</v>
      </c>
      <c r="O7823" t="n">
        <v>0</v>
      </c>
      <c r="P7823" t="n">
        <v>0</v>
      </c>
      <c r="Q7823" t="n">
        <v>0</v>
      </c>
      <c r="R7823" s="2" t="inlineStr"/>
    </row>
    <row r="7824" ht="15" customHeight="1">
      <c r="A7824" t="inlineStr">
        <is>
          <t>A 55483-2025</t>
        </is>
      </c>
      <c r="B7824" s="1" t="n">
        <v>45971.56918981481</v>
      </c>
      <c r="C7824" s="1" t="n">
        <v>46093</v>
      </c>
      <c r="D7824" t="inlineStr">
        <is>
          <t>VÄSTERNORRLANDS LÄN</t>
        </is>
      </c>
      <c r="E7824" t="inlineStr">
        <is>
          <t>ÖRNSKÖLDSVIK</t>
        </is>
      </c>
      <c r="G7824" t="n">
        <v>9.199999999999999</v>
      </c>
      <c r="H7824" t="n">
        <v>0</v>
      </c>
      <c r="I7824" t="n">
        <v>0</v>
      </c>
      <c r="J7824" t="n">
        <v>0</v>
      </c>
      <c r="K7824" t="n">
        <v>0</v>
      </c>
      <c r="L7824" t="n">
        <v>0</v>
      </c>
      <c r="M7824" t="n">
        <v>0</v>
      </c>
      <c r="N7824" t="n">
        <v>0</v>
      </c>
      <c r="O7824" t="n">
        <v>0</v>
      </c>
      <c r="P7824" t="n">
        <v>0</v>
      </c>
      <c r="Q7824" t="n">
        <v>0</v>
      </c>
      <c r="R7824" s="2" t="inlineStr"/>
    </row>
    <row r="7825" ht="15" customHeight="1">
      <c r="A7825" t="inlineStr">
        <is>
          <t>A 55506-2025</t>
        </is>
      </c>
      <c r="B7825" s="1" t="n">
        <v>45971.5922337963</v>
      </c>
      <c r="C7825" s="1" t="n">
        <v>46093</v>
      </c>
      <c r="D7825" t="inlineStr">
        <is>
          <t>VÄSTERNORRLANDS LÄN</t>
        </is>
      </c>
      <c r="E7825" t="inlineStr">
        <is>
          <t>KRAMFORS</t>
        </is>
      </c>
      <c r="G7825" t="n">
        <v>2.7</v>
      </c>
      <c r="H7825" t="n">
        <v>0</v>
      </c>
      <c r="I7825" t="n">
        <v>0</v>
      </c>
      <c r="J7825" t="n">
        <v>0</v>
      </c>
      <c r="K7825" t="n">
        <v>0</v>
      </c>
      <c r="L7825" t="n">
        <v>0</v>
      </c>
      <c r="M7825" t="n">
        <v>0</v>
      </c>
      <c r="N7825" t="n">
        <v>0</v>
      </c>
      <c r="O7825" t="n">
        <v>0</v>
      </c>
      <c r="P7825" t="n">
        <v>0</v>
      </c>
      <c r="Q7825" t="n">
        <v>0</v>
      </c>
      <c r="R7825" s="2" t="inlineStr"/>
    </row>
    <row r="7826" ht="15" customHeight="1">
      <c r="A7826" t="inlineStr">
        <is>
          <t>A 55565-2025</t>
        </is>
      </c>
      <c r="B7826" s="1" t="n">
        <v>45971.65561342592</v>
      </c>
      <c r="C7826" s="1" t="n">
        <v>46093</v>
      </c>
      <c r="D7826" t="inlineStr">
        <is>
          <t>VÄSTERNORRLANDS LÄN</t>
        </is>
      </c>
      <c r="E7826" t="inlineStr">
        <is>
          <t>SUNDSVALL</t>
        </is>
      </c>
      <c r="G7826" t="n">
        <v>1.8</v>
      </c>
      <c r="H7826" t="n">
        <v>0</v>
      </c>
      <c r="I7826" t="n">
        <v>0</v>
      </c>
      <c r="J7826" t="n">
        <v>0</v>
      </c>
      <c r="K7826" t="n">
        <v>0</v>
      </c>
      <c r="L7826" t="n">
        <v>0</v>
      </c>
      <c r="M7826" t="n">
        <v>0</v>
      </c>
      <c r="N7826" t="n">
        <v>0</v>
      </c>
      <c r="O7826" t="n">
        <v>0</v>
      </c>
      <c r="P7826" t="n">
        <v>0</v>
      </c>
      <c r="Q7826" t="n">
        <v>0</v>
      </c>
      <c r="R7826" s="2" t="inlineStr"/>
    </row>
    <row r="7827" ht="15" customHeight="1">
      <c r="A7827" t="inlineStr">
        <is>
          <t>A 54500-2021</t>
        </is>
      </c>
      <c r="B7827" s="1" t="n">
        <v>44473.50857638889</v>
      </c>
      <c r="C7827" s="1" t="n">
        <v>46093</v>
      </c>
      <c r="D7827" t="inlineStr">
        <is>
          <t>VÄSTERNORRLANDS LÄN</t>
        </is>
      </c>
      <c r="E7827" t="inlineStr">
        <is>
          <t>ÖRNSKÖLDSVIK</t>
        </is>
      </c>
      <c r="F7827" t="inlineStr">
        <is>
          <t>Holmen skog AB</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55771-2025</t>
        </is>
      </c>
      <c r="B7828" s="1" t="n">
        <v>45972.61542824074</v>
      </c>
      <c r="C7828" s="1" t="n">
        <v>46093</v>
      </c>
      <c r="D7828" t="inlineStr">
        <is>
          <t>VÄSTERNORRLANDS LÄN</t>
        </is>
      </c>
      <c r="E7828" t="inlineStr">
        <is>
          <t>SUNDSVALL</t>
        </is>
      </c>
      <c r="F7828" t="inlineStr">
        <is>
          <t>SCA</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4540-2025</t>
        </is>
      </c>
      <c r="B7829" s="1" t="n">
        <v>45687.39223379629</v>
      </c>
      <c r="C7829" s="1" t="n">
        <v>46093</v>
      </c>
      <c r="D7829" t="inlineStr">
        <is>
          <t>VÄSTERNORRLANDS LÄN</t>
        </is>
      </c>
      <c r="E7829" t="inlineStr">
        <is>
          <t>ÖRNSKÖLDSVIK</t>
        </is>
      </c>
      <c r="G7829" t="n">
        <v>3</v>
      </c>
      <c r="H7829" t="n">
        <v>0</v>
      </c>
      <c r="I7829" t="n">
        <v>0</v>
      </c>
      <c r="J7829" t="n">
        <v>0</v>
      </c>
      <c r="K7829" t="n">
        <v>0</v>
      </c>
      <c r="L7829" t="n">
        <v>0</v>
      </c>
      <c r="M7829" t="n">
        <v>0</v>
      </c>
      <c r="N7829" t="n">
        <v>0</v>
      </c>
      <c r="O7829" t="n">
        <v>0</v>
      </c>
      <c r="P7829" t="n">
        <v>0</v>
      </c>
      <c r="Q7829" t="n">
        <v>0</v>
      </c>
      <c r="R7829" s="2" t="inlineStr"/>
    </row>
    <row r="7830" ht="15" customHeight="1">
      <c r="A7830" t="inlineStr">
        <is>
          <t>A 49179-2024</t>
        </is>
      </c>
      <c r="B7830" s="1" t="n">
        <v>45595.33508101852</v>
      </c>
      <c r="C7830" s="1" t="n">
        <v>46093</v>
      </c>
      <c r="D7830" t="inlineStr">
        <is>
          <t>VÄSTERNORRLANDS LÄN</t>
        </is>
      </c>
      <c r="E7830" t="inlineStr">
        <is>
          <t>ÖRNSKÖLDSVIK</t>
        </is>
      </c>
      <c r="F7830" t="inlineStr">
        <is>
          <t>Holmen skog AB</t>
        </is>
      </c>
      <c r="G7830" t="n">
        <v>7.9</v>
      </c>
      <c r="H7830" t="n">
        <v>0</v>
      </c>
      <c r="I7830" t="n">
        <v>0</v>
      </c>
      <c r="J7830" t="n">
        <v>0</v>
      </c>
      <c r="K7830" t="n">
        <v>0</v>
      </c>
      <c r="L7830" t="n">
        <v>0</v>
      </c>
      <c r="M7830" t="n">
        <v>0</v>
      </c>
      <c r="N7830" t="n">
        <v>0</v>
      </c>
      <c r="O7830" t="n">
        <v>0</v>
      </c>
      <c r="P7830" t="n">
        <v>0</v>
      </c>
      <c r="Q7830" t="n">
        <v>0</v>
      </c>
      <c r="R7830" s="2" t="inlineStr"/>
    </row>
    <row r="7831" ht="15" customHeight="1">
      <c r="A7831" t="inlineStr">
        <is>
          <t>A 44083-2022</t>
        </is>
      </c>
      <c r="B7831" s="1" t="n">
        <v>44839.35788194444</v>
      </c>
      <c r="C7831" s="1" t="n">
        <v>46093</v>
      </c>
      <c r="D7831" t="inlineStr">
        <is>
          <t>VÄSTERNORRLANDS LÄN</t>
        </is>
      </c>
      <c r="E7831" t="inlineStr">
        <is>
          <t>ÖRNSKÖLDSVIK</t>
        </is>
      </c>
      <c r="F7831" t="inlineStr">
        <is>
          <t>Holmen skog AB</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52924-2025</t>
        </is>
      </c>
      <c r="B7832" s="1" t="n">
        <v>45957</v>
      </c>
      <c r="C7832" s="1" t="n">
        <v>46093</v>
      </c>
      <c r="D7832" t="inlineStr">
        <is>
          <t>VÄSTERNORRLANDS LÄN</t>
        </is>
      </c>
      <c r="E7832" t="inlineStr">
        <is>
          <t>KRAMFORS</t>
        </is>
      </c>
      <c r="G7832" t="n">
        <v>7.6</v>
      </c>
      <c r="H7832" t="n">
        <v>0</v>
      </c>
      <c r="I7832" t="n">
        <v>0</v>
      </c>
      <c r="J7832" t="n">
        <v>0</v>
      </c>
      <c r="K7832" t="n">
        <v>0</v>
      </c>
      <c r="L7832" t="n">
        <v>0</v>
      </c>
      <c r="M7832" t="n">
        <v>0</v>
      </c>
      <c r="N7832" t="n">
        <v>0</v>
      </c>
      <c r="O7832" t="n">
        <v>0</v>
      </c>
      <c r="P7832" t="n">
        <v>0</v>
      </c>
      <c r="Q7832" t="n">
        <v>0</v>
      </c>
      <c r="R7832" s="2" t="inlineStr"/>
    </row>
    <row r="7833" ht="15" customHeight="1">
      <c r="A7833" t="inlineStr">
        <is>
          <t>A 55332-2025</t>
        </is>
      </c>
      <c r="B7833" s="1" t="n">
        <v>45971</v>
      </c>
      <c r="C7833" s="1" t="n">
        <v>46093</v>
      </c>
      <c r="D7833" t="inlineStr">
        <is>
          <t>VÄSTERNORRLANDS LÄN</t>
        </is>
      </c>
      <c r="E7833" t="inlineStr">
        <is>
          <t>KRAMFORS</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23100-2023</t>
        </is>
      </c>
      <c r="B7834" s="1" t="n">
        <v>45075</v>
      </c>
      <c r="C7834" s="1" t="n">
        <v>46093</v>
      </c>
      <c r="D7834" t="inlineStr">
        <is>
          <t>VÄSTERNORRLANDS LÄN</t>
        </is>
      </c>
      <c r="E7834" t="inlineStr">
        <is>
          <t>ÖRNSKÖLDSVIK</t>
        </is>
      </c>
      <c r="G7834" t="n">
        <v>0.2</v>
      </c>
      <c r="H7834" t="n">
        <v>0</v>
      </c>
      <c r="I7834" t="n">
        <v>0</v>
      </c>
      <c r="J7834" t="n">
        <v>0</v>
      </c>
      <c r="K7834" t="n">
        <v>0</v>
      </c>
      <c r="L7834" t="n">
        <v>0</v>
      </c>
      <c r="M7834" t="n">
        <v>0</v>
      </c>
      <c r="N7834" t="n">
        <v>0</v>
      </c>
      <c r="O7834" t="n">
        <v>0</v>
      </c>
      <c r="P7834" t="n">
        <v>0</v>
      </c>
      <c r="Q7834" t="n">
        <v>0</v>
      </c>
      <c r="R7834" s="2" t="inlineStr"/>
    </row>
    <row r="7835" ht="15" customHeight="1">
      <c r="A7835" t="inlineStr">
        <is>
          <t>A 55402-2025</t>
        </is>
      </c>
      <c r="B7835" s="1" t="n">
        <v>45971.45252314815</v>
      </c>
      <c r="C7835" s="1" t="n">
        <v>46093</v>
      </c>
      <c r="D7835" t="inlineStr">
        <is>
          <t>VÄSTERNORRLANDS LÄN</t>
        </is>
      </c>
      <c r="E7835" t="inlineStr">
        <is>
          <t>ÖRNSKÖLDSVIK</t>
        </is>
      </c>
      <c r="G7835" t="n">
        <v>4.9</v>
      </c>
      <c r="H7835" t="n">
        <v>0</v>
      </c>
      <c r="I7835" t="n">
        <v>0</v>
      </c>
      <c r="J7835" t="n">
        <v>0</v>
      </c>
      <c r="K7835" t="n">
        <v>0</v>
      </c>
      <c r="L7835" t="n">
        <v>0</v>
      </c>
      <c r="M7835" t="n">
        <v>0</v>
      </c>
      <c r="N7835" t="n">
        <v>0</v>
      </c>
      <c r="O7835" t="n">
        <v>0</v>
      </c>
      <c r="P7835" t="n">
        <v>0</v>
      </c>
      <c r="Q7835" t="n">
        <v>0</v>
      </c>
      <c r="R7835" s="2" t="inlineStr"/>
    </row>
    <row r="7836" ht="15" customHeight="1">
      <c r="A7836" t="inlineStr">
        <is>
          <t>A 2957-2025</t>
        </is>
      </c>
      <c r="B7836" s="1" t="n">
        <v>45678.4485300926</v>
      </c>
      <c r="C7836" s="1" t="n">
        <v>46093</v>
      </c>
      <c r="D7836" t="inlineStr">
        <is>
          <t>VÄSTERNORRLANDS LÄN</t>
        </is>
      </c>
      <c r="E7836" t="inlineStr">
        <is>
          <t>HÄRNÖSAND</t>
        </is>
      </c>
      <c r="F7836" t="inlineStr">
        <is>
          <t>SCA</t>
        </is>
      </c>
      <c r="G7836" t="n">
        <v>0.7</v>
      </c>
      <c r="H7836" t="n">
        <v>0</v>
      </c>
      <c r="I7836" t="n">
        <v>0</v>
      </c>
      <c r="J7836" t="n">
        <v>0</v>
      </c>
      <c r="K7836" t="n">
        <v>0</v>
      </c>
      <c r="L7836" t="n">
        <v>0</v>
      </c>
      <c r="M7836" t="n">
        <v>0</v>
      </c>
      <c r="N7836" t="n">
        <v>0</v>
      </c>
      <c r="O7836" t="n">
        <v>0</v>
      </c>
      <c r="P7836" t="n">
        <v>0</v>
      </c>
      <c r="Q7836" t="n">
        <v>0</v>
      </c>
      <c r="R7836" s="2" t="inlineStr"/>
    </row>
    <row r="7837" ht="15" customHeight="1">
      <c r="A7837" t="inlineStr">
        <is>
          <t>A 55691-2025</t>
        </is>
      </c>
      <c r="B7837" s="1" t="n">
        <v>45972.4365625</v>
      </c>
      <c r="C7837" s="1" t="n">
        <v>46093</v>
      </c>
      <c r="D7837" t="inlineStr">
        <is>
          <t>VÄSTERNORRLANDS LÄN</t>
        </is>
      </c>
      <c r="E7837" t="inlineStr">
        <is>
          <t>SUNDSVALL</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5392-2022</t>
        </is>
      </c>
      <c r="B7838" s="1" t="n">
        <v>44594</v>
      </c>
      <c r="C7838" s="1" t="n">
        <v>46093</v>
      </c>
      <c r="D7838" t="inlineStr">
        <is>
          <t>VÄSTERNORRLANDS LÄN</t>
        </is>
      </c>
      <c r="E7838" t="inlineStr">
        <is>
          <t>ÖRNSKÖLDSVIK</t>
        </is>
      </c>
      <c r="G7838" t="n">
        <v>22.3</v>
      </c>
      <c r="H7838" t="n">
        <v>0</v>
      </c>
      <c r="I7838" t="n">
        <v>0</v>
      </c>
      <c r="J7838" t="n">
        <v>0</v>
      </c>
      <c r="K7838" t="n">
        <v>0</v>
      </c>
      <c r="L7838" t="n">
        <v>0</v>
      </c>
      <c r="M7838" t="n">
        <v>0</v>
      </c>
      <c r="N7838" t="n">
        <v>0</v>
      </c>
      <c r="O7838" t="n">
        <v>0</v>
      </c>
      <c r="P7838" t="n">
        <v>0</v>
      </c>
      <c r="Q7838" t="n">
        <v>0</v>
      </c>
      <c r="R7838" s="2" t="inlineStr"/>
    </row>
    <row r="7839" ht="15" customHeight="1">
      <c r="A7839" t="inlineStr">
        <is>
          <t>A 2984-2025</t>
        </is>
      </c>
      <c r="B7839" s="1" t="n">
        <v>45678.51094907407</v>
      </c>
      <c r="C7839" s="1" t="n">
        <v>46093</v>
      </c>
      <c r="D7839" t="inlineStr">
        <is>
          <t>VÄSTERNORRLANDS LÄN</t>
        </is>
      </c>
      <c r="E7839" t="inlineStr">
        <is>
          <t>ÅNGE</t>
        </is>
      </c>
      <c r="F7839" t="inlineStr">
        <is>
          <t>SCA</t>
        </is>
      </c>
      <c r="G7839" t="n">
        <v>1.9</v>
      </c>
      <c r="H7839" t="n">
        <v>0</v>
      </c>
      <c r="I7839" t="n">
        <v>0</v>
      </c>
      <c r="J7839" t="n">
        <v>0</v>
      </c>
      <c r="K7839" t="n">
        <v>0</v>
      </c>
      <c r="L7839" t="n">
        <v>0</v>
      </c>
      <c r="M7839" t="n">
        <v>0</v>
      </c>
      <c r="N7839" t="n">
        <v>0</v>
      </c>
      <c r="O7839" t="n">
        <v>0</v>
      </c>
      <c r="P7839" t="n">
        <v>0</v>
      </c>
      <c r="Q7839" t="n">
        <v>0</v>
      </c>
      <c r="R7839" s="2" t="inlineStr"/>
    </row>
    <row r="7840" ht="15" customHeight="1">
      <c r="A7840" t="inlineStr">
        <is>
          <t>A 5111-2022</t>
        </is>
      </c>
      <c r="B7840" s="1" t="n">
        <v>44593.92144675926</v>
      </c>
      <c r="C7840" s="1" t="n">
        <v>46093</v>
      </c>
      <c r="D7840" t="inlineStr">
        <is>
          <t>VÄSTERNORRLANDS LÄN</t>
        </is>
      </c>
      <c r="E7840" t="inlineStr">
        <is>
          <t>SOLLEFTEÅ</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8418-2023</t>
        </is>
      </c>
      <c r="B7841" s="1" t="n">
        <v>44971</v>
      </c>
      <c r="C7841" s="1" t="n">
        <v>46093</v>
      </c>
      <c r="D7841" t="inlineStr">
        <is>
          <t>VÄSTERNORRLANDS LÄN</t>
        </is>
      </c>
      <c r="E7841" t="inlineStr">
        <is>
          <t>ÅNGE</t>
        </is>
      </c>
      <c r="G7841" t="n">
        <v>8.6</v>
      </c>
      <c r="H7841" t="n">
        <v>0</v>
      </c>
      <c r="I7841" t="n">
        <v>0</v>
      </c>
      <c r="J7841" t="n">
        <v>0</v>
      </c>
      <c r="K7841" t="n">
        <v>0</v>
      </c>
      <c r="L7841" t="n">
        <v>0</v>
      </c>
      <c r="M7841" t="n">
        <v>0</v>
      </c>
      <c r="N7841" t="n">
        <v>0</v>
      </c>
      <c r="O7841" t="n">
        <v>0</v>
      </c>
      <c r="P7841" t="n">
        <v>0</v>
      </c>
      <c r="Q7841" t="n">
        <v>0</v>
      </c>
      <c r="R7841" s="2" t="inlineStr"/>
    </row>
    <row r="7842" ht="15" customHeight="1">
      <c r="A7842" t="inlineStr">
        <is>
          <t>A 56089-2025</t>
        </is>
      </c>
      <c r="B7842" s="1" t="n">
        <v>45973.66760416667</v>
      </c>
      <c r="C7842" s="1" t="n">
        <v>46093</v>
      </c>
      <c r="D7842" t="inlineStr">
        <is>
          <t>VÄSTERNORRLANDS LÄN</t>
        </is>
      </c>
      <c r="E7842" t="inlineStr">
        <is>
          <t>ÖRNSKÖLDSVIK</t>
        </is>
      </c>
      <c r="F7842" t="inlineStr">
        <is>
          <t>Holmen skog AB</t>
        </is>
      </c>
      <c r="G7842" t="n">
        <v>2.1</v>
      </c>
      <c r="H7842" t="n">
        <v>0</v>
      </c>
      <c r="I7842" t="n">
        <v>0</v>
      </c>
      <c r="J7842" t="n">
        <v>0</v>
      </c>
      <c r="K7842" t="n">
        <v>0</v>
      </c>
      <c r="L7842" t="n">
        <v>0</v>
      </c>
      <c r="M7842" t="n">
        <v>0</v>
      </c>
      <c r="N7842" t="n">
        <v>0</v>
      </c>
      <c r="O7842" t="n">
        <v>0</v>
      </c>
      <c r="P7842" t="n">
        <v>0</v>
      </c>
      <c r="Q7842" t="n">
        <v>0</v>
      </c>
      <c r="R7842" s="2" t="inlineStr"/>
    </row>
    <row r="7843" ht="15" customHeight="1">
      <c r="A7843" t="inlineStr">
        <is>
          <t>A 10140-2022</t>
        </is>
      </c>
      <c r="B7843" s="1" t="n">
        <v>44621</v>
      </c>
      <c r="C7843" s="1" t="n">
        <v>46093</v>
      </c>
      <c r="D7843" t="inlineStr">
        <is>
          <t>VÄSTERNORRLANDS LÄN</t>
        </is>
      </c>
      <c r="E7843" t="inlineStr">
        <is>
          <t>SOLLEFTEÅ</t>
        </is>
      </c>
      <c r="F7843" t="inlineStr">
        <is>
          <t>SCA</t>
        </is>
      </c>
      <c r="G7843" t="n">
        <v>7.8</v>
      </c>
      <c r="H7843" t="n">
        <v>0</v>
      </c>
      <c r="I7843" t="n">
        <v>0</v>
      </c>
      <c r="J7843" t="n">
        <v>0</v>
      </c>
      <c r="K7843" t="n">
        <v>0</v>
      </c>
      <c r="L7843" t="n">
        <v>0</v>
      </c>
      <c r="M7843" t="n">
        <v>0</v>
      </c>
      <c r="N7843" t="n">
        <v>0</v>
      </c>
      <c r="O7843" t="n">
        <v>0</v>
      </c>
      <c r="P7843" t="n">
        <v>0</v>
      </c>
      <c r="Q7843" t="n">
        <v>0</v>
      </c>
      <c r="R7843" s="2" t="inlineStr"/>
    </row>
    <row r="7844" ht="15" customHeight="1">
      <c r="A7844" t="inlineStr">
        <is>
          <t>A 24155-2023</t>
        </is>
      </c>
      <c r="B7844" s="1" t="n">
        <v>45076</v>
      </c>
      <c r="C7844" s="1" t="n">
        <v>46093</v>
      </c>
      <c r="D7844" t="inlineStr">
        <is>
          <t>VÄSTERNORRLANDS LÄN</t>
        </is>
      </c>
      <c r="E7844" t="inlineStr">
        <is>
          <t>SUNDSVALL</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24175-2023</t>
        </is>
      </c>
      <c r="B7845" s="1" t="n">
        <v>45079</v>
      </c>
      <c r="C7845" s="1" t="n">
        <v>46093</v>
      </c>
      <c r="D7845" t="inlineStr">
        <is>
          <t>VÄSTERNORRLANDS LÄN</t>
        </is>
      </c>
      <c r="E7845" t="inlineStr">
        <is>
          <t>ÖRNSKÖLDSVIK</t>
        </is>
      </c>
      <c r="F7845" t="inlineStr">
        <is>
          <t>Holmen skog AB</t>
        </is>
      </c>
      <c r="G7845" t="n">
        <v>3.5</v>
      </c>
      <c r="H7845" t="n">
        <v>0</v>
      </c>
      <c r="I7845" t="n">
        <v>0</v>
      </c>
      <c r="J7845" t="n">
        <v>0</v>
      </c>
      <c r="K7845" t="n">
        <v>0</v>
      </c>
      <c r="L7845" t="n">
        <v>0</v>
      </c>
      <c r="M7845" t="n">
        <v>0</v>
      </c>
      <c r="N7845" t="n">
        <v>0</v>
      </c>
      <c r="O7845" t="n">
        <v>0</v>
      </c>
      <c r="P7845" t="n">
        <v>0</v>
      </c>
      <c r="Q7845" t="n">
        <v>0</v>
      </c>
      <c r="R7845" s="2" t="inlineStr"/>
    </row>
    <row r="7846" ht="15" customHeight="1">
      <c r="A7846" t="inlineStr">
        <is>
          <t>A 56195-2025</t>
        </is>
      </c>
      <c r="B7846" s="1" t="n">
        <v>45974.44819444444</v>
      </c>
      <c r="C7846" s="1" t="n">
        <v>46093</v>
      </c>
      <c r="D7846" t="inlineStr">
        <is>
          <t>VÄSTERNORRLANDS LÄN</t>
        </is>
      </c>
      <c r="E7846" t="inlineStr">
        <is>
          <t>SUNDSVALL</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56337-2025</t>
        </is>
      </c>
      <c r="B7847" s="1" t="n">
        <v>45974.64597222222</v>
      </c>
      <c r="C7847" s="1" t="n">
        <v>46093</v>
      </c>
      <c r="D7847" t="inlineStr">
        <is>
          <t>VÄSTERNORRLANDS LÄN</t>
        </is>
      </c>
      <c r="E7847" t="inlineStr">
        <is>
          <t>KRAMFORS</t>
        </is>
      </c>
      <c r="G7847" t="n">
        <v>2.5</v>
      </c>
      <c r="H7847" t="n">
        <v>0</v>
      </c>
      <c r="I7847" t="n">
        <v>0</v>
      </c>
      <c r="J7847" t="n">
        <v>0</v>
      </c>
      <c r="K7847" t="n">
        <v>0</v>
      </c>
      <c r="L7847" t="n">
        <v>0</v>
      </c>
      <c r="M7847" t="n">
        <v>0</v>
      </c>
      <c r="N7847" t="n">
        <v>0</v>
      </c>
      <c r="O7847" t="n">
        <v>0</v>
      </c>
      <c r="P7847" t="n">
        <v>0</v>
      </c>
      <c r="Q7847" t="n">
        <v>0</v>
      </c>
      <c r="R7847" s="2" t="inlineStr"/>
    </row>
    <row r="7848" ht="15" customHeight="1">
      <c r="A7848" t="inlineStr">
        <is>
          <t>A 55937-2025</t>
        </is>
      </c>
      <c r="B7848" s="1" t="n">
        <v>45973.44518518518</v>
      </c>
      <c r="C7848" s="1" t="n">
        <v>46093</v>
      </c>
      <c r="D7848" t="inlineStr">
        <is>
          <t>VÄSTERNORRLANDS LÄN</t>
        </is>
      </c>
      <c r="E7848" t="inlineStr">
        <is>
          <t>ÖRNSKÖLDSVIK</t>
        </is>
      </c>
      <c r="F7848" t="inlineStr">
        <is>
          <t>Holmen skog AB</t>
        </is>
      </c>
      <c r="G7848" t="n">
        <v>2.6</v>
      </c>
      <c r="H7848" t="n">
        <v>0</v>
      </c>
      <c r="I7848" t="n">
        <v>0</v>
      </c>
      <c r="J7848" t="n">
        <v>0</v>
      </c>
      <c r="K7848" t="n">
        <v>0</v>
      </c>
      <c r="L7848" t="n">
        <v>0</v>
      </c>
      <c r="M7848" t="n">
        <v>0</v>
      </c>
      <c r="N7848" t="n">
        <v>0</v>
      </c>
      <c r="O7848" t="n">
        <v>0</v>
      </c>
      <c r="P7848" t="n">
        <v>0</v>
      </c>
      <c r="Q7848" t="n">
        <v>0</v>
      </c>
      <c r="R7848" s="2" t="inlineStr"/>
    </row>
    <row r="7849" ht="15" customHeight="1">
      <c r="A7849" t="inlineStr">
        <is>
          <t>A 3214-2025</t>
        </is>
      </c>
      <c r="B7849" s="1" t="n">
        <v>45679.46192129629</v>
      </c>
      <c r="C7849" s="1" t="n">
        <v>46093</v>
      </c>
      <c r="D7849" t="inlineStr">
        <is>
          <t>VÄSTERNORRLANDS LÄN</t>
        </is>
      </c>
      <c r="E7849" t="inlineStr">
        <is>
          <t>SUNDSVALL</t>
        </is>
      </c>
      <c r="G7849" t="n">
        <v>4.9</v>
      </c>
      <c r="H7849" t="n">
        <v>0</v>
      </c>
      <c r="I7849" t="n">
        <v>0</v>
      </c>
      <c r="J7849" t="n">
        <v>0</v>
      </c>
      <c r="K7849" t="n">
        <v>0</v>
      </c>
      <c r="L7849" t="n">
        <v>0</v>
      </c>
      <c r="M7849" t="n">
        <v>0</v>
      </c>
      <c r="N7849" t="n">
        <v>0</v>
      </c>
      <c r="O7849" t="n">
        <v>0</v>
      </c>
      <c r="P7849" t="n">
        <v>0</v>
      </c>
      <c r="Q7849" t="n">
        <v>0</v>
      </c>
      <c r="R7849" s="2" t="inlineStr"/>
    </row>
    <row r="7850" ht="15" customHeight="1">
      <c r="A7850" t="inlineStr">
        <is>
          <t>A 8894-2025</t>
        </is>
      </c>
      <c r="B7850" s="1" t="n">
        <v>45713.40665509259</v>
      </c>
      <c r="C7850" s="1" t="n">
        <v>46093</v>
      </c>
      <c r="D7850" t="inlineStr">
        <is>
          <t>VÄSTERNORRLANDS LÄN</t>
        </is>
      </c>
      <c r="E7850" t="inlineStr">
        <is>
          <t>SOLLEFTEÅ</t>
        </is>
      </c>
      <c r="G7850" t="n">
        <v>8.4</v>
      </c>
      <c r="H7850" t="n">
        <v>0</v>
      </c>
      <c r="I7850" t="n">
        <v>0</v>
      </c>
      <c r="J7850" t="n">
        <v>0</v>
      </c>
      <c r="K7850" t="n">
        <v>0</v>
      </c>
      <c r="L7850" t="n">
        <v>0</v>
      </c>
      <c r="M7850" t="n">
        <v>0</v>
      </c>
      <c r="N7850" t="n">
        <v>0</v>
      </c>
      <c r="O7850" t="n">
        <v>0</v>
      </c>
      <c r="P7850" t="n">
        <v>0</v>
      </c>
      <c r="Q7850" t="n">
        <v>0</v>
      </c>
      <c r="R7850" s="2" t="inlineStr"/>
    </row>
    <row r="7851" ht="15" customHeight="1">
      <c r="A7851" t="inlineStr">
        <is>
          <t>A 56289-2025</t>
        </is>
      </c>
      <c r="B7851" s="1" t="n">
        <v>45974.59734953703</v>
      </c>
      <c r="C7851" s="1" t="n">
        <v>46093</v>
      </c>
      <c r="D7851" t="inlineStr">
        <is>
          <t>VÄSTERNORRLANDS LÄN</t>
        </is>
      </c>
      <c r="E7851" t="inlineStr">
        <is>
          <t>KRAMFORS</t>
        </is>
      </c>
      <c r="G7851" t="n">
        <v>8.9</v>
      </c>
      <c r="H7851" t="n">
        <v>0</v>
      </c>
      <c r="I7851" t="n">
        <v>0</v>
      </c>
      <c r="J7851" t="n">
        <v>0</v>
      </c>
      <c r="K7851" t="n">
        <v>0</v>
      </c>
      <c r="L7851" t="n">
        <v>0</v>
      </c>
      <c r="M7851" t="n">
        <v>0</v>
      </c>
      <c r="N7851" t="n">
        <v>0</v>
      </c>
      <c r="O7851" t="n">
        <v>0</v>
      </c>
      <c r="P7851" t="n">
        <v>0</v>
      </c>
      <c r="Q7851" t="n">
        <v>0</v>
      </c>
      <c r="R7851" s="2" t="inlineStr"/>
    </row>
    <row r="7852" ht="15" customHeight="1">
      <c r="A7852" t="inlineStr">
        <is>
          <t>A 4006-2022</t>
        </is>
      </c>
      <c r="B7852" s="1" t="n">
        <v>44587.92019675926</v>
      </c>
      <c r="C7852" s="1" t="n">
        <v>46093</v>
      </c>
      <c r="D7852" t="inlineStr">
        <is>
          <t>VÄSTERNORRLANDS LÄN</t>
        </is>
      </c>
      <c r="E7852" t="inlineStr">
        <is>
          <t>ÅNGE</t>
        </is>
      </c>
      <c r="G7852" t="n">
        <v>5</v>
      </c>
      <c r="H7852" t="n">
        <v>0</v>
      </c>
      <c r="I7852" t="n">
        <v>0</v>
      </c>
      <c r="J7852" t="n">
        <v>0</v>
      </c>
      <c r="K7852" t="n">
        <v>0</v>
      </c>
      <c r="L7852" t="n">
        <v>0</v>
      </c>
      <c r="M7852" t="n">
        <v>0</v>
      </c>
      <c r="N7852" t="n">
        <v>0</v>
      </c>
      <c r="O7852" t="n">
        <v>0</v>
      </c>
      <c r="P7852" t="n">
        <v>0</v>
      </c>
      <c r="Q7852" t="n">
        <v>0</v>
      </c>
      <c r="R7852" s="2" t="inlineStr"/>
    </row>
    <row r="7853" ht="15" customHeight="1">
      <c r="A7853" t="inlineStr">
        <is>
          <t>A 56361-2025</t>
        </is>
      </c>
      <c r="B7853" s="1" t="n">
        <v>45974.66362268518</v>
      </c>
      <c r="C7853" s="1" t="n">
        <v>46093</v>
      </c>
      <c r="D7853" t="inlineStr">
        <is>
          <t>VÄSTERNORRLANDS LÄN</t>
        </is>
      </c>
      <c r="E7853" t="inlineStr">
        <is>
          <t>KRAMFORS</t>
        </is>
      </c>
      <c r="G7853" t="n">
        <v>8</v>
      </c>
      <c r="H7853" t="n">
        <v>0</v>
      </c>
      <c r="I7853" t="n">
        <v>0</v>
      </c>
      <c r="J7853" t="n">
        <v>0</v>
      </c>
      <c r="K7853" t="n">
        <v>0</v>
      </c>
      <c r="L7853" t="n">
        <v>0</v>
      </c>
      <c r="M7853" t="n">
        <v>0</v>
      </c>
      <c r="N7853" t="n">
        <v>0</v>
      </c>
      <c r="O7853" t="n">
        <v>0</v>
      </c>
      <c r="P7853" t="n">
        <v>0</v>
      </c>
      <c r="Q7853" t="n">
        <v>0</v>
      </c>
      <c r="R7853" s="2" t="inlineStr"/>
    </row>
    <row r="7854" ht="15" customHeight="1">
      <c r="A7854" t="inlineStr">
        <is>
          <t>A 56362-2025</t>
        </is>
      </c>
      <c r="B7854" s="1" t="n">
        <v>45974.66378472222</v>
      </c>
      <c r="C7854" s="1" t="n">
        <v>46093</v>
      </c>
      <c r="D7854" t="inlineStr">
        <is>
          <t>VÄSTERNORRLANDS LÄN</t>
        </is>
      </c>
      <c r="E7854" t="inlineStr">
        <is>
          <t>KRAMFORS</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56164-2025</t>
        </is>
      </c>
      <c r="B7855" s="1" t="n">
        <v>45974.38157407408</v>
      </c>
      <c r="C7855" s="1" t="n">
        <v>46093</v>
      </c>
      <c r="D7855" t="inlineStr">
        <is>
          <t>VÄSTERNORRLANDS LÄN</t>
        </is>
      </c>
      <c r="E7855" t="inlineStr">
        <is>
          <t>ÖRNSKÖLDSVIK</t>
        </is>
      </c>
      <c r="F7855" t="inlineStr">
        <is>
          <t>Holmen skog AB</t>
        </is>
      </c>
      <c r="G7855" t="n">
        <v>6.1</v>
      </c>
      <c r="H7855" t="n">
        <v>0</v>
      </c>
      <c r="I7855" t="n">
        <v>0</v>
      </c>
      <c r="J7855" t="n">
        <v>0</v>
      </c>
      <c r="K7855" t="n">
        <v>0</v>
      </c>
      <c r="L7855" t="n">
        <v>0</v>
      </c>
      <c r="M7855" t="n">
        <v>0</v>
      </c>
      <c r="N7855" t="n">
        <v>0</v>
      </c>
      <c r="O7855" t="n">
        <v>0</v>
      </c>
      <c r="P7855" t="n">
        <v>0</v>
      </c>
      <c r="Q7855" t="n">
        <v>0</v>
      </c>
      <c r="R7855" s="2" t="inlineStr"/>
    </row>
    <row r="7856" ht="15" customHeight="1">
      <c r="A7856" t="inlineStr">
        <is>
          <t>A 20332-2025</t>
        </is>
      </c>
      <c r="B7856" s="1" t="n">
        <v>45775.36451388889</v>
      </c>
      <c r="C7856" s="1" t="n">
        <v>46093</v>
      </c>
      <c r="D7856" t="inlineStr">
        <is>
          <t>VÄSTERNORRLANDS LÄN</t>
        </is>
      </c>
      <c r="E7856" t="inlineStr">
        <is>
          <t>HÄRNÖSAND</t>
        </is>
      </c>
      <c r="G7856" t="n">
        <v>2.9</v>
      </c>
      <c r="H7856" t="n">
        <v>0</v>
      </c>
      <c r="I7856" t="n">
        <v>0</v>
      </c>
      <c r="J7856" t="n">
        <v>0</v>
      </c>
      <c r="K7856" t="n">
        <v>0</v>
      </c>
      <c r="L7856" t="n">
        <v>0</v>
      </c>
      <c r="M7856" t="n">
        <v>0</v>
      </c>
      <c r="N7856" t="n">
        <v>0</v>
      </c>
      <c r="O7856" t="n">
        <v>0</v>
      </c>
      <c r="P7856" t="n">
        <v>0</v>
      </c>
      <c r="Q7856" t="n">
        <v>0</v>
      </c>
      <c r="R7856" s="2" t="inlineStr"/>
    </row>
    <row r="7857" ht="15" customHeight="1">
      <c r="A7857" t="inlineStr">
        <is>
          <t>A 11308-2024</t>
        </is>
      </c>
      <c r="B7857" s="1" t="n">
        <v>45371</v>
      </c>
      <c r="C7857" s="1" t="n">
        <v>46093</v>
      </c>
      <c r="D7857" t="inlineStr">
        <is>
          <t>VÄSTERNORRLANDS LÄN</t>
        </is>
      </c>
      <c r="E7857" t="inlineStr">
        <is>
          <t>ÖRNSKÖLDSVIK</t>
        </is>
      </c>
      <c r="F7857" t="inlineStr">
        <is>
          <t>Kyrkan</t>
        </is>
      </c>
      <c r="G7857" t="n">
        <v>0.8</v>
      </c>
      <c r="H7857" t="n">
        <v>0</v>
      </c>
      <c r="I7857" t="n">
        <v>0</v>
      </c>
      <c r="J7857" t="n">
        <v>0</v>
      </c>
      <c r="K7857" t="n">
        <v>0</v>
      </c>
      <c r="L7857" t="n">
        <v>0</v>
      </c>
      <c r="M7857" t="n">
        <v>0</v>
      </c>
      <c r="N7857" t="n">
        <v>0</v>
      </c>
      <c r="O7857" t="n">
        <v>0</v>
      </c>
      <c r="P7857" t="n">
        <v>0</v>
      </c>
      <c r="Q7857" t="n">
        <v>0</v>
      </c>
      <c r="R7857" s="2" t="inlineStr"/>
    </row>
    <row r="7858" ht="15" customHeight="1">
      <c r="A7858" t="inlineStr">
        <is>
          <t>A 55743-2025</t>
        </is>
      </c>
      <c r="B7858" s="1" t="n">
        <v>45972.57387731481</v>
      </c>
      <c r="C7858" s="1" t="n">
        <v>46093</v>
      </c>
      <c r="D7858" t="inlineStr">
        <is>
          <t>VÄSTERNORRLANDS LÄN</t>
        </is>
      </c>
      <c r="E7858" t="inlineStr">
        <is>
          <t>KRAMFORS</t>
        </is>
      </c>
      <c r="F7858" t="inlineStr">
        <is>
          <t>SCA</t>
        </is>
      </c>
      <c r="G7858" t="n">
        <v>3.5</v>
      </c>
      <c r="H7858" t="n">
        <v>0</v>
      </c>
      <c r="I7858" t="n">
        <v>0</v>
      </c>
      <c r="J7858" t="n">
        <v>0</v>
      </c>
      <c r="K7858" t="n">
        <v>0</v>
      </c>
      <c r="L7858" t="n">
        <v>0</v>
      </c>
      <c r="M7858" t="n">
        <v>0</v>
      </c>
      <c r="N7858" t="n">
        <v>0</v>
      </c>
      <c r="O7858" t="n">
        <v>0</v>
      </c>
      <c r="P7858" t="n">
        <v>0</v>
      </c>
      <c r="Q7858" t="n">
        <v>0</v>
      </c>
      <c r="R7858" s="2" t="inlineStr"/>
    </row>
    <row r="7859" ht="15" customHeight="1">
      <c r="A7859" t="inlineStr">
        <is>
          <t>A 55772-2025</t>
        </is>
      </c>
      <c r="B7859" s="1" t="n">
        <v>45972.61564814814</v>
      </c>
      <c r="C7859" s="1" t="n">
        <v>46093</v>
      </c>
      <c r="D7859" t="inlineStr">
        <is>
          <t>VÄSTERNORRLANDS LÄN</t>
        </is>
      </c>
      <c r="E7859" t="inlineStr">
        <is>
          <t>HÄRNÖSAND</t>
        </is>
      </c>
      <c r="F7859" t="inlineStr">
        <is>
          <t>SCA</t>
        </is>
      </c>
      <c r="G7859" t="n">
        <v>15.6</v>
      </c>
      <c r="H7859" t="n">
        <v>0</v>
      </c>
      <c r="I7859" t="n">
        <v>0</v>
      </c>
      <c r="J7859" t="n">
        <v>0</v>
      </c>
      <c r="K7859" t="n">
        <v>0</v>
      </c>
      <c r="L7859" t="n">
        <v>0</v>
      </c>
      <c r="M7859" t="n">
        <v>0</v>
      </c>
      <c r="N7859" t="n">
        <v>0</v>
      </c>
      <c r="O7859" t="n">
        <v>0</v>
      </c>
      <c r="P7859" t="n">
        <v>0</v>
      </c>
      <c r="Q7859" t="n">
        <v>0</v>
      </c>
      <c r="R7859" s="2" t="inlineStr"/>
    </row>
    <row r="7860" ht="15" customHeight="1">
      <c r="A7860" t="inlineStr">
        <is>
          <t>A 55808-2025</t>
        </is>
      </c>
      <c r="B7860" s="1" t="n">
        <v>45972.67839120371</v>
      </c>
      <c r="C7860" s="1" t="n">
        <v>46093</v>
      </c>
      <c r="D7860" t="inlineStr">
        <is>
          <t>VÄSTERNORRLANDS LÄN</t>
        </is>
      </c>
      <c r="E7860" t="inlineStr">
        <is>
          <t>SUNDSVALL</t>
        </is>
      </c>
      <c r="F7860" t="inlineStr">
        <is>
          <t>Naturvårdsverket</t>
        </is>
      </c>
      <c r="G7860" t="n">
        <v>4.2</v>
      </c>
      <c r="H7860" t="n">
        <v>0</v>
      </c>
      <c r="I7860" t="n">
        <v>0</v>
      </c>
      <c r="J7860" t="n">
        <v>0</v>
      </c>
      <c r="K7860" t="n">
        <v>0</v>
      </c>
      <c r="L7860" t="n">
        <v>0</v>
      </c>
      <c r="M7860" t="n">
        <v>0</v>
      </c>
      <c r="N7860" t="n">
        <v>0</v>
      </c>
      <c r="O7860" t="n">
        <v>0</v>
      </c>
      <c r="P7860" t="n">
        <v>0</v>
      </c>
      <c r="Q7860" t="n">
        <v>0</v>
      </c>
      <c r="R7860" s="2" t="inlineStr"/>
    </row>
    <row r="7861" ht="15" customHeight="1">
      <c r="A7861" t="inlineStr">
        <is>
          <t>A 54572-2024</t>
        </is>
      </c>
      <c r="B7861" s="1" t="n">
        <v>45617.65054398148</v>
      </c>
      <c r="C7861" s="1" t="n">
        <v>46093</v>
      </c>
      <c r="D7861" t="inlineStr">
        <is>
          <t>VÄSTERNORRLANDS LÄN</t>
        </is>
      </c>
      <c r="E7861" t="inlineStr">
        <is>
          <t>SOLLEFTEÅ</t>
        </is>
      </c>
      <c r="G7861" t="n">
        <v>28.2</v>
      </c>
      <c r="H7861" t="n">
        <v>0</v>
      </c>
      <c r="I7861" t="n">
        <v>0</v>
      </c>
      <c r="J7861" t="n">
        <v>0</v>
      </c>
      <c r="K7861" t="n">
        <v>0</v>
      </c>
      <c r="L7861" t="n">
        <v>0</v>
      </c>
      <c r="M7861" t="n">
        <v>0</v>
      </c>
      <c r="N7861" t="n">
        <v>0</v>
      </c>
      <c r="O7861" t="n">
        <v>0</v>
      </c>
      <c r="P7861" t="n">
        <v>0</v>
      </c>
      <c r="Q7861" t="n">
        <v>0</v>
      </c>
      <c r="R7861" s="2" t="inlineStr"/>
    </row>
    <row r="7862" ht="15" customHeight="1">
      <c r="A7862" t="inlineStr">
        <is>
          <t>A 21639-2023</t>
        </is>
      </c>
      <c r="B7862" s="1" t="n">
        <v>45063</v>
      </c>
      <c r="C7862" s="1" t="n">
        <v>46093</v>
      </c>
      <c r="D7862" t="inlineStr">
        <is>
          <t>VÄSTERNORRLANDS LÄN</t>
        </is>
      </c>
      <c r="E7862" t="inlineStr">
        <is>
          <t>SUNDSVALL</t>
        </is>
      </c>
      <c r="G7862" t="n">
        <v>0.4</v>
      </c>
      <c r="H7862" t="n">
        <v>0</v>
      </c>
      <c r="I7862" t="n">
        <v>0</v>
      </c>
      <c r="J7862" t="n">
        <v>0</v>
      </c>
      <c r="K7862" t="n">
        <v>0</v>
      </c>
      <c r="L7862" t="n">
        <v>0</v>
      </c>
      <c r="M7862" t="n">
        <v>0</v>
      </c>
      <c r="N7862" t="n">
        <v>0</v>
      </c>
      <c r="O7862" t="n">
        <v>0</v>
      </c>
      <c r="P7862" t="n">
        <v>0</v>
      </c>
      <c r="Q7862" t="n">
        <v>0</v>
      </c>
      <c r="R7862" s="2" t="inlineStr"/>
    </row>
    <row r="7863" ht="15" customHeight="1">
      <c r="A7863" t="inlineStr">
        <is>
          <t>A 54574-2024</t>
        </is>
      </c>
      <c r="B7863" s="1" t="n">
        <v>45617.65201388889</v>
      </c>
      <c r="C7863" s="1" t="n">
        <v>46093</v>
      </c>
      <c r="D7863" t="inlineStr">
        <is>
          <t>VÄSTERNORRLANDS LÄN</t>
        </is>
      </c>
      <c r="E7863" t="inlineStr">
        <is>
          <t>SOLLEFTEÅ</t>
        </is>
      </c>
      <c r="G7863" t="n">
        <v>2.1</v>
      </c>
      <c r="H7863" t="n">
        <v>0</v>
      </c>
      <c r="I7863" t="n">
        <v>0</v>
      </c>
      <c r="J7863" t="n">
        <v>0</v>
      </c>
      <c r="K7863" t="n">
        <v>0</v>
      </c>
      <c r="L7863" t="n">
        <v>0</v>
      </c>
      <c r="M7863" t="n">
        <v>0</v>
      </c>
      <c r="N7863" t="n">
        <v>0</v>
      </c>
      <c r="O7863" t="n">
        <v>0</v>
      </c>
      <c r="P7863" t="n">
        <v>0</v>
      </c>
      <c r="Q7863" t="n">
        <v>0</v>
      </c>
      <c r="R7863" s="2" t="inlineStr"/>
    </row>
    <row r="7864" ht="15" customHeight="1">
      <c r="A7864" t="inlineStr">
        <is>
          <t>A 54582-2024</t>
        </is>
      </c>
      <c r="B7864" s="1" t="n">
        <v>45617.65704861111</v>
      </c>
      <c r="C7864" s="1" t="n">
        <v>46093</v>
      </c>
      <c r="D7864" t="inlineStr">
        <is>
          <t>VÄSTERNORRLANDS LÄN</t>
        </is>
      </c>
      <c r="E7864" t="inlineStr">
        <is>
          <t>ÖRNSKÖLDSVIK</t>
        </is>
      </c>
      <c r="F7864" t="inlineStr">
        <is>
          <t>Holmen skog AB</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18795-2025</t>
        </is>
      </c>
      <c r="B7865" s="1" t="n">
        <v>45764.34564814815</v>
      </c>
      <c r="C7865" s="1" t="n">
        <v>46093</v>
      </c>
      <c r="D7865" t="inlineStr">
        <is>
          <t>VÄSTERNORRLANDS LÄN</t>
        </is>
      </c>
      <c r="E7865" t="inlineStr">
        <is>
          <t>SOLLEFTEÅ</t>
        </is>
      </c>
      <c r="F7865" t="inlineStr">
        <is>
          <t>SCA</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18812-2025</t>
        </is>
      </c>
      <c r="B7866" s="1" t="n">
        <v>45764.36490740741</v>
      </c>
      <c r="C7866" s="1" t="n">
        <v>46093</v>
      </c>
      <c r="D7866" t="inlineStr">
        <is>
          <t>VÄSTERNORRLANDS LÄN</t>
        </is>
      </c>
      <c r="E7866" t="inlineStr">
        <is>
          <t>HÄRNÖSAND</t>
        </is>
      </c>
      <c r="F7866" t="inlineStr">
        <is>
          <t>SCA</t>
        </is>
      </c>
      <c r="G7866" t="n">
        <v>1.7</v>
      </c>
      <c r="H7866" t="n">
        <v>0</v>
      </c>
      <c r="I7866" t="n">
        <v>0</v>
      </c>
      <c r="J7866" t="n">
        <v>0</v>
      </c>
      <c r="K7866" t="n">
        <v>0</v>
      </c>
      <c r="L7866" t="n">
        <v>0</v>
      </c>
      <c r="M7866" t="n">
        <v>0</v>
      </c>
      <c r="N7866" t="n">
        <v>0</v>
      </c>
      <c r="O7866" t="n">
        <v>0</v>
      </c>
      <c r="P7866" t="n">
        <v>0</v>
      </c>
      <c r="Q7866" t="n">
        <v>0</v>
      </c>
      <c r="R7866" s="2" t="inlineStr"/>
    </row>
    <row r="7867" ht="15" customHeight="1">
      <c r="A7867" t="inlineStr">
        <is>
          <t>A 18814-2025</t>
        </is>
      </c>
      <c r="B7867" s="1" t="n">
        <v>45764.3653587963</v>
      </c>
      <c r="C7867" s="1" t="n">
        <v>46093</v>
      </c>
      <c r="D7867" t="inlineStr">
        <is>
          <t>VÄSTERNORRLANDS LÄN</t>
        </is>
      </c>
      <c r="E7867" t="inlineStr">
        <is>
          <t>TIMRÅ</t>
        </is>
      </c>
      <c r="F7867" t="inlineStr">
        <is>
          <t>SCA</t>
        </is>
      </c>
      <c r="G7867" t="n">
        <v>2.1</v>
      </c>
      <c r="H7867" t="n">
        <v>0</v>
      </c>
      <c r="I7867" t="n">
        <v>0</v>
      </c>
      <c r="J7867" t="n">
        <v>0</v>
      </c>
      <c r="K7867" t="n">
        <v>0</v>
      </c>
      <c r="L7867" t="n">
        <v>0</v>
      </c>
      <c r="M7867" t="n">
        <v>0</v>
      </c>
      <c r="N7867" t="n">
        <v>0</v>
      </c>
      <c r="O7867" t="n">
        <v>0</v>
      </c>
      <c r="P7867" t="n">
        <v>0</v>
      </c>
      <c r="Q7867" t="n">
        <v>0</v>
      </c>
      <c r="R7867" s="2" t="inlineStr"/>
    </row>
    <row r="7868" ht="15" customHeight="1">
      <c r="A7868" t="inlineStr">
        <is>
          <t>A 18819-2025</t>
        </is>
      </c>
      <c r="B7868" s="1" t="n">
        <v>45764.37483796296</v>
      </c>
      <c r="C7868" s="1" t="n">
        <v>46093</v>
      </c>
      <c r="D7868" t="inlineStr">
        <is>
          <t>VÄSTERNORRLANDS LÄN</t>
        </is>
      </c>
      <c r="E7868" t="inlineStr">
        <is>
          <t>SUNDSVALL</t>
        </is>
      </c>
      <c r="G7868" t="n">
        <v>0.4</v>
      </c>
      <c r="H7868" t="n">
        <v>0</v>
      </c>
      <c r="I7868" t="n">
        <v>0</v>
      </c>
      <c r="J7868" t="n">
        <v>0</v>
      </c>
      <c r="K7868" t="n">
        <v>0</v>
      </c>
      <c r="L7868" t="n">
        <v>0</v>
      </c>
      <c r="M7868" t="n">
        <v>0</v>
      </c>
      <c r="N7868" t="n">
        <v>0</v>
      </c>
      <c r="O7868" t="n">
        <v>0</v>
      </c>
      <c r="P7868" t="n">
        <v>0</v>
      </c>
      <c r="Q7868" t="n">
        <v>0</v>
      </c>
      <c r="R7868" s="2" t="inlineStr"/>
    </row>
    <row r="7869" ht="15" customHeight="1">
      <c r="A7869" t="inlineStr">
        <is>
          <t>A 56090-2025</t>
        </is>
      </c>
      <c r="B7869" s="1" t="n">
        <v>45973.66877314815</v>
      </c>
      <c r="C7869" s="1" t="n">
        <v>46093</v>
      </c>
      <c r="D7869" t="inlineStr">
        <is>
          <t>VÄSTERNORRLANDS LÄN</t>
        </is>
      </c>
      <c r="E7869" t="inlineStr">
        <is>
          <t>KRAMFORS</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55865-2025</t>
        </is>
      </c>
      <c r="B7870" s="1" t="n">
        <v>45973.34901620371</v>
      </c>
      <c r="C7870" s="1" t="n">
        <v>46093</v>
      </c>
      <c r="D7870" t="inlineStr">
        <is>
          <t>VÄSTERNORRLANDS LÄN</t>
        </is>
      </c>
      <c r="E7870" t="inlineStr">
        <is>
          <t>ÖRNSKÖLDSVIK</t>
        </is>
      </c>
      <c r="F7870" t="inlineStr">
        <is>
          <t>Holmen skog AB</t>
        </is>
      </c>
      <c r="G7870" t="n">
        <v>9.9</v>
      </c>
      <c r="H7870" t="n">
        <v>0</v>
      </c>
      <c r="I7870" t="n">
        <v>0</v>
      </c>
      <c r="J7870" t="n">
        <v>0</v>
      </c>
      <c r="K7870" t="n">
        <v>0</v>
      </c>
      <c r="L7870" t="n">
        <v>0</v>
      </c>
      <c r="M7870" t="n">
        <v>0</v>
      </c>
      <c r="N7870" t="n">
        <v>0</v>
      </c>
      <c r="O7870" t="n">
        <v>0</v>
      </c>
      <c r="P7870" t="n">
        <v>0</v>
      </c>
      <c r="Q7870" t="n">
        <v>0</v>
      </c>
      <c r="R7870" s="2" t="inlineStr"/>
    </row>
    <row r="7871" ht="15" customHeight="1">
      <c r="A7871" t="inlineStr">
        <is>
          <t>A 32812-2024</t>
        </is>
      </c>
      <c r="B7871" s="1" t="n">
        <v>45516</v>
      </c>
      <c r="C7871" s="1" t="n">
        <v>46093</v>
      </c>
      <c r="D7871" t="inlineStr">
        <is>
          <t>VÄSTERNORRLANDS LÄN</t>
        </is>
      </c>
      <c r="E7871" t="inlineStr">
        <is>
          <t>SOLLEFTEÅ</t>
        </is>
      </c>
      <c r="G7871" t="n">
        <v>0.4</v>
      </c>
      <c r="H7871" t="n">
        <v>0</v>
      </c>
      <c r="I7871" t="n">
        <v>0</v>
      </c>
      <c r="J7871" t="n">
        <v>0</v>
      </c>
      <c r="K7871" t="n">
        <v>0</v>
      </c>
      <c r="L7871" t="n">
        <v>0</v>
      </c>
      <c r="M7871" t="n">
        <v>0</v>
      </c>
      <c r="N7871" t="n">
        <v>0</v>
      </c>
      <c r="O7871" t="n">
        <v>0</v>
      </c>
      <c r="P7871" t="n">
        <v>0</v>
      </c>
      <c r="Q7871" t="n">
        <v>0</v>
      </c>
      <c r="R7871" s="2" t="inlineStr"/>
    </row>
    <row r="7872" ht="15" customHeight="1">
      <c r="A7872" t="inlineStr">
        <is>
          <t>A 14875-2023</t>
        </is>
      </c>
      <c r="B7872" s="1" t="n">
        <v>45015.07292824074</v>
      </c>
      <c r="C7872" s="1" t="n">
        <v>46093</v>
      </c>
      <c r="D7872" t="inlineStr">
        <is>
          <t>VÄSTERNORRLANDS LÄN</t>
        </is>
      </c>
      <c r="E7872" t="inlineStr">
        <is>
          <t>SOLLEFTEÅ</t>
        </is>
      </c>
      <c r="F7872" t="inlineStr">
        <is>
          <t>SCA</t>
        </is>
      </c>
      <c r="G7872" t="n">
        <v>2.3</v>
      </c>
      <c r="H7872" t="n">
        <v>0</v>
      </c>
      <c r="I7872" t="n">
        <v>0</v>
      </c>
      <c r="J7872" t="n">
        <v>0</v>
      </c>
      <c r="K7872" t="n">
        <v>0</v>
      </c>
      <c r="L7872" t="n">
        <v>0</v>
      </c>
      <c r="M7872" t="n">
        <v>0</v>
      </c>
      <c r="N7872" t="n">
        <v>0</v>
      </c>
      <c r="O7872" t="n">
        <v>0</v>
      </c>
      <c r="P7872" t="n">
        <v>0</v>
      </c>
      <c r="Q7872" t="n">
        <v>0</v>
      </c>
      <c r="R7872" s="2" t="inlineStr"/>
    </row>
    <row r="7873" ht="15" customHeight="1">
      <c r="A7873" t="inlineStr">
        <is>
          <t>A 10017-2025</t>
        </is>
      </c>
      <c r="B7873" s="1" t="n">
        <v>45719.46957175926</v>
      </c>
      <c r="C7873" s="1" t="n">
        <v>46093</v>
      </c>
      <c r="D7873" t="inlineStr">
        <is>
          <t>VÄSTERNORRLANDS LÄN</t>
        </is>
      </c>
      <c r="E7873" t="inlineStr">
        <is>
          <t>ÅNGE</t>
        </is>
      </c>
      <c r="F7873" t="inlineStr">
        <is>
          <t>SCA</t>
        </is>
      </c>
      <c r="G7873" t="n">
        <v>9.9</v>
      </c>
      <c r="H7873" t="n">
        <v>0</v>
      </c>
      <c r="I7873" t="n">
        <v>0</v>
      </c>
      <c r="J7873" t="n">
        <v>0</v>
      </c>
      <c r="K7873" t="n">
        <v>0</v>
      </c>
      <c r="L7873" t="n">
        <v>0</v>
      </c>
      <c r="M7873" t="n">
        <v>0</v>
      </c>
      <c r="N7873" t="n">
        <v>0</v>
      </c>
      <c r="O7873" t="n">
        <v>0</v>
      </c>
      <c r="P7873" t="n">
        <v>0</v>
      </c>
      <c r="Q7873" t="n">
        <v>0</v>
      </c>
      <c r="R7873" s="2" t="inlineStr"/>
    </row>
    <row r="7874" ht="15" customHeight="1">
      <c r="A7874" t="inlineStr">
        <is>
          <t>A 56156-2025</t>
        </is>
      </c>
      <c r="B7874" s="1" t="n">
        <v>45974.36638888889</v>
      </c>
      <c r="C7874" s="1" t="n">
        <v>46093</v>
      </c>
      <c r="D7874" t="inlineStr">
        <is>
          <t>VÄSTERNORRLANDS LÄN</t>
        </is>
      </c>
      <c r="E7874" t="inlineStr">
        <is>
          <t>KRAMFORS</t>
        </is>
      </c>
      <c r="G7874" t="n">
        <v>4.5</v>
      </c>
      <c r="H7874" t="n">
        <v>0</v>
      </c>
      <c r="I7874" t="n">
        <v>0</v>
      </c>
      <c r="J7874" t="n">
        <v>0</v>
      </c>
      <c r="K7874" t="n">
        <v>0</v>
      </c>
      <c r="L7874" t="n">
        <v>0</v>
      </c>
      <c r="M7874" t="n">
        <v>0</v>
      </c>
      <c r="N7874" t="n">
        <v>0</v>
      </c>
      <c r="O7874" t="n">
        <v>0</v>
      </c>
      <c r="P7874" t="n">
        <v>0</v>
      </c>
      <c r="Q7874" t="n">
        <v>0</v>
      </c>
      <c r="R7874" s="2" t="inlineStr"/>
    </row>
    <row r="7875" ht="15" customHeight="1">
      <c r="A7875" t="inlineStr">
        <is>
          <t>A 56278-2025</t>
        </is>
      </c>
      <c r="B7875" s="1" t="n">
        <v>45974.58819444444</v>
      </c>
      <c r="C7875" s="1" t="n">
        <v>46093</v>
      </c>
      <c r="D7875" t="inlineStr">
        <is>
          <t>VÄSTERNORRLANDS LÄN</t>
        </is>
      </c>
      <c r="E7875" t="inlineStr">
        <is>
          <t>KRAMFORS</t>
        </is>
      </c>
      <c r="G7875" t="n">
        <v>3.2</v>
      </c>
      <c r="H7875" t="n">
        <v>0</v>
      </c>
      <c r="I7875" t="n">
        <v>0</v>
      </c>
      <c r="J7875" t="n">
        <v>0</v>
      </c>
      <c r="K7875" t="n">
        <v>0</v>
      </c>
      <c r="L7875" t="n">
        <v>0</v>
      </c>
      <c r="M7875" t="n">
        <v>0</v>
      </c>
      <c r="N7875" t="n">
        <v>0</v>
      </c>
      <c r="O7875" t="n">
        <v>0</v>
      </c>
      <c r="P7875" t="n">
        <v>0</v>
      </c>
      <c r="Q7875" t="n">
        <v>0</v>
      </c>
      <c r="R7875" s="2" t="inlineStr"/>
    </row>
    <row r="7876" ht="15" customHeight="1">
      <c r="A7876" t="inlineStr">
        <is>
          <t>A 56281-2025</t>
        </is>
      </c>
      <c r="B7876" s="1" t="n">
        <v>45974.59170138889</v>
      </c>
      <c r="C7876" s="1" t="n">
        <v>46093</v>
      </c>
      <c r="D7876" t="inlineStr">
        <is>
          <t>VÄSTERNORRLANDS LÄN</t>
        </is>
      </c>
      <c r="E7876" t="inlineStr">
        <is>
          <t>KRAMFORS</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56041-2025</t>
        </is>
      </c>
      <c r="B7877" s="1" t="n">
        <v>45973.61496527777</v>
      </c>
      <c r="C7877" s="1" t="n">
        <v>46093</v>
      </c>
      <c r="D7877" t="inlineStr">
        <is>
          <t>VÄSTERNORRLANDS LÄN</t>
        </is>
      </c>
      <c r="E7877" t="inlineStr">
        <is>
          <t>KRAMFORS</t>
        </is>
      </c>
      <c r="G7877" t="n">
        <v>5.3</v>
      </c>
      <c r="H7877" t="n">
        <v>0</v>
      </c>
      <c r="I7877" t="n">
        <v>0</v>
      </c>
      <c r="J7877" t="n">
        <v>0</v>
      </c>
      <c r="K7877" t="n">
        <v>0</v>
      </c>
      <c r="L7877" t="n">
        <v>0</v>
      </c>
      <c r="M7877" t="n">
        <v>0</v>
      </c>
      <c r="N7877" t="n">
        <v>0</v>
      </c>
      <c r="O7877" t="n">
        <v>0</v>
      </c>
      <c r="P7877" t="n">
        <v>0</v>
      </c>
      <c r="Q7877" t="n">
        <v>0</v>
      </c>
      <c r="R7877" s="2" t="inlineStr"/>
    </row>
    <row r="7878" ht="15" customHeight="1">
      <c r="A7878" t="inlineStr">
        <is>
          <t>A 47330-2023</t>
        </is>
      </c>
      <c r="B7878" s="1" t="n">
        <v>45196</v>
      </c>
      <c r="C7878" s="1" t="n">
        <v>46093</v>
      </c>
      <c r="D7878" t="inlineStr">
        <is>
          <t>VÄSTERNORRLANDS LÄN</t>
        </is>
      </c>
      <c r="E7878" t="inlineStr">
        <is>
          <t>ÖRNSKÖLDSVIK</t>
        </is>
      </c>
      <c r="G7878" t="n">
        <v>12.7</v>
      </c>
      <c r="H7878" t="n">
        <v>0</v>
      </c>
      <c r="I7878" t="n">
        <v>0</v>
      </c>
      <c r="J7878" t="n">
        <v>0</v>
      </c>
      <c r="K7878" t="n">
        <v>0</v>
      </c>
      <c r="L7878" t="n">
        <v>0</v>
      </c>
      <c r="M7878" t="n">
        <v>0</v>
      </c>
      <c r="N7878" t="n">
        <v>0</v>
      </c>
      <c r="O7878" t="n">
        <v>0</v>
      </c>
      <c r="P7878" t="n">
        <v>0</v>
      </c>
      <c r="Q7878" t="n">
        <v>0</v>
      </c>
      <c r="R7878" s="2" t="inlineStr"/>
    </row>
    <row r="7879" ht="15" customHeight="1">
      <c r="A7879" t="inlineStr">
        <is>
          <t>A 10256-2023</t>
        </is>
      </c>
      <c r="B7879" s="1" t="n">
        <v>44980</v>
      </c>
      <c r="C7879" s="1" t="n">
        <v>46093</v>
      </c>
      <c r="D7879" t="inlineStr">
        <is>
          <t>VÄSTERNORRLANDS LÄN</t>
        </is>
      </c>
      <c r="E7879" t="inlineStr">
        <is>
          <t>SOLLEFTEÅ</t>
        </is>
      </c>
      <c r="G7879" t="n">
        <v>6.4</v>
      </c>
      <c r="H7879" t="n">
        <v>0</v>
      </c>
      <c r="I7879" t="n">
        <v>0</v>
      </c>
      <c r="J7879" t="n">
        <v>0</v>
      </c>
      <c r="K7879" t="n">
        <v>0</v>
      </c>
      <c r="L7879" t="n">
        <v>0</v>
      </c>
      <c r="M7879" t="n">
        <v>0</v>
      </c>
      <c r="N7879" t="n">
        <v>0</v>
      </c>
      <c r="O7879" t="n">
        <v>0</v>
      </c>
      <c r="P7879" t="n">
        <v>0</v>
      </c>
      <c r="Q7879" t="n">
        <v>0</v>
      </c>
      <c r="R7879" s="2" t="inlineStr"/>
    </row>
    <row r="7880" ht="15" customHeight="1">
      <c r="A7880" t="inlineStr">
        <is>
          <t>A 18465-2025</t>
        </is>
      </c>
      <c r="B7880" s="1" t="n">
        <v>45762</v>
      </c>
      <c r="C7880" s="1" t="n">
        <v>46093</v>
      </c>
      <c r="D7880" t="inlineStr">
        <is>
          <t>VÄSTERNORRLANDS LÄN</t>
        </is>
      </c>
      <c r="E7880" t="inlineStr">
        <is>
          <t>ÖRNSKÖLDSVIK</t>
        </is>
      </c>
      <c r="G7880" t="n">
        <v>6.2</v>
      </c>
      <c r="H7880" t="n">
        <v>0</v>
      </c>
      <c r="I7880" t="n">
        <v>0</v>
      </c>
      <c r="J7880" t="n">
        <v>0</v>
      </c>
      <c r="K7880" t="n">
        <v>0</v>
      </c>
      <c r="L7880" t="n">
        <v>0</v>
      </c>
      <c r="M7880" t="n">
        <v>0</v>
      </c>
      <c r="N7880" t="n">
        <v>0</v>
      </c>
      <c r="O7880" t="n">
        <v>0</v>
      </c>
      <c r="P7880" t="n">
        <v>0</v>
      </c>
      <c r="Q7880" t="n">
        <v>0</v>
      </c>
      <c r="R7880" s="2" t="inlineStr"/>
    </row>
    <row r="7881" ht="15" customHeight="1">
      <c r="A7881" t="inlineStr">
        <is>
          <t>A 18467-2025</t>
        </is>
      </c>
      <c r="B7881" s="1" t="n">
        <v>45762.70768518518</v>
      </c>
      <c r="C7881" s="1" t="n">
        <v>46093</v>
      </c>
      <c r="D7881" t="inlineStr">
        <is>
          <t>VÄSTERNORRLANDS LÄN</t>
        </is>
      </c>
      <c r="E7881" t="inlineStr">
        <is>
          <t>SUNDSVALL</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66636-2021</t>
        </is>
      </c>
      <c r="B7882" s="1" t="n">
        <v>44519.56555555556</v>
      </c>
      <c r="C7882" s="1" t="n">
        <v>46093</v>
      </c>
      <c r="D7882" t="inlineStr">
        <is>
          <t>VÄSTERNORRLANDS LÄN</t>
        </is>
      </c>
      <c r="E7882" t="inlineStr">
        <is>
          <t>ÖRNSKÖLDSVIK</t>
        </is>
      </c>
      <c r="F7882" t="inlineStr">
        <is>
          <t>Holmen skog AB</t>
        </is>
      </c>
      <c r="G7882" t="n">
        <v>2.1</v>
      </c>
      <c r="H7882" t="n">
        <v>0</v>
      </c>
      <c r="I7882" t="n">
        <v>0</v>
      </c>
      <c r="J7882" t="n">
        <v>0</v>
      </c>
      <c r="K7882" t="n">
        <v>0</v>
      </c>
      <c r="L7882" t="n">
        <v>0</v>
      </c>
      <c r="M7882" t="n">
        <v>0</v>
      </c>
      <c r="N7882" t="n">
        <v>0</v>
      </c>
      <c r="O7882" t="n">
        <v>0</v>
      </c>
      <c r="P7882" t="n">
        <v>0</v>
      </c>
      <c r="Q7882" t="n">
        <v>0</v>
      </c>
      <c r="R7882" s="2" t="inlineStr"/>
    </row>
    <row r="7883" ht="15" customHeight="1">
      <c r="A7883" t="inlineStr">
        <is>
          <t>A 56160-2025</t>
        </is>
      </c>
      <c r="B7883" s="1" t="n">
        <v>45974.37546296296</v>
      </c>
      <c r="C7883" s="1" t="n">
        <v>46093</v>
      </c>
      <c r="D7883" t="inlineStr">
        <is>
          <t>VÄSTERNORRLANDS LÄN</t>
        </is>
      </c>
      <c r="E7883" t="inlineStr">
        <is>
          <t>ÖRNSKÖLDSVIK</t>
        </is>
      </c>
      <c r="F7883" t="inlineStr">
        <is>
          <t>Holmen skog AB</t>
        </is>
      </c>
      <c r="G7883" t="n">
        <v>11.8</v>
      </c>
      <c r="H7883" t="n">
        <v>0</v>
      </c>
      <c r="I7883" t="n">
        <v>0</v>
      </c>
      <c r="J7883" t="n">
        <v>0</v>
      </c>
      <c r="K7883" t="n">
        <v>0</v>
      </c>
      <c r="L7883" t="n">
        <v>0</v>
      </c>
      <c r="M7883" t="n">
        <v>0</v>
      </c>
      <c r="N7883" t="n">
        <v>0</v>
      </c>
      <c r="O7883" t="n">
        <v>0</v>
      </c>
      <c r="P7883" t="n">
        <v>0</v>
      </c>
      <c r="Q7883" t="n">
        <v>0</v>
      </c>
      <c r="R7883" s="2" t="inlineStr"/>
    </row>
    <row r="7884" ht="15" customHeight="1">
      <c r="A7884" t="inlineStr">
        <is>
          <t>A 326-2025</t>
        </is>
      </c>
      <c r="B7884" s="1" t="n">
        <v>45660.65653935185</v>
      </c>
      <c r="C7884" s="1" t="n">
        <v>46093</v>
      </c>
      <c r="D7884" t="inlineStr">
        <is>
          <t>VÄSTERNORRLANDS LÄN</t>
        </is>
      </c>
      <c r="E7884" t="inlineStr">
        <is>
          <t>SOLLEFTEÅ</t>
        </is>
      </c>
      <c r="F7884" t="inlineStr">
        <is>
          <t>SCA</t>
        </is>
      </c>
      <c r="G7884" t="n">
        <v>5.1</v>
      </c>
      <c r="H7884" t="n">
        <v>0</v>
      </c>
      <c r="I7884" t="n">
        <v>0</v>
      </c>
      <c r="J7884" t="n">
        <v>0</v>
      </c>
      <c r="K7884" t="n">
        <v>0</v>
      </c>
      <c r="L7884" t="n">
        <v>0</v>
      </c>
      <c r="M7884" t="n">
        <v>0</v>
      </c>
      <c r="N7884" t="n">
        <v>0</v>
      </c>
      <c r="O7884" t="n">
        <v>0</v>
      </c>
      <c r="P7884" t="n">
        <v>0</v>
      </c>
      <c r="Q7884" t="n">
        <v>0</v>
      </c>
      <c r="R7884" s="2" t="inlineStr"/>
    </row>
    <row r="7885" ht="15" customHeight="1">
      <c r="A7885" t="inlineStr">
        <is>
          <t>A 58358-2022</t>
        </is>
      </c>
      <c r="B7885" s="1" t="n">
        <v>44901</v>
      </c>
      <c r="C7885" s="1" t="n">
        <v>46093</v>
      </c>
      <c r="D7885" t="inlineStr">
        <is>
          <t>VÄSTERNORRLANDS LÄN</t>
        </is>
      </c>
      <c r="E7885" t="inlineStr">
        <is>
          <t>ÖRNSKÖLDSVIK</t>
        </is>
      </c>
      <c r="F7885" t="inlineStr">
        <is>
          <t>Holmen skog AB</t>
        </is>
      </c>
      <c r="G7885" t="n">
        <v>2.4</v>
      </c>
      <c r="H7885" t="n">
        <v>0</v>
      </c>
      <c r="I7885" t="n">
        <v>0</v>
      </c>
      <c r="J7885" t="n">
        <v>0</v>
      </c>
      <c r="K7885" t="n">
        <v>0</v>
      </c>
      <c r="L7885" t="n">
        <v>0</v>
      </c>
      <c r="M7885" t="n">
        <v>0</v>
      </c>
      <c r="N7885" t="n">
        <v>0</v>
      </c>
      <c r="O7885" t="n">
        <v>0</v>
      </c>
      <c r="P7885" t="n">
        <v>0</v>
      </c>
      <c r="Q7885" t="n">
        <v>0</v>
      </c>
      <c r="R7885" s="2" t="inlineStr"/>
    </row>
    <row r="7886" ht="15" customHeight="1">
      <c r="A7886" t="inlineStr">
        <is>
          <t>A 56058-2025</t>
        </is>
      </c>
      <c r="B7886" s="1" t="n">
        <v>45973.63584490741</v>
      </c>
      <c r="C7886" s="1" t="n">
        <v>46093</v>
      </c>
      <c r="D7886" t="inlineStr">
        <is>
          <t>VÄSTERNORRLANDS LÄN</t>
        </is>
      </c>
      <c r="E7886" t="inlineStr">
        <is>
          <t>KRAMFORS</t>
        </is>
      </c>
      <c r="G7886" t="n">
        <v>4.8</v>
      </c>
      <c r="H7886" t="n">
        <v>0</v>
      </c>
      <c r="I7886" t="n">
        <v>0</v>
      </c>
      <c r="J7886" t="n">
        <v>0</v>
      </c>
      <c r="K7886" t="n">
        <v>0</v>
      </c>
      <c r="L7886" t="n">
        <v>0</v>
      </c>
      <c r="M7886" t="n">
        <v>0</v>
      </c>
      <c r="N7886" t="n">
        <v>0</v>
      </c>
      <c r="O7886" t="n">
        <v>0</v>
      </c>
      <c r="P7886" t="n">
        <v>0</v>
      </c>
      <c r="Q7886" t="n">
        <v>0</v>
      </c>
      <c r="R7886" s="2" t="inlineStr"/>
    </row>
    <row r="7887" ht="15" customHeight="1">
      <c r="A7887" t="inlineStr">
        <is>
          <t>A 345-2025</t>
        </is>
      </c>
      <c r="B7887" s="1" t="n">
        <v>45660.71949074074</v>
      </c>
      <c r="C7887" s="1" t="n">
        <v>46093</v>
      </c>
      <c r="D7887" t="inlineStr">
        <is>
          <t>VÄSTERNORRLANDS LÄN</t>
        </is>
      </c>
      <c r="E7887" t="inlineStr">
        <is>
          <t>KRAMFORS</t>
        </is>
      </c>
      <c r="G7887" t="n">
        <v>0.3</v>
      </c>
      <c r="H7887" t="n">
        <v>0</v>
      </c>
      <c r="I7887" t="n">
        <v>0</v>
      </c>
      <c r="J7887" t="n">
        <v>0</v>
      </c>
      <c r="K7887" t="n">
        <v>0</v>
      </c>
      <c r="L7887" t="n">
        <v>0</v>
      </c>
      <c r="M7887" t="n">
        <v>0</v>
      </c>
      <c r="N7887" t="n">
        <v>0</v>
      </c>
      <c r="O7887" t="n">
        <v>0</v>
      </c>
      <c r="P7887" t="n">
        <v>0</v>
      </c>
      <c r="Q7887" t="n">
        <v>0</v>
      </c>
      <c r="R7887" s="2" t="inlineStr"/>
    </row>
    <row r="7888" ht="15" customHeight="1">
      <c r="A7888" t="inlineStr">
        <is>
          <t>A 34473-2021</t>
        </is>
      </c>
      <c r="B7888" s="1" t="n">
        <v>44381.93096064815</v>
      </c>
      <c r="C7888" s="1" t="n">
        <v>46093</v>
      </c>
      <c r="D7888" t="inlineStr">
        <is>
          <t>VÄSTERNORRLANDS LÄN</t>
        </is>
      </c>
      <c r="E7888" t="inlineStr">
        <is>
          <t>SOLLEFTEÅ</t>
        </is>
      </c>
      <c r="F7888" t="inlineStr">
        <is>
          <t>SCA</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42201-2021</t>
        </is>
      </c>
      <c r="B7889" s="1" t="n">
        <v>44426</v>
      </c>
      <c r="C7889" s="1" t="n">
        <v>46093</v>
      </c>
      <c r="D7889" t="inlineStr">
        <is>
          <t>VÄSTERNORRLANDS LÄN</t>
        </is>
      </c>
      <c r="E7889" t="inlineStr">
        <is>
          <t>SUNDSVALL</t>
        </is>
      </c>
      <c r="G7889" t="n">
        <v>5.7</v>
      </c>
      <c r="H7889" t="n">
        <v>0</v>
      </c>
      <c r="I7889" t="n">
        <v>0</v>
      </c>
      <c r="J7889" t="n">
        <v>0</v>
      </c>
      <c r="K7889" t="n">
        <v>0</v>
      </c>
      <c r="L7889" t="n">
        <v>0</v>
      </c>
      <c r="M7889" t="n">
        <v>0</v>
      </c>
      <c r="N7889" t="n">
        <v>0</v>
      </c>
      <c r="O7889" t="n">
        <v>0</v>
      </c>
      <c r="P7889" t="n">
        <v>0</v>
      </c>
      <c r="Q7889" t="n">
        <v>0</v>
      </c>
      <c r="R7889" s="2" t="inlineStr"/>
    </row>
    <row r="7890" ht="15" customHeight="1">
      <c r="A7890" t="inlineStr">
        <is>
          <t>A 41287-2021</t>
        </is>
      </c>
      <c r="B7890" s="1" t="n">
        <v>44424</v>
      </c>
      <c r="C7890" s="1" t="n">
        <v>46093</v>
      </c>
      <c r="D7890" t="inlineStr">
        <is>
          <t>VÄSTERNORRLANDS LÄN</t>
        </is>
      </c>
      <c r="E7890" t="inlineStr">
        <is>
          <t>KRAMFORS</t>
        </is>
      </c>
      <c r="G7890" t="n">
        <v>3</v>
      </c>
      <c r="H7890" t="n">
        <v>0</v>
      </c>
      <c r="I7890" t="n">
        <v>0</v>
      </c>
      <c r="J7890" t="n">
        <v>0</v>
      </c>
      <c r="K7890" t="n">
        <v>0</v>
      </c>
      <c r="L7890" t="n">
        <v>0</v>
      </c>
      <c r="M7890" t="n">
        <v>0</v>
      </c>
      <c r="N7890" t="n">
        <v>0</v>
      </c>
      <c r="O7890" t="n">
        <v>0</v>
      </c>
      <c r="P7890" t="n">
        <v>0</v>
      </c>
      <c r="Q7890" t="n">
        <v>0</v>
      </c>
      <c r="R7890" s="2" t="inlineStr"/>
    </row>
    <row r="7891" ht="15" customHeight="1">
      <c r="A7891" t="inlineStr">
        <is>
          <t>A 1075-2024</t>
        </is>
      </c>
      <c r="B7891" s="1" t="n">
        <v>45301</v>
      </c>
      <c r="C7891" s="1" t="n">
        <v>46093</v>
      </c>
      <c r="D7891" t="inlineStr">
        <is>
          <t>VÄSTERNORRLANDS LÄN</t>
        </is>
      </c>
      <c r="E7891" t="inlineStr">
        <is>
          <t>KRAMFORS</t>
        </is>
      </c>
      <c r="G7891" t="n">
        <v>2.6</v>
      </c>
      <c r="H7891" t="n">
        <v>0</v>
      </c>
      <c r="I7891" t="n">
        <v>0</v>
      </c>
      <c r="J7891" t="n">
        <v>0</v>
      </c>
      <c r="K7891" t="n">
        <v>0</v>
      </c>
      <c r="L7891" t="n">
        <v>0</v>
      </c>
      <c r="M7891" t="n">
        <v>0</v>
      </c>
      <c r="N7891" t="n">
        <v>0</v>
      </c>
      <c r="O7891" t="n">
        <v>0</v>
      </c>
      <c r="P7891" t="n">
        <v>0</v>
      </c>
      <c r="Q7891" t="n">
        <v>0</v>
      </c>
      <c r="R7891" s="2" t="inlineStr"/>
    </row>
    <row r="7892" ht="15" customHeight="1">
      <c r="A7892" t="inlineStr">
        <is>
          <t>A 51735-2024</t>
        </is>
      </c>
      <c r="B7892" s="1" t="n">
        <v>45607.40127314815</v>
      </c>
      <c r="C7892" s="1" t="n">
        <v>46093</v>
      </c>
      <c r="D7892" t="inlineStr">
        <is>
          <t>VÄSTERNORRLANDS LÄN</t>
        </is>
      </c>
      <c r="E7892" t="inlineStr">
        <is>
          <t>SOLLEFTEÅ</t>
        </is>
      </c>
      <c r="G7892" t="n">
        <v>3.8</v>
      </c>
      <c r="H7892" t="n">
        <v>0</v>
      </c>
      <c r="I7892" t="n">
        <v>0</v>
      </c>
      <c r="J7892" t="n">
        <v>0</v>
      </c>
      <c r="K7892" t="n">
        <v>0</v>
      </c>
      <c r="L7892" t="n">
        <v>0</v>
      </c>
      <c r="M7892" t="n">
        <v>0</v>
      </c>
      <c r="N7892" t="n">
        <v>0</v>
      </c>
      <c r="O7892" t="n">
        <v>0</v>
      </c>
      <c r="P7892" t="n">
        <v>0</v>
      </c>
      <c r="Q7892" t="n">
        <v>0</v>
      </c>
      <c r="R7892" s="2" t="inlineStr"/>
    </row>
    <row r="7893" ht="15" customHeight="1">
      <c r="A7893" t="inlineStr">
        <is>
          <t>A 1148-2024</t>
        </is>
      </c>
      <c r="B7893" s="1" t="n">
        <v>45302</v>
      </c>
      <c r="C7893" s="1" t="n">
        <v>46093</v>
      </c>
      <c r="D7893" t="inlineStr">
        <is>
          <t>VÄSTERNORRLANDS LÄN</t>
        </is>
      </c>
      <c r="E7893" t="inlineStr">
        <is>
          <t>ÖRNSKÖLDSVIK</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45120-2022</t>
        </is>
      </c>
      <c r="B7894" s="1" t="n">
        <v>44843</v>
      </c>
      <c r="C7894" s="1" t="n">
        <v>46093</v>
      </c>
      <c r="D7894" t="inlineStr">
        <is>
          <t>VÄSTERNORRLANDS LÄN</t>
        </is>
      </c>
      <c r="E7894" t="inlineStr">
        <is>
          <t>SOLLEFTEÅ</t>
        </is>
      </c>
      <c r="F7894" t="inlineStr">
        <is>
          <t>SCA</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55933-2025</t>
        </is>
      </c>
      <c r="B7895" s="1" t="n">
        <v>45973.4406712963</v>
      </c>
      <c r="C7895" s="1" t="n">
        <v>46093</v>
      </c>
      <c r="D7895" t="inlineStr">
        <is>
          <t>VÄSTERNORRLANDS LÄN</t>
        </is>
      </c>
      <c r="E7895" t="inlineStr">
        <is>
          <t>ÖRNSKÖLDSVIK</t>
        </is>
      </c>
      <c r="F7895" t="inlineStr">
        <is>
          <t>Holmen skog AB</t>
        </is>
      </c>
      <c r="G7895" t="n">
        <v>4.8</v>
      </c>
      <c r="H7895" t="n">
        <v>0</v>
      </c>
      <c r="I7895" t="n">
        <v>0</v>
      </c>
      <c r="J7895" t="n">
        <v>0</v>
      </c>
      <c r="K7895" t="n">
        <v>0</v>
      </c>
      <c r="L7895" t="n">
        <v>0</v>
      </c>
      <c r="M7895" t="n">
        <v>0</v>
      </c>
      <c r="N7895" t="n">
        <v>0</v>
      </c>
      <c r="O7895" t="n">
        <v>0</v>
      </c>
      <c r="P7895" t="n">
        <v>0</v>
      </c>
      <c r="Q7895" t="n">
        <v>0</v>
      </c>
      <c r="R7895" s="2" t="inlineStr"/>
    </row>
    <row r="7896" ht="15" customHeight="1">
      <c r="A7896" t="inlineStr">
        <is>
          <t>A 55935-2025</t>
        </is>
      </c>
      <c r="B7896" s="1" t="n">
        <v>45973.44372685185</v>
      </c>
      <c r="C7896" s="1" t="n">
        <v>46093</v>
      </c>
      <c r="D7896" t="inlineStr">
        <is>
          <t>VÄSTERNORRLANDS LÄN</t>
        </is>
      </c>
      <c r="E7896" t="inlineStr">
        <is>
          <t>ÖRNSKÖLDSVIK</t>
        </is>
      </c>
      <c r="F7896" t="inlineStr">
        <is>
          <t>Holmen skog AB</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55904-2025</t>
        </is>
      </c>
      <c r="B7897" s="1" t="n">
        <v>45973.39056712963</v>
      </c>
      <c r="C7897" s="1" t="n">
        <v>46093</v>
      </c>
      <c r="D7897" t="inlineStr">
        <is>
          <t>VÄSTERNORRLANDS LÄN</t>
        </is>
      </c>
      <c r="E7897" t="inlineStr">
        <is>
          <t>ÖRNSKÖLDSVIK</t>
        </is>
      </c>
      <c r="F7897" t="inlineStr">
        <is>
          <t>Holmen skog AB</t>
        </is>
      </c>
      <c r="G7897" t="n">
        <v>1.8</v>
      </c>
      <c r="H7897" t="n">
        <v>0</v>
      </c>
      <c r="I7897" t="n">
        <v>0</v>
      </c>
      <c r="J7897" t="n">
        <v>0</v>
      </c>
      <c r="K7897" t="n">
        <v>0</v>
      </c>
      <c r="L7897" t="n">
        <v>0</v>
      </c>
      <c r="M7897" t="n">
        <v>0</v>
      </c>
      <c r="N7897" t="n">
        <v>0</v>
      </c>
      <c r="O7897" t="n">
        <v>0</v>
      </c>
      <c r="P7897" t="n">
        <v>0</v>
      </c>
      <c r="Q7897" t="n">
        <v>0</v>
      </c>
      <c r="R7897" s="2" t="inlineStr"/>
    </row>
    <row r="7898" ht="15" customHeight="1">
      <c r="A7898" t="inlineStr">
        <is>
          <t>A 56165-2022</t>
        </is>
      </c>
      <c r="B7898" s="1" t="n">
        <v>44889</v>
      </c>
      <c r="C7898" s="1" t="n">
        <v>46093</v>
      </c>
      <c r="D7898" t="inlineStr">
        <is>
          <t>VÄSTERNORRLANDS LÄN</t>
        </is>
      </c>
      <c r="E7898" t="inlineStr">
        <is>
          <t>HÄRNÖSAND</t>
        </is>
      </c>
      <c r="F7898" t="inlineStr">
        <is>
          <t>SCA</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56358-2025</t>
        </is>
      </c>
      <c r="B7899" s="1" t="n">
        <v>45974.66315972222</v>
      </c>
      <c r="C7899" s="1" t="n">
        <v>46093</v>
      </c>
      <c r="D7899" t="inlineStr">
        <is>
          <t>VÄSTERNORRLANDS LÄN</t>
        </is>
      </c>
      <c r="E7899" t="inlineStr">
        <is>
          <t>KRAMFORS</t>
        </is>
      </c>
      <c r="G7899" t="n">
        <v>5.3</v>
      </c>
      <c r="H7899" t="n">
        <v>0</v>
      </c>
      <c r="I7899" t="n">
        <v>0</v>
      </c>
      <c r="J7899" t="n">
        <v>0</v>
      </c>
      <c r="K7899" t="n">
        <v>0</v>
      </c>
      <c r="L7899" t="n">
        <v>0</v>
      </c>
      <c r="M7899" t="n">
        <v>0</v>
      </c>
      <c r="N7899" t="n">
        <v>0</v>
      </c>
      <c r="O7899" t="n">
        <v>0</v>
      </c>
      <c r="P7899" t="n">
        <v>0</v>
      </c>
      <c r="Q7899" t="n">
        <v>0</v>
      </c>
      <c r="R7899" s="2" t="inlineStr"/>
    </row>
    <row r="7900" ht="15" customHeight="1">
      <c r="A7900" t="inlineStr">
        <is>
          <t>A 56359-2025</t>
        </is>
      </c>
      <c r="B7900" s="1" t="n">
        <v>45974.66335648148</v>
      </c>
      <c r="C7900" s="1" t="n">
        <v>46093</v>
      </c>
      <c r="D7900" t="inlineStr">
        <is>
          <t>VÄSTERNORRLANDS LÄN</t>
        </is>
      </c>
      <c r="E7900" t="inlineStr">
        <is>
          <t>KRAMFORS</t>
        </is>
      </c>
      <c r="G7900" t="n">
        <v>5.3</v>
      </c>
      <c r="H7900" t="n">
        <v>0</v>
      </c>
      <c r="I7900" t="n">
        <v>0</v>
      </c>
      <c r="J7900" t="n">
        <v>0</v>
      </c>
      <c r="K7900" t="n">
        <v>0</v>
      </c>
      <c r="L7900" t="n">
        <v>0</v>
      </c>
      <c r="M7900" t="n">
        <v>0</v>
      </c>
      <c r="N7900" t="n">
        <v>0</v>
      </c>
      <c r="O7900" t="n">
        <v>0</v>
      </c>
      <c r="P7900" t="n">
        <v>0</v>
      </c>
      <c r="Q7900" t="n">
        <v>0</v>
      </c>
      <c r="R7900" s="2" t="inlineStr"/>
    </row>
    <row r="7901" ht="15" customHeight="1">
      <c r="A7901" t="inlineStr">
        <is>
          <t>A 45688-2022</t>
        </is>
      </c>
      <c r="B7901" s="1" t="n">
        <v>44845</v>
      </c>
      <c r="C7901" s="1" t="n">
        <v>46093</v>
      </c>
      <c r="D7901" t="inlineStr">
        <is>
          <t>VÄSTERNORRLANDS LÄN</t>
        </is>
      </c>
      <c r="E7901" t="inlineStr">
        <is>
          <t>TIMRÅ</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29270-2024</t>
        </is>
      </c>
      <c r="B7902" s="1" t="n">
        <v>45482.94979166667</v>
      </c>
      <c r="C7902" s="1" t="n">
        <v>46093</v>
      </c>
      <c r="D7902" t="inlineStr">
        <is>
          <t>VÄSTERNORRLANDS LÄN</t>
        </is>
      </c>
      <c r="E7902" t="inlineStr">
        <is>
          <t>ÅNGE</t>
        </is>
      </c>
      <c r="F7902" t="inlineStr">
        <is>
          <t>SCA</t>
        </is>
      </c>
      <c r="G7902" t="n">
        <v>2.1</v>
      </c>
      <c r="H7902" t="n">
        <v>0</v>
      </c>
      <c r="I7902" t="n">
        <v>0</v>
      </c>
      <c r="J7902" t="n">
        <v>0</v>
      </c>
      <c r="K7902" t="n">
        <v>0</v>
      </c>
      <c r="L7902" t="n">
        <v>0</v>
      </c>
      <c r="M7902" t="n">
        <v>0</v>
      </c>
      <c r="N7902" t="n">
        <v>0</v>
      </c>
      <c r="O7902" t="n">
        <v>0</v>
      </c>
      <c r="P7902" t="n">
        <v>0</v>
      </c>
      <c r="Q7902" t="n">
        <v>0</v>
      </c>
      <c r="R7902" s="2" t="inlineStr"/>
    </row>
    <row r="7903" ht="15" customHeight="1">
      <c r="A7903" t="inlineStr">
        <is>
          <t>A 56015-2025</t>
        </is>
      </c>
      <c r="B7903" s="1" t="n">
        <v>45973.5896412037</v>
      </c>
      <c r="C7903" s="1" t="n">
        <v>46093</v>
      </c>
      <c r="D7903" t="inlineStr">
        <is>
          <t>VÄSTERNORRLANDS LÄN</t>
        </is>
      </c>
      <c r="E7903" t="inlineStr">
        <is>
          <t>HÄRNÖSAND</t>
        </is>
      </c>
      <c r="G7903" t="n">
        <v>2.9</v>
      </c>
      <c r="H7903" t="n">
        <v>0</v>
      </c>
      <c r="I7903" t="n">
        <v>0</v>
      </c>
      <c r="J7903" t="n">
        <v>0</v>
      </c>
      <c r="K7903" t="n">
        <v>0</v>
      </c>
      <c r="L7903" t="n">
        <v>0</v>
      </c>
      <c r="M7903" t="n">
        <v>0</v>
      </c>
      <c r="N7903" t="n">
        <v>0</v>
      </c>
      <c r="O7903" t="n">
        <v>0</v>
      </c>
      <c r="P7903" t="n">
        <v>0</v>
      </c>
      <c r="Q7903" t="n">
        <v>0</v>
      </c>
      <c r="R7903" s="2" t="inlineStr"/>
    </row>
    <row r="7904" ht="15" customHeight="1">
      <c r="A7904" t="inlineStr">
        <is>
          <t>A 56020-2025</t>
        </is>
      </c>
      <c r="B7904" s="1" t="n">
        <v>45973.59460648148</v>
      </c>
      <c r="C7904" s="1" t="n">
        <v>46093</v>
      </c>
      <c r="D7904" t="inlineStr">
        <is>
          <t>VÄSTERNORRLANDS LÄN</t>
        </is>
      </c>
      <c r="E7904" t="inlineStr">
        <is>
          <t>SUNDSVALL</t>
        </is>
      </c>
      <c r="G7904" t="n">
        <v>2.5</v>
      </c>
      <c r="H7904" t="n">
        <v>0</v>
      </c>
      <c r="I7904" t="n">
        <v>0</v>
      </c>
      <c r="J7904" t="n">
        <v>0</v>
      </c>
      <c r="K7904" t="n">
        <v>0</v>
      </c>
      <c r="L7904" t="n">
        <v>0</v>
      </c>
      <c r="M7904" t="n">
        <v>0</v>
      </c>
      <c r="N7904" t="n">
        <v>0</v>
      </c>
      <c r="O7904" t="n">
        <v>0</v>
      </c>
      <c r="P7904" t="n">
        <v>0</v>
      </c>
      <c r="Q7904" t="n">
        <v>0</v>
      </c>
      <c r="R7904" s="2" t="inlineStr"/>
    </row>
    <row r="7905" ht="15" customHeight="1">
      <c r="A7905" t="inlineStr">
        <is>
          <t>A 29285-2024</t>
        </is>
      </c>
      <c r="B7905" s="1" t="n">
        <v>45483</v>
      </c>
      <c r="C7905" s="1" t="n">
        <v>46093</v>
      </c>
      <c r="D7905" t="inlineStr">
        <is>
          <t>VÄSTERNORRLANDS LÄN</t>
        </is>
      </c>
      <c r="E7905" t="inlineStr">
        <is>
          <t>KRAMFORS</t>
        </is>
      </c>
      <c r="G7905" t="n">
        <v>0.2</v>
      </c>
      <c r="H7905" t="n">
        <v>0</v>
      </c>
      <c r="I7905" t="n">
        <v>0</v>
      </c>
      <c r="J7905" t="n">
        <v>0</v>
      </c>
      <c r="K7905" t="n">
        <v>0</v>
      </c>
      <c r="L7905" t="n">
        <v>0</v>
      </c>
      <c r="M7905" t="n">
        <v>0</v>
      </c>
      <c r="N7905" t="n">
        <v>0</v>
      </c>
      <c r="O7905" t="n">
        <v>0</v>
      </c>
      <c r="P7905" t="n">
        <v>0</v>
      </c>
      <c r="Q7905" t="n">
        <v>0</v>
      </c>
      <c r="R7905" s="2" t="inlineStr"/>
    </row>
    <row r="7906" ht="15" customHeight="1">
      <c r="A7906" t="inlineStr">
        <is>
          <t>A 29298-2024</t>
        </is>
      </c>
      <c r="B7906" s="1" t="n">
        <v>45483</v>
      </c>
      <c r="C7906" s="1" t="n">
        <v>46093</v>
      </c>
      <c r="D7906" t="inlineStr">
        <is>
          <t>VÄSTERNORRLANDS LÄN</t>
        </is>
      </c>
      <c r="E7906" t="inlineStr">
        <is>
          <t>SUNDSVALL</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55773-2025</t>
        </is>
      </c>
      <c r="B7907" s="1" t="n">
        <v>45972.61591435185</v>
      </c>
      <c r="C7907" s="1" t="n">
        <v>46093</v>
      </c>
      <c r="D7907" t="inlineStr">
        <is>
          <t>VÄSTERNORRLANDS LÄN</t>
        </is>
      </c>
      <c r="E7907" t="inlineStr">
        <is>
          <t>HÄRNÖSAND</t>
        </is>
      </c>
      <c r="F7907" t="inlineStr">
        <is>
          <t>SCA</t>
        </is>
      </c>
      <c r="G7907" t="n">
        <v>12.2</v>
      </c>
      <c r="H7907" t="n">
        <v>0</v>
      </c>
      <c r="I7907" t="n">
        <v>0</v>
      </c>
      <c r="J7907" t="n">
        <v>0</v>
      </c>
      <c r="K7907" t="n">
        <v>0</v>
      </c>
      <c r="L7907" t="n">
        <v>0</v>
      </c>
      <c r="M7907" t="n">
        <v>0</v>
      </c>
      <c r="N7907" t="n">
        <v>0</v>
      </c>
      <c r="O7907" t="n">
        <v>0</v>
      </c>
      <c r="P7907" t="n">
        <v>0</v>
      </c>
      <c r="Q7907" t="n">
        <v>0</v>
      </c>
      <c r="R7907" s="2" t="inlineStr"/>
    </row>
    <row r="7908" ht="15" customHeight="1">
      <c r="A7908" t="inlineStr">
        <is>
          <t>A 36070-2021</t>
        </is>
      </c>
      <c r="B7908" s="1" t="n">
        <v>44386</v>
      </c>
      <c r="C7908" s="1" t="n">
        <v>46093</v>
      </c>
      <c r="D7908" t="inlineStr">
        <is>
          <t>VÄSTERNORRLANDS LÄN</t>
        </is>
      </c>
      <c r="E7908" t="inlineStr">
        <is>
          <t>ÖRNSKÖLDSVIK</t>
        </is>
      </c>
      <c r="G7908" t="n">
        <v>2</v>
      </c>
      <c r="H7908" t="n">
        <v>0</v>
      </c>
      <c r="I7908" t="n">
        <v>0</v>
      </c>
      <c r="J7908" t="n">
        <v>0</v>
      </c>
      <c r="K7908" t="n">
        <v>0</v>
      </c>
      <c r="L7908" t="n">
        <v>0</v>
      </c>
      <c r="M7908" t="n">
        <v>0</v>
      </c>
      <c r="N7908" t="n">
        <v>0</v>
      </c>
      <c r="O7908" t="n">
        <v>0</v>
      </c>
      <c r="P7908" t="n">
        <v>0</v>
      </c>
      <c r="Q7908" t="n">
        <v>0</v>
      </c>
      <c r="R7908" s="2" t="inlineStr"/>
    </row>
    <row r="7909" ht="15" customHeight="1">
      <c r="A7909" t="inlineStr">
        <is>
          <t>A 29696-2024</t>
        </is>
      </c>
      <c r="B7909" s="1" t="n">
        <v>45484.94524305555</v>
      </c>
      <c r="C7909" s="1" t="n">
        <v>46093</v>
      </c>
      <c r="D7909" t="inlineStr">
        <is>
          <t>VÄSTERNORRLANDS LÄN</t>
        </is>
      </c>
      <c r="E7909" t="inlineStr">
        <is>
          <t>ÅNGE</t>
        </is>
      </c>
      <c r="F7909" t="inlineStr">
        <is>
          <t>SCA</t>
        </is>
      </c>
      <c r="G7909" t="n">
        <v>2.7</v>
      </c>
      <c r="H7909" t="n">
        <v>0</v>
      </c>
      <c r="I7909" t="n">
        <v>0</v>
      </c>
      <c r="J7909" t="n">
        <v>0</v>
      </c>
      <c r="K7909" t="n">
        <v>0</v>
      </c>
      <c r="L7909" t="n">
        <v>0</v>
      </c>
      <c r="M7909" t="n">
        <v>0</v>
      </c>
      <c r="N7909" t="n">
        <v>0</v>
      </c>
      <c r="O7909" t="n">
        <v>0</v>
      </c>
      <c r="P7909" t="n">
        <v>0</v>
      </c>
      <c r="Q7909" t="n">
        <v>0</v>
      </c>
      <c r="R7909" s="2" t="inlineStr"/>
    </row>
    <row r="7910" ht="15" customHeight="1">
      <c r="A7910" t="inlineStr">
        <is>
          <t>A 29814-2022</t>
        </is>
      </c>
      <c r="B7910" s="1" t="n">
        <v>44755</v>
      </c>
      <c r="C7910" s="1" t="n">
        <v>46093</v>
      </c>
      <c r="D7910" t="inlineStr">
        <is>
          <t>VÄSTERNORRLANDS LÄN</t>
        </is>
      </c>
      <c r="E7910" t="inlineStr">
        <is>
          <t>HÄRNÖSAND</t>
        </is>
      </c>
      <c r="G7910" t="n">
        <v>2.7</v>
      </c>
      <c r="H7910" t="n">
        <v>0</v>
      </c>
      <c r="I7910" t="n">
        <v>0</v>
      </c>
      <c r="J7910" t="n">
        <v>0</v>
      </c>
      <c r="K7910" t="n">
        <v>0</v>
      </c>
      <c r="L7910" t="n">
        <v>0</v>
      </c>
      <c r="M7910" t="n">
        <v>0</v>
      </c>
      <c r="N7910" t="n">
        <v>0</v>
      </c>
      <c r="O7910" t="n">
        <v>0</v>
      </c>
      <c r="P7910" t="n">
        <v>0</v>
      </c>
      <c r="Q7910" t="n">
        <v>0</v>
      </c>
      <c r="R7910" s="2" t="inlineStr"/>
    </row>
    <row r="7911" ht="15" customHeight="1">
      <c r="A7911" t="inlineStr">
        <is>
          <t>A 55960-2025</t>
        </is>
      </c>
      <c r="B7911" s="1" t="n">
        <v>45973.47875</v>
      </c>
      <c r="C7911" s="1" t="n">
        <v>46093</v>
      </c>
      <c r="D7911" t="inlineStr">
        <is>
          <t>VÄSTERNORRLANDS LÄN</t>
        </is>
      </c>
      <c r="E7911" t="inlineStr">
        <is>
          <t>ÖRNSKÖLDSVIK</t>
        </is>
      </c>
      <c r="F7911" t="inlineStr">
        <is>
          <t>Holmen skog AB</t>
        </is>
      </c>
      <c r="G7911" t="n">
        <v>3.6</v>
      </c>
      <c r="H7911" t="n">
        <v>0</v>
      </c>
      <c r="I7911" t="n">
        <v>0</v>
      </c>
      <c r="J7911" t="n">
        <v>0</v>
      </c>
      <c r="K7911" t="n">
        <v>0</v>
      </c>
      <c r="L7911" t="n">
        <v>0</v>
      </c>
      <c r="M7911" t="n">
        <v>0</v>
      </c>
      <c r="N7911" t="n">
        <v>0</v>
      </c>
      <c r="O7911" t="n">
        <v>0</v>
      </c>
      <c r="P7911" t="n">
        <v>0</v>
      </c>
      <c r="Q7911" t="n">
        <v>0</v>
      </c>
      <c r="R7911" s="2" t="inlineStr"/>
    </row>
    <row r="7912" ht="15" customHeight="1">
      <c r="A7912" t="inlineStr">
        <is>
          <t>A 56393-2025</t>
        </is>
      </c>
      <c r="B7912" s="1" t="n">
        <v>45974.74042824074</v>
      </c>
      <c r="C7912" s="1" t="n">
        <v>46093</v>
      </c>
      <c r="D7912" t="inlineStr">
        <is>
          <t>VÄSTERNORRLANDS LÄN</t>
        </is>
      </c>
      <c r="E7912" t="inlineStr">
        <is>
          <t>SOLLEFTEÅ</t>
        </is>
      </c>
      <c r="F7912" t="inlineStr">
        <is>
          <t>Holmen skog AB</t>
        </is>
      </c>
      <c r="G7912" t="n">
        <v>6</v>
      </c>
      <c r="H7912" t="n">
        <v>0</v>
      </c>
      <c r="I7912" t="n">
        <v>0</v>
      </c>
      <c r="J7912" t="n">
        <v>0</v>
      </c>
      <c r="K7912" t="n">
        <v>0</v>
      </c>
      <c r="L7912" t="n">
        <v>0</v>
      </c>
      <c r="M7912" t="n">
        <v>0</v>
      </c>
      <c r="N7912" t="n">
        <v>0</v>
      </c>
      <c r="O7912" t="n">
        <v>0</v>
      </c>
      <c r="P7912" t="n">
        <v>0</v>
      </c>
      <c r="Q7912" t="n">
        <v>0</v>
      </c>
      <c r="R7912" s="2" t="inlineStr"/>
    </row>
    <row r="7913" ht="15" customHeight="1">
      <c r="A7913" t="inlineStr">
        <is>
          <t>A 56222-2025</t>
        </is>
      </c>
      <c r="B7913" s="1" t="n">
        <v>45974.50135416666</v>
      </c>
      <c r="C7913" s="1" t="n">
        <v>46093</v>
      </c>
      <c r="D7913" t="inlineStr">
        <is>
          <t>VÄSTERNORRLANDS LÄN</t>
        </is>
      </c>
      <c r="E7913" t="inlineStr">
        <is>
          <t>ÖRNSKÖLDSVIK</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25989-2021</t>
        </is>
      </c>
      <c r="B7914" s="1" t="n">
        <v>44344</v>
      </c>
      <c r="C7914" s="1" t="n">
        <v>46093</v>
      </c>
      <c r="D7914" t="inlineStr">
        <is>
          <t>VÄSTERNORRLANDS LÄN</t>
        </is>
      </c>
      <c r="E7914" t="inlineStr">
        <is>
          <t>SOLLEFTEÅ</t>
        </is>
      </c>
      <c r="G7914" t="n">
        <v>1.5</v>
      </c>
      <c r="H7914" t="n">
        <v>0</v>
      </c>
      <c r="I7914" t="n">
        <v>0</v>
      </c>
      <c r="J7914" t="n">
        <v>0</v>
      </c>
      <c r="K7914" t="n">
        <v>0</v>
      </c>
      <c r="L7914" t="n">
        <v>0</v>
      </c>
      <c r="M7914" t="n">
        <v>0</v>
      </c>
      <c r="N7914" t="n">
        <v>0</v>
      </c>
      <c r="O7914" t="n">
        <v>0</v>
      </c>
      <c r="P7914" t="n">
        <v>0</v>
      </c>
      <c r="Q7914" t="n">
        <v>0</v>
      </c>
      <c r="R7914" s="2" t="inlineStr"/>
    </row>
    <row r="7915" ht="15" customHeight="1">
      <c r="A7915" t="inlineStr">
        <is>
          <t>A 56223-2025</t>
        </is>
      </c>
      <c r="B7915" s="1" t="n">
        <v>45974.50142361111</v>
      </c>
      <c r="C7915" s="1" t="n">
        <v>46093</v>
      </c>
      <c r="D7915" t="inlineStr">
        <is>
          <t>VÄSTERNORRLANDS LÄN</t>
        </is>
      </c>
      <c r="E7915" t="inlineStr">
        <is>
          <t>ÖRNSKÖLDSVIK</t>
        </is>
      </c>
      <c r="G7915" t="n">
        <v>0.3</v>
      </c>
      <c r="H7915" t="n">
        <v>0</v>
      </c>
      <c r="I7915" t="n">
        <v>0</v>
      </c>
      <c r="J7915" t="n">
        <v>0</v>
      </c>
      <c r="K7915" t="n">
        <v>0</v>
      </c>
      <c r="L7915" t="n">
        <v>0</v>
      </c>
      <c r="M7915" t="n">
        <v>0</v>
      </c>
      <c r="N7915" t="n">
        <v>0</v>
      </c>
      <c r="O7915" t="n">
        <v>0</v>
      </c>
      <c r="P7915" t="n">
        <v>0</v>
      </c>
      <c r="Q7915" t="n">
        <v>0</v>
      </c>
      <c r="R7915" s="2" t="inlineStr"/>
    </row>
    <row r="7916" ht="15" customHeight="1">
      <c r="A7916" t="inlineStr">
        <is>
          <t>A 2108-2023</t>
        </is>
      </c>
      <c r="B7916" s="1" t="n">
        <v>44939.92412037037</v>
      </c>
      <c r="C7916" s="1" t="n">
        <v>46093</v>
      </c>
      <c r="D7916" t="inlineStr">
        <is>
          <t>VÄSTERNORRLANDS LÄN</t>
        </is>
      </c>
      <c r="E7916" t="inlineStr">
        <is>
          <t>SUNDSVALL</t>
        </is>
      </c>
      <c r="G7916" t="n">
        <v>2.5</v>
      </c>
      <c r="H7916" t="n">
        <v>0</v>
      </c>
      <c r="I7916" t="n">
        <v>0</v>
      </c>
      <c r="J7916" t="n">
        <v>0</v>
      </c>
      <c r="K7916" t="n">
        <v>0</v>
      </c>
      <c r="L7916" t="n">
        <v>0</v>
      </c>
      <c r="M7916" t="n">
        <v>0</v>
      </c>
      <c r="N7916" t="n">
        <v>0</v>
      </c>
      <c r="O7916" t="n">
        <v>0</v>
      </c>
      <c r="P7916" t="n">
        <v>0</v>
      </c>
      <c r="Q7916" t="n">
        <v>0</v>
      </c>
      <c r="R7916" s="2" t="inlineStr"/>
    </row>
    <row r="7917" ht="15" customHeight="1">
      <c r="A7917" t="inlineStr">
        <is>
          <t>A 42063-2022</t>
        </is>
      </c>
      <c r="B7917" s="1" t="n">
        <v>44830</v>
      </c>
      <c r="C7917" s="1" t="n">
        <v>46093</v>
      </c>
      <c r="D7917" t="inlineStr">
        <is>
          <t>VÄSTERNORRLANDS LÄN</t>
        </is>
      </c>
      <c r="E7917" t="inlineStr">
        <is>
          <t>KRAMFORS</t>
        </is>
      </c>
      <c r="G7917" t="n">
        <v>4.6</v>
      </c>
      <c r="H7917" t="n">
        <v>0</v>
      </c>
      <c r="I7917" t="n">
        <v>0</v>
      </c>
      <c r="J7917" t="n">
        <v>0</v>
      </c>
      <c r="K7917" t="n">
        <v>0</v>
      </c>
      <c r="L7917" t="n">
        <v>0</v>
      </c>
      <c r="M7917" t="n">
        <v>0</v>
      </c>
      <c r="N7917" t="n">
        <v>0</v>
      </c>
      <c r="O7917" t="n">
        <v>0</v>
      </c>
      <c r="P7917" t="n">
        <v>0</v>
      </c>
      <c r="Q7917" t="n">
        <v>0</v>
      </c>
      <c r="R7917" s="2" t="inlineStr"/>
    </row>
    <row r="7918" ht="15" customHeight="1">
      <c r="A7918" t="inlineStr">
        <is>
          <t>A 25999-2021</t>
        </is>
      </c>
      <c r="B7918" s="1" t="n">
        <v>44344</v>
      </c>
      <c r="C7918" s="1" t="n">
        <v>46093</v>
      </c>
      <c r="D7918" t="inlineStr">
        <is>
          <t>VÄSTERNORRLANDS LÄN</t>
        </is>
      </c>
      <c r="E7918" t="inlineStr">
        <is>
          <t>SOLLEFTEÅ</t>
        </is>
      </c>
      <c r="G7918" t="n">
        <v>2</v>
      </c>
      <c r="H7918" t="n">
        <v>0</v>
      </c>
      <c r="I7918" t="n">
        <v>0</v>
      </c>
      <c r="J7918" t="n">
        <v>0</v>
      </c>
      <c r="K7918" t="n">
        <v>0</v>
      </c>
      <c r="L7918" t="n">
        <v>0</v>
      </c>
      <c r="M7918" t="n">
        <v>0</v>
      </c>
      <c r="N7918" t="n">
        <v>0</v>
      </c>
      <c r="O7918" t="n">
        <v>0</v>
      </c>
      <c r="P7918" t="n">
        <v>0</v>
      </c>
      <c r="Q7918" t="n">
        <v>0</v>
      </c>
      <c r="R7918" s="2" t="inlineStr"/>
    </row>
    <row r="7919" ht="15" customHeight="1">
      <c r="A7919" t="inlineStr">
        <is>
          <t>A 65224-2023</t>
        </is>
      </c>
      <c r="B7919" s="1" t="n">
        <v>45289</v>
      </c>
      <c r="C7919" s="1" t="n">
        <v>46093</v>
      </c>
      <c r="D7919" t="inlineStr">
        <is>
          <t>VÄSTERNORRLANDS LÄN</t>
        </is>
      </c>
      <c r="E7919" t="inlineStr">
        <is>
          <t>HÄRNÖSAND</t>
        </is>
      </c>
      <c r="G7919" t="n">
        <v>2.6</v>
      </c>
      <c r="H7919" t="n">
        <v>0</v>
      </c>
      <c r="I7919" t="n">
        <v>0</v>
      </c>
      <c r="J7919" t="n">
        <v>0</v>
      </c>
      <c r="K7919" t="n">
        <v>0</v>
      </c>
      <c r="L7919" t="n">
        <v>0</v>
      </c>
      <c r="M7919" t="n">
        <v>0</v>
      </c>
      <c r="N7919" t="n">
        <v>0</v>
      </c>
      <c r="O7919" t="n">
        <v>0</v>
      </c>
      <c r="P7919" t="n">
        <v>0</v>
      </c>
      <c r="Q7919" t="n">
        <v>0</v>
      </c>
      <c r="R7919" s="2" t="inlineStr"/>
    </row>
    <row r="7920" ht="15" customHeight="1">
      <c r="A7920" t="inlineStr">
        <is>
          <t>A 56339-2025</t>
        </is>
      </c>
      <c r="B7920" s="1" t="n">
        <v>45974.64638888889</v>
      </c>
      <c r="C7920" s="1" t="n">
        <v>46093</v>
      </c>
      <c r="D7920" t="inlineStr">
        <is>
          <t>VÄSTERNORRLANDS LÄN</t>
        </is>
      </c>
      <c r="E7920" t="inlineStr">
        <is>
          <t>KRAMFORS</t>
        </is>
      </c>
      <c r="G7920" t="n">
        <v>3</v>
      </c>
      <c r="H7920" t="n">
        <v>0</v>
      </c>
      <c r="I7920" t="n">
        <v>0</v>
      </c>
      <c r="J7920" t="n">
        <v>0</v>
      </c>
      <c r="K7920" t="n">
        <v>0</v>
      </c>
      <c r="L7920" t="n">
        <v>0</v>
      </c>
      <c r="M7920" t="n">
        <v>0</v>
      </c>
      <c r="N7920" t="n">
        <v>0</v>
      </c>
      <c r="O7920" t="n">
        <v>0</v>
      </c>
      <c r="P7920" t="n">
        <v>0</v>
      </c>
      <c r="Q7920" t="n">
        <v>0</v>
      </c>
      <c r="R7920" s="2" t="inlineStr"/>
    </row>
    <row r="7921" ht="15" customHeight="1">
      <c r="A7921" t="inlineStr">
        <is>
          <t>A 55686-2025</t>
        </is>
      </c>
      <c r="B7921" s="1" t="n">
        <v>45972.42771990741</v>
      </c>
      <c r="C7921" s="1" t="n">
        <v>46093</v>
      </c>
      <c r="D7921" t="inlineStr">
        <is>
          <t>VÄSTERNORRLANDS LÄN</t>
        </is>
      </c>
      <c r="E7921" t="inlineStr">
        <is>
          <t>SOLLEFTEÅ</t>
        </is>
      </c>
      <c r="F7921" t="inlineStr">
        <is>
          <t>SCA</t>
        </is>
      </c>
      <c r="G7921" t="n">
        <v>1.7</v>
      </c>
      <c r="H7921" t="n">
        <v>0</v>
      </c>
      <c r="I7921" t="n">
        <v>0</v>
      </c>
      <c r="J7921" t="n">
        <v>0</v>
      </c>
      <c r="K7921" t="n">
        <v>0</v>
      </c>
      <c r="L7921" t="n">
        <v>0</v>
      </c>
      <c r="M7921" t="n">
        <v>0</v>
      </c>
      <c r="N7921" t="n">
        <v>0</v>
      </c>
      <c r="O7921" t="n">
        <v>0</v>
      </c>
      <c r="P7921" t="n">
        <v>0</v>
      </c>
      <c r="Q7921" t="n">
        <v>0</v>
      </c>
      <c r="R7921" s="2" t="inlineStr"/>
    </row>
    <row r="7922" ht="15" customHeight="1">
      <c r="A7922" t="inlineStr">
        <is>
          <t>A 45687-2022</t>
        </is>
      </c>
      <c r="B7922" s="1" t="n">
        <v>44845.92814814814</v>
      </c>
      <c r="C7922" s="1" t="n">
        <v>46093</v>
      </c>
      <c r="D7922" t="inlineStr">
        <is>
          <t>VÄSTERNORRLANDS LÄN</t>
        </is>
      </c>
      <c r="E7922" t="inlineStr">
        <is>
          <t>HÄRNÖSAND</t>
        </is>
      </c>
      <c r="G7922" t="n">
        <v>3.6</v>
      </c>
      <c r="H7922" t="n">
        <v>0</v>
      </c>
      <c r="I7922" t="n">
        <v>0</v>
      </c>
      <c r="J7922" t="n">
        <v>0</v>
      </c>
      <c r="K7922" t="n">
        <v>0</v>
      </c>
      <c r="L7922" t="n">
        <v>0</v>
      </c>
      <c r="M7922" t="n">
        <v>0</v>
      </c>
      <c r="N7922" t="n">
        <v>0</v>
      </c>
      <c r="O7922" t="n">
        <v>0</v>
      </c>
      <c r="P7922" t="n">
        <v>0</v>
      </c>
      <c r="Q7922" t="n">
        <v>0</v>
      </c>
      <c r="R7922" s="2" t="inlineStr"/>
    </row>
    <row r="7923" ht="15" customHeight="1">
      <c r="A7923" t="inlineStr">
        <is>
          <t>A 33242-2023</t>
        </is>
      </c>
      <c r="B7923" s="1" t="n">
        <v>45114</v>
      </c>
      <c r="C7923" s="1" t="n">
        <v>46093</v>
      </c>
      <c r="D7923" t="inlineStr">
        <is>
          <t>VÄSTERNORRLANDS LÄN</t>
        </is>
      </c>
      <c r="E7923" t="inlineStr">
        <is>
          <t>ÖRNSKÖLDSVIK</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56313-2025</t>
        </is>
      </c>
      <c r="B7924" s="1" t="n">
        <v>45974.62903935185</v>
      </c>
      <c r="C7924" s="1" t="n">
        <v>46093</v>
      </c>
      <c r="D7924" t="inlineStr">
        <is>
          <t>VÄSTERNORRLANDS LÄN</t>
        </is>
      </c>
      <c r="E7924" t="inlineStr">
        <is>
          <t>ÖRNSKÖLDSVIK</t>
        </is>
      </c>
      <c r="F7924" t="inlineStr">
        <is>
          <t>Holmen skog AB</t>
        </is>
      </c>
      <c r="G7924" t="n">
        <v>15.2</v>
      </c>
      <c r="H7924" t="n">
        <v>0</v>
      </c>
      <c r="I7924" t="n">
        <v>0</v>
      </c>
      <c r="J7924" t="n">
        <v>0</v>
      </c>
      <c r="K7924" t="n">
        <v>0</v>
      </c>
      <c r="L7924" t="n">
        <v>0</v>
      </c>
      <c r="M7924" t="n">
        <v>0</v>
      </c>
      <c r="N7924" t="n">
        <v>0</v>
      </c>
      <c r="O7924" t="n">
        <v>0</v>
      </c>
      <c r="P7924" t="n">
        <v>0</v>
      </c>
      <c r="Q7924" t="n">
        <v>0</v>
      </c>
      <c r="R7924" s="2" t="inlineStr"/>
    </row>
    <row r="7925" ht="15" customHeight="1">
      <c r="A7925" t="inlineStr">
        <is>
          <t>A 39399-2023</t>
        </is>
      </c>
      <c r="B7925" s="1" t="n">
        <v>45163</v>
      </c>
      <c r="C7925" s="1" t="n">
        <v>46093</v>
      </c>
      <c r="D7925" t="inlineStr">
        <is>
          <t>VÄSTERNORRLANDS LÄN</t>
        </is>
      </c>
      <c r="E7925" t="inlineStr">
        <is>
          <t>SOLLEFTEÅ</t>
        </is>
      </c>
      <c r="F7925" t="inlineStr">
        <is>
          <t>SCA</t>
        </is>
      </c>
      <c r="G7925" t="n">
        <v>2.5</v>
      </c>
      <c r="H7925" t="n">
        <v>0</v>
      </c>
      <c r="I7925" t="n">
        <v>0</v>
      </c>
      <c r="J7925" t="n">
        <v>0</v>
      </c>
      <c r="K7925" t="n">
        <v>0</v>
      </c>
      <c r="L7925" t="n">
        <v>0</v>
      </c>
      <c r="M7925" t="n">
        <v>0</v>
      </c>
      <c r="N7925" t="n">
        <v>0</v>
      </c>
      <c r="O7925" t="n">
        <v>0</v>
      </c>
      <c r="P7925" t="n">
        <v>0</v>
      </c>
      <c r="Q7925" t="n">
        <v>0</v>
      </c>
      <c r="R7925" s="2" t="inlineStr"/>
    </row>
    <row r="7926" ht="15" customHeight="1">
      <c r="A7926" t="inlineStr">
        <is>
          <t>A 436-2024</t>
        </is>
      </c>
      <c r="B7926" s="1" t="n">
        <v>45296.59412037037</v>
      </c>
      <c r="C7926" s="1" t="n">
        <v>46093</v>
      </c>
      <c r="D7926" t="inlineStr">
        <is>
          <t>VÄSTERNORRLANDS LÄN</t>
        </is>
      </c>
      <c r="E7926" t="inlineStr">
        <is>
          <t>ÖRNSKÖLDSVIK</t>
        </is>
      </c>
      <c r="F7926" t="inlineStr">
        <is>
          <t>Holmen skog AB</t>
        </is>
      </c>
      <c r="G7926" t="n">
        <v>4.1</v>
      </c>
      <c r="H7926" t="n">
        <v>0</v>
      </c>
      <c r="I7926" t="n">
        <v>0</v>
      </c>
      <c r="J7926" t="n">
        <v>0</v>
      </c>
      <c r="K7926" t="n">
        <v>0</v>
      </c>
      <c r="L7926" t="n">
        <v>0</v>
      </c>
      <c r="M7926" t="n">
        <v>0</v>
      </c>
      <c r="N7926" t="n">
        <v>0</v>
      </c>
      <c r="O7926" t="n">
        <v>0</v>
      </c>
      <c r="P7926" t="n">
        <v>0</v>
      </c>
      <c r="Q7926" t="n">
        <v>0</v>
      </c>
      <c r="R7926" s="2" t="inlineStr"/>
    </row>
    <row r="7927" ht="15" customHeight="1">
      <c r="A7927" t="inlineStr">
        <is>
          <t>A 55645-2025</t>
        </is>
      </c>
      <c r="B7927" s="1" t="n">
        <v>45972.36501157407</v>
      </c>
      <c r="C7927" s="1" t="n">
        <v>46093</v>
      </c>
      <c r="D7927" t="inlineStr">
        <is>
          <t>VÄSTERNORRLANDS LÄN</t>
        </is>
      </c>
      <c r="E7927" t="inlineStr">
        <is>
          <t>SUNDSVALL</t>
        </is>
      </c>
      <c r="F7927" t="inlineStr">
        <is>
          <t>SCA</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1818-2025</t>
        </is>
      </c>
      <c r="B7928" s="1" t="n">
        <v>45671</v>
      </c>
      <c r="C7928" s="1" t="n">
        <v>46093</v>
      </c>
      <c r="D7928" t="inlineStr">
        <is>
          <t>VÄSTERNORRLANDS LÄN</t>
        </is>
      </c>
      <c r="E7928" t="inlineStr">
        <is>
          <t>TIMRÅ</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55655-2025</t>
        </is>
      </c>
      <c r="B7929" s="1" t="n">
        <v>45972.38774305556</v>
      </c>
      <c r="C7929" s="1" t="n">
        <v>46093</v>
      </c>
      <c r="D7929" t="inlineStr">
        <is>
          <t>VÄSTERNORRLANDS LÄN</t>
        </is>
      </c>
      <c r="E7929" t="inlineStr">
        <is>
          <t>ÖRNSKÖLDSVIK</t>
        </is>
      </c>
      <c r="G7929" t="n">
        <v>8.9</v>
      </c>
      <c r="H7929" t="n">
        <v>0</v>
      </c>
      <c r="I7929" t="n">
        <v>0</v>
      </c>
      <c r="J7929" t="n">
        <v>0</v>
      </c>
      <c r="K7929" t="n">
        <v>0</v>
      </c>
      <c r="L7929" t="n">
        <v>0</v>
      </c>
      <c r="M7929" t="n">
        <v>0</v>
      </c>
      <c r="N7929" t="n">
        <v>0</v>
      </c>
      <c r="O7929" t="n">
        <v>0</v>
      </c>
      <c r="P7929" t="n">
        <v>0</v>
      </c>
      <c r="Q7929" t="n">
        <v>0</v>
      </c>
      <c r="R7929" s="2" t="inlineStr"/>
    </row>
    <row r="7930" ht="15" customHeight="1">
      <c r="A7930" t="inlineStr">
        <is>
          <t>A 33062-2022</t>
        </is>
      </c>
      <c r="B7930" s="1" t="n">
        <v>44785</v>
      </c>
      <c r="C7930" s="1" t="n">
        <v>46093</v>
      </c>
      <c r="D7930" t="inlineStr">
        <is>
          <t>VÄSTERNORRLANDS LÄN</t>
        </is>
      </c>
      <c r="E7930" t="inlineStr">
        <is>
          <t>ÅNGE</t>
        </is>
      </c>
      <c r="G7930" t="n">
        <v>0.5</v>
      </c>
      <c r="H7930" t="n">
        <v>0</v>
      </c>
      <c r="I7930" t="n">
        <v>0</v>
      </c>
      <c r="J7930" t="n">
        <v>0</v>
      </c>
      <c r="K7930" t="n">
        <v>0</v>
      </c>
      <c r="L7930" t="n">
        <v>0</v>
      </c>
      <c r="M7930" t="n">
        <v>0</v>
      </c>
      <c r="N7930" t="n">
        <v>0</v>
      </c>
      <c r="O7930" t="n">
        <v>0</v>
      </c>
      <c r="P7930" t="n">
        <v>0</v>
      </c>
      <c r="Q7930" t="n">
        <v>0</v>
      </c>
      <c r="R7930" s="2" t="inlineStr"/>
    </row>
    <row r="7931" ht="15" customHeight="1">
      <c r="A7931" t="inlineStr">
        <is>
          <t>A 16233-2021</t>
        </is>
      </c>
      <c r="B7931" s="1" t="n">
        <v>44287</v>
      </c>
      <c r="C7931" s="1" t="n">
        <v>46093</v>
      </c>
      <c r="D7931" t="inlineStr">
        <is>
          <t>VÄSTERNORRLANDS LÄN</t>
        </is>
      </c>
      <c r="E7931" t="inlineStr">
        <is>
          <t>HÄRNÖSAND</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56355-2025</t>
        </is>
      </c>
      <c r="B7932" s="1" t="n">
        <v>45974.65967592593</v>
      </c>
      <c r="C7932" s="1" t="n">
        <v>46093</v>
      </c>
      <c r="D7932" t="inlineStr">
        <is>
          <t>VÄSTERNORRLANDS LÄN</t>
        </is>
      </c>
      <c r="E7932" t="inlineStr">
        <is>
          <t>KRAMFORS</t>
        </is>
      </c>
      <c r="G7932" t="n">
        <v>3</v>
      </c>
      <c r="H7932" t="n">
        <v>0</v>
      </c>
      <c r="I7932" t="n">
        <v>0</v>
      </c>
      <c r="J7932" t="n">
        <v>0</v>
      </c>
      <c r="K7932" t="n">
        <v>0</v>
      </c>
      <c r="L7932" t="n">
        <v>0</v>
      </c>
      <c r="M7932" t="n">
        <v>0</v>
      </c>
      <c r="N7932" t="n">
        <v>0</v>
      </c>
      <c r="O7932" t="n">
        <v>0</v>
      </c>
      <c r="P7932" t="n">
        <v>0</v>
      </c>
      <c r="Q7932" t="n">
        <v>0</v>
      </c>
      <c r="R7932" s="2" t="inlineStr"/>
    </row>
    <row r="7933" ht="15" customHeight="1">
      <c r="A7933" t="inlineStr">
        <is>
          <t>A 55988-2025</t>
        </is>
      </c>
      <c r="B7933" s="1" t="n">
        <v>45973.55482638889</v>
      </c>
      <c r="C7933" s="1" t="n">
        <v>46093</v>
      </c>
      <c r="D7933" t="inlineStr">
        <is>
          <t>VÄSTERNORRLANDS LÄN</t>
        </is>
      </c>
      <c r="E7933" t="inlineStr">
        <is>
          <t>ÖRNSKÖLDSVIK</t>
        </is>
      </c>
      <c r="G7933" t="n">
        <v>4.9</v>
      </c>
      <c r="H7933" t="n">
        <v>0</v>
      </c>
      <c r="I7933" t="n">
        <v>0</v>
      </c>
      <c r="J7933" t="n">
        <v>0</v>
      </c>
      <c r="K7933" t="n">
        <v>0</v>
      </c>
      <c r="L7933" t="n">
        <v>0</v>
      </c>
      <c r="M7933" t="n">
        <v>0</v>
      </c>
      <c r="N7933" t="n">
        <v>0</v>
      </c>
      <c r="O7933" t="n">
        <v>0</v>
      </c>
      <c r="P7933" t="n">
        <v>0</v>
      </c>
      <c r="Q7933" t="n">
        <v>0</v>
      </c>
      <c r="R7933" s="2" t="inlineStr"/>
    </row>
    <row r="7934" ht="15" customHeight="1">
      <c r="A7934" t="inlineStr">
        <is>
          <t>A 18304-2022</t>
        </is>
      </c>
      <c r="B7934" s="1" t="n">
        <v>44685</v>
      </c>
      <c r="C7934" s="1" t="n">
        <v>46093</v>
      </c>
      <c r="D7934" t="inlineStr">
        <is>
          <t>VÄSTERNORRLANDS LÄN</t>
        </is>
      </c>
      <c r="E7934" t="inlineStr">
        <is>
          <t>SOLLEFTEÅ</t>
        </is>
      </c>
      <c r="G7934" t="n">
        <v>3.4</v>
      </c>
      <c r="H7934" t="n">
        <v>0</v>
      </c>
      <c r="I7934" t="n">
        <v>0</v>
      </c>
      <c r="J7934" t="n">
        <v>0</v>
      </c>
      <c r="K7934" t="n">
        <v>0</v>
      </c>
      <c r="L7934" t="n">
        <v>0</v>
      </c>
      <c r="M7934" t="n">
        <v>0</v>
      </c>
      <c r="N7934" t="n">
        <v>0</v>
      </c>
      <c r="O7934" t="n">
        <v>0</v>
      </c>
      <c r="P7934" t="n">
        <v>0</v>
      </c>
      <c r="Q7934" t="n">
        <v>0</v>
      </c>
      <c r="R7934" s="2" t="inlineStr"/>
    </row>
    <row r="7935" ht="15" customHeight="1">
      <c r="A7935" t="inlineStr">
        <is>
          <t>A 56074-2025</t>
        </is>
      </c>
      <c r="B7935" s="1" t="n">
        <v>45973.65700231482</v>
      </c>
      <c r="C7935" s="1" t="n">
        <v>46093</v>
      </c>
      <c r="D7935" t="inlineStr">
        <is>
          <t>VÄSTERNORRLANDS LÄN</t>
        </is>
      </c>
      <c r="E7935" t="inlineStr">
        <is>
          <t>SOLLEFTEÅ</t>
        </is>
      </c>
      <c r="F7935" t="inlineStr">
        <is>
          <t>SCA</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56075-2025</t>
        </is>
      </c>
      <c r="B7936" s="1" t="n">
        <v>45973.65723379629</v>
      </c>
      <c r="C7936" s="1" t="n">
        <v>46093</v>
      </c>
      <c r="D7936" t="inlineStr">
        <is>
          <t>VÄSTERNORRLANDS LÄN</t>
        </is>
      </c>
      <c r="E7936" t="inlineStr">
        <is>
          <t>SOLLEFTEÅ</t>
        </is>
      </c>
      <c r="F7936" t="inlineStr">
        <is>
          <t>SCA</t>
        </is>
      </c>
      <c r="G7936" t="n">
        <v>4.1</v>
      </c>
      <c r="H7936" t="n">
        <v>0</v>
      </c>
      <c r="I7936" t="n">
        <v>0</v>
      </c>
      <c r="J7936" t="n">
        <v>0</v>
      </c>
      <c r="K7936" t="n">
        <v>0</v>
      </c>
      <c r="L7936" t="n">
        <v>0</v>
      </c>
      <c r="M7936" t="n">
        <v>0</v>
      </c>
      <c r="N7936" t="n">
        <v>0</v>
      </c>
      <c r="O7936" t="n">
        <v>0</v>
      </c>
      <c r="P7936" t="n">
        <v>0</v>
      </c>
      <c r="Q7936" t="n">
        <v>0</v>
      </c>
      <c r="R7936" s="2" t="inlineStr"/>
    </row>
    <row r="7937" ht="15" customHeight="1">
      <c r="A7937" t="inlineStr">
        <is>
          <t>A 56077-2025</t>
        </is>
      </c>
      <c r="B7937" s="1" t="n">
        <v>45973.65759259259</v>
      </c>
      <c r="C7937" s="1" t="n">
        <v>46093</v>
      </c>
      <c r="D7937" t="inlineStr">
        <is>
          <t>VÄSTERNORRLANDS LÄN</t>
        </is>
      </c>
      <c r="E7937" t="inlineStr">
        <is>
          <t>ÅNGE</t>
        </is>
      </c>
      <c r="F7937" t="inlineStr">
        <is>
          <t>SCA</t>
        </is>
      </c>
      <c r="G7937" t="n">
        <v>4.5</v>
      </c>
      <c r="H7937" t="n">
        <v>0</v>
      </c>
      <c r="I7937" t="n">
        <v>0</v>
      </c>
      <c r="J7937" t="n">
        <v>0</v>
      </c>
      <c r="K7937" t="n">
        <v>0</v>
      </c>
      <c r="L7937" t="n">
        <v>0</v>
      </c>
      <c r="M7937" t="n">
        <v>0</v>
      </c>
      <c r="N7937" t="n">
        <v>0</v>
      </c>
      <c r="O7937" t="n">
        <v>0</v>
      </c>
      <c r="P7937" t="n">
        <v>0</v>
      </c>
      <c r="Q7937" t="n">
        <v>0</v>
      </c>
      <c r="R7937" s="2" t="inlineStr"/>
    </row>
    <row r="7938" ht="15" customHeight="1">
      <c r="A7938" t="inlineStr">
        <is>
          <t>A 55819-2025</t>
        </is>
      </c>
      <c r="B7938" s="1" t="n">
        <v>45972</v>
      </c>
      <c r="C7938" s="1" t="n">
        <v>46093</v>
      </c>
      <c r="D7938" t="inlineStr">
        <is>
          <t>VÄSTERNORRLANDS LÄN</t>
        </is>
      </c>
      <c r="E7938" t="inlineStr">
        <is>
          <t>SOLLEFTEÅ</t>
        </is>
      </c>
      <c r="F7938" t="inlineStr">
        <is>
          <t>SCA</t>
        </is>
      </c>
      <c r="G7938" t="n">
        <v>6</v>
      </c>
      <c r="H7938" t="n">
        <v>0</v>
      </c>
      <c r="I7938" t="n">
        <v>0</v>
      </c>
      <c r="J7938" t="n">
        <v>0</v>
      </c>
      <c r="K7938" t="n">
        <v>0</v>
      </c>
      <c r="L7938" t="n">
        <v>0</v>
      </c>
      <c r="M7938" t="n">
        <v>0</v>
      </c>
      <c r="N7938" t="n">
        <v>0</v>
      </c>
      <c r="O7938" t="n">
        <v>0</v>
      </c>
      <c r="P7938" t="n">
        <v>0</v>
      </c>
      <c r="Q7938" t="n">
        <v>0</v>
      </c>
      <c r="R7938" s="2" t="inlineStr"/>
    </row>
    <row r="7939" ht="15" customHeight="1">
      <c r="A7939" t="inlineStr">
        <is>
          <t>A 55862-2025</t>
        </is>
      </c>
      <c r="B7939" s="1" t="n">
        <v>45973.34611111111</v>
      </c>
      <c r="C7939" s="1" t="n">
        <v>46093</v>
      </c>
      <c r="D7939" t="inlineStr">
        <is>
          <t>VÄSTERNORRLANDS LÄN</t>
        </is>
      </c>
      <c r="E7939" t="inlineStr">
        <is>
          <t>ÖRNSKÖLDSVIK</t>
        </is>
      </c>
      <c r="F7939" t="inlineStr">
        <is>
          <t>Holmen skog AB</t>
        </is>
      </c>
      <c r="G7939" t="n">
        <v>2</v>
      </c>
      <c r="H7939" t="n">
        <v>0</v>
      </c>
      <c r="I7939" t="n">
        <v>0</v>
      </c>
      <c r="J7939" t="n">
        <v>0</v>
      </c>
      <c r="K7939" t="n">
        <v>0</v>
      </c>
      <c r="L7939" t="n">
        <v>0</v>
      </c>
      <c r="M7939" t="n">
        <v>0</v>
      </c>
      <c r="N7939" t="n">
        <v>0</v>
      </c>
      <c r="O7939" t="n">
        <v>0</v>
      </c>
      <c r="P7939" t="n">
        <v>0</v>
      </c>
      <c r="Q7939" t="n">
        <v>0</v>
      </c>
      <c r="R7939" s="2" t="inlineStr"/>
    </row>
    <row r="7940" ht="15" customHeight="1">
      <c r="A7940" t="inlineStr">
        <is>
          <t>A 55816-2025</t>
        </is>
      </c>
      <c r="B7940" s="1" t="n">
        <v>45972.69851851852</v>
      </c>
      <c r="C7940" s="1" t="n">
        <v>46093</v>
      </c>
      <c r="D7940" t="inlineStr">
        <is>
          <t>VÄSTERNORRLANDS LÄN</t>
        </is>
      </c>
      <c r="E7940" t="inlineStr">
        <is>
          <t>ÅNGE</t>
        </is>
      </c>
      <c r="F7940" t="inlineStr">
        <is>
          <t>SCA</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34605-2021</t>
        </is>
      </c>
      <c r="B7941" s="1" t="n">
        <v>44379</v>
      </c>
      <c r="C7941" s="1" t="n">
        <v>46093</v>
      </c>
      <c r="D7941" t="inlineStr">
        <is>
          <t>VÄSTERNORRLANDS LÄN</t>
        </is>
      </c>
      <c r="E7941" t="inlineStr">
        <is>
          <t>SUNDSVALL</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46021-2022</t>
        </is>
      </c>
      <c r="B7942" s="1" t="n">
        <v>44846</v>
      </c>
      <c r="C7942" s="1" t="n">
        <v>46093</v>
      </c>
      <c r="D7942" t="inlineStr">
        <is>
          <t>VÄSTERNORRLANDS LÄN</t>
        </is>
      </c>
      <c r="E7942" t="inlineStr">
        <is>
          <t>TIMRÅ</t>
        </is>
      </c>
      <c r="F7942" t="inlineStr">
        <is>
          <t>Kyrkan</t>
        </is>
      </c>
      <c r="G7942" t="n">
        <v>18</v>
      </c>
      <c r="H7942" t="n">
        <v>0</v>
      </c>
      <c r="I7942" t="n">
        <v>0</v>
      </c>
      <c r="J7942" t="n">
        <v>0</v>
      </c>
      <c r="K7942" t="n">
        <v>0</v>
      </c>
      <c r="L7942" t="n">
        <v>0</v>
      </c>
      <c r="M7942" t="n">
        <v>0</v>
      </c>
      <c r="N7942" t="n">
        <v>0</v>
      </c>
      <c r="O7942" t="n">
        <v>0</v>
      </c>
      <c r="P7942" t="n">
        <v>0</v>
      </c>
      <c r="Q7942" t="n">
        <v>0</v>
      </c>
      <c r="R7942" s="2" t="inlineStr"/>
    </row>
    <row r="7943" ht="15" customHeight="1">
      <c r="A7943" t="inlineStr">
        <is>
          <t>A 55994-2025</t>
        </is>
      </c>
      <c r="B7943" s="1" t="n">
        <v>45973.56327546296</v>
      </c>
      <c r="C7943" s="1" t="n">
        <v>46093</v>
      </c>
      <c r="D7943" t="inlineStr">
        <is>
          <t>VÄSTERNORRLANDS LÄN</t>
        </is>
      </c>
      <c r="E7943" t="inlineStr">
        <is>
          <t>ÖRNSKÖLDSVIK</t>
        </is>
      </c>
      <c r="G7943" t="n">
        <v>4.4</v>
      </c>
      <c r="H7943" t="n">
        <v>0</v>
      </c>
      <c r="I7943" t="n">
        <v>0</v>
      </c>
      <c r="J7943" t="n">
        <v>0</v>
      </c>
      <c r="K7943" t="n">
        <v>0</v>
      </c>
      <c r="L7943" t="n">
        <v>0</v>
      </c>
      <c r="M7943" t="n">
        <v>0</v>
      </c>
      <c r="N7943" t="n">
        <v>0</v>
      </c>
      <c r="O7943" t="n">
        <v>0</v>
      </c>
      <c r="P7943" t="n">
        <v>0</v>
      </c>
      <c r="Q7943" t="n">
        <v>0</v>
      </c>
      <c r="R7943" s="2" t="inlineStr"/>
    </row>
    <row r="7944" ht="15" customHeight="1">
      <c r="A7944" t="inlineStr">
        <is>
          <t>A 45778-2024</t>
        </is>
      </c>
      <c r="B7944" s="1" t="n">
        <v>45579.66471064815</v>
      </c>
      <c r="C7944" s="1" t="n">
        <v>46093</v>
      </c>
      <c r="D7944" t="inlineStr">
        <is>
          <t>VÄSTERNORRLANDS LÄN</t>
        </is>
      </c>
      <c r="E7944" t="inlineStr">
        <is>
          <t>SOLLEFTEÅ</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56153-2025</t>
        </is>
      </c>
      <c r="B7945" s="1" t="n">
        <v>45974.36501157407</v>
      </c>
      <c r="C7945" s="1" t="n">
        <v>46093</v>
      </c>
      <c r="D7945" t="inlineStr">
        <is>
          <t>VÄSTERNORRLANDS LÄN</t>
        </is>
      </c>
      <c r="E7945" t="inlineStr">
        <is>
          <t>ÖRNSKÖLDSVIK</t>
        </is>
      </c>
      <c r="F7945" t="inlineStr">
        <is>
          <t>SCA</t>
        </is>
      </c>
      <c r="G7945" t="n">
        <v>1.3</v>
      </c>
      <c r="H7945" t="n">
        <v>0</v>
      </c>
      <c r="I7945" t="n">
        <v>0</v>
      </c>
      <c r="J7945" t="n">
        <v>0</v>
      </c>
      <c r="K7945" t="n">
        <v>0</v>
      </c>
      <c r="L7945" t="n">
        <v>0</v>
      </c>
      <c r="M7945" t="n">
        <v>0</v>
      </c>
      <c r="N7945" t="n">
        <v>0</v>
      </c>
      <c r="O7945" t="n">
        <v>0</v>
      </c>
      <c r="P7945" t="n">
        <v>0</v>
      </c>
      <c r="Q7945" t="n">
        <v>0</v>
      </c>
      <c r="R7945" s="2" t="inlineStr"/>
    </row>
    <row r="7946" ht="15" customHeight="1">
      <c r="A7946" t="inlineStr">
        <is>
          <t>A 45801-2024</t>
        </is>
      </c>
      <c r="B7946" s="1" t="n">
        <v>45579.67798611111</v>
      </c>
      <c r="C7946" s="1" t="n">
        <v>46093</v>
      </c>
      <c r="D7946" t="inlineStr">
        <is>
          <t>VÄSTERNORRLANDS LÄN</t>
        </is>
      </c>
      <c r="E7946" t="inlineStr">
        <is>
          <t>SOLLEFTEÅ</t>
        </is>
      </c>
      <c r="F7946" t="inlineStr">
        <is>
          <t>SCA</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45802-2024</t>
        </is>
      </c>
      <c r="B7947" s="1" t="n">
        <v>45579.67818287037</v>
      </c>
      <c r="C7947" s="1" t="n">
        <v>46093</v>
      </c>
      <c r="D7947" t="inlineStr">
        <is>
          <t>VÄSTERNORRLANDS LÄN</t>
        </is>
      </c>
      <c r="E7947" t="inlineStr">
        <is>
          <t>SOLLEFTEÅ</t>
        </is>
      </c>
      <c r="F7947" t="inlineStr">
        <is>
          <t>SCA</t>
        </is>
      </c>
      <c r="G7947" t="n">
        <v>2.4</v>
      </c>
      <c r="H7947" t="n">
        <v>0</v>
      </c>
      <c r="I7947" t="n">
        <v>0</v>
      </c>
      <c r="J7947" t="n">
        <v>0</v>
      </c>
      <c r="K7947" t="n">
        <v>0</v>
      </c>
      <c r="L7947" t="n">
        <v>0</v>
      </c>
      <c r="M7947" t="n">
        <v>0</v>
      </c>
      <c r="N7947" t="n">
        <v>0</v>
      </c>
      <c r="O7947" t="n">
        <v>0</v>
      </c>
      <c r="P7947" t="n">
        <v>0</v>
      </c>
      <c r="Q7947" t="n">
        <v>0</v>
      </c>
      <c r="R7947" s="2" t="inlineStr"/>
    </row>
    <row r="7948" ht="15" customHeight="1">
      <c r="A7948" t="inlineStr">
        <is>
          <t>A 45826-2024</t>
        </is>
      </c>
      <c r="B7948" s="1" t="n">
        <v>45579.82322916666</v>
      </c>
      <c r="C7948" s="1" t="n">
        <v>46093</v>
      </c>
      <c r="D7948" t="inlineStr">
        <is>
          <t>VÄSTERNORRLANDS LÄN</t>
        </is>
      </c>
      <c r="E7948" t="inlineStr">
        <is>
          <t>ÖRNSKÖLDSVIK</t>
        </is>
      </c>
      <c r="F7948" t="inlineStr">
        <is>
          <t>Holmen skog AB</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40867-2023</t>
        </is>
      </c>
      <c r="B7949" s="1" t="n">
        <v>45173.35430555556</v>
      </c>
      <c r="C7949" s="1" t="n">
        <v>46093</v>
      </c>
      <c r="D7949" t="inlineStr">
        <is>
          <t>VÄSTERNORRLANDS LÄN</t>
        </is>
      </c>
      <c r="E7949" t="inlineStr">
        <is>
          <t>ÖRNSKÖLDSVIK</t>
        </is>
      </c>
      <c r="F7949" t="inlineStr">
        <is>
          <t>Holmen skog AB</t>
        </is>
      </c>
      <c r="G7949" t="n">
        <v>0.4</v>
      </c>
      <c r="H7949" t="n">
        <v>0</v>
      </c>
      <c r="I7949" t="n">
        <v>0</v>
      </c>
      <c r="J7949" t="n">
        <v>0</v>
      </c>
      <c r="K7949" t="n">
        <v>0</v>
      </c>
      <c r="L7949" t="n">
        <v>0</v>
      </c>
      <c r="M7949" t="n">
        <v>0</v>
      </c>
      <c r="N7949" t="n">
        <v>0</v>
      </c>
      <c r="O7949" t="n">
        <v>0</v>
      </c>
      <c r="P7949" t="n">
        <v>0</v>
      </c>
      <c r="Q7949" t="n">
        <v>0</v>
      </c>
      <c r="R7949" s="2" t="inlineStr"/>
    </row>
    <row r="7950" ht="15" customHeight="1">
      <c r="A7950" t="inlineStr">
        <is>
          <t>A 55954-2025</t>
        </is>
      </c>
      <c r="B7950" s="1" t="n">
        <v>45973.47315972222</v>
      </c>
      <c r="C7950" s="1" t="n">
        <v>46093</v>
      </c>
      <c r="D7950" t="inlineStr">
        <is>
          <t>VÄSTERNORRLANDS LÄN</t>
        </is>
      </c>
      <c r="E7950" t="inlineStr">
        <is>
          <t>ÖRNSKÖLDSVIK</t>
        </is>
      </c>
      <c r="F7950" t="inlineStr">
        <is>
          <t>Holmen skog AB</t>
        </is>
      </c>
      <c r="G7950" t="n">
        <v>12.4</v>
      </c>
      <c r="H7950" t="n">
        <v>0</v>
      </c>
      <c r="I7950" t="n">
        <v>0</v>
      </c>
      <c r="J7950" t="n">
        <v>0</v>
      </c>
      <c r="K7950" t="n">
        <v>0</v>
      </c>
      <c r="L7950" t="n">
        <v>0</v>
      </c>
      <c r="M7950" t="n">
        <v>0</v>
      </c>
      <c r="N7950" t="n">
        <v>0</v>
      </c>
      <c r="O7950" t="n">
        <v>0</v>
      </c>
      <c r="P7950" t="n">
        <v>0</v>
      </c>
      <c r="Q7950" t="n">
        <v>0</v>
      </c>
      <c r="R7950" s="2" t="inlineStr"/>
    </row>
    <row r="7951" ht="15" customHeight="1">
      <c r="A7951" t="inlineStr">
        <is>
          <t>A 56013-2025</t>
        </is>
      </c>
      <c r="B7951" s="1" t="n">
        <v>45973.58887731482</v>
      </c>
      <c r="C7951" s="1" t="n">
        <v>46093</v>
      </c>
      <c r="D7951" t="inlineStr">
        <is>
          <t>VÄSTERNORRLANDS LÄN</t>
        </is>
      </c>
      <c r="E7951" t="inlineStr">
        <is>
          <t>ÖRNSKÖLDSVIK</t>
        </is>
      </c>
      <c r="G7951" t="n">
        <v>2.2</v>
      </c>
      <c r="H7951" t="n">
        <v>0</v>
      </c>
      <c r="I7951" t="n">
        <v>0</v>
      </c>
      <c r="J7951" t="n">
        <v>0</v>
      </c>
      <c r="K7951" t="n">
        <v>0</v>
      </c>
      <c r="L7951" t="n">
        <v>0</v>
      </c>
      <c r="M7951" t="n">
        <v>0</v>
      </c>
      <c r="N7951" t="n">
        <v>0</v>
      </c>
      <c r="O7951" t="n">
        <v>0</v>
      </c>
      <c r="P7951" t="n">
        <v>0</v>
      </c>
      <c r="Q7951" t="n">
        <v>0</v>
      </c>
      <c r="R7951" s="2" t="inlineStr"/>
    </row>
    <row r="7952" ht="15" customHeight="1">
      <c r="A7952" t="inlineStr">
        <is>
          <t>A 56019-2025</t>
        </is>
      </c>
      <c r="B7952" s="1" t="n">
        <v>45973.594375</v>
      </c>
      <c r="C7952" s="1" t="n">
        <v>46093</v>
      </c>
      <c r="D7952" t="inlineStr">
        <is>
          <t>VÄSTERNORRLANDS LÄN</t>
        </is>
      </c>
      <c r="E7952" t="inlineStr">
        <is>
          <t>SUNDSVALL</t>
        </is>
      </c>
      <c r="F7952" t="inlineStr">
        <is>
          <t>SCA</t>
        </is>
      </c>
      <c r="G7952" t="n">
        <v>1.9</v>
      </c>
      <c r="H7952" t="n">
        <v>0</v>
      </c>
      <c r="I7952" t="n">
        <v>0</v>
      </c>
      <c r="J7952" t="n">
        <v>0</v>
      </c>
      <c r="K7952" t="n">
        <v>0</v>
      </c>
      <c r="L7952" t="n">
        <v>0</v>
      </c>
      <c r="M7952" t="n">
        <v>0</v>
      </c>
      <c r="N7952" t="n">
        <v>0</v>
      </c>
      <c r="O7952" t="n">
        <v>0</v>
      </c>
      <c r="P7952" t="n">
        <v>0</v>
      </c>
      <c r="Q7952" t="n">
        <v>0</v>
      </c>
      <c r="R7952" s="2" t="inlineStr"/>
    </row>
    <row r="7953" ht="15" customHeight="1">
      <c r="A7953" t="inlineStr">
        <is>
          <t>A 56053-2025</t>
        </is>
      </c>
      <c r="B7953" s="1" t="n">
        <v>45973.63196759259</v>
      </c>
      <c r="C7953" s="1" t="n">
        <v>46093</v>
      </c>
      <c r="D7953" t="inlineStr">
        <is>
          <t>VÄSTERNORRLANDS LÄN</t>
        </is>
      </c>
      <c r="E7953" t="inlineStr">
        <is>
          <t>ÖRNSKÖLDSVIK</t>
        </is>
      </c>
      <c r="F7953" t="inlineStr">
        <is>
          <t>Holmen skog AB</t>
        </is>
      </c>
      <c r="G7953" t="n">
        <v>0.2</v>
      </c>
      <c r="H7953" t="n">
        <v>0</v>
      </c>
      <c r="I7953" t="n">
        <v>0</v>
      </c>
      <c r="J7953" t="n">
        <v>0</v>
      </c>
      <c r="K7953" t="n">
        <v>0</v>
      </c>
      <c r="L7953" t="n">
        <v>0</v>
      </c>
      <c r="M7953" t="n">
        <v>0</v>
      </c>
      <c r="N7953" t="n">
        <v>0</v>
      </c>
      <c r="O7953" t="n">
        <v>0</v>
      </c>
      <c r="P7953" t="n">
        <v>0</v>
      </c>
      <c r="Q7953" t="n">
        <v>0</v>
      </c>
      <c r="R7953" s="2" t="inlineStr"/>
    </row>
    <row r="7954" ht="15" customHeight="1">
      <c r="A7954" t="inlineStr">
        <is>
          <t>A 12106-2025</t>
        </is>
      </c>
      <c r="B7954" s="1" t="n">
        <v>45729.34443287037</v>
      </c>
      <c r="C7954" s="1" t="n">
        <v>46093</v>
      </c>
      <c r="D7954" t="inlineStr">
        <is>
          <t>VÄSTERNORRLANDS LÄN</t>
        </is>
      </c>
      <c r="E7954" t="inlineStr">
        <is>
          <t>KRAMFORS</t>
        </is>
      </c>
      <c r="G7954" t="n">
        <v>4.6</v>
      </c>
      <c r="H7954" t="n">
        <v>0</v>
      </c>
      <c r="I7954" t="n">
        <v>0</v>
      </c>
      <c r="J7954" t="n">
        <v>0</v>
      </c>
      <c r="K7954" t="n">
        <v>0</v>
      </c>
      <c r="L7954" t="n">
        <v>0</v>
      </c>
      <c r="M7954" t="n">
        <v>0</v>
      </c>
      <c r="N7954" t="n">
        <v>0</v>
      </c>
      <c r="O7954" t="n">
        <v>0</v>
      </c>
      <c r="P7954" t="n">
        <v>0</v>
      </c>
      <c r="Q7954" t="n">
        <v>0</v>
      </c>
      <c r="R7954" s="2" t="inlineStr"/>
    </row>
    <row r="7955" ht="15" customHeight="1">
      <c r="A7955" t="inlineStr">
        <is>
          <t>A 55881-2025</t>
        </is>
      </c>
      <c r="B7955" s="1" t="n">
        <v>45973.36530092593</v>
      </c>
      <c r="C7955" s="1" t="n">
        <v>46093</v>
      </c>
      <c r="D7955" t="inlineStr">
        <is>
          <t>VÄSTERNORRLANDS LÄN</t>
        </is>
      </c>
      <c r="E7955" t="inlineStr">
        <is>
          <t>SUNDSVALL</t>
        </is>
      </c>
      <c r="F7955" t="inlineStr">
        <is>
          <t>SCA</t>
        </is>
      </c>
      <c r="G7955" t="n">
        <v>3.5</v>
      </c>
      <c r="H7955" t="n">
        <v>0</v>
      </c>
      <c r="I7955" t="n">
        <v>0</v>
      </c>
      <c r="J7955" t="n">
        <v>0</v>
      </c>
      <c r="K7955" t="n">
        <v>0</v>
      </c>
      <c r="L7955" t="n">
        <v>0</v>
      </c>
      <c r="M7955" t="n">
        <v>0</v>
      </c>
      <c r="N7955" t="n">
        <v>0</v>
      </c>
      <c r="O7955" t="n">
        <v>0</v>
      </c>
      <c r="P7955" t="n">
        <v>0</v>
      </c>
      <c r="Q7955" t="n">
        <v>0</v>
      </c>
      <c r="R7955" s="2" t="inlineStr"/>
    </row>
    <row r="7956" ht="15" customHeight="1">
      <c r="A7956" t="inlineStr">
        <is>
          <t>A 55886-2025</t>
        </is>
      </c>
      <c r="B7956" s="1" t="n">
        <v>45973</v>
      </c>
      <c r="C7956" s="1" t="n">
        <v>46093</v>
      </c>
      <c r="D7956" t="inlineStr">
        <is>
          <t>VÄSTERNORRLANDS LÄN</t>
        </is>
      </c>
      <c r="E7956" t="inlineStr">
        <is>
          <t>SOLLEFTEÅ</t>
        </is>
      </c>
      <c r="G7956" t="n">
        <v>2</v>
      </c>
      <c r="H7956" t="n">
        <v>0</v>
      </c>
      <c r="I7956" t="n">
        <v>0</v>
      </c>
      <c r="J7956" t="n">
        <v>0</v>
      </c>
      <c r="K7956" t="n">
        <v>0</v>
      </c>
      <c r="L7956" t="n">
        <v>0</v>
      </c>
      <c r="M7956" t="n">
        <v>0</v>
      </c>
      <c r="N7956" t="n">
        <v>0</v>
      </c>
      <c r="O7956" t="n">
        <v>0</v>
      </c>
      <c r="P7956" t="n">
        <v>0</v>
      </c>
      <c r="Q7956" t="n">
        <v>0</v>
      </c>
      <c r="R7956" s="2" t="inlineStr"/>
    </row>
    <row r="7957" ht="15" customHeight="1">
      <c r="A7957" t="inlineStr">
        <is>
          <t>A 46989-2024</t>
        </is>
      </c>
      <c r="B7957" s="1" t="n">
        <v>45586.36134259259</v>
      </c>
      <c r="C7957" s="1" t="n">
        <v>46093</v>
      </c>
      <c r="D7957" t="inlineStr">
        <is>
          <t>VÄSTERNORRLANDS LÄN</t>
        </is>
      </c>
      <c r="E7957" t="inlineStr">
        <is>
          <t>ÖRNSKÖLDSVIK</t>
        </is>
      </c>
      <c r="G7957" t="n">
        <v>3</v>
      </c>
      <c r="H7957" t="n">
        <v>0</v>
      </c>
      <c r="I7957" t="n">
        <v>0</v>
      </c>
      <c r="J7957" t="n">
        <v>0</v>
      </c>
      <c r="K7957" t="n">
        <v>0</v>
      </c>
      <c r="L7957" t="n">
        <v>0</v>
      </c>
      <c r="M7957" t="n">
        <v>0</v>
      </c>
      <c r="N7957" t="n">
        <v>0</v>
      </c>
      <c r="O7957" t="n">
        <v>0</v>
      </c>
      <c r="P7957" t="n">
        <v>0</v>
      </c>
      <c r="Q7957" t="n">
        <v>0</v>
      </c>
      <c r="R7957" s="2" t="inlineStr"/>
    </row>
    <row r="7958" ht="15" customHeight="1">
      <c r="A7958" t="inlineStr">
        <is>
          <t>A 47016-2024</t>
        </is>
      </c>
      <c r="B7958" s="1" t="n">
        <v>45586.39429398148</v>
      </c>
      <c r="C7958" s="1" t="n">
        <v>46093</v>
      </c>
      <c r="D7958" t="inlineStr">
        <is>
          <t>VÄSTERNORRLANDS LÄN</t>
        </is>
      </c>
      <c r="E7958" t="inlineStr">
        <is>
          <t>ÖRNSKÖLDSVIK</t>
        </is>
      </c>
      <c r="G7958" t="n">
        <v>2.8</v>
      </c>
      <c r="H7958" t="n">
        <v>0</v>
      </c>
      <c r="I7958" t="n">
        <v>0</v>
      </c>
      <c r="J7958" t="n">
        <v>0</v>
      </c>
      <c r="K7958" t="n">
        <v>0</v>
      </c>
      <c r="L7958" t="n">
        <v>0</v>
      </c>
      <c r="M7958" t="n">
        <v>0</v>
      </c>
      <c r="N7958" t="n">
        <v>0</v>
      </c>
      <c r="O7958" t="n">
        <v>0</v>
      </c>
      <c r="P7958" t="n">
        <v>0</v>
      </c>
      <c r="Q7958" t="n">
        <v>0</v>
      </c>
      <c r="R7958" s="2" t="inlineStr"/>
    </row>
    <row r="7959" ht="15" customHeight="1">
      <c r="A7959" t="inlineStr">
        <is>
          <t>A 56005-2025</t>
        </is>
      </c>
      <c r="B7959" s="1" t="n">
        <v>45973.57857638889</v>
      </c>
      <c r="C7959" s="1" t="n">
        <v>46093</v>
      </c>
      <c r="D7959" t="inlineStr">
        <is>
          <t>VÄSTERNORRLANDS LÄN</t>
        </is>
      </c>
      <c r="E7959" t="inlineStr">
        <is>
          <t>HÄRNÖSAND</t>
        </is>
      </c>
      <c r="G7959" t="n">
        <v>2.1</v>
      </c>
      <c r="H7959" t="n">
        <v>0</v>
      </c>
      <c r="I7959" t="n">
        <v>0</v>
      </c>
      <c r="J7959" t="n">
        <v>0</v>
      </c>
      <c r="K7959" t="n">
        <v>0</v>
      </c>
      <c r="L7959" t="n">
        <v>0</v>
      </c>
      <c r="M7959" t="n">
        <v>0</v>
      </c>
      <c r="N7959" t="n">
        <v>0</v>
      </c>
      <c r="O7959" t="n">
        <v>0</v>
      </c>
      <c r="P7959" t="n">
        <v>0</v>
      </c>
      <c r="Q7959" t="n">
        <v>0</v>
      </c>
      <c r="R7959" s="2" t="inlineStr"/>
    </row>
    <row r="7960" ht="15" customHeight="1">
      <c r="A7960" t="inlineStr">
        <is>
          <t>A 27633-2021</t>
        </is>
      </c>
      <c r="B7960" s="1" t="n">
        <v>44351</v>
      </c>
      <c r="C7960" s="1" t="n">
        <v>46093</v>
      </c>
      <c r="D7960" t="inlineStr">
        <is>
          <t>VÄSTERNORRLANDS LÄN</t>
        </is>
      </c>
      <c r="E7960" t="inlineStr">
        <is>
          <t>ÖRNSKÖLDSVIK</t>
        </is>
      </c>
      <c r="G7960" t="n">
        <v>0.7</v>
      </c>
      <c r="H7960" t="n">
        <v>0</v>
      </c>
      <c r="I7960" t="n">
        <v>0</v>
      </c>
      <c r="J7960" t="n">
        <v>0</v>
      </c>
      <c r="K7960" t="n">
        <v>0</v>
      </c>
      <c r="L7960" t="n">
        <v>0</v>
      </c>
      <c r="M7960" t="n">
        <v>0</v>
      </c>
      <c r="N7960" t="n">
        <v>0</v>
      </c>
      <c r="O7960" t="n">
        <v>0</v>
      </c>
      <c r="P7960" t="n">
        <v>0</v>
      </c>
      <c r="Q7960" t="n">
        <v>0</v>
      </c>
      <c r="R7960" s="2" t="inlineStr"/>
    </row>
    <row r="7961" ht="15" customHeight="1">
      <c r="A7961" t="inlineStr">
        <is>
          <t>A 12149-2025</t>
        </is>
      </c>
      <c r="B7961" s="1" t="n">
        <v>45729.40671296296</v>
      </c>
      <c r="C7961" s="1" t="n">
        <v>46093</v>
      </c>
      <c r="D7961" t="inlineStr">
        <is>
          <t>VÄSTERNORRLANDS LÄN</t>
        </is>
      </c>
      <c r="E7961" t="inlineStr">
        <is>
          <t>HÄRNÖSAND</t>
        </is>
      </c>
      <c r="G7961" t="n">
        <v>1.9</v>
      </c>
      <c r="H7961" t="n">
        <v>0</v>
      </c>
      <c r="I7961" t="n">
        <v>0</v>
      </c>
      <c r="J7961" t="n">
        <v>0</v>
      </c>
      <c r="K7961" t="n">
        <v>0</v>
      </c>
      <c r="L7961" t="n">
        <v>0</v>
      </c>
      <c r="M7961" t="n">
        <v>0</v>
      </c>
      <c r="N7961" t="n">
        <v>0</v>
      </c>
      <c r="O7961" t="n">
        <v>0</v>
      </c>
      <c r="P7961" t="n">
        <v>0</v>
      </c>
      <c r="Q7961" t="n">
        <v>0</v>
      </c>
      <c r="R7961" s="2" t="inlineStr"/>
    </row>
    <row r="7962" ht="15" customHeight="1">
      <c r="A7962" t="inlineStr">
        <is>
          <t>A 56034-2025</t>
        </is>
      </c>
      <c r="B7962" s="1" t="n">
        <v>45973.6072337963</v>
      </c>
      <c r="C7962" s="1" t="n">
        <v>46093</v>
      </c>
      <c r="D7962" t="inlineStr">
        <is>
          <t>VÄSTERNORRLANDS LÄN</t>
        </is>
      </c>
      <c r="E7962" t="inlineStr">
        <is>
          <t>ÖRNSKÖLDSVIK</t>
        </is>
      </c>
      <c r="F7962" t="inlineStr">
        <is>
          <t>Holmen skog AB</t>
        </is>
      </c>
      <c r="G7962" t="n">
        <v>4.7</v>
      </c>
      <c r="H7962" t="n">
        <v>0</v>
      </c>
      <c r="I7962" t="n">
        <v>0</v>
      </c>
      <c r="J7962" t="n">
        <v>0</v>
      </c>
      <c r="K7962" t="n">
        <v>0</v>
      </c>
      <c r="L7962" t="n">
        <v>0</v>
      </c>
      <c r="M7962" t="n">
        <v>0</v>
      </c>
      <c r="N7962" t="n">
        <v>0</v>
      </c>
      <c r="O7962" t="n">
        <v>0</v>
      </c>
      <c r="P7962" t="n">
        <v>0</v>
      </c>
      <c r="Q7962" t="n">
        <v>0</v>
      </c>
      <c r="R7962" s="2" t="inlineStr"/>
    </row>
    <row r="7963" ht="15" customHeight="1">
      <c r="A7963" t="inlineStr">
        <is>
          <t>A 47033-2024</t>
        </is>
      </c>
      <c r="B7963" s="1" t="n">
        <v>45586</v>
      </c>
      <c r="C7963" s="1" t="n">
        <v>46093</v>
      </c>
      <c r="D7963" t="inlineStr">
        <is>
          <t>VÄSTERNORRLANDS LÄN</t>
        </is>
      </c>
      <c r="E7963" t="inlineStr">
        <is>
          <t>ÖRNSKÖLDSVIK</t>
        </is>
      </c>
      <c r="F7963" t="inlineStr">
        <is>
          <t>Holmen skog AB</t>
        </is>
      </c>
      <c r="G7963" t="n">
        <v>2.8</v>
      </c>
      <c r="H7963" t="n">
        <v>0</v>
      </c>
      <c r="I7963" t="n">
        <v>0</v>
      </c>
      <c r="J7963" t="n">
        <v>0</v>
      </c>
      <c r="K7963" t="n">
        <v>0</v>
      </c>
      <c r="L7963" t="n">
        <v>0</v>
      </c>
      <c r="M7963" t="n">
        <v>0</v>
      </c>
      <c r="N7963" t="n">
        <v>0</v>
      </c>
      <c r="O7963" t="n">
        <v>0</v>
      </c>
      <c r="P7963" t="n">
        <v>0</v>
      </c>
      <c r="Q7963" t="n">
        <v>0</v>
      </c>
      <c r="R7963" s="2" t="inlineStr"/>
    </row>
    <row r="7964" ht="15" customHeight="1">
      <c r="A7964" t="inlineStr">
        <is>
          <t>A 51077-2022</t>
        </is>
      </c>
      <c r="B7964" s="1" t="n">
        <v>44865</v>
      </c>
      <c r="C7964" s="1" t="n">
        <v>46093</v>
      </c>
      <c r="D7964" t="inlineStr">
        <is>
          <t>VÄSTERNORRLANDS LÄN</t>
        </is>
      </c>
      <c r="E7964" t="inlineStr">
        <is>
          <t>KRAMFORS</t>
        </is>
      </c>
      <c r="G7964" t="n">
        <v>6.9</v>
      </c>
      <c r="H7964" t="n">
        <v>0</v>
      </c>
      <c r="I7964" t="n">
        <v>0</v>
      </c>
      <c r="J7964" t="n">
        <v>0</v>
      </c>
      <c r="K7964" t="n">
        <v>0</v>
      </c>
      <c r="L7964" t="n">
        <v>0</v>
      </c>
      <c r="M7964" t="n">
        <v>0</v>
      </c>
      <c r="N7964" t="n">
        <v>0</v>
      </c>
      <c r="O7964" t="n">
        <v>0</v>
      </c>
      <c r="P7964" t="n">
        <v>0</v>
      </c>
      <c r="Q7964" t="n">
        <v>0</v>
      </c>
      <c r="R7964" s="2" t="inlineStr"/>
    </row>
    <row r="7965" ht="15" customHeight="1">
      <c r="A7965" t="inlineStr">
        <is>
          <t>A 48701-2024</t>
        </is>
      </c>
      <c r="B7965" s="1" t="n">
        <v>45593</v>
      </c>
      <c r="C7965" s="1" t="n">
        <v>46093</v>
      </c>
      <c r="D7965" t="inlineStr">
        <is>
          <t>VÄSTERNORRLANDS LÄN</t>
        </is>
      </c>
      <c r="E7965" t="inlineStr">
        <is>
          <t>ÖRNSKÖLDSVIK</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63738-2023</t>
        </is>
      </c>
      <c r="B7966" s="1" t="n">
        <v>45277.79240740741</v>
      </c>
      <c r="C7966" s="1" t="n">
        <v>46093</v>
      </c>
      <c r="D7966" t="inlineStr">
        <is>
          <t>VÄSTERNORRLANDS LÄN</t>
        </is>
      </c>
      <c r="E7966" t="inlineStr">
        <is>
          <t>ÖRNSKÖLDSVIK</t>
        </is>
      </c>
      <c r="F7966" t="inlineStr">
        <is>
          <t>Övriga Aktiebolag</t>
        </is>
      </c>
      <c r="G7966" t="n">
        <v>3.2</v>
      </c>
      <c r="H7966" t="n">
        <v>0</v>
      </c>
      <c r="I7966" t="n">
        <v>0</v>
      </c>
      <c r="J7966" t="n">
        <v>0</v>
      </c>
      <c r="K7966" t="n">
        <v>0</v>
      </c>
      <c r="L7966" t="n">
        <v>0</v>
      </c>
      <c r="M7966" t="n">
        <v>0</v>
      </c>
      <c r="N7966" t="n">
        <v>0</v>
      </c>
      <c r="O7966" t="n">
        <v>0</v>
      </c>
      <c r="P7966" t="n">
        <v>0</v>
      </c>
      <c r="Q7966" t="n">
        <v>0</v>
      </c>
      <c r="R7966" s="2" t="inlineStr"/>
    </row>
    <row r="7967" ht="15" customHeight="1">
      <c r="A7967" t="inlineStr">
        <is>
          <t>A 63744-2023</t>
        </is>
      </c>
      <c r="B7967" s="1" t="n">
        <v>45277</v>
      </c>
      <c r="C7967" s="1" t="n">
        <v>46093</v>
      </c>
      <c r="D7967" t="inlineStr">
        <is>
          <t>VÄSTERNORRLANDS LÄN</t>
        </is>
      </c>
      <c r="E7967" t="inlineStr">
        <is>
          <t>ÖRNSKÖLDSVIK</t>
        </is>
      </c>
      <c r="F7967" t="inlineStr">
        <is>
          <t>Övriga Aktiebolag</t>
        </is>
      </c>
      <c r="G7967" t="n">
        <v>2.9</v>
      </c>
      <c r="H7967" t="n">
        <v>0</v>
      </c>
      <c r="I7967" t="n">
        <v>0</v>
      </c>
      <c r="J7967" t="n">
        <v>0</v>
      </c>
      <c r="K7967" t="n">
        <v>0</v>
      </c>
      <c r="L7967" t="n">
        <v>0</v>
      </c>
      <c r="M7967" t="n">
        <v>0</v>
      </c>
      <c r="N7967" t="n">
        <v>0</v>
      </c>
      <c r="O7967" t="n">
        <v>0</v>
      </c>
      <c r="P7967" t="n">
        <v>0</v>
      </c>
      <c r="Q7967" t="n">
        <v>0</v>
      </c>
      <c r="R7967" s="2" t="inlineStr"/>
    </row>
    <row r="7968" ht="15" customHeight="1">
      <c r="A7968" t="inlineStr">
        <is>
          <t>A 7536-2023</t>
        </is>
      </c>
      <c r="B7968" s="1" t="n">
        <v>44971</v>
      </c>
      <c r="C7968" s="1" t="n">
        <v>46093</v>
      </c>
      <c r="D7968" t="inlineStr">
        <is>
          <t>VÄSTERNORRLANDS LÄN</t>
        </is>
      </c>
      <c r="E7968" t="inlineStr">
        <is>
          <t>HÄRNÖSAND</t>
        </is>
      </c>
      <c r="F7968" t="inlineStr">
        <is>
          <t>SCA</t>
        </is>
      </c>
      <c r="G7968" t="n">
        <v>3.5</v>
      </c>
      <c r="H7968" t="n">
        <v>0</v>
      </c>
      <c r="I7968" t="n">
        <v>0</v>
      </c>
      <c r="J7968" t="n">
        <v>0</v>
      </c>
      <c r="K7968" t="n">
        <v>0</v>
      </c>
      <c r="L7968" t="n">
        <v>0</v>
      </c>
      <c r="M7968" t="n">
        <v>0</v>
      </c>
      <c r="N7968" t="n">
        <v>0</v>
      </c>
      <c r="O7968" t="n">
        <v>0</v>
      </c>
      <c r="P7968" t="n">
        <v>0</v>
      </c>
      <c r="Q7968" t="n">
        <v>0</v>
      </c>
      <c r="R7968" s="2" t="inlineStr"/>
    </row>
    <row r="7969" ht="15" customHeight="1">
      <c r="A7969" t="inlineStr">
        <is>
          <t>A 48725-2024</t>
        </is>
      </c>
      <c r="B7969" s="1" t="n">
        <v>45593.55793981482</v>
      </c>
      <c r="C7969" s="1" t="n">
        <v>46093</v>
      </c>
      <c r="D7969" t="inlineStr">
        <is>
          <t>VÄSTERNORRLANDS LÄN</t>
        </is>
      </c>
      <c r="E7969" t="inlineStr">
        <is>
          <t>ÅNGE</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21195-2023</t>
        </is>
      </c>
      <c r="B7970" s="1" t="n">
        <v>45057</v>
      </c>
      <c r="C7970" s="1" t="n">
        <v>46093</v>
      </c>
      <c r="D7970" t="inlineStr">
        <is>
          <t>VÄSTERNORRLANDS LÄN</t>
        </is>
      </c>
      <c r="E7970" t="inlineStr">
        <is>
          <t>SOLLEFTEÅ</t>
        </is>
      </c>
      <c r="G7970" t="n">
        <v>1.5</v>
      </c>
      <c r="H7970" t="n">
        <v>0</v>
      </c>
      <c r="I7970" t="n">
        <v>0</v>
      </c>
      <c r="J7970" t="n">
        <v>0</v>
      </c>
      <c r="K7970" t="n">
        <v>0</v>
      </c>
      <c r="L7970" t="n">
        <v>0</v>
      </c>
      <c r="M7970" t="n">
        <v>0</v>
      </c>
      <c r="N7970" t="n">
        <v>0</v>
      </c>
      <c r="O7970" t="n">
        <v>0</v>
      </c>
      <c r="P7970" t="n">
        <v>0</v>
      </c>
      <c r="Q7970" t="n">
        <v>0</v>
      </c>
      <c r="R7970" s="2" t="inlineStr"/>
    </row>
    <row r="7971" ht="15" customHeight="1">
      <c r="A7971" t="inlineStr">
        <is>
          <t>A 21230-2023</t>
        </is>
      </c>
      <c r="B7971" s="1" t="n">
        <v>45057</v>
      </c>
      <c r="C7971" s="1" t="n">
        <v>46093</v>
      </c>
      <c r="D7971" t="inlineStr">
        <is>
          <t>VÄSTERNORRLANDS LÄN</t>
        </is>
      </c>
      <c r="E7971" t="inlineStr">
        <is>
          <t>SOLLEFTEÅ</t>
        </is>
      </c>
      <c r="G7971" t="n">
        <v>1.7</v>
      </c>
      <c r="H7971" t="n">
        <v>0</v>
      </c>
      <c r="I7971" t="n">
        <v>0</v>
      </c>
      <c r="J7971" t="n">
        <v>0</v>
      </c>
      <c r="K7971" t="n">
        <v>0</v>
      </c>
      <c r="L7971" t="n">
        <v>0</v>
      </c>
      <c r="M7971" t="n">
        <v>0</v>
      </c>
      <c r="N7971" t="n">
        <v>0</v>
      </c>
      <c r="O7971" t="n">
        <v>0</v>
      </c>
      <c r="P7971" t="n">
        <v>0</v>
      </c>
      <c r="Q7971" t="n">
        <v>0</v>
      </c>
      <c r="R7971" s="2" t="inlineStr"/>
    </row>
    <row r="7972" ht="15" customHeight="1">
      <c r="A7972" t="inlineStr">
        <is>
          <t>A 47480-2024</t>
        </is>
      </c>
      <c r="B7972" s="1" t="n">
        <v>45587.58016203704</v>
      </c>
      <c r="C7972" s="1" t="n">
        <v>46093</v>
      </c>
      <c r="D7972" t="inlineStr">
        <is>
          <t>VÄSTERNORRLANDS LÄN</t>
        </is>
      </c>
      <c r="E7972" t="inlineStr">
        <is>
          <t>ÖRNSKÖLDSVIK</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56157-2025</t>
        </is>
      </c>
      <c r="B7973" s="1" t="n">
        <v>45974.37148148148</v>
      </c>
      <c r="C7973" s="1" t="n">
        <v>46093</v>
      </c>
      <c r="D7973" t="inlineStr">
        <is>
          <t>VÄSTERNORRLANDS LÄN</t>
        </is>
      </c>
      <c r="E7973" t="inlineStr">
        <is>
          <t>KRAMFORS</t>
        </is>
      </c>
      <c r="G7973" t="n">
        <v>1.8</v>
      </c>
      <c r="H7973" t="n">
        <v>0</v>
      </c>
      <c r="I7973" t="n">
        <v>0</v>
      </c>
      <c r="J7973" t="n">
        <v>0</v>
      </c>
      <c r="K7973" t="n">
        <v>0</v>
      </c>
      <c r="L7973" t="n">
        <v>0</v>
      </c>
      <c r="M7973" t="n">
        <v>0</v>
      </c>
      <c r="N7973" t="n">
        <v>0</v>
      </c>
      <c r="O7973" t="n">
        <v>0</v>
      </c>
      <c r="P7973" t="n">
        <v>0</v>
      </c>
      <c r="Q7973" t="n">
        <v>0</v>
      </c>
      <c r="R7973" s="2" t="inlineStr"/>
    </row>
    <row r="7974" ht="15" customHeight="1">
      <c r="A7974" t="inlineStr">
        <is>
          <t>A 56076-2025</t>
        </is>
      </c>
      <c r="B7974" s="1" t="n">
        <v>45973.65740740741</v>
      </c>
      <c r="C7974" s="1" t="n">
        <v>46093</v>
      </c>
      <c r="D7974" t="inlineStr">
        <is>
          <t>VÄSTERNORRLANDS LÄN</t>
        </is>
      </c>
      <c r="E7974" t="inlineStr">
        <is>
          <t>SOLLEFTEÅ</t>
        </is>
      </c>
      <c r="F7974" t="inlineStr">
        <is>
          <t>SCA</t>
        </is>
      </c>
      <c r="G7974" t="n">
        <v>3.7</v>
      </c>
      <c r="H7974" t="n">
        <v>0</v>
      </c>
      <c r="I7974" t="n">
        <v>0</v>
      </c>
      <c r="J7974" t="n">
        <v>0</v>
      </c>
      <c r="K7974" t="n">
        <v>0</v>
      </c>
      <c r="L7974" t="n">
        <v>0</v>
      </c>
      <c r="M7974" t="n">
        <v>0</v>
      </c>
      <c r="N7974" t="n">
        <v>0</v>
      </c>
      <c r="O7974" t="n">
        <v>0</v>
      </c>
      <c r="P7974" t="n">
        <v>0</v>
      </c>
      <c r="Q7974" t="n">
        <v>0</v>
      </c>
      <c r="R7974" s="2" t="inlineStr"/>
    </row>
    <row r="7975" ht="15" customHeight="1">
      <c r="A7975" t="inlineStr">
        <is>
          <t>A 55891-2025</t>
        </is>
      </c>
      <c r="B7975" s="1" t="n">
        <v>45973.37886574074</v>
      </c>
      <c r="C7975" s="1" t="n">
        <v>46093</v>
      </c>
      <c r="D7975" t="inlineStr">
        <is>
          <t>VÄSTERNORRLANDS LÄN</t>
        </is>
      </c>
      <c r="E7975" t="inlineStr">
        <is>
          <t>ÖRNSKÖLDSVIK</t>
        </is>
      </c>
      <c r="F7975" t="inlineStr">
        <is>
          <t>Holmen skog AB</t>
        </is>
      </c>
      <c r="G7975" t="n">
        <v>8.5</v>
      </c>
      <c r="H7975" t="n">
        <v>0</v>
      </c>
      <c r="I7975" t="n">
        <v>0</v>
      </c>
      <c r="J7975" t="n">
        <v>0</v>
      </c>
      <c r="K7975" t="n">
        <v>0</v>
      </c>
      <c r="L7975" t="n">
        <v>0</v>
      </c>
      <c r="M7975" t="n">
        <v>0</v>
      </c>
      <c r="N7975" t="n">
        <v>0</v>
      </c>
      <c r="O7975" t="n">
        <v>0</v>
      </c>
      <c r="P7975" t="n">
        <v>0</v>
      </c>
      <c r="Q7975" t="n">
        <v>0</v>
      </c>
      <c r="R7975" s="2" t="inlineStr"/>
    </row>
    <row r="7976" ht="15" customHeight="1">
      <c r="A7976" t="inlineStr">
        <is>
          <t>A 55898-2025</t>
        </is>
      </c>
      <c r="B7976" s="1" t="n">
        <v>45973.38623842593</v>
      </c>
      <c r="C7976" s="1" t="n">
        <v>46093</v>
      </c>
      <c r="D7976" t="inlineStr">
        <is>
          <t>VÄSTERNORRLANDS LÄN</t>
        </is>
      </c>
      <c r="E7976" t="inlineStr">
        <is>
          <t>SUNDSVALL</t>
        </is>
      </c>
      <c r="F7976" t="inlineStr">
        <is>
          <t>SCA</t>
        </is>
      </c>
      <c r="G7976" t="n">
        <v>5.3</v>
      </c>
      <c r="H7976" t="n">
        <v>0</v>
      </c>
      <c r="I7976" t="n">
        <v>0</v>
      </c>
      <c r="J7976" t="n">
        <v>0</v>
      </c>
      <c r="K7976" t="n">
        <v>0</v>
      </c>
      <c r="L7976" t="n">
        <v>0</v>
      </c>
      <c r="M7976" t="n">
        <v>0</v>
      </c>
      <c r="N7976" t="n">
        <v>0</v>
      </c>
      <c r="O7976" t="n">
        <v>0</v>
      </c>
      <c r="P7976" t="n">
        <v>0</v>
      </c>
      <c r="Q7976" t="n">
        <v>0</v>
      </c>
      <c r="R7976" s="2" t="inlineStr"/>
    </row>
    <row r="7977" ht="15" customHeight="1">
      <c r="A7977" t="inlineStr">
        <is>
          <t>A 55950-2025</t>
        </is>
      </c>
      <c r="B7977" s="1" t="n">
        <v>45973.46942129629</v>
      </c>
      <c r="C7977" s="1" t="n">
        <v>46093</v>
      </c>
      <c r="D7977" t="inlineStr">
        <is>
          <t>VÄSTERNORRLANDS LÄN</t>
        </is>
      </c>
      <c r="E7977" t="inlineStr">
        <is>
          <t>SOLLEFTEÅ</t>
        </is>
      </c>
      <c r="G7977" t="n">
        <v>3.6</v>
      </c>
      <c r="H7977" t="n">
        <v>0</v>
      </c>
      <c r="I7977" t="n">
        <v>0</v>
      </c>
      <c r="J7977" t="n">
        <v>0</v>
      </c>
      <c r="K7977" t="n">
        <v>0</v>
      </c>
      <c r="L7977" t="n">
        <v>0</v>
      </c>
      <c r="M7977" t="n">
        <v>0</v>
      </c>
      <c r="N7977" t="n">
        <v>0</v>
      </c>
      <c r="O7977" t="n">
        <v>0</v>
      </c>
      <c r="P7977" t="n">
        <v>0</v>
      </c>
      <c r="Q7977" t="n">
        <v>0</v>
      </c>
      <c r="R7977" s="2" t="inlineStr"/>
    </row>
    <row r="7978" ht="15" customHeight="1">
      <c r="A7978" t="inlineStr">
        <is>
          <t>A 56462-2025</t>
        </is>
      </c>
      <c r="B7978" s="1" t="n">
        <v>45975.37075231481</v>
      </c>
      <c r="C7978" s="1" t="n">
        <v>46093</v>
      </c>
      <c r="D7978" t="inlineStr">
        <is>
          <t>VÄSTERNORRLANDS LÄN</t>
        </is>
      </c>
      <c r="E7978" t="inlineStr">
        <is>
          <t>ÖRNSKÖLDSVIK</t>
        </is>
      </c>
      <c r="F7978" t="inlineStr">
        <is>
          <t>Holmen skog AB</t>
        </is>
      </c>
      <c r="G7978" t="n">
        <v>2.3</v>
      </c>
      <c r="H7978" t="n">
        <v>0</v>
      </c>
      <c r="I7978" t="n">
        <v>0</v>
      </c>
      <c r="J7978" t="n">
        <v>0</v>
      </c>
      <c r="K7978" t="n">
        <v>0</v>
      </c>
      <c r="L7978" t="n">
        <v>0</v>
      </c>
      <c r="M7978" t="n">
        <v>0</v>
      </c>
      <c r="N7978" t="n">
        <v>0</v>
      </c>
      <c r="O7978" t="n">
        <v>0</v>
      </c>
      <c r="P7978" t="n">
        <v>0</v>
      </c>
      <c r="Q7978" t="n">
        <v>0</v>
      </c>
      <c r="R7978" s="2" t="inlineStr"/>
    </row>
    <row r="7979" ht="15" customHeight="1">
      <c r="A7979" t="inlineStr">
        <is>
          <t>A 21339-2024</t>
        </is>
      </c>
      <c r="B7979" s="1" t="n">
        <v>45440</v>
      </c>
      <c r="C7979" s="1" t="n">
        <v>46093</v>
      </c>
      <c r="D7979" t="inlineStr">
        <is>
          <t>VÄSTERNORRLANDS LÄN</t>
        </is>
      </c>
      <c r="E7979" t="inlineStr">
        <is>
          <t>SUNDSVALL</t>
        </is>
      </c>
      <c r="G7979" t="n">
        <v>8.6</v>
      </c>
      <c r="H7979" t="n">
        <v>0</v>
      </c>
      <c r="I7979" t="n">
        <v>0</v>
      </c>
      <c r="J7979" t="n">
        <v>0</v>
      </c>
      <c r="K7979" t="n">
        <v>0</v>
      </c>
      <c r="L7979" t="n">
        <v>0</v>
      </c>
      <c r="M7979" t="n">
        <v>0</v>
      </c>
      <c r="N7979" t="n">
        <v>0</v>
      </c>
      <c r="O7979" t="n">
        <v>0</v>
      </c>
      <c r="P7979" t="n">
        <v>0</v>
      </c>
      <c r="Q7979" t="n">
        <v>0</v>
      </c>
      <c r="R7979" s="2" t="inlineStr"/>
    </row>
    <row r="7980" ht="15" customHeight="1">
      <c r="A7980" t="inlineStr">
        <is>
          <t>A 3740-2025</t>
        </is>
      </c>
      <c r="B7980" s="1" t="n">
        <v>45681.57350694444</v>
      </c>
      <c r="C7980" s="1" t="n">
        <v>46093</v>
      </c>
      <c r="D7980" t="inlineStr">
        <is>
          <t>VÄSTERNORRLANDS LÄN</t>
        </is>
      </c>
      <c r="E7980" t="inlineStr">
        <is>
          <t>SUNDSVALL</t>
        </is>
      </c>
      <c r="F7980" t="inlineStr">
        <is>
          <t>SCA</t>
        </is>
      </c>
      <c r="G7980" t="n">
        <v>3.2</v>
      </c>
      <c r="H7980" t="n">
        <v>0</v>
      </c>
      <c r="I7980" t="n">
        <v>0</v>
      </c>
      <c r="J7980" t="n">
        <v>0</v>
      </c>
      <c r="K7980" t="n">
        <v>0</v>
      </c>
      <c r="L7980" t="n">
        <v>0</v>
      </c>
      <c r="M7980" t="n">
        <v>0</v>
      </c>
      <c r="N7980" t="n">
        <v>0</v>
      </c>
      <c r="O7980" t="n">
        <v>0</v>
      </c>
      <c r="P7980" t="n">
        <v>0</v>
      </c>
      <c r="Q7980" t="n">
        <v>0</v>
      </c>
      <c r="R7980" s="2" t="inlineStr"/>
    </row>
    <row r="7981" ht="15" customHeight="1">
      <c r="A7981" t="inlineStr">
        <is>
          <t>A 56496-2025</t>
        </is>
      </c>
      <c r="B7981" s="1" t="n">
        <v>45975.42769675926</v>
      </c>
      <c r="C7981" s="1" t="n">
        <v>46093</v>
      </c>
      <c r="D7981" t="inlineStr">
        <is>
          <t>VÄSTERNORRLANDS LÄN</t>
        </is>
      </c>
      <c r="E7981" t="inlineStr">
        <is>
          <t>ÖRNSKÖLDSVIK</t>
        </is>
      </c>
      <c r="F7981" t="inlineStr">
        <is>
          <t>SCA</t>
        </is>
      </c>
      <c r="G7981" t="n">
        <v>2.4</v>
      </c>
      <c r="H7981" t="n">
        <v>0</v>
      </c>
      <c r="I7981" t="n">
        <v>0</v>
      </c>
      <c r="J7981" t="n">
        <v>0</v>
      </c>
      <c r="K7981" t="n">
        <v>0</v>
      </c>
      <c r="L7981" t="n">
        <v>0</v>
      </c>
      <c r="M7981" t="n">
        <v>0</v>
      </c>
      <c r="N7981" t="n">
        <v>0</v>
      </c>
      <c r="O7981" t="n">
        <v>0</v>
      </c>
      <c r="P7981" t="n">
        <v>0</v>
      </c>
      <c r="Q7981" t="n">
        <v>0</v>
      </c>
      <c r="R7981" s="2" t="inlineStr"/>
    </row>
    <row r="7982" ht="15" customHeight="1">
      <c r="A7982" t="inlineStr">
        <is>
          <t>A 56752-2025</t>
        </is>
      </c>
      <c r="B7982" s="1" t="n">
        <v>45978.36547453704</v>
      </c>
      <c r="C7982" s="1" t="n">
        <v>46093</v>
      </c>
      <c r="D7982" t="inlineStr">
        <is>
          <t>VÄSTERNORRLANDS LÄN</t>
        </is>
      </c>
      <c r="E7982" t="inlineStr">
        <is>
          <t>SUNDSVALL</t>
        </is>
      </c>
      <c r="G7982" t="n">
        <v>0.8</v>
      </c>
      <c r="H7982" t="n">
        <v>0</v>
      </c>
      <c r="I7982" t="n">
        <v>0</v>
      </c>
      <c r="J7982" t="n">
        <v>0</v>
      </c>
      <c r="K7982" t="n">
        <v>0</v>
      </c>
      <c r="L7982" t="n">
        <v>0</v>
      </c>
      <c r="M7982" t="n">
        <v>0</v>
      </c>
      <c r="N7982" t="n">
        <v>0</v>
      </c>
      <c r="O7982" t="n">
        <v>0</v>
      </c>
      <c r="P7982" t="n">
        <v>0</v>
      </c>
      <c r="Q7982" t="n">
        <v>0</v>
      </c>
      <c r="R7982" s="2" t="inlineStr"/>
    </row>
    <row r="7983" ht="15" customHeight="1">
      <c r="A7983" t="inlineStr">
        <is>
          <t>A 64987-2021</t>
        </is>
      </c>
      <c r="B7983" s="1" t="n">
        <v>44514</v>
      </c>
      <c r="C7983" s="1" t="n">
        <v>46093</v>
      </c>
      <c r="D7983" t="inlineStr">
        <is>
          <t>VÄSTERNORRLANDS LÄN</t>
        </is>
      </c>
      <c r="E7983" t="inlineStr">
        <is>
          <t>ÖRNSKÖLDSVIK</t>
        </is>
      </c>
      <c r="G7983" t="n">
        <v>4.2</v>
      </c>
      <c r="H7983" t="n">
        <v>0</v>
      </c>
      <c r="I7983" t="n">
        <v>0</v>
      </c>
      <c r="J7983" t="n">
        <v>0</v>
      </c>
      <c r="K7983" t="n">
        <v>0</v>
      </c>
      <c r="L7983" t="n">
        <v>0</v>
      </c>
      <c r="M7983" t="n">
        <v>0</v>
      </c>
      <c r="N7983" t="n">
        <v>0</v>
      </c>
      <c r="O7983" t="n">
        <v>0</v>
      </c>
      <c r="P7983" t="n">
        <v>0</v>
      </c>
      <c r="Q7983" t="n">
        <v>0</v>
      </c>
      <c r="R7983" s="2" t="inlineStr"/>
    </row>
    <row r="7984" ht="15" customHeight="1">
      <c r="A7984" t="inlineStr">
        <is>
          <t>A 56933-2025</t>
        </is>
      </c>
      <c r="B7984" s="1" t="n">
        <v>45978.6121412037</v>
      </c>
      <c r="C7984" s="1" t="n">
        <v>46093</v>
      </c>
      <c r="D7984" t="inlineStr">
        <is>
          <t>VÄSTERNORRLANDS LÄN</t>
        </is>
      </c>
      <c r="E7984" t="inlineStr">
        <is>
          <t>ÖRNSKÖLDSVIK</t>
        </is>
      </c>
      <c r="F7984" t="inlineStr">
        <is>
          <t>Holmen skog AB</t>
        </is>
      </c>
      <c r="G7984" t="n">
        <v>9.300000000000001</v>
      </c>
      <c r="H7984" t="n">
        <v>0</v>
      </c>
      <c r="I7984" t="n">
        <v>0</v>
      </c>
      <c r="J7984" t="n">
        <v>0</v>
      </c>
      <c r="K7984" t="n">
        <v>0</v>
      </c>
      <c r="L7984" t="n">
        <v>0</v>
      </c>
      <c r="M7984" t="n">
        <v>0</v>
      </c>
      <c r="N7984" t="n">
        <v>0</v>
      </c>
      <c r="O7984" t="n">
        <v>0</v>
      </c>
      <c r="P7984" t="n">
        <v>0</v>
      </c>
      <c r="Q7984" t="n">
        <v>0</v>
      </c>
      <c r="R7984" s="2" t="inlineStr"/>
    </row>
    <row r="7985" ht="15" customHeight="1">
      <c r="A7985" t="inlineStr">
        <is>
          <t>A 16117-2025</t>
        </is>
      </c>
      <c r="B7985" s="1" t="n">
        <v>45750.39258101852</v>
      </c>
      <c r="C7985" s="1" t="n">
        <v>46093</v>
      </c>
      <c r="D7985" t="inlineStr">
        <is>
          <t>VÄSTERNORRLANDS LÄN</t>
        </is>
      </c>
      <c r="E7985" t="inlineStr">
        <is>
          <t>ÖRNSKÖLDSVIK</t>
        </is>
      </c>
      <c r="F7985" t="inlineStr">
        <is>
          <t>Holmen skog AB</t>
        </is>
      </c>
      <c r="G7985" t="n">
        <v>3.8</v>
      </c>
      <c r="H7985" t="n">
        <v>0</v>
      </c>
      <c r="I7985" t="n">
        <v>0</v>
      </c>
      <c r="J7985" t="n">
        <v>0</v>
      </c>
      <c r="K7985" t="n">
        <v>0</v>
      </c>
      <c r="L7985" t="n">
        <v>0</v>
      </c>
      <c r="M7985" t="n">
        <v>0</v>
      </c>
      <c r="N7985" t="n">
        <v>0</v>
      </c>
      <c r="O7985" t="n">
        <v>0</v>
      </c>
      <c r="P7985" t="n">
        <v>0</v>
      </c>
      <c r="Q7985" t="n">
        <v>0</v>
      </c>
      <c r="R7985" s="2" t="inlineStr"/>
    </row>
    <row r="7986" ht="15" customHeight="1">
      <c r="A7986" t="inlineStr">
        <is>
          <t>A 16163-2025</t>
        </is>
      </c>
      <c r="B7986" s="1" t="n">
        <v>45750</v>
      </c>
      <c r="C7986" s="1" t="n">
        <v>46093</v>
      </c>
      <c r="D7986" t="inlineStr">
        <is>
          <t>VÄSTERNORRLANDS LÄN</t>
        </is>
      </c>
      <c r="E7986" t="inlineStr">
        <is>
          <t>KRAMFORS</t>
        </is>
      </c>
      <c r="G7986" t="n">
        <v>5.6</v>
      </c>
      <c r="H7986" t="n">
        <v>0</v>
      </c>
      <c r="I7986" t="n">
        <v>0</v>
      </c>
      <c r="J7986" t="n">
        <v>0</v>
      </c>
      <c r="K7986" t="n">
        <v>0</v>
      </c>
      <c r="L7986" t="n">
        <v>0</v>
      </c>
      <c r="M7986" t="n">
        <v>0</v>
      </c>
      <c r="N7986" t="n">
        <v>0</v>
      </c>
      <c r="O7986" t="n">
        <v>0</v>
      </c>
      <c r="P7986" t="n">
        <v>0</v>
      </c>
      <c r="Q7986" t="n">
        <v>0</v>
      </c>
      <c r="R7986" s="2" t="inlineStr"/>
    </row>
    <row r="7987" ht="15" customHeight="1">
      <c r="A7987" t="inlineStr">
        <is>
          <t>A 17821-2023</t>
        </is>
      </c>
      <c r="B7987" s="1" t="n">
        <v>45037</v>
      </c>
      <c r="C7987" s="1" t="n">
        <v>46093</v>
      </c>
      <c r="D7987" t="inlineStr">
        <is>
          <t>VÄSTERNORRLANDS LÄN</t>
        </is>
      </c>
      <c r="E7987" t="inlineStr">
        <is>
          <t>SUNDSVALL</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39037-2024</t>
        </is>
      </c>
      <c r="B7988" s="1" t="n">
        <v>45548.47015046296</v>
      </c>
      <c r="C7988" s="1" t="n">
        <v>46093</v>
      </c>
      <c r="D7988" t="inlineStr">
        <is>
          <t>VÄSTERNORRLANDS LÄN</t>
        </is>
      </c>
      <c r="E7988" t="inlineStr">
        <is>
          <t>SUNDSVALL</t>
        </is>
      </c>
      <c r="F7988" t="inlineStr">
        <is>
          <t>SCA</t>
        </is>
      </c>
      <c r="G7988" t="n">
        <v>4.1</v>
      </c>
      <c r="H7988" t="n">
        <v>0</v>
      </c>
      <c r="I7988" t="n">
        <v>0</v>
      </c>
      <c r="J7988" t="n">
        <v>0</v>
      </c>
      <c r="K7988" t="n">
        <v>0</v>
      </c>
      <c r="L7988" t="n">
        <v>0</v>
      </c>
      <c r="M7988" t="n">
        <v>0</v>
      </c>
      <c r="N7988" t="n">
        <v>0</v>
      </c>
      <c r="O7988" t="n">
        <v>0</v>
      </c>
      <c r="P7988" t="n">
        <v>0</v>
      </c>
      <c r="Q7988" t="n">
        <v>0</v>
      </c>
      <c r="R7988" s="2" t="inlineStr"/>
    </row>
    <row r="7989" ht="15" customHeight="1">
      <c r="A7989" t="inlineStr">
        <is>
          <t>A 56422-2025</t>
        </is>
      </c>
      <c r="B7989" s="1" t="n">
        <v>45975.34515046296</v>
      </c>
      <c r="C7989" s="1" t="n">
        <v>46093</v>
      </c>
      <c r="D7989" t="inlineStr">
        <is>
          <t>VÄSTERNORRLANDS LÄN</t>
        </is>
      </c>
      <c r="E7989" t="inlineStr">
        <is>
          <t>HÄRNÖSAND</t>
        </is>
      </c>
      <c r="F7989" t="inlineStr">
        <is>
          <t>SCA</t>
        </is>
      </c>
      <c r="G7989" t="n">
        <v>4.8</v>
      </c>
      <c r="H7989" t="n">
        <v>0</v>
      </c>
      <c r="I7989" t="n">
        <v>0</v>
      </c>
      <c r="J7989" t="n">
        <v>0</v>
      </c>
      <c r="K7989" t="n">
        <v>0</v>
      </c>
      <c r="L7989" t="n">
        <v>0</v>
      </c>
      <c r="M7989" t="n">
        <v>0</v>
      </c>
      <c r="N7989" t="n">
        <v>0</v>
      </c>
      <c r="O7989" t="n">
        <v>0</v>
      </c>
      <c r="P7989" t="n">
        <v>0</v>
      </c>
      <c r="Q7989" t="n">
        <v>0</v>
      </c>
      <c r="R7989" s="2" t="inlineStr"/>
    </row>
    <row r="7990" ht="15" customHeight="1">
      <c r="A7990" t="inlineStr">
        <is>
          <t>A 22875-2023</t>
        </is>
      </c>
      <c r="B7990" s="1" t="n">
        <v>45072</v>
      </c>
      <c r="C7990" s="1" t="n">
        <v>46093</v>
      </c>
      <c r="D7990" t="inlineStr">
        <is>
          <t>VÄSTERNORRLANDS LÄN</t>
        </is>
      </c>
      <c r="E7990" t="inlineStr">
        <is>
          <t>HÄRNÖSAND</t>
        </is>
      </c>
      <c r="F7990" t="inlineStr">
        <is>
          <t>Kyrkan</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56631-2025</t>
        </is>
      </c>
      <c r="B7991" s="1" t="n">
        <v>45975.61549768518</v>
      </c>
      <c r="C7991" s="1" t="n">
        <v>46093</v>
      </c>
      <c r="D7991" t="inlineStr">
        <is>
          <t>VÄSTERNORRLANDS LÄN</t>
        </is>
      </c>
      <c r="E7991" t="inlineStr">
        <is>
          <t>SOLLEFTEÅ</t>
        </is>
      </c>
      <c r="F7991" t="inlineStr">
        <is>
          <t>SCA</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56434-2025</t>
        </is>
      </c>
      <c r="B7992" s="1" t="n">
        <v>45975.34666666666</v>
      </c>
      <c r="C7992" s="1" t="n">
        <v>46093</v>
      </c>
      <c r="D7992" t="inlineStr">
        <is>
          <t>VÄSTERNORRLANDS LÄN</t>
        </is>
      </c>
      <c r="E7992" t="inlineStr">
        <is>
          <t>SOLLEFTEÅ</t>
        </is>
      </c>
      <c r="F7992" t="inlineStr">
        <is>
          <t>SCA</t>
        </is>
      </c>
      <c r="G7992" t="n">
        <v>3.3</v>
      </c>
      <c r="H7992" t="n">
        <v>0</v>
      </c>
      <c r="I7992" t="n">
        <v>0</v>
      </c>
      <c r="J7992" t="n">
        <v>0</v>
      </c>
      <c r="K7992" t="n">
        <v>0</v>
      </c>
      <c r="L7992" t="n">
        <v>0</v>
      </c>
      <c r="M7992" t="n">
        <v>0</v>
      </c>
      <c r="N7992" t="n">
        <v>0</v>
      </c>
      <c r="O7992" t="n">
        <v>0</v>
      </c>
      <c r="P7992" t="n">
        <v>0</v>
      </c>
      <c r="Q7992" t="n">
        <v>0</v>
      </c>
      <c r="R7992" s="2" t="inlineStr"/>
    </row>
    <row r="7993" ht="15" customHeight="1">
      <c r="A7993" t="inlineStr">
        <is>
          <t>A 56443-2025</t>
        </is>
      </c>
      <c r="B7993" s="1" t="n">
        <v>45975.34791666667</v>
      </c>
      <c r="C7993" s="1" t="n">
        <v>46093</v>
      </c>
      <c r="D7993" t="inlineStr">
        <is>
          <t>VÄSTERNORRLANDS LÄN</t>
        </is>
      </c>
      <c r="E7993" t="inlineStr">
        <is>
          <t>SOLLEFTEÅ</t>
        </is>
      </c>
      <c r="F7993" t="inlineStr">
        <is>
          <t>SCA</t>
        </is>
      </c>
      <c r="G7993" t="n">
        <v>8.199999999999999</v>
      </c>
      <c r="H7993" t="n">
        <v>0</v>
      </c>
      <c r="I7993" t="n">
        <v>0</v>
      </c>
      <c r="J7993" t="n">
        <v>0</v>
      </c>
      <c r="K7993" t="n">
        <v>0</v>
      </c>
      <c r="L7993" t="n">
        <v>0</v>
      </c>
      <c r="M7993" t="n">
        <v>0</v>
      </c>
      <c r="N7993" t="n">
        <v>0</v>
      </c>
      <c r="O7993" t="n">
        <v>0</v>
      </c>
      <c r="P7993" t="n">
        <v>0</v>
      </c>
      <c r="Q7993" t="n">
        <v>0</v>
      </c>
      <c r="R7993" s="2" t="inlineStr"/>
    </row>
    <row r="7994" ht="15" customHeight="1">
      <c r="A7994" t="inlineStr">
        <is>
          <t>A 56660-2025</t>
        </is>
      </c>
      <c r="B7994" s="1" t="n">
        <v>45975.65680555555</v>
      </c>
      <c r="C7994" s="1" t="n">
        <v>46093</v>
      </c>
      <c r="D7994" t="inlineStr">
        <is>
          <t>VÄSTERNORRLANDS LÄN</t>
        </is>
      </c>
      <c r="E7994" t="inlineStr">
        <is>
          <t>TIMRÅ</t>
        </is>
      </c>
      <c r="F7994" t="inlineStr">
        <is>
          <t>SCA</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1382-2023</t>
        </is>
      </c>
      <c r="B7995" s="1" t="n">
        <v>44936.68680555555</v>
      </c>
      <c r="C7995" s="1" t="n">
        <v>46093</v>
      </c>
      <c r="D7995" t="inlineStr">
        <is>
          <t>VÄSTERNORRLANDS LÄN</t>
        </is>
      </c>
      <c r="E7995" t="inlineStr">
        <is>
          <t>HÄRNÖSAND</t>
        </is>
      </c>
      <c r="G7995" t="n">
        <v>5.5</v>
      </c>
      <c r="H7995" t="n">
        <v>0</v>
      </c>
      <c r="I7995" t="n">
        <v>0</v>
      </c>
      <c r="J7995" t="n">
        <v>0</v>
      </c>
      <c r="K7995" t="n">
        <v>0</v>
      </c>
      <c r="L7995" t="n">
        <v>0</v>
      </c>
      <c r="M7995" t="n">
        <v>0</v>
      </c>
      <c r="N7995" t="n">
        <v>0</v>
      </c>
      <c r="O7995" t="n">
        <v>0</v>
      </c>
      <c r="P7995" t="n">
        <v>0</v>
      </c>
      <c r="Q7995" t="n">
        <v>0</v>
      </c>
      <c r="R7995" s="2" t="inlineStr"/>
    </row>
    <row r="7996" ht="15" customHeight="1">
      <c r="A7996" t="inlineStr">
        <is>
          <t>A 57567-2022</t>
        </is>
      </c>
      <c r="B7996" s="1" t="n">
        <v>44896</v>
      </c>
      <c r="C7996" s="1" t="n">
        <v>46093</v>
      </c>
      <c r="D7996" t="inlineStr">
        <is>
          <t>VÄSTERNORRLANDS LÄN</t>
        </is>
      </c>
      <c r="E7996" t="inlineStr">
        <is>
          <t>ÖRNSKÖLDSVIK</t>
        </is>
      </c>
      <c r="G7996" t="n">
        <v>5.3</v>
      </c>
      <c r="H7996" t="n">
        <v>0</v>
      </c>
      <c r="I7996" t="n">
        <v>0</v>
      </c>
      <c r="J7996" t="n">
        <v>0</v>
      </c>
      <c r="K7996" t="n">
        <v>0</v>
      </c>
      <c r="L7996" t="n">
        <v>0</v>
      </c>
      <c r="M7996" t="n">
        <v>0</v>
      </c>
      <c r="N7996" t="n">
        <v>0</v>
      </c>
      <c r="O7996" t="n">
        <v>0</v>
      </c>
      <c r="P7996" t="n">
        <v>0</v>
      </c>
      <c r="Q7996" t="n">
        <v>0</v>
      </c>
      <c r="R7996" s="2" t="inlineStr"/>
    </row>
    <row r="7997" ht="15" customHeight="1">
      <c r="A7997" t="inlineStr">
        <is>
          <t>A 34395-2021</t>
        </is>
      </c>
      <c r="B7997" s="1" t="n">
        <v>44379</v>
      </c>
      <c r="C7997" s="1" t="n">
        <v>46093</v>
      </c>
      <c r="D7997" t="inlineStr">
        <is>
          <t>VÄSTERNORRLANDS LÄN</t>
        </is>
      </c>
      <c r="E7997" t="inlineStr">
        <is>
          <t>SOLLEFTEÅ</t>
        </is>
      </c>
      <c r="F7997" t="inlineStr">
        <is>
          <t>SCA</t>
        </is>
      </c>
      <c r="G7997" t="n">
        <v>2</v>
      </c>
      <c r="H7997" t="n">
        <v>0</v>
      </c>
      <c r="I7997" t="n">
        <v>0</v>
      </c>
      <c r="J7997" t="n">
        <v>0</v>
      </c>
      <c r="K7997" t="n">
        <v>0</v>
      </c>
      <c r="L7997" t="n">
        <v>0</v>
      </c>
      <c r="M7997" t="n">
        <v>0</v>
      </c>
      <c r="N7997" t="n">
        <v>0</v>
      </c>
      <c r="O7997" t="n">
        <v>0</v>
      </c>
      <c r="P7997" t="n">
        <v>0</v>
      </c>
      <c r="Q7997" t="n">
        <v>0</v>
      </c>
      <c r="R7997" s="2" t="inlineStr"/>
    </row>
    <row r="7998" ht="15" customHeight="1">
      <c r="A7998" t="inlineStr">
        <is>
          <t>A 31537-2024</t>
        </is>
      </c>
      <c r="B7998" s="1" t="n">
        <v>45505.96146990741</v>
      </c>
      <c r="C7998" s="1" t="n">
        <v>46093</v>
      </c>
      <c r="D7998" t="inlineStr">
        <is>
          <t>VÄSTERNORRLANDS LÄN</t>
        </is>
      </c>
      <c r="E7998" t="inlineStr">
        <is>
          <t>SOLLEFTEÅ</t>
        </is>
      </c>
      <c r="F7998" t="inlineStr">
        <is>
          <t>SCA</t>
        </is>
      </c>
      <c r="G7998" t="n">
        <v>2.7</v>
      </c>
      <c r="H7998" t="n">
        <v>0</v>
      </c>
      <c r="I7998" t="n">
        <v>0</v>
      </c>
      <c r="J7998" t="n">
        <v>0</v>
      </c>
      <c r="K7998" t="n">
        <v>0</v>
      </c>
      <c r="L7998" t="n">
        <v>0</v>
      </c>
      <c r="M7998" t="n">
        <v>0</v>
      </c>
      <c r="N7998" t="n">
        <v>0</v>
      </c>
      <c r="O7998" t="n">
        <v>0</v>
      </c>
      <c r="P7998" t="n">
        <v>0</v>
      </c>
      <c r="Q7998" t="n">
        <v>0</v>
      </c>
      <c r="R7998" s="2" t="inlineStr"/>
    </row>
    <row r="7999" ht="15" customHeight="1">
      <c r="A7999" t="inlineStr">
        <is>
          <t>A 56884-2025</t>
        </is>
      </c>
      <c r="B7999" s="1" t="n">
        <v>45978.55746527778</v>
      </c>
      <c r="C7999" s="1" t="n">
        <v>46093</v>
      </c>
      <c r="D7999" t="inlineStr">
        <is>
          <t>VÄSTERNORRLANDS LÄN</t>
        </is>
      </c>
      <c r="E7999" t="inlineStr">
        <is>
          <t>SUNDSVALL</t>
        </is>
      </c>
      <c r="G7999" t="n">
        <v>0.8</v>
      </c>
      <c r="H7999" t="n">
        <v>0</v>
      </c>
      <c r="I7999" t="n">
        <v>0</v>
      </c>
      <c r="J7999" t="n">
        <v>0</v>
      </c>
      <c r="K7999" t="n">
        <v>0</v>
      </c>
      <c r="L7999" t="n">
        <v>0</v>
      </c>
      <c r="M7999" t="n">
        <v>0</v>
      </c>
      <c r="N7999" t="n">
        <v>0</v>
      </c>
      <c r="O7999" t="n">
        <v>0</v>
      </c>
      <c r="P7999" t="n">
        <v>0</v>
      </c>
      <c r="Q7999" t="n">
        <v>0</v>
      </c>
      <c r="R7999" s="2" t="inlineStr"/>
    </row>
    <row r="8000" ht="15" customHeight="1">
      <c r="A8000" t="inlineStr">
        <is>
          <t>A 35417-2021</t>
        </is>
      </c>
      <c r="B8000" s="1" t="n">
        <v>44385.43622685185</v>
      </c>
      <c r="C8000" s="1" t="n">
        <v>46093</v>
      </c>
      <c r="D8000" t="inlineStr">
        <is>
          <t>VÄSTERNORRLANDS LÄN</t>
        </is>
      </c>
      <c r="E8000" t="inlineStr">
        <is>
          <t>TIMRÅ</t>
        </is>
      </c>
      <c r="G8000" t="n">
        <v>4.9</v>
      </c>
      <c r="H8000" t="n">
        <v>0</v>
      </c>
      <c r="I8000" t="n">
        <v>0</v>
      </c>
      <c r="J8000" t="n">
        <v>0</v>
      </c>
      <c r="K8000" t="n">
        <v>0</v>
      </c>
      <c r="L8000" t="n">
        <v>0</v>
      </c>
      <c r="M8000" t="n">
        <v>0</v>
      </c>
      <c r="N8000" t="n">
        <v>0</v>
      </c>
      <c r="O8000" t="n">
        <v>0</v>
      </c>
      <c r="P8000" t="n">
        <v>0</v>
      </c>
      <c r="Q8000" t="n">
        <v>0</v>
      </c>
      <c r="R8000" s="2" t="inlineStr"/>
    </row>
    <row r="8001" ht="15" customHeight="1">
      <c r="A8001" t="inlineStr">
        <is>
          <t>A 56836-2025</t>
        </is>
      </c>
      <c r="B8001" s="1" t="n">
        <v>45978.47797453704</v>
      </c>
      <c r="C8001" s="1" t="n">
        <v>46093</v>
      </c>
      <c r="D8001" t="inlineStr">
        <is>
          <t>VÄSTERNORRLANDS LÄN</t>
        </is>
      </c>
      <c r="E8001" t="inlineStr">
        <is>
          <t>ÖRNSKÖLDSVIK</t>
        </is>
      </c>
      <c r="G8001" t="n">
        <v>4.7</v>
      </c>
      <c r="H8001" t="n">
        <v>0</v>
      </c>
      <c r="I8001" t="n">
        <v>0</v>
      </c>
      <c r="J8001" t="n">
        <v>0</v>
      </c>
      <c r="K8001" t="n">
        <v>0</v>
      </c>
      <c r="L8001" t="n">
        <v>0</v>
      </c>
      <c r="M8001" t="n">
        <v>0</v>
      </c>
      <c r="N8001" t="n">
        <v>0</v>
      </c>
      <c r="O8001" t="n">
        <v>0</v>
      </c>
      <c r="P8001" t="n">
        <v>0</v>
      </c>
      <c r="Q8001" t="n">
        <v>0</v>
      </c>
      <c r="R8001" s="2" t="inlineStr"/>
    </row>
    <row r="8002" ht="15" customHeight="1">
      <c r="A8002" t="inlineStr">
        <is>
          <t>A 56961-2025</t>
        </is>
      </c>
      <c r="B8002" s="1" t="n">
        <v>45978.65909722223</v>
      </c>
      <c r="C8002" s="1" t="n">
        <v>46093</v>
      </c>
      <c r="D8002" t="inlineStr">
        <is>
          <t>VÄSTERNORRLANDS LÄN</t>
        </is>
      </c>
      <c r="E8002" t="inlineStr">
        <is>
          <t>ÖRNSKÖLDSVIK</t>
        </is>
      </c>
      <c r="F8002" t="inlineStr">
        <is>
          <t>Holmen skog AB</t>
        </is>
      </c>
      <c r="G8002" t="n">
        <v>3</v>
      </c>
      <c r="H8002" t="n">
        <v>0</v>
      </c>
      <c r="I8002" t="n">
        <v>0</v>
      </c>
      <c r="J8002" t="n">
        <v>0</v>
      </c>
      <c r="K8002" t="n">
        <v>0</v>
      </c>
      <c r="L8002" t="n">
        <v>0</v>
      </c>
      <c r="M8002" t="n">
        <v>0</v>
      </c>
      <c r="N8002" t="n">
        <v>0</v>
      </c>
      <c r="O8002" t="n">
        <v>0</v>
      </c>
      <c r="P8002" t="n">
        <v>0</v>
      </c>
      <c r="Q8002" t="n">
        <v>0</v>
      </c>
      <c r="R8002" s="2" t="inlineStr"/>
    </row>
    <row r="8003" ht="15" customHeight="1">
      <c r="A8003" t="inlineStr">
        <is>
          <t>A 33206-2021</t>
        </is>
      </c>
      <c r="B8003" s="1" t="n">
        <v>44376.93366898148</v>
      </c>
      <c r="C8003" s="1" t="n">
        <v>46093</v>
      </c>
      <c r="D8003" t="inlineStr">
        <is>
          <t>VÄSTERNORRLANDS LÄN</t>
        </is>
      </c>
      <c r="E8003" t="inlineStr">
        <is>
          <t>SUNDSVALL</t>
        </is>
      </c>
      <c r="F8003" t="inlineStr">
        <is>
          <t>SCA</t>
        </is>
      </c>
      <c r="G8003" t="n">
        <v>4.6</v>
      </c>
      <c r="H8003" t="n">
        <v>0</v>
      </c>
      <c r="I8003" t="n">
        <v>0</v>
      </c>
      <c r="J8003" t="n">
        <v>0</v>
      </c>
      <c r="K8003" t="n">
        <v>0</v>
      </c>
      <c r="L8003" t="n">
        <v>0</v>
      </c>
      <c r="M8003" t="n">
        <v>0</v>
      </c>
      <c r="N8003" t="n">
        <v>0</v>
      </c>
      <c r="O8003" t="n">
        <v>0</v>
      </c>
      <c r="P8003" t="n">
        <v>0</v>
      </c>
      <c r="Q8003" t="n">
        <v>0</v>
      </c>
      <c r="R8003" s="2" t="inlineStr"/>
    </row>
    <row r="8004" ht="15" customHeight="1">
      <c r="A8004" t="inlineStr">
        <is>
          <t>A 56423-2025</t>
        </is>
      </c>
      <c r="B8004" s="1" t="n">
        <v>45975.34528935186</v>
      </c>
      <c r="C8004" s="1" t="n">
        <v>46093</v>
      </c>
      <c r="D8004" t="inlineStr">
        <is>
          <t>VÄSTERNORRLANDS LÄN</t>
        </is>
      </c>
      <c r="E8004" t="inlineStr">
        <is>
          <t>ÅNGE</t>
        </is>
      </c>
      <c r="F8004" t="inlineStr">
        <is>
          <t>SCA</t>
        </is>
      </c>
      <c r="G8004" t="n">
        <v>1.5</v>
      </c>
      <c r="H8004" t="n">
        <v>0</v>
      </c>
      <c r="I8004" t="n">
        <v>0</v>
      </c>
      <c r="J8004" t="n">
        <v>0</v>
      </c>
      <c r="K8004" t="n">
        <v>0</v>
      </c>
      <c r="L8004" t="n">
        <v>0</v>
      </c>
      <c r="M8004" t="n">
        <v>0</v>
      </c>
      <c r="N8004" t="n">
        <v>0</v>
      </c>
      <c r="O8004" t="n">
        <v>0</v>
      </c>
      <c r="P8004" t="n">
        <v>0</v>
      </c>
      <c r="Q8004" t="n">
        <v>0</v>
      </c>
      <c r="R8004" s="2" t="inlineStr"/>
      <c r="U8004">
        <f>HYPERLINK("https://klasma.github.io/Logging_2260/knärot/A 56423-2025 karta knärot.png", "A 56423-2025")</f>
        <v/>
      </c>
      <c r="V8004">
        <f>HYPERLINK("https://klasma.github.io/Logging_2260/klagomål/A 56423-2025 FSC-klagomål.docx", "A 56423-2025")</f>
        <v/>
      </c>
      <c r="W8004">
        <f>HYPERLINK("https://klasma.github.io/Logging_2260/klagomålsmail/A 56423-2025 FSC-klagomål mail.docx", "A 56423-2025")</f>
        <v/>
      </c>
      <c r="X8004">
        <f>HYPERLINK("https://klasma.github.io/Logging_2260/tillsyn/A 56423-2025 tillsynsbegäran.docx", "A 56423-2025")</f>
        <v/>
      </c>
      <c r="Y8004">
        <f>HYPERLINK("https://klasma.github.io/Logging_2260/tillsynsmail/A 56423-2025 tillsynsbegäran mail.docx", "A 56423-2025")</f>
        <v/>
      </c>
    </row>
    <row r="8005" ht="15" customHeight="1">
      <c r="A8005" t="inlineStr">
        <is>
          <t>A 56736-2025</t>
        </is>
      </c>
      <c r="B8005" s="1" t="n">
        <v>45978.34434027778</v>
      </c>
      <c r="C8005" s="1" t="n">
        <v>46093</v>
      </c>
      <c r="D8005" t="inlineStr">
        <is>
          <t>VÄSTERNORRLANDS LÄN</t>
        </is>
      </c>
      <c r="E8005" t="inlineStr">
        <is>
          <t>HÄRNÖSAND</t>
        </is>
      </c>
      <c r="F8005" t="inlineStr">
        <is>
          <t>SCA</t>
        </is>
      </c>
      <c r="G8005" t="n">
        <v>1.7</v>
      </c>
      <c r="H8005" t="n">
        <v>0</v>
      </c>
      <c r="I8005" t="n">
        <v>0</v>
      </c>
      <c r="J8005" t="n">
        <v>0</v>
      </c>
      <c r="K8005" t="n">
        <v>0</v>
      </c>
      <c r="L8005" t="n">
        <v>0</v>
      </c>
      <c r="M8005" t="n">
        <v>0</v>
      </c>
      <c r="N8005" t="n">
        <v>0</v>
      </c>
      <c r="O8005" t="n">
        <v>0</v>
      </c>
      <c r="P8005" t="n">
        <v>0</v>
      </c>
      <c r="Q8005" t="n">
        <v>0</v>
      </c>
      <c r="R8005" s="2" t="inlineStr"/>
    </row>
    <row r="8006" ht="15" customHeight="1">
      <c r="A8006" t="inlineStr">
        <is>
          <t>A 56842-2025</t>
        </is>
      </c>
      <c r="B8006" s="1" t="n">
        <v>45978.48265046296</v>
      </c>
      <c r="C8006" s="1" t="n">
        <v>46093</v>
      </c>
      <c r="D8006" t="inlineStr">
        <is>
          <t>VÄSTERNORRLANDS LÄN</t>
        </is>
      </c>
      <c r="E8006" t="inlineStr">
        <is>
          <t>ÖRNSKÖLDSVIK</t>
        </is>
      </c>
      <c r="F8006" t="inlineStr">
        <is>
          <t>Holmen skog AB</t>
        </is>
      </c>
      <c r="G8006" t="n">
        <v>3</v>
      </c>
      <c r="H8006" t="n">
        <v>0</v>
      </c>
      <c r="I8006" t="n">
        <v>0</v>
      </c>
      <c r="J8006" t="n">
        <v>0</v>
      </c>
      <c r="K8006" t="n">
        <v>0</v>
      </c>
      <c r="L8006" t="n">
        <v>0</v>
      </c>
      <c r="M8006" t="n">
        <v>0</v>
      </c>
      <c r="N8006" t="n">
        <v>0</v>
      </c>
      <c r="O8006" t="n">
        <v>0</v>
      </c>
      <c r="P8006" t="n">
        <v>0</v>
      </c>
      <c r="Q8006" t="n">
        <v>0</v>
      </c>
      <c r="R8006" s="2" t="inlineStr"/>
    </row>
    <row r="8007" ht="15" customHeight="1">
      <c r="A8007" t="inlineStr">
        <is>
          <t>A 20079-2025</t>
        </is>
      </c>
      <c r="B8007" s="1" t="n">
        <v>45772.44902777778</v>
      </c>
      <c r="C8007" s="1" t="n">
        <v>46093</v>
      </c>
      <c r="D8007" t="inlineStr">
        <is>
          <t>VÄSTERNORRLANDS LÄN</t>
        </is>
      </c>
      <c r="E8007" t="inlineStr">
        <is>
          <t>SUNDSVALL</t>
        </is>
      </c>
      <c r="F8007" t="inlineStr">
        <is>
          <t>SCA</t>
        </is>
      </c>
      <c r="G8007" t="n">
        <v>2</v>
      </c>
      <c r="H8007" t="n">
        <v>0</v>
      </c>
      <c r="I8007" t="n">
        <v>0</v>
      </c>
      <c r="J8007" t="n">
        <v>0</v>
      </c>
      <c r="K8007" t="n">
        <v>0</v>
      </c>
      <c r="L8007" t="n">
        <v>0</v>
      </c>
      <c r="M8007" t="n">
        <v>0</v>
      </c>
      <c r="N8007" t="n">
        <v>0</v>
      </c>
      <c r="O8007" t="n">
        <v>0</v>
      </c>
      <c r="P8007" t="n">
        <v>0</v>
      </c>
      <c r="Q8007" t="n">
        <v>0</v>
      </c>
      <c r="R8007" s="2" t="inlineStr"/>
    </row>
    <row r="8008" ht="15" customHeight="1">
      <c r="A8008" t="inlineStr">
        <is>
          <t>A 68750-2021</t>
        </is>
      </c>
      <c r="B8008" s="1" t="n">
        <v>44529</v>
      </c>
      <c r="C8008" s="1" t="n">
        <v>46093</v>
      </c>
      <c r="D8008" t="inlineStr">
        <is>
          <t>VÄSTERNORRLANDS LÄN</t>
        </is>
      </c>
      <c r="E8008" t="inlineStr">
        <is>
          <t>ÖRNSKÖLDSVIK</t>
        </is>
      </c>
      <c r="G8008" t="n">
        <v>2.4</v>
      </c>
      <c r="H8008" t="n">
        <v>0</v>
      </c>
      <c r="I8008" t="n">
        <v>0</v>
      </c>
      <c r="J8008" t="n">
        <v>0</v>
      </c>
      <c r="K8008" t="n">
        <v>0</v>
      </c>
      <c r="L8008" t="n">
        <v>0</v>
      </c>
      <c r="M8008" t="n">
        <v>0</v>
      </c>
      <c r="N8008" t="n">
        <v>0</v>
      </c>
      <c r="O8008" t="n">
        <v>0</v>
      </c>
      <c r="P8008" t="n">
        <v>0</v>
      </c>
      <c r="Q8008" t="n">
        <v>0</v>
      </c>
      <c r="R8008" s="2" t="inlineStr"/>
    </row>
    <row r="8009" ht="15" customHeight="1">
      <c r="A8009" t="inlineStr">
        <is>
          <t>A 55916-2023</t>
        </is>
      </c>
      <c r="B8009" s="1" t="n">
        <v>45239.9684375</v>
      </c>
      <c r="C8009" s="1" t="n">
        <v>46093</v>
      </c>
      <c r="D8009" t="inlineStr">
        <is>
          <t>VÄSTERNORRLANDS LÄN</t>
        </is>
      </c>
      <c r="E8009" t="inlineStr">
        <is>
          <t>SUNDSVALL</t>
        </is>
      </c>
      <c r="F8009" t="inlineStr">
        <is>
          <t>SCA</t>
        </is>
      </c>
      <c r="G8009" t="n">
        <v>4.6</v>
      </c>
      <c r="H8009" t="n">
        <v>0</v>
      </c>
      <c r="I8009" t="n">
        <v>0</v>
      </c>
      <c r="J8009" t="n">
        <v>0</v>
      </c>
      <c r="K8009" t="n">
        <v>0</v>
      </c>
      <c r="L8009" t="n">
        <v>0</v>
      </c>
      <c r="M8009" t="n">
        <v>0</v>
      </c>
      <c r="N8009" t="n">
        <v>0</v>
      </c>
      <c r="O8009" t="n">
        <v>0</v>
      </c>
      <c r="P8009" t="n">
        <v>0</v>
      </c>
      <c r="Q8009" t="n">
        <v>0</v>
      </c>
      <c r="R8009" s="2" t="inlineStr"/>
    </row>
    <row r="8010" ht="15" customHeight="1">
      <c r="A8010" t="inlineStr">
        <is>
          <t>A 45062-2023</t>
        </is>
      </c>
      <c r="B8010" s="1" t="n">
        <v>45191</v>
      </c>
      <c r="C8010" s="1" t="n">
        <v>46093</v>
      </c>
      <c r="D8010" t="inlineStr">
        <is>
          <t>VÄSTERNORRLANDS LÄN</t>
        </is>
      </c>
      <c r="E8010" t="inlineStr">
        <is>
          <t>SUNDSVALL</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68774-2021</t>
        </is>
      </c>
      <c r="B8011" s="1" t="n">
        <v>44529.94496527778</v>
      </c>
      <c r="C8011" s="1" t="n">
        <v>46093</v>
      </c>
      <c r="D8011" t="inlineStr">
        <is>
          <t>VÄSTERNORRLANDS LÄN</t>
        </is>
      </c>
      <c r="E8011" t="inlineStr">
        <is>
          <t>TIMRÅ</t>
        </is>
      </c>
      <c r="G8011" t="n">
        <v>0.5</v>
      </c>
      <c r="H8011" t="n">
        <v>0</v>
      </c>
      <c r="I8011" t="n">
        <v>0</v>
      </c>
      <c r="J8011" t="n">
        <v>0</v>
      </c>
      <c r="K8011" t="n">
        <v>0</v>
      </c>
      <c r="L8011" t="n">
        <v>0</v>
      </c>
      <c r="M8011" t="n">
        <v>0</v>
      </c>
      <c r="N8011" t="n">
        <v>0</v>
      </c>
      <c r="O8011" t="n">
        <v>0</v>
      </c>
      <c r="P8011" t="n">
        <v>0</v>
      </c>
      <c r="Q8011" t="n">
        <v>0</v>
      </c>
      <c r="R8011" s="2" t="inlineStr"/>
    </row>
    <row r="8012" ht="15" customHeight="1">
      <c r="A8012" t="inlineStr">
        <is>
          <t>A 56995-2025</t>
        </is>
      </c>
      <c r="B8012" s="1" t="n">
        <v>45978.73090277778</v>
      </c>
      <c r="C8012" s="1" t="n">
        <v>46093</v>
      </c>
      <c r="D8012" t="inlineStr">
        <is>
          <t>VÄSTERNORRLANDS LÄN</t>
        </is>
      </c>
      <c r="E8012" t="inlineStr">
        <is>
          <t>ÖRNSKÖLDSVIK</t>
        </is>
      </c>
      <c r="G8012" t="n">
        <v>1.3</v>
      </c>
      <c r="H8012" t="n">
        <v>0</v>
      </c>
      <c r="I8012" t="n">
        <v>0</v>
      </c>
      <c r="J8012" t="n">
        <v>0</v>
      </c>
      <c r="K8012" t="n">
        <v>0</v>
      </c>
      <c r="L8012" t="n">
        <v>0</v>
      </c>
      <c r="M8012" t="n">
        <v>0</v>
      </c>
      <c r="N8012" t="n">
        <v>0</v>
      </c>
      <c r="O8012" t="n">
        <v>0</v>
      </c>
      <c r="P8012" t="n">
        <v>0</v>
      </c>
      <c r="Q8012" t="n">
        <v>0</v>
      </c>
      <c r="R8012" s="2" t="inlineStr"/>
    </row>
    <row r="8013" ht="15" customHeight="1">
      <c r="A8013" t="inlineStr">
        <is>
          <t>A 30764-2024</t>
        </is>
      </c>
      <c r="B8013" s="1" t="n">
        <v>45496</v>
      </c>
      <c r="C8013" s="1" t="n">
        <v>46093</v>
      </c>
      <c r="D8013" t="inlineStr">
        <is>
          <t>VÄSTERNORRLANDS LÄN</t>
        </is>
      </c>
      <c r="E8013" t="inlineStr">
        <is>
          <t>HÄRNÖSAND</t>
        </is>
      </c>
      <c r="G8013" t="n">
        <v>3</v>
      </c>
      <c r="H8013" t="n">
        <v>0</v>
      </c>
      <c r="I8013" t="n">
        <v>0</v>
      </c>
      <c r="J8013" t="n">
        <v>0</v>
      </c>
      <c r="K8013" t="n">
        <v>0</v>
      </c>
      <c r="L8013" t="n">
        <v>0</v>
      </c>
      <c r="M8013" t="n">
        <v>0</v>
      </c>
      <c r="N8013" t="n">
        <v>0</v>
      </c>
      <c r="O8013" t="n">
        <v>0</v>
      </c>
      <c r="P8013" t="n">
        <v>0</v>
      </c>
      <c r="Q8013" t="n">
        <v>0</v>
      </c>
      <c r="R8013" s="2" t="inlineStr"/>
    </row>
    <row r="8014" ht="15" customHeight="1">
      <c r="A8014" t="inlineStr">
        <is>
          <t>A 56838-2025</t>
        </is>
      </c>
      <c r="B8014" s="1" t="n">
        <v>45978.48047453703</v>
      </c>
      <c r="C8014" s="1" t="n">
        <v>46093</v>
      </c>
      <c r="D8014" t="inlineStr">
        <is>
          <t>VÄSTERNORRLANDS LÄN</t>
        </is>
      </c>
      <c r="E8014" t="inlineStr">
        <is>
          <t>ÖRNSKÖLDSVIK</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27002-2023</t>
        </is>
      </c>
      <c r="B8015" s="1" t="n">
        <v>45093</v>
      </c>
      <c r="C8015" s="1" t="n">
        <v>46093</v>
      </c>
      <c r="D8015" t="inlineStr">
        <is>
          <t>VÄSTERNORRLANDS LÄN</t>
        </is>
      </c>
      <c r="E8015" t="inlineStr">
        <is>
          <t>ÅNGE</t>
        </is>
      </c>
      <c r="F8015" t="inlineStr">
        <is>
          <t>SCA</t>
        </is>
      </c>
      <c r="G8015" t="n">
        <v>1.9</v>
      </c>
      <c r="H8015" t="n">
        <v>0</v>
      </c>
      <c r="I8015" t="n">
        <v>0</v>
      </c>
      <c r="J8015" t="n">
        <v>0</v>
      </c>
      <c r="K8015" t="n">
        <v>0</v>
      </c>
      <c r="L8015" t="n">
        <v>0</v>
      </c>
      <c r="M8015" t="n">
        <v>0</v>
      </c>
      <c r="N8015" t="n">
        <v>0</v>
      </c>
      <c r="O8015" t="n">
        <v>0</v>
      </c>
      <c r="P8015" t="n">
        <v>0</v>
      </c>
      <c r="Q8015" t="n">
        <v>0</v>
      </c>
      <c r="R8015" s="2" t="inlineStr"/>
    </row>
    <row r="8016" ht="15" customHeight="1">
      <c r="A8016" t="inlineStr">
        <is>
          <t>A 33440-2022</t>
        </is>
      </c>
      <c r="B8016" s="1" t="n">
        <v>44788</v>
      </c>
      <c r="C8016" s="1" t="n">
        <v>46093</v>
      </c>
      <c r="D8016" t="inlineStr">
        <is>
          <t>VÄSTERNORRLANDS LÄN</t>
        </is>
      </c>
      <c r="E8016" t="inlineStr">
        <is>
          <t>KRAMFORS</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48988-2021</t>
        </is>
      </c>
      <c r="B8017" s="1" t="n">
        <v>44453.43</v>
      </c>
      <c r="C8017" s="1" t="n">
        <v>46093</v>
      </c>
      <c r="D8017" t="inlineStr">
        <is>
          <t>VÄSTERNORRLANDS LÄN</t>
        </is>
      </c>
      <c r="E8017" t="inlineStr">
        <is>
          <t>ÅNGE</t>
        </is>
      </c>
      <c r="F8017" t="inlineStr">
        <is>
          <t>Sveaskog</t>
        </is>
      </c>
      <c r="G8017" t="n">
        <v>1.7</v>
      </c>
      <c r="H8017" t="n">
        <v>0</v>
      </c>
      <c r="I8017" t="n">
        <v>0</v>
      </c>
      <c r="J8017" t="n">
        <v>0</v>
      </c>
      <c r="K8017" t="n">
        <v>0</v>
      </c>
      <c r="L8017" t="n">
        <v>0</v>
      </c>
      <c r="M8017" t="n">
        <v>0</v>
      </c>
      <c r="N8017" t="n">
        <v>0</v>
      </c>
      <c r="O8017" t="n">
        <v>0</v>
      </c>
      <c r="P8017" t="n">
        <v>0</v>
      </c>
      <c r="Q8017" t="n">
        <v>0</v>
      </c>
      <c r="R8017" s="2" t="inlineStr"/>
    </row>
    <row r="8018" ht="15" customHeight="1">
      <c r="A8018" t="inlineStr">
        <is>
          <t>A 56508-2025</t>
        </is>
      </c>
      <c r="B8018" s="1" t="n">
        <v>45975.44464120371</v>
      </c>
      <c r="C8018" s="1" t="n">
        <v>46093</v>
      </c>
      <c r="D8018" t="inlineStr">
        <is>
          <t>VÄSTERNORRLANDS LÄN</t>
        </is>
      </c>
      <c r="E8018" t="inlineStr">
        <is>
          <t>KRAMFORS</t>
        </is>
      </c>
      <c r="G8018" t="n">
        <v>1.4</v>
      </c>
      <c r="H8018" t="n">
        <v>0</v>
      </c>
      <c r="I8018" t="n">
        <v>0</v>
      </c>
      <c r="J8018" t="n">
        <v>0</v>
      </c>
      <c r="K8018" t="n">
        <v>0</v>
      </c>
      <c r="L8018" t="n">
        <v>0</v>
      </c>
      <c r="M8018" t="n">
        <v>0</v>
      </c>
      <c r="N8018" t="n">
        <v>0</v>
      </c>
      <c r="O8018" t="n">
        <v>0</v>
      </c>
      <c r="P8018" t="n">
        <v>0</v>
      </c>
      <c r="Q8018" t="n">
        <v>0</v>
      </c>
      <c r="R8018" s="2" t="inlineStr"/>
    </row>
    <row r="8019" ht="15" customHeight="1">
      <c r="A8019" t="inlineStr">
        <is>
          <t>A 13652-2025</t>
        </is>
      </c>
      <c r="B8019" s="1" t="n">
        <v>45736.71909722222</v>
      </c>
      <c r="C8019" s="1" t="n">
        <v>46093</v>
      </c>
      <c r="D8019" t="inlineStr">
        <is>
          <t>VÄSTERNORRLANDS LÄN</t>
        </is>
      </c>
      <c r="E8019" t="inlineStr">
        <is>
          <t>SOLLEFTEÅ</t>
        </is>
      </c>
      <c r="F8019" t="inlineStr">
        <is>
          <t>SCA</t>
        </is>
      </c>
      <c r="G8019" t="n">
        <v>1.8</v>
      </c>
      <c r="H8019" t="n">
        <v>0</v>
      </c>
      <c r="I8019" t="n">
        <v>0</v>
      </c>
      <c r="J8019" t="n">
        <v>0</v>
      </c>
      <c r="K8019" t="n">
        <v>0</v>
      </c>
      <c r="L8019" t="n">
        <v>0</v>
      </c>
      <c r="M8019" t="n">
        <v>0</v>
      </c>
      <c r="N8019" t="n">
        <v>0</v>
      </c>
      <c r="O8019" t="n">
        <v>0</v>
      </c>
      <c r="P8019" t="n">
        <v>0</v>
      </c>
      <c r="Q8019" t="n">
        <v>0</v>
      </c>
      <c r="R8019" s="2" t="inlineStr"/>
    </row>
    <row r="8020" ht="15" customHeight="1">
      <c r="A8020" t="inlineStr">
        <is>
          <t>A 54913-2023</t>
        </is>
      </c>
      <c r="B8020" s="1" t="n">
        <v>45236</v>
      </c>
      <c r="C8020" s="1" t="n">
        <v>46093</v>
      </c>
      <c r="D8020" t="inlineStr">
        <is>
          <t>VÄSTERNORRLANDS LÄN</t>
        </is>
      </c>
      <c r="E8020" t="inlineStr">
        <is>
          <t>ÖRNSKÖLDSVIK</t>
        </is>
      </c>
      <c r="F8020" t="inlineStr">
        <is>
          <t>Holmen skog AB</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34201-2021</t>
        </is>
      </c>
      <c r="B8021" s="1" t="n">
        <v>44379</v>
      </c>
      <c r="C8021" s="1" t="n">
        <v>46093</v>
      </c>
      <c r="D8021" t="inlineStr">
        <is>
          <t>VÄSTERNORRLANDS LÄN</t>
        </is>
      </c>
      <c r="E8021" t="inlineStr">
        <is>
          <t>KRAMFORS</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44762-2022</t>
        </is>
      </c>
      <c r="B8022" s="1" t="n">
        <v>44840</v>
      </c>
      <c r="C8022" s="1" t="n">
        <v>46093</v>
      </c>
      <c r="D8022" t="inlineStr">
        <is>
          <t>VÄSTERNORRLANDS LÄN</t>
        </is>
      </c>
      <c r="E8022" t="inlineStr">
        <is>
          <t>SOLLEFTEÅ</t>
        </is>
      </c>
      <c r="F8022" t="inlineStr">
        <is>
          <t>SCA</t>
        </is>
      </c>
      <c r="G8022" t="n">
        <v>1.5</v>
      </c>
      <c r="H8022" t="n">
        <v>0</v>
      </c>
      <c r="I8022" t="n">
        <v>0</v>
      </c>
      <c r="J8022" t="n">
        <v>0</v>
      </c>
      <c r="K8022" t="n">
        <v>0</v>
      </c>
      <c r="L8022" t="n">
        <v>0</v>
      </c>
      <c r="M8022" t="n">
        <v>0</v>
      </c>
      <c r="N8022" t="n">
        <v>0</v>
      </c>
      <c r="O8022" t="n">
        <v>0</v>
      </c>
      <c r="P8022" t="n">
        <v>0</v>
      </c>
      <c r="Q8022" t="n">
        <v>0</v>
      </c>
      <c r="R8022" s="2" t="inlineStr"/>
    </row>
    <row r="8023" ht="15" customHeight="1">
      <c r="A8023" t="inlineStr">
        <is>
          <t>A 12063-2025</t>
        </is>
      </c>
      <c r="B8023" s="1" t="n">
        <v>45728.69851851852</v>
      </c>
      <c r="C8023" s="1" t="n">
        <v>46093</v>
      </c>
      <c r="D8023" t="inlineStr">
        <is>
          <t>VÄSTERNORRLANDS LÄN</t>
        </is>
      </c>
      <c r="E8023" t="inlineStr">
        <is>
          <t>SOLLEFTEÅ</t>
        </is>
      </c>
      <c r="F8023" t="inlineStr">
        <is>
          <t>SCA</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12066-2025</t>
        </is>
      </c>
      <c r="B8024" s="1" t="n">
        <v>45728</v>
      </c>
      <c r="C8024" s="1" t="n">
        <v>46093</v>
      </c>
      <c r="D8024" t="inlineStr">
        <is>
          <t>VÄSTERNORRLANDS LÄN</t>
        </is>
      </c>
      <c r="E8024" t="inlineStr">
        <is>
          <t>KRAMFORS</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56764-2025</t>
        </is>
      </c>
      <c r="B8025" s="1" t="n">
        <v>45978.38006944444</v>
      </c>
      <c r="C8025" s="1" t="n">
        <v>46093</v>
      </c>
      <c r="D8025" t="inlineStr">
        <is>
          <t>VÄSTERNORRLANDS LÄN</t>
        </is>
      </c>
      <c r="E8025" t="inlineStr">
        <is>
          <t>ÖRNSKÖLDSVIK</t>
        </is>
      </c>
      <c r="G8025" t="n">
        <v>6.8</v>
      </c>
      <c r="H8025" t="n">
        <v>0</v>
      </c>
      <c r="I8025" t="n">
        <v>0</v>
      </c>
      <c r="J8025" t="n">
        <v>0</v>
      </c>
      <c r="K8025" t="n">
        <v>0</v>
      </c>
      <c r="L8025" t="n">
        <v>0</v>
      </c>
      <c r="M8025" t="n">
        <v>0</v>
      </c>
      <c r="N8025" t="n">
        <v>0</v>
      </c>
      <c r="O8025" t="n">
        <v>0</v>
      </c>
      <c r="P8025" t="n">
        <v>0</v>
      </c>
      <c r="Q8025" t="n">
        <v>0</v>
      </c>
      <c r="R8025" s="2" t="inlineStr"/>
    </row>
    <row r="8026" ht="15" customHeight="1">
      <c r="A8026" t="inlineStr">
        <is>
          <t>A 1886-2024</t>
        </is>
      </c>
      <c r="B8026" s="1" t="n">
        <v>45307.96335648148</v>
      </c>
      <c r="C8026" s="1" t="n">
        <v>46093</v>
      </c>
      <c r="D8026" t="inlineStr">
        <is>
          <t>VÄSTERNORRLANDS LÄN</t>
        </is>
      </c>
      <c r="E8026" t="inlineStr">
        <is>
          <t>ÅNGE</t>
        </is>
      </c>
      <c r="F8026" t="inlineStr">
        <is>
          <t>SCA</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61661-2022</t>
        </is>
      </c>
      <c r="B8027" s="1" t="n">
        <v>44916</v>
      </c>
      <c r="C8027" s="1" t="n">
        <v>46093</v>
      </c>
      <c r="D8027" t="inlineStr">
        <is>
          <t>VÄSTERNORRLANDS LÄN</t>
        </is>
      </c>
      <c r="E8027" t="inlineStr">
        <is>
          <t>ÖRNSKÖLDSVIK</t>
        </is>
      </c>
      <c r="F8027" t="inlineStr">
        <is>
          <t>SCA</t>
        </is>
      </c>
      <c r="G8027" t="n">
        <v>2</v>
      </c>
      <c r="H8027" t="n">
        <v>0</v>
      </c>
      <c r="I8027" t="n">
        <v>0</v>
      </c>
      <c r="J8027" t="n">
        <v>0</v>
      </c>
      <c r="K8027" t="n">
        <v>0</v>
      </c>
      <c r="L8027" t="n">
        <v>0</v>
      </c>
      <c r="M8027" t="n">
        <v>0</v>
      </c>
      <c r="N8027" t="n">
        <v>0</v>
      </c>
      <c r="O8027" t="n">
        <v>0</v>
      </c>
      <c r="P8027" t="n">
        <v>0</v>
      </c>
      <c r="Q8027" t="n">
        <v>0</v>
      </c>
      <c r="R8027" s="2" t="inlineStr"/>
    </row>
    <row r="8028" ht="15" customHeight="1">
      <c r="A8028" t="inlineStr">
        <is>
          <t>A 56450-2025</t>
        </is>
      </c>
      <c r="B8028" s="1" t="n">
        <v>45975.35300925926</v>
      </c>
      <c r="C8028" s="1" t="n">
        <v>46093</v>
      </c>
      <c r="D8028" t="inlineStr">
        <is>
          <t>VÄSTERNORRLANDS LÄN</t>
        </is>
      </c>
      <c r="E8028" t="inlineStr">
        <is>
          <t>ÖRNSKÖLDSVIK</t>
        </is>
      </c>
      <c r="F8028" t="inlineStr">
        <is>
          <t>Holmen skog AB</t>
        </is>
      </c>
      <c r="G8028" t="n">
        <v>2.9</v>
      </c>
      <c r="H8028" t="n">
        <v>0</v>
      </c>
      <c r="I8028" t="n">
        <v>0</v>
      </c>
      <c r="J8028" t="n">
        <v>0</v>
      </c>
      <c r="K8028" t="n">
        <v>0</v>
      </c>
      <c r="L8028" t="n">
        <v>0</v>
      </c>
      <c r="M8028" t="n">
        <v>0</v>
      </c>
      <c r="N8028" t="n">
        <v>0</v>
      </c>
      <c r="O8028" t="n">
        <v>0</v>
      </c>
      <c r="P8028" t="n">
        <v>0</v>
      </c>
      <c r="Q8028" t="n">
        <v>0</v>
      </c>
      <c r="R8028" s="2" t="inlineStr"/>
    </row>
    <row r="8029" ht="15" customHeight="1">
      <c r="A8029" t="inlineStr">
        <is>
          <t>A 56815-2025</t>
        </is>
      </c>
      <c r="B8029" s="1" t="n">
        <v>45978.45726851852</v>
      </c>
      <c r="C8029" s="1" t="n">
        <v>46093</v>
      </c>
      <c r="D8029" t="inlineStr">
        <is>
          <t>VÄSTERNORRLANDS LÄN</t>
        </is>
      </c>
      <c r="E8029" t="inlineStr">
        <is>
          <t>SUNDSVALL</t>
        </is>
      </c>
      <c r="G8029" t="n">
        <v>3.1</v>
      </c>
      <c r="H8029" t="n">
        <v>0</v>
      </c>
      <c r="I8029" t="n">
        <v>0</v>
      </c>
      <c r="J8029" t="n">
        <v>0</v>
      </c>
      <c r="K8029" t="n">
        <v>0</v>
      </c>
      <c r="L8029" t="n">
        <v>0</v>
      </c>
      <c r="M8029" t="n">
        <v>0</v>
      </c>
      <c r="N8029" t="n">
        <v>0</v>
      </c>
      <c r="O8029" t="n">
        <v>0</v>
      </c>
      <c r="P8029" t="n">
        <v>0</v>
      </c>
      <c r="Q8029" t="n">
        <v>0</v>
      </c>
      <c r="R8029" s="2" t="inlineStr"/>
    </row>
    <row r="8030" ht="15" customHeight="1">
      <c r="A8030" t="inlineStr">
        <is>
          <t>A 12190-2025</t>
        </is>
      </c>
      <c r="B8030" s="1" t="n">
        <v>45729.46947916667</v>
      </c>
      <c r="C8030" s="1" t="n">
        <v>46093</v>
      </c>
      <c r="D8030" t="inlineStr">
        <is>
          <t>VÄSTERNORRLANDS LÄN</t>
        </is>
      </c>
      <c r="E8030" t="inlineStr">
        <is>
          <t>SUNDSVALL</t>
        </is>
      </c>
      <c r="F8030" t="inlineStr">
        <is>
          <t>SCA</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12191-2025</t>
        </is>
      </c>
      <c r="B8031" s="1" t="n">
        <v>45729</v>
      </c>
      <c r="C8031" s="1" t="n">
        <v>46093</v>
      </c>
      <c r="D8031" t="inlineStr">
        <is>
          <t>VÄSTERNORRLANDS LÄN</t>
        </is>
      </c>
      <c r="E8031" t="inlineStr">
        <is>
          <t>ÖRNSKÖLDSVIK</t>
        </is>
      </c>
      <c r="G8031" t="n">
        <v>4.4</v>
      </c>
      <c r="H8031" t="n">
        <v>0</v>
      </c>
      <c r="I8031" t="n">
        <v>0</v>
      </c>
      <c r="J8031" t="n">
        <v>0</v>
      </c>
      <c r="K8031" t="n">
        <v>0</v>
      </c>
      <c r="L8031" t="n">
        <v>0</v>
      </c>
      <c r="M8031" t="n">
        <v>0</v>
      </c>
      <c r="N8031" t="n">
        <v>0</v>
      </c>
      <c r="O8031" t="n">
        <v>0</v>
      </c>
      <c r="P8031" t="n">
        <v>0</v>
      </c>
      <c r="Q8031" t="n">
        <v>0</v>
      </c>
      <c r="R8031" s="2" t="inlineStr"/>
    </row>
    <row r="8032" ht="15" customHeight="1">
      <c r="A8032" t="inlineStr">
        <is>
          <t>A 56992-2025</t>
        </is>
      </c>
      <c r="B8032" s="1" t="n">
        <v>45978.72902777778</v>
      </c>
      <c r="C8032" s="1" t="n">
        <v>46093</v>
      </c>
      <c r="D8032" t="inlineStr">
        <is>
          <t>VÄSTERNORRLANDS LÄN</t>
        </is>
      </c>
      <c r="E8032" t="inlineStr">
        <is>
          <t>ÖRNSKÖLDSVIK</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56731-2025</t>
        </is>
      </c>
      <c r="B8033" s="1" t="n">
        <v>45978.32921296296</v>
      </c>
      <c r="C8033" s="1" t="n">
        <v>46093</v>
      </c>
      <c r="D8033" t="inlineStr">
        <is>
          <t>VÄSTERNORRLANDS LÄN</t>
        </is>
      </c>
      <c r="E8033" t="inlineStr">
        <is>
          <t>KRAMFORS</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56973-2025</t>
        </is>
      </c>
      <c r="B8034" s="1" t="n">
        <v>45978.68487268518</v>
      </c>
      <c r="C8034" s="1" t="n">
        <v>46093</v>
      </c>
      <c r="D8034" t="inlineStr">
        <is>
          <t>VÄSTERNORRLANDS LÄN</t>
        </is>
      </c>
      <c r="E8034" t="inlineStr">
        <is>
          <t>TIMRÅ</t>
        </is>
      </c>
      <c r="F8034" t="inlineStr">
        <is>
          <t>SCA</t>
        </is>
      </c>
      <c r="G8034" t="n">
        <v>2</v>
      </c>
      <c r="H8034" t="n">
        <v>0</v>
      </c>
      <c r="I8034" t="n">
        <v>0</v>
      </c>
      <c r="J8034" t="n">
        <v>0</v>
      </c>
      <c r="K8034" t="n">
        <v>0</v>
      </c>
      <c r="L8034" t="n">
        <v>0</v>
      </c>
      <c r="M8034" t="n">
        <v>0</v>
      </c>
      <c r="N8034" t="n">
        <v>0</v>
      </c>
      <c r="O8034" t="n">
        <v>0</v>
      </c>
      <c r="P8034" t="n">
        <v>0</v>
      </c>
      <c r="Q8034" t="n">
        <v>0</v>
      </c>
      <c r="R8034" s="2" t="inlineStr"/>
    </row>
    <row r="8035" ht="15" customHeight="1">
      <c r="A8035" t="inlineStr">
        <is>
          <t>A 49960-2023</t>
        </is>
      </c>
      <c r="B8035" s="1" t="n">
        <v>45215.3856712963</v>
      </c>
      <c r="C8035" s="1" t="n">
        <v>46093</v>
      </c>
      <c r="D8035" t="inlineStr">
        <is>
          <t>VÄSTERNORRLANDS LÄN</t>
        </is>
      </c>
      <c r="E8035" t="inlineStr">
        <is>
          <t>ÖRNSKÖLDSVIK</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56533-2025</t>
        </is>
      </c>
      <c r="B8036" s="1" t="n">
        <v>45975.46969907408</v>
      </c>
      <c r="C8036" s="1" t="n">
        <v>46093</v>
      </c>
      <c r="D8036" t="inlineStr">
        <is>
          <t>VÄSTERNORRLANDS LÄN</t>
        </is>
      </c>
      <c r="E8036" t="inlineStr">
        <is>
          <t>SUNDSVALL</t>
        </is>
      </c>
      <c r="F8036" t="inlineStr">
        <is>
          <t>SCA</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49171-2022</t>
        </is>
      </c>
      <c r="B8037" s="1" t="n">
        <v>44860.9269212963</v>
      </c>
      <c r="C8037" s="1" t="n">
        <v>46093</v>
      </c>
      <c r="D8037" t="inlineStr">
        <is>
          <t>VÄSTERNORRLANDS LÄN</t>
        </is>
      </c>
      <c r="E8037" t="inlineStr">
        <is>
          <t>SOLLEFTEÅ</t>
        </is>
      </c>
      <c r="G8037" t="n">
        <v>1.9</v>
      </c>
      <c r="H8037" t="n">
        <v>0</v>
      </c>
      <c r="I8037" t="n">
        <v>0</v>
      </c>
      <c r="J8037" t="n">
        <v>0</v>
      </c>
      <c r="K8037" t="n">
        <v>0</v>
      </c>
      <c r="L8037" t="n">
        <v>0</v>
      </c>
      <c r="M8037" t="n">
        <v>0</v>
      </c>
      <c r="N8037" t="n">
        <v>0</v>
      </c>
      <c r="O8037" t="n">
        <v>0</v>
      </c>
      <c r="P8037" t="n">
        <v>0</v>
      </c>
      <c r="Q8037" t="n">
        <v>0</v>
      </c>
      <c r="R8037" s="2" t="inlineStr"/>
    </row>
    <row r="8038" ht="15" customHeight="1">
      <c r="A8038" t="inlineStr">
        <is>
          <t>A 56559-2025</t>
        </is>
      </c>
      <c r="B8038" s="1" t="n">
        <v>45975.49059027778</v>
      </c>
      <c r="C8038" s="1" t="n">
        <v>46093</v>
      </c>
      <c r="D8038" t="inlineStr">
        <is>
          <t>VÄSTERNORRLANDS LÄN</t>
        </is>
      </c>
      <c r="E8038" t="inlineStr">
        <is>
          <t>SUNDSVALL</t>
        </is>
      </c>
      <c r="F8038" t="inlineStr">
        <is>
          <t>SCA</t>
        </is>
      </c>
      <c r="G8038" t="n">
        <v>10</v>
      </c>
      <c r="H8038" t="n">
        <v>0</v>
      </c>
      <c r="I8038" t="n">
        <v>0</v>
      </c>
      <c r="J8038" t="n">
        <v>0</v>
      </c>
      <c r="K8038" t="n">
        <v>0</v>
      </c>
      <c r="L8038" t="n">
        <v>0</v>
      </c>
      <c r="M8038" t="n">
        <v>0</v>
      </c>
      <c r="N8038" t="n">
        <v>0</v>
      </c>
      <c r="O8038" t="n">
        <v>0</v>
      </c>
      <c r="P8038" t="n">
        <v>0</v>
      </c>
      <c r="Q8038" t="n">
        <v>0</v>
      </c>
      <c r="R8038" s="2" t="inlineStr"/>
    </row>
    <row r="8039" ht="15" customHeight="1">
      <c r="A8039" t="inlineStr">
        <is>
          <t>A 49095-2022</t>
        </is>
      </c>
      <c r="B8039" s="1" t="n">
        <v>44860.5884375</v>
      </c>
      <c r="C8039" s="1" t="n">
        <v>46093</v>
      </c>
      <c r="D8039" t="inlineStr">
        <is>
          <t>VÄSTERNORRLANDS LÄN</t>
        </is>
      </c>
      <c r="E8039" t="inlineStr">
        <is>
          <t>KRAMFORS</t>
        </is>
      </c>
      <c r="G8039" t="n">
        <v>1.9</v>
      </c>
      <c r="H8039" t="n">
        <v>0</v>
      </c>
      <c r="I8039" t="n">
        <v>0</v>
      </c>
      <c r="J8039" t="n">
        <v>0</v>
      </c>
      <c r="K8039" t="n">
        <v>0</v>
      </c>
      <c r="L8039" t="n">
        <v>0</v>
      </c>
      <c r="M8039" t="n">
        <v>0</v>
      </c>
      <c r="N8039" t="n">
        <v>0</v>
      </c>
      <c r="O8039" t="n">
        <v>0</v>
      </c>
      <c r="P8039" t="n">
        <v>0</v>
      </c>
      <c r="Q8039" t="n">
        <v>0</v>
      </c>
      <c r="R8039" s="2" t="inlineStr"/>
    </row>
    <row r="8040" ht="15" customHeight="1">
      <c r="A8040" t="inlineStr">
        <is>
          <t>A 38566-2023</t>
        </is>
      </c>
      <c r="B8040" s="1" t="n">
        <v>45162.61341435185</v>
      </c>
      <c r="C8040" s="1" t="n">
        <v>46093</v>
      </c>
      <c r="D8040" t="inlineStr">
        <is>
          <t>VÄSTERNORRLANDS LÄN</t>
        </is>
      </c>
      <c r="E8040" t="inlineStr">
        <is>
          <t>ÖRNSKÖLDSVIK</t>
        </is>
      </c>
      <c r="F8040" t="inlineStr">
        <is>
          <t>Holmen skog AB</t>
        </is>
      </c>
      <c r="G8040" t="n">
        <v>2</v>
      </c>
      <c r="H8040" t="n">
        <v>0</v>
      </c>
      <c r="I8040" t="n">
        <v>0</v>
      </c>
      <c r="J8040" t="n">
        <v>0</v>
      </c>
      <c r="K8040" t="n">
        <v>0</v>
      </c>
      <c r="L8040" t="n">
        <v>0</v>
      </c>
      <c r="M8040" t="n">
        <v>0</v>
      </c>
      <c r="N8040" t="n">
        <v>0</v>
      </c>
      <c r="O8040" t="n">
        <v>0</v>
      </c>
      <c r="P8040" t="n">
        <v>0</v>
      </c>
      <c r="Q8040" t="n">
        <v>0</v>
      </c>
      <c r="R8040" s="2" t="inlineStr"/>
    </row>
    <row r="8041" ht="15" customHeight="1">
      <c r="A8041" t="inlineStr">
        <is>
          <t>A 39294-2023</t>
        </is>
      </c>
      <c r="B8041" s="1" t="n">
        <v>45162</v>
      </c>
      <c r="C8041" s="1" t="n">
        <v>46093</v>
      </c>
      <c r="D8041" t="inlineStr">
        <is>
          <t>VÄSTERNORRLANDS LÄN</t>
        </is>
      </c>
      <c r="E8041" t="inlineStr">
        <is>
          <t>ÖRNSKÖLDSVIK</t>
        </is>
      </c>
      <c r="G8041" t="n">
        <v>0.7</v>
      </c>
      <c r="H8041" t="n">
        <v>0</v>
      </c>
      <c r="I8041" t="n">
        <v>0</v>
      </c>
      <c r="J8041" t="n">
        <v>0</v>
      </c>
      <c r="K8041" t="n">
        <v>0</v>
      </c>
      <c r="L8041" t="n">
        <v>0</v>
      </c>
      <c r="M8041" t="n">
        <v>0</v>
      </c>
      <c r="N8041" t="n">
        <v>0</v>
      </c>
      <c r="O8041" t="n">
        <v>0</v>
      </c>
      <c r="P8041" t="n">
        <v>0</v>
      </c>
      <c r="Q8041" t="n">
        <v>0</v>
      </c>
      <c r="R8041" s="2" t="inlineStr"/>
    </row>
    <row r="8042" ht="15" customHeight="1">
      <c r="A8042" t="inlineStr">
        <is>
          <t>A 45973-2023</t>
        </is>
      </c>
      <c r="B8042" s="1" t="n">
        <v>45195</v>
      </c>
      <c r="C8042" s="1" t="n">
        <v>46093</v>
      </c>
      <c r="D8042" t="inlineStr">
        <is>
          <t>VÄSTERNORRLANDS LÄN</t>
        </is>
      </c>
      <c r="E8042" t="inlineStr">
        <is>
          <t>SOLLEFTEÅ</t>
        </is>
      </c>
      <c r="F8042" t="inlineStr">
        <is>
          <t>SCA</t>
        </is>
      </c>
      <c r="G8042" t="n">
        <v>3.8</v>
      </c>
      <c r="H8042" t="n">
        <v>0</v>
      </c>
      <c r="I8042" t="n">
        <v>0</v>
      </c>
      <c r="J8042" t="n">
        <v>0</v>
      </c>
      <c r="K8042" t="n">
        <v>0</v>
      </c>
      <c r="L8042" t="n">
        <v>0</v>
      </c>
      <c r="M8042" t="n">
        <v>0</v>
      </c>
      <c r="N8042" t="n">
        <v>0</v>
      </c>
      <c r="O8042" t="n">
        <v>0</v>
      </c>
      <c r="P8042" t="n">
        <v>0</v>
      </c>
      <c r="Q8042" t="n">
        <v>0</v>
      </c>
      <c r="R8042" s="2" t="inlineStr"/>
    </row>
    <row r="8043" ht="15" customHeight="1">
      <c r="A8043" t="inlineStr">
        <is>
          <t>A 51565-2024</t>
        </is>
      </c>
      <c r="B8043" s="1" t="n">
        <v>45604</v>
      </c>
      <c r="C8043" s="1" t="n">
        <v>46093</v>
      </c>
      <c r="D8043" t="inlineStr">
        <is>
          <t>VÄSTERNORRLANDS LÄN</t>
        </is>
      </c>
      <c r="E8043" t="inlineStr">
        <is>
          <t>ÖRNSKÖLDSVIK</t>
        </is>
      </c>
      <c r="F8043" t="inlineStr">
        <is>
          <t>Holmen skog AB</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56441-2025</t>
        </is>
      </c>
      <c r="B8044" s="1" t="n">
        <v>45975.34765046297</v>
      </c>
      <c r="C8044" s="1" t="n">
        <v>46093</v>
      </c>
      <c r="D8044" t="inlineStr">
        <is>
          <t>VÄSTERNORRLANDS LÄN</t>
        </is>
      </c>
      <c r="E8044" t="inlineStr">
        <is>
          <t>SUNDSVALL</t>
        </is>
      </c>
      <c r="F8044" t="inlineStr">
        <is>
          <t>SCA</t>
        </is>
      </c>
      <c r="G8044" t="n">
        <v>3.7</v>
      </c>
      <c r="H8044" t="n">
        <v>0</v>
      </c>
      <c r="I8044" t="n">
        <v>0</v>
      </c>
      <c r="J8044" t="n">
        <v>0</v>
      </c>
      <c r="K8044" t="n">
        <v>0</v>
      </c>
      <c r="L8044" t="n">
        <v>0</v>
      </c>
      <c r="M8044" t="n">
        <v>0</v>
      </c>
      <c r="N8044" t="n">
        <v>0</v>
      </c>
      <c r="O8044" t="n">
        <v>0</v>
      </c>
      <c r="P8044" t="n">
        <v>0</v>
      </c>
      <c r="Q8044" t="n">
        <v>0</v>
      </c>
      <c r="R8044" s="2" t="inlineStr"/>
    </row>
    <row r="8045" ht="15" customHeight="1">
      <c r="A8045" t="inlineStr">
        <is>
          <t>A 20533-2025</t>
        </is>
      </c>
      <c r="B8045" s="1" t="n">
        <v>45775.61537037037</v>
      </c>
      <c r="C8045" s="1" t="n">
        <v>46093</v>
      </c>
      <c r="D8045" t="inlineStr">
        <is>
          <t>VÄSTERNORRLANDS LÄN</t>
        </is>
      </c>
      <c r="E8045" t="inlineStr">
        <is>
          <t>ÖRNSKÖLDSVIK</t>
        </is>
      </c>
      <c r="F8045" t="inlineStr">
        <is>
          <t>SCA</t>
        </is>
      </c>
      <c r="G8045" t="n">
        <v>52.9</v>
      </c>
      <c r="H8045" t="n">
        <v>0</v>
      </c>
      <c r="I8045" t="n">
        <v>0</v>
      </c>
      <c r="J8045" t="n">
        <v>0</v>
      </c>
      <c r="K8045" t="n">
        <v>0</v>
      </c>
      <c r="L8045" t="n">
        <v>0</v>
      </c>
      <c r="M8045" t="n">
        <v>0</v>
      </c>
      <c r="N8045" t="n">
        <v>0</v>
      </c>
      <c r="O8045" t="n">
        <v>0</v>
      </c>
      <c r="P8045" t="n">
        <v>0</v>
      </c>
      <c r="Q8045" t="n">
        <v>0</v>
      </c>
      <c r="R8045" s="2" t="inlineStr"/>
    </row>
    <row r="8046" ht="15" customHeight="1">
      <c r="A8046" t="inlineStr">
        <is>
          <t>A 56987-2025</t>
        </is>
      </c>
      <c r="B8046" s="1" t="n">
        <v>45978.71915509259</v>
      </c>
      <c r="C8046" s="1" t="n">
        <v>46093</v>
      </c>
      <c r="D8046" t="inlineStr">
        <is>
          <t>VÄSTERNORRLANDS LÄN</t>
        </is>
      </c>
      <c r="E8046" t="inlineStr">
        <is>
          <t>SOLLEFTEÅ</t>
        </is>
      </c>
      <c r="G8046" t="n">
        <v>2.8</v>
      </c>
      <c r="H8046" t="n">
        <v>0</v>
      </c>
      <c r="I8046" t="n">
        <v>0</v>
      </c>
      <c r="J8046" t="n">
        <v>0</v>
      </c>
      <c r="K8046" t="n">
        <v>0</v>
      </c>
      <c r="L8046" t="n">
        <v>0</v>
      </c>
      <c r="M8046" t="n">
        <v>0</v>
      </c>
      <c r="N8046" t="n">
        <v>0</v>
      </c>
      <c r="O8046" t="n">
        <v>0</v>
      </c>
      <c r="P8046" t="n">
        <v>0</v>
      </c>
      <c r="Q8046" t="n">
        <v>0</v>
      </c>
      <c r="R8046" s="2" t="inlineStr"/>
    </row>
    <row r="8047" ht="15" customHeight="1">
      <c r="A8047" t="inlineStr">
        <is>
          <t>A 14462-2022</t>
        </is>
      </c>
      <c r="B8047" s="1" t="n">
        <v>44654.62800925926</v>
      </c>
      <c r="C8047" s="1" t="n">
        <v>46093</v>
      </c>
      <c r="D8047" t="inlineStr">
        <is>
          <t>VÄSTERNORRLANDS LÄN</t>
        </is>
      </c>
      <c r="E8047" t="inlineStr">
        <is>
          <t>SUNDSVALL</t>
        </is>
      </c>
      <c r="G8047" t="n">
        <v>2.9</v>
      </c>
      <c r="H8047" t="n">
        <v>0</v>
      </c>
      <c r="I8047" t="n">
        <v>0</v>
      </c>
      <c r="J8047" t="n">
        <v>0</v>
      </c>
      <c r="K8047" t="n">
        <v>0</v>
      </c>
      <c r="L8047" t="n">
        <v>0</v>
      </c>
      <c r="M8047" t="n">
        <v>0</v>
      </c>
      <c r="N8047" t="n">
        <v>0</v>
      </c>
      <c r="O8047" t="n">
        <v>0</v>
      </c>
      <c r="P8047" t="n">
        <v>0</v>
      </c>
      <c r="Q8047" t="n">
        <v>0</v>
      </c>
      <c r="R8047" s="2" t="inlineStr"/>
    </row>
    <row r="8048" ht="15" customHeight="1">
      <c r="A8048" t="inlineStr">
        <is>
          <t>A 44966-2023</t>
        </is>
      </c>
      <c r="B8048" s="1" t="n">
        <v>45190.92496527778</v>
      </c>
      <c r="C8048" s="1" t="n">
        <v>46093</v>
      </c>
      <c r="D8048" t="inlineStr">
        <is>
          <t>VÄSTERNORRLANDS LÄN</t>
        </is>
      </c>
      <c r="E8048" t="inlineStr">
        <is>
          <t>SUNDSVALL</t>
        </is>
      </c>
      <c r="G8048" t="n">
        <v>1.4</v>
      </c>
      <c r="H8048" t="n">
        <v>0</v>
      </c>
      <c r="I8048" t="n">
        <v>0</v>
      </c>
      <c r="J8048" t="n">
        <v>0</v>
      </c>
      <c r="K8048" t="n">
        <v>0</v>
      </c>
      <c r="L8048" t="n">
        <v>0</v>
      </c>
      <c r="M8048" t="n">
        <v>0</v>
      </c>
      <c r="N8048" t="n">
        <v>0</v>
      </c>
      <c r="O8048" t="n">
        <v>0</v>
      </c>
      <c r="P8048" t="n">
        <v>0</v>
      </c>
      <c r="Q8048" t="n">
        <v>0</v>
      </c>
      <c r="R8048" s="2" t="inlineStr"/>
    </row>
    <row r="8049" ht="15" customHeight="1">
      <c r="A8049" t="inlineStr">
        <is>
          <t>A 44979-2023</t>
        </is>
      </c>
      <c r="B8049" s="1" t="n">
        <v>45190.95752314815</v>
      </c>
      <c r="C8049" s="1" t="n">
        <v>46093</v>
      </c>
      <c r="D8049" t="inlineStr">
        <is>
          <t>VÄSTERNORRLANDS LÄN</t>
        </is>
      </c>
      <c r="E8049" t="inlineStr">
        <is>
          <t>ÅNGE</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63170-2023</t>
        </is>
      </c>
      <c r="B8050" s="1" t="n">
        <v>45273.57087962963</v>
      </c>
      <c r="C8050" s="1" t="n">
        <v>46093</v>
      </c>
      <c r="D8050" t="inlineStr">
        <is>
          <t>VÄSTERNORRLANDS LÄN</t>
        </is>
      </c>
      <c r="E8050" t="inlineStr">
        <is>
          <t>ÅNGE</t>
        </is>
      </c>
      <c r="F8050" t="inlineStr">
        <is>
          <t>Holmen skog AB</t>
        </is>
      </c>
      <c r="G8050" t="n">
        <v>4.1</v>
      </c>
      <c r="H8050" t="n">
        <v>0</v>
      </c>
      <c r="I8050" t="n">
        <v>0</v>
      </c>
      <c r="J8050" t="n">
        <v>0</v>
      </c>
      <c r="K8050" t="n">
        <v>0</v>
      </c>
      <c r="L8050" t="n">
        <v>0</v>
      </c>
      <c r="M8050" t="n">
        <v>0</v>
      </c>
      <c r="N8050" t="n">
        <v>0</v>
      </c>
      <c r="O8050" t="n">
        <v>0</v>
      </c>
      <c r="P8050" t="n">
        <v>0</v>
      </c>
      <c r="Q8050" t="n">
        <v>0</v>
      </c>
      <c r="R8050" s="2" t="inlineStr"/>
    </row>
    <row r="8051" ht="15" customHeight="1">
      <c r="A8051" t="inlineStr">
        <is>
          <t>A 12504-2025</t>
        </is>
      </c>
      <c r="B8051" s="1" t="n">
        <v>45730.63056712963</v>
      </c>
      <c r="C8051" s="1" t="n">
        <v>46093</v>
      </c>
      <c r="D8051" t="inlineStr">
        <is>
          <t>VÄSTERNORRLANDS LÄN</t>
        </is>
      </c>
      <c r="E8051" t="inlineStr">
        <is>
          <t>ÖRNSKÖLDSVIK</t>
        </is>
      </c>
      <c r="F8051" t="inlineStr">
        <is>
          <t>Holmen skog AB</t>
        </is>
      </c>
      <c r="G8051" t="n">
        <v>7.4</v>
      </c>
      <c r="H8051" t="n">
        <v>0</v>
      </c>
      <c r="I8051" t="n">
        <v>0</v>
      </c>
      <c r="J8051" t="n">
        <v>0</v>
      </c>
      <c r="K8051" t="n">
        <v>0</v>
      </c>
      <c r="L8051" t="n">
        <v>0</v>
      </c>
      <c r="M8051" t="n">
        <v>0</v>
      </c>
      <c r="N8051" t="n">
        <v>0</v>
      </c>
      <c r="O8051" t="n">
        <v>0</v>
      </c>
      <c r="P8051" t="n">
        <v>0</v>
      </c>
      <c r="Q8051" t="n">
        <v>0</v>
      </c>
      <c r="R8051" s="2" t="inlineStr"/>
    </row>
    <row r="8052" ht="15" customHeight="1">
      <c r="A8052" t="inlineStr">
        <is>
          <t>A 30273-2023</t>
        </is>
      </c>
      <c r="B8052" s="1" t="n">
        <v>45099</v>
      </c>
      <c r="C8052" s="1" t="n">
        <v>46093</v>
      </c>
      <c r="D8052" t="inlineStr">
        <is>
          <t>VÄSTERNORRLANDS LÄN</t>
        </is>
      </c>
      <c r="E8052" t="inlineStr">
        <is>
          <t>ÅNGE</t>
        </is>
      </c>
      <c r="G8052" t="n">
        <v>3.9</v>
      </c>
      <c r="H8052" t="n">
        <v>0</v>
      </c>
      <c r="I8052" t="n">
        <v>0</v>
      </c>
      <c r="J8052" t="n">
        <v>0</v>
      </c>
      <c r="K8052" t="n">
        <v>0</v>
      </c>
      <c r="L8052" t="n">
        <v>0</v>
      </c>
      <c r="M8052" t="n">
        <v>0</v>
      </c>
      <c r="N8052" t="n">
        <v>0</v>
      </c>
      <c r="O8052" t="n">
        <v>0</v>
      </c>
      <c r="P8052" t="n">
        <v>0</v>
      </c>
      <c r="Q8052" t="n">
        <v>0</v>
      </c>
      <c r="R8052" s="2" t="inlineStr"/>
    </row>
    <row r="8053" ht="15" customHeight="1">
      <c r="A8053" t="inlineStr">
        <is>
          <t>A 56849-2025</t>
        </is>
      </c>
      <c r="B8053" s="1" t="n">
        <v>45978.48989583334</v>
      </c>
      <c r="C8053" s="1" t="n">
        <v>46093</v>
      </c>
      <c r="D8053" t="inlineStr">
        <is>
          <t>VÄSTERNORRLANDS LÄN</t>
        </is>
      </c>
      <c r="E8053" t="inlineStr">
        <is>
          <t>ÅNGE</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56538-2025</t>
        </is>
      </c>
      <c r="B8054" s="1" t="n">
        <v>45975.47296296297</v>
      </c>
      <c r="C8054" s="1" t="n">
        <v>46093</v>
      </c>
      <c r="D8054" t="inlineStr">
        <is>
          <t>VÄSTERNORRLANDS LÄN</t>
        </is>
      </c>
      <c r="E8054" t="inlineStr">
        <is>
          <t>KRAMFORS</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50217-2022</t>
        </is>
      </c>
      <c r="B8055" s="1" t="n">
        <v>44865</v>
      </c>
      <c r="C8055" s="1" t="n">
        <v>46093</v>
      </c>
      <c r="D8055" t="inlineStr">
        <is>
          <t>VÄSTERNORRLANDS LÄN</t>
        </is>
      </c>
      <c r="E8055" t="inlineStr">
        <is>
          <t>ÖRNSKÖLDSVIK</t>
        </is>
      </c>
      <c r="F8055" t="inlineStr">
        <is>
          <t>Holmen skog AB</t>
        </is>
      </c>
      <c r="G8055" t="n">
        <v>24.6</v>
      </c>
      <c r="H8055" t="n">
        <v>0</v>
      </c>
      <c r="I8055" t="n">
        <v>0</v>
      </c>
      <c r="J8055" t="n">
        <v>0</v>
      </c>
      <c r="K8055" t="n">
        <v>0</v>
      </c>
      <c r="L8055" t="n">
        <v>0</v>
      </c>
      <c r="M8055" t="n">
        <v>0</v>
      </c>
      <c r="N8055" t="n">
        <v>0</v>
      </c>
      <c r="O8055" t="n">
        <v>0</v>
      </c>
      <c r="P8055" t="n">
        <v>0</v>
      </c>
      <c r="Q8055" t="n">
        <v>0</v>
      </c>
      <c r="R8055" s="2" t="inlineStr"/>
    </row>
    <row r="8056" ht="15" customHeight="1">
      <c r="A8056" t="inlineStr">
        <is>
          <t>A 49631-2024</t>
        </is>
      </c>
      <c r="B8056" s="1" t="n">
        <v>45596.59438657408</v>
      </c>
      <c r="C8056" s="1" t="n">
        <v>46093</v>
      </c>
      <c r="D8056" t="inlineStr">
        <is>
          <t>VÄSTERNORRLANDS LÄN</t>
        </is>
      </c>
      <c r="E8056" t="inlineStr">
        <is>
          <t>SUNDSVALL</t>
        </is>
      </c>
      <c r="F8056" t="inlineStr">
        <is>
          <t>Holmen skog AB</t>
        </is>
      </c>
      <c r="G8056" t="n">
        <v>13.3</v>
      </c>
      <c r="H8056" t="n">
        <v>0</v>
      </c>
      <c r="I8056" t="n">
        <v>0</v>
      </c>
      <c r="J8056" t="n">
        <v>0</v>
      </c>
      <c r="K8056" t="n">
        <v>0</v>
      </c>
      <c r="L8056" t="n">
        <v>0</v>
      </c>
      <c r="M8056" t="n">
        <v>0</v>
      </c>
      <c r="N8056" t="n">
        <v>0</v>
      </c>
      <c r="O8056" t="n">
        <v>0</v>
      </c>
      <c r="P8056" t="n">
        <v>0</v>
      </c>
      <c r="Q8056" t="n">
        <v>0</v>
      </c>
      <c r="R8056" s="2" t="inlineStr"/>
    </row>
    <row r="8057" ht="15" customHeight="1">
      <c r="A8057" t="inlineStr">
        <is>
          <t>A 56632-2025</t>
        </is>
      </c>
      <c r="B8057" s="1" t="n">
        <v>45975.61571759259</v>
      </c>
      <c r="C8057" s="1" t="n">
        <v>46093</v>
      </c>
      <c r="D8057" t="inlineStr">
        <is>
          <t>VÄSTERNORRLANDS LÄN</t>
        </is>
      </c>
      <c r="E8057" t="inlineStr">
        <is>
          <t>SOLLEFTEÅ</t>
        </is>
      </c>
      <c r="F8057" t="inlineStr">
        <is>
          <t>SCA</t>
        </is>
      </c>
      <c r="G8057" t="n">
        <v>5.3</v>
      </c>
      <c r="H8057" t="n">
        <v>0</v>
      </c>
      <c r="I8057" t="n">
        <v>0</v>
      </c>
      <c r="J8057" t="n">
        <v>0</v>
      </c>
      <c r="K8057" t="n">
        <v>0</v>
      </c>
      <c r="L8057" t="n">
        <v>0</v>
      </c>
      <c r="M8057" t="n">
        <v>0</v>
      </c>
      <c r="N8057" t="n">
        <v>0</v>
      </c>
      <c r="O8057" t="n">
        <v>0</v>
      </c>
      <c r="P8057" t="n">
        <v>0</v>
      </c>
      <c r="Q8057" t="n">
        <v>0</v>
      </c>
      <c r="R8057" s="2" t="inlineStr"/>
    </row>
    <row r="8058" ht="15" customHeight="1">
      <c r="A8058" t="inlineStr">
        <is>
          <t>A 60368-2024</t>
        </is>
      </c>
      <c r="B8058" s="1" t="n">
        <v>45643</v>
      </c>
      <c r="C8058" s="1" t="n">
        <v>46093</v>
      </c>
      <c r="D8058" t="inlineStr">
        <is>
          <t>VÄSTERNORRLANDS LÄN</t>
        </is>
      </c>
      <c r="E8058" t="inlineStr">
        <is>
          <t>ÅNGE</t>
        </is>
      </c>
      <c r="G8058" t="n">
        <v>1.8</v>
      </c>
      <c r="H8058" t="n">
        <v>0</v>
      </c>
      <c r="I8058" t="n">
        <v>0</v>
      </c>
      <c r="J8058" t="n">
        <v>0</v>
      </c>
      <c r="K8058" t="n">
        <v>0</v>
      </c>
      <c r="L8058" t="n">
        <v>0</v>
      </c>
      <c r="M8058" t="n">
        <v>0</v>
      </c>
      <c r="N8058" t="n">
        <v>0</v>
      </c>
      <c r="O8058" t="n">
        <v>0</v>
      </c>
      <c r="P8058" t="n">
        <v>0</v>
      </c>
      <c r="Q8058" t="n">
        <v>0</v>
      </c>
      <c r="R8058" s="2" t="inlineStr"/>
    </row>
    <row r="8059" ht="15" customHeight="1">
      <c r="A8059" t="inlineStr">
        <is>
          <t>A 56458-2025</t>
        </is>
      </c>
      <c r="B8059" s="1" t="n">
        <v>45975.3650462963</v>
      </c>
      <c r="C8059" s="1" t="n">
        <v>46093</v>
      </c>
      <c r="D8059" t="inlineStr">
        <is>
          <t>VÄSTERNORRLANDS LÄN</t>
        </is>
      </c>
      <c r="E8059" t="inlineStr">
        <is>
          <t>SOLLEFTEÅ</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16935-2025</t>
        </is>
      </c>
      <c r="B8060" s="1" t="n">
        <v>45755.40678240741</v>
      </c>
      <c r="C8060" s="1" t="n">
        <v>46093</v>
      </c>
      <c r="D8060" t="inlineStr">
        <is>
          <t>VÄSTERNORRLANDS LÄN</t>
        </is>
      </c>
      <c r="E8060" t="inlineStr">
        <is>
          <t>TIMRÅ</t>
        </is>
      </c>
      <c r="G8060" t="n">
        <v>3.6</v>
      </c>
      <c r="H8060" t="n">
        <v>0</v>
      </c>
      <c r="I8060" t="n">
        <v>0</v>
      </c>
      <c r="J8060" t="n">
        <v>0</v>
      </c>
      <c r="K8060" t="n">
        <v>0</v>
      </c>
      <c r="L8060" t="n">
        <v>0</v>
      </c>
      <c r="M8060" t="n">
        <v>0</v>
      </c>
      <c r="N8060" t="n">
        <v>0</v>
      </c>
      <c r="O8060" t="n">
        <v>0</v>
      </c>
      <c r="P8060" t="n">
        <v>0</v>
      </c>
      <c r="Q8060" t="n">
        <v>0</v>
      </c>
      <c r="R8060" s="2" t="inlineStr"/>
    </row>
    <row r="8061" ht="15" customHeight="1">
      <c r="A8061" t="inlineStr">
        <is>
          <t>A 56482-2025</t>
        </is>
      </c>
      <c r="B8061" s="1" t="n">
        <v>45975.40417824074</v>
      </c>
      <c r="C8061" s="1" t="n">
        <v>46093</v>
      </c>
      <c r="D8061" t="inlineStr">
        <is>
          <t>VÄSTERNORRLANDS LÄN</t>
        </is>
      </c>
      <c r="E8061" t="inlineStr">
        <is>
          <t>ÖRNSKÖLDSVIK</t>
        </is>
      </c>
      <c r="G8061" t="n">
        <v>4.9</v>
      </c>
      <c r="H8061" t="n">
        <v>0</v>
      </c>
      <c r="I8061" t="n">
        <v>0</v>
      </c>
      <c r="J8061" t="n">
        <v>0</v>
      </c>
      <c r="K8061" t="n">
        <v>0</v>
      </c>
      <c r="L8061" t="n">
        <v>0</v>
      </c>
      <c r="M8061" t="n">
        <v>0</v>
      </c>
      <c r="N8061" t="n">
        <v>0</v>
      </c>
      <c r="O8061" t="n">
        <v>0</v>
      </c>
      <c r="P8061" t="n">
        <v>0</v>
      </c>
      <c r="Q8061" t="n">
        <v>0</v>
      </c>
      <c r="R8061" s="2" t="inlineStr"/>
    </row>
    <row r="8062" ht="15" customHeight="1">
      <c r="A8062" t="inlineStr">
        <is>
          <t>A 14712-2025</t>
        </is>
      </c>
      <c r="B8062" s="1" t="n">
        <v>45742.61008101852</v>
      </c>
      <c r="C8062" s="1" t="n">
        <v>46093</v>
      </c>
      <c r="D8062" t="inlineStr">
        <is>
          <t>VÄSTERNORRLANDS LÄN</t>
        </is>
      </c>
      <c r="E8062" t="inlineStr">
        <is>
          <t>SOLLEFTEÅ</t>
        </is>
      </c>
      <c r="G8062" t="n">
        <v>4.5</v>
      </c>
      <c r="H8062" t="n">
        <v>0</v>
      </c>
      <c r="I8062" t="n">
        <v>0</v>
      </c>
      <c r="J8062" t="n">
        <v>0</v>
      </c>
      <c r="K8062" t="n">
        <v>0</v>
      </c>
      <c r="L8062" t="n">
        <v>0</v>
      </c>
      <c r="M8062" t="n">
        <v>0</v>
      </c>
      <c r="N8062" t="n">
        <v>0</v>
      </c>
      <c r="O8062" t="n">
        <v>0</v>
      </c>
      <c r="P8062" t="n">
        <v>0</v>
      </c>
      <c r="Q8062" t="n">
        <v>0</v>
      </c>
      <c r="R8062" s="2" t="inlineStr"/>
    </row>
    <row r="8063" ht="15" customHeight="1">
      <c r="A8063" t="inlineStr">
        <is>
          <t>A 31729-2024</t>
        </is>
      </c>
      <c r="B8063" s="1" t="n">
        <v>45509.35844907408</v>
      </c>
      <c r="C8063" s="1" t="n">
        <v>46093</v>
      </c>
      <c r="D8063" t="inlineStr">
        <is>
          <t>VÄSTERNORRLANDS LÄN</t>
        </is>
      </c>
      <c r="E8063" t="inlineStr">
        <is>
          <t>ÅNGE</t>
        </is>
      </c>
      <c r="G8063" t="n">
        <v>1.9</v>
      </c>
      <c r="H8063" t="n">
        <v>0</v>
      </c>
      <c r="I8063" t="n">
        <v>0</v>
      </c>
      <c r="J8063" t="n">
        <v>0</v>
      </c>
      <c r="K8063" t="n">
        <v>0</v>
      </c>
      <c r="L8063" t="n">
        <v>0</v>
      </c>
      <c r="M8063" t="n">
        <v>0</v>
      </c>
      <c r="N8063" t="n">
        <v>0</v>
      </c>
      <c r="O8063" t="n">
        <v>0</v>
      </c>
      <c r="P8063" t="n">
        <v>0</v>
      </c>
      <c r="Q8063" t="n">
        <v>0</v>
      </c>
      <c r="R8063" s="2" t="inlineStr"/>
    </row>
    <row r="8064" ht="15" customHeight="1">
      <c r="A8064" t="inlineStr">
        <is>
          <t>A 37691-2023</t>
        </is>
      </c>
      <c r="B8064" s="1" t="n">
        <v>45156</v>
      </c>
      <c r="C8064" s="1" t="n">
        <v>46093</v>
      </c>
      <c r="D8064" t="inlineStr">
        <is>
          <t>VÄSTERNORRLANDS LÄN</t>
        </is>
      </c>
      <c r="E8064" t="inlineStr">
        <is>
          <t>SOLLEFTEÅ</t>
        </is>
      </c>
      <c r="G8064" t="n">
        <v>0.2</v>
      </c>
      <c r="H8064" t="n">
        <v>0</v>
      </c>
      <c r="I8064" t="n">
        <v>0</v>
      </c>
      <c r="J8064" t="n">
        <v>0</v>
      </c>
      <c r="K8064" t="n">
        <v>0</v>
      </c>
      <c r="L8064" t="n">
        <v>0</v>
      </c>
      <c r="M8064" t="n">
        <v>0</v>
      </c>
      <c r="N8064" t="n">
        <v>0</v>
      </c>
      <c r="O8064" t="n">
        <v>0</v>
      </c>
      <c r="P8064" t="n">
        <v>0</v>
      </c>
      <c r="Q8064" t="n">
        <v>0</v>
      </c>
      <c r="R8064" s="2" t="inlineStr"/>
    </row>
    <row r="8065" ht="15" customHeight="1">
      <c r="A8065" t="inlineStr">
        <is>
          <t>A 56425-2025</t>
        </is>
      </c>
      <c r="B8065" s="1" t="n">
        <v>45975.34559027778</v>
      </c>
      <c r="C8065" s="1" t="n">
        <v>46093</v>
      </c>
      <c r="D8065" t="inlineStr">
        <is>
          <t>VÄSTERNORRLANDS LÄN</t>
        </is>
      </c>
      <c r="E8065" t="inlineStr">
        <is>
          <t>SOLLEFTEÅ</t>
        </is>
      </c>
      <c r="F8065" t="inlineStr">
        <is>
          <t>SCA</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19682-2025</t>
        </is>
      </c>
      <c r="B8066" s="1" t="n">
        <v>45770.85163194445</v>
      </c>
      <c r="C8066" s="1" t="n">
        <v>46093</v>
      </c>
      <c r="D8066" t="inlineStr">
        <is>
          <t>VÄSTERNORRLANDS LÄN</t>
        </is>
      </c>
      <c r="E8066" t="inlineStr">
        <is>
          <t>SOLLEFTEÅ</t>
        </is>
      </c>
      <c r="G8066" t="n">
        <v>2.7</v>
      </c>
      <c r="H8066" t="n">
        <v>0</v>
      </c>
      <c r="I8066" t="n">
        <v>0</v>
      </c>
      <c r="J8066" t="n">
        <v>0</v>
      </c>
      <c r="K8066" t="n">
        <v>0</v>
      </c>
      <c r="L8066" t="n">
        <v>0</v>
      </c>
      <c r="M8066" t="n">
        <v>0</v>
      </c>
      <c r="N8066" t="n">
        <v>0</v>
      </c>
      <c r="O8066" t="n">
        <v>0</v>
      </c>
      <c r="P8066" t="n">
        <v>0</v>
      </c>
      <c r="Q8066" t="n">
        <v>0</v>
      </c>
      <c r="R8066" s="2" t="inlineStr"/>
    </row>
    <row r="8067" ht="15" customHeight="1">
      <c r="A8067" t="inlineStr">
        <is>
          <t>A 19715-2025</t>
        </is>
      </c>
      <c r="B8067" s="1" t="n">
        <v>45771</v>
      </c>
      <c r="C8067" s="1" t="n">
        <v>46093</v>
      </c>
      <c r="D8067" t="inlineStr">
        <is>
          <t>VÄSTERNORRLANDS LÄN</t>
        </is>
      </c>
      <c r="E8067" t="inlineStr">
        <is>
          <t>SUNDSVALL</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19720-2025</t>
        </is>
      </c>
      <c r="B8068" s="1" t="n">
        <v>45771.35729166667</v>
      </c>
      <c r="C8068" s="1" t="n">
        <v>46093</v>
      </c>
      <c r="D8068" t="inlineStr">
        <is>
          <t>VÄSTERNORRLANDS LÄN</t>
        </is>
      </c>
      <c r="E8068" t="inlineStr">
        <is>
          <t>SUNDSVALL</t>
        </is>
      </c>
      <c r="G8068" t="n">
        <v>2</v>
      </c>
      <c r="H8068" t="n">
        <v>0</v>
      </c>
      <c r="I8068" t="n">
        <v>0</v>
      </c>
      <c r="J8068" t="n">
        <v>0</v>
      </c>
      <c r="K8068" t="n">
        <v>0</v>
      </c>
      <c r="L8068" t="n">
        <v>0</v>
      </c>
      <c r="M8068" t="n">
        <v>0</v>
      </c>
      <c r="N8068" t="n">
        <v>0</v>
      </c>
      <c r="O8068" t="n">
        <v>0</v>
      </c>
      <c r="P8068" t="n">
        <v>0</v>
      </c>
      <c r="Q8068" t="n">
        <v>0</v>
      </c>
      <c r="R8068" s="2" t="inlineStr"/>
    </row>
    <row r="8069" ht="15" customHeight="1">
      <c r="A8069" t="inlineStr">
        <is>
          <t>A 19733-2025</t>
        </is>
      </c>
      <c r="B8069" s="1" t="n">
        <v>45771.36633101852</v>
      </c>
      <c r="C8069" s="1" t="n">
        <v>46093</v>
      </c>
      <c r="D8069" t="inlineStr">
        <is>
          <t>VÄSTERNORRLANDS LÄN</t>
        </is>
      </c>
      <c r="E8069" t="inlineStr">
        <is>
          <t>SUNDSVALL</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56419-2025</t>
        </is>
      </c>
      <c r="B8070" s="1" t="n">
        <v>45975.34445601852</v>
      </c>
      <c r="C8070" s="1" t="n">
        <v>46093</v>
      </c>
      <c r="D8070" t="inlineStr">
        <is>
          <t>VÄSTERNORRLANDS LÄN</t>
        </is>
      </c>
      <c r="E8070" t="inlineStr">
        <is>
          <t>ÅNGE</t>
        </is>
      </c>
      <c r="F8070" t="inlineStr">
        <is>
          <t>SCA</t>
        </is>
      </c>
      <c r="G8070" t="n">
        <v>21.4</v>
      </c>
      <c r="H8070" t="n">
        <v>0</v>
      </c>
      <c r="I8070" t="n">
        <v>0</v>
      </c>
      <c r="J8070" t="n">
        <v>0</v>
      </c>
      <c r="K8070" t="n">
        <v>0</v>
      </c>
      <c r="L8070" t="n">
        <v>0</v>
      </c>
      <c r="M8070" t="n">
        <v>0</v>
      </c>
      <c r="N8070" t="n">
        <v>0</v>
      </c>
      <c r="O8070" t="n">
        <v>0</v>
      </c>
      <c r="P8070" t="n">
        <v>0</v>
      </c>
      <c r="Q8070" t="n">
        <v>0</v>
      </c>
      <c r="R8070" s="2" t="inlineStr"/>
    </row>
    <row r="8071" ht="15" customHeight="1">
      <c r="A8071" t="inlineStr">
        <is>
          <t>A 19166-2025</t>
        </is>
      </c>
      <c r="B8071" s="1" t="n">
        <v>45769.38575231482</v>
      </c>
      <c r="C8071" s="1" t="n">
        <v>46093</v>
      </c>
      <c r="D8071" t="inlineStr">
        <is>
          <t>VÄSTERNORRLANDS LÄN</t>
        </is>
      </c>
      <c r="E8071" t="inlineStr">
        <is>
          <t>HÄRNÖSAND</t>
        </is>
      </c>
      <c r="F8071" t="inlineStr">
        <is>
          <t>SCA</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19203-2025</t>
        </is>
      </c>
      <c r="B8072" s="1" t="n">
        <v>45769.42833333334</v>
      </c>
      <c r="C8072" s="1" t="n">
        <v>46093</v>
      </c>
      <c r="D8072" t="inlineStr">
        <is>
          <t>VÄSTERNORRLANDS LÄN</t>
        </is>
      </c>
      <c r="E8072" t="inlineStr">
        <is>
          <t>HÄRNÖSAND</t>
        </is>
      </c>
      <c r="F8072" t="inlineStr">
        <is>
          <t>SCA</t>
        </is>
      </c>
      <c r="G8072" t="n">
        <v>27.2</v>
      </c>
      <c r="H8072" t="n">
        <v>0</v>
      </c>
      <c r="I8072" t="n">
        <v>0</v>
      </c>
      <c r="J8072" t="n">
        <v>0</v>
      </c>
      <c r="K8072" t="n">
        <v>0</v>
      </c>
      <c r="L8072" t="n">
        <v>0</v>
      </c>
      <c r="M8072" t="n">
        <v>0</v>
      </c>
      <c r="N8072" t="n">
        <v>0</v>
      </c>
      <c r="O8072" t="n">
        <v>0</v>
      </c>
      <c r="P8072" t="n">
        <v>0</v>
      </c>
      <c r="Q8072" t="n">
        <v>0</v>
      </c>
      <c r="R8072" s="2" t="inlineStr"/>
    </row>
    <row r="8073" ht="15" customHeight="1">
      <c r="A8073" t="inlineStr">
        <is>
          <t>A 32488-2024</t>
        </is>
      </c>
      <c r="B8073" s="1" t="n">
        <v>45513</v>
      </c>
      <c r="C8073" s="1" t="n">
        <v>46093</v>
      </c>
      <c r="D8073" t="inlineStr">
        <is>
          <t>VÄSTERNORRLANDS LÄN</t>
        </is>
      </c>
      <c r="E8073" t="inlineStr">
        <is>
          <t>ÖRNSKÖLDSVIK</t>
        </is>
      </c>
      <c r="F8073" t="inlineStr">
        <is>
          <t>Holmen skog AB</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25189-2024</t>
        </is>
      </c>
      <c r="B8074" s="1" t="n">
        <v>45462.56429398148</v>
      </c>
      <c r="C8074" s="1" t="n">
        <v>46093</v>
      </c>
      <c r="D8074" t="inlineStr">
        <is>
          <t>VÄSTERNORRLANDS LÄN</t>
        </is>
      </c>
      <c r="E8074" t="inlineStr">
        <is>
          <t>ÖRNSKÖLDSVIK</t>
        </is>
      </c>
      <c r="F8074" t="inlineStr">
        <is>
          <t>Holmen skog AB</t>
        </is>
      </c>
      <c r="G8074" t="n">
        <v>3.9</v>
      </c>
      <c r="H8074" t="n">
        <v>0</v>
      </c>
      <c r="I8074" t="n">
        <v>0</v>
      </c>
      <c r="J8074" t="n">
        <v>0</v>
      </c>
      <c r="K8074" t="n">
        <v>0</v>
      </c>
      <c r="L8074" t="n">
        <v>0</v>
      </c>
      <c r="M8074" t="n">
        <v>0</v>
      </c>
      <c r="N8074" t="n">
        <v>0</v>
      </c>
      <c r="O8074" t="n">
        <v>0</v>
      </c>
      <c r="P8074" t="n">
        <v>0</v>
      </c>
      <c r="Q8074" t="n">
        <v>0</v>
      </c>
      <c r="R8074" s="2" t="inlineStr"/>
    </row>
    <row r="8075" ht="15" customHeight="1">
      <c r="A8075" t="inlineStr">
        <is>
          <t>A 25218-2024</t>
        </is>
      </c>
      <c r="B8075" s="1" t="n">
        <v>45462.58224537037</v>
      </c>
      <c r="C8075" s="1" t="n">
        <v>46093</v>
      </c>
      <c r="D8075" t="inlineStr">
        <is>
          <t>VÄSTERNORRLANDS LÄN</t>
        </is>
      </c>
      <c r="E8075" t="inlineStr">
        <is>
          <t>ÖRNSKÖLDSVIK</t>
        </is>
      </c>
      <c r="F8075" t="inlineStr">
        <is>
          <t>Holmen skog AB</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1573-2023</t>
        </is>
      </c>
      <c r="B8076" s="1" t="n">
        <v>44937.61605324074</v>
      </c>
      <c r="C8076" s="1" t="n">
        <v>46093</v>
      </c>
      <c r="D8076" t="inlineStr">
        <is>
          <t>VÄSTERNORRLANDS LÄN</t>
        </is>
      </c>
      <c r="E8076" t="inlineStr">
        <is>
          <t>SUNDSVALL</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34783-2021</t>
        </is>
      </c>
      <c r="B8077" s="1" t="n">
        <v>44382</v>
      </c>
      <c r="C8077" s="1" t="n">
        <v>46093</v>
      </c>
      <c r="D8077" t="inlineStr">
        <is>
          <t>VÄSTERNORRLANDS LÄN</t>
        </is>
      </c>
      <c r="E8077" t="inlineStr">
        <is>
          <t>ÅNGE</t>
        </is>
      </c>
      <c r="F8077" t="inlineStr">
        <is>
          <t>SCA</t>
        </is>
      </c>
      <c r="G8077" t="n">
        <v>8.5</v>
      </c>
      <c r="H8077" t="n">
        <v>0</v>
      </c>
      <c r="I8077" t="n">
        <v>0</v>
      </c>
      <c r="J8077" t="n">
        <v>0</v>
      </c>
      <c r="K8077" t="n">
        <v>0</v>
      </c>
      <c r="L8077" t="n">
        <v>0</v>
      </c>
      <c r="M8077" t="n">
        <v>0</v>
      </c>
      <c r="N8077" t="n">
        <v>0</v>
      </c>
      <c r="O8077" t="n">
        <v>0</v>
      </c>
      <c r="P8077" t="n">
        <v>0</v>
      </c>
      <c r="Q8077" t="n">
        <v>0</v>
      </c>
      <c r="R8077" s="2" t="inlineStr"/>
    </row>
    <row r="8078" ht="15" customHeight="1">
      <c r="A8078" t="inlineStr">
        <is>
          <t>A 9744-2023</t>
        </is>
      </c>
      <c r="B8078" s="1" t="n">
        <v>44984</v>
      </c>
      <c r="C8078" s="1" t="n">
        <v>46093</v>
      </c>
      <c r="D8078" t="inlineStr">
        <is>
          <t>VÄSTERNORRLANDS LÄN</t>
        </is>
      </c>
      <c r="E8078" t="inlineStr">
        <is>
          <t>SUNDSVALL</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56633-2025</t>
        </is>
      </c>
      <c r="B8079" s="1" t="n">
        <v>45975.6159375</v>
      </c>
      <c r="C8079" s="1" t="n">
        <v>46093</v>
      </c>
      <c r="D8079" t="inlineStr">
        <is>
          <t>VÄSTERNORRLANDS LÄN</t>
        </is>
      </c>
      <c r="E8079" t="inlineStr">
        <is>
          <t>HÄRNÖSAND</t>
        </is>
      </c>
      <c r="F8079" t="inlineStr">
        <is>
          <t>SCA</t>
        </is>
      </c>
      <c r="G8079" t="n">
        <v>2.2</v>
      </c>
      <c r="H8079" t="n">
        <v>0</v>
      </c>
      <c r="I8079" t="n">
        <v>0</v>
      </c>
      <c r="J8079" t="n">
        <v>0</v>
      </c>
      <c r="K8079" t="n">
        <v>0</v>
      </c>
      <c r="L8079" t="n">
        <v>0</v>
      </c>
      <c r="M8079" t="n">
        <v>0</v>
      </c>
      <c r="N8079" t="n">
        <v>0</v>
      </c>
      <c r="O8079" t="n">
        <v>0</v>
      </c>
      <c r="P8079" t="n">
        <v>0</v>
      </c>
      <c r="Q8079" t="n">
        <v>0</v>
      </c>
      <c r="R8079" s="2" t="inlineStr"/>
    </row>
    <row r="8080" ht="15" customHeight="1">
      <c r="A8080" t="inlineStr">
        <is>
          <t>A 56666-2025</t>
        </is>
      </c>
      <c r="B8080" s="1" t="n">
        <v>45975.67747685185</v>
      </c>
      <c r="C8080" s="1" t="n">
        <v>46093</v>
      </c>
      <c r="D8080" t="inlineStr">
        <is>
          <t>VÄSTERNORRLANDS LÄN</t>
        </is>
      </c>
      <c r="E8080" t="inlineStr">
        <is>
          <t>ÅNGE</t>
        </is>
      </c>
      <c r="G8080" t="n">
        <v>5.2</v>
      </c>
      <c r="H8080" t="n">
        <v>0</v>
      </c>
      <c r="I8080" t="n">
        <v>0</v>
      </c>
      <c r="J8080" t="n">
        <v>0</v>
      </c>
      <c r="K8080" t="n">
        <v>0</v>
      </c>
      <c r="L8080" t="n">
        <v>0</v>
      </c>
      <c r="M8080" t="n">
        <v>0</v>
      </c>
      <c r="N8080" t="n">
        <v>0</v>
      </c>
      <c r="O8080" t="n">
        <v>0</v>
      </c>
      <c r="P8080" t="n">
        <v>0</v>
      </c>
      <c r="Q8080" t="n">
        <v>0</v>
      </c>
      <c r="R8080" s="2" t="inlineStr"/>
    </row>
    <row r="8081" ht="15" customHeight="1">
      <c r="A8081" t="inlineStr">
        <is>
          <t>A 17923-2025</t>
        </is>
      </c>
      <c r="B8081" s="1" t="n">
        <v>45759.34415509259</v>
      </c>
      <c r="C8081" s="1" t="n">
        <v>46093</v>
      </c>
      <c r="D8081" t="inlineStr">
        <is>
          <t>VÄSTERNORRLANDS LÄN</t>
        </is>
      </c>
      <c r="E8081" t="inlineStr">
        <is>
          <t>ÅNGE</t>
        </is>
      </c>
      <c r="F8081" t="inlineStr">
        <is>
          <t>SCA</t>
        </is>
      </c>
      <c r="G8081" t="n">
        <v>9.6</v>
      </c>
      <c r="H8081" t="n">
        <v>0</v>
      </c>
      <c r="I8081" t="n">
        <v>0</v>
      </c>
      <c r="J8081" t="n">
        <v>0</v>
      </c>
      <c r="K8081" t="n">
        <v>0</v>
      </c>
      <c r="L8081" t="n">
        <v>0</v>
      </c>
      <c r="M8081" t="n">
        <v>0</v>
      </c>
      <c r="N8081" t="n">
        <v>0</v>
      </c>
      <c r="O8081" t="n">
        <v>0</v>
      </c>
      <c r="P8081" t="n">
        <v>0</v>
      </c>
      <c r="Q8081" t="n">
        <v>0</v>
      </c>
      <c r="R8081" s="2" t="inlineStr"/>
    </row>
    <row r="8082" ht="15" customHeight="1">
      <c r="A8082" t="inlineStr">
        <is>
          <t>A 17959-2023</t>
        </is>
      </c>
      <c r="B8082" s="1" t="n">
        <v>45037</v>
      </c>
      <c r="C8082" s="1" t="n">
        <v>46093</v>
      </c>
      <c r="D8082" t="inlineStr">
        <is>
          <t>VÄSTERNORRLANDS LÄN</t>
        </is>
      </c>
      <c r="E8082" t="inlineStr">
        <is>
          <t>ÖRNSKÖLDSVIK</t>
        </is>
      </c>
      <c r="G8082" t="n">
        <v>4.1</v>
      </c>
      <c r="H8082" t="n">
        <v>0</v>
      </c>
      <c r="I8082" t="n">
        <v>0</v>
      </c>
      <c r="J8082" t="n">
        <v>0</v>
      </c>
      <c r="K8082" t="n">
        <v>0</v>
      </c>
      <c r="L8082" t="n">
        <v>0</v>
      </c>
      <c r="M8082" t="n">
        <v>0</v>
      </c>
      <c r="N8082" t="n">
        <v>0</v>
      </c>
      <c r="O8082" t="n">
        <v>0</v>
      </c>
      <c r="P8082" t="n">
        <v>0</v>
      </c>
      <c r="Q8082" t="n">
        <v>0</v>
      </c>
      <c r="R8082" s="2" t="inlineStr"/>
    </row>
    <row r="8083" ht="15" customHeight="1">
      <c r="A8083" t="inlineStr">
        <is>
          <t>A 56741-2025</t>
        </is>
      </c>
      <c r="B8083" s="1" t="n">
        <v>45978.34726851852</v>
      </c>
      <c r="C8083" s="1" t="n">
        <v>46093</v>
      </c>
      <c r="D8083" t="inlineStr">
        <is>
          <t>VÄSTERNORRLANDS LÄN</t>
        </is>
      </c>
      <c r="E8083" t="inlineStr">
        <is>
          <t>ÅNGE</t>
        </is>
      </c>
      <c r="G8083" t="n">
        <v>11.4</v>
      </c>
      <c r="H8083" t="n">
        <v>0</v>
      </c>
      <c r="I8083" t="n">
        <v>0</v>
      </c>
      <c r="J8083" t="n">
        <v>0</v>
      </c>
      <c r="K8083" t="n">
        <v>0</v>
      </c>
      <c r="L8083" t="n">
        <v>0</v>
      </c>
      <c r="M8083" t="n">
        <v>0</v>
      </c>
      <c r="N8083" t="n">
        <v>0</v>
      </c>
      <c r="O8083" t="n">
        <v>0</v>
      </c>
      <c r="P8083" t="n">
        <v>0</v>
      </c>
      <c r="Q8083" t="n">
        <v>0</v>
      </c>
      <c r="R8083" s="2" t="inlineStr"/>
    </row>
    <row r="8084" ht="15" customHeight="1">
      <c r="A8084" t="inlineStr">
        <is>
          <t>A 64491-2023</t>
        </is>
      </c>
      <c r="B8084" s="1" t="n">
        <v>45280</v>
      </c>
      <c r="C8084" s="1" t="n">
        <v>46093</v>
      </c>
      <c r="D8084" t="inlineStr">
        <is>
          <t>VÄSTERNORRLANDS LÄN</t>
        </is>
      </c>
      <c r="E8084" t="inlineStr">
        <is>
          <t>SUNDSVALL</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16479-2025</t>
        </is>
      </c>
      <c r="B8085" s="1" t="n">
        <v>45751</v>
      </c>
      <c r="C8085" s="1" t="n">
        <v>46093</v>
      </c>
      <c r="D8085" t="inlineStr">
        <is>
          <t>VÄSTERNORRLANDS LÄN</t>
        </is>
      </c>
      <c r="E8085" t="inlineStr">
        <is>
          <t>SUNDSVALL</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56438-2025</t>
        </is>
      </c>
      <c r="B8086" s="1" t="n">
        <v>45975.34724537037</v>
      </c>
      <c r="C8086" s="1" t="n">
        <v>46093</v>
      </c>
      <c r="D8086" t="inlineStr">
        <is>
          <t>VÄSTERNORRLANDS LÄN</t>
        </is>
      </c>
      <c r="E8086" t="inlineStr">
        <is>
          <t>SOLLEFTEÅ</t>
        </is>
      </c>
      <c r="F8086" t="inlineStr">
        <is>
          <t>SCA</t>
        </is>
      </c>
      <c r="G8086" t="n">
        <v>6.1</v>
      </c>
      <c r="H8086" t="n">
        <v>0</v>
      </c>
      <c r="I8086" t="n">
        <v>0</v>
      </c>
      <c r="J8086" t="n">
        <v>0</v>
      </c>
      <c r="K8086" t="n">
        <v>0</v>
      </c>
      <c r="L8086" t="n">
        <v>0</v>
      </c>
      <c r="M8086" t="n">
        <v>0</v>
      </c>
      <c r="N8086" t="n">
        <v>0</v>
      </c>
      <c r="O8086" t="n">
        <v>0</v>
      </c>
      <c r="P8086" t="n">
        <v>0</v>
      </c>
      <c r="Q8086" t="n">
        <v>0</v>
      </c>
      <c r="R8086" s="2" t="inlineStr"/>
    </row>
    <row r="8087" ht="15" customHeight="1">
      <c r="A8087" t="inlineStr">
        <is>
          <t>A 31477-2024</t>
        </is>
      </c>
      <c r="B8087" s="1" t="n">
        <v>45505</v>
      </c>
      <c r="C8087" s="1" t="n">
        <v>46093</v>
      </c>
      <c r="D8087" t="inlineStr">
        <is>
          <t>VÄSTERNORRLANDS LÄN</t>
        </is>
      </c>
      <c r="E8087" t="inlineStr">
        <is>
          <t>SOLLEFTEÅ</t>
        </is>
      </c>
      <c r="F8087" t="inlineStr">
        <is>
          <t>SCA</t>
        </is>
      </c>
      <c r="G8087" t="n">
        <v>7.3</v>
      </c>
      <c r="H8087" t="n">
        <v>0</v>
      </c>
      <c r="I8087" t="n">
        <v>0</v>
      </c>
      <c r="J8087" t="n">
        <v>0</v>
      </c>
      <c r="K8087" t="n">
        <v>0</v>
      </c>
      <c r="L8087" t="n">
        <v>0</v>
      </c>
      <c r="M8087" t="n">
        <v>0</v>
      </c>
      <c r="N8087" t="n">
        <v>0</v>
      </c>
      <c r="O8087" t="n">
        <v>0</v>
      </c>
      <c r="P8087" t="n">
        <v>0</v>
      </c>
      <c r="Q8087" t="n">
        <v>0</v>
      </c>
      <c r="R8087" s="2" t="inlineStr"/>
    </row>
    <row r="8088" ht="15" customHeight="1">
      <c r="A8088" t="inlineStr">
        <is>
          <t>A 57037-2025</t>
        </is>
      </c>
      <c r="B8088" s="1" t="n">
        <v>45979.34508101852</v>
      </c>
      <c r="C8088" s="1" t="n">
        <v>46093</v>
      </c>
      <c r="D8088" t="inlineStr">
        <is>
          <t>VÄSTERNORRLANDS LÄN</t>
        </is>
      </c>
      <c r="E8088" t="inlineStr">
        <is>
          <t>HÄRNÖSAND</t>
        </is>
      </c>
      <c r="F8088" t="inlineStr">
        <is>
          <t>SCA</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352-2022</t>
        </is>
      </c>
      <c r="B8089" s="1" t="n">
        <v>44564</v>
      </c>
      <c r="C8089" s="1" t="n">
        <v>46093</v>
      </c>
      <c r="D8089" t="inlineStr">
        <is>
          <t>VÄSTERNORRLANDS LÄN</t>
        </is>
      </c>
      <c r="E8089" t="inlineStr">
        <is>
          <t>ÖRNSKÖLDSVIK</t>
        </is>
      </c>
      <c r="G8089" t="n">
        <v>7.2</v>
      </c>
      <c r="H8089" t="n">
        <v>0</v>
      </c>
      <c r="I8089" t="n">
        <v>0</v>
      </c>
      <c r="J8089" t="n">
        <v>0</v>
      </c>
      <c r="K8089" t="n">
        <v>0</v>
      </c>
      <c r="L8089" t="n">
        <v>0</v>
      </c>
      <c r="M8089" t="n">
        <v>0</v>
      </c>
      <c r="N8089" t="n">
        <v>0</v>
      </c>
      <c r="O8089" t="n">
        <v>0</v>
      </c>
      <c r="P8089" t="n">
        <v>0</v>
      </c>
      <c r="Q8089" t="n">
        <v>0</v>
      </c>
      <c r="R8089" s="2" t="inlineStr"/>
    </row>
    <row r="8090" ht="15" customHeight="1">
      <c r="A8090" t="inlineStr">
        <is>
          <t>A 18761-2023</t>
        </is>
      </c>
      <c r="B8090" s="1" t="n">
        <v>45043</v>
      </c>
      <c r="C8090" s="1" t="n">
        <v>46093</v>
      </c>
      <c r="D8090" t="inlineStr">
        <is>
          <t>VÄSTERNORRLANDS LÄN</t>
        </is>
      </c>
      <c r="E8090" t="inlineStr">
        <is>
          <t>SOLLEFTEÅ</t>
        </is>
      </c>
      <c r="F8090" t="inlineStr">
        <is>
          <t>SCA</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18762-2023</t>
        </is>
      </c>
      <c r="B8091" s="1" t="n">
        <v>45043</v>
      </c>
      <c r="C8091" s="1" t="n">
        <v>46093</v>
      </c>
      <c r="D8091" t="inlineStr">
        <is>
          <t>VÄSTERNORRLANDS LÄN</t>
        </is>
      </c>
      <c r="E8091" t="inlineStr">
        <is>
          <t>SOLLEFTEÅ</t>
        </is>
      </c>
      <c r="F8091" t="inlineStr">
        <is>
          <t>SCA</t>
        </is>
      </c>
      <c r="G8091" t="n">
        <v>1.3</v>
      </c>
      <c r="H8091" t="n">
        <v>0</v>
      </c>
      <c r="I8091" t="n">
        <v>0</v>
      </c>
      <c r="J8091" t="n">
        <v>0</v>
      </c>
      <c r="K8091" t="n">
        <v>0</v>
      </c>
      <c r="L8091" t="n">
        <v>0</v>
      </c>
      <c r="M8091" t="n">
        <v>0</v>
      </c>
      <c r="N8091" t="n">
        <v>0</v>
      </c>
      <c r="O8091" t="n">
        <v>0</v>
      </c>
      <c r="P8091" t="n">
        <v>0</v>
      </c>
      <c r="Q8091" t="n">
        <v>0</v>
      </c>
      <c r="R8091" s="2" t="inlineStr"/>
    </row>
    <row r="8092" ht="15" customHeight="1">
      <c r="A8092" t="inlineStr">
        <is>
          <t>A 57091-2025</t>
        </is>
      </c>
      <c r="B8092" s="1" t="n">
        <v>45979.42734953704</v>
      </c>
      <c r="C8092" s="1" t="n">
        <v>46093</v>
      </c>
      <c r="D8092" t="inlineStr">
        <is>
          <t>VÄSTERNORRLANDS LÄN</t>
        </is>
      </c>
      <c r="E8092" t="inlineStr">
        <is>
          <t>ÖRNSKÖLDSVIK</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40946-2022</t>
        </is>
      </c>
      <c r="B8093" s="1" t="n">
        <v>44823</v>
      </c>
      <c r="C8093" s="1" t="n">
        <v>46093</v>
      </c>
      <c r="D8093" t="inlineStr">
        <is>
          <t>VÄSTERNORRLANDS LÄN</t>
        </is>
      </c>
      <c r="E8093" t="inlineStr">
        <is>
          <t>SUNDSVALL</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19137-2023</t>
        </is>
      </c>
      <c r="B8094" s="1" t="n">
        <v>45044</v>
      </c>
      <c r="C8094" s="1" t="n">
        <v>46093</v>
      </c>
      <c r="D8094" t="inlineStr">
        <is>
          <t>VÄSTERNORRLANDS LÄN</t>
        </is>
      </c>
      <c r="E8094" t="inlineStr">
        <is>
          <t>ÖRNSKÖLDSVIK</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57112-2025</t>
        </is>
      </c>
      <c r="B8095" s="1" t="n">
        <v>45979.4540625</v>
      </c>
      <c r="C8095" s="1" t="n">
        <v>46093</v>
      </c>
      <c r="D8095" t="inlineStr">
        <is>
          <t>VÄSTERNORRLANDS LÄN</t>
        </is>
      </c>
      <c r="E8095" t="inlineStr">
        <is>
          <t>ÖRNSKÖLDSVIK</t>
        </is>
      </c>
      <c r="G8095" t="n">
        <v>4.2</v>
      </c>
      <c r="H8095" t="n">
        <v>0</v>
      </c>
      <c r="I8095" t="n">
        <v>0</v>
      </c>
      <c r="J8095" t="n">
        <v>0</v>
      </c>
      <c r="K8095" t="n">
        <v>0</v>
      </c>
      <c r="L8095" t="n">
        <v>0</v>
      </c>
      <c r="M8095" t="n">
        <v>0</v>
      </c>
      <c r="N8095" t="n">
        <v>0</v>
      </c>
      <c r="O8095" t="n">
        <v>0</v>
      </c>
      <c r="P8095" t="n">
        <v>0</v>
      </c>
      <c r="Q8095" t="n">
        <v>0</v>
      </c>
      <c r="R8095" s="2" t="inlineStr"/>
    </row>
    <row r="8096" ht="15" customHeight="1">
      <c r="A8096" t="inlineStr">
        <is>
          <t>A 57224-2025</t>
        </is>
      </c>
      <c r="B8096" s="1" t="n">
        <v>45979.61547453704</v>
      </c>
      <c r="C8096" s="1" t="n">
        <v>46093</v>
      </c>
      <c r="D8096" t="inlineStr">
        <is>
          <t>VÄSTERNORRLANDS LÄN</t>
        </is>
      </c>
      <c r="E8096" t="inlineStr">
        <is>
          <t>SOLLEFTEÅ</t>
        </is>
      </c>
      <c r="F8096" t="inlineStr">
        <is>
          <t>SCA</t>
        </is>
      </c>
      <c r="G8096" t="n">
        <v>3.6</v>
      </c>
      <c r="H8096" t="n">
        <v>0</v>
      </c>
      <c r="I8096" t="n">
        <v>0</v>
      </c>
      <c r="J8096" t="n">
        <v>0</v>
      </c>
      <c r="K8096" t="n">
        <v>0</v>
      </c>
      <c r="L8096" t="n">
        <v>0</v>
      </c>
      <c r="M8096" t="n">
        <v>0</v>
      </c>
      <c r="N8096" t="n">
        <v>0</v>
      </c>
      <c r="O8096" t="n">
        <v>0</v>
      </c>
      <c r="P8096" t="n">
        <v>0</v>
      </c>
      <c r="Q8096" t="n">
        <v>0</v>
      </c>
      <c r="R8096" s="2" t="inlineStr"/>
    </row>
    <row r="8097" ht="15" customHeight="1">
      <c r="A8097" t="inlineStr">
        <is>
          <t>A 46508-2023</t>
        </is>
      </c>
      <c r="B8097" s="1" t="n">
        <v>45194</v>
      </c>
      <c r="C8097" s="1" t="n">
        <v>46093</v>
      </c>
      <c r="D8097" t="inlineStr">
        <is>
          <t>VÄSTERNORRLANDS LÄN</t>
        </is>
      </c>
      <c r="E8097" t="inlineStr">
        <is>
          <t>HÄRNÖSAND</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62184-2021</t>
        </is>
      </c>
      <c r="B8098" s="1" t="n">
        <v>44502</v>
      </c>
      <c r="C8098" s="1" t="n">
        <v>46093</v>
      </c>
      <c r="D8098" t="inlineStr">
        <is>
          <t>VÄSTERNORRLANDS LÄN</t>
        </is>
      </c>
      <c r="E8098" t="inlineStr">
        <is>
          <t>SUNDSVALL</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57320-2022</t>
        </is>
      </c>
      <c r="B8099" s="1" t="n">
        <v>44896.32923611111</v>
      </c>
      <c r="C8099" s="1" t="n">
        <v>46093</v>
      </c>
      <c r="D8099" t="inlineStr">
        <is>
          <t>VÄSTERNORRLANDS LÄN</t>
        </is>
      </c>
      <c r="E8099" t="inlineStr">
        <is>
          <t>ÖRNSKÖLDSVIK</t>
        </is>
      </c>
      <c r="G8099" t="n">
        <v>2.2</v>
      </c>
      <c r="H8099" t="n">
        <v>0</v>
      </c>
      <c r="I8099" t="n">
        <v>0</v>
      </c>
      <c r="J8099" t="n">
        <v>0</v>
      </c>
      <c r="K8099" t="n">
        <v>0</v>
      </c>
      <c r="L8099" t="n">
        <v>0</v>
      </c>
      <c r="M8099" t="n">
        <v>0</v>
      </c>
      <c r="N8099" t="n">
        <v>0</v>
      </c>
      <c r="O8099" t="n">
        <v>0</v>
      </c>
      <c r="P8099" t="n">
        <v>0</v>
      </c>
      <c r="Q8099" t="n">
        <v>0</v>
      </c>
      <c r="R8099" s="2" t="inlineStr"/>
    </row>
    <row r="8100" ht="15" customHeight="1">
      <c r="A8100" t="inlineStr">
        <is>
          <t>A 19654-2023</t>
        </is>
      </c>
      <c r="B8100" s="1" t="n">
        <v>45050</v>
      </c>
      <c r="C8100" s="1" t="n">
        <v>46093</v>
      </c>
      <c r="D8100" t="inlineStr">
        <is>
          <t>VÄSTERNORRLANDS LÄN</t>
        </is>
      </c>
      <c r="E8100" t="inlineStr">
        <is>
          <t>SUNDSVALL</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63039-2021</t>
        </is>
      </c>
      <c r="B8101" s="1" t="n">
        <v>44505</v>
      </c>
      <c r="C8101" s="1" t="n">
        <v>46093</v>
      </c>
      <c r="D8101" t="inlineStr">
        <is>
          <t>VÄSTERNORRLANDS LÄN</t>
        </is>
      </c>
      <c r="E8101" t="inlineStr">
        <is>
          <t>ÖRNSKÖLDSVIK</t>
        </is>
      </c>
      <c r="F8101" t="inlineStr">
        <is>
          <t>Holmen skog AB</t>
        </is>
      </c>
      <c r="G8101" t="n">
        <v>3</v>
      </c>
      <c r="H8101" t="n">
        <v>0</v>
      </c>
      <c r="I8101" t="n">
        <v>0</v>
      </c>
      <c r="J8101" t="n">
        <v>0</v>
      </c>
      <c r="K8101" t="n">
        <v>0</v>
      </c>
      <c r="L8101" t="n">
        <v>0</v>
      </c>
      <c r="M8101" t="n">
        <v>0</v>
      </c>
      <c r="N8101" t="n">
        <v>0</v>
      </c>
      <c r="O8101" t="n">
        <v>0</v>
      </c>
      <c r="P8101" t="n">
        <v>0</v>
      </c>
      <c r="Q8101" t="n">
        <v>0</v>
      </c>
      <c r="R8101" s="2" t="inlineStr"/>
    </row>
    <row r="8102" ht="15" customHeight="1">
      <c r="A8102" t="inlineStr">
        <is>
          <t>A 57389-2025</t>
        </is>
      </c>
      <c r="B8102" s="1" t="n">
        <v>45980.41826388889</v>
      </c>
      <c r="C8102" s="1" t="n">
        <v>46093</v>
      </c>
      <c r="D8102" t="inlineStr">
        <is>
          <t>VÄSTERNORRLANDS LÄN</t>
        </is>
      </c>
      <c r="E8102" t="inlineStr">
        <is>
          <t>ÖRNSKÖLDSVIK</t>
        </is>
      </c>
      <c r="G8102" t="n">
        <v>2.1</v>
      </c>
      <c r="H8102" t="n">
        <v>0</v>
      </c>
      <c r="I8102" t="n">
        <v>0</v>
      </c>
      <c r="J8102" t="n">
        <v>0</v>
      </c>
      <c r="K8102" t="n">
        <v>0</v>
      </c>
      <c r="L8102" t="n">
        <v>0</v>
      </c>
      <c r="M8102" t="n">
        <v>0</v>
      </c>
      <c r="N8102" t="n">
        <v>0</v>
      </c>
      <c r="O8102" t="n">
        <v>0</v>
      </c>
      <c r="P8102" t="n">
        <v>0</v>
      </c>
      <c r="Q8102" t="n">
        <v>0</v>
      </c>
      <c r="R8102" s="2" t="inlineStr"/>
    </row>
    <row r="8103" ht="15" customHeight="1">
      <c r="A8103" t="inlineStr">
        <is>
          <t>A 19573-2025</t>
        </is>
      </c>
      <c r="B8103" s="1" t="n">
        <v>45770.55274305555</v>
      </c>
      <c r="C8103" s="1" t="n">
        <v>46093</v>
      </c>
      <c r="D8103" t="inlineStr">
        <is>
          <t>VÄSTERNORRLANDS LÄN</t>
        </is>
      </c>
      <c r="E8103" t="inlineStr">
        <is>
          <t>SUNDSVALL</t>
        </is>
      </c>
      <c r="F8103" t="inlineStr">
        <is>
          <t>SCA</t>
        </is>
      </c>
      <c r="G8103" t="n">
        <v>1.8</v>
      </c>
      <c r="H8103" t="n">
        <v>0</v>
      </c>
      <c r="I8103" t="n">
        <v>0</v>
      </c>
      <c r="J8103" t="n">
        <v>0</v>
      </c>
      <c r="K8103" t="n">
        <v>0</v>
      </c>
      <c r="L8103" t="n">
        <v>0</v>
      </c>
      <c r="M8103" t="n">
        <v>0</v>
      </c>
      <c r="N8103" t="n">
        <v>0</v>
      </c>
      <c r="O8103" t="n">
        <v>0</v>
      </c>
      <c r="P8103" t="n">
        <v>0</v>
      </c>
      <c r="Q8103" t="n">
        <v>0</v>
      </c>
      <c r="R8103" s="2" t="inlineStr"/>
    </row>
    <row r="8104" ht="15" customHeight="1">
      <c r="A8104" t="inlineStr">
        <is>
          <t>A 57432-2025</t>
        </is>
      </c>
      <c r="B8104" s="1" t="n">
        <v>45980.47539351852</v>
      </c>
      <c r="C8104" s="1" t="n">
        <v>46093</v>
      </c>
      <c r="D8104" t="inlineStr">
        <is>
          <t>VÄSTERNORRLANDS LÄN</t>
        </is>
      </c>
      <c r="E8104" t="inlineStr">
        <is>
          <t>ÖRNSKÖLDSVIK</t>
        </is>
      </c>
      <c r="F8104" t="inlineStr">
        <is>
          <t>Holmen skog AB</t>
        </is>
      </c>
      <c r="G8104" t="n">
        <v>4.1</v>
      </c>
      <c r="H8104" t="n">
        <v>0</v>
      </c>
      <c r="I8104" t="n">
        <v>0</v>
      </c>
      <c r="J8104" t="n">
        <v>0</v>
      </c>
      <c r="K8104" t="n">
        <v>0</v>
      </c>
      <c r="L8104" t="n">
        <v>0</v>
      </c>
      <c r="M8104" t="n">
        <v>0</v>
      </c>
      <c r="N8104" t="n">
        <v>0</v>
      </c>
      <c r="O8104" t="n">
        <v>0</v>
      </c>
      <c r="P8104" t="n">
        <v>0</v>
      </c>
      <c r="Q8104" t="n">
        <v>0</v>
      </c>
      <c r="R8104" s="2" t="inlineStr"/>
    </row>
    <row r="8105" ht="15" customHeight="1">
      <c r="A8105" t="inlineStr">
        <is>
          <t>A 57438-2025</t>
        </is>
      </c>
      <c r="B8105" s="1" t="n">
        <v>45980.48119212963</v>
      </c>
      <c r="C8105" s="1" t="n">
        <v>46093</v>
      </c>
      <c r="D8105" t="inlineStr">
        <is>
          <t>VÄSTERNORRLANDS LÄN</t>
        </is>
      </c>
      <c r="E8105" t="inlineStr">
        <is>
          <t>ÖRNSKÖLDSVIK</t>
        </is>
      </c>
      <c r="F8105" t="inlineStr">
        <is>
          <t>Holmen skog AB</t>
        </is>
      </c>
      <c r="G8105" t="n">
        <v>2.5</v>
      </c>
      <c r="H8105" t="n">
        <v>0</v>
      </c>
      <c r="I8105" t="n">
        <v>0</v>
      </c>
      <c r="J8105" t="n">
        <v>0</v>
      </c>
      <c r="K8105" t="n">
        <v>0</v>
      </c>
      <c r="L8105" t="n">
        <v>0</v>
      </c>
      <c r="M8105" t="n">
        <v>0</v>
      </c>
      <c r="N8105" t="n">
        <v>0</v>
      </c>
      <c r="O8105" t="n">
        <v>0</v>
      </c>
      <c r="P8105" t="n">
        <v>0</v>
      </c>
      <c r="Q8105" t="n">
        <v>0</v>
      </c>
      <c r="R8105" s="2" t="inlineStr"/>
    </row>
    <row r="8106" ht="15" customHeight="1">
      <c r="A8106" t="inlineStr">
        <is>
          <t>A 57475-2025</t>
        </is>
      </c>
      <c r="B8106" s="1" t="n">
        <v>45980.56775462963</v>
      </c>
      <c r="C8106" s="1" t="n">
        <v>46093</v>
      </c>
      <c r="D8106" t="inlineStr">
        <is>
          <t>VÄSTERNORRLANDS LÄN</t>
        </is>
      </c>
      <c r="E8106" t="inlineStr">
        <is>
          <t>ÖRNSKÖLDSVIK</t>
        </is>
      </c>
      <c r="G8106" t="n">
        <v>6.5</v>
      </c>
      <c r="H8106" t="n">
        <v>0</v>
      </c>
      <c r="I8106" t="n">
        <v>0</v>
      </c>
      <c r="J8106" t="n">
        <v>0</v>
      </c>
      <c r="K8106" t="n">
        <v>0</v>
      </c>
      <c r="L8106" t="n">
        <v>0</v>
      </c>
      <c r="M8106" t="n">
        <v>0</v>
      </c>
      <c r="N8106" t="n">
        <v>0</v>
      </c>
      <c r="O8106" t="n">
        <v>0</v>
      </c>
      <c r="P8106" t="n">
        <v>0</v>
      </c>
      <c r="Q8106" t="n">
        <v>0</v>
      </c>
      <c r="R8106" s="2" t="inlineStr"/>
    </row>
    <row r="8107" ht="15" customHeight="1">
      <c r="A8107" t="inlineStr">
        <is>
          <t>A 40763-2023</t>
        </is>
      </c>
      <c r="B8107" s="1" t="n">
        <v>45170</v>
      </c>
      <c r="C8107" s="1" t="n">
        <v>46093</v>
      </c>
      <c r="D8107" t="inlineStr">
        <is>
          <t>VÄSTERNORRLANDS LÄN</t>
        </is>
      </c>
      <c r="E8107" t="inlineStr">
        <is>
          <t>SUNDSVALL</t>
        </is>
      </c>
      <c r="F8107" t="inlineStr">
        <is>
          <t>SCA</t>
        </is>
      </c>
      <c r="G8107" t="n">
        <v>0.5</v>
      </c>
      <c r="H8107" t="n">
        <v>0</v>
      </c>
      <c r="I8107" t="n">
        <v>0</v>
      </c>
      <c r="J8107" t="n">
        <v>0</v>
      </c>
      <c r="K8107" t="n">
        <v>0</v>
      </c>
      <c r="L8107" t="n">
        <v>0</v>
      </c>
      <c r="M8107" t="n">
        <v>0</v>
      </c>
      <c r="N8107" t="n">
        <v>0</v>
      </c>
      <c r="O8107" t="n">
        <v>0</v>
      </c>
      <c r="P8107" t="n">
        <v>0</v>
      </c>
      <c r="Q8107" t="n">
        <v>0</v>
      </c>
      <c r="R8107" s="2" t="inlineStr"/>
    </row>
    <row r="8108" ht="15" customHeight="1">
      <c r="A8108" t="inlineStr">
        <is>
          <t>A 4131-2025</t>
        </is>
      </c>
      <c r="B8108" s="1" t="n">
        <v>45685.34508101852</v>
      </c>
      <c r="C8108" s="1" t="n">
        <v>46093</v>
      </c>
      <c r="D8108" t="inlineStr">
        <is>
          <t>VÄSTERNORRLANDS LÄN</t>
        </is>
      </c>
      <c r="E8108" t="inlineStr">
        <is>
          <t>SOLLEFTEÅ</t>
        </is>
      </c>
      <c r="G8108" t="n">
        <v>3.4</v>
      </c>
      <c r="H8108" t="n">
        <v>0</v>
      </c>
      <c r="I8108" t="n">
        <v>0</v>
      </c>
      <c r="J8108" t="n">
        <v>0</v>
      </c>
      <c r="K8108" t="n">
        <v>0</v>
      </c>
      <c r="L8108" t="n">
        <v>0</v>
      </c>
      <c r="M8108" t="n">
        <v>0</v>
      </c>
      <c r="N8108" t="n">
        <v>0</v>
      </c>
      <c r="O8108" t="n">
        <v>0</v>
      </c>
      <c r="P8108" t="n">
        <v>0</v>
      </c>
      <c r="Q8108" t="n">
        <v>0</v>
      </c>
      <c r="R8108" s="2" t="inlineStr"/>
    </row>
    <row r="8109" ht="15" customHeight="1">
      <c r="A8109" t="inlineStr">
        <is>
          <t>A 4156-2025</t>
        </is>
      </c>
      <c r="B8109" s="1" t="n">
        <v>45685.3956712963</v>
      </c>
      <c r="C8109" s="1" t="n">
        <v>46093</v>
      </c>
      <c r="D8109" t="inlineStr">
        <is>
          <t>VÄSTERNORRLANDS LÄN</t>
        </is>
      </c>
      <c r="E8109" t="inlineStr">
        <is>
          <t>KRAMFORS</t>
        </is>
      </c>
      <c r="G8109" t="n">
        <v>7.2</v>
      </c>
      <c r="H8109" t="n">
        <v>0</v>
      </c>
      <c r="I8109" t="n">
        <v>0</v>
      </c>
      <c r="J8109" t="n">
        <v>0</v>
      </c>
      <c r="K8109" t="n">
        <v>0</v>
      </c>
      <c r="L8109" t="n">
        <v>0</v>
      </c>
      <c r="M8109" t="n">
        <v>0</v>
      </c>
      <c r="N8109" t="n">
        <v>0</v>
      </c>
      <c r="O8109" t="n">
        <v>0</v>
      </c>
      <c r="P8109" t="n">
        <v>0</v>
      </c>
      <c r="Q8109" t="n">
        <v>0</v>
      </c>
      <c r="R8109" s="2" t="inlineStr"/>
    </row>
    <row r="8110" ht="15" customHeight="1">
      <c r="A8110" t="inlineStr">
        <is>
          <t>A 4187-2025</t>
        </is>
      </c>
      <c r="B8110" s="1" t="n">
        <v>45685.44842592593</v>
      </c>
      <c r="C8110" s="1" t="n">
        <v>46093</v>
      </c>
      <c r="D8110" t="inlineStr">
        <is>
          <t>VÄSTERNORRLANDS LÄN</t>
        </is>
      </c>
      <c r="E8110" t="inlineStr">
        <is>
          <t>ÅNGE</t>
        </is>
      </c>
      <c r="F8110" t="inlineStr">
        <is>
          <t>SCA</t>
        </is>
      </c>
      <c r="G8110" t="n">
        <v>2.7</v>
      </c>
      <c r="H8110" t="n">
        <v>0</v>
      </c>
      <c r="I8110" t="n">
        <v>0</v>
      </c>
      <c r="J8110" t="n">
        <v>0</v>
      </c>
      <c r="K8110" t="n">
        <v>0</v>
      </c>
      <c r="L8110" t="n">
        <v>0</v>
      </c>
      <c r="M8110" t="n">
        <v>0</v>
      </c>
      <c r="N8110" t="n">
        <v>0</v>
      </c>
      <c r="O8110" t="n">
        <v>0</v>
      </c>
      <c r="P8110" t="n">
        <v>0</v>
      </c>
      <c r="Q8110" t="n">
        <v>0</v>
      </c>
      <c r="R8110" s="2" t="inlineStr"/>
    </row>
    <row r="8111" ht="15" customHeight="1">
      <c r="A8111" t="inlineStr">
        <is>
          <t>A 4206-2025</t>
        </is>
      </c>
      <c r="B8111" s="1" t="n">
        <v>45685.46976851852</v>
      </c>
      <c r="C8111" s="1" t="n">
        <v>46093</v>
      </c>
      <c r="D8111" t="inlineStr">
        <is>
          <t>VÄSTERNORRLANDS LÄN</t>
        </is>
      </c>
      <c r="E8111" t="inlineStr">
        <is>
          <t>HÄRNÖSAND</t>
        </is>
      </c>
      <c r="G8111" t="n">
        <v>0.6</v>
      </c>
      <c r="H8111" t="n">
        <v>0</v>
      </c>
      <c r="I8111" t="n">
        <v>0</v>
      </c>
      <c r="J8111" t="n">
        <v>0</v>
      </c>
      <c r="K8111" t="n">
        <v>0</v>
      </c>
      <c r="L8111" t="n">
        <v>0</v>
      </c>
      <c r="M8111" t="n">
        <v>0</v>
      </c>
      <c r="N8111" t="n">
        <v>0</v>
      </c>
      <c r="O8111" t="n">
        <v>0</v>
      </c>
      <c r="P8111" t="n">
        <v>0</v>
      </c>
      <c r="Q8111" t="n">
        <v>0</v>
      </c>
      <c r="R8111" s="2" t="inlineStr"/>
    </row>
    <row r="8112" ht="15" customHeight="1">
      <c r="A8112" t="inlineStr">
        <is>
          <t>A 57568-2025</t>
        </is>
      </c>
      <c r="B8112" s="1" t="n">
        <v>45980</v>
      </c>
      <c r="C8112" s="1" t="n">
        <v>46093</v>
      </c>
      <c r="D8112" t="inlineStr">
        <is>
          <t>VÄSTERNORRLANDS LÄN</t>
        </is>
      </c>
      <c r="E8112" t="inlineStr">
        <is>
          <t>ÖRNSKÖLDSVIK</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57280-2025</t>
        </is>
      </c>
      <c r="B8113" s="1" t="n">
        <v>45979.69960648148</v>
      </c>
      <c r="C8113" s="1" t="n">
        <v>46093</v>
      </c>
      <c r="D8113" t="inlineStr">
        <is>
          <t>VÄSTERNORRLANDS LÄN</t>
        </is>
      </c>
      <c r="E8113" t="inlineStr">
        <is>
          <t>KRAMFORS</t>
        </is>
      </c>
      <c r="G8113" t="n">
        <v>3.7</v>
      </c>
      <c r="H8113" t="n">
        <v>0</v>
      </c>
      <c r="I8113" t="n">
        <v>0</v>
      </c>
      <c r="J8113" t="n">
        <v>0</v>
      </c>
      <c r="K8113" t="n">
        <v>0</v>
      </c>
      <c r="L8113" t="n">
        <v>0</v>
      </c>
      <c r="M8113" t="n">
        <v>0</v>
      </c>
      <c r="N8113" t="n">
        <v>0</v>
      </c>
      <c r="O8113" t="n">
        <v>0</v>
      </c>
      <c r="P8113" t="n">
        <v>0</v>
      </c>
      <c r="Q8113" t="n">
        <v>0</v>
      </c>
      <c r="R8113" s="2" t="inlineStr"/>
    </row>
    <row r="8114" ht="15" customHeight="1">
      <c r="A8114" t="inlineStr">
        <is>
          <t>A 20530-2025</t>
        </is>
      </c>
      <c r="B8114" s="1" t="n">
        <v>45775.61104166666</v>
      </c>
      <c r="C8114" s="1" t="n">
        <v>46093</v>
      </c>
      <c r="D8114" t="inlineStr">
        <is>
          <t>VÄSTERNORRLANDS LÄN</t>
        </is>
      </c>
      <c r="E8114" t="inlineStr">
        <is>
          <t>ÖRNSKÖLDSVIK</t>
        </is>
      </c>
      <c r="F8114" t="inlineStr">
        <is>
          <t>Holmen skog AB</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20557-2025</t>
        </is>
      </c>
      <c r="B8115" s="1" t="n">
        <v>45775.64427083333</v>
      </c>
      <c r="C8115" s="1" t="n">
        <v>46093</v>
      </c>
      <c r="D8115" t="inlineStr">
        <is>
          <t>VÄSTERNORRLANDS LÄN</t>
        </is>
      </c>
      <c r="E8115" t="inlineStr">
        <is>
          <t>SUNDSVALL</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63044-2023</t>
        </is>
      </c>
      <c r="B8116" s="1" t="n">
        <v>45272.89729166667</v>
      </c>
      <c r="C8116" s="1" t="n">
        <v>46093</v>
      </c>
      <c r="D8116" t="inlineStr">
        <is>
          <t>VÄSTERNORRLANDS LÄN</t>
        </is>
      </c>
      <c r="E8116" t="inlineStr">
        <is>
          <t>ÖRNSKÖLDSVIK</t>
        </is>
      </c>
      <c r="F8116" t="inlineStr">
        <is>
          <t>Övriga Aktiebolag</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63055-2023</t>
        </is>
      </c>
      <c r="B8117" s="1" t="n">
        <v>45272</v>
      </c>
      <c r="C8117" s="1" t="n">
        <v>46093</v>
      </c>
      <c r="D8117" t="inlineStr">
        <is>
          <t>VÄSTERNORRLANDS LÄN</t>
        </is>
      </c>
      <c r="E8117" t="inlineStr">
        <is>
          <t>SUNDSVALL</t>
        </is>
      </c>
      <c r="G8117" t="n">
        <v>0.9</v>
      </c>
      <c r="H8117" t="n">
        <v>0</v>
      </c>
      <c r="I8117" t="n">
        <v>0</v>
      </c>
      <c r="J8117" t="n">
        <v>0</v>
      </c>
      <c r="K8117" t="n">
        <v>0</v>
      </c>
      <c r="L8117" t="n">
        <v>0</v>
      </c>
      <c r="M8117" t="n">
        <v>0</v>
      </c>
      <c r="N8117" t="n">
        <v>0</v>
      </c>
      <c r="O8117" t="n">
        <v>0</v>
      </c>
      <c r="P8117" t="n">
        <v>0</v>
      </c>
      <c r="Q8117" t="n">
        <v>0</v>
      </c>
      <c r="R8117" s="2" t="inlineStr"/>
    </row>
    <row r="8118" ht="15" customHeight="1">
      <c r="A8118" t="inlineStr">
        <is>
          <t>A 64013-2023</t>
        </is>
      </c>
      <c r="B8118" s="1" t="n">
        <v>45278</v>
      </c>
      <c r="C8118" s="1" t="n">
        <v>46093</v>
      </c>
      <c r="D8118" t="inlineStr">
        <is>
          <t>VÄSTERNORRLANDS LÄN</t>
        </is>
      </c>
      <c r="E8118" t="inlineStr">
        <is>
          <t>SOLLEFTEÅ</t>
        </is>
      </c>
      <c r="G8118" t="n">
        <v>0.8</v>
      </c>
      <c r="H8118" t="n">
        <v>0</v>
      </c>
      <c r="I8118" t="n">
        <v>0</v>
      </c>
      <c r="J8118" t="n">
        <v>0</v>
      </c>
      <c r="K8118" t="n">
        <v>0</v>
      </c>
      <c r="L8118" t="n">
        <v>0</v>
      </c>
      <c r="M8118" t="n">
        <v>0</v>
      </c>
      <c r="N8118" t="n">
        <v>0</v>
      </c>
      <c r="O8118" t="n">
        <v>0</v>
      </c>
      <c r="P8118" t="n">
        <v>0</v>
      </c>
      <c r="Q8118" t="n">
        <v>0</v>
      </c>
      <c r="R8118" s="2" t="inlineStr"/>
    </row>
    <row r="8119" ht="15" customHeight="1">
      <c r="A8119" t="inlineStr">
        <is>
          <t>A 2002-2025</t>
        </is>
      </c>
      <c r="B8119" s="1" t="n">
        <v>45672.4491550926</v>
      </c>
      <c r="C8119" s="1" t="n">
        <v>46093</v>
      </c>
      <c r="D8119" t="inlineStr">
        <is>
          <t>VÄSTERNORRLANDS LÄN</t>
        </is>
      </c>
      <c r="E8119" t="inlineStr">
        <is>
          <t>ÖRNSKÖLDSVIK</t>
        </is>
      </c>
      <c r="F8119" t="inlineStr">
        <is>
          <t>SCA</t>
        </is>
      </c>
      <c r="G8119" t="n">
        <v>6.9</v>
      </c>
      <c r="H8119" t="n">
        <v>0</v>
      </c>
      <c r="I8119" t="n">
        <v>0</v>
      </c>
      <c r="J8119" t="n">
        <v>0</v>
      </c>
      <c r="K8119" t="n">
        <v>0</v>
      </c>
      <c r="L8119" t="n">
        <v>0</v>
      </c>
      <c r="M8119" t="n">
        <v>0</v>
      </c>
      <c r="N8119" t="n">
        <v>0</v>
      </c>
      <c r="O8119" t="n">
        <v>0</v>
      </c>
      <c r="P8119" t="n">
        <v>0</v>
      </c>
      <c r="Q8119" t="n">
        <v>0</v>
      </c>
      <c r="R8119" s="2" t="inlineStr"/>
    </row>
    <row r="8120" ht="15" customHeight="1">
      <c r="A8120" t="inlineStr">
        <is>
          <t>A 65222-2023</t>
        </is>
      </c>
      <c r="B8120" s="1" t="n">
        <v>45289</v>
      </c>
      <c r="C8120" s="1" t="n">
        <v>46093</v>
      </c>
      <c r="D8120" t="inlineStr">
        <is>
          <t>VÄSTERNORRLANDS LÄN</t>
        </is>
      </c>
      <c r="E8120" t="inlineStr">
        <is>
          <t>HÄRNÖSAND</t>
        </is>
      </c>
      <c r="G8120" t="n">
        <v>0.8</v>
      </c>
      <c r="H8120" t="n">
        <v>0</v>
      </c>
      <c r="I8120" t="n">
        <v>0</v>
      </c>
      <c r="J8120" t="n">
        <v>0</v>
      </c>
      <c r="K8120" t="n">
        <v>0</v>
      </c>
      <c r="L8120" t="n">
        <v>0</v>
      </c>
      <c r="M8120" t="n">
        <v>0</v>
      </c>
      <c r="N8120" t="n">
        <v>0</v>
      </c>
      <c r="O8120" t="n">
        <v>0</v>
      </c>
      <c r="P8120" t="n">
        <v>0</v>
      </c>
      <c r="Q8120" t="n">
        <v>0</v>
      </c>
      <c r="R8120" s="2" t="inlineStr"/>
    </row>
    <row r="8121" ht="15" customHeight="1">
      <c r="A8121" t="inlineStr">
        <is>
          <t>A 57022-2025</t>
        </is>
      </c>
      <c r="B8121" s="1" t="n">
        <v>45978.88921296296</v>
      </c>
      <c r="C8121" s="1" t="n">
        <v>46093</v>
      </c>
      <c r="D8121" t="inlineStr">
        <is>
          <t>VÄSTERNORRLANDS LÄN</t>
        </is>
      </c>
      <c r="E8121" t="inlineStr">
        <is>
          <t>ÅNGE</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57033-2025</t>
        </is>
      </c>
      <c r="B8122" s="1" t="n">
        <v>45979.34442129629</v>
      </c>
      <c r="C8122" s="1" t="n">
        <v>46093</v>
      </c>
      <c r="D8122" t="inlineStr">
        <is>
          <t>VÄSTERNORRLANDS LÄN</t>
        </is>
      </c>
      <c r="E8122" t="inlineStr">
        <is>
          <t>HÄRNÖSAND</t>
        </is>
      </c>
      <c r="F8122" t="inlineStr">
        <is>
          <t>SCA</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57042-2025</t>
        </is>
      </c>
      <c r="B8123" s="1" t="n">
        <v>45979.34598379629</v>
      </c>
      <c r="C8123" s="1" t="n">
        <v>46093</v>
      </c>
      <c r="D8123" t="inlineStr">
        <is>
          <t>VÄSTERNORRLANDS LÄN</t>
        </is>
      </c>
      <c r="E8123" t="inlineStr">
        <is>
          <t>SOLLEFTEÅ</t>
        </is>
      </c>
      <c r="F8123" t="inlineStr">
        <is>
          <t>SCA</t>
        </is>
      </c>
      <c r="G8123" t="n">
        <v>2.5</v>
      </c>
      <c r="H8123" t="n">
        <v>0</v>
      </c>
      <c r="I8123" t="n">
        <v>0</v>
      </c>
      <c r="J8123" t="n">
        <v>0</v>
      </c>
      <c r="K8123" t="n">
        <v>0</v>
      </c>
      <c r="L8123" t="n">
        <v>0</v>
      </c>
      <c r="M8123" t="n">
        <v>0</v>
      </c>
      <c r="N8123" t="n">
        <v>0</v>
      </c>
      <c r="O8123" t="n">
        <v>0</v>
      </c>
      <c r="P8123" t="n">
        <v>0</v>
      </c>
      <c r="Q8123" t="n">
        <v>0</v>
      </c>
      <c r="R8123" s="2" t="inlineStr"/>
    </row>
    <row r="8124" ht="15" customHeight="1">
      <c r="A8124" t="inlineStr">
        <is>
          <t>A 57051-2025</t>
        </is>
      </c>
      <c r="B8124" s="1" t="n">
        <v>45979.34736111111</v>
      </c>
      <c r="C8124" s="1" t="n">
        <v>46093</v>
      </c>
      <c r="D8124" t="inlineStr">
        <is>
          <t>VÄSTERNORRLANDS LÄN</t>
        </is>
      </c>
      <c r="E8124" t="inlineStr">
        <is>
          <t>SUNDSVALL</t>
        </is>
      </c>
      <c r="G8124" t="n">
        <v>2.4</v>
      </c>
      <c r="H8124" t="n">
        <v>0</v>
      </c>
      <c r="I8124" t="n">
        <v>0</v>
      </c>
      <c r="J8124" t="n">
        <v>0</v>
      </c>
      <c r="K8124" t="n">
        <v>0</v>
      </c>
      <c r="L8124" t="n">
        <v>0</v>
      </c>
      <c r="M8124" t="n">
        <v>0</v>
      </c>
      <c r="N8124" t="n">
        <v>0</v>
      </c>
      <c r="O8124" t="n">
        <v>0</v>
      </c>
      <c r="P8124" t="n">
        <v>0</v>
      </c>
      <c r="Q8124" t="n">
        <v>0</v>
      </c>
      <c r="R8124" s="2" t="inlineStr"/>
    </row>
    <row r="8125" ht="15" customHeight="1">
      <c r="A8125" t="inlineStr">
        <is>
          <t>A 57019-2025</t>
        </is>
      </c>
      <c r="B8125" s="1" t="n">
        <v>45978.85565972222</v>
      </c>
      <c r="C8125" s="1" t="n">
        <v>46093</v>
      </c>
      <c r="D8125" t="inlineStr">
        <is>
          <t>VÄSTERNORRLANDS LÄN</t>
        </is>
      </c>
      <c r="E8125" t="inlineStr">
        <is>
          <t>SOLLEFTEÅ</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57680-2025</t>
        </is>
      </c>
      <c r="B8126" s="1" t="n">
        <v>45980.30439814815</v>
      </c>
      <c r="C8126" s="1" t="n">
        <v>46093</v>
      </c>
      <c r="D8126" t="inlineStr">
        <is>
          <t>VÄSTERNORRLANDS LÄN</t>
        </is>
      </c>
      <c r="E8126" t="inlineStr">
        <is>
          <t>ÖRNSKÖLDSVIK</t>
        </is>
      </c>
      <c r="G8126" t="n">
        <v>2.8</v>
      </c>
      <c r="H8126" t="n">
        <v>0</v>
      </c>
      <c r="I8126" t="n">
        <v>0</v>
      </c>
      <c r="J8126" t="n">
        <v>0</v>
      </c>
      <c r="K8126" t="n">
        <v>0</v>
      </c>
      <c r="L8126" t="n">
        <v>0</v>
      </c>
      <c r="M8126" t="n">
        <v>0</v>
      </c>
      <c r="N8126" t="n">
        <v>0</v>
      </c>
      <c r="O8126" t="n">
        <v>0</v>
      </c>
      <c r="P8126" t="n">
        <v>0</v>
      </c>
      <c r="Q8126" t="n">
        <v>0</v>
      </c>
      <c r="R8126" s="2" t="inlineStr"/>
    </row>
    <row r="8127" ht="15" customHeight="1">
      <c r="A8127" t="inlineStr">
        <is>
          <t>A 57132-2025</t>
        </is>
      </c>
      <c r="B8127" s="1" t="n">
        <v>45979.47430555556</v>
      </c>
      <c r="C8127" s="1" t="n">
        <v>46093</v>
      </c>
      <c r="D8127" t="inlineStr">
        <is>
          <t>VÄSTERNORRLANDS LÄN</t>
        </is>
      </c>
      <c r="E8127" t="inlineStr">
        <is>
          <t>HÄRNÖSAND</t>
        </is>
      </c>
      <c r="G8127" t="n">
        <v>4.3</v>
      </c>
      <c r="H8127" t="n">
        <v>0</v>
      </c>
      <c r="I8127" t="n">
        <v>0</v>
      </c>
      <c r="J8127" t="n">
        <v>0</v>
      </c>
      <c r="K8127" t="n">
        <v>0</v>
      </c>
      <c r="L8127" t="n">
        <v>0</v>
      </c>
      <c r="M8127" t="n">
        <v>0</v>
      </c>
      <c r="N8127" t="n">
        <v>0</v>
      </c>
      <c r="O8127" t="n">
        <v>0</v>
      </c>
      <c r="P8127" t="n">
        <v>0</v>
      </c>
      <c r="Q8127" t="n">
        <v>0</v>
      </c>
      <c r="R8127" s="2" t="inlineStr"/>
    </row>
    <row r="8128" ht="15" customHeight="1">
      <c r="A8128" t="inlineStr">
        <is>
          <t>A 40871-2023</t>
        </is>
      </c>
      <c r="B8128" s="1" t="n">
        <v>45173.35846064815</v>
      </c>
      <c r="C8128" s="1" t="n">
        <v>46093</v>
      </c>
      <c r="D8128" t="inlineStr">
        <is>
          <t>VÄSTERNORRLANDS LÄN</t>
        </is>
      </c>
      <c r="E8128" t="inlineStr">
        <is>
          <t>KRAMFORS</t>
        </is>
      </c>
      <c r="G8128" t="n">
        <v>0.9</v>
      </c>
      <c r="H8128" t="n">
        <v>0</v>
      </c>
      <c r="I8128" t="n">
        <v>0</v>
      </c>
      <c r="J8128" t="n">
        <v>0</v>
      </c>
      <c r="K8128" t="n">
        <v>0</v>
      </c>
      <c r="L8128" t="n">
        <v>0</v>
      </c>
      <c r="M8128" t="n">
        <v>0</v>
      </c>
      <c r="N8128" t="n">
        <v>0</v>
      </c>
      <c r="O8128" t="n">
        <v>0</v>
      </c>
      <c r="P8128" t="n">
        <v>0</v>
      </c>
      <c r="Q8128" t="n">
        <v>0</v>
      </c>
      <c r="R8128" s="2" t="inlineStr"/>
    </row>
    <row r="8129" ht="15" customHeight="1">
      <c r="A8129" t="inlineStr">
        <is>
          <t>A 14231-2021</t>
        </is>
      </c>
      <c r="B8129" s="1" t="n">
        <v>44277</v>
      </c>
      <c r="C8129" s="1" t="n">
        <v>46093</v>
      </c>
      <c r="D8129" t="inlineStr">
        <is>
          <t>VÄSTERNORRLANDS LÄN</t>
        </is>
      </c>
      <c r="E8129" t="inlineStr">
        <is>
          <t>SUNDSVALL</t>
        </is>
      </c>
      <c r="G8129" t="n">
        <v>0.9</v>
      </c>
      <c r="H8129" t="n">
        <v>0</v>
      </c>
      <c r="I8129" t="n">
        <v>0</v>
      </c>
      <c r="J8129" t="n">
        <v>0</v>
      </c>
      <c r="K8129" t="n">
        <v>0</v>
      </c>
      <c r="L8129" t="n">
        <v>0</v>
      </c>
      <c r="M8129" t="n">
        <v>0</v>
      </c>
      <c r="N8129" t="n">
        <v>0</v>
      </c>
      <c r="O8129" t="n">
        <v>0</v>
      </c>
      <c r="P8129" t="n">
        <v>0</v>
      </c>
      <c r="Q8129" t="n">
        <v>0</v>
      </c>
      <c r="R8129" s="2" t="inlineStr"/>
    </row>
    <row r="8130" ht="15" customHeight="1">
      <c r="A8130" t="inlineStr">
        <is>
          <t>A 57122-2025</t>
        </is>
      </c>
      <c r="B8130" s="1" t="n">
        <v>45979.4693287037</v>
      </c>
      <c r="C8130" s="1" t="n">
        <v>46093</v>
      </c>
      <c r="D8130" t="inlineStr">
        <is>
          <t>VÄSTERNORRLANDS LÄN</t>
        </is>
      </c>
      <c r="E8130" t="inlineStr">
        <is>
          <t>SUNDSVALL</t>
        </is>
      </c>
      <c r="F8130" t="inlineStr">
        <is>
          <t>SCA</t>
        </is>
      </c>
      <c r="G8130" t="n">
        <v>5.6</v>
      </c>
      <c r="H8130" t="n">
        <v>0</v>
      </c>
      <c r="I8130" t="n">
        <v>0</v>
      </c>
      <c r="J8130" t="n">
        <v>0</v>
      </c>
      <c r="K8130" t="n">
        <v>0</v>
      </c>
      <c r="L8130" t="n">
        <v>0</v>
      </c>
      <c r="M8130" t="n">
        <v>0</v>
      </c>
      <c r="N8130" t="n">
        <v>0</v>
      </c>
      <c r="O8130" t="n">
        <v>0</v>
      </c>
      <c r="P8130" t="n">
        <v>0</v>
      </c>
      <c r="Q8130" t="n">
        <v>0</v>
      </c>
      <c r="R8130" s="2" t="inlineStr"/>
    </row>
    <row r="8131" ht="15" customHeight="1">
      <c r="A8131" t="inlineStr">
        <is>
          <t>A 57498-2022</t>
        </is>
      </c>
      <c r="B8131" s="1" t="n">
        <v>44896.6365162037</v>
      </c>
      <c r="C8131" s="1" t="n">
        <v>46093</v>
      </c>
      <c r="D8131" t="inlineStr">
        <is>
          <t>VÄSTERNORRLANDS LÄN</t>
        </is>
      </c>
      <c r="E8131" t="inlineStr">
        <is>
          <t>ÖRNSKÖLDSVIK</t>
        </is>
      </c>
      <c r="F8131" t="inlineStr">
        <is>
          <t>Holmen skog AB</t>
        </is>
      </c>
      <c r="G8131" t="n">
        <v>3.1</v>
      </c>
      <c r="H8131" t="n">
        <v>0</v>
      </c>
      <c r="I8131" t="n">
        <v>0</v>
      </c>
      <c r="J8131" t="n">
        <v>0</v>
      </c>
      <c r="K8131" t="n">
        <v>0</v>
      </c>
      <c r="L8131" t="n">
        <v>0</v>
      </c>
      <c r="M8131" t="n">
        <v>0</v>
      </c>
      <c r="N8131" t="n">
        <v>0</v>
      </c>
      <c r="O8131" t="n">
        <v>0</v>
      </c>
      <c r="P8131" t="n">
        <v>0</v>
      </c>
      <c r="Q8131" t="n">
        <v>0</v>
      </c>
      <c r="R8131" s="2" t="inlineStr"/>
    </row>
    <row r="8132" ht="15" customHeight="1">
      <c r="A8132" t="inlineStr">
        <is>
          <t>A 51972-2023</t>
        </is>
      </c>
      <c r="B8132" s="1" t="n">
        <v>45216</v>
      </c>
      <c r="C8132" s="1" t="n">
        <v>46093</v>
      </c>
      <c r="D8132" t="inlineStr">
        <is>
          <t>VÄSTERNORRLANDS LÄN</t>
        </is>
      </c>
      <c r="E8132" t="inlineStr">
        <is>
          <t>ÖRNSKÖLDSVIK</t>
        </is>
      </c>
      <c r="G8132" t="n">
        <v>2.2</v>
      </c>
      <c r="H8132" t="n">
        <v>0</v>
      </c>
      <c r="I8132" t="n">
        <v>0</v>
      </c>
      <c r="J8132" t="n">
        <v>0</v>
      </c>
      <c r="K8132" t="n">
        <v>0</v>
      </c>
      <c r="L8132" t="n">
        <v>0</v>
      </c>
      <c r="M8132" t="n">
        <v>0</v>
      </c>
      <c r="N8132" t="n">
        <v>0</v>
      </c>
      <c r="O8132" t="n">
        <v>0</v>
      </c>
      <c r="P8132" t="n">
        <v>0</v>
      </c>
      <c r="Q8132" t="n">
        <v>0</v>
      </c>
      <c r="R8132" s="2" t="inlineStr"/>
    </row>
    <row r="8133" ht="15" customHeight="1">
      <c r="A8133" t="inlineStr">
        <is>
          <t>A 57372-2025</t>
        </is>
      </c>
      <c r="B8133" s="1" t="n">
        <v>45980.38600694444</v>
      </c>
      <c r="C8133" s="1" t="n">
        <v>46093</v>
      </c>
      <c r="D8133" t="inlineStr">
        <is>
          <t>VÄSTERNORRLANDS LÄN</t>
        </is>
      </c>
      <c r="E8133" t="inlineStr">
        <is>
          <t>HÄRNÖSAND</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54252-2021</t>
        </is>
      </c>
      <c r="B8134" s="1" t="n">
        <v>44470.65844907407</v>
      </c>
      <c r="C8134" s="1" t="n">
        <v>46093</v>
      </c>
      <c r="D8134" t="inlineStr">
        <is>
          <t>VÄSTERNORRLANDS LÄN</t>
        </is>
      </c>
      <c r="E8134" t="inlineStr">
        <is>
          <t>ÖRNSKÖLDSVIK</t>
        </is>
      </c>
      <c r="F8134" t="inlineStr">
        <is>
          <t>Holmen skog AB</t>
        </is>
      </c>
      <c r="G8134" t="n">
        <v>3.7</v>
      </c>
      <c r="H8134" t="n">
        <v>0</v>
      </c>
      <c r="I8134" t="n">
        <v>0</v>
      </c>
      <c r="J8134" t="n">
        <v>0</v>
      </c>
      <c r="K8134" t="n">
        <v>0</v>
      </c>
      <c r="L8134" t="n">
        <v>0</v>
      </c>
      <c r="M8134" t="n">
        <v>0</v>
      </c>
      <c r="N8134" t="n">
        <v>0</v>
      </c>
      <c r="O8134" t="n">
        <v>0</v>
      </c>
      <c r="P8134" t="n">
        <v>0</v>
      </c>
      <c r="Q8134" t="n">
        <v>0</v>
      </c>
      <c r="R8134" s="2" t="inlineStr"/>
    </row>
    <row r="8135" ht="15" customHeight="1">
      <c r="A8135" t="inlineStr">
        <is>
          <t>A 14199-2025</t>
        </is>
      </c>
      <c r="B8135" s="1" t="n">
        <v>45740</v>
      </c>
      <c r="C8135" s="1" t="n">
        <v>46093</v>
      </c>
      <c r="D8135" t="inlineStr">
        <is>
          <t>VÄSTERNORRLANDS LÄN</t>
        </is>
      </c>
      <c r="E8135" t="inlineStr">
        <is>
          <t>KRAMFORS</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21479-2023</t>
        </is>
      </c>
      <c r="B8136" s="1" t="n">
        <v>45063</v>
      </c>
      <c r="C8136" s="1" t="n">
        <v>46093</v>
      </c>
      <c r="D8136" t="inlineStr">
        <is>
          <t>VÄSTERNORRLANDS LÄN</t>
        </is>
      </c>
      <c r="E8136" t="inlineStr">
        <is>
          <t>ÖRNSKÖLDSVIK</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1480-2025</t>
        </is>
      </c>
      <c r="B8137" s="1" t="n">
        <v>45670.38575231482</v>
      </c>
      <c r="C8137" s="1" t="n">
        <v>46093</v>
      </c>
      <c r="D8137" t="inlineStr">
        <is>
          <t>VÄSTERNORRLANDS LÄN</t>
        </is>
      </c>
      <c r="E8137" t="inlineStr">
        <is>
          <t>SOLLEFTEÅ</t>
        </is>
      </c>
      <c r="F8137" t="inlineStr">
        <is>
          <t>SCA</t>
        </is>
      </c>
      <c r="G8137" t="n">
        <v>2.5</v>
      </c>
      <c r="H8137" t="n">
        <v>0</v>
      </c>
      <c r="I8137" t="n">
        <v>0</v>
      </c>
      <c r="J8137" t="n">
        <v>0</v>
      </c>
      <c r="K8137" t="n">
        <v>0</v>
      </c>
      <c r="L8137" t="n">
        <v>0</v>
      </c>
      <c r="M8137" t="n">
        <v>0</v>
      </c>
      <c r="N8137" t="n">
        <v>0</v>
      </c>
      <c r="O8137" t="n">
        <v>0</v>
      </c>
      <c r="P8137" t="n">
        <v>0</v>
      </c>
      <c r="Q8137" t="n">
        <v>0</v>
      </c>
      <c r="R8137" s="2" t="inlineStr"/>
    </row>
    <row r="8138" ht="15" customHeight="1">
      <c r="A8138" t="inlineStr">
        <is>
          <t>A 57225-2025</t>
        </is>
      </c>
      <c r="B8138" s="1" t="n">
        <v>45979.61555555555</v>
      </c>
      <c r="C8138" s="1" t="n">
        <v>46093</v>
      </c>
      <c r="D8138" t="inlineStr">
        <is>
          <t>VÄSTERNORRLANDS LÄN</t>
        </is>
      </c>
      <c r="E8138" t="inlineStr">
        <is>
          <t>SOLLEFTEÅ</t>
        </is>
      </c>
      <c r="F8138" t="inlineStr">
        <is>
          <t>SCA</t>
        </is>
      </c>
      <c r="G8138" t="n">
        <v>2.4</v>
      </c>
      <c r="H8138" t="n">
        <v>0</v>
      </c>
      <c r="I8138" t="n">
        <v>0</v>
      </c>
      <c r="J8138" t="n">
        <v>0</v>
      </c>
      <c r="K8138" t="n">
        <v>0</v>
      </c>
      <c r="L8138" t="n">
        <v>0</v>
      </c>
      <c r="M8138" t="n">
        <v>0</v>
      </c>
      <c r="N8138" t="n">
        <v>0</v>
      </c>
      <c r="O8138" t="n">
        <v>0</v>
      </c>
      <c r="P8138" t="n">
        <v>0</v>
      </c>
      <c r="Q8138" t="n">
        <v>0</v>
      </c>
      <c r="R8138" s="2" t="inlineStr"/>
    </row>
    <row r="8139" ht="15" customHeight="1">
      <c r="A8139" t="inlineStr">
        <is>
          <t>A 3173-2024</t>
        </is>
      </c>
      <c r="B8139" s="1" t="n">
        <v>45316</v>
      </c>
      <c r="C8139" s="1" t="n">
        <v>46093</v>
      </c>
      <c r="D8139" t="inlineStr">
        <is>
          <t>VÄSTERNORRLANDS LÄN</t>
        </is>
      </c>
      <c r="E8139" t="inlineStr">
        <is>
          <t>ÖRNSKÖLDSVIK</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25996-2023</t>
        </is>
      </c>
      <c r="B8140" s="1" t="n">
        <v>45090.92568287037</v>
      </c>
      <c r="C8140" s="1" t="n">
        <v>46093</v>
      </c>
      <c r="D8140" t="inlineStr">
        <is>
          <t>VÄSTERNORRLANDS LÄN</t>
        </is>
      </c>
      <c r="E8140" t="inlineStr">
        <is>
          <t>SUNDSVALL</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57283-2025</t>
        </is>
      </c>
      <c r="B8141" s="1" t="n">
        <v>45979.71918981482</v>
      </c>
      <c r="C8141" s="1" t="n">
        <v>46093</v>
      </c>
      <c r="D8141" t="inlineStr">
        <is>
          <t>VÄSTERNORRLANDS LÄN</t>
        </is>
      </c>
      <c r="E8141" t="inlineStr">
        <is>
          <t>ÅNGE</t>
        </is>
      </c>
      <c r="F8141" t="inlineStr">
        <is>
          <t>SCA</t>
        </is>
      </c>
      <c r="G8141" t="n">
        <v>2.1</v>
      </c>
      <c r="H8141" t="n">
        <v>0</v>
      </c>
      <c r="I8141" t="n">
        <v>0</v>
      </c>
      <c r="J8141" t="n">
        <v>0</v>
      </c>
      <c r="K8141" t="n">
        <v>0</v>
      </c>
      <c r="L8141" t="n">
        <v>0</v>
      </c>
      <c r="M8141" t="n">
        <v>0</v>
      </c>
      <c r="N8141" t="n">
        <v>0</v>
      </c>
      <c r="O8141" t="n">
        <v>0</v>
      </c>
      <c r="P8141" t="n">
        <v>0</v>
      </c>
      <c r="Q8141" t="n">
        <v>0</v>
      </c>
      <c r="R8141" s="2" t="inlineStr"/>
    </row>
    <row r="8142" ht="15" customHeight="1">
      <c r="A8142" t="inlineStr">
        <is>
          <t>A 57457-2025</t>
        </is>
      </c>
      <c r="B8142" s="1" t="n">
        <v>45980.53001157408</v>
      </c>
      <c r="C8142" s="1" t="n">
        <v>46093</v>
      </c>
      <c r="D8142" t="inlineStr">
        <is>
          <t>VÄSTERNORRLANDS LÄN</t>
        </is>
      </c>
      <c r="E8142" t="inlineStr">
        <is>
          <t>ÅNGE</t>
        </is>
      </c>
      <c r="G8142" t="n">
        <v>2.4</v>
      </c>
      <c r="H8142" t="n">
        <v>0</v>
      </c>
      <c r="I8142" t="n">
        <v>0</v>
      </c>
      <c r="J8142" t="n">
        <v>0</v>
      </c>
      <c r="K8142" t="n">
        <v>0</v>
      </c>
      <c r="L8142" t="n">
        <v>0</v>
      </c>
      <c r="M8142" t="n">
        <v>0</v>
      </c>
      <c r="N8142" t="n">
        <v>0</v>
      </c>
      <c r="O8142" t="n">
        <v>0</v>
      </c>
      <c r="P8142" t="n">
        <v>0</v>
      </c>
      <c r="Q8142" t="n">
        <v>0</v>
      </c>
      <c r="R8142" s="2" t="inlineStr"/>
    </row>
    <row r="8143" ht="15" customHeight="1">
      <c r="A8143" t="inlineStr">
        <is>
          <t>A 1582-2025</t>
        </is>
      </c>
      <c r="B8143" s="1" t="n">
        <v>45670</v>
      </c>
      <c r="C8143" s="1" t="n">
        <v>46093</v>
      </c>
      <c r="D8143" t="inlineStr">
        <is>
          <t>VÄSTERNORRLANDS LÄN</t>
        </is>
      </c>
      <c r="E8143" t="inlineStr">
        <is>
          <t>ÅNGE</t>
        </is>
      </c>
      <c r="G8143" t="n">
        <v>7.3</v>
      </c>
      <c r="H8143" t="n">
        <v>0</v>
      </c>
      <c r="I8143" t="n">
        <v>0</v>
      </c>
      <c r="J8143" t="n">
        <v>0</v>
      </c>
      <c r="K8143" t="n">
        <v>0</v>
      </c>
      <c r="L8143" t="n">
        <v>0</v>
      </c>
      <c r="M8143" t="n">
        <v>0</v>
      </c>
      <c r="N8143" t="n">
        <v>0</v>
      </c>
      <c r="O8143" t="n">
        <v>0</v>
      </c>
      <c r="P8143" t="n">
        <v>0</v>
      </c>
      <c r="Q8143" t="n">
        <v>0</v>
      </c>
      <c r="R8143" s="2" t="inlineStr"/>
      <c r="U8143">
        <f>HYPERLINK("https://klasma.github.io/Logging_2260/knärot/A 1582-2025 karta knärot.png", "A 1582-2025")</f>
        <v/>
      </c>
      <c r="V8143">
        <f>HYPERLINK("https://klasma.github.io/Logging_2260/klagomål/A 1582-2025 FSC-klagomål.docx", "A 1582-2025")</f>
        <v/>
      </c>
      <c r="W8143">
        <f>HYPERLINK("https://klasma.github.io/Logging_2260/klagomålsmail/A 1582-2025 FSC-klagomål mail.docx", "A 1582-2025")</f>
        <v/>
      </c>
      <c r="X8143">
        <f>HYPERLINK("https://klasma.github.io/Logging_2260/tillsyn/A 1582-2025 tillsynsbegäran.docx", "A 1582-2025")</f>
        <v/>
      </c>
      <c r="Y8143">
        <f>HYPERLINK("https://klasma.github.io/Logging_2260/tillsynsmail/A 1582-2025 tillsynsbegäran mail.docx", "A 1582-2025")</f>
        <v/>
      </c>
    </row>
    <row r="8144" ht="15" customHeight="1">
      <c r="A8144" t="inlineStr">
        <is>
          <t>A 1595-2025</t>
        </is>
      </c>
      <c r="B8144" s="1" t="n">
        <v>45667</v>
      </c>
      <c r="C8144" s="1" t="n">
        <v>46093</v>
      </c>
      <c r="D8144" t="inlineStr">
        <is>
          <t>VÄSTERNORRLANDS LÄN</t>
        </is>
      </c>
      <c r="E8144" t="inlineStr">
        <is>
          <t>ÖRNSKÖLDSVIK</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57205-2025</t>
        </is>
      </c>
      <c r="B8145" s="1" t="n">
        <v>45979.59429398148</v>
      </c>
      <c r="C8145" s="1" t="n">
        <v>46093</v>
      </c>
      <c r="D8145" t="inlineStr">
        <is>
          <t>VÄSTERNORRLANDS LÄN</t>
        </is>
      </c>
      <c r="E8145" t="inlineStr">
        <is>
          <t>SOLLEFTEÅ</t>
        </is>
      </c>
      <c r="F8145" t="inlineStr">
        <is>
          <t>SCA</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2756-2022</t>
        </is>
      </c>
      <c r="B8146" s="1" t="n">
        <v>44580.92256944445</v>
      </c>
      <c r="C8146" s="1" t="n">
        <v>46093</v>
      </c>
      <c r="D8146" t="inlineStr">
        <is>
          <t>VÄSTERNORRLANDS LÄN</t>
        </is>
      </c>
      <c r="E8146" t="inlineStr">
        <is>
          <t>HÄRNÖSAND</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57058-2025</t>
        </is>
      </c>
      <c r="B8147" s="1" t="n">
        <v>45979.36495370371</v>
      </c>
      <c r="C8147" s="1" t="n">
        <v>46093</v>
      </c>
      <c r="D8147" t="inlineStr">
        <is>
          <t>VÄSTERNORRLANDS LÄN</t>
        </is>
      </c>
      <c r="E8147" t="inlineStr">
        <is>
          <t>KRAMFORS</t>
        </is>
      </c>
      <c r="G8147" t="n">
        <v>0.5</v>
      </c>
      <c r="H8147" t="n">
        <v>0</v>
      </c>
      <c r="I8147" t="n">
        <v>0</v>
      </c>
      <c r="J8147" t="n">
        <v>0</v>
      </c>
      <c r="K8147" t="n">
        <v>0</v>
      </c>
      <c r="L8147" t="n">
        <v>0</v>
      </c>
      <c r="M8147" t="n">
        <v>0</v>
      </c>
      <c r="N8147" t="n">
        <v>0</v>
      </c>
      <c r="O8147" t="n">
        <v>0</v>
      </c>
      <c r="P8147" t="n">
        <v>0</v>
      </c>
      <c r="Q8147" t="n">
        <v>0</v>
      </c>
      <c r="R8147" s="2" t="inlineStr"/>
    </row>
    <row r="8148" ht="15" customHeight="1">
      <c r="A8148" t="inlineStr">
        <is>
          <t>A 57147-2025</t>
        </is>
      </c>
      <c r="B8148" s="1" t="n">
        <v>45979.49215277778</v>
      </c>
      <c r="C8148" s="1" t="n">
        <v>46093</v>
      </c>
      <c r="D8148" t="inlineStr">
        <is>
          <t>VÄSTERNORRLANDS LÄN</t>
        </is>
      </c>
      <c r="E8148" t="inlineStr">
        <is>
          <t>KRAMFORS</t>
        </is>
      </c>
      <c r="G8148" t="n">
        <v>2.3</v>
      </c>
      <c r="H8148" t="n">
        <v>0</v>
      </c>
      <c r="I8148" t="n">
        <v>0</v>
      </c>
      <c r="J8148" t="n">
        <v>0</v>
      </c>
      <c r="K8148" t="n">
        <v>0</v>
      </c>
      <c r="L8148" t="n">
        <v>0</v>
      </c>
      <c r="M8148" t="n">
        <v>0</v>
      </c>
      <c r="N8148" t="n">
        <v>0</v>
      </c>
      <c r="O8148" t="n">
        <v>0</v>
      </c>
      <c r="P8148" t="n">
        <v>0</v>
      </c>
      <c r="Q8148" t="n">
        <v>0</v>
      </c>
      <c r="R8148" s="2" t="inlineStr"/>
    </row>
    <row r="8149" ht="15" customHeight="1">
      <c r="A8149" t="inlineStr">
        <is>
          <t>A 15049-2025</t>
        </is>
      </c>
      <c r="B8149" s="1" t="n">
        <v>45743</v>
      </c>
      <c r="C8149" s="1" t="n">
        <v>46093</v>
      </c>
      <c r="D8149" t="inlineStr">
        <is>
          <t>VÄSTERNORRLANDS LÄN</t>
        </is>
      </c>
      <c r="E8149" t="inlineStr">
        <is>
          <t>SUNDSVALL</t>
        </is>
      </c>
      <c r="F8149" t="inlineStr">
        <is>
          <t>SCA</t>
        </is>
      </c>
      <c r="G8149" t="n">
        <v>3</v>
      </c>
      <c r="H8149" t="n">
        <v>0</v>
      </c>
      <c r="I8149" t="n">
        <v>0</v>
      </c>
      <c r="J8149" t="n">
        <v>0</v>
      </c>
      <c r="K8149" t="n">
        <v>0</v>
      </c>
      <c r="L8149" t="n">
        <v>0</v>
      </c>
      <c r="M8149" t="n">
        <v>0</v>
      </c>
      <c r="N8149" t="n">
        <v>0</v>
      </c>
      <c r="O8149" t="n">
        <v>0</v>
      </c>
      <c r="P8149" t="n">
        <v>0</v>
      </c>
      <c r="Q8149" t="n">
        <v>0</v>
      </c>
      <c r="R8149" s="2" t="inlineStr"/>
    </row>
    <row r="8150" ht="15" customHeight="1">
      <c r="A8150" t="inlineStr">
        <is>
          <t>A 57148-2025</t>
        </is>
      </c>
      <c r="B8150" s="1" t="n">
        <v>45979.49269675926</v>
      </c>
      <c r="C8150" s="1" t="n">
        <v>46093</v>
      </c>
      <c r="D8150" t="inlineStr">
        <is>
          <t>VÄSTERNORRLANDS LÄN</t>
        </is>
      </c>
      <c r="E8150" t="inlineStr">
        <is>
          <t>KRAMFORS</t>
        </is>
      </c>
      <c r="G8150" t="n">
        <v>3.5</v>
      </c>
      <c r="H8150" t="n">
        <v>0</v>
      </c>
      <c r="I8150" t="n">
        <v>0</v>
      </c>
      <c r="J8150" t="n">
        <v>0</v>
      </c>
      <c r="K8150" t="n">
        <v>0</v>
      </c>
      <c r="L8150" t="n">
        <v>0</v>
      </c>
      <c r="M8150" t="n">
        <v>0</v>
      </c>
      <c r="N8150" t="n">
        <v>0</v>
      </c>
      <c r="O8150" t="n">
        <v>0</v>
      </c>
      <c r="P8150" t="n">
        <v>0</v>
      </c>
      <c r="Q8150" t="n">
        <v>0</v>
      </c>
      <c r="R8150" s="2" t="inlineStr"/>
    </row>
    <row r="8151" ht="15" customHeight="1">
      <c r="A8151" t="inlineStr">
        <is>
          <t>A 17173-2024</t>
        </is>
      </c>
      <c r="B8151" s="1" t="n">
        <v>45412.97866898148</v>
      </c>
      <c r="C8151" s="1" t="n">
        <v>46093</v>
      </c>
      <c r="D8151" t="inlineStr">
        <is>
          <t>VÄSTERNORRLANDS LÄN</t>
        </is>
      </c>
      <c r="E8151" t="inlineStr">
        <is>
          <t>SOLLEFTEÅ</t>
        </is>
      </c>
      <c r="F8151" t="inlineStr">
        <is>
          <t>SCA</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17876-2024</t>
        </is>
      </c>
      <c r="B8152" s="1" t="n">
        <v>45419.45701388889</v>
      </c>
      <c r="C8152" s="1" t="n">
        <v>46093</v>
      </c>
      <c r="D8152" t="inlineStr">
        <is>
          <t>VÄSTERNORRLANDS LÄN</t>
        </is>
      </c>
      <c r="E8152" t="inlineStr">
        <is>
          <t>KRAMFORS</t>
        </is>
      </c>
      <c r="G8152" t="n">
        <v>0.6</v>
      </c>
      <c r="H8152" t="n">
        <v>0</v>
      </c>
      <c r="I8152" t="n">
        <v>0</v>
      </c>
      <c r="J8152" t="n">
        <v>0</v>
      </c>
      <c r="K8152" t="n">
        <v>0</v>
      </c>
      <c r="L8152" t="n">
        <v>0</v>
      </c>
      <c r="M8152" t="n">
        <v>0</v>
      </c>
      <c r="N8152" t="n">
        <v>0</v>
      </c>
      <c r="O8152" t="n">
        <v>0</v>
      </c>
      <c r="P8152" t="n">
        <v>0</v>
      </c>
      <c r="Q8152" t="n">
        <v>0</v>
      </c>
      <c r="R8152" s="2" t="inlineStr"/>
    </row>
    <row r="8153" ht="15" customHeight="1">
      <c r="A8153" t="inlineStr">
        <is>
          <t>A 11749-2025</t>
        </is>
      </c>
      <c r="B8153" s="1" t="n">
        <v>45727.63706018519</v>
      </c>
      <c r="C8153" s="1" t="n">
        <v>46093</v>
      </c>
      <c r="D8153" t="inlineStr">
        <is>
          <t>VÄSTERNORRLANDS LÄN</t>
        </is>
      </c>
      <c r="E8153" t="inlineStr">
        <is>
          <t>ÖRNSKÖLDSVIK</t>
        </is>
      </c>
      <c r="G8153" t="n">
        <v>2.8</v>
      </c>
      <c r="H8153" t="n">
        <v>0</v>
      </c>
      <c r="I8153" t="n">
        <v>0</v>
      </c>
      <c r="J8153" t="n">
        <v>0</v>
      </c>
      <c r="K8153" t="n">
        <v>0</v>
      </c>
      <c r="L8153" t="n">
        <v>0</v>
      </c>
      <c r="M8153" t="n">
        <v>0</v>
      </c>
      <c r="N8153" t="n">
        <v>0</v>
      </c>
      <c r="O8153" t="n">
        <v>0</v>
      </c>
      <c r="P8153" t="n">
        <v>0</v>
      </c>
      <c r="Q8153" t="n">
        <v>0</v>
      </c>
      <c r="R8153" s="2" t="inlineStr"/>
    </row>
    <row r="8154" ht="15" customHeight="1">
      <c r="A8154" t="inlineStr">
        <is>
          <t>A 57470-2025</t>
        </is>
      </c>
      <c r="B8154" s="1" t="n">
        <v>45980.56049768518</v>
      </c>
      <c r="C8154" s="1" t="n">
        <v>46093</v>
      </c>
      <c r="D8154" t="inlineStr">
        <is>
          <t>VÄSTERNORRLANDS LÄN</t>
        </is>
      </c>
      <c r="E8154" t="inlineStr">
        <is>
          <t>ÖRNSKÖLDSVIK</t>
        </is>
      </c>
      <c r="G8154" t="n">
        <v>5.4</v>
      </c>
      <c r="H8154" t="n">
        <v>0</v>
      </c>
      <c r="I8154" t="n">
        <v>0</v>
      </c>
      <c r="J8154" t="n">
        <v>0</v>
      </c>
      <c r="K8154" t="n">
        <v>0</v>
      </c>
      <c r="L8154" t="n">
        <v>0</v>
      </c>
      <c r="M8154" t="n">
        <v>0</v>
      </c>
      <c r="N8154" t="n">
        <v>0</v>
      </c>
      <c r="O8154" t="n">
        <v>0</v>
      </c>
      <c r="P8154" t="n">
        <v>0</v>
      </c>
      <c r="Q8154" t="n">
        <v>0</v>
      </c>
      <c r="R8154" s="2" t="inlineStr"/>
    </row>
    <row r="8155" ht="15" customHeight="1">
      <c r="A8155" t="inlineStr">
        <is>
          <t>A 13315-2025</t>
        </is>
      </c>
      <c r="B8155" s="1" t="n">
        <v>45735.59418981482</v>
      </c>
      <c r="C8155" s="1" t="n">
        <v>46093</v>
      </c>
      <c r="D8155" t="inlineStr">
        <is>
          <t>VÄSTERNORRLANDS LÄN</t>
        </is>
      </c>
      <c r="E8155" t="inlineStr">
        <is>
          <t>SOLLEFTEÅ</t>
        </is>
      </c>
      <c r="F8155" t="inlineStr">
        <is>
          <t>SCA</t>
        </is>
      </c>
      <c r="G8155" t="n">
        <v>7.2</v>
      </c>
      <c r="H8155" t="n">
        <v>0</v>
      </c>
      <c r="I8155" t="n">
        <v>0</v>
      </c>
      <c r="J8155" t="n">
        <v>0</v>
      </c>
      <c r="K8155" t="n">
        <v>0</v>
      </c>
      <c r="L8155" t="n">
        <v>0</v>
      </c>
      <c r="M8155" t="n">
        <v>0</v>
      </c>
      <c r="N8155" t="n">
        <v>0</v>
      </c>
      <c r="O8155" t="n">
        <v>0</v>
      </c>
      <c r="P8155" t="n">
        <v>0</v>
      </c>
      <c r="Q8155" t="n">
        <v>0</v>
      </c>
      <c r="R8155" s="2" t="inlineStr"/>
    </row>
    <row r="8156" ht="15" customHeight="1">
      <c r="A8156" t="inlineStr">
        <is>
          <t>A 47089-2024</t>
        </is>
      </c>
      <c r="B8156" s="1" t="n">
        <v>45586.51078703703</v>
      </c>
      <c r="C8156" s="1" t="n">
        <v>46093</v>
      </c>
      <c r="D8156" t="inlineStr">
        <is>
          <t>VÄSTERNORRLANDS LÄN</t>
        </is>
      </c>
      <c r="E8156" t="inlineStr">
        <is>
          <t>TIMRÅ</t>
        </is>
      </c>
      <c r="F8156" t="inlineStr">
        <is>
          <t>SCA</t>
        </is>
      </c>
      <c r="G8156" t="n">
        <v>5.4</v>
      </c>
      <c r="H8156" t="n">
        <v>0</v>
      </c>
      <c r="I8156" t="n">
        <v>0</v>
      </c>
      <c r="J8156" t="n">
        <v>0</v>
      </c>
      <c r="K8156" t="n">
        <v>0</v>
      </c>
      <c r="L8156" t="n">
        <v>0</v>
      </c>
      <c r="M8156" t="n">
        <v>0</v>
      </c>
      <c r="N8156" t="n">
        <v>0</v>
      </c>
      <c r="O8156" t="n">
        <v>0</v>
      </c>
      <c r="P8156" t="n">
        <v>0</v>
      </c>
      <c r="Q8156" t="n">
        <v>0</v>
      </c>
      <c r="R8156" s="2" t="inlineStr"/>
    </row>
    <row r="8157" ht="15" customHeight="1">
      <c r="A8157" t="inlineStr">
        <is>
          <t>A 57092-2025</t>
        </is>
      </c>
      <c r="B8157" s="1" t="n">
        <v>45979.42767361111</v>
      </c>
      <c r="C8157" s="1" t="n">
        <v>46093</v>
      </c>
      <c r="D8157" t="inlineStr">
        <is>
          <t>VÄSTERNORRLANDS LÄN</t>
        </is>
      </c>
      <c r="E8157" t="inlineStr">
        <is>
          <t>SUNDSVALL</t>
        </is>
      </c>
      <c r="G8157" t="n">
        <v>3.8</v>
      </c>
      <c r="H8157" t="n">
        <v>0</v>
      </c>
      <c r="I8157" t="n">
        <v>0</v>
      </c>
      <c r="J8157" t="n">
        <v>0</v>
      </c>
      <c r="K8157" t="n">
        <v>0</v>
      </c>
      <c r="L8157" t="n">
        <v>0</v>
      </c>
      <c r="M8157" t="n">
        <v>0</v>
      </c>
      <c r="N8157" t="n">
        <v>0</v>
      </c>
      <c r="O8157" t="n">
        <v>0</v>
      </c>
      <c r="P8157" t="n">
        <v>0</v>
      </c>
      <c r="Q8157" t="n">
        <v>0</v>
      </c>
      <c r="R8157" s="2" t="inlineStr"/>
    </row>
    <row r="8158" ht="15" customHeight="1">
      <c r="A8158" t="inlineStr">
        <is>
          <t>A 57099-2025</t>
        </is>
      </c>
      <c r="B8158" s="1" t="n">
        <v>45979.43927083333</v>
      </c>
      <c r="C8158" s="1" t="n">
        <v>46093</v>
      </c>
      <c r="D8158" t="inlineStr">
        <is>
          <t>VÄSTERNORRLANDS LÄN</t>
        </is>
      </c>
      <c r="E8158" t="inlineStr">
        <is>
          <t>HÄRNÖSAND</t>
        </is>
      </c>
      <c r="G8158" t="n">
        <v>3.9</v>
      </c>
      <c r="H8158" t="n">
        <v>0</v>
      </c>
      <c r="I8158" t="n">
        <v>0</v>
      </c>
      <c r="J8158" t="n">
        <v>0</v>
      </c>
      <c r="K8158" t="n">
        <v>0</v>
      </c>
      <c r="L8158" t="n">
        <v>0</v>
      </c>
      <c r="M8158" t="n">
        <v>0</v>
      </c>
      <c r="N8158" t="n">
        <v>0</v>
      </c>
      <c r="O8158" t="n">
        <v>0</v>
      </c>
      <c r="P8158" t="n">
        <v>0</v>
      </c>
      <c r="Q8158" t="n">
        <v>0</v>
      </c>
      <c r="R8158" s="2" t="inlineStr"/>
    </row>
    <row r="8159" ht="15" customHeight="1">
      <c r="A8159" t="inlineStr">
        <is>
          <t>A 57145-2025</t>
        </is>
      </c>
      <c r="B8159" s="1" t="n">
        <v>45979.4903587963</v>
      </c>
      <c r="C8159" s="1" t="n">
        <v>46093</v>
      </c>
      <c r="D8159" t="inlineStr">
        <is>
          <t>VÄSTERNORRLANDS LÄN</t>
        </is>
      </c>
      <c r="E8159" t="inlineStr">
        <is>
          <t>SUNDSVALL</t>
        </is>
      </c>
      <c r="F8159" t="inlineStr">
        <is>
          <t>SCA</t>
        </is>
      </c>
      <c r="G8159" t="n">
        <v>3.5</v>
      </c>
      <c r="H8159" t="n">
        <v>0</v>
      </c>
      <c r="I8159" t="n">
        <v>0</v>
      </c>
      <c r="J8159" t="n">
        <v>0</v>
      </c>
      <c r="K8159" t="n">
        <v>0</v>
      </c>
      <c r="L8159" t="n">
        <v>0</v>
      </c>
      <c r="M8159" t="n">
        <v>0</v>
      </c>
      <c r="N8159" t="n">
        <v>0</v>
      </c>
      <c r="O8159" t="n">
        <v>0</v>
      </c>
      <c r="P8159" t="n">
        <v>0</v>
      </c>
      <c r="Q8159" t="n">
        <v>0</v>
      </c>
      <c r="R8159" s="2" t="inlineStr"/>
    </row>
    <row r="8160" ht="15" customHeight="1">
      <c r="A8160" t="inlineStr">
        <is>
          <t>A 29336-2023</t>
        </is>
      </c>
      <c r="B8160" s="1" t="n">
        <v>45105</v>
      </c>
      <c r="C8160" s="1" t="n">
        <v>46093</v>
      </c>
      <c r="D8160" t="inlineStr">
        <is>
          <t>VÄSTERNORRLANDS LÄN</t>
        </is>
      </c>
      <c r="E8160" t="inlineStr">
        <is>
          <t>SOLLEFTEÅ</t>
        </is>
      </c>
      <c r="F8160" t="inlineStr">
        <is>
          <t>SCA</t>
        </is>
      </c>
      <c r="G8160" t="n">
        <v>2.7</v>
      </c>
      <c r="H8160" t="n">
        <v>0</v>
      </c>
      <c r="I8160" t="n">
        <v>0</v>
      </c>
      <c r="J8160" t="n">
        <v>0</v>
      </c>
      <c r="K8160" t="n">
        <v>0</v>
      </c>
      <c r="L8160" t="n">
        <v>0</v>
      </c>
      <c r="M8160" t="n">
        <v>0</v>
      </c>
      <c r="N8160" t="n">
        <v>0</v>
      </c>
      <c r="O8160" t="n">
        <v>0</v>
      </c>
      <c r="P8160" t="n">
        <v>0</v>
      </c>
      <c r="Q8160" t="n">
        <v>0</v>
      </c>
      <c r="R8160" s="2" t="inlineStr"/>
    </row>
    <row r="8161" ht="15" customHeight="1">
      <c r="A8161" t="inlineStr">
        <is>
          <t>A 57994-2023</t>
        </is>
      </c>
      <c r="B8161" s="1" t="n">
        <v>45247.6033912037</v>
      </c>
      <c r="C8161" s="1" t="n">
        <v>46093</v>
      </c>
      <c r="D8161" t="inlineStr">
        <is>
          <t>VÄSTERNORRLANDS LÄN</t>
        </is>
      </c>
      <c r="E8161" t="inlineStr">
        <is>
          <t>ÖRNSKÖLDSVIK</t>
        </is>
      </c>
      <c r="F8161" t="inlineStr">
        <is>
          <t>Holmen skog AB</t>
        </is>
      </c>
      <c r="G8161" t="n">
        <v>1.3</v>
      </c>
      <c r="H8161" t="n">
        <v>0</v>
      </c>
      <c r="I8161" t="n">
        <v>0</v>
      </c>
      <c r="J8161" t="n">
        <v>0</v>
      </c>
      <c r="K8161" t="n">
        <v>0</v>
      </c>
      <c r="L8161" t="n">
        <v>0</v>
      </c>
      <c r="M8161" t="n">
        <v>0</v>
      </c>
      <c r="N8161" t="n">
        <v>0</v>
      </c>
      <c r="O8161" t="n">
        <v>0</v>
      </c>
      <c r="P8161" t="n">
        <v>0</v>
      </c>
      <c r="Q8161" t="n">
        <v>0</v>
      </c>
      <c r="R8161" s="2" t="inlineStr"/>
    </row>
    <row r="8162" ht="15" customHeight="1">
      <c r="A8162" t="inlineStr">
        <is>
          <t>A 54908-2021</t>
        </is>
      </c>
      <c r="B8162" s="1" t="n">
        <v>44474.39769675926</v>
      </c>
      <c r="C8162" s="1" t="n">
        <v>46093</v>
      </c>
      <c r="D8162" t="inlineStr">
        <is>
          <t>VÄSTERNORRLANDS LÄN</t>
        </is>
      </c>
      <c r="E8162" t="inlineStr">
        <is>
          <t>ÅNGE</t>
        </is>
      </c>
      <c r="G8162" t="n">
        <v>7.8</v>
      </c>
      <c r="H8162" t="n">
        <v>0</v>
      </c>
      <c r="I8162" t="n">
        <v>0</v>
      </c>
      <c r="J8162" t="n">
        <v>0</v>
      </c>
      <c r="K8162" t="n">
        <v>0</v>
      </c>
      <c r="L8162" t="n">
        <v>0</v>
      </c>
      <c r="M8162" t="n">
        <v>0</v>
      </c>
      <c r="N8162" t="n">
        <v>0</v>
      </c>
      <c r="O8162" t="n">
        <v>0</v>
      </c>
      <c r="P8162" t="n">
        <v>0</v>
      </c>
      <c r="Q8162" t="n">
        <v>0</v>
      </c>
      <c r="R8162" s="2" t="inlineStr"/>
    </row>
    <row r="8163" ht="15" customHeight="1">
      <c r="A8163" t="inlineStr">
        <is>
          <t>A 68748-2021</t>
        </is>
      </c>
      <c r="B8163" s="1" t="n">
        <v>44529</v>
      </c>
      <c r="C8163" s="1" t="n">
        <v>46093</v>
      </c>
      <c r="D8163" t="inlineStr">
        <is>
          <t>VÄSTERNORRLANDS LÄN</t>
        </is>
      </c>
      <c r="E8163" t="inlineStr">
        <is>
          <t>ÖRNSKÖLDSVIK</t>
        </is>
      </c>
      <c r="G8163" t="n">
        <v>1.3</v>
      </c>
      <c r="H8163" t="n">
        <v>0</v>
      </c>
      <c r="I8163" t="n">
        <v>0</v>
      </c>
      <c r="J8163" t="n">
        <v>0</v>
      </c>
      <c r="K8163" t="n">
        <v>0</v>
      </c>
      <c r="L8163" t="n">
        <v>0</v>
      </c>
      <c r="M8163" t="n">
        <v>0</v>
      </c>
      <c r="N8163" t="n">
        <v>0</v>
      </c>
      <c r="O8163" t="n">
        <v>0</v>
      </c>
      <c r="P8163" t="n">
        <v>0</v>
      </c>
      <c r="Q8163" t="n">
        <v>0</v>
      </c>
      <c r="R8163" s="2" t="inlineStr"/>
    </row>
    <row r="8164" ht="15" customHeight="1">
      <c r="A8164" t="inlineStr">
        <is>
          <t>A 57775-2023</t>
        </is>
      </c>
      <c r="B8164" s="1" t="n">
        <v>45246</v>
      </c>
      <c r="C8164" s="1" t="n">
        <v>46093</v>
      </c>
      <c r="D8164" t="inlineStr">
        <is>
          <t>VÄSTERNORRLANDS LÄN</t>
        </is>
      </c>
      <c r="E8164" t="inlineStr">
        <is>
          <t>SUNDSVALL</t>
        </is>
      </c>
      <c r="G8164" t="n">
        <v>2</v>
      </c>
      <c r="H8164" t="n">
        <v>0</v>
      </c>
      <c r="I8164" t="n">
        <v>0</v>
      </c>
      <c r="J8164" t="n">
        <v>0</v>
      </c>
      <c r="K8164" t="n">
        <v>0</v>
      </c>
      <c r="L8164" t="n">
        <v>0</v>
      </c>
      <c r="M8164" t="n">
        <v>0</v>
      </c>
      <c r="N8164" t="n">
        <v>0</v>
      </c>
      <c r="O8164" t="n">
        <v>0</v>
      </c>
      <c r="P8164" t="n">
        <v>0</v>
      </c>
      <c r="Q8164" t="n">
        <v>0</v>
      </c>
      <c r="R8164" s="2" t="inlineStr"/>
    </row>
    <row r="8165" ht="15" customHeight="1">
      <c r="A8165" t="inlineStr">
        <is>
          <t>A 57041-2025</t>
        </is>
      </c>
      <c r="B8165" s="1" t="n">
        <v>45979.34581018519</v>
      </c>
      <c r="C8165" s="1" t="n">
        <v>46093</v>
      </c>
      <c r="D8165" t="inlineStr">
        <is>
          <t>VÄSTERNORRLANDS LÄN</t>
        </is>
      </c>
      <c r="E8165" t="inlineStr">
        <is>
          <t>HÄRNÖSAND</t>
        </is>
      </c>
      <c r="F8165" t="inlineStr">
        <is>
          <t>SCA</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57044-2025</t>
        </is>
      </c>
      <c r="B8166" s="1" t="n">
        <v>45979.34629629629</v>
      </c>
      <c r="C8166" s="1" t="n">
        <v>46093</v>
      </c>
      <c r="D8166" t="inlineStr">
        <is>
          <t>VÄSTERNORRLANDS LÄN</t>
        </is>
      </c>
      <c r="E8166" t="inlineStr">
        <is>
          <t>TIMRÅ</t>
        </is>
      </c>
      <c r="F8166" t="inlineStr">
        <is>
          <t>SCA</t>
        </is>
      </c>
      <c r="G8166" t="n">
        <v>2.5</v>
      </c>
      <c r="H8166" t="n">
        <v>0</v>
      </c>
      <c r="I8166" t="n">
        <v>0</v>
      </c>
      <c r="J8166" t="n">
        <v>0</v>
      </c>
      <c r="K8166" t="n">
        <v>0</v>
      </c>
      <c r="L8166" t="n">
        <v>0</v>
      </c>
      <c r="M8166" t="n">
        <v>0</v>
      </c>
      <c r="N8166" t="n">
        <v>0</v>
      </c>
      <c r="O8166" t="n">
        <v>0</v>
      </c>
      <c r="P8166" t="n">
        <v>0</v>
      </c>
      <c r="Q8166" t="n">
        <v>0</v>
      </c>
      <c r="R8166" s="2" t="inlineStr"/>
    </row>
    <row r="8167" ht="15" customHeight="1">
      <c r="A8167" t="inlineStr">
        <is>
          <t>A 24304-2023</t>
        </is>
      </c>
      <c r="B8167" s="1" t="n">
        <v>45079</v>
      </c>
      <c r="C8167" s="1" t="n">
        <v>46093</v>
      </c>
      <c r="D8167" t="inlineStr">
        <is>
          <t>VÄSTERNORRLANDS LÄN</t>
        </is>
      </c>
      <c r="E8167" t="inlineStr">
        <is>
          <t>TIMRÅ</t>
        </is>
      </c>
      <c r="F8167" t="inlineStr">
        <is>
          <t>SCA</t>
        </is>
      </c>
      <c r="G8167" t="n">
        <v>1.6</v>
      </c>
      <c r="H8167" t="n">
        <v>0</v>
      </c>
      <c r="I8167" t="n">
        <v>0</v>
      </c>
      <c r="J8167" t="n">
        <v>0</v>
      </c>
      <c r="K8167" t="n">
        <v>0</v>
      </c>
      <c r="L8167" t="n">
        <v>0</v>
      </c>
      <c r="M8167" t="n">
        <v>0</v>
      </c>
      <c r="N8167" t="n">
        <v>0</v>
      </c>
      <c r="O8167" t="n">
        <v>0</v>
      </c>
      <c r="P8167" t="n">
        <v>0</v>
      </c>
      <c r="Q8167" t="n">
        <v>0</v>
      </c>
      <c r="R8167" s="2" t="inlineStr"/>
    </row>
    <row r="8168" ht="15" customHeight="1">
      <c r="A8168" t="inlineStr">
        <is>
          <t>A 27951-2021</t>
        </is>
      </c>
      <c r="B8168" s="1" t="n">
        <v>44354</v>
      </c>
      <c r="C8168" s="1" t="n">
        <v>46093</v>
      </c>
      <c r="D8168" t="inlineStr">
        <is>
          <t>VÄSTERNORRLANDS LÄN</t>
        </is>
      </c>
      <c r="E8168" t="inlineStr">
        <is>
          <t>ÅNGE</t>
        </is>
      </c>
      <c r="G8168" t="n">
        <v>3</v>
      </c>
      <c r="H8168" t="n">
        <v>0</v>
      </c>
      <c r="I8168" t="n">
        <v>0</v>
      </c>
      <c r="J8168" t="n">
        <v>0</v>
      </c>
      <c r="K8168" t="n">
        <v>0</v>
      </c>
      <c r="L8168" t="n">
        <v>0</v>
      </c>
      <c r="M8168" t="n">
        <v>0</v>
      </c>
      <c r="N8168" t="n">
        <v>0</v>
      </c>
      <c r="O8168" t="n">
        <v>0</v>
      </c>
      <c r="P8168" t="n">
        <v>0</v>
      </c>
      <c r="Q8168" t="n">
        <v>0</v>
      </c>
      <c r="R8168" s="2" t="inlineStr"/>
    </row>
    <row r="8169" ht="15" customHeight="1">
      <c r="A8169" t="inlineStr">
        <is>
          <t>A 26200-2024</t>
        </is>
      </c>
      <c r="B8169" s="1" t="n">
        <v>45468</v>
      </c>
      <c r="C8169" s="1" t="n">
        <v>46093</v>
      </c>
      <c r="D8169" t="inlineStr">
        <is>
          <t>VÄSTERNORRLANDS LÄN</t>
        </is>
      </c>
      <c r="E8169" t="inlineStr">
        <is>
          <t>SUNDSVALL</t>
        </is>
      </c>
      <c r="G8169" t="n">
        <v>6.7</v>
      </c>
      <c r="H8169" t="n">
        <v>0</v>
      </c>
      <c r="I8169" t="n">
        <v>0</v>
      </c>
      <c r="J8169" t="n">
        <v>0</v>
      </c>
      <c r="K8169" t="n">
        <v>0</v>
      </c>
      <c r="L8169" t="n">
        <v>0</v>
      </c>
      <c r="M8169" t="n">
        <v>0</v>
      </c>
      <c r="N8169" t="n">
        <v>0</v>
      </c>
      <c r="O8169" t="n">
        <v>0</v>
      </c>
      <c r="P8169" t="n">
        <v>0</v>
      </c>
      <c r="Q8169" t="n">
        <v>0</v>
      </c>
      <c r="R8169" s="2" t="inlineStr"/>
    </row>
    <row r="8170" ht="15" customHeight="1">
      <c r="A8170" t="inlineStr">
        <is>
          <t>A 57302-2025</t>
        </is>
      </c>
      <c r="B8170" s="1" t="n">
        <v>45979.87184027778</v>
      </c>
      <c r="C8170" s="1" t="n">
        <v>46093</v>
      </c>
      <c r="D8170" t="inlineStr">
        <is>
          <t>VÄSTERNORRLANDS LÄN</t>
        </is>
      </c>
      <c r="E8170" t="inlineStr">
        <is>
          <t>ÅNGE</t>
        </is>
      </c>
      <c r="G8170" t="n">
        <v>2.3</v>
      </c>
      <c r="H8170" t="n">
        <v>0</v>
      </c>
      <c r="I8170" t="n">
        <v>0</v>
      </c>
      <c r="J8170" t="n">
        <v>0</v>
      </c>
      <c r="K8170" t="n">
        <v>0</v>
      </c>
      <c r="L8170" t="n">
        <v>0</v>
      </c>
      <c r="M8170" t="n">
        <v>0</v>
      </c>
      <c r="N8170" t="n">
        <v>0</v>
      </c>
      <c r="O8170" t="n">
        <v>0</v>
      </c>
      <c r="P8170" t="n">
        <v>0</v>
      </c>
      <c r="Q8170" t="n">
        <v>0</v>
      </c>
      <c r="R8170" s="2" t="inlineStr"/>
    </row>
    <row r="8171" ht="15" customHeight="1">
      <c r="A8171" t="inlineStr">
        <is>
          <t>A 19051-2022</t>
        </is>
      </c>
      <c r="B8171" s="1" t="n">
        <v>44691.41167824074</v>
      </c>
      <c r="C8171" s="1" t="n">
        <v>46093</v>
      </c>
      <c r="D8171" t="inlineStr">
        <is>
          <t>VÄSTERNORRLANDS LÄN</t>
        </is>
      </c>
      <c r="E8171" t="inlineStr">
        <is>
          <t>SOLLEFTEÅ</t>
        </is>
      </c>
      <c r="G8171" t="n">
        <v>3.6</v>
      </c>
      <c r="H8171" t="n">
        <v>0</v>
      </c>
      <c r="I8171" t="n">
        <v>0</v>
      </c>
      <c r="J8171" t="n">
        <v>0</v>
      </c>
      <c r="K8171" t="n">
        <v>0</v>
      </c>
      <c r="L8171" t="n">
        <v>0</v>
      </c>
      <c r="M8171" t="n">
        <v>0</v>
      </c>
      <c r="N8171" t="n">
        <v>0</v>
      </c>
      <c r="O8171" t="n">
        <v>0</v>
      </c>
      <c r="P8171" t="n">
        <v>0</v>
      </c>
      <c r="Q8171" t="n">
        <v>0</v>
      </c>
      <c r="R8171" s="2" t="inlineStr"/>
    </row>
    <row r="8172" ht="15" customHeight="1">
      <c r="A8172" t="inlineStr">
        <is>
          <t>A 12807-2025</t>
        </is>
      </c>
      <c r="B8172" s="1" t="n">
        <v>45733.61537037037</v>
      </c>
      <c r="C8172" s="1" t="n">
        <v>46093</v>
      </c>
      <c r="D8172" t="inlineStr">
        <is>
          <t>VÄSTERNORRLANDS LÄN</t>
        </is>
      </c>
      <c r="E8172" t="inlineStr">
        <is>
          <t>ÅNGE</t>
        </is>
      </c>
      <c r="F8172" t="inlineStr">
        <is>
          <t>SCA</t>
        </is>
      </c>
      <c r="G8172" t="n">
        <v>1.2</v>
      </c>
      <c r="H8172" t="n">
        <v>0</v>
      </c>
      <c r="I8172" t="n">
        <v>0</v>
      </c>
      <c r="J8172" t="n">
        <v>0</v>
      </c>
      <c r="K8172" t="n">
        <v>0</v>
      </c>
      <c r="L8172" t="n">
        <v>0</v>
      </c>
      <c r="M8172" t="n">
        <v>0</v>
      </c>
      <c r="N8172" t="n">
        <v>0</v>
      </c>
      <c r="O8172" t="n">
        <v>0</v>
      </c>
      <c r="P8172" t="n">
        <v>0</v>
      </c>
      <c r="Q8172" t="n">
        <v>0</v>
      </c>
      <c r="R8172" s="2" t="inlineStr"/>
    </row>
    <row r="8173" ht="15" customHeight="1">
      <c r="A8173" t="inlineStr">
        <is>
          <t>A 22990-2024</t>
        </is>
      </c>
      <c r="B8173" s="1" t="n">
        <v>45449.94548611111</v>
      </c>
      <c r="C8173" s="1" t="n">
        <v>46093</v>
      </c>
      <c r="D8173" t="inlineStr">
        <is>
          <t>VÄSTERNORRLANDS LÄN</t>
        </is>
      </c>
      <c r="E8173" t="inlineStr">
        <is>
          <t>ÅNGE</t>
        </is>
      </c>
      <c r="F8173" t="inlineStr">
        <is>
          <t>SCA</t>
        </is>
      </c>
      <c r="G8173" t="n">
        <v>3.1</v>
      </c>
      <c r="H8173" t="n">
        <v>0</v>
      </c>
      <c r="I8173" t="n">
        <v>0</v>
      </c>
      <c r="J8173" t="n">
        <v>0</v>
      </c>
      <c r="K8173" t="n">
        <v>0</v>
      </c>
      <c r="L8173" t="n">
        <v>0</v>
      </c>
      <c r="M8173" t="n">
        <v>0</v>
      </c>
      <c r="N8173" t="n">
        <v>0</v>
      </c>
      <c r="O8173" t="n">
        <v>0</v>
      </c>
      <c r="P8173" t="n">
        <v>0</v>
      </c>
      <c r="Q8173" t="n">
        <v>0</v>
      </c>
      <c r="R8173" s="2" t="inlineStr"/>
    </row>
    <row r="8174" ht="15" customHeight="1">
      <c r="A8174" t="inlineStr">
        <is>
          <t>A 38037-2024</t>
        </is>
      </c>
      <c r="B8174" s="1" t="n">
        <v>45544</v>
      </c>
      <c r="C8174" s="1" t="n">
        <v>46093</v>
      </c>
      <c r="D8174" t="inlineStr">
        <is>
          <t>VÄSTERNORRLANDS LÄN</t>
        </is>
      </c>
      <c r="E8174" t="inlineStr">
        <is>
          <t>ÖRNSKÖLDSVIK</t>
        </is>
      </c>
      <c r="G8174" t="n">
        <v>4.7</v>
      </c>
      <c r="H8174" t="n">
        <v>0</v>
      </c>
      <c r="I8174" t="n">
        <v>0</v>
      </c>
      <c r="J8174" t="n">
        <v>0</v>
      </c>
      <c r="K8174" t="n">
        <v>0</v>
      </c>
      <c r="L8174" t="n">
        <v>0</v>
      </c>
      <c r="M8174" t="n">
        <v>0</v>
      </c>
      <c r="N8174" t="n">
        <v>0</v>
      </c>
      <c r="O8174" t="n">
        <v>0</v>
      </c>
      <c r="P8174" t="n">
        <v>0</v>
      </c>
      <c r="Q8174" t="n">
        <v>0</v>
      </c>
      <c r="R8174" s="2" t="inlineStr"/>
    </row>
    <row r="8175" ht="15" customHeight="1">
      <c r="A8175" t="inlineStr">
        <is>
          <t>A 57029-2025</t>
        </is>
      </c>
      <c r="B8175" s="1" t="n">
        <v>45979.33319444444</v>
      </c>
      <c r="C8175" s="1" t="n">
        <v>46093</v>
      </c>
      <c r="D8175" t="inlineStr">
        <is>
          <t>VÄSTERNORRLANDS LÄN</t>
        </is>
      </c>
      <c r="E8175" t="inlineStr">
        <is>
          <t>KRAMFORS</t>
        </is>
      </c>
      <c r="G8175" t="n">
        <v>6.2</v>
      </c>
      <c r="H8175" t="n">
        <v>0</v>
      </c>
      <c r="I8175" t="n">
        <v>0</v>
      </c>
      <c r="J8175" t="n">
        <v>0</v>
      </c>
      <c r="K8175" t="n">
        <v>0</v>
      </c>
      <c r="L8175" t="n">
        <v>0</v>
      </c>
      <c r="M8175" t="n">
        <v>0</v>
      </c>
      <c r="N8175" t="n">
        <v>0</v>
      </c>
      <c r="O8175" t="n">
        <v>0</v>
      </c>
      <c r="P8175" t="n">
        <v>0</v>
      </c>
      <c r="Q8175" t="n">
        <v>0</v>
      </c>
      <c r="R8175" s="2" t="inlineStr"/>
    </row>
    <row r="8176" ht="15" customHeight="1">
      <c r="A8176" t="inlineStr">
        <is>
          <t>A 57035-2025</t>
        </is>
      </c>
      <c r="B8176" s="1" t="n">
        <v>45979.34475694445</v>
      </c>
      <c r="C8176" s="1" t="n">
        <v>46093</v>
      </c>
      <c r="D8176" t="inlineStr">
        <is>
          <t>VÄSTERNORRLANDS LÄN</t>
        </is>
      </c>
      <c r="E8176" t="inlineStr">
        <is>
          <t>HÄRNÖSAND</t>
        </is>
      </c>
      <c r="F8176" t="inlineStr">
        <is>
          <t>SCA</t>
        </is>
      </c>
      <c r="G8176" t="n">
        <v>0.4</v>
      </c>
      <c r="H8176" t="n">
        <v>0</v>
      </c>
      <c r="I8176" t="n">
        <v>0</v>
      </c>
      <c r="J8176" t="n">
        <v>0</v>
      </c>
      <c r="K8176" t="n">
        <v>0</v>
      </c>
      <c r="L8176" t="n">
        <v>0</v>
      </c>
      <c r="M8176" t="n">
        <v>0</v>
      </c>
      <c r="N8176" t="n">
        <v>0</v>
      </c>
      <c r="O8176" t="n">
        <v>0</v>
      </c>
      <c r="P8176" t="n">
        <v>0</v>
      </c>
      <c r="Q8176" t="n">
        <v>0</v>
      </c>
      <c r="R8176" s="2" t="inlineStr"/>
    </row>
    <row r="8177" ht="15" customHeight="1">
      <c r="A8177" t="inlineStr">
        <is>
          <t>A 27976-2024</t>
        </is>
      </c>
      <c r="B8177" s="1" t="n">
        <v>45476</v>
      </c>
      <c r="C8177" s="1" t="n">
        <v>46093</v>
      </c>
      <c r="D8177" t="inlineStr">
        <is>
          <t>VÄSTERNORRLANDS LÄN</t>
        </is>
      </c>
      <c r="E8177" t="inlineStr">
        <is>
          <t>HÄRNÖSAND</t>
        </is>
      </c>
      <c r="G8177" t="n">
        <v>1.6</v>
      </c>
      <c r="H8177" t="n">
        <v>0</v>
      </c>
      <c r="I8177" t="n">
        <v>0</v>
      </c>
      <c r="J8177" t="n">
        <v>0</v>
      </c>
      <c r="K8177" t="n">
        <v>0</v>
      </c>
      <c r="L8177" t="n">
        <v>0</v>
      </c>
      <c r="M8177" t="n">
        <v>0</v>
      </c>
      <c r="N8177" t="n">
        <v>0</v>
      </c>
      <c r="O8177" t="n">
        <v>0</v>
      </c>
      <c r="P8177" t="n">
        <v>0</v>
      </c>
      <c r="Q8177" t="n">
        <v>0</v>
      </c>
      <c r="R8177" s="2" t="inlineStr"/>
    </row>
    <row r="8178" ht="15" customHeight="1">
      <c r="A8178" t="inlineStr">
        <is>
          <t>A 66178-2021</t>
        </is>
      </c>
      <c r="B8178" s="1" t="n">
        <v>44517</v>
      </c>
      <c r="C8178" s="1" t="n">
        <v>46093</v>
      </c>
      <c r="D8178" t="inlineStr">
        <is>
          <t>VÄSTERNORRLANDS LÄN</t>
        </is>
      </c>
      <c r="E8178" t="inlineStr">
        <is>
          <t>SOLLEFTEÅ</t>
        </is>
      </c>
      <c r="F8178" t="inlineStr">
        <is>
          <t>SCA</t>
        </is>
      </c>
      <c r="G8178" t="n">
        <v>31.7</v>
      </c>
      <c r="H8178" t="n">
        <v>0</v>
      </c>
      <c r="I8178" t="n">
        <v>0</v>
      </c>
      <c r="J8178" t="n">
        <v>0</v>
      </c>
      <c r="K8178" t="n">
        <v>0</v>
      </c>
      <c r="L8178" t="n">
        <v>0</v>
      </c>
      <c r="M8178" t="n">
        <v>0</v>
      </c>
      <c r="N8178" t="n">
        <v>0</v>
      </c>
      <c r="O8178" t="n">
        <v>0</v>
      </c>
      <c r="P8178" t="n">
        <v>0</v>
      </c>
      <c r="Q8178" t="n">
        <v>0</v>
      </c>
      <c r="R8178" s="2" t="inlineStr"/>
    </row>
    <row r="8179" ht="15" customHeight="1">
      <c r="A8179" t="inlineStr">
        <is>
          <t>A 57069-2025</t>
        </is>
      </c>
      <c r="B8179" s="1" t="n">
        <v>45979.38600694444</v>
      </c>
      <c r="C8179" s="1" t="n">
        <v>46093</v>
      </c>
      <c r="D8179" t="inlineStr">
        <is>
          <t>VÄSTERNORRLANDS LÄN</t>
        </is>
      </c>
      <c r="E8179" t="inlineStr">
        <is>
          <t>KRAMFORS</t>
        </is>
      </c>
      <c r="G8179" t="n">
        <v>9.699999999999999</v>
      </c>
      <c r="H8179" t="n">
        <v>0</v>
      </c>
      <c r="I8179" t="n">
        <v>0</v>
      </c>
      <c r="J8179" t="n">
        <v>0</v>
      </c>
      <c r="K8179" t="n">
        <v>0</v>
      </c>
      <c r="L8179" t="n">
        <v>0</v>
      </c>
      <c r="M8179" t="n">
        <v>0</v>
      </c>
      <c r="N8179" t="n">
        <v>0</v>
      </c>
      <c r="O8179" t="n">
        <v>0</v>
      </c>
      <c r="P8179" t="n">
        <v>0</v>
      </c>
      <c r="Q8179" t="n">
        <v>0</v>
      </c>
      <c r="R8179" s="2" t="inlineStr"/>
    </row>
    <row r="8180" ht="15" customHeight="1">
      <c r="A8180" t="inlineStr">
        <is>
          <t>A 10786-2023</t>
        </is>
      </c>
      <c r="B8180" s="1" t="n">
        <v>44988</v>
      </c>
      <c r="C8180" s="1" t="n">
        <v>46093</v>
      </c>
      <c r="D8180" t="inlineStr">
        <is>
          <t>VÄSTERNORRLANDS LÄN</t>
        </is>
      </c>
      <c r="E8180" t="inlineStr">
        <is>
          <t>SUNDSVALL</t>
        </is>
      </c>
      <c r="F8180" t="inlineStr">
        <is>
          <t>SCA</t>
        </is>
      </c>
      <c r="G8180" t="n">
        <v>5.7</v>
      </c>
      <c r="H8180" t="n">
        <v>0</v>
      </c>
      <c r="I8180" t="n">
        <v>0</v>
      </c>
      <c r="J8180" t="n">
        <v>0</v>
      </c>
      <c r="K8180" t="n">
        <v>0</v>
      </c>
      <c r="L8180" t="n">
        <v>0</v>
      </c>
      <c r="M8180" t="n">
        <v>0</v>
      </c>
      <c r="N8180" t="n">
        <v>0</v>
      </c>
      <c r="O8180" t="n">
        <v>0</v>
      </c>
      <c r="P8180" t="n">
        <v>0</v>
      </c>
      <c r="Q8180" t="n">
        <v>0</v>
      </c>
      <c r="R8180" s="2" t="inlineStr"/>
    </row>
    <row r="8181" ht="15" customHeight="1">
      <c r="A8181" t="inlineStr">
        <is>
          <t>A 28911-2021</t>
        </is>
      </c>
      <c r="B8181" s="1" t="n">
        <v>44357</v>
      </c>
      <c r="C8181" s="1" t="n">
        <v>46093</v>
      </c>
      <c r="D8181" t="inlineStr">
        <is>
          <t>VÄSTERNORRLANDS LÄN</t>
        </is>
      </c>
      <c r="E8181" t="inlineStr">
        <is>
          <t>HÄRNÖSAND</t>
        </is>
      </c>
      <c r="G8181" t="n">
        <v>3.3</v>
      </c>
      <c r="H8181" t="n">
        <v>0</v>
      </c>
      <c r="I8181" t="n">
        <v>0</v>
      </c>
      <c r="J8181" t="n">
        <v>0</v>
      </c>
      <c r="K8181" t="n">
        <v>0</v>
      </c>
      <c r="L8181" t="n">
        <v>0</v>
      </c>
      <c r="M8181" t="n">
        <v>0</v>
      </c>
      <c r="N8181" t="n">
        <v>0</v>
      </c>
      <c r="O8181" t="n">
        <v>0</v>
      </c>
      <c r="P8181" t="n">
        <v>0</v>
      </c>
      <c r="Q8181" t="n">
        <v>0</v>
      </c>
      <c r="R8181" s="2" t="inlineStr"/>
    </row>
    <row r="8182" ht="15" customHeight="1">
      <c r="A8182" t="inlineStr">
        <is>
          <t>A 25877-2021</t>
        </is>
      </c>
      <c r="B8182" s="1" t="n">
        <v>44344</v>
      </c>
      <c r="C8182" s="1" t="n">
        <v>46093</v>
      </c>
      <c r="D8182" t="inlineStr">
        <is>
          <t>VÄSTERNORRLANDS LÄN</t>
        </is>
      </c>
      <c r="E8182" t="inlineStr">
        <is>
          <t>SOLLEFTEÅ</t>
        </is>
      </c>
      <c r="G8182" t="n">
        <v>4.2</v>
      </c>
      <c r="H8182" t="n">
        <v>0</v>
      </c>
      <c r="I8182" t="n">
        <v>0</v>
      </c>
      <c r="J8182" t="n">
        <v>0</v>
      </c>
      <c r="K8182" t="n">
        <v>0</v>
      </c>
      <c r="L8182" t="n">
        <v>0</v>
      </c>
      <c r="M8182" t="n">
        <v>0</v>
      </c>
      <c r="N8182" t="n">
        <v>0</v>
      </c>
      <c r="O8182" t="n">
        <v>0</v>
      </c>
      <c r="P8182" t="n">
        <v>0</v>
      </c>
      <c r="Q8182" t="n">
        <v>0</v>
      </c>
      <c r="R8182" s="2" t="inlineStr"/>
    </row>
    <row r="8183" ht="15" customHeight="1">
      <c r="A8183" t="inlineStr">
        <is>
          <t>A 57052-2025</t>
        </is>
      </c>
      <c r="B8183" s="1" t="n">
        <v>45979.34738425926</v>
      </c>
      <c r="C8183" s="1" t="n">
        <v>46093</v>
      </c>
      <c r="D8183" t="inlineStr">
        <is>
          <t>VÄSTERNORRLANDS LÄN</t>
        </is>
      </c>
      <c r="E8183" t="inlineStr">
        <is>
          <t>SUNDSVALL</t>
        </is>
      </c>
      <c r="G8183" t="n">
        <v>0.7</v>
      </c>
      <c r="H8183" t="n">
        <v>0</v>
      </c>
      <c r="I8183" t="n">
        <v>0</v>
      </c>
      <c r="J8183" t="n">
        <v>0</v>
      </c>
      <c r="K8183" t="n">
        <v>0</v>
      </c>
      <c r="L8183" t="n">
        <v>0</v>
      </c>
      <c r="M8183" t="n">
        <v>0</v>
      </c>
      <c r="N8183" t="n">
        <v>0</v>
      </c>
      <c r="O8183" t="n">
        <v>0</v>
      </c>
      <c r="P8183" t="n">
        <v>0</v>
      </c>
      <c r="Q8183" t="n">
        <v>0</v>
      </c>
      <c r="R8183" s="2" t="inlineStr"/>
    </row>
    <row r="8184" ht="15" customHeight="1">
      <c r="A8184" t="inlineStr">
        <is>
          <t>A 28827-2023</t>
        </is>
      </c>
      <c r="B8184" s="1" t="n">
        <v>45104</v>
      </c>
      <c r="C8184" s="1" t="n">
        <v>46093</v>
      </c>
      <c r="D8184" t="inlineStr">
        <is>
          <t>VÄSTERNORRLANDS LÄN</t>
        </is>
      </c>
      <c r="E8184" t="inlineStr">
        <is>
          <t>ÖRNSKÖLDSVIK</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57056-2025</t>
        </is>
      </c>
      <c r="B8185" s="1" t="n">
        <v>45979.36449074074</v>
      </c>
      <c r="C8185" s="1" t="n">
        <v>46093</v>
      </c>
      <c r="D8185" t="inlineStr">
        <is>
          <t>VÄSTERNORRLANDS LÄN</t>
        </is>
      </c>
      <c r="E8185" t="inlineStr">
        <is>
          <t>ÖRNSKÖLDSVIK</t>
        </is>
      </c>
      <c r="G8185" t="n">
        <v>7.8</v>
      </c>
      <c r="H8185" t="n">
        <v>0</v>
      </c>
      <c r="I8185" t="n">
        <v>0</v>
      </c>
      <c r="J8185" t="n">
        <v>0</v>
      </c>
      <c r="K8185" t="n">
        <v>0</v>
      </c>
      <c r="L8185" t="n">
        <v>0</v>
      </c>
      <c r="M8185" t="n">
        <v>0</v>
      </c>
      <c r="N8185" t="n">
        <v>0</v>
      </c>
      <c r="O8185" t="n">
        <v>0</v>
      </c>
      <c r="P8185" t="n">
        <v>0</v>
      </c>
      <c r="Q8185" t="n">
        <v>0</v>
      </c>
      <c r="R8185" s="2" t="inlineStr"/>
    </row>
    <row r="8186" ht="15" customHeight="1">
      <c r="A8186" t="inlineStr">
        <is>
          <t>A 57057-2025</t>
        </is>
      </c>
      <c r="B8186" s="1" t="n">
        <v>45979.36493055556</v>
      </c>
      <c r="C8186" s="1" t="n">
        <v>46093</v>
      </c>
      <c r="D8186" t="inlineStr">
        <is>
          <t>VÄSTERNORRLANDS LÄN</t>
        </is>
      </c>
      <c r="E8186" t="inlineStr">
        <is>
          <t>KRAMFORS</t>
        </is>
      </c>
      <c r="G8186" t="n">
        <v>2.3</v>
      </c>
      <c r="H8186" t="n">
        <v>0</v>
      </c>
      <c r="I8186" t="n">
        <v>0</v>
      </c>
      <c r="J8186" t="n">
        <v>0</v>
      </c>
      <c r="K8186" t="n">
        <v>0</v>
      </c>
      <c r="L8186" t="n">
        <v>0</v>
      </c>
      <c r="M8186" t="n">
        <v>0</v>
      </c>
      <c r="N8186" t="n">
        <v>0</v>
      </c>
      <c r="O8186" t="n">
        <v>0</v>
      </c>
      <c r="P8186" t="n">
        <v>0</v>
      </c>
      <c r="Q8186" t="n">
        <v>0</v>
      </c>
      <c r="R8186" s="2" t="inlineStr"/>
    </row>
    <row r="8187" ht="15" customHeight="1">
      <c r="A8187" t="inlineStr">
        <is>
          <t>A 57061-2025</t>
        </is>
      </c>
      <c r="B8187" s="1" t="n">
        <v>45979.37059027778</v>
      </c>
      <c r="C8187" s="1" t="n">
        <v>46093</v>
      </c>
      <c r="D8187" t="inlineStr">
        <is>
          <t>VÄSTERNORRLANDS LÄN</t>
        </is>
      </c>
      <c r="E8187" t="inlineStr">
        <is>
          <t>SOLLEFTEÅ</t>
        </is>
      </c>
      <c r="G8187" t="n">
        <v>0.9</v>
      </c>
      <c r="H8187" t="n">
        <v>0</v>
      </c>
      <c r="I8187" t="n">
        <v>0</v>
      </c>
      <c r="J8187" t="n">
        <v>0</v>
      </c>
      <c r="K8187" t="n">
        <v>0</v>
      </c>
      <c r="L8187" t="n">
        <v>0</v>
      </c>
      <c r="M8187" t="n">
        <v>0</v>
      </c>
      <c r="N8187" t="n">
        <v>0</v>
      </c>
      <c r="O8187" t="n">
        <v>0</v>
      </c>
      <c r="P8187" t="n">
        <v>0</v>
      </c>
      <c r="Q8187" t="n">
        <v>0</v>
      </c>
      <c r="R8187" s="2" t="inlineStr"/>
    </row>
    <row r="8188" ht="15" customHeight="1">
      <c r="A8188" t="inlineStr">
        <is>
          <t>A 57144-2025</t>
        </is>
      </c>
      <c r="B8188" s="1" t="n">
        <v>45979.49015046296</v>
      </c>
      <c r="C8188" s="1" t="n">
        <v>46093</v>
      </c>
      <c r="D8188" t="inlineStr">
        <is>
          <t>VÄSTERNORRLANDS LÄN</t>
        </is>
      </c>
      <c r="E8188" t="inlineStr">
        <is>
          <t>SUNDSVALL</t>
        </is>
      </c>
      <c r="F8188" t="inlineStr">
        <is>
          <t>SCA</t>
        </is>
      </c>
      <c r="G8188" t="n">
        <v>2.1</v>
      </c>
      <c r="H8188" t="n">
        <v>0</v>
      </c>
      <c r="I8188" t="n">
        <v>0</v>
      </c>
      <c r="J8188" t="n">
        <v>0</v>
      </c>
      <c r="K8188" t="n">
        <v>0</v>
      </c>
      <c r="L8188" t="n">
        <v>0</v>
      </c>
      <c r="M8188" t="n">
        <v>0</v>
      </c>
      <c r="N8188" t="n">
        <v>0</v>
      </c>
      <c r="O8188" t="n">
        <v>0</v>
      </c>
      <c r="P8188" t="n">
        <v>0</v>
      </c>
      <c r="Q8188" t="n">
        <v>0</v>
      </c>
      <c r="R8188" s="2" t="inlineStr"/>
    </row>
    <row r="8189" ht="15" customHeight="1">
      <c r="A8189" t="inlineStr">
        <is>
          <t>A 46552-2023</t>
        </is>
      </c>
      <c r="B8189" s="1" t="n">
        <v>45197</v>
      </c>
      <c r="C8189" s="1" t="n">
        <v>46093</v>
      </c>
      <c r="D8189" t="inlineStr">
        <is>
          <t>VÄSTERNORRLANDS LÄN</t>
        </is>
      </c>
      <c r="E8189" t="inlineStr">
        <is>
          <t>SUNDSVALL</t>
        </is>
      </c>
      <c r="F8189" t="inlineStr">
        <is>
          <t>SCA</t>
        </is>
      </c>
      <c r="G8189" t="n">
        <v>2.4</v>
      </c>
      <c r="H8189" t="n">
        <v>0</v>
      </c>
      <c r="I8189" t="n">
        <v>0</v>
      </c>
      <c r="J8189" t="n">
        <v>0</v>
      </c>
      <c r="K8189" t="n">
        <v>0</v>
      </c>
      <c r="L8189" t="n">
        <v>0</v>
      </c>
      <c r="M8189" t="n">
        <v>0</v>
      </c>
      <c r="N8189" t="n">
        <v>0</v>
      </c>
      <c r="O8189" t="n">
        <v>0</v>
      </c>
      <c r="P8189" t="n">
        <v>0</v>
      </c>
      <c r="Q8189" t="n">
        <v>0</v>
      </c>
      <c r="R8189" s="2" t="inlineStr"/>
    </row>
    <row r="8190" ht="15" customHeight="1">
      <c r="A8190" t="inlineStr">
        <is>
          <t>A 43049-2024</t>
        </is>
      </c>
      <c r="B8190" s="1" t="n">
        <v>45567</v>
      </c>
      <c r="C8190" s="1" t="n">
        <v>46093</v>
      </c>
      <c r="D8190" t="inlineStr">
        <is>
          <t>VÄSTERNORRLANDS LÄN</t>
        </is>
      </c>
      <c r="E8190" t="inlineStr">
        <is>
          <t>SOLLEFTEÅ</t>
        </is>
      </c>
      <c r="F8190" t="inlineStr">
        <is>
          <t>SCA</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23640-2023</t>
        </is>
      </c>
      <c r="B8191" s="1" t="n">
        <v>45077.52769675926</v>
      </c>
      <c r="C8191" s="1" t="n">
        <v>46093</v>
      </c>
      <c r="D8191" t="inlineStr">
        <is>
          <t>VÄSTERNORRLANDS LÄN</t>
        </is>
      </c>
      <c r="E8191" t="inlineStr">
        <is>
          <t>ÖRNSKÖLDSVIK</t>
        </is>
      </c>
      <c r="F8191" t="inlineStr">
        <is>
          <t>Holmen skog AB</t>
        </is>
      </c>
      <c r="G8191" t="n">
        <v>4.6</v>
      </c>
      <c r="H8191" t="n">
        <v>0</v>
      </c>
      <c r="I8191" t="n">
        <v>0</v>
      </c>
      <c r="J8191" t="n">
        <v>0</v>
      </c>
      <c r="K8191" t="n">
        <v>0</v>
      </c>
      <c r="L8191" t="n">
        <v>0</v>
      </c>
      <c r="M8191" t="n">
        <v>0</v>
      </c>
      <c r="N8191" t="n">
        <v>0</v>
      </c>
      <c r="O8191" t="n">
        <v>0</v>
      </c>
      <c r="P8191" t="n">
        <v>0</v>
      </c>
      <c r="Q8191" t="n">
        <v>0</v>
      </c>
      <c r="R8191" s="2" t="inlineStr"/>
    </row>
    <row r="8192" ht="15" customHeight="1">
      <c r="A8192" t="inlineStr">
        <is>
          <t>A 57396-2025</t>
        </is>
      </c>
      <c r="B8192" s="1" t="n">
        <v>45980.42802083334</v>
      </c>
      <c r="C8192" s="1" t="n">
        <v>46093</v>
      </c>
      <c r="D8192" t="inlineStr">
        <is>
          <t>VÄSTERNORRLANDS LÄN</t>
        </is>
      </c>
      <c r="E8192" t="inlineStr">
        <is>
          <t>SUNDSVALL</t>
        </is>
      </c>
      <c r="G8192" t="n">
        <v>2.1</v>
      </c>
      <c r="H8192" t="n">
        <v>0</v>
      </c>
      <c r="I8192" t="n">
        <v>0</v>
      </c>
      <c r="J8192" t="n">
        <v>0</v>
      </c>
      <c r="K8192" t="n">
        <v>0</v>
      </c>
      <c r="L8192" t="n">
        <v>0</v>
      </c>
      <c r="M8192" t="n">
        <v>0</v>
      </c>
      <c r="N8192" t="n">
        <v>0</v>
      </c>
      <c r="O8192" t="n">
        <v>0</v>
      </c>
      <c r="P8192" t="n">
        <v>0</v>
      </c>
      <c r="Q8192" t="n">
        <v>0</v>
      </c>
      <c r="R8192" s="2" t="inlineStr"/>
    </row>
    <row r="8193" ht="15" customHeight="1">
      <c r="A8193" t="inlineStr">
        <is>
          <t>A 18668-2023</t>
        </is>
      </c>
      <c r="B8193" s="1" t="n">
        <v>45043.57108796296</v>
      </c>
      <c r="C8193" s="1" t="n">
        <v>46093</v>
      </c>
      <c r="D8193" t="inlineStr">
        <is>
          <t>VÄSTERNORRLANDS LÄN</t>
        </is>
      </c>
      <c r="E8193" t="inlineStr">
        <is>
          <t>ÅNGE</t>
        </is>
      </c>
      <c r="G8193" t="n">
        <v>3.4</v>
      </c>
      <c r="H8193" t="n">
        <v>0</v>
      </c>
      <c r="I8193" t="n">
        <v>0</v>
      </c>
      <c r="J8193" t="n">
        <v>0</v>
      </c>
      <c r="K8193" t="n">
        <v>0</v>
      </c>
      <c r="L8193" t="n">
        <v>0</v>
      </c>
      <c r="M8193" t="n">
        <v>0</v>
      </c>
      <c r="N8193" t="n">
        <v>0</v>
      </c>
      <c r="O8193" t="n">
        <v>0</v>
      </c>
      <c r="P8193" t="n">
        <v>0</v>
      </c>
      <c r="Q8193" t="n">
        <v>0</v>
      </c>
      <c r="R8193" s="2" t="inlineStr"/>
    </row>
    <row r="8194" ht="15" customHeight="1">
      <c r="A8194" t="inlineStr">
        <is>
          <t>A 6702-2025</t>
        </is>
      </c>
      <c r="B8194" s="1" t="n">
        <v>45700.5427199074</v>
      </c>
      <c r="C8194" s="1" t="n">
        <v>46093</v>
      </c>
      <c r="D8194" t="inlineStr">
        <is>
          <t>VÄSTERNORRLANDS LÄN</t>
        </is>
      </c>
      <c r="E8194" t="inlineStr">
        <is>
          <t>SUNDSVALL</t>
        </is>
      </c>
      <c r="G8194" t="n">
        <v>3.4</v>
      </c>
      <c r="H8194" t="n">
        <v>0</v>
      </c>
      <c r="I8194" t="n">
        <v>0</v>
      </c>
      <c r="J8194" t="n">
        <v>0</v>
      </c>
      <c r="K8194" t="n">
        <v>0</v>
      </c>
      <c r="L8194" t="n">
        <v>0</v>
      </c>
      <c r="M8194" t="n">
        <v>0</v>
      </c>
      <c r="N8194" t="n">
        <v>0</v>
      </c>
      <c r="O8194" t="n">
        <v>0</v>
      </c>
      <c r="P8194" t="n">
        <v>0</v>
      </c>
      <c r="Q8194" t="n">
        <v>0</v>
      </c>
      <c r="R8194" s="2" t="inlineStr"/>
    </row>
    <row r="8195" ht="15" customHeight="1">
      <c r="A8195" t="inlineStr">
        <is>
          <t>A 18700-2023</t>
        </is>
      </c>
      <c r="B8195" s="1" t="n">
        <v>45042</v>
      </c>
      <c r="C8195" s="1" t="n">
        <v>46093</v>
      </c>
      <c r="D8195" t="inlineStr">
        <is>
          <t>VÄSTERNORRLANDS LÄN</t>
        </is>
      </c>
      <c r="E8195" t="inlineStr">
        <is>
          <t>SUNDSVALL</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16237-2025</t>
        </is>
      </c>
      <c r="B8196" s="1" t="n">
        <v>45749</v>
      </c>
      <c r="C8196" s="1" t="n">
        <v>46093</v>
      </c>
      <c r="D8196" t="inlineStr">
        <is>
          <t>VÄSTERNORRLANDS LÄN</t>
        </is>
      </c>
      <c r="E8196" t="inlineStr">
        <is>
          <t>HÄRNÖSAND</t>
        </is>
      </c>
      <c r="G8196" t="n">
        <v>1.5</v>
      </c>
      <c r="H8196" t="n">
        <v>0</v>
      </c>
      <c r="I8196" t="n">
        <v>0</v>
      </c>
      <c r="J8196" t="n">
        <v>0</v>
      </c>
      <c r="K8196" t="n">
        <v>0</v>
      </c>
      <c r="L8196" t="n">
        <v>0</v>
      </c>
      <c r="M8196" t="n">
        <v>0</v>
      </c>
      <c r="N8196" t="n">
        <v>0</v>
      </c>
      <c r="O8196" t="n">
        <v>0</v>
      </c>
      <c r="P8196" t="n">
        <v>0</v>
      </c>
      <c r="Q8196" t="n">
        <v>0</v>
      </c>
      <c r="R8196" s="2" t="inlineStr"/>
    </row>
    <row r="8197" ht="15" customHeight="1">
      <c r="A8197" t="inlineStr">
        <is>
          <t>A 57081-2025</t>
        </is>
      </c>
      <c r="B8197" s="1" t="n">
        <v>45979.40826388889</v>
      </c>
      <c r="C8197" s="1" t="n">
        <v>46093</v>
      </c>
      <c r="D8197" t="inlineStr">
        <is>
          <t>VÄSTERNORRLANDS LÄN</t>
        </is>
      </c>
      <c r="E8197" t="inlineStr">
        <is>
          <t>ÅNGE</t>
        </is>
      </c>
      <c r="G8197" t="n">
        <v>2.2</v>
      </c>
      <c r="H8197" t="n">
        <v>0</v>
      </c>
      <c r="I8197" t="n">
        <v>0</v>
      </c>
      <c r="J8197" t="n">
        <v>0</v>
      </c>
      <c r="K8197" t="n">
        <v>0</v>
      </c>
      <c r="L8197" t="n">
        <v>0</v>
      </c>
      <c r="M8197" t="n">
        <v>0</v>
      </c>
      <c r="N8197" t="n">
        <v>0</v>
      </c>
      <c r="O8197" t="n">
        <v>0</v>
      </c>
      <c r="P8197" t="n">
        <v>0</v>
      </c>
      <c r="Q8197" t="n">
        <v>0</v>
      </c>
      <c r="R8197" s="2" t="inlineStr"/>
    </row>
    <row r="8198" ht="15" customHeight="1">
      <c r="A8198" t="inlineStr">
        <is>
          <t>A 57089-2025</t>
        </is>
      </c>
      <c r="B8198" s="1" t="n">
        <v>45979.42451388889</v>
      </c>
      <c r="C8198" s="1" t="n">
        <v>46093</v>
      </c>
      <c r="D8198" t="inlineStr">
        <is>
          <t>VÄSTERNORRLANDS LÄN</t>
        </is>
      </c>
      <c r="E8198" t="inlineStr">
        <is>
          <t>HÄRNÖSAND</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62260-2022</t>
        </is>
      </c>
      <c r="B8199" s="1" t="n">
        <v>44922.94366898148</v>
      </c>
      <c r="C8199" s="1" t="n">
        <v>46093</v>
      </c>
      <c r="D8199" t="inlineStr">
        <is>
          <t>VÄSTERNORRLANDS LÄN</t>
        </is>
      </c>
      <c r="E8199" t="inlineStr">
        <is>
          <t>SOLLEFTEÅ</t>
        </is>
      </c>
      <c r="F8199" t="inlineStr">
        <is>
          <t>SCA</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62261-2022</t>
        </is>
      </c>
      <c r="B8200" s="1" t="n">
        <v>44922.94378472222</v>
      </c>
      <c r="C8200" s="1" t="n">
        <v>46093</v>
      </c>
      <c r="D8200" t="inlineStr">
        <is>
          <t>VÄSTERNORRLANDS LÄN</t>
        </is>
      </c>
      <c r="E8200" t="inlineStr">
        <is>
          <t>ÅNGE</t>
        </is>
      </c>
      <c r="F8200" t="inlineStr">
        <is>
          <t>SCA</t>
        </is>
      </c>
      <c r="G8200" t="n">
        <v>2.7</v>
      </c>
      <c r="H8200" t="n">
        <v>0</v>
      </c>
      <c r="I8200" t="n">
        <v>0</v>
      </c>
      <c r="J8200" t="n">
        <v>0</v>
      </c>
      <c r="K8200" t="n">
        <v>0</v>
      </c>
      <c r="L8200" t="n">
        <v>0</v>
      </c>
      <c r="M8200" t="n">
        <v>0</v>
      </c>
      <c r="N8200" t="n">
        <v>0</v>
      </c>
      <c r="O8200" t="n">
        <v>0</v>
      </c>
      <c r="P8200" t="n">
        <v>0</v>
      </c>
      <c r="Q8200" t="n">
        <v>0</v>
      </c>
      <c r="R8200" s="2" t="inlineStr"/>
    </row>
    <row r="8201" ht="15" customHeight="1">
      <c r="A8201" t="inlineStr">
        <is>
          <t>A 57094-2025</t>
        </is>
      </c>
      <c r="B8201" s="1" t="n">
        <v>45979.42777777778</v>
      </c>
      <c r="C8201" s="1" t="n">
        <v>46093</v>
      </c>
      <c r="D8201" t="inlineStr">
        <is>
          <t>VÄSTERNORRLANDS LÄN</t>
        </is>
      </c>
      <c r="E8201" t="inlineStr">
        <is>
          <t>HÄRNÖSAND</t>
        </is>
      </c>
      <c r="G8201" t="n">
        <v>0.7</v>
      </c>
      <c r="H8201" t="n">
        <v>0</v>
      </c>
      <c r="I8201" t="n">
        <v>0</v>
      </c>
      <c r="J8201" t="n">
        <v>0</v>
      </c>
      <c r="K8201" t="n">
        <v>0</v>
      </c>
      <c r="L8201" t="n">
        <v>0</v>
      </c>
      <c r="M8201" t="n">
        <v>0</v>
      </c>
      <c r="N8201" t="n">
        <v>0</v>
      </c>
      <c r="O8201" t="n">
        <v>0</v>
      </c>
      <c r="P8201" t="n">
        <v>0</v>
      </c>
      <c r="Q8201" t="n">
        <v>0</v>
      </c>
      <c r="R8201" s="2" t="inlineStr"/>
    </row>
    <row r="8202" ht="15" customHeight="1">
      <c r="A8202" t="inlineStr">
        <is>
          <t>A 57199-2025</t>
        </is>
      </c>
      <c r="B8202" s="1" t="n">
        <v>45979.58260416667</v>
      </c>
      <c r="C8202" s="1" t="n">
        <v>46093</v>
      </c>
      <c r="D8202" t="inlineStr">
        <is>
          <t>VÄSTERNORRLANDS LÄN</t>
        </is>
      </c>
      <c r="E8202" t="inlineStr">
        <is>
          <t>ÖRNSKÖLDSVIK</t>
        </is>
      </c>
      <c r="F8202" t="inlineStr">
        <is>
          <t>Holmen skog AB</t>
        </is>
      </c>
      <c r="G8202" t="n">
        <v>7.3</v>
      </c>
      <c r="H8202" t="n">
        <v>0</v>
      </c>
      <c r="I8202" t="n">
        <v>0</v>
      </c>
      <c r="J8202" t="n">
        <v>0</v>
      </c>
      <c r="K8202" t="n">
        <v>0</v>
      </c>
      <c r="L8202" t="n">
        <v>0</v>
      </c>
      <c r="M8202" t="n">
        <v>0</v>
      </c>
      <c r="N8202" t="n">
        <v>0</v>
      </c>
      <c r="O8202" t="n">
        <v>0</v>
      </c>
      <c r="P8202" t="n">
        <v>0</v>
      </c>
      <c r="Q8202" t="n">
        <v>0</v>
      </c>
      <c r="R8202" s="2" t="inlineStr"/>
    </row>
    <row r="8203" ht="15" customHeight="1">
      <c r="A8203" t="inlineStr">
        <is>
          <t>A 57247-2025</t>
        </is>
      </c>
      <c r="B8203" s="1" t="n">
        <v>45979</v>
      </c>
      <c r="C8203" s="1" t="n">
        <v>46093</v>
      </c>
      <c r="D8203" t="inlineStr">
        <is>
          <t>VÄSTERNORRLANDS LÄN</t>
        </is>
      </c>
      <c r="E8203" t="inlineStr">
        <is>
          <t>KRAMFORS</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48913-2023</t>
        </is>
      </c>
      <c r="B8204" s="1" t="n">
        <v>45204</v>
      </c>
      <c r="C8204" s="1" t="n">
        <v>46093</v>
      </c>
      <c r="D8204" t="inlineStr">
        <is>
          <t>VÄSTERNORRLANDS LÄN</t>
        </is>
      </c>
      <c r="E8204" t="inlineStr">
        <is>
          <t>ÖRNSKÖLDSVIK</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16524-2025</t>
        </is>
      </c>
      <c r="B8205" s="1" t="n">
        <v>45751.64310185185</v>
      </c>
      <c r="C8205" s="1" t="n">
        <v>46093</v>
      </c>
      <c r="D8205" t="inlineStr">
        <is>
          <t>VÄSTERNORRLANDS LÄN</t>
        </is>
      </c>
      <c r="E8205" t="inlineStr">
        <is>
          <t>ÅNGE</t>
        </is>
      </c>
      <c r="F8205" t="inlineStr">
        <is>
          <t>Sveaskog</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57371-2025</t>
        </is>
      </c>
      <c r="B8206" s="1" t="n">
        <v>45980.38586805556</v>
      </c>
      <c r="C8206" s="1" t="n">
        <v>46093</v>
      </c>
      <c r="D8206" t="inlineStr">
        <is>
          <t>VÄSTERNORRLANDS LÄN</t>
        </is>
      </c>
      <c r="E8206" t="inlineStr">
        <is>
          <t>ÅNGE</t>
        </is>
      </c>
      <c r="F8206" t="inlineStr">
        <is>
          <t>SCA</t>
        </is>
      </c>
      <c r="G8206" t="n">
        <v>3.5</v>
      </c>
      <c r="H8206" t="n">
        <v>0</v>
      </c>
      <c r="I8206" t="n">
        <v>0</v>
      </c>
      <c r="J8206" t="n">
        <v>0</v>
      </c>
      <c r="K8206" t="n">
        <v>0</v>
      </c>
      <c r="L8206" t="n">
        <v>0</v>
      </c>
      <c r="M8206" t="n">
        <v>0</v>
      </c>
      <c r="N8206" t="n">
        <v>0</v>
      </c>
      <c r="O8206" t="n">
        <v>0</v>
      </c>
      <c r="P8206" t="n">
        <v>0</v>
      </c>
      <c r="Q8206" t="n">
        <v>0</v>
      </c>
      <c r="R8206" s="2" t="inlineStr"/>
    </row>
    <row r="8207" ht="15" customHeight="1">
      <c r="A8207" t="inlineStr">
        <is>
          <t>A 57373-2025</t>
        </is>
      </c>
      <c r="B8207" s="1" t="n">
        <v>45980.38606481482</v>
      </c>
      <c r="C8207" s="1" t="n">
        <v>46093</v>
      </c>
      <c r="D8207" t="inlineStr">
        <is>
          <t>VÄSTERNORRLANDS LÄN</t>
        </is>
      </c>
      <c r="E8207" t="inlineStr">
        <is>
          <t>SOLLEFTEÅ</t>
        </is>
      </c>
      <c r="G8207" t="n">
        <v>4.2</v>
      </c>
      <c r="H8207" t="n">
        <v>0</v>
      </c>
      <c r="I8207" t="n">
        <v>0</v>
      </c>
      <c r="J8207" t="n">
        <v>0</v>
      </c>
      <c r="K8207" t="n">
        <v>0</v>
      </c>
      <c r="L8207" t="n">
        <v>0</v>
      </c>
      <c r="M8207" t="n">
        <v>0</v>
      </c>
      <c r="N8207" t="n">
        <v>0</v>
      </c>
      <c r="O8207" t="n">
        <v>0</v>
      </c>
      <c r="P8207" t="n">
        <v>0</v>
      </c>
      <c r="Q8207" t="n">
        <v>0</v>
      </c>
      <c r="R8207" s="2" t="inlineStr"/>
    </row>
    <row r="8208" ht="15" customHeight="1">
      <c r="A8208" t="inlineStr">
        <is>
          <t>A 57375-2025</t>
        </is>
      </c>
      <c r="B8208" s="1" t="n">
        <v>45980.39178240741</v>
      </c>
      <c r="C8208" s="1" t="n">
        <v>46093</v>
      </c>
      <c r="D8208" t="inlineStr">
        <is>
          <t>VÄSTERNORRLANDS LÄN</t>
        </is>
      </c>
      <c r="E8208" t="inlineStr">
        <is>
          <t>ÖRNSKÖLDSVIK</t>
        </is>
      </c>
      <c r="F8208" t="inlineStr">
        <is>
          <t>Holmen skog AB</t>
        </is>
      </c>
      <c r="G8208" t="n">
        <v>9.5</v>
      </c>
      <c r="H8208" t="n">
        <v>0</v>
      </c>
      <c r="I8208" t="n">
        <v>0</v>
      </c>
      <c r="J8208" t="n">
        <v>0</v>
      </c>
      <c r="K8208" t="n">
        <v>0</v>
      </c>
      <c r="L8208" t="n">
        <v>0</v>
      </c>
      <c r="M8208" t="n">
        <v>0</v>
      </c>
      <c r="N8208" t="n">
        <v>0</v>
      </c>
      <c r="O8208" t="n">
        <v>0</v>
      </c>
      <c r="P8208" t="n">
        <v>0</v>
      </c>
      <c r="Q8208" t="n">
        <v>0</v>
      </c>
      <c r="R8208" s="2" t="inlineStr"/>
    </row>
    <row r="8209" ht="15" customHeight="1">
      <c r="A8209" t="inlineStr">
        <is>
          <t>A 21924-2021</t>
        </is>
      </c>
      <c r="B8209" s="1" t="n">
        <v>44322.91836805556</v>
      </c>
      <c r="C8209" s="1" t="n">
        <v>46093</v>
      </c>
      <c r="D8209" t="inlineStr">
        <is>
          <t>VÄSTERNORRLANDS LÄN</t>
        </is>
      </c>
      <c r="E8209" t="inlineStr">
        <is>
          <t>SOLLEFTEÅ</t>
        </is>
      </c>
      <c r="G8209" t="n">
        <v>3.6</v>
      </c>
      <c r="H8209" t="n">
        <v>0</v>
      </c>
      <c r="I8209" t="n">
        <v>0</v>
      </c>
      <c r="J8209" t="n">
        <v>0</v>
      </c>
      <c r="K8209" t="n">
        <v>0</v>
      </c>
      <c r="L8209" t="n">
        <v>0</v>
      </c>
      <c r="M8209" t="n">
        <v>0</v>
      </c>
      <c r="N8209" t="n">
        <v>0</v>
      </c>
      <c r="O8209" t="n">
        <v>0</v>
      </c>
      <c r="P8209" t="n">
        <v>0</v>
      </c>
      <c r="Q8209" t="n">
        <v>0</v>
      </c>
      <c r="R8209" s="2" t="inlineStr"/>
    </row>
    <row r="8210" ht="15" customHeight="1">
      <c r="A8210" t="inlineStr">
        <is>
          <t>A 57384-2025</t>
        </is>
      </c>
      <c r="B8210" s="1" t="n">
        <v>45980.41163194444</v>
      </c>
      <c r="C8210" s="1" t="n">
        <v>46093</v>
      </c>
      <c r="D8210" t="inlineStr">
        <is>
          <t>VÄSTERNORRLANDS LÄN</t>
        </is>
      </c>
      <c r="E8210" t="inlineStr">
        <is>
          <t>SUNDSVALL</t>
        </is>
      </c>
      <c r="G8210" t="n">
        <v>3.8</v>
      </c>
      <c r="H8210" t="n">
        <v>0</v>
      </c>
      <c r="I8210" t="n">
        <v>0</v>
      </c>
      <c r="J8210" t="n">
        <v>0</v>
      </c>
      <c r="K8210" t="n">
        <v>0</v>
      </c>
      <c r="L8210" t="n">
        <v>0</v>
      </c>
      <c r="M8210" t="n">
        <v>0</v>
      </c>
      <c r="N8210" t="n">
        <v>0</v>
      </c>
      <c r="O8210" t="n">
        <v>0</v>
      </c>
      <c r="P8210" t="n">
        <v>0</v>
      </c>
      <c r="Q8210" t="n">
        <v>0</v>
      </c>
      <c r="R8210" s="2" t="inlineStr"/>
    </row>
    <row r="8211" ht="15" customHeight="1">
      <c r="A8211" t="inlineStr">
        <is>
          <t>A 57176-2025</t>
        </is>
      </c>
      <c r="B8211" s="1" t="n">
        <v>45979.55251157407</v>
      </c>
      <c r="C8211" s="1" t="n">
        <v>46093</v>
      </c>
      <c r="D8211" t="inlineStr">
        <is>
          <t>VÄSTERNORRLANDS LÄN</t>
        </is>
      </c>
      <c r="E8211" t="inlineStr">
        <is>
          <t>SOLLEFTEÅ</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57177-2025</t>
        </is>
      </c>
      <c r="B8212" s="1" t="n">
        <v>45979.55256944444</v>
      </c>
      <c r="C8212" s="1" t="n">
        <v>46093</v>
      </c>
      <c r="D8212" t="inlineStr">
        <is>
          <t>VÄSTERNORRLANDS LÄN</t>
        </is>
      </c>
      <c r="E8212" t="inlineStr">
        <is>
          <t>ÖRNSKÖLDSVIK</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46542-2023</t>
        </is>
      </c>
      <c r="B8213" s="1" t="n">
        <v>45197.92253472222</v>
      </c>
      <c r="C8213" s="1" t="n">
        <v>46093</v>
      </c>
      <c r="D8213" t="inlineStr">
        <is>
          <t>VÄSTERNORRLANDS LÄN</t>
        </is>
      </c>
      <c r="E8213" t="inlineStr">
        <is>
          <t>SUNDSVALL</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37133-2024</t>
        </is>
      </c>
      <c r="B8214" s="1" t="n">
        <v>45539.57289351852</v>
      </c>
      <c r="C8214" s="1" t="n">
        <v>46093</v>
      </c>
      <c r="D8214" t="inlineStr">
        <is>
          <t>VÄSTERNORRLANDS LÄN</t>
        </is>
      </c>
      <c r="E8214" t="inlineStr">
        <is>
          <t>ÖRNSKÖLDSVIK</t>
        </is>
      </c>
      <c r="F8214" t="inlineStr">
        <is>
          <t>Holmen skog AB</t>
        </is>
      </c>
      <c r="G8214" t="n">
        <v>2</v>
      </c>
      <c r="H8214" t="n">
        <v>0</v>
      </c>
      <c r="I8214" t="n">
        <v>0</v>
      </c>
      <c r="J8214" t="n">
        <v>0</v>
      </c>
      <c r="K8214" t="n">
        <v>0</v>
      </c>
      <c r="L8214" t="n">
        <v>0</v>
      </c>
      <c r="M8214" t="n">
        <v>0</v>
      </c>
      <c r="N8214" t="n">
        <v>0</v>
      </c>
      <c r="O8214" t="n">
        <v>0</v>
      </c>
      <c r="P8214" t="n">
        <v>0</v>
      </c>
      <c r="Q8214" t="n">
        <v>0</v>
      </c>
      <c r="R8214" s="2" t="inlineStr"/>
    </row>
    <row r="8215" ht="15" customHeight="1">
      <c r="A8215" t="inlineStr">
        <is>
          <t>A 47779-2023</t>
        </is>
      </c>
      <c r="B8215" s="1" t="n">
        <v>45203.92232638889</v>
      </c>
      <c r="C8215" s="1" t="n">
        <v>46093</v>
      </c>
      <c r="D8215" t="inlineStr">
        <is>
          <t>VÄSTERNORRLANDS LÄN</t>
        </is>
      </c>
      <c r="E8215" t="inlineStr">
        <is>
          <t>ÅNGE</t>
        </is>
      </c>
      <c r="G8215" t="n">
        <v>9.6</v>
      </c>
      <c r="H8215" t="n">
        <v>0</v>
      </c>
      <c r="I8215" t="n">
        <v>0</v>
      </c>
      <c r="J8215" t="n">
        <v>0</v>
      </c>
      <c r="K8215" t="n">
        <v>0</v>
      </c>
      <c r="L8215" t="n">
        <v>0</v>
      </c>
      <c r="M8215" t="n">
        <v>0</v>
      </c>
      <c r="N8215" t="n">
        <v>0</v>
      </c>
      <c r="O8215" t="n">
        <v>0</v>
      </c>
      <c r="P8215" t="n">
        <v>0</v>
      </c>
      <c r="Q8215" t="n">
        <v>0</v>
      </c>
      <c r="R8215" s="2" t="inlineStr"/>
    </row>
    <row r="8216" ht="15" customHeight="1">
      <c r="A8216" t="inlineStr">
        <is>
          <t>A 57507-2025</t>
        </is>
      </c>
      <c r="B8216" s="1" t="n">
        <v>45980.59819444444</v>
      </c>
      <c r="C8216" s="1" t="n">
        <v>46093</v>
      </c>
      <c r="D8216" t="inlineStr">
        <is>
          <t>VÄSTERNORRLANDS LÄN</t>
        </is>
      </c>
      <c r="E8216" t="inlineStr">
        <is>
          <t>ÖRNSKÖLDSVIK</t>
        </is>
      </c>
      <c r="G8216" t="n">
        <v>3.2</v>
      </c>
      <c r="H8216" t="n">
        <v>0</v>
      </c>
      <c r="I8216" t="n">
        <v>0</v>
      </c>
      <c r="J8216" t="n">
        <v>0</v>
      </c>
      <c r="K8216" t="n">
        <v>0</v>
      </c>
      <c r="L8216" t="n">
        <v>0</v>
      </c>
      <c r="M8216" t="n">
        <v>0</v>
      </c>
      <c r="N8216" t="n">
        <v>0</v>
      </c>
      <c r="O8216" t="n">
        <v>0</v>
      </c>
      <c r="P8216" t="n">
        <v>0</v>
      </c>
      <c r="Q8216" t="n">
        <v>0</v>
      </c>
      <c r="R8216" s="2" t="inlineStr"/>
    </row>
    <row r="8217" ht="15" customHeight="1">
      <c r="A8217" t="inlineStr">
        <is>
          <t>A 57961-2025</t>
        </is>
      </c>
      <c r="B8217" s="1" t="n">
        <v>45982.36502314815</v>
      </c>
      <c r="C8217" s="1" t="n">
        <v>46093</v>
      </c>
      <c r="D8217" t="inlineStr">
        <is>
          <t>VÄSTERNORRLANDS LÄN</t>
        </is>
      </c>
      <c r="E8217" t="inlineStr">
        <is>
          <t>ÅNGE</t>
        </is>
      </c>
      <c r="G8217" t="n">
        <v>1.9</v>
      </c>
      <c r="H8217" t="n">
        <v>0</v>
      </c>
      <c r="I8217" t="n">
        <v>0</v>
      </c>
      <c r="J8217" t="n">
        <v>0</v>
      </c>
      <c r="K8217" t="n">
        <v>0</v>
      </c>
      <c r="L8217" t="n">
        <v>0</v>
      </c>
      <c r="M8217" t="n">
        <v>0</v>
      </c>
      <c r="N8217" t="n">
        <v>0</v>
      </c>
      <c r="O8217" t="n">
        <v>0</v>
      </c>
      <c r="P8217" t="n">
        <v>0</v>
      </c>
      <c r="Q8217" t="n">
        <v>0</v>
      </c>
      <c r="R8217" s="2" t="inlineStr"/>
    </row>
    <row r="8218" ht="15" customHeight="1">
      <c r="A8218" t="inlineStr">
        <is>
          <t>A 58027-2025</t>
        </is>
      </c>
      <c r="B8218" s="1" t="n">
        <v>45982.48417824074</v>
      </c>
      <c r="C8218" s="1" t="n">
        <v>46093</v>
      </c>
      <c r="D8218" t="inlineStr">
        <is>
          <t>VÄSTERNORRLANDS LÄN</t>
        </is>
      </c>
      <c r="E8218" t="inlineStr">
        <is>
          <t>SOLLEFTEÅ</t>
        </is>
      </c>
      <c r="G8218" t="n">
        <v>1.9</v>
      </c>
      <c r="H8218" t="n">
        <v>0</v>
      </c>
      <c r="I8218" t="n">
        <v>0</v>
      </c>
      <c r="J8218" t="n">
        <v>0</v>
      </c>
      <c r="K8218" t="n">
        <v>0</v>
      </c>
      <c r="L8218" t="n">
        <v>0</v>
      </c>
      <c r="M8218" t="n">
        <v>0</v>
      </c>
      <c r="N8218" t="n">
        <v>0</v>
      </c>
      <c r="O8218" t="n">
        <v>0</v>
      </c>
      <c r="P8218" t="n">
        <v>0</v>
      </c>
      <c r="Q8218" t="n">
        <v>0</v>
      </c>
      <c r="R8218" s="2" t="inlineStr"/>
    </row>
    <row r="8219" ht="15" customHeight="1">
      <c r="A8219" t="inlineStr">
        <is>
          <t>A 58511-2025</t>
        </is>
      </c>
      <c r="B8219" s="1" t="n">
        <v>45982</v>
      </c>
      <c r="C8219" s="1" t="n">
        <v>46093</v>
      </c>
      <c r="D8219" t="inlineStr">
        <is>
          <t>VÄSTERNORRLANDS LÄN</t>
        </is>
      </c>
      <c r="E8219" t="inlineStr">
        <is>
          <t>SOLLEFTEÅ</t>
        </is>
      </c>
      <c r="G8219" t="n">
        <v>1.6</v>
      </c>
      <c r="H8219" t="n">
        <v>0</v>
      </c>
      <c r="I8219" t="n">
        <v>0</v>
      </c>
      <c r="J8219" t="n">
        <v>0</v>
      </c>
      <c r="K8219" t="n">
        <v>0</v>
      </c>
      <c r="L8219" t="n">
        <v>0</v>
      </c>
      <c r="M8219" t="n">
        <v>0</v>
      </c>
      <c r="N8219" t="n">
        <v>0</v>
      </c>
      <c r="O8219" t="n">
        <v>0</v>
      </c>
      <c r="P8219" t="n">
        <v>0</v>
      </c>
      <c r="Q8219" t="n">
        <v>0</v>
      </c>
      <c r="R8219" s="2" t="inlineStr"/>
    </row>
    <row r="8220" ht="15" customHeight="1">
      <c r="A8220" t="inlineStr">
        <is>
          <t>A 48296-2022</t>
        </is>
      </c>
      <c r="B8220" s="1" t="n">
        <v>44858.51815972223</v>
      </c>
      <c r="C8220" s="1" t="n">
        <v>46093</v>
      </c>
      <c r="D8220" t="inlineStr">
        <is>
          <t>VÄSTERNORRLANDS LÄN</t>
        </is>
      </c>
      <c r="E8220" t="inlineStr">
        <is>
          <t>SOLLEFTEÅ</t>
        </is>
      </c>
      <c r="G8220" t="n">
        <v>3.1</v>
      </c>
      <c r="H8220" t="n">
        <v>0</v>
      </c>
      <c r="I8220" t="n">
        <v>0</v>
      </c>
      <c r="J8220" t="n">
        <v>0</v>
      </c>
      <c r="K8220" t="n">
        <v>0</v>
      </c>
      <c r="L8220" t="n">
        <v>0</v>
      </c>
      <c r="M8220" t="n">
        <v>0</v>
      </c>
      <c r="N8220" t="n">
        <v>0</v>
      </c>
      <c r="O8220" t="n">
        <v>0</v>
      </c>
      <c r="P8220" t="n">
        <v>0</v>
      </c>
      <c r="Q8220" t="n">
        <v>0</v>
      </c>
      <c r="R8220" s="2" t="inlineStr"/>
    </row>
    <row r="8221" ht="15" customHeight="1">
      <c r="A8221" t="inlineStr">
        <is>
          <t>A 50724-2023</t>
        </is>
      </c>
      <c r="B8221" s="1" t="n">
        <v>45217.57332175926</v>
      </c>
      <c r="C8221" s="1" t="n">
        <v>46093</v>
      </c>
      <c r="D8221" t="inlineStr">
        <is>
          <t>VÄSTERNORRLANDS LÄN</t>
        </is>
      </c>
      <c r="E8221" t="inlineStr">
        <is>
          <t>KRAMFORS</t>
        </is>
      </c>
      <c r="G8221" t="n">
        <v>0.7</v>
      </c>
      <c r="H8221" t="n">
        <v>0</v>
      </c>
      <c r="I8221" t="n">
        <v>0</v>
      </c>
      <c r="J8221" t="n">
        <v>0</v>
      </c>
      <c r="K8221" t="n">
        <v>0</v>
      </c>
      <c r="L8221" t="n">
        <v>0</v>
      </c>
      <c r="M8221" t="n">
        <v>0</v>
      </c>
      <c r="N8221" t="n">
        <v>0</v>
      </c>
      <c r="O8221" t="n">
        <v>0</v>
      </c>
      <c r="P8221" t="n">
        <v>0</v>
      </c>
      <c r="Q8221" t="n">
        <v>0</v>
      </c>
      <c r="R8221" s="2" t="inlineStr"/>
    </row>
    <row r="8222" ht="15" customHeight="1">
      <c r="A8222" t="inlineStr">
        <is>
          <t>A 58117-2025</t>
        </is>
      </c>
      <c r="B8222" s="1" t="n">
        <v>45981</v>
      </c>
      <c r="C8222" s="1" t="n">
        <v>46093</v>
      </c>
      <c r="D8222" t="inlineStr">
        <is>
          <t>VÄSTERNORRLANDS LÄN</t>
        </is>
      </c>
      <c r="E8222" t="inlineStr">
        <is>
          <t>ÖRNSKÖLDSVIK</t>
        </is>
      </c>
      <c r="G8222" t="n">
        <v>1.7</v>
      </c>
      <c r="H8222" t="n">
        <v>0</v>
      </c>
      <c r="I8222" t="n">
        <v>0</v>
      </c>
      <c r="J8222" t="n">
        <v>0</v>
      </c>
      <c r="K8222" t="n">
        <v>0</v>
      </c>
      <c r="L8222" t="n">
        <v>0</v>
      </c>
      <c r="M8222" t="n">
        <v>0</v>
      </c>
      <c r="N8222" t="n">
        <v>0</v>
      </c>
      <c r="O8222" t="n">
        <v>0</v>
      </c>
      <c r="P8222" t="n">
        <v>0</v>
      </c>
      <c r="Q8222" t="n">
        <v>0</v>
      </c>
      <c r="R8222" s="2" t="inlineStr"/>
    </row>
    <row r="8223" ht="15" customHeight="1">
      <c r="A8223" t="inlineStr">
        <is>
          <t>A 9474-2023</t>
        </is>
      </c>
      <c r="B8223" s="1" t="n">
        <v>44977</v>
      </c>
      <c r="C8223" s="1" t="n">
        <v>46093</v>
      </c>
      <c r="D8223" t="inlineStr">
        <is>
          <t>VÄSTERNORRLANDS LÄN</t>
        </is>
      </c>
      <c r="E8223" t="inlineStr">
        <is>
          <t>ÖRNSKÖLDSVIK</t>
        </is>
      </c>
      <c r="G8223" t="n">
        <v>2.5</v>
      </c>
      <c r="H8223" t="n">
        <v>0</v>
      </c>
      <c r="I8223" t="n">
        <v>0</v>
      </c>
      <c r="J8223" t="n">
        <v>0</v>
      </c>
      <c r="K8223" t="n">
        <v>0</v>
      </c>
      <c r="L8223" t="n">
        <v>0</v>
      </c>
      <c r="M8223" t="n">
        <v>0</v>
      </c>
      <c r="N8223" t="n">
        <v>0</v>
      </c>
      <c r="O8223" t="n">
        <v>0</v>
      </c>
      <c r="P8223" t="n">
        <v>0</v>
      </c>
      <c r="Q8223" t="n">
        <v>0</v>
      </c>
      <c r="R8223" s="2" t="inlineStr"/>
    </row>
    <row r="8224" ht="15" customHeight="1">
      <c r="A8224" t="inlineStr">
        <is>
          <t>A 31140-2024</t>
        </is>
      </c>
      <c r="B8224" s="1" t="n">
        <v>45502</v>
      </c>
      <c r="C8224" s="1" t="n">
        <v>46093</v>
      </c>
      <c r="D8224" t="inlineStr">
        <is>
          <t>VÄSTERNORRLANDS LÄN</t>
        </is>
      </c>
      <c r="E8224" t="inlineStr">
        <is>
          <t>KRAMFORS</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43419-2023</t>
        </is>
      </c>
      <c r="B8225" s="1" t="n">
        <v>45183.95748842593</v>
      </c>
      <c r="C8225" s="1" t="n">
        <v>46093</v>
      </c>
      <c r="D8225" t="inlineStr">
        <is>
          <t>VÄSTERNORRLANDS LÄN</t>
        </is>
      </c>
      <c r="E8225" t="inlineStr">
        <is>
          <t>SUNDSVALL</t>
        </is>
      </c>
      <c r="F8225" t="inlineStr">
        <is>
          <t>SCA</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56284-2024</t>
        </is>
      </c>
      <c r="B8226" s="1" t="n">
        <v>45624.67894675926</v>
      </c>
      <c r="C8226" s="1" t="n">
        <v>46093</v>
      </c>
      <c r="D8226" t="inlineStr">
        <is>
          <t>VÄSTERNORRLANDS LÄN</t>
        </is>
      </c>
      <c r="E8226" t="inlineStr">
        <is>
          <t>TIMRÅ</t>
        </is>
      </c>
      <c r="F8226" t="inlineStr">
        <is>
          <t>SCA</t>
        </is>
      </c>
      <c r="G8226" t="n">
        <v>3</v>
      </c>
      <c r="H8226" t="n">
        <v>0</v>
      </c>
      <c r="I8226" t="n">
        <v>0</v>
      </c>
      <c r="J8226" t="n">
        <v>0</v>
      </c>
      <c r="K8226" t="n">
        <v>0</v>
      </c>
      <c r="L8226" t="n">
        <v>0</v>
      </c>
      <c r="M8226" t="n">
        <v>0</v>
      </c>
      <c r="N8226" t="n">
        <v>0</v>
      </c>
      <c r="O8226" t="n">
        <v>0</v>
      </c>
      <c r="P8226" t="n">
        <v>0</v>
      </c>
      <c r="Q8226" t="n">
        <v>0</v>
      </c>
      <c r="R8226" s="2" t="inlineStr"/>
    </row>
    <row r="8227" ht="15" customHeight="1">
      <c r="A8227" t="inlineStr">
        <is>
          <t>A 57628-2025</t>
        </is>
      </c>
      <c r="B8227" s="1" t="n">
        <v>45981.34590277778</v>
      </c>
      <c r="C8227" s="1" t="n">
        <v>46093</v>
      </c>
      <c r="D8227" t="inlineStr">
        <is>
          <t>VÄSTERNORRLANDS LÄN</t>
        </is>
      </c>
      <c r="E8227" t="inlineStr">
        <is>
          <t>KRAMFORS</t>
        </is>
      </c>
      <c r="G8227" t="n">
        <v>1.7</v>
      </c>
      <c r="H8227" t="n">
        <v>0</v>
      </c>
      <c r="I8227" t="n">
        <v>0</v>
      </c>
      <c r="J8227" t="n">
        <v>0</v>
      </c>
      <c r="K8227" t="n">
        <v>0</v>
      </c>
      <c r="L8227" t="n">
        <v>0</v>
      </c>
      <c r="M8227" t="n">
        <v>0</v>
      </c>
      <c r="N8227" t="n">
        <v>0</v>
      </c>
      <c r="O8227" t="n">
        <v>0</v>
      </c>
      <c r="P8227" t="n">
        <v>0</v>
      </c>
      <c r="Q8227" t="n">
        <v>0</v>
      </c>
      <c r="R8227" s="2" t="inlineStr"/>
    </row>
    <row r="8228" ht="15" customHeight="1">
      <c r="A8228" t="inlineStr">
        <is>
          <t>A 5022-2025</t>
        </is>
      </c>
      <c r="B8228" s="1" t="n">
        <v>45691.406875</v>
      </c>
      <c r="C8228" s="1" t="n">
        <v>46093</v>
      </c>
      <c r="D8228" t="inlineStr">
        <is>
          <t>VÄSTERNORRLANDS LÄN</t>
        </is>
      </c>
      <c r="E8228" t="inlineStr">
        <is>
          <t>SUNDSVALL</t>
        </is>
      </c>
      <c r="F8228" t="inlineStr">
        <is>
          <t>SCA</t>
        </is>
      </c>
      <c r="G8228" t="n">
        <v>2.1</v>
      </c>
      <c r="H8228" t="n">
        <v>0</v>
      </c>
      <c r="I8228" t="n">
        <v>0</v>
      </c>
      <c r="J8228" t="n">
        <v>0</v>
      </c>
      <c r="K8228" t="n">
        <v>0</v>
      </c>
      <c r="L8228" t="n">
        <v>0</v>
      </c>
      <c r="M8228" t="n">
        <v>0</v>
      </c>
      <c r="N8228" t="n">
        <v>0</v>
      </c>
      <c r="O8228" t="n">
        <v>0</v>
      </c>
      <c r="P8228" t="n">
        <v>0</v>
      </c>
      <c r="Q8228" t="n">
        <v>0</v>
      </c>
      <c r="R8228" s="2" t="inlineStr"/>
    </row>
    <row r="8229" ht="15" customHeight="1">
      <c r="A8229" t="inlineStr">
        <is>
          <t>A 39913-2022</t>
        </is>
      </c>
      <c r="B8229" s="1" t="n">
        <v>44819</v>
      </c>
      <c r="C8229" s="1" t="n">
        <v>46093</v>
      </c>
      <c r="D8229" t="inlineStr">
        <is>
          <t>VÄSTERNORRLANDS LÄN</t>
        </is>
      </c>
      <c r="E8229" t="inlineStr">
        <is>
          <t>SUNDSVALL</t>
        </is>
      </c>
      <c r="G8229" t="n">
        <v>4.7</v>
      </c>
      <c r="H8229" t="n">
        <v>0</v>
      </c>
      <c r="I8229" t="n">
        <v>0</v>
      </c>
      <c r="J8229" t="n">
        <v>0</v>
      </c>
      <c r="K8229" t="n">
        <v>0</v>
      </c>
      <c r="L8229" t="n">
        <v>0</v>
      </c>
      <c r="M8229" t="n">
        <v>0</v>
      </c>
      <c r="N8229" t="n">
        <v>0</v>
      </c>
      <c r="O8229" t="n">
        <v>0</v>
      </c>
      <c r="P8229" t="n">
        <v>0</v>
      </c>
      <c r="Q8229" t="n">
        <v>0</v>
      </c>
      <c r="R8229" s="2" t="inlineStr"/>
    </row>
    <row r="8230" ht="15" customHeight="1">
      <c r="A8230" t="inlineStr">
        <is>
          <t>A 57573-2025</t>
        </is>
      </c>
      <c r="B8230" s="1" t="n">
        <v>45980.83989583333</v>
      </c>
      <c r="C8230" s="1" t="n">
        <v>46093</v>
      </c>
      <c r="D8230" t="inlineStr">
        <is>
          <t>VÄSTERNORRLANDS LÄN</t>
        </is>
      </c>
      <c r="E8230" t="inlineStr">
        <is>
          <t>ÖRNSKÖLDSVIK</t>
        </is>
      </c>
      <c r="F8230" t="inlineStr">
        <is>
          <t>Holmen skog AB</t>
        </is>
      </c>
      <c r="G8230" t="n">
        <v>14</v>
      </c>
      <c r="H8230" t="n">
        <v>0</v>
      </c>
      <c r="I8230" t="n">
        <v>0</v>
      </c>
      <c r="J8230" t="n">
        <v>0</v>
      </c>
      <c r="K8230" t="n">
        <v>0</v>
      </c>
      <c r="L8230" t="n">
        <v>0</v>
      </c>
      <c r="M8230" t="n">
        <v>0</v>
      </c>
      <c r="N8230" t="n">
        <v>0</v>
      </c>
      <c r="O8230" t="n">
        <v>0</v>
      </c>
      <c r="P8230" t="n">
        <v>0</v>
      </c>
      <c r="Q8230" t="n">
        <v>0</v>
      </c>
      <c r="R8230" s="2" t="inlineStr"/>
    </row>
    <row r="8231" ht="15" customHeight="1">
      <c r="A8231" t="inlineStr">
        <is>
          <t>A 57574-2025</t>
        </is>
      </c>
      <c r="B8231" s="1" t="n">
        <v>45980.84548611111</v>
      </c>
      <c r="C8231" s="1" t="n">
        <v>46093</v>
      </c>
      <c r="D8231" t="inlineStr">
        <is>
          <t>VÄSTERNORRLANDS LÄN</t>
        </is>
      </c>
      <c r="E8231" t="inlineStr">
        <is>
          <t>ÖRNSKÖLDSVIK</t>
        </is>
      </c>
      <c r="F8231" t="inlineStr">
        <is>
          <t>Holmen skog AB</t>
        </is>
      </c>
      <c r="G8231" t="n">
        <v>4.1</v>
      </c>
      <c r="H8231" t="n">
        <v>0</v>
      </c>
      <c r="I8231" t="n">
        <v>0</v>
      </c>
      <c r="J8231" t="n">
        <v>0</v>
      </c>
      <c r="K8231" t="n">
        <v>0</v>
      </c>
      <c r="L8231" t="n">
        <v>0</v>
      </c>
      <c r="M8231" t="n">
        <v>0</v>
      </c>
      <c r="N8231" t="n">
        <v>0</v>
      </c>
      <c r="O8231" t="n">
        <v>0</v>
      </c>
      <c r="P8231" t="n">
        <v>0</v>
      </c>
      <c r="Q8231" t="n">
        <v>0</v>
      </c>
      <c r="R8231" s="2" t="inlineStr"/>
    </row>
    <row r="8232" ht="15" customHeight="1">
      <c r="A8232" t="inlineStr">
        <is>
          <t>A 48010-2023</t>
        </is>
      </c>
      <c r="B8232" s="1" t="n">
        <v>45204</v>
      </c>
      <c r="C8232" s="1" t="n">
        <v>46093</v>
      </c>
      <c r="D8232" t="inlineStr">
        <is>
          <t>VÄSTERNORRLANDS LÄN</t>
        </is>
      </c>
      <c r="E8232" t="inlineStr">
        <is>
          <t>ÖRNSKÖLDSVIK</t>
        </is>
      </c>
      <c r="F8232" t="inlineStr">
        <is>
          <t>Holmen skog AB</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58053-2025</t>
        </is>
      </c>
      <c r="B8233" s="1" t="n">
        <v>45982.5225</v>
      </c>
      <c r="C8233" s="1" t="n">
        <v>46093</v>
      </c>
      <c r="D8233" t="inlineStr">
        <is>
          <t>VÄSTERNORRLANDS LÄN</t>
        </is>
      </c>
      <c r="E8233" t="inlineStr">
        <is>
          <t>KRAMFORS</t>
        </is>
      </c>
      <c r="G8233" t="n">
        <v>7.4</v>
      </c>
      <c r="H8233" t="n">
        <v>0</v>
      </c>
      <c r="I8233" t="n">
        <v>0</v>
      </c>
      <c r="J8233" t="n">
        <v>0</v>
      </c>
      <c r="K8233" t="n">
        <v>0</v>
      </c>
      <c r="L8233" t="n">
        <v>0</v>
      </c>
      <c r="M8233" t="n">
        <v>0</v>
      </c>
      <c r="N8233" t="n">
        <v>0</v>
      </c>
      <c r="O8233" t="n">
        <v>0</v>
      </c>
      <c r="P8233" t="n">
        <v>0</v>
      </c>
      <c r="Q8233" t="n">
        <v>0</v>
      </c>
      <c r="R8233" s="2" t="inlineStr"/>
    </row>
    <row r="8234" ht="15" customHeight="1">
      <c r="A8234" t="inlineStr">
        <is>
          <t>A 58057-2025</t>
        </is>
      </c>
      <c r="B8234" s="1" t="n">
        <v>45982.52523148148</v>
      </c>
      <c r="C8234" s="1" t="n">
        <v>46093</v>
      </c>
      <c r="D8234" t="inlineStr">
        <is>
          <t>VÄSTERNORRLANDS LÄN</t>
        </is>
      </c>
      <c r="E8234" t="inlineStr">
        <is>
          <t>KRAMFORS</t>
        </is>
      </c>
      <c r="G8234" t="n">
        <v>5.7</v>
      </c>
      <c r="H8234" t="n">
        <v>0</v>
      </c>
      <c r="I8234" t="n">
        <v>0</v>
      </c>
      <c r="J8234" t="n">
        <v>0</v>
      </c>
      <c r="K8234" t="n">
        <v>0</v>
      </c>
      <c r="L8234" t="n">
        <v>0</v>
      </c>
      <c r="M8234" t="n">
        <v>0</v>
      </c>
      <c r="N8234" t="n">
        <v>0</v>
      </c>
      <c r="O8234" t="n">
        <v>0</v>
      </c>
      <c r="P8234" t="n">
        <v>0</v>
      </c>
      <c r="Q8234" t="n">
        <v>0</v>
      </c>
      <c r="R8234" s="2" t="inlineStr"/>
    </row>
    <row r="8235" ht="15" customHeight="1">
      <c r="A8235" t="inlineStr">
        <is>
          <t>A 58058-2025</t>
        </is>
      </c>
      <c r="B8235" s="1" t="n">
        <v>45982.52927083334</v>
      </c>
      <c r="C8235" s="1" t="n">
        <v>46093</v>
      </c>
      <c r="D8235" t="inlineStr">
        <is>
          <t>VÄSTERNORRLANDS LÄN</t>
        </is>
      </c>
      <c r="E8235" t="inlineStr">
        <is>
          <t>KRAMFORS</t>
        </is>
      </c>
      <c r="G8235" t="n">
        <v>6.3</v>
      </c>
      <c r="H8235" t="n">
        <v>0</v>
      </c>
      <c r="I8235" t="n">
        <v>0</v>
      </c>
      <c r="J8235" t="n">
        <v>0</v>
      </c>
      <c r="K8235" t="n">
        <v>0</v>
      </c>
      <c r="L8235" t="n">
        <v>0</v>
      </c>
      <c r="M8235" t="n">
        <v>0</v>
      </c>
      <c r="N8235" t="n">
        <v>0</v>
      </c>
      <c r="O8235" t="n">
        <v>0</v>
      </c>
      <c r="P8235" t="n">
        <v>0</v>
      </c>
      <c r="Q8235" t="n">
        <v>0</v>
      </c>
      <c r="R8235" s="2" t="inlineStr"/>
    </row>
    <row r="8236" ht="15" customHeight="1">
      <c r="A8236" t="inlineStr">
        <is>
          <t>A 58089-2025</t>
        </is>
      </c>
      <c r="B8236" s="1" t="n">
        <v>45982.57334490741</v>
      </c>
      <c r="C8236" s="1" t="n">
        <v>46093</v>
      </c>
      <c r="D8236" t="inlineStr">
        <is>
          <t>VÄSTERNORRLANDS LÄN</t>
        </is>
      </c>
      <c r="E8236" t="inlineStr">
        <is>
          <t>SUNDSVALL</t>
        </is>
      </c>
      <c r="F8236" t="inlineStr">
        <is>
          <t>SCA</t>
        </is>
      </c>
      <c r="G8236" t="n">
        <v>10.9</v>
      </c>
      <c r="H8236" t="n">
        <v>0</v>
      </c>
      <c r="I8236" t="n">
        <v>0</v>
      </c>
      <c r="J8236" t="n">
        <v>0</v>
      </c>
      <c r="K8236" t="n">
        <v>0</v>
      </c>
      <c r="L8236" t="n">
        <v>0</v>
      </c>
      <c r="M8236" t="n">
        <v>0</v>
      </c>
      <c r="N8236" t="n">
        <v>0</v>
      </c>
      <c r="O8236" t="n">
        <v>0</v>
      </c>
      <c r="P8236" t="n">
        <v>0</v>
      </c>
      <c r="Q8236" t="n">
        <v>0</v>
      </c>
      <c r="R8236" s="2" t="inlineStr"/>
    </row>
    <row r="8237" ht="15" customHeight="1">
      <c r="A8237" t="inlineStr">
        <is>
          <t>A 39589-2022</t>
        </is>
      </c>
      <c r="B8237" s="1" t="n">
        <v>44818</v>
      </c>
      <c r="C8237" s="1" t="n">
        <v>46093</v>
      </c>
      <c r="D8237" t="inlineStr">
        <is>
          <t>VÄSTERNORRLANDS LÄN</t>
        </is>
      </c>
      <c r="E8237" t="inlineStr">
        <is>
          <t>ÅNGE</t>
        </is>
      </c>
      <c r="G8237" t="n">
        <v>4.8</v>
      </c>
      <c r="H8237" t="n">
        <v>0</v>
      </c>
      <c r="I8237" t="n">
        <v>0</v>
      </c>
      <c r="J8237" t="n">
        <v>0</v>
      </c>
      <c r="K8237" t="n">
        <v>0</v>
      </c>
      <c r="L8237" t="n">
        <v>0</v>
      </c>
      <c r="M8237" t="n">
        <v>0</v>
      </c>
      <c r="N8237" t="n">
        <v>0</v>
      </c>
      <c r="O8237" t="n">
        <v>0</v>
      </c>
      <c r="P8237" t="n">
        <v>0</v>
      </c>
      <c r="Q8237" t="n">
        <v>0</v>
      </c>
      <c r="R8237" s="2" t="inlineStr"/>
    </row>
    <row r="8238" ht="15" customHeight="1">
      <c r="A8238" t="inlineStr">
        <is>
          <t>A 58090-2025</t>
        </is>
      </c>
      <c r="B8238" s="1" t="n">
        <v>45982.57361111111</v>
      </c>
      <c r="C8238" s="1" t="n">
        <v>46093</v>
      </c>
      <c r="D8238" t="inlineStr">
        <is>
          <t>VÄSTERNORRLANDS LÄN</t>
        </is>
      </c>
      <c r="E8238" t="inlineStr">
        <is>
          <t>SUNDSVALL</t>
        </is>
      </c>
      <c r="F8238" t="inlineStr">
        <is>
          <t>SCA</t>
        </is>
      </c>
      <c r="G8238" t="n">
        <v>9.5</v>
      </c>
      <c r="H8238" t="n">
        <v>0</v>
      </c>
      <c r="I8238" t="n">
        <v>0</v>
      </c>
      <c r="J8238" t="n">
        <v>0</v>
      </c>
      <c r="K8238" t="n">
        <v>0</v>
      </c>
      <c r="L8238" t="n">
        <v>0</v>
      </c>
      <c r="M8238" t="n">
        <v>0</v>
      </c>
      <c r="N8238" t="n">
        <v>0</v>
      </c>
      <c r="O8238" t="n">
        <v>0</v>
      </c>
      <c r="P8238" t="n">
        <v>0</v>
      </c>
      <c r="Q8238" t="n">
        <v>0</v>
      </c>
      <c r="R8238" s="2" t="inlineStr"/>
    </row>
    <row r="8239" ht="15" customHeight="1">
      <c r="A8239" t="inlineStr">
        <is>
          <t>A 13858-2025</t>
        </is>
      </c>
      <c r="B8239" s="1" t="n">
        <v>45737.57341435185</v>
      </c>
      <c r="C8239" s="1" t="n">
        <v>46093</v>
      </c>
      <c r="D8239" t="inlineStr">
        <is>
          <t>VÄSTERNORRLANDS LÄN</t>
        </is>
      </c>
      <c r="E8239" t="inlineStr">
        <is>
          <t>SOLLEFTEÅ</t>
        </is>
      </c>
      <c r="F8239" t="inlineStr">
        <is>
          <t>SCA</t>
        </is>
      </c>
      <c r="G8239" t="n">
        <v>8.300000000000001</v>
      </c>
      <c r="H8239" t="n">
        <v>0</v>
      </c>
      <c r="I8239" t="n">
        <v>0</v>
      </c>
      <c r="J8239" t="n">
        <v>0</v>
      </c>
      <c r="K8239" t="n">
        <v>0</v>
      </c>
      <c r="L8239" t="n">
        <v>0</v>
      </c>
      <c r="M8239" t="n">
        <v>0</v>
      </c>
      <c r="N8239" t="n">
        <v>0</v>
      </c>
      <c r="O8239" t="n">
        <v>0</v>
      </c>
      <c r="P8239" t="n">
        <v>0</v>
      </c>
      <c r="Q8239" t="n">
        <v>0</v>
      </c>
      <c r="R8239" s="2" t="inlineStr"/>
    </row>
    <row r="8240" ht="15" customHeight="1">
      <c r="A8240" t="inlineStr">
        <is>
          <t>A 62593-2023</t>
        </is>
      </c>
      <c r="B8240" s="1" t="n">
        <v>45271.22373842593</v>
      </c>
      <c r="C8240" s="1" t="n">
        <v>46093</v>
      </c>
      <c r="D8240" t="inlineStr">
        <is>
          <t>VÄSTERNORRLANDS LÄN</t>
        </is>
      </c>
      <c r="E8240" t="inlineStr">
        <is>
          <t>ÖRNSKÖLDSVIK</t>
        </is>
      </c>
      <c r="G8240" t="n">
        <v>6.8</v>
      </c>
      <c r="H8240" t="n">
        <v>0</v>
      </c>
      <c r="I8240" t="n">
        <v>0</v>
      </c>
      <c r="J8240" t="n">
        <v>0</v>
      </c>
      <c r="K8240" t="n">
        <v>0</v>
      </c>
      <c r="L8240" t="n">
        <v>0</v>
      </c>
      <c r="M8240" t="n">
        <v>0</v>
      </c>
      <c r="N8240" t="n">
        <v>0</v>
      </c>
      <c r="O8240" t="n">
        <v>0</v>
      </c>
      <c r="P8240" t="n">
        <v>0</v>
      </c>
      <c r="Q8240" t="n">
        <v>0</v>
      </c>
      <c r="R8240" s="2" t="inlineStr"/>
    </row>
    <row r="8241" ht="15" customHeight="1">
      <c r="A8241" t="inlineStr">
        <is>
          <t>A 58152-2025</t>
        </is>
      </c>
      <c r="B8241" s="1" t="n">
        <v>45982.65260416667</v>
      </c>
      <c r="C8241" s="1" t="n">
        <v>46093</v>
      </c>
      <c r="D8241" t="inlineStr">
        <is>
          <t>VÄSTERNORRLANDS LÄN</t>
        </is>
      </c>
      <c r="E8241" t="inlineStr">
        <is>
          <t>SOLLEFTEÅ</t>
        </is>
      </c>
      <c r="G8241" t="n">
        <v>6.4</v>
      </c>
      <c r="H8241" t="n">
        <v>0</v>
      </c>
      <c r="I8241" t="n">
        <v>0</v>
      </c>
      <c r="J8241" t="n">
        <v>0</v>
      </c>
      <c r="K8241" t="n">
        <v>0</v>
      </c>
      <c r="L8241" t="n">
        <v>0</v>
      </c>
      <c r="M8241" t="n">
        <v>0</v>
      </c>
      <c r="N8241" t="n">
        <v>0</v>
      </c>
      <c r="O8241" t="n">
        <v>0</v>
      </c>
      <c r="P8241" t="n">
        <v>0</v>
      </c>
      <c r="Q8241" t="n">
        <v>0</v>
      </c>
      <c r="R8241" s="2" t="inlineStr"/>
    </row>
    <row r="8242" ht="15" customHeight="1">
      <c r="A8242" t="inlineStr">
        <is>
          <t>A 58153-2025</t>
        </is>
      </c>
      <c r="B8242" s="1" t="n">
        <v>45982.65262731481</v>
      </c>
      <c r="C8242" s="1" t="n">
        <v>46093</v>
      </c>
      <c r="D8242" t="inlineStr">
        <is>
          <t>VÄSTERNORRLANDS LÄN</t>
        </is>
      </c>
      <c r="E8242" t="inlineStr">
        <is>
          <t>SOLLEFTEÅ</t>
        </is>
      </c>
      <c r="G8242" t="n">
        <v>3.3</v>
      </c>
      <c r="H8242" t="n">
        <v>0</v>
      </c>
      <c r="I8242" t="n">
        <v>0</v>
      </c>
      <c r="J8242" t="n">
        <v>0</v>
      </c>
      <c r="K8242" t="n">
        <v>0</v>
      </c>
      <c r="L8242" t="n">
        <v>0</v>
      </c>
      <c r="M8242" t="n">
        <v>0</v>
      </c>
      <c r="N8242" t="n">
        <v>0</v>
      </c>
      <c r="O8242" t="n">
        <v>0</v>
      </c>
      <c r="P8242" t="n">
        <v>0</v>
      </c>
      <c r="Q8242" t="n">
        <v>0</v>
      </c>
      <c r="R8242" s="2" t="inlineStr"/>
    </row>
    <row r="8243" ht="15" customHeight="1">
      <c r="A8243" t="inlineStr">
        <is>
          <t>A 57618-2025</t>
        </is>
      </c>
      <c r="B8243" s="1" t="n">
        <v>45981</v>
      </c>
      <c r="C8243" s="1" t="n">
        <v>46093</v>
      </c>
      <c r="D8243" t="inlineStr">
        <is>
          <t>VÄSTERNORRLANDS LÄN</t>
        </is>
      </c>
      <c r="E8243" t="inlineStr">
        <is>
          <t>HÄRNÖSAND</t>
        </is>
      </c>
      <c r="F8243" t="inlineStr">
        <is>
          <t>SCA</t>
        </is>
      </c>
      <c r="G8243" t="n">
        <v>7.8</v>
      </c>
      <c r="H8243" t="n">
        <v>0</v>
      </c>
      <c r="I8243" t="n">
        <v>0</v>
      </c>
      <c r="J8243" t="n">
        <v>0</v>
      </c>
      <c r="K8243" t="n">
        <v>0</v>
      </c>
      <c r="L8243" t="n">
        <v>0</v>
      </c>
      <c r="M8243" t="n">
        <v>0</v>
      </c>
      <c r="N8243" t="n">
        <v>0</v>
      </c>
      <c r="O8243" t="n">
        <v>0</v>
      </c>
      <c r="P8243" t="n">
        <v>0</v>
      </c>
      <c r="Q8243" t="n">
        <v>0</v>
      </c>
      <c r="R8243" s="2" t="inlineStr"/>
    </row>
    <row r="8244" ht="15" customHeight="1">
      <c r="A8244" t="inlineStr">
        <is>
          <t>A 11746-2025</t>
        </is>
      </c>
      <c r="B8244" s="1" t="n">
        <v>45727.63577546296</v>
      </c>
      <c r="C8244" s="1" t="n">
        <v>46093</v>
      </c>
      <c r="D8244" t="inlineStr">
        <is>
          <t>VÄSTERNORRLANDS LÄN</t>
        </is>
      </c>
      <c r="E8244" t="inlineStr">
        <is>
          <t>SOLLEFTEÅ</t>
        </is>
      </c>
      <c r="F8244" t="inlineStr">
        <is>
          <t>SCA</t>
        </is>
      </c>
      <c r="G8244" t="n">
        <v>2.5</v>
      </c>
      <c r="H8244" t="n">
        <v>0</v>
      </c>
      <c r="I8244" t="n">
        <v>0</v>
      </c>
      <c r="J8244" t="n">
        <v>0</v>
      </c>
      <c r="K8244" t="n">
        <v>0</v>
      </c>
      <c r="L8244" t="n">
        <v>0</v>
      </c>
      <c r="M8244" t="n">
        <v>0</v>
      </c>
      <c r="N8244" t="n">
        <v>0</v>
      </c>
      <c r="O8244" t="n">
        <v>0</v>
      </c>
      <c r="P8244" t="n">
        <v>0</v>
      </c>
      <c r="Q8244" t="n">
        <v>0</v>
      </c>
      <c r="R8244" s="2" t="inlineStr"/>
    </row>
    <row r="8245" ht="15" customHeight="1">
      <c r="A8245" t="inlineStr">
        <is>
          <t>A 13859-2025</t>
        </is>
      </c>
      <c r="B8245" s="1" t="n">
        <v>45737</v>
      </c>
      <c r="C8245" s="1" t="n">
        <v>46093</v>
      </c>
      <c r="D8245" t="inlineStr">
        <is>
          <t>VÄSTERNORRLANDS LÄN</t>
        </is>
      </c>
      <c r="E8245" t="inlineStr">
        <is>
          <t>SUNDSVALL</t>
        </is>
      </c>
      <c r="F8245" t="inlineStr">
        <is>
          <t>SCA</t>
        </is>
      </c>
      <c r="G8245" t="n">
        <v>3.5</v>
      </c>
      <c r="H8245" t="n">
        <v>0</v>
      </c>
      <c r="I8245" t="n">
        <v>0</v>
      </c>
      <c r="J8245" t="n">
        <v>0</v>
      </c>
      <c r="K8245" t="n">
        <v>0</v>
      </c>
      <c r="L8245" t="n">
        <v>0</v>
      </c>
      <c r="M8245" t="n">
        <v>0</v>
      </c>
      <c r="N8245" t="n">
        <v>0</v>
      </c>
      <c r="O8245" t="n">
        <v>0</v>
      </c>
      <c r="P8245" t="n">
        <v>0</v>
      </c>
      <c r="Q8245" t="n">
        <v>0</v>
      </c>
      <c r="R8245" s="2" t="inlineStr"/>
    </row>
    <row r="8246" ht="15" customHeight="1">
      <c r="A8246" t="inlineStr">
        <is>
          <t>A 13861-2025</t>
        </is>
      </c>
      <c r="B8246" s="1" t="n">
        <v>45737.5741550926</v>
      </c>
      <c r="C8246" s="1" t="n">
        <v>46093</v>
      </c>
      <c r="D8246" t="inlineStr">
        <is>
          <t>VÄSTERNORRLANDS LÄN</t>
        </is>
      </c>
      <c r="E8246" t="inlineStr">
        <is>
          <t>TIMRÅ</t>
        </is>
      </c>
      <c r="F8246" t="inlineStr">
        <is>
          <t>SCA</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57724-2025</t>
        </is>
      </c>
      <c r="B8247" s="1" t="n">
        <v>45981.49041666667</v>
      </c>
      <c r="C8247" s="1" t="n">
        <v>46093</v>
      </c>
      <c r="D8247" t="inlineStr">
        <is>
          <t>VÄSTERNORRLANDS LÄN</t>
        </is>
      </c>
      <c r="E8247" t="inlineStr">
        <is>
          <t>SUNDSVALL</t>
        </is>
      </c>
      <c r="G8247" t="n">
        <v>4.6</v>
      </c>
      <c r="H8247" t="n">
        <v>0</v>
      </c>
      <c r="I8247" t="n">
        <v>0</v>
      </c>
      <c r="J8247" t="n">
        <v>0</v>
      </c>
      <c r="K8247" t="n">
        <v>0</v>
      </c>
      <c r="L8247" t="n">
        <v>0</v>
      </c>
      <c r="M8247" t="n">
        <v>0</v>
      </c>
      <c r="N8247" t="n">
        <v>0</v>
      </c>
      <c r="O8247" t="n">
        <v>0</v>
      </c>
      <c r="P8247" t="n">
        <v>0</v>
      </c>
      <c r="Q8247" t="n">
        <v>0</v>
      </c>
      <c r="R8247" s="2" t="inlineStr"/>
    </row>
    <row r="8248" ht="15" customHeight="1">
      <c r="A8248" t="inlineStr">
        <is>
          <t>A 40559-2021</t>
        </is>
      </c>
      <c r="B8248" s="1" t="n">
        <v>44420.43424768518</v>
      </c>
      <c r="C8248" s="1" t="n">
        <v>46093</v>
      </c>
      <c r="D8248" t="inlineStr">
        <is>
          <t>VÄSTERNORRLANDS LÄN</t>
        </is>
      </c>
      <c r="E8248" t="inlineStr">
        <is>
          <t>ÖRNSKÖLDSVIK</t>
        </is>
      </c>
      <c r="G8248" t="n">
        <v>2</v>
      </c>
      <c r="H8248" t="n">
        <v>0</v>
      </c>
      <c r="I8248" t="n">
        <v>0</v>
      </c>
      <c r="J8248" t="n">
        <v>0</v>
      </c>
      <c r="K8248" t="n">
        <v>0</v>
      </c>
      <c r="L8248" t="n">
        <v>0</v>
      </c>
      <c r="M8248" t="n">
        <v>0</v>
      </c>
      <c r="N8248" t="n">
        <v>0</v>
      </c>
      <c r="O8248" t="n">
        <v>0</v>
      </c>
      <c r="P8248" t="n">
        <v>0</v>
      </c>
      <c r="Q8248" t="n">
        <v>0</v>
      </c>
      <c r="R8248" s="2" t="inlineStr"/>
    </row>
    <row r="8249" ht="15" customHeight="1">
      <c r="A8249" t="inlineStr">
        <is>
          <t>A 4784-2025</t>
        </is>
      </c>
      <c r="B8249" s="1" t="n">
        <v>45688.53841435185</v>
      </c>
      <c r="C8249" s="1" t="n">
        <v>46093</v>
      </c>
      <c r="D8249" t="inlineStr">
        <is>
          <t>VÄSTERNORRLANDS LÄN</t>
        </is>
      </c>
      <c r="E8249" t="inlineStr">
        <is>
          <t>SUNDSVALL</t>
        </is>
      </c>
      <c r="G8249" t="n">
        <v>3.3</v>
      </c>
      <c r="H8249" t="n">
        <v>0</v>
      </c>
      <c r="I8249" t="n">
        <v>0</v>
      </c>
      <c r="J8249" t="n">
        <v>0</v>
      </c>
      <c r="K8249" t="n">
        <v>0</v>
      </c>
      <c r="L8249" t="n">
        <v>0</v>
      </c>
      <c r="M8249" t="n">
        <v>0</v>
      </c>
      <c r="N8249" t="n">
        <v>0</v>
      </c>
      <c r="O8249" t="n">
        <v>0</v>
      </c>
      <c r="P8249" t="n">
        <v>0</v>
      </c>
      <c r="Q8249" t="n">
        <v>0</v>
      </c>
      <c r="R8249" s="2" t="inlineStr"/>
    </row>
    <row r="8250" ht="15" customHeight="1">
      <c r="A8250" t="inlineStr">
        <is>
          <t>A 49502-2022</t>
        </is>
      </c>
      <c r="B8250" s="1" t="n">
        <v>44861.92613425926</v>
      </c>
      <c r="C8250" s="1" t="n">
        <v>46093</v>
      </c>
      <c r="D8250" t="inlineStr">
        <is>
          <t>VÄSTERNORRLANDS LÄN</t>
        </is>
      </c>
      <c r="E8250" t="inlineStr">
        <is>
          <t>ÅNGE</t>
        </is>
      </c>
      <c r="G8250" t="n">
        <v>0.8</v>
      </c>
      <c r="H8250" t="n">
        <v>0</v>
      </c>
      <c r="I8250" t="n">
        <v>0</v>
      </c>
      <c r="J8250" t="n">
        <v>0</v>
      </c>
      <c r="K8250" t="n">
        <v>0</v>
      </c>
      <c r="L8250" t="n">
        <v>0</v>
      </c>
      <c r="M8250" t="n">
        <v>0</v>
      </c>
      <c r="N8250" t="n">
        <v>0</v>
      </c>
      <c r="O8250" t="n">
        <v>0</v>
      </c>
      <c r="P8250" t="n">
        <v>0</v>
      </c>
      <c r="Q8250" t="n">
        <v>0</v>
      </c>
      <c r="R8250" s="2" t="inlineStr"/>
    </row>
    <row r="8251" ht="15" customHeight="1">
      <c r="A8251" t="inlineStr">
        <is>
          <t>A 49539-2022</t>
        </is>
      </c>
      <c r="B8251" s="1" t="n">
        <v>44861.95814814815</v>
      </c>
      <c r="C8251" s="1" t="n">
        <v>46093</v>
      </c>
      <c r="D8251" t="inlineStr">
        <is>
          <t>VÄSTERNORRLANDS LÄN</t>
        </is>
      </c>
      <c r="E8251" t="inlineStr">
        <is>
          <t>SUNDSVALL</t>
        </is>
      </c>
      <c r="F8251" t="inlineStr">
        <is>
          <t>SCA</t>
        </is>
      </c>
      <c r="G8251" t="n">
        <v>2.7</v>
      </c>
      <c r="H8251" t="n">
        <v>0</v>
      </c>
      <c r="I8251" t="n">
        <v>0</v>
      </c>
      <c r="J8251" t="n">
        <v>0</v>
      </c>
      <c r="K8251" t="n">
        <v>0</v>
      </c>
      <c r="L8251" t="n">
        <v>0</v>
      </c>
      <c r="M8251" t="n">
        <v>0</v>
      </c>
      <c r="N8251" t="n">
        <v>0</v>
      </c>
      <c r="O8251" t="n">
        <v>0</v>
      </c>
      <c r="P8251" t="n">
        <v>0</v>
      </c>
      <c r="Q8251" t="n">
        <v>0</v>
      </c>
      <c r="R8251" s="2" t="inlineStr"/>
    </row>
    <row r="8252" ht="15" customHeight="1">
      <c r="A8252" t="inlineStr">
        <is>
          <t>A 49403-2024</t>
        </is>
      </c>
      <c r="B8252" s="1" t="n">
        <v>45595.67730324074</v>
      </c>
      <c r="C8252" s="1" t="n">
        <v>46093</v>
      </c>
      <c r="D8252" t="inlineStr">
        <is>
          <t>VÄSTERNORRLANDS LÄN</t>
        </is>
      </c>
      <c r="E8252" t="inlineStr">
        <is>
          <t>SOLLEFTEÅ</t>
        </is>
      </c>
      <c r="F8252" t="inlineStr">
        <is>
          <t>SCA</t>
        </is>
      </c>
      <c r="G8252" t="n">
        <v>1.6</v>
      </c>
      <c r="H8252" t="n">
        <v>0</v>
      </c>
      <c r="I8252" t="n">
        <v>0</v>
      </c>
      <c r="J8252" t="n">
        <v>0</v>
      </c>
      <c r="K8252" t="n">
        <v>0</v>
      </c>
      <c r="L8252" t="n">
        <v>0</v>
      </c>
      <c r="M8252" t="n">
        <v>0</v>
      </c>
      <c r="N8252" t="n">
        <v>0</v>
      </c>
      <c r="O8252" t="n">
        <v>0</v>
      </c>
      <c r="P8252" t="n">
        <v>0</v>
      </c>
      <c r="Q8252" t="n">
        <v>0</v>
      </c>
      <c r="R8252" s="2" t="inlineStr"/>
    </row>
    <row r="8253" ht="15" customHeight="1">
      <c r="A8253" t="inlineStr">
        <is>
          <t>A 16009-2025</t>
        </is>
      </c>
      <c r="B8253" s="1" t="n">
        <v>45749.59996527778</v>
      </c>
      <c r="C8253" s="1" t="n">
        <v>46093</v>
      </c>
      <c r="D8253" t="inlineStr">
        <is>
          <t>VÄSTERNORRLANDS LÄN</t>
        </is>
      </c>
      <c r="E8253" t="inlineStr">
        <is>
          <t>HÄRNÖSAND</t>
        </is>
      </c>
      <c r="G8253" t="n">
        <v>9.300000000000001</v>
      </c>
      <c r="H8253" t="n">
        <v>0</v>
      </c>
      <c r="I8253" t="n">
        <v>0</v>
      </c>
      <c r="J8253" t="n">
        <v>0</v>
      </c>
      <c r="K8253" t="n">
        <v>0</v>
      </c>
      <c r="L8253" t="n">
        <v>0</v>
      </c>
      <c r="M8253" t="n">
        <v>0</v>
      </c>
      <c r="N8253" t="n">
        <v>0</v>
      </c>
      <c r="O8253" t="n">
        <v>0</v>
      </c>
      <c r="P8253" t="n">
        <v>0</v>
      </c>
      <c r="Q8253" t="n">
        <v>0</v>
      </c>
      <c r="R8253" s="2" t="inlineStr"/>
    </row>
    <row r="8254" ht="15" customHeight="1">
      <c r="A8254" t="inlineStr">
        <is>
          <t>A 57067-2023</t>
        </is>
      </c>
      <c r="B8254" s="1" t="n">
        <v>45244</v>
      </c>
      <c r="C8254" s="1" t="n">
        <v>46093</v>
      </c>
      <c r="D8254" t="inlineStr">
        <is>
          <t>VÄSTERNORRLANDS LÄN</t>
        </is>
      </c>
      <c r="E8254" t="inlineStr">
        <is>
          <t>SUNDSVALL</t>
        </is>
      </c>
      <c r="F8254" t="inlineStr">
        <is>
          <t>SCA</t>
        </is>
      </c>
      <c r="G8254" t="n">
        <v>3.2</v>
      </c>
      <c r="H8254" t="n">
        <v>0</v>
      </c>
      <c r="I8254" t="n">
        <v>0</v>
      </c>
      <c r="J8254" t="n">
        <v>0</v>
      </c>
      <c r="K8254" t="n">
        <v>0</v>
      </c>
      <c r="L8254" t="n">
        <v>0</v>
      </c>
      <c r="M8254" t="n">
        <v>0</v>
      </c>
      <c r="N8254" t="n">
        <v>0</v>
      </c>
      <c r="O8254" t="n">
        <v>0</v>
      </c>
      <c r="P8254" t="n">
        <v>0</v>
      </c>
      <c r="Q8254" t="n">
        <v>0</v>
      </c>
      <c r="R8254" s="2" t="inlineStr"/>
    </row>
    <row r="8255" ht="15" customHeight="1">
      <c r="A8255" t="inlineStr">
        <is>
          <t>A 57080-2023</t>
        </is>
      </c>
      <c r="B8255" s="1" t="n">
        <v>45244</v>
      </c>
      <c r="C8255" s="1" t="n">
        <v>46093</v>
      </c>
      <c r="D8255" t="inlineStr">
        <is>
          <t>VÄSTERNORRLANDS LÄN</t>
        </is>
      </c>
      <c r="E8255" t="inlineStr">
        <is>
          <t>SOLLEFTEÅ</t>
        </is>
      </c>
      <c r="F8255" t="inlineStr">
        <is>
          <t>SCA</t>
        </is>
      </c>
      <c r="G8255" t="n">
        <v>5.8</v>
      </c>
      <c r="H8255" t="n">
        <v>0</v>
      </c>
      <c r="I8255" t="n">
        <v>0</v>
      </c>
      <c r="J8255" t="n">
        <v>0</v>
      </c>
      <c r="K8255" t="n">
        <v>0</v>
      </c>
      <c r="L8255" t="n">
        <v>0</v>
      </c>
      <c r="M8255" t="n">
        <v>0</v>
      </c>
      <c r="N8255" t="n">
        <v>0</v>
      </c>
      <c r="O8255" t="n">
        <v>0</v>
      </c>
      <c r="P8255" t="n">
        <v>0</v>
      </c>
      <c r="Q8255" t="n">
        <v>0</v>
      </c>
      <c r="R8255" s="2" t="inlineStr"/>
    </row>
    <row r="8256" ht="15" customHeight="1">
      <c r="A8256" t="inlineStr">
        <is>
          <t>A 13611-2023</t>
        </is>
      </c>
      <c r="B8256" s="1" t="n">
        <v>45006</v>
      </c>
      <c r="C8256" s="1" t="n">
        <v>46093</v>
      </c>
      <c r="D8256" t="inlineStr">
        <is>
          <t>VÄSTERNORRLANDS LÄN</t>
        </is>
      </c>
      <c r="E8256" t="inlineStr">
        <is>
          <t>HÄRNÖSAND</t>
        </is>
      </c>
      <c r="G8256" t="n">
        <v>1.7</v>
      </c>
      <c r="H8256" t="n">
        <v>0</v>
      </c>
      <c r="I8256" t="n">
        <v>0</v>
      </c>
      <c r="J8256" t="n">
        <v>0</v>
      </c>
      <c r="K8256" t="n">
        <v>0</v>
      </c>
      <c r="L8256" t="n">
        <v>0</v>
      </c>
      <c r="M8256" t="n">
        <v>0</v>
      </c>
      <c r="N8256" t="n">
        <v>0</v>
      </c>
      <c r="O8256" t="n">
        <v>0</v>
      </c>
      <c r="P8256" t="n">
        <v>0</v>
      </c>
      <c r="Q8256" t="n">
        <v>0</v>
      </c>
      <c r="R8256" s="2" t="inlineStr"/>
    </row>
    <row r="8257" ht="15" customHeight="1">
      <c r="A8257" t="inlineStr">
        <is>
          <t>A 57866-2025</t>
        </is>
      </c>
      <c r="B8257" s="1" t="n">
        <v>45981.65011574074</v>
      </c>
      <c r="C8257" s="1" t="n">
        <v>46093</v>
      </c>
      <c r="D8257" t="inlineStr">
        <is>
          <t>VÄSTERNORRLANDS LÄN</t>
        </is>
      </c>
      <c r="E8257" t="inlineStr">
        <is>
          <t>ÖRNSKÖLDSVIK</t>
        </is>
      </c>
      <c r="F8257" t="inlineStr">
        <is>
          <t>Holmen skog AB</t>
        </is>
      </c>
      <c r="G8257" t="n">
        <v>5.7</v>
      </c>
      <c r="H8257" t="n">
        <v>0</v>
      </c>
      <c r="I8257" t="n">
        <v>0</v>
      </c>
      <c r="J8257" t="n">
        <v>0</v>
      </c>
      <c r="K8257" t="n">
        <v>0</v>
      </c>
      <c r="L8257" t="n">
        <v>0</v>
      </c>
      <c r="M8257" t="n">
        <v>0</v>
      </c>
      <c r="N8257" t="n">
        <v>0</v>
      </c>
      <c r="O8257" t="n">
        <v>0</v>
      </c>
      <c r="P8257" t="n">
        <v>0</v>
      </c>
      <c r="Q8257" t="n">
        <v>0</v>
      </c>
      <c r="R8257" s="2" t="inlineStr"/>
    </row>
    <row r="8258" ht="15" customHeight="1">
      <c r="A8258" t="inlineStr">
        <is>
          <t>A 57877-2025</t>
        </is>
      </c>
      <c r="B8258" s="1" t="n">
        <v>45981.65686342592</v>
      </c>
      <c r="C8258" s="1" t="n">
        <v>46093</v>
      </c>
      <c r="D8258" t="inlineStr">
        <is>
          <t>VÄSTERNORRLANDS LÄN</t>
        </is>
      </c>
      <c r="E8258" t="inlineStr">
        <is>
          <t>HÄRNÖSAND</t>
        </is>
      </c>
      <c r="F8258" t="inlineStr">
        <is>
          <t>SCA</t>
        </is>
      </c>
      <c r="G8258" t="n">
        <v>2.4</v>
      </c>
      <c r="H8258" t="n">
        <v>0</v>
      </c>
      <c r="I8258" t="n">
        <v>0</v>
      </c>
      <c r="J8258" t="n">
        <v>0</v>
      </c>
      <c r="K8258" t="n">
        <v>0</v>
      </c>
      <c r="L8258" t="n">
        <v>0</v>
      </c>
      <c r="M8258" t="n">
        <v>0</v>
      </c>
      <c r="N8258" t="n">
        <v>0</v>
      </c>
      <c r="O8258" t="n">
        <v>0</v>
      </c>
      <c r="P8258" t="n">
        <v>0</v>
      </c>
      <c r="Q8258" t="n">
        <v>0</v>
      </c>
      <c r="R8258" s="2" t="inlineStr"/>
    </row>
    <row r="8259" ht="15" customHeight="1">
      <c r="A8259" t="inlineStr">
        <is>
          <t>A 19936-2025</t>
        </is>
      </c>
      <c r="B8259" s="1" t="n">
        <v>45771.64130787037</v>
      </c>
      <c r="C8259" s="1" t="n">
        <v>46093</v>
      </c>
      <c r="D8259" t="inlineStr">
        <is>
          <t>VÄSTERNORRLANDS LÄN</t>
        </is>
      </c>
      <c r="E8259" t="inlineStr">
        <is>
          <t>SOLLEFTEÅ</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19949-2025</t>
        </is>
      </c>
      <c r="B8260" s="1" t="n">
        <v>45771.65688657408</v>
      </c>
      <c r="C8260" s="1" t="n">
        <v>46093</v>
      </c>
      <c r="D8260" t="inlineStr">
        <is>
          <t>VÄSTERNORRLANDS LÄN</t>
        </is>
      </c>
      <c r="E8260" t="inlineStr">
        <is>
          <t>SOLLEFTEÅ</t>
        </is>
      </c>
      <c r="F8260" t="inlineStr">
        <is>
          <t>SCA</t>
        </is>
      </c>
      <c r="G8260" t="n">
        <v>2.6</v>
      </c>
      <c r="H8260" t="n">
        <v>0</v>
      </c>
      <c r="I8260" t="n">
        <v>0</v>
      </c>
      <c r="J8260" t="n">
        <v>0</v>
      </c>
      <c r="K8260" t="n">
        <v>0</v>
      </c>
      <c r="L8260" t="n">
        <v>0</v>
      </c>
      <c r="M8260" t="n">
        <v>0</v>
      </c>
      <c r="N8260" t="n">
        <v>0</v>
      </c>
      <c r="O8260" t="n">
        <v>0</v>
      </c>
      <c r="P8260" t="n">
        <v>0</v>
      </c>
      <c r="Q8260" t="n">
        <v>0</v>
      </c>
      <c r="R8260" s="2" t="inlineStr"/>
    </row>
    <row r="8261" ht="15" customHeight="1">
      <c r="A8261" t="inlineStr">
        <is>
          <t>A 41605-2023</t>
        </is>
      </c>
      <c r="B8261" s="1" t="n">
        <v>45175.65100694444</v>
      </c>
      <c r="C8261" s="1" t="n">
        <v>46093</v>
      </c>
      <c r="D8261" t="inlineStr">
        <is>
          <t>VÄSTERNORRLANDS LÄN</t>
        </is>
      </c>
      <c r="E8261" t="inlineStr">
        <is>
          <t>TIMRÅ</t>
        </is>
      </c>
      <c r="G8261" t="n">
        <v>1.6</v>
      </c>
      <c r="H8261" t="n">
        <v>0</v>
      </c>
      <c r="I8261" t="n">
        <v>0</v>
      </c>
      <c r="J8261" t="n">
        <v>0</v>
      </c>
      <c r="K8261" t="n">
        <v>0</v>
      </c>
      <c r="L8261" t="n">
        <v>0</v>
      </c>
      <c r="M8261" t="n">
        <v>0</v>
      </c>
      <c r="N8261" t="n">
        <v>0</v>
      </c>
      <c r="O8261" t="n">
        <v>0</v>
      </c>
      <c r="P8261" t="n">
        <v>0</v>
      </c>
      <c r="Q8261" t="n">
        <v>0</v>
      </c>
      <c r="R8261" s="2" t="inlineStr"/>
    </row>
    <row r="8262" ht="15" customHeight="1">
      <c r="A8262" t="inlineStr">
        <is>
          <t>A 57775-2025</t>
        </is>
      </c>
      <c r="B8262" s="1" t="n">
        <v>45981.56496527778</v>
      </c>
      <c r="C8262" s="1" t="n">
        <v>46093</v>
      </c>
      <c r="D8262" t="inlineStr">
        <is>
          <t>VÄSTERNORRLANDS LÄN</t>
        </is>
      </c>
      <c r="E8262" t="inlineStr">
        <is>
          <t>TIMRÅ</t>
        </is>
      </c>
      <c r="G8262" t="n">
        <v>2</v>
      </c>
      <c r="H8262" t="n">
        <v>0</v>
      </c>
      <c r="I8262" t="n">
        <v>0</v>
      </c>
      <c r="J8262" t="n">
        <v>0</v>
      </c>
      <c r="K8262" t="n">
        <v>0</v>
      </c>
      <c r="L8262" t="n">
        <v>0</v>
      </c>
      <c r="M8262" t="n">
        <v>0</v>
      </c>
      <c r="N8262" t="n">
        <v>0</v>
      </c>
      <c r="O8262" t="n">
        <v>0</v>
      </c>
      <c r="P8262" t="n">
        <v>0</v>
      </c>
      <c r="Q8262" t="n">
        <v>0</v>
      </c>
      <c r="R8262" s="2" t="inlineStr"/>
    </row>
    <row r="8263" ht="15" customHeight="1">
      <c r="A8263" t="inlineStr">
        <is>
          <t>A 41710-2023</t>
        </is>
      </c>
      <c r="B8263" s="1" t="n">
        <v>45173</v>
      </c>
      <c r="C8263" s="1" t="n">
        <v>46093</v>
      </c>
      <c r="D8263" t="inlineStr">
        <is>
          <t>VÄSTERNORRLANDS LÄN</t>
        </is>
      </c>
      <c r="E8263" t="inlineStr">
        <is>
          <t>ÖRNSKÖLDSVIK</t>
        </is>
      </c>
      <c r="G8263" t="n">
        <v>6.1</v>
      </c>
      <c r="H8263" t="n">
        <v>0</v>
      </c>
      <c r="I8263" t="n">
        <v>0</v>
      </c>
      <c r="J8263" t="n">
        <v>0</v>
      </c>
      <c r="K8263" t="n">
        <v>0</v>
      </c>
      <c r="L8263" t="n">
        <v>0</v>
      </c>
      <c r="M8263" t="n">
        <v>0</v>
      </c>
      <c r="N8263" t="n">
        <v>0</v>
      </c>
      <c r="O8263" t="n">
        <v>0</v>
      </c>
      <c r="P8263" t="n">
        <v>0</v>
      </c>
      <c r="Q8263" t="n">
        <v>0</v>
      </c>
      <c r="R8263" s="2" t="inlineStr"/>
    </row>
    <row r="8264" ht="15" customHeight="1">
      <c r="A8264" t="inlineStr">
        <is>
          <t>A 57619-2025</t>
        </is>
      </c>
      <c r="B8264" s="1" t="n">
        <v>45981.34528935186</v>
      </c>
      <c r="C8264" s="1" t="n">
        <v>46093</v>
      </c>
      <c r="D8264" t="inlineStr">
        <is>
          <t>VÄSTERNORRLANDS LÄN</t>
        </is>
      </c>
      <c r="E8264" t="inlineStr">
        <is>
          <t>ÖRNSKÖLDSVIK</t>
        </is>
      </c>
      <c r="F8264" t="inlineStr">
        <is>
          <t>SCA</t>
        </is>
      </c>
      <c r="G8264" t="n">
        <v>0.6</v>
      </c>
      <c r="H8264" t="n">
        <v>0</v>
      </c>
      <c r="I8264" t="n">
        <v>0</v>
      </c>
      <c r="J8264" t="n">
        <v>0</v>
      </c>
      <c r="K8264" t="n">
        <v>0</v>
      </c>
      <c r="L8264" t="n">
        <v>0</v>
      </c>
      <c r="M8264" t="n">
        <v>0</v>
      </c>
      <c r="N8264" t="n">
        <v>0</v>
      </c>
      <c r="O8264" t="n">
        <v>0</v>
      </c>
      <c r="P8264" t="n">
        <v>0</v>
      </c>
      <c r="Q8264" t="n">
        <v>0</v>
      </c>
      <c r="R8264" s="2" t="inlineStr"/>
    </row>
    <row r="8265" ht="15" customHeight="1">
      <c r="A8265" t="inlineStr">
        <is>
          <t>A 41825-2022</t>
        </is>
      </c>
      <c r="B8265" s="1" t="n">
        <v>44827</v>
      </c>
      <c r="C8265" s="1" t="n">
        <v>46093</v>
      </c>
      <c r="D8265" t="inlineStr">
        <is>
          <t>VÄSTERNORRLANDS LÄN</t>
        </is>
      </c>
      <c r="E8265" t="inlineStr">
        <is>
          <t>ÅNGE</t>
        </is>
      </c>
      <c r="F8265" t="inlineStr">
        <is>
          <t>SCA</t>
        </is>
      </c>
      <c r="G8265" t="n">
        <v>3.3</v>
      </c>
      <c r="H8265" t="n">
        <v>0</v>
      </c>
      <c r="I8265" t="n">
        <v>0</v>
      </c>
      <c r="J8265" t="n">
        <v>0</v>
      </c>
      <c r="K8265" t="n">
        <v>0</v>
      </c>
      <c r="L8265" t="n">
        <v>0</v>
      </c>
      <c r="M8265" t="n">
        <v>0</v>
      </c>
      <c r="N8265" t="n">
        <v>0</v>
      </c>
      <c r="O8265" t="n">
        <v>0</v>
      </c>
      <c r="P8265" t="n">
        <v>0</v>
      </c>
      <c r="Q8265" t="n">
        <v>0</v>
      </c>
      <c r="R8265" s="2" t="inlineStr"/>
      <c r="U8265">
        <f>HYPERLINK("https://klasma.github.io/Logging_2260/knärot/A 41825-2022 karta knärot.png", "A 41825-2022")</f>
        <v/>
      </c>
      <c r="V8265">
        <f>HYPERLINK("https://klasma.github.io/Logging_2260/klagomål/A 41825-2022 FSC-klagomål.docx", "A 41825-2022")</f>
        <v/>
      </c>
      <c r="W8265">
        <f>HYPERLINK("https://klasma.github.io/Logging_2260/klagomålsmail/A 41825-2022 FSC-klagomål mail.docx", "A 41825-2022")</f>
        <v/>
      </c>
      <c r="X8265">
        <f>HYPERLINK("https://klasma.github.io/Logging_2260/tillsyn/A 41825-2022 tillsynsbegäran.docx", "A 41825-2022")</f>
        <v/>
      </c>
      <c r="Y8265">
        <f>HYPERLINK("https://klasma.github.io/Logging_2260/tillsynsmail/A 41825-2022 tillsynsbegäran mail.docx", "A 41825-2022")</f>
        <v/>
      </c>
    </row>
    <row r="8266" ht="15" customHeight="1">
      <c r="A8266" t="inlineStr">
        <is>
          <t>A 56863-2023</t>
        </is>
      </c>
      <c r="B8266" s="1" t="n">
        <v>45239</v>
      </c>
      <c r="C8266" s="1" t="n">
        <v>46093</v>
      </c>
      <c r="D8266" t="inlineStr">
        <is>
          <t>VÄSTERNORRLANDS LÄN</t>
        </is>
      </c>
      <c r="E8266" t="inlineStr">
        <is>
          <t>KRAMFORS</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22631-2024</t>
        </is>
      </c>
      <c r="B8267" s="1" t="n">
        <v>45447</v>
      </c>
      <c r="C8267" s="1" t="n">
        <v>46093</v>
      </c>
      <c r="D8267" t="inlineStr">
        <is>
          <t>VÄSTERNORRLANDS LÄN</t>
        </is>
      </c>
      <c r="E8267" t="inlineStr">
        <is>
          <t>ÖRNSKÖLDSVIK</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24277-2024</t>
        </is>
      </c>
      <c r="B8268" s="1" t="n">
        <v>45457.43934027778</v>
      </c>
      <c r="C8268" s="1" t="n">
        <v>46093</v>
      </c>
      <c r="D8268" t="inlineStr">
        <is>
          <t>VÄSTERNORRLANDS LÄN</t>
        </is>
      </c>
      <c r="E8268" t="inlineStr">
        <is>
          <t>ÖRNSKÖLDSVIK</t>
        </is>
      </c>
      <c r="G8268" t="n">
        <v>2.3</v>
      </c>
      <c r="H8268" t="n">
        <v>0</v>
      </c>
      <c r="I8268" t="n">
        <v>0</v>
      </c>
      <c r="J8268" t="n">
        <v>0</v>
      </c>
      <c r="K8268" t="n">
        <v>0</v>
      </c>
      <c r="L8268" t="n">
        <v>0</v>
      </c>
      <c r="M8268" t="n">
        <v>0</v>
      </c>
      <c r="N8268" t="n">
        <v>0</v>
      </c>
      <c r="O8268" t="n">
        <v>0</v>
      </c>
      <c r="P8268" t="n">
        <v>0</v>
      </c>
      <c r="Q8268" t="n">
        <v>0</v>
      </c>
      <c r="R8268" s="2" t="inlineStr"/>
    </row>
    <row r="8269" ht="15" customHeight="1">
      <c r="A8269" t="inlineStr">
        <is>
          <t>A 58512-2025</t>
        </is>
      </c>
      <c r="B8269" s="1" t="n">
        <v>45982</v>
      </c>
      <c r="C8269" s="1" t="n">
        <v>46093</v>
      </c>
      <c r="D8269" t="inlineStr">
        <is>
          <t>VÄSTERNORRLANDS LÄN</t>
        </is>
      </c>
      <c r="E8269" t="inlineStr">
        <is>
          <t>SOLLEFTEÅ</t>
        </is>
      </c>
      <c r="G8269" t="n">
        <v>3</v>
      </c>
      <c r="H8269" t="n">
        <v>0</v>
      </c>
      <c r="I8269" t="n">
        <v>0</v>
      </c>
      <c r="J8269" t="n">
        <v>0</v>
      </c>
      <c r="K8269" t="n">
        <v>0</v>
      </c>
      <c r="L8269" t="n">
        <v>0</v>
      </c>
      <c r="M8269" t="n">
        <v>0</v>
      </c>
      <c r="N8269" t="n">
        <v>0</v>
      </c>
      <c r="O8269" t="n">
        <v>0</v>
      </c>
      <c r="P8269" t="n">
        <v>0</v>
      </c>
      <c r="Q8269" t="n">
        <v>0</v>
      </c>
      <c r="R8269" s="2" t="inlineStr"/>
    </row>
    <row r="8270" ht="15" customHeight="1">
      <c r="A8270" t="inlineStr">
        <is>
          <t>A 57640-2025</t>
        </is>
      </c>
      <c r="B8270" s="1" t="n">
        <v>45981.36559027778</v>
      </c>
      <c r="C8270" s="1" t="n">
        <v>46093</v>
      </c>
      <c r="D8270" t="inlineStr">
        <is>
          <t>VÄSTERNORRLANDS LÄN</t>
        </is>
      </c>
      <c r="E8270" t="inlineStr">
        <is>
          <t>KRAMFORS</t>
        </is>
      </c>
      <c r="G8270" t="n">
        <v>0.9</v>
      </c>
      <c r="H8270" t="n">
        <v>0</v>
      </c>
      <c r="I8270" t="n">
        <v>0</v>
      </c>
      <c r="J8270" t="n">
        <v>0</v>
      </c>
      <c r="K8270" t="n">
        <v>0</v>
      </c>
      <c r="L8270" t="n">
        <v>0</v>
      </c>
      <c r="M8270" t="n">
        <v>0</v>
      </c>
      <c r="N8270" t="n">
        <v>0</v>
      </c>
      <c r="O8270" t="n">
        <v>0</v>
      </c>
      <c r="P8270" t="n">
        <v>0</v>
      </c>
      <c r="Q8270" t="n">
        <v>0</v>
      </c>
      <c r="R8270" s="2" t="inlineStr"/>
    </row>
    <row r="8271" ht="15" customHeight="1">
      <c r="A8271" t="inlineStr">
        <is>
          <t>A 18917-2023</t>
        </is>
      </c>
      <c r="B8271" s="1" t="n">
        <v>45044</v>
      </c>
      <c r="C8271" s="1" t="n">
        <v>46093</v>
      </c>
      <c r="D8271" t="inlineStr">
        <is>
          <t>VÄSTERNORRLANDS LÄN</t>
        </is>
      </c>
      <c r="E8271" t="inlineStr">
        <is>
          <t>KRAMFORS</t>
        </is>
      </c>
      <c r="G8271" t="n">
        <v>6.9</v>
      </c>
      <c r="H8271" t="n">
        <v>0</v>
      </c>
      <c r="I8271" t="n">
        <v>0</v>
      </c>
      <c r="J8271" t="n">
        <v>0</v>
      </c>
      <c r="K8271" t="n">
        <v>0</v>
      </c>
      <c r="L8271" t="n">
        <v>0</v>
      </c>
      <c r="M8271" t="n">
        <v>0</v>
      </c>
      <c r="N8271" t="n">
        <v>0</v>
      </c>
      <c r="O8271" t="n">
        <v>0</v>
      </c>
      <c r="P8271" t="n">
        <v>0</v>
      </c>
      <c r="Q8271" t="n">
        <v>0</v>
      </c>
      <c r="R8271" s="2" t="inlineStr"/>
    </row>
    <row r="8272" ht="15" customHeight="1">
      <c r="A8272" t="inlineStr">
        <is>
          <t>A 67448-2021</t>
        </is>
      </c>
      <c r="B8272" s="1" t="n">
        <v>44524</v>
      </c>
      <c r="C8272" s="1" t="n">
        <v>46093</v>
      </c>
      <c r="D8272" t="inlineStr">
        <is>
          <t>VÄSTERNORRLANDS LÄN</t>
        </is>
      </c>
      <c r="E8272" t="inlineStr">
        <is>
          <t>ÖRNSKÖLDSVIK</t>
        </is>
      </c>
      <c r="F8272" t="inlineStr">
        <is>
          <t>Holmen skog AB</t>
        </is>
      </c>
      <c r="G8272" t="n">
        <v>1.7</v>
      </c>
      <c r="H8272" t="n">
        <v>0</v>
      </c>
      <c r="I8272" t="n">
        <v>0</v>
      </c>
      <c r="J8272" t="n">
        <v>0</v>
      </c>
      <c r="K8272" t="n">
        <v>0</v>
      </c>
      <c r="L8272" t="n">
        <v>0</v>
      </c>
      <c r="M8272" t="n">
        <v>0</v>
      </c>
      <c r="N8272" t="n">
        <v>0</v>
      </c>
      <c r="O8272" t="n">
        <v>0</v>
      </c>
      <c r="P8272" t="n">
        <v>0</v>
      </c>
      <c r="Q8272" t="n">
        <v>0</v>
      </c>
      <c r="R8272" s="2" t="inlineStr"/>
    </row>
    <row r="8273" ht="15" customHeight="1">
      <c r="A8273" t="inlineStr">
        <is>
          <t>A 57696-2025</t>
        </is>
      </c>
      <c r="B8273" s="1" t="n">
        <v>45981.45594907407</v>
      </c>
      <c r="C8273" s="1" t="n">
        <v>46093</v>
      </c>
      <c r="D8273" t="inlineStr">
        <is>
          <t>VÄSTERNORRLANDS LÄN</t>
        </is>
      </c>
      <c r="E8273" t="inlineStr">
        <is>
          <t>KRAMFORS</t>
        </is>
      </c>
      <c r="G8273" t="n">
        <v>2.9</v>
      </c>
      <c r="H8273" t="n">
        <v>0</v>
      </c>
      <c r="I8273" t="n">
        <v>0</v>
      </c>
      <c r="J8273" t="n">
        <v>0</v>
      </c>
      <c r="K8273" t="n">
        <v>0</v>
      </c>
      <c r="L8273" t="n">
        <v>0</v>
      </c>
      <c r="M8273" t="n">
        <v>0</v>
      </c>
      <c r="N8273" t="n">
        <v>0</v>
      </c>
      <c r="O8273" t="n">
        <v>0</v>
      </c>
      <c r="P8273" t="n">
        <v>0</v>
      </c>
      <c r="Q8273" t="n">
        <v>0</v>
      </c>
      <c r="R8273" s="2" t="inlineStr"/>
    </row>
    <row r="8274" ht="15" customHeight="1">
      <c r="A8274" t="inlineStr">
        <is>
          <t>A 44490-2022</t>
        </is>
      </c>
      <c r="B8274" s="1" t="n">
        <v>44840</v>
      </c>
      <c r="C8274" s="1" t="n">
        <v>46093</v>
      </c>
      <c r="D8274" t="inlineStr">
        <is>
          <t>VÄSTERNORRLANDS LÄN</t>
        </is>
      </c>
      <c r="E8274" t="inlineStr">
        <is>
          <t>ÖRNSKÖLDSVIK</t>
        </is>
      </c>
      <c r="G8274" t="n">
        <v>3</v>
      </c>
      <c r="H8274" t="n">
        <v>0</v>
      </c>
      <c r="I8274" t="n">
        <v>0</v>
      </c>
      <c r="J8274" t="n">
        <v>0</v>
      </c>
      <c r="K8274" t="n">
        <v>0</v>
      </c>
      <c r="L8274" t="n">
        <v>0</v>
      </c>
      <c r="M8274" t="n">
        <v>0</v>
      </c>
      <c r="N8274" t="n">
        <v>0</v>
      </c>
      <c r="O8274" t="n">
        <v>0</v>
      </c>
      <c r="P8274" t="n">
        <v>0</v>
      </c>
      <c r="Q8274" t="n">
        <v>0</v>
      </c>
      <c r="R8274" s="2" t="inlineStr"/>
    </row>
    <row r="8275" ht="15" customHeight="1">
      <c r="A8275" t="inlineStr">
        <is>
          <t>A 58048-2025</t>
        </is>
      </c>
      <c r="B8275" s="1" t="n">
        <v>45982.5109837963</v>
      </c>
      <c r="C8275" s="1" t="n">
        <v>46093</v>
      </c>
      <c r="D8275" t="inlineStr">
        <is>
          <t>VÄSTERNORRLANDS LÄN</t>
        </is>
      </c>
      <c r="E8275" t="inlineStr">
        <is>
          <t>ÅNGE</t>
        </is>
      </c>
      <c r="F8275" t="inlineStr">
        <is>
          <t>SCA</t>
        </is>
      </c>
      <c r="G8275" t="n">
        <v>6.5</v>
      </c>
      <c r="H8275" t="n">
        <v>0</v>
      </c>
      <c r="I8275" t="n">
        <v>0</v>
      </c>
      <c r="J8275" t="n">
        <v>0</v>
      </c>
      <c r="K8275" t="n">
        <v>0</v>
      </c>
      <c r="L8275" t="n">
        <v>0</v>
      </c>
      <c r="M8275" t="n">
        <v>0</v>
      </c>
      <c r="N8275" t="n">
        <v>0</v>
      </c>
      <c r="O8275" t="n">
        <v>0</v>
      </c>
      <c r="P8275" t="n">
        <v>0</v>
      </c>
      <c r="Q8275" t="n">
        <v>0</v>
      </c>
      <c r="R8275" s="2" t="inlineStr"/>
    </row>
    <row r="8276" ht="15" customHeight="1">
      <c r="A8276" t="inlineStr">
        <is>
          <t>A 58126-2025</t>
        </is>
      </c>
      <c r="B8276" s="1" t="n">
        <v>45982.61518518518</v>
      </c>
      <c r="C8276" s="1" t="n">
        <v>46093</v>
      </c>
      <c r="D8276" t="inlineStr">
        <is>
          <t>VÄSTERNORRLANDS LÄN</t>
        </is>
      </c>
      <c r="E8276" t="inlineStr">
        <is>
          <t>SOLLEFTEÅ</t>
        </is>
      </c>
      <c r="F8276" t="inlineStr">
        <is>
          <t>SCA</t>
        </is>
      </c>
      <c r="G8276" t="n">
        <v>2.9</v>
      </c>
      <c r="H8276" t="n">
        <v>0</v>
      </c>
      <c r="I8276" t="n">
        <v>0</v>
      </c>
      <c r="J8276" t="n">
        <v>0</v>
      </c>
      <c r="K8276" t="n">
        <v>0</v>
      </c>
      <c r="L8276" t="n">
        <v>0</v>
      </c>
      <c r="M8276" t="n">
        <v>0</v>
      </c>
      <c r="N8276" t="n">
        <v>0</v>
      </c>
      <c r="O8276" t="n">
        <v>0</v>
      </c>
      <c r="P8276" t="n">
        <v>0</v>
      </c>
      <c r="Q8276" t="n">
        <v>0</v>
      </c>
      <c r="R8276" s="2" t="inlineStr"/>
    </row>
    <row r="8277" ht="15" customHeight="1">
      <c r="A8277" t="inlineStr">
        <is>
          <t>A 37524-2024</t>
        </is>
      </c>
      <c r="B8277" s="1" t="n">
        <v>45541.39768518518</v>
      </c>
      <c r="C8277" s="1" t="n">
        <v>46093</v>
      </c>
      <c r="D8277" t="inlineStr">
        <is>
          <t>VÄSTERNORRLANDS LÄN</t>
        </is>
      </c>
      <c r="E8277" t="inlineStr">
        <is>
          <t>ÖRNSKÖLDSVIK</t>
        </is>
      </c>
      <c r="F8277" t="inlineStr">
        <is>
          <t>Holmen skog AB</t>
        </is>
      </c>
      <c r="G8277" t="n">
        <v>2.4</v>
      </c>
      <c r="H8277" t="n">
        <v>0</v>
      </c>
      <c r="I8277" t="n">
        <v>0</v>
      </c>
      <c r="J8277" t="n">
        <v>0</v>
      </c>
      <c r="K8277" t="n">
        <v>0</v>
      </c>
      <c r="L8277" t="n">
        <v>0</v>
      </c>
      <c r="M8277" t="n">
        <v>0</v>
      </c>
      <c r="N8277" t="n">
        <v>0</v>
      </c>
      <c r="O8277" t="n">
        <v>0</v>
      </c>
      <c r="P8277" t="n">
        <v>0</v>
      </c>
      <c r="Q8277" t="n">
        <v>0</v>
      </c>
      <c r="R8277" s="2" t="inlineStr"/>
    </row>
    <row r="8278" ht="15" customHeight="1">
      <c r="A8278" t="inlineStr">
        <is>
          <t>A 19336-2025</t>
        </is>
      </c>
      <c r="B8278" s="1" t="n">
        <v>45769.58902777778</v>
      </c>
      <c r="C8278" s="1" t="n">
        <v>46093</v>
      </c>
      <c r="D8278" t="inlineStr">
        <is>
          <t>VÄSTERNORRLANDS LÄN</t>
        </is>
      </c>
      <c r="E8278" t="inlineStr">
        <is>
          <t>ÖRNSKÖLDSVIK</t>
        </is>
      </c>
      <c r="F8278" t="inlineStr">
        <is>
          <t>Holmen skog AB</t>
        </is>
      </c>
      <c r="G8278" t="n">
        <v>2.5</v>
      </c>
      <c r="H8278" t="n">
        <v>0</v>
      </c>
      <c r="I8278" t="n">
        <v>0</v>
      </c>
      <c r="J8278" t="n">
        <v>0</v>
      </c>
      <c r="K8278" t="n">
        <v>0</v>
      </c>
      <c r="L8278" t="n">
        <v>0</v>
      </c>
      <c r="M8278" t="n">
        <v>0</v>
      </c>
      <c r="N8278" t="n">
        <v>0</v>
      </c>
      <c r="O8278" t="n">
        <v>0</v>
      </c>
      <c r="P8278" t="n">
        <v>0</v>
      </c>
      <c r="Q8278" t="n">
        <v>0</v>
      </c>
      <c r="R8278" s="2" t="inlineStr"/>
    </row>
    <row r="8279" ht="15" customHeight="1">
      <c r="A8279" t="inlineStr">
        <is>
          <t>A 58037-2025</t>
        </is>
      </c>
      <c r="B8279" s="1" t="n">
        <v>45982.49216435185</v>
      </c>
      <c r="C8279" s="1" t="n">
        <v>46093</v>
      </c>
      <c r="D8279" t="inlineStr">
        <is>
          <t>VÄSTERNORRLANDS LÄN</t>
        </is>
      </c>
      <c r="E8279" t="inlineStr">
        <is>
          <t>ÖRNSKÖLDSVIK</t>
        </is>
      </c>
      <c r="F8279" t="inlineStr">
        <is>
          <t>Holmen skog AB</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57643-2025</t>
        </is>
      </c>
      <c r="B8280" s="1" t="n">
        <v>45981</v>
      </c>
      <c r="C8280" s="1" t="n">
        <v>46093</v>
      </c>
      <c r="D8280" t="inlineStr">
        <is>
          <t>VÄSTERNORRLANDS LÄN</t>
        </is>
      </c>
      <c r="E8280" t="inlineStr">
        <is>
          <t>KRAMFORS</t>
        </is>
      </c>
      <c r="G8280" t="n">
        <v>2.4</v>
      </c>
      <c r="H8280" t="n">
        <v>0</v>
      </c>
      <c r="I8280" t="n">
        <v>0</v>
      </c>
      <c r="J8280" t="n">
        <v>0</v>
      </c>
      <c r="K8280" t="n">
        <v>0</v>
      </c>
      <c r="L8280" t="n">
        <v>0</v>
      </c>
      <c r="M8280" t="n">
        <v>0</v>
      </c>
      <c r="N8280" t="n">
        <v>0</v>
      </c>
      <c r="O8280" t="n">
        <v>0</v>
      </c>
      <c r="P8280" t="n">
        <v>0</v>
      </c>
      <c r="Q8280" t="n">
        <v>0</v>
      </c>
      <c r="R8280" s="2" t="inlineStr"/>
    </row>
    <row r="8281" ht="15" customHeight="1">
      <c r="A8281" t="inlineStr">
        <is>
          <t>A 58030-2025</t>
        </is>
      </c>
      <c r="B8281" s="1" t="n">
        <v>45982.48627314815</v>
      </c>
      <c r="C8281" s="1" t="n">
        <v>46093</v>
      </c>
      <c r="D8281" t="inlineStr">
        <is>
          <t>VÄSTERNORRLANDS LÄN</t>
        </is>
      </c>
      <c r="E8281" t="inlineStr">
        <is>
          <t>SOLLEFTEÅ</t>
        </is>
      </c>
      <c r="G8281" t="n">
        <v>2.4</v>
      </c>
      <c r="H8281" t="n">
        <v>0</v>
      </c>
      <c r="I8281" t="n">
        <v>0</v>
      </c>
      <c r="J8281" t="n">
        <v>0</v>
      </c>
      <c r="K8281" t="n">
        <v>0</v>
      </c>
      <c r="L8281" t="n">
        <v>0</v>
      </c>
      <c r="M8281" t="n">
        <v>0</v>
      </c>
      <c r="N8281" t="n">
        <v>0</v>
      </c>
      <c r="O8281" t="n">
        <v>0</v>
      </c>
      <c r="P8281" t="n">
        <v>0</v>
      </c>
      <c r="Q8281" t="n">
        <v>0</v>
      </c>
      <c r="R8281" s="2" t="inlineStr"/>
    </row>
    <row r="8282" ht="15" customHeight="1">
      <c r="A8282" t="inlineStr">
        <is>
          <t>A 5108-2022</t>
        </is>
      </c>
      <c r="B8282" s="1" t="n">
        <v>44593.92135416667</v>
      </c>
      <c r="C8282" s="1" t="n">
        <v>46093</v>
      </c>
      <c r="D8282" t="inlineStr">
        <is>
          <t>VÄSTERNORRLANDS LÄN</t>
        </is>
      </c>
      <c r="E8282" t="inlineStr">
        <is>
          <t>SOLLEFTEÅ</t>
        </is>
      </c>
      <c r="G8282" t="n">
        <v>4.7</v>
      </c>
      <c r="H8282" t="n">
        <v>0</v>
      </c>
      <c r="I8282" t="n">
        <v>0</v>
      </c>
      <c r="J8282" t="n">
        <v>0</v>
      </c>
      <c r="K8282" t="n">
        <v>0</v>
      </c>
      <c r="L8282" t="n">
        <v>0</v>
      </c>
      <c r="M8282" t="n">
        <v>0</v>
      </c>
      <c r="N8282" t="n">
        <v>0</v>
      </c>
      <c r="O8282" t="n">
        <v>0</v>
      </c>
      <c r="P8282" t="n">
        <v>0</v>
      </c>
      <c r="Q8282" t="n">
        <v>0</v>
      </c>
      <c r="R8282" s="2" t="inlineStr"/>
    </row>
    <row r="8283" ht="15" customHeight="1">
      <c r="A8283" t="inlineStr">
        <is>
          <t>A 42958-2024</t>
        </is>
      </c>
      <c r="B8283" s="1" t="n">
        <v>45567.37131944444</v>
      </c>
      <c r="C8283" s="1" t="n">
        <v>46093</v>
      </c>
      <c r="D8283" t="inlineStr">
        <is>
          <t>VÄSTERNORRLANDS LÄN</t>
        </is>
      </c>
      <c r="E8283" t="inlineStr">
        <is>
          <t>ÅNGE</t>
        </is>
      </c>
      <c r="F8283" t="inlineStr">
        <is>
          <t>SCA</t>
        </is>
      </c>
      <c r="G8283" t="n">
        <v>0.4</v>
      </c>
      <c r="H8283" t="n">
        <v>0</v>
      </c>
      <c r="I8283" t="n">
        <v>0</v>
      </c>
      <c r="J8283" t="n">
        <v>0</v>
      </c>
      <c r="K8283" t="n">
        <v>0</v>
      </c>
      <c r="L8283" t="n">
        <v>0</v>
      </c>
      <c r="M8283" t="n">
        <v>0</v>
      </c>
      <c r="N8283" t="n">
        <v>0</v>
      </c>
      <c r="O8283" t="n">
        <v>0</v>
      </c>
      <c r="P8283" t="n">
        <v>0</v>
      </c>
      <c r="Q8283" t="n">
        <v>0</v>
      </c>
      <c r="R8283" s="2" t="inlineStr"/>
    </row>
    <row r="8284" ht="15" customHeight="1">
      <c r="A8284" t="inlineStr">
        <is>
          <t>A 25320-2023</t>
        </is>
      </c>
      <c r="B8284" s="1" t="n">
        <v>45086.93929398148</v>
      </c>
      <c r="C8284" s="1" t="n">
        <v>46093</v>
      </c>
      <c r="D8284" t="inlineStr">
        <is>
          <t>VÄSTERNORRLANDS LÄN</t>
        </is>
      </c>
      <c r="E8284" t="inlineStr">
        <is>
          <t>ÅNGE</t>
        </is>
      </c>
      <c r="F8284" t="inlineStr">
        <is>
          <t>SCA</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57782-2025</t>
        </is>
      </c>
      <c r="B8285" s="1" t="n">
        <v>45981.57255787037</v>
      </c>
      <c r="C8285" s="1" t="n">
        <v>46093</v>
      </c>
      <c r="D8285" t="inlineStr">
        <is>
          <t>VÄSTERNORRLANDS LÄN</t>
        </is>
      </c>
      <c r="E8285" t="inlineStr">
        <is>
          <t>TIMRÅ</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7061-2022</t>
        </is>
      </c>
      <c r="B8286" s="1" t="n">
        <v>44603</v>
      </c>
      <c r="C8286" s="1" t="n">
        <v>46093</v>
      </c>
      <c r="D8286" t="inlineStr">
        <is>
          <t>VÄSTERNORRLANDS LÄN</t>
        </is>
      </c>
      <c r="E8286" t="inlineStr">
        <is>
          <t>HÄRNÖSAND</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57784-2025</t>
        </is>
      </c>
      <c r="B8287" s="1" t="n">
        <v>45981.57376157407</v>
      </c>
      <c r="C8287" s="1" t="n">
        <v>46093</v>
      </c>
      <c r="D8287" t="inlineStr">
        <is>
          <t>VÄSTERNORRLANDS LÄN</t>
        </is>
      </c>
      <c r="E8287" t="inlineStr">
        <is>
          <t>SOLLEFTEÅ</t>
        </is>
      </c>
      <c r="F8287" t="inlineStr">
        <is>
          <t>SCA</t>
        </is>
      </c>
      <c r="G8287" t="n">
        <v>3.1</v>
      </c>
      <c r="H8287" t="n">
        <v>0</v>
      </c>
      <c r="I8287" t="n">
        <v>0</v>
      </c>
      <c r="J8287" t="n">
        <v>0</v>
      </c>
      <c r="K8287" t="n">
        <v>0</v>
      </c>
      <c r="L8287" t="n">
        <v>0</v>
      </c>
      <c r="M8287" t="n">
        <v>0</v>
      </c>
      <c r="N8287" t="n">
        <v>0</v>
      </c>
      <c r="O8287" t="n">
        <v>0</v>
      </c>
      <c r="P8287" t="n">
        <v>0</v>
      </c>
      <c r="Q8287" t="n">
        <v>0</v>
      </c>
      <c r="R8287" s="2" t="inlineStr"/>
    </row>
    <row r="8288" ht="15" customHeight="1">
      <c r="A8288" t="inlineStr">
        <is>
          <t>A 24487-2023</t>
        </is>
      </c>
      <c r="B8288" s="1" t="n">
        <v>45082.61065972222</v>
      </c>
      <c r="C8288" s="1" t="n">
        <v>46093</v>
      </c>
      <c r="D8288" t="inlineStr">
        <is>
          <t>VÄSTERNORRLANDS LÄN</t>
        </is>
      </c>
      <c r="E8288" t="inlineStr">
        <is>
          <t>ÖRNSKÖLDSVIK</t>
        </is>
      </c>
      <c r="F8288" t="inlineStr">
        <is>
          <t>Holmen skog AB</t>
        </is>
      </c>
      <c r="G8288" t="n">
        <v>2.6</v>
      </c>
      <c r="H8288" t="n">
        <v>0</v>
      </c>
      <c r="I8288" t="n">
        <v>0</v>
      </c>
      <c r="J8288" t="n">
        <v>0</v>
      </c>
      <c r="K8288" t="n">
        <v>0</v>
      </c>
      <c r="L8288" t="n">
        <v>0</v>
      </c>
      <c r="M8288" t="n">
        <v>0</v>
      </c>
      <c r="N8288" t="n">
        <v>0</v>
      </c>
      <c r="O8288" t="n">
        <v>0</v>
      </c>
      <c r="P8288" t="n">
        <v>0</v>
      </c>
      <c r="Q8288" t="n">
        <v>0</v>
      </c>
      <c r="R8288" s="2" t="inlineStr"/>
    </row>
    <row r="8289" ht="15" customHeight="1">
      <c r="A8289" t="inlineStr">
        <is>
          <t>A 24541-2023</t>
        </is>
      </c>
      <c r="B8289" s="1" t="n">
        <v>45082.94135416667</v>
      </c>
      <c r="C8289" s="1" t="n">
        <v>46093</v>
      </c>
      <c r="D8289" t="inlineStr">
        <is>
          <t>VÄSTERNORRLANDS LÄN</t>
        </is>
      </c>
      <c r="E8289" t="inlineStr">
        <is>
          <t>ÅNGE</t>
        </is>
      </c>
      <c r="F8289" t="inlineStr">
        <is>
          <t>SCA</t>
        </is>
      </c>
      <c r="G8289" t="n">
        <v>6.8</v>
      </c>
      <c r="H8289" t="n">
        <v>0</v>
      </c>
      <c r="I8289" t="n">
        <v>0</v>
      </c>
      <c r="J8289" t="n">
        <v>0</v>
      </c>
      <c r="K8289" t="n">
        <v>0</v>
      </c>
      <c r="L8289" t="n">
        <v>0</v>
      </c>
      <c r="M8289" t="n">
        <v>0</v>
      </c>
      <c r="N8289" t="n">
        <v>0</v>
      </c>
      <c r="O8289" t="n">
        <v>0</v>
      </c>
      <c r="P8289" t="n">
        <v>0</v>
      </c>
      <c r="Q8289" t="n">
        <v>0</v>
      </c>
      <c r="R8289" s="2" t="inlineStr"/>
    </row>
    <row r="8290" ht="15" customHeight="1">
      <c r="A8290" t="inlineStr">
        <is>
          <t>A 19828-2025</t>
        </is>
      </c>
      <c r="B8290" s="1" t="n">
        <v>45771.46931712963</v>
      </c>
      <c r="C8290" s="1" t="n">
        <v>46093</v>
      </c>
      <c r="D8290" t="inlineStr">
        <is>
          <t>VÄSTERNORRLANDS LÄN</t>
        </is>
      </c>
      <c r="E8290" t="inlineStr">
        <is>
          <t>SUNDSVALL</t>
        </is>
      </c>
      <c r="F8290" t="inlineStr">
        <is>
          <t>Naturvårdsverket</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19830-2025</t>
        </is>
      </c>
      <c r="B8291" s="1" t="n">
        <v>45771.46956018519</v>
      </c>
      <c r="C8291" s="1" t="n">
        <v>46093</v>
      </c>
      <c r="D8291" t="inlineStr">
        <is>
          <t>VÄSTERNORRLANDS LÄN</t>
        </is>
      </c>
      <c r="E8291" t="inlineStr">
        <is>
          <t>SUNDSVALL</t>
        </is>
      </c>
      <c r="F8291" t="inlineStr">
        <is>
          <t>Naturvårdsverket</t>
        </is>
      </c>
      <c r="G8291" t="n">
        <v>0.7</v>
      </c>
      <c r="H8291" t="n">
        <v>0</v>
      </c>
      <c r="I8291" t="n">
        <v>0</v>
      </c>
      <c r="J8291" t="n">
        <v>0</v>
      </c>
      <c r="K8291" t="n">
        <v>0</v>
      </c>
      <c r="L8291" t="n">
        <v>0</v>
      </c>
      <c r="M8291" t="n">
        <v>0</v>
      </c>
      <c r="N8291" t="n">
        <v>0</v>
      </c>
      <c r="O8291" t="n">
        <v>0</v>
      </c>
      <c r="P8291" t="n">
        <v>0</v>
      </c>
      <c r="Q8291" t="n">
        <v>0</v>
      </c>
      <c r="R8291" s="2" t="inlineStr"/>
    </row>
    <row r="8292" ht="15" customHeight="1">
      <c r="A8292" t="inlineStr">
        <is>
          <t>A 50213-2024</t>
        </is>
      </c>
      <c r="B8292" s="1" t="n">
        <v>45600.51435185185</v>
      </c>
      <c r="C8292" s="1" t="n">
        <v>46093</v>
      </c>
      <c r="D8292" t="inlineStr">
        <is>
          <t>VÄSTERNORRLANDS LÄN</t>
        </is>
      </c>
      <c r="E8292" t="inlineStr">
        <is>
          <t>SUNDSVALL</t>
        </is>
      </c>
      <c r="G8292" t="n">
        <v>2.9</v>
      </c>
      <c r="H8292" t="n">
        <v>0</v>
      </c>
      <c r="I8292" t="n">
        <v>0</v>
      </c>
      <c r="J8292" t="n">
        <v>0</v>
      </c>
      <c r="K8292" t="n">
        <v>0</v>
      </c>
      <c r="L8292" t="n">
        <v>0</v>
      </c>
      <c r="M8292" t="n">
        <v>0</v>
      </c>
      <c r="N8292" t="n">
        <v>0</v>
      </c>
      <c r="O8292" t="n">
        <v>0</v>
      </c>
      <c r="P8292" t="n">
        <v>0</v>
      </c>
      <c r="Q8292" t="n">
        <v>0</v>
      </c>
      <c r="R8292" s="2" t="inlineStr"/>
    </row>
    <row r="8293" ht="15" customHeight="1">
      <c r="A8293" t="inlineStr">
        <is>
          <t>A 58164-2025</t>
        </is>
      </c>
      <c r="B8293" s="1" t="n">
        <v>45982</v>
      </c>
      <c r="C8293" s="1" t="n">
        <v>46093</v>
      </c>
      <c r="D8293" t="inlineStr">
        <is>
          <t>VÄSTERNORRLANDS LÄN</t>
        </is>
      </c>
      <c r="E8293" t="inlineStr">
        <is>
          <t>SUNDSVALL</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50221-2024</t>
        </is>
      </c>
      <c r="B8294" s="1" t="n">
        <v>45600.53409722223</v>
      </c>
      <c r="C8294" s="1" t="n">
        <v>46093</v>
      </c>
      <c r="D8294" t="inlineStr">
        <is>
          <t>VÄSTERNORRLANDS LÄN</t>
        </is>
      </c>
      <c r="E8294" t="inlineStr">
        <is>
          <t>SUNDSVALL</t>
        </is>
      </c>
      <c r="G8294" t="n">
        <v>1.9</v>
      </c>
      <c r="H8294" t="n">
        <v>0</v>
      </c>
      <c r="I8294" t="n">
        <v>0</v>
      </c>
      <c r="J8294" t="n">
        <v>0</v>
      </c>
      <c r="K8294" t="n">
        <v>0</v>
      </c>
      <c r="L8294" t="n">
        <v>0</v>
      </c>
      <c r="M8294" t="n">
        <v>0</v>
      </c>
      <c r="N8294" t="n">
        <v>0</v>
      </c>
      <c r="O8294" t="n">
        <v>0</v>
      </c>
      <c r="P8294" t="n">
        <v>0</v>
      </c>
      <c r="Q8294" t="n">
        <v>0</v>
      </c>
      <c r="R8294" s="2" t="inlineStr"/>
    </row>
    <row r="8295" ht="15" customHeight="1">
      <c r="A8295" t="inlineStr">
        <is>
          <t>A 54314-2024</t>
        </is>
      </c>
      <c r="B8295" s="1" t="n">
        <v>45617.34430555555</v>
      </c>
      <c r="C8295" s="1" t="n">
        <v>46093</v>
      </c>
      <c r="D8295" t="inlineStr">
        <is>
          <t>VÄSTERNORRLANDS LÄN</t>
        </is>
      </c>
      <c r="E8295" t="inlineStr">
        <is>
          <t>SUNDSVALL</t>
        </is>
      </c>
      <c r="F8295" t="inlineStr">
        <is>
          <t>SCA</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57613-2025</t>
        </is>
      </c>
      <c r="B8296" s="1" t="n">
        <v>45981.3419212963</v>
      </c>
      <c r="C8296" s="1" t="n">
        <v>46093</v>
      </c>
      <c r="D8296" t="inlineStr">
        <is>
          <t>VÄSTERNORRLANDS LÄN</t>
        </is>
      </c>
      <c r="E8296" t="inlineStr">
        <is>
          <t>KRAMFORS</t>
        </is>
      </c>
      <c r="G8296" t="n">
        <v>3.4</v>
      </c>
      <c r="H8296" t="n">
        <v>0</v>
      </c>
      <c r="I8296" t="n">
        <v>0</v>
      </c>
      <c r="J8296" t="n">
        <v>0</v>
      </c>
      <c r="K8296" t="n">
        <v>0</v>
      </c>
      <c r="L8296" t="n">
        <v>0</v>
      </c>
      <c r="M8296" t="n">
        <v>0</v>
      </c>
      <c r="N8296" t="n">
        <v>0</v>
      </c>
      <c r="O8296" t="n">
        <v>0</v>
      </c>
      <c r="P8296" t="n">
        <v>0</v>
      </c>
      <c r="Q8296" t="n">
        <v>0</v>
      </c>
      <c r="R8296" s="2" t="inlineStr"/>
    </row>
    <row r="8297" ht="15" customHeight="1">
      <c r="A8297" t="inlineStr">
        <is>
          <t>A 56306-2024</t>
        </is>
      </c>
      <c r="B8297" s="1" t="n">
        <v>45624.69822916666</v>
      </c>
      <c r="C8297" s="1" t="n">
        <v>46093</v>
      </c>
      <c r="D8297" t="inlineStr">
        <is>
          <t>VÄSTERNORRLANDS LÄN</t>
        </is>
      </c>
      <c r="E8297" t="inlineStr">
        <is>
          <t>ÖRNSKÖLDSVIK</t>
        </is>
      </c>
      <c r="F8297" t="inlineStr">
        <is>
          <t>SCA</t>
        </is>
      </c>
      <c r="G8297" t="n">
        <v>3.7</v>
      </c>
      <c r="H8297" t="n">
        <v>0</v>
      </c>
      <c r="I8297" t="n">
        <v>0</v>
      </c>
      <c r="J8297" t="n">
        <v>0</v>
      </c>
      <c r="K8297" t="n">
        <v>0</v>
      </c>
      <c r="L8297" t="n">
        <v>0</v>
      </c>
      <c r="M8297" t="n">
        <v>0</v>
      </c>
      <c r="N8297" t="n">
        <v>0</v>
      </c>
      <c r="O8297" t="n">
        <v>0</v>
      </c>
      <c r="P8297" t="n">
        <v>0</v>
      </c>
      <c r="Q8297" t="n">
        <v>0</v>
      </c>
      <c r="R8297" s="2" t="inlineStr"/>
    </row>
    <row r="8298" ht="15" customHeight="1">
      <c r="A8298" t="inlineStr">
        <is>
          <t>A 51476-2024</t>
        </is>
      </c>
      <c r="B8298" s="1" t="n">
        <v>45604</v>
      </c>
      <c r="C8298" s="1" t="n">
        <v>46093</v>
      </c>
      <c r="D8298" t="inlineStr">
        <is>
          <t>VÄSTERNORRLANDS LÄN</t>
        </is>
      </c>
      <c r="E8298" t="inlineStr">
        <is>
          <t>SUNDSVALL</t>
        </is>
      </c>
      <c r="G8298" t="n">
        <v>4</v>
      </c>
      <c r="H8298" t="n">
        <v>0</v>
      </c>
      <c r="I8298" t="n">
        <v>0</v>
      </c>
      <c r="J8298" t="n">
        <v>0</v>
      </c>
      <c r="K8298" t="n">
        <v>0</v>
      </c>
      <c r="L8298" t="n">
        <v>0</v>
      </c>
      <c r="M8298" t="n">
        <v>0</v>
      </c>
      <c r="N8298" t="n">
        <v>0</v>
      </c>
      <c r="O8298" t="n">
        <v>0</v>
      </c>
      <c r="P8298" t="n">
        <v>0</v>
      </c>
      <c r="Q8298" t="n">
        <v>0</v>
      </c>
      <c r="R8298" s="2" t="inlineStr"/>
    </row>
    <row r="8299" ht="15" customHeight="1">
      <c r="A8299" t="inlineStr">
        <is>
          <t>A 47477-2024</t>
        </is>
      </c>
      <c r="B8299" s="1" t="n">
        <v>45587.57752314815</v>
      </c>
      <c r="C8299" s="1" t="n">
        <v>46093</v>
      </c>
      <c r="D8299" t="inlineStr">
        <is>
          <t>VÄSTERNORRLANDS LÄN</t>
        </is>
      </c>
      <c r="E8299" t="inlineStr">
        <is>
          <t>ÖRNSKÖLDSVIK</t>
        </is>
      </c>
      <c r="G8299" t="n">
        <v>2.4</v>
      </c>
      <c r="H8299" t="n">
        <v>0</v>
      </c>
      <c r="I8299" t="n">
        <v>0</v>
      </c>
      <c r="J8299" t="n">
        <v>0</v>
      </c>
      <c r="K8299" t="n">
        <v>0</v>
      </c>
      <c r="L8299" t="n">
        <v>0</v>
      </c>
      <c r="M8299" t="n">
        <v>0</v>
      </c>
      <c r="N8299" t="n">
        <v>0</v>
      </c>
      <c r="O8299" t="n">
        <v>0</v>
      </c>
      <c r="P8299" t="n">
        <v>0</v>
      </c>
      <c r="Q8299" t="n">
        <v>0</v>
      </c>
      <c r="R8299" s="2" t="inlineStr"/>
    </row>
    <row r="8300" ht="15" customHeight="1">
      <c r="A8300" t="inlineStr">
        <is>
          <t>A 57798-2025</t>
        </is>
      </c>
      <c r="B8300" s="1" t="n">
        <v>45981.58322916667</v>
      </c>
      <c r="C8300" s="1" t="n">
        <v>46093</v>
      </c>
      <c r="D8300" t="inlineStr">
        <is>
          <t>VÄSTERNORRLANDS LÄN</t>
        </is>
      </c>
      <c r="E8300" t="inlineStr">
        <is>
          <t>ÖRNSKÖLDSVIK</t>
        </is>
      </c>
      <c r="F8300" t="inlineStr">
        <is>
          <t>Holmen skog AB</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47702-2021</t>
        </is>
      </c>
      <c r="B8301" s="1" t="n">
        <v>44448</v>
      </c>
      <c r="C8301" s="1" t="n">
        <v>46093</v>
      </c>
      <c r="D8301" t="inlineStr">
        <is>
          <t>VÄSTERNORRLANDS LÄN</t>
        </is>
      </c>
      <c r="E8301" t="inlineStr">
        <is>
          <t>HÄRNÖSAND</t>
        </is>
      </c>
      <c r="G8301" t="n">
        <v>4.5</v>
      </c>
      <c r="H8301" t="n">
        <v>0</v>
      </c>
      <c r="I8301" t="n">
        <v>0</v>
      </c>
      <c r="J8301" t="n">
        <v>0</v>
      </c>
      <c r="K8301" t="n">
        <v>0</v>
      </c>
      <c r="L8301" t="n">
        <v>0</v>
      </c>
      <c r="M8301" t="n">
        <v>0</v>
      </c>
      <c r="N8301" t="n">
        <v>0</v>
      </c>
      <c r="O8301" t="n">
        <v>0</v>
      </c>
      <c r="P8301" t="n">
        <v>0</v>
      </c>
      <c r="Q8301" t="n">
        <v>0</v>
      </c>
      <c r="R8301" s="2" t="inlineStr"/>
    </row>
    <row r="8302" ht="15" customHeight="1">
      <c r="A8302" t="inlineStr">
        <is>
          <t>A 48605-2024</t>
        </is>
      </c>
      <c r="B8302" s="1" t="n">
        <v>45593.4483912037</v>
      </c>
      <c r="C8302" s="1" t="n">
        <v>46093</v>
      </c>
      <c r="D8302" t="inlineStr">
        <is>
          <t>VÄSTERNORRLANDS LÄN</t>
        </is>
      </c>
      <c r="E8302" t="inlineStr">
        <is>
          <t>ÖRNSKÖLDSVIK</t>
        </is>
      </c>
      <c r="F8302" t="inlineStr">
        <is>
          <t>Holmen skog AB</t>
        </is>
      </c>
      <c r="G8302" t="n">
        <v>3.5</v>
      </c>
      <c r="H8302" t="n">
        <v>0</v>
      </c>
      <c r="I8302" t="n">
        <v>0</v>
      </c>
      <c r="J8302" t="n">
        <v>0</v>
      </c>
      <c r="K8302" t="n">
        <v>0</v>
      </c>
      <c r="L8302" t="n">
        <v>0</v>
      </c>
      <c r="M8302" t="n">
        <v>0</v>
      </c>
      <c r="N8302" t="n">
        <v>0</v>
      </c>
      <c r="O8302" t="n">
        <v>0</v>
      </c>
      <c r="P8302" t="n">
        <v>0</v>
      </c>
      <c r="Q8302" t="n">
        <v>0</v>
      </c>
      <c r="R8302" s="2" t="inlineStr"/>
    </row>
    <row r="8303" ht="15" customHeight="1">
      <c r="A8303" t="inlineStr">
        <is>
          <t>A 13794-2025</t>
        </is>
      </c>
      <c r="B8303" s="1" t="n">
        <v>45737.46950231482</v>
      </c>
      <c r="C8303" s="1" t="n">
        <v>46093</v>
      </c>
      <c r="D8303" t="inlineStr">
        <is>
          <t>VÄSTERNORRLANDS LÄN</t>
        </is>
      </c>
      <c r="E8303" t="inlineStr">
        <is>
          <t>SUNDSVALL</t>
        </is>
      </c>
      <c r="F8303" t="inlineStr">
        <is>
          <t>Kommuner</t>
        </is>
      </c>
      <c r="G8303" t="n">
        <v>4</v>
      </c>
      <c r="H8303" t="n">
        <v>0</v>
      </c>
      <c r="I8303" t="n">
        <v>0</v>
      </c>
      <c r="J8303" t="n">
        <v>0</v>
      </c>
      <c r="K8303" t="n">
        <v>0</v>
      </c>
      <c r="L8303" t="n">
        <v>0</v>
      </c>
      <c r="M8303" t="n">
        <v>0</v>
      </c>
      <c r="N8303" t="n">
        <v>0</v>
      </c>
      <c r="O8303" t="n">
        <v>0</v>
      </c>
      <c r="P8303" t="n">
        <v>0</v>
      </c>
      <c r="Q8303" t="n">
        <v>0</v>
      </c>
      <c r="R8303" s="2" t="inlineStr"/>
    </row>
    <row r="8304" ht="15" customHeight="1">
      <c r="A8304" t="inlineStr">
        <is>
          <t>A 27622-2024</t>
        </is>
      </c>
      <c r="B8304" s="1" t="n">
        <v>45474</v>
      </c>
      <c r="C8304" s="1" t="n">
        <v>46093</v>
      </c>
      <c r="D8304" t="inlineStr">
        <is>
          <t>VÄSTERNORRLANDS LÄN</t>
        </is>
      </c>
      <c r="E8304" t="inlineStr">
        <is>
          <t>KRAMFORS</t>
        </is>
      </c>
      <c r="G8304" t="n">
        <v>4.5</v>
      </c>
      <c r="H8304" t="n">
        <v>0</v>
      </c>
      <c r="I8304" t="n">
        <v>0</v>
      </c>
      <c r="J8304" t="n">
        <v>0</v>
      </c>
      <c r="K8304" t="n">
        <v>0</v>
      </c>
      <c r="L8304" t="n">
        <v>0</v>
      </c>
      <c r="M8304" t="n">
        <v>0</v>
      </c>
      <c r="N8304" t="n">
        <v>0</v>
      </c>
      <c r="O8304" t="n">
        <v>0</v>
      </c>
      <c r="P8304" t="n">
        <v>0</v>
      </c>
      <c r="Q8304" t="n">
        <v>0</v>
      </c>
      <c r="R8304" s="2" t="inlineStr"/>
    </row>
    <row r="8305" ht="15" customHeight="1">
      <c r="A8305" t="inlineStr">
        <is>
          <t>A 58509-2025</t>
        </is>
      </c>
      <c r="B8305" s="1" t="n">
        <v>45982</v>
      </c>
      <c r="C8305" s="1" t="n">
        <v>46093</v>
      </c>
      <c r="D8305" t="inlineStr">
        <is>
          <t>VÄSTERNORRLANDS LÄN</t>
        </is>
      </c>
      <c r="E8305" t="inlineStr">
        <is>
          <t>SOLLEFTEÅ</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58510-2025</t>
        </is>
      </c>
      <c r="B8306" s="1" t="n">
        <v>45982</v>
      </c>
      <c r="C8306" s="1" t="n">
        <v>46093</v>
      </c>
      <c r="D8306" t="inlineStr">
        <is>
          <t>VÄSTERNORRLANDS LÄN</t>
        </is>
      </c>
      <c r="E8306" t="inlineStr">
        <is>
          <t>SOLLEFTEÅ</t>
        </is>
      </c>
      <c r="G8306" t="n">
        <v>2</v>
      </c>
      <c r="H8306" t="n">
        <v>0</v>
      </c>
      <c r="I8306" t="n">
        <v>0</v>
      </c>
      <c r="J8306" t="n">
        <v>0</v>
      </c>
      <c r="K8306" t="n">
        <v>0</v>
      </c>
      <c r="L8306" t="n">
        <v>0</v>
      </c>
      <c r="M8306" t="n">
        <v>0</v>
      </c>
      <c r="N8306" t="n">
        <v>0</v>
      </c>
      <c r="O8306" t="n">
        <v>0</v>
      </c>
      <c r="P8306" t="n">
        <v>0</v>
      </c>
      <c r="Q8306" t="n">
        <v>0</v>
      </c>
      <c r="R8306" s="2" t="inlineStr"/>
    </row>
    <row r="8307" ht="15" customHeight="1">
      <c r="A8307" t="inlineStr">
        <is>
          <t>A 15955-2025</t>
        </is>
      </c>
      <c r="B8307" s="1" t="n">
        <v>45749.5113425926</v>
      </c>
      <c r="C8307" s="1" t="n">
        <v>46093</v>
      </c>
      <c r="D8307" t="inlineStr">
        <is>
          <t>VÄSTERNORRLANDS LÄN</t>
        </is>
      </c>
      <c r="E8307" t="inlineStr">
        <is>
          <t>SOLLEFTEÅ</t>
        </is>
      </c>
      <c r="F8307" t="inlineStr">
        <is>
          <t>SCA</t>
        </is>
      </c>
      <c r="G8307" t="n">
        <v>3.1</v>
      </c>
      <c r="H8307" t="n">
        <v>0</v>
      </c>
      <c r="I8307" t="n">
        <v>0</v>
      </c>
      <c r="J8307" t="n">
        <v>0</v>
      </c>
      <c r="K8307" t="n">
        <v>0</v>
      </c>
      <c r="L8307" t="n">
        <v>0</v>
      </c>
      <c r="M8307" t="n">
        <v>0</v>
      </c>
      <c r="N8307" t="n">
        <v>0</v>
      </c>
      <c r="O8307" t="n">
        <v>0</v>
      </c>
      <c r="P8307" t="n">
        <v>0</v>
      </c>
      <c r="Q8307" t="n">
        <v>0</v>
      </c>
      <c r="R8307" s="2" t="inlineStr"/>
    </row>
    <row r="8308" ht="15" customHeight="1">
      <c r="A8308" t="inlineStr">
        <is>
          <t>A 18542-2022</t>
        </is>
      </c>
      <c r="B8308" s="1" t="n">
        <v>44686</v>
      </c>
      <c r="C8308" s="1" t="n">
        <v>46093</v>
      </c>
      <c r="D8308" t="inlineStr">
        <is>
          <t>VÄSTERNORRLANDS LÄN</t>
        </is>
      </c>
      <c r="E8308" t="inlineStr">
        <is>
          <t>ÅNGE</t>
        </is>
      </c>
      <c r="G8308" t="n">
        <v>0.2</v>
      </c>
      <c r="H8308" t="n">
        <v>0</v>
      </c>
      <c r="I8308" t="n">
        <v>0</v>
      </c>
      <c r="J8308" t="n">
        <v>0</v>
      </c>
      <c r="K8308" t="n">
        <v>0</v>
      </c>
      <c r="L8308" t="n">
        <v>0</v>
      </c>
      <c r="M8308" t="n">
        <v>0</v>
      </c>
      <c r="N8308" t="n">
        <v>0</v>
      </c>
      <c r="O8308" t="n">
        <v>0</v>
      </c>
      <c r="P8308" t="n">
        <v>0</v>
      </c>
      <c r="Q8308" t="n">
        <v>0</v>
      </c>
      <c r="R8308" s="2" t="inlineStr"/>
    </row>
    <row r="8309" ht="15" customHeight="1">
      <c r="A8309" t="inlineStr">
        <is>
          <t>A 19228-2023</t>
        </is>
      </c>
      <c r="B8309" s="1" t="n">
        <v>45048</v>
      </c>
      <c r="C8309" s="1" t="n">
        <v>46093</v>
      </c>
      <c r="D8309" t="inlineStr">
        <is>
          <t>VÄSTERNORRLANDS LÄN</t>
        </is>
      </c>
      <c r="E8309" t="inlineStr">
        <is>
          <t>SUNDSVALL</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44600-2024</t>
        </is>
      </c>
      <c r="B8310" s="1" t="n">
        <v>45574.51113425926</v>
      </c>
      <c r="C8310" s="1" t="n">
        <v>46093</v>
      </c>
      <c r="D8310" t="inlineStr">
        <is>
          <t>VÄSTERNORRLANDS LÄN</t>
        </is>
      </c>
      <c r="E8310" t="inlineStr">
        <is>
          <t>ÅNGE</t>
        </is>
      </c>
      <c r="F8310" t="inlineStr">
        <is>
          <t>SCA</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64617-2023</t>
        </is>
      </c>
      <c r="B8311" s="1" t="n">
        <v>45281</v>
      </c>
      <c r="C8311" s="1" t="n">
        <v>46093</v>
      </c>
      <c r="D8311" t="inlineStr">
        <is>
          <t>VÄSTERNORRLANDS LÄN</t>
        </is>
      </c>
      <c r="E8311" t="inlineStr">
        <is>
          <t>SOLLEFTEÅ</t>
        </is>
      </c>
      <c r="G8311" t="n">
        <v>2</v>
      </c>
      <c r="H8311" t="n">
        <v>0</v>
      </c>
      <c r="I8311" t="n">
        <v>0</v>
      </c>
      <c r="J8311" t="n">
        <v>0</v>
      </c>
      <c r="K8311" t="n">
        <v>0</v>
      </c>
      <c r="L8311" t="n">
        <v>0</v>
      </c>
      <c r="M8311" t="n">
        <v>0</v>
      </c>
      <c r="N8311" t="n">
        <v>0</v>
      </c>
      <c r="O8311" t="n">
        <v>0</v>
      </c>
      <c r="P8311" t="n">
        <v>0</v>
      </c>
      <c r="Q8311" t="n">
        <v>0</v>
      </c>
      <c r="R8311" s="2" t="inlineStr"/>
    </row>
    <row r="8312" ht="15" customHeight="1">
      <c r="A8312" t="inlineStr">
        <is>
          <t>A 18684-2023</t>
        </is>
      </c>
      <c r="B8312" s="1" t="n">
        <v>45042</v>
      </c>
      <c r="C8312" s="1" t="n">
        <v>46093</v>
      </c>
      <c r="D8312" t="inlineStr">
        <is>
          <t>VÄSTERNORRLANDS LÄN</t>
        </is>
      </c>
      <c r="E8312" t="inlineStr">
        <is>
          <t>TIMRÅ</t>
        </is>
      </c>
      <c r="G8312" t="n">
        <v>5.7</v>
      </c>
      <c r="H8312" t="n">
        <v>0</v>
      </c>
      <c r="I8312" t="n">
        <v>0</v>
      </c>
      <c r="J8312" t="n">
        <v>0</v>
      </c>
      <c r="K8312" t="n">
        <v>0</v>
      </c>
      <c r="L8312" t="n">
        <v>0</v>
      </c>
      <c r="M8312" t="n">
        <v>0</v>
      </c>
      <c r="N8312" t="n">
        <v>0</v>
      </c>
      <c r="O8312" t="n">
        <v>0</v>
      </c>
      <c r="P8312" t="n">
        <v>0</v>
      </c>
      <c r="Q8312" t="n">
        <v>0</v>
      </c>
      <c r="R8312" s="2" t="inlineStr"/>
    </row>
    <row r="8313" ht="15" customHeight="1">
      <c r="A8313" t="inlineStr">
        <is>
          <t>A 34861-2024</t>
        </is>
      </c>
      <c r="B8313" s="1" t="n">
        <v>45527.339375</v>
      </c>
      <c r="C8313" s="1" t="n">
        <v>46093</v>
      </c>
      <c r="D8313" t="inlineStr">
        <is>
          <t>VÄSTERNORRLANDS LÄN</t>
        </is>
      </c>
      <c r="E8313" t="inlineStr">
        <is>
          <t>ÅNGE</t>
        </is>
      </c>
      <c r="F8313" t="inlineStr">
        <is>
          <t>SCA</t>
        </is>
      </c>
      <c r="G8313" t="n">
        <v>9.1</v>
      </c>
      <c r="H8313" t="n">
        <v>0</v>
      </c>
      <c r="I8313" t="n">
        <v>0</v>
      </c>
      <c r="J8313" t="n">
        <v>0</v>
      </c>
      <c r="K8313" t="n">
        <v>0</v>
      </c>
      <c r="L8313" t="n">
        <v>0</v>
      </c>
      <c r="M8313" t="n">
        <v>0</v>
      </c>
      <c r="N8313" t="n">
        <v>0</v>
      </c>
      <c r="O8313" t="n">
        <v>0</v>
      </c>
      <c r="P8313" t="n">
        <v>0</v>
      </c>
      <c r="Q8313" t="n">
        <v>0</v>
      </c>
      <c r="R8313" s="2" t="inlineStr"/>
    </row>
    <row r="8314" ht="15" customHeight="1">
      <c r="A8314" t="inlineStr">
        <is>
          <t>A 51110-2021</t>
        </is>
      </c>
      <c r="B8314" s="1" t="n">
        <v>44461</v>
      </c>
      <c r="C8314" s="1" t="n">
        <v>46093</v>
      </c>
      <c r="D8314" t="inlineStr">
        <is>
          <t>VÄSTERNORRLANDS LÄN</t>
        </is>
      </c>
      <c r="E8314" t="inlineStr">
        <is>
          <t>ÖRNSKÖLDSVIK</t>
        </is>
      </c>
      <c r="G8314" t="n">
        <v>2.9</v>
      </c>
      <c r="H8314" t="n">
        <v>0</v>
      </c>
      <c r="I8314" t="n">
        <v>0</v>
      </c>
      <c r="J8314" t="n">
        <v>0</v>
      </c>
      <c r="K8314" t="n">
        <v>0</v>
      </c>
      <c r="L8314" t="n">
        <v>0</v>
      </c>
      <c r="M8314" t="n">
        <v>0</v>
      </c>
      <c r="N8314" t="n">
        <v>0</v>
      </c>
      <c r="O8314" t="n">
        <v>0</v>
      </c>
      <c r="P8314" t="n">
        <v>0</v>
      </c>
      <c r="Q8314" t="n">
        <v>0</v>
      </c>
      <c r="R8314" s="2" t="inlineStr"/>
    </row>
    <row r="8315" ht="15" customHeight="1">
      <c r="A8315" t="inlineStr">
        <is>
          <t>A 17601-2024</t>
        </is>
      </c>
      <c r="B8315" s="1" t="n">
        <v>45415</v>
      </c>
      <c r="C8315" s="1" t="n">
        <v>46093</v>
      </c>
      <c r="D8315" t="inlineStr">
        <is>
          <t>VÄSTERNORRLANDS LÄN</t>
        </is>
      </c>
      <c r="E8315" t="inlineStr">
        <is>
          <t>ÅNGE</t>
        </is>
      </c>
      <c r="F8315" t="inlineStr">
        <is>
          <t>SCA</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34917-2024</t>
        </is>
      </c>
      <c r="B8316" s="1" t="n">
        <v>45527.43394675926</v>
      </c>
      <c r="C8316" s="1" t="n">
        <v>46093</v>
      </c>
      <c r="D8316" t="inlineStr">
        <is>
          <t>VÄSTERNORRLANDS LÄN</t>
        </is>
      </c>
      <c r="E8316" t="inlineStr">
        <is>
          <t>ÖRNSKÖLDSVIK</t>
        </is>
      </c>
      <c r="G8316" t="n">
        <v>4.3</v>
      </c>
      <c r="H8316" t="n">
        <v>0</v>
      </c>
      <c r="I8316" t="n">
        <v>0</v>
      </c>
      <c r="J8316" t="n">
        <v>0</v>
      </c>
      <c r="K8316" t="n">
        <v>0</v>
      </c>
      <c r="L8316" t="n">
        <v>0</v>
      </c>
      <c r="M8316" t="n">
        <v>0</v>
      </c>
      <c r="N8316" t="n">
        <v>0</v>
      </c>
      <c r="O8316" t="n">
        <v>0</v>
      </c>
      <c r="P8316" t="n">
        <v>0</v>
      </c>
      <c r="Q8316" t="n">
        <v>0</v>
      </c>
      <c r="R8316" s="2" t="inlineStr"/>
    </row>
    <row r="8317" ht="15" customHeight="1">
      <c r="A8317" t="inlineStr">
        <is>
          <t>A 58151-2025</t>
        </is>
      </c>
      <c r="B8317" s="1" t="n">
        <v>45982.65255787037</v>
      </c>
      <c r="C8317" s="1" t="n">
        <v>46093</v>
      </c>
      <c r="D8317" t="inlineStr">
        <is>
          <t>VÄSTERNORRLANDS LÄN</t>
        </is>
      </c>
      <c r="E8317" t="inlineStr">
        <is>
          <t>SOLLEFTEÅ</t>
        </is>
      </c>
      <c r="G8317" t="n">
        <v>4.5</v>
      </c>
      <c r="H8317" t="n">
        <v>0</v>
      </c>
      <c r="I8317" t="n">
        <v>0</v>
      </c>
      <c r="J8317" t="n">
        <v>0</v>
      </c>
      <c r="K8317" t="n">
        <v>0</v>
      </c>
      <c r="L8317" t="n">
        <v>0</v>
      </c>
      <c r="M8317" t="n">
        <v>0</v>
      </c>
      <c r="N8317" t="n">
        <v>0</v>
      </c>
      <c r="O8317" t="n">
        <v>0</v>
      </c>
      <c r="P8317" t="n">
        <v>0</v>
      </c>
      <c r="Q8317" t="n">
        <v>0</v>
      </c>
      <c r="R8317" s="2" t="inlineStr"/>
    </row>
    <row r="8318" ht="15" customHeight="1">
      <c r="A8318" t="inlineStr">
        <is>
          <t>A 43195-2021</t>
        </is>
      </c>
      <c r="B8318" s="1" t="n">
        <v>44431</v>
      </c>
      <c r="C8318" s="1" t="n">
        <v>46093</v>
      </c>
      <c r="D8318" t="inlineStr">
        <is>
          <t>VÄSTERNORRLANDS LÄN</t>
        </is>
      </c>
      <c r="E8318" t="inlineStr">
        <is>
          <t>SUNDSVALL</t>
        </is>
      </c>
      <c r="G8318" t="n">
        <v>3.7</v>
      </c>
      <c r="H8318" t="n">
        <v>0</v>
      </c>
      <c r="I8318" t="n">
        <v>0</v>
      </c>
      <c r="J8318" t="n">
        <v>0</v>
      </c>
      <c r="K8318" t="n">
        <v>0</v>
      </c>
      <c r="L8318" t="n">
        <v>0</v>
      </c>
      <c r="M8318" t="n">
        <v>0</v>
      </c>
      <c r="N8318" t="n">
        <v>0</v>
      </c>
      <c r="O8318" t="n">
        <v>0</v>
      </c>
      <c r="P8318" t="n">
        <v>0</v>
      </c>
      <c r="Q8318" t="n">
        <v>0</v>
      </c>
      <c r="R8318" s="2" t="inlineStr"/>
    </row>
    <row r="8319" ht="15" customHeight="1">
      <c r="A8319" t="inlineStr">
        <is>
          <t>A 13733-2023</t>
        </is>
      </c>
      <c r="B8319" s="1" t="n">
        <v>45006</v>
      </c>
      <c r="C8319" s="1" t="n">
        <v>46093</v>
      </c>
      <c r="D8319" t="inlineStr">
        <is>
          <t>VÄSTERNORRLANDS LÄN</t>
        </is>
      </c>
      <c r="E8319" t="inlineStr">
        <is>
          <t>ÖRNSKÖLDSVIK</t>
        </is>
      </c>
      <c r="G8319" t="n">
        <v>3</v>
      </c>
      <c r="H8319" t="n">
        <v>0</v>
      </c>
      <c r="I8319" t="n">
        <v>0</v>
      </c>
      <c r="J8319" t="n">
        <v>0</v>
      </c>
      <c r="K8319" t="n">
        <v>0</v>
      </c>
      <c r="L8319" t="n">
        <v>0</v>
      </c>
      <c r="M8319" t="n">
        <v>0</v>
      </c>
      <c r="N8319" t="n">
        <v>0</v>
      </c>
      <c r="O8319" t="n">
        <v>0</v>
      </c>
      <c r="P8319" t="n">
        <v>0</v>
      </c>
      <c r="Q8319" t="n">
        <v>0</v>
      </c>
      <c r="R8319" s="2" t="inlineStr"/>
    </row>
    <row r="8320" ht="15" customHeight="1">
      <c r="A8320" t="inlineStr">
        <is>
          <t>A 58046-2025</t>
        </is>
      </c>
      <c r="B8320" s="1" t="n">
        <v>45982.50449074074</v>
      </c>
      <c r="C8320" s="1" t="n">
        <v>46093</v>
      </c>
      <c r="D8320" t="inlineStr">
        <is>
          <t>VÄSTERNORRLANDS LÄN</t>
        </is>
      </c>
      <c r="E8320" t="inlineStr">
        <is>
          <t>SOLLEFTEÅ</t>
        </is>
      </c>
      <c r="G8320" t="n">
        <v>2.4</v>
      </c>
      <c r="H8320" t="n">
        <v>0</v>
      </c>
      <c r="I8320" t="n">
        <v>0</v>
      </c>
      <c r="J8320" t="n">
        <v>0</v>
      </c>
      <c r="K8320" t="n">
        <v>0</v>
      </c>
      <c r="L8320" t="n">
        <v>0</v>
      </c>
      <c r="M8320" t="n">
        <v>0</v>
      </c>
      <c r="N8320" t="n">
        <v>0</v>
      </c>
      <c r="O8320" t="n">
        <v>0</v>
      </c>
      <c r="P8320" t="n">
        <v>0</v>
      </c>
      <c r="Q8320" t="n">
        <v>0</v>
      </c>
      <c r="R8320" s="2" t="inlineStr"/>
    </row>
    <row r="8321" ht="15" customHeight="1">
      <c r="A8321" t="inlineStr">
        <is>
          <t>A 17172-2024</t>
        </is>
      </c>
      <c r="B8321" s="1" t="n">
        <v>45412.97858796296</v>
      </c>
      <c r="C8321" s="1" t="n">
        <v>46093</v>
      </c>
      <c r="D8321" t="inlineStr">
        <is>
          <t>VÄSTERNORRLANDS LÄN</t>
        </is>
      </c>
      <c r="E8321" t="inlineStr">
        <is>
          <t>SOLLEFTEÅ</t>
        </is>
      </c>
      <c r="F8321" t="inlineStr">
        <is>
          <t>SCA</t>
        </is>
      </c>
      <c r="G8321" t="n">
        <v>1.7</v>
      </c>
      <c r="H8321" t="n">
        <v>0</v>
      </c>
      <c r="I8321" t="n">
        <v>0</v>
      </c>
      <c r="J8321" t="n">
        <v>0</v>
      </c>
      <c r="K8321" t="n">
        <v>0</v>
      </c>
      <c r="L8321" t="n">
        <v>0</v>
      </c>
      <c r="M8321" t="n">
        <v>0</v>
      </c>
      <c r="N8321" t="n">
        <v>0</v>
      </c>
      <c r="O8321" t="n">
        <v>0</v>
      </c>
      <c r="P8321" t="n">
        <v>0</v>
      </c>
      <c r="Q8321" t="n">
        <v>0</v>
      </c>
      <c r="R8321" s="2" t="inlineStr"/>
    </row>
    <row r="8322" ht="15" customHeight="1">
      <c r="A8322" t="inlineStr">
        <is>
          <t>A 57615-2025</t>
        </is>
      </c>
      <c r="B8322" s="1" t="n">
        <v>45981.34431712963</v>
      </c>
      <c r="C8322" s="1" t="n">
        <v>46093</v>
      </c>
      <c r="D8322" t="inlineStr">
        <is>
          <t>VÄSTERNORRLANDS LÄN</t>
        </is>
      </c>
      <c r="E8322" t="inlineStr">
        <is>
          <t>ÅNGE</t>
        </is>
      </c>
      <c r="G8322" t="n">
        <v>3.4</v>
      </c>
      <c r="H8322" t="n">
        <v>0</v>
      </c>
      <c r="I8322" t="n">
        <v>0</v>
      </c>
      <c r="J8322" t="n">
        <v>0</v>
      </c>
      <c r="K8322" t="n">
        <v>0</v>
      </c>
      <c r="L8322" t="n">
        <v>0</v>
      </c>
      <c r="M8322" t="n">
        <v>0</v>
      </c>
      <c r="N8322" t="n">
        <v>0</v>
      </c>
      <c r="O8322" t="n">
        <v>0</v>
      </c>
      <c r="P8322" t="n">
        <v>0</v>
      </c>
      <c r="Q8322" t="n">
        <v>0</v>
      </c>
      <c r="R8322" s="2" t="inlineStr"/>
    </row>
    <row r="8323" ht="15" customHeight="1">
      <c r="A8323" t="inlineStr">
        <is>
          <t>A 26013-2024</t>
        </is>
      </c>
      <c r="B8323" s="1" t="n">
        <v>45467</v>
      </c>
      <c r="C8323" s="1" t="n">
        <v>46093</v>
      </c>
      <c r="D8323" t="inlineStr">
        <is>
          <t>VÄSTERNORRLANDS LÄN</t>
        </is>
      </c>
      <c r="E8323" t="inlineStr">
        <is>
          <t>ÅNGE</t>
        </is>
      </c>
      <c r="F8323" t="inlineStr">
        <is>
          <t>SCA</t>
        </is>
      </c>
      <c r="G8323" t="n">
        <v>6.8</v>
      </c>
      <c r="H8323" t="n">
        <v>0</v>
      </c>
      <c r="I8323" t="n">
        <v>0</v>
      </c>
      <c r="J8323" t="n">
        <v>0</v>
      </c>
      <c r="K8323" t="n">
        <v>0</v>
      </c>
      <c r="L8323" t="n">
        <v>0</v>
      </c>
      <c r="M8323" t="n">
        <v>0</v>
      </c>
      <c r="N8323" t="n">
        <v>0</v>
      </c>
      <c r="O8323" t="n">
        <v>0</v>
      </c>
      <c r="P8323" t="n">
        <v>0</v>
      </c>
      <c r="Q8323" t="n">
        <v>0</v>
      </c>
      <c r="R8323" s="2" t="inlineStr"/>
    </row>
    <row r="8324" ht="15" customHeight="1">
      <c r="A8324" t="inlineStr">
        <is>
          <t>A 10523-2025</t>
        </is>
      </c>
      <c r="B8324" s="1" t="n">
        <v>45721.43300925926</v>
      </c>
      <c r="C8324" s="1" t="n">
        <v>46093</v>
      </c>
      <c r="D8324" t="inlineStr">
        <is>
          <t>VÄSTERNORRLANDS LÄN</t>
        </is>
      </c>
      <c r="E8324" t="inlineStr">
        <is>
          <t>ÖRNSKÖLDSVIK</t>
        </is>
      </c>
      <c r="G8324" t="n">
        <v>5.3</v>
      </c>
      <c r="H8324" t="n">
        <v>0</v>
      </c>
      <c r="I8324" t="n">
        <v>0</v>
      </c>
      <c r="J8324" t="n">
        <v>0</v>
      </c>
      <c r="K8324" t="n">
        <v>0</v>
      </c>
      <c r="L8324" t="n">
        <v>0</v>
      </c>
      <c r="M8324" t="n">
        <v>0</v>
      </c>
      <c r="N8324" t="n">
        <v>0</v>
      </c>
      <c r="O8324" t="n">
        <v>0</v>
      </c>
      <c r="P8324" t="n">
        <v>0</v>
      </c>
      <c r="Q8324" t="n">
        <v>0</v>
      </c>
      <c r="R8324" s="2" t="inlineStr"/>
    </row>
    <row r="8325" ht="15" customHeight="1">
      <c r="A8325" t="inlineStr">
        <is>
          <t>A 34563-2024</t>
        </is>
      </c>
      <c r="B8325" s="1" t="n">
        <v>45526.32954861111</v>
      </c>
      <c r="C8325" s="1" t="n">
        <v>46093</v>
      </c>
      <c r="D8325" t="inlineStr">
        <is>
          <t>VÄSTERNORRLANDS LÄN</t>
        </is>
      </c>
      <c r="E8325" t="inlineStr">
        <is>
          <t>ÖRNSKÖLDSVIK</t>
        </is>
      </c>
      <c r="F8325" t="inlineStr">
        <is>
          <t>Holmen skog AB</t>
        </is>
      </c>
      <c r="G8325" t="n">
        <v>3</v>
      </c>
      <c r="H8325" t="n">
        <v>0</v>
      </c>
      <c r="I8325" t="n">
        <v>0</v>
      </c>
      <c r="J8325" t="n">
        <v>0</v>
      </c>
      <c r="K8325" t="n">
        <v>0</v>
      </c>
      <c r="L8325" t="n">
        <v>0</v>
      </c>
      <c r="M8325" t="n">
        <v>0</v>
      </c>
      <c r="N8325" t="n">
        <v>0</v>
      </c>
      <c r="O8325" t="n">
        <v>0</v>
      </c>
      <c r="P8325" t="n">
        <v>0</v>
      </c>
      <c r="Q8325" t="n">
        <v>0</v>
      </c>
      <c r="R8325" s="2" t="inlineStr"/>
    </row>
    <row r="8326" ht="15" customHeight="1">
      <c r="A8326" t="inlineStr">
        <is>
          <t>A 25377-2024</t>
        </is>
      </c>
      <c r="B8326" s="1" t="n">
        <v>45462.96211805556</v>
      </c>
      <c r="C8326" s="1" t="n">
        <v>46093</v>
      </c>
      <c r="D8326" t="inlineStr">
        <is>
          <t>VÄSTERNORRLANDS LÄN</t>
        </is>
      </c>
      <c r="E8326" t="inlineStr">
        <is>
          <t>ÅNGE</t>
        </is>
      </c>
      <c r="F8326" t="inlineStr">
        <is>
          <t>SCA</t>
        </is>
      </c>
      <c r="G8326" t="n">
        <v>20.7</v>
      </c>
      <c r="H8326" t="n">
        <v>0</v>
      </c>
      <c r="I8326" t="n">
        <v>0</v>
      </c>
      <c r="J8326" t="n">
        <v>0</v>
      </c>
      <c r="K8326" t="n">
        <v>0</v>
      </c>
      <c r="L8326" t="n">
        <v>0</v>
      </c>
      <c r="M8326" t="n">
        <v>0</v>
      </c>
      <c r="N8326" t="n">
        <v>0</v>
      </c>
      <c r="O8326" t="n">
        <v>0</v>
      </c>
      <c r="P8326" t="n">
        <v>0</v>
      </c>
      <c r="Q8326" t="n">
        <v>0</v>
      </c>
      <c r="R8326" s="2" t="inlineStr"/>
    </row>
    <row r="8327" ht="15" customHeight="1">
      <c r="A8327" t="inlineStr">
        <is>
          <t>A 34607-2024</t>
        </is>
      </c>
      <c r="B8327" s="1" t="n">
        <v>45526</v>
      </c>
      <c r="C8327" s="1" t="n">
        <v>46093</v>
      </c>
      <c r="D8327" t="inlineStr">
        <is>
          <t>VÄSTERNORRLANDS LÄN</t>
        </is>
      </c>
      <c r="E8327" t="inlineStr">
        <is>
          <t>SUNDSVALL</t>
        </is>
      </c>
      <c r="G8327" t="n">
        <v>3</v>
      </c>
      <c r="H8327" t="n">
        <v>0</v>
      </c>
      <c r="I8327" t="n">
        <v>0</v>
      </c>
      <c r="J8327" t="n">
        <v>0</v>
      </c>
      <c r="K8327" t="n">
        <v>0</v>
      </c>
      <c r="L8327" t="n">
        <v>0</v>
      </c>
      <c r="M8327" t="n">
        <v>0</v>
      </c>
      <c r="N8327" t="n">
        <v>0</v>
      </c>
      <c r="O8327" t="n">
        <v>0</v>
      </c>
      <c r="P8327" t="n">
        <v>0</v>
      </c>
      <c r="Q8327" t="n">
        <v>0</v>
      </c>
      <c r="R8327" s="2" t="inlineStr"/>
    </row>
    <row r="8328" ht="15" customHeight="1">
      <c r="A8328" t="inlineStr">
        <is>
          <t>A 47511-2023</t>
        </is>
      </c>
      <c r="B8328" s="1" t="n">
        <v>45197</v>
      </c>
      <c r="C8328" s="1" t="n">
        <v>46093</v>
      </c>
      <c r="D8328" t="inlineStr">
        <is>
          <t>VÄSTERNORRLANDS LÄN</t>
        </is>
      </c>
      <c r="E8328" t="inlineStr">
        <is>
          <t>ÖRNSKÖLDSVIK</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47514-2023</t>
        </is>
      </c>
      <c r="B8329" s="1" t="n">
        <v>45197</v>
      </c>
      <c r="C8329" s="1" t="n">
        <v>46093</v>
      </c>
      <c r="D8329" t="inlineStr">
        <is>
          <t>VÄSTERNORRLANDS LÄN</t>
        </is>
      </c>
      <c r="E8329" t="inlineStr">
        <is>
          <t>ÖRNSKÖLDSVIK</t>
        </is>
      </c>
      <c r="G8329" t="n">
        <v>1</v>
      </c>
      <c r="H8329" t="n">
        <v>0</v>
      </c>
      <c r="I8329" t="n">
        <v>0</v>
      </c>
      <c r="J8329" t="n">
        <v>0</v>
      </c>
      <c r="K8329" t="n">
        <v>0</v>
      </c>
      <c r="L8329" t="n">
        <v>0</v>
      </c>
      <c r="M8329" t="n">
        <v>0</v>
      </c>
      <c r="N8329" t="n">
        <v>0</v>
      </c>
      <c r="O8329" t="n">
        <v>0</v>
      </c>
      <c r="P8329" t="n">
        <v>0</v>
      </c>
      <c r="Q8329" t="n">
        <v>0</v>
      </c>
      <c r="R8329" s="2" t="inlineStr"/>
    </row>
    <row r="8330" ht="15" customHeight="1">
      <c r="A8330" t="inlineStr">
        <is>
          <t>A 58124-2025</t>
        </is>
      </c>
      <c r="B8330" s="1" t="n">
        <v>45982.61363425926</v>
      </c>
      <c r="C8330" s="1" t="n">
        <v>46093</v>
      </c>
      <c r="D8330" t="inlineStr">
        <is>
          <t>VÄSTERNORRLANDS LÄN</t>
        </is>
      </c>
      <c r="E8330" t="inlineStr">
        <is>
          <t>ÖRNSKÖLDSVIK</t>
        </is>
      </c>
      <c r="F8330" t="inlineStr">
        <is>
          <t>Holmen skog AB</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57570-2025</t>
        </is>
      </c>
      <c r="B8331" s="1" t="n">
        <v>45980.78699074074</v>
      </c>
      <c r="C8331" s="1" t="n">
        <v>46093</v>
      </c>
      <c r="D8331" t="inlineStr">
        <is>
          <t>VÄSTERNORRLANDS LÄN</t>
        </is>
      </c>
      <c r="E8331" t="inlineStr">
        <is>
          <t>ÖRNSKÖLDSVIK</t>
        </is>
      </c>
      <c r="F8331" t="inlineStr">
        <is>
          <t>Holmen skog AB</t>
        </is>
      </c>
      <c r="G8331" t="n">
        <v>2.2</v>
      </c>
      <c r="H8331" t="n">
        <v>0</v>
      </c>
      <c r="I8331" t="n">
        <v>0</v>
      </c>
      <c r="J8331" t="n">
        <v>0</v>
      </c>
      <c r="K8331" t="n">
        <v>0</v>
      </c>
      <c r="L8331" t="n">
        <v>0</v>
      </c>
      <c r="M8331" t="n">
        <v>0</v>
      </c>
      <c r="N8331" t="n">
        <v>0</v>
      </c>
      <c r="O8331" t="n">
        <v>0</v>
      </c>
      <c r="P8331" t="n">
        <v>0</v>
      </c>
      <c r="Q8331" t="n">
        <v>0</v>
      </c>
      <c r="R8331" s="2" t="inlineStr"/>
    </row>
    <row r="8332" ht="15" customHeight="1">
      <c r="A8332" t="inlineStr">
        <is>
          <t>A 58032-2025</t>
        </is>
      </c>
      <c r="B8332" s="1" t="n">
        <v>45982.48753472222</v>
      </c>
      <c r="C8332" s="1" t="n">
        <v>46093</v>
      </c>
      <c r="D8332" t="inlineStr">
        <is>
          <t>VÄSTERNORRLANDS LÄN</t>
        </is>
      </c>
      <c r="E8332" t="inlineStr">
        <is>
          <t>SOLLEFTEÅ</t>
        </is>
      </c>
      <c r="G8332" t="n">
        <v>2.4</v>
      </c>
      <c r="H8332" t="n">
        <v>0</v>
      </c>
      <c r="I8332" t="n">
        <v>0</v>
      </c>
      <c r="J8332" t="n">
        <v>0</v>
      </c>
      <c r="K8332" t="n">
        <v>0</v>
      </c>
      <c r="L8332" t="n">
        <v>0</v>
      </c>
      <c r="M8332" t="n">
        <v>0</v>
      </c>
      <c r="N8332" t="n">
        <v>0</v>
      </c>
      <c r="O8332" t="n">
        <v>0</v>
      </c>
      <c r="P8332" t="n">
        <v>0</v>
      </c>
      <c r="Q8332" t="n">
        <v>0</v>
      </c>
      <c r="R8332" s="2" t="inlineStr"/>
    </row>
    <row r="8333" ht="15" customHeight="1">
      <c r="A8333" t="inlineStr">
        <is>
          <t>A 53371-2023</t>
        </is>
      </c>
      <c r="B8333" s="1" t="n">
        <v>45229</v>
      </c>
      <c r="C8333" s="1" t="n">
        <v>46093</v>
      </c>
      <c r="D8333" t="inlineStr">
        <is>
          <t>VÄSTERNORRLANDS LÄN</t>
        </is>
      </c>
      <c r="E8333" t="inlineStr">
        <is>
          <t>ÖRNSKÖLDSVIK</t>
        </is>
      </c>
      <c r="F8333" t="inlineStr">
        <is>
          <t>Holmen skog AB</t>
        </is>
      </c>
      <c r="G8333" t="n">
        <v>2.1</v>
      </c>
      <c r="H8333" t="n">
        <v>0</v>
      </c>
      <c r="I8333" t="n">
        <v>0</v>
      </c>
      <c r="J8333" t="n">
        <v>0</v>
      </c>
      <c r="K8333" t="n">
        <v>0</v>
      </c>
      <c r="L8333" t="n">
        <v>0</v>
      </c>
      <c r="M8333" t="n">
        <v>0</v>
      </c>
      <c r="N8333" t="n">
        <v>0</v>
      </c>
      <c r="O8333" t="n">
        <v>0</v>
      </c>
      <c r="P8333" t="n">
        <v>0</v>
      </c>
      <c r="Q8333" t="n">
        <v>0</v>
      </c>
      <c r="R8333" s="2" t="inlineStr"/>
    </row>
    <row r="8334" ht="15" customHeight="1">
      <c r="A8334" t="inlineStr">
        <is>
          <t>A 19055-2022</t>
        </is>
      </c>
      <c r="B8334" s="1" t="n">
        <v>44691.42189814815</v>
      </c>
      <c r="C8334" s="1" t="n">
        <v>46093</v>
      </c>
      <c r="D8334" t="inlineStr">
        <is>
          <t>VÄSTERNORRLANDS LÄN</t>
        </is>
      </c>
      <c r="E8334" t="inlineStr">
        <is>
          <t>SOLLEFTEÅ</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57991-2025</t>
        </is>
      </c>
      <c r="B8335" s="1" t="n">
        <v>45982.42438657407</v>
      </c>
      <c r="C8335" s="1" t="n">
        <v>46093</v>
      </c>
      <c r="D8335" t="inlineStr">
        <is>
          <t>VÄSTERNORRLANDS LÄN</t>
        </is>
      </c>
      <c r="E8335" t="inlineStr">
        <is>
          <t>ÅNGE</t>
        </is>
      </c>
      <c r="G8335" t="n">
        <v>3.2</v>
      </c>
      <c r="H8335" t="n">
        <v>0</v>
      </c>
      <c r="I8335" t="n">
        <v>0</v>
      </c>
      <c r="J8335" t="n">
        <v>0</v>
      </c>
      <c r="K8335" t="n">
        <v>0</v>
      </c>
      <c r="L8335" t="n">
        <v>0</v>
      </c>
      <c r="M8335" t="n">
        <v>0</v>
      </c>
      <c r="N8335" t="n">
        <v>0</v>
      </c>
      <c r="O8335" t="n">
        <v>0</v>
      </c>
      <c r="P8335" t="n">
        <v>0</v>
      </c>
      <c r="Q8335" t="n">
        <v>0</v>
      </c>
      <c r="R8335" s="2" t="inlineStr"/>
    </row>
    <row r="8336" ht="15" customHeight="1">
      <c r="A8336" t="inlineStr">
        <is>
          <t>A 57990-2025</t>
        </is>
      </c>
      <c r="B8336" s="1" t="n">
        <v>45982.4240625</v>
      </c>
      <c r="C8336" s="1" t="n">
        <v>46093</v>
      </c>
      <c r="D8336" t="inlineStr">
        <is>
          <t>VÄSTERNORRLANDS LÄN</t>
        </is>
      </c>
      <c r="E8336" t="inlineStr">
        <is>
          <t>SOLLEFTEÅ</t>
        </is>
      </c>
      <c r="G8336" t="n">
        <v>2.8</v>
      </c>
      <c r="H8336" t="n">
        <v>0</v>
      </c>
      <c r="I8336" t="n">
        <v>0</v>
      </c>
      <c r="J8336" t="n">
        <v>0</v>
      </c>
      <c r="K8336" t="n">
        <v>0</v>
      </c>
      <c r="L8336" t="n">
        <v>0</v>
      </c>
      <c r="M8336" t="n">
        <v>0</v>
      </c>
      <c r="N8336" t="n">
        <v>0</v>
      </c>
      <c r="O8336" t="n">
        <v>0</v>
      </c>
      <c r="P8336" t="n">
        <v>0</v>
      </c>
      <c r="Q8336" t="n">
        <v>0</v>
      </c>
      <c r="R8336" s="2" t="inlineStr"/>
    </row>
    <row r="8337" ht="15" customHeight="1">
      <c r="A8337" t="inlineStr">
        <is>
          <t>A 58530-2023</t>
        </is>
      </c>
      <c r="B8337" s="1" t="n">
        <v>45251.39074074074</v>
      </c>
      <c r="C8337" s="1" t="n">
        <v>46093</v>
      </c>
      <c r="D8337" t="inlineStr">
        <is>
          <t>VÄSTERNORRLANDS LÄN</t>
        </is>
      </c>
      <c r="E8337" t="inlineStr">
        <is>
          <t>ÖRNSKÖLDSVIK</t>
        </is>
      </c>
      <c r="G8337" t="n">
        <v>2</v>
      </c>
      <c r="H8337" t="n">
        <v>0</v>
      </c>
      <c r="I8337" t="n">
        <v>0</v>
      </c>
      <c r="J8337" t="n">
        <v>0</v>
      </c>
      <c r="K8337" t="n">
        <v>0</v>
      </c>
      <c r="L8337" t="n">
        <v>0</v>
      </c>
      <c r="M8337" t="n">
        <v>0</v>
      </c>
      <c r="N8337" t="n">
        <v>0</v>
      </c>
      <c r="O8337" t="n">
        <v>0</v>
      </c>
      <c r="P8337" t="n">
        <v>0</v>
      </c>
      <c r="Q8337" t="n">
        <v>0</v>
      </c>
      <c r="R8337" s="2" t="inlineStr"/>
    </row>
    <row r="8338" ht="15" customHeight="1">
      <c r="A8338" t="inlineStr">
        <is>
          <t>A 43906-2024</t>
        </is>
      </c>
      <c r="B8338" s="1" t="n">
        <v>45572.42702546297</v>
      </c>
      <c r="C8338" s="1" t="n">
        <v>46093</v>
      </c>
      <c r="D8338" t="inlineStr">
        <is>
          <t>VÄSTERNORRLANDS LÄN</t>
        </is>
      </c>
      <c r="E8338" t="inlineStr">
        <is>
          <t>ÖRNSKÖLDSVIK</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52119-2023</t>
        </is>
      </c>
      <c r="B8339" s="1" t="n">
        <v>45223</v>
      </c>
      <c r="C8339" s="1" t="n">
        <v>46093</v>
      </c>
      <c r="D8339" t="inlineStr">
        <is>
          <t>VÄSTERNORRLANDS LÄN</t>
        </is>
      </c>
      <c r="E8339" t="inlineStr">
        <is>
          <t>SUNDSVALL</t>
        </is>
      </c>
      <c r="F8339" t="inlineStr">
        <is>
          <t>SCA</t>
        </is>
      </c>
      <c r="G8339" t="n">
        <v>2.9</v>
      </c>
      <c r="H8339" t="n">
        <v>0</v>
      </c>
      <c r="I8339" t="n">
        <v>0</v>
      </c>
      <c r="J8339" t="n">
        <v>0</v>
      </c>
      <c r="K8339" t="n">
        <v>0</v>
      </c>
      <c r="L8339" t="n">
        <v>0</v>
      </c>
      <c r="M8339" t="n">
        <v>0</v>
      </c>
      <c r="N8339" t="n">
        <v>0</v>
      </c>
      <c r="O8339" t="n">
        <v>0</v>
      </c>
      <c r="P8339" t="n">
        <v>0</v>
      </c>
      <c r="Q8339" t="n">
        <v>0</v>
      </c>
      <c r="R8339" s="2" t="inlineStr"/>
    </row>
    <row r="8340" ht="15" customHeight="1">
      <c r="A8340" t="inlineStr">
        <is>
          <t>A 18618-2025</t>
        </is>
      </c>
      <c r="B8340" s="1" t="n">
        <v>45763.51076388889</v>
      </c>
      <c r="C8340" s="1" t="n">
        <v>46093</v>
      </c>
      <c r="D8340" t="inlineStr">
        <is>
          <t>VÄSTERNORRLANDS LÄN</t>
        </is>
      </c>
      <c r="E8340" t="inlineStr">
        <is>
          <t>KRAMFORS</t>
        </is>
      </c>
      <c r="F8340" t="inlineStr">
        <is>
          <t>SCA</t>
        </is>
      </c>
      <c r="G8340" t="n">
        <v>2.1</v>
      </c>
      <c r="H8340" t="n">
        <v>0</v>
      </c>
      <c r="I8340" t="n">
        <v>0</v>
      </c>
      <c r="J8340" t="n">
        <v>0</v>
      </c>
      <c r="K8340" t="n">
        <v>0</v>
      </c>
      <c r="L8340" t="n">
        <v>0</v>
      </c>
      <c r="M8340" t="n">
        <v>0</v>
      </c>
      <c r="N8340" t="n">
        <v>0</v>
      </c>
      <c r="O8340" t="n">
        <v>0</v>
      </c>
      <c r="P8340" t="n">
        <v>0</v>
      </c>
      <c r="Q8340" t="n">
        <v>0</v>
      </c>
      <c r="R8340" s="2" t="inlineStr"/>
    </row>
    <row r="8341" ht="15" customHeight="1">
      <c r="A8341" t="inlineStr">
        <is>
          <t>A 57950-2025</t>
        </is>
      </c>
      <c r="B8341" s="1" t="n">
        <v>45982.34473379629</v>
      </c>
      <c r="C8341" s="1" t="n">
        <v>46093</v>
      </c>
      <c r="D8341" t="inlineStr">
        <is>
          <t>VÄSTERNORRLANDS LÄN</t>
        </is>
      </c>
      <c r="E8341" t="inlineStr">
        <is>
          <t>ÅNGE</t>
        </is>
      </c>
      <c r="G8341" t="n">
        <v>0.8</v>
      </c>
      <c r="H8341" t="n">
        <v>0</v>
      </c>
      <c r="I8341" t="n">
        <v>0</v>
      </c>
      <c r="J8341" t="n">
        <v>0</v>
      </c>
      <c r="K8341" t="n">
        <v>0</v>
      </c>
      <c r="L8341" t="n">
        <v>0</v>
      </c>
      <c r="M8341" t="n">
        <v>0</v>
      </c>
      <c r="N8341" t="n">
        <v>0</v>
      </c>
      <c r="O8341" t="n">
        <v>0</v>
      </c>
      <c r="P8341" t="n">
        <v>0</v>
      </c>
      <c r="Q8341" t="n">
        <v>0</v>
      </c>
      <c r="R8341" s="2" t="inlineStr"/>
    </row>
    <row r="8342" ht="15" customHeight="1">
      <c r="A8342" t="inlineStr">
        <is>
          <t>A 57846-2022</t>
        </is>
      </c>
      <c r="B8342" s="1" t="n">
        <v>44897.95008101852</v>
      </c>
      <c r="C8342" s="1" t="n">
        <v>46093</v>
      </c>
      <c r="D8342" t="inlineStr">
        <is>
          <t>VÄSTERNORRLANDS LÄN</t>
        </is>
      </c>
      <c r="E8342" t="inlineStr">
        <is>
          <t>ÅNGE</t>
        </is>
      </c>
      <c r="F8342" t="inlineStr">
        <is>
          <t>SCA</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5038-2024</t>
        </is>
      </c>
      <c r="B8343" s="1" t="n">
        <v>45329.88456018519</v>
      </c>
      <c r="C8343" s="1" t="n">
        <v>46093</v>
      </c>
      <c r="D8343" t="inlineStr">
        <is>
          <t>VÄSTERNORRLANDS LÄN</t>
        </is>
      </c>
      <c r="E8343" t="inlineStr">
        <is>
          <t>SOLLEFTEÅ</t>
        </is>
      </c>
      <c r="F8343" t="inlineStr">
        <is>
          <t>Övriga Aktiebolag</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3614-2024</t>
        </is>
      </c>
      <c r="B8344" s="1" t="n">
        <v>45320.92836805555</v>
      </c>
      <c r="C8344" s="1" t="n">
        <v>46093</v>
      </c>
      <c r="D8344" t="inlineStr">
        <is>
          <t>VÄSTERNORRLANDS LÄN</t>
        </is>
      </c>
      <c r="E8344" t="inlineStr">
        <is>
          <t>KRAMFORS</t>
        </is>
      </c>
      <c r="G8344" t="n">
        <v>3.2</v>
      </c>
      <c r="H8344" t="n">
        <v>0</v>
      </c>
      <c r="I8344" t="n">
        <v>0</v>
      </c>
      <c r="J8344" t="n">
        <v>0</v>
      </c>
      <c r="K8344" t="n">
        <v>0</v>
      </c>
      <c r="L8344" t="n">
        <v>0</v>
      </c>
      <c r="M8344" t="n">
        <v>0</v>
      </c>
      <c r="N8344" t="n">
        <v>0</v>
      </c>
      <c r="O8344" t="n">
        <v>0</v>
      </c>
      <c r="P8344" t="n">
        <v>0</v>
      </c>
      <c r="Q8344" t="n">
        <v>0</v>
      </c>
      <c r="R8344" s="2" t="inlineStr"/>
    </row>
    <row r="8345" ht="15" customHeight="1">
      <c r="A8345" t="inlineStr">
        <is>
          <t>A 18978-2023</t>
        </is>
      </c>
      <c r="B8345" s="1" t="n">
        <v>45044</v>
      </c>
      <c r="C8345" s="1" t="n">
        <v>46093</v>
      </c>
      <c r="D8345" t="inlineStr">
        <is>
          <t>VÄSTERNORRLANDS LÄN</t>
        </is>
      </c>
      <c r="E8345" t="inlineStr">
        <is>
          <t>HÄRNÖSAND</t>
        </is>
      </c>
      <c r="F8345" t="inlineStr">
        <is>
          <t>SCA</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57941-2025</t>
        </is>
      </c>
      <c r="B8346" s="1" t="n">
        <v>45982.30282407408</v>
      </c>
      <c r="C8346" s="1" t="n">
        <v>46093</v>
      </c>
      <c r="D8346" t="inlineStr">
        <is>
          <t>VÄSTERNORRLANDS LÄN</t>
        </is>
      </c>
      <c r="E8346" t="inlineStr">
        <is>
          <t>ÖRNSKÖLDSVIK</t>
        </is>
      </c>
      <c r="F8346" t="inlineStr">
        <is>
          <t>Holmen skog AB</t>
        </is>
      </c>
      <c r="G8346" t="n">
        <v>2.8</v>
      </c>
      <c r="H8346" t="n">
        <v>0</v>
      </c>
      <c r="I8346" t="n">
        <v>0</v>
      </c>
      <c r="J8346" t="n">
        <v>0</v>
      </c>
      <c r="K8346" t="n">
        <v>0</v>
      </c>
      <c r="L8346" t="n">
        <v>0</v>
      </c>
      <c r="M8346" t="n">
        <v>0</v>
      </c>
      <c r="N8346" t="n">
        <v>0</v>
      </c>
      <c r="O8346" t="n">
        <v>0</v>
      </c>
      <c r="P8346" t="n">
        <v>0</v>
      </c>
      <c r="Q8346" t="n">
        <v>0</v>
      </c>
      <c r="R8346" s="2" t="inlineStr"/>
    </row>
    <row r="8347" ht="15" customHeight="1">
      <c r="A8347" t="inlineStr">
        <is>
          <t>A 57951-2025</t>
        </is>
      </c>
      <c r="B8347" s="1" t="n">
        <v>45982</v>
      </c>
      <c r="C8347" s="1" t="n">
        <v>46093</v>
      </c>
      <c r="D8347" t="inlineStr">
        <is>
          <t>VÄSTERNORRLANDS LÄN</t>
        </is>
      </c>
      <c r="E8347" t="inlineStr">
        <is>
          <t>ÖRNSKÖLDSVIK</t>
        </is>
      </c>
      <c r="G8347" t="n">
        <v>7.8</v>
      </c>
      <c r="H8347" t="n">
        <v>0</v>
      </c>
      <c r="I8347" t="n">
        <v>0</v>
      </c>
      <c r="J8347" t="n">
        <v>0</v>
      </c>
      <c r="K8347" t="n">
        <v>0</v>
      </c>
      <c r="L8347" t="n">
        <v>0</v>
      </c>
      <c r="M8347" t="n">
        <v>0</v>
      </c>
      <c r="N8347" t="n">
        <v>0</v>
      </c>
      <c r="O8347" t="n">
        <v>0</v>
      </c>
      <c r="P8347" t="n">
        <v>0</v>
      </c>
      <c r="Q8347" t="n">
        <v>0</v>
      </c>
      <c r="R8347" s="2" t="inlineStr"/>
    </row>
    <row r="8348" ht="15" customHeight="1">
      <c r="A8348" t="inlineStr">
        <is>
          <t>A 53278-2021</t>
        </is>
      </c>
      <c r="B8348" s="1" t="n">
        <v>44467</v>
      </c>
      <c r="C8348" s="1" t="n">
        <v>46093</v>
      </c>
      <c r="D8348" t="inlineStr">
        <is>
          <t>VÄSTERNORRLANDS LÄN</t>
        </is>
      </c>
      <c r="E8348" t="inlineStr">
        <is>
          <t>SOLLEFTEÅ</t>
        </is>
      </c>
      <c r="G8348" t="n">
        <v>1.3</v>
      </c>
      <c r="H8348" t="n">
        <v>0</v>
      </c>
      <c r="I8348" t="n">
        <v>0</v>
      </c>
      <c r="J8348" t="n">
        <v>0</v>
      </c>
      <c r="K8348" t="n">
        <v>0</v>
      </c>
      <c r="L8348" t="n">
        <v>0</v>
      </c>
      <c r="M8348" t="n">
        <v>0</v>
      </c>
      <c r="N8348" t="n">
        <v>0</v>
      </c>
      <c r="O8348" t="n">
        <v>0</v>
      </c>
      <c r="P8348" t="n">
        <v>0</v>
      </c>
      <c r="Q8348" t="n">
        <v>0</v>
      </c>
      <c r="R8348" s="2" t="inlineStr"/>
    </row>
    <row r="8349" ht="15" customHeight="1">
      <c r="A8349" t="inlineStr">
        <is>
          <t>A 57919-2025</t>
        </is>
      </c>
      <c r="B8349" s="1" t="n">
        <v>45981.80702546296</v>
      </c>
      <c r="C8349" s="1" t="n">
        <v>46093</v>
      </c>
      <c r="D8349" t="inlineStr">
        <is>
          <t>VÄSTERNORRLANDS LÄN</t>
        </is>
      </c>
      <c r="E8349" t="inlineStr">
        <is>
          <t>KRAMFORS</t>
        </is>
      </c>
      <c r="G8349" t="n">
        <v>4.3</v>
      </c>
      <c r="H8349" t="n">
        <v>0</v>
      </c>
      <c r="I8349" t="n">
        <v>0</v>
      </c>
      <c r="J8349" t="n">
        <v>0</v>
      </c>
      <c r="K8349" t="n">
        <v>0</v>
      </c>
      <c r="L8349" t="n">
        <v>0</v>
      </c>
      <c r="M8349" t="n">
        <v>0</v>
      </c>
      <c r="N8349" t="n">
        <v>0</v>
      </c>
      <c r="O8349" t="n">
        <v>0</v>
      </c>
      <c r="P8349" t="n">
        <v>0</v>
      </c>
      <c r="Q8349" t="n">
        <v>0</v>
      </c>
      <c r="R8349" s="2" t="inlineStr"/>
    </row>
    <row r="8350" ht="15" customHeight="1">
      <c r="A8350" t="inlineStr">
        <is>
          <t>A 57960-2025</t>
        </is>
      </c>
      <c r="B8350" s="1" t="n">
        <v>45982.36494212963</v>
      </c>
      <c r="C8350" s="1" t="n">
        <v>46093</v>
      </c>
      <c r="D8350" t="inlineStr">
        <is>
          <t>VÄSTERNORRLANDS LÄN</t>
        </is>
      </c>
      <c r="E8350" t="inlineStr">
        <is>
          <t>ÅNGE</t>
        </is>
      </c>
      <c r="F8350" t="inlineStr">
        <is>
          <t>SCA</t>
        </is>
      </c>
      <c r="G8350" t="n">
        <v>0.2</v>
      </c>
      <c r="H8350" t="n">
        <v>0</v>
      </c>
      <c r="I8350" t="n">
        <v>0</v>
      </c>
      <c r="J8350" t="n">
        <v>0</v>
      </c>
      <c r="K8350" t="n">
        <v>0</v>
      </c>
      <c r="L8350" t="n">
        <v>0</v>
      </c>
      <c r="M8350" t="n">
        <v>0</v>
      </c>
      <c r="N8350" t="n">
        <v>0</v>
      </c>
      <c r="O8350" t="n">
        <v>0</v>
      </c>
      <c r="P8350" t="n">
        <v>0</v>
      </c>
      <c r="Q8350" t="n">
        <v>0</v>
      </c>
      <c r="R8350" s="2" t="inlineStr"/>
    </row>
    <row r="8351" ht="15" customHeight="1">
      <c r="A8351" t="inlineStr">
        <is>
          <t>A 16564-2023</t>
        </is>
      </c>
      <c r="B8351" s="1" t="n">
        <v>45029.94174768519</v>
      </c>
      <c r="C8351" s="1" t="n">
        <v>46093</v>
      </c>
      <c r="D8351" t="inlineStr">
        <is>
          <t>VÄSTERNORRLANDS LÄN</t>
        </is>
      </c>
      <c r="E8351" t="inlineStr">
        <is>
          <t>SUNDSVALL</t>
        </is>
      </c>
      <c r="F8351" t="inlineStr">
        <is>
          <t>SCA</t>
        </is>
      </c>
      <c r="G8351" t="n">
        <v>1.6</v>
      </c>
      <c r="H8351" t="n">
        <v>0</v>
      </c>
      <c r="I8351" t="n">
        <v>0</v>
      </c>
      <c r="J8351" t="n">
        <v>0</v>
      </c>
      <c r="K8351" t="n">
        <v>0</v>
      </c>
      <c r="L8351" t="n">
        <v>0</v>
      </c>
      <c r="M8351" t="n">
        <v>0</v>
      </c>
      <c r="N8351" t="n">
        <v>0</v>
      </c>
      <c r="O8351" t="n">
        <v>0</v>
      </c>
      <c r="P8351" t="n">
        <v>0</v>
      </c>
      <c r="Q8351" t="n">
        <v>0</v>
      </c>
      <c r="R8351" s="2" t="inlineStr"/>
    </row>
    <row r="8352" ht="15" customHeight="1">
      <c r="A8352" t="inlineStr">
        <is>
          <t>A 34746-2024</t>
        </is>
      </c>
      <c r="B8352" s="1" t="n">
        <v>45526</v>
      </c>
      <c r="C8352" s="1" t="n">
        <v>46093</v>
      </c>
      <c r="D8352" t="inlineStr">
        <is>
          <t>VÄSTERNORRLANDS LÄN</t>
        </is>
      </c>
      <c r="E8352" t="inlineStr">
        <is>
          <t>ÖRNSKÖLDSVIK</t>
        </is>
      </c>
      <c r="F8352" t="inlineStr">
        <is>
          <t>Holmen skog AB</t>
        </is>
      </c>
      <c r="G8352" t="n">
        <v>3.2</v>
      </c>
      <c r="H8352" t="n">
        <v>0</v>
      </c>
      <c r="I8352" t="n">
        <v>0</v>
      </c>
      <c r="J8352" t="n">
        <v>0</v>
      </c>
      <c r="K8352" t="n">
        <v>0</v>
      </c>
      <c r="L8352" t="n">
        <v>0</v>
      </c>
      <c r="M8352" t="n">
        <v>0</v>
      </c>
      <c r="N8352" t="n">
        <v>0</v>
      </c>
      <c r="O8352" t="n">
        <v>0</v>
      </c>
      <c r="P8352" t="n">
        <v>0</v>
      </c>
      <c r="Q8352" t="n">
        <v>0</v>
      </c>
      <c r="R8352" s="2" t="inlineStr"/>
    </row>
    <row r="8353" ht="15" customHeight="1">
      <c r="A8353" t="inlineStr">
        <is>
          <t>A 1848-2024</t>
        </is>
      </c>
      <c r="B8353" s="1" t="n">
        <v>45307</v>
      </c>
      <c r="C8353" s="1" t="n">
        <v>46093</v>
      </c>
      <c r="D8353" t="inlineStr">
        <is>
          <t>VÄSTERNORRLANDS LÄN</t>
        </is>
      </c>
      <c r="E8353" t="inlineStr">
        <is>
          <t>SOLLEFTEÅ</t>
        </is>
      </c>
      <c r="G8353" t="n">
        <v>3.4</v>
      </c>
      <c r="H8353" t="n">
        <v>0</v>
      </c>
      <c r="I8353" t="n">
        <v>0</v>
      </c>
      <c r="J8353" t="n">
        <v>0</v>
      </c>
      <c r="K8353" t="n">
        <v>0</v>
      </c>
      <c r="L8353" t="n">
        <v>0</v>
      </c>
      <c r="M8353" t="n">
        <v>0</v>
      </c>
      <c r="N8353" t="n">
        <v>0</v>
      </c>
      <c r="O8353" t="n">
        <v>0</v>
      </c>
      <c r="P8353" t="n">
        <v>0</v>
      </c>
      <c r="Q8353" t="n">
        <v>0</v>
      </c>
      <c r="R8353" s="2" t="inlineStr"/>
    </row>
    <row r="8354" ht="15" customHeight="1">
      <c r="A8354" t="inlineStr">
        <is>
          <t>A 56956-2022</t>
        </is>
      </c>
      <c r="B8354" s="1" t="n">
        <v>44894</v>
      </c>
      <c r="C8354" s="1" t="n">
        <v>46093</v>
      </c>
      <c r="D8354" t="inlineStr">
        <is>
          <t>VÄSTERNORRLANDS LÄN</t>
        </is>
      </c>
      <c r="E8354" t="inlineStr">
        <is>
          <t>ÅNGE</t>
        </is>
      </c>
      <c r="G8354" t="n">
        <v>1.1</v>
      </c>
      <c r="H8354" t="n">
        <v>0</v>
      </c>
      <c r="I8354" t="n">
        <v>0</v>
      </c>
      <c r="J8354" t="n">
        <v>0</v>
      </c>
      <c r="K8354" t="n">
        <v>0</v>
      </c>
      <c r="L8354" t="n">
        <v>0</v>
      </c>
      <c r="M8354" t="n">
        <v>0</v>
      </c>
      <c r="N8354" t="n">
        <v>0</v>
      </c>
      <c r="O8354" t="n">
        <v>0</v>
      </c>
      <c r="P8354" t="n">
        <v>0</v>
      </c>
      <c r="Q8354" t="n">
        <v>0</v>
      </c>
      <c r="R8354" s="2" t="inlineStr"/>
    </row>
    <row r="8355" ht="15" customHeight="1">
      <c r="A8355" t="inlineStr">
        <is>
          <t>A 57974-2025</t>
        </is>
      </c>
      <c r="B8355" s="1" t="n">
        <v>45982.39275462963</v>
      </c>
      <c r="C8355" s="1" t="n">
        <v>46093</v>
      </c>
      <c r="D8355" t="inlineStr">
        <is>
          <t>VÄSTERNORRLANDS LÄN</t>
        </is>
      </c>
      <c r="E8355" t="inlineStr">
        <is>
          <t>TIMRÅ</t>
        </is>
      </c>
      <c r="G8355" t="n">
        <v>0.6</v>
      </c>
      <c r="H8355" t="n">
        <v>0</v>
      </c>
      <c r="I8355" t="n">
        <v>0</v>
      </c>
      <c r="J8355" t="n">
        <v>0</v>
      </c>
      <c r="K8355" t="n">
        <v>0</v>
      </c>
      <c r="L8355" t="n">
        <v>0</v>
      </c>
      <c r="M8355" t="n">
        <v>0</v>
      </c>
      <c r="N8355" t="n">
        <v>0</v>
      </c>
      <c r="O8355" t="n">
        <v>0</v>
      </c>
      <c r="P8355" t="n">
        <v>0</v>
      </c>
      <c r="Q8355" t="n">
        <v>0</v>
      </c>
      <c r="R8355" s="2" t="inlineStr"/>
    </row>
    <row r="8356" ht="15" customHeight="1">
      <c r="A8356" t="inlineStr">
        <is>
          <t>A 61095-2022</t>
        </is>
      </c>
      <c r="B8356" s="1" t="n">
        <v>44915.39849537037</v>
      </c>
      <c r="C8356" s="1" t="n">
        <v>46093</v>
      </c>
      <c r="D8356" t="inlineStr">
        <is>
          <t>VÄSTERNORRLANDS LÄN</t>
        </is>
      </c>
      <c r="E8356" t="inlineStr">
        <is>
          <t>ÖRNSKÖLDSVIK</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58034-2025</t>
        </is>
      </c>
      <c r="B8357" s="1" t="n">
        <v>45982.48967592593</v>
      </c>
      <c r="C8357" s="1" t="n">
        <v>46093</v>
      </c>
      <c r="D8357" t="inlineStr">
        <is>
          <t>VÄSTERNORRLANDS LÄN</t>
        </is>
      </c>
      <c r="E8357" t="inlineStr">
        <is>
          <t>SOLLEFTEÅ</t>
        </is>
      </c>
      <c r="G8357" t="n">
        <v>1.2</v>
      </c>
      <c r="H8357" t="n">
        <v>0</v>
      </c>
      <c r="I8357" t="n">
        <v>0</v>
      </c>
      <c r="J8357" t="n">
        <v>0</v>
      </c>
      <c r="K8357" t="n">
        <v>0</v>
      </c>
      <c r="L8357" t="n">
        <v>0</v>
      </c>
      <c r="M8357" t="n">
        <v>0</v>
      </c>
      <c r="N8357" t="n">
        <v>0</v>
      </c>
      <c r="O8357" t="n">
        <v>0</v>
      </c>
      <c r="P8357" t="n">
        <v>0</v>
      </c>
      <c r="Q8357" t="n">
        <v>0</v>
      </c>
      <c r="R8357" s="2" t="inlineStr"/>
    </row>
    <row r="8358" ht="15" customHeight="1">
      <c r="A8358" t="inlineStr">
        <is>
          <t>A 54599-2024</t>
        </is>
      </c>
      <c r="B8358" s="1" t="n">
        <v>45617.67974537037</v>
      </c>
      <c r="C8358" s="1" t="n">
        <v>46093</v>
      </c>
      <c r="D8358" t="inlineStr">
        <is>
          <t>VÄSTERNORRLANDS LÄN</t>
        </is>
      </c>
      <c r="E8358" t="inlineStr">
        <is>
          <t>ÖRNSKÖLDSVIK</t>
        </is>
      </c>
      <c r="F8358" t="inlineStr">
        <is>
          <t>Holmen skog AB</t>
        </is>
      </c>
      <c r="G8358" t="n">
        <v>5.8</v>
      </c>
      <c r="H8358" t="n">
        <v>0</v>
      </c>
      <c r="I8358" t="n">
        <v>0</v>
      </c>
      <c r="J8358" t="n">
        <v>0</v>
      </c>
      <c r="K8358" t="n">
        <v>0</v>
      </c>
      <c r="L8358" t="n">
        <v>0</v>
      </c>
      <c r="M8358" t="n">
        <v>0</v>
      </c>
      <c r="N8358" t="n">
        <v>0</v>
      </c>
      <c r="O8358" t="n">
        <v>0</v>
      </c>
      <c r="P8358" t="n">
        <v>0</v>
      </c>
      <c r="Q8358" t="n">
        <v>0</v>
      </c>
      <c r="R8358" s="2" t="inlineStr"/>
    </row>
    <row r="8359" ht="15" customHeight="1">
      <c r="A8359" t="inlineStr">
        <is>
          <t>A 54625-2024</t>
        </is>
      </c>
      <c r="B8359" s="1" t="n">
        <v>45617.80711805556</v>
      </c>
      <c r="C8359" s="1" t="n">
        <v>46093</v>
      </c>
      <c r="D8359" t="inlineStr">
        <is>
          <t>VÄSTERNORRLANDS LÄN</t>
        </is>
      </c>
      <c r="E8359" t="inlineStr">
        <is>
          <t>ÖRNSKÖLDSVIK</t>
        </is>
      </c>
      <c r="F8359" t="inlineStr">
        <is>
          <t>Holmen skog AB</t>
        </is>
      </c>
      <c r="G8359" t="n">
        <v>1.3</v>
      </c>
      <c r="H8359" t="n">
        <v>0</v>
      </c>
      <c r="I8359" t="n">
        <v>0</v>
      </c>
      <c r="J8359" t="n">
        <v>0</v>
      </c>
      <c r="K8359" t="n">
        <v>0</v>
      </c>
      <c r="L8359" t="n">
        <v>0</v>
      </c>
      <c r="M8359" t="n">
        <v>0</v>
      </c>
      <c r="N8359" t="n">
        <v>0</v>
      </c>
      <c r="O8359" t="n">
        <v>0</v>
      </c>
      <c r="P8359" t="n">
        <v>0</v>
      </c>
      <c r="Q8359" t="n">
        <v>0</v>
      </c>
      <c r="R8359" s="2" t="inlineStr"/>
    </row>
    <row r="8360" ht="15" customHeight="1">
      <c r="A8360" t="inlineStr">
        <is>
          <t>A 54677-2024</t>
        </is>
      </c>
      <c r="B8360" s="1" t="n">
        <v>45618.34629629629</v>
      </c>
      <c r="C8360" s="1" t="n">
        <v>46093</v>
      </c>
      <c r="D8360" t="inlineStr">
        <is>
          <t>VÄSTERNORRLANDS LÄN</t>
        </is>
      </c>
      <c r="E8360" t="inlineStr">
        <is>
          <t>ÖRNSKÖLDSVIK</t>
        </is>
      </c>
      <c r="F8360" t="inlineStr">
        <is>
          <t>Holmen skog AB</t>
        </is>
      </c>
      <c r="G8360" t="n">
        <v>2.6</v>
      </c>
      <c r="H8360" t="n">
        <v>0</v>
      </c>
      <c r="I8360" t="n">
        <v>0</v>
      </c>
      <c r="J8360" t="n">
        <v>0</v>
      </c>
      <c r="K8360" t="n">
        <v>0</v>
      </c>
      <c r="L8360" t="n">
        <v>0</v>
      </c>
      <c r="M8360" t="n">
        <v>0</v>
      </c>
      <c r="N8360" t="n">
        <v>0</v>
      </c>
      <c r="O8360" t="n">
        <v>0</v>
      </c>
      <c r="P8360" t="n">
        <v>0</v>
      </c>
      <c r="Q8360" t="n">
        <v>0</v>
      </c>
      <c r="R8360" s="2" t="inlineStr"/>
    </row>
    <row r="8361" ht="15" customHeight="1">
      <c r="A8361" t="inlineStr">
        <is>
          <t>A 786-2024</t>
        </is>
      </c>
      <c r="B8361" s="1" t="n">
        <v>45300</v>
      </c>
      <c r="C8361" s="1" t="n">
        <v>46093</v>
      </c>
      <c r="D8361" t="inlineStr">
        <is>
          <t>VÄSTERNORRLANDS LÄN</t>
        </is>
      </c>
      <c r="E8361" t="inlineStr">
        <is>
          <t>HÄRNÖSAND</t>
        </is>
      </c>
      <c r="G8361" t="n">
        <v>1.7</v>
      </c>
      <c r="H8361" t="n">
        <v>0</v>
      </c>
      <c r="I8361" t="n">
        <v>0</v>
      </c>
      <c r="J8361" t="n">
        <v>0</v>
      </c>
      <c r="K8361" t="n">
        <v>0</v>
      </c>
      <c r="L8361" t="n">
        <v>0</v>
      </c>
      <c r="M8361" t="n">
        <v>0</v>
      </c>
      <c r="N8361" t="n">
        <v>0</v>
      </c>
      <c r="O8361" t="n">
        <v>0</v>
      </c>
      <c r="P8361" t="n">
        <v>0</v>
      </c>
      <c r="Q8361" t="n">
        <v>0</v>
      </c>
      <c r="R8361" s="2" t="inlineStr"/>
    </row>
    <row r="8362" ht="15" customHeight="1">
      <c r="A8362" t="inlineStr">
        <is>
          <t>A 51249-2022</t>
        </is>
      </c>
      <c r="B8362" s="1" t="n">
        <v>44866</v>
      </c>
      <c r="C8362" s="1" t="n">
        <v>46093</v>
      </c>
      <c r="D8362" t="inlineStr">
        <is>
          <t>VÄSTERNORRLANDS LÄN</t>
        </is>
      </c>
      <c r="E8362" t="inlineStr">
        <is>
          <t>SOLLEFTEÅ</t>
        </is>
      </c>
      <c r="G8362" t="n">
        <v>1.8</v>
      </c>
      <c r="H8362" t="n">
        <v>0</v>
      </c>
      <c r="I8362" t="n">
        <v>0</v>
      </c>
      <c r="J8362" t="n">
        <v>0</v>
      </c>
      <c r="K8362" t="n">
        <v>0</v>
      </c>
      <c r="L8362" t="n">
        <v>0</v>
      </c>
      <c r="M8362" t="n">
        <v>0</v>
      </c>
      <c r="N8362" t="n">
        <v>0</v>
      </c>
      <c r="O8362" t="n">
        <v>0</v>
      </c>
      <c r="P8362" t="n">
        <v>0</v>
      </c>
      <c r="Q8362" t="n">
        <v>0</v>
      </c>
      <c r="R8362" s="2" t="inlineStr"/>
    </row>
    <row r="8363" ht="15" customHeight="1">
      <c r="A8363" t="inlineStr">
        <is>
          <t>A 802-2024</t>
        </is>
      </c>
      <c r="B8363" s="1" t="n">
        <v>45300</v>
      </c>
      <c r="C8363" s="1" t="n">
        <v>46093</v>
      </c>
      <c r="D8363" t="inlineStr">
        <is>
          <t>VÄSTERNORRLANDS LÄN</t>
        </is>
      </c>
      <c r="E8363" t="inlineStr">
        <is>
          <t>ÖRNSKÖLDSVIK</t>
        </is>
      </c>
      <c r="G8363" t="n">
        <v>1.8</v>
      </c>
      <c r="H8363" t="n">
        <v>0</v>
      </c>
      <c r="I8363" t="n">
        <v>0</v>
      </c>
      <c r="J8363" t="n">
        <v>0</v>
      </c>
      <c r="K8363" t="n">
        <v>0</v>
      </c>
      <c r="L8363" t="n">
        <v>0</v>
      </c>
      <c r="M8363" t="n">
        <v>0</v>
      </c>
      <c r="N8363" t="n">
        <v>0</v>
      </c>
      <c r="O8363" t="n">
        <v>0</v>
      </c>
      <c r="P8363" t="n">
        <v>0</v>
      </c>
      <c r="Q8363" t="n">
        <v>0</v>
      </c>
      <c r="R8363" s="2" t="inlineStr"/>
    </row>
    <row r="8364" ht="15" customHeight="1">
      <c r="A8364" t="inlineStr">
        <is>
          <t>A 51754-2021</t>
        </is>
      </c>
      <c r="B8364" s="1" t="n">
        <v>44462</v>
      </c>
      <c r="C8364" s="1" t="n">
        <v>46093</v>
      </c>
      <c r="D8364" t="inlineStr">
        <is>
          <t>VÄSTERNORRLANDS LÄN</t>
        </is>
      </c>
      <c r="E8364" t="inlineStr">
        <is>
          <t>ÖRNSKÖLDSVIK</t>
        </is>
      </c>
      <c r="G8364" t="n">
        <v>1.3</v>
      </c>
      <c r="H8364" t="n">
        <v>0</v>
      </c>
      <c r="I8364" t="n">
        <v>0</v>
      </c>
      <c r="J8364" t="n">
        <v>0</v>
      </c>
      <c r="K8364" t="n">
        <v>0</v>
      </c>
      <c r="L8364" t="n">
        <v>0</v>
      </c>
      <c r="M8364" t="n">
        <v>0</v>
      </c>
      <c r="N8364" t="n">
        <v>0</v>
      </c>
      <c r="O8364" t="n">
        <v>0</v>
      </c>
      <c r="P8364" t="n">
        <v>0</v>
      </c>
      <c r="Q8364" t="n">
        <v>0</v>
      </c>
      <c r="R8364" s="2" t="inlineStr"/>
    </row>
    <row r="8365" ht="15" customHeight="1">
      <c r="A8365" t="inlineStr">
        <is>
          <t>A 58750-2025</t>
        </is>
      </c>
      <c r="B8365" s="1" t="n">
        <v>45986.64064814815</v>
      </c>
      <c r="C8365" s="1" t="n">
        <v>46093</v>
      </c>
      <c r="D8365" t="inlineStr">
        <is>
          <t>VÄSTERNORRLANDS LÄN</t>
        </is>
      </c>
      <c r="E8365" t="inlineStr">
        <is>
          <t>ÅNGE</t>
        </is>
      </c>
      <c r="G8365" t="n">
        <v>2</v>
      </c>
      <c r="H8365" t="n">
        <v>0</v>
      </c>
      <c r="I8365" t="n">
        <v>0</v>
      </c>
      <c r="J8365" t="n">
        <v>0</v>
      </c>
      <c r="K8365" t="n">
        <v>0</v>
      </c>
      <c r="L8365" t="n">
        <v>0</v>
      </c>
      <c r="M8365" t="n">
        <v>0</v>
      </c>
      <c r="N8365" t="n">
        <v>0</v>
      </c>
      <c r="O8365" t="n">
        <v>0</v>
      </c>
      <c r="P8365" t="n">
        <v>0</v>
      </c>
      <c r="Q8365" t="n">
        <v>0</v>
      </c>
      <c r="R8365" s="2" t="inlineStr"/>
    </row>
    <row r="8366" ht="15" customHeight="1">
      <c r="A8366" t="inlineStr">
        <is>
          <t>A 43194-2021</t>
        </is>
      </c>
      <c r="B8366" s="1" t="n">
        <v>44431</v>
      </c>
      <c r="C8366" s="1" t="n">
        <v>46093</v>
      </c>
      <c r="D8366" t="inlineStr">
        <is>
          <t>VÄSTERNORRLANDS LÄN</t>
        </is>
      </c>
      <c r="E8366" t="inlineStr">
        <is>
          <t>SUNDSVALL</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49379-2023</t>
        </is>
      </c>
      <c r="B8367" s="1" t="n">
        <v>45211.37773148148</v>
      </c>
      <c r="C8367" s="1" t="n">
        <v>46093</v>
      </c>
      <c r="D8367" t="inlineStr">
        <is>
          <t>VÄSTERNORRLANDS LÄN</t>
        </is>
      </c>
      <c r="E8367" t="inlineStr">
        <is>
          <t>ÖRNSKÖLDSVIK</t>
        </is>
      </c>
      <c r="F8367" t="inlineStr">
        <is>
          <t>Holmen skog AB</t>
        </is>
      </c>
      <c r="G8367" t="n">
        <v>0.5</v>
      </c>
      <c r="H8367" t="n">
        <v>0</v>
      </c>
      <c r="I8367" t="n">
        <v>0</v>
      </c>
      <c r="J8367" t="n">
        <v>0</v>
      </c>
      <c r="K8367" t="n">
        <v>0</v>
      </c>
      <c r="L8367" t="n">
        <v>0</v>
      </c>
      <c r="M8367" t="n">
        <v>0</v>
      </c>
      <c r="N8367" t="n">
        <v>0</v>
      </c>
      <c r="O8367" t="n">
        <v>0</v>
      </c>
      <c r="P8367" t="n">
        <v>0</v>
      </c>
      <c r="Q8367" t="n">
        <v>0</v>
      </c>
      <c r="R8367" s="2" t="inlineStr"/>
    </row>
    <row r="8368" ht="15" customHeight="1">
      <c r="A8368" t="inlineStr">
        <is>
          <t>A 59084-2022</t>
        </is>
      </c>
      <c r="B8368" s="1" t="n">
        <v>44897</v>
      </c>
      <c r="C8368" s="1" t="n">
        <v>46093</v>
      </c>
      <c r="D8368" t="inlineStr">
        <is>
          <t>VÄSTERNORRLANDS LÄN</t>
        </is>
      </c>
      <c r="E8368" t="inlineStr">
        <is>
          <t>KRAMFORS</t>
        </is>
      </c>
      <c r="G8368" t="n">
        <v>1.7</v>
      </c>
      <c r="H8368" t="n">
        <v>0</v>
      </c>
      <c r="I8368" t="n">
        <v>0</v>
      </c>
      <c r="J8368" t="n">
        <v>0</v>
      </c>
      <c r="K8368" t="n">
        <v>0</v>
      </c>
      <c r="L8368" t="n">
        <v>0</v>
      </c>
      <c r="M8368" t="n">
        <v>0</v>
      </c>
      <c r="N8368" t="n">
        <v>0</v>
      </c>
      <c r="O8368" t="n">
        <v>0</v>
      </c>
      <c r="P8368" t="n">
        <v>0</v>
      </c>
      <c r="Q8368" t="n">
        <v>0</v>
      </c>
      <c r="R8368" s="2" t="inlineStr"/>
    </row>
    <row r="8369" ht="15" customHeight="1">
      <c r="A8369" t="inlineStr">
        <is>
          <t>A 58552-2025</t>
        </is>
      </c>
      <c r="B8369" s="1" t="n">
        <v>45986.33105324074</v>
      </c>
      <c r="C8369" s="1" t="n">
        <v>46093</v>
      </c>
      <c r="D8369" t="inlineStr">
        <is>
          <t>VÄSTERNORRLANDS LÄN</t>
        </is>
      </c>
      <c r="E8369" t="inlineStr">
        <is>
          <t>SUNDSVALL</t>
        </is>
      </c>
      <c r="G8369" t="n">
        <v>1.6</v>
      </c>
      <c r="H8369" t="n">
        <v>0</v>
      </c>
      <c r="I8369" t="n">
        <v>0</v>
      </c>
      <c r="J8369" t="n">
        <v>0</v>
      </c>
      <c r="K8369" t="n">
        <v>0</v>
      </c>
      <c r="L8369" t="n">
        <v>0</v>
      </c>
      <c r="M8369" t="n">
        <v>0</v>
      </c>
      <c r="N8369" t="n">
        <v>0</v>
      </c>
      <c r="O8369" t="n">
        <v>0</v>
      </c>
      <c r="P8369" t="n">
        <v>0</v>
      </c>
      <c r="Q8369" t="n">
        <v>0</v>
      </c>
      <c r="R8369" s="2" t="inlineStr"/>
    </row>
    <row r="8370" ht="15" customHeight="1">
      <c r="A8370" t="inlineStr">
        <is>
          <t>A 34281-2022</t>
        </is>
      </c>
      <c r="B8370" s="1" t="n">
        <v>44791</v>
      </c>
      <c r="C8370" s="1" t="n">
        <v>46093</v>
      </c>
      <c r="D8370" t="inlineStr">
        <is>
          <t>VÄSTERNORRLANDS LÄN</t>
        </is>
      </c>
      <c r="E8370" t="inlineStr">
        <is>
          <t>SOLLEFTEÅ</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34309-2022</t>
        </is>
      </c>
      <c r="B8371" s="1" t="n">
        <v>44792</v>
      </c>
      <c r="C8371" s="1" t="n">
        <v>46093</v>
      </c>
      <c r="D8371" t="inlineStr">
        <is>
          <t>VÄSTERNORRLANDS LÄN</t>
        </is>
      </c>
      <c r="E8371" t="inlineStr">
        <is>
          <t>ÖRNSKÖLDSVIK</t>
        </is>
      </c>
      <c r="F8371" t="inlineStr">
        <is>
          <t>Holmen skog AB</t>
        </is>
      </c>
      <c r="G8371" t="n">
        <v>4.9</v>
      </c>
      <c r="H8371" t="n">
        <v>0</v>
      </c>
      <c r="I8371" t="n">
        <v>0</v>
      </c>
      <c r="J8371" t="n">
        <v>0</v>
      </c>
      <c r="K8371" t="n">
        <v>0</v>
      </c>
      <c r="L8371" t="n">
        <v>0</v>
      </c>
      <c r="M8371" t="n">
        <v>0</v>
      </c>
      <c r="N8371" t="n">
        <v>0</v>
      </c>
      <c r="O8371" t="n">
        <v>0</v>
      </c>
      <c r="P8371" t="n">
        <v>0</v>
      </c>
      <c r="Q8371" t="n">
        <v>0</v>
      </c>
      <c r="R8371" s="2" t="inlineStr"/>
    </row>
    <row r="8372" ht="15" customHeight="1">
      <c r="A8372" t="inlineStr">
        <is>
          <t>A 61324-2023</t>
        </is>
      </c>
      <c r="B8372" s="1" t="n">
        <v>45261</v>
      </c>
      <c r="C8372" s="1" t="n">
        <v>46093</v>
      </c>
      <c r="D8372" t="inlineStr">
        <is>
          <t>VÄSTERNORRLANDS LÄN</t>
        </is>
      </c>
      <c r="E8372" t="inlineStr">
        <is>
          <t>ÖRNSKÖLDSVIK</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58429-2025</t>
        </is>
      </c>
      <c r="B8373" s="1" t="n">
        <v>45985.60277777778</v>
      </c>
      <c r="C8373" s="1" t="n">
        <v>46093</v>
      </c>
      <c r="D8373" t="inlineStr">
        <is>
          <t>VÄSTERNORRLANDS LÄN</t>
        </is>
      </c>
      <c r="E8373" t="inlineStr">
        <is>
          <t>SUNDSVALL</t>
        </is>
      </c>
      <c r="F8373" t="inlineStr">
        <is>
          <t>Kommuner</t>
        </is>
      </c>
      <c r="G8373" t="n">
        <v>0.5</v>
      </c>
      <c r="H8373" t="n">
        <v>0</v>
      </c>
      <c r="I8373" t="n">
        <v>0</v>
      </c>
      <c r="J8373" t="n">
        <v>0</v>
      </c>
      <c r="K8373" t="n">
        <v>0</v>
      </c>
      <c r="L8373" t="n">
        <v>0</v>
      </c>
      <c r="M8373" t="n">
        <v>0</v>
      </c>
      <c r="N8373" t="n">
        <v>0</v>
      </c>
      <c r="O8373" t="n">
        <v>0</v>
      </c>
      <c r="P8373" t="n">
        <v>0</v>
      </c>
      <c r="Q8373" t="n">
        <v>0</v>
      </c>
      <c r="R8373" s="2" t="inlineStr"/>
    </row>
    <row r="8374" ht="15" customHeight="1">
      <c r="A8374" t="inlineStr">
        <is>
          <t>A 68934-2021</t>
        </is>
      </c>
      <c r="B8374" s="1" t="n">
        <v>44529</v>
      </c>
      <c r="C8374" s="1" t="n">
        <v>46093</v>
      </c>
      <c r="D8374" t="inlineStr">
        <is>
          <t>VÄSTERNORRLANDS LÄN</t>
        </is>
      </c>
      <c r="E8374" t="inlineStr">
        <is>
          <t>ÖRNSKÖLDSVIK</t>
        </is>
      </c>
      <c r="G8374" t="n">
        <v>7.2</v>
      </c>
      <c r="H8374" t="n">
        <v>0</v>
      </c>
      <c r="I8374" t="n">
        <v>0</v>
      </c>
      <c r="J8374" t="n">
        <v>0</v>
      </c>
      <c r="K8374" t="n">
        <v>0</v>
      </c>
      <c r="L8374" t="n">
        <v>0</v>
      </c>
      <c r="M8374" t="n">
        <v>0</v>
      </c>
      <c r="N8374" t="n">
        <v>0</v>
      </c>
      <c r="O8374" t="n">
        <v>0</v>
      </c>
      <c r="P8374" t="n">
        <v>0</v>
      </c>
      <c r="Q8374" t="n">
        <v>0</v>
      </c>
      <c r="R8374" s="2" t="inlineStr"/>
    </row>
    <row r="8375" ht="15" customHeight="1">
      <c r="A8375" t="inlineStr">
        <is>
          <t>A 58505-2025</t>
        </is>
      </c>
      <c r="B8375" s="1" t="n">
        <v>45985.69831018519</v>
      </c>
      <c r="C8375" s="1" t="n">
        <v>46093</v>
      </c>
      <c r="D8375" t="inlineStr">
        <is>
          <t>VÄSTERNORRLANDS LÄN</t>
        </is>
      </c>
      <c r="E8375" t="inlineStr">
        <is>
          <t>SOLLEFTEÅ</t>
        </is>
      </c>
      <c r="F8375" t="inlineStr">
        <is>
          <t>SCA</t>
        </is>
      </c>
      <c r="G8375" t="n">
        <v>4.8</v>
      </c>
      <c r="H8375" t="n">
        <v>0</v>
      </c>
      <c r="I8375" t="n">
        <v>0</v>
      </c>
      <c r="J8375" t="n">
        <v>0</v>
      </c>
      <c r="K8375" t="n">
        <v>0</v>
      </c>
      <c r="L8375" t="n">
        <v>0</v>
      </c>
      <c r="M8375" t="n">
        <v>0</v>
      </c>
      <c r="N8375" t="n">
        <v>0</v>
      </c>
      <c r="O8375" t="n">
        <v>0</v>
      </c>
      <c r="P8375" t="n">
        <v>0</v>
      </c>
      <c r="Q8375" t="n">
        <v>0</v>
      </c>
      <c r="R8375" s="2" t="inlineStr"/>
    </row>
    <row r="8376" ht="15" customHeight="1">
      <c r="A8376" t="inlineStr">
        <is>
          <t>A 58507-2025</t>
        </is>
      </c>
      <c r="B8376" s="1" t="n">
        <v>45985.69873842593</v>
      </c>
      <c r="C8376" s="1" t="n">
        <v>46093</v>
      </c>
      <c r="D8376" t="inlineStr">
        <is>
          <t>VÄSTERNORRLANDS LÄN</t>
        </is>
      </c>
      <c r="E8376" t="inlineStr">
        <is>
          <t>SUNDSVALL</t>
        </is>
      </c>
      <c r="F8376" t="inlineStr">
        <is>
          <t>SCA</t>
        </is>
      </c>
      <c r="G8376" t="n">
        <v>6.5</v>
      </c>
      <c r="H8376" t="n">
        <v>0</v>
      </c>
      <c r="I8376" t="n">
        <v>0</v>
      </c>
      <c r="J8376" t="n">
        <v>0</v>
      </c>
      <c r="K8376" t="n">
        <v>0</v>
      </c>
      <c r="L8376" t="n">
        <v>0</v>
      </c>
      <c r="M8376" t="n">
        <v>0</v>
      </c>
      <c r="N8376" t="n">
        <v>0</v>
      </c>
      <c r="O8376" t="n">
        <v>0</v>
      </c>
      <c r="P8376" t="n">
        <v>0</v>
      </c>
      <c r="Q8376" t="n">
        <v>0</v>
      </c>
      <c r="R8376" s="2" t="inlineStr"/>
    </row>
    <row r="8377" ht="15" customHeight="1">
      <c r="A8377" t="inlineStr">
        <is>
          <t>A 36342-2024</t>
        </is>
      </c>
      <c r="B8377" s="1" t="n">
        <v>45534.64315972223</v>
      </c>
      <c r="C8377" s="1" t="n">
        <v>46093</v>
      </c>
      <c r="D8377" t="inlineStr">
        <is>
          <t>VÄSTERNORRLANDS LÄN</t>
        </is>
      </c>
      <c r="E8377" t="inlineStr">
        <is>
          <t>ÅNGE</t>
        </is>
      </c>
      <c r="F8377" t="inlineStr">
        <is>
          <t>SCA</t>
        </is>
      </c>
      <c r="G8377" t="n">
        <v>3.6</v>
      </c>
      <c r="H8377" t="n">
        <v>0</v>
      </c>
      <c r="I8377" t="n">
        <v>0</v>
      </c>
      <c r="J8377" t="n">
        <v>0</v>
      </c>
      <c r="K8377" t="n">
        <v>0</v>
      </c>
      <c r="L8377" t="n">
        <v>0</v>
      </c>
      <c r="M8377" t="n">
        <v>0</v>
      </c>
      <c r="N8377" t="n">
        <v>0</v>
      </c>
      <c r="O8377" t="n">
        <v>0</v>
      </c>
      <c r="P8377" t="n">
        <v>0</v>
      </c>
      <c r="Q8377" t="n">
        <v>0</v>
      </c>
      <c r="R8377" s="2" t="inlineStr"/>
    </row>
    <row r="8378" ht="15" customHeight="1">
      <c r="A8378" t="inlineStr">
        <is>
          <t>A 58523-2025</t>
        </is>
      </c>
      <c r="B8378" s="1" t="n">
        <v>45985</v>
      </c>
      <c r="C8378" s="1" t="n">
        <v>46093</v>
      </c>
      <c r="D8378" t="inlineStr">
        <is>
          <t>VÄSTERNORRLANDS LÄN</t>
        </is>
      </c>
      <c r="E8378" t="inlineStr">
        <is>
          <t>KRAMFORS</t>
        </is>
      </c>
      <c r="G8378" t="n">
        <v>2.3</v>
      </c>
      <c r="H8378" t="n">
        <v>0</v>
      </c>
      <c r="I8378" t="n">
        <v>0</v>
      </c>
      <c r="J8378" t="n">
        <v>0</v>
      </c>
      <c r="K8378" t="n">
        <v>0</v>
      </c>
      <c r="L8378" t="n">
        <v>0</v>
      </c>
      <c r="M8378" t="n">
        <v>0</v>
      </c>
      <c r="N8378" t="n">
        <v>0</v>
      </c>
      <c r="O8378" t="n">
        <v>0</v>
      </c>
      <c r="P8378" t="n">
        <v>0</v>
      </c>
      <c r="Q8378" t="n">
        <v>0</v>
      </c>
      <c r="R8378" s="2" t="inlineStr"/>
      <c r="U8378">
        <f>HYPERLINK("https://klasma.github.io/Logging_2282/knärot/A 58523-2025 karta knärot.png", "A 58523-2025")</f>
        <v/>
      </c>
      <c r="V8378">
        <f>HYPERLINK("https://klasma.github.io/Logging_2282/klagomål/A 58523-2025 FSC-klagomål.docx", "A 58523-2025")</f>
        <v/>
      </c>
      <c r="W8378">
        <f>HYPERLINK("https://klasma.github.io/Logging_2282/klagomålsmail/A 58523-2025 FSC-klagomål mail.docx", "A 58523-2025")</f>
        <v/>
      </c>
      <c r="X8378">
        <f>HYPERLINK("https://klasma.github.io/Logging_2282/tillsyn/A 58523-2025 tillsynsbegäran.docx", "A 58523-2025")</f>
        <v/>
      </c>
      <c r="Y8378">
        <f>HYPERLINK("https://klasma.github.io/Logging_2282/tillsynsmail/A 58523-2025 tillsynsbegäran mail.docx", "A 58523-2025")</f>
        <v/>
      </c>
    </row>
    <row r="8379" ht="15" customHeight="1">
      <c r="A8379" t="inlineStr">
        <is>
          <t>A 58536-2025</t>
        </is>
      </c>
      <c r="B8379" s="1" t="n">
        <v>45985.83274305556</v>
      </c>
      <c r="C8379" s="1" t="n">
        <v>46093</v>
      </c>
      <c r="D8379" t="inlineStr">
        <is>
          <t>VÄSTERNORRLANDS LÄN</t>
        </is>
      </c>
      <c r="E8379" t="inlineStr">
        <is>
          <t>ÅNGE</t>
        </is>
      </c>
      <c r="G8379" t="n">
        <v>2</v>
      </c>
      <c r="H8379" t="n">
        <v>0</v>
      </c>
      <c r="I8379" t="n">
        <v>0</v>
      </c>
      <c r="J8379" t="n">
        <v>0</v>
      </c>
      <c r="K8379" t="n">
        <v>0</v>
      </c>
      <c r="L8379" t="n">
        <v>0</v>
      </c>
      <c r="M8379" t="n">
        <v>0</v>
      </c>
      <c r="N8379" t="n">
        <v>0</v>
      </c>
      <c r="O8379" t="n">
        <v>0</v>
      </c>
      <c r="P8379" t="n">
        <v>0</v>
      </c>
      <c r="Q8379" t="n">
        <v>0</v>
      </c>
      <c r="R8379" s="2" t="inlineStr"/>
    </row>
    <row r="8380" ht="15" customHeight="1">
      <c r="A8380" t="inlineStr">
        <is>
          <t>A 6704-2025</t>
        </is>
      </c>
      <c r="B8380" s="1" t="n">
        <v>45700.54395833334</v>
      </c>
      <c r="C8380" s="1" t="n">
        <v>46093</v>
      </c>
      <c r="D8380" t="inlineStr">
        <is>
          <t>VÄSTERNORRLANDS LÄN</t>
        </is>
      </c>
      <c r="E8380" t="inlineStr">
        <is>
          <t>SUNDSVALL</t>
        </is>
      </c>
      <c r="G8380" t="n">
        <v>2.2</v>
      </c>
      <c r="H8380" t="n">
        <v>0</v>
      </c>
      <c r="I8380" t="n">
        <v>0</v>
      </c>
      <c r="J8380" t="n">
        <v>0</v>
      </c>
      <c r="K8380" t="n">
        <v>0</v>
      </c>
      <c r="L8380" t="n">
        <v>0</v>
      </c>
      <c r="M8380" t="n">
        <v>0</v>
      </c>
      <c r="N8380" t="n">
        <v>0</v>
      </c>
      <c r="O8380" t="n">
        <v>0</v>
      </c>
      <c r="P8380" t="n">
        <v>0</v>
      </c>
      <c r="Q8380" t="n">
        <v>0</v>
      </c>
      <c r="R8380" s="2" t="inlineStr"/>
    </row>
    <row r="8381" ht="15" customHeight="1">
      <c r="A8381" t="inlineStr">
        <is>
          <t>A 58388-2025</t>
        </is>
      </c>
      <c r="B8381" s="1" t="n">
        <v>45985.54685185185</v>
      </c>
      <c r="C8381" s="1" t="n">
        <v>46093</v>
      </c>
      <c r="D8381" t="inlineStr">
        <is>
          <t>VÄSTERNORRLANDS LÄN</t>
        </is>
      </c>
      <c r="E8381" t="inlineStr">
        <is>
          <t>ÅNGE</t>
        </is>
      </c>
      <c r="G8381" t="n">
        <v>1.3</v>
      </c>
      <c r="H8381" t="n">
        <v>0</v>
      </c>
      <c r="I8381" t="n">
        <v>0</v>
      </c>
      <c r="J8381" t="n">
        <v>0</v>
      </c>
      <c r="K8381" t="n">
        <v>0</v>
      </c>
      <c r="L8381" t="n">
        <v>0</v>
      </c>
      <c r="M8381" t="n">
        <v>0</v>
      </c>
      <c r="N8381" t="n">
        <v>0</v>
      </c>
      <c r="O8381" t="n">
        <v>0</v>
      </c>
      <c r="P8381" t="n">
        <v>0</v>
      </c>
      <c r="Q8381" t="n">
        <v>0</v>
      </c>
      <c r="R8381" s="2" t="inlineStr"/>
    </row>
    <row r="8382" ht="15" customHeight="1">
      <c r="A8382" t="inlineStr">
        <is>
          <t>A 23802-2024</t>
        </is>
      </c>
      <c r="B8382" s="1" t="n">
        <v>45455.43813657408</v>
      </c>
      <c r="C8382" s="1" t="n">
        <v>46093</v>
      </c>
      <c r="D8382" t="inlineStr">
        <is>
          <t>VÄSTERNORRLANDS LÄN</t>
        </is>
      </c>
      <c r="E8382" t="inlineStr">
        <is>
          <t>SUNDSVALL</t>
        </is>
      </c>
      <c r="F8382" t="inlineStr">
        <is>
          <t>Holmen skog AB</t>
        </is>
      </c>
      <c r="G8382" t="n">
        <v>1.9</v>
      </c>
      <c r="H8382" t="n">
        <v>0</v>
      </c>
      <c r="I8382" t="n">
        <v>0</v>
      </c>
      <c r="J8382" t="n">
        <v>0</v>
      </c>
      <c r="K8382" t="n">
        <v>0</v>
      </c>
      <c r="L8382" t="n">
        <v>0</v>
      </c>
      <c r="M8382" t="n">
        <v>0</v>
      </c>
      <c r="N8382" t="n">
        <v>0</v>
      </c>
      <c r="O8382" t="n">
        <v>0</v>
      </c>
      <c r="P8382" t="n">
        <v>0</v>
      </c>
      <c r="Q8382" t="n">
        <v>0</v>
      </c>
      <c r="R8382" s="2" t="inlineStr"/>
    </row>
    <row r="8383" ht="15" customHeight="1">
      <c r="A8383" t="inlineStr">
        <is>
          <t>A 17431-2023</t>
        </is>
      </c>
      <c r="B8383" s="1" t="n">
        <v>45035</v>
      </c>
      <c r="C8383" s="1" t="n">
        <v>46093</v>
      </c>
      <c r="D8383" t="inlineStr">
        <is>
          <t>VÄSTERNORRLANDS LÄN</t>
        </is>
      </c>
      <c r="E8383" t="inlineStr">
        <is>
          <t>HÄRNÖSAND</t>
        </is>
      </c>
      <c r="G8383" t="n">
        <v>3.4</v>
      </c>
      <c r="H8383" t="n">
        <v>0</v>
      </c>
      <c r="I8383" t="n">
        <v>0</v>
      </c>
      <c r="J8383" t="n">
        <v>0</v>
      </c>
      <c r="K8383" t="n">
        <v>0</v>
      </c>
      <c r="L8383" t="n">
        <v>0</v>
      </c>
      <c r="M8383" t="n">
        <v>0</v>
      </c>
      <c r="N8383" t="n">
        <v>0</v>
      </c>
      <c r="O8383" t="n">
        <v>0</v>
      </c>
      <c r="P8383" t="n">
        <v>0</v>
      </c>
      <c r="Q8383" t="n">
        <v>0</v>
      </c>
      <c r="R8383" s="2" t="inlineStr"/>
    </row>
    <row r="8384" ht="15" customHeight="1">
      <c r="A8384" t="inlineStr">
        <is>
          <t>A 10530-2023</t>
        </is>
      </c>
      <c r="B8384" s="1" t="n">
        <v>44987.92324074074</v>
      </c>
      <c r="C8384" s="1" t="n">
        <v>46093</v>
      </c>
      <c r="D8384" t="inlineStr">
        <is>
          <t>VÄSTERNORRLANDS LÄN</t>
        </is>
      </c>
      <c r="E8384" t="inlineStr">
        <is>
          <t>SUNDSVALL</t>
        </is>
      </c>
      <c r="G8384" t="n">
        <v>3.2</v>
      </c>
      <c r="H8384" t="n">
        <v>0</v>
      </c>
      <c r="I8384" t="n">
        <v>0</v>
      </c>
      <c r="J8384" t="n">
        <v>0</v>
      </c>
      <c r="K8384" t="n">
        <v>0</v>
      </c>
      <c r="L8384" t="n">
        <v>0</v>
      </c>
      <c r="M8384" t="n">
        <v>0</v>
      </c>
      <c r="N8384" t="n">
        <v>0</v>
      </c>
      <c r="O8384" t="n">
        <v>0</v>
      </c>
      <c r="P8384" t="n">
        <v>0</v>
      </c>
      <c r="Q8384" t="n">
        <v>0</v>
      </c>
      <c r="R8384" s="2" t="inlineStr"/>
    </row>
    <row r="8385" ht="15" customHeight="1">
      <c r="A8385" t="inlineStr">
        <is>
          <t>A 6735-2025</t>
        </is>
      </c>
      <c r="B8385" s="1" t="n">
        <v>45700.59434027778</v>
      </c>
      <c r="C8385" s="1" t="n">
        <v>46093</v>
      </c>
      <c r="D8385" t="inlineStr">
        <is>
          <t>VÄSTERNORRLANDS LÄN</t>
        </is>
      </c>
      <c r="E8385" t="inlineStr">
        <is>
          <t>SOLLEFTEÅ</t>
        </is>
      </c>
      <c r="F8385" t="inlineStr">
        <is>
          <t>SCA</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6737-2025</t>
        </is>
      </c>
      <c r="B8386" s="1" t="n">
        <v>45700.59450231482</v>
      </c>
      <c r="C8386" s="1" t="n">
        <v>46093</v>
      </c>
      <c r="D8386" t="inlineStr">
        <is>
          <t>VÄSTERNORRLANDS LÄN</t>
        </is>
      </c>
      <c r="E8386" t="inlineStr">
        <is>
          <t>SOLLEFTEÅ</t>
        </is>
      </c>
      <c r="F8386" t="inlineStr">
        <is>
          <t>SCA</t>
        </is>
      </c>
      <c r="G8386" t="n">
        <v>0.5</v>
      </c>
      <c r="H8386" t="n">
        <v>0</v>
      </c>
      <c r="I8386" t="n">
        <v>0</v>
      </c>
      <c r="J8386" t="n">
        <v>0</v>
      </c>
      <c r="K8386" t="n">
        <v>0</v>
      </c>
      <c r="L8386" t="n">
        <v>0</v>
      </c>
      <c r="M8386" t="n">
        <v>0</v>
      </c>
      <c r="N8386" t="n">
        <v>0</v>
      </c>
      <c r="O8386" t="n">
        <v>0</v>
      </c>
      <c r="P8386" t="n">
        <v>0</v>
      </c>
      <c r="Q8386" t="n">
        <v>0</v>
      </c>
      <c r="R8386" s="2" t="inlineStr"/>
    </row>
    <row r="8387" ht="15" customHeight="1">
      <c r="A8387" t="inlineStr">
        <is>
          <t>A 10544-2023</t>
        </is>
      </c>
      <c r="B8387" s="1" t="n">
        <v>44987</v>
      </c>
      <c r="C8387" s="1" t="n">
        <v>46093</v>
      </c>
      <c r="D8387" t="inlineStr">
        <is>
          <t>VÄSTERNORRLANDS LÄN</t>
        </is>
      </c>
      <c r="E8387" t="inlineStr">
        <is>
          <t>HÄRNÖSAND</t>
        </is>
      </c>
      <c r="F8387" t="inlineStr">
        <is>
          <t>SCA</t>
        </is>
      </c>
      <c r="G8387" t="n">
        <v>0.9</v>
      </c>
      <c r="H8387" t="n">
        <v>0</v>
      </c>
      <c r="I8387" t="n">
        <v>0</v>
      </c>
      <c r="J8387" t="n">
        <v>0</v>
      </c>
      <c r="K8387" t="n">
        <v>0</v>
      </c>
      <c r="L8387" t="n">
        <v>0</v>
      </c>
      <c r="M8387" t="n">
        <v>0</v>
      </c>
      <c r="N8387" t="n">
        <v>0</v>
      </c>
      <c r="O8387" t="n">
        <v>0</v>
      </c>
      <c r="P8387" t="n">
        <v>0</v>
      </c>
      <c r="Q8387" t="n">
        <v>0</v>
      </c>
      <c r="R8387" s="2" t="inlineStr"/>
    </row>
    <row r="8388" ht="15" customHeight="1">
      <c r="A8388" t="inlineStr">
        <is>
          <t>A 61166-2024</t>
        </is>
      </c>
      <c r="B8388" s="1" t="n">
        <v>45645.59753472222</v>
      </c>
      <c r="C8388" s="1" t="n">
        <v>46093</v>
      </c>
      <c r="D8388" t="inlineStr">
        <is>
          <t>VÄSTERNORRLANDS LÄN</t>
        </is>
      </c>
      <c r="E8388" t="inlineStr">
        <is>
          <t>TIMRÅ</t>
        </is>
      </c>
      <c r="G8388" t="n">
        <v>2</v>
      </c>
      <c r="H8388" t="n">
        <v>0</v>
      </c>
      <c r="I8388" t="n">
        <v>0</v>
      </c>
      <c r="J8388" t="n">
        <v>0</v>
      </c>
      <c r="K8388" t="n">
        <v>0</v>
      </c>
      <c r="L8388" t="n">
        <v>0</v>
      </c>
      <c r="M8388" t="n">
        <v>0</v>
      </c>
      <c r="N8388" t="n">
        <v>0</v>
      </c>
      <c r="O8388" t="n">
        <v>0</v>
      </c>
      <c r="P8388" t="n">
        <v>0</v>
      </c>
      <c r="Q8388" t="n">
        <v>0</v>
      </c>
      <c r="R8388" s="2" t="inlineStr"/>
    </row>
    <row r="8389" ht="15" customHeight="1">
      <c r="A8389" t="inlineStr">
        <is>
          <t>A 58366-2025</t>
        </is>
      </c>
      <c r="B8389" s="1" t="n">
        <v>45985.52600694444</v>
      </c>
      <c r="C8389" s="1" t="n">
        <v>46093</v>
      </c>
      <c r="D8389" t="inlineStr">
        <is>
          <t>VÄSTERNORRLANDS LÄN</t>
        </is>
      </c>
      <c r="E8389" t="inlineStr">
        <is>
          <t>ÅNGE</t>
        </is>
      </c>
      <c r="G8389" t="n">
        <v>2</v>
      </c>
      <c r="H8389" t="n">
        <v>0</v>
      </c>
      <c r="I8389" t="n">
        <v>0</v>
      </c>
      <c r="J8389" t="n">
        <v>0</v>
      </c>
      <c r="K8389" t="n">
        <v>0</v>
      </c>
      <c r="L8389" t="n">
        <v>0</v>
      </c>
      <c r="M8389" t="n">
        <v>0</v>
      </c>
      <c r="N8389" t="n">
        <v>0</v>
      </c>
      <c r="O8389" t="n">
        <v>0</v>
      </c>
      <c r="P8389" t="n">
        <v>0</v>
      </c>
      <c r="Q8389" t="n">
        <v>0</v>
      </c>
      <c r="R8389" s="2" t="inlineStr"/>
    </row>
    <row r="8390" ht="15" customHeight="1">
      <c r="A8390" t="inlineStr">
        <is>
          <t>A 19205-2025</t>
        </is>
      </c>
      <c r="B8390" s="1" t="n">
        <v>45769.42861111111</v>
      </c>
      <c r="C8390" s="1" t="n">
        <v>46093</v>
      </c>
      <c r="D8390" t="inlineStr">
        <is>
          <t>VÄSTERNORRLANDS LÄN</t>
        </is>
      </c>
      <c r="E8390" t="inlineStr">
        <is>
          <t>SOLLEFTEÅ</t>
        </is>
      </c>
      <c r="F8390" t="inlineStr">
        <is>
          <t>SCA</t>
        </is>
      </c>
      <c r="G8390" t="n">
        <v>8.699999999999999</v>
      </c>
      <c r="H8390" t="n">
        <v>0</v>
      </c>
      <c r="I8390" t="n">
        <v>0</v>
      </c>
      <c r="J8390" t="n">
        <v>0</v>
      </c>
      <c r="K8390" t="n">
        <v>0</v>
      </c>
      <c r="L8390" t="n">
        <v>0</v>
      </c>
      <c r="M8390" t="n">
        <v>0</v>
      </c>
      <c r="N8390" t="n">
        <v>0</v>
      </c>
      <c r="O8390" t="n">
        <v>0</v>
      </c>
      <c r="P8390" t="n">
        <v>0</v>
      </c>
      <c r="Q8390" t="n">
        <v>0</v>
      </c>
      <c r="R8390" s="2" t="inlineStr"/>
    </row>
    <row r="8391" ht="15" customHeight="1">
      <c r="A8391" t="inlineStr">
        <is>
          <t>A 18199-2023</t>
        </is>
      </c>
      <c r="B8391" s="1" t="n">
        <v>45041</v>
      </c>
      <c r="C8391" s="1" t="n">
        <v>46093</v>
      </c>
      <c r="D8391" t="inlineStr">
        <is>
          <t>VÄSTERNORRLANDS LÄN</t>
        </is>
      </c>
      <c r="E8391" t="inlineStr">
        <is>
          <t>ÖRNSKÖLDSVIK</t>
        </is>
      </c>
      <c r="G8391" t="n">
        <v>1.5</v>
      </c>
      <c r="H8391" t="n">
        <v>0</v>
      </c>
      <c r="I8391" t="n">
        <v>0</v>
      </c>
      <c r="J8391" t="n">
        <v>0</v>
      </c>
      <c r="K8391" t="n">
        <v>0</v>
      </c>
      <c r="L8391" t="n">
        <v>0</v>
      </c>
      <c r="M8391" t="n">
        <v>0</v>
      </c>
      <c r="N8391" t="n">
        <v>0</v>
      </c>
      <c r="O8391" t="n">
        <v>0</v>
      </c>
      <c r="P8391" t="n">
        <v>0</v>
      </c>
      <c r="Q8391" t="n">
        <v>0</v>
      </c>
      <c r="R8391" s="2" t="inlineStr"/>
    </row>
    <row r="8392" ht="15" customHeight="1">
      <c r="A8392" t="inlineStr">
        <is>
          <t>A 61195-2024</t>
        </is>
      </c>
      <c r="B8392" s="1" t="n">
        <v>45645.63046296296</v>
      </c>
      <c r="C8392" s="1" t="n">
        <v>46093</v>
      </c>
      <c r="D8392" t="inlineStr">
        <is>
          <t>VÄSTERNORRLANDS LÄN</t>
        </is>
      </c>
      <c r="E8392" t="inlineStr">
        <is>
          <t>ÖRNSKÖLDSVIK</t>
        </is>
      </c>
      <c r="F8392" t="inlineStr">
        <is>
          <t>Holmen skog AB</t>
        </is>
      </c>
      <c r="G8392" t="n">
        <v>9.5</v>
      </c>
      <c r="H8392" t="n">
        <v>0</v>
      </c>
      <c r="I8392" t="n">
        <v>0</v>
      </c>
      <c r="J8392" t="n">
        <v>0</v>
      </c>
      <c r="K8392" t="n">
        <v>0</v>
      </c>
      <c r="L8392" t="n">
        <v>0</v>
      </c>
      <c r="M8392" t="n">
        <v>0</v>
      </c>
      <c r="N8392" t="n">
        <v>0</v>
      </c>
      <c r="O8392" t="n">
        <v>0</v>
      </c>
      <c r="P8392" t="n">
        <v>0</v>
      </c>
      <c r="Q8392" t="n">
        <v>0</v>
      </c>
      <c r="R8392" s="2" t="inlineStr"/>
    </row>
    <row r="8393" ht="15" customHeight="1">
      <c r="A8393" t="inlineStr">
        <is>
          <t>A 21640-2023</t>
        </is>
      </c>
      <c r="B8393" s="1" t="n">
        <v>45063</v>
      </c>
      <c r="C8393" s="1" t="n">
        <v>46093</v>
      </c>
      <c r="D8393" t="inlineStr">
        <is>
          <t>VÄSTERNORRLANDS LÄN</t>
        </is>
      </c>
      <c r="E8393" t="inlineStr">
        <is>
          <t>ÖRNSKÖLDSVIK</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19207-2025</t>
        </is>
      </c>
      <c r="B8394" s="1" t="n">
        <v>45769</v>
      </c>
      <c r="C8394" s="1" t="n">
        <v>46093</v>
      </c>
      <c r="D8394" t="inlineStr">
        <is>
          <t>VÄSTERNORRLANDS LÄN</t>
        </is>
      </c>
      <c r="E8394" t="inlineStr">
        <is>
          <t>SOLLEFTEÅ</t>
        </is>
      </c>
      <c r="F8394" t="inlineStr">
        <is>
          <t>SCA</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58268-2025</t>
        </is>
      </c>
      <c r="B8395" s="1" t="n">
        <v>45985.42450231482</v>
      </c>
      <c r="C8395" s="1" t="n">
        <v>46093</v>
      </c>
      <c r="D8395" t="inlineStr">
        <is>
          <t>VÄSTERNORRLANDS LÄN</t>
        </is>
      </c>
      <c r="E8395" t="inlineStr">
        <is>
          <t>ÅNGE</t>
        </is>
      </c>
      <c r="G8395" t="n">
        <v>0.9</v>
      </c>
      <c r="H8395" t="n">
        <v>0</v>
      </c>
      <c r="I8395" t="n">
        <v>0</v>
      </c>
      <c r="J8395" t="n">
        <v>0</v>
      </c>
      <c r="K8395" t="n">
        <v>0</v>
      </c>
      <c r="L8395" t="n">
        <v>0</v>
      </c>
      <c r="M8395" t="n">
        <v>0</v>
      </c>
      <c r="N8395" t="n">
        <v>0</v>
      </c>
      <c r="O8395" t="n">
        <v>0</v>
      </c>
      <c r="P8395" t="n">
        <v>0</v>
      </c>
      <c r="Q8395" t="n">
        <v>0</v>
      </c>
      <c r="R8395" s="2" t="inlineStr"/>
    </row>
    <row r="8396" ht="15" customHeight="1">
      <c r="A8396" t="inlineStr">
        <is>
          <t>A 19300-2025</t>
        </is>
      </c>
      <c r="B8396" s="1" t="n">
        <v>45769.56373842592</v>
      </c>
      <c r="C8396" s="1" t="n">
        <v>46093</v>
      </c>
      <c r="D8396" t="inlineStr">
        <is>
          <t>VÄSTERNORRLANDS LÄN</t>
        </is>
      </c>
      <c r="E8396" t="inlineStr">
        <is>
          <t>ÖRNSKÖLDSVIK</t>
        </is>
      </c>
      <c r="F8396" t="inlineStr">
        <is>
          <t>Holmen skog AB</t>
        </is>
      </c>
      <c r="G8396" t="n">
        <v>2.2</v>
      </c>
      <c r="H8396" t="n">
        <v>0</v>
      </c>
      <c r="I8396" t="n">
        <v>0</v>
      </c>
      <c r="J8396" t="n">
        <v>0</v>
      </c>
      <c r="K8396" t="n">
        <v>0</v>
      </c>
      <c r="L8396" t="n">
        <v>0</v>
      </c>
      <c r="M8396" t="n">
        <v>0</v>
      </c>
      <c r="N8396" t="n">
        <v>0</v>
      </c>
      <c r="O8396" t="n">
        <v>0</v>
      </c>
      <c r="P8396" t="n">
        <v>0</v>
      </c>
      <c r="Q8396" t="n">
        <v>0</v>
      </c>
      <c r="R8396" s="2" t="inlineStr"/>
    </row>
    <row r="8397" ht="15" customHeight="1">
      <c r="A8397" t="inlineStr">
        <is>
          <t>A 55868-2024</t>
        </is>
      </c>
      <c r="B8397" s="1" t="n">
        <v>45623.55108796297</v>
      </c>
      <c r="C8397" s="1" t="n">
        <v>46093</v>
      </c>
      <c r="D8397" t="inlineStr">
        <is>
          <t>VÄSTERNORRLANDS LÄN</t>
        </is>
      </c>
      <c r="E8397" t="inlineStr">
        <is>
          <t>ÖRNSKÖLDSVIK</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55872-2024</t>
        </is>
      </c>
      <c r="B8398" s="1" t="n">
        <v>45623</v>
      </c>
      <c r="C8398" s="1" t="n">
        <v>46093</v>
      </c>
      <c r="D8398" t="inlineStr">
        <is>
          <t>VÄSTERNORRLANDS LÄN</t>
        </is>
      </c>
      <c r="E8398" t="inlineStr">
        <is>
          <t>SOLLEFTEÅ</t>
        </is>
      </c>
      <c r="F8398" t="inlineStr">
        <is>
          <t>SCA</t>
        </is>
      </c>
      <c r="G8398" t="n">
        <v>2.5</v>
      </c>
      <c r="H8398" t="n">
        <v>0</v>
      </c>
      <c r="I8398" t="n">
        <v>0</v>
      </c>
      <c r="J8398" t="n">
        <v>0</v>
      </c>
      <c r="K8398" t="n">
        <v>0</v>
      </c>
      <c r="L8398" t="n">
        <v>0</v>
      </c>
      <c r="M8398" t="n">
        <v>0</v>
      </c>
      <c r="N8398" t="n">
        <v>0</v>
      </c>
      <c r="O8398" t="n">
        <v>0</v>
      </c>
      <c r="P8398" t="n">
        <v>0</v>
      </c>
      <c r="Q8398" t="n">
        <v>0</v>
      </c>
      <c r="R8398" s="2" t="inlineStr"/>
    </row>
    <row r="8399" ht="15" customHeight="1">
      <c r="A8399" t="inlineStr">
        <is>
          <t>A 58764-2025</t>
        </is>
      </c>
      <c r="B8399" s="1" t="n">
        <v>45986.65909722223</v>
      </c>
      <c r="C8399" s="1" t="n">
        <v>46093</v>
      </c>
      <c r="D8399" t="inlineStr">
        <is>
          <t>VÄSTERNORRLANDS LÄN</t>
        </is>
      </c>
      <c r="E8399" t="inlineStr">
        <is>
          <t>ÖRNSKÖLDSVIK</t>
        </is>
      </c>
      <c r="F8399" t="inlineStr">
        <is>
          <t>Holmen skog AB</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58774-2025</t>
        </is>
      </c>
      <c r="B8400" s="1" t="n">
        <v>45986.69744212963</v>
      </c>
      <c r="C8400" s="1" t="n">
        <v>46093</v>
      </c>
      <c r="D8400" t="inlineStr">
        <is>
          <t>VÄSTERNORRLANDS LÄN</t>
        </is>
      </c>
      <c r="E8400" t="inlineStr">
        <is>
          <t>ÖRNSKÖLDSVIK</t>
        </is>
      </c>
      <c r="F8400" t="inlineStr">
        <is>
          <t>Holmen skog AB</t>
        </is>
      </c>
      <c r="G8400" t="n">
        <v>3.1</v>
      </c>
      <c r="H8400" t="n">
        <v>0</v>
      </c>
      <c r="I8400" t="n">
        <v>0</v>
      </c>
      <c r="J8400" t="n">
        <v>0</v>
      </c>
      <c r="K8400" t="n">
        <v>0</v>
      </c>
      <c r="L8400" t="n">
        <v>0</v>
      </c>
      <c r="M8400" t="n">
        <v>0</v>
      </c>
      <c r="N8400" t="n">
        <v>0</v>
      </c>
      <c r="O8400" t="n">
        <v>0</v>
      </c>
      <c r="P8400" t="n">
        <v>0</v>
      </c>
      <c r="Q8400" t="n">
        <v>0</v>
      </c>
      <c r="R8400" s="2" t="inlineStr"/>
    </row>
    <row r="8401" ht="15" customHeight="1">
      <c r="A8401" t="inlineStr">
        <is>
          <t>A 58195-2025</t>
        </is>
      </c>
      <c r="B8401" s="1" t="n">
        <v>45983.86991898148</v>
      </c>
      <c r="C8401" s="1" t="n">
        <v>46093</v>
      </c>
      <c r="D8401" t="inlineStr">
        <is>
          <t>VÄSTERNORRLANDS LÄN</t>
        </is>
      </c>
      <c r="E8401" t="inlineStr">
        <is>
          <t>ÖRNSKÖLDSVIK</t>
        </is>
      </c>
      <c r="G8401" t="n">
        <v>1.8</v>
      </c>
      <c r="H8401" t="n">
        <v>0</v>
      </c>
      <c r="I8401" t="n">
        <v>0</v>
      </c>
      <c r="J8401" t="n">
        <v>0</v>
      </c>
      <c r="K8401" t="n">
        <v>0</v>
      </c>
      <c r="L8401" t="n">
        <v>0</v>
      </c>
      <c r="M8401" t="n">
        <v>0</v>
      </c>
      <c r="N8401" t="n">
        <v>0</v>
      </c>
      <c r="O8401" t="n">
        <v>0</v>
      </c>
      <c r="P8401" t="n">
        <v>0</v>
      </c>
      <c r="Q8401" t="n">
        <v>0</v>
      </c>
      <c r="R8401" s="2" t="inlineStr"/>
    </row>
    <row r="8402" ht="15" customHeight="1">
      <c r="A8402" t="inlineStr">
        <is>
          <t>A 58929-2025</t>
        </is>
      </c>
      <c r="B8402" s="1" t="n">
        <v>45986</v>
      </c>
      <c r="C8402" s="1" t="n">
        <v>46093</v>
      </c>
      <c r="D8402" t="inlineStr">
        <is>
          <t>VÄSTERNORRLANDS LÄN</t>
        </is>
      </c>
      <c r="E8402" t="inlineStr">
        <is>
          <t>KRAMFORS</t>
        </is>
      </c>
      <c r="G8402" t="n">
        <v>8.300000000000001</v>
      </c>
      <c r="H8402" t="n">
        <v>0</v>
      </c>
      <c r="I8402" t="n">
        <v>0</v>
      </c>
      <c r="J8402" t="n">
        <v>0</v>
      </c>
      <c r="K8402" t="n">
        <v>0</v>
      </c>
      <c r="L8402" t="n">
        <v>0</v>
      </c>
      <c r="M8402" t="n">
        <v>0</v>
      </c>
      <c r="N8402" t="n">
        <v>0</v>
      </c>
      <c r="O8402" t="n">
        <v>0</v>
      </c>
      <c r="P8402" t="n">
        <v>0</v>
      </c>
      <c r="Q8402" t="n">
        <v>0</v>
      </c>
      <c r="R8402" s="2" t="inlineStr"/>
    </row>
    <row r="8403" ht="15" customHeight="1">
      <c r="A8403" t="inlineStr">
        <is>
          <t>A 54318-2023</t>
        </is>
      </c>
      <c r="B8403" s="1" t="n">
        <v>45232</v>
      </c>
      <c r="C8403" s="1" t="n">
        <v>46093</v>
      </c>
      <c r="D8403" t="inlineStr">
        <is>
          <t>VÄSTERNORRLANDS LÄN</t>
        </is>
      </c>
      <c r="E8403" t="inlineStr">
        <is>
          <t>KRAMFORS</t>
        </is>
      </c>
      <c r="F8403" t="inlineStr">
        <is>
          <t>Kyrkan</t>
        </is>
      </c>
      <c r="G8403" t="n">
        <v>6.8</v>
      </c>
      <c r="H8403" t="n">
        <v>0</v>
      </c>
      <c r="I8403" t="n">
        <v>0</v>
      </c>
      <c r="J8403" t="n">
        <v>0</v>
      </c>
      <c r="K8403" t="n">
        <v>0</v>
      </c>
      <c r="L8403" t="n">
        <v>0</v>
      </c>
      <c r="M8403" t="n">
        <v>0</v>
      </c>
      <c r="N8403" t="n">
        <v>0</v>
      </c>
      <c r="O8403" t="n">
        <v>0</v>
      </c>
      <c r="P8403" t="n">
        <v>0</v>
      </c>
      <c r="Q8403" t="n">
        <v>0</v>
      </c>
      <c r="R8403" s="2" t="inlineStr"/>
    </row>
    <row r="8404" ht="15" customHeight="1">
      <c r="A8404" t="inlineStr">
        <is>
          <t>A 10684-2025</t>
        </is>
      </c>
      <c r="B8404" s="1" t="n">
        <v>45721.95054398148</v>
      </c>
      <c r="C8404" s="1" t="n">
        <v>46093</v>
      </c>
      <c r="D8404" t="inlineStr">
        <is>
          <t>VÄSTERNORRLANDS LÄN</t>
        </is>
      </c>
      <c r="E8404" t="inlineStr">
        <is>
          <t>SUNDSVALL</t>
        </is>
      </c>
      <c r="G8404" t="n">
        <v>0.4</v>
      </c>
      <c r="H8404" t="n">
        <v>0</v>
      </c>
      <c r="I8404" t="n">
        <v>0</v>
      </c>
      <c r="J8404" t="n">
        <v>0</v>
      </c>
      <c r="K8404" t="n">
        <v>0</v>
      </c>
      <c r="L8404" t="n">
        <v>0</v>
      </c>
      <c r="M8404" t="n">
        <v>0</v>
      </c>
      <c r="N8404" t="n">
        <v>0</v>
      </c>
      <c r="O8404" t="n">
        <v>0</v>
      </c>
      <c r="P8404" t="n">
        <v>0</v>
      </c>
      <c r="Q8404" t="n">
        <v>0</v>
      </c>
      <c r="R8404" s="2" t="inlineStr"/>
    </row>
    <row r="8405" ht="15" customHeight="1">
      <c r="A8405" t="inlineStr">
        <is>
          <t>A 10686-2025</t>
        </is>
      </c>
      <c r="B8405" s="1" t="n">
        <v>45721.9587962963</v>
      </c>
      <c r="C8405" s="1" t="n">
        <v>46093</v>
      </c>
      <c r="D8405" t="inlineStr">
        <is>
          <t>VÄSTERNORRLANDS LÄN</t>
        </is>
      </c>
      <c r="E8405" t="inlineStr">
        <is>
          <t>SUNDSVALL</t>
        </is>
      </c>
      <c r="G8405" t="n">
        <v>0.5</v>
      </c>
      <c r="H8405" t="n">
        <v>0</v>
      </c>
      <c r="I8405" t="n">
        <v>0</v>
      </c>
      <c r="J8405" t="n">
        <v>0</v>
      </c>
      <c r="K8405" t="n">
        <v>0</v>
      </c>
      <c r="L8405" t="n">
        <v>0</v>
      </c>
      <c r="M8405" t="n">
        <v>0</v>
      </c>
      <c r="N8405" t="n">
        <v>0</v>
      </c>
      <c r="O8405" t="n">
        <v>0</v>
      </c>
      <c r="P8405" t="n">
        <v>0</v>
      </c>
      <c r="Q8405" t="n">
        <v>0</v>
      </c>
      <c r="R8405" s="2" t="inlineStr"/>
    </row>
    <row r="8406" ht="15" customHeight="1">
      <c r="A8406" t="inlineStr">
        <is>
          <t>A 21043-2024</t>
        </is>
      </c>
      <c r="B8406" s="1" t="n">
        <v>45439.6675925926</v>
      </c>
      <c r="C8406" s="1" t="n">
        <v>46093</v>
      </c>
      <c r="D8406" t="inlineStr">
        <is>
          <t>VÄSTERNORRLANDS LÄN</t>
        </is>
      </c>
      <c r="E8406" t="inlineStr">
        <is>
          <t>ÖRNSKÖLDSVIK</t>
        </is>
      </c>
      <c r="G8406" t="n">
        <v>2.2</v>
      </c>
      <c r="H8406" t="n">
        <v>0</v>
      </c>
      <c r="I8406" t="n">
        <v>0</v>
      </c>
      <c r="J8406" t="n">
        <v>0</v>
      </c>
      <c r="K8406" t="n">
        <v>0</v>
      </c>
      <c r="L8406" t="n">
        <v>0</v>
      </c>
      <c r="M8406" t="n">
        <v>0</v>
      </c>
      <c r="N8406" t="n">
        <v>0</v>
      </c>
      <c r="O8406" t="n">
        <v>0</v>
      </c>
      <c r="P8406" t="n">
        <v>0</v>
      </c>
      <c r="Q8406" t="n">
        <v>0</v>
      </c>
      <c r="R8406" s="2" t="inlineStr"/>
    </row>
    <row r="8407" ht="15" customHeight="1">
      <c r="A8407" t="inlineStr">
        <is>
          <t>A 54771-2023</t>
        </is>
      </c>
      <c r="B8407" s="1" t="n">
        <v>45229</v>
      </c>
      <c r="C8407" s="1" t="n">
        <v>46093</v>
      </c>
      <c r="D8407" t="inlineStr">
        <is>
          <t>VÄSTERNORRLANDS LÄN</t>
        </is>
      </c>
      <c r="E8407" t="inlineStr">
        <is>
          <t>ÅNGE</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18794-2025</t>
        </is>
      </c>
      <c r="B8408" s="1" t="n">
        <v>45764.34547453704</v>
      </c>
      <c r="C8408" s="1" t="n">
        <v>46093</v>
      </c>
      <c r="D8408" t="inlineStr">
        <is>
          <t>VÄSTERNORRLANDS LÄN</t>
        </is>
      </c>
      <c r="E8408" t="inlineStr">
        <is>
          <t>KRAMFORS</t>
        </is>
      </c>
      <c r="F8408" t="inlineStr">
        <is>
          <t>SCA</t>
        </is>
      </c>
      <c r="G8408" t="n">
        <v>2</v>
      </c>
      <c r="H8408" t="n">
        <v>0</v>
      </c>
      <c r="I8408" t="n">
        <v>0</v>
      </c>
      <c r="J8408" t="n">
        <v>0</v>
      </c>
      <c r="K8408" t="n">
        <v>0</v>
      </c>
      <c r="L8408" t="n">
        <v>0</v>
      </c>
      <c r="M8408" t="n">
        <v>0</v>
      </c>
      <c r="N8408" t="n">
        <v>0</v>
      </c>
      <c r="O8408" t="n">
        <v>0</v>
      </c>
      <c r="P8408" t="n">
        <v>0</v>
      </c>
      <c r="Q8408" t="n">
        <v>0</v>
      </c>
      <c r="R8408" s="2" t="inlineStr"/>
    </row>
    <row r="8409" ht="15" customHeight="1">
      <c r="A8409" t="inlineStr">
        <is>
          <t>A 18824-2025</t>
        </is>
      </c>
      <c r="B8409" s="1" t="n">
        <v>45764.38584490741</v>
      </c>
      <c r="C8409" s="1" t="n">
        <v>46093</v>
      </c>
      <c r="D8409" t="inlineStr">
        <is>
          <t>VÄSTERNORRLANDS LÄN</t>
        </is>
      </c>
      <c r="E8409" t="inlineStr">
        <is>
          <t>TIMRÅ</t>
        </is>
      </c>
      <c r="F8409" t="inlineStr">
        <is>
          <t>SCA</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47757-2023</t>
        </is>
      </c>
      <c r="B8410" s="1" t="n">
        <v>45203.83018518519</v>
      </c>
      <c r="C8410" s="1" t="n">
        <v>46093</v>
      </c>
      <c r="D8410" t="inlineStr">
        <is>
          <t>VÄSTERNORRLANDS LÄN</t>
        </is>
      </c>
      <c r="E8410" t="inlineStr">
        <is>
          <t>ÖRNSKÖLDSVIK</t>
        </is>
      </c>
      <c r="F8410" t="inlineStr">
        <is>
          <t>Holmen skog AB</t>
        </is>
      </c>
      <c r="G8410" t="n">
        <v>0.9</v>
      </c>
      <c r="H8410" t="n">
        <v>0</v>
      </c>
      <c r="I8410" t="n">
        <v>0</v>
      </c>
      <c r="J8410" t="n">
        <v>0</v>
      </c>
      <c r="K8410" t="n">
        <v>0</v>
      </c>
      <c r="L8410" t="n">
        <v>0</v>
      </c>
      <c r="M8410" t="n">
        <v>0</v>
      </c>
      <c r="N8410" t="n">
        <v>0</v>
      </c>
      <c r="O8410" t="n">
        <v>0</v>
      </c>
      <c r="P8410" t="n">
        <v>0</v>
      </c>
      <c r="Q8410" t="n">
        <v>0</v>
      </c>
      <c r="R8410" s="2" t="inlineStr"/>
    </row>
    <row r="8411" ht="15" customHeight="1">
      <c r="A8411" t="inlineStr">
        <is>
          <t>A 47781-2023</t>
        </is>
      </c>
      <c r="B8411" s="1" t="n">
        <v>45203</v>
      </c>
      <c r="C8411" s="1" t="n">
        <v>46093</v>
      </c>
      <c r="D8411" t="inlineStr">
        <is>
          <t>VÄSTERNORRLANDS LÄN</t>
        </is>
      </c>
      <c r="E8411" t="inlineStr">
        <is>
          <t>HÄRNÖSAND</t>
        </is>
      </c>
      <c r="G8411" t="n">
        <v>3.8</v>
      </c>
      <c r="H8411" t="n">
        <v>0</v>
      </c>
      <c r="I8411" t="n">
        <v>0</v>
      </c>
      <c r="J8411" t="n">
        <v>0</v>
      </c>
      <c r="K8411" t="n">
        <v>0</v>
      </c>
      <c r="L8411" t="n">
        <v>0</v>
      </c>
      <c r="M8411" t="n">
        <v>0</v>
      </c>
      <c r="N8411" t="n">
        <v>0</v>
      </c>
      <c r="O8411" t="n">
        <v>0</v>
      </c>
      <c r="P8411" t="n">
        <v>0</v>
      </c>
      <c r="Q8411" t="n">
        <v>0</v>
      </c>
      <c r="R8411" s="2" t="inlineStr"/>
    </row>
    <row r="8412" ht="15" customHeight="1">
      <c r="A8412" t="inlineStr">
        <is>
          <t>A 58551-2025</t>
        </is>
      </c>
      <c r="B8412" s="1" t="n">
        <v>45986.32783564815</v>
      </c>
      <c r="C8412" s="1" t="n">
        <v>46093</v>
      </c>
      <c r="D8412" t="inlineStr">
        <is>
          <t>VÄSTERNORRLANDS LÄN</t>
        </is>
      </c>
      <c r="E8412" t="inlineStr">
        <is>
          <t>SUNDSVALL</t>
        </is>
      </c>
      <c r="G8412" t="n">
        <v>0.9</v>
      </c>
      <c r="H8412" t="n">
        <v>0</v>
      </c>
      <c r="I8412" t="n">
        <v>0</v>
      </c>
      <c r="J8412" t="n">
        <v>0</v>
      </c>
      <c r="K8412" t="n">
        <v>0</v>
      </c>
      <c r="L8412" t="n">
        <v>0</v>
      </c>
      <c r="M8412" t="n">
        <v>0</v>
      </c>
      <c r="N8412" t="n">
        <v>0</v>
      </c>
      <c r="O8412" t="n">
        <v>0</v>
      </c>
      <c r="P8412" t="n">
        <v>0</v>
      </c>
      <c r="Q8412" t="n">
        <v>0</v>
      </c>
      <c r="R8412" s="2" t="inlineStr"/>
    </row>
    <row r="8413" ht="15" customHeight="1">
      <c r="A8413" t="inlineStr">
        <is>
          <t>A 18894-2025</t>
        </is>
      </c>
      <c r="B8413" s="1" t="n">
        <v>45764.44842592593</v>
      </c>
      <c r="C8413" s="1" t="n">
        <v>46093</v>
      </c>
      <c r="D8413" t="inlineStr">
        <is>
          <t>VÄSTERNORRLANDS LÄN</t>
        </is>
      </c>
      <c r="E8413" t="inlineStr">
        <is>
          <t>HÄRNÖSAND</t>
        </is>
      </c>
      <c r="F8413" t="inlineStr">
        <is>
          <t>SCA</t>
        </is>
      </c>
      <c r="G8413" t="n">
        <v>5.8</v>
      </c>
      <c r="H8413" t="n">
        <v>0</v>
      </c>
      <c r="I8413" t="n">
        <v>0</v>
      </c>
      <c r="J8413" t="n">
        <v>0</v>
      </c>
      <c r="K8413" t="n">
        <v>0</v>
      </c>
      <c r="L8413" t="n">
        <v>0</v>
      </c>
      <c r="M8413" t="n">
        <v>0</v>
      </c>
      <c r="N8413" t="n">
        <v>0</v>
      </c>
      <c r="O8413" t="n">
        <v>0</v>
      </c>
      <c r="P8413" t="n">
        <v>0</v>
      </c>
      <c r="Q8413" t="n">
        <v>0</v>
      </c>
      <c r="R8413" s="2" t="inlineStr"/>
    </row>
    <row r="8414" ht="15" customHeight="1">
      <c r="A8414" t="inlineStr">
        <is>
          <t>A 13427-2023</t>
        </is>
      </c>
      <c r="B8414" s="1" t="n">
        <v>45005</v>
      </c>
      <c r="C8414" s="1" t="n">
        <v>46093</v>
      </c>
      <c r="D8414" t="inlineStr">
        <is>
          <t>VÄSTERNORRLANDS LÄN</t>
        </is>
      </c>
      <c r="E8414" t="inlineStr">
        <is>
          <t>ÖRNSKÖLDSVIK</t>
        </is>
      </c>
      <c r="G8414" t="n">
        <v>3.4</v>
      </c>
      <c r="H8414" t="n">
        <v>0</v>
      </c>
      <c r="I8414" t="n">
        <v>0</v>
      </c>
      <c r="J8414" t="n">
        <v>0</v>
      </c>
      <c r="K8414" t="n">
        <v>0</v>
      </c>
      <c r="L8414" t="n">
        <v>0</v>
      </c>
      <c r="M8414" t="n">
        <v>0</v>
      </c>
      <c r="N8414" t="n">
        <v>0</v>
      </c>
      <c r="O8414" t="n">
        <v>0</v>
      </c>
      <c r="P8414" t="n">
        <v>0</v>
      </c>
      <c r="Q8414" t="n">
        <v>0</v>
      </c>
      <c r="R8414" s="2" t="inlineStr"/>
    </row>
    <row r="8415" ht="15" customHeight="1">
      <c r="A8415" t="inlineStr">
        <is>
          <t>A 13691-2023</t>
        </is>
      </c>
      <c r="B8415" s="1" t="n">
        <v>45006</v>
      </c>
      <c r="C8415" s="1" t="n">
        <v>46093</v>
      </c>
      <c r="D8415" t="inlineStr">
        <is>
          <t>VÄSTERNORRLANDS LÄN</t>
        </is>
      </c>
      <c r="E8415" t="inlineStr">
        <is>
          <t>SUNDSVALL</t>
        </is>
      </c>
      <c r="G8415" t="n">
        <v>9.5</v>
      </c>
      <c r="H8415" t="n">
        <v>0</v>
      </c>
      <c r="I8415" t="n">
        <v>0</v>
      </c>
      <c r="J8415" t="n">
        <v>0</v>
      </c>
      <c r="K8415" t="n">
        <v>0</v>
      </c>
      <c r="L8415" t="n">
        <v>0</v>
      </c>
      <c r="M8415" t="n">
        <v>0</v>
      </c>
      <c r="N8415" t="n">
        <v>0</v>
      </c>
      <c r="O8415" t="n">
        <v>0</v>
      </c>
      <c r="P8415" t="n">
        <v>0</v>
      </c>
      <c r="Q8415" t="n">
        <v>0</v>
      </c>
      <c r="R8415" s="2" t="inlineStr"/>
    </row>
    <row r="8416" ht="15" customHeight="1">
      <c r="A8416" t="inlineStr">
        <is>
          <t>A 13697-2023</t>
        </is>
      </c>
      <c r="B8416" s="1" t="n">
        <v>45006.94445601852</v>
      </c>
      <c r="C8416" s="1" t="n">
        <v>46093</v>
      </c>
      <c r="D8416" t="inlineStr">
        <is>
          <t>VÄSTERNORRLANDS LÄN</t>
        </is>
      </c>
      <c r="E8416" t="inlineStr">
        <is>
          <t>SOLLEFTEÅ</t>
        </is>
      </c>
      <c r="F8416" t="inlineStr">
        <is>
          <t>SCA</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58588-2025</t>
        </is>
      </c>
      <c r="B8417" s="1" t="n">
        <v>45986.4065625</v>
      </c>
      <c r="C8417" s="1" t="n">
        <v>46093</v>
      </c>
      <c r="D8417" t="inlineStr">
        <is>
          <t>VÄSTERNORRLANDS LÄN</t>
        </is>
      </c>
      <c r="E8417" t="inlineStr">
        <is>
          <t>ÅNGE</t>
        </is>
      </c>
      <c r="G8417" t="n">
        <v>1.8</v>
      </c>
      <c r="H8417" t="n">
        <v>0</v>
      </c>
      <c r="I8417" t="n">
        <v>0</v>
      </c>
      <c r="J8417" t="n">
        <v>0</v>
      </c>
      <c r="K8417" t="n">
        <v>0</v>
      </c>
      <c r="L8417" t="n">
        <v>0</v>
      </c>
      <c r="M8417" t="n">
        <v>0</v>
      </c>
      <c r="N8417" t="n">
        <v>0</v>
      </c>
      <c r="O8417" t="n">
        <v>0</v>
      </c>
      <c r="P8417" t="n">
        <v>0</v>
      </c>
      <c r="Q8417" t="n">
        <v>0</v>
      </c>
      <c r="R8417" s="2" t="inlineStr"/>
    </row>
    <row r="8418" ht="15" customHeight="1">
      <c r="A8418" t="inlineStr">
        <is>
          <t>A 58605-2025</t>
        </is>
      </c>
      <c r="B8418" s="1" t="n">
        <v>45986</v>
      </c>
      <c r="C8418" s="1" t="n">
        <v>46093</v>
      </c>
      <c r="D8418" t="inlineStr">
        <is>
          <t>VÄSTERNORRLANDS LÄN</t>
        </is>
      </c>
      <c r="E8418" t="inlineStr">
        <is>
          <t>ÅNGE</t>
        </is>
      </c>
      <c r="G8418" t="n">
        <v>3.2</v>
      </c>
      <c r="H8418" t="n">
        <v>0</v>
      </c>
      <c r="I8418" t="n">
        <v>0</v>
      </c>
      <c r="J8418" t="n">
        <v>0</v>
      </c>
      <c r="K8418" t="n">
        <v>0</v>
      </c>
      <c r="L8418" t="n">
        <v>0</v>
      </c>
      <c r="M8418" t="n">
        <v>0</v>
      </c>
      <c r="N8418" t="n">
        <v>0</v>
      </c>
      <c r="O8418" t="n">
        <v>0</v>
      </c>
      <c r="P8418" t="n">
        <v>0</v>
      </c>
      <c r="Q8418" t="n">
        <v>0</v>
      </c>
      <c r="R8418" s="2" t="inlineStr"/>
    </row>
    <row r="8419" ht="15" customHeight="1">
      <c r="A8419" t="inlineStr">
        <is>
          <t>A 54638-2022</t>
        </is>
      </c>
      <c r="B8419" s="1" t="n">
        <v>44883</v>
      </c>
      <c r="C8419" s="1" t="n">
        <v>46093</v>
      </c>
      <c r="D8419" t="inlineStr">
        <is>
          <t>VÄSTERNORRLANDS LÄN</t>
        </is>
      </c>
      <c r="E8419" t="inlineStr">
        <is>
          <t>KRAMFORS</t>
        </is>
      </c>
      <c r="G8419" t="n">
        <v>3.6</v>
      </c>
      <c r="H8419" t="n">
        <v>0</v>
      </c>
      <c r="I8419" t="n">
        <v>0</v>
      </c>
      <c r="J8419" t="n">
        <v>0</v>
      </c>
      <c r="K8419" t="n">
        <v>0</v>
      </c>
      <c r="L8419" t="n">
        <v>0</v>
      </c>
      <c r="M8419" t="n">
        <v>0</v>
      </c>
      <c r="N8419" t="n">
        <v>0</v>
      </c>
      <c r="O8419" t="n">
        <v>0</v>
      </c>
      <c r="P8419" t="n">
        <v>0</v>
      </c>
      <c r="Q8419" t="n">
        <v>0</v>
      </c>
      <c r="R8419" s="2" t="inlineStr"/>
    </row>
    <row r="8420" ht="15" customHeight="1">
      <c r="A8420" t="inlineStr">
        <is>
          <t>A 58205-2025</t>
        </is>
      </c>
      <c r="B8420" s="1" t="n">
        <v>45984.64722222222</v>
      </c>
      <c r="C8420" s="1" t="n">
        <v>46093</v>
      </c>
      <c r="D8420" t="inlineStr">
        <is>
          <t>VÄSTERNORRLANDS LÄN</t>
        </is>
      </c>
      <c r="E8420" t="inlineStr">
        <is>
          <t>SOLLEFTEÅ</t>
        </is>
      </c>
      <c r="G8420" t="n">
        <v>1.7</v>
      </c>
      <c r="H8420" t="n">
        <v>0</v>
      </c>
      <c r="I8420" t="n">
        <v>0</v>
      </c>
      <c r="J8420" t="n">
        <v>0</v>
      </c>
      <c r="K8420" t="n">
        <v>0</v>
      </c>
      <c r="L8420" t="n">
        <v>0</v>
      </c>
      <c r="M8420" t="n">
        <v>0</v>
      </c>
      <c r="N8420" t="n">
        <v>0</v>
      </c>
      <c r="O8420" t="n">
        <v>0</v>
      </c>
      <c r="P8420" t="n">
        <v>0</v>
      </c>
      <c r="Q8420" t="n">
        <v>0</v>
      </c>
      <c r="R8420" s="2" t="inlineStr"/>
    </row>
    <row r="8421" ht="15" customHeight="1">
      <c r="A8421" t="inlineStr">
        <is>
          <t>A 32922-2024</t>
        </is>
      </c>
      <c r="B8421" s="1" t="n">
        <v>45516.95263888889</v>
      </c>
      <c r="C8421" s="1" t="n">
        <v>46093</v>
      </c>
      <c r="D8421" t="inlineStr">
        <is>
          <t>VÄSTERNORRLANDS LÄN</t>
        </is>
      </c>
      <c r="E8421" t="inlineStr">
        <is>
          <t>ÅNGE</t>
        </is>
      </c>
      <c r="F8421" t="inlineStr">
        <is>
          <t>SCA</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32924-2024</t>
        </is>
      </c>
      <c r="B8422" s="1" t="n">
        <v>45516.95292824074</v>
      </c>
      <c r="C8422" s="1" t="n">
        <v>46093</v>
      </c>
      <c r="D8422" t="inlineStr">
        <is>
          <t>VÄSTERNORRLANDS LÄN</t>
        </is>
      </c>
      <c r="E8422" t="inlineStr">
        <is>
          <t>SOLLEFTEÅ</t>
        </is>
      </c>
      <c r="F8422" t="inlineStr">
        <is>
          <t>SCA</t>
        </is>
      </c>
      <c r="G8422" t="n">
        <v>4.4</v>
      </c>
      <c r="H8422" t="n">
        <v>0</v>
      </c>
      <c r="I8422" t="n">
        <v>0</v>
      </c>
      <c r="J8422" t="n">
        <v>0</v>
      </c>
      <c r="K8422" t="n">
        <v>0</v>
      </c>
      <c r="L8422" t="n">
        <v>0</v>
      </c>
      <c r="M8422" t="n">
        <v>0</v>
      </c>
      <c r="N8422" t="n">
        <v>0</v>
      </c>
      <c r="O8422" t="n">
        <v>0</v>
      </c>
      <c r="P8422" t="n">
        <v>0</v>
      </c>
      <c r="Q8422" t="n">
        <v>0</v>
      </c>
      <c r="R8422" s="2" t="inlineStr"/>
    </row>
    <row r="8423" ht="15" customHeight="1">
      <c r="A8423" t="inlineStr">
        <is>
          <t>A 58210-2025</t>
        </is>
      </c>
      <c r="B8423" s="1" t="n">
        <v>45985.33354166667</v>
      </c>
      <c r="C8423" s="1" t="n">
        <v>46093</v>
      </c>
      <c r="D8423" t="inlineStr">
        <is>
          <t>VÄSTERNORRLANDS LÄN</t>
        </is>
      </c>
      <c r="E8423" t="inlineStr">
        <is>
          <t>KRAMFORS</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9708-2025</t>
        </is>
      </c>
      <c r="B8424" s="1" t="n">
        <v>45716.38607638889</v>
      </c>
      <c r="C8424" s="1" t="n">
        <v>46093</v>
      </c>
      <c r="D8424" t="inlineStr">
        <is>
          <t>VÄSTERNORRLANDS LÄN</t>
        </is>
      </c>
      <c r="E8424" t="inlineStr">
        <is>
          <t>SOLLEFTEÅ</t>
        </is>
      </c>
      <c r="F8424" t="inlineStr">
        <is>
          <t>SCA</t>
        </is>
      </c>
      <c r="G8424" t="n">
        <v>8.699999999999999</v>
      </c>
      <c r="H8424" t="n">
        <v>0</v>
      </c>
      <c r="I8424" t="n">
        <v>0</v>
      </c>
      <c r="J8424" t="n">
        <v>0</v>
      </c>
      <c r="K8424" t="n">
        <v>0</v>
      </c>
      <c r="L8424" t="n">
        <v>0</v>
      </c>
      <c r="M8424" t="n">
        <v>0</v>
      </c>
      <c r="N8424" t="n">
        <v>0</v>
      </c>
      <c r="O8424" t="n">
        <v>0</v>
      </c>
      <c r="P8424" t="n">
        <v>0</v>
      </c>
      <c r="Q8424" t="n">
        <v>0</v>
      </c>
      <c r="R8424" s="2" t="inlineStr"/>
    </row>
    <row r="8425" ht="15" customHeight="1">
      <c r="A8425" t="inlineStr">
        <is>
          <t>A 13455-2025</t>
        </is>
      </c>
      <c r="B8425" s="1" t="n">
        <v>45736.38248842592</v>
      </c>
      <c r="C8425" s="1" t="n">
        <v>46093</v>
      </c>
      <c r="D8425" t="inlineStr">
        <is>
          <t>VÄSTERNORRLANDS LÄN</t>
        </is>
      </c>
      <c r="E8425" t="inlineStr">
        <is>
          <t>KRAMFORS</t>
        </is>
      </c>
      <c r="G8425" t="n">
        <v>2.7</v>
      </c>
      <c r="H8425" t="n">
        <v>0</v>
      </c>
      <c r="I8425" t="n">
        <v>0</v>
      </c>
      <c r="J8425" t="n">
        <v>0</v>
      </c>
      <c r="K8425" t="n">
        <v>0</v>
      </c>
      <c r="L8425" t="n">
        <v>0</v>
      </c>
      <c r="M8425" t="n">
        <v>0</v>
      </c>
      <c r="N8425" t="n">
        <v>0</v>
      </c>
      <c r="O8425" t="n">
        <v>0</v>
      </c>
      <c r="P8425" t="n">
        <v>0</v>
      </c>
      <c r="Q8425" t="n">
        <v>0</v>
      </c>
      <c r="R8425" s="2" t="inlineStr"/>
    </row>
    <row r="8426" ht="15" customHeight="1">
      <c r="A8426" t="inlineStr">
        <is>
          <t>A 58585-2025</t>
        </is>
      </c>
      <c r="B8426" s="1" t="n">
        <v>45986.39733796296</v>
      </c>
      <c r="C8426" s="1" t="n">
        <v>46093</v>
      </c>
      <c r="D8426" t="inlineStr">
        <is>
          <t>VÄSTERNORRLANDS LÄN</t>
        </is>
      </c>
      <c r="E8426" t="inlineStr">
        <is>
          <t>ÅNGE</t>
        </is>
      </c>
      <c r="G8426" t="n">
        <v>3.1</v>
      </c>
      <c r="H8426" t="n">
        <v>0</v>
      </c>
      <c r="I8426" t="n">
        <v>0</v>
      </c>
      <c r="J8426" t="n">
        <v>0</v>
      </c>
      <c r="K8426" t="n">
        <v>0</v>
      </c>
      <c r="L8426" t="n">
        <v>0</v>
      </c>
      <c r="M8426" t="n">
        <v>0</v>
      </c>
      <c r="N8426" t="n">
        <v>0</v>
      </c>
      <c r="O8426" t="n">
        <v>0</v>
      </c>
      <c r="P8426" t="n">
        <v>0</v>
      </c>
      <c r="Q8426" t="n">
        <v>0</v>
      </c>
      <c r="R8426" s="2" t="inlineStr"/>
    </row>
    <row r="8427" ht="15" customHeight="1">
      <c r="A8427" t="inlineStr">
        <is>
          <t>A 58252-2025</t>
        </is>
      </c>
      <c r="B8427" s="1" t="n">
        <v>45985.39784722222</v>
      </c>
      <c r="C8427" s="1" t="n">
        <v>46093</v>
      </c>
      <c r="D8427" t="inlineStr">
        <is>
          <t>VÄSTERNORRLANDS LÄN</t>
        </is>
      </c>
      <c r="E8427" t="inlineStr">
        <is>
          <t>ÖRNSKÖLDSVIK</t>
        </is>
      </c>
      <c r="F8427" t="inlineStr">
        <is>
          <t>Holmen skog AB</t>
        </is>
      </c>
      <c r="G8427" t="n">
        <v>3.5</v>
      </c>
      <c r="H8427" t="n">
        <v>0</v>
      </c>
      <c r="I8427" t="n">
        <v>0</v>
      </c>
      <c r="J8427" t="n">
        <v>0</v>
      </c>
      <c r="K8427" t="n">
        <v>0</v>
      </c>
      <c r="L8427" t="n">
        <v>0</v>
      </c>
      <c r="M8427" t="n">
        <v>0</v>
      </c>
      <c r="N8427" t="n">
        <v>0</v>
      </c>
      <c r="O8427" t="n">
        <v>0</v>
      </c>
      <c r="P8427" t="n">
        <v>0</v>
      </c>
      <c r="Q8427" t="n">
        <v>0</v>
      </c>
      <c r="R8427" s="2" t="inlineStr"/>
    </row>
    <row r="8428" ht="15" customHeight="1">
      <c r="A8428" t="inlineStr">
        <is>
          <t>A 29597-2023</t>
        </is>
      </c>
      <c r="B8428" s="1" t="n">
        <v>45106</v>
      </c>
      <c r="C8428" s="1" t="n">
        <v>46093</v>
      </c>
      <c r="D8428" t="inlineStr">
        <is>
          <t>VÄSTERNORRLANDS LÄN</t>
        </is>
      </c>
      <c r="E8428" t="inlineStr">
        <is>
          <t>SUNDSVALL</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58735-2025</t>
        </is>
      </c>
      <c r="B8429" s="1" t="n">
        <v>45986.62780092593</v>
      </c>
      <c r="C8429" s="1" t="n">
        <v>46093</v>
      </c>
      <c r="D8429" t="inlineStr">
        <is>
          <t>VÄSTERNORRLANDS LÄN</t>
        </is>
      </c>
      <c r="E8429" t="inlineStr">
        <is>
          <t>ÖRNSKÖLDSVIK</t>
        </is>
      </c>
      <c r="G8429" t="n">
        <v>10.4</v>
      </c>
      <c r="H8429" t="n">
        <v>0</v>
      </c>
      <c r="I8429" t="n">
        <v>0</v>
      </c>
      <c r="J8429" t="n">
        <v>0</v>
      </c>
      <c r="K8429" t="n">
        <v>0</v>
      </c>
      <c r="L8429" t="n">
        <v>0</v>
      </c>
      <c r="M8429" t="n">
        <v>0</v>
      </c>
      <c r="N8429" t="n">
        <v>0</v>
      </c>
      <c r="O8429" t="n">
        <v>0</v>
      </c>
      <c r="P8429" t="n">
        <v>0</v>
      </c>
      <c r="Q8429" t="n">
        <v>0</v>
      </c>
      <c r="R8429" s="2" t="inlineStr"/>
    </row>
    <row r="8430" ht="15" customHeight="1">
      <c r="A8430" t="inlineStr">
        <is>
          <t>A 13499-2023</t>
        </is>
      </c>
      <c r="B8430" s="1" t="n">
        <v>45005</v>
      </c>
      <c r="C8430" s="1" t="n">
        <v>46093</v>
      </c>
      <c r="D8430" t="inlineStr">
        <is>
          <t>VÄSTERNORRLANDS LÄN</t>
        </is>
      </c>
      <c r="E8430" t="inlineStr">
        <is>
          <t>SOLLEFTEÅ</t>
        </is>
      </c>
      <c r="F8430" t="inlineStr">
        <is>
          <t>SCA</t>
        </is>
      </c>
      <c r="G8430" t="n">
        <v>4.4</v>
      </c>
      <c r="H8430" t="n">
        <v>0</v>
      </c>
      <c r="I8430" t="n">
        <v>0</v>
      </c>
      <c r="J8430" t="n">
        <v>0</v>
      </c>
      <c r="K8430" t="n">
        <v>0</v>
      </c>
      <c r="L8430" t="n">
        <v>0</v>
      </c>
      <c r="M8430" t="n">
        <v>0</v>
      </c>
      <c r="N8430" t="n">
        <v>0</v>
      </c>
      <c r="O8430" t="n">
        <v>0</v>
      </c>
      <c r="P8430" t="n">
        <v>0</v>
      </c>
      <c r="Q8430" t="n">
        <v>0</v>
      </c>
      <c r="R8430" s="2" t="inlineStr"/>
    </row>
    <row r="8431" ht="15" customHeight="1">
      <c r="A8431" t="inlineStr">
        <is>
          <t>A 13549-2023</t>
        </is>
      </c>
      <c r="B8431" s="1" t="n">
        <v>45006.45888888889</v>
      </c>
      <c r="C8431" s="1" t="n">
        <v>46093</v>
      </c>
      <c r="D8431" t="inlineStr">
        <is>
          <t>VÄSTERNORRLANDS LÄN</t>
        </is>
      </c>
      <c r="E8431" t="inlineStr">
        <is>
          <t>ÖRNSKÖLDSVIK</t>
        </is>
      </c>
      <c r="G8431" t="n">
        <v>2.5</v>
      </c>
      <c r="H8431" t="n">
        <v>0</v>
      </c>
      <c r="I8431" t="n">
        <v>0</v>
      </c>
      <c r="J8431" t="n">
        <v>0</v>
      </c>
      <c r="K8431" t="n">
        <v>0</v>
      </c>
      <c r="L8431" t="n">
        <v>0</v>
      </c>
      <c r="M8431" t="n">
        <v>0</v>
      </c>
      <c r="N8431" t="n">
        <v>0</v>
      </c>
      <c r="O8431" t="n">
        <v>0</v>
      </c>
      <c r="P8431" t="n">
        <v>0</v>
      </c>
      <c r="Q8431" t="n">
        <v>0</v>
      </c>
      <c r="R8431" s="2" t="inlineStr"/>
    </row>
    <row r="8432" ht="15" customHeight="1">
      <c r="A8432" t="inlineStr">
        <is>
          <t>A 29613-2023</t>
        </is>
      </c>
      <c r="B8432" s="1" t="n">
        <v>45106.94429398148</v>
      </c>
      <c r="C8432" s="1" t="n">
        <v>46093</v>
      </c>
      <c r="D8432" t="inlineStr">
        <is>
          <t>VÄSTERNORRLANDS LÄN</t>
        </is>
      </c>
      <c r="E8432" t="inlineStr">
        <is>
          <t>HÄRNÖSAND</t>
        </is>
      </c>
      <c r="F8432" t="inlineStr">
        <is>
          <t>SCA</t>
        </is>
      </c>
      <c r="G8432" t="n">
        <v>2</v>
      </c>
      <c r="H8432" t="n">
        <v>0</v>
      </c>
      <c r="I8432" t="n">
        <v>0</v>
      </c>
      <c r="J8432" t="n">
        <v>0</v>
      </c>
      <c r="K8432" t="n">
        <v>0</v>
      </c>
      <c r="L8432" t="n">
        <v>0</v>
      </c>
      <c r="M8432" t="n">
        <v>0</v>
      </c>
      <c r="N8432" t="n">
        <v>0</v>
      </c>
      <c r="O8432" t="n">
        <v>0</v>
      </c>
      <c r="P8432" t="n">
        <v>0</v>
      </c>
      <c r="Q8432" t="n">
        <v>0</v>
      </c>
      <c r="R8432" s="2" t="inlineStr"/>
    </row>
    <row r="8433" ht="15" customHeight="1">
      <c r="A8433" t="inlineStr">
        <is>
          <t>A 20450-2023</t>
        </is>
      </c>
      <c r="B8433" s="1" t="n">
        <v>45056</v>
      </c>
      <c r="C8433" s="1" t="n">
        <v>46093</v>
      </c>
      <c r="D8433" t="inlineStr">
        <is>
          <t>VÄSTERNORRLANDS LÄN</t>
        </is>
      </c>
      <c r="E8433" t="inlineStr">
        <is>
          <t>KRAMFORS</t>
        </is>
      </c>
      <c r="G8433" t="n">
        <v>4</v>
      </c>
      <c r="H8433" t="n">
        <v>0</v>
      </c>
      <c r="I8433" t="n">
        <v>0</v>
      </c>
      <c r="J8433" t="n">
        <v>0</v>
      </c>
      <c r="K8433" t="n">
        <v>0</v>
      </c>
      <c r="L8433" t="n">
        <v>0</v>
      </c>
      <c r="M8433" t="n">
        <v>0</v>
      </c>
      <c r="N8433" t="n">
        <v>0</v>
      </c>
      <c r="O8433" t="n">
        <v>0</v>
      </c>
      <c r="P8433" t="n">
        <v>0</v>
      </c>
      <c r="Q8433" t="n">
        <v>0</v>
      </c>
      <c r="R8433" s="2" t="inlineStr"/>
    </row>
    <row r="8434" ht="15" customHeight="1">
      <c r="A8434" t="inlineStr">
        <is>
          <t>A 30644-2023</t>
        </is>
      </c>
      <c r="B8434" s="1" t="n">
        <v>45112.47061342592</v>
      </c>
      <c r="C8434" s="1" t="n">
        <v>46093</v>
      </c>
      <c r="D8434" t="inlineStr">
        <is>
          <t>VÄSTERNORRLANDS LÄN</t>
        </is>
      </c>
      <c r="E8434" t="inlineStr">
        <is>
          <t>ÖRNSKÖLDSVIK</t>
        </is>
      </c>
      <c r="F8434" t="inlineStr">
        <is>
          <t>Holmen skog AB</t>
        </is>
      </c>
      <c r="G8434" t="n">
        <v>0.5</v>
      </c>
      <c r="H8434" t="n">
        <v>0</v>
      </c>
      <c r="I8434" t="n">
        <v>0</v>
      </c>
      <c r="J8434" t="n">
        <v>0</v>
      </c>
      <c r="K8434" t="n">
        <v>0</v>
      </c>
      <c r="L8434" t="n">
        <v>0</v>
      </c>
      <c r="M8434" t="n">
        <v>0</v>
      </c>
      <c r="N8434" t="n">
        <v>0</v>
      </c>
      <c r="O8434" t="n">
        <v>0</v>
      </c>
      <c r="P8434" t="n">
        <v>0</v>
      </c>
      <c r="Q8434" t="n">
        <v>0</v>
      </c>
      <c r="R8434" s="2" t="inlineStr"/>
    </row>
    <row r="8435" ht="15" customHeight="1">
      <c r="A8435" t="inlineStr">
        <is>
          <t>A 20547-2023</t>
        </is>
      </c>
      <c r="B8435" s="1" t="n">
        <v>45057</v>
      </c>
      <c r="C8435" s="1" t="n">
        <v>46093</v>
      </c>
      <c r="D8435" t="inlineStr">
        <is>
          <t>VÄSTERNORRLANDS LÄN</t>
        </is>
      </c>
      <c r="E8435" t="inlineStr">
        <is>
          <t>ÖRNSKÖLDSVIK</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20548-2023</t>
        </is>
      </c>
      <c r="B8436" s="1" t="n">
        <v>45057</v>
      </c>
      <c r="C8436" s="1" t="n">
        <v>46093</v>
      </c>
      <c r="D8436" t="inlineStr">
        <is>
          <t>VÄSTERNORRLANDS LÄN</t>
        </is>
      </c>
      <c r="E8436" t="inlineStr">
        <is>
          <t>ÖRNSKÖLDSVIK</t>
        </is>
      </c>
      <c r="G8436" t="n">
        <v>1.3</v>
      </c>
      <c r="H8436" t="n">
        <v>0</v>
      </c>
      <c r="I8436" t="n">
        <v>0</v>
      </c>
      <c r="J8436" t="n">
        <v>0</v>
      </c>
      <c r="K8436" t="n">
        <v>0</v>
      </c>
      <c r="L8436" t="n">
        <v>0</v>
      </c>
      <c r="M8436" t="n">
        <v>0</v>
      </c>
      <c r="N8436" t="n">
        <v>0</v>
      </c>
      <c r="O8436" t="n">
        <v>0</v>
      </c>
      <c r="P8436" t="n">
        <v>0</v>
      </c>
      <c r="Q8436" t="n">
        <v>0</v>
      </c>
      <c r="R8436" s="2" t="inlineStr"/>
    </row>
    <row r="8437" ht="15" customHeight="1">
      <c r="A8437" t="inlineStr">
        <is>
          <t>A 30453-2023</t>
        </is>
      </c>
      <c r="B8437" s="1" t="n">
        <v>45111.57388888889</v>
      </c>
      <c r="C8437" s="1" t="n">
        <v>46093</v>
      </c>
      <c r="D8437" t="inlineStr">
        <is>
          <t>VÄSTERNORRLANDS LÄN</t>
        </is>
      </c>
      <c r="E8437" t="inlineStr">
        <is>
          <t>ÖRNSKÖLDSVIK</t>
        </is>
      </c>
      <c r="F8437" t="inlineStr">
        <is>
          <t>Holmen skog AB</t>
        </is>
      </c>
      <c r="G8437" t="n">
        <v>3</v>
      </c>
      <c r="H8437" t="n">
        <v>0</v>
      </c>
      <c r="I8437" t="n">
        <v>0</v>
      </c>
      <c r="J8437" t="n">
        <v>0</v>
      </c>
      <c r="K8437" t="n">
        <v>0</v>
      </c>
      <c r="L8437" t="n">
        <v>0</v>
      </c>
      <c r="M8437" t="n">
        <v>0</v>
      </c>
      <c r="N8437" t="n">
        <v>0</v>
      </c>
      <c r="O8437" t="n">
        <v>0</v>
      </c>
      <c r="P8437" t="n">
        <v>0</v>
      </c>
      <c r="Q8437" t="n">
        <v>0</v>
      </c>
      <c r="R8437" s="2" t="inlineStr"/>
    </row>
    <row r="8438" ht="15" customHeight="1">
      <c r="A8438" t="inlineStr">
        <is>
          <t>A 11189-2025</t>
        </is>
      </c>
      <c r="B8438" s="1" t="n">
        <v>45725.71878472222</v>
      </c>
      <c r="C8438" s="1" t="n">
        <v>46093</v>
      </c>
      <c r="D8438" t="inlineStr">
        <is>
          <t>VÄSTERNORRLANDS LÄN</t>
        </is>
      </c>
      <c r="E8438" t="inlineStr">
        <is>
          <t>KRAMFORS</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11226-2025</t>
        </is>
      </c>
      <c r="B8439" s="1" t="n">
        <v>45726.34546296296</v>
      </c>
      <c r="C8439" s="1" t="n">
        <v>46093</v>
      </c>
      <c r="D8439" t="inlineStr">
        <is>
          <t>VÄSTERNORRLANDS LÄN</t>
        </is>
      </c>
      <c r="E8439" t="inlineStr">
        <is>
          <t>ÖRNSKÖLDSVIK</t>
        </is>
      </c>
      <c r="G8439" t="n">
        <v>1.4</v>
      </c>
      <c r="H8439" t="n">
        <v>0</v>
      </c>
      <c r="I8439" t="n">
        <v>0</v>
      </c>
      <c r="J8439" t="n">
        <v>0</v>
      </c>
      <c r="K8439" t="n">
        <v>0</v>
      </c>
      <c r="L8439" t="n">
        <v>0</v>
      </c>
      <c r="M8439" t="n">
        <v>0</v>
      </c>
      <c r="N8439" t="n">
        <v>0</v>
      </c>
      <c r="O8439" t="n">
        <v>0</v>
      </c>
      <c r="P8439" t="n">
        <v>0</v>
      </c>
      <c r="Q8439" t="n">
        <v>0</v>
      </c>
      <c r="R8439" s="2" t="inlineStr"/>
    </row>
    <row r="8440" ht="15" customHeight="1">
      <c r="A8440" t="inlineStr">
        <is>
          <t>A 58615-2025</t>
        </is>
      </c>
      <c r="B8440" s="1" t="n">
        <v>45986.46577546297</v>
      </c>
      <c r="C8440" s="1" t="n">
        <v>46093</v>
      </c>
      <c r="D8440" t="inlineStr">
        <is>
          <t>VÄSTERNORRLANDS LÄN</t>
        </is>
      </c>
      <c r="E8440" t="inlineStr">
        <is>
          <t>SUNDSVALL</t>
        </is>
      </c>
      <c r="G8440" t="n">
        <v>3.3</v>
      </c>
      <c r="H8440" t="n">
        <v>0</v>
      </c>
      <c r="I8440" t="n">
        <v>0</v>
      </c>
      <c r="J8440" t="n">
        <v>0</v>
      </c>
      <c r="K8440" t="n">
        <v>0</v>
      </c>
      <c r="L8440" t="n">
        <v>0</v>
      </c>
      <c r="M8440" t="n">
        <v>0</v>
      </c>
      <c r="N8440" t="n">
        <v>0</v>
      </c>
      <c r="O8440" t="n">
        <v>0</v>
      </c>
      <c r="P8440" t="n">
        <v>0</v>
      </c>
      <c r="Q8440" t="n">
        <v>0</v>
      </c>
      <c r="R8440" s="2" t="inlineStr"/>
    </row>
    <row r="8441" ht="15" customHeight="1">
      <c r="A8441" t="inlineStr">
        <is>
          <t>A 68615-2021</t>
        </is>
      </c>
      <c r="B8441" s="1" t="n">
        <v>44529</v>
      </c>
      <c r="C8441" s="1" t="n">
        <v>46093</v>
      </c>
      <c r="D8441" t="inlineStr">
        <is>
          <t>VÄSTERNORRLANDS LÄN</t>
        </is>
      </c>
      <c r="E8441" t="inlineStr">
        <is>
          <t>KRAMFORS</t>
        </is>
      </c>
      <c r="G8441" t="n">
        <v>6.1</v>
      </c>
      <c r="H8441" t="n">
        <v>0</v>
      </c>
      <c r="I8441" t="n">
        <v>0</v>
      </c>
      <c r="J8441" t="n">
        <v>0</v>
      </c>
      <c r="K8441" t="n">
        <v>0</v>
      </c>
      <c r="L8441" t="n">
        <v>0</v>
      </c>
      <c r="M8441" t="n">
        <v>0</v>
      </c>
      <c r="N8441" t="n">
        <v>0</v>
      </c>
      <c r="O8441" t="n">
        <v>0</v>
      </c>
      <c r="P8441" t="n">
        <v>0</v>
      </c>
      <c r="Q8441" t="n">
        <v>0</v>
      </c>
      <c r="R8441" s="2" t="inlineStr"/>
    </row>
    <row r="8442" ht="15" customHeight="1">
      <c r="A8442" t="inlineStr">
        <is>
          <t>A 42512-2023</t>
        </is>
      </c>
      <c r="B8442" s="1" t="n">
        <v>45180.95953703704</v>
      </c>
      <c r="C8442" s="1" t="n">
        <v>46093</v>
      </c>
      <c r="D8442" t="inlineStr">
        <is>
          <t>VÄSTERNORRLANDS LÄN</t>
        </is>
      </c>
      <c r="E8442" t="inlineStr">
        <is>
          <t>SOLLEFTEÅ</t>
        </is>
      </c>
      <c r="F8442" t="inlineStr">
        <is>
          <t>SCA</t>
        </is>
      </c>
      <c r="G8442" t="n">
        <v>4.7</v>
      </c>
      <c r="H8442" t="n">
        <v>0</v>
      </c>
      <c r="I8442" t="n">
        <v>0</v>
      </c>
      <c r="J8442" t="n">
        <v>0</v>
      </c>
      <c r="K8442" t="n">
        <v>0</v>
      </c>
      <c r="L8442" t="n">
        <v>0</v>
      </c>
      <c r="M8442" t="n">
        <v>0</v>
      </c>
      <c r="N8442" t="n">
        <v>0</v>
      </c>
      <c r="O8442" t="n">
        <v>0</v>
      </c>
      <c r="P8442" t="n">
        <v>0</v>
      </c>
      <c r="Q8442" t="n">
        <v>0</v>
      </c>
      <c r="R8442" s="2" t="inlineStr"/>
    </row>
    <row r="8443" ht="15" customHeight="1">
      <c r="A8443" t="inlineStr">
        <is>
          <t>A 58486-2025</t>
        </is>
      </c>
      <c r="B8443" s="1" t="n">
        <v>45985.65660879629</v>
      </c>
      <c r="C8443" s="1" t="n">
        <v>46093</v>
      </c>
      <c r="D8443" t="inlineStr">
        <is>
          <t>VÄSTERNORRLANDS LÄN</t>
        </is>
      </c>
      <c r="E8443" t="inlineStr">
        <is>
          <t>ÅNGE</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58243-2023</t>
        </is>
      </c>
      <c r="B8444" s="1" t="n">
        <v>45250</v>
      </c>
      <c r="C8444" s="1" t="n">
        <v>46093</v>
      </c>
      <c r="D8444" t="inlineStr">
        <is>
          <t>VÄSTERNORRLANDS LÄN</t>
        </is>
      </c>
      <c r="E8444" t="inlineStr">
        <is>
          <t>SUNDSVALL</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58265-2025</t>
        </is>
      </c>
      <c r="B8445" s="1" t="n">
        <v>45985.42018518518</v>
      </c>
      <c r="C8445" s="1" t="n">
        <v>46093</v>
      </c>
      <c r="D8445" t="inlineStr">
        <is>
          <t>VÄSTERNORRLANDS LÄN</t>
        </is>
      </c>
      <c r="E8445" t="inlineStr">
        <is>
          <t>TIMRÅ</t>
        </is>
      </c>
      <c r="G8445" t="n">
        <v>2</v>
      </c>
      <c r="H8445" t="n">
        <v>0</v>
      </c>
      <c r="I8445" t="n">
        <v>0</v>
      </c>
      <c r="J8445" t="n">
        <v>0</v>
      </c>
      <c r="K8445" t="n">
        <v>0</v>
      </c>
      <c r="L8445" t="n">
        <v>0</v>
      </c>
      <c r="M8445" t="n">
        <v>0</v>
      </c>
      <c r="N8445" t="n">
        <v>0</v>
      </c>
      <c r="O8445" t="n">
        <v>0</v>
      </c>
      <c r="P8445" t="n">
        <v>0</v>
      </c>
      <c r="Q8445" t="n">
        <v>0</v>
      </c>
      <c r="R8445" s="2" t="inlineStr"/>
    </row>
    <row r="8446" ht="15" customHeight="1">
      <c r="A8446" t="inlineStr">
        <is>
          <t>A 58715-2025</t>
        </is>
      </c>
      <c r="B8446" s="1" t="n">
        <v>45986.61331018519</v>
      </c>
      <c r="C8446" s="1" t="n">
        <v>46093</v>
      </c>
      <c r="D8446" t="inlineStr">
        <is>
          <t>VÄSTERNORRLANDS LÄN</t>
        </is>
      </c>
      <c r="E8446" t="inlineStr">
        <is>
          <t>ÖRNSKÖLDSVIK</t>
        </is>
      </c>
      <c r="G8446" t="n">
        <v>10.4</v>
      </c>
      <c r="H8446" t="n">
        <v>0</v>
      </c>
      <c r="I8446" t="n">
        <v>0</v>
      </c>
      <c r="J8446" t="n">
        <v>0</v>
      </c>
      <c r="K8446" t="n">
        <v>0</v>
      </c>
      <c r="L8446" t="n">
        <v>0</v>
      </c>
      <c r="M8446" t="n">
        <v>0</v>
      </c>
      <c r="N8446" t="n">
        <v>0</v>
      </c>
      <c r="O8446" t="n">
        <v>0</v>
      </c>
      <c r="P8446" t="n">
        <v>0</v>
      </c>
      <c r="Q8446" t="n">
        <v>0</v>
      </c>
      <c r="R8446" s="2" t="inlineStr"/>
    </row>
    <row r="8447" ht="15" customHeight="1">
      <c r="A8447" t="inlineStr">
        <is>
          <t>A 20437-2025</t>
        </is>
      </c>
      <c r="B8447" s="1" t="n">
        <v>45775</v>
      </c>
      <c r="C8447" s="1" t="n">
        <v>46093</v>
      </c>
      <c r="D8447" t="inlineStr">
        <is>
          <t>VÄSTERNORRLANDS LÄN</t>
        </is>
      </c>
      <c r="E8447" t="inlineStr">
        <is>
          <t>SOLLEFTEÅ</t>
        </is>
      </c>
      <c r="G8447" t="n">
        <v>1.5</v>
      </c>
      <c r="H8447" t="n">
        <v>0</v>
      </c>
      <c r="I8447" t="n">
        <v>0</v>
      </c>
      <c r="J8447" t="n">
        <v>0</v>
      </c>
      <c r="K8447" t="n">
        <v>0</v>
      </c>
      <c r="L8447" t="n">
        <v>0</v>
      </c>
      <c r="M8447" t="n">
        <v>0</v>
      </c>
      <c r="N8447" t="n">
        <v>0</v>
      </c>
      <c r="O8447" t="n">
        <v>0</v>
      </c>
      <c r="P8447" t="n">
        <v>0</v>
      </c>
      <c r="Q8447" t="n">
        <v>0</v>
      </c>
      <c r="R8447" s="2" t="inlineStr"/>
    </row>
    <row r="8448" ht="15" customHeight="1">
      <c r="A8448" t="inlineStr">
        <is>
          <t>A 32908-2024</t>
        </is>
      </c>
      <c r="B8448" s="1" t="n">
        <v>45516</v>
      </c>
      <c r="C8448" s="1" t="n">
        <v>46093</v>
      </c>
      <c r="D8448" t="inlineStr">
        <is>
          <t>VÄSTERNORRLANDS LÄN</t>
        </is>
      </c>
      <c r="E8448" t="inlineStr">
        <is>
          <t>KRAMFORS</t>
        </is>
      </c>
      <c r="G8448" t="n">
        <v>0.7</v>
      </c>
      <c r="H8448" t="n">
        <v>0</v>
      </c>
      <c r="I8448" t="n">
        <v>0</v>
      </c>
      <c r="J8448" t="n">
        <v>0</v>
      </c>
      <c r="K8448" t="n">
        <v>0</v>
      </c>
      <c r="L8448" t="n">
        <v>0</v>
      </c>
      <c r="M8448" t="n">
        <v>0</v>
      </c>
      <c r="N8448" t="n">
        <v>0</v>
      </c>
      <c r="O8448" t="n">
        <v>0</v>
      </c>
      <c r="P8448" t="n">
        <v>0</v>
      </c>
      <c r="Q8448" t="n">
        <v>0</v>
      </c>
      <c r="R8448" s="2" t="inlineStr"/>
    </row>
    <row r="8449" ht="15" customHeight="1">
      <c r="A8449" t="inlineStr">
        <is>
          <t>A 13371-2025</t>
        </is>
      </c>
      <c r="B8449" s="1" t="n">
        <v>45735.66290509259</v>
      </c>
      <c r="C8449" s="1" t="n">
        <v>46093</v>
      </c>
      <c r="D8449" t="inlineStr">
        <is>
          <t>VÄSTERNORRLANDS LÄN</t>
        </is>
      </c>
      <c r="E8449" t="inlineStr">
        <is>
          <t>SUNDSVALL</t>
        </is>
      </c>
      <c r="G8449" t="n">
        <v>4.2</v>
      </c>
      <c r="H8449" t="n">
        <v>0</v>
      </c>
      <c r="I8449" t="n">
        <v>0</v>
      </c>
      <c r="J8449" t="n">
        <v>0</v>
      </c>
      <c r="K8449" t="n">
        <v>0</v>
      </c>
      <c r="L8449" t="n">
        <v>0</v>
      </c>
      <c r="M8449" t="n">
        <v>0</v>
      </c>
      <c r="N8449" t="n">
        <v>0</v>
      </c>
      <c r="O8449" t="n">
        <v>0</v>
      </c>
      <c r="P8449" t="n">
        <v>0</v>
      </c>
      <c r="Q8449" t="n">
        <v>0</v>
      </c>
      <c r="R8449" s="2" t="inlineStr"/>
    </row>
    <row r="8450" ht="15" customHeight="1">
      <c r="A8450" t="inlineStr">
        <is>
          <t>A 58283-2025</t>
        </is>
      </c>
      <c r="B8450" s="1" t="n">
        <v>45985.44314814815</v>
      </c>
      <c r="C8450" s="1" t="n">
        <v>46093</v>
      </c>
      <c r="D8450" t="inlineStr">
        <is>
          <t>VÄSTERNORRLANDS LÄN</t>
        </is>
      </c>
      <c r="E8450" t="inlineStr">
        <is>
          <t>TIMRÅ</t>
        </is>
      </c>
      <c r="G8450" t="n">
        <v>4.1</v>
      </c>
      <c r="H8450" t="n">
        <v>0</v>
      </c>
      <c r="I8450" t="n">
        <v>0</v>
      </c>
      <c r="J8450" t="n">
        <v>0</v>
      </c>
      <c r="K8450" t="n">
        <v>0</v>
      </c>
      <c r="L8450" t="n">
        <v>0</v>
      </c>
      <c r="M8450" t="n">
        <v>0</v>
      </c>
      <c r="N8450" t="n">
        <v>0</v>
      </c>
      <c r="O8450" t="n">
        <v>0</v>
      </c>
      <c r="P8450" t="n">
        <v>0</v>
      </c>
      <c r="Q8450" t="n">
        <v>0</v>
      </c>
      <c r="R8450" s="2" t="inlineStr"/>
    </row>
    <row r="8451" ht="15" customHeight="1">
      <c r="A8451" t="inlineStr">
        <is>
          <t>A 58291-2025</t>
        </is>
      </c>
      <c r="B8451" s="1" t="n">
        <v>45985.44837962963</v>
      </c>
      <c r="C8451" s="1" t="n">
        <v>46093</v>
      </c>
      <c r="D8451" t="inlineStr">
        <is>
          <t>VÄSTERNORRLANDS LÄN</t>
        </is>
      </c>
      <c r="E8451" t="inlineStr">
        <is>
          <t>KRAMFORS</t>
        </is>
      </c>
      <c r="G8451" t="n">
        <v>3.6</v>
      </c>
      <c r="H8451" t="n">
        <v>0</v>
      </c>
      <c r="I8451" t="n">
        <v>0</v>
      </c>
      <c r="J8451" t="n">
        <v>0</v>
      </c>
      <c r="K8451" t="n">
        <v>0</v>
      </c>
      <c r="L8451" t="n">
        <v>0</v>
      </c>
      <c r="M8451" t="n">
        <v>0</v>
      </c>
      <c r="N8451" t="n">
        <v>0</v>
      </c>
      <c r="O8451" t="n">
        <v>0</v>
      </c>
      <c r="P8451" t="n">
        <v>0</v>
      </c>
      <c r="Q8451" t="n">
        <v>0</v>
      </c>
      <c r="R8451" s="2" t="inlineStr"/>
    </row>
    <row r="8452" ht="15" customHeight="1">
      <c r="A8452" t="inlineStr">
        <is>
          <t>A 17034-2025</t>
        </is>
      </c>
      <c r="B8452" s="1" t="n">
        <v>45755.57385416667</v>
      </c>
      <c r="C8452" s="1" t="n">
        <v>46093</v>
      </c>
      <c r="D8452" t="inlineStr">
        <is>
          <t>VÄSTERNORRLANDS LÄN</t>
        </is>
      </c>
      <c r="E8452" t="inlineStr">
        <is>
          <t>SOLLEFTEÅ</t>
        </is>
      </c>
      <c r="F8452" t="inlineStr">
        <is>
          <t>SCA</t>
        </is>
      </c>
      <c r="G8452" t="n">
        <v>2</v>
      </c>
      <c r="H8452" t="n">
        <v>0</v>
      </c>
      <c r="I8452" t="n">
        <v>0</v>
      </c>
      <c r="J8452" t="n">
        <v>0</v>
      </c>
      <c r="K8452" t="n">
        <v>0</v>
      </c>
      <c r="L8452" t="n">
        <v>0</v>
      </c>
      <c r="M8452" t="n">
        <v>0</v>
      </c>
      <c r="N8452" t="n">
        <v>0</v>
      </c>
      <c r="O8452" t="n">
        <v>0</v>
      </c>
      <c r="P8452" t="n">
        <v>0</v>
      </c>
      <c r="Q8452" t="n">
        <v>0</v>
      </c>
      <c r="R8452" s="2" t="inlineStr"/>
    </row>
    <row r="8453" ht="15" customHeight="1">
      <c r="A8453" t="inlineStr">
        <is>
          <t>A 58467-2025</t>
        </is>
      </c>
      <c r="B8453" s="1" t="n">
        <v>45985.63694444444</v>
      </c>
      <c r="C8453" s="1" t="n">
        <v>46093</v>
      </c>
      <c r="D8453" t="inlineStr">
        <is>
          <t>VÄSTERNORRLANDS LÄN</t>
        </is>
      </c>
      <c r="E8453" t="inlineStr">
        <is>
          <t>HÄRNÖSAND</t>
        </is>
      </c>
      <c r="G8453" t="n">
        <v>12.3</v>
      </c>
      <c r="H8453" t="n">
        <v>0</v>
      </c>
      <c r="I8453" t="n">
        <v>0</v>
      </c>
      <c r="J8453" t="n">
        <v>0</v>
      </c>
      <c r="K8453" t="n">
        <v>0</v>
      </c>
      <c r="L8453" t="n">
        <v>0</v>
      </c>
      <c r="M8453" t="n">
        <v>0</v>
      </c>
      <c r="N8453" t="n">
        <v>0</v>
      </c>
      <c r="O8453" t="n">
        <v>0</v>
      </c>
      <c r="P8453" t="n">
        <v>0</v>
      </c>
      <c r="Q8453" t="n">
        <v>0</v>
      </c>
      <c r="R8453" s="2" t="inlineStr"/>
    </row>
    <row r="8454" ht="15" customHeight="1">
      <c r="A8454" t="inlineStr">
        <is>
          <t>A 13637-2025</t>
        </is>
      </c>
      <c r="B8454" s="1" t="n">
        <v>45736.65681712963</v>
      </c>
      <c r="C8454" s="1" t="n">
        <v>46093</v>
      </c>
      <c r="D8454" t="inlineStr">
        <is>
          <t>VÄSTERNORRLANDS LÄN</t>
        </is>
      </c>
      <c r="E8454" t="inlineStr">
        <is>
          <t>SOLLEFTEÅ</t>
        </is>
      </c>
      <c r="F8454" t="inlineStr">
        <is>
          <t>SCA</t>
        </is>
      </c>
      <c r="G8454" t="n">
        <v>3.3</v>
      </c>
      <c r="H8454" t="n">
        <v>0</v>
      </c>
      <c r="I8454" t="n">
        <v>0</v>
      </c>
      <c r="J8454" t="n">
        <v>0</v>
      </c>
      <c r="K8454" t="n">
        <v>0</v>
      </c>
      <c r="L8454" t="n">
        <v>0</v>
      </c>
      <c r="M8454" t="n">
        <v>0</v>
      </c>
      <c r="N8454" t="n">
        <v>0</v>
      </c>
      <c r="O8454" t="n">
        <v>0</v>
      </c>
      <c r="P8454" t="n">
        <v>0</v>
      </c>
      <c r="Q8454" t="n">
        <v>0</v>
      </c>
      <c r="R8454" s="2" t="inlineStr"/>
    </row>
    <row r="8455" ht="15" customHeight="1">
      <c r="A8455" t="inlineStr">
        <is>
          <t>A 69266-2021</t>
        </is>
      </c>
      <c r="B8455" s="1" t="n">
        <v>44530</v>
      </c>
      <c r="C8455" s="1" t="n">
        <v>46093</v>
      </c>
      <c r="D8455" t="inlineStr">
        <is>
          <t>VÄSTERNORRLANDS LÄN</t>
        </is>
      </c>
      <c r="E8455" t="inlineStr">
        <is>
          <t>TIMRÅ</t>
        </is>
      </c>
      <c r="G8455" t="n">
        <v>0.3</v>
      </c>
      <c r="H8455" t="n">
        <v>0</v>
      </c>
      <c r="I8455" t="n">
        <v>0</v>
      </c>
      <c r="J8455" t="n">
        <v>0</v>
      </c>
      <c r="K8455" t="n">
        <v>0</v>
      </c>
      <c r="L8455" t="n">
        <v>0</v>
      </c>
      <c r="M8455" t="n">
        <v>0</v>
      </c>
      <c r="N8455" t="n">
        <v>0</v>
      </c>
      <c r="O8455" t="n">
        <v>0</v>
      </c>
      <c r="P8455" t="n">
        <v>0</v>
      </c>
      <c r="Q8455" t="n">
        <v>0</v>
      </c>
      <c r="R8455" s="2" t="inlineStr"/>
    </row>
    <row r="8456" ht="15" customHeight="1">
      <c r="A8456" t="inlineStr">
        <is>
          <t>A 34852-2024</t>
        </is>
      </c>
      <c r="B8456" s="1" t="n">
        <v>45527</v>
      </c>
      <c r="C8456" s="1" t="n">
        <v>46093</v>
      </c>
      <c r="D8456" t="inlineStr">
        <is>
          <t>VÄSTERNORRLANDS LÄN</t>
        </is>
      </c>
      <c r="E8456" t="inlineStr">
        <is>
          <t>ÖRNSKÖLDSVIK</t>
        </is>
      </c>
      <c r="F8456" t="inlineStr">
        <is>
          <t>Holmen skog AB</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35469-2024</t>
        </is>
      </c>
      <c r="B8457" s="1" t="n">
        <v>45531</v>
      </c>
      <c r="C8457" s="1" t="n">
        <v>46093</v>
      </c>
      <c r="D8457" t="inlineStr">
        <is>
          <t>VÄSTERNORRLANDS LÄN</t>
        </is>
      </c>
      <c r="E8457" t="inlineStr">
        <is>
          <t>SOLLEFTEÅ</t>
        </is>
      </c>
      <c r="G8457" t="n">
        <v>3</v>
      </c>
      <c r="H8457" t="n">
        <v>0</v>
      </c>
      <c r="I8457" t="n">
        <v>0</v>
      </c>
      <c r="J8457" t="n">
        <v>0</v>
      </c>
      <c r="K8457" t="n">
        <v>0</v>
      </c>
      <c r="L8457" t="n">
        <v>0</v>
      </c>
      <c r="M8457" t="n">
        <v>0</v>
      </c>
      <c r="N8457" t="n">
        <v>0</v>
      </c>
      <c r="O8457" t="n">
        <v>0</v>
      </c>
      <c r="P8457" t="n">
        <v>0</v>
      </c>
      <c r="Q8457" t="n">
        <v>0</v>
      </c>
      <c r="R8457" s="2" t="inlineStr"/>
    </row>
    <row r="8458" ht="15" customHeight="1">
      <c r="A8458" t="inlineStr">
        <is>
          <t>A 30381-2023</t>
        </is>
      </c>
      <c r="B8458" s="1" t="n">
        <v>45111</v>
      </c>
      <c r="C8458" s="1" t="n">
        <v>46093</v>
      </c>
      <c r="D8458" t="inlineStr">
        <is>
          <t>VÄSTERNORRLANDS LÄN</t>
        </is>
      </c>
      <c r="E8458" t="inlineStr">
        <is>
          <t>ÖRNSKÖLDSVIK</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58612-2025</t>
        </is>
      </c>
      <c r="B8459" s="1" t="n">
        <v>45986.45421296296</v>
      </c>
      <c r="C8459" s="1" t="n">
        <v>46093</v>
      </c>
      <c r="D8459" t="inlineStr">
        <is>
          <t>VÄSTERNORRLANDS LÄN</t>
        </is>
      </c>
      <c r="E8459" t="inlineStr">
        <is>
          <t>SUNDSVALL</t>
        </is>
      </c>
      <c r="G8459" t="n">
        <v>6.3</v>
      </c>
      <c r="H8459" t="n">
        <v>0</v>
      </c>
      <c r="I8459" t="n">
        <v>0</v>
      </c>
      <c r="J8459" t="n">
        <v>0</v>
      </c>
      <c r="K8459" t="n">
        <v>0</v>
      </c>
      <c r="L8459" t="n">
        <v>0</v>
      </c>
      <c r="M8459" t="n">
        <v>0</v>
      </c>
      <c r="N8459" t="n">
        <v>0</v>
      </c>
      <c r="O8459" t="n">
        <v>0</v>
      </c>
      <c r="P8459" t="n">
        <v>0</v>
      </c>
      <c r="Q8459" t="n">
        <v>0</v>
      </c>
      <c r="R8459" s="2" t="inlineStr"/>
    </row>
    <row r="8460" ht="15" customHeight="1">
      <c r="A8460" t="inlineStr">
        <is>
          <t>A 58384-2025</t>
        </is>
      </c>
      <c r="B8460" s="1" t="n">
        <v>45985.54319444444</v>
      </c>
      <c r="C8460" s="1" t="n">
        <v>46093</v>
      </c>
      <c r="D8460" t="inlineStr">
        <is>
          <t>VÄSTERNORRLANDS LÄN</t>
        </is>
      </c>
      <c r="E8460" t="inlineStr">
        <is>
          <t>SOLLEFTEÅ</t>
        </is>
      </c>
      <c r="G8460" t="n">
        <v>3.7</v>
      </c>
      <c r="H8460" t="n">
        <v>0</v>
      </c>
      <c r="I8460" t="n">
        <v>0</v>
      </c>
      <c r="J8460" t="n">
        <v>0</v>
      </c>
      <c r="K8460" t="n">
        <v>0</v>
      </c>
      <c r="L8460" t="n">
        <v>0</v>
      </c>
      <c r="M8460" t="n">
        <v>0</v>
      </c>
      <c r="N8460" t="n">
        <v>0</v>
      </c>
      <c r="O8460" t="n">
        <v>0</v>
      </c>
      <c r="P8460" t="n">
        <v>0</v>
      </c>
      <c r="Q8460" t="n">
        <v>0</v>
      </c>
      <c r="R8460" s="2" t="inlineStr"/>
    </row>
    <row r="8461" ht="15" customHeight="1">
      <c r="A8461" t="inlineStr">
        <is>
          <t>A 58386-2025</t>
        </is>
      </c>
      <c r="B8461" s="1" t="n">
        <v>45985.54576388889</v>
      </c>
      <c r="C8461" s="1" t="n">
        <v>46093</v>
      </c>
      <c r="D8461" t="inlineStr">
        <is>
          <t>VÄSTERNORRLANDS LÄN</t>
        </is>
      </c>
      <c r="E8461" t="inlineStr">
        <is>
          <t>SOLLEFTEÅ</t>
        </is>
      </c>
      <c r="G8461" t="n">
        <v>2.6</v>
      </c>
      <c r="H8461" t="n">
        <v>0</v>
      </c>
      <c r="I8461" t="n">
        <v>0</v>
      </c>
      <c r="J8461" t="n">
        <v>0</v>
      </c>
      <c r="K8461" t="n">
        <v>0</v>
      </c>
      <c r="L8461" t="n">
        <v>0</v>
      </c>
      <c r="M8461" t="n">
        <v>0</v>
      </c>
      <c r="N8461" t="n">
        <v>0</v>
      </c>
      <c r="O8461" t="n">
        <v>0</v>
      </c>
      <c r="P8461" t="n">
        <v>0</v>
      </c>
      <c r="Q8461" t="n">
        <v>0</v>
      </c>
      <c r="R8461" s="2" t="inlineStr"/>
    </row>
    <row r="8462" ht="15" customHeight="1">
      <c r="A8462" t="inlineStr">
        <is>
          <t>A 58400-2025</t>
        </is>
      </c>
      <c r="B8462" s="1" t="n">
        <v>45985.56395833333</v>
      </c>
      <c r="C8462" s="1" t="n">
        <v>46093</v>
      </c>
      <c r="D8462" t="inlineStr">
        <is>
          <t>VÄSTERNORRLANDS LÄN</t>
        </is>
      </c>
      <c r="E8462" t="inlineStr">
        <is>
          <t>ÖRNSKÖLDSVIK</t>
        </is>
      </c>
      <c r="G8462" t="n">
        <v>9.6</v>
      </c>
      <c r="H8462" t="n">
        <v>0</v>
      </c>
      <c r="I8462" t="n">
        <v>0</v>
      </c>
      <c r="J8462" t="n">
        <v>0</v>
      </c>
      <c r="K8462" t="n">
        <v>0</v>
      </c>
      <c r="L8462" t="n">
        <v>0</v>
      </c>
      <c r="M8462" t="n">
        <v>0</v>
      </c>
      <c r="N8462" t="n">
        <v>0</v>
      </c>
      <c r="O8462" t="n">
        <v>0</v>
      </c>
      <c r="P8462" t="n">
        <v>0</v>
      </c>
      <c r="Q8462" t="n">
        <v>0</v>
      </c>
      <c r="R8462" s="2" t="inlineStr"/>
    </row>
    <row r="8463" ht="15" customHeight="1">
      <c r="A8463" t="inlineStr">
        <is>
          <t>A 58670-2025</t>
        </is>
      </c>
      <c r="B8463" s="1" t="n">
        <v>45986.55179398148</v>
      </c>
      <c r="C8463" s="1" t="n">
        <v>46093</v>
      </c>
      <c r="D8463" t="inlineStr">
        <is>
          <t>VÄSTERNORRLANDS LÄN</t>
        </is>
      </c>
      <c r="E8463" t="inlineStr">
        <is>
          <t>ÖRNSKÖLDSVIK</t>
        </is>
      </c>
      <c r="F8463" t="inlineStr">
        <is>
          <t>Holmen skog AB</t>
        </is>
      </c>
      <c r="G8463" t="n">
        <v>4.2</v>
      </c>
      <c r="H8463" t="n">
        <v>0</v>
      </c>
      <c r="I8463" t="n">
        <v>0</v>
      </c>
      <c r="J8463" t="n">
        <v>0</v>
      </c>
      <c r="K8463" t="n">
        <v>0</v>
      </c>
      <c r="L8463" t="n">
        <v>0</v>
      </c>
      <c r="M8463" t="n">
        <v>0</v>
      </c>
      <c r="N8463" t="n">
        <v>0</v>
      </c>
      <c r="O8463" t="n">
        <v>0</v>
      </c>
      <c r="P8463" t="n">
        <v>0</v>
      </c>
      <c r="Q8463" t="n">
        <v>0</v>
      </c>
      <c r="R8463" s="2" t="inlineStr"/>
    </row>
    <row r="8464" ht="15" customHeight="1">
      <c r="A8464" t="inlineStr">
        <is>
          <t>A 58242-2025</t>
        </is>
      </c>
      <c r="B8464" s="1" t="n">
        <v>45985.38802083334</v>
      </c>
      <c r="C8464" s="1" t="n">
        <v>46093</v>
      </c>
      <c r="D8464" t="inlineStr">
        <is>
          <t>VÄSTERNORRLANDS LÄN</t>
        </is>
      </c>
      <c r="E8464" t="inlineStr">
        <is>
          <t>ÅNGE</t>
        </is>
      </c>
      <c r="G8464" t="n">
        <v>2.1</v>
      </c>
      <c r="H8464" t="n">
        <v>0</v>
      </c>
      <c r="I8464" t="n">
        <v>0</v>
      </c>
      <c r="J8464" t="n">
        <v>0</v>
      </c>
      <c r="K8464" t="n">
        <v>0</v>
      </c>
      <c r="L8464" t="n">
        <v>0</v>
      </c>
      <c r="M8464" t="n">
        <v>0</v>
      </c>
      <c r="N8464" t="n">
        <v>0</v>
      </c>
      <c r="O8464" t="n">
        <v>0</v>
      </c>
      <c r="P8464" t="n">
        <v>0</v>
      </c>
      <c r="Q8464" t="n">
        <v>0</v>
      </c>
      <c r="R8464" s="2" t="inlineStr"/>
    </row>
    <row r="8465" ht="15" customHeight="1">
      <c r="A8465" t="inlineStr">
        <is>
          <t>A 46716-2022</t>
        </is>
      </c>
      <c r="B8465" s="1" t="n">
        <v>44851</v>
      </c>
      <c r="C8465" s="1" t="n">
        <v>46093</v>
      </c>
      <c r="D8465" t="inlineStr">
        <is>
          <t>VÄSTERNORRLANDS LÄN</t>
        </is>
      </c>
      <c r="E8465" t="inlineStr">
        <is>
          <t>SUNDSVALL</t>
        </is>
      </c>
      <c r="G8465" t="n">
        <v>2.1</v>
      </c>
      <c r="H8465" t="n">
        <v>0</v>
      </c>
      <c r="I8465" t="n">
        <v>0</v>
      </c>
      <c r="J8465" t="n">
        <v>0</v>
      </c>
      <c r="K8465" t="n">
        <v>0</v>
      </c>
      <c r="L8465" t="n">
        <v>0</v>
      </c>
      <c r="M8465" t="n">
        <v>0</v>
      </c>
      <c r="N8465" t="n">
        <v>0</v>
      </c>
      <c r="O8465" t="n">
        <v>0</v>
      </c>
      <c r="P8465" t="n">
        <v>0</v>
      </c>
      <c r="Q8465" t="n">
        <v>0</v>
      </c>
      <c r="R8465" s="2" t="inlineStr"/>
    </row>
    <row r="8466" ht="15" customHeight="1">
      <c r="A8466" t="inlineStr">
        <is>
          <t>A 61302-2023</t>
        </is>
      </c>
      <c r="B8466" s="1" t="n">
        <v>45261</v>
      </c>
      <c r="C8466" s="1" t="n">
        <v>46093</v>
      </c>
      <c r="D8466" t="inlineStr">
        <is>
          <t>VÄSTERNORRLANDS LÄN</t>
        </is>
      </c>
      <c r="E8466" t="inlineStr">
        <is>
          <t>ÖRNSKÖLDSVIK</t>
        </is>
      </c>
      <c r="G8466" t="n">
        <v>9</v>
      </c>
      <c r="H8466" t="n">
        <v>0</v>
      </c>
      <c r="I8466" t="n">
        <v>0</v>
      </c>
      <c r="J8466" t="n">
        <v>0</v>
      </c>
      <c r="K8466" t="n">
        <v>0</v>
      </c>
      <c r="L8466" t="n">
        <v>0</v>
      </c>
      <c r="M8466" t="n">
        <v>0</v>
      </c>
      <c r="N8466" t="n">
        <v>0</v>
      </c>
      <c r="O8466" t="n">
        <v>0</v>
      </c>
      <c r="P8466" t="n">
        <v>0</v>
      </c>
      <c r="Q8466" t="n">
        <v>0</v>
      </c>
      <c r="R8466" s="2" t="inlineStr"/>
    </row>
    <row r="8467" ht="15" customHeight="1">
      <c r="A8467" t="inlineStr">
        <is>
          <t>A 58445-2025</t>
        </is>
      </c>
      <c r="B8467" s="1" t="n">
        <v>45985.62047453703</v>
      </c>
      <c r="C8467" s="1" t="n">
        <v>46093</v>
      </c>
      <c r="D8467" t="inlineStr">
        <is>
          <t>VÄSTERNORRLANDS LÄN</t>
        </is>
      </c>
      <c r="E8467" t="inlineStr">
        <is>
          <t>SOLLEFTEÅ</t>
        </is>
      </c>
      <c r="G8467" t="n">
        <v>0.4</v>
      </c>
      <c r="H8467" t="n">
        <v>0</v>
      </c>
      <c r="I8467" t="n">
        <v>0</v>
      </c>
      <c r="J8467" t="n">
        <v>0</v>
      </c>
      <c r="K8467" t="n">
        <v>0</v>
      </c>
      <c r="L8467" t="n">
        <v>0</v>
      </c>
      <c r="M8467" t="n">
        <v>0</v>
      </c>
      <c r="N8467" t="n">
        <v>0</v>
      </c>
      <c r="O8467" t="n">
        <v>0</v>
      </c>
      <c r="P8467" t="n">
        <v>0</v>
      </c>
      <c r="Q8467" t="n">
        <v>0</v>
      </c>
      <c r="R8467" s="2" t="inlineStr"/>
    </row>
    <row r="8468" ht="15" customHeight="1">
      <c r="A8468" t="inlineStr">
        <is>
          <t>A 42229-2021</t>
        </is>
      </c>
      <c r="B8468" s="1" t="n">
        <v>44426.93474537037</v>
      </c>
      <c r="C8468" s="1" t="n">
        <v>46093</v>
      </c>
      <c r="D8468" t="inlineStr">
        <is>
          <t>VÄSTERNORRLANDS LÄN</t>
        </is>
      </c>
      <c r="E8468" t="inlineStr">
        <is>
          <t>SOLLEFTEÅ</t>
        </is>
      </c>
      <c r="F8468" t="inlineStr">
        <is>
          <t>SCA</t>
        </is>
      </c>
      <c r="G8468" t="n">
        <v>2.8</v>
      </c>
      <c r="H8468" t="n">
        <v>0</v>
      </c>
      <c r="I8468" t="n">
        <v>0</v>
      </c>
      <c r="J8468" t="n">
        <v>0</v>
      </c>
      <c r="K8468" t="n">
        <v>0</v>
      </c>
      <c r="L8468" t="n">
        <v>0</v>
      </c>
      <c r="M8468" t="n">
        <v>0</v>
      </c>
      <c r="N8468" t="n">
        <v>0</v>
      </c>
      <c r="O8468" t="n">
        <v>0</v>
      </c>
      <c r="P8468" t="n">
        <v>0</v>
      </c>
      <c r="Q8468" t="n">
        <v>0</v>
      </c>
      <c r="R8468" s="2" t="inlineStr"/>
    </row>
    <row r="8469" ht="15" customHeight="1">
      <c r="A8469" t="inlineStr">
        <is>
          <t>A 20183-2025</t>
        </is>
      </c>
      <c r="B8469" s="1" t="n">
        <v>45772.59440972222</v>
      </c>
      <c r="C8469" s="1" t="n">
        <v>46093</v>
      </c>
      <c r="D8469" t="inlineStr">
        <is>
          <t>VÄSTERNORRLANDS LÄN</t>
        </is>
      </c>
      <c r="E8469" t="inlineStr">
        <is>
          <t>SOLLEFTEÅ</t>
        </is>
      </c>
      <c r="G8469" t="n">
        <v>2.3</v>
      </c>
      <c r="H8469" t="n">
        <v>0</v>
      </c>
      <c r="I8469" t="n">
        <v>0</v>
      </c>
      <c r="J8469" t="n">
        <v>0</v>
      </c>
      <c r="K8469" t="n">
        <v>0</v>
      </c>
      <c r="L8469" t="n">
        <v>0</v>
      </c>
      <c r="M8469" t="n">
        <v>0</v>
      </c>
      <c r="N8469" t="n">
        <v>0</v>
      </c>
      <c r="O8469" t="n">
        <v>0</v>
      </c>
      <c r="P8469" t="n">
        <v>0</v>
      </c>
      <c r="Q8469" t="n">
        <v>0</v>
      </c>
      <c r="R8469" s="2" t="inlineStr"/>
    </row>
    <row r="8470" ht="15" customHeight="1">
      <c r="A8470" t="inlineStr">
        <is>
          <t>A 44661-2024</t>
        </is>
      </c>
      <c r="B8470" s="1" t="n">
        <v>45574.53180555555</v>
      </c>
      <c r="C8470" s="1" t="n">
        <v>46093</v>
      </c>
      <c r="D8470" t="inlineStr">
        <is>
          <t>VÄSTERNORRLANDS LÄN</t>
        </is>
      </c>
      <c r="E8470" t="inlineStr">
        <is>
          <t>SOLLEFTEÅ</t>
        </is>
      </c>
      <c r="F8470" t="inlineStr">
        <is>
          <t>SCA</t>
        </is>
      </c>
      <c r="G8470" t="n">
        <v>0.5</v>
      </c>
      <c r="H8470" t="n">
        <v>0</v>
      </c>
      <c r="I8470" t="n">
        <v>0</v>
      </c>
      <c r="J8470" t="n">
        <v>0</v>
      </c>
      <c r="K8470" t="n">
        <v>0</v>
      </c>
      <c r="L8470" t="n">
        <v>0</v>
      </c>
      <c r="M8470" t="n">
        <v>0</v>
      </c>
      <c r="N8470" t="n">
        <v>0</v>
      </c>
      <c r="O8470" t="n">
        <v>0</v>
      </c>
      <c r="P8470" t="n">
        <v>0</v>
      </c>
      <c r="Q8470" t="n">
        <v>0</v>
      </c>
      <c r="R8470" s="2" t="inlineStr"/>
    </row>
    <row r="8471" ht="15" customHeight="1">
      <c r="A8471" t="inlineStr">
        <is>
          <t>A 44663-2024</t>
        </is>
      </c>
      <c r="B8471" s="1" t="n">
        <v>45574.53215277778</v>
      </c>
      <c r="C8471" s="1" t="n">
        <v>46093</v>
      </c>
      <c r="D8471" t="inlineStr">
        <is>
          <t>VÄSTERNORRLANDS LÄN</t>
        </is>
      </c>
      <c r="E8471" t="inlineStr">
        <is>
          <t>SUNDSVALL</t>
        </is>
      </c>
      <c r="F8471" t="inlineStr">
        <is>
          <t>SCA</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58758-2025</t>
        </is>
      </c>
      <c r="B8472" s="1" t="n">
        <v>45986.6512962963</v>
      </c>
      <c r="C8472" s="1" t="n">
        <v>46093</v>
      </c>
      <c r="D8472" t="inlineStr">
        <is>
          <t>VÄSTERNORRLANDS LÄN</t>
        </is>
      </c>
      <c r="E8472" t="inlineStr">
        <is>
          <t>ÖRNSKÖLDSVIK</t>
        </is>
      </c>
      <c r="F8472" t="inlineStr">
        <is>
          <t>Holmen skog AB</t>
        </is>
      </c>
      <c r="G8472" t="n">
        <v>3.8</v>
      </c>
      <c r="H8472" t="n">
        <v>0</v>
      </c>
      <c r="I8472" t="n">
        <v>0</v>
      </c>
      <c r="J8472" t="n">
        <v>0</v>
      </c>
      <c r="K8472" t="n">
        <v>0</v>
      </c>
      <c r="L8472" t="n">
        <v>0</v>
      </c>
      <c r="M8472" t="n">
        <v>0</v>
      </c>
      <c r="N8472" t="n">
        <v>0</v>
      </c>
      <c r="O8472" t="n">
        <v>0</v>
      </c>
      <c r="P8472" t="n">
        <v>0</v>
      </c>
      <c r="Q8472" t="n">
        <v>0</v>
      </c>
      <c r="R8472" s="2" t="inlineStr"/>
    </row>
    <row r="8473" ht="15" customHeight="1">
      <c r="A8473" t="inlineStr">
        <is>
          <t>A 22564-2023</t>
        </is>
      </c>
      <c r="B8473" s="1" t="n">
        <v>45071.44974537037</v>
      </c>
      <c r="C8473" s="1" t="n">
        <v>46093</v>
      </c>
      <c r="D8473" t="inlineStr">
        <is>
          <t>VÄSTERNORRLANDS LÄN</t>
        </is>
      </c>
      <c r="E8473" t="inlineStr">
        <is>
          <t>SUNDSVALL</t>
        </is>
      </c>
      <c r="F8473" t="inlineStr">
        <is>
          <t>Holmen skog AB</t>
        </is>
      </c>
      <c r="G8473" t="n">
        <v>2.7</v>
      </c>
      <c r="H8473" t="n">
        <v>0</v>
      </c>
      <c r="I8473" t="n">
        <v>0</v>
      </c>
      <c r="J8473" t="n">
        <v>0</v>
      </c>
      <c r="K8473" t="n">
        <v>0</v>
      </c>
      <c r="L8473" t="n">
        <v>0</v>
      </c>
      <c r="M8473" t="n">
        <v>0</v>
      </c>
      <c r="N8473" t="n">
        <v>0</v>
      </c>
      <c r="O8473" t="n">
        <v>0</v>
      </c>
      <c r="P8473" t="n">
        <v>0</v>
      </c>
      <c r="Q8473" t="n">
        <v>0</v>
      </c>
      <c r="R8473" s="2" t="inlineStr"/>
    </row>
    <row r="8474" ht="15" customHeight="1">
      <c r="A8474" t="inlineStr">
        <is>
          <t>A 18933-2024</t>
        </is>
      </c>
      <c r="B8474" s="1" t="n">
        <v>45427.44076388889</v>
      </c>
      <c r="C8474" s="1" t="n">
        <v>46093</v>
      </c>
      <c r="D8474" t="inlineStr">
        <is>
          <t>VÄSTERNORRLANDS LÄN</t>
        </is>
      </c>
      <c r="E8474" t="inlineStr">
        <is>
          <t>SUNDSVALL</t>
        </is>
      </c>
      <c r="G8474" t="n">
        <v>6.4</v>
      </c>
      <c r="H8474" t="n">
        <v>0</v>
      </c>
      <c r="I8474" t="n">
        <v>0</v>
      </c>
      <c r="J8474" t="n">
        <v>0</v>
      </c>
      <c r="K8474" t="n">
        <v>0</v>
      </c>
      <c r="L8474" t="n">
        <v>0</v>
      </c>
      <c r="M8474" t="n">
        <v>0</v>
      </c>
      <c r="N8474" t="n">
        <v>0</v>
      </c>
      <c r="O8474" t="n">
        <v>0</v>
      </c>
      <c r="P8474" t="n">
        <v>0</v>
      </c>
      <c r="Q8474" t="n">
        <v>0</v>
      </c>
      <c r="R8474" s="2" t="inlineStr"/>
    </row>
    <row r="8475" ht="15" customHeight="1">
      <c r="A8475" t="inlineStr">
        <is>
          <t>A 60757-2021</t>
        </is>
      </c>
      <c r="B8475" s="1" t="n">
        <v>44496.92101851852</v>
      </c>
      <c r="C8475" s="1" t="n">
        <v>46093</v>
      </c>
      <c r="D8475" t="inlineStr">
        <is>
          <t>VÄSTERNORRLANDS LÄN</t>
        </is>
      </c>
      <c r="E8475" t="inlineStr">
        <is>
          <t>SOLLEFTEÅ</t>
        </is>
      </c>
      <c r="G8475" t="n">
        <v>4.4</v>
      </c>
      <c r="H8475" t="n">
        <v>0</v>
      </c>
      <c r="I8475" t="n">
        <v>0</v>
      </c>
      <c r="J8475" t="n">
        <v>0</v>
      </c>
      <c r="K8475" t="n">
        <v>0</v>
      </c>
      <c r="L8475" t="n">
        <v>0</v>
      </c>
      <c r="M8475" t="n">
        <v>0</v>
      </c>
      <c r="N8475" t="n">
        <v>0</v>
      </c>
      <c r="O8475" t="n">
        <v>0</v>
      </c>
      <c r="P8475" t="n">
        <v>0</v>
      </c>
      <c r="Q8475" t="n">
        <v>0</v>
      </c>
      <c r="R8475" s="2" t="inlineStr"/>
    </row>
    <row r="8476" ht="15" customHeight="1">
      <c r="A8476" t="inlineStr">
        <is>
          <t>A 53545-2024</t>
        </is>
      </c>
      <c r="B8476" s="1" t="n">
        <v>45614.6370949074</v>
      </c>
      <c r="C8476" s="1" t="n">
        <v>46093</v>
      </c>
      <c r="D8476" t="inlineStr">
        <is>
          <t>VÄSTERNORRLANDS LÄN</t>
        </is>
      </c>
      <c r="E8476" t="inlineStr">
        <is>
          <t>SOLLEFTEÅ</t>
        </is>
      </c>
      <c r="F8476" t="inlineStr">
        <is>
          <t>SCA</t>
        </is>
      </c>
      <c r="G8476" t="n">
        <v>1.9</v>
      </c>
      <c r="H8476" t="n">
        <v>0</v>
      </c>
      <c r="I8476" t="n">
        <v>0</v>
      </c>
      <c r="J8476" t="n">
        <v>0</v>
      </c>
      <c r="K8476" t="n">
        <v>0</v>
      </c>
      <c r="L8476" t="n">
        <v>0</v>
      </c>
      <c r="M8476" t="n">
        <v>0</v>
      </c>
      <c r="N8476" t="n">
        <v>0</v>
      </c>
      <c r="O8476" t="n">
        <v>0</v>
      </c>
      <c r="P8476" t="n">
        <v>0</v>
      </c>
      <c r="Q8476" t="n">
        <v>0</v>
      </c>
      <c r="R8476" s="2" t="inlineStr"/>
    </row>
    <row r="8477" ht="15" customHeight="1">
      <c r="A8477" t="inlineStr">
        <is>
          <t>A 9242-2025</t>
        </is>
      </c>
      <c r="B8477" s="1" t="n">
        <v>45714.56533564815</v>
      </c>
      <c r="C8477" s="1" t="n">
        <v>46093</v>
      </c>
      <c r="D8477" t="inlineStr">
        <is>
          <t>VÄSTERNORRLANDS LÄN</t>
        </is>
      </c>
      <c r="E8477" t="inlineStr">
        <is>
          <t>HÄRNÖSAND</t>
        </is>
      </c>
      <c r="G8477" t="n">
        <v>0.7</v>
      </c>
      <c r="H8477" t="n">
        <v>0</v>
      </c>
      <c r="I8477" t="n">
        <v>0</v>
      </c>
      <c r="J8477" t="n">
        <v>0</v>
      </c>
      <c r="K8477" t="n">
        <v>0</v>
      </c>
      <c r="L8477" t="n">
        <v>0</v>
      </c>
      <c r="M8477" t="n">
        <v>0</v>
      </c>
      <c r="N8477" t="n">
        <v>0</v>
      </c>
      <c r="O8477" t="n">
        <v>0</v>
      </c>
      <c r="P8477" t="n">
        <v>0</v>
      </c>
      <c r="Q8477" t="n">
        <v>0</v>
      </c>
      <c r="R8477" s="2" t="inlineStr"/>
    </row>
    <row r="8478" ht="15" customHeight="1">
      <c r="A8478" t="inlineStr">
        <is>
          <t>A 20073-2025</t>
        </is>
      </c>
      <c r="B8478" s="1" t="n">
        <v>45772.44826388889</v>
      </c>
      <c r="C8478" s="1" t="n">
        <v>46093</v>
      </c>
      <c r="D8478" t="inlineStr">
        <is>
          <t>VÄSTERNORRLANDS LÄN</t>
        </is>
      </c>
      <c r="E8478" t="inlineStr">
        <is>
          <t>SUNDSVALL</t>
        </is>
      </c>
      <c r="F8478" t="inlineStr">
        <is>
          <t>Naturvårdsverket</t>
        </is>
      </c>
      <c r="G8478" t="n">
        <v>2.1</v>
      </c>
      <c r="H8478" t="n">
        <v>0</v>
      </c>
      <c r="I8478" t="n">
        <v>0</v>
      </c>
      <c r="J8478" t="n">
        <v>0</v>
      </c>
      <c r="K8478" t="n">
        <v>0</v>
      </c>
      <c r="L8478" t="n">
        <v>0</v>
      </c>
      <c r="M8478" t="n">
        <v>0</v>
      </c>
      <c r="N8478" t="n">
        <v>0</v>
      </c>
      <c r="O8478" t="n">
        <v>0</v>
      </c>
      <c r="P8478" t="n">
        <v>0</v>
      </c>
      <c r="Q8478" t="n">
        <v>0</v>
      </c>
      <c r="R8478" s="2" t="inlineStr"/>
    </row>
    <row r="8479" ht="15" customHeight="1">
      <c r="A8479" t="inlineStr">
        <is>
          <t>A 58439-2025</t>
        </is>
      </c>
      <c r="B8479" s="1" t="n">
        <v>45985.61518518518</v>
      </c>
      <c r="C8479" s="1" t="n">
        <v>46093</v>
      </c>
      <c r="D8479" t="inlineStr">
        <is>
          <t>VÄSTERNORRLANDS LÄN</t>
        </is>
      </c>
      <c r="E8479" t="inlineStr">
        <is>
          <t>ÅNGE</t>
        </is>
      </c>
      <c r="G8479" t="n">
        <v>2.1</v>
      </c>
      <c r="H8479" t="n">
        <v>0</v>
      </c>
      <c r="I8479" t="n">
        <v>0</v>
      </c>
      <c r="J8479" t="n">
        <v>0</v>
      </c>
      <c r="K8479" t="n">
        <v>0</v>
      </c>
      <c r="L8479" t="n">
        <v>0</v>
      </c>
      <c r="M8479" t="n">
        <v>0</v>
      </c>
      <c r="N8479" t="n">
        <v>0</v>
      </c>
      <c r="O8479" t="n">
        <v>0</v>
      </c>
      <c r="P8479" t="n">
        <v>0</v>
      </c>
      <c r="Q8479" t="n">
        <v>0</v>
      </c>
      <c r="R8479" s="2" t="inlineStr"/>
    </row>
    <row r="8480" ht="15" customHeight="1">
      <c r="A8480" t="inlineStr">
        <is>
          <t>A 58524-2025</t>
        </is>
      </c>
      <c r="B8480" s="1" t="n">
        <v>45985.7190162037</v>
      </c>
      <c r="C8480" s="1" t="n">
        <v>46093</v>
      </c>
      <c r="D8480" t="inlineStr">
        <is>
          <t>VÄSTERNORRLANDS LÄN</t>
        </is>
      </c>
      <c r="E8480" t="inlineStr">
        <is>
          <t>ÅNGE</t>
        </is>
      </c>
      <c r="G8480" t="n">
        <v>2.2</v>
      </c>
      <c r="H8480" t="n">
        <v>0</v>
      </c>
      <c r="I8480" t="n">
        <v>0</v>
      </c>
      <c r="J8480" t="n">
        <v>0</v>
      </c>
      <c r="K8480" t="n">
        <v>0</v>
      </c>
      <c r="L8480" t="n">
        <v>0</v>
      </c>
      <c r="M8480" t="n">
        <v>0</v>
      </c>
      <c r="N8480" t="n">
        <v>0</v>
      </c>
      <c r="O8480" t="n">
        <v>0</v>
      </c>
      <c r="P8480" t="n">
        <v>0</v>
      </c>
      <c r="Q8480" t="n">
        <v>0</v>
      </c>
      <c r="R8480" s="2" t="inlineStr"/>
    </row>
    <row r="8481" ht="15" customHeight="1">
      <c r="A8481" t="inlineStr">
        <is>
          <t>A 30542-2024</t>
        </is>
      </c>
      <c r="B8481" s="1" t="n">
        <v>45492.65896990741</v>
      </c>
      <c r="C8481" s="1" t="n">
        <v>46093</v>
      </c>
      <c r="D8481" t="inlineStr">
        <is>
          <t>VÄSTERNORRLANDS LÄN</t>
        </is>
      </c>
      <c r="E8481" t="inlineStr">
        <is>
          <t>ÖRNSKÖLDSVIK</t>
        </is>
      </c>
      <c r="F8481" t="inlineStr">
        <is>
          <t>Holmen skog AB</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30546-2024</t>
        </is>
      </c>
      <c r="B8482" s="1" t="n">
        <v>45492.67429398148</v>
      </c>
      <c r="C8482" s="1" t="n">
        <v>46093</v>
      </c>
      <c r="D8482" t="inlineStr">
        <is>
          <t>VÄSTERNORRLANDS LÄN</t>
        </is>
      </c>
      <c r="E8482" t="inlineStr">
        <is>
          <t>ÖRNSKÖLDSVIK</t>
        </is>
      </c>
      <c r="F8482" t="inlineStr">
        <is>
          <t>Holmen skog AB</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25695-2024</t>
        </is>
      </c>
      <c r="B8483" s="1" t="n">
        <v>45463</v>
      </c>
      <c r="C8483" s="1" t="n">
        <v>46093</v>
      </c>
      <c r="D8483" t="inlineStr">
        <is>
          <t>VÄSTERNORRLANDS LÄN</t>
        </is>
      </c>
      <c r="E8483" t="inlineStr">
        <is>
          <t>SUNDSVALL</t>
        </is>
      </c>
      <c r="F8483" t="inlineStr">
        <is>
          <t>SCA</t>
        </is>
      </c>
      <c r="G8483" t="n">
        <v>7.9</v>
      </c>
      <c r="H8483" t="n">
        <v>0</v>
      </c>
      <c r="I8483" t="n">
        <v>0</v>
      </c>
      <c r="J8483" t="n">
        <v>0</v>
      </c>
      <c r="K8483" t="n">
        <v>0</v>
      </c>
      <c r="L8483" t="n">
        <v>0</v>
      </c>
      <c r="M8483" t="n">
        <v>0</v>
      </c>
      <c r="N8483" t="n">
        <v>0</v>
      </c>
      <c r="O8483" t="n">
        <v>0</v>
      </c>
      <c r="P8483" t="n">
        <v>0</v>
      </c>
      <c r="Q8483" t="n">
        <v>0</v>
      </c>
      <c r="R8483" s="2" t="inlineStr"/>
    </row>
    <row r="8484" ht="15" customHeight="1">
      <c r="A8484" t="inlineStr">
        <is>
          <t>A 58525-2025</t>
        </is>
      </c>
      <c r="B8484" s="1" t="n">
        <v>45985.71924768519</v>
      </c>
      <c r="C8484" s="1" t="n">
        <v>46093</v>
      </c>
      <c r="D8484" t="inlineStr">
        <is>
          <t>VÄSTERNORRLANDS LÄN</t>
        </is>
      </c>
      <c r="E8484" t="inlineStr">
        <is>
          <t>SUNDSVALL</t>
        </is>
      </c>
      <c r="F8484" t="inlineStr">
        <is>
          <t>SCA</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6236-2023</t>
        </is>
      </c>
      <c r="B8485" s="1" t="n">
        <v>44964</v>
      </c>
      <c r="C8485" s="1" t="n">
        <v>46093</v>
      </c>
      <c r="D8485" t="inlineStr">
        <is>
          <t>VÄSTERNORRLANDS LÄN</t>
        </is>
      </c>
      <c r="E8485" t="inlineStr">
        <is>
          <t>SOLLEFTEÅ</t>
        </is>
      </c>
      <c r="F8485" t="inlineStr">
        <is>
          <t>SCA</t>
        </is>
      </c>
      <c r="G8485" t="n">
        <v>0.1</v>
      </c>
      <c r="H8485" t="n">
        <v>0</v>
      </c>
      <c r="I8485" t="n">
        <v>0</v>
      </c>
      <c r="J8485" t="n">
        <v>0</v>
      </c>
      <c r="K8485" t="n">
        <v>0</v>
      </c>
      <c r="L8485" t="n">
        <v>0</v>
      </c>
      <c r="M8485" t="n">
        <v>0</v>
      </c>
      <c r="N8485" t="n">
        <v>0</v>
      </c>
      <c r="O8485" t="n">
        <v>0</v>
      </c>
      <c r="P8485" t="n">
        <v>0</v>
      </c>
      <c r="Q8485" t="n">
        <v>0</v>
      </c>
      <c r="R8485" s="2" t="inlineStr"/>
      <c r="U8485">
        <f>HYPERLINK("https://klasma.github.io/Logging_2283/knärot/A 6236-2023 karta knärot.png", "A 6236-2023")</f>
        <v/>
      </c>
      <c r="V8485">
        <f>HYPERLINK("https://klasma.github.io/Logging_2283/klagomål/A 6236-2023 FSC-klagomål.docx", "A 6236-2023")</f>
        <v/>
      </c>
      <c r="W8485">
        <f>HYPERLINK("https://klasma.github.io/Logging_2283/klagomålsmail/A 6236-2023 FSC-klagomål mail.docx", "A 6236-2023")</f>
        <v/>
      </c>
      <c r="X8485">
        <f>HYPERLINK("https://klasma.github.io/Logging_2283/tillsyn/A 6236-2023 tillsynsbegäran.docx", "A 6236-2023")</f>
        <v/>
      </c>
      <c r="Y8485">
        <f>HYPERLINK("https://klasma.github.io/Logging_2283/tillsynsmail/A 6236-2023 tillsynsbegäran mail.docx", "A 6236-2023")</f>
        <v/>
      </c>
    </row>
    <row r="8486" ht="15" customHeight="1">
      <c r="A8486" t="inlineStr">
        <is>
          <t>A 9317-2022</t>
        </is>
      </c>
      <c r="B8486" s="1" t="n">
        <v>44616</v>
      </c>
      <c r="C8486" s="1" t="n">
        <v>46093</v>
      </c>
      <c r="D8486" t="inlineStr">
        <is>
          <t>VÄSTERNORRLANDS LÄN</t>
        </is>
      </c>
      <c r="E8486" t="inlineStr">
        <is>
          <t>TIMRÅ</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58639-2025</t>
        </is>
      </c>
      <c r="B8487" s="1" t="n">
        <v>45986.49042824074</v>
      </c>
      <c r="C8487" s="1" t="n">
        <v>46093</v>
      </c>
      <c r="D8487" t="inlineStr">
        <is>
          <t>VÄSTERNORRLANDS LÄN</t>
        </is>
      </c>
      <c r="E8487" t="inlineStr">
        <is>
          <t>ÅNGE</t>
        </is>
      </c>
      <c r="G8487" t="n">
        <v>2</v>
      </c>
      <c r="H8487" t="n">
        <v>0</v>
      </c>
      <c r="I8487" t="n">
        <v>0</v>
      </c>
      <c r="J8487" t="n">
        <v>0</v>
      </c>
      <c r="K8487" t="n">
        <v>0</v>
      </c>
      <c r="L8487" t="n">
        <v>0</v>
      </c>
      <c r="M8487" t="n">
        <v>0</v>
      </c>
      <c r="N8487" t="n">
        <v>0</v>
      </c>
      <c r="O8487" t="n">
        <v>0</v>
      </c>
      <c r="P8487" t="n">
        <v>0</v>
      </c>
      <c r="Q8487" t="n">
        <v>0</v>
      </c>
      <c r="R8487" s="2" t="inlineStr"/>
    </row>
    <row r="8488" ht="15" customHeight="1">
      <c r="A8488" t="inlineStr">
        <is>
          <t>A 33843-2024</t>
        </is>
      </c>
      <c r="B8488" s="1" t="n">
        <v>45520.63395833333</v>
      </c>
      <c r="C8488" s="1" t="n">
        <v>46093</v>
      </c>
      <c r="D8488" t="inlineStr">
        <is>
          <t>VÄSTERNORRLANDS LÄN</t>
        </is>
      </c>
      <c r="E8488" t="inlineStr">
        <is>
          <t>ÖRNSKÖLDSVIK</t>
        </is>
      </c>
      <c r="F8488" t="inlineStr">
        <is>
          <t>Holmen skog AB</t>
        </is>
      </c>
      <c r="G8488" t="n">
        <v>2.1</v>
      </c>
      <c r="H8488" t="n">
        <v>0</v>
      </c>
      <c r="I8488" t="n">
        <v>0</v>
      </c>
      <c r="J8488" t="n">
        <v>0</v>
      </c>
      <c r="K8488" t="n">
        <v>0</v>
      </c>
      <c r="L8488" t="n">
        <v>0</v>
      </c>
      <c r="M8488" t="n">
        <v>0</v>
      </c>
      <c r="N8488" t="n">
        <v>0</v>
      </c>
      <c r="O8488" t="n">
        <v>0</v>
      </c>
      <c r="P8488" t="n">
        <v>0</v>
      </c>
      <c r="Q8488" t="n">
        <v>0</v>
      </c>
      <c r="R8488" s="2" t="inlineStr"/>
    </row>
    <row r="8489" ht="15" customHeight="1">
      <c r="A8489" t="inlineStr">
        <is>
          <t>A 58314-2025</t>
        </is>
      </c>
      <c r="B8489" s="1" t="n">
        <v>45985.47027777778</v>
      </c>
      <c r="C8489" s="1" t="n">
        <v>46093</v>
      </c>
      <c r="D8489" t="inlineStr">
        <is>
          <t>VÄSTERNORRLANDS LÄN</t>
        </is>
      </c>
      <c r="E8489" t="inlineStr">
        <is>
          <t>SOLLEFTEÅ</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18264-2025</t>
        </is>
      </c>
      <c r="B8490" s="1" t="n">
        <v>45762.36515046296</v>
      </c>
      <c r="C8490" s="1" t="n">
        <v>46093</v>
      </c>
      <c r="D8490" t="inlineStr">
        <is>
          <t>VÄSTERNORRLANDS LÄN</t>
        </is>
      </c>
      <c r="E8490" t="inlineStr">
        <is>
          <t>KRAMFORS</t>
        </is>
      </c>
      <c r="F8490" t="inlineStr">
        <is>
          <t>Kommuner</t>
        </is>
      </c>
      <c r="G8490" t="n">
        <v>2.9</v>
      </c>
      <c r="H8490" t="n">
        <v>0</v>
      </c>
      <c r="I8490" t="n">
        <v>0</v>
      </c>
      <c r="J8490" t="n">
        <v>0</v>
      </c>
      <c r="K8490" t="n">
        <v>0</v>
      </c>
      <c r="L8490" t="n">
        <v>0</v>
      </c>
      <c r="M8490" t="n">
        <v>0</v>
      </c>
      <c r="N8490" t="n">
        <v>0</v>
      </c>
      <c r="O8490" t="n">
        <v>0</v>
      </c>
      <c r="P8490" t="n">
        <v>0</v>
      </c>
      <c r="Q8490" t="n">
        <v>0</v>
      </c>
      <c r="R8490" s="2" t="inlineStr"/>
    </row>
    <row r="8491" ht="15" customHeight="1">
      <c r="A8491" t="inlineStr">
        <is>
          <t>A 18286-2025</t>
        </is>
      </c>
      <c r="B8491" s="1" t="n">
        <v>45762.40010416666</v>
      </c>
      <c r="C8491" s="1" t="n">
        <v>46093</v>
      </c>
      <c r="D8491" t="inlineStr">
        <is>
          <t>VÄSTERNORRLANDS LÄN</t>
        </is>
      </c>
      <c r="E8491" t="inlineStr">
        <is>
          <t>SUNDSVALL</t>
        </is>
      </c>
      <c r="G8491" t="n">
        <v>2</v>
      </c>
      <c r="H8491" t="n">
        <v>0</v>
      </c>
      <c r="I8491" t="n">
        <v>0</v>
      </c>
      <c r="J8491" t="n">
        <v>0</v>
      </c>
      <c r="K8491" t="n">
        <v>0</v>
      </c>
      <c r="L8491" t="n">
        <v>0</v>
      </c>
      <c r="M8491" t="n">
        <v>0</v>
      </c>
      <c r="N8491" t="n">
        <v>0</v>
      </c>
      <c r="O8491" t="n">
        <v>0</v>
      </c>
      <c r="P8491" t="n">
        <v>0</v>
      </c>
      <c r="Q8491" t="n">
        <v>0</v>
      </c>
      <c r="R8491" s="2" t="inlineStr"/>
    </row>
    <row r="8492" ht="15" customHeight="1">
      <c r="A8492" t="inlineStr">
        <is>
          <t>A 7332-2023</t>
        </is>
      </c>
      <c r="B8492" s="1" t="n">
        <v>44970</v>
      </c>
      <c r="C8492" s="1" t="n">
        <v>46093</v>
      </c>
      <c r="D8492" t="inlineStr">
        <is>
          <t>VÄSTERNORRLANDS LÄN</t>
        </is>
      </c>
      <c r="E8492" t="inlineStr">
        <is>
          <t>SOLLEFTEÅ</t>
        </is>
      </c>
      <c r="F8492" t="inlineStr">
        <is>
          <t>SCA</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58313-2025</t>
        </is>
      </c>
      <c r="B8493" s="1" t="n">
        <v>45985.47021990741</v>
      </c>
      <c r="C8493" s="1" t="n">
        <v>46093</v>
      </c>
      <c r="D8493" t="inlineStr">
        <is>
          <t>VÄSTERNORRLANDS LÄN</t>
        </is>
      </c>
      <c r="E8493" t="inlineStr">
        <is>
          <t>SOLLEFTEÅ</t>
        </is>
      </c>
      <c r="G8493" t="n">
        <v>6.9</v>
      </c>
      <c r="H8493" t="n">
        <v>0</v>
      </c>
      <c r="I8493" t="n">
        <v>0</v>
      </c>
      <c r="J8493" t="n">
        <v>0</v>
      </c>
      <c r="K8493" t="n">
        <v>0</v>
      </c>
      <c r="L8493" t="n">
        <v>0</v>
      </c>
      <c r="M8493" t="n">
        <v>0</v>
      </c>
      <c r="N8493" t="n">
        <v>0</v>
      </c>
      <c r="O8493" t="n">
        <v>0</v>
      </c>
      <c r="P8493" t="n">
        <v>0</v>
      </c>
      <c r="Q8493" t="n">
        <v>0</v>
      </c>
      <c r="R8493" s="2" t="inlineStr"/>
    </row>
    <row r="8494" ht="15" customHeight="1">
      <c r="A8494" t="inlineStr">
        <is>
          <t>A 13180-2025</t>
        </is>
      </c>
      <c r="B8494" s="1" t="n">
        <v>45735.38108796296</v>
      </c>
      <c r="C8494" s="1" t="n">
        <v>46093</v>
      </c>
      <c r="D8494" t="inlineStr">
        <is>
          <t>VÄSTERNORRLANDS LÄN</t>
        </is>
      </c>
      <c r="E8494" t="inlineStr">
        <is>
          <t>SUNDSVALL</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39370-2024</t>
        </is>
      </c>
      <c r="B8495" s="1" t="n">
        <v>45551</v>
      </c>
      <c r="C8495" s="1" t="n">
        <v>46093</v>
      </c>
      <c r="D8495" t="inlineStr">
        <is>
          <t>VÄSTERNORRLANDS LÄN</t>
        </is>
      </c>
      <c r="E8495" t="inlineStr">
        <is>
          <t>SUNDSVALL</t>
        </is>
      </c>
      <c r="G8495" t="n">
        <v>2.8</v>
      </c>
      <c r="H8495" t="n">
        <v>0</v>
      </c>
      <c r="I8495" t="n">
        <v>0</v>
      </c>
      <c r="J8495" t="n">
        <v>0</v>
      </c>
      <c r="K8495" t="n">
        <v>0</v>
      </c>
      <c r="L8495" t="n">
        <v>0</v>
      </c>
      <c r="M8495" t="n">
        <v>0</v>
      </c>
      <c r="N8495" t="n">
        <v>0</v>
      </c>
      <c r="O8495" t="n">
        <v>0</v>
      </c>
      <c r="P8495" t="n">
        <v>0</v>
      </c>
      <c r="Q8495" t="n">
        <v>0</v>
      </c>
      <c r="R8495" s="2" t="inlineStr"/>
    </row>
    <row r="8496" ht="15" customHeight="1">
      <c r="A8496" t="inlineStr">
        <is>
          <t>A 13218-2025</t>
        </is>
      </c>
      <c r="B8496" s="1" t="n">
        <v>45735.44883101852</v>
      </c>
      <c r="C8496" s="1" t="n">
        <v>46093</v>
      </c>
      <c r="D8496" t="inlineStr">
        <is>
          <t>VÄSTERNORRLANDS LÄN</t>
        </is>
      </c>
      <c r="E8496" t="inlineStr">
        <is>
          <t>TIMRÅ</t>
        </is>
      </c>
      <c r="F8496" t="inlineStr">
        <is>
          <t>SCA</t>
        </is>
      </c>
      <c r="G8496" t="n">
        <v>1.9</v>
      </c>
      <c r="H8496" t="n">
        <v>0</v>
      </c>
      <c r="I8496" t="n">
        <v>0</v>
      </c>
      <c r="J8496" t="n">
        <v>0</v>
      </c>
      <c r="K8496" t="n">
        <v>0</v>
      </c>
      <c r="L8496" t="n">
        <v>0</v>
      </c>
      <c r="M8496" t="n">
        <v>0</v>
      </c>
      <c r="N8496" t="n">
        <v>0</v>
      </c>
      <c r="O8496" t="n">
        <v>0</v>
      </c>
      <c r="P8496" t="n">
        <v>0</v>
      </c>
      <c r="Q8496" t="n">
        <v>0</v>
      </c>
      <c r="R8496" s="2" t="inlineStr"/>
    </row>
    <row r="8497" ht="15" customHeight="1">
      <c r="A8497" t="inlineStr">
        <is>
          <t>A 48896-2024</t>
        </is>
      </c>
      <c r="B8497" s="1" t="n">
        <v>45594.34439814815</v>
      </c>
      <c r="C8497" s="1" t="n">
        <v>46093</v>
      </c>
      <c r="D8497" t="inlineStr">
        <is>
          <t>VÄSTERNORRLANDS LÄN</t>
        </is>
      </c>
      <c r="E8497" t="inlineStr">
        <is>
          <t>ÖRNSKÖLDSVIK</t>
        </is>
      </c>
      <c r="F8497" t="inlineStr">
        <is>
          <t>SCA</t>
        </is>
      </c>
      <c r="G8497" t="n">
        <v>5.8</v>
      </c>
      <c r="H8497" t="n">
        <v>0</v>
      </c>
      <c r="I8497" t="n">
        <v>0</v>
      </c>
      <c r="J8497" t="n">
        <v>0</v>
      </c>
      <c r="K8497" t="n">
        <v>0</v>
      </c>
      <c r="L8497" t="n">
        <v>0</v>
      </c>
      <c r="M8497" t="n">
        <v>0</v>
      </c>
      <c r="N8497" t="n">
        <v>0</v>
      </c>
      <c r="O8497" t="n">
        <v>0</v>
      </c>
      <c r="P8497" t="n">
        <v>0</v>
      </c>
      <c r="Q8497" t="n">
        <v>0</v>
      </c>
      <c r="R8497" s="2" t="inlineStr"/>
    </row>
    <row r="8498" ht="15" customHeight="1">
      <c r="A8498" t="inlineStr">
        <is>
          <t>A 58737-2025</t>
        </is>
      </c>
      <c r="B8498" s="1" t="n">
        <v>45986.6312962963</v>
      </c>
      <c r="C8498" s="1" t="n">
        <v>46093</v>
      </c>
      <c r="D8498" t="inlineStr">
        <is>
          <t>VÄSTERNORRLANDS LÄN</t>
        </is>
      </c>
      <c r="E8498" t="inlineStr">
        <is>
          <t>ÖRNSKÖLDSVIK</t>
        </is>
      </c>
      <c r="G8498" t="n">
        <v>10.4</v>
      </c>
      <c r="H8498" t="n">
        <v>0</v>
      </c>
      <c r="I8498" t="n">
        <v>0</v>
      </c>
      <c r="J8498" t="n">
        <v>0</v>
      </c>
      <c r="K8498" t="n">
        <v>0</v>
      </c>
      <c r="L8498" t="n">
        <v>0</v>
      </c>
      <c r="M8498" t="n">
        <v>0</v>
      </c>
      <c r="N8498" t="n">
        <v>0</v>
      </c>
      <c r="O8498" t="n">
        <v>0</v>
      </c>
      <c r="P8498" t="n">
        <v>0</v>
      </c>
      <c r="Q8498" t="n">
        <v>0</v>
      </c>
      <c r="R8498" s="2" t="inlineStr"/>
    </row>
    <row r="8499" ht="15" customHeight="1">
      <c r="A8499" t="inlineStr">
        <is>
          <t>A 48606-2024</t>
        </is>
      </c>
      <c r="B8499" s="1" t="n">
        <v>45593.4485300926</v>
      </c>
      <c r="C8499" s="1" t="n">
        <v>46093</v>
      </c>
      <c r="D8499" t="inlineStr">
        <is>
          <t>VÄSTERNORRLANDS LÄN</t>
        </is>
      </c>
      <c r="E8499" t="inlineStr">
        <is>
          <t>SOLLEFTEÅ</t>
        </is>
      </c>
      <c r="F8499" t="inlineStr">
        <is>
          <t>SCA</t>
        </is>
      </c>
      <c r="G8499" t="n">
        <v>2.8</v>
      </c>
      <c r="H8499" t="n">
        <v>0</v>
      </c>
      <c r="I8499" t="n">
        <v>0</v>
      </c>
      <c r="J8499" t="n">
        <v>0</v>
      </c>
      <c r="K8499" t="n">
        <v>0</v>
      </c>
      <c r="L8499" t="n">
        <v>0</v>
      </c>
      <c r="M8499" t="n">
        <v>0</v>
      </c>
      <c r="N8499" t="n">
        <v>0</v>
      </c>
      <c r="O8499" t="n">
        <v>0</v>
      </c>
      <c r="P8499" t="n">
        <v>0</v>
      </c>
      <c r="Q8499" t="n">
        <v>0</v>
      </c>
      <c r="R8499" s="2" t="inlineStr"/>
    </row>
    <row r="8500" ht="15" customHeight="1">
      <c r="A8500" t="inlineStr">
        <is>
          <t>A 58599-2025</t>
        </is>
      </c>
      <c r="B8500" s="1" t="n">
        <v>45986.42644675926</v>
      </c>
      <c r="C8500" s="1" t="n">
        <v>46093</v>
      </c>
      <c r="D8500" t="inlineStr">
        <is>
          <t>VÄSTERNORRLANDS LÄN</t>
        </is>
      </c>
      <c r="E8500" t="inlineStr">
        <is>
          <t>ÅNGE</t>
        </is>
      </c>
      <c r="G8500" t="n">
        <v>2</v>
      </c>
      <c r="H8500" t="n">
        <v>0</v>
      </c>
      <c r="I8500" t="n">
        <v>0</v>
      </c>
      <c r="J8500" t="n">
        <v>0</v>
      </c>
      <c r="K8500" t="n">
        <v>0</v>
      </c>
      <c r="L8500" t="n">
        <v>0</v>
      </c>
      <c r="M8500" t="n">
        <v>0</v>
      </c>
      <c r="N8500" t="n">
        <v>0</v>
      </c>
      <c r="O8500" t="n">
        <v>0</v>
      </c>
      <c r="P8500" t="n">
        <v>0</v>
      </c>
      <c r="Q8500" t="n">
        <v>0</v>
      </c>
      <c r="R8500" s="2" t="inlineStr"/>
    </row>
    <row r="8501" ht="15" customHeight="1">
      <c r="A8501" t="inlineStr">
        <is>
          <t>A 4883-2023</t>
        </is>
      </c>
      <c r="B8501" s="1" t="n">
        <v>44957</v>
      </c>
      <c r="C8501" s="1" t="n">
        <v>46093</v>
      </c>
      <c r="D8501" t="inlineStr">
        <is>
          <t>VÄSTERNORRLANDS LÄN</t>
        </is>
      </c>
      <c r="E8501" t="inlineStr">
        <is>
          <t>ÅNGE</t>
        </is>
      </c>
      <c r="F8501" t="inlineStr">
        <is>
          <t>SCA</t>
        </is>
      </c>
      <c r="G8501" t="n">
        <v>4.9</v>
      </c>
      <c r="H8501" t="n">
        <v>0</v>
      </c>
      <c r="I8501" t="n">
        <v>0</v>
      </c>
      <c r="J8501" t="n">
        <v>0</v>
      </c>
      <c r="K8501" t="n">
        <v>0</v>
      </c>
      <c r="L8501" t="n">
        <v>0</v>
      </c>
      <c r="M8501" t="n">
        <v>0</v>
      </c>
      <c r="N8501" t="n">
        <v>0</v>
      </c>
      <c r="O8501" t="n">
        <v>0</v>
      </c>
      <c r="P8501" t="n">
        <v>0</v>
      </c>
      <c r="Q8501" t="n">
        <v>0</v>
      </c>
      <c r="R8501" s="2" t="inlineStr"/>
    </row>
    <row r="8502" ht="15" customHeight="1">
      <c r="A8502" t="inlineStr">
        <is>
          <t>A 58772-2025</t>
        </is>
      </c>
      <c r="B8502" s="1" t="n">
        <v>45986</v>
      </c>
      <c r="C8502" s="1" t="n">
        <v>46093</v>
      </c>
      <c r="D8502" t="inlineStr">
        <is>
          <t>VÄSTERNORRLANDS LÄN</t>
        </is>
      </c>
      <c r="E8502" t="inlineStr">
        <is>
          <t>SOLLEFTEÅ</t>
        </is>
      </c>
      <c r="G8502" t="n">
        <v>8.699999999999999</v>
      </c>
      <c r="H8502" t="n">
        <v>0</v>
      </c>
      <c r="I8502" t="n">
        <v>0</v>
      </c>
      <c r="J8502" t="n">
        <v>0</v>
      </c>
      <c r="K8502" t="n">
        <v>0</v>
      </c>
      <c r="L8502" t="n">
        <v>0</v>
      </c>
      <c r="M8502" t="n">
        <v>0</v>
      </c>
      <c r="N8502" t="n">
        <v>0</v>
      </c>
      <c r="O8502" t="n">
        <v>0</v>
      </c>
      <c r="P8502" t="n">
        <v>0</v>
      </c>
      <c r="Q8502" t="n">
        <v>0</v>
      </c>
      <c r="R8502" s="2" t="inlineStr"/>
    </row>
    <row r="8503" ht="15" customHeight="1">
      <c r="A8503" t="inlineStr">
        <is>
          <t>A 58292-2025</t>
        </is>
      </c>
      <c r="B8503" s="1" t="n">
        <v>45985.44856481482</v>
      </c>
      <c r="C8503" s="1" t="n">
        <v>46093</v>
      </c>
      <c r="D8503" t="inlineStr">
        <is>
          <t>VÄSTERNORRLANDS LÄN</t>
        </is>
      </c>
      <c r="E8503" t="inlineStr">
        <is>
          <t>KRAMFORS</t>
        </is>
      </c>
      <c r="G8503" t="n">
        <v>5.9</v>
      </c>
      <c r="H8503" t="n">
        <v>0</v>
      </c>
      <c r="I8503" t="n">
        <v>0</v>
      </c>
      <c r="J8503" t="n">
        <v>0</v>
      </c>
      <c r="K8503" t="n">
        <v>0</v>
      </c>
      <c r="L8503" t="n">
        <v>0</v>
      </c>
      <c r="M8503" t="n">
        <v>0</v>
      </c>
      <c r="N8503" t="n">
        <v>0</v>
      </c>
      <c r="O8503" t="n">
        <v>0</v>
      </c>
      <c r="P8503" t="n">
        <v>0</v>
      </c>
      <c r="Q8503" t="n">
        <v>0</v>
      </c>
      <c r="R8503" s="2" t="inlineStr"/>
    </row>
    <row r="8504" ht="15" customHeight="1">
      <c r="A8504" t="inlineStr">
        <is>
          <t>A 23673-2021</t>
        </is>
      </c>
      <c r="B8504" s="1" t="n">
        <v>44334</v>
      </c>
      <c r="C8504" s="1" t="n">
        <v>46093</v>
      </c>
      <c r="D8504" t="inlineStr">
        <is>
          <t>VÄSTERNORRLANDS LÄN</t>
        </is>
      </c>
      <c r="E8504" t="inlineStr">
        <is>
          <t>ÖRNSKÖLDSVIK</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23706-2021</t>
        </is>
      </c>
      <c r="B8505" s="1" t="n">
        <v>44334.68295138889</v>
      </c>
      <c r="C8505" s="1" t="n">
        <v>46093</v>
      </c>
      <c r="D8505" t="inlineStr">
        <is>
          <t>VÄSTERNORRLANDS LÄN</t>
        </is>
      </c>
      <c r="E8505" t="inlineStr">
        <is>
          <t>ÖRNSKÖLDSVIK</t>
        </is>
      </c>
      <c r="F8505" t="inlineStr">
        <is>
          <t>Holmen skog AB</t>
        </is>
      </c>
      <c r="G8505" t="n">
        <v>0.9</v>
      </c>
      <c r="H8505" t="n">
        <v>0</v>
      </c>
      <c r="I8505" t="n">
        <v>0</v>
      </c>
      <c r="J8505" t="n">
        <v>0</v>
      </c>
      <c r="K8505" t="n">
        <v>0</v>
      </c>
      <c r="L8505" t="n">
        <v>0</v>
      </c>
      <c r="M8505" t="n">
        <v>0</v>
      </c>
      <c r="N8505" t="n">
        <v>0</v>
      </c>
      <c r="O8505" t="n">
        <v>0</v>
      </c>
      <c r="P8505" t="n">
        <v>0</v>
      </c>
      <c r="Q8505" t="n">
        <v>0</v>
      </c>
      <c r="R8505" s="2" t="inlineStr"/>
    </row>
    <row r="8506" ht="15" customHeight="1">
      <c r="A8506" t="inlineStr">
        <is>
          <t>A 53212-2024</t>
        </is>
      </c>
      <c r="B8506" s="1" t="n">
        <v>45612.63576388889</v>
      </c>
      <c r="C8506" s="1" t="n">
        <v>46093</v>
      </c>
      <c r="D8506" t="inlineStr">
        <is>
          <t>VÄSTERNORRLANDS LÄN</t>
        </is>
      </c>
      <c r="E8506" t="inlineStr">
        <is>
          <t>SOLLEFTEÅ</t>
        </is>
      </c>
      <c r="F8506" t="inlineStr">
        <is>
          <t>SCA</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20338-2025</t>
        </is>
      </c>
      <c r="B8507" s="1" t="n">
        <v>45775</v>
      </c>
      <c r="C8507" s="1" t="n">
        <v>46093</v>
      </c>
      <c r="D8507" t="inlineStr">
        <is>
          <t>VÄSTERNORRLANDS LÄN</t>
        </is>
      </c>
      <c r="E8507" t="inlineStr">
        <is>
          <t>ÅNGE</t>
        </is>
      </c>
      <c r="F8507" t="inlineStr">
        <is>
          <t>SCA</t>
        </is>
      </c>
      <c r="G8507" t="n">
        <v>5.7</v>
      </c>
      <c r="H8507" t="n">
        <v>0</v>
      </c>
      <c r="I8507" t="n">
        <v>0</v>
      </c>
      <c r="J8507" t="n">
        <v>0</v>
      </c>
      <c r="K8507" t="n">
        <v>0</v>
      </c>
      <c r="L8507" t="n">
        <v>0</v>
      </c>
      <c r="M8507" t="n">
        <v>0</v>
      </c>
      <c r="N8507" t="n">
        <v>0</v>
      </c>
      <c r="O8507" t="n">
        <v>0</v>
      </c>
      <c r="P8507" t="n">
        <v>0</v>
      </c>
      <c r="Q8507" t="n">
        <v>0</v>
      </c>
      <c r="R8507" s="2" t="inlineStr"/>
    </row>
    <row r="8508" ht="15" customHeight="1">
      <c r="A8508" t="inlineStr">
        <is>
          <t>A 58558-2025</t>
        </is>
      </c>
      <c r="B8508" s="1" t="n">
        <v>45986.34451388889</v>
      </c>
      <c r="C8508" s="1" t="n">
        <v>46093</v>
      </c>
      <c r="D8508" t="inlineStr">
        <is>
          <t>VÄSTERNORRLANDS LÄN</t>
        </is>
      </c>
      <c r="E8508" t="inlineStr">
        <is>
          <t>SOLLEFTEÅ</t>
        </is>
      </c>
      <c r="F8508" t="inlineStr">
        <is>
          <t>SCA</t>
        </is>
      </c>
      <c r="G8508" t="n">
        <v>6.8</v>
      </c>
      <c r="H8508" t="n">
        <v>0</v>
      </c>
      <c r="I8508" t="n">
        <v>0</v>
      </c>
      <c r="J8508" t="n">
        <v>0</v>
      </c>
      <c r="K8508" t="n">
        <v>0</v>
      </c>
      <c r="L8508" t="n">
        <v>0</v>
      </c>
      <c r="M8508" t="n">
        <v>0</v>
      </c>
      <c r="N8508" t="n">
        <v>0</v>
      </c>
      <c r="O8508" t="n">
        <v>0</v>
      </c>
      <c r="P8508" t="n">
        <v>0</v>
      </c>
      <c r="Q8508" t="n">
        <v>0</v>
      </c>
      <c r="R8508" s="2" t="inlineStr"/>
    </row>
    <row r="8509" ht="15" customHeight="1">
      <c r="A8509" t="inlineStr">
        <is>
          <t>A 55158-2021</t>
        </is>
      </c>
      <c r="B8509" s="1" t="n">
        <v>44474</v>
      </c>
      <c r="C8509" s="1" t="n">
        <v>46093</v>
      </c>
      <c r="D8509" t="inlineStr">
        <is>
          <t>VÄSTERNORRLANDS LÄN</t>
        </is>
      </c>
      <c r="E8509" t="inlineStr">
        <is>
          <t>SUNDSVALL</t>
        </is>
      </c>
      <c r="G8509" t="n">
        <v>3.6</v>
      </c>
      <c r="H8509" t="n">
        <v>0</v>
      </c>
      <c r="I8509" t="n">
        <v>0</v>
      </c>
      <c r="J8509" t="n">
        <v>0</v>
      </c>
      <c r="K8509" t="n">
        <v>0</v>
      </c>
      <c r="L8509" t="n">
        <v>0</v>
      </c>
      <c r="M8509" t="n">
        <v>0</v>
      </c>
      <c r="N8509" t="n">
        <v>0</v>
      </c>
      <c r="O8509" t="n">
        <v>0</v>
      </c>
      <c r="P8509" t="n">
        <v>0</v>
      </c>
      <c r="Q8509" t="n">
        <v>0</v>
      </c>
      <c r="R8509" s="2" t="inlineStr"/>
    </row>
    <row r="8510" ht="15" customHeight="1">
      <c r="A8510" t="inlineStr">
        <is>
          <t>A 47449-2022</t>
        </is>
      </c>
      <c r="B8510" s="1" t="n">
        <v>44852</v>
      </c>
      <c r="C8510" s="1" t="n">
        <v>46093</v>
      </c>
      <c r="D8510" t="inlineStr">
        <is>
          <t>VÄSTERNORRLANDS LÄN</t>
        </is>
      </c>
      <c r="E8510" t="inlineStr">
        <is>
          <t>ÖRNSKÖLDSVIK</t>
        </is>
      </c>
      <c r="G8510" t="n">
        <v>5.8</v>
      </c>
      <c r="H8510" t="n">
        <v>0</v>
      </c>
      <c r="I8510" t="n">
        <v>0</v>
      </c>
      <c r="J8510" t="n">
        <v>0</v>
      </c>
      <c r="K8510" t="n">
        <v>0</v>
      </c>
      <c r="L8510" t="n">
        <v>0</v>
      </c>
      <c r="M8510" t="n">
        <v>0</v>
      </c>
      <c r="N8510" t="n">
        <v>0</v>
      </c>
      <c r="O8510" t="n">
        <v>0</v>
      </c>
      <c r="P8510" t="n">
        <v>0</v>
      </c>
      <c r="Q8510" t="n">
        <v>0</v>
      </c>
      <c r="R8510" s="2" t="inlineStr"/>
    </row>
    <row r="8511" ht="15" customHeight="1">
      <c r="A8511" t="inlineStr">
        <is>
          <t>A 47551-2022</t>
        </is>
      </c>
      <c r="B8511" s="1" t="n">
        <v>44853.92789351852</v>
      </c>
      <c r="C8511" s="1" t="n">
        <v>46093</v>
      </c>
      <c r="D8511" t="inlineStr">
        <is>
          <t>VÄSTERNORRLANDS LÄN</t>
        </is>
      </c>
      <c r="E8511" t="inlineStr">
        <is>
          <t>HÄRNÖSAND</t>
        </is>
      </c>
      <c r="G8511" t="n">
        <v>2.3</v>
      </c>
      <c r="H8511" t="n">
        <v>0</v>
      </c>
      <c r="I8511" t="n">
        <v>0</v>
      </c>
      <c r="J8511" t="n">
        <v>0</v>
      </c>
      <c r="K8511" t="n">
        <v>0</v>
      </c>
      <c r="L8511" t="n">
        <v>0</v>
      </c>
      <c r="M8511" t="n">
        <v>0</v>
      </c>
      <c r="N8511" t="n">
        <v>0</v>
      </c>
      <c r="O8511" t="n">
        <v>0</v>
      </c>
      <c r="P8511" t="n">
        <v>0</v>
      </c>
      <c r="Q8511" t="n">
        <v>0</v>
      </c>
      <c r="R8511" s="2" t="inlineStr"/>
    </row>
    <row r="8512" ht="15" customHeight="1">
      <c r="A8512" t="inlineStr">
        <is>
          <t>A 8755-2022</t>
        </is>
      </c>
      <c r="B8512" s="1" t="n">
        <v>44614</v>
      </c>
      <c r="C8512" s="1" t="n">
        <v>46093</v>
      </c>
      <c r="D8512" t="inlineStr">
        <is>
          <t>VÄSTERNORRLANDS LÄN</t>
        </is>
      </c>
      <c r="E8512" t="inlineStr">
        <is>
          <t>ÅNGE</t>
        </is>
      </c>
      <c r="G8512" t="n">
        <v>2</v>
      </c>
      <c r="H8512" t="n">
        <v>0</v>
      </c>
      <c r="I8512" t="n">
        <v>0</v>
      </c>
      <c r="J8512" t="n">
        <v>0</v>
      </c>
      <c r="K8512" t="n">
        <v>0</v>
      </c>
      <c r="L8512" t="n">
        <v>0</v>
      </c>
      <c r="M8512" t="n">
        <v>0</v>
      </c>
      <c r="N8512" t="n">
        <v>0</v>
      </c>
      <c r="O8512" t="n">
        <v>0</v>
      </c>
      <c r="P8512" t="n">
        <v>0</v>
      </c>
      <c r="Q8512" t="n">
        <v>0</v>
      </c>
      <c r="R8512" s="2" t="inlineStr"/>
    </row>
    <row r="8513" ht="15" customHeight="1">
      <c r="A8513" t="inlineStr">
        <is>
          <t>A 52237-2022</t>
        </is>
      </c>
      <c r="B8513" s="1" t="n">
        <v>44869</v>
      </c>
      <c r="C8513" s="1" t="n">
        <v>46093</v>
      </c>
      <c r="D8513" t="inlineStr">
        <is>
          <t>VÄSTERNORRLANDS LÄN</t>
        </is>
      </c>
      <c r="E8513" t="inlineStr">
        <is>
          <t>HÄRNÖSAND</t>
        </is>
      </c>
      <c r="G8513" t="n">
        <v>1.9</v>
      </c>
      <c r="H8513" t="n">
        <v>0</v>
      </c>
      <c r="I8513" t="n">
        <v>0</v>
      </c>
      <c r="J8513" t="n">
        <v>0</v>
      </c>
      <c r="K8513" t="n">
        <v>0</v>
      </c>
      <c r="L8513" t="n">
        <v>0</v>
      </c>
      <c r="M8513" t="n">
        <v>0</v>
      </c>
      <c r="N8513" t="n">
        <v>0</v>
      </c>
      <c r="O8513" t="n">
        <v>0</v>
      </c>
      <c r="P8513" t="n">
        <v>0</v>
      </c>
      <c r="Q8513" t="n">
        <v>0</v>
      </c>
      <c r="R8513" s="2" t="inlineStr"/>
    </row>
    <row r="8514" ht="15" customHeight="1">
      <c r="A8514" t="inlineStr">
        <is>
          <t>A 58383-2025</t>
        </is>
      </c>
      <c r="B8514" s="1" t="n">
        <v>45985.54152777778</v>
      </c>
      <c r="C8514" s="1" t="n">
        <v>46093</v>
      </c>
      <c r="D8514" t="inlineStr">
        <is>
          <t>VÄSTERNORRLANDS LÄN</t>
        </is>
      </c>
      <c r="E8514" t="inlineStr">
        <is>
          <t>SOLLEFTEÅ</t>
        </is>
      </c>
      <c r="G8514" t="n">
        <v>4.1</v>
      </c>
      <c r="H8514" t="n">
        <v>0</v>
      </c>
      <c r="I8514" t="n">
        <v>0</v>
      </c>
      <c r="J8514" t="n">
        <v>0</v>
      </c>
      <c r="K8514" t="n">
        <v>0</v>
      </c>
      <c r="L8514" t="n">
        <v>0</v>
      </c>
      <c r="M8514" t="n">
        <v>0</v>
      </c>
      <c r="N8514" t="n">
        <v>0</v>
      </c>
      <c r="O8514" t="n">
        <v>0</v>
      </c>
      <c r="P8514" t="n">
        <v>0</v>
      </c>
      <c r="Q8514" t="n">
        <v>0</v>
      </c>
      <c r="R8514" s="2" t="inlineStr"/>
    </row>
    <row r="8515" ht="15" customHeight="1">
      <c r="A8515" t="inlineStr">
        <is>
          <t>A 29598-2023</t>
        </is>
      </c>
      <c r="B8515" s="1" t="n">
        <v>45106</v>
      </c>
      <c r="C8515" s="1" t="n">
        <v>46093</v>
      </c>
      <c r="D8515" t="inlineStr">
        <is>
          <t>VÄSTERNORRLANDS LÄN</t>
        </is>
      </c>
      <c r="E8515" t="inlineStr">
        <is>
          <t>SUNDSVALL</t>
        </is>
      </c>
      <c r="G8515" t="n">
        <v>0.9</v>
      </c>
      <c r="H8515" t="n">
        <v>0</v>
      </c>
      <c r="I8515" t="n">
        <v>0</v>
      </c>
      <c r="J8515" t="n">
        <v>0</v>
      </c>
      <c r="K8515" t="n">
        <v>0</v>
      </c>
      <c r="L8515" t="n">
        <v>0</v>
      </c>
      <c r="M8515" t="n">
        <v>0</v>
      </c>
      <c r="N8515" t="n">
        <v>0</v>
      </c>
      <c r="O8515" t="n">
        <v>0</v>
      </c>
      <c r="P8515" t="n">
        <v>0</v>
      </c>
      <c r="Q8515" t="n">
        <v>0</v>
      </c>
      <c r="R8515" s="2" t="inlineStr"/>
    </row>
    <row r="8516" ht="15" customHeight="1">
      <c r="A8516" t="inlineStr">
        <is>
          <t>A 14308-2022</t>
        </is>
      </c>
      <c r="B8516" s="1" t="n">
        <v>44651.93954861111</v>
      </c>
      <c r="C8516" s="1" t="n">
        <v>46093</v>
      </c>
      <c r="D8516" t="inlineStr">
        <is>
          <t>VÄSTERNORRLANDS LÄN</t>
        </is>
      </c>
      <c r="E8516" t="inlineStr">
        <is>
          <t>SOLLEFTEÅ</t>
        </is>
      </c>
      <c r="F8516" t="inlineStr">
        <is>
          <t>SCA</t>
        </is>
      </c>
      <c r="G8516" t="n">
        <v>4.1</v>
      </c>
      <c r="H8516" t="n">
        <v>0</v>
      </c>
      <c r="I8516" t="n">
        <v>0</v>
      </c>
      <c r="J8516" t="n">
        <v>0</v>
      </c>
      <c r="K8516" t="n">
        <v>0</v>
      </c>
      <c r="L8516" t="n">
        <v>0</v>
      </c>
      <c r="M8516" t="n">
        <v>0</v>
      </c>
      <c r="N8516" t="n">
        <v>0</v>
      </c>
      <c r="O8516" t="n">
        <v>0</v>
      </c>
      <c r="P8516" t="n">
        <v>0</v>
      </c>
      <c r="Q8516" t="n">
        <v>0</v>
      </c>
      <c r="R8516" s="2" t="inlineStr"/>
    </row>
    <row r="8517" ht="15" customHeight="1">
      <c r="A8517" t="inlineStr">
        <is>
          <t>A 40197-2022</t>
        </is>
      </c>
      <c r="B8517" s="1" t="n">
        <v>44818</v>
      </c>
      <c r="C8517" s="1" t="n">
        <v>46093</v>
      </c>
      <c r="D8517" t="inlineStr">
        <is>
          <t>VÄSTERNORRLANDS LÄN</t>
        </is>
      </c>
      <c r="E8517" t="inlineStr">
        <is>
          <t>ÖRNSKÖLDSVIK</t>
        </is>
      </c>
      <c r="G8517" t="n">
        <v>3.8</v>
      </c>
      <c r="H8517" t="n">
        <v>0</v>
      </c>
      <c r="I8517" t="n">
        <v>0</v>
      </c>
      <c r="J8517" t="n">
        <v>0</v>
      </c>
      <c r="K8517" t="n">
        <v>0</v>
      </c>
      <c r="L8517" t="n">
        <v>0</v>
      </c>
      <c r="M8517" t="n">
        <v>0</v>
      </c>
      <c r="N8517" t="n">
        <v>0</v>
      </c>
      <c r="O8517" t="n">
        <v>0</v>
      </c>
      <c r="P8517" t="n">
        <v>0</v>
      </c>
      <c r="Q8517" t="n">
        <v>0</v>
      </c>
      <c r="R8517" s="2" t="inlineStr"/>
    </row>
    <row r="8518" ht="15" customHeight="1">
      <c r="A8518" t="inlineStr">
        <is>
          <t>A 10084-2025</t>
        </is>
      </c>
      <c r="B8518" s="1" t="n">
        <v>45719.56513888889</v>
      </c>
      <c r="C8518" s="1" t="n">
        <v>46093</v>
      </c>
      <c r="D8518" t="inlineStr">
        <is>
          <t>VÄSTERNORRLANDS LÄN</t>
        </is>
      </c>
      <c r="E8518" t="inlineStr">
        <is>
          <t>ÖRNSKÖLDSVIK</t>
        </is>
      </c>
      <c r="G8518" t="n">
        <v>1.4</v>
      </c>
      <c r="H8518" t="n">
        <v>0</v>
      </c>
      <c r="I8518" t="n">
        <v>0</v>
      </c>
      <c r="J8518" t="n">
        <v>0</v>
      </c>
      <c r="K8518" t="n">
        <v>0</v>
      </c>
      <c r="L8518" t="n">
        <v>0</v>
      </c>
      <c r="M8518" t="n">
        <v>0</v>
      </c>
      <c r="N8518" t="n">
        <v>0</v>
      </c>
      <c r="O8518" t="n">
        <v>0</v>
      </c>
      <c r="P8518" t="n">
        <v>0</v>
      </c>
      <c r="Q8518" t="n">
        <v>0</v>
      </c>
      <c r="R8518" s="2" t="inlineStr"/>
    </row>
    <row r="8519" ht="15" customHeight="1">
      <c r="A8519" t="inlineStr">
        <is>
          <t>A 1466-2025</t>
        </is>
      </c>
      <c r="B8519" s="1" t="n">
        <v>45670</v>
      </c>
      <c r="C8519" s="1" t="n">
        <v>46093</v>
      </c>
      <c r="D8519" t="inlineStr">
        <is>
          <t>VÄSTERNORRLANDS LÄN</t>
        </is>
      </c>
      <c r="E8519" t="inlineStr">
        <is>
          <t>SOLLEFTEÅ</t>
        </is>
      </c>
      <c r="G8519" t="n">
        <v>5.2</v>
      </c>
      <c r="H8519" t="n">
        <v>0</v>
      </c>
      <c r="I8519" t="n">
        <v>0</v>
      </c>
      <c r="J8519" t="n">
        <v>0</v>
      </c>
      <c r="K8519" t="n">
        <v>0</v>
      </c>
      <c r="L8519" t="n">
        <v>0</v>
      </c>
      <c r="M8519" t="n">
        <v>0</v>
      </c>
      <c r="N8519" t="n">
        <v>0</v>
      </c>
      <c r="O8519" t="n">
        <v>0</v>
      </c>
      <c r="P8519" t="n">
        <v>0</v>
      </c>
      <c r="Q8519" t="n">
        <v>0</v>
      </c>
      <c r="R8519" s="2" t="inlineStr"/>
    </row>
    <row r="8520" ht="15" customHeight="1">
      <c r="A8520" t="inlineStr">
        <is>
          <t>A 36457-2021</t>
        </is>
      </c>
      <c r="B8520" s="1" t="n">
        <v>44390.93858796296</v>
      </c>
      <c r="C8520" s="1" t="n">
        <v>46093</v>
      </c>
      <c r="D8520" t="inlineStr">
        <is>
          <t>VÄSTERNORRLANDS LÄN</t>
        </is>
      </c>
      <c r="E8520" t="inlineStr">
        <is>
          <t>ÅNGE</t>
        </is>
      </c>
      <c r="G8520" t="n">
        <v>1.6</v>
      </c>
      <c r="H8520" t="n">
        <v>0</v>
      </c>
      <c r="I8520" t="n">
        <v>0</v>
      </c>
      <c r="J8520" t="n">
        <v>0</v>
      </c>
      <c r="K8520" t="n">
        <v>0</v>
      </c>
      <c r="L8520" t="n">
        <v>0</v>
      </c>
      <c r="M8520" t="n">
        <v>0</v>
      </c>
      <c r="N8520" t="n">
        <v>0</v>
      </c>
      <c r="O8520" t="n">
        <v>0</v>
      </c>
      <c r="P8520" t="n">
        <v>0</v>
      </c>
      <c r="Q8520" t="n">
        <v>0</v>
      </c>
      <c r="R8520" s="2" t="inlineStr"/>
    </row>
    <row r="8521" ht="15" customHeight="1">
      <c r="A8521" t="inlineStr">
        <is>
          <t>A 58556-2025</t>
        </is>
      </c>
      <c r="B8521" s="1" t="n">
        <v>45986.34287037037</v>
      </c>
      <c r="C8521" s="1" t="n">
        <v>46093</v>
      </c>
      <c r="D8521" t="inlineStr">
        <is>
          <t>VÄSTERNORRLANDS LÄN</t>
        </is>
      </c>
      <c r="E8521" t="inlineStr">
        <is>
          <t>KRAMFORS</t>
        </is>
      </c>
      <c r="G8521" t="n">
        <v>1.3</v>
      </c>
      <c r="H8521" t="n">
        <v>0</v>
      </c>
      <c r="I8521" t="n">
        <v>0</v>
      </c>
      <c r="J8521" t="n">
        <v>0</v>
      </c>
      <c r="K8521" t="n">
        <v>0</v>
      </c>
      <c r="L8521" t="n">
        <v>0</v>
      </c>
      <c r="M8521" t="n">
        <v>0</v>
      </c>
      <c r="N8521" t="n">
        <v>0</v>
      </c>
      <c r="O8521" t="n">
        <v>0</v>
      </c>
      <c r="P8521" t="n">
        <v>0</v>
      </c>
      <c r="Q8521" t="n">
        <v>0</v>
      </c>
      <c r="R8521" s="2" t="inlineStr"/>
    </row>
    <row r="8522" ht="15" customHeight="1">
      <c r="A8522" t="inlineStr">
        <is>
          <t>A 58406-2025</t>
        </is>
      </c>
      <c r="B8522" s="1" t="n">
        <v>45985.56913194444</v>
      </c>
      <c r="C8522" s="1" t="n">
        <v>46093</v>
      </c>
      <c r="D8522" t="inlineStr">
        <is>
          <t>VÄSTERNORRLANDS LÄN</t>
        </is>
      </c>
      <c r="E8522" t="inlineStr">
        <is>
          <t>ÅNGE</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35872-2024</t>
        </is>
      </c>
      <c r="B8523" s="1" t="n">
        <v>45533</v>
      </c>
      <c r="C8523" s="1" t="n">
        <v>46093</v>
      </c>
      <c r="D8523" t="inlineStr">
        <is>
          <t>VÄSTERNORRLANDS LÄN</t>
        </is>
      </c>
      <c r="E8523" t="inlineStr">
        <is>
          <t>SOLLEFTEÅ</t>
        </is>
      </c>
      <c r="F8523" t="inlineStr">
        <is>
          <t>SCA</t>
        </is>
      </c>
      <c r="G8523" t="n">
        <v>1.8</v>
      </c>
      <c r="H8523" t="n">
        <v>0</v>
      </c>
      <c r="I8523" t="n">
        <v>0</v>
      </c>
      <c r="J8523" t="n">
        <v>0</v>
      </c>
      <c r="K8523" t="n">
        <v>0</v>
      </c>
      <c r="L8523" t="n">
        <v>0</v>
      </c>
      <c r="M8523" t="n">
        <v>0</v>
      </c>
      <c r="N8523" t="n">
        <v>0</v>
      </c>
      <c r="O8523" t="n">
        <v>0</v>
      </c>
      <c r="P8523" t="n">
        <v>0</v>
      </c>
      <c r="Q8523" t="n">
        <v>0</v>
      </c>
      <c r="R8523" s="2" t="inlineStr"/>
    </row>
    <row r="8524" ht="15" customHeight="1">
      <c r="A8524" t="inlineStr">
        <is>
          <t>A 29693-2024</t>
        </is>
      </c>
      <c r="B8524" s="1" t="n">
        <v>45484.94490740741</v>
      </c>
      <c r="C8524" s="1" t="n">
        <v>46093</v>
      </c>
      <c r="D8524" t="inlineStr">
        <is>
          <t>VÄSTERNORRLANDS LÄN</t>
        </is>
      </c>
      <c r="E8524" t="inlineStr">
        <is>
          <t>SOLLEFTEÅ</t>
        </is>
      </c>
      <c r="F8524" t="inlineStr">
        <is>
          <t>SCA</t>
        </is>
      </c>
      <c r="G8524" t="n">
        <v>2.3</v>
      </c>
      <c r="H8524" t="n">
        <v>0</v>
      </c>
      <c r="I8524" t="n">
        <v>0</v>
      </c>
      <c r="J8524" t="n">
        <v>0</v>
      </c>
      <c r="K8524" t="n">
        <v>0</v>
      </c>
      <c r="L8524" t="n">
        <v>0</v>
      </c>
      <c r="M8524" t="n">
        <v>0</v>
      </c>
      <c r="N8524" t="n">
        <v>0</v>
      </c>
      <c r="O8524" t="n">
        <v>0</v>
      </c>
      <c r="P8524" t="n">
        <v>0</v>
      </c>
      <c r="Q8524" t="n">
        <v>0</v>
      </c>
      <c r="R8524" s="2" t="inlineStr"/>
    </row>
    <row r="8525" ht="15" customHeight="1">
      <c r="A8525" t="inlineStr">
        <is>
          <t>A 30747-2024</t>
        </is>
      </c>
      <c r="B8525" s="1" t="n">
        <v>45496</v>
      </c>
      <c r="C8525" s="1" t="n">
        <v>46093</v>
      </c>
      <c r="D8525" t="inlineStr">
        <is>
          <t>VÄSTERNORRLANDS LÄN</t>
        </is>
      </c>
      <c r="E8525" t="inlineStr">
        <is>
          <t>ÅNGE</t>
        </is>
      </c>
      <c r="F8525" t="inlineStr">
        <is>
          <t>SCA</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42507-2023</t>
        </is>
      </c>
      <c r="B8526" s="1" t="n">
        <v>45180.95899305555</v>
      </c>
      <c r="C8526" s="1" t="n">
        <v>46093</v>
      </c>
      <c r="D8526" t="inlineStr">
        <is>
          <t>VÄSTERNORRLANDS LÄN</t>
        </is>
      </c>
      <c r="E8526" t="inlineStr">
        <is>
          <t>SUNDSVALL</t>
        </is>
      </c>
      <c r="G8526" t="n">
        <v>6.1</v>
      </c>
      <c r="H8526" t="n">
        <v>0</v>
      </c>
      <c r="I8526" t="n">
        <v>0</v>
      </c>
      <c r="J8526" t="n">
        <v>0</v>
      </c>
      <c r="K8526" t="n">
        <v>0</v>
      </c>
      <c r="L8526" t="n">
        <v>0</v>
      </c>
      <c r="M8526" t="n">
        <v>0</v>
      </c>
      <c r="N8526" t="n">
        <v>0</v>
      </c>
      <c r="O8526" t="n">
        <v>0</v>
      </c>
      <c r="P8526" t="n">
        <v>0</v>
      </c>
      <c r="Q8526" t="n">
        <v>0</v>
      </c>
      <c r="R8526" s="2" t="inlineStr"/>
    </row>
    <row r="8527" ht="15" customHeight="1">
      <c r="A8527" t="inlineStr">
        <is>
          <t>A 56682-2023</t>
        </is>
      </c>
      <c r="B8527" s="1" t="n">
        <v>45243</v>
      </c>
      <c r="C8527" s="1" t="n">
        <v>46093</v>
      </c>
      <c r="D8527" t="inlineStr">
        <is>
          <t>VÄSTERNORRLANDS LÄN</t>
        </is>
      </c>
      <c r="E8527" t="inlineStr">
        <is>
          <t>SUNDSVALL</t>
        </is>
      </c>
      <c r="G8527" t="n">
        <v>7.5</v>
      </c>
      <c r="H8527" t="n">
        <v>0</v>
      </c>
      <c r="I8527" t="n">
        <v>0</v>
      </c>
      <c r="J8527" t="n">
        <v>0</v>
      </c>
      <c r="K8527" t="n">
        <v>0</v>
      </c>
      <c r="L8527" t="n">
        <v>0</v>
      </c>
      <c r="M8527" t="n">
        <v>0</v>
      </c>
      <c r="N8527" t="n">
        <v>0</v>
      </c>
      <c r="O8527" t="n">
        <v>0</v>
      </c>
      <c r="P8527" t="n">
        <v>0</v>
      </c>
      <c r="Q8527" t="n">
        <v>0</v>
      </c>
      <c r="R8527" s="2" t="inlineStr"/>
    </row>
    <row r="8528" ht="15" customHeight="1">
      <c r="A8528" t="inlineStr">
        <is>
          <t>A 56685-2023</t>
        </is>
      </c>
      <c r="B8528" s="1" t="n">
        <v>45243.96600694444</v>
      </c>
      <c r="C8528" s="1" t="n">
        <v>46093</v>
      </c>
      <c r="D8528" t="inlineStr">
        <is>
          <t>VÄSTERNORRLANDS LÄN</t>
        </is>
      </c>
      <c r="E8528" t="inlineStr">
        <is>
          <t>SOLLEFTEÅ</t>
        </is>
      </c>
      <c r="F8528" t="inlineStr">
        <is>
          <t>SCA</t>
        </is>
      </c>
      <c r="G8528" t="n">
        <v>1.1</v>
      </c>
      <c r="H8528" t="n">
        <v>0</v>
      </c>
      <c r="I8528" t="n">
        <v>0</v>
      </c>
      <c r="J8528" t="n">
        <v>0</v>
      </c>
      <c r="K8528" t="n">
        <v>0</v>
      </c>
      <c r="L8528" t="n">
        <v>0</v>
      </c>
      <c r="M8528" t="n">
        <v>0</v>
      </c>
      <c r="N8528" t="n">
        <v>0</v>
      </c>
      <c r="O8528" t="n">
        <v>0</v>
      </c>
      <c r="P8528" t="n">
        <v>0</v>
      </c>
      <c r="Q8528" t="n">
        <v>0</v>
      </c>
      <c r="R8528" s="2" t="inlineStr"/>
    </row>
    <row r="8529" ht="15" customHeight="1">
      <c r="A8529" t="inlineStr">
        <is>
          <t>A 56699-2023</t>
        </is>
      </c>
      <c r="B8529" s="1" t="n">
        <v>45243</v>
      </c>
      <c r="C8529" s="1" t="n">
        <v>46093</v>
      </c>
      <c r="D8529" t="inlineStr">
        <is>
          <t>VÄSTERNORRLANDS LÄN</t>
        </is>
      </c>
      <c r="E8529" t="inlineStr">
        <is>
          <t>ÅNGE</t>
        </is>
      </c>
      <c r="F8529" t="inlineStr">
        <is>
          <t>SCA</t>
        </is>
      </c>
      <c r="G8529" t="n">
        <v>3.9</v>
      </c>
      <c r="H8529" t="n">
        <v>0</v>
      </c>
      <c r="I8529" t="n">
        <v>0</v>
      </c>
      <c r="J8529" t="n">
        <v>0</v>
      </c>
      <c r="K8529" t="n">
        <v>0</v>
      </c>
      <c r="L8529" t="n">
        <v>0</v>
      </c>
      <c r="M8529" t="n">
        <v>0</v>
      </c>
      <c r="N8529" t="n">
        <v>0</v>
      </c>
      <c r="O8529" t="n">
        <v>0</v>
      </c>
      <c r="P8529" t="n">
        <v>0</v>
      </c>
      <c r="Q8529" t="n">
        <v>0</v>
      </c>
      <c r="R8529" s="2" t="inlineStr"/>
    </row>
    <row r="8530" ht="15" customHeight="1">
      <c r="A8530" t="inlineStr">
        <is>
          <t>A 58234-2025</t>
        </is>
      </c>
      <c r="B8530" s="1" t="n">
        <v>45985.38688657407</v>
      </c>
      <c r="C8530" s="1" t="n">
        <v>46093</v>
      </c>
      <c r="D8530" t="inlineStr">
        <is>
          <t>VÄSTERNORRLANDS LÄN</t>
        </is>
      </c>
      <c r="E8530" t="inlineStr">
        <is>
          <t>SOLLEFTEÅ</t>
        </is>
      </c>
      <c r="F8530" t="inlineStr">
        <is>
          <t>SCA</t>
        </is>
      </c>
      <c r="G8530" t="n">
        <v>4.8</v>
      </c>
      <c r="H8530" t="n">
        <v>0</v>
      </c>
      <c r="I8530" t="n">
        <v>0</v>
      </c>
      <c r="J8530" t="n">
        <v>0</v>
      </c>
      <c r="K8530" t="n">
        <v>0</v>
      </c>
      <c r="L8530" t="n">
        <v>0</v>
      </c>
      <c r="M8530" t="n">
        <v>0</v>
      </c>
      <c r="N8530" t="n">
        <v>0</v>
      </c>
      <c r="O8530" t="n">
        <v>0</v>
      </c>
      <c r="P8530" t="n">
        <v>0</v>
      </c>
      <c r="Q8530" t="n">
        <v>0</v>
      </c>
      <c r="R8530" s="2" t="inlineStr"/>
    </row>
    <row r="8531" ht="15" customHeight="1">
      <c r="A8531" t="inlineStr">
        <is>
          <t>A 29425-2023</t>
        </is>
      </c>
      <c r="B8531" s="1" t="n">
        <v>45106.48501157408</v>
      </c>
      <c r="C8531" s="1" t="n">
        <v>46093</v>
      </c>
      <c r="D8531" t="inlineStr">
        <is>
          <t>VÄSTERNORRLANDS LÄN</t>
        </is>
      </c>
      <c r="E8531" t="inlineStr">
        <is>
          <t>ÖRNSKÖLDSVIK</t>
        </is>
      </c>
      <c r="F8531" t="inlineStr">
        <is>
          <t>Holmen skog AB</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29428-2023</t>
        </is>
      </c>
      <c r="B8532" s="1" t="n">
        <v>45106.48644675926</v>
      </c>
      <c r="C8532" s="1" t="n">
        <v>46093</v>
      </c>
      <c r="D8532" t="inlineStr">
        <is>
          <t>VÄSTERNORRLANDS LÄN</t>
        </is>
      </c>
      <c r="E8532" t="inlineStr">
        <is>
          <t>ÖRNSKÖLDSVIK</t>
        </is>
      </c>
      <c r="F8532" t="inlineStr">
        <is>
          <t>Holmen skog AB</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29462-2023</t>
        </is>
      </c>
      <c r="B8533" s="1" t="n">
        <v>45106.54206018519</v>
      </c>
      <c r="C8533" s="1" t="n">
        <v>46093</v>
      </c>
      <c r="D8533" t="inlineStr">
        <is>
          <t>VÄSTERNORRLANDS LÄN</t>
        </is>
      </c>
      <c r="E8533" t="inlineStr">
        <is>
          <t>ÖRNSKÖLDSVIK</t>
        </is>
      </c>
      <c r="G8533" t="n">
        <v>3</v>
      </c>
      <c r="H8533" t="n">
        <v>0</v>
      </c>
      <c r="I8533" t="n">
        <v>0</v>
      </c>
      <c r="J8533" t="n">
        <v>0</v>
      </c>
      <c r="K8533" t="n">
        <v>0</v>
      </c>
      <c r="L8533" t="n">
        <v>0</v>
      </c>
      <c r="M8533" t="n">
        <v>0</v>
      </c>
      <c r="N8533" t="n">
        <v>0</v>
      </c>
      <c r="O8533" t="n">
        <v>0</v>
      </c>
      <c r="P8533" t="n">
        <v>0</v>
      </c>
      <c r="Q8533" t="n">
        <v>0</v>
      </c>
      <c r="R8533" s="2" t="inlineStr"/>
    </row>
    <row r="8534" ht="15" customHeight="1">
      <c r="A8534" t="inlineStr">
        <is>
          <t>A 54998-2022</t>
        </is>
      </c>
      <c r="B8534" s="1" t="n">
        <v>44881</v>
      </c>
      <c r="C8534" s="1" t="n">
        <v>46093</v>
      </c>
      <c r="D8534" t="inlineStr">
        <is>
          <t>VÄSTERNORRLANDS LÄN</t>
        </is>
      </c>
      <c r="E8534" t="inlineStr">
        <is>
          <t>SUNDSVALL</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61928-2021</t>
        </is>
      </c>
      <c r="B8535" s="1" t="n">
        <v>44502.38475694445</v>
      </c>
      <c r="C8535" s="1" t="n">
        <v>46093</v>
      </c>
      <c r="D8535" t="inlineStr">
        <is>
          <t>VÄSTERNORRLANDS LÄN</t>
        </is>
      </c>
      <c r="E8535" t="inlineStr">
        <is>
          <t>ÅNGE</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62013-2021</t>
        </is>
      </c>
      <c r="B8536" s="1" t="n">
        <v>44502.50188657407</v>
      </c>
      <c r="C8536" s="1" t="n">
        <v>46093</v>
      </c>
      <c r="D8536" t="inlineStr">
        <is>
          <t>VÄSTERNORRLANDS LÄN</t>
        </is>
      </c>
      <c r="E8536" t="inlineStr">
        <is>
          <t>ÖRNSKÖLDSVIK</t>
        </is>
      </c>
      <c r="G8536" t="n">
        <v>0.8</v>
      </c>
      <c r="H8536" t="n">
        <v>0</v>
      </c>
      <c r="I8536" t="n">
        <v>0</v>
      </c>
      <c r="J8536" t="n">
        <v>0</v>
      </c>
      <c r="K8536" t="n">
        <v>0</v>
      </c>
      <c r="L8536" t="n">
        <v>0</v>
      </c>
      <c r="M8536" t="n">
        <v>0</v>
      </c>
      <c r="N8536" t="n">
        <v>0</v>
      </c>
      <c r="O8536" t="n">
        <v>0</v>
      </c>
      <c r="P8536" t="n">
        <v>0</v>
      </c>
      <c r="Q8536" t="n">
        <v>0</v>
      </c>
      <c r="R8536" s="2" t="inlineStr"/>
    </row>
    <row r="8537" ht="15" customHeight="1">
      <c r="A8537" t="inlineStr">
        <is>
          <t>A 58240-2025</t>
        </is>
      </c>
      <c r="B8537" s="1" t="n">
        <v>45985.38796296297</v>
      </c>
      <c r="C8537" s="1" t="n">
        <v>46093</v>
      </c>
      <c r="D8537" t="inlineStr">
        <is>
          <t>VÄSTERNORRLANDS LÄN</t>
        </is>
      </c>
      <c r="E8537" t="inlineStr">
        <is>
          <t>ÅNGE</t>
        </is>
      </c>
      <c r="G8537" t="n">
        <v>1.8</v>
      </c>
      <c r="H8537" t="n">
        <v>0</v>
      </c>
      <c r="I8537" t="n">
        <v>0</v>
      </c>
      <c r="J8537" t="n">
        <v>0</v>
      </c>
      <c r="K8537" t="n">
        <v>0</v>
      </c>
      <c r="L8537" t="n">
        <v>0</v>
      </c>
      <c r="M8537" t="n">
        <v>0</v>
      </c>
      <c r="N8537" t="n">
        <v>0</v>
      </c>
      <c r="O8537" t="n">
        <v>0</v>
      </c>
      <c r="P8537" t="n">
        <v>0</v>
      </c>
      <c r="Q8537" t="n">
        <v>0</v>
      </c>
      <c r="R8537" s="2" t="inlineStr"/>
    </row>
    <row r="8538" ht="15" customHeight="1">
      <c r="A8538" t="inlineStr">
        <is>
          <t>A 58315-2025</t>
        </is>
      </c>
      <c r="B8538" s="1" t="n">
        <v>45985.47033564815</v>
      </c>
      <c r="C8538" s="1" t="n">
        <v>46093</v>
      </c>
      <c r="D8538" t="inlineStr">
        <is>
          <t>VÄSTERNORRLANDS LÄN</t>
        </is>
      </c>
      <c r="E8538" t="inlineStr">
        <is>
          <t>SOLLEFTEÅ</t>
        </is>
      </c>
      <c r="G8538" t="n">
        <v>2.9</v>
      </c>
      <c r="H8538" t="n">
        <v>0</v>
      </c>
      <c r="I8538" t="n">
        <v>0</v>
      </c>
      <c r="J8538" t="n">
        <v>0</v>
      </c>
      <c r="K8538" t="n">
        <v>0</v>
      </c>
      <c r="L8538" t="n">
        <v>0</v>
      </c>
      <c r="M8538" t="n">
        <v>0</v>
      </c>
      <c r="N8538" t="n">
        <v>0</v>
      </c>
      <c r="O8538" t="n">
        <v>0</v>
      </c>
      <c r="P8538" t="n">
        <v>0</v>
      </c>
      <c r="Q8538" t="n">
        <v>0</v>
      </c>
      <c r="R8538" s="2" t="inlineStr"/>
    </row>
    <row r="8539" ht="15" customHeight="1">
      <c r="A8539" t="inlineStr">
        <is>
          <t>A 19036-2025</t>
        </is>
      </c>
      <c r="B8539" s="1" t="n">
        <v>45764.67304398148</v>
      </c>
      <c r="C8539" s="1" t="n">
        <v>46093</v>
      </c>
      <c r="D8539" t="inlineStr">
        <is>
          <t>VÄSTERNORRLANDS LÄN</t>
        </is>
      </c>
      <c r="E8539" t="inlineStr">
        <is>
          <t>SUNDSVALL</t>
        </is>
      </c>
      <c r="G8539" t="n">
        <v>0.3</v>
      </c>
      <c r="H8539" t="n">
        <v>0</v>
      </c>
      <c r="I8539" t="n">
        <v>0</v>
      </c>
      <c r="J8539" t="n">
        <v>0</v>
      </c>
      <c r="K8539" t="n">
        <v>0</v>
      </c>
      <c r="L8539" t="n">
        <v>0</v>
      </c>
      <c r="M8539" t="n">
        <v>0</v>
      </c>
      <c r="N8539" t="n">
        <v>0</v>
      </c>
      <c r="O8539" t="n">
        <v>0</v>
      </c>
      <c r="P8539" t="n">
        <v>0</v>
      </c>
      <c r="Q8539" t="n">
        <v>0</v>
      </c>
      <c r="R8539" s="2" t="inlineStr"/>
    </row>
    <row r="8540" ht="15" customHeight="1">
      <c r="A8540" t="inlineStr">
        <is>
          <t>A 58327-2025</t>
        </is>
      </c>
      <c r="B8540" s="1" t="n">
        <v>45985.47813657407</v>
      </c>
      <c r="C8540" s="1" t="n">
        <v>46093</v>
      </c>
      <c r="D8540" t="inlineStr">
        <is>
          <t>VÄSTERNORRLANDS LÄN</t>
        </is>
      </c>
      <c r="E8540" t="inlineStr">
        <is>
          <t>TIMRÅ</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58270-2025</t>
        </is>
      </c>
      <c r="B8541" s="1" t="n">
        <v>45985.42633101852</v>
      </c>
      <c r="C8541" s="1" t="n">
        <v>46093</v>
      </c>
      <c r="D8541" t="inlineStr">
        <is>
          <t>VÄSTERNORRLANDS LÄN</t>
        </is>
      </c>
      <c r="E8541" t="inlineStr">
        <is>
          <t>ÅNGE</t>
        </is>
      </c>
      <c r="G8541" t="n">
        <v>5.1</v>
      </c>
      <c r="H8541" t="n">
        <v>0</v>
      </c>
      <c r="I8541" t="n">
        <v>0</v>
      </c>
      <c r="J8541" t="n">
        <v>0</v>
      </c>
      <c r="K8541" t="n">
        <v>0</v>
      </c>
      <c r="L8541" t="n">
        <v>0</v>
      </c>
      <c r="M8541" t="n">
        <v>0</v>
      </c>
      <c r="N8541" t="n">
        <v>0</v>
      </c>
      <c r="O8541" t="n">
        <v>0</v>
      </c>
      <c r="P8541" t="n">
        <v>0</v>
      </c>
      <c r="Q8541" t="n">
        <v>0</v>
      </c>
      <c r="R8541" s="2" t="inlineStr"/>
    </row>
    <row r="8542" ht="15" customHeight="1">
      <c r="A8542" t="inlineStr">
        <is>
          <t>A 6510-2025</t>
        </is>
      </c>
      <c r="B8542" s="1" t="n">
        <v>45699</v>
      </c>
      <c r="C8542" s="1" t="n">
        <v>46093</v>
      </c>
      <c r="D8542" t="inlineStr">
        <is>
          <t>VÄSTERNORRLANDS LÄN</t>
        </is>
      </c>
      <c r="E8542" t="inlineStr">
        <is>
          <t>ÖRNSKÖLDSVIK</t>
        </is>
      </c>
      <c r="G8542" t="n">
        <v>6.3</v>
      </c>
      <c r="H8542" t="n">
        <v>0</v>
      </c>
      <c r="I8542" t="n">
        <v>0</v>
      </c>
      <c r="J8542" t="n">
        <v>0</v>
      </c>
      <c r="K8542" t="n">
        <v>0</v>
      </c>
      <c r="L8542" t="n">
        <v>0</v>
      </c>
      <c r="M8542" t="n">
        <v>0</v>
      </c>
      <c r="N8542" t="n">
        <v>0</v>
      </c>
      <c r="O8542" t="n">
        <v>0</v>
      </c>
      <c r="P8542" t="n">
        <v>0</v>
      </c>
      <c r="Q8542" t="n">
        <v>0</v>
      </c>
      <c r="R8542" s="2" t="inlineStr"/>
    </row>
    <row r="8543" ht="15" customHeight="1">
      <c r="A8543" t="inlineStr">
        <is>
          <t>A 16302-2025</t>
        </is>
      </c>
      <c r="B8543" s="1" t="n">
        <v>45751.34613425926</v>
      </c>
      <c r="C8543" s="1" t="n">
        <v>46093</v>
      </c>
      <c r="D8543" t="inlineStr">
        <is>
          <t>VÄSTERNORRLANDS LÄN</t>
        </is>
      </c>
      <c r="E8543" t="inlineStr">
        <is>
          <t>TIMRÅ</t>
        </is>
      </c>
      <c r="F8543" t="inlineStr">
        <is>
          <t>SCA</t>
        </is>
      </c>
      <c r="G8543" t="n">
        <v>0.3</v>
      </c>
      <c r="H8543" t="n">
        <v>0</v>
      </c>
      <c r="I8543" t="n">
        <v>0</v>
      </c>
      <c r="J8543" t="n">
        <v>0</v>
      </c>
      <c r="K8543" t="n">
        <v>0</v>
      </c>
      <c r="L8543" t="n">
        <v>0</v>
      </c>
      <c r="M8543" t="n">
        <v>0</v>
      </c>
      <c r="N8543" t="n">
        <v>0</v>
      </c>
      <c r="O8543" t="n">
        <v>0</v>
      </c>
      <c r="P8543" t="n">
        <v>0</v>
      </c>
      <c r="Q8543" t="n">
        <v>0</v>
      </c>
      <c r="R8543" s="2" t="inlineStr"/>
    </row>
    <row r="8544" ht="15" customHeight="1">
      <c r="A8544" t="inlineStr">
        <is>
          <t>A 16303-2025</t>
        </is>
      </c>
      <c r="B8544" s="1" t="n">
        <v>45751.3462037037</v>
      </c>
      <c r="C8544" s="1" t="n">
        <v>46093</v>
      </c>
      <c r="D8544" t="inlineStr">
        <is>
          <t>VÄSTERNORRLANDS LÄN</t>
        </is>
      </c>
      <c r="E8544" t="inlineStr">
        <is>
          <t>ÅNGE</t>
        </is>
      </c>
      <c r="F8544" t="inlineStr">
        <is>
          <t>SCA</t>
        </is>
      </c>
      <c r="G8544" t="n">
        <v>0.3</v>
      </c>
      <c r="H8544" t="n">
        <v>0</v>
      </c>
      <c r="I8544" t="n">
        <v>0</v>
      </c>
      <c r="J8544" t="n">
        <v>0</v>
      </c>
      <c r="K8544" t="n">
        <v>0</v>
      </c>
      <c r="L8544" t="n">
        <v>0</v>
      </c>
      <c r="M8544" t="n">
        <v>0</v>
      </c>
      <c r="N8544" t="n">
        <v>0</v>
      </c>
      <c r="O8544" t="n">
        <v>0</v>
      </c>
      <c r="P8544" t="n">
        <v>0</v>
      </c>
      <c r="Q8544" t="n">
        <v>0</v>
      </c>
      <c r="R8544" s="2" t="inlineStr"/>
    </row>
    <row r="8545" ht="15" customHeight="1">
      <c r="A8545" t="inlineStr">
        <is>
          <t>A 56992-2024</t>
        </is>
      </c>
      <c r="B8545" s="1" t="n">
        <v>45628</v>
      </c>
      <c r="C8545" s="1" t="n">
        <v>46093</v>
      </c>
      <c r="D8545" t="inlineStr">
        <is>
          <t>VÄSTERNORRLANDS LÄN</t>
        </is>
      </c>
      <c r="E8545" t="inlineStr">
        <is>
          <t>ÖRNSKÖLDSVIK</t>
        </is>
      </c>
      <c r="G8545" t="n">
        <v>5.3</v>
      </c>
      <c r="H8545" t="n">
        <v>0</v>
      </c>
      <c r="I8545" t="n">
        <v>0</v>
      </c>
      <c r="J8545" t="n">
        <v>0</v>
      </c>
      <c r="K8545" t="n">
        <v>0</v>
      </c>
      <c r="L8545" t="n">
        <v>0</v>
      </c>
      <c r="M8545" t="n">
        <v>0</v>
      </c>
      <c r="N8545" t="n">
        <v>0</v>
      </c>
      <c r="O8545" t="n">
        <v>0</v>
      </c>
      <c r="P8545" t="n">
        <v>0</v>
      </c>
      <c r="Q8545" t="n">
        <v>0</v>
      </c>
      <c r="R8545" s="2" t="inlineStr"/>
    </row>
    <row r="8546" ht="15" customHeight="1">
      <c r="A8546" t="inlineStr">
        <is>
          <t>A 43897-2024</t>
        </is>
      </c>
      <c r="B8546" s="1" t="n">
        <v>45572.41359953704</v>
      </c>
      <c r="C8546" s="1" t="n">
        <v>46093</v>
      </c>
      <c r="D8546" t="inlineStr">
        <is>
          <t>VÄSTERNORRLANDS LÄN</t>
        </is>
      </c>
      <c r="E8546" t="inlineStr">
        <is>
          <t>KRAMFORS</t>
        </is>
      </c>
      <c r="G8546" t="n">
        <v>2.2</v>
      </c>
      <c r="H8546" t="n">
        <v>0</v>
      </c>
      <c r="I8546" t="n">
        <v>0</v>
      </c>
      <c r="J8546" t="n">
        <v>0</v>
      </c>
      <c r="K8546" t="n">
        <v>0</v>
      </c>
      <c r="L8546" t="n">
        <v>0</v>
      </c>
      <c r="M8546" t="n">
        <v>0</v>
      </c>
      <c r="N8546" t="n">
        <v>0</v>
      </c>
      <c r="O8546" t="n">
        <v>0</v>
      </c>
      <c r="P8546" t="n">
        <v>0</v>
      </c>
      <c r="Q8546" t="n">
        <v>0</v>
      </c>
      <c r="R8546" s="2" t="inlineStr"/>
    </row>
    <row r="8547" ht="15" customHeight="1">
      <c r="A8547" t="inlineStr">
        <is>
          <t>A 32735-2023</t>
        </is>
      </c>
      <c r="B8547" s="1" t="n">
        <v>45121</v>
      </c>
      <c r="C8547" s="1" t="n">
        <v>46093</v>
      </c>
      <c r="D8547" t="inlineStr">
        <is>
          <t>VÄSTERNORRLANDS LÄN</t>
        </is>
      </c>
      <c r="E8547" t="inlineStr">
        <is>
          <t>SOLLEFTEÅ</t>
        </is>
      </c>
      <c r="F8547" t="inlineStr">
        <is>
          <t>SCA</t>
        </is>
      </c>
      <c r="G8547" t="n">
        <v>3.1</v>
      </c>
      <c r="H8547" t="n">
        <v>0</v>
      </c>
      <c r="I8547" t="n">
        <v>0</v>
      </c>
      <c r="J8547" t="n">
        <v>0</v>
      </c>
      <c r="K8547" t="n">
        <v>0</v>
      </c>
      <c r="L8547" t="n">
        <v>0</v>
      </c>
      <c r="M8547" t="n">
        <v>0</v>
      </c>
      <c r="N8547" t="n">
        <v>0</v>
      </c>
      <c r="O8547" t="n">
        <v>0</v>
      </c>
      <c r="P8547" t="n">
        <v>0</v>
      </c>
      <c r="Q8547" t="n">
        <v>0</v>
      </c>
      <c r="R8547" s="2" t="inlineStr"/>
    </row>
    <row r="8548" ht="15" customHeight="1">
      <c r="A8548" t="inlineStr">
        <is>
          <t>A 59024-2025</t>
        </is>
      </c>
      <c r="B8548" s="1" t="n">
        <v>45988</v>
      </c>
      <c r="C8548" s="1" t="n">
        <v>46093</v>
      </c>
      <c r="D8548" t="inlineStr">
        <is>
          <t>VÄSTERNORRLANDS LÄN</t>
        </is>
      </c>
      <c r="E8548" t="inlineStr">
        <is>
          <t>SOLLEFTEÅ</t>
        </is>
      </c>
      <c r="F8548" t="inlineStr">
        <is>
          <t>SCA</t>
        </is>
      </c>
      <c r="G8548" t="n">
        <v>7.5</v>
      </c>
      <c r="H8548" t="n">
        <v>0</v>
      </c>
      <c r="I8548" t="n">
        <v>0</v>
      </c>
      <c r="J8548" t="n">
        <v>0</v>
      </c>
      <c r="K8548" t="n">
        <v>0</v>
      </c>
      <c r="L8548" t="n">
        <v>0</v>
      </c>
      <c r="M8548" t="n">
        <v>0</v>
      </c>
      <c r="N8548" t="n">
        <v>0</v>
      </c>
      <c r="O8548" t="n">
        <v>0</v>
      </c>
      <c r="P8548" t="n">
        <v>0</v>
      </c>
      <c r="Q8548" t="n">
        <v>0</v>
      </c>
      <c r="R8548" s="2" t="inlineStr"/>
    </row>
    <row r="8549" ht="15" customHeight="1">
      <c r="A8549" t="inlineStr">
        <is>
          <t>A 49056-2022</t>
        </is>
      </c>
      <c r="B8549" s="1" t="n">
        <v>44860</v>
      </c>
      <c r="C8549" s="1" t="n">
        <v>46093</v>
      </c>
      <c r="D8549" t="inlineStr">
        <is>
          <t>VÄSTERNORRLANDS LÄN</t>
        </is>
      </c>
      <c r="E8549" t="inlineStr">
        <is>
          <t>ÖRNSKÖLDSVIK</t>
        </is>
      </c>
      <c r="F8549" t="inlineStr">
        <is>
          <t>Holmen skog AB</t>
        </is>
      </c>
      <c r="G8549" t="n">
        <v>4.2</v>
      </c>
      <c r="H8549" t="n">
        <v>0</v>
      </c>
      <c r="I8549" t="n">
        <v>0</v>
      </c>
      <c r="J8549" t="n">
        <v>0</v>
      </c>
      <c r="K8549" t="n">
        <v>0</v>
      </c>
      <c r="L8549" t="n">
        <v>0</v>
      </c>
      <c r="M8549" t="n">
        <v>0</v>
      </c>
      <c r="N8549" t="n">
        <v>0</v>
      </c>
      <c r="O8549" t="n">
        <v>0</v>
      </c>
      <c r="P8549" t="n">
        <v>0</v>
      </c>
      <c r="Q8549" t="n">
        <v>0</v>
      </c>
      <c r="R8549" s="2" t="inlineStr"/>
    </row>
    <row r="8550" ht="15" customHeight="1">
      <c r="A8550" t="inlineStr">
        <is>
          <t>A 14680-2022</t>
        </is>
      </c>
      <c r="B8550" s="1" t="n">
        <v>44655</v>
      </c>
      <c r="C8550" s="1" t="n">
        <v>46093</v>
      </c>
      <c r="D8550" t="inlineStr">
        <is>
          <t>VÄSTERNORRLANDS LÄN</t>
        </is>
      </c>
      <c r="E8550" t="inlineStr">
        <is>
          <t>TIMRÅ</t>
        </is>
      </c>
      <c r="G8550" t="n">
        <v>8.9</v>
      </c>
      <c r="H8550" t="n">
        <v>0</v>
      </c>
      <c r="I8550" t="n">
        <v>0</v>
      </c>
      <c r="J8550" t="n">
        <v>0</v>
      </c>
      <c r="K8550" t="n">
        <v>0</v>
      </c>
      <c r="L8550" t="n">
        <v>0</v>
      </c>
      <c r="M8550" t="n">
        <v>0</v>
      </c>
      <c r="N8550" t="n">
        <v>0</v>
      </c>
      <c r="O8550" t="n">
        <v>0</v>
      </c>
      <c r="P8550" t="n">
        <v>0</v>
      </c>
      <c r="Q8550" t="n">
        <v>0</v>
      </c>
      <c r="R8550" s="2" t="inlineStr"/>
    </row>
    <row r="8551" ht="15" customHeight="1">
      <c r="A8551" t="inlineStr">
        <is>
          <t>A 37051-2021</t>
        </is>
      </c>
      <c r="B8551" s="1" t="n">
        <v>44393</v>
      </c>
      <c r="C8551" s="1" t="n">
        <v>46093</v>
      </c>
      <c r="D8551" t="inlineStr">
        <is>
          <t>VÄSTERNORRLANDS LÄN</t>
        </is>
      </c>
      <c r="E8551" t="inlineStr">
        <is>
          <t>ÅNGE</t>
        </is>
      </c>
      <c r="F8551" t="inlineStr">
        <is>
          <t>SCA</t>
        </is>
      </c>
      <c r="G8551" t="n">
        <v>2.4</v>
      </c>
      <c r="H8551" t="n">
        <v>0</v>
      </c>
      <c r="I8551" t="n">
        <v>0</v>
      </c>
      <c r="J8551" t="n">
        <v>0</v>
      </c>
      <c r="K8551" t="n">
        <v>0</v>
      </c>
      <c r="L8551" t="n">
        <v>0</v>
      </c>
      <c r="M8551" t="n">
        <v>0</v>
      </c>
      <c r="N8551" t="n">
        <v>0</v>
      </c>
      <c r="O8551" t="n">
        <v>0</v>
      </c>
      <c r="P8551" t="n">
        <v>0</v>
      </c>
      <c r="Q8551" t="n">
        <v>0</v>
      </c>
      <c r="R8551" s="2" t="inlineStr"/>
    </row>
    <row r="8552" ht="15" customHeight="1">
      <c r="A8552" t="inlineStr">
        <is>
          <t>A 64901-2023</t>
        </is>
      </c>
      <c r="B8552" s="1" t="n">
        <v>45282.62491898148</v>
      </c>
      <c r="C8552" s="1" t="n">
        <v>46093</v>
      </c>
      <c r="D8552" t="inlineStr">
        <is>
          <t>VÄSTERNORRLANDS LÄN</t>
        </is>
      </c>
      <c r="E8552" t="inlineStr">
        <is>
          <t>KRAMFORS</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58890-2025</t>
        </is>
      </c>
      <c r="B8553" s="1" t="n">
        <v>45987.49006944444</v>
      </c>
      <c r="C8553" s="1" t="n">
        <v>46093</v>
      </c>
      <c r="D8553" t="inlineStr">
        <is>
          <t>VÄSTERNORRLANDS LÄN</t>
        </is>
      </c>
      <c r="E8553" t="inlineStr">
        <is>
          <t>ÅNGE</t>
        </is>
      </c>
      <c r="F8553" t="inlineStr">
        <is>
          <t>SCA</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54607-2023</t>
        </is>
      </c>
      <c r="B8554" s="1" t="n">
        <v>45233.95748842593</v>
      </c>
      <c r="C8554" s="1" t="n">
        <v>46093</v>
      </c>
      <c r="D8554" t="inlineStr">
        <is>
          <t>VÄSTERNORRLANDS LÄN</t>
        </is>
      </c>
      <c r="E8554" t="inlineStr">
        <is>
          <t>SOLLEFTEÅ</t>
        </is>
      </c>
      <c r="F8554" t="inlineStr">
        <is>
          <t>SCA</t>
        </is>
      </c>
      <c r="G8554" t="n">
        <v>9.300000000000001</v>
      </c>
      <c r="H8554" t="n">
        <v>0</v>
      </c>
      <c r="I8554" t="n">
        <v>0</v>
      </c>
      <c r="J8554" t="n">
        <v>0</v>
      </c>
      <c r="K8554" t="n">
        <v>0</v>
      </c>
      <c r="L8554" t="n">
        <v>0</v>
      </c>
      <c r="M8554" t="n">
        <v>0</v>
      </c>
      <c r="N8554" t="n">
        <v>0</v>
      </c>
      <c r="O8554" t="n">
        <v>0</v>
      </c>
      <c r="P8554" t="n">
        <v>0</v>
      </c>
      <c r="Q8554" t="n">
        <v>0</v>
      </c>
      <c r="R8554" s="2" t="inlineStr"/>
    </row>
    <row r="8555" ht="15" customHeight="1">
      <c r="A8555" t="inlineStr">
        <is>
          <t>A 53223-2022</t>
        </is>
      </c>
      <c r="B8555" s="1" t="n">
        <v>44876</v>
      </c>
      <c r="C8555" s="1" t="n">
        <v>46093</v>
      </c>
      <c r="D8555" t="inlineStr">
        <is>
          <t>VÄSTERNORRLANDS LÄN</t>
        </is>
      </c>
      <c r="E8555" t="inlineStr">
        <is>
          <t>ÖRNSKÖLDSVIK</t>
        </is>
      </c>
      <c r="F8555" t="inlineStr">
        <is>
          <t>Holmen skog AB</t>
        </is>
      </c>
      <c r="G8555" t="n">
        <v>3</v>
      </c>
      <c r="H8555" t="n">
        <v>0</v>
      </c>
      <c r="I8555" t="n">
        <v>0</v>
      </c>
      <c r="J8555" t="n">
        <v>0</v>
      </c>
      <c r="K8555" t="n">
        <v>0</v>
      </c>
      <c r="L8555" t="n">
        <v>0</v>
      </c>
      <c r="M8555" t="n">
        <v>0</v>
      </c>
      <c r="N8555" t="n">
        <v>0</v>
      </c>
      <c r="O8555" t="n">
        <v>0</v>
      </c>
      <c r="P8555" t="n">
        <v>0</v>
      </c>
      <c r="Q8555" t="n">
        <v>0</v>
      </c>
      <c r="R8555" s="2" t="inlineStr"/>
    </row>
    <row r="8556" ht="15" customHeight="1">
      <c r="A8556" t="inlineStr">
        <is>
          <t>A 3618-2024</t>
        </is>
      </c>
      <c r="B8556" s="1" t="n">
        <v>45320.95255787037</v>
      </c>
      <c r="C8556" s="1" t="n">
        <v>46093</v>
      </c>
      <c r="D8556" t="inlineStr">
        <is>
          <t>VÄSTERNORRLANDS LÄN</t>
        </is>
      </c>
      <c r="E8556" t="inlineStr">
        <is>
          <t>SUNDSVALL</t>
        </is>
      </c>
      <c r="F8556" t="inlineStr">
        <is>
          <t>Kyrkan</t>
        </is>
      </c>
      <c r="G8556" t="n">
        <v>1.9</v>
      </c>
      <c r="H8556" t="n">
        <v>0</v>
      </c>
      <c r="I8556" t="n">
        <v>0</v>
      </c>
      <c r="J8556" t="n">
        <v>0</v>
      </c>
      <c r="K8556" t="n">
        <v>0</v>
      </c>
      <c r="L8556" t="n">
        <v>0</v>
      </c>
      <c r="M8556" t="n">
        <v>0</v>
      </c>
      <c r="N8556" t="n">
        <v>0</v>
      </c>
      <c r="O8556" t="n">
        <v>0</v>
      </c>
      <c r="P8556" t="n">
        <v>0</v>
      </c>
      <c r="Q8556" t="n">
        <v>0</v>
      </c>
      <c r="R8556" s="2" t="inlineStr"/>
    </row>
    <row r="8557" ht="15" customHeight="1">
      <c r="A8557" t="inlineStr">
        <is>
          <t>A 58929-2024</t>
        </is>
      </c>
      <c r="B8557" s="1" t="n">
        <v>45636.51090277778</v>
      </c>
      <c r="C8557" s="1" t="n">
        <v>46093</v>
      </c>
      <c r="D8557" t="inlineStr">
        <is>
          <t>VÄSTERNORRLANDS LÄN</t>
        </is>
      </c>
      <c r="E8557" t="inlineStr">
        <is>
          <t>ÅNGE</t>
        </is>
      </c>
      <c r="F8557" t="inlineStr">
        <is>
          <t>SCA</t>
        </is>
      </c>
      <c r="G8557" t="n">
        <v>3.9</v>
      </c>
      <c r="H8557" t="n">
        <v>0</v>
      </c>
      <c r="I8557" t="n">
        <v>0</v>
      </c>
      <c r="J8557" t="n">
        <v>0</v>
      </c>
      <c r="K8557" t="n">
        <v>0</v>
      </c>
      <c r="L8557" t="n">
        <v>0</v>
      </c>
      <c r="M8557" t="n">
        <v>0</v>
      </c>
      <c r="N8557" t="n">
        <v>0</v>
      </c>
      <c r="O8557" t="n">
        <v>0</v>
      </c>
      <c r="P8557" t="n">
        <v>0</v>
      </c>
      <c r="Q8557" t="n">
        <v>0</v>
      </c>
      <c r="R8557" s="2" t="inlineStr"/>
    </row>
    <row r="8558" ht="15" customHeight="1">
      <c r="A8558" t="inlineStr">
        <is>
          <t>A 59164-2025</t>
        </is>
      </c>
      <c r="B8558" s="1" t="n">
        <v>45988.55570601852</v>
      </c>
      <c r="C8558" s="1" t="n">
        <v>46093</v>
      </c>
      <c r="D8558" t="inlineStr">
        <is>
          <t>VÄSTERNORRLANDS LÄN</t>
        </is>
      </c>
      <c r="E8558" t="inlineStr">
        <is>
          <t>SUNDSVALL</t>
        </is>
      </c>
      <c r="G8558" t="n">
        <v>7.3</v>
      </c>
      <c r="H8558" t="n">
        <v>0</v>
      </c>
      <c r="I8558" t="n">
        <v>0</v>
      </c>
      <c r="J8558" t="n">
        <v>0</v>
      </c>
      <c r="K8558" t="n">
        <v>0</v>
      </c>
      <c r="L8558" t="n">
        <v>0</v>
      </c>
      <c r="M8558" t="n">
        <v>0</v>
      </c>
      <c r="N8558" t="n">
        <v>0</v>
      </c>
      <c r="O8558" t="n">
        <v>0</v>
      </c>
      <c r="P8558" t="n">
        <v>0</v>
      </c>
      <c r="Q8558" t="n">
        <v>0</v>
      </c>
      <c r="R8558" s="2" t="inlineStr"/>
    </row>
    <row r="8559" ht="15" customHeight="1">
      <c r="A8559" t="inlineStr">
        <is>
          <t>A 36265-2021</t>
        </is>
      </c>
      <c r="B8559" s="1" t="n">
        <v>44387</v>
      </c>
      <c r="C8559" s="1" t="n">
        <v>46093</v>
      </c>
      <c r="D8559" t="inlineStr">
        <is>
          <t>VÄSTERNORRLANDS LÄN</t>
        </is>
      </c>
      <c r="E8559" t="inlineStr">
        <is>
          <t>KRAMFORS</t>
        </is>
      </c>
      <c r="G8559" t="n">
        <v>41.8</v>
      </c>
      <c r="H8559" t="n">
        <v>0</v>
      </c>
      <c r="I8559" t="n">
        <v>0</v>
      </c>
      <c r="J8559" t="n">
        <v>0</v>
      </c>
      <c r="K8559" t="n">
        <v>0</v>
      </c>
      <c r="L8559" t="n">
        <v>0</v>
      </c>
      <c r="M8559" t="n">
        <v>0</v>
      </c>
      <c r="N8559" t="n">
        <v>0</v>
      </c>
      <c r="O8559" t="n">
        <v>0</v>
      </c>
      <c r="P8559" t="n">
        <v>0</v>
      </c>
      <c r="Q8559" t="n">
        <v>0</v>
      </c>
      <c r="R8559" s="2" t="inlineStr"/>
    </row>
    <row r="8560" ht="15" customHeight="1">
      <c r="A8560" t="inlineStr">
        <is>
          <t>A 3546-2022</t>
        </is>
      </c>
      <c r="B8560" s="1" t="n">
        <v>44585</v>
      </c>
      <c r="C8560" s="1" t="n">
        <v>46093</v>
      </c>
      <c r="D8560" t="inlineStr">
        <is>
          <t>VÄSTERNORRLANDS LÄN</t>
        </is>
      </c>
      <c r="E8560" t="inlineStr">
        <is>
          <t>SUNDSVALL</t>
        </is>
      </c>
      <c r="F8560" t="inlineStr">
        <is>
          <t>SCA</t>
        </is>
      </c>
      <c r="G8560" t="n">
        <v>2.3</v>
      </c>
      <c r="H8560" t="n">
        <v>0</v>
      </c>
      <c r="I8560" t="n">
        <v>0</v>
      </c>
      <c r="J8560" t="n">
        <v>0</v>
      </c>
      <c r="K8560" t="n">
        <v>0</v>
      </c>
      <c r="L8560" t="n">
        <v>0</v>
      </c>
      <c r="M8560" t="n">
        <v>0</v>
      </c>
      <c r="N8560" t="n">
        <v>0</v>
      </c>
      <c r="O8560" t="n">
        <v>0</v>
      </c>
      <c r="P8560" t="n">
        <v>0</v>
      </c>
      <c r="Q8560" t="n">
        <v>0</v>
      </c>
      <c r="R8560" s="2" t="inlineStr"/>
    </row>
    <row r="8561" ht="15" customHeight="1">
      <c r="A8561" t="inlineStr">
        <is>
          <t>A 48397-2024</t>
        </is>
      </c>
      <c r="B8561" s="1" t="n">
        <v>45590.61517361111</v>
      </c>
      <c r="C8561" s="1" t="n">
        <v>46093</v>
      </c>
      <c r="D8561" t="inlineStr">
        <is>
          <t>VÄSTERNORRLANDS LÄN</t>
        </is>
      </c>
      <c r="E8561" t="inlineStr">
        <is>
          <t>TIMRÅ</t>
        </is>
      </c>
      <c r="G8561" t="n">
        <v>4.2</v>
      </c>
      <c r="H8561" t="n">
        <v>0</v>
      </c>
      <c r="I8561" t="n">
        <v>0</v>
      </c>
      <c r="J8561" t="n">
        <v>0</v>
      </c>
      <c r="K8561" t="n">
        <v>0</v>
      </c>
      <c r="L8561" t="n">
        <v>0</v>
      </c>
      <c r="M8561" t="n">
        <v>0</v>
      </c>
      <c r="N8561" t="n">
        <v>0</v>
      </c>
      <c r="O8561" t="n">
        <v>0</v>
      </c>
      <c r="P8561" t="n">
        <v>0</v>
      </c>
      <c r="Q8561" t="n">
        <v>0</v>
      </c>
      <c r="R8561" s="2" t="inlineStr"/>
    </row>
    <row r="8562" ht="15" customHeight="1">
      <c r="A8562" t="inlineStr">
        <is>
          <t>A 56908-2021</t>
        </is>
      </c>
      <c r="B8562" s="1" t="n">
        <v>44481.93844907408</v>
      </c>
      <c r="C8562" s="1" t="n">
        <v>46093</v>
      </c>
      <c r="D8562" t="inlineStr">
        <is>
          <t>VÄSTERNORRLANDS LÄN</t>
        </is>
      </c>
      <c r="E8562" t="inlineStr">
        <is>
          <t>ÅNGE</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732-2023</t>
        </is>
      </c>
      <c r="B8563" s="1" t="n">
        <v>44931.29981481482</v>
      </c>
      <c r="C8563" s="1" t="n">
        <v>46093</v>
      </c>
      <c r="D8563" t="inlineStr">
        <is>
          <t>VÄSTERNORRLANDS LÄN</t>
        </is>
      </c>
      <c r="E8563" t="inlineStr">
        <is>
          <t>ÅNGE</t>
        </is>
      </c>
      <c r="F8563" t="inlineStr">
        <is>
          <t>Sveaskog</t>
        </is>
      </c>
      <c r="G8563" t="n">
        <v>3.6</v>
      </c>
      <c r="H8563" t="n">
        <v>0</v>
      </c>
      <c r="I8563" t="n">
        <v>0</v>
      </c>
      <c r="J8563" t="n">
        <v>0</v>
      </c>
      <c r="K8563" t="n">
        <v>0</v>
      </c>
      <c r="L8563" t="n">
        <v>0</v>
      </c>
      <c r="M8563" t="n">
        <v>0</v>
      </c>
      <c r="N8563" t="n">
        <v>0</v>
      </c>
      <c r="O8563" t="n">
        <v>0</v>
      </c>
      <c r="P8563" t="n">
        <v>0</v>
      </c>
      <c r="Q8563" t="n">
        <v>0</v>
      </c>
      <c r="R8563" s="2" t="inlineStr"/>
    </row>
    <row r="8564" ht="15" customHeight="1">
      <c r="A8564" t="inlineStr">
        <is>
          <t>A 763-2023</t>
        </is>
      </c>
      <c r="B8564" s="1" t="n">
        <v>44931</v>
      </c>
      <c r="C8564" s="1" t="n">
        <v>46093</v>
      </c>
      <c r="D8564" t="inlineStr">
        <is>
          <t>VÄSTERNORRLANDS LÄN</t>
        </is>
      </c>
      <c r="E8564" t="inlineStr">
        <is>
          <t>ÖRNSKÖLDSVIK</t>
        </is>
      </c>
      <c r="F8564" t="inlineStr">
        <is>
          <t>Holmen skog AB</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39046-2023</t>
        </is>
      </c>
      <c r="B8565" s="1" t="n">
        <v>45163</v>
      </c>
      <c r="C8565" s="1" t="n">
        <v>46093</v>
      </c>
      <c r="D8565" t="inlineStr">
        <is>
          <t>VÄSTERNORRLANDS LÄN</t>
        </is>
      </c>
      <c r="E8565" t="inlineStr">
        <is>
          <t>TIMRÅ</t>
        </is>
      </c>
      <c r="G8565" t="n">
        <v>1.8</v>
      </c>
      <c r="H8565" t="n">
        <v>0</v>
      </c>
      <c r="I8565" t="n">
        <v>0</v>
      </c>
      <c r="J8565" t="n">
        <v>0</v>
      </c>
      <c r="K8565" t="n">
        <v>0</v>
      </c>
      <c r="L8565" t="n">
        <v>0</v>
      </c>
      <c r="M8565" t="n">
        <v>0</v>
      </c>
      <c r="N8565" t="n">
        <v>0</v>
      </c>
      <c r="O8565" t="n">
        <v>0</v>
      </c>
      <c r="P8565" t="n">
        <v>0</v>
      </c>
      <c r="Q8565" t="n">
        <v>0</v>
      </c>
      <c r="R8565" s="2" t="inlineStr"/>
    </row>
    <row r="8566" ht="15" customHeight="1">
      <c r="A8566" t="inlineStr">
        <is>
          <t>A 59265-2025</t>
        </is>
      </c>
      <c r="B8566" s="1" t="n">
        <v>45988.66099537037</v>
      </c>
      <c r="C8566" s="1" t="n">
        <v>46093</v>
      </c>
      <c r="D8566" t="inlineStr">
        <is>
          <t>VÄSTERNORRLANDS LÄN</t>
        </is>
      </c>
      <c r="E8566" t="inlineStr">
        <is>
          <t>ÖRNSKÖLDSVIK</t>
        </is>
      </c>
      <c r="F8566" t="inlineStr">
        <is>
          <t>Holmen skog AB</t>
        </is>
      </c>
      <c r="G8566" t="n">
        <v>4.1</v>
      </c>
      <c r="H8566" t="n">
        <v>0</v>
      </c>
      <c r="I8566" t="n">
        <v>0</v>
      </c>
      <c r="J8566" t="n">
        <v>0</v>
      </c>
      <c r="K8566" t="n">
        <v>0</v>
      </c>
      <c r="L8566" t="n">
        <v>0</v>
      </c>
      <c r="M8566" t="n">
        <v>0</v>
      </c>
      <c r="N8566" t="n">
        <v>0</v>
      </c>
      <c r="O8566" t="n">
        <v>0</v>
      </c>
      <c r="P8566" t="n">
        <v>0</v>
      </c>
      <c r="Q8566" t="n">
        <v>0</v>
      </c>
      <c r="R8566" s="2" t="inlineStr"/>
    </row>
    <row r="8567" ht="15" customHeight="1">
      <c r="A8567" t="inlineStr">
        <is>
          <t>A 10138-2022</t>
        </is>
      </c>
      <c r="B8567" s="1" t="n">
        <v>44621.94612268519</v>
      </c>
      <c r="C8567" s="1" t="n">
        <v>46093</v>
      </c>
      <c r="D8567" t="inlineStr">
        <is>
          <t>VÄSTERNORRLANDS LÄN</t>
        </is>
      </c>
      <c r="E8567" t="inlineStr">
        <is>
          <t>SOLLEFTEÅ</t>
        </is>
      </c>
      <c r="F8567" t="inlineStr">
        <is>
          <t>SCA</t>
        </is>
      </c>
      <c r="G8567" t="n">
        <v>2.1</v>
      </c>
      <c r="H8567" t="n">
        <v>0</v>
      </c>
      <c r="I8567" t="n">
        <v>0</v>
      </c>
      <c r="J8567" t="n">
        <v>0</v>
      </c>
      <c r="K8567" t="n">
        <v>0</v>
      </c>
      <c r="L8567" t="n">
        <v>0</v>
      </c>
      <c r="M8567" t="n">
        <v>0</v>
      </c>
      <c r="N8567" t="n">
        <v>0</v>
      </c>
      <c r="O8567" t="n">
        <v>0</v>
      </c>
      <c r="P8567" t="n">
        <v>0</v>
      </c>
      <c r="Q8567" t="n">
        <v>0</v>
      </c>
      <c r="R8567" s="2" t="inlineStr"/>
    </row>
    <row r="8568" ht="15" customHeight="1">
      <c r="A8568" t="inlineStr">
        <is>
          <t>A 1485-2024</t>
        </is>
      </c>
      <c r="B8568" s="1" t="n">
        <v>45305</v>
      </c>
      <c r="C8568" s="1" t="n">
        <v>46093</v>
      </c>
      <c r="D8568" t="inlineStr">
        <is>
          <t>VÄSTERNORRLANDS LÄN</t>
        </is>
      </c>
      <c r="E8568" t="inlineStr">
        <is>
          <t>ÖRNSKÖLDSVIK</t>
        </is>
      </c>
      <c r="G8568" t="n">
        <v>3</v>
      </c>
      <c r="H8568" t="n">
        <v>0</v>
      </c>
      <c r="I8568" t="n">
        <v>0</v>
      </c>
      <c r="J8568" t="n">
        <v>0</v>
      </c>
      <c r="K8568" t="n">
        <v>0</v>
      </c>
      <c r="L8568" t="n">
        <v>0</v>
      </c>
      <c r="M8568" t="n">
        <v>0</v>
      </c>
      <c r="N8568" t="n">
        <v>0</v>
      </c>
      <c r="O8568" t="n">
        <v>0</v>
      </c>
      <c r="P8568" t="n">
        <v>0</v>
      </c>
      <c r="Q8568" t="n">
        <v>0</v>
      </c>
      <c r="R8568" s="2" t="inlineStr"/>
    </row>
    <row r="8569" ht="15" customHeight="1">
      <c r="A8569" t="inlineStr">
        <is>
          <t>A 59062-2025</t>
        </is>
      </c>
      <c r="B8569" s="1" t="n">
        <v>45988.40723379629</v>
      </c>
      <c r="C8569" s="1" t="n">
        <v>46093</v>
      </c>
      <c r="D8569" t="inlineStr">
        <is>
          <t>VÄSTERNORRLANDS LÄN</t>
        </is>
      </c>
      <c r="E8569" t="inlineStr">
        <is>
          <t>ÅNGE</t>
        </is>
      </c>
      <c r="F8569" t="inlineStr">
        <is>
          <t>SCA</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59064-2025</t>
        </is>
      </c>
      <c r="B8570" s="1" t="n">
        <v>45988.40768518519</v>
      </c>
      <c r="C8570" s="1" t="n">
        <v>46093</v>
      </c>
      <c r="D8570" t="inlineStr">
        <is>
          <t>VÄSTERNORRLANDS LÄN</t>
        </is>
      </c>
      <c r="E8570" t="inlineStr">
        <is>
          <t>ÅNGE</t>
        </is>
      </c>
      <c r="F8570" t="inlineStr">
        <is>
          <t>SCA</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47741-2023</t>
        </is>
      </c>
      <c r="B8571" s="1" t="n">
        <v>45198</v>
      </c>
      <c r="C8571" s="1" t="n">
        <v>46093</v>
      </c>
      <c r="D8571" t="inlineStr">
        <is>
          <t>VÄSTERNORRLANDS LÄN</t>
        </is>
      </c>
      <c r="E8571" t="inlineStr">
        <is>
          <t>SOLLEFTEÅ</t>
        </is>
      </c>
      <c r="G8571" t="n">
        <v>5</v>
      </c>
      <c r="H8571" t="n">
        <v>0</v>
      </c>
      <c r="I8571" t="n">
        <v>0</v>
      </c>
      <c r="J8571" t="n">
        <v>0</v>
      </c>
      <c r="K8571" t="n">
        <v>0</v>
      </c>
      <c r="L8571" t="n">
        <v>0</v>
      </c>
      <c r="M8571" t="n">
        <v>0</v>
      </c>
      <c r="N8571" t="n">
        <v>0</v>
      </c>
      <c r="O8571" t="n">
        <v>0</v>
      </c>
      <c r="P8571" t="n">
        <v>0</v>
      </c>
      <c r="Q8571" t="n">
        <v>0</v>
      </c>
      <c r="R8571" s="2" t="inlineStr"/>
    </row>
    <row r="8572" ht="15" customHeight="1">
      <c r="A8572" t="inlineStr">
        <is>
          <t>A 49771-2024</t>
        </is>
      </c>
      <c r="B8572" s="1" t="n">
        <v>45597.34481481482</v>
      </c>
      <c r="C8572" s="1" t="n">
        <v>46093</v>
      </c>
      <c r="D8572" t="inlineStr">
        <is>
          <t>VÄSTERNORRLANDS LÄN</t>
        </is>
      </c>
      <c r="E8572" t="inlineStr">
        <is>
          <t>SOLLEFTEÅ</t>
        </is>
      </c>
      <c r="F8572" t="inlineStr">
        <is>
          <t>SCA</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49772-2024</t>
        </is>
      </c>
      <c r="B8573" s="1" t="n">
        <v>45597.34483796296</v>
      </c>
      <c r="C8573" s="1" t="n">
        <v>46093</v>
      </c>
      <c r="D8573" t="inlineStr">
        <is>
          <t>VÄSTERNORRLANDS LÄN</t>
        </is>
      </c>
      <c r="E8573" t="inlineStr">
        <is>
          <t>SOLLEFTEÅ</t>
        </is>
      </c>
      <c r="F8573" t="inlineStr">
        <is>
          <t>SCA</t>
        </is>
      </c>
      <c r="G8573" t="n">
        <v>0.8</v>
      </c>
      <c r="H8573" t="n">
        <v>0</v>
      </c>
      <c r="I8573" t="n">
        <v>0</v>
      </c>
      <c r="J8573" t="n">
        <v>0</v>
      </c>
      <c r="K8573" t="n">
        <v>0</v>
      </c>
      <c r="L8573" t="n">
        <v>0</v>
      </c>
      <c r="M8573" t="n">
        <v>0</v>
      </c>
      <c r="N8573" t="n">
        <v>0</v>
      </c>
      <c r="O8573" t="n">
        <v>0</v>
      </c>
      <c r="P8573" t="n">
        <v>0</v>
      </c>
      <c r="Q8573" t="n">
        <v>0</v>
      </c>
      <c r="R8573" s="2" t="inlineStr"/>
    </row>
    <row r="8574" ht="15" customHeight="1">
      <c r="A8574" t="inlineStr">
        <is>
          <t>A 21349-2023</t>
        </is>
      </c>
      <c r="B8574" s="1" t="n">
        <v>45062.9390625</v>
      </c>
      <c r="C8574" s="1" t="n">
        <v>46093</v>
      </c>
      <c r="D8574" t="inlineStr">
        <is>
          <t>VÄSTERNORRLANDS LÄN</t>
        </is>
      </c>
      <c r="E8574" t="inlineStr">
        <is>
          <t>SOLLEFTEÅ</t>
        </is>
      </c>
      <c r="F8574" t="inlineStr">
        <is>
          <t>SCA</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17099-2023</t>
        </is>
      </c>
      <c r="B8575" s="1" t="n">
        <v>45034</v>
      </c>
      <c r="C8575" s="1" t="n">
        <v>46093</v>
      </c>
      <c r="D8575" t="inlineStr">
        <is>
          <t>VÄSTERNORRLANDS LÄN</t>
        </is>
      </c>
      <c r="E8575" t="inlineStr">
        <is>
          <t>ÖRNSKÖLDSVIK</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5520-2022</t>
        </is>
      </c>
      <c r="B8576" s="1" t="n">
        <v>44595</v>
      </c>
      <c r="C8576" s="1" t="n">
        <v>46093</v>
      </c>
      <c r="D8576" t="inlineStr">
        <is>
          <t>VÄSTERNORRLANDS LÄN</t>
        </is>
      </c>
      <c r="E8576" t="inlineStr">
        <is>
          <t>ÅNGE</t>
        </is>
      </c>
      <c r="G8576" t="n">
        <v>4.9</v>
      </c>
      <c r="H8576" t="n">
        <v>0</v>
      </c>
      <c r="I8576" t="n">
        <v>0</v>
      </c>
      <c r="J8576" t="n">
        <v>0</v>
      </c>
      <c r="K8576" t="n">
        <v>0</v>
      </c>
      <c r="L8576" t="n">
        <v>0</v>
      </c>
      <c r="M8576" t="n">
        <v>0</v>
      </c>
      <c r="N8576" t="n">
        <v>0</v>
      </c>
      <c r="O8576" t="n">
        <v>0</v>
      </c>
      <c r="P8576" t="n">
        <v>0</v>
      </c>
      <c r="Q8576" t="n">
        <v>0</v>
      </c>
      <c r="R8576" s="2" t="inlineStr"/>
    </row>
    <row r="8577" ht="15" customHeight="1">
      <c r="A8577" t="inlineStr">
        <is>
          <t>A 60911-2021</t>
        </is>
      </c>
      <c r="B8577" s="1" t="n">
        <v>44497</v>
      </c>
      <c r="C8577" s="1" t="n">
        <v>46093</v>
      </c>
      <c r="D8577" t="inlineStr">
        <is>
          <t>VÄSTERNORRLANDS LÄN</t>
        </is>
      </c>
      <c r="E8577" t="inlineStr">
        <is>
          <t>SUNDSVALL</t>
        </is>
      </c>
      <c r="F8577" t="inlineStr">
        <is>
          <t>Kommuner</t>
        </is>
      </c>
      <c r="G8577" t="n">
        <v>1.3</v>
      </c>
      <c r="H8577" t="n">
        <v>0</v>
      </c>
      <c r="I8577" t="n">
        <v>0</v>
      </c>
      <c r="J8577" t="n">
        <v>0</v>
      </c>
      <c r="K8577" t="n">
        <v>0</v>
      </c>
      <c r="L8577" t="n">
        <v>0</v>
      </c>
      <c r="M8577" t="n">
        <v>0</v>
      </c>
      <c r="N8577" t="n">
        <v>0</v>
      </c>
      <c r="O8577" t="n">
        <v>0</v>
      </c>
      <c r="P8577" t="n">
        <v>0</v>
      </c>
      <c r="Q8577" t="n">
        <v>0</v>
      </c>
      <c r="R8577" s="2" t="inlineStr"/>
    </row>
    <row r="8578" ht="15" customHeight="1">
      <c r="A8578" t="inlineStr">
        <is>
          <t>A 12730-2023</t>
        </is>
      </c>
      <c r="B8578" s="1" t="n">
        <v>45000.92381944445</v>
      </c>
      <c r="C8578" s="1" t="n">
        <v>46093</v>
      </c>
      <c r="D8578" t="inlineStr">
        <is>
          <t>VÄSTERNORRLANDS LÄN</t>
        </is>
      </c>
      <c r="E8578" t="inlineStr">
        <is>
          <t>SOLLEFTEÅ</t>
        </is>
      </c>
      <c r="G8578" t="n">
        <v>7.4</v>
      </c>
      <c r="H8578" t="n">
        <v>0</v>
      </c>
      <c r="I8578" t="n">
        <v>0</v>
      </c>
      <c r="J8578" t="n">
        <v>0</v>
      </c>
      <c r="K8578" t="n">
        <v>0</v>
      </c>
      <c r="L8578" t="n">
        <v>0</v>
      </c>
      <c r="M8578" t="n">
        <v>0</v>
      </c>
      <c r="N8578" t="n">
        <v>0</v>
      </c>
      <c r="O8578" t="n">
        <v>0</v>
      </c>
      <c r="P8578" t="n">
        <v>0</v>
      </c>
      <c r="Q8578" t="n">
        <v>0</v>
      </c>
      <c r="R8578" s="2" t="inlineStr"/>
    </row>
    <row r="8579" ht="15" customHeight="1">
      <c r="A8579" t="inlineStr">
        <is>
          <t>A 12733-2023</t>
        </is>
      </c>
      <c r="B8579" s="1" t="n">
        <v>45000</v>
      </c>
      <c r="C8579" s="1" t="n">
        <v>46093</v>
      </c>
      <c r="D8579" t="inlineStr">
        <is>
          <t>VÄSTERNORRLANDS LÄN</t>
        </is>
      </c>
      <c r="E8579" t="inlineStr">
        <is>
          <t>SOLLEFTEÅ</t>
        </is>
      </c>
      <c r="G8579" t="n">
        <v>0.8</v>
      </c>
      <c r="H8579" t="n">
        <v>0</v>
      </c>
      <c r="I8579" t="n">
        <v>0</v>
      </c>
      <c r="J8579" t="n">
        <v>0</v>
      </c>
      <c r="K8579" t="n">
        <v>0</v>
      </c>
      <c r="L8579" t="n">
        <v>0</v>
      </c>
      <c r="M8579" t="n">
        <v>0</v>
      </c>
      <c r="N8579" t="n">
        <v>0</v>
      </c>
      <c r="O8579" t="n">
        <v>0</v>
      </c>
      <c r="P8579" t="n">
        <v>0</v>
      </c>
      <c r="Q8579" t="n">
        <v>0</v>
      </c>
      <c r="R8579" s="2" t="inlineStr"/>
    </row>
    <row r="8580" ht="15" customHeight="1">
      <c r="A8580" t="inlineStr">
        <is>
          <t>A 58820-2025</t>
        </is>
      </c>
      <c r="B8580" s="1" t="n">
        <v>45987.34405092592</v>
      </c>
      <c r="C8580" s="1" t="n">
        <v>46093</v>
      </c>
      <c r="D8580" t="inlineStr">
        <is>
          <t>VÄSTERNORRLANDS LÄN</t>
        </is>
      </c>
      <c r="E8580" t="inlineStr">
        <is>
          <t>ÖRNSKÖLDSVIK</t>
        </is>
      </c>
      <c r="G8580" t="n">
        <v>2.7</v>
      </c>
      <c r="H8580" t="n">
        <v>0</v>
      </c>
      <c r="I8580" t="n">
        <v>0</v>
      </c>
      <c r="J8580" t="n">
        <v>0</v>
      </c>
      <c r="K8580" t="n">
        <v>0</v>
      </c>
      <c r="L8580" t="n">
        <v>0</v>
      </c>
      <c r="M8580" t="n">
        <v>0</v>
      </c>
      <c r="N8580" t="n">
        <v>0</v>
      </c>
      <c r="O8580" t="n">
        <v>0</v>
      </c>
      <c r="P8580" t="n">
        <v>0</v>
      </c>
      <c r="Q8580" t="n">
        <v>0</v>
      </c>
      <c r="R8580" s="2" t="inlineStr"/>
    </row>
    <row r="8581" ht="15" customHeight="1">
      <c r="A8581" t="inlineStr">
        <is>
          <t>A 12752-2023</t>
        </is>
      </c>
      <c r="B8581" s="1" t="n">
        <v>45000.94854166666</v>
      </c>
      <c r="C8581" s="1" t="n">
        <v>46093</v>
      </c>
      <c r="D8581" t="inlineStr">
        <is>
          <t>VÄSTERNORRLANDS LÄN</t>
        </is>
      </c>
      <c r="E8581" t="inlineStr">
        <is>
          <t>SOLLEFTEÅ</t>
        </is>
      </c>
      <c r="F8581" t="inlineStr">
        <is>
          <t>SCA</t>
        </is>
      </c>
      <c r="G8581" t="n">
        <v>7.6</v>
      </c>
      <c r="H8581" t="n">
        <v>0</v>
      </c>
      <c r="I8581" t="n">
        <v>0</v>
      </c>
      <c r="J8581" t="n">
        <v>0</v>
      </c>
      <c r="K8581" t="n">
        <v>0</v>
      </c>
      <c r="L8581" t="n">
        <v>0</v>
      </c>
      <c r="M8581" t="n">
        <v>0</v>
      </c>
      <c r="N8581" t="n">
        <v>0</v>
      </c>
      <c r="O8581" t="n">
        <v>0</v>
      </c>
      <c r="P8581" t="n">
        <v>0</v>
      </c>
      <c r="Q8581" t="n">
        <v>0</v>
      </c>
      <c r="R8581" s="2" t="inlineStr"/>
    </row>
    <row r="8582" ht="15" customHeight="1">
      <c r="A8582" t="inlineStr">
        <is>
          <t>A 58998-2025</t>
        </is>
      </c>
      <c r="B8582" s="1" t="n">
        <v>45987</v>
      </c>
      <c r="C8582" s="1" t="n">
        <v>46093</v>
      </c>
      <c r="D8582" t="inlineStr">
        <is>
          <t>VÄSTERNORRLANDS LÄN</t>
        </is>
      </c>
      <c r="E8582" t="inlineStr">
        <is>
          <t>SOLLEFTEÅ</t>
        </is>
      </c>
      <c r="F8582" t="inlineStr">
        <is>
          <t>SCA</t>
        </is>
      </c>
      <c r="G8582" t="n">
        <v>1.2</v>
      </c>
      <c r="H8582" t="n">
        <v>0</v>
      </c>
      <c r="I8582" t="n">
        <v>0</v>
      </c>
      <c r="J8582" t="n">
        <v>0</v>
      </c>
      <c r="K8582" t="n">
        <v>0</v>
      </c>
      <c r="L8582" t="n">
        <v>0</v>
      </c>
      <c r="M8582" t="n">
        <v>0</v>
      </c>
      <c r="N8582" t="n">
        <v>0</v>
      </c>
      <c r="O8582" t="n">
        <v>0</v>
      </c>
      <c r="P8582" t="n">
        <v>0</v>
      </c>
      <c r="Q8582" t="n">
        <v>0</v>
      </c>
      <c r="R8582" s="2" t="inlineStr"/>
    </row>
    <row r="8583" ht="15" customHeight="1">
      <c r="A8583" t="inlineStr">
        <is>
          <t>A 59002-2025</t>
        </is>
      </c>
      <c r="B8583" s="1" t="n">
        <v>45987</v>
      </c>
      <c r="C8583" s="1" t="n">
        <v>46093</v>
      </c>
      <c r="D8583" t="inlineStr">
        <is>
          <t>VÄSTERNORRLANDS LÄN</t>
        </is>
      </c>
      <c r="E8583" t="inlineStr">
        <is>
          <t>SOLLEFTEÅ</t>
        </is>
      </c>
      <c r="F8583" t="inlineStr">
        <is>
          <t>SCA</t>
        </is>
      </c>
      <c r="G8583" t="n">
        <v>3.4</v>
      </c>
      <c r="H8583" t="n">
        <v>0</v>
      </c>
      <c r="I8583" t="n">
        <v>0</v>
      </c>
      <c r="J8583" t="n">
        <v>0</v>
      </c>
      <c r="K8583" t="n">
        <v>0</v>
      </c>
      <c r="L8583" t="n">
        <v>0</v>
      </c>
      <c r="M8583" t="n">
        <v>0</v>
      </c>
      <c r="N8583" t="n">
        <v>0</v>
      </c>
      <c r="O8583" t="n">
        <v>0</v>
      </c>
      <c r="P8583" t="n">
        <v>0</v>
      </c>
      <c r="Q8583" t="n">
        <v>0</v>
      </c>
      <c r="R8583" s="2" t="inlineStr"/>
    </row>
    <row r="8584" ht="15" customHeight="1">
      <c r="A8584" t="inlineStr">
        <is>
          <t>A 9506-2023</t>
        </is>
      </c>
      <c r="B8584" s="1" t="n">
        <v>44978</v>
      </c>
      <c r="C8584" s="1" t="n">
        <v>46093</v>
      </c>
      <c r="D8584" t="inlineStr">
        <is>
          <t>VÄSTERNORRLANDS LÄN</t>
        </is>
      </c>
      <c r="E8584" t="inlineStr">
        <is>
          <t>KRAMFORS</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42744-2021</t>
        </is>
      </c>
      <c r="B8585" s="1" t="n">
        <v>44428</v>
      </c>
      <c r="C8585" s="1" t="n">
        <v>46093</v>
      </c>
      <c r="D8585" t="inlineStr">
        <is>
          <t>VÄSTERNORRLANDS LÄN</t>
        </is>
      </c>
      <c r="E8585" t="inlineStr">
        <is>
          <t>ÖRNSKÖLDSVIK</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46273-2021</t>
        </is>
      </c>
      <c r="B8586" s="1" t="n">
        <v>44442.56886574074</v>
      </c>
      <c r="C8586" s="1" t="n">
        <v>46093</v>
      </c>
      <c r="D8586" t="inlineStr">
        <is>
          <t>VÄSTERNORRLANDS LÄN</t>
        </is>
      </c>
      <c r="E8586" t="inlineStr">
        <is>
          <t>HÄRNÖSAND</t>
        </is>
      </c>
      <c r="G8586" t="n">
        <v>1.8</v>
      </c>
      <c r="H8586" t="n">
        <v>0</v>
      </c>
      <c r="I8586" t="n">
        <v>0</v>
      </c>
      <c r="J8586" t="n">
        <v>0</v>
      </c>
      <c r="K8586" t="n">
        <v>0</v>
      </c>
      <c r="L8586" t="n">
        <v>0</v>
      </c>
      <c r="M8586" t="n">
        <v>0</v>
      </c>
      <c r="N8586" t="n">
        <v>0</v>
      </c>
      <c r="O8586" t="n">
        <v>0</v>
      </c>
      <c r="P8586" t="n">
        <v>0</v>
      </c>
      <c r="Q8586" t="n">
        <v>0</v>
      </c>
      <c r="R8586" s="2" t="inlineStr"/>
    </row>
    <row r="8587" ht="15" customHeight="1">
      <c r="A8587" t="inlineStr">
        <is>
          <t>A 59006-2025</t>
        </is>
      </c>
      <c r="B8587" s="1" t="n">
        <v>45987</v>
      </c>
      <c r="C8587" s="1" t="n">
        <v>46093</v>
      </c>
      <c r="D8587" t="inlineStr">
        <is>
          <t>VÄSTERNORRLANDS LÄN</t>
        </is>
      </c>
      <c r="E8587" t="inlineStr">
        <is>
          <t>SUNDSVALL</t>
        </is>
      </c>
      <c r="G8587" t="n">
        <v>2.6</v>
      </c>
      <c r="H8587" t="n">
        <v>0</v>
      </c>
      <c r="I8587" t="n">
        <v>0</v>
      </c>
      <c r="J8587" t="n">
        <v>0</v>
      </c>
      <c r="K8587" t="n">
        <v>0</v>
      </c>
      <c r="L8587" t="n">
        <v>0</v>
      </c>
      <c r="M8587" t="n">
        <v>0</v>
      </c>
      <c r="N8587" t="n">
        <v>0</v>
      </c>
      <c r="O8587" t="n">
        <v>0</v>
      </c>
      <c r="P8587" t="n">
        <v>0</v>
      </c>
      <c r="Q8587" t="n">
        <v>0</v>
      </c>
      <c r="R8587" s="2" t="inlineStr"/>
    </row>
    <row r="8588" ht="15" customHeight="1">
      <c r="A8588" t="inlineStr">
        <is>
          <t>A 59023-2025</t>
        </is>
      </c>
      <c r="B8588" s="1" t="n">
        <v>45988</v>
      </c>
      <c r="C8588" s="1" t="n">
        <v>46093</v>
      </c>
      <c r="D8588" t="inlineStr">
        <is>
          <t>VÄSTERNORRLANDS LÄN</t>
        </is>
      </c>
      <c r="E8588" t="inlineStr">
        <is>
          <t>ÅNGE</t>
        </is>
      </c>
      <c r="F8588" t="inlineStr">
        <is>
          <t>SCA</t>
        </is>
      </c>
      <c r="G8588" t="n">
        <v>5.7</v>
      </c>
      <c r="H8588" t="n">
        <v>0</v>
      </c>
      <c r="I8588" t="n">
        <v>0</v>
      </c>
      <c r="J8588" t="n">
        <v>0</v>
      </c>
      <c r="K8588" t="n">
        <v>0</v>
      </c>
      <c r="L8588" t="n">
        <v>0</v>
      </c>
      <c r="M8588" t="n">
        <v>0</v>
      </c>
      <c r="N8588" t="n">
        <v>0</v>
      </c>
      <c r="O8588" t="n">
        <v>0</v>
      </c>
      <c r="P8588" t="n">
        <v>0</v>
      </c>
      <c r="Q8588" t="n">
        <v>0</v>
      </c>
      <c r="R8588" s="2" t="inlineStr"/>
    </row>
    <row r="8589" ht="15" customHeight="1">
      <c r="A8589" t="inlineStr">
        <is>
          <t>A 14018-2024</t>
        </is>
      </c>
      <c r="B8589" s="1" t="n">
        <v>45392</v>
      </c>
      <c r="C8589" s="1" t="n">
        <v>46093</v>
      </c>
      <c r="D8589" t="inlineStr">
        <is>
          <t>VÄSTERNORRLANDS LÄN</t>
        </is>
      </c>
      <c r="E8589" t="inlineStr">
        <is>
          <t>HÄRNÖSAND</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18187-2022</t>
        </is>
      </c>
      <c r="B8590" s="1" t="n">
        <v>44684</v>
      </c>
      <c r="C8590" s="1" t="n">
        <v>46093</v>
      </c>
      <c r="D8590" t="inlineStr">
        <is>
          <t>VÄSTERNORRLANDS LÄN</t>
        </is>
      </c>
      <c r="E8590" t="inlineStr">
        <is>
          <t>SOLLEFTEÅ</t>
        </is>
      </c>
      <c r="F8590" t="inlineStr">
        <is>
          <t>SCA</t>
        </is>
      </c>
      <c r="G8590" t="n">
        <v>2.9</v>
      </c>
      <c r="H8590" t="n">
        <v>0</v>
      </c>
      <c r="I8590" t="n">
        <v>0</v>
      </c>
      <c r="J8590" t="n">
        <v>0</v>
      </c>
      <c r="K8590" t="n">
        <v>0</v>
      </c>
      <c r="L8590" t="n">
        <v>0</v>
      </c>
      <c r="M8590" t="n">
        <v>0</v>
      </c>
      <c r="N8590" t="n">
        <v>0</v>
      </c>
      <c r="O8590" t="n">
        <v>0</v>
      </c>
      <c r="P8590" t="n">
        <v>0</v>
      </c>
      <c r="Q8590" t="n">
        <v>0</v>
      </c>
      <c r="R8590" s="2" t="inlineStr"/>
    </row>
    <row r="8591" ht="15" customHeight="1">
      <c r="A8591" t="inlineStr">
        <is>
          <t>A 58884-2025</t>
        </is>
      </c>
      <c r="B8591" s="1" t="n">
        <v>45987.48076388889</v>
      </c>
      <c r="C8591" s="1" t="n">
        <v>46093</v>
      </c>
      <c r="D8591" t="inlineStr">
        <is>
          <t>VÄSTERNORRLANDS LÄN</t>
        </is>
      </c>
      <c r="E8591" t="inlineStr">
        <is>
          <t>KRAMFORS</t>
        </is>
      </c>
      <c r="G8591" t="n">
        <v>4.8</v>
      </c>
      <c r="H8591" t="n">
        <v>0</v>
      </c>
      <c r="I8591" t="n">
        <v>0</v>
      </c>
      <c r="J8591" t="n">
        <v>0</v>
      </c>
      <c r="K8591" t="n">
        <v>0</v>
      </c>
      <c r="L8591" t="n">
        <v>0</v>
      </c>
      <c r="M8591" t="n">
        <v>0</v>
      </c>
      <c r="N8591" t="n">
        <v>0</v>
      </c>
      <c r="O8591" t="n">
        <v>0</v>
      </c>
      <c r="P8591" t="n">
        <v>0</v>
      </c>
      <c r="Q8591" t="n">
        <v>0</v>
      </c>
      <c r="R8591" s="2" t="inlineStr"/>
    </row>
    <row r="8592" ht="15" customHeight="1">
      <c r="A8592" t="inlineStr">
        <is>
          <t>A 29255-2022</t>
        </is>
      </c>
      <c r="B8592" s="1" t="n">
        <v>44750</v>
      </c>
      <c r="C8592" s="1" t="n">
        <v>46093</v>
      </c>
      <c r="D8592" t="inlineStr">
        <is>
          <t>VÄSTERNORRLANDS LÄN</t>
        </is>
      </c>
      <c r="E8592" t="inlineStr">
        <is>
          <t>KRAMFORS</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29290-2022</t>
        </is>
      </c>
      <c r="B8593" s="1" t="n">
        <v>44750</v>
      </c>
      <c r="C8593" s="1" t="n">
        <v>46093</v>
      </c>
      <c r="D8593" t="inlineStr">
        <is>
          <t>VÄSTERNORRLANDS LÄN</t>
        </is>
      </c>
      <c r="E8593" t="inlineStr">
        <is>
          <t>SOLLEFTEÅ</t>
        </is>
      </c>
      <c r="F8593" t="inlineStr">
        <is>
          <t>SCA</t>
        </is>
      </c>
      <c r="G8593" t="n">
        <v>5.4</v>
      </c>
      <c r="H8593" t="n">
        <v>0</v>
      </c>
      <c r="I8593" t="n">
        <v>0</v>
      </c>
      <c r="J8593" t="n">
        <v>0</v>
      </c>
      <c r="K8593" t="n">
        <v>0</v>
      </c>
      <c r="L8593" t="n">
        <v>0</v>
      </c>
      <c r="M8593" t="n">
        <v>0</v>
      </c>
      <c r="N8593" t="n">
        <v>0</v>
      </c>
      <c r="O8593" t="n">
        <v>0</v>
      </c>
      <c r="P8593" t="n">
        <v>0</v>
      </c>
      <c r="Q8593" t="n">
        <v>0</v>
      </c>
      <c r="R8593" s="2" t="inlineStr"/>
    </row>
    <row r="8594" ht="15" customHeight="1">
      <c r="A8594" t="inlineStr">
        <is>
          <t>A 59057-2025</t>
        </is>
      </c>
      <c r="B8594" s="1" t="n">
        <v>45988.39986111111</v>
      </c>
      <c r="C8594" s="1" t="n">
        <v>46093</v>
      </c>
      <c r="D8594" t="inlineStr">
        <is>
          <t>VÄSTERNORRLANDS LÄN</t>
        </is>
      </c>
      <c r="E8594" t="inlineStr">
        <is>
          <t>ÖRNSKÖLDSVIK</t>
        </is>
      </c>
      <c r="F8594" t="inlineStr">
        <is>
          <t>Holmen skog AB</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25147-2021</t>
        </is>
      </c>
      <c r="B8595" s="1" t="n">
        <v>44341</v>
      </c>
      <c r="C8595" s="1" t="n">
        <v>46093</v>
      </c>
      <c r="D8595" t="inlineStr">
        <is>
          <t>VÄSTERNORRLANDS LÄN</t>
        </is>
      </c>
      <c r="E8595" t="inlineStr">
        <is>
          <t>SUNDSVALL</t>
        </is>
      </c>
      <c r="G8595" t="n">
        <v>2</v>
      </c>
      <c r="H8595" t="n">
        <v>0</v>
      </c>
      <c r="I8595" t="n">
        <v>0</v>
      </c>
      <c r="J8595" t="n">
        <v>0</v>
      </c>
      <c r="K8595" t="n">
        <v>0</v>
      </c>
      <c r="L8595" t="n">
        <v>0</v>
      </c>
      <c r="M8595" t="n">
        <v>0</v>
      </c>
      <c r="N8595" t="n">
        <v>0</v>
      </c>
      <c r="O8595" t="n">
        <v>0</v>
      </c>
      <c r="P8595" t="n">
        <v>0</v>
      </c>
      <c r="Q8595" t="n">
        <v>0</v>
      </c>
      <c r="R8595" s="2" t="inlineStr"/>
    </row>
    <row r="8596" ht="15" customHeight="1">
      <c r="A8596" t="inlineStr">
        <is>
          <t>A 35269-2022</t>
        </is>
      </c>
      <c r="B8596" s="1" t="n">
        <v>44798</v>
      </c>
      <c r="C8596" s="1" t="n">
        <v>46093</v>
      </c>
      <c r="D8596" t="inlineStr">
        <is>
          <t>VÄSTERNORRLANDS LÄN</t>
        </is>
      </c>
      <c r="E8596" t="inlineStr">
        <is>
          <t>ÖRNSKÖLDSVIK</t>
        </is>
      </c>
      <c r="F8596" t="inlineStr">
        <is>
          <t>Kyrkan</t>
        </is>
      </c>
      <c r="G8596" t="n">
        <v>6</v>
      </c>
      <c r="H8596" t="n">
        <v>0</v>
      </c>
      <c r="I8596" t="n">
        <v>0</v>
      </c>
      <c r="J8596" t="n">
        <v>0</v>
      </c>
      <c r="K8596" t="n">
        <v>0</v>
      </c>
      <c r="L8596" t="n">
        <v>0</v>
      </c>
      <c r="M8596" t="n">
        <v>0</v>
      </c>
      <c r="N8596" t="n">
        <v>0</v>
      </c>
      <c r="O8596" t="n">
        <v>0</v>
      </c>
      <c r="P8596" t="n">
        <v>0</v>
      </c>
      <c r="Q8596" t="n">
        <v>0</v>
      </c>
      <c r="R8596" s="2" t="inlineStr"/>
    </row>
    <row r="8597" ht="15" customHeight="1">
      <c r="A8597" t="inlineStr">
        <is>
          <t>A 59022-2025</t>
        </is>
      </c>
      <c r="B8597" s="1" t="n">
        <v>45988</v>
      </c>
      <c r="C8597" s="1" t="n">
        <v>46093</v>
      </c>
      <c r="D8597" t="inlineStr">
        <is>
          <t>VÄSTERNORRLANDS LÄN</t>
        </is>
      </c>
      <c r="E8597" t="inlineStr">
        <is>
          <t>ÅNGE</t>
        </is>
      </c>
      <c r="F8597" t="inlineStr">
        <is>
          <t>SCA</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35416-2022</t>
        </is>
      </c>
      <c r="B8598" s="1" t="n">
        <v>44798</v>
      </c>
      <c r="C8598" s="1" t="n">
        <v>46093</v>
      </c>
      <c r="D8598" t="inlineStr">
        <is>
          <t>VÄSTERNORRLANDS LÄN</t>
        </is>
      </c>
      <c r="E8598" t="inlineStr">
        <is>
          <t>ÖRNSKÖLDSVIK</t>
        </is>
      </c>
      <c r="F8598" t="inlineStr">
        <is>
          <t>Holmen skog AB</t>
        </is>
      </c>
      <c r="G8598" t="n">
        <v>1.4</v>
      </c>
      <c r="H8598" t="n">
        <v>0</v>
      </c>
      <c r="I8598" t="n">
        <v>0</v>
      </c>
      <c r="J8598" t="n">
        <v>0</v>
      </c>
      <c r="K8598" t="n">
        <v>0</v>
      </c>
      <c r="L8598" t="n">
        <v>0</v>
      </c>
      <c r="M8598" t="n">
        <v>0</v>
      </c>
      <c r="N8598" t="n">
        <v>0</v>
      </c>
      <c r="O8598" t="n">
        <v>0</v>
      </c>
      <c r="P8598" t="n">
        <v>0</v>
      </c>
      <c r="Q8598" t="n">
        <v>0</v>
      </c>
      <c r="R8598" s="2" t="inlineStr"/>
    </row>
    <row r="8599" ht="15" customHeight="1">
      <c r="A8599" t="inlineStr">
        <is>
          <t>A 36786-2024</t>
        </is>
      </c>
      <c r="B8599" s="1" t="n">
        <v>45538</v>
      </c>
      <c r="C8599" s="1" t="n">
        <v>46093</v>
      </c>
      <c r="D8599" t="inlineStr">
        <is>
          <t>VÄSTERNORRLANDS LÄN</t>
        </is>
      </c>
      <c r="E8599" t="inlineStr">
        <is>
          <t>ÅNGE</t>
        </is>
      </c>
      <c r="F8599" t="inlineStr">
        <is>
          <t>SCA</t>
        </is>
      </c>
      <c r="G8599" t="n">
        <v>5.2</v>
      </c>
      <c r="H8599" t="n">
        <v>0</v>
      </c>
      <c r="I8599" t="n">
        <v>0</v>
      </c>
      <c r="J8599" t="n">
        <v>0</v>
      </c>
      <c r="K8599" t="n">
        <v>0</v>
      </c>
      <c r="L8599" t="n">
        <v>0</v>
      </c>
      <c r="M8599" t="n">
        <v>0</v>
      </c>
      <c r="N8599" t="n">
        <v>0</v>
      </c>
      <c r="O8599" t="n">
        <v>0</v>
      </c>
      <c r="P8599" t="n">
        <v>0</v>
      </c>
      <c r="Q8599" t="n">
        <v>0</v>
      </c>
      <c r="R8599" s="2" t="inlineStr"/>
    </row>
    <row r="8600" ht="15" customHeight="1">
      <c r="A8600" t="inlineStr">
        <is>
          <t>A 59341-2023</t>
        </is>
      </c>
      <c r="B8600" s="1" t="n">
        <v>45253.65173611111</v>
      </c>
      <c r="C8600" s="1" t="n">
        <v>46093</v>
      </c>
      <c r="D8600" t="inlineStr">
        <is>
          <t>VÄSTERNORRLANDS LÄN</t>
        </is>
      </c>
      <c r="E8600" t="inlineStr">
        <is>
          <t>SUNDSVALL</t>
        </is>
      </c>
      <c r="G8600" t="n">
        <v>1.9</v>
      </c>
      <c r="H8600" t="n">
        <v>0</v>
      </c>
      <c r="I8600" t="n">
        <v>0</v>
      </c>
      <c r="J8600" t="n">
        <v>0</v>
      </c>
      <c r="K8600" t="n">
        <v>0</v>
      </c>
      <c r="L8600" t="n">
        <v>0</v>
      </c>
      <c r="M8600" t="n">
        <v>0</v>
      </c>
      <c r="N8600" t="n">
        <v>0</v>
      </c>
      <c r="O8600" t="n">
        <v>0</v>
      </c>
      <c r="P8600" t="n">
        <v>0</v>
      </c>
      <c r="Q8600" t="n">
        <v>0</v>
      </c>
      <c r="R8600" s="2" t="inlineStr"/>
    </row>
    <row r="8601" ht="15" customHeight="1">
      <c r="A8601" t="inlineStr">
        <is>
          <t>A 59051-2025</t>
        </is>
      </c>
      <c r="B8601" s="1" t="n">
        <v>45988.38612268519</v>
      </c>
      <c r="C8601" s="1" t="n">
        <v>46093</v>
      </c>
      <c r="D8601" t="inlineStr">
        <is>
          <t>VÄSTERNORRLANDS LÄN</t>
        </is>
      </c>
      <c r="E8601" t="inlineStr">
        <is>
          <t>SOLLEFTEÅ</t>
        </is>
      </c>
      <c r="F8601" t="inlineStr">
        <is>
          <t>SCA</t>
        </is>
      </c>
      <c r="G8601" t="n">
        <v>7.9</v>
      </c>
      <c r="H8601" t="n">
        <v>0</v>
      </c>
      <c r="I8601" t="n">
        <v>0</v>
      </c>
      <c r="J8601" t="n">
        <v>0</v>
      </c>
      <c r="K8601" t="n">
        <v>0</v>
      </c>
      <c r="L8601" t="n">
        <v>0</v>
      </c>
      <c r="M8601" t="n">
        <v>0</v>
      </c>
      <c r="N8601" t="n">
        <v>0</v>
      </c>
      <c r="O8601" t="n">
        <v>0</v>
      </c>
      <c r="P8601" t="n">
        <v>0</v>
      </c>
      <c r="Q8601" t="n">
        <v>0</v>
      </c>
      <c r="R8601" s="2" t="inlineStr"/>
    </row>
    <row r="8602" ht="15" customHeight="1">
      <c r="A8602" t="inlineStr">
        <is>
          <t>A 59063-2025</t>
        </is>
      </c>
      <c r="B8602" s="1" t="n">
        <v>45988.40734953704</v>
      </c>
      <c r="C8602" s="1" t="n">
        <v>46093</v>
      </c>
      <c r="D8602" t="inlineStr">
        <is>
          <t>VÄSTERNORRLANDS LÄN</t>
        </is>
      </c>
      <c r="E8602" t="inlineStr">
        <is>
          <t>ÅNGE</t>
        </is>
      </c>
      <c r="F8602" t="inlineStr">
        <is>
          <t>SCA</t>
        </is>
      </c>
      <c r="G8602" t="n">
        <v>5.7</v>
      </c>
      <c r="H8602" t="n">
        <v>0</v>
      </c>
      <c r="I8602" t="n">
        <v>0</v>
      </c>
      <c r="J8602" t="n">
        <v>0</v>
      </c>
      <c r="K8602" t="n">
        <v>0</v>
      </c>
      <c r="L8602" t="n">
        <v>0</v>
      </c>
      <c r="M8602" t="n">
        <v>0</v>
      </c>
      <c r="N8602" t="n">
        <v>0</v>
      </c>
      <c r="O8602" t="n">
        <v>0</v>
      </c>
      <c r="P8602" t="n">
        <v>0</v>
      </c>
      <c r="Q8602" t="n">
        <v>0</v>
      </c>
      <c r="R8602" s="2" t="inlineStr"/>
    </row>
    <row r="8603" ht="15" customHeight="1">
      <c r="A8603" t="inlineStr">
        <is>
          <t>A 57120-2024</t>
        </is>
      </c>
      <c r="B8603" s="1" t="n">
        <v>45629.3662962963</v>
      </c>
      <c r="C8603" s="1" t="n">
        <v>46093</v>
      </c>
      <c r="D8603" t="inlineStr">
        <is>
          <t>VÄSTERNORRLANDS LÄN</t>
        </is>
      </c>
      <c r="E8603" t="inlineStr">
        <is>
          <t>ÖRNSKÖLDSVIK</t>
        </is>
      </c>
      <c r="F8603" t="inlineStr">
        <is>
          <t>Holmen skog AB</t>
        </is>
      </c>
      <c r="G8603" t="n">
        <v>2.7</v>
      </c>
      <c r="H8603" t="n">
        <v>0</v>
      </c>
      <c r="I8603" t="n">
        <v>0</v>
      </c>
      <c r="J8603" t="n">
        <v>0</v>
      </c>
      <c r="K8603" t="n">
        <v>0</v>
      </c>
      <c r="L8603" t="n">
        <v>0</v>
      </c>
      <c r="M8603" t="n">
        <v>0</v>
      </c>
      <c r="N8603" t="n">
        <v>0</v>
      </c>
      <c r="O8603" t="n">
        <v>0</v>
      </c>
      <c r="P8603" t="n">
        <v>0</v>
      </c>
      <c r="Q8603" t="n">
        <v>0</v>
      </c>
      <c r="R8603" s="2" t="inlineStr"/>
    </row>
    <row r="8604" ht="15" customHeight="1">
      <c r="A8604" t="inlineStr">
        <is>
          <t>A 46254-2023</t>
        </is>
      </c>
      <c r="B8604" s="1" t="n">
        <v>45196</v>
      </c>
      <c r="C8604" s="1" t="n">
        <v>46093</v>
      </c>
      <c r="D8604" t="inlineStr">
        <is>
          <t>VÄSTERNORRLANDS LÄN</t>
        </is>
      </c>
      <c r="E8604" t="inlineStr">
        <is>
          <t>ÅNGE</t>
        </is>
      </c>
      <c r="F8604" t="inlineStr">
        <is>
          <t>SCA</t>
        </is>
      </c>
      <c r="G8604" t="n">
        <v>0.1</v>
      </c>
      <c r="H8604" t="n">
        <v>0</v>
      </c>
      <c r="I8604" t="n">
        <v>0</v>
      </c>
      <c r="J8604" t="n">
        <v>0</v>
      </c>
      <c r="K8604" t="n">
        <v>0</v>
      </c>
      <c r="L8604" t="n">
        <v>0</v>
      </c>
      <c r="M8604" t="n">
        <v>0</v>
      </c>
      <c r="N8604" t="n">
        <v>0</v>
      </c>
      <c r="O8604" t="n">
        <v>0</v>
      </c>
      <c r="P8604" t="n">
        <v>0</v>
      </c>
      <c r="Q8604" t="n">
        <v>0</v>
      </c>
      <c r="R8604" s="2" t="inlineStr"/>
    </row>
    <row r="8605" ht="15" customHeight="1">
      <c r="A8605" t="inlineStr">
        <is>
          <t>A 46262-2023</t>
        </is>
      </c>
      <c r="B8605" s="1" t="n">
        <v>45196.93855324074</v>
      </c>
      <c r="C8605" s="1" t="n">
        <v>46093</v>
      </c>
      <c r="D8605" t="inlineStr">
        <is>
          <t>VÄSTERNORRLANDS LÄN</t>
        </is>
      </c>
      <c r="E8605" t="inlineStr">
        <is>
          <t>ÅNGE</t>
        </is>
      </c>
      <c r="F8605" t="inlineStr">
        <is>
          <t>SCA</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3329-2022</t>
        </is>
      </c>
      <c r="B8606" s="1" t="n">
        <v>44585</v>
      </c>
      <c r="C8606" s="1" t="n">
        <v>46093</v>
      </c>
      <c r="D8606" t="inlineStr">
        <is>
          <t>VÄSTERNORRLANDS LÄN</t>
        </is>
      </c>
      <c r="E8606" t="inlineStr">
        <is>
          <t>ÖRNSKÖLDSVIK</t>
        </is>
      </c>
      <c r="G8606" t="n">
        <v>7.9</v>
      </c>
      <c r="H8606" t="n">
        <v>0</v>
      </c>
      <c r="I8606" t="n">
        <v>0</v>
      </c>
      <c r="J8606" t="n">
        <v>0</v>
      </c>
      <c r="K8606" t="n">
        <v>0</v>
      </c>
      <c r="L8606" t="n">
        <v>0</v>
      </c>
      <c r="M8606" t="n">
        <v>0</v>
      </c>
      <c r="N8606" t="n">
        <v>0</v>
      </c>
      <c r="O8606" t="n">
        <v>0</v>
      </c>
      <c r="P8606" t="n">
        <v>0</v>
      </c>
      <c r="Q8606" t="n">
        <v>0</v>
      </c>
      <c r="R8606" s="2" t="inlineStr"/>
    </row>
    <row r="8607" ht="15" customHeight="1">
      <c r="A8607" t="inlineStr">
        <is>
          <t>A 53663-2022</t>
        </is>
      </c>
      <c r="B8607" s="1" t="n">
        <v>44879</v>
      </c>
      <c r="C8607" s="1" t="n">
        <v>46093</v>
      </c>
      <c r="D8607" t="inlineStr">
        <is>
          <t>VÄSTERNORRLANDS LÄN</t>
        </is>
      </c>
      <c r="E8607" t="inlineStr">
        <is>
          <t>ÅNGE</t>
        </is>
      </c>
      <c r="F8607" t="inlineStr">
        <is>
          <t>SCA</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59131-2025</t>
        </is>
      </c>
      <c r="B8608" s="1" t="n">
        <v>45988.49668981481</v>
      </c>
      <c r="C8608" s="1" t="n">
        <v>46093</v>
      </c>
      <c r="D8608" t="inlineStr">
        <is>
          <t>VÄSTERNORRLANDS LÄN</t>
        </is>
      </c>
      <c r="E8608" t="inlineStr">
        <is>
          <t>ÖRNSKÖLDSVIK</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59135-2025</t>
        </is>
      </c>
      <c r="B8609" s="1" t="n">
        <v>45988.49862268518</v>
      </c>
      <c r="C8609" s="1" t="n">
        <v>46093</v>
      </c>
      <c r="D8609" t="inlineStr">
        <is>
          <t>VÄSTERNORRLANDS LÄN</t>
        </is>
      </c>
      <c r="E8609" t="inlineStr">
        <is>
          <t>ÖRNSKÖLDSVIK</t>
        </is>
      </c>
      <c r="G8609" t="n">
        <v>1.5</v>
      </c>
      <c r="H8609" t="n">
        <v>0</v>
      </c>
      <c r="I8609" t="n">
        <v>0</v>
      </c>
      <c r="J8609" t="n">
        <v>0</v>
      </c>
      <c r="K8609" t="n">
        <v>0</v>
      </c>
      <c r="L8609" t="n">
        <v>0</v>
      </c>
      <c r="M8609" t="n">
        <v>0</v>
      </c>
      <c r="N8609" t="n">
        <v>0</v>
      </c>
      <c r="O8609" t="n">
        <v>0</v>
      </c>
      <c r="P8609" t="n">
        <v>0</v>
      </c>
      <c r="Q8609" t="n">
        <v>0</v>
      </c>
      <c r="R8609" s="2" t="inlineStr"/>
    </row>
    <row r="8610" ht="15" customHeight="1">
      <c r="A8610" t="inlineStr">
        <is>
          <t>A 59136-2025</t>
        </is>
      </c>
      <c r="B8610" s="1" t="n">
        <v>45988.5002662037</v>
      </c>
      <c r="C8610" s="1" t="n">
        <v>46093</v>
      </c>
      <c r="D8610" t="inlineStr">
        <is>
          <t>VÄSTERNORRLANDS LÄN</t>
        </is>
      </c>
      <c r="E8610" t="inlineStr">
        <is>
          <t>ÖRNSKÖLDSVIK</t>
        </is>
      </c>
      <c r="G8610" t="n">
        <v>0.4</v>
      </c>
      <c r="H8610" t="n">
        <v>0</v>
      </c>
      <c r="I8610" t="n">
        <v>0</v>
      </c>
      <c r="J8610" t="n">
        <v>0</v>
      </c>
      <c r="K8610" t="n">
        <v>0</v>
      </c>
      <c r="L8610" t="n">
        <v>0</v>
      </c>
      <c r="M8610" t="n">
        <v>0</v>
      </c>
      <c r="N8610" t="n">
        <v>0</v>
      </c>
      <c r="O8610" t="n">
        <v>0</v>
      </c>
      <c r="P8610" t="n">
        <v>0</v>
      </c>
      <c r="Q8610" t="n">
        <v>0</v>
      </c>
      <c r="R8610" s="2" t="inlineStr"/>
    </row>
    <row r="8611" ht="15" customHeight="1">
      <c r="A8611" t="inlineStr">
        <is>
          <t>A 51329-2022</t>
        </is>
      </c>
      <c r="B8611" s="1" t="n">
        <v>44869</v>
      </c>
      <c r="C8611" s="1" t="n">
        <v>46093</v>
      </c>
      <c r="D8611" t="inlineStr">
        <is>
          <t>VÄSTERNORRLANDS LÄN</t>
        </is>
      </c>
      <c r="E8611" t="inlineStr">
        <is>
          <t>ÖRNSKÖLDSVIK</t>
        </is>
      </c>
      <c r="F8611" t="inlineStr">
        <is>
          <t>Holmen skog AB</t>
        </is>
      </c>
      <c r="G8611" t="n">
        <v>7.5</v>
      </c>
      <c r="H8611" t="n">
        <v>0</v>
      </c>
      <c r="I8611" t="n">
        <v>0</v>
      </c>
      <c r="J8611" t="n">
        <v>0</v>
      </c>
      <c r="K8611" t="n">
        <v>0</v>
      </c>
      <c r="L8611" t="n">
        <v>0</v>
      </c>
      <c r="M8611" t="n">
        <v>0</v>
      </c>
      <c r="N8611" t="n">
        <v>0</v>
      </c>
      <c r="O8611" t="n">
        <v>0</v>
      </c>
      <c r="P8611" t="n">
        <v>0</v>
      </c>
      <c r="Q8611" t="n">
        <v>0</v>
      </c>
      <c r="R8611" s="2" t="inlineStr"/>
    </row>
    <row r="8612" ht="15" customHeight="1">
      <c r="A8612" t="inlineStr">
        <is>
          <t>A 51360-2022</t>
        </is>
      </c>
      <c r="B8612" s="1" t="n">
        <v>44869</v>
      </c>
      <c r="C8612" s="1" t="n">
        <v>46093</v>
      </c>
      <c r="D8612" t="inlineStr">
        <is>
          <t>VÄSTERNORRLANDS LÄN</t>
        </is>
      </c>
      <c r="E8612" t="inlineStr">
        <is>
          <t>SUNDSVALL</t>
        </is>
      </c>
      <c r="G8612" t="n">
        <v>30.9</v>
      </c>
      <c r="H8612" t="n">
        <v>0</v>
      </c>
      <c r="I8612" t="n">
        <v>0</v>
      </c>
      <c r="J8612" t="n">
        <v>0</v>
      </c>
      <c r="K8612" t="n">
        <v>0</v>
      </c>
      <c r="L8612" t="n">
        <v>0</v>
      </c>
      <c r="M8612" t="n">
        <v>0</v>
      </c>
      <c r="N8612" t="n">
        <v>0</v>
      </c>
      <c r="O8612" t="n">
        <v>0</v>
      </c>
      <c r="P8612" t="n">
        <v>0</v>
      </c>
      <c r="Q8612" t="n">
        <v>0</v>
      </c>
      <c r="R8612" s="2" t="inlineStr"/>
    </row>
    <row r="8613" ht="15" customHeight="1">
      <c r="A8613" t="inlineStr">
        <is>
          <t>A 45027-2023</t>
        </is>
      </c>
      <c r="B8613" s="1" t="n">
        <v>45190.96303240741</v>
      </c>
      <c r="C8613" s="1" t="n">
        <v>46093</v>
      </c>
      <c r="D8613" t="inlineStr">
        <is>
          <t>VÄSTERNORRLANDS LÄN</t>
        </is>
      </c>
      <c r="E8613" t="inlineStr">
        <is>
          <t>ÅNGE</t>
        </is>
      </c>
      <c r="F8613" t="inlineStr">
        <is>
          <t>SCA</t>
        </is>
      </c>
      <c r="G8613" t="n">
        <v>5.7</v>
      </c>
      <c r="H8613" t="n">
        <v>0</v>
      </c>
      <c r="I8613" t="n">
        <v>0</v>
      </c>
      <c r="J8613" t="n">
        <v>0</v>
      </c>
      <c r="K8613" t="n">
        <v>0</v>
      </c>
      <c r="L8613" t="n">
        <v>0</v>
      </c>
      <c r="M8613" t="n">
        <v>0</v>
      </c>
      <c r="N8613" t="n">
        <v>0</v>
      </c>
      <c r="O8613" t="n">
        <v>0</v>
      </c>
      <c r="P8613" t="n">
        <v>0</v>
      </c>
      <c r="Q8613" t="n">
        <v>0</v>
      </c>
      <c r="R8613" s="2" t="inlineStr"/>
    </row>
    <row r="8614" ht="15" customHeight="1">
      <c r="A8614" t="inlineStr">
        <is>
          <t>A 58810-2025</t>
        </is>
      </c>
      <c r="B8614" s="1" t="n">
        <v>45987.31358796296</v>
      </c>
      <c r="C8614" s="1" t="n">
        <v>46093</v>
      </c>
      <c r="D8614" t="inlineStr">
        <is>
          <t>VÄSTERNORRLANDS LÄN</t>
        </is>
      </c>
      <c r="E8614" t="inlineStr">
        <is>
          <t>ÖRNSKÖLDSVIK</t>
        </is>
      </c>
      <c r="G8614" t="n">
        <v>3.3</v>
      </c>
      <c r="H8614" t="n">
        <v>0</v>
      </c>
      <c r="I8614" t="n">
        <v>0</v>
      </c>
      <c r="J8614" t="n">
        <v>0</v>
      </c>
      <c r="K8614" t="n">
        <v>0</v>
      </c>
      <c r="L8614" t="n">
        <v>0</v>
      </c>
      <c r="M8614" t="n">
        <v>0</v>
      </c>
      <c r="N8614" t="n">
        <v>0</v>
      </c>
      <c r="O8614" t="n">
        <v>0</v>
      </c>
      <c r="P8614" t="n">
        <v>0</v>
      </c>
      <c r="Q8614" t="n">
        <v>0</v>
      </c>
      <c r="R8614" s="2" t="inlineStr"/>
    </row>
    <row r="8615" ht="15" customHeight="1">
      <c r="A8615" t="inlineStr">
        <is>
          <t>A 2129-2023</t>
        </is>
      </c>
      <c r="B8615" s="1" t="n">
        <v>44939.93967592593</v>
      </c>
      <c r="C8615" s="1" t="n">
        <v>46093</v>
      </c>
      <c r="D8615" t="inlineStr">
        <is>
          <t>VÄSTERNORRLANDS LÄN</t>
        </is>
      </c>
      <c r="E8615" t="inlineStr">
        <is>
          <t>SUNDSVALL</t>
        </is>
      </c>
      <c r="F8615" t="inlineStr">
        <is>
          <t>SCA</t>
        </is>
      </c>
      <c r="G8615" t="n">
        <v>4.2</v>
      </c>
      <c r="H8615" t="n">
        <v>0</v>
      </c>
      <c r="I8615" t="n">
        <v>0</v>
      </c>
      <c r="J8615" t="n">
        <v>0</v>
      </c>
      <c r="K8615" t="n">
        <v>0</v>
      </c>
      <c r="L8615" t="n">
        <v>0</v>
      </c>
      <c r="M8615" t="n">
        <v>0</v>
      </c>
      <c r="N8615" t="n">
        <v>0</v>
      </c>
      <c r="O8615" t="n">
        <v>0</v>
      </c>
      <c r="P8615" t="n">
        <v>0</v>
      </c>
      <c r="Q8615" t="n">
        <v>0</v>
      </c>
      <c r="R8615" s="2" t="inlineStr"/>
    </row>
    <row r="8616" ht="15" customHeight="1">
      <c r="A8616" t="inlineStr">
        <is>
          <t>A 10582-2025</t>
        </is>
      </c>
      <c r="B8616" s="1" t="n">
        <v>45721.5515162037</v>
      </c>
      <c r="C8616" s="1" t="n">
        <v>46093</v>
      </c>
      <c r="D8616" t="inlineStr">
        <is>
          <t>VÄSTERNORRLANDS LÄN</t>
        </is>
      </c>
      <c r="E8616" t="inlineStr">
        <is>
          <t>ÖRNSKÖLDSVIK</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21409-2022</t>
        </is>
      </c>
      <c r="B8617" s="1" t="n">
        <v>44705.9406712963</v>
      </c>
      <c r="C8617" s="1" t="n">
        <v>46093</v>
      </c>
      <c r="D8617" t="inlineStr">
        <is>
          <t>VÄSTERNORRLANDS LÄN</t>
        </is>
      </c>
      <c r="E8617" t="inlineStr">
        <is>
          <t>ÅNGE</t>
        </is>
      </c>
      <c r="F8617" t="inlineStr">
        <is>
          <t>SCA</t>
        </is>
      </c>
      <c r="G8617" t="n">
        <v>2.3</v>
      </c>
      <c r="H8617" t="n">
        <v>0</v>
      </c>
      <c r="I8617" t="n">
        <v>0</v>
      </c>
      <c r="J8617" t="n">
        <v>0</v>
      </c>
      <c r="K8617" t="n">
        <v>0</v>
      </c>
      <c r="L8617" t="n">
        <v>0</v>
      </c>
      <c r="M8617" t="n">
        <v>0</v>
      </c>
      <c r="N8617" t="n">
        <v>0</v>
      </c>
      <c r="O8617" t="n">
        <v>0</v>
      </c>
      <c r="P8617" t="n">
        <v>0</v>
      </c>
      <c r="Q8617" t="n">
        <v>0</v>
      </c>
      <c r="R8617" s="2" t="inlineStr"/>
    </row>
    <row r="8618" ht="15" customHeight="1">
      <c r="A8618" t="inlineStr">
        <is>
          <t>A 50314-2021</t>
        </is>
      </c>
      <c r="B8618" s="1" t="n">
        <v>44456</v>
      </c>
      <c r="C8618" s="1" t="n">
        <v>46093</v>
      </c>
      <c r="D8618" t="inlineStr">
        <is>
          <t>VÄSTERNORRLANDS LÄN</t>
        </is>
      </c>
      <c r="E8618" t="inlineStr">
        <is>
          <t>KRAMFORS</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58817-2025</t>
        </is>
      </c>
      <c r="B8619" s="1" t="n">
        <v>45987.33471064815</v>
      </c>
      <c r="C8619" s="1" t="n">
        <v>46093</v>
      </c>
      <c r="D8619" t="inlineStr">
        <is>
          <t>VÄSTERNORRLANDS LÄN</t>
        </is>
      </c>
      <c r="E8619" t="inlineStr">
        <is>
          <t>KRAMFORS</t>
        </is>
      </c>
      <c r="G8619" t="n">
        <v>0.5</v>
      </c>
      <c r="H8619" t="n">
        <v>0</v>
      </c>
      <c r="I8619" t="n">
        <v>0</v>
      </c>
      <c r="J8619" t="n">
        <v>0</v>
      </c>
      <c r="K8619" t="n">
        <v>0</v>
      </c>
      <c r="L8619" t="n">
        <v>0</v>
      </c>
      <c r="M8619" t="n">
        <v>0</v>
      </c>
      <c r="N8619" t="n">
        <v>0</v>
      </c>
      <c r="O8619" t="n">
        <v>0</v>
      </c>
      <c r="P8619" t="n">
        <v>0</v>
      </c>
      <c r="Q8619" t="n">
        <v>0</v>
      </c>
      <c r="R8619" s="2" t="inlineStr"/>
    </row>
    <row r="8620" ht="15" customHeight="1">
      <c r="A8620" t="inlineStr">
        <is>
          <t>A 49711-2024</t>
        </is>
      </c>
      <c r="B8620" s="1" t="n">
        <v>45596.69891203703</v>
      </c>
      <c r="C8620" s="1" t="n">
        <v>46093</v>
      </c>
      <c r="D8620" t="inlineStr">
        <is>
          <t>VÄSTERNORRLANDS LÄN</t>
        </is>
      </c>
      <c r="E8620" t="inlineStr">
        <is>
          <t>ÅNGE</t>
        </is>
      </c>
      <c r="F8620" t="inlineStr">
        <is>
          <t>SCA</t>
        </is>
      </c>
      <c r="G8620" t="n">
        <v>2.1</v>
      </c>
      <c r="H8620" t="n">
        <v>0</v>
      </c>
      <c r="I8620" t="n">
        <v>0</v>
      </c>
      <c r="J8620" t="n">
        <v>0</v>
      </c>
      <c r="K8620" t="n">
        <v>0</v>
      </c>
      <c r="L8620" t="n">
        <v>0</v>
      </c>
      <c r="M8620" t="n">
        <v>0</v>
      </c>
      <c r="N8620" t="n">
        <v>0</v>
      </c>
      <c r="O8620" t="n">
        <v>0</v>
      </c>
      <c r="P8620" t="n">
        <v>0</v>
      </c>
      <c r="Q8620" t="n">
        <v>0</v>
      </c>
      <c r="R8620" s="2" t="inlineStr"/>
    </row>
    <row r="8621" ht="15" customHeight="1">
      <c r="A8621" t="inlineStr">
        <is>
          <t>A 25986-2023</t>
        </is>
      </c>
      <c r="B8621" s="1" t="n">
        <v>45090</v>
      </c>
      <c r="C8621" s="1" t="n">
        <v>46093</v>
      </c>
      <c r="D8621" t="inlineStr">
        <is>
          <t>VÄSTERNORRLANDS LÄN</t>
        </is>
      </c>
      <c r="E8621" t="inlineStr">
        <is>
          <t>SOLLEFTEÅ</t>
        </is>
      </c>
      <c r="G8621" t="n">
        <v>1.9</v>
      </c>
      <c r="H8621" t="n">
        <v>0</v>
      </c>
      <c r="I8621" t="n">
        <v>0</v>
      </c>
      <c r="J8621" t="n">
        <v>0</v>
      </c>
      <c r="K8621" t="n">
        <v>0</v>
      </c>
      <c r="L8621" t="n">
        <v>0</v>
      </c>
      <c r="M8621" t="n">
        <v>0</v>
      </c>
      <c r="N8621" t="n">
        <v>0</v>
      </c>
      <c r="O8621" t="n">
        <v>0</v>
      </c>
      <c r="P8621" t="n">
        <v>0</v>
      </c>
      <c r="Q8621" t="n">
        <v>0</v>
      </c>
      <c r="R8621" s="2" t="inlineStr"/>
    </row>
    <row r="8622" ht="15" customHeight="1">
      <c r="A8622" t="inlineStr">
        <is>
          <t>A 25988-2023</t>
        </is>
      </c>
      <c r="B8622" s="1" t="n">
        <v>45090.9250462963</v>
      </c>
      <c r="C8622" s="1" t="n">
        <v>46093</v>
      </c>
      <c r="D8622" t="inlineStr">
        <is>
          <t>VÄSTERNORRLANDS LÄN</t>
        </is>
      </c>
      <c r="E8622" t="inlineStr">
        <is>
          <t>SUNDSVALL</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55380-2024</t>
        </is>
      </c>
      <c r="B8623" s="1" t="n">
        <v>45622.28810185185</v>
      </c>
      <c r="C8623" s="1" t="n">
        <v>46093</v>
      </c>
      <c r="D8623" t="inlineStr">
        <is>
          <t>VÄSTERNORRLANDS LÄN</t>
        </is>
      </c>
      <c r="E8623" t="inlineStr">
        <is>
          <t>ÅNGE</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59055-2025</t>
        </is>
      </c>
      <c r="B8624" s="1" t="n">
        <v>45988.38670138889</v>
      </c>
      <c r="C8624" s="1" t="n">
        <v>46093</v>
      </c>
      <c r="D8624" t="inlineStr">
        <is>
          <t>VÄSTERNORRLANDS LÄN</t>
        </is>
      </c>
      <c r="E8624" t="inlineStr">
        <is>
          <t>SUNDSVALL</t>
        </is>
      </c>
      <c r="G8624" t="n">
        <v>0.8</v>
      </c>
      <c r="H8624" t="n">
        <v>0</v>
      </c>
      <c r="I8624" t="n">
        <v>0</v>
      </c>
      <c r="J8624" t="n">
        <v>0</v>
      </c>
      <c r="K8624" t="n">
        <v>0</v>
      </c>
      <c r="L8624" t="n">
        <v>0</v>
      </c>
      <c r="M8624" t="n">
        <v>0</v>
      </c>
      <c r="N8624" t="n">
        <v>0</v>
      </c>
      <c r="O8624" t="n">
        <v>0</v>
      </c>
      <c r="P8624" t="n">
        <v>0</v>
      </c>
      <c r="Q8624" t="n">
        <v>0</v>
      </c>
      <c r="R8624" s="2" t="inlineStr"/>
    </row>
    <row r="8625" ht="15" customHeight="1">
      <c r="A8625" t="inlineStr">
        <is>
          <t>A 24164-2021</t>
        </is>
      </c>
      <c r="B8625" s="1" t="n">
        <v>44336</v>
      </c>
      <c r="C8625" s="1" t="n">
        <v>46093</v>
      </c>
      <c r="D8625" t="inlineStr">
        <is>
          <t>VÄSTERNORRLANDS LÄN</t>
        </is>
      </c>
      <c r="E8625" t="inlineStr">
        <is>
          <t>ÖRNSKÖLDSVIK</t>
        </is>
      </c>
      <c r="F8625" t="inlineStr">
        <is>
          <t>Holmen skog AB</t>
        </is>
      </c>
      <c r="G8625" t="n">
        <v>2</v>
      </c>
      <c r="H8625" t="n">
        <v>0</v>
      </c>
      <c r="I8625" t="n">
        <v>0</v>
      </c>
      <c r="J8625" t="n">
        <v>0</v>
      </c>
      <c r="K8625" t="n">
        <v>0</v>
      </c>
      <c r="L8625" t="n">
        <v>0</v>
      </c>
      <c r="M8625" t="n">
        <v>0</v>
      </c>
      <c r="N8625" t="n">
        <v>0</v>
      </c>
      <c r="O8625" t="n">
        <v>0</v>
      </c>
      <c r="P8625" t="n">
        <v>0</v>
      </c>
      <c r="Q8625" t="n">
        <v>0</v>
      </c>
      <c r="R8625" s="2" t="inlineStr"/>
    </row>
    <row r="8626" ht="15" customHeight="1">
      <c r="A8626" t="inlineStr">
        <is>
          <t>A 58813-2025</t>
        </is>
      </c>
      <c r="B8626" s="1" t="n">
        <v>45987.3308912037</v>
      </c>
      <c r="C8626" s="1" t="n">
        <v>46093</v>
      </c>
      <c r="D8626" t="inlineStr">
        <is>
          <t>VÄSTERNORRLANDS LÄN</t>
        </is>
      </c>
      <c r="E8626" t="inlineStr">
        <is>
          <t>KRAMFORS</t>
        </is>
      </c>
      <c r="G8626" t="n">
        <v>1.9</v>
      </c>
      <c r="H8626" t="n">
        <v>0</v>
      </c>
      <c r="I8626" t="n">
        <v>0</v>
      </c>
      <c r="J8626" t="n">
        <v>0</v>
      </c>
      <c r="K8626" t="n">
        <v>0</v>
      </c>
      <c r="L8626" t="n">
        <v>0</v>
      </c>
      <c r="M8626" t="n">
        <v>0</v>
      </c>
      <c r="N8626" t="n">
        <v>0</v>
      </c>
      <c r="O8626" t="n">
        <v>0</v>
      </c>
      <c r="P8626" t="n">
        <v>0</v>
      </c>
      <c r="Q8626" t="n">
        <v>0</v>
      </c>
      <c r="R8626" s="2" t="inlineStr"/>
    </row>
    <row r="8627" ht="15" customHeight="1">
      <c r="A8627" t="inlineStr">
        <is>
          <t>A 58859-2025</t>
        </is>
      </c>
      <c r="B8627" s="1" t="n">
        <v>45987.42791666667</v>
      </c>
      <c r="C8627" s="1" t="n">
        <v>46093</v>
      </c>
      <c r="D8627" t="inlineStr">
        <is>
          <t>VÄSTERNORRLANDS LÄN</t>
        </is>
      </c>
      <c r="E8627" t="inlineStr">
        <is>
          <t>SUNDSVALL</t>
        </is>
      </c>
      <c r="F8627" t="inlineStr">
        <is>
          <t>SCA</t>
        </is>
      </c>
      <c r="G8627" t="n">
        <v>13.4</v>
      </c>
      <c r="H8627" t="n">
        <v>0</v>
      </c>
      <c r="I8627" t="n">
        <v>0</v>
      </c>
      <c r="J8627" t="n">
        <v>0</v>
      </c>
      <c r="K8627" t="n">
        <v>0</v>
      </c>
      <c r="L8627" t="n">
        <v>0</v>
      </c>
      <c r="M8627" t="n">
        <v>0</v>
      </c>
      <c r="N8627" t="n">
        <v>0</v>
      </c>
      <c r="O8627" t="n">
        <v>0</v>
      </c>
      <c r="P8627" t="n">
        <v>0</v>
      </c>
      <c r="Q8627" t="n">
        <v>0</v>
      </c>
      <c r="R8627" s="2" t="inlineStr"/>
    </row>
    <row r="8628" ht="15" customHeight="1">
      <c r="A8628" t="inlineStr">
        <is>
          <t>A 26706-2024</t>
        </is>
      </c>
      <c r="B8628" s="1" t="n">
        <v>45470.3927662037</v>
      </c>
      <c r="C8628" s="1" t="n">
        <v>46093</v>
      </c>
      <c r="D8628" t="inlineStr">
        <is>
          <t>VÄSTERNORRLANDS LÄN</t>
        </is>
      </c>
      <c r="E8628" t="inlineStr">
        <is>
          <t>ÖRNSKÖLDSVIK</t>
        </is>
      </c>
      <c r="F8628" t="inlineStr">
        <is>
          <t>Holmen skog AB</t>
        </is>
      </c>
      <c r="G8628" t="n">
        <v>1.9</v>
      </c>
      <c r="H8628" t="n">
        <v>0</v>
      </c>
      <c r="I8628" t="n">
        <v>0</v>
      </c>
      <c r="J8628" t="n">
        <v>0</v>
      </c>
      <c r="K8628" t="n">
        <v>0</v>
      </c>
      <c r="L8628" t="n">
        <v>0</v>
      </c>
      <c r="M8628" t="n">
        <v>0</v>
      </c>
      <c r="N8628" t="n">
        <v>0</v>
      </c>
      <c r="O8628" t="n">
        <v>0</v>
      </c>
      <c r="P8628" t="n">
        <v>0</v>
      </c>
      <c r="Q8628" t="n">
        <v>0</v>
      </c>
      <c r="R8628" s="2" t="inlineStr"/>
    </row>
    <row r="8629" ht="15" customHeight="1">
      <c r="A8629" t="inlineStr">
        <is>
          <t>A 57268-2022</t>
        </is>
      </c>
      <c r="B8629" s="1" t="n">
        <v>44895.92809027778</v>
      </c>
      <c r="C8629" s="1" t="n">
        <v>46093</v>
      </c>
      <c r="D8629" t="inlineStr">
        <is>
          <t>VÄSTERNORRLANDS LÄN</t>
        </is>
      </c>
      <c r="E8629" t="inlineStr">
        <is>
          <t>TIMRÅ</t>
        </is>
      </c>
      <c r="G8629" t="n">
        <v>0.6</v>
      </c>
      <c r="H8629" t="n">
        <v>0</v>
      </c>
      <c r="I8629" t="n">
        <v>0</v>
      </c>
      <c r="J8629" t="n">
        <v>0</v>
      </c>
      <c r="K8629" t="n">
        <v>0</v>
      </c>
      <c r="L8629" t="n">
        <v>0</v>
      </c>
      <c r="M8629" t="n">
        <v>0</v>
      </c>
      <c r="N8629" t="n">
        <v>0</v>
      </c>
      <c r="O8629" t="n">
        <v>0</v>
      </c>
      <c r="P8629" t="n">
        <v>0</v>
      </c>
      <c r="Q8629" t="n">
        <v>0</v>
      </c>
      <c r="R8629" s="2" t="inlineStr"/>
    </row>
    <row r="8630" ht="15" customHeight="1">
      <c r="A8630" t="inlineStr">
        <is>
          <t>A 57273-2022</t>
        </is>
      </c>
      <c r="B8630" s="1" t="n">
        <v>44895.9487962963</v>
      </c>
      <c r="C8630" s="1" t="n">
        <v>46093</v>
      </c>
      <c r="D8630" t="inlineStr">
        <is>
          <t>VÄSTERNORRLANDS LÄN</t>
        </is>
      </c>
      <c r="E8630" t="inlineStr">
        <is>
          <t>SOLLEFTEÅ</t>
        </is>
      </c>
      <c r="F8630" t="inlineStr">
        <is>
          <t>SCA</t>
        </is>
      </c>
      <c r="G8630" t="n">
        <v>2.3</v>
      </c>
      <c r="H8630" t="n">
        <v>0</v>
      </c>
      <c r="I8630" t="n">
        <v>0</v>
      </c>
      <c r="J8630" t="n">
        <v>0</v>
      </c>
      <c r="K8630" t="n">
        <v>0</v>
      </c>
      <c r="L8630" t="n">
        <v>0</v>
      </c>
      <c r="M8630" t="n">
        <v>0</v>
      </c>
      <c r="N8630" t="n">
        <v>0</v>
      </c>
      <c r="O8630" t="n">
        <v>0</v>
      </c>
      <c r="P8630" t="n">
        <v>0</v>
      </c>
      <c r="Q8630" t="n">
        <v>0</v>
      </c>
      <c r="R8630" s="2" t="inlineStr"/>
    </row>
    <row r="8631" ht="15" customHeight="1">
      <c r="A8631" t="inlineStr">
        <is>
          <t>A 60165-2022</t>
        </is>
      </c>
      <c r="B8631" s="1" t="n">
        <v>44909</v>
      </c>
      <c r="C8631" s="1" t="n">
        <v>46093</v>
      </c>
      <c r="D8631" t="inlineStr">
        <is>
          <t>VÄSTERNORRLANDS LÄN</t>
        </is>
      </c>
      <c r="E8631" t="inlineStr">
        <is>
          <t>SUNDSVALL</t>
        </is>
      </c>
      <c r="G8631" t="n">
        <v>6.2</v>
      </c>
      <c r="H8631" t="n">
        <v>0</v>
      </c>
      <c r="I8631" t="n">
        <v>0</v>
      </c>
      <c r="J8631" t="n">
        <v>0</v>
      </c>
      <c r="K8631" t="n">
        <v>0</v>
      </c>
      <c r="L8631" t="n">
        <v>0</v>
      </c>
      <c r="M8631" t="n">
        <v>0</v>
      </c>
      <c r="N8631" t="n">
        <v>0</v>
      </c>
      <c r="O8631" t="n">
        <v>0</v>
      </c>
      <c r="P8631" t="n">
        <v>0</v>
      </c>
      <c r="Q8631" t="n">
        <v>0</v>
      </c>
      <c r="R8631" s="2" t="inlineStr"/>
    </row>
    <row r="8632" ht="15" customHeight="1">
      <c r="A8632" t="inlineStr">
        <is>
          <t>A 26776-2024</t>
        </is>
      </c>
      <c r="B8632" s="1" t="n">
        <v>45470</v>
      </c>
      <c r="C8632" s="1" t="n">
        <v>46093</v>
      </c>
      <c r="D8632" t="inlineStr">
        <is>
          <t>VÄSTERNORRLANDS LÄN</t>
        </is>
      </c>
      <c r="E8632" t="inlineStr">
        <is>
          <t>ÖRNSKÖLDSVIK</t>
        </is>
      </c>
      <c r="G8632" t="n">
        <v>1.8</v>
      </c>
      <c r="H8632" t="n">
        <v>0</v>
      </c>
      <c r="I8632" t="n">
        <v>0</v>
      </c>
      <c r="J8632" t="n">
        <v>0</v>
      </c>
      <c r="K8632" t="n">
        <v>0</v>
      </c>
      <c r="L8632" t="n">
        <v>0</v>
      </c>
      <c r="M8632" t="n">
        <v>0</v>
      </c>
      <c r="N8632" t="n">
        <v>0</v>
      </c>
      <c r="O8632" t="n">
        <v>0</v>
      </c>
      <c r="P8632" t="n">
        <v>0</v>
      </c>
      <c r="Q8632" t="n">
        <v>0</v>
      </c>
      <c r="R8632" s="2" t="inlineStr"/>
    </row>
    <row r="8633" ht="15" customHeight="1">
      <c r="A8633" t="inlineStr">
        <is>
          <t>A 60166-2022</t>
        </is>
      </c>
      <c r="B8633" s="1" t="n">
        <v>44909</v>
      </c>
      <c r="C8633" s="1" t="n">
        <v>46093</v>
      </c>
      <c r="D8633" t="inlineStr">
        <is>
          <t>VÄSTERNORRLANDS LÄN</t>
        </is>
      </c>
      <c r="E8633" t="inlineStr">
        <is>
          <t>TIMRÅ</t>
        </is>
      </c>
      <c r="G8633" t="n">
        <v>1.8</v>
      </c>
      <c r="H8633" t="n">
        <v>0</v>
      </c>
      <c r="I8633" t="n">
        <v>0</v>
      </c>
      <c r="J8633" t="n">
        <v>0</v>
      </c>
      <c r="K8633" t="n">
        <v>0</v>
      </c>
      <c r="L8633" t="n">
        <v>0</v>
      </c>
      <c r="M8633" t="n">
        <v>0</v>
      </c>
      <c r="N8633" t="n">
        <v>0</v>
      </c>
      <c r="O8633" t="n">
        <v>0</v>
      </c>
      <c r="P8633" t="n">
        <v>0</v>
      </c>
      <c r="Q8633" t="n">
        <v>0</v>
      </c>
      <c r="R8633" s="2" t="inlineStr"/>
    </row>
    <row r="8634" ht="15" customHeight="1">
      <c r="A8634" t="inlineStr">
        <is>
          <t>A 58999-2025</t>
        </is>
      </c>
      <c r="B8634" s="1" t="n">
        <v>45987</v>
      </c>
      <c r="C8634" s="1" t="n">
        <v>46093</v>
      </c>
      <c r="D8634" t="inlineStr">
        <is>
          <t>VÄSTERNORRLANDS LÄN</t>
        </is>
      </c>
      <c r="E8634" t="inlineStr">
        <is>
          <t>SOLLEFTEÅ</t>
        </is>
      </c>
      <c r="F8634" t="inlineStr">
        <is>
          <t>SCA</t>
        </is>
      </c>
      <c r="G8634" t="n">
        <v>0.9</v>
      </c>
      <c r="H8634" t="n">
        <v>0</v>
      </c>
      <c r="I8634" t="n">
        <v>0</v>
      </c>
      <c r="J8634" t="n">
        <v>0</v>
      </c>
      <c r="K8634" t="n">
        <v>0</v>
      </c>
      <c r="L8634" t="n">
        <v>0</v>
      </c>
      <c r="M8634" t="n">
        <v>0</v>
      </c>
      <c r="N8634" t="n">
        <v>0</v>
      </c>
      <c r="O8634" t="n">
        <v>0</v>
      </c>
      <c r="P8634" t="n">
        <v>0</v>
      </c>
      <c r="Q8634" t="n">
        <v>0</v>
      </c>
      <c r="R8634" s="2" t="inlineStr"/>
    </row>
    <row r="8635" ht="15" customHeight="1">
      <c r="A8635" t="inlineStr">
        <is>
          <t>A 59260-2025</t>
        </is>
      </c>
      <c r="B8635" s="1" t="n">
        <v>45988.65762731482</v>
      </c>
      <c r="C8635" s="1" t="n">
        <v>46093</v>
      </c>
      <c r="D8635" t="inlineStr">
        <is>
          <t>VÄSTERNORRLANDS LÄN</t>
        </is>
      </c>
      <c r="E8635" t="inlineStr">
        <is>
          <t>SOLLEFTEÅ</t>
        </is>
      </c>
      <c r="F8635" t="inlineStr">
        <is>
          <t>SCA</t>
        </is>
      </c>
      <c r="G8635" t="n">
        <v>2.6</v>
      </c>
      <c r="H8635" t="n">
        <v>0</v>
      </c>
      <c r="I8635" t="n">
        <v>0</v>
      </c>
      <c r="J8635" t="n">
        <v>0</v>
      </c>
      <c r="K8635" t="n">
        <v>0</v>
      </c>
      <c r="L8635" t="n">
        <v>0</v>
      </c>
      <c r="M8635" t="n">
        <v>0</v>
      </c>
      <c r="N8635" t="n">
        <v>0</v>
      </c>
      <c r="O8635" t="n">
        <v>0</v>
      </c>
      <c r="P8635" t="n">
        <v>0</v>
      </c>
      <c r="Q8635" t="n">
        <v>0</v>
      </c>
      <c r="R8635" s="2" t="inlineStr"/>
    </row>
    <row r="8636" ht="15" customHeight="1">
      <c r="A8636" t="inlineStr">
        <is>
          <t>A 37354-2024</t>
        </is>
      </c>
      <c r="B8636" s="1" t="n">
        <v>45540.54201388889</v>
      </c>
      <c r="C8636" s="1" t="n">
        <v>46093</v>
      </c>
      <c r="D8636" t="inlineStr">
        <is>
          <t>VÄSTERNORRLANDS LÄN</t>
        </is>
      </c>
      <c r="E8636" t="inlineStr">
        <is>
          <t>SOLLEFTEÅ</t>
        </is>
      </c>
      <c r="F8636" t="inlineStr">
        <is>
          <t>Holmen skog AB</t>
        </is>
      </c>
      <c r="G8636" t="n">
        <v>2.3</v>
      </c>
      <c r="H8636" t="n">
        <v>0</v>
      </c>
      <c r="I8636" t="n">
        <v>0</v>
      </c>
      <c r="J8636" t="n">
        <v>0</v>
      </c>
      <c r="K8636" t="n">
        <v>0</v>
      </c>
      <c r="L8636" t="n">
        <v>0</v>
      </c>
      <c r="M8636" t="n">
        <v>0</v>
      </c>
      <c r="N8636" t="n">
        <v>0</v>
      </c>
      <c r="O8636" t="n">
        <v>0</v>
      </c>
      <c r="P8636" t="n">
        <v>0</v>
      </c>
      <c r="Q8636" t="n">
        <v>0</v>
      </c>
      <c r="R8636" s="2" t="inlineStr"/>
    </row>
    <row r="8637" ht="15" customHeight="1">
      <c r="A8637" t="inlineStr">
        <is>
          <t>A 37384-2024</t>
        </is>
      </c>
      <c r="B8637" s="1" t="n">
        <v>45540</v>
      </c>
      <c r="C8637" s="1" t="n">
        <v>46093</v>
      </c>
      <c r="D8637" t="inlineStr">
        <is>
          <t>VÄSTERNORRLANDS LÄN</t>
        </is>
      </c>
      <c r="E8637" t="inlineStr">
        <is>
          <t>ÖRNSKÖLDSVIK</t>
        </is>
      </c>
      <c r="F8637" t="inlineStr">
        <is>
          <t>Holmen skog AB</t>
        </is>
      </c>
      <c r="G8637" t="n">
        <v>0.5</v>
      </c>
      <c r="H8637" t="n">
        <v>0</v>
      </c>
      <c r="I8637" t="n">
        <v>0</v>
      </c>
      <c r="J8637" t="n">
        <v>0</v>
      </c>
      <c r="K8637" t="n">
        <v>0</v>
      </c>
      <c r="L8637" t="n">
        <v>0</v>
      </c>
      <c r="M8637" t="n">
        <v>0</v>
      </c>
      <c r="N8637" t="n">
        <v>0</v>
      </c>
      <c r="O8637" t="n">
        <v>0</v>
      </c>
      <c r="P8637" t="n">
        <v>0</v>
      </c>
      <c r="Q8637" t="n">
        <v>0</v>
      </c>
      <c r="R8637" s="2" t="inlineStr"/>
    </row>
    <row r="8638" ht="15" customHeight="1">
      <c r="A8638" t="inlineStr">
        <is>
          <t>A 24293-2023</t>
        </is>
      </c>
      <c r="B8638" s="1" t="n">
        <v>45079.92756944444</v>
      </c>
      <c r="C8638" s="1" t="n">
        <v>46093</v>
      </c>
      <c r="D8638" t="inlineStr">
        <is>
          <t>VÄSTERNORRLANDS LÄN</t>
        </is>
      </c>
      <c r="E8638" t="inlineStr">
        <is>
          <t>ÅNGE</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38665-2022</t>
        </is>
      </c>
      <c r="B8639" s="1" t="n">
        <v>44813</v>
      </c>
      <c r="C8639" s="1" t="n">
        <v>46093</v>
      </c>
      <c r="D8639" t="inlineStr">
        <is>
          <t>VÄSTERNORRLANDS LÄN</t>
        </is>
      </c>
      <c r="E8639" t="inlineStr">
        <is>
          <t>SUNDSVALL</t>
        </is>
      </c>
      <c r="F8639" t="inlineStr">
        <is>
          <t>SCA</t>
        </is>
      </c>
      <c r="G8639" t="n">
        <v>3.5</v>
      </c>
      <c r="H8639" t="n">
        <v>0</v>
      </c>
      <c r="I8639" t="n">
        <v>0</v>
      </c>
      <c r="J8639" t="n">
        <v>0</v>
      </c>
      <c r="K8639" t="n">
        <v>0</v>
      </c>
      <c r="L8639" t="n">
        <v>0</v>
      </c>
      <c r="M8639" t="n">
        <v>0</v>
      </c>
      <c r="N8639" t="n">
        <v>0</v>
      </c>
      <c r="O8639" t="n">
        <v>0</v>
      </c>
      <c r="P8639" t="n">
        <v>0</v>
      </c>
      <c r="Q8639" t="n">
        <v>0</v>
      </c>
      <c r="R8639" s="2" t="inlineStr"/>
    </row>
    <row r="8640" ht="15" customHeight="1">
      <c r="A8640" t="inlineStr">
        <is>
          <t>A 13570-2025</t>
        </is>
      </c>
      <c r="B8640" s="1" t="n">
        <v>45736.57355324074</v>
      </c>
      <c r="C8640" s="1" t="n">
        <v>46093</v>
      </c>
      <c r="D8640" t="inlineStr">
        <is>
          <t>VÄSTERNORRLANDS LÄN</t>
        </is>
      </c>
      <c r="E8640" t="inlineStr">
        <is>
          <t>SUNDSVALL</t>
        </is>
      </c>
      <c r="F8640" t="inlineStr">
        <is>
          <t>SCA</t>
        </is>
      </c>
      <c r="G8640" t="n">
        <v>3.1</v>
      </c>
      <c r="H8640" t="n">
        <v>0</v>
      </c>
      <c r="I8640" t="n">
        <v>0</v>
      </c>
      <c r="J8640" t="n">
        <v>0</v>
      </c>
      <c r="K8640" t="n">
        <v>0</v>
      </c>
      <c r="L8640" t="n">
        <v>0</v>
      </c>
      <c r="M8640" t="n">
        <v>0</v>
      </c>
      <c r="N8640" t="n">
        <v>0</v>
      </c>
      <c r="O8640" t="n">
        <v>0</v>
      </c>
      <c r="P8640" t="n">
        <v>0</v>
      </c>
      <c r="Q8640" t="n">
        <v>0</v>
      </c>
      <c r="R8640" s="2" t="inlineStr"/>
    </row>
    <row r="8641" ht="15" customHeight="1">
      <c r="A8641" t="inlineStr">
        <is>
          <t>A 712-2023</t>
        </is>
      </c>
      <c r="B8641" s="1" t="n">
        <v>44930.92733796296</v>
      </c>
      <c r="C8641" s="1" t="n">
        <v>46093</v>
      </c>
      <c r="D8641" t="inlineStr">
        <is>
          <t>VÄSTERNORRLANDS LÄN</t>
        </is>
      </c>
      <c r="E8641" t="inlineStr">
        <is>
          <t>SUNDSVALL</t>
        </is>
      </c>
      <c r="G8641" t="n">
        <v>6.2</v>
      </c>
      <c r="H8641" t="n">
        <v>0</v>
      </c>
      <c r="I8641" t="n">
        <v>0</v>
      </c>
      <c r="J8641" t="n">
        <v>0</v>
      </c>
      <c r="K8641" t="n">
        <v>0</v>
      </c>
      <c r="L8641" t="n">
        <v>0</v>
      </c>
      <c r="M8641" t="n">
        <v>0</v>
      </c>
      <c r="N8641" t="n">
        <v>0</v>
      </c>
      <c r="O8641" t="n">
        <v>0</v>
      </c>
      <c r="P8641" t="n">
        <v>0</v>
      </c>
      <c r="Q8641" t="n">
        <v>0</v>
      </c>
      <c r="R8641" s="2" t="inlineStr"/>
    </row>
    <row r="8642" ht="15" customHeight="1">
      <c r="A8642" t="inlineStr">
        <is>
          <t>A 58825-2025</t>
        </is>
      </c>
      <c r="B8642" s="1" t="n">
        <v>45987.34678240741</v>
      </c>
      <c r="C8642" s="1" t="n">
        <v>46093</v>
      </c>
      <c r="D8642" t="inlineStr">
        <is>
          <t>VÄSTERNORRLANDS LÄN</t>
        </is>
      </c>
      <c r="E8642" t="inlineStr">
        <is>
          <t>SUNDSVALL</t>
        </is>
      </c>
      <c r="G8642" t="n">
        <v>3.3</v>
      </c>
      <c r="H8642" t="n">
        <v>0</v>
      </c>
      <c r="I8642" t="n">
        <v>0</v>
      </c>
      <c r="J8642" t="n">
        <v>0</v>
      </c>
      <c r="K8642" t="n">
        <v>0</v>
      </c>
      <c r="L8642" t="n">
        <v>0</v>
      </c>
      <c r="M8642" t="n">
        <v>0</v>
      </c>
      <c r="N8642" t="n">
        <v>0</v>
      </c>
      <c r="O8642" t="n">
        <v>0</v>
      </c>
      <c r="P8642" t="n">
        <v>0</v>
      </c>
      <c r="Q8642" t="n">
        <v>0</v>
      </c>
      <c r="R8642" s="2" t="inlineStr"/>
    </row>
    <row r="8643" ht="15" customHeight="1">
      <c r="A8643" t="inlineStr">
        <is>
          <t>A 58830-2025</t>
        </is>
      </c>
      <c r="B8643" s="1" t="n">
        <v>45987.35271990741</v>
      </c>
      <c r="C8643" s="1" t="n">
        <v>46093</v>
      </c>
      <c r="D8643" t="inlineStr">
        <is>
          <t>VÄSTERNORRLANDS LÄN</t>
        </is>
      </c>
      <c r="E8643" t="inlineStr">
        <is>
          <t>ÖRNSKÖLDSVIK</t>
        </is>
      </c>
      <c r="G8643" t="n">
        <v>3.9</v>
      </c>
      <c r="H8643" t="n">
        <v>0</v>
      </c>
      <c r="I8643" t="n">
        <v>0</v>
      </c>
      <c r="J8643" t="n">
        <v>0</v>
      </c>
      <c r="K8643" t="n">
        <v>0</v>
      </c>
      <c r="L8643" t="n">
        <v>0</v>
      </c>
      <c r="M8643" t="n">
        <v>0</v>
      </c>
      <c r="N8643" t="n">
        <v>0</v>
      </c>
      <c r="O8643" t="n">
        <v>0</v>
      </c>
      <c r="P8643" t="n">
        <v>0</v>
      </c>
      <c r="Q8643" t="n">
        <v>0</v>
      </c>
      <c r="R8643" s="2" t="inlineStr"/>
    </row>
    <row r="8644" ht="15" customHeight="1">
      <c r="A8644" t="inlineStr">
        <is>
          <t>A 512-2023</t>
        </is>
      </c>
      <c r="B8644" s="1" t="n">
        <v>44930</v>
      </c>
      <c r="C8644" s="1" t="n">
        <v>46093</v>
      </c>
      <c r="D8644" t="inlineStr">
        <is>
          <t>VÄSTERNORRLANDS LÄN</t>
        </is>
      </c>
      <c r="E8644" t="inlineStr">
        <is>
          <t>SUNDSVALL</t>
        </is>
      </c>
      <c r="F8644" t="inlineStr">
        <is>
          <t>Holmen skog AB</t>
        </is>
      </c>
      <c r="G8644" t="n">
        <v>2.1</v>
      </c>
      <c r="H8644" t="n">
        <v>0</v>
      </c>
      <c r="I8644" t="n">
        <v>0</v>
      </c>
      <c r="J8644" t="n">
        <v>0</v>
      </c>
      <c r="K8644" t="n">
        <v>0</v>
      </c>
      <c r="L8644" t="n">
        <v>0</v>
      </c>
      <c r="M8644" t="n">
        <v>0</v>
      </c>
      <c r="N8644" t="n">
        <v>0</v>
      </c>
      <c r="O8644" t="n">
        <v>0</v>
      </c>
      <c r="P8644" t="n">
        <v>0</v>
      </c>
      <c r="Q8644" t="n">
        <v>0</v>
      </c>
      <c r="R8644" s="2" t="inlineStr"/>
    </row>
    <row r="8645" ht="15" customHeight="1">
      <c r="A8645" t="inlineStr">
        <is>
          <t>A 59038-2025</t>
        </is>
      </c>
      <c r="B8645" s="1" t="n">
        <v>45988.36515046296</v>
      </c>
      <c r="C8645" s="1" t="n">
        <v>46093</v>
      </c>
      <c r="D8645" t="inlineStr">
        <is>
          <t>VÄSTERNORRLANDS LÄN</t>
        </is>
      </c>
      <c r="E8645" t="inlineStr">
        <is>
          <t>SOLLEFTEÅ</t>
        </is>
      </c>
      <c r="F8645" t="inlineStr">
        <is>
          <t>SCA</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59181-2025</t>
        </is>
      </c>
      <c r="B8646" s="1" t="n">
        <v>45988.57390046296</v>
      </c>
      <c r="C8646" s="1" t="n">
        <v>46093</v>
      </c>
      <c r="D8646" t="inlineStr">
        <is>
          <t>VÄSTERNORRLANDS LÄN</t>
        </is>
      </c>
      <c r="E8646" t="inlineStr">
        <is>
          <t>SOLLEFTEÅ</t>
        </is>
      </c>
      <c r="F8646" t="inlineStr">
        <is>
          <t>SCA</t>
        </is>
      </c>
      <c r="G8646" t="n">
        <v>28.3</v>
      </c>
      <c r="H8646" t="n">
        <v>0</v>
      </c>
      <c r="I8646" t="n">
        <v>0</v>
      </c>
      <c r="J8646" t="n">
        <v>0</v>
      </c>
      <c r="K8646" t="n">
        <v>0</v>
      </c>
      <c r="L8646" t="n">
        <v>0</v>
      </c>
      <c r="M8646" t="n">
        <v>0</v>
      </c>
      <c r="N8646" t="n">
        <v>0</v>
      </c>
      <c r="O8646" t="n">
        <v>0</v>
      </c>
      <c r="P8646" t="n">
        <v>0</v>
      </c>
      <c r="Q8646" t="n">
        <v>0</v>
      </c>
      <c r="R8646" s="2" t="inlineStr"/>
    </row>
    <row r="8647" ht="15" customHeight="1">
      <c r="A8647" t="inlineStr">
        <is>
          <t>A 3144-2025</t>
        </is>
      </c>
      <c r="B8647" s="1" t="n">
        <v>45678.76961805556</v>
      </c>
      <c r="C8647" s="1" t="n">
        <v>46093</v>
      </c>
      <c r="D8647" t="inlineStr">
        <is>
          <t>VÄSTERNORRLANDS LÄN</t>
        </is>
      </c>
      <c r="E8647" t="inlineStr">
        <is>
          <t>KRAMFORS</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5193-2025</t>
        </is>
      </c>
      <c r="B8648" s="1" t="n">
        <v>45691</v>
      </c>
      <c r="C8648" s="1" t="n">
        <v>46093</v>
      </c>
      <c r="D8648" t="inlineStr">
        <is>
          <t>VÄSTERNORRLANDS LÄN</t>
        </is>
      </c>
      <c r="E8648" t="inlineStr">
        <is>
          <t>ÖRNSKÖLDSVIK</t>
        </is>
      </c>
      <c r="G8648" t="n">
        <v>1.6</v>
      </c>
      <c r="H8648" t="n">
        <v>0</v>
      </c>
      <c r="I8648" t="n">
        <v>0</v>
      </c>
      <c r="J8648" t="n">
        <v>0</v>
      </c>
      <c r="K8648" t="n">
        <v>0</v>
      </c>
      <c r="L8648" t="n">
        <v>0</v>
      </c>
      <c r="M8648" t="n">
        <v>0</v>
      </c>
      <c r="N8648" t="n">
        <v>0</v>
      </c>
      <c r="O8648" t="n">
        <v>0</v>
      </c>
      <c r="P8648" t="n">
        <v>0</v>
      </c>
      <c r="Q8648" t="n">
        <v>0</v>
      </c>
      <c r="R8648" s="2" t="inlineStr"/>
    </row>
    <row r="8649" ht="15" customHeight="1">
      <c r="A8649" t="inlineStr">
        <is>
          <t>A 59228-2025</t>
        </is>
      </c>
      <c r="B8649" s="1" t="n">
        <v>45988.62262731481</v>
      </c>
      <c r="C8649" s="1" t="n">
        <v>46093</v>
      </c>
      <c r="D8649" t="inlineStr">
        <is>
          <t>VÄSTERNORRLANDS LÄN</t>
        </is>
      </c>
      <c r="E8649" t="inlineStr">
        <is>
          <t>SUNDSVALL</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25779-2023</t>
        </is>
      </c>
      <c r="B8650" s="1" t="n">
        <v>45090.47439814815</v>
      </c>
      <c r="C8650" s="1" t="n">
        <v>46093</v>
      </c>
      <c r="D8650" t="inlineStr">
        <is>
          <t>VÄSTERNORRLANDS LÄN</t>
        </is>
      </c>
      <c r="E8650" t="inlineStr">
        <is>
          <t>ÅNGE</t>
        </is>
      </c>
      <c r="G8650" t="n">
        <v>2.4</v>
      </c>
      <c r="H8650" t="n">
        <v>0</v>
      </c>
      <c r="I8650" t="n">
        <v>0</v>
      </c>
      <c r="J8650" t="n">
        <v>0</v>
      </c>
      <c r="K8650" t="n">
        <v>0</v>
      </c>
      <c r="L8650" t="n">
        <v>0</v>
      </c>
      <c r="M8650" t="n">
        <v>0</v>
      </c>
      <c r="N8650" t="n">
        <v>0</v>
      </c>
      <c r="O8650" t="n">
        <v>0</v>
      </c>
      <c r="P8650" t="n">
        <v>0</v>
      </c>
      <c r="Q8650" t="n">
        <v>0</v>
      </c>
      <c r="R8650" s="2" t="inlineStr"/>
    </row>
    <row r="8651" ht="15" customHeight="1">
      <c r="A8651" t="inlineStr">
        <is>
          <t>A 31317-2024</t>
        </is>
      </c>
      <c r="B8651" s="1" t="n">
        <v>45504</v>
      </c>
      <c r="C8651" s="1" t="n">
        <v>46093</v>
      </c>
      <c r="D8651" t="inlineStr">
        <is>
          <t>VÄSTERNORRLANDS LÄN</t>
        </is>
      </c>
      <c r="E8651" t="inlineStr">
        <is>
          <t>SUNDSVALL</t>
        </is>
      </c>
      <c r="G8651" t="n">
        <v>0.9</v>
      </c>
      <c r="H8651" t="n">
        <v>0</v>
      </c>
      <c r="I8651" t="n">
        <v>0</v>
      </c>
      <c r="J8651" t="n">
        <v>0</v>
      </c>
      <c r="K8651" t="n">
        <v>0</v>
      </c>
      <c r="L8651" t="n">
        <v>0</v>
      </c>
      <c r="M8651" t="n">
        <v>0</v>
      </c>
      <c r="N8651" t="n">
        <v>0</v>
      </c>
      <c r="O8651" t="n">
        <v>0</v>
      </c>
      <c r="P8651" t="n">
        <v>0</v>
      </c>
      <c r="Q8651" t="n">
        <v>0</v>
      </c>
      <c r="R8651" s="2" t="inlineStr"/>
    </row>
    <row r="8652" ht="15" customHeight="1">
      <c r="A8652" t="inlineStr">
        <is>
          <t>A 62472-2021</t>
        </is>
      </c>
      <c r="B8652" s="1" t="n">
        <v>44503.5502662037</v>
      </c>
      <c r="C8652" s="1" t="n">
        <v>46093</v>
      </c>
      <c r="D8652" t="inlineStr">
        <is>
          <t>VÄSTERNORRLANDS LÄN</t>
        </is>
      </c>
      <c r="E8652" t="inlineStr">
        <is>
          <t>ÖRNSKÖLDSVIK</t>
        </is>
      </c>
      <c r="G8652" t="n">
        <v>13.6</v>
      </c>
      <c r="H8652" t="n">
        <v>0</v>
      </c>
      <c r="I8652" t="n">
        <v>0</v>
      </c>
      <c r="J8652" t="n">
        <v>0</v>
      </c>
      <c r="K8652" t="n">
        <v>0</v>
      </c>
      <c r="L8652" t="n">
        <v>0</v>
      </c>
      <c r="M8652" t="n">
        <v>0</v>
      </c>
      <c r="N8652" t="n">
        <v>0</v>
      </c>
      <c r="O8652" t="n">
        <v>0</v>
      </c>
      <c r="P8652" t="n">
        <v>0</v>
      </c>
      <c r="Q8652" t="n">
        <v>0</v>
      </c>
      <c r="R8652" s="2" t="inlineStr"/>
    </row>
    <row r="8653" ht="15" customHeight="1">
      <c r="A8653" t="inlineStr">
        <is>
          <t>A 9211-2023</t>
        </is>
      </c>
      <c r="B8653" s="1" t="n">
        <v>44980</v>
      </c>
      <c r="C8653" s="1" t="n">
        <v>46093</v>
      </c>
      <c r="D8653" t="inlineStr">
        <is>
          <t>VÄSTERNORRLANDS LÄN</t>
        </is>
      </c>
      <c r="E8653" t="inlineStr">
        <is>
          <t>ÅNGE</t>
        </is>
      </c>
      <c r="G8653" t="n">
        <v>2.3</v>
      </c>
      <c r="H8653" t="n">
        <v>0</v>
      </c>
      <c r="I8653" t="n">
        <v>0</v>
      </c>
      <c r="J8653" t="n">
        <v>0</v>
      </c>
      <c r="K8653" t="n">
        <v>0</v>
      </c>
      <c r="L8653" t="n">
        <v>0</v>
      </c>
      <c r="M8653" t="n">
        <v>0</v>
      </c>
      <c r="N8653" t="n">
        <v>0</v>
      </c>
      <c r="O8653" t="n">
        <v>0</v>
      </c>
      <c r="P8653" t="n">
        <v>0</v>
      </c>
      <c r="Q8653" t="n">
        <v>0</v>
      </c>
      <c r="R8653" s="2" t="inlineStr"/>
    </row>
    <row r="8654" ht="15" customHeight="1">
      <c r="A8654" t="inlineStr">
        <is>
          <t>A 31345-2024</t>
        </is>
      </c>
      <c r="B8654" s="1" t="n">
        <v>45504.92040509259</v>
      </c>
      <c r="C8654" s="1" t="n">
        <v>46093</v>
      </c>
      <c r="D8654" t="inlineStr">
        <is>
          <t>VÄSTERNORRLANDS LÄN</t>
        </is>
      </c>
      <c r="E8654" t="inlineStr">
        <is>
          <t>ÖRNSKÖLDSVIK</t>
        </is>
      </c>
      <c r="F8654" t="inlineStr">
        <is>
          <t>Holmen skog AB</t>
        </is>
      </c>
      <c r="G8654" t="n">
        <v>1.5</v>
      </c>
      <c r="H8654" t="n">
        <v>0</v>
      </c>
      <c r="I8654" t="n">
        <v>0</v>
      </c>
      <c r="J8654" t="n">
        <v>0</v>
      </c>
      <c r="K8654" t="n">
        <v>0</v>
      </c>
      <c r="L8654" t="n">
        <v>0</v>
      </c>
      <c r="M8654" t="n">
        <v>0</v>
      </c>
      <c r="N8654" t="n">
        <v>0</v>
      </c>
      <c r="O8654" t="n">
        <v>0</v>
      </c>
      <c r="P8654" t="n">
        <v>0</v>
      </c>
      <c r="Q8654" t="n">
        <v>0</v>
      </c>
      <c r="R8654" s="2" t="inlineStr"/>
    </row>
    <row r="8655" ht="15" customHeight="1">
      <c r="A8655" t="inlineStr">
        <is>
          <t>A 22628-2024</t>
        </is>
      </c>
      <c r="B8655" s="1" t="n">
        <v>45447.66850694444</v>
      </c>
      <c r="C8655" s="1" t="n">
        <v>46093</v>
      </c>
      <c r="D8655" t="inlineStr">
        <is>
          <t>VÄSTERNORRLANDS LÄN</t>
        </is>
      </c>
      <c r="E8655" t="inlineStr">
        <is>
          <t>SUNDSVALL</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22672-2024</t>
        </is>
      </c>
      <c r="B8656" s="1" t="n">
        <v>45447.94486111111</v>
      </c>
      <c r="C8656" s="1" t="n">
        <v>46093</v>
      </c>
      <c r="D8656" t="inlineStr">
        <is>
          <t>VÄSTERNORRLANDS LÄN</t>
        </is>
      </c>
      <c r="E8656" t="inlineStr">
        <is>
          <t>SOLLEFTEÅ</t>
        </is>
      </c>
      <c r="F8656" t="inlineStr">
        <is>
          <t>SCA</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22678-2024</t>
        </is>
      </c>
      <c r="B8657" s="1" t="n">
        <v>45447.94533564815</v>
      </c>
      <c r="C8657" s="1" t="n">
        <v>46093</v>
      </c>
      <c r="D8657" t="inlineStr">
        <is>
          <t>VÄSTERNORRLANDS LÄN</t>
        </is>
      </c>
      <c r="E8657" t="inlineStr">
        <is>
          <t>ÅNGE</t>
        </is>
      </c>
      <c r="F8657" t="inlineStr">
        <is>
          <t>SCA</t>
        </is>
      </c>
      <c r="G8657" t="n">
        <v>2.1</v>
      </c>
      <c r="H8657" t="n">
        <v>0</v>
      </c>
      <c r="I8657" t="n">
        <v>0</v>
      </c>
      <c r="J8657" t="n">
        <v>0</v>
      </c>
      <c r="K8657" t="n">
        <v>0</v>
      </c>
      <c r="L8657" t="n">
        <v>0</v>
      </c>
      <c r="M8657" t="n">
        <v>0</v>
      </c>
      <c r="N8657" t="n">
        <v>0</v>
      </c>
      <c r="O8657" t="n">
        <v>0</v>
      </c>
      <c r="P8657" t="n">
        <v>0</v>
      </c>
      <c r="Q8657" t="n">
        <v>0</v>
      </c>
      <c r="R8657" s="2" t="inlineStr"/>
    </row>
    <row r="8658" ht="15" customHeight="1">
      <c r="A8658" t="inlineStr">
        <is>
          <t>A 4802-2025</t>
        </is>
      </c>
      <c r="B8658" s="1" t="n">
        <v>45688.59328703704</v>
      </c>
      <c r="C8658" s="1" t="n">
        <v>46093</v>
      </c>
      <c r="D8658" t="inlineStr">
        <is>
          <t>VÄSTERNORRLANDS LÄN</t>
        </is>
      </c>
      <c r="E8658" t="inlineStr">
        <is>
          <t>ÖRNSKÖLDSVIK</t>
        </is>
      </c>
      <c r="G8658" t="n">
        <v>0.5</v>
      </c>
      <c r="H8658" t="n">
        <v>0</v>
      </c>
      <c r="I8658" t="n">
        <v>0</v>
      </c>
      <c r="J8658" t="n">
        <v>0</v>
      </c>
      <c r="K8658" t="n">
        <v>0</v>
      </c>
      <c r="L8658" t="n">
        <v>0</v>
      </c>
      <c r="M8658" t="n">
        <v>0</v>
      </c>
      <c r="N8658" t="n">
        <v>0</v>
      </c>
      <c r="O8658" t="n">
        <v>0</v>
      </c>
      <c r="P8658" t="n">
        <v>0</v>
      </c>
      <c r="Q8658" t="n">
        <v>0</v>
      </c>
      <c r="R8658" s="2" t="inlineStr"/>
    </row>
    <row r="8659" ht="15" customHeight="1">
      <c r="A8659" t="inlineStr">
        <is>
          <t>A 18582-2024</t>
        </is>
      </c>
      <c r="B8659" s="1" t="n">
        <v>45425</v>
      </c>
      <c r="C8659" s="1" t="n">
        <v>46093</v>
      </c>
      <c r="D8659" t="inlineStr">
        <is>
          <t>VÄSTERNORRLANDS LÄN</t>
        </is>
      </c>
      <c r="E8659" t="inlineStr">
        <is>
          <t>SUNDSVALL</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8627-2023</t>
        </is>
      </c>
      <c r="B8660" s="1" t="n">
        <v>44977</v>
      </c>
      <c r="C8660" s="1" t="n">
        <v>46093</v>
      </c>
      <c r="D8660" t="inlineStr">
        <is>
          <t>VÄSTERNORRLANDS LÄN</t>
        </is>
      </c>
      <c r="E8660" t="inlineStr">
        <is>
          <t>ÅNGE</t>
        </is>
      </c>
      <c r="G8660" t="n">
        <v>3</v>
      </c>
      <c r="H8660" t="n">
        <v>0</v>
      </c>
      <c r="I8660" t="n">
        <v>0</v>
      </c>
      <c r="J8660" t="n">
        <v>0</v>
      </c>
      <c r="K8660" t="n">
        <v>0</v>
      </c>
      <c r="L8660" t="n">
        <v>0</v>
      </c>
      <c r="M8660" t="n">
        <v>0</v>
      </c>
      <c r="N8660" t="n">
        <v>0</v>
      </c>
      <c r="O8660" t="n">
        <v>0</v>
      </c>
      <c r="P8660" t="n">
        <v>0</v>
      </c>
      <c r="Q8660" t="n">
        <v>0</v>
      </c>
      <c r="R8660" s="2" t="inlineStr"/>
    </row>
    <row r="8661" ht="15" customHeight="1">
      <c r="A8661" t="inlineStr">
        <is>
          <t>A 13353-2024</t>
        </is>
      </c>
      <c r="B8661" s="1" t="n">
        <v>45387.33446759259</v>
      </c>
      <c r="C8661" s="1" t="n">
        <v>46093</v>
      </c>
      <c r="D8661" t="inlineStr">
        <is>
          <t>VÄSTERNORRLANDS LÄN</t>
        </is>
      </c>
      <c r="E8661" t="inlineStr">
        <is>
          <t>SUNDSVALL</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13242-2025</t>
        </is>
      </c>
      <c r="B8662" s="1" t="n">
        <v>45735.47721064815</v>
      </c>
      <c r="C8662" s="1" t="n">
        <v>46093</v>
      </c>
      <c r="D8662" t="inlineStr">
        <is>
          <t>VÄSTERNORRLANDS LÄN</t>
        </is>
      </c>
      <c r="E8662" t="inlineStr">
        <is>
          <t>ÖRNSKÖLDSVIK</t>
        </is>
      </c>
      <c r="G8662" t="n">
        <v>1.9</v>
      </c>
      <c r="H8662" t="n">
        <v>0</v>
      </c>
      <c r="I8662" t="n">
        <v>0</v>
      </c>
      <c r="J8662" t="n">
        <v>0</v>
      </c>
      <c r="K8662" t="n">
        <v>0</v>
      </c>
      <c r="L8662" t="n">
        <v>0</v>
      </c>
      <c r="M8662" t="n">
        <v>0</v>
      </c>
      <c r="N8662" t="n">
        <v>0</v>
      </c>
      <c r="O8662" t="n">
        <v>0</v>
      </c>
      <c r="P8662" t="n">
        <v>0</v>
      </c>
      <c r="Q8662" t="n">
        <v>0</v>
      </c>
      <c r="R8662" s="2" t="inlineStr"/>
    </row>
    <row r="8663" ht="15" customHeight="1">
      <c r="A8663" t="inlineStr">
        <is>
          <t>A 13251-2025</t>
        </is>
      </c>
      <c r="B8663" s="1" t="n">
        <v>45735</v>
      </c>
      <c r="C8663" s="1" t="n">
        <v>46093</v>
      </c>
      <c r="D8663" t="inlineStr">
        <is>
          <t>VÄSTERNORRLANDS LÄN</t>
        </is>
      </c>
      <c r="E8663" t="inlineStr">
        <is>
          <t>TIMRÅ</t>
        </is>
      </c>
      <c r="F8663" t="inlineStr">
        <is>
          <t>SCA</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6673-2025</t>
        </is>
      </c>
      <c r="B8664" s="1" t="n">
        <v>45700.47215277778</v>
      </c>
      <c r="C8664" s="1" t="n">
        <v>46093</v>
      </c>
      <c r="D8664" t="inlineStr">
        <is>
          <t>VÄSTERNORRLANDS LÄN</t>
        </is>
      </c>
      <c r="E8664" t="inlineStr">
        <is>
          <t>SUNDSVALL</t>
        </is>
      </c>
      <c r="G8664" t="n">
        <v>1.2</v>
      </c>
      <c r="H8664" t="n">
        <v>0</v>
      </c>
      <c r="I8664" t="n">
        <v>0</v>
      </c>
      <c r="J8664" t="n">
        <v>0</v>
      </c>
      <c r="K8664" t="n">
        <v>0</v>
      </c>
      <c r="L8664" t="n">
        <v>0</v>
      </c>
      <c r="M8664" t="n">
        <v>0</v>
      </c>
      <c r="N8664" t="n">
        <v>0</v>
      </c>
      <c r="O8664" t="n">
        <v>0</v>
      </c>
      <c r="P8664" t="n">
        <v>0</v>
      </c>
      <c r="Q8664" t="n">
        <v>0</v>
      </c>
      <c r="R8664" s="2" t="inlineStr"/>
    </row>
    <row r="8665" ht="15" customHeight="1">
      <c r="A8665" t="inlineStr">
        <is>
          <t>A 10084-2023</t>
        </is>
      </c>
      <c r="B8665" s="1" t="n">
        <v>44985.94465277778</v>
      </c>
      <c r="C8665" s="1" t="n">
        <v>46093</v>
      </c>
      <c r="D8665" t="inlineStr">
        <is>
          <t>VÄSTERNORRLANDS LÄN</t>
        </is>
      </c>
      <c r="E8665" t="inlineStr">
        <is>
          <t>ÅNGE</t>
        </is>
      </c>
      <c r="F8665" t="inlineStr">
        <is>
          <t>SCA</t>
        </is>
      </c>
      <c r="G8665" t="n">
        <v>1.9</v>
      </c>
      <c r="H8665" t="n">
        <v>0</v>
      </c>
      <c r="I8665" t="n">
        <v>0</v>
      </c>
      <c r="J8665" t="n">
        <v>0</v>
      </c>
      <c r="K8665" t="n">
        <v>0</v>
      </c>
      <c r="L8665" t="n">
        <v>0</v>
      </c>
      <c r="M8665" t="n">
        <v>0</v>
      </c>
      <c r="N8665" t="n">
        <v>0</v>
      </c>
      <c r="O8665" t="n">
        <v>0</v>
      </c>
      <c r="P8665" t="n">
        <v>0</v>
      </c>
      <c r="Q8665" t="n">
        <v>0</v>
      </c>
      <c r="R8665" s="2" t="inlineStr"/>
    </row>
    <row r="8666" ht="15" customHeight="1">
      <c r="A8666" t="inlineStr">
        <is>
          <t>A 23471-2023</t>
        </is>
      </c>
      <c r="B8666" s="1" t="n">
        <v>45076</v>
      </c>
      <c r="C8666" s="1" t="n">
        <v>46093</v>
      </c>
      <c r="D8666" t="inlineStr">
        <is>
          <t>VÄSTERNORRLANDS LÄN</t>
        </is>
      </c>
      <c r="E8666" t="inlineStr">
        <is>
          <t>ÖRNSKÖLDSVIK</t>
        </is>
      </c>
      <c r="F8666" t="inlineStr">
        <is>
          <t>Holmen skog AB</t>
        </is>
      </c>
      <c r="G8666" t="n">
        <v>0.9</v>
      </c>
      <c r="H8666" t="n">
        <v>0</v>
      </c>
      <c r="I8666" t="n">
        <v>0</v>
      </c>
      <c r="J8666" t="n">
        <v>0</v>
      </c>
      <c r="K8666" t="n">
        <v>0</v>
      </c>
      <c r="L8666" t="n">
        <v>0</v>
      </c>
      <c r="M8666" t="n">
        <v>0</v>
      </c>
      <c r="N8666" t="n">
        <v>0</v>
      </c>
      <c r="O8666" t="n">
        <v>0</v>
      </c>
      <c r="P8666" t="n">
        <v>0</v>
      </c>
      <c r="Q8666" t="n">
        <v>0</v>
      </c>
      <c r="R8666" s="2" t="inlineStr"/>
    </row>
    <row r="8667" ht="15" customHeight="1">
      <c r="A8667" t="inlineStr">
        <is>
          <t>A 38283-2021</t>
        </is>
      </c>
      <c r="B8667" s="1" t="n">
        <v>44405</v>
      </c>
      <c r="C8667" s="1" t="n">
        <v>46093</v>
      </c>
      <c r="D8667" t="inlineStr">
        <is>
          <t>VÄSTERNORRLANDS LÄN</t>
        </is>
      </c>
      <c r="E8667" t="inlineStr">
        <is>
          <t>SOLLEFTEÅ</t>
        </is>
      </c>
      <c r="F8667" t="inlineStr">
        <is>
          <t>SCA</t>
        </is>
      </c>
      <c r="G8667" t="n">
        <v>2.7</v>
      </c>
      <c r="H8667" t="n">
        <v>0</v>
      </c>
      <c r="I8667" t="n">
        <v>0</v>
      </c>
      <c r="J8667" t="n">
        <v>0</v>
      </c>
      <c r="K8667" t="n">
        <v>0</v>
      </c>
      <c r="L8667" t="n">
        <v>0</v>
      </c>
      <c r="M8667" t="n">
        <v>0</v>
      </c>
      <c r="N8667" t="n">
        <v>0</v>
      </c>
      <c r="O8667" t="n">
        <v>0</v>
      </c>
      <c r="P8667" t="n">
        <v>0</v>
      </c>
      <c r="Q8667" t="n">
        <v>0</v>
      </c>
      <c r="R8667" s="2" t="inlineStr"/>
    </row>
    <row r="8668" ht="15" customHeight="1">
      <c r="A8668" t="inlineStr">
        <is>
          <t>A 38745-2024</t>
        </is>
      </c>
      <c r="B8668" s="1" t="n">
        <v>45547.42443287037</v>
      </c>
      <c r="C8668" s="1" t="n">
        <v>46093</v>
      </c>
      <c r="D8668" t="inlineStr">
        <is>
          <t>VÄSTERNORRLANDS LÄN</t>
        </is>
      </c>
      <c r="E8668" t="inlineStr">
        <is>
          <t>ÖRNSKÖLDSVIK</t>
        </is>
      </c>
      <c r="G8668" t="n">
        <v>4.8</v>
      </c>
      <c r="H8668" t="n">
        <v>0</v>
      </c>
      <c r="I8668" t="n">
        <v>0</v>
      </c>
      <c r="J8668" t="n">
        <v>0</v>
      </c>
      <c r="K8668" t="n">
        <v>0</v>
      </c>
      <c r="L8668" t="n">
        <v>0</v>
      </c>
      <c r="M8668" t="n">
        <v>0</v>
      </c>
      <c r="N8668" t="n">
        <v>0</v>
      </c>
      <c r="O8668" t="n">
        <v>0</v>
      </c>
      <c r="P8668" t="n">
        <v>0</v>
      </c>
      <c r="Q8668" t="n">
        <v>0</v>
      </c>
      <c r="R8668" s="2" t="inlineStr"/>
    </row>
    <row r="8669" ht="15" customHeight="1">
      <c r="A8669" t="inlineStr">
        <is>
          <t>A 59275-2025</t>
        </is>
      </c>
      <c r="B8669" s="1" t="n">
        <v>45988.69864583333</v>
      </c>
      <c r="C8669" s="1" t="n">
        <v>46093</v>
      </c>
      <c r="D8669" t="inlineStr">
        <is>
          <t>VÄSTERNORRLANDS LÄN</t>
        </is>
      </c>
      <c r="E8669" t="inlineStr">
        <is>
          <t>SUNDSVALL</t>
        </is>
      </c>
      <c r="F8669" t="inlineStr">
        <is>
          <t>SCA</t>
        </is>
      </c>
      <c r="G8669" t="n">
        <v>3.5</v>
      </c>
      <c r="H8669" t="n">
        <v>0</v>
      </c>
      <c r="I8669" t="n">
        <v>0</v>
      </c>
      <c r="J8669" t="n">
        <v>0</v>
      </c>
      <c r="K8669" t="n">
        <v>0</v>
      </c>
      <c r="L8669" t="n">
        <v>0</v>
      </c>
      <c r="M8669" t="n">
        <v>0</v>
      </c>
      <c r="N8669" t="n">
        <v>0</v>
      </c>
      <c r="O8669" t="n">
        <v>0</v>
      </c>
      <c r="P8669" t="n">
        <v>0</v>
      </c>
      <c r="Q8669" t="n">
        <v>0</v>
      </c>
      <c r="R8669" s="2" t="inlineStr"/>
    </row>
    <row r="8670" ht="15" customHeight="1">
      <c r="A8670" t="inlineStr">
        <is>
          <t>A 27260-2023</t>
        </is>
      </c>
      <c r="B8670" s="1" t="n">
        <v>45092</v>
      </c>
      <c r="C8670" s="1" t="n">
        <v>46093</v>
      </c>
      <c r="D8670" t="inlineStr">
        <is>
          <t>VÄSTERNORRLANDS LÄN</t>
        </is>
      </c>
      <c r="E8670" t="inlineStr">
        <is>
          <t>ÅNGE</t>
        </is>
      </c>
      <c r="G8670" t="n">
        <v>2.7</v>
      </c>
      <c r="H8670" t="n">
        <v>0</v>
      </c>
      <c r="I8670" t="n">
        <v>0</v>
      </c>
      <c r="J8670" t="n">
        <v>0</v>
      </c>
      <c r="K8670" t="n">
        <v>0</v>
      </c>
      <c r="L8670" t="n">
        <v>0</v>
      </c>
      <c r="M8670" t="n">
        <v>0</v>
      </c>
      <c r="N8670" t="n">
        <v>0</v>
      </c>
      <c r="O8670" t="n">
        <v>0</v>
      </c>
      <c r="P8670" t="n">
        <v>0</v>
      </c>
      <c r="Q8670" t="n">
        <v>0</v>
      </c>
      <c r="R8670" s="2" t="inlineStr"/>
    </row>
    <row r="8671" ht="15" customHeight="1">
      <c r="A8671" t="inlineStr">
        <is>
          <t>A 16934-2025</t>
        </is>
      </c>
      <c r="B8671" s="1" t="n">
        <v>45755.40671296296</v>
      </c>
      <c r="C8671" s="1" t="n">
        <v>46093</v>
      </c>
      <c r="D8671" t="inlineStr">
        <is>
          <t>VÄSTERNORRLANDS LÄN</t>
        </is>
      </c>
      <c r="E8671" t="inlineStr">
        <is>
          <t>ÅNGE</t>
        </is>
      </c>
      <c r="G8671" t="n">
        <v>3.9</v>
      </c>
      <c r="H8671" t="n">
        <v>0</v>
      </c>
      <c r="I8671" t="n">
        <v>0</v>
      </c>
      <c r="J8671" t="n">
        <v>0</v>
      </c>
      <c r="K8671" t="n">
        <v>0</v>
      </c>
      <c r="L8671" t="n">
        <v>0</v>
      </c>
      <c r="M8671" t="n">
        <v>0</v>
      </c>
      <c r="N8671" t="n">
        <v>0</v>
      </c>
      <c r="O8671" t="n">
        <v>0</v>
      </c>
      <c r="P8671" t="n">
        <v>0</v>
      </c>
      <c r="Q8671" t="n">
        <v>0</v>
      </c>
      <c r="R8671" s="2" t="inlineStr"/>
    </row>
    <row r="8672" ht="15" customHeight="1">
      <c r="A8672" t="inlineStr">
        <is>
          <t>A 47032-2023</t>
        </is>
      </c>
      <c r="B8672" s="1" t="n">
        <v>45196</v>
      </c>
      <c r="C8672" s="1" t="n">
        <v>46093</v>
      </c>
      <c r="D8672" t="inlineStr">
        <is>
          <t>VÄSTERNORRLANDS LÄN</t>
        </is>
      </c>
      <c r="E8672" t="inlineStr">
        <is>
          <t>SUNDSVALL</t>
        </is>
      </c>
      <c r="G8672" t="n">
        <v>1.1</v>
      </c>
      <c r="H8672" t="n">
        <v>0</v>
      </c>
      <c r="I8672" t="n">
        <v>0</v>
      </c>
      <c r="J8672" t="n">
        <v>0</v>
      </c>
      <c r="K8672" t="n">
        <v>0</v>
      </c>
      <c r="L8672" t="n">
        <v>0</v>
      </c>
      <c r="M8672" t="n">
        <v>0</v>
      </c>
      <c r="N8672" t="n">
        <v>0</v>
      </c>
      <c r="O8672" t="n">
        <v>0</v>
      </c>
      <c r="P8672" t="n">
        <v>0</v>
      </c>
      <c r="Q8672" t="n">
        <v>0</v>
      </c>
      <c r="R8672" s="2" t="inlineStr"/>
    </row>
    <row r="8673" ht="15" customHeight="1">
      <c r="A8673" t="inlineStr">
        <is>
          <t>A 14169-2024</t>
        </is>
      </c>
      <c r="B8673" s="1" t="n">
        <v>45392.95831018518</v>
      </c>
      <c r="C8673" s="1" t="n">
        <v>46093</v>
      </c>
      <c r="D8673" t="inlineStr">
        <is>
          <t>VÄSTERNORRLANDS LÄN</t>
        </is>
      </c>
      <c r="E8673" t="inlineStr">
        <is>
          <t>SOLLEFTEÅ</t>
        </is>
      </c>
      <c r="F8673" t="inlineStr">
        <is>
          <t>SCA</t>
        </is>
      </c>
      <c r="G8673" t="n">
        <v>5.2</v>
      </c>
      <c r="H8673" t="n">
        <v>0</v>
      </c>
      <c r="I8673" t="n">
        <v>0</v>
      </c>
      <c r="J8673" t="n">
        <v>0</v>
      </c>
      <c r="K8673" t="n">
        <v>0</v>
      </c>
      <c r="L8673" t="n">
        <v>0</v>
      </c>
      <c r="M8673" t="n">
        <v>0</v>
      </c>
      <c r="N8673" t="n">
        <v>0</v>
      </c>
      <c r="O8673" t="n">
        <v>0</v>
      </c>
      <c r="P8673" t="n">
        <v>0</v>
      </c>
      <c r="Q8673" t="n">
        <v>0</v>
      </c>
      <c r="R8673" s="2" t="inlineStr"/>
    </row>
    <row r="8674" ht="15" customHeight="1">
      <c r="A8674" t="inlineStr">
        <is>
          <t>A 58995-2025</t>
        </is>
      </c>
      <c r="B8674" s="1" t="n">
        <v>45987</v>
      </c>
      <c r="C8674" s="1" t="n">
        <v>46093</v>
      </c>
      <c r="D8674" t="inlineStr">
        <is>
          <t>VÄSTERNORRLANDS LÄN</t>
        </is>
      </c>
      <c r="E8674" t="inlineStr">
        <is>
          <t>HÄRNÖSAND</t>
        </is>
      </c>
      <c r="G8674" t="n">
        <v>8</v>
      </c>
      <c r="H8674" t="n">
        <v>0</v>
      </c>
      <c r="I8674" t="n">
        <v>0</v>
      </c>
      <c r="J8674" t="n">
        <v>0</v>
      </c>
      <c r="K8674" t="n">
        <v>0</v>
      </c>
      <c r="L8674" t="n">
        <v>0</v>
      </c>
      <c r="M8674" t="n">
        <v>0</v>
      </c>
      <c r="N8674" t="n">
        <v>0</v>
      </c>
      <c r="O8674" t="n">
        <v>0</v>
      </c>
      <c r="P8674" t="n">
        <v>0</v>
      </c>
      <c r="Q8674" t="n">
        <v>0</v>
      </c>
      <c r="R8674" s="2" t="inlineStr"/>
    </row>
    <row r="8675" ht="15" customHeight="1">
      <c r="A8675" t="inlineStr">
        <is>
          <t>A 59180-2025</t>
        </is>
      </c>
      <c r="B8675" s="1" t="n">
        <v>45988.57369212963</v>
      </c>
      <c r="C8675" s="1" t="n">
        <v>46093</v>
      </c>
      <c r="D8675" t="inlineStr">
        <is>
          <t>VÄSTERNORRLANDS LÄN</t>
        </is>
      </c>
      <c r="E8675" t="inlineStr">
        <is>
          <t>SUNDSVALL</t>
        </is>
      </c>
      <c r="F8675" t="inlineStr">
        <is>
          <t>SCA</t>
        </is>
      </c>
      <c r="G8675" t="n">
        <v>2.1</v>
      </c>
      <c r="H8675" t="n">
        <v>0</v>
      </c>
      <c r="I8675" t="n">
        <v>0</v>
      </c>
      <c r="J8675" t="n">
        <v>0</v>
      </c>
      <c r="K8675" t="n">
        <v>0</v>
      </c>
      <c r="L8675" t="n">
        <v>0</v>
      </c>
      <c r="M8675" t="n">
        <v>0</v>
      </c>
      <c r="N8675" t="n">
        <v>0</v>
      </c>
      <c r="O8675" t="n">
        <v>0</v>
      </c>
      <c r="P8675" t="n">
        <v>0</v>
      </c>
      <c r="Q8675" t="n">
        <v>0</v>
      </c>
      <c r="R8675" s="2" t="inlineStr"/>
    </row>
    <row r="8676" ht="15" customHeight="1">
      <c r="A8676" t="inlineStr">
        <is>
          <t>A 29151-2023</t>
        </is>
      </c>
      <c r="B8676" s="1" t="n">
        <v>45105</v>
      </c>
      <c r="C8676" s="1" t="n">
        <v>46093</v>
      </c>
      <c r="D8676" t="inlineStr">
        <is>
          <t>VÄSTERNORRLANDS LÄN</t>
        </is>
      </c>
      <c r="E8676" t="inlineStr">
        <is>
          <t>ÖRNSKÖLDSVIK</t>
        </is>
      </c>
      <c r="F8676" t="inlineStr">
        <is>
          <t>Holmen skog AB</t>
        </is>
      </c>
      <c r="G8676" t="n">
        <v>5.3</v>
      </c>
      <c r="H8676" t="n">
        <v>0</v>
      </c>
      <c r="I8676" t="n">
        <v>0</v>
      </c>
      <c r="J8676" t="n">
        <v>0</v>
      </c>
      <c r="K8676" t="n">
        <v>0</v>
      </c>
      <c r="L8676" t="n">
        <v>0</v>
      </c>
      <c r="M8676" t="n">
        <v>0</v>
      </c>
      <c r="N8676" t="n">
        <v>0</v>
      </c>
      <c r="O8676" t="n">
        <v>0</v>
      </c>
      <c r="P8676" t="n">
        <v>0</v>
      </c>
      <c r="Q8676" t="n">
        <v>0</v>
      </c>
      <c r="R8676" s="2" t="inlineStr"/>
    </row>
    <row r="8677" ht="15" customHeight="1">
      <c r="A8677" t="inlineStr">
        <is>
          <t>A 25926-2024</t>
        </is>
      </c>
      <c r="B8677" s="1" t="n">
        <v>45467.6140162037</v>
      </c>
      <c r="C8677" s="1" t="n">
        <v>46093</v>
      </c>
      <c r="D8677" t="inlineStr">
        <is>
          <t>VÄSTERNORRLANDS LÄN</t>
        </is>
      </c>
      <c r="E8677" t="inlineStr">
        <is>
          <t>ÖRNSKÖLDSVIK</t>
        </is>
      </c>
      <c r="G8677" t="n">
        <v>1.1</v>
      </c>
      <c r="H8677" t="n">
        <v>0</v>
      </c>
      <c r="I8677" t="n">
        <v>0</v>
      </c>
      <c r="J8677" t="n">
        <v>0</v>
      </c>
      <c r="K8677" t="n">
        <v>0</v>
      </c>
      <c r="L8677" t="n">
        <v>0</v>
      </c>
      <c r="M8677" t="n">
        <v>0</v>
      </c>
      <c r="N8677" t="n">
        <v>0</v>
      </c>
      <c r="O8677" t="n">
        <v>0</v>
      </c>
      <c r="P8677" t="n">
        <v>0</v>
      </c>
      <c r="Q8677" t="n">
        <v>0</v>
      </c>
      <c r="R8677" s="2" t="inlineStr"/>
    </row>
    <row r="8678" ht="15" customHeight="1">
      <c r="A8678" t="inlineStr">
        <is>
          <t>A 4654-2023</t>
        </is>
      </c>
      <c r="B8678" s="1" t="n">
        <v>44957</v>
      </c>
      <c r="C8678" s="1" t="n">
        <v>46093</v>
      </c>
      <c r="D8678" t="inlineStr">
        <is>
          <t>VÄSTERNORRLANDS LÄN</t>
        </is>
      </c>
      <c r="E8678" t="inlineStr">
        <is>
          <t>ÖRNSKÖLDSVIK</t>
        </is>
      </c>
      <c r="G8678" t="n">
        <v>3</v>
      </c>
      <c r="H8678" t="n">
        <v>0</v>
      </c>
      <c r="I8678" t="n">
        <v>0</v>
      </c>
      <c r="J8678" t="n">
        <v>0</v>
      </c>
      <c r="K8678" t="n">
        <v>0</v>
      </c>
      <c r="L8678" t="n">
        <v>0</v>
      </c>
      <c r="M8678" t="n">
        <v>0</v>
      </c>
      <c r="N8678" t="n">
        <v>0</v>
      </c>
      <c r="O8678" t="n">
        <v>0</v>
      </c>
      <c r="P8678" t="n">
        <v>0</v>
      </c>
      <c r="Q8678" t="n">
        <v>0</v>
      </c>
      <c r="R8678" s="2" t="inlineStr"/>
    </row>
    <row r="8679" ht="15" customHeight="1">
      <c r="A8679" t="inlineStr">
        <is>
          <t>A 16768-2023</t>
        </is>
      </c>
      <c r="B8679" s="1" t="n">
        <v>45030</v>
      </c>
      <c r="C8679" s="1" t="n">
        <v>46093</v>
      </c>
      <c r="D8679" t="inlineStr">
        <is>
          <t>VÄSTERNORRLANDS LÄN</t>
        </is>
      </c>
      <c r="E8679" t="inlineStr">
        <is>
          <t>SUNDSVALL</t>
        </is>
      </c>
      <c r="F8679" t="inlineStr">
        <is>
          <t>SCA</t>
        </is>
      </c>
      <c r="G8679" t="n">
        <v>7.2</v>
      </c>
      <c r="H8679" t="n">
        <v>0</v>
      </c>
      <c r="I8679" t="n">
        <v>0</v>
      </c>
      <c r="J8679" t="n">
        <v>0</v>
      </c>
      <c r="K8679" t="n">
        <v>0</v>
      </c>
      <c r="L8679" t="n">
        <v>0</v>
      </c>
      <c r="M8679" t="n">
        <v>0</v>
      </c>
      <c r="N8679" t="n">
        <v>0</v>
      </c>
      <c r="O8679" t="n">
        <v>0</v>
      </c>
      <c r="P8679" t="n">
        <v>0</v>
      </c>
      <c r="Q8679" t="n">
        <v>0</v>
      </c>
      <c r="R8679" s="2" t="inlineStr"/>
    </row>
    <row r="8680" ht="15" customHeight="1">
      <c r="A8680" t="inlineStr">
        <is>
          <t>A 39991-2023</t>
        </is>
      </c>
      <c r="B8680" s="1" t="n">
        <v>45168.6043287037</v>
      </c>
      <c r="C8680" s="1" t="n">
        <v>46093</v>
      </c>
      <c r="D8680" t="inlineStr">
        <is>
          <t>VÄSTERNORRLANDS LÄN</t>
        </is>
      </c>
      <c r="E8680" t="inlineStr">
        <is>
          <t>ÅNGE</t>
        </is>
      </c>
      <c r="G8680" t="n">
        <v>10.2</v>
      </c>
      <c r="H8680" t="n">
        <v>0</v>
      </c>
      <c r="I8680" t="n">
        <v>0</v>
      </c>
      <c r="J8680" t="n">
        <v>0</v>
      </c>
      <c r="K8680" t="n">
        <v>0</v>
      </c>
      <c r="L8680" t="n">
        <v>0</v>
      </c>
      <c r="M8680" t="n">
        <v>0</v>
      </c>
      <c r="N8680" t="n">
        <v>0</v>
      </c>
      <c r="O8680" t="n">
        <v>0</v>
      </c>
      <c r="P8680" t="n">
        <v>0</v>
      </c>
      <c r="Q8680" t="n">
        <v>0</v>
      </c>
      <c r="R8680" s="2" t="inlineStr"/>
    </row>
    <row r="8681" ht="15" customHeight="1">
      <c r="A8681" t="inlineStr">
        <is>
          <t>A 59162-2025</t>
        </is>
      </c>
      <c r="B8681" s="1" t="n">
        <v>45988.55383101852</v>
      </c>
      <c r="C8681" s="1" t="n">
        <v>46093</v>
      </c>
      <c r="D8681" t="inlineStr">
        <is>
          <t>VÄSTERNORRLANDS LÄN</t>
        </is>
      </c>
      <c r="E8681" t="inlineStr">
        <is>
          <t>ÖRNSKÖLDSVIK</t>
        </is>
      </c>
      <c r="F8681" t="inlineStr">
        <is>
          <t>Holmen skog AB</t>
        </is>
      </c>
      <c r="G8681" t="n">
        <v>4.3</v>
      </c>
      <c r="H8681" t="n">
        <v>0</v>
      </c>
      <c r="I8681" t="n">
        <v>0</v>
      </c>
      <c r="J8681" t="n">
        <v>0</v>
      </c>
      <c r="K8681" t="n">
        <v>0</v>
      </c>
      <c r="L8681" t="n">
        <v>0</v>
      </c>
      <c r="M8681" t="n">
        <v>0</v>
      </c>
      <c r="N8681" t="n">
        <v>0</v>
      </c>
      <c r="O8681" t="n">
        <v>0</v>
      </c>
      <c r="P8681" t="n">
        <v>0</v>
      </c>
      <c r="Q8681" t="n">
        <v>0</v>
      </c>
      <c r="R8681" s="2" t="inlineStr"/>
    </row>
    <row r="8682" ht="15" customHeight="1">
      <c r="A8682" t="inlineStr">
        <is>
          <t>A 58908-2025</t>
        </is>
      </c>
      <c r="B8682" s="1" t="n">
        <v>45987.5112037037</v>
      </c>
      <c r="C8682" s="1" t="n">
        <v>46093</v>
      </c>
      <c r="D8682" t="inlineStr">
        <is>
          <t>VÄSTERNORRLANDS LÄN</t>
        </is>
      </c>
      <c r="E8682" t="inlineStr">
        <is>
          <t>TIMRÅ</t>
        </is>
      </c>
      <c r="G8682" t="n">
        <v>6.2</v>
      </c>
      <c r="H8682" t="n">
        <v>0</v>
      </c>
      <c r="I8682" t="n">
        <v>0</v>
      </c>
      <c r="J8682" t="n">
        <v>0</v>
      </c>
      <c r="K8682" t="n">
        <v>0</v>
      </c>
      <c r="L8682" t="n">
        <v>0</v>
      </c>
      <c r="M8682" t="n">
        <v>0</v>
      </c>
      <c r="N8682" t="n">
        <v>0</v>
      </c>
      <c r="O8682" t="n">
        <v>0</v>
      </c>
      <c r="P8682" t="n">
        <v>0</v>
      </c>
      <c r="Q8682" t="n">
        <v>0</v>
      </c>
      <c r="R8682" s="2" t="inlineStr"/>
    </row>
    <row r="8683" ht="15" customHeight="1">
      <c r="A8683" t="inlineStr">
        <is>
          <t>A 54773-2024</t>
        </is>
      </c>
      <c r="B8683" s="1" t="n">
        <v>45618.47875</v>
      </c>
      <c r="C8683" s="1" t="n">
        <v>46093</v>
      </c>
      <c r="D8683" t="inlineStr">
        <is>
          <t>VÄSTERNORRLANDS LÄN</t>
        </is>
      </c>
      <c r="E8683" t="inlineStr">
        <is>
          <t>ÖRNSKÖLDSVIK</t>
        </is>
      </c>
      <c r="F8683" t="inlineStr">
        <is>
          <t>Holmen skog AB</t>
        </is>
      </c>
      <c r="G8683" t="n">
        <v>2.4</v>
      </c>
      <c r="H8683" t="n">
        <v>0</v>
      </c>
      <c r="I8683" t="n">
        <v>0</v>
      </c>
      <c r="J8683" t="n">
        <v>0</v>
      </c>
      <c r="K8683" t="n">
        <v>0</v>
      </c>
      <c r="L8683" t="n">
        <v>0</v>
      </c>
      <c r="M8683" t="n">
        <v>0</v>
      </c>
      <c r="N8683" t="n">
        <v>0</v>
      </c>
      <c r="O8683" t="n">
        <v>0</v>
      </c>
      <c r="P8683" t="n">
        <v>0</v>
      </c>
      <c r="Q8683" t="n">
        <v>0</v>
      </c>
      <c r="R8683" s="2" t="inlineStr"/>
    </row>
    <row r="8684" ht="15" customHeight="1">
      <c r="A8684" t="inlineStr">
        <is>
          <t>A 42698-2023</t>
        </is>
      </c>
      <c r="B8684" s="1" t="n">
        <v>45176</v>
      </c>
      <c r="C8684" s="1" t="n">
        <v>46093</v>
      </c>
      <c r="D8684" t="inlineStr">
        <is>
          <t>VÄSTERNORRLANDS LÄN</t>
        </is>
      </c>
      <c r="E8684" t="inlineStr">
        <is>
          <t>ÖRNSKÖLDSVIK</t>
        </is>
      </c>
      <c r="G8684" t="n">
        <v>2.6</v>
      </c>
      <c r="H8684" t="n">
        <v>0</v>
      </c>
      <c r="I8684" t="n">
        <v>0</v>
      </c>
      <c r="J8684" t="n">
        <v>0</v>
      </c>
      <c r="K8684" t="n">
        <v>0</v>
      </c>
      <c r="L8684" t="n">
        <v>0</v>
      </c>
      <c r="M8684" t="n">
        <v>0</v>
      </c>
      <c r="N8684" t="n">
        <v>0</v>
      </c>
      <c r="O8684" t="n">
        <v>0</v>
      </c>
      <c r="P8684" t="n">
        <v>0</v>
      </c>
      <c r="Q8684" t="n">
        <v>0</v>
      </c>
      <c r="R8684" s="2" t="inlineStr"/>
    </row>
    <row r="8685" ht="15" customHeight="1">
      <c r="A8685" t="inlineStr">
        <is>
          <t>A 58892-2025</t>
        </is>
      </c>
      <c r="B8685" s="1" t="n">
        <v>45987.49056712963</v>
      </c>
      <c r="C8685" s="1" t="n">
        <v>46093</v>
      </c>
      <c r="D8685" t="inlineStr">
        <is>
          <t>VÄSTERNORRLANDS LÄN</t>
        </is>
      </c>
      <c r="E8685" t="inlineStr">
        <is>
          <t>ÅNGE</t>
        </is>
      </c>
      <c r="F8685" t="inlineStr">
        <is>
          <t>SCA</t>
        </is>
      </c>
      <c r="G8685" t="n">
        <v>2.4</v>
      </c>
      <c r="H8685" t="n">
        <v>0</v>
      </c>
      <c r="I8685" t="n">
        <v>0</v>
      </c>
      <c r="J8685" t="n">
        <v>0</v>
      </c>
      <c r="K8685" t="n">
        <v>0</v>
      </c>
      <c r="L8685" t="n">
        <v>0</v>
      </c>
      <c r="M8685" t="n">
        <v>0</v>
      </c>
      <c r="N8685" t="n">
        <v>0</v>
      </c>
      <c r="O8685" t="n">
        <v>0</v>
      </c>
      <c r="P8685" t="n">
        <v>0</v>
      </c>
      <c r="Q8685" t="n">
        <v>0</v>
      </c>
      <c r="R8685" s="2" t="inlineStr"/>
    </row>
    <row r="8686" ht="15" customHeight="1">
      <c r="A8686" t="inlineStr">
        <is>
          <t>A 58948-2025</t>
        </is>
      </c>
      <c r="B8686" s="1" t="n">
        <v>45987</v>
      </c>
      <c r="C8686" s="1" t="n">
        <v>46093</v>
      </c>
      <c r="D8686" t="inlineStr">
        <is>
          <t>VÄSTERNORRLANDS LÄN</t>
        </is>
      </c>
      <c r="E8686" t="inlineStr">
        <is>
          <t>SOLLEFTEÅ</t>
        </is>
      </c>
      <c r="G8686" t="n">
        <v>6.5</v>
      </c>
      <c r="H8686" t="n">
        <v>0</v>
      </c>
      <c r="I8686" t="n">
        <v>0</v>
      </c>
      <c r="J8686" t="n">
        <v>0</v>
      </c>
      <c r="K8686" t="n">
        <v>0</v>
      </c>
      <c r="L8686" t="n">
        <v>0</v>
      </c>
      <c r="M8686" t="n">
        <v>0</v>
      </c>
      <c r="N8686" t="n">
        <v>0</v>
      </c>
      <c r="O8686" t="n">
        <v>0</v>
      </c>
      <c r="P8686" t="n">
        <v>0</v>
      </c>
      <c r="Q8686" t="n">
        <v>0</v>
      </c>
      <c r="R8686" s="2" t="inlineStr"/>
    </row>
    <row r="8687" ht="15" customHeight="1">
      <c r="A8687" t="inlineStr">
        <is>
          <t>A 31244-2023</t>
        </is>
      </c>
      <c r="B8687" s="1" t="n">
        <v>45114.35319444445</v>
      </c>
      <c r="C8687" s="1" t="n">
        <v>46093</v>
      </c>
      <c r="D8687" t="inlineStr">
        <is>
          <t>VÄSTERNORRLANDS LÄN</t>
        </is>
      </c>
      <c r="E8687" t="inlineStr">
        <is>
          <t>ÖRNSKÖLDSVIK</t>
        </is>
      </c>
      <c r="F8687" t="inlineStr">
        <is>
          <t>Holmen skog AB</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29498-2023</t>
        </is>
      </c>
      <c r="B8688" s="1" t="n">
        <v>45106.59748842593</v>
      </c>
      <c r="C8688" s="1" t="n">
        <v>46093</v>
      </c>
      <c r="D8688" t="inlineStr">
        <is>
          <t>VÄSTERNORRLANDS LÄN</t>
        </is>
      </c>
      <c r="E8688" t="inlineStr">
        <is>
          <t>ÖRNSKÖLDSVIK</t>
        </is>
      </c>
      <c r="F8688" t="inlineStr">
        <is>
          <t>Holmen skog AB</t>
        </is>
      </c>
      <c r="G8688" t="n">
        <v>1.1</v>
      </c>
      <c r="H8688" t="n">
        <v>0</v>
      </c>
      <c r="I8688" t="n">
        <v>0</v>
      </c>
      <c r="J8688" t="n">
        <v>0</v>
      </c>
      <c r="K8688" t="n">
        <v>0</v>
      </c>
      <c r="L8688" t="n">
        <v>0</v>
      </c>
      <c r="M8688" t="n">
        <v>0</v>
      </c>
      <c r="N8688" t="n">
        <v>0</v>
      </c>
      <c r="O8688" t="n">
        <v>0</v>
      </c>
      <c r="P8688" t="n">
        <v>0</v>
      </c>
      <c r="Q8688" t="n">
        <v>0</v>
      </c>
      <c r="R8688" s="2" t="inlineStr"/>
    </row>
    <row r="8689" ht="15" customHeight="1">
      <c r="A8689" t="inlineStr">
        <is>
          <t>A 5896-2022</t>
        </is>
      </c>
      <c r="B8689" s="1" t="n">
        <v>44596</v>
      </c>
      <c r="C8689" s="1" t="n">
        <v>46093</v>
      </c>
      <c r="D8689" t="inlineStr">
        <is>
          <t>VÄSTERNORRLANDS LÄN</t>
        </is>
      </c>
      <c r="E8689" t="inlineStr">
        <is>
          <t>HÄRNÖSAND</t>
        </is>
      </c>
      <c r="F8689" t="inlineStr">
        <is>
          <t>Övriga statliga verk och myndigheter</t>
        </is>
      </c>
      <c r="G8689" t="n">
        <v>2.4</v>
      </c>
      <c r="H8689" t="n">
        <v>0</v>
      </c>
      <c r="I8689" t="n">
        <v>0</v>
      </c>
      <c r="J8689" t="n">
        <v>0</v>
      </c>
      <c r="K8689" t="n">
        <v>0</v>
      </c>
      <c r="L8689" t="n">
        <v>0</v>
      </c>
      <c r="M8689" t="n">
        <v>0</v>
      </c>
      <c r="N8689" t="n">
        <v>0</v>
      </c>
      <c r="O8689" t="n">
        <v>0</v>
      </c>
      <c r="P8689" t="n">
        <v>0</v>
      </c>
      <c r="Q8689" t="n">
        <v>0</v>
      </c>
      <c r="R8689" s="2" t="inlineStr"/>
    </row>
    <row r="8690" ht="15" customHeight="1">
      <c r="A8690" t="inlineStr">
        <is>
          <t>A 56434-2021</t>
        </is>
      </c>
      <c r="B8690" s="1" t="n">
        <v>44477</v>
      </c>
      <c r="C8690" s="1" t="n">
        <v>46093</v>
      </c>
      <c r="D8690" t="inlineStr">
        <is>
          <t>VÄSTERNORRLANDS LÄN</t>
        </is>
      </c>
      <c r="E8690" t="inlineStr">
        <is>
          <t>ÅNGE</t>
        </is>
      </c>
      <c r="G8690" t="n">
        <v>2.7</v>
      </c>
      <c r="H8690" t="n">
        <v>0</v>
      </c>
      <c r="I8690" t="n">
        <v>0</v>
      </c>
      <c r="J8690" t="n">
        <v>0</v>
      </c>
      <c r="K8690" t="n">
        <v>0</v>
      </c>
      <c r="L8690" t="n">
        <v>0</v>
      </c>
      <c r="M8690" t="n">
        <v>0</v>
      </c>
      <c r="N8690" t="n">
        <v>0</v>
      </c>
      <c r="O8690" t="n">
        <v>0</v>
      </c>
      <c r="P8690" t="n">
        <v>0</v>
      </c>
      <c r="Q8690" t="n">
        <v>0</v>
      </c>
      <c r="R8690" s="2" t="inlineStr"/>
    </row>
    <row r="8691" ht="15" customHeight="1">
      <c r="A8691" t="inlineStr">
        <is>
          <t>A 62662-2022</t>
        </is>
      </c>
      <c r="B8691" s="1" t="n">
        <v>44917</v>
      </c>
      <c r="C8691" s="1" t="n">
        <v>46093</v>
      </c>
      <c r="D8691" t="inlineStr">
        <is>
          <t>VÄSTERNORRLANDS LÄN</t>
        </is>
      </c>
      <c r="E8691" t="inlineStr">
        <is>
          <t>SOLLEFTEÅ</t>
        </is>
      </c>
      <c r="G8691" t="n">
        <v>2.1</v>
      </c>
      <c r="H8691" t="n">
        <v>0</v>
      </c>
      <c r="I8691" t="n">
        <v>0</v>
      </c>
      <c r="J8691" t="n">
        <v>0</v>
      </c>
      <c r="K8691" t="n">
        <v>0</v>
      </c>
      <c r="L8691" t="n">
        <v>0</v>
      </c>
      <c r="M8691" t="n">
        <v>0</v>
      </c>
      <c r="N8691" t="n">
        <v>0</v>
      </c>
      <c r="O8691" t="n">
        <v>0</v>
      </c>
      <c r="P8691" t="n">
        <v>0</v>
      </c>
      <c r="Q8691" t="n">
        <v>0</v>
      </c>
      <c r="R8691" s="2" t="inlineStr"/>
    </row>
    <row r="8692" ht="15" customHeight="1">
      <c r="A8692" t="inlineStr">
        <is>
          <t>A 19929-2025</t>
        </is>
      </c>
      <c r="B8692" s="1" t="n">
        <v>45771.6359837963</v>
      </c>
      <c r="C8692" s="1" t="n">
        <v>46093</v>
      </c>
      <c r="D8692" t="inlineStr">
        <is>
          <t>VÄSTERNORRLANDS LÄN</t>
        </is>
      </c>
      <c r="E8692" t="inlineStr">
        <is>
          <t>SOLLEFTEÅ</t>
        </is>
      </c>
      <c r="G8692" t="n">
        <v>2.4</v>
      </c>
      <c r="H8692" t="n">
        <v>0</v>
      </c>
      <c r="I8692" t="n">
        <v>0</v>
      </c>
      <c r="J8692" t="n">
        <v>0</v>
      </c>
      <c r="K8692" t="n">
        <v>0</v>
      </c>
      <c r="L8692" t="n">
        <v>0</v>
      </c>
      <c r="M8692" t="n">
        <v>0</v>
      </c>
      <c r="N8692" t="n">
        <v>0</v>
      </c>
      <c r="O8692" t="n">
        <v>0</v>
      </c>
      <c r="P8692" t="n">
        <v>0</v>
      </c>
      <c r="Q8692" t="n">
        <v>0</v>
      </c>
      <c r="R8692" s="2" t="inlineStr"/>
    </row>
    <row r="8693" ht="15" customHeight="1">
      <c r="A8693" t="inlineStr">
        <is>
          <t>A 19932-2025</t>
        </is>
      </c>
      <c r="B8693" s="1" t="n">
        <v>45771.63940972222</v>
      </c>
      <c r="C8693" s="1" t="n">
        <v>46093</v>
      </c>
      <c r="D8693" t="inlineStr">
        <is>
          <t>VÄSTERNORRLANDS LÄN</t>
        </is>
      </c>
      <c r="E8693" t="inlineStr">
        <is>
          <t>SOLLEFTEÅ</t>
        </is>
      </c>
      <c r="G8693" t="n">
        <v>4</v>
      </c>
      <c r="H8693" t="n">
        <v>0</v>
      </c>
      <c r="I8693" t="n">
        <v>0</v>
      </c>
      <c r="J8693" t="n">
        <v>0</v>
      </c>
      <c r="K8693" t="n">
        <v>0</v>
      </c>
      <c r="L8693" t="n">
        <v>0</v>
      </c>
      <c r="M8693" t="n">
        <v>0</v>
      </c>
      <c r="N8693" t="n">
        <v>0</v>
      </c>
      <c r="O8693" t="n">
        <v>0</v>
      </c>
      <c r="P8693" t="n">
        <v>0</v>
      </c>
      <c r="Q8693" t="n">
        <v>0</v>
      </c>
      <c r="R8693" s="2" t="inlineStr"/>
    </row>
    <row r="8694" ht="15" customHeight="1">
      <c r="A8694" t="inlineStr">
        <is>
          <t>A 59050-2025</t>
        </is>
      </c>
      <c r="B8694" s="1" t="n">
        <v>45988.38444444445</v>
      </c>
      <c r="C8694" s="1" t="n">
        <v>46093</v>
      </c>
      <c r="D8694" t="inlineStr">
        <is>
          <t>VÄSTERNORRLANDS LÄN</t>
        </is>
      </c>
      <c r="E8694" t="inlineStr">
        <is>
          <t>ÖRNSKÖLDSVIK</t>
        </is>
      </c>
      <c r="F8694" t="inlineStr">
        <is>
          <t>Holmen skog AB</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59056-2025</t>
        </is>
      </c>
      <c r="B8695" s="1" t="n">
        <v>45988.38972222222</v>
      </c>
      <c r="C8695" s="1" t="n">
        <v>46093</v>
      </c>
      <c r="D8695" t="inlineStr">
        <is>
          <t>VÄSTERNORRLANDS LÄN</t>
        </is>
      </c>
      <c r="E8695" t="inlineStr">
        <is>
          <t>ÖRNSKÖLDSVIK</t>
        </is>
      </c>
      <c r="G8695" t="n">
        <v>8.6</v>
      </c>
      <c r="H8695" t="n">
        <v>0</v>
      </c>
      <c r="I8695" t="n">
        <v>0</v>
      </c>
      <c r="J8695" t="n">
        <v>0</v>
      </c>
      <c r="K8695" t="n">
        <v>0</v>
      </c>
      <c r="L8695" t="n">
        <v>0</v>
      </c>
      <c r="M8695" t="n">
        <v>0</v>
      </c>
      <c r="N8695" t="n">
        <v>0</v>
      </c>
      <c r="O8695" t="n">
        <v>0</v>
      </c>
      <c r="P8695" t="n">
        <v>0</v>
      </c>
      <c r="Q8695" t="n">
        <v>0</v>
      </c>
      <c r="R8695" s="2" t="inlineStr"/>
    </row>
    <row r="8696" ht="15" customHeight="1">
      <c r="A8696" t="inlineStr">
        <is>
          <t>A 59098-2025</t>
        </is>
      </c>
      <c r="B8696" s="1" t="n">
        <v>45988.45479166666</v>
      </c>
      <c r="C8696" s="1" t="n">
        <v>46093</v>
      </c>
      <c r="D8696" t="inlineStr">
        <is>
          <t>VÄSTERNORRLANDS LÄN</t>
        </is>
      </c>
      <c r="E8696" t="inlineStr">
        <is>
          <t>SUNDSVALL</t>
        </is>
      </c>
      <c r="G8696" t="n">
        <v>0.6</v>
      </c>
      <c r="H8696" t="n">
        <v>0</v>
      </c>
      <c r="I8696" t="n">
        <v>0</v>
      </c>
      <c r="J8696" t="n">
        <v>0</v>
      </c>
      <c r="K8696" t="n">
        <v>0</v>
      </c>
      <c r="L8696" t="n">
        <v>0</v>
      </c>
      <c r="M8696" t="n">
        <v>0</v>
      </c>
      <c r="N8696" t="n">
        <v>0</v>
      </c>
      <c r="O8696" t="n">
        <v>0</v>
      </c>
      <c r="P8696" t="n">
        <v>0</v>
      </c>
      <c r="Q8696" t="n">
        <v>0</v>
      </c>
      <c r="R8696" s="2" t="inlineStr"/>
    </row>
    <row r="8697" ht="15" customHeight="1">
      <c r="A8697" t="inlineStr">
        <is>
          <t>A 58823-2025</t>
        </is>
      </c>
      <c r="B8697" s="1" t="n">
        <v>45987.3453125</v>
      </c>
      <c r="C8697" s="1" t="n">
        <v>46093</v>
      </c>
      <c r="D8697" t="inlineStr">
        <is>
          <t>VÄSTERNORRLANDS LÄN</t>
        </is>
      </c>
      <c r="E8697" t="inlineStr">
        <is>
          <t>ÅNGE</t>
        </is>
      </c>
      <c r="F8697" t="inlineStr">
        <is>
          <t>SCA</t>
        </is>
      </c>
      <c r="G8697" t="n">
        <v>3.3</v>
      </c>
      <c r="H8697" t="n">
        <v>0</v>
      </c>
      <c r="I8697" t="n">
        <v>0</v>
      </c>
      <c r="J8697" t="n">
        <v>0</v>
      </c>
      <c r="K8697" t="n">
        <v>0</v>
      </c>
      <c r="L8697" t="n">
        <v>0</v>
      </c>
      <c r="M8697" t="n">
        <v>0</v>
      </c>
      <c r="N8697" t="n">
        <v>0</v>
      </c>
      <c r="O8697" t="n">
        <v>0</v>
      </c>
      <c r="P8697" t="n">
        <v>0</v>
      </c>
      <c r="Q8697" t="n">
        <v>0</v>
      </c>
      <c r="R8697" s="2" t="inlineStr"/>
    </row>
    <row r="8698" ht="15" customHeight="1">
      <c r="A8698" t="inlineStr">
        <is>
          <t>A 27938-2025</t>
        </is>
      </c>
      <c r="B8698" s="1" t="n">
        <v>45817</v>
      </c>
      <c r="C8698" s="1" t="n">
        <v>46093</v>
      </c>
      <c r="D8698" t="inlineStr">
        <is>
          <t>VÄSTERNORRLANDS LÄN</t>
        </is>
      </c>
      <c r="E8698" t="inlineStr">
        <is>
          <t>ÖRNSKÖLDSVIK</t>
        </is>
      </c>
      <c r="G8698" t="n">
        <v>1.7</v>
      </c>
      <c r="H8698" t="n">
        <v>0</v>
      </c>
      <c r="I8698" t="n">
        <v>0</v>
      </c>
      <c r="J8698" t="n">
        <v>0</v>
      </c>
      <c r="K8698" t="n">
        <v>0</v>
      </c>
      <c r="L8698" t="n">
        <v>0</v>
      </c>
      <c r="M8698" t="n">
        <v>0</v>
      </c>
      <c r="N8698" t="n">
        <v>0</v>
      </c>
      <c r="O8698" t="n">
        <v>0</v>
      </c>
      <c r="P8698" t="n">
        <v>0</v>
      </c>
      <c r="Q8698" t="n">
        <v>0</v>
      </c>
      <c r="R8698" s="2" t="inlineStr"/>
    </row>
    <row r="8699" ht="15" customHeight="1">
      <c r="A8699" t="inlineStr">
        <is>
          <t>A 36685-2024</t>
        </is>
      </c>
      <c r="B8699" s="1" t="n">
        <v>45537.66467592592</v>
      </c>
      <c r="C8699" s="1" t="n">
        <v>46093</v>
      </c>
      <c r="D8699" t="inlineStr">
        <is>
          <t>VÄSTERNORRLANDS LÄN</t>
        </is>
      </c>
      <c r="E8699" t="inlineStr">
        <is>
          <t>SOLLEFTEÅ</t>
        </is>
      </c>
      <c r="F8699" t="inlineStr">
        <is>
          <t>Holmen skog AB</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36704-2024</t>
        </is>
      </c>
      <c r="B8700" s="1" t="n">
        <v>45537.71113425926</v>
      </c>
      <c r="C8700" s="1" t="n">
        <v>46093</v>
      </c>
      <c r="D8700" t="inlineStr">
        <is>
          <t>VÄSTERNORRLANDS LÄN</t>
        </is>
      </c>
      <c r="E8700" t="inlineStr">
        <is>
          <t>ÖRNSKÖLDSVIK</t>
        </is>
      </c>
      <c r="F8700" t="inlineStr">
        <is>
          <t>Holmen skog AB</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50770-2021</t>
        </is>
      </c>
      <c r="B8701" s="1" t="n">
        <v>44460.43626157408</v>
      </c>
      <c r="C8701" s="1" t="n">
        <v>46093</v>
      </c>
      <c r="D8701" t="inlineStr">
        <is>
          <t>VÄSTERNORRLANDS LÄN</t>
        </is>
      </c>
      <c r="E8701" t="inlineStr">
        <is>
          <t>KRAMFORS</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58831-2025</t>
        </is>
      </c>
      <c r="B8702" s="1" t="n">
        <v>45987.35292824074</v>
      </c>
      <c r="C8702" s="1" t="n">
        <v>46093</v>
      </c>
      <c r="D8702" t="inlineStr">
        <is>
          <t>VÄSTERNORRLANDS LÄN</t>
        </is>
      </c>
      <c r="E8702" t="inlineStr">
        <is>
          <t>SUNDSVALL</t>
        </is>
      </c>
      <c r="G8702" t="n">
        <v>3.2</v>
      </c>
      <c r="H8702" t="n">
        <v>0</v>
      </c>
      <c r="I8702" t="n">
        <v>0</v>
      </c>
      <c r="J8702" t="n">
        <v>0</v>
      </c>
      <c r="K8702" t="n">
        <v>0</v>
      </c>
      <c r="L8702" t="n">
        <v>0</v>
      </c>
      <c r="M8702" t="n">
        <v>0</v>
      </c>
      <c r="N8702" t="n">
        <v>0</v>
      </c>
      <c r="O8702" t="n">
        <v>0</v>
      </c>
      <c r="P8702" t="n">
        <v>0</v>
      </c>
      <c r="Q8702" t="n">
        <v>0</v>
      </c>
      <c r="R8702" s="2" t="inlineStr"/>
    </row>
    <row r="8703" ht="15" customHeight="1">
      <c r="A8703" t="inlineStr">
        <is>
          <t>A 58906-2025</t>
        </is>
      </c>
      <c r="B8703" s="1" t="n">
        <v>45987.51087962963</v>
      </c>
      <c r="C8703" s="1" t="n">
        <v>46093</v>
      </c>
      <c r="D8703" t="inlineStr">
        <is>
          <t>VÄSTERNORRLANDS LÄN</t>
        </is>
      </c>
      <c r="E8703" t="inlineStr">
        <is>
          <t>ÅNGE</t>
        </is>
      </c>
      <c r="F8703" t="inlineStr">
        <is>
          <t>SCA</t>
        </is>
      </c>
      <c r="G8703" t="n">
        <v>2.2</v>
      </c>
      <c r="H8703" t="n">
        <v>0</v>
      </c>
      <c r="I8703" t="n">
        <v>0</v>
      </c>
      <c r="J8703" t="n">
        <v>0</v>
      </c>
      <c r="K8703" t="n">
        <v>0</v>
      </c>
      <c r="L8703" t="n">
        <v>0</v>
      </c>
      <c r="M8703" t="n">
        <v>0</v>
      </c>
      <c r="N8703" t="n">
        <v>0</v>
      </c>
      <c r="O8703" t="n">
        <v>0</v>
      </c>
      <c r="P8703" t="n">
        <v>0</v>
      </c>
      <c r="Q8703" t="n">
        <v>0</v>
      </c>
      <c r="R8703" s="2" t="inlineStr"/>
    </row>
    <row r="8704" ht="15" customHeight="1">
      <c r="A8704" t="inlineStr">
        <is>
          <t>A 34123-2023</t>
        </is>
      </c>
      <c r="B8704" s="1" t="n">
        <v>45135</v>
      </c>
      <c r="C8704" s="1" t="n">
        <v>46093</v>
      </c>
      <c r="D8704" t="inlineStr">
        <is>
          <t>VÄSTERNORRLANDS LÄN</t>
        </is>
      </c>
      <c r="E8704" t="inlineStr">
        <is>
          <t>ÖRNSKÖLDSVIK</t>
        </is>
      </c>
      <c r="F8704" t="inlineStr">
        <is>
          <t>Holmen skog AB</t>
        </is>
      </c>
      <c r="G8704" t="n">
        <v>0.3</v>
      </c>
      <c r="H8704" t="n">
        <v>0</v>
      </c>
      <c r="I8704" t="n">
        <v>0</v>
      </c>
      <c r="J8704" t="n">
        <v>0</v>
      </c>
      <c r="K8704" t="n">
        <v>0</v>
      </c>
      <c r="L8704" t="n">
        <v>0</v>
      </c>
      <c r="M8704" t="n">
        <v>0</v>
      </c>
      <c r="N8704" t="n">
        <v>0</v>
      </c>
      <c r="O8704" t="n">
        <v>0</v>
      </c>
      <c r="P8704" t="n">
        <v>0</v>
      </c>
      <c r="Q8704" t="n">
        <v>0</v>
      </c>
      <c r="R8704" s="2" t="inlineStr"/>
    </row>
    <row r="8705" ht="15" customHeight="1">
      <c r="A8705" t="inlineStr">
        <is>
          <t>A 58907-2025</t>
        </is>
      </c>
      <c r="B8705" s="1" t="n">
        <v>45987.51108796296</v>
      </c>
      <c r="C8705" s="1" t="n">
        <v>46093</v>
      </c>
      <c r="D8705" t="inlineStr">
        <is>
          <t>VÄSTERNORRLANDS LÄN</t>
        </is>
      </c>
      <c r="E8705" t="inlineStr">
        <is>
          <t>ÅNGE</t>
        </is>
      </c>
      <c r="F8705" t="inlineStr">
        <is>
          <t>SCA</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58950-2025</t>
        </is>
      </c>
      <c r="B8706" s="1" t="n">
        <v>45987.58756944445</v>
      </c>
      <c r="C8706" s="1" t="n">
        <v>46093</v>
      </c>
      <c r="D8706" t="inlineStr">
        <is>
          <t>VÄSTERNORRLANDS LÄN</t>
        </is>
      </c>
      <c r="E8706" t="inlineStr">
        <is>
          <t>ÖRNSKÖLDSVIK</t>
        </is>
      </c>
      <c r="F8706" t="inlineStr">
        <is>
          <t>Holmen skog AB</t>
        </is>
      </c>
      <c r="G8706" t="n">
        <v>14.1</v>
      </c>
      <c r="H8706" t="n">
        <v>0</v>
      </c>
      <c r="I8706" t="n">
        <v>0</v>
      </c>
      <c r="J8706" t="n">
        <v>0</v>
      </c>
      <c r="K8706" t="n">
        <v>0</v>
      </c>
      <c r="L8706" t="n">
        <v>0</v>
      </c>
      <c r="M8706" t="n">
        <v>0</v>
      </c>
      <c r="N8706" t="n">
        <v>0</v>
      </c>
      <c r="O8706" t="n">
        <v>0</v>
      </c>
      <c r="P8706" t="n">
        <v>0</v>
      </c>
      <c r="Q8706" t="n">
        <v>0</v>
      </c>
      <c r="R8706" s="2" t="inlineStr"/>
    </row>
    <row r="8707" ht="15" customHeight="1">
      <c r="A8707" t="inlineStr">
        <is>
          <t>A 15167-2025</t>
        </is>
      </c>
      <c r="B8707" s="1" t="n">
        <v>45744.49009259259</v>
      </c>
      <c r="C8707" s="1" t="n">
        <v>46093</v>
      </c>
      <c r="D8707" t="inlineStr">
        <is>
          <t>VÄSTERNORRLANDS LÄN</t>
        </is>
      </c>
      <c r="E8707" t="inlineStr">
        <is>
          <t>ÅNGE</t>
        </is>
      </c>
      <c r="F8707" t="inlineStr">
        <is>
          <t>SCA</t>
        </is>
      </c>
      <c r="G8707" t="n">
        <v>6.4</v>
      </c>
      <c r="H8707" t="n">
        <v>0</v>
      </c>
      <c r="I8707" t="n">
        <v>0</v>
      </c>
      <c r="J8707" t="n">
        <v>0</v>
      </c>
      <c r="K8707" t="n">
        <v>0</v>
      </c>
      <c r="L8707" t="n">
        <v>0</v>
      </c>
      <c r="M8707" t="n">
        <v>0</v>
      </c>
      <c r="N8707" t="n">
        <v>0</v>
      </c>
      <c r="O8707" t="n">
        <v>0</v>
      </c>
      <c r="P8707" t="n">
        <v>0</v>
      </c>
      <c r="Q8707" t="n">
        <v>0</v>
      </c>
      <c r="R8707" s="2" t="inlineStr"/>
    </row>
    <row r="8708" ht="15" customHeight="1">
      <c r="A8708" t="inlineStr">
        <is>
          <t>A 58973-2025</t>
        </is>
      </c>
      <c r="B8708" s="1" t="n">
        <v>45987</v>
      </c>
      <c r="C8708" s="1" t="n">
        <v>46093</v>
      </c>
      <c r="D8708" t="inlineStr">
        <is>
          <t>VÄSTERNORRLANDS LÄN</t>
        </is>
      </c>
      <c r="E8708" t="inlineStr">
        <is>
          <t>SOLLEFTEÅ</t>
        </is>
      </c>
      <c r="F8708" t="inlineStr">
        <is>
          <t>SCA</t>
        </is>
      </c>
      <c r="G8708" t="n">
        <v>3.6</v>
      </c>
      <c r="H8708" t="n">
        <v>0</v>
      </c>
      <c r="I8708" t="n">
        <v>0</v>
      </c>
      <c r="J8708" t="n">
        <v>0</v>
      </c>
      <c r="K8708" t="n">
        <v>0</v>
      </c>
      <c r="L8708" t="n">
        <v>0</v>
      </c>
      <c r="M8708" t="n">
        <v>0</v>
      </c>
      <c r="N8708" t="n">
        <v>0</v>
      </c>
      <c r="O8708" t="n">
        <v>0</v>
      </c>
      <c r="P8708" t="n">
        <v>0</v>
      </c>
      <c r="Q8708" t="n">
        <v>0</v>
      </c>
      <c r="R8708" s="2" t="inlineStr"/>
    </row>
    <row r="8709" ht="15" customHeight="1">
      <c r="A8709" t="inlineStr">
        <is>
          <t>A 30556-2023</t>
        </is>
      </c>
      <c r="B8709" s="1" t="n">
        <v>45111.87935185185</v>
      </c>
      <c r="C8709" s="1" t="n">
        <v>46093</v>
      </c>
      <c r="D8709" t="inlineStr">
        <is>
          <t>VÄSTERNORRLANDS LÄN</t>
        </is>
      </c>
      <c r="E8709" t="inlineStr">
        <is>
          <t>ÅNGE</t>
        </is>
      </c>
      <c r="G8709" t="n">
        <v>3.7</v>
      </c>
      <c r="H8709" t="n">
        <v>0</v>
      </c>
      <c r="I8709" t="n">
        <v>0</v>
      </c>
      <c r="J8709" t="n">
        <v>0</v>
      </c>
      <c r="K8709" t="n">
        <v>0</v>
      </c>
      <c r="L8709" t="n">
        <v>0</v>
      </c>
      <c r="M8709" t="n">
        <v>0</v>
      </c>
      <c r="N8709" t="n">
        <v>0</v>
      </c>
      <c r="O8709" t="n">
        <v>0</v>
      </c>
      <c r="P8709" t="n">
        <v>0</v>
      </c>
      <c r="Q8709" t="n">
        <v>0</v>
      </c>
      <c r="R8709" s="2" t="inlineStr"/>
    </row>
    <row r="8710" ht="15" customHeight="1">
      <c r="A8710" t="inlineStr">
        <is>
          <t>A 58845-2025</t>
        </is>
      </c>
      <c r="B8710" s="1" t="n">
        <v>45987.3859375</v>
      </c>
      <c r="C8710" s="1" t="n">
        <v>46093</v>
      </c>
      <c r="D8710" t="inlineStr">
        <is>
          <t>VÄSTERNORRLANDS LÄN</t>
        </is>
      </c>
      <c r="E8710" t="inlineStr">
        <is>
          <t>SOLLEFTEÅ</t>
        </is>
      </c>
      <c r="F8710" t="inlineStr">
        <is>
          <t>SCA</t>
        </is>
      </c>
      <c r="G8710" t="n">
        <v>2</v>
      </c>
      <c r="H8710" t="n">
        <v>0</v>
      </c>
      <c r="I8710" t="n">
        <v>0</v>
      </c>
      <c r="J8710" t="n">
        <v>0</v>
      </c>
      <c r="K8710" t="n">
        <v>0</v>
      </c>
      <c r="L8710" t="n">
        <v>0</v>
      </c>
      <c r="M8710" t="n">
        <v>0</v>
      </c>
      <c r="N8710" t="n">
        <v>0</v>
      </c>
      <c r="O8710" t="n">
        <v>0</v>
      </c>
      <c r="P8710" t="n">
        <v>0</v>
      </c>
      <c r="Q8710" t="n">
        <v>0</v>
      </c>
      <c r="R8710" s="2" t="inlineStr"/>
    </row>
    <row r="8711" ht="15" customHeight="1">
      <c r="A8711" t="inlineStr">
        <is>
          <t>A 54946-2021</t>
        </is>
      </c>
      <c r="B8711" s="1" t="n">
        <v>44474.46466435185</v>
      </c>
      <c r="C8711" s="1" t="n">
        <v>46093</v>
      </c>
      <c r="D8711" t="inlineStr">
        <is>
          <t>VÄSTERNORRLANDS LÄN</t>
        </is>
      </c>
      <c r="E8711" t="inlineStr">
        <is>
          <t>ÅNGE</t>
        </is>
      </c>
      <c r="G8711" t="n">
        <v>5.4</v>
      </c>
      <c r="H8711" t="n">
        <v>0</v>
      </c>
      <c r="I8711" t="n">
        <v>0</v>
      </c>
      <c r="J8711" t="n">
        <v>0</v>
      </c>
      <c r="K8711" t="n">
        <v>0</v>
      </c>
      <c r="L8711" t="n">
        <v>0</v>
      </c>
      <c r="M8711" t="n">
        <v>0</v>
      </c>
      <c r="N8711" t="n">
        <v>0</v>
      </c>
      <c r="O8711" t="n">
        <v>0</v>
      </c>
      <c r="P8711" t="n">
        <v>0</v>
      </c>
      <c r="Q8711" t="n">
        <v>0</v>
      </c>
      <c r="R8711" s="2" t="inlineStr"/>
    </row>
    <row r="8712" ht="15" customHeight="1">
      <c r="A8712" t="inlineStr">
        <is>
          <t>A 57109-2023</t>
        </is>
      </c>
      <c r="B8712" s="1" t="n">
        <v>45239</v>
      </c>
      <c r="C8712" s="1" t="n">
        <v>46093</v>
      </c>
      <c r="D8712" t="inlineStr">
        <is>
          <t>VÄSTERNORRLANDS LÄN</t>
        </is>
      </c>
      <c r="E8712" t="inlineStr">
        <is>
          <t>ÅNGE</t>
        </is>
      </c>
      <c r="G8712" t="n">
        <v>7</v>
      </c>
      <c r="H8712" t="n">
        <v>0</v>
      </c>
      <c r="I8712" t="n">
        <v>0</v>
      </c>
      <c r="J8712" t="n">
        <v>0</v>
      </c>
      <c r="K8712" t="n">
        <v>0</v>
      </c>
      <c r="L8712" t="n">
        <v>0</v>
      </c>
      <c r="M8712" t="n">
        <v>0</v>
      </c>
      <c r="N8712" t="n">
        <v>0</v>
      </c>
      <c r="O8712" t="n">
        <v>0</v>
      </c>
      <c r="P8712" t="n">
        <v>0</v>
      </c>
      <c r="Q8712" t="n">
        <v>0</v>
      </c>
      <c r="R8712" s="2" t="inlineStr"/>
    </row>
    <row r="8713" ht="15" customHeight="1">
      <c r="A8713" t="inlineStr">
        <is>
          <t>A 59065-2025</t>
        </is>
      </c>
      <c r="B8713" s="1" t="n">
        <v>45988.40780092592</v>
      </c>
      <c r="C8713" s="1" t="n">
        <v>46093</v>
      </c>
      <c r="D8713" t="inlineStr">
        <is>
          <t>VÄSTERNORRLANDS LÄN</t>
        </is>
      </c>
      <c r="E8713" t="inlineStr">
        <is>
          <t>ÅNGE</t>
        </is>
      </c>
      <c r="F8713" t="inlineStr">
        <is>
          <t>SCA</t>
        </is>
      </c>
      <c r="G8713" t="n">
        <v>5.7</v>
      </c>
      <c r="H8713" t="n">
        <v>0</v>
      </c>
      <c r="I8713" t="n">
        <v>0</v>
      </c>
      <c r="J8713" t="n">
        <v>0</v>
      </c>
      <c r="K8713" t="n">
        <v>0</v>
      </c>
      <c r="L8713" t="n">
        <v>0</v>
      </c>
      <c r="M8713" t="n">
        <v>0</v>
      </c>
      <c r="N8713" t="n">
        <v>0</v>
      </c>
      <c r="O8713" t="n">
        <v>0</v>
      </c>
      <c r="P8713" t="n">
        <v>0</v>
      </c>
      <c r="Q8713" t="n">
        <v>0</v>
      </c>
      <c r="R8713" s="2" t="inlineStr"/>
    </row>
    <row r="8714" ht="15" customHeight="1">
      <c r="A8714" t="inlineStr">
        <is>
          <t>A 62301-2023</t>
        </is>
      </c>
      <c r="B8714" s="1" t="n">
        <v>45267</v>
      </c>
      <c r="C8714" s="1" t="n">
        <v>46093</v>
      </c>
      <c r="D8714" t="inlineStr">
        <is>
          <t>VÄSTERNORRLANDS LÄN</t>
        </is>
      </c>
      <c r="E8714" t="inlineStr">
        <is>
          <t>SUNDSVALL</t>
        </is>
      </c>
      <c r="G8714" t="n">
        <v>2.6</v>
      </c>
      <c r="H8714" t="n">
        <v>0</v>
      </c>
      <c r="I8714" t="n">
        <v>0</v>
      </c>
      <c r="J8714" t="n">
        <v>0</v>
      </c>
      <c r="K8714" t="n">
        <v>0</v>
      </c>
      <c r="L8714" t="n">
        <v>0</v>
      </c>
      <c r="M8714" t="n">
        <v>0</v>
      </c>
      <c r="N8714" t="n">
        <v>0</v>
      </c>
      <c r="O8714" t="n">
        <v>0</v>
      </c>
      <c r="P8714" t="n">
        <v>0</v>
      </c>
      <c r="Q8714" t="n">
        <v>0</v>
      </c>
      <c r="R8714" s="2" t="inlineStr"/>
    </row>
    <row r="8715" ht="15" customHeight="1">
      <c r="A8715" t="inlineStr">
        <is>
          <t>A 59092-2025</t>
        </is>
      </c>
      <c r="B8715" s="1" t="n">
        <v>45988.44736111111</v>
      </c>
      <c r="C8715" s="1" t="n">
        <v>46093</v>
      </c>
      <c r="D8715" t="inlineStr">
        <is>
          <t>VÄSTERNORRLANDS LÄN</t>
        </is>
      </c>
      <c r="E8715" t="inlineStr">
        <is>
          <t>SUNDSVALL</t>
        </is>
      </c>
      <c r="G8715" t="n">
        <v>3.6</v>
      </c>
      <c r="H8715" t="n">
        <v>0</v>
      </c>
      <c r="I8715" t="n">
        <v>0</v>
      </c>
      <c r="J8715" t="n">
        <v>0</v>
      </c>
      <c r="K8715" t="n">
        <v>0</v>
      </c>
      <c r="L8715" t="n">
        <v>0</v>
      </c>
      <c r="M8715" t="n">
        <v>0</v>
      </c>
      <c r="N8715" t="n">
        <v>0</v>
      </c>
      <c r="O8715" t="n">
        <v>0</v>
      </c>
      <c r="P8715" t="n">
        <v>0</v>
      </c>
      <c r="Q8715" t="n">
        <v>0</v>
      </c>
      <c r="R8715" s="2" t="inlineStr"/>
    </row>
    <row r="8716" ht="15" customHeight="1">
      <c r="A8716" t="inlineStr">
        <is>
          <t>A 39808-2024</t>
        </is>
      </c>
      <c r="B8716" s="1" t="n">
        <v>45553.37101851852</v>
      </c>
      <c r="C8716" s="1" t="n">
        <v>46093</v>
      </c>
      <c r="D8716" t="inlineStr">
        <is>
          <t>VÄSTERNORRLANDS LÄN</t>
        </is>
      </c>
      <c r="E8716" t="inlineStr">
        <is>
          <t>ÖRNSKÖLDSVIK</t>
        </is>
      </c>
      <c r="F8716" t="inlineStr">
        <is>
          <t>Holmen skog AB</t>
        </is>
      </c>
      <c r="G8716" t="n">
        <v>0.6</v>
      </c>
      <c r="H8716" t="n">
        <v>0</v>
      </c>
      <c r="I8716" t="n">
        <v>0</v>
      </c>
      <c r="J8716" t="n">
        <v>0</v>
      </c>
      <c r="K8716" t="n">
        <v>0</v>
      </c>
      <c r="L8716" t="n">
        <v>0</v>
      </c>
      <c r="M8716" t="n">
        <v>0</v>
      </c>
      <c r="N8716" t="n">
        <v>0</v>
      </c>
      <c r="O8716" t="n">
        <v>0</v>
      </c>
      <c r="P8716" t="n">
        <v>0</v>
      </c>
      <c r="Q8716" t="n">
        <v>0</v>
      </c>
      <c r="R8716" s="2" t="inlineStr"/>
    </row>
    <row r="8717" ht="15" customHeight="1">
      <c r="A8717" t="inlineStr">
        <is>
          <t>A 53457-2023</t>
        </is>
      </c>
      <c r="B8717" s="1" t="n">
        <v>45229.96641203704</v>
      </c>
      <c r="C8717" s="1" t="n">
        <v>46093</v>
      </c>
      <c r="D8717" t="inlineStr">
        <is>
          <t>VÄSTERNORRLANDS LÄN</t>
        </is>
      </c>
      <c r="E8717" t="inlineStr">
        <is>
          <t>ÖRNSKÖLDSVIK</t>
        </is>
      </c>
      <c r="F8717" t="inlineStr">
        <is>
          <t>SCA</t>
        </is>
      </c>
      <c r="G8717" t="n">
        <v>5.3</v>
      </c>
      <c r="H8717" t="n">
        <v>0</v>
      </c>
      <c r="I8717" t="n">
        <v>0</v>
      </c>
      <c r="J8717" t="n">
        <v>0</v>
      </c>
      <c r="K8717" t="n">
        <v>0</v>
      </c>
      <c r="L8717" t="n">
        <v>0</v>
      </c>
      <c r="M8717" t="n">
        <v>0</v>
      </c>
      <c r="N8717" t="n">
        <v>0</v>
      </c>
      <c r="O8717" t="n">
        <v>0</v>
      </c>
      <c r="P8717" t="n">
        <v>0</v>
      </c>
      <c r="Q8717" t="n">
        <v>0</v>
      </c>
      <c r="R8717" s="2" t="inlineStr"/>
    </row>
    <row r="8718" ht="15" customHeight="1">
      <c r="A8718" t="inlineStr">
        <is>
          <t>A 10925-2022</t>
        </is>
      </c>
      <c r="B8718" s="1" t="n">
        <v>44627.9444212963</v>
      </c>
      <c r="C8718" s="1" t="n">
        <v>46093</v>
      </c>
      <c r="D8718" t="inlineStr">
        <is>
          <t>VÄSTERNORRLANDS LÄN</t>
        </is>
      </c>
      <c r="E8718" t="inlineStr">
        <is>
          <t>SOLLEFTEÅ</t>
        </is>
      </c>
      <c r="F8718" t="inlineStr">
        <is>
          <t>SCA</t>
        </is>
      </c>
      <c r="G8718" t="n">
        <v>10.2</v>
      </c>
      <c r="H8718" t="n">
        <v>0</v>
      </c>
      <c r="I8718" t="n">
        <v>0</v>
      </c>
      <c r="J8718" t="n">
        <v>0</v>
      </c>
      <c r="K8718" t="n">
        <v>0</v>
      </c>
      <c r="L8718" t="n">
        <v>0</v>
      </c>
      <c r="M8718" t="n">
        <v>0</v>
      </c>
      <c r="N8718" t="n">
        <v>0</v>
      </c>
      <c r="O8718" t="n">
        <v>0</v>
      </c>
      <c r="P8718" t="n">
        <v>0</v>
      </c>
      <c r="Q8718" t="n">
        <v>0</v>
      </c>
      <c r="R8718" s="2" t="inlineStr"/>
    </row>
    <row r="8719" ht="15" customHeight="1">
      <c r="A8719" t="inlineStr">
        <is>
          <t>A 59095-2025</t>
        </is>
      </c>
      <c r="B8719" s="1" t="n">
        <v>45988.4525462963</v>
      </c>
      <c r="C8719" s="1" t="n">
        <v>46093</v>
      </c>
      <c r="D8719" t="inlineStr">
        <is>
          <t>VÄSTERNORRLANDS LÄN</t>
        </is>
      </c>
      <c r="E8719" t="inlineStr">
        <is>
          <t>KRAMFORS</t>
        </is>
      </c>
      <c r="G8719" t="n">
        <v>0.6</v>
      </c>
      <c r="H8719" t="n">
        <v>0</v>
      </c>
      <c r="I8719" t="n">
        <v>0</v>
      </c>
      <c r="J8719" t="n">
        <v>0</v>
      </c>
      <c r="K8719" t="n">
        <v>0</v>
      </c>
      <c r="L8719" t="n">
        <v>0</v>
      </c>
      <c r="M8719" t="n">
        <v>0</v>
      </c>
      <c r="N8719" t="n">
        <v>0</v>
      </c>
      <c r="O8719" t="n">
        <v>0</v>
      </c>
      <c r="P8719" t="n">
        <v>0</v>
      </c>
      <c r="Q8719" t="n">
        <v>0</v>
      </c>
      <c r="R8719" s="2" t="inlineStr"/>
    </row>
    <row r="8720" ht="15" customHeight="1">
      <c r="A8720" t="inlineStr">
        <is>
          <t>A 10926-2022</t>
        </is>
      </c>
      <c r="B8720" s="1" t="n">
        <v>44627.94447916667</v>
      </c>
      <c r="C8720" s="1" t="n">
        <v>46093</v>
      </c>
      <c r="D8720" t="inlineStr">
        <is>
          <t>VÄSTERNORRLANDS LÄN</t>
        </is>
      </c>
      <c r="E8720" t="inlineStr">
        <is>
          <t>SOLLEFTEÅ</t>
        </is>
      </c>
      <c r="F8720" t="inlineStr">
        <is>
          <t>SCA</t>
        </is>
      </c>
      <c r="G8720" t="n">
        <v>4.3</v>
      </c>
      <c r="H8720" t="n">
        <v>0</v>
      </c>
      <c r="I8720" t="n">
        <v>0</v>
      </c>
      <c r="J8720" t="n">
        <v>0</v>
      </c>
      <c r="K8720" t="n">
        <v>0</v>
      </c>
      <c r="L8720" t="n">
        <v>0</v>
      </c>
      <c r="M8720" t="n">
        <v>0</v>
      </c>
      <c r="N8720" t="n">
        <v>0</v>
      </c>
      <c r="O8720" t="n">
        <v>0</v>
      </c>
      <c r="P8720" t="n">
        <v>0</v>
      </c>
      <c r="Q8720" t="n">
        <v>0</v>
      </c>
      <c r="R8720" s="2" t="inlineStr"/>
    </row>
    <row r="8721" ht="15" customHeight="1">
      <c r="A8721" t="inlineStr">
        <is>
          <t>A 59138-2025</t>
        </is>
      </c>
      <c r="B8721" s="1" t="n">
        <v>45988.50180555556</v>
      </c>
      <c r="C8721" s="1" t="n">
        <v>46093</v>
      </c>
      <c r="D8721" t="inlineStr">
        <is>
          <t>VÄSTERNORRLANDS LÄN</t>
        </is>
      </c>
      <c r="E8721" t="inlineStr">
        <is>
          <t>ÖRNSKÖLDSVIK</t>
        </is>
      </c>
      <c r="G8721" t="n">
        <v>0.7</v>
      </c>
      <c r="H8721" t="n">
        <v>0</v>
      </c>
      <c r="I8721" t="n">
        <v>0</v>
      </c>
      <c r="J8721" t="n">
        <v>0</v>
      </c>
      <c r="K8721" t="n">
        <v>0</v>
      </c>
      <c r="L8721" t="n">
        <v>0</v>
      </c>
      <c r="M8721" t="n">
        <v>0</v>
      </c>
      <c r="N8721" t="n">
        <v>0</v>
      </c>
      <c r="O8721" t="n">
        <v>0</v>
      </c>
      <c r="P8721" t="n">
        <v>0</v>
      </c>
      <c r="Q8721" t="n">
        <v>0</v>
      </c>
      <c r="R8721" s="2" t="inlineStr"/>
    </row>
    <row r="8722" ht="15" customHeight="1">
      <c r="A8722" t="inlineStr">
        <is>
          <t>A 35975-2023</t>
        </is>
      </c>
      <c r="B8722" s="1" t="n">
        <v>45148</v>
      </c>
      <c r="C8722" s="1" t="n">
        <v>46093</v>
      </c>
      <c r="D8722" t="inlineStr">
        <is>
          <t>VÄSTERNORRLANDS LÄN</t>
        </is>
      </c>
      <c r="E8722" t="inlineStr">
        <is>
          <t>SOLLEFTEÅ</t>
        </is>
      </c>
      <c r="F8722" t="inlineStr">
        <is>
          <t>SCA</t>
        </is>
      </c>
      <c r="G8722" t="n">
        <v>3.2</v>
      </c>
      <c r="H8722" t="n">
        <v>0</v>
      </c>
      <c r="I8722" t="n">
        <v>0</v>
      </c>
      <c r="J8722" t="n">
        <v>0</v>
      </c>
      <c r="K8722" t="n">
        <v>0</v>
      </c>
      <c r="L8722" t="n">
        <v>0</v>
      </c>
      <c r="M8722" t="n">
        <v>0</v>
      </c>
      <c r="N8722" t="n">
        <v>0</v>
      </c>
      <c r="O8722" t="n">
        <v>0</v>
      </c>
      <c r="P8722" t="n">
        <v>0</v>
      </c>
      <c r="Q8722" t="n">
        <v>0</v>
      </c>
      <c r="R8722" s="2" t="inlineStr"/>
    </row>
    <row r="8723" ht="15" customHeight="1">
      <c r="A8723" t="inlineStr">
        <is>
          <t>A 10993-2022</t>
        </is>
      </c>
      <c r="B8723" s="1" t="n">
        <v>44628.46541666667</v>
      </c>
      <c r="C8723" s="1" t="n">
        <v>46093</v>
      </c>
      <c r="D8723" t="inlineStr">
        <is>
          <t>VÄSTERNORRLANDS LÄN</t>
        </is>
      </c>
      <c r="E8723" t="inlineStr">
        <is>
          <t>SUNDSVALL</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47955-2024</t>
        </is>
      </c>
      <c r="B8724" s="1" t="n">
        <v>45589.3703125</v>
      </c>
      <c r="C8724" s="1" t="n">
        <v>46093</v>
      </c>
      <c r="D8724" t="inlineStr">
        <is>
          <t>VÄSTERNORRLANDS LÄN</t>
        </is>
      </c>
      <c r="E8724" t="inlineStr">
        <is>
          <t>SOLLEFTEÅ</t>
        </is>
      </c>
      <c r="G8724" t="n">
        <v>0.6</v>
      </c>
      <c r="H8724" t="n">
        <v>0</v>
      </c>
      <c r="I8724" t="n">
        <v>0</v>
      </c>
      <c r="J8724" t="n">
        <v>0</v>
      </c>
      <c r="K8724" t="n">
        <v>0</v>
      </c>
      <c r="L8724" t="n">
        <v>0</v>
      </c>
      <c r="M8724" t="n">
        <v>0</v>
      </c>
      <c r="N8724" t="n">
        <v>0</v>
      </c>
      <c r="O8724" t="n">
        <v>0</v>
      </c>
      <c r="P8724" t="n">
        <v>0</v>
      </c>
      <c r="Q8724" t="n">
        <v>0</v>
      </c>
      <c r="R8724" s="2" t="inlineStr"/>
    </row>
    <row r="8725" ht="15" customHeight="1">
      <c r="A8725" t="inlineStr">
        <is>
          <t>A 59191-2025</t>
        </is>
      </c>
      <c r="B8725" s="1" t="n">
        <v>45988.59023148148</v>
      </c>
      <c r="C8725" s="1" t="n">
        <v>46093</v>
      </c>
      <c r="D8725" t="inlineStr">
        <is>
          <t>VÄSTERNORRLANDS LÄN</t>
        </is>
      </c>
      <c r="E8725" t="inlineStr">
        <is>
          <t>ÖRNSKÖLDSVIK</t>
        </is>
      </c>
      <c r="F8725" t="inlineStr">
        <is>
          <t>Holmen skog AB</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35231-2023</t>
        </is>
      </c>
      <c r="B8726" s="1" t="n">
        <v>45145.66675925926</v>
      </c>
      <c r="C8726" s="1" t="n">
        <v>46093</v>
      </c>
      <c r="D8726" t="inlineStr">
        <is>
          <t>VÄSTERNORRLANDS LÄN</t>
        </is>
      </c>
      <c r="E8726" t="inlineStr">
        <is>
          <t>ÖRNSKÖLDSVIK</t>
        </is>
      </c>
      <c r="F8726" t="inlineStr">
        <is>
          <t>Holmen skog AB</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21258-2022</t>
        </is>
      </c>
      <c r="B8727" s="1" t="n">
        <v>44706</v>
      </c>
      <c r="C8727" s="1" t="n">
        <v>46093</v>
      </c>
      <c r="D8727" t="inlineStr">
        <is>
          <t>VÄSTERNORRLANDS LÄN</t>
        </is>
      </c>
      <c r="E8727" t="inlineStr">
        <is>
          <t>ÖRNSKÖLDSVIK</t>
        </is>
      </c>
      <c r="G8727" t="n">
        <v>9.6</v>
      </c>
      <c r="H8727" t="n">
        <v>0</v>
      </c>
      <c r="I8727" t="n">
        <v>0</v>
      </c>
      <c r="J8727" t="n">
        <v>0</v>
      </c>
      <c r="K8727" t="n">
        <v>0</v>
      </c>
      <c r="L8727" t="n">
        <v>0</v>
      </c>
      <c r="M8727" t="n">
        <v>0</v>
      </c>
      <c r="N8727" t="n">
        <v>0</v>
      </c>
      <c r="O8727" t="n">
        <v>0</v>
      </c>
      <c r="P8727" t="n">
        <v>0</v>
      </c>
      <c r="Q8727" t="n">
        <v>0</v>
      </c>
      <c r="R8727" s="2" t="inlineStr"/>
    </row>
    <row r="8728" ht="15" customHeight="1">
      <c r="A8728" t="inlineStr">
        <is>
          <t>A 1416-2025</t>
        </is>
      </c>
      <c r="B8728" s="1" t="n">
        <v>45668</v>
      </c>
      <c r="C8728" s="1" t="n">
        <v>46093</v>
      </c>
      <c r="D8728" t="inlineStr">
        <is>
          <t>VÄSTERNORRLANDS LÄN</t>
        </is>
      </c>
      <c r="E8728" t="inlineStr">
        <is>
          <t>SOLLEFTEÅ</t>
        </is>
      </c>
      <c r="G8728" t="n">
        <v>21.3</v>
      </c>
      <c r="H8728" t="n">
        <v>0</v>
      </c>
      <c r="I8728" t="n">
        <v>0</v>
      </c>
      <c r="J8728" t="n">
        <v>0</v>
      </c>
      <c r="K8728" t="n">
        <v>0</v>
      </c>
      <c r="L8728" t="n">
        <v>0</v>
      </c>
      <c r="M8728" t="n">
        <v>0</v>
      </c>
      <c r="N8728" t="n">
        <v>0</v>
      </c>
      <c r="O8728" t="n">
        <v>0</v>
      </c>
      <c r="P8728" t="n">
        <v>0</v>
      </c>
      <c r="Q8728" t="n">
        <v>0</v>
      </c>
      <c r="R8728" s="2" t="inlineStr"/>
    </row>
    <row r="8729" ht="15" customHeight="1">
      <c r="A8729" t="inlineStr">
        <is>
          <t>A 48864-2021</t>
        </is>
      </c>
      <c r="B8729" s="1" t="n">
        <v>44452.94085648148</v>
      </c>
      <c r="C8729" s="1" t="n">
        <v>46093</v>
      </c>
      <c r="D8729" t="inlineStr">
        <is>
          <t>VÄSTERNORRLANDS LÄN</t>
        </is>
      </c>
      <c r="E8729" t="inlineStr">
        <is>
          <t>SUNDSVALL</t>
        </is>
      </c>
      <c r="F8729" t="inlineStr">
        <is>
          <t>SCA</t>
        </is>
      </c>
      <c r="G8729" t="n">
        <v>0.8</v>
      </c>
      <c r="H8729" t="n">
        <v>0</v>
      </c>
      <c r="I8729" t="n">
        <v>0</v>
      </c>
      <c r="J8729" t="n">
        <v>0</v>
      </c>
      <c r="K8729" t="n">
        <v>0</v>
      </c>
      <c r="L8729" t="n">
        <v>0</v>
      </c>
      <c r="M8729" t="n">
        <v>0</v>
      </c>
      <c r="N8729" t="n">
        <v>0</v>
      </c>
      <c r="O8729" t="n">
        <v>0</v>
      </c>
      <c r="P8729" t="n">
        <v>0</v>
      </c>
      <c r="Q8729" t="n">
        <v>0</v>
      </c>
      <c r="R8729" s="2" t="inlineStr"/>
    </row>
    <row r="8730" ht="15" customHeight="1">
      <c r="A8730" t="inlineStr">
        <is>
          <t>A 53920-2022</t>
        </is>
      </c>
      <c r="B8730" s="1" t="n">
        <v>44880.92899305555</v>
      </c>
      <c r="C8730" s="1" t="n">
        <v>46093</v>
      </c>
      <c r="D8730" t="inlineStr">
        <is>
          <t>VÄSTERNORRLANDS LÄN</t>
        </is>
      </c>
      <c r="E8730" t="inlineStr">
        <is>
          <t>KRAMFORS</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59212-2025</t>
        </is>
      </c>
      <c r="B8731" s="1" t="n">
        <v>45988.61541666667</v>
      </c>
      <c r="C8731" s="1" t="n">
        <v>46093</v>
      </c>
      <c r="D8731" t="inlineStr">
        <is>
          <t>VÄSTERNORRLANDS LÄN</t>
        </is>
      </c>
      <c r="E8731" t="inlineStr">
        <is>
          <t>SUNDSVALL</t>
        </is>
      </c>
      <c r="F8731" t="inlineStr">
        <is>
          <t>SCA</t>
        </is>
      </c>
      <c r="G8731" t="n">
        <v>4.2</v>
      </c>
      <c r="H8731" t="n">
        <v>0</v>
      </c>
      <c r="I8731" t="n">
        <v>0</v>
      </c>
      <c r="J8731" t="n">
        <v>0</v>
      </c>
      <c r="K8731" t="n">
        <v>0</v>
      </c>
      <c r="L8731" t="n">
        <v>0</v>
      </c>
      <c r="M8731" t="n">
        <v>0</v>
      </c>
      <c r="N8731" t="n">
        <v>0</v>
      </c>
      <c r="O8731" t="n">
        <v>0</v>
      </c>
      <c r="P8731" t="n">
        <v>0</v>
      </c>
      <c r="Q8731" t="n">
        <v>0</v>
      </c>
      <c r="R8731" s="2" t="inlineStr"/>
    </row>
    <row r="8732" ht="15" customHeight="1">
      <c r="A8732" t="inlineStr">
        <is>
          <t>A 3080-2025</t>
        </is>
      </c>
      <c r="B8732" s="1" t="n">
        <v>45678</v>
      </c>
      <c r="C8732" s="1" t="n">
        <v>46093</v>
      </c>
      <c r="D8732" t="inlineStr">
        <is>
          <t>VÄSTERNORRLANDS LÄN</t>
        </is>
      </c>
      <c r="E8732" t="inlineStr">
        <is>
          <t>SOLLEFTEÅ</t>
        </is>
      </c>
      <c r="G8732" t="n">
        <v>2.4</v>
      </c>
      <c r="H8732" t="n">
        <v>0</v>
      </c>
      <c r="I8732" t="n">
        <v>0</v>
      </c>
      <c r="J8732" t="n">
        <v>0</v>
      </c>
      <c r="K8732" t="n">
        <v>0</v>
      </c>
      <c r="L8732" t="n">
        <v>0</v>
      </c>
      <c r="M8732" t="n">
        <v>0</v>
      </c>
      <c r="N8732" t="n">
        <v>0</v>
      </c>
      <c r="O8732" t="n">
        <v>0</v>
      </c>
      <c r="P8732" t="n">
        <v>0</v>
      </c>
      <c r="Q8732" t="n">
        <v>0</v>
      </c>
      <c r="R8732" s="2" t="inlineStr"/>
    </row>
    <row r="8733" ht="15" customHeight="1">
      <c r="A8733" t="inlineStr">
        <is>
          <t>A 42346-2023</t>
        </is>
      </c>
      <c r="B8733" s="1" t="n">
        <v>45180</v>
      </c>
      <c r="C8733" s="1" t="n">
        <v>46093</v>
      </c>
      <c r="D8733" t="inlineStr">
        <is>
          <t>VÄSTERNORRLANDS LÄN</t>
        </is>
      </c>
      <c r="E8733" t="inlineStr">
        <is>
          <t>ÅNGE</t>
        </is>
      </c>
      <c r="G8733" t="n">
        <v>9.300000000000001</v>
      </c>
      <c r="H8733" t="n">
        <v>0</v>
      </c>
      <c r="I8733" t="n">
        <v>0</v>
      </c>
      <c r="J8733" t="n">
        <v>0</v>
      </c>
      <c r="K8733" t="n">
        <v>0</v>
      </c>
      <c r="L8733" t="n">
        <v>0</v>
      </c>
      <c r="M8733" t="n">
        <v>0</v>
      </c>
      <c r="N8733" t="n">
        <v>0</v>
      </c>
      <c r="O8733" t="n">
        <v>0</v>
      </c>
      <c r="P8733" t="n">
        <v>0</v>
      </c>
      <c r="Q8733" t="n">
        <v>0</v>
      </c>
      <c r="R8733" s="2" t="inlineStr"/>
    </row>
    <row r="8734" ht="15" customHeight="1">
      <c r="A8734" t="inlineStr">
        <is>
          <t>A 18838-2022</t>
        </is>
      </c>
      <c r="B8734" s="1" t="n">
        <v>44690</v>
      </c>
      <c r="C8734" s="1" t="n">
        <v>46093</v>
      </c>
      <c r="D8734" t="inlineStr">
        <is>
          <t>VÄSTERNORRLANDS LÄN</t>
        </is>
      </c>
      <c r="E8734" t="inlineStr">
        <is>
          <t>SUNDSVALL</t>
        </is>
      </c>
      <c r="G8734" t="n">
        <v>5.1</v>
      </c>
      <c r="H8734" t="n">
        <v>0</v>
      </c>
      <c r="I8734" t="n">
        <v>0</v>
      </c>
      <c r="J8734" t="n">
        <v>0</v>
      </c>
      <c r="K8734" t="n">
        <v>0</v>
      </c>
      <c r="L8734" t="n">
        <v>0</v>
      </c>
      <c r="M8734" t="n">
        <v>0</v>
      </c>
      <c r="N8734" t="n">
        <v>0</v>
      </c>
      <c r="O8734" t="n">
        <v>0</v>
      </c>
      <c r="P8734" t="n">
        <v>0</v>
      </c>
      <c r="Q8734" t="n">
        <v>0</v>
      </c>
      <c r="R8734" s="2" t="inlineStr"/>
    </row>
    <row r="8735" ht="15" customHeight="1">
      <c r="A8735" t="inlineStr">
        <is>
          <t>A 1082-2025</t>
        </is>
      </c>
      <c r="B8735" s="1" t="n">
        <v>45666.61646990741</v>
      </c>
      <c r="C8735" s="1" t="n">
        <v>46093</v>
      </c>
      <c r="D8735" t="inlineStr">
        <is>
          <t>VÄSTERNORRLANDS LÄN</t>
        </is>
      </c>
      <c r="E8735" t="inlineStr">
        <is>
          <t>SOLLEFTEÅ</t>
        </is>
      </c>
      <c r="G8735" t="n">
        <v>0.6</v>
      </c>
      <c r="H8735" t="n">
        <v>0</v>
      </c>
      <c r="I8735" t="n">
        <v>0</v>
      </c>
      <c r="J8735" t="n">
        <v>0</v>
      </c>
      <c r="K8735" t="n">
        <v>0</v>
      </c>
      <c r="L8735" t="n">
        <v>0</v>
      </c>
      <c r="M8735" t="n">
        <v>0</v>
      </c>
      <c r="N8735" t="n">
        <v>0</v>
      </c>
      <c r="O8735" t="n">
        <v>0</v>
      </c>
      <c r="P8735" t="n">
        <v>0</v>
      </c>
      <c r="Q8735" t="n">
        <v>0</v>
      </c>
      <c r="R8735" s="2" t="inlineStr"/>
    </row>
    <row r="8736" ht="15" customHeight="1">
      <c r="A8736" t="inlineStr">
        <is>
          <t>A 1096-2025</t>
        </is>
      </c>
      <c r="B8736" s="1" t="n">
        <v>45666</v>
      </c>
      <c r="C8736" s="1" t="n">
        <v>46093</v>
      </c>
      <c r="D8736" t="inlineStr">
        <is>
          <t>VÄSTERNORRLANDS LÄN</t>
        </is>
      </c>
      <c r="E8736" t="inlineStr">
        <is>
          <t>SOLLEFTEÅ</t>
        </is>
      </c>
      <c r="G8736" t="n">
        <v>1.5</v>
      </c>
      <c r="H8736" t="n">
        <v>0</v>
      </c>
      <c r="I8736" t="n">
        <v>0</v>
      </c>
      <c r="J8736" t="n">
        <v>0</v>
      </c>
      <c r="K8736" t="n">
        <v>0</v>
      </c>
      <c r="L8736" t="n">
        <v>0</v>
      </c>
      <c r="M8736" t="n">
        <v>0</v>
      </c>
      <c r="N8736" t="n">
        <v>0</v>
      </c>
      <c r="O8736" t="n">
        <v>0</v>
      </c>
      <c r="P8736" t="n">
        <v>0</v>
      </c>
      <c r="Q8736" t="n">
        <v>0</v>
      </c>
      <c r="R8736" s="2" t="inlineStr"/>
    </row>
    <row r="8737" ht="15" customHeight="1">
      <c r="A8737" t="inlineStr">
        <is>
          <t>A 3324-2025</t>
        </is>
      </c>
      <c r="B8737" s="1" t="n">
        <v>45679.69924768519</v>
      </c>
      <c r="C8737" s="1" t="n">
        <v>46093</v>
      </c>
      <c r="D8737" t="inlineStr">
        <is>
          <t>VÄSTERNORRLANDS LÄN</t>
        </is>
      </c>
      <c r="E8737" t="inlineStr">
        <is>
          <t>SOLLEFTEÅ</t>
        </is>
      </c>
      <c r="F8737" t="inlineStr">
        <is>
          <t>SCA</t>
        </is>
      </c>
      <c r="G8737" t="n">
        <v>2.2</v>
      </c>
      <c r="H8737" t="n">
        <v>0</v>
      </c>
      <c r="I8737" t="n">
        <v>0</v>
      </c>
      <c r="J8737" t="n">
        <v>0</v>
      </c>
      <c r="K8737" t="n">
        <v>0</v>
      </c>
      <c r="L8737" t="n">
        <v>0</v>
      </c>
      <c r="M8737" t="n">
        <v>0</v>
      </c>
      <c r="N8737" t="n">
        <v>0</v>
      </c>
      <c r="O8737" t="n">
        <v>0</v>
      </c>
      <c r="P8737" t="n">
        <v>0</v>
      </c>
      <c r="Q8737" t="n">
        <v>0</v>
      </c>
      <c r="R8737" s="2" t="inlineStr"/>
    </row>
    <row r="8738" ht="15" customHeight="1">
      <c r="A8738" t="inlineStr">
        <is>
          <t>A 16563-2025</t>
        </is>
      </c>
      <c r="B8738" s="1" t="n">
        <v>45752.34430555555</v>
      </c>
      <c r="C8738" s="1" t="n">
        <v>46093</v>
      </c>
      <c r="D8738" t="inlineStr">
        <is>
          <t>VÄSTERNORRLANDS LÄN</t>
        </is>
      </c>
      <c r="E8738" t="inlineStr">
        <is>
          <t>ÅNGE</t>
        </is>
      </c>
      <c r="F8738" t="inlineStr">
        <is>
          <t>SCA</t>
        </is>
      </c>
      <c r="G8738" t="n">
        <v>24.7</v>
      </c>
      <c r="H8738" t="n">
        <v>0</v>
      </c>
      <c r="I8738" t="n">
        <v>0</v>
      </c>
      <c r="J8738" t="n">
        <v>0</v>
      </c>
      <c r="K8738" t="n">
        <v>0</v>
      </c>
      <c r="L8738" t="n">
        <v>0</v>
      </c>
      <c r="M8738" t="n">
        <v>0</v>
      </c>
      <c r="N8738" t="n">
        <v>0</v>
      </c>
      <c r="O8738" t="n">
        <v>0</v>
      </c>
      <c r="P8738" t="n">
        <v>0</v>
      </c>
      <c r="Q8738" t="n">
        <v>0</v>
      </c>
      <c r="R8738" s="2" t="inlineStr"/>
    </row>
    <row r="8739" ht="15" customHeight="1">
      <c r="A8739" t="inlineStr">
        <is>
          <t>A 45723-2023</t>
        </is>
      </c>
      <c r="B8739" s="1" t="n">
        <v>45195</v>
      </c>
      <c r="C8739" s="1" t="n">
        <v>46093</v>
      </c>
      <c r="D8739" t="inlineStr">
        <is>
          <t>VÄSTERNORRLANDS LÄN</t>
        </is>
      </c>
      <c r="E8739" t="inlineStr">
        <is>
          <t>TIMRÅ</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7943-2022</t>
        </is>
      </c>
      <c r="B8740" s="1" t="n">
        <v>44608</v>
      </c>
      <c r="C8740" s="1" t="n">
        <v>46093</v>
      </c>
      <c r="D8740" t="inlineStr">
        <is>
          <t>VÄSTERNORRLANDS LÄN</t>
        </is>
      </c>
      <c r="E8740" t="inlineStr">
        <is>
          <t>SUNDSVALL</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59184-2025</t>
        </is>
      </c>
      <c r="B8741" s="1" t="n">
        <v>45988.57538194444</v>
      </c>
      <c r="C8741" s="1" t="n">
        <v>46093</v>
      </c>
      <c r="D8741" t="inlineStr">
        <is>
          <t>VÄSTERNORRLANDS LÄN</t>
        </is>
      </c>
      <c r="E8741" t="inlineStr">
        <is>
          <t>ÖRNSKÖLDSVIK</t>
        </is>
      </c>
      <c r="G8741" t="n">
        <v>2.7</v>
      </c>
      <c r="H8741" t="n">
        <v>0</v>
      </c>
      <c r="I8741" t="n">
        <v>0</v>
      </c>
      <c r="J8741" t="n">
        <v>0</v>
      </c>
      <c r="K8741" t="n">
        <v>0</v>
      </c>
      <c r="L8741" t="n">
        <v>0</v>
      </c>
      <c r="M8741" t="n">
        <v>0</v>
      </c>
      <c r="N8741" t="n">
        <v>0</v>
      </c>
      <c r="O8741" t="n">
        <v>0</v>
      </c>
      <c r="P8741" t="n">
        <v>0</v>
      </c>
      <c r="Q8741" t="n">
        <v>0</v>
      </c>
      <c r="R8741" s="2" t="inlineStr"/>
    </row>
    <row r="8742" ht="15" customHeight="1">
      <c r="A8742" t="inlineStr">
        <is>
          <t>A 16564-2025</t>
        </is>
      </c>
      <c r="B8742" s="1" t="n">
        <v>45752</v>
      </c>
      <c r="C8742" s="1" t="n">
        <v>46093</v>
      </c>
      <c r="D8742" t="inlineStr">
        <is>
          <t>VÄSTERNORRLANDS LÄN</t>
        </is>
      </c>
      <c r="E8742" t="inlineStr">
        <is>
          <t>SOLLEFTEÅ</t>
        </is>
      </c>
      <c r="F8742" t="inlineStr">
        <is>
          <t>SCA</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27829-2022</t>
        </is>
      </c>
      <c r="B8743" s="1" t="n">
        <v>44743</v>
      </c>
      <c r="C8743" s="1" t="n">
        <v>46093</v>
      </c>
      <c r="D8743" t="inlineStr">
        <is>
          <t>VÄSTERNORRLANDS LÄN</t>
        </is>
      </c>
      <c r="E8743" t="inlineStr">
        <is>
          <t>ÖRNSKÖLDSVIK</t>
        </is>
      </c>
      <c r="G8743" t="n">
        <v>3.9</v>
      </c>
      <c r="H8743" t="n">
        <v>0</v>
      </c>
      <c r="I8743" t="n">
        <v>0</v>
      </c>
      <c r="J8743" t="n">
        <v>0</v>
      </c>
      <c r="K8743" t="n">
        <v>0</v>
      </c>
      <c r="L8743" t="n">
        <v>0</v>
      </c>
      <c r="M8743" t="n">
        <v>0</v>
      </c>
      <c r="N8743" t="n">
        <v>0</v>
      </c>
      <c r="O8743" t="n">
        <v>0</v>
      </c>
      <c r="P8743" t="n">
        <v>0</v>
      </c>
      <c r="Q8743" t="n">
        <v>0</v>
      </c>
      <c r="R8743" s="2" t="inlineStr"/>
    </row>
    <row r="8744" ht="15" customHeight="1">
      <c r="A8744" t="inlineStr">
        <is>
          <t>A 59259-2025</t>
        </is>
      </c>
      <c r="B8744" s="1" t="n">
        <v>45988.65748842592</v>
      </c>
      <c r="C8744" s="1" t="n">
        <v>46093</v>
      </c>
      <c r="D8744" t="inlineStr">
        <is>
          <t>VÄSTERNORRLANDS LÄN</t>
        </is>
      </c>
      <c r="E8744" t="inlineStr">
        <is>
          <t>ÅNGE</t>
        </is>
      </c>
      <c r="F8744" t="inlineStr">
        <is>
          <t>Sveaskog</t>
        </is>
      </c>
      <c r="G8744" t="n">
        <v>1.4</v>
      </c>
      <c r="H8744" t="n">
        <v>0</v>
      </c>
      <c r="I8744" t="n">
        <v>0</v>
      </c>
      <c r="J8744" t="n">
        <v>0</v>
      </c>
      <c r="K8744" t="n">
        <v>0</v>
      </c>
      <c r="L8744" t="n">
        <v>0</v>
      </c>
      <c r="M8744" t="n">
        <v>0</v>
      </c>
      <c r="N8744" t="n">
        <v>0</v>
      </c>
      <c r="O8744" t="n">
        <v>0</v>
      </c>
      <c r="P8744" t="n">
        <v>0</v>
      </c>
      <c r="Q8744" t="n">
        <v>0</v>
      </c>
      <c r="R8744" s="2" t="inlineStr"/>
    </row>
    <row r="8745" ht="15" customHeight="1">
      <c r="A8745" t="inlineStr">
        <is>
          <t>A 58815-2025</t>
        </is>
      </c>
      <c r="B8745" s="1" t="n">
        <v>45987.33359953704</v>
      </c>
      <c r="C8745" s="1" t="n">
        <v>46093</v>
      </c>
      <c r="D8745" t="inlineStr">
        <is>
          <t>VÄSTERNORRLANDS LÄN</t>
        </is>
      </c>
      <c r="E8745" t="inlineStr">
        <is>
          <t>ÖRNSKÖLDSVIK</t>
        </is>
      </c>
      <c r="G8745" t="n">
        <v>5.5</v>
      </c>
      <c r="H8745" t="n">
        <v>0</v>
      </c>
      <c r="I8745" t="n">
        <v>0</v>
      </c>
      <c r="J8745" t="n">
        <v>0</v>
      </c>
      <c r="K8745" t="n">
        <v>0</v>
      </c>
      <c r="L8745" t="n">
        <v>0</v>
      </c>
      <c r="M8745" t="n">
        <v>0</v>
      </c>
      <c r="N8745" t="n">
        <v>0</v>
      </c>
      <c r="O8745" t="n">
        <v>0</v>
      </c>
      <c r="P8745" t="n">
        <v>0</v>
      </c>
      <c r="Q8745" t="n">
        <v>0</v>
      </c>
      <c r="R8745" s="2" t="inlineStr"/>
    </row>
    <row r="8746" ht="15" customHeight="1">
      <c r="A8746" t="inlineStr">
        <is>
          <t>A 2601-2023</t>
        </is>
      </c>
      <c r="B8746" s="1" t="n">
        <v>44943</v>
      </c>
      <c r="C8746" s="1" t="n">
        <v>46093</v>
      </c>
      <c r="D8746" t="inlineStr">
        <is>
          <t>VÄSTERNORRLANDS LÄN</t>
        </is>
      </c>
      <c r="E8746" t="inlineStr">
        <is>
          <t>KRAMFORS</t>
        </is>
      </c>
      <c r="F8746" t="inlineStr">
        <is>
          <t>SCA</t>
        </is>
      </c>
      <c r="G8746" t="n">
        <v>44.5</v>
      </c>
      <c r="H8746" t="n">
        <v>0</v>
      </c>
      <c r="I8746" t="n">
        <v>0</v>
      </c>
      <c r="J8746" t="n">
        <v>0</v>
      </c>
      <c r="K8746" t="n">
        <v>0</v>
      </c>
      <c r="L8746" t="n">
        <v>0</v>
      </c>
      <c r="M8746" t="n">
        <v>0</v>
      </c>
      <c r="N8746" t="n">
        <v>0</v>
      </c>
      <c r="O8746" t="n">
        <v>0</v>
      </c>
      <c r="P8746" t="n">
        <v>0</v>
      </c>
      <c r="Q8746" t="n">
        <v>0</v>
      </c>
      <c r="R8746" s="2" t="inlineStr"/>
    </row>
    <row r="8747" ht="15" customHeight="1">
      <c r="A8747" t="inlineStr">
        <is>
          <t>A 18148-2023</t>
        </is>
      </c>
      <c r="B8747" s="1" t="n">
        <v>45040.94114583333</v>
      </c>
      <c r="C8747" s="1" t="n">
        <v>46093</v>
      </c>
      <c r="D8747" t="inlineStr">
        <is>
          <t>VÄSTERNORRLANDS LÄN</t>
        </is>
      </c>
      <c r="E8747" t="inlineStr">
        <is>
          <t>ÖRNSKÖLDSVIK</t>
        </is>
      </c>
      <c r="F8747" t="inlineStr">
        <is>
          <t>SCA</t>
        </is>
      </c>
      <c r="G8747" t="n">
        <v>1.1</v>
      </c>
      <c r="H8747" t="n">
        <v>0</v>
      </c>
      <c r="I8747" t="n">
        <v>0</v>
      </c>
      <c r="J8747" t="n">
        <v>0</v>
      </c>
      <c r="K8747" t="n">
        <v>0</v>
      </c>
      <c r="L8747" t="n">
        <v>0</v>
      </c>
      <c r="M8747" t="n">
        <v>0</v>
      </c>
      <c r="N8747" t="n">
        <v>0</v>
      </c>
      <c r="O8747" t="n">
        <v>0</v>
      </c>
      <c r="P8747" t="n">
        <v>0</v>
      </c>
      <c r="Q8747" t="n">
        <v>0</v>
      </c>
      <c r="R8747" s="2" t="inlineStr"/>
    </row>
    <row r="8748" ht="15" customHeight="1">
      <c r="A8748" t="inlineStr">
        <is>
          <t>A 58789-2025</t>
        </is>
      </c>
      <c r="B8748" s="1" t="n">
        <v>45986.78791666667</v>
      </c>
      <c r="C8748" s="1" t="n">
        <v>46093</v>
      </c>
      <c r="D8748" t="inlineStr">
        <is>
          <t>VÄSTERNORRLANDS LÄN</t>
        </is>
      </c>
      <c r="E8748" t="inlineStr">
        <is>
          <t>ÖRNSKÖLDSVIK</t>
        </is>
      </c>
      <c r="G8748" t="n">
        <v>3.3</v>
      </c>
      <c r="H8748" t="n">
        <v>0</v>
      </c>
      <c r="I8748" t="n">
        <v>0</v>
      </c>
      <c r="J8748" t="n">
        <v>0</v>
      </c>
      <c r="K8748" t="n">
        <v>0</v>
      </c>
      <c r="L8748" t="n">
        <v>0</v>
      </c>
      <c r="M8748" t="n">
        <v>0</v>
      </c>
      <c r="N8748" t="n">
        <v>0</v>
      </c>
      <c r="O8748" t="n">
        <v>0</v>
      </c>
      <c r="P8748" t="n">
        <v>0</v>
      </c>
      <c r="Q8748" t="n">
        <v>0</v>
      </c>
      <c r="R8748" s="2" t="inlineStr"/>
    </row>
    <row r="8749" ht="15" customHeight="1">
      <c r="A8749" t="inlineStr">
        <is>
          <t>A 59141-2025</t>
        </is>
      </c>
      <c r="B8749" s="1" t="n">
        <v>45988.51274305556</v>
      </c>
      <c r="C8749" s="1" t="n">
        <v>46093</v>
      </c>
      <c r="D8749" t="inlineStr">
        <is>
          <t>VÄSTERNORRLANDS LÄN</t>
        </is>
      </c>
      <c r="E8749" t="inlineStr">
        <is>
          <t>KRAMFORS</t>
        </is>
      </c>
      <c r="G8749" t="n">
        <v>0.5</v>
      </c>
      <c r="H8749" t="n">
        <v>0</v>
      </c>
      <c r="I8749" t="n">
        <v>0</v>
      </c>
      <c r="J8749" t="n">
        <v>0</v>
      </c>
      <c r="K8749" t="n">
        <v>0</v>
      </c>
      <c r="L8749" t="n">
        <v>0</v>
      </c>
      <c r="M8749" t="n">
        <v>0</v>
      </c>
      <c r="N8749" t="n">
        <v>0</v>
      </c>
      <c r="O8749" t="n">
        <v>0</v>
      </c>
      <c r="P8749" t="n">
        <v>0</v>
      </c>
      <c r="Q8749" t="n">
        <v>0</v>
      </c>
      <c r="R8749" s="2" t="inlineStr"/>
    </row>
    <row r="8750" ht="15" customHeight="1">
      <c r="A8750" t="inlineStr">
        <is>
          <t>A 37042-2021</t>
        </is>
      </c>
      <c r="B8750" s="1" t="n">
        <v>44393.93495370371</v>
      </c>
      <c r="C8750" s="1" t="n">
        <v>46093</v>
      </c>
      <c r="D8750" t="inlineStr">
        <is>
          <t>VÄSTERNORRLANDS LÄN</t>
        </is>
      </c>
      <c r="E8750" t="inlineStr">
        <is>
          <t>SOLLEFTEÅ</t>
        </is>
      </c>
      <c r="F8750" t="inlineStr">
        <is>
          <t>SCA</t>
        </is>
      </c>
      <c r="G8750" t="n">
        <v>2.3</v>
      </c>
      <c r="H8750" t="n">
        <v>0</v>
      </c>
      <c r="I8750" t="n">
        <v>0</v>
      </c>
      <c r="J8750" t="n">
        <v>0</v>
      </c>
      <c r="K8750" t="n">
        <v>0</v>
      </c>
      <c r="L8750" t="n">
        <v>0</v>
      </c>
      <c r="M8750" t="n">
        <v>0</v>
      </c>
      <c r="N8750" t="n">
        <v>0</v>
      </c>
      <c r="O8750" t="n">
        <v>0</v>
      </c>
      <c r="P8750" t="n">
        <v>0</v>
      </c>
      <c r="Q8750" t="n">
        <v>0</v>
      </c>
      <c r="R8750" s="2" t="inlineStr"/>
    </row>
    <row r="8751" ht="15" customHeight="1">
      <c r="A8751" t="inlineStr">
        <is>
          <t>A 16489-2023</t>
        </is>
      </c>
      <c r="B8751" s="1" t="n">
        <v>45027</v>
      </c>
      <c r="C8751" s="1" t="n">
        <v>46093</v>
      </c>
      <c r="D8751" t="inlineStr">
        <is>
          <t>VÄSTERNORRLANDS LÄN</t>
        </is>
      </c>
      <c r="E8751" t="inlineStr">
        <is>
          <t>ÖRNSKÖLDSVIK</t>
        </is>
      </c>
      <c r="G8751" t="n">
        <v>0.5</v>
      </c>
      <c r="H8751" t="n">
        <v>0</v>
      </c>
      <c r="I8751" t="n">
        <v>0</v>
      </c>
      <c r="J8751" t="n">
        <v>0</v>
      </c>
      <c r="K8751" t="n">
        <v>0</v>
      </c>
      <c r="L8751" t="n">
        <v>0</v>
      </c>
      <c r="M8751" t="n">
        <v>0</v>
      </c>
      <c r="N8751" t="n">
        <v>0</v>
      </c>
      <c r="O8751" t="n">
        <v>0</v>
      </c>
      <c r="P8751" t="n">
        <v>0</v>
      </c>
      <c r="Q8751" t="n">
        <v>0</v>
      </c>
      <c r="R8751" s="2" t="inlineStr"/>
    </row>
    <row r="8752" ht="15" customHeight="1">
      <c r="A8752" t="inlineStr">
        <is>
          <t>A 1683-2022</t>
        </is>
      </c>
      <c r="B8752" s="1" t="n">
        <v>44574</v>
      </c>
      <c r="C8752" s="1" t="n">
        <v>46093</v>
      </c>
      <c r="D8752" t="inlineStr">
        <is>
          <t>VÄSTERNORRLANDS LÄN</t>
        </is>
      </c>
      <c r="E8752" t="inlineStr">
        <is>
          <t>KRAMFORS</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59412-2025</t>
        </is>
      </c>
      <c r="B8753" s="1" t="n">
        <v>45989</v>
      </c>
      <c r="C8753" s="1" t="n">
        <v>46093</v>
      </c>
      <c r="D8753" t="inlineStr">
        <is>
          <t>VÄSTERNORRLANDS LÄN</t>
        </is>
      </c>
      <c r="E8753" t="inlineStr">
        <is>
          <t>KRAMFORS</t>
        </is>
      </c>
      <c r="G8753" t="n">
        <v>0.7</v>
      </c>
      <c r="H8753" t="n">
        <v>0</v>
      </c>
      <c r="I8753" t="n">
        <v>0</v>
      </c>
      <c r="J8753" t="n">
        <v>0</v>
      </c>
      <c r="K8753" t="n">
        <v>0</v>
      </c>
      <c r="L8753" t="n">
        <v>0</v>
      </c>
      <c r="M8753" t="n">
        <v>0</v>
      </c>
      <c r="N8753" t="n">
        <v>0</v>
      </c>
      <c r="O8753" t="n">
        <v>0</v>
      </c>
      <c r="P8753" t="n">
        <v>0</v>
      </c>
      <c r="Q8753" t="n">
        <v>0</v>
      </c>
      <c r="R8753" s="2" t="inlineStr"/>
      <c r="T8753">
        <f>HYPERLINK("https://klasma.github.io/Logging_2282/kartor/A 59412-2025 karta.png", "A 59412-2025")</f>
        <v/>
      </c>
      <c r="V8753">
        <f>HYPERLINK("https://klasma.github.io/Logging_2282/klagomål/A 59412-2025 FSC-klagomål.docx", "A 59412-2025")</f>
        <v/>
      </c>
      <c r="W8753">
        <f>HYPERLINK("https://klasma.github.io/Logging_2282/klagomålsmail/A 59412-2025 FSC-klagomål mail.docx", "A 59412-2025")</f>
        <v/>
      </c>
      <c r="X8753">
        <f>HYPERLINK("https://klasma.github.io/Logging_2282/tillsyn/A 59412-2025 tillsynsbegäran.docx", "A 59412-2025")</f>
        <v/>
      </c>
      <c r="Y8753">
        <f>HYPERLINK("https://klasma.github.io/Logging_2282/tillsynsmail/A 59412-2025 tillsynsbegäran mail.docx", "A 59412-2025")</f>
        <v/>
      </c>
      <c r="Z8753">
        <f>HYPERLINK("https://klasma.github.io/Logging_2282/fåglar/A 59412-2025 prioriterade fågelarter.docx", "A 59412-2025")</f>
        <v/>
      </c>
    </row>
    <row r="8754" ht="15" customHeight="1">
      <c r="A8754" t="inlineStr">
        <is>
          <t>A 37696-2023</t>
        </is>
      </c>
      <c r="B8754" s="1" t="n">
        <v>45156</v>
      </c>
      <c r="C8754" s="1" t="n">
        <v>46093</v>
      </c>
      <c r="D8754" t="inlineStr">
        <is>
          <t>VÄSTERNORRLANDS LÄN</t>
        </is>
      </c>
      <c r="E8754" t="inlineStr">
        <is>
          <t>SOLLEFTEÅ</t>
        </is>
      </c>
      <c r="G8754" t="n">
        <v>0.1</v>
      </c>
      <c r="H8754" t="n">
        <v>0</v>
      </c>
      <c r="I8754" t="n">
        <v>0</v>
      </c>
      <c r="J8754" t="n">
        <v>0</v>
      </c>
      <c r="K8754" t="n">
        <v>0</v>
      </c>
      <c r="L8754" t="n">
        <v>0</v>
      </c>
      <c r="M8754" t="n">
        <v>0</v>
      </c>
      <c r="N8754" t="n">
        <v>0</v>
      </c>
      <c r="O8754" t="n">
        <v>0</v>
      </c>
      <c r="P8754" t="n">
        <v>0</v>
      </c>
      <c r="Q8754" t="n">
        <v>0</v>
      </c>
      <c r="R8754" s="2" t="inlineStr"/>
    </row>
    <row r="8755" ht="15" customHeight="1">
      <c r="A8755" t="inlineStr">
        <is>
          <t>A 59549-2025</t>
        </is>
      </c>
      <c r="B8755" s="1" t="n">
        <v>45990.41214120371</v>
      </c>
      <c r="C8755" s="1" t="n">
        <v>46093</v>
      </c>
      <c r="D8755" t="inlineStr">
        <is>
          <t>VÄSTERNORRLANDS LÄN</t>
        </is>
      </c>
      <c r="E8755" t="inlineStr">
        <is>
          <t>ÖRNSKÖLDSVIK</t>
        </is>
      </c>
      <c r="F8755" t="inlineStr">
        <is>
          <t>Holmen skog AB</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15368-2024</t>
        </is>
      </c>
      <c r="B8756" s="1" t="n">
        <v>45400.92284722222</v>
      </c>
      <c r="C8756" s="1" t="n">
        <v>46093</v>
      </c>
      <c r="D8756" t="inlineStr">
        <is>
          <t>VÄSTERNORRLANDS LÄN</t>
        </is>
      </c>
      <c r="E8756" t="inlineStr">
        <is>
          <t>ÅNGE</t>
        </is>
      </c>
      <c r="G8756" t="n">
        <v>0.4</v>
      </c>
      <c r="H8756" t="n">
        <v>0</v>
      </c>
      <c r="I8756" t="n">
        <v>0</v>
      </c>
      <c r="J8756" t="n">
        <v>0</v>
      </c>
      <c r="K8756" t="n">
        <v>0</v>
      </c>
      <c r="L8756" t="n">
        <v>0</v>
      </c>
      <c r="M8756" t="n">
        <v>0</v>
      </c>
      <c r="N8756" t="n">
        <v>0</v>
      </c>
      <c r="O8756" t="n">
        <v>0</v>
      </c>
      <c r="P8756" t="n">
        <v>0</v>
      </c>
      <c r="Q8756" t="n">
        <v>0</v>
      </c>
      <c r="R8756" s="2" t="inlineStr"/>
    </row>
    <row r="8757" ht="15" customHeight="1">
      <c r="A8757" t="inlineStr">
        <is>
          <t>A 12533-2023</t>
        </is>
      </c>
      <c r="B8757" s="1" t="n">
        <v>45000.01387731481</v>
      </c>
      <c r="C8757" s="1" t="n">
        <v>46093</v>
      </c>
      <c r="D8757" t="inlineStr">
        <is>
          <t>VÄSTERNORRLANDS LÄN</t>
        </is>
      </c>
      <c r="E8757" t="inlineStr">
        <is>
          <t>HÄRNÖSAND</t>
        </is>
      </c>
      <c r="F8757" t="inlineStr">
        <is>
          <t>SCA</t>
        </is>
      </c>
      <c r="G8757" t="n">
        <v>3.2</v>
      </c>
      <c r="H8757" t="n">
        <v>0</v>
      </c>
      <c r="I8757" t="n">
        <v>0</v>
      </c>
      <c r="J8757" t="n">
        <v>0</v>
      </c>
      <c r="K8757" t="n">
        <v>0</v>
      </c>
      <c r="L8757" t="n">
        <v>0</v>
      </c>
      <c r="M8757" t="n">
        <v>0</v>
      </c>
      <c r="N8757" t="n">
        <v>0</v>
      </c>
      <c r="O8757" t="n">
        <v>0</v>
      </c>
      <c r="P8757" t="n">
        <v>0</v>
      </c>
      <c r="Q8757" t="n">
        <v>0</v>
      </c>
      <c r="R8757" s="2" t="inlineStr"/>
    </row>
    <row r="8758" ht="15" customHeight="1">
      <c r="A8758" t="inlineStr">
        <is>
          <t>A 12543-2023</t>
        </is>
      </c>
      <c r="B8758" s="1" t="n">
        <v>45000</v>
      </c>
      <c r="C8758" s="1" t="n">
        <v>46093</v>
      </c>
      <c r="D8758" t="inlineStr">
        <is>
          <t>VÄSTERNORRLANDS LÄN</t>
        </is>
      </c>
      <c r="E8758" t="inlineStr">
        <is>
          <t>HÄRNÖSAND</t>
        </is>
      </c>
      <c r="F8758" t="inlineStr">
        <is>
          <t>SCA</t>
        </is>
      </c>
      <c r="G8758" t="n">
        <v>4.2</v>
      </c>
      <c r="H8758" t="n">
        <v>0</v>
      </c>
      <c r="I8758" t="n">
        <v>0</v>
      </c>
      <c r="J8758" t="n">
        <v>0</v>
      </c>
      <c r="K8758" t="n">
        <v>0</v>
      </c>
      <c r="L8758" t="n">
        <v>0</v>
      </c>
      <c r="M8758" t="n">
        <v>0</v>
      </c>
      <c r="N8758" t="n">
        <v>0</v>
      </c>
      <c r="O8758" t="n">
        <v>0</v>
      </c>
      <c r="P8758" t="n">
        <v>0</v>
      </c>
      <c r="Q8758" t="n">
        <v>0</v>
      </c>
      <c r="R8758" s="2" t="inlineStr"/>
    </row>
    <row r="8759" ht="15" customHeight="1">
      <c r="A8759" t="inlineStr">
        <is>
          <t>A 5393-2025</t>
        </is>
      </c>
      <c r="B8759" s="1" t="n">
        <v>45692.63574074074</v>
      </c>
      <c r="C8759" s="1" t="n">
        <v>46093</v>
      </c>
      <c r="D8759" t="inlineStr">
        <is>
          <t>VÄSTERNORRLANDS LÄN</t>
        </is>
      </c>
      <c r="E8759" t="inlineStr">
        <is>
          <t>ÅNGE</t>
        </is>
      </c>
      <c r="F8759" t="inlineStr">
        <is>
          <t>SCA</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48490-2024</t>
        </is>
      </c>
      <c r="B8760" s="1" t="n">
        <v>45592</v>
      </c>
      <c r="C8760" s="1" t="n">
        <v>46093</v>
      </c>
      <c r="D8760" t="inlineStr">
        <is>
          <t>VÄSTERNORRLANDS LÄN</t>
        </is>
      </c>
      <c r="E8760" t="inlineStr">
        <is>
          <t>SOLLEFTEÅ</t>
        </is>
      </c>
      <c r="F8760" t="inlineStr">
        <is>
          <t>SCA</t>
        </is>
      </c>
      <c r="G8760" t="n">
        <v>2.6</v>
      </c>
      <c r="H8760" t="n">
        <v>0</v>
      </c>
      <c r="I8760" t="n">
        <v>0</v>
      </c>
      <c r="J8760" t="n">
        <v>0</v>
      </c>
      <c r="K8760" t="n">
        <v>0</v>
      </c>
      <c r="L8760" t="n">
        <v>0</v>
      </c>
      <c r="M8760" t="n">
        <v>0</v>
      </c>
      <c r="N8760" t="n">
        <v>0</v>
      </c>
      <c r="O8760" t="n">
        <v>0</v>
      </c>
      <c r="P8760" t="n">
        <v>0</v>
      </c>
      <c r="Q8760" t="n">
        <v>0</v>
      </c>
      <c r="R8760" s="2" t="inlineStr"/>
    </row>
    <row r="8761" ht="15" customHeight="1">
      <c r="A8761" t="inlineStr">
        <is>
          <t>A 48491-2024</t>
        </is>
      </c>
      <c r="B8761" s="1" t="n">
        <v>45592</v>
      </c>
      <c r="C8761" s="1" t="n">
        <v>46093</v>
      </c>
      <c r="D8761" t="inlineStr">
        <is>
          <t>VÄSTERNORRLANDS LÄN</t>
        </is>
      </c>
      <c r="E8761" t="inlineStr">
        <is>
          <t>SOLLEFTEÅ</t>
        </is>
      </c>
      <c r="F8761" t="inlineStr">
        <is>
          <t>SCA</t>
        </is>
      </c>
      <c r="G8761" t="n">
        <v>1.9</v>
      </c>
      <c r="H8761" t="n">
        <v>0</v>
      </c>
      <c r="I8761" t="n">
        <v>0</v>
      </c>
      <c r="J8761" t="n">
        <v>0</v>
      </c>
      <c r="K8761" t="n">
        <v>0</v>
      </c>
      <c r="L8761" t="n">
        <v>0</v>
      </c>
      <c r="M8761" t="n">
        <v>0</v>
      </c>
      <c r="N8761" t="n">
        <v>0</v>
      </c>
      <c r="O8761" t="n">
        <v>0</v>
      </c>
      <c r="P8761" t="n">
        <v>0</v>
      </c>
      <c r="Q8761" t="n">
        <v>0</v>
      </c>
      <c r="R8761" s="2" t="inlineStr"/>
    </row>
    <row r="8762" ht="15" customHeight="1">
      <c r="A8762" t="inlineStr">
        <is>
          <t>A 51999-2022</t>
        </is>
      </c>
      <c r="B8762" s="1" t="n">
        <v>44872</v>
      </c>
      <c r="C8762" s="1" t="n">
        <v>46093</v>
      </c>
      <c r="D8762" t="inlineStr">
        <is>
          <t>VÄSTERNORRLANDS LÄN</t>
        </is>
      </c>
      <c r="E8762" t="inlineStr">
        <is>
          <t>TIMRÅ</t>
        </is>
      </c>
      <c r="G8762" t="n">
        <v>4.7</v>
      </c>
      <c r="H8762" t="n">
        <v>0</v>
      </c>
      <c r="I8762" t="n">
        <v>0</v>
      </c>
      <c r="J8762" t="n">
        <v>0</v>
      </c>
      <c r="K8762" t="n">
        <v>0</v>
      </c>
      <c r="L8762" t="n">
        <v>0</v>
      </c>
      <c r="M8762" t="n">
        <v>0</v>
      </c>
      <c r="N8762" t="n">
        <v>0</v>
      </c>
      <c r="O8762" t="n">
        <v>0</v>
      </c>
      <c r="P8762" t="n">
        <v>0</v>
      </c>
      <c r="Q8762" t="n">
        <v>0</v>
      </c>
      <c r="R8762" s="2" t="inlineStr"/>
    </row>
    <row r="8763" ht="15" customHeight="1">
      <c r="A8763" t="inlineStr">
        <is>
          <t>A 59657-2025</t>
        </is>
      </c>
      <c r="B8763" s="1" t="n">
        <v>45992.44315972222</v>
      </c>
      <c r="C8763" s="1" t="n">
        <v>46093</v>
      </c>
      <c r="D8763" t="inlineStr">
        <is>
          <t>VÄSTERNORRLANDS LÄN</t>
        </is>
      </c>
      <c r="E8763" t="inlineStr">
        <is>
          <t>ÖRNSKÖLDSVIK</t>
        </is>
      </c>
      <c r="G8763" t="n">
        <v>0.5</v>
      </c>
      <c r="H8763" t="n">
        <v>0</v>
      </c>
      <c r="I8763" t="n">
        <v>0</v>
      </c>
      <c r="J8763" t="n">
        <v>0</v>
      </c>
      <c r="K8763" t="n">
        <v>0</v>
      </c>
      <c r="L8763" t="n">
        <v>0</v>
      </c>
      <c r="M8763" t="n">
        <v>0</v>
      </c>
      <c r="N8763" t="n">
        <v>0</v>
      </c>
      <c r="O8763" t="n">
        <v>0</v>
      </c>
      <c r="P8763" t="n">
        <v>0</v>
      </c>
      <c r="Q8763" t="n">
        <v>0</v>
      </c>
      <c r="R8763" s="2" t="inlineStr"/>
    </row>
    <row r="8764" ht="15" customHeight="1">
      <c r="A8764" t="inlineStr">
        <is>
          <t>A 59658-2025</t>
        </is>
      </c>
      <c r="B8764" s="1" t="n">
        <v>45992.44605324074</v>
      </c>
      <c r="C8764" s="1" t="n">
        <v>46093</v>
      </c>
      <c r="D8764" t="inlineStr">
        <is>
          <t>VÄSTERNORRLANDS LÄN</t>
        </is>
      </c>
      <c r="E8764" t="inlineStr">
        <is>
          <t>ÖRNSKÖLDSVIK</t>
        </is>
      </c>
      <c r="G8764" t="n">
        <v>3.1</v>
      </c>
      <c r="H8764" t="n">
        <v>0</v>
      </c>
      <c r="I8764" t="n">
        <v>0</v>
      </c>
      <c r="J8764" t="n">
        <v>0</v>
      </c>
      <c r="K8764" t="n">
        <v>0</v>
      </c>
      <c r="L8764" t="n">
        <v>0</v>
      </c>
      <c r="M8764" t="n">
        <v>0</v>
      </c>
      <c r="N8764" t="n">
        <v>0</v>
      </c>
      <c r="O8764" t="n">
        <v>0</v>
      </c>
      <c r="P8764" t="n">
        <v>0</v>
      </c>
      <c r="Q8764" t="n">
        <v>0</v>
      </c>
      <c r="R8764" s="2" t="inlineStr"/>
    </row>
    <row r="8765" ht="15" customHeight="1">
      <c r="A8765" t="inlineStr">
        <is>
          <t>A 4253-2025</t>
        </is>
      </c>
      <c r="B8765" s="1" t="n">
        <v>45685.61232638889</v>
      </c>
      <c r="C8765" s="1" t="n">
        <v>46093</v>
      </c>
      <c r="D8765" t="inlineStr">
        <is>
          <t>VÄSTERNORRLANDS LÄN</t>
        </is>
      </c>
      <c r="E8765" t="inlineStr">
        <is>
          <t>SOLLEFTEÅ</t>
        </is>
      </c>
      <c r="G8765" t="n">
        <v>0.8</v>
      </c>
      <c r="H8765" t="n">
        <v>0</v>
      </c>
      <c r="I8765" t="n">
        <v>0</v>
      </c>
      <c r="J8765" t="n">
        <v>0</v>
      </c>
      <c r="K8765" t="n">
        <v>0</v>
      </c>
      <c r="L8765" t="n">
        <v>0</v>
      </c>
      <c r="M8765" t="n">
        <v>0</v>
      </c>
      <c r="N8765" t="n">
        <v>0</v>
      </c>
      <c r="O8765" t="n">
        <v>0</v>
      </c>
      <c r="P8765" t="n">
        <v>0</v>
      </c>
      <c r="Q8765" t="n">
        <v>0</v>
      </c>
      <c r="R8765" s="2" t="inlineStr"/>
    </row>
    <row r="8766" ht="15" customHeight="1">
      <c r="A8766" t="inlineStr">
        <is>
          <t>A 17993-2025</t>
        </is>
      </c>
      <c r="B8766" s="1" t="n">
        <v>45761.40673611111</v>
      </c>
      <c r="C8766" s="1" t="n">
        <v>46093</v>
      </c>
      <c r="D8766" t="inlineStr">
        <is>
          <t>VÄSTERNORRLANDS LÄN</t>
        </is>
      </c>
      <c r="E8766" t="inlineStr">
        <is>
          <t>SOLLEFTEÅ</t>
        </is>
      </c>
      <c r="F8766" t="inlineStr">
        <is>
          <t>SCA</t>
        </is>
      </c>
      <c r="G8766" t="n">
        <v>2.6</v>
      </c>
      <c r="H8766" t="n">
        <v>0</v>
      </c>
      <c r="I8766" t="n">
        <v>0</v>
      </c>
      <c r="J8766" t="n">
        <v>0</v>
      </c>
      <c r="K8766" t="n">
        <v>0</v>
      </c>
      <c r="L8766" t="n">
        <v>0</v>
      </c>
      <c r="M8766" t="n">
        <v>0</v>
      </c>
      <c r="N8766" t="n">
        <v>0</v>
      </c>
      <c r="O8766" t="n">
        <v>0</v>
      </c>
      <c r="P8766" t="n">
        <v>0</v>
      </c>
      <c r="Q8766" t="n">
        <v>0</v>
      </c>
      <c r="R8766" s="2" t="inlineStr"/>
    </row>
    <row r="8767" ht="15" customHeight="1">
      <c r="A8767" t="inlineStr">
        <is>
          <t>A 56420-2022</t>
        </is>
      </c>
      <c r="B8767" s="1" t="n">
        <v>44890.95302083333</v>
      </c>
      <c r="C8767" s="1" t="n">
        <v>46093</v>
      </c>
      <c r="D8767" t="inlineStr">
        <is>
          <t>VÄSTERNORRLANDS LÄN</t>
        </is>
      </c>
      <c r="E8767" t="inlineStr">
        <is>
          <t>SUNDSVALL</t>
        </is>
      </c>
      <c r="F8767" t="inlineStr">
        <is>
          <t>SCA</t>
        </is>
      </c>
      <c r="G8767" t="n">
        <v>2.8</v>
      </c>
      <c r="H8767" t="n">
        <v>0</v>
      </c>
      <c r="I8767" t="n">
        <v>0</v>
      </c>
      <c r="J8767" t="n">
        <v>0</v>
      </c>
      <c r="K8767" t="n">
        <v>0</v>
      </c>
      <c r="L8767" t="n">
        <v>0</v>
      </c>
      <c r="M8767" t="n">
        <v>0</v>
      </c>
      <c r="N8767" t="n">
        <v>0</v>
      </c>
      <c r="O8767" t="n">
        <v>0</v>
      </c>
      <c r="P8767" t="n">
        <v>0</v>
      </c>
      <c r="Q8767" t="n">
        <v>0</v>
      </c>
      <c r="R8767" s="2" t="inlineStr"/>
    </row>
    <row r="8768" ht="15" customHeight="1">
      <c r="A8768" t="inlineStr">
        <is>
          <t>A 49887-2024</t>
        </is>
      </c>
      <c r="B8768" s="1" t="n">
        <v>45597</v>
      </c>
      <c r="C8768" s="1" t="n">
        <v>46093</v>
      </c>
      <c r="D8768" t="inlineStr">
        <is>
          <t>VÄSTERNORRLANDS LÄN</t>
        </is>
      </c>
      <c r="E8768" t="inlineStr">
        <is>
          <t>ÖRNSKÖLDSVIK</t>
        </is>
      </c>
      <c r="F8768" t="inlineStr">
        <is>
          <t>SCA</t>
        </is>
      </c>
      <c r="G8768" t="n">
        <v>5.7</v>
      </c>
      <c r="H8768" t="n">
        <v>0</v>
      </c>
      <c r="I8768" t="n">
        <v>0</v>
      </c>
      <c r="J8768" t="n">
        <v>0</v>
      </c>
      <c r="K8768" t="n">
        <v>0</v>
      </c>
      <c r="L8768" t="n">
        <v>0</v>
      </c>
      <c r="M8768" t="n">
        <v>0</v>
      </c>
      <c r="N8768" t="n">
        <v>0</v>
      </c>
      <c r="O8768" t="n">
        <v>0</v>
      </c>
      <c r="P8768" t="n">
        <v>0</v>
      </c>
      <c r="Q8768" t="n">
        <v>0</v>
      </c>
      <c r="R8768" s="2" t="inlineStr"/>
    </row>
    <row r="8769" ht="15" customHeight="1">
      <c r="A8769" t="inlineStr">
        <is>
          <t>A 58869-2023</t>
        </is>
      </c>
      <c r="B8769" s="1" t="n">
        <v>45250</v>
      </c>
      <c r="C8769" s="1" t="n">
        <v>46093</v>
      </c>
      <c r="D8769" t="inlineStr">
        <is>
          <t>VÄSTERNORRLANDS LÄN</t>
        </is>
      </c>
      <c r="E8769" t="inlineStr">
        <is>
          <t>HÄRNÖSAND</t>
        </is>
      </c>
      <c r="G8769" t="n">
        <v>3.4</v>
      </c>
      <c r="H8769" t="n">
        <v>0</v>
      </c>
      <c r="I8769" t="n">
        <v>0</v>
      </c>
      <c r="J8769" t="n">
        <v>0</v>
      </c>
      <c r="K8769" t="n">
        <v>0</v>
      </c>
      <c r="L8769" t="n">
        <v>0</v>
      </c>
      <c r="M8769" t="n">
        <v>0</v>
      </c>
      <c r="N8769" t="n">
        <v>0</v>
      </c>
      <c r="O8769" t="n">
        <v>0</v>
      </c>
      <c r="P8769" t="n">
        <v>0</v>
      </c>
      <c r="Q8769" t="n">
        <v>0</v>
      </c>
      <c r="R8769" s="2" t="inlineStr"/>
    </row>
    <row r="8770" ht="15" customHeight="1">
      <c r="A8770" t="inlineStr">
        <is>
          <t>A 58895-2023</t>
        </is>
      </c>
      <c r="B8770" s="1" t="n">
        <v>45252</v>
      </c>
      <c r="C8770" s="1" t="n">
        <v>46093</v>
      </c>
      <c r="D8770" t="inlineStr">
        <is>
          <t>VÄSTERNORRLANDS LÄN</t>
        </is>
      </c>
      <c r="E8770" t="inlineStr">
        <is>
          <t>TIMRÅ</t>
        </is>
      </c>
      <c r="G8770" t="n">
        <v>3.7</v>
      </c>
      <c r="H8770" t="n">
        <v>0</v>
      </c>
      <c r="I8770" t="n">
        <v>0</v>
      </c>
      <c r="J8770" t="n">
        <v>0</v>
      </c>
      <c r="K8770" t="n">
        <v>0</v>
      </c>
      <c r="L8770" t="n">
        <v>0</v>
      </c>
      <c r="M8770" t="n">
        <v>0</v>
      </c>
      <c r="N8770" t="n">
        <v>0</v>
      </c>
      <c r="O8770" t="n">
        <v>0</v>
      </c>
      <c r="P8770" t="n">
        <v>0</v>
      </c>
      <c r="Q8770" t="n">
        <v>0</v>
      </c>
      <c r="R8770" s="2" t="inlineStr"/>
    </row>
    <row r="8771" ht="15" customHeight="1">
      <c r="A8771" t="inlineStr">
        <is>
          <t>A 59842-2025</t>
        </is>
      </c>
      <c r="B8771" s="1" t="n">
        <v>45992.67807870371</v>
      </c>
      <c r="C8771" s="1" t="n">
        <v>46093</v>
      </c>
      <c r="D8771" t="inlineStr">
        <is>
          <t>VÄSTERNORRLANDS LÄN</t>
        </is>
      </c>
      <c r="E8771" t="inlineStr">
        <is>
          <t>SOLLEFTEÅ</t>
        </is>
      </c>
      <c r="F8771" t="inlineStr">
        <is>
          <t>SCA</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59849-2025</t>
        </is>
      </c>
      <c r="B8772" s="1" t="n">
        <v>45992.70704861111</v>
      </c>
      <c r="C8772" s="1" t="n">
        <v>46093</v>
      </c>
      <c r="D8772" t="inlineStr">
        <is>
          <t>VÄSTERNORRLANDS LÄN</t>
        </is>
      </c>
      <c r="E8772" t="inlineStr">
        <is>
          <t>SOLLEFTEÅ</t>
        </is>
      </c>
      <c r="F8772" t="inlineStr">
        <is>
          <t>Holmen skog AB</t>
        </is>
      </c>
      <c r="G8772" t="n">
        <v>6.9</v>
      </c>
      <c r="H8772" t="n">
        <v>0</v>
      </c>
      <c r="I8772" t="n">
        <v>0</v>
      </c>
      <c r="J8772" t="n">
        <v>0</v>
      </c>
      <c r="K8772" t="n">
        <v>0</v>
      </c>
      <c r="L8772" t="n">
        <v>0</v>
      </c>
      <c r="M8772" t="n">
        <v>0</v>
      </c>
      <c r="N8772" t="n">
        <v>0</v>
      </c>
      <c r="O8772" t="n">
        <v>0</v>
      </c>
      <c r="P8772" t="n">
        <v>0</v>
      </c>
      <c r="Q8772" t="n">
        <v>0</v>
      </c>
      <c r="R8772" s="2" t="inlineStr"/>
    </row>
    <row r="8773" ht="15" customHeight="1">
      <c r="A8773" t="inlineStr">
        <is>
          <t>A 57636-2022</t>
        </is>
      </c>
      <c r="B8773" s="1" t="n">
        <v>44897</v>
      </c>
      <c r="C8773" s="1" t="n">
        <v>46093</v>
      </c>
      <c r="D8773" t="inlineStr">
        <is>
          <t>VÄSTERNORRLANDS LÄN</t>
        </is>
      </c>
      <c r="E8773" t="inlineStr">
        <is>
          <t>ÅNGE</t>
        </is>
      </c>
      <c r="G8773" t="n">
        <v>0.8</v>
      </c>
      <c r="H8773" t="n">
        <v>0</v>
      </c>
      <c r="I8773" t="n">
        <v>0</v>
      </c>
      <c r="J8773" t="n">
        <v>0</v>
      </c>
      <c r="K8773" t="n">
        <v>0</v>
      </c>
      <c r="L8773" t="n">
        <v>0</v>
      </c>
      <c r="M8773" t="n">
        <v>0</v>
      </c>
      <c r="N8773" t="n">
        <v>0</v>
      </c>
      <c r="O8773" t="n">
        <v>0</v>
      </c>
      <c r="P8773" t="n">
        <v>0</v>
      </c>
      <c r="Q8773" t="n">
        <v>0</v>
      </c>
      <c r="R8773" s="2" t="inlineStr"/>
    </row>
    <row r="8774" ht="15" customHeight="1">
      <c r="A8774" t="inlineStr">
        <is>
          <t>A 55165-2023</t>
        </is>
      </c>
      <c r="B8774" s="1" t="n">
        <v>45237</v>
      </c>
      <c r="C8774" s="1" t="n">
        <v>46093</v>
      </c>
      <c r="D8774" t="inlineStr">
        <is>
          <t>VÄSTERNORRLANDS LÄN</t>
        </is>
      </c>
      <c r="E8774" t="inlineStr">
        <is>
          <t>ÖRNSKÖLDSVIK</t>
        </is>
      </c>
      <c r="F8774" t="inlineStr">
        <is>
          <t>Holmen skog AB</t>
        </is>
      </c>
      <c r="G8774" t="n">
        <v>3.1</v>
      </c>
      <c r="H8774" t="n">
        <v>0</v>
      </c>
      <c r="I8774" t="n">
        <v>0</v>
      </c>
      <c r="J8774" t="n">
        <v>0</v>
      </c>
      <c r="K8774" t="n">
        <v>0</v>
      </c>
      <c r="L8774" t="n">
        <v>0</v>
      </c>
      <c r="M8774" t="n">
        <v>0</v>
      </c>
      <c r="N8774" t="n">
        <v>0</v>
      </c>
      <c r="O8774" t="n">
        <v>0</v>
      </c>
      <c r="P8774" t="n">
        <v>0</v>
      </c>
      <c r="Q8774" t="n">
        <v>0</v>
      </c>
      <c r="R8774" s="2" t="inlineStr"/>
    </row>
    <row r="8775" ht="15" customHeight="1">
      <c r="A8775" t="inlineStr">
        <is>
          <t>A 59610-2025</t>
        </is>
      </c>
      <c r="B8775" s="1" t="n">
        <v>45992.36791666667</v>
      </c>
      <c r="C8775" s="1" t="n">
        <v>46093</v>
      </c>
      <c r="D8775" t="inlineStr">
        <is>
          <t>VÄSTERNORRLANDS LÄN</t>
        </is>
      </c>
      <c r="E8775" t="inlineStr">
        <is>
          <t>SUNDSVALL</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59648-2025</t>
        </is>
      </c>
      <c r="B8776" s="1" t="n">
        <v>45992.42827546296</v>
      </c>
      <c r="C8776" s="1" t="n">
        <v>46093</v>
      </c>
      <c r="D8776" t="inlineStr">
        <is>
          <t>VÄSTERNORRLANDS LÄN</t>
        </is>
      </c>
      <c r="E8776" t="inlineStr">
        <is>
          <t>SOLLEFTEÅ</t>
        </is>
      </c>
      <c r="G8776" t="n">
        <v>1.3</v>
      </c>
      <c r="H8776" t="n">
        <v>0</v>
      </c>
      <c r="I8776" t="n">
        <v>0</v>
      </c>
      <c r="J8776" t="n">
        <v>0</v>
      </c>
      <c r="K8776" t="n">
        <v>0</v>
      </c>
      <c r="L8776" t="n">
        <v>0</v>
      </c>
      <c r="M8776" t="n">
        <v>0</v>
      </c>
      <c r="N8776" t="n">
        <v>0</v>
      </c>
      <c r="O8776" t="n">
        <v>0</v>
      </c>
      <c r="P8776" t="n">
        <v>0</v>
      </c>
      <c r="Q8776" t="n">
        <v>0</v>
      </c>
      <c r="R8776" s="2" t="inlineStr"/>
    </row>
    <row r="8777" ht="15" customHeight="1">
      <c r="A8777" t="inlineStr">
        <is>
          <t>A 61391-2022</t>
        </is>
      </c>
      <c r="B8777" s="1" t="n">
        <v>44915.94334490741</v>
      </c>
      <c r="C8777" s="1" t="n">
        <v>46093</v>
      </c>
      <c r="D8777" t="inlineStr">
        <is>
          <t>VÄSTERNORRLANDS LÄN</t>
        </is>
      </c>
      <c r="E8777" t="inlineStr">
        <is>
          <t>SOLLEFTEÅ</t>
        </is>
      </c>
      <c r="F8777" t="inlineStr">
        <is>
          <t>SCA</t>
        </is>
      </c>
      <c r="G8777" t="n">
        <v>1.4</v>
      </c>
      <c r="H8777" t="n">
        <v>0</v>
      </c>
      <c r="I8777" t="n">
        <v>0</v>
      </c>
      <c r="J8777" t="n">
        <v>0</v>
      </c>
      <c r="K8777" t="n">
        <v>0</v>
      </c>
      <c r="L8777" t="n">
        <v>0</v>
      </c>
      <c r="M8777" t="n">
        <v>0</v>
      </c>
      <c r="N8777" t="n">
        <v>0</v>
      </c>
      <c r="O8777" t="n">
        <v>0</v>
      </c>
      <c r="P8777" t="n">
        <v>0</v>
      </c>
      <c r="Q8777" t="n">
        <v>0</v>
      </c>
      <c r="R8777" s="2" t="inlineStr"/>
    </row>
    <row r="8778" ht="15" customHeight="1">
      <c r="A8778" t="inlineStr">
        <is>
          <t>A 55021-2023</t>
        </is>
      </c>
      <c r="B8778" s="1" t="n">
        <v>45237</v>
      </c>
      <c r="C8778" s="1" t="n">
        <v>46093</v>
      </c>
      <c r="D8778" t="inlineStr">
        <is>
          <t>VÄSTERNORRLANDS LÄN</t>
        </is>
      </c>
      <c r="E8778" t="inlineStr">
        <is>
          <t>ÖRNSKÖLDSVIK</t>
        </is>
      </c>
      <c r="G8778" t="n">
        <v>0.9</v>
      </c>
      <c r="H8778" t="n">
        <v>0</v>
      </c>
      <c r="I8778" t="n">
        <v>0</v>
      </c>
      <c r="J8778" t="n">
        <v>0</v>
      </c>
      <c r="K8778" t="n">
        <v>0</v>
      </c>
      <c r="L8778" t="n">
        <v>0</v>
      </c>
      <c r="M8778" t="n">
        <v>0</v>
      </c>
      <c r="N8778" t="n">
        <v>0</v>
      </c>
      <c r="O8778" t="n">
        <v>0</v>
      </c>
      <c r="P8778" t="n">
        <v>0</v>
      </c>
      <c r="Q8778" t="n">
        <v>0</v>
      </c>
      <c r="R8778" s="2" t="inlineStr"/>
    </row>
    <row r="8779" ht="15" customHeight="1">
      <c r="A8779" t="inlineStr">
        <is>
          <t>A 59560-2025</t>
        </is>
      </c>
      <c r="B8779" s="1" t="n">
        <v>45991</v>
      </c>
      <c r="C8779" s="1" t="n">
        <v>46093</v>
      </c>
      <c r="D8779" t="inlineStr">
        <is>
          <t>VÄSTERNORRLANDS LÄN</t>
        </is>
      </c>
      <c r="E8779" t="inlineStr">
        <is>
          <t>ÖRNSKÖLDSVIK</t>
        </is>
      </c>
      <c r="F8779" t="inlineStr">
        <is>
          <t>Holmen skog AB</t>
        </is>
      </c>
      <c r="G8779" t="n">
        <v>6.6</v>
      </c>
      <c r="H8779" t="n">
        <v>0</v>
      </c>
      <c r="I8779" t="n">
        <v>0</v>
      </c>
      <c r="J8779" t="n">
        <v>0</v>
      </c>
      <c r="K8779" t="n">
        <v>0</v>
      </c>
      <c r="L8779" t="n">
        <v>0</v>
      </c>
      <c r="M8779" t="n">
        <v>0</v>
      </c>
      <c r="N8779" t="n">
        <v>0</v>
      </c>
      <c r="O8779" t="n">
        <v>0</v>
      </c>
      <c r="P8779" t="n">
        <v>0</v>
      </c>
      <c r="Q8779" t="n">
        <v>0</v>
      </c>
      <c r="R8779" s="2" t="inlineStr"/>
    </row>
    <row r="8780" ht="15" customHeight="1">
      <c r="A8780" t="inlineStr">
        <is>
          <t>A 13554-2023</t>
        </is>
      </c>
      <c r="B8780" s="1" t="n">
        <v>45005</v>
      </c>
      <c r="C8780" s="1" t="n">
        <v>46093</v>
      </c>
      <c r="D8780" t="inlineStr">
        <is>
          <t>VÄSTERNORRLANDS LÄN</t>
        </is>
      </c>
      <c r="E8780" t="inlineStr">
        <is>
          <t>SOLLEFTEÅ</t>
        </is>
      </c>
      <c r="G8780" t="n">
        <v>2.7</v>
      </c>
      <c r="H8780" t="n">
        <v>0</v>
      </c>
      <c r="I8780" t="n">
        <v>0</v>
      </c>
      <c r="J8780" t="n">
        <v>0</v>
      </c>
      <c r="K8780" t="n">
        <v>0</v>
      </c>
      <c r="L8780" t="n">
        <v>0</v>
      </c>
      <c r="M8780" t="n">
        <v>0</v>
      </c>
      <c r="N8780" t="n">
        <v>0</v>
      </c>
      <c r="O8780" t="n">
        <v>0</v>
      </c>
      <c r="P8780" t="n">
        <v>0</v>
      </c>
      <c r="Q8780" t="n">
        <v>0</v>
      </c>
      <c r="R8780" s="2" t="inlineStr"/>
    </row>
    <row r="8781" ht="15" customHeight="1">
      <c r="A8781" t="inlineStr">
        <is>
          <t>A 40153-2024</t>
        </is>
      </c>
      <c r="B8781" s="1" t="n">
        <v>45554.5266087963</v>
      </c>
      <c r="C8781" s="1" t="n">
        <v>46093</v>
      </c>
      <c r="D8781" t="inlineStr">
        <is>
          <t>VÄSTERNORRLANDS LÄN</t>
        </is>
      </c>
      <c r="E8781" t="inlineStr">
        <is>
          <t>ÖRNSKÖLDSVIK</t>
        </is>
      </c>
      <c r="F8781" t="inlineStr">
        <is>
          <t>Holmen skog AB</t>
        </is>
      </c>
      <c r="G8781" t="n">
        <v>2</v>
      </c>
      <c r="H8781" t="n">
        <v>0</v>
      </c>
      <c r="I8781" t="n">
        <v>0</v>
      </c>
      <c r="J8781" t="n">
        <v>0</v>
      </c>
      <c r="K8781" t="n">
        <v>0</v>
      </c>
      <c r="L8781" t="n">
        <v>0</v>
      </c>
      <c r="M8781" t="n">
        <v>0</v>
      </c>
      <c r="N8781" t="n">
        <v>0</v>
      </c>
      <c r="O8781" t="n">
        <v>0</v>
      </c>
      <c r="P8781" t="n">
        <v>0</v>
      </c>
      <c r="Q8781" t="n">
        <v>0</v>
      </c>
      <c r="R8781" s="2" t="inlineStr"/>
    </row>
    <row r="8782" ht="15" customHeight="1">
      <c r="A8782" t="inlineStr">
        <is>
          <t>A 29092-2024</t>
        </is>
      </c>
      <c r="B8782" s="1" t="n">
        <v>45481.93005787037</v>
      </c>
      <c r="C8782" s="1" t="n">
        <v>46093</v>
      </c>
      <c r="D8782" t="inlineStr">
        <is>
          <t>VÄSTERNORRLANDS LÄN</t>
        </is>
      </c>
      <c r="E8782" t="inlineStr">
        <is>
          <t>ÖRNSKÖLDSVIK</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59589-2025</t>
        </is>
      </c>
      <c r="B8783" s="1" t="n">
        <v>45992</v>
      </c>
      <c r="C8783" s="1" t="n">
        <v>46093</v>
      </c>
      <c r="D8783" t="inlineStr">
        <is>
          <t>VÄSTERNORRLANDS LÄN</t>
        </is>
      </c>
      <c r="E8783" t="inlineStr">
        <is>
          <t>ÖRNSKÖLDSVIK</t>
        </is>
      </c>
      <c r="G8783" t="n">
        <v>2.6</v>
      </c>
      <c r="H8783" t="n">
        <v>0</v>
      </c>
      <c r="I8783" t="n">
        <v>0</v>
      </c>
      <c r="J8783" t="n">
        <v>0</v>
      </c>
      <c r="K8783" t="n">
        <v>0</v>
      </c>
      <c r="L8783" t="n">
        <v>0</v>
      </c>
      <c r="M8783" t="n">
        <v>0</v>
      </c>
      <c r="N8783" t="n">
        <v>0</v>
      </c>
      <c r="O8783" t="n">
        <v>0</v>
      </c>
      <c r="P8783" t="n">
        <v>0</v>
      </c>
      <c r="Q8783" t="n">
        <v>0</v>
      </c>
      <c r="R8783" s="2" t="inlineStr"/>
    </row>
    <row r="8784" ht="15" customHeight="1">
      <c r="A8784" t="inlineStr">
        <is>
          <t>A 40655-2024</t>
        </is>
      </c>
      <c r="B8784" s="1" t="n">
        <v>45558.34414351852</v>
      </c>
      <c r="C8784" s="1" t="n">
        <v>46093</v>
      </c>
      <c r="D8784" t="inlineStr">
        <is>
          <t>VÄSTERNORRLANDS LÄN</t>
        </is>
      </c>
      <c r="E8784" t="inlineStr">
        <is>
          <t>SOLLEFTEÅ</t>
        </is>
      </c>
      <c r="G8784" t="n">
        <v>2.5</v>
      </c>
      <c r="H8784" t="n">
        <v>0</v>
      </c>
      <c r="I8784" t="n">
        <v>0</v>
      </c>
      <c r="J8784" t="n">
        <v>0</v>
      </c>
      <c r="K8784" t="n">
        <v>0</v>
      </c>
      <c r="L8784" t="n">
        <v>0</v>
      </c>
      <c r="M8784" t="n">
        <v>0</v>
      </c>
      <c r="N8784" t="n">
        <v>0</v>
      </c>
      <c r="O8784" t="n">
        <v>0</v>
      </c>
      <c r="P8784" t="n">
        <v>0</v>
      </c>
      <c r="Q8784" t="n">
        <v>0</v>
      </c>
      <c r="R8784" s="2" t="inlineStr"/>
    </row>
    <row r="8785" ht="15" customHeight="1">
      <c r="A8785" t="inlineStr">
        <is>
          <t>A 59625-2025</t>
        </is>
      </c>
      <c r="B8785" s="1" t="n">
        <v>45992.38886574074</v>
      </c>
      <c r="C8785" s="1" t="n">
        <v>46093</v>
      </c>
      <c r="D8785" t="inlineStr">
        <is>
          <t>VÄSTERNORRLANDS LÄN</t>
        </is>
      </c>
      <c r="E8785" t="inlineStr">
        <is>
          <t>SUNDSVALL</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59639-2025</t>
        </is>
      </c>
      <c r="B8786" s="1" t="n">
        <v>45992</v>
      </c>
      <c r="C8786" s="1" t="n">
        <v>46093</v>
      </c>
      <c r="D8786" t="inlineStr">
        <is>
          <t>VÄSTERNORRLANDS LÄN</t>
        </is>
      </c>
      <c r="E8786" t="inlineStr">
        <is>
          <t>KRAMFORS</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59641-2025</t>
        </is>
      </c>
      <c r="B8787" s="1" t="n">
        <v>45992.4175925926</v>
      </c>
      <c r="C8787" s="1" t="n">
        <v>46093</v>
      </c>
      <c r="D8787" t="inlineStr">
        <is>
          <t>VÄSTERNORRLANDS LÄN</t>
        </is>
      </c>
      <c r="E8787" t="inlineStr">
        <is>
          <t>ÅNGE</t>
        </is>
      </c>
      <c r="G8787" t="n">
        <v>6.2</v>
      </c>
      <c r="H8787" t="n">
        <v>0</v>
      </c>
      <c r="I8787" t="n">
        <v>0</v>
      </c>
      <c r="J8787" t="n">
        <v>0</v>
      </c>
      <c r="K8787" t="n">
        <v>0</v>
      </c>
      <c r="L8787" t="n">
        <v>0</v>
      </c>
      <c r="M8787" t="n">
        <v>0</v>
      </c>
      <c r="N8787" t="n">
        <v>0</v>
      </c>
      <c r="O8787" t="n">
        <v>0</v>
      </c>
      <c r="P8787" t="n">
        <v>0</v>
      </c>
      <c r="Q8787" t="n">
        <v>0</v>
      </c>
      <c r="R8787" s="2" t="inlineStr"/>
    </row>
    <row r="8788" ht="15" customHeight="1">
      <c r="A8788" t="inlineStr">
        <is>
          <t>A 59645-2025</t>
        </is>
      </c>
      <c r="B8788" s="1" t="n">
        <v>45992.42796296296</v>
      </c>
      <c r="C8788" s="1" t="n">
        <v>46093</v>
      </c>
      <c r="D8788" t="inlineStr">
        <is>
          <t>VÄSTERNORRLANDS LÄN</t>
        </is>
      </c>
      <c r="E8788" t="inlineStr">
        <is>
          <t>SOLLEFTEÅ</t>
        </is>
      </c>
      <c r="F8788" t="inlineStr">
        <is>
          <t>SCA</t>
        </is>
      </c>
      <c r="G8788" t="n">
        <v>6.4</v>
      </c>
      <c r="H8788" t="n">
        <v>0</v>
      </c>
      <c r="I8788" t="n">
        <v>0</v>
      </c>
      <c r="J8788" t="n">
        <v>0</v>
      </c>
      <c r="K8788" t="n">
        <v>0</v>
      </c>
      <c r="L8788" t="n">
        <v>0</v>
      </c>
      <c r="M8788" t="n">
        <v>0</v>
      </c>
      <c r="N8788" t="n">
        <v>0</v>
      </c>
      <c r="O8788" t="n">
        <v>0</v>
      </c>
      <c r="P8788" t="n">
        <v>0</v>
      </c>
      <c r="Q8788" t="n">
        <v>0</v>
      </c>
      <c r="R8788" s="2" t="inlineStr"/>
    </row>
    <row r="8789" ht="15" customHeight="1">
      <c r="A8789" t="inlineStr">
        <is>
          <t>A 52334-2022</t>
        </is>
      </c>
      <c r="B8789" s="1" t="n">
        <v>44873</v>
      </c>
      <c r="C8789" s="1" t="n">
        <v>46093</v>
      </c>
      <c r="D8789" t="inlineStr">
        <is>
          <t>VÄSTERNORRLANDS LÄN</t>
        </is>
      </c>
      <c r="E8789" t="inlineStr">
        <is>
          <t>SUNDSVALL</t>
        </is>
      </c>
      <c r="G8789" t="n">
        <v>2</v>
      </c>
      <c r="H8789" t="n">
        <v>0</v>
      </c>
      <c r="I8789" t="n">
        <v>0</v>
      </c>
      <c r="J8789" t="n">
        <v>0</v>
      </c>
      <c r="K8789" t="n">
        <v>0</v>
      </c>
      <c r="L8789" t="n">
        <v>0</v>
      </c>
      <c r="M8789" t="n">
        <v>0</v>
      </c>
      <c r="N8789" t="n">
        <v>0</v>
      </c>
      <c r="O8789" t="n">
        <v>0</v>
      </c>
      <c r="P8789" t="n">
        <v>0</v>
      </c>
      <c r="Q8789" t="n">
        <v>0</v>
      </c>
      <c r="R8789" s="2" t="inlineStr"/>
    </row>
    <row r="8790" ht="15" customHeight="1">
      <c r="A8790" t="inlineStr">
        <is>
          <t>A 19900-2025</t>
        </is>
      </c>
      <c r="B8790" s="1" t="n">
        <v>45771.588125</v>
      </c>
      <c r="C8790" s="1" t="n">
        <v>46093</v>
      </c>
      <c r="D8790" t="inlineStr">
        <is>
          <t>VÄSTERNORRLANDS LÄN</t>
        </is>
      </c>
      <c r="E8790" t="inlineStr">
        <is>
          <t>HÄRNÖSAND</t>
        </is>
      </c>
      <c r="G8790" t="n">
        <v>2.5</v>
      </c>
      <c r="H8790" t="n">
        <v>0</v>
      </c>
      <c r="I8790" t="n">
        <v>0</v>
      </c>
      <c r="J8790" t="n">
        <v>0</v>
      </c>
      <c r="K8790" t="n">
        <v>0</v>
      </c>
      <c r="L8790" t="n">
        <v>0</v>
      </c>
      <c r="M8790" t="n">
        <v>0</v>
      </c>
      <c r="N8790" t="n">
        <v>0</v>
      </c>
      <c r="O8790" t="n">
        <v>0</v>
      </c>
      <c r="P8790" t="n">
        <v>0</v>
      </c>
      <c r="Q8790" t="n">
        <v>0</v>
      </c>
      <c r="R8790" s="2" t="inlineStr"/>
    </row>
    <row r="8791" ht="15" customHeight="1">
      <c r="A8791" t="inlineStr">
        <is>
          <t>A 42094-2024</t>
        </is>
      </c>
      <c r="B8791" s="1" t="n">
        <v>45562</v>
      </c>
      <c r="C8791" s="1" t="n">
        <v>46093</v>
      </c>
      <c r="D8791" t="inlineStr">
        <is>
          <t>VÄSTERNORRLANDS LÄN</t>
        </is>
      </c>
      <c r="E8791" t="inlineStr">
        <is>
          <t>TIMRÅ</t>
        </is>
      </c>
      <c r="F8791" t="inlineStr">
        <is>
          <t>SCA</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34971-2023</t>
        </is>
      </c>
      <c r="B8792" s="1" t="n">
        <v>45142.61635416667</v>
      </c>
      <c r="C8792" s="1" t="n">
        <v>46093</v>
      </c>
      <c r="D8792" t="inlineStr">
        <is>
          <t>VÄSTERNORRLANDS LÄN</t>
        </is>
      </c>
      <c r="E8792" t="inlineStr">
        <is>
          <t>ÅNGE</t>
        </is>
      </c>
      <c r="F8792" t="inlineStr">
        <is>
          <t>Sveaskog</t>
        </is>
      </c>
      <c r="G8792" t="n">
        <v>4.5</v>
      </c>
      <c r="H8792" t="n">
        <v>0</v>
      </c>
      <c r="I8792" t="n">
        <v>0</v>
      </c>
      <c r="J8792" t="n">
        <v>0</v>
      </c>
      <c r="K8792" t="n">
        <v>0</v>
      </c>
      <c r="L8792" t="n">
        <v>0</v>
      </c>
      <c r="M8792" t="n">
        <v>0</v>
      </c>
      <c r="N8792" t="n">
        <v>0</v>
      </c>
      <c r="O8792" t="n">
        <v>0</v>
      </c>
      <c r="P8792" t="n">
        <v>0</v>
      </c>
      <c r="Q8792" t="n">
        <v>0</v>
      </c>
      <c r="R8792" s="2" t="inlineStr"/>
    </row>
    <row r="8793" ht="15" customHeight="1">
      <c r="A8793" t="inlineStr">
        <is>
          <t>A 50013-2024</t>
        </is>
      </c>
      <c r="B8793" s="1" t="n">
        <v>45598.85898148148</v>
      </c>
      <c r="C8793" s="1" t="n">
        <v>46093</v>
      </c>
      <c r="D8793" t="inlineStr">
        <is>
          <t>VÄSTERNORRLANDS LÄN</t>
        </is>
      </c>
      <c r="E8793" t="inlineStr">
        <is>
          <t>SUNDSVALL</t>
        </is>
      </c>
      <c r="G8793" t="n">
        <v>1.8</v>
      </c>
      <c r="H8793" t="n">
        <v>0</v>
      </c>
      <c r="I8793" t="n">
        <v>0</v>
      </c>
      <c r="J8793" t="n">
        <v>0</v>
      </c>
      <c r="K8793" t="n">
        <v>0</v>
      </c>
      <c r="L8793" t="n">
        <v>0</v>
      </c>
      <c r="M8793" t="n">
        <v>0</v>
      </c>
      <c r="N8793" t="n">
        <v>0</v>
      </c>
      <c r="O8793" t="n">
        <v>0</v>
      </c>
      <c r="P8793" t="n">
        <v>0</v>
      </c>
      <c r="Q8793" t="n">
        <v>0</v>
      </c>
      <c r="R8793" s="2" t="inlineStr"/>
    </row>
    <row r="8794" ht="15" customHeight="1">
      <c r="A8794" t="inlineStr">
        <is>
          <t>A 59647-2025</t>
        </is>
      </c>
      <c r="B8794" s="1" t="n">
        <v>45992.42819444444</v>
      </c>
      <c r="C8794" s="1" t="n">
        <v>46093</v>
      </c>
      <c r="D8794" t="inlineStr">
        <is>
          <t>VÄSTERNORRLANDS LÄN</t>
        </is>
      </c>
      <c r="E8794" t="inlineStr">
        <is>
          <t>SUNDSVALL</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53325-2024</t>
        </is>
      </c>
      <c r="B8795" s="1" t="n">
        <v>45614.41177083334</v>
      </c>
      <c r="C8795" s="1" t="n">
        <v>46093</v>
      </c>
      <c r="D8795" t="inlineStr">
        <is>
          <t>VÄSTERNORRLANDS LÄN</t>
        </is>
      </c>
      <c r="E8795" t="inlineStr">
        <is>
          <t>SOLLEFTEÅ</t>
        </is>
      </c>
      <c r="G8795" t="n">
        <v>9.6</v>
      </c>
      <c r="H8795" t="n">
        <v>0</v>
      </c>
      <c r="I8795" t="n">
        <v>0</v>
      </c>
      <c r="J8795" t="n">
        <v>0</v>
      </c>
      <c r="K8795" t="n">
        <v>0</v>
      </c>
      <c r="L8795" t="n">
        <v>0</v>
      </c>
      <c r="M8795" t="n">
        <v>0</v>
      </c>
      <c r="N8795" t="n">
        <v>0</v>
      </c>
      <c r="O8795" t="n">
        <v>0</v>
      </c>
      <c r="P8795" t="n">
        <v>0</v>
      </c>
      <c r="Q8795" t="n">
        <v>0</v>
      </c>
      <c r="R8795" s="2" t="inlineStr"/>
    </row>
    <row r="8796" ht="15" customHeight="1">
      <c r="A8796" t="inlineStr">
        <is>
          <t>A 36844-2023</t>
        </is>
      </c>
      <c r="B8796" s="1" t="n">
        <v>45154</v>
      </c>
      <c r="C8796" s="1" t="n">
        <v>46093</v>
      </c>
      <c r="D8796" t="inlineStr">
        <is>
          <t>VÄSTERNORRLANDS LÄN</t>
        </is>
      </c>
      <c r="E8796" t="inlineStr">
        <is>
          <t>SUNDSVALL</t>
        </is>
      </c>
      <c r="G8796" t="n">
        <v>4.6</v>
      </c>
      <c r="H8796" t="n">
        <v>0</v>
      </c>
      <c r="I8796" t="n">
        <v>0</v>
      </c>
      <c r="J8796" t="n">
        <v>0</v>
      </c>
      <c r="K8796" t="n">
        <v>0</v>
      </c>
      <c r="L8796" t="n">
        <v>0</v>
      </c>
      <c r="M8796" t="n">
        <v>0</v>
      </c>
      <c r="N8796" t="n">
        <v>0</v>
      </c>
      <c r="O8796" t="n">
        <v>0</v>
      </c>
      <c r="P8796" t="n">
        <v>0</v>
      </c>
      <c r="Q8796" t="n">
        <v>0</v>
      </c>
      <c r="R8796" s="2" t="inlineStr"/>
    </row>
    <row r="8797" ht="15" customHeight="1">
      <c r="A8797" t="inlineStr">
        <is>
          <t>A 48767-2023</t>
        </is>
      </c>
      <c r="B8797" s="1" t="n">
        <v>45208</v>
      </c>
      <c r="C8797" s="1" t="n">
        <v>46093</v>
      </c>
      <c r="D8797" t="inlineStr">
        <is>
          <t>VÄSTERNORRLANDS LÄN</t>
        </is>
      </c>
      <c r="E8797" t="inlineStr">
        <is>
          <t>SOLLEFTEÅ</t>
        </is>
      </c>
      <c r="F8797" t="inlineStr">
        <is>
          <t>SCA</t>
        </is>
      </c>
      <c r="G8797" t="n">
        <v>1.8</v>
      </c>
      <c r="H8797" t="n">
        <v>0</v>
      </c>
      <c r="I8797" t="n">
        <v>0</v>
      </c>
      <c r="J8797" t="n">
        <v>0</v>
      </c>
      <c r="K8797" t="n">
        <v>0</v>
      </c>
      <c r="L8797" t="n">
        <v>0</v>
      </c>
      <c r="M8797" t="n">
        <v>0</v>
      </c>
      <c r="N8797" t="n">
        <v>0</v>
      </c>
      <c r="O8797" t="n">
        <v>0</v>
      </c>
      <c r="P8797" t="n">
        <v>0</v>
      </c>
      <c r="Q8797" t="n">
        <v>0</v>
      </c>
      <c r="R8797" s="2" t="inlineStr"/>
    </row>
    <row r="8798" ht="15" customHeight="1">
      <c r="A8798" t="inlineStr">
        <is>
          <t>A 54789-2024</t>
        </is>
      </c>
      <c r="B8798" s="1" t="n">
        <v>45618.4962962963</v>
      </c>
      <c r="C8798" s="1" t="n">
        <v>46093</v>
      </c>
      <c r="D8798" t="inlineStr">
        <is>
          <t>VÄSTERNORRLANDS LÄN</t>
        </is>
      </c>
      <c r="E8798" t="inlineStr">
        <is>
          <t>SUNDSVALL</t>
        </is>
      </c>
      <c r="G8798" t="n">
        <v>2.2</v>
      </c>
      <c r="H8798" t="n">
        <v>0</v>
      </c>
      <c r="I8798" t="n">
        <v>0</v>
      </c>
      <c r="J8798" t="n">
        <v>0</v>
      </c>
      <c r="K8798" t="n">
        <v>0</v>
      </c>
      <c r="L8798" t="n">
        <v>0</v>
      </c>
      <c r="M8798" t="n">
        <v>0</v>
      </c>
      <c r="N8798" t="n">
        <v>0</v>
      </c>
      <c r="O8798" t="n">
        <v>0</v>
      </c>
      <c r="P8798" t="n">
        <v>0</v>
      </c>
      <c r="Q8798" t="n">
        <v>0</v>
      </c>
      <c r="R8798" s="2" t="inlineStr"/>
    </row>
    <row r="8799" ht="15" customHeight="1">
      <c r="A8799" t="inlineStr">
        <is>
          <t>A 8857-2024</t>
        </is>
      </c>
      <c r="B8799" s="1" t="n">
        <v>45356</v>
      </c>
      <c r="C8799" s="1" t="n">
        <v>46093</v>
      </c>
      <c r="D8799" t="inlineStr">
        <is>
          <t>VÄSTERNORRLANDS LÄN</t>
        </is>
      </c>
      <c r="E8799" t="inlineStr">
        <is>
          <t>KRAMFORS</t>
        </is>
      </c>
      <c r="G8799" t="n">
        <v>2.1</v>
      </c>
      <c r="H8799" t="n">
        <v>0</v>
      </c>
      <c r="I8799" t="n">
        <v>0</v>
      </c>
      <c r="J8799" t="n">
        <v>0</v>
      </c>
      <c r="K8799" t="n">
        <v>0</v>
      </c>
      <c r="L8799" t="n">
        <v>0</v>
      </c>
      <c r="M8799" t="n">
        <v>0</v>
      </c>
      <c r="N8799" t="n">
        <v>0</v>
      </c>
      <c r="O8799" t="n">
        <v>0</v>
      </c>
      <c r="P8799" t="n">
        <v>0</v>
      </c>
      <c r="Q8799" t="n">
        <v>0</v>
      </c>
      <c r="R8799" s="2" t="inlineStr"/>
    </row>
    <row r="8800" ht="15" customHeight="1">
      <c r="A8800" t="inlineStr">
        <is>
          <t>A 59408-2025</t>
        </is>
      </c>
      <c r="B8800" s="1" t="n">
        <v>45989.49541666666</v>
      </c>
      <c r="C8800" s="1" t="n">
        <v>46093</v>
      </c>
      <c r="D8800" t="inlineStr">
        <is>
          <t>VÄSTERNORRLANDS LÄN</t>
        </is>
      </c>
      <c r="E8800" t="inlineStr">
        <is>
          <t>SOLLEFTEÅ</t>
        </is>
      </c>
      <c r="F8800" t="inlineStr">
        <is>
          <t>Holmen skog AB</t>
        </is>
      </c>
      <c r="G8800" t="n">
        <v>11.5</v>
      </c>
      <c r="H8800" t="n">
        <v>0</v>
      </c>
      <c r="I8800" t="n">
        <v>0</v>
      </c>
      <c r="J8800" t="n">
        <v>0</v>
      </c>
      <c r="K8800" t="n">
        <v>0</v>
      </c>
      <c r="L8800" t="n">
        <v>0</v>
      </c>
      <c r="M8800" t="n">
        <v>0</v>
      </c>
      <c r="N8800" t="n">
        <v>0</v>
      </c>
      <c r="O8800" t="n">
        <v>0</v>
      </c>
      <c r="P8800" t="n">
        <v>0</v>
      </c>
      <c r="Q8800" t="n">
        <v>0</v>
      </c>
      <c r="R8800" s="2" t="inlineStr"/>
    </row>
    <row r="8801" ht="15" customHeight="1">
      <c r="A8801" t="inlineStr">
        <is>
          <t>A 17580-2025</t>
        </is>
      </c>
      <c r="B8801" s="1" t="n">
        <v>45757.65666666667</v>
      </c>
      <c r="C8801" s="1" t="n">
        <v>46093</v>
      </c>
      <c r="D8801" t="inlineStr">
        <is>
          <t>VÄSTERNORRLANDS LÄN</t>
        </is>
      </c>
      <c r="E8801" t="inlineStr">
        <is>
          <t>KRAMFORS</t>
        </is>
      </c>
      <c r="F8801" t="inlineStr">
        <is>
          <t>SCA</t>
        </is>
      </c>
      <c r="G8801" t="n">
        <v>2.8</v>
      </c>
      <c r="H8801" t="n">
        <v>0</v>
      </c>
      <c r="I8801" t="n">
        <v>0</v>
      </c>
      <c r="J8801" t="n">
        <v>0</v>
      </c>
      <c r="K8801" t="n">
        <v>0</v>
      </c>
      <c r="L8801" t="n">
        <v>0</v>
      </c>
      <c r="M8801" t="n">
        <v>0</v>
      </c>
      <c r="N8801" t="n">
        <v>0</v>
      </c>
      <c r="O8801" t="n">
        <v>0</v>
      </c>
      <c r="P8801" t="n">
        <v>0</v>
      </c>
      <c r="Q8801" t="n">
        <v>0</v>
      </c>
      <c r="R8801" s="2" t="inlineStr"/>
    </row>
    <row r="8802" ht="15" customHeight="1">
      <c r="A8802" t="inlineStr">
        <is>
          <t>A 59319-2025</t>
        </is>
      </c>
      <c r="B8802" s="1" t="n">
        <v>45989.33283564815</v>
      </c>
      <c r="C8802" s="1" t="n">
        <v>46093</v>
      </c>
      <c r="D8802" t="inlineStr">
        <is>
          <t>VÄSTERNORRLANDS LÄN</t>
        </is>
      </c>
      <c r="E8802" t="inlineStr">
        <is>
          <t>ÅNGE</t>
        </is>
      </c>
      <c r="F8802" t="inlineStr">
        <is>
          <t>Sveaskog</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59331-2025</t>
        </is>
      </c>
      <c r="B8803" s="1" t="n">
        <v>45989.35978009259</v>
      </c>
      <c r="C8803" s="1" t="n">
        <v>46093</v>
      </c>
      <c r="D8803" t="inlineStr">
        <is>
          <t>VÄSTERNORRLANDS LÄN</t>
        </is>
      </c>
      <c r="E8803" t="inlineStr">
        <is>
          <t>ÅNGE</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59020-2025</t>
        </is>
      </c>
      <c r="B8804" s="1" t="n">
        <v>45988.34434027778</v>
      </c>
      <c r="C8804" s="1" t="n">
        <v>46093</v>
      </c>
      <c r="D8804" t="inlineStr">
        <is>
          <t>VÄSTERNORRLANDS LÄN</t>
        </is>
      </c>
      <c r="E8804" t="inlineStr">
        <is>
          <t>SUNDSVALL</t>
        </is>
      </c>
      <c r="F8804" t="inlineStr">
        <is>
          <t>SCA</t>
        </is>
      </c>
      <c r="G8804" t="n">
        <v>3.8</v>
      </c>
      <c r="H8804" t="n">
        <v>0</v>
      </c>
      <c r="I8804" t="n">
        <v>0</v>
      </c>
      <c r="J8804" t="n">
        <v>0</v>
      </c>
      <c r="K8804" t="n">
        <v>0</v>
      </c>
      <c r="L8804" t="n">
        <v>0</v>
      </c>
      <c r="M8804" t="n">
        <v>0</v>
      </c>
      <c r="N8804" t="n">
        <v>0</v>
      </c>
      <c r="O8804" t="n">
        <v>0</v>
      </c>
      <c r="P8804" t="n">
        <v>0</v>
      </c>
      <c r="Q8804" t="n">
        <v>0</v>
      </c>
      <c r="R8804" s="2" t="inlineStr"/>
    </row>
    <row r="8805" ht="15" customHeight="1">
      <c r="A8805" t="inlineStr">
        <is>
          <t>A 59835-2024</t>
        </is>
      </c>
      <c r="B8805" s="1" t="n">
        <v>45638</v>
      </c>
      <c r="C8805" s="1" t="n">
        <v>46093</v>
      </c>
      <c r="D8805" t="inlineStr">
        <is>
          <t>VÄSTERNORRLANDS LÄN</t>
        </is>
      </c>
      <c r="E8805" t="inlineStr">
        <is>
          <t>ÖRNSKÖLDSVIK</t>
        </is>
      </c>
      <c r="G8805" t="n">
        <v>3.4</v>
      </c>
      <c r="H8805" t="n">
        <v>0</v>
      </c>
      <c r="I8805" t="n">
        <v>0</v>
      </c>
      <c r="J8805" t="n">
        <v>0</v>
      </c>
      <c r="K8805" t="n">
        <v>0</v>
      </c>
      <c r="L8805" t="n">
        <v>0</v>
      </c>
      <c r="M8805" t="n">
        <v>0</v>
      </c>
      <c r="N8805" t="n">
        <v>0</v>
      </c>
      <c r="O8805" t="n">
        <v>0</v>
      </c>
      <c r="P8805" t="n">
        <v>0</v>
      </c>
      <c r="Q8805" t="n">
        <v>0</v>
      </c>
      <c r="R8805" s="2" t="inlineStr"/>
    </row>
    <row r="8806" ht="15" customHeight="1">
      <c r="A8806" t="inlineStr">
        <is>
          <t>A 9480-2022</t>
        </is>
      </c>
      <c r="B8806" s="1" t="n">
        <v>44616</v>
      </c>
      <c r="C8806" s="1" t="n">
        <v>46093</v>
      </c>
      <c r="D8806" t="inlineStr">
        <is>
          <t>VÄSTERNORRLANDS LÄN</t>
        </is>
      </c>
      <c r="E8806" t="inlineStr">
        <is>
          <t>ÅNGE</t>
        </is>
      </c>
      <c r="G8806" t="n">
        <v>0.3</v>
      </c>
      <c r="H8806" t="n">
        <v>0</v>
      </c>
      <c r="I8806" t="n">
        <v>0</v>
      </c>
      <c r="J8806" t="n">
        <v>0</v>
      </c>
      <c r="K8806" t="n">
        <v>0</v>
      </c>
      <c r="L8806" t="n">
        <v>0</v>
      </c>
      <c r="M8806" t="n">
        <v>0</v>
      </c>
      <c r="N8806" t="n">
        <v>0</v>
      </c>
      <c r="O8806" t="n">
        <v>0</v>
      </c>
      <c r="P8806" t="n">
        <v>0</v>
      </c>
      <c r="Q8806" t="n">
        <v>0</v>
      </c>
      <c r="R8806" s="2" t="inlineStr"/>
    </row>
    <row r="8807" ht="15" customHeight="1">
      <c r="A8807" t="inlineStr">
        <is>
          <t>A 59621-2025</t>
        </is>
      </c>
      <c r="B8807" s="1" t="n">
        <v>45992.38445601852</v>
      </c>
      <c r="C8807" s="1" t="n">
        <v>46093</v>
      </c>
      <c r="D8807" t="inlineStr">
        <is>
          <t>VÄSTERNORRLANDS LÄN</t>
        </is>
      </c>
      <c r="E8807" t="inlineStr">
        <is>
          <t>SUNDSVALL</t>
        </is>
      </c>
      <c r="G8807" t="n">
        <v>2.9</v>
      </c>
      <c r="H8807" t="n">
        <v>0</v>
      </c>
      <c r="I8807" t="n">
        <v>0</v>
      </c>
      <c r="J8807" t="n">
        <v>0</v>
      </c>
      <c r="K8807" t="n">
        <v>0</v>
      </c>
      <c r="L8807" t="n">
        <v>0</v>
      </c>
      <c r="M8807" t="n">
        <v>0</v>
      </c>
      <c r="N8807" t="n">
        <v>0</v>
      </c>
      <c r="O8807" t="n">
        <v>0</v>
      </c>
      <c r="P8807" t="n">
        <v>0</v>
      </c>
      <c r="Q8807" t="n">
        <v>0</v>
      </c>
      <c r="R8807" s="2" t="inlineStr"/>
    </row>
    <row r="8808" ht="15" customHeight="1">
      <c r="A8808" t="inlineStr">
        <is>
          <t>A 59679-2025</t>
        </is>
      </c>
      <c r="B8808" s="1" t="n">
        <v>45992.46934027778</v>
      </c>
      <c r="C8808" s="1" t="n">
        <v>46093</v>
      </c>
      <c r="D8808" t="inlineStr">
        <is>
          <t>VÄSTERNORRLANDS LÄN</t>
        </is>
      </c>
      <c r="E8808" t="inlineStr">
        <is>
          <t>SOLLEFTEÅ</t>
        </is>
      </c>
      <c r="G8808" t="n">
        <v>3.3</v>
      </c>
      <c r="H8808" t="n">
        <v>0</v>
      </c>
      <c r="I8808" t="n">
        <v>0</v>
      </c>
      <c r="J8808" t="n">
        <v>0</v>
      </c>
      <c r="K8808" t="n">
        <v>0</v>
      </c>
      <c r="L8808" t="n">
        <v>0</v>
      </c>
      <c r="M8808" t="n">
        <v>0</v>
      </c>
      <c r="N8808" t="n">
        <v>0</v>
      </c>
      <c r="O8808" t="n">
        <v>0</v>
      </c>
      <c r="P8808" t="n">
        <v>0</v>
      </c>
      <c r="Q8808" t="n">
        <v>0</v>
      </c>
      <c r="R8808" s="2" t="inlineStr"/>
    </row>
    <row r="8809" ht="15" customHeight="1">
      <c r="A8809" t="inlineStr">
        <is>
          <t>A 14761-2025</t>
        </is>
      </c>
      <c r="B8809" s="1" t="n">
        <v>45742</v>
      </c>
      <c r="C8809" s="1" t="n">
        <v>46093</v>
      </c>
      <c r="D8809" t="inlineStr">
        <is>
          <t>VÄSTERNORRLANDS LÄN</t>
        </is>
      </c>
      <c r="E8809" t="inlineStr">
        <is>
          <t>ÖRNSKÖLDSVIK</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59541-2025</t>
        </is>
      </c>
      <c r="B8810" s="1" t="n">
        <v>45990.34443287037</v>
      </c>
      <c r="C8810" s="1" t="n">
        <v>46093</v>
      </c>
      <c r="D8810" t="inlineStr">
        <is>
          <t>VÄSTERNORRLANDS LÄN</t>
        </is>
      </c>
      <c r="E8810" t="inlineStr">
        <is>
          <t>SOLLEFTEÅ</t>
        </is>
      </c>
      <c r="F8810" t="inlineStr">
        <is>
          <t>SCA</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46166-2023</t>
        </is>
      </c>
      <c r="B8811" s="1" t="n">
        <v>45190</v>
      </c>
      <c r="C8811" s="1" t="n">
        <v>46093</v>
      </c>
      <c r="D8811" t="inlineStr">
        <is>
          <t>VÄSTERNORRLANDS LÄN</t>
        </is>
      </c>
      <c r="E8811" t="inlineStr">
        <is>
          <t>KRAMFORS</t>
        </is>
      </c>
      <c r="G8811" t="n">
        <v>3</v>
      </c>
      <c r="H8811" t="n">
        <v>0</v>
      </c>
      <c r="I8811" t="n">
        <v>0</v>
      </c>
      <c r="J8811" t="n">
        <v>0</v>
      </c>
      <c r="K8811" t="n">
        <v>0</v>
      </c>
      <c r="L8811" t="n">
        <v>0</v>
      </c>
      <c r="M8811" t="n">
        <v>0</v>
      </c>
      <c r="N8811" t="n">
        <v>0</v>
      </c>
      <c r="O8811" t="n">
        <v>0</v>
      </c>
      <c r="P8811" t="n">
        <v>0</v>
      </c>
      <c r="Q8811" t="n">
        <v>0</v>
      </c>
      <c r="R8811" s="2" t="inlineStr"/>
    </row>
    <row r="8812" ht="15" customHeight="1">
      <c r="A8812" t="inlineStr">
        <is>
          <t>A 59654-2024</t>
        </is>
      </c>
      <c r="B8812" s="1" t="n">
        <v>45639.34680555556</v>
      </c>
      <c r="C8812" s="1" t="n">
        <v>46093</v>
      </c>
      <c r="D8812" t="inlineStr">
        <is>
          <t>VÄSTERNORRLANDS LÄN</t>
        </is>
      </c>
      <c r="E8812" t="inlineStr">
        <is>
          <t>ÖRNSKÖLDSVIK</t>
        </is>
      </c>
      <c r="G8812" t="n">
        <v>6.5</v>
      </c>
      <c r="H8812" t="n">
        <v>0</v>
      </c>
      <c r="I8812" t="n">
        <v>0</v>
      </c>
      <c r="J8812" t="n">
        <v>0</v>
      </c>
      <c r="K8812" t="n">
        <v>0</v>
      </c>
      <c r="L8812" t="n">
        <v>0</v>
      </c>
      <c r="M8812" t="n">
        <v>0</v>
      </c>
      <c r="N8812" t="n">
        <v>0</v>
      </c>
      <c r="O8812" t="n">
        <v>0</v>
      </c>
      <c r="P8812" t="n">
        <v>0</v>
      </c>
      <c r="Q8812" t="n">
        <v>0</v>
      </c>
      <c r="R8812" s="2" t="inlineStr"/>
    </row>
    <row r="8813" ht="15" customHeight="1">
      <c r="A8813" t="inlineStr">
        <is>
          <t>A 59853-2025</t>
        </is>
      </c>
      <c r="B8813" s="1" t="n">
        <v>45992.71846064815</v>
      </c>
      <c r="C8813" s="1" t="n">
        <v>46093</v>
      </c>
      <c r="D8813" t="inlineStr">
        <is>
          <t>VÄSTERNORRLANDS LÄN</t>
        </is>
      </c>
      <c r="E8813" t="inlineStr">
        <is>
          <t>ÖRNSKÖLDSVIK</t>
        </is>
      </c>
      <c r="F8813" t="inlineStr">
        <is>
          <t>Kommuner</t>
        </is>
      </c>
      <c r="G8813" t="n">
        <v>1.7</v>
      </c>
      <c r="H8813" t="n">
        <v>0</v>
      </c>
      <c r="I8813" t="n">
        <v>0</v>
      </c>
      <c r="J8813" t="n">
        <v>0</v>
      </c>
      <c r="K8813" t="n">
        <v>0</v>
      </c>
      <c r="L8813" t="n">
        <v>0</v>
      </c>
      <c r="M8813" t="n">
        <v>0</v>
      </c>
      <c r="N8813" t="n">
        <v>0</v>
      </c>
      <c r="O8813" t="n">
        <v>0</v>
      </c>
      <c r="P8813" t="n">
        <v>0</v>
      </c>
      <c r="Q8813" t="n">
        <v>0</v>
      </c>
      <c r="R8813" s="2" t="inlineStr"/>
    </row>
    <row r="8814" ht="15" customHeight="1">
      <c r="A8814" t="inlineStr">
        <is>
          <t>A 59904-2025</t>
        </is>
      </c>
      <c r="B8814" s="1" t="n">
        <v>45992</v>
      </c>
      <c r="C8814" s="1" t="n">
        <v>46093</v>
      </c>
      <c r="D8814" t="inlineStr">
        <is>
          <t>VÄSTERNORRLANDS LÄN</t>
        </is>
      </c>
      <c r="E8814" t="inlineStr">
        <is>
          <t>SUNDSVALL</t>
        </is>
      </c>
      <c r="G8814" t="n">
        <v>1.5</v>
      </c>
      <c r="H8814" t="n">
        <v>0</v>
      </c>
      <c r="I8814" t="n">
        <v>0</v>
      </c>
      <c r="J8814" t="n">
        <v>0</v>
      </c>
      <c r="K8814" t="n">
        <v>0</v>
      </c>
      <c r="L8814" t="n">
        <v>0</v>
      </c>
      <c r="M8814" t="n">
        <v>0</v>
      </c>
      <c r="N8814" t="n">
        <v>0</v>
      </c>
      <c r="O8814" t="n">
        <v>0</v>
      </c>
      <c r="P8814" t="n">
        <v>0</v>
      </c>
      <c r="Q8814" t="n">
        <v>0</v>
      </c>
      <c r="R8814" s="2" t="inlineStr"/>
    </row>
    <row r="8815" ht="15" customHeight="1">
      <c r="A8815" t="inlineStr">
        <is>
          <t>A 18617-2024</t>
        </is>
      </c>
      <c r="B8815" s="1" t="n">
        <v>45425</v>
      </c>
      <c r="C8815" s="1" t="n">
        <v>46093</v>
      </c>
      <c r="D8815" t="inlineStr">
        <is>
          <t>VÄSTERNORRLANDS LÄN</t>
        </is>
      </c>
      <c r="E8815" t="inlineStr">
        <is>
          <t>ÅNGE</t>
        </is>
      </c>
      <c r="F8815" t="inlineStr">
        <is>
          <t>SCA</t>
        </is>
      </c>
      <c r="G8815" t="n">
        <v>2.6</v>
      </c>
      <c r="H8815" t="n">
        <v>0</v>
      </c>
      <c r="I8815" t="n">
        <v>0</v>
      </c>
      <c r="J8815" t="n">
        <v>0</v>
      </c>
      <c r="K8815" t="n">
        <v>0</v>
      </c>
      <c r="L8815" t="n">
        <v>0</v>
      </c>
      <c r="M8815" t="n">
        <v>0</v>
      </c>
      <c r="N8815" t="n">
        <v>0</v>
      </c>
      <c r="O8815" t="n">
        <v>0</v>
      </c>
      <c r="P8815" t="n">
        <v>0</v>
      </c>
      <c r="Q8815" t="n">
        <v>0</v>
      </c>
      <c r="R8815" s="2" t="inlineStr"/>
    </row>
    <row r="8816" ht="15" customHeight="1">
      <c r="A8816" t="inlineStr">
        <is>
          <t>A 47667-2023</t>
        </is>
      </c>
      <c r="B8816" s="1" t="n">
        <v>45203</v>
      </c>
      <c r="C8816" s="1" t="n">
        <v>46093</v>
      </c>
      <c r="D8816" t="inlineStr">
        <is>
          <t>VÄSTERNORRLANDS LÄN</t>
        </is>
      </c>
      <c r="E8816" t="inlineStr">
        <is>
          <t>ÖRNSKÖLDSVIK</t>
        </is>
      </c>
      <c r="F8816" t="inlineStr">
        <is>
          <t>Holmen skog AB</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59442-2025</t>
        </is>
      </c>
      <c r="B8817" s="1" t="n">
        <v>45989.56134259259</v>
      </c>
      <c r="C8817" s="1" t="n">
        <v>46093</v>
      </c>
      <c r="D8817" t="inlineStr">
        <is>
          <t>VÄSTERNORRLANDS LÄN</t>
        </is>
      </c>
      <c r="E8817" t="inlineStr">
        <is>
          <t>ÖRNSKÖLDSVIK</t>
        </is>
      </c>
      <c r="F8817" t="inlineStr">
        <is>
          <t>Holmen skog AB</t>
        </is>
      </c>
      <c r="G8817" t="n">
        <v>5.5</v>
      </c>
      <c r="H8817" t="n">
        <v>0</v>
      </c>
      <c r="I8817" t="n">
        <v>0</v>
      </c>
      <c r="J8817" t="n">
        <v>0</v>
      </c>
      <c r="K8817" t="n">
        <v>0</v>
      </c>
      <c r="L8817" t="n">
        <v>0</v>
      </c>
      <c r="M8817" t="n">
        <v>0</v>
      </c>
      <c r="N8817" t="n">
        <v>0</v>
      </c>
      <c r="O8817" t="n">
        <v>0</v>
      </c>
      <c r="P8817" t="n">
        <v>0</v>
      </c>
      <c r="Q8817" t="n">
        <v>0</v>
      </c>
      <c r="R8817" s="2" t="inlineStr"/>
    </row>
    <row r="8818" ht="15" customHeight="1">
      <c r="A8818" t="inlineStr">
        <is>
          <t>A 59706-2024</t>
        </is>
      </c>
      <c r="B8818" s="1" t="n">
        <v>45639.44376157408</v>
      </c>
      <c r="C8818" s="1" t="n">
        <v>46093</v>
      </c>
      <c r="D8818" t="inlineStr">
        <is>
          <t>VÄSTERNORRLANDS LÄN</t>
        </is>
      </c>
      <c r="E8818" t="inlineStr">
        <is>
          <t>ÖRNSKÖLDSVIK</t>
        </is>
      </c>
      <c r="F8818" t="inlineStr">
        <is>
          <t>Holmen skog AB</t>
        </is>
      </c>
      <c r="G8818" t="n">
        <v>2.3</v>
      </c>
      <c r="H8818" t="n">
        <v>0</v>
      </c>
      <c r="I8818" t="n">
        <v>0</v>
      </c>
      <c r="J8818" t="n">
        <v>0</v>
      </c>
      <c r="K8818" t="n">
        <v>0</v>
      </c>
      <c r="L8818" t="n">
        <v>0</v>
      </c>
      <c r="M8818" t="n">
        <v>0</v>
      </c>
      <c r="N8818" t="n">
        <v>0</v>
      </c>
      <c r="O8818" t="n">
        <v>0</v>
      </c>
      <c r="P8818" t="n">
        <v>0</v>
      </c>
      <c r="Q8818" t="n">
        <v>0</v>
      </c>
      <c r="R8818" s="2" t="inlineStr"/>
    </row>
    <row r="8819" ht="15" customHeight="1">
      <c r="A8819" t="inlineStr">
        <is>
          <t>A 35147-2023</t>
        </is>
      </c>
      <c r="B8819" s="1" t="n">
        <v>45142</v>
      </c>
      <c r="C8819" s="1" t="n">
        <v>46093</v>
      </c>
      <c r="D8819" t="inlineStr">
        <is>
          <t>VÄSTERNORRLANDS LÄN</t>
        </is>
      </c>
      <c r="E8819" t="inlineStr">
        <is>
          <t>SOLLEFTEÅ</t>
        </is>
      </c>
      <c r="F8819" t="inlineStr">
        <is>
          <t>SCA</t>
        </is>
      </c>
      <c r="G8819" t="n">
        <v>3.9</v>
      </c>
      <c r="H8819" t="n">
        <v>0</v>
      </c>
      <c r="I8819" t="n">
        <v>0</v>
      </c>
      <c r="J8819" t="n">
        <v>0</v>
      </c>
      <c r="K8819" t="n">
        <v>0</v>
      </c>
      <c r="L8819" t="n">
        <v>0</v>
      </c>
      <c r="M8819" t="n">
        <v>0</v>
      </c>
      <c r="N8819" t="n">
        <v>0</v>
      </c>
      <c r="O8819" t="n">
        <v>0</v>
      </c>
      <c r="P8819" t="n">
        <v>0</v>
      </c>
      <c r="Q8819" t="n">
        <v>0</v>
      </c>
      <c r="R8819" s="2" t="inlineStr"/>
    </row>
    <row r="8820" ht="15" customHeight="1">
      <c r="A8820" t="inlineStr">
        <is>
          <t>A 31606-2022</t>
        </is>
      </c>
      <c r="B8820" s="1" t="n">
        <v>44775</v>
      </c>
      <c r="C8820" s="1" t="n">
        <v>46093</v>
      </c>
      <c r="D8820" t="inlineStr">
        <is>
          <t>VÄSTERNORRLANDS LÄN</t>
        </is>
      </c>
      <c r="E8820" t="inlineStr">
        <is>
          <t>KRAMFORS</t>
        </is>
      </c>
      <c r="G8820" t="n">
        <v>2.8</v>
      </c>
      <c r="H8820" t="n">
        <v>0</v>
      </c>
      <c r="I8820" t="n">
        <v>0</v>
      </c>
      <c r="J8820" t="n">
        <v>0</v>
      </c>
      <c r="K8820" t="n">
        <v>0</v>
      </c>
      <c r="L8820" t="n">
        <v>0</v>
      </c>
      <c r="M8820" t="n">
        <v>0</v>
      </c>
      <c r="N8820" t="n">
        <v>0</v>
      </c>
      <c r="O8820" t="n">
        <v>0</v>
      </c>
      <c r="P8820" t="n">
        <v>0</v>
      </c>
      <c r="Q8820" t="n">
        <v>0</v>
      </c>
      <c r="R8820" s="2" t="inlineStr"/>
    </row>
    <row r="8821" ht="15" customHeight="1">
      <c r="A8821" t="inlineStr">
        <is>
          <t>A 52685-2024</t>
        </is>
      </c>
      <c r="B8821" s="1" t="n">
        <v>45610</v>
      </c>
      <c r="C8821" s="1" t="n">
        <v>46093</v>
      </c>
      <c r="D8821" t="inlineStr">
        <is>
          <t>VÄSTERNORRLANDS LÄN</t>
        </is>
      </c>
      <c r="E8821" t="inlineStr">
        <is>
          <t>ÅNGE</t>
        </is>
      </c>
      <c r="G8821" t="n">
        <v>2.3</v>
      </c>
      <c r="H8821" t="n">
        <v>0</v>
      </c>
      <c r="I8821" t="n">
        <v>0</v>
      </c>
      <c r="J8821" t="n">
        <v>0</v>
      </c>
      <c r="K8821" t="n">
        <v>0</v>
      </c>
      <c r="L8821" t="n">
        <v>0</v>
      </c>
      <c r="M8821" t="n">
        <v>0</v>
      </c>
      <c r="N8821" t="n">
        <v>0</v>
      </c>
      <c r="O8821" t="n">
        <v>0</v>
      </c>
      <c r="P8821" t="n">
        <v>0</v>
      </c>
      <c r="Q8821" t="n">
        <v>0</v>
      </c>
      <c r="R8821" s="2" t="inlineStr"/>
    </row>
    <row r="8822" ht="15" customHeight="1">
      <c r="A8822" t="inlineStr">
        <is>
          <t>A 534-2025</t>
        </is>
      </c>
      <c r="B8822" s="1" t="n">
        <v>45664.5120949074</v>
      </c>
      <c r="C8822" s="1" t="n">
        <v>46093</v>
      </c>
      <c r="D8822" t="inlineStr">
        <is>
          <t>VÄSTERNORRLANDS LÄN</t>
        </is>
      </c>
      <c r="E8822" t="inlineStr">
        <is>
          <t>KRAMFORS</t>
        </is>
      </c>
      <c r="G8822" t="n">
        <v>2.4</v>
      </c>
      <c r="H8822" t="n">
        <v>0</v>
      </c>
      <c r="I8822" t="n">
        <v>0</v>
      </c>
      <c r="J8822" t="n">
        <v>0</v>
      </c>
      <c r="K8822" t="n">
        <v>0</v>
      </c>
      <c r="L8822" t="n">
        <v>0</v>
      </c>
      <c r="M8822" t="n">
        <v>0</v>
      </c>
      <c r="N8822" t="n">
        <v>0</v>
      </c>
      <c r="O8822" t="n">
        <v>0</v>
      </c>
      <c r="P8822" t="n">
        <v>0</v>
      </c>
      <c r="Q8822" t="n">
        <v>0</v>
      </c>
      <c r="R8822" s="2" t="inlineStr"/>
    </row>
    <row r="8823" ht="15" customHeight="1">
      <c r="A8823" t="inlineStr">
        <is>
          <t>A 17041-2023</t>
        </is>
      </c>
      <c r="B8823" s="1" t="n">
        <v>45034</v>
      </c>
      <c r="C8823" s="1" t="n">
        <v>46093</v>
      </c>
      <c r="D8823" t="inlineStr">
        <is>
          <t>VÄSTERNORRLANDS LÄN</t>
        </is>
      </c>
      <c r="E8823" t="inlineStr">
        <is>
          <t>KRAMFORS</t>
        </is>
      </c>
      <c r="G8823" t="n">
        <v>1.2</v>
      </c>
      <c r="H8823" t="n">
        <v>0</v>
      </c>
      <c r="I8823" t="n">
        <v>0</v>
      </c>
      <c r="J8823" t="n">
        <v>0</v>
      </c>
      <c r="K8823" t="n">
        <v>0</v>
      </c>
      <c r="L8823" t="n">
        <v>0</v>
      </c>
      <c r="M8823" t="n">
        <v>0</v>
      </c>
      <c r="N8823" t="n">
        <v>0</v>
      </c>
      <c r="O8823" t="n">
        <v>0</v>
      </c>
      <c r="P8823" t="n">
        <v>0</v>
      </c>
      <c r="Q8823" t="n">
        <v>0</v>
      </c>
      <c r="R8823" s="2" t="inlineStr"/>
    </row>
    <row r="8824" ht="15" customHeight="1">
      <c r="A8824" t="inlineStr">
        <is>
          <t>A 55664-2023</t>
        </is>
      </c>
      <c r="B8824" s="1" t="n">
        <v>45238.96748842593</v>
      </c>
      <c r="C8824" s="1" t="n">
        <v>46093</v>
      </c>
      <c r="D8824" t="inlineStr">
        <is>
          <t>VÄSTERNORRLANDS LÄN</t>
        </is>
      </c>
      <c r="E8824" t="inlineStr">
        <is>
          <t>ÅNGE</t>
        </is>
      </c>
      <c r="F8824" t="inlineStr">
        <is>
          <t>SCA</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59475-2025</t>
        </is>
      </c>
      <c r="B8825" s="1" t="n">
        <v>45989.58521990741</v>
      </c>
      <c r="C8825" s="1" t="n">
        <v>46093</v>
      </c>
      <c r="D8825" t="inlineStr">
        <is>
          <t>VÄSTERNORRLANDS LÄN</t>
        </is>
      </c>
      <c r="E8825" t="inlineStr">
        <is>
          <t>ÖRNSKÖLDSVIK</t>
        </is>
      </c>
      <c r="F8825" t="inlineStr">
        <is>
          <t>Holmen skog AB</t>
        </is>
      </c>
      <c r="G8825" t="n">
        <v>5.5</v>
      </c>
      <c r="H8825" t="n">
        <v>0</v>
      </c>
      <c r="I8825" t="n">
        <v>0</v>
      </c>
      <c r="J8825" t="n">
        <v>0</v>
      </c>
      <c r="K8825" t="n">
        <v>0</v>
      </c>
      <c r="L8825" t="n">
        <v>0</v>
      </c>
      <c r="M8825" t="n">
        <v>0</v>
      </c>
      <c r="N8825" t="n">
        <v>0</v>
      </c>
      <c r="O8825" t="n">
        <v>0</v>
      </c>
      <c r="P8825" t="n">
        <v>0</v>
      </c>
      <c r="Q8825" t="n">
        <v>0</v>
      </c>
      <c r="R8825" s="2" t="inlineStr"/>
    </row>
    <row r="8826" ht="15" customHeight="1">
      <c r="A8826" t="inlineStr">
        <is>
          <t>A 25259-2023</t>
        </is>
      </c>
      <c r="B8826" s="1" t="n">
        <v>45079</v>
      </c>
      <c r="C8826" s="1" t="n">
        <v>46093</v>
      </c>
      <c r="D8826" t="inlineStr">
        <is>
          <t>VÄSTERNORRLANDS LÄN</t>
        </is>
      </c>
      <c r="E8826" t="inlineStr">
        <is>
          <t>SOLLEFTEÅ</t>
        </is>
      </c>
      <c r="G8826" t="n">
        <v>5.4</v>
      </c>
      <c r="H8826" t="n">
        <v>0</v>
      </c>
      <c r="I8826" t="n">
        <v>0</v>
      </c>
      <c r="J8826" t="n">
        <v>0</v>
      </c>
      <c r="K8826" t="n">
        <v>0</v>
      </c>
      <c r="L8826" t="n">
        <v>0</v>
      </c>
      <c r="M8826" t="n">
        <v>0</v>
      </c>
      <c r="N8826" t="n">
        <v>0</v>
      </c>
      <c r="O8826" t="n">
        <v>0</v>
      </c>
      <c r="P8826" t="n">
        <v>0</v>
      </c>
      <c r="Q8826" t="n">
        <v>0</v>
      </c>
      <c r="R8826" s="2" t="inlineStr"/>
    </row>
    <row r="8827" ht="15" customHeight="1">
      <c r="A8827" t="inlineStr">
        <is>
          <t>A 38353-2023</t>
        </is>
      </c>
      <c r="B8827" s="1" t="n">
        <v>45161</v>
      </c>
      <c r="C8827" s="1" t="n">
        <v>46093</v>
      </c>
      <c r="D8827" t="inlineStr">
        <is>
          <t>VÄSTERNORRLANDS LÄN</t>
        </is>
      </c>
      <c r="E8827" t="inlineStr">
        <is>
          <t>SUNDSVALL</t>
        </is>
      </c>
      <c r="G8827" t="n">
        <v>5</v>
      </c>
      <c r="H8827" t="n">
        <v>0</v>
      </c>
      <c r="I8827" t="n">
        <v>0</v>
      </c>
      <c r="J8827" t="n">
        <v>0</v>
      </c>
      <c r="K8827" t="n">
        <v>0</v>
      </c>
      <c r="L8827" t="n">
        <v>0</v>
      </c>
      <c r="M8827" t="n">
        <v>0</v>
      </c>
      <c r="N8827" t="n">
        <v>0</v>
      </c>
      <c r="O8827" t="n">
        <v>0</v>
      </c>
      <c r="P8827" t="n">
        <v>0</v>
      </c>
      <c r="Q8827" t="n">
        <v>0</v>
      </c>
      <c r="R8827" s="2" t="inlineStr"/>
    </row>
    <row r="8828" ht="15" customHeight="1">
      <c r="A8828" t="inlineStr">
        <is>
          <t>A 38357-2023</t>
        </is>
      </c>
      <c r="B8828" s="1" t="n">
        <v>45161</v>
      </c>
      <c r="C8828" s="1" t="n">
        <v>46093</v>
      </c>
      <c r="D8828" t="inlineStr">
        <is>
          <t>VÄSTERNORRLANDS LÄN</t>
        </is>
      </c>
      <c r="E8828" t="inlineStr">
        <is>
          <t>SUNDSVALL</t>
        </is>
      </c>
      <c r="F8828" t="inlineStr">
        <is>
          <t>SCA</t>
        </is>
      </c>
      <c r="G8828" t="n">
        <v>3.1</v>
      </c>
      <c r="H8828" t="n">
        <v>0</v>
      </c>
      <c r="I8828" t="n">
        <v>0</v>
      </c>
      <c r="J8828" t="n">
        <v>0</v>
      </c>
      <c r="K8828" t="n">
        <v>0</v>
      </c>
      <c r="L8828" t="n">
        <v>0</v>
      </c>
      <c r="M8828" t="n">
        <v>0</v>
      </c>
      <c r="N8828" t="n">
        <v>0</v>
      </c>
      <c r="O8828" t="n">
        <v>0</v>
      </c>
      <c r="P8828" t="n">
        <v>0</v>
      </c>
      <c r="Q8828" t="n">
        <v>0</v>
      </c>
      <c r="R8828" s="2" t="inlineStr"/>
    </row>
    <row r="8829" ht="15" customHeight="1">
      <c r="A8829" t="inlineStr">
        <is>
          <t>A 59330-2025</t>
        </is>
      </c>
      <c r="B8829" s="1" t="n">
        <v>45989.35884259259</v>
      </c>
      <c r="C8829" s="1" t="n">
        <v>46093</v>
      </c>
      <c r="D8829" t="inlineStr">
        <is>
          <t>VÄSTERNORRLANDS LÄN</t>
        </is>
      </c>
      <c r="E8829" t="inlineStr">
        <is>
          <t>ÖRNSKÖLDSVIK</t>
        </is>
      </c>
      <c r="F8829" t="inlineStr">
        <is>
          <t>Holmen skog AB</t>
        </is>
      </c>
      <c r="G8829" t="n">
        <v>2.8</v>
      </c>
      <c r="H8829" t="n">
        <v>0</v>
      </c>
      <c r="I8829" t="n">
        <v>0</v>
      </c>
      <c r="J8829" t="n">
        <v>0</v>
      </c>
      <c r="K8829" t="n">
        <v>0</v>
      </c>
      <c r="L8829" t="n">
        <v>0</v>
      </c>
      <c r="M8829" t="n">
        <v>0</v>
      </c>
      <c r="N8829" t="n">
        <v>0</v>
      </c>
      <c r="O8829" t="n">
        <v>0</v>
      </c>
      <c r="P8829" t="n">
        <v>0</v>
      </c>
      <c r="Q8829" t="n">
        <v>0</v>
      </c>
      <c r="R8829" s="2" t="inlineStr"/>
    </row>
    <row r="8830" ht="15" customHeight="1">
      <c r="A8830" t="inlineStr">
        <is>
          <t>A 59901-2024</t>
        </is>
      </c>
      <c r="B8830" s="1" t="n">
        <v>45641.59461805555</v>
      </c>
      <c r="C8830" s="1" t="n">
        <v>46093</v>
      </c>
      <c r="D8830" t="inlineStr">
        <is>
          <t>VÄSTERNORRLANDS LÄN</t>
        </is>
      </c>
      <c r="E8830" t="inlineStr">
        <is>
          <t>SUNDSVALL</t>
        </is>
      </c>
      <c r="F8830" t="inlineStr">
        <is>
          <t>SCA</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8463-2025</t>
        </is>
      </c>
      <c r="B8831" s="1" t="n">
        <v>45709.46928240741</v>
      </c>
      <c r="C8831" s="1" t="n">
        <v>46093</v>
      </c>
      <c r="D8831" t="inlineStr">
        <is>
          <t>VÄSTERNORRLANDS LÄN</t>
        </is>
      </c>
      <c r="E8831" t="inlineStr">
        <is>
          <t>SUNDSVALL</t>
        </is>
      </c>
      <c r="F8831" t="inlineStr">
        <is>
          <t>SCA</t>
        </is>
      </c>
      <c r="G8831" t="n">
        <v>6.2</v>
      </c>
      <c r="H8831" t="n">
        <v>0</v>
      </c>
      <c r="I8831" t="n">
        <v>0</v>
      </c>
      <c r="J8831" t="n">
        <v>0</v>
      </c>
      <c r="K8831" t="n">
        <v>0</v>
      </c>
      <c r="L8831" t="n">
        <v>0</v>
      </c>
      <c r="M8831" t="n">
        <v>0</v>
      </c>
      <c r="N8831" t="n">
        <v>0</v>
      </c>
      <c r="O8831" t="n">
        <v>0</v>
      </c>
      <c r="P8831" t="n">
        <v>0</v>
      </c>
      <c r="Q8831" t="n">
        <v>0</v>
      </c>
      <c r="R8831" s="2" t="inlineStr"/>
    </row>
    <row r="8832" ht="15" customHeight="1">
      <c r="A8832" t="inlineStr">
        <is>
          <t>A 8479-2025</t>
        </is>
      </c>
      <c r="B8832" s="1" t="n">
        <v>45709.4887962963</v>
      </c>
      <c r="C8832" s="1" t="n">
        <v>46093</v>
      </c>
      <c r="D8832" t="inlineStr">
        <is>
          <t>VÄSTERNORRLANDS LÄN</t>
        </is>
      </c>
      <c r="E8832" t="inlineStr">
        <is>
          <t>SUNDSVALL</t>
        </is>
      </c>
      <c r="G8832" t="n">
        <v>13.1</v>
      </c>
      <c r="H8832" t="n">
        <v>0</v>
      </c>
      <c r="I8832" t="n">
        <v>0</v>
      </c>
      <c r="J8832" t="n">
        <v>0</v>
      </c>
      <c r="K8832" t="n">
        <v>0</v>
      </c>
      <c r="L8832" t="n">
        <v>0</v>
      </c>
      <c r="M8832" t="n">
        <v>0</v>
      </c>
      <c r="N8832" t="n">
        <v>0</v>
      </c>
      <c r="O8832" t="n">
        <v>0</v>
      </c>
      <c r="P8832" t="n">
        <v>0</v>
      </c>
      <c r="Q8832" t="n">
        <v>0</v>
      </c>
      <c r="R8832" s="2" t="inlineStr"/>
    </row>
    <row r="8833" ht="15" customHeight="1">
      <c r="A8833" t="inlineStr">
        <is>
          <t>A 59767-2025</t>
        </is>
      </c>
      <c r="B8833" s="1" t="n">
        <v>45992.59505787037</v>
      </c>
      <c r="C8833" s="1" t="n">
        <v>46093</v>
      </c>
      <c r="D8833" t="inlineStr">
        <is>
          <t>VÄSTERNORRLANDS LÄN</t>
        </is>
      </c>
      <c r="E8833" t="inlineStr">
        <is>
          <t>SOLLEFTEÅ</t>
        </is>
      </c>
      <c r="G8833" t="n">
        <v>0.2</v>
      </c>
      <c r="H8833" t="n">
        <v>0</v>
      </c>
      <c r="I8833" t="n">
        <v>0</v>
      </c>
      <c r="J8833" t="n">
        <v>0</v>
      </c>
      <c r="K8833" t="n">
        <v>0</v>
      </c>
      <c r="L8833" t="n">
        <v>0</v>
      </c>
      <c r="M8833" t="n">
        <v>0</v>
      </c>
      <c r="N8833" t="n">
        <v>0</v>
      </c>
      <c r="O8833" t="n">
        <v>0</v>
      </c>
      <c r="P8833" t="n">
        <v>0</v>
      </c>
      <c r="Q8833" t="n">
        <v>0</v>
      </c>
      <c r="R8833" s="2" t="inlineStr"/>
    </row>
    <row r="8834" ht="15" customHeight="1">
      <c r="A8834" t="inlineStr">
        <is>
          <t>A 59790-2025</t>
        </is>
      </c>
      <c r="B8834" s="1" t="n">
        <v>45992</v>
      </c>
      <c r="C8834" s="1" t="n">
        <v>46093</v>
      </c>
      <c r="D8834" t="inlineStr">
        <is>
          <t>VÄSTERNORRLANDS LÄN</t>
        </is>
      </c>
      <c r="E8834" t="inlineStr">
        <is>
          <t>KRAMFORS</t>
        </is>
      </c>
      <c r="F8834" t="inlineStr">
        <is>
          <t>SCA</t>
        </is>
      </c>
      <c r="G8834" t="n">
        <v>0.6</v>
      </c>
      <c r="H8834" t="n">
        <v>0</v>
      </c>
      <c r="I8834" t="n">
        <v>0</v>
      </c>
      <c r="J8834" t="n">
        <v>0</v>
      </c>
      <c r="K8834" t="n">
        <v>0</v>
      </c>
      <c r="L8834" t="n">
        <v>0</v>
      </c>
      <c r="M8834" t="n">
        <v>0</v>
      </c>
      <c r="N8834" t="n">
        <v>0</v>
      </c>
      <c r="O8834" t="n">
        <v>0</v>
      </c>
      <c r="P8834" t="n">
        <v>0</v>
      </c>
      <c r="Q8834" t="n">
        <v>0</v>
      </c>
      <c r="R8834" s="2" t="inlineStr"/>
    </row>
    <row r="8835" ht="15" customHeight="1">
      <c r="A8835" t="inlineStr">
        <is>
          <t>A 20540-2021</t>
        </is>
      </c>
      <c r="B8835" s="1" t="n">
        <v>44315.94435185185</v>
      </c>
      <c r="C8835" s="1" t="n">
        <v>46093</v>
      </c>
      <c r="D8835" t="inlineStr">
        <is>
          <t>VÄSTERNORRLANDS LÄN</t>
        </is>
      </c>
      <c r="E8835" t="inlineStr">
        <is>
          <t>KRAMFORS</t>
        </is>
      </c>
      <c r="F8835" t="inlineStr">
        <is>
          <t>SCA</t>
        </is>
      </c>
      <c r="G8835" t="n">
        <v>3.4</v>
      </c>
      <c r="H8835" t="n">
        <v>0</v>
      </c>
      <c r="I8835" t="n">
        <v>0</v>
      </c>
      <c r="J8835" t="n">
        <v>0</v>
      </c>
      <c r="K8835" t="n">
        <v>0</v>
      </c>
      <c r="L8835" t="n">
        <v>0</v>
      </c>
      <c r="M8835" t="n">
        <v>0</v>
      </c>
      <c r="N8835" t="n">
        <v>0</v>
      </c>
      <c r="O8835" t="n">
        <v>0</v>
      </c>
      <c r="P8835" t="n">
        <v>0</v>
      </c>
      <c r="Q8835" t="n">
        <v>0</v>
      </c>
      <c r="R8835" s="2" t="inlineStr"/>
    </row>
    <row r="8836" ht="15" customHeight="1">
      <c r="A8836" t="inlineStr">
        <is>
          <t>A 21144-2023</t>
        </is>
      </c>
      <c r="B8836" s="1" t="n">
        <v>45057</v>
      </c>
      <c r="C8836" s="1" t="n">
        <v>46093</v>
      </c>
      <c r="D8836" t="inlineStr">
        <is>
          <t>VÄSTERNORRLANDS LÄN</t>
        </is>
      </c>
      <c r="E8836" t="inlineStr">
        <is>
          <t>SUNDSVALL</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59021-2025</t>
        </is>
      </c>
      <c r="B8837" s="1" t="n">
        <v>45988.34453703704</v>
      </c>
      <c r="C8837" s="1" t="n">
        <v>46093</v>
      </c>
      <c r="D8837" t="inlineStr">
        <is>
          <t>VÄSTERNORRLANDS LÄN</t>
        </is>
      </c>
      <c r="E8837" t="inlineStr">
        <is>
          <t>SUNDSVALL</t>
        </is>
      </c>
      <c r="F8837" t="inlineStr">
        <is>
          <t>SCA</t>
        </is>
      </c>
      <c r="G8837" t="n">
        <v>4.2</v>
      </c>
      <c r="H8837" t="n">
        <v>0</v>
      </c>
      <c r="I8837" t="n">
        <v>0</v>
      </c>
      <c r="J8837" t="n">
        <v>0</v>
      </c>
      <c r="K8837" t="n">
        <v>0</v>
      </c>
      <c r="L8837" t="n">
        <v>0</v>
      </c>
      <c r="M8837" t="n">
        <v>0</v>
      </c>
      <c r="N8837" t="n">
        <v>0</v>
      </c>
      <c r="O8837" t="n">
        <v>0</v>
      </c>
      <c r="P8837" t="n">
        <v>0</v>
      </c>
      <c r="Q8837" t="n">
        <v>0</v>
      </c>
      <c r="R8837" s="2" t="inlineStr"/>
    </row>
    <row r="8838" ht="15" customHeight="1">
      <c r="A8838" t="inlineStr">
        <is>
          <t>A 59774-2025</t>
        </is>
      </c>
      <c r="B8838" s="1" t="n">
        <v>45992.60681712963</v>
      </c>
      <c r="C8838" s="1" t="n">
        <v>46093</v>
      </c>
      <c r="D8838" t="inlineStr">
        <is>
          <t>VÄSTERNORRLANDS LÄN</t>
        </is>
      </c>
      <c r="E8838" t="inlineStr">
        <is>
          <t>KRAMFORS</t>
        </is>
      </c>
      <c r="G8838" t="n">
        <v>2.9</v>
      </c>
      <c r="H8838" t="n">
        <v>0</v>
      </c>
      <c r="I8838" t="n">
        <v>0</v>
      </c>
      <c r="J8838" t="n">
        <v>0</v>
      </c>
      <c r="K8838" t="n">
        <v>0</v>
      </c>
      <c r="L8838" t="n">
        <v>0</v>
      </c>
      <c r="M8838" t="n">
        <v>0</v>
      </c>
      <c r="N8838" t="n">
        <v>0</v>
      </c>
      <c r="O8838" t="n">
        <v>0</v>
      </c>
      <c r="P8838" t="n">
        <v>0</v>
      </c>
      <c r="Q8838" t="n">
        <v>0</v>
      </c>
      <c r="R8838" s="2" t="inlineStr"/>
    </row>
    <row r="8839" ht="15" customHeight="1">
      <c r="A8839" t="inlineStr">
        <is>
          <t>A 59691-2025</t>
        </is>
      </c>
      <c r="B8839" s="1" t="n">
        <v>45992.48664351852</v>
      </c>
      <c r="C8839" s="1" t="n">
        <v>46093</v>
      </c>
      <c r="D8839" t="inlineStr">
        <is>
          <t>VÄSTERNORRLANDS LÄN</t>
        </is>
      </c>
      <c r="E8839" t="inlineStr">
        <is>
          <t>ÖRNSKÖLDSVIK</t>
        </is>
      </c>
      <c r="F8839" t="inlineStr">
        <is>
          <t>Holmen skog AB</t>
        </is>
      </c>
      <c r="G8839" t="n">
        <v>7.2</v>
      </c>
      <c r="H8839" t="n">
        <v>0</v>
      </c>
      <c r="I8839" t="n">
        <v>0</v>
      </c>
      <c r="J8839" t="n">
        <v>0</v>
      </c>
      <c r="K8839" t="n">
        <v>0</v>
      </c>
      <c r="L8839" t="n">
        <v>0</v>
      </c>
      <c r="M8839" t="n">
        <v>0</v>
      </c>
      <c r="N8839" t="n">
        <v>0</v>
      </c>
      <c r="O8839" t="n">
        <v>0</v>
      </c>
      <c r="P8839" t="n">
        <v>0</v>
      </c>
      <c r="Q8839" t="n">
        <v>0</v>
      </c>
      <c r="R8839" s="2" t="inlineStr"/>
    </row>
    <row r="8840" ht="15" customHeight="1">
      <c r="A8840" t="inlineStr">
        <is>
          <t>A 59761-2025</t>
        </is>
      </c>
      <c r="B8840" s="1" t="n">
        <v>45992</v>
      </c>
      <c r="C8840" s="1" t="n">
        <v>46093</v>
      </c>
      <c r="D8840" t="inlineStr">
        <is>
          <t>VÄSTERNORRLANDS LÄN</t>
        </is>
      </c>
      <c r="E8840" t="inlineStr">
        <is>
          <t>ÖRNSKÖLDSVIK</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35500-2023</t>
        </is>
      </c>
      <c r="B8841" s="1" t="n">
        <v>45146.9228125</v>
      </c>
      <c r="C8841" s="1" t="n">
        <v>46093</v>
      </c>
      <c r="D8841" t="inlineStr">
        <is>
          <t>VÄSTERNORRLANDS LÄN</t>
        </is>
      </c>
      <c r="E8841" t="inlineStr">
        <is>
          <t>SUNDSVALL</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59699-2025</t>
        </is>
      </c>
      <c r="B8842" s="1" t="n">
        <v>45992.49478009259</v>
      </c>
      <c r="C8842" s="1" t="n">
        <v>46093</v>
      </c>
      <c r="D8842" t="inlineStr">
        <is>
          <t>VÄSTERNORRLANDS LÄN</t>
        </is>
      </c>
      <c r="E8842" t="inlineStr">
        <is>
          <t>ÖRNSKÖLDSVIK</t>
        </is>
      </c>
      <c r="F8842" t="inlineStr">
        <is>
          <t>Holmen skog AB</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17490-2025</t>
        </is>
      </c>
      <c r="B8843" s="1" t="n">
        <v>45757.51084490741</v>
      </c>
      <c r="C8843" s="1" t="n">
        <v>46093</v>
      </c>
      <c r="D8843" t="inlineStr">
        <is>
          <t>VÄSTERNORRLANDS LÄN</t>
        </is>
      </c>
      <c r="E8843" t="inlineStr">
        <is>
          <t>SUNDSVALL</t>
        </is>
      </c>
      <c r="F8843" t="inlineStr">
        <is>
          <t>SCA</t>
        </is>
      </c>
      <c r="G8843" t="n">
        <v>3.1</v>
      </c>
      <c r="H8843" t="n">
        <v>0</v>
      </c>
      <c r="I8843" t="n">
        <v>0</v>
      </c>
      <c r="J8843" t="n">
        <v>0</v>
      </c>
      <c r="K8843" t="n">
        <v>0</v>
      </c>
      <c r="L8843" t="n">
        <v>0</v>
      </c>
      <c r="M8843" t="n">
        <v>0</v>
      </c>
      <c r="N8843" t="n">
        <v>0</v>
      </c>
      <c r="O8843" t="n">
        <v>0</v>
      </c>
      <c r="P8843" t="n">
        <v>0</v>
      </c>
      <c r="Q8843" t="n">
        <v>0</v>
      </c>
      <c r="R8843" s="2" t="inlineStr"/>
    </row>
    <row r="8844" ht="15" customHeight="1">
      <c r="A8844" t="inlineStr">
        <is>
          <t>A 8888-2024</t>
        </is>
      </c>
      <c r="B8844" s="1" t="n">
        <v>45357</v>
      </c>
      <c r="C8844" s="1" t="n">
        <v>46093</v>
      </c>
      <c r="D8844" t="inlineStr">
        <is>
          <t>VÄSTERNORRLANDS LÄN</t>
        </is>
      </c>
      <c r="E8844" t="inlineStr">
        <is>
          <t>SUNDSVALL</t>
        </is>
      </c>
      <c r="F8844" t="inlineStr">
        <is>
          <t>SCA</t>
        </is>
      </c>
      <c r="G8844" t="n">
        <v>2.2</v>
      </c>
      <c r="H8844" t="n">
        <v>0</v>
      </c>
      <c r="I8844" t="n">
        <v>0</v>
      </c>
      <c r="J8844" t="n">
        <v>0</v>
      </c>
      <c r="K8844" t="n">
        <v>0</v>
      </c>
      <c r="L8844" t="n">
        <v>0</v>
      </c>
      <c r="M8844" t="n">
        <v>0</v>
      </c>
      <c r="N8844" t="n">
        <v>0</v>
      </c>
      <c r="O8844" t="n">
        <v>0</v>
      </c>
      <c r="P8844" t="n">
        <v>0</v>
      </c>
      <c r="Q8844" t="n">
        <v>0</v>
      </c>
      <c r="R8844" s="2" t="inlineStr"/>
    </row>
    <row r="8845" ht="15" customHeight="1">
      <c r="A8845" t="inlineStr">
        <is>
          <t>A 59717-2025</t>
        </is>
      </c>
      <c r="B8845" s="1" t="n">
        <v>45992.53329861111</v>
      </c>
      <c r="C8845" s="1" t="n">
        <v>46093</v>
      </c>
      <c r="D8845" t="inlineStr">
        <is>
          <t>VÄSTERNORRLANDS LÄN</t>
        </is>
      </c>
      <c r="E8845" t="inlineStr">
        <is>
          <t>KRAMFORS</t>
        </is>
      </c>
      <c r="G8845" t="n">
        <v>3.2</v>
      </c>
      <c r="H8845" t="n">
        <v>0</v>
      </c>
      <c r="I8845" t="n">
        <v>0</v>
      </c>
      <c r="J8845" t="n">
        <v>0</v>
      </c>
      <c r="K8845" t="n">
        <v>0</v>
      </c>
      <c r="L8845" t="n">
        <v>0</v>
      </c>
      <c r="M8845" t="n">
        <v>0</v>
      </c>
      <c r="N8845" t="n">
        <v>0</v>
      </c>
      <c r="O8845" t="n">
        <v>0</v>
      </c>
      <c r="P8845" t="n">
        <v>0</v>
      </c>
      <c r="Q8845" t="n">
        <v>0</v>
      </c>
      <c r="R8845" s="2" t="inlineStr"/>
    </row>
    <row r="8846" ht="15" customHeight="1">
      <c r="A8846" t="inlineStr">
        <is>
          <t>A 7764-2022</t>
        </is>
      </c>
      <c r="B8846" s="1" t="n">
        <v>44608</v>
      </c>
      <c r="C8846" s="1" t="n">
        <v>46093</v>
      </c>
      <c r="D8846" t="inlineStr">
        <is>
          <t>VÄSTERNORRLANDS LÄN</t>
        </is>
      </c>
      <c r="E8846" t="inlineStr">
        <is>
          <t>KRAMFORS</t>
        </is>
      </c>
      <c r="G8846" t="n">
        <v>2.5</v>
      </c>
      <c r="H8846" t="n">
        <v>0</v>
      </c>
      <c r="I8846" t="n">
        <v>0</v>
      </c>
      <c r="J8846" t="n">
        <v>0</v>
      </c>
      <c r="K8846" t="n">
        <v>0</v>
      </c>
      <c r="L8846" t="n">
        <v>0</v>
      </c>
      <c r="M8846" t="n">
        <v>0</v>
      </c>
      <c r="N8846" t="n">
        <v>0</v>
      </c>
      <c r="O8846" t="n">
        <v>0</v>
      </c>
      <c r="P8846" t="n">
        <v>0</v>
      </c>
      <c r="Q8846" t="n">
        <v>0</v>
      </c>
      <c r="R8846" s="2" t="inlineStr"/>
    </row>
    <row r="8847" ht="15" customHeight="1">
      <c r="A8847" t="inlineStr">
        <is>
          <t>A 57309-2023</t>
        </is>
      </c>
      <c r="B8847" s="1" t="n">
        <v>45240</v>
      </c>
      <c r="C8847" s="1" t="n">
        <v>46093</v>
      </c>
      <c r="D8847" t="inlineStr">
        <is>
          <t>VÄSTERNORRLANDS LÄN</t>
        </is>
      </c>
      <c r="E8847" t="inlineStr">
        <is>
          <t>ÖRNSKÖLDSVIK</t>
        </is>
      </c>
      <c r="G8847" t="n">
        <v>1.8</v>
      </c>
      <c r="H8847" t="n">
        <v>0</v>
      </c>
      <c r="I8847" t="n">
        <v>0</v>
      </c>
      <c r="J8847" t="n">
        <v>0</v>
      </c>
      <c r="K8847" t="n">
        <v>0</v>
      </c>
      <c r="L8847" t="n">
        <v>0</v>
      </c>
      <c r="M8847" t="n">
        <v>0</v>
      </c>
      <c r="N8847" t="n">
        <v>0</v>
      </c>
      <c r="O8847" t="n">
        <v>0</v>
      </c>
      <c r="P8847" t="n">
        <v>0</v>
      </c>
      <c r="Q8847" t="n">
        <v>0</v>
      </c>
      <c r="R8847" s="2" t="inlineStr"/>
    </row>
    <row r="8848" ht="15" customHeight="1">
      <c r="A8848" t="inlineStr">
        <is>
          <t>A 13818-2024</t>
        </is>
      </c>
      <c r="B8848" s="1" t="n">
        <v>45391</v>
      </c>
      <c r="C8848" s="1" t="n">
        <v>46093</v>
      </c>
      <c r="D8848" t="inlineStr">
        <is>
          <t>VÄSTERNORRLANDS LÄN</t>
        </is>
      </c>
      <c r="E8848" t="inlineStr">
        <is>
          <t>SUNDSVALL</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8868-2023</t>
        </is>
      </c>
      <c r="B8849" s="1" t="n">
        <v>44978</v>
      </c>
      <c r="C8849" s="1" t="n">
        <v>46093</v>
      </c>
      <c r="D8849" t="inlineStr">
        <is>
          <t>VÄSTERNORRLANDS LÄN</t>
        </is>
      </c>
      <c r="E8849" t="inlineStr">
        <is>
          <t>ÅNGE</t>
        </is>
      </c>
      <c r="F8849" t="inlineStr">
        <is>
          <t>SCA</t>
        </is>
      </c>
      <c r="G8849" t="n">
        <v>3</v>
      </c>
      <c r="H8849" t="n">
        <v>0</v>
      </c>
      <c r="I8849" t="n">
        <v>0</v>
      </c>
      <c r="J8849" t="n">
        <v>0</v>
      </c>
      <c r="K8849" t="n">
        <v>0</v>
      </c>
      <c r="L8849" t="n">
        <v>0</v>
      </c>
      <c r="M8849" t="n">
        <v>0</v>
      </c>
      <c r="N8849" t="n">
        <v>0</v>
      </c>
      <c r="O8849" t="n">
        <v>0</v>
      </c>
      <c r="P8849" t="n">
        <v>0</v>
      </c>
      <c r="Q8849" t="n">
        <v>0</v>
      </c>
      <c r="R8849" s="2" t="inlineStr"/>
    </row>
    <row r="8850" ht="15" customHeight="1">
      <c r="A8850" t="inlineStr">
        <is>
          <t>A 12744-2023</t>
        </is>
      </c>
      <c r="B8850" s="1" t="n">
        <v>45000</v>
      </c>
      <c r="C8850" s="1" t="n">
        <v>46093</v>
      </c>
      <c r="D8850" t="inlineStr">
        <is>
          <t>VÄSTERNORRLANDS LÄN</t>
        </is>
      </c>
      <c r="E8850" t="inlineStr">
        <is>
          <t>KRAMFORS</t>
        </is>
      </c>
      <c r="F8850" t="inlineStr">
        <is>
          <t>SCA</t>
        </is>
      </c>
      <c r="G8850" t="n">
        <v>2.8</v>
      </c>
      <c r="H8850" t="n">
        <v>0</v>
      </c>
      <c r="I8850" t="n">
        <v>0</v>
      </c>
      <c r="J8850" t="n">
        <v>0</v>
      </c>
      <c r="K8850" t="n">
        <v>0</v>
      </c>
      <c r="L8850" t="n">
        <v>0</v>
      </c>
      <c r="M8850" t="n">
        <v>0</v>
      </c>
      <c r="N8850" t="n">
        <v>0</v>
      </c>
      <c r="O8850" t="n">
        <v>0</v>
      </c>
      <c r="P8850" t="n">
        <v>0</v>
      </c>
      <c r="Q8850" t="n">
        <v>0</v>
      </c>
      <c r="R8850" s="2" t="inlineStr"/>
    </row>
    <row r="8851" ht="15" customHeight="1">
      <c r="A8851" t="inlineStr">
        <is>
          <t>A 59851-2025</t>
        </is>
      </c>
      <c r="B8851" s="1" t="n">
        <v>45992.71282407407</v>
      </c>
      <c r="C8851" s="1" t="n">
        <v>46093</v>
      </c>
      <c r="D8851" t="inlineStr">
        <is>
          <t>VÄSTERNORRLANDS LÄN</t>
        </is>
      </c>
      <c r="E8851" t="inlineStr">
        <is>
          <t>ÖRNSKÖLDSVIK</t>
        </is>
      </c>
      <c r="F8851" t="inlineStr">
        <is>
          <t>Kommuner</t>
        </is>
      </c>
      <c r="G8851" t="n">
        <v>4.9</v>
      </c>
      <c r="H8851" t="n">
        <v>0</v>
      </c>
      <c r="I8851" t="n">
        <v>0</v>
      </c>
      <c r="J8851" t="n">
        <v>0</v>
      </c>
      <c r="K8851" t="n">
        <v>0</v>
      </c>
      <c r="L8851" t="n">
        <v>0</v>
      </c>
      <c r="M8851" t="n">
        <v>0</v>
      </c>
      <c r="N8851" t="n">
        <v>0</v>
      </c>
      <c r="O8851" t="n">
        <v>0</v>
      </c>
      <c r="P8851" t="n">
        <v>0</v>
      </c>
      <c r="Q8851" t="n">
        <v>0</v>
      </c>
      <c r="R8851" s="2" t="inlineStr"/>
    </row>
    <row r="8852" ht="15" customHeight="1">
      <c r="A8852" t="inlineStr">
        <is>
          <t>A 59898-2025</t>
        </is>
      </c>
      <c r="B8852" s="1" t="n">
        <v>45992</v>
      </c>
      <c r="C8852" s="1" t="n">
        <v>46093</v>
      </c>
      <c r="D8852" t="inlineStr">
        <is>
          <t>VÄSTERNORRLANDS LÄN</t>
        </is>
      </c>
      <c r="E8852" t="inlineStr">
        <is>
          <t>SUNDSVALL</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58045-2025</t>
        </is>
      </c>
      <c r="B8853" s="1" t="n">
        <v>45982</v>
      </c>
      <c r="C8853" s="1" t="n">
        <v>46093</v>
      </c>
      <c r="D8853" t="inlineStr">
        <is>
          <t>VÄSTERNORRLANDS LÄN</t>
        </is>
      </c>
      <c r="E8853" t="inlineStr">
        <is>
          <t>TIMRÅ</t>
        </is>
      </c>
      <c r="G8853" t="n">
        <v>5.5</v>
      </c>
      <c r="H8853" t="n">
        <v>0</v>
      </c>
      <c r="I8853" t="n">
        <v>0</v>
      </c>
      <c r="J8853" t="n">
        <v>0</v>
      </c>
      <c r="K8853" t="n">
        <v>0</v>
      </c>
      <c r="L8853" t="n">
        <v>0</v>
      </c>
      <c r="M8853" t="n">
        <v>0</v>
      </c>
      <c r="N8853" t="n">
        <v>0</v>
      </c>
      <c r="O8853" t="n">
        <v>0</v>
      </c>
      <c r="P8853" t="n">
        <v>0</v>
      </c>
      <c r="Q8853" t="n">
        <v>0</v>
      </c>
      <c r="R8853" s="2" t="inlineStr"/>
    </row>
    <row r="8854" ht="15" customHeight="1">
      <c r="A8854" t="inlineStr">
        <is>
          <t>A 59473-2024</t>
        </is>
      </c>
      <c r="B8854" s="1" t="n">
        <v>45638.50436342593</v>
      </c>
      <c r="C8854" s="1" t="n">
        <v>46093</v>
      </c>
      <c r="D8854" t="inlineStr">
        <is>
          <t>VÄSTERNORRLANDS LÄN</t>
        </is>
      </c>
      <c r="E8854" t="inlineStr">
        <is>
          <t>SOLLEFTEÅ</t>
        </is>
      </c>
      <c r="G8854" t="n">
        <v>0.5</v>
      </c>
      <c r="H8854" t="n">
        <v>0</v>
      </c>
      <c r="I8854" t="n">
        <v>0</v>
      </c>
      <c r="J8854" t="n">
        <v>0</v>
      </c>
      <c r="K8854" t="n">
        <v>0</v>
      </c>
      <c r="L8854" t="n">
        <v>0</v>
      </c>
      <c r="M8854" t="n">
        <v>0</v>
      </c>
      <c r="N8854" t="n">
        <v>0</v>
      </c>
      <c r="O8854" t="n">
        <v>0</v>
      </c>
      <c r="P8854" t="n">
        <v>0</v>
      </c>
      <c r="Q8854" t="n">
        <v>0</v>
      </c>
      <c r="R8854" s="2" t="inlineStr"/>
    </row>
    <row r="8855" ht="15" customHeight="1">
      <c r="A8855" t="inlineStr">
        <is>
          <t>A 59370-2025</t>
        </is>
      </c>
      <c r="B8855" s="1" t="n">
        <v>45989.4491550926</v>
      </c>
      <c r="C8855" s="1" t="n">
        <v>46093</v>
      </c>
      <c r="D8855" t="inlineStr">
        <is>
          <t>VÄSTERNORRLANDS LÄN</t>
        </is>
      </c>
      <c r="E8855" t="inlineStr">
        <is>
          <t>KRAMFORS</t>
        </is>
      </c>
      <c r="G8855" t="n">
        <v>3.4</v>
      </c>
      <c r="H8855" t="n">
        <v>0</v>
      </c>
      <c r="I8855" t="n">
        <v>0</v>
      </c>
      <c r="J8855" t="n">
        <v>0</v>
      </c>
      <c r="K8855" t="n">
        <v>0</v>
      </c>
      <c r="L8855" t="n">
        <v>0</v>
      </c>
      <c r="M8855" t="n">
        <v>0</v>
      </c>
      <c r="N8855" t="n">
        <v>0</v>
      </c>
      <c r="O8855" t="n">
        <v>0</v>
      </c>
      <c r="P8855" t="n">
        <v>0</v>
      </c>
      <c r="Q8855" t="n">
        <v>0</v>
      </c>
      <c r="R8855" s="2" t="inlineStr"/>
    </row>
    <row r="8856" ht="15" customHeight="1">
      <c r="A8856" t="inlineStr">
        <is>
          <t>A 59374-2025</t>
        </is>
      </c>
      <c r="B8856" s="1" t="n">
        <v>45989.449375</v>
      </c>
      <c r="C8856" s="1" t="n">
        <v>46093</v>
      </c>
      <c r="D8856" t="inlineStr">
        <is>
          <t>VÄSTERNORRLANDS LÄN</t>
        </is>
      </c>
      <c r="E8856" t="inlineStr">
        <is>
          <t>ÖRNSKÖLDSVIK</t>
        </is>
      </c>
      <c r="F8856" t="inlineStr">
        <is>
          <t>SCA</t>
        </is>
      </c>
      <c r="G8856" t="n">
        <v>3.1</v>
      </c>
      <c r="H8856" t="n">
        <v>0</v>
      </c>
      <c r="I8856" t="n">
        <v>0</v>
      </c>
      <c r="J8856" t="n">
        <v>0</v>
      </c>
      <c r="K8856" t="n">
        <v>0</v>
      </c>
      <c r="L8856" t="n">
        <v>0</v>
      </c>
      <c r="M8856" t="n">
        <v>0</v>
      </c>
      <c r="N8856" t="n">
        <v>0</v>
      </c>
      <c r="O8856" t="n">
        <v>0</v>
      </c>
      <c r="P8856" t="n">
        <v>0</v>
      </c>
      <c r="Q8856" t="n">
        <v>0</v>
      </c>
      <c r="R8856" s="2" t="inlineStr"/>
    </row>
    <row r="8857" ht="15" customHeight="1">
      <c r="A8857" t="inlineStr">
        <is>
          <t>A 63655-2021</t>
        </is>
      </c>
      <c r="B8857" s="1" t="n">
        <v>44508</v>
      </c>
      <c r="C8857" s="1" t="n">
        <v>46093</v>
      </c>
      <c r="D8857" t="inlineStr">
        <is>
          <t>VÄSTERNORRLANDS LÄN</t>
        </is>
      </c>
      <c r="E8857" t="inlineStr">
        <is>
          <t>SUNDSVALL</t>
        </is>
      </c>
      <c r="G8857" t="n">
        <v>2.1</v>
      </c>
      <c r="H8857" t="n">
        <v>0</v>
      </c>
      <c r="I8857" t="n">
        <v>0</v>
      </c>
      <c r="J8857" t="n">
        <v>0</v>
      </c>
      <c r="K8857" t="n">
        <v>0</v>
      </c>
      <c r="L8857" t="n">
        <v>0</v>
      </c>
      <c r="M8857" t="n">
        <v>0</v>
      </c>
      <c r="N8857" t="n">
        <v>0</v>
      </c>
      <c r="O8857" t="n">
        <v>0</v>
      </c>
      <c r="P8857" t="n">
        <v>0</v>
      </c>
      <c r="Q8857" t="n">
        <v>0</v>
      </c>
      <c r="R8857" s="2" t="inlineStr"/>
    </row>
    <row r="8858" ht="15" customHeight="1">
      <c r="A8858" t="inlineStr">
        <is>
          <t>A 59434-2025</t>
        </is>
      </c>
      <c r="B8858" s="1" t="n">
        <v>45989.55391203704</v>
      </c>
      <c r="C8858" s="1" t="n">
        <v>46093</v>
      </c>
      <c r="D8858" t="inlineStr">
        <is>
          <t>VÄSTERNORRLANDS LÄN</t>
        </is>
      </c>
      <c r="E8858" t="inlineStr">
        <is>
          <t>ÖRNSKÖLDSVIK</t>
        </is>
      </c>
      <c r="F8858" t="inlineStr">
        <is>
          <t>Holmen skog AB</t>
        </is>
      </c>
      <c r="G8858" t="n">
        <v>3.3</v>
      </c>
      <c r="H8858" t="n">
        <v>0</v>
      </c>
      <c r="I8858" t="n">
        <v>0</v>
      </c>
      <c r="J8858" t="n">
        <v>0</v>
      </c>
      <c r="K8858" t="n">
        <v>0</v>
      </c>
      <c r="L8858" t="n">
        <v>0</v>
      </c>
      <c r="M8858" t="n">
        <v>0</v>
      </c>
      <c r="N8858" t="n">
        <v>0</v>
      </c>
      <c r="O8858" t="n">
        <v>0</v>
      </c>
      <c r="P8858" t="n">
        <v>0</v>
      </c>
      <c r="Q8858" t="n">
        <v>0</v>
      </c>
      <c r="R8858" s="2" t="inlineStr"/>
    </row>
    <row r="8859" ht="15" customHeight="1">
      <c r="A8859" t="inlineStr">
        <is>
          <t>A 59436-2025</t>
        </is>
      </c>
      <c r="B8859" s="1" t="n">
        <v>45989.55641203704</v>
      </c>
      <c r="C8859" s="1" t="n">
        <v>46093</v>
      </c>
      <c r="D8859" t="inlineStr">
        <is>
          <t>VÄSTERNORRLANDS LÄN</t>
        </is>
      </c>
      <c r="E8859" t="inlineStr">
        <is>
          <t>SOLLEFTEÅ</t>
        </is>
      </c>
      <c r="F8859" t="inlineStr">
        <is>
          <t>Holmen skog AB</t>
        </is>
      </c>
      <c r="G8859" t="n">
        <v>20</v>
      </c>
      <c r="H8859" t="n">
        <v>0</v>
      </c>
      <c r="I8859" t="n">
        <v>0</v>
      </c>
      <c r="J8859" t="n">
        <v>0</v>
      </c>
      <c r="K8859" t="n">
        <v>0</v>
      </c>
      <c r="L8859" t="n">
        <v>0</v>
      </c>
      <c r="M8859" t="n">
        <v>0</v>
      </c>
      <c r="N8859" t="n">
        <v>0</v>
      </c>
      <c r="O8859" t="n">
        <v>0</v>
      </c>
      <c r="P8859" t="n">
        <v>0</v>
      </c>
      <c r="Q8859" t="n">
        <v>0</v>
      </c>
      <c r="R8859" s="2" t="inlineStr"/>
    </row>
    <row r="8860" ht="15" customHeight="1">
      <c r="A8860" t="inlineStr">
        <is>
          <t>A 59438-2025</t>
        </is>
      </c>
      <c r="B8860" s="1" t="n">
        <v>45989.5579050926</v>
      </c>
      <c r="C8860" s="1" t="n">
        <v>46093</v>
      </c>
      <c r="D8860" t="inlineStr">
        <is>
          <t>VÄSTERNORRLANDS LÄN</t>
        </is>
      </c>
      <c r="E8860" t="inlineStr">
        <is>
          <t>ÖRNSKÖLDSVIK</t>
        </is>
      </c>
      <c r="F8860" t="inlineStr">
        <is>
          <t>Holmen skog AB</t>
        </is>
      </c>
      <c r="G8860" t="n">
        <v>5.4</v>
      </c>
      <c r="H8860" t="n">
        <v>0</v>
      </c>
      <c r="I8860" t="n">
        <v>0</v>
      </c>
      <c r="J8860" t="n">
        <v>0</v>
      </c>
      <c r="K8860" t="n">
        <v>0</v>
      </c>
      <c r="L8860" t="n">
        <v>0</v>
      </c>
      <c r="M8860" t="n">
        <v>0</v>
      </c>
      <c r="N8860" t="n">
        <v>0</v>
      </c>
      <c r="O8860" t="n">
        <v>0</v>
      </c>
      <c r="P8860" t="n">
        <v>0</v>
      </c>
      <c r="Q8860" t="n">
        <v>0</v>
      </c>
      <c r="R8860" s="2" t="inlineStr"/>
    </row>
    <row r="8861" ht="15" customHeight="1">
      <c r="A8861" t="inlineStr">
        <is>
          <t>A 63661-2021</t>
        </is>
      </c>
      <c r="B8861" s="1" t="n">
        <v>44508</v>
      </c>
      <c r="C8861" s="1" t="n">
        <v>46093</v>
      </c>
      <c r="D8861" t="inlineStr">
        <is>
          <t>VÄSTERNORRLANDS LÄN</t>
        </is>
      </c>
      <c r="E8861" t="inlineStr">
        <is>
          <t>SUNDSVALL</t>
        </is>
      </c>
      <c r="G8861" t="n">
        <v>2</v>
      </c>
      <c r="H8861" t="n">
        <v>0</v>
      </c>
      <c r="I8861" t="n">
        <v>0</v>
      </c>
      <c r="J8861" t="n">
        <v>0</v>
      </c>
      <c r="K8861" t="n">
        <v>0</v>
      </c>
      <c r="L8861" t="n">
        <v>0</v>
      </c>
      <c r="M8861" t="n">
        <v>0</v>
      </c>
      <c r="N8861" t="n">
        <v>0</v>
      </c>
      <c r="O8861" t="n">
        <v>0</v>
      </c>
      <c r="P8861" t="n">
        <v>0</v>
      </c>
      <c r="Q8861" t="n">
        <v>0</v>
      </c>
      <c r="R8861" s="2" t="inlineStr"/>
    </row>
    <row r="8862" ht="15" customHeight="1">
      <c r="A8862" t="inlineStr">
        <is>
          <t>A 57007-2022</t>
        </is>
      </c>
      <c r="B8862" s="1" t="n">
        <v>44894.9578125</v>
      </c>
      <c r="C8862" s="1" t="n">
        <v>46093</v>
      </c>
      <c r="D8862" t="inlineStr">
        <is>
          <t>VÄSTERNORRLANDS LÄN</t>
        </is>
      </c>
      <c r="E8862" t="inlineStr">
        <is>
          <t>SUNDSVALL</t>
        </is>
      </c>
      <c r="F8862" t="inlineStr">
        <is>
          <t>SCA</t>
        </is>
      </c>
      <c r="G8862" t="n">
        <v>2.5</v>
      </c>
      <c r="H8862" t="n">
        <v>0</v>
      </c>
      <c r="I8862" t="n">
        <v>0</v>
      </c>
      <c r="J8862" t="n">
        <v>0</v>
      </c>
      <c r="K8862" t="n">
        <v>0</v>
      </c>
      <c r="L8862" t="n">
        <v>0</v>
      </c>
      <c r="M8862" t="n">
        <v>0</v>
      </c>
      <c r="N8862" t="n">
        <v>0</v>
      </c>
      <c r="O8862" t="n">
        <v>0</v>
      </c>
      <c r="P8862" t="n">
        <v>0</v>
      </c>
      <c r="Q8862" t="n">
        <v>0</v>
      </c>
      <c r="R8862" s="2" t="inlineStr"/>
    </row>
    <row r="8863" ht="15" customHeight="1">
      <c r="A8863" t="inlineStr">
        <is>
          <t>A 10917-2024</t>
        </is>
      </c>
      <c r="B8863" s="1" t="n">
        <v>45370</v>
      </c>
      <c r="C8863" s="1" t="n">
        <v>46093</v>
      </c>
      <c r="D8863" t="inlineStr">
        <is>
          <t>VÄSTERNORRLANDS LÄN</t>
        </is>
      </c>
      <c r="E8863" t="inlineStr">
        <is>
          <t>ÅNGE</t>
        </is>
      </c>
      <c r="G8863" t="n">
        <v>2.2</v>
      </c>
      <c r="H8863" t="n">
        <v>0</v>
      </c>
      <c r="I8863" t="n">
        <v>0</v>
      </c>
      <c r="J8863" t="n">
        <v>0</v>
      </c>
      <c r="K8863" t="n">
        <v>0</v>
      </c>
      <c r="L8863" t="n">
        <v>0</v>
      </c>
      <c r="M8863" t="n">
        <v>0</v>
      </c>
      <c r="N8863" t="n">
        <v>0</v>
      </c>
      <c r="O8863" t="n">
        <v>0</v>
      </c>
      <c r="P8863" t="n">
        <v>0</v>
      </c>
      <c r="Q8863" t="n">
        <v>0</v>
      </c>
      <c r="R8863" s="2" t="inlineStr"/>
    </row>
    <row r="8864" ht="15" customHeight="1">
      <c r="A8864" t="inlineStr">
        <is>
          <t>A 59450-2025</t>
        </is>
      </c>
      <c r="B8864" s="1" t="n">
        <v>45989.57114583333</v>
      </c>
      <c r="C8864" s="1" t="n">
        <v>46093</v>
      </c>
      <c r="D8864" t="inlineStr">
        <is>
          <t>VÄSTERNORRLANDS LÄN</t>
        </is>
      </c>
      <c r="E8864" t="inlineStr">
        <is>
          <t>ÖRNSKÖLDSVIK</t>
        </is>
      </c>
      <c r="F8864" t="inlineStr">
        <is>
          <t>Holmen skog AB</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59461-2025</t>
        </is>
      </c>
      <c r="B8865" s="1" t="n">
        <v>45989.57855324074</v>
      </c>
      <c r="C8865" s="1" t="n">
        <v>46093</v>
      </c>
      <c r="D8865" t="inlineStr">
        <is>
          <t>VÄSTERNORRLANDS LÄN</t>
        </is>
      </c>
      <c r="E8865" t="inlineStr">
        <is>
          <t>ÖRNSKÖLDSVIK</t>
        </is>
      </c>
      <c r="F8865" t="inlineStr">
        <is>
          <t>Holmen skog AB</t>
        </is>
      </c>
      <c r="G8865" t="n">
        <v>4.7</v>
      </c>
      <c r="H8865" t="n">
        <v>0</v>
      </c>
      <c r="I8865" t="n">
        <v>0</v>
      </c>
      <c r="J8865" t="n">
        <v>0</v>
      </c>
      <c r="K8865" t="n">
        <v>0</v>
      </c>
      <c r="L8865" t="n">
        <v>0</v>
      </c>
      <c r="M8865" t="n">
        <v>0</v>
      </c>
      <c r="N8865" t="n">
        <v>0</v>
      </c>
      <c r="O8865" t="n">
        <v>0</v>
      </c>
      <c r="P8865" t="n">
        <v>0</v>
      </c>
      <c r="Q8865" t="n">
        <v>0</v>
      </c>
      <c r="R8865" s="2" t="inlineStr"/>
    </row>
    <row r="8866" ht="15" customHeight="1">
      <c r="A8866" t="inlineStr">
        <is>
          <t>A 46911-2021</t>
        </is>
      </c>
      <c r="B8866" s="1" t="n">
        <v>44446</v>
      </c>
      <c r="C8866" s="1" t="n">
        <v>46093</v>
      </c>
      <c r="D8866" t="inlineStr">
        <is>
          <t>VÄSTERNORRLANDS LÄN</t>
        </is>
      </c>
      <c r="E8866" t="inlineStr">
        <is>
          <t>ÖRNSKÖLDSVIK</t>
        </is>
      </c>
      <c r="G8866" t="n">
        <v>14.9</v>
      </c>
      <c r="H8866" t="n">
        <v>0</v>
      </c>
      <c r="I8866" t="n">
        <v>0</v>
      </c>
      <c r="J8866" t="n">
        <v>0</v>
      </c>
      <c r="K8866" t="n">
        <v>0</v>
      </c>
      <c r="L8866" t="n">
        <v>0</v>
      </c>
      <c r="M8866" t="n">
        <v>0</v>
      </c>
      <c r="N8866" t="n">
        <v>0</v>
      </c>
      <c r="O8866" t="n">
        <v>0</v>
      </c>
      <c r="P8866" t="n">
        <v>0</v>
      </c>
      <c r="Q8866" t="n">
        <v>0</v>
      </c>
      <c r="R8866" s="2" t="inlineStr"/>
    </row>
    <row r="8867" ht="15" customHeight="1">
      <c r="A8867" t="inlineStr">
        <is>
          <t>A 59614-2025</t>
        </is>
      </c>
      <c r="B8867" s="1" t="n">
        <v>45992.37185185185</v>
      </c>
      <c r="C8867" s="1" t="n">
        <v>46093</v>
      </c>
      <c r="D8867" t="inlineStr">
        <is>
          <t>VÄSTERNORRLANDS LÄN</t>
        </is>
      </c>
      <c r="E8867" t="inlineStr">
        <is>
          <t>ÖRNSKÖLDSVIK</t>
        </is>
      </c>
      <c r="G8867" t="n">
        <v>1.8</v>
      </c>
      <c r="H8867" t="n">
        <v>0</v>
      </c>
      <c r="I8867" t="n">
        <v>0</v>
      </c>
      <c r="J8867" t="n">
        <v>0</v>
      </c>
      <c r="K8867" t="n">
        <v>0</v>
      </c>
      <c r="L8867" t="n">
        <v>0</v>
      </c>
      <c r="M8867" t="n">
        <v>0</v>
      </c>
      <c r="N8867" t="n">
        <v>0</v>
      </c>
      <c r="O8867" t="n">
        <v>0</v>
      </c>
      <c r="P8867" t="n">
        <v>0</v>
      </c>
      <c r="Q8867" t="n">
        <v>0</v>
      </c>
      <c r="R8867" s="2" t="inlineStr"/>
    </row>
    <row r="8868" ht="15" customHeight="1">
      <c r="A8868" t="inlineStr">
        <is>
          <t>A 12823-2023</t>
        </is>
      </c>
      <c r="B8868" s="1" t="n">
        <v>45000</v>
      </c>
      <c r="C8868" s="1" t="n">
        <v>46093</v>
      </c>
      <c r="D8868" t="inlineStr">
        <is>
          <t>VÄSTERNORRLANDS LÄN</t>
        </is>
      </c>
      <c r="E8868" t="inlineStr">
        <is>
          <t>ÖRNSKÖLDSVIK</t>
        </is>
      </c>
      <c r="G8868" t="n">
        <v>5.8</v>
      </c>
      <c r="H8868" t="n">
        <v>0</v>
      </c>
      <c r="I8868" t="n">
        <v>0</v>
      </c>
      <c r="J8868" t="n">
        <v>0</v>
      </c>
      <c r="K8868" t="n">
        <v>0</v>
      </c>
      <c r="L8868" t="n">
        <v>0</v>
      </c>
      <c r="M8868" t="n">
        <v>0</v>
      </c>
      <c r="N8868" t="n">
        <v>0</v>
      </c>
      <c r="O8868" t="n">
        <v>0</v>
      </c>
      <c r="P8868" t="n">
        <v>0</v>
      </c>
      <c r="Q8868" t="n">
        <v>0</v>
      </c>
      <c r="R8868" s="2" t="inlineStr"/>
    </row>
    <row r="8869" ht="15" customHeight="1">
      <c r="A8869" t="inlineStr">
        <is>
          <t>A 59815-2025</t>
        </is>
      </c>
      <c r="B8869" s="1" t="n">
        <v>45992.6359837963</v>
      </c>
      <c r="C8869" s="1" t="n">
        <v>46093</v>
      </c>
      <c r="D8869" t="inlineStr">
        <is>
          <t>VÄSTERNORRLANDS LÄN</t>
        </is>
      </c>
      <c r="E8869" t="inlineStr">
        <is>
          <t>ÅNGE</t>
        </is>
      </c>
      <c r="G8869" t="n">
        <v>2.2</v>
      </c>
      <c r="H8869" t="n">
        <v>0</v>
      </c>
      <c r="I8869" t="n">
        <v>0</v>
      </c>
      <c r="J8869" t="n">
        <v>0</v>
      </c>
      <c r="K8869" t="n">
        <v>0</v>
      </c>
      <c r="L8869" t="n">
        <v>0</v>
      </c>
      <c r="M8869" t="n">
        <v>0</v>
      </c>
      <c r="N8869" t="n">
        <v>0</v>
      </c>
      <c r="O8869" t="n">
        <v>0</v>
      </c>
      <c r="P8869" t="n">
        <v>0</v>
      </c>
      <c r="Q8869" t="n">
        <v>0</v>
      </c>
      <c r="R8869" s="2" t="inlineStr"/>
    </row>
    <row r="8870" ht="15" customHeight="1">
      <c r="A8870" t="inlineStr">
        <is>
          <t>A 47565-2021</t>
        </is>
      </c>
      <c r="B8870" s="1" t="n">
        <v>44447</v>
      </c>
      <c r="C8870" s="1" t="n">
        <v>46093</v>
      </c>
      <c r="D8870" t="inlineStr">
        <is>
          <t>VÄSTERNORRLANDS LÄN</t>
        </is>
      </c>
      <c r="E8870" t="inlineStr">
        <is>
          <t>SUNDSVALL</t>
        </is>
      </c>
      <c r="F8870" t="inlineStr">
        <is>
          <t>SCA</t>
        </is>
      </c>
      <c r="G8870" t="n">
        <v>1.6</v>
      </c>
      <c r="H8870" t="n">
        <v>0</v>
      </c>
      <c r="I8870" t="n">
        <v>0</v>
      </c>
      <c r="J8870" t="n">
        <v>0</v>
      </c>
      <c r="K8870" t="n">
        <v>0</v>
      </c>
      <c r="L8870" t="n">
        <v>0</v>
      </c>
      <c r="M8870" t="n">
        <v>0</v>
      </c>
      <c r="N8870" t="n">
        <v>0</v>
      </c>
      <c r="O8870" t="n">
        <v>0</v>
      </c>
      <c r="P8870" t="n">
        <v>0</v>
      </c>
      <c r="Q8870" t="n">
        <v>0</v>
      </c>
      <c r="R8870" s="2" t="inlineStr"/>
    </row>
    <row r="8871" ht="15" customHeight="1">
      <c r="A8871" t="inlineStr">
        <is>
          <t>A 57045-2024</t>
        </is>
      </c>
      <c r="B8871" s="1" t="n">
        <v>45629.33137731482</v>
      </c>
      <c r="C8871" s="1" t="n">
        <v>46093</v>
      </c>
      <c r="D8871" t="inlineStr">
        <is>
          <t>VÄSTERNORRLANDS LÄN</t>
        </is>
      </c>
      <c r="E8871" t="inlineStr">
        <is>
          <t>ÖRNSKÖLDSVIK</t>
        </is>
      </c>
      <c r="G8871" t="n">
        <v>4.9</v>
      </c>
      <c r="H8871" t="n">
        <v>0</v>
      </c>
      <c r="I8871" t="n">
        <v>0</v>
      </c>
      <c r="J8871" t="n">
        <v>0</v>
      </c>
      <c r="K8871" t="n">
        <v>0</v>
      </c>
      <c r="L8871" t="n">
        <v>0</v>
      </c>
      <c r="M8871" t="n">
        <v>0</v>
      </c>
      <c r="N8871" t="n">
        <v>0</v>
      </c>
      <c r="O8871" t="n">
        <v>0</v>
      </c>
      <c r="P8871" t="n">
        <v>0</v>
      </c>
      <c r="Q8871" t="n">
        <v>0</v>
      </c>
      <c r="R8871" s="2" t="inlineStr"/>
    </row>
    <row r="8872" ht="15" customHeight="1">
      <c r="A8872" t="inlineStr">
        <is>
          <t>A 59719-2025</t>
        </is>
      </c>
      <c r="B8872" s="1" t="n">
        <v>45992.53689814815</v>
      </c>
      <c r="C8872" s="1" t="n">
        <v>46093</v>
      </c>
      <c r="D8872" t="inlineStr">
        <is>
          <t>VÄSTERNORRLANDS LÄN</t>
        </is>
      </c>
      <c r="E8872" t="inlineStr">
        <is>
          <t>KRAMFORS</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58275-2022</t>
        </is>
      </c>
      <c r="B8873" s="1" t="n">
        <v>44901.47865740741</v>
      </c>
      <c r="C8873" s="1" t="n">
        <v>46093</v>
      </c>
      <c r="D8873" t="inlineStr">
        <is>
          <t>VÄSTERNORRLANDS LÄN</t>
        </is>
      </c>
      <c r="E8873" t="inlineStr">
        <is>
          <t>ÅNGE</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59766-2025</t>
        </is>
      </c>
      <c r="B8874" s="1" t="n">
        <v>45992.59480324074</v>
      </c>
      <c r="C8874" s="1" t="n">
        <v>46093</v>
      </c>
      <c r="D8874" t="inlineStr">
        <is>
          <t>VÄSTERNORRLANDS LÄN</t>
        </is>
      </c>
      <c r="E8874" t="inlineStr">
        <is>
          <t>SOLLEFTEÅ</t>
        </is>
      </c>
      <c r="G8874" t="n">
        <v>1.3</v>
      </c>
      <c r="H8874" t="n">
        <v>0</v>
      </c>
      <c r="I8874" t="n">
        <v>0</v>
      </c>
      <c r="J8874" t="n">
        <v>0</v>
      </c>
      <c r="K8874" t="n">
        <v>0</v>
      </c>
      <c r="L8874" t="n">
        <v>0</v>
      </c>
      <c r="M8874" t="n">
        <v>0</v>
      </c>
      <c r="N8874" t="n">
        <v>0</v>
      </c>
      <c r="O8874" t="n">
        <v>0</v>
      </c>
      <c r="P8874" t="n">
        <v>0</v>
      </c>
      <c r="Q8874" t="n">
        <v>0</v>
      </c>
      <c r="R8874" s="2" t="inlineStr"/>
    </row>
    <row r="8875" ht="15" customHeight="1">
      <c r="A8875" t="inlineStr">
        <is>
          <t>A 831-2024</t>
        </is>
      </c>
      <c r="B8875" s="1" t="n">
        <v>45301</v>
      </c>
      <c r="C8875" s="1" t="n">
        <v>46093</v>
      </c>
      <c r="D8875" t="inlineStr">
        <is>
          <t>VÄSTERNORRLANDS LÄN</t>
        </is>
      </c>
      <c r="E8875" t="inlineStr">
        <is>
          <t>ÖRNSKÖLDSVIK</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28368-2023</t>
        </is>
      </c>
      <c r="B8876" s="1" t="n">
        <v>45099</v>
      </c>
      <c r="C8876" s="1" t="n">
        <v>46093</v>
      </c>
      <c r="D8876" t="inlineStr">
        <is>
          <t>VÄSTERNORRLANDS LÄN</t>
        </is>
      </c>
      <c r="E8876" t="inlineStr">
        <is>
          <t>HÄRNÖSAND</t>
        </is>
      </c>
      <c r="F8876" t="inlineStr">
        <is>
          <t>SCA</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62440-2023</t>
        </is>
      </c>
      <c r="B8877" s="1" t="n">
        <v>45268.458125</v>
      </c>
      <c r="C8877" s="1" t="n">
        <v>46093</v>
      </c>
      <c r="D8877" t="inlineStr">
        <is>
          <t>VÄSTERNORRLANDS LÄN</t>
        </is>
      </c>
      <c r="E8877" t="inlineStr">
        <is>
          <t>ÖRNSKÖLDSVIK</t>
        </is>
      </c>
      <c r="F8877" t="inlineStr">
        <is>
          <t>Holmen skog AB</t>
        </is>
      </c>
      <c r="G8877" t="n">
        <v>2.2</v>
      </c>
      <c r="H8877" t="n">
        <v>0</v>
      </c>
      <c r="I8877" t="n">
        <v>0</v>
      </c>
      <c r="J8877" t="n">
        <v>0</v>
      </c>
      <c r="K8877" t="n">
        <v>0</v>
      </c>
      <c r="L8877" t="n">
        <v>0</v>
      </c>
      <c r="M8877" t="n">
        <v>0</v>
      </c>
      <c r="N8877" t="n">
        <v>0</v>
      </c>
      <c r="O8877" t="n">
        <v>0</v>
      </c>
      <c r="P8877" t="n">
        <v>0</v>
      </c>
      <c r="Q8877" t="n">
        <v>0</v>
      </c>
      <c r="R8877" s="2" t="inlineStr"/>
    </row>
    <row r="8878" ht="15" customHeight="1">
      <c r="A8878" t="inlineStr">
        <is>
          <t>A 50355-2023</t>
        </is>
      </c>
      <c r="B8878" s="1" t="n">
        <v>45209</v>
      </c>
      <c r="C8878" s="1" t="n">
        <v>46093</v>
      </c>
      <c r="D8878" t="inlineStr">
        <is>
          <t>VÄSTERNORRLANDS LÄN</t>
        </is>
      </c>
      <c r="E8878" t="inlineStr">
        <is>
          <t>TIMRÅ</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50367-2023</t>
        </is>
      </c>
      <c r="B8879" s="1" t="n">
        <v>45216.60682870371</v>
      </c>
      <c r="C8879" s="1" t="n">
        <v>46093</v>
      </c>
      <c r="D8879" t="inlineStr">
        <is>
          <t>VÄSTERNORRLANDS LÄN</t>
        </is>
      </c>
      <c r="E8879" t="inlineStr">
        <is>
          <t>ÖRNSKÖLDSVIK</t>
        </is>
      </c>
      <c r="F8879" t="inlineStr">
        <is>
          <t>Holmen skog AB</t>
        </is>
      </c>
      <c r="G8879" t="n">
        <v>0.9</v>
      </c>
      <c r="H8879" t="n">
        <v>0</v>
      </c>
      <c r="I8879" t="n">
        <v>0</v>
      </c>
      <c r="J8879" t="n">
        <v>0</v>
      </c>
      <c r="K8879" t="n">
        <v>0</v>
      </c>
      <c r="L8879" t="n">
        <v>0</v>
      </c>
      <c r="M8879" t="n">
        <v>0</v>
      </c>
      <c r="N8879" t="n">
        <v>0</v>
      </c>
      <c r="O8879" t="n">
        <v>0</v>
      </c>
      <c r="P8879" t="n">
        <v>0</v>
      </c>
      <c r="Q8879" t="n">
        <v>0</v>
      </c>
      <c r="R8879" s="2" t="inlineStr"/>
    </row>
    <row r="8880" ht="15" customHeight="1">
      <c r="A8880" t="inlineStr">
        <is>
          <t>A 50205-2024</t>
        </is>
      </c>
      <c r="B8880" s="1" t="n">
        <v>45600.49386574074</v>
      </c>
      <c r="C8880" s="1" t="n">
        <v>46093</v>
      </c>
      <c r="D8880" t="inlineStr">
        <is>
          <t>VÄSTERNORRLANDS LÄN</t>
        </is>
      </c>
      <c r="E8880" t="inlineStr">
        <is>
          <t>SUNDSVALL</t>
        </is>
      </c>
      <c r="G8880" t="n">
        <v>4.5</v>
      </c>
      <c r="H8880" t="n">
        <v>0</v>
      </c>
      <c r="I8880" t="n">
        <v>0</v>
      </c>
      <c r="J8880" t="n">
        <v>0</v>
      </c>
      <c r="K8880" t="n">
        <v>0</v>
      </c>
      <c r="L8880" t="n">
        <v>0</v>
      </c>
      <c r="M8880" t="n">
        <v>0</v>
      </c>
      <c r="N8880" t="n">
        <v>0</v>
      </c>
      <c r="O8880" t="n">
        <v>0</v>
      </c>
      <c r="P8880" t="n">
        <v>0</v>
      </c>
      <c r="Q8880" t="n">
        <v>0</v>
      </c>
      <c r="R8880" s="2" t="inlineStr"/>
    </row>
    <row r="8881" ht="15" customHeight="1">
      <c r="A8881" t="inlineStr">
        <is>
          <t>A 31339-2022</t>
        </is>
      </c>
      <c r="B8881" s="1" t="n">
        <v>44774</v>
      </c>
      <c r="C8881" s="1" t="n">
        <v>46093</v>
      </c>
      <c r="D8881" t="inlineStr">
        <is>
          <t>VÄSTERNORRLANDS LÄN</t>
        </is>
      </c>
      <c r="E8881" t="inlineStr">
        <is>
          <t>KRAMFORS</t>
        </is>
      </c>
      <c r="G8881" t="n">
        <v>1.5</v>
      </c>
      <c r="H8881" t="n">
        <v>0</v>
      </c>
      <c r="I8881" t="n">
        <v>0</v>
      </c>
      <c r="J8881" t="n">
        <v>0</v>
      </c>
      <c r="K8881" t="n">
        <v>0</v>
      </c>
      <c r="L8881" t="n">
        <v>0</v>
      </c>
      <c r="M8881" t="n">
        <v>0</v>
      </c>
      <c r="N8881" t="n">
        <v>0</v>
      </c>
      <c r="O8881" t="n">
        <v>0</v>
      </c>
      <c r="P8881" t="n">
        <v>0</v>
      </c>
      <c r="Q8881" t="n">
        <v>0</v>
      </c>
      <c r="R8881" s="2" t="inlineStr"/>
    </row>
    <row r="8882" ht="15" customHeight="1">
      <c r="A8882" t="inlineStr">
        <is>
          <t>A 18979-2023</t>
        </is>
      </c>
      <c r="B8882" s="1" t="n">
        <v>45044</v>
      </c>
      <c r="C8882" s="1" t="n">
        <v>46093</v>
      </c>
      <c r="D8882" t="inlineStr">
        <is>
          <t>VÄSTERNORRLANDS LÄN</t>
        </is>
      </c>
      <c r="E8882" t="inlineStr">
        <is>
          <t>HÄRNÖSAND</t>
        </is>
      </c>
      <c r="F8882" t="inlineStr">
        <is>
          <t>SCA</t>
        </is>
      </c>
      <c r="G8882" t="n">
        <v>0.7</v>
      </c>
      <c r="H8882" t="n">
        <v>0</v>
      </c>
      <c r="I8882" t="n">
        <v>0</v>
      </c>
      <c r="J8882" t="n">
        <v>0</v>
      </c>
      <c r="K8882" t="n">
        <v>0</v>
      </c>
      <c r="L8882" t="n">
        <v>0</v>
      </c>
      <c r="M8882" t="n">
        <v>0</v>
      </c>
      <c r="N8882" t="n">
        <v>0</v>
      </c>
      <c r="O8882" t="n">
        <v>0</v>
      </c>
      <c r="P8882" t="n">
        <v>0</v>
      </c>
      <c r="Q8882" t="n">
        <v>0</v>
      </c>
      <c r="R8882" s="2" t="inlineStr"/>
    </row>
    <row r="8883" ht="15" customHeight="1">
      <c r="A8883" t="inlineStr">
        <is>
          <t>A 21531-2021</t>
        </is>
      </c>
      <c r="B8883" s="1" t="n">
        <v>44321</v>
      </c>
      <c r="C8883" s="1" t="n">
        <v>46093</v>
      </c>
      <c r="D8883" t="inlineStr">
        <is>
          <t>VÄSTERNORRLANDS LÄN</t>
        </is>
      </c>
      <c r="E8883" t="inlineStr">
        <is>
          <t>HÄRNÖSAND</t>
        </is>
      </c>
      <c r="G8883" t="n">
        <v>4.4</v>
      </c>
      <c r="H8883" t="n">
        <v>0</v>
      </c>
      <c r="I8883" t="n">
        <v>0</v>
      </c>
      <c r="J8883" t="n">
        <v>0</v>
      </c>
      <c r="K8883" t="n">
        <v>0</v>
      </c>
      <c r="L8883" t="n">
        <v>0</v>
      </c>
      <c r="M8883" t="n">
        <v>0</v>
      </c>
      <c r="N8883" t="n">
        <v>0</v>
      </c>
      <c r="O8883" t="n">
        <v>0</v>
      </c>
      <c r="P8883" t="n">
        <v>0</v>
      </c>
      <c r="Q8883" t="n">
        <v>0</v>
      </c>
      <c r="R8883" s="2" t="inlineStr"/>
    </row>
    <row r="8884" ht="15" customHeight="1">
      <c r="A8884" t="inlineStr">
        <is>
          <t>A 59689-2025</t>
        </is>
      </c>
      <c r="B8884" s="1" t="n">
        <v>45992.48307870371</v>
      </c>
      <c r="C8884" s="1" t="n">
        <v>46093</v>
      </c>
      <c r="D8884" t="inlineStr">
        <is>
          <t>VÄSTERNORRLANDS LÄN</t>
        </is>
      </c>
      <c r="E8884" t="inlineStr">
        <is>
          <t>ÖRNSKÖLDSVIK</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59556-2025</t>
        </is>
      </c>
      <c r="B8885" s="1" t="n">
        <v>45991.40039351852</v>
      </c>
      <c r="C8885" s="1" t="n">
        <v>46093</v>
      </c>
      <c r="D8885" t="inlineStr">
        <is>
          <t>VÄSTERNORRLANDS LÄN</t>
        </is>
      </c>
      <c r="E8885" t="inlineStr">
        <is>
          <t>ÖRNSKÖLDSVIK</t>
        </is>
      </c>
      <c r="F8885" t="inlineStr">
        <is>
          <t>Holmen skog AB</t>
        </is>
      </c>
      <c r="G8885" t="n">
        <v>3</v>
      </c>
      <c r="H8885" t="n">
        <v>0</v>
      </c>
      <c r="I8885" t="n">
        <v>0</v>
      </c>
      <c r="J8885" t="n">
        <v>0</v>
      </c>
      <c r="K8885" t="n">
        <v>0</v>
      </c>
      <c r="L8885" t="n">
        <v>0</v>
      </c>
      <c r="M8885" t="n">
        <v>0</v>
      </c>
      <c r="N8885" t="n">
        <v>0</v>
      </c>
      <c r="O8885" t="n">
        <v>0</v>
      </c>
      <c r="P8885" t="n">
        <v>0</v>
      </c>
      <c r="Q8885" t="n">
        <v>0</v>
      </c>
      <c r="R8885" s="2" t="inlineStr"/>
    </row>
    <row r="8886" ht="15" customHeight="1">
      <c r="A8886" t="inlineStr">
        <is>
          <t>A 54052-2023</t>
        </is>
      </c>
      <c r="B8886" s="1" t="n">
        <v>45231.96819444445</v>
      </c>
      <c r="C8886" s="1" t="n">
        <v>46093</v>
      </c>
      <c r="D8886" t="inlineStr">
        <is>
          <t>VÄSTERNORRLANDS LÄN</t>
        </is>
      </c>
      <c r="E8886" t="inlineStr">
        <is>
          <t>SUNDSVALL</t>
        </is>
      </c>
      <c r="F8886" t="inlineStr">
        <is>
          <t>SCA</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59557-2025</t>
        </is>
      </c>
      <c r="B8887" s="1" t="n">
        <v>45991</v>
      </c>
      <c r="C8887" s="1" t="n">
        <v>46093</v>
      </c>
      <c r="D8887" t="inlineStr">
        <is>
          <t>VÄSTERNORRLANDS LÄN</t>
        </is>
      </c>
      <c r="E8887" t="inlineStr">
        <is>
          <t>ÖRNSKÖLDSVIK</t>
        </is>
      </c>
      <c r="F8887" t="inlineStr">
        <is>
          <t>Holmen skog AB</t>
        </is>
      </c>
      <c r="G8887" t="n">
        <v>0.7</v>
      </c>
      <c r="H8887" t="n">
        <v>0</v>
      </c>
      <c r="I8887" t="n">
        <v>0</v>
      </c>
      <c r="J8887" t="n">
        <v>0</v>
      </c>
      <c r="K8887" t="n">
        <v>0</v>
      </c>
      <c r="L8887" t="n">
        <v>0</v>
      </c>
      <c r="M8887" t="n">
        <v>0</v>
      </c>
      <c r="N8887" t="n">
        <v>0</v>
      </c>
      <c r="O8887" t="n">
        <v>0</v>
      </c>
      <c r="P8887" t="n">
        <v>0</v>
      </c>
      <c r="Q8887" t="n">
        <v>0</v>
      </c>
      <c r="R8887" s="2" t="inlineStr"/>
    </row>
    <row r="8888" ht="15" customHeight="1">
      <c r="A8888" t="inlineStr">
        <is>
          <t>A 59558-2025</t>
        </is>
      </c>
      <c r="B8888" s="1" t="n">
        <v>45991</v>
      </c>
      <c r="C8888" s="1" t="n">
        <v>46093</v>
      </c>
      <c r="D8888" t="inlineStr">
        <is>
          <t>VÄSTERNORRLANDS LÄN</t>
        </is>
      </c>
      <c r="E8888" t="inlineStr">
        <is>
          <t>ÖRNSKÖLDSVIK</t>
        </is>
      </c>
      <c r="F8888" t="inlineStr">
        <is>
          <t>Holmen skog AB</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59368-2025</t>
        </is>
      </c>
      <c r="B8889" s="1" t="n">
        <v>45989.44824074074</v>
      </c>
      <c r="C8889" s="1" t="n">
        <v>46093</v>
      </c>
      <c r="D8889" t="inlineStr">
        <is>
          <t>VÄSTERNORRLANDS LÄN</t>
        </is>
      </c>
      <c r="E8889" t="inlineStr">
        <is>
          <t>ÖRNSKÖLDSVIK</t>
        </is>
      </c>
      <c r="F8889" t="inlineStr">
        <is>
          <t>Holmen skog AB</t>
        </is>
      </c>
      <c r="G8889" t="n">
        <v>6.1</v>
      </c>
      <c r="H8889" t="n">
        <v>0</v>
      </c>
      <c r="I8889" t="n">
        <v>0</v>
      </c>
      <c r="J8889" t="n">
        <v>0</v>
      </c>
      <c r="K8889" t="n">
        <v>0</v>
      </c>
      <c r="L8889" t="n">
        <v>0</v>
      </c>
      <c r="M8889" t="n">
        <v>0</v>
      </c>
      <c r="N8889" t="n">
        <v>0</v>
      </c>
      <c r="O8889" t="n">
        <v>0</v>
      </c>
      <c r="P8889" t="n">
        <v>0</v>
      </c>
      <c r="Q8889" t="n">
        <v>0</v>
      </c>
      <c r="R8889" s="2" t="inlineStr"/>
    </row>
    <row r="8890" ht="15" customHeight="1">
      <c r="A8890" t="inlineStr">
        <is>
          <t>A 34192-2023</t>
        </is>
      </c>
      <c r="B8890" s="1" t="n">
        <v>45138</v>
      </c>
      <c r="C8890" s="1" t="n">
        <v>46093</v>
      </c>
      <c r="D8890" t="inlineStr">
        <is>
          <t>VÄSTERNORRLANDS LÄN</t>
        </is>
      </c>
      <c r="E8890" t="inlineStr">
        <is>
          <t>SUNDSVALL</t>
        </is>
      </c>
      <c r="G8890" t="n">
        <v>4</v>
      </c>
      <c r="H8890" t="n">
        <v>0</v>
      </c>
      <c r="I8890" t="n">
        <v>0</v>
      </c>
      <c r="J8890" t="n">
        <v>0</v>
      </c>
      <c r="K8890" t="n">
        <v>0</v>
      </c>
      <c r="L8890" t="n">
        <v>0</v>
      </c>
      <c r="M8890" t="n">
        <v>0</v>
      </c>
      <c r="N8890" t="n">
        <v>0</v>
      </c>
      <c r="O8890" t="n">
        <v>0</v>
      </c>
      <c r="P8890" t="n">
        <v>0</v>
      </c>
      <c r="Q8890" t="n">
        <v>0</v>
      </c>
      <c r="R8890" s="2" t="inlineStr"/>
    </row>
    <row r="8891" ht="15" customHeight="1">
      <c r="A8891" t="inlineStr">
        <is>
          <t>A 34226-2023</t>
        </is>
      </c>
      <c r="B8891" s="1" t="n">
        <v>45126</v>
      </c>
      <c r="C8891" s="1" t="n">
        <v>46093</v>
      </c>
      <c r="D8891" t="inlineStr">
        <is>
          <t>VÄSTERNORRLANDS LÄN</t>
        </is>
      </c>
      <c r="E8891" t="inlineStr">
        <is>
          <t>HÄRNÖSAND</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54059-2023</t>
        </is>
      </c>
      <c r="B8892" s="1" t="n">
        <v>45231.96899305555</v>
      </c>
      <c r="C8892" s="1" t="n">
        <v>46093</v>
      </c>
      <c r="D8892" t="inlineStr">
        <is>
          <t>VÄSTERNORRLANDS LÄN</t>
        </is>
      </c>
      <c r="E8892" t="inlineStr">
        <is>
          <t>SUNDSVALL</t>
        </is>
      </c>
      <c r="F8892" t="inlineStr">
        <is>
          <t>SCA</t>
        </is>
      </c>
      <c r="G8892" t="n">
        <v>4</v>
      </c>
      <c r="H8892" t="n">
        <v>0</v>
      </c>
      <c r="I8892" t="n">
        <v>0</v>
      </c>
      <c r="J8892" t="n">
        <v>0</v>
      </c>
      <c r="K8892" t="n">
        <v>0</v>
      </c>
      <c r="L8892" t="n">
        <v>0</v>
      </c>
      <c r="M8892" t="n">
        <v>0</v>
      </c>
      <c r="N8892" t="n">
        <v>0</v>
      </c>
      <c r="O8892" t="n">
        <v>0</v>
      </c>
      <c r="P8892" t="n">
        <v>0</v>
      </c>
      <c r="Q8892" t="n">
        <v>0</v>
      </c>
      <c r="R8892" s="2" t="inlineStr"/>
    </row>
    <row r="8893" ht="15" customHeight="1">
      <c r="A8893" t="inlineStr">
        <is>
          <t>A 59764-2025</t>
        </is>
      </c>
      <c r="B8893" s="1" t="n">
        <v>45992.59456018519</v>
      </c>
      <c r="C8893" s="1" t="n">
        <v>46093</v>
      </c>
      <c r="D8893" t="inlineStr">
        <is>
          <t>VÄSTERNORRLANDS LÄN</t>
        </is>
      </c>
      <c r="E8893" t="inlineStr">
        <is>
          <t>SOLLEFTEÅ</t>
        </is>
      </c>
      <c r="F8893" t="inlineStr">
        <is>
          <t>SCA</t>
        </is>
      </c>
      <c r="G8893" t="n">
        <v>7.5</v>
      </c>
      <c r="H8893" t="n">
        <v>0</v>
      </c>
      <c r="I8893" t="n">
        <v>0</v>
      </c>
      <c r="J8893" t="n">
        <v>0</v>
      </c>
      <c r="K8893" t="n">
        <v>0</v>
      </c>
      <c r="L8893" t="n">
        <v>0</v>
      </c>
      <c r="M8893" t="n">
        <v>0</v>
      </c>
      <c r="N8893" t="n">
        <v>0</v>
      </c>
      <c r="O8893" t="n">
        <v>0</v>
      </c>
      <c r="P8893" t="n">
        <v>0</v>
      </c>
      <c r="Q8893" t="n">
        <v>0</v>
      </c>
      <c r="R8893" s="2" t="inlineStr"/>
    </row>
    <row r="8894" ht="15" customHeight="1">
      <c r="A8894" t="inlineStr">
        <is>
          <t>A 59765-2025</t>
        </is>
      </c>
      <c r="B8894" s="1" t="n">
        <v>45992.59473379629</v>
      </c>
      <c r="C8894" s="1" t="n">
        <v>46093</v>
      </c>
      <c r="D8894" t="inlineStr">
        <is>
          <t>VÄSTERNORRLANDS LÄN</t>
        </is>
      </c>
      <c r="E8894" t="inlineStr">
        <is>
          <t>SOLLEFTEÅ</t>
        </is>
      </c>
      <c r="G8894" t="n">
        <v>1.6</v>
      </c>
      <c r="H8894" t="n">
        <v>0</v>
      </c>
      <c r="I8894" t="n">
        <v>0</v>
      </c>
      <c r="J8894" t="n">
        <v>0</v>
      </c>
      <c r="K8894" t="n">
        <v>0</v>
      </c>
      <c r="L8894" t="n">
        <v>0</v>
      </c>
      <c r="M8894" t="n">
        <v>0</v>
      </c>
      <c r="N8894" t="n">
        <v>0</v>
      </c>
      <c r="O8894" t="n">
        <v>0</v>
      </c>
      <c r="P8894" t="n">
        <v>0</v>
      </c>
      <c r="Q8894" t="n">
        <v>0</v>
      </c>
      <c r="R8894" s="2" t="inlineStr"/>
    </row>
    <row r="8895" ht="15" customHeight="1">
      <c r="A8895" t="inlineStr">
        <is>
          <t>A 59631-2025</t>
        </is>
      </c>
      <c r="B8895" s="1" t="n">
        <v>45992.3971875</v>
      </c>
      <c r="C8895" s="1" t="n">
        <v>46093</v>
      </c>
      <c r="D8895" t="inlineStr">
        <is>
          <t>VÄSTERNORRLANDS LÄN</t>
        </is>
      </c>
      <c r="E8895" t="inlineStr">
        <is>
          <t>HÄRNÖSAND</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59634-2025</t>
        </is>
      </c>
      <c r="B8896" s="1" t="n">
        <v>45992.40408564815</v>
      </c>
      <c r="C8896" s="1" t="n">
        <v>46093</v>
      </c>
      <c r="D8896" t="inlineStr">
        <is>
          <t>VÄSTERNORRLANDS LÄN</t>
        </is>
      </c>
      <c r="E8896" t="inlineStr">
        <is>
          <t>HÄRNÖSAND</t>
        </is>
      </c>
      <c r="G8896" t="n">
        <v>2.3</v>
      </c>
      <c r="H8896" t="n">
        <v>0</v>
      </c>
      <c r="I8896" t="n">
        <v>0</v>
      </c>
      <c r="J8896" t="n">
        <v>0</v>
      </c>
      <c r="K8896" t="n">
        <v>0</v>
      </c>
      <c r="L8896" t="n">
        <v>0</v>
      </c>
      <c r="M8896" t="n">
        <v>0</v>
      </c>
      <c r="N8896" t="n">
        <v>0</v>
      </c>
      <c r="O8896" t="n">
        <v>0</v>
      </c>
      <c r="P8896" t="n">
        <v>0</v>
      </c>
      <c r="Q8896" t="n">
        <v>0</v>
      </c>
      <c r="R8896" s="2" t="inlineStr"/>
    </row>
    <row r="8897" ht="15" customHeight="1">
      <c r="A8897" t="inlineStr">
        <is>
          <t>A 59636-2025</t>
        </is>
      </c>
      <c r="B8897" s="1" t="n">
        <v>45992.40660879629</v>
      </c>
      <c r="C8897" s="1" t="n">
        <v>46093</v>
      </c>
      <c r="D8897" t="inlineStr">
        <is>
          <t>VÄSTERNORRLANDS LÄN</t>
        </is>
      </c>
      <c r="E8897" t="inlineStr">
        <is>
          <t>SUNDSVALL</t>
        </is>
      </c>
      <c r="G8897" t="n">
        <v>2</v>
      </c>
      <c r="H8897" t="n">
        <v>0</v>
      </c>
      <c r="I8897" t="n">
        <v>0</v>
      </c>
      <c r="J8897" t="n">
        <v>0</v>
      </c>
      <c r="K8897" t="n">
        <v>0</v>
      </c>
      <c r="L8897" t="n">
        <v>0</v>
      </c>
      <c r="M8897" t="n">
        <v>0</v>
      </c>
      <c r="N8897" t="n">
        <v>0</v>
      </c>
      <c r="O8897" t="n">
        <v>0</v>
      </c>
      <c r="P8897" t="n">
        <v>0</v>
      </c>
      <c r="Q8897" t="n">
        <v>0</v>
      </c>
      <c r="R8897" s="2" t="inlineStr"/>
    </row>
    <row r="8898" ht="15" customHeight="1">
      <c r="A8898" t="inlineStr">
        <is>
          <t>A 59713-2025</t>
        </is>
      </c>
      <c r="B8898" s="1" t="n">
        <v>45992.52734953703</v>
      </c>
      <c r="C8898" s="1" t="n">
        <v>46093</v>
      </c>
      <c r="D8898" t="inlineStr">
        <is>
          <t>VÄSTERNORRLANDS LÄN</t>
        </is>
      </c>
      <c r="E8898" t="inlineStr">
        <is>
          <t>KRAMFORS</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34014-2023</t>
        </is>
      </c>
      <c r="B8899" s="1" t="n">
        <v>45124</v>
      </c>
      <c r="C8899" s="1" t="n">
        <v>46093</v>
      </c>
      <c r="D8899" t="inlineStr">
        <is>
          <t>VÄSTERNORRLANDS LÄN</t>
        </is>
      </c>
      <c r="E8899" t="inlineStr">
        <is>
          <t>ÖRNSKÖLDSVIK</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48752-2023</t>
        </is>
      </c>
      <c r="B8900" s="1" t="n">
        <v>45208.89585648148</v>
      </c>
      <c r="C8900" s="1" t="n">
        <v>46093</v>
      </c>
      <c r="D8900" t="inlineStr">
        <is>
          <t>VÄSTERNORRLANDS LÄN</t>
        </is>
      </c>
      <c r="E8900" t="inlineStr">
        <is>
          <t>SUNDSVALL</t>
        </is>
      </c>
      <c r="G8900" t="n">
        <v>0.6</v>
      </c>
      <c r="H8900" t="n">
        <v>0</v>
      </c>
      <c r="I8900" t="n">
        <v>0</v>
      </c>
      <c r="J8900" t="n">
        <v>0</v>
      </c>
      <c r="K8900" t="n">
        <v>0</v>
      </c>
      <c r="L8900" t="n">
        <v>0</v>
      </c>
      <c r="M8900" t="n">
        <v>0</v>
      </c>
      <c r="N8900" t="n">
        <v>0</v>
      </c>
      <c r="O8900" t="n">
        <v>0</v>
      </c>
      <c r="P8900" t="n">
        <v>0</v>
      </c>
      <c r="Q8900" t="n">
        <v>0</v>
      </c>
      <c r="R8900" s="2" t="inlineStr"/>
    </row>
    <row r="8901" ht="15" customHeight="1">
      <c r="A8901" t="inlineStr">
        <is>
          <t>A 25781-2023</t>
        </is>
      </c>
      <c r="B8901" s="1" t="n">
        <v>45085</v>
      </c>
      <c r="C8901" s="1" t="n">
        <v>46093</v>
      </c>
      <c r="D8901" t="inlineStr">
        <is>
          <t>VÄSTERNORRLANDS LÄN</t>
        </is>
      </c>
      <c r="E8901" t="inlineStr">
        <is>
          <t>KRAMFORS</t>
        </is>
      </c>
      <c r="G8901" t="n">
        <v>1.7</v>
      </c>
      <c r="H8901" t="n">
        <v>0</v>
      </c>
      <c r="I8901" t="n">
        <v>0</v>
      </c>
      <c r="J8901" t="n">
        <v>0</v>
      </c>
      <c r="K8901" t="n">
        <v>0</v>
      </c>
      <c r="L8901" t="n">
        <v>0</v>
      </c>
      <c r="M8901" t="n">
        <v>0</v>
      </c>
      <c r="N8901" t="n">
        <v>0</v>
      </c>
      <c r="O8901" t="n">
        <v>0</v>
      </c>
      <c r="P8901" t="n">
        <v>0</v>
      </c>
      <c r="Q8901" t="n">
        <v>0</v>
      </c>
      <c r="R8901" s="2" t="inlineStr"/>
    </row>
    <row r="8902" ht="15" customHeight="1">
      <c r="A8902" t="inlineStr">
        <is>
          <t>A 17481-2025</t>
        </is>
      </c>
      <c r="B8902" s="1" t="n">
        <v>45757.48979166667</v>
      </c>
      <c r="C8902" s="1" t="n">
        <v>46093</v>
      </c>
      <c r="D8902" t="inlineStr">
        <is>
          <t>VÄSTERNORRLANDS LÄN</t>
        </is>
      </c>
      <c r="E8902" t="inlineStr">
        <is>
          <t>SOLLEFTEÅ</t>
        </is>
      </c>
      <c r="G8902" t="n">
        <v>2.8</v>
      </c>
      <c r="H8902" t="n">
        <v>0</v>
      </c>
      <c r="I8902" t="n">
        <v>0</v>
      </c>
      <c r="J8902" t="n">
        <v>0</v>
      </c>
      <c r="K8902" t="n">
        <v>0</v>
      </c>
      <c r="L8902" t="n">
        <v>0</v>
      </c>
      <c r="M8902" t="n">
        <v>0</v>
      </c>
      <c r="N8902" t="n">
        <v>0</v>
      </c>
      <c r="O8902" t="n">
        <v>0</v>
      </c>
      <c r="P8902" t="n">
        <v>0</v>
      </c>
      <c r="Q8902" t="n">
        <v>0</v>
      </c>
      <c r="R8902" s="2" t="inlineStr"/>
    </row>
    <row r="8903" ht="15" customHeight="1">
      <c r="A8903" t="inlineStr">
        <is>
          <t>A 19201-2025</t>
        </is>
      </c>
      <c r="B8903" s="1" t="n">
        <v>45769.42797453704</v>
      </c>
      <c r="C8903" s="1" t="n">
        <v>46093</v>
      </c>
      <c r="D8903" t="inlineStr">
        <is>
          <t>VÄSTERNORRLANDS LÄN</t>
        </is>
      </c>
      <c r="E8903" t="inlineStr">
        <is>
          <t>HÄRNÖSAND</t>
        </is>
      </c>
      <c r="F8903" t="inlineStr">
        <is>
          <t>SCA</t>
        </is>
      </c>
      <c r="G8903" t="n">
        <v>20.5</v>
      </c>
      <c r="H8903" t="n">
        <v>0</v>
      </c>
      <c r="I8903" t="n">
        <v>0</v>
      </c>
      <c r="J8903" t="n">
        <v>0</v>
      </c>
      <c r="K8903" t="n">
        <v>0</v>
      </c>
      <c r="L8903" t="n">
        <v>0</v>
      </c>
      <c r="M8903" t="n">
        <v>0</v>
      </c>
      <c r="N8903" t="n">
        <v>0</v>
      </c>
      <c r="O8903" t="n">
        <v>0</v>
      </c>
      <c r="P8903" t="n">
        <v>0</v>
      </c>
      <c r="Q8903" t="n">
        <v>0</v>
      </c>
      <c r="R8903" s="2" t="inlineStr"/>
    </row>
    <row r="8904" ht="15" customHeight="1">
      <c r="A8904" t="inlineStr">
        <is>
          <t>A 43775-2022</t>
        </is>
      </c>
      <c r="B8904" s="1" t="n">
        <v>44837.95053240741</v>
      </c>
      <c r="C8904" s="1" t="n">
        <v>46093</v>
      </c>
      <c r="D8904" t="inlineStr">
        <is>
          <t>VÄSTERNORRLANDS LÄN</t>
        </is>
      </c>
      <c r="E8904" t="inlineStr">
        <is>
          <t>ÅNGE</t>
        </is>
      </c>
      <c r="F8904" t="inlineStr">
        <is>
          <t>SCA</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59550-2025</t>
        </is>
      </c>
      <c r="B8905" s="1" t="n">
        <v>45990.43803240741</v>
      </c>
      <c r="C8905" s="1" t="n">
        <v>46093</v>
      </c>
      <c r="D8905" t="inlineStr">
        <is>
          <t>VÄSTERNORRLANDS LÄN</t>
        </is>
      </c>
      <c r="E8905" t="inlineStr">
        <is>
          <t>ÖRNSKÖLDSVIK</t>
        </is>
      </c>
      <c r="F8905" t="inlineStr">
        <is>
          <t>Holmen skog AB</t>
        </is>
      </c>
      <c r="G8905" t="n">
        <v>2</v>
      </c>
      <c r="H8905" t="n">
        <v>0</v>
      </c>
      <c r="I8905" t="n">
        <v>0</v>
      </c>
      <c r="J8905" t="n">
        <v>0</v>
      </c>
      <c r="K8905" t="n">
        <v>0</v>
      </c>
      <c r="L8905" t="n">
        <v>0</v>
      </c>
      <c r="M8905" t="n">
        <v>0</v>
      </c>
      <c r="N8905" t="n">
        <v>0</v>
      </c>
      <c r="O8905" t="n">
        <v>0</v>
      </c>
      <c r="P8905" t="n">
        <v>0</v>
      </c>
      <c r="Q8905" t="n">
        <v>0</v>
      </c>
      <c r="R8905" s="2" t="inlineStr"/>
    </row>
    <row r="8906" ht="15" customHeight="1">
      <c r="A8906" t="inlineStr">
        <is>
          <t>A 59551-2025</t>
        </is>
      </c>
      <c r="B8906" s="1" t="n">
        <v>45990.45982638889</v>
      </c>
      <c r="C8906" s="1" t="n">
        <v>46093</v>
      </c>
      <c r="D8906" t="inlineStr">
        <is>
          <t>VÄSTERNORRLANDS LÄN</t>
        </is>
      </c>
      <c r="E8906" t="inlineStr">
        <is>
          <t>ÖRNSKÖLDSVIK</t>
        </is>
      </c>
      <c r="F8906" t="inlineStr">
        <is>
          <t>Holmen skog AB</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55640-2023</t>
        </is>
      </c>
      <c r="B8907" s="1" t="n">
        <v>45238</v>
      </c>
      <c r="C8907" s="1" t="n">
        <v>46093</v>
      </c>
      <c r="D8907" t="inlineStr">
        <is>
          <t>VÄSTERNORRLANDS LÄN</t>
        </is>
      </c>
      <c r="E8907" t="inlineStr">
        <is>
          <t>ÖRNSKÖLDSVIK</t>
        </is>
      </c>
      <c r="G8907" t="n">
        <v>0.6</v>
      </c>
      <c r="H8907" t="n">
        <v>0</v>
      </c>
      <c r="I8907" t="n">
        <v>0</v>
      </c>
      <c r="J8907" t="n">
        <v>0</v>
      </c>
      <c r="K8907" t="n">
        <v>0</v>
      </c>
      <c r="L8907" t="n">
        <v>0</v>
      </c>
      <c r="M8907" t="n">
        <v>0</v>
      </c>
      <c r="N8907" t="n">
        <v>0</v>
      </c>
      <c r="O8907" t="n">
        <v>0</v>
      </c>
      <c r="P8907" t="n">
        <v>0</v>
      </c>
      <c r="Q8907" t="n">
        <v>0</v>
      </c>
      <c r="R8907" s="2" t="inlineStr"/>
    </row>
    <row r="8908" ht="15" customHeight="1">
      <c r="A8908" t="inlineStr">
        <is>
          <t>A 59747-2025</t>
        </is>
      </c>
      <c r="B8908" s="1" t="n">
        <v>45992.58003472222</v>
      </c>
      <c r="C8908" s="1" t="n">
        <v>46093</v>
      </c>
      <c r="D8908" t="inlineStr">
        <is>
          <t>VÄSTERNORRLANDS LÄN</t>
        </is>
      </c>
      <c r="E8908" t="inlineStr">
        <is>
          <t>ÖRNSKÖLDSVIK</t>
        </is>
      </c>
      <c r="G8908" t="n">
        <v>6.3</v>
      </c>
      <c r="H8908" t="n">
        <v>0</v>
      </c>
      <c r="I8908" t="n">
        <v>0</v>
      </c>
      <c r="J8908" t="n">
        <v>0</v>
      </c>
      <c r="K8908" t="n">
        <v>0</v>
      </c>
      <c r="L8908" t="n">
        <v>0</v>
      </c>
      <c r="M8908" t="n">
        <v>0</v>
      </c>
      <c r="N8908" t="n">
        <v>0</v>
      </c>
      <c r="O8908" t="n">
        <v>0</v>
      </c>
      <c r="P8908" t="n">
        <v>0</v>
      </c>
      <c r="Q8908" t="n">
        <v>0</v>
      </c>
      <c r="R8908" s="2" t="inlineStr"/>
    </row>
    <row r="8909" ht="15" customHeight="1">
      <c r="A8909" t="inlineStr">
        <is>
          <t>A 44001-2025</t>
        </is>
      </c>
      <c r="B8909" s="1" t="n">
        <v>45915</v>
      </c>
      <c r="C8909" s="1" t="n">
        <v>46093</v>
      </c>
      <c r="D8909" t="inlineStr">
        <is>
          <t>VÄSTERNORRLANDS LÄN</t>
        </is>
      </c>
      <c r="E8909" t="inlineStr">
        <is>
          <t>TIMRÅ</t>
        </is>
      </c>
      <c r="G8909" t="n">
        <v>4.6</v>
      </c>
      <c r="H8909" t="n">
        <v>0</v>
      </c>
      <c r="I8909" t="n">
        <v>0</v>
      </c>
      <c r="J8909" t="n">
        <v>0</v>
      </c>
      <c r="K8909" t="n">
        <v>0</v>
      </c>
      <c r="L8909" t="n">
        <v>0</v>
      </c>
      <c r="M8909" t="n">
        <v>0</v>
      </c>
      <c r="N8909" t="n">
        <v>0</v>
      </c>
      <c r="O8909" t="n">
        <v>0</v>
      </c>
      <c r="P8909" t="n">
        <v>0</v>
      </c>
      <c r="Q8909" t="n">
        <v>0</v>
      </c>
      <c r="R8909" s="2" t="inlineStr"/>
    </row>
    <row r="8910" ht="15" customHeight="1">
      <c r="A8910" t="inlineStr">
        <is>
          <t>A 59592-2025</t>
        </is>
      </c>
      <c r="B8910" s="1" t="n">
        <v>45992.34443287037</v>
      </c>
      <c r="C8910" s="1" t="n">
        <v>46093</v>
      </c>
      <c r="D8910" t="inlineStr">
        <is>
          <t>VÄSTERNORRLANDS LÄN</t>
        </is>
      </c>
      <c r="E8910" t="inlineStr">
        <is>
          <t>SOLLEFTEÅ</t>
        </is>
      </c>
      <c r="G8910" t="n">
        <v>2.2</v>
      </c>
      <c r="H8910" t="n">
        <v>0</v>
      </c>
      <c r="I8910" t="n">
        <v>0</v>
      </c>
      <c r="J8910" t="n">
        <v>0</v>
      </c>
      <c r="K8910" t="n">
        <v>0</v>
      </c>
      <c r="L8910" t="n">
        <v>0</v>
      </c>
      <c r="M8910" t="n">
        <v>0</v>
      </c>
      <c r="N8910" t="n">
        <v>0</v>
      </c>
      <c r="O8910" t="n">
        <v>0</v>
      </c>
      <c r="P8910" t="n">
        <v>0</v>
      </c>
      <c r="Q8910" t="n">
        <v>0</v>
      </c>
      <c r="R8910" s="2" t="inlineStr"/>
    </row>
    <row r="8911" ht="15" customHeight="1">
      <c r="A8911" t="inlineStr">
        <is>
          <t>A 59594-2025</t>
        </is>
      </c>
      <c r="B8911" s="1" t="n">
        <v>45992</v>
      </c>
      <c r="C8911" s="1" t="n">
        <v>46093</v>
      </c>
      <c r="D8911" t="inlineStr">
        <is>
          <t>VÄSTERNORRLANDS LÄN</t>
        </is>
      </c>
      <c r="E8911" t="inlineStr">
        <is>
          <t>ÖRNSKÖLDSVIK</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64753-2023</t>
        </is>
      </c>
      <c r="B8912" s="1" t="n">
        <v>45281.92898148148</v>
      </c>
      <c r="C8912" s="1" t="n">
        <v>46093</v>
      </c>
      <c r="D8912" t="inlineStr">
        <is>
          <t>VÄSTERNORRLANDS LÄN</t>
        </is>
      </c>
      <c r="E8912" t="inlineStr">
        <is>
          <t>KRAMFORS</t>
        </is>
      </c>
      <c r="G8912" t="n">
        <v>3.6</v>
      </c>
      <c r="H8912" t="n">
        <v>0</v>
      </c>
      <c r="I8912" t="n">
        <v>0</v>
      </c>
      <c r="J8912" t="n">
        <v>0</v>
      </c>
      <c r="K8912" t="n">
        <v>0</v>
      </c>
      <c r="L8912" t="n">
        <v>0</v>
      </c>
      <c r="M8912" t="n">
        <v>0</v>
      </c>
      <c r="N8912" t="n">
        <v>0</v>
      </c>
      <c r="O8912" t="n">
        <v>0</v>
      </c>
      <c r="P8912" t="n">
        <v>0</v>
      </c>
      <c r="Q8912" t="n">
        <v>0</v>
      </c>
      <c r="R8912" s="2" t="inlineStr"/>
    </row>
    <row r="8913" ht="15" customHeight="1">
      <c r="A8913" t="inlineStr">
        <is>
          <t>A 58060-2022</t>
        </is>
      </c>
      <c r="B8913" s="1" t="n">
        <v>44893</v>
      </c>
      <c r="C8913" s="1" t="n">
        <v>46093</v>
      </c>
      <c r="D8913" t="inlineStr">
        <is>
          <t>VÄSTERNORRLANDS LÄN</t>
        </is>
      </c>
      <c r="E8913" t="inlineStr">
        <is>
          <t>ÖRNSKÖLDSVIK</t>
        </is>
      </c>
      <c r="G8913" t="n">
        <v>1.4</v>
      </c>
      <c r="H8913" t="n">
        <v>0</v>
      </c>
      <c r="I8913" t="n">
        <v>0</v>
      </c>
      <c r="J8913" t="n">
        <v>0</v>
      </c>
      <c r="K8913" t="n">
        <v>0</v>
      </c>
      <c r="L8913" t="n">
        <v>0</v>
      </c>
      <c r="M8913" t="n">
        <v>0</v>
      </c>
      <c r="N8913" t="n">
        <v>0</v>
      </c>
      <c r="O8913" t="n">
        <v>0</v>
      </c>
      <c r="P8913" t="n">
        <v>0</v>
      </c>
      <c r="Q8913" t="n">
        <v>0</v>
      </c>
      <c r="R8913" s="2" t="inlineStr"/>
    </row>
    <row r="8914" ht="15" customHeight="1">
      <c r="A8914" t="inlineStr">
        <is>
          <t>A 59548-2025</t>
        </is>
      </c>
      <c r="B8914" s="1" t="n">
        <v>45990.37614583333</v>
      </c>
      <c r="C8914" s="1" t="n">
        <v>46093</v>
      </c>
      <c r="D8914" t="inlineStr">
        <is>
          <t>VÄSTERNORRLANDS LÄN</t>
        </is>
      </c>
      <c r="E8914" t="inlineStr">
        <is>
          <t>ÖRNSKÖLDSVIK</t>
        </is>
      </c>
      <c r="F8914" t="inlineStr">
        <is>
          <t>Holmen skog AB</t>
        </is>
      </c>
      <c r="G8914" t="n">
        <v>2.6</v>
      </c>
      <c r="H8914" t="n">
        <v>0</v>
      </c>
      <c r="I8914" t="n">
        <v>0</v>
      </c>
      <c r="J8914" t="n">
        <v>0</v>
      </c>
      <c r="K8914" t="n">
        <v>0</v>
      </c>
      <c r="L8914" t="n">
        <v>0</v>
      </c>
      <c r="M8914" t="n">
        <v>0</v>
      </c>
      <c r="N8914" t="n">
        <v>0</v>
      </c>
      <c r="O8914" t="n">
        <v>0</v>
      </c>
      <c r="P8914" t="n">
        <v>0</v>
      </c>
      <c r="Q8914" t="n">
        <v>0</v>
      </c>
      <c r="R8914" s="2" t="inlineStr"/>
    </row>
    <row r="8915" ht="15" customHeight="1">
      <c r="A8915" t="inlineStr">
        <is>
          <t>A 59720-2025</t>
        </is>
      </c>
      <c r="B8915" s="1" t="n">
        <v>45992.54521990741</v>
      </c>
      <c r="C8915" s="1" t="n">
        <v>46093</v>
      </c>
      <c r="D8915" t="inlineStr">
        <is>
          <t>VÄSTERNORRLANDS LÄN</t>
        </is>
      </c>
      <c r="E8915" t="inlineStr">
        <is>
          <t>SUNDSVALL</t>
        </is>
      </c>
      <c r="G8915" t="n">
        <v>2.9</v>
      </c>
      <c r="H8915" t="n">
        <v>0</v>
      </c>
      <c r="I8915" t="n">
        <v>0</v>
      </c>
      <c r="J8915" t="n">
        <v>0</v>
      </c>
      <c r="K8915" t="n">
        <v>0</v>
      </c>
      <c r="L8915" t="n">
        <v>0</v>
      </c>
      <c r="M8915" t="n">
        <v>0</v>
      </c>
      <c r="N8915" t="n">
        <v>0</v>
      </c>
      <c r="O8915" t="n">
        <v>0</v>
      </c>
      <c r="P8915" t="n">
        <v>0</v>
      </c>
      <c r="Q8915" t="n">
        <v>0</v>
      </c>
      <c r="R8915" s="2" t="inlineStr"/>
    </row>
    <row r="8916" ht="15" customHeight="1">
      <c r="A8916" t="inlineStr">
        <is>
          <t>A 59758-2025</t>
        </is>
      </c>
      <c r="B8916" s="1" t="n">
        <v>45992.59136574074</v>
      </c>
      <c r="C8916" s="1" t="n">
        <v>46093</v>
      </c>
      <c r="D8916" t="inlineStr">
        <is>
          <t>VÄSTERNORRLANDS LÄN</t>
        </is>
      </c>
      <c r="E8916" t="inlineStr">
        <is>
          <t>SOLLEFTEÅ</t>
        </is>
      </c>
      <c r="G8916" t="n">
        <v>2.6</v>
      </c>
      <c r="H8916" t="n">
        <v>0</v>
      </c>
      <c r="I8916" t="n">
        <v>0</v>
      </c>
      <c r="J8916" t="n">
        <v>0</v>
      </c>
      <c r="K8916" t="n">
        <v>0</v>
      </c>
      <c r="L8916" t="n">
        <v>0</v>
      </c>
      <c r="M8916" t="n">
        <v>0</v>
      </c>
      <c r="N8916" t="n">
        <v>0</v>
      </c>
      <c r="O8916" t="n">
        <v>0</v>
      </c>
      <c r="P8916" t="n">
        <v>0</v>
      </c>
      <c r="Q8916" t="n">
        <v>0</v>
      </c>
      <c r="R8916" s="2" t="inlineStr"/>
    </row>
    <row r="8917" ht="15" customHeight="1">
      <c r="A8917" t="inlineStr">
        <is>
          <t>A 27306-2024</t>
        </is>
      </c>
      <c r="B8917" s="1" t="n">
        <v>45471.94454861111</v>
      </c>
      <c r="C8917" s="1" t="n">
        <v>46093</v>
      </c>
      <c r="D8917" t="inlineStr">
        <is>
          <t>VÄSTERNORRLANDS LÄN</t>
        </is>
      </c>
      <c r="E8917" t="inlineStr">
        <is>
          <t>ÅNGE</t>
        </is>
      </c>
      <c r="F8917" t="inlineStr">
        <is>
          <t>SCA</t>
        </is>
      </c>
      <c r="G8917" t="n">
        <v>1</v>
      </c>
      <c r="H8917" t="n">
        <v>0</v>
      </c>
      <c r="I8917" t="n">
        <v>0</v>
      </c>
      <c r="J8917" t="n">
        <v>0</v>
      </c>
      <c r="K8917" t="n">
        <v>0</v>
      </c>
      <c r="L8917" t="n">
        <v>0</v>
      </c>
      <c r="M8917" t="n">
        <v>0</v>
      </c>
      <c r="N8917" t="n">
        <v>0</v>
      </c>
      <c r="O8917" t="n">
        <v>0</v>
      </c>
      <c r="P8917" t="n">
        <v>0</v>
      </c>
      <c r="Q8917" t="n">
        <v>0</v>
      </c>
      <c r="R8917" s="2" t="inlineStr"/>
    </row>
    <row r="8918" ht="15" customHeight="1">
      <c r="A8918" t="inlineStr">
        <is>
          <t>A 40490-2024</t>
        </is>
      </c>
      <c r="B8918" s="1" t="n">
        <v>45555</v>
      </c>
      <c r="C8918" s="1" t="n">
        <v>46093</v>
      </c>
      <c r="D8918" t="inlineStr">
        <is>
          <t>VÄSTERNORRLANDS LÄN</t>
        </is>
      </c>
      <c r="E8918" t="inlineStr">
        <is>
          <t>ÖRNSKÖLDSVIK</t>
        </is>
      </c>
      <c r="F8918" t="inlineStr">
        <is>
          <t>Kommuner</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58508-2025</t>
        </is>
      </c>
      <c r="B8919" s="1" t="n">
        <v>45982</v>
      </c>
      <c r="C8919" s="1" t="n">
        <v>46093</v>
      </c>
      <c r="D8919" t="inlineStr">
        <is>
          <t>VÄSTERNORRLANDS LÄN</t>
        </is>
      </c>
      <c r="E8919" t="inlineStr">
        <is>
          <t>SOLLEFTEÅ</t>
        </is>
      </c>
      <c r="G8919" t="n">
        <v>1.9</v>
      </c>
      <c r="H8919" t="n">
        <v>0</v>
      </c>
      <c r="I8919" t="n">
        <v>0</v>
      </c>
      <c r="J8919" t="n">
        <v>0</v>
      </c>
      <c r="K8919" t="n">
        <v>0</v>
      </c>
      <c r="L8919" t="n">
        <v>0</v>
      </c>
      <c r="M8919" t="n">
        <v>0</v>
      </c>
      <c r="N8919" t="n">
        <v>0</v>
      </c>
      <c r="O8919" t="n">
        <v>0</v>
      </c>
      <c r="P8919" t="n">
        <v>0</v>
      </c>
      <c r="Q8919" t="n">
        <v>0</v>
      </c>
      <c r="R8919" s="2" t="inlineStr"/>
    </row>
    <row r="8920" ht="15" customHeight="1">
      <c r="A8920" t="inlineStr">
        <is>
          <t>A 11396-2024</t>
        </is>
      </c>
      <c r="B8920" s="1" t="n">
        <v>45372</v>
      </c>
      <c r="C8920" s="1" t="n">
        <v>46093</v>
      </c>
      <c r="D8920" t="inlineStr">
        <is>
          <t>VÄSTERNORRLANDS LÄN</t>
        </is>
      </c>
      <c r="E8920" t="inlineStr">
        <is>
          <t>ÅNGE</t>
        </is>
      </c>
      <c r="G8920" t="n">
        <v>2.2</v>
      </c>
      <c r="H8920" t="n">
        <v>0</v>
      </c>
      <c r="I8920" t="n">
        <v>0</v>
      </c>
      <c r="J8920" t="n">
        <v>0</v>
      </c>
      <c r="K8920" t="n">
        <v>0</v>
      </c>
      <c r="L8920" t="n">
        <v>0</v>
      </c>
      <c r="M8920" t="n">
        <v>0</v>
      </c>
      <c r="N8920" t="n">
        <v>0</v>
      </c>
      <c r="O8920" t="n">
        <v>0</v>
      </c>
      <c r="P8920" t="n">
        <v>0</v>
      </c>
      <c r="Q8920" t="n">
        <v>0</v>
      </c>
      <c r="R8920" s="2" t="inlineStr"/>
    </row>
    <row r="8921" ht="15" customHeight="1">
      <c r="A8921" t="inlineStr">
        <is>
          <t>A 59609-2025</t>
        </is>
      </c>
      <c r="B8921" s="1" t="n">
        <v>45992.36618055555</v>
      </c>
      <c r="C8921" s="1" t="n">
        <v>46093</v>
      </c>
      <c r="D8921" t="inlineStr">
        <is>
          <t>VÄSTERNORRLANDS LÄN</t>
        </is>
      </c>
      <c r="E8921" t="inlineStr">
        <is>
          <t>ÖRNSKÖLDSVIK</t>
        </is>
      </c>
      <c r="G8921" t="n">
        <v>0.7</v>
      </c>
      <c r="H8921" t="n">
        <v>0</v>
      </c>
      <c r="I8921" t="n">
        <v>0</v>
      </c>
      <c r="J8921" t="n">
        <v>0</v>
      </c>
      <c r="K8921" t="n">
        <v>0</v>
      </c>
      <c r="L8921" t="n">
        <v>0</v>
      </c>
      <c r="M8921" t="n">
        <v>0</v>
      </c>
      <c r="N8921" t="n">
        <v>0</v>
      </c>
      <c r="O8921" t="n">
        <v>0</v>
      </c>
      <c r="P8921" t="n">
        <v>0</v>
      </c>
      <c r="Q8921" t="n">
        <v>0</v>
      </c>
      <c r="R8921" s="2" t="inlineStr"/>
    </row>
    <row r="8922" ht="15" customHeight="1">
      <c r="A8922" t="inlineStr">
        <is>
          <t>A 59680-2025</t>
        </is>
      </c>
      <c r="B8922" s="1" t="n">
        <v>45992.46940972222</v>
      </c>
      <c r="C8922" s="1" t="n">
        <v>46093</v>
      </c>
      <c r="D8922" t="inlineStr">
        <is>
          <t>VÄSTERNORRLANDS LÄN</t>
        </is>
      </c>
      <c r="E8922" t="inlineStr">
        <is>
          <t>SOLLEFTEÅ</t>
        </is>
      </c>
      <c r="G8922" t="n">
        <v>3.8</v>
      </c>
      <c r="H8922" t="n">
        <v>0</v>
      </c>
      <c r="I8922" t="n">
        <v>0</v>
      </c>
      <c r="J8922" t="n">
        <v>0</v>
      </c>
      <c r="K8922" t="n">
        <v>0</v>
      </c>
      <c r="L8922" t="n">
        <v>0</v>
      </c>
      <c r="M8922" t="n">
        <v>0</v>
      </c>
      <c r="N8922" t="n">
        <v>0</v>
      </c>
      <c r="O8922" t="n">
        <v>0</v>
      </c>
      <c r="P8922" t="n">
        <v>0</v>
      </c>
      <c r="Q8922" t="n">
        <v>0</v>
      </c>
      <c r="R8922" s="2" t="inlineStr"/>
    </row>
    <row r="8923" ht="15" customHeight="1">
      <c r="A8923" t="inlineStr">
        <is>
          <t>A 40698-2022</t>
        </is>
      </c>
      <c r="B8923" s="1" t="n">
        <v>44824</v>
      </c>
      <c r="C8923" s="1" t="n">
        <v>46093</v>
      </c>
      <c r="D8923" t="inlineStr">
        <is>
          <t>VÄSTERNORRLANDS LÄN</t>
        </is>
      </c>
      <c r="E8923" t="inlineStr">
        <is>
          <t>KRAMFORS</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47189-2022</t>
        </is>
      </c>
      <c r="B8924" s="1" t="n">
        <v>44852</v>
      </c>
      <c r="C8924" s="1" t="n">
        <v>46093</v>
      </c>
      <c r="D8924" t="inlineStr">
        <is>
          <t>VÄSTERNORRLANDS LÄN</t>
        </is>
      </c>
      <c r="E8924" t="inlineStr">
        <is>
          <t>KRAMFORS</t>
        </is>
      </c>
      <c r="G8924" t="n">
        <v>1.6</v>
      </c>
      <c r="H8924" t="n">
        <v>0</v>
      </c>
      <c r="I8924" t="n">
        <v>0</v>
      </c>
      <c r="J8924" t="n">
        <v>0</v>
      </c>
      <c r="K8924" t="n">
        <v>0</v>
      </c>
      <c r="L8924" t="n">
        <v>0</v>
      </c>
      <c r="M8924" t="n">
        <v>0</v>
      </c>
      <c r="N8924" t="n">
        <v>0</v>
      </c>
      <c r="O8924" t="n">
        <v>0</v>
      </c>
      <c r="P8924" t="n">
        <v>0</v>
      </c>
      <c r="Q8924" t="n">
        <v>0</v>
      </c>
      <c r="R8924" s="2" t="inlineStr"/>
    </row>
    <row r="8925" ht="15" customHeight="1">
      <c r="A8925" t="inlineStr">
        <is>
          <t>A 47192-2022</t>
        </is>
      </c>
      <c r="B8925" s="1" t="n">
        <v>44852</v>
      </c>
      <c r="C8925" s="1" t="n">
        <v>46093</v>
      </c>
      <c r="D8925" t="inlineStr">
        <is>
          <t>VÄSTERNORRLANDS LÄN</t>
        </is>
      </c>
      <c r="E8925" t="inlineStr">
        <is>
          <t>KRAMFORS</t>
        </is>
      </c>
      <c r="G8925" t="n">
        <v>1.4</v>
      </c>
      <c r="H8925" t="n">
        <v>0</v>
      </c>
      <c r="I8925" t="n">
        <v>0</v>
      </c>
      <c r="J8925" t="n">
        <v>0</v>
      </c>
      <c r="K8925" t="n">
        <v>0</v>
      </c>
      <c r="L8925" t="n">
        <v>0</v>
      </c>
      <c r="M8925" t="n">
        <v>0</v>
      </c>
      <c r="N8925" t="n">
        <v>0</v>
      </c>
      <c r="O8925" t="n">
        <v>0</v>
      </c>
      <c r="P8925" t="n">
        <v>0</v>
      </c>
      <c r="Q8925" t="n">
        <v>0</v>
      </c>
      <c r="R8925" s="2" t="inlineStr"/>
    </row>
    <row r="8926" ht="15" customHeight="1">
      <c r="A8926" t="inlineStr">
        <is>
          <t>A 28186-2024</t>
        </is>
      </c>
      <c r="B8926" s="1" t="n">
        <v>45477</v>
      </c>
      <c r="C8926" s="1" t="n">
        <v>46093</v>
      </c>
      <c r="D8926" t="inlineStr">
        <is>
          <t>VÄSTERNORRLANDS LÄN</t>
        </is>
      </c>
      <c r="E8926" t="inlineStr">
        <is>
          <t>SUNDSVALL</t>
        </is>
      </c>
      <c r="F8926" t="inlineStr">
        <is>
          <t>Holmen skog AB</t>
        </is>
      </c>
      <c r="G8926" t="n">
        <v>2.4</v>
      </c>
      <c r="H8926" t="n">
        <v>0</v>
      </c>
      <c r="I8926" t="n">
        <v>0</v>
      </c>
      <c r="J8926" t="n">
        <v>0</v>
      </c>
      <c r="K8926" t="n">
        <v>0</v>
      </c>
      <c r="L8926" t="n">
        <v>0</v>
      </c>
      <c r="M8926" t="n">
        <v>0</v>
      </c>
      <c r="N8926" t="n">
        <v>0</v>
      </c>
      <c r="O8926" t="n">
        <v>0</v>
      </c>
      <c r="P8926" t="n">
        <v>0</v>
      </c>
      <c r="Q8926" t="n">
        <v>0</v>
      </c>
      <c r="R8926" s="2" t="inlineStr"/>
    </row>
    <row r="8927" ht="15" customHeight="1">
      <c r="A8927" t="inlineStr">
        <is>
          <t>A 57518-2023</t>
        </is>
      </c>
      <c r="B8927" s="1" t="n">
        <v>45242</v>
      </c>
      <c r="C8927" s="1" t="n">
        <v>46093</v>
      </c>
      <c r="D8927" t="inlineStr">
        <is>
          <t>VÄSTERNORRLANDS LÄN</t>
        </is>
      </c>
      <c r="E8927" t="inlineStr">
        <is>
          <t>SOLLEFTEÅ</t>
        </is>
      </c>
      <c r="G8927" t="n">
        <v>3.7</v>
      </c>
      <c r="H8927" t="n">
        <v>0</v>
      </c>
      <c r="I8927" t="n">
        <v>0</v>
      </c>
      <c r="J8927" t="n">
        <v>0</v>
      </c>
      <c r="K8927" t="n">
        <v>0</v>
      </c>
      <c r="L8927" t="n">
        <v>0</v>
      </c>
      <c r="M8927" t="n">
        <v>0</v>
      </c>
      <c r="N8927" t="n">
        <v>0</v>
      </c>
      <c r="O8927" t="n">
        <v>0</v>
      </c>
      <c r="P8927" t="n">
        <v>0</v>
      </c>
      <c r="Q8927" t="n">
        <v>0</v>
      </c>
      <c r="R8927" s="2" t="inlineStr"/>
    </row>
    <row r="8928" ht="15" customHeight="1">
      <c r="A8928" t="inlineStr">
        <is>
          <t>A 58382-2025</t>
        </is>
      </c>
      <c r="B8928" s="1" t="n">
        <v>45982</v>
      </c>
      <c r="C8928" s="1" t="n">
        <v>46093</v>
      </c>
      <c r="D8928" t="inlineStr">
        <is>
          <t>VÄSTERNORRLANDS LÄN</t>
        </is>
      </c>
      <c r="E8928" t="inlineStr">
        <is>
          <t>SOLLEFTEÅ</t>
        </is>
      </c>
      <c r="G8928" t="n">
        <v>3.7</v>
      </c>
      <c r="H8928" t="n">
        <v>0</v>
      </c>
      <c r="I8928" t="n">
        <v>0</v>
      </c>
      <c r="J8928" t="n">
        <v>0</v>
      </c>
      <c r="K8928" t="n">
        <v>0</v>
      </c>
      <c r="L8928" t="n">
        <v>0</v>
      </c>
      <c r="M8928" t="n">
        <v>0</v>
      </c>
      <c r="N8928" t="n">
        <v>0</v>
      </c>
      <c r="O8928" t="n">
        <v>0</v>
      </c>
      <c r="P8928" t="n">
        <v>0</v>
      </c>
      <c r="Q8928" t="n">
        <v>0</v>
      </c>
      <c r="R8928" s="2" t="inlineStr"/>
    </row>
    <row r="8929" ht="15" customHeight="1">
      <c r="A8929" t="inlineStr">
        <is>
          <t>A 58391-2025</t>
        </is>
      </c>
      <c r="B8929" s="1" t="n">
        <v>45982</v>
      </c>
      <c r="C8929" s="1" t="n">
        <v>46093</v>
      </c>
      <c r="D8929" t="inlineStr">
        <is>
          <t>VÄSTERNORRLANDS LÄN</t>
        </is>
      </c>
      <c r="E8929" t="inlineStr">
        <is>
          <t>SOLLEFTEÅ</t>
        </is>
      </c>
      <c r="G8929" t="n">
        <v>7</v>
      </c>
      <c r="H8929" t="n">
        <v>0</v>
      </c>
      <c r="I8929" t="n">
        <v>0</v>
      </c>
      <c r="J8929" t="n">
        <v>0</v>
      </c>
      <c r="K8929" t="n">
        <v>0</v>
      </c>
      <c r="L8929" t="n">
        <v>0</v>
      </c>
      <c r="M8929" t="n">
        <v>0</v>
      </c>
      <c r="N8929" t="n">
        <v>0</v>
      </c>
      <c r="O8929" t="n">
        <v>0</v>
      </c>
      <c r="P8929" t="n">
        <v>0</v>
      </c>
      <c r="Q8929" t="n">
        <v>0</v>
      </c>
      <c r="R8929" s="2" t="inlineStr"/>
    </row>
    <row r="8930" ht="15" customHeight="1">
      <c r="A8930" t="inlineStr">
        <is>
          <t>A 40212-2024</t>
        </is>
      </c>
      <c r="B8930" s="1" t="n">
        <v>45554.59438657408</v>
      </c>
      <c r="C8930" s="1" t="n">
        <v>46093</v>
      </c>
      <c r="D8930" t="inlineStr">
        <is>
          <t>VÄSTERNORRLANDS LÄN</t>
        </is>
      </c>
      <c r="E8930" t="inlineStr">
        <is>
          <t>ÖRNSKÖLDSVIK</t>
        </is>
      </c>
      <c r="F8930" t="inlineStr">
        <is>
          <t>Holmen skog AB</t>
        </is>
      </c>
      <c r="G8930" t="n">
        <v>0.5</v>
      </c>
      <c r="H8930" t="n">
        <v>0</v>
      </c>
      <c r="I8930" t="n">
        <v>0</v>
      </c>
      <c r="J8930" t="n">
        <v>0</v>
      </c>
      <c r="K8930" t="n">
        <v>0</v>
      </c>
      <c r="L8930" t="n">
        <v>0</v>
      </c>
      <c r="M8930" t="n">
        <v>0</v>
      </c>
      <c r="N8930" t="n">
        <v>0</v>
      </c>
      <c r="O8930" t="n">
        <v>0</v>
      </c>
      <c r="P8930" t="n">
        <v>0</v>
      </c>
      <c r="Q8930" t="n">
        <v>0</v>
      </c>
      <c r="R8930" s="2" t="inlineStr"/>
    </row>
    <row r="8931" ht="15" customHeight="1">
      <c r="A8931" t="inlineStr">
        <is>
          <t>A 59335-2022</t>
        </is>
      </c>
      <c r="B8931" s="1" t="n">
        <v>44904.658125</v>
      </c>
      <c r="C8931" s="1" t="n">
        <v>46093</v>
      </c>
      <c r="D8931" t="inlineStr">
        <is>
          <t>VÄSTERNORRLANDS LÄN</t>
        </is>
      </c>
      <c r="E8931" t="inlineStr">
        <is>
          <t>SUNDSVALL</t>
        </is>
      </c>
      <c r="G8931" t="n">
        <v>1.1</v>
      </c>
      <c r="H8931" t="n">
        <v>0</v>
      </c>
      <c r="I8931" t="n">
        <v>0</v>
      </c>
      <c r="J8931" t="n">
        <v>0</v>
      </c>
      <c r="K8931" t="n">
        <v>0</v>
      </c>
      <c r="L8931" t="n">
        <v>0</v>
      </c>
      <c r="M8931" t="n">
        <v>0</v>
      </c>
      <c r="N8931" t="n">
        <v>0</v>
      </c>
      <c r="O8931" t="n">
        <v>0</v>
      </c>
      <c r="P8931" t="n">
        <v>0</v>
      </c>
      <c r="Q8931" t="n">
        <v>0</v>
      </c>
      <c r="R8931" s="2" t="inlineStr"/>
    </row>
    <row r="8932" ht="15" customHeight="1">
      <c r="A8932" t="inlineStr">
        <is>
          <t>A 59628-2025</t>
        </is>
      </c>
      <c r="B8932" s="1" t="n">
        <v>45992.39237268519</v>
      </c>
      <c r="C8932" s="1" t="n">
        <v>46093</v>
      </c>
      <c r="D8932" t="inlineStr">
        <is>
          <t>VÄSTERNORRLANDS LÄN</t>
        </is>
      </c>
      <c r="E8932" t="inlineStr">
        <is>
          <t>HÄRNÖSAND</t>
        </is>
      </c>
      <c r="G8932" t="n">
        <v>3.6</v>
      </c>
      <c r="H8932" t="n">
        <v>0</v>
      </c>
      <c r="I8932" t="n">
        <v>0</v>
      </c>
      <c r="J8932" t="n">
        <v>0</v>
      </c>
      <c r="K8932" t="n">
        <v>0</v>
      </c>
      <c r="L8932" t="n">
        <v>0</v>
      </c>
      <c r="M8932" t="n">
        <v>0</v>
      </c>
      <c r="N8932" t="n">
        <v>0</v>
      </c>
      <c r="O8932" t="n">
        <v>0</v>
      </c>
      <c r="P8932" t="n">
        <v>0</v>
      </c>
      <c r="Q8932" t="n">
        <v>0</v>
      </c>
      <c r="R8932" s="2" t="inlineStr"/>
    </row>
    <row r="8933" ht="15" customHeight="1">
      <c r="A8933" t="inlineStr">
        <is>
          <t>A 59789-2025</t>
        </is>
      </c>
      <c r="B8933" s="1" t="n">
        <v>45992.61519675926</v>
      </c>
      <c r="C8933" s="1" t="n">
        <v>46093</v>
      </c>
      <c r="D8933" t="inlineStr">
        <is>
          <t>VÄSTERNORRLANDS LÄN</t>
        </is>
      </c>
      <c r="E8933" t="inlineStr">
        <is>
          <t>SOLLEFTEÅ</t>
        </is>
      </c>
      <c r="F8933" t="inlineStr">
        <is>
          <t>SCA</t>
        </is>
      </c>
      <c r="G8933" t="n">
        <v>3.1</v>
      </c>
      <c r="H8933" t="n">
        <v>0</v>
      </c>
      <c r="I8933" t="n">
        <v>0</v>
      </c>
      <c r="J8933" t="n">
        <v>0</v>
      </c>
      <c r="K8933" t="n">
        <v>0</v>
      </c>
      <c r="L8933" t="n">
        <v>0</v>
      </c>
      <c r="M8933" t="n">
        <v>0</v>
      </c>
      <c r="N8933" t="n">
        <v>0</v>
      </c>
      <c r="O8933" t="n">
        <v>0</v>
      </c>
      <c r="P8933" t="n">
        <v>0</v>
      </c>
      <c r="Q8933" t="n">
        <v>0</v>
      </c>
      <c r="R8933" s="2" t="inlineStr"/>
    </row>
    <row r="8934" ht="15" customHeight="1">
      <c r="A8934" t="inlineStr">
        <is>
          <t>A 25680-2023</t>
        </is>
      </c>
      <c r="B8934" s="1" t="n">
        <v>45089</v>
      </c>
      <c r="C8934" s="1" t="n">
        <v>46093</v>
      </c>
      <c r="D8934" t="inlineStr">
        <is>
          <t>VÄSTERNORRLANDS LÄN</t>
        </is>
      </c>
      <c r="E8934" t="inlineStr">
        <is>
          <t>ÅNGE</t>
        </is>
      </c>
      <c r="F8934" t="inlineStr">
        <is>
          <t>SCA</t>
        </is>
      </c>
      <c r="G8934" t="n">
        <v>1</v>
      </c>
      <c r="H8934" t="n">
        <v>0</v>
      </c>
      <c r="I8934" t="n">
        <v>0</v>
      </c>
      <c r="J8934" t="n">
        <v>0</v>
      </c>
      <c r="K8934" t="n">
        <v>0</v>
      </c>
      <c r="L8934" t="n">
        <v>0</v>
      </c>
      <c r="M8934" t="n">
        <v>0</v>
      </c>
      <c r="N8934" t="n">
        <v>0</v>
      </c>
      <c r="O8934" t="n">
        <v>0</v>
      </c>
      <c r="P8934" t="n">
        <v>0</v>
      </c>
      <c r="Q8934" t="n">
        <v>0</v>
      </c>
      <c r="R8934" s="2" t="inlineStr"/>
    </row>
    <row r="8935" ht="15" customHeight="1">
      <c r="A8935" t="inlineStr">
        <is>
          <t>A 40265-2024</t>
        </is>
      </c>
      <c r="B8935" s="1" t="n">
        <v>45554.63729166667</v>
      </c>
      <c r="C8935" s="1" t="n">
        <v>46093</v>
      </c>
      <c r="D8935" t="inlineStr">
        <is>
          <t>VÄSTERNORRLANDS LÄN</t>
        </is>
      </c>
      <c r="E8935" t="inlineStr">
        <is>
          <t>HÄRNÖSAND</t>
        </is>
      </c>
      <c r="G8935" t="n">
        <v>4.9</v>
      </c>
      <c r="H8935" t="n">
        <v>0</v>
      </c>
      <c r="I8935" t="n">
        <v>0</v>
      </c>
      <c r="J8935" t="n">
        <v>0</v>
      </c>
      <c r="K8935" t="n">
        <v>0</v>
      </c>
      <c r="L8935" t="n">
        <v>0</v>
      </c>
      <c r="M8935" t="n">
        <v>0</v>
      </c>
      <c r="N8935" t="n">
        <v>0</v>
      </c>
      <c r="O8935" t="n">
        <v>0</v>
      </c>
      <c r="P8935" t="n">
        <v>0</v>
      </c>
      <c r="Q8935" t="n">
        <v>0</v>
      </c>
      <c r="R8935" s="2" t="inlineStr"/>
    </row>
    <row r="8936" ht="15" customHeight="1">
      <c r="A8936" t="inlineStr">
        <is>
          <t>A 61828-2024</t>
        </is>
      </c>
      <c r="B8936" s="1" t="n">
        <v>45649.62344907408</v>
      </c>
      <c r="C8936" s="1" t="n">
        <v>46093</v>
      </c>
      <c r="D8936" t="inlineStr">
        <is>
          <t>VÄSTERNORRLANDS LÄN</t>
        </is>
      </c>
      <c r="E8936" t="inlineStr">
        <is>
          <t>HÄRNÖSAND</t>
        </is>
      </c>
      <c r="G8936" t="n">
        <v>0.7</v>
      </c>
      <c r="H8936" t="n">
        <v>0</v>
      </c>
      <c r="I8936" t="n">
        <v>0</v>
      </c>
      <c r="J8936" t="n">
        <v>0</v>
      </c>
      <c r="K8936" t="n">
        <v>0</v>
      </c>
      <c r="L8936" t="n">
        <v>0</v>
      </c>
      <c r="M8936" t="n">
        <v>0</v>
      </c>
      <c r="N8936" t="n">
        <v>0</v>
      </c>
      <c r="O8936" t="n">
        <v>0</v>
      </c>
      <c r="P8936" t="n">
        <v>0</v>
      </c>
      <c r="Q8936" t="n">
        <v>0</v>
      </c>
      <c r="R8936" s="2" t="inlineStr"/>
    </row>
    <row r="8937" ht="15" customHeight="1">
      <c r="A8937" t="inlineStr">
        <is>
          <t>A 26229-2024</t>
        </is>
      </c>
      <c r="B8937" s="1" t="n">
        <v>45468.6143287037</v>
      </c>
      <c r="C8937" s="1" t="n">
        <v>46093</v>
      </c>
      <c r="D8937" t="inlineStr">
        <is>
          <t>VÄSTERNORRLANDS LÄN</t>
        </is>
      </c>
      <c r="E8937" t="inlineStr">
        <is>
          <t>SUNDSVALL</t>
        </is>
      </c>
      <c r="G8937" t="n">
        <v>3.2</v>
      </c>
      <c r="H8937" t="n">
        <v>0</v>
      </c>
      <c r="I8937" t="n">
        <v>0</v>
      </c>
      <c r="J8937" t="n">
        <v>0</v>
      </c>
      <c r="K8937" t="n">
        <v>0</v>
      </c>
      <c r="L8937" t="n">
        <v>0</v>
      </c>
      <c r="M8937" t="n">
        <v>0</v>
      </c>
      <c r="N8937" t="n">
        <v>0</v>
      </c>
      <c r="O8937" t="n">
        <v>0</v>
      </c>
      <c r="P8937" t="n">
        <v>0</v>
      </c>
      <c r="Q8937" t="n">
        <v>0</v>
      </c>
      <c r="R8937" s="2" t="inlineStr"/>
    </row>
    <row r="8938" ht="15" customHeight="1">
      <c r="A8938" t="inlineStr">
        <is>
          <t>A 60278-2025</t>
        </is>
      </c>
      <c r="B8938" s="1" t="n">
        <v>45994.63739583334</v>
      </c>
      <c r="C8938" s="1" t="n">
        <v>46093</v>
      </c>
      <c r="D8938" t="inlineStr">
        <is>
          <t>VÄSTERNORRLANDS LÄN</t>
        </is>
      </c>
      <c r="E8938" t="inlineStr">
        <is>
          <t>ÅNGE</t>
        </is>
      </c>
      <c r="G8938" t="n">
        <v>1.2</v>
      </c>
      <c r="H8938" t="n">
        <v>0</v>
      </c>
      <c r="I8938" t="n">
        <v>0</v>
      </c>
      <c r="J8938" t="n">
        <v>0</v>
      </c>
      <c r="K8938" t="n">
        <v>0</v>
      </c>
      <c r="L8938" t="n">
        <v>0</v>
      </c>
      <c r="M8938" t="n">
        <v>0</v>
      </c>
      <c r="N8938" t="n">
        <v>0</v>
      </c>
      <c r="O8938" t="n">
        <v>0</v>
      </c>
      <c r="P8938" t="n">
        <v>0</v>
      </c>
      <c r="Q8938" t="n">
        <v>0</v>
      </c>
      <c r="R8938" s="2" t="inlineStr"/>
    </row>
    <row r="8939" ht="15" customHeight="1">
      <c r="A8939" t="inlineStr">
        <is>
          <t>A 34800-2024</t>
        </is>
      </c>
      <c r="B8939" s="1" t="n">
        <v>45526.68189814815</v>
      </c>
      <c r="C8939" s="1" t="n">
        <v>46093</v>
      </c>
      <c r="D8939" t="inlineStr">
        <is>
          <t>VÄSTERNORRLANDS LÄN</t>
        </is>
      </c>
      <c r="E8939" t="inlineStr">
        <is>
          <t>ÖRNSKÖLDSVIK</t>
        </is>
      </c>
      <c r="F8939" t="inlineStr">
        <is>
          <t>Holmen skog AB</t>
        </is>
      </c>
      <c r="G8939" t="n">
        <v>2.1</v>
      </c>
      <c r="H8939" t="n">
        <v>0</v>
      </c>
      <c r="I8939" t="n">
        <v>0</v>
      </c>
      <c r="J8939" t="n">
        <v>0</v>
      </c>
      <c r="K8939" t="n">
        <v>0</v>
      </c>
      <c r="L8939" t="n">
        <v>0</v>
      </c>
      <c r="M8939" t="n">
        <v>0</v>
      </c>
      <c r="N8939" t="n">
        <v>0</v>
      </c>
      <c r="O8939" t="n">
        <v>0</v>
      </c>
      <c r="P8939" t="n">
        <v>0</v>
      </c>
      <c r="Q8939" t="n">
        <v>0</v>
      </c>
      <c r="R8939" s="2" t="inlineStr"/>
    </row>
    <row r="8940" ht="15" customHeight="1">
      <c r="A8940" t="inlineStr">
        <is>
          <t>A 2373-2024</t>
        </is>
      </c>
      <c r="B8940" s="1" t="n">
        <v>45310</v>
      </c>
      <c r="C8940" s="1" t="n">
        <v>46093</v>
      </c>
      <c r="D8940" t="inlineStr">
        <is>
          <t>VÄSTERNORRLANDS LÄN</t>
        </is>
      </c>
      <c r="E8940" t="inlineStr">
        <is>
          <t>SUNDSVALL</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23990-2022</t>
        </is>
      </c>
      <c r="B8941" s="1" t="n">
        <v>44722</v>
      </c>
      <c r="C8941" s="1" t="n">
        <v>46093</v>
      </c>
      <c r="D8941" t="inlineStr">
        <is>
          <t>VÄSTERNORRLANDS LÄN</t>
        </is>
      </c>
      <c r="E8941" t="inlineStr">
        <is>
          <t>SUNDSVALL</t>
        </is>
      </c>
      <c r="F8941" t="inlineStr">
        <is>
          <t>SCA</t>
        </is>
      </c>
      <c r="G8941" t="n">
        <v>6.5</v>
      </c>
      <c r="H8941" t="n">
        <v>0</v>
      </c>
      <c r="I8941" t="n">
        <v>0</v>
      </c>
      <c r="J8941" t="n">
        <v>0</v>
      </c>
      <c r="K8941" t="n">
        <v>0</v>
      </c>
      <c r="L8941" t="n">
        <v>0</v>
      </c>
      <c r="M8941" t="n">
        <v>0</v>
      </c>
      <c r="N8941" t="n">
        <v>0</v>
      </c>
      <c r="O8941" t="n">
        <v>0</v>
      </c>
      <c r="P8941" t="n">
        <v>0</v>
      </c>
      <c r="Q8941" t="n">
        <v>0</v>
      </c>
      <c r="R8941" s="2" t="inlineStr"/>
    </row>
    <row r="8942" ht="15" customHeight="1">
      <c r="A8942" t="inlineStr">
        <is>
          <t>A 34365-2024</t>
        </is>
      </c>
      <c r="B8942" s="1" t="n">
        <v>45525</v>
      </c>
      <c r="C8942" s="1" t="n">
        <v>46093</v>
      </c>
      <c r="D8942" t="inlineStr">
        <is>
          <t>VÄSTERNORRLANDS LÄN</t>
        </is>
      </c>
      <c r="E8942" t="inlineStr">
        <is>
          <t>ÖRNSKÖLDSVIK</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29197-2023</t>
        </is>
      </c>
      <c r="B8943" s="1" t="n">
        <v>45097</v>
      </c>
      <c r="C8943" s="1" t="n">
        <v>46093</v>
      </c>
      <c r="D8943" t="inlineStr">
        <is>
          <t>VÄSTERNORRLANDS LÄN</t>
        </is>
      </c>
      <c r="E8943" t="inlineStr">
        <is>
          <t>SOLLEFTEÅ</t>
        </is>
      </c>
      <c r="G8943" t="n">
        <v>6.7</v>
      </c>
      <c r="H8943" t="n">
        <v>0</v>
      </c>
      <c r="I8943" t="n">
        <v>0</v>
      </c>
      <c r="J8943" t="n">
        <v>0</v>
      </c>
      <c r="K8943" t="n">
        <v>0</v>
      </c>
      <c r="L8943" t="n">
        <v>0</v>
      </c>
      <c r="M8943" t="n">
        <v>0</v>
      </c>
      <c r="N8943" t="n">
        <v>0</v>
      </c>
      <c r="O8943" t="n">
        <v>0</v>
      </c>
      <c r="P8943" t="n">
        <v>0</v>
      </c>
      <c r="Q8943" t="n">
        <v>0</v>
      </c>
      <c r="R8943" s="2" t="inlineStr"/>
    </row>
    <row r="8944" ht="15" customHeight="1">
      <c r="A8944" t="inlineStr">
        <is>
          <t>A 29210-2023</t>
        </is>
      </c>
      <c r="B8944" s="1" t="n">
        <v>45097</v>
      </c>
      <c r="C8944" s="1" t="n">
        <v>46093</v>
      </c>
      <c r="D8944" t="inlineStr">
        <is>
          <t>VÄSTERNORRLANDS LÄN</t>
        </is>
      </c>
      <c r="E8944" t="inlineStr">
        <is>
          <t>SOLLEFTEÅ</t>
        </is>
      </c>
      <c r="G8944" t="n">
        <v>1.2</v>
      </c>
      <c r="H8944" t="n">
        <v>0</v>
      </c>
      <c r="I8944" t="n">
        <v>0</v>
      </c>
      <c r="J8944" t="n">
        <v>0</v>
      </c>
      <c r="K8944" t="n">
        <v>0</v>
      </c>
      <c r="L8944" t="n">
        <v>0</v>
      </c>
      <c r="M8944" t="n">
        <v>0</v>
      </c>
      <c r="N8944" t="n">
        <v>0</v>
      </c>
      <c r="O8944" t="n">
        <v>0</v>
      </c>
      <c r="P8944" t="n">
        <v>0</v>
      </c>
      <c r="Q8944" t="n">
        <v>0</v>
      </c>
      <c r="R8944" s="2" t="inlineStr"/>
    </row>
    <row r="8945" ht="15" customHeight="1">
      <c r="A8945" t="inlineStr">
        <is>
          <t>A 17902-2024</t>
        </is>
      </c>
      <c r="B8945" s="1" t="n">
        <v>45419</v>
      </c>
      <c r="C8945" s="1" t="n">
        <v>46093</v>
      </c>
      <c r="D8945" t="inlineStr">
        <is>
          <t>VÄSTERNORRLANDS LÄN</t>
        </is>
      </c>
      <c r="E8945" t="inlineStr">
        <is>
          <t>SUNDSVALL</t>
        </is>
      </c>
      <c r="G8945" t="n">
        <v>4.5</v>
      </c>
      <c r="H8945" t="n">
        <v>0</v>
      </c>
      <c r="I8945" t="n">
        <v>0</v>
      </c>
      <c r="J8945" t="n">
        <v>0</v>
      </c>
      <c r="K8945" t="n">
        <v>0</v>
      </c>
      <c r="L8945" t="n">
        <v>0</v>
      </c>
      <c r="M8945" t="n">
        <v>0</v>
      </c>
      <c r="N8945" t="n">
        <v>0</v>
      </c>
      <c r="O8945" t="n">
        <v>0</v>
      </c>
      <c r="P8945" t="n">
        <v>0</v>
      </c>
      <c r="Q8945" t="n">
        <v>0</v>
      </c>
      <c r="R8945" s="2" t="inlineStr"/>
    </row>
    <row r="8946" ht="15" customHeight="1">
      <c r="A8946" t="inlineStr">
        <is>
          <t>A 55643-2022</t>
        </is>
      </c>
      <c r="B8946" s="1" t="n">
        <v>44888</v>
      </c>
      <c r="C8946" s="1" t="n">
        <v>46093</v>
      </c>
      <c r="D8946" t="inlineStr">
        <is>
          <t>VÄSTERNORRLANDS LÄN</t>
        </is>
      </c>
      <c r="E8946" t="inlineStr">
        <is>
          <t>ÖRNSKÖLDSVIK</t>
        </is>
      </c>
      <c r="G8946" t="n">
        <v>1.7</v>
      </c>
      <c r="H8946" t="n">
        <v>0</v>
      </c>
      <c r="I8946" t="n">
        <v>0</v>
      </c>
      <c r="J8946" t="n">
        <v>0</v>
      </c>
      <c r="K8946" t="n">
        <v>0</v>
      </c>
      <c r="L8946" t="n">
        <v>0</v>
      </c>
      <c r="M8946" t="n">
        <v>0</v>
      </c>
      <c r="N8946" t="n">
        <v>0</v>
      </c>
      <c r="O8946" t="n">
        <v>0</v>
      </c>
      <c r="P8946" t="n">
        <v>0</v>
      </c>
      <c r="Q8946" t="n">
        <v>0</v>
      </c>
      <c r="R8946" s="2" t="inlineStr"/>
    </row>
    <row r="8947" ht="15" customHeight="1">
      <c r="A8947" t="inlineStr">
        <is>
          <t>A 59865-2025</t>
        </is>
      </c>
      <c r="B8947" s="1" t="n">
        <v>45992.86313657407</v>
      </c>
      <c r="C8947" s="1" t="n">
        <v>46093</v>
      </c>
      <c r="D8947" t="inlineStr">
        <is>
          <t>VÄSTERNORRLANDS LÄN</t>
        </is>
      </c>
      <c r="E8947" t="inlineStr">
        <is>
          <t>SOLLEFTEÅ</t>
        </is>
      </c>
      <c r="G8947" t="n">
        <v>2.3</v>
      </c>
      <c r="H8947" t="n">
        <v>0</v>
      </c>
      <c r="I8947" t="n">
        <v>0</v>
      </c>
      <c r="J8947" t="n">
        <v>0</v>
      </c>
      <c r="K8947" t="n">
        <v>0</v>
      </c>
      <c r="L8947" t="n">
        <v>0</v>
      </c>
      <c r="M8947" t="n">
        <v>0</v>
      </c>
      <c r="N8947" t="n">
        <v>0</v>
      </c>
      <c r="O8947" t="n">
        <v>0</v>
      </c>
      <c r="P8947" t="n">
        <v>0</v>
      </c>
      <c r="Q8947" t="n">
        <v>0</v>
      </c>
      <c r="R8947" s="2" t="inlineStr"/>
    </row>
    <row r="8948" ht="15" customHeight="1">
      <c r="A8948" t="inlineStr">
        <is>
          <t>A 59869-2025</t>
        </is>
      </c>
      <c r="B8948" s="1" t="n">
        <v>45992.89322916666</v>
      </c>
      <c r="C8948" s="1" t="n">
        <v>46093</v>
      </c>
      <c r="D8948" t="inlineStr">
        <is>
          <t>VÄSTERNORRLANDS LÄN</t>
        </is>
      </c>
      <c r="E8948" t="inlineStr">
        <is>
          <t>HÄRNÖSAND</t>
        </is>
      </c>
      <c r="G8948" t="n">
        <v>4.9</v>
      </c>
      <c r="H8948" t="n">
        <v>0</v>
      </c>
      <c r="I8948" t="n">
        <v>0</v>
      </c>
      <c r="J8948" t="n">
        <v>0</v>
      </c>
      <c r="K8948" t="n">
        <v>0</v>
      </c>
      <c r="L8948" t="n">
        <v>0</v>
      </c>
      <c r="M8948" t="n">
        <v>0</v>
      </c>
      <c r="N8948" t="n">
        <v>0</v>
      </c>
      <c r="O8948" t="n">
        <v>0</v>
      </c>
      <c r="P8948" t="n">
        <v>0</v>
      </c>
      <c r="Q8948" t="n">
        <v>0</v>
      </c>
      <c r="R8948" s="2" t="inlineStr"/>
    </row>
    <row r="8949" ht="15" customHeight="1">
      <c r="A8949" t="inlineStr">
        <is>
          <t>A 64313-2023</t>
        </is>
      </c>
      <c r="B8949" s="1" t="n">
        <v>45279</v>
      </c>
      <c r="C8949" s="1" t="n">
        <v>46093</v>
      </c>
      <c r="D8949" t="inlineStr">
        <is>
          <t>VÄSTERNORRLANDS LÄN</t>
        </is>
      </c>
      <c r="E8949" t="inlineStr">
        <is>
          <t>SUNDSVALL</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23944-2023</t>
        </is>
      </c>
      <c r="B8950" s="1" t="n">
        <v>45078</v>
      </c>
      <c r="C8950" s="1" t="n">
        <v>46093</v>
      </c>
      <c r="D8950" t="inlineStr">
        <is>
          <t>VÄSTERNORRLANDS LÄN</t>
        </is>
      </c>
      <c r="E8950" t="inlineStr">
        <is>
          <t>ÖRNSKÖLDSVIK</t>
        </is>
      </c>
      <c r="F8950" t="inlineStr">
        <is>
          <t>Holmen skog AB</t>
        </is>
      </c>
      <c r="G8950" t="n">
        <v>3.6</v>
      </c>
      <c r="H8950" t="n">
        <v>0</v>
      </c>
      <c r="I8950" t="n">
        <v>0</v>
      </c>
      <c r="J8950" t="n">
        <v>0</v>
      </c>
      <c r="K8950" t="n">
        <v>0</v>
      </c>
      <c r="L8950" t="n">
        <v>0</v>
      </c>
      <c r="M8950" t="n">
        <v>0</v>
      </c>
      <c r="N8950" t="n">
        <v>0</v>
      </c>
      <c r="O8950" t="n">
        <v>0</v>
      </c>
      <c r="P8950" t="n">
        <v>0</v>
      </c>
      <c r="Q8950" t="n">
        <v>0</v>
      </c>
      <c r="R8950" s="2" t="inlineStr"/>
    </row>
    <row r="8951" ht="15" customHeight="1">
      <c r="A8951" t="inlineStr">
        <is>
          <t>A 63987-2023</t>
        </is>
      </c>
      <c r="B8951" s="1" t="n">
        <v>45278</v>
      </c>
      <c r="C8951" s="1" t="n">
        <v>46093</v>
      </c>
      <c r="D8951" t="inlineStr">
        <is>
          <t>VÄSTERNORRLANDS LÄN</t>
        </is>
      </c>
      <c r="E8951" t="inlineStr">
        <is>
          <t>SUNDSVALL</t>
        </is>
      </c>
      <c r="G8951" t="n">
        <v>0.6</v>
      </c>
      <c r="H8951" t="n">
        <v>0</v>
      </c>
      <c r="I8951" t="n">
        <v>0</v>
      </c>
      <c r="J8951" t="n">
        <v>0</v>
      </c>
      <c r="K8951" t="n">
        <v>0</v>
      </c>
      <c r="L8951" t="n">
        <v>0</v>
      </c>
      <c r="M8951" t="n">
        <v>0</v>
      </c>
      <c r="N8951" t="n">
        <v>0</v>
      </c>
      <c r="O8951" t="n">
        <v>0</v>
      </c>
      <c r="P8951" t="n">
        <v>0</v>
      </c>
      <c r="Q8951" t="n">
        <v>0</v>
      </c>
      <c r="R8951" s="2" t="inlineStr"/>
    </row>
    <row r="8952" ht="15" customHeight="1">
      <c r="A8952" t="inlineStr">
        <is>
          <t>A 63989-2023</t>
        </is>
      </c>
      <c r="B8952" s="1" t="n">
        <v>45278</v>
      </c>
      <c r="C8952" s="1" t="n">
        <v>46093</v>
      </c>
      <c r="D8952" t="inlineStr">
        <is>
          <t>VÄSTERNORRLANDS LÄN</t>
        </is>
      </c>
      <c r="E8952" t="inlineStr">
        <is>
          <t>SUNDSVALL</t>
        </is>
      </c>
      <c r="G8952" t="n">
        <v>0.4</v>
      </c>
      <c r="H8952" t="n">
        <v>0</v>
      </c>
      <c r="I8952" t="n">
        <v>0</v>
      </c>
      <c r="J8952" t="n">
        <v>0</v>
      </c>
      <c r="K8952" t="n">
        <v>0</v>
      </c>
      <c r="L8952" t="n">
        <v>0</v>
      </c>
      <c r="M8952" t="n">
        <v>0</v>
      </c>
      <c r="N8952" t="n">
        <v>0</v>
      </c>
      <c r="O8952" t="n">
        <v>0</v>
      </c>
      <c r="P8952" t="n">
        <v>0</v>
      </c>
      <c r="Q8952" t="n">
        <v>0</v>
      </c>
      <c r="R8952" s="2" t="inlineStr"/>
    </row>
    <row r="8953" ht="15" customHeight="1">
      <c r="A8953" t="inlineStr">
        <is>
          <t>A 21630-2023</t>
        </is>
      </c>
      <c r="B8953" s="1" t="n">
        <v>45063</v>
      </c>
      <c r="C8953" s="1" t="n">
        <v>46093</v>
      </c>
      <c r="D8953" t="inlineStr">
        <is>
          <t>VÄSTERNORRLANDS LÄN</t>
        </is>
      </c>
      <c r="E8953" t="inlineStr">
        <is>
          <t>SUNDSVALL</t>
        </is>
      </c>
      <c r="G8953" t="n">
        <v>9</v>
      </c>
      <c r="H8953" t="n">
        <v>0</v>
      </c>
      <c r="I8953" t="n">
        <v>0</v>
      </c>
      <c r="J8953" t="n">
        <v>0</v>
      </c>
      <c r="K8953" t="n">
        <v>0</v>
      </c>
      <c r="L8953" t="n">
        <v>0</v>
      </c>
      <c r="M8953" t="n">
        <v>0</v>
      </c>
      <c r="N8953" t="n">
        <v>0</v>
      </c>
      <c r="O8953" t="n">
        <v>0</v>
      </c>
      <c r="P8953" t="n">
        <v>0</v>
      </c>
      <c r="Q8953" t="n">
        <v>0</v>
      </c>
      <c r="R8953" s="2" t="inlineStr"/>
    </row>
    <row r="8954" ht="15" customHeight="1">
      <c r="A8954" t="inlineStr">
        <is>
          <t>A 13488-2025</t>
        </is>
      </c>
      <c r="B8954" s="1" t="n">
        <v>45736</v>
      </c>
      <c r="C8954" s="1" t="n">
        <v>46093</v>
      </c>
      <c r="D8954" t="inlineStr">
        <is>
          <t>VÄSTERNORRLANDS LÄN</t>
        </is>
      </c>
      <c r="E8954" t="inlineStr">
        <is>
          <t>SUNDSVALL</t>
        </is>
      </c>
      <c r="F8954" t="inlineStr">
        <is>
          <t>SCA</t>
        </is>
      </c>
      <c r="G8954" t="n">
        <v>3.3</v>
      </c>
      <c r="H8954" t="n">
        <v>0</v>
      </c>
      <c r="I8954" t="n">
        <v>0</v>
      </c>
      <c r="J8954" t="n">
        <v>0</v>
      </c>
      <c r="K8954" t="n">
        <v>0</v>
      </c>
      <c r="L8954" t="n">
        <v>0</v>
      </c>
      <c r="M8954" t="n">
        <v>0</v>
      </c>
      <c r="N8954" t="n">
        <v>0</v>
      </c>
      <c r="O8954" t="n">
        <v>0</v>
      </c>
      <c r="P8954" t="n">
        <v>0</v>
      </c>
      <c r="Q8954" t="n">
        <v>0</v>
      </c>
      <c r="R8954" s="2" t="inlineStr"/>
    </row>
    <row r="8955" ht="15" customHeight="1">
      <c r="A8955" t="inlineStr">
        <is>
          <t>A 60036-2025</t>
        </is>
      </c>
      <c r="B8955" s="1" t="n">
        <v>45993.61569444444</v>
      </c>
      <c r="C8955" s="1" t="n">
        <v>46093</v>
      </c>
      <c r="D8955" t="inlineStr">
        <is>
          <t>VÄSTERNORRLANDS LÄN</t>
        </is>
      </c>
      <c r="E8955" t="inlineStr">
        <is>
          <t>SOLLEFTEÅ</t>
        </is>
      </c>
      <c r="F8955" t="inlineStr">
        <is>
          <t>SCA</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59794-2024</t>
        </is>
      </c>
      <c r="B8956" s="1" t="n">
        <v>45639.58982638889</v>
      </c>
      <c r="C8956" s="1" t="n">
        <v>46093</v>
      </c>
      <c r="D8956" t="inlineStr">
        <is>
          <t>VÄSTERNORRLANDS LÄN</t>
        </is>
      </c>
      <c r="E8956" t="inlineStr">
        <is>
          <t>ÖRNSKÖLDSVIK</t>
        </is>
      </c>
      <c r="G8956" t="n">
        <v>7.1</v>
      </c>
      <c r="H8956" t="n">
        <v>0</v>
      </c>
      <c r="I8956" t="n">
        <v>0</v>
      </c>
      <c r="J8956" t="n">
        <v>0</v>
      </c>
      <c r="K8956" t="n">
        <v>0</v>
      </c>
      <c r="L8956" t="n">
        <v>0</v>
      </c>
      <c r="M8956" t="n">
        <v>0</v>
      </c>
      <c r="N8956" t="n">
        <v>0</v>
      </c>
      <c r="O8956" t="n">
        <v>0</v>
      </c>
      <c r="P8956" t="n">
        <v>0</v>
      </c>
      <c r="Q8956" t="n">
        <v>0</v>
      </c>
      <c r="R8956" s="2" t="inlineStr"/>
    </row>
    <row r="8957" ht="15" customHeight="1">
      <c r="A8957" t="inlineStr">
        <is>
          <t>A 59531-2023</t>
        </is>
      </c>
      <c r="B8957" s="1" t="n">
        <v>45253</v>
      </c>
      <c r="C8957" s="1" t="n">
        <v>46093</v>
      </c>
      <c r="D8957" t="inlineStr">
        <is>
          <t>VÄSTERNORRLANDS LÄN</t>
        </is>
      </c>
      <c r="E8957" t="inlineStr">
        <is>
          <t>ÖRNSKÖLDSVIK</t>
        </is>
      </c>
      <c r="G8957" t="n">
        <v>0.3</v>
      </c>
      <c r="H8957" t="n">
        <v>0</v>
      </c>
      <c r="I8957" t="n">
        <v>0</v>
      </c>
      <c r="J8957" t="n">
        <v>0</v>
      </c>
      <c r="K8957" t="n">
        <v>0</v>
      </c>
      <c r="L8957" t="n">
        <v>0</v>
      </c>
      <c r="M8957" t="n">
        <v>0</v>
      </c>
      <c r="N8957" t="n">
        <v>0</v>
      </c>
      <c r="O8957" t="n">
        <v>0</v>
      </c>
      <c r="P8957" t="n">
        <v>0</v>
      </c>
      <c r="Q8957" t="n">
        <v>0</v>
      </c>
      <c r="R8957" s="2" t="inlineStr"/>
    </row>
    <row r="8958" ht="15" customHeight="1">
      <c r="A8958" t="inlineStr">
        <is>
          <t>A 17577-2024</t>
        </is>
      </c>
      <c r="B8958" s="1" t="n">
        <v>45415</v>
      </c>
      <c r="C8958" s="1" t="n">
        <v>46093</v>
      </c>
      <c r="D8958" t="inlineStr">
        <is>
          <t>VÄSTERNORRLANDS LÄN</t>
        </is>
      </c>
      <c r="E8958" t="inlineStr">
        <is>
          <t>HÄRNÖSAND</t>
        </is>
      </c>
      <c r="G8958" t="n">
        <v>4.4</v>
      </c>
      <c r="H8958" t="n">
        <v>0</v>
      </c>
      <c r="I8958" t="n">
        <v>0</v>
      </c>
      <c r="J8958" t="n">
        <v>0</v>
      </c>
      <c r="K8958" t="n">
        <v>0</v>
      </c>
      <c r="L8958" t="n">
        <v>0</v>
      </c>
      <c r="M8958" t="n">
        <v>0</v>
      </c>
      <c r="N8958" t="n">
        <v>0</v>
      </c>
      <c r="O8958" t="n">
        <v>0</v>
      </c>
      <c r="P8958" t="n">
        <v>0</v>
      </c>
      <c r="Q8958" t="n">
        <v>0</v>
      </c>
      <c r="R8958" s="2" t="inlineStr"/>
    </row>
    <row r="8959" ht="15" customHeight="1">
      <c r="A8959" t="inlineStr">
        <is>
          <t>A 40207-2024</t>
        </is>
      </c>
      <c r="B8959" s="1" t="n">
        <v>45554.5925462963</v>
      </c>
      <c r="C8959" s="1" t="n">
        <v>46093</v>
      </c>
      <c r="D8959" t="inlineStr">
        <is>
          <t>VÄSTERNORRLANDS LÄN</t>
        </is>
      </c>
      <c r="E8959" t="inlineStr">
        <is>
          <t>ÖRNSKÖLDSVIK</t>
        </is>
      </c>
      <c r="F8959" t="inlineStr">
        <is>
          <t>Holmen skog AB</t>
        </is>
      </c>
      <c r="G8959" t="n">
        <v>0.6</v>
      </c>
      <c r="H8959" t="n">
        <v>0</v>
      </c>
      <c r="I8959" t="n">
        <v>0</v>
      </c>
      <c r="J8959" t="n">
        <v>0</v>
      </c>
      <c r="K8959" t="n">
        <v>0</v>
      </c>
      <c r="L8959" t="n">
        <v>0</v>
      </c>
      <c r="M8959" t="n">
        <v>0</v>
      </c>
      <c r="N8959" t="n">
        <v>0</v>
      </c>
      <c r="O8959" t="n">
        <v>0</v>
      </c>
      <c r="P8959" t="n">
        <v>0</v>
      </c>
      <c r="Q8959" t="n">
        <v>0</v>
      </c>
      <c r="R8959" s="2" t="inlineStr"/>
    </row>
    <row r="8960" ht="15" customHeight="1">
      <c r="A8960" t="inlineStr">
        <is>
          <t>A 59818-2024</t>
        </is>
      </c>
      <c r="B8960" s="1" t="n">
        <v>45639.63572916666</v>
      </c>
      <c r="C8960" s="1" t="n">
        <v>46093</v>
      </c>
      <c r="D8960" t="inlineStr">
        <is>
          <t>VÄSTERNORRLANDS LÄN</t>
        </is>
      </c>
      <c r="E8960" t="inlineStr">
        <is>
          <t>ÅNGE</t>
        </is>
      </c>
      <c r="F8960" t="inlineStr">
        <is>
          <t>SCA</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63652-2023</t>
        </is>
      </c>
      <c r="B8961" s="1" t="n">
        <v>45275</v>
      </c>
      <c r="C8961" s="1" t="n">
        <v>46093</v>
      </c>
      <c r="D8961" t="inlineStr">
        <is>
          <t>VÄSTERNORRLANDS LÄN</t>
        </is>
      </c>
      <c r="E8961" t="inlineStr">
        <is>
          <t>SOLLEFTEÅ</t>
        </is>
      </c>
      <c r="G8961" t="n">
        <v>4.5</v>
      </c>
      <c r="H8961" t="n">
        <v>0</v>
      </c>
      <c r="I8961" t="n">
        <v>0</v>
      </c>
      <c r="J8961" t="n">
        <v>0</v>
      </c>
      <c r="K8961" t="n">
        <v>0</v>
      </c>
      <c r="L8961" t="n">
        <v>0</v>
      </c>
      <c r="M8961" t="n">
        <v>0</v>
      </c>
      <c r="N8961" t="n">
        <v>0</v>
      </c>
      <c r="O8961" t="n">
        <v>0</v>
      </c>
      <c r="P8961" t="n">
        <v>0</v>
      </c>
      <c r="Q8961" t="n">
        <v>0</v>
      </c>
      <c r="R8961" s="2" t="inlineStr"/>
    </row>
    <row r="8962" ht="15" customHeight="1">
      <c r="A8962" t="inlineStr">
        <is>
          <t>A 3675-2025</t>
        </is>
      </c>
      <c r="B8962" s="1" t="n">
        <v>45681.4403125</v>
      </c>
      <c r="C8962" s="1" t="n">
        <v>46093</v>
      </c>
      <c r="D8962" t="inlineStr">
        <is>
          <t>VÄSTERNORRLANDS LÄN</t>
        </is>
      </c>
      <c r="E8962" t="inlineStr">
        <is>
          <t>KRAMFORS</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52220-2022</t>
        </is>
      </c>
      <c r="B8963" s="1" t="n">
        <v>44869</v>
      </c>
      <c r="C8963" s="1" t="n">
        <v>46093</v>
      </c>
      <c r="D8963" t="inlineStr">
        <is>
          <t>VÄSTERNORRLANDS LÄN</t>
        </is>
      </c>
      <c r="E8963" t="inlineStr">
        <is>
          <t>TIMRÅ</t>
        </is>
      </c>
      <c r="G8963" t="n">
        <v>5.5</v>
      </c>
      <c r="H8963" t="n">
        <v>0</v>
      </c>
      <c r="I8963" t="n">
        <v>0</v>
      </c>
      <c r="J8963" t="n">
        <v>0</v>
      </c>
      <c r="K8963" t="n">
        <v>0</v>
      </c>
      <c r="L8963" t="n">
        <v>0</v>
      </c>
      <c r="M8963" t="n">
        <v>0</v>
      </c>
      <c r="N8963" t="n">
        <v>0</v>
      </c>
      <c r="O8963" t="n">
        <v>0</v>
      </c>
      <c r="P8963" t="n">
        <v>0</v>
      </c>
      <c r="Q8963" t="n">
        <v>0</v>
      </c>
      <c r="R8963" s="2" t="inlineStr"/>
    </row>
    <row r="8964" ht="15" customHeight="1">
      <c r="A8964" t="inlineStr">
        <is>
          <t>A 52232-2022</t>
        </is>
      </c>
      <c r="B8964" s="1" t="n">
        <v>44869</v>
      </c>
      <c r="C8964" s="1" t="n">
        <v>46093</v>
      </c>
      <c r="D8964" t="inlineStr">
        <is>
          <t>VÄSTERNORRLANDS LÄN</t>
        </is>
      </c>
      <c r="E8964" t="inlineStr">
        <is>
          <t>TIMRÅ</t>
        </is>
      </c>
      <c r="G8964" t="n">
        <v>7.9</v>
      </c>
      <c r="H8964" t="n">
        <v>0</v>
      </c>
      <c r="I8964" t="n">
        <v>0</v>
      </c>
      <c r="J8964" t="n">
        <v>0</v>
      </c>
      <c r="K8964" t="n">
        <v>0</v>
      </c>
      <c r="L8964" t="n">
        <v>0</v>
      </c>
      <c r="M8964" t="n">
        <v>0</v>
      </c>
      <c r="N8964" t="n">
        <v>0</v>
      </c>
      <c r="O8964" t="n">
        <v>0</v>
      </c>
      <c r="P8964" t="n">
        <v>0</v>
      </c>
      <c r="Q8964" t="n">
        <v>0</v>
      </c>
      <c r="R8964" s="2" t="inlineStr"/>
    </row>
    <row r="8965" ht="15" customHeight="1">
      <c r="A8965" t="inlineStr">
        <is>
          <t>A 53477-2024</t>
        </is>
      </c>
      <c r="B8965" s="1" t="n">
        <v>45611</v>
      </c>
      <c r="C8965" s="1" t="n">
        <v>46093</v>
      </c>
      <c r="D8965" t="inlineStr">
        <is>
          <t>VÄSTERNORRLANDS LÄN</t>
        </is>
      </c>
      <c r="E8965" t="inlineStr">
        <is>
          <t>SOLLEFTEÅ</t>
        </is>
      </c>
      <c r="G8965" t="n">
        <v>1.9</v>
      </c>
      <c r="H8965" t="n">
        <v>0</v>
      </c>
      <c r="I8965" t="n">
        <v>0</v>
      </c>
      <c r="J8965" t="n">
        <v>0</v>
      </c>
      <c r="K8965" t="n">
        <v>0</v>
      </c>
      <c r="L8965" t="n">
        <v>0</v>
      </c>
      <c r="M8965" t="n">
        <v>0</v>
      </c>
      <c r="N8965" t="n">
        <v>0</v>
      </c>
      <c r="O8965" t="n">
        <v>0</v>
      </c>
      <c r="P8965" t="n">
        <v>0</v>
      </c>
      <c r="Q8965" t="n">
        <v>0</v>
      </c>
      <c r="R8965" s="2" t="inlineStr"/>
    </row>
    <row r="8966" ht="15" customHeight="1">
      <c r="A8966" t="inlineStr">
        <is>
          <t>A 49831-2024</t>
        </is>
      </c>
      <c r="B8966" s="1" t="n">
        <v>45597.42854166667</v>
      </c>
      <c r="C8966" s="1" t="n">
        <v>46093</v>
      </c>
      <c r="D8966" t="inlineStr">
        <is>
          <t>VÄSTERNORRLANDS LÄN</t>
        </is>
      </c>
      <c r="E8966" t="inlineStr">
        <is>
          <t>ÖRNSKÖLDSVIK</t>
        </is>
      </c>
      <c r="F8966" t="inlineStr">
        <is>
          <t>Holmen skog AB</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56337-2024</t>
        </is>
      </c>
      <c r="B8967" s="1" t="n">
        <v>45624.81244212963</v>
      </c>
      <c r="C8967" s="1" t="n">
        <v>46093</v>
      </c>
      <c r="D8967" t="inlineStr">
        <is>
          <t>VÄSTERNORRLANDS LÄN</t>
        </is>
      </c>
      <c r="E8967" t="inlineStr">
        <is>
          <t>ÖRNSKÖLDSVIK</t>
        </is>
      </c>
      <c r="F8967" t="inlineStr">
        <is>
          <t>Holmen skog AB</t>
        </is>
      </c>
      <c r="G8967" t="n">
        <v>5.6</v>
      </c>
      <c r="H8967" t="n">
        <v>0</v>
      </c>
      <c r="I8967" t="n">
        <v>0</v>
      </c>
      <c r="J8967" t="n">
        <v>0</v>
      </c>
      <c r="K8967" t="n">
        <v>0</v>
      </c>
      <c r="L8967" t="n">
        <v>0</v>
      </c>
      <c r="M8967" t="n">
        <v>0</v>
      </c>
      <c r="N8967" t="n">
        <v>0</v>
      </c>
      <c r="O8967" t="n">
        <v>0</v>
      </c>
      <c r="P8967" t="n">
        <v>0</v>
      </c>
      <c r="Q8967" t="n">
        <v>0</v>
      </c>
      <c r="R8967" s="2" t="inlineStr"/>
    </row>
    <row r="8968" ht="15" customHeight="1">
      <c r="A8968" t="inlineStr">
        <is>
          <t>A 60786-2021</t>
        </is>
      </c>
      <c r="B8968" s="1" t="n">
        <v>44496</v>
      </c>
      <c r="C8968" s="1" t="n">
        <v>46093</v>
      </c>
      <c r="D8968" t="inlineStr">
        <is>
          <t>VÄSTERNORRLANDS LÄN</t>
        </is>
      </c>
      <c r="E8968" t="inlineStr">
        <is>
          <t>ÖRNSKÖLDSVIK</t>
        </is>
      </c>
      <c r="F8968" t="inlineStr">
        <is>
          <t>SCA</t>
        </is>
      </c>
      <c r="G8968" t="n">
        <v>7.2</v>
      </c>
      <c r="H8968" t="n">
        <v>0</v>
      </c>
      <c r="I8968" t="n">
        <v>0</v>
      </c>
      <c r="J8968" t="n">
        <v>0</v>
      </c>
      <c r="K8968" t="n">
        <v>0</v>
      </c>
      <c r="L8968" t="n">
        <v>0</v>
      </c>
      <c r="M8968" t="n">
        <v>0</v>
      </c>
      <c r="N8968" t="n">
        <v>0</v>
      </c>
      <c r="O8968" t="n">
        <v>0</v>
      </c>
      <c r="P8968" t="n">
        <v>0</v>
      </c>
      <c r="Q8968" t="n">
        <v>0</v>
      </c>
      <c r="R8968" s="2" t="inlineStr"/>
    </row>
    <row r="8969" ht="15" customHeight="1">
      <c r="A8969" t="inlineStr">
        <is>
          <t>A 34744-2022</t>
        </is>
      </c>
      <c r="B8969" s="1" t="n">
        <v>44795.62546296296</v>
      </c>
      <c r="C8969" s="1" t="n">
        <v>46093</v>
      </c>
      <c r="D8969" t="inlineStr">
        <is>
          <t>VÄSTERNORRLANDS LÄN</t>
        </is>
      </c>
      <c r="E8969" t="inlineStr">
        <is>
          <t>SUNDSVALL</t>
        </is>
      </c>
      <c r="G8969" t="n">
        <v>7.1</v>
      </c>
      <c r="H8969" t="n">
        <v>0</v>
      </c>
      <c r="I8969" t="n">
        <v>0</v>
      </c>
      <c r="J8969" t="n">
        <v>0</v>
      </c>
      <c r="K8969" t="n">
        <v>0</v>
      </c>
      <c r="L8969" t="n">
        <v>0</v>
      </c>
      <c r="M8969" t="n">
        <v>0</v>
      </c>
      <c r="N8969" t="n">
        <v>0</v>
      </c>
      <c r="O8969" t="n">
        <v>0</v>
      </c>
      <c r="P8969" t="n">
        <v>0</v>
      </c>
      <c r="Q8969" t="n">
        <v>0</v>
      </c>
      <c r="R8969" s="2" t="inlineStr"/>
    </row>
    <row r="8970" ht="15" customHeight="1">
      <c r="A8970" t="inlineStr">
        <is>
          <t>A 59863-2025</t>
        </is>
      </c>
      <c r="B8970" s="1" t="n">
        <v>45992.8128125</v>
      </c>
      <c r="C8970" s="1" t="n">
        <v>46093</v>
      </c>
      <c r="D8970" t="inlineStr">
        <is>
          <t>VÄSTERNORRLANDS LÄN</t>
        </is>
      </c>
      <c r="E8970" t="inlineStr">
        <is>
          <t>ÖRNSKÖLDSVIK</t>
        </is>
      </c>
      <c r="G8970" t="n">
        <v>2.4</v>
      </c>
      <c r="H8970" t="n">
        <v>0</v>
      </c>
      <c r="I8970" t="n">
        <v>0</v>
      </c>
      <c r="J8970" t="n">
        <v>0</v>
      </c>
      <c r="K8970" t="n">
        <v>0</v>
      </c>
      <c r="L8970" t="n">
        <v>0</v>
      </c>
      <c r="M8970" t="n">
        <v>0</v>
      </c>
      <c r="N8970" t="n">
        <v>0</v>
      </c>
      <c r="O8970" t="n">
        <v>0</v>
      </c>
      <c r="P8970" t="n">
        <v>0</v>
      </c>
      <c r="Q8970" t="n">
        <v>0</v>
      </c>
      <c r="R8970" s="2" t="inlineStr"/>
    </row>
    <row r="8971" ht="15" customHeight="1">
      <c r="A8971" t="inlineStr">
        <is>
          <t>A 59866-2025</t>
        </is>
      </c>
      <c r="B8971" s="1" t="n">
        <v>45992.86497685185</v>
      </c>
      <c r="C8971" s="1" t="n">
        <v>46093</v>
      </c>
      <c r="D8971" t="inlineStr">
        <is>
          <t>VÄSTERNORRLANDS LÄN</t>
        </is>
      </c>
      <c r="E8971" t="inlineStr">
        <is>
          <t>SOLLEFTEÅ</t>
        </is>
      </c>
      <c r="G8971" t="n">
        <v>1.5</v>
      </c>
      <c r="H8971" t="n">
        <v>0</v>
      </c>
      <c r="I8971" t="n">
        <v>0</v>
      </c>
      <c r="J8971" t="n">
        <v>0</v>
      </c>
      <c r="K8971" t="n">
        <v>0</v>
      </c>
      <c r="L8971" t="n">
        <v>0</v>
      </c>
      <c r="M8971" t="n">
        <v>0</v>
      </c>
      <c r="N8971" t="n">
        <v>0</v>
      </c>
      <c r="O8971" t="n">
        <v>0</v>
      </c>
      <c r="P8971" t="n">
        <v>0</v>
      </c>
      <c r="Q8971" t="n">
        <v>0</v>
      </c>
      <c r="R8971" s="2" t="inlineStr"/>
    </row>
    <row r="8972" ht="15" customHeight="1">
      <c r="A8972" t="inlineStr">
        <is>
          <t>A 7005-2023</t>
        </is>
      </c>
      <c r="B8972" s="1" t="n">
        <v>44967.92928240741</v>
      </c>
      <c r="C8972" s="1" t="n">
        <v>46093</v>
      </c>
      <c r="D8972" t="inlineStr">
        <is>
          <t>VÄSTERNORRLANDS LÄN</t>
        </is>
      </c>
      <c r="E8972" t="inlineStr">
        <is>
          <t>SUNDSVALL</t>
        </is>
      </c>
      <c r="G8972" t="n">
        <v>3.5</v>
      </c>
      <c r="H8972" t="n">
        <v>0</v>
      </c>
      <c r="I8972" t="n">
        <v>0</v>
      </c>
      <c r="J8972" t="n">
        <v>0</v>
      </c>
      <c r="K8972" t="n">
        <v>0</v>
      </c>
      <c r="L8972" t="n">
        <v>0</v>
      </c>
      <c r="M8972" t="n">
        <v>0</v>
      </c>
      <c r="N8972" t="n">
        <v>0</v>
      </c>
      <c r="O8972" t="n">
        <v>0</v>
      </c>
      <c r="P8972" t="n">
        <v>0</v>
      </c>
      <c r="Q8972" t="n">
        <v>0</v>
      </c>
      <c r="R8972" s="2" t="inlineStr"/>
    </row>
    <row r="8973" ht="15" customHeight="1">
      <c r="A8973" t="inlineStr">
        <is>
          <t>A 59723-2021</t>
        </is>
      </c>
      <c r="B8973" s="1" t="n">
        <v>44494.42824074074</v>
      </c>
      <c r="C8973" s="1" t="n">
        <v>46093</v>
      </c>
      <c r="D8973" t="inlineStr">
        <is>
          <t>VÄSTERNORRLANDS LÄN</t>
        </is>
      </c>
      <c r="E8973" t="inlineStr">
        <is>
          <t>SUNDSVALL</t>
        </is>
      </c>
      <c r="G8973" t="n">
        <v>1.1</v>
      </c>
      <c r="H8973" t="n">
        <v>0</v>
      </c>
      <c r="I8973" t="n">
        <v>0</v>
      </c>
      <c r="J8973" t="n">
        <v>0</v>
      </c>
      <c r="K8973" t="n">
        <v>0</v>
      </c>
      <c r="L8973" t="n">
        <v>0</v>
      </c>
      <c r="M8973" t="n">
        <v>0</v>
      </c>
      <c r="N8973" t="n">
        <v>0</v>
      </c>
      <c r="O8973" t="n">
        <v>0</v>
      </c>
      <c r="P8973" t="n">
        <v>0</v>
      </c>
      <c r="Q8973" t="n">
        <v>0</v>
      </c>
      <c r="R8973" s="2" t="inlineStr"/>
    </row>
    <row r="8974" ht="15" customHeight="1">
      <c r="A8974" t="inlineStr">
        <is>
          <t>A 17768-2025</t>
        </is>
      </c>
      <c r="B8974" s="1" t="n">
        <v>45758.50564814815</v>
      </c>
      <c r="C8974" s="1" t="n">
        <v>46093</v>
      </c>
      <c r="D8974" t="inlineStr">
        <is>
          <t>VÄSTERNORRLANDS LÄN</t>
        </is>
      </c>
      <c r="E8974" t="inlineStr">
        <is>
          <t>ÖRNSKÖLDSVIK</t>
        </is>
      </c>
      <c r="G8974" t="n">
        <v>3.9</v>
      </c>
      <c r="H8974" t="n">
        <v>0</v>
      </c>
      <c r="I8974" t="n">
        <v>0</v>
      </c>
      <c r="J8974" t="n">
        <v>0</v>
      </c>
      <c r="K8974" t="n">
        <v>0</v>
      </c>
      <c r="L8974" t="n">
        <v>0</v>
      </c>
      <c r="M8974" t="n">
        <v>0</v>
      </c>
      <c r="N8974" t="n">
        <v>0</v>
      </c>
      <c r="O8974" t="n">
        <v>0</v>
      </c>
      <c r="P8974" t="n">
        <v>0</v>
      </c>
      <c r="Q8974" t="n">
        <v>0</v>
      </c>
      <c r="R8974" s="2" t="inlineStr"/>
    </row>
    <row r="8975" ht="15" customHeight="1">
      <c r="A8975" t="inlineStr">
        <is>
          <t>A 60156-2025</t>
        </is>
      </c>
      <c r="B8975" s="1" t="n">
        <v>45994.42489583333</v>
      </c>
      <c r="C8975" s="1" t="n">
        <v>46093</v>
      </c>
      <c r="D8975" t="inlineStr">
        <is>
          <t>VÄSTERNORRLANDS LÄN</t>
        </is>
      </c>
      <c r="E8975" t="inlineStr">
        <is>
          <t>KRAMFORS</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32896-2022</t>
        </is>
      </c>
      <c r="B8976" s="1" t="n">
        <v>44784.57076388889</v>
      </c>
      <c r="C8976" s="1" t="n">
        <v>46093</v>
      </c>
      <c r="D8976" t="inlineStr">
        <is>
          <t>VÄSTERNORRLANDS LÄN</t>
        </is>
      </c>
      <c r="E8976" t="inlineStr">
        <is>
          <t>ÖRNSKÖLDSVIK</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16763-2025</t>
        </is>
      </c>
      <c r="B8977" s="1" t="n">
        <v>45754</v>
      </c>
      <c r="C8977" s="1" t="n">
        <v>46093</v>
      </c>
      <c r="D8977" t="inlineStr">
        <is>
          <t>VÄSTERNORRLANDS LÄN</t>
        </is>
      </c>
      <c r="E8977" t="inlineStr">
        <is>
          <t>KRAMFORS</t>
        </is>
      </c>
      <c r="G8977" t="n">
        <v>3.8</v>
      </c>
      <c r="H8977" t="n">
        <v>0</v>
      </c>
      <c r="I8977" t="n">
        <v>0</v>
      </c>
      <c r="J8977" t="n">
        <v>0</v>
      </c>
      <c r="K8977" t="n">
        <v>0</v>
      </c>
      <c r="L8977" t="n">
        <v>0</v>
      </c>
      <c r="M8977" t="n">
        <v>0</v>
      </c>
      <c r="N8977" t="n">
        <v>0</v>
      </c>
      <c r="O8977" t="n">
        <v>0</v>
      </c>
      <c r="P8977" t="n">
        <v>0</v>
      </c>
      <c r="Q8977" t="n">
        <v>0</v>
      </c>
      <c r="R8977" s="2" t="inlineStr"/>
    </row>
    <row r="8978" ht="15" customHeight="1">
      <c r="A8978" t="inlineStr">
        <is>
          <t>A 60013-2025</t>
        </is>
      </c>
      <c r="B8978" s="1" t="n">
        <v>45993.59806712963</v>
      </c>
      <c r="C8978" s="1" t="n">
        <v>46093</v>
      </c>
      <c r="D8978" t="inlineStr">
        <is>
          <t>VÄSTERNORRLANDS LÄN</t>
        </is>
      </c>
      <c r="E8978" t="inlineStr">
        <is>
          <t>ÖRNSKÖLDSVIK</t>
        </is>
      </c>
      <c r="G8978" t="n">
        <v>1.7</v>
      </c>
      <c r="H8978" t="n">
        <v>0</v>
      </c>
      <c r="I8978" t="n">
        <v>0</v>
      </c>
      <c r="J8978" t="n">
        <v>0</v>
      </c>
      <c r="K8978" t="n">
        <v>0</v>
      </c>
      <c r="L8978" t="n">
        <v>0</v>
      </c>
      <c r="M8978" t="n">
        <v>0</v>
      </c>
      <c r="N8978" t="n">
        <v>0</v>
      </c>
      <c r="O8978" t="n">
        <v>0</v>
      </c>
      <c r="P8978" t="n">
        <v>0</v>
      </c>
      <c r="Q8978" t="n">
        <v>0</v>
      </c>
      <c r="R8978" s="2" t="inlineStr"/>
    </row>
    <row r="8979" ht="15" customHeight="1">
      <c r="A8979" t="inlineStr">
        <is>
          <t>A 43554-2022</t>
        </is>
      </c>
      <c r="B8979" s="1" t="n">
        <v>44834</v>
      </c>
      <c r="C8979" s="1" t="n">
        <v>46093</v>
      </c>
      <c r="D8979" t="inlineStr">
        <is>
          <t>VÄSTERNORRLANDS LÄN</t>
        </is>
      </c>
      <c r="E8979" t="inlineStr">
        <is>
          <t>KRAMFORS</t>
        </is>
      </c>
      <c r="G8979" t="n">
        <v>1.9</v>
      </c>
      <c r="H8979" t="n">
        <v>0</v>
      </c>
      <c r="I8979" t="n">
        <v>0</v>
      </c>
      <c r="J8979" t="n">
        <v>0</v>
      </c>
      <c r="K8979" t="n">
        <v>0</v>
      </c>
      <c r="L8979" t="n">
        <v>0</v>
      </c>
      <c r="M8979" t="n">
        <v>0</v>
      </c>
      <c r="N8979" t="n">
        <v>0</v>
      </c>
      <c r="O8979" t="n">
        <v>0</v>
      </c>
      <c r="P8979" t="n">
        <v>0</v>
      </c>
      <c r="Q8979" t="n">
        <v>0</v>
      </c>
      <c r="R8979" s="2" t="inlineStr"/>
    </row>
    <row r="8980" ht="15" customHeight="1">
      <c r="A8980" t="inlineStr">
        <is>
          <t>A 20483-2023</t>
        </is>
      </c>
      <c r="B8980" s="1" t="n">
        <v>45057</v>
      </c>
      <c r="C8980" s="1" t="n">
        <v>46093</v>
      </c>
      <c r="D8980" t="inlineStr">
        <is>
          <t>VÄSTERNORRLANDS LÄN</t>
        </is>
      </c>
      <c r="E8980" t="inlineStr">
        <is>
          <t>ÖRNSKÖLDSVIK</t>
        </is>
      </c>
      <c r="G8980" t="n">
        <v>7.5</v>
      </c>
      <c r="H8980" t="n">
        <v>0</v>
      </c>
      <c r="I8980" t="n">
        <v>0</v>
      </c>
      <c r="J8980" t="n">
        <v>0</v>
      </c>
      <c r="K8980" t="n">
        <v>0</v>
      </c>
      <c r="L8980" t="n">
        <v>0</v>
      </c>
      <c r="M8980" t="n">
        <v>0</v>
      </c>
      <c r="N8980" t="n">
        <v>0</v>
      </c>
      <c r="O8980" t="n">
        <v>0</v>
      </c>
      <c r="P8980" t="n">
        <v>0</v>
      </c>
      <c r="Q8980" t="n">
        <v>0</v>
      </c>
      <c r="R8980" s="2" t="inlineStr"/>
    </row>
    <row r="8981" ht="15" customHeight="1">
      <c r="A8981" t="inlineStr">
        <is>
          <t>A 60063-2025</t>
        </is>
      </c>
      <c r="B8981" s="1" t="n">
        <v>45993.65711805555</v>
      </c>
      <c r="C8981" s="1" t="n">
        <v>46093</v>
      </c>
      <c r="D8981" t="inlineStr">
        <is>
          <t>VÄSTERNORRLANDS LÄN</t>
        </is>
      </c>
      <c r="E8981" t="inlineStr">
        <is>
          <t>SOLLEFTEÅ</t>
        </is>
      </c>
      <c r="F8981" t="inlineStr">
        <is>
          <t>SCA</t>
        </is>
      </c>
      <c r="G8981" t="n">
        <v>0.5</v>
      </c>
      <c r="H8981" t="n">
        <v>0</v>
      </c>
      <c r="I8981" t="n">
        <v>0</v>
      </c>
      <c r="J8981" t="n">
        <v>0</v>
      </c>
      <c r="K8981" t="n">
        <v>0</v>
      </c>
      <c r="L8981" t="n">
        <v>0</v>
      </c>
      <c r="M8981" t="n">
        <v>0</v>
      </c>
      <c r="N8981" t="n">
        <v>0</v>
      </c>
      <c r="O8981" t="n">
        <v>0</v>
      </c>
      <c r="P8981" t="n">
        <v>0</v>
      </c>
      <c r="Q8981" t="n">
        <v>0</v>
      </c>
      <c r="R8981" s="2" t="inlineStr"/>
    </row>
    <row r="8982" ht="15" customHeight="1">
      <c r="A8982" t="inlineStr">
        <is>
          <t>A 59892-2025</t>
        </is>
      </c>
      <c r="B8982" s="1" t="n">
        <v>45993.33709490741</v>
      </c>
      <c r="C8982" s="1" t="n">
        <v>46093</v>
      </c>
      <c r="D8982" t="inlineStr">
        <is>
          <t>VÄSTERNORRLANDS LÄN</t>
        </is>
      </c>
      <c r="E8982" t="inlineStr">
        <is>
          <t>SUNDSVALL</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59908-2025</t>
        </is>
      </c>
      <c r="B8983" s="1" t="n">
        <v>45993</v>
      </c>
      <c r="C8983" s="1" t="n">
        <v>46093</v>
      </c>
      <c r="D8983" t="inlineStr">
        <is>
          <t>VÄSTERNORRLANDS LÄN</t>
        </is>
      </c>
      <c r="E8983" t="inlineStr">
        <is>
          <t>SUNDSVALL</t>
        </is>
      </c>
      <c r="G8983" t="n">
        <v>3</v>
      </c>
      <c r="H8983" t="n">
        <v>0</v>
      </c>
      <c r="I8983" t="n">
        <v>0</v>
      </c>
      <c r="J8983" t="n">
        <v>0</v>
      </c>
      <c r="K8983" t="n">
        <v>0</v>
      </c>
      <c r="L8983" t="n">
        <v>0</v>
      </c>
      <c r="M8983" t="n">
        <v>0</v>
      </c>
      <c r="N8983" t="n">
        <v>0</v>
      </c>
      <c r="O8983" t="n">
        <v>0</v>
      </c>
      <c r="P8983" t="n">
        <v>0</v>
      </c>
      <c r="Q8983" t="n">
        <v>0</v>
      </c>
      <c r="R8983" s="2" t="inlineStr"/>
    </row>
    <row r="8984" ht="15" customHeight="1">
      <c r="A8984" t="inlineStr">
        <is>
          <t>A 59911-2025</t>
        </is>
      </c>
      <c r="B8984" s="1" t="n">
        <v>45993.36211805556</v>
      </c>
      <c r="C8984" s="1" t="n">
        <v>46093</v>
      </c>
      <c r="D8984" t="inlineStr">
        <is>
          <t>VÄSTERNORRLANDS LÄN</t>
        </is>
      </c>
      <c r="E8984" t="inlineStr">
        <is>
          <t>SUNDSVALL</t>
        </is>
      </c>
      <c r="G8984" t="n">
        <v>2.4</v>
      </c>
      <c r="H8984" t="n">
        <v>0</v>
      </c>
      <c r="I8984" t="n">
        <v>0</v>
      </c>
      <c r="J8984" t="n">
        <v>0</v>
      </c>
      <c r="K8984" t="n">
        <v>0</v>
      </c>
      <c r="L8984" t="n">
        <v>0</v>
      </c>
      <c r="M8984" t="n">
        <v>0</v>
      </c>
      <c r="N8984" t="n">
        <v>0</v>
      </c>
      <c r="O8984" t="n">
        <v>0</v>
      </c>
      <c r="P8984" t="n">
        <v>0</v>
      </c>
      <c r="Q8984" t="n">
        <v>0</v>
      </c>
      <c r="R8984" s="2" t="inlineStr"/>
    </row>
    <row r="8985" ht="15" customHeight="1">
      <c r="A8985" t="inlineStr">
        <is>
          <t>A 36034-2023</t>
        </is>
      </c>
      <c r="B8985" s="1" t="n">
        <v>45148</v>
      </c>
      <c r="C8985" s="1" t="n">
        <v>46093</v>
      </c>
      <c r="D8985" t="inlineStr">
        <is>
          <t>VÄSTERNORRLANDS LÄN</t>
        </is>
      </c>
      <c r="E8985" t="inlineStr">
        <is>
          <t>KRAMFORS</t>
        </is>
      </c>
      <c r="G8985" t="n">
        <v>1.2</v>
      </c>
      <c r="H8985" t="n">
        <v>0</v>
      </c>
      <c r="I8985" t="n">
        <v>0</v>
      </c>
      <c r="J8985" t="n">
        <v>0</v>
      </c>
      <c r="K8985" t="n">
        <v>0</v>
      </c>
      <c r="L8985" t="n">
        <v>0</v>
      </c>
      <c r="M8985" t="n">
        <v>0</v>
      </c>
      <c r="N8985" t="n">
        <v>0</v>
      </c>
      <c r="O8985" t="n">
        <v>0</v>
      </c>
      <c r="P8985" t="n">
        <v>0</v>
      </c>
      <c r="Q8985" t="n">
        <v>0</v>
      </c>
      <c r="R8985" s="2" t="inlineStr"/>
    </row>
    <row r="8986" ht="15" customHeight="1">
      <c r="A8986" t="inlineStr">
        <is>
          <t>A 60191-2025</t>
        </is>
      </c>
      <c r="B8986" s="1" t="n">
        <v>45994.48371527778</v>
      </c>
      <c r="C8986" s="1" t="n">
        <v>46093</v>
      </c>
      <c r="D8986" t="inlineStr">
        <is>
          <t>VÄSTERNORRLANDS LÄN</t>
        </is>
      </c>
      <c r="E8986" t="inlineStr">
        <is>
          <t>ÖRNSKÖLDSVIK</t>
        </is>
      </c>
      <c r="F8986" t="inlineStr">
        <is>
          <t>Övriga Aktiebolag</t>
        </is>
      </c>
      <c r="G8986" t="n">
        <v>2.6</v>
      </c>
      <c r="H8986" t="n">
        <v>0</v>
      </c>
      <c r="I8986" t="n">
        <v>0</v>
      </c>
      <c r="J8986" t="n">
        <v>0</v>
      </c>
      <c r="K8986" t="n">
        <v>0</v>
      </c>
      <c r="L8986" t="n">
        <v>0</v>
      </c>
      <c r="M8986" t="n">
        <v>0</v>
      </c>
      <c r="N8986" t="n">
        <v>0</v>
      </c>
      <c r="O8986" t="n">
        <v>0</v>
      </c>
      <c r="P8986" t="n">
        <v>0</v>
      </c>
      <c r="Q8986" t="n">
        <v>0</v>
      </c>
      <c r="R8986" s="2" t="inlineStr"/>
    </row>
    <row r="8987" ht="15" customHeight="1">
      <c r="A8987" t="inlineStr">
        <is>
          <t>A 32653-2024</t>
        </is>
      </c>
      <c r="B8987" s="1" t="n">
        <v>45513.9644675926</v>
      </c>
      <c r="C8987" s="1" t="n">
        <v>46093</v>
      </c>
      <c r="D8987" t="inlineStr">
        <is>
          <t>VÄSTERNORRLANDS LÄN</t>
        </is>
      </c>
      <c r="E8987" t="inlineStr">
        <is>
          <t>SUNDSVALL</t>
        </is>
      </c>
      <c r="F8987" t="inlineStr">
        <is>
          <t>SCA</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18415-2025</t>
        </is>
      </c>
      <c r="B8988" s="1" t="n">
        <v>45762.61503472222</v>
      </c>
      <c r="C8988" s="1" t="n">
        <v>46093</v>
      </c>
      <c r="D8988" t="inlineStr">
        <is>
          <t>VÄSTERNORRLANDS LÄN</t>
        </is>
      </c>
      <c r="E8988" t="inlineStr">
        <is>
          <t>TIMRÅ</t>
        </is>
      </c>
      <c r="G8988" t="n">
        <v>9.800000000000001</v>
      </c>
      <c r="H8988" t="n">
        <v>0</v>
      </c>
      <c r="I8988" t="n">
        <v>0</v>
      </c>
      <c r="J8988" t="n">
        <v>0</v>
      </c>
      <c r="K8988" t="n">
        <v>0</v>
      </c>
      <c r="L8988" t="n">
        <v>0</v>
      </c>
      <c r="M8988" t="n">
        <v>0</v>
      </c>
      <c r="N8988" t="n">
        <v>0</v>
      </c>
      <c r="O8988" t="n">
        <v>0</v>
      </c>
      <c r="P8988" t="n">
        <v>0</v>
      </c>
      <c r="Q8988" t="n">
        <v>0</v>
      </c>
      <c r="R8988" s="2" t="inlineStr"/>
    </row>
    <row r="8989" ht="15" customHeight="1">
      <c r="A8989" t="inlineStr">
        <is>
          <t>A 60286-2025</t>
        </is>
      </c>
      <c r="B8989" s="1" t="n">
        <v>45994.64612268518</v>
      </c>
      <c r="C8989" s="1" t="n">
        <v>46093</v>
      </c>
      <c r="D8989" t="inlineStr">
        <is>
          <t>VÄSTERNORRLANDS LÄN</t>
        </is>
      </c>
      <c r="E8989" t="inlineStr">
        <is>
          <t>ÅNGE</t>
        </is>
      </c>
      <c r="G8989" t="n">
        <v>0.7</v>
      </c>
      <c r="H8989" t="n">
        <v>0</v>
      </c>
      <c r="I8989" t="n">
        <v>0</v>
      </c>
      <c r="J8989" t="n">
        <v>0</v>
      </c>
      <c r="K8989" t="n">
        <v>0</v>
      </c>
      <c r="L8989" t="n">
        <v>0</v>
      </c>
      <c r="M8989" t="n">
        <v>0</v>
      </c>
      <c r="N8989" t="n">
        <v>0</v>
      </c>
      <c r="O8989" t="n">
        <v>0</v>
      </c>
      <c r="P8989" t="n">
        <v>0</v>
      </c>
      <c r="Q8989" t="n">
        <v>0</v>
      </c>
      <c r="R8989" s="2" t="inlineStr"/>
    </row>
    <row r="8990" ht="15" customHeight="1">
      <c r="A8990" t="inlineStr">
        <is>
          <t>A 68753-2021</t>
        </is>
      </c>
      <c r="B8990" s="1" t="n">
        <v>44529</v>
      </c>
      <c r="C8990" s="1" t="n">
        <v>46093</v>
      </c>
      <c r="D8990" t="inlineStr">
        <is>
          <t>VÄSTERNORRLANDS LÄN</t>
        </is>
      </c>
      <c r="E8990" t="inlineStr">
        <is>
          <t>ÖRNSKÖLDSVIK</t>
        </is>
      </c>
      <c r="G8990" t="n">
        <v>2.1</v>
      </c>
      <c r="H8990" t="n">
        <v>0</v>
      </c>
      <c r="I8990" t="n">
        <v>0</v>
      </c>
      <c r="J8990" t="n">
        <v>0</v>
      </c>
      <c r="K8990" t="n">
        <v>0</v>
      </c>
      <c r="L8990" t="n">
        <v>0</v>
      </c>
      <c r="M8990" t="n">
        <v>0</v>
      </c>
      <c r="N8990" t="n">
        <v>0</v>
      </c>
      <c r="O8990" t="n">
        <v>0</v>
      </c>
      <c r="P8990" t="n">
        <v>0</v>
      </c>
      <c r="Q8990" t="n">
        <v>0</v>
      </c>
      <c r="R8990" s="2" t="inlineStr"/>
    </row>
    <row r="8991" ht="15" customHeight="1">
      <c r="A8991" t="inlineStr">
        <is>
          <t>A 1333-2023</t>
        </is>
      </c>
      <c r="B8991" s="1" t="n">
        <v>44936</v>
      </c>
      <c r="C8991" s="1" t="n">
        <v>46093</v>
      </c>
      <c r="D8991" t="inlineStr">
        <is>
          <t>VÄSTERNORRLANDS LÄN</t>
        </is>
      </c>
      <c r="E8991" t="inlineStr">
        <is>
          <t>ÖRNSKÖLDSVIK</t>
        </is>
      </c>
      <c r="F8991" t="inlineStr">
        <is>
          <t>Holmen skog AB</t>
        </is>
      </c>
      <c r="G8991" t="n">
        <v>1.6</v>
      </c>
      <c r="H8991" t="n">
        <v>0</v>
      </c>
      <c r="I8991" t="n">
        <v>0</v>
      </c>
      <c r="J8991" t="n">
        <v>0</v>
      </c>
      <c r="K8991" t="n">
        <v>0</v>
      </c>
      <c r="L8991" t="n">
        <v>0</v>
      </c>
      <c r="M8991" t="n">
        <v>0</v>
      </c>
      <c r="N8991" t="n">
        <v>0</v>
      </c>
      <c r="O8991" t="n">
        <v>0</v>
      </c>
      <c r="P8991" t="n">
        <v>0</v>
      </c>
      <c r="Q8991" t="n">
        <v>0</v>
      </c>
      <c r="R8991" s="2" t="inlineStr"/>
    </row>
    <row r="8992" ht="15" customHeight="1">
      <c r="A8992" t="inlineStr">
        <is>
          <t>A 1769-2023</t>
        </is>
      </c>
      <c r="B8992" s="1" t="n">
        <v>44938.58025462963</v>
      </c>
      <c r="C8992" s="1" t="n">
        <v>46093</v>
      </c>
      <c r="D8992" t="inlineStr">
        <is>
          <t>VÄSTERNORRLANDS LÄN</t>
        </is>
      </c>
      <c r="E8992" t="inlineStr">
        <is>
          <t>ÅNGE</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1775-2023</t>
        </is>
      </c>
      <c r="B8993" s="1" t="n">
        <v>44938</v>
      </c>
      <c r="C8993" s="1" t="n">
        <v>46093</v>
      </c>
      <c r="D8993" t="inlineStr">
        <is>
          <t>VÄSTERNORRLANDS LÄN</t>
        </is>
      </c>
      <c r="E8993" t="inlineStr">
        <is>
          <t>ÅNGE</t>
        </is>
      </c>
      <c r="G8993" t="n">
        <v>1.4</v>
      </c>
      <c r="H8993" t="n">
        <v>0</v>
      </c>
      <c r="I8993" t="n">
        <v>0</v>
      </c>
      <c r="J8993" t="n">
        <v>0</v>
      </c>
      <c r="K8993" t="n">
        <v>0</v>
      </c>
      <c r="L8993" t="n">
        <v>0</v>
      </c>
      <c r="M8993" t="n">
        <v>0</v>
      </c>
      <c r="N8993" t="n">
        <v>0</v>
      </c>
      <c r="O8993" t="n">
        <v>0</v>
      </c>
      <c r="P8993" t="n">
        <v>0</v>
      </c>
      <c r="Q8993" t="n">
        <v>0</v>
      </c>
      <c r="R8993" s="2" t="inlineStr"/>
    </row>
    <row r="8994" ht="15" customHeight="1">
      <c r="A8994" t="inlineStr">
        <is>
          <t>A 41435-2024</t>
        </is>
      </c>
      <c r="B8994" s="1" t="n">
        <v>45560</v>
      </c>
      <c r="C8994" s="1" t="n">
        <v>46093</v>
      </c>
      <c r="D8994" t="inlineStr">
        <is>
          <t>VÄSTERNORRLANDS LÄN</t>
        </is>
      </c>
      <c r="E8994" t="inlineStr">
        <is>
          <t>ÖRNSKÖLDSVIK</t>
        </is>
      </c>
      <c r="G8994" t="n">
        <v>1.8</v>
      </c>
      <c r="H8994" t="n">
        <v>0</v>
      </c>
      <c r="I8994" t="n">
        <v>0</v>
      </c>
      <c r="J8994" t="n">
        <v>0</v>
      </c>
      <c r="K8994" t="n">
        <v>0</v>
      </c>
      <c r="L8994" t="n">
        <v>0</v>
      </c>
      <c r="M8994" t="n">
        <v>0</v>
      </c>
      <c r="N8994" t="n">
        <v>0</v>
      </c>
      <c r="O8994" t="n">
        <v>0</v>
      </c>
      <c r="P8994" t="n">
        <v>0</v>
      </c>
      <c r="Q8994" t="n">
        <v>0</v>
      </c>
      <c r="R8994" s="2" t="inlineStr"/>
    </row>
    <row r="8995" ht="15" customHeight="1">
      <c r="A8995" t="inlineStr">
        <is>
          <t>A 10878-2024</t>
        </is>
      </c>
      <c r="B8995" s="1" t="n">
        <v>45370</v>
      </c>
      <c r="C8995" s="1" t="n">
        <v>46093</v>
      </c>
      <c r="D8995" t="inlineStr">
        <is>
          <t>VÄSTERNORRLANDS LÄN</t>
        </is>
      </c>
      <c r="E8995" t="inlineStr">
        <is>
          <t>ÅNGE</t>
        </is>
      </c>
      <c r="F8995" t="inlineStr">
        <is>
          <t>SCA</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20102-2025</t>
        </is>
      </c>
      <c r="B8996" s="1" t="n">
        <v>45772.46934027778</v>
      </c>
      <c r="C8996" s="1" t="n">
        <v>46093</v>
      </c>
      <c r="D8996" t="inlineStr">
        <is>
          <t>VÄSTERNORRLANDS LÄN</t>
        </is>
      </c>
      <c r="E8996" t="inlineStr">
        <is>
          <t>SUNDSVALL</t>
        </is>
      </c>
      <c r="F8996" t="inlineStr">
        <is>
          <t>Naturvårdsverket</t>
        </is>
      </c>
      <c r="G8996" t="n">
        <v>4.9</v>
      </c>
      <c r="H8996" t="n">
        <v>0</v>
      </c>
      <c r="I8996" t="n">
        <v>0</v>
      </c>
      <c r="J8996" t="n">
        <v>0</v>
      </c>
      <c r="K8996" t="n">
        <v>0</v>
      </c>
      <c r="L8996" t="n">
        <v>0</v>
      </c>
      <c r="M8996" t="n">
        <v>0</v>
      </c>
      <c r="N8996" t="n">
        <v>0</v>
      </c>
      <c r="O8996" t="n">
        <v>0</v>
      </c>
      <c r="P8996" t="n">
        <v>0</v>
      </c>
      <c r="Q8996" t="n">
        <v>0</v>
      </c>
      <c r="R8996" s="2" t="inlineStr"/>
    </row>
    <row r="8997" ht="15" customHeight="1">
      <c r="A8997" t="inlineStr">
        <is>
          <t>A 60296-2025</t>
        </is>
      </c>
      <c r="B8997" s="1" t="n">
        <v>45994.6568287037</v>
      </c>
      <c r="C8997" s="1" t="n">
        <v>46093</v>
      </c>
      <c r="D8997" t="inlineStr">
        <is>
          <t>VÄSTERNORRLANDS LÄN</t>
        </is>
      </c>
      <c r="E8997" t="inlineStr">
        <is>
          <t>ÅNGE</t>
        </is>
      </c>
      <c r="G8997" t="n">
        <v>0.4</v>
      </c>
      <c r="H8997" t="n">
        <v>0</v>
      </c>
      <c r="I8997" t="n">
        <v>0</v>
      </c>
      <c r="J8997" t="n">
        <v>0</v>
      </c>
      <c r="K8997" t="n">
        <v>0</v>
      </c>
      <c r="L8997" t="n">
        <v>0</v>
      </c>
      <c r="M8997" t="n">
        <v>0</v>
      </c>
      <c r="N8997" t="n">
        <v>0</v>
      </c>
      <c r="O8997" t="n">
        <v>0</v>
      </c>
      <c r="P8997" t="n">
        <v>0</v>
      </c>
      <c r="Q8997" t="n">
        <v>0</v>
      </c>
      <c r="R8997" s="2" t="inlineStr"/>
    </row>
    <row r="8998" ht="15" customHeight="1">
      <c r="A8998" t="inlineStr">
        <is>
          <t>A 29063-2023</t>
        </is>
      </c>
      <c r="B8998" s="1" t="n">
        <v>45104.94068287037</v>
      </c>
      <c r="C8998" s="1" t="n">
        <v>46093</v>
      </c>
      <c r="D8998" t="inlineStr">
        <is>
          <t>VÄSTERNORRLANDS LÄN</t>
        </is>
      </c>
      <c r="E8998" t="inlineStr">
        <is>
          <t>ÅNGE</t>
        </is>
      </c>
      <c r="F8998" t="inlineStr">
        <is>
          <t>SCA</t>
        </is>
      </c>
      <c r="G8998" t="n">
        <v>2.1</v>
      </c>
      <c r="H8998" t="n">
        <v>0</v>
      </c>
      <c r="I8998" t="n">
        <v>0</v>
      </c>
      <c r="J8998" t="n">
        <v>0</v>
      </c>
      <c r="K8998" t="n">
        <v>0</v>
      </c>
      <c r="L8998" t="n">
        <v>0</v>
      </c>
      <c r="M8998" t="n">
        <v>0</v>
      </c>
      <c r="N8998" t="n">
        <v>0</v>
      </c>
      <c r="O8998" t="n">
        <v>0</v>
      </c>
      <c r="P8998" t="n">
        <v>0</v>
      </c>
      <c r="Q8998" t="n">
        <v>0</v>
      </c>
      <c r="R8998" s="2" t="inlineStr"/>
    </row>
    <row r="8999" ht="15" customHeight="1">
      <c r="A8999" t="inlineStr">
        <is>
          <t>A 29070-2023</t>
        </is>
      </c>
      <c r="B8999" s="1" t="n">
        <v>45104.94119212963</v>
      </c>
      <c r="C8999" s="1" t="n">
        <v>46093</v>
      </c>
      <c r="D8999" t="inlineStr">
        <is>
          <t>VÄSTERNORRLANDS LÄN</t>
        </is>
      </c>
      <c r="E8999" t="inlineStr">
        <is>
          <t>SOLLEFTEÅ</t>
        </is>
      </c>
      <c r="F8999" t="inlineStr">
        <is>
          <t>SCA</t>
        </is>
      </c>
      <c r="G8999" t="n">
        <v>1.9</v>
      </c>
      <c r="H8999" t="n">
        <v>0</v>
      </c>
      <c r="I8999" t="n">
        <v>0</v>
      </c>
      <c r="J8999" t="n">
        <v>0</v>
      </c>
      <c r="K8999" t="n">
        <v>0</v>
      </c>
      <c r="L8999" t="n">
        <v>0</v>
      </c>
      <c r="M8999" t="n">
        <v>0</v>
      </c>
      <c r="N8999" t="n">
        <v>0</v>
      </c>
      <c r="O8999" t="n">
        <v>0</v>
      </c>
      <c r="P8999" t="n">
        <v>0</v>
      </c>
      <c r="Q8999" t="n">
        <v>0</v>
      </c>
      <c r="R8999" s="2" t="inlineStr"/>
    </row>
    <row r="9000" ht="15" customHeight="1">
      <c r="A9000" t="inlineStr">
        <is>
          <t>A 19066-2024</t>
        </is>
      </c>
      <c r="B9000" s="1" t="n">
        <v>45427</v>
      </c>
      <c r="C9000" s="1" t="n">
        <v>46093</v>
      </c>
      <c r="D9000" t="inlineStr">
        <is>
          <t>VÄSTERNORRLANDS LÄN</t>
        </is>
      </c>
      <c r="E9000" t="inlineStr">
        <is>
          <t>ÅNGE</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55878-2022</t>
        </is>
      </c>
      <c r="B9001" s="1" t="n">
        <v>44888</v>
      </c>
      <c r="C9001" s="1" t="n">
        <v>46093</v>
      </c>
      <c r="D9001" t="inlineStr">
        <is>
          <t>VÄSTERNORRLANDS LÄN</t>
        </is>
      </c>
      <c r="E9001" t="inlineStr">
        <is>
          <t>SUNDSVALL</t>
        </is>
      </c>
      <c r="G9001" t="n">
        <v>0.8</v>
      </c>
      <c r="H9001" t="n">
        <v>0</v>
      </c>
      <c r="I9001" t="n">
        <v>0</v>
      </c>
      <c r="J9001" t="n">
        <v>0</v>
      </c>
      <c r="K9001" t="n">
        <v>0</v>
      </c>
      <c r="L9001" t="n">
        <v>0</v>
      </c>
      <c r="M9001" t="n">
        <v>0</v>
      </c>
      <c r="N9001" t="n">
        <v>0</v>
      </c>
      <c r="O9001" t="n">
        <v>0</v>
      </c>
      <c r="P9001" t="n">
        <v>0</v>
      </c>
      <c r="Q9001" t="n">
        <v>0</v>
      </c>
      <c r="R9001" s="2" t="inlineStr"/>
    </row>
    <row r="9002" ht="15" customHeight="1">
      <c r="A9002" t="inlineStr">
        <is>
          <t>A 55890-2022</t>
        </is>
      </c>
      <c r="B9002" s="1" t="n">
        <v>44888</v>
      </c>
      <c r="C9002" s="1" t="n">
        <v>46093</v>
      </c>
      <c r="D9002" t="inlineStr">
        <is>
          <t>VÄSTERNORRLANDS LÄN</t>
        </is>
      </c>
      <c r="E9002" t="inlineStr">
        <is>
          <t>SUNDSVALL</t>
        </is>
      </c>
      <c r="G9002" t="n">
        <v>5.3</v>
      </c>
      <c r="H9002" t="n">
        <v>0</v>
      </c>
      <c r="I9002" t="n">
        <v>0</v>
      </c>
      <c r="J9002" t="n">
        <v>0</v>
      </c>
      <c r="K9002" t="n">
        <v>0</v>
      </c>
      <c r="L9002" t="n">
        <v>0</v>
      </c>
      <c r="M9002" t="n">
        <v>0</v>
      </c>
      <c r="N9002" t="n">
        <v>0</v>
      </c>
      <c r="O9002" t="n">
        <v>0</v>
      </c>
      <c r="P9002" t="n">
        <v>0</v>
      </c>
      <c r="Q9002" t="n">
        <v>0</v>
      </c>
      <c r="R9002" s="2" t="inlineStr"/>
    </row>
    <row r="9003" ht="15" customHeight="1">
      <c r="A9003" t="inlineStr">
        <is>
          <t>A 60582-2025</t>
        </is>
      </c>
      <c r="B9003" s="1" t="n">
        <v>45994</v>
      </c>
      <c r="C9003" s="1" t="n">
        <v>46093</v>
      </c>
      <c r="D9003" t="inlineStr">
        <is>
          <t>VÄSTERNORRLANDS LÄN</t>
        </is>
      </c>
      <c r="E9003" t="inlineStr">
        <is>
          <t>ÅNGE</t>
        </is>
      </c>
      <c r="G9003" t="n">
        <v>2.6</v>
      </c>
      <c r="H9003" t="n">
        <v>0</v>
      </c>
      <c r="I9003" t="n">
        <v>0</v>
      </c>
      <c r="J9003" t="n">
        <v>0</v>
      </c>
      <c r="K9003" t="n">
        <v>0</v>
      </c>
      <c r="L9003" t="n">
        <v>0</v>
      </c>
      <c r="M9003" t="n">
        <v>0</v>
      </c>
      <c r="N9003" t="n">
        <v>0</v>
      </c>
      <c r="O9003" t="n">
        <v>0</v>
      </c>
      <c r="P9003" t="n">
        <v>0</v>
      </c>
      <c r="Q9003" t="n">
        <v>0</v>
      </c>
      <c r="R9003" s="2" t="inlineStr"/>
    </row>
    <row r="9004" ht="15" customHeight="1">
      <c r="A9004" t="inlineStr">
        <is>
          <t>A 60599-2025</t>
        </is>
      </c>
      <c r="B9004" s="1" t="n">
        <v>45994</v>
      </c>
      <c r="C9004" s="1" t="n">
        <v>46093</v>
      </c>
      <c r="D9004" t="inlineStr">
        <is>
          <t>VÄSTERNORRLANDS LÄN</t>
        </is>
      </c>
      <c r="E9004" t="inlineStr">
        <is>
          <t>ÅNGE</t>
        </is>
      </c>
      <c r="G9004" t="n">
        <v>5</v>
      </c>
      <c r="H9004" t="n">
        <v>0</v>
      </c>
      <c r="I9004" t="n">
        <v>0</v>
      </c>
      <c r="J9004" t="n">
        <v>0</v>
      </c>
      <c r="K9004" t="n">
        <v>0</v>
      </c>
      <c r="L9004" t="n">
        <v>0</v>
      </c>
      <c r="M9004" t="n">
        <v>0</v>
      </c>
      <c r="N9004" t="n">
        <v>0</v>
      </c>
      <c r="O9004" t="n">
        <v>0</v>
      </c>
      <c r="P9004" t="n">
        <v>0</v>
      </c>
      <c r="Q9004" t="n">
        <v>0</v>
      </c>
      <c r="R9004" s="2" t="inlineStr"/>
    </row>
    <row r="9005" ht="15" customHeight="1">
      <c r="A9005" t="inlineStr">
        <is>
          <t>A 3197-2024</t>
        </is>
      </c>
      <c r="B9005" s="1" t="n">
        <v>45316</v>
      </c>
      <c r="C9005" s="1" t="n">
        <v>46093</v>
      </c>
      <c r="D9005" t="inlineStr">
        <is>
          <t>VÄSTERNORRLANDS LÄN</t>
        </is>
      </c>
      <c r="E9005" t="inlineStr">
        <is>
          <t>SUNDSVALL</t>
        </is>
      </c>
      <c r="G9005" t="n">
        <v>5</v>
      </c>
      <c r="H9005" t="n">
        <v>0</v>
      </c>
      <c r="I9005" t="n">
        <v>0</v>
      </c>
      <c r="J9005" t="n">
        <v>0</v>
      </c>
      <c r="K9005" t="n">
        <v>0</v>
      </c>
      <c r="L9005" t="n">
        <v>0</v>
      </c>
      <c r="M9005" t="n">
        <v>0</v>
      </c>
      <c r="N9005" t="n">
        <v>0</v>
      </c>
      <c r="O9005" t="n">
        <v>0</v>
      </c>
      <c r="P9005" t="n">
        <v>0</v>
      </c>
      <c r="Q9005" t="n">
        <v>0</v>
      </c>
      <c r="R9005" s="2" t="inlineStr"/>
    </row>
    <row r="9006" ht="15" customHeight="1">
      <c r="A9006" t="inlineStr">
        <is>
          <t>A 29184-2023</t>
        </is>
      </c>
      <c r="B9006" s="1" t="n">
        <v>45105.53993055555</v>
      </c>
      <c r="C9006" s="1" t="n">
        <v>46093</v>
      </c>
      <c r="D9006" t="inlineStr">
        <is>
          <t>VÄSTERNORRLANDS LÄN</t>
        </is>
      </c>
      <c r="E9006" t="inlineStr">
        <is>
          <t>ÖRNSKÖLDSVIK</t>
        </is>
      </c>
      <c r="F9006" t="inlineStr">
        <is>
          <t>Holmen skog AB</t>
        </is>
      </c>
      <c r="G9006" t="n">
        <v>0.6</v>
      </c>
      <c r="H9006" t="n">
        <v>0</v>
      </c>
      <c r="I9006" t="n">
        <v>0</v>
      </c>
      <c r="J9006" t="n">
        <v>0</v>
      </c>
      <c r="K9006" t="n">
        <v>0</v>
      </c>
      <c r="L9006" t="n">
        <v>0</v>
      </c>
      <c r="M9006" t="n">
        <v>0</v>
      </c>
      <c r="N9006" t="n">
        <v>0</v>
      </c>
      <c r="O9006" t="n">
        <v>0</v>
      </c>
      <c r="P9006" t="n">
        <v>0</v>
      </c>
      <c r="Q9006" t="n">
        <v>0</v>
      </c>
      <c r="R9006" s="2" t="inlineStr"/>
    </row>
    <row r="9007" ht="15" customHeight="1">
      <c r="A9007" t="inlineStr">
        <is>
          <t>A 45627-2024</t>
        </is>
      </c>
      <c r="B9007" s="1" t="n">
        <v>45579</v>
      </c>
      <c r="C9007" s="1" t="n">
        <v>46093</v>
      </c>
      <c r="D9007" t="inlineStr">
        <is>
          <t>VÄSTERNORRLANDS LÄN</t>
        </is>
      </c>
      <c r="E9007" t="inlineStr">
        <is>
          <t>TIMRÅ</t>
        </is>
      </c>
      <c r="F9007" t="inlineStr">
        <is>
          <t>SCA</t>
        </is>
      </c>
      <c r="G9007" t="n">
        <v>0.8</v>
      </c>
      <c r="H9007" t="n">
        <v>0</v>
      </c>
      <c r="I9007" t="n">
        <v>0</v>
      </c>
      <c r="J9007" t="n">
        <v>0</v>
      </c>
      <c r="K9007" t="n">
        <v>0</v>
      </c>
      <c r="L9007" t="n">
        <v>0</v>
      </c>
      <c r="M9007" t="n">
        <v>0</v>
      </c>
      <c r="N9007" t="n">
        <v>0</v>
      </c>
      <c r="O9007" t="n">
        <v>0</v>
      </c>
      <c r="P9007" t="n">
        <v>0</v>
      </c>
      <c r="Q9007" t="n">
        <v>0</v>
      </c>
      <c r="R9007" s="2" t="inlineStr"/>
    </row>
    <row r="9008" ht="15" customHeight="1">
      <c r="A9008" t="inlineStr">
        <is>
          <t>A 60250-2025</t>
        </is>
      </c>
      <c r="B9008" s="1" t="n">
        <v>45994.59465277778</v>
      </c>
      <c r="C9008" s="1" t="n">
        <v>46093</v>
      </c>
      <c r="D9008" t="inlineStr">
        <is>
          <t>VÄSTERNORRLANDS LÄN</t>
        </is>
      </c>
      <c r="E9008" t="inlineStr">
        <is>
          <t>SUNDSVALL</t>
        </is>
      </c>
      <c r="F9008" t="inlineStr">
        <is>
          <t>SCA</t>
        </is>
      </c>
      <c r="G9008" t="n">
        <v>1.2</v>
      </c>
      <c r="H9008" t="n">
        <v>0</v>
      </c>
      <c r="I9008" t="n">
        <v>0</v>
      </c>
      <c r="J9008" t="n">
        <v>0</v>
      </c>
      <c r="K9008" t="n">
        <v>0</v>
      </c>
      <c r="L9008" t="n">
        <v>0</v>
      </c>
      <c r="M9008" t="n">
        <v>0</v>
      </c>
      <c r="N9008" t="n">
        <v>0</v>
      </c>
      <c r="O9008" t="n">
        <v>0</v>
      </c>
      <c r="P9008" t="n">
        <v>0</v>
      </c>
      <c r="Q9008" t="n">
        <v>0</v>
      </c>
      <c r="R9008" s="2" t="inlineStr"/>
    </row>
    <row r="9009" ht="15" customHeight="1">
      <c r="A9009" t="inlineStr">
        <is>
          <t>A 60257-2025</t>
        </is>
      </c>
      <c r="B9009" s="1" t="n">
        <v>45994.60502314815</v>
      </c>
      <c r="C9009" s="1" t="n">
        <v>46093</v>
      </c>
      <c r="D9009" t="inlineStr">
        <is>
          <t>VÄSTERNORRLANDS LÄN</t>
        </is>
      </c>
      <c r="E9009" t="inlineStr">
        <is>
          <t>ÖRNSKÖLDSVIK</t>
        </is>
      </c>
      <c r="G9009" t="n">
        <v>1.1</v>
      </c>
      <c r="H9009" t="n">
        <v>0</v>
      </c>
      <c r="I9009" t="n">
        <v>0</v>
      </c>
      <c r="J9009" t="n">
        <v>0</v>
      </c>
      <c r="K9009" t="n">
        <v>0</v>
      </c>
      <c r="L9009" t="n">
        <v>0</v>
      </c>
      <c r="M9009" t="n">
        <v>0</v>
      </c>
      <c r="N9009" t="n">
        <v>0</v>
      </c>
      <c r="O9009" t="n">
        <v>0</v>
      </c>
      <c r="P9009" t="n">
        <v>0</v>
      </c>
      <c r="Q9009" t="n">
        <v>0</v>
      </c>
      <c r="R9009" s="2" t="inlineStr"/>
    </row>
    <row r="9010" ht="15" customHeight="1">
      <c r="A9010" t="inlineStr">
        <is>
          <t>A 46623-2024</t>
        </is>
      </c>
      <c r="B9010" s="1" t="n">
        <v>45583.32759259259</v>
      </c>
      <c r="C9010" s="1" t="n">
        <v>46093</v>
      </c>
      <c r="D9010" t="inlineStr">
        <is>
          <t>VÄSTERNORRLANDS LÄN</t>
        </is>
      </c>
      <c r="E9010" t="inlineStr">
        <is>
          <t>ÖRNSKÖLDSVIK</t>
        </is>
      </c>
      <c r="G9010" t="n">
        <v>7.4</v>
      </c>
      <c r="H9010" t="n">
        <v>0</v>
      </c>
      <c r="I9010" t="n">
        <v>0</v>
      </c>
      <c r="J9010" t="n">
        <v>0</v>
      </c>
      <c r="K9010" t="n">
        <v>0</v>
      </c>
      <c r="L9010" t="n">
        <v>0</v>
      </c>
      <c r="M9010" t="n">
        <v>0</v>
      </c>
      <c r="N9010" t="n">
        <v>0</v>
      </c>
      <c r="O9010" t="n">
        <v>0</v>
      </c>
      <c r="P9010" t="n">
        <v>0</v>
      </c>
      <c r="Q9010" t="n">
        <v>0</v>
      </c>
      <c r="R9010" s="2" t="inlineStr"/>
    </row>
    <row r="9011" ht="15" customHeight="1">
      <c r="A9011" t="inlineStr">
        <is>
          <t>A 60079-2025</t>
        </is>
      </c>
      <c r="B9011" s="1" t="n">
        <v>45993.6834375</v>
      </c>
      <c r="C9011" s="1" t="n">
        <v>46093</v>
      </c>
      <c r="D9011" t="inlineStr">
        <is>
          <t>VÄSTERNORRLANDS LÄN</t>
        </is>
      </c>
      <c r="E9011" t="inlineStr">
        <is>
          <t>ÅNGE</t>
        </is>
      </c>
      <c r="G9011" t="n">
        <v>3.6</v>
      </c>
      <c r="H9011" t="n">
        <v>0</v>
      </c>
      <c r="I9011" t="n">
        <v>0</v>
      </c>
      <c r="J9011" t="n">
        <v>0</v>
      </c>
      <c r="K9011" t="n">
        <v>0</v>
      </c>
      <c r="L9011" t="n">
        <v>0</v>
      </c>
      <c r="M9011" t="n">
        <v>0</v>
      </c>
      <c r="N9011" t="n">
        <v>0</v>
      </c>
      <c r="O9011" t="n">
        <v>0</v>
      </c>
      <c r="P9011" t="n">
        <v>0</v>
      </c>
      <c r="Q9011" t="n">
        <v>0</v>
      </c>
      <c r="R9011" s="2" t="inlineStr"/>
    </row>
    <row r="9012" ht="15" customHeight="1">
      <c r="A9012" t="inlineStr">
        <is>
          <t>A 63727-2023</t>
        </is>
      </c>
      <c r="B9012" s="1" t="n">
        <v>45276.62925925926</v>
      </c>
      <c r="C9012" s="1" t="n">
        <v>46093</v>
      </c>
      <c r="D9012" t="inlineStr">
        <is>
          <t>VÄSTERNORRLANDS LÄN</t>
        </is>
      </c>
      <c r="E9012" t="inlineStr">
        <is>
          <t>ÖRNSKÖLDSVIK</t>
        </is>
      </c>
      <c r="F9012" t="inlineStr">
        <is>
          <t>Övriga Aktiebolag</t>
        </is>
      </c>
      <c r="G9012" t="n">
        <v>2.2</v>
      </c>
      <c r="H9012" t="n">
        <v>0</v>
      </c>
      <c r="I9012" t="n">
        <v>0</v>
      </c>
      <c r="J9012" t="n">
        <v>0</v>
      </c>
      <c r="K9012" t="n">
        <v>0</v>
      </c>
      <c r="L9012" t="n">
        <v>0</v>
      </c>
      <c r="M9012" t="n">
        <v>0</v>
      </c>
      <c r="N9012" t="n">
        <v>0</v>
      </c>
      <c r="O9012" t="n">
        <v>0</v>
      </c>
      <c r="P9012" t="n">
        <v>0</v>
      </c>
      <c r="Q9012" t="n">
        <v>0</v>
      </c>
      <c r="R9012" s="2" t="inlineStr"/>
    </row>
    <row r="9013" ht="15" customHeight="1">
      <c r="A9013" t="inlineStr">
        <is>
          <t>A 63728-2023</t>
        </is>
      </c>
      <c r="B9013" s="1" t="n">
        <v>45276.64795138889</v>
      </c>
      <c r="C9013" s="1" t="n">
        <v>46093</v>
      </c>
      <c r="D9013" t="inlineStr">
        <is>
          <t>VÄSTERNORRLANDS LÄN</t>
        </is>
      </c>
      <c r="E9013" t="inlineStr">
        <is>
          <t>ÖRNSKÖLDSVIK</t>
        </is>
      </c>
      <c r="F9013" t="inlineStr">
        <is>
          <t>Övriga Aktiebolag</t>
        </is>
      </c>
      <c r="G9013" t="n">
        <v>4.8</v>
      </c>
      <c r="H9013" t="n">
        <v>0</v>
      </c>
      <c r="I9013" t="n">
        <v>0</v>
      </c>
      <c r="J9013" t="n">
        <v>0</v>
      </c>
      <c r="K9013" t="n">
        <v>0</v>
      </c>
      <c r="L9013" t="n">
        <v>0</v>
      </c>
      <c r="M9013" t="n">
        <v>0</v>
      </c>
      <c r="N9013" t="n">
        <v>0</v>
      </c>
      <c r="O9013" t="n">
        <v>0</v>
      </c>
      <c r="P9013" t="n">
        <v>0</v>
      </c>
      <c r="Q9013" t="n">
        <v>0</v>
      </c>
      <c r="R9013" s="2" t="inlineStr"/>
    </row>
    <row r="9014" ht="15" customHeight="1">
      <c r="A9014" t="inlineStr">
        <is>
          <t>A 60590-2025</t>
        </is>
      </c>
      <c r="B9014" s="1" t="n">
        <v>45994</v>
      </c>
      <c r="C9014" s="1" t="n">
        <v>46093</v>
      </c>
      <c r="D9014" t="inlineStr">
        <is>
          <t>VÄSTERNORRLANDS LÄN</t>
        </is>
      </c>
      <c r="E9014" t="inlineStr">
        <is>
          <t>ÅNGE</t>
        </is>
      </c>
      <c r="G9014" t="n">
        <v>1</v>
      </c>
      <c r="H9014" t="n">
        <v>0</v>
      </c>
      <c r="I9014" t="n">
        <v>0</v>
      </c>
      <c r="J9014" t="n">
        <v>0</v>
      </c>
      <c r="K9014" t="n">
        <v>0</v>
      </c>
      <c r="L9014" t="n">
        <v>0</v>
      </c>
      <c r="M9014" t="n">
        <v>0</v>
      </c>
      <c r="N9014" t="n">
        <v>0</v>
      </c>
      <c r="O9014" t="n">
        <v>0</v>
      </c>
      <c r="P9014" t="n">
        <v>0</v>
      </c>
      <c r="Q9014" t="n">
        <v>0</v>
      </c>
      <c r="R9014" s="2" t="inlineStr"/>
    </row>
    <row r="9015" ht="15" customHeight="1">
      <c r="A9015" t="inlineStr">
        <is>
          <t>A 59999-2025</t>
        </is>
      </c>
      <c r="B9015" s="1" t="n">
        <v>45993.57372685185</v>
      </c>
      <c r="C9015" s="1" t="n">
        <v>46093</v>
      </c>
      <c r="D9015" t="inlineStr">
        <is>
          <t>VÄSTERNORRLANDS LÄN</t>
        </is>
      </c>
      <c r="E9015" t="inlineStr">
        <is>
          <t>SOLLEFTEÅ</t>
        </is>
      </c>
      <c r="F9015" t="inlineStr">
        <is>
          <t>SCA</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51609-2023</t>
        </is>
      </c>
      <c r="B9016" s="1" t="n">
        <v>45215</v>
      </c>
      <c r="C9016" s="1" t="n">
        <v>46093</v>
      </c>
      <c r="D9016" t="inlineStr">
        <is>
          <t>VÄSTERNORRLANDS LÄN</t>
        </is>
      </c>
      <c r="E9016" t="inlineStr">
        <is>
          <t>ÅNGE</t>
        </is>
      </c>
      <c r="F9016" t="inlineStr">
        <is>
          <t>SCA</t>
        </is>
      </c>
      <c r="G9016" t="n">
        <v>1.2</v>
      </c>
      <c r="H9016" t="n">
        <v>0</v>
      </c>
      <c r="I9016" t="n">
        <v>0</v>
      </c>
      <c r="J9016" t="n">
        <v>0</v>
      </c>
      <c r="K9016" t="n">
        <v>0</v>
      </c>
      <c r="L9016" t="n">
        <v>0</v>
      </c>
      <c r="M9016" t="n">
        <v>0</v>
      </c>
      <c r="N9016" t="n">
        <v>0</v>
      </c>
      <c r="O9016" t="n">
        <v>0</v>
      </c>
      <c r="P9016" t="n">
        <v>0</v>
      </c>
      <c r="Q9016" t="n">
        <v>0</v>
      </c>
      <c r="R9016" s="2" t="inlineStr"/>
    </row>
    <row r="9017" ht="15" customHeight="1">
      <c r="A9017" t="inlineStr">
        <is>
          <t>A 60267-2025</t>
        </is>
      </c>
      <c r="B9017" s="1" t="n">
        <v>45994.61858796296</v>
      </c>
      <c r="C9017" s="1" t="n">
        <v>46093</v>
      </c>
      <c r="D9017" t="inlineStr">
        <is>
          <t>VÄSTERNORRLANDS LÄN</t>
        </is>
      </c>
      <c r="E9017" t="inlineStr">
        <is>
          <t>SUNDSVALL</t>
        </is>
      </c>
      <c r="G9017" t="n">
        <v>12.1</v>
      </c>
      <c r="H9017" t="n">
        <v>0</v>
      </c>
      <c r="I9017" t="n">
        <v>0</v>
      </c>
      <c r="J9017" t="n">
        <v>0</v>
      </c>
      <c r="K9017" t="n">
        <v>0</v>
      </c>
      <c r="L9017" t="n">
        <v>0</v>
      </c>
      <c r="M9017" t="n">
        <v>0</v>
      </c>
      <c r="N9017" t="n">
        <v>0</v>
      </c>
      <c r="O9017" t="n">
        <v>0</v>
      </c>
      <c r="P9017" t="n">
        <v>0</v>
      </c>
      <c r="Q9017" t="n">
        <v>0</v>
      </c>
      <c r="R9017" s="2" t="inlineStr"/>
    </row>
    <row r="9018" ht="15" customHeight="1">
      <c r="A9018" t="inlineStr">
        <is>
          <t>A 53970-2021</t>
        </is>
      </c>
      <c r="B9018" s="1" t="n">
        <v>44469</v>
      </c>
      <c r="C9018" s="1" t="n">
        <v>46093</v>
      </c>
      <c r="D9018" t="inlineStr">
        <is>
          <t>VÄSTERNORRLANDS LÄN</t>
        </is>
      </c>
      <c r="E9018" t="inlineStr">
        <is>
          <t>ÅNGE</t>
        </is>
      </c>
      <c r="G9018" t="n">
        <v>3.4</v>
      </c>
      <c r="H9018" t="n">
        <v>0</v>
      </c>
      <c r="I9018" t="n">
        <v>0</v>
      </c>
      <c r="J9018" t="n">
        <v>0</v>
      </c>
      <c r="K9018" t="n">
        <v>0</v>
      </c>
      <c r="L9018" t="n">
        <v>0</v>
      </c>
      <c r="M9018" t="n">
        <v>0</v>
      </c>
      <c r="N9018" t="n">
        <v>0</v>
      </c>
      <c r="O9018" t="n">
        <v>0</v>
      </c>
      <c r="P9018" t="n">
        <v>0</v>
      </c>
      <c r="Q9018" t="n">
        <v>0</v>
      </c>
      <c r="R9018" s="2" t="inlineStr"/>
    </row>
    <row r="9019" ht="15" customHeight="1">
      <c r="A9019" t="inlineStr">
        <is>
          <t>A 60277-2025</t>
        </is>
      </c>
      <c r="B9019" s="1" t="n">
        <v>45994.63581018519</v>
      </c>
      <c r="C9019" s="1" t="n">
        <v>46093</v>
      </c>
      <c r="D9019" t="inlineStr">
        <is>
          <t>VÄSTERNORRLANDS LÄN</t>
        </is>
      </c>
      <c r="E9019" t="inlineStr">
        <is>
          <t>SUNDSVALL</t>
        </is>
      </c>
      <c r="F9019" t="inlineStr">
        <is>
          <t>SCA</t>
        </is>
      </c>
      <c r="G9019" t="n">
        <v>13.2</v>
      </c>
      <c r="H9019" t="n">
        <v>0</v>
      </c>
      <c r="I9019" t="n">
        <v>0</v>
      </c>
      <c r="J9019" t="n">
        <v>0</v>
      </c>
      <c r="K9019" t="n">
        <v>0</v>
      </c>
      <c r="L9019" t="n">
        <v>0</v>
      </c>
      <c r="M9019" t="n">
        <v>0</v>
      </c>
      <c r="N9019" t="n">
        <v>0</v>
      </c>
      <c r="O9019" t="n">
        <v>0</v>
      </c>
      <c r="P9019" t="n">
        <v>0</v>
      </c>
      <c r="Q9019" t="n">
        <v>0</v>
      </c>
      <c r="R9019" s="2" t="inlineStr"/>
    </row>
    <row r="9020" ht="15" customHeight="1">
      <c r="A9020" t="inlineStr">
        <is>
          <t>A 60303-2025</t>
        </is>
      </c>
      <c r="B9020" s="1" t="n">
        <v>45994.67751157407</v>
      </c>
      <c r="C9020" s="1" t="n">
        <v>46093</v>
      </c>
      <c r="D9020" t="inlineStr">
        <is>
          <t>VÄSTERNORRLANDS LÄN</t>
        </is>
      </c>
      <c r="E9020" t="inlineStr">
        <is>
          <t>SUNDSVALL</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43959-2023</t>
        </is>
      </c>
      <c r="B9021" s="1" t="n">
        <v>45187.9603587963</v>
      </c>
      <c r="C9021" s="1" t="n">
        <v>46093</v>
      </c>
      <c r="D9021" t="inlineStr">
        <is>
          <t>VÄSTERNORRLANDS LÄN</t>
        </is>
      </c>
      <c r="E9021" t="inlineStr">
        <is>
          <t>TIMRÅ</t>
        </is>
      </c>
      <c r="F9021" t="inlineStr">
        <is>
          <t>SCA</t>
        </is>
      </c>
      <c r="G9021" t="n">
        <v>3.8</v>
      </c>
      <c r="H9021" t="n">
        <v>0</v>
      </c>
      <c r="I9021" t="n">
        <v>0</v>
      </c>
      <c r="J9021" t="n">
        <v>0</v>
      </c>
      <c r="K9021" t="n">
        <v>0</v>
      </c>
      <c r="L9021" t="n">
        <v>0</v>
      </c>
      <c r="M9021" t="n">
        <v>0</v>
      </c>
      <c r="N9021" t="n">
        <v>0</v>
      </c>
      <c r="O9021" t="n">
        <v>0</v>
      </c>
      <c r="P9021" t="n">
        <v>0</v>
      </c>
      <c r="Q9021" t="n">
        <v>0</v>
      </c>
      <c r="R9021" s="2" t="inlineStr"/>
    </row>
    <row r="9022" ht="15" customHeight="1">
      <c r="A9022" t="inlineStr">
        <is>
          <t>A 2415-2024</t>
        </is>
      </c>
      <c r="B9022" s="1" t="n">
        <v>45310</v>
      </c>
      <c r="C9022" s="1" t="n">
        <v>46093</v>
      </c>
      <c r="D9022" t="inlineStr">
        <is>
          <t>VÄSTERNORRLANDS LÄN</t>
        </is>
      </c>
      <c r="E9022" t="inlineStr">
        <is>
          <t>ÅNGE</t>
        </is>
      </c>
      <c r="F9022" t="inlineStr">
        <is>
          <t>Kyrkan</t>
        </is>
      </c>
      <c r="G9022" t="n">
        <v>0.2</v>
      </c>
      <c r="H9022" t="n">
        <v>0</v>
      </c>
      <c r="I9022" t="n">
        <v>0</v>
      </c>
      <c r="J9022" t="n">
        <v>0</v>
      </c>
      <c r="K9022" t="n">
        <v>0</v>
      </c>
      <c r="L9022" t="n">
        <v>0</v>
      </c>
      <c r="M9022" t="n">
        <v>0</v>
      </c>
      <c r="N9022" t="n">
        <v>0</v>
      </c>
      <c r="O9022" t="n">
        <v>0</v>
      </c>
      <c r="P9022" t="n">
        <v>0</v>
      </c>
      <c r="Q9022" t="n">
        <v>0</v>
      </c>
      <c r="R9022" s="2" t="inlineStr"/>
    </row>
    <row r="9023" ht="15" customHeight="1">
      <c r="A9023" t="inlineStr">
        <is>
          <t>A 59896-2025</t>
        </is>
      </c>
      <c r="B9023" s="1" t="n">
        <v>45993.34427083333</v>
      </c>
      <c r="C9023" s="1" t="n">
        <v>46093</v>
      </c>
      <c r="D9023" t="inlineStr">
        <is>
          <t>VÄSTERNORRLANDS LÄN</t>
        </is>
      </c>
      <c r="E9023" t="inlineStr">
        <is>
          <t>SOLLEFTEÅ</t>
        </is>
      </c>
      <c r="F9023" t="inlineStr">
        <is>
          <t>SCA</t>
        </is>
      </c>
      <c r="G9023" t="n">
        <v>16.1</v>
      </c>
      <c r="H9023" t="n">
        <v>0</v>
      </c>
      <c r="I9023" t="n">
        <v>0</v>
      </c>
      <c r="J9023" t="n">
        <v>0</v>
      </c>
      <c r="K9023" t="n">
        <v>0</v>
      </c>
      <c r="L9023" t="n">
        <v>0</v>
      </c>
      <c r="M9023" t="n">
        <v>0</v>
      </c>
      <c r="N9023" t="n">
        <v>0</v>
      </c>
      <c r="O9023" t="n">
        <v>0</v>
      </c>
      <c r="P9023" t="n">
        <v>0</v>
      </c>
      <c r="Q9023" t="n">
        <v>0</v>
      </c>
      <c r="R9023" s="2" t="inlineStr"/>
    </row>
    <row r="9024" ht="15" customHeight="1">
      <c r="A9024" t="inlineStr">
        <is>
          <t>A 8670-2024</t>
        </is>
      </c>
      <c r="B9024" s="1" t="n">
        <v>45356</v>
      </c>
      <c r="C9024" s="1" t="n">
        <v>46093</v>
      </c>
      <c r="D9024" t="inlineStr">
        <is>
          <t>VÄSTERNORRLANDS LÄN</t>
        </is>
      </c>
      <c r="E9024" t="inlineStr">
        <is>
          <t>ÖRNSKÖLDSVIK</t>
        </is>
      </c>
      <c r="F9024" t="inlineStr">
        <is>
          <t>Holmen skog AB</t>
        </is>
      </c>
      <c r="G9024" t="n">
        <v>1.2</v>
      </c>
      <c r="H9024" t="n">
        <v>0</v>
      </c>
      <c r="I9024" t="n">
        <v>0</v>
      </c>
      <c r="J9024" t="n">
        <v>0</v>
      </c>
      <c r="K9024" t="n">
        <v>0</v>
      </c>
      <c r="L9024" t="n">
        <v>0</v>
      </c>
      <c r="M9024" t="n">
        <v>0</v>
      </c>
      <c r="N9024" t="n">
        <v>0</v>
      </c>
      <c r="O9024" t="n">
        <v>0</v>
      </c>
      <c r="P9024" t="n">
        <v>0</v>
      </c>
      <c r="Q9024" t="n">
        <v>0</v>
      </c>
      <c r="R9024" s="2" t="inlineStr"/>
    </row>
    <row r="9025" ht="15" customHeight="1">
      <c r="A9025" t="inlineStr">
        <is>
          <t>A 60316-2025</t>
        </is>
      </c>
      <c r="B9025" s="1" t="n">
        <v>45993</v>
      </c>
      <c r="C9025" s="1" t="n">
        <v>46093</v>
      </c>
      <c r="D9025" t="inlineStr">
        <is>
          <t>VÄSTERNORRLANDS LÄN</t>
        </is>
      </c>
      <c r="E9025" t="inlineStr">
        <is>
          <t>SUNDSVALL</t>
        </is>
      </c>
      <c r="G9025" t="n">
        <v>2</v>
      </c>
      <c r="H9025" t="n">
        <v>0</v>
      </c>
      <c r="I9025" t="n">
        <v>0</v>
      </c>
      <c r="J9025" t="n">
        <v>0</v>
      </c>
      <c r="K9025" t="n">
        <v>0</v>
      </c>
      <c r="L9025" t="n">
        <v>0</v>
      </c>
      <c r="M9025" t="n">
        <v>0</v>
      </c>
      <c r="N9025" t="n">
        <v>0</v>
      </c>
      <c r="O9025" t="n">
        <v>0</v>
      </c>
      <c r="P9025" t="n">
        <v>0</v>
      </c>
      <c r="Q9025" t="n">
        <v>0</v>
      </c>
      <c r="R9025" s="2" t="inlineStr"/>
    </row>
    <row r="9026" ht="15" customHeight="1">
      <c r="A9026" t="inlineStr">
        <is>
          <t>A 3629-2023</t>
        </is>
      </c>
      <c r="B9026" s="1" t="n">
        <v>44950</v>
      </c>
      <c r="C9026" s="1" t="n">
        <v>46093</v>
      </c>
      <c r="D9026" t="inlineStr">
        <is>
          <t>VÄSTERNORRLANDS LÄN</t>
        </is>
      </c>
      <c r="E9026" t="inlineStr">
        <is>
          <t>ÅNGE</t>
        </is>
      </c>
      <c r="G9026" t="n">
        <v>2.5</v>
      </c>
      <c r="H9026" t="n">
        <v>0</v>
      </c>
      <c r="I9026" t="n">
        <v>0</v>
      </c>
      <c r="J9026" t="n">
        <v>0</v>
      </c>
      <c r="K9026" t="n">
        <v>0</v>
      </c>
      <c r="L9026" t="n">
        <v>0</v>
      </c>
      <c r="M9026" t="n">
        <v>0</v>
      </c>
      <c r="N9026" t="n">
        <v>0</v>
      </c>
      <c r="O9026" t="n">
        <v>0</v>
      </c>
      <c r="P9026" t="n">
        <v>0</v>
      </c>
      <c r="Q9026" t="n">
        <v>0</v>
      </c>
      <c r="R9026" s="2" t="inlineStr"/>
    </row>
    <row r="9027" ht="15" customHeight="1">
      <c r="A9027" t="inlineStr">
        <is>
          <t>A 3631-2023</t>
        </is>
      </c>
      <c r="B9027" s="1" t="n">
        <v>44950</v>
      </c>
      <c r="C9027" s="1" t="n">
        <v>46093</v>
      </c>
      <c r="D9027" t="inlineStr">
        <is>
          <t>VÄSTERNORRLANDS LÄN</t>
        </is>
      </c>
      <c r="E9027" t="inlineStr">
        <is>
          <t>ÅNGE</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31177-2024</t>
        </is>
      </c>
      <c r="B9028" s="1" t="n">
        <v>45503</v>
      </c>
      <c r="C9028" s="1" t="n">
        <v>46093</v>
      </c>
      <c r="D9028" t="inlineStr">
        <is>
          <t>VÄSTERNORRLANDS LÄN</t>
        </is>
      </c>
      <c r="E9028" t="inlineStr">
        <is>
          <t>ÅNGE</t>
        </is>
      </c>
      <c r="G9028" t="n">
        <v>10.2</v>
      </c>
      <c r="H9028" t="n">
        <v>0</v>
      </c>
      <c r="I9028" t="n">
        <v>0</v>
      </c>
      <c r="J9028" t="n">
        <v>0</v>
      </c>
      <c r="K9028" t="n">
        <v>0</v>
      </c>
      <c r="L9028" t="n">
        <v>0</v>
      </c>
      <c r="M9028" t="n">
        <v>0</v>
      </c>
      <c r="N9028" t="n">
        <v>0</v>
      </c>
      <c r="O9028" t="n">
        <v>0</v>
      </c>
      <c r="P9028" t="n">
        <v>0</v>
      </c>
      <c r="Q9028" t="n">
        <v>0</v>
      </c>
      <c r="R9028" s="2" t="inlineStr"/>
    </row>
    <row r="9029" ht="15" customHeight="1">
      <c r="A9029" t="inlineStr">
        <is>
          <t>A 59957-2025</t>
        </is>
      </c>
      <c r="B9029" s="1" t="n">
        <v>45993.46804398148</v>
      </c>
      <c r="C9029" s="1" t="n">
        <v>46093</v>
      </c>
      <c r="D9029" t="inlineStr">
        <is>
          <t>VÄSTERNORRLANDS LÄN</t>
        </is>
      </c>
      <c r="E9029" t="inlineStr">
        <is>
          <t>SUNDSVALL</t>
        </is>
      </c>
      <c r="G9029" t="n">
        <v>2.7</v>
      </c>
      <c r="H9029" t="n">
        <v>0</v>
      </c>
      <c r="I9029" t="n">
        <v>0</v>
      </c>
      <c r="J9029" t="n">
        <v>0</v>
      </c>
      <c r="K9029" t="n">
        <v>0</v>
      </c>
      <c r="L9029" t="n">
        <v>0</v>
      </c>
      <c r="M9029" t="n">
        <v>0</v>
      </c>
      <c r="N9029" t="n">
        <v>0</v>
      </c>
      <c r="O9029" t="n">
        <v>0</v>
      </c>
      <c r="P9029" t="n">
        <v>0</v>
      </c>
      <c r="Q9029" t="n">
        <v>0</v>
      </c>
      <c r="R9029" s="2" t="inlineStr"/>
    </row>
    <row r="9030" ht="15" customHeight="1">
      <c r="A9030" t="inlineStr">
        <is>
          <t>A 60061-2025</t>
        </is>
      </c>
      <c r="B9030" s="1" t="n">
        <v>45993.65673611111</v>
      </c>
      <c r="C9030" s="1" t="n">
        <v>46093</v>
      </c>
      <c r="D9030" t="inlineStr">
        <is>
          <t>VÄSTERNORRLANDS LÄN</t>
        </is>
      </c>
      <c r="E9030" t="inlineStr">
        <is>
          <t>ÅNGE</t>
        </is>
      </c>
      <c r="F9030" t="inlineStr">
        <is>
          <t>SCA</t>
        </is>
      </c>
      <c r="G9030" t="n">
        <v>1.9</v>
      </c>
      <c r="H9030" t="n">
        <v>0</v>
      </c>
      <c r="I9030" t="n">
        <v>0</v>
      </c>
      <c r="J9030" t="n">
        <v>0</v>
      </c>
      <c r="K9030" t="n">
        <v>0</v>
      </c>
      <c r="L9030" t="n">
        <v>0</v>
      </c>
      <c r="M9030" t="n">
        <v>0</v>
      </c>
      <c r="N9030" t="n">
        <v>0</v>
      </c>
      <c r="O9030" t="n">
        <v>0</v>
      </c>
      <c r="P9030" t="n">
        <v>0</v>
      </c>
      <c r="Q9030" t="n">
        <v>0</v>
      </c>
      <c r="R9030" s="2" t="inlineStr"/>
    </row>
    <row r="9031" ht="15" customHeight="1">
      <c r="A9031" t="inlineStr">
        <is>
          <t>A 50179-2024</t>
        </is>
      </c>
      <c r="B9031" s="1" t="n">
        <v>45600</v>
      </c>
      <c r="C9031" s="1" t="n">
        <v>46093</v>
      </c>
      <c r="D9031" t="inlineStr">
        <is>
          <t>VÄSTERNORRLANDS LÄN</t>
        </is>
      </c>
      <c r="E9031" t="inlineStr">
        <is>
          <t>ÅNGE</t>
        </is>
      </c>
      <c r="G9031" t="n">
        <v>3.6</v>
      </c>
      <c r="H9031" t="n">
        <v>0</v>
      </c>
      <c r="I9031" t="n">
        <v>0</v>
      </c>
      <c r="J9031" t="n">
        <v>0</v>
      </c>
      <c r="K9031" t="n">
        <v>0</v>
      </c>
      <c r="L9031" t="n">
        <v>0</v>
      </c>
      <c r="M9031" t="n">
        <v>0</v>
      </c>
      <c r="N9031" t="n">
        <v>0</v>
      </c>
      <c r="O9031" t="n">
        <v>0</v>
      </c>
      <c r="P9031" t="n">
        <v>0</v>
      </c>
      <c r="Q9031" t="n">
        <v>0</v>
      </c>
      <c r="R9031" s="2" t="inlineStr"/>
    </row>
    <row r="9032" ht="15" customHeight="1">
      <c r="A9032" t="inlineStr">
        <is>
          <t>A 2140-2023</t>
        </is>
      </c>
      <c r="B9032" s="1" t="n">
        <v>44940</v>
      </c>
      <c r="C9032" s="1" t="n">
        <v>46093</v>
      </c>
      <c r="D9032" t="inlineStr">
        <is>
          <t>VÄSTERNORRLANDS LÄN</t>
        </is>
      </c>
      <c r="E9032" t="inlineStr">
        <is>
          <t>ÅNGE</t>
        </is>
      </c>
      <c r="G9032" t="n">
        <v>2.9</v>
      </c>
      <c r="H9032" t="n">
        <v>0</v>
      </c>
      <c r="I9032" t="n">
        <v>0</v>
      </c>
      <c r="J9032" t="n">
        <v>0</v>
      </c>
      <c r="K9032" t="n">
        <v>0</v>
      </c>
      <c r="L9032" t="n">
        <v>0</v>
      </c>
      <c r="M9032" t="n">
        <v>0</v>
      </c>
      <c r="N9032" t="n">
        <v>0</v>
      </c>
      <c r="O9032" t="n">
        <v>0</v>
      </c>
      <c r="P9032" t="n">
        <v>0</v>
      </c>
      <c r="Q9032" t="n">
        <v>0</v>
      </c>
      <c r="R9032" s="2" t="inlineStr"/>
    </row>
    <row r="9033" ht="15" customHeight="1">
      <c r="A9033" t="inlineStr">
        <is>
          <t>A 6686-2024</t>
        </is>
      </c>
      <c r="B9033" s="1" t="n">
        <v>45341</v>
      </c>
      <c r="C9033" s="1" t="n">
        <v>46093</v>
      </c>
      <c r="D9033" t="inlineStr">
        <is>
          <t>VÄSTERNORRLANDS LÄN</t>
        </is>
      </c>
      <c r="E9033" t="inlineStr">
        <is>
          <t>ÅNGE</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30347-2024</t>
        </is>
      </c>
      <c r="B9034" s="1" t="n">
        <v>45490.95515046296</v>
      </c>
      <c r="C9034" s="1" t="n">
        <v>46093</v>
      </c>
      <c r="D9034" t="inlineStr">
        <is>
          <t>VÄSTERNORRLANDS LÄN</t>
        </is>
      </c>
      <c r="E9034" t="inlineStr">
        <is>
          <t>ÅNGE</t>
        </is>
      </c>
      <c r="F9034" t="inlineStr">
        <is>
          <t>SCA</t>
        </is>
      </c>
      <c r="G9034" t="n">
        <v>0.4</v>
      </c>
      <c r="H9034" t="n">
        <v>0</v>
      </c>
      <c r="I9034" t="n">
        <v>0</v>
      </c>
      <c r="J9034" t="n">
        <v>0</v>
      </c>
      <c r="K9034" t="n">
        <v>0</v>
      </c>
      <c r="L9034" t="n">
        <v>0</v>
      </c>
      <c r="M9034" t="n">
        <v>0</v>
      </c>
      <c r="N9034" t="n">
        <v>0</v>
      </c>
      <c r="O9034" t="n">
        <v>0</v>
      </c>
      <c r="P9034" t="n">
        <v>0</v>
      </c>
      <c r="Q9034" t="n">
        <v>0</v>
      </c>
      <c r="R9034" s="2" t="inlineStr"/>
    </row>
    <row r="9035" ht="15" customHeight="1">
      <c r="A9035" t="inlineStr">
        <is>
          <t>A 30349-2024</t>
        </is>
      </c>
      <c r="B9035" s="1" t="n">
        <v>45490.95533564815</v>
      </c>
      <c r="C9035" s="1" t="n">
        <v>46093</v>
      </c>
      <c r="D9035" t="inlineStr">
        <is>
          <t>VÄSTERNORRLANDS LÄN</t>
        </is>
      </c>
      <c r="E9035" t="inlineStr">
        <is>
          <t>ÖRNSKÖLDSVIK</t>
        </is>
      </c>
      <c r="F9035" t="inlineStr">
        <is>
          <t>SCA</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73763-2021</t>
        </is>
      </c>
      <c r="B9036" s="1" t="n">
        <v>44552</v>
      </c>
      <c r="C9036" s="1" t="n">
        <v>46093</v>
      </c>
      <c r="D9036" t="inlineStr">
        <is>
          <t>VÄSTERNORRLANDS LÄN</t>
        </is>
      </c>
      <c r="E9036" t="inlineStr">
        <is>
          <t>ÖRNSKÖLDSVIK</t>
        </is>
      </c>
      <c r="G9036" t="n">
        <v>0.5</v>
      </c>
      <c r="H9036" t="n">
        <v>0</v>
      </c>
      <c r="I9036" t="n">
        <v>0</v>
      </c>
      <c r="J9036" t="n">
        <v>0</v>
      </c>
      <c r="K9036" t="n">
        <v>0</v>
      </c>
      <c r="L9036" t="n">
        <v>0</v>
      </c>
      <c r="M9036" t="n">
        <v>0</v>
      </c>
      <c r="N9036" t="n">
        <v>0</v>
      </c>
      <c r="O9036" t="n">
        <v>0</v>
      </c>
      <c r="P9036" t="n">
        <v>0</v>
      </c>
      <c r="Q9036" t="n">
        <v>0</v>
      </c>
      <c r="R9036" s="2" t="inlineStr"/>
    </row>
    <row r="9037" ht="15" customHeight="1">
      <c r="A9037" t="inlineStr">
        <is>
          <t>A 30682-2024</t>
        </is>
      </c>
      <c r="B9037" s="1" t="n">
        <v>45495.95109953704</v>
      </c>
      <c r="C9037" s="1" t="n">
        <v>46093</v>
      </c>
      <c r="D9037" t="inlineStr">
        <is>
          <t>VÄSTERNORRLANDS LÄN</t>
        </is>
      </c>
      <c r="E9037" t="inlineStr">
        <is>
          <t>ÅNGE</t>
        </is>
      </c>
      <c r="F9037" t="inlineStr">
        <is>
          <t>SCA</t>
        </is>
      </c>
      <c r="G9037" t="n">
        <v>1.9</v>
      </c>
      <c r="H9037" t="n">
        <v>0</v>
      </c>
      <c r="I9037" t="n">
        <v>0</v>
      </c>
      <c r="J9037" t="n">
        <v>0</v>
      </c>
      <c r="K9037" t="n">
        <v>0</v>
      </c>
      <c r="L9037" t="n">
        <v>0</v>
      </c>
      <c r="M9037" t="n">
        <v>0</v>
      </c>
      <c r="N9037" t="n">
        <v>0</v>
      </c>
      <c r="O9037" t="n">
        <v>0</v>
      </c>
      <c r="P9037" t="n">
        <v>0</v>
      </c>
      <c r="Q9037" t="n">
        <v>0</v>
      </c>
      <c r="R9037" s="2" t="inlineStr"/>
    </row>
    <row r="9038" ht="15" customHeight="1">
      <c r="A9038" t="inlineStr">
        <is>
          <t>A 43469-2022</t>
        </is>
      </c>
      <c r="B9038" s="1" t="n">
        <v>44836.80145833334</v>
      </c>
      <c r="C9038" s="1" t="n">
        <v>46093</v>
      </c>
      <c r="D9038" t="inlineStr">
        <is>
          <t>VÄSTERNORRLANDS LÄN</t>
        </is>
      </c>
      <c r="E9038" t="inlineStr">
        <is>
          <t>SOLLEFTEÅ</t>
        </is>
      </c>
      <c r="G9038" t="n">
        <v>2.8</v>
      </c>
      <c r="H9038" t="n">
        <v>0</v>
      </c>
      <c r="I9038" t="n">
        <v>0</v>
      </c>
      <c r="J9038" t="n">
        <v>0</v>
      </c>
      <c r="K9038" t="n">
        <v>0</v>
      </c>
      <c r="L9038" t="n">
        <v>0</v>
      </c>
      <c r="M9038" t="n">
        <v>0</v>
      </c>
      <c r="N9038" t="n">
        <v>0</v>
      </c>
      <c r="O9038" t="n">
        <v>0</v>
      </c>
      <c r="P9038" t="n">
        <v>0</v>
      </c>
      <c r="Q9038" t="n">
        <v>0</v>
      </c>
      <c r="R9038" s="2" t="inlineStr"/>
    </row>
    <row r="9039" ht="15" customHeight="1">
      <c r="A9039" t="inlineStr">
        <is>
          <t>A 30686-2024</t>
        </is>
      </c>
      <c r="B9039" s="1" t="n">
        <v>45495</v>
      </c>
      <c r="C9039" s="1" t="n">
        <v>46093</v>
      </c>
      <c r="D9039" t="inlineStr">
        <is>
          <t>VÄSTERNORRLANDS LÄN</t>
        </is>
      </c>
      <c r="E9039" t="inlineStr">
        <is>
          <t>SUNDSVALL</t>
        </is>
      </c>
      <c r="F9039" t="inlineStr">
        <is>
          <t>SCA</t>
        </is>
      </c>
      <c r="G9039" t="n">
        <v>0.6</v>
      </c>
      <c r="H9039" t="n">
        <v>0</v>
      </c>
      <c r="I9039" t="n">
        <v>0</v>
      </c>
      <c r="J9039" t="n">
        <v>0</v>
      </c>
      <c r="K9039" t="n">
        <v>0</v>
      </c>
      <c r="L9039" t="n">
        <v>0</v>
      </c>
      <c r="M9039" t="n">
        <v>0</v>
      </c>
      <c r="N9039" t="n">
        <v>0</v>
      </c>
      <c r="O9039" t="n">
        <v>0</v>
      </c>
      <c r="P9039" t="n">
        <v>0</v>
      </c>
      <c r="Q9039" t="n">
        <v>0</v>
      </c>
      <c r="R9039" s="2" t="inlineStr"/>
    </row>
    <row r="9040" ht="15" customHeight="1">
      <c r="A9040" t="inlineStr">
        <is>
          <t>A 11334-2024</t>
        </is>
      </c>
      <c r="B9040" s="1" t="n">
        <v>45372</v>
      </c>
      <c r="C9040" s="1" t="n">
        <v>46093</v>
      </c>
      <c r="D9040" t="inlineStr">
        <is>
          <t>VÄSTERNORRLANDS LÄN</t>
        </is>
      </c>
      <c r="E9040" t="inlineStr">
        <is>
          <t>SOLLEFTEÅ</t>
        </is>
      </c>
      <c r="F9040" t="inlineStr">
        <is>
          <t>SCA</t>
        </is>
      </c>
      <c r="G9040" t="n">
        <v>11.7</v>
      </c>
      <c r="H9040" t="n">
        <v>0</v>
      </c>
      <c r="I9040" t="n">
        <v>0</v>
      </c>
      <c r="J9040" t="n">
        <v>0</v>
      </c>
      <c r="K9040" t="n">
        <v>0</v>
      </c>
      <c r="L9040" t="n">
        <v>0</v>
      </c>
      <c r="M9040" t="n">
        <v>0</v>
      </c>
      <c r="N9040" t="n">
        <v>0</v>
      </c>
      <c r="O9040" t="n">
        <v>0</v>
      </c>
      <c r="P9040" t="n">
        <v>0</v>
      </c>
      <c r="Q9040" t="n">
        <v>0</v>
      </c>
      <c r="R9040" s="2" t="inlineStr"/>
    </row>
    <row r="9041" ht="15" customHeight="1">
      <c r="A9041" t="inlineStr">
        <is>
          <t>A 60213-2025</t>
        </is>
      </c>
      <c r="B9041" s="1" t="n">
        <v>45994.53517361111</v>
      </c>
      <c r="C9041" s="1" t="n">
        <v>46093</v>
      </c>
      <c r="D9041" t="inlineStr">
        <is>
          <t>VÄSTERNORRLANDS LÄN</t>
        </is>
      </c>
      <c r="E9041" t="inlineStr">
        <is>
          <t>SUNDSVALL</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59973-2025</t>
        </is>
      </c>
      <c r="B9042" s="1" t="n">
        <v>45993</v>
      </c>
      <c r="C9042" s="1" t="n">
        <v>46093</v>
      </c>
      <c r="D9042" t="inlineStr">
        <is>
          <t>VÄSTERNORRLANDS LÄN</t>
        </is>
      </c>
      <c r="E9042" t="inlineStr">
        <is>
          <t>SUNDSVALL</t>
        </is>
      </c>
      <c r="G9042" t="n">
        <v>10.2</v>
      </c>
      <c r="H9042" t="n">
        <v>0</v>
      </c>
      <c r="I9042" t="n">
        <v>0</v>
      </c>
      <c r="J9042" t="n">
        <v>0</v>
      </c>
      <c r="K9042" t="n">
        <v>0</v>
      </c>
      <c r="L9042" t="n">
        <v>0</v>
      </c>
      <c r="M9042" t="n">
        <v>0</v>
      </c>
      <c r="N9042" t="n">
        <v>0</v>
      </c>
      <c r="O9042" t="n">
        <v>0</v>
      </c>
      <c r="P9042" t="n">
        <v>0</v>
      </c>
      <c r="Q9042" t="n">
        <v>0</v>
      </c>
      <c r="R9042" s="2" t="inlineStr"/>
    </row>
    <row r="9043" ht="15" customHeight="1">
      <c r="A9043" t="inlineStr">
        <is>
          <t>A 60123-2025</t>
        </is>
      </c>
      <c r="B9043" s="1" t="n">
        <v>45994.33506944445</v>
      </c>
      <c r="C9043" s="1" t="n">
        <v>46093</v>
      </c>
      <c r="D9043" t="inlineStr">
        <is>
          <t>VÄSTERNORRLANDS LÄN</t>
        </is>
      </c>
      <c r="E9043" t="inlineStr">
        <is>
          <t>SOLLEFTEÅ</t>
        </is>
      </c>
      <c r="G9043" t="n">
        <v>5.6</v>
      </c>
      <c r="H9043" t="n">
        <v>0</v>
      </c>
      <c r="I9043" t="n">
        <v>0</v>
      </c>
      <c r="J9043" t="n">
        <v>0</v>
      </c>
      <c r="K9043" t="n">
        <v>0</v>
      </c>
      <c r="L9043" t="n">
        <v>0</v>
      </c>
      <c r="M9043" t="n">
        <v>0</v>
      </c>
      <c r="N9043" t="n">
        <v>0</v>
      </c>
      <c r="O9043" t="n">
        <v>0</v>
      </c>
      <c r="P9043" t="n">
        <v>0</v>
      </c>
      <c r="Q9043" t="n">
        <v>0</v>
      </c>
      <c r="R9043" s="2" t="inlineStr"/>
    </row>
    <row r="9044" ht="15" customHeight="1">
      <c r="A9044" t="inlineStr">
        <is>
          <t>A 30753-2024</t>
        </is>
      </c>
      <c r="B9044" s="1" t="n">
        <v>45496</v>
      </c>
      <c r="C9044" s="1" t="n">
        <v>46093</v>
      </c>
      <c r="D9044" t="inlineStr">
        <is>
          <t>VÄSTERNORRLANDS LÄN</t>
        </is>
      </c>
      <c r="E9044" t="inlineStr">
        <is>
          <t>ÅNGE</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30754-2024</t>
        </is>
      </c>
      <c r="B9045" s="1" t="n">
        <v>45496</v>
      </c>
      <c r="C9045" s="1" t="n">
        <v>46093</v>
      </c>
      <c r="D9045" t="inlineStr">
        <is>
          <t>VÄSTERNORRLANDS LÄN</t>
        </is>
      </c>
      <c r="E9045" t="inlineStr">
        <is>
          <t>ÅNGE</t>
        </is>
      </c>
      <c r="G9045" t="n">
        <v>3.8</v>
      </c>
      <c r="H9045" t="n">
        <v>0</v>
      </c>
      <c r="I9045" t="n">
        <v>0</v>
      </c>
      <c r="J9045" t="n">
        <v>0</v>
      </c>
      <c r="K9045" t="n">
        <v>0</v>
      </c>
      <c r="L9045" t="n">
        <v>0</v>
      </c>
      <c r="M9045" t="n">
        <v>0</v>
      </c>
      <c r="N9045" t="n">
        <v>0</v>
      </c>
      <c r="O9045" t="n">
        <v>0</v>
      </c>
      <c r="P9045" t="n">
        <v>0</v>
      </c>
      <c r="Q9045" t="n">
        <v>0</v>
      </c>
      <c r="R9045" s="2" t="inlineStr"/>
    </row>
    <row r="9046" ht="15" customHeight="1">
      <c r="A9046" t="inlineStr">
        <is>
          <t>A 38960-2021</t>
        </is>
      </c>
      <c r="B9046" s="1" t="n">
        <v>44411</v>
      </c>
      <c r="C9046" s="1" t="n">
        <v>46093</v>
      </c>
      <c r="D9046" t="inlineStr">
        <is>
          <t>VÄSTERNORRLANDS LÄN</t>
        </is>
      </c>
      <c r="E9046" t="inlineStr">
        <is>
          <t>ÅNGE</t>
        </is>
      </c>
      <c r="G9046" t="n">
        <v>1</v>
      </c>
      <c r="H9046" t="n">
        <v>0</v>
      </c>
      <c r="I9046" t="n">
        <v>0</v>
      </c>
      <c r="J9046" t="n">
        <v>0</v>
      </c>
      <c r="K9046" t="n">
        <v>0</v>
      </c>
      <c r="L9046" t="n">
        <v>0</v>
      </c>
      <c r="M9046" t="n">
        <v>0</v>
      </c>
      <c r="N9046" t="n">
        <v>0</v>
      </c>
      <c r="O9046" t="n">
        <v>0</v>
      </c>
      <c r="P9046" t="n">
        <v>0</v>
      </c>
      <c r="Q9046" t="n">
        <v>0</v>
      </c>
      <c r="R9046" s="2" t="inlineStr"/>
    </row>
    <row r="9047" ht="15" customHeight="1">
      <c r="A9047" t="inlineStr">
        <is>
          <t>A 60118-2025</t>
        </is>
      </c>
      <c r="B9047" s="1" t="n">
        <v>45994.3242824074</v>
      </c>
      <c r="C9047" s="1" t="n">
        <v>46093</v>
      </c>
      <c r="D9047" t="inlineStr">
        <is>
          <t>VÄSTERNORRLANDS LÄN</t>
        </is>
      </c>
      <c r="E9047" t="inlineStr">
        <is>
          <t>ÅNGE</t>
        </is>
      </c>
      <c r="G9047" t="n">
        <v>1.1</v>
      </c>
      <c r="H9047" t="n">
        <v>0</v>
      </c>
      <c r="I9047" t="n">
        <v>0</v>
      </c>
      <c r="J9047" t="n">
        <v>0</v>
      </c>
      <c r="K9047" t="n">
        <v>0</v>
      </c>
      <c r="L9047" t="n">
        <v>0</v>
      </c>
      <c r="M9047" t="n">
        <v>0</v>
      </c>
      <c r="N9047" t="n">
        <v>0</v>
      </c>
      <c r="O9047" t="n">
        <v>0</v>
      </c>
      <c r="P9047" t="n">
        <v>0</v>
      </c>
      <c r="Q9047" t="n">
        <v>0</v>
      </c>
      <c r="R9047" s="2" t="inlineStr"/>
    </row>
    <row r="9048" ht="15" customHeight="1">
      <c r="A9048" t="inlineStr">
        <is>
          <t>A 60119-2025</t>
        </is>
      </c>
      <c r="B9048" s="1" t="n">
        <v>45994.33081018519</v>
      </c>
      <c r="C9048" s="1" t="n">
        <v>46093</v>
      </c>
      <c r="D9048" t="inlineStr">
        <is>
          <t>VÄSTERNORRLANDS LÄN</t>
        </is>
      </c>
      <c r="E9048" t="inlineStr">
        <is>
          <t>ÅNGE</t>
        </is>
      </c>
      <c r="G9048" t="n">
        <v>1.7</v>
      </c>
      <c r="H9048" t="n">
        <v>0</v>
      </c>
      <c r="I9048" t="n">
        <v>0</v>
      </c>
      <c r="J9048" t="n">
        <v>0</v>
      </c>
      <c r="K9048" t="n">
        <v>0</v>
      </c>
      <c r="L9048" t="n">
        <v>0</v>
      </c>
      <c r="M9048" t="n">
        <v>0</v>
      </c>
      <c r="N9048" t="n">
        <v>0</v>
      </c>
      <c r="O9048" t="n">
        <v>0</v>
      </c>
      <c r="P9048" t="n">
        <v>0</v>
      </c>
      <c r="Q9048" t="n">
        <v>0</v>
      </c>
      <c r="R9048" s="2" t="inlineStr"/>
    </row>
    <row r="9049" ht="15" customHeight="1">
      <c r="A9049" t="inlineStr">
        <is>
          <t>A 8227-2024</t>
        </is>
      </c>
      <c r="B9049" s="1" t="n">
        <v>45351.92822916667</v>
      </c>
      <c r="C9049" s="1" t="n">
        <v>46093</v>
      </c>
      <c r="D9049" t="inlineStr">
        <is>
          <t>VÄSTERNORRLANDS LÄN</t>
        </is>
      </c>
      <c r="E9049" t="inlineStr">
        <is>
          <t>KRAMFORS</t>
        </is>
      </c>
      <c r="G9049" t="n">
        <v>1.5</v>
      </c>
      <c r="H9049" t="n">
        <v>0</v>
      </c>
      <c r="I9049" t="n">
        <v>0</v>
      </c>
      <c r="J9049" t="n">
        <v>0</v>
      </c>
      <c r="K9049" t="n">
        <v>0</v>
      </c>
      <c r="L9049" t="n">
        <v>0</v>
      </c>
      <c r="M9049" t="n">
        <v>0</v>
      </c>
      <c r="N9049" t="n">
        <v>0</v>
      </c>
      <c r="O9049" t="n">
        <v>0</v>
      </c>
      <c r="P9049" t="n">
        <v>0</v>
      </c>
      <c r="Q9049" t="n">
        <v>0</v>
      </c>
      <c r="R9049" s="2" t="inlineStr"/>
    </row>
    <row r="9050" ht="15" customHeight="1">
      <c r="A9050" t="inlineStr">
        <is>
          <t>A 55641-2023</t>
        </is>
      </c>
      <c r="B9050" s="1" t="n">
        <v>45238.92776620371</v>
      </c>
      <c r="C9050" s="1" t="n">
        <v>46093</v>
      </c>
      <c r="D9050" t="inlineStr">
        <is>
          <t>VÄSTERNORRLANDS LÄN</t>
        </is>
      </c>
      <c r="E9050" t="inlineStr">
        <is>
          <t>ÖRNSKÖLDSVIK</t>
        </is>
      </c>
      <c r="G9050" t="n">
        <v>0.5</v>
      </c>
      <c r="H9050" t="n">
        <v>0</v>
      </c>
      <c r="I9050" t="n">
        <v>0</v>
      </c>
      <c r="J9050" t="n">
        <v>0</v>
      </c>
      <c r="K9050" t="n">
        <v>0</v>
      </c>
      <c r="L9050" t="n">
        <v>0</v>
      </c>
      <c r="M9050" t="n">
        <v>0</v>
      </c>
      <c r="N9050" t="n">
        <v>0</v>
      </c>
      <c r="O9050" t="n">
        <v>0</v>
      </c>
      <c r="P9050" t="n">
        <v>0</v>
      </c>
      <c r="Q9050" t="n">
        <v>0</v>
      </c>
      <c r="R9050" s="2" t="inlineStr"/>
    </row>
    <row r="9051" ht="15" customHeight="1">
      <c r="A9051" t="inlineStr">
        <is>
          <t>A 52228-2025</t>
        </is>
      </c>
      <c r="B9051" s="1" t="n">
        <v>45953.4488425926</v>
      </c>
      <c r="C9051" s="1" t="n">
        <v>46093</v>
      </c>
      <c r="D9051" t="inlineStr">
        <is>
          <t>VÄSTERNORRLANDS LÄN</t>
        </is>
      </c>
      <c r="E9051" t="inlineStr">
        <is>
          <t>TIMRÅ</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53329-2025</t>
        </is>
      </c>
      <c r="B9052" s="1" t="n">
        <v>45959</v>
      </c>
      <c r="C9052" s="1" t="n">
        <v>46093</v>
      </c>
      <c r="D9052" t="inlineStr">
        <is>
          <t>VÄSTERNORRLANDS LÄN</t>
        </is>
      </c>
      <c r="E9052" t="inlineStr">
        <is>
          <t>KRAMFORS</t>
        </is>
      </c>
      <c r="G9052" t="n">
        <v>7.8</v>
      </c>
      <c r="H9052" t="n">
        <v>0</v>
      </c>
      <c r="I9052" t="n">
        <v>0</v>
      </c>
      <c r="J9052" t="n">
        <v>0</v>
      </c>
      <c r="K9052" t="n">
        <v>0</v>
      </c>
      <c r="L9052" t="n">
        <v>0</v>
      </c>
      <c r="M9052" t="n">
        <v>0</v>
      </c>
      <c r="N9052" t="n">
        <v>0</v>
      </c>
      <c r="O9052" t="n">
        <v>0</v>
      </c>
      <c r="P9052" t="n">
        <v>0</v>
      </c>
      <c r="Q9052" t="n">
        <v>0</v>
      </c>
      <c r="R9052" s="2" t="inlineStr"/>
    </row>
    <row r="9053" ht="15" customHeight="1">
      <c r="A9053" t="inlineStr">
        <is>
          <t>A 63091-2023</t>
        </is>
      </c>
      <c r="B9053" s="1" t="n">
        <v>45273</v>
      </c>
      <c r="C9053" s="1" t="n">
        <v>46093</v>
      </c>
      <c r="D9053" t="inlineStr">
        <is>
          <t>VÄSTERNORRLANDS LÄN</t>
        </is>
      </c>
      <c r="E9053" t="inlineStr">
        <is>
          <t>ÖRNSKÖLDSVIK</t>
        </is>
      </c>
      <c r="F9053" t="inlineStr">
        <is>
          <t>Holmen skog AB</t>
        </is>
      </c>
      <c r="G9053" t="n">
        <v>1.6</v>
      </c>
      <c r="H9053" t="n">
        <v>0</v>
      </c>
      <c r="I9053" t="n">
        <v>0</v>
      </c>
      <c r="J9053" t="n">
        <v>0</v>
      </c>
      <c r="K9053" t="n">
        <v>0</v>
      </c>
      <c r="L9053" t="n">
        <v>0</v>
      </c>
      <c r="M9053" t="n">
        <v>0</v>
      </c>
      <c r="N9053" t="n">
        <v>0</v>
      </c>
      <c r="O9053" t="n">
        <v>0</v>
      </c>
      <c r="P9053" t="n">
        <v>0</v>
      </c>
      <c r="Q9053" t="n">
        <v>0</v>
      </c>
      <c r="R9053" s="2" t="inlineStr"/>
    </row>
    <row r="9054" ht="15" customHeight="1">
      <c r="A9054" t="inlineStr">
        <is>
          <t>A 1048-2024</t>
        </is>
      </c>
      <c r="B9054" s="1" t="n">
        <v>45301</v>
      </c>
      <c r="C9054" s="1" t="n">
        <v>46093</v>
      </c>
      <c r="D9054" t="inlineStr">
        <is>
          <t>VÄSTERNORRLANDS LÄN</t>
        </is>
      </c>
      <c r="E9054" t="inlineStr">
        <is>
          <t>SUNDSVALL</t>
        </is>
      </c>
      <c r="G9054" t="n">
        <v>0.5</v>
      </c>
      <c r="H9054" t="n">
        <v>0</v>
      </c>
      <c r="I9054" t="n">
        <v>0</v>
      </c>
      <c r="J9054" t="n">
        <v>0</v>
      </c>
      <c r="K9054" t="n">
        <v>0</v>
      </c>
      <c r="L9054" t="n">
        <v>0</v>
      </c>
      <c r="M9054" t="n">
        <v>0</v>
      </c>
      <c r="N9054" t="n">
        <v>0</v>
      </c>
      <c r="O9054" t="n">
        <v>0</v>
      </c>
      <c r="P9054" t="n">
        <v>0</v>
      </c>
      <c r="Q9054" t="n">
        <v>0</v>
      </c>
      <c r="R9054" s="2" t="inlineStr"/>
    </row>
    <row r="9055" ht="15" customHeight="1">
      <c r="A9055" t="inlineStr">
        <is>
          <t>A 60448-2025</t>
        </is>
      </c>
      <c r="B9055" s="1" t="n">
        <v>45995.50024305555</v>
      </c>
      <c r="C9055" s="1" t="n">
        <v>46093</v>
      </c>
      <c r="D9055" t="inlineStr">
        <is>
          <t>VÄSTERNORRLANDS LÄN</t>
        </is>
      </c>
      <c r="E9055" t="inlineStr">
        <is>
          <t>ÖRNSKÖLDSVIK</t>
        </is>
      </c>
      <c r="F9055" t="inlineStr">
        <is>
          <t>Holmen skog AB</t>
        </is>
      </c>
      <c r="G9055" t="n">
        <v>3.7</v>
      </c>
      <c r="H9055" t="n">
        <v>0</v>
      </c>
      <c r="I9055" t="n">
        <v>0</v>
      </c>
      <c r="J9055" t="n">
        <v>0</v>
      </c>
      <c r="K9055" t="n">
        <v>0</v>
      </c>
      <c r="L9055" t="n">
        <v>0</v>
      </c>
      <c r="M9055" t="n">
        <v>0</v>
      </c>
      <c r="N9055" t="n">
        <v>0</v>
      </c>
      <c r="O9055" t="n">
        <v>0</v>
      </c>
      <c r="P9055" t="n">
        <v>0</v>
      </c>
      <c r="Q9055" t="n">
        <v>0</v>
      </c>
      <c r="R9055" s="2" t="inlineStr"/>
    </row>
    <row r="9056" ht="15" customHeight="1">
      <c r="A9056" t="inlineStr">
        <is>
          <t>A 60457-2025</t>
        </is>
      </c>
      <c r="B9056" s="1" t="n">
        <v>45995.53137731482</v>
      </c>
      <c r="C9056" s="1" t="n">
        <v>46093</v>
      </c>
      <c r="D9056" t="inlineStr">
        <is>
          <t>VÄSTERNORRLANDS LÄN</t>
        </is>
      </c>
      <c r="E9056" t="inlineStr">
        <is>
          <t>ÖRNSKÖLDSVIK</t>
        </is>
      </c>
      <c r="G9056" t="n">
        <v>1.6</v>
      </c>
      <c r="H9056" t="n">
        <v>0</v>
      </c>
      <c r="I9056" t="n">
        <v>0</v>
      </c>
      <c r="J9056" t="n">
        <v>0</v>
      </c>
      <c r="K9056" t="n">
        <v>0</v>
      </c>
      <c r="L9056" t="n">
        <v>0</v>
      </c>
      <c r="M9056" t="n">
        <v>0</v>
      </c>
      <c r="N9056" t="n">
        <v>0</v>
      </c>
      <c r="O9056" t="n">
        <v>0</v>
      </c>
      <c r="P9056" t="n">
        <v>0</v>
      </c>
      <c r="Q9056" t="n">
        <v>0</v>
      </c>
      <c r="R9056" s="2" t="inlineStr"/>
    </row>
    <row r="9057" ht="15" customHeight="1">
      <c r="A9057" t="inlineStr">
        <is>
          <t>A 21642-2024</t>
        </is>
      </c>
      <c r="B9057" s="1" t="n">
        <v>45442</v>
      </c>
      <c r="C9057" s="1" t="n">
        <v>46093</v>
      </c>
      <c r="D9057" t="inlineStr">
        <is>
          <t>VÄSTERNORRLANDS LÄN</t>
        </is>
      </c>
      <c r="E9057" t="inlineStr">
        <is>
          <t>ÖRNSKÖLDSVIK</t>
        </is>
      </c>
      <c r="F9057" t="inlineStr">
        <is>
          <t>Holmen skog AB</t>
        </is>
      </c>
      <c r="G9057" t="n">
        <v>2</v>
      </c>
      <c r="H9057" t="n">
        <v>0</v>
      </c>
      <c r="I9057" t="n">
        <v>0</v>
      </c>
      <c r="J9057" t="n">
        <v>0</v>
      </c>
      <c r="K9057" t="n">
        <v>0</v>
      </c>
      <c r="L9057" t="n">
        <v>0</v>
      </c>
      <c r="M9057" t="n">
        <v>0</v>
      </c>
      <c r="N9057" t="n">
        <v>0</v>
      </c>
      <c r="O9057" t="n">
        <v>0</v>
      </c>
      <c r="P9057" t="n">
        <v>0</v>
      </c>
      <c r="Q9057" t="n">
        <v>0</v>
      </c>
      <c r="R9057" s="2" t="inlineStr"/>
    </row>
    <row r="9058" ht="15" customHeight="1">
      <c r="A9058" t="inlineStr">
        <is>
          <t>A 60458-2025</t>
        </is>
      </c>
      <c r="B9058" s="1" t="n">
        <v>45995.53168981482</v>
      </c>
      <c r="C9058" s="1" t="n">
        <v>46093</v>
      </c>
      <c r="D9058" t="inlineStr">
        <is>
          <t>VÄSTERNORRLANDS LÄN</t>
        </is>
      </c>
      <c r="E9058" t="inlineStr">
        <is>
          <t>SUNDSVALL</t>
        </is>
      </c>
      <c r="F9058" t="inlineStr">
        <is>
          <t>SCA</t>
        </is>
      </c>
      <c r="G9058" t="n">
        <v>5.9</v>
      </c>
      <c r="H9058" t="n">
        <v>0</v>
      </c>
      <c r="I9058" t="n">
        <v>0</v>
      </c>
      <c r="J9058" t="n">
        <v>0</v>
      </c>
      <c r="K9058" t="n">
        <v>0</v>
      </c>
      <c r="L9058" t="n">
        <v>0</v>
      </c>
      <c r="M9058" t="n">
        <v>0</v>
      </c>
      <c r="N9058" t="n">
        <v>0</v>
      </c>
      <c r="O9058" t="n">
        <v>0</v>
      </c>
      <c r="P9058" t="n">
        <v>0</v>
      </c>
      <c r="Q9058" t="n">
        <v>0</v>
      </c>
      <c r="R9058" s="2" t="inlineStr"/>
    </row>
    <row r="9059" ht="15" customHeight="1">
      <c r="A9059" t="inlineStr">
        <is>
          <t>A 55351-2021</t>
        </is>
      </c>
      <c r="B9059" s="1" t="n">
        <v>44475</v>
      </c>
      <c r="C9059" s="1" t="n">
        <v>46093</v>
      </c>
      <c r="D9059" t="inlineStr">
        <is>
          <t>VÄSTERNORRLANDS LÄN</t>
        </is>
      </c>
      <c r="E9059" t="inlineStr">
        <is>
          <t>ÖRNSKÖLDSVIK</t>
        </is>
      </c>
      <c r="F9059" t="inlineStr">
        <is>
          <t>Holmen skog AB</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6745-2024</t>
        </is>
      </c>
      <c r="B9060" s="1" t="n">
        <v>45342.42465277778</v>
      </c>
      <c r="C9060" s="1" t="n">
        <v>46093</v>
      </c>
      <c r="D9060" t="inlineStr">
        <is>
          <t>VÄSTERNORRLANDS LÄN</t>
        </is>
      </c>
      <c r="E9060" t="inlineStr">
        <is>
          <t>ÖRNSKÖLDSVIK</t>
        </is>
      </c>
      <c r="F9060" t="inlineStr">
        <is>
          <t>Holmen skog AB</t>
        </is>
      </c>
      <c r="G9060" t="n">
        <v>5.1</v>
      </c>
      <c r="H9060" t="n">
        <v>0</v>
      </c>
      <c r="I9060" t="n">
        <v>0</v>
      </c>
      <c r="J9060" t="n">
        <v>0</v>
      </c>
      <c r="K9060" t="n">
        <v>0</v>
      </c>
      <c r="L9060" t="n">
        <v>0</v>
      </c>
      <c r="M9060" t="n">
        <v>0</v>
      </c>
      <c r="N9060" t="n">
        <v>0</v>
      </c>
      <c r="O9060" t="n">
        <v>0</v>
      </c>
      <c r="P9060" t="n">
        <v>0</v>
      </c>
      <c r="Q9060" t="n">
        <v>0</v>
      </c>
      <c r="R9060" s="2" t="inlineStr"/>
    </row>
    <row r="9061" ht="15" customHeight="1">
      <c r="A9061" t="inlineStr">
        <is>
          <t>A 60665-2025</t>
        </is>
      </c>
      <c r="B9061" s="1" t="n">
        <v>45996.51637731482</v>
      </c>
      <c r="C9061" s="1" t="n">
        <v>46093</v>
      </c>
      <c r="D9061" t="inlineStr">
        <is>
          <t>VÄSTERNORRLANDS LÄN</t>
        </is>
      </c>
      <c r="E9061" t="inlineStr">
        <is>
          <t>KRAMFORS</t>
        </is>
      </c>
      <c r="G9061" t="n">
        <v>1.6</v>
      </c>
      <c r="H9061" t="n">
        <v>0</v>
      </c>
      <c r="I9061" t="n">
        <v>0</v>
      </c>
      <c r="J9061" t="n">
        <v>0</v>
      </c>
      <c r="K9061" t="n">
        <v>0</v>
      </c>
      <c r="L9061" t="n">
        <v>0</v>
      </c>
      <c r="M9061" t="n">
        <v>0</v>
      </c>
      <c r="N9061" t="n">
        <v>0</v>
      </c>
      <c r="O9061" t="n">
        <v>0</v>
      </c>
      <c r="P9061" t="n">
        <v>0</v>
      </c>
      <c r="Q9061" t="n">
        <v>0</v>
      </c>
      <c r="R9061" s="2" t="inlineStr"/>
    </row>
    <row r="9062" ht="15" customHeight="1">
      <c r="A9062" t="inlineStr">
        <is>
          <t>A 35581-2024</t>
        </is>
      </c>
      <c r="B9062" s="1" t="n">
        <v>45531</v>
      </c>
      <c r="C9062" s="1" t="n">
        <v>46093</v>
      </c>
      <c r="D9062" t="inlineStr">
        <is>
          <t>VÄSTERNORRLANDS LÄN</t>
        </is>
      </c>
      <c r="E9062" t="inlineStr">
        <is>
          <t>ÅNGE</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1906-2024</t>
        </is>
      </c>
      <c r="B9063" s="1" t="n">
        <v>45308</v>
      </c>
      <c r="C9063" s="1" t="n">
        <v>46093</v>
      </c>
      <c r="D9063" t="inlineStr">
        <is>
          <t>VÄSTERNORRLANDS LÄN</t>
        </is>
      </c>
      <c r="E9063" t="inlineStr">
        <is>
          <t>ÖRNSKÖLDSVIK</t>
        </is>
      </c>
      <c r="G9063" t="n">
        <v>2</v>
      </c>
      <c r="H9063" t="n">
        <v>0</v>
      </c>
      <c r="I9063" t="n">
        <v>0</v>
      </c>
      <c r="J9063" t="n">
        <v>0</v>
      </c>
      <c r="K9063" t="n">
        <v>0</v>
      </c>
      <c r="L9063" t="n">
        <v>0</v>
      </c>
      <c r="M9063" t="n">
        <v>0</v>
      </c>
      <c r="N9063" t="n">
        <v>0</v>
      </c>
      <c r="O9063" t="n">
        <v>0</v>
      </c>
      <c r="P9063" t="n">
        <v>0</v>
      </c>
      <c r="Q9063" t="n">
        <v>0</v>
      </c>
      <c r="R9063" s="2" t="inlineStr"/>
    </row>
    <row r="9064" ht="15" customHeight="1">
      <c r="A9064" t="inlineStr">
        <is>
          <t>A 60608-2025</t>
        </is>
      </c>
      <c r="B9064" s="1" t="n">
        <v>45996.36469907407</v>
      </c>
      <c r="C9064" s="1" t="n">
        <v>46093</v>
      </c>
      <c r="D9064" t="inlineStr">
        <is>
          <t>VÄSTERNORRLANDS LÄN</t>
        </is>
      </c>
      <c r="E9064" t="inlineStr">
        <is>
          <t>ÖRNSKÖLDSVIK</t>
        </is>
      </c>
      <c r="F9064" t="inlineStr">
        <is>
          <t>Holmen skog AB</t>
        </is>
      </c>
      <c r="G9064" t="n">
        <v>2.5</v>
      </c>
      <c r="H9064" t="n">
        <v>0</v>
      </c>
      <c r="I9064" t="n">
        <v>0</v>
      </c>
      <c r="J9064" t="n">
        <v>0</v>
      </c>
      <c r="K9064" t="n">
        <v>0</v>
      </c>
      <c r="L9064" t="n">
        <v>0</v>
      </c>
      <c r="M9064" t="n">
        <v>0</v>
      </c>
      <c r="N9064" t="n">
        <v>0</v>
      </c>
      <c r="O9064" t="n">
        <v>0</v>
      </c>
      <c r="P9064" t="n">
        <v>0</v>
      </c>
      <c r="Q9064" t="n">
        <v>0</v>
      </c>
      <c r="R9064" s="2" t="inlineStr"/>
    </row>
    <row r="9065" ht="15" customHeight="1">
      <c r="A9065" t="inlineStr">
        <is>
          <t>A 60612-2025</t>
        </is>
      </c>
      <c r="B9065" s="1" t="n">
        <v>45996.36546296296</v>
      </c>
      <c r="C9065" s="1" t="n">
        <v>46093</v>
      </c>
      <c r="D9065" t="inlineStr">
        <is>
          <t>VÄSTERNORRLANDS LÄN</t>
        </is>
      </c>
      <c r="E9065" t="inlineStr">
        <is>
          <t>SUNDSVALL</t>
        </is>
      </c>
      <c r="G9065" t="n">
        <v>0.7</v>
      </c>
      <c r="H9065" t="n">
        <v>0</v>
      </c>
      <c r="I9065" t="n">
        <v>0</v>
      </c>
      <c r="J9065" t="n">
        <v>0</v>
      </c>
      <c r="K9065" t="n">
        <v>0</v>
      </c>
      <c r="L9065" t="n">
        <v>0</v>
      </c>
      <c r="M9065" t="n">
        <v>0</v>
      </c>
      <c r="N9065" t="n">
        <v>0</v>
      </c>
      <c r="O9065" t="n">
        <v>0</v>
      </c>
      <c r="P9065" t="n">
        <v>0</v>
      </c>
      <c r="Q9065" t="n">
        <v>0</v>
      </c>
      <c r="R9065" s="2" t="inlineStr"/>
    </row>
    <row r="9066" ht="15" customHeight="1">
      <c r="A9066" t="inlineStr">
        <is>
          <t>A 40473-2024</t>
        </is>
      </c>
      <c r="B9066" s="1" t="n">
        <v>45555.53165509259</v>
      </c>
      <c r="C9066" s="1" t="n">
        <v>46093</v>
      </c>
      <c r="D9066" t="inlineStr">
        <is>
          <t>VÄSTERNORRLANDS LÄN</t>
        </is>
      </c>
      <c r="E9066" t="inlineStr">
        <is>
          <t>SUNDSVALL</t>
        </is>
      </c>
      <c r="F9066" t="inlineStr">
        <is>
          <t>SCA</t>
        </is>
      </c>
      <c r="G9066" t="n">
        <v>2.6</v>
      </c>
      <c r="H9066" t="n">
        <v>0</v>
      </c>
      <c r="I9066" t="n">
        <v>0</v>
      </c>
      <c r="J9066" t="n">
        <v>0</v>
      </c>
      <c r="K9066" t="n">
        <v>0</v>
      </c>
      <c r="L9066" t="n">
        <v>0</v>
      </c>
      <c r="M9066" t="n">
        <v>0</v>
      </c>
      <c r="N9066" t="n">
        <v>0</v>
      </c>
      <c r="O9066" t="n">
        <v>0</v>
      </c>
      <c r="P9066" t="n">
        <v>0</v>
      </c>
      <c r="Q9066" t="n">
        <v>0</v>
      </c>
      <c r="R9066" s="2" t="inlineStr"/>
    </row>
    <row r="9067" ht="15" customHeight="1">
      <c r="A9067" t="inlineStr">
        <is>
          <t>A 55177-2024</t>
        </is>
      </c>
      <c r="B9067" s="1" t="n">
        <v>45621.53179398148</v>
      </c>
      <c r="C9067" s="1" t="n">
        <v>46093</v>
      </c>
      <c r="D9067" t="inlineStr">
        <is>
          <t>VÄSTERNORRLANDS LÄN</t>
        </is>
      </c>
      <c r="E9067" t="inlineStr">
        <is>
          <t>ÅNGE</t>
        </is>
      </c>
      <c r="F9067" t="inlineStr">
        <is>
          <t>SCA</t>
        </is>
      </c>
      <c r="G9067" t="n">
        <v>2.2</v>
      </c>
      <c r="H9067" t="n">
        <v>0</v>
      </c>
      <c r="I9067" t="n">
        <v>0</v>
      </c>
      <c r="J9067" t="n">
        <v>0</v>
      </c>
      <c r="K9067" t="n">
        <v>0</v>
      </c>
      <c r="L9067" t="n">
        <v>0</v>
      </c>
      <c r="M9067" t="n">
        <v>0</v>
      </c>
      <c r="N9067" t="n">
        <v>0</v>
      </c>
      <c r="O9067" t="n">
        <v>0</v>
      </c>
      <c r="P9067" t="n">
        <v>0</v>
      </c>
      <c r="Q9067" t="n">
        <v>0</v>
      </c>
      <c r="R9067" s="2" t="inlineStr"/>
    </row>
    <row r="9068" ht="15" customHeight="1">
      <c r="A9068" t="inlineStr">
        <is>
          <t>A 52598-2024</t>
        </is>
      </c>
      <c r="B9068" s="1" t="n">
        <v>45609</v>
      </c>
      <c r="C9068" s="1" t="n">
        <v>46093</v>
      </c>
      <c r="D9068" t="inlineStr">
        <is>
          <t>VÄSTERNORRLANDS LÄN</t>
        </is>
      </c>
      <c r="E9068" t="inlineStr">
        <is>
          <t>HÄRNÖSAND</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65633-2021</t>
        </is>
      </c>
      <c r="B9069" s="1" t="n">
        <v>44516.56181712963</v>
      </c>
      <c r="C9069" s="1" t="n">
        <v>46093</v>
      </c>
      <c r="D9069" t="inlineStr">
        <is>
          <t>VÄSTERNORRLANDS LÄN</t>
        </is>
      </c>
      <c r="E9069" t="inlineStr">
        <is>
          <t>ÅNGE</t>
        </is>
      </c>
      <c r="G9069" t="n">
        <v>1.7</v>
      </c>
      <c r="H9069" t="n">
        <v>0</v>
      </c>
      <c r="I9069" t="n">
        <v>0</v>
      </c>
      <c r="J9069" t="n">
        <v>0</v>
      </c>
      <c r="K9069" t="n">
        <v>0</v>
      </c>
      <c r="L9069" t="n">
        <v>0</v>
      </c>
      <c r="M9069" t="n">
        <v>0</v>
      </c>
      <c r="N9069" t="n">
        <v>0</v>
      </c>
      <c r="O9069" t="n">
        <v>0</v>
      </c>
      <c r="P9069" t="n">
        <v>0</v>
      </c>
      <c r="Q9069" t="n">
        <v>0</v>
      </c>
      <c r="R9069" s="2" t="inlineStr"/>
    </row>
    <row r="9070" ht="15" customHeight="1">
      <c r="A9070" t="inlineStr">
        <is>
          <t>A 39495-2023</t>
        </is>
      </c>
      <c r="B9070" s="1" t="n">
        <v>45166.95712962963</v>
      </c>
      <c r="C9070" s="1" t="n">
        <v>46093</v>
      </c>
      <c r="D9070" t="inlineStr">
        <is>
          <t>VÄSTERNORRLANDS LÄN</t>
        </is>
      </c>
      <c r="E9070" t="inlineStr">
        <is>
          <t>SOLLEFTEÅ</t>
        </is>
      </c>
      <c r="F9070" t="inlineStr">
        <is>
          <t>SCA</t>
        </is>
      </c>
      <c r="G9070" t="n">
        <v>5.6</v>
      </c>
      <c r="H9070" t="n">
        <v>0</v>
      </c>
      <c r="I9070" t="n">
        <v>0</v>
      </c>
      <c r="J9070" t="n">
        <v>0</v>
      </c>
      <c r="K9070" t="n">
        <v>0</v>
      </c>
      <c r="L9070" t="n">
        <v>0</v>
      </c>
      <c r="M9070" t="n">
        <v>0</v>
      </c>
      <c r="N9070" t="n">
        <v>0</v>
      </c>
      <c r="O9070" t="n">
        <v>0</v>
      </c>
      <c r="P9070" t="n">
        <v>0</v>
      </c>
      <c r="Q9070" t="n">
        <v>0</v>
      </c>
      <c r="R9070" s="2" t="inlineStr"/>
    </row>
    <row r="9071" ht="15" customHeight="1">
      <c r="A9071" t="inlineStr">
        <is>
          <t>A 54458-2024</t>
        </is>
      </c>
      <c r="B9071" s="1" t="n">
        <v>45617.5325</v>
      </c>
      <c r="C9071" s="1" t="n">
        <v>46093</v>
      </c>
      <c r="D9071" t="inlineStr">
        <is>
          <t>VÄSTERNORRLANDS LÄN</t>
        </is>
      </c>
      <c r="E9071" t="inlineStr">
        <is>
          <t>SOLLEFTEÅ</t>
        </is>
      </c>
      <c r="F9071" t="inlineStr">
        <is>
          <t>SCA</t>
        </is>
      </c>
      <c r="G9071" t="n">
        <v>2.6</v>
      </c>
      <c r="H9071" t="n">
        <v>0</v>
      </c>
      <c r="I9071" t="n">
        <v>0</v>
      </c>
      <c r="J9071" t="n">
        <v>0</v>
      </c>
      <c r="K9071" t="n">
        <v>0</v>
      </c>
      <c r="L9071" t="n">
        <v>0</v>
      </c>
      <c r="M9071" t="n">
        <v>0</v>
      </c>
      <c r="N9071" t="n">
        <v>0</v>
      </c>
      <c r="O9071" t="n">
        <v>0</v>
      </c>
      <c r="P9071" t="n">
        <v>0</v>
      </c>
      <c r="Q9071" t="n">
        <v>0</v>
      </c>
      <c r="R9071" s="2" t="inlineStr"/>
    </row>
    <row r="9072" ht="15" customHeight="1">
      <c r="A9072" t="inlineStr">
        <is>
          <t>A 60709-2025</t>
        </is>
      </c>
      <c r="B9072" s="1" t="n">
        <v>45996.62238425926</v>
      </c>
      <c r="C9072" s="1" t="n">
        <v>46093</v>
      </c>
      <c r="D9072" t="inlineStr">
        <is>
          <t>VÄSTERNORRLANDS LÄN</t>
        </is>
      </c>
      <c r="E9072" t="inlineStr">
        <is>
          <t>SOLLEFTEÅ</t>
        </is>
      </c>
      <c r="F9072" t="inlineStr">
        <is>
          <t>Holmen skog AB</t>
        </is>
      </c>
      <c r="G9072" t="n">
        <v>5.2</v>
      </c>
      <c r="H9072" t="n">
        <v>0</v>
      </c>
      <c r="I9072" t="n">
        <v>0</v>
      </c>
      <c r="J9072" t="n">
        <v>0</v>
      </c>
      <c r="K9072" t="n">
        <v>0</v>
      </c>
      <c r="L9072" t="n">
        <v>0</v>
      </c>
      <c r="M9072" t="n">
        <v>0</v>
      </c>
      <c r="N9072" t="n">
        <v>0</v>
      </c>
      <c r="O9072" t="n">
        <v>0</v>
      </c>
      <c r="P9072" t="n">
        <v>0</v>
      </c>
      <c r="Q9072" t="n">
        <v>0</v>
      </c>
      <c r="R9072" s="2" t="inlineStr"/>
    </row>
    <row r="9073" ht="15" customHeight="1">
      <c r="A9073" t="inlineStr">
        <is>
          <t>A 3465-2025</t>
        </is>
      </c>
      <c r="B9073" s="1" t="n">
        <v>45680.49967592592</v>
      </c>
      <c r="C9073" s="1" t="n">
        <v>46093</v>
      </c>
      <c r="D9073" t="inlineStr">
        <is>
          <t>VÄSTERNORRLANDS LÄN</t>
        </is>
      </c>
      <c r="E9073" t="inlineStr">
        <is>
          <t>KRAMFORS</t>
        </is>
      </c>
      <c r="G9073" t="n">
        <v>7.8</v>
      </c>
      <c r="H9073" t="n">
        <v>0</v>
      </c>
      <c r="I9073" t="n">
        <v>0</v>
      </c>
      <c r="J9073" t="n">
        <v>0</v>
      </c>
      <c r="K9073" t="n">
        <v>0</v>
      </c>
      <c r="L9073" t="n">
        <v>0</v>
      </c>
      <c r="M9073" t="n">
        <v>0</v>
      </c>
      <c r="N9073" t="n">
        <v>0</v>
      </c>
      <c r="O9073" t="n">
        <v>0</v>
      </c>
      <c r="P9073" t="n">
        <v>0</v>
      </c>
      <c r="Q9073" t="n">
        <v>0</v>
      </c>
      <c r="R9073" s="2" t="inlineStr"/>
    </row>
    <row r="9074" ht="15" customHeight="1">
      <c r="A9074" t="inlineStr">
        <is>
          <t>A 39177-2024</t>
        </is>
      </c>
      <c r="B9074" s="1" t="n">
        <v>45548.65681712963</v>
      </c>
      <c r="C9074" s="1" t="n">
        <v>46093</v>
      </c>
      <c r="D9074" t="inlineStr">
        <is>
          <t>VÄSTERNORRLANDS LÄN</t>
        </is>
      </c>
      <c r="E9074" t="inlineStr">
        <is>
          <t>SOLLEFTEÅ</t>
        </is>
      </c>
      <c r="F9074" t="inlineStr">
        <is>
          <t>SCA</t>
        </is>
      </c>
      <c r="G9074" t="n">
        <v>2</v>
      </c>
      <c r="H9074" t="n">
        <v>0</v>
      </c>
      <c r="I9074" t="n">
        <v>0</v>
      </c>
      <c r="J9074" t="n">
        <v>0</v>
      </c>
      <c r="K9074" t="n">
        <v>0</v>
      </c>
      <c r="L9074" t="n">
        <v>0</v>
      </c>
      <c r="M9074" t="n">
        <v>0</v>
      </c>
      <c r="N9074" t="n">
        <v>0</v>
      </c>
      <c r="O9074" t="n">
        <v>0</v>
      </c>
      <c r="P9074" t="n">
        <v>0</v>
      </c>
      <c r="Q9074" t="n">
        <v>0</v>
      </c>
      <c r="R9074" s="2" t="inlineStr"/>
    </row>
    <row r="9075" ht="15" customHeight="1">
      <c r="A9075" t="inlineStr">
        <is>
          <t>A 60342-2025</t>
        </is>
      </c>
      <c r="B9075" s="1" t="n">
        <v>45994.86804398148</v>
      </c>
      <c r="C9075" s="1" t="n">
        <v>46093</v>
      </c>
      <c r="D9075" t="inlineStr">
        <is>
          <t>VÄSTERNORRLANDS LÄN</t>
        </is>
      </c>
      <c r="E9075" t="inlineStr">
        <is>
          <t>ÅNGE</t>
        </is>
      </c>
      <c r="G9075" t="n">
        <v>2.5</v>
      </c>
      <c r="H9075" t="n">
        <v>0</v>
      </c>
      <c r="I9075" t="n">
        <v>0</v>
      </c>
      <c r="J9075" t="n">
        <v>0</v>
      </c>
      <c r="K9075" t="n">
        <v>0</v>
      </c>
      <c r="L9075" t="n">
        <v>0</v>
      </c>
      <c r="M9075" t="n">
        <v>0</v>
      </c>
      <c r="N9075" t="n">
        <v>0</v>
      </c>
      <c r="O9075" t="n">
        <v>0</v>
      </c>
      <c r="P9075" t="n">
        <v>0</v>
      </c>
      <c r="Q9075" t="n">
        <v>0</v>
      </c>
      <c r="R9075" s="2" t="inlineStr"/>
    </row>
    <row r="9076" ht="15" customHeight="1">
      <c r="A9076" t="inlineStr">
        <is>
          <t>A 35504-2023</t>
        </is>
      </c>
      <c r="B9076" s="1" t="n">
        <v>45146.94744212963</v>
      </c>
      <c r="C9076" s="1" t="n">
        <v>46093</v>
      </c>
      <c r="D9076" t="inlineStr">
        <is>
          <t>VÄSTERNORRLANDS LÄN</t>
        </is>
      </c>
      <c r="E9076" t="inlineStr">
        <is>
          <t>SUNDSVALL</t>
        </is>
      </c>
      <c r="F9076" t="inlineStr">
        <is>
          <t>Naturvårdsverket</t>
        </is>
      </c>
      <c r="G9076" t="n">
        <v>1.9</v>
      </c>
      <c r="H9076" t="n">
        <v>0</v>
      </c>
      <c r="I9076" t="n">
        <v>0</v>
      </c>
      <c r="J9076" t="n">
        <v>0</v>
      </c>
      <c r="K9076" t="n">
        <v>0</v>
      </c>
      <c r="L9076" t="n">
        <v>0</v>
      </c>
      <c r="M9076" t="n">
        <v>0</v>
      </c>
      <c r="N9076" t="n">
        <v>0</v>
      </c>
      <c r="O9076" t="n">
        <v>0</v>
      </c>
      <c r="P9076" t="n">
        <v>0</v>
      </c>
      <c r="Q9076" t="n">
        <v>0</v>
      </c>
      <c r="R9076" s="2" t="inlineStr"/>
    </row>
    <row r="9077" ht="15" customHeight="1">
      <c r="A9077" t="inlineStr">
        <is>
          <t>A 14149-2024</t>
        </is>
      </c>
      <c r="B9077" s="1" t="n">
        <v>45392.92831018518</v>
      </c>
      <c r="C9077" s="1" t="n">
        <v>46093</v>
      </c>
      <c r="D9077" t="inlineStr">
        <is>
          <t>VÄSTERNORRLANDS LÄN</t>
        </is>
      </c>
      <c r="E9077" t="inlineStr">
        <is>
          <t>KRAMFORS</t>
        </is>
      </c>
      <c r="G9077" t="n">
        <v>7.6</v>
      </c>
      <c r="H9077" t="n">
        <v>0</v>
      </c>
      <c r="I9077" t="n">
        <v>0</v>
      </c>
      <c r="J9077" t="n">
        <v>0</v>
      </c>
      <c r="K9077" t="n">
        <v>0</v>
      </c>
      <c r="L9077" t="n">
        <v>0</v>
      </c>
      <c r="M9077" t="n">
        <v>0</v>
      </c>
      <c r="N9077" t="n">
        <v>0</v>
      </c>
      <c r="O9077" t="n">
        <v>0</v>
      </c>
      <c r="P9077" t="n">
        <v>0</v>
      </c>
      <c r="Q9077" t="n">
        <v>0</v>
      </c>
      <c r="R9077" s="2" t="inlineStr"/>
    </row>
    <row r="9078" ht="15" customHeight="1">
      <c r="A9078" t="inlineStr">
        <is>
          <t>A 14153-2024</t>
        </is>
      </c>
      <c r="B9078" s="1" t="n">
        <v>45392</v>
      </c>
      <c r="C9078" s="1" t="n">
        <v>46093</v>
      </c>
      <c r="D9078" t="inlineStr">
        <is>
          <t>VÄSTERNORRLANDS LÄN</t>
        </is>
      </c>
      <c r="E9078" t="inlineStr">
        <is>
          <t>SUNDSVALL</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28480-2022</t>
        </is>
      </c>
      <c r="B9079" s="1" t="n">
        <v>44747</v>
      </c>
      <c r="C9079" s="1" t="n">
        <v>46093</v>
      </c>
      <c r="D9079" t="inlineStr">
        <is>
          <t>VÄSTERNORRLANDS LÄN</t>
        </is>
      </c>
      <c r="E9079" t="inlineStr">
        <is>
          <t>SUNDSVALL</t>
        </is>
      </c>
      <c r="G9079" t="n">
        <v>11.6</v>
      </c>
      <c r="H9079" t="n">
        <v>0</v>
      </c>
      <c r="I9079" t="n">
        <v>0</v>
      </c>
      <c r="J9079" t="n">
        <v>0</v>
      </c>
      <c r="K9079" t="n">
        <v>0</v>
      </c>
      <c r="L9079" t="n">
        <v>0</v>
      </c>
      <c r="M9079" t="n">
        <v>0</v>
      </c>
      <c r="N9079" t="n">
        <v>0</v>
      </c>
      <c r="O9079" t="n">
        <v>0</v>
      </c>
      <c r="P9079" t="n">
        <v>0</v>
      </c>
      <c r="Q9079" t="n">
        <v>0</v>
      </c>
      <c r="R9079" s="2" t="inlineStr"/>
    </row>
    <row r="9080" ht="15" customHeight="1">
      <c r="A9080" t="inlineStr">
        <is>
          <t>A 38864-2024</t>
        </is>
      </c>
      <c r="B9080" s="1" t="n">
        <v>45547.63525462963</v>
      </c>
      <c r="C9080" s="1" t="n">
        <v>46093</v>
      </c>
      <c r="D9080" t="inlineStr">
        <is>
          <t>VÄSTERNORRLANDS LÄN</t>
        </is>
      </c>
      <c r="E9080" t="inlineStr">
        <is>
          <t>SUNDSVALL</t>
        </is>
      </c>
      <c r="F9080" t="inlineStr">
        <is>
          <t>Holmen skog AB</t>
        </is>
      </c>
      <c r="G9080" t="n">
        <v>3.6</v>
      </c>
      <c r="H9080" t="n">
        <v>0</v>
      </c>
      <c r="I9080" t="n">
        <v>0</v>
      </c>
      <c r="J9080" t="n">
        <v>0</v>
      </c>
      <c r="K9080" t="n">
        <v>0</v>
      </c>
      <c r="L9080" t="n">
        <v>0</v>
      </c>
      <c r="M9080" t="n">
        <v>0</v>
      </c>
      <c r="N9080" t="n">
        <v>0</v>
      </c>
      <c r="O9080" t="n">
        <v>0</v>
      </c>
      <c r="P9080" t="n">
        <v>0</v>
      </c>
      <c r="Q9080" t="n">
        <v>0</v>
      </c>
      <c r="R9080" s="2" t="inlineStr"/>
    </row>
    <row r="9081" ht="15" customHeight="1">
      <c r="A9081" t="inlineStr">
        <is>
          <t>A 60510-2025</t>
        </is>
      </c>
      <c r="B9081" s="1" t="n">
        <v>45995</v>
      </c>
      <c r="C9081" s="1" t="n">
        <v>46093</v>
      </c>
      <c r="D9081" t="inlineStr">
        <is>
          <t>VÄSTERNORRLANDS LÄN</t>
        </is>
      </c>
      <c r="E9081" t="inlineStr">
        <is>
          <t>ÖRNSKÖLDSVIK</t>
        </is>
      </c>
      <c r="G9081" t="n">
        <v>2.6</v>
      </c>
      <c r="H9081" t="n">
        <v>0</v>
      </c>
      <c r="I9081" t="n">
        <v>0</v>
      </c>
      <c r="J9081" t="n">
        <v>0</v>
      </c>
      <c r="K9081" t="n">
        <v>0</v>
      </c>
      <c r="L9081" t="n">
        <v>0</v>
      </c>
      <c r="M9081" t="n">
        <v>0</v>
      </c>
      <c r="N9081" t="n">
        <v>0</v>
      </c>
      <c r="O9081" t="n">
        <v>0</v>
      </c>
      <c r="P9081" t="n">
        <v>0</v>
      </c>
      <c r="Q9081" t="n">
        <v>0</v>
      </c>
      <c r="R9081" s="2" t="inlineStr"/>
    </row>
    <row r="9082" ht="15" customHeight="1">
      <c r="A9082" t="inlineStr">
        <is>
          <t>A 38867-2024</t>
        </is>
      </c>
      <c r="B9082" s="1" t="n">
        <v>45547.63798611111</v>
      </c>
      <c r="C9082" s="1" t="n">
        <v>46093</v>
      </c>
      <c r="D9082" t="inlineStr">
        <is>
          <t>VÄSTERNORRLANDS LÄN</t>
        </is>
      </c>
      <c r="E9082" t="inlineStr">
        <is>
          <t>ÖRNSKÖLDSVIK</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11668-2025</t>
        </is>
      </c>
      <c r="B9083" s="1" t="n">
        <v>45727.51084490741</v>
      </c>
      <c r="C9083" s="1" t="n">
        <v>46093</v>
      </c>
      <c r="D9083" t="inlineStr">
        <is>
          <t>VÄSTERNORRLANDS LÄN</t>
        </is>
      </c>
      <c r="E9083" t="inlineStr">
        <is>
          <t>SUNDSVALL</t>
        </is>
      </c>
      <c r="G9083" t="n">
        <v>2.4</v>
      </c>
      <c r="H9083" t="n">
        <v>0</v>
      </c>
      <c r="I9083" t="n">
        <v>0</v>
      </c>
      <c r="J9083" t="n">
        <v>0</v>
      </c>
      <c r="K9083" t="n">
        <v>0</v>
      </c>
      <c r="L9083" t="n">
        <v>0</v>
      </c>
      <c r="M9083" t="n">
        <v>0</v>
      </c>
      <c r="N9083" t="n">
        <v>0</v>
      </c>
      <c r="O9083" t="n">
        <v>0</v>
      </c>
      <c r="P9083" t="n">
        <v>0</v>
      </c>
      <c r="Q9083" t="n">
        <v>0</v>
      </c>
      <c r="R9083" s="2" t="inlineStr"/>
    </row>
    <row r="9084" ht="15" customHeight="1">
      <c r="A9084" t="inlineStr">
        <is>
          <t>A 11774-2025</t>
        </is>
      </c>
      <c r="B9084" s="1" t="n">
        <v>45727</v>
      </c>
      <c r="C9084" s="1" t="n">
        <v>46093</v>
      </c>
      <c r="D9084" t="inlineStr">
        <is>
          <t>VÄSTERNORRLANDS LÄN</t>
        </is>
      </c>
      <c r="E9084" t="inlineStr">
        <is>
          <t>ÖRNSKÖLDSVIK</t>
        </is>
      </c>
      <c r="G9084" t="n">
        <v>0.4</v>
      </c>
      <c r="H9084" t="n">
        <v>0</v>
      </c>
      <c r="I9084" t="n">
        <v>0</v>
      </c>
      <c r="J9084" t="n">
        <v>0</v>
      </c>
      <c r="K9084" t="n">
        <v>0</v>
      </c>
      <c r="L9084" t="n">
        <v>0</v>
      </c>
      <c r="M9084" t="n">
        <v>0</v>
      </c>
      <c r="N9084" t="n">
        <v>0</v>
      </c>
      <c r="O9084" t="n">
        <v>0</v>
      </c>
      <c r="P9084" t="n">
        <v>0</v>
      </c>
      <c r="Q9084" t="n">
        <v>0</v>
      </c>
      <c r="R9084" s="2" t="inlineStr"/>
    </row>
    <row r="9085" ht="15" customHeight="1">
      <c r="A9085" t="inlineStr">
        <is>
          <t>A 40127-2024</t>
        </is>
      </c>
      <c r="B9085" s="1" t="n">
        <v>45554</v>
      </c>
      <c r="C9085" s="1" t="n">
        <v>46093</v>
      </c>
      <c r="D9085" t="inlineStr">
        <is>
          <t>VÄSTERNORRLANDS LÄN</t>
        </is>
      </c>
      <c r="E9085" t="inlineStr">
        <is>
          <t>KRAMFORS</t>
        </is>
      </c>
      <c r="G9085" t="n">
        <v>0.5</v>
      </c>
      <c r="H9085" t="n">
        <v>0</v>
      </c>
      <c r="I9085" t="n">
        <v>0</v>
      </c>
      <c r="J9085" t="n">
        <v>0</v>
      </c>
      <c r="K9085" t="n">
        <v>0</v>
      </c>
      <c r="L9085" t="n">
        <v>0</v>
      </c>
      <c r="M9085" t="n">
        <v>0</v>
      </c>
      <c r="N9085" t="n">
        <v>0</v>
      </c>
      <c r="O9085" t="n">
        <v>0</v>
      </c>
      <c r="P9085" t="n">
        <v>0</v>
      </c>
      <c r="Q9085" t="n">
        <v>0</v>
      </c>
      <c r="R9085" s="2" t="inlineStr"/>
    </row>
    <row r="9086" ht="15" customHeight="1">
      <c r="A9086" t="inlineStr">
        <is>
          <t>A 6172-2022</t>
        </is>
      </c>
      <c r="B9086" s="1" t="n">
        <v>44599.93700231481</v>
      </c>
      <c r="C9086" s="1" t="n">
        <v>46093</v>
      </c>
      <c r="D9086" t="inlineStr">
        <is>
          <t>VÄSTERNORRLANDS LÄN</t>
        </is>
      </c>
      <c r="E9086" t="inlineStr">
        <is>
          <t>SOLLEFTEÅ</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60578-2025</t>
        </is>
      </c>
      <c r="B9087" s="1" t="n">
        <v>45996.32152777778</v>
      </c>
      <c r="C9087" s="1" t="n">
        <v>46093</v>
      </c>
      <c r="D9087" t="inlineStr">
        <is>
          <t>VÄSTERNORRLANDS LÄN</t>
        </is>
      </c>
      <c r="E9087" t="inlineStr">
        <is>
          <t>ÖRNSKÖLDSVIK</t>
        </is>
      </c>
      <c r="G9087" t="n">
        <v>1.1</v>
      </c>
      <c r="H9087" t="n">
        <v>0</v>
      </c>
      <c r="I9087" t="n">
        <v>0</v>
      </c>
      <c r="J9087" t="n">
        <v>0</v>
      </c>
      <c r="K9087" t="n">
        <v>0</v>
      </c>
      <c r="L9087" t="n">
        <v>0</v>
      </c>
      <c r="M9087" t="n">
        <v>0</v>
      </c>
      <c r="N9087" t="n">
        <v>0</v>
      </c>
      <c r="O9087" t="n">
        <v>0</v>
      </c>
      <c r="P9087" t="n">
        <v>0</v>
      </c>
      <c r="Q9087" t="n">
        <v>0</v>
      </c>
      <c r="R9087" s="2" t="inlineStr"/>
    </row>
    <row r="9088" ht="15" customHeight="1">
      <c r="A9088" t="inlineStr">
        <is>
          <t>A 60495-2024</t>
        </is>
      </c>
      <c r="B9088" s="1" t="n">
        <v>45643.65700231482</v>
      </c>
      <c r="C9088" s="1" t="n">
        <v>46093</v>
      </c>
      <c r="D9088" t="inlineStr">
        <is>
          <t>VÄSTERNORRLANDS LÄN</t>
        </is>
      </c>
      <c r="E9088" t="inlineStr">
        <is>
          <t>SOLLEFTEÅ</t>
        </is>
      </c>
      <c r="F9088" t="inlineStr">
        <is>
          <t>SCA</t>
        </is>
      </c>
      <c r="G9088" t="n">
        <v>4.6</v>
      </c>
      <c r="H9088" t="n">
        <v>0</v>
      </c>
      <c r="I9088" t="n">
        <v>0</v>
      </c>
      <c r="J9088" t="n">
        <v>0</v>
      </c>
      <c r="K9088" t="n">
        <v>0</v>
      </c>
      <c r="L9088" t="n">
        <v>0</v>
      </c>
      <c r="M9088" t="n">
        <v>0</v>
      </c>
      <c r="N9088" t="n">
        <v>0</v>
      </c>
      <c r="O9088" t="n">
        <v>0</v>
      </c>
      <c r="P9088" t="n">
        <v>0</v>
      </c>
      <c r="Q9088" t="n">
        <v>0</v>
      </c>
      <c r="R9088" s="2" t="inlineStr"/>
    </row>
    <row r="9089" ht="15" customHeight="1">
      <c r="A9089" t="inlineStr">
        <is>
          <t>A 60077-2024</t>
        </is>
      </c>
      <c r="B9089" s="1" t="n">
        <v>45642</v>
      </c>
      <c r="C9089" s="1" t="n">
        <v>46093</v>
      </c>
      <c r="D9089" t="inlineStr">
        <is>
          <t>VÄSTERNORRLANDS LÄN</t>
        </is>
      </c>
      <c r="E9089" t="inlineStr">
        <is>
          <t>SOLLEFTEÅ</t>
        </is>
      </c>
      <c r="F9089" t="inlineStr">
        <is>
          <t>SCA</t>
        </is>
      </c>
      <c r="G9089" t="n">
        <v>21.5</v>
      </c>
      <c r="H9089" t="n">
        <v>0</v>
      </c>
      <c r="I9089" t="n">
        <v>0</v>
      </c>
      <c r="J9089" t="n">
        <v>0</v>
      </c>
      <c r="K9089" t="n">
        <v>0</v>
      </c>
      <c r="L9089" t="n">
        <v>0</v>
      </c>
      <c r="M9089" t="n">
        <v>0</v>
      </c>
      <c r="N9089" t="n">
        <v>0</v>
      </c>
      <c r="O9089" t="n">
        <v>0</v>
      </c>
      <c r="P9089" t="n">
        <v>0</v>
      </c>
      <c r="Q9089" t="n">
        <v>0</v>
      </c>
      <c r="R9089" s="2" t="inlineStr"/>
    </row>
    <row r="9090" ht="15" customHeight="1">
      <c r="A9090" t="inlineStr">
        <is>
          <t>A 36726-2023</t>
        </is>
      </c>
      <c r="B9090" s="1" t="n">
        <v>45153.68478009259</v>
      </c>
      <c r="C9090" s="1" t="n">
        <v>46093</v>
      </c>
      <c r="D9090" t="inlineStr">
        <is>
          <t>VÄSTERNORRLANDS LÄN</t>
        </is>
      </c>
      <c r="E9090" t="inlineStr">
        <is>
          <t>ÖRNSKÖLDSVIK</t>
        </is>
      </c>
      <c r="G9090" t="n">
        <v>5.1</v>
      </c>
      <c r="H9090" t="n">
        <v>0</v>
      </c>
      <c r="I9090" t="n">
        <v>0</v>
      </c>
      <c r="J9090" t="n">
        <v>0</v>
      </c>
      <c r="K9090" t="n">
        <v>0</v>
      </c>
      <c r="L9090" t="n">
        <v>0</v>
      </c>
      <c r="M9090" t="n">
        <v>0</v>
      </c>
      <c r="N9090" t="n">
        <v>0</v>
      </c>
      <c r="O9090" t="n">
        <v>0</v>
      </c>
      <c r="P9090" t="n">
        <v>0</v>
      </c>
      <c r="Q9090" t="n">
        <v>0</v>
      </c>
      <c r="R9090" s="2" t="inlineStr"/>
    </row>
    <row r="9091" ht="15" customHeight="1">
      <c r="A9091" t="inlineStr">
        <is>
          <t>A 19586-2024</t>
        </is>
      </c>
      <c r="B9091" s="1" t="n">
        <v>45429</v>
      </c>
      <c r="C9091" s="1" t="n">
        <v>46093</v>
      </c>
      <c r="D9091" t="inlineStr">
        <is>
          <t>VÄSTERNORRLANDS LÄN</t>
        </is>
      </c>
      <c r="E9091" t="inlineStr">
        <is>
          <t>SUNDSVALL</t>
        </is>
      </c>
      <c r="F9091" t="inlineStr">
        <is>
          <t>SCA</t>
        </is>
      </c>
      <c r="G9091" t="n">
        <v>2.7</v>
      </c>
      <c r="H9091" t="n">
        <v>0</v>
      </c>
      <c r="I9091" t="n">
        <v>0</v>
      </c>
      <c r="J9091" t="n">
        <v>0</v>
      </c>
      <c r="K9091" t="n">
        <v>0</v>
      </c>
      <c r="L9091" t="n">
        <v>0</v>
      </c>
      <c r="M9091" t="n">
        <v>0</v>
      </c>
      <c r="N9091" t="n">
        <v>0</v>
      </c>
      <c r="O9091" t="n">
        <v>0</v>
      </c>
      <c r="P9091" t="n">
        <v>0</v>
      </c>
      <c r="Q9091" t="n">
        <v>0</v>
      </c>
      <c r="R9091" s="2" t="inlineStr"/>
    </row>
    <row r="9092" ht="15" customHeight="1">
      <c r="A9092" t="inlineStr">
        <is>
          <t>A 60597-2025</t>
        </is>
      </c>
      <c r="B9092" s="1" t="n">
        <v>45996</v>
      </c>
      <c r="C9092" s="1" t="n">
        <v>46093</v>
      </c>
      <c r="D9092" t="inlineStr">
        <is>
          <t>VÄSTERNORRLANDS LÄN</t>
        </is>
      </c>
      <c r="E9092" t="inlineStr">
        <is>
          <t>SOLLEFTEÅ</t>
        </is>
      </c>
      <c r="G9092" t="n">
        <v>4</v>
      </c>
      <c r="H9092" t="n">
        <v>0</v>
      </c>
      <c r="I9092" t="n">
        <v>0</v>
      </c>
      <c r="J9092" t="n">
        <v>0</v>
      </c>
      <c r="K9092" t="n">
        <v>0</v>
      </c>
      <c r="L9092" t="n">
        <v>0</v>
      </c>
      <c r="M9092" t="n">
        <v>0</v>
      </c>
      <c r="N9092" t="n">
        <v>0</v>
      </c>
      <c r="O9092" t="n">
        <v>0</v>
      </c>
      <c r="P9092" t="n">
        <v>0</v>
      </c>
      <c r="Q9092" t="n">
        <v>0</v>
      </c>
      <c r="R9092" s="2" t="inlineStr"/>
    </row>
    <row r="9093" ht="15" customHeight="1">
      <c r="A9093" t="inlineStr">
        <is>
          <t>A 14888-2025</t>
        </is>
      </c>
      <c r="B9093" s="1" t="n">
        <v>45743.46872685185</v>
      </c>
      <c r="C9093" s="1" t="n">
        <v>46093</v>
      </c>
      <c r="D9093" t="inlineStr">
        <is>
          <t>VÄSTERNORRLANDS LÄN</t>
        </is>
      </c>
      <c r="E9093" t="inlineStr">
        <is>
          <t>ÖRNSKÖLDSVIK</t>
        </is>
      </c>
      <c r="G9093" t="n">
        <v>4.2</v>
      </c>
      <c r="H9093" t="n">
        <v>0</v>
      </c>
      <c r="I9093" t="n">
        <v>0</v>
      </c>
      <c r="J9093" t="n">
        <v>0</v>
      </c>
      <c r="K9093" t="n">
        <v>0</v>
      </c>
      <c r="L9093" t="n">
        <v>0</v>
      </c>
      <c r="M9093" t="n">
        <v>0</v>
      </c>
      <c r="N9093" t="n">
        <v>0</v>
      </c>
      <c r="O9093" t="n">
        <v>0</v>
      </c>
      <c r="P9093" t="n">
        <v>0</v>
      </c>
      <c r="Q9093" t="n">
        <v>0</v>
      </c>
      <c r="R9093" s="2" t="inlineStr"/>
    </row>
    <row r="9094" ht="15" customHeight="1">
      <c r="A9094" t="inlineStr">
        <is>
          <t>A 60350-2025</t>
        </is>
      </c>
      <c r="B9094" s="1" t="n">
        <v>45995.29032407407</v>
      </c>
      <c r="C9094" s="1" t="n">
        <v>46093</v>
      </c>
      <c r="D9094" t="inlineStr">
        <is>
          <t>VÄSTERNORRLANDS LÄN</t>
        </is>
      </c>
      <c r="E9094" t="inlineStr">
        <is>
          <t>ÖRNSKÖLDSVIK</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60519-2025</t>
        </is>
      </c>
      <c r="B9095" s="1" t="n">
        <v>45995.6367824074</v>
      </c>
      <c r="C9095" s="1" t="n">
        <v>46093</v>
      </c>
      <c r="D9095" t="inlineStr">
        <is>
          <t>VÄSTERNORRLANDS LÄN</t>
        </is>
      </c>
      <c r="E9095" t="inlineStr">
        <is>
          <t>SUNDSVALL</t>
        </is>
      </c>
      <c r="F9095" t="inlineStr">
        <is>
          <t>SCA</t>
        </is>
      </c>
      <c r="G9095" t="n">
        <v>4</v>
      </c>
      <c r="H9095" t="n">
        <v>0</v>
      </c>
      <c r="I9095" t="n">
        <v>0</v>
      </c>
      <c r="J9095" t="n">
        <v>0</v>
      </c>
      <c r="K9095" t="n">
        <v>0</v>
      </c>
      <c r="L9095" t="n">
        <v>0</v>
      </c>
      <c r="M9095" t="n">
        <v>0</v>
      </c>
      <c r="N9095" t="n">
        <v>0</v>
      </c>
      <c r="O9095" t="n">
        <v>0</v>
      </c>
      <c r="P9095" t="n">
        <v>0</v>
      </c>
      <c r="Q9095" t="n">
        <v>0</v>
      </c>
      <c r="R9095" s="2" t="inlineStr"/>
    </row>
    <row r="9096" ht="15" customHeight="1">
      <c r="A9096" t="inlineStr">
        <is>
          <t>A 60525-2025</t>
        </is>
      </c>
      <c r="B9096" s="1" t="n">
        <v>45995</v>
      </c>
      <c r="C9096" s="1" t="n">
        <v>46093</v>
      </c>
      <c r="D9096" t="inlineStr">
        <is>
          <t>VÄSTERNORRLANDS LÄN</t>
        </is>
      </c>
      <c r="E9096" t="inlineStr">
        <is>
          <t>ÖRNSKÖLDSVIK</t>
        </is>
      </c>
      <c r="G9096" t="n">
        <v>2.6</v>
      </c>
      <c r="H9096" t="n">
        <v>0</v>
      </c>
      <c r="I9096" t="n">
        <v>0</v>
      </c>
      <c r="J9096" t="n">
        <v>0</v>
      </c>
      <c r="K9096" t="n">
        <v>0</v>
      </c>
      <c r="L9096" t="n">
        <v>0</v>
      </c>
      <c r="M9096" t="n">
        <v>0</v>
      </c>
      <c r="N9096" t="n">
        <v>0</v>
      </c>
      <c r="O9096" t="n">
        <v>0</v>
      </c>
      <c r="P9096" t="n">
        <v>0</v>
      </c>
      <c r="Q9096" t="n">
        <v>0</v>
      </c>
      <c r="R9096" s="2" t="inlineStr"/>
    </row>
    <row r="9097" ht="15" customHeight="1">
      <c r="A9097" t="inlineStr">
        <is>
          <t>A 60475-2025</t>
        </is>
      </c>
      <c r="B9097" s="1" t="n">
        <v>45995.58141203703</v>
      </c>
      <c r="C9097" s="1" t="n">
        <v>46093</v>
      </c>
      <c r="D9097" t="inlineStr">
        <is>
          <t>VÄSTERNORRLANDS LÄN</t>
        </is>
      </c>
      <c r="E9097" t="inlineStr">
        <is>
          <t>ÖRNSKÖLDSVIK</t>
        </is>
      </c>
      <c r="F9097" t="inlineStr">
        <is>
          <t>Holmen skog AB</t>
        </is>
      </c>
      <c r="G9097" t="n">
        <v>2.7</v>
      </c>
      <c r="H9097" t="n">
        <v>0</v>
      </c>
      <c r="I9097" t="n">
        <v>0</v>
      </c>
      <c r="J9097" t="n">
        <v>0</v>
      </c>
      <c r="K9097" t="n">
        <v>0</v>
      </c>
      <c r="L9097" t="n">
        <v>0</v>
      </c>
      <c r="M9097" t="n">
        <v>0</v>
      </c>
      <c r="N9097" t="n">
        <v>0</v>
      </c>
      <c r="O9097" t="n">
        <v>0</v>
      </c>
      <c r="P9097" t="n">
        <v>0</v>
      </c>
      <c r="Q9097" t="n">
        <v>0</v>
      </c>
      <c r="R9097" s="2" t="inlineStr"/>
    </row>
    <row r="9098" ht="15" customHeight="1">
      <c r="A9098" t="inlineStr">
        <is>
          <t>A 60483-2025</t>
        </is>
      </c>
      <c r="B9098" s="1" t="n">
        <v>45995.59846064815</v>
      </c>
      <c r="C9098" s="1" t="n">
        <v>46093</v>
      </c>
      <c r="D9098" t="inlineStr">
        <is>
          <t>VÄSTERNORRLANDS LÄN</t>
        </is>
      </c>
      <c r="E9098" t="inlineStr">
        <is>
          <t>ÖRNSKÖLDSVIK</t>
        </is>
      </c>
      <c r="F9098" t="inlineStr">
        <is>
          <t>Holmen skog AB</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60511-2021</t>
        </is>
      </c>
      <c r="B9099" s="1" t="n">
        <v>44495</v>
      </c>
      <c r="C9099" s="1" t="n">
        <v>46093</v>
      </c>
      <c r="D9099" t="inlineStr">
        <is>
          <t>VÄSTERNORRLANDS LÄN</t>
        </is>
      </c>
      <c r="E9099" t="inlineStr">
        <is>
          <t>ÖRNSKÖLDSVIK</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60383-2025</t>
        </is>
      </c>
      <c r="B9100" s="1" t="n">
        <v>45995.37831018519</v>
      </c>
      <c r="C9100" s="1" t="n">
        <v>46093</v>
      </c>
      <c r="D9100" t="inlineStr">
        <is>
          <t>VÄSTERNORRLANDS LÄN</t>
        </is>
      </c>
      <c r="E9100" t="inlineStr">
        <is>
          <t>ÖRNSKÖLDSVIK</t>
        </is>
      </c>
      <c r="G9100" t="n">
        <v>0.5</v>
      </c>
      <c r="H9100" t="n">
        <v>0</v>
      </c>
      <c r="I9100" t="n">
        <v>0</v>
      </c>
      <c r="J9100" t="n">
        <v>0</v>
      </c>
      <c r="K9100" t="n">
        <v>0</v>
      </c>
      <c r="L9100" t="n">
        <v>0</v>
      </c>
      <c r="M9100" t="n">
        <v>0</v>
      </c>
      <c r="N9100" t="n">
        <v>0</v>
      </c>
      <c r="O9100" t="n">
        <v>0</v>
      </c>
      <c r="P9100" t="n">
        <v>0</v>
      </c>
      <c r="Q9100" t="n">
        <v>0</v>
      </c>
      <c r="R9100" s="2" t="inlineStr"/>
    </row>
    <row r="9101" ht="15" customHeight="1">
      <c r="A9101" t="inlineStr">
        <is>
          <t>A 60402-2025</t>
        </is>
      </c>
      <c r="B9101" s="1" t="n">
        <v>45995.4262962963</v>
      </c>
      <c r="C9101" s="1" t="n">
        <v>46093</v>
      </c>
      <c r="D9101" t="inlineStr">
        <is>
          <t>VÄSTERNORRLANDS LÄN</t>
        </is>
      </c>
      <c r="E9101" t="inlineStr">
        <is>
          <t>ÅNGE</t>
        </is>
      </c>
      <c r="G9101" t="n">
        <v>2.1</v>
      </c>
      <c r="H9101" t="n">
        <v>0</v>
      </c>
      <c r="I9101" t="n">
        <v>0</v>
      </c>
      <c r="J9101" t="n">
        <v>0</v>
      </c>
      <c r="K9101" t="n">
        <v>0</v>
      </c>
      <c r="L9101" t="n">
        <v>0</v>
      </c>
      <c r="M9101" t="n">
        <v>0</v>
      </c>
      <c r="N9101" t="n">
        <v>0</v>
      </c>
      <c r="O9101" t="n">
        <v>0</v>
      </c>
      <c r="P9101" t="n">
        <v>0</v>
      </c>
      <c r="Q9101" t="n">
        <v>0</v>
      </c>
      <c r="R9101" s="2" t="inlineStr"/>
    </row>
    <row r="9102" ht="15" customHeight="1">
      <c r="A9102" t="inlineStr">
        <is>
          <t>A 60410-2025</t>
        </is>
      </c>
      <c r="B9102" s="1" t="n">
        <v>45995.44840277778</v>
      </c>
      <c r="C9102" s="1" t="n">
        <v>46093</v>
      </c>
      <c r="D9102" t="inlineStr">
        <is>
          <t>VÄSTERNORRLANDS LÄN</t>
        </is>
      </c>
      <c r="E9102" t="inlineStr">
        <is>
          <t>SOLLEFTEÅ</t>
        </is>
      </c>
      <c r="F9102" t="inlineStr">
        <is>
          <t>SCA</t>
        </is>
      </c>
      <c r="G9102" t="n">
        <v>4.2</v>
      </c>
      <c r="H9102" t="n">
        <v>0</v>
      </c>
      <c r="I9102" t="n">
        <v>0</v>
      </c>
      <c r="J9102" t="n">
        <v>0</v>
      </c>
      <c r="K9102" t="n">
        <v>0</v>
      </c>
      <c r="L9102" t="n">
        <v>0</v>
      </c>
      <c r="M9102" t="n">
        <v>0</v>
      </c>
      <c r="N9102" t="n">
        <v>0</v>
      </c>
      <c r="O9102" t="n">
        <v>0</v>
      </c>
      <c r="P9102" t="n">
        <v>0</v>
      </c>
      <c r="Q9102" t="n">
        <v>0</v>
      </c>
      <c r="R9102" s="2" t="inlineStr"/>
    </row>
    <row r="9103" ht="15" customHeight="1">
      <c r="A9103" t="inlineStr">
        <is>
          <t>A 20364-2023</t>
        </is>
      </c>
      <c r="B9103" s="1" t="n">
        <v>45054</v>
      </c>
      <c r="C9103" s="1" t="n">
        <v>46093</v>
      </c>
      <c r="D9103" t="inlineStr">
        <is>
          <t>VÄSTERNORRLANDS LÄN</t>
        </is>
      </c>
      <c r="E9103" t="inlineStr">
        <is>
          <t>SUNDSVALL</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60422-2025</t>
        </is>
      </c>
      <c r="B9104" s="1" t="n">
        <v>45995.46922453704</v>
      </c>
      <c r="C9104" s="1" t="n">
        <v>46093</v>
      </c>
      <c r="D9104" t="inlineStr">
        <is>
          <t>VÄSTERNORRLANDS LÄN</t>
        </is>
      </c>
      <c r="E9104" t="inlineStr">
        <is>
          <t>ÅNGE</t>
        </is>
      </c>
      <c r="F9104" t="inlineStr">
        <is>
          <t>SCA</t>
        </is>
      </c>
      <c r="G9104" t="n">
        <v>2.7</v>
      </c>
      <c r="H9104" t="n">
        <v>0</v>
      </c>
      <c r="I9104" t="n">
        <v>0</v>
      </c>
      <c r="J9104" t="n">
        <v>0</v>
      </c>
      <c r="K9104" t="n">
        <v>0</v>
      </c>
      <c r="L9104" t="n">
        <v>0</v>
      </c>
      <c r="M9104" t="n">
        <v>0</v>
      </c>
      <c r="N9104" t="n">
        <v>0</v>
      </c>
      <c r="O9104" t="n">
        <v>0</v>
      </c>
      <c r="P9104" t="n">
        <v>0</v>
      </c>
      <c r="Q9104" t="n">
        <v>0</v>
      </c>
      <c r="R9104" s="2" t="inlineStr"/>
    </row>
    <row r="9105" ht="15" customHeight="1">
      <c r="A9105" t="inlineStr">
        <is>
          <t>A 4124-2023</t>
        </is>
      </c>
      <c r="B9105" s="1" t="n">
        <v>44952</v>
      </c>
      <c r="C9105" s="1" t="n">
        <v>46093</v>
      </c>
      <c r="D9105" t="inlineStr">
        <is>
          <t>VÄSTERNORRLANDS LÄN</t>
        </is>
      </c>
      <c r="E9105" t="inlineStr">
        <is>
          <t>TIMRÅ</t>
        </is>
      </c>
      <c r="G9105" t="n">
        <v>4.4</v>
      </c>
      <c r="H9105" t="n">
        <v>0</v>
      </c>
      <c r="I9105" t="n">
        <v>0</v>
      </c>
      <c r="J9105" t="n">
        <v>0</v>
      </c>
      <c r="K9105" t="n">
        <v>0</v>
      </c>
      <c r="L9105" t="n">
        <v>0</v>
      </c>
      <c r="M9105" t="n">
        <v>0</v>
      </c>
      <c r="N9105" t="n">
        <v>0</v>
      </c>
      <c r="O9105" t="n">
        <v>0</v>
      </c>
      <c r="P9105" t="n">
        <v>0</v>
      </c>
      <c r="Q9105" t="n">
        <v>0</v>
      </c>
      <c r="R9105" s="2" t="inlineStr"/>
    </row>
    <row r="9106" ht="15" customHeight="1">
      <c r="A9106" t="inlineStr">
        <is>
          <t>A 41507-2024</t>
        </is>
      </c>
      <c r="B9106" s="1" t="n">
        <v>45560</v>
      </c>
      <c r="C9106" s="1" t="n">
        <v>46093</v>
      </c>
      <c r="D9106" t="inlineStr">
        <is>
          <t>VÄSTERNORRLANDS LÄN</t>
        </is>
      </c>
      <c r="E9106" t="inlineStr">
        <is>
          <t>ÅNGE</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41520-2024</t>
        </is>
      </c>
      <c r="B9107" s="1" t="n">
        <v>45560.47858796296</v>
      </c>
      <c r="C9107" s="1" t="n">
        <v>46093</v>
      </c>
      <c r="D9107" t="inlineStr">
        <is>
          <t>VÄSTERNORRLANDS LÄN</t>
        </is>
      </c>
      <c r="E9107" t="inlineStr">
        <is>
          <t>ÖRNSKÖLDSVIK</t>
        </is>
      </c>
      <c r="G9107" t="n">
        <v>0.3</v>
      </c>
      <c r="H9107" t="n">
        <v>0</v>
      </c>
      <c r="I9107" t="n">
        <v>0</v>
      </c>
      <c r="J9107" t="n">
        <v>0</v>
      </c>
      <c r="K9107" t="n">
        <v>0</v>
      </c>
      <c r="L9107" t="n">
        <v>0</v>
      </c>
      <c r="M9107" t="n">
        <v>0</v>
      </c>
      <c r="N9107" t="n">
        <v>0</v>
      </c>
      <c r="O9107" t="n">
        <v>0</v>
      </c>
      <c r="P9107" t="n">
        <v>0</v>
      </c>
      <c r="Q9107" t="n">
        <v>0</v>
      </c>
      <c r="R9107" s="2" t="inlineStr"/>
    </row>
    <row r="9108" ht="15" customHeight="1">
      <c r="A9108" t="inlineStr">
        <is>
          <t>A 59635-2025</t>
        </is>
      </c>
      <c r="B9108" s="1" t="n">
        <v>45992.4065625</v>
      </c>
      <c r="C9108" s="1" t="n">
        <v>46093</v>
      </c>
      <c r="D9108" t="inlineStr">
        <is>
          <t>VÄSTERNORRLANDS LÄN</t>
        </is>
      </c>
      <c r="E9108" t="inlineStr">
        <is>
          <t>SOLLEFTEÅ</t>
        </is>
      </c>
      <c r="G9108" t="n">
        <v>1.6</v>
      </c>
      <c r="H9108" t="n">
        <v>0</v>
      </c>
      <c r="I9108" t="n">
        <v>0</v>
      </c>
      <c r="J9108" t="n">
        <v>0</v>
      </c>
      <c r="K9108" t="n">
        <v>0</v>
      </c>
      <c r="L9108" t="n">
        <v>0</v>
      </c>
      <c r="M9108" t="n">
        <v>0</v>
      </c>
      <c r="N9108" t="n">
        <v>0</v>
      </c>
      <c r="O9108" t="n">
        <v>0</v>
      </c>
      <c r="P9108" t="n">
        <v>0</v>
      </c>
      <c r="Q9108" t="n">
        <v>0</v>
      </c>
      <c r="R9108" s="2" t="inlineStr"/>
    </row>
    <row r="9109" ht="15" customHeight="1">
      <c r="A9109" t="inlineStr">
        <is>
          <t>A 41532-2024</t>
        </is>
      </c>
      <c r="B9109" s="1" t="n">
        <v>45560.49050925926</v>
      </c>
      <c r="C9109" s="1" t="n">
        <v>46093</v>
      </c>
      <c r="D9109" t="inlineStr">
        <is>
          <t>VÄSTERNORRLANDS LÄN</t>
        </is>
      </c>
      <c r="E9109" t="inlineStr">
        <is>
          <t>SOLLEFTEÅ</t>
        </is>
      </c>
      <c r="F9109" t="inlineStr">
        <is>
          <t>SCA</t>
        </is>
      </c>
      <c r="G9109" t="n">
        <v>2</v>
      </c>
      <c r="H9109" t="n">
        <v>0</v>
      </c>
      <c r="I9109" t="n">
        <v>0</v>
      </c>
      <c r="J9109" t="n">
        <v>0</v>
      </c>
      <c r="K9109" t="n">
        <v>0</v>
      </c>
      <c r="L9109" t="n">
        <v>0</v>
      </c>
      <c r="M9109" t="n">
        <v>0</v>
      </c>
      <c r="N9109" t="n">
        <v>0</v>
      </c>
      <c r="O9109" t="n">
        <v>0</v>
      </c>
      <c r="P9109" t="n">
        <v>0</v>
      </c>
      <c r="Q9109" t="n">
        <v>0</v>
      </c>
      <c r="R9109" s="2" t="inlineStr"/>
    </row>
    <row r="9110" ht="15" customHeight="1">
      <c r="A9110" t="inlineStr">
        <is>
          <t>A 11042-2025</t>
        </is>
      </c>
      <c r="B9110" s="1" t="n">
        <v>45723.48438657408</v>
      </c>
      <c r="C9110" s="1" t="n">
        <v>46093</v>
      </c>
      <c r="D9110" t="inlineStr">
        <is>
          <t>VÄSTERNORRLANDS LÄN</t>
        </is>
      </c>
      <c r="E9110" t="inlineStr">
        <is>
          <t>HÄRNÖSAND</t>
        </is>
      </c>
      <c r="G9110" t="n">
        <v>0.7</v>
      </c>
      <c r="H9110" t="n">
        <v>0</v>
      </c>
      <c r="I9110" t="n">
        <v>0</v>
      </c>
      <c r="J9110" t="n">
        <v>0</v>
      </c>
      <c r="K9110" t="n">
        <v>0</v>
      </c>
      <c r="L9110" t="n">
        <v>0</v>
      </c>
      <c r="M9110" t="n">
        <v>0</v>
      </c>
      <c r="N9110" t="n">
        <v>0</v>
      </c>
      <c r="O9110" t="n">
        <v>0</v>
      </c>
      <c r="P9110" t="n">
        <v>0</v>
      </c>
      <c r="Q9110" t="n">
        <v>0</v>
      </c>
      <c r="R9110" s="2" t="inlineStr"/>
    </row>
    <row r="9111" ht="15" customHeight="1">
      <c r="A9111" t="inlineStr">
        <is>
          <t>A 60496-2025</t>
        </is>
      </c>
      <c r="B9111" s="1" t="n">
        <v>45995</v>
      </c>
      <c r="C9111" s="1" t="n">
        <v>46093</v>
      </c>
      <c r="D9111" t="inlineStr">
        <is>
          <t>VÄSTERNORRLANDS LÄN</t>
        </is>
      </c>
      <c r="E9111" t="inlineStr">
        <is>
          <t>ÖRNSKÖLDSVIK</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126-2025</t>
        </is>
      </c>
      <c r="B9112" s="1" t="n">
        <v>45659</v>
      </c>
      <c r="C9112" s="1" t="n">
        <v>46093</v>
      </c>
      <c r="D9112" t="inlineStr">
        <is>
          <t>VÄSTERNORRLANDS LÄN</t>
        </is>
      </c>
      <c r="E9112" t="inlineStr">
        <is>
          <t>ÖRNSKÖLDSVIK</t>
        </is>
      </c>
      <c r="F9112" t="inlineStr">
        <is>
          <t>Holmen skog AB</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60515-2025</t>
        </is>
      </c>
      <c r="B9113" s="1" t="n">
        <v>45995</v>
      </c>
      <c r="C9113" s="1" t="n">
        <v>46093</v>
      </c>
      <c r="D9113" t="inlineStr">
        <is>
          <t>VÄSTERNORRLANDS LÄN</t>
        </is>
      </c>
      <c r="E9113" t="inlineStr">
        <is>
          <t>SOLLEFTEÅ</t>
        </is>
      </c>
      <c r="F9113" t="inlineStr">
        <is>
          <t>SCA</t>
        </is>
      </c>
      <c r="G9113" t="n">
        <v>5.6</v>
      </c>
      <c r="H9113" t="n">
        <v>0</v>
      </c>
      <c r="I9113" t="n">
        <v>0</v>
      </c>
      <c r="J9113" t="n">
        <v>0</v>
      </c>
      <c r="K9113" t="n">
        <v>0</v>
      </c>
      <c r="L9113" t="n">
        <v>0</v>
      </c>
      <c r="M9113" t="n">
        <v>0</v>
      </c>
      <c r="N9113" t="n">
        <v>0</v>
      </c>
      <c r="O9113" t="n">
        <v>0</v>
      </c>
      <c r="P9113" t="n">
        <v>0</v>
      </c>
      <c r="Q9113" t="n">
        <v>0</v>
      </c>
      <c r="R9113" s="2" t="inlineStr"/>
    </row>
    <row r="9114" ht="15" customHeight="1">
      <c r="A9114" t="inlineStr">
        <is>
          <t>A 18375-2025</t>
        </is>
      </c>
      <c r="B9114" s="1" t="n">
        <v>45762.57328703703</v>
      </c>
      <c r="C9114" s="1" t="n">
        <v>46093</v>
      </c>
      <c r="D9114" t="inlineStr">
        <is>
          <t>VÄSTERNORRLANDS LÄN</t>
        </is>
      </c>
      <c r="E9114" t="inlineStr">
        <is>
          <t>TIMRÅ</t>
        </is>
      </c>
      <c r="G9114" t="n">
        <v>0.5</v>
      </c>
      <c r="H9114" t="n">
        <v>0</v>
      </c>
      <c r="I9114" t="n">
        <v>0</v>
      </c>
      <c r="J9114" t="n">
        <v>0</v>
      </c>
      <c r="K9114" t="n">
        <v>0</v>
      </c>
      <c r="L9114" t="n">
        <v>0</v>
      </c>
      <c r="M9114" t="n">
        <v>0</v>
      </c>
      <c r="N9114" t="n">
        <v>0</v>
      </c>
      <c r="O9114" t="n">
        <v>0</v>
      </c>
      <c r="P9114" t="n">
        <v>0</v>
      </c>
      <c r="Q9114" t="n">
        <v>0</v>
      </c>
      <c r="R9114" s="2" t="inlineStr"/>
    </row>
    <row r="9115" ht="15" customHeight="1">
      <c r="A9115" t="inlineStr">
        <is>
          <t>A 60520-2025</t>
        </is>
      </c>
      <c r="B9115" s="1" t="n">
        <v>45995.63694444444</v>
      </c>
      <c r="C9115" s="1" t="n">
        <v>46093</v>
      </c>
      <c r="D9115" t="inlineStr">
        <is>
          <t>VÄSTERNORRLANDS LÄN</t>
        </is>
      </c>
      <c r="E9115" t="inlineStr">
        <is>
          <t>ÅNGE</t>
        </is>
      </c>
      <c r="G9115" t="n">
        <v>0.4</v>
      </c>
      <c r="H9115" t="n">
        <v>0</v>
      </c>
      <c r="I9115" t="n">
        <v>0</v>
      </c>
      <c r="J9115" t="n">
        <v>0</v>
      </c>
      <c r="K9115" t="n">
        <v>0</v>
      </c>
      <c r="L9115" t="n">
        <v>0</v>
      </c>
      <c r="M9115" t="n">
        <v>0</v>
      </c>
      <c r="N9115" t="n">
        <v>0</v>
      </c>
      <c r="O9115" t="n">
        <v>0</v>
      </c>
      <c r="P9115" t="n">
        <v>0</v>
      </c>
      <c r="Q9115" t="n">
        <v>0</v>
      </c>
      <c r="R9115" s="2" t="inlineStr"/>
    </row>
    <row r="9116" ht="15" customHeight="1">
      <c r="A9116" t="inlineStr">
        <is>
          <t>A 60552-2025</t>
        </is>
      </c>
      <c r="B9116" s="1" t="n">
        <v>45995.72509259259</v>
      </c>
      <c r="C9116" s="1" t="n">
        <v>46093</v>
      </c>
      <c r="D9116" t="inlineStr">
        <is>
          <t>VÄSTERNORRLANDS LÄN</t>
        </is>
      </c>
      <c r="E9116" t="inlineStr">
        <is>
          <t>ÖRNSKÖLDSVIK</t>
        </is>
      </c>
      <c r="F9116" t="inlineStr">
        <is>
          <t>Holmen skog AB</t>
        </is>
      </c>
      <c r="G9116" t="n">
        <v>4.2</v>
      </c>
      <c r="H9116" t="n">
        <v>0</v>
      </c>
      <c r="I9116" t="n">
        <v>0</v>
      </c>
      <c r="J9116" t="n">
        <v>0</v>
      </c>
      <c r="K9116" t="n">
        <v>0</v>
      </c>
      <c r="L9116" t="n">
        <v>0</v>
      </c>
      <c r="M9116" t="n">
        <v>0</v>
      </c>
      <c r="N9116" t="n">
        <v>0</v>
      </c>
      <c r="O9116" t="n">
        <v>0</v>
      </c>
      <c r="P9116" t="n">
        <v>0</v>
      </c>
      <c r="Q9116" t="n">
        <v>0</v>
      </c>
      <c r="R9116" s="2" t="inlineStr"/>
    </row>
    <row r="9117" ht="15" customHeight="1">
      <c r="A9117" t="inlineStr">
        <is>
          <t>A 43096-2023</t>
        </is>
      </c>
      <c r="B9117" s="1" t="n">
        <v>45182</v>
      </c>
      <c r="C9117" s="1" t="n">
        <v>46093</v>
      </c>
      <c r="D9117" t="inlineStr">
        <is>
          <t>VÄSTERNORRLANDS LÄN</t>
        </is>
      </c>
      <c r="E9117" t="inlineStr">
        <is>
          <t>ÅNGE</t>
        </is>
      </c>
      <c r="G9117" t="n">
        <v>0.4</v>
      </c>
      <c r="H9117" t="n">
        <v>0</v>
      </c>
      <c r="I9117" t="n">
        <v>0</v>
      </c>
      <c r="J9117" t="n">
        <v>0</v>
      </c>
      <c r="K9117" t="n">
        <v>0</v>
      </c>
      <c r="L9117" t="n">
        <v>0</v>
      </c>
      <c r="M9117" t="n">
        <v>0</v>
      </c>
      <c r="N9117" t="n">
        <v>0</v>
      </c>
      <c r="O9117" t="n">
        <v>0</v>
      </c>
      <c r="P9117" t="n">
        <v>0</v>
      </c>
      <c r="Q9117" t="n">
        <v>0</v>
      </c>
      <c r="R9117" s="2" t="inlineStr"/>
    </row>
    <row r="9118" ht="15" customHeight="1">
      <c r="A9118" t="inlineStr">
        <is>
          <t>A 60124-2025</t>
        </is>
      </c>
      <c r="B9118" s="1" t="n">
        <v>45994.33722222222</v>
      </c>
      <c r="C9118" s="1" t="n">
        <v>46093</v>
      </c>
      <c r="D9118" t="inlineStr">
        <is>
          <t>VÄSTERNORRLANDS LÄN</t>
        </is>
      </c>
      <c r="E9118" t="inlineStr">
        <is>
          <t>ÅNGE</t>
        </is>
      </c>
      <c r="G9118" t="n">
        <v>2.2</v>
      </c>
      <c r="H9118" t="n">
        <v>0</v>
      </c>
      <c r="I9118" t="n">
        <v>0</v>
      </c>
      <c r="J9118" t="n">
        <v>0</v>
      </c>
      <c r="K9118" t="n">
        <v>0</v>
      </c>
      <c r="L9118" t="n">
        <v>0</v>
      </c>
      <c r="M9118" t="n">
        <v>0</v>
      </c>
      <c r="N9118" t="n">
        <v>0</v>
      </c>
      <c r="O9118" t="n">
        <v>0</v>
      </c>
      <c r="P9118" t="n">
        <v>0</v>
      </c>
      <c r="Q9118" t="n">
        <v>0</v>
      </c>
      <c r="R9118" s="2" t="inlineStr"/>
    </row>
    <row r="9119" ht="15" customHeight="1">
      <c r="A9119" t="inlineStr">
        <is>
          <t>A 60134-2025</t>
        </is>
      </c>
      <c r="B9119" s="1" t="n">
        <v>45994.34793981481</v>
      </c>
      <c r="C9119" s="1" t="n">
        <v>46093</v>
      </c>
      <c r="D9119" t="inlineStr">
        <is>
          <t>VÄSTERNORRLANDS LÄN</t>
        </is>
      </c>
      <c r="E9119" t="inlineStr">
        <is>
          <t>ÅNGE</t>
        </is>
      </c>
      <c r="G9119" t="n">
        <v>5.1</v>
      </c>
      <c r="H9119" t="n">
        <v>0</v>
      </c>
      <c r="I9119" t="n">
        <v>0</v>
      </c>
      <c r="J9119" t="n">
        <v>0</v>
      </c>
      <c r="K9119" t="n">
        <v>0</v>
      </c>
      <c r="L9119" t="n">
        <v>0</v>
      </c>
      <c r="M9119" t="n">
        <v>0</v>
      </c>
      <c r="N9119" t="n">
        <v>0</v>
      </c>
      <c r="O9119" t="n">
        <v>0</v>
      </c>
      <c r="P9119" t="n">
        <v>0</v>
      </c>
      <c r="Q9119" t="n">
        <v>0</v>
      </c>
      <c r="R9119" s="2" t="inlineStr"/>
    </row>
    <row r="9120" ht="15" customHeight="1">
      <c r="A9120" t="inlineStr">
        <is>
          <t>A 60938-2025</t>
        </is>
      </c>
      <c r="B9120" s="1" t="n">
        <v>45996</v>
      </c>
      <c r="C9120" s="1" t="n">
        <v>46093</v>
      </c>
      <c r="D9120" t="inlineStr">
        <is>
          <t>VÄSTERNORRLANDS LÄN</t>
        </is>
      </c>
      <c r="E9120" t="inlineStr">
        <is>
          <t>ÖRNSKÖLDSVIK</t>
        </is>
      </c>
      <c r="G9120" t="n">
        <v>2.5</v>
      </c>
      <c r="H9120" t="n">
        <v>0</v>
      </c>
      <c r="I9120" t="n">
        <v>0</v>
      </c>
      <c r="J9120" t="n">
        <v>0</v>
      </c>
      <c r="K9120" t="n">
        <v>0</v>
      </c>
      <c r="L9120" t="n">
        <v>0</v>
      </c>
      <c r="M9120" t="n">
        <v>0</v>
      </c>
      <c r="N9120" t="n">
        <v>0</v>
      </c>
      <c r="O9120" t="n">
        <v>0</v>
      </c>
      <c r="P9120" t="n">
        <v>0</v>
      </c>
      <c r="Q9120" t="n">
        <v>0</v>
      </c>
      <c r="R9120" s="2" t="inlineStr"/>
    </row>
    <row r="9121" ht="15" customHeight="1">
      <c r="A9121" t="inlineStr">
        <is>
          <t>A 12135-2023</t>
        </is>
      </c>
      <c r="B9121" s="1" t="n">
        <v>44995</v>
      </c>
      <c r="C9121" s="1" t="n">
        <v>46093</v>
      </c>
      <c r="D9121" t="inlineStr">
        <is>
          <t>VÄSTERNORRLANDS LÄN</t>
        </is>
      </c>
      <c r="E9121" t="inlineStr">
        <is>
          <t>SOLLEFTEÅ</t>
        </is>
      </c>
      <c r="G9121" t="n">
        <v>5.7</v>
      </c>
      <c r="H9121" t="n">
        <v>0</v>
      </c>
      <c r="I9121" t="n">
        <v>0</v>
      </c>
      <c r="J9121" t="n">
        <v>0</v>
      </c>
      <c r="K9121" t="n">
        <v>0</v>
      </c>
      <c r="L9121" t="n">
        <v>0</v>
      </c>
      <c r="M9121" t="n">
        <v>0</v>
      </c>
      <c r="N9121" t="n">
        <v>0</v>
      </c>
      <c r="O9121" t="n">
        <v>0</v>
      </c>
      <c r="P9121" t="n">
        <v>0</v>
      </c>
      <c r="Q9121" t="n">
        <v>0</v>
      </c>
      <c r="R9121" s="2" t="inlineStr"/>
    </row>
    <row r="9122" ht="15" customHeight="1">
      <c r="A9122" t="inlineStr">
        <is>
          <t>A 14177-2025</t>
        </is>
      </c>
      <c r="B9122" s="1" t="n">
        <v>45740.53023148148</v>
      </c>
      <c r="C9122" s="1" t="n">
        <v>46093</v>
      </c>
      <c r="D9122" t="inlineStr">
        <is>
          <t>VÄSTERNORRLANDS LÄN</t>
        </is>
      </c>
      <c r="E9122" t="inlineStr">
        <is>
          <t>KRAMFORS</t>
        </is>
      </c>
      <c r="G9122" t="n">
        <v>1.8</v>
      </c>
      <c r="H9122" t="n">
        <v>0</v>
      </c>
      <c r="I9122" t="n">
        <v>0</v>
      </c>
      <c r="J9122" t="n">
        <v>0</v>
      </c>
      <c r="K9122" t="n">
        <v>0</v>
      </c>
      <c r="L9122" t="n">
        <v>0</v>
      </c>
      <c r="M9122" t="n">
        <v>0</v>
      </c>
      <c r="N9122" t="n">
        <v>0</v>
      </c>
      <c r="O9122" t="n">
        <v>0</v>
      </c>
      <c r="P9122" t="n">
        <v>0</v>
      </c>
      <c r="Q9122" t="n">
        <v>0</v>
      </c>
      <c r="R9122" s="2" t="inlineStr"/>
    </row>
    <row r="9123" ht="15" customHeight="1">
      <c r="A9123" t="inlineStr">
        <is>
          <t>A 17749-2025</t>
        </is>
      </c>
      <c r="B9123" s="1" t="n">
        <v>45758.48380787037</v>
      </c>
      <c r="C9123" s="1" t="n">
        <v>46093</v>
      </c>
      <c r="D9123" t="inlineStr">
        <is>
          <t>VÄSTERNORRLANDS LÄN</t>
        </is>
      </c>
      <c r="E9123" t="inlineStr">
        <is>
          <t>ÅNGE</t>
        </is>
      </c>
      <c r="G9123" t="n">
        <v>7.3</v>
      </c>
      <c r="H9123" t="n">
        <v>0</v>
      </c>
      <c r="I9123" t="n">
        <v>0</v>
      </c>
      <c r="J9123" t="n">
        <v>0</v>
      </c>
      <c r="K9123" t="n">
        <v>0</v>
      </c>
      <c r="L9123" t="n">
        <v>0</v>
      </c>
      <c r="M9123" t="n">
        <v>0</v>
      </c>
      <c r="N9123" t="n">
        <v>0</v>
      </c>
      <c r="O9123" t="n">
        <v>0</v>
      </c>
      <c r="P9123" t="n">
        <v>0</v>
      </c>
      <c r="Q9123" t="n">
        <v>0</v>
      </c>
      <c r="R9123" s="2" t="inlineStr"/>
    </row>
    <row r="9124" ht="15" customHeight="1">
      <c r="A9124" t="inlineStr">
        <is>
          <t>A 18345-2025</t>
        </is>
      </c>
      <c r="B9124" s="1" t="n">
        <v>45762.52707175926</v>
      </c>
      <c r="C9124" s="1" t="n">
        <v>46093</v>
      </c>
      <c r="D9124" t="inlineStr">
        <is>
          <t>VÄSTERNORRLANDS LÄN</t>
        </is>
      </c>
      <c r="E9124" t="inlineStr">
        <is>
          <t>HÄRNÖSAND</t>
        </is>
      </c>
      <c r="G9124" t="n">
        <v>1</v>
      </c>
      <c r="H9124" t="n">
        <v>0</v>
      </c>
      <c r="I9124" t="n">
        <v>0</v>
      </c>
      <c r="J9124" t="n">
        <v>0</v>
      </c>
      <c r="K9124" t="n">
        <v>0</v>
      </c>
      <c r="L9124" t="n">
        <v>0</v>
      </c>
      <c r="M9124" t="n">
        <v>0</v>
      </c>
      <c r="N9124" t="n">
        <v>0</v>
      </c>
      <c r="O9124" t="n">
        <v>0</v>
      </c>
      <c r="P9124" t="n">
        <v>0</v>
      </c>
      <c r="Q9124" t="n">
        <v>0</v>
      </c>
      <c r="R9124" s="2" t="inlineStr"/>
    </row>
    <row r="9125" ht="15" customHeight="1">
      <c r="A9125" t="inlineStr">
        <is>
          <t>A 60574-2025</t>
        </is>
      </c>
      <c r="B9125" s="1" t="n">
        <v>45996.25484953704</v>
      </c>
      <c r="C9125" s="1" t="n">
        <v>46093</v>
      </c>
      <c r="D9125" t="inlineStr">
        <is>
          <t>VÄSTERNORRLANDS LÄN</t>
        </is>
      </c>
      <c r="E9125" t="inlineStr">
        <is>
          <t>ÖRNSKÖLDSVIK</t>
        </is>
      </c>
      <c r="F9125" t="inlineStr">
        <is>
          <t>Holmen skog AB</t>
        </is>
      </c>
      <c r="G9125" t="n">
        <v>0.6</v>
      </c>
      <c r="H9125" t="n">
        <v>0</v>
      </c>
      <c r="I9125" t="n">
        <v>0</v>
      </c>
      <c r="J9125" t="n">
        <v>0</v>
      </c>
      <c r="K9125" t="n">
        <v>0</v>
      </c>
      <c r="L9125" t="n">
        <v>0</v>
      </c>
      <c r="M9125" t="n">
        <v>0</v>
      </c>
      <c r="N9125" t="n">
        <v>0</v>
      </c>
      <c r="O9125" t="n">
        <v>0</v>
      </c>
      <c r="P9125" t="n">
        <v>0</v>
      </c>
      <c r="Q9125" t="n">
        <v>0</v>
      </c>
      <c r="R9125" s="2" t="inlineStr"/>
    </row>
    <row r="9126" ht="15" customHeight="1">
      <c r="A9126" t="inlineStr">
        <is>
          <t>A 60579-2025</t>
        </is>
      </c>
      <c r="B9126" s="1" t="n">
        <v>45996.32737268518</v>
      </c>
      <c r="C9126" s="1" t="n">
        <v>46093</v>
      </c>
      <c r="D9126" t="inlineStr">
        <is>
          <t>VÄSTERNORRLANDS LÄN</t>
        </is>
      </c>
      <c r="E9126" t="inlineStr">
        <is>
          <t>ÖRNSKÖLDSVIK</t>
        </is>
      </c>
      <c r="G9126" t="n">
        <v>5.9</v>
      </c>
      <c r="H9126" t="n">
        <v>0</v>
      </c>
      <c r="I9126" t="n">
        <v>0</v>
      </c>
      <c r="J9126" t="n">
        <v>0</v>
      </c>
      <c r="K9126" t="n">
        <v>0</v>
      </c>
      <c r="L9126" t="n">
        <v>0</v>
      </c>
      <c r="M9126" t="n">
        <v>0</v>
      </c>
      <c r="N9126" t="n">
        <v>0</v>
      </c>
      <c r="O9126" t="n">
        <v>0</v>
      </c>
      <c r="P9126" t="n">
        <v>0</v>
      </c>
      <c r="Q9126" t="n">
        <v>0</v>
      </c>
      <c r="R9126" s="2" t="inlineStr"/>
    </row>
    <row r="9127" ht="15" customHeight="1">
      <c r="A9127" t="inlineStr">
        <is>
          <t>A 43248-2023</t>
        </is>
      </c>
      <c r="B9127" s="1" t="n">
        <v>45180</v>
      </c>
      <c r="C9127" s="1" t="n">
        <v>46093</v>
      </c>
      <c r="D9127" t="inlineStr">
        <is>
          <t>VÄSTERNORRLANDS LÄN</t>
        </is>
      </c>
      <c r="E9127" t="inlineStr">
        <is>
          <t>HÄRNÖSAND</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27495-2023</t>
        </is>
      </c>
      <c r="B9128" s="1" t="n">
        <v>45092</v>
      </c>
      <c r="C9128" s="1" t="n">
        <v>46093</v>
      </c>
      <c r="D9128" t="inlineStr">
        <is>
          <t>VÄSTERNORRLANDS LÄN</t>
        </is>
      </c>
      <c r="E9128" t="inlineStr">
        <is>
          <t>TIMRÅ</t>
        </is>
      </c>
      <c r="G9128" t="n">
        <v>2.6</v>
      </c>
      <c r="H9128" t="n">
        <v>0</v>
      </c>
      <c r="I9128" t="n">
        <v>0</v>
      </c>
      <c r="J9128" t="n">
        <v>0</v>
      </c>
      <c r="K9128" t="n">
        <v>0</v>
      </c>
      <c r="L9128" t="n">
        <v>0</v>
      </c>
      <c r="M9128" t="n">
        <v>0</v>
      </c>
      <c r="N9128" t="n">
        <v>0</v>
      </c>
      <c r="O9128" t="n">
        <v>0</v>
      </c>
      <c r="P9128" t="n">
        <v>0</v>
      </c>
      <c r="Q9128" t="n">
        <v>0</v>
      </c>
      <c r="R9128" s="2" t="inlineStr"/>
    </row>
    <row r="9129" ht="15" customHeight="1">
      <c r="A9129" t="inlineStr">
        <is>
          <t>A 27382-2023</t>
        </is>
      </c>
      <c r="B9129" s="1" t="n">
        <v>45096.93920138889</v>
      </c>
      <c r="C9129" s="1" t="n">
        <v>46093</v>
      </c>
      <c r="D9129" t="inlineStr">
        <is>
          <t>VÄSTERNORRLANDS LÄN</t>
        </is>
      </c>
      <c r="E9129" t="inlineStr">
        <is>
          <t>SOLLEFTEÅ</t>
        </is>
      </c>
      <c r="F9129" t="inlineStr">
        <is>
          <t>SCA</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27384-2023</t>
        </is>
      </c>
      <c r="B9130" s="1" t="n">
        <v>45096.939375</v>
      </c>
      <c r="C9130" s="1" t="n">
        <v>46093</v>
      </c>
      <c r="D9130" t="inlineStr">
        <is>
          <t>VÄSTERNORRLANDS LÄN</t>
        </is>
      </c>
      <c r="E9130" t="inlineStr">
        <is>
          <t>SOLLEFTEÅ</t>
        </is>
      </c>
      <c r="F9130" t="inlineStr">
        <is>
          <t>SCA</t>
        </is>
      </c>
      <c r="G9130" t="n">
        <v>2</v>
      </c>
      <c r="H9130" t="n">
        <v>0</v>
      </c>
      <c r="I9130" t="n">
        <v>0</v>
      </c>
      <c r="J9130" t="n">
        <v>0</v>
      </c>
      <c r="K9130" t="n">
        <v>0</v>
      </c>
      <c r="L9130" t="n">
        <v>0</v>
      </c>
      <c r="M9130" t="n">
        <v>0</v>
      </c>
      <c r="N9130" t="n">
        <v>0</v>
      </c>
      <c r="O9130" t="n">
        <v>0</v>
      </c>
      <c r="P9130" t="n">
        <v>0</v>
      </c>
      <c r="Q9130" t="n">
        <v>0</v>
      </c>
      <c r="R9130" s="2" t="inlineStr"/>
    </row>
    <row r="9131" ht="15" customHeight="1">
      <c r="A9131" t="inlineStr">
        <is>
          <t>A 60514-2025</t>
        </is>
      </c>
      <c r="B9131" s="1" t="n">
        <v>45995.63584490741</v>
      </c>
      <c r="C9131" s="1" t="n">
        <v>46093</v>
      </c>
      <c r="D9131" t="inlineStr">
        <is>
          <t>VÄSTERNORRLANDS LÄN</t>
        </is>
      </c>
      <c r="E9131" t="inlineStr">
        <is>
          <t>SOLLEFTEÅ</t>
        </is>
      </c>
      <c r="F9131" t="inlineStr">
        <is>
          <t>SCA</t>
        </is>
      </c>
      <c r="G9131" t="n">
        <v>1.8</v>
      </c>
      <c r="H9131" t="n">
        <v>0</v>
      </c>
      <c r="I9131" t="n">
        <v>0</v>
      </c>
      <c r="J9131" t="n">
        <v>0</v>
      </c>
      <c r="K9131" t="n">
        <v>0</v>
      </c>
      <c r="L9131" t="n">
        <v>0</v>
      </c>
      <c r="M9131" t="n">
        <v>0</v>
      </c>
      <c r="N9131" t="n">
        <v>0</v>
      </c>
      <c r="O9131" t="n">
        <v>0</v>
      </c>
      <c r="P9131" t="n">
        <v>0</v>
      </c>
      <c r="Q9131" t="n">
        <v>0</v>
      </c>
      <c r="R9131" s="2" t="inlineStr"/>
    </row>
    <row r="9132" ht="15" customHeight="1">
      <c r="A9132" t="inlineStr">
        <is>
          <t>A 60516-2025</t>
        </is>
      </c>
      <c r="B9132" s="1" t="n">
        <v>45995.63630787037</v>
      </c>
      <c r="C9132" s="1" t="n">
        <v>46093</v>
      </c>
      <c r="D9132" t="inlineStr">
        <is>
          <t>VÄSTERNORRLANDS LÄN</t>
        </is>
      </c>
      <c r="E9132" t="inlineStr">
        <is>
          <t>SOLLEFTEÅ</t>
        </is>
      </c>
      <c r="F9132" t="inlineStr">
        <is>
          <t>SCA</t>
        </is>
      </c>
      <c r="G9132" t="n">
        <v>1.8</v>
      </c>
      <c r="H9132" t="n">
        <v>0</v>
      </c>
      <c r="I9132" t="n">
        <v>0</v>
      </c>
      <c r="J9132" t="n">
        <v>0</v>
      </c>
      <c r="K9132" t="n">
        <v>0</v>
      </c>
      <c r="L9132" t="n">
        <v>0</v>
      </c>
      <c r="M9132" t="n">
        <v>0</v>
      </c>
      <c r="N9132" t="n">
        <v>0</v>
      </c>
      <c r="O9132" t="n">
        <v>0</v>
      </c>
      <c r="P9132" t="n">
        <v>0</v>
      </c>
      <c r="Q9132" t="n">
        <v>0</v>
      </c>
      <c r="R9132" s="2" t="inlineStr"/>
    </row>
    <row r="9133" ht="15" customHeight="1">
      <c r="A9133" t="inlineStr">
        <is>
          <t>A 61304-2022</t>
        </is>
      </c>
      <c r="B9133" s="1" t="n">
        <v>44915</v>
      </c>
      <c r="C9133" s="1" t="n">
        <v>46093</v>
      </c>
      <c r="D9133" t="inlineStr">
        <is>
          <t>VÄSTERNORRLANDS LÄN</t>
        </is>
      </c>
      <c r="E9133" t="inlineStr">
        <is>
          <t>KRAMFORS</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38830-2024</t>
        </is>
      </c>
      <c r="B9134" s="1" t="n">
        <v>45547</v>
      </c>
      <c r="C9134" s="1" t="n">
        <v>46093</v>
      </c>
      <c r="D9134" t="inlineStr">
        <is>
          <t>VÄSTERNORRLANDS LÄN</t>
        </is>
      </c>
      <c r="E9134" t="inlineStr">
        <is>
          <t>KRAMFORS</t>
        </is>
      </c>
      <c r="G9134" t="n">
        <v>0.6</v>
      </c>
      <c r="H9134" t="n">
        <v>0</v>
      </c>
      <c r="I9134" t="n">
        <v>0</v>
      </c>
      <c r="J9134" t="n">
        <v>0</v>
      </c>
      <c r="K9134" t="n">
        <v>0</v>
      </c>
      <c r="L9134" t="n">
        <v>0</v>
      </c>
      <c r="M9134" t="n">
        <v>0</v>
      </c>
      <c r="N9134" t="n">
        <v>0</v>
      </c>
      <c r="O9134" t="n">
        <v>0</v>
      </c>
      <c r="P9134" t="n">
        <v>0</v>
      </c>
      <c r="Q9134" t="n">
        <v>0</v>
      </c>
      <c r="R9134" s="2" t="inlineStr"/>
    </row>
    <row r="9135" ht="15" customHeight="1">
      <c r="A9135" t="inlineStr">
        <is>
          <t>A 42044-2024</t>
        </is>
      </c>
      <c r="B9135" s="1" t="n">
        <v>45561</v>
      </c>
      <c r="C9135" s="1" t="n">
        <v>46093</v>
      </c>
      <c r="D9135" t="inlineStr">
        <is>
          <t>VÄSTERNORRLANDS LÄN</t>
        </is>
      </c>
      <c r="E9135" t="inlineStr">
        <is>
          <t>ÅNGE</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3322-2025</t>
        </is>
      </c>
      <c r="B9136" s="1" t="n">
        <v>45679.6989699074</v>
      </c>
      <c r="C9136" s="1" t="n">
        <v>46093</v>
      </c>
      <c r="D9136" t="inlineStr">
        <is>
          <t>VÄSTERNORRLANDS LÄN</t>
        </is>
      </c>
      <c r="E9136" t="inlineStr">
        <is>
          <t>ÅNGE</t>
        </is>
      </c>
      <c r="F9136" t="inlineStr">
        <is>
          <t>SCA</t>
        </is>
      </c>
      <c r="G9136" t="n">
        <v>11.1</v>
      </c>
      <c r="H9136" t="n">
        <v>0</v>
      </c>
      <c r="I9136" t="n">
        <v>0</v>
      </c>
      <c r="J9136" t="n">
        <v>0</v>
      </c>
      <c r="K9136" t="n">
        <v>0</v>
      </c>
      <c r="L9136" t="n">
        <v>0</v>
      </c>
      <c r="M9136" t="n">
        <v>0</v>
      </c>
      <c r="N9136" t="n">
        <v>0</v>
      </c>
      <c r="O9136" t="n">
        <v>0</v>
      </c>
      <c r="P9136" t="n">
        <v>0</v>
      </c>
      <c r="Q9136" t="n">
        <v>0</v>
      </c>
      <c r="R9136" s="2" t="inlineStr"/>
    </row>
    <row r="9137" ht="15" customHeight="1">
      <c r="A9137" t="inlineStr">
        <is>
          <t>A 3327-2025</t>
        </is>
      </c>
      <c r="B9137" s="1" t="n">
        <v>45679.69967592593</v>
      </c>
      <c r="C9137" s="1" t="n">
        <v>46093</v>
      </c>
      <c r="D9137" t="inlineStr">
        <is>
          <t>VÄSTERNORRLANDS LÄN</t>
        </is>
      </c>
      <c r="E9137" t="inlineStr">
        <is>
          <t>ÅNGE</t>
        </is>
      </c>
      <c r="F9137" t="inlineStr">
        <is>
          <t>SCA</t>
        </is>
      </c>
      <c r="G9137" t="n">
        <v>12.9</v>
      </c>
      <c r="H9137" t="n">
        <v>0</v>
      </c>
      <c r="I9137" t="n">
        <v>0</v>
      </c>
      <c r="J9137" t="n">
        <v>0</v>
      </c>
      <c r="K9137" t="n">
        <v>0</v>
      </c>
      <c r="L9137" t="n">
        <v>0</v>
      </c>
      <c r="M9137" t="n">
        <v>0</v>
      </c>
      <c r="N9137" t="n">
        <v>0</v>
      </c>
      <c r="O9137" t="n">
        <v>0</v>
      </c>
      <c r="P9137" t="n">
        <v>0</v>
      </c>
      <c r="Q9137" t="n">
        <v>0</v>
      </c>
      <c r="R9137" s="2" t="inlineStr"/>
    </row>
    <row r="9138" ht="15" customHeight="1">
      <c r="A9138" t="inlineStr">
        <is>
          <t>A 27759-2023</t>
        </is>
      </c>
      <c r="B9138" s="1" t="n">
        <v>45093</v>
      </c>
      <c r="C9138" s="1" t="n">
        <v>46093</v>
      </c>
      <c r="D9138" t="inlineStr">
        <is>
          <t>VÄSTERNORRLANDS LÄN</t>
        </is>
      </c>
      <c r="E9138" t="inlineStr">
        <is>
          <t>SUNDSVALL</t>
        </is>
      </c>
      <c r="G9138" t="n">
        <v>3.5</v>
      </c>
      <c r="H9138" t="n">
        <v>0</v>
      </c>
      <c r="I9138" t="n">
        <v>0</v>
      </c>
      <c r="J9138" t="n">
        <v>0</v>
      </c>
      <c r="K9138" t="n">
        <v>0</v>
      </c>
      <c r="L9138" t="n">
        <v>0</v>
      </c>
      <c r="M9138" t="n">
        <v>0</v>
      </c>
      <c r="N9138" t="n">
        <v>0</v>
      </c>
      <c r="O9138" t="n">
        <v>0</v>
      </c>
      <c r="P9138" t="n">
        <v>0</v>
      </c>
      <c r="Q9138" t="n">
        <v>0</v>
      </c>
      <c r="R9138" s="2" t="inlineStr"/>
    </row>
    <row r="9139" ht="15" customHeight="1">
      <c r="A9139" t="inlineStr">
        <is>
          <t>A 60598-2025</t>
        </is>
      </c>
      <c r="B9139" s="1" t="n">
        <v>45996.34484953704</v>
      </c>
      <c r="C9139" s="1" t="n">
        <v>46093</v>
      </c>
      <c r="D9139" t="inlineStr">
        <is>
          <t>VÄSTERNORRLANDS LÄN</t>
        </is>
      </c>
      <c r="E9139" t="inlineStr">
        <is>
          <t>SUNDSVALL</t>
        </is>
      </c>
      <c r="G9139" t="n">
        <v>10.2</v>
      </c>
      <c r="H9139" t="n">
        <v>0</v>
      </c>
      <c r="I9139" t="n">
        <v>0</v>
      </c>
      <c r="J9139" t="n">
        <v>0</v>
      </c>
      <c r="K9139" t="n">
        <v>0</v>
      </c>
      <c r="L9139" t="n">
        <v>0</v>
      </c>
      <c r="M9139" t="n">
        <v>0</v>
      </c>
      <c r="N9139" t="n">
        <v>0</v>
      </c>
      <c r="O9139" t="n">
        <v>0</v>
      </c>
      <c r="P9139" t="n">
        <v>0</v>
      </c>
      <c r="Q9139" t="n">
        <v>0</v>
      </c>
      <c r="R9139" s="2" t="inlineStr"/>
    </row>
    <row r="9140" ht="15" customHeight="1">
      <c r="A9140" t="inlineStr">
        <is>
          <t>A 3537-2025</t>
        </is>
      </c>
      <c r="B9140" s="1" t="n">
        <v>45680</v>
      </c>
      <c r="C9140" s="1" t="n">
        <v>46093</v>
      </c>
      <c r="D9140" t="inlineStr">
        <is>
          <t>VÄSTERNORRLANDS LÄN</t>
        </is>
      </c>
      <c r="E9140" t="inlineStr">
        <is>
          <t>SOLLEFTEÅ</t>
        </is>
      </c>
      <c r="F9140" t="inlineStr">
        <is>
          <t>SCA</t>
        </is>
      </c>
      <c r="G9140" t="n">
        <v>0.5</v>
      </c>
      <c r="H9140" t="n">
        <v>0</v>
      </c>
      <c r="I9140" t="n">
        <v>0</v>
      </c>
      <c r="J9140" t="n">
        <v>0</v>
      </c>
      <c r="K9140" t="n">
        <v>0</v>
      </c>
      <c r="L9140" t="n">
        <v>0</v>
      </c>
      <c r="M9140" t="n">
        <v>0</v>
      </c>
      <c r="N9140" t="n">
        <v>0</v>
      </c>
      <c r="O9140" t="n">
        <v>0</v>
      </c>
      <c r="P9140" t="n">
        <v>0</v>
      </c>
      <c r="Q9140" t="n">
        <v>0</v>
      </c>
      <c r="R9140" s="2" t="inlineStr"/>
    </row>
    <row r="9141" ht="15" customHeight="1">
      <c r="A9141" t="inlineStr">
        <is>
          <t>A 847-2024</t>
        </is>
      </c>
      <c r="B9141" s="1" t="n">
        <v>45300.93413194444</v>
      </c>
      <c r="C9141" s="1" t="n">
        <v>46093</v>
      </c>
      <c r="D9141" t="inlineStr">
        <is>
          <t>VÄSTERNORRLANDS LÄN</t>
        </is>
      </c>
      <c r="E9141" t="inlineStr">
        <is>
          <t>KRAMFORS</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71580-2021</t>
        </is>
      </c>
      <c r="B9142" s="1" t="n">
        <v>44540</v>
      </c>
      <c r="C9142" s="1" t="n">
        <v>46093</v>
      </c>
      <c r="D9142" t="inlineStr">
        <is>
          <t>VÄSTERNORRLANDS LÄN</t>
        </is>
      </c>
      <c r="E9142" t="inlineStr">
        <is>
          <t>SOLLEFTEÅ</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40134-2023</t>
        </is>
      </c>
      <c r="B9143" s="1" t="n">
        <v>45169.33306712963</v>
      </c>
      <c r="C9143" s="1" t="n">
        <v>46093</v>
      </c>
      <c r="D9143" t="inlineStr">
        <is>
          <t>VÄSTERNORRLANDS LÄN</t>
        </is>
      </c>
      <c r="E9143" t="inlineStr">
        <is>
          <t>ÖRNSKÖLDSVIK</t>
        </is>
      </c>
      <c r="G9143" t="n">
        <v>2</v>
      </c>
      <c r="H9143" t="n">
        <v>0</v>
      </c>
      <c r="I9143" t="n">
        <v>0</v>
      </c>
      <c r="J9143" t="n">
        <v>0</v>
      </c>
      <c r="K9143" t="n">
        <v>0</v>
      </c>
      <c r="L9143" t="n">
        <v>0</v>
      </c>
      <c r="M9143" t="n">
        <v>0</v>
      </c>
      <c r="N9143" t="n">
        <v>0</v>
      </c>
      <c r="O9143" t="n">
        <v>0</v>
      </c>
      <c r="P9143" t="n">
        <v>0</v>
      </c>
      <c r="Q9143" t="n">
        <v>0</v>
      </c>
      <c r="R9143" s="2" t="inlineStr"/>
    </row>
    <row r="9144" ht="15" customHeight="1">
      <c r="A9144" t="inlineStr">
        <is>
          <t>A 60645-2025</t>
        </is>
      </c>
      <c r="B9144" s="1" t="n">
        <v>45996.44834490741</v>
      </c>
      <c r="C9144" s="1" t="n">
        <v>46093</v>
      </c>
      <c r="D9144" t="inlineStr">
        <is>
          <t>VÄSTERNORRLANDS LÄN</t>
        </is>
      </c>
      <c r="E9144" t="inlineStr">
        <is>
          <t>SOLLEFTEÅ</t>
        </is>
      </c>
      <c r="G9144" t="n">
        <v>11.8</v>
      </c>
      <c r="H9144" t="n">
        <v>0</v>
      </c>
      <c r="I9144" t="n">
        <v>0</v>
      </c>
      <c r="J9144" t="n">
        <v>0</v>
      </c>
      <c r="K9144" t="n">
        <v>0</v>
      </c>
      <c r="L9144" t="n">
        <v>0</v>
      </c>
      <c r="M9144" t="n">
        <v>0</v>
      </c>
      <c r="N9144" t="n">
        <v>0</v>
      </c>
      <c r="O9144" t="n">
        <v>0</v>
      </c>
      <c r="P9144" t="n">
        <v>0</v>
      </c>
      <c r="Q9144" t="n">
        <v>0</v>
      </c>
      <c r="R9144" s="2" t="inlineStr"/>
    </row>
    <row r="9145" ht="15" customHeight="1">
      <c r="A9145" t="inlineStr">
        <is>
          <t>A 2385-2025</t>
        </is>
      </c>
      <c r="B9145" s="1" t="n">
        <v>45674</v>
      </c>
      <c r="C9145" s="1" t="n">
        <v>46093</v>
      </c>
      <c r="D9145" t="inlineStr">
        <is>
          <t>VÄSTERNORRLANDS LÄN</t>
        </is>
      </c>
      <c r="E9145" t="inlineStr">
        <is>
          <t>KRAMFORS</t>
        </is>
      </c>
      <c r="G9145" t="n">
        <v>1.5</v>
      </c>
      <c r="H9145" t="n">
        <v>0</v>
      </c>
      <c r="I9145" t="n">
        <v>0</v>
      </c>
      <c r="J9145" t="n">
        <v>0</v>
      </c>
      <c r="K9145" t="n">
        <v>0</v>
      </c>
      <c r="L9145" t="n">
        <v>0</v>
      </c>
      <c r="M9145" t="n">
        <v>0</v>
      </c>
      <c r="N9145" t="n">
        <v>0</v>
      </c>
      <c r="O9145" t="n">
        <v>0</v>
      </c>
      <c r="P9145" t="n">
        <v>0</v>
      </c>
      <c r="Q9145" t="n">
        <v>0</v>
      </c>
      <c r="R9145" s="2" t="inlineStr"/>
    </row>
    <row r="9146" ht="15" customHeight="1">
      <c r="A9146" t="inlineStr">
        <is>
          <t>A 18111-2025</t>
        </is>
      </c>
      <c r="B9146" s="1" t="n">
        <v>45761.57334490741</v>
      </c>
      <c r="C9146" s="1" t="n">
        <v>46093</v>
      </c>
      <c r="D9146" t="inlineStr">
        <is>
          <t>VÄSTERNORRLANDS LÄN</t>
        </is>
      </c>
      <c r="E9146" t="inlineStr">
        <is>
          <t>SOLLEFTEÅ</t>
        </is>
      </c>
      <c r="F9146" t="inlineStr">
        <is>
          <t>SCA</t>
        </is>
      </c>
      <c r="G9146" t="n">
        <v>41.6</v>
      </c>
      <c r="H9146" t="n">
        <v>0</v>
      </c>
      <c r="I9146" t="n">
        <v>0</v>
      </c>
      <c r="J9146" t="n">
        <v>0</v>
      </c>
      <c r="K9146" t="n">
        <v>0</v>
      </c>
      <c r="L9146" t="n">
        <v>0</v>
      </c>
      <c r="M9146" t="n">
        <v>0</v>
      </c>
      <c r="N9146" t="n">
        <v>0</v>
      </c>
      <c r="O9146" t="n">
        <v>0</v>
      </c>
      <c r="P9146" t="n">
        <v>0</v>
      </c>
      <c r="Q9146" t="n">
        <v>0</v>
      </c>
      <c r="R9146" s="2" t="inlineStr"/>
    </row>
    <row r="9147" ht="15" customHeight="1">
      <c r="A9147" t="inlineStr">
        <is>
          <t>A 60668-2025</t>
        </is>
      </c>
      <c r="B9147" s="1" t="n">
        <v>45996.52039351852</v>
      </c>
      <c r="C9147" s="1" t="n">
        <v>46093</v>
      </c>
      <c r="D9147" t="inlineStr">
        <is>
          <t>VÄSTERNORRLANDS LÄN</t>
        </is>
      </c>
      <c r="E9147" t="inlineStr">
        <is>
          <t>KRAMFORS</t>
        </is>
      </c>
      <c r="G9147" t="n">
        <v>3.3</v>
      </c>
      <c r="H9147" t="n">
        <v>0</v>
      </c>
      <c r="I9147" t="n">
        <v>0</v>
      </c>
      <c r="J9147" t="n">
        <v>0</v>
      </c>
      <c r="K9147" t="n">
        <v>0</v>
      </c>
      <c r="L9147" t="n">
        <v>0</v>
      </c>
      <c r="M9147" t="n">
        <v>0</v>
      </c>
      <c r="N9147" t="n">
        <v>0</v>
      </c>
      <c r="O9147" t="n">
        <v>0</v>
      </c>
      <c r="P9147" t="n">
        <v>0</v>
      </c>
      <c r="Q9147" t="n">
        <v>0</v>
      </c>
      <c r="R9147" s="2" t="inlineStr"/>
    </row>
    <row r="9148" ht="15" customHeight="1">
      <c r="A9148" t="inlineStr">
        <is>
          <t>A 18130-2025</t>
        </is>
      </c>
      <c r="B9148" s="1" t="n">
        <v>45761.59958333334</v>
      </c>
      <c r="C9148" s="1" t="n">
        <v>46093</v>
      </c>
      <c r="D9148" t="inlineStr">
        <is>
          <t>VÄSTERNORRLANDS LÄN</t>
        </is>
      </c>
      <c r="E9148" t="inlineStr">
        <is>
          <t>TIMRÅ</t>
        </is>
      </c>
      <c r="G9148" t="n">
        <v>3.1</v>
      </c>
      <c r="H9148" t="n">
        <v>0</v>
      </c>
      <c r="I9148" t="n">
        <v>0</v>
      </c>
      <c r="J9148" t="n">
        <v>0</v>
      </c>
      <c r="K9148" t="n">
        <v>0</v>
      </c>
      <c r="L9148" t="n">
        <v>0</v>
      </c>
      <c r="M9148" t="n">
        <v>0</v>
      </c>
      <c r="N9148" t="n">
        <v>0</v>
      </c>
      <c r="O9148" t="n">
        <v>0</v>
      </c>
      <c r="P9148" t="n">
        <v>0</v>
      </c>
      <c r="Q9148" t="n">
        <v>0</v>
      </c>
      <c r="R9148" s="2" t="inlineStr"/>
    </row>
    <row r="9149" ht="15" customHeight="1">
      <c r="A9149" t="inlineStr">
        <is>
          <t>A 18648-2024</t>
        </is>
      </c>
      <c r="B9149" s="1" t="n">
        <v>45425.9678125</v>
      </c>
      <c r="C9149" s="1" t="n">
        <v>46093</v>
      </c>
      <c r="D9149" t="inlineStr">
        <is>
          <t>VÄSTERNORRLANDS LÄN</t>
        </is>
      </c>
      <c r="E9149" t="inlineStr">
        <is>
          <t>SOLLEFTEÅ</t>
        </is>
      </c>
      <c r="F9149" t="inlineStr">
        <is>
          <t>SCA</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60526-2025</t>
        </is>
      </c>
      <c r="B9150" s="1" t="n">
        <v>45995.64572916667</v>
      </c>
      <c r="C9150" s="1" t="n">
        <v>46093</v>
      </c>
      <c r="D9150" t="inlineStr">
        <is>
          <t>VÄSTERNORRLANDS LÄN</t>
        </is>
      </c>
      <c r="E9150" t="inlineStr">
        <is>
          <t>ÖRNSKÖLDSVIK</t>
        </is>
      </c>
      <c r="G9150" t="n">
        <v>0.5</v>
      </c>
      <c r="H9150" t="n">
        <v>0</v>
      </c>
      <c r="I9150" t="n">
        <v>0</v>
      </c>
      <c r="J9150" t="n">
        <v>0</v>
      </c>
      <c r="K9150" t="n">
        <v>0</v>
      </c>
      <c r="L9150" t="n">
        <v>0</v>
      </c>
      <c r="M9150" t="n">
        <v>0</v>
      </c>
      <c r="N9150" t="n">
        <v>0</v>
      </c>
      <c r="O9150" t="n">
        <v>0</v>
      </c>
      <c r="P9150" t="n">
        <v>0</v>
      </c>
      <c r="Q9150" t="n">
        <v>0</v>
      </c>
      <c r="R9150" s="2" t="inlineStr"/>
    </row>
    <row r="9151" ht="15" customHeight="1">
      <c r="A9151" t="inlineStr">
        <is>
          <t>A 48133-2024</t>
        </is>
      </c>
      <c r="B9151" s="1" t="n">
        <v>45589.65221064815</v>
      </c>
      <c r="C9151" s="1" t="n">
        <v>46093</v>
      </c>
      <c r="D9151" t="inlineStr">
        <is>
          <t>VÄSTERNORRLANDS LÄN</t>
        </is>
      </c>
      <c r="E9151" t="inlineStr">
        <is>
          <t>ÖRNSKÖLDSVIK</t>
        </is>
      </c>
      <c r="G9151" t="n">
        <v>1</v>
      </c>
      <c r="H9151" t="n">
        <v>0</v>
      </c>
      <c r="I9151" t="n">
        <v>0</v>
      </c>
      <c r="J9151" t="n">
        <v>0</v>
      </c>
      <c r="K9151" t="n">
        <v>0</v>
      </c>
      <c r="L9151" t="n">
        <v>0</v>
      </c>
      <c r="M9151" t="n">
        <v>0</v>
      </c>
      <c r="N9151" t="n">
        <v>0</v>
      </c>
      <c r="O9151" t="n">
        <v>0</v>
      </c>
      <c r="P9151" t="n">
        <v>0</v>
      </c>
      <c r="Q9151" t="n">
        <v>0</v>
      </c>
      <c r="R9151" s="2" t="inlineStr"/>
    </row>
    <row r="9152" ht="15" customHeight="1">
      <c r="A9152" t="inlineStr">
        <is>
          <t>A 20885-2021</t>
        </is>
      </c>
      <c r="B9152" s="1" t="n">
        <v>44319</v>
      </c>
      <c r="C9152" s="1" t="n">
        <v>46093</v>
      </c>
      <c r="D9152" t="inlineStr">
        <is>
          <t>VÄSTERNORRLANDS LÄN</t>
        </is>
      </c>
      <c r="E9152" t="inlineStr">
        <is>
          <t>ÖRNSKÖLDSVIK</t>
        </is>
      </c>
      <c r="G9152" t="n">
        <v>4.9</v>
      </c>
      <c r="H9152" t="n">
        <v>0</v>
      </c>
      <c r="I9152" t="n">
        <v>0</v>
      </c>
      <c r="J9152" t="n">
        <v>0</v>
      </c>
      <c r="K9152" t="n">
        <v>0</v>
      </c>
      <c r="L9152" t="n">
        <v>0</v>
      </c>
      <c r="M9152" t="n">
        <v>0</v>
      </c>
      <c r="N9152" t="n">
        <v>0</v>
      </c>
      <c r="O9152" t="n">
        <v>0</v>
      </c>
      <c r="P9152" t="n">
        <v>0</v>
      </c>
      <c r="Q9152" t="n">
        <v>0</v>
      </c>
      <c r="R9152" s="2" t="inlineStr"/>
    </row>
    <row r="9153" ht="15" customHeight="1">
      <c r="A9153" t="inlineStr">
        <is>
          <t>A 3256-2024</t>
        </is>
      </c>
      <c r="B9153" s="1" t="n">
        <v>45316</v>
      </c>
      <c r="C9153" s="1" t="n">
        <v>46093</v>
      </c>
      <c r="D9153" t="inlineStr">
        <is>
          <t>VÄSTERNORRLANDS LÄN</t>
        </is>
      </c>
      <c r="E9153" t="inlineStr">
        <is>
          <t>ÅNGE</t>
        </is>
      </c>
      <c r="G9153" t="n">
        <v>3.7</v>
      </c>
      <c r="H9153" t="n">
        <v>0</v>
      </c>
      <c r="I9153" t="n">
        <v>0</v>
      </c>
      <c r="J9153" t="n">
        <v>0</v>
      </c>
      <c r="K9153" t="n">
        <v>0</v>
      </c>
      <c r="L9153" t="n">
        <v>0</v>
      </c>
      <c r="M9153" t="n">
        <v>0</v>
      </c>
      <c r="N9153" t="n">
        <v>0</v>
      </c>
      <c r="O9153" t="n">
        <v>0</v>
      </c>
      <c r="P9153" t="n">
        <v>0</v>
      </c>
      <c r="Q9153" t="n">
        <v>0</v>
      </c>
      <c r="R9153" s="2" t="inlineStr"/>
    </row>
    <row r="9154" ht="15" customHeight="1">
      <c r="A9154" t="inlineStr">
        <is>
          <t>A 60601-2025</t>
        </is>
      </c>
      <c r="B9154" s="1" t="n">
        <v>45996.3521412037</v>
      </c>
      <c r="C9154" s="1" t="n">
        <v>46093</v>
      </c>
      <c r="D9154" t="inlineStr">
        <is>
          <t>VÄSTERNORRLANDS LÄN</t>
        </is>
      </c>
      <c r="E9154" t="inlineStr">
        <is>
          <t>SOLLEFTEÅ</t>
        </is>
      </c>
      <c r="G9154" t="n">
        <v>1.7</v>
      </c>
      <c r="H9154" t="n">
        <v>0</v>
      </c>
      <c r="I9154" t="n">
        <v>0</v>
      </c>
      <c r="J9154" t="n">
        <v>0</v>
      </c>
      <c r="K9154" t="n">
        <v>0</v>
      </c>
      <c r="L9154" t="n">
        <v>0</v>
      </c>
      <c r="M9154" t="n">
        <v>0</v>
      </c>
      <c r="N9154" t="n">
        <v>0</v>
      </c>
      <c r="O9154" t="n">
        <v>0</v>
      </c>
      <c r="P9154" t="n">
        <v>0</v>
      </c>
      <c r="Q9154" t="n">
        <v>0</v>
      </c>
      <c r="R9154" s="2" t="inlineStr"/>
    </row>
    <row r="9155" ht="15" customHeight="1">
      <c r="A9155" t="inlineStr">
        <is>
          <t>A 26590-2024</t>
        </is>
      </c>
      <c r="B9155" s="1" t="n">
        <v>45469.68261574074</v>
      </c>
      <c r="C9155" s="1" t="n">
        <v>46093</v>
      </c>
      <c r="D9155" t="inlineStr">
        <is>
          <t>VÄSTERNORRLANDS LÄN</t>
        </is>
      </c>
      <c r="E9155" t="inlineStr">
        <is>
          <t>ÖRNSKÖLDSVIK</t>
        </is>
      </c>
      <c r="F9155" t="inlineStr">
        <is>
          <t>Holmen skog AB</t>
        </is>
      </c>
      <c r="G9155" t="n">
        <v>3.4</v>
      </c>
      <c r="H9155" t="n">
        <v>0</v>
      </c>
      <c r="I9155" t="n">
        <v>0</v>
      </c>
      <c r="J9155" t="n">
        <v>0</v>
      </c>
      <c r="K9155" t="n">
        <v>0</v>
      </c>
      <c r="L9155" t="n">
        <v>0</v>
      </c>
      <c r="M9155" t="n">
        <v>0</v>
      </c>
      <c r="N9155" t="n">
        <v>0</v>
      </c>
      <c r="O9155" t="n">
        <v>0</v>
      </c>
      <c r="P9155" t="n">
        <v>0</v>
      </c>
      <c r="Q9155" t="n">
        <v>0</v>
      </c>
      <c r="R9155" s="2" t="inlineStr"/>
    </row>
    <row r="9156" ht="15" customHeight="1">
      <c r="A9156" t="inlineStr">
        <is>
          <t>A 60677-2025</t>
        </is>
      </c>
      <c r="B9156" s="1" t="n">
        <v>45996.56097222222</v>
      </c>
      <c r="C9156" s="1" t="n">
        <v>46093</v>
      </c>
      <c r="D9156" t="inlineStr">
        <is>
          <t>VÄSTERNORRLANDS LÄN</t>
        </is>
      </c>
      <c r="E9156" t="inlineStr">
        <is>
          <t>SOLLEFTEÅ</t>
        </is>
      </c>
      <c r="G9156" t="n">
        <v>6.7</v>
      </c>
      <c r="H9156" t="n">
        <v>0</v>
      </c>
      <c r="I9156" t="n">
        <v>0</v>
      </c>
      <c r="J9156" t="n">
        <v>0</v>
      </c>
      <c r="K9156" t="n">
        <v>0</v>
      </c>
      <c r="L9156" t="n">
        <v>0</v>
      </c>
      <c r="M9156" t="n">
        <v>0</v>
      </c>
      <c r="N9156" t="n">
        <v>0</v>
      </c>
      <c r="O9156" t="n">
        <v>0</v>
      </c>
      <c r="P9156" t="n">
        <v>0</v>
      </c>
      <c r="Q9156" t="n">
        <v>0</v>
      </c>
      <c r="R9156" s="2" t="inlineStr"/>
    </row>
    <row r="9157" ht="15" customHeight="1">
      <c r="A9157" t="inlineStr">
        <is>
          <t>A 53924-2023</t>
        </is>
      </c>
      <c r="B9157" s="1" t="n">
        <v>45231.57295138889</v>
      </c>
      <c r="C9157" s="1" t="n">
        <v>46093</v>
      </c>
      <c r="D9157" t="inlineStr">
        <is>
          <t>VÄSTERNORRLANDS LÄN</t>
        </is>
      </c>
      <c r="E9157" t="inlineStr">
        <is>
          <t>ÖRNSKÖLDSVIK</t>
        </is>
      </c>
      <c r="F9157" t="inlineStr">
        <is>
          <t>Holmen skog AB</t>
        </is>
      </c>
      <c r="G9157" t="n">
        <v>4.1</v>
      </c>
      <c r="H9157" t="n">
        <v>0</v>
      </c>
      <c r="I9157" t="n">
        <v>0</v>
      </c>
      <c r="J9157" t="n">
        <v>0</v>
      </c>
      <c r="K9157" t="n">
        <v>0</v>
      </c>
      <c r="L9157" t="n">
        <v>0</v>
      </c>
      <c r="M9157" t="n">
        <v>0</v>
      </c>
      <c r="N9157" t="n">
        <v>0</v>
      </c>
      <c r="O9157" t="n">
        <v>0</v>
      </c>
      <c r="P9157" t="n">
        <v>0</v>
      </c>
      <c r="Q9157" t="n">
        <v>0</v>
      </c>
      <c r="R9157" s="2" t="inlineStr"/>
    </row>
    <row r="9158" ht="15" customHeight="1">
      <c r="A9158" t="inlineStr">
        <is>
          <t>A 27936-2024</t>
        </is>
      </c>
      <c r="B9158" s="1" t="n">
        <v>45475.95054398148</v>
      </c>
      <c r="C9158" s="1" t="n">
        <v>46093</v>
      </c>
      <c r="D9158" t="inlineStr">
        <is>
          <t>VÄSTERNORRLANDS LÄN</t>
        </is>
      </c>
      <c r="E9158" t="inlineStr">
        <is>
          <t>SOLLEFTEÅ</t>
        </is>
      </c>
      <c r="F9158" t="inlineStr">
        <is>
          <t>SCA</t>
        </is>
      </c>
      <c r="G9158" t="n">
        <v>3</v>
      </c>
      <c r="H9158" t="n">
        <v>0</v>
      </c>
      <c r="I9158" t="n">
        <v>0</v>
      </c>
      <c r="J9158" t="n">
        <v>0</v>
      </c>
      <c r="K9158" t="n">
        <v>0</v>
      </c>
      <c r="L9158" t="n">
        <v>0</v>
      </c>
      <c r="M9158" t="n">
        <v>0</v>
      </c>
      <c r="N9158" t="n">
        <v>0</v>
      </c>
      <c r="O9158" t="n">
        <v>0</v>
      </c>
      <c r="P9158" t="n">
        <v>0</v>
      </c>
      <c r="Q9158" t="n">
        <v>0</v>
      </c>
      <c r="R9158" s="2" t="inlineStr"/>
    </row>
    <row r="9159" ht="15" customHeight="1">
      <c r="A9159" t="inlineStr">
        <is>
          <t>A 60523-2025</t>
        </is>
      </c>
      <c r="B9159" s="1" t="n">
        <v>45995</v>
      </c>
      <c r="C9159" s="1" t="n">
        <v>46093</v>
      </c>
      <c r="D9159" t="inlineStr">
        <is>
          <t>VÄSTERNORRLANDS LÄN</t>
        </is>
      </c>
      <c r="E9159" t="inlineStr">
        <is>
          <t>ÖRNSKÖLDSVIK</t>
        </is>
      </c>
      <c r="G9159" t="n">
        <v>2.7</v>
      </c>
      <c r="H9159" t="n">
        <v>0</v>
      </c>
      <c r="I9159" t="n">
        <v>0</v>
      </c>
      <c r="J9159" t="n">
        <v>0</v>
      </c>
      <c r="K9159" t="n">
        <v>0</v>
      </c>
      <c r="L9159" t="n">
        <v>0</v>
      </c>
      <c r="M9159" t="n">
        <v>0</v>
      </c>
      <c r="N9159" t="n">
        <v>0</v>
      </c>
      <c r="O9159" t="n">
        <v>0</v>
      </c>
      <c r="P9159" t="n">
        <v>0</v>
      </c>
      <c r="Q9159" t="n">
        <v>0</v>
      </c>
      <c r="R9159" s="2" t="inlineStr"/>
    </row>
    <row r="9160" ht="15" customHeight="1">
      <c r="A9160" t="inlineStr">
        <is>
          <t>A 28318-2022</t>
        </is>
      </c>
      <c r="B9160" s="1" t="n">
        <v>44747.37167824074</v>
      </c>
      <c r="C9160" s="1" t="n">
        <v>46093</v>
      </c>
      <c r="D9160" t="inlineStr">
        <is>
          <t>VÄSTERNORRLANDS LÄN</t>
        </is>
      </c>
      <c r="E9160" t="inlineStr">
        <is>
          <t>KRAMFORS</t>
        </is>
      </c>
      <c r="G9160" t="n">
        <v>0.6</v>
      </c>
      <c r="H9160" t="n">
        <v>0</v>
      </c>
      <c r="I9160" t="n">
        <v>0</v>
      </c>
      <c r="J9160" t="n">
        <v>0</v>
      </c>
      <c r="K9160" t="n">
        <v>0</v>
      </c>
      <c r="L9160" t="n">
        <v>0</v>
      </c>
      <c r="M9160" t="n">
        <v>0</v>
      </c>
      <c r="N9160" t="n">
        <v>0</v>
      </c>
      <c r="O9160" t="n">
        <v>0</v>
      </c>
      <c r="P9160" t="n">
        <v>0</v>
      </c>
      <c r="Q9160" t="n">
        <v>0</v>
      </c>
      <c r="R9160" s="2" t="inlineStr"/>
    </row>
    <row r="9161" ht="15" customHeight="1">
      <c r="A9161" t="inlineStr">
        <is>
          <t>A 25131-2024</t>
        </is>
      </c>
      <c r="B9161" s="1" t="n">
        <v>45462.46725694444</v>
      </c>
      <c r="C9161" s="1" t="n">
        <v>46093</v>
      </c>
      <c r="D9161" t="inlineStr">
        <is>
          <t>VÄSTERNORRLANDS LÄN</t>
        </is>
      </c>
      <c r="E9161" t="inlineStr">
        <is>
          <t>SOLLEFTEÅ</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42788-2024</t>
        </is>
      </c>
      <c r="B9162" s="1" t="n">
        <v>45566</v>
      </c>
      <c r="C9162" s="1" t="n">
        <v>46093</v>
      </c>
      <c r="D9162" t="inlineStr">
        <is>
          <t>VÄSTERNORRLANDS LÄN</t>
        </is>
      </c>
      <c r="E9162" t="inlineStr">
        <is>
          <t>HÄRNÖSAND</t>
        </is>
      </c>
      <c r="G9162" t="n">
        <v>4.2</v>
      </c>
      <c r="H9162" t="n">
        <v>0</v>
      </c>
      <c r="I9162" t="n">
        <v>0</v>
      </c>
      <c r="J9162" t="n">
        <v>0</v>
      </c>
      <c r="K9162" t="n">
        <v>0</v>
      </c>
      <c r="L9162" t="n">
        <v>0</v>
      </c>
      <c r="M9162" t="n">
        <v>0</v>
      </c>
      <c r="N9162" t="n">
        <v>0</v>
      </c>
      <c r="O9162" t="n">
        <v>0</v>
      </c>
      <c r="P9162" t="n">
        <v>0</v>
      </c>
      <c r="Q9162" t="n">
        <v>0</v>
      </c>
      <c r="R9162" s="2" t="inlineStr"/>
    </row>
    <row r="9163" ht="15" customHeight="1">
      <c r="A9163" t="inlineStr">
        <is>
          <t>A 42838-2024</t>
        </is>
      </c>
      <c r="B9163" s="1" t="n">
        <v>45566.62291666667</v>
      </c>
      <c r="C9163" s="1" t="n">
        <v>46093</v>
      </c>
      <c r="D9163" t="inlineStr">
        <is>
          <t>VÄSTERNORRLANDS LÄN</t>
        </is>
      </c>
      <c r="E9163" t="inlineStr">
        <is>
          <t>ÖRNSKÖLDSVIK</t>
        </is>
      </c>
      <c r="F9163" t="inlineStr">
        <is>
          <t>Holmen skog AB</t>
        </is>
      </c>
      <c r="G9163" t="n">
        <v>0.4</v>
      </c>
      <c r="H9163" t="n">
        <v>0</v>
      </c>
      <c r="I9163" t="n">
        <v>0</v>
      </c>
      <c r="J9163" t="n">
        <v>0</v>
      </c>
      <c r="K9163" t="n">
        <v>0</v>
      </c>
      <c r="L9163" t="n">
        <v>0</v>
      </c>
      <c r="M9163" t="n">
        <v>0</v>
      </c>
      <c r="N9163" t="n">
        <v>0</v>
      </c>
      <c r="O9163" t="n">
        <v>0</v>
      </c>
      <c r="P9163" t="n">
        <v>0</v>
      </c>
      <c r="Q9163" t="n">
        <v>0</v>
      </c>
      <c r="R9163" s="2" t="inlineStr"/>
    </row>
    <row r="9164" ht="15" customHeight="1">
      <c r="A9164" t="inlineStr">
        <is>
          <t>A 19489-2025</t>
        </is>
      </c>
      <c r="B9164" s="1" t="n">
        <v>45770.38847222222</v>
      </c>
      <c r="C9164" s="1" t="n">
        <v>46093</v>
      </c>
      <c r="D9164" t="inlineStr">
        <is>
          <t>VÄSTERNORRLANDS LÄN</t>
        </is>
      </c>
      <c r="E9164" t="inlineStr">
        <is>
          <t>SOLLEFTEÅ</t>
        </is>
      </c>
      <c r="F9164" t="inlineStr">
        <is>
          <t>SCA</t>
        </is>
      </c>
      <c r="G9164" t="n">
        <v>4.2</v>
      </c>
      <c r="H9164" t="n">
        <v>0</v>
      </c>
      <c r="I9164" t="n">
        <v>0</v>
      </c>
      <c r="J9164" t="n">
        <v>0</v>
      </c>
      <c r="K9164" t="n">
        <v>0</v>
      </c>
      <c r="L9164" t="n">
        <v>0</v>
      </c>
      <c r="M9164" t="n">
        <v>0</v>
      </c>
      <c r="N9164" t="n">
        <v>0</v>
      </c>
      <c r="O9164" t="n">
        <v>0</v>
      </c>
      <c r="P9164" t="n">
        <v>0</v>
      </c>
      <c r="Q9164" t="n">
        <v>0</v>
      </c>
      <c r="R9164" s="2" t="inlineStr"/>
    </row>
    <row r="9165" ht="15" customHeight="1">
      <c r="A9165" t="inlineStr">
        <is>
          <t>A 20943-2023</t>
        </is>
      </c>
      <c r="B9165" s="1" t="n">
        <v>45061</v>
      </c>
      <c r="C9165" s="1" t="n">
        <v>46093</v>
      </c>
      <c r="D9165" t="inlineStr">
        <is>
          <t>VÄSTERNORRLANDS LÄN</t>
        </is>
      </c>
      <c r="E9165" t="inlineStr">
        <is>
          <t>ÖRNSKÖLDSVIK</t>
        </is>
      </c>
      <c r="G9165" t="n">
        <v>3.5</v>
      </c>
      <c r="H9165" t="n">
        <v>0</v>
      </c>
      <c r="I9165" t="n">
        <v>0</v>
      </c>
      <c r="J9165" t="n">
        <v>0</v>
      </c>
      <c r="K9165" t="n">
        <v>0</v>
      </c>
      <c r="L9165" t="n">
        <v>0</v>
      </c>
      <c r="M9165" t="n">
        <v>0</v>
      </c>
      <c r="N9165" t="n">
        <v>0</v>
      </c>
      <c r="O9165" t="n">
        <v>0</v>
      </c>
      <c r="P9165" t="n">
        <v>0</v>
      </c>
      <c r="Q9165" t="n">
        <v>0</v>
      </c>
      <c r="R9165" s="2" t="inlineStr"/>
    </row>
    <row r="9166" ht="15" customHeight="1">
      <c r="A9166" t="inlineStr">
        <is>
          <t>A 29810-2024</t>
        </is>
      </c>
      <c r="B9166" s="1" t="n">
        <v>45485.53798611111</v>
      </c>
      <c r="C9166" s="1" t="n">
        <v>46093</v>
      </c>
      <c r="D9166" t="inlineStr">
        <is>
          <t>VÄSTERNORRLANDS LÄN</t>
        </is>
      </c>
      <c r="E9166" t="inlineStr">
        <is>
          <t>ÖRNSKÖLDSVIK</t>
        </is>
      </c>
      <c r="F9166" t="inlineStr">
        <is>
          <t>Holmen skog AB</t>
        </is>
      </c>
      <c r="G9166" t="n">
        <v>1.7</v>
      </c>
      <c r="H9166" t="n">
        <v>0</v>
      </c>
      <c r="I9166" t="n">
        <v>0</v>
      </c>
      <c r="J9166" t="n">
        <v>0</v>
      </c>
      <c r="K9166" t="n">
        <v>0</v>
      </c>
      <c r="L9166" t="n">
        <v>0</v>
      </c>
      <c r="M9166" t="n">
        <v>0</v>
      </c>
      <c r="N9166" t="n">
        <v>0</v>
      </c>
      <c r="O9166" t="n">
        <v>0</v>
      </c>
      <c r="P9166" t="n">
        <v>0</v>
      </c>
      <c r="Q9166" t="n">
        <v>0</v>
      </c>
      <c r="R9166" s="2" t="inlineStr"/>
    </row>
    <row r="9167" ht="15" customHeight="1">
      <c r="A9167" t="inlineStr">
        <is>
          <t>A 17968-2023</t>
        </is>
      </c>
      <c r="B9167" s="1" t="n">
        <v>45037</v>
      </c>
      <c r="C9167" s="1" t="n">
        <v>46093</v>
      </c>
      <c r="D9167" t="inlineStr">
        <is>
          <t>VÄSTERNORRLANDS LÄN</t>
        </is>
      </c>
      <c r="E9167" t="inlineStr">
        <is>
          <t>ÖRNSKÖLDSVIK</t>
        </is>
      </c>
      <c r="G9167" t="n">
        <v>0.7</v>
      </c>
      <c r="H9167" t="n">
        <v>0</v>
      </c>
      <c r="I9167" t="n">
        <v>0</v>
      </c>
      <c r="J9167" t="n">
        <v>0</v>
      </c>
      <c r="K9167" t="n">
        <v>0</v>
      </c>
      <c r="L9167" t="n">
        <v>0</v>
      </c>
      <c r="M9167" t="n">
        <v>0</v>
      </c>
      <c r="N9167" t="n">
        <v>0</v>
      </c>
      <c r="O9167" t="n">
        <v>0</v>
      </c>
      <c r="P9167" t="n">
        <v>0</v>
      </c>
      <c r="Q9167" t="n">
        <v>0</v>
      </c>
      <c r="R9167" s="2" t="inlineStr"/>
    </row>
    <row r="9168" ht="15" customHeight="1">
      <c r="A9168" t="inlineStr">
        <is>
          <t>A 2499-2024</t>
        </is>
      </c>
      <c r="B9168" s="1" t="n">
        <v>45313</v>
      </c>
      <c r="C9168" s="1" t="n">
        <v>46093</v>
      </c>
      <c r="D9168" t="inlineStr">
        <is>
          <t>VÄSTERNORRLANDS LÄN</t>
        </is>
      </c>
      <c r="E9168" t="inlineStr">
        <is>
          <t>ÖRNSKÖLDSVIK</t>
        </is>
      </c>
      <c r="G9168" t="n">
        <v>2.1</v>
      </c>
      <c r="H9168" t="n">
        <v>0</v>
      </c>
      <c r="I9168" t="n">
        <v>0</v>
      </c>
      <c r="J9168" t="n">
        <v>0</v>
      </c>
      <c r="K9168" t="n">
        <v>0</v>
      </c>
      <c r="L9168" t="n">
        <v>0</v>
      </c>
      <c r="M9168" t="n">
        <v>0</v>
      </c>
      <c r="N9168" t="n">
        <v>0</v>
      </c>
      <c r="O9168" t="n">
        <v>0</v>
      </c>
      <c r="P9168" t="n">
        <v>0</v>
      </c>
      <c r="Q9168" t="n">
        <v>0</v>
      </c>
      <c r="R9168" s="2" t="inlineStr"/>
    </row>
    <row r="9169" ht="15" customHeight="1">
      <c r="A9169" t="inlineStr">
        <is>
          <t>A 2541-2024</t>
        </is>
      </c>
      <c r="B9169" s="1" t="n">
        <v>45313.56436342592</v>
      </c>
      <c r="C9169" s="1" t="n">
        <v>46093</v>
      </c>
      <c r="D9169" t="inlineStr">
        <is>
          <t>VÄSTERNORRLANDS LÄN</t>
        </is>
      </c>
      <c r="E9169" t="inlineStr">
        <is>
          <t>ÖRNSKÖLDSVIK</t>
        </is>
      </c>
      <c r="G9169" t="n">
        <v>1.2</v>
      </c>
      <c r="H9169" t="n">
        <v>0</v>
      </c>
      <c r="I9169" t="n">
        <v>0</v>
      </c>
      <c r="J9169" t="n">
        <v>0</v>
      </c>
      <c r="K9169" t="n">
        <v>0</v>
      </c>
      <c r="L9169" t="n">
        <v>0</v>
      </c>
      <c r="M9169" t="n">
        <v>0</v>
      </c>
      <c r="N9169" t="n">
        <v>0</v>
      </c>
      <c r="O9169" t="n">
        <v>0</v>
      </c>
      <c r="P9169" t="n">
        <v>0</v>
      </c>
      <c r="Q9169" t="n">
        <v>0</v>
      </c>
      <c r="R9169" s="2" t="inlineStr"/>
    </row>
    <row r="9170" ht="15" customHeight="1">
      <c r="A9170" t="inlineStr">
        <is>
          <t>A 3947-2025</t>
        </is>
      </c>
      <c r="B9170" s="1" t="n">
        <v>45684.49001157407</v>
      </c>
      <c r="C9170" s="1" t="n">
        <v>46093</v>
      </c>
      <c r="D9170" t="inlineStr">
        <is>
          <t>VÄSTERNORRLANDS LÄN</t>
        </is>
      </c>
      <c r="E9170" t="inlineStr">
        <is>
          <t>ÅNGE</t>
        </is>
      </c>
      <c r="F9170" t="inlineStr">
        <is>
          <t>SCA</t>
        </is>
      </c>
      <c r="G9170" t="n">
        <v>1.4</v>
      </c>
      <c r="H9170" t="n">
        <v>0</v>
      </c>
      <c r="I9170" t="n">
        <v>0</v>
      </c>
      <c r="J9170" t="n">
        <v>0</v>
      </c>
      <c r="K9170" t="n">
        <v>0</v>
      </c>
      <c r="L9170" t="n">
        <v>0</v>
      </c>
      <c r="M9170" t="n">
        <v>0</v>
      </c>
      <c r="N9170" t="n">
        <v>0</v>
      </c>
      <c r="O9170" t="n">
        <v>0</v>
      </c>
      <c r="P9170" t="n">
        <v>0</v>
      </c>
      <c r="Q9170" t="n">
        <v>0</v>
      </c>
      <c r="R9170" s="2" t="inlineStr"/>
    </row>
    <row r="9171" ht="15" customHeight="1">
      <c r="A9171" t="inlineStr">
        <is>
          <t>A 3948-2025</t>
        </is>
      </c>
      <c r="B9171" s="1" t="n">
        <v>45684.49009259259</v>
      </c>
      <c r="C9171" s="1" t="n">
        <v>46093</v>
      </c>
      <c r="D9171" t="inlineStr">
        <is>
          <t>VÄSTERNORRLANDS LÄN</t>
        </is>
      </c>
      <c r="E9171" t="inlineStr">
        <is>
          <t>SUNDSVALL</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40508-2024</t>
        </is>
      </c>
      <c r="B9172" s="1" t="n">
        <v>45555.58267361111</v>
      </c>
      <c r="C9172" s="1" t="n">
        <v>46093</v>
      </c>
      <c r="D9172" t="inlineStr">
        <is>
          <t>VÄSTERNORRLANDS LÄN</t>
        </is>
      </c>
      <c r="E9172" t="inlineStr">
        <is>
          <t>ÖRNSKÖLDSVIK</t>
        </is>
      </c>
      <c r="F9172" t="inlineStr">
        <is>
          <t>Holmen skog AB</t>
        </is>
      </c>
      <c r="G9172" t="n">
        <v>3.1</v>
      </c>
      <c r="H9172" t="n">
        <v>0</v>
      </c>
      <c r="I9172" t="n">
        <v>0</v>
      </c>
      <c r="J9172" t="n">
        <v>0</v>
      </c>
      <c r="K9172" t="n">
        <v>0</v>
      </c>
      <c r="L9172" t="n">
        <v>0</v>
      </c>
      <c r="M9172" t="n">
        <v>0</v>
      </c>
      <c r="N9172" t="n">
        <v>0</v>
      </c>
      <c r="O9172" t="n">
        <v>0</v>
      </c>
      <c r="P9172" t="n">
        <v>0</v>
      </c>
      <c r="Q9172" t="n">
        <v>0</v>
      </c>
      <c r="R9172" s="2" t="inlineStr"/>
    </row>
    <row r="9173" ht="15" customHeight="1">
      <c r="A9173" t="inlineStr">
        <is>
          <t>A 59564-2024</t>
        </is>
      </c>
      <c r="B9173" s="1" t="n">
        <v>45638.6375</v>
      </c>
      <c r="C9173" s="1" t="n">
        <v>46093</v>
      </c>
      <c r="D9173" t="inlineStr">
        <is>
          <t>VÄSTERNORRLANDS LÄN</t>
        </is>
      </c>
      <c r="E9173" t="inlineStr">
        <is>
          <t>SOLLEFTEÅ</t>
        </is>
      </c>
      <c r="F9173" t="inlineStr">
        <is>
          <t>SCA</t>
        </is>
      </c>
      <c r="G9173" t="n">
        <v>2.4</v>
      </c>
      <c r="H9173" t="n">
        <v>0</v>
      </c>
      <c r="I9173" t="n">
        <v>0</v>
      </c>
      <c r="J9173" t="n">
        <v>0</v>
      </c>
      <c r="K9173" t="n">
        <v>0</v>
      </c>
      <c r="L9173" t="n">
        <v>0</v>
      </c>
      <c r="M9173" t="n">
        <v>0</v>
      </c>
      <c r="N9173" t="n">
        <v>0</v>
      </c>
      <c r="O9173" t="n">
        <v>0</v>
      </c>
      <c r="P9173" t="n">
        <v>0</v>
      </c>
      <c r="Q9173" t="n">
        <v>0</v>
      </c>
      <c r="R9173" s="2" t="inlineStr"/>
    </row>
    <row r="9174" ht="15" customHeight="1">
      <c r="A9174" t="inlineStr">
        <is>
          <t>A 22462-2024</t>
        </is>
      </c>
      <c r="B9174" s="1" t="n">
        <v>45446</v>
      </c>
      <c r="C9174" s="1" t="n">
        <v>46093</v>
      </c>
      <c r="D9174" t="inlineStr">
        <is>
          <t>VÄSTERNORRLANDS LÄN</t>
        </is>
      </c>
      <c r="E9174" t="inlineStr">
        <is>
          <t>SOLLEFTEÅ</t>
        </is>
      </c>
      <c r="G9174" t="n">
        <v>1.2</v>
      </c>
      <c r="H9174" t="n">
        <v>0</v>
      </c>
      <c r="I9174" t="n">
        <v>0</v>
      </c>
      <c r="J9174" t="n">
        <v>0</v>
      </c>
      <c r="K9174" t="n">
        <v>0</v>
      </c>
      <c r="L9174" t="n">
        <v>0</v>
      </c>
      <c r="M9174" t="n">
        <v>0</v>
      </c>
      <c r="N9174" t="n">
        <v>0</v>
      </c>
      <c r="O9174" t="n">
        <v>0</v>
      </c>
      <c r="P9174" t="n">
        <v>0</v>
      </c>
      <c r="Q9174" t="n">
        <v>0</v>
      </c>
      <c r="R9174" s="2" t="inlineStr"/>
    </row>
    <row r="9175" ht="15" customHeight="1">
      <c r="A9175" t="inlineStr">
        <is>
          <t>A 3323-2025</t>
        </is>
      </c>
      <c r="B9175" s="1" t="n">
        <v>45679.69921296297</v>
      </c>
      <c r="C9175" s="1" t="n">
        <v>46093</v>
      </c>
      <c r="D9175" t="inlineStr">
        <is>
          <t>VÄSTERNORRLANDS LÄN</t>
        </is>
      </c>
      <c r="E9175" t="inlineStr">
        <is>
          <t>SOLLEFTEÅ</t>
        </is>
      </c>
      <c r="F9175" t="inlineStr">
        <is>
          <t>SCA</t>
        </is>
      </c>
      <c r="G9175" t="n">
        <v>0.3</v>
      </c>
      <c r="H9175" t="n">
        <v>0</v>
      </c>
      <c r="I9175" t="n">
        <v>0</v>
      </c>
      <c r="J9175" t="n">
        <v>0</v>
      </c>
      <c r="K9175" t="n">
        <v>0</v>
      </c>
      <c r="L9175" t="n">
        <v>0</v>
      </c>
      <c r="M9175" t="n">
        <v>0</v>
      </c>
      <c r="N9175" t="n">
        <v>0</v>
      </c>
      <c r="O9175" t="n">
        <v>0</v>
      </c>
      <c r="P9175" t="n">
        <v>0</v>
      </c>
      <c r="Q9175" t="n">
        <v>0</v>
      </c>
      <c r="R9175" s="2" t="inlineStr"/>
    </row>
    <row r="9176" ht="15" customHeight="1">
      <c r="A9176" t="inlineStr">
        <is>
          <t>A 52502-2023</t>
        </is>
      </c>
      <c r="B9176" s="1" t="n">
        <v>45225</v>
      </c>
      <c r="C9176" s="1" t="n">
        <v>46093</v>
      </c>
      <c r="D9176" t="inlineStr">
        <is>
          <t>VÄSTERNORRLANDS LÄN</t>
        </is>
      </c>
      <c r="E9176" t="inlineStr">
        <is>
          <t>SUNDSVALL</t>
        </is>
      </c>
      <c r="F9176" t="inlineStr">
        <is>
          <t>Kommuner</t>
        </is>
      </c>
      <c r="G9176" t="n">
        <v>0.6</v>
      </c>
      <c r="H9176" t="n">
        <v>0</v>
      </c>
      <c r="I9176" t="n">
        <v>0</v>
      </c>
      <c r="J9176" t="n">
        <v>0</v>
      </c>
      <c r="K9176" t="n">
        <v>0</v>
      </c>
      <c r="L9176" t="n">
        <v>0</v>
      </c>
      <c r="M9176" t="n">
        <v>0</v>
      </c>
      <c r="N9176" t="n">
        <v>0</v>
      </c>
      <c r="O9176" t="n">
        <v>0</v>
      </c>
      <c r="P9176" t="n">
        <v>0</v>
      </c>
      <c r="Q9176" t="n">
        <v>0</v>
      </c>
      <c r="R9176" s="2" t="inlineStr"/>
    </row>
    <row r="9177" ht="15" customHeight="1">
      <c r="A9177" t="inlineStr">
        <is>
          <t>A 22496-2024</t>
        </is>
      </c>
      <c r="B9177" s="1" t="n">
        <v>45447</v>
      </c>
      <c r="C9177" s="1" t="n">
        <v>46093</v>
      </c>
      <c r="D9177" t="inlineStr">
        <is>
          <t>VÄSTERNORRLANDS LÄN</t>
        </is>
      </c>
      <c r="E9177" t="inlineStr">
        <is>
          <t>KRAMFORS</t>
        </is>
      </c>
      <c r="G9177" t="n">
        <v>2.7</v>
      </c>
      <c r="H9177" t="n">
        <v>0</v>
      </c>
      <c r="I9177" t="n">
        <v>0</v>
      </c>
      <c r="J9177" t="n">
        <v>0</v>
      </c>
      <c r="K9177" t="n">
        <v>0</v>
      </c>
      <c r="L9177" t="n">
        <v>0</v>
      </c>
      <c r="M9177" t="n">
        <v>0</v>
      </c>
      <c r="N9177" t="n">
        <v>0</v>
      </c>
      <c r="O9177" t="n">
        <v>0</v>
      </c>
      <c r="P9177" t="n">
        <v>0</v>
      </c>
      <c r="Q9177" t="n">
        <v>0</v>
      </c>
      <c r="R9177" s="2" t="inlineStr"/>
    </row>
    <row r="9178" ht="15" customHeight="1">
      <c r="A9178" t="inlineStr">
        <is>
          <t>A 52702-2024</t>
        </is>
      </c>
      <c r="B9178" s="1" t="n">
        <v>45610</v>
      </c>
      <c r="C9178" s="1" t="n">
        <v>46093</v>
      </c>
      <c r="D9178" t="inlineStr">
        <is>
          <t>VÄSTERNORRLANDS LÄN</t>
        </is>
      </c>
      <c r="E9178" t="inlineStr">
        <is>
          <t>SOLLEFTEÅ</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50963-2024</t>
        </is>
      </c>
      <c r="B9179" s="1" t="n">
        <v>45603.32388888889</v>
      </c>
      <c r="C9179" s="1" t="n">
        <v>46093</v>
      </c>
      <c r="D9179" t="inlineStr">
        <is>
          <t>VÄSTERNORRLANDS LÄN</t>
        </is>
      </c>
      <c r="E9179" t="inlineStr">
        <is>
          <t>SOLLEFTEÅ</t>
        </is>
      </c>
      <c r="F9179" t="inlineStr">
        <is>
          <t>Holmen skog AB</t>
        </is>
      </c>
      <c r="G9179" t="n">
        <v>6.6</v>
      </c>
      <c r="H9179" t="n">
        <v>0</v>
      </c>
      <c r="I9179" t="n">
        <v>0</v>
      </c>
      <c r="J9179" t="n">
        <v>0</v>
      </c>
      <c r="K9179" t="n">
        <v>0</v>
      </c>
      <c r="L9179" t="n">
        <v>0</v>
      </c>
      <c r="M9179" t="n">
        <v>0</v>
      </c>
      <c r="N9179" t="n">
        <v>0</v>
      </c>
      <c r="O9179" t="n">
        <v>0</v>
      </c>
      <c r="P9179" t="n">
        <v>0</v>
      </c>
      <c r="Q9179" t="n">
        <v>0</v>
      </c>
      <c r="R9179" s="2" t="inlineStr"/>
    </row>
    <row r="9180" ht="15" customHeight="1">
      <c r="A9180" t="inlineStr">
        <is>
          <t>A 60591-2025</t>
        </is>
      </c>
      <c r="B9180" s="1" t="n">
        <v>45996.34302083333</v>
      </c>
      <c r="C9180" s="1" t="n">
        <v>46093</v>
      </c>
      <c r="D9180" t="inlineStr">
        <is>
          <t>VÄSTERNORRLANDS LÄN</t>
        </is>
      </c>
      <c r="E9180" t="inlineStr">
        <is>
          <t>SOLLEFTEÅ</t>
        </is>
      </c>
      <c r="G9180" t="n">
        <v>3.3</v>
      </c>
      <c r="H9180" t="n">
        <v>0</v>
      </c>
      <c r="I9180" t="n">
        <v>0</v>
      </c>
      <c r="J9180" t="n">
        <v>0</v>
      </c>
      <c r="K9180" t="n">
        <v>0</v>
      </c>
      <c r="L9180" t="n">
        <v>0</v>
      </c>
      <c r="M9180" t="n">
        <v>0</v>
      </c>
      <c r="N9180" t="n">
        <v>0</v>
      </c>
      <c r="O9180" t="n">
        <v>0</v>
      </c>
      <c r="P9180" t="n">
        <v>0</v>
      </c>
      <c r="Q9180" t="n">
        <v>0</v>
      </c>
      <c r="R9180" s="2" t="inlineStr"/>
    </row>
    <row r="9181" ht="15" customHeight="1">
      <c r="A9181" t="inlineStr">
        <is>
          <t>A 60604-2025</t>
        </is>
      </c>
      <c r="B9181" s="1" t="n">
        <v>45995</v>
      </c>
      <c r="C9181" s="1" t="n">
        <v>46093</v>
      </c>
      <c r="D9181" t="inlineStr">
        <is>
          <t>VÄSTERNORRLANDS LÄN</t>
        </is>
      </c>
      <c r="E9181" t="inlineStr">
        <is>
          <t>ÅNGE</t>
        </is>
      </c>
      <c r="G9181" t="n">
        <v>2.5</v>
      </c>
      <c r="H9181" t="n">
        <v>0</v>
      </c>
      <c r="I9181" t="n">
        <v>0</v>
      </c>
      <c r="J9181" t="n">
        <v>0</v>
      </c>
      <c r="K9181" t="n">
        <v>0</v>
      </c>
      <c r="L9181" t="n">
        <v>0</v>
      </c>
      <c r="M9181" t="n">
        <v>0</v>
      </c>
      <c r="N9181" t="n">
        <v>0</v>
      </c>
      <c r="O9181" t="n">
        <v>0</v>
      </c>
      <c r="P9181" t="n">
        <v>0</v>
      </c>
      <c r="Q9181" t="n">
        <v>0</v>
      </c>
      <c r="R9181" s="2" t="inlineStr"/>
    </row>
    <row r="9182" ht="15" customHeight="1">
      <c r="A9182" t="inlineStr">
        <is>
          <t>A 59591-2024</t>
        </is>
      </c>
      <c r="B9182" s="1" t="n">
        <v>45638.69253472222</v>
      </c>
      <c r="C9182" s="1" t="n">
        <v>46093</v>
      </c>
      <c r="D9182" t="inlineStr">
        <is>
          <t>VÄSTERNORRLANDS LÄN</t>
        </is>
      </c>
      <c r="E9182" t="inlineStr">
        <is>
          <t>HÄRNÖSAND</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60637-2025</t>
        </is>
      </c>
      <c r="B9183" s="1" t="n">
        <v>45996.43682870371</v>
      </c>
      <c r="C9183" s="1" t="n">
        <v>46093</v>
      </c>
      <c r="D9183" t="inlineStr">
        <is>
          <t>VÄSTERNORRLANDS LÄN</t>
        </is>
      </c>
      <c r="E9183" t="inlineStr">
        <is>
          <t>ÖRNSKÖLDSVIK</t>
        </is>
      </c>
      <c r="F9183" t="inlineStr">
        <is>
          <t>Holmen skog AB</t>
        </is>
      </c>
      <c r="G9183" t="n">
        <v>2.4</v>
      </c>
      <c r="H9183" t="n">
        <v>0</v>
      </c>
      <c r="I9183" t="n">
        <v>0</v>
      </c>
      <c r="J9183" t="n">
        <v>0</v>
      </c>
      <c r="K9183" t="n">
        <v>0</v>
      </c>
      <c r="L9183" t="n">
        <v>0</v>
      </c>
      <c r="M9183" t="n">
        <v>0</v>
      </c>
      <c r="N9183" t="n">
        <v>0</v>
      </c>
      <c r="O9183" t="n">
        <v>0</v>
      </c>
      <c r="P9183" t="n">
        <v>0</v>
      </c>
      <c r="Q9183" t="n">
        <v>0</v>
      </c>
      <c r="R9183" s="2" t="inlineStr"/>
    </row>
    <row r="9184" ht="15" customHeight="1">
      <c r="A9184" t="inlineStr">
        <is>
          <t>A 19977-2023</t>
        </is>
      </c>
      <c r="B9184" s="1" t="n">
        <v>45054.58861111111</v>
      </c>
      <c r="C9184" s="1" t="n">
        <v>46093</v>
      </c>
      <c r="D9184" t="inlineStr">
        <is>
          <t>VÄSTERNORRLANDS LÄN</t>
        </is>
      </c>
      <c r="E9184" t="inlineStr">
        <is>
          <t>ÖRNSKÖLDSVIK</t>
        </is>
      </c>
      <c r="F9184" t="inlineStr">
        <is>
          <t>Holmen skog AB</t>
        </is>
      </c>
      <c r="G9184" t="n">
        <v>0.4</v>
      </c>
      <c r="H9184" t="n">
        <v>0</v>
      </c>
      <c r="I9184" t="n">
        <v>0</v>
      </c>
      <c r="J9184" t="n">
        <v>0</v>
      </c>
      <c r="K9184" t="n">
        <v>0</v>
      </c>
      <c r="L9184" t="n">
        <v>0</v>
      </c>
      <c r="M9184" t="n">
        <v>0</v>
      </c>
      <c r="N9184" t="n">
        <v>0</v>
      </c>
      <c r="O9184" t="n">
        <v>0</v>
      </c>
      <c r="P9184" t="n">
        <v>0</v>
      </c>
      <c r="Q9184" t="n">
        <v>0</v>
      </c>
      <c r="R9184" s="2" t="inlineStr"/>
    </row>
    <row r="9185" ht="15" customHeight="1">
      <c r="A9185" t="inlineStr">
        <is>
          <t>A 2853-2025</t>
        </is>
      </c>
      <c r="B9185" s="1" t="n">
        <v>45677.65922453703</v>
      </c>
      <c r="C9185" s="1" t="n">
        <v>46093</v>
      </c>
      <c r="D9185" t="inlineStr">
        <is>
          <t>VÄSTERNORRLANDS LÄN</t>
        </is>
      </c>
      <c r="E9185" t="inlineStr">
        <is>
          <t>ÖRNSKÖLDSVIK</t>
        </is>
      </c>
      <c r="G9185" t="n">
        <v>0.7</v>
      </c>
      <c r="H9185" t="n">
        <v>0</v>
      </c>
      <c r="I9185" t="n">
        <v>0</v>
      </c>
      <c r="J9185" t="n">
        <v>0</v>
      </c>
      <c r="K9185" t="n">
        <v>0</v>
      </c>
      <c r="L9185" t="n">
        <v>0</v>
      </c>
      <c r="M9185" t="n">
        <v>0</v>
      </c>
      <c r="N9185" t="n">
        <v>0</v>
      </c>
      <c r="O9185" t="n">
        <v>0</v>
      </c>
      <c r="P9185" t="n">
        <v>0</v>
      </c>
      <c r="Q9185" t="n">
        <v>0</v>
      </c>
      <c r="R9185" s="2" t="inlineStr"/>
    </row>
    <row r="9186" ht="15" customHeight="1">
      <c r="A9186" t="inlineStr">
        <is>
          <t>A 15603-2024</t>
        </is>
      </c>
      <c r="B9186" s="1" t="n">
        <v>45401.92501157407</v>
      </c>
      <c r="C9186" s="1" t="n">
        <v>46093</v>
      </c>
      <c r="D9186" t="inlineStr">
        <is>
          <t>VÄSTERNORRLANDS LÄN</t>
        </is>
      </c>
      <c r="E9186" t="inlineStr">
        <is>
          <t>ÅNGE</t>
        </is>
      </c>
      <c r="G9186" t="n">
        <v>0.8</v>
      </c>
      <c r="H9186" t="n">
        <v>0</v>
      </c>
      <c r="I9186" t="n">
        <v>0</v>
      </c>
      <c r="J9186" t="n">
        <v>0</v>
      </c>
      <c r="K9186" t="n">
        <v>0</v>
      </c>
      <c r="L9186" t="n">
        <v>0</v>
      </c>
      <c r="M9186" t="n">
        <v>0</v>
      </c>
      <c r="N9186" t="n">
        <v>0</v>
      </c>
      <c r="O9186" t="n">
        <v>0</v>
      </c>
      <c r="P9186" t="n">
        <v>0</v>
      </c>
      <c r="Q9186" t="n">
        <v>0</v>
      </c>
      <c r="R9186" s="2" t="inlineStr"/>
    </row>
    <row r="9187" ht="15" customHeight="1">
      <c r="A9187" t="inlineStr">
        <is>
          <t>A 16086-2024</t>
        </is>
      </c>
      <c r="B9187" s="1" t="n">
        <v>45406</v>
      </c>
      <c r="C9187" s="1" t="n">
        <v>46093</v>
      </c>
      <c r="D9187" t="inlineStr">
        <is>
          <t>VÄSTERNORRLANDS LÄN</t>
        </is>
      </c>
      <c r="E9187" t="inlineStr">
        <is>
          <t>SOLLEFTEÅ</t>
        </is>
      </c>
      <c r="G9187" t="n">
        <v>15.9</v>
      </c>
      <c r="H9187" t="n">
        <v>0</v>
      </c>
      <c r="I9187" t="n">
        <v>0</v>
      </c>
      <c r="J9187" t="n">
        <v>0</v>
      </c>
      <c r="K9187" t="n">
        <v>0</v>
      </c>
      <c r="L9187" t="n">
        <v>0</v>
      </c>
      <c r="M9187" t="n">
        <v>0</v>
      </c>
      <c r="N9187" t="n">
        <v>0</v>
      </c>
      <c r="O9187" t="n">
        <v>0</v>
      </c>
      <c r="P9187" t="n">
        <v>0</v>
      </c>
      <c r="Q9187" t="n">
        <v>0</v>
      </c>
      <c r="R9187" s="2" t="inlineStr"/>
    </row>
    <row r="9188" ht="15" customHeight="1">
      <c r="A9188" t="inlineStr">
        <is>
          <t>A 45921-2024</t>
        </is>
      </c>
      <c r="B9188" s="1" t="n">
        <v>45580.46635416667</v>
      </c>
      <c r="C9188" s="1" t="n">
        <v>46093</v>
      </c>
      <c r="D9188" t="inlineStr">
        <is>
          <t>VÄSTERNORRLANDS LÄN</t>
        </is>
      </c>
      <c r="E9188" t="inlineStr">
        <is>
          <t>HÄRNÖSAND</t>
        </is>
      </c>
      <c r="G9188" t="n">
        <v>14.2</v>
      </c>
      <c r="H9188" t="n">
        <v>0</v>
      </c>
      <c r="I9188" t="n">
        <v>0</v>
      </c>
      <c r="J9188" t="n">
        <v>0</v>
      </c>
      <c r="K9188" t="n">
        <v>0</v>
      </c>
      <c r="L9188" t="n">
        <v>0</v>
      </c>
      <c r="M9188" t="n">
        <v>0</v>
      </c>
      <c r="N9188" t="n">
        <v>0</v>
      </c>
      <c r="O9188" t="n">
        <v>0</v>
      </c>
      <c r="P9188" t="n">
        <v>0</v>
      </c>
      <c r="Q9188" t="n">
        <v>0</v>
      </c>
      <c r="R9188" s="2" t="inlineStr"/>
    </row>
    <row r="9189" ht="15" customHeight="1">
      <c r="A9189" t="inlineStr">
        <is>
          <t>A 60403-2025</t>
        </is>
      </c>
      <c r="B9189" s="1" t="n">
        <v>45995.42762731481</v>
      </c>
      <c r="C9189" s="1" t="n">
        <v>46093</v>
      </c>
      <c r="D9189" t="inlineStr">
        <is>
          <t>VÄSTERNORRLANDS LÄN</t>
        </is>
      </c>
      <c r="E9189" t="inlineStr">
        <is>
          <t>ÅNGE</t>
        </is>
      </c>
      <c r="F9189" t="inlineStr">
        <is>
          <t>SCA</t>
        </is>
      </c>
      <c r="G9189" t="n">
        <v>2.4</v>
      </c>
      <c r="H9189" t="n">
        <v>0</v>
      </c>
      <c r="I9189" t="n">
        <v>0</v>
      </c>
      <c r="J9189" t="n">
        <v>0</v>
      </c>
      <c r="K9189" t="n">
        <v>0</v>
      </c>
      <c r="L9189" t="n">
        <v>0</v>
      </c>
      <c r="M9189" t="n">
        <v>0</v>
      </c>
      <c r="N9189" t="n">
        <v>0</v>
      </c>
      <c r="O9189" t="n">
        <v>0</v>
      </c>
      <c r="P9189" t="n">
        <v>0</v>
      </c>
      <c r="Q9189" t="n">
        <v>0</v>
      </c>
      <c r="R9189" s="2" t="inlineStr"/>
    </row>
    <row r="9190" ht="15" customHeight="1">
      <c r="A9190" t="inlineStr">
        <is>
          <t>A 45174-2024</t>
        </is>
      </c>
      <c r="B9190" s="1" t="n">
        <v>45575</v>
      </c>
      <c r="C9190" s="1" t="n">
        <v>46093</v>
      </c>
      <c r="D9190" t="inlineStr">
        <is>
          <t>VÄSTERNORRLANDS LÄN</t>
        </is>
      </c>
      <c r="E9190" t="inlineStr">
        <is>
          <t>ÖRNSKÖLDSVIK</t>
        </is>
      </c>
      <c r="G9190" t="n">
        <v>3</v>
      </c>
      <c r="H9190" t="n">
        <v>0</v>
      </c>
      <c r="I9190" t="n">
        <v>0</v>
      </c>
      <c r="J9190" t="n">
        <v>0</v>
      </c>
      <c r="K9190" t="n">
        <v>0</v>
      </c>
      <c r="L9190" t="n">
        <v>0</v>
      </c>
      <c r="M9190" t="n">
        <v>0</v>
      </c>
      <c r="N9190" t="n">
        <v>0</v>
      </c>
      <c r="O9190" t="n">
        <v>0</v>
      </c>
      <c r="P9190" t="n">
        <v>0</v>
      </c>
      <c r="Q9190" t="n">
        <v>0</v>
      </c>
      <c r="R9190" s="2" t="inlineStr"/>
    </row>
    <row r="9191" ht="15" customHeight="1">
      <c r="A9191" t="inlineStr">
        <is>
          <t>A 16511-2025</t>
        </is>
      </c>
      <c r="B9191" s="1" t="n">
        <v>45751</v>
      </c>
      <c r="C9191" s="1" t="n">
        <v>46093</v>
      </c>
      <c r="D9191" t="inlineStr">
        <is>
          <t>VÄSTERNORRLANDS LÄN</t>
        </is>
      </c>
      <c r="E9191" t="inlineStr">
        <is>
          <t>SOLLEFTEÅ</t>
        </is>
      </c>
      <c r="G9191" t="n">
        <v>1</v>
      </c>
      <c r="H9191" t="n">
        <v>0</v>
      </c>
      <c r="I9191" t="n">
        <v>0</v>
      </c>
      <c r="J9191" t="n">
        <v>0</v>
      </c>
      <c r="K9191" t="n">
        <v>0</v>
      </c>
      <c r="L9191" t="n">
        <v>0</v>
      </c>
      <c r="M9191" t="n">
        <v>0</v>
      </c>
      <c r="N9191" t="n">
        <v>0</v>
      </c>
      <c r="O9191" t="n">
        <v>0</v>
      </c>
      <c r="P9191" t="n">
        <v>0</v>
      </c>
      <c r="Q9191" t="n">
        <v>0</v>
      </c>
      <c r="R9191" s="2" t="inlineStr"/>
    </row>
    <row r="9192" ht="15" customHeight="1">
      <c r="A9192" t="inlineStr">
        <is>
          <t>A 50652-2022</t>
        </is>
      </c>
      <c r="B9192" s="1" t="n">
        <v>44866</v>
      </c>
      <c r="C9192" s="1" t="n">
        <v>46093</v>
      </c>
      <c r="D9192" t="inlineStr">
        <is>
          <t>VÄSTERNORRLANDS LÄN</t>
        </is>
      </c>
      <c r="E9192" t="inlineStr">
        <is>
          <t>SUNDSVALL</t>
        </is>
      </c>
      <c r="F9192" t="inlineStr">
        <is>
          <t>SCA</t>
        </is>
      </c>
      <c r="G9192" t="n">
        <v>3.3</v>
      </c>
      <c r="H9192" t="n">
        <v>0</v>
      </c>
      <c r="I9192" t="n">
        <v>0</v>
      </c>
      <c r="J9192" t="n">
        <v>0</v>
      </c>
      <c r="K9192" t="n">
        <v>0</v>
      </c>
      <c r="L9192" t="n">
        <v>0</v>
      </c>
      <c r="M9192" t="n">
        <v>0</v>
      </c>
      <c r="N9192" t="n">
        <v>0</v>
      </c>
      <c r="O9192" t="n">
        <v>0</v>
      </c>
      <c r="P9192" t="n">
        <v>0</v>
      </c>
      <c r="Q9192" t="n">
        <v>0</v>
      </c>
      <c r="R9192" s="2" t="inlineStr"/>
    </row>
    <row r="9193" ht="15" customHeight="1">
      <c r="A9193" t="inlineStr">
        <is>
          <t>A 34224-2023</t>
        </is>
      </c>
      <c r="B9193" s="1" t="n">
        <v>45126</v>
      </c>
      <c r="C9193" s="1" t="n">
        <v>46093</v>
      </c>
      <c r="D9193" t="inlineStr">
        <is>
          <t>VÄSTERNORRLANDS LÄN</t>
        </is>
      </c>
      <c r="E9193" t="inlineStr">
        <is>
          <t>HÄRNÖSAND</t>
        </is>
      </c>
      <c r="G9193" t="n">
        <v>1.7</v>
      </c>
      <c r="H9193" t="n">
        <v>0</v>
      </c>
      <c r="I9193" t="n">
        <v>0</v>
      </c>
      <c r="J9193" t="n">
        <v>0</v>
      </c>
      <c r="K9193" t="n">
        <v>0</v>
      </c>
      <c r="L9193" t="n">
        <v>0</v>
      </c>
      <c r="M9193" t="n">
        <v>0</v>
      </c>
      <c r="N9193" t="n">
        <v>0</v>
      </c>
      <c r="O9193" t="n">
        <v>0</v>
      </c>
      <c r="P9193" t="n">
        <v>0</v>
      </c>
      <c r="Q9193" t="n">
        <v>0</v>
      </c>
      <c r="R9193" s="2" t="inlineStr"/>
    </row>
    <row r="9194" ht="15" customHeight="1">
      <c r="A9194" t="inlineStr">
        <is>
          <t>A 14751-2025</t>
        </is>
      </c>
      <c r="B9194" s="1" t="n">
        <v>45742.65863425926</v>
      </c>
      <c r="C9194" s="1" t="n">
        <v>46093</v>
      </c>
      <c r="D9194" t="inlineStr">
        <is>
          <t>VÄSTERNORRLANDS LÄN</t>
        </is>
      </c>
      <c r="E9194" t="inlineStr">
        <is>
          <t>ÅNGE</t>
        </is>
      </c>
      <c r="G9194" t="n">
        <v>8.699999999999999</v>
      </c>
      <c r="H9194" t="n">
        <v>0</v>
      </c>
      <c r="I9194" t="n">
        <v>0</v>
      </c>
      <c r="J9194" t="n">
        <v>0</v>
      </c>
      <c r="K9194" t="n">
        <v>0</v>
      </c>
      <c r="L9194" t="n">
        <v>0</v>
      </c>
      <c r="M9194" t="n">
        <v>0</v>
      </c>
      <c r="N9194" t="n">
        <v>0</v>
      </c>
      <c r="O9194" t="n">
        <v>0</v>
      </c>
      <c r="P9194" t="n">
        <v>0</v>
      </c>
      <c r="Q9194" t="n">
        <v>0</v>
      </c>
      <c r="R9194" s="2" t="inlineStr"/>
    </row>
    <row r="9195" ht="15" customHeight="1">
      <c r="A9195" t="inlineStr">
        <is>
          <t>A 60651-2025</t>
        </is>
      </c>
      <c r="B9195" s="1" t="n">
        <v>45996.4615625</v>
      </c>
      <c r="C9195" s="1" t="n">
        <v>46093</v>
      </c>
      <c r="D9195" t="inlineStr">
        <is>
          <t>VÄSTERNORRLANDS LÄN</t>
        </is>
      </c>
      <c r="E9195" t="inlineStr">
        <is>
          <t>SUNDSVALL</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10339-2025</t>
        </is>
      </c>
      <c r="B9196" s="1" t="n">
        <v>45720</v>
      </c>
      <c r="C9196" s="1" t="n">
        <v>46093</v>
      </c>
      <c r="D9196" t="inlineStr">
        <is>
          <t>VÄSTERNORRLANDS LÄN</t>
        </is>
      </c>
      <c r="E9196" t="inlineStr">
        <is>
          <t>ÅNGE</t>
        </is>
      </c>
      <c r="F9196" t="inlineStr">
        <is>
          <t>SCA</t>
        </is>
      </c>
      <c r="G9196" t="n">
        <v>3.9</v>
      </c>
      <c r="H9196" t="n">
        <v>0</v>
      </c>
      <c r="I9196" t="n">
        <v>0</v>
      </c>
      <c r="J9196" t="n">
        <v>0</v>
      </c>
      <c r="K9196" t="n">
        <v>0</v>
      </c>
      <c r="L9196" t="n">
        <v>0</v>
      </c>
      <c r="M9196" t="n">
        <v>0</v>
      </c>
      <c r="N9196" t="n">
        <v>0</v>
      </c>
      <c r="O9196" t="n">
        <v>0</v>
      </c>
      <c r="P9196" t="n">
        <v>0</v>
      </c>
      <c r="Q9196" t="n">
        <v>0</v>
      </c>
      <c r="R9196" s="2" t="inlineStr"/>
    </row>
    <row r="9197" ht="15" customHeight="1">
      <c r="A9197" t="inlineStr">
        <is>
          <t>A 60492-2025</t>
        </is>
      </c>
      <c r="B9197" s="1" t="n">
        <v>45995</v>
      </c>
      <c r="C9197" s="1" t="n">
        <v>46093</v>
      </c>
      <c r="D9197" t="inlineStr">
        <is>
          <t>VÄSTERNORRLANDS LÄN</t>
        </is>
      </c>
      <c r="E9197" t="inlineStr">
        <is>
          <t>ÖRNSKÖLDSVIK</t>
        </is>
      </c>
      <c r="G9197" t="n">
        <v>2.5</v>
      </c>
      <c r="H9197" t="n">
        <v>0</v>
      </c>
      <c r="I9197" t="n">
        <v>0</v>
      </c>
      <c r="J9197" t="n">
        <v>0</v>
      </c>
      <c r="K9197" t="n">
        <v>0</v>
      </c>
      <c r="L9197" t="n">
        <v>0</v>
      </c>
      <c r="M9197" t="n">
        <v>0</v>
      </c>
      <c r="N9197" t="n">
        <v>0</v>
      </c>
      <c r="O9197" t="n">
        <v>0</v>
      </c>
      <c r="P9197" t="n">
        <v>0</v>
      </c>
      <c r="Q9197" t="n">
        <v>0</v>
      </c>
      <c r="R9197" s="2" t="inlineStr"/>
    </row>
    <row r="9198" ht="15" customHeight="1">
      <c r="A9198" t="inlineStr">
        <is>
          <t>A 60497-2025</t>
        </is>
      </c>
      <c r="B9198" s="1" t="n">
        <v>45995.61512731481</v>
      </c>
      <c r="C9198" s="1" t="n">
        <v>46093</v>
      </c>
      <c r="D9198" t="inlineStr">
        <is>
          <t>VÄSTERNORRLANDS LÄN</t>
        </is>
      </c>
      <c r="E9198" t="inlineStr">
        <is>
          <t>SUNDSVALL</t>
        </is>
      </c>
      <c r="F9198" t="inlineStr">
        <is>
          <t>SCA</t>
        </is>
      </c>
      <c r="G9198" t="n">
        <v>8.6</v>
      </c>
      <c r="H9198" t="n">
        <v>0</v>
      </c>
      <c r="I9198" t="n">
        <v>0</v>
      </c>
      <c r="J9198" t="n">
        <v>0</v>
      </c>
      <c r="K9198" t="n">
        <v>0</v>
      </c>
      <c r="L9198" t="n">
        <v>0</v>
      </c>
      <c r="M9198" t="n">
        <v>0</v>
      </c>
      <c r="N9198" t="n">
        <v>0</v>
      </c>
      <c r="O9198" t="n">
        <v>0</v>
      </c>
      <c r="P9198" t="n">
        <v>0</v>
      </c>
      <c r="Q9198" t="n">
        <v>0</v>
      </c>
      <c r="R9198" s="2" t="inlineStr"/>
    </row>
    <row r="9199" ht="15" customHeight="1">
      <c r="A9199" t="inlineStr">
        <is>
          <t>A 60761-2025</t>
        </is>
      </c>
      <c r="B9199" s="1" t="n">
        <v>45999.3862037037</v>
      </c>
      <c r="C9199" s="1" t="n">
        <v>46093</v>
      </c>
      <c r="D9199" t="inlineStr">
        <is>
          <t>VÄSTERNORRLANDS LÄN</t>
        </is>
      </c>
      <c r="E9199" t="inlineStr">
        <is>
          <t>SOLLEFTEÅ</t>
        </is>
      </c>
      <c r="F9199" t="inlineStr">
        <is>
          <t>SCA</t>
        </is>
      </c>
      <c r="G9199" t="n">
        <v>3</v>
      </c>
      <c r="H9199" t="n">
        <v>0</v>
      </c>
      <c r="I9199" t="n">
        <v>0</v>
      </c>
      <c r="J9199" t="n">
        <v>0</v>
      </c>
      <c r="K9199" t="n">
        <v>0</v>
      </c>
      <c r="L9199" t="n">
        <v>0</v>
      </c>
      <c r="M9199" t="n">
        <v>0</v>
      </c>
      <c r="N9199" t="n">
        <v>0</v>
      </c>
      <c r="O9199" t="n">
        <v>0</v>
      </c>
      <c r="P9199" t="n">
        <v>0</v>
      </c>
      <c r="Q9199" t="n">
        <v>0</v>
      </c>
      <c r="R9199" s="2" t="inlineStr"/>
    </row>
    <row r="9200" ht="15" customHeight="1">
      <c r="A9200" t="inlineStr">
        <is>
          <t>A 52346-2024</t>
        </is>
      </c>
      <c r="B9200" s="1" t="n">
        <v>45609.34423611111</v>
      </c>
      <c r="C9200" s="1" t="n">
        <v>46093</v>
      </c>
      <c r="D9200" t="inlineStr">
        <is>
          <t>VÄSTERNORRLANDS LÄN</t>
        </is>
      </c>
      <c r="E9200" t="inlineStr">
        <is>
          <t>TIMRÅ</t>
        </is>
      </c>
      <c r="F9200" t="inlineStr">
        <is>
          <t>SCA</t>
        </is>
      </c>
      <c r="G9200" t="n">
        <v>1.7</v>
      </c>
      <c r="H9200" t="n">
        <v>0</v>
      </c>
      <c r="I9200" t="n">
        <v>0</v>
      </c>
      <c r="J9200" t="n">
        <v>0</v>
      </c>
      <c r="K9200" t="n">
        <v>0</v>
      </c>
      <c r="L9200" t="n">
        <v>0</v>
      </c>
      <c r="M9200" t="n">
        <v>0</v>
      </c>
      <c r="N9200" t="n">
        <v>0</v>
      </c>
      <c r="O9200" t="n">
        <v>0</v>
      </c>
      <c r="P9200" t="n">
        <v>0</v>
      </c>
      <c r="Q9200" t="n">
        <v>0</v>
      </c>
      <c r="R9200" s="2" t="inlineStr"/>
      <c r="U9200">
        <f>HYPERLINK("https://klasma.github.io/Logging_2262/knärot/A 52346-2024 karta knärot.png", "A 52346-2024")</f>
        <v/>
      </c>
      <c r="V9200">
        <f>HYPERLINK("https://klasma.github.io/Logging_2262/klagomål/A 52346-2024 FSC-klagomål.docx", "A 52346-2024")</f>
        <v/>
      </c>
      <c r="W9200">
        <f>HYPERLINK("https://klasma.github.io/Logging_2262/klagomålsmail/A 52346-2024 FSC-klagomål mail.docx", "A 52346-2024")</f>
        <v/>
      </c>
      <c r="X9200">
        <f>HYPERLINK("https://klasma.github.io/Logging_2262/tillsyn/A 52346-2024 tillsynsbegäran.docx", "A 52346-2024")</f>
        <v/>
      </c>
      <c r="Y9200">
        <f>HYPERLINK("https://klasma.github.io/Logging_2262/tillsynsmail/A 52346-2024 tillsynsbegäran mail.docx", "A 52346-2024")</f>
        <v/>
      </c>
    </row>
    <row r="9201" ht="15" customHeight="1">
      <c r="A9201" t="inlineStr">
        <is>
          <t>A 41083-2024</t>
        </is>
      </c>
      <c r="B9201" s="1" t="n">
        <v>45559.40684027778</v>
      </c>
      <c r="C9201" s="1" t="n">
        <v>46093</v>
      </c>
      <c r="D9201" t="inlineStr">
        <is>
          <t>VÄSTERNORRLANDS LÄN</t>
        </is>
      </c>
      <c r="E9201" t="inlineStr">
        <is>
          <t>ÅNGE</t>
        </is>
      </c>
      <c r="F9201" t="inlineStr">
        <is>
          <t>SCA</t>
        </is>
      </c>
      <c r="G9201" t="n">
        <v>8.4</v>
      </c>
      <c r="H9201" t="n">
        <v>0</v>
      </c>
      <c r="I9201" t="n">
        <v>0</v>
      </c>
      <c r="J9201" t="n">
        <v>0</v>
      </c>
      <c r="K9201" t="n">
        <v>0</v>
      </c>
      <c r="L9201" t="n">
        <v>0</v>
      </c>
      <c r="M9201" t="n">
        <v>0</v>
      </c>
      <c r="N9201" t="n">
        <v>0</v>
      </c>
      <c r="O9201" t="n">
        <v>0</v>
      </c>
      <c r="P9201" t="n">
        <v>0</v>
      </c>
      <c r="Q9201" t="n">
        <v>0</v>
      </c>
      <c r="R9201" s="2" t="inlineStr"/>
    </row>
    <row r="9202" ht="15" customHeight="1">
      <c r="A9202" t="inlineStr">
        <is>
          <t>A 42197-2024</t>
        </is>
      </c>
      <c r="B9202" s="1" t="n">
        <v>45562</v>
      </c>
      <c r="C9202" s="1" t="n">
        <v>46093</v>
      </c>
      <c r="D9202" t="inlineStr">
        <is>
          <t>VÄSTERNORRLANDS LÄN</t>
        </is>
      </c>
      <c r="E9202" t="inlineStr">
        <is>
          <t>HÄRNÖSAND</t>
        </is>
      </c>
      <c r="F9202" t="inlineStr">
        <is>
          <t>SCA</t>
        </is>
      </c>
      <c r="G9202" t="n">
        <v>1.7</v>
      </c>
      <c r="H9202" t="n">
        <v>0</v>
      </c>
      <c r="I9202" t="n">
        <v>0</v>
      </c>
      <c r="J9202" t="n">
        <v>0</v>
      </c>
      <c r="K9202" t="n">
        <v>0</v>
      </c>
      <c r="L9202" t="n">
        <v>0</v>
      </c>
      <c r="M9202" t="n">
        <v>0</v>
      </c>
      <c r="N9202" t="n">
        <v>0</v>
      </c>
      <c r="O9202" t="n">
        <v>0</v>
      </c>
      <c r="P9202" t="n">
        <v>0</v>
      </c>
      <c r="Q9202" t="n">
        <v>0</v>
      </c>
      <c r="R9202" s="2" t="inlineStr"/>
    </row>
    <row r="9203" ht="15" customHeight="1">
      <c r="A9203" t="inlineStr">
        <is>
          <t>A 60803-2025</t>
        </is>
      </c>
      <c r="B9203" s="1" t="n">
        <v>45999.43230324074</v>
      </c>
      <c r="C9203" s="1" t="n">
        <v>46093</v>
      </c>
      <c r="D9203" t="inlineStr">
        <is>
          <t>VÄSTERNORRLANDS LÄN</t>
        </is>
      </c>
      <c r="E9203" t="inlineStr">
        <is>
          <t>SOLLEFTEÅ</t>
        </is>
      </c>
      <c r="F9203" t="inlineStr">
        <is>
          <t>Holmen skog AB</t>
        </is>
      </c>
      <c r="G9203" t="n">
        <v>4</v>
      </c>
      <c r="H9203" t="n">
        <v>0</v>
      </c>
      <c r="I9203" t="n">
        <v>0</v>
      </c>
      <c r="J9203" t="n">
        <v>0</v>
      </c>
      <c r="K9203" t="n">
        <v>0</v>
      </c>
      <c r="L9203" t="n">
        <v>0</v>
      </c>
      <c r="M9203" t="n">
        <v>0</v>
      </c>
      <c r="N9203" t="n">
        <v>0</v>
      </c>
      <c r="O9203" t="n">
        <v>0</v>
      </c>
      <c r="P9203" t="n">
        <v>0</v>
      </c>
      <c r="Q9203" t="n">
        <v>0</v>
      </c>
      <c r="R9203" s="2" t="inlineStr"/>
    </row>
    <row r="9204" ht="15" customHeight="1">
      <c r="A9204" t="inlineStr">
        <is>
          <t>A 35785-2023</t>
        </is>
      </c>
      <c r="B9204" s="1" t="n">
        <v>45147</v>
      </c>
      <c r="C9204" s="1" t="n">
        <v>46093</v>
      </c>
      <c r="D9204" t="inlineStr">
        <is>
          <t>VÄSTERNORRLANDS LÄN</t>
        </is>
      </c>
      <c r="E9204" t="inlineStr">
        <is>
          <t>HÄRNÖSAND</t>
        </is>
      </c>
      <c r="G9204" t="n">
        <v>1.6</v>
      </c>
      <c r="H9204" t="n">
        <v>0</v>
      </c>
      <c r="I9204" t="n">
        <v>0</v>
      </c>
      <c r="J9204" t="n">
        <v>0</v>
      </c>
      <c r="K9204" t="n">
        <v>0</v>
      </c>
      <c r="L9204" t="n">
        <v>0</v>
      </c>
      <c r="M9204" t="n">
        <v>0</v>
      </c>
      <c r="N9204" t="n">
        <v>0</v>
      </c>
      <c r="O9204" t="n">
        <v>0</v>
      </c>
      <c r="P9204" t="n">
        <v>0</v>
      </c>
      <c r="Q9204" t="n">
        <v>0</v>
      </c>
      <c r="R9204" s="2" t="inlineStr"/>
    </row>
    <row r="9205" ht="15" customHeight="1">
      <c r="A9205" t="inlineStr">
        <is>
          <t>A 61200-2025</t>
        </is>
      </c>
      <c r="B9205" s="1" t="n">
        <v>46000.60918981482</v>
      </c>
      <c r="C9205" s="1" t="n">
        <v>46093</v>
      </c>
      <c r="D9205" t="inlineStr">
        <is>
          <t>VÄSTERNORRLANDS LÄN</t>
        </is>
      </c>
      <c r="E9205" t="inlineStr">
        <is>
          <t>ÅNGE</t>
        </is>
      </c>
      <c r="G9205" t="n">
        <v>1.6</v>
      </c>
      <c r="H9205" t="n">
        <v>0</v>
      </c>
      <c r="I9205" t="n">
        <v>0</v>
      </c>
      <c r="J9205" t="n">
        <v>0</v>
      </c>
      <c r="K9205" t="n">
        <v>0</v>
      </c>
      <c r="L9205" t="n">
        <v>0</v>
      </c>
      <c r="M9205" t="n">
        <v>0</v>
      </c>
      <c r="N9205" t="n">
        <v>0</v>
      </c>
      <c r="O9205" t="n">
        <v>0</v>
      </c>
      <c r="P9205" t="n">
        <v>0</v>
      </c>
      <c r="Q9205" t="n">
        <v>0</v>
      </c>
      <c r="R9205" s="2" t="inlineStr"/>
    </row>
    <row r="9206" ht="15" customHeight="1">
      <c r="A9206" t="inlineStr">
        <is>
          <t>A 41766-2024</t>
        </is>
      </c>
      <c r="B9206" s="1" t="n">
        <v>45561.34594907407</v>
      </c>
      <c r="C9206" s="1" t="n">
        <v>46093</v>
      </c>
      <c r="D9206" t="inlineStr">
        <is>
          <t>VÄSTERNORRLANDS LÄN</t>
        </is>
      </c>
      <c r="E9206" t="inlineStr">
        <is>
          <t>ÅNGE</t>
        </is>
      </c>
      <c r="F9206" t="inlineStr">
        <is>
          <t>SCA</t>
        </is>
      </c>
      <c r="G9206" t="n">
        <v>1.1</v>
      </c>
      <c r="H9206" t="n">
        <v>0</v>
      </c>
      <c r="I9206" t="n">
        <v>0</v>
      </c>
      <c r="J9206" t="n">
        <v>0</v>
      </c>
      <c r="K9206" t="n">
        <v>0</v>
      </c>
      <c r="L9206" t="n">
        <v>0</v>
      </c>
      <c r="M9206" t="n">
        <v>0</v>
      </c>
      <c r="N9206" t="n">
        <v>0</v>
      </c>
      <c r="O9206" t="n">
        <v>0</v>
      </c>
      <c r="P9206" t="n">
        <v>0</v>
      </c>
      <c r="Q9206" t="n">
        <v>0</v>
      </c>
      <c r="R9206" s="2" t="inlineStr"/>
    </row>
    <row r="9207" ht="15" customHeight="1">
      <c r="A9207" t="inlineStr">
        <is>
          <t>A 34423-2023</t>
        </is>
      </c>
      <c r="B9207" s="1" t="n">
        <v>45139.60361111111</v>
      </c>
      <c r="C9207" s="1" t="n">
        <v>46093</v>
      </c>
      <c r="D9207" t="inlineStr">
        <is>
          <t>VÄSTERNORRLANDS LÄN</t>
        </is>
      </c>
      <c r="E9207" t="inlineStr">
        <is>
          <t>SUNDSVALL</t>
        </is>
      </c>
      <c r="F9207" t="inlineStr">
        <is>
          <t>Holmen skog AB</t>
        </is>
      </c>
      <c r="G9207" t="n">
        <v>6.5</v>
      </c>
      <c r="H9207" t="n">
        <v>0</v>
      </c>
      <c r="I9207" t="n">
        <v>0</v>
      </c>
      <c r="J9207" t="n">
        <v>0</v>
      </c>
      <c r="K9207" t="n">
        <v>0</v>
      </c>
      <c r="L9207" t="n">
        <v>0</v>
      </c>
      <c r="M9207" t="n">
        <v>0</v>
      </c>
      <c r="N9207" t="n">
        <v>0</v>
      </c>
      <c r="O9207" t="n">
        <v>0</v>
      </c>
      <c r="P9207" t="n">
        <v>0</v>
      </c>
      <c r="Q9207" t="n">
        <v>0</v>
      </c>
      <c r="R9207" s="2" t="inlineStr"/>
    </row>
    <row r="9208" ht="15" customHeight="1">
      <c r="A9208" t="inlineStr">
        <is>
          <t>A 14572-2024</t>
        </is>
      </c>
      <c r="B9208" s="1" t="n">
        <v>45394.94991898148</v>
      </c>
      <c r="C9208" s="1" t="n">
        <v>46093</v>
      </c>
      <c r="D9208" t="inlineStr">
        <is>
          <t>VÄSTERNORRLANDS LÄN</t>
        </is>
      </c>
      <c r="E9208" t="inlineStr">
        <is>
          <t>TIMRÅ</t>
        </is>
      </c>
      <c r="F9208" t="inlineStr">
        <is>
          <t>SCA</t>
        </is>
      </c>
      <c r="G9208" t="n">
        <v>4</v>
      </c>
      <c r="H9208" t="n">
        <v>0</v>
      </c>
      <c r="I9208" t="n">
        <v>0</v>
      </c>
      <c r="J9208" t="n">
        <v>0</v>
      </c>
      <c r="K9208" t="n">
        <v>0</v>
      </c>
      <c r="L9208" t="n">
        <v>0</v>
      </c>
      <c r="M9208" t="n">
        <v>0</v>
      </c>
      <c r="N9208" t="n">
        <v>0</v>
      </c>
      <c r="O9208" t="n">
        <v>0</v>
      </c>
      <c r="P9208" t="n">
        <v>0</v>
      </c>
      <c r="Q9208" t="n">
        <v>0</v>
      </c>
      <c r="R9208" s="2" t="inlineStr"/>
    </row>
    <row r="9209" ht="15" customHeight="1">
      <c r="A9209" t="inlineStr">
        <is>
          <t>A 61203-2025</t>
        </is>
      </c>
      <c r="B9209" s="1" t="n">
        <v>46000.61237268519</v>
      </c>
      <c r="C9209" s="1" t="n">
        <v>46093</v>
      </c>
      <c r="D9209" t="inlineStr">
        <is>
          <t>VÄSTERNORRLANDS LÄN</t>
        </is>
      </c>
      <c r="E9209" t="inlineStr">
        <is>
          <t>ÅNGE</t>
        </is>
      </c>
      <c r="G9209" t="n">
        <v>0.9</v>
      </c>
      <c r="H9209" t="n">
        <v>0</v>
      </c>
      <c r="I9209" t="n">
        <v>0</v>
      </c>
      <c r="J9209" t="n">
        <v>0</v>
      </c>
      <c r="K9209" t="n">
        <v>0</v>
      </c>
      <c r="L9209" t="n">
        <v>0</v>
      </c>
      <c r="M9209" t="n">
        <v>0</v>
      </c>
      <c r="N9209" t="n">
        <v>0</v>
      </c>
      <c r="O9209" t="n">
        <v>0</v>
      </c>
      <c r="P9209" t="n">
        <v>0</v>
      </c>
      <c r="Q9209" t="n">
        <v>0</v>
      </c>
      <c r="R9209" s="2" t="inlineStr"/>
    </row>
    <row r="9210" ht="15" customHeight="1">
      <c r="A9210" t="inlineStr">
        <is>
          <t>A 35578-2023</t>
        </is>
      </c>
      <c r="B9210" s="1" t="n">
        <v>45147.47305555556</v>
      </c>
      <c r="C9210" s="1" t="n">
        <v>46093</v>
      </c>
      <c r="D9210" t="inlineStr">
        <is>
          <t>VÄSTERNORRLANDS LÄN</t>
        </is>
      </c>
      <c r="E9210" t="inlineStr">
        <is>
          <t>ÖRNSKÖLDSVIK</t>
        </is>
      </c>
      <c r="F9210" t="inlineStr">
        <is>
          <t>Holmen skog AB</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61008-2025</t>
        </is>
      </c>
      <c r="B9211" s="1" t="n">
        <v>45998</v>
      </c>
      <c r="C9211" s="1" t="n">
        <v>46093</v>
      </c>
      <c r="D9211" t="inlineStr">
        <is>
          <t>VÄSTERNORRLANDS LÄN</t>
        </is>
      </c>
      <c r="E9211" t="inlineStr">
        <is>
          <t>KRAMFORS</t>
        </is>
      </c>
      <c r="G9211" t="n">
        <v>15.8</v>
      </c>
      <c r="H9211" t="n">
        <v>0</v>
      </c>
      <c r="I9211" t="n">
        <v>0</v>
      </c>
      <c r="J9211" t="n">
        <v>0</v>
      </c>
      <c r="K9211" t="n">
        <v>0</v>
      </c>
      <c r="L9211" t="n">
        <v>0</v>
      </c>
      <c r="M9211" t="n">
        <v>0</v>
      </c>
      <c r="N9211" t="n">
        <v>0</v>
      </c>
      <c r="O9211" t="n">
        <v>0</v>
      </c>
      <c r="P9211" t="n">
        <v>0</v>
      </c>
      <c r="Q9211" t="n">
        <v>0</v>
      </c>
      <c r="R9211" s="2" t="inlineStr"/>
    </row>
    <row r="9212" ht="15" customHeight="1">
      <c r="A9212" t="inlineStr">
        <is>
          <t>A 48235-2024</t>
        </is>
      </c>
      <c r="B9212" s="1" t="n">
        <v>45590</v>
      </c>
      <c r="C9212" s="1" t="n">
        <v>46093</v>
      </c>
      <c r="D9212" t="inlineStr">
        <is>
          <t>VÄSTERNORRLANDS LÄN</t>
        </is>
      </c>
      <c r="E9212" t="inlineStr">
        <is>
          <t>SOLLEFTEÅ</t>
        </is>
      </c>
      <c r="F9212" t="inlineStr">
        <is>
          <t>SCA</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31150-2023</t>
        </is>
      </c>
      <c r="B9213" s="1" t="n">
        <v>45103</v>
      </c>
      <c r="C9213" s="1" t="n">
        <v>46093</v>
      </c>
      <c r="D9213" t="inlineStr">
        <is>
          <t>VÄSTERNORRLANDS LÄN</t>
        </is>
      </c>
      <c r="E9213" t="inlineStr">
        <is>
          <t>TIMRÅ</t>
        </is>
      </c>
      <c r="G9213" t="n">
        <v>0.3</v>
      </c>
      <c r="H9213" t="n">
        <v>0</v>
      </c>
      <c r="I9213" t="n">
        <v>0</v>
      </c>
      <c r="J9213" t="n">
        <v>0</v>
      </c>
      <c r="K9213" t="n">
        <v>0</v>
      </c>
      <c r="L9213" t="n">
        <v>0</v>
      </c>
      <c r="M9213" t="n">
        <v>0</v>
      </c>
      <c r="N9213" t="n">
        <v>0</v>
      </c>
      <c r="O9213" t="n">
        <v>0</v>
      </c>
      <c r="P9213" t="n">
        <v>0</v>
      </c>
      <c r="Q9213" t="n">
        <v>0</v>
      </c>
      <c r="R9213" s="2" t="inlineStr"/>
    </row>
    <row r="9214" ht="15" customHeight="1">
      <c r="A9214" t="inlineStr">
        <is>
          <t>A 13506-2023</t>
        </is>
      </c>
      <c r="B9214" s="1" t="n">
        <v>45006</v>
      </c>
      <c r="C9214" s="1" t="n">
        <v>46093</v>
      </c>
      <c r="D9214" t="inlineStr">
        <is>
          <t>VÄSTERNORRLANDS LÄN</t>
        </is>
      </c>
      <c r="E9214" t="inlineStr">
        <is>
          <t>SUNDSVALL</t>
        </is>
      </c>
      <c r="G9214" t="n">
        <v>3.6</v>
      </c>
      <c r="H9214" t="n">
        <v>0</v>
      </c>
      <c r="I9214" t="n">
        <v>0</v>
      </c>
      <c r="J9214" t="n">
        <v>0</v>
      </c>
      <c r="K9214" t="n">
        <v>0</v>
      </c>
      <c r="L9214" t="n">
        <v>0</v>
      </c>
      <c r="M9214" t="n">
        <v>0</v>
      </c>
      <c r="N9214" t="n">
        <v>0</v>
      </c>
      <c r="O9214" t="n">
        <v>0</v>
      </c>
      <c r="P9214" t="n">
        <v>0</v>
      </c>
      <c r="Q9214" t="n">
        <v>0</v>
      </c>
      <c r="R9214" s="2" t="inlineStr"/>
    </row>
    <row r="9215" ht="15" customHeight="1">
      <c r="A9215" t="inlineStr">
        <is>
          <t>A 18067-2025</t>
        </is>
      </c>
      <c r="B9215" s="1" t="n">
        <v>45761.49016203704</v>
      </c>
      <c r="C9215" s="1" t="n">
        <v>46093</v>
      </c>
      <c r="D9215" t="inlineStr">
        <is>
          <t>VÄSTERNORRLANDS LÄN</t>
        </is>
      </c>
      <c r="E9215" t="inlineStr">
        <is>
          <t>ÅNGE</t>
        </is>
      </c>
      <c r="F9215" t="inlineStr">
        <is>
          <t>SCA</t>
        </is>
      </c>
      <c r="G9215" t="n">
        <v>5.7</v>
      </c>
      <c r="H9215" t="n">
        <v>0</v>
      </c>
      <c r="I9215" t="n">
        <v>0</v>
      </c>
      <c r="J9215" t="n">
        <v>0</v>
      </c>
      <c r="K9215" t="n">
        <v>0</v>
      </c>
      <c r="L9215" t="n">
        <v>0</v>
      </c>
      <c r="M9215" t="n">
        <v>0</v>
      </c>
      <c r="N9215" t="n">
        <v>0</v>
      </c>
      <c r="O9215" t="n">
        <v>0</v>
      </c>
      <c r="P9215" t="n">
        <v>0</v>
      </c>
      <c r="Q9215" t="n">
        <v>0</v>
      </c>
      <c r="R9215" s="2" t="inlineStr"/>
    </row>
    <row r="9216" ht="15" customHeight="1">
      <c r="A9216" t="inlineStr">
        <is>
          <t>A 61265-2025</t>
        </is>
      </c>
      <c r="B9216" s="1" t="n">
        <v>46000.67771990741</v>
      </c>
      <c r="C9216" s="1" t="n">
        <v>46093</v>
      </c>
      <c r="D9216" t="inlineStr">
        <is>
          <t>VÄSTERNORRLANDS LÄN</t>
        </is>
      </c>
      <c r="E9216" t="inlineStr">
        <is>
          <t>SOLLEFTEÅ</t>
        </is>
      </c>
      <c r="F9216" t="inlineStr">
        <is>
          <t>SCA</t>
        </is>
      </c>
      <c r="G9216" t="n">
        <v>3</v>
      </c>
      <c r="H9216" t="n">
        <v>0</v>
      </c>
      <c r="I9216" t="n">
        <v>0</v>
      </c>
      <c r="J9216" t="n">
        <v>0</v>
      </c>
      <c r="K9216" t="n">
        <v>0</v>
      </c>
      <c r="L9216" t="n">
        <v>0</v>
      </c>
      <c r="M9216" t="n">
        <v>0</v>
      </c>
      <c r="N9216" t="n">
        <v>0</v>
      </c>
      <c r="O9216" t="n">
        <v>0</v>
      </c>
      <c r="P9216" t="n">
        <v>0</v>
      </c>
      <c r="Q9216" t="n">
        <v>0</v>
      </c>
      <c r="R9216" s="2" t="inlineStr"/>
    </row>
    <row r="9217" ht="15" customHeight="1">
      <c r="A9217" t="inlineStr">
        <is>
          <t>A 1428-2024</t>
        </is>
      </c>
      <c r="B9217" s="1" t="n">
        <v>45303</v>
      </c>
      <c r="C9217" s="1" t="n">
        <v>46093</v>
      </c>
      <c r="D9217" t="inlineStr">
        <is>
          <t>VÄSTERNORRLANDS LÄN</t>
        </is>
      </c>
      <c r="E9217" t="inlineStr">
        <is>
          <t>SUNDSVALL</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44378-2023</t>
        </is>
      </c>
      <c r="B9218" s="1" t="n">
        <v>45188.92491898148</v>
      </c>
      <c r="C9218" s="1" t="n">
        <v>46093</v>
      </c>
      <c r="D9218" t="inlineStr">
        <is>
          <t>VÄSTERNORRLANDS LÄN</t>
        </is>
      </c>
      <c r="E9218" t="inlineStr">
        <is>
          <t>TIMRÅ</t>
        </is>
      </c>
      <c r="G9218" t="n">
        <v>0.6</v>
      </c>
      <c r="H9218" t="n">
        <v>0</v>
      </c>
      <c r="I9218" t="n">
        <v>0</v>
      </c>
      <c r="J9218" t="n">
        <v>0</v>
      </c>
      <c r="K9218" t="n">
        <v>0</v>
      </c>
      <c r="L9218" t="n">
        <v>0</v>
      </c>
      <c r="M9218" t="n">
        <v>0</v>
      </c>
      <c r="N9218" t="n">
        <v>0</v>
      </c>
      <c r="O9218" t="n">
        <v>0</v>
      </c>
      <c r="P9218" t="n">
        <v>0</v>
      </c>
      <c r="Q9218" t="n">
        <v>0</v>
      </c>
      <c r="R9218" s="2" t="inlineStr"/>
    </row>
    <row r="9219" ht="15" customHeight="1">
      <c r="A9219" t="inlineStr">
        <is>
          <t>A 61278-2025</t>
        </is>
      </c>
      <c r="B9219" s="1" t="n">
        <v>46000.69827546296</v>
      </c>
      <c r="C9219" s="1" t="n">
        <v>46093</v>
      </c>
      <c r="D9219" t="inlineStr">
        <is>
          <t>VÄSTERNORRLANDS LÄN</t>
        </is>
      </c>
      <c r="E9219" t="inlineStr">
        <is>
          <t>SOLLEFTEÅ</t>
        </is>
      </c>
      <c r="F9219" t="inlineStr">
        <is>
          <t>SCA</t>
        </is>
      </c>
      <c r="G9219" t="n">
        <v>3.1</v>
      </c>
      <c r="H9219" t="n">
        <v>0</v>
      </c>
      <c r="I9219" t="n">
        <v>0</v>
      </c>
      <c r="J9219" t="n">
        <v>0</v>
      </c>
      <c r="K9219" t="n">
        <v>0</v>
      </c>
      <c r="L9219" t="n">
        <v>0</v>
      </c>
      <c r="M9219" t="n">
        <v>0</v>
      </c>
      <c r="N9219" t="n">
        <v>0</v>
      </c>
      <c r="O9219" t="n">
        <v>0</v>
      </c>
      <c r="P9219" t="n">
        <v>0</v>
      </c>
      <c r="Q9219" t="n">
        <v>0</v>
      </c>
      <c r="R9219" s="2" t="inlineStr"/>
    </row>
    <row r="9220" ht="15" customHeight="1">
      <c r="A9220" t="inlineStr">
        <is>
          <t>A 61280-2025</t>
        </is>
      </c>
      <c r="B9220" s="1" t="n">
        <v>46000.6985300926</v>
      </c>
      <c r="C9220" s="1" t="n">
        <v>46093</v>
      </c>
      <c r="D9220" t="inlineStr">
        <is>
          <t>VÄSTERNORRLANDS LÄN</t>
        </is>
      </c>
      <c r="E9220" t="inlineStr">
        <is>
          <t>SOLLEFTEÅ</t>
        </is>
      </c>
      <c r="F9220" t="inlineStr">
        <is>
          <t>SCA</t>
        </is>
      </c>
      <c r="G9220" t="n">
        <v>3.2</v>
      </c>
      <c r="H9220" t="n">
        <v>0</v>
      </c>
      <c r="I9220" t="n">
        <v>0</v>
      </c>
      <c r="J9220" t="n">
        <v>0</v>
      </c>
      <c r="K9220" t="n">
        <v>0</v>
      </c>
      <c r="L9220" t="n">
        <v>0</v>
      </c>
      <c r="M9220" t="n">
        <v>0</v>
      </c>
      <c r="N9220" t="n">
        <v>0</v>
      </c>
      <c r="O9220" t="n">
        <v>0</v>
      </c>
      <c r="P9220" t="n">
        <v>0</v>
      </c>
      <c r="Q9220" t="n">
        <v>0</v>
      </c>
      <c r="R9220" s="2" t="inlineStr"/>
    </row>
    <row r="9221" ht="15" customHeight="1">
      <c r="A9221" t="inlineStr">
        <is>
          <t>A 11043-2023</t>
        </is>
      </c>
      <c r="B9221" s="1" t="n">
        <v>44991</v>
      </c>
      <c r="C9221" s="1" t="n">
        <v>46093</v>
      </c>
      <c r="D9221" t="inlineStr">
        <is>
          <t>VÄSTERNORRLANDS LÄN</t>
        </is>
      </c>
      <c r="E9221" t="inlineStr">
        <is>
          <t>HÄRNÖSAND</t>
        </is>
      </c>
      <c r="F9221" t="inlineStr">
        <is>
          <t>SCA</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60956-2025</t>
        </is>
      </c>
      <c r="B9222" s="1" t="n">
        <v>45999.65674768519</v>
      </c>
      <c r="C9222" s="1" t="n">
        <v>46093</v>
      </c>
      <c r="D9222" t="inlineStr">
        <is>
          <t>VÄSTERNORRLANDS LÄN</t>
        </is>
      </c>
      <c r="E9222" t="inlineStr">
        <is>
          <t>SOLLEFTEÅ</t>
        </is>
      </c>
      <c r="G9222" t="n">
        <v>2.2</v>
      </c>
      <c r="H9222" t="n">
        <v>0</v>
      </c>
      <c r="I9222" t="n">
        <v>0</v>
      </c>
      <c r="J9222" t="n">
        <v>0</v>
      </c>
      <c r="K9222" t="n">
        <v>0</v>
      </c>
      <c r="L9222" t="n">
        <v>0</v>
      </c>
      <c r="M9222" t="n">
        <v>0</v>
      </c>
      <c r="N9222" t="n">
        <v>0</v>
      </c>
      <c r="O9222" t="n">
        <v>0</v>
      </c>
      <c r="P9222" t="n">
        <v>0</v>
      </c>
      <c r="Q9222" t="n">
        <v>0</v>
      </c>
      <c r="R9222" s="2" t="inlineStr"/>
    </row>
    <row r="9223" ht="15" customHeight="1">
      <c r="A9223" t="inlineStr">
        <is>
          <t>A 52804-2024</t>
        </is>
      </c>
      <c r="B9223" s="1" t="n">
        <v>45610.57322916666</v>
      </c>
      <c r="C9223" s="1" t="n">
        <v>46093</v>
      </c>
      <c r="D9223" t="inlineStr">
        <is>
          <t>VÄSTERNORRLANDS LÄN</t>
        </is>
      </c>
      <c r="E9223" t="inlineStr">
        <is>
          <t>ÅNGE</t>
        </is>
      </c>
      <c r="F9223" t="inlineStr">
        <is>
          <t>SCA</t>
        </is>
      </c>
      <c r="G9223" t="n">
        <v>1.2</v>
      </c>
      <c r="H9223" t="n">
        <v>0</v>
      </c>
      <c r="I9223" t="n">
        <v>0</v>
      </c>
      <c r="J9223" t="n">
        <v>0</v>
      </c>
      <c r="K9223" t="n">
        <v>0</v>
      </c>
      <c r="L9223" t="n">
        <v>0</v>
      </c>
      <c r="M9223" t="n">
        <v>0</v>
      </c>
      <c r="N9223" t="n">
        <v>0</v>
      </c>
      <c r="O9223" t="n">
        <v>0</v>
      </c>
      <c r="P9223" t="n">
        <v>0</v>
      </c>
      <c r="Q9223" t="n">
        <v>0</v>
      </c>
      <c r="R9223" s="2" t="inlineStr"/>
    </row>
    <row r="9224" ht="15" customHeight="1">
      <c r="A9224" t="inlineStr">
        <is>
          <t>A 20217-2023</t>
        </is>
      </c>
      <c r="B9224" s="1" t="n">
        <v>45054</v>
      </c>
      <c r="C9224" s="1" t="n">
        <v>46093</v>
      </c>
      <c r="D9224" t="inlineStr">
        <is>
          <t>VÄSTERNORRLANDS LÄN</t>
        </is>
      </c>
      <c r="E9224" t="inlineStr">
        <is>
          <t>ÖRNSKÖLDSVIK</t>
        </is>
      </c>
      <c r="G9224" t="n">
        <v>0.4</v>
      </c>
      <c r="H9224" t="n">
        <v>0</v>
      </c>
      <c r="I9224" t="n">
        <v>0</v>
      </c>
      <c r="J9224" t="n">
        <v>0</v>
      </c>
      <c r="K9224" t="n">
        <v>0</v>
      </c>
      <c r="L9224" t="n">
        <v>0</v>
      </c>
      <c r="M9224" t="n">
        <v>0</v>
      </c>
      <c r="N9224" t="n">
        <v>0</v>
      </c>
      <c r="O9224" t="n">
        <v>0</v>
      </c>
      <c r="P9224" t="n">
        <v>0</v>
      </c>
      <c r="Q9224" t="n">
        <v>0</v>
      </c>
      <c r="R9224" s="2" t="inlineStr"/>
    </row>
    <row r="9225" ht="15" customHeight="1">
      <c r="A9225" t="inlineStr">
        <is>
          <t>A 61834-2024</t>
        </is>
      </c>
      <c r="B9225" s="1" t="n">
        <v>45649.63103009259</v>
      </c>
      <c r="C9225" s="1" t="n">
        <v>46093</v>
      </c>
      <c r="D9225" t="inlineStr">
        <is>
          <t>VÄSTERNORRLANDS LÄN</t>
        </is>
      </c>
      <c r="E9225" t="inlineStr">
        <is>
          <t>HÄRNÖSAND</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21151-2024</t>
        </is>
      </c>
      <c r="B9226" s="1" t="n">
        <v>45440</v>
      </c>
      <c r="C9226" s="1" t="n">
        <v>46093</v>
      </c>
      <c r="D9226" t="inlineStr">
        <is>
          <t>VÄSTERNORRLANDS LÄN</t>
        </is>
      </c>
      <c r="E9226" t="inlineStr">
        <is>
          <t>ÅNGE</t>
        </is>
      </c>
      <c r="G9226" t="n">
        <v>3.7</v>
      </c>
      <c r="H9226" t="n">
        <v>0</v>
      </c>
      <c r="I9226" t="n">
        <v>0</v>
      </c>
      <c r="J9226" t="n">
        <v>0</v>
      </c>
      <c r="K9226" t="n">
        <v>0</v>
      </c>
      <c r="L9226" t="n">
        <v>0</v>
      </c>
      <c r="M9226" t="n">
        <v>0</v>
      </c>
      <c r="N9226" t="n">
        <v>0</v>
      </c>
      <c r="O9226" t="n">
        <v>0</v>
      </c>
      <c r="P9226" t="n">
        <v>0</v>
      </c>
      <c r="Q9226" t="n">
        <v>0</v>
      </c>
      <c r="R9226" s="2" t="inlineStr"/>
    </row>
    <row r="9227" ht="15" customHeight="1">
      <c r="A9227" t="inlineStr">
        <is>
          <t>A 60895-2025</t>
        </is>
      </c>
      <c r="B9227" s="1" t="n">
        <v>45999.57681712963</v>
      </c>
      <c r="C9227" s="1" t="n">
        <v>46093</v>
      </c>
      <c r="D9227" t="inlineStr">
        <is>
          <t>VÄSTERNORRLANDS LÄN</t>
        </is>
      </c>
      <c r="E9227" t="inlineStr">
        <is>
          <t>ÖRNSKÖLDSVIK</t>
        </is>
      </c>
      <c r="G9227" t="n">
        <v>0.7</v>
      </c>
      <c r="H9227" t="n">
        <v>0</v>
      </c>
      <c r="I9227" t="n">
        <v>0</v>
      </c>
      <c r="J9227" t="n">
        <v>0</v>
      </c>
      <c r="K9227" t="n">
        <v>0</v>
      </c>
      <c r="L9227" t="n">
        <v>0</v>
      </c>
      <c r="M9227" t="n">
        <v>0</v>
      </c>
      <c r="N9227" t="n">
        <v>0</v>
      </c>
      <c r="O9227" t="n">
        <v>0</v>
      </c>
      <c r="P9227" t="n">
        <v>0</v>
      </c>
      <c r="Q9227" t="n">
        <v>0</v>
      </c>
      <c r="R9227" s="2" t="inlineStr"/>
    </row>
    <row r="9228" ht="15" customHeight="1">
      <c r="A9228" t="inlineStr">
        <is>
          <t>A 60908-2025</t>
        </is>
      </c>
      <c r="B9228" s="1" t="n">
        <v>45999.59487268519</v>
      </c>
      <c r="C9228" s="1" t="n">
        <v>46093</v>
      </c>
      <c r="D9228" t="inlineStr">
        <is>
          <t>VÄSTERNORRLANDS LÄN</t>
        </is>
      </c>
      <c r="E9228" t="inlineStr">
        <is>
          <t>SUNDSVALL</t>
        </is>
      </c>
      <c r="F9228" t="inlineStr">
        <is>
          <t>SCA</t>
        </is>
      </c>
      <c r="G9228" t="n">
        <v>1.7</v>
      </c>
      <c r="H9228" t="n">
        <v>0</v>
      </c>
      <c r="I9228" t="n">
        <v>0</v>
      </c>
      <c r="J9228" t="n">
        <v>0</v>
      </c>
      <c r="K9228" t="n">
        <v>0</v>
      </c>
      <c r="L9228" t="n">
        <v>0</v>
      </c>
      <c r="M9228" t="n">
        <v>0</v>
      </c>
      <c r="N9228" t="n">
        <v>0</v>
      </c>
      <c r="O9228" t="n">
        <v>0</v>
      </c>
      <c r="P9228" t="n">
        <v>0</v>
      </c>
      <c r="Q9228" t="n">
        <v>0</v>
      </c>
      <c r="R9228" s="2" t="inlineStr"/>
    </row>
    <row r="9229" ht="15" customHeight="1">
      <c r="A9229" t="inlineStr">
        <is>
          <t>A 60914-2025</t>
        </is>
      </c>
      <c r="B9229" s="1" t="n">
        <v>45999.60865740741</v>
      </c>
      <c r="C9229" s="1" t="n">
        <v>46093</v>
      </c>
      <c r="D9229" t="inlineStr">
        <is>
          <t>VÄSTERNORRLANDS LÄN</t>
        </is>
      </c>
      <c r="E9229" t="inlineStr">
        <is>
          <t>ÖRNSKÖLDSVIK</t>
        </is>
      </c>
      <c r="F9229" t="inlineStr">
        <is>
          <t>Kommuner</t>
        </is>
      </c>
      <c r="G9229" t="n">
        <v>3.7</v>
      </c>
      <c r="H9229" t="n">
        <v>0</v>
      </c>
      <c r="I9229" t="n">
        <v>0</v>
      </c>
      <c r="J9229" t="n">
        <v>0</v>
      </c>
      <c r="K9229" t="n">
        <v>0</v>
      </c>
      <c r="L9229" t="n">
        <v>0</v>
      </c>
      <c r="M9229" t="n">
        <v>0</v>
      </c>
      <c r="N9229" t="n">
        <v>0</v>
      </c>
      <c r="O9229" t="n">
        <v>0</v>
      </c>
      <c r="P9229" t="n">
        <v>0</v>
      </c>
      <c r="Q9229" t="n">
        <v>0</v>
      </c>
      <c r="R9229" s="2" t="inlineStr"/>
    </row>
    <row r="9230" ht="15" customHeight="1">
      <c r="A9230" t="inlineStr">
        <is>
          <t>A 60839-2025</t>
        </is>
      </c>
      <c r="B9230" s="1" t="n">
        <v>45999.48539351852</v>
      </c>
      <c r="C9230" s="1" t="n">
        <v>46093</v>
      </c>
      <c r="D9230" t="inlineStr">
        <is>
          <t>VÄSTERNORRLANDS LÄN</t>
        </is>
      </c>
      <c r="E9230" t="inlineStr">
        <is>
          <t>ÖRNSKÖLDSVIK</t>
        </is>
      </c>
      <c r="F9230" t="inlineStr">
        <is>
          <t>Holmen skog AB</t>
        </is>
      </c>
      <c r="G9230" t="n">
        <v>1.9</v>
      </c>
      <c r="H9230" t="n">
        <v>0</v>
      </c>
      <c r="I9230" t="n">
        <v>0</v>
      </c>
      <c r="J9230" t="n">
        <v>0</v>
      </c>
      <c r="K9230" t="n">
        <v>0</v>
      </c>
      <c r="L9230" t="n">
        <v>0</v>
      </c>
      <c r="M9230" t="n">
        <v>0</v>
      </c>
      <c r="N9230" t="n">
        <v>0</v>
      </c>
      <c r="O9230" t="n">
        <v>0</v>
      </c>
      <c r="P9230" t="n">
        <v>0</v>
      </c>
      <c r="Q9230" t="n">
        <v>0</v>
      </c>
      <c r="R9230" s="2" t="inlineStr"/>
    </row>
    <row r="9231" ht="15" customHeight="1">
      <c r="A9231" t="inlineStr">
        <is>
          <t>A 31540-2024</t>
        </is>
      </c>
      <c r="B9231" s="1" t="n">
        <v>45505</v>
      </c>
      <c r="C9231" s="1" t="n">
        <v>46093</v>
      </c>
      <c r="D9231" t="inlineStr">
        <is>
          <t>VÄSTERNORRLANDS LÄN</t>
        </is>
      </c>
      <c r="E9231" t="inlineStr">
        <is>
          <t>ÖRNSKÖLDSVIK</t>
        </is>
      </c>
      <c r="F9231" t="inlineStr">
        <is>
          <t>SCA</t>
        </is>
      </c>
      <c r="G9231" t="n">
        <v>1.8</v>
      </c>
      <c r="H9231" t="n">
        <v>0</v>
      </c>
      <c r="I9231" t="n">
        <v>0</v>
      </c>
      <c r="J9231" t="n">
        <v>0</v>
      </c>
      <c r="K9231" t="n">
        <v>0</v>
      </c>
      <c r="L9231" t="n">
        <v>0</v>
      </c>
      <c r="M9231" t="n">
        <v>0</v>
      </c>
      <c r="N9231" t="n">
        <v>0</v>
      </c>
      <c r="O9231" t="n">
        <v>0</v>
      </c>
      <c r="P9231" t="n">
        <v>0</v>
      </c>
      <c r="Q9231" t="n">
        <v>0</v>
      </c>
      <c r="R9231" s="2" t="inlineStr"/>
    </row>
    <row r="9232" ht="15" customHeight="1">
      <c r="A9232" t="inlineStr">
        <is>
          <t>A 61075-2025</t>
        </is>
      </c>
      <c r="B9232" s="1" t="n">
        <v>46000.3959837963</v>
      </c>
      <c r="C9232" s="1" t="n">
        <v>46093</v>
      </c>
      <c r="D9232" t="inlineStr">
        <is>
          <t>VÄSTERNORRLANDS LÄN</t>
        </is>
      </c>
      <c r="E9232" t="inlineStr">
        <is>
          <t>ÅNGE</t>
        </is>
      </c>
      <c r="F9232" t="inlineStr">
        <is>
          <t>Holmen skog AB</t>
        </is>
      </c>
      <c r="G9232" t="n">
        <v>7.9</v>
      </c>
      <c r="H9232" t="n">
        <v>0</v>
      </c>
      <c r="I9232" t="n">
        <v>0</v>
      </c>
      <c r="J9232" t="n">
        <v>0</v>
      </c>
      <c r="K9232" t="n">
        <v>0</v>
      </c>
      <c r="L9232" t="n">
        <v>0</v>
      </c>
      <c r="M9232" t="n">
        <v>0</v>
      </c>
      <c r="N9232" t="n">
        <v>0</v>
      </c>
      <c r="O9232" t="n">
        <v>0</v>
      </c>
      <c r="P9232" t="n">
        <v>0</v>
      </c>
      <c r="Q9232" t="n">
        <v>0</v>
      </c>
      <c r="R9232" s="2" t="inlineStr"/>
    </row>
    <row r="9233" ht="15" customHeight="1">
      <c r="A9233" t="inlineStr">
        <is>
          <t>A 199-2024</t>
        </is>
      </c>
      <c r="B9233" s="1" t="n">
        <v>45294.63547453703</v>
      </c>
      <c r="C9233" s="1" t="n">
        <v>46093</v>
      </c>
      <c r="D9233" t="inlineStr">
        <is>
          <t>VÄSTERNORRLANDS LÄN</t>
        </is>
      </c>
      <c r="E9233" t="inlineStr">
        <is>
          <t>SUNDSVALL</t>
        </is>
      </c>
      <c r="G9233" t="n">
        <v>1.5</v>
      </c>
      <c r="H9233" t="n">
        <v>0</v>
      </c>
      <c r="I9233" t="n">
        <v>0</v>
      </c>
      <c r="J9233" t="n">
        <v>0</v>
      </c>
      <c r="K9233" t="n">
        <v>0</v>
      </c>
      <c r="L9233" t="n">
        <v>0</v>
      </c>
      <c r="M9233" t="n">
        <v>0</v>
      </c>
      <c r="N9233" t="n">
        <v>0</v>
      </c>
      <c r="O9233" t="n">
        <v>0</v>
      </c>
      <c r="P9233" t="n">
        <v>0</v>
      </c>
      <c r="Q9233" t="n">
        <v>0</v>
      </c>
      <c r="R9233" s="2" t="inlineStr"/>
    </row>
    <row r="9234" ht="15" customHeight="1">
      <c r="A9234" t="inlineStr">
        <is>
          <t>A 24531-2023</t>
        </is>
      </c>
      <c r="B9234" s="1" t="n">
        <v>45077</v>
      </c>
      <c r="C9234" s="1" t="n">
        <v>46093</v>
      </c>
      <c r="D9234" t="inlineStr">
        <is>
          <t>VÄSTERNORRLANDS LÄN</t>
        </is>
      </c>
      <c r="E9234" t="inlineStr">
        <is>
          <t>ÖRNSKÖLDSVIK</t>
        </is>
      </c>
      <c r="G9234" t="n">
        <v>3.2</v>
      </c>
      <c r="H9234" t="n">
        <v>0</v>
      </c>
      <c r="I9234" t="n">
        <v>0</v>
      </c>
      <c r="J9234" t="n">
        <v>0</v>
      </c>
      <c r="K9234" t="n">
        <v>0</v>
      </c>
      <c r="L9234" t="n">
        <v>0</v>
      </c>
      <c r="M9234" t="n">
        <v>0</v>
      </c>
      <c r="N9234" t="n">
        <v>0</v>
      </c>
      <c r="O9234" t="n">
        <v>0</v>
      </c>
      <c r="P9234" t="n">
        <v>0</v>
      </c>
      <c r="Q9234" t="n">
        <v>0</v>
      </c>
      <c r="R9234" s="2" t="inlineStr"/>
    </row>
    <row r="9235" ht="15" customHeight="1">
      <c r="A9235" t="inlineStr">
        <is>
          <t>A 25364-2024</t>
        </is>
      </c>
      <c r="B9235" s="1" t="n">
        <v>45462.95849537037</v>
      </c>
      <c r="C9235" s="1" t="n">
        <v>46093</v>
      </c>
      <c r="D9235" t="inlineStr">
        <is>
          <t>VÄSTERNORRLANDS LÄN</t>
        </is>
      </c>
      <c r="E9235" t="inlineStr">
        <is>
          <t>SOLLEFTEÅ</t>
        </is>
      </c>
      <c r="F9235" t="inlineStr">
        <is>
          <t>SCA</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32380-2023</t>
        </is>
      </c>
      <c r="B9236" s="1" t="n">
        <v>45120.58898148148</v>
      </c>
      <c r="C9236" s="1" t="n">
        <v>46093</v>
      </c>
      <c r="D9236" t="inlineStr">
        <is>
          <t>VÄSTERNORRLANDS LÄN</t>
        </is>
      </c>
      <c r="E9236" t="inlineStr">
        <is>
          <t>SUNDSVALL</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60750-2025</t>
        </is>
      </c>
      <c r="B9237" s="1" t="n">
        <v>45999.38076388889</v>
      </c>
      <c r="C9237" s="1" t="n">
        <v>46093</v>
      </c>
      <c r="D9237" t="inlineStr">
        <is>
          <t>VÄSTERNORRLANDS LÄN</t>
        </is>
      </c>
      <c r="E9237" t="inlineStr">
        <is>
          <t>ÖRNSKÖLDSVIK</t>
        </is>
      </c>
      <c r="F9237" t="inlineStr">
        <is>
          <t>Holmen skog AB</t>
        </is>
      </c>
      <c r="G9237" t="n">
        <v>1</v>
      </c>
      <c r="H9237" t="n">
        <v>0</v>
      </c>
      <c r="I9237" t="n">
        <v>0</v>
      </c>
      <c r="J9237" t="n">
        <v>0</v>
      </c>
      <c r="K9237" t="n">
        <v>0</v>
      </c>
      <c r="L9237" t="n">
        <v>0</v>
      </c>
      <c r="M9237" t="n">
        <v>0</v>
      </c>
      <c r="N9237" t="n">
        <v>0</v>
      </c>
      <c r="O9237" t="n">
        <v>0</v>
      </c>
      <c r="P9237" t="n">
        <v>0</v>
      </c>
      <c r="Q9237" t="n">
        <v>0</v>
      </c>
      <c r="R9237" s="2" t="inlineStr"/>
    </row>
    <row r="9238" ht="15" customHeight="1">
      <c r="A9238" t="inlineStr">
        <is>
          <t>A 60888-2025</t>
        </is>
      </c>
      <c r="B9238" s="1" t="n">
        <v>45999</v>
      </c>
      <c r="C9238" s="1" t="n">
        <v>46093</v>
      </c>
      <c r="D9238" t="inlineStr">
        <is>
          <t>VÄSTERNORRLANDS LÄN</t>
        </is>
      </c>
      <c r="E9238" t="inlineStr">
        <is>
          <t>ÖRNSKÖLDSVIK</t>
        </is>
      </c>
      <c r="F9238" t="inlineStr">
        <is>
          <t>Holmen skog AB</t>
        </is>
      </c>
      <c r="G9238" t="n">
        <v>4.8</v>
      </c>
      <c r="H9238" t="n">
        <v>0</v>
      </c>
      <c r="I9238" t="n">
        <v>0</v>
      </c>
      <c r="J9238" t="n">
        <v>0</v>
      </c>
      <c r="K9238" t="n">
        <v>0</v>
      </c>
      <c r="L9238" t="n">
        <v>0</v>
      </c>
      <c r="M9238" t="n">
        <v>0</v>
      </c>
      <c r="N9238" t="n">
        <v>0</v>
      </c>
      <c r="O9238" t="n">
        <v>0</v>
      </c>
      <c r="P9238" t="n">
        <v>0</v>
      </c>
      <c r="Q9238" t="n">
        <v>0</v>
      </c>
      <c r="R9238" s="2" t="inlineStr"/>
    </row>
    <row r="9239" ht="15" customHeight="1">
      <c r="A9239" t="inlineStr">
        <is>
          <t>A 13844-2024</t>
        </is>
      </c>
      <c r="B9239" s="1" t="n">
        <v>45390</v>
      </c>
      <c r="C9239" s="1" t="n">
        <v>46093</v>
      </c>
      <c r="D9239" t="inlineStr">
        <is>
          <t>VÄSTERNORRLANDS LÄN</t>
        </is>
      </c>
      <c r="E9239" t="inlineStr">
        <is>
          <t>KRAMFORS</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60748-2025</t>
        </is>
      </c>
      <c r="B9240" s="1" t="n">
        <v>45999.38032407407</v>
      </c>
      <c r="C9240" s="1" t="n">
        <v>46093</v>
      </c>
      <c r="D9240" t="inlineStr">
        <is>
          <t>VÄSTERNORRLANDS LÄN</t>
        </is>
      </c>
      <c r="E9240" t="inlineStr">
        <is>
          <t>ÖRNSKÖLDSVIK</t>
        </is>
      </c>
      <c r="F9240" t="inlineStr">
        <is>
          <t>Holmen skog AB</t>
        </is>
      </c>
      <c r="G9240" t="n">
        <v>2.5</v>
      </c>
      <c r="H9240" t="n">
        <v>0</v>
      </c>
      <c r="I9240" t="n">
        <v>0</v>
      </c>
      <c r="J9240" t="n">
        <v>0</v>
      </c>
      <c r="K9240" t="n">
        <v>0</v>
      </c>
      <c r="L9240" t="n">
        <v>0</v>
      </c>
      <c r="M9240" t="n">
        <v>0</v>
      </c>
      <c r="N9240" t="n">
        <v>0</v>
      </c>
      <c r="O9240" t="n">
        <v>0</v>
      </c>
      <c r="P9240" t="n">
        <v>0</v>
      </c>
      <c r="Q9240" t="n">
        <v>0</v>
      </c>
      <c r="R9240" s="2" t="inlineStr"/>
    </row>
    <row r="9241" ht="15" customHeight="1">
      <c r="A9241" t="inlineStr">
        <is>
          <t>A 60764-2025</t>
        </is>
      </c>
      <c r="B9241" s="1" t="n">
        <v>45999.38659722222</v>
      </c>
      <c r="C9241" s="1" t="n">
        <v>46093</v>
      </c>
      <c r="D9241" t="inlineStr">
        <is>
          <t>VÄSTERNORRLANDS LÄN</t>
        </is>
      </c>
      <c r="E9241" t="inlineStr">
        <is>
          <t>SOLLEFTEÅ</t>
        </is>
      </c>
      <c r="F9241" t="inlineStr">
        <is>
          <t>SCA</t>
        </is>
      </c>
      <c r="G9241" t="n">
        <v>3.1</v>
      </c>
      <c r="H9241" t="n">
        <v>0</v>
      </c>
      <c r="I9241" t="n">
        <v>0</v>
      </c>
      <c r="J9241" t="n">
        <v>0</v>
      </c>
      <c r="K9241" t="n">
        <v>0</v>
      </c>
      <c r="L9241" t="n">
        <v>0</v>
      </c>
      <c r="M9241" t="n">
        <v>0</v>
      </c>
      <c r="N9241" t="n">
        <v>0</v>
      </c>
      <c r="O9241" t="n">
        <v>0</v>
      </c>
      <c r="P9241" t="n">
        <v>0</v>
      </c>
      <c r="Q9241" t="n">
        <v>0</v>
      </c>
      <c r="R9241" s="2" t="inlineStr"/>
    </row>
    <row r="9242" ht="15" customHeight="1">
      <c r="A9242" t="inlineStr">
        <is>
          <t>A 60768-2025</t>
        </is>
      </c>
      <c r="B9242" s="1" t="n">
        <v>45999.38697916667</v>
      </c>
      <c r="C9242" s="1" t="n">
        <v>46093</v>
      </c>
      <c r="D9242" t="inlineStr">
        <is>
          <t>VÄSTERNORRLANDS LÄN</t>
        </is>
      </c>
      <c r="E9242" t="inlineStr">
        <is>
          <t>HÄRNÖSAND</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60771-2025</t>
        </is>
      </c>
      <c r="B9243" s="1" t="n">
        <v>45999.38715277778</v>
      </c>
      <c r="C9243" s="1" t="n">
        <v>46093</v>
      </c>
      <c r="D9243" t="inlineStr">
        <is>
          <t>VÄSTERNORRLANDS LÄN</t>
        </is>
      </c>
      <c r="E9243" t="inlineStr">
        <is>
          <t>HÄRNÖSAND</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60772-2025</t>
        </is>
      </c>
      <c r="B9244" s="1" t="n">
        <v>45999.38717592593</v>
      </c>
      <c r="C9244" s="1" t="n">
        <v>46093</v>
      </c>
      <c r="D9244" t="inlineStr">
        <is>
          <t>VÄSTERNORRLANDS LÄN</t>
        </is>
      </c>
      <c r="E9244" t="inlineStr">
        <is>
          <t>HÄRNÖSAND</t>
        </is>
      </c>
      <c r="G9244" t="n">
        <v>1.7</v>
      </c>
      <c r="H9244" t="n">
        <v>0</v>
      </c>
      <c r="I9244" t="n">
        <v>0</v>
      </c>
      <c r="J9244" t="n">
        <v>0</v>
      </c>
      <c r="K9244" t="n">
        <v>0</v>
      </c>
      <c r="L9244" t="n">
        <v>0</v>
      </c>
      <c r="M9244" t="n">
        <v>0</v>
      </c>
      <c r="N9244" t="n">
        <v>0</v>
      </c>
      <c r="O9244" t="n">
        <v>0</v>
      </c>
      <c r="P9244" t="n">
        <v>0</v>
      </c>
      <c r="Q9244" t="n">
        <v>0</v>
      </c>
      <c r="R9244" s="2" t="inlineStr"/>
    </row>
    <row r="9245" ht="15" customHeight="1">
      <c r="A9245" t="inlineStr">
        <is>
          <t>A 60782-2025</t>
        </is>
      </c>
      <c r="B9245" s="1" t="n">
        <v>45999.39840277778</v>
      </c>
      <c r="C9245" s="1" t="n">
        <v>46093</v>
      </c>
      <c r="D9245" t="inlineStr">
        <is>
          <t>VÄSTERNORRLANDS LÄN</t>
        </is>
      </c>
      <c r="E9245" t="inlineStr">
        <is>
          <t>ÖRNSKÖLDSVIK</t>
        </is>
      </c>
      <c r="F9245" t="inlineStr">
        <is>
          <t>Holmen skog AB</t>
        </is>
      </c>
      <c r="G9245" t="n">
        <v>19.5</v>
      </c>
      <c r="H9245" t="n">
        <v>0</v>
      </c>
      <c r="I9245" t="n">
        <v>0</v>
      </c>
      <c r="J9245" t="n">
        <v>0</v>
      </c>
      <c r="K9245" t="n">
        <v>0</v>
      </c>
      <c r="L9245" t="n">
        <v>0</v>
      </c>
      <c r="M9245" t="n">
        <v>0</v>
      </c>
      <c r="N9245" t="n">
        <v>0</v>
      </c>
      <c r="O9245" t="n">
        <v>0</v>
      </c>
      <c r="P9245" t="n">
        <v>0</v>
      </c>
      <c r="Q9245" t="n">
        <v>0</v>
      </c>
      <c r="R9245" s="2" t="inlineStr"/>
    </row>
    <row r="9246" ht="15" customHeight="1">
      <c r="A9246" t="inlineStr">
        <is>
          <t>A 518-2025</t>
        </is>
      </c>
      <c r="B9246" s="1" t="n">
        <v>45664.47759259259</v>
      </c>
      <c r="C9246" s="1" t="n">
        <v>46093</v>
      </c>
      <c r="D9246" t="inlineStr">
        <is>
          <t>VÄSTERNORRLANDS LÄN</t>
        </is>
      </c>
      <c r="E9246" t="inlineStr">
        <is>
          <t>KRAMFORS</t>
        </is>
      </c>
      <c r="G9246" t="n">
        <v>0.4</v>
      </c>
      <c r="H9246" t="n">
        <v>0</v>
      </c>
      <c r="I9246" t="n">
        <v>0</v>
      </c>
      <c r="J9246" t="n">
        <v>0</v>
      </c>
      <c r="K9246" t="n">
        <v>0</v>
      </c>
      <c r="L9246" t="n">
        <v>0</v>
      </c>
      <c r="M9246" t="n">
        <v>0</v>
      </c>
      <c r="N9246" t="n">
        <v>0</v>
      </c>
      <c r="O9246" t="n">
        <v>0</v>
      </c>
      <c r="P9246" t="n">
        <v>0</v>
      </c>
      <c r="Q9246" t="n">
        <v>0</v>
      </c>
      <c r="R9246" s="2" t="inlineStr"/>
    </row>
    <row r="9247" ht="15" customHeight="1">
      <c r="A9247" t="inlineStr">
        <is>
          <t>A 60854-2025</t>
        </is>
      </c>
      <c r="B9247" s="1" t="n">
        <v>45999</v>
      </c>
      <c r="C9247" s="1" t="n">
        <v>46093</v>
      </c>
      <c r="D9247" t="inlineStr">
        <is>
          <t>VÄSTERNORRLANDS LÄN</t>
        </is>
      </c>
      <c r="E9247" t="inlineStr">
        <is>
          <t>SOLLEFTEÅ</t>
        </is>
      </c>
      <c r="F9247" t="inlineStr">
        <is>
          <t>SCA</t>
        </is>
      </c>
      <c r="G9247" t="n">
        <v>5.6</v>
      </c>
      <c r="H9247" t="n">
        <v>0</v>
      </c>
      <c r="I9247" t="n">
        <v>0</v>
      </c>
      <c r="J9247" t="n">
        <v>0</v>
      </c>
      <c r="K9247" t="n">
        <v>0</v>
      </c>
      <c r="L9247" t="n">
        <v>0</v>
      </c>
      <c r="M9247" t="n">
        <v>0</v>
      </c>
      <c r="N9247" t="n">
        <v>0</v>
      </c>
      <c r="O9247" t="n">
        <v>0</v>
      </c>
      <c r="P9247" t="n">
        <v>0</v>
      </c>
      <c r="Q9247" t="n">
        <v>0</v>
      </c>
      <c r="R9247" s="2" t="inlineStr"/>
    </row>
    <row r="9248" ht="15" customHeight="1">
      <c r="A9248" t="inlineStr">
        <is>
          <t>A 25201-2024</t>
        </is>
      </c>
      <c r="B9248" s="1" t="n">
        <v>45462.57261574074</v>
      </c>
      <c r="C9248" s="1" t="n">
        <v>46093</v>
      </c>
      <c r="D9248" t="inlineStr">
        <is>
          <t>VÄSTERNORRLANDS LÄN</t>
        </is>
      </c>
      <c r="E9248" t="inlineStr">
        <is>
          <t>ÖRNSKÖLDSVIK</t>
        </is>
      </c>
      <c r="F9248" t="inlineStr">
        <is>
          <t>Holmen skog AB</t>
        </is>
      </c>
      <c r="G9248" t="n">
        <v>0.5</v>
      </c>
      <c r="H9248" t="n">
        <v>0</v>
      </c>
      <c r="I9248" t="n">
        <v>0</v>
      </c>
      <c r="J9248" t="n">
        <v>0</v>
      </c>
      <c r="K9248" t="n">
        <v>0</v>
      </c>
      <c r="L9248" t="n">
        <v>0</v>
      </c>
      <c r="M9248" t="n">
        <v>0</v>
      </c>
      <c r="N9248" t="n">
        <v>0</v>
      </c>
      <c r="O9248" t="n">
        <v>0</v>
      </c>
      <c r="P9248" t="n">
        <v>0</v>
      </c>
      <c r="Q9248" t="n">
        <v>0</v>
      </c>
      <c r="R9248" s="2" t="inlineStr"/>
    </row>
    <row r="9249" ht="15" customHeight="1">
      <c r="A9249" t="inlineStr">
        <is>
          <t>A 60864-2025</t>
        </is>
      </c>
      <c r="B9249" s="1" t="n">
        <v>45999.53170138889</v>
      </c>
      <c r="C9249" s="1" t="n">
        <v>46093</v>
      </c>
      <c r="D9249" t="inlineStr">
        <is>
          <t>VÄSTERNORRLANDS LÄN</t>
        </is>
      </c>
      <c r="E9249" t="inlineStr">
        <is>
          <t>ÅNGE</t>
        </is>
      </c>
      <c r="F9249" t="inlineStr">
        <is>
          <t>SCA</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60882-2025</t>
        </is>
      </c>
      <c r="B9250" s="1" t="n">
        <v>45999.56179398148</v>
      </c>
      <c r="C9250" s="1" t="n">
        <v>46093</v>
      </c>
      <c r="D9250" t="inlineStr">
        <is>
          <t>VÄSTERNORRLANDS LÄN</t>
        </is>
      </c>
      <c r="E9250" t="inlineStr">
        <is>
          <t>ÖRNSKÖLDSVIK</t>
        </is>
      </c>
      <c r="F9250" t="inlineStr">
        <is>
          <t>Holmen skog AB</t>
        </is>
      </c>
      <c r="G9250" t="n">
        <v>2.8</v>
      </c>
      <c r="H9250" t="n">
        <v>0</v>
      </c>
      <c r="I9250" t="n">
        <v>0</v>
      </c>
      <c r="J9250" t="n">
        <v>0</v>
      </c>
      <c r="K9250" t="n">
        <v>0</v>
      </c>
      <c r="L9250" t="n">
        <v>0</v>
      </c>
      <c r="M9250" t="n">
        <v>0</v>
      </c>
      <c r="N9250" t="n">
        <v>0</v>
      </c>
      <c r="O9250" t="n">
        <v>0</v>
      </c>
      <c r="P9250" t="n">
        <v>0</v>
      </c>
      <c r="Q9250" t="n">
        <v>0</v>
      </c>
      <c r="R9250" s="2" t="inlineStr"/>
    </row>
    <row r="9251" ht="15" customHeight="1">
      <c r="A9251" t="inlineStr">
        <is>
          <t>A 13706-2023</t>
        </is>
      </c>
      <c r="B9251" s="1" t="n">
        <v>45006</v>
      </c>
      <c r="C9251" s="1" t="n">
        <v>46093</v>
      </c>
      <c r="D9251" t="inlineStr">
        <is>
          <t>VÄSTERNORRLANDS LÄN</t>
        </is>
      </c>
      <c r="E9251" t="inlineStr">
        <is>
          <t>ÅNGE</t>
        </is>
      </c>
      <c r="F9251" t="inlineStr">
        <is>
          <t>SCA</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60971-2025</t>
        </is>
      </c>
      <c r="B9252" s="1" t="n">
        <v>45999.69315972222</v>
      </c>
      <c r="C9252" s="1" t="n">
        <v>46093</v>
      </c>
      <c r="D9252" t="inlineStr">
        <is>
          <t>VÄSTERNORRLANDS LÄN</t>
        </is>
      </c>
      <c r="E9252" t="inlineStr">
        <is>
          <t>KRAMFORS</t>
        </is>
      </c>
      <c r="G9252" t="n">
        <v>2</v>
      </c>
      <c r="H9252" t="n">
        <v>0</v>
      </c>
      <c r="I9252" t="n">
        <v>0</v>
      </c>
      <c r="J9252" t="n">
        <v>0</v>
      </c>
      <c r="K9252" t="n">
        <v>0</v>
      </c>
      <c r="L9252" t="n">
        <v>0</v>
      </c>
      <c r="M9252" t="n">
        <v>0</v>
      </c>
      <c r="N9252" t="n">
        <v>0</v>
      </c>
      <c r="O9252" t="n">
        <v>0</v>
      </c>
      <c r="P9252" t="n">
        <v>0</v>
      </c>
      <c r="Q9252" t="n">
        <v>0</v>
      </c>
      <c r="R9252" s="2" t="inlineStr"/>
    </row>
    <row r="9253" ht="15" customHeight="1">
      <c r="A9253" t="inlineStr">
        <is>
          <t>A 5296-2025</t>
        </is>
      </c>
      <c r="B9253" s="1" t="n">
        <v>45692.45554398148</v>
      </c>
      <c r="C9253" s="1" t="n">
        <v>46093</v>
      </c>
      <c r="D9253" t="inlineStr">
        <is>
          <t>VÄSTERNORRLANDS LÄN</t>
        </is>
      </c>
      <c r="E9253" t="inlineStr">
        <is>
          <t>SUNDSVALL</t>
        </is>
      </c>
      <c r="G9253" t="n">
        <v>2</v>
      </c>
      <c r="H9253" t="n">
        <v>0</v>
      </c>
      <c r="I9253" t="n">
        <v>0</v>
      </c>
      <c r="J9253" t="n">
        <v>0</v>
      </c>
      <c r="K9253" t="n">
        <v>0</v>
      </c>
      <c r="L9253" t="n">
        <v>0</v>
      </c>
      <c r="M9253" t="n">
        <v>0</v>
      </c>
      <c r="N9253" t="n">
        <v>0</v>
      </c>
      <c r="O9253" t="n">
        <v>0</v>
      </c>
      <c r="P9253" t="n">
        <v>0</v>
      </c>
      <c r="Q9253" t="n">
        <v>0</v>
      </c>
      <c r="R9253" s="2" t="inlineStr"/>
    </row>
    <row r="9254" ht="15" customHeight="1">
      <c r="A9254" t="inlineStr">
        <is>
          <t>A 2607-2025</t>
        </is>
      </c>
      <c r="B9254" s="1" t="n">
        <v>45674</v>
      </c>
      <c r="C9254" s="1" t="n">
        <v>46093</v>
      </c>
      <c r="D9254" t="inlineStr">
        <is>
          <t>VÄSTERNORRLANDS LÄN</t>
        </is>
      </c>
      <c r="E9254" t="inlineStr">
        <is>
          <t>KRAMFORS</t>
        </is>
      </c>
      <c r="G9254" t="n">
        <v>1.9</v>
      </c>
      <c r="H9254" t="n">
        <v>0</v>
      </c>
      <c r="I9254" t="n">
        <v>0</v>
      </c>
      <c r="J9254" t="n">
        <v>0</v>
      </c>
      <c r="K9254" t="n">
        <v>0</v>
      </c>
      <c r="L9254" t="n">
        <v>0</v>
      </c>
      <c r="M9254" t="n">
        <v>0</v>
      </c>
      <c r="N9254" t="n">
        <v>0</v>
      </c>
      <c r="O9254" t="n">
        <v>0</v>
      </c>
      <c r="P9254" t="n">
        <v>0</v>
      </c>
      <c r="Q9254" t="n">
        <v>0</v>
      </c>
      <c r="R9254" s="2" t="inlineStr"/>
    </row>
    <row r="9255" ht="15" customHeight="1">
      <c r="A9255" t="inlineStr">
        <is>
          <t>A 60765-2025</t>
        </is>
      </c>
      <c r="B9255" s="1" t="n">
        <v>45999.38672453703</v>
      </c>
      <c r="C9255" s="1" t="n">
        <v>46093</v>
      </c>
      <c r="D9255" t="inlineStr">
        <is>
          <t>VÄSTERNORRLANDS LÄN</t>
        </is>
      </c>
      <c r="E9255" t="inlineStr">
        <is>
          <t>ÖRNSKÖLDSVIK</t>
        </is>
      </c>
      <c r="F9255" t="inlineStr">
        <is>
          <t>SCA</t>
        </is>
      </c>
      <c r="G9255" t="n">
        <v>5.5</v>
      </c>
      <c r="H9255" t="n">
        <v>0</v>
      </c>
      <c r="I9255" t="n">
        <v>0</v>
      </c>
      <c r="J9255" t="n">
        <v>0</v>
      </c>
      <c r="K9255" t="n">
        <v>0</v>
      </c>
      <c r="L9255" t="n">
        <v>0</v>
      </c>
      <c r="M9255" t="n">
        <v>0</v>
      </c>
      <c r="N9255" t="n">
        <v>0</v>
      </c>
      <c r="O9255" t="n">
        <v>0</v>
      </c>
      <c r="P9255" t="n">
        <v>0</v>
      </c>
      <c r="Q9255" t="n">
        <v>0</v>
      </c>
      <c r="R9255" s="2" t="inlineStr"/>
    </row>
    <row r="9256" ht="15" customHeight="1">
      <c r="A9256" t="inlineStr">
        <is>
          <t>A 60770-2025</t>
        </is>
      </c>
      <c r="B9256" s="1" t="n">
        <v>45999.38707175926</v>
      </c>
      <c r="C9256" s="1" t="n">
        <v>46093</v>
      </c>
      <c r="D9256" t="inlineStr">
        <is>
          <t>VÄSTERNORRLANDS LÄN</t>
        </is>
      </c>
      <c r="E9256" t="inlineStr">
        <is>
          <t>SUNDSVALL</t>
        </is>
      </c>
      <c r="G9256" t="n">
        <v>2.1</v>
      </c>
      <c r="H9256" t="n">
        <v>0</v>
      </c>
      <c r="I9256" t="n">
        <v>0</v>
      </c>
      <c r="J9256" t="n">
        <v>0</v>
      </c>
      <c r="K9256" t="n">
        <v>0</v>
      </c>
      <c r="L9256" t="n">
        <v>0</v>
      </c>
      <c r="M9256" t="n">
        <v>0</v>
      </c>
      <c r="N9256" t="n">
        <v>0</v>
      </c>
      <c r="O9256" t="n">
        <v>0</v>
      </c>
      <c r="P9256" t="n">
        <v>0</v>
      </c>
      <c r="Q9256" t="n">
        <v>0</v>
      </c>
      <c r="R9256" s="2" t="inlineStr"/>
    </row>
    <row r="9257" ht="15" customHeight="1">
      <c r="A9257" t="inlineStr">
        <is>
          <t>A 7550-2025</t>
        </is>
      </c>
      <c r="B9257" s="1" t="n">
        <v>45705.57467592593</v>
      </c>
      <c r="C9257" s="1" t="n">
        <v>46093</v>
      </c>
      <c r="D9257" t="inlineStr">
        <is>
          <t>VÄSTERNORRLANDS LÄN</t>
        </is>
      </c>
      <c r="E9257" t="inlineStr">
        <is>
          <t>KRAMFORS</t>
        </is>
      </c>
      <c r="G9257" t="n">
        <v>1.3</v>
      </c>
      <c r="H9257" t="n">
        <v>0</v>
      </c>
      <c r="I9257" t="n">
        <v>0</v>
      </c>
      <c r="J9257" t="n">
        <v>0</v>
      </c>
      <c r="K9257" t="n">
        <v>0</v>
      </c>
      <c r="L9257" t="n">
        <v>0</v>
      </c>
      <c r="M9257" t="n">
        <v>0</v>
      </c>
      <c r="N9257" t="n">
        <v>0</v>
      </c>
      <c r="O9257" t="n">
        <v>0</v>
      </c>
      <c r="P9257" t="n">
        <v>0</v>
      </c>
      <c r="Q9257" t="n">
        <v>0</v>
      </c>
      <c r="R9257" s="2" t="inlineStr"/>
    </row>
    <row r="9258" ht="15" customHeight="1">
      <c r="A9258" t="inlineStr">
        <is>
          <t>A 35030-2023</t>
        </is>
      </c>
      <c r="B9258" s="1" t="n">
        <v>45145.33144675926</v>
      </c>
      <c r="C9258" s="1" t="n">
        <v>46093</v>
      </c>
      <c r="D9258" t="inlineStr">
        <is>
          <t>VÄSTERNORRLANDS LÄN</t>
        </is>
      </c>
      <c r="E9258" t="inlineStr">
        <is>
          <t>ÖRNSKÖLDSVIK</t>
        </is>
      </c>
      <c r="F9258" t="inlineStr">
        <is>
          <t>Holmen skog AB</t>
        </is>
      </c>
      <c r="G9258" t="n">
        <v>3.8</v>
      </c>
      <c r="H9258" t="n">
        <v>0</v>
      </c>
      <c r="I9258" t="n">
        <v>0</v>
      </c>
      <c r="J9258" t="n">
        <v>0</v>
      </c>
      <c r="K9258" t="n">
        <v>0</v>
      </c>
      <c r="L9258" t="n">
        <v>0</v>
      </c>
      <c r="M9258" t="n">
        <v>0</v>
      </c>
      <c r="N9258" t="n">
        <v>0</v>
      </c>
      <c r="O9258" t="n">
        <v>0</v>
      </c>
      <c r="P9258" t="n">
        <v>0</v>
      </c>
      <c r="Q9258" t="n">
        <v>0</v>
      </c>
      <c r="R9258" s="2" t="inlineStr"/>
    </row>
    <row r="9259" ht="15" customHeight="1">
      <c r="A9259" t="inlineStr">
        <is>
          <t>A 61062-2025</t>
        </is>
      </c>
      <c r="B9259" s="1" t="n">
        <v>46000.36528935185</v>
      </c>
      <c r="C9259" s="1" t="n">
        <v>46093</v>
      </c>
      <c r="D9259" t="inlineStr">
        <is>
          <t>VÄSTERNORRLANDS LÄN</t>
        </is>
      </c>
      <c r="E9259" t="inlineStr">
        <is>
          <t>SOLLEFTEÅ</t>
        </is>
      </c>
      <c r="G9259" t="n">
        <v>1.7</v>
      </c>
      <c r="H9259" t="n">
        <v>0</v>
      </c>
      <c r="I9259" t="n">
        <v>0</v>
      </c>
      <c r="J9259" t="n">
        <v>0</v>
      </c>
      <c r="K9259" t="n">
        <v>0</v>
      </c>
      <c r="L9259" t="n">
        <v>0</v>
      </c>
      <c r="M9259" t="n">
        <v>0</v>
      </c>
      <c r="N9259" t="n">
        <v>0</v>
      </c>
      <c r="O9259" t="n">
        <v>0</v>
      </c>
      <c r="P9259" t="n">
        <v>0</v>
      </c>
      <c r="Q9259" t="n">
        <v>0</v>
      </c>
      <c r="R9259" s="2" t="inlineStr"/>
    </row>
    <row r="9260" ht="15" customHeight="1">
      <c r="A9260" t="inlineStr">
        <is>
          <t>A 6462-2024</t>
        </is>
      </c>
      <c r="B9260" s="1" t="n">
        <v>45338</v>
      </c>
      <c r="C9260" s="1" t="n">
        <v>46093</v>
      </c>
      <c r="D9260" t="inlineStr">
        <is>
          <t>VÄSTERNORRLANDS LÄN</t>
        </is>
      </c>
      <c r="E9260" t="inlineStr">
        <is>
          <t>ÅNGE</t>
        </is>
      </c>
      <c r="F9260" t="inlineStr">
        <is>
          <t>Kyrkan</t>
        </is>
      </c>
      <c r="G9260" t="n">
        <v>9.199999999999999</v>
      </c>
      <c r="H9260" t="n">
        <v>0</v>
      </c>
      <c r="I9260" t="n">
        <v>0</v>
      </c>
      <c r="J9260" t="n">
        <v>0</v>
      </c>
      <c r="K9260" t="n">
        <v>0</v>
      </c>
      <c r="L9260" t="n">
        <v>0</v>
      </c>
      <c r="M9260" t="n">
        <v>0</v>
      </c>
      <c r="N9260" t="n">
        <v>0</v>
      </c>
      <c r="O9260" t="n">
        <v>0</v>
      </c>
      <c r="P9260" t="n">
        <v>0</v>
      </c>
      <c r="Q9260" t="n">
        <v>0</v>
      </c>
      <c r="R9260" s="2" t="inlineStr"/>
    </row>
    <row r="9261" ht="15" customHeight="1">
      <c r="A9261" t="inlineStr">
        <is>
          <t>A 60992-2025</t>
        </is>
      </c>
      <c r="B9261" s="1" t="n">
        <v>45999.72966435185</v>
      </c>
      <c r="C9261" s="1" t="n">
        <v>46093</v>
      </c>
      <c r="D9261" t="inlineStr">
        <is>
          <t>VÄSTERNORRLANDS LÄN</t>
        </is>
      </c>
      <c r="E9261" t="inlineStr">
        <is>
          <t>KRAMFORS</t>
        </is>
      </c>
      <c r="G9261" t="n">
        <v>1.6</v>
      </c>
      <c r="H9261" t="n">
        <v>0</v>
      </c>
      <c r="I9261" t="n">
        <v>0</v>
      </c>
      <c r="J9261" t="n">
        <v>0</v>
      </c>
      <c r="K9261" t="n">
        <v>0</v>
      </c>
      <c r="L9261" t="n">
        <v>0</v>
      </c>
      <c r="M9261" t="n">
        <v>0</v>
      </c>
      <c r="N9261" t="n">
        <v>0</v>
      </c>
      <c r="O9261" t="n">
        <v>0</v>
      </c>
      <c r="P9261" t="n">
        <v>0</v>
      </c>
      <c r="Q9261" t="n">
        <v>0</v>
      </c>
      <c r="R9261" s="2" t="inlineStr"/>
    </row>
    <row r="9262" ht="15" customHeight="1">
      <c r="A9262" t="inlineStr">
        <is>
          <t>A 61061-2025</t>
        </is>
      </c>
      <c r="B9262" s="1" t="n">
        <v>46000.36512731481</v>
      </c>
      <c r="C9262" s="1" t="n">
        <v>46093</v>
      </c>
      <c r="D9262" t="inlineStr">
        <is>
          <t>VÄSTERNORRLANDS LÄN</t>
        </is>
      </c>
      <c r="E9262" t="inlineStr">
        <is>
          <t>SOLLEFTEÅ</t>
        </is>
      </c>
      <c r="F9262" t="inlineStr">
        <is>
          <t>SCA</t>
        </is>
      </c>
      <c r="G9262" t="n">
        <v>1.2</v>
      </c>
      <c r="H9262" t="n">
        <v>0</v>
      </c>
      <c r="I9262" t="n">
        <v>0</v>
      </c>
      <c r="J9262" t="n">
        <v>0</v>
      </c>
      <c r="K9262" t="n">
        <v>0</v>
      </c>
      <c r="L9262" t="n">
        <v>0</v>
      </c>
      <c r="M9262" t="n">
        <v>0</v>
      </c>
      <c r="N9262" t="n">
        <v>0</v>
      </c>
      <c r="O9262" t="n">
        <v>0</v>
      </c>
      <c r="P9262" t="n">
        <v>0</v>
      </c>
      <c r="Q9262" t="n">
        <v>0</v>
      </c>
      <c r="R9262" s="2" t="inlineStr"/>
    </row>
    <row r="9263" ht="15" customHeight="1">
      <c r="A9263" t="inlineStr">
        <is>
          <t>A 27197-2023</t>
        </is>
      </c>
      <c r="B9263" s="1" t="n">
        <v>45092</v>
      </c>
      <c r="C9263" s="1" t="n">
        <v>46093</v>
      </c>
      <c r="D9263" t="inlineStr">
        <is>
          <t>VÄSTERNORRLANDS LÄN</t>
        </is>
      </c>
      <c r="E9263" t="inlineStr">
        <is>
          <t>ÖRNSKÖLDSVIK</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34316-2024</t>
        </is>
      </c>
      <c r="B9264" s="1" t="n">
        <v>45524</v>
      </c>
      <c r="C9264" s="1" t="n">
        <v>46093</v>
      </c>
      <c r="D9264" t="inlineStr">
        <is>
          <t>VÄSTERNORRLANDS LÄN</t>
        </is>
      </c>
      <c r="E9264" t="inlineStr">
        <is>
          <t>SOLLEFTEÅ</t>
        </is>
      </c>
      <c r="F9264" t="inlineStr">
        <is>
          <t>Övriga statliga verk och myndigheter</t>
        </is>
      </c>
      <c r="G9264" t="n">
        <v>0.5</v>
      </c>
      <c r="H9264" t="n">
        <v>0</v>
      </c>
      <c r="I9264" t="n">
        <v>0</v>
      </c>
      <c r="J9264" t="n">
        <v>0</v>
      </c>
      <c r="K9264" t="n">
        <v>0</v>
      </c>
      <c r="L9264" t="n">
        <v>0</v>
      </c>
      <c r="M9264" t="n">
        <v>0</v>
      </c>
      <c r="N9264" t="n">
        <v>0</v>
      </c>
      <c r="O9264" t="n">
        <v>0</v>
      </c>
      <c r="P9264" t="n">
        <v>0</v>
      </c>
      <c r="Q9264" t="n">
        <v>0</v>
      </c>
      <c r="R9264" s="2" t="inlineStr"/>
    </row>
    <row r="9265" ht="15" customHeight="1">
      <c r="A9265" t="inlineStr">
        <is>
          <t>A 61232-2025</t>
        </is>
      </c>
      <c r="B9265" s="1" t="n">
        <v>46000.63325231482</v>
      </c>
      <c r="C9265" s="1" t="n">
        <v>46093</v>
      </c>
      <c r="D9265" t="inlineStr">
        <is>
          <t>VÄSTERNORRLANDS LÄN</t>
        </is>
      </c>
      <c r="E9265" t="inlineStr">
        <is>
          <t>ÖRNSKÖLDSVIK</t>
        </is>
      </c>
      <c r="G9265" t="n">
        <v>1.3</v>
      </c>
      <c r="H9265" t="n">
        <v>0</v>
      </c>
      <c r="I9265" t="n">
        <v>0</v>
      </c>
      <c r="J9265" t="n">
        <v>0</v>
      </c>
      <c r="K9265" t="n">
        <v>0</v>
      </c>
      <c r="L9265" t="n">
        <v>0</v>
      </c>
      <c r="M9265" t="n">
        <v>0</v>
      </c>
      <c r="N9265" t="n">
        <v>0</v>
      </c>
      <c r="O9265" t="n">
        <v>0</v>
      </c>
      <c r="P9265" t="n">
        <v>0</v>
      </c>
      <c r="Q9265" t="n">
        <v>0</v>
      </c>
      <c r="R9265" s="2" t="inlineStr"/>
    </row>
    <row r="9266" ht="15" customHeight="1">
      <c r="A9266" t="inlineStr">
        <is>
          <t>A 29170-2024</t>
        </is>
      </c>
      <c r="B9266" s="1" t="n">
        <v>45482</v>
      </c>
      <c r="C9266" s="1" t="n">
        <v>46093</v>
      </c>
      <c r="D9266" t="inlineStr">
        <is>
          <t>VÄSTERNORRLANDS LÄN</t>
        </is>
      </c>
      <c r="E9266" t="inlineStr">
        <is>
          <t>ÖRNSKÖLDSVIK</t>
        </is>
      </c>
      <c r="G9266" t="n">
        <v>1.2</v>
      </c>
      <c r="H9266" t="n">
        <v>0</v>
      </c>
      <c r="I9266" t="n">
        <v>0</v>
      </c>
      <c r="J9266" t="n">
        <v>0</v>
      </c>
      <c r="K9266" t="n">
        <v>0</v>
      </c>
      <c r="L9266" t="n">
        <v>0</v>
      </c>
      <c r="M9266" t="n">
        <v>0</v>
      </c>
      <c r="N9266" t="n">
        <v>0</v>
      </c>
      <c r="O9266" t="n">
        <v>0</v>
      </c>
      <c r="P9266" t="n">
        <v>0</v>
      </c>
      <c r="Q9266" t="n">
        <v>0</v>
      </c>
      <c r="R9266" s="2" t="inlineStr"/>
    </row>
    <row r="9267" ht="15" customHeight="1">
      <c r="A9267" t="inlineStr">
        <is>
          <t>A 46992-2024</t>
        </is>
      </c>
      <c r="B9267" s="1" t="n">
        <v>45586.36938657407</v>
      </c>
      <c r="C9267" s="1" t="n">
        <v>46093</v>
      </c>
      <c r="D9267" t="inlineStr">
        <is>
          <t>VÄSTERNORRLANDS LÄN</t>
        </is>
      </c>
      <c r="E9267" t="inlineStr">
        <is>
          <t>ÖRNSKÖLDSVIK</t>
        </is>
      </c>
      <c r="G9267" t="n">
        <v>2.8</v>
      </c>
      <c r="H9267" t="n">
        <v>0</v>
      </c>
      <c r="I9267" t="n">
        <v>0</v>
      </c>
      <c r="J9267" t="n">
        <v>0</v>
      </c>
      <c r="K9267" t="n">
        <v>0</v>
      </c>
      <c r="L9267" t="n">
        <v>0</v>
      </c>
      <c r="M9267" t="n">
        <v>0</v>
      </c>
      <c r="N9267" t="n">
        <v>0</v>
      </c>
      <c r="O9267" t="n">
        <v>0</v>
      </c>
      <c r="P9267" t="n">
        <v>0</v>
      </c>
      <c r="Q9267" t="n">
        <v>0</v>
      </c>
      <c r="R9267" s="2" t="inlineStr"/>
    </row>
    <row r="9268" ht="15" customHeight="1">
      <c r="A9268" t="inlineStr">
        <is>
          <t>A 61055-2025</t>
        </is>
      </c>
      <c r="B9268" s="1" t="n">
        <v>46000.34418981482</v>
      </c>
      <c r="C9268" s="1" t="n">
        <v>46093</v>
      </c>
      <c r="D9268" t="inlineStr">
        <is>
          <t>VÄSTERNORRLANDS LÄN</t>
        </is>
      </c>
      <c r="E9268" t="inlineStr">
        <is>
          <t>TIMRÅ</t>
        </is>
      </c>
      <c r="F9268" t="inlineStr">
        <is>
          <t>SCA</t>
        </is>
      </c>
      <c r="G9268" t="n">
        <v>0.7</v>
      </c>
      <c r="H9268" t="n">
        <v>0</v>
      </c>
      <c r="I9268" t="n">
        <v>0</v>
      </c>
      <c r="J9268" t="n">
        <v>0</v>
      </c>
      <c r="K9268" t="n">
        <v>0</v>
      </c>
      <c r="L9268" t="n">
        <v>0</v>
      </c>
      <c r="M9268" t="n">
        <v>0</v>
      </c>
      <c r="N9268" t="n">
        <v>0</v>
      </c>
      <c r="O9268" t="n">
        <v>0</v>
      </c>
      <c r="P9268" t="n">
        <v>0</v>
      </c>
      <c r="Q9268" t="n">
        <v>0</v>
      </c>
      <c r="R9268" s="2" t="inlineStr"/>
    </row>
    <row r="9269" ht="15" customHeight="1">
      <c r="A9269" t="inlineStr">
        <is>
          <t>A 27693-2023</t>
        </is>
      </c>
      <c r="B9269" s="1" t="n">
        <v>45097.9384375</v>
      </c>
      <c r="C9269" s="1" t="n">
        <v>46093</v>
      </c>
      <c r="D9269" t="inlineStr">
        <is>
          <t>VÄSTERNORRLANDS LÄN</t>
        </is>
      </c>
      <c r="E9269" t="inlineStr">
        <is>
          <t>SUNDSVALL</t>
        </is>
      </c>
      <c r="F9269" t="inlineStr">
        <is>
          <t>SCA</t>
        </is>
      </c>
      <c r="G9269" t="n">
        <v>6.2</v>
      </c>
      <c r="H9269" t="n">
        <v>0</v>
      </c>
      <c r="I9269" t="n">
        <v>0</v>
      </c>
      <c r="J9269" t="n">
        <v>0</v>
      </c>
      <c r="K9269" t="n">
        <v>0</v>
      </c>
      <c r="L9269" t="n">
        <v>0</v>
      </c>
      <c r="M9269" t="n">
        <v>0</v>
      </c>
      <c r="N9269" t="n">
        <v>0</v>
      </c>
      <c r="O9269" t="n">
        <v>0</v>
      </c>
      <c r="P9269" t="n">
        <v>0</v>
      </c>
      <c r="Q9269" t="n">
        <v>0</v>
      </c>
      <c r="R9269" s="2" t="inlineStr"/>
    </row>
    <row r="9270" ht="15" customHeight="1">
      <c r="A9270" t="inlineStr">
        <is>
          <t>A 34612-2024</t>
        </is>
      </c>
      <c r="B9270" s="1" t="n">
        <v>45526</v>
      </c>
      <c r="C9270" s="1" t="n">
        <v>46093</v>
      </c>
      <c r="D9270" t="inlineStr">
        <is>
          <t>VÄSTERNORRLANDS LÄN</t>
        </is>
      </c>
      <c r="E9270" t="inlineStr">
        <is>
          <t>HÄRNÖSAND</t>
        </is>
      </c>
      <c r="G9270" t="n">
        <v>2</v>
      </c>
      <c r="H9270" t="n">
        <v>0</v>
      </c>
      <c r="I9270" t="n">
        <v>0</v>
      </c>
      <c r="J9270" t="n">
        <v>0</v>
      </c>
      <c r="K9270" t="n">
        <v>0</v>
      </c>
      <c r="L9270" t="n">
        <v>0</v>
      </c>
      <c r="M9270" t="n">
        <v>0</v>
      </c>
      <c r="N9270" t="n">
        <v>0</v>
      </c>
      <c r="O9270" t="n">
        <v>0</v>
      </c>
      <c r="P9270" t="n">
        <v>0</v>
      </c>
      <c r="Q9270" t="n">
        <v>0</v>
      </c>
      <c r="R9270" s="2" t="inlineStr"/>
    </row>
    <row r="9271" ht="15" customHeight="1">
      <c r="A9271" t="inlineStr">
        <is>
          <t>A 2075-2025</t>
        </is>
      </c>
      <c r="B9271" s="1" t="n">
        <v>45672</v>
      </c>
      <c r="C9271" s="1" t="n">
        <v>46093</v>
      </c>
      <c r="D9271" t="inlineStr">
        <is>
          <t>VÄSTERNORRLANDS LÄN</t>
        </is>
      </c>
      <c r="E9271" t="inlineStr">
        <is>
          <t>KRAMFORS</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2092-2025</t>
        </is>
      </c>
      <c r="B9272" s="1" t="n">
        <v>45672.59861111111</v>
      </c>
      <c r="C9272" s="1" t="n">
        <v>46093</v>
      </c>
      <c r="D9272" t="inlineStr">
        <is>
          <t>VÄSTERNORRLANDS LÄN</t>
        </is>
      </c>
      <c r="E9272" t="inlineStr">
        <is>
          <t>KRAMFORS</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12743-2023</t>
        </is>
      </c>
      <c r="B9273" s="1" t="n">
        <v>45000.94775462963</v>
      </c>
      <c r="C9273" s="1" t="n">
        <v>46093</v>
      </c>
      <c r="D9273" t="inlineStr">
        <is>
          <t>VÄSTERNORRLANDS LÄN</t>
        </is>
      </c>
      <c r="E9273" t="inlineStr">
        <is>
          <t>SUNDSVALL</t>
        </is>
      </c>
      <c r="F9273" t="inlineStr">
        <is>
          <t>SCA</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26490-2024</t>
        </is>
      </c>
      <c r="B9274" s="1" t="n">
        <v>45469</v>
      </c>
      <c r="C9274" s="1" t="n">
        <v>46093</v>
      </c>
      <c r="D9274" t="inlineStr">
        <is>
          <t>VÄSTERNORRLANDS LÄN</t>
        </is>
      </c>
      <c r="E9274" t="inlineStr">
        <is>
          <t>ÅNGE</t>
        </is>
      </c>
      <c r="F9274" t="inlineStr">
        <is>
          <t>Sveaskog</t>
        </is>
      </c>
      <c r="G9274" t="n">
        <v>0.4</v>
      </c>
      <c r="H9274" t="n">
        <v>0</v>
      </c>
      <c r="I9274" t="n">
        <v>0</v>
      </c>
      <c r="J9274" t="n">
        <v>0</v>
      </c>
      <c r="K9274" t="n">
        <v>0</v>
      </c>
      <c r="L9274" t="n">
        <v>0</v>
      </c>
      <c r="M9274" t="n">
        <v>0</v>
      </c>
      <c r="N9274" t="n">
        <v>0</v>
      </c>
      <c r="O9274" t="n">
        <v>0</v>
      </c>
      <c r="P9274" t="n">
        <v>0</v>
      </c>
      <c r="Q9274" t="n">
        <v>0</v>
      </c>
      <c r="R9274" s="2" t="inlineStr"/>
    </row>
    <row r="9275" ht="15" customHeight="1">
      <c r="A9275" t="inlineStr">
        <is>
          <t>A 61192-2025</t>
        </is>
      </c>
      <c r="B9275" s="1" t="n">
        <v>46000.60041666667</v>
      </c>
      <c r="C9275" s="1" t="n">
        <v>46093</v>
      </c>
      <c r="D9275" t="inlineStr">
        <is>
          <t>VÄSTERNORRLANDS LÄN</t>
        </is>
      </c>
      <c r="E9275" t="inlineStr">
        <is>
          <t>HÄRNÖSAND</t>
        </is>
      </c>
      <c r="G9275" t="n">
        <v>1.7</v>
      </c>
      <c r="H9275" t="n">
        <v>0</v>
      </c>
      <c r="I9275" t="n">
        <v>0</v>
      </c>
      <c r="J9275" t="n">
        <v>0</v>
      </c>
      <c r="K9275" t="n">
        <v>0</v>
      </c>
      <c r="L9275" t="n">
        <v>0</v>
      </c>
      <c r="M9275" t="n">
        <v>0</v>
      </c>
      <c r="N9275" t="n">
        <v>0</v>
      </c>
      <c r="O9275" t="n">
        <v>0</v>
      </c>
      <c r="P9275" t="n">
        <v>0</v>
      </c>
      <c r="Q9275" t="n">
        <v>0</v>
      </c>
      <c r="R9275" s="2" t="inlineStr"/>
    </row>
    <row r="9276" ht="15" customHeight="1">
      <c r="A9276" t="inlineStr">
        <is>
          <t>A 36678-2024</t>
        </is>
      </c>
      <c r="B9276" s="1" t="n">
        <v>45537.6525</v>
      </c>
      <c r="C9276" s="1" t="n">
        <v>46093</v>
      </c>
      <c r="D9276" t="inlineStr">
        <is>
          <t>VÄSTERNORRLANDS LÄN</t>
        </is>
      </c>
      <c r="E9276" t="inlineStr">
        <is>
          <t>ÖRNSKÖLDSVIK</t>
        </is>
      </c>
      <c r="F9276" t="inlineStr">
        <is>
          <t>Holmen skog AB</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7003-2023</t>
        </is>
      </c>
      <c r="B9277" s="1" t="n">
        <v>44967.92920138889</v>
      </c>
      <c r="C9277" s="1" t="n">
        <v>46093</v>
      </c>
      <c r="D9277" t="inlineStr">
        <is>
          <t>VÄSTERNORRLANDS LÄN</t>
        </is>
      </c>
      <c r="E9277" t="inlineStr">
        <is>
          <t>SUNDSVALL</t>
        </is>
      </c>
      <c r="G9277" t="n">
        <v>2.3</v>
      </c>
      <c r="H9277" t="n">
        <v>0</v>
      </c>
      <c r="I9277" t="n">
        <v>0</v>
      </c>
      <c r="J9277" t="n">
        <v>0</v>
      </c>
      <c r="K9277" t="n">
        <v>0</v>
      </c>
      <c r="L9277" t="n">
        <v>0</v>
      </c>
      <c r="M9277" t="n">
        <v>0</v>
      </c>
      <c r="N9277" t="n">
        <v>0</v>
      </c>
      <c r="O9277" t="n">
        <v>0</v>
      </c>
      <c r="P9277" t="n">
        <v>0</v>
      </c>
      <c r="Q9277" t="n">
        <v>0</v>
      </c>
      <c r="R9277" s="2" t="inlineStr"/>
    </row>
    <row r="9278" ht="15" customHeight="1">
      <c r="A9278" t="inlineStr">
        <is>
          <t>A 17113-2023</t>
        </is>
      </c>
      <c r="B9278" s="1" t="n">
        <v>45034</v>
      </c>
      <c r="C9278" s="1" t="n">
        <v>46093</v>
      </c>
      <c r="D9278" t="inlineStr">
        <is>
          <t>VÄSTERNORRLANDS LÄN</t>
        </is>
      </c>
      <c r="E9278" t="inlineStr">
        <is>
          <t>KRAMFORS</t>
        </is>
      </c>
      <c r="G9278" t="n">
        <v>2.3</v>
      </c>
      <c r="H9278" t="n">
        <v>0</v>
      </c>
      <c r="I9278" t="n">
        <v>0</v>
      </c>
      <c r="J9278" t="n">
        <v>0</v>
      </c>
      <c r="K9278" t="n">
        <v>0</v>
      </c>
      <c r="L9278" t="n">
        <v>0</v>
      </c>
      <c r="M9278" t="n">
        <v>0</v>
      </c>
      <c r="N9278" t="n">
        <v>0</v>
      </c>
      <c r="O9278" t="n">
        <v>0</v>
      </c>
      <c r="P9278" t="n">
        <v>0</v>
      </c>
      <c r="Q9278" t="n">
        <v>0</v>
      </c>
      <c r="R9278" s="2" t="inlineStr"/>
    </row>
    <row r="9279" ht="15" customHeight="1">
      <c r="A9279" t="inlineStr">
        <is>
          <t>A 14201-2023</t>
        </is>
      </c>
      <c r="B9279" s="1" t="n">
        <v>45009</v>
      </c>
      <c r="C9279" s="1" t="n">
        <v>46093</v>
      </c>
      <c r="D9279" t="inlineStr">
        <is>
          <t>VÄSTERNORRLANDS LÄN</t>
        </is>
      </c>
      <c r="E9279" t="inlineStr">
        <is>
          <t>ÖRNSKÖLDSVIK</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32754-2024</t>
        </is>
      </c>
      <c r="B9280" s="1" t="n">
        <v>45516.46685185185</v>
      </c>
      <c r="C9280" s="1" t="n">
        <v>46093</v>
      </c>
      <c r="D9280" t="inlineStr">
        <is>
          <t>VÄSTERNORRLANDS LÄN</t>
        </is>
      </c>
      <c r="E9280" t="inlineStr">
        <is>
          <t>SOLLEFTEÅ</t>
        </is>
      </c>
      <c r="F9280" t="inlineStr">
        <is>
          <t>Holmen skog AB</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60901-2025</t>
        </is>
      </c>
      <c r="B9281" s="1" t="n">
        <v>45999</v>
      </c>
      <c r="C9281" s="1" t="n">
        <v>46093</v>
      </c>
      <c r="D9281" t="inlineStr">
        <is>
          <t>VÄSTERNORRLANDS LÄN</t>
        </is>
      </c>
      <c r="E9281" t="inlineStr">
        <is>
          <t>ÖRNSKÖLDSVIK</t>
        </is>
      </c>
      <c r="F9281" t="inlineStr">
        <is>
          <t>Holmen skog AB</t>
        </is>
      </c>
      <c r="G9281" t="n">
        <v>1.2</v>
      </c>
      <c r="H9281" t="n">
        <v>0</v>
      </c>
      <c r="I9281" t="n">
        <v>0</v>
      </c>
      <c r="J9281" t="n">
        <v>0</v>
      </c>
      <c r="K9281" t="n">
        <v>0</v>
      </c>
      <c r="L9281" t="n">
        <v>0</v>
      </c>
      <c r="M9281" t="n">
        <v>0</v>
      </c>
      <c r="N9281" t="n">
        <v>0</v>
      </c>
      <c r="O9281" t="n">
        <v>0</v>
      </c>
      <c r="P9281" t="n">
        <v>0</v>
      </c>
      <c r="Q9281" t="n">
        <v>0</v>
      </c>
      <c r="R9281" s="2" t="inlineStr"/>
    </row>
    <row r="9282" ht="15" customHeight="1">
      <c r="A9282" t="inlineStr">
        <is>
          <t>A 61189-2025</t>
        </is>
      </c>
      <c r="B9282" s="1" t="n">
        <v>46000.58881944444</v>
      </c>
      <c r="C9282" s="1" t="n">
        <v>46093</v>
      </c>
      <c r="D9282" t="inlineStr">
        <is>
          <t>VÄSTERNORRLANDS LÄN</t>
        </is>
      </c>
      <c r="E9282" t="inlineStr">
        <is>
          <t>HÄRNÖSAND</t>
        </is>
      </c>
      <c r="G9282" t="n">
        <v>6.3</v>
      </c>
      <c r="H9282" t="n">
        <v>0</v>
      </c>
      <c r="I9282" t="n">
        <v>0</v>
      </c>
      <c r="J9282" t="n">
        <v>0</v>
      </c>
      <c r="K9282" t="n">
        <v>0</v>
      </c>
      <c r="L9282" t="n">
        <v>0</v>
      </c>
      <c r="M9282" t="n">
        <v>0</v>
      </c>
      <c r="N9282" t="n">
        <v>0</v>
      </c>
      <c r="O9282" t="n">
        <v>0</v>
      </c>
      <c r="P9282" t="n">
        <v>0</v>
      </c>
      <c r="Q9282" t="n">
        <v>0</v>
      </c>
      <c r="R9282" s="2" t="inlineStr"/>
    </row>
    <row r="9283" ht="15" customHeight="1">
      <c r="A9283" t="inlineStr">
        <is>
          <t>A 33479-2023</t>
        </is>
      </c>
      <c r="B9283" s="1" t="n">
        <v>45131</v>
      </c>
      <c r="C9283" s="1" t="n">
        <v>46093</v>
      </c>
      <c r="D9283" t="inlineStr">
        <is>
          <t>VÄSTERNORRLANDS LÄN</t>
        </is>
      </c>
      <c r="E9283" t="inlineStr">
        <is>
          <t>ÖRNSKÖLDSVIK</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61242-2025</t>
        </is>
      </c>
      <c r="B9284" s="1" t="n">
        <v>46000</v>
      </c>
      <c r="C9284" s="1" t="n">
        <v>46093</v>
      </c>
      <c r="D9284" t="inlineStr">
        <is>
          <t>VÄSTERNORRLANDS LÄN</t>
        </is>
      </c>
      <c r="E9284" t="inlineStr">
        <is>
          <t>SOLLEFTEÅ</t>
        </is>
      </c>
      <c r="G9284" t="n">
        <v>3</v>
      </c>
      <c r="H9284" t="n">
        <v>0</v>
      </c>
      <c r="I9284" t="n">
        <v>0</v>
      </c>
      <c r="J9284" t="n">
        <v>0</v>
      </c>
      <c r="K9284" t="n">
        <v>0</v>
      </c>
      <c r="L9284" t="n">
        <v>0</v>
      </c>
      <c r="M9284" t="n">
        <v>0</v>
      </c>
      <c r="N9284" t="n">
        <v>0</v>
      </c>
      <c r="O9284" t="n">
        <v>0</v>
      </c>
      <c r="P9284" t="n">
        <v>0</v>
      </c>
      <c r="Q9284" t="n">
        <v>0</v>
      </c>
      <c r="R9284" s="2" t="inlineStr"/>
    </row>
    <row r="9285" ht="15" customHeight="1">
      <c r="A9285" t="inlineStr">
        <is>
          <t>A 580-2023</t>
        </is>
      </c>
      <c r="B9285" s="1" t="n">
        <v>44930</v>
      </c>
      <c r="C9285" s="1" t="n">
        <v>46093</v>
      </c>
      <c r="D9285" t="inlineStr">
        <is>
          <t>VÄSTERNORRLANDS LÄN</t>
        </is>
      </c>
      <c r="E9285" t="inlineStr">
        <is>
          <t>ÖRNSKÖLDSVIK</t>
        </is>
      </c>
      <c r="F9285" t="inlineStr">
        <is>
          <t>Kommuner</t>
        </is>
      </c>
      <c r="G9285" t="n">
        <v>5.9</v>
      </c>
      <c r="H9285" t="n">
        <v>0</v>
      </c>
      <c r="I9285" t="n">
        <v>0</v>
      </c>
      <c r="J9285" t="n">
        <v>0</v>
      </c>
      <c r="K9285" t="n">
        <v>0</v>
      </c>
      <c r="L9285" t="n">
        <v>0</v>
      </c>
      <c r="M9285" t="n">
        <v>0</v>
      </c>
      <c r="N9285" t="n">
        <v>0</v>
      </c>
      <c r="O9285" t="n">
        <v>0</v>
      </c>
      <c r="P9285" t="n">
        <v>0</v>
      </c>
      <c r="Q9285" t="n">
        <v>0</v>
      </c>
      <c r="R9285" s="2" t="inlineStr"/>
    </row>
    <row r="9286" ht="15" customHeight="1">
      <c r="A9286" t="inlineStr">
        <is>
          <t>A 61308-2025</t>
        </is>
      </c>
      <c r="B9286" s="1" t="n">
        <v>46000.81952546296</v>
      </c>
      <c r="C9286" s="1" t="n">
        <v>46093</v>
      </c>
      <c r="D9286" t="inlineStr">
        <is>
          <t>VÄSTERNORRLANDS LÄN</t>
        </is>
      </c>
      <c r="E9286" t="inlineStr">
        <is>
          <t>ÅNGE</t>
        </is>
      </c>
      <c r="G9286" t="n">
        <v>1.2</v>
      </c>
      <c r="H9286" t="n">
        <v>0</v>
      </c>
      <c r="I9286" t="n">
        <v>0</v>
      </c>
      <c r="J9286" t="n">
        <v>0</v>
      </c>
      <c r="K9286" t="n">
        <v>0</v>
      </c>
      <c r="L9286" t="n">
        <v>0</v>
      </c>
      <c r="M9286" t="n">
        <v>0</v>
      </c>
      <c r="N9286" t="n">
        <v>0</v>
      </c>
      <c r="O9286" t="n">
        <v>0</v>
      </c>
      <c r="P9286" t="n">
        <v>0</v>
      </c>
      <c r="Q9286" t="n">
        <v>0</v>
      </c>
      <c r="R9286" s="2" t="inlineStr"/>
    </row>
    <row r="9287" ht="15" customHeight="1">
      <c r="A9287" t="inlineStr">
        <is>
          <t>A 61317-2025</t>
        </is>
      </c>
      <c r="B9287" s="1" t="n">
        <v>46000.94012731482</v>
      </c>
      <c r="C9287" s="1" t="n">
        <v>46093</v>
      </c>
      <c r="D9287" t="inlineStr">
        <is>
          <t>VÄSTERNORRLANDS LÄN</t>
        </is>
      </c>
      <c r="E9287" t="inlineStr">
        <is>
          <t>KRAMFORS</t>
        </is>
      </c>
      <c r="G9287" t="n">
        <v>3.1</v>
      </c>
      <c r="H9287" t="n">
        <v>0</v>
      </c>
      <c r="I9287" t="n">
        <v>0</v>
      </c>
      <c r="J9287" t="n">
        <v>0</v>
      </c>
      <c r="K9287" t="n">
        <v>0</v>
      </c>
      <c r="L9287" t="n">
        <v>0</v>
      </c>
      <c r="M9287" t="n">
        <v>0</v>
      </c>
      <c r="N9287" t="n">
        <v>0</v>
      </c>
      <c r="O9287" t="n">
        <v>0</v>
      </c>
      <c r="P9287" t="n">
        <v>0</v>
      </c>
      <c r="Q9287" t="n">
        <v>0</v>
      </c>
      <c r="R9287" s="2" t="inlineStr"/>
    </row>
    <row r="9288" ht="15" customHeight="1">
      <c r="A9288" t="inlineStr">
        <is>
          <t>A 61321-2025</t>
        </is>
      </c>
      <c r="B9288" s="1" t="n">
        <v>46000.96894675926</v>
      </c>
      <c r="C9288" s="1" t="n">
        <v>46093</v>
      </c>
      <c r="D9288" t="inlineStr">
        <is>
          <t>VÄSTERNORRLANDS LÄN</t>
        </is>
      </c>
      <c r="E9288" t="inlineStr">
        <is>
          <t>ÅNGE</t>
        </is>
      </c>
      <c r="G9288" t="n">
        <v>0.5</v>
      </c>
      <c r="H9288" t="n">
        <v>0</v>
      </c>
      <c r="I9288" t="n">
        <v>0</v>
      </c>
      <c r="J9288" t="n">
        <v>0</v>
      </c>
      <c r="K9288" t="n">
        <v>0</v>
      </c>
      <c r="L9288" t="n">
        <v>0</v>
      </c>
      <c r="M9288" t="n">
        <v>0</v>
      </c>
      <c r="N9288" t="n">
        <v>0</v>
      </c>
      <c r="O9288" t="n">
        <v>0</v>
      </c>
      <c r="P9288" t="n">
        <v>0</v>
      </c>
      <c r="Q9288" t="n">
        <v>0</v>
      </c>
      <c r="R9288" s="2" t="inlineStr"/>
    </row>
    <row r="9289" ht="15" customHeight="1">
      <c r="A9289" t="inlineStr">
        <is>
          <t>A 61349-2025</t>
        </is>
      </c>
      <c r="B9289" s="1" t="n">
        <v>46001.3866087963</v>
      </c>
      <c r="C9289" s="1" t="n">
        <v>46093</v>
      </c>
      <c r="D9289" t="inlineStr">
        <is>
          <t>VÄSTERNORRLANDS LÄN</t>
        </is>
      </c>
      <c r="E9289" t="inlineStr">
        <is>
          <t>ÅNGE</t>
        </is>
      </c>
      <c r="F9289" t="inlineStr">
        <is>
          <t>SCA</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61376-2025</t>
        </is>
      </c>
      <c r="B9290" s="1" t="n">
        <v>46001.44199074074</v>
      </c>
      <c r="C9290" s="1" t="n">
        <v>46093</v>
      </c>
      <c r="D9290" t="inlineStr">
        <is>
          <t>VÄSTERNORRLANDS LÄN</t>
        </is>
      </c>
      <c r="E9290" t="inlineStr">
        <is>
          <t>SUNDSVALL</t>
        </is>
      </c>
      <c r="G9290" t="n">
        <v>0.6</v>
      </c>
      <c r="H9290" t="n">
        <v>0</v>
      </c>
      <c r="I9290" t="n">
        <v>0</v>
      </c>
      <c r="J9290" t="n">
        <v>0</v>
      </c>
      <c r="K9290" t="n">
        <v>0</v>
      </c>
      <c r="L9290" t="n">
        <v>0</v>
      </c>
      <c r="M9290" t="n">
        <v>0</v>
      </c>
      <c r="N9290" t="n">
        <v>0</v>
      </c>
      <c r="O9290" t="n">
        <v>0</v>
      </c>
      <c r="P9290" t="n">
        <v>0</v>
      </c>
      <c r="Q9290" t="n">
        <v>0</v>
      </c>
      <c r="R9290" s="2" t="inlineStr"/>
    </row>
    <row r="9291" ht="15" customHeight="1">
      <c r="A9291" t="inlineStr">
        <is>
          <t>A 61379-2025</t>
        </is>
      </c>
      <c r="B9291" s="1" t="n">
        <v>46001.44366898148</v>
      </c>
      <c r="C9291" s="1" t="n">
        <v>46093</v>
      </c>
      <c r="D9291" t="inlineStr">
        <is>
          <t>VÄSTERNORRLANDS LÄN</t>
        </is>
      </c>
      <c r="E9291" t="inlineStr">
        <is>
          <t>SUNDSVALL</t>
        </is>
      </c>
      <c r="G9291" t="n">
        <v>5.7</v>
      </c>
      <c r="H9291" t="n">
        <v>0</v>
      </c>
      <c r="I9291" t="n">
        <v>0</v>
      </c>
      <c r="J9291" t="n">
        <v>0</v>
      </c>
      <c r="K9291" t="n">
        <v>0</v>
      </c>
      <c r="L9291" t="n">
        <v>0</v>
      </c>
      <c r="M9291" t="n">
        <v>0</v>
      </c>
      <c r="N9291" t="n">
        <v>0</v>
      </c>
      <c r="O9291" t="n">
        <v>0</v>
      </c>
      <c r="P9291" t="n">
        <v>0</v>
      </c>
      <c r="Q9291" t="n">
        <v>0</v>
      </c>
      <c r="R9291" s="2" t="inlineStr"/>
    </row>
    <row r="9292" ht="15" customHeight="1">
      <c r="A9292" t="inlineStr">
        <is>
          <t>A 1416-2023</t>
        </is>
      </c>
      <c r="B9292" s="1" t="n">
        <v>44936.92666666667</v>
      </c>
      <c r="C9292" s="1" t="n">
        <v>46093</v>
      </c>
      <c r="D9292" t="inlineStr">
        <is>
          <t>VÄSTERNORRLANDS LÄN</t>
        </is>
      </c>
      <c r="E9292" t="inlineStr">
        <is>
          <t>TIMRÅ</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61383-2025</t>
        </is>
      </c>
      <c r="B9293" s="1" t="n">
        <v>46001.44770833333</v>
      </c>
      <c r="C9293" s="1" t="n">
        <v>46093</v>
      </c>
      <c r="D9293" t="inlineStr">
        <is>
          <t>VÄSTERNORRLANDS LÄN</t>
        </is>
      </c>
      <c r="E9293" t="inlineStr">
        <is>
          <t>SUNDSVALL</t>
        </is>
      </c>
      <c r="G9293" t="n">
        <v>3.2</v>
      </c>
      <c r="H9293" t="n">
        <v>0</v>
      </c>
      <c r="I9293" t="n">
        <v>0</v>
      </c>
      <c r="J9293" t="n">
        <v>0</v>
      </c>
      <c r="K9293" t="n">
        <v>0</v>
      </c>
      <c r="L9293" t="n">
        <v>0</v>
      </c>
      <c r="M9293" t="n">
        <v>0</v>
      </c>
      <c r="N9293" t="n">
        <v>0</v>
      </c>
      <c r="O9293" t="n">
        <v>0</v>
      </c>
      <c r="P9293" t="n">
        <v>0</v>
      </c>
      <c r="Q9293" t="n">
        <v>0</v>
      </c>
      <c r="R9293" s="2" t="inlineStr"/>
    </row>
    <row r="9294" ht="15" customHeight="1">
      <c r="A9294" t="inlineStr">
        <is>
          <t>A 51050-2024</t>
        </is>
      </c>
      <c r="B9294" s="1" t="n">
        <v>45603.4465625</v>
      </c>
      <c r="C9294" s="1" t="n">
        <v>46093</v>
      </c>
      <c r="D9294" t="inlineStr">
        <is>
          <t>VÄSTERNORRLANDS LÄN</t>
        </is>
      </c>
      <c r="E9294" t="inlineStr">
        <is>
          <t>SUNDSVALL</t>
        </is>
      </c>
      <c r="F9294" t="inlineStr">
        <is>
          <t>SCA</t>
        </is>
      </c>
      <c r="G9294" t="n">
        <v>2.2</v>
      </c>
      <c r="H9294" t="n">
        <v>0</v>
      </c>
      <c r="I9294" t="n">
        <v>0</v>
      </c>
      <c r="J9294" t="n">
        <v>0</v>
      </c>
      <c r="K9294" t="n">
        <v>0</v>
      </c>
      <c r="L9294" t="n">
        <v>0</v>
      </c>
      <c r="M9294" t="n">
        <v>0</v>
      </c>
      <c r="N9294" t="n">
        <v>0</v>
      </c>
      <c r="O9294" t="n">
        <v>0</v>
      </c>
      <c r="P9294" t="n">
        <v>0</v>
      </c>
      <c r="Q9294" t="n">
        <v>0</v>
      </c>
      <c r="R9294" s="2" t="inlineStr"/>
    </row>
    <row r="9295" ht="15" customHeight="1">
      <c r="A9295" t="inlineStr">
        <is>
          <t>A 31440-2024</t>
        </is>
      </c>
      <c r="B9295" s="1" t="n">
        <v>45505</v>
      </c>
      <c r="C9295" s="1" t="n">
        <v>46093</v>
      </c>
      <c r="D9295" t="inlineStr">
        <is>
          <t>VÄSTERNORRLANDS LÄN</t>
        </is>
      </c>
      <c r="E9295" t="inlineStr">
        <is>
          <t>SUNDSVALL</t>
        </is>
      </c>
      <c r="G9295" t="n">
        <v>3.9</v>
      </c>
      <c r="H9295" t="n">
        <v>0</v>
      </c>
      <c r="I9295" t="n">
        <v>0</v>
      </c>
      <c r="J9295" t="n">
        <v>0</v>
      </c>
      <c r="K9295" t="n">
        <v>0</v>
      </c>
      <c r="L9295" t="n">
        <v>0</v>
      </c>
      <c r="M9295" t="n">
        <v>0</v>
      </c>
      <c r="N9295" t="n">
        <v>0</v>
      </c>
      <c r="O9295" t="n">
        <v>0</v>
      </c>
      <c r="P9295" t="n">
        <v>0</v>
      </c>
      <c r="Q9295" t="n">
        <v>0</v>
      </c>
      <c r="R9295" s="2" t="inlineStr"/>
    </row>
    <row r="9296" ht="15" customHeight="1">
      <c r="A9296" t="inlineStr">
        <is>
          <t>A 52982-2024</t>
        </is>
      </c>
      <c r="B9296" s="1" t="n">
        <v>45611.35518518519</v>
      </c>
      <c r="C9296" s="1" t="n">
        <v>46093</v>
      </c>
      <c r="D9296" t="inlineStr">
        <is>
          <t>VÄSTERNORRLANDS LÄN</t>
        </is>
      </c>
      <c r="E9296" t="inlineStr">
        <is>
          <t>ÖRNSKÖLDSVIK</t>
        </is>
      </c>
      <c r="F9296" t="inlineStr">
        <is>
          <t>Holmen skog AB</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61588-2025</t>
        </is>
      </c>
      <c r="B9297" s="1" t="n">
        <v>46002.34503472222</v>
      </c>
      <c r="C9297" s="1" t="n">
        <v>46093</v>
      </c>
      <c r="D9297" t="inlineStr">
        <is>
          <t>VÄSTERNORRLANDS LÄN</t>
        </is>
      </c>
      <c r="E9297" t="inlineStr">
        <is>
          <t>SOLLEFTEÅ</t>
        </is>
      </c>
      <c r="F9297" t="inlineStr">
        <is>
          <t>SCA</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33917-2024</t>
        </is>
      </c>
      <c r="B9298" s="1" t="n">
        <v>45523</v>
      </c>
      <c r="C9298" s="1" t="n">
        <v>46093</v>
      </c>
      <c r="D9298" t="inlineStr">
        <is>
          <t>VÄSTERNORRLANDS LÄN</t>
        </is>
      </c>
      <c r="E9298" t="inlineStr">
        <is>
          <t>ÖRNSKÖLDSVIK</t>
        </is>
      </c>
      <c r="F9298" t="inlineStr">
        <is>
          <t>Holmen skog AB</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60430-2025</t>
        </is>
      </c>
      <c r="B9299" s="1" t="n">
        <v>45995.47020833333</v>
      </c>
      <c r="C9299" s="1" t="n">
        <v>46093</v>
      </c>
      <c r="D9299" t="inlineStr">
        <is>
          <t>VÄSTERNORRLANDS LÄN</t>
        </is>
      </c>
      <c r="E9299" t="inlineStr">
        <is>
          <t>SOLLEFTEÅ</t>
        </is>
      </c>
      <c r="G9299" t="n">
        <v>8.1</v>
      </c>
      <c r="H9299" t="n">
        <v>0</v>
      </c>
      <c r="I9299" t="n">
        <v>0</v>
      </c>
      <c r="J9299" t="n">
        <v>0</v>
      </c>
      <c r="K9299" t="n">
        <v>0</v>
      </c>
      <c r="L9299" t="n">
        <v>0</v>
      </c>
      <c r="M9299" t="n">
        <v>0</v>
      </c>
      <c r="N9299" t="n">
        <v>0</v>
      </c>
      <c r="O9299" t="n">
        <v>0</v>
      </c>
      <c r="P9299" t="n">
        <v>0</v>
      </c>
      <c r="Q9299" t="n">
        <v>0</v>
      </c>
      <c r="R9299" s="2" t="inlineStr"/>
    </row>
    <row r="9300" ht="15" customHeight="1">
      <c r="A9300" t="inlineStr">
        <is>
          <t>A 41818-2024</t>
        </is>
      </c>
      <c r="B9300" s="1" t="n">
        <v>45561.38613425926</v>
      </c>
      <c r="C9300" s="1" t="n">
        <v>46093</v>
      </c>
      <c r="D9300" t="inlineStr">
        <is>
          <t>VÄSTERNORRLANDS LÄN</t>
        </is>
      </c>
      <c r="E9300" t="inlineStr">
        <is>
          <t>KRAMFORS</t>
        </is>
      </c>
      <c r="G9300" t="n">
        <v>6.7</v>
      </c>
      <c r="H9300" t="n">
        <v>0</v>
      </c>
      <c r="I9300" t="n">
        <v>0</v>
      </c>
      <c r="J9300" t="n">
        <v>0</v>
      </c>
      <c r="K9300" t="n">
        <v>0</v>
      </c>
      <c r="L9300" t="n">
        <v>0</v>
      </c>
      <c r="M9300" t="n">
        <v>0</v>
      </c>
      <c r="N9300" t="n">
        <v>0</v>
      </c>
      <c r="O9300" t="n">
        <v>0</v>
      </c>
      <c r="P9300" t="n">
        <v>0</v>
      </c>
      <c r="Q9300" t="n">
        <v>0</v>
      </c>
      <c r="R9300" s="2" t="inlineStr"/>
    </row>
    <row r="9301" ht="15" customHeight="1">
      <c r="A9301" t="inlineStr">
        <is>
          <t>A 61488-2025</t>
        </is>
      </c>
      <c r="B9301" s="1" t="n">
        <v>46001.63652777778</v>
      </c>
      <c r="C9301" s="1" t="n">
        <v>46093</v>
      </c>
      <c r="D9301" t="inlineStr">
        <is>
          <t>VÄSTERNORRLANDS LÄN</t>
        </is>
      </c>
      <c r="E9301" t="inlineStr">
        <is>
          <t>SOLLEFTEÅ</t>
        </is>
      </c>
      <c r="F9301" t="inlineStr">
        <is>
          <t>SCA</t>
        </is>
      </c>
      <c r="G9301" t="n">
        <v>3.2</v>
      </c>
      <c r="H9301" t="n">
        <v>0</v>
      </c>
      <c r="I9301" t="n">
        <v>0</v>
      </c>
      <c r="J9301" t="n">
        <v>0</v>
      </c>
      <c r="K9301" t="n">
        <v>0</v>
      </c>
      <c r="L9301" t="n">
        <v>0</v>
      </c>
      <c r="M9301" t="n">
        <v>0</v>
      </c>
      <c r="N9301" t="n">
        <v>0</v>
      </c>
      <c r="O9301" t="n">
        <v>0</v>
      </c>
      <c r="P9301" t="n">
        <v>0</v>
      </c>
      <c r="Q9301" t="n">
        <v>0</v>
      </c>
      <c r="R9301" s="2" t="inlineStr"/>
    </row>
    <row r="9302" ht="15" customHeight="1">
      <c r="A9302" t="inlineStr">
        <is>
          <t>A 56966-2024</t>
        </is>
      </c>
      <c r="B9302" s="1" t="n">
        <v>45628.66023148148</v>
      </c>
      <c r="C9302" s="1" t="n">
        <v>46093</v>
      </c>
      <c r="D9302" t="inlineStr">
        <is>
          <t>VÄSTERNORRLANDS LÄN</t>
        </is>
      </c>
      <c r="E9302" t="inlineStr">
        <is>
          <t>ÖRNSKÖLDSVIK</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34760-2024</t>
        </is>
      </c>
      <c r="B9303" s="1" t="n">
        <v>45526</v>
      </c>
      <c r="C9303" s="1" t="n">
        <v>46093</v>
      </c>
      <c r="D9303" t="inlineStr">
        <is>
          <t>VÄSTERNORRLANDS LÄN</t>
        </is>
      </c>
      <c r="E9303" t="inlineStr">
        <is>
          <t>ÖRNSKÖLDSVIK</t>
        </is>
      </c>
      <c r="G9303" t="n">
        <v>1.3</v>
      </c>
      <c r="H9303" t="n">
        <v>0</v>
      </c>
      <c r="I9303" t="n">
        <v>0</v>
      </c>
      <c r="J9303" t="n">
        <v>0</v>
      </c>
      <c r="K9303" t="n">
        <v>0</v>
      </c>
      <c r="L9303" t="n">
        <v>0</v>
      </c>
      <c r="M9303" t="n">
        <v>0</v>
      </c>
      <c r="N9303" t="n">
        <v>0</v>
      </c>
      <c r="O9303" t="n">
        <v>0</v>
      </c>
      <c r="P9303" t="n">
        <v>0</v>
      </c>
      <c r="Q9303" t="n">
        <v>0</v>
      </c>
      <c r="R9303" s="2" t="inlineStr"/>
    </row>
    <row r="9304" ht="15" customHeight="1">
      <c r="A9304" t="inlineStr">
        <is>
          <t>A 33747-2024</t>
        </is>
      </c>
      <c r="B9304" s="1" t="n">
        <v>45520</v>
      </c>
      <c r="C9304" s="1" t="n">
        <v>46093</v>
      </c>
      <c r="D9304" t="inlineStr">
        <is>
          <t>VÄSTERNORRLANDS LÄN</t>
        </is>
      </c>
      <c r="E9304" t="inlineStr">
        <is>
          <t>ÅNGE</t>
        </is>
      </c>
      <c r="G9304" t="n">
        <v>0.7</v>
      </c>
      <c r="H9304" t="n">
        <v>0</v>
      </c>
      <c r="I9304" t="n">
        <v>0</v>
      </c>
      <c r="J9304" t="n">
        <v>0</v>
      </c>
      <c r="K9304" t="n">
        <v>0</v>
      </c>
      <c r="L9304" t="n">
        <v>0</v>
      </c>
      <c r="M9304" t="n">
        <v>0</v>
      </c>
      <c r="N9304" t="n">
        <v>0</v>
      </c>
      <c r="O9304" t="n">
        <v>0</v>
      </c>
      <c r="P9304" t="n">
        <v>0</v>
      </c>
      <c r="Q9304" t="n">
        <v>0</v>
      </c>
      <c r="R9304" s="2" t="inlineStr"/>
    </row>
    <row r="9305" ht="15" customHeight="1">
      <c r="A9305" t="inlineStr">
        <is>
          <t>A 34751-2024</t>
        </is>
      </c>
      <c r="B9305" s="1" t="n">
        <v>45526</v>
      </c>
      <c r="C9305" s="1" t="n">
        <v>46093</v>
      </c>
      <c r="D9305" t="inlineStr">
        <is>
          <t>VÄSTERNORRLANDS LÄN</t>
        </is>
      </c>
      <c r="E9305" t="inlineStr">
        <is>
          <t>ÖRNSKÖLDSVIK</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34754-2024</t>
        </is>
      </c>
      <c r="B9306" s="1" t="n">
        <v>45526</v>
      </c>
      <c r="C9306" s="1" t="n">
        <v>46093</v>
      </c>
      <c r="D9306" t="inlineStr">
        <is>
          <t>VÄSTERNORRLANDS LÄN</t>
        </is>
      </c>
      <c r="E9306" t="inlineStr">
        <is>
          <t>ÅNGE</t>
        </is>
      </c>
      <c r="F9306" t="inlineStr">
        <is>
          <t>SCA</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33782-2024</t>
        </is>
      </c>
      <c r="B9307" s="1" t="n">
        <v>45520.58608796296</v>
      </c>
      <c r="C9307" s="1" t="n">
        <v>46093</v>
      </c>
      <c r="D9307" t="inlineStr">
        <is>
          <t>VÄSTERNORRLANDS LÄN</t>
        </is>
      </c>
      <c r="E9307" t="inlineStr">
        <is>
          <t>KRAMFORS</t>
        </is>
      </c>
      <c r="G9307" t="n">
        <v>13.9</v>
      </c>
      <c r="H9307" t="n">
        <v>0</v>
      </c>
      <c r="I9307" t="n">
        <v>0</v>
      </c>
      <c r="J9307" t="n">
        <v>0</v>
      </c>
      <c r="K9307" t="n">
        <v>0</v>
      </c>
      <c r="L9307" t="n">
        <v>0</v>
      </c>
      <c r="M9307" t="n">
        <v>0</v>
      </c>
      <c r="N9307" t="n">
        <v>0</v>
      </c>
      <c r="O9307" t="n">
        <v>0</v>
      </c>
      <c r="P9307" t="n">
        <v>0</v>
      </c>
      <c r="Q9307" t="n">
        <v>0</v>
      </c>
      <c r="R9307" s="2" t="inlineStr"/>
    </row>
    <row r="9308" ht="15" customHeight="1">
      <c r="A9308" t="inlineStr">
        <is>
          <t>A 61373-2025</t>
        </is>
      </c>
      <c r="B9308" s="1" t="n">
        <v>46001.44010416666</v>
      </c>
      <c r="C9308" s="1" t="n">
        <v>46093</v>
      </c>
      <c r="D9308" t="inlineStr">
        <is>
          <t>VÄSTERNORRLANDS LÄN</t>
        </is>
      </c>
      <c r="E9308" t="inlineStr">
        <is>
          <t>SUNDSVALL</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22411-2023</t>
        </is>
      </c>
      <c r="B9309" s="1" t="n">
        <v>45070</v>
      </c>
      <c r="C9309" s="1" t="n">
        <v>46093</v>
      </c>
      <c r="D9309" t="inlineStr">
        <is>
          <t>VÄSTERNORRLANDS LÄN</t>
        </is>
      </c>
      <c r="E9309" t="inlineStr">
        <is>
          <t>ÅNGE</t>
        </is>
      </c>
      <c r="G9309" t="n">
        <v>2.8</v>
      </c>
      <c r="H9309" t="n">
        <v>0</v>
      </c>
      <c r="I9309" t="n">
        <v>0</v>
      </c>
      <c r="J9309" t="n">
        <v>0</v>
      </c>
      <c r="K9309" t="n">
        <v>0</v>
      </c>
      <c r="L9309" t="n">
        <v>0</v>
      </c>
      <c r="M9309" t="n">
        <v>0</v>
      </c>
      <c r="N9309" t="n">
        <v>0</v>
      </c>
      <c r="O9309" t="n">
        <v>0</v>
      </c>
      <c r="P9309" t="n">
        <v>0</v>
      </c>
      <c r="Q9309" t="n">
        <v>0</v>
      </c>
      <c r="R9309" s="2" t="inlineStr"/>
    </row>
    <row r="9310" ht="15" customHeight="1">
      <c r="A9310" t="inlineStr">
        <is>
          <t>A 61485-2025</t>
        </is>
      </c>
      <c r="B9310" s="1" t="n">
        <v>46001.63587962963</v>
      </c>
      <c r="C9310" s="1" t="n">
        <v>46093</v>
      </c>
      <c r="D9310" t="inlineStr">
        <is>
          <t>VÄSTERNORRLANDS LÄN</t>
        </is>
      </c>
      <c r="E9310" t="inlineStr">
        <is>
          <t>SOLLEFTEÅ</t>
        </is>
      </c>
      <c r="F9310" t="inlineStr">
        <is>
          <t>SCA</t>
        </is>
      </c>
      <c r="G9310" t="n">
        <v>3.6</v>
      </c>
      <c r="H9310" t="n">
        <v>0</v>
      </c>
      <c r="I9310" t="n">
        <v>0</v>
      </c>
      <c r="J9310" t="n">
        <v>0</v>
      </c>
      <c r="K9310" t="n">
        <v>0</v>
      </c>
      <c r="L9310" t="n">
        <v>0</v>
      </c>
      <c r="M9310" t="n">
        <v>0</v>
      </c>
      <c r="N9310" t="n">
        <v>0</v>
      </c>
      <c r="O9310" t="n">
        <v>0</v>
      </c>
      <c r="P9310" t="n">
        <v>0</v>
      </c>
      <c r="Q9310" t="n">
        <v>0</v>
      </c>
      <c r="R9310" s="2" t="inlineStr"/>
    </row>
    <row r="9311" ht="15" customHeight="1">
      <c r="A9311" t="inlineStr">
        <is>
          <t>A 61530-2025</t>
        </is>
      </c>
      <c r="B9311" s="1" t="n">
        <v>46001</v>
      </c>
      <c r="C9311" s="1" t="n">
        <v>46093</v>
      </c>
      <c r="D9311" t="inlineStr">
        <is>
          <t>VÄSTERNORRLANDS LÄN</t>
        </is>
      </c>
      <c r="E9311" t="inlineStr">
        <is>
          <t>SUNDSVALL</t>
        </is>
      </c>
      <c r="G9311" t="n">
        <v>6.3</v>
      </c>
      <c r="H9311" t="n">
        <v>0</v>
      </c>
      <c r="I9311" t="n">
        <v>0</v>
      </c>
      <c r="J9311" t="n">
        <v>0</v>
      </c>
      <c r="K9311" t="n">
        <v>0</v>
      </c>
      <c r="L9311" t="n">
        <v>0</v>
      </c>
      <c r="M9311" t="n">
        <v>0</v>
      </c>
      <c r="N9311" t="n">
        <v>0</v>
      </c>
      <c r="O9311" t="n">
        <v>0</v>
      </c>
      <c r="P9311" t="n">
        <v>0</v>
      </c>
      <c r="Q9311" t="n">
        <v>0</v>
      </c>
      <c r="R9311" s="2" t="inlineStr"/>
    </row>
    <row r="9312" ht="15" customHeight="1">
      <c r="A9312" t="inlineStr">
        <is>
          <t>A 1623-2025</t>
        </is>
      </c>
      <c r="B9312" s="1" t="n">
        <v>45670.61526620371</v>
      </c>
      <c r="C9312" s="1" t="n">
        <v>46093</v>
      </c>
      <c r="D9312" t="inlineStr">
        <is>
          <t>VÄSTERNORRLANDS LÄN</t>
        </is>
      </c>
      <c r="E9312" t="inlineStr">
        <is>
          <t>SOLLEFTEÅ</t>
        </is>
      </c>
      <c r="F9312" t="inlineStr">
        <is>
          <t>SCA</t>
        </is>
      </c>
      <c r="G9312" t="n">
        <v>4.9</v>
      </c>
      <c r="H9312" t="n">
        <v>0</v>
      </c>
      <c r="I9312" t="n">
        <v>0</v>
      </c>
      <c r="J9312" t="n">
        <v>0</v>
      </c>
      <c r="K9312" t="n">
        <v>0</v>
      </c>
      <c r="L9312" t="n">
        <v>0</v>
      </c>
      <c r="M9312" t="n">
        <v>0</v>
      </c>
      <c r="N9312" t="n">
        <v>0</v>
      </c>
      <c r="O9312" t="n">
        <v>0</v>
      </c>
      <c r="P9312" t="n">
        <v>0</v>
      </c>
      <c r="Q9312" t="n">
        <v>0</v>
      </c>
      <c r="R9312" s="2" t="inlineStr"/>
    </row>
    <row r="9313" ht="15" customHeight="1">
      <c r="A9313" t="inlineStr">
        <is>
          <t>A 17356-2023</t>
        </is>
      </c>
      <c r="B9313" s="1" t="n">
        <v>45033</v>
      </c>
      <c r="C9313" s="1" t="n">
        <v>46093</v>
      </c>
      <c r="D9313" t="inlineStr">
        <is>
          <t>VÄSTERNORRLANDS LÄN</t>
        </is>
      </c>
      <c r="E9313" t="inlineStr">
        <is>
          <t>ÖRNSKÖLDSVIK</t>
        </is>
      </c>
      <c r="G9313" t="n">
        <v>18.3</v>
      </c>
      <c r="H9313" t="n">
        <v>0</v>
      </c>
      <c r="I9313" t="n">
        <v>0</v>
      </c>
      <c r="J9313" t="n">
        <v>0</v>
      </c>
      <c r="K9313" t="n">
        <v>0</v>
      </c>
      <c r="L9313" t="n">
        <v>0</v>
      </c>
      <c r="M9313" t="n">
        <v>0</v>
      </c>
      <c r="N9313" t="n">
        <v>0</v>
      </c>
      <c r="O9313" t="n">
        <v>0</v>
      </c>
      <c r="P9313" t="n">
        <v>0</v>
      </c>
      <c r="Q9313" t="n">
        <v>0</v>
      </c>
      <c r="R9313" s="2" t="inlineStr"/>
    </row>
    <row r="9314" ht="15" customHeight="1">
      <c r="A9314" t="inlineStr">
        <is>
          <t>A 9217-2024</t>
        </is>
      </c>
      <c r="B9314" s="1" t="n">
        <v>45358</v>
      </c>
      <c r="C9314" s="1" t="n">
        <v>46093</v>
      </c>
      <c r="D9314" t="inlineStr">
        <is>
          <t>VÄSTERNORRLANDS LÄN</t>
        </is>
      </c>
      <c r="E9314" t="inlineStr">
        <is>
          <t>HÄRNÖSAND</t>
        </is>
      </c>
      <c r="G9314" t="n">
        <v>1.2</v>
      </c>
      <c r="H9314" t="n">
        <v>0</v>
      </c>
      <c r="I9314" t="n">
        <v>0</v>
      </c>
      <c r="J9314" t="n">
        <v>0</v>
      </c>
      <c r="K9314" t="n">
        <v>0</v>
      </c>
      <c r="L9314" t="n">
        <v>0</v>
      </c>
      <c r="M9314" t="n">
        <v>0</v>
      </c>
      <c r="N9314" t="n">
        <v>0</v>
      </c>
      <c r="O9314" t="n">
        <v>0</v>
      </c>
      <c r="P9314" t="n">
        <v>0</v>
      </c>
      <c r="Q9314" t="n">
        <v>0</v>
      </c>
      <c r="R9314" s="2" t="inlineStr"/>
    </row>
    <row r="9315" ht="15" customHeight="1">
      <c r="A9315" t="inlineStr">
        <is>
          <t>A 61669-2025</t>
        </is>
      </c>
      <c r="B9315" s="1" t="n">
        <v>46002.46998842592</v>
      </c>
      <c r="C9315" s="1" t="n">
        <v>46093</v>
      </c>
      <c r="D9315" t="inlineStr">
        <is>
          <t>VÄSTERNORRLANDS LÄN</t>
        </is>
      </c>
      <c r="E9315" t="inlineStr">
        <is>
          <t>SOLLEFTEÅ</t>
        </is>
      </c>
      <c r="G9315" t="n">
        <v>7.4</v>
      </c>
      <c r="H9315" t="n">
        <v>0</v>
      </c>
      <c r="I9315" t="n">
        <v>0</v>
      </c>
      <c r="J9315" t="n">
        <v>0</v>
      </c>
      <c r="K9315" t="n">
        <v>0</v>
      </c>
      <c r="L9315" t="n">
        <v>0</v>
      </c>
      <c r="M9315" t="n">
        <v>0</v>
      </c>
      <c r="N9315" t="n">
        <v>0</v>
      </c>
      <c r="O9315" t="n">
        <v>0</v>
      </c>
      <c r="P9315" t="n">
        <v>0</v>
      </c>
      <c r="Q9315" t="n">
        <v>0</v>
      </c>
      <c r="R9315" s="2" t="inlineStr"/>
    </row>
    <row r="9316" ht="15" customHeight="1">
      <c r="A9316" t="inlineStr">
        <is>
          <t>A 10385-2023</t>
        </is>
      </c>
      <c r="B9316" s="1" t="n">
        <v>44987</v>
      </c>
      <c r="C9316" s="1" t="n">
        <v>46093</v>
      </c>
      <c r="D9316" t="inlineStr">
        <is>
          <t>VÄSTERNORRLANDS LÄN</t>
        </is>
      </c>
      <c r="E9316" t="inlineStr">
        <is>
          <t>ÖRNSKÖLDSVIK</t>
        </is>
      </c>
      <c r="G9316" t="n">
        <v>0.4</v>
      </c>
      <c r="H9316" t="n">
        <v>0</v>
      </c>
      <c r="I9316" t="n">
        <v>0</v>
      </c>
      <c r="J9316" t="n">
        <v>0</v>
      </c>
      <c r="K9316" t="n">
        <v>0</v>
      </c>
      <c r="L9316" t="n">
        <v>0</v>
      </c>
      <c r="M9316" t="n">
        <v>0</v>
      </c>
      <c r="N9316" t="n">
        <v>0</v>
      </c>
      <c r="O9316" t="n">
        <v>0</v>
      </c>
      <c r="P9316" t="n">
        <v>0</v>
      </c>
      <c r="Q9316" t="n">
        <v>0</v>
      </c>
      <c r="R9316" s="2" t="inlineStr"/>
    </row>
    <row r="9317" ht="15" customHeight="1">
      <c r="A9317" t="inlineStr">
        <is>
          <t>A 10387-2023</t>
        </is>
      </c>
      <c r="B9317" s="1" t="n">
        <v>44987</v>
      </c>
      <c r="C9317" s="1" t="n">
        <v>46093</v>
      </c>
      <c r="D9317" t="inlineStr">
        <is>
          <t>VÄSTERNORRLANDS LÄN</t>
        </is>
      </c>
      <c r="E9317" t="inlineStr">
        <is>
          <t>ÖRNSKÖLDSVIK</t>
        </is>
      </c>
      <c r="G9317" t="n">
        <v>3.2</v>
      </c>
      <c r="H9317" t="n">
        <v>0</v>
      </c>
      <c r="I9317" t="n">
        <v>0</v>
      </c>
      <c r="J9317" t="n">
        <v>0</v>
      </c>
      <c r="K9317" t="n">
        <v>0</v>
      </c>
      <c r="L9317" t="n">
        <v>0</v>
      </c>
      <c r="M9317" t="n">
        <v>0</v>
      </c>
      <c r="N9317" t="n">
        <v>0</v>
      </c>
      <c r="O9317" t="n">
        <v>0</v>
      </c>
      <c r="P9317" t="n">
        <v>0</v>
      </c>
      <c r="Q9317" t="n">
        <v>0</v>
      </c>
      <c r="R9317" s="2" t="inlineStr"/>
    </row>
    <row r="9318" ht="15" customHeight="1">
      <c r="A9318" t="inlineStr">
        <is>
          <t>A 61181-2025</t>
        </is>
      </c>
      <c r="B9318" s="1" t="n">
        <v>46000.58288194444</v>
      </c>
      <c r="C9318" s="1" t="n">
        <v>46093</v>
      </c>
      <c r="D9318" t="inlineStr">
        <is>
          <t>VÄSTERNORRLANDS LÄN</t>
        </is>
      </c>
      <c r="E9318" t="inlineStr">
        <is>
          <t>HÄRNÖSAND</t>
        </is>
      </c>
      <c r="G9318" t="n">
        <v>12.5</v>
      </c>
      <c r="H9318" t="n">
        <v>0</v>
      </c>
      <c r="I9318" t="n">
        <v>0</v>
      </c>
      <c r="J9318" t="n">
        <v>0</v>
      </c>
      <c r="K9318" t="n">
        <v>0</v>
      </c>
      <c r="L9318" t="n">
        <v>0</v>
      </c>
      <c r="M9318" t="n">
        <v>0</v>
      </c>
      <c r="N9318" t="n">
        <v>0</v>
      </c>
      <c r="O9318" t="n">
        <v>0</v>
      </c>
      <c r="P9318" t="n">
        <v>0</v>
      </c>
      <c r="Q9318" t="n">
        <v>0</v>
      </c>
      <c r="R9318" s="2" t="inlineStr"/>
    </row>
    <row r="9319" ht="15" customHeight="1">
      <c r="A9319" t="inlineStr">
        <is>
          <t>A 1459-2024</t>
        </is>
      </c>
      <c r="B9319" s="1" t="n">
        <v>45303.9331712963</v>
      </c>
      <c r="C9319" s="1" t="n">
        <v>46093</v>
      </c>
      <c r="D9319" t="inlineStr">
        <is>
          <t>VÄSTERNORRLANDS LÄN</t>
        </is>
      </c>
      <c r="E9319" t="inlineStr">
        <is>
          <t>SOLLEFTEÅ</t>
        </is>
      </c>
      <c r="G9319" t="n">
        <v>0.8</v>
      </c>
      <c r="H9319" t="n">
        <v>0</v>
      </c>
      <c r="I9319" t="n">
        <v>0</v>
      </c>
      <c r="J9319" t="n">
        <v>0</v>
      </c>
      <c r="K9319" t="n">
        <v>0</v>
      </c>
      <c r="L9319" t="n">
        <v>0</v>
      </c>
      <c r="M9319" t="n">
        <v>0</v>
      </c>
      <c r="N9319" t="n">
        <v>0</v>
      </c>
      <c r="O9319" t="n">
        <v>0</v>
      </c>
      <c r="P9319" t="n">
        <v>0</v>
      </c>
      <c r="Q9319" t="n">
        <v>0</v>
      </c>
      <c r="R9319" s="2" t="inlineStr"/>
    </row>
    <row r="9320" ht="15" customHeight="1">
      <c r="A9320" t="inlineStr">
        <is>
          <t>A 4071-2025</t>
        </is>
      </c>
      <c r="B9320" s="1" t="n">
        <v>45684.63579861111</v>
      </c>
      <c r="C9320" s="1" t="n">
        <v>46093</v>
      </c>
      <c r="D9320" t="inlineStr">
        <is>
          <t>VÄSTERNORRLANDS LÄN</t>
        </is>
      </c>
      <c r="E9320" t="inlineStr">
        <is>
          <t>ÅNGE</t>
        </is>
      </c>
      <c r="F9320" t="inlineStr">
        <is>
          <t>SCA</t>
        </is>
      </c>
      <c r="G9320" t="n">
        <v>13.7</v>
      </c>
      <c r="H9320" t="n">
        <v>0</v>
      </c>
      <c r="I9320" t="n">
        <v>0</v>
      </c>
      <c r="J9320" t="n">
        <v>0</v>
      </c>
      <c r="K9320" t="n">
        <v>0</v>
      </c>
      <c r="L9320" t="n">
        <v>0</v>
      </c>
      <c r="M9320" t="n">
        <v>0</v>
      </c>
      <c r="N9320" t="n">
        <v>0</v>
      </c>
      <c r="O9320" t="n">
        <v>0</v>
      </c>
      <c r="P9320" t="n">
        <v>0</v>
      </c>
      <c r="Q9320" t="n">
        <v>0</v>
      </c>
      <c r="R9320" s="2" t="inlineStr"/>
    </row>
    <row r="9321" ht="15" customHeight="1">
      <c r="A9321" t="inlineStr">
        <is>
          <t>A 6210-2025</t>
        </is>
      </c>
      <c r="B9321" s="1" t="n">
        <v>45698.49699074074</v>
      </c>
      <c r="C9321" s="1" t="n">
        <v>46093</v>
      </c>
      <c r="D9321" t="inlineStr">
        <is>
          <t>VÄSTERNORRLANDS LÄN</t>
        </is>
      </c>
      <c r="E9321" t="inlineStr">
        <is>
          <t>ÖRNSKÖLDSVIK</t>
        </is>
      </c>
      <c r="F9321" t="inlineStr">
        <is>
          <t>Holmen skog AB</t>
        </is>
      </c>
      <c r="G9321" t="n">
        <v>3.2</v>
      </c>
      <c r="H9321" t="n">
        <v>0</v>
      </c>
      <c r="I9321" t="n">
        <v>0</v>
      </c>
      <c r="J9321" t="n">
        <v>0</v>
      </c>
      <c r="K9321" t="n">
        <v>0</v>
      </c>
      <c r="L9321" t="n">
        <v>0</v>
      </c>
      <c r="M9321" t="n">
        <v>0</v>
      </c>
      <c r="N9321" t="n">
        <v>0</v>
      </c>
      <c r="O9321" t="n">
        <v>0</v>
      </c>
      <c r="P9321" t="n">
        <v>0</v>
      </c>
      <c r="Q9321" t="n">
        <v>0</v>
      </c>
      <c r="R9321" s="2" t="inlineStr"/>
    </row>
    <row r="9322" ht="15" customHeight="1">
      <c r="A9322" t="inlineStr">
        <is>
          <t>A 6619-2025</t>
        </is>
      </c>
      <c r="B9322" s="1" t="n">
        <v>45700.36541666667</v>
      </c>
      <c r="C9322" s="1" t="n">
        <v>46093</v>
      </c>
      <c r="D9322" t="inlineStr">
        <is>
          <t>VÄSTERNORRLANDS LÄN</t>
        </is>
      </c>
      <c r="E9322" t="inlineStr">
        <is>
          <t>ÅNGE</t>
        </is>
      </c>
      <c r="F9322" t="inlineStr">
        <is>
          <t>SCA</t>
        </is>
      </c>
      <c r="G9322" t="n">
        <v>10.3</v>
      </c>
      <c r="H9322" t="n">
        <v>0</v>
      </c>
      <c r="I9322" t="n">
        <v>0</v>
      </c>
      <c r="J9322" t="n">
        <v>0</v>
      </c>
      <c r="K9322" t="n">
        <v>0</v>
      </c>
      <c r="L9322" t="n">
        <v>0</v>
      </c>
      <c r="M9322" t="n">
        <v>0</v>
      </c>
      <c r="N9322" t="n">
        <v>0</v>
      </c>
      <c r="O9322" t="n">
        <v>0</v>
      </c>
      <c r="P9322" t="n">
        <v>0</v>
      </c>
      <c r="Q9322" t="n">
        <v>0</v>
      </c>
      <c r="R9322" s="2" t="inlineStr"/>
    </row>
    <row r="9323" ht="15" customHeight="1">
      <c r="A9323" t="inlineStr">
        <is>
          <t>A 6200-2025</t>
        </is>
      </c>
      <c r="B9323" s="1" t="n">
        <v>45698.47840277778</v>
      </c>
      <c r="C9323" s="1" t="n">
        <v>46093</v>
      </c>
      <c r="D9323" t="inlineStr">
        <is>
          <t>VÄSTERNORRLANDS LÄN</t>
        </is>
      </c>
      <c r="E9323" t="inlineStr">
        <is>
          <t>KRAMFORS</t>
        </is>
      </c>
      <c r="G9323" t="n">
        <v>1.9</v>
      </c>
      <c r="H9323" t="n">
        <v>0</v>
      </c>
      <c r="I9323" t="n">
        <v>0</v>
      </c>
      <c r="J9323" t="n">
        <v>0</v>
      </c>
      <c r="K9323" t="n">
        <v>0</v>
      </c>
      <c r="L9323" t="n">
        <v>0</v>
      </c>
      <c r="M9323" t="n">
        <v>0</v>
      </c>
      <c r="N9323" t="n">
        <v>0</v>
      </c>
      <c r="O9323" t="n">
        <v>0</v>
      </c>
      <c r="P9323" t="n">
        <v>0</v>
      </c>
      <c r="Q9323" t="n">
        <v>0</v>
      </c>
      <c r="R9323" s="2" t="inlineStr"/>
    </row>
    <row r="9324" ht="15" customHeight="1">
      <c r="A9324" t="inlineStr">
        <is>
          <t>A 61332-2025</t>
        </is>
      </c>
      <c r="B9324" s="1" t="n">
        <v>46001.34416666667</v>
      </c>
      <c r="C9324" s="1" t="n">
        <v>46093</v>
      </c>
      <c r="D9324" t="inlineStr">
        <is>
          <t>VÄSTERNORRLANDS LÄN</t>
        </is>
      </c>
      <c r="E9324" t="inlineStr">
        <is>
          <t>ÅNGE</t>
        </is>
      </c>
      <c r="G9324" t="n">
        <v>3.2</v>
      </c>
      <c r="H9324" t="n">
        <v>0</v>
      </c>
      <c r="I9324" t="n">
        <v>0</v>
      </c>
      <c r="J9324" t="n">
        <v>0</v>
      </c>
      <c r="K9324" t="n">
        <v>0</v>
      </c>
      <c r="L9324" t="n">
        <v>0</v>
      </c>
      <c r="M9324" t="n">
        <v>0</v>
      </c>
      <c r="N9324" t="n">
        <v>0</v>
      </c>
      <c r="O9324" t="n">
        <v>0</v>
      </c>
      <c r="P9324" t="n">
        <v>0</v>
      </c>
      <c r="Q9324" t="n">
        <v>0</v>
      </c>
      <c r="R9324" s="2" t="inlineStr"/>
    </row>
    <row r="9325" ht="15" customHeight="1">
      <c r="A9325" t="inlineStr">
        <is>
          <t>A 61333-2025</t>
        </is>
      </c>
      <c r="B9325" s="1" t="n">
        <v>46001.34421296296</v>
      </c>
      <c r="C9325" s="1" t="n">
        <v>46093</v>
      </c>
      <c r="D9325" t="inlineStr">
        <is>
          <t>VÄSTERNORRLANDS LÄN</t>
        </is>
      </c>
      <c r="E9325" t="inlineStr">
        <is>
          <t>SOLLEFTEÅ</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25151-2023</t>
        </is>
      </c>
      <c r="B9326" s="1" t="n">
        <v>45086</v>
      </c>
      <c r="C9326" s="1" t="n">
        <v>46093</v>
      </c>
      <c r="D9326" t="inlineStr">
        <is>
          <t>VÄSTERNORRLANDS LÄN</t>
        </is>
      </c>
      <c r="E9326" t="inlineStr">
        <is>
          <t>ÖRNSKÖLDSVIK</t>
        </is>
      </c>
      <c r="G9326" t="n">
        <v>3.7</v>
      </c>
      <c r="H9326" t="n">
        <v>0</v>
      </c>
      <c r="I9326" t="n">
        <v>0</v>
      </c>
      <c r="J9326" t="n">
        <v>0</v>
      </c>
      <c r="K9326" t="n">
        <v>0</v>
      </c>
      <c r="L9326" t="n">
        <v>0</v>
      </c>
      <c r="M9326" t="n">
        <v>0</v>
      </c>
      <c r="N9326" t="n">
        <v>0</v>
      </c>
      <c r="O9326" t="n">
        <v>0</v>
      </c>
      <c r="P9326" t="n">
        <v>0</v>
      </c>
      <c r="Q9326" t="n">
        <v>0</v>
      </c>
      <c r="R9326" s="2" t="inlineStr"/>
    </row>
    <row r="9327" ht="15" customHeight="1">
      <c r="A9327" t="inlineStr">
        <is>
          <t>A 54559-2022</t>
        </is>
      </c>
      <c r="B9327" s="1" t="n">
        <v>44882</v>
      </c>
      <c r="C9327" s="1" t="n">
        <v>46093</v>
      </c>
      <c r="D9327" t="inlineStr">
        <is>
          <t>VÄSTERNORRLANDS LÄN</t>
        </is>
      </c>
      <c r="E9327" t="inlineStr">
        <is>
          <t>SOLLEFTEÅ</t>
        </is>
      </c>
      <c r="G9327" t="n">
        <v>0.6</v>
      </c>
      <c r="H9327" t="n">
        <v>0</v>
      </c>
      <c r="I9327" t="n">
        <v>0</v>
      </c>
      <c r="J9327" t="n">
        <v>0</v>
      </c>
      <c r="K9327" t="n">
        <v>0</v>
      </c>
      <c r="L9327" t="n">
        <v>0</v>
      </c>
      <c r="M9327" t="n">
        <v>0</v>
      </c>
      <c r="N9327" t="n">
        <v>0</v>
      </c>
      <c r="O9327" t="n">
        <v>0</v>
      </c>
      <c r="P9327" t="n">
        <v>0</v>
      </c>
      <c r="Q9327" t="n">
        <v>0</v>
      </c>
      <c r="R9327" s="2" t="inlineStr"/>
    </row>
    <row r="9328" ht="15" customHeight="1">
      <c r="A9328" t="inlineStr">
        <is>
          <t>A 35010-2023</t>
        </is>
      </c>
      <c r="B9328" s="1" t="n">
        <v>45142</v>
      </c>
      <c r="C9328" s="1" t="n">
        <v>46093</v>
      </c>
      <c r="D9328" t="inlineStr">
        <is>
          <t>VÄSTERNORRLANDS LÄN</t>
        </is>
      </c>
      <c r="E9328" t="inlineStr">
        <is>
          <t>SUNDSVALL</t>
        </is>
      </c>
      <c r="F9328" t="inlineStr">
        <is>
          <t>SCA</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51711-2025</t>
        </is>
      </c>
      <c r="B9329" s="1" t="n">
        <v>45951.57133101852</v>
      </c>
      <c r="C9329" s="1" t="n">
        <v>46093</v>
      </c>
      <c r="D9329" t="inlineStr">
        <is>
          <t>VÄSTERNORRLANDS LÄN</t>
        </is>
      </c>
      <c r="E9329" t="inlineStr">
        <is>
          <t>SOLLEFTEÅ</t>
        </is>
      </c>
      <c r="G9329" t="n">
        <v>5.3</v>
      </c>
      <c r="H9329" t="n">
        <v>0</v>
      </c>
      <c r="I9329" t="n">
        <v>0</v>
      </c>
      <c r="J9329" t="n">
        <v>0</v>
      </c>
      <c r="K9329" t="n">
        <v>0</v>
      </c>
      <c r="L9329" t="n">
        <v>0</v>
      </c>
      <c r="M9329" t="n">
        <v>0</v>
      </c>
      <c r="N9329" t="n">
        <v>0</v>
      </c>
      <c r="O9329" t="n">
        <v>0</v>
      </c>
      <c r="P9329" t="n">
        <v>0</v>
      </c>
      <c r="Q9329" t="n">
        <v>0</v>
      </c>
      <c r="R9329" s="2" t="inlineStr"/>
    </row>
    <row r="9330" ht="15" customHeight="1">
      <c r="A9330" t="inlineStr">
        <is>
          <t>A 61395-2025</t>
        </is>
      </c>
      <c r="B9330" s="1" t="n">
        <v>46001.47253472222</v>
      </c>
      <c r="C9330" s="1" t="n">
        <v>46093</v>
      </c>
      <c r="D9330" t="inlineStr">
        <is>
          <t>VÄSTERNORRLANDS LÄN</t>
        </is>
      </c>
      <c r="E9330" t="inlineStr">
        <is>
          <t>ÖRNSKÖLDSVIK</t>
        </is>
      </c>
      <c r="F9330" t="inlineStr">
        <is>
          <t>Holmen skog AB</t>
        </is>
      </c>
      <c r="G9330" t="n">
        <v>0.3</v>
      </c>
      <c r="H9330" t="n">
        <v>0</v>
      </c>
      <c r="I9330" t="n">
        <v>0</v>
      </c>
      <c r="J9330" t="n">
        <v>0</v>
      </c>
      <c r="K9330" t="n">
        <v>0</v>
      </c>
      <c r="L9330" t="n">
        <v>0</v>
      </c>
      <c r="M9330" t="n">
        <v>0</v>
      </c>
      <c r="N9330" t="n">
        <v>0</v>
      </c>
      <c r="O9330" t="n">
        <v>0</v>
      </c>
      <c r="P9330" t="n">
        <v>0</v>
      </c>
      <c r="Q9330" t="n">
        <v>0</v>
      </c>
      <c r="R9330" s="2" t="inlineStr"/>
    </row>
    <row r="9331" ht="15" customHeight="1">
      <c r="A9331" t="inlineStr">
        <is>
          <t>A 61401-2025</t>
        </is>
      </c>
      <c r="B9331" s="1" t="n">
        <v>46001.48276620371</v>
      </c>
      <c r="C9331" s="1" t="n">
        <v>46093</v>
      </c>
      <c r="D9331" t="inlineStr">
        <is>
          <t>VÄSTERNORRLANDS LÄN</t>
        </is>
      </c>
      <c r="E9331" t="inlineStr">
        <is>
          <t>ÖRNSKÖLDSVIK</t>
        </is>
      </c>
      <c r="F9331" t="inlineStr">
        <is>
          <t>Holmen skog AB</t>
        </is>
      </c>
      <c r="G9331" t="n">
        <v>0.5</v>
      </c>
      <c r="H9331" t="n">
        <v>0</v>
      </c>
      <c r="I9331" t="n">
        <v>0</v>
      </c>
      <c r="J9331" t="n">
        <v>0</v>
      </c>
      <c r="K9331" t="n">
        <v>0</v>
      </c>
      <c r="L9331" t="n">
        <v>0</v>
      </c>
      <c r="M9331" t="n">
        <v>0</v>
      </c>
      <c r="N9331" t="n">
        <v>0</v>
      </c>
      <c r="O9331" t="n">
        <v>0</v>
      </c>
      <c r="P9331" t="n">
        <v>0</v>
      </c>
      <c r="Q9331" t="n">
        <v>0</v>
      </c>
      <c r="R9331" s="2" t="inlineStr"/>
    </row>
    <row r="9332" ht="15" customHeight="1">
      <c r="A9332" t="inlineStr">
        <is>
          <t>A 61425-2025</t>
        </is>
      </c>
      <c r="B9332" s="1" t="n">
        <v>46001.54767361111</v>
      </c>
      <c r="C9332" s="1" t="n">
        <v>46093</v>
      </c>
      <c r="D9332" t="inlineStr">
        <is>
          <t>VÄSTERNORRLANDS LÄN</t>
        </is>
      </c>
      <c r="E9332" t="inlineStr">
        <is>
          <t>KRAMFORS</t>
        </is>
      </c>
      <c r="G9332" t="n">
        <v>4.3</v>
      </c>
      <c r="H9332" t="n">
        <v>0</v>
      </c>
      <c r="I9332" t="n">
        <v>0</v>
      </c>
      <c r="J9332" t="n">
        <v>0</v>
      </c>
      <c r="K9332" t="n">
        <v>0</v>
      </c>
      <c r="L9332" t="n">
        <v>0</v>
      </c>
      <c r="M9332" t="n">
        <v>0</v>
      </c>
      <c r="N9332" t="n">
        <v>0</v>
      </c>
      <c r="O9332" t="n">
        <v>0</v>
      </c>
      <c r="P9332" t="n">
        <v>0</v>
      </c>
      <c r="Q9332" t="n">
        <v>0</v>
      </c>
      <c r="R9332" s="2" t="inlineStr"/>
    </row>
    <row r="9333" ht="15" customHeight="1">
      <c r="A9333" t="inlineStr">
        <is>
          <t>A 59910-2023</t>
        </is>
      </c>
      <c r="B9333" s="1" t="n">
        <v>45257.63450231482</v>
      </c>
      <c r="C9333" s="1" t="n">
        <v>46093</v>
      </c>
      <c r="D9333" t="inlineStr">
        <is>
          <t>VÄSTERNORRLANDS LÄN</t>
        </is>
      </c>
      <c r="E9333" t="inlineStr">
        <is>
          <t>SUNDSVALL</t>
        </is>
      </c>
      <c r="G9333" t="n">
        <v>1.7</v>
      </c>
      <c r="H9333" t="n">
        <v>0</v>
      </c>
      <c r="I9333" t="n">
        <v>0</v>
      </c>
      <c r="J9333" t="n">
        <v>0</v>
      </c>
      <c r="K9333" t="n">
        <v>0</v>
      </c>
      <c r="L9333" t="n">
        <v>0</v>
      </c>
      <c r="M9333" t="n">
        <v>0</v>
      </c>
      <c r="N9333" t="n">
        <v>0</v>
      </c>
      <c r="O9333" t="n">
        <v>0</v>
      </c>
      <c r="P9333" t="n">
        <v>0</v>
      </c>
      <c r="Q9333" t="n">
        <v>0</v>
      </c>
      <c r="R9333" s="2" t="inlineStr"/>
    </row>
    <row r="9334" ht="15" customHeight="1">
      <c r="A9334" t="inlineStr">
        <is>
          <t>A 61716-2025</t>
        </is>
      </c>
      <c r="B9334" s="1" t="n">
        <v>46002.57275462963</v>
      </c>
      <c r="C9334" s="1" t="n">
        <v>46093</v>
      </c>
      <c r="D9334" t="inlineStr">
        <is>
          <t>VÄSTERNORRLANDS LÄN</t>
        </is>
      </c>
      <c r="E9334" t="inlineStr">
        <is>
          <t>KRAMFORS</t>
        </is>
      </c>
      <c r="G9334" t="n">
        <v>0.8</v>
      </c>
      <c r="H9334" t="n">
        <v>0</v>
      </c>
      <c r="I9334" t="n">
        <v>0</v>
      </c>
      <c r="J9334" t="n">
        <v>0</v>
      </c>
      <c r="K9334" t="n">
        <v>0</v>
      </c>
      <c r="L9334" t="n">
        <v>0</v>
      </c>
      <c r="M9334" t="n">
        <v>0</v>
      </c>
      <c r="N9334" t="n">
        <v>0</v>
      </c>
      <c r="O9334" t="n">
        <v>0</v>
      </c>
      <c r="P9334" t="n">
        <v>0</v>
      </c>
      <c r="Q9334" t="n">
        <v>0</v>
      </c>
      <c r="R9334" s="2" t="inlineStr"/>
    </row>
    <row r="9335" ht="15" customHeight="1">
      <c r="A9335" t="inlineStr">
        <is>
          <t>A 25011-2022</t>
        </is>
      </c>
      <c r="B9335" s="1" t="n">
        <v>44728.92876157408</v>
      </c>
      <c r="C9335" s="1" t="n">
        <v>46093</v>
      </c>
      <c r="D9335" t="inlineStr">
        <is>
          <t>VÄSTERNORRLANDS LÄN</t>
        </is>
      </c>
      <c r="E9335" t="inlineStr">
        <is>
          <t>SUNDSVALL</t>
        </is>
      </c>
      <c r="G9335" t="n">
        <v>1.9</v>
      </c>
      <c r="H9335" t="n">
        <v>0</v>
      </c>
      <c r="I9335" t="n">
        <v>0</v>
      </c>
      <c r="J9335" t="n">
        <v>0</v>
      </c>
      <c r="K9335" t="n">
        <v>0</v>
      </c>
      <c r="L9335" t="n">
        <v>0</v>
      </c>
      <c r="M9335" t="n">
        <v>0</v>
      </c>
      <c r="N9335" t="n">
        <v>0</v>
      </c>
      <c r="O9335" t="n">
        <v>0</v>
      </c>
      <c r="P9335" t="n">
        <v>0</v>
      </c>
      <c r="Q9335" t="n">
        <v>0</v>
      </c>
      <c r="R9335" s="2" t="inlineStr"/>
    </row>
    <row r="9336" ht="15" customHeight="1">
      <c r="A9336" t="inlineStr">
        <is>
          <t>A 49417-2023</t>
        </is>
      </c>
      <c r="B9336" s="1" t="n">
        <v>45205</v>
      </c>
      <c r="C9336" s="1" t="n">
        <v>46093</v>
      </c>
      <c r="D9336" t="inlineStr">
        <is>
          <t>VÄSTERNORRLANDS LÄN</t>
        </is>
      </c>
      <c r="E9336" t="inlineStr">
        <is>
          <t>SOLLEFTEÅ</t>
        </is>
      </c>
      <c r="F9336" t="inlineStr">
        <is>
          <t>SCA</t>
        </is>
      </c>
      <c r="G9336" t="n">
        <v>4.8</v>
      </c>
      <c r="H9336" t="n">
        <v>0</v>
      </c>
      <c r="I9336" t="n">
        <v>0</v>
      </c>
      <c r="J9336" t="n">
        <v>0</v>
      </c>
      <c r="K9336" t="n">
        <v>0</v>
      </c>
      <c r="L9336" t="n">
        <v>0</v>
      </c>
      <c r="M9336" t="n">
        <v>0</v>
      </c>
      <c r="N9336" t="n">
        <v>0</v>
      </c>
      <c r="O9336" t="n">
        <v>0</v>
      </c>
      <c r="P9336" t="n">
        <v>0</v>
      </c>
      <c r="Q9336" t="n">
        <v>0</v>
      </c>
      <c r="R9336" s="2" t="inlineStr"/>
    </row>
    <row r="9337" ht="15" customHeight="1">
      <c r="A9337" t="inlineStr">
        <is>
          <t>A 61523-2025</t>
        </is>
      </c>
      <c r="B9337" s="1" t="n">
        <v>46001.68748842592</v>
      </c>
      <c r="C9337" s="1" t="n">
        <v>46093</v>
      </c>
      <c r="D9337" t="inlineStr">
        <is>
          <t>VÄSTERNORRLANDS LÄN</t>
        </is>
      </c>
      <c r="E9337" t="inlineStr">
        <is>
          <t>SOLLEFTEÅ</t>
        </is>
      </c>
      <c r="F9337" t="inlineStr">
        <is>
          <t>SCA</t>
        </is>
      </c>
      <c r="G9337" t="n">
        <v>2.9</v>
      </c>
      <c r="H9337" t="n">
        <v>0</v>
      </c>
      <c r="I9337" t="n">
        <v>0</v>
      </c>
      <c r="J9337" t="n">
        <v>0</v>
      </c>
      <c r="K9337" t="n">
        <v>0</v>
      </c>
      <c r="L9337" t="n">
        <v>0</v>
      </c>
      <c r="M9337" t="n">
        <v>0</v>
      </c>
      <c r="N9337" t="n">
        <v>0</v>
      </c>
      <c r="O9337" t="n">
        <v>0</v>
      </c>
      <c r="P9337" t="n">
        <v>0</v>
      </c>
      <c r="Q9337" t="n">
        <v>0</v>
      </c>
      <c r="R9337" s="2" t="inlineStr"/>
    </row>
    <row r="9338" ht="15" customHeight="1">
      <c r="A9338" t="inlineStr">
        <is>
          <t>A 1416-2024</t>
        </is>
      </c>
      <c r="B9338" s="1" t="n">
        <v>45303</v>
      </c>
      <c r="C9338" s="1" t="n">
        <v>46093</v>
      </c>
      <c r="D9338" t="inlineStr">
        <is>
          <t>VÄSTERNORRLANDS LÄN</t>
        </is>
      </c>
      <c r="E9338" t="inlineStr">
        <is>
          <t>ÖRNSKÖLDSVIK</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61775-2025</t>
        </is>
      </c>
      <c r="B9339" s="1" t="n">
        <v>46002.65674768519</v>
      </c>
      <c r="C9339" s="1" t="n">
        <v>46093</v>
      </c>
      <c r="D9339" t="inlineStr">
        <is>
          <t>VÄSTERNORRLANDS LÄN</t>
        </is>
      </c>
      <c r="E9339" t="inlineStr">
        <is>
          <t>SOLLEFTEÅ</t>
        </is>
      </c>
      <c r="F9339" t="inlineStr">
        <is>
          <t>SCA</t>
        </is>
      </c>
      <c r="G9339" t="n">
        <v>4.7</v>
      </c>
      <c r="H9339" t="n">
        <v>0</v>
      </c>
      <c r="I9339" t="n">
        <v>0</v>
      </c>
      <c r="J9339" t="n">
        <v>0</v>
      </c>
      <c r="K9339" t="n">
        <v>0</v>
      </c>
      <c r="L9339" t="n">
        <v>0</v>
      </c>
      <c r="M9339" t="n">
        <v>0</v>
      </c>
      <c r="N9339" t="n">
        <v>0</v>
      </c>
      <c r="O9339" t="n">
        <v>0</v>
      </c>
      <c r="P9339" t="n">
        <v>0</v>
      </c>
      <c r="Q9339" t="n">
        <v>0</v>
      </c>
      <c r="R9339" s="2" t="inlineStr"/>
    </row>
    <row r="9340" ht="15" customHeight="1">
      <c r="A9340" t="inlineStr">
        <is>
          <t>A 61784-2025</t>
        </is>
      </c>
      <c r="B9340" s="1" t="n">
        <v>46002</v>
      </c>
      <c r="C9340" s="1" t="n">
        <v>46093</v>
      </c>
      <c r="D9340" t="inlineStr">
        <is>
          <t>VÄSTERNORRLANDS LÄN</t>
        </is>
      </c>
      <c r="E9340" t="inlineStr">
        <is>
          <t>SUNDSVALL</t>
        </is>
      </c>
      <c r="G9340" t="n">
        <v>2.7</v>
      </c>
      <c r="H9340" t="n">
        <v>0</v>
      </c>
      <c r="I9340" t="n">
        <v>0</v>
      </c>
      <c r="J9340" t="n">
        <v>0</v>
      </c>
      <c r="K9340" t="n">
        <v>0</v>
      </c>
      <c r="L9340" t="n">
        <v>0</v>
      </c>
      <c r="M9340" t="n">
        <v>0</v>
      </c>
      <c r="N9340" t="n">
        <v>0</v>
      </c>
      <c r="O9340" t="n">
        <v>0</v>
      </c>
      <c r="P9340" t="n">
        <v>0</v>
      </c>
      <c r="Q9340" t="n">
        <v>0</v>
      </c>
      <c r="R9340" s="2" t="inlineStr"/>
    </row>
    <row r="9341" ht="15" customHeight="1">
      <c r="A9341" t="inlineStr">
        <is>
          <t>A 13302-2025</t>
        </is>
      </c>
      <c r="B9341" s="1" t="n">
        <v>45735.5747337963</v>
      </c>
      <c r="C9341" s="1" t="n">
        <v>46093</v>
      </c>
      <c r="D9341" t="inlineStr">
        <is>
          <t>VÄSTERNORRLANDS LÄN</t>
        </is>
      </c>
      <c r="E9341" t="inlineStr">
        <is>
          <t>SUNDSVALL</t>
        </is>
      </c>
      <c r="F9341" t="inlineStr">
        <is>
          <t>SCA</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2403-2025</t>
        </is>
      </c>
      <c r="B9342" s="1" t="n">
        <v>45672</v>
      </c>
      <c r="C9342" s="1" t="n">
        <v>46093</v>
      </c>
      <c r="D9342" t="inlineStr">
        <is>
          <t>VÄSTERNORRLANDS LÄN</t>
        </is>
      </c>
      <c r="E9342" t="inlineStr">
        <is>
          <t>TIMRÅ</t>
        </is>
      </c>
      <c r="G9342" t="n">
        <v>3.4</v>
      </c>
      <c r="H9342" t="n">
        <v>0</v>
      </c>
      <c r="I9342" t="n">
        <v>0</v>
      </c>
      <c r="J9342" t="n">
        <v>0</v>
      </c>
      <c r="K9342" t="n">
        <v>0</v>
      </c>
      <c r="L9342" t="n">
        <v>0</v>
      </c>
      <c r="M9342" t="n">
        <v>0</v>
      </c>
      <c r="N9342" t="n">
        <v>0</v>
      </c>
      <c r="O9342" t="n">
        <v>0</v>
      </c>
      <c r="P9342" t="n">
        <v>0</v>
      </c>
      <c r="Q9342" t="n">
        <v>0</v>
      </c>
      <c r="R9342" s="2" t="inlineStr"/>
    </row>
    <row r="9343" ht="15" customHeight="1">
      <c r="A9343" t="inlineStr">
        <is>
          <t>A 61159-2025</t>
        </is>
      </c>
      <c r="B9343" s="1" t="n">
        <v>46000.55240740741</v>
      </c>
      <c r="C9343" s="1" t="n">
        <v>46093</v>
      </c>
      <c r="D9343" t="inlineStr">
        <is>
          <t>VÄSTERNORRLANDS LÄN</t>
        </is>
      </c>
      <c r="E9343" t="inlineStr">
        <is>
          <t>KRAMFORS</t>
        </is>
      </c>
      <c r="G9343" t="n">
        <v>10.6</v>
      </c>
      <c r="H9343" t="n">
        <v>0</v>
      </c>
      <c r="I9343" t="n">
        <v>0</v>
      </c>
      <c r="J9343" t="n">
        <v>0</v>
      </c>
      <c r="K9343" t="n">
        <v>0</v>
      </c>
      <c r="L9343" t="n">
        <v>0</v>
      </c>
      <c r="M9343" t="n">
        <v>0</v>
      </c>
      <c r="N9343" t="n">
        <v>0</v>
      </c>
      <c r="O9343" t="n">
        <v>0</v>
      </c>
      <c r="P9343" t="n">
        <v>0</v>
      </c>
      <c r="Q9343" t="n">
        <v>0</v>
      </c>
      <c r="R9343" s="2" t="inlineStr"/>
    </row>
    <row r="9344" ht="15" customHeight="1">
      <c r="A9344" t="inlineStr">
        <is>
          <t>A 61513-2023</t>
        </is>
      </c>
      <c r="B9344" s="1" t="n">
        <v>45265</v>
      </c>
      <c r="C9344" s="1" t="n">
        <v>46093</v>
      </c>
      <c r="D9344" t="inlineStr">
        <is>
          <t>VÄSTERNORRLANDS LÄN</t>
        </is>
      </c>
      <c r="E9344" t="inlineStr">
        <is>
          <t>ÖRNSKÖLDSVIK</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27959-2021</t>
        </is>
      </c>
      <c r="B9345" s="1" t="n">
        <v>44354</v>
      </c>
      <c r="C9345" s="1" t="n">
        <v>46093</v>
      </c>
      <c r="D9345" t="inlineStr">
        <is>
          <t>VÄSTERNORRLANDS LÄN</t>
        </is>
      </c>
      <c r="E9345" t="inlineStr">
        <is>
          <t>SUNDSVALL</t>
        </is>
      </c>
      <c r="G9345" t="n">
        <v>1.3</v>
      </c>
      <c r="H9345" t="n">
        <v>0</v>
      </c>
      <c r="I9345" t="n">
        <v>0</v>
      </c>
      <c r="J9345" t="n">
        <v>0</v>
      </c>
      <c r="K9345" t="n">
        <v>0</v>
      </c>
      <c r="L9345" t="n">
        <v>0</v>
      </c>
      <c r="M9345" t="n">
        <v>0</v>
      </c>
      <c r="N9345" t="n">
        <v>0</v>
      </c>
      <c r="O9345" t="n">
        <v>0</v>
      </c>
      <c r="P9345" t="n">
        <v>0</v>
      </c>
      <c r="Q9345" t="n">
        <v>0</v>
      </c>
      <c r="R9345" s="2" t="inlineStr"/>
    </row>
    <row r="9346" ht="15" customHeight="1">
      <c r="A9346" t="inlineStr">
        <is>
          <t>A 55602-2024</t>
        </is>
      </c>
      <c r="B9346" s="1" t="n">
        <v>45622</v>
      </c>
      <c r="C9346" s="1" t="n">
        <v>46093</v>
      </c>
      <c r="D9346" t="inlineStr">
        <is>
          <t>VÄSTERNORRLANDS LÄN</t>
        </is>
      </c>
      <c r="E9346" t="inlineStr">
        <is>
          <t>TIMRÅ</t>
        </is>
      </c>
      <c r="G9346" t="n">
        <v>3.9</v>
      </c>
      <c r="H9346" t="n">
        <v>0</v>
      </c>
      <c r="I9346" t="n">
        <v>0</v>
      </c>
      <c r="J9346" t="n">
        <v>0</v>
      </c>
      <c r="K9346" t="n">
        <v>0</v>
      </c>
      <c r="L9346" t="n">
        <v>0</v>
      </c>
      <c r="M9346" t="n">
        <v>0</v>
      </c>
      <c r="N9346" t="n">
        <v>0</v>
      </c>
      <c r="O9346" t="n">
        <v>0</v>
      </c>
      <c r="P9346" t="n">
        <v>0</v>
      </c>
      <c r="Q9346" t="n">
        <v>0</v>
      </c>
      <c r="R9346" s="2" t="inlineStr"/>
    </row>
    <row r="9347" ht="15" customHeight="1">
      <c r="A9347" t="inlineStr">
        <is>
          <t>A 8778-2025</t>
        </is>
      </c>
      <c r="B9347" s="1" t="n">
        <v>45712.61539351852</v>
      </c>
      <c r="C9347" s="1" t="n">
        <v>46093</v>
      </c>
      <c r="D9347" t="inlineStr">
        <is>
          <t>VÄSTERNORRLANDS LÄN</t>
        </is>
      </c>
      <c r="E9347" t="inlineStr">
        <is>
          <t>ÅNGE</t>
        </is>
      </c>
      <c r="G9347" t="n">
        <v>3.4</v>
      </c>
      <c r="H9347" t="n">
        <v>0</v>
      </c>
      <c r="I9347" t="n">
        <v>0</v>
      </c>
      <c r="J9347" t="n">
        <v>0</v>
      </c>
      <c r="K9347" t="n">
        <v>0</v>
      </c>
      <c r="L9347" t="n">
        <v>0</v>
      </c>
      <c r="M9347" t="n">
        <v>0</v>
      </c>
      <c r="N9347" t="n">
        <v>0</v>
      </c>
      <c r="O9347" t="n">
        <v>0</v>
      </c>
      <c r="P9347" t="n">
        <v>0</v>
      </c>
      <c r="Q9347" t="n">
        <v>0</v>
      </c>
      <c r="R9347" s="2" t="inlineStr"/>
    </row>
    <row r="9348" ht="15" customHeight="1">
      <c r="A9348" t="inlineStr">
        <is>
          <t>A 27972-2021</t>
        </is>
      </c>
      <c r="B9348" s="1" t="n">
        <v>44354.93622685185</v>
      </c>
      <c r="C9348" s="1" t="n">
        <v>46093</v>
      </c>
      <c r="D9348" t="inlineStr">
        <is>
          <t>VÄSTERNORRLANDS LÄN</t>
        </is>
      </c>
      <c r="E9348" t="inlineStr">
        <is>
          <t>SOLLEFTEÅ</t>
        </is>
      </c>
      <c r="F9348" t="inlineStr">
        <is>
          <t>SCA</t>
        </is>
      </c>
      <c r="G9348" t="n">
        <v>3.8</v>
      </c>
      <c r="H9348" t="n">
        <v>0</v>
      </c>
      <c r="I9348" t="n">
        <v>0</v>
      </c>
      <c r="J9348" t="n">
        <v>0</v>
      </c>
      <c r="K9348" t="n">
        <v>0</v>
      </c>
      <c r="L9348" t="n">
        <v>0</v>
      </c>
      <c r="M9348" t="n">
        <v>0</v>
      </c>
      <c r="N9348" t="n">
        <v>0</v>
      </c>
      <c r="O9348" t="n">
        <v>0</v>
      </c>
      <c r="P9348" t="n">
        <v>0</v>
      </c>
      <c r="Q9348" t="n">
        <v>0</v>
      </c>
      <c r="R9348" s="2" t="inlineStr"/>
    </row>
    <row r="9349" ht="15" customHeight="1">
      <c r="A9349" t="inlineStr">
        <is>
          <t>A 61507-2025</t>
        </is>
      </c>
      <c r="B9349" s="1" t="n">
        <v>46001.68109953704</v>
      </c>
      <c r="C9349" s="1" t="n">
        <v>46093</v>
      </c>
      <c r="D9349" t="inlineStr">
        <is>
          <t>VÄSTERNORRLANDS LÄN</t>
        </is>
      </c>
      <c r="E9349" t="inlineStr">
        <is>
          <t>SOLLEFTEÅ</t>
        </is>
      </c>
      <c r="F9349" t="inlineStr">
        <is>
          <t>SCA</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61508-2025</t>
        </is>
      </c>
      <c r="B9350" s="1" t="n">
        <v>46001.68148148148</v>
      </c>
      <c r="C9350" s="1" t="n">
        <v>46093</v>
      </c>
      <c r="D9350" t="inlineStr">
        <is>
          <t>VÄSTERNORRLANDS LÄN</t>
        </is>
      </c>
      <c r="E9350" t="inlineStr">
        <is>
          <t>SUNDSVALL</t>
        </is>
      </c>
      <c r="F9350" t="inlineStr">
        <is>
          <t>Naturvårdsverket</t>
        </is>
      </c>
      <c r="G9350" t="n">
        <v>4.5</v>
      </c>
      <c r="H9350" t="n">
        <v>0</v>
      </c>
      <c r="I9350" t="n">
        <v>0</v>
      </c>
      <c r="J9350" t="n">
        <v>0</v>
      </c>
      <c r="K9350" t="n">
        <v>0</v>
      </c>
      <c r="L9350" t="n">
        <v>0</v>
      </c>
      <c r="M9350" t="n">
        <v>0</v>
      </c>
      <c r="N9350" t="n">
        <v>0</v>
      </c>
      <c r="O9350" t="n">
        <v>0</v>
      </c>
      <c r="P9350" t="n">
        <v>0</v>
      </c>
      <c r="Q9350" t="n">
        <v>0</v>
      </c>
      <c r="R9350" s="2" t="inlineStr"/>
    </row>
    <row r="9351" ht="15" customHeight="1">
      <c r="A9351" t="inlineStr">
        <is>
          <t>A 50203-2024</t>
        </is>
      </c>
      <c r="B9351" s="1" t="n">
        <v>45600.49369212963</v>
      </c>
      <c r="C9351" s="1" t="n">
        <v>46093</v>
      </c>
      <c r="D9351" t="inlineStr">
        <is>
          <t>VÄSTERNORRLANDS LÄN</t>
        </is>
      </c>
      <c r="E9351" t="inlineStr">
        <is>
          <t>SUNDSVALL</t>
        </is>
      </c>
      <c r="G9351" t="n">
        <v>0.3</v>
      </c>
      <c r="H9351" t="n">
        <v>0</v>
      </c>
      <c r="I9351" t="n">
        <v>0</v>
      </c>
      <c r="J9351" t="n">
        <v>0</v>
      </c>
      <c r="K9351" t="n">
        <v>0</v>
      </c>
      <c r="L9351" t="n">
        <v>0</v>
      </c>
      <c r="M9351" t="n">
        <v>0</v>
      </c>
      <c r="N9351" t="n">
        <v>0</v>
      </c>
      <c r="O9351" t="n">
        <v>0</v>
      </c>
      <c r="P9351" t="n">
        <v>0</v>
      </c>
      <c r="Q9351" t="n">
        <v>0</v>
      </c>
      <c r="R9351" s="2" t="inlineStr"/>
    </row>
    <row r="9352" ht="15" customHeight="1">
      <c r="A9352" t="inlineStr">
        <is>
          <t>A 29035-2023</t>
        </is>
      </c>
      <c r="B9352" s="1" t="n">
        <v>45104</v>
      </c>
      <c r="C9352" s="1" t="n">
        <v>46093</v>
      </c>
      <c r="D9352" t="inlineStr">
        <is>
          <t>VÄSTERNORRLANDS LÄN</t>
        </is>
      </c>
      <c r="E9352" t="inlineStr">
        <is>
          <t>SUNDSVALL</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1783-2024</t>
        </is>
      </c>
      <c r="B9353" s="1" t="n">
        <v>45307</v>
      </c>
      <c r="C9353" s="1" t="n">
        <v>46093</v>
      </c>
      <c r="D9353" t="inlineStr">
        <is>
          <t>VÄSTERNORRLANDS LÄN</t>
        </is>
      </c>
      <c r="E9353" t="inlineStr">
        <is>
          <t>KRAMFORS</t>
        </is>
      </c>
      <c r="G9353" t="n">
        <v>4.1</v>
      </c>
      <c r="H9353" t="n">
        <v>0</v>
      </c>
      <c r="I9353" t="n">
        <v>0</v>
      </c>
      <c r="J9353" t="n">
        <v>0</v>
      </c>
      <c r="K9353" t="n">
        <v>0</v>
      </c>
      <c r="L9353" t="n">
        <v>0</v>
      </c>
      <c r="M9353" t="n">
        <v>0</v>
      </c>
      <c r="N9353" t="n">
        <v>0</v>
      </c>
      <c r="O9353" t="n">
        <v>0</v>
      </c>
      <c r="P9353" t="n">
        <v>0</v>
      </c>
      <c r="Q9353" t="n">
        <v>0</v>
      </c>
      <c r="R9353" s="2" t="inlineStr"/>
    </row>
    <row r="9354" ht="15" customHeight="1">
      <c r="A9354" t="inlineStr">
        <is>
          <t>A 10687-2022</t>
        </is>
      </c>
      <c r="B9354" s="1" t="n">
        <v>44624.92684027777</v>
      </c>
      <c r="C9354" s="1" t="n">
        <v>46093</v>
      </c>
      <c r="D9354" t="inlineStr">
        <is>
          <t>VÄSTERNORRLANDS LÄN</t>
        </is>
      </c>
      <c r="E9354" t="inlineStr">
        <is>
          <t>ÅNGE</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61780-2025</t>
        </is>
      </c>
      <c r="B9355" s="1" t="n">
        <v>46002</v>
      </c>
      <c r="C9355" s="1" t="n">
        <v>46093</v>
      </c>
      <c r="D9355" t="inlineStr">
        <is>
          <t>VÄSTERNORRLANDS LÄN</t>
        </is>
      </c>
      <c r="E9355" t="inlineStr">
        <is>
          <t>SUNDSVALL</t>
        </is>
      </c>
      <c r="G9355" t="n">
        <v>4.8</v>
      </c>
      <c r="H9355" t="n">
        <v>0</v>
      </c>
      <c r="I9355" t="n">
        <v>0</v>
      </c>
      <c r="J9355" t="n">
        <v>0</v>
      </c>
      <c r="K9355" t="n">
        <v>0</v>
      </c>
      <c r="L9355" t="n">
        <v>0</v>
      </c>
      <c r="M9355" t="n">
        <v>0</v>
      </c>
      <c r="N9355" t="n">
        <v>0</v>
      </c>
      <c r="O9355" t="n">
        <v>0</v>
      </c>
      <c r="P9355" t="n">
        <v>0</v>
      </c>
      <c r="Q9355" t="n">
        <v>0</v>
      </c>
      <c r="R9355" s="2" t="inlineStr"/>
    </row>
    <row r="9356" ht="15" customHeight="1">
      <c r="A9356" t="inlineStr">
        <is>
          <t>A 58120-2023</t>
        </is>
      </c>
      <c r="B9356" s="1" t="n">
        <v>45249.92644675926</v>
      </c>
      <c r="C9356" s="1" t="n">
        <v>46093</v>
      </c>
      <c r="D9356" t="inlineStr">
        <is>
          <t>VÄSTERNORRLANDS LÄN</t>
        </is>
      </c>
      <c r="E9356" t="inlineStr">
        <is>
          <t>ÖRNSKÖLDSVIK</t>
        </is>
      </c>
      <c r="G9356" t="n">
        <v>3.8</v>
      </c>
      <c r="H9356" t="n">
        <v>0</v>
      </c>
      <c r="I9356" t="n">
        <v>0</v>
      </c>
      <c r="J9356" t="n">
        <v>0</v>
      </c>
      <c r="K9356" t="n">
        <v>0</v>
      </c>
      <c r="L9356" t="n">
        <v>0</v>
      </c>
      <c r="M9356" t="n">
        <v>0</v>
      </c>
      <c r="N9356" t="n">
        <v>0</v>
      </c>
      <c r="O9356" t="n">
        <v>0</v>
      </c>
      <c r="P9356" t="n">
        <v>0</v>
      </c>
      <c r="Q9356" t="n">
        <v>0</v>
      </c>
      <c r="R9356" s="2" t="inlineStr"/>
    </row>
    <row r="9357" ht="15" customHeight="1">
      <c r="A9357" t="inlineStr">
        <is>
          <t>A 61279-2025</t>
        </is>
      </c>
      <c r="B9357" s="1" t="n">
        <v>46000.69841435185</v>
      </c>
      <c r="C9357" s="1" t="n">
        <v>46093</v>
      </c>
      <c r="D9357" t="inlineStr">
        <is>
          <t>VÄSTERNORRLANDS LÄN</t>
        </is>
      </c>
      <c r="E9357" t="inlineStr">
        <is>
          <t>ÅNGE</t>
        </is>
      </c>
      <c r="F9357" t="inlineStr">
        <is>
          <t>SCA</t>
        </is>
      </c>
      <c r="G9357" t="n">
        <v>1.4</v>
      </c>
      <c r="H9357" t="n">
        <v>0</v>
      </c>
      <c r="I9357" t="n">
        <v>0</v>
      </c>
      <c r="J9357" t="n">
        <v>0</v>
      </c>
      <c r="K9357" t="n">
        <v>0</v>
      </c>
      <c r="L9357" t="n">
        <v>0</v>
      </c>
      <c r="M9357" t="n">
        <v>0</v>
      </c>
      <c r="N9357" t="n">
        <v>0</v>
      </c>
      <c r="O9357" t="n">
        <v>0</v>
      </c>
      <c r="P9357" t="n">
        <v>0</v>
      </c>
      <c r="Q9357" t="n">
        <v>0</v>
      </c>
      <c r="R9357" s="2" t="inlineStr"/>
    </row>
    <row r="9358" ht="15" customHeight="1">
      <c r="A9358" t="inlineStr">
        <is>
          <t>A 61663-2025</t>
        </is>
      </c>
      <c r="B9358" s="1" t="n">
        <v>46002.46935185185</v>
      </c>
      <c r="C9358" s="1" t="n">
        <v>46093</v>
      </c>
      <c r="D9358" t="inlineStr">
        <is>
          <t>VÄSTERNORRLANDS LÄN</t>
        </is>
      </c>
      <c r="E9358" t="inlineStr">
        <is>
          <t>SOLLEFTEÅ</t>
        </is>
      </c>
      <c r="F9358" t="inlineStr">
        <is>
          <t>SCA</t>
        </is>
      </c>
      <c r="G9358" t="n">
        <v>3</v>
      </c>
      <c r="H9358" t="n">
        <v>0</v>
      </c>
      <c r="I9358" t="n">
        <v>0</v>
      </c>
      <c r="J9358" t="n">
        <v>0</v>
      </c>
      <c r="K9358" t="n">
        <v>0</v>
      </c>
      <c r="L9358" t="n">
        <v>0</v>
      </c>
      <c r="M9358" t="n">
        <v>0</v>
      </c>
      <c r="N9358" t="n">
        <v>0</v>
      </c>
      <c r="O9358" t="n">
        <v>0</v>
      </c>
      <c r="P9358" t="n">
        <v>0</v>
      </c>
      <c r="Q9358" t="n">
        <v>0</v>
      </c>
      <c r="R9358" s="2" t="inlineStr"/>
    </row>
    <row r="9359" ht="15" customHeight="1">
      <c r="A9359" t="inlineStr">
        <is>
          <t>A 8070-2022</t>
        </is>
      </c>
      <c r="B9359" s="1" t="n">
        <v>44609.48665509259</v>
      </c>
      <c r="C9359" s="1" t="n">
        <v>46093</v>
      </c>
      <c r="D9359" t="inlineStr">
        <is>
          <t>VÄSTERNORRLANDS LÄN</t>
        </is>
      </c>
      <c r="E9359" t="inlineStr">
        <is>
          <t>ÅNGE</t>
        </is>
      </c>
      <c r="G9359" t="n">
        <v>3.5</v>
      </c>
      <c r="H9359" t="n">
        <v>0</v>
      </c>
      <c r="I9359" t="n">
        <v>0</v>
      </c>
      <c r="J9359" t="n">
        <v>0</v>
      </c>
      <c r="K9359" t="n">
        <v>0</v>
      </c>
      <c r="L9359" t="n">
        <v>0</v>
      </c>
      <c r="M9359" t="n">
        <v>0</v>
      </c>
      <c r="N9359" t="n">
        <v>0</v>
      </c>
      <c r="O9359" t="n">
        <v>0</v>
      </c>
      <c r="P9359" t="n">
        <v>0</v>
      </c>
      <c r="Q9359" t="n">
        <v>0</v>
      </c>
      <c r="R9359" s="2" t="inlineStr"/>
    </row>
    <row r="9360" ht="15" customHeight="1">
      <c r="A9360" t="inlineStr">
        <is>
          <t>A 61386-2025</t>
        </is>
      </c>
      <c r="B9360" s="1" t="n">
        <v>46001.45239583333</v>
      </c>
      <c r="C9360" s="1" t="n">
        <v>46093</v>
      </c>
      <c r="D9360" t="inlineStr">
        <is>
          <t>VÄSTERNORRLANDS LÄN</t>
        </is>
      </c>
      <c r="E9360" t="inlineStr">
        <is>
          <t>SUNDSVALL</t>
        </is>
      </c>
      <c r="G9360" t="n">
        <v>7.2</v>
      </c>
      <c r="H9360" t="n">
        <v>0</v>
      </c>
      <c r="I9360" t="n">
        <v>0</v>
      </c>
      <c r="J9360" t="n">
        <v>0</v>
      </c>
      <c r="K9360" t="n">
        <v>0</v>
      </c>
      <c r="L9360" t="n">
        <v>0</v>
      </c>
      <c r="M9360" t="n">
        <v>0</v>
      </c>
      <c r="N9360" t="n">
        <v>0</v>
      </c>
      <c r="O9360" t="n">
        <v>0</v>
      </c>
      <c r="P9360" t="n">
        <v>0</v>
      </c>
      <c r="Q9360" t="n">
        <v>0</v>
      </c>
      <c r="R9360" s="2" t="inlineStr"/>
    </row>
    <row r="9361" ht="15" customHeight="1">
      <c r="A9361" t="inlineStr">
        <is>
          <t>A 34100-2023</t>
        </is>
      </c>
      <c r="B9361" s="1" t="n">
        <v>45125</v>
      </c>
      <c r="C9361" s="1" t="n">
        <v>46093</v>
      </c>
      <c r="D9361" t="inlineStr">
        <is>
          <t>VÄSTERNORRLANDS LÄN</t>
        </is>
      </c>
      <c r="E9361" t="inlineStr">
        <is>
          <t>SOLLEFTEÅ</t>
        </is>
      </c>
      <c r="F9361" t="inlineStr">
        <is>
          <t>SCA</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41550-2023</t>
        </is>
      </c>
      <c r="B9362" s="1" t="n">
        <v>45175.57643518518</v>
      </c>
      <c r="C9362" s="1" t="n">
        <v>46093</v>
      </c>
      <c r="D9362" t="inlineStr">
        <is>
          <t>VÄSTERNORRLANDS LÄN</t>
        </is>
      </c>
      <c r="E9362" t="inlineStr">
        <is>
          <t>ÖRNSKÖLDSVIK</t>
        </is>
      </c>
      <c r="F9362" t="inlineStr">
        <is>
          <t>Holmen skog AB</t>
        </is>
      </c>
      <c r="G9362" t="n">
        <v>4.9</v>
      </c>
      <c r="H9362" t="n">
        <v>0</v>
      </c>
      <c r="I9362" t="n">
        <v>0</v>
      </c>
      <c r="J9362" t="n">
        <v>0</v>
      </c>
      <c r="K9362" t="n">
        <v>0</v>
      </c>
      <c r="L9362" t="n">
        <v>0</v>
      </c>
      <c r="M9362" t="n">
        <v>0</v>
      </c>
      <c r="N9362" t="n">
        <v>0</v>
      </c>
      <c r="O9362" t="n">
        <v>0</v>
      </c>
      <c r="P9362" t="n">
        <v>0</v>
      </c>
      <c r="Q9362" t="n">
        <v>0</v>
      </c>
      <c r="R9362" s="2" t="inlineStr"/>
    </row>
    <row r="9363" ht="15" customHeight="1">
      <c r="A9363" t="inlineStr">
        <is>
          <t>A 61688-2025</t>
        </is>
      </c>
      <c r="B9363" s="1" t="n">
        <v>46002.51072916666</v>
      </c>
      <c r="C9363" s="1" t="n">
        <v>46093</v>
      </c>
      <c r="D9363" t="inlineStr">
        <is>
          <t>VÄSTERNORRLANDS LÄN</t>
        </is>
      </c>
      <c r="E9363" t="inlineStr">
        <is>
          <t>ÖRNSKÖLDSVIK</t>
        </is>
      </c>
      <c r="G9363" t="n">
        <v>2.8</v>
      </c>
      <c r="H9363" t="n">
        <v>0</v>
      </c>
      <c r="I9363" t="n">
        <v>0</v>
      </c>
      <c r="J9363" t="n">
        <v>0</v>
      </c>
      <c r="K9363" t="n">
        <v>0</v>
      </c>
      <c r="L9363" t="n">
        <v>0</v>
      </c>
      <c r="M9363" t="n">
        <v>0</v>
      </c>
      <c r="N9363" t="n">
        <v>0</v>
      </c>
      <c r="O9363" t="n">
        <v>0</v>
      </c>
      <c r="P9363" t="n">
        <v>0</v>
      </c>
      <c r="Q9363" t="n">
        <v>0</v>
      </c>
      <c r="R9363" s="2" t="inlineStr"/>
    </row>
    <row r="9364" ht="15" customHeight="1">
      <c r="A9364" t="inlineStr">
        <is>
          <t>A 61439-2025</t>
        </is>
      </c>
      <c r="B9364" s="1" t="n">
        <v>46001.57010416667</v>
      </c>
      <c r="C9364" s="1" t="n">
        <v>46093</v>
      </c>
      <c r="D9364" t="inlineStr">
        <is>
          <t>VÄSTERNORRLANDS LÄN</t>
        </is>
      </c>
      <c r="E9364" t="inlineStr">
        <is>
          <t>ÅNGE</t>
        </is>
      </c>
      <c r="G9364" t="n">
        <v>6.7</v>
      </c>
      <c r="H9364" t="n">
        <v>0</v>
      </c>
      <c r="I9364" t="n">
        <v>0</v>
      </c>
      <c r="J9364" t="n">
        <v>0</v>
      </c>
      <c r="K9364" t="n">
        <v>0</v>
      </c>
      <c r="L9364" t="n">
        <v>0</v>
      </c>
      <c r="M9364" t="n">
        <v>0</v>
      </c>
      <c r="N9364" t="n">
        <v>0</v>
      </c>
      <c r="O9364" t="n">
        <v>0</v>
      </c>
      <c r="P9364" t="n">
        <v>0</v>
      </c>
      <c r="Q9364" t="n">
        <v>0</v>
      </c>
      <c r="R9364" s="2" t="inlineStr"/>
    </row>
    <row r="9365" ht="15" customHeight="1">
      <c r="A9365" t="inlineStr">
        <is>
          <t>A 46977-2024</t>
        </is>
      </c>
      <c r="B9365" s="1" t="n">
        <v>45586.3478125</v>
      </c>
      <c r="C9365" s="1" t="n">
        <v>46093</v>
      </c>
      <c r="D9365" t="inlineStr">
        <is>
          <t>VÄSTERNORRLANDS LÄN</t>
        </is>
      </c>
      <c r="E9365" t="inlineStr">
        <is>
          <t>ÖRNSKÖLDSVIK</t>
        </is>
      </c>
      <c r="G9365" t="n">
        <v>0.5</v>
      </c>
      <c r="H9365" t="n">
        <v>0</v>
      </c>
      <c r="I9365" t="n">
        <v>0</v>
      </c>
      <c r="J9365" t="n">
        <v>0</v>
      </c>
      <c r="K9365" t="n">
        <v>0</v>
      </c>
      <c r="L9365" t="n">
        <v>0</v>
      </c>
      <c r="M9365" t="n">
        <v>0</v>
      </c>
      <c r="N9365" t="n">
        <v>0</v>
      </c>
      <c r="O9365" t="n">
        <v>0</v>
      </c>
      <c r="P9365" t="n">
        <v>0</v>
      </c>
      <c r="Q9365" t="n">
        <v>0</v>
      </c>
      <c r="R9365" s="2" t="inlineStr"/>
    </row>
    <row r="9366" ht="15" customHeight="1">
      <c r="A9366" t="inlineStr">
        <is>
          <t>A 44258-2023</t>
        </is>
      </c>
      <c r="B9366" s="1" t="n">
        <v>45188.59456018519</v>
      </c>
      <c r="C9366" s="1" t="n">
        <v>46093</v>
      </c>
      <c r="D9366" t="inlineStr">
        <is>
          <t>VÄSTERNORRLANDS LÄN</t>
        </is>
      </c>
      <c r="E9366" t="inlineStr">
        <is>
          <t>ÖRNSKÖLDSVIK</t>
        </is>
      </c>
      <c r="F9366" t="inlineStr">
        <is>
          <t>Holmen skog AB</t>
        </is>
      </c>
      <c r="G9366" t="n">
        <v>4.3</v>
      </c>
      <c r="H9366" t="n">
        <v>0</v>
      </c>
      <c r="I9366" t="n">
        <v>0</v>
      </c>
      <c r="J9366" t="n">
        <v>0</v>
      </c>
      <c r="K9366" t="n">
        <v>0</v>
      </c>
      <c r="L9366" t="n">
        <v>0</v>
      </c>
      <c r="M9366" t="n">
        <v>0</v>
      </c>
      <c r="N9366" t="n">
        <v>0</v>
      </c>
      <c r="O9366" t="n">
        <v>0</v>
      </c>
      <c r="P9366" t="n">
        <v>0</v>
      </c>
      <c r="Q9366" t="n">
        <v>0</v>
      </c>
      <c r="R9366" s="2" t="inlineStr"/>
    </row>
    <row r="9367" ht="15" customHeight="1">
      <c r="A9367" t="inlineStr">
        <is>
          <t>A 61732-2025</t>
        </is>
      </c>
      <c r="B9367" s="1" t="n">
        <v>46002.59408564815</v>
      </c>
      <c r="C9367" s="1" t="n">
        <v>46093</v>
      </c>
      <c r="D9367" t="inlineStr">
        <is>
          <t>VÄSTERNORRLANDS LÄN</t>
        </is>
      </c>
      <c r="E9367" t="inlineStr">
        <is>
          <t>SOLLEFTEÅ</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61733-2025</t>
        </is>
      </c>
      <c r="B9368" s="1" t="n">
        <v>46002.59412037037</v>
      </c>
      <c r="C9368" s="1" t="n">
        <v>46093</v>
      </c>
      <c r="D9368" t="inlineStr">
        <is>
          <t>VÄSTERNORRLANDS LÄN</t>
        </is>
      </c>
      <c r="E9368" t="inlineStr">
        <is>
          <t>SOLLEFTEÅ</t>
        </is>
      </c>
      <c r="G9368" t="n">
        <v>0.5</v>
      </c>
      <c r="H9368" t="n">
        <v>0</v>
      </c>
      <c r="I9368" t="n">
        <v>0</v>
      </c>
      <c r="J9368" t="n">
        <v>0</v>
      </c>
      <c r="K9368" t="n">
        <v>0</v>
      </c>
      <c r="L9368" t="n">
        <v>0</v>
      </c>
      <c r="M9368" t="n">
        <v>0</v>
      </c>
      <c r="N9368" t="n">
        <v>0</v>
      </c>
      <c r="O9368" t="n">
        <v>0</v>
      </c>
      <c r="P9368" t="n">
        <v>0</v>
      </c>
      <c r="Q9368" t="n">
        <v>0</v>
      </c>
      <c r="R9368" s="2" t="inlineStr"/>
    </row>
    <row r="9369" ht="15" customHeight="1">
      <c r="A9369" t="inlineStr">
        <is>
          <t>A 61753-2025</t>
        </is>
      </c>
      <c r="B9369" s="1" t="n">
        <v>46002.61491898148</v>
      </c>
      <c r="C9369" s="1" t="n">
        <v>46093</v>
      </c>
      <c r="D9369" t="inlineStr">
        <is>
          <t>VÄSTERNORRLANDS LÄN</t>
        </is>
      </c>
      <c r="E9369" t="inlineStr">
        <is>
          <t>KRAMFORS</t>
        </is>
      </c>
      <c r="G9369" t="n">
        <v>1.5</v>
      </c>
      <c r="H9369" t="n">
        <v>0</v>
      </c>
      <c r="I9369" t="n">
        <v>0</v>
      </c>
      <c r="J9369" t="n">
        <v>0</v>
      </c>
      <c r="K9369" t="n">
        <v>0</v>
      </c>
      <c r="L9369" t="n">
        <v>0</v>
      </c>
      <c r="M9369" t="n">
        <v>0</v>
      </c>
      <c r="N9369" t="n">
        <v>0</v>
      </c>
      <c r="O9369" t="n">
        <v>0</v>
      </c>
      <c r="P9369" t="n">
        <v>0</v>
      </c>
      <c r="Q9369" t="n">
        <v>0</v>
      </c>
      <c r="R9369" s="2" t="inlineStr"/>
    </row>
    <row r="9370" ht="15" customHeight="1">
      <c r="A9370" t="inlineStr">
        <is>
          <t>A 23730-2024</t>
        </is>
      </c>
      <c r="B9370" s="1" t="n">
        <v>45454.95877314815</v>
      </c>
      <c r="C9370" s="1" t="n">
        <v>46093</v>
      </c>
      <c r="D9370" t="inlineStr">
        <is>
          <t>VÄSTERNORRLANDS LÄN</t>
        </is>
      </c>
      <c r="E9370" t="inlineStr">
        <is>
          <t>SOLLEFTEÅ</t>
        </is>
      </c>
      <c r="F9370" t="inlineStr">
        <is>
          <t>SCA</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59121-2023</t>
        </is>
      </c>
      <c r="B9371" s="1" t="n">
        <v>45251</v>
      </c>
      <c r="C9371" s="1" t="n">
        <v>46093</v>
      </c>
      <c r="D9371" t="inlineStr">
        <is>
          <t>VÄSTERNORRLANDS LÄN</t>
        </is>
      </c>
      <c r="E9371" t="inlineStr">
        <is>
          <t>HÄRNÖSAND</t>
        </is>
      </c>
      <c r="G9371" t="n">
        <v>3</v>
      </c>
      <c r="H9371" t="n">
        <v>0</v>
      </c>
      <c r="I9371" t="n">
        <v>0</v>
      </c>
      <c r="J9371" t="n">
        <v>0</v>
      </c>
      <c r="K9371" t="n">
        <v>0</v>
      </c>
      <c r="L9371" t="n">
        <v>0</v>
      </c>
      <c r="M9371" t="n">
        <v>0</v>
      </c>
      <c r="N9371" t="n">
        <v>0</v>
      </c>
      <c r="O9371" t="n">
        <v>0</v>
      </c>
      <c r="P9371" t="n">
        <v>0</v>
      </c>
      <c r="Q9371" t="n">
        <v>0</v>
      </c>
      <c r="R9371" s="2" t="inlineStr"/>
    </row>
    <row r="9372" ht="15" customHeight="1">
      <c r="A9372" t="inlineStr">
        <is>
          <t>A 7229-2024</t>
        </is>
      </c>
      <c r="B9372" s="1" t="n">
        <v>45344</v>
      </c>
      <c r="C9372" s="1" t="n">
        <v>46093</v>
      </c>
      <c r="D9372" t="inlineStr">
        <is>
          <t>VÄSTERNORRLANDS LÄN</t>
        </is>
      </c>
      <c r="E9372" t="inlineStr">
        <is>
          <t>SUNDSVALL</t>
        </is>
      </c>
      <c r="G9372" t="n">
        <v>2.5</v>
      </c>
      <c r="H9372" t="n">
        <v>0</v>
      </c>
      <c r="I9372" t="n">
        <v>0</v>
      </c>
      <c r="J9372" t="n">
        <v>0</v>
      </c>
      <c r="K9372" t="n">
        <v>0</v>
      </c>
      <c r="L9372" t="n">
        <v>0</v>
      </c>
      <c r="M9372" t="n">
        <v>0</v>
      </c>
      <c r="N9372" t="n">
        <v>0</v>
      </c>
      <c r="O9372" t="n">
        <v>0</v>
      </c>
      <c r="P9372" t="n">
        <v>0</v>
      </c>
      <c r="Q9372" t="n">
        <v>0</v>
      </c>
      <c r="R9372" s="2" t="inlineStr"/>
    </row>
    <row r="9373" ht="15" customHeight="1">
      <c r="A9373" t="inlineStr">
        <is>
          <t>A 36514-2023</t>
        </is>
      </c>
      <c r="B9373" s="1" t="n">
        <v>45152.95377314815</v>
      </c>
      <c r="C9373" s="1" t="n">
        <v>46093</v>
      </c>
      <c r="D9373" t="inlineStr">
        <is>
          <t>VÄSTERNORRLANDS LÄN</t>
        </is>
      </c>
      <c r="E9373" t="inlineStr">
        <is>
          <t>SOLLEFTEÅ</t>
        </is>
      </c>
      <c r="F9373" t="inlineStr">
        <is>
          <t>SCA</t>
        </is>
      </c>
      <c r="G9373" t="n">
        <v>2.3</v>
      </c>
      <c r="H9373" t="n">
        <v>0</v>
      </c>
      <c r="I9373" t="n">
        <v>0</v>
      </c>
      <c r="J9373" t="n">
        <v>0</v>
      </c>
      <c r="K9373" t="n">
        <v>0</v>
      </c>
      <c r="L9373" t="n">
        <v>0</v>
      </c>
      <c r="M9373" t="n">
        <v>0</v>
      </c>
      <c r="N9373" t="n">
        <v>0</v>
      </c>
      <c r="O9373" t="n">
        <v>0</v>
      </c>
      <c r="P9373" t="n">
        <v>0</v>
      </c>
      <c r="Q9373" t="n">
        <v>0</v>
      </c>
      <c r="R9373" s="2" t="inlineStr"/>
    </row>
    <row r="9374" ht="15" customHeight="1">
      <c r="A9374" t="inlineStr">
        <is>
          <t>A 61318-2025</t>
        </is>
      </c>
      <c r="B9374" s="1" t="n">
        <v>46000.94104166667</v>
      </c>
      <c r="C9374" s="1" t="n">
        <v>46093</v>
      </c>
      <c r="D9374" t="inlineStr">
        <is>
          <t>VÄSTERNORRLANDS LÄN</t>
        </is>
      </c>
      <c r="E9374" t="inlineStr">
        <is>
          <t>KRAMFORS</t>
        </is>
      </c>
      <c r="G9374" t="n">
        <v>1.6</v>
      </c>
      <c r="H9374" t="n">
        <v>0</v>
      </c>
      <c r="I9374" t="n">
        <v>0</v>
      </c>
      <c r="J9374" t="n">
        <v>0</v>
      </c>
      <c r="K9374" t="n">
        <v>0</v>
      </c>
      <c r="L9374" t="n">
        <v>0</v>
      </c>
      <c r="M9374" t="n">
        <v>0</v>
      </c>
      <c r="N9374" t="n">
        <v>0</v>
      </c>
      <c r="O9374" t="n">
        <v>0</v>
      </c>
      <c r="P9374" t="n">
        <v>0</v>
      </c>
      <c r="Q9374" t="n">
        <v>0</v>
      </c>
      <c r="R9374" s="2" t="inlineStr"/>
    </row>
    <row r="9375" ht="15" customHeight="1">
      <c r="A9375" t="inlineStr">
        <is>
          <t>A 33647-2021</t>
        </is>
      </c>
      <c r="B9375" s="1" t="n">
        <v>44377</v>
      </c>
      <c r="C9375" s="1" t="n">
        <v>46093</v>
      </c>
      <c r="D9375" t="inlineStr">
        <is>
          <t>VÄSTERNORRLANDS LÄN</t>
        </is>
      </c>
      <c r="E9375" t="inlineStr">
        <is>
          <t>KRAMFORS</t>
        </is>
      </c>
      <c r="G9375" t="n">
        <v>5</v>
      </c>
      <c r="H9375" t="n">
        <v>0</v>
      </c>
      <c r="I9375" t="n">
        <v>0</v>
      </c>
      <c r="J9375" t="n">
        <v>0</v>
      </c>
      <c r="K9375" t="n">
        <v>0</v>
      </c>
      <c r="L9375" t="n">
        <v>0</v>
      </c>
      <c r="M9375" t="n">
        <v>0</v>
      </c>
      <c r="N9375" t="n">
        <v>0</v>
      </c>
      <c r="O9375" t="n">
        <v>0</v>
      </c>
      <c r="P9375" t="n">
        <v>0</v>
      </c>
      <c r="Q9375" t="n">
        <v>0</v>
      </c>
      <c r="R9375" s="2" t="inlineStr"/>
    </row>
    <row r="9376" ht="15" customHeight="1">
      <c r="A9376" t="inlineStr">
        <is>
          <t>A 61347-2025</t>
        </is>
      </c>
      <c r="B9376" s="1" t="n">
        <v>46001.3863425926</v>
      </c>
      <c r="C9376" s="1" t="n">
        <v>46093</v>
      </c>
      <c r="D9376" t="inlineStr">
        <is>
          <t>VÄSTERNORRLANDS LÄN</t>
        </is>
      </c>
      <c r="E9376" t="inlineStr">
        <is>
          <t>SOLLEFTEÅ</t>
        </is>
      </c>
      <c r="F9376" t="inlineStr">
        <is>
          <t>SCA</t>
        </is>
      </c>
      <c r="G9376" t="n">
        <v>5.8</v>
      </c>
      <c r="H9376" t="n">
        <v>0</v>
      </c>
      <c r="I9376" t="n">
        <v>0</v>
      </c>
      <c r="J9376" t="n">
        <v>0</v>
      </c>
      <c r="K9376" t="n">
        <v>0</v>
      </c>
      <c r="L9376" t="n">
        <v>0</v>
      </c>
      <c r="M9376" t="n">
        <v>0</v>
      </c>
      <c r="N9376" t="n">
        <v>0</v>
      </c>
      <c r="O9376" t="n">
        <v>0</v>
      </c>
      <c r="P9376" t="n">
        <v>0</v>
      </c>
      <c r="Q9376" t="n">
        <v>0</v>
      </c>
      <c r="R9376" s="2" t="inlineStr"/>
    </row>
    <row r="9377" ht="15" customHeight="1">
      <c r="A9377" t="inlineStr">
        <is>
          <t>A 61348-2025</t>
        </is>
      </c>
      <c r="B9377" s="1" t="n">
        <v>46001.38648148148</v>
      </c>
      <c r="C9377" s="1" t="n">
        <v>46093</v>
      </c>
      <c r="D9377" t="inlineStr">
        <is>
          <t>VÄSTERNORRLANDS LÄN</t>
        </is>
      </c>
      <c r="E9377" t="inlineStr">
        <is>
          <t>TIMRÅ</t>
        </is>
      </c>
      <c r="F9377" t="inlineStr">
        <is>
          <t>SCA</t>
        </is>
      </c>
      <c r="G9377" t="n">
        <v>6.1</v>
      </c>
      <c r="H9377" t="n">
        <v>0</v>
      </c>
      <c r="I9377" t="n">
        <v>0</v>
      </c>
      <c r="J9377" t="n">
        <v>0</v>
      </c>
      <c r="K9377" t="n">
        <v>0</v>
      </c>
      <c r="L9377" t="n">
        <v>0</v>
      </c>
      <c r="M9377" t="n">
        <v>0</v>
      </c>
      <c r="N9377" t="n">
        <v>0</v>
      </c>
      <c r="O9377" t="n">
        <v>0</v>
      </c>
      <c r="P9377" t="n">
        <v>0</v>
      </c>
      <c r="Q9377" t="n">
        <v>0</v>
      </c>
      <c r="R9377" s="2" t="inlineStr"/>
    </row>
    <row r="9378" ht="15" customHeight="1">
      <c r="A9378" t="inlineStr">
        <is>
          <t>A 61350-2025</t>
        </is>
      </c>
      <c r="B9378" s="1" t="n">
        <v>46001.38677083333</v>
      </c>
      <c r="C9378" s="1" t="n">
        <v>46093</v>
      </c>
      <c r="D9378" t="inlineStr">
        <is>
          <t>VÄSTERNORRLANDS LÄN</t>
        </is>
      </c>
      <c r="E9378" t="inlineStr">
        <is>
          <t>TIMRÅ</t>
        </is>
      </c>
      <c r="F9378" t="inlineStr">
        <is>
          <t>SCA</t>
        </is>
      </c>
      <c r="G9378" t="n">
        <v>2.1</v>
      </c>
      <c r="H9378" t="n">
        <v>0</v>
      </c>
      <c r="I9378" t="n">
        <v>0</v>
      </c>
      <c r="J9378" t="n">
        <v>0</v>
      </c>
      <c r="K9378" t="n">
        <v>0</v>
      </c>
      <c r="L9378" t="n">
        <v>0</v>
      </c>
      <c r="M9378" t="n">
        <v>0</v>
      </c>
      <c r="N9378" t="n">
        <v>0</v>
      </c>
      <c r="O9378" t="n">
        <v>0</v>
      </c>
      <c r="P9378" t="n">
        <v>0</v>
      </c>
      <c r="Q9378" t="n">
        <v>0</v>
      </c>
      <c r="R9378" s="2" t="inlineStr"/>
    </row>
    <row r="9379" ht="15" customHeight="1">
      <c r="A9379" t="inlineStr">
        <is>
          <t>A 3276-2025</t>
        </is>
      </c>
      <c r="B9379" s="1" t="n">
        <v>45679.59986111111</v>
      </c>
      <c r="C9379" s="1" t="n">
        <v>46093</v>
      </c>
      <c r="D9379" t="inlineStr">
        <is>
          <t>VÄSTERNORRLANDS LÄN</t>
        </is>
      </c>
      <c r="E9379" t="inlineStr">
        <is>
          <t>SOLLEFTEÅ</t>
        </is>
      </c>
      <c r="G9379" t="n">
        <v>4.2</v>
      </c>
      <c r="H9379" t="n">
        <v>0</v>
      </c>
      <c r="I9379" t="n">
        <v>0</v>
      </c>
      <c r="J9379" t="n">
        <v>0</v>
      </c>
      <c r="K9379" t="n">
        <v>0</v>
      </c>
      <c r="L9379" t="n">
        <v>0</v>
      </c>
      <c r="M9379" t="n">
        <v>0</v>
      </c>
      <c r="N9379" t="n">
        <v>0</v>
      </c>
      <c r="O9379" t="n">
        <v>0</v>
      </c>
      <c r="P9379" t="n">
        <v>0</v>
      </c>
      <c r="Q9379" t="n">
        <v>0</v>
      </c>
      <c r="R9379" s="2" t="inlineStr"/>
    </row>
    <row r="9380" ht="15" customHeight="1">
      <c r="A9380" t="inlineStr">
        <is>
          <t>A 61442-2025</t>
        </is>
      </c>
      <c r="B9380" s="1" t="n">
        <v>46001</v>
      </c>
      <c r="C9380" s="1" t="n">
        <v>46093</v>
      </c>
      <c r="D9380" t="inlineStr">
        <is>
          <t>VÄSTERNORRLANDS LÄN</t>
        </is>
      </c>
      <c r="E9380" t="inlineStr">
        <is>
          <t>SOLLEFTEÅ</t>
        </is>
      </c>
      <c r="F9380" t="inlineStr">
        <is>
          <t>SCA</t>
        </is>
      </c>
      <c r="G9380" t="n">
        <v>12.8</v>
      </c>
      <c r="H9380" t="n">
        <v>0</v>
      </c>
      <c r="I9380" t="n">
        <v>0</v>
      </c>
      <c r="J9380" t="n">
        <v>0</v>
      </c>
      <c r="K9380" t="n">
        <v>0</v>
      </c>
      <c r="L9380" t="n">
        <v>0</v>
      </c>
      <c r="M9380" t="n">
        <v>0</v>
      </c>
      <c r="N9380" t="n">
        <v>0</v>
      </c>
      <c r="O9380" t="n">
        <v>0</v>
      </c>
      <c r="P9380" t="n">
        <v>0</v>
      </c>
      <c r="Q9380" t="n">
        <v>0</v>
      </c>
      <c r="R9380" s="2" t="inlineStr"/>
    </row>
    <row r="9381" ht="15" customHeight="1">
      <c r="A9381" t="inlineStr">
        <is>
          <t>A 21704-2022</t>
        </is>
      </c>
      <c r="B9381" s="1" t="n">
        <v>44707</v>
      </c>
      <c r="C9381" s="1" t="n">
        <v>46093</v>
      </c>
      <c r="D9381" t="inlineStr">
        <is>
          <t>VÄSTERNORRLANDS LÄN</t>
        </is>
      </c>
      <c r="E9381" t="inlineStr">
        <is>
          <t>ÖRNSKÖLDSVIK</t>
        </is>
      </c>
      <c r="F9381" t="inlineStr">
        <is>
          <t>SCA</t>
        </is>
      </c>
      <c r="G9381" t="n">
        <v>1.6</v>
      </c>
      <c r="H9381" t="n">
        <v>0</v>
      </c>
      <c r="I9381" t="n">
        <v>0</v>
      </c>
      <c r="J9381" t="n">
        <v>0</v>
      </c>
      <c r="K9381" t="n">
        <v>0</v>
      </c>
      <c r="L9381" t="n">
        <v>0</v>
      </c>
      <c r="M9381" t="n">
        <v>0</v>
      </c>
      <c r="N9381" t="n">
        <v>0</v>
      </c>
      <c r="O9381" t="n">
        <v>0</v>
      </c>
      <c r="P9381" t="n">
        <v>0</v>
      </c>
      <c r="Q9381" t="n">
        <v>0</v>
      </c>
      <c r="R9381" s="2" t="inlineStr"/>
    </row>
    <row r="9382" ht="15" customHeight="1">
      <c r="A9382" t="inlineStr">
        <is>
          <t>A 21707-2022</t>
        </is>
      </c>
      <c r="B9382" s="1" t="n">
        <v>44707</v>
      </c>
      <c r="C9382" s="1" t="n">
        <v>46093</v>
      </c>
      <c r="D9382" t="inlineStr">
        <is>
          <t>VÄSTERNORRLANDS LÄN</t>
        </is>
      </c>
      <c r="E9382" t="inlineStr">
        <is>
          <t>ÖRNSKÖLDSVIK</t>
        </is>
      </c>
      <c r="F9382" t="inlineStr">
        <is>
          <t>SCA</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21890-2023</t>
        </is>
      </c>
      <c r="B9383" s="1" t="n">
        <v>45068</v>
      </c>
      <c r="C9383" s="1" t="n">
        <v>46093</v>
      </c>
      <c r="D9383" t="inlineStr">
        <is>
          <t>VÄSTERNORRLANDS LÄN</t>
        </is>
      </c>
      <c r="E9383" t="inlineStr">
        <is>
          <t>ÖRNSKÖLDSVIK</t>
        </is>
      </c>
      <c r="F9383" t="inlineStr">
        <is>
          <t>Kyrkan</t>
        </is>
      </c>
      <c r="G9383" t="n">
        <v>1.5</v>
      </c>
      <c r="H9383" t="n">
        <v>0</v>
      </c>
      <c r="I9383" t="n">
        <v>0</v>
      </c>
      <c r="J9383" t="n">
        <v>0</v>
      </c>
      <c r="K9383" t="n">
        <v>0</v>
      </c>
      <c r="L9383" t="n">
        <v>0</v>
      </c>
      <c r="M9383" t="n">
        <v>0</v>
      </c>
      <c r="N9383" t="n">
        <v>0</v>
      </c>
      <c r="O9383" t="n">
        <v>0</v>
      </c>
      <c r="P9383" t="n">
        <v>0</v>
      </c>
      <c r="Q9383" t="n">
        <v>0</v>
      </c>
      <c r="R9383" s="2" t="inlineStr"/>
    </row>
    <row r="9384" ht="15" customHeight="1">
      <c r="A9384" t="inlineStr">
        <is>
          <t>A 50405-2022</t>
        </is>
      </c>
      <c r="B9384" s="1" t="n">
        <v>44861</v>
      </c>
      <c r="C9384" s="1" t="n">
        <v>46093</v>
      </c>
      <c r="D9384" t="inlineStr">
        <is>
          <t>VÄSTERNORRLANDS LÄN</t>
        </is>
      </c>
      <c r="E9384" t="inlineStr">
        <is>
          <t>SUNDSVALL</t>
        </is>
      </c>
      <c r="G9384" t="n">
        <v>1</v>
      </c>
      <c r="H9384" t="n">
        <v>0</v>
      </c>
      <c r="I9384" t="n">
        <v>0</v>
      </c>
      <c r="J9384" t="n">
        <v>0</v>
      </c>
      <c r="K9384" t="n">
        <v>0</v>
      </c>
      <c r="L9384" t="n">
        <v>0</v>
      </c>
      <c r="M9384" t="n">
        <v>0</v>
      </c>
      <c r="N9384" t="n">
        <v>0</v>
      </c>
      <c r="O9384" t="n">
        <v>0</v>
      </c>
      <c r="P9384" t="n">
        <v>0</v>
      </c>
      <c r="Q9384" t="n">
        <v>0</v>
      </c>
      <c r="R9384" s="2" t="inlineStr"/>
    </row>
    <row r="9385" ht="15" customHeight="1">
      <c r="A9385" t="inlineStr">
        <is>
          <t>A 18185-2025</t>
        </is>
      </c>
      <c r="B9385" s="1" t="n">
        <v>45761.66724537037</v>
      </c>
      <c r="C9385" s="1" t="n">
        <v>46093</v>
      </c>
      <c r="D9385" t="inlineStr">
        <is>
          <t>VÄSTERNORRLANDS LÄN</t>
        </is>
      </c>
      <c r="E9385" t="inlineStr">
        <is>
          <t>SOLLEFTEÅ</t>
        </is>
      </c>
      <c r="G9385" t="n">
        <v>2.5</v>
      </c>
      <c r="H9385" t="n">
        <v>0</v>
      </c>
      <c r="I9385" t="n">
        <v>0</v>
      </c>
      <c r="J9385" t="n">
        <v>0</v>
      </c>
      <c r="K9385" t="n">
        <v>0</v>
      </c>
      <c r="L9385" t="n">
        <v>0</v>
      </c>
      <c r="M9385" t="n">
        <v>0</v>
      </c>
      <c r="N9385" t="n">
        <v>0</v>
      </c>
      <c r="O9385" t="n">
        <v>0</v>
      </c>
      <c r="P9385" t="n">
        <v>0</v>
      </c>
      <c r="Q9385" t="n">
        <v>0</v>
      </c>
      <c r="R9385" s="2" t="inlineStr"/>
    </row>
    <row r="9386" ht="15" customHeight="1">
      <c r="A9386" t="inlineStr">
        <is>
          <t>A 231-2024</t>
        </is>
      </c>
      <c r="B9386" s="1" t="n">
        <v>45294</v>
      </c>
      <c r="C9386" s="1" t="n">
        <v>46093</v>
      </c>
      <c r="D9386" t="inlineStr">
        <is>
          <t>VÄSTERNORRLANDS LÄN</t>
        </is>
      </c>
      <c r="E9386" t="inlineStr">
        <is>
          <t>SUNDSVALL</t>
        </is>
      </c>
      <c r="G9386" t="n">
        <v>5.9</v>
      </c>
      <c r="H9386" t="n">
        <v>0</v>
      </c>
      <c r="I9386" t="n">
        <v>0</v>
      </c>
      <c r="J9386" t="n">
        <v>0</v>
      </c>
      <c r="K9386" t="n">
        <v>0</v>
      </c>
      <c r="L9386" t="n">
        <v>0</v>
      </c>
      <c r="M9386" t="n">
        <v>0</v>
      </c>
      <c r="N9386" t="n">
        <v>0</v>
      </c>
      <c r="O9386" t="n">
        <v>0</v>
      </c>
      <c r="P9386" t="n">
        <v>0</v>
      </c>
      <c r="Q9386" t="n">
        <v>0</v>
      </c>
      <c r="R9386" s="2" t="inlineStr"/>
    </row>
    <row r="9387" ht="15" customHeight="1">
      <c r="A9387" t="inlineStr">
        <is>
          <t>A 237-2024</t>
        </is>
      </c>
      <c r="B9387" s="1" t="n">
        <v>45294</v>
      </c>
      <c r="C9387" s="1" t="n">
        <v>46093</v>
      </c>
      <c r="D9387" t="inlineStr">
        <is>
          <t>VÄSTERNORRLANDS LÄN</t>
        </is>
      </c>
      <c r="E9387" t="inlineStr">
        <is>
          <t>KRAMFORS</t>
        </is>
      </c>
      <c r="G9387" t="n">
        <v>12.3</v>
      </c>
      <c r="H9387" t="n">
        <v>0</v>
      </c>
      <c r="I9387" t="n">
        <v>0</v>
      </c>
      <c r="J9387" t="n">
        <v>0</v>
      </c>
      <c r="K9387" t="n">
        <v>0</v>
      </c>
      <c r="L9387" t="n">
        <v>0</v>
      </c>
      <c r="M9387" t="n">
        <v>0</v>
      </c>
      <c r="N9387" t="n">
        <v>0</v>
      </c>
      <c r="O9387" t="n">
        <v>0</v>
      </c>
      <c r="P9387" t="n">
        <v>0</v>
      </c>
      <c r="Q9387" t="n">
        <v>0</v>
      </c>
      <c r="R9387" s="2" t="inlineStr"/>
    </row>
    <row r="9388" ht="15" customHeight="1">
      <c r="A9388" t="inlineStr">
        <is>
          <t>A 61656-2025</t>
        </is>
      </c>
      <c r="B9388" s="1" t="n">
        <v>46002.44873842593</v>
      </c>
      <c r="C9388" s="1" t="n">
        <v>46093</v>
      </c>
      <c r="D9388" t="inlineStr">
        <is>
          <t>VÄSTERNORRLANDS LÄN</t>
        </is>
      </c>
      <c r="E9388" t="inlineStr">
        <is>
          <t>ÅNGE</t>
        </is>
      </c>
      <c r="G9388" t="n">
        <v>2.9</v>
      </c>
      <c r="H9388" t="n">
        <v>0</v>
      </c>
      <c r="I9388" t="n">
        <v>0</v>
      </c>
      <c r="J9388" t="n">
        <v>0</v>
      </c>
      <c r="K9388" t="n">
        <v>0</v>
      </c>
      <c r="L9388" t="n">
        <v>0</v>
      </c>
      <c r="M9388" t="n">
        <v>0</v>
      </c>
      <c r="N9388" t="n">
        <v>0</v>
      </c>
      <c r="O9388" t="n">
        <v>0</v>
      </c>
      <c r="P9388" t="n">
        <v>0</v>
      </c>
      <c r="Q9388" t="n">
        <v>0</v>
      </c>
      <c r="R9388" s="2" t="inlineStr"/>
    </row>
    <row r="9389" ht="15" customHeight="1">
      <c r="A9389" t="inlineStr">
        <is>
          <t>A 61658-2025</t>
        </is>
      </c>
      <c r="B9389" s="1" t="n">
        <v>46002</v>
      </c>
      <c r="C9389" s="1" t="n">
        <v>46093</v>
      </c>
      <c r="D9389" t="inlineStr">
        <is>
          <t>VÄSTERNORRLANDS LÄN</t>
        </is>
      </c>
      <c r="E9389" t="inlineStr">
        <is>
          <t>ÖRNSKÖLDSVIK</t>
        </is>
      </c>
      <c r="G9389" t="n">
        <v>6.3</v>
      </c>
      <c r="H9389" t="n">
        <v>0</v>
      </c>
      <c r="I9389" t="n">
        <v>0</v>
      </c>
      <c r="J9389" t="n">
        <v>0</v>
      </c>
      <c r="K9389" t="n">
        <v>0</v>
      </c>
      <c r="L9389" t="n">
        <v>0</v>
      </c>
      <c r="M9389" t="n">
        <v>0</v>
      </c>
      <c r="N9389" t="n">
        <v>0</v>
      </c>
      <c r="O9389" t="n">
        <v>0</v>
      </c>
      <c r="P9389" t="n">
        <v>0</v>
      </c>
      <c r="Q9389" t="n">
        <v>0</v>
      </c>
      <c r="R9389" s="2" t="inlineStr"/>
    </row>
    <row r="9390" ht="15" customHeight="1">
      <c r="A9390" t="inlineStr">
        <is>
          <t>A 37920-2023</t>
        </is>
      </c>
      <c r="B9390" s="1" t="n">
        <v>45160</v>
      </c>
      <c r="C9390" s="1" t="n">
        <v>46093</v>
      </c>
      <c r="D9390" t="inlineStr">
        <is>
          <t>VÄSTERNORRLANDS LÄN</t>
        </is>
      </c>
      <c r="E9390" t="inlineStr">
        <is>
          <t>ÖRNSKÖLDSVIK</t>
        </is>
      </c>
      <c r="G9390" t="n">
        <v>6.8</v>
      </c>
      <c r="H9390" t="n">
        <v>0</v>
      </c>
      <c r="I9390" t="n">
        <v>0</v>
      </c>
      <c r="J9390" t="n">
        <v>0</v>
      </c>
      <c r="K9390" t="n">
        <v>0</v>
      </c>
      <c r="L9390" t="n">
        <v>0</v>
      </c>
      <c r="M9390" t="n">
        <v>0</v>
      </c>
      <c r="N9390" t="n">
        <v>0</v>
      </c>
      <c r="O9390" t="n">
        <v>0</v>
      </c>
      <c r="P9390" t="n">
        <v>0</v>
      </c>
      <c r="Q9390" t="n">
        <v>0</v>
      </c>
      <c r="R9390" s="2" t="inlineStr"/>
    </row>
    <row r="9391" ht="15" customHeight="1">
      <c r="A9391" t="inlineStr">
        <is>
          <t>A 37927-2023</t>
        </is>
      </c>
      <c r="B9391" s="1" t="n">
        <v>45160.50259259259</v>
      </c>
      <c r="C9391" s="1" t="n">
        <v>46093</v>
      </c>
      <c r="D9391" t="inlineStr">
        <is>
          <t>VÄSTERNORRLANDS LÄN</t>
        </is>
      </c>
      <c r="E9391" t="inlineStr">
        <is>
          <t>SUNDSVALL</t>
        </is>
      </c>
      <c r="G9391" t="n">
        <v>2.6</v>
      </c>
      <c r="H9391" t="n">
        <v>0</v>
      </c>
      <c r="I9391" t="n">
        <v>0</v>
      </c>
      <c r="J9391" t="n">
        <v>0</v>
      </c>
      <c r="K9391" t="n">
        <v>0</v>
      </c>
      <c r="L9391" t="n">
        <v>0</v>
      </c>
      <c r="M9391" t="n">
        <v>0</v>
      </c>
      <c r="N9391" t="n">
        <v>0</v>
      </c>
      <c r="O9391" t="n">
        <v>0</v>
      </c>
      <c r="P9391" t="n">
        <v>0</v>
      </c>
      <c r="Q9391" t="n">
        <v>0</v>
      </c>
      <c r="R9391" s="2" t="inlineStr"/>
    </row>
    <row r="9392" ht="15" customHeight="1">
      <c r="A9392" t="inlineStr">
        <is>
          <t>A 61381-2025</t>
        </is>
      </c>
      <c r="B9392" s="1" t="n">
        <v>46001.4452662037</v>
      </c>
      <c r="C9392" s="1" t="n">
        <v>46093</v>
      </c>
      <c r="D9392" t="inlineStr">
        <is>
          <t>VÄSTERNORRLANDS LÄN</t>
        </is>
      </c>
      <c r="E9392" t="inlineStr">
        <is>
          <t>SUNDSVALL</t>
        </is>
      </c>
      <c r="G9392" t="n">
        <v>2.3</v>
      </c>
      <c r="H9392" t="n">
        <v>0</v>
      </c>
      <c r="I9392" t="n">
        <v>0</v>
      </c>
      <c r="J9392" t="n">
        <v>0</v>
      </c>
      <c r="K9392" t="n">
        <v>0</v>
      </c>
      <c r="L9392" t="n">
        <v>0</v>
      </c>
      <c r="M9392" t="n">
        <v>0</v>
      </c>
      <c r="N9392" t="n">
        <v>0</v>
      </c>
      <c r="O9392" t="n">
        <v>0</v>
      </c>
      <c r="P9392" t="n">
        <v>0</v>
      </c>
      <c r="Q9392" t="n">
        <v>0</v>
      </c>
      <c r="R9392" s="2" t="inlineStr"/>
    </row>
    <row r="9393" ht="15" customHeight="1">
      <c r="A9393" t="inlineStr">
        <is>
          <t>A 2585-2025</t>
        </is>
      </c>
      <c r="B9393" s="1" t="n">
        <v>45674.68055555555</v>
      </c>
      <c r="C9393" s="1" t="n">
        <v>46093</v>
      </c>
      <c r="D9393" t="inlineStr">
        <is>
          <t>VÄSTERNORRLANDS LÄN</t>
        </is>
      </c>
      <c r="E9393" t="inlineStr">
        <is>
          <t>SUNDSVALL</t>
        </is>
      </c>
      <c r="G9393" t="n">
        <v>1.2</v>
      </c>
      <c r="H9393" t="n">
        <v>0</v>
      </c>
      <c r="I9393" t="n">
        <v>0</v>
      </c>
      <c r="J9393" t="n">
        <v>0</v>
      </c>
      <c r="K9393" t="n">
        <v>0</v>
      </c>
      <c r="L9393" t="n">
        <v>0</v>
      </c>
      <c r="M9393" t="n">
        <v>0</v>
      </c>
      <c r="N9393" t="n">
        <v>0</v>
      </c>
      <c r="O9393" t="n">
        <v>0</v>
      </c>
      <c r="P9393" t="n">
        <v>0</v>
      </c>
      <c r="Q9393" t="n">
        <v>0</v>
      </c>
      <c r="R9393" s="2" t="inlineStr"/>
    </row>
    <row r="9394" ht="15" customHeight="1">
      <c r="A9394" t="inlineStr">
        <is>
          <t>A 60168-2022</t>
        </is>
      </c>
      <c r="B9394" s="1" t="n">
        <v>44909</v>
      </c>
      <c r="C9394" s="1" t="n">
        <v>46093</v>
      </c>
      <c r="D9394" t="inlineStr">
        <is>
          <t>VÄSTERNORRLANDS LÄN</t>
        </is>
      </c>
      <c r="E9394" t="inlineStr">
        <is>
          <t>SOLLEFTEÅ</t>
        </is>
      </c>
      <c r="G9394" t="n">
        <v>2.4</v>
      </c>
      <c r="H9394" t="n">
        <v>0</v>
      </c>
      <c r="I9394" t="n">
        <v>0</v>
      </c>
      <c r="J9394" t="n">
        <v>0</v>
      </c>
      <c r="K9394" t="n">
        <v>0</v>
      </c>
      <c r="L9394" t="n">
        <v>0</v>
      </c>
      <c r="M9394" t="n">
        <v>0</v>
      </c>
      <c r="N9394" t="n">
        <v>0</v>
      </c>
      <c r="O9394" t="n">
        <v>0</v>
      </c>
      <c r="P9394" t="n">
        <v>0</v>
      </c>
      <c r="Q9394" t="n">
        <v>0</v>
      </c>
      <c r="R9394" s="2" t="inlineStr"/>
    </row>
    <row r="9395" ht="15" customHeight="1">
      <c r="A9395" t="inlineStr">
        <is>
          <t>A 12015-2022</t>
        </is>
      </c>
      <c r="B9395" s="1" t="n">
        <v>44635.94351851852</v>
      </c>
      <c r="C9395" s="1" t="n">
        <v>46093</v>
      </c>
      <c r="D9395" t="inlineStr">
        <is>
          <t>VÄSTERNORRLANDS LÄN</t>
        </is>
      </c>
      <c r="E9395" t="inlineStr">
        <is>
          <t>SUNDSVALL</t>
        </is>
      </c>
      <c r="F9395" t="inlineStr">
        <is>
          <t>SCA</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42228-2021</t>
        </is>
      </c>
      <c r="B9396" s="1" t="n">
        <v>44426</v>
      </c>
      <c r="C9396" s="1" t="n">
        <v>46093</v>
      </c>
      <c r="D9396" t="inlineStr">
        <is>
          <t>VÄSTERNORRLANDS LÄN</t>
        </is>
      </c>
      <c r="E9396" t="inlineStr">
        <is>
          <t>SOLLEFTEÅ</t>
        </is>
      </c>
      <c r="G9396" t="n">
        <v>0.5</v>
      </c>
      <c r="H9396" t="n">
        <v>0</v>
      </c>
      <c r="I9396" t="n">
        <v>0</v>
      </c>
      <c r="J9396" t="n">
        <v>0</v>
      </c>
      <c r="K9396" t="n">
        <v>0</v>
      </c>
      <c r="L9396" t="n">
        <v>0</v>
      </c>
      <c r="M9396" t="n">
        <v>0</v>
      </c>
      <c r="N9396" t="n">
        <v>0</v>
      </c>
      <c r="O9396" t="n">
        <v>0</v>
      </c>
      <c r="P9396" t="n">
        <v>0</v>
      </c>
      <c r="Q9396" t="n">
        <v>0</v>
      </c>
      <c r="R9396" s="2" t="inlineStr"/>
    </row>
    <row r="9397" ht="15" customHeight="1">
      <c r="A9397" t="inlineStr">
        <is>
          <t>A 61500-2025</t>
        </is>
      </c>
      <c r="B9397" s="1" t="n">
        <v>46001.65667824074</v>
      </c>
      <c r="C9397" s="1" t="n">
        <v>46093</v>
      </c>
      <c r="D9397" t="inlineStr">
        <is>
          <t>VÄSTERNORRLANDS LÄN</t>
        </is>
      </c>
      <c r="E9397" t="inlineStr">
        <is>
          <t>ÅNGE</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26895-2024</t>
        </is>
      </c>
      <c r="B9398" s="1" t="n">
        <v>45470.66502314815</v>
      </c>
      <c r="C9398" s="1" t="n">
        <v>46093</v>
      </c>
      <c r="D9398" t="inlineStr">
        <is>
          <t>VÄSTERNORRLANDS LÄN</t>
        </is>
      </c>
      <c r="E9398" t="inlineStr">
        <is>
          <t>ÖRNSKÖLDSVIK</t>
        </is>
      </c>
      <c r="F9398" t="inlineStr">
        <is>
          <t>Holmen skog AB</t>
        </is>
      </c>
      <c r="G9398" t="n">
        <v>0.5</v>
      </c>
      <c r="H9398" t="n">
        <v>0</v>
      </c>
      <c r="I9398" t="n">
        <v>0</v>
      </c>
      <c r="J9398" t="n">
        <v>0</v>
      </c>
      <c r="K9398" t="n">
        <v>0</v>
      </c>
      <c r="L9398" t="n">
        <v>0</v>
      </c>
      <c r="M9398" t="n">
        <v>0</v>
      </c>
      <c r="N9398" t="n">
        <v>0</v>
      </c>
      <c r="O9398" t="n">
        <v>0</v>
      </c>
      <c r="P9398" t="n">
        <v>0</v>
      </c>
      <c r="Q9398" t="n">
        <v>0</v>
      </c>
      <c r="R9398" s="2" t="inlineStr"/>
    </row>
    <row r="9399" ht="15" customHeight="1">
      <c r="A9399" t="inlineStr">
        <is>
          <t>A 23557-2024</t>
        </is>
      </c>
      <c r="B9399" s="1" t="n">
        <v>45453.95444444445</v>
      </c>
      <c r="C9399" s="1" t="n">
        <v>46093</v>
      </c>
      <c r="D9399" t="inlineStr">
        <is>
          <t>VÄSTERNORRLANDS LÄN</t>
        </is>
      </c>
      <c r="E9399" t="inlineStr">
        <is>
          <t>SUNDSVALL</t>
        </is>
      </c>
      <c r="F9399" t="inlineStr">
        <is>
          <t>SCA</t>
        </is>
      </c>
      <c r="G9399" t="n">
        <v>0.5</v>
      </c>
      <c r="H9399" t="n">
        <v>0</v>
      </c>
      <c r="I9399" t="n">
        <v>0</v>
      </c>
      <c r="J9399" t="n">
        <v>0</v>
      </c>
      <c r="K9399" t="n">
        <v>0</v>
      </c>
      <c r="L9399" t="n">
        <v>0</v>
      </c>
      <c r="M9399" t="n">
        <v>0</v>
      </c>
      <c r="N9399" t="n">
        <v>0</v>
      </c>
      <c r="O9399" t="n">
        <v>0</v>
      </c>
      <c r="P9399" t="n">
        <v>0</v>
      </c>
      <c r="Q9399" t="n">
        <v>0</v>
      </c>
      <c r="R9399" s="2" t="inlineStr"/>
    </row>
    <row r="9400" ht="15" customHeight="1">
      <c r="A9400" t="inlineStr">
        <is>
          <t>A 60426-2025</t>
        </is>
      </c>
      <c r="B9400" s="1" t="n">
        <v>45995.46984953704</v>
      </c>
      <c r="C9400" s="1" t="n">
        <v>46093</v>
      </c>
      <c r="D9400" t="inlineStr">
        <is>
          <t>VÄSTERNORRLANDS LÄN</t>
        </is>
      </c>
      <c r="E9400" t="inlineStr">
        <is>
          <t>SOLLEFTEÅ</t>
        </is>
      </c>
      <c r="G9400" t="n">
        <v>3.2</v>
      </c>
      <c r="H9400" t="n">
        <v>0</v>
      </c>
      <c r="I9400" t="n">
        <v>0</v>
      </c>
      <c r="J9400" t="n">
        <v>0</v>
      </c>
      <c r="K9400" t="n">
        <v>0</v>
      </c>
      <c r="L9400" t="n">
        <v>0</v>
      </c>
      <c r="M9400" t="n">
        <v>0</v>
      </c>
      <c r="N9400" t="n">
        <v>0</v>
      </c>
      <c r="O9400" t="n">
        <v>0</v>
      </c>
      <c r="P9400" t="n">
        <v>0</v>
      </c>
      <c r="Q9400" t="n">
        <v>0</v>
      </c>
      <c r="R9400" s="2" t="inlineStr"/>
    </row>
    <row r="9401" ht="15" customHeight="1">
      <c r="A9401" t="inlineStr">
        <is>
          <t>A 14365-2024</t>
        </is>
      </c>
      <c r="B9401" s="1" t="n">
        <v>45393.94332175926</v>
      </c>
      <c r="C9401" s="1" t="n">
        <v>46093</v>
      </c>
      <c r="D9401" t="inlineStr">
        <is>
          <t>VÄSTERNORRLANDS LÄN</t>
        </is>
      </c>
      <c r="E9401" t="inlineStr">
        <is>
          <t>SOLLEFTEÅ</t>
        </is>
      </c>
      <c r="F9401" t="inlineStr">
        <is>
          <t>SCA</t>
        </is>
      </c>
      <c r="G9401" t="n">
        <v>0.5</v>
      </c>
      <c r="H9401" t="n">
        <v>0</v>
      </c>
      <c r="I9401" t="n">
        <v>0</v>
      </c>
      <c r="J9401" t="n">
        <v>0</v>
      </c>
      <c r="K9401" t="n">
        <v>0</v>
      </c>
      <c r="L9401" t="n">
        <v>0</v>
      </c>
      <c r="M9401" t="n">
        <v>0</v>
      </c>
      <c r="N9401" t="n">
        <v>0</v>
      </c>
      <c r="O9401" t="n">
        <v>0</v>
      </c>
      <c r="P9401" t="n">
        <v>0</v>
      </c>
      <c r="Q9401" t="n">
        <v>0</v>
      </c>
      <c r="R9401" s="2" t="inlineStr"/>
    </row>
    <row r="9402" ht="15" customHeight="1">
      <c r="A9402" t="inlineStr">
        <is>
          <t>A 61468-2025</t>
        </is>
      </c>
      <c r="B9402" s="1" t="n">
        <v>46001.60657407407</v>
      </c>
      <c r="C9402" s="1" t="n">
        <v>46093</v>
      </c>
      <c r="D9402" t="inlineStr">
        <is>
          <t>VÄSTERNORRLANDS LÄN</t>
        </is>
      </c>
      <c r="E9402" t="inlineStr">
        <is>
          <t>ÖRNSKÖLDSVIK</t>
        </is>
      </c>
      <c r="G9402" t="n">
        <v>11.2</v>
      </c>
      <c r="H9402" t="n">
        <v>0</v>
      </c>
      <c r="I9402" t="n">
        <v>0</v>
      </c>
      <c r="J9402" t="n">
        <v>0</v>
      </c>
      <c r="K9402" t="n">
        <v>0</v>
      </c>
      <c r="L9402" t="n">
        <v>0</v>
      </c>
      <c r="M9402" t="n">
        <v>0</v>
      </c>
      <c r="N9402" t="n">
        <v>0</v>
      </c>
      <c r="O9402" t="n">
        <v>0</v>
      </c>
      <c r="P9402" t="n">
        <v>0</v>
      </c>
      <c r="Q9402" t="n">
        <v>0</v>
      </c>
      <c r="R9402" s="2" t="inlineStr"/>
    </row>
    <row r="9403" ht="15" customHeight="1">
      <c r="A9403" t="inlineStr">
        <is>
          <t>A 47030-2023</t>
        </is>
      </c>
      <c r="B9403" s="1" t="n">
        <v>45196</v>
      </c>
      <c r="C9403" s="1" t="n">
        <v>46093</v>
      </c>
      <c r="D9403" t="inlineStr">
        <is>
          <t>VÄSTERNORRLANDS LÄN</t>
        </is>
      </c>
      <c r="E9403" t="inlineStr">
        <is>
          <t>SUNDSVALL</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61375-2025</t>
        </is>
      </c>
      <c r="B9404" s="1" t="n">
        <v>46001.4408912037</v>
      </c>
      <c r="C9404" s="1" t="n">
        <v>46093</v>
      </c>
      <c r="D9404" t="inlineStr">
        <is>
          <t>VÄSTERNORRLANDS LÄN</t>
        </is>
      </c>
      <c r="E9404" t="inlineStr">
        <is>
          <t>ÖRNSKÖLDSVIK</t>
        </is>
      </c>
      <c r="F9404" t="inlineStr">
        <is>
          <t>Holmen skog AB</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47588-2023</t>
        </is>
      </c>
      <c r="B9405" s="1" t="n">
        <v>45197</v>
      </c>
      <c r="C9405" s="1" t="n">
        <v>46093</v>
      </c>
      <c r="D9405" t="inlineStr">
        <is>
          <t>VÄSTERNORRLANDS LÄN</t>
        </is>
      </c>
      <c r="E9405" t="inlineStr">
        <is>
          <t>ÖRNSKÖLDSVIK</t>
        </is>
      </c>
      <c r="G9405" t="n">
        <v>1.8</v>
      </c>
      <c r="H9405" t="n">
        <v>0</v>
      </c>
      <c r="I9405" t="n">
        <v>0</v>
      </c>
      <c r="J9405" t="n">
        <v>0</v>
      </c>
      <c r="K9405" t="n">
        <v>0</v>
      </c>
      <c r="L9405" t="n">
        <v>0</v>
      </c>
      <c r="M9405" t="n">
        <v>0</v>
      </c>
      <c r="N9405" t="n">
        <v>0</v>
      </c>
      <c r="O9405" t="n">
        <v>0</v>
      </c>
      <c r="P9405" t="n">
        <v>0</v>
      </c>
      <c r="Q9405" t="n">
        <v>0</v>
      </c>
      <c r="R9405" s="2" t="inlineStr"/>
    </row>
    <row r="9406" ht="15" customHeight="1">
      <c r="A9406" t="inlineStr">
        <is>
          <t>A 61428-2025</t>
        </is>
      </c>
      <c r="B9406" s="1" t="n">
        <v>46001.55237268518</v>
      </c>
      <c r="C9406" s="1" t="n">
        <v>46093</v>
      </c>
      <c r="D9406" t="inlineStr">
        <is>
          <t>VÄSTERNORRLANDS LÄN</t>
        </is>
      </c>
      <c r="E9406" t="inlineStr">
        <is>
          <t>SOLLEFTEÅ</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29255-2024</t>
        </is>
      </c>
      <c r="B9407" s="1" t="n">
        <v>45482</v>
      </c>
      <c r="C9407" s="1" t="n">
        <v>46093</v>
      </c>
      <c r="D9407" t="inlineStr">
        <is>
          <t>VÄSTERNORRLANDS LÄN</t>
        </is>
      </c>
      <c r="E9407" t="inlineStr">
        <is>
          <t>HÄRNÖSAND</t>
        </is>
      </c>
      <c r="F9407" t="inlineStr">
        <is>
          <t>SCA</t>
        </is>
      </c>
      <c r="G9407" t="n">
        <v>5.5</v>
      </c>
      <c r="H9407" t="n">
        <v>0</v>
      </c>
      <c r="I9407" t="n">
        <v>0</v>
      </c>
      <c r="J9407" t="n">
        <v>0</v>
      </c>
      <c r="K9407" t="n">
        <v>0</v>
      </c>
      <c r="L9407" t="n">
        <v>0</v>
      </c>
      <c r="M9407" t="n">
        <v>0</v>
      </c>
      <c r="N9407" t="n">
        <v>0</v>
      </c>
      <c r="O9407" t="n">
        <v>0</v>
      </c>
      <c r="P9407" t="n">
        <v>0</v>
      </c>
      <c r="Q9407" t="n">
        <v>0</v>
      </c>
      <c r="R9407" s="2" t="inlineStr"/>
    </row>
    <row r="9408" ht="15" customHeight="1">
      <c r="A9408" t="inlineStr">
        <is>
          <t>A 61914-2025</t>
        </is>
      </c>
      <c r="B9408" s="1" t="n">
        <v>46003.49018518518</v>
      </c>
      <c r="C9408" s="1" t="n">
        <v>46093</v>
      </c>
      <c r="D9408" t="inlineStr">
        <is>
          <t>VÄSTERNORRLANDS LÄN</t>
        </is>
      </c>
      <c r="E9408" t="inlineStr">
        <is>
          <t>SOLLEFTEÅ</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61918-2025</t>
        </is>
      </c>
      <c r="B9409" s="1" t="n">
        <v>46003.50512731481</v>
      </c>
      <c r="C9409" s="1" t="n">
        <v>46093</v>
      </c>
      <c r="D9409" t="inlineStr">
        <is>
          <t>VÄSTERNORRLANDS LÄN</t>
        </is>
      </c>
      <c r="E9409" t="inlineStr">
        <is>
          <t>ÖRNSKÖLDSVIK</t>
        </is>
      </c>
      <c r="G9409" t="n">
        <v>6.1</v>
      </c>
      <c r="H9409" t="n">
        <v>0</v>
      </c>
      <c r="I9409" t="n">
        <v>0</v>
      </c>
      <c r="J9409" t="n">
        <v>0</v>
      </c>
      <c r="K9409" t="n">
        <v>0</v>
      </c>
      <c r="L9409" t="n">
        <v>0</v>
      </c>
      <c r="M9409" t="n">
        <v>0</v>
      </c>
      <c r="N9409" t="n">
        <v>0</v>
      </c>
      <c r="O9409" t="n">
        <v>0</v>
      </c>
      <c r="P9409" t="n">
        <v>0</v>
      </c>
      <c r="Q9409" t="n">
        <v>0</v>
      </c>
      <c r="R9409" s="2" t="inlineStr"/>
    </row>
    <row r="9410" ht="15" customHeight="1">
      <c r="A9410" t="inlineStr">
        <is>
          <t>A 61922-2025</t>
        </is>
      </c>
      <c r="B9410" s="1" t="n">
        <v>46003.51127314815</v>
      </c>
      <c r="C9410" s="1" t="n">
        <v>46093</v>
      </c>
      <c r="D9410" t="inlineStr">
        <is>
          <t>VÄSTERNORRLANDS LÄN</t>
        </is>
      </c>
      <c r="E9410" t="inlineStr">
        <is>
          <t>SUNDSVALL</t>
        </is>
      </c>
      <c r="G9410" t="n">
        <v>1</v>
      </c>
      <c r="H9410" t="n">
        <v>0</v>
      </c>
      <c r="I9410" t="n">
        <v>0</v>
      </c>
      <c r="J9410" t="n">
        <v>0</v>
      </c>
      <c r="K9410" t="n">
        <v>0</v>
      </c>
      <c r="L9410" t="n">
        <v>0</v>
      </c>
      <c r="M9410" t="n">
        <v>0</v>
      </c>
      <c r="N9410" t="n">
        <v>0</v>
      </c>
      <c r="O9410" t="n">
        <v>0</v>
      </c>
      <c r="P9410" t="n">
        <v>0</v>
      </c>
      <c r="Q9410" t="n">
        <v>0</v>
      </c>
      <c r="R9410" s="2" t="inlineStr"/>
    </row>
    <row r="9411" ht="15" customHeight="1">
      <c r="A9411" t="inlineStr">
        <is>
          <t>A 22266-2021</t>
        </is>
      </c>
      <c r="B9411" s="1" t="n">
        <v>44321</v>
      </c>
      <c r="C9411" s="1" t="n">
        <v>46093</v>
      </c>
      <c r="D9411" t="inlineStr">
        <is>
          <t>VÄSTERNORRLANDS LÄN</t>
        </is>
      </c>
      <c r="E9411" t="inlineStr">
        <is>
          <t>HÄRNÖSAND</t>
        </is>
      </c>
      <c r="G9411" t="n">
        <v>37.5</v>
      </c>
      <c r="H9411" t="n">
        <v>0</v>
      </c>
      <c r="I9411" t="n">
        <v>0</v>
      </c>
      <c r="J9411" t="n">
        <v>0</v>
      </c>
      <c r="K9411" t="n">
        <v>0</v>
      </c>
      <c r="L9411" t="n">
        <v>0</v>
      </c>
      <c r="M9411" t="n">
        <v>0</v>
      </c>
      <c r="N9411" t="n">
        <v>0</v>
      </c>
      <c r="O9411" t="n">
        <v>0</v>
      </c>
      <c r="P9411" t="n">
        <v>0</v>
      </c>
      <c r="Q9411" t="n">
        <v>0</v>
      </c>
      <c r="R9411" s="2" t="inlineStr"/>
    </row>
    <row r="9412" ht="15" customHeight="1">
      <c r="A9412" t="inlineStr">
        <is>
          <t>A 62200-2025</t>
        </is>
      </c>
      <c r="B9412" s="1" t="n">
        <v>46003</v>
      </c>
      <c r="C9412" s="1" t="n">
        <v>46093</v>
      </c>
      <c r="D9412" t="inlineStr">
        <is>
          <t>VÄSTERNORRLANDS LÄN</t>
        </is>
      </c>
      <c r="E9412" t="inlineStr">
        <is>
          <t>ÖRNSKÖLDSVIK</t>
        </is>
      </c>
      <c r="G9412" t="n">
        <v>3.3</v>
      </c>
      <c r="H9412" t="n">
        <v>0</v>
      </c>
      <c r="I9412" t="n">
        <v>0</v>
      </c>
      <c r="J9412" t="n">
        <v>0</v>
      </c>
      <c r="K9412" t="n">
        <v>0</v>
      </c>
      <c r="L9412" t="n">
        <v>0</v>
      </c>
      <c r="M9412" t="n">
        <v>0</v>
      </c>
      <c r="N9412" t="n">
        <v>0</v>
      </c>
      <c r="O9412" t="n">
        <v>0</v>
      </c>
      <c r="P9412" t="n">
        <v>0</v>
      </c>
      <c r="Q9412" t="n">
        <v>0</v>
      </c>
      <c r="R9412" s="2" t="inlineStr"/>
    </row>
    <row r="9413" ht="15" customHeight="1">
      <c r="A9413" t="inlineStr">
        <is>
          <t>A 62204-2025</t>
        </is>
      </c>
      <c r="B9413" s="1" t="n">
        <v>46006.55872685185</v>
      </c>
      <c r="C9413" s="1" t="n">
        <v>46093</v>
      </c>
      <c r="D9413" t="inlineStr">
        <is>
          <t>VÄSTERNORRLANDS LÄN</t>
        </is>
      </c>
      <c r="E9413" t="inlineStr">
        <is>
          <t>ÖRNSKÖLDSVIK</t>
        </is>
      </c>
      <c r="G9413" t="n">
        <v>3.1</v>
      </c>
      <c r="H9413" t="n">
        <v>0</v>
      </c>
      <c r="I9413" t="n">
        <v>0</v>
      </c>
      <c r="J9413" t="n">
        <v>0</v>
      </c>
      <c r="K9413" t="n">
        <v>0</v>
      </c>
      <c r="L9413" t="n">
        <v>0</v>
      </c>
      <c r="M9413" t="n">
        <v>0</v>
      </c>
      <c r="N9413" t="n">
        <v>0</v>
      </c>
      <c r="O9413" t="n">
        <v>0</v>
      </c>
      <c r="P9413" t="n">
        <v>0</v>
      </c>
      <c r="Q9413" t="n">
        <v>0</v>
      </c>
      <c r="R9413" s="2" t="inlineStr"/>
    </row>
    <row r="9414" ht="15" customHeight="1">
      <c r="A9414" t="inlineStr">
        <is>
          <t>A 26391-2024</t>
        </is>
      </c>
      <c r="B9414" s="1" t="n">
        <v>45468</v>
      </c>
      <c r="C9414" s="1" t="n">
        <v>46093</v>
      </c>
      <c r="D9414" t="inlineStr">
        <is>
          <t>VÄSTERNORRLANDS LÄN</t>
        </is>
      </c>
      <c r="E9414" t="inlineStr">
        <is>
          <t>SOLLEFTEÅ</t>
        </is>
      </c>
      <c r="G9414" t="n">
        <v>5.2</v>
      </c>
      <c r="H9414" t="n">
        <v>0</v>
      </c>
      <c r="I9414" t="n">
        <v>0</v>
      </c>
      <c r="J9414" t="n">
        <v>0</v>
      </c>
      <c r="K9414" t="n">
        <v>0</v>
      </c>
      <c r="L9414" t="n">
        <v>0</v>
      </c>
      <c r="M9414" t="n">
        <v>0</v>
      </c>
      <c r="N9414" t="n">
        <v>0</v>
      </c>
      <c r="O9414" t="n">
        <v>0</v>
      </c>
      <c r="P9414" t="n">
        <v>0</v>
      </c>
      <c r="Q9414" t="n">
        <v>0</v>
      </c>
      <c r="R9414" s="2" t="inlineStr"/>
    </row>
    <row r="9415" ht="15" customHeight="1">
      <c r="A9415" t="inlineStr">
        <is>
          <t>A 26395-2024</t>
        </is>
      </c>
      <c r="B9415" s="1" t="n">
        <v>45469.43778935185</v>
      </c>
      <c r="C9415" s="1" t="n">
        <v>46093</v>
      </c>
      <c r="D9415" t="inlineStr">
        <is>
          <t>VÄSTERNORRLANDS LÄN</t>
        </is>
      </c>
      <c r="E9415" t="inlineStr">
        <is>
          <t>ÖRNSKÖLDSVIK</t>
        </is>
      </c>
      <c r="F9415" t="inlineStr">
        <is>
          <t>Holmen skog AB</t>
        </is>
      </c>
      <c r="G9415" t="n">
        <v>2.8</v>
      </c>
      <c r="H9415" t="n">
        <v>0</v>
      </c>
      <c r="I9415" t="n">
        <v>0</v>
      </c>
      <c r="J9415" t="n">
        <v>0</v>
      </c>
      <c r="K9415" t="n">
        <v>0</v>
      </c>
      <c r="L9415" t="n">
        <v>0</v>
      </c>
      <c r="M9415" t="n">
        <v>0</v>
      </c>
      <c r="N9415" t="n">
        <v>0</v>
      </c>
      <c r="O9415" t="n">
        <v>0</v>
      </c>
      <c r="P9415" t="n">
        <v>0</v>
      </c>
      <c r="Q9415" t="n">
        <v>0</v>
      </c>
      <c r="R9415" s="2" t="inlineStr"/>
    </row>
    <row r="9416" ht="15" customHeight="1">
      <c r="A9416" t="inlineStr">
        <is>
          <t>A 62311-2025</t>
        </is>
      </c>
      <c r="B9416" s="1" t="n">
        <v>46006.67753472222</v>
      </c>
      <c r="C9416" s="1" t="n">
        <v>46093</v>
      </c>
      <c r="D9416" t="inlineStr">
        <is>
          <t>VÄSTERNORRLANDS LÄN</t>
        </is>
      </c>
      <c r="E9416" t="inlineStr">
        <is>
          <t>SOLLEFTEÅ</t>
        </is>
      </c>
      <c r="F9416" t="inlineStr">
        <is>
          <t>SCA</t>
        </is>
      </c>
      <c r="G9416" t="n">
        <v>6.4</v>
      </c>
      <c r="H9416" t="n">
        <v>0</v>
      </c>
      <c r="I9416" t="n">
        <v>0</v>
      </c>
      <c r="J9416" t="n">
        <v>0</v>
      </c>
      <c r="K9416" t="n">
        <v>0</v>
      </c>
      <c r="L9416" t="n">
        <v>0</v>
      </c>
      <c r="M9416" t="n">
        <v>0</v>
      </c>
      <c r="N9416" t="n">
        <v>0</v>
      </c>
      <c r="O9416" t="n">
        <v>0</v>
      </c>
      <c r="P9416" t="n">
        <v>0</v>
      </c>
      <c r="Q9416" t="n">
        <v>0</v>
      </c>
      <c r="R9416" s="2" t="inlineStr"/>
    </row>
    <row r="9417" ht="15" customHeight="1">
      <c r="A9417" t="inlineStr">
        <is>
          <t>A 16863-2024</t>
        </is>
      </c>
      <c r="B9417" s="1" t="n">
        <v>45411</v>
      </c>
      <c r="C9417" s="1" t="n">
        <v>46093</v>
      </c>
      <c r="D9417" t="inlineStr">
        <is>
          <t>VÄSTERNORRLANDS LÄN</t>
        </is>
      </c>
      <c r="E9417" t="inlineStr">
        <is>
          <t>TIMRÅ</t>
        </is>
      </c>
      <c r="G9417" t="n">
        <v>3.6</v>
      </c>
      <c r="H9417" t="n">
        <v>0</v>
      </c>
      <c r="I9417" t="n">
        <v>0</v>
      </c>
      <c r="J9417" t="n">
        <v>0</v>
      </c>
      <c r="K9417" t="n">
        <v>0</v>
      </c>
      <c r="L9417" t="n">
        <v>0</v>
      </c>
      <c r="M9417" t="n">
        <v>0</v>
      </c>
      <c r="N9417" t="n">
        <v>0</v>
      </c>
      <c r="O9417" t="n">
        <v>0</v>
      </c>
      <c r="P9417" t="n">
        <v>0</v>
      </c>
      <c r="Q9417" t="n">
        <v>0</v>
      </c>
      <c r="R9417" s="2" t="inlineStr"/>
    </row>
    <row r="9418" ht="15" customHeight="1">
      <c r="A9418" t="inlineStr">
        <is>
          <t>A 29337-2023</t>
        </is>
      </c>
      <c r="B9418" s="1" t="n">
        <v>45105</v>
      </c>
      <c r="C9418" s="1" t="n">
        <v>46093</v>
      </c>
      <c r="D9418" t="inlineStr">
        <is>
          <t>VÄSTERNORRLANDS LÄN</t>
        </is>
      </c>
      <c r="E9418" t="inlineStr">
        <is>
          <t>SOLLEFTEÅ</t>
        </is>
      </c>
      <c r="F9418" t="inlineStr">
        <is>
          <t>SCA</t>
        </is>
      </c>
      <c r="G9418" t="n">
        <v>3.8</v>
      </c>
      <c r="H9418" t="n">
        <v>0</v>
      </c>
      <c r="I9418" t="n">
        <v>0</v>
      </c>
      <c r="J9418" t="n">
        <v>0</v>
      </c>
      <c r="K9418" t="n">
        <v>0</v>
      </c>
      <c r="L9418" t="n">
        <v>0</v>
      </c>
      <c r="M9418" t="n">
        <v>0</v>
      </c>
      <c r="N9418" t="n">
        <v>0</v>
      </c>
      <c r="O9418" t="n">
        <v>0</v>
      </c>
      <c r="P9418" t="n">
        <v>0</v>
      </c>
      <c r="Q9418" t="n">
        <v>0</v>
      </c>
      <c r="R9418" s="2" t="inlineStr"/>
    </row>
    <row r="9419" ht="15" customHeight="1">
      <c r="A9419" t="inlineStr">
        <is>
          <t>A 62140-2025</t>
        </is>
      </c>
      <c r="B9419" s="1" t="n">
        <v>46006.46724537037</v>
      </c>
      <c r="C9419" s="1" t="n">
        <v>46093</v>
      </c>
      <c r="D9419" t="inlineStr">
        <is>
          <t>VÄSTERNORRLANDS LÄN</t>
        </is>
      </c>
      <c r="E9419" t="inlineStr">
        <is>
          <t>ÖRNSKÖLDSVIK</t>
        </is>
      </c>
      <c r="F9419" t="inlineStr">
        <is>
          <t>Holmen skog AB</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14097-2022</t>
        </is>
      </c>
      <c r="B9420" s="1" t="n">
        <v>44651</v>
      </c>
      <c r="C9420" s="1" t="n">
        <v>46093</v>
      </c>
      <c r="D9420" t="inlineStr">
        <is>
          <t>VÄSTERNORRLANDS LÄN</t>
        </is>
      </c>
      <c r="E9420" t="inlineStr">
        <is>
          <t>ÅNGE</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29667-2024</t>
        </is>
      </c>
      <c r="B9421" s="1" t="n">
        <v>45484.94041666666</v>
      </c>
      <c r="C9421" s="1" t="n">
        <v>46093</v>
      </c>
      <c r="D9421" t="inlineStr">
        <is>
          <t>VÄSTERNORRLANDS LÄN</t>
        </is>
      </c>
      <c r="E9421" t="inlineStr">
        <is>
          <t>ÅNGE</t>
        </is>
      </c>
      <c r="F9421" t="inlineStr">
        <is>
          <t>SCA</t>
        </is>
      </c>
      <c r="G9421" t="n">
        <v>3.4</v>
      </c>
      <c r="H9421" t="n">
        <v>0</v>
      </c>
      <c r="I9421" t="n">
        <v>0</v>
      </c>
      <c r="J9421" t="n">
        <v>0</v>
      </c>
      <c r="K9421" t="n">
        <v>0</v>
      </c>
      <c r="L9421" t="n">
        <v>0</v>
      </c>
      <c r="M9421" t="n">
        <v>0</v>
      </c>
      <c r="N9421" t="n">
        <v>0</v>
      </c>
      <c r="O9421" t="n">
        <v>0</v>
      </c>
      <c r="P9421" t="n">
        <v>0</v>
      </c>
      <c r="Q9421" t="n">
        <v>0</v>
      </c>
      <c r="R9421" s="2" t="inlineStr"/>
    </row>
    <row r="9422" ht="15" customHeight="1">
      <c r="A9422" t="inlineStr">
        <is>
          <t>A 62338-2025</t>
        </is>
      </c>
      <c r="B9422" s="1" t="n">
        <v>46006</v>
      </c>
      <c r="C9422" s="1" t="n">
        <v>46093</v>
      </c>
      <c r="D9422" t="inlineStr">
        <is>
          <t>VÄSTERNORRLANDS LÄN</t>
        </is>
      </c>
      <c r="E9422" t="inlineStr">
        <is>
          <t>ÖRNSKÖLDSVIK</t>
        </is>
      </c>
      <c r="G9422" t="n">
        <v>2</v>
      </c>
      <c r="H9422" t="n">
        <v>0</v>
      </c>
      <c r="I9422" t="n">
        <v>0</v>
      </c>
      <c r="J9422" t="n">
        <v>0</v>
      </c>
      <c r="K9422" t="n">
        <v>0</v>
      </c>
      <c r="L9422" t="n">
        <v>0</v>
      </c>
      <c r="M9422" t="n">
        <v>0</v>
      </c>
      <c r="N9422" t="n">
        <v>0</v>
      </c>
      <c r="O9422" t="n">
        <v>0</v>
      </c>
      <c r="P9422" t="n">
        <v>0</v>
      </c>
      <c r="Q9422" t="n">
        <v>0</v>
      </c>
      <c r="R9422" s="2" t="inlineStr"/>
    </row>
    <row r="9423" ht="15" customHeight="1">
      <c r="A9423" t="inlineStr">
        <is>
          <t>A 61832-2025</t>
        </is>
      </c>
      <c r="B9423" s="1" t="n">
        <v>46003.34456018519</v>
      </c>
      <c r="C9423" s="1" t="n">
        <v>46093</v>
      </c>
      <c r="D9423" t="inlineStr">
        <is>
          <t>VÄSTERNORRLANDS LÄN</t>
        </is>
      </c>
      <c r="E9423" t="inlineStr">
        <is>
          <t>SOLLEFTEÅ</t>
        </is>
      </c>
      <c r="G9423" t="n">
        <v>2.2</v>
      </c>
      <c r="H9423" t="n">
        <v>0</v>
      </c>
      <c r="I9423" t="n">
        <v>0</v>
      </c>
      <c r="J9423" t="n">
        <v>0</v>
      </c>
      <c r="K9423" t="n">
        <v>0</v>
      </c>
      <c r="L9423" t="n">
        <v>0</v>
      </c>
      <c r="M9423" t="n">
        <v>0</v>
      </c>
      <c r="N9423" t="n">
        <v>0</v>
      </c>
      <c r="O9423" t="n">
        <v>0</v>
      </c>
      <c r="P9423" t="n">
        <v>0</v>
      </c>
      <c r="Q9423" t="n">
        <v>0</v>
      </c>
      <c r="R9423" s="2" t="inlineStr"/>
    </row>
    <row r="9424" ht="15" customHeight="1">
      <c r="A9424" t="inlineStr">
        <is>
          <t>A 61847-2025</t>
        </is>
      </c>
      <c r="B9424" s="1" t="n">
        <v>46003.3777662037</v>
      </c>
      <c r="C9424" s="1" t="n">
        <v>46093</v>
      </c>
      <c r="D9424" t="inlineStr">
        <is>
          <t>VÄSTERNORRLANDS LÄN</t>
        </is>
      </c>
      <c r="E9424" t="inlineStr">
        <is>
          <t>ÖRNSKÖLDSVIK</t>
        </is>
      </c>
      <c r="G9424" t="n">
        <v>8.300000000000001</v>
      </c>
      <c r="H9424" t="n">
        <v>0</v>
      </c>
      <c r="I9424" t="n">
        <v>0</v>
      </c>
      <c r="J9424" t="n">
        <v>0</v>
      </c>
      <c r="K9424" t="n">
        <v>0</v>
      </c>
      <c r="L9424" t="n">
        <v>0</v>
      </c>
      <c r="M9424" t="n">
        <v>0</v>
      </c>
      <c r="N9424" t="n">
        <v>0</v>
      </c>
      <c r="O9424" t="n">
        <v>0</v>
      </c>
      <c r="P9424" t="n">
        <v>0</v>
      </c>
      <c r="Q9424" t="n">
        <v>0</v>
      </c>
      <c r="R9424" s="2" t="inlineStr"/>
    </row>
    <row r="9425" ht="15" customHeight="1">
      <c r="A9425" t="inlineStr">
        <is>
          <t>A 61861-2025</t>
        </is>
      </c>
      <c r="B9425" s="1" t="n">
        <v>46003.3868287037</v>
      </c>
      <c r="C9425" s="1" t="n">
        <v>46093</v>
      </c>
      <c r="D9425" t="inlineStr">
        <is>
          <t>VÄSTERNORRLANDS LÄN</t>
        </is>
      </c>
      <c r="E9425" t="inlineStr">
        <is>
          <t>SOLLEFTEÅ</t>
        </is>
      </c>
      <c r="F9425" t="inlineStr">
        <is>
          <t>SCA</t>
        </is>
      </c>
      <c r="G9425" t="n">
        <v>3.5</v>
      </c>
      <c r="H9425" t="n">
        <v>0</v>
      </c>
      <c r="I9425" t="n">
        <v>0</v>
      </c>
      <c r="J9425" t="n">
        <v>0</v>
      </c>
      <c r="K9425" t="n">
        <v>0</v>
      </c>
      <c r="L9425" t="n">
        <v>0</v>
      </c>
      <c r="M9425" t="n">
        <v>0</v>
      </c>
      <c r="N9425" t="n">
        <v>0</v>
      </c>
      <c r="O9425" t="n">
        <v>0</v>
      </c>
      <c r="P9425" t="n">
        <v>0</v>
      </c>
      <c r="Q9425" t="n">
        <v>0</v>
      </c>
      <c r="R9425" s="2" t="inlineStr"/>
    </row>
    <row r="9426" ht="15" customHeight="1">
      <c r="A9426" t="inlineStr">
        <is>
          <t>A 62076-2025</t>
        </is>
      </c>
      <c r="B9426" s="1" t="n">
        <v>46006.36489583334</v>
      </c>
      <c r="C9426" s="1" t="n">
        <v>46093</v>
      </c>
      <c r="D9426" t="inlineStr">
        <is>
          <t>VÄSTERNORRLANDS LÄN</t>
        </is>
      </c>
      <c r="E9426" t="inlineStr">
        <is>
          <t>ÖRNSKÖLDSVIK</t>
        </is>
      </c>
      <c r="G9426" t="n">
        <v>5.1</v>
      </c>
      <c r="H9426" t="n">
        <v>0</v>
      </c>
      <c r="I9426" t="n">
        <v>0</v>
      </c>
      <c r="J9426" t="n">
        <v>0</v>
      </c>
      <c r="K9426" t="n">
        <v>0</v>
      </c>
      <c r="L9426" t="n">
        <v>0</v>
      </c>
      <c r="M9426" t="n">
        <v>0</v>
      </c>
      <c r="N9426" t="n">
        <v>0</v>
      </c>
      <c r="O9426" t="n">
        <v>0</v>
      </c>
      <c r="P9426" t="n">
        <v>0</v>
      </c>
      <c r="Q9426" t="n">
        <v>0</v>
      </c>
      <c r="R9426" s="2" t="inlineStr"/>
    </row>
    <row r="9427" ht="15" customHeight="1">
      <c r="A9427" t="inlineStr">
        <is>
          <t>A 62084-2025</t>
        </is>
      </c>
      <c r="B9427" s="1" t="n">
        <v>46006.37449074074</v>
      </c>
      <c r="C9427" s="1" t="n">
        <v>46093</v>
      </c>
      <c r="D9427" t="inlineStr">
        <is>
          <t>VÄSTERNORRLANDS LÄN</t>
        </is>
      </c>
      <c r="E9427" t="inlineStr">
        <is>
          <t>ÅNGE</t>
        </is>
      </c>
      <c r="G9427" t="n">
        <v>1.8</v>
      </c>
      <c r="H9427" t="n">
        <v>0</v>
      </c>
      <c r="I9427" t="n">
        <v>0</v>
      </c>
      <c r="J9427" t="n">
        <v>0</v>
      </c>
      <c r="K9427" t="n">
        <v>0</v>
      </c>
      <c r="L9427" t="n">
        <v>0</v>
      </c>
      <c r="M9427" t="n">
        <v>0</v>
      </c>
      <c r="N9427" t="n">
        <v>0</v>
      </c>
      <c r="O9427" t="n">
        <v>0</v>
      </c>
      <c r="P9427" t="n">
        <v>0</v>
      </c>
      <c r="Q9427" t="n">
        <v>0</v>
      </c>
      <c r="R9427" s="2" t="inlineStr"/>
    </row>
    <row r="9428" ht="15" customHeight="1">
      <c r="A9428" t="inlineStr">
        <is>
          <t>A 62094-2025</t>
        </is>
      </c>
      <c r="B9428" s="1" t="n">
        <v>46006.3864699074</v>
      </c>
      <c r="C9428" s="1" t="n">
        <v>46093</v>
      </c>
      <c r="D9428" t="inlineStr">
        <is>
          <t>VÄSTERNORRLANDS LÄN</t>
        </is>
      </c>
      <c r="E9428" t="inlineStr">
        <is>
          <t>ÖRNSKÖLDSVIK</t>
        </is>
      </c>
      <c r="G9428" t="n">
        <v>0.7</v>
      </c>
      <c r="H9428" t="n">
        <v>0</v>
      </c>
      <c r="I9428" t="n">
        <v>0</v>
      </c>
      <c r="J9428" t="n">
        <v>0</v>
      </c>
      <c r="K9428" t="n">
        <v>0</v>
      </c>
      <c r="L9428" t="n">
        <v>0</v>
      </c>
      <c r="M9428" t="n">
        <v>0</v>
      </c>
      <c r="N9428" t="n">
        <v>0</v>
      </c>
      <c r="O9428" t="n">
        <v>0</v>
      </c>
      <c r="P9428" t="n">
        <v>0</v>
      </c>
      <c r="Q9428" t="n">
        <v>0</v>
      </c>
      <c r="R9428" s="2" t="inlineStr"/>
    </row>
    <row r="9429" ht="15" customHeight="1">
      <c r="A9429" t="inlineStr">
        <is>
          <t>A 62279-2025</t>
        </is>
      </c>
      <c r="B9429" s="1" t="n">
        <v>46006.63605324074</v>
      </c>
      <c r="C9429" s="1" t="n">
        <v>46093</v>
      </c>
      <c r="D9429" t="inlineStr">
        <is>
          <t>VÄSTERNORRLANDS LÄN</t>
        </is>
      </c>
      <c r="E9429" t="inlineStr">
        <is>
          <t>SOLLEFTEÅ</t>
        </is>
      </c>
      <c r="F9429" t="inlineStr">
        <is>
          <t>SCA</t>
        </is>
      </c>
      <c r="G9429" t="n">
        <v>7.6</v>
      </c>
      <c r="H9429" t="n">
        <v>0</v>
      </c>
      <c r="I9429" t="n">
        <v>0</v>
      </c>
      <c r="J9429" t="n">
        <v>0</v>
      </c>
      <c r="K9429" t="n">
        <v>0</v>
      </c>
      <c r="L9429" t="n">
        <v>0</v>
      </c>
      <c r="M9429" t="n">
        <v>0</v>
      </c>
      <c r="N9429" t="n">
        <v>0</v>
      </c>
      <c r="O9429" t="n">
        <v>0</v>
      </c>
      <c r="P9429" t="n">
        <v>0</v>
      </c>
      <c r="Q9429" t="n">
        <v>0</v>
      </c>
      <c r="R9429" s="2" t="inlineStr"/>
    </row>
    <row r="9430" ht="15" customHeight="1">
      <c r="A9430" t="inlineStr">
        <is>
          <t>A 26655-2024</t>
        </is>
      </c>
      <c r="B9430" s="1" t="n">
        <v>45469</v>
      </c>
      <c r="C9430" s="1" t="n">
        <v>46093</v>
      </c>
      <c r="D9430" t="inlineStr">
        <is>
          <t>VÄSTERNORRLANDS LÄN</t>
        </is>
      </c>
      <c r="E9430" t="inlineStr">
        <is>
          <t>SOLLEFTEÅ</t>
        </is>
      </c>
      <c r="F9430" t="inlineStr">
        <is>
          <t>SCA</t>
        </is>
      </c>
      <c r="G9430" t="n">
        <v>3.4</v>
      </c>
      <c r="H9430" t="n">
        <v>0</v>
      </c>
      <c r="I9430" t="n">
        <v>0</v>
      </c>
      <c r="J9430" t="n">
        <v>0</v>
      </c>
      <c r="K9430" t="n">
        <v>0</v>
      </c>
      <c r="L9430" t="n">
        <v>0</v>
      </c>
      <c r="M9430" t="n">
        <v>0</v>
      </c>
      <c r="N9430" t="n">
        <v>0</v>
      </c>
      <c r="O9430" t="n">
        <v>0</v>
      </c>
      <c r="P9430" t="n">
        <v>0</v>
      </c>
      <c r="Q9430" t="n">
        <v>0</v>
      </c>
      <c r="R9430" s="2" t="inlineStr"/>
    </row>
    <row r="9431" ht="15" customHeight="1">
      <c r="A9431" t="inlineStr">
        <is>
          <t>A 22475-2024</t>
        </is>
      </c>
      <c r="B9431" s="1" t="n">
        <v>45446.95151620371</v>
      </c>
      <c r="C9431" s="1" t="n">
        <v>46093</v>
      </c>
      <c r="D9431" t="inlineStr">
        <is>
          <t>VÄSTERNORRLANDS LÄN</t>
        </is>
      </c>
      <c r="E9431" t="inlineStr">
        <is>
          <t>SOLLEFTEÅ</t>
        </is>
      </c>
      <c r="F9431" t="inlineStr">
        <is>
          <t>SCA</t>
        </is>
      </c>
      <c r="G9431" t="n">
        <v>18.5</v>
      </c>
      <c r="H9431" t="n">
        <v>0</v>
      </c>
      <c r="I9431" t="n">
        <v>0</v>
      </c>
      <c r="J9431" t="n">
        <v>0</v>
      </c>
      <c r="K9431" t="n">
        <v>0</v>
      </c>
      <c r="L9431" t="n">
        <v>0</v>
      </c>
      <c r="M9431" t="n">
        <v>0</v>
      </c>
      <c r="N9431" t="n">
        <v>0</v>
      </c>
      <c r="O9431" t="n">
        <v>0</v>
      </c>
      <c r="P9431" t="n">
        <v>0</v>
      </c>
      <c r="Q9431" t="n">
        <v>0</v>
      </c>
      <c r="R9431" s="2" t="inlineStr"/>
    </row>
    <row r="9432" ht="15" customHeight="1">
      <c r="A9432" t="inlineStr">
        <is>
          <t>A 34737-2023</t>
        </is>
      </c>
      <c r="B9432" s="1" t="n">
        <v>45139</v>
      </c>
      <c r="C9432" s="1" t="n">
        <v>46093</v>
      </c>
      <c r="D9432" t="inlineStr">
        <is>
          <t>VÄSTERNORRLANDS LÄN</t>
        </is>
      </c>
      <c r="E9432" t="inlineStr">
        <is>
          <t>SOLLEFTEÅ</t>
        </is>
      </c>
      <c r="F9432" t="inlineStr">
        <is>
          <t>SCA</t>
        </is>
      </c>
      <c r="G9432" t="n">
        <v>4.5</v>
      </c>
      <c r="H9432" t="n">
        <v>0</v>
      </c>
      <c r="I9432" t="n">
        <v>0</v>
      </c>
      <c r="J9432" t="n">
        <v>0</v>
      </c>
      <c r="K9432" t="n">
        <v>0</v>
      </c>
      <c r="L9432" t="n">
        <v>0</v>
      </c>
      <c r="M9432" t="n">
        <v>0</v>
      </c>
      <c r="N9432" t="n">
        <v>0</v>
      </c>
      <c r="O9432" t="n">
        <v>0</v>
      </c>
      <c r="P9432" t="n">
        <v>0</v>
      </c>
      <c r="Q9432" t="n">
        <v>0</v>
      </c>
      <c r="R9432" s="2" t="inlineStr"/>
    </row>
    <row r="9433" ht="15" customHeight="1">
      <c r="A9433" t="inlineStr">
        <is>
          <t>A 20754-2024</t>
        </is>
      </c>
      <c r="B9433" s="1" t="n">
        <v>45436</v>
      </c>
      <c r="C9433" s="1" t="n">
        <v>46093</v>
      </c>
      <c r="D9433" t="inlineStr">
        <is>
          <t>VÄSTERNORRLANDS LÄN</t>
        </is>
      </c>
      <c r="E9433" t="inlineStr">
        <is>
          <t>SUNDSVALL</t>
        </is>
      </c>
      <c r="G9433" t="n">
        <v>0.9</v>
      </c>
      <c r="H9433" t="n">
        <v>0</v>
      </c>
      <c r="I9433" t="n">
        <v>0</v>
      </c>
      <c r="J9433" t="n">
        <v>0</v>
      </c>
      <c r="K9433" t="n">
        <v>0</v>
      </c>
      <c r="L9433" t="n">
        <v>0</v>
      </c>
      <c r="M9433" t="n">
        <v>0</v>
      </c>
      <c r="N9433" t="n">
        <v>0</v>
      </c>
      <c r="O9433" t="n">
        <v>0</v>
      </c>
      <c r="P9433" t="n">
        <v>0</v>
      </c>
      <c r="Q9433" t="n">
        <v>0</v>
      </c>
      <c r="R9433" s="2" t="inlineStr"/>
    </row>
    <row r="9434" ht="15" customHeight="1">
      <c r="A9434" t="inlineStr">
        <is>
          <t>A 62064-2025</t>
        </is>
      </c>
      <c r="B9434" s="1" t="n">
        <v>46006.3446875</v>
      </c>
      <c r="C9434" s="1" t="n">
        <v>46093</v>
      </c>
      <c r="D9434" t="inlineStr">
        <is>
          <t>VÄSTERNORRLANDS LÄN</t>
        </is>
      </c>
      <c r="E9434" t="inlineStr">
        <is>
          <t>SOLLEFTEÅ</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62065-2025</t>
        </is>
      </c>
      <c r="B9435" s="1" t="n">
        <v>46006.34474537037</v>
      </c>
      <c r="C9435" s="1" t="n">
        <v>46093</v>
      </c>
      <c r="D9435" t="inlineStr">
        <is>
          <t>VÄSTERNORRLANDS LÄN</t>
        </is>
      </c>
      <c r="E9435" t="inlineStr">
        <is>
          <t>SOLLEFTEÅ</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62077-2025</t>
        </is>
      </c>
      <c r="B9436" s="1" t="n">
        <v>46006.36491898148</v>
      </c>
      <c r="C9436" s="1" t="n">
        <v>46093</v>
      </c>
      <c r="D9436" t="inlineStr">
        <is>
          <t>VÄSTERNORRLANDS LÄN</t>
        </is>
      </c>
      <c r="E9436" t="inlineStr">
        <is>
          <t>KRAMFORS</t>
        </is>
      </c>
      <c r="G9436" t="n">
        <v>1.8</v>
      </c>
      <c r="H9436" t="n">
        <v>0</v>
      </c>
      <c r="I9436" t="n">
        <v>0</v>
      </c>
      <c r="J9436" t="n">
        <v>0</v>
      </c>
      <c r="K9436" t="n">
        <v>0</v>
      </c>
      <c r="L9436" t="n">
        <v>0</v>
      </c>
      <c r="M9436" t="n">
        <v>0</v>
      </c>
      <c r="N9436" t="n">
        <v>0</v>
      </c>
      <c r="O9436" t="n">
        <v>0</v>
      </c>
      <c r="P9436" t="n">
        <v>0</v>
      </c>
      <c r="Q9436" t="n">
        <v>0</v>
      </c>
      <c r="R9436" s="2" t="inlineStr"/>
    </row>
    <row r="9437" ht="15" customHeight="1">
      <c r="A9437" t="inlineStr">
        <is>
          <t>A 39975-2023</t>
        </is>
      </c>
      <c r="B9437" s="1" t="n">
        <v>45168.58844907407</v>
      </c>
      <c r="C9437" s="1" t="n">
        <v>46093</v>
      </c>
      <c r="D9437" t="inlineStr">
        <is>
          <t>VÄSTERNORRLANDS LÄN</t>
        </is>
      </c>
      <c r="E9437" t="inlineStr">
        <is>
          <t>ÅNGE</t>
        </is>
      </c>
      <c r="G9437" t="n">
        <v>2.2</v>
      </c>
      <c r="H9437" t="n">
        <v>0</v>
      </c>
      <c r="I9437" t="n">
        <v>0</v>
      </c>
      <c r="J9437" t="n">
        <v>0</v>
      </c>
      <c r="K9437" t="n">
        <v>0</v>
      </c>
      <c r="L9437" t="n">
        <v>0</v>
      </c>
      <c r="M9437" t="n">
        <v>0</v>
      </c>
      <c r="N9437" t="n">
        <v>0</v>
      </c>
      <c r="O9437" t="n">
        <v>0</v>
      </c>
      <c r="P9437" t="n">
        <v>0</v>
      </c>
      <c r="Q9437" t="n">
        <v>0</v>
      </c>
      <c r="R9437" s="2" t="inlineStr"/>
    </row>
    <row r="9438" ht="15" customHeight="1">
      <c r="A9438" t="inlineStr">
        <is>
          <t>A 932-2025</t>
        </is>
      </c>
      <c r="B9438" s="1" t="n">
        <v>45666.04009259259</v>
      </c>
      <c r="C9438" s="1" t="n">
        <v>46093</v>
      </c>
      <c r="D9438" t="inlineStr">
        <is>
          <t>VÄSTERNORRLANDS LÄN</t>
        </is>
      </c>
      <c r="E9438" t="inlineStr">
        <is>
          <t>ÖRNSKÖLDSVIK</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61953-2025</t>
        </is>
      </c>
      <c r="B9439" s="1" t="n">
        <v>46003.57358796296</v>
      </c>
      <c r="C9439" s="1" t="n">
        <v>46093</v>
      </c>
      <c r="D9439" t="inlineStr">
        <is>
          <t>VÄSTERNORRLANDS LÄN</t>
        </is>
      </c>
      <c r="E9439" t="inlineStr">
        <is>
          <t>SOLLEFTEÅ</t>
        </is>
      </c>
      <c r="F9439" t="inlineStr">
        <is>
          <t>SCA</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61980-2025</t>
        </is>
      </c>
      <c r="B9440" s="1" t="n">
        <v>46003.61520833334</v>
      </c>
      <c r="C9440" s="1" t="n">
        <v>46093</v>
      </c>
      <c r="D9440" t="inlineStr">
        <is>
          <t>VÄSTERNORRLANDS LÄN</t>
        </is>
      </c>
      <c r="E9440" t="inlineStr">
        <is>
          <t>SOLLEFTEÅ</t>
        </is>
      </c>
      <c r="F9440" t="inlineStr">
        <is>
          <t>SCA</t>
        </is>
      </c>
      <c r="G9440" t="n">
        <v>3.4</v>
      </c>
      <c r="H9440" t="n">
        <v>0</v>
      </c>
      <c r="I9440" t="n">
        <v>0</v>
      </c>
      <c r="J9440" t="n">
        <v>0</v>
      </c>
      <c r="K9440" t="n">
        <v>0</v>
      </c>
      <c r="L9440" t="n">
        <v>0</v>
      </c>
      <c r="M9440" t="n">
        <v>0</v>
      </c>
      <c r="N9440" t="n">
        <v>0</v>
      </c>
      <c r="O9440" t="n">
        <v>0</v>
      </c>
      <c r="P9440" t="n">
        <v>0</v>
      </c>
      <c r="Q9440" t="n">
        <v>0</v>
      </c>
      <c r="R9440" s="2" t="inlineStr"/>
    </row>
    <row r="9441" ht="15" customHeight="1">
      <c r="A9441" t="inlineStr">
        <is>
          <t>A 58757-2024</t>
        </is>
      </c>
      <c r="B9441" s="1" t="n">
        <v>45635.71940972222</v>
      </c>
      <c r="C9441" s="1" t="n">
        <v>46093</v>
      </c>
      <c r="D9441" t="inlineStr">
        <is>
          <t>VÄSTERNORRLANDS LÄN</t>
        </is>
      </c>
      <c r="E9441" t="inlineStr">
        <is>
          <t>SUNDSVALL</t>
        </is>
      </c>
      <c r="F9441" t="inlineStr">
        <is>
          <t>SCA</t>
        </is>
      </c>
      <c r="G9441" t="n">
        <v>1.7</v>
      </c>
      <c r="H9441" t="n">
        <v>0</v>
      </c>
      <c r="I9441" t="n">
        <v>0</v>
      </c>
      <c r="J9441" t="n">
        <v>0</v>
      </c>
      <c r="K9441" t="n">
        <v>0</v>
      </c>
      <c r="L9441" t="n">
        <v>0</v>
      </c>
      <c r="M9441" t="n">
        <v>0</v>
      </c>
      <c r="N9441" t="n">
        <v>0</v>
      </c>
      <c r="O9441" t="n">
        <v>0</v>
      </c>
      <c r="P9441" t="n">
        <v>0</v>
      </c>
      <c r="Q9441" t="n">
        <v>0</v>
      </c>
      <c r="R9441" s="2" t="inlineStr"/>
    </row>
    <row r="9442" ht="15" customHeight="1">
      <c r="A9442" t="inlineStr">
        <is>
          <t>A 62037-2025</t>
        </is>
      </c>
      <c r="B9442" s="1" t="n">
        <v>46004</v>
      </c>
      <c r="C9442" s="1" t="n">
        <v>46093</v>
      </c>
      <c r="D9442" t="inlineStr">
        <is>
          <t>VÄSTERNORRLANDS LÄN</t>
        </is>
      </c>
      <c r="E9442" t="inlineStr">
        <is>
          <t>HÄRNÖSAND</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19167-2025</t>
        </is>
      </c>
      <c r="B9443" s="1" t="n">
        <v>45769.38585648148</v>
      </c>
      <c r="C9443" s="1" t="n">
        <v>46093</v>
      </c>
      <c r="D9443" t="inlineStr">
        <is>
          <t>VÄSTERNORRLANDS LÄN</t>
        </is>
      </c>
      <c r="E9443" t="inlineStr">
        <is>
          <t>HÄRNÖSAND</t>
        </is>
      </c>
      <c r="F9443" t="inlineStr">
        <is>
          <t>SCA</t>
        </is>
      </c>
      <c r="G9443" t="n">
        <v>0.9</v>
      </c>
      <c r="H9443" t="n">
        <v>0</v>
      </c>
      <c r="I9443" t="n">
        <v>0</v>
      </c>
      <c r="J9443" t="n">
        <v>0</v>
      </c>
      <c r="K9443" t="n">
        <v>0</v>
      </c>
      <c r="L9443" t="n">
        <v>0</v>
      </c>
      <c r="M9443" t="n">
        <v>0</v>
      </c>
      <c r="N9443" t="n">
        <v>0</v>
      </c>
      <c r="O9443" t="n">
        <v>0</v>
      </c>
      <c r="P9443" t="n">
        <v>0</v>
      </c>
      <c r="Q9443" t="n">
        <v>0</v>
      </c>
      <c r="R9443" s="2" t="inlineStr"/>
    </row>
    <row r="9444" ht="15" customHeight="1">
      <c r="A9444" t="inlineStr">
        <is>
          <t>A 40421-2023</t>
        </is>
      </c>
      <c r="B9444" s="1" t="n">
        <v>45169.93973379629</v>
      </c>
      <c r="C9444" s="1" t="n">
        <v>46093</v>
      </c>
      <c r="D9444" t="inlineStr">
        <is>
          <t>VÄSTERNORRLANDS LÄN</t>
        </is>
      </c>
      <c r="E9444" t="inlineStr">
        <is>
          <t>SOLLEFTEÅ</t>
        </is>
      </c>
      <c r="F9444" t="inlineStr">
        <is>
          <t>SCA</t>
        </is>
      </c>
      <c r="G9444" t="n">
        <v>10.2</v>
      </c>
      <c r="H9444" t="n">
        <v>0</v>
      </c>
      <c r="I9444" t="n">
        <v>0</v>
      </c>
      <c r="J9444" t="n">
        <v>0</v>
      </c>
      <c r="K9444" t="n">
        <v>0</v>
      </c>
      <c r="L9444" t="n">
        <v>0</v>
      </c>
      <c r="M9444" t="n">
        <v>0</v>
      </c>
      <c r="N9444" t="n">
        <v>0</v>
      </c>
      <c r="O9444" t="n">
        <v>0</v>
      </c>
      <c r="P9444" t="n">
        <v>0</v>
      </c>
      <c r="Q9444" t="n">
        <v>0</v>
      </c>
      <c r="R9444" s="2" t="inlineStr"/>
    </row>
    <row r="9445" ht="15" customHeight="1">
      <c r="A9445" t="inlineStr">
        <is>
          <t>A 32776-2022</t>
        </is>
      </c>
      <c r="B9445" s="1" t="n">
        <v>44783.94607638889</v>
      </c>
      <c r="C9445" s="1" t="n">
        <v>46093</v>
      </c>
      <c r="D9445" t="inlineStr">
        <is>
          <t>VÄSTERNORRLANDS LÄN</t>
        </is>
      </c>
      <c r="E9445" t="inlineStr">
        <is>
          <t>ÅNGE</t>
        </is>
      </c>
      <c r="F9445" t="inlineStr">
        <is>
          <t>SCA</t>
        </is>
      </c>
      <c r="G9445" t="n">
        <v>3.8</v>
      </c>
      <c r="H9445" t="n">
        <v>0</v>
      </c>
      <c r="I9445" t="n">
        <v>0</v>
      </c>
      <c r="J9445" t="n">
        <v>0</v>
      </c>
      <c r="K9445" t="n">
        <v>0</v>
      </c>
      <c r="L9445" t="n">
        <v>0</v>
      </c>
      <c r="M9445" t="n">
        <v>0</v>
      </c>
      <c r="N9445" t="n">
        <v>0</v>
      </c>
      <c r="O9445" t="n">
        <v>0</v>
      </c>
      <c r="P9445" t="n">
        <v>0</v>
      </c>
      <c r="Q9445" t="n">
        <v>0</v>
      </c>
      <c r="R9445" s="2" t="inlineStr"/>
    </row>
    <row r="9446" ht="15" customHeight="1">
      <c r="A9446" t="inlineStr">
        <is>
          <t>A 62251-2025</t>
        </is>
      </c>
      <c r="B9446" s="1" t="n">
        <v>46006.60891203704</v>
      </c>
      <c r="C9446" s="1" t="n">
        <v>46093</v>
      </c>
      <c r="D9446" t="inlineStr">
        <is>
          <t>VÄSTERNORRLANDS LÄN</t>
        </is>
      </c>
      <c r="E9446" t="inlineStr">
        <is>
          <t>SUNDSVALL</t>
        </is>
      </c>
      <c r="G9446" t="n">
        <v>4.1</v>
      </c>
      <c r="H9446" t="n">
        <v>0</v>
      </c>
      <c r="I9446" t="n">
        <v>0</v>
      </c>
      <c r="J9446" t="n">
        <v>0</v>
      </c>
      <c r="K9446" t="n">
        <v>0</v>
      </c>
      <c r="L9446" t="n">
        <v>0</v>
      </c>
      <c r="M9446" t="n">
        <v>0</v>
      </c>
      <c r="N9446" t="n">
        <v>0</v>
      </c>
      <c r="O9446" t="n">
        <v>0</v>
      </c>
      <c r="P9446" t="n">
        <v>0</v>
      </c>
      <c r="Q9446" t="n">
        <v>0</v>
      </c>
      <c r="R9446" s="2" t="inlineStr"/>
    </row>
    <row r="9447" ht="15" customHeight="1">
      <c r="A9447" t="inlineStr">
        <is>
          <t>A 31256-2023</t>
        </is>
      </c>
      <c r="B9447" s="1" t="n">
        <v>45114</v>
      </c>
      <c r="C9447" s="1" t="n">
        <v>46093</v>
      </c>
      <c r="D9447" t="inlineStr">
        <is>
          <t>VÄSTERNORRLANDS LÄN</t>
        </is>
      </c>
      <c r="E9447" t="inlineStr">
        <is>
          <t>ÖRNSKÖLDSVIK</t>
        </is>
      </c>
      <c r="F9447" t="inlineStr">
        <is>
          <t>Holmen skog AB</t>
        </is>
      </c>
      <c r="G9447" t="n">
        <v>2</v>
      </c>
      <c r="H9447" t="n">
        <v>0</v>
      </c>
      <c r="I9447" t="n">
        <v>0</v>
      </c>
      <c r="J9447" t="n">
        <v>0</v>
      </c>
      <c r="K9447" t="n">
        <v>0</v>
      </c>
      <c r="L9447" t="n">
        <v>0</v>
      </c>
      <c r="M9447" t="n">
        <v>0</v>
      </c>
      <c r="N9447" t="n">
        <v>0</v>
      </c>
      <c r="O9447" t="n">
        <v>0</v>
      </c>
      <c r="P9447" t="n">
        <v>0</v>
      </c>
      <c r="Q9447" t="n">
        <v>0</v>
      </c>
      <c r="R9447" s="2" t="inlineStr"/>
    </row>
    <row r="9448" ht="15" customHeight="1">
      <c r="A9448" t="inlineStr">
        <is>
          <t>A 62136-2025</t>
        </is>
      </c>
      <c r="B9448" s="1" t="n">
        <v>46006.45936342593</v>
      </c>
      <c r="C9448" s="1" t="n">
        <v>46093</v>
      </c>
      <c r="D9448" t="inlineStr">
        <is>
          <t>VÄSTERNORRLANDS LÄN</t>
        </is>
      </c>
      <c r="E9448" t="inlineStr">
        <is>
          <t>ÖRNSKÖLDSVIK</t>
        </is>
      </c>
      <c r="F9448" t="inlineStr">
        <is>
          <t>Holmen skog AB</t>
        </is>
      </c>
      <c r="G9448" t="n">
        <v>7.7</v>
      </c>
      <c r="H9448" t="n">
        <v>0</v>
      </c>
      <c r="I9448" t="n">
        <v>0</v>
      </c>
      <c r="J9448" t="n">
        <v>0</v>
      </c>
      <c r="K9448" t="n">
        <v>0</v>
      </c>
      <c r="L9448" t="n">
        <v>0</v>
      </c>
      <c r="M9448" t="n">
        <v>0</v>
      </c>
      <c r="N9448" t="n">
        <v>0</v>
      </c>
      <c r="O9448" t="n">
        <v>0</v>
      </c>
      <c r="P9448" t="n">
        <v>0</v>
      </c>
      <c r="Q9448" t="n">
        <v>0</v>
      </c>
      <c r="R9448" s="2" t="inlineStr"/>
    </row>
    <row r="9449" ht="15" customHeight="1">
      <c r="A9449" t="inlineStr">
        <is>
          <t>A 62160-2025</t>
        </is>
      </c>
      <c r="B9449" s="1" t="n">
        <v>46006.49094907408</v>
      </c>
      <c r="C9449" s="1" t="n">
        <v>46093</v>
      </c>
      <c r="D9449" t="inlineStr">
        <is>
          <t>VÄSTERNORRLANDS LÄN</t>
        </is>
      </c>
      <c r="E9449" t="inlineStr">
        <is>
          <t>ÅNGE</t>
        </is>
      </c>
      <c r="F9449" t="inlineStr">
        <is>
          <t>SCA</t>
        </is>
      </c>
      <c r="G9449" t="n">
        <v>3</v>
      </c>
      <c r="H9449" t="n">
        <v>0</v>
      </c>
      <c r="I9449" t="n">
        <v>0</v>
      </c>
      <c r="J9449" t="n">
        <v>0</v>
      </c>
      <c r="K9449" t="n">
        <v>0</v>
      </c>
      <c r="L9449" t="n">
        <v>0</v>
      </c>
      <c r="M9449" t="n">
        <v>0</v>
      </c>
      <c r="N9449" t="n">
        <v>0</v>
      </c>
      <c r="O9449" t="n">
        <v>0</v>
      </c>
      <c r="P9449" t="n">
        <v>0</v>
      </c>
      <c r="Q9449" t="n">
        <v>0</v>
      </c>
      <c r="R9449" s="2" t="inlineStr"/>
    </row>
    <row r="9450" ht="15" customHeight="1">
      <c r="A9450" t="inlineStr">
        <is>
          <t>A 54627-2025</t>
        </is>
      </c>
      <c r="B9450" s="1" t="n">
        <v>45966.34565972222</v>
      </c>
      <c r="C9450" s="1" t="n">
        <v>46093</v>
      </c>
      <c r="D9450" t="inlineStr">
        <is>
          <t>VÄSTERNORRLANDS LÄN</t>
        </is>
      </c>
      <c r="E9450" t="inlineStr">
        <is>
          <t>ÅNGE</t>
        </is>
      </c>
      <c r="F9450" t="inlineStr">
        <is>
          <t>SCA</t>
        </is>
      </c>
      <c r="G9450" t="n">
        <v>18.5</v>
      </c>
      <c r="H9450" t="n">
        <v>0</v>
      </c>
      <c r="I9450" t="n">
        <v>0</v>
      </c>
      <c r="J9450" t="n">
        <v>0</v>
      </c>
      <c r="K9450" t="n">
        <v>0</v>
      </c>
      <c r="L9450" t="n">
        <v>0</v>
      </c>
      <c r="M9450" t="n">
        <v>0</v>
      </c>
      <c r="N9450" t="n">
        <v>0</v>
      </c>
      <c r="O9450" t="n">
        <v>0</v>
      </c>
      <c r="P9450" t="n">
        <v>0</v>
      </c>
      <c r="Q9450" t="n">
        <v>0</v>
      </c>
      <c r="R9450" s="2" t="inlineStr"/>
    </row>
    <row r="9451" ht="15" customHeight="1">
      <c r="A9451" t="inlineStr">
        <is>
          <t>A 55555-2025</t>
        </is>
      </c>
      <c r="B9451" s="1" t="n">
        <v>45971</v>
      </c>
      <c r="C9451" s="1" t="n">
        <v>46093</v>
      </c>
      <c r="D9451" t="inlineStr">
        <is>
          <t>VÄSTERNORRLANDS LÄN</t>
        </is>
      </c>
      <c r="E9451" t="inlineStr">
        <is>
          <t>ÖRNSKÖLDSVIK</t>
        </is>
      </c>
      <c r="G9451" t="n">
        <v>2</v>
      </c>
      <c r="H9451" t="n">
        <v>0</v>
      </c>
      <c r="I9451" t="n">
        <v>0</v>
      </c>
      <c r="J9451" t="n">
        <v>0</v>
      </c>
      <c r="K9451" t="n">
        <v>0</v>
      </c>
      <c r="L9451" t="n">
        <v>0</v>
      </c>
      <c r="M9451" t="n">
        <v>0</v>
      </c>
      <c r="N9451" t="n">
        <v>0</v>
      </c>
      <c r="O9451" t="n">
        <v>0</v>
      </c>
      <c r="P9451" t="n">
        <v>0</v>
      </c>
      <c r="Q9451" t="n">
        <v>0</v>
      </c>
      <c r="R9451" s="2" t="inlineStr"/>
    </row>
    <row r="9452" ht="15" customHeight="1">
      <c r="A9452" t="inlineStr">
        <is>
          <t>A 11028-2025</t>
        </is>
      </c>
      <c r="B9452" s="1" t="n">
        <v>45723.46983796296</v>
      </c>
      <c r="C9452" s="1" t="n">
        <v>46093</v>
      </c>
      <c r="D9452" t="inlineStr">
        <is>
          <t>VÄSTERNORRLANDS LÄN</t>
        </is>
      </c>
      <c r="E9452" t="inlineStr">
        <is>
          <t>SUNDSVALL</t>
        </is>
      </c>
      <c r="G9452" t="n">
        <v>2.9</v>
      </c>
      <c r="H9452" t="n">
        <v>0</v>
      </c>
      <c r="I9452" t="n">
        <v>0</v>
      </c>
      <c r="J9452" t="n">
        <v>0</v>
      </c>
      <c r="K9452" t="n">
        <v>0</v>
      </c>
      <c r="L9452" t="n">
        <v>0</v>
      </c>
      <c r="M9452" t="n">
        <v>0</v>
      </c>
      <c r="N9452" t="n">
        <v>0</v>
      </c>
      <c r="O9452" t="n">
        <v>0</v>
      </c>
      <c r="P9452" t="n">
        <v>0</v>
      </c>
      <c r="Q9452" t="n">
        <v>0</v>
      </c>
      <c r="R9452" s="2" t="inlineStr"/>
    </row>
    <row r="9453" ht="15" customHeight="1">
      <c r="A9453" t="inlineStr">
        <is>
          <t>A 11032-2025</t>
        </is>
      </c>
      <c r="B9453" s="1" t="n">
        <v>45723.47601851852</v>
      </c>
      <c r="C9453" s="1" t="n">
        <v>46093</v>
      </c>
      <c r="D9453" t="inlineStr">
        <is>
          <t>VÄSTERNORRLANDS LÄN</t>
        </is>
      </c>
      <c r="E9453" t="inlineStr">
        <is>
          <t>ÅNGE</t>
        </is>
      </c>
      <c r="G9453" t="n">
        <v>4.4</v>
      </c>
      <c r="H9453" t="n">
        <v>0</v>
      </c>
      <c r="I9453" t="n">
        <v>0</v>
      </c>
      <c r="J9453" t="n">
        <v>0</v>
      </c>
      <c r="K9453" t="n">
        <v>0</v>
      </c>
      <c r="L9453" t="n">
        <v>0</v>
      </c>
      <c r="M9453" t="n">
        <v>0</v>
      </c>
      <c r="N9453" t="n">
        <v>0</v>
      </c>
      <c r="O9453" t="n">
        <v>0</v>
      </c>
      <c r="P9453" t="n">
        <v>0</v>
      </c>
      <c r="Q9453" t="n">
        <v>0</v>
      </c>
      <c r="R9453" s="2" t="inlineStr"/>
    </row>
    <row r="9454" ht="15" customHeight="1">
      <c r="A9454" t="inlineStr">
        <is>
          <t>A 61865-2025</t>
        </is>
      </c>
      <c r="B9454" s="1" t="n">
        <v>46003.38758101852</v>
      </c>
      <c r="C9454" s="1" t="n">
        <v>46093</v>
      </c>
      <c r="D9454" t="inlineStr">
        <is>
          <t>VÄSTERNORRLANDS LÄN</t>
        </is>
      </c>
      <c r="E9454" t="inlineStr">
        <is>
          <t>ÖRNSKÖLDSVIK</t>
        </is>
      </c>
      <c r="G9454" t="n">
        <v>23.1</v>
      </c>
      <c r="H9454" t="n">
        <v>0</v>
      </c>
      <c r="I9454" t="n">
        <v>0</v>
      </c>
      <c r="J9454" t="n">
        <v>0</v>
      </c>
      <c r="K9454" t="n">
        <v>0</v>
      </c>
      <c r="L9454" t="n">
        <v>0</v>
      </c>
      <c r="M9454" t="n">
        <v>0</v>
      </c>
      <c r="N9454" t="n">
        <v>0</v>
      </c>
      <c r="O9454" t="n">
        <v>0</v>
      </c>
      <c r="P9454" t="n">
        <v>0</v>
      </c>
      <c r="Q9454" t="n">
        <v>0</v>
      </c>
      <c r="R9454" s="2" t="inlineStr"/>
    </row>
    <row r="9455" ht="15" customHeight="1">
      <c r="A9455" t="inlineStr">
        <is>
          <t>A 61869-2025</t>
        </is>
      </c>
      <c r="B9455" s="1" t="n">
        <v>46003.39366898148</v>
      </c>
      <c r="C9455" s="1" t="n">
        <v>46093</v>
      </c>
      <c r="D9455" t="inlineStr">
        <is>
          <t>VÄSTERNORRLANDS LÄN</t>
        </is>
      </c>
      <c r="E9455" t="inlineStr">
        <is>
          <t>ÖRNSKÖLDSVIK</t>
        </is>
      </c>
      <c r="G9455" t="n">
        <v>10.9</v>
      </c>
      <c r="H9455" t="n">
        <v>0</v>
      </c>
      <c r="I9455" t="n">
        <v>0</v>
      </c>
      <c r="J9455" t="n">
        <v>0</v>
      </c>
      <c r="K9455" t="n">
        <v>0</v>
      </c>
      <c r="L9455" t="n">
        <v>0</v>
      </c>
      <c r="M9455" t="n">
        <v>0</v>
      </c>
      <c r="N9455" t="n">
        <v>0</v>
      </c>
      <c r="O9455" t="n">
        <v>0</v>
      </c>
      <c r="P9455" t="n">
        <v>0</v>
      </c>
      <c r="Q9455" t="n">
        <v>0</v>
      </c>
      <c r="R9455" s="2" t="inlineStr"/>
    </row>
    <row r="9456" ht="15" customHeight="1">
      <c r="A9456" t="inlineStr">
        <is>
          <t>A 61828-2025</t>
        </is>
      </c>
      <c r="B9456" s="1" t="n">
        <v>46003.34099537037</v>
      </c>
      <c r="C9456" s="1" t="n">
        <v>46093</v>
      </c>
      <c r="D9456" t="inlineStr">
        <is>
          <t>VÄSTERNORRLANDS LÄN</t>
        </is>
      </c>
      <c r="E9456" t="inlineStr">
        <is>
          <t>SUNDSVALL</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61778-2024</t>
        </is>
      </c>
      <c r="B9457" s="1" t="n">
        <v>45649.46961805555</v>
      </c>
      <c r="C9457" s="1" t="n">
        <v>46093</v>
      </c>
      <c r="D9457" t="inlineStr">
        <is>
          <t>VÄSTERNORRLANDS LÄN</t>
        </is>
      </c>
      <c r="E9457" t="inlineStr">
        <is>
          <t>SOLLEFTEÅ</t>
        </is>
      </c>
      <c r="G9457" t="n">
        <v>3.1</v>
      </c>
      <c r="H9457" t="n">
        <v>0</v>
      </c>
      <c r="I9457" t="n">
        <v>0</v>
      </c>
      <c r="J9457" t="n">
        <v>0</v>
      </c>
      <c r="K9457" t="n">
        <v>0</v>
      </c>
      <c r="L9457" t="n">
        <v>0</v>
      </c>
      <c r="M9457" t="n">
        <v>0</v>
      </c>
      <c r="N9457" t="n">
        <v>0</v>
      </c>
      <c r="O9457" t="n">
        <v>0</v>
      </c>
      <c r="P9457" t="n">
        <v>0</v>
      </c>
      <c r="Q9457" t="n">
        <v>0</v>
      </c>
      <c r="R9457" s="2" t="inlineStr"/>
    </row>
    <row r="9458" ht="15" customHeight="1">
      <c r="A9458" t="inlineStr">
        <is>
          <t>A 46850-2024</t>
        </is>
      </c>
      <c r="B9458" s="1" t="n">
        <v>45583.61513888889</v>
      </c>
      <c r="C9458" s="1" t="n">
        <v>46093</v>
      </c>
      <c r="D9458" t="inlineStr">
        <is>
          <t>VÄSTERNORRLANDS LÄN</t>
        </is>
      </c>
      <c r="E9458" t="inlineStr">
        <is>
          <t>SOLLEFTEÅ</t>
        </is>
      </c>
      <c r="F9458" t="inlineStr">
        <is>
          <t>SCA</t>
        </is>
      </c>
      <c r="G9458" t="n">
        <v>4.2</v>
      </c>
      <c r="H9458" t="n">
        <v>0</v>
      </c>
      <c r="I9458" t="n">
        <v>0</v>
      </c>
      <c r="J9458" t="n">
        <v>0</v>
      </c>
      <c r="K9458" t="n">
        <v>0</v>
      </c>
      <c r="L9458" t="n">
        <v>0</v>
      </c>
      <c r="M9458" t="n">
        <v>0</v>
      </c>
      <c r="N9458" t="n">
        <v>0</v>
      </c>
      <c r="O9458" t="n">
        <v>0</v>
      </c>
      <c r="P9458" t="n">
        <v>0</v>
      </c>
      <c r="Q9458" t="n">
        <v>0</v>
      </c>
      <c r="R9458" s="2" t="inlineStr"/>
    </row>
    <row r="9459" ht="15" customHeight="1">
      <c r="A9459" t="inlineStr">
        <is>
          <t>A 62320-2025</t>
        </is>
      </c>
      <c r="B9459" s="1" t="n">
        <v>46006.69832175926</v>
      </c>
      <c r="C9459" s="1" t="n">
        <v>46093</v>
      </c>
      <c r="D9459" t="inlineStr">
        <is>
          <t>VÄSTERNORRLANDS LÄN</t>
        </is>
      </c>
      <c r="E9459" t="inlineStr">
        <is>
          <t>SUNDSVALL</t>
        </is>
      </c>
      <c r="F9459" t="inlineStr">
        <is>
          <t>SCA</t>
        </is>
      </c>
      <c r="G9459" t="n">
        <v>2</v>
      </c>
      <c r="H9459" t="n">
        <v>0</v>
      </c>
      <c r="I9459" t="n">
        <v>0</v>
      </c>
      <c r="J9459" t="n">
        <v>0</v>
      </c>
      <c r="K9459" t="n">
        <v>0</v>
      </c>
      <c r="L9459" t="n">
        <v>0</v>
      </c>
      <c r="M9459" t="n">
        <v>0</v>
      </c>
      <c r="N9459" t="n">
        <v>0</v>
      </c>
      <c r="O9459" t="n">
        <v>0</v>
      </c>
      <c r="P9459" t="n">
        <v>0</v>
      </c>
      <c r="Q9459" t="n">
        <v>0</v>
      </c>
      <c r="R9459" s="2" t="inlineStr"/>
    </row>
    <row r="9460" ht="15" customHeight="1">
      <c r="A9460" t="inlineStr">
        <is>
          <t>A 583-2025</t>
        </is>
      </c>
      <c r="B9460" s="1" t="n">
        <v>45664</v>
      </c>
      <c r="C9460" s="1" t="n">
        <v>46093</v>
      </c>
      <c r="D9460" t="inlineStr">
        <is>
          <t>VÄSTERNORRLANDS LÄN</t>
        </is>
      </c>
      <c r="E9460" t="inlineStr">
        <is>
          <t>SOLLEFTEÅ</t>
        </is>
      </c>
      <c r="G9460" t="n">
        <v>47.2</v>
      </c>
      <c r="H9460" t="n">
        <v>0</v>
      </c>
      <c r="I9460" t="n">
        <v>0</v>
      </c>
      <c r="J9460" t="n">
        <v>0</v>
      </c>
      <c r="K9460" t="n">
        <v>0</v>
      </c>
      <c r="L9460" t="n">
        <v>0</v>
      </c>
      <c r="M9460" t="n">
        <v>0</v>
      </c>
      <c r="N9460" t="n">
        <v>0</v>
      </c>
      <c r="O9460" t="n">
        <v>0</v>
      </c>
      <c r="P9460" t="n">
        <v>0</v>
      </c>
      <c r="Q9460" t="n">
        <v>0</v>
      </c>
      <c r="R9460" s="2" t="inlineStr"/>
    </row>
    <row r="9461" ht="15" customHeight="1">
      <c r="A9461" t="inlineStr">
        <is>
          <t>A 61967-2025</t>
        </is>
      </c>
      <c r="B9461" s="1" t="n">
        <v>46003.59440972222</v>
      </c>
      <c r="C9461" s="1" t="n">
        <v>46093</v>
      </c>
      <c r="D9461" t="inlineStr">
        <is>
          <t>VÄSTERNORRLANDS LÄN</t>
        </is>
      </c>
      <c r="E9461" t="inlineStr">
        <is>
          <t>SOLLEFTEÅ</t>
        </is>
      </c>
      <c r="F9461" t="inlineStr">
        <is>
          <t>SCA</t>
        </is>
      </c>
      <c r="G9461" t="n">
        <v>1.7</v>
      </c>
      <c r="H9461" t="n">
        <v>0</v>
      </c>
      <c r="I9461" t="n">
        <v>0</v>
      </c>
      <c r="J9461" t="n">
        <v>0</v>
      </c>
      <c r="K9461" t="n">
        <v>0</v>
      </c>
      <c r="L9461" t="n">
        <v>0</v>
      </c>
      <c r="M9461" t="n">
        <v>0</v>
      </c>
      <c r="N9461" t="n">
        <v>0</v>
      </c>
      <c r="O9461" t="n">
        <v>0</v>
      </c>
      <c r="P9461" t="n">
        <v>0</v>
      </c>
      <c r="Q9461" t="n">
        <v>0</v>
      </c>
      <c r="R9461" s="2" t="inlineStr"/>
    </row>
    <row r="9462" ht="15" customHeight="1">
      <c r="A9462" t="inlineStr">
        <is>
          <t>A 61983-2025</t>
        </is>
      </c>
      <c r="B9462" s="1" t="n">
        <v>46003</v>
      </c>
      <c r="C9462" s="1" t="n">
        <v>46093</v>
      </c>
      <c r="D9462" t="inlineStr">
        <is>
          <t>VÄSTERNORRLANDS LÄN</t>
        </is>
      </c>
      <c r="E9462" t="inlineStr">
        <is>
          <t>SUNDSVALL</t>
        </is>
      </c>
      <c r="G9462" t="n">
        <v>2.6</v>
      </c>
      <c r="H9462" t="n">
        <v>0</v>
      </c>
      <c r="I9462" t="n">
        <v>0</v>
      </c>
      <c r="J9462" t="n">
        <v>0</v>
      </c>
      <c r="K9462" t="n">
        <v>0</v>
      </c>
      <c r="L9462" t="n">
        <v>0</v>
      </c>
      <c r="M9462" t="n">
        <v>0</v>
      </c>
      <c r="N9462" t="n">
        <v>0</v>
      </c>
      <c r="O9462" t="n">
        <v>0</v>
      </c>
      <c r="P9462" t="n">
        <v>0</v>
      </c>
      <c r="Q9462" t="n">
        <v>0</v>
      </c>
      <c r="R9462" s="2" t="inlineStr"/>
    </row>
    <row r="9463" ht="15" customHeight="1">
      <c r="A9463" t="inlineStr">
        <is>
          <t>A 56401-2023</t>
        </is>
      </c>
      <c r="B9463" s="1" t="n">
        <v>45243</v>
      </c>
      <c r="C9463" s="1" t="n">
        <v>46093</v>
      </c>
      <c r="D9463" t="inlineStr">
        <is>
          <t>VÄSTERNORRLANDS LÄN</t>
        </is>
      </c>
      <c r="E9463" t="inlineStr">
        <is>
          <t>KRAMFORS</t>
        </is>
      </c>
      <c r="G9463" t="n">
        <v>16.4</v>
      </c>
      <c r="H9463" t="n">
        <v>0</v>
      </c>
      <c r="I9463" t="n">
        <v>0</v>
      </c>
      <c r="J9463" t="n">
        <v>0</v>
      </c>
      <c r="K9463" t="n">
        <v>0</v>
      </c>
      <c r="L9463" t="n">
        <v>0</v>
      </c>
      <c r="M9463" t="n">
        <v>0</v>
      </c>
      <c r="N9463" t="n">
        <v>0</v>
      </c>
      <c r="O9463" t="n">
        <v>0</v>
      </c>
      <c r="P9463" t="n">
        <v>0</v>
      </c>
      <c r="Q9463" t="n">
        <v>0</v>
      </c>
      <c r="R9463" s="2" t="inlineStr"/>
    </row>
    <row r="9464" ht="15" customHeight="1">
      <c r="A9464" t="inlineStr">
        <is>
          <t>A 58967-2023</t>
        </is>
      </c>
      <c r="B9464" s="1" t="n">
        <v>45250</v>
      </c>
      <c r="C9464" s="1" t="n">
        <v>46093</v>
      </c>
      <c r="D9464" t="inlineStr">
        <is>
          <t>VÄSTERNORRLANDS LÄN</t>
        </is>
      </c>
      <c r="E9464" t="inlineStr">
        <is>
          <t>SUNDSVALL</t>
        </is>
      </c>
      <c r="G9464" t="n">
        <v>0.5</v>
      </c>
      <c r="H9464" t="n">
        <v>0</v>
      </c>
      <c r="I9464" t="n">
        <v>0</v>
      </c>
      <c r="J9464" t="n">
        <v>0</v>
      </c>
      <c r="K9464" t="n">
        <v>0</v>
      </c>
      <c r="L9464" t="n">
        <v>0</v>
      </c>
      <c r="M9464" t="n">
        <v>0</v>
      </c>
      <c r="N9464" t="n">
        <v>0</v>
      </c>
      <c r="O9464" t="n">
        <v>0</v>
      </c>
      <c r="P9464" t="n">
        <v>0</v>
      </c>
      <c r="Q9464" t="n">
        <v>0</v>
      </c>
      <c r="R9464" s="2" t="inlineStr"/>
    </row>
    <row r="9465" ht="15" customHeight="1">
      <c r="A9465" t="inlineStr">
        <is>
          <t>A 56787-2024</t>
        </is>
      </c>
      <c r="B9465" s="1" t="n">
        <v>45628.45431712963</v>
      </c>
      <c r="C9465" s="1" t="n">
        <v>46093</v>
      </c>
      <c r="D9465" t="inlineStr">
        <is>
          <t>VÄSTERNORRLANDS LÄN</t>
        </is>
      </c>
      <c r="E9465" t="inlineStr">
        <is>
          <t>ÖRNSKÖLDSVIK</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62307-2025</t>
        </is>
      </c>
      <c r="B9466" s="1" t="n">
        <v>46006.66931712963</v>
      </c>
      <c r="C9466" s="1" t="n">
        <v>46093</v>
      </c>
      <c r="D9466" t="inlineStr">
        <is>
          <t>VÄSTERNORRLANDS LÄN</t>
        </is>
      </c>
      <c r="E9466" t="inlineStr">
        <is>
          <t>TIMRÅ</t>
        </is>
      </c>
      <c r="G9466" t="n">
        <v>0.8</v>
      </c>
      <c r="H9466" t="n">
        <v>0</v>
      </c>
      <c r="I9466" t="n">
        <v>0</v>
      </c>
      <c r="J9466" t="n">
        <v>0</v>
      </c>
      <c r="K9466" t="n">
        <v>0</v>
      </c>
      <c r="L9466" t="n">
        <v>0</v>
      </c>
      <c r="M9466" t="n">
        <v>0</v>
      </c>
      <c r="N9466" t="n">
        <v>0</v>
      </c>
      <c r="O9466" t="n">
        <v>0</v>
      </c>
      <c r="P9466" t="n">
        <v>0</v>
      </c>
      <c r="Q9466" t="n">
        <v>0</v>
      </c>
      <c r="R9466" s="2" t="inlineStr"/>
    </row>
    <row r="9467" ht="15" customHeight="1">
      <c r="A9467" t="inlineStr">
        <is>
          <t>A 56874-2024</t>
        </is>
      </c>
      <c r="B9467" s="1" t="n">
        <v>45628</v>
      </c>
      <c r="C9467" s="1" t="n">
        <v>46093</v>
      </c>
      <c r="D9467" t="inlineStr">
        <is>
          <t>VÄSTERNORRLANDS LÄN</t>
        </is>
      </c>
      <c r="E9467" t="inlineStr">
        <is>
          <t>ÅNGE</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61337-2024</t>
        </is>
      </c>
      <c r="B9468" s="1" t="n">
        <v>45646</v>
      </c>
      <c r="C9468" s="1" t="n">
        <v>46093</v>
      </c>
      <c r="D9468" t="inlineStr">
        <is>
          <t>VÄSTERNORRLANDS LÄN</t>
        </is>
      </c>
      <c r="E9468" t="inlineStr">
        <is>
          <t>HÄRNÖSAND</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61339-2024</t>
        </is>
      </c>
      <c r="B9469" s="1" t="n">
        <v>45646.36876157407</v>
      </c>
      <c r="C9469" s="1" t="n">
        <v>46093</v>
      </c>
      <c r="D9469" t="inlineStr">
        <is>
          <t>VÄSTERNORRLANDS LÄN</t>
        </is>
      </c>
      <c r="E9469" t="inlineStr">
        <is>
          <t>ÖRNSKÖLDSVIK</t>
        </is>
      </c>
      <c r="G9469" t="n">
        <v>8.5</v>
      </c>
      <c r="H9469" t="n">
        <v>0</v>
      </c>
      <c r="I9469" t="n">
        <v>0</v>
      </c>
      <c r="J9469" t="n">
        <v>0</v>
      </c>
      <c r="K9469" t="n">
        <v>0</v>
      </c>
      <c r="L9469" t="n">
        <v>0</v>
      </c>
      <c r="M9469" t="n">
        <v>0</v>
      </c>
      <c r="N9469" t="n">
        <v>0</v>
      </c>
      <c r="O9469" t="n">
        <v>0</v>
      </c>
      <c r="P9469" t="n">
        <v>0</v>
      </c>
      <c r="Q9469" t="n">
        <v>0</v>
      </c>
      <c r="R9469" s="2" t="inlineStr"/>
    </row>
    <row r="9470" ht="15" customHeight="1">
      <c r="A9470" t="inlineStr">
        <is>
          <t>A 56022-2023</t>
        </is>
      </c>
      <c r="B9470" s="1" t="n">
        <v>45233</v>
      </c>
      <c r="C9470" s="1" t="n">
        <v>46093</v>
      </c>
      <c r="D9470" t="inlineStr">
        <is>
          <t>VÄSTERNORRLANDS LÄN</t>
        </is>
      </c>
      <c r="E9470" t="inlineStr">
        <is>
          <t>ÖRNSKÖLDSVIK</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2257-2025</t>
        </is>
      </c>
      <c r="B9471" s="1" t="n">
        <v>45673.51421296296</v>
      </c>
      <c r="C9471" s="1" t="n">
        <v>46093</v>
      </c>
      <c r="D9471" t="inlineStr">
        <is>
          <t>VÄSTERNORRLANDS LÄN</t>
        </is>
      </c>
      <c r="E9471" t="inlineStr">
        <is>
          <t>ÖRNSKÖLDSVIK</t>
        </is>
      </c>
      <c r="G9471" t="n">
        <v>1.6</v>
      </c>
      <c r="H9471" t="n">
        <v>0</v>
      </c>
      <c r="I9471" t="n">
        <v>0</v>
      </c>
      <c r="J9471" t="n">
        <v>0</v>
      </c>
      <c r="K9471" t="n">
        <v>0</v>
      </c>
      <c r="L9471" t="n">
        <v>0</v>
      </c>
      <c r="M9471" t="n">
        <v>0</v>
      </c>
      <c r="N9471" t="n">
        <v>0</v>
      </c>
      <c r="O9471" t="n">
        <v>0</v>
      </c>
      <c r="P9471" t="n">
        <v>0</v>
      </c>
      <c r="Q9471" t="n">
        <v>0</v>
      </c>
      <c r="R9471" s="2" t="inlineStr"/>
    </row>
    <row r="9472" ht="15" customHeight="1">
      <c r="A9472" t="inlineStr">
        <is>
          <t>A 62059-2025</t>
        </is>
      </c>
      <c r="B9472" s="1" t="n">
        <v>46006.34295138889</v>
      </c>
      <c r="C9472" s="1" t="n">
        <v>46093</v>
      </c>
      <c r="D9472" t="inlineStr">
        <is>
          <t>VÄSTERNORRLANDS LÄN</t>
        </is>
      </c>
      <c r="E9472" t="inlineStr">
        <is>
          <t>SUNDSVALL</t>
        </is>
      </c>
      <c r="G9472" t="n">
        <v>2.4</v>
      </c>
      <c r="H9472" t="n">
        <v>0</v>
      </c>
      <c r="I9472" t="n">
        <v>0</v>
      </c>
      <c r="J9472" t="n">
        <v>0</v>
      </c>
      <c r="K9472" t="n">
        <v>0</v>
      </c>
      <c r="L9472" t="n">
        <v>0</v>
      </c>
      <c r="M9472" t="n">
        <v>0</v>
      </c>
      <c r="N9472" t="n">
        <v>0</v>
      </c>
      <c r="O9472" t="n">
        <v>0</v>
      </c>
      <c r="P9472" t="n">
        <v>0</v>
      </c>
      <c r="Q9472" t="n">
        <v>0</v>
      </c>
      <c r="R9472" s="2" t="inlineStr"/>
    </row>
    <row r="9473" ht="15" customHeight="1">
      <c r="A9473" t="inlineStr">
        <is>
          <t>A 62069-2025</t>
        </is>
      </c>
      <c r="B9473" s="1" t="n">
        <v>46006.36047453704</v>
      </c>
      <c r="C9473" s="1" t="n">
        <v>46093</v>
      </c>
      <c r="D9473" t="inlineStr">
        <is>
          <t>VÄSTERNORRLANDS LÄN</t>
        </is>
      </c>
      <c r="E9473" t="inlineStr">
        <is>
          <t>ÖRNSKÖLDSVIK</t>
        </is>
      </c>
      <c r="G9473" t="n">
        <v>3.2</v>
      </c>
      <c r="H9473" t="n">
        <v>0</v>
      </c>
      <c r="I9473" t="n">
        <v>0</v>
      </c>
      <c r="J9473" t="n">
        <v>0</v>
      </c>
      <c r="K9473" t="n">
        <v>0</v>
      </c>
      <c r="L9473" t="n">
        <v>0</v>
      </c>
      <c r="M9473" t="n">
        <v>0</v>
      </c>
      <c r="N9473" t="n">
        <v>0</v>
      </c>
      <c r="O9473" t="n">
        <v>0</v>
      </c>
      <c r="P9473" t="n">
        <v>0</v>
      </c>
      <c r="Q9473" t="n">
        <v>0</v>
      </c>
      <c r="R9473" s="2" t="inlineStr"/>
    </row>
    <row r="9474" ht="15" customHeight="1">
      <c r="A9474" t="inlineStr">
        <is>
          <t>A 62101-2025</t>
        </is>
      </c>
      <c r="B9474" s="1" t="n">
        <v>46006.40664351852</v>
      </c>
      <c r="C9474" s="1" t="n">
        <v>46093</v>
      </c>
      <c r="D9474" t="inlineStr">
        <is>
          <t>VÄSTERNORRLANDS LÄN</t>
        </is>
      </c>
      <c r="E9474" t="inlineStr">
        <is>
          <t>ÅNGE</t>
        </is>
      </c>
      <c r="F9474" t="inlineStr">
        <is>
          <t>SCA</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62181-2025</t>
        </is>
      </c>
      <c r="B9475" s="1" t="n">
        <v>46006.53164351852</v>
      </c>
      <c r="C9475" s="1" t="n">
        <v>46093</v>
      </c>
      <c r="D9475" t="inlineStr">
        <is>
          <t>VÄSTERNORRLANDS LÄN</t>
        </is>
      </c>
      <c r="E9475" t="inlineStr">
        <is>
          <t>SOLLEFTEÅ</t>
        </is>
      </c>
      <c r="F9475" t="inlineStr">
        <is>
          <t>SCA</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62257-2025</t>
        </is>
      </c>
      <c r="B9476" s="1" t="n">
        <v>46006.61524305555</v>
      </c>
      <c r="C9476" s="1" t="n">
        <v>46093</v>
      </c>
      <c r="D9476" t="inlineStr">
        <is>
          <t>VÄSTERNORRLANDS LÄN</t>
        </is>
      </c>
      <c r="E9476" t="inlineStr">
        <is>
          <t>ÅNGE</t>
        </is>
      </c>
      <c r="F9476" t="inlineStr">
        <is>
          <t>SCA</t>
        </is>
      </c>
      <c r="G9476" t="n">
        <v>2.9</v>
      </c>
      <c r="H9476" t="n">
        <v>0</v>
      </c>
      <c r="I9476" t="n">
        <v>0</v>
      </c>
      <c r="J9476" t="n">
        <v>0</v>
      </c>
      <c r="K9476" t="n">
        <v>0</v>
      </c>
      <c r="L9476" t="n">
        <v>0</v>
      </c>
      <c r="M9476" t="n">
        <v>0</v>
      </c>
      <c r="N9476" t="n">
        <v>0</v>
      </c>
      <c r="O9476" t="n">
        <v>0</v>
      </c>
      <c r="P9476" t="n">
        <v>0</v>
      </c>
      <c r="Q9476" t="n">
        <v>0</v>
      </c>
      <c r="R9476" s="2" t="inlineStr"/>
    </row>
    <row r="9477" ht="15" customHeight="1">
      <c r="A9477" t="inlineStr">
        <is>
          <t>A 62215-2025</t>
        </is>
      </c>
      <c r="B9477" s="1" t="n">
        <v>46006.57371527778</v>
      </c>
      <c r="C9477" s="1" t="n">
        <v>46093</v>
      </c>
      <c r="D9477" t="inlineStr">
        <is>
          <t>VÄSTERNORRLANDS LÄN</t>
        </is>
      </c>
      <c r="E9477" t="inlineStr">
        <is>
          <t>HÄRNÖSAND</t>
        </is>
      </c>
      <c r="G9477" t="n">
        <v>8.800000000000001</v>
      </c>
      <c r="H9477" t="n">
        <v>0</v>
      </c>
      <c r="I9477" t="n">
        <v>0</v>
      </c>
      <c r="J9477" t="n">
        <v>0</v>
      </c>
      <c r="K9477" t="n">
        <v>0</v>
      </c>
      <c r="L9477" t="n">
        <v>0</v>
      </c>
      <c r="M9477" t="n">
        <v>0</v>
      </c>
      <c r="N9477" t="n">
        <v>0</v>
      </c>
      <c r="O9477" t="n">
        <v>0</v>
      </c>
      <c r="P9477" t="n">
        <v>0</v>
      </c>
      <c r="Q9477" t="n">
        <v>0</v>
      </c>
      <c r="R9477" s="2" t="inlineStr"/>
    </row>
    <row r="9478" ht="15" customHeight="1">
      <c r="A9478" t="inlineStr">
        <is>
          <t>A 62255-2025</t>
        </is>
      </c>
      <c r="B9478" s="1" t="n">
        <v>46006.61098379629</v>
      </c>
      <c r="C9478" s="1" t="n">
        <v>46093</v>
      </c>
      <c r="D9478" t="inlineStr">
        <is>
          <t>VÄSTERNORRLANDS LÄN</t>
        </is>
      </c>
      <c r="E9478" t="inlineStr">
        <is>
          <t>SUNDSVALL</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62258-2025</t>
        </is>
      </c>
      <c r="B9479" s="1" t="n">
        <v>46006.61533564814</v>
      </c>
      <c r="C9479" s="1" t="n">
        <v>46093</v>
      </c>
      <c r="D9479" t="inlineStr">
        <is>
          <t>VÄSTERNORRLANDS LÄN</t>
        </is>
      </c>
      <c r="E9479" t="inlineStr">
        <is>
          <t>SUNDSVALL</t>
        </is>
      </c>
      <c r="G9479" t="n">
        <v>4.5</v>
      </c>
      <c r="H9479" t="n">
        <v>0</v>
      </c>
      <c r="I9479" t="n">
        <v>0</v>
      </c>
      <c r="J9479" t="n">
        <v>0</v>
      </c>
      <c r="K9479" t="n">
        <v>0</v>
      </c>
      <c r="L9479" t="n">
        <v>0</v>
      </c>
      <c r="M9479" t="n">
        <v>0</v>
      </c>
      <c r="N9479" t="n">
        <v>0</v>
      </c>
      <c r="O9479" t="n">
        <v>0</v>
      </c>
      <c r="P9479" t="n">
        <v>0</v>
      </c>
      <c r="Q9479" t="n">
        <v>0</v>
      </c>
      <c r="R9479" s="2" t="inlineStr"/>
    </row>
    <row r="9480" ht="15" customHeight="1">
      <c r="A9480" t="inlineStr">
        <is>
          <t>A 62283-2025</t>
        </is>
      </c>
      <c r="B9480" s="1" t="n">
        <v>46006.63672453703</v>
      </c>
      <c r="C9480" s="1" t="n">
        <v>46093</v>
      </c>
      <c r="D9480" t="inlineStr">
        <is>
          <t>VÄSTERNORRLANDS LÄN</t>
        </is>
      </c>
      <c r="E9480" t="inlineStr">
        <is>
          <t>SOLLEFTEÅ</t>
        </is>
      </c>
      <c r="G9480" t="n">
        <v>5</v>
      </c>
      <c r="H9480" t="n">
        <v>0</v>
      </c>
      <c r="I9480" t="n">
        <v>0</v>
      </c>
      <c r="J9480" t="n">
        <v>0</v>
      </c>
      <c r="K9480" t="n">
        <v>0</v>
      </c>
      <c r="L9480" t="n">
        <v>0</v>
      </c>
      <c r="M9480" t="n">
        <v>0</v>
      </c>
      <c r="N9480" t="n">
        <v>0</v>
      </c>
      <c r="O9480" t="n">
        <v>0</v>
      </c>
      <c r="P9480" t="n">
        <v>0</v>
      </c>
      <c r="Q9480" t="n">
        <v>0</v>
      </c>
      <c r="R9480" s="2" t="inlineStr"/>
    </row>
    <row r="9481" ht="15" customHeight="1">
      <c r="A9481" t="inlineStr">
        <is>
          <t>A 62308-2025</t>
        </is>
      </c>
      <c r="B9481" s="1" t="n">
        <v>46006.67209490741</v>
      </c>
      <c r="C9481" s="1" t="n">
        <v>46093</v>
      </c>
      <c r="D9481" t="inlineStr">
        <is>
          <t>VÄSTERNORRLANDS LÄN</t>
        </is>
      </c>
      <c r="E9481" t="inlineStr">
        <is>
          <t>ÖRNSKÖLDSVIK</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49810-2023</t>
        </is>
      </c>
      <c r="B9482" s="1" t="n">
        <v>45212.66369212963</v>
      </c>
      <c r="C9482" s="1" t="n">
        <v>46093</v>
      </c>
      <c r="D9482" t="inlineStr">
        <is>
          <t>VÄSTERNORRLANDS LÄN</t>
        </is>
      </c>
      <c r="E9482" t="inlineStr">
        <is>
          <t>SOLLEFTEÅ</t>
        </is>
      </c>
      <c r="F9482" t="inlineStr">
        <is>
          <t>Holmen skog AB</t>
        </is>
      </c>
      <c r="G9482" t="n">
        <v>3.4</v>
      </c>
      <c r="H9482" t="n">
        <v>0</v>
      </c>
      <c r="I9482" t="n">
        <v>0</v>
      </c>
      <c r="J9482" t="n">
        <v>0</v>
      </c>
      <c r="K9482" t="n">
        <v>0</v>
      </c>
      <c r="L9482" t="n">
        <v>0</v>
      </c>
      <c r="M9482" t="n">
        <v>0</v>
      </c>
      <c r="N9482" t="n">
        <v>0</v>
      </c>
      <c r="O9482" t="n">
        <v>0</v>
      </c>
      <c r="P9482" t="n">
        <v>0</v>
      </c>
      <c r="Q9482" t="n">
        <v>0</v>
      </c>
      <c r="R9482" s="2" t="inlineStr"/>
    </row>
    <row r="9483" ht="15" customHeight="1">
      <c r="A9483" t="inlineStr">
        <is>
          <t>A 48741-2023</t>
        </is>
      </c>
      <c r="B9483" s="1" t="n">
        <v>45208</v>
      </c>
      <c r="C9483" s="1" t="n">
        <v>46093</v>
      </c>
      <c r="D9483" t="inlineStr">
        <is>
          <t>VÄSTERNORRLANDS LÄN</t>
        </is>
      </c>
      <c r="E9483" t="inlineStr">
        <is>
          <t>ÖRNSKÖLDSVIK</t>
        </is>
      </c>
      <c r="G9483" t="n">
        <v>0.2</v>
      </c>
      <c r="H9483" t="n">
        <v>0</v>
      </c>
      <c r="I9483" t="n">
        <v>0</v>
      </c>
      <c r="J9483" t="n">
        <v>0</v>
      </c>
      <c r="K9483" t="n">
        <v>0</v>
      </c>
      <c r="L9483" t="n">
        <v>0</v>
      </c>
      <c r="M9483" t="n">
        <v>0</v>
      </c>
      <c r="N9483" t="n">
        <v>0</v>
      </c>
      <c r="O9483" t="n">
        <v>0</v>
      </c>
      <c r="P9483" t="n">
        <v>0</v>
      </c>
      <c r="Q9483" t="n">
        <v>0</v>
      </c>
      <c r="R9483" s="2" t="inlineStr"/>
    </row>
    <row r="9484" ht="15" customHeight="1">
      <c r="A9484" t="inlineStr">
        <is>
          <t>A 43008-2024</t>
        </is>
      </c>
      <c r="B9484" s="1" t="n">
        <v>45567.38574074074</v>
      </c>
      <c r="C9484" s="1" t="n">
        <v>46093</v>
      </c>
      <c r="D9484" t="inlineStr">
        <is>
          <t>VÄSTERNORRLANDS LÄN</t>
        </is>
      </c>
      <c r="E9484" t="inlineStr">
        <is>
          <t>SOLLEFTEÅ</t>
        </is>
      </c>
      <c r="F9484" t="inlineStr">
        <is>
          <t>SCA</t>
        </is>
      </c>
      <c r="G9484" t="n">
        <v>3.9</v>
      </c>
      <c r="H9484" t="n">
        <v>0</v>
      </c>
      <c r="I9484" t="n">
        <v>0</v>
      </c>
      <c r="J9484" t="n">
        <v>0</v>
      </c>
      <c r="K9484" t="n">
        <v>0</v>
      </c>
      <c r="L9484" t="n">
        <v>0</v>
      </c>
      <c r="M9484" t="n">
        <v>0</v>
      </c>
      <c r="N9484" t="n">
        <v>0</v>
      </c>
      <c r="O9484" t="n">
        <v>0</v>
      </c>
      <c r="P9484" t="n">
        <v>0</v>
      </c>
      <c r="Q9484" t="n">
        <v>0</v>
      </c>
      <c r="R9484" s="2" t="inlineStr"/>
    </row>
    <row r="9485" ht="15" customHeight="1">
      <c r="A9485" t="inlineStr">
        <is>
          <t>A 32140-2023</t>
        </is>
      </c>
      <c r="B9485" s="1" t="n">
        <v>45107</v>
      </c>
      <c r="C9485" s="1" t="n">
        <v>46093</v>
      </c>
      <c r="D9485" t="inlineStr">
        <is>
          <t>VÄSTERNORRLANDS LÄN</t>
        </is>
      </c>
      <c r="E9485" t="inlineStr">
        <is>
          <t>HÄRNÖSAND</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34629-2025</t>
        </is>
      </c>
      <c r="B9486" s="1" t="n">
        <v>45847.93006944445</v>
      </c>
      <c r="C9486" s="1" t="n">
        <v>46093</v>
      </c>
      <c r="D9486" t="inlineStr">
        <is>
          <t>VÄSTERNORRLANDS LÄN</t>
        </is>
      </c>
      <c r="E9486" t="inlineStr">
        <is>
          <t>ÅNGE</t>
        </is>
      </c>
      <c r="G9486" t="n">
        <v>0.2</v>
      </c>
      <c r="H9486" t="n">
        <v>0</v>
      </c>
      <c r="I9486" t="n">
        <v>0</v>
      </c>
      <c r="J9486" t="n">
        <v>0</v>
      </c>
      <c r="K9486" t="n">
        <v>0</v>
      </c>
      <c r="L9486" t="n">
        <v>0</v>
      </c>
      <c r="M9486" t="n">
        <v>0</v>
      </c>
      <c r="N9486" t="n">
        <v>0</v>
      </c>
      <c r="O9486" t="n">
        <v>0</v>
      </c>
      <c r="P9486" t="n">
        <v>0</v>
      </c>
      <c r="Q9486" t="n">
        <v>0</v>
      </c>
      <c r="R9486" s="2" t="inlineStr"/>
    </row>
    <row r="9487" ht="15" customHeight="1">
      <c r="A9487" t="inlineStr">
        <is>
          <t>A 34648-2024</t>
        </is>
      </c>
      <c r="B9487" s="1" t="n">
        <v>45526</v>
      </c>
      <c r="C9487" s="1" t="n">
        <v>46093</v>
      </c>
      <c r="D9487" t="inlineStr">
        <is>
          <t>VÄSTERNORRLANDS LÄN</t>
        </is>
      </c>
      <c r="E9487" t="inlineStr">
        <is>
          <t>ÖRNSKÖLDSVIK</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5150-2023</t>
        </is>
      </c>
      <c r="B9488" s="1" t="n">
        <v>44958</v>
      </c>
      <c r="C9488" s="1" t="n">
        <v>46093</v>
      </c>
      <c r="D9488" t="inlineStr">
        <is>
          <t>VÄSTERNORRLANDS LÄN</t>
        </is>
      </c>
      <c r="E9488" t="inlineStr">
        <is>
          <t>KRAMFORS</t>
        </is>
      </c>
      <c r="G9488" t="n">
        <v>12.8</v>
      </c>
      <c r="H9488" t="n">
        <v>0</v>
      </c>
      <c r="I9488" t="n">
        <v>0</v>
      </c>
      <c r="J9488" t="n">
        <v>0</v>
      </c>
      <c r="K9488" t="n">
        <v>0</v>
      </c>
      <c r="L9488" t="n">
        <v>0</v>
      </c>
      <c r="M9488" t="n">
        <v>0</v>
      </c>
      <c r="N9488" t="n">
        <v>0</v>
      </c>
      <c r="O9488" t="n">
        <v>0</v>
      </c>
      <c r="P9488" t="n">
        <v>0</v>
      </c>
      <c r="Q9488" t="n">
        <v>0</v>
      </c>
      <c r="R9488" s="2" t="inlineStr"/>
    </row>
    <row r="9489" ht="15" customHeight="1">
      <c r="A9489" t="inlineStr">
        <is>
          <t>A 62195-2025</t>
        </is>
      </c>
      <c r="B9489" s="1" t="n">
        <v>46006.55266203704</v>
      </c>
      <c r="C9489" s="1" t="n">
        <v>46093</v>
      </c>
      <c r="D9489" t="inlineStr">
        <is>
          <t>VÄSTERNORRLANDS LÄN</t>
        </is>
      </c>
      <c r="E9489" t="inlineStr">
        <is>
          <t>SOLLEFTEÅ</t>
        </is>
      </c>
      <c r="F9489" t="inlineStr">
        <is>
          <t>SCA</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62217-2025</t>
        </is>
      </c>
      <c r="B9490" s="1" t="n">
        <v>46006.57925925926</v>
      </c>
      <c r="C9490" s="1" t="n">
        <v>46093</v>
      </c>
      <c r="D9490" t="inlineStr">
        <is>
          <t>VÄSTERNORRLANDS LÄN</t>
        </is>
      </c>
      <c r="E9490" t="inlineStr">
        <is>
          <t>TIMRÅ</t>
        </is>
      </c>
      <c r="G9490" t="n">
        <v>4.8</v>
      </c>
      <c r="H9490" t="n">
        <v>0</v>
      </c>
      <c r="I9490" t="n">
        <v>0</v>
      </c>
      <c r="J9490" t="n">
        <v>0</v>
      </c>
      <c r="K9490" t="n">
        <v>0</v>
      </c>
      <c r="L9490" t="n">
        <v>0</v>
      </c>
      <c r="M9490" t="n">
        <v>0</v>
      </c>
      <c r="N9490" t="n">
        <v>0</v>
      </c>
      <c r="O9490" t="n">
        <v>0</v>
      </c>
      <c r="P9490" t="n">
        <v>0</v>
      </c>
      <c r="Q9490" t="n">
        <v>0</v>
      </c>
      <c r="R9490" s="2" t="inlineStr"/>
    </row>
    <row r="9491" ht="15" customHeight="1">
      <c r="A9491" t="inlineStr">
        <is>
          <t>A 8664-2025</t>
        </is>
      </c>
      <c r="B9491" s="1" t="n">
        <v>45712.40648148148</v>
      </c>
      <c r="C9491" s="1" t="n">
        <v>46093</v>
      </c>
      <c r="D9491" t="inlineStr">
        <is>
          <t>VÄSTERNORRLANDS LÄN</t>
        </is>
      </c>
      <c r="E9491" t="inlineStr">
        <is>
          <t>ÖRNSKÖLDSVIK</t>
        </is>
      </c>
      <c r="G9491" t="n">
        <v>13.3</v>
      </c>
      <c r="H9491" t="n">
        <v>0</v>
      </c>
      <c r="I9491" t="n">
        <v>0</v>
      </c>
      <c r="J9491" t="n">
        <v>0</v>
      </c>
      <c r="K9491" t="n">
        <v>0</v>
      </c>
      <c r="L9491" t="n">
        <v>0</v>
      </c>
      <c r="M9491" t="n">
        <v>0</v>
      </c>
      <c r="N9491" t="n">
        <v>0</v>
      </c>
      <c r="O9491" t="n">
        <v>0</v>
      </c>
      <c r="P9491" t="n">
        <v>0</v>
      </c>
      <c r="Q9491" t="n">
        <v>0</v>
      </c>
      <c r="R9491" s="2" t="inlineStr"/>
    </row>
    <row r="9492" ht="15" customHeight="1">
      <c r="A9492" t="inlineStr">
        <is>
          <t>A 62280-2025</t>
        </is>
      </c>
      <c r="B9492" s="1" t="n">
        <v>46006.63635416667</v>
      </c>
      <c r="C9492" s="1" t="n">
        <v>46093</v>
      </c>
      <c r="D9492" t="inlineStr">
        <is>
          <t>VÄSTERNORRLANDS LÄN</t>
        </is>
      </c>
      <c r="E9492" t="inlineStr">
        <is>
          <t>SOLLEFTEÅ</t>
        </is>
      </c>
      <c r="F9492" t="inlineStr">
        <is>
          <t>SCA</t>
        </is>
      </c>
      <c r="G9492" t="n">
        <v>2.8</v>
      </c>
      <c r="H9492" t="n">
        <v>0</v>
      </c>
      <c r="I9492" t="n">
        <v>0</v>
      </c>
      <c r="J9492" t="n">
        <v>0</v>
      </c>
      <c r="K9492" t="n">
        <v>0</v>
      </c>
      <c r="L9492" t="n">
        <v>0</v>
      </c>
      <c r="M9492" t="n">
        <v>0</v>
      </c>
      <c r="N9492" t="n">
        <v>0</v>
      </c>
      <c r="O9492" t="n">
        <v>0</v>
      </c>
      <c r="P9492" t="n">
        <v>0</v>
      </c>
      <c r="Q9492" t="n">
        <v>0</v>
      </c>
      <c r="R9492" s="2" t="inlineStr"/>
    </row>
    <row r="9493" ht="15" customHeight="1">
      <c r="A9493" t="inlineStr">
        <is>
          <t>A 62282-2025</t>
        </is>
      </c>
      <c r="B9493" s="1" t="n">
        <v>46006.6366087963</v>
      </c>
      <c r="C9493" s="1" t="n">
        <v>46093</v>
      </c>
      <c r="D9493" t="inlineStr">
        <is>
          <t>VÄSTERNORRLANDS LÄN</t>
        </is>
      </c>
      <c r="E9493" t="inlineStr">
        <is>
          <t>SUNDSVALL</t>
        </is>
      </c>
      <c r="G9493" t="n">
        <v>0.8</v>
      </c>
      <c r="H9493" t="n">
        <v>0</v>
      </c>
      <c r="I9493" t="n">
        <v>0</v>
      </c>
      <c r="J9493" t="n">
        <v>0</v>
      </c>
      <c r="K9493" t="n">
        <v>0</v>
      </c>
      <c r="L9493" t="n">
        <v>0</v>
      </c>
      <c r="M9493" t="n">
        <v>0</v>
      </c>
      <c r="N9493" t="n">
        <v>0</v>
      </c>
      <c r="O9493" t="n">
        <v>0</v>
      </c>
      <c r="P9493" t="n">
        <v>0</v>
      </c>
      <c r="Q9493" t="n">
        <v>0</v>
      </c>
      <c r="R9493" s="2" t="inlineStr"/>
    </row>
    <row r="9494" ht="15" customHeight="1">
      <c r="A9494" t="inlineStr">
        <is>
          <t>A 62312-2025</t>
        </is>
      </c>
      <c r="B9494" s="1" t="n">
        <v>46006.67767361111</v>
      </c>
      <c r="C9494" s="1" t="n">
        <v>46093</v>
      </c>
      <c r="D9494" t="inlineStr">
        <is>
          <t>VÄSTERNORRLANDS LÄN</t>
        </is>
      </c>
      <c r="E9494" t="inlineStr">
        <is>
          <t>SOLLEFTEÅ</t>
        </is>
      </c>
      <c r="G9494" t="n">
        <v>9.5</v>
      </c>
      <c r="H9494" t="n">
        <v>0</v>
      </c>
      <c r="I9494" t="n">
        <v>0</v>
      </c>
      <c r="J9494" t="n">
        <v>0</v>
      </c>
      <c r="K9494" t="n">
        <v>0</v>
      </c>
      <c r="L9494" t="n">
        <v>0</v>
      </c>
      <c r="M9494" t="n">
        <v>0</v>
      </c>
      <c r="N9494" t="n">
        <v>0</v>
      </c>
      <c r="O9494" t="n">
        <v>0</v>
      </c>
      <c r="P9494" t="n">
        <v>0</v>
      </c>
      <c r="Q9494" t="n">
        <v>0</v>
      </c>
      <c r="R9494" s="2" t="inlineStr"/>
    </row>
    <row r="9495" ht="15" customHeight="1">
      <c r="A9495" t="inlineStr">
        <is>
          <t>A 61485-2024</t>
        </is>
      </c>
      <c r="B9495" s="1" t="n">
        <v>45646.53175925926</v>
      </c>
      <c r="C9495" s="1" t="n">
        <v>46093</v>
      </c>
      <c r="D9495" t="inlineStr">
        <is>
          <t>VÄSTERNORRLANDS LÄN</t>
        </is>
      </c>
      <c r="E9495" t="inlineStr">
        <is>
          <t>SOLLEFTEÅ</t>
        </is>
      </c>
      <c r="F9495" t="inlineStr">
        <is>
          <t>SCA</t>
        </is>
      </c>
      <c r="G9495" t="n">
        <v>1.6</v>
      </c>
      <c r="H9495" t="n">
        <v>0</v>
      </c>
      <c r="I9495" t="n">
        <v>0</v>
      </c>
      <c r="J9495" t="n">
        <v>0</v>
      </c>
      <c r="K9495" t="n">
        <v>0</v>
      </c>
      <c r="L9495" t="n">
        <v>0</v>
      </c>
      <c r="M9495" t="n">
        <v>0</v>
      </c>
      <c r="N9495" t="n">
        <v>0</v>
      </c>
      <c r="O9495" t="n">
        <v>0</v>
      </c>
      <c r="P9495" t="n">
        <v>0</v>
      </c>
      <c r="Q9495" t="n">
        <v>0</v>
      </c>
      <c r="R9495" s="2" t="inlineStr"/>
    </row>
    <row r="9496" ht="15" customHeight="1">
      <c r="A9496" t="inlineStr">
        <is>
          <t>A 55417-2024</t>
        </is>
      </c>
      <c r="B9496" s="1" t="n">
        <v>45622.37831018519</v>
      </c>
      <c r="C9496" s="1" t="n">
        <v>46093</v>
      </c>
      <c r="D9496" t="inlineStr">
        <is>
          <t>VÄSTERNORRLANDS LÄN</t>
        </is>
      </c>
      <c r="E9496" t="inlineStr">
        <is>
          <t>ÖRNSKÖLDSVIK</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56095-2024</t>
        </is>
      </c>
      <c r="B9497" s="1" t="n">
        <v>45624.41864583334</v>
      </c>
      <c r="C9497" s="1" t="n">
        <v>46093</v>
      </c>
      <c r="D9497" t="inlineStr">
        <is>
          <t>VÄSTERNORRLANDS LÄN</t>
        </is>
      </c>
      <c r="E9497" t="inlineStr">
        <is>
          <t>ÖRNSKÖLDSVIK</t>
        </is>
      </c>
      <c r="F9497" t="inlineStr">
        <is>
          <t>Holmen skog AB</t>
        </is>
      </c>
      <c r="G9497" t="n">
        <v>2.3</v>
      </c>
      <c r="H9497" t="n">
        <v>0</v>
      </c>
      <c r="I9497" t="n">
        <v>0</v>
      </c>
      <c r="J9497" t="n">
        <v>0</v>
      </c>
      <c r="K9497" t="n">
        <v>0</v>
      </c>
      <c r="L9497" t="n">
        <v>0</v>
      </c>
      <c r="M9497" t="n">
        <v>0</v>
      </c>
      <c r="N9497" t="n">
        <v>0</v>
      </c>
      <c r="O9497" t="n">
        <v>0</v>
      </c>
      <c r="P9497" t="n">
        <v>0</v>
      </c>
      <c r="Q9497" t="n">
        <v>0</v>
      </c>
      <c r="R9497" s="2" t="inlineStr"/>
    </row>
    <row r="9498" ht="15" customHeight="1">
      <c r="A9498" t="inlineStr">
        <is>
          <t>A 62281-2025</t>
        </is>
      </c>
      <c r="B9498" s="1" t="n">
        <v>46006.63652777778</v>
      </c>
      <c r="C9498" s="1" t="n">
        <v>46093</v>
      </c>
      <c r="D9498" t="inlineStr">
        <is>
          <t>VÄSTERNORRLANDS LÄN</t>
        </is>
      </c>
      <c r="E9498" t="inlineStr">
        <is>
          <t>SOLLEFTEÅ</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62285-2025</t>
        </is>
      </c>
      <c r="B9499" s="1" t="n">
        <v>46006</v>
      </c>
      <c r="C9499" s="1" t="n">
        <v>46093</v>
      </c>
      <c r="D9499" t="inlineStr">
        <is>
          <t>VÄSTERNORRLANDS LÄN</t>
        </is>
      </c>
      <c r="E9499" t="inlineStr">
        <is>
          <t>SOLLEFTEÅ</t>
        </is>
      </c>
      <c r="G9499" t="n">
        <v>5.1</v>
      </c>
      <c r="H9499" t="n">
        <v>0</v>
      </c>
      <c r="I9499" t="n">
        <v>0</v>
      </c>
      <c r="J9499" t="n">
        <v>0</v>
      </c>
      <c r="K9499" t="n">
        <v>0</v>
      </c>
      <c r="L9499" t="n">
        <v>0</v>
      </c>
      <c r="M9499" t="n">
        <v>0</v>
      </c>
      <c r="N9499" t="n">
        <v>0</v>
      </c>
      <c r="O9499" t="n">
        <v>0</v>
      </c>
      <c r="P9499" t="n">
        <v>0</v>
      </c>
      <c r="Q9499" t="n">
        <v>0</v>
      </c>
      <c r="R9499" s="2" t="inlineStr"/>
    </row>
    <row r="9500" ht="15" customHeight="1">
      <c r="A9500" t="inlineStr">
        <is>
          <t>A 16657-2025</t>
        </is>
      </c>
      <c r="B9500" s="1" t="n">
        <v>45754.40700231482</v>
      </c>
      <c r="C9500" s="1" t="n">
        <v>46093</v>
      </c>
      <c r="D9500" t="inlineStr">
        <is>
          <t>VÄSTERNORRLANDS LÄN</t>
        </is>
      </c>
      <c r="E9500" t="inlineStr">
        <is>
          <t>ÅNGE</t>
        </is>
      </c>
      <c r="F9500" t="inlineStr">
        <is>
          <t>SCA</t>
        </is>
      </c>
      <c r="G9500" t="n">
        <v>5.1</v>
      </c>
      <c r="H9500" t="n">
        <v>0</v>
      </c>
      <c r="I9500" t="n">
        <v>0</v>
      </c>
      <c r="J9500" t="n">
        <v>0</v>
      </c>
      <c r="K9500" t="n">
        <v>0</v>
      </c>
      <c r="L9500" t="n">
        <v>0</v>
      </c>
      <c r="M9500" t="n">
        <v>0</v>
      </c>
      <c r="N9500" t="n">
        <v>0</v>
      </c>
      <c r="O9500" t="n">
        <v>0</v>
      </c>
      <c r="P9500" t="n">
        <v>0</v>
      </c>
      <c r="Q9500" t="n">
        <v>0</v>
      </c>
      <c r="R9500" s="2" t="inlineStr"/>
    </row>
    <row r="9501" ht="15" customHeight="1">
      <c r="A9501" t="inlineStr">
        <is>
          <t>A 61829-2025</t>
        </is>
      </c>
      <c r="B9501" s="1" t="n">
        <v>46003.34233796296</v>
      </c>
      <c r="C9501" s="1" t="n">
        <v>46093</v>
      </c>
      <c r="D9501" t="inlineStr">
        <is>
          <t>VÄSTERNORRLANDS LÄN</t>
        </is>
      </c>
      <c r="E9501" t="inlineStr">
        <is>
          <t>SUNDSVALL</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61857-2025</t>
        </is>
      </c>
      <c r="B9502" s="1" t="n">
        <v>46003.3862962963</v>
      </c>
      <c r="C9502" s="1" t="n">
        <v>46093</v>
      </c>
      <c r="D9502" t="inlineStr">
        <is>
          <t>VÄSTERNORRLANDS LÄN</t>
        </is>
      </c>
      <c r="E9502" t="inlineStr">
        <is>
          <t>ÅNGE</t>
        </is>
      </c>
      <c r="F9502" t="inlineStr">
        <is>
          <t>SCA</t>
        </is>
      </c>
      <c r="G9502" t="n">
        <v>4</v>
      </c>
      <c r="H9502" t="n">
        <v>0</v>
      </c>
      <c r="I9502" t="n">
        <v>0</v>
      </c>
      <c r="J9502" t="n">
        <v>0</v>
      </c>
      <c r="K9502" t="n">
        <v>0</v>
      </c>
      <c r="L9502" t="n">
        <v>0</v>
      </c>
      <c r="M9502" t="n">
        <v>0</v>
      </c>
      <c r="N9502" t="n">
        <v>0</v>
      </c>
      <c r="O9502" t="n">
        <v>0</v>
      </c>
      <c r="P9502" t="n">
        <v>0</v>
      </c>
      <c r="Q9502" t="n">
        <v>0</v>
      </c>
      <c r="R9502" s="2" t="inlineStr"/>
    </row>
    <row r="9503" ht="15" customHeight="1">
      <c r="A9503" t="inlineStr">
        <is>
          <t>A 6608-2025</t>
        </is>
      </c>
      <c r="B9503" s="1" t="n">
        <v>45700.34415509259</v>
      </c>
      <c r="C9503" s="1" t="n">
        <v>46093</v>
      </c>
      <c r="D9503" t="inlineStr">
        <is>
          <t>VÄSTERNORRLANDS LÄN</t>
        </is>
      </c>
      <c r="E9503" t="inlineStr">
        <is>
          <t>ÅNGE</t>
        </is>
      </c>
      <c r="F9503" t="inlineStr">
        <is>
          <t>SCA</t>
        </is>
      </c>
      <c r="G9503" t="n">
        <v>3.2</v>
      </c>
      <c r="H9503" t="n">
        <v>0</v>
      </c>
      <c r="I9503" t="n">
        <v>0</v>
      </c>
      <c r="J9503" t="n">
        <v>0</v>
      </c>
      <c r="K9503" t="n">
        <v>0</v>
      </c>
      <c r="L9503" t="n">
        <v>0</v>
      </c>
      <c r="M9503" t="n">
        <v>0</v>
      </c>
      <c r="N9503" t="n">
        <v>0</v>
      </c>
      <c r="O9503" t="n">
        <v>0</v>
      </c>
      <c r="P9503" t="n">
        <v>0</v>
      </c>
      <c r="Q9503" t="n">
        <v>0</v>
      </c>
      <c r="R9503" s="2" t="inlineStr"/>
    </row>
    <row r="9504" ht="15" customHeight="1">
      <c r="A9504" t="inlineStr">
        <is>
          <t>A 16468-2024</t>
        </is>
      </c>
      <c r="B9504" s="1" t="n">
        <v>45408.0508449074</v>
      </c>
      <c r="C9504" s="1" t="n">
        <v>46093</v>
      </c>
      <c r="D9504" t="inlineStr">
        <is>
          <t>VÄSTERNORRLANDS LÄN</t>
        </is>
      </c>
      <c r="E9504" t="inlineStr">
        <is>
          <t>SOLLEFTEÅ</t>
        </is>
      </c>
      <c r="F9504" t="inlineStr">
        <is>
          <t>SCA</t>
        </is>
      </c>
      <c r="G9504" t="n">
        <v>2.9</v>
      </c>
      <c r="H9504" t="n">
        <v>0</v>
      </c>
      <c r="I9504" t="n">
        <v>0</v>
      </c>
      <c r="J9504" t="n">
        <v>0</v>
      </c>
      <c r="K9504" t="n">
        <v>0</v>
      </c>
      <c r="L9504" t="n">
        <v>0</v>
      </c>
      <c r="M9504" t="n">
        <v>0</v>
      </c>
      <c r="N9504" t="n">
        <v>0</v>
      </c>
      <c r="O9504" t="n">
        <v>0</v>
      </c>
      <c r="P9504" t="n">
        <v>0</v>
      </c>
      <c r="Q9504" t="n">
        <v>0</v>
      </c>
      <c r="R9504" s="2" t="inlineStr"/>
    </row>
    <row r="9505" ht="15" customHeight="1">
      <c r="A9505" t="inlineStr">
        <is>
          <t>A 62001-2025</t>
        </is>
      </c>
      <c r="B9505" s="1" t="n">
        <v>46003.65665509259</v>
      </c>
      <c r="C9505" s="1" t="n">
        <v>46093</v>
      </c>
      <c r="D9505" t="inlineStr">
        <is>
          <t>VÄSTERNORRLANDS LÄN</t>
        </is>
      </c>
      <c r="E9505" t="inlineStr">
        <is>
          <t>SOLLEFTEÅ</t>
        </is>
      </c>
      <c r="F9505" t="inlineStr">
        <is>
          <t>SCA</t>
        </is>
      </c>
      <c r="G9505" t="n">
        <v>3.9</v>
      </c>
      <c r="H9505" t="n">
        <v>0</v>
      </c>
      <c r="I9505" t="n">
        <v>0</v>
      </c>
      <c r="J9505" t="n">
        <v>0</v>
      </c>
      <c r="K9505" t="n">
        <v>0</v>
      </c>
      <c r="L9505" t="n">
        <v>0</v>
      </c>
      <c r="M9505" t="n">
        <v>0</v>
      </c>
      <c r="N9505" t="n">
        <v>0</v>
      </c>
      <c r="O9505" t="n">
        <v>0</v>
      </c>
      <c r="P9505" t="n">
        <v>0</v>
      </c>
      <c r="Q9505" t="n">
        <v>0</v>
      </c>
      <c r="R9505" s="2" t="inlineStr"/>
    </row>
    <row r="9506" ht="15" customHeight="1">
      <c r="A9506" t="inlineStr">
        <is>
          <t>A 55537-2025</t>
        </is>
      </c>
      <c r="B9506" s="1" t="n">
        <v>45971</v>
      </c>
      <c r="C9506" s="1" t="n">
        <v>46093</v>
      </c>
      <c r="D9506" t="inlineStr">
        <is>
          <t>VÄSTERNORRLANDS LÄN</t>
        </is>
      </c>
      <c r="E9506" t="inlineStr">
        <is>
          <t>ÖRNSKÖLDSVIK</t>
        </is>
      </c>
      <c r="G9506" t="n">
        <v>1.8</v>
      </c>
      <c r="H9506" t="n">
        <v>0</v>
      </c>
      <c r="I9506" t="n">
        <v>0</v>
      </c>
      <c r="J9506" t="n">
        <v>0</v>
      </c>
      <c r="K9506" t="n">
        <v>0</v>
      </c>
      <c r="L9506" t="n">
        <v>0</v>
      </c>
      <c r="M9506" t="n">
        <v>0</v>
      </c>
      <c r="N9506" t="n">
        <v>0</v>
      </c>
      <c r="O9506" t="n">
        <v>0</v>
      </c>
      <c r="P9506" t="n">
        <v>0</v>
      </c>
      <c r="Q9506" t="n">
        <v>0</v>
      </c>
      <c r="R9506" s="2" t="inlineStr"/>
    </row>
    <row r="9507" ht="15" customHeight="1">
      <c r="A9507" t="inlineStr">
        <is>
          <t>A 62174-2025</t>
        </is>
      </c>
      <c r="B9507" s="1" t="n">
        <v>46006.51144675926</v>
      </c>
      <c r="C9507" s="1" t="n">
        <v>46093</v>
      </c>
      <c r="D9507" t="inlineStr">
        <is>
          <t>VÄSTERNORRLANDS LÄN</t>
        </is>
      </c>
      <c r="E9507" t="inlineStr">
        <is>
          <t>SUNDSVALL</t>
        </is>
      </c>
      <c r="F9507" t="inlineStr">
        <is>
          <t>SCA</t>
        </is>
      </c>
      <c r="G9507" t="n">
        <v>2</v>
      </c>
      <c r="H9507" t="n">
        <v>0</v>
      </c>
      <c r="I9507" t="n">
        <v>0</v>
      </c>
      <c r="J9507" t="n">
        <v>0</v>
      </c>
      <c r="K9507" t="n">
        <v>0</v>
      </c>
      <c r="L9507" t="n">
        <v>0</v>
      </c>
      <c r="M9507" t="n">
        <v>0</v>
      </c>
      <c r="N9507" t="n">
        <v>0</v>
      </c>
      <c r="O9507" t="n">
        <v>0</v>
      </c>
      <c r="P9507" t="n">
        <v>0</v>
      </c>
      <c r="Q9507" t="n">
        <v>0</v>
      </c>
      <c r="R9507" s="2" t="inlineStr"/>
    </row>
    <row r="9508" ht="15" customHeight="1">
      <c r="A9508" t="inlineStr">
        <is>
          <t>A 61969-2025</t>
        </is>
      </c>
      <c r="B9508" s="1" t="n">
        <v>46003.59466435185</v>
      </c>
      <c r="C9508" s="1" t="n">
        <v>46093</v>
      </c>
      <c r="D9508" t="inlineStr">
        <is>
          <t>VÄSTERNORRLANDS LÄN</t>
        </is>
      </c>
      <c r="E9508" t="inlineStr">
        <is>
          <t>SUNDSVALL</t>
        </is>
      </c>
      <c r="G9508" t="n">
        <v>1.8</v>
      </c>
      <c r="H9508" t="n">
        <v>0</v>
      </c>
      <c r="I9508" t="n">
        <v>0</v>
      </c>
      <c r="J9508" t="n">
        <v>0</v>
      </c>
      <c r="K9508" t="n">
        <v>0</v>
      </c>
      <c r="L9508" t="n">
        <v>0</v>
      </c>
      <c r="M9508" t="n">
        <v>0</v>
      </c>
      <c r="N9508" t="n">
        <v>0</v>
      </c>
      <c r="O9508" t="n">
        <v>0</v>
      </c>
      <c r="P9508" t="n">
        <v>0</v>
      </c>
      <c r="Q9508" t="n">
        <v>0</v>
      </c>
      <c r="R9508" s="2" t="inlineStr"/>
    </row>
    <row r="9509" ht="15" customHeight="1">
      <c r="A9509" t="inlineStr">
        <is>
          <t>A 57521-2024</t>
        </is>
      </c>
      <c r="B9509" s="1" t="n">
        <v>45629</v>
      </c>
      <c r="C9509" s="1" t="n">
        <v>46093</v>
      </c>
      <c r="D9509" t="inlineStr">
        <is>
          <t>VÄSTERNORRLANDS LÄN</t>
        </is>
      </c>
      <c r="E9509" t="inlineStr">
        <is>
          <t>SUNDSVALL</t>
        </is>
      </c>
      <c r="G9509" t="n">
        <v>2.1</v>
      </c>
      <c r="H9509" t="n">
        <v>0</v>
      </c>
      <c r="I9509" t="n">
        <v>0</v>
      </c>
      <c r="J9509" t="n">
        <v>0</v>
      </c>
      <c r="K9509" t="n">
        <v>0</v>
      </c>
      <c r="L9509" t="n">
        <v>0</v>
      </c>
      <c r="M9509" t="n">
        <v>0</v>
      </c>
      <c r="N9509" t="n">
        <v>0</v>
      </c>
      <c r="O9509" t="n">
        <v>0</v>
      </c>
      <c r="P9509" t="n">
        <v>0</v>
      </c>
      <c r="Q9509" t="n">
        <v>0</v>
      </c>
      <c r="R9509" s="2" t="inlineStr"/>
    </row>
    <row r="9510" ht="15" customHeight="1">
      <c r="A9510" t="inlineStr">
        <is>
          <t>A 2785-2025</t>
        </is>
      </c>
      <c r="B9510" s="1" t="n">
        <v>45677</v>
      </c>
      <c r="C9510" s="1" t="n">
        <v>46093</v>
      </c>
      <c r="D9510" t="inlineStr">
        <is>
          <t>VÄSTERNORRLANDS LÄN</t>
        </is>
      </c>
      <c r="E9510" t="inlineStr">
        <is>
          <t>SUNDSVALL</t>
        </is>
      </c>
      <c r="F9510" t="inlineStr">
        <is>
          <t>SCA</t>
        </is>
      </c>
      <c r="G9510" t="n">
        <v>4</v>
      </c>
      <c r="H9510" t="n">
        <v>0</v>
      </c>
      <c r="I9510" t="n">
        <v>0</v>
      </c>
      <c r="J9510" t="n">
        <v>0</v>
      </c>
      <c r="K9510" t="n">
        <v>0</v>
      </c>
      <c r="L9510" t="n">
        <v>0</v>
      </c>
      <c r="M9510" t="n">
        <v>0</v>
      </c>
      <c r="N9510" t="n">
        <v>0</v>
      </c>
      <c r="O9510" t="n">
        <v>0</v>
      </c>
      <c r="P9510" t="n">
        <v>0</v>
      </c>
      <c r="Q9510" t="n">
        <v>0</v>
      </c>
      <c r="R9510" s="2" t="inlineStr"/>
    </row>
    <row r="9511" ht="15" customHeight="1">
      <c r="A9511" t="inlineStr">
        <is>
          <t>A 61887-2025</t>
        </is>
      </c>
      <c r="B9511" s="1" t="n">
        <v>46003.43712962963</v>
      </c>
      <c r="C9511" s="1" t="n">
        <v>46093</v>
      </c>
      <c r="D9511" t="inlineStr">
        <is>
          <t>VÄSTERNORRLANDS LÄN</t>
        </is>
      </c>
      <c r="E9511" t="inlineStr">
        <is>
          <t>SUNDSVALL</t>
        </is>
      </c>
      <c r="G9511" t="n">
        <v>2.2</v>
      </c>
      <c r="H9511" t="n">
        <v>0</v>
      </c>
      <c r="I9511" t="n">
        <v>0</v>
      </c>
      <c r="J9511" t="n">
        <v>0</v>
      </c>
      <c r="K9511" t="n">
        <v>0</v>
      </c>
      <c r="L9511" t="n">
        <v>0</v>
      </c>
      <c r="M9511" t="n">
        <v>0</v>
      </c>
      <c r="N9511" t="n">
        <v>0</v>
      </c>
      <c r="O9511" t="n">
        <v>0</v>
      </c>
      <c r="P9511" t="n">
        <v>0</v>
      </c>
      <c r="Q9511" t="n">
        <v>0</v>
      </c>
      <c r="R9511" s="2" t="inlineStr"/>
    </row>
    <row r="9512" ht="15" customHeight="1">
      <c r="A9512" t="inlineStr">
        <is>
          <t>A 2048-2025</t>
        </is>
      </c>
      <c r="B9512" s="1" t="n">
        <v>45671</v>
      </c>
      <c r="C9512" s="1" t="n">
        <v>46093</v>
      </c>
      <c r="D9512" t="inlineStr">
        <is>
          <t>VÄSTERNORRLANDS LÄN</t>
        </is>
      </c>
      <c r="E9512" t="inlineStr">
        <is>
          <t>SOLLEFTEÅ</t>
        </is>
      </c>
      <c r="G9512" t="n">
        <v>13.5</v>
      </c>
      <c r="H9512" t="n">
        <v>0</v>
      </c>
      <c r="I9512" t="n">
        <v>0</v>
      </c>
      <c r="J9512" t="n">
        <v>0</v>
      </c>
      <c r="K9512" t="n">
        <v>0</v>
      </c>
      <c r="L9512" t="n">
        <v>0</v>
      </c>
      <c r="M9512" t="n">
        <v>0</v>
      </c>
      <c r="N9512" t="n">
        <v>0</v>
      </c>
      <c r="O9512" t="n">
        <v>0</v>
      </c>
      <c r="P9512" t="n">
        <v>0</v>
      </c>
      <c r="Q9512" t="n">
        <v>0</v>
      </c>
      <c r="R9512" s="2" t="inlineStr"/>
    </row>
    <row r="9513" ht="15" customHeight="1">
      <c r="A9513" t="inlineStr">
        <is>
          <t>A 61915-2025</t>
        </is>
      </c>
      <c r="B9513" s="1" t="n">
        <v>46003.49025462963</v>
      </c>
      <c r="C9513" s="1" t="n">
        <v>46093</v>
      </c>
      <c r="D9513" t="inlineStr">
        <is>
          <t>VÄSTERNORRLANDS LÄN</t>
        </is>
      </c>
      <c r="E9513" t="inlineStr">
        <is>
          <t>SOLLEFTEÅ</t>
        </is>
      </c>
      <c r="G9513" t="n">
        <v>6.6</v>
      </c>
      <c r="H9513" t="n">
        <v>0</v>
      </c>
      <c r="I9513" t="n">
        <v>0</v>
      </c>
      <c r="J9513" t="n">
        <v>0</v>
      </c>
      <c r="K9513" t="n">
        <v>0</v>
      </c>
      <c r="L9513" t="n">
        <v>0</v>
      </c>
      <c r="M9513" t="n">
        <v>0</v>
      </c>
      <c r="N9513" t="n">
        <v>0</v>
      </c>
      <c r="O9513" t="n">
        <v>0</v>
      </c>
      <c r="P9513" t="n">
        <v>0</v>
      </c>
      <c r="Q9513" t="n">
        <v>0</v>
      </c>
      <c r="R9513" s="2" t="inlineStr"/>
    </row>
    <row r="9514" ht="15" customHeight="1">
      <c r="A9514" t="inlineStr">
        <is>
          <t>A 61920-2025</t>
        </is>
      </c>
      <c r="B9514" s="1" t="n">
        <v>46003.51108796296</v>
      </c>
      <c r="C9514" s="1" t="n">
        <v>46093</v>
      </c>
      <c r="D9514" t="inlineStr">
        <is>
          <t>VÄSTERNORRLANDS LÄN</t>
        </is>
      </c>
      <c r="E9514" t="inlineStr">
        <is>
          <t>SOLLEFTEÅ</t>
        </is>
      </c>
      <c r="F9514" t="inlineStr">
        <is>
          <t>SCA</t>
        </is>
      </c>
      <c r="G9514" t="n">
        <v>7.5</v>
      </c>
      <c r="H9514" t="n">
        <v>0</v>
      </c>
      <c r="I9514" t="n">
        <v>0</v>
      </c>
      <c r="J9514" t="n">
        <v>0</v>
      </c>
      <c r="K9514" t="n">
        <v>0</v>
      </c>
      <c r="L9514" t="n">
        <v>0</v>
      </c>
      <c r="M9514" t="n">
        <v>0</v>
      </c>
      <c r="N9514" t="n">
        <v>0</v>
      </c>
      <c r="O9514" t="n">
        <v>0</v>
      </c>
      <c r="P9514" t="n">
        <v>0</v>
      </c>
      <c r="Q9514" t="n">
        <v>0</v>
      </c>
      <c r="R9514" s="2" t="inlineStr"/>
    </row>
    <row r="9515" ht="15" customHeight="1">
      <c r="A9515" t="inlineStr">
        <is>
          <t>A 61943-2025</t>
        </is>
      </c>
      <c r="B9515" s="1" t="n">
        <v>46003</v>
      </c>
      <c r="C9515" s="1" t="n">
        <v>46093</v>
      </c>
      <c r="D9515" t="inlineStr">
        <is>
          <t>VÄSTERNORRLANDS LÄN</t>
        </is>
      </c>
      <c r="E9515" t="inlineStr">
        <is>
          <t>ÖRNSKÖLDSVIK</t>
        </is>
      </c>
      <c r="G9515" t="n">
        <v>0.6</v>
      </c>
      <c r="H9515" t="n">
        <v>0</v>
      </c>
      <c r="I9515" t="n">
        <v>0</v>
      </c>
      <c r="J9515" t="n">
        <v>0</v>
      </c>
      <c r="K9515" t="n">
        <v>0</v>
      </c>
      <c r="L9515" t="n">
        <v>0</v>
      </c>
      <c r="M9515" t="n">
        <v>0</v>
      </c>
      <c r="N9515" t="n">
        <v>0</v>
      </c>
      <c r="O9515" t="n">
        <v>0</v>
      </c>
      <c r="P9515" t="n">
        <v>0</v>
      </c>
      <c r="Q9515" t="n">
        <v>0</v>
      </c>
      <c r="R9515" s="2" t="inlineStr"/>
    </row>
    <row r="9516" ht="15" customHeight="1">
      <c r="A9516" t="inlineStr">
        <is>
          <t>A 3944-2024</t>
        </is>
      </c>
      <c r="B9516" s="1" t="n">
        <v>45322</v>
      </c>
      <c r="C9516" s="1" t="n">
        <v>46093</v>
      </c>
      <c r="D9516" t="inlineStr">
        <is>
          <t>VÄSTERNORRLANDS LÄN</t>
        </is>
      </c>
      <c r="E9516" t="inlineStr">
        <is>
          <t>SUNDSVALL</t>
        </is>
      </c>
      <c r="G9516" t="n">
        <v>0.3</v>
      </c>
      <c r="H9516" t="n">
        <v>0</v>
      </c>
      <c r="I9516" t="n">
        <v>0</v>
      </c>
      <c r="J9516" t="n">
        <v>0</v>
      </c>
      <c r="K9516" t="n">
        <v>0</v>
      </c>
      <c r="L9516" t="n">
        <v>0</v>
      </c>
      <c r="M9516" t="n">
        <v>0</v>
      </c>
      <c r="N9516" t="n">
        <v>0</v>
      </c>
      <c r="O9516" t="n">
        <v>0</v>
      </c>
      <c r="P9516" t="n">
        <v>0</v>
      </c>
      <c r="Q9516" t="n">
        <v>0</v>
      </c>
      <c r="R9516" s="2" t="inlineStr"/>
    </row>
    <row r="9517" ht="15" customHeight="1">
      <c r="A9517" t="inlineStr">
        <is>
          <t>A 49076-2023</t>
        </is>
      </c>
      <c r="B9517" s="1" t="n">
        <v>45210</v>
      </c>
      <c r="C9517" s="1" t="n">
        <v>46093</v>
      </c>
      <c r="D9517" t="inlineStr">
        <is>
          <t>VÄSTERNORRLANDS LÄN</t>
        </is>
      </c>
      <c r="E9517" t="inlineStr">
        <is>
          <t>ÖRNSKÖLDSVIK</t>
        </is>
      </c>
      <c r="F9517" t="inlineStr">
        <is>
          <t>Holmen skog AB</t>
        </is>
      </c>
      <c r="G9517" t="n">
        <v>0.5</v>
      </c>
      <c r="H9517" t="n">
        <v>0</v>
      </c>
      <c r="I9517" t="n">
        <v>0</v>
      </c>
      <c r="J9517" t="n">
        <v>0</v>
      </c>
      <c r="K9517" t="n">
        <v>0</v>
      </c>
      <c r="L9517" t="n">
        <v>0</v>
      </c>
      <c r="M9517" t="n">
        <v>0</v>
      </c>
      <c r="N9517" t="n">
        <v>0</v>
      </c>
      <c r="O9517" t="n">
        <v>0</v>
      </c>
      <c r="P9517" t="n">
        <v>0</v>
      </c>
      <c r="Q9517" t="n">
        <v>0</v>
      </c>
      <c r="R9517" s="2" t="inlineStr"/>
    </row>
    <row r="9518" ht="15" customHeight="1">
      <c r="A9518" t="inlineStr">
        <is>
          <t>A 62657-2025</t>
        </is>
      </c>
      <c r="B9518" s="1" t="n">
        <v>46008</v>
      </c>
      <c r="C9518" s="1" t="n">
        <v>46093</v>
      </c>
      <c r="D9518" t="inlineStr">
        <is>
          <t>VÄSTERNORRLANDS LÄN</t>
        </is>
      </c>
      <c r="E9518" t="inlineStr">
        <is>
          <t>SUNDSVALL</t>
        </is>
      </c>
      <c r="G9518" t="n">
        <v>1.6</v>
      </c>
      <c r="H9518" t="n">
        <v>0</v>
      </c>
      <c r="I9518" t="n">
        <v>0</v>
      </c>
      <c r="J9518" t="n">
        <v>0</v>
      </c>
      <c r="K9518" t="n">
        <v>0</v>
      </c>
      <c r="L9518" t="n">
        <v>0</v>
      </c>
      <c r="M9518" t="n">
        <v>0</v>
      </c>
      <c r="N9518" t="n">
        <v>0</v>
      </c>
      <c r="O9518" t="n">
        <v>0</v>
      </c>
      <c r="P9518" t="n">
        <v>0</v>
      </c>
      <c r="Q9518" t="n">
        <v>0</v>
      </c>
      <c r="R9518" s="2" t="inlineStr"/>
    </row>
    <row r="9519" ht="15" customHeight="1">
      <c r="A9519" t="inlineStr">
        <is>
          <t>A 62661-2025</t>
        </is>
      </c>
      <c r="B9519" s="1" t="n">
        <v>46008.42761574074</v>
      </c>
      <c r="C9519" s="1" t="n">
        <v>46093</v>
      </c>
      <c r="D9519" t="inlineStr">
        <is>
          <t>VÄSTERNORRLANDS LÄN</t>
        </is>
      </c>
      <c r="E9519" t="inlineStr">
        <is>
          <t>ÅNGE</t>
        </is>
      </c>
      <c r="F9519" t="inlineStr">
        <is>
          <t>SCA</t>
        </is>
      </c>
      <c r="G9519" t="n">
        <v>6</v>
      </c>
      <c r="H9519" t="n">
        <v>0</v>
      </c>
      <c r="I9519" t="n">
        <v>0</v>
      </c>
      <c r="J9519" t="n">
        <v>0</v>
      </c>
      <c r="K9519" t="n">
        <v>0</v>
      </c>
      <c r="L9519" t="n">
        <v>0</v>
      </c>
      <c r="M9519" t="n">
        <v>0</v>
      </c>
      <c r="N9519" t="n">
        <v>0</v>
      </c>
      <c r="O9519" t="n">
        <v>0</v>
      </c>
      <c r="P9519" t="n">
        <v>0</v>
      </c>
      <c r="Q9519" t="n">
        <v>0</v>
      </c>
      <c r="R9519" s="2" t="inlineStr"/>
    </row>
    <row r="9520" ht="15" customHeight="1">
      <c r="A9520" t="inlineStr">
        <is>
          <t>A 53293-2024</t>
        </is>
      </c>
      <c r="B9520" s="1" t="n">
        <v>45614.38722222222</v>
      </c>
      <c r="C9520" s="1" t="n">
        <v>46093</v>
      </c>
      <c r="D9520" t="inlineStr">
        <is>
          <t>VÄSTERNORRLANDS LÄN</t>
        </is>
      </c>
      <c r="E9520" t="inlineStr">
        <is>
          <t>TIMRÅ</t>
        </is>
      </c>
      <c r="F9520" t="inlineStr">
        <is>
          <t>SCA</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770-2025</t>
        </is>
      </c>
      <c r="B9521" s="1" t="n">
        <v>45665</v>
      </c>
      <c r="C9521" s="1" t="n">
        <v>46093</v>
      </c>
      <c r="D9521" t="inlineStr">
        <is>
          <t>VÄSTERNORRLANDS LÄN</t>
        </is>
      </c>
      <c r="E9521" t="inlineStr">
        <is>
          <t>KRAMFORS</t>
        </is>
      </c>
      <c r="G9521" t="n">
        <v>21.6</v>
      </c>
      <c r="H9521" t="n">
        <v>0</v>
      </c>
      <c r="I9521" t="n">
        <v>0</v>
      </c>
      <c r="J9521" t="n">
        <v>0</v>
      </c>
      <c r="K9521" t="n">
        <v>0</v>
      </c>
      <c r="L9521" t="n">
        <v>0</v>
      </c>
      <c r="M9521" t="n">
        <v>0</v>
      </c>
      <c r="N9521" t="n">
        <v>0</v>
      </c>
      <c r="O9521" t="n">
        <v>0</v>
      </c>
      <c r="P9521" t="n">
        <v>0</v>
      </c>
      <c r="Q9521" t="n">
        <v>0</v>
      </c>
      <c r="R9521" s="2" t="inlineStr"/>
    </row>
    <row r="9522" ht="15" customHeight="1">
      <c r="A9522" t="inlineStr">
        <is>
          <t>A 47280-2023</t>
        </is>
      </c>
      <c r="B9522" s="1" t="n">
        <v>45196</v>
      </c>
      <c r="C9522" s="1" t="n">
        <v>46093</v>
      </c>
      <c r="D9522" t="inlineStr">
        <is>
          <t>VÄSTERNORRLANDS LÄN</t>
        </is>
      </c>
      <c r="E9522" t="inlineStr">
        <is>
          <t>SUNDSVALL</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56252-2024</t>
        </is>
      </c>
      <c r="B9523" s="1" t="n">
        <v>45624</v>
      </c>
      <c r="C9523" s="1" t="n">
        <v>46093</v>
      </c>
      <c r="D9523" t="inlineStr">
        <is>
          <t>VÄSTERNORRLANDS LÄN</t>
        </is>
      </c>
      <c r="E9523" t="inlineStr">
        <is>
          <t>SOLLEFTEÅ</t>
        </is>
      </c>
      <c r="G9523" t="n">
        <v>4</v>
      </c>
      <c r="H9523" t="n">
        <v>0</v>
      </c>
      <c r="I9523" t="n">
        <v>0</v>
      </c>
      <c r="J9523" t="n">
        <v>0</v>
      </c>
      <c r="K9523" t="n">
        <v>0</v>
      </c>
      <c r="L9523" t="n">
        <v>0</v>
      </c>
      <c r="M9523" t="n">
        <v>0</v>
      </c>
      <c r="N9523" t="n">
        <v>0</v>
      </c>
      <c r="O9523" t="n">
        <v>0</v>
      </c>
      <c r="P9523" t="n">
        <v>0</v>
      </c>
      <c r="Q9523" t="n">
        <v>0</v>
      </c>
      <c r="R9523" s="2" t="inlineStr"/>
    </row>
    <row r="9524" ht="15" customHeight="1">
      <c r="A9524" t="inlineStr">
        <is>
          <t>A 17767-2025</t>
        </is>
      </c>
      <c r="B9524" s="1" t="n">
        <v>45758</v>
      </c>
      <c r="C9524" s="1" t="n">
        <v>46093</v>
      </c>
      <c r="D9524" t="inlineStr">
        <is>
          <t>VÄSTERNORRLANDS LÄN</t>
        </is>
      </c>
      <c r="E9524" t="inlineStr">
        <is>
          <t>SUNDSVALL</t>
        </is>
      </c>
      <c r="G9524" t="n">
        <v>1.4</v>
      </c>
      <c r="H9524" t="n">
        <v>0</v>
      </c>
      <c r="I9524" t="n">
        <v>0</v>
      </c>
      <c r="J9524" t="n">
        <v>0</v>
      </c>
      <c r="K9524" t="n">
        <v>0</v>
      </c>
      <c r="L9524" t="n">
        <v>0</v>
      </c>
      <c r="M9524" t="n">
        <v>0</v>
      </c>
      <c r="N9524" t="n">
        <v>0</v>
      </c>
      <c r="O9524" t="n">
        <v>0</v>
      </c>
      <c r="P9524" t="n">
        <v>0</v>
      </c>
      <c r="Q9524" t="n">
        <v>0</v>
      </c>
      <c r="R9524" s="2" t="inlineStr"/>
    </row>
    <row r="9525" ht="15" customHeight="1">
      <c r="A9525" t="inlineStr">
        <is>
          <t>A 62585-2025</t>
        </is>
      </c>
      <c r="B9525" s="1" t="n">
        <v>46007.84189814814</v>
      </c>
      <c r="C9525" s="1" t="n">
        <v>46093</v>
      </c>
      <c r="D9525" t="inlineStr">
        <is>
          <t>VÄSTERNORRLANDS LÄN</t>
        </is>
      </c>
      <c r="E9525" t="inlineStr">
        <is>
          <t>SOLLEFTEÅ</t>
        </is>
      </c>
      <c r="G9525" t="n">
        <v>7.1</v>
      </c>
      <c r="H9525" t="n">
        <v>0</v>
      </c>
      <c r="I9525" t="n">
        <v>0</v>
      </c>
      <c r="J9525" t="n">
        <v>0</v>
      </c>
      <c r="K9525" t="n">
        <v>0</v>
      </c>
      <c r="L9525" t="n">
        <v>0</v>
      </c>
      <c r="M9525" t="n">
        <v>0</v>
      </c>
      <c r="N9525" t="n">
        <v>0</v>
      </c>
      <c r="O9525" t="n">
        <v>0</v>
      </c>
      <c r="P9525" t="n">
        <v>0</v>
      </c>
      <c r="Q9525" t="n">
        <v>0</v>
      </c>
      <c r="R9525" s="2" t="inlineStr"/>
    </row>
    <row r="9526" ht="15" customHeight="1">
      <c r="A9526" t="inlineStr">
        <is>
          <t>A 16160-2025</t>
        </is>
      </c>
      <c r="B9526" s="1" t="n">
        <v>45750.49572916667</v>
      </c>
      <c r="C9526" s="1" t="n">
        <v>46093</v>
      </c>
      <c r="D9526" t="inlineStr">
        <is>
          <t>VÄSTERNORRLANDS LÄN</t>
        </is>
      </c>
      <c r="E9526" t="inlineStr">
        <is>
          <t>KRAMFORS</t>
        </is>
      </c>
      <c r="G9526" t="n">
        <v>3.9</v>
      </c>
      <c r="H9526" t="n">
        <v>0</v>
      </c>
      <c r="I9526" t="n">
        <v>0</v>
      </c>
      <c r="J9526" t="n">
        <v>0</v>
      </c>
      <c r="K9526" t="n">
        <v>0</v>
      </c>
      <c r="L9526" t="n">
        <v>0</v>
      </c>
      <c r="M9526" t="n">
        <v>0</v>
      </c>
      <c r="N9526" t="n">
        <v>0</v>
      </c>
      <c r="O9526" t="n">
        <v>0</v>
      </c>
      <c r="P9526" t="n">
        <v>0</v>
      </c>
      <c r="Q9526" t="n">
        <v>0</v>
      </c>
      <c r="R9526" s="2" t="inlineStr"/>
    </row>
    <row r="9527" ht="15" customHeight="1">
      <c r="A9527" t="inlineStr">
        <is>
          <t>A 62771-2025</t>
        </is>
      </c>
      <c r="B9527" s="1" t="n">
        <v>46008.60146990741</v>
      </c>
      <c r="C9527" s="1" t="n">
        <v>46093</v>
      </c>
      <c r="D9527" t="inlineStr">
        <is>
          <t>VÄSTERNORRLANDS LÄN</t>
        </is>
      </c>
      <c r="E9527" t="inlineStr">
        <is>
          <t>ÖRNSKÖLDSVIK</t>
        </is>
      </c>
      <c r="F9527" t="inlineStr">
        <is>
          <t>Holmen skog AB</t>
        </is>
      </c>
      <c r="G9527" t="n">
        <v>6.4</v>
      </c>
      <c r="H9527" t="n">
        <v>0</v>
      </c>
      <c r="I9527" t="n">
        <v>0</v>
      </c>
      <c r="J9527" t="n">
        <v>0</v>
      </c>
      <c r="K9527" t="n">
        <v>0</v>
      </c>
      <c r="L9527" t="n">
        <v>0</v>
      </c>
      <c r="M9527" t="n">
        <v>0</v>
      </c>
      <c r="N9527" t="n">
        <v>0</v>
      </c>
      <c r="O9527" t="n">
        <v>0</v>
      </c>
      <c r="P9527" t="n">
        <v>0</v>
      </c>
      <c r="Q9527" t="n">
        <v>0</v>
      </c>
      <c r="R9527" s="2" t="inlineStr"/>
    </row>
    <row r="9528" ht="15" customHeight="1">
      <c r="A9528" t="inlineStr">
        <is>
          <t>A 20660-2021</t>
        </is>
      </c>
      <c r="B9528" s="1" t="n">
        <v>44316.43309027778</v>
      </c>
      <c r="C9528" s="1" t="n">
        <v>46093</v>
      </c>
      <c r="D9528" t="inlineStr">
        <is>
          <t>VÄSTERNORRLANDS LÄN</t>
        </is>
      </c>
      <c r="E9528" t="inlineStr">
        <is>
          <t>SUNDSVALL</t>
        </is>
      </c>
      <c r="G9528" t="n">
        <v>1.7</v>
      </c>
      <c r="H9528" t="n">
        <v>0</v>
      </c>
      <c r="I9528" t="n">
        <v>0</v>
      </c>
      <c r="J9528" t="n">
        <v>0</v>
      </c>
      <c r="K9528" t="n">
        <v>0</v>
      </c>
      <c r="L9528" t="n">
        <v>0</v>
      </c>
      <c r="M9528" t="n">
        <v>0</v>
      </c>
      <c r="N9528" t="n">
        <v>0</v>
      </c>
      <c r="O9528" t="n">
        <v>0</v>
      </c>
      <c r="P9528" t="n">
        <v>0</v>
      </c>
      <c r="Q9528" t="n">
        <v>0</v>
      </c>
      <c r="R9528" s="2" t="inlineStr"/>
    </row>
    <row r="9529" ht="15" customHeight="1">
      <c r="A9529" t="inlineStr">
        <is>
          <t>A 21893-2024</t>
        </is>
      </c>
      <c r="B9529" s="1" t="n">
        <v>45443.40269675926</v>
      </c>
      <c r="C9529" s="1" t="n">
        <v>46093</v>
      </c>
      <c r="D9529" t="inlineStr">
        <is>
          <t>VÄSTERNORRLANDS LÄN</t>
        </is>
      </c>
      <c r="E9529" t="inlineStr">
        <is>
          <t>ÖRNSKÖLDSVIK</t>
        </is>
      </c>
      <c r="F9529" t="inlineStr">
        <is>
          <t>Holmen skog AB</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62793-2025</t>
        </is>
      </c>
      <c r="B9530" s="1" t="n">
        <v>46008.63625</v>
      </c>
      <c r="C9530" s="1" t="n">
        <v>46093</v>
      </c>
      <c r="D9530" t="inlineStr">
        <is>
          <t>VÄSTERNORRLANDS LÄN</t>
        </is>
      </c>
      <c r="E9530" t="inlineStr">
        <is>
          <t>ÅNGE</t>
        </is>
      </c>
      <c r="F9530" t="inlineStr">
        <is>
          <t>SCA</t>
        </is>
      </c>
      <c r="G9530" t="n">
        <v>3.2</v>
      </c>
      <c r="H9530" t="n">
        <v>0</v>
      </c>
      <c r="I9530" t="n">
        <v>0</v>
      </c>
      <c r="J9530" t="n">
        <v>0</v>
      </c>
      <c r="K9530" t="n">
        <v>0</v>
      </c>
      <c r="L9530" t="n">
        <v>0</v>
      </c>
      <c r="M9530" t="n">
        <v>0</v>
      </c>
      <c r="N9530" t="n">
        <v>0</v>
      </c>
      <c r="O9530" t="n">
        <v>0</v>
      </c>
      <c r="P9530" t="n">
        <v>0</v>
      </c>
      <c r="Q9530" t="n">
        <v>0</v>
      </c>
      <c r="R9530" s="2" t="inlineStr"/>
    </row>
    <row r="9531" ht="15" customHeight="1">
      <c r="A9531" t="inlineStr">
        <is>
          <t>A 48884-2024</t>
        </is>
      </c>
      <c r="B9531" s="1" t="n">
        <v>45594</v>
      </c>
      <c r="C9531" s="1" t="n">
        <v>46093</v>
      </c>
      <c r="D9531" t="inlineStr">
        <is>
          <t>VÄSTERNORRLANDS LÄN</t>
        </is>
      </c>
      <c r="E9531" t="inlineStr">
        <is>
          <t>ÖRNSKÖLDSVIK</t>
        </is>
      </c>
      <c r="G9531" t="n">
        <v>2.8</v>
      </c>
      <c r="H9531" t="n">
        <v>0</v>
      </c>
      <c r="I9531" t="n">
        <v>0</v>
      </c>
      <c r="J9531" t="n">
        <v>0</v>
      </c>
      <c r="K9531" t="n">
        <v>0</v>
      </c>
      <c r="L9531" t="n">
        <v>0</v>
      </c>
      <c r="M9531" t="n">
        <v>0</v>
      </c>
      <c r="N9531" t="n">
        <v>0</v>
      </c>
      <c r="O9531" t="n">
        <v>0</v>
      </c>
      <c r="P9531" t="n">
        <v>0</v>
      </c>
      <c r="Q9531" t="n">
        <v>0</v>
      </c>
      <c r="R9531" s="2" t="inlineStr"/>
    </row>
    <row r="9532" ht="15" customHeight="1">
      <c r="A9532" t="inlineStr">
        <is>
          <t>A 51871-2024</t>
        </is>
      </c>
      <c r="B9532" s="1" t="n">
        <v>45607</v>
      </c>
      <c r="C9532" s="1" t="n">
        <v>46093</v>
      </c>
      <c r="D9532" t="inlineStr">
        <is>
          <t>VÄSTERNORRLANDS LÄN</t>
        </is>
      </c>
      <c r="E9532" t="inlineStr">
        <is>
          <t>ÅNGE</t>
        </is>
      </c>
      <c r="F9532" t="inlineStr">
        <is>
          <t>SCA</t>
        </is>
      </c>
      <c r="G9532" t="n">
        <v>10.1</v>
      </c>
      <c r="H9532" t="n">
        <v>0</v>
      </c>
      <c r="I9532" t="n">
        <v>0</v>
      </c>
      <c r="J9532" t="n">
        <v>0</v>
      </c>
      <c r="K9532" t="n">
        <v>0</v>
      </c>
      <c r="L9532" t="n">
        <v>0</v>
      </c>
      <c r="M9532" t="n">
        <v>0</v>
      </c>
      <c r="N9532" t="n">
        <v>0</v>
      </c>
      <c r="O9532" t="n">
        <v>0</v>
      </c>
      <c r="P9532" t="n">
        <v>0</v>
      </c>
      <c r="Q9532" t="n">
        <v>0</v>
      </c>
      <c r="R9532" s="2" t="inlineStr"/>
    </row>
    <row r="9533" ht="15" customHeight="1">
      <c r="A9533" t="inlineStr">
        <is>
          <t>A 58342-2024</t>
        </is>
      </c>
      <c r="B9533" s="1" t="n">
        <v>45632</v>
      </c>
      <c r="C9533" s="1" t="n">
        <v>46093</v>
      </c>
      <c r="D9533" t="inlineStr">
        <is>
          <t>VÄSTERNORRLANDS LÄN</t>
        </is>
      </c>
      <c r="E9533" t="inlineStr">
        <is>
          <t>ÖRNSKÖLDSVIK</t>
        </is>
      </c>
      <c r="G9533" t="n">
        <v>2.9</v>
      </c>
      <c r="H9533" t="n">
        <v>0</v>
      </c>
      <c r="I9533" t="n">
        <v>0</v>
      </c>
      <c r="J9533" t="n">
        <v>0</v>
      </c>
      <c r="K9533" t="n">
        <v>0</v>
      </c>
      <c r="L9533" t="n">
        <v>0</v>
      </c>
      <c r="M9533" t="n">
        <v>0</v>
      </c>
      <c r="N9533" t="n">
        <v>0</v>
      </c>
      <c r="O9533" t="n">
        <v>0</v>
      </c>
      <c r="P9533" t="n">
        <v>0</v>
      </c>
      <c r="Q9533" t="n">
        <v>0</v>
      </c>
      <c r="R9533" s="2" t="inlineStr"/>
    </row>
    <row r="9534" ht="15" customHeight="1">
      <c r="A9534" t="inlineStr">
        <is>
          <t>A 31672-2022</t>
        </is>
      </c>
      <c r="B9534" s="1" t="n">
        <v>44776.36137731482</v>
      </c>
      <c r="C9534" s="1" t="n">
        <v>46093</v>
      </c>
      <c r="D9534" t="inlineStr">
        <is>
          <t>VÄSTERNORRLANDS LÄN</t>
        </is>
      </c>
      <c r="E9534" t="inlineStr">
        <is>
          <t>SOLLEFTEÅ</t>
        </is>
      </c>
      <c r="G9534" t="n">
        <v>16.3</v>
      </c>
      <c r="H9534" t="n">
        <v>0</v>
      </c>
      <c r="I9534" t="n">
        <v>0</v>
      </c>
      <c r="J9534" t="n">
        <v>0</v>
      </c>
      <c r="K9534" t="n">
        <v>0</v>
      </c>
      <c r="L9534" t="n">
        <v>0</v>
      </c>
      <c r="M9534" t="n">
        <v>0</v>
      </c>
      <c r="N9534" t="n">
        <v>0</v>
      </c>
      <c r="O9534" t="n">
        <v>0</v>
      </c>
      <c r="P9534" t="n">
        <v>0</v>
      </c>
      <c r="Q9534" t="n">
        <v>0</v>
      </c>
      <c r="R9534" s="2" t="inlineStr"/>
    </row>
    <row r="9535" ht="15" customHeight="1">
      <c r="A9535" t="inlineStr">
        <is>
          <t>A 62526-2025</t>
        </is>
      </c>
      <c r="B9535" s="1" t="n">
        <v>46007.63583333333</v>
      </c>
      <c r="C9535" s="1" t="n">
        <v>46093</v>
      </c>
      <c r="D9535" t="inlineStr">
        <is>
          <t>VÄSTERNORRLANDS LÄN</t>
        </is>
      </c>
      <c r="E9535" t="inlineStr">
        <is>
          <t>SOLLEFTEÅ</t>
        </is>
      </c>
      <c r="F9535" t="inlineStr">
        <is>
          <t>SCA</t>
        </is>
      </c>
      <c r="G9535" t="n">
        <v>2.6</v>
      </c>
      <c r="H9535" t="n">
        <v>0</v>
      </c>
      <c r="I9535" t="n">
        <v>0</v>
      </c>
      <c r="J9535" t="n">
        <v>0</v>
      </c>
      <c r="K9535" t="n">
        <v>0</v>
      </c>
      <c r="L9535" t="n">
        <v>0</v>
      </c>
      <c r="M9535" t="n">
        <v>0</v>
      </c>
      <c r="N9535" t="n">
        <v>0</v>
      </c>
      <c r="O9535" t="n">
        <v>0</v>
      </c>
      <c r="P9535" t="n">
        <v>0</v>
      </c>
      <c r="Q9535" t="n">
        <v>0</v>
      </c>
      <c r="R9535" s="2" t="inlineStr"/>
    </row>
    <row r="9536" ht="15" customHeight="1">
      <c r="A9536" t="inlineStr">
        <is>
          <t>A 62529-2025</t>
        </is>
      </c>
      <c r="B9536" s="1" t="n">
        <v>46007.63611111111</v>
      </c>
      <c r="C9536" s="1" t="n">
        <v>46093</v>
      </c>
      <c r="D9536" t="inlineStr">
        <is>
          <t>VÄSTERNORRLANDS LÄN</t>
        </is>
      </c>
      <c r="E9536" t="inlineStr">
        <is>
          <t>SUNDSVALL</t>
        </is>
      </c>
      <c r="G9536" t="n">
        <v>3.8</v>
      </c>
      <c r="H9536" t="n">
        <v>0</v>
      </c>
      <c r="I9536" t="n">
        <v>0</v>
      </c>
      <c r="J9536" t="n">
        <v>0</v>
      </c>
      <c r="K9536" t="n">
        <v>0</v>
      </c>
      <c r="L9536" t="n">
        <v>0</v>
      </c>
      <c r="M9536" t="n">
        <v>0</v>
      </c>
      <c r="N9536" t="n">
        <v>0</v>
      </c>
      <c r="O9536" t="n">
        <v>0</v>
      </c>
      <c r="P9536" t="n">
        <v>0</v>
      </c>
      <c r="Q9536" t="n">
        <v>0</v>
      </c>
      <c r="R9536" s="2" t="inlineStr"/>
    </row>
    <row r="9537" ht="15" customHeight="1">
      <c r="A9537" t="inlineStr">
        <is>
          <t>A 15551-2025</t>
        </is>
      </c>
      <c r="B9537" s="1" t="n">
        <v>45747.67410879629</v>
      </c>
      <c r="C9537" s="1" t="n">
        <v>46093</v>
      </c>
      <c r="D9537" t="inlineStr">
        <is>
          <t>VÄSTERNORRLANDS LÄN</t>
        </is>
      </c>
      <c r="E9537" t="inlineStr">
        <is>
          <t>SUNDSVALL</t>
        </is>
      </c>
      <c r="G9537" t="n">
        <v>2.3</v>
      </c>
      <c r="H9537" t="n">
        <v>0</v>
      </c>
      <c r="I9537" t="n">
        <v>0</v>
      </c>
      <c r="J9537" t="n">
        <v>0</v>
      </c>
      <c r="K9537" t="n">
        <v>0</v>
      </c>
      <c r="L9537" t="n">
        <v>0</v>
      </c>
      <c r="M9537" t="n">
        <v>0</v>
      </c>
      <c r="N9537" t="n">
        <v>0</v>
      </c>
      <c r="O9537" t="n">
        <v>0</v>
      </c>
      <c r="P9537" t="n">
        <v>0</v>
      </c>
      <c r="Q9537" t="n">
        <v>0</v>
      </c>
      <c r="R9537" s="2" t="inlineStr"/>
    </row>
    <row r="9538" ht="15" customHeight="1">
      <c r="A9538" t="inlineStr">
        <is>
          <t>A 62455-2025</t>
        </is>
      </c>
      <c r="B9538" s="1" t="n">
        <v>46007.5</v>
      </c>
      <c r="C9538" s="1" t="n">
        <v>46093</v>
      </c>
      <c r="D9538" t="inlineStr">
        <is>
          <t>VÄSTERNORRLANDS LÄN</t>
        </is>
      </c>
      <c r="E9538" t="inlineStr">
        <is>
          <t>ÖRNSKÖLDSVIK</t>
        </is>
      </c>
      <c r="G9538" t="n">
        <v>8.5</v>
      </c>
      <c r="H9538" t="n">
        <v>0</v>
      </c>
      <c r="I9538" t="n">
        <v>0</v>
      </c>
      <c r="J9538" t="n">
        <v>0</v>
      </c>
      <c r="K9538" t="n">
        <v>0</v>
      </c>
      <c r="L9538" t="n">
        <v>0</v>
      </c>
      <c r="M9538" t="n">
        <v>0</v>
      </c>
      <c r="N9538" t="n">
        <v>0</v>
      </c>
      <c r="O9538" t="n">
        <v>0</v>
      </c>
      <c r="P9538" t="n">
        <v>0</v>
      </c>
      <c r="Q9538" t="n">
        <v>0</v>
      </c>
      <c r="R9538" s="2" t="inlineStr"/>
    </row>
    <row r="9539" ht="15" customHeight="1">
      <c r="A9539" t="inlineStr">
        <is>
          <t>A 62763-2025</t>
        </is>
      </c>
      <c r="B9539" s="1" t="n">
        <v>46008.59434027778</v>
      </c>
      <c r="C9539" s="1" t="n">
        <v>46093</v>
      </c>
      <c r="D9539" t="inlineStr">
        <is>
          <t>VÄSTERNORRLANDS LÄN</t>
        </is>
      </c>
      <c r="E9539" t="inlineStr">
        <is>
          <t>ÅNGE</t>
        </is>
      </c>
      <c r="F9539" t="inlineStr">
        <is>
          <t>SCA</t>
        </is>
      </c>
      <c r="G9539" t="n">
        <v>7.6</v>
      </c>
      <c r="H9539" t="n">
        <v>0</v>
      </c>
      <c r="I9539" t="n">
        <v>0</v>
      </c>
      <c r="J9539" t="n">
        <v>0</v>
      </c>
      <c r="K9539" t="n">
        <v>0</v>
      </c>
      <c r="L9539" t="n">
        <v>0</v>
      </c>
      <c r="M9539" t="n">
        <v>0</v>
      </c>
      <c r="N9539" t="n">
        <v>0</v>
      </c>
      <c r="O9539" t="n">
        <v>0</v>
      </c>
      <c r="P9539" t="n">
        <v>0</v>
      </c>
      <c r="Q9539" t="n">
        <v>0</v>
      </c>
      <c r="R9539" s="2" t="inlineStr"/>
    </row>
    <row r="9540" ht="15" customHeight="1">
      <c r="A9540" t="inlineStr">
        <is>
          <t>A 19065-2025</t>
        </is>
      </c>
      <c r="B9540" s="1" t="n">
        <v>45765</v>
      </c>
      <c r="C9540" s="1" t="n">
        <v>46093</v>
      </c>
      <c r="D9540" t="inlineStr">
        <is>
          <t>VÄSTERNORRLANDS LÄN</t>
        </is>
      </c>
      <c r="E9540" t="inlineStr">
        <is>
          <t>ÅNGE</t>
        </is>
      </c>
      <c r="F9540" t="inlineStr">
        <is>
          <t>SCA</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19091-2025</t>
        </is>
      </c>
      <c r="B9541" s="1" t="n">
        <v>45767.47315972222</v>
      </c>
      <c r="C9541" s="1" t="n">
        <v>46093</v>
      </c>
      <c r="D9541" t="inlineStr">
        <is>
          <t>VÄSTERNORRLANDS LÄN</t>
        </is>
      </c>
      <c r="E9541" t="inlineStr">
        <is>
          <t>SUNDSVALL</t>
        </is>
      </c>
      <c r="G9541" t="n">
        <v>3.5</v>
      </c>
      <c r="H9541" t="n">
        <v>0</v>
      </c>
      <c r="I9541" t="n">
        <v>0</v>
      </c>
      <c r="J9541" t="n">
        <v>0</v>
      </c>
      <c r="K9541" t="n">
        <v>0</v>
      </c>
      <c r="L9541" t="n">
        <v>0</v>
      </c>
      <c r="M9541" t="n">
        <v>0</v>
      </c>
      <c r="N9541" t="n">
        <v>0</v>
      </c>
      <c r="O9541" t="n">
        <v>0</v>
      </c>
      <c r="P9541" t="n">
        <v>0</v>
      </c>
      <c r="Q9541" t="n">
        <v>0</v>
      </c>
      <c r="R9541" s="2" t="inlineStr"/>
    </row>
    <row r="9542" ht="15" customHeight="1">
      <c r="A9542" t="inlineStr">
        <is>
          <t>A 62820-2025</t>
        </is>
      </c>
      <c r="B9542" s="1" t="n">
        <v>46008.65653935185</v>
      </c>
      <c r="C9542" s="1" t="n">
        <v>46093</v>
      </c>
      <c r="D9542" t="inlineStr">
        <is>
          <t>VÄSTERNORRLANDS LÄN</t>
        </is>
      </c>
      <c r="E9542" t="inlineStr">
        <is>
          <t>ÖRNSKÖLDSVIK</t>
        </is>
      </c>
      <c r="G9542" t="n">
        <v>10.4</v>
      </c>
      <c r="H9542" t="n">
        <v>0</v>
      </c>
      <c r="I9542" t="n">
        <v>0</v>
      </c>
      <c r="J9542" t="n">
        <v>0</v>
      </c>
      <c r="K9542" t="n">
        <v>0</v>
      </c>
      <c r="L9542" t="n">
        <v>0</v>
      </c>
      <c r="M9542" t="n">
        <v>0</v>
      </c>
      <c r="N9542" t="n">
        <v>0</v>
      </c>
      <c r="O9542" t="n">
        <v>0</v>
      </c>
      <c r="P9542" t="n">
        <v>0</v>
      </c>
      <c r="Q9542" t="n">
        <v>0</v>
      </c>
      <c r="R9542" s="2" t="inlineStr"/>
    </row>
    <row r="9543" ht="15" customHeight="1">
      <c r="A9543" t="inlineStr">
        <is>
          <t>A 62821-2025</t>
        </is>
      </c>
      <c r="B9543" s="1" t="n">
        <v>46008.65659722222</v>
      </c>
      <c r="C9543" s="1" t="n">
        <v>46093</v>
      </c>
      <c r="D9543" t="inlineStr">
        <is>
          <t>VÄSTERNORRLANDS LÄN</t>
        </is>
      </c>
      <c r="E9543" t="inlineStr">
        <is>
          <t>KRAMFORS</t>
        </is>
      </c>
      <c r="G9543" t="n">
        <v>5.7</v>
      </c>
      <c r="H9543" t="n">
        <v>0</v>
      </c>
      <c r="I9543" t="n">
        <v>0</v>
      </c>
      <c r="J9543" t="n">
        <v>0</v>
      </c>
      <c r="K9543" t="n">
        <v>0</v>
      </c>
      <c r="L9543" t="n">
        <v>0</v>
      </c>
      <c r="M9543" t="n">
        <v>0</v>
      </c>
      <c r="N9543" t="n">
        <v>0</v>
      </c>
      <c r="O9543" t="n">
        <v>0</v>
      </c>
      <c r="P9543" t="n">
        <v>0</v>
      </c>
      <c r="Q9543" t="n">
        <v>0</v>
      </c>
      <c r="R9543" s="2" t="inlineStr"/>
    </row>
    <row r="9544" ht="15" customHeight="1">
      <c r="A9544" t="inlineStr">
        <is>
          <t>A 62834-2025</t>
        </is>
      </c>
      <c r="B9544" s="1" t="n">
        <v>46008.67763888889</v>
      </c>
      <c r="C9544" s="1" t="n">
        <v>46093</v>
      </c>
      <c r="D9544" t="inlineStr">
        <is>
          <t>VÄSTERNORRLANDS LÄN</t>
        </is>
      </c>
      <c r="E9544" t="inlineStr">
        <is>
          <t>KRAMFORS</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62458-2025</t>
        </is>
      </c>
      <c r="B9545" s="1" t="n">
        <v>46007.50270833333</v>
      </c>
      <c r="C9545" s="1" t="n">
        <v>46093</v>
      </c>
      <c r="D9545" t="inlineStr">
        <is>
          <t>VÄSTERNORRLANDS LÄN</t>
        </is>
      </c>
      <c r="E9545" t="inlineStr">
        <is>
          <t>SOLLEFTEÅ</t>
        </is>
      </c>
      <c r="G9545" t="n">
        <v>3.4</v>
      </c>
      <c r="H9545" t="n">
        <v>0</v>
      </c>
      <c r="I9545" t="n">
        <v>0</v>
      </c>
      <c r="J9545" t="n">
        <v>0</v>
      </c>
      <c r="K9545" t="n">
        <v>0</v>
      </c>
      <c r="L9545" t="n">
        <v>0</v>
      </c>
      <c r="M9545" t="n">
        <v>0</v>
      </c>
      <c r="N9545" t="n">
        <v>0</v>
      </c>
      <c r="O9545" t="n">
        <v>0</v>
      </c>
      <c r="P9545" t="n">
        <v>0</v>
      </c>
      <c r="Q9545" t="n">
        <v>0</v>
      </c>
      <c r="R9545" s="2" t="inlineStr"/>
    </row>
    <row r="9546" ht="15" customHeight="1">
      <c r="A9546" t="inlineStr">
        <is>
          <t>A 52245-2023</t>
        </is>
      </c>
      <c r="B9546" s="1" t="n">
        <v>45224.49927083333</v>
      </c>
      <c r="C9546" s="1" t="n">
        <v>46093</v>
      </c>
      <c r="D9546" t="inlineStr">
        <is>
          <t>VÄSTERNORRLANDS LÄN</t>
        </is>
      </c>
      <c r="E9546" t="inlineStr">
        <is>
          <t>ÖRNSKÖLDSVIK</t>
        </is>
      </c>
      <c r="F9546" t="inlineStr">
        <is>
          <t>Holmen skog AB</t>
        </is>
      </c>
      <c r="G9546" t="n">
        <v>7.5</v>
      </c>
      <c r="H9546" t="n">
        <v>0</v>
      </c>
      <c r="I9546" t="n">
        <v>0</v>
      </c>
      <c r="J9546" t="n">
        <v>0</v>
      </c>
      <c r="K9546" t="n">
        <v>0</v>
      </c>
      <c r="L9546" t="n">
        <v>0</v>
      </c>
      <c r="M9546" t="n">
        <v>0</v>
      </c>
      <c r="N9546" t="n">
        <v>0</v>
      </c>
      <c r="O9546" t="n">
        <v>0</v>
      </c>
      <c r="P9546" t="n">
        <v>0</v>
      </c>
      <c r="Q9546" t="n">
        <v>0</v>
      </c>
      <c r="R9546" s="2" t="inlineStr"/>
    </row>
    <row r="9547" ht="15" customHeight="1">
      <c r="A9547" t="inlineStr">
        <is>
          <t>A 7909-2025</t>
        </is>
      </c>
      <c r="B9547" s="1" t="n">
        <v>45707</v>
      </c>
      <c r="C9547" s="1" t="n">
        <v>46093</v>
      </c>
      <c r="D9547" t="inlineStr">
        <is>
          <t>VÄSTERNORRLANDS LÄN</t>
        </is>
      </c>
      <c r="E9547" t="inlineStr">
        <is>
          <t>ÖRNSKÖLDSVIK</t>
        </is>
      </c>
      <c r="G9547" t="n">
        <v>0.5</v>
      </c>
      <c r="H9547" t="n">
        <v>0</v>
      </c>
      <c r="I9547" t="n">
        <v>0</v>
      </c>
      <c r="J9547" t="n">
        <v>0</v>
      </c>
      <c r="K9547" t="n">
        <v>0</v>
      </c>
      <c r="L9547" t="n">
        <v>0</v>
      </c>
      <c r="M9547" t="n">
        <v>0</v>
      </c>
      <c r="N9547" t="n">
        <v>0</v>
      </c>
      <c r="O9547" t="n">
        <v>0</v>
      </c>
      <c r="P9547" t="n">
        <v>0</v>
      </c>
      <c r="Q9547" t="n">
        <v>0</v>
      </c>
      <c r="R9547" s="2" t="inlineStr"/>
    </row>
    <row r="9548" ht="15" customHeight="1">
      <c r="A9548" t="inlineStr">
        <is>
          <t>A 7939-2025</t>
        </is>
      </c>
      <c r="B9548" s="1" t="n">
        <v>45707.40217592593</v>
      </c>
      <c r="C9548" s="1" t="n">
        <v>46093</v>
      </c>
      <c r="D9548" t="inlineStr">
        <is>
          <t>VÄSTERNORRLANDS LÄN</t>
        </is>
      </c>
      <c r="E9548" t="inlineStr">
        <is>
          <t>SUNDSVALL</t>
        </is>
      </c>
      <c r="G9548" t="n">
        <v>1.8</v>
      </c>
      <c r="H9548" t="n">
        <v>0</v>
      </c>
      <c r="I9548" t="n">
        <v>0</v>
      </c>
      <c r="J9548" t="n">
        <v>0</v>
      </c>
      <c r="K9548" t="n">
        <v>0</v>
      </c>
      <c r="L9548" t="n">
        <v>0</v>
      </c>
      <c r="M9548" t="n">
        <v>0</v>
      </c>
      <c r="N9548" t="n">
        <v>0</v>
      </c>
      <c r="O9548" t="n">
        <v>0</v>
      </c>
      <c r="P9548" t="n">
        <v>0</v>
      </c>
      <c r="Q9548" t="n">
        <v>0</v>
      </c>
      <c r="R9548" s="2" t="inlineStr"/>
    </row>
    <row r="9549" ht="15" customHeight="1">
      <c r="A9549" t="inlineStr">
        <is>
          <t>A 7960-2025</t>
        </is>
      </c>
      <c r="B9549" s="1" t="n">
        <v>45707.44020833333</v>
      </c>
      <c r="C9549" s="1" t="n">
        <v>46093</v>
      </c>
      <c r="D9549" t="inlineStr">
        <is>
          <t>VÄSTERNORRLANDS LÄN</t>
        </is>
      </c>
      <c r="E9549" t="inlineStr">
        <is>
          <t>SUNDSVALL</t>
        </is>
      </c>
      <c r="G9549" t="n">
        <v>2.4</v>
      </c>
      <c r="H9549" t="n">
        <v>0</v>
      </c>
      <c r="I9549" t="n">
        <v>0</v>
      </c>
      <c r="J9549" t="n">
        <v>0</v>
      </c>
      <c r="K9549" t="n">
        <v>0</v>
      </c>
      <c r="L9549" t="n">
        <v>0</v>
      </c>
      <c r="M9549" t="n">
        <v>0</v>
      </c>
      <c r="N9549" t="n">
        <v>0</v>
      </c>
      <c r="O9549" t="n">
        <v>0</v>
      </c>
      <c r="P9549" t="n">
        <v>0</v>
      </c>
      <c r="Q9549" t="n">
        <v>0</v>
      </c>
      <c r="R9549" s="2" t="inlineStr"/>
    </row>
    <row r="9550" ht="15" customHeight="1">
      <c r="A9550" t="inlineStr">
        <is>
          <t>A 7962-2025</t>
        </is>
      </c>
      <c r="B9550" s="1" t="n">
        <v>45707.44831018519</v>
      </c>
      <c r="C9550" s="1" t="n">
        <v>46093</v>
      </c>
      <c r="D9550" t="inlineStr">
        <is>
          <t>VÄSTERNORRLANDS LÄN</t>
        </is>
      </c>
      <c r="E9550" t="inlineStr">
        <is>
          <t>SUNDSVALL</t>
        </is>
      </c>
      <c r="G9550" t="n">
        <v>2.2</v>
      </c>
      <c r="H9550" t="n">
        <v>0</v>
      </c>
      <c r="I9550" t="n">
        <v>0</v>
      </c>
      <c r="J9550" t="n">
        <v>0</v>
      </c>
      <c r="K9550" t="n">
        <v>0</v>
      </c>
      <c r="L9550" t="n">
        <v>0</v>
      </c>
      <c r="M9550" t="n">
        <v>0</v>
      </c>
      <c r="N9550" t="n">
        <v>0</v>
      </c>
      <c r="O9550" t="n">
        <v>0</v>
      </c>
      <c r="P9550" t="n">
        <v>0</v>
      </c>
      <c r="Q9550" t="n">
        <v>0</v>
      </c>
      <c r="R9550" s="2" t="inlineStr"/>
    </row>
    <row r="9551" ht="15" customHeight="1">
      <c r="A9551" t="inlineStr">
        <is>
          <t>A 7967-2025</t>
        </is>
      </c>
      <c r="B9551" s="1" t="n">
        <v>45707.45425925926</v>
      </c>
      <c r="C9551" s="1" t="n">
        <v>46093</v>
      </c>
      <c r="D9551" t="inlineStr">
        <is>
          <t>VÄSTERNORRLANDS LÄN</t>
        </is>
      </c>
      <c r="E9551" t="inlineStr">
        <is>
          <t>SUNDSVALL</t>
        </is>
      </c>
      <c r="G9551" t="n">
        <v>4.7</v>
      </c>
      <c r="H9551" t="n">
        <v>0</v>
      </c>
      <c r="I9551" t="n">
        <v>0</v>
      </c>
      <c r="J9551" t="n">
        <v>0</v>
      </c>
      <c r="K9551" t="n">
        <v>0</v>
      </c>
      <c r="L9551" t="n">
        <v>0</v>
      </c>
      <c r="M9551" t="n">
        <v>0</v>
      </c>
      <c r="N9551" t="n">
        <v>0</v>
      </c>
      <c r="O9551" t="n">
        <v>0</v>
      </c>
      <c r="P9551" t="n">
        <v>0</v>
      </c>
      <c r="Q9551" t="n">
        <v>0</v>
      </c>
      <c r="R9551" s="2" t="inlineStr"/>
    </row>
    <row r="9552" ht="15" customHeight="1">
      <c r="A9552" t="inlineStr">
        <is>
          <t>A 62474-2025</t>
        </is>
      </c>
      <c r="B9552" s="1" t="n">
        <v>46007.54631944445</v>
      </c>
      <c r="C9552" s="1" t="n">
        <v>46093</v>
      </c>
      <c r="D9552" t="inlineStr">
        <is>
          <t>VÄSTERNORRLANDS LÄN</t>
        </is>
      </c>
      <c r="E9552" t="inlineStr">
        <is>
          <t>KRAMFORS</t>
        </is>
      </c>
      <c r="G9552" t="n">
        <v>3</v>
      </c>
      <c r="H9552" t="n">
        <v>0</v>
      </c>
      <c r="I9552" t="n">
        <v>0</v>
      </c>
      <c r="J9552" t="n">
        <v>0</v>
      </c>
      <c r="K9552" t="n">
        <v>0</v>
      </c>
      <c r="L9552" t="n">
        <v>0</v>
      </c>
      <c r="M9552" t="n">
        <v>0</v>
      </c>
      <c r="N9552" t="n">
        <v>0</v>
      </c>
      <c r="O9552" t="n">
        <v>0</v>
      </c>
      <c r="P9552" t="n">
        <v>0</v>
      </c>
      <c r="Q9552" t="n">
        <v>0</v>
      </c>
      <c r="R9552" s="2" t="inlineStr"/>
    </row>
    <row r="9553" ht="15" customHeight="1">
      <c r="A9553" t="inlineStr">
        <is>
          <t>A 52266-2023</t>
        </is>
      </c>
      <c r="B9553" s="1" t="n">
        <v>45217</v>
      </c>
      <c r="C9553" s="1" t="n">
        <v>46093</v>
      </c>
      <c r="D9553" t="inlineStr">
        <is>
          <t>VÄSTERNORRLANDS LÄN</t>
        </is>
      </c>
      <c r="E9553" t="inlineStr">
        <is>
          <t>SOLLEFTEÅ</t>
        </is>
      </c>
      <c r="F9553" t="inlineStr">
        <is>
          <t>SCA</t>
        </is>
      </c>
      <c r="G9553" t="n">
        <v>2.7</v>
      </c>
      <c r="H9553" t="n">
        <v>0</v>
      </c>
      <c r="I9553" t="n">
        <v>0</v>
      </c>
      <c r="J9553" t="n">
        <v>0</v>
      </c>
      <c r="K9553" t="n">
        <v>0</v>
      </c>
      <c r="L9553" t="n">
        <v>0</v>
      </c>
      <c r="M9553" t="n">
        <v>0</v>
      </c>
      <c r="N9553" t="n">
        <v>0</v>
      </c>
      <c r="O9553" t="n">
        <v>0</v>
      </c>
      <c r="P9553" t="n">
        <v>0</v>
      </c>
      <c r="Q9553" t="n">
        <v>0</v>
      </c>
      <c r="R9553" s="2" t="inlineStr"/>
    </row>
    <row r="9554" ht="15" customHeight="1">
      <c r="A9554" t="inlineStr">
        <is>
          <t>A 62865-2025</t>
        </is>
      </c>
      <c r="B9554" s="1" t="n">
        <v>46008</v>
      </c>
      <c r="C9554" s="1" t="n">
        <v>46093</v>
      </c>
      <c r="D9554" t="inlineStr">
        <is>
          <t>VÄSTERNORRLANDS LÄN</t>
        </is>
      </c>
      <c r="E9554" t="inlineStr">
        <is>
          <t>ÖRNSKÖLDSVIK</t>
        </is>
      </c>
      <c r="G9554" t="n">
        <v>11</v>
      </c>
      <c r="H9554" t="n">
        <v>0</v>
      </c>
      <c r="I9554" t="n">
        <v>0</v>
      </c>
      <c r="J9554" t="n">
        <v>0</v>
      </c>
      <c r="K9554" t="n">
        <v>0</v>
      </c>
      <c r="L9554" t="n">
        <v>0</v>
      </c>
      <c r="M9554" t="n">
        <v>0</v>
      </c>
      <c r="N9554" t="n">
        <v>0</v>
      </c>
      <c r="O9554" t="n">
        <v>0</v>
      </c>
      <c r="P9554" t="n">
        <v>0</v>
      </c>
      <c r="Q9554" t="n">
        <v>0</v>
      </c>
      <c r="R9554" s="2" t="inlineStr"/>
    </row>
    <row r="9555" ht="15" customHeight="1">
      <c r="A9555" t="inlineStr">
        <is>
          <t>A 62380-2025</t>
        </is>
      </c>
      <c r="B9555" s="1" t="n">
        <v>46007.365</v>
      </c>
      <c r="C9555" s="1" t="n">
        <v>46093</v>
      </c>
      <c r="D9555" t="inlineStr">
        <is>
          <t>VÄSTERNORRLANDS LÄN</t>
        </is>
      </c>
      <c r="E9555" t="inlineStr">
        <is>
          <t>SUNDSVALL</t>
        </is>
      </c>
      <c r="G9555" t="n">
        <v>3.9</v>
      </c>
      <c r="H9555" t="n">
        <v>0</v>
      </c>
      <c r="I9555" t="n">
        <v>0</v>
      </c>
      <c r="J9555" t="n">
        <v>0</v>
      </c>
      <c r="K9555" t="n">
        <v>0</v>
      </c>
      <c r="L9555" t="n">
        <v>0</v>
      </c>
      <c r="M9555" t="n">
        <v>0</v>
      </c>
      <c r="N9555" t="n">
        <v>0</v>
      </c>
      <c r="O9555" t="n">
        <v>0</v>
      </c>
      <c r="P9555" t="n">
        <v>0</v>
      </c>
      <c r="Q9555" t="n">
        <v>0</v>
      </c>
      <c r="R9555" s="2" t="inlineStr"/>
    </row>
    <row r="9556" ht="15" customHeight="1">
      <c r="A9556" t="inlineStr">
        <is>
          <t>A 602-2025</t>
        </is>
      </c>
      <c r="B9556" s="1" t="n">
        <v>45660</v>
      </c>
      <c r="C9556" s="1" t="n">
        <v>46093</v>
      </c>
      <c r="D9556" t="inlineStr">
        <is>
          <t>VÄSTERNORRLANDS LÄN</t>
        </is>
      </c>
      <c r="E9556" t="inlineStr">
        <is>
          <t>KRAMFORS</t>
        </is>
      </c>
      <c r="G9556" t="n">
        <v>2.6</v>
      </c>
      <c r="H9556" t="n">
        <v>0</v>
      </c>
      <c r="I9556" t="n">
        <v>0</v>
      </c>
      <c r="J9556" t="n">
        <v>0</v>
      </c>
      <c r="K9556" t="n">
        <v>0</v>
      </c>
      <c r="L9556" t="n">
        <v>0</v>
      </c>
      <c r="M9556" t="n">
        <v>0</v>
      </c>
      <c r="N9556" t="n">
        <v>0</v>
      </c>
      <c r="O9556" t="n">
        <v>0</v>
      </c>
      <c r="P9556" t="n">
        <v>0</v>
      </c>
      <c r="Q9556" t="n">
        <v>0</v>
      </c>
      <c r="R9556" s="2" t="inlineStr"/>
    </row>
    <row r="9557" ht="15" customHeight="1">
      <c r="A9557" t="inlineStr">
        <is>
          <t>A 62421-2025</t>
        </is>
      </c>
      <c r="B9557" s="1" t="n">
        <v>46007.44850694444</v>
      </c>
      <c r="C9557" s="1" t="n">
        <v>46093</v>
      </c>
      <c r="D9557" t="inlineStr">
        <is>
          <t>VÄSTERNORRLANDS LÄN</t>
        </is>
      </c>
      <c r="E9557" t="inlineStr">
        <is>
          <t>SUNDSVALL</t>
        </is>
      </c>
      <c r="F9557" t="inlineStr">
        <is>
          <t>SCA</t>
        </is>
      </c>
      <c r="G9557" t="n">
        <v>6.5</v>
      </c>
      <c r="H9557" t="n">
        <v>0</v>
      </c>
      <c r="I9557" t="n">
        <v>0</v>
      </c>
      <c r="J9557" t="n">
        <v>0</v>
      </c>
      <c r="K9557" t="n">
        <v>0</v>
      </c>
      <c r="L9557" t="n">
        <v>0</v>
      </c>
      <c r="M9557" t="n">
        <v>0</v>
      </c>
      <c r="N9557" t="n">
        <v>0</v>
      </c>
      <c r="O9557" t="n">
        <v>0</v>
      </c>
      <c r="P9557" t="n">
        <v>0</v>
      </c>
      <c r="Q9557" t="n">
        <v>0</v>
      </c>
      <c r="R9557" s="2" t="inlineStr"/>
    </row>
    <row r="9558" ht="15" customHeight="1">
      <c r="A9558" t="inlineStr">
        <is>
          <t>A 61847-2024</t>
        </is>
      </c>
      <c r="B9558" s="1" t="n">
        <v>45646</v>
      </c>
      <c r="C9558" s="1" t="n">
        <v>46093</v>
      </c>
      <c r="D9558" t="inlineStr">
        <is>
          <t>VÄSTERNORRLANDS LÄN</t>
        </is>
      </c>
      <c r="E9558" t="inlineStr">
        <is>
          <t>SOLLEFTEÅ</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36282-2023</t>
        </is>
      </c>
      <c r="B9559" s="1" t="n">
        <v>45149</v>
      </c>
      <c r="C9559" s="1" t="n">
        <v>46093</v>
      </c>
      <c r="D9559" t="inlineStr">
        <is>
          <t>VÄSTERNORRLANDS LÄN</t>
        </is>
      </c>
      <c r="E9559" t="inlineStr">
        <is>
          <t>ÖRNSKÖLDSVIK</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36290-2023</t>
        </is>
      </c>
      <c r="B9560" s="1" t="n">
        <v>45152.35467592593</v>
      </c>
      <c r="C9560" s="1" t="n">
        <v>46093</v>
      </c>
      <c r="D9560" t="inlineStr">
        <is>
          <t>VÄSTERNORRLANDS LÄN</t>
        </is>
      </c>
      <c r="E9560" t="inlineStr">
        <is>
          <t>ÅNGE</t>
        </is>
      </c>
      <c r="F9560" t="inlineStr">
        <is>
          <t>Övriga Aktiebolag</t>
        </is>
      </c>
      <c r="G9560" t="n">
        <v>3.4</v>
      </c>
      <c r="H9560" t="n">
        <v>0</v>
      </c>
      <c r="I9560" t="n">
        <v>0</v>
      </c>
      <c r="J9560" t="n">
        <v>0</v>
      </c>
      <c r="K9560" t="n">
        <v>0</v>
      </c>
      <c r="L9560" t="n">
        <v>0</v>
      </c>
      <c r="M9560" t="n">
        <v>0</v>
      </c>
      <c r="N9560" t="n">
        <v>0</v>
      </c>
      <c r="O9560" t="n">
        <v>0</v>
      </c>
      <c r="P9560" t="n">
        <v>0</v>
      </c>
      <c r="Q9560" t="n">
        <v>0</v>
      </c>
      <c r="R9560" s="2" t="inlineStr"/>
    </row>
    <row r="9561" ht="15" customHeight="1">
      <c r="A9561" t="inlineStr">
        <is>
          <t>A 53298-2024</t>
        </is>
      </c>
      <c r="B9561" s="1" t="n">
        <v>45614.38810185185</v>
      </c>
      <c r="C9561" s="1" t="n">
        <v>46093</v>
      </c>
      <c r="D9561" t="inlineStr">
        <is>
          <t>VÄSTERNORRLANDS LÄN</t>
        </is>
      </c>
      <c r="E9561" t="inlineStr">
        <is>
          <t>TIMRÅ</t>
        </is>
      </c>
      <c r="F9561" t="inlineStr">
        <is>
          <t>SCA</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53299-2024</t>
        </is>
      </c>
      <c r="B9562" s="1" t="n">
        <v>45614.38815972222</v>
      </c>
      <c r="C9562" s="1" t="n">
        <v>46093</v>
      </c>
      <c r="D9562" t="inlineStr">
        <is>
          <t>VÄSTERNORRLANDS LÄN</t>
        </is>
      </c>
      <c r="E9562" t="inlineStr">
        <is>
          <t>TIMRÅ</t>
        </is>
      </c>
      <c r="F9562" t="inlineStr">
        <is>
          <t>SCA</t>
        </is>
      </c>
      <c r="G9562" t="n">
        <v>0.5</v>
      </c>
      <c r="H9562" t="n">
        <v>0</v>
      </c>
      <c r="I9562" t="n">
        <v>0</v>
      </c>
      <c r="J9562" t="n">
        <v>0</v>
      </c>
      <c r="K9562" t="n">
        <v>0</v>
      </c>
      <c r="L9562" t="n">
        <v>0</v>
      </c>
      <c r="M9562" t="n">
        <v>0</v>
      </c>
      <c r="N9562" t="n">
        <v>0</v>
      </c>
      <c r="O9562" t="n">
        <v>0</v>
      </c>
      <c r="P9562" t="n">
        <v>0</v>
      </c>
      <c r="Q9562" t="n">
        <v>0</v>
      </c>
      <c r="R9562" s="2" t="inlineStr"/>
    </row>
    <row r="9563" ht="15" customHeight="1">
      <c r="A9563" t="inlineStr">
        <is>
          <t>A 19416-2022</t>
        </is>
      </c>
      <c r="B9563" s="1" t="n">
        <v>44693</v>
      </c>
      <c r="C9563" s="1" t="n">
        <v>46093</v>
      </c>
      <c r="D9563" t="inlineStr">
        <is>
          <t>VÄSTERNORRLANDS LÄN</t>
        </is>
      </c>
      <c r="E9563" t="inlineStr">
        <is>
          <t>SOLLEFTEÅ</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5439-2025</t>
        </is>
      </c>
      <c r="B9564" s="1" t="n">
        <v>45692</v>
      </c>
      <c r="C9564" s="1" t="n">
        <v>46093</v>
      </c>
      <c r="D9564" t="inlineStr">
        <is>
          <t>VÄSTERNORRLANDS LÄN</t>
        </is>
      </c>
      <c r="E9564" t="inlineStr">
        <is>
          <t>ÖRNSKÖLDSVIK</t>
        </is>
      </c>
      <c r="G9564" t="n">
        <v>9</v>
      </c>
      <c r="H9564" t="n">
        <v>0</v>
      </c>
      <c r="I9564" t="n">
        <v>0</v>
      </c>
      <c r="J9564" t="n">
        <v>0</v>
      </c>
      <c r="K9564" t="n">
        <v>0</v>
      </c>
      <c r="L9564" t="n">
        <v>0</v>
      </c>
      <c r="M9564" t="n">
        <v>0</v>
      </c>
      <c r="N9564" t="n">
        <v>0</v>
      </c>
      <c r="O9564" t="n">
        <v>0</v>
      </c>
      <c r="P9564" t="n">
        <v>0</v>
      </c>
      <c r="Q9564" t="n">
        <v>0</v>
      </c>
      <c r="R9564" s="2" t="inlineStr"/>
    </row>
    <row r="9565" ht="15" customHeight="1">
      <c r="A9565" t="inlineStr">
        <is>
          <t>A 62510-2025</t>
        </is>
      </c>
      <c r="B9565" s="1" t="n">
        <v>46007</v>
      </c>
      <c r="C9565" s="1" t="n">
        <v>46093</v>
      </c>
      <c r="D9565" t="inlineStr">
        <is>
          <t>VÄSTERNORRLANDS LÄN</t>
        </is>
      </c>
      <c r="E9565" t="inlineStr">
        <is>
          <t>KRAMFORS</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55622-2023</t>
        </is>
      </c>
      <c r="B9566" s="1" t="n">
        <v>45238</v>
      </c>
      <c r="C9566" s="1" t="n">
        <v>46093</v>
      </c>
      <c r="D9566" t="inlineStr">
        <is>
          <t>VÄSTERNORRLANDS LÄN</t>
        </is>
      </c>
      <c r="E9566" t="inlineStr">
        <is>
          <t>SOLLEFTEÅ</t>
        </is>
      </c>
      <c r="G9566" t="n">
        <v>2.1</v>
      </c>
      <c r="H9566" t="n">
        <v>0</v>
      </c>
      <c r="I9566" t="n">
        <v>0</v>
      </c>
      <c r="J9566" t="n">
        <v>0</v>
      </c>
      <c r="K9566" t="n">
        <v>0</v>
      </c>
      <c r="L9566" t="n">
        <v>0</v>
      </c>
      <c r="M9566" t="n">
        <v>0</v>
      </c>
      <c r="N9566" t="n">
        <v>0</v>
      </c>
      <c r="O9566" t="n">
        <v>0</v>
      </c>
      <c r="P9566" t="n">
        <v>0</v>
      </c>
      <c r="Q9566" t="n">
        <v>0</v>
      </c>
      <c r="R9566" s="2" t="inlineStr"/>
    </row>
    <row r="9567" ht="15" customHeight="1">
      <c r="A9567" t="inlineStr">
        <is>
          <t>A 62544-2025</t>
        </is>
      </c>
      <c r="B9567" s="1" t="n">
        <v>46007.65690972222</v>
      </c>
      <c r="C9567" s="1" t="n">
        <v>46093</v>
      </c>
      <c r="D9567" t="inlineStr">
        <is>
          <t>VÄSTERNORRLANDS LÄN</t>
        </is>
      </c>
      <c r="E9567" t="inlineStr">
        <is>
          <t>SOLLEFTEÅ</t>
        </is>
      </c>
      <c r="F9567" t="inlineStr">
        <is>
          <t>SCA</t>
        </is>
      </c>
      <c r="G9567" t="n">
        <v>1.7</v>
      </c>
      <c r="H9567" t="n">
        <v>0</v>
      </c>
      <c r="I9567" t="n">
        <v>0</v>
      </c>
      <c r="J9567" t="n">
        <v>0</v>
      </c>
      <c r="K9567" t="n">
        <v>0</v>
      </c>
      <c r="L9567" t="n">
        <v>0</v>
      </c>
      <c r="M9567" t="n">
        <v>0</v>
      </c>
      <c r="N9567" t="n">
        <v>0</v>
      </c>
      <c r="O9567" t="n">
        <v>0</v>
      </c>
      <c r="P9567" t="n">
        <v>0</v>
      </c>
      <c r="Q9567" t="n">
        <v>0</v>
      </c>
      <c r="R9567" s="2" t="inlineStr"/>
    </row>
    <row r="9568" ht="15" customHeight="1">
      <c r="A9568" t="inlineStr">
        <is>
          <t>A 48369-2024</t>
        </is>
      </c>
      <c r="B9568" s="1" t="n">
        <v>45590.57960648148</v>
      </c>
      <c r="C9568" s="1" t="n">
        <v>46093</v>
      </c>
      <c r="D9568" t="inlineStr">
        <is>
          <t>VÄSTERNORRLANDS LÄN</t>
        </is>
      </c>
      <c r="E9568" t="inlineStr">
        <is>
          <t>ÅNGE</t>
        </is>
      </c>
      <c r="F9568" t="inlineStr">
        <is>
          <t>SCA</t>
        </is>
      </c>
      <c r="G9568" t="n">
        <v>0.6</v>
      </c>
      <c r="H9568" t="n">
        <v>0</v>
      </c>
      <c r="I9568" t="n">
        <v>0</v>
      </c>
      <c r="J9568" t="n">
        <v>0</v>
      </c>
      <c r="K9568" t="n">
        <v>0</v>
      </c>
      <c r="L9568" t="n">
        <v>0</v>
      </c>
      <c r="M9568" t="n">
        <v>0</v>
      </c>
      <c r="N9568" t="n">
        <v>0</v>
      </c>
      <c r="O9568" t="n">
        <v>0</v>
      </c>
      <c r="P9568" t="n">
        <v>0</v>
      </c>
      <c r="Q9568" t="n">
        <v>0</v>
      </c>
      <c r="R9568" s="2" t="inlineStr"/>
    </row>
    <row r="9569" ht="15" customHeight="1">
      <c r="A9569" t="inlineStr">
        <is>
          <t>A 32204-2023</t>
        </is>
      </c>
      <c r="B9569" s="1" t="n">
        <v>45119.92628472222</v>
      </c>
      <c r="C9569" s="1" t="n">
        <v>46093</v>
      </c>
      <c r="D9569" t="inlineStr">
        <is>
          <t>VÄSTERNORRLANDS LÄN</t>
        </is>
      </c>
      <c r="E9569" t="inlineStr">
        <is>
          <t>SUNDSVALL</t>
        </is>
      </c>
      <c r="G9569" t="n">
        <v>2.4</v>
      </c>
      <c r="H9569" t="n">
        <v>0</v>
      </c>
      <c r="I9569" t="n">
        <v>0</v>
      </c>
      <c r="J9569" t="n">
        <v>0</v>
      </c>
      <c r="K9569" t="n">
        <v>0</v>
      </c>
      <c r="L9569" t="n">
        <v>0</v>
      </c>
      <c r="M9569" t="n">
        <v>0</v>
      </c>
      <c r="N9569" t="n">
        <v>0</v>
      </c>
      <c r="O9569" t="n">
        <v>0</v>
      </c>
      <c r="P9569" t="n">
        <v>0</v>
      </c>
      <c r="Q9569" t="n">
        <v>0</v>
      </c>
      <c r="R9569" s="2" t="inlineStr"/>
    </row>
    <row r="9570" ht="15" customHeight="1">
      <c r="A9570" t="inlineStr">
        <is>
          <t>A 8925-2025</t>
        </is>
      </c>
      <c r="B9570" s="1" t="n">
        <v>45713.43980324074</v>
      </c>
      <c r="C9570" s="1" t="n">
        <v>46093</v>
      </c>
      <c r="D9570" t="inlineStr">
        <is>
          <t>VÄSTERNORRLANDS LÄN</t>
        </is>
      </c>
      <c r="E9570" t="inlineStr">
        <is>
          <t>HÄRNÖSAND</t>
        </is>
      </c>
      <c r="G9570" t="n">
        <v>5.7</v>
      </c>
      <c r="H9570" t="n">
        <v>0</v>
      </c>
      <c r="I9570" t="n">
        <v>0</v>
      </c>
      <c r="J9570" t="n">
        <v>0</v>
      </c>
      <c r="K9570" t="n">
        <v>0</v>
      </c>
      <c r="L9570" t="n">
        <v>0</v>
      </c>
      <c r="M9570" t="n">
        <v>0</v>
      </c>
      <c r="N9570" t="n">
        <v>0</v>
      </c>
      <c r="O9570" t="n">
        <v>0</v>
      </c>
      <c r="P9570" t="n">
        <v>0</v>
      </c>
      <c r="Q9570" t="n">
        <v>0</v>
      </c>
      <c r="R9570" s="2" t="inlineStr"/>
    </row>
    <row r="9571" ht="15" customHeight="1">
      <c r="A9571" t="inlineStr">
        <is>
          <t>A 62610-2025</t>
        </is>
      </c>
      <c r="B9571" s="1" t="n">
        <v>46008.30684027778</v>
      </c>
      <c r="C9571" s="1" t="n">
        <v>46093</v>
      </c>
      <c r="D9571" t="inlineStr">
        <is>
          <t>VÄSTERNORRLANDS LÄN</t>
        </is>
      </c>
      <c r="E9571" t="inlineStr">
        <is>
          <t>ÖRNSKÖLDSVIK</t>
        </is>
      </c>
      <c r="G9571" t="n">
        <v>2.3</v>
      </c>
      <c r="H9571" t="n">
        <v>0</v>
      </c>
      <c r="I9571" t="n">
        <v>0</v>
      </c>
      <c r="J9571" t="n">
        <v>0</v>
      </c>
      <c r="K9571" t="n">
        <v>0</v>
      </c>
      <c r="L9571" t="n">
        <v>0</v>
      </c>
      <c r="M9571" t="n">
        <v>0</v>
      </c>
      <c r="N9571" t="n">
        <v>0</v>
      </c>
      <c r="O9571" t="n">
        <v>0</v>
      </c>
      <c r="P9571" t="n">
        <v>0</v>
      </c>
      <c r="Q9571" t="n">
        <v>0</v>
      </c>
      <c r="R9571" s="2" t="inlineStr"/>
    </row>
    <row r="9572" ht="15" customHeight="1">
      <c r="A9572" t="inlineStr">
        <is>
          <t>A 50878-2023</t>
        </is>
      </c>
      <c r="B9572" s="1" t="n">
        <v>45218</v>
      </c>
      <c r="C9572" s="1" t="n">
        <v>46093</v>
      </c>
      <c r="D9572" t="inlineStr">
        <is>
          <t>VÄSTERNORRLANDS LÄN</t>
        </is>
      </c>
      <c r="E9572" t="inlineStr">
        <is>
          <t>ÖRNSKÖLDSVIK</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62627-2025</t>
        </is>
      </c>
      <c r="B9573" s="1" t="n">
        <v>46008</v>
      </c>
      <c r="C9573" s="1" t="n">
        <v>46093</v>
      </c>
      <c r="D9573" t="inlineStr">
        <is>
          <t>VÄSTERNORRLANDS LÄN</t>
        </is>
      </c>
      <c r="E9573" t="inlineStr">
        <is>
          <t>KRAMFORS</t>
        </is>
      </c>
      <c r="G9573" t="n">
        <v>0.3</v>
      </c>
      <c r="H9573" t="n">
        <v>0</v>
      </c>
      <c r="I9573" t="n">
        <v>0</v>
      </c>
      <c r="J9573" t="n">
        <v>0</v>
      </c>
      <c r="K9573" t="n">
        <v>0</v>
      </c>
      <c r="L9573" t="n">
        <v>0</v>
      </c>
      <c r="M9573" t="n">
        <v>0</v>
      </c>
      <c r="N9573" t="n">
        <v>0</v>
      </c>
      <c r="O9573" t="n">
        <v>0</v>
      </c>
      <c r="P9573" t="n">
        <v>0</v>
      </c>
      <c r="Q9573" t="n">
        <v>0</v>
      </c>
      <c r="R9573" s="2" t="inlineStr"/>
    </row>
    <row r="9574" ht="15" customHeight="1">
      <c r="A9574" t="inlineStr">
        <is>
          <t>A 10716-2023</t>
        </is>
      </c>
      <c r="B9574" s="1" t="n">
        <v>44988.64170138889</v>
      </c>
      <c r="C9574" s="1" t="n">
        <v>46093</v>
      </c>
      <c r="D9574" t="inlineStr">
        <is>
          <t>VÄSTERNORRLANDS LÄN</t>
        </is>
      </c>
      <c r="E9574" t="inlineStr">
        <is>
          <t>SUNDSVALL</t>
        </is>
      </c>
      <c r="F9574" t="inlineStr">
        <is>
          <t>Holmen skog AB</t>
        </is>
      </c>
      <c r="G9574" t="n">
        <v>3.5</v>
      </c>
      <c r="H9574" t="n">
        <v>0</v>
      </c>
      <c r="I9574" t="n">
        <v>0</v>
      </c>
      <c r="J9574" t="n">
        <v>0</v>
      </c>
      <c r="K9574" t="n">
        <v>0</v>
      </c>
      <c r="L9574" t="n">
        <v>0</v>
      </c>
      <c r="M9574" t="n">
        <v>0</v>
      </c>
      <c r="N9574" t="n">
        <v>0</v>
      </c>
      <c r="O9574" t="n">
        <v>0</v>
      </c>
      <c r="P9574" t="n">
        <v>0</v>
      </c>
      <c r="Q9574" t="n">
        <v>0</v>
      </c>
      <c r="R9574" s="2" t="inlineStr"/>
    </row>
    <row r="9575" ht="15" customHeight="1">
      <c r="A9575" t="inlineStr">
        <is>
          <t>A 62494-2025</t>
        </is>
      </c>
      <c r="B9575" s="1" t="n">
        <v>46007.5735300926</v>
      </c>
      <c r="C9575" s="1" t="n">
        <v>46093</v>
      </c>
      <c r="D9575" t="inlineStr">
        <is>
          <t>VÄSTERNORRLANDS LÄN</t>
        </is>
      </c>
      <c r="E9575" t="inlineStr">
        <is>
          <t>SOLLEFTEÅ</t>
        </is>
      </c>
      <c r="F9575" t="inlineStr">
        <is>
          <t>SCA</t>
        </is>
      </c>
      <c r="G9575" t="n">
        <v>2</v>
      </c>
      <c r="H9575" t="n">
        <v>0</v>
      </c>
      <c r="I9575" t="n">
        <v>0</v>
      </c>
      <c r="J9575" t="n">
        <v>0</v>
      </c>
      <c r="K9575" t="n">
        <v>0</v>
      </c>
      <c r="L9575" t="n">
        <v>0</v>
      </c>
      <c r="M9575" t="n">
        <v>0</v>
      </c>
      <c r="N9575" t="n">
        <v>0</v>
      </c>
      <c r="O9575" t="n">
        <v>0</v>
      </c>
      <c r="P9575" t="n">
        <v>0</v>
      </c>
      <c r="Q9575" t="n">
        <v>0</v>
      </c>
      <c r="R9575" s="2" t="inlineStr"/>
    </row>
    <row r="9576" ht="15" customHeight="1">
      <c r="A9576" t="inlineStr">
        <is>
          <t>A 10784-2023</t>
        </is>
      </c>
      <c r="B9576" s="1" t="n">
        <v>44988</v>
      </c>
      <c r="C9576" s="1" t="n">
        <v>46093</v>
      </c>
      <c r="D9576" t="inlineStr">
        <is>
          <t>VÄSTERNORRLANDS LÄN</t>
        </is>
      </c>
      <c r="E9576" t="inlineStr">
        <is>
          <t>ÖRNSKÖLDSVIK</t>
        </is>
      </c>
      <c r="F9576" t="inlineStr">
        <is>
          <t>SCA</t>
        </is>
      </c>
      <c r="G9576" t="n">
        <v>2.2</v>
      </c>
      <c r="H9576" t="n">
        <v>0</v>
      </c>
      <c r="I9576" t="n">
        <v>0</v>
      </c>
      <c r="J9576" t="n">
        <v>0</v>
      </c>
      <c r="K9576" t="n">
        <v>0</v>
      </c>
      <c r="L9576" t="n">
        <v>0</v>
      </c>
      <c r="M9576" t="n">
        <v>0</v>
      </c>
      <c r="N9576" t="n">
        <v>0</v>
      </c>
      <c r="O9576" t="n">
        <v>0</v>
      </c>
      <c r="P9576" t="n">
        <v>0</v>
      </c>
      <c r="Q9576" t="n">
        <v>0</v>
      </c>
      <c r="R9576" s="2" t="inlineStr"/>
    </row>
    <row r="9577" ht="15" customHeight="1">
      <c r="A9577" t="inlineStr">
        <is>
          <t>A 1531-2025</t>
        </is>
      </c>
      <c r="B9577" s="1" t="n">
        <v>45670.4811574074</v>
      </c>
      <c r="C9577" s="1" t="n">
        <v>46093</v>
      </c>
      <c r="D9577" t="inlineStr">
        <is>
          <t>VÄSTERNORRLANDS LÄN</t>
        </is>
      </c>
      <c r="E9577" t="inlineStr">
        <is>
          <t>ÖRNSKÖLDSVIK</t>
        </is>
      </c>
      <c r="G9577" t="n">
        <v>2.6</v>
      </c>
      <c r="H9577" t="n">
        <v>0</v>
      </c>
      <c r="I9577" t="n">
        <v>0</v>
      </c>
      <c r="J9577" t="n">
        <v>0</v>
      </c>
      <c r="K9577" t="n">
        <v>0</v>
      </c>
      <c r="L9577" t="n">
        <v>0</v>
      </c>
      <c r="M9577" t="n">
        <v>0</v>
      </c>
      <c r="N9577" t="n">
        <v>0</v>
      </c>
      <c r="O9577" t="n">
        <v>0</v>
      </c>
      <c r="P9577" t="n">
        <v>0</v>
      </c>
      <c r="Q9577" t="n">
        <v>0</v>
      </c>
      <c r="R9577" s="2" t="inlineStr"/>
    </row>
    <row r="9578" ht="15" customHeight="1">
      <c r="A9578" t="inlineStr">
        <is>
          <t>A 1663-2025</t>
        </is>
      </c>
      <c r="B9578" s="1" t="n">
        <v>45670</v>
      </c>
      <c r="C9578" s="1" t="n">
        <v>46093</v>
      </c>
      <c r="D9578" t="inlineStr">
        <is>
          <t>VÄSTERNORRLANDS LÄN</t>
        </is>
      </c>
      <c r="E9578" t="inlineStr">
        <is>
          <t>KRAMFORS</t>
        </is>
      </c>
      <c r="G9578" t="n">
        <v>7.1</v>
      </c>
      <c r="H9578" t="n">
        <v>0</v>
      </c>
      <c r="I9578" t="n">
        <v>0</v>
      </c>
      <c r="J9578" t="n">
        <v>0</v>
      </c>
      <c r="K9578" t="n">
        <v>0</v>
      </c>
      <c r="L9578" t="n">
        <v>0</v>
      </c>
      <c r="M9578" t="n">
        <v>0</v>
      </c>
      <c r="N9578" t="n">
        <v>0</v>
      </c>
      <c r="O9578" t="n">
        <v>0</v>
      </c>
      <c r="P9578" t="n">
        <v>0</v>
      </c>
      <c r="Q9578" t="n">
        <v>0</v>
      </c>
      <c r="R9578" s="2" t="inlineStr"/>
    </row>
    <row r="9579" ht="15" customHeight="1">
      <c r="A9579" t="inlineStr">
        <is>
          <t>A 62649-2025</t>
        </is>
      </c>
      <c r="B9579" s="1" t="n">
        <v>46008</v>
      </c>
      <c r="C9579" s="1" t="n">
        <v>46093</v>
      </c>
      <c r="D9579" t="inlineStr">
        <is>
          <t>VÄSTERNORRLANDS LÄN</t>
        </is>
      </c>
      <c r="E9579" t="inlineStr">
        <is>
          <t>ÖRNSKÖLDSVIK</t>
        </is>
      </c>
      <c r="F9579" t="inlineStr">
        <is>
          <t>Holmen skog AB</t>
        </is>
      </c>
      <c r="G9579" t="n">
        <v>5.1</v>
      </c>
      <c r="H9579" t="n">
        <v>0</v>
      </c>
      <c r="I9579" t="n">
        <v>0</v>
      </c>
      <c r="J9579" t="n">
        <v>0</v>
      </c>
      <c r="K9579" t="n">
        <v>0</v>
      </c>
      <c r="L9579" t="n">
        <v>0</v>
      </c>
      <c r="M9579" t="n">
        <v>0</v>
      </c>
      <c r="N9579" t="n">
        <v>0</v>
      </c>
      <c r="O9579" t="n">
        <v>0</v>
      </c>
      <c r="P9579" t="n">
        <v>0</v>
      </c>
      <c r="Q9579" t="n">
        <v>0</v>
      </c>
      <c r="R9579" s="2" t="inlineStr"/>
    </row>
    <row r="9580" ht="15" customHeight="1">
      <c r="A9580" t="inlineStr">
        <is>
          <t>A 62650-2025</t>
        </is>
      </c>
      <c r="B9580" s="1" t="n">
        <v>46008.40663194445</v>
      </c>
      <c r="C9580" s="1" t="n">
        <v>46093</v>
      </c>
      <c r="D9580" t="inlineStr">
        <is>
          <t>VÄSTERNORRLANDS LÄN</t>
        </is>
      </c>
      <c r="E9580" t="inlineStr">
        <is>
          <t>KRAMFORS</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1714-2025</t>
        </is>
      </c>
      <c r="B9581" s="1" t="n">
        <v>45671.32474537037</v>
      </c>
      <c r="C9581" s="1" t="n">
        <v>46093</v>
      </c>
      <c r="D9581" t="inlineStr">
        <is>
          <t>VÄSTERNORRLANDS LÄN</t>
        </is>
      </c>
      <c r="E9581" t="inlineStr">
        <is>
          <t>ÅNGE</t>
        </is>
      </c>
      <c r="G9581" t="n">
        <v>2</v>
      </c>
      <c r="H9581" t="n">
        <v>0</v>
      </c>
      <c r="I9581" t="n">
        <v>0</v>
      </c>
      <c r="J9581" t="n">
        <v>0</v>
      </c>
      <c r="K9581" t="n">
        <v>0</v>
      </c>
      <c r="L9581" t="n">
        <v>0</v>
      </c>
      <c r="M9581" t="n">
        <v>0</v>
      </c>
      <c r="N9581" t="n">
        <v>0</v>
      </c>
      <c r="O9581" t="n">
        <v>0</v>
      </c>
      <c r="P9581" t="n">
        <v>0</v>
      </c>
      <c r="Q9581" t="n">
        <v>0</v>
      </c>
      <c r="R9581" s="2" t="inlineStr"/>
    </row>
    <row r="9582" ht="15" customHeight="1">
      <c r="A9582" t="inlineStr">
        <is>
          <t>A 12972-2023</t>
        </is>
      </c>
      <c r="B9582" s="1" t="n">
        <v>45001</v>
      </c>
      <c r="C9582" s="1" t="n">
        <v>46093</v>
      </c>
      <c r="D9582" t="inlineStr">
        <is>
          <t>VÄSTERNORRLANDS LÄN</t>
        </is>
      </c>
      <c r="E9582" t="inlineStr">
        <is>
          <t>SOLLEFTEÅ</t>
        </is>
      </c>
      <c r="F9582" t="inlineStr">
        <is>
          <t>SCA</t>
        </is>
      </c>
      <c r="G9582" t="n">
        <v>1.8</v>
      </c>
      <c r="H9582" t="n">
        <v>0</v>
      </c>
      <c r="I9582" t="n">
        <v>0</v>
      </c>
      <c r="J9582" t="n">
        <v>0</v>
      </c>
      <c r="K9582" t="n">
        <v>0</v>
      </c>
      <c r="L9582" t="n">
        <v>0</v>
      </c>
      <c r="M9582" t="n">
        <v>0</v>
      </c>
      <c r="N9582" t="n">
        <v>0</v>
      </c>
      <c r="O9582" t="n">
        <v>0</v>
      </c>
      <c r="P9582" t="n">
        <v>0</v>
      </c>
      <c r="Q9582" t="n">
        <v>0</v>
      </c>
      <c r="R9582" s="2" t="inlineStr"/>
    </row>
    <row r="9583" ht="15" customHeight="1">
      <c r="A9583" t="inlineStr">
        <is>
          <t>A 36178-2024</t>
        </is>
      </c>
      <c r="B9583" s="1" t="n">
        <v>45534.40929398148</v>
      </c>
      <c r="C9583" s="1" t="n">
        <v>46093</v>
      </c>
      <c r="D9583" t="inlineStr">
        <is>
          <t>VÄSTERNORRLANDS LÄN</t>
        </is>
      </c>
      <c r="E9583" t="inlineStr">
        <is>
          <t>KRAMFORS</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62371-2025</t>
        </is>
      </c>
      <c r="B9584" s="1" t="n">
        <v>46007.34425925926</v>
      </c>
      <c r="C9584" s="1" t="n">
        <v>46093</v>
      </c>
      <c r="D9584" t="inlineStr">
        <is>
          <t>VÄSTERNORRLANDS LÄN</t>
        </is>
      </c>
      <c r="E9584" t="inlineStr">
        <is>
          <t>SOLLEFTEÅ</t>
        </is>
      </c>
      <c r="F9584" t="inlineStr">
        <is>
          <t>SCA</t>
        </is>
      </c>
      <c r="G9584" t="n">
        <v>8.199999999999999</v>
      </c>
      <c r="H9584" t="n">
        <v>0</v>
      </c>
      <c r="I9584" t="n">
        <v>0</v>
      </c>
      <c r="J9584" t="n">
        <v>0</v>
      </c>
      <c r="K9584" t="n">
        <v>0</v>
      </c>
      <c r="L9584" t="n">
        <v>0</v>
      </c>
      <c r="M9584" t="n">
        <v>0</v>
      </c>
      <c r="N9584" t="n">
        <v>0</v>
      </c>
      <c r="O9584" t="n">
        <v>0</v>
      </c>
      <c r="P9584" t="n">
        <v>0</v>
      </c>
      <c r="Q9584" t="n">
        <v>0</v>
      </c>
      <c r="R9584" s="2" t="inlineStr"/>
    </row>
    <row r="9585" ht="15" customHeight="1">
      <c r="A9585" t="inlineStr">
        <is>
          <t>A 45048-2023</t>
        </is>
      </c>
      <c r="B9585" s="1" t="n">
        <v>45187</v>
      </c>
      <c r="C9585" s="1" t="n">
        <v>46093</v>
      </c>
      <c r="D9585" t="inlineStr">
        <is>
          <t>VÄSTERNORRLANDS LÄN</t>
        </is>
      </c>
      <c r="E9585" t="inlineStr">
        <is>
          <t>SUNDSVALL</t>
        </is>
      </c>
      <c r="G9585" t="n">
        <v>0.5</v>
      </c>
      <c r="H9585" t="n">
        <v>0</v>
      </c>
      <c r="I9585" t="n">
        <v>0</v>
      </c>
      <c r="J9585" t="n">
        <v>0</v>
      </c>
      <c r="K9585" t="n">
        <v>0</v>
      </c>
      <c r="L9585" t="n">
        <v>0</v>
      </c>
      <c r="M9585" t="n">
        <v>0</v>
      </c>
      <c r="N9585" t="n">
        <v>0</v>
      </c>
      <c r="O9585" t="n">
        <v>0</v>
      </c>
      <c r="P9585" t="n">
        <v>0</v>
      </c>
      <c r="Q9585" t="n">
        <v>0</v>
      </c>
      <c r="R9585" s="2" t="inlineStr"/>
    </row>
    <row r="9586" ht="15" customHeight="1">
      <c r="A9586" t="inlineStr">
        <is>
          <t>A 45057-2023</t>
        </is>
      </c>
      <c r="B9586" s="1" t="n">
        <v>45187</v>
      </c>
      <c r="C9586" s="1" t="n">
        <v>46093</v>
      </c>
      <c r="D9586" t="inlineStr">
        <is>
          <t>VÄSTERNORRLANDS LÄN</t>
        </is>
      </c>
      <c r="E9586" t="inlineStr">
        <is>
          <t>SUNDSVALL</t>
        </is>
      </c>
      <c r="G9586" t="n">
        <v>1.6</v>
      </c>
      <c r="H9586" t="n">
        <v>0</v>
      </c>
      <c r="I9586" t="n">
        <v>0</v>
      </c>
      <c r="J9586" t="n">
        <v>0</v>
      </c>
      <c r="K9586" t="n">
        <v>0</v>
      </c>
      <c r="L9586" t="n">
        <v>0</v>
      </c>
      <c r="M9586" t="n">
        <v>0</v>
      </c>
      <c r="N9586" t="n">
        <v>0</v>
      </c>
      <c r="O9586" t="n">
        <v>0</v>
      </c>
      <c r="P9586" t="n">
        <v>0</v>
      </c>
      <c r="Q9586" t="n">
        <v>0</v>
      </c>
      <c r="R9586" s="2" t="inlineStr"/>
    </row>
    <row r="9587" ht="15" customHeight="1">
      <c r="A9587" t="inlineStr">
        <is>
          <t>A 62428-2025</t>
        </is>
      </c>
      <c r="B9587" s="1" t="n">
        <v>46007.45199074074</v>
      </c>
      <c r="C9587" s="1" t="n">
        <v>46093</v>
      </c>
      <c r="D9587" t="inlineStr">
        <is>
          <t>VÄSTERNORRLANDS LÄN</t>
        </is>
      </c>
      <c r="E9587" t="inlineStr">
        <is>
          <t>TIMRÅ</t>
        </is>
      </c>
      <c r="G9587" t="n">
        <v>0.7</v>
      </c>
      <c r="H9587" t="n">
        <v>0</v>
      </c>
      <c r="I9587" t="n">
        <v>0</v>
      </c>
      <c r="J9587" t="n">
        <v>0</v>
      </c>
      <c r="K9587" t="n">
        <v>0</v>
      </c>
      <c r="L9587" t="n">
        <v>0</v>
      </c>
      <c r="M9587" t="n">
        <v>0</v>
      </c>
      <c r="N9587" t="n">
        <v>0</v>
      </c>
      <c r="O9587" t="n">
        <v>0</v>
      </c>
      <c r="P9587" t="n">
        <v>0</v>
      </c>
      <c r="Q9587" t="n">
        <v>0</v>
      </c>
      <c r="R9587" s="2" t="inlineStr"/>
    </row>
    <row r="9588" ht="15" customHeight="1">
      <c r="A9588" t="inlineStr">
        <is>
          <t>A 62527-2025</t>
        </is>
      </c>
      <c r="B9588" s="1" t="n">
        <v>46007.63597222222</v>
      </c>
      <c r="C9588" s="1" t="n">
        <v>46093</v>
      </c>
      <c r="D9588" t="inlineStr">
        <is>
          <t>VÄSTERNORRLANDS LÄN</t>
        </is>
      </c>
      <c r="E9588" t="inlineStr">
        <is>
          <t>SUNDSVALL</t>
        </is>
      </c>
      <c r="G9588" t="n">
        <v>16.3</v>
      </c>
      <c r="H9588" t="n">
        <v>0</v>
      </c>
      <c r="I9588" t="n">
        <v>0</v>
      </c>
      <c r="J9588" t="n">
        <v>0</v>
      </c>
      <c r="K9588" t="n">
        <v>0</v>
      </c>
      <c r="L9588" t="n">
        <v>0</v>
      </c>
      <c r="M9588" t="n">
        <v>0</v>
      </c>
      <c r="N9588" t="n">
        <v>0</v>
      </c>
      <c r="O9588" t="n">
        <v>0</v>
      </c>
      <c r="P9588" t="n">
        <v>0</v>
      </c>
      <c r="Q9588" t="n">
        <v>0</v>
      </c>
      <c r="R9588" s="2" t="inlineStr"/>
    </row>
    <row r="9589" ht="15" customHeight="1">
      <c r="A9589" t="inlineStr">
        <is>
          <t>A 46032-2022</t>
        </is>
      </c>
      <c r="B9589" s="1" t="n">
        <v>44846</v>
      </c>
      <c r="C9589" s="1" t="n">
        <v>46093</v>
      </c>
      <c r="D9589" t="inlineStr">
        <is>
          <t>VÄSTERNORRLANDS LÄN</t>
        </is>
      </c>
      <c r="E9589" t="inlineStr">
        <is>
          <t>SOLLEFTEÅ</t>
        </is>
      </c>
      <c r="F9589" t="inlineStr">
        <is>
          <t>SCA</t>
        </is>
      </c>
      <c r="G9589" t="n">
        <v>5.9</v>
      </c>
      <c r="H9589" t="n">
        <v>0</v>
      </c>
      <c r="I9589" t="n">
        <v>0</v>
      </c>
      <c r="J9589" t="n">
        <v>0</v>
      </c>
      <c r="K9589" t="n">
        <v>0</v>
      </c>
      <c r="L9589" t="n">
        <v>0</v>
      </c>
      <c r="M9589" t="n">
        <v>0</v>
      </c>
      <c r="N9589" t="n">
        <v>0</v>
      </c>
      <c r="O9589" t="n">
        <v>0</v>
      </c>
      <c r="P9589" t="n">
        <v>0</v>
      </c>
      <c r="Q9589" t="n">
        <v>0</v>
      </c>
      <c r="R9589" s="2" t="inlineStr"/>
    </row>
    <row r="9590" ht="15" customHeight="1">
      <c r="A9590" t="inlineStr">
        <is>
          <t>A 62379-2025</t>
        </is>
      </c>
      <c r="B9590" s="1" t="n">
        <v>46007.36493055556</v>
      </c>
      <c r="C9590" s="1" t="n">
        <v>46093</v>
      </c>
      <c r="D9590" t="inlineStr">
        <is>
          <t>VÄSTERNORRLANDS LÄN</t>
        </is>
      </c>
      <c r="E9590" t="inlineStr">
        <is>
          <t>SUNDSVALL</t>
        </is>
      </c>
      <c r="G9590" t="n">
        <v>2.5</v>
      </c>
      <c r="H9590" t="n">
        <v>0</v>
      </c>
      <c r="I9590" t="n">
        <v>0</v>
      </c>
      <c r="J9590" t="n">
        <v>0</v>
      </c>
      <c r="K9590" t="n">
        <v>0</v>
      </c>
      <c r="L9590" t="n">
        <v>0</v>
      </c>
      <c r="M9590" t="n">
        <v>0</v>
      </c>
      <c r="N9590" t="n">
        <v>0</v>
      </c>
      <c r="O9590" t="n">
        <v>0</v>
      </c>
      <c r="P9590" t="n">
        <v>0</v>
      </c>
      <c r="Q9590" t="n">
        <v>0</v>
      </c>
      <c r="R9590" s="2" t="inlineStr"/>
    </row>
    <row r="9591" ht="15" customHeight="1">
      <c r="A9591" t="inlineStr">
        <is>
          <t>A 29946-2023</t>
        </is>
      </c>
      <c r="B9591" s="1" t="n">
        <v>45107.93818287037</v>
      </c>
      <c r="C9591" s="1" t="n">
        <v>46093</v>
      </c>
      <c r="D9591" t="inlineStr">
        <is>
          <t>VÄSTERNORRLANDS LÄN</t>
        </is>
      </c>
      <c r="E9591" t="inlineStr">
        <is>
          <t>SOLLEFTEÅ</t>
        </is>
      </c>
      <c r="F9591" t="inlineStr">
        <is>
          <t>SCA</t>
        </is>
      </c>
      <c r="G9591" t="n">
        <v>2.5</v>
      </c>
      <c r="H9591" t="n">
        <v>0</v>
      </c>
      <c r="I9591" t="n">
        <v>0</v>
      </c>
      <c r="J9591" t="n">
        <v>0</v>
      </c>
      <c r="K9591" t="n">
        <v>0</v>
      </c>
      <c r="L9591" t="n">
        <v>0</v>
      </c>
      <c r="M9591" t="n">
        <v>0</v>
      </c>
      <c r="N9591" t="n">
        <v>0</v>
      </c>
      <c r="O9591" t="n">
        <v>0</v>
      </c>
      <c r="P9591" t="n">
        <v>0</v>
      </c>
      <c r="Q9591" t="n">
        <v>0</v>
      </c>
      <c r="R9591" s="2" t="inlineStr"/>
    </row>
    <row r="9592" ht="15" customHeight="1">
      <c r="A9592" t="inlineStr">
        <is>
          <t>A 62637-2025</t>
        </is>
      </c>
      <c r="B9592" s="1" t="n">
        <v>46008.36550925926</v>
      </c>
      <c r="C9592" s="1" t="n">
        <v>46093</v>
      </c>
      <c r="D9592" t="inlineStr">
        <is>
          <t>VÄSTERNORRLANDS LÄN</t>
        </is>
      </c>
      <c r="E9592" t="inlineStr">
        <is>
          <t>SUNDSVALL</t>
        </is>
      </c>
      <c r="G9592" t="n">
        <v>0.8</v>
      </c>
      <c r="H9592" t="n">
        <v>0</v>
      </c>
      <c r="I9592" t="n">
        <v>0</v>
      </c>
      <c r="J9592" t="n">
        <v>0</v>
      </c>
      <c r="K9592" t="n">
        <v>0</v>
      </c>
      <c r="L9592" t="n">
        <v>0</v>
      </c>
      <c r="M9592" t="n">
        <v>0</v>
      </c>
      <c r="N9592" t="n">
        <v>0</v>
      </c>
      <c r="O9592" t="n">
        <v>0</v>
      </c>
      <c r="P9592" t="n">
        <v>0</v>
      </c>
      <c r="Q9592" t="n">
        <v>0</v>
      </c>
      <c r="R9592" s="2" t="inlineStr"/>
    </row>
    <row r="9593" ht="15" customHeight="1">
      <c r="A9593" t="inlineStr">
        <is>
          <t>A 32791-2023</t>
        </is>
      </c>
      <c r="B9593" s="1" t="n">
        <v>45124</v>
      </c>
      <c r="C9593" s="1" t="n">
        <v>46093</v>
      </c>
      <c r="D9593" t="inlineStr">
        <is>
          <t>VÄSTERNORRLANDS LÄN</t>
        </is>
      </c>
      <c r="E9593" t="inlineStr">
        <is>
          <t>KRAMFORS</t>
        </is>
      </c>
      <c r="G9593" t="n">
        <v>0.7</v>
      </c>
      <c r="H9593" t="n">
        <v>0</v>
      </c>
      <c r="I9593" t="n">
        <v>0</v>
      </c>
      <c r="J9593" t="n">
        <v>0</v>
      </c>
      <c r="K9593" t="n">
        <v>0</v>
      </c>
      <c r="L9593" t="n">
        <v>0</v>
      </c>
      <c r="M9593" t="n">
        <v>0</v>
      </c>
      <c r="N9593" t="n">
        <v>0</v>
      </c>
      <c r="O9593" t="n">
        <v>0</v>
      </c>
      <c r="P9593" t="n">
        <v>0</v>
      </c>
      <c r="Q9593" t="n">
        <v>0</v>
      </c>
      <c r="R9593" s="2" t="inlineStr"/>
    </row>
    <row r="9594" ht="15" customHeight="1">
      <c r="A9594" t="inlineStr">
        <is>
          <t>A 63610-2025</t>
        </is>
      </c>
      <c r="B9594" s="1" t="n">
        <v>46014</v>
      </c>
      <c r="C9594" s="1" t="n">
        <v>46093</v>
      </c>
      <c r="D9594" t="inlineStr">
        <is>
          <t>VÄSTERNORRLANDS LÄN</t>
        </is>
      </c>
      <c r="E9594" t="inlineStr">
        <is>
          <t>TIMRÅ</t>
        </is>
      </c>
      <c r="F9594" t="inlineStr">
        <is>
          <t>SCA</t>
        </is>
      </c>
      <c r="G9594" t="n">
        <v>2.4</v>
      </c>
      <c r="H9594" t="n">
        <v>0</v>
      </c>
      <c r="I9594" t="n">
        <v>0</v>
      </c>
      <c r="J9594" t="n">
        <v>0</v>
      </c>
      <c r="K9594" t="n">
        <v>0</v>
      </c>
      <c r="L9594" t="n">
        <v>0</v>
      </c>
      <c r="M9594" t="n">
        <v>0</v>
      </c>
      <c r="N9594" t="n">
        <v>0</v>
      </c>
      <c r="O9594" t="n">
        <v>0</v>
      </c>
      <c r="P9594" t="n">
        <v>0</v>
      </c>
      <c r="Q9594" t="n">
        <v>0</v>
      </c>
      <c r="R9594" s="2" t="inlineStr"/>
    </row>
    <row r="9595" ht="15" customHeight="1">
      <c r="A9595" t="inlineStr">
        <is>
          <t>A 62502-2025</t>
        </is>
      </c>
      <c r="B9595" s="1" t="n">
        <v>46007</v>
      </c>
      <c r="C9595" s="1" t="n">
        <v>46093</v>
      </c>
      <c r="D9595" t="inlineStr">
        <is>
          <t>VÄSTERNORRLANDS LÄN</t>
        </is>
      </c>
      <c r="E9595" t="inlineStr">
        <is>
          <t>KRAMFORS</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11529-2023</t>
        </is>
      </c>
      <c r="B9596" s="1" t="n">
        <v>44993</v>
      </c>
      <c r="C9596" s="1" t="n">
        <v>46093</v>
      </c>
      <c r="D9596" t="inlineStr">
        <is>
          <t>VÄSTERNORRLANDS LÄN</t>
        </is>
      </c>
      <c r="E9596" t="inlineStr">
        <is>
          <t>ÅNGE</t>
        </is>
      </c>
      <c r="G9596" t="n">
        <v>8.9</v>
      </c>
      <c r="H9596" t="n">
        <v>0</v>
      </c>
      <c r="I9596" t="n">
        <v>0</v>
      </c>
      <c r="J9596" t="n">
        <v>0</v>
      </c>
      <c r="K9596" t="n">
        <v>0</v>
      </c>
      <c r="L9596" t="n">
        <v>0</v>
      </c>
      <c r="M9596" t="n">
        <v>0</v>
      </c>
      <c r="N9596" t="n">
        <v>0</v>
      </c>
      <c r="O9596" t="n">
        <v>0</v>
      </c>
      <c r="P9596" t="n">
        <v>0</v>
      </c>
      <c r="Q9596" t="n">
        <v>0</v>
      </c>
      <c r="R9596" s="2" t="inlineStr"/>
    </row>
    <row r="9597" ht="15" customHeight="1">
      <c r="A9597" t="inlineStr">
        <is>
          <t>A 38749-2024</t>
        </is>
      </c>
      <c r="B9597" s="1" t="n">
        <v>45547</v>
      </c>
      <c r="C9597" s="1" t="n">
        <v>46093</v>
      </c>
      <c r="D9597" t="inlineStr">
        <is>
          <t>VÄSTERNORRLANDS LÄN</t>
        </is>
      </c>
      <c r="E9597" t="inlineStr">
        <is>
          <t>SOLLEFTEÅ</t>
        </is>
      </c>
      <c r="F9597" t="inlineStr">
        <is>
          <t>SCA</t>
        </is>
      </c>
      <c r="G9597" t="n">
        <v>3.4</v>
      </c>
      <c r="H9597" t="n">
        <v>0</v>
      </c>
      <c r="I9597" t="n">
        <v>0</v>
      </c>
      <c r="J9597" t="n">
        <v>0</v>
      </c>
      <c r="K9597" t="n">
        <v>0</v>
      </c>
      <c r="L9597" t="n">
        <v>0</v>
      </c>
      <c r="M9597" t="n">
        <v>0</v>
      </c>
      <c r="N9597" t="n">
        <v>0</v>
      </c>
      <c r="O9597" t="n">
        <v>0</v>
      </c>
      <c r="P9597" t="n">
        <v>0</v>
      </c>
      <c r="Q9597" t="n">
        <v>0</v>
      </c>
      <c r="R9597" s="2" t="inlineStr"/>
    </row>
    <row r="9598" ht="15" customHeight="1">
      <c r="A9598" t="inlineStr">
        <is>
          <t>A 49253-2024</t>
        </is>
      </c>
      <c r="B9598" s="1" t="n">
        <v>45595</v>
      </c>
      <c r="C9598" s="1" t="n">
        <v>46093</v>
      </c>
      <c r="D9598" t="inlineStr">
        <is>
          <t>VÄSTERNORRLANDS LÄN</t>
        </is>
      </c>
      <c r="E9598" t="inlineStr">
        <is>
          <t>SOLLEFTEÅ</t>
        </is>
      </c>
      <c r="G9598" t="n">
        <v>5.2</v>
      </c>
      <c r="H9598" t="n">
        <v>0</v>
      </c>
      <c r="I9598" t="n">
        <v>0</v>
      </c>
      <c r="J9598" t="n">
        <v>0</v>
      </c>
      <c r="K9598" t="n">
        <v>0</v>
      </c>
      <c r="L9598" t="n">
        <v>0</v>
      </c>
      <c r="M9598" t="n">
        <v>0</v>
      </c>
      <c r="N9598" t="n">
        <v>0</v>
      </c>
      <c r="O9598" t="n">
        <v>0</v>
      </c>
      <c r="P9598" t="n">
        <v>0</v>
      </c>
      <c r="Q9598" t="n">
        <v>0</v>
      </c>
      <c r="R9598" s="2" t="inlineStr"/>
    </row>
    <row r="9599" ht="15" customHeight="1">
      <c r="A9599" t="inlineStr">
        <is>
          <t>A 52196-2024</t>
        </is>
      </c>
      <c r="B9599" s="1" t="n">
        <v>45607</v>
      </c>
      <c r="C9599" s="1" t="n">
        <v>46093</v>
      </c>
      <c r="D9599" t="inlineStr">
        <is>
          <t>VÄSTERNORRLANDS LÄN</t>
        </is>
      </c>
      <c r="E9599" t="inlineStr">
        <is>
          <t>SUNDSVALL</t>
        </is>
      </c>
      <c r="G9599" t="n">
        <v>0.5</v>
      </c>
      <c r="H9599" t="n">
        <v>0</v>
      </c>
      <c r="I9599" t="n">
        <v>0</v>
      </c>
      <c r="J9599" t="n">
        <v>0</v>
      </c>
      <c r="K9599" t="n">
        <v>0</v>
      </c>
      <c r="L9599" t="n">
        <v>0</v>
      </c>
      <c r="M9599" t="n">
        <v>0</v>
      </c>
      <c r="N9599" t="n">
        <v>0</v>
      </c>
      <c r="O9599" t="n">
        <v>0</v>
      </c>
      <c r="P9599" t="n">
        <v>0</v>
      </c>
      <c r="Q9599" t="n">
        <v>0</v>
      </c>
      <c r="R9599" s="2" t="inlineStr"/>
    </row>
    <row r="9600" ht="15" customHeight="1">
      <c r="A9600" t="inlineStr">
        <is>
          <t>A 62381-2025</t>
        </is>
      </c>
      <c r="B9600" s="1" t="n">
        <v>46007.36673611111</v>
      </c>
      <c r="C9600" s="1" t="n">
        <v>46093</v>
      </c>
      <c r="D9600" t="inlineStr">
        <is>
          <t>VÄSTERNORRLANDS LÄN</t>
        </is>
      </c>
      <c r="E9600" t="inlineStr">
        <is>
          <t>KRAMFORS</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13335-2023</t>
        </is>
      </c>
      <c r="B9601" s="1" t="n">
        <v>45005.4337037037</v>
      </c>
      <c r="C9601" s="1" t="n">
        <v>46093</v>
      </c>
      <c r="D9601" t="inlineStr">
        <is>
          <t>VÄSTERNORRLANDS LÄN</t>
        </is>
      </c>
      <c r="E9601" t="inlineStr">
        <is>
          <t>SUNDSVALL</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23840-2023</t>
        </is>
      </c>
      <c r="B9602" s="1" t="n">
        <v>45078</v>
      </c>
      <c r="C9602" s="1" t="n">
        <v>46093</v>
      </c>
      <c r="D9602" t="inlineStr">
        <is>
          <t>VÄSTERNORRLANDS LÄN</t>
        </is>
      </c>
      <c r="E9602" t="inlineStr">
        <is>
          <t>ÖRNSKÖLDSVIK</t>
        </is>
      </c>
      <c r="F9602" t="inlineStr">
        <is>
          <t>Holmen skog AB</t>
        </is>
      </c>
      <c r="G9602" t="n">
        <v>6.5</v>
      </c>
      <c r="H9602" t="n">
        <v>0</v>
      </c>
      <c r="I9602" t="n">
        <v>0</v>
      </c>
      <c r="J9602" t="n">
        <v>0</v>
      </c>
      <c r="K9602" t="n">
        <v>0</v>
      </c>
      <c r="L9602" t="n">
        <v>0</v>
      </c>
      <c r="M9602" t="n">
        <v>0</v>
      </c>
      <c r="N9602" t="n">
        <v>0</v>
      </c>
      <c r="O9602" t="n">
        <v>0</v>
      </c>
      <c r="P9602" t="n">
        <v>0</v>
      </c>
      <c r="Q9602" t="n">
        <v>0</v>
      </c>
      <c r="R9602" s="2" t="inlineStr"/>
    </row>
    <row r="9603" ht="15" customHeight="1">
      <c r="A9603" t="inlineStr">
        <is>
          <t>A 62847-2025</t>
        </is>
      </c>
      <c r="B9603" s="1" t="n">
        <v>46008.69819444444</v>
      </c>
      <c r="C9603" s="1" t="n">
        <v>46093</v>
      </c>
      <c r="D9603" t="inlineStr">
        <is>
          <t>VÄSTERNORRLANDS LÄN</t>
        </is>
      </c>
      <c r="E9603" t="inlineStr">
        <is>
          <t>SOLLEFTEÅ</t>
        </is>
      </c>
      <c r="G9603" t="n">
        <v>0.6</v>
      </c>
      <c r="H9603" t="n">
        <v>0</v>
      </c>
      <c r="I9603" t="n">
        <v>0</v>
      </c>
      <c r="J9603" t="n">
        <v>0</v>
      </c>
      <c r="K9603" t="n">
        <v>0</v>
      </c>
      <c r="L9603" t="n">
        <v>0</v>
      </c>
      <c r="M9603" t="n">
        <v>0</v>
      </c>
      <c r="N9603" t="n">
        <v>0</v>
      </c>
      <c r="O9603" t="n">
        <v>0</v>
      </c>
      <c r="P9603" t="n">
        <v>0</v>
      </c>
      <c r="Q9603" t="n">
        <v>0</v>
      </c>
      <c r="R9603" s="2" t="inlineStr"/>
    </row>
    <row r="9604" ht="15" customHeight="1">
      <c r="A9604" t="inlineStr">
        <is>
          <t>A 62866-2025</t>
        </is>
      </c>
      <c r="B9604" s="1" t="n">
        <v>46008</v>
      </c>
      <c r="C9604" s="1" t="n">
        <v>46093</v>
      </c>
      <c r="D9604" t="inlineStr">
        <is>
          <t>VÄSTERNORRLANDS LÄN</t>
        </is>
      </c>
      <c r="E9604" t="inlineStr">
        <is>
          <t>ÖRNSKÖLDSVIK</t>
        </is>
      </c>
      <c r="G9604" t="n">
        <v>3.2</v>
      </c>
      <c r="H9604" t="n">
        <v>0</v>
      </c>
      <c r="I9604" t="n">
        <v>0</v>
      </c>
      <c r="J9604" t="n">
        <v>0</v>
      </c>
      <c r="K9604" t="n">
        <v>0</v>
      </c>
      <c r="L9604" t="n">
        <v>0</v>
      </c>
      <c r="M9604" t="n">
        <v>0</v>
      </c>
      <c r="N9604" t="n">
        <v>0</v>
      </c>
      <c r="O9604" t="n">
        <v>0</v>
      </c>
      <c r="P9604" t="n">
        <v>0</v>
      </c>
      <c r="Q9604" t="n">
        <v>0</v>
      </c>
      <c r="R9604" s="2" t="inlineStr"/>
    </row>
    <row r="9605" ht="15" customHeight="1">
      <c r="A9605" t="inlineStr">
        <is>
          <t>A 62822-2025</t>
        </is>
      </c>
      <c r="B9605" s="1" t="n">
        <v>46008.65664351852</v>
      </c>
      <c r="C9605" s="1" t="n">
        <v>46093</v>
      </c>
      <c r="D9605" t="inlineStr">
        <is>
          <t>VÄSTERNORRLANDS LÄN</t>
        </is>
      </c>
      <c r="E9605" t="inlineStr">
        <is>
          <t>KRAMFORS</t>
        </is>
      </c>
      <c r="G9605" t="n">
        <v>3.2</v>
      </c>
      <c r="H9605" t="n">
        <v>0</v>
      </c>
      <c r="I9605" t="n">
        <v>0</v>
      </c>
      <c r="J9605" t="n">
        <v>0</v>
      </c>
      <c r="K9605" t="n">
        <v>0</v>
      </c>
      <c r="L9605" t="n">
        <v>0</v>
      </c>
      <c r="M9605" t="n">
        <v>0</v>
      </c>
      <c r="N9605" t="n">
        <v>0</v>
      </c>
      <c r="O9605" t="n">
        <v>0</v>
      </c>
      <c r="P9605" t="n">
        <v>0</v>
      </c>
      <c r="Q9605" t="n">
        <v>0</v>
      </c>
      <c r="R9605" s="2" t="inlineStr"/>
    </row>
    <row r="9606" ht="15" customHeight="1">
      <c r="A9606" t="inlineStr">
        <is>
          <t>A 62823-2025</t>
        </is>
      </c>
      <c r="B9606" s="1" t="n">
        <v>46008.65671296296</v>
      </c>
      <c r="C9606" s="1" t="n">
        <v>46093</v>
      </c>
      <c r="D9606" t="inlineStr">
        <is>
          <t>VÄSTERNORRLANDS LÄN</t>
        </is>
      </c>
      <c r="E9606" t="inlineStr">
        <is>
          <t>KRAMFORS</t>
        </is>
      </c>
      <c r="G9606" t="n">
        <v>1.6</v>
      </c>
      <c r="H9606" t="n">
        <v>0</v>
      </c>
      <c r="I9606" t="n">
        <v>0</v>
      </c>
      <c r="J9606" t="n">
        <v>0</v>
      </c>
      <c r="K9606" t="n">
        <v>0</v>
      </c>
      <c r="L9606" t="n">
        <v>0</v>
      </c>
      <c r="M9606" t="n">
        <v>0</v>
      </c>
      <c r="N9606" t="n">
        <v>0</v>
      </c>
      <c r="O9606" t="n">
        <v>0</v>
      </c>
      <c r="P9606" t="n">
        <v>0</v>
      </c>
      <c r="Q9606" t="n">
        <v>0</v>
      </c>
      <c r="R9606" s="2" t="inlineStr"/>
    </row>
    <row r="9607" ht="15" customHeight="1">
      <c r="A9607" t="inlineStr">
        <is>
          <t>A 39429-2024</t>
        </is>
      </c>
      <c r="B9607" s="1" t="n">
        <v>45551.59427083333</v>
      </c>
      <c r="C9607" s="1" t="n">
        <v>46093</v>
      </c>
      <c r="D9607" t="inlineStr">
        <is>
          <t>VÄSTERNORRLANDS LÄN</t>
        </is>
      </c>
      <c r="E9607" t="inlineStr">
        <is>
          <t>SOLLEFTEÅ</t>
        </is>
      </c>
      <c r="F9607" t="inlineStr">
        <is>
          <t>SCA</t>
        </is>
      </c>
      <c r="G9607" t="n">
        <v>2.1</v>
      </c>
      <c r="H9607" t="n">
        <v>0</v>
      </c>
      <c r="I9607" t="n">
        <v>0</v>
      </c>
      <c r="J9607" t="n">
        <v>0</v>
      </c>
      <c r="K9607" t="n">
        <v>0</v>
      </c>
      <c r="L9607" t="n">
        <v>0</v>
      </c>
      <c r="M9607" t="n">
        <v>0</v>
      </c>
      <c r="N9607" t="n">
        <v>0</v>
      </c>
      <c r="O9607" t="n">
        <v>0</v>
      </c>
      <c r="P9607" t="n">
        <v>0</v>
      </c>
      <c r="Q9607" t="n">
        <v>0</v>
      </c>
      <c r="R9607" s="2" t="inlineStr"/>
    </row>
    <row r="9608" ht="15" customHeight="1">
      <c r="A9608" t="inlineStr">
        <is>
          <t>A 69593-2021</t>
        </is>
      </c>
      <c r="B9608" s="1" t="n">
        <v>44532.37070601852</v>
      </c>
      <c r="C9608" s="1" t="n">
        <v>46093</v>
      </c>
      <c r="D9608" t="inlineStr">
        <is>
          <t>VÄSTERNORRLANDS LÄN</t>
        </is>
      </c>
      <c r="E9608" t="inlineStr">
        <is>
          <t>ÖRNSKÖLDSVIK</t>
        </is>
      </c>
      <c r="G9608" t="n">
        <v>4</v>
      </c>
      <c r="H9608" t="n">
        <v>0</v>
      </c>
      <c r="I9608" t="n">
        <v>0</v>
      </c>
      <c r="J9608" t="n">
        <v>0</v>
      </c>
      <c r="K9608" t="n">
        <v>0</v>
      </c>
      <c r="L9608" t="n">
        <v>0</v>
      </c>
      <c r="M9608" t="n">
        <v>0</v>
      </c>
      <c r="N9608" t="n">
        <v>0</v>
      </c>
      <c r="O9608" t="n">
        <v>0</v>
      </c>
      <c r="P9608" t="n">
        <v>0</v>
      </c>
      <c r="Q9608" t="n">
        <v>0</v>
      </c>
      <c r="R9608" s="2" t="inlineStr"/>
    </row>
    <row r="9609" ht="15" customHeight="1">
      <c r="A9609" t="inlineStr">
        <is>
          <t>A 31182-2024</t>
        </is>
      </c>
      <c r="B9609" s="1" t="n">
        <v>45503</v>
      </c>
      <c r="C9609" s="1" t="n">
        <v>46093</v>
      </c>
      <c r="D9609" t="inlineStr">
        <is>
          <t>VÄSTERNORRLANDS LÄN</t>
        </is>
      </c>
      <c r="E9609" t="inlineStr">
        <is>
          <t>ÅNGE</t>
        </is>
      </c>
      <c r="G9609" t="n">
        <v>8.6</v>
      </c>
      <c r="H9609" t="n">
        <v>0</v>
      </c>
      <c r="I9609" t="n">
        <v>0</v>
      </c>
      <c r="J9609" t="n">
        <v>0</v>
      </c>
      <c r="K9609" t="n">
        <v>0</v>
      </c>
      <c r="L9609" t="n">
        <v>0</v>
      </c>
      <c r="M9609" t="n">
        <v>0</v>
      </c>
      <c r="N9609" t="n">
        <v>0</v>
      </c>
      <c r="O9609" t="n">
        <v>0</v>
      </c>
      <c r="P9609" t="n">
        <v>0</v>
      </c>
      <c r="Q9609" t="n">
        <v>0</v>
      </c>
      <c r="R9609" s="2" t="inlineStr"/>
    </row>
    <row r="9610" ht="15" customHeight="1">
      <c r="A9610" t="inlineStr">
        <is>
          <t>A 62711-2025</t>
        </is>
      </c>
      <c r="B9610" s="1" t="n">
        <v>46008.51105324074</v>
      </c>
      <c r="C9610" s="1" t="n">
        <v>46093</v>
      </c>
      <c r="D9610" t="inlineStr">
        <is>
          <t>VÄSTERNORRLANDS LÄN</t>
        </is>
      </c>
      <c r="E9610" t="inlineStr">
        <is>
          <t>KRAMFORS</t>
        </is>
      </c>
      <c r="G9610" t="n">
        <v>0.8</v>
      </c>
      <c r="H9610" t="n">
        <v>0</v>
      </c>
      <c r="I9610" t="n">
        <v>0</v>
      </c>
      <c r="J9610" t="n">
        <v>0</v>
      </c>
      <c r="K9610" t="n">
        <v>0</v>
      </c>
      <c r="L9610" t="n">
        <v>0</v>
      </c>
      <c r="M9610" t="n">
        <v>0</v>
      </c>
      <c r="N9610" t="n">
        <v>0</v>
      </c>
      <c r="O9610" t="n">
        <v>0</v>
      </c>
      <c r="P9610" t="n">
        <v>0</v>
      </c>
      <c r="Q9610" t="n">
        <v>0</v>
      </c>
      <c r="R9610" s="2" t="inlineStr"/>
    </row>
    <row r="9611" ht="15" customHeight="1">
      <c r="A9611" t="inlineStr">
        <is>
          <t>A 52658-2024</t>
        </is>
      </c>
      <c r="B9611" s="1" t="n">
        <v>45610.35798611111</v>
      </c>
      <c r="C9611" s="1" t="n">
        <v>46093</v>
      </c>
      <c r="D9611" t="inlineStr">
        <is>
          <t>VÄSTERNORRLANDS LÄN</t>
        </is>
      </c>
      <c r="E9611" t="inlineStr">
        <is>
          <t>ÖRNSKÖLDSVIK</t>
        </is>
      </c>
      <c r="F9611" t="inlineStr">
        <is>
          <t>Holmen skog AB</t>
        </is>
      </c>
      <c r="G9611" t="n">
        <v>4.4</v>
      </c>
      <c r="H9611" t="n">
        <v>0</v>
      </c>
      <c r="I9611" t="n">
        <v>0</v>
      </c>
      <c r="J9611" t="n">
        <v>0</v>
      </c>
      <c r="K9611" t="n">
        <v>0</v>
      </c>
      <c r="L9611" t="n">
        <v>0</v>
      </c>
      <c r="M9611" t="n">
        <v>0</v>
      </c>
      <c r="N9611" t="n">
        <v>0</v>
      </c>
      <c r="O9611" t="n">
        <v>0</v>
      </c>
      <c r="P9611" t="n">
        <v>0</v>
      </c>
      <c r="Q9611" t="n">
        <v>0</v>
      </c>
      <c r="R9611" s="2" t="inlineStr"/>
    </row>
    <row r="9612" ht="15" customHeight="1">
      <c r="A9612" t="inlineStr">
        <is>
          <t>A 34200-2024</t>
        </is>
      </c>
      <c r="B9612" s="1" t="n">
        <v>45524.4669212963</v>
      </c>
      <c r="C9612" s="1" t="n">
        <v>46093</v>
      </c>
      <c r="D9612" t="inlineStr">
        <is>
          <t>VÄSTERNORRLANDS LÄN</t>
        </is>
      </c>
      <c r="E9612" t="inlineStr">
        <is>
          <t>KRAMFORS</t>
        </is>
      </c>
      <c r="G9612" t="n">
        <v>3.9</v>
      </c>
      <c r="H9612" t="n">
        <v>0</v>
      </c>
      <c r="I9612" t="n">
        <v>0</v>
      </c>
      <c r="J9612" t="n">
        <v>0</v>
      </c>
      <c r="K9612" t="n">
        <v>0</v>
      </c>
      <c r="L9612" t="n">
        <v>0</v>
      </c>
      <c r="M9612" t="n">
        <v>0</v>
      </c>
      <c r="N9612" t="n">
        <v>0</v>
      </c>
      <c r="O9612" t="n">
        <v>0</v>
      </c>
      <c r="P9612" t="n">
        <v>0</v>
      </c>
      <c r="Q9612" t="n">
        <v>0</v>
      </c>
      <c r="R9612" s="2" t="inlineStr"/>
    </row>
    <row r="9613" ht="15" customHeight="1">
      <c r="A9613" t="inlineStr">
        <is>
          <t>A 28355-2023</t>
        </is>
      </c>
      <c r="B9613" s="1" t="n">
        <v>45099</v>
      </c>
      <c r="C9613" s="1" t="n">
        <v>46093</v>
      </c>
      <c r="D9613" t="inlineStr">
        <is>
          <t>VÄSTERNORRLANDS LÄN</t>
        </is>
      </c>
      <c r="E9613" t="inlineStr">
        <is>
          <t>KRAMFORS</t>
        </is>
      </c>
      <c r="G9613" t="n">
        <v>2</v>
      </c>
      <c r="H9613" t="n">
        <v>0</v>
      </c>
      <c r="I9613" t="n">
        <v>0</v>
      </c>
      <c r="J9613" t="n">
        <v>0</v>
      </c>
      <c r="K9613" t="n">
        <v>0</v>
      </c>
      <c r="L9613" t="n">
        <v>0</v>
      </c>
      <c r="M9613" t="n">
        <v>0</v>
      </c>
      <c r="N9613" t="n">
        <v>0</v>
      </c>
      <c r="O9613" t="n">
        <v>0</v>
      </c>
      <c r="P9613" t="n">
        <v>0</v>
      </c>
      <c r="Q9613" t="n">
        <v>0</v>
      </c>
      <c r="R9613" s="2" t="inlineStr"/>
    </row>
    <row r="9614" ht="15" customHeight="1">
      <c r="A9614" t="inlineStr">
        <is>
          <t>A 18352-2023</t>
        </is>
      </c>
      <c r="B9614" s="1" t="n">
        <v>45040</v>
      </c>
      <c r="C9614" s="1" t="n">
        <v>46093</v>
      </c>
      <c r="D9614" t="inlineStr">
        <is>
          <t>VÄSTERNORRLANDS LÄN</t>
        </is>
      </c>
      <c r="E9614" t="inlineStr">
        <is>
          <t>SUNDSVALL</t>
        </is>
      </c>
      <c r="G9614" t="n">
        <v>2.5</v>
      </c>
      <c r="H9614" t="n">
        <v>0</v>
      </c>
      <c r="I9614" t="n">
        <v>0</v>
      </c>
      <c r="J9614" t="n">
        <v>0</v>
      </c>
      <c r="K9614" t="n">
        <v>0</v>
      </c>
      <c r="L9614" t="n">
        <v>0</v>
      </c>
      <c r="M9614" t="n">
        <v>0</v>
      </c>
      <c r="N9614" t="n">
        <v>0</v>
      </c>
      <c r="O9614" t="n">
        <v>0</v>
      </c>
      <c r="P9614" t="n">
        <v>0</v>
      </c>
      <c r="Q9614" t="n">
        <v>0</v>
      </c>
      <c r="R9614" s="2" t="inlineStr"/>
    </row>
    <row r="9615" ht="15" customHeight="1">
      <c r="A9615" t="inlineStr">
        <is>
          <t>A 62651-2025</t>
        </is>
      </c>
      <c r="B9615" s="1" t="n">
        <v>46008</v>
      </c>
      <c r="C9615" s="1" t="n">
        <v>46093</v>
      </c>
      <c r="D9615" t="inlineStr">
        <is>
          <t>VÄSTERNORRLANDS LÄN</t>
        </is>
      </c>
      <c r="E9615" t="inlineStr">
        <is>
          <t>ÖRNSKÖLDSVIK</t>
        </is>
      </c>
      <c r="G9615" t="n">
        <v>31.8</v>
      </c>
      <c r="H9615" t="n">
        <v>0</v>
      </c>
      <c r="I9615" t="n">
        <v>0</v>
      </c>
      <c r="J9615" t="n">
        <v>0</v>
      </c>
      <c r="K9615" t="n">
        <v>0</v>
      </c>
      <c r="L9615" t="n">
        <v>0</v>
      </c>
      <c r="M9615" t="n">
        <v>0</v>
      </c>
      <c r="N9615" t="n">
        <v>0</v>
      </c>
      <c r="O9615" t="n">
        <v>0</v>
      </c>
      <c r="P9615" t="n">
        <v>0</v>
      </c>
      <c r="Q9615" t="n">
        <v>0</v>
      </c>
      <c r="R9615" s="2" t="inlineStr"/>
    </row>
    <row r="9616" ht="15" customHeight="1">
      <c r="A9616" t="inlineStr">
        <is>
          <t>A 54538-2022</t>
        </is>
      </c>
      <c r="B9616" s="1" t="n">
        <v>44882.77261574074</v>
      </c>
      <c r="C9616" s="1" t="n">
        <v>46093</v>
      </c>
      <c r="D9616" t="inlineStr">
        <is>
          <t>VÄSTERNORRLANDS LÄN</t>
        </is>
      </c>
      <c r="E9616" t="inlineStr">
        <is>
          <t>SOLLEFTEÅ</t>
        </is>
      </c>
      <c r="G9616" t="n">
        <v>3.8</v>
      </c>
      <c r="H9616" t="n">
        <v>0</v>
      </c>
      <c r="I9616" t="n">
        <v>0</v>
      </c>
      <c r="J9616" t="n">
        <v>0</v>
      </c>
      <c r="K9616" t="n">
        <v>0</v>
      </c>
      <c r="L9616" t="n">
        <v>0</v>
      </c>
      <c r="M9616" t="n">
        <v>0</v>
      </c>
      <c r="N9616" t="n">
        <v>0</v>
      </c>
      <c r="O9616" t="n">
        <v>0</v>
      </c>
      <c r="P9616" t="n">
        <v>0</v>
      </c>
      <c r="Q9616" t="n">
        <v>0</v>
      </c>
      <c r="R9616" s="2" t="inlineStr"/>
    </row>
    <row r="9617" ht="15" customHeight="1">
      <c r="A9617" t="inlineStr">
        <is>
          <t>A 60861-2023</t>
        </is>
      </c>
      <c r="B9617" s="1" t="n">
        <v>45260</v>
      </c>
      <c r="C9617" s="1" t="n">
        <v>46093</v>
      </c>
      <c r="D9617" t="inlineStr">
        <is>
          <t>VÄSTERNORRLANDS LÄN</t>
        </is>
      </c>
      <c r="E9617" t="inlineStr">
        <is>
          <t>SOLLEFTEÅ</t>
        </is>
      </c>
      <c r="F9617" t="inlineStr">
        <is>
          <t>SCA</t>
        </is>
      </c>
      <c r="G9617" t="n">
        <v>7.3</v>
      </c>
      <c r="H9617" t="n">
        <v>0</v>
      </c>
      <c r="I9617" t="n">
        <v>0</v>
      </c>
      <c r="J9617" t="n">
        <v>0</v>
      </c>
      <c r="K9617" t="n">
        <v>0</v>
      </c>
      <c r="L9617" t="n">
        <v>0</v>
      </c>
      <c r="M9617" t="n">
        <v>0</v>
      </c>
      <c r="N9617" t="n">
        <v>0</v>
      </c>
      <c r="O9617" t="n">
        <v>0</v>
      </c>
      <c r="P9617" t="n">
        <v>0</v>
      </c>
      <c r="Q9617" t="n">
        <v>0</v>
      </c>
      <c r="R9617" s="2" t="inlineStr"/>
    </row>
    <row r="9618" ht="15" customHeight="1">
      <c r="A9618" t="inlineStr">
        <is>
          <t>A 62982-2025</t>
        </is>
      </c>
      <c r="B9618" s="1" t="n">
        <v>46009.49017361111</v>
      </c>
      <c r="C9618" s="1" t="n">
        <v>46093</v>
      </c>
      <c r="D9618" t="inlineStr">
        <is>
          <t>VÄSTERNORRLANDS LÄN</t>
        </is>
      </c>
      <c r="E9618" t="inlineStr">
        <is>
          <t>SOLLEFTEÅ</t>
        </is>
      </c>
      <c r="G9618" t="n">
        <v>5.2</v>
      </c>
      <c r="H9618" t="n">
        <v>0</v>
      </c>
      <c r="I9618" t="n">
        <v>0</v>
      </c>
      <c r="J9618" t="n">
        <v>0</v>
      </c>
      <c r="K9618" t="n">
        <v>0</v>
      </c>
      <c r="L9618" t="n">
        <v>0</v>
      </c>
      <c r="M9618" t="n">
        <v>0</v>
      </c>
      <c r="N9618" t="n">
        <v>0</v>
      </c>
      <c r="O9618" t="n">
        <v>0</v>
      </c>
      <c r="P9618" t="n">
        <v>0</v>
      </c>
      <c r="Q9618" t="n">
        <v>0</v>
      </c>
      <c r="R9618" s="2" t="inlineStr"/>
    </row>
    <row r="9619" ht="15" customHeight="1">
      <c r="A9619" t="inlineStr">
        <is>
          <t>A 54547-2024</t>
        </is>
      </c>
      <c r="B9619" s="1" t="n">
        <v>45617.61572916667</v>
      </c>
      <c r="C9619" s="1" t="n">
        <v>46093</v>
      </c>
      <c r="D9619" t="inlineStr">
        <is>
          <t>VÄSTERNORRLANDS LÄN</t>
        </is>
      </c>
      <c r="E9619" t="inlineStr">
        <is>
          <t>TIMRÅ</t>
        </is>
      </c>
      <c r="F9619" t="inlineStr">
        <is>
          <t>SCA</t>
        </is>
      </c>
      <c r="G9619" t="n">
        <v>1.5</v>
      </c>
      <c r="H9619" t="n">
        <v>0</v>
      </c>
      <c r="I9619" t="n">
        <v>0</v>
      </c>
      <c r="J9619" t="n">
        <v>0</v>
      </c>
      <c r="K9619" t="n">
        <v>0</v>
      </c>
      <c r="L9619" t="n">
        <v>0</v>
      </c>
      <c r="M9619" t="n">
        <v>0</v>
      </c>
      <c r="N9619" t="n">
        <v>0</v>
      </c>
      <c r="O9619" t="n">
        <v>0</v>
      </c>
      <c r="P9619" t="n">
        <v>0</v>
      </c>
      <c r="Q9619" t="n">
        <v>0</v>
      </c>
      <c r="R9619" s="2" t="inlineStr"/>
    </row>
    <row r="9620" ht="15" customHeight="1">
      <c r="A9620" t="inlineStr">
        <is>
          <t>A 63091-2025</t>
        </is>
      </c>
      <c r="B9620" s="1" t="n">
        <v>46009.67791666667</v>
      </c>
      <c r="C9620" s="1" t="n">
        <v>46093</v>
      </c>
      <c r="D9620" t="inlineStr">
        <is>
          <t>VÄSTERNORRLANDS LÄN</t>
        </is>
      </c>
      <c r="E9620" t="inlineStr">
        <is>
          <t>KRAMFORS</t>
        </is>
      </c>
      <c r="G9620" t="n">
        <v>0.4</v>
      </c>
      <c r="H9620" t="n">
        <v>0</v>
      </c>
      <c r="I9620" t="n">
        <v>0</v>
      </c>
      <c r="J9620" t="n">
        <v>0</v>
      </c>
      <c r="K9620" t="n">
        <v>0</v>
      </c>
      <c r="L9620" t="n">
        <v>0</v>
      </c>
      <c r="M9620" t="n">
        <v>0</v>
      </c>
      <c r="N9620" t="n">
        <v>0</v>
      </c>
      <c r="O9620" t="n">
        <v>0</v>
      </c>
      <c r="P9620" t="n">
        <v>0</v>
      </c>
      <c r="Q9620" t="n">
        <v>0</v>
      </c>
      <c r="R9620" s="2" t="inlineStr"/>
    </row>
    <row r="9621" ht="15" customHeight="1">
      <c r="A9621" t="inlineStr">
        <is>
          <t>A 63092-2025</t>
        </is>
      </c>
      <c r="B9621" s="1" t="n">
        <v>46009.67795138889</v>
      </c>
      <c r="C9621" s="1" t="n">
        <v>46093</v>
      </c>
      <c r="D9621" t="inlineStr">
        <is>
          <t>VÄSTERNORRLANDS LÄN</t>
        </is>
      </c>
      <c r="E9621" t="inlineStr">
        <is>
          <t>ÅNGE</t>
        </is>
      </c>
      <c r="G9621" t="n">
        <v>2.6</v>
      </c>
      <c r="H9621" t="n">
        <v>0</v>
      </c>
      <c r="I9621" t="n">
        <v>0</v>
      </c>
      <c r="J9621" t="n">
        <v>0</v>
      </c>
      <c r="K9621" t="n">
        <v>0</v>
      </c>
      <c r="L9621" t="n">
        <v>0</v>
      </c>
      <c r="M9621" t="n">
        <v>0</v>
      </c>
      <c r="N9621" t="n">
        <v>0</v>
      </c>
      <c r="O9621" t="n">
        <v>0</v>
      </c>
      <c r="P9621" t="n">
        <v>0</v>
      </c>
      <c r="Q9621" t="n">
        <v>0</v>
      </c>
      <c r="R9621" s="2" t="inlineStr"/>
    </row>
    <row r="9622" ht="15" customHeight="1">
      <c r="A9622" t="inlineStr">
        <is>
          <t>A 8893-2025</t>
        </is>
      </c>
      <c r="B9622" s="1" t="n">
        <v>45713.4065162037</v>
      </c>
      <c r="C9622" s="1" t="n">
        <v>46093</v>
      </c>
      <c r="D9622" t="inlineStr">
        <is>
          <t>VÄSTERNORRLANDS LÄN</t>
        </is>
      </c>
      <c r="E9622" t="inlineStr">
        <is>
          <t>SOLLEFTEÅ</t>
        </is>
      </c>
      <c r="F9622" t="inlineStr">
        <is>
          <t>SCA</t>
        </is>
      </c>
      <c r="G9622" t="n">
        <v>2</v>
      </c>
      <c r="H9622" t="n">
        <v>0</v>
      </c>
      <c r="I9622" t="n">
        <v>0</v>
      </c>
      <c r="J9622" t="n">
        <v>0</v>
      </c>
      <c r="K9622" t="n">
        <v>0</v>
      </c>
      <c r="L9622" t="n">
        <v>0</v>
      </c>
      <c r="M9622" t="n">
        <v>0</v>
      </c>
      <c r="N9622" t="n">
        <v>0</v>
      </c>
      <c r="O9622" t="n">
        <v>0</v>
      </c>
      <c r="P9622" t="n">
        <v>0</v>
      </c>
      <c r="Q9622" t="n">
        <v>0</v>
      </c>
      <c r="R9622" s="2" t="inlineStr"/>
    </row>
    <row r="9623" ht="15" customHeight="1">
      <c r="A9623" t="inlineStr">
        <is>
          <t>A 37150-2023</t>
        </is>
      </c>
      <c r="B9623" s="1" t="n">
        <v>45155.59532407407</v>
      </c>
      <c r="C9623" s="1" t="n">
        <v>46093</v>
      </c>
      <c r="D9623" t="inlineStr">
        <is>
          <t>VÄSTERNORRLANDS LÄN</t>
        </is>
      </c>
      <c r="E9623" t="inlineStr">
        <is>
          <t>ÖRNSKÖLDSVIK</t>
        </is>
      </c>
      <c r="F9623" t="inlineStr">
        <is>
          <t>Holmen skog AB</t>
        </is>
      </c>
      <c r="G9623" t="n">
        <v>1.9</v>
      </c>
      <c r="H9623" t="n">
        <v>0</v>
      </c>
      <c r="I9623" t="n">
        <v>0</v>
      </c>
      <c r="J9623" t="n">
        <v>0</v>
      </c>
      <c r="K9623" t="n">
        <v>0</v>
      </c>
      <c r="L9623" t="n">
        <v>0</v>
      </c>
      <c r="M9623" t="n">
        <v>0</v>
      </c>
      <c r="N9623" t="n">
        <v>0</v>
      </c>
      <c r="O9623" t="n">
        <v>0</v>
      </c>
      <c r="P9623" t="n">
        <v>0</v>
      </c>
      <c r="Q9623" t="n">
        <v>0</v>
      </c>
      <c r="R9623" s="2" t="inlineStr"/>
    </row>
    <row r="9624" ht="15" customHeight="1">
      <c r="A9624" t="inlineStr">
        <is>
          <t>A 5616-2026</t>
        </is>
      </c>
      <c r="B9624" s="1" t="n">
        <v>46051.37532407408</v>
      </c>
      <c r="C9624" s="1" t="n">
        <v>46093</v>
      </c>
      <c r="D9624" t="inlineStr">
        <is>
          <t>VÄSTERNORRLANDS LÄN</t>
        </is>
      </c>
      <c r="E9624" t="inlineStr">
        <is>
          <t>SUNDSVALL</t>
        </is>
      </c>
      <c r="G9624" t="n">
        <v>4.6</v>
      </c>
      <c r="H9624" t="n">
        <v>0</v>
      </c>
      <c r="I9624" t="n">
        <v>0</v>
      </c>
      <c r="J9624" t="n">
        <v>0</v>
      </c>
      <c r="K9624" t="n">
        <v>0</v>
      </c>
      <c r="L9624" t="n">
        <v>0</v>
      </c>
      <c r="M9624" t="n">
        <v>0</v>
      </c>
      <c r="N9624" t="n">
        <v>0</v>
      </c>
      <c r="O9624" t="n">
        <v>0</v>
      </c>
      <c r="P9624" t="n">
        <v>0</v>
      </c>
      <c r="Q9624" t="n">
        <v>0</v>
      </c>
      <c r="R9624" s="2" t="inlineStr"/>
    </row>
    <row r="9625" ht="15" customHeight="1">
      <c r="A9625" t="inlineStr">
        <is>
          <t>A 54238-2024</t>
        </is>
      </c>
      <c r="B9625" s="1" t="n">
        <v>45616.67844907408</v>
      </c>
      <c r="C9625" s="1" t="n">
        <v>46093</v>
      </c>
      <c r="D9625" t="inlineStr">
        <is>
          <t>VÄSTERNORRLANDS LÄN</t>
        </is>
      </c>
      <c r="E9625" t="inlineStr">
        <is>
          <t>SOLLEFTEÅ</t>
        </is>
      </c>
      <c r="F9625" t="inlineStr">
        <is>
          <t>SCA</t>
        </is>
      </c>
      <c r="G9625" t="n">
        <v>0.4</v>
      </c>
      <c r="H9625" t="n">
        <v>0</v>
      </c>
      <c r="I9625" t="n">
        <v>0</v>
      </c>
      <c r="J9625" t="n">
        <v>0</v>
      </c>
      <c r="K9625" t="n">
        <v>0</v>
      </c>
      <c r="L9625" t="n">
        <v>0</v>
      </c>
      <c r="M9625" t="n">
        <v>0</v>
      </c>
      <c r="N9625" t="n">
        <v>0</v>
      </c>
      <c r="O9625" t="n">
        <v>0</v>
      </c>
      <c r="P9625" t="n">
        <v>0</v>
      </c>
      <c r="Q9625" t="n">
        <v>0</v>
      </c>
      <c r="R9625" s="2" t="inlineStr"/>
    </row>
    <row r="9626" ht="15" customHeight="1">
      <c r="A9626" t="inlineStr">
        <is>
          <t>A 63274-2025</t>
        </is>
      </c>
      <c r="B9626" s="1" t="n">
        <v>46010.57355324074</v>
      </c>
      <c r="C9626" s="1" t="n">
        <v>46093</v>
      </c>
      <c r="D9626" t="inlineStr">
        <is>
          <t>VÄSTERNORRLANDS LÄN</t>
        </is>
      </c>
      <c r="E9626" t="inlineStr">
        <is>
          <t>ÖRNSKÖLDSVIK</t>
        </is>
      </c>
      <c r="F9626" t="inlineStr">
        <is>
          <t>Holmen skog AB</t>
        </is>
      </c>
      <c r="G9626" t="n">
        <v>2.7</v>
      </c>
      <c r="H9626" t="n">
        <v>0</v>
      </c>
      <c r="I9626" t="n">
        <v>0</v>
      </c>
      <c r="J9626" t="n">
        <v>0</v>
      </c>
      <c r="K9626" t="n">
        <v>0</v>
      </c>
      <c r="L9626" t="n">
        <v>0</v>
      </c>
      <c r="M9626" t="n">
        <v>0</v>
      </c>
      <c r="N9626" t="n">
        <v>0</v>
      </c>
      <c r="O9626" t="n">
        <v>0</v>
      </c>
      <c r="P9626" t="n">
        <v>0</v>
      </c>
      <c r="Q9626" t="n">
        <v>0</v>
      </c>
      <c r="R9626" s="2" t="inlineStr"/>
    </row>
    <row r="9627" ht="15" customHeight="1">
      <c r="A9627" t="inlineStr">
        <is>
          <t>A 46481-2023</t>
        </is>
      </c>
      <c r="B9627" s="1" t="n">
        <v>45194</v>
      </c>
      <c r="C9627" s="1" t="n">
        <v>46093</v>
      </c>
      <c r="D9627" t="inlineStr">
        <is>
          <t>VÄSTERNORRLANDS LÄN</t>
        </is>
      </c>
      <c r="E9627" t="inlineStr">
        <is>
          <t>ÖRNSKÖLDSVIK</t>
        </is>
      </c>
      <c r="G9627" t="n">
        <v>18.8</v>
      </c>
      <c r="H9627" t="n">
        <v>0</v>
      </c>
      <c r="I9627" t="n">
        <v>0</v>
      </c>
      <c r="J9627" t="n">
        <v>0</v>
      </c>
      <c r="K9627" t="n">
        <v>0</v>
      </c>
      <c r="L9627" t="n">
        <v>0</v>
      </c>
      <c r="M9627" t="n">
        <v>0</v>
      </c>
      <c r="N9627" t="n">
        <v>0</v>
      </c>
      <c r="O9627" t="n">
        <v>0</v>
      </c>
      <c r="P9627" t="n">
        <v>0</v>
      </c>
      <c r="Q9627" t="n">
        <v>0</v>
      </c>
      <c r="R9627" s="2" t="inlineStr"/>
    </row>
    <row r="9628" ht="15" customHeight="1">
      <c r="A9628" t="inlineStr">
        <is>
          <t>A 63296-2025</t>
        </is>
      </c>
      <c r="B9628" s="1" t="n">
        <v>46010.5952662037</v>
      </c>
      <c r="C9628" s="1" t="n">
        <v>46093</v>
      </c>
      <c r="D9628" t="inlineStr">
        <is>
          <t>VÄSTERNORRLANDS LÄN</t>
        </is>
      </c>
      <c r="E9628" t="inlineStr">
        <is>
          <t>SOLLEFTEÅ</t>
        </is>
      </c>
      <c r="F9628" t="inlineStr">
        <is>
          <t>Holmen skog AB</t>
        </is>
      </c>
      <c r="G9628" t="n">
        <v>6.9</v>
      </c>
      <c r="H9628" t="n">
        <v>0</v>
      </c>
      <c r="I9628" t="n">
        <v>0</v>
      </c>
      <c r="J9628" t="n">
        <v>0</v>
      </c>
      <c r="K9628" t="n">
        <v>0</v>
      </c>
      <c r="L9628" t="n">
        <v>0</v>
      </c>
      <c r="M9628" t="n">
        <v>0</v>
      </c>
      <c r="N9628" t="n">
        <v>0</v>
      </c>
      <c r="O9628" t="n">
        <v>0</v>
      </c>
      <c r="P9628" t="n">
        <v>0</v>
      </c>
      <c r="Q9628" t="n">
        <v>0</v>
      </c>
      <c r="R9628" s="2" t="inlineStr"/>
    </row>
    <row r="9629" ht="15" customHeight="1">
      <c r="A9629" t="inlineStr">
        <is>
          <t>A 63300-2025</t>
        </is>
      </c>
      <c r="B9629" s="1" t="n">
        <v>46010.60402777778</v>
      </c>
      <c r="C9629" s="1" t="n">
        <v>46093</v>
      </c>
      <c r="D9629" t="inlineStr">
        <is>
          <t>VÄSTERNORRLANDS LÄN</t>
        </is>
      </c>
      <c r="E9629" t="inlineStr">
        <is>
          <t>ÖRNSKÖLDSVIK</t>
        </is>
      </c>
      <c r="F9629" t="inlineStr">
        <is>
          <t>Holmen skog AB</t>
        </is>
      </c>
      <c r="G9629" t="n">
        <v>2.9</v>
      </c>
      <c r="H9629" t="n">
        <v>0</v>
      </c>
      <c r="I9629" t="n">
        <v>0</v>
      </c>
      <c r="J9629" t="n">
        <v>0</v>
      </c>
      <c r="K9629" t="n">
        <v>0</v>
      </c>
      <c r="L9629" t="n">
        <v>0</v>
      </c>
      <c r="M9629" t="n">
        <v>0</v>
      </c>
      <c r="N9629" t="n">
        <v>0</v>
      </c>
      <c r="O9629" t="n">
        <v>0</v>
      </c>
      <c r="P9629" t="n">
        <v>0</v>
      </c>
      <c r="Q9629" t="n">
        <v>0</v>
      </c>
      <c r="R9629" s="2" t="inlineStr"/>
    </row>
    <row r="9630" ht="15" customHeight="1">
      <c r="A9630" t="inlineStr">
        <is>
          <t>A 40066-2023</t>
        </is>
      </c>
      <c r="B9630" s="1" t="n">
        <v>45168</v>
      </c>
      <c r="C9630" s="1" t="n">
        <v>46093</v>
      </c>
      <c r="D9630" t="inlineStr">
        <is>
          <t>VÄSTERNORRLANDS LÄN</t>
        </is>
      </c>
      <c r="E9630" t="inlineStr">
        <is>
          <t>ÖRNSKÖLDSVIK</t>
        </is>
      </c>
      <c r="F9630" t="inlineStr">
        <is>
          <t>Holmen skog AB</t>
        </is>
      </c>
      <c r="G9630" t="n">
        <v>3.6</v>
      </c>
      <c r="H9630" t="n">
        <v>0</v>
      </c>
      <c r="I9630" t="n">
        <v>0</v>
      </c>
      <c r="J9630" t="n">
        <v>0</v>
      </c>
      <c r="K9630" t="n">
        <v>0</v>
      </c>
      <c r="L9630" t="n">
        <v>0</v>
      </c>
      <c r="M9630" t="n">
        <v>0</v>
      </c>
      <c r="N9630" t="n">
        <v>0</v>
      </c>
      <c r="O9630" t="n">
        <v>0</v>
      </c>
      <c r="P9630" t="n">
        <v>0</v>
      </c>
      <c r="Q9630" t="n">
        <v>0</v>
      </c>
      <c r="R9630" s="2" t="inlineStr"/>
    </row>
    <row r="9631" ht="15" customHeight="1">
      <c r="A9631" t="inlineStr">
        <is>
          <t>A 63324-2025</t>
        </is>
      </c>
      <c r="B9631" s="1" t="n">
        <v>46010.63770833334</v>
      </c>
      <c r="C9631" s="1" t="n">
        <v>46093</v>
      </c>
      <c r="D9631" t="inlineStr">
        <is>
          <t>VÄSTERNORRLANDS LÄN</t>
        </is>
      </c>
      <c r="E9631" t="inlineStr">
        <is>
          <t>ÖRNSKÖLDSVIK</t>
        </is>
      </c>
      <c r="G9631" t="n">
        <v>0.6</v>
      </c>
      <c r="H9631" t="n">
        <v>0</v>
      </c>
      <c r="I9631" t="n">
        <v>0</v>
      </c>
      <c r="J9631" t="n">
        <v>0</v>
      </c>
      <c r="K9631" t="n">
        <v>0</v>
      </c>
      <c r="L9631" t="n">
        <v>0</v>
      </c>
      <c r="M9631" t="n">
        <v>0</v>
      </c>
      <c r="N9631" t="n">
        <v>0</v>
      </c>
      <c r="O9631" t="n">
        <v>0</v>
      </c>
      <c r="P9631" t="n">
        <v>0</v>
      </c>
      <c r="Q9631" t="n">
        <v>0</v>
      </c>
      <c r="R9631" s="2" t="inlineStr"/>
    </row>
    <row r="9632" ht="15" customHeight="1">
      <c r="A9632" t="inlineStr">
        <is>
          <t>A 13551-2024</t>
        </is>
      </c>
      <c r="B9632" s="1" t="n">
        <v>45387.95395833333</v>
      </c>
      <c r="C9632" s="1" t="n">
        <v>46093</v>
      </c>
      <c r="D9632" t="inlineStr">
        <is>
          <t>VÄSTERNORRLANDS LÄN</t>
        </is>
      </c>
      <c r="E9632" t="inlineStr">
        <is>
          <t>SUNDSVALL</t>
        </is>
      </c>
      <c r="F9632" t="inlineStr">
        <is>
          <t>SCA</t>
        </is>
      </c>
      <c r="G9632" t="n">
        <v>7.1</v>
      </c>
      <c r="H9632" t="n">
        <v>0</v>
      </c>
      <c r="I9632" t="n">
        <v>0</v>
      </c>
      <c r="J9632" t="n">
        <v>0</v>
      </c>
      <c r="K9632" t="n">
        <v>0</v>
      </c>
      <c r="L9632" t="n">
        <v>0</v>
      </c>
      <c r="M9632" t="n">
        <v>0</v>
      </c>
      <c r="N9632" t="n">
        <v>0</v>
      </c>
      <c r="O9632" t="n">
        <v>0</v>
      </c>
      <c r="P9632" t="n">
        <v>0</v>
      </c>
      <c r="Q9632" t="n">
        <v>0</v>
      </c>
      <c r="R9632" s="2" t="inlineStr"/>
    </row>
    <row r="9633" ht="15" customHeight="1">
      <c r="A9633" t="inlineStr">
        <is>
          <t>A 5673-2026</t>
        </is>
      </c>
      <c r="B9633" s="1" t="n">
        <v>46051.4699537037</v>
      </c>
      <c r="C9633" s="1" t="n">
        <v>46093</v>
      </c>
      <c r="D9633" t="inlineStr">
        <is>
          <t>VÄSTERNORRLANDS LÄN</t>
        </is>
      </c>
      <c r="E9633" t="inlineStr">
        <is>
          <t>ÅNGE</t>
        </is>
      </c>
      <c r="F9633" t="inlineStr">
        <is>
          <t>SCA</t>
        </is>
      </c>
      <c r="G9633" t="n">
        <v>2.1</v>
      </c>
      <c r="H9633" t="n">
        <v>0</v>
      </c>
      <c r="I9633" t="n">
        <v>0</v>
      </c>
      <c r="J9633" t="n">
        <v>0</v>
      </c>
      <c r="K9633" t="n">
        <v>0</v>
      </c>
      <c r="L9633" t="n">
        <v>0</v>
      </c>
      <c r="M9633" t="n">
        <v>0</v>
      </c>
      <c r="N9633" t="n">
        <v>0</v>
      </c>
      <c r="O9633" t="n">
        <v>0</v>
      </c>
      <c r="P9633" t="n">
        <v>0</v>
      </c>
      <c r="Q9633" t="n">
        <v>0</v>
      </c>
      <c r="R9633" s="2" t="inlineStr"/>
    </row>
    <row r="9634" ht="15" customHeight="1">
      <c r="A9634" t="inlineStr">
        <is>
          <t>A 5670-2026</t>
        </is>
      </c>
      <c r="B9634" s="1" t="n">
        <v>46051.46958333333</v>
      </c>
      <c r="C9634" s="1" t="n">
        <v>46093</v>
      </c>
      <c r="D9634" t="inlineStr">
        <is>
          <t>VÄSTERNORRLANDS LÄN</t>
        </is>
      </c>
      <c r="E9634" t="inlineStr">
        <is>
          <t>ÅNGE</t>
        </is>
      </c>
      <c r="F9634" t="inlineStr">
        <is>
          <t>SCA</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5672-2026</t>
        </is>
      </c>
      <c r="B9635" s="1" t="n">
        <v>46051.46989583333</v>
      </c>
      <c r="C9635" s="1" t="n">
        <v>46093</v>
      </c>
      <c r="D9635" t="inlineStr">
        <is>
          <t>VÄSTERNORRLANDS LÄN</t>
        </is>
      </c>
      <c r="E9635" t="inlineStr">
        <is>
          <t>ÅNGE</t>
        </is>
      </c>
      <c r="F9635" t="inlineStr">
        <is>
          <t>SCA</t>
        </is>
      </c>
      <c r="G9635" t="n">
        <v>0.6</v>
      </c>
      <c r="H9635" t="n">
        <v>0</v>
      </c>
      <c r="I9635" t="n">
        <v>0</v>
      </c>
      <c r="J9635" t="n">
        <v>0</v>
      </c>
      <c r="K9635" t="n">
        <v>0</v>
      </c>
      <c r="L9635" t="n">
        <v>0</v>
      </c>
      <c r="M9635" t="n">
        <v>0</v>
      </c>
      <c r="N9635" t="n">
        <v>0</v>
      </c>
      <c r="O9635" t="n">
        <v>0</v>
      </c>
      <c r="P9635" t="n">
        <v>0</v>
      </c>
      <c r="Q9635" t="n">
        <v>0</v>
      </c>
      <c r="R9635" s="2" t="inlineStr"/>
    </row>
    <row r="9636" ht="15" customHeight="1">
      <c r="A9636" t="inlineStr">
        <is>
          <t>A 63328-2025</t>
        </is>
      </c>
      <c r="B9636" s="1" t="n">
        <v>46010.63916666667</v>
      </c>
      <c r="C9636" s="1" t="n">
        <v>46093</v>
      </c>
      <c r="D9636" t="inlineStr">
        <is>
          <t>VÄSTERNORRLANDS LÄN</t>
        </is>
      </c>
      <c r="E9636" t="inlineStr">
        <is>
          <t>SUNDSVALL</t>
        </is>
      </c>
      <c r="G9636" t="n">
        <v>1.2</v>
      </c>
      <c r="H9636" t="n">
        <v>0</v>
      </c>
      <c r="I9636" t="n">
        <v>0</v>
      </c>
      <c r="J9636" t="n">
        <v>0</v>
      </c>
      <c r="K9636" t="n">
        <v>0</v>
      </c>
      <c r="L9636" t="n">
        <v>0</v>
      </c>
      <c r="M9636" t="n">
        <v>0</v>
      </c>
      <c r="N9636" t="n">
        <v>0</v>
      </c>
      <c r="O9636" t="n">
        <v>0</v>
      </c>
      <c r="P9636" t="n">
        <v>0</v>
      </c>
      <c r="Q9636" t="n">
        <v>0</v>
      </c>
      <c r="R9636" s="2" t="inlineStr"/>
    </row>
    <row r="9637" ht="15" customHeight="1">
      <c r="A9637" t="inlineStr">
        <is>
          <t>A 5839-2026</t>
        </is>
      </c>
      <c r="B9637" s="1" t="n">
        <v>46052.34430555555</v>
      </c>
      <c r="C9637" s="1" t="n">
        <v>46093</v>
      </c>
      <c r="D9637" t="inlineStr">
        <is>
          <t>VÄSTERNORRLANDS LÄN</t>
        </is>
      </c>
      <c r="E9637" t="inlineStr">
        <is>
          <t>TIMRÅ</t>
        </is>
      </c>
      <c r="F9637" t="inlineStr">
        <is>
          <t>SCA</t>
        </is>
      </c>
      <c r="G9637" t="n">
        <v>16.1</v>
      </c>
      <c r="H9637" t="n">
        <v>0</v>
      </c>
      <c r="I9637" t="n">
        <v>0</v>
      </c>
      <c r="J9637" t="n">
        <v>0</v>
      </c>
      <c r="K9637" t="n">
        <v>0</v>
      </c>
      <c r="L9637" t="n">
        <v>0</v>
      </c>
      <c r="M9637" t="n">
        <v>0</v>
      </c>
      <c r="N9637" t="n">
        <v>0</v>
      </c>
      <c r="O9637" t="n">
        <v>0</v>
      </c>
      <c r="P9637" t="n">
        <v>0</v>
      </c>
      <c r="Q9637" t="n">
        <v>0</v>
      </c>
      <c r="R9637" s="2" t="inlineStr"/>
    </row>
    <row r="9638" ht="15" customHeight="1">
      <c r="A9638" t="inlineStr">
        <is>
          <t>A 62981-2025</t>
        </is>
      </c>
      <c r="B9638" s="1" t="n">
        <v>46009.49001157407</v>
      </c>
      <c r="C9638" s="1" t="n">
        <v>46093</v>
      </c>
      <c r="D9638" t="inlineStr">
        <is>
          <t>VÄSTERNORRLANDS LÄN</t>
        </is>
      </c>
      <c r="E9638" t="inlineStr">
        <is>
          <t>SOLLEFTEÅ</t>
        </is>
      </c>
      <c r="F9638" t="inlineStr">
        <is>
          <t>SCA</t>
        </is>
      </c>
      <c r="G9638" t="n">
        <v>6.4</v>
      </c>
      <c r="H9638" t="n">
        <v>0</v>
      </c>
      <c r="I9638" t="n">
        <v>0</v>
      </c>
      <c r="J9638" t="n">
        <v>0</v>
      </c>
      <c r="K9638" t="n">
        <v>0</v>
      </c>
      <c r="L9638" t="n">
        <v>0</v>
      </c>
      <c r="M9638" t="n">
        <v>0</v>
      </c>
      <c r="N9638" t="n">
        <v>0</v>
      </c>
      <c r="O9638" t="n">
        <v>0</v>
      </c>
      <c r="P9638" t="n">
        <v>0</v>
      </c>
      <c r="Q9638" t="n">
        <v>0</v>
      </c>
      <c r="R9638" s="2" t="inlineStr"/>
    </row>
    <row r="9639" ht="15" customHeight="1">
      <c r="A9639" t="inlineStr">
        <is>
          <t>A 62902-2025</t>
        </is>
      </c>
      <c r="B9639" s="1" t="n">
        <v>46009.34462962963</v>
      </c>
      <c r="C9639" s="1" t="n">
        <v>46093</v>
      </c>
      <c r="D9639" t="inlineStr">
        <is>
          <t>VÄSTERNORRLANDS LÄN</t>
        </is>
      </c>
      <c r="E9639" t="inlineStr">
        <is>
          <t>SOLLEFTEÅ</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29127-2022</t>
        </is>
      </c>
      <c r="B9640" s="1" t="n">
        <v>44750.45601851852</v>
      </c>
      <c r="C9640" s="1" t="n">
        <v>46093</v>
      </c>
      <c r="D9640" t="inlineStr">
        <is>
          <t>VÄSTERNORRLANDS LÄN</t>
        </is>
      </c>
      <c r="E9640" t="inlineStr">
        <is>
          <t>SUNDSVALL</t>
        </is>
      </c>
      <c r="G9640" t="n">
        <v>7.4</v>
      </c>
      <c r="H9640" t="n">
        <v>0</v>
      </c>
      <c r="I9640" t="n">
        <v>0</v>
      </c>
      <c r="J9640" t="n">
        <v>0</v>
      </c>
      <c r="K9640" t="n">
        <v>0</v>
      </c>
      <c r="L9640" t="n">
        <v>0</v>
      </c>
      <c r="M9640" t="n">
        <v>0</v>
      </c>
      <c r="N9640" t="n">
        <v>0</v>
      </c>
      <c r="O9640" t="n">
        <v>0</v>
      </c>
      <c r="P9640" t="n">
        <v>0</v>
      </c>
      <c r="Q9640" t="n">
        <v>0</v>
      </c>
      <c r="R9640" s="2" t="inlineStr"/>
      <c r="U9640">
        <f>HYPERLINK("https://klasma.github.io/Logging_2281/knärot/A 29127-2022 karta knärot.png", "A 29127-2022")</f>
        <v/>
      </c>
      <c r="V9640">
        <f>HYPERLINK("https://klasma.github.io/Logging_2281/klagomål/A 29127-2022 FSC-klagomål.docx", "A 29127-2022")</f>
        <v/>
      </c>
      <c r="W9640">
        <f>HYPERLINK("https://klasma.github.io/Logging_2281/klagomålsmail/A 29127-2022 FSC-klagomål mail.docx", "A 29127-2022")</f>
        <v/>
      </c>
      <c r="X9640">
        <f>HYPERLINK("https://klasma.github.io/Logging_2281/tillsyn/A 29127-2022 tillsynsbegäran.docx", "A 29127-2022")</f>
        <v/>
      </c>
      <c r="Y9640">
        <f>HYPERLINK("https://klasma.github.io/Logging_2281/tillsynsmail/A 29127-2022 tillsynsbegäran mail.docx", "A 29127-2022")</f>
        <v/>
      </c>
    </row>
    <row r="9641" ht="15" customHeight="1">
      <c r="A9641" t="inlineStr">
        <is>
          <t>A 63090-2025</t>
        </is>
      </c>
      <c r="B9641" s="1" t="n">
        <v>46009.67790509259</v>
      </c>
      <c r="C9641" s="1" t="n">
        <v>46093</v>
      </c>
      <c r="D9641" t="inlineStr">
        <is>
          <t>VÄSTERNORRLANDS LÄN</t>
        </is>
      </c>
      <c r="E9641" t="inlineStr">
        <is>
          <t>KRAMFORS</t>
        </is>
      </c>
      <c r="G9641" t="n">
        <v>0.3</v>
      </c>
      <c r="H9641" t="n">
        <v>0</v>
      </c>
      <c r="I9641" t="n">
        <v>0</v>
      </c>
      <c r="J9641" t="n">
        <v>0</v>
      </c>
      <c r="K9641" t="n">
        <v>0</v>
      </c>
      <c r="L9641" t="n">
        <v>0</v>
      </c>
      <c r="M9641" t="n">
        <v>0</v>
      </c>
      <c r="N9641" t="n">
        <v>0</v>
      </c>
      <c r="O9641" t="n">
        <v>0</v>
      </c>
      <c r="P9641" t="n">
        <v>0</v>
      </c>
      <c r="Q9641" t="n">
        <v>0</v>
      </c>
      <c r="R9641" s="2" t="inlineStr"/>
    </row>
    <row r="9642" ht="15" customHeight="1">
      <c r="A9642" t="inlineStr">
        <is>
          <t>A 63097-2025</t>
        </is>
      </c>
      <c r="B9642" s="1" t="n">
        <v>46009.69244212963</v>
      </c>
      <c r="C9642" s="1" t="n">
        <v>46093</v>
      </c>
      <c r="D9642" t="inlineStr">
        <is>
          <t>VÄSTERNORRLANDS LÄN</t>
        </is>
      </c>
      <c r="E9642" t="inlineStr">
        <is>
          <t>ÖRNSKÖLDSVIK</t>
        </is>
      </c>
      <c r="G9642" t="n">
        <v>3.1</v>
      </c>
      <c r="H9642" t="n">
        <v>0</v>
      </c>
      <c r="I9642" t="n">
        <v>0</v>
      </c>
      <c r="J9642" t="n">
        <v>0</v>
      </c>
      <c r="K9642" t="n">
        <v>0</v>
      </c>
      <c r="L9642" t="n">
        <v>0</v>
      </c>
      <c r="M9642" t="n">
        <v>0</v>
      </c>
      <c r="N9642" t="n">
        <v>0</v>
      </c>
      <c r="O9642" t="n">
        <v>0</v>
      </c>
      <c r="P9642" t="n">
        <v>0</v>
      </c>
      <c r="Q9642" t="n">
        <v>0</v>
      </c>
      <c r="R9642" s="2" t="inlineStr"/>
    </row>
    <row r="9643" ht="15" customHeight="1">
      <c r="A9643" t="inlineStr">
        <is>
          <t>A 24988-2022</t>
        </is>
      </c>
      <c r="B9643" s="1" t="n">
        <v>44728</v>
      </c>
      <c r="C9643" s="1" t="n">
        <v>46093</v>
      </c>
      <c r="D9643" t="inlineStr">
        <is>
          <t>VÄSTERNORRLANDS LÄN</t>
        </is>
      </c>
      <c r="E9643" t="inlineStr">
        <is>
          <t>TIMRÅ</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19429-2024</t>
        </is>
      </c>
      <c r="B9644" s="1" t="n">
        <v>45429</v>
      </c>
      <c r="C9644" s="1" t="n">
        <v>46093</v>
      </c>
      <c r="D9644" t="inlineStr">
        <is>
          <t>VÄSTERNORRLANDS LÄN</t>
        </is>
      </c>
      <c r="E9644" t="inlineStr">
        <is>
          <t>SOLLEFTEÅ</t>
        </is>
      </c>
      <c r="G9644" t="n">
        <v>10.6</v>
      </c>
      <c r="H9644" t="n">
        <v>0</v>
      </c>
      <c r="I9644" t="n">
        <v>0</v>
      </c>
      <c r="J9644" t="n">
        <v>0</v>
      </c>
      <c r="K9644" t="n">
        <v>0</v>
      </c>
      <c r="L9644" t="n">
        <v>0</v>
      </c>
      <c r="M9644" t="n">
        <v>0</v>
      </c>
      <c r="N9644" t="n">
        <v>0</v>
      </c>
      <c r="O9644" t="n">
        <v>0</v>
      </c>
      <c r="P9644" t="n">
        <v>0</v>
      </c>
      <c r="Q9644" t="n">
        <v>0</v>
      </c>
      <c r="R9644" s="2" t="inlineStr"/>
    </row>
    <row r="9645" ht="15" customHeight="1">
      <c r="A9645" t="inlineStr">
        <is>
          <t>A 43169-2024</t>
        </is>
      </c>
      <c r="B9645" s="1" t="n">
        <v>45567.65694444445</v>
      </c>
      <c r="C9645" s="1" t="n">
        <v>46093</v>
      </c>
      <c r="D9645" t="inlineStr">
        <is>
          <t>VÄSTERNORRLANDS LÄN</t>
        </is>
      </c>
      <c r="E9645" t="inlineStr">
        <is>
          <t>ÖRNSKÖLDSVIK</t>
        </is>
      </c>
      <c r="F9645" t="inlineStr">
        <is>
          <t>Holmen skog AB</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63273-2025</t>
        </is>
      </c>
      <c r="B9646" s="1" t="n">
        <v>46010.57322916666</v>
      </c>
      <c r="C9646" s="1" t="n">
        <v>46093</v>
      </c>
      <c r="D9646" t="inlineStr">
        <is>
          <t>VÄSTERNORRLANDS LÄN</t>
        </is>
      </c>
      <c r="E9646" t="inlineStr">
        <is>
          <t>SOLLEFTEÅ</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63320-2025</t>
        </is>
      </c>
      <c r="B9647" s="1" t="n">
        <v>46009</v>
      </c>
      <c r="C9647" s="1" t="n">
        <v>46093</v>
      </c>
      <c r="D9647" t="inlineStr">
        <is>
          <t>VÄSTERNORRLANDS LÄN</t>
        </is>
      </c>
      <c r="E9647" t="inlineStr">
        <is>
          <t>ÖRNSKÖLDSVIK</t>
        </is>
      </c>
      <c r="G9647" t="n">
        <v>1.7</v>
      </c>
      <c r="H9647" t="n">
        <v>0</v>
      </c>
      <c r="I9647" t="n">
        <v>0</v>
      </c>
      <c r="J9647" t="n">
        <v>0</v>
      </c>
      <c r="K9647" t="n">
        <v>0</v>
      </c>
      <c r="L9647" t="n">
        <v>0</v>
      </c>
      <c r="M9647" t="n">
        <v>0</v>
      </c>
      <c r="N9647" t="n">
        <v>0</v>
      </c>
      <c r="O9647" t="n">
        <v>0</v>
      </c>
      <c r="P9647" t="n">
        <v>0</v>
      </c>
      <c r="Q9647" t="n">
        <v>0</v>
      </c>
      <c r="R9647" s="2" t="inlineStr"/>
    </row>
    <row r="9648" ht="15" customHeight="1">
      <c r="A9648" t="inlineStr">
        <is>
          <t>A 5612-2026</t>
        </is>
      </c>
      <c r="B9648" s="1" t="n">
        <v>46051.365</v>
      </c>
      <c r="C9648" s="1" t="n">
        <v>46093</v>
      </c>
      <c r="D9648" t="inlineStr">
        <is>
          <t>VÄSTERNORRLANDS LÄN</t>
        </is>
      </c>
      <c r="E9648" t="inlineStr">
        <is>
          <t>HÄRNÖSAND</t>
        </is>
      </c>
      <c r="G9648" t="n">
        <v>3.5</v>
      </c>
      <c r="H9648" t="n">
        <v>0</v>
      </c>
      <c r="I9648" t="n">
        <v>0</v>
      </c>
      <c r="J9648" t="n">
        <v>0</v>
      </c>
      <c r="K9648" t="n">
        <v>0</v>
      </c>
      <c r="L9648" t="n">
        <v>0</v>
      </c>
      <c r="M9648" t="n">
        <v>0</v>
      </c>
      <c r="N9648" t="n">
        <v>0</v>
      </c>
      <c r="O9648" t="n">
        <v>0</v>
      </c>
      <c r="P9648" t="n">
        <v>0</v>
      </c>
      <c r="Q9648" t="n">
        <v>0</v>
      </c>
      <c r="R9648" s="2" t="inlineStr"/>
    </row>
    <row r="9649" ht="15" customHeight="1">
      <c r="A9649" t="inlineStr">
        <is>
          <t>A 63728-2025</t>
        </is>
      </c>
      <c r="B9649" s="1" t="n">
        <v>46010</v>
      </c>
      <c r="C9649" s="1" t="n">
        <v>46093</v>
      </c>
      <c r="D9649" t="inlineStr">
        <is>
          <t>VÄSTERNORRLANDS LÄN</t>
        </is>
      </c>
      <c r="E9649" t="inlineStr">
        <is>
          <t>SOLLEFTEÅ</t>
        </is>
      </c>
      <c r="G9649" t="n">
        <v>2.2</v>
      </c>
      <c r="H9649" t="n">
        <v>0</v>
      </c>
      <c r="I9649" t="n">
        <v>0</v>
      </c>
      <c r="J9649" t="n">
        <v>0</v>
      </c>
      <c r="K9649" t="n">
        <v>0</v>
      </c>
      <c r="L9649" t="n">
        <v>0</v>
      </c>
      <c r="M9649" t="n">
        <v>0</v>
      </c>
      <c r="N9649" t="n">
        <v>0</v>
      </c>
      <c r="O9649" t="n">
        <v>0</v>
      </c>
      <c r="P9649" t="n">
        <v>0</v>
      </c>
      <c r="Q9649" t="n">
        <v>0</v>
      </c>
      <c r="R9649" s="2" t="inlineStr"/>
    </row>
    <row r="9650" ht="15" customHeight="1">
      <c r="A9650" t="inlineStr">
        <is>
          <t>A 44405-2023</t>
        </is>
      </c>
      <c r="B9650" s="1" t="n">
        <v>45188</v>
      </c>
      <c r="C9650" s="1" t="n">
        <v>46093</v>
      </c>
      <c r="D9650" t="inlineStr">
        <is>
          <t>VÄSTERNORRLANDS LÄN</t>
        </is>
      </c>
      <c r="E9650" t="inlineStr">
        <is>
          <t>TIMRÅ</t>
        </is>
      </c>
      <c r="F9650" t="inlineStr">
        <is>
          <t>SCA</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63304-2025</t>
        </is>
      </c>
      <c r="B9651" s="1" t="n">
        <v>46010.61121527778</v>
      </c>
      <c r="C9651" s="1" t="n">
        <v>46093</v>
      </c>
      <c r="D9651" t="inlineStr">
        <is>
          <t>VÄSTERNORRLANDS LÄN</t>
        </is>
      </c>
      <c r="E9651" t="inlineStr">
        <is>
          <t>ÖRNSKÖLDSVIK</t>
        </is>
      </c>
      <c r="F9651" t="inlineStr">
        <is>
          <t>Holmen skog AB</t>
        </is>
      </c>
      <c r="G9651" t="n">
        <v>2.3</v>
      </c>
      <c r="H9651" t="n">
        <v>0</v>
      </c>
      <c r="I9651" t="n">
        <v>0</v>
      </c>
      <c r="J9651" t="n">
        <v>0</v>
      </c>
      <c r="K9651" t="n">
        <v>0</v>
      </c>
      <c r="L9651" t="n">
        <v>0</v>
      </c>
      <c r="M9651" t="n">
        <v>0</v>
      </c>
      <c r="N9651" t="n">
        <v>0</v>
      </c>
      <c r="O9651" t="n">
        <v>0</v>
      </c>
      <c r="P9651" t="n">
        <v>0</v>
      </c>
      <c r="Q9651" t="n">
        <v>0</v>
      </c>
      <c r="R9651" s="2" t="inlineStr"/>
    </row>
    <row r="9652" ht="15" customHeight="1">
      <c r="A9652" t="inlineStr">
        <is>
          <t>A 63308-2025</t>
        </is>
      </c>
      <c r="B9652" s="1" t="n">
        <v>46010.61702546296</v>
      </c>
      <c r="C9652" s="1" t="n">
        <v>46093</v>
      </c>
      <c r="D9652" t="inlineStr">
        <is>
          <t>VÄSTERNORRLANDS LÄN</t>
        </is>
      </c>
      <c r="E9652" t="inlineStr">
        <is>
          <t>ÖRNSKÖLDSVIK</t>
        </is>
      </c>
      <c r="G9652" t="n">
        <v>2.1</v>
      </c>
      <c r="H9652" t="n">
        <v>0</v>
      </c>
      <c r="I9652" t="n">
        <v>0</v>
      </c>
      <c r="J9652" t="n">
        <v>0</v>
      </c>
      <c r="K9652" t="n">
        <v>0</v>
      </c>
      <c r="L9652" t="n">
        <v>0</v>
      </c>
      <c r="M9652" t="n">
        <v>0</v>
      </c>
      <c r="N9652" t="n">
        <v>0</v>
      </c>
      <c r="O9652" t="n">
        <v>0</v>
      </c>
      <c r="P9652" t="n">
        <v>0</v>
      </c>
      <c r="Q9652" t="n">
        <v>0</v>
      </c>
      <c r="R9652" s="2" t="inlineStr"/>
    </row>
    <row r="9653" ht="15" customHeight="1">
      <c r="A9653" t="inlineStr">
        <is>
          <t>A 63099-2025</t>
        </is>
      </c>
      <c r="B9653" s="1" t="n">
        <v>46009.69833333333</v>
      </c>
      <c r="C9653" s="1" t="n">
        <v>46093</v>
      </c>
      <c r="D9653" t="inlineStr">
        <is>
          <t>VÄSTERNORRLANDS LÄN</t>
        </is>
      </c>
      <c r="E9653" t="inlineStr">
        <is>
          <t>KRAMFORS</t>
        </is>
      </c>
      <c r="G9653" t="n">
        <v>4</v>
      </c>
      <c r="H9653" t="n">
        <v>0</v>
      </c>
      <c r="I9653" t="n">
        <v>0</v>
      </c>
      <c r="J9653" t="n">
        <v>0</v>
      </c>
      <c r="K9653" t="n">
        <v>0</v>
      </c>
      <c r="L9653" t="n">
        <v>0</v>
      </c>
      <c r="M9653" t="n">
        <v>0</v>
      </c>
      <c r="N9653" t="n">
        <v>0</v>
      </c>
      <c r="O9653" t="n">
        <v>0</v>
      </c>
      <c r="P9653" t="n">
        <v>0</v>
      </c>
      <c r="Q9653" t="n">
        <v>0</v>
      </c>
      <c r="R9653" s="2" t="inlineStr"/>
    </row>
    <row r="9654" ht="15" customHeight="1">
      <c r="A9654" t="inlineStr">
        <is>
          <t>A 63176-2025</t>
        </is>
      </c>
      <c r="B9654" s="1" t="n">
        <v>46010.41207175926</v>
      </c>
      <c r="C9654" s="1" t="n">
        <v>46093</v>
      </c>
      <c r="D9654" t="inlineStr">
        <is>
          <t>VÄSTERNORRLANDS LÄN</t>
        </is>
      </c>
      <c r="E9654" t="inlineStr">
        <is>
          <t>SUNDSVALL</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63180-2025</t>
        </is>
      </c>
      <c r="B9655" s="1" t="n">
        <v>46010.42760416667</v>
      </c>
      <c r="C9655" s="1" t="n">
        <v>46093</v>
      </c>
      <c r="D9655" t="inlineStr">
        <is>
          <t>VÄSTERNORRLANDS LÄN</t>
        </is>
      </c>
      <c r="E9655" t="inlineStr">
        <is>
          <t>SOLLEFTEÅ</t>
        </is>
      </c>
      <c r="G9655" t="n">
        <v>4.4</v>
      </c>
      <c r="H9655" t="n">
        <v>0</v>
      </c>
      <c r="I9655" t="n">
        <v>0</v>
      </c>
      <c r="J9655" t="n">
        <v>0</v>
      </c>
      <c r="K9655" t="n">
        <v>0</v>
      </c>
      <c r="L9655" t="n">
        <v>0</v>
      </c>
      <c r="M9655" t="n">
        <v>0</v>
      </c>
      <c r="N9655" t="n">
        <v>0</v>
      </c>
      <c r="O9655" t="n">
        <v>0</v>
      </c>
      <c r="P9655" t="n">
        <v>0</v>
      </c>
      <c r="Q9655" t="n">
        <v>0</v>
      </c>
      <c r="R9655" s="2" t="inlineStr"/>
    </row>
    <row r="9656" ht="15" customHeight="1">
      <c r="A9656" t="inlineStr">
        <is>
          <t>A 42059-2023</t>
        </is>
      </c>
      <c r="B9656" s="1" t="n">
        <v>45177.56361111111</v>
      </c>
      <c r="C9656" s="1" t="n">
        <v>46093</v>
      </c>
      <c r="D9656" t="inlineStr">
        <is>
          <t>VÄSTERNORRLANDS LÄN</t>
        </is>
      </c>
      <c r="E9656" t="inlineStr">
        <is>
          <t>ÖRNSKÖLDSVIK</t>
        </is>
      </c>
      <c r="G9656" t="n">
        <v>1.8</v>
      </c>
      <c r="H9656" t="n">
        <v>0</v>
      </c>
      <c r="I9656" t="n">
        <v>0</v>
      </c>
      <c r="J9656" t="n">
        <v>0</v>
      </c>
      <c r="K9656" t="n">
        <v>0</v>
      </c>
      <c r="L9656" t="n">
        <v>0</v>
      </c>
      <c r="M9656" t="n">
        <v>0</v>
      </c>
      <c r="N9656" t="n">
        <v>0</v>
      </c>
      <c r="O9656" t="n">
        <v>0</v>
      </c>
      <c r="P9656" t="n">
        <v>0</v>
      </c>
      <c r="Q9656" t="n">
        <v>0</v>
      </c>
      <c r="R9656" s="2" t="inlineStr"/>
    </row>
    <row r="9657" ht="15" customHeight="1">
      <c r="A9657" t="inlineStr">
        <is>
          <t>A 62926-2025</t>
        </is>
      </c>
      <c r="B9657" s="1" t="n">
        <v>46009.38605324074</v>
      </c>
      <c r="C9657" s="1" t="n">
        <v>46093</v>
      </c>
      <c r="D9657" t="inlineStr">
        <is>
          <t>VÄSTERNORRLANDS LÄN</t>
        </is>
      </c>
      <c r="E9657" t="inlineStr">
        <is>
          <t>KRAMFORS</t>
        </is>
      </c>
      <c r="G9657" t="n">
        <v>4.9</v>
      </c>
      <c r="H9657" t="n">
        <v>0</v>
      </c>
      <c r="I9657" t="n">
        <v>0</v>
      </c>
      <c r="J9657" t="n">
        <v>0</v>
      </c>
      <c r="K9657" t="n">
        <v>0</v>
      </c>
      <c r="L9657" t="n">
        <v>0</v>
      </c>
      <c r="M9657" t="n">
        <v>0</v>
      </c>
      <c r="N9657" t="n">
        <v>0</v>
      </c>
      <c r="O9657" t="n">
        <v>0</v>
      </c>
      <c r="P9657" t="n">
        <v>0</v>
      </c>
      <c r="Q9657" t="n">
        <v>0</v>
      </c>
      <c r="R9657" s="2" t="inlineStr"/>
    </row>
    <row r="9658" ht="15" customHeight="1">
      <c r="A9658" t="inlineStr">
        <is>
          <t>A 58710-2024</t>
        </is>
      </c>
      <c r="B9658" s="1" t="n">
        <v>45635.64413194444</v>
      </c>
      <c r="C9658" s="1" t="n">
        <v>46093</v>
      </c>
      <c r="D9658" t="inlineStr">
        <is>
          <t>VÄSTERNORRLANDS LÄN</t>
        </is>
      </c>
      <c r="E9658" t="inlineStr">
        <is>
          <t>ÖRNSKÖLDSVIK</t>
        </is>
      </c>
      <c r="G9658" t="n">
        <v>2.3</v>
      </c>
      <c r="H9658" t="n">
        <v>0</v>
      </c>
      <c r="I9658" t="n">
        <v>0</v>
      </c>
      <c r="J9658" t="n">
        <v>0</v>
      </c>
      <c r="K9658" t="n">
        <v>0</v>
      </c>
      <c r="L9658" t="n">
        <v>0</v>
      </c>
      <c r="M9658" t="n">
        <v>0</v>
      </c>
      <c r="N9658" t="n">
        <v>0</v>
      </c>
      <c r="O9658" t="n">
        <v>0</v>
      </c>
      <c r="P9658" t="n">
        <v>0</v>
      </c>
      <c r="Q9658" t="n">
        <v>0</v>
      </c>
      <c r="R9658" s="2" t="inlineStr"/>
    </row>
    <row r="9659" ht="15" customHeight="1">
      <c r="A9659" t="inlineStr">
        <is>
          <t>A 63311-2025</t>
        </is>
      </c>
      <c r="B9659" s="1" t="n">
        <v>46010.62244212963</v>
      </c>
      <c r="C9659" s="1" t="n">
        <v>46093</v>
      </c>
      <c r="D9659" t="inlineStr">
        <is>
          <t>VÄSTERNORRLANDS LÄN</t>
        </is>
      </c>
      <c r="E9659" t="inlineStr">
        <is>
          <t>ÖRNSKÖLDSVIK</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63316-2025</t>
        </is>
      </c>
      <c r="B9660" s="1" t="n">
        <v>46010.63252314815</v>
      </c>
      <c r="C9660" s="1" t="n">
        <v>46093</v>
      </c>
      <c r="D9660" t="inlineStr">
        <is>
          <t>VÄSTERNORRLANDS LÄN</t>
        </is>
      </c>
      <c r="E9660" t="inlineStr">
        <is>
          <t>SUNDSVALL</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63173-2025</t>
        </is>
      </c>
      <c r="B9661" s="1" t="n">
        <v>46010.40679398148</v>
      </c>
      <c r="C9661" s="1" t="n">
        <v>46093</v>
      </c>
      <c r="D9661" t="inlineStr">
        <is>
          <t>VÄSTERNORRLANDS LÄN</t>
        </is>
      </c>
      <c r="E9661" t="inlineStr">
        <is>
          <t>ÅNGE</t>
        </is>
      </c>
      <c r="G9661" t="n">
        <v>1.5</v>
      </c>
      <c r="H9661" t="n">
        <v>0</v>
      </c>
      <c r="I9661" t="n">
        <v>0</v>
      </c>
      <c r="J9661" t="n">
        <v>0</v>
      </c>
      <c r="K9661" t="n">
        <v>0</v>
      </c>
      <c r="L9661" t="n">
        <v>0</v>
      </c>
      <c r="M9661" t="n">
        <v>0</v>
      </c>
      <c r="N9661" t="n">
        <v>0</v>
      </c>
      <c r="O9661" t="n">
        <v>0</v>
      </c>
      <c r="P9661" t="n">
        <v>0</v>
      </c>
      <c r="Q9661" t="n">
        <v>0</v>
      </c>
      <c r="R9661" s="2" t="inlineStr"/>
    </row>
    <row r="9662" ht="15" customHeight="1">
      <c r="A9662" t="inlineStr">
        <is>
          <t>A 44392-2023</t>
        </is>
      </c>
      <c r="B9662" s="1" t="n">
        <v>45188.94527777778</v>
      </c>
      <c r="C9662" s="1" t="n">
        <v>46093</v>
      </c>
      <c r="D9662" t="inlineStr">
        <is>
          <t>VÄSTERNORRLANDS LÄN</t>
        </is>
      </c>
      <c r="E9662" t="inlineStr">
        <is>
          <t>SOLLEFTEÅ</t>
        </is>
      </c>
      <c r="F9662" t="inlineStr">
        <is>
          <t>SCA</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48703-2023</t>
        </is>
      </c>
      <c r="B9663" s="1" t="n">
        <v>45208</v>
      </c>
      <c r="C9663" s="1" t="n">
        <v>46093</v>
      </c>
      <c r="D9663" t="inlineStr">
        <is>
          <t>VÄSTERNORRLANDS LÄN</t>
        </is>
      </c>
      <c r="E9663" t="inlineStr">
        <is>
          <t>ÖRNSKÖLDSVIK</t>
        </is>
      </c>
      <c r="G9663" t="n">
        <v>2</v>
      </c>
      <c r="H9663" t="n">
        <v>0</v>
      </c>
      <c r="I9663" t="n">
        <v>0</v>
      </c>
      <c r="J9663" t="n">
        <v>0</v>
      </c>
      <c r="K9663" t="n">
        <v>0</v>
      </c>
      <c r="L9663" t="n">
        <v>0</v>
      </c>
      <c r="M9663" t="n">
        <v>0</v>
      </c>
      <c r="N9663" t="n">
        <v>0</v>
      </c>
      <c r="O9663" t="n">
        <v>0</v>
      </c>
      <c r="P9663" t="n">
        <v>0</v>
      </c>
      <c r="Q9663" t="n">
        <v>0</v>
      </c>
      <c r="R9663" s="2" t="inlineStr"/>
    </row>
    <row r="9664" ht="15" customHeight="1">
      <c r="A9664" t="inlineStr">
        <is>
          <t>A 5671-2026</t>
        </is>
      </c>
      <c r="B9664" s="1" t="n">
        <v>46051.46965277778</v>
      </c>
      <c r="C9664" s="1" t="n">
        <v>46093</v>
      </c>
      <c r="D9664" t="inlineStr">
        <is>
          <t>VÄSTERNORRLANDS LÄN</t>
        </is>
      </c>
      <c r="E9664" t="inlineStr">
        <is>
          <t>ÅNGE</t>
        </is>
      </c>
      <c r="F9664" t="inlineStr">
        <is>
          <t>SCA</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63278-2025</t>
        </is>
      </c>
      <c r="B9665" s="1" t="n">
        <v>46010.58253472222</v>
      </c>
      <c r="C9665" s="1" t="n">
        <v>46093</v>
      </c>
      <c r="D9665" t="inlineStr">
        <is>
          <t>VÄSTERNORRLANDS LÄN</t>
        </is>
      </c>
      <c r="E9665" t="inlineStr">
        <is>
          <t>ÖRNSKÖLDSVIK</t>
        </is>
      </c>
      <c r="G9665" t="n">
        <v>9.4</v>
      </c>
      <c r="H9665" t="n">
        <v>0</v>
      </c>
      <c r="I9665" t="n">
        <v>0</v>
      </c>
      <c r="J9665" t="n">
        <v>0</v>
      </c>
      <c r="K9665" t="n">
        <v>0</v>
      </c>
      <c r="L9665" t="n">
        <v>0</v>
      </c>
      <c r="M9665" t="n">
        <v>0</v>
      </c>
      <c r="N9665" t="n">
        <v>0</v>
      </c>
      <c r="O9665" t="n">
        <v>0</v>
      </c>
      <c r="P9665" t="n">
        <v>0</v>
      </c>
      <c r="Q9665" t="n">
        <v>0</v>
      </c>
      <c r="R9665" s="2" t="inlineStr"/>
    </row>
    <row r="9666" ht="15" customHeight="1">
      <c r="A9666" t="inlineStr">
        <is>
          <t>A 59451-2023</t>
        </is>
      </c>
      <c r="B9666" s="1" t="n">
        <v>45254</v>
      </c>
      <c r="C9666" s="1" t="n">
        <v>46093</v>
      </c>
      <c r="D9666" t="inlineStr">
        <is>
          <t>VÄSTERNORRLANDS LÄN</t>
        </is>
      </c>
      <c r="E9666" t="inlineStr">
        <is>
          <t>ÖRNSKÖLDSVIK</t>
        </is>
      </c>
      <c r="G9666" t="n">
        <v>5.9</v>
      </c>
      <c r="H9666" t="n">
        <v>0</v>
      </c>
      <c r="I9666" t="n">
        <v>0</v>
      </c>
      <c r="J9666" t="n">
        <v>0</v>
      </c>
      <c r="K9666" t="n">
        <v>0</v>
      </c>
      <c r="L9666" t="n">
        <v>0</v>
      </c>
      <c r="M9666" t="n">
        <v>0</v>
      </c>
      <c r="N9666" t="n">
        <v>0</v>
      </c>
      <c r="O9666" t="n">
        <v>0</v>
      </c>
      <c r="P9666" t="n">
        <v>0</v>
      </c>
      <c r="Q9666" t="n">
        <v>0</v>
      </c>
      <c r="R9666" s="2" t="inlineStr"/>
    </row>
    <row r="9667" ht="15" customHeight="1">
      <c r="A9667" t="inlineStr">
        <is>
          <t>A 63282-2025</t>
        </is>
      </c>
      <c r="B9667" s="1" t="n">
        <v>46010.58715277778</v>
      </c>
      <c r="C9667" s="1" t="n">
        <v>46093</v>
      </c>
      <c r="D9667" t="inlineStr">
        <is>
          <t>VÄSTERNORRLANDS LÄN</t>
        </is>
      </c>
      <c r="E9667" t="inlineStr">
        <is>
          <t>ÖRNSKÖLDSVIK</t>
        </is>
      </c>
      <c r="F9667" t="inlineStr">
        <is>
          <t>Holmen skog AB</t>
        </is>
      </c>
      <c r="G9667" t="n">
        <v>6.7</v>
      </c>
      <c r="H9667" t="n">
        <v>0</v>
      </c>
      <c r="I9667" t="n">
        <v>0</v>
      </c>
      <c r="J9667" t="n">
        <v>0</v>
      </c>
      <c r="K9667" t="n">
        <v>0</v>
      </c>
      <c r="L9667" t="n">
        <v>0</v>
      </c>
      <c r="M9667" t="n">
        <v>0</v>
      </c>
      <c r="N9667" t="n">
        <v>0</v>
      </c>
      <c r="O9667" t="n">
        <v>0</v>
      </c>
      <c r="P9667" t="n">
        <v>0</v>
      </c>
      <c r="Q9667" t="n">
        <v>0</v>
      </c>
      <c r="R9667" s="2" t="inlineStr"/>
    </row>
    <row r="9668" ht="15" customHeight="1">
      <c r="A9668" t="inlineStr">
        <is>
          <t>A 28794-2024</t>
        </is>
      </c>
      <c r="B9668" s="1" t="n">
        <v>45478.61696759259</v>
      </c>
      <c r="C9668" s="1" t="n">
        <v>46093</v>
      </c>
      <c r="D9668" t="inlineStr">
        <is>
          <t>VÄSTERNORRLANDS LÄN</t>
        </is>
      </c>
      <c r="E9668" t="inlineStr">
        <is>
          <t>SUNDSVALL</t>
        </is>
      </c>
      <c r="G9668" t="n">
        <v>0.4</v>
      </c>
      <c r="H9668" t="n">
        <v>0</v>
      </c>
      <c r="I9668" t="n">
        <v>0</v>
      </c>
      <c r="J9668" t="n">
        <v>0</v>
      </c>
      <c r="K9668" t="n">
        <v>0</v>
      </c>
      <c r="L9668" t="n">
        <v>0</v>
      </c>
      <c r="M9668" t="n">
        <v>0</v>
      </c>
      <c r="N9668" t="n">
        <v>0</v>
      </c>
      <c r="O9668" t="n">
        <v>0</v>
      </c>
      <c r="P9668" t="n">
        <v>0</v>
      </c>
      <c r="Q9668" t="n">
        <v>0</v>
      </c>
      <c r="R9668" s="2" t="inlineStr"/>
    </row>
    <row r="9669" ht="15" customHeight="1">
      <c r="A9669" t="inlineStr">
        <is>
          <t>A 43946-2023</t>
        </is>
      </c>
      <c r="B9669" s="1" t="n">
        <v>45187</v>
      </c>
      <c r="C9669" s="1" t="n">
        <v>46093</v>
      </c>
      <c r="D9669" t="inlineStr">
        <is>
          <t>VÄSTERNORRLANDS LÄN</t>
        </is>
      </c>
      <c r="E9669" t="inlineStr">
        <is>
          <t>SUNDSVALL</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63247-2025</t>
        </is>
      </c>
      <c r="B9670" s="1" t="n">
        <v>46010.53912037037</v>
      </c>
      <c r="C9670" s="1" t="n">
        <v>46093</v>
      </c>
      <c r="D9670" t="inlineStr">
        <is>
          <t>VÄSTERNORRLANDS LÄN</t>
        </is>
      </c>
      <c r="E9670" t="inlineStr">
        <is>
          <t>ÖRNSKÖLDSVIK</t>
        </is>
      </c>
      <c r="F9670" t="inlineStr">
        <is>
          <t>Holmen skog AB</t>
        </is>
      </c>
      <c r="G9670" t="n">
        <v>11.9</v>
      </c>
      <c r="H9670" t="n">
        <v>0</v>
      </c>
      <c r="I9670" t="n">
        <v>0</v>
      </c>
      <c r="J9670" t="n">
        <v>0</v>
      </c>
      <c r="K9670" t="n">
        <v>0</v>
      </c>
      <c r="L9670" t="n">
        <v>0</v>
      </c>
      <c r="M9670" t="n">
        <v>0</v>
      </c>
      <c r="N9670" t="n">
        <v>0</v>
      </c>
      <c r="O9670" t="n">
        <v>0</v>
      </c>
      <c r="P9670" t="n">
        <v>0</v>
      </c>
      <c r="Q9670" t="n">
        <v>0</v>
      </c>
      <c r="R9670" s="2" t="inlineStr"/>
    </row>
    <row r="9671" ht="15" customHeight="1">
      <c r="A9671" t="inlineStr">
        <is>
          <t>A 59402-2025</t>
        </is>
      </c>
      <c r="B9671" s="1" t="n">
        <v>45989</v>
      </c>
      <c r="C9671" s="1" t="n">
        <v>46093</v>
      </c>
      <c r="D9671" t="inlineStr">
        <is>
          <t>VÄSTERNORRLANDS LÄN</t>
        </is>
      </c>
      <c r="E9671" t="inlineStr">
        <is>
          <t>SOLLEFTEÅ</t>
        </is>
      </c>
      <c r="G9671" t="n">
        <v>1.5</v>
      </c>
      <c r="H9671" t="n">
        <v>0</v>
      </c>
      <c r="I9671" t="n">
        <v>0</v>
      </c>
      <c r="J9671" t="n">
        <v>0</v>
      </c>
      <c r="K9671" t="n">
        <v>0</v>
      </c>
      <c r="L9671" t="n">
        <v>0</v>
      </c>
      <c r="M9671" t="n">
        <v>0</v>
      </c>
      <c r="N9671" t="n">
        <v>0</v>
      </c>
      <c r="O9671" t="n">
        <v>0</v>
      </c>
      <c r="P9671" t="n">
        <v>0</v>
      </c>
      <c r="Q9671" t="n">
        <v>0</v>
      </c>
      <c r="R9671" s="2" t="inlineStr"/>
    </row>
    <row r="9672" ht="15" customHeight="1">
      <c r="A9672" t="inlineStr">
        <is>
          <t>A 62972-2025</t>
        </is>
      </c>
      <c r="B9672" s="1" t="n">
        <v>46009.46590277777</v>
      </c>
      <c r="C9672" s="1" t="n">
        <v>46093</v>
      </c>
      <c r="D9672" t="inlineStr">
        <is>
          <t>VÄSTERNORRLANDS LÄN</t>
        </is>
      </c>
      <c r="E9672" t="inlineStr">
        <is>
          <t>SUNDSVALL</t>
        </is>
      </c>
      <c r="G9672" t="n">
        <v>2.8</v>
      </c>
      <c r="H9672" t="n">
        <v>0</v>
      </c>
      <c r="I9672" t="n">
        <v>0</v>
      </c>
      <c r="J9672" t="n">
        <v>0</v>
      </c>
      <c r="K9672" t="n">
        <v>0</v>
      </c>
      <c r="L9672" t="n">
        <v>0</v>
      </c>
      <c r="M9672" t="n">
        <v>0</v>
      </c>
      <c r="N9672" t="n">
        <v>0</v>
      </c>
      <c r="O9672" t="n">
        <v>0</v>
      </c>
      <c r="P9672" t="n">
        <v>0</v>
      </c>
      <c r="Q9672" t="n">
        <v>0</v>
      </c>
      <c r="R9672" s="2" t="inlineStr"/>
    </row>
    <row r="9673" ht="15" customHeight="1">
      <c r="A9673" t="inlineStr">
        <is>
          <t>A 34603-2024</t>
        </is>
      </c>
      <c r="B9673" s="1" t="n">
        <v>45526.40513888889</v>
      </c>
      <c r="C9673" s="1" t="n">
        <v>46093</v>
      </c>
      <c r="D9673" t="inlineStr">
        <is>
          <t>VÄSTERNORRLANDS LÄN</t>
        </is>
      </c>
      <c r="E9673" t="inlineStr">
        <is>
          <t>ÖRNSKÖLDSVIK</t>
        </is>
      </c>
      <c r="F9673" t="inlineStr">
        <is>
          <t>Holmen skog AB</t>
        </is>
      </c>
      <c r="G9673" t="n">
        <v>3.7</v>
      </c>
      <c r="H9673" t="n">
        <v>0</v>
      </c>
      <c r="I9673" t="n">
        <v>0</v>
      </c>
      <c r="J9673" t="n">
        <v>0</v>
      </c>
      <c r="K9673" t="n">
        <v>0</v>
      </c>
      <c r="L9673" t="n">
        <v>0</v>
      </c>
      <c r="M9673" t="n">
        <v>0</v>
      </c>
      <c r="N9673" t="n">
        <v>0</v>
      </c>
      <c r="O9673" t="n">
        <v>0</v>
      </c>
      <c r="P9673" t="n">
        <v>0</v>
      </c>
      <c r="Q9673" t="n">
        <v>0</v>
      </c>
      <c r="R9673" s="2" t="inlineStr"/>
    </row>
    <row r="9674" ht="15" customHeight="1">
      <c r="A9674" t="inlineStr">
        <is>
          <t>A 63068-2023</t>
        </is>
      </c>
      <c r="B9674" s="1" t="n">
        <v>45272</v>
      </c>
      <c r="C9674" s="1" t="n">
        <v>46093</v>
      </c>
      <c r="D9674" t="inlineStr">
        <is>
          <t>VÄSTERNORRLANDS LÄN</t>
        </is>
      </c>
      <c r="E9674" t="inlineStr">
        <is>
          <t>SUNDSVALL</t>
        </is>
      </c>
      <c r="G9674" t="n">
        <v>1.3</v>
      </c>
      <c r="H9674" t="n">
        <v>0</v>
      </c>
      <c r="I9674" t="n">
        <v>0</v>
      </c>
      <c r="J9674" t="n">
        <v>0</v>
      </c>
      <c r="K9674" t="n">
        <v>0</v>
      </c>
      <c r="L9674" t="n">
        <v>0</v>
      </c>
      <c r="M9674" t="n">
        <v>0</v>
      </c>
      <c r="N9674" t="n">
        <v>0</v>
      </c>
      <c r="O9674" t="n">
        <v>0</v>
      </c>
      <c r="P9674" t="n">
        <v>0</v>
      </c>
      <c r="Q9674" t="n">
        <v>0</v>
      </c>
      <c r="R9674" s="2" t="inlineStr"/>
    </row>
    <row r="9675" ht="15" customHeight="1">
      <c r="A9675" t="inlineStr">
        <is>
          <t>A 42160-2023</t>
        </is>
      </c>
      <c r="B9675" s="1" t="n">
        <v>45177</v>
      </c>
      <c r="C9675" s="1" t="n">
        <v>46093</v>
      </c>
      <c r="D9675" t="inlineStr">
        <is>
          <t>VÄSTERNORRLANDS LÄN</t>
        </is>
      </c>
      <c r="E9675" t="inlineStr">
        <is>
          <t>SOLLEFTEÅ</t>
        </is>
      </c>
      <c r="F9675" t="inlineStr">
        <is>
          <t>SCA</t>
        </is>
      </c>
      <c r="G9675" t="n">
        <v>4.1</v>
      </c>
      <c r="H9675" t="n">
        <v>0</v>
      </c>
      <c r="I9675" t="n">
        <v>0</v>
      </c>
      <c r="J9675" t="n">
        <v>0</v>
      </c>
      <c r="K9675" t="n">
        <v>0</v>
      </c>
      <c r="L9675" t="n">
        <v>0</v>
      </c>
      <c r="M9675" t="n">
        <v>0</v>
      </c>
      <c r="N9675" t="n">
        <v>0</v>
      </c>
      <c r="O9675" t="n">
        <v>0</v>
      </c>
      <c r="P9675" t="n">
        <v>0</v>
      </c>
      <c r="Q9675" t="n">
        <v>0</v>
      </c>
      <c r="R9675" s="2" t="inlineStr"/>
    </row>
    <row r="9676" ht="15" customHeight="1">
      <c r="A9676" t="inlineStr">
        <is>
          <t>A 47769-2024</t>
        </is>
      </c>
      <c r="B9676" s="1" t="n">
        <v>45588.56342592592</v>
      </c>
      <c r="C9676" s="1" t="n">
        <v>46093</v>
      </c>
      <c r="D9676" t="inlineStr">
        <is>
          <t>VÄSTERNORRLANDS LÄN</t>
        </is>
      </c>
      <c r="E9676" t="inlineStr">
        <is>
          <t>SUNDSVALL</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62903-2025</t>
        </is>
      </c>
      <c r="B9677" s="1" t="n">
        <v>46009.34466435185</v>
      </c>
      <c r="C9677" s="1" t="n">
        <v>46093</v>
      </c>
      <c r="D9677" t="inlineStr">
        <is>
          <t>VÄSTERNORRLANDS LÄN</t>
        </is>
      </c>
      <c r="E9677" t="inlineStr">
        <is>
          <t>SOLLEFTEÅ</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62911-2025</t>
        </is>
      </c>
      <c r="B9678" s="1" t="n">
        <v>46009</v>
      </c>
      <c r="C9678" s="1" t="n">
        <v>46093</v>
      </c>
      <c r="D9678" t="inlineStr">
        <is>
          <t>VÄSTERNORRLANDS LÄN</t>
        </is>
      </c>
      <c r="E9678" t="inlineStr">
        <is>
          <t>KRAMFORS</t>
        </is>
      </c>
      <c r="G9678" t="n">
        <v>3</v>
      </c>
      <c r="H9678" t="n">
        <v>0</v>
      </c>
      <c r="I9678" t="n">
        <v>0</v>
      </c>
      <c r="J9678" t="n">
        <v>0</v>
      </c>
      <c r="K9678" t="n">
        <v>0</v>
      </c>
      <c r="L9678" t="n">
        <v>0</v>
      </c>
      <c r="M9678" t="n">
        <v>0</v>
      </c>
      <c r="N9678" t="n">
        <v>0</v>
      </c>
      <c r="O9678" t="n">
        <v>0</v>
      </c>
      <c r="P9678" t="n">
        <v>0</v>
      </c>
      <c r="Q9678" t="n">
        <v>0</v>
      </c>
      <c r="R9678" s="2" t="inlineStr"/>
    </row>
    <row r="9679" ht="15" customHeight="1">
      <c r="A9679" t="inlineStr">
        <is>
          <t>A 5882-2026</t>
        </is>
      </c>
      <c r="B9679" s="1" t="n">
        <v>46052.39703703704</v>
      </c>
      <c r="C9679" s="1" t="n">
        <v>46093</v>
      </c>
      <c r="D9679" t="inlineStr">
        <is>
          <t>VÄSTERNORRLANDS LÄN</t>
        </is>
      </c>
      <c r="E9679" t="inlineStr">
        <is>
          <t>ÅNGE</t>
        </is>
      </c>
      <c r="G9679" t="n">
        <v>1.6</v>
      </c>
      <c r="H9679" t="n">
        <v>0</v>
      </c>
      <c r="I9679" t="n">
        <v>0</v>
      </c>
      <c r="J9679" t="n">
        <v>0</v>
      </c>
      <c r="K9679" t="n">
        <v>0</v>
      </c>
      <c r="L9679" t="n">
        <v>0</v>
      </c>
      <c r="M9679" t="n">
        <v>0</v>
      </c>
      <c r="N9679" t="n">
        <v>0</v>
      </c>
      <c r="O9679" t="n">
        <v>0</v>
      </c>
      <c r="P9679" t="n">
        <v>0</v>
      </c>
      <c r="Q9679" t="n">
        <v>0</v>
      </c>
      <c r="R9679" s="2" t="inlineStr"/>
    </row>
    <row r="9680" ht="15" customHeight="1">
      <c r="A9680" t="inlineStr">
        <is>
          <t>A 6051-2026</t>
        </is>
      </c>
      <c r="B9680" s="1" t="n">
        <v>46052</v>
      </c>
      <c r="C9680" s="1" t="n">
        <v>46093</v>
      </c>
      <c r="D9680" t="inlineStr">
        <is>
          <t>VÄSTERNORRLANDS LÄN</t>
        </is>
      </c>
      <c r="E9680" t="inlineStr">
        <is>
          <t>ÖRNSKÖLDSVIK</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39469-2024</t>
        </is>
      </c>
      <c r="B9681" s="1" t="n">
        <v>45551</v>
      </c>
      <c r="C9681" s="1" t="n">
        <v>46093</v>
      </c>
      <c r="D9681" t="inlineStr">
        <is>
          <t>VÄSTERNORRLANDS LÄN</t>
        </is>
      </c>
      <c r="E9681" t="inlineStr">
        <is>
          <t>SOLLEFTEÅ</t>
        </is>
      </c>
      <c r="G9681" t="n">
        <v>2.8</v>
      </c>
      <c r="H9681" t="n">
        <v>0</v>
      </c>
      <c r="I9681" t="n">
        <v>0</v>
      </c>
      <c r="J9681" t="n">
        <v>0</v>
      </c>
      <c r="K9681" t="n">
        <v>0</v>
      </c>
      <c r="L9681" t="n">
        <v>0</v>
      </c>
      <c r="M9681" t="n">
        <v>0</v>
      </c>
      <c r="N9681" t="n">
        <v>0</v>
      </c>
      <c r="O9681" t="n">
        <v>0</v>
      </c>
      <c r="P9681" t="n">
        <v>0</v>
      </c>
      <c r="Q9681" t="n">
        <v>0</v>
      </c>
      <c r="R9681" s="2" t="inlineStr"/>
    </row>
    <row r="9682" ht="15" customHeight="1">
      <c r="A9682" t="inlineStr">
        <is>
          <t>A 41758-2024</t>
        </is>
      </c>
      <c r="B9682" s="1" t="n">
        <v>45561.34478009259</v>
      </c>
      <c r="C9682" s="1" t="n">
        <v>46093</v>
      </c>
      <c r="D9682" t="inlineStr">
        <is>
          <t>VÄSTERNORRLANDS LÄN</t>
        </is>
      </c>
      <c r="E9682" t="inlineStr">
        <is>
          <t>ÅNGE</t>
        </is>
      </c>
      <c r="F9682" t="inlineStr">
        <is>
          <t>SCA</t>
        </is>
      </c>
      <c r="G9682" t="n">
        <v>4.2</v>
      </c>
      <c r="H9682" t="n">
        <v>0</v>
      </c>
      <c r="I9682" t="n">
        <v>0</v>
      </c>
      <c r="J9682" t="n">
        <v>0</v>
      </c>
      <c r="K9682" t="n">
        <v>0</v>
      </c>
      <c r="L9682" t="n">
        <v>0</v>
      </c>
      <c r="M9682" t="n">
        <v>0</v>
      </c>
      <c r="N9682" t="n">
        <v>0</v>
      </c>
      <c r="O9682" t="n">
        <v>0</v>
      </c>
      <c r="P9682" t="n">
        <v>0</v>
      </c>
      <c r="Q9682" t="n">
        <v>0</v>
      </c>
      <c r="R9682" s="2" t="inlineStr"/>
    </row>
    <row r="9683" ht="15" customHeight="1">
      <c r="A9683" t="inlineStr">
        <is>
          <t>A 63216-2025</t>
        </is>
      </c>
      <c r="B9683" s="1" t="n">
        <v>46010</v>
      </c>
      <c r="C9683" s="1" t="n">
        <v>46093</v>
      </c>
      <c r="D9683" t="inlineStr">
        <is>
          <t>VÄSTERNORRLANDS LÄN</t>
        </is>
      </c>
      <c r="E9683" t="inlineStr">
        <is>
          <t>ÖRNSKÖLDSVIK</t>
        </is>
      </c>
      <c r="G9683" t="n">
        <v>2.7</v>
      </c>
      <c r="H9683" t="n">
        <v>0</v>
      </c>
      <c r="I9683" t="n">
        <v>0</v>
      </c>
      <c r="J9683" t="n">
        <v>0</v>
      </c>
      <c r="K9683" t="n">
        <v>0</v>
      </c>
      <c r="L9683" t="n">
        <v>0</v>
      </c>
      <c r="M9683" t="n">
        <v>0</v>
      </c>
      <c r="N9683" t="n">
        <v>0</v>
      </c>
      <c r="O9683" t="n">
        <v>0</v>
      </c>
      <c r="P9683" t="n">
        <v>0</v>
      </c>
      <c r="Q9683" t="n">
        <v>0</v>
      </c>
      <c r="R9683" s="2" t="inlineStr"/>
    </row>
    <row r="9684" ht="15" customHeight="1">
      <c r="A9684" t="inlineStr">
        <is>
          <t>A 5433-2024</t>
        </is>
      </c>
      <c r="B9684" s="1" t="n">
        <v>45331</v>
      </c>
      <c r="C9684" s="1" t="n">
        <v>46093</v>
      </c>
      <c r="D9684" t="inlineStr">
        <is>
          <t>VÄSTERNORRLANDS LÄN</t>
        </is>
      </c>
      <c r="E9684" t="inlineStr">
        <is>
          <t>ÅNGE</t>
        </is>
      </c>
      <c r="G9684" t="n">
        <v>2.1</v>
      </c>
      <c r="H9684" t="n">
        <v>0</v>
      </c>
      <c r="I9684" t="n">
        <v>0</v>
      </c>
      <c r="J9684" t="n">
        <v>0</v>
      </c>
      <c r="K9684" t="n">
        <v>0</v>
      </c>
      <c r="L9684" t="n">
        <v>0</v>
      </c>
      <c r="M9684" t="n">
        <v>0</v>
      </c>
      <c r="N9684" t="n">
        <v>0</v>
      </c>
      <c r="O9684" t="n">
        <v>0</v>
      </c>
      <c r="P9684" t="n">
        <v>0</v>
      </c>
      <c r="Q9684" t="n">
        <v>0</v>
      </c>
      <c r="R9684" s="2" t="inlineStr"/>
    </row>
    <row r="9685" ht="15" customHeight="1">
      <c r="A9685" t="inlineStr">
        <is>
          <t>A 8053-2024</t>
        </is>
      </c>
      <c r="B9685" s="1" t="n">
        <v>45351.35907407408</v>
      </c>
      <c r="C9685" s="1" t="n">
        <v>46093</v>
      </c>
      <c r="D9685" t="inlineStr">
        <is>
          <t>VÄSTERNORRLANDS LÄN</t>
        </is>
      </c>
      <c r="E9685" t="inlineStr">
        <is>
          <t>ÖRNSKÖLDSVIK</t>
        </is>
      </c>
      <c r="G9685" t="n">
        <v>6.2</v>
      </c>
      <c r="H9685" t="n">
        <v>0</v>
      </c>
      <c r="I9685" t="n">
        <v>0</v>
      </c>
      <c r="J9685" t="n">
        <v>0</v>
      </c>
      <c r="K9685" t="n">
        <v>0</v>
      </c>
      <c r="L9685" t="n">
        <v>0</v>
      </c>
      <c r="M9685" t="n">
        <v>0</v>
      </c>
      <c r="N9685" t="n">
        <v>0</v>
      </c>
      <c r="O9685" t="n">
        <v>0</v>
      </c>
      <c r="P9685" t="n">
        <v>0</v>
      </c>
      <c r="Q9685" t="n">
        <v>0</v>
      </c>
      <c r="R9685" s="2" t="inlineStr"/>
    </row>
    <row r="9686" ht="15" customHeight="1">
      <c r="A9686" t="inlineStr">
        <is>
          <t>A 6053-2026</t>
        </is>
      </c>
      <c r="B9686" s="1" t="n">
        <v>46052.6358912037</v>
      </c>
      <c r="C9686" s="1" t="n">
        <v>46093</v>
      </c>
      <c r="D9686" t="inlineStr">
        <is>
          <t>VÄSTERNORRLANDS LÄN</t>
        </is>
      </c>
      <c r="E9686" t="inlineStr">
        <is>
          <t>SOLLEFTEÅ</t>
        </is>
      </c>
      <c r="F9686" t="inlineStr">
        <is>
          <t>SCA</t>
        </is>
      </c>
      <c r="G9686" t="n">
        <v>6.4</v>
      </c>
      <c r="H9686" t="n">
        <v>0</v>
      </c>
      <c r="I9686" t="n">
        <v>0</v>
      </c>
      <c r="J9686" t="n">
        <v>0</v>
      </c>
      <c r="K9686" t="n">
        <v>0</v>
      </c>
      <c r="L9686" t="n">
        <v>0</v>
      </c>
      <c r="M9686" t="n">
        <v>0</v>
      </c>
      <c r="N9686" t="n">
        <v>0</v>
      </c>
      <c r="O9686" t="n">
        <v>0</v>
      </c>
      <c r="P9686" t="n">
        <v>0</v>
      </c>
      <c r="Q9686" t="n">
        <v>0</v>
      </c>
      <c r="R9686" s="2" t="inlineStr"/>
    </row>
    <row r="9687" ht="15" customHeight="1">
      <c r="A9687" t="inlineStr">
        <is>
          <t>A 5854-2026</t>
        </is>
      </c>
      <c r="B9687" s="1" t="n">
        <v>46052.3628587963</v>
      </c>
      <c r="C9687" s="1" t="n">
        <v>46093</v>
      </c>
      <c r="D9687" t="inlineStr">
        <is>
          <t>VÄSTERNORRLANDS LÄN</t>
        </is>
      </c>
      <c r="E9687" t="inlineStr">
        <is>
          <t>SUNDSVALL</t>
        </is>
      </c>
      <c r="G9687" t="n">
        <v>1.4</v>
      </c>
      <c r="H9687" t="n">
        <v>0</v>
      </c>
      <c r="I9687" t="n">
        <v>0</v>
      </c>
      <c r="J9687" t="n">
        <v>0</v>
      </c>
      <c r="K9687" t="n">
        <v>0</v>
      </c>
      <c r="L9687" t="n">
        <v>0</v>
      </c>
      <c r="M9687" t="n">
        <v>0</v>
      </c>
      <c r="N9687" t="n">
        <v>0</v>
      </c>
      <c r="O9687" t="n">
        <v>0</v>
      </c>
      <c r="P9687" t="n">
        <v>0</v>
      </c>
      <c r="Q9687" t="n">
        <v>0</v>
      </c>
      <c r="R9687" s="2" t="inlineStr"/>
    </row>
    <row r="9688" ht="15" customHeight="1">
      <c r="A9688" t="inlineStr">
        <is>
          <t>A 53074-2025</t>
        </is>
      </c>
      <c r="B9688" s="1" t="n">
        <v>45958</v>
      </c>
      <c r="C9688" s="1" t="n">
        <v>46093</v>
      </c>
      <c r="D9688" t="inlineStr">
        <is>
          <t>VÄSTERNORRLANDS LÄN</t>
        </is>
      </c>
      <c r="E9688" t="inlineStr">
        <is>
          <t>ÖRNSKÖLDSVIK</t>
        </is>
      </c>
      <c r="G9688" t="n">
        <v>0.5</v>
      </c>
      <c r="H9688" t="n">
        <v>0</v>
      </c>
      <c r="I9688" t="n">
        <v>0</v>
      </c>
      <c r="J9688" t="n">
        <v>0</v>
      </c>
      <c r="K9688" t="n">
        <v>0</v>
      </c>
      <c r="L9688" t="n">
        <v>0</v>
      </c>
      <c r="M9688" t="n">
        <v>0</v>
      </c>
      <c r="N9688" t="n">
        <v>0</v>
      </c>
      <c r="O9688" t="n">
        <v>0</v>
      </c>
      <c r="P9688" t="n">
        <v>0</v>
      </c>
      <c r="Q9688" t="n">
        <v>0</v>
      </c>
      <c r="R9688" s="2" t="inlineStr"/>
    </row>
    <row r="9689" ht="15" customHeight="1">
      <c r="A9689" t="inlineStr">
        <is>
          <t>A 59660-2023</t>
        </is>
      </c>
      <c r="B9689" s="1" t="n">
        <v>45254</v>
      </c>
      <c r="C9689" s="1" t="n">
        <v>46093</v>
      </c>
      <c r="D9689" t="inlineStr">
        <is>
          <t>VÄSTERNORRLANDS LÄN</t>
        </is>
      </c>
      <c r="E9689" t="inlineStr">
        <is>
          <t>SUNDSVALL</t>
        </is>
      </c>
      <c r="F9689" t="inlineStr">
        <is>
          <t>SCA</t>
        </is>
      </c>
      <c r="G9689" t="n">
        <v>2.4</v>
      </c>
      <c r="H9689" t="n">
        <v>0</v>
      </c>
      <c r="I9689" t="n">
        <v>0</v>
      </c>
      <c r="J9689" t="n">
        <v>0</v>
      </c>
      <c r="K9689" t="n">
        <v>0</v>
      </c>
      <c r="L9689" t="n">
        <v>0</v>
      </c>
      <c r="M9689" t="n">
        <v>0</v>
      </c>
      <c r="N9689" t="n">
        <v>0</v>
      </c>
      <c r="O9689" t="n">
        <v>0</v>
      </c>
      <c r="P9689" t="n">
        <v>0</v>
      </c>
      <c r="Q9689" t="n">
        <v>0</v>
      </c>
      <c r="R9689" s="2" t="inlineStr"/>
    </row>
    <row r="9690" ht="15" customHeight="1">
      <c r="A9690" t="inlineStr">
        <is>
          <t>A 59661-2023</t>
        </is>
      </c>
      <c r="B9690" s="1" t="n">
        <v>45254</v>
      </c>
      <c r="C9690" s="1" t="n">
        <v>46093</v>
      </c>
      <c r="D9690" t="inlineStr">
        <is>
          <t>VÄSTERNORRLANDS LÄN</t>
        </is>
      </c>
      <c r="E9690" t="inlineStr">
        <is>
          <t>SUNDSVALL</t>
        </is>
      </c>
      <c r="F9690" t="inlineStr">
        <is>
          <t>SCA</t>
        </is>
      </c>
      <c r="G9690" t="n">
        <v>3.2</v>
      </c>
      <c r="H9690" t="n">
        <v>0</v>
      </c>
      <c r="I9690" t="n">
        <v>0</v>
      </c>
      <c r="J9690" t="n">
        <v>0</v>
      </c>
      <c r="K9690" t="n">
        <v>0</v>
      </c>
      <c r="L9690" t="n">
        <v>0</v>
      </c>
      <c r="M9690" t="n">
        <v>0</v>
      </c>
      <c r="N9690" t="n">
        <v>0</v>
      </c>
      <c r="O9690" t="n">
        <v>0</v>
      </c>
      <c r="P9690" t="n">
        <v>0</v>
      </c>
      <c r="Q9690" t="n">
        <v>0</v>
      </c>
      <c r="R9690" s="2" t="inlineStr"/>
    </row>
    <row r="9691" ht="15" customHeight="1">
      <c r="A9691" t="inlineStr">
        <is>
          <t>A 5646-2026</t>
        </is>
      </c>
      <c r="B9691" s="1" t="n">
        <v>46051.42618055556</v>
      </c>
      <c r="C9691" s="1" t="n">
        <v>46093</v>
      </c>
      <c r="D9691" t="inlineStr">
        <is>
          <t>VÄSTERNORRLANDS LÄN</t>
        </is>
      </c>
      <c r="E9691" t="inlineStr">
        <is>
          <t>SOLLEFTEÅ</t>
        </is>
      </c>
      <c r="G9691" t="n">
        <v>2.5</v>
      </c>
      <c r="H9691" t="n">
        <v>0</v>
      </c>
      <c r="I9691" t="n">
        <v>0</v>
      </c>
      <c r="J9691" t="n">
        <v>0</v>
      </c>
      <c r="K9691" t="n">
        <v>0</v>
      </c>
      <c r="L9691" t="n">
        <v>0</v>
      </c>
      <c r="M9691" t="n">
        <v>0</v>
      </c>
      <c r="N9691" t="n">
        <v>0</v>
      </c>
      <c r="O9691" t="n">
        <v>0</v>
      </c>
      <c r="P9691" t="n">
        <v>0</v>
      </c>
      <c r="Q9691" t="n">
        <v>0</v>
      </c>
      <c r="R9691" s="2" t="inlineStr"/>
    </row>
    <row r="9692" ht="15" customHeight="1">
      <c r="A9692" t="inlineStr">
        <is>
          <t>A 19926-2025</t>
        </is>
      </c>
      <c r="B9692" s="1" t="n">
        <v>45771.6357175926</v>
      </c>
      <c r="C9692" s="1" t="n">
        <v>46093</v>
      </c>
      <c r="D9692" t="inlineStr">
        <is>
          <t>VÄSTERNORRLANDS LÄN</t>
        </is>
      </c>
      <c r="E9692" t="inlineStr">
        <is>
          <t>ÅNGE</t>
        </is>
      </c>
      <c r="G9692" t="n">
        <v>1.8</v>
      </c>
      <c r="H9692" t="n">
        <v>0</v>
      </c>
      <c r="I9692" t="n">
        <v>0</v>
      </c>
      <c r="J9692" t="n">
        <v>0</v>
      </c>
      <c r="K9692" t="n">
        <v>0</v>
      </c>
      <c r="L9692" t="n">
        <v>0</v>
      </c>
      <c r="M9692" t="n">
        <v>0</v>
      </c>
      <c r="N9692" t="n">
        <v>0</v>
      </c>
      <c r="O9692" t="n">
        <v>0</v>
      </c>
      <c r="P9692" t="n">
        <v>0</v>
      </c>
      <c r="Q9692" t="n">
        <v>0</v>
      </c>
      <c r="R9692" s="2" t="inlineStr"/>
    </row>
    <row r="9693" ht="15" customHeight="1">
      <c r="A9693" t="inlineStr">
        <is>
          <t>A 62937-2025</t>
        </is>
      </c>
      <c r="B9693" s="1" t="n">
        <v>46009.41844907407</v>
      </c>
      <c r="C9693" s="1" t="n">
        <v>46093</v>
      </c>
      <c r="D9693" t="inlineStr">
        <is>
          <t>VÄSTERNORRLANDS LÄN</t>
        </is>
      </c>
      <c r="E9693" t="inlineStr">
        <is>
          <t>SUNDSVALL</t>
        </is>
      </c>
      <c r="G9693" t="n">
        <v>5.6</v>
      </c>
      <c r="H9693" t="n">
        <v>0</v>
      </c>
      <c r="I9693" t="n">
        <v>0</v>
      </c>
      <c r="J9693" t="n">
        <v>0</v>
      </c>
      <c r="K9693" t="n">
        <v>0</v>
      </c>
      <c r="L9693" t="n">
        <v>0</v>
      </c>
      <c r="M9693" t="n">
        <v>0</v>
      </c>
      <c r="N9693" t="n">
        <v>0</v>
      </c>
      <c r="O9693" t="n">
        <v>0</v>
      </c>
      <c r="P9693" t="n">
        <v>0</v>
      </c>
      <c r="Q9693" t="n">
        <v>0</v>
      </c>
      <c r="R9693" s="2" t="inlineStr"/>
    </row>
    <row r="9694" ht="15" customHeight="1">
      <c r="A9694" t="inlineStr">
        <is>
          <t>A 61474-2023</t>
        </is>
      </c>
      <c r="B9694" s="1" t="n">
        <v>45264.92684027777</v>
      </c>
      <c r="C9694" s="1" t="n">
        <v>46093</v>
      </c>
      <c r="D9694" t="inlineStr">
        <is>
          <t>VÄSTERNORRLANDS LÄN</t>
        </is>
      </c>
      <c r="E9694" t="inlineStr">
        <is>
          <t>SUNDSVALL</t>
        </is>
      </c>
      <c r="G9694" t="n">
        <v>0.5</v>
      </c>
      <c r="H9694" t="n">
        <v>0</v>
      </c>
      <c r="I9694" t="n">
        <v>0</v>
      </c>
      <c r="J9694" t="n">
        <v>0</v>
      </c>
      <c r="K9694" t="n">
        <v>0</v>
      </c>
      <c r="L9694" t="n">
        <v>0</v>
      </c>
      <c r="M9694" t="n">
        <v>0</v>
      </c>
      <c r="N9694" t="n">
        <v>0</v>
      </c>
      <c r="O9694" t="n">
        <v>0</v>
      </c>
      <c r="P9694" t="n">
        <v>0</v>
      </c>
      <c r="Q9694" t="n">
        <v>0</v>
      </c>
      <c r="R9694" s="2" t="inlineStr"/>
    </row>
    <row r="9695" ht="15" customHeight="1">
      <c r="A9695" t="inlineStr">
        <is>
          <t>A 61475-2023</t>
        </is>
      </c>
      <c r="B9695" s="1" t="n">
        <v>45264.92688657407</v>
      </c>
      <c r="C9695" s="1" t="n">
        <v>46093</v>
      </c>
      <c r="D9695" t="inlineStr">
        <is>
          <t>VÄSTERNORRLANDS LÄN</t>
        </is>
      </c>
      <c r="E9695" t="inlineStr">
        <is>
          <t>SUNDSVALL</t>
        </is>
      </c>
      <c r="G9695" t="n">
        <v>2</v>
      </c>
      <c r="H9695" t="n">
        <v>0</v>
      </c>
      <c r="I9695" t="n">
        <v>0</v>
      </c>
      <c r="J9695" t="n">
        <v>0</v>
      </c>
      <c r="K9695" t="n">
        <v>0</v>
      </c>
      <c r="L9695" t="n">
        <v>0</v>
      </c>
      <c r="M9695" t="n">
        <v>0</v>
      </c>
      <c r="N9695" t="n">
        <v>0</v>
      </c>
      <c r="O9695" t="n">
        <v>0</v>
      </c>
      <c r="P9695" t="n">
        <v>0</v>
      </c>
      <c r="Q9695" t="n">
        <v>0</v>
      </c>
      <c r="R9695" s="2" t="inlineStr"/>
    </row>
    <row r="9696" ht="15" customHeight="1">
      <c r="A9696" t="inlineStr">
        <is>
          <t>A 63723-2025</t>
        </is>
      </c>
      <c r="B9696" s="1" t="n">
        <v>46010</v>
      </c>
      <c r="C9696" s="1" t="n">
        <v>46093</v>
      </c>
      <c r="D9696" t="inlineStr">
        <is>
          <t>VÄSTERNORRLANDS LÄN</t>
        </is>
      </c>
      <c r="E9696" t="inlineStr">
        <is>
          <t>ÖRNSKÖLDSVIK</t>
        </is>
      </c>
      <c r="G9696" t="n">
        <v>1.8</v>
      </c>
      <c r="H9696" t="n">
        <v>0</v>
      </c>
      <c r="I9696" t="n">
        <v>0</v>
      </c>
      <c r="J9696" t="n">
        <v>0</v>
      </c>
      <c r="K9696" t="n">
        <v>0</v>
      </c>
      <c r="L9696" t="n">
        <v>0</v>
      </c>
      <c r="M9696" t="n">
        <v>0</v>
      </c>
      <c r="N9696" t="n">
        <v>0</v>
      </c>
      <c r="O9696" t="n">
        <v>0</v>
      </c>
      <c r="P9696" t="n">
        <v>0</v>
      </c>
      <c r="Q9696" t="n">
        <v>0</v>
      </c>
      <c r="R9696" s="2" t="inlineStr"/>
    </row>
    <row r="9697" ht="15" customHeight="1">
      <c r="A9697" t="inlineStr">
        <is>
          <t>A 5753-2026</t>
        </is>
      </c>
      <c r="B9697" s="1" t="n">
        <v>46051.60400462963</v>
      </c>
      <c r="C9697" s="1" t="n">
        <v>46093</v>
      </c>
      <c r="D9697" t="inlineStr">
        <is>
          <t>VÄSTERNORRLANDS LÄN</t>
        </is>
      </c>
      <c r="E9697" t="inlineStr">
        <is>
          <t>ÖRNSKÖLDSVIK</t>
        </is>
      </c>
      <c r="G9697" t="n">
        <v>0.6</v>
      </c>
      <c r="H9697" t="n">
        <v>0</v>
      </c>
      <c r="I9697" t="n">
        <v>0</v>
      </c>
      <c r="J9697" t="n">
        <v>0</v>
      </c>
      <c r="K9697" t="n">
        <v>0</v>
      </c>
      <c r="L9697" t="n">
        <v>0</v>
      </c>
      <c r="M9697" t="n">
        <v>0</v>
      </c>
      <c r="N9697" t="n">
        <v>0</v>
      </c>
      <c r="O9697" t="n">
        <v>0</v>
      </c>
      <c r="P9697" t="n">
        <v>0</v>
      </c>
      <c r="Q9697" t="n">
        <v>0</v>
      </c>
      <c r="R9697" s="2" t="inlineStr"/>
    </row>
    <row r="9698" ht="15" customHeight="1">
      <c r="A9698" t="inlineStr">
        <is>
          <t>A 5769-2026</t>
        </is>
      </c>
      <c r="B9698" s="1" t="n">
        <v>46051.64239583333</v>
      </c>
      <c r="C9698" s="1" t="n">
        <v>46093</v>
      </c>
      <c r="D9698" t="inlineStr">
        <is>
          <t>VÄSTERNORRLANDS LÄN</t>
        </is>
      </c>
      <c r="E9698" t="inlineStr">
        <is>
          <t>ÖRNSKÖLDSVIK</t>
        </is>
      </c>
      <c r="F9698" t="inlineStr">
        <is>
          <t>Holmen skog AB</t>
        </is>
      </c>
      <c r="G9698" t="n">
        <v>2.7</v>
      </c>
      <c r="H9698" t="n">
        <v>0</v>
      </c>
      <c r="I9698" t="n">
        <v>0</v>
      </c>
      <c r="J9698" t="n">
        <v>0</v>
      </c>
      <c r="K9698" t="n">
        <v>0</v>
      </c>
      <c r="L9698" t="n">
        <v>0</v>
      </c>
      <c r="M9698" t="n">
        <v>0</v>
      </c>
      <c r="N9698" t="n">
        <v>0</v>
      </c>
      <c r="O9698" t="n">
        <v>0</v>
      </c>
      <c r="P9698" t="n">
        <v>0</v>
      </c>
      <c r="Q9698" t="n">
        <v>0</v>
      </c>
      <c r="R9698" s="2" t="inlineStr"/>
    </row>
    <row r="9699" ht="15" customHeight="1">
      <c r="A9699" t="inlineStr">
        <is>
          <t>A 51055-2023</t>
        </is>
      </c>
      <c r="B9699" s="1" t="n">
        <v>45218</v>
      </c>
      <c r="C9699" s="1" t="n">
        <v>46093</v>
      </c>
      <c r="D9699" t="inlineStr">
        <is>
          <t>VÄSTERNORRLANDS LÄN</t>
        </is>
      </c>
      <c r="E9699" t="inlineStr">
        <is>
          <t>ÅNGE</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62904-2025</t>
        </is>
      </c>
      <c r="B9700" s="1" t="n">
        <v>46009.34849537037</v>
      </c>
      <c r="C9700" s="1" t="n">
        <v>46093</v>
      </c>
      <c r="D9700" t="inlineStr">
        <is>
          <t>VÄSTERNORRLANDS LÄN</t>
        </is>
      </c>
      <c r="E9700" t="inlineStr">
        <is>
          <t>HÄRNÖSAND</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14578-2024</t>
        </is>
      </c>
      <c r="B9701" s="1" t="n">
        <v>45394.95059027777</v>
      </c>
      <c r="C9701" s="1" t="n">
        <v>46093</v>
      </c>
      <c r="D9701" t="inlineStr">
        <is>
          <t>VÄSTERNORRLANDS LÄN</t>
        </is>
      </c>
      <c r="E9701" t="inlineStr">
        <is>
          <t>TIMRÅ</t>
        </is>
      </c>
      <c r="F9701" t="inlineStr">
        <is>
          <t>SCA</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6684-2024</t>
        </is>
      </c>
      <c r="B9702" s="1" t="n">
        <v>45341.92555555556</v>
      </c>
      <c r="C9702" s="1" t="n">
        <v>46093</v>
      </c>
      <c r="D9702" t="inlineStr">
        <is>
          <t>VÄSTERNORRLANDS LÄN</t>
        </is>
      </c>
      <c r="E9702" t="inlineStr">
        <is>
          <t>ÅNGE</t>
        </is>
      </c>
      <c r="G9702" t="n">
        <v>1</v>
      </c>
      <c r="H9702" t="n">
        <v>0</v>
      </c>
      <c r="I9702" t="n">
        <v>0</v>
      </c>
      <c r="J9702" t="n">
        <v>0</v>
      </c>
      <c r="K9702" t="n">
        <v>0</v>
      </c>
      <c r="L9702" t="n">
        <v>0</v>
      </c>
      <c r="M9702" t="n">
        <v>0</v>
      </c>
      <c r="N9702" t="n">
        <v>0</v>
      </c>
      <c r="O9702" t="n">
        <v>0</v>
      </c>
      <c r="P9702" t="n">
        <v>0</v>
      </c>
      <c r="Q9702" t="n">
        <v>0</v>
      </c>
      <c r="R9702" s="2" t="inlineStr"/>
    </row>
    <row r="9703" ht="15" customHeight="1">
      <c r="A9703" t="inlineStr">
        <is>
          <t>A 31646-2022</t>
        </is>
      </c>
      <c r="B9703" s="1" t="n">
        <v>44775.94166666667</v>
      </c>
      <c r="C9703" s="1" t="n">
        <v>46093</v>
      </c>
      <c r="D9703" t="inlineStr">
        <is>
          <t>VÄSTERNORRLANDS LÄN</t>
        </is>
      </c>
      <c r="E9703" t="inlineStr">
        <is>
          <t>SOLLEFTEÅ</t>
        </is>
      </c>
      <c r="F9703" t="inlineStr">
        <is>
          <t>SCA</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4095-2023</t>
        </is>
      </c>
      <c r="B9704" s="1" t="n">
        <v>44952</v>
      </c>
      <c r="C9704" s="1" t="n">
        <v>46093</v>
      </c>
      <c r="D9704" t="inlineStr">
        <is>
          <t>VÄSTERNORRLANDS LÄN</t>
        </is>
      </c>
      <c r="E9704" t="inlineStr">
        <is>
          <t>ÅNGE</t>
        </is>
      </c>
      <c r="G9704" t="n">
        <v>13.4</v>
      </c>
      <c r="H9704" t="n">
        <v>0</v>
      </c>
      <c r="I9704" t="n">
        <v>0</v>
      </c>
      <c r="J9704" t="n">
        <v>0</v>
      </c>
      <c r="K9704" t="n">
        <v>0</v>
      </c>
      <c r="L9704" t="n">
        <v>0</v>
      </c>
      <c r="M9704" t="n">
        <v>0</v>
      </c>
      <c r="N9704" t="n">
        <v>0</v>
      </c>
      <c r="O9704" t="n">
        <v>0</v>
      </c>
      <c r="P9704" t="n">
        <v>0</v>
      </c>
      <c r="Q9704" t="n">
        <v>0</v>
      </c>
      <c r="R9704" s="2" t="inlineStr"/>
    </row>
    <row r="9705" ht="15" customHeight="1">
      <c r="A9705" t="inlineStr">
        <is>
          <t>A 20394-2021</t>
        </is>
      </c>
      <c r="B9705" s="1" t="n">
        <v>44314</v>
      </c>
      <c r="C9705" s="1" t="n">
        <v>46093</v>
      </c>
      <c r="D9705" t="inlineStr">
        <is>
          <t>VÄSTERNORRLANDS LÄN</t>
        </is>
      </c>
      <c r="E9705" t="inlineStr">
        <is>
          <t>HÄRNÖSAND</t>
        </is>
      </c>
      <c r="G9705" t="n">
        <v>19</v>
      </c>
      <c r="H9705" t="n">
        <v>0</v>
      </c>
      <c r="I9705" t="n">
        <v>0</v>
      </c>
      <c r="J9705" t="n">
        <v>0</v>
      </c>
      <c r="K9705" t="n">
        <v>0</v>
      </c>
      <c r="L9705" t="n">
        <v>0</v>
      </c>
      <c r="M9705" t="n">
        <v>0</v>
      </c>
      <c r="N9705" t="n">
        <v>0</v>
      </c>
      <c r="O9705" t="n">
        <v>0</v>
      </c>
      <c r="P9705" t="n">
        <v>0</v>
      </c>
      <c r="Q9705" t="n">
        <v>0</v>
      </c>
      <c r="R9705" s="2" t="inlineStr"/>
    </row>
    <row r="9706" ht="15" customHeight="1">
      <c r="A9706" t="inlineStr">
        <is>
          <t>A 51844-2024</t>
        </is>
      </c>
      <c r="B9706" s="1" t="n">
        <v>45607.52409722222</v>
      </c>
      <c r="C9706" s="1" t="n">
        <v>46093</v>
      </c>
      <c r="D9706" t="inlineStr">
        <is>
          <t>VÄSTERNORRLANDS LÄN</t>
        </is>
      </c>
      <c r="E9706" t="inlineStr">
        <is>
          <t>KRAMFORS</t>
        </is>
      </c>
      <c r="G9706" t="n">
        <v>2.7</v>
      </c>
      <c r="H9706" t="n">
        <v>0</v>
      </c>
      <c r="I9706" t="n">
        <v>0</v>
      </c>
      <c r="J9706" t="n">
        <v>0</v>
      </c>
      <c r="K9706" t="n">
        <v>0</v>
      </c>
      <c r="L9706" t="n">
        <v>0</v>
      </c>
      <c r="M9706" t="n">
        <v>0</v>
      </c>
      <c r="N9706" t="n">
        <v>0</v>
      </c>
      <c r="O9706" t="n">
        <v>0</v>
      </c>
      <c r="P9706" t="n">
        <v>0</v>
      </c>
      <c r="Q9706" t="n">
        <v>0</v>
      </c>
      <c r="R9706" s="2" t="inlineStr"/>
    </row>
    <row r="9707" ht="15" customHeight="1">
      <c r="A9707" t="inlineStr">
        <is>
          <t>A 63109-2025</t>
        </is>
      </c>
      <c r="B9707" s="1" t="n">
        <v>46009.74861111111</v>
      </c>
      <c r="C9707" s="1" t="n">
        <v>46093</v>
      </c>
      <c r="D9707" t="inlineStr">
        <is>
          <t>VÄSTERNORRLANDS LÄN</t>
        </is>
      </c>
      <c r="E9707" t="inlineStr">
        <is>
          <t>ÖRNSKÖLDSVIK</t>
        </is>
      </c>
      <c r="G9707" t="n">
        <v>3.9</v>
      </c>
      <c r="H9707" t="n">
        <v>0</v>
      </c>
      <c r="I9707" t="n">
        <v>0</v>
      </c>
      <c r="J9707" t="n">
        <v>0</v>
      </c>
      <c r="K9707" t="n">
        <v>0</v>
      </c>
      <c r="L9707" t="n">
        <v>0</v>
      </c>
      <c r="M9707" t="n">
        <v>0</v>
      </c>
      <c r="N9707" t="n">
        <v>0</v>
      </c>
      <c r="O9707" t="n">
        <v>0</v>
      </c>
      <c r="P9707" t="n">
        <v>0</v>
      </c>
      <c r="Q9707" t="n">
        <v>0</v>
      </c>
      <c r="R9707" s="2" t="inlineStr"/>
    </row>
    <row r="9708" ht="15" customHeight="1">
      <c r="A9708" t="inlineStr">
        <is>
          <t>A 5886-2026</t>
        </is>
      </c>
      <c r="B9708" s="1" t="n">
        <v>46052.41074074074</v>
      </c>
      <c r="C9708" s="1" t="n">
        <v>46093</v>
      </c>
      <c r="D9708" t="inlineStr">
        <is>
          <t>VÄSTERNORRLANDS LÄN</t>
        </is>
      </c>
      <c r="E9708" t="inlineStr">
        <is>
          <t>SUNDSVALL</t>
        </is>
      </c>
      <c r="G9708" t="n">
        <v>9.9</v>
      </c>
      <c r="H9708" t="n">
        <v>0</v>
      </c>
      <c r="I9708" t="n">
        <v>0</v>
      </c>
      <c r="J9708" t="n">
        <v>0</v>
      </c>
      <c r="K9708" t="n">
        <v>0</v>
      </c>
      <c r="L9708" t="n">
        <v>0</v>
      </c>
      <c r="M9708" t="n">
        <v>0</v>
      </c>
      <c r="N9708" t="n">
        <v>0</v>
      </c>
      <c r="O9708" t="n">
        <v>0</v>
      </c>
      <c r="P9708" t="n">
        <v>0</v>
      </c>
      <c r="Q9708" t="n">
        <v>0</v>
      </c>
      <c r="R9708" s="2" t="inlineStr"/>
    </row>
    <row r="9709" ht="15" customHeight="1">
      <c r="A9709" t="inlineStr">
        <is>
          <t>A 40244-2021</t>
        </is>
      </c>
      <c r="B9709" s="1" t="n">
        <v>44419</v>
      </c>
      <c r="C9709" s="1" t="n">
        <v>46093</v>
      </c>
      <c r="D9709" t="inlineStr">
        <is>
          <t>VÄSTERNORRLANDS LÄN</t>
        </is>
      </c>
      <c r="E9709" t="inlineStr">
        <is>
          <t>ÖRNSKÖLDSVIK</t>
        </is>
      </c>
      <c r="F9709" t="inlineStr">
        <is>
          <t>Holmen skog AB</t>
        </is>
      </c>
      <c r="G9709" t="n">
        <v>3.8</v>
      </c>
      <c r="H9709" t="n">
        <v>0</v>
      </c>
      <c r="I9709" t="n">
        <v>0</v>
      </c>
      <c r="J9709" t="n">
        <v>0</v>
      </c>
      <c r="K9709" t="n">
        <v>0</v>
      </c>
      <c r="L9709" t="n">
        <v>0</v>
      </c>
      <c r="M9709" t="n">
        <v>0</v>
      </c>
      <c r="N9709" t="n">
        <v>0</v>
      </c>
      <c r="O9709" t="n">
        <v>0</v>
      </c>
      <c r="P9709" t="n">
        <v>0</v>
      </c>
      <c r="Q9709" t="n">
        <v>0</v>
      </c>
      <c r="R9709" s="2" t="inlineStr"/>
    </row>
    <row r="9710" ht="15" customHeight="1">
      <c r="A9710" t="inlineStr">
        <is>
          <t>A 18220-2025</t>
        </is>
      </c>
      <c r="B9710" s="1" t="n">
        <v>45761.7190625</v>
      </c>
      <c r="C9710" s="1" t="n">
        <v>46093</v>
      </c>
      <c r="D9710" t="inlineStr">
        <is>
          <t>VÄSTERNORRLANDS LÄN</t>
        </is>
      </c>
      <c r="E9710" t="inlineStr">
        <is>
          <t>SOLLEFTEÅ</t>
        </is>
      </c>
      <c r="G9710" t="n">
        <v>3.4</v>
      </c>
      <c r="H9710" t="n">
        <v>0</v>
      </c>
      <c r="I9710" t="n">
        <v>0</v>
      </c>
      <c r="J9710" t="n">
        <v>0</v>
      </c>
      <c r="K9710" t="n">
        <v>0</v>
      </c>
      <c r="L9710" t="n">
        <v>0</v>
      </c>
      <c r="M9710" t="n">
        <v>0</v>
      </c>
      <c r="N9710" t="n">
        <v>0</v>
      </c>
      <c r="O9710" t="n">
        <v>0</v>
      </c>
      <c r="P9710" t="n">
        <v>0</v>
      </c>
      <c r="Q9710" t="n">
        <v>0</v>
      </c>
      <c r="R9710" s="2" t="inlineStr"/>
    </row>
    <row r="9711" ht="15" customHeight="1">
      <c r="A9711" t="inlineStr">
        <is>
          <t>A 54378-2024</t>
        </is>
      </c>
      <c r="B9711" s="1" t="n">
        <v>45617</v>
      </c>
      <c r="C9711" s="1" t="n">
        <v>46093</v>
      </c>
      <c r="D9711" t="inlineStr">
        <is>
          <t>VÄSTERNORRLANDS LÄN</t>
        </is>
      </c>
      <c r="E9711" t="inlineStr">
        <is>
          <t>KRAMFORS</t>
        </is>
      </c>
      <c r="G9711" t="n">
        <v>20.5</v>
      </c>
      <c r="H9711" t="n">
        <v>0</v>
      </c>
      <c r="I9711" t="n">
        <v>0</v>
      </c>
      <c r="J9711" t="n">
        <v>0</v>
      </c>
      <c r="K9711" t="n">
        <v>0</v>
      </c>
      <c r="L9711" t="n">
        <v>0</v>
      </c>
      <c r="M9711" t="n">
        <v>0</v>
      </c>
      <c r="N9711" t="n">
        <v>0</v>
      </c>
      <c r="O9711" t="n">
        <v>0</v>
      </c>
      <c r="P9711" t="n">
        <v>0</v>
      </c>
      <c r="Q9711" t="n">
        <v>0</v>
      </c>
      <c r="R9711" s="2" t="inlineStr"/>
    </row>
    <row r="9712" ht="15" customHeight="1">
      <c r="A9712" t="inlineStr">
        <is>
          <t>A 18274-2025</t>
        </is>
      </c>
      <c r="B9712" s="1" t="n">
        <v>45762.37736111111</v>
      </c>
      <c r="C9712" s="1" t="n">
        <v>46093</v>
      </c>
      <c r="D9712" t="inlineStr">
        <is>
          <t>VÄSTERNORRLANDS LÄN</t>
        </is>
      </c>
      <c r="E9712" t="inlineStr">
        <is>
          <t>ÖRNSKÖLDSVIK</t>
        </is>
      </c>
      <c r="F9712" t="inlineStr">
        <is>
          <t>Holmen skog AB</t>
        </is>
      </c>
      <c r="G9712" t="n">
        <v>9.6</v>
      </c>
      <c r="H9712" t="n">
        <v>0</v>
      </c>
      <c r="I9712" t="n">
        <v>0</v>
      </c>
      <c r="J9712" t="n">
        <v>0</v>
      </c>
      <c r="K9712" t="n">
        <v>0</v>
      </c>
      <c r="L9712" t="n">
        <v>0</v>
      </c>
      <c r="M9712" t="n">
        <v>0</v>
      </c>
      <c r="N9712" t="n">
        <v>0</v>
      </c>
      <c r="O9712" t="n">
        <v>0</v>
      </c>
      <c r="P9712" t="n">
        <v>0</v>
      </c>
      <c r="Q9712" t="n">
        <v>0</v>
      </c>
      <c r="R9712" s="2" t="inlineStr"/>
    </row>
    <row r="9713" ht="15" customHeight="1">
      <c r="A9713" t="inlineStr">
        <is>
          <t>A 63726-2025</t>
        </is>
      </c>
      <c r="B9713" s="1" t="n">
        <v>46010</v>
      </c>
      <c r="C9713" s="1" t="n">
        <v>46093</v>
      </c>
      <c r="D9713" t="inlineStr">
        <is>
          <t>VÄSTERNORRLANDS LÄN</t>
        </is>
      </c>
      <c r="E9713" t="inlineStr">
        <is>
          <t>SOLLEFTEÅ</t>
        </is>
      </c>
      <c r="G9713" t="n">
        <v>5</v>
      </c>
      <c r="H9713" t="n">
        <v>0</v>
      </c>
      <c r="I9713" t="n">
        <v>0</v>
      </c>
      <c r="J9713" t="n">
        <v>0</v>
      </c>
      <c r="K9713" t="n">
        <v>0</v>
      </c>
      <c r="L9713" t="n">
        <v>0</v>
      </c>
      <c r="M9713" t="n">
        <v>0</v>
      </c>
      <c r="N9713" t="n">
        <v>0</v>
      </c>
      <c r="O9713" t="n">
        <v>0</v>
      </c>
      <c r="P9713" t="n">
        <v>0</v>
      </c>
      <c r="Q9713" t="n">
        <v>0</v>
      </c>
      <c r="R9713" s="2" t="inlineStr"/>
    </row>
    <row r="9714" ht="15" customHeight="1">
      <c r="A9714" t="inlineStr">
        <is>
          <t>A 10200-2024</t>
        </is>
      </c>
      <c r="B9714" s="1" t="n">
        <v>45364.92836805555</v>
      </c>
      <c r="C9714" s="1" t="n">
        <v>46093</v>
      </c>
      <c r="D9714" t="inlineStr">
        <is>
          <t>VÄSTERNORRLANDS LÄN</t>
        </is>
      </c>
      <c r="E9714" t="inlineStr">
        <is>
          <t>SUNDSVALL</t>
        </is>
      </c>
      <c r="G9714" t="n">
        <v>1.6</v>
      </c>
      <c r="H9714" t="n">
        <v>0</v>
      </c>
      <c r="I9714" t="n">
        <v>0</v>
      </c>
      <c r="J9714" t="n">
        <v>0</v>
      </c>
      <c r="K9714" t="n">
        <v>0</v>
      </c>
      <c r="L9714" t="n">
        <v>0</v>
      </c>
      <c r="M9714" t="n">
        <v>0</v>
      </c>
      <c r="N9714" t="n">
        <v>0</v>
      </c>
      <c r="O9714" t="n">
        <v>0</v>
      </c>
      <c r="P9714" t="n">
        <v>0</v>
      </c>
      <c r="Q9714" t="n">
        <v>0</v>
      </c>
      <c r="R9714" s="2" t="inlineStr"/>
    </row>
    <row r="9715" ht="15" customHeight="1">
      <c r="A9715" t="inlineStr">
        <is>
          <t>A 62919-2025</t>
        </is>
      </c>
      <c r="B9715" s="1" t="n">
        <v>46009.37552083333</v>
      </c>
      <c r="C9715" s="1" t="n">
        <v>46093</v>
      </c>
      <c r="D9715" t="inlineStr">
        <is>
          <t>VÄSTERNORRLANDS LÄN</t>
        </is>
      </c>
      <c r="E9715" t="inlineStr">
        <is>
          <t>HÄRNÖSAND</t>
        </is>
      </c>
      <c r="G9715" t="n">
        <v>1.9</v>
      </c>
      <c r="H9715" t="n">
        <v>0</v>
      </c>
      <c r="I9715" t="n">
        <v>0</v>
      </c>
      <c r="J9715" t="n">
        <v>0</v>
      </c>
      <c r="K9715" t="n">
        <v>0</v>
      </c>
      <c r="L9715" t="n">
        <v>0</v>
      </c>
      <c r="M9715" t="n">
        <v>0</v>
      </c>
      <c r="N9715" t="n">
        <v>0</v>
      </c>
      <c r="O9715" t="n">
        <v>0</v>
      </c>
      <c r="P9715" t="n">
        <v>0</v>
      </c>
      <c r="Q9715" t="n">
        <v>0</v>
      </c>
      <c r="R9715" s="2" t="inlineStr"/>
    </row>
    <row r="9716" ht="15" customHeight="1">
      <c r="A9716" t="inlineStr">
        <is>
          <t>A 13445-2025</t>
        </is>
      </c>
      <c r="B9716" s="1" t="n">
        <v>45736.34521990741</v>
      </c>
      <c r="C9716" s="1" t="n">
        <v>46093</v>
      </c>
      <c r="D9716" t="inlineStr">
        <is>
          <t>VÄSTERNORRLANDS LÄN</t>
        </is>
      </c>
      <c r="E9716" t="inlineStr">
        <is>
          <t>SUNDSVALL</t>
        </is>
      </c>
      <c r="F9716" t="inlineStr">
        <is>
          <t>SCA</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13479-2025</t>
        </is>
      </c>
      <c r="B9717" s="1" t="n">
        <v>45736.41797453703</v>
      </c>
      <c r="C9717" s="1" t="n">
        <v>46093</v>
      </c>
      <c r="D9717" t="inlineStr">
        <is>
          <t>VÄSTERNORRLANDS LÄN</t>
        </is>
      </c>
      <c r="E9717" t="inlineStr">
        <is>
          <t>SUNDSVALL</t>
        </is>
      </c>
      <c r="G9717" t="n">
        <v>1.3</v>
      </c>
      <c r="H9717" t="n">
        <v>0</v>
      </c>
      <c r="I9717" t="n">
        <v>0</v>
      </c>
      <c r="J9717" t="n">
        <v>0</v>
      </c>
      <c r="K9717" t="n">
        <v>0</v>
      </c>
      <c r="L9717" t="n">
        <v>0</v>
      </c>
      <c r="M9717" t="n">
        <v>0</v>
      </c>
      <c r="N9717" t="n">
        <v>0</v>
      </c>
      <c r="O9717" t="n">
        <v>0</v>
      </c>
      <c r="P9717" t="n">
        <v>0</v>
      </c>
      <c r="Q9717" t="n">
        <v>0</v>
      </c>
      <c r="R9717" s="2" t="inlineStr"/>
    </row>
    <row r="9718" ht="15" customHeight="1">
      <c r="A9718" t="inlineStr">
        <is>
          <t>A 45118-2022</t>
        </is>
      </c>
      <c r="B9718" s="1" t="n">
        <v>44843</v>
      </c>
      <c r="C9718" s="1" t="n">
        <v>46093</v>
      </c>
      <c r="D9718" t="inlineStr">
        <is>
          <t>VÄSTERNORRLANDS LÄN</t>
        </is>
      </c>
      <c r="E9718" t="inlineStr">
        <is>
          <t>SOLLEFTEÅ</t>
        </is>
      </c>
      <c r="F9718" t="inlineStr">
        <is>
          <t>SCA</t>
        </is>
      </c>
      <c r="G9718" t="n">
        <v>3.1</v>
      </c>
      <c r="H9718" t="n">
        <v>0</v>
      </c>
      <c r="I9718" t="n">
        <v>0</v>
      </c>
      <c r="J9718" t="n">
        <v>0</v>
      </c>
      <c r="K9718" t="n">
        <v>0</v>
      </c>
      <c r="L9718" t="n">
        <v>0</v>
      </c>
      <c r="M9718" t="n">
        <v>0</v>
      </c>
      <c r="N9718" t="n">
        <v>0</v>
      </c>
      <c r="O9718" t="n">
        <v>0</v>
      </c>
      <c r="P9718" t="n">
        <v>0</v>
      </c>
      <c r="Q9718" t="n">
        <v>0</v>
      </c>
      <c r="R9718" s="2" t="inlineStr"/>
    </row>
    <row r="9719" ht="15" customHeight="1">
      <c r="A9719" t="inlineStr">
        <is>
          <t>A 63257-2025</t>
        </is>
      </c>
      <c r="B9719" s="1" t="n">
        <v>46010.55528935185</v>
      </c>
      <c r="C9719" s="1" t="n">
        <v>46093</v>
      </c>
      <c r="D9719" t="inlineStr">
        <is>
          <t>VÄSTERNORRLANDS LÄN</t>
        </is>
      </c>
      <c r="E9719" t="inlineStr">
        <is>
          <t>ÖRNSKÖLDSVIK</t>
        </is>
      </c>
      <c r="G9719" t="n">
        <v>8.300000000000001</v>
      </c>
      <c r="H9719" t="n">
        <v>0</v>
      </c>
      <c r="I9719" t="n">
        <v>0</v>
      </c>
      <c r="J9719" t="n">
        <v>0</v>
      </c>
      <c r="K9719" t="n">
        <v>0</v>
      </c>
      <c r="L9719" t="n">
        <v>0</v>
      </c>
      <c r="M9719" t="n">
        <v>0</v>
      </c>
      <c r="N9719" t="n">
        <v>0</v>
      </c>
      <c r="O9719" t="n">
        <v>0</v>
      </c>
      <c r="P9719" t="n">
        <v>0</v>
      </c>
      <c r="Q9719" t="n">
        <v>0</v>
      </c>
      <c r="R9719" s="2" t="inlineStr"/>
    </row>
    <row r="9720" ht="15" customHeight="1">
      <c r="A9720" t="inlineStr">
        <is>
          <t>A 63317-2025</t>
        </is>
      </c>
      <c r="B9720" s="1" t="n">
        <v>46010.63416666666</v>
      </c>
      <c r="C9720" s="1" t="n">
        <v>46093</v>
      </c>
      <c r="D9720" t="inlineStr">
        <is>
          <t>VÄSTERNORRLANDS LÄN</t>
        </is>
      </c>
      <c r="E9720" t="inlineStr">
        <is>
          <t>ÖRNSKÖLDSVIK</t>
        </is>
      </c>
      <c r="G9720" t="n">
        <v>3.3</v>
      </c>
      <c r="H9720" t="n">
        <v>0</v>
      </c>
      <c r="I9720" t="n">
        <v>0</v>
      </c>
      <c r="J9720" t="n">
        <v>0</v>
      </c>
      <c r="K9720" t="n">
        <v>0</v>
      </c>
      <c r="L9720" t="n">
        <v>0</v>
      </c>
      <c r="M9720" t="n">
        <v>0</v>
      </c>
      <c r="N9720" t="n">
        <v>0</v>
      </c>
      <c r="O9720" t="n">
        <v>0</v>
      </c>
      <c r="P9720" t="n">
        <v>0</v>
      </c>
      <c r="Q9720" t="n">
        <v>0</v>
      </c>
      <c r="R9720" s="2" t="inlineStr"/>
    </row>
    <row r="9721" ht="15" customHeight="1">
      <c r="A9721" t="inlineStr">
        <is>
          <t>A 5891-2026</t>
        </is>
      </c>
      <c r="B9721" s="1" t="n">
        <v>46052.416875</v>
      </c>
      <c r="C9721" s="1" t="n">
        <v>46093</v>
      </c>
      <c r="D9721" t="inlineStr">
        <is>
          <t>VÄSTERNORRLANDS LÄN</t>
        </is>
      </c>
      <c r="E9721" t="inlineStr">
        <is>
          <t>SUNDSVALL</t>
        </is>
      </c>
      <c r="G9721" t="n">
        <v>1.5</v>
      </c>
      <c r="H9721" t="n">
        <v>0</v>
      </c>
      <c r="I9721" t="n">
        <v>0</v>
      </c>
      <c r="J9721" t="n">
        <v>0</v>
      </c>
      <c r="K9721" t="n">
        <v>0</v>
      </c>
      <c r="L9721" t="n">
        <v>0</v>
      </c>
      <c r="M9721" t="n">
        <v>0</v>
      </c>
      <c r="N9721" t="n">
        <v>0</v>
      </c>
      <c r="O9721" t="n">
        <v>0</v>
      </c>
      <c r="P9721" t="n">
        <v>0</v>
      </c>
      <c r="Q9721" t="n">
        <v>0</v>
      </c>
      <c r="R9721" s="2" t="inlineStr"/>
    </row>
    <row r="9722" ht="15" customHeight="1">
      <c r="A9722" t="inlineStr">
        <is>
          <t>A 5918-2026</t>
        </is>
      </c>
      <c r="B9722" s="1" t="n">
        <v>46052</v>
      </c>
      <c r="C9722" s="1" t="n">
        <v>46093</v>
      </c>
      <c r="D9722" t="inlineStr">
        <is>
          <t>VÄSTERNORRLANDS LÄN</t>
        </is>
      </c>
      <c r="E9722" t="inlineStr">
        <is>
          <t>ÖRNSKÖLDSVIK</t>
        </is>
      </c>
      <c r="G9722" t="n">
        <v>9.1</v>
      </c>
      <c r="H9722" t="n">
        <v>0</v>
      </c>
      <c r="I9722" t="n">
        <v>0</v>
      </c>
      <c r="J9722" t="n">
        <v>0</v>
      </c>
      <c r="K9722" t="n">
        <v>0</v>
      </c>
      <c r="L9722" t="n">
        <v>0</v>
      </c>
      <c r="M9722" t="n">
        <v>0</v>
      </c>
      <c r="N9722" t="n">
        <v>0</v>
      </c>
      <c r="O9722" t="n">
        <v>0</v>
      </c>
      <c r="P9722" t="n">
        <v>0</v>
      </c>
      <c r="Q9722" t="n">
        <v>0</v>
      </c>
      <c r="R9722" s="2" t="inlineStr"/>
    </row>
    <row r="9723" ht="15" customHeight="1">
      <c r="A9723" t="inlineStr">
        <is>
          <t>A 1085-2024</t>
        </is>
      </c>
      <c r="B9723" s="1" t="n">
        <v>45301</v>
      </c>
      <c r="C9723" s="1" t="n">
        <v>46093</v>
      </c>
      <c r="D9723" t="inlineStr">
        <is>
          <t>VÄSTERNORRLANDS LÄN</t>
        </is>
      </c>
      <c r="E9723" t="inlineStr">
        <is>
          <t>ÖRNSKÖLDSVIK</t>
        </is>
      </c>
      <c r="F9723" t="inlineStr">
        <is>
          <t>Kyrkan</t>
        </is>
      </c>
      <c r="G9723" t="n">
        <v>8</v>
      </c>
      <c r="H9723" t="n">
        <v>0</v>
      </c>
      <c r="I9723" t="n">
        <v>0</v>
      </c>
      <c r="J9723" t="n">
        <v>0</v>
      </c>
      <c r="K9723" t="n">
        <v>0</v>
      </c>
      <c r="L9723" t="n">
        <v>0</v>
      </c>
      <c r="M9723" t="n">
        <v>0</v>
      </c>
      <c r="N9723" t="n">
        <v>0</v>
      </c>
      <c r="O9723" t="n">
        <v>0</v>
      </c>
      <c r="P9723" t="n">
        <v>0</v>
      </c>
      <c r="Q9723" t="n">
        <v>0</v>
      </c>
      <c r="R9723" s="2" t="inlineStr"/>
    </row>
    <row r="9724" ht="15" customHeight="1">
      <c r="A9724" t="inlineStr">
        <is>
          <t>A 5421-2024</t>
        </is>
      </c>
      <c r="B9724" s="1" t="n">
        <v>45331</v>
      </c>
      <c r="C9724" s="1" t="n">
        <v>46093</v>
      </c>
      <c r="D9724" t="inlineStr">
        <is>
          <t>VÄSTERNORRLANDS LÄN</t>
        </is>
      </c>
      <c r="E9724" t="inlineStr">
        <is>
          <t>SUNDSVALL</t>
        </is>
      </c>
      <c r="G9724" t="n">
        <v>3.2</v>
      </c>
      <c r="H9724" t="n">
        <v>0</v>
      </c>
      <c r="I9724" t="n">
        <v>0</v>
      </c>
      <c r="J9724" t="n">
        <v>0</v>
      </c>
      <c r="K9724" t="n">
        <v>0</v>
      </c>
      <c r="L9724" t="n">
        <v>0</v>
      </c>
      <c r="M9724" t="n">
        <v>0</v>
      </c>
      <c r="N9724" t="n">
        <v>0</v>
      </c>
      <c r="O9724" t="n">
        <v>0</v>
      </c>
      <c r="P9724" t="n">
        <v>0</v>
      </c>
      <c r="Q9724" t="n">
        <v>0</v>
      </c>
      <c r="R9724" s="2" t="inlineStr"/>
    </row>
    <row r="9725" ht="15" customHeight="1">
      <c r="A9725" t="inlineStr">
        <is>
          <t>A 5732-2026</t>
        </is>
      </c>
      <c r="B9725" s="1" t="n">
        <v>46051.57375</v>
      </c>
      <c r="C9725" s="1" t="n">
        <v>46093</v>
      </c>
      <c r="D9725" t="inlineStr">
        <is>
          <t>VÄSTERNORRLANDS LÄN</t>
        </is>
      </c>
      <c r="E9725" t="inlineStr">
        <is>
          <t>TIMRÅ</t>
        </is>
      </c>
      <c r="G9725" t="n">
        <v>1.5</v>
      </c>
      <c r="H9725" t="n">
        <v>0</v>
      </c>
      <c r="I9725" t="n">
        <v>0</v>
      </c>
      <c r="J9725" t="n">
        <v>0</v>
      </c>
      <c r="K9725" t="n">
        <v>0</v>
      </c>
      <c r="L9725" t="n">
        <v>0</v>
      </c>
      <c r="M9725" t="n">
        <v>0</v>
      </c>
      <c r="N9725" t="n">
        <v>0</v>
      </c>
      <c r="O9725" t="n">
        <v>0</v>
      </c>
      <c r="P9725" t="n">
        <v>0</v>
      </c>
      <c r="Q9725" t="n">
        <v>0</v>
      </c>
      <c r="R9725" s="2" t="inlineStr"/>
    </row>
    <row r="9726" ht="15" customHeight="1">
      <c r="A9726" t="inlineStr">
        <is>
          <t>A 548-2025</t>
        </is>
      </c>
      <c r="B9726" s="1" t="n">
        <v>45664.52460648148</v>
      </c>
      <c r="C9726" s="1" t="n">
        <v>46093</v>
      </c>
      <c r="D9726" t="inlineStr">
        <is>
          <t>VÄSTERNORRLANDS LÄN</t>
        </is>
      </c>
      <c r="E9726" t="inlineStr">
        <is>
          <t>KRAMFORS</t>
        </is>
      </c>
      <c r="G9726" t="n">
        <v>2.2</v>
      </c>
      <c r="H9726" t="n">
        <v>0</v>
      </c>
      <c r="I9726" t="n">
        <v>0</v>
      </c>
      <c r="J9726" t="n">
        <v>0</v>
      </c>
      <c r="K9726" t="n">
        <v>0</v>
      </c>
      <c r="L9726" t="n">
        <v>0</v>
      </c>
      <c r="M9726" t="n">
        <v>0</v>
      </c>
      <c r="N9726" t="n">
        <v>0</v>
      </c>
      <c r="O9726" t="n">
        <v>0</v>
      </c>
      <c r="P9726" t="n">
        <v>0</v>
      </c>
      <c r="Q9726" t="n">
        <v>0</v>
      </c>
      <c r="R9726" s="2" t="inlineStr"/>
    </row>
    <row r="9727" ht="15" customHeight="1">
      <c r="A9727" t="inlineStr">
        <is>
          <t>A 11045-2025</t>
        </is>
      </c>
      <c r="B9727" s="1" t="n">
        <v>45723</v>
      </c>
      <c r="C9727" s="1" t="n">
        <v>46093</v>
      </c>
      <c r="D9727" t="inlineStr">
        <is>
          <t>VÄSTERNORRLANDS LÄN</t>
        </is>
      </c>
      <c r="E9727" t="inlineStr">
        <is>
          <t>HÄRNÖSAND</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54255-2022</t>
        </is>
      </c>
      <c r="B9728" s="1" t="n">
        <v>44881.95225694445</v>
      </c>
      <c r="C9728" s="1" t="n">
        <v>46093</v>
      </c>
      <c r="D9728" t="inlineStr">
        <is>
          <t>VÄSTERNORRLANDS LÄN</t>
        </is>
      </c>
      <c r="E9728" t="inlineStr">
        <is>
          <t>SOLLEFTEÅ</t>
        </is>
      </c>
      <c r="F9728" t="inlineStr">
        <is>
          <t>SCA</t>
        </is>
      </c>
      <c r="G9728" t="n">
        <v>3.9</v>
      </c>
      <c r="H9728" t="n">
        <v>0</v>
      </c>
      <c r="I9728" t="n">
        <v>0</v>
      </c>
      <c r="J9728" t="n">
        <v>0</v>
      </c>
      <c r="K9728" t="n">
        <v>0</v>
      </c>
      <c r="L9728" t="n">
        <v>0</v>
      </c>
      <c r="M9728" t="n">
        <v>0</v>
      </c>
      <c r="N9728" t="n">
        <v>0</v>
      </c>
      <c r="O9728" t="n">
        <v>0</v>
      </c>
      <c r="P9728" t="n">
        <v>0</v>
      </c>
      <c r="Q9728" t="n">
        <v>0</v>
      </c>
      <c r="R9728" s="2" t="inlineStr"/>
    </row>
    <row r="9729" ht="15" customHeight="1">
      <c r="A9729" t="inlineStr">
        <is>
          <t>A 60950-2025</t>
        </is>
      </c>
      <c r="B9729" s="1" t="n">
        <v>45999</v>
      </c>
      <c r="C9729" s="1" t="n">
        <v>46093</v>
      </c>
      <c r="D9729" t="inlineStr">
        <is>
          <t>VÄSTERNORRLANDS LÄN</t>
        </is>
      </c>
      <c r="E9729" t="inlineStr">
        <is>
          <t>ÅNGE</t>
        </is>
      </c>
      <c r="G9729" t="n">
        <v>3.7</v>
      </c>
      <c r="H9729" t="n">
        <v>0</v>
      </c>
      <c r="I9729" t="n">
        <v>0</v>
      </c>
      <c r="J9729" t="n">
        <v>0</v>
      </c>
      <c r="K9729" t="n">
        <v>0</v>
      </c>
      <c r="L9729" t="n">
        <v>0</v>
      </c>
      <c r="M9729" t="n">
        <v>0</v>
      </c>
      <c r="N9729" t="n">
        <v>0</v>
      </c>
      <c r="O9729" t="n">
        <v>0</v>
      </c>
      <c r="P9729" t="n">
        <v>0</v>
      </c>
      <c r="Q9729" t="n">
        <v>0</v>
      </c>
      <c r="R9729" s="2" t="inlineStr"/>
    </row>
    <row r="9730" ht="15" customHeight="1">
      <c r="A9730" t="inlineStr">
        <is>
          <t>A 63281-2025</t>
        </is>
      </c>
      <c r="B9730" s="1" t="n">
        <v>46010.58609953704</v>
      </c>
      <c r="C9730" s="1" t="n">
        <v>46093</v>
      </c>
      <c r="D9730" t="inlineStr">
        <is>
          <t>VÄSTERNORRLANDS LÄN</t>
        </is>
      </c>
      <c r="E9730" t="inlineStr">
        <is>
          <t>ÖRNSKÖLDSVIK</t>
        </is>
      </c>
      <c r="G9730" t="n">
        <v>6.2</v>
      </c>
      <c r="H9730" t="n">
        <v>0</v>
      </c>
      <c r="I9730" t="n">
        <v>0</v>
      </c>
      <c r="J9730" t="n">
        <v>0</v>
      </c>
      <c r="K9730" t="n">
        <v>0</v>
      </c>
      <c r="L9730" t="n">
        <v>0</v>
      </c>
      <c r="M9730" t="n">
        <v>0</v>
      </c>
      <c r="N9730" t="n">
        <v>0</v>
      </c>
      <c r="O9730" t="n">
        <v>0</v>
      </c>
      <c r="P9730" t="n">
        <v>0</v>
      </c>
      <c r="Q9730" t="n">
        <v>0</v>
      </c>
      <c r="R9730" s="2" t="inlineStr"/>
    </row>
    <row r="9731" ht="15" customHeight="1">
      <c r="A9731" t="inlineStr">
        <is>
          <t>A 61267-2023</t>
        </is>
      </c>
      <c r="B9731" s="1" t="n">
        <v>45264</v>
      </c>
      <c r="C9731" s="1" t="n">
        <v>46093</v>
      </c>
      <c r="D9731" t="inlineStr">
        <is>
          <t>VÄSTERNORRLANDS LÄN</t>
        </is>
      </c>
      <c r="E9731" t="inlineStr">
        <is>
          <t>SUNDSVALL</t>
        </is>
      </c>
      <c r="G9731" t="n">
        <v>8.199999999999999</v>
      </c>
      <c r="H9731" t="n">
        <v>0</v>
      </c>
      <c r="I9731" t="n">
        <v>0</v>
      </c>
      <c r="J9731" t="n">
        <v>0</v>
      </c>
      <c r="K9731" t="n">
        <v>0</v>
      </c>
      <c r="L9731" t="n">
        <v>0</v>
      </c>
      <c r="M9731" t="n">
        <v>0</v>
      </c>
      <c r="N9731" t="n">
        <v>0</v>
      </c>
      <c r="O9731" t="n">
        <v>0</v>
      </c>
      <c r="P9731" t="n">
        <v>0</v>
      </c>
      <c r="Q9731" t="n">
        <v>0</v>
      </c>
      <c r="R9731" s="2" t="inlineStr"/>
    </row>
    <row r="9732" ht="15" customHeight="1">
      <c r="A9732" t="inlineStr">
        <is>
          <t>A 63158-2025</t>
        </is>
      </c>
      <c r="B9732" s="1" t="n">
        <v>46010.36509259259</v>
      </c>
      <c r="C9732" s="1" t="n">
        <v>46093</v>
      </c>
      <c r="D9732" t="inlineStr">
        <is>
          <t>VÄSTERNORRLANDS LÄN</t>
        </is>
      </c>
      <c r="E9732" t="inlineStr">
        <is>
          <t>SOLLEFTEÅ</t>
        </is>
      </c>
      <c r="F9732" t="inlineStr">
        <is>
          <t>SCA</t>
        </is>
      </c>
      <c r="G9732" t="n">
        <v>4.1</v>
      </c>
      <c r="H9732" t="n">
        <v>0</v>
      </c>
      <c r="I9732" t="n">
        <v>0</v>
      </c>
      <c r="J9732" t="n">
        <v>0</v>
      </c>
      <c r="K9732" t="n">
        <v>0</v>
      </c>
      <c r="L9732" t="n">
        <v>0</v>
      </c>
      <c r="M9732" t="n">
        <v>0</v>
      </c>
      <c r="N9732" t="n">
        <v>0</v>
      </c>
      <c r="O9732" t="n">
        <v>0</v>
      </c>
      <c r="P9732" t="n">
        <v>0</v>
      </c>
      <c r="Q9732" t="n">
        <v>0</v>
      </c>
      <c r="R9732" s="2" t="inlineStr"/>
    </row>
    <row r="9733" ht="15" customHeight="1">
      <c r="A9733" t="inlineStr">
        <is>
          <t>A 16670-2022</t>
        </is>
      </c>
      <c r="B9733" s="1" t="n">
        <v>44672.93802083333</v>
      </c>
      <c r="C9733" s="1" t="n">
        <v>46093</v>
      </c>
      <c r="D9733" t="inlineStr">
        <is>
          <t>VÄSTERNORRLANDS LÄN</t>
        </is>
      </c>
      <c r="E9733" t="inlineStr">
        <is>
          <t>SOLLEFTEÅ</t>
        </is>
      </c>
      <c r="F9733" t="inlineStr">
        <is>
          <t>SCA</t>
        </is>
      </c>
      <c r="G9733" t="n">
        <v>4.1</v>
      </c>
      <c r="H9733" t="n">
        <v>0</v>
      </c>
      <c r="I9733" t="n">
        <v>0</v>
      </c>
      <c r="J9733" t="n">
        <v>0</v>
      </c>
      <c r="K9733" t="n">
        <v>0</v>
      </c>
      <c r="L9733" t="n">
        <v>0</v>
      </c>
      <c r="M9733" t="n">
        <v>0</v>
      </c>
      <c r="N9733" t="n">
        <v>0</v>
      </c>
      <c r="O9733" t="n">
        <v>0</v>
      </c>
      <c r="P9733" t="n">
        <v>0</v>
      </c>
      <c r="Q9733" t="n">
        <v>0</v>
      </c>
      <c r="R9733" s="2" t="inlineStr"/>
    </row>
    <row r="9734" ht="15" customHeight="1">
      <c r="A9734" t="inlineStr">
        <is>
          <t>A 62901-2025</t>
        </is>
      </c>
      <c r="B9734" s="1" t="n">
        <v>46009.34457175926</v>
      </c>
      <c r="C9734" s="1" t="n">
        <v>46093</v>
      </c>
      <c r="D9734" t="inlineStr">
        <is>
          <t>VÄSTERNORRLANDS LÄN</t>
        </is>
      </c>
      <c r="E9734" t="inlineStr">
        <is>
          <t>SOLLEFTEÅ</t>
        </is>
      </c>
      <c r="G9734" t="n">
        <v>2.5</v>
      </c>
      <c r="H9734" t="n">
        <v>0</v>
      </c>
      <c r="I9734" t="n">
        <v>0</v>
      </c>
      <c r="J9734" t="n">
        <v>0</v>
      </c>
      <c r="K9734" t="n">
        <v>0</v>
      </c>
      <c r="L9734" t="n">
        <v>0</v>
      </c>
      <c r="M9734" t="n">
        <v>0</v>
      </c>
      <c r="N9734" t="n">
        <v>0</v>
      </c>
      <c r="O9734" t="n">
        <v>0</v>
      </c>
      <c r="P9734" t="n">
        <v>0</v>
      </c>
      <c r="Q9734" t="n">
        <v>0</v>
      </c>
      <c r="R9734" s="2" t="inlineStr"/>
    </row>
    <row r="9735" ht="15" customHeight="1">
      <c r="A9735" t="inlineStr">
        <is>
          <t>A 62912-2025</t>
        </is>
      </c>
      <c r="B9735" s="1" t="n">
        <v>46009.36546296296</v>
      </c>
      <c r="C9735" s="1" t="n">
        <v>46093</v>
      </c>
      <c r="D9735" t="inlineStr">
        <is>
          <t>VÄSTERNORRLANDS LÄN</t>
        </is>
      </c>
      <c r="E9735" t="inlineStr">
        <is>
          <t>KRAMFORS</t>
        </is>
      </c>
      <c r="G9735" t="n">
        <v>5</v>
      </c>
      <c r="H9735" t="n">
        <v>0</v>
      </c>
      <c r="I9735" t="n">
        <v>0</v>
      </c>
      <c r="J9735" t="n">
        <v>0</v>
      </c>
      <c r="K9735" t="n">
        <v>0</v>
      </c>
      <c r="L9735" t="n">
        <v>0</v>
      </c>
      <c r="M9735" t="n">
        <v>0</v>
      </c>
      <c r="N9735" t="n">
        <v>0</v>
      </c>
      <c r="O9735" t="n">
        <v>0</v>
      </c>
      <c r="P9735" t="n">
        <v>0</v>
      </c>
      <c r="Q9735" t="n">
        <v>0</v>
      </c>
      <c r="R9735" s="2" t="inlineStr"/>
    </row>
    <row r="9736" ht="15" customHeight="1">
      <c r="A9736" t="inlineStr">
        <is>
          <t>A 113-2025</t>
        </is>
      </c>
      <c r="B9736" s="1" t="n">
        <v>45659.5106712963</v>
      </c>
      <c r="C9736" s="1" t="n">
        <v>46093</v>
      </c>
      <c r="D9736" t="inlineStr">
        <is>
          <t>VÄSTERNORRLANDS LÄN</t>
        </is>
      </c>
      <c r="E9736" t="inlineStr">
        <is>
          <t>ÅNGE</t>
        </is>
      </c>
      <c r="F9736" t="inlineStr">
        <is>
          <t>SCA</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196-2025</t>
        </is>
      </c>
      <c r="B9737" s="1" t="n">
        <v>45659.79658564815</v>
      </c>
      <c r="C9737" s="1" t="n">
        <v>46093</v>
      </c>
      <c r="D9737" t="inlineStr">
        <is>
          <t>VÄSTERNORRLANDS LÄN</t>
        </is>
      </c>
      <c r="E9737" t="inlineStr">
        <is>
          <t>ÖRNSKÖLDSVIK</t>
        </is>
      </c>
      <c r="G9737" t="n">
        <v>1.9</v>
      </c>
      <c r="H9737" t="n">
        <v>0</v>
      </c>
      <c r="I9737" t="n">
        <v>0</v>
      </c>
      <c r="J9737" t="n">
        <v>0</v>
      </c>
      <c r="K9737" t="n">
        <v>0</v>
      </c>
      <c r="L9737" t="n">
        <v>0</v>
      </c>
      <c r="M9737" t="n">
        <v>0</v>
      </c>
      <c r="N9737" t="n">
        <v>0</v>
      </c>
      <c r="O9737" t="n">
        <v>0</v>
      </c>
      <c r="P9737" t="n">
        <v>0</v>
      </c>
      <c r="Q9737" t="n">
        <v>0</v>
      </c>
      <c r="R9737" s="2" t="inlineStr"/>
    </row>
    <row r="9738" ht="15" customHeight="1">
      <c r="A9738" t="inlineStr">
        <is>
          <t>A 5860-2026</t>
        </is>
      </c>
      <c r="B9738" s="1" t="n">
        <v>46052.36519675926</v>
      </c>
      <c r="C9738" s="1" t="n">
        <v>46093</v>
      </c>
      <c r="D9738" t="inlineStr">
        <is>
          <t>VÄSTERNORRLANDS LÄN</t>
        </is>
      </c>
      <c r="E9738" t="inlineStr">
        <is>
          <t>HÄRNÖSAND</t>
        </is>
      </c>
      <c r="G9738" t="n">
        <v>2.6</v>
      </c>
      <c r="H9738" t="n">
        <v>0</v>
      </c>
      <c r="I9738" t="n">
        <v>0</v>
      </c>
      <c r="J9738" t="n">
        <v>0</v>
      </c>
      <c r="K9738" t="n">
        <v>0</v>
      </c>
      <c r="L9738" t="n">
        <v>0</v>
      </c>
      <c r="M9738" t="n">
        <v>0</v>
      </c>
      <c r="N9738" t="n">
        <v>0</v>
      </c>
      <c r="O9738" t="n">
        <v>0</v>
      </c>
      <c r="P9738" t="n">
        <v>0</v>
      </c>
      <c r="Q9738" t="n">
        <v>0</v>
      </c>
      <c r="R9738" s="2" t="inlineStr"/>
    </row>
    <row r="9739" ht="15" customHeight="1">
      <c r="A9739" t="inlineStr">
        <is>
          <t>A 48176-2023</t>
        </is>
      </c>
      <c r="B9739" s="1" t="n">
        <v>45199</v>
      </c>
      <c r="C9739" s="1" t="n">
        <v>46093</v>
      </c>
      <c r="D9739" t="inlineStr">
        <is>
          <t>VÄSTERNORRLANDS LÄN</t>
        </is>
      </c>
      <c r="E9739" t="inlineStr">
        <is>
          <t>KRAMFORS</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5990-2026</t>
        </is>
      </c>
      <c r="B9740" s="1" t="n">
        <v>46052.56612268519</v>
      </c>
      <c r="C9740" s="1" t="n">
        <v>46093</v>
      </c>
      <c r="D9740" t="inlineStr">
        <is>
          <t>VÄSTERNORRLANDS LÄN</t>
        </is>
      </c>
      <c r="E9740" t="inlineStr">
        <is>
          <t>HÄRNÖSAND</t>
        </is>
      </c>
      <c r="G9740" t="n">
        <v>1.5</v>
      </c>
      <c r="H9740" t="n">
        <v>0</v>
      </c>
      <c r="I9740" t="n">
        <v>0</v>
      </c>
      <c r="J9740" t="n">
        <v>0</v>
      </c>
      <c r="K9740" t="n">
        <v>0</v>
      </c>
      <c r="L9740" t="n">
        <v>0</v>
      </c>
      <c r="M9740" t="n">
        <v>0</v>
      </c>
      <c r="N9740" t="n">
        <v>0</v>
      </c>
      <c r="O9740" t="n">
        <v>0</v>
      </c>
      <c r="P9740" t="n">
        <v>0</v>
      </c>
      <c r="Q9740" t="n">
        <v>0</v>
      </c>
      <c r="R9740" s="2" t="inlineStr"/>
    </row>
    <row r="9741" ht="15" customHeight="1">
      <c r="A9741" t="inlineStr">
        <is>
          <t>A 16193-2023</t>
        </is>
      </c>
      <c r="B9741" s="1" t="n">
        <v>45027.94125</v>
      </c>
      <c r="C9741" s="1" t="n">
        <v>46093</v>
      </c>
      <c r="D9741" t="inlineStr">
        <is>
          <t>VÄSTERNORRLANDS LÄN</t>
        </is>
      </c>
      <c r="E9741" t="inlineStr">
        <is>
          <t>ÖRNSKÖLDSVIK</t>
        </is>
      </c>
      <c r="F9741" t="inlineStr">
        <is>
          <t>SCA</t>
        </is>
      </c>
      <c r="G9741" t="n">
        <v>2.3</v>
      </c>
      <c r="H9741" t="n">
        <v>0</v>
      </c>
      <c r="I9741" t="n">
        <v>0</v>
      </c>
      <c r="J9741" t="n">
        <v>0</v>
      </c>
      <c r="K9741" t="n">
        <v>0</v>
      </c>
      <c r="L9741" t="n">
        <v>0</v>
      </c>
      <c r="M9741" t="n">
        <v>0</v>
      </c>
      <c r="N9741" t="n">
        <v>0</v>
      </c>
      <c r="O9741" t="n">
        <v>0</v>
      </c>
      <c r="P9741" t="n">
        <v>0</v>
      </c>
      <c r="Q9741" t="n">
        <v>0</v>
      </c>
      <c r="R9741" s="2" t="inlineStr"/>
    </row>
    <row r="9742" ht="15" customHeight="1">
      <c r="A9742" t="inlineStr">
        <is>
          <t>A 58702-2025</t>
        </is>
      </c>
      <c r="B9742" s="1" t="n">
        <v>45986</v>
      </c>
      <c r="C9742" s="1" t="n">
        <v>46093</v>
      </c>
      <c r="D9742" t="inlineStr">
        <is>
          <t>VÄSTERNORRLANDS LÄN</t>
        </is>
      </c>
      <c r="E9742" t="inlineStr">
        <is>
          <t>ÖRNSKÖLDSVIK</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1403-2025</t>
        </is>
      </c>
      <c r="B9743" s="1" t="n">
        <v>45667.70548611111</v>
      </c>
      <c r="C9743" s="1" t="n">
        <v>46093</v>
      </c>
      <c r="D9743" t="inlineStr">
        <is>
          <t>VÄSTERNORRLANDS LÄN</t>
        </is>
      </c>
      <c r="E9743" t="inlineStr">
        <is>
          <t>ÅNGE</t>
        </is>
      </c>
      <c r="G9743" t="n">
        <v>1.3</v>
      </c>
      <c r="H9743" t="n">
        <v>0</v>
      </c>
      <c r="I9743" t="n">
        <v>0</v>
      </c>
      <c r="J9743" t="n">
        <v>0</v>
      </c>
      <c r="K9743" t="n">
        <v>0</v>
      </c>
      <c r="L9743" t="n">
        <v>0</v>
      </c>
      <c r="M9743" t="n">
        <v>0</v>
      </c>
      <c r="N9743" t="n">
        <v>0</v>
      </c>
      <c r="O9743" t="n">
        <v>0</v>
      </c>
      <c r="P9743" t="n">
        <v>0</v>
      </c>
      <c r="Q9743" t="n">
        <v>0</v>
      </c>
      <c r="R9743" s="2" t="inlineStr"/>
    </row>
    <row r="9744" ht="15" customHeight="1">
      <c r="A9744" t="inlineStr">
        <is>
          <t>A 39619-2024</t>
        </is>
      </c>
      <c r="B9744" s="1" t="n">
        <v>45552</v>
      </c>
      <c r="C9744" s="1" t="n">
        <v>46093</v>
      </c>
      <c r="D9744" t="inlineStr">
        <is>
          <t>VÄSTERNORRLANDS LÄN</t>
        </is>
      </c>
      <c r="E9744" t="inlineStr">
        <is>
          <t>ÅNGE</t>
        </is>
      </c>
      <c r="G9744" t="n">
        <v>0.5</v>
      </c>
      <c r="H9744" t="n">
        <v>0</v>
      </c>
      <c r="I9744" t="n">
        <v>0</v>
      </c>
      <c r="J9744" t="n">
        <v>0</v>
      </c>
      <c r="K9744" t="n">
        <v>0</v>
      </c>
      <c r="L9744" t="n">
        <v>0</v>
      </c>
      <c r="M9744" t="n">
        <v>0</v>
      </c>
      <c r="N9744" t="n">
        <v>0</v>
      </c>
      <c r="O9744" t="n">
        <v>0</v>
      </c>
      <c r="P9744" t="n">
        <v>0</v>
      </c>
      <c r="Q9744" t="n">
        <v>0</v>
      </c>
      <c r="R9744" s="2" t="inlineStr"/>
    </row>
    <row r="9745" ht="15" customHeight="1">
      <c r="A9745" t="inlineStr">
        <is>
          <t>A 21235-2024</t>
        </is>
      </c>
      <c r="B9745" s="1" t="n">
        <v>45440</v>
      </c>
      <c r="C9745" s="1" t="n">
        <v>46093</v>
      </c>
      <c r="D9745" t="inlineStr">
        <is>
          <t>VÄSTERNORRLANDS LÄN</t>
        </is>
      </c>
      <c r="E9745" t="inlineStr">
        <is>
          <t>ÖRNSKÖLDSVIK</t>
        </is>
      </c>
      <c r="F9745" t="inlineStr">
        <is>
          <t>Holmen skog AB</t>
        </is>
      </c>
      <c r="G9745" t="n">
        <v>8</v>
      </c>
      <c r="H9745" t="n">
        <v>0</v>
      </c>
      <c r="I9745" t="n">
        <v>0</v>
      </c>
      <c r="J9745" t="n">
        <v>0</v>
      </c>
      <c r="K9745" t="n">
        <v>0</v>
      </c>
      <c r="L9745" t="n">
        <v>0</v>
      </c>
      <c r="M9745" t="n">
        <v>0</v>
      </c>
      <c r="N9745" t="n">
        <v>0</v>
      </c>
      <c r="O9745" t="n">
        <v>0</v>
      </c>
      <c r="P9745" t="n">
        <v>0</v>
      </c>
      <c r="Q9745" t="n">
        <v>0</v>
      </c>
      <c r="R9745" s="2" t="inlineStr"/>
    </row>
    <row r="9746" ht="15" customHeight="1">
      <c r="A9746" t="inlineStr">
        <is>
          <t>A 63727-2025</t>
        </is>
      </c>
      <c r="B9746" s="1" t="n">
        <v>46010</v>
      </c>
      <c r="C9746" s="1" t="n">
        <v>46093</v>
      </c>
      <c r="D9746" t="inlineStr">
        <is>
          <t>VÄSTERNORRLANDS LÄN</t>
        </is>
      </c>
      <c r="E9746" t="inlineStr">
        <is>
          <t>SOLLEFTEÅ</t>
        </is>
      </c>
      <c r="G9746" t="n">
        <v>1.9</v>
      </c>
      <c r="H9746" t="n">
        <v>0</v>
      </c>
      <c r="I9746" t="n">
        <v>0</v>
      </c>
      <c r="J9746" t="n">
        <v>0</v>
      </c>
      <c r="K9746" t="n">
        <v>0</v>
      </c>
      <c r="L9746" t="n">
        <v>0</v>
      </c>
      <c r="M9746" t="n">
        <v>0</v>
      </c>
      <c r="N9746" t="n">
        <v>0</v>
      </c>
      <c r="O9746" t="n">
        <v>0</v>
      </c>
      <c r="P9746" t="n">
        <v>0</v>
      </c>
      <c r="Q9746" t="n">
        <v>0</v>
      </c>
      <c r="R9746" s="2" t="inlineStr"/>
    </row>
    <row r="9747" ht="15" customHeight="1">
      <c r="A9747" t="inlineStr">
        <is>
          <t>A 5951-2026</t>
        </is>
      </c>
      <c r="B9747" s="1" t="n">
        <v>46052.49025462963</v>
      </c>
      <c r="C9747" s="1" t="n">
        <v>46093</v>
      </c>
      <c r="D9747" t="inlineStr">
        <is>
          <t>VÄSTERNORRLANDS LÄN</t>
        </is>
      </c>
      <c r="E9747" t="inlineStr">
        <is>
          <t>TIMRÅ</t>
        </is>
      </c>
      <c r="F9747" t="inlineStr">
        <is>
          <t>SCA</t>
        </is>
      </c>
      <c r="G9747" t="n">
        <v>14.2</v>
      </c>
      <c r="H9747" t="n">
        <v>0</v>
      </c>
      <c r="I9747" t="n">
        <v>0</v>
      </c>
      <c r="J9747" t="n">
        <v>0</v>
      </c>
      <c r="K9747" t="n">
        <v>0</v>
      </c>
      <c r="L9747" t="n">
        <v>0</v>
      </c>
      <c r="M9747" t="n">
        <v>0</v>
      </c>
      <c r="N9747" t="n">
        <v>0</v>
      </c>
      <c r="O9747" t="n">
        <v>0</v>
      </c>
      <c r="P9747" t="n">
        <v>0</v>
      </c>
      <c r="Q9747" t="n">
        <v>0</v>
      </c>
      <c r="R9747" s="2" t="inlineStr"/>
    </row>
    <row r="9748" ht="15" customHeight="1">
      <c r="A9748" t="inlineStr">
        <is>
          <t>A 62336-2025</t>
        </is>
      </c>
      <c r="B9748" s="1" t="n">
        <v>46006</v>
      </c>
      <c r="C9748" s="1" t="n">
        <v>46093</v>
      </c>
      <c r="D9748" t="inlineStr">
        <is>
          <t>VÄSTERNORRLANDS LÄN</t>
        </is>
      </c>
      <c r="E9748" t="inlineStr">
        <is>
          <t>ÅNGE</t>
        </is>
      </c>
      <c r="G9748" t="n">
        <v>13.4</v>
      </c>
      <c r="H9748" t="n">
        <v>0</v>
      </c>
      <c r="I9748" t="n">
        <v>0</v>
      </c>
      <c r="J9748" t="n">
        <v>0</v>
      </c>
      <c r="K9748" t="n">
        <v>0</v>
      </c>
      <c r="L9748" t="n">
        <v>0</v>
      </c>
      <c r="M9748" t="n">
        <v>0</v>
      </c>
      <c r="N9748" t="n">
        <v>0</v>
      </c>
      <c r="O9748" t="n">
        <v>0</v>
      </c>
      <c r="P9748" t="n">
        <v>0</v>
      </c>
      <c r="Q9748" t="n">
        <v>0</v>
      </c>
      <c r="R9748" s="2" t="inlineStr"/>
    </row>
    <row r="9749" ht="15" customHeight="1">
      <c r="A9749" t="inlineStr">
        <is>
          <t>A 5843-2026</t>
        </is>
      </c>
      <c r="B9749" s="1" t="n">
        <v>46052</v>
      </c>
      <c r="C9749" s="1" t="n">
        <v>46093</v>
      </c>
      <c r="D9749" t="inlineStr">
        <is>
          <t>VÄSTERNORRLANDS LÄN</t>
        </is>
      </c>
      <c r="E9749" t="inlineStr">
        <is>
          <t>SUNDSVALL</t>
        </is>
      </c>
      <c r="G9749" t="n">
        <v>0.9</v>
      </c>
      <c r="H9749" t="n">
        <v>0</v>
      </c>
      <c r="I9749" t="n">
        <v>0</v>
      </c>
      <c r="J9749" t="n">
        <v>0</v>
      </c>
      <c r="K9749" t="n">
        <v>0</v>
      </c>
      <c r="L9749" t="n">
        <v>0</v>
      </c>
      <c r="M9749" t="n">
        <v>0</v>
      </c>
      <c r="N9749" t="n">
        <v>0</v>
      </c>
      <c r="O9749" t="n">
        <v>0</v>
      </c>
      <c r="P9749" t="n">
        <v>0</v>
      </c>
      <c r="Q9749" t="n">
        <v>0</v>
      </c>
      <c r="R9749" s="2" t="inlineStr"/>
    </row>
    <row r="9750" ht="15" customHeight="1">
      <c r="A9750" t="inlineStr">
        <is>
          <t>A 5845-2026</t>
        </is>
      </c>
      <c r="B9750" s="1" t="n">
        <v>46052.34831018518</v>
      </c>
      <c r="C9750" s="1" t="n">
        <v>46093</v>
      </c>
      <c r="D9750" t="inlineStr">
        <is>
          <t>VÄSTERNORRLANDS LÄN</t>
        </is>
      </c>
      <c r="E9750" t="inlineStr">
        <is>
          <t>SUNDSVALL</t>
        </is>
      </c>
      <c r="G9750" t="n">
        <v>0.8</v>
      </c>
      <c r="H9750" t="n">
        <v>0</v>
      </c>
      <c r="I9750" t="n">
        <v>0</v>
      </c>
      <c r="J9750" t="n">
        <v>0</v>
      </c>
      <c r="K9750" t="n">
        <v>0</v>
      </c>
      <c r="L9750" t="n">
        <v>0</v>
      </c>
      <c r="M9750" t="n">
        <v>0</v>
      </c>
      <c r="N9750" t="n">
        <v>0</v>
      </c>
      <c r="O9750" t="n">
        <v>0</v>
      </c>
      <c r="P9750" t="n">
        <v>0</v>
      </c>
      <c r="Q9750" t="n">
        <v>0</v>
      </c>
      <c r="R9750" s="2" t="inlineStr"/>
    </row>
    <row r="9751" ht="15" customHeight="1">
      <c r="A9751" t="inlineStr">
        <is>
          <t>A 62900-2025</t>
        </is>
      </c>
      <c r="B9751" s="1" t="n">
        <v>46009.34457175926</v>
      </c>
      <c r="C9751" s="1" t="n">
        <v>46093</v>
      </c>
      <c r="D9751" t="inlineStr">
        <is>
          <t>VÄSTERNORRLANDS LÄN</t>
        </is>
      </c>
      <c r="E9751" t="inlineStr">
        <is>
          <t>SOLLEFTEÅ</t>
        </is>
      </c>
      <c r="G9751" t="n">
        <v>0.4</v>
      </c>
      <c r="H9751" t="n">
        <v>0</v>
      </c>
      <c r="I9751" t="n">
        <v>0</v>
      </c>
      <c r="J9751" t="n">
        <v>0</v>
      </c>
      <c r="K9751" t="n">
        <v>0</v>
      </c>
      <c r="L9751" t="n">
        <v>0</v>
      </c>
      <c r="M9751" t="n">
        <v>0</v>
      </c>
      <c r="N9751" t="n">
        <v>0</v>
      </c>
      <c r="O9751" t="n">
        <v>0</v>
      </c>
      <c r="P9751" t="n">
        <v>0</v>
      </c>
      <c r="Q9751" t="n">
        <v>0</v>
      </c>
      <c r="R9751" s="2" t="inlineStr"/>
    </row>
    <row r="9752" ht="15" customHeight="1">
      <c r="A9752" t="inlineStr">
        <is>
          <t>A 63038-2025</t>
        </is>
      </c>
      <c r="B9752" s="1" t="n">
        <v>46009.61511574074</v>
      </c>
      <c r="C9752" s="1" t="n">
        <v>46093</v>
      </c>
      <c r="D9752" t="inlineStr">
        <is>
          <t>VÄSTERNORRLANDS LÄN</t>
        </is>
      </c>
      <c r="E9752" t="inlineStr">
        <is>
          <t>SOLLEFTEÅ</t>
        </is>
      </c>
      <c r="F9752" t="inlineStr">
        <is>
          <t>SCA</t>
        </is>
      </c>
      <c r="G9752" t="n">
        <v>2.4</v>
      </c>
      <c r="H9752" t="n">
        <v>0</v>
      </c>
      <c r="I9752" t="n">
        <v>0</v>
      </c>
      <c r="J9752" t="n">
        <v>0</v>
      </c>
      <c r="K9752" t="n">
        <v>0</v>
      </c>
      <c r="L9752" t="n">
        <v>0</v>
      </c>
      <c r="M9752" t="n">
        <v>0</v>
      </c>
      <c r="N9752" t="n">
        <v>0</v>
      </c>
      <c r="O9752" t="n">
        <v>0</v>
      </c>
      <c r="P9752" t="n">
        <v>0</v>
      </c>
      <c r="Q9752" t="n">
        <v>0</v>
      </c>
      <c r="R9752" s="2" t="inlineStr"/>
    </row>
    <row r="9753" ht="15" customHeight="1">
      <c r="A9753" t="inlineStr">
        <is>
          <t>A 2185-2025</t>
        </is>
      </c>
      <c r="B9753" s="1" t="n">
        <v>45673</v>
      </c>
      <c r="C9753" s="1" t="n">
        <v>46093</v>
      </c>
      <c r="D9753" t="inlineStr">
        <is>
          <t>VÄSTERNORRLANDS LÄN</t>
        </is>
      </c>
      <c r="E9753" t="inlineStr">
        <is>
          <t>SOLLEFTEÅ</t>
        </is>
      </c>
      <c r="G9753" t="n">
        <v>7</v>
      </c>
      <c r="H9753" t="n">
        <v>0</v>
      </c>
      <c r="I9753" t="n">
        <v>0</v>
      </c>
      <c r="J9753" t="n">
        <v>0</v>
      </c>
      <c r="K9753" t="n">
        <v>0</v>
      </c>
      <c r="L9753" t="n">
        <v>0</v>
      </c>
      <c r="M9753" t="n">
        <v>0</v>
      </c>
      <c r="N9753" t="n">
        <v>0</v>
      </c>
      <c r="O9753" t="n">
        <v>0</v>
      </c>
      <c r="P9753" t="n">
        <v>0</v>
      </c>
      <c r="Q9753" t="n">
        <v>0</v>
      </c>
      <c r="R9753" s="2" t="inlineStr"/>
    </row>
    <row r="9754" ht="15" customHeight="1">
      <c r="A9754" t="inlineStr">
        <is>
          <t>A 5602-2026</t>
        </is>
      </c>
      <c r="B9754" s="1" t="n">
        <v>46051.34418981482</v>
      </c>
      <c r="C9754" s="1" t="n">
        <v>46093</v>
      </c>
      <c r="D9754" t="inlineStr">
        <is>
          <t>VÄSTERNORRLANDS LÄN</t>
        </is>
      </c>
      <c r="E9754" t="inlineStr">
        <is>
          <t>SUNDSVALL</t>
        </is>
      </c>
      <c r="G9754" t="n">
        <v>2.4</v>
      </c>
      <c r="H9754" t="n">
        <v>0</v>
      </c>
      <c r="I9754" t="n">
        <v>0</v>
      </c>
      <c r="J9754" t="n">
        <v>0</v>
      </c>
      <c r="K9754" t="n">
        <v>0</v>
      </c>
      <c r="L9754" t="n">
        <v>0</v>
      </c>
      <c r="M9754" t="n">
        <v>0</v>
      </c>
      <c r="N9754" t="n">
        <v>0</v>
      </c>
      <c r="O9754" t="n">
        <v>0</v>
      </c>
      <c r="P9754" t="n">
        <v>0</v>
      </c>
      <c r="Q9754" t="n">
        <v>0</v>
      </c>
      <c r="R9754" s="2" t="inlineStr"/>
    </row>
    <row r="9755" ht="15" customHeight="1">
      <c r="A9755" t="inlineStr">
        <is>
          <t>A 446-2025</t>
        </is>
      </c>
      <c r="B9755" s="1" t="n">
        <v>45664.39436342593</v>
      </c>
      <c r="C9755" s="1" t="n">
        <v>46093</v>
      </c>
      <c r="D9755" t="inlineStr">
        <is>
          <t>VÄSTERNORRLANDS LÄN</t>
        </is>
      </c>
      <c r="E9755" t="inlineStr">
        <is>
          <t>KRAMFORS</t>
        </is>
      </c>
      <c r="G9755" t="n">
        <v>6.5</v>
      </c>
      <c r="H9755" t="n">
        <v>0</v>
      </c>
      <c r="I9755" t="n">
        <v>0</v>
      </c>
      <c r="J9755" t="n">
        <v>0</v>
      </c>
      <c r="K9755" t="n">
        <v>0</v>
      </c>
      <c r="L9755" t="n">
        <v>0</v>
      </c>
      <c r="M9755" t="n">
        <v>0</v>
      </c>
      <c r="N9755" t="n">
        <v>0</v>
      </c>
      <c r="O9755" t="n">
        <v>0</v>
      </c>
      <c r="P9755" t="n">
        <v>0</v>
      </c>
      <c r="Q9755" t="n">
        <v>0</v>
      </c>
      <c r="R9755" s="2" t="inlineStr"/>
    </row>
    <row r="9756" ht="15" customHeight="1">
      <c r="A9756" t="inlineStr">
        <is>
          <t>A 6402-2026</t>
        </is>
      </c>
      <c r="B9756" s="1" t="n">
        <v>46055.65847222223</v>
      </c>
      <c r="C9756" s="1" t="n">
        <v>46093</v>
      </c>
      <c r="D9756" t="inlineStr">
        <is>
          <t>VÄSTERNORRLANDS LÄN</t>
        </is>
      </c>
      <c r="E9756" t="inlineStr">
        <is>
          <t>ÖRNSKÖLDSVIK</t>
        </is>
      </c>
      <c r="G9756" t="n">
        <v>13.9</v>
      </c>
      <c r="H9756" t="n">
        <v>0</v>
      </c>
      <c r="I9756" t="n">
        <v>0</v>
      </c>
      <c r="J9756" t="n">
        <v>0</v>
      </c>
      <c r="K9756" t="n">
        <v>0</v>
      </c>
      <c r="L9756" t="n">
        <v>0</v>
      </c>
      <c r="M9756" t="n">
        <v>0</v>
      </c>
      <c r="N9756" t="n">
        <v>0</v>
      </c>
      <c r="O9756" t="n">
        <v>0</v>
      </c>
      <c r="P9756" t="n">
        <v>0</v>
      </c>
      <c r="Q9756" t="n">
        <v>0</v>
      </c>
      <c r="R9756" s="2" t="inlineStr"/>
    </row>
    <row r="9757" ht="15" customHeight="1">
      <c r="A9757" t="inlineStr">
        <is>
          <t>A 6427-2026</t>
        </is>
      </c>
      <c r="B9757" s="1" t="n">
        <v>46055.71923611111</v>
      </c>
      <c r="C9757" s="1" t="n">
        <v>46093</v>
      </c>
      <c r="D9757" t="inlineStr">
        <is>
          <t>VÄSTERNORRLANDS LÄN</t>
        </is>
      </c>
      <c r="E9757" t="inlineStr">
        <is>
          <t>TIMRÅ</t>
        </is>
      </c>
      <c r="F9757" t="inlineStr">
        <is>
          <t>SCA</t>
        </is>
      </c>
      <c r="G9757" t="n">
        <v>1.4</v>
      </c>
      <c r="H9757" t="n">
        <v>0</v>
      </c>
      <c r="I9757" t="n">
        <v>0</v>
      </c>
      <c r="J9757" t="n">
        <v>0</v>
      </c>
      <c r="K9757" t="n">
        <v>0</v>
      </c>
      <c r="L9757" t="n">
        <v>0</v>
      </c>
      <c r="M9757" t="n">
        <v>0</v>
      </c>
      <c r="N9757" t="n">
        <v>0</v>
      </c>
      <c r="O9757" t="n">
        <v>0</v>
      </c>
      <c r="P9757" t="n">
        <v>0</v>
      </c>
      <c r="Q9757" t="n">
        <v>0</v>
      </c>
      <c r="R9757" s="2" t="inlineStr"/>
    </row>
    <row r="9758" ht="15" customHeight="1">
      <c r="A9758" t="inlineStr">
        <is>
          <t>A 965-2025</t>
        </is>
      </c>
      <c r="B9758" s="1" t="n">
        <v>45666.38577546296</v>
      </c>
      <c r="C9758" s="1" t="n">
        <v>46093</v>
      </c>
      <c r="D9758" t="inlineStr">
        <is>
          <t>VÄSTERNORRLANDS LÄN</t>
        </is>
      </c>
      <c r="E9758" t="inlineStr">
        <is>
          <t>SUNDSVALL</t>
        </is>
      </c>
      <c r="F9758" t="inlineStr">
        <is>
          <t>SCA</t>
        </is>
      </c>
      <c r="G9758" t="n">
        <v>1.9</v>
      </c>
      <c r="H9758" t="n">
        <v>0</v>
      </c>
      <c r="I9758" t="n">
        <v>0</v>
      </c>
      <c r="J9758" t="n">
        <v>0</v>
      </c>
      <c r="K9758" t="n">
        <v>0</v>
      </c>
      <c r="L9758" t="n">
        <v>0</v>
      </c>
      <c r="M9758" t="n">
        <v>0</v>
      </c>
      <c r="N9758" t="n">
        <v>0</v>
      </c>
      <c r="O9758" t="n">
        <v>0</v>
      </c>
      <c r="P9758" t="n">
        <v>0</v>
      </c>
      <c r="Q9758" t="n">
        <v>0</v>
      </c>
      <c r="R9758" s="2" t="inlineStr"/>
    </row>
    <row r="9759" ht="15" customHeight="1">
      <c r="A9759" t="inlineStr">
        <is>
          <t>A 48134-2023</t>
        </is>
      </c>
      <c r="B9759" s="1" t="n">
        <v>45205</v>
      </c>
      <c r="C9759" s="1" t="n">
        <v>46093</v>
      </c>
      <c r="D9759" t="inlineStr">
        <is>
          <t>VÄSTERNORRLANDS LÄN</t>
        </is>
      </c>
      <c r="E9759" t="inlineStr">
        <is>
          <t>ÖRNSKÖLDSVIK</t>
        </is>
      </c>
      <c r="F9759" t="inlineStr">
        <is>
          <t>Holmen skog AB</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63594-2025</t>
        </is>
      </c>
      <c r="B9760" s="1" t="n">
        <v>46013</v>
      </c>
      <c r="C9760" s="1" t="n">
        <v>46093</v>
      </c>
      <c r="D9760" t="inlineStr">
        <is>
          <t>VÄSTERNORRLANDS LÄN</t>
        </is>
      </c>
      <c r="E9760" t="inlineStr">
        <is>
          <t>SUNDSVALL</t>
        </is>
      </c>
      <c r="G9760" t="n">
        <v>2</v>
      </c>
      <c r="H9760" t="n">
        <v>0</v>
      </c>
      <c r="I9760" t="n">
        <v>0</v>
      </c>
      <c r="J9760" t="n">
        <v>0</v>
      </c>
      <c r="K9760" t="n">
        <v>0</v>
      </c>
      <c r="L9760" t="n">
        <v>0</v>
      </c>
      <c r="M9760" t="n">
        <v>0</v>
      </c>
      <c r="N9760" t="n">
        <v>0</v>
      </c>
      <c r="O9760" t="n">
        <v>0</v>
      </c>
      <c r="P9760" t="n">
        <v>0</v>
      </c>
      <c r="Q9760" t="n">
        <v>0</v>
      </c>
      <c r="R9760" s="2" t="inlineStr"/>
    </row>
    <row r="9761" ht="15" customHeight="1">
      <c r="A9761" t="inlineStr">
        <is>
          <t>A 29104-2023</t>
        </is>
      </c>
      <c r="B9761" s="1" t="n">
        <v>45097</v>
      </c>
      <c r="C9761" s="1" t="n">
        <v>46093</v>
      </c>
      <c r="D9761" t="inlineStr">
        <is>
          <t>VÄSTERNORRLANDS LÄN</t>
        </is>
      </c>
      <c r="E9761" t="inlineStr">
        <is>
          <t>HÄRNÖSAND</t>
        </is>
      </c>
      <c r="G9761" t="n">
        <v>2.6</v>
      </c>
      <c r="H9761" t="n">
        <v>0</v>
      </c>
      <c r="I9761" t="n">
        <v>0</v>
      </c>
      <c r="J9761" t="n">
        <v>0</v>
      </c>
      <c r="K9761" t="n">
        <v>0</v>
      </c>
      <c r="L9761" t="n">
        <v>0</v>
      </c>
      <c r="M9761" t="n">
        <v>0</v>
      </c>
      <c r="N9761" t="n">
        <v>0</v>
      </c>
      <c r="O9761" t="n">
        <v>0</v>
      </c>
      <c r="P9761" t="n">
        <v>0</v>
      </c>
      <c r="Q9761" t="n">
        <v>0</v>
      </c>
      <c r="R9761" s="2" t="inlineStr"/>
    </row>
    <row r="9762" ht="15" customHeight="1">
      <c r="A9762" t="inlineStr">
        <is>
          <t>A 63385-2025</t>
        </is>
      </c>
      <c r="B9762" s="1" t="n">
        <v>46011.5733912037</v>
      </c>
      <c r="C9762" s="1" t="n">
        <v>46093</v>
      </c>
      <c r="D9762" t="inlineStr">
        <is>
          <t>VÄSTERNORRLANDS LÄN</t>
        </is>
      </c>
      <c r="E9762" t="inlineStr">
        <is>
          <t>SUNDSVALL</t>
        </is>
      </c>
      <c r="G9762" t="n">
        <v>8.6</v>
      </c>
      <c r="H9762" t="n">
        <v>0</v>
      </c>
      <c r="I9762" t="n">
        <v>0</v>
      </c>
      <c r="J9762" t="n">
        <v>0</v>
      </c>
      <c r="K9762" t="n">
        <v>0</v>
      </c>
      <c r="L9762" t="n">
        <v>0</v>
      </c>
      <c r="M9762" t="n">
        <v>0</v>
      </c>
      <c r="N9762" t="n">
        <v>0</v>
      </c>
      <c r="O9762" t="n">
        <v>0</v>
      </c>
      <c r="P9762" t="n">
        <v>0</v>
      </c>
      <c r="Q9762" t="n">
        <v>0</v>
      </c>
      <c r="R9762" s="2" t="inlineStr"/>
    </row>
    <row r="9763" ht="15" customHeight="1">
      <c r="A9763" t="inlineStr">
        <is>
          <t>A 63442-2025</t>
        </is>
      </c>
      <c r="B9763" s="1" t="n">
        <v>46013.38599537037</v>
      </c>
      <c r="C9763" s="1" t="n">
        <v>46093</v>
      </c>
      <c r="D9763" t="inlineStr">
        <is>
          <t>VÄSTERNORRLANDS LÄN</t>
        </is>
      </c>
      <c r="E9763" t="inlineStr">
        <is>
          <t>SOLLEFTEÅ</t>
        </is>
      </c>
      <c r="G9763" t="n">
        <v>3.9</v>
      </c>
      <c r="H9763" t="n">
        <v>0</v>
      </c>
      <c r="I9763" t="n">
        <v>0</v>
      </c>
      <c r="J9763" t="n">
        <v>0</v>
      </c>
      <c r="K9763" t="n">
        <v>0</v>
      </c>
      <c r="L9763" t="n">
        <v>0</v>
      </c>
      <c r="M9763" t="n">
        <v>0</v>
      </c>
      <c r="N9763" t="n">
        <v>0</v>
      </c>
      <c r="O9763" t="n">
        <v>0</v>
      </c>
      <c r="P9763" t="n">
        <v>0</v>
      </c>
      <c r="Q9763" t="n">
        <v>0</v>
      </c>
      <c r="R9763" s="2" t="inlineStr"/>
    </row>
    <row r="9764" ht="15" customHeight="1">
      <c r="A9764" t="inlineStr">
        <is>
          <t>A 63443-2025</t>
        </is>
      </c>
      <c r="B9764" s="1" t="n">
        <v>46013.38929398148</v>
      </c>
      <c r="C9764" s="1" t="n">
        <v>46093</v>
      </c>
      <c r="D9764" t="inlineStr">
        <is>
          <t>VÄSTERNORRLANDS LÄN</t>
        </is>
      </c>
      <c r="E9764" t="inlineStr">
        <is>
          <t>SOLLEFTEÅ</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63446-2025</t>
        </is>
      </c>
      <c r="B9765" s="1" t="n">
        <v>46013.40040509259</v>
      </c>
      <c r="C9765" s="1" t="n">
        <v>46093</v>
      </c>
      <c r="D9765" t="inlineStr">
        <is>
          <t>VÄSTERNORRLANDS LÄN</t>
        </is>
      </c>
      <c r="E9765" t="inlineStr">
        <is>
          <t>SUNDSVALL</t>
        </is>
      </c>
      <c r="G9765" t="n">
        <v>6.1</v>
      </c>
      <c r="H9765" t="n">
        <v>0</v>
      </c>
      <c r="I9765" t="n">
        <v>0</v>
      </c>
      <c r="J9765" t="n">
        <v>0</v>
      </c>
      <c r="K9765" t="n">
        <v>0</v>
      </c>
      <c r="L9765" t="n">
        <v>0</v>
      </c>
      <c r="M9765" t="n">
        <v>0</v>
      </c>
      <c r="N9765" t="n">
        <v>0</v>
      </c>
      <c r="O9765" t="n">
        <v>0</v>
      </c>
      <c r="P9765" t="n">
        <v>0</v>
      </c>
      <c r="Q9765" t="n">
        <v>0</v>
      </c>
      <c r="R9765" s="2" t="inlineStr"/>
    </row>
    <row r="9766" ht="15" customHeight="1">
      <c r="A9766" t="inlineStr">
        <is>
          <t>A 63518-2025</t>
        </is>
      </c>
      <c r="B9766" s="1" t="n">
        <v>46013.51077546296</v>
      </c>
      <c r="C9766" s="1" t="n">
        <v>46093</v>
      </c>
      <c r="D9766" t="inlineStr">
        <is>
          <t>VÄSTERNORRLANDS LÄN</t>
        </is>
      </c>
      <c r="E9766" t="inlineStr">
        <is>
          <t>TIMRÅ</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6700-2026</t>
        </is>
      </c>
      <c r="B9767" s="1" t="n">
        <v>46056.64269675926</v>
      </c>
      <c r="C9767" s="1" t="n">
        <v>46093</v>
      </c>
      <c r="D9767" t="inlineStr">
        <is>
          <t>VÄSTERNORRLANDS LÄN</t>
        </is>
      </c>
      <c r="E9767" t="inlineStr">
        <is>
          <t>SUNDSVALL</t>
        </is>
      </c>
      <c r="G9767" t="n">
        <v>1.4</v>
      </c>
      <c r="H9767" t="n">
        <v>0</v>
      </c>
      <c r="I9767" t="n">
        <v>0</v>
      </c>
      <c r="J9767" t="n">
        <v>0</v>
      </c>
      <c r="K9767" t="n">
        <v>0</v>
      </c>
      <c r="L9767" t="n">
        <v>0</v>
      </c>
      <c r="M9767" t="n">
        <v>0</v>
      </c>
      <c r="N9767" t="n">
        <v>0</v>
      </c>
      <c r="O9767" t="n">
        <v>0</v>
      </c>
      <c r="P9767" t="n">
        <v>0</v>
      </c>
      <c r="Q9767" t="n">
        <v>0</v>
      </c>
      <c r="R9767" s="2" t="inlineStr"/>
    </row>
    <row r="9768" ht="15" customHeight="1">
      <c r="A9768" t="inlineStr">
        <is>
          <t>A 58965-2024</t>
        </is>
      </c>
      <c r="B9768" s="1" t="n">
        <v>45636.59234953704</v>
      </c>
      <c r="C9768" s="1" t="n">
        <v>46093</v>
      </c>
      <c r="D9768" t="inlineStr">
        <is>
          <t>VÄSTERNORRLANDS LÄN</t>
        </is>
      </c>
      <c r="E9768" t="inlineStr">
        <is>
          <t>KRAMFORS</t>
        </is>
      </c>
      <c r="G9768" t="n">
        <v>11.7</v>
      </c>
      <c r="H9768" t="n">
        <v>0</v>
      </c>
      <c r="I9768" t="n">
        <v>0</v>
      </c>
      <c r="J9768" t="n">
        <v>0</v>
      </c>
      <c r="K9768" t="n">
        <v>0</v>
      </c>
      <c r="L9768" t="n">
        <v>0</v>
      </c>
      <c r="M9768" t="n">
        <v>0</v>
      </c>
      <c r="N9768" t="n">
        <v>0</v>
      </c>
      <c r="O9768" t="n">
        <v>0</v>
      </c>
      <c r="P9768" t="n">
        <v>0</v>
      </c>
      <c r="Q9768" t="n">
        <v>0</v>
      </c>
      <c r="R9768" s="2" t="inlineStr"/>
    </row>
    <row r="9769" ht="15" customHeight="1">
      <c r="A9769" t="inlineStr">
        <is>
          <t>A 63382-2025</t>
        </is>
      </c>
      <c r="B9769" s="1" t="n">
        <v>46011.34420138889</v>
      </c>
      <c r="C9769" s="1" t="n">
        <v>46093</v>
      </c>
      <c r="D9769" t="inlineStr">
        <is>
          <t>VÄSTERNORRLANDS LÄN</t>
        </is>
      </c>
      <c r="E9769" t="inlineStr">
        <is>
          <t>SOLLEFTEÅ</t>
        </is>
      </c>
      <c r="G9769" t="n">
        <v>6.3</v>
      </c>
      <c r="H9769" t="n">
        <v>0</v>
      </c>
      <c r="I9769" t="n">
        <v>0</v>
      </c>
      <c r="J9769" t="n">
        <v>0</v>
      </c>
      <c r="K9769" t="n">
        <v>0</v>
      </c>
      <c r="L9769" t="n">
        <v>0</v>
      </c>
      <c r="M9769" t="n">
        <v>0</v>
      </c>
      <c r="N9769" t="n">
        <v>0</v>
      </c>
      <c r="O9769" t="n">
        <v>0</v>
      </c>
      <c r="P9769" t="n">
        <v>0</v>
      </c>
      <c r="Q9769" t="n">
        <v>0</v>
      </c>
      <c r="R9769" s="2" t="inlineStr"/>
    </row>
    <row r="9770" ht="15" customHeight="1">
      <c r="A9770" t="inlineStr">
        <is>
          <t>A 63222-2023</t>
        </is>
      </c>
      <c r="B9770" s="1" t="n">
        <v>45273</v>
      </c>
      <c r="C9770" s="1" t="n">
        <v>46093</v>
      </c>
      <c r="D9770" t="inlineStr">
        <is>
          <t>VÄSTERNORRLANDS LÄN</t>
        </is>
      </c>
      <c r="E9770" t="inlineStr">
        <is>
          <t>KRAMFORS</t>
        </is>
      </c>
      <c r="G9770" t="n">
        <v>4.2</v>
      </c>
      <c r="H9770" t="n">
        <v>0</v>
      </c>
      <c r="I9770" t="n">
        <v>0</v>
      </c>
      <c r="J9770" t="n">
        <v>0</v>
      </c>
      <c r="K9770" t="n">
        <v>0</v>
      </c>
      <c r="L9770" t="n">
        <v>0</v>
      </c>
      <c r="M9770" t="n">
        <v>0</v>
      </c>
      <c r="N9770" t="n">
        <v>0</v>
      </c>
      <c r="O9770" t="n">
        <v>0</v>
      </c>
      <c r="P9770" t="n">
        <v>0</v>
      </c>
      <c r="Q9770" t="n">
        <v>0</v>
      </c>
      <c r="R9770" s="2" t="inlineStr"/>
    </row>
    <row r="9771" ht="15" customHeight="1">
      <c r="A9771" t="inlineStr">
        <is>
          <t>A 37926-2024</t>
        </is>
      </c>
      <c r="B9771" s="1" t="n">
        <v>45544</v>
      </c>
      <c r="C9771" s="1" t="n">
        <v>46093</v>
      </c>
      <c r="D9771" t="inlineStr">
        <is>
          <t>VÄSTERNORRLANDS LÄN</t>
        </is>
      </c>
      <c r="E9771" t="inlineStr">
        <is>
          <t>ÖRNSKÖLDSVIK</t>
        </is>
      </c>
      <c r="G9771" t="n">
        <v>5.7</v>
      </c>
      <c r="H9771" t="n">
        <v>0</v>
      </c>
      <c r="I9771" t="n">
        <v>0</v>
      </c>
      <c r="J9771" t="n">
        <v>0</v>
      </c>
      <c r="K9771" t="n">
        <v>0</v>
      </c>
      <c r="L9771" t="n">
        <v>0</v>
      </c>
      <c r="M9771" t="n">
        <v>0</v>
      </c>
      <c r="N9771" t="n">
        <v>0</v>
      </c>
      <c r="O9771" t="n">
        <v>0</v>
      </c>
      <c r="P9771" t="n">
        <v>0</v>
      </c>
      <c r="Q9771" t="n">
        <v>0</v>
      </c>
      <c r="R9771" s="2" t="inlineStr"/>
    </row>
    <row r="9772" ht="15" customHeight="1">
      <c r="A9772" t="inlineStr">
        <is>
          <t>A 37930-2024</t>
        </is>
      </c>
      <c r="B9772" s="1" t="n">
        <v>45544</v>
      </c>
      <c r="C9772" s="1" t="n">
        <v>46093</v>
      </c>
      <c r="D9772" t="inlineStr">
        <is>
          <t>VÄSTERNORRLANDS LÄN</t>
        </is>
      </c>
      <c r="E9772" t="inlineStr">
        <is>
          <t>ÖRNSKÖLDSVIK</t>
        </is>
      </c>
      <c r="G9772" t="n">
        <v>6.8</v>
      </c>
      <c r="H9772" t="n">
        <v>0</v>
      </c>
      <c r="I9772" t="n">
        <v>0</v>
      </c>
      <c r="J9772" t="n">
        <v>0</v>
      </c>
      <c r="K9772" t="n">
        <v>0</v>
      </c>
      <c r="L9772" t="n">
        <v>0</v>
      </c>
      <c r="M9772" t="n">
        <v>0</v>
      </c>
      <c r="N9772" t="n">
        <v>0</v>
      </c>
      <c r="O9772" t="n">
        <v>0</v>
      </c>
      <c r="P9772" t="n">
        <v>0</v>
      </c>
      <c r="Q9772" t="n">
        <v>0</v>
      </c>
      <c r="R9772" s="2" t="inlineStr"/>
    </row>
    <row r="9773" ht="15" customHeight="1">
      <c r="A9773" t="inlineStr">
        <is>
          <t>A 59501-2023</t>
        </is>
      </c>
      <c r="B9773" s="1" t="n">
        <v>45254</v>
      </c>
      <c r="C9773" s="1" t="n">
        <v>46093</v>
      </c>
      <c r="D9773" t="inlineStr">
        <is>
          <t>VÄSTERNORRLANDS LÄN</t>
        </is>
      </c>
      <c r="E9773" t="inlineStr">
        <is>
          <t>SOLLEFTEÅ</t>
        </is>
      </c>
      <c r="F9773" t="inlineStr">
        <is>
          <t>Holmen skog AB</t>
        </is>
      </c>
      <c r="G9773" t="n">
        <v>7.1</v>
      </c>
      <c r="H9773" t="n">
        <v>0</v>
      </c>
      <c r="I9773" t="n">
        <v>0</v>
      </c>
      <c r="J9773" t="n">
        <v>0</v>
      </c>
      <c r="K9773" t="n">
        <v>0</v>
      </c>
      <c r="L9773" t="n">
        <v>0</v>
      </c>
      <c r="M9773" t="n">
        <v>0</v>
      </c>
      <c r="N9773" t="n">
        <v>0</v>
      </c>
      <c r="O9773" t="n">
        <v>0</v>
      </c>
      <c r="P9773" t="n">
        <v>0</v>
      </c>
      <c r="Q9773" t="n">
        <v>0</v>
      </c>
      <c r="R9773" s="2" t="inlineStr"/>
    </row>
    <row r="9774" ht="15" customHeight="1">
      <c r="A9774" t="inlineStr">
        <is>
          <t>A 11156-2025</t>
        </is>
      </c>
      <c r="B9774" s="1" t="n">
        <v>45723.72005787037</v>
      </c>
      <c r="C9774" s="1" t="n">
        <v>46093</v>
      </c>
      <c r="D9774" t="inlineStr">
        <is>
          <t>VÄSTERNORRLANDS LÄN</t>
        </is>
      </c>
      <c r="E9774" t="inlineStr">
        <is>
          <t>ÖRNSKÖLDSVIK</t>
        </is>
      </c>
      <c r="F9774" t="inlineStr">
        <is>
          <t>Holmen skog AB</t>
        </is>
      </c>
      <c r="G9774" t="n">
        <v>32</v>
      </c>
      <c r="H9774" t="n">
        <v>0</v>
      </c>
      <c r="I9774" t="n">
        <v>0</v>
      </c>
      <c r="J9774" t="n">
        <v>0</v>
      </c>
      <c r="K9774" t="n">
        <v>0</v>
      </c>
      <c r="L9774" t="n">
        <v>0</v>
      </c>
      <c r="M9774" t="n">
        <v>0</v>
      </c>
      <c r="N9774" t="n">
        <v>0</v>
      </c>
      <c r="O9774" t="n">
        <v>0</v>
      </c>
      <c r="P9774" t="n">
        <v>0</v>
      </c>
      <c r="Q9774" t="n">
        <v>0</v>
      </c>
      <c r="R9774" s="2" t="inlineStr"/>
    </row>
    <row r="9775" ht="15" customHeight="1">
      <c r="A9775" t="inlineStr">
        <is>
          <t>A 6358-2026</t>
        </is>
      </c>
      <c r="B9775" s="1" t="n">
        <v>46055.61804398148</v>
      </c>
      <c r="C9775" s="1" t="n">
        <v>46093</v>
      </c>
      <c r="D9775" t="inlineStr">
        <is>
          <t>VÄSTERNORRLANDS LÄN</t>
        </is>
      </c>
      <c r="E9775" t="inlineStr">
        <is>
          <t>ÖRNSKÖLDSVIK</t>
        </is>
      </c>
      <c r="F9775" t="inlineStr">
        <is>
          <t>Holmen skog AB</t>
        </is>
      </c>
      <c r="G9775" t="n">
        <v>2.1</v>
      </c>
      <c r="H9775" t="n">
        <v>0</v>
      </c>
      <c r="I9775" t="n">
        <v>0</v>
      </c>
      <c r="J9775" t="n">
        <v>0</v>
      </c>
      <c r="K9775" t="n">
        <v>0</v>
      </c>
      <c r="L9775" t="n">
        <v>0</v>
      </c>
      <c r="M9775" t="n">
        <v>0</v>
      </c>
      <c r="N9775" t="n">
        <v>0</v>
      </c>
      <c r="O9775" t="n">
        <v>0</v>
      </c>
      <c r="P9775" t="n">
        <v>0</v>
      </c>
      <c r="Q9775" t="n">
        <v>0</v>
      </c>
      <c r="R9775" s="2" t="inlineStr"/>
    </row>
    <row r="9776" ht="15" customHeight="1">
      <c r="A9776" t="inlineStr">
        <is>
          <t>A 63470-2025</t>
        </is>
      </c>
      <c r="B9776" s="1" t="n">
        <v>46013.4347337963</v>
      </c>
      <c r="C9776" s="1" t="n">
        <v>46093</v>
      </c>
      <c r="D9776" t="inlineStr">
        <is>
          <t>VÄSTERNORRLANDS LÄN</t>
        </is>
      </c>
      <c r="E9776" t="inlineStr">
        <is>
          <t>SOLLEFTEÅ</t>
        </is>
      </c>
      <c r="G9776" t="n">
        <v>1.8</v>
      </c>
      <c r="H9776" t="n">
        <v>0</v>
      </c>
      <c r="I9776" t="n">
        <v>0</v>
      </c>
      <c r="J9776" t="n">
        <v>0</v>
      </c>
      <c r="K9776" t="n">
        <v>0</v>
      </c>
      <c r="L9776" t="n">
        <v>0</v>
      </c>
      <c r="M9776" t="n">
        <v>0</v>
      </c>
      <c r="N9776" t="n">
        <v>0</v>
      </c>
      <c r="O9776" t="n">
        <v>0</v>
      </c>
      <c r="P9776" t="n">
        <v>0</v>
      </c>
      <c r="Q9776" t="n">
        <v>0</v>
      </c>
      <c r="R9776" s="2" t="inlineStr"/>
    </row>
    <row r="9777" ht="15" customHeight="1">
      <c r="A9777" t="inlineStr">
        <is>
          <t>A 6514-2026</t>
        </is>
      </c>
      <c r="B9777" s="1" t="n">
        <v>46052</v>
      </c>
      <c r="C9777" s="1" t="n">
        <v>46093</v>
      </c>
      <c r="D9777" t="inlineStr">
        <is>
          <t>VÄSTERNORRLANDS LÄN</t>
        </is>
      </c>
      <c r="E9777" t="inlineStr">
        <is>
          <t>ÖRNSKÖLDSVIK</t>
        </is>
      </c>
      <c r="G9777" t="n">
        <v>2.3</v>
      </c>
      <c r="H9777" t="n">
        <v>0</v>
      </c>
      <c r="I9777" t="n">
        <v>0</v>
      </c>
      <c r="J9777" t="n">
        <v>0</v>
      </c>
      <c r="K9777" t="n">
        <v>0</v>
      </c>
      <c r="L9777" t="n">
        <v>0</v>
      </c>
      <c r="M9777" t="n">
        <v>0</v>
      </c>
      <c r="N9777" t="n">
        <v>0</v>
      </c>
      <c r="O9777" t="n">
        <v>0</v>
      </c>
      <c r="P9777" t="n">
        <v>0</v>
      </c>
      <c r="Q9777" t="n">
        <v>0</v>
      </c>
      <c r="R9777" s="2" t="inlineStr"/>
    </row>
    <row r="9778" ht="15" customHeight="1">
      <c r="A9778" t="inlineStr">
        <is>
          <t>A 6133-2026</t>
        </is>
      </c>
      <c r="B9778" s="1" t="n">
        <v>46054.51971064815</v>
      </c>
      <c r="C9778" s="1" t="n">
        <v>46093</v>
      </c>
      <c r="D9778" t="inlineStr">
        <is>
          <t>VÄSTERNORRLANDS LÄN</t>
        </is>
      </c>
      <c r="E9778" t="inlineStr">
        <is>
          <t>KRAMFORS</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6646-2026</t>
        </is>
      </c>
      <c r="B9779" s="1" t="n">
        <v>46056.54938657407</v>
      </c>
      <c r="C9779" s="1" t="n">
        <v>46093</v>
      </c>
      <c r="D9779" t="inlineStr">
        <is>
          <t>VÄSTERNORRLANDS LÄN</t>
        </is>
      </c>
      <c r="E9779" t="inlineStr">
        <is>
          <t>HÄRNÖSAND</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63579-2025</t>
        </is>
      </c>
      <c r="B9780" s="1" t="n">
        <v>46013.67748842593</v>
      </c>
      <c r="C9780" s="1" t="n">
        <v>46093</v>
      </c>
      <c r="D9780" t="inlineStr">
        <is>
          <t>VÄSTERNORRLANDS LÄN</t>
        </is>
      </c>
      <c r="E9780" t="inlineStr">
        <is>
          <t>SOLLEFTEÅ</t>
        </is>
      </c>
      <c r="F9780" t="inlineStr">
        <is>
          <t>SCA</t>
        </is>
      </c>
      <c r="G9780" t="n">
        <v>0.4</v>
      </c>
      <c r="H9780" t="n">
        <v>0</v>
      </c>
      <c r="I9780" t="n">
        <v>0</v>
      </c>
      <c r="J9780" t="n">
        <v>0</v>
      </c>
      <c r="K9780" t="n">
        <v>0</v>
      </c>
      <c r="L9780" t="n">
        <v>0</v>
      </c>
      <c r="M9780" t="n">
        <v>0</v>
      </c>
      <c r="N9780" t="n">
        <v>0</v>
      </c>
      <c r="O9780" t="n">
        <v>0</v>
      </c>
      <c r="P9780" t="n">
        <v>0</v>
      </c>
      <c r="Q9780" t="n">
        <v>0</v>
      </c>
      <c r="R9780" s="2" t="inlineStr"/>
    </row>
    <row r="9781" ht="15" customHeight="1">
      <c r="A9781" t="inlineStr">
        <is>
          <t>A 12644-2025</t>
        </is>
      </c>
      <c r="B9781" s="1" t="n">
        <v>45733.38726851852</v>
      </c>
      <c r="C9781" s="1" t="n">
        <v>46093</v>
      </c>
      <c r="D9781" t="inlineStr">
        <is>
          <t>VÄSTERNORRLANDS LÄN</t>
        </is>
      </c>
      <c r="E9781" t="inlineStr">
        <is>
          <t>SOLLEFTEÅ</t>
        </is>
      </c>
      <c r="G9781" t="n">
        <v>5</v>
      </c>
      <c r="H9781" t="n">
        <v>0</v>
      </c>
      <c r="I9781" t="n">
        <v>0</v>
      </c>
      <c r="J9781" t="n">
        <v>0</v>
      </c>
      <c r="K9781" t="n">
        <v>0</v>
      </c>
      <c r="L9781" t="n">
        <v>0</v>
      </c>
      <c r="M9781" t="n">
        <v>0</v>
      </c>
      <c r="N9781" t="n">
        <v>0</v>
      </c>
      <c r="O9781" t="n">
        <v>0</v>
      </c>
      <c r="P9781" t="n">
        <v>0</v>
      </c>
      <c r="Q9781" t="n">
        <v>0</v>
      </c>
      <c r="R9781" s="2" t="inlineStr"/>
    </row>
    <row r="9782" ht="15" customHeight="1">
      <c r="A9782" t="inlineStr">
        <is>
          <t>A 63433-2025</t>
        </is>
      </c>
      <c r="B9782" s="1" t="n">
        <v>46013.36335648148</v>
      </c>
      <c r="C9782" s="1" t="n">
        <v>46093</v>
      </c>
      <c r="D9782" t="inlineStr">
        <is>
          <t>VÄSTERNORRLANDS LÄN</t>
        </is>
      </c>
      <c r="E9782" t="inlineStr">
        <is>
          <t>SOLLEFTEÅ</t>
        </is>
      </c>
      <c r="G9782" t="n">
        <v>2.4</v>
      </c>
      <c r="H9782" t="n">
        <v>0</v>
      </c>
      <c r="I9782" t="n">
        <v>0</v>
      </c>
      <c r="J9782" t="n">
        <v>0</v>
      </c>
      <c r="K9782" t="n">
        <v>0</v>
      </c>
      <c r="L9782" t="n">
        <v>0</v>
      </c>
      <c r="M9782" t="n">
        <v>0</v>
      </c>
      <c r="N9782" t="n">
        <v>0</v>
      </c>
      <c r="O9782" t="n">
        <v>0</v>
      </c>
      <c r="P9782" t="n">
        <v>0</v>
      </c>
      <c r="Q9782" t="n">
        <v>0</v>
      </c>
      <c r="R9782" s="2" t="inlineStr"/>
    </row>
    <row r="9783" ht="15" customHeight="1">
      <c r="A9783" t="inlineStr">
        <is>
          <t>A 6544-2026</t>
        </is>
      </c>
      <c r="B9783" s="1" t="n">
        <v>46056.42792824074</v>
      </c>
      <c r="C9783" s="1" t="n">
        <v>46093</v>
      </c>
      <c r="D9783" t="inlineStr">
        <is>
          <t>VÄSTERNORRLANDS LÄN</t>
        </is>
      </c>
      <c r="E9783" t="inlineStr">
        <is>
          <t>SOLLEFTEÅ</t>
        </is>
      </c>
      <c r="F9783" t="inlineStr">
        <is>
          <t>SCA</t>
        </is>
      </c>
      <c r="G9783" t="n">
        <v>28.3</v>
      </c>
      <c r="H9783" t="n">
        <v>0</v>
      </c>
      <c r="I9783" t="n">
        <v>0</v>
      </c>
      <c r="J9783" t="n">
        <v>0</v>
      </c>
      <c r="K9783" t="n">
        <v>0</v>
      </c>
      <c r="L9783" t="n">
        <v>0</v>
      </c>
      <c r="M9783" t="n">
        <v>0</v>
      </c>
      <c r="N9783" t="n">
        <v>0</v>
      </c>
      <c r="O9783" t="n">
        <v>0</v>
      </c>
      <c r="P9783" t="n">
        <v>0</v>
      </c>
      <c r="Q9783" t="n">
        <v>0</v>
      </c>
      <c r="R9783" s="2" t="inlineStr"/>
    </row>
    <row r="9784" ht="15" customHeight="1">
      <c r="A9784" t="inlineStr">
        <is>
          <t>A 5792-2026</t>
        </is>
      </c>
      <c r="B9784" s="1" t="n">
        <v>46051</v>
      </c>
      <c r="C9784" s="1" t="n">
        <v>46093</v>
      </c>
      <c r="D9784" t="inlineStr">
        <is>
          <t>VÄSTERNORRLANDS LÄN</t>
        </is>
      </c>
      <c r="E9784" t="inlineStr">
        <is>
          <t>TIMRÅ</t>
        </is>
      </c>
      <c r="F9784" t="inlineStr">
        <is>
          <t>SCA</t>
        </is>
      </c>
      <c r="G9784" t="n">
        <v>1.4</v>
      </c>
      <c r="H9784" t="n">
        <v>0</v>
      </c>
      <c r="I9784" t="n">
        <v>0</v>
      </c>
      <c r="J9784" t="n">
        <v>0</v>
      </c>
      <c r="K9784" t="n">
        <v>0</v>
      </c>
      <c r="L9784" t="n">
        <v>0</v>
      </c>
      <c r="M9784" t="n">
        <v>0</v>
      </c>
      <c r="N9784" t="n">
        <v>0</v>
      </c>
      <c r="O9784" t="n">
        <v>0</v>
      </c>
      <c r="P9784" t="n">
        <v>0</v>
      </c>
      <c r="Q9784" t="n">
        <v>0</v>
      </c>
      <c r="R9784" s="2" t="inlineStr"/>
    </row>
    <row r="9785" ht="15" customHeight="1">
      <c r="A9785" t="inlineStr">
        <is>
          <t>A 6173-2026</t>
        </is>
      </c>
      <c r="B9785" s="1" t="n">
        <v>46055.34434027778</v>
      </c>
      <c r="C9785" s="1" t="n">
        <v>46093</v>
      </c>
      <c r="D9785" t="inlineStr">
        <is>
          <t>VÄSTERNORRLANDS LÄN</t>
        </is>
      </c>
      <c r="E9785" t="inlineStr">
        <is>
          <t>ÖRNSKÖLDSVIK</t>
        </is>
      </c>
      <c r="F9785" t="inlineStr">
        <is>
          <t>SCA</t>
        </is>
      </c>
      <c r="G9785" t="n">
        <v>10.9</v>
      </c>
      <c r="H9785" t="n">
        <v>0</v>
      </c>
      <c r="I9785" t="n">
        <v>0</v>
      </c>
      <c r="J9785" t="n">
        <v>0</v>
      </c>
      <c r="K9785" t="n">
        <v>0</v>
      </c>
      <c r="L9785" t="n">
        <v>0</v>
      </c>
      <c r="M9785" t="n">
        <v>0</v>
      </c>
      <c r="N9785" t="n">
        <v>0</v>
      </c>
      <c r="O9785" t="n">
        <v>0</v>
      </c>
      <c r="P9785" t="n">
        <v>0</v>
      </c>
      <c r="Q9785" t="n">
        <v>0</v>
      </c>
      <c r="R9785" s="2" t="inlineStr"/>
    </row>
    <row r="9786" ht="15" customHeight="1">
      <c r="A9786" t="inlineStr">
        <is>
          <t>A 48031-2024</t>
        </is>
      </c>
      <c r="B9786" s="1" t="n">
        <v>45589.48760416666</v>
      </c>
      <c r="C9786" s="1" t="n">
        <v>46093</v>
      </c>
      <c r="D9786" t="inlineStr">
        <is>
          <t>VÄSTERNORRLANDS LÄN</t>
        </is>
      </c>
      <c r="E9786" t="inlineStr">
        <is>
          <t>TIMRÅ</t>
        </is>
      </c>
      <c r="G9786" t="n">
        <v>8.9</v>
      </c>
      <c r="H9786" t="n">
        <v>0</v>
      </c>
      <c r="I9786" t="n">
        <v>0</v>
      </c>
      <c r="J9786" t="n">
        <v>0</v>
      </c>
      <c r="K9786" t="n">
        <v>0</v>
      </c>
      <c r="L9786" t="n">
        <v>0</v>
      </c>
      <c r="M9786" t="n">
        <v>0</v>
      </c>
      <c r="N9786" t="n">
        <v>0</v>
      </c>
      <c r="O9786" t="n">
        <v>0</v>
      </c>
      <c r="P9786" t="n">
        <v>0</v>
      </c>
      <c r="Q9786" t="n">
        <v>0</v>
      </c>
      <c r="R9786" s="2" t="inlineStr"/>
    </row>
    <row r="9787" ht="15" customHeight="1">
      <c r="A9787" t="inlineStr">
        <is>
          <t>A 50542-2024</t>
        </is>
      </c>
      <c r="B9787" s="1" t="n">
        <v>45601.58065972223</v>
      </c>
      <c r="C9787" s="1" t="n">
        <v>46093</v>
      </c>
      <c r="D9787" t="inlineStr">
        <is>
          <t>VÄSTERNORRLANDS LÄN</t>
        </is>
      </c>
      <c r="E9787" t="inlineStr">
        <is>
          <t>ÖRNSKÖLDSVIK</t>
        </is>
      </c>
      <c r="F9787" t="inlineStr">
        <is>
          <t>Holmen skog AB</t>
        </is>
      </c>
      <c r="G9787" t="n">
        <v>6.8</v>
      </c>
      <c r="H9787" t="n">
        <v>0</v>
      </c>
      <c r="I9787" t="n">
        <v>0</v>
      </c>
      <c r="J9787" t="n">
        <v>0</v>
      </c>
      <c r="K9787" t="n">
        <v>0</v>
      </c>
      <c r="L9787" t="n">
        <v>0</v>
      </c>
      <c r="M9787" t="n">
        <v>0</v>
      </c>
      <c r="N9787" t="n">
        <v>0</v>
      </c>
      <c r="O9787" t="n">
        <v>0</v>
      </c>
      <c r="P9787" t="n">
        <v>0</v>
      </c>
      <c r="Q9787" t="n">
        <v>0</v>
      </c>
      <c r="R9787" s="2" t="inlineStr"/>
    </row>
    <row r="9788" ht="15" customHeight="1">
      <c r="A9788" t="inlineStr">
        <is>
          <t>A 21344-2023</t>
        </is>
      </c>
      <c r="B9788" s="1" t="n">
        <v>45062</v>
      </c>
      <c r="C9788" s="1" t="n">
        <v>46093</v>
      </c>
      <c r="D9788" t="inlineStr">
        <is>
          <t>VÄSTERNORRLANDS LÄN</t>
        </is>
      </c>
      <c r="E9788" t="inlineStr">
        <is>
          <t>SOLLEFTEÅ</t>
        </is>
      </c>
      <c r="F9788" t="inlineStr">
        <is>
          <t>SCA</t>
        </is>
      </c>
      <c r="G9788" t="n">
        <v>3.4</v>
      </c>
      <c r="H9788" t="n">
        <v>0</v>
      </c>
      <c r="I9788" t="n">
        <v>0</v>
      </c>
      <c r="J9788" t="n">
        <v>0</v>
      </c>
      <c r="K9788" t="n">
        <v>0</v>
      </c>
      <c r="L9788" t="n">
        <v>0</v>
      </c>
      <c r="M9788" t="n">
        <v>0</v>
      </c>
      <c r="N9788" t="n">
        <v>0</v>
      </c>
      <c r="O9788" t="n">
        <v>0</v>
      </c>
      <c r="P9788" t="n">
        <v>0</v>
      </c>
      <c r="Q9788" t="n">
        <v>0</v>
      </c>
      <c r="R9788" s="2" t="inlineStr"/>
    </row>
    <row r="9789" ht="15" customHeight="1">
      <c r="A9789" t="inlineStr">
        <is>
          <t>A 37659-2024</t>
        </is>
      </c>
      <c r="B9789" s="1" t="n">
        <v>45541.56174768518</v>
      </c>
      <c r="C9789" s="1" t="n">
        <v>46093</v>
      </c>
      <c r="D9789" t="inlineStr">
        <is>
          <t>VÄSTERNORRLANDS LÄN</t>
        </is>
      </c>
      <c r="E9789" t="inlineStr">
        <is>
          <t>ÖRNSKÖLDSVIK</t>
        </is>
      </c>
      <c r="F9789" t="inlineStr">
        <is>
          <t>Holmen skog AB</t>
        </is>
      </c>
      <c r="G9789" t="n">
        <v>0.1</v>
      </c>
      <c r="H9789" t="n">
        <v>0</v>
      </c>
      <c r="I9789" t="n">
        <v>0</v>
      </c>
      <c r="J9789" t="n">
        <v>0</v>
      </c>
      <c r="K9789" t="n">
        <v>0</v>
      </c>
      <c r="L9789" t="n">
        <v>0</v>
      </c>
      <c r="M9789" t="n">
        <v>0</v>
      </c>
      <c r="N9789" t="n">
        <v>0</v>
      </c>
      <c r="O9789" t="n">
        <v>0</v>
      </c>
      <c r="P9789" t="n">
        <v>0</v>
      </c>
      <c r="Q9789" t="n">
        <v>0</v>
      </c>
      <c r="R9789" s="2" t="inlineStr"/>
    </row>
    <row r="9790" ht="15" customHeight="1">
      <c r="A9790" t="inlineStr">
        <is>
          <t>A 6730-2026</t>
        </is>
      </c>
      <c r="B9790" s="1" t="n">
        <v>46056.68538194444</v>
      </c>
      <c r="C9790" s="1" t="n">
        <v>46093</v>
      </c>
      <c r="D9790" t="inlineStr">
        <is>
          <t>VÄSTERNORRLANDS LÄN</t>
        </is>
      </c>
      <c r="E9790" t="inlineStr">
        <is>
          <t>SUNDSVALL</t>
        </is>
      </c>
      <c r="G9790" t="n">
        <v>2.1</v>
      </c>
      <c r="H9790" t="n">
        <v>0</v>
      </c>
      <c r="I9790" t="n">
        <v>0</v>
      </c>
      <c r="J9790" t="n">
        <v>0</v>
      </c>
      <c r="K9790" t="n">
        <v>0</v>
      </c>
      <c r="L9790" t="n">
        <v>0</v>
      </c>
      <c r="M9790" t="n">
        <v>0</v>
      </c>
      <c r="N9790" t="n">
        <v>0</v>
      </c>
      <c r="O9790" t="n">
        <v>0</v>
      </c>
      <c r="P9790" t="n">
        <v>0</v>
      </c>
      <c r="Q9790" t="n">
        <v>0</v>
      </c>
      <c r="R9790" s="2" t="inlineStr"/>
    </row>
    <row r="9791" ht="15" customHeight="1">
      <c r="A9791" t="inlineStr">
        <is>
          <t>A 61089-2024</t>
        </is>
      </c>
      <c r="B9791" s="1" t="n">
        <v>45644</v>
      </c>
      <c r="C9791" s="1" t="n">
        <v>46093</v>
      </c>
      <c r="D9791" t="inlineStr">
        <is>
          <t>VÄSTERNORRLANDS LÄN</t>
        </is>
      </c>
      <c r="E9791" t="inlineStr">
        <is>
          <t>SOLLEFTEÅ</t>
        </is>
      </c>
      <c r="G9791" t="n">
        <v>4.5</v>
      </c>
      <c r="H9791" t="n">
        <v>0</v>
      </c>
      <c r="I9791" t="n">
        <v>0</v>
      </c>
      <c r="J9791" t="n">
        <v>0</v>
      </c>
      <c r="K9791" t="n">
        <v>0</v>
      </c>
      <c r="L9791" t="n">
        <v>0</v>
      </c>
      <c r="M9791" t="n">
        <v>0</v>
      </c>
      <c r="N9791" t="n">
        <v>0</v>
      </c>
      <c r="O9791" t="n">
        <v>0</v>
      </c>
      <c r="P9791" t="n">
        <v>0</v>
      </c>
      <c r="Q9791" t="n">
        <v>0</v>
      </c>
      <c r="R9791" s="2" t="inlineStr"/>
    </row>
    <row r="9792" ht="15" customHeight="1">
      <c r="A9792" t="inlineStr">
        <is>
          <t>A 61098-2024</t>
        </is>
      </c>
      <c r="B9792" s="1" t="n">
        <v>45645.54953703703</v>
      </c>
      <c r="C9792" s="1" t="n">
        <v>46093</v>
      </c>
      <c r="D9792" t="inlineStr">
        <is>
          <t>VÄSTERNORRLANDS LÄN</t>
        </is>
      </c>
      <c r="E9792" t="inlineStr">
        <is>
          <t>ÖRNSKÖLDSVIK</t>
        </is>
      </c>
      <c r="G9792" t="n">
        <v>8.699999999999999</v>
      </c>
      <c r="H9792" t="n">
        <v>0</v>
      </c>
      <c r="I9792" t="n">
        <v>0</v>
      </c>
      <c r="J9792" t="n">
        <v>0</v>
      </c>
      <c r="K9792" t="n">
        <v>0</v>
      </c>
      <c r="L9792" t="n">
        <v>0</v>
      </c>
      <c r="M9792" t="n">
        <v>0</v>
      </c>
      <c r="N9792" t="n">
        <v>0</v>
      </c>
      <c r="O9792" t="n">
        <v>0</v>
      </c>
      <c r="P9792" t="n">
        <v>0</v>
      </c>
      <c r="Q9792" t="n">
        <v>0</v>
      </c>
      <c r="R9792" s="2" t="inlineStr"/>
    </row>
    <row r="9793" ht="15" customHeight="1">
      <c r="A9793" t="inlineStr">
        <is>
          <t>A 63680-2025</t>
        </is>
      </c>
      <c r="B9793" s="1" t="n">
        <v>46014.51070601852</v>
      </c>
      <c r="C9793" s="1" t="n">
        <v>46093</v>
      </c>
      <c r="D9793" t="inlineStr">
        <is>
          <t>VÄSTERNORRLANDS LÄN</t>
        </is>
      </c>
      <c r="E9793" t="inlineStr">
        <is>
          <t>SUNDSVALL</t>
        </is>
      </c>
      <c r="G9793" t="n">
        <v>2.5</v>
      </c>
      <c r="H9793" t="n">
        <v>0</v>
      </c>
      <c r="I9793" t="n">
        <v>0</v>
      </c>
      <c r="J9793" t="n">
        <v>0</v>
      </c>
      <c r="K9793" t="n">
        <v>0</v>
      </c>
      <c r="L9793" t="n">
        <v>0</v>
      </c>
      <c r="M9793" t="n">
        <v>0</v>
      </c>
      <c r="N9793" t="n">
        <v>0</v>
      </c>
      <c r="O9793" t="n">
        <v>0</v>
      </c>
      <c r="P9793" t="n">
        <v>0</v>
      </c>
      <c r="Q9793" t="n">
        <v>0</v>
      </c>
      <c r="R9793" s="2" t="inlineStr"/>
    </row>
    <row r="9794" ht="15" customHeight="1">
      <c r="A9794" t="inlineStr">
        <is>
          <t>A 63683-2025</t>
        </is>
      </c>
      <c r="B9794" s="1" t="n">
        <v>46014.51087962963</v>
      </c>
      <c r="C9794" s="1" t="n">
        <v>46093</v>
      </c>
      <c r="D9794" t="inlineStr">
        <is>
          <t>VÄSTERNORRLANDS LÄN</t>
        </is>
      </c>
      <c r="E9794" t="inlineStr">
        <is>
          <t>KRAMFORS</t>
        </is>
      </c>
      <c r="G9794" t="n">
        <v>3.2</v>
      </c>
      <c r="H9794" t="n">
        <v>0</v>
      </c>
      <c r="I9794" t="n">
        <v>0</v>
      </c>
      <c r="J9794" t="n">
        <v>0</v>
      </c>
      <c r="K9794" t="n">
        <v>0</v>
      </c>
      <c r="L9794" t="n">
        <v>0</v>
      </c>
      <c r="M9794" t="n">
        <v>0</v>
      </c>
      <c r="N9794" t="n">
        <v>0</v>
      </c>
      <c r="O9794" t="n">
        <v>0</v>
      </c>
      <c r="P9794" t="n">
        <v>0</v>
      </c>
      <c r="Q9794" t="n">
        <v>0</v>
      </c>
      <c r="R9794" s="2" t="inlineStr"/>
    </row>
    <row r="9795" ht="15" customHeight="1">
      <c r="A9795" t="inlineStr">
        <is>
          <t>A 63686-2025</t>
        </is>
      </c>
      <c r="B9795" s="1" t="n">
        <v>46014.53172453704</v>
      </c>
      <c r="C9795" s="1" t="n">
        <v>46093</v>
      </c>
      <c r="D9795" t="inlineStr">
        <is>
          <t>VÄSTERNORRLANDS LÄN</t>
        </is>
      </c>
      <c r="E9795" t="inlineStr">
        <is>
          <t>ÅNGE</t>
        </is>
      </c>
      <c r="F9795" t="inlineStr">
        <is>
          <t>SCA</t>
        </is>
      </c>
      <c r="G9795" t="n">
        <v>0.5</v>
      </c>
      <c r="H9795" t="n">
        <v>0</v>
      </c>
      <c r="I9795" t="n">
        <v>0</v>
      </c>
      <c r="J9795" t="n">
        <v>0</v>
      </c>
      <c r="K9795" t="n">
        <v>0</v>
      </c>
      <c r="L9795" t="n">
        <v>0</v>
      </c>
      <c r="M9795" t="n">
        <v>0</v>
      </c>
      <c r="N9795" t="n">
        <v>0</v>
      </c>
      <c r="O9795" t="n">
        <v>0</v>
      </c>
      <c r="P9795" t="n">
        <v>0</v>
      </c>
      <c r="Q9795" t="n">
        <v>0</v>
      </c>
      <c r="R9795" s="2" t="inlineStr"/>
    </row>
    <row r="9796" ht="15" customHeight="1">
      <c r="A9796" t="inlineStr">
        <is>
          <t>A 4189-2024</t>
        </is>
      </c>
      <c r="B9796" s="1" t="n">
        <v>45324</v>
      </c>
      <c r="C9796" s="1" t="n">
        <v>46093</v>
      </c>
      <c r="D9796" t="inlineStr">
        <is>
          <t>VÄSTERNORRLANDS LÄN</t>
        </is>
      </c>
      <c r="E9796" t="inlineStr">
        <is>
          <t>KRAMFORS</t>
        </is>
      </c>
      <c r="G9796" t="n">
        <v>2</v>
      </c>
      <c r="H9796" t="n">
        <v>0</v>
      </c>
      <c r="I9796" t="n">
        <v>0</v>
      </c>
      <c r="J9796" t="n">
        <v>0</v>
      </c>
      <c r="K9796" t="n">
        <v>0</v>
      </c>
      <c r="L9796" t="n">
        <v>0</v>
      </c>
      <c r="M9796" t="n">
        <v>0</v>
      </c>
      <c r="N9796" t="n">
        <v>0</v>
      </c>
      <c r="O9796" t="n">
        <v>0</v>
      </c>
      <c r="P9796" t="n">
        <v>0</v>
      </c>
      <c r="Q9796" t="n">
        <v>0</v>
      </c>
      <c r="R9796" s="2" t="inlineStr"/>
    </row>
    <row r="9797" ht="15" customHeight="1">
      <c r="A9797" t="inlineStr">
        <is>
          <t>A 43891-2024</t>
        </is>
      </c>
      <c r="B9797" s="1" t="n">
        <v>45572.40936342593</v>
      </c>
      <c r="C9797" s="1" t="n">
        <v>46093</v>
      </c>
      <c r="D9797" t="inlineStr">
        <is>
          <t>VÄSTERNORRLANDS LÄN</t>
        </is>
      </c>
      <c r="E9797" t="inlineStr">
        <is>
          <t>ÖRNSKÖLDSVIK</t>
        </is>
      </c>
      <c r="G9797" t="n">
        <v>1.3</v>
      </c>
      <c r="H9797" t="n">
        <v>0</v>
      </c>
      <c r="I9797" t="n">
        <v>0</v>
      </c>
      <c r="J9797" t="n">
        <v>0</v>
      </c>
      <c r="K9797" t="n">
        <v>0</v>
      </c>
      <c r="L9797" t="n">
        <v>0</v>
      </c>
      <c r="M9797" t="n">
        <v>0</v>
      </c>
      <c r="N9797" t="n">
        <v>0</v>
      </c>
      <c r="O9797" t="n">
        <v>0</v>
      </c>
      <c r="P9797" t="n">
        <v>0</v>
      </c>
      <c r="Q9797" t="n">
        <v>0</v>
      </c>
      <c r="R9797" s="2" t="inlineStr"/>
    </row>
    <row r="9798" ht="15" customHeight="1">
      <c r="A9798" t="inlineStr">
        <is>
          <t>A 58774-2023</t>
        </is>
      </c>
      <c r="B9798" s="1" t="n">
        <v>45251</v>
      </c>
      <c r="C9798" s="1" t="n">
        <v>46093</v>
      </c>
      <c r="D9798" t="inlineStr">
        <is>
          <t>VÄSTERNORRLANDS LÄN</t>
        </is>
      </c>
      <c r="E9798" t="inlineStr">
        <is>
          <t>ÅNGE</t>
        </is>
      </c>
      <c r="F9798" t="inlineStr">
        <is>
          <t>SCA</t>
        </is>
      </c>
      <c r="G9798" t="n">
        <v>2</v>
      </c>
      <c r="H9798" t="n">
        <v>0</v>
      </c>
      <c r="I9798" t="n">
        <v>0</v>
      </c>
      <c r="J9798" t="n">
        <v>0</v>
      </c>
      <c r="K9798" t="n">
        <v>0</v>
      </c>
      <c r="L9798" t="n">
        <v>0</v>
      </c>
      <c r="M9798" t="n">
        <v>0</v>
      </c>
      <c r="N9798" t="n">
        <v>0</v>
      </c>
      <c r="O9798" t="n">
        <v>0</v>
      </c>
      <c r="P9798" t="n">
        <v>0</v>
      </c>
      <c r="Q9798" t="n">
        <v>0</v>
      </c>
      <c r="R9798" s="2" t="inlineStr"/>
    </row>
    <row r="9799" ht="15" customHeight="1">
      <c r="A9799" t="inlineStr">
        <is>
          <t>A 48964-2023</t>
        </is>
      </c>
      <c r="B9799" s="1" t="n">
        <v>45204</v>
      </c>
      <c r="C9799" s="1" t="n">
        <v>46093</v>
      </c>
      <c r="D9799" t="inlineStr">
        <is>
          <t>VÄSTERNORRLANDS LÄN</t>
        </is>
      </c>
      <c r="E9799" t="inlineStr">
        <is>
          <t>SOLLEFTEÅ</t>
        </is>
      </c>
      <c r="G9799" t="n">
        <v>6.1</v>
      </c>
      <c r="H9799" t="n">
        <v>0</v>
      </c>
      <c r="I9799" t="n">
        <v>0</v>
      </c>
      <c r="J9799" t="n">
        <v>0</v>
      </c>
      <c r="K9799" t="n">
        <v>0</v>
      </c>
      <c r="L9799" t="n">
        <v>0</v>
      </c>
      <c r="M9799" t="n">
        <v>0</v>
      </c>
      <c r="N9799" t="n">
        <v>0</v>
      </c>
      <c r="O9799" t="n">
        <v>0</v>
      </c>
      <c r="P9799" t="n">
        <v>0</v>
      </c>
      <c r="Q9799" t="n">
        <v>0</v>
      </c>
      <c r="R9799" s="2" t="inlineStr"/>
    </row>
    <row r="9800" ht="15" customHeight="1">
      <c r="A9800" t="inlineStr">
        <is>
          <t>A 61021-2023</t>
        </is>
      </c>
      <c r="B9800" s="1" t="n">
        <v>45261</v>
      </c>
      <c r="C9800" s="1" t="n">
        <v>46093</v>
      </c>
      <c r="D9800" t="inlineStr">
        <is>
          <t>VÄSTERNORRLANDS LÄN</t>
        </is>
      </c>
      <c r="E9800" t="inlineStr">
        <is>
          <t>SUNDSVALL</t>
        </is>
      </c>
      <c r="G9800" t="n">
        <v>0.7</v>
      </c>
      <c r="H9800" t="n">
        <v>0</v>
      </c>
      <c r="I9800" t="n">
        <v>0</v>
      </c>
      <c r="J9800" t="n">
        <v>0</v>
      </c>
      <c r="K9800" t="n">
        <v>0</v>
      </c>
      <c r="L9800" t="n">
        <v>0</v>
      </c>
      <c r="M9800" t="n">
        <v>0</v>
      </c>
      <c r="N9800" t="n">
        <v>0</v>
      </c>
      <c r="O9800" t="n">
        <v>0</v>
      </c>
      <c r="P9800" t="n">
        <v>0</v>
      </c>
      <c r="Q9800" t="n">
        <v>0</v>
      </c>
      <c r="R9800" s="2" t="inlineStr"/>
    </row>
    <row r="9801" ht="15" customHeight="1">
      <c r="A9801" t="inlineStr">
        <is>
          <t>A 4359-2025</t>
        </is>
      </c>
      <c r="B9801" s="1" t="n">
        <v>45686.33072916666</v>
      </c>
      <c r="C9801" s="1" t="n">
        <v>46093</v>
      </c>
      <c r="D9801" t="inlineStr">
        <is>
          <t>VÄSTERNORRLANDS LÄN</t>
        </is>
      </c>
      <c r="E9801" t="inlineStr">
        <is>
          <t>ÅNGE</t>
        </is>
      </c>
      <c r="F9801" t="inlineStr">
        <is>
          <t>Holmen skog AB</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61476-2023</t>
        </is>
      </c>
      <c r="B9802" s="1" t="n">
        <v>45264.92694444444</v>
      </c>
      <c r="C9802" s="1" t="n">
        <v>46093</v>
      </c>
      <c r="D9802" t="inlineStr">
        <is>
          <t>VÄSTERNORRLANDS LÄN</t>
        </is>
      </c>
      <c r="E9802" t="inlineStr">
        <is>
          <t>SUNDSVALL</t>
        </is>
      </c>
      <c r="G9802" t="n">
        <v>0.6</v>
      </c>
      <c r="H9802" t="n">
        <v>0</v>
      </c>
      <c r="I9802" t="n">
        <v>0</v>
      </c>
      <c r="J9802" t="n">
        <v>0</v>
      </c>
      <c r="K9802" t="n">
        <v>0</v>
      </c>
      <c r="L9802" t="n">
        <v>0</v>
      </c>
      <c r="M9802" t="n">
        <v>0</v>
      </c>
      <c r="N9802" t="n">
        <v>0</v>
      </c>
      <c r="O9802" t="n">
        <v>0</v>
      </c>
      <c r="P9802" t="n">
        <v>0</v>
      </c>
      <c r="Q9802" t="n">
        <v>0</v>
      </c>
      <c r="R9802" s="2" t="inlineStr"/>
    </row>
    <row r="9803" ht="15" customHeight="1">
      <c r="A9803" t="inlineStr">
        <is>
          <t>A 55774-2023</t>
        </is>
      </c>
      <c r="B9803" s="1" t="n">
        <v>45239</v>
      </c>
      <c r="C9803" s="1" t="n">
        <v>46093</v>
      </c>
      <c r="D9803" t="inlineStr">
        <is>
          <t>VÄSTERNORRLANDS LÄN</t>
        </is>
      </c>
      <c r="E9803" t="inlineStr">
        <is>
          <t>ÖRNSKÖLDSVIK</t>
        </is>
      </c>
      <c r="G9803" t="n">
        <v>4.5</v>
      </c>
      <c r="H9803" t="n">
        <v>0</v>
      </c>
      <c r="I9803" t="n">
        <v>0</v>
      </c>
      <c r="J9803" t="n">
        <v>0</v>
      </c>
      <c r="K9803" t="n">
        <v>0</v>
      </c>
      <c r="L9803" t="n">
        <v>0</v>
      </c>
      <c r="M9803" t="n">
        <v>0</v>
      </c>
      <c r="N9803" t="n">
        <v>0</v>
      </c>
      <c r="O9803" t="n">
        <v>0</v>
      </c>
      <c r="P9803" t="n">
        <v>0</v>
      </c>
      <c r="Q9803" t="n">
        <v>0</v>
      </c>
      <c r="R9803" s="2" t="inlineStr"/>
    </row>
    <row r="9804" ht="15" customHeight="1">
      <c r="A9804" t="inlineStr">
        <is>
          <t>A 47177-2023</t>
        </is>
      </c>
      <c r="B9804" s="1" t="n">
        <v>45201</v>
      </c>
      <c r="C9804" s="1" t="n">
        <v>46093</v>
      </c>
      <c r="D9804" t="inlineStr">
        <is>
          <t>VÄSTERNORRLANDS LÄN</t>
        </is>
      </c>
      <c r="E9804" t="inlineStr">
        <is>
          <t>SOLLEFTEÅ</t>
        </is>
      </c>
      <c r="F9804" t="inlineStr">
        <is>
          <t>SCA</t>
        </is>
      </c>
      <c r="G9804" t="n">
        <v>7.8</v>
      </c>
      <c r="H9804" t="n">
        <v>0</v>
      </c>
      <c r="I9804" t="n">
        <v>0</v>
      </c>
      <c r="J9804" t="n">
        <v>0</v>
      </c>
      <c r="K9804" t="n">
        <v>0</v>
      </c>
      <c r="L9804" t="n">
        <v>0</v>
      </c>
      <c r="M9804" t="n">
        <v>0</v>
      </c>
      <c r="N9804" t="n">
        <v>0</v>
      </c>
      <c r="O9804" t="n">
        <v>0</v>
      </c>
      <c r="P9804" t="n">
        <v>0</v>
      </c>
      <c r="Q9804" t="n">
        <v>0</v>
      </c>
      <c r="R9804" s="2" t="inlineStr"/>
    </row>
    <row r="9805" ht="15" customHeight="1">
      <c r="A9805" t="inlineStr">
        <is>
          <t>A 63112-2025</t>
        </is>
      </c>
      <c r="B9805" s="1" t="n">
        <v>46009</v>
      </c>
      <c r="C9805" s="1" t="n">
        <v>46093</v>
      </c>
      <c r="D9805" t="inlineStr">
        <is>
          <t>VÄSTERNORRLANDS LÄN</t>
        </is>
      </c>
      <c r="E9805" t="inlineStr">
        <is>
          <t>SUNDSVALL</t>
        </is>
      </c>
      <c r="G9805" t="n">
        <v>1.9</v>
      </c>
      <c r="H9805" t="n">
        <v>0</v>
      </c>
      <c r="I9805" t="n">
        <v>0</v>
      </c>
      <c r="J9805" t="n">
        <v>0</v>
      </c>
      <c r="K9805" t="n">
        <v>0</v>
      </c>
      <c r="L9805" t="n">
        <v>0</v>
      </c>
      <c r="M9805" t="n">
        <v>0</v>
      </c>
      <c r="N9805" t="n">
        <v>0</v>
      </c>
      <c r="O9805" t="n">
        <v>0</v>
      </c>
      <c r="P9805" t="n">
        <v>0</v>
      </c>
      <c r="Q9805" t="n">
        <v>0</v>
      </c>
      <c r="R9805" s="2" t="inlineStr"/>
    </row>
    <row r="9806" ht="15" customHeight="1">
      <c r="A9806" t="inlineStr">
        <is>
          <t>A 6132-2026</t>
        </is>
      </c>
      <c r="B9806" s="1" t="n">
        <v>46054.50747685185</v>
      </c>
      <c r="C9806" s="1" t="n">
        <v>46093</v>
      </c>
      <c r="D9806" t="inlineStr">
        <is>
          <t>VÄSTERNORRLANDS LÄN</t>
        </is>
      </c>
      <c r="E9806" t="inlineStr">
        <is>
          <t>KRAMFORS</t>
        </is>
      </c>
      <c r="G9806" t="n">
        <v>0.6</v>
      </c>
      <c r="H9806" t="n">
        <v>0</v>
      </c>
      <c r="I9806" t="n">
        <v>0</v>
      </c>
      <c r="J9806" t="n">
        <v>0</v>
      </c>
      <c r="K9806" t="n">
        <v>0</v>
      </c>
      <c r="L9806" t="n">
        <v>0</v>
      </c>
      <c r="M9806" t="n">
        <v>0</v>
      </c>
      <c r="N9806" t="n">
        <v>0</v>
      </c>
      <c r="O9806" t="n">
        <v>0</v>
      </c>
      <c r="P9806" t="n">
        <v>0</v>
      </c>
      <c r="Q9806" t="n">
        <v>0</v>
      </c>
      <c r="R9806" s="2" t="inlineStr"/>
    </row>
    <row r="9807" ht="15" customHeight="1">
      <c r="A9807" t="inlineStr">
        <is>
          <t>A 2150-2025</t>
        </is>
      </c>
      <c r="B9807" s="1" t="n">
        <v>45672.69993055556</v>
      </c>
      <c r="C9807" s="1" t="n">
        <v>46093</v>
      </c>
      <c r="D9807" t="inlineStr">
        <is>
          <t>VÄSTERNORRLANDS LÄN</t>
        </is>
      </c>
      <c r="E9807" t="inlineStr">
        <is>
          <t>KRAMFORS</t>
        </is>
      </c>
      <c r="G9807" t="n">
        <v>5.4</v>
      </c>
      <c r="H9807" t="n">
        <v>0</v>
      </c>
      <c r="I9807" t="n">
        <v>0</v>
      </c>
      <c r="J9807" t="n">
        <v>0</v>
      </c>
      <c r="K9807" t="n">
        <v>0</v>
      </c>
      <c r="L9807" t="n">
        <v>0</v>
      </c>
      <c r="M9807" t="n">
        <v>0</v>
      </c>
      <c r="N9807" t="n">
        <v>0</v>
      </c>
      <c r="O9807" t="n">
        <v>0</v>
      </c>
      <c r="P9807" t="n">
        <v>0</v>
      </c>
      <c r="Q9807" t="n">
        <v>0</v>
      </c>
      <c r="R9807" s="2" t="inlineStr"/>
    </row>
    <row r="9808" ht="15" customHeight="1">
      <c r="A9808" t="inlineStr">
        <is>
          <t>A 2151-2025</t>
        </is>
      </c>
      <c r="B9808" s="1" t="n">
        <v>45672.70005787037</v>
      </c>
      <c r="C9808" s="1" t="n">
        <v>46093</v>
      </c>
      <c r="D9808" t="inlineStr">
        <is>
          <t>VÄSTERNORRLANDS LÄN</t>
        </is>
      </c>
      <c r="E9808" t="inlineStr">
        <is>
          <t>KRAMFORS</t>
        </is>
      </c>
      <c r="G9808" t="n">
        <v>0.5</v>
      </c>
      <c r="H9808" t="n">
        <v>0</v>
      </c>
      <c r="I9808" t="n">
        <v>0</v>
      </c>
      <c r="J9808" t="n">
        <v>0</v>
      </c>
      <c r="K9808" t="n">
        <v>0</v>
      </c>
      <c r="L9808" t="n">
        <v>0</v>
      </c>
      <c r="M9808" t="n">
        <v>0</v>
      </c>
      <c r="N9808" t="n">
        <v>0</v>
      </c>
      <c r="O9808" t="n">
        <v>0</v>
      </c>
      <c r="P9808" t="n">
        <v>0</v>
      </c>
      <c r="Q9808" t="n">
        <v>0</v>
      </c>
      <c r="R9808" s="2" t="inlineStr"/>
    </row>
    <row r="9809" ht="15" customHeight="1">
      <c r="A9809" t="inlineStr">
        <is>
          <t>A 35-2026</t>
        </is>
      </c>
      <c r="B9809" s="1" t="n">
        <v>46014</v>
      </c>
      <c r="C9809" s="1" t="n">
        <v>46093</v>
      </c>
      <c r="D9809" t="inlineStr">
        <is>
          <t>VÄSTERNORRLANDS LÄN</t>
        </is>
      </c>
      <c r="E9809" t="inlineStr">
        <is>
          <t>ÖRNSKÖLDSVIK</t>
        </is>
      </c>
      <c r="G9809" t="n">
        <v>3</v>
      </c>
      <c r="H9809" t="n">
        <v>0</v>
      </c>
      <c r="I9809" t="n">
        <v>0</v>
      </c>
      <c r="J9809" t="n">
        <v>0</v>
      </c>
      <c r="K9809" t="n">
        <v>0</v>
      </c>
      <c r="L9809" t="n">
        <v>0</v>
      </c>
      <c r="M9809" t="n">
        <v>0</v>
      </c>
      <c r="N9809" t="n">
        <v>0</v>
      </c>
      <c r="O9809" t="n">
        <v>0</v>
      </c>
      <c r="P9809" t="n">
        <v>0</v>
      </c>
      <c r="Q9809" t="n">
        <v>0</v>
      </c>
      <c r="R9809" s="2" t="inlineStr"/>
    </row>
    <row r="9810" ht="15" customHeight="1">
      <c r="A9810" t="inlineStr">
        <is>
          <t>A 24208-2024</t>
        </is>
      </c>
      <c r="B9810" s="1" t="n">
        <v>45456.9678125</v>
      </c>
      <c r="C9810" s="1" t="n">
        <v>46093</v>
      </c>
      <c r="D9810" t="inlineStr">
        <is>
          <t>VÄSTERNORRLANDS LÄN</t>
        </is>
      </c>
      <c r="E9810" t="inlineStr">
        <is>
          <t>SOLLEFTEÅ</t>
        </is>
      </c>
      <c r="G9810" t="n">
        <v>2.9</v>
      </c>
      <c r="H9810" t="n">
        <v>0</v>
      </c>
      <c r="I9810" t="n">
        <v>0</v>
      </c>
      <c r="J9810" t="n">
        <v>0</v>
      </c>
      <c r="K9810" t="n">
        <v>0</v>
      </c>
      <c r="L9810" t="n">
        <v>0</v>
      </c>
      <c r="M9810" t="n">
        <v>0</v>
      </c>
      <c r="N9810" t="n">
        <v>0</v>
      </c>
      <c r="O9810" t="n">
        <v>0</v>
      </c>
      <c r="P9810" t="n">
        <v>0</v>
      </c>
      <c r="Q9810" t="n">
        <v>0</v>
      </c>
      <c r="R9810" s="2" t="inlineStr"/>
    </row>
    <row r="9811" ht="15" customHeight="1">
      <c r="A9811" t="inlineStr">
        <is>
          <t>A 24211-2024</t>
        </is>
      </c>
      <c r="B9811" s="1" t="n">
        <v>45456.9681712963</v>
      </c>
      <c r="C9811" s="1" t="n">
        <v>46093</v>
      </c>
      <c r="D9811" t="inlineStr">
        <is>
          <t>VÄSTERNORRLANDS LÄN</t>
        </is>
      </c>
      <c r="E9811" t="inlineStr">
        <is>
          <t>SOLLEFTEÅ</t>
        </is>
      </c>
      <c r="F9811" t="inlineStr">
        <is>
          <t>SCA</t>
        </is>
      </c>
      <c r="G9811" t="n">
        <v>3.6</v>
      </c>
      <c r="H9811" t="n">
        <v>0</v>
      </c>
      <c r="I9811" t="n">
        <v>0</v>
      </c>
      <c r="J9811" t="n">
        <v>0</v>
      </c>
      <c r="K9811" t="n">
        <v>0</v>
      </c>
      <c r="L9811" t="n">
        <v>0</v>
      </c>
      <c r="M9811" t="n">
        <v>0</v>
      </c>
      <c r="N9811" t="n">
        <v>0</v>
      </c>
      <c r="O9811" t="n">
        <v>0</v>
      </c>
      <c r="P9811" t="n">
        <v>0</v>
      </c>
      <c r="Q9811" t="n">
        <v>0</v>
      </c>
      <c r="R9811" s="2" t="inlineStr"/>
    </row>
    <row r="9812" ht="15" customHeight="1">
      <c r="A9812" t="inlineStr">
        <is>
          <t>A 6288-2026</t>
        </is>
      </c>
      <c r="B9812" s="1" t="n">
        <v>46055.5525</v>
      </c>
      <c r="C9812" s="1" t="n">
        <v>46093</v>
      </c>
      <c r="D9812" t="inlineStr">
        <is>
          <t>VÄSTERNORRLANDS LÄN</t>
        </is>
      </c>
      <c r="E9812" t="inlineStr">
        <is>
          <t>SUNDSVALL</t>
        </is>
      </c>
      <c r="G9812" t="n">
        <v>1</v>
      </c>
      <c r="H9812" t="n">
        <v>0</v>
      </c>
      <c r="I9812" t="n">
        <v>0</v>
      </c>
      <c r="J9812" t="n">
        <v>0</v>
      </c>
      <c r="K9812" t="n">
        <v>0</v>
      </c>
      <c r="L9812" t="n">
        <v>0</v>
      </c>
      <c r="M9812" t="n">
        <v>0</v>
      </c>
      <c r="N9812" t="n">
        <v>0</v>
      </c>
      <c r="O9812" t="n">
        <v>0</v>
      </c>
      <c r="P9812" t="n">
        <v>0</v>
      </c>
      <c r="Q9812" t="n">
        <v>0</v>
      </c>
      <c r="R9812" s="2" t="inlineStr"/>
    </row>
    <row r="9813" ht="15" customHeight="1">
      <c r="A9813" t="inlineStr">
        <is>
          <t>A 6290-2026</t>
        </is>
      </c>
      <c r="B9813" s="1" t="n">
        <v>46055.55262731481</v>
      </c>
      <c r="C9813" s="1" t="n">
        <v>46093</v>
      </c>
      <c r="D9813" t="inlineStr">
        <is>
          <t>VÄSTERNORRLANDS LÄN</t>
        </is>
      </c>
      <c r="E9813" t="inlineStr">
        <is>
          <t>SUNDSVALL</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5911-2026</t>
        </is>
      </c>
      <c r="B9814" s="1" t="n">
        <v>46052</v>
      </c>
      <c r="C9814" s="1" t="n">
        <v>46093</v>
      </c>
      <c r="D9814" t="inlineStr">
        <is>
          <t>VÄSTERNORRLANDS LÄN</t>
        </is>
      </c>
      <c r="E9814" t="inlineStr">
        <is>
          <t>HÄRNÖSAND</t>
        </is>
      </c>
      <c r="F9814" t="inlineStr">
        <is>
          <t>SCA</t>
        </is>
      </c>
      <c r="G9814" t="n">
        <v>2.7</v>
      </c>
      <c r="H9814" t="n">
        <v>0</v>
      </c>
      <c r="I9814" t="n">
        <v>0</v>
      </c>
      <c r="J9814" t="n">
        <v>0</v>
      </c>
      <c r="K9814" t="n">
        <v>0</v>
      </c>
      <c r="L9814" t="n">
        <v>0</v>
      </c>
      <c r="M9814" t="n">
        <v>0</v>
      </c>
      <c r="N9814" t="n">
        <v>0</v>
      </c>
      <c r="O9814" t="n">
        <v>0</v>
      </c>
      <c r="P9814" t="n">
        <v>0</v>
      </c>
      <c r="Q9814" t="n">
        <v>0</v>
      </c>
      <c r="R9814" s="2" t="inlineStr"/>
    </row>
    <row r="9815" ht="15" customHeight="1">
      <c r="A9815" t="inlineStr">
        <is>
          <t>A 22519-2024</t>
        </is>
      </c>
      <c r="B9815" s="1" t="n">
        <v>45447</v>
      </c>
      <c r="C9815" s="1" t="n">
        <v>46093</v>
      </c>
      <c r="D9815" t="inlineStr">
        <is>
          <t>VÄSTERNORRLANDS LÄN</t>
        </is>
      </c>
      <c r="E9815" t="inlineStr">
        <is>
          <t>ÖRNSKÖLDSVIK</t>
        </is>
      </c>
      <c r="F9815" t="inlineStr">
        <is>
          <t>Holmen skog AB</t>
        </is>
      </c>
      <c r="G9815" t="n">
        <v>6</v>
      </c>
      <c r="H9815" t="n">
        <v>0</v>
      </c>
      <c r="I9815" t="n">
        <v>0</v>
      </c>
      <c r="J9815" t="n">
        <v>0</v>
      </c>
      <c r="K9815" t="n">
        <v>0</v>
      </c>
      <c r="L9815" t="n">
        <v>0</v>
      </c>
      <c r="M9815" t="n">
        <v>0</v>
      </c>
      <c r="N9815" t="n">
        <v>0</v>
      </c>
      <c r="O9815" t="n">
        <v>0</v>
      </c>
      <c r="P9815" t="n">
        <v>0</v>
      </c>
      <c r="Q9815" t="n">
        <v>0</v>
      </c>
      <c r="R9815" s="2" t="inlineStr"/>
    </row>
    <row r="9816" ht="15" customHeight="1">
      <c r="A9816" t="inlineStr">
        <is>
          <t>A 48047-2022</t>
        </is>
      </c>
      <c r="B9816" s="1" t="n">
        <v>44855.92621527778</v>
      </c>
      <c r="C9816" s="1" t="n">
        <v>46093</v>
      </c>
      <c r="D9816" t="inlineStr">
        <is>
          <t>VÄSTERNORRLANDS LÄN</t>
        </is>
      </c>
      <c r="E9816" t="inlineStr">
        <is>
          <t>HÄRNÖSAND</t>
        </is>
      </c>
      <c r="G9816" t="n">
        <v>3</v>
      </c>
      <c r="H9816" t="n">
        <v>0</v>
      </c>
      <c r="I9816" t="n">
        <v>0</v>
      </c>
      <c r="J9816" t="n">
        <v>0</v>
      </c>
      <c r="K9816" t="n">
        <v>0</v>
      </c>
      <c r="L9816" t="n">
        <v>0</v>
      </c>
      <c r="M9816" t="n">
        <v>0</v>
      </c>
      <c r="N9816" t="n">
        <v>0</v>
      </c>
      <c r="O9816" t="n">
        <v>0</v>
      </c>
      <c r="P9816" t="n">
        <v>0</v>
      </c>
      <c r="Q9816" t="n">
        <v>0</v>
      </c>
      <c r="R9816" s="2" t="inlineStr"/>
    </row>
    <row r="9817" ht="15" customHeight="1">
      <c r="A9817" t="inlineStr">
        <is>
          <t>A 27623-2024</t>
        </is>
      </c>
      <c r="B9817" s="1" t="n">
        <v>45474</v>
      </c>
      <c r="C9817" s="1" t="n">
        <v>46093</v>
      </c>
      <c r="D9817" t="inlineStr">
        <is>
          <t>VÄSTERNORRLANDS LÄN</t>
        </is>
      </c>
      <c r="E9817" t="inlineStr">
        <is>
          <t>TIMRÅ</t>
        </is>
      </c>
      <c r="G9817" t="n">
        <v>3.4</v>
      </c>
      <c r="H9817" t="n">
        <v>0</v>
      </c>
      <c r="I9817" t="n">
        <v>0</v>
      </c>
      <c r="J9817" t="n">
        <v>0</v>
      </c>
      <c r="K9817" t="n">
        <v>0</v>
      </c>
      <c r="L9817" t="n">
        <v>0</v>
      </c>
      <c r="M9817" t="n">
        <v>0</v>
      </c>
      <c r="N9817" t="n">
        <v>0</v>
      </c>
      <c r="O9817" t="n">
        <v>0</v>
      </c>
      <c r="P9817" t="n">
        <v>0</v>
      </c>
      <c r="Q9817" t="n">
        <v>0</v>
      </c>
      <c r="R9817" s="2" t="inlineStr"/>
    </row>
    <row r="9818" ht="15" customHeight="1">
      <c r="A9818" t="inlineStr">
        <is>
          <t>A 6130-2026</t>
        </is>
      </c>
      <c r="B9818" s="1" t="n">
        <v>46054</v>
      </c>
      <c r="C9818" s="1" t="n">
        <v>46093</v>
      </c>
      <c r="D9818" t="inlineStr">
        <is>
          <t>VÄSTERNORRLANDS LÄN</t>
        </is>
      </c>
      <c r="E9818" t="inlineStr">
        <is>
          <t>TIMRÅ</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11399-2025</t>
        </is>
      </c>
      <c r="B9819" s="1" t="n">
        <v>45726.57364583333</v>
      </c>
      <c r="C9819" s="1" t="n">
        <v>46093</v>
      </c>
      <c r="D9819" t="inlineStr">
        <is>
          <t>VÄSTERNORRLANDS LÄN</t>
        </is>
      </c>
      <c r="E9819" t="inlineStr">
        <is>
          <t>ÅNGE</t>
        </is>
      </c>
      <c r="F9819" t="inlineStr">
        <is>
          <t>SCA</t>
        </is>
      </c>
      <c r="G9819" t="n">
        <v>2.9</v>
      </c>
      <c r="H9819" t="n">
        <v>0</v>
      </c>
      <c r="I9819" t="n">
        <v>0</v>
      </c>
      <c r="J9819" t="n">
        <v>0</v>
      </c>
      <c r="K9819" t="n">
        <v>0</v>
      </c>
      <c r="L9819" t="n">
        <v>0</v>
      </c>
      <c r="M9819" t="n">
        <v>0</v>
      </c>
      <c r="N9819" t="n">
        <v>0</v>
      </c>
      <c r="O9819" t="n">
        <v>0</v>
      </c>
      <c r="P9819" t="n">
        <v>0</v>
      </c>
      <c r="Q9819" t="n">
        <v>0</v>
      </c>
      <c r="R9819" s="2" t="inlineStr"/>
    </row>
    <row r="9820" ht="15" customHeight="1">
      <c r="A9820" t="inlineStr">
        <is>
          <t>A 6725-2026</t>
        </is>
      </c>
      <c r="B9820" s="1" t="n">
        <v>46056.67760416667</v>
      </c>
      <c r="C9820" s="1" t="n">
        <v>46093</v>
      </c>
      <c r="D9820" t="inlineStr">
        <is>
          <t>VÄSTERNORRLANDS LÄN</t>
        </is>
      </c>
      <c r="E9820" t="inlineStr">
        <is>
          <t>SOLLEFTEÅ</t>
        </is>
      </c>
      <c r="F9820" t="inlineStr">
        <is>
          <t>SCA</t>
        </is>
      </c>
      <c r="G9820" t="n">
        <v>27.7</v>
      </c>
      <c r="H9820" t="n">
        <v>0</v>
      </c>
      <c r="I9820" t="n">
        <v>0</v>
      </c>
      <c r="J9820" t="n">
        <v>0</v>
      </c>
      <c r="K9820" t="n">
        <v>0</v>
      </c>
      <c r="L9820" t="n">
        <v>0</v>
      </c>
      <c r="M9820" t="n">
        <v>0</v>
      </c>
      <c r="N9820" t="n">
        <v>0</v>
      </c>
      <c r="O9820" t="n">
        <v>0</v>
      </c>
      <c r="P9820" t="n">
        <v>0</v>
      </c>
      <c r="Q9820" t="n">
        <v>0</v>
      </c>
      <c r="R9820" s="2" t="inlineStr"/>
    </row>
    <row r="9821" ht="15" customHeight="1">
      <c r="A9821" t="inlineStr">
        <is>
          <t>A 19244-2023</t>
        </is>
      </c>
      <c r="B9821" s="1" t="n">
        <v>45048</v>
      </c>
      <c r="C9821" s="1" t="n">
        <v>46093</v>
      </c>
      <c r="D9821" t="inlineStr">
        <is>
          <t>VÄSTERNORRLANDS LÄN</t>
        </is>
      </c>
      <c r="E9821" t="inlineStr">
        <is>
          <t>TIMRÅ</t>
        </is>
      </c>
      <c r="F9821" t="inlineStr">
        <is>
          <t>SCA</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24304-2022</t>
        </is>
      </c>
      <c r="B9822" s="1" t="n">
        <v>44725</v>
      </c>
      <c r="C9822" s="1" t="n">
        <v>46093</v>
      </c>
      <c r="D9822" t="inlineStr">
        <is>
          <t>VÄSTERNORRLANDS LÄN</t>
        </is>
      </c>
      <c r="E9822" t="inlineStr">
        <is>
          <t>TIMRÅ</t>
        </is>
      </c>
      <c r="F9822" t="inlineStr">
        <is>
          <t>SCA</t>
        </is>
      </c>
      <c r="G9822" t="n">
        <v>2.7</v>
      </c>
      <c r="H9822" t="n">
        <v>0</v>
      </c>
      <c r="I9822" t="n">
        <v>0</v>
      </c>
      <c r="J9822" t="n">
        <v>0</v>
      </c>
      <c r="K9822" t="n">
        <v>0</v>
      </c>
      <c r="L9822" t="n">
        <v>0</v>
      </c>
      <c r="M9822" t="n">
        <v>0</v>
      </c>
      <c r="N9822" t="n">
        <v>0</v>
      </c>
      <c r="O9822" t="n">
        <v>0</v>
      </c>
      <c r="P9822" t="n">
        <v>0</v>
      </c>
      <c r="Q9822" t="n">
        <v>0</v>
      </c>
      <c r="R9822" s="2" t="inlineStr"/>
    </row>
    <row r="9823" ht="15" customHeight="1">
      <c r="A9823" t="inlineStr">
        <is>
          <t>A 6623-2026</t>
        </is>
      </c>
      <c r="B9823" s="1" t="n">
        <v>46056.50164351852</v>
      </c>
      <c r="C9823" s="1" t="n">
        <v>46093</v>
      </c>
      <c r="D9823" t="inlineStr">
        <is>
          <t>VÄSTERNORRLANDS LÄN</t>
        </is>
      </c>
      <c r="E9823" t="inlineStr">
        <is>
          <t>ÖRNSKÖLDSVIK</t>
        </is>
      </c>
      <c r="G9823" t="n">
        <v>3.9</v>
      </c>
      <c r="H9823" t="n">
        <v>0</v>
      </c>
      <c r="I9823" t="n">
        <v>0</v>
      </c>
      <c r="J9823" t="n">
        <v>0</v>
      </c>
      <c r="K9823" t="n">
        <v>0</v>
      </c>
      <c r="L9823" t="n">
        <v>0</v>
      </c>
      <c r="M9823" t="n">
        <v>0</v>
      </c>
      <c r="N9823" t="n">
        <v>0</v>
      </c>
      <c r="O9823" t="n">
        <v>0</v>
      </c>
      <c r="P9823" t="n">
        <v>0</v>
      </c>
      <c r="Q9823" t="n">
        <v>0</v>
      </c>
      <c r="R9823" s="2" t="inlineStr"/>
    </row>
    <row r="9824" ht="15" customHeight="1">
      <c r="A9824" t="inlineStr">
        <is>
          <t>A 6670-2026</t>
        </is>
      </c>
      <c r="B9824" s="1" t="n">
        <v>46056.59789351852</v>
      </c>
      <c r="C9824" s="1" t="n">
        <v>46093</v>
      </c>
      <c r="D9824" t="inlineStr">
        <is>
          <t>VÄSTERNORRLANDS LÄN</t>
        </is>
      </c>
      <c r="E9824" t="inlineStr">
        <is>
          <t>ÖRNSKÖLDSVIK</t>
        </is>
      </c>
      <c r="G9824" t="n">
        <v>6.2</v>
      </c>
      <c r="H9824" t="n">
        <v>0</v>
      </c>
      <c r="I9824" t="n">
        <v>0</v>
      </c>
      <c r="J9824" t="n">
        <v>0</v>
      </c>
      <c r="K9824" t="n">
        <v>0</v>
      </c>
      <c r="L9824" t="n">
        <v>0</v>
      </c>
      <c r="M9824" t="n">
        <v>0</v>
      </c>
      <c r="N9824" t="n">
        <v>0</v>
      </c>
      <c r="O9824" t="n">
        <v>0</v>
      </c>
      <c r="P9824" t="n">
        <v>0</v>
      </c>
      <c r="Q9824" t="n">
        <v>0</v>
      </c>
      <c r="R9824" s="2" t="inlineStr"/>
    </row>
    <row r="9825" ht="15" customHeight="1">
      <c r="A9825" t="inlineStr">
        <is>
          <t>A 6692-2026</t>
        </is>
      </c>
      <c r="B9825" s="1" t="n">
        <v>46056.63623842593</v>
      </c>
      <c r="C9825" s="1" t="n">
        <v>46093</v>
      </c>
      <c r="D9825" t="inlineStr">
        <is>
          <t>VÄSTERNORRLANDS LÄN</t>
        </is>
      </c>
      <c r="E9825" t="inlineStr">
        <is>
          <t>ÅNGE</t>
        </is>
      </c>
      <c r="F9825" t="inlineStr">
        <is>
          <t>SCA</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9096-2023</t>
        </is>
      </c>
      <c r="B9826" s="1" t="n">
        <v>44979.94303240741</v>
      </c>
      <c r="C9826" s="1" t="n">
        <v>46093</v>
      </c>
      <c r="D9826" t="inlineStr">
        <is>
          <t>VÄSTERNORRLANDS LÄN</t>
        </is>
      </c>
      <c r="E9826" t="inlineStr">
        <is>
          <t>SOLLEFTEÅ</t>
        </is>
      </c>
      <c r="F9826" t="inlineStr">
        <is>
          <t>SCA</t>
        </is>
      </c>
      <c r="G9826" t="n">
        <v>2</v>
      </c>
      <c r="H9826" t="n">
        <v>0</v>
      </c>
      <c r="I9826" t="n">
        <v>0</v>
      </c>
      <c r="J9826" t="n">
        <v>0</v>
      </c>
      <c r="K9826" t="n">
        <v>0</v>
      </c>
      <c r="L9826" t="n">
        <v>0</v>
      </c>
      <c r="M9826" t="n">
        <v>0</v>
      </c>
      <c r="N9826" t="n">
        <v>0</v>
      </c>
      <c r="O9826" t="n">
        <v>0</v>
      </c>
      <c r="P9826" t="n">
        <v>0</v>
      </c>
      <c r="Q9826" t="n">
        <v>0</v>
      </c>
      <c r="R9826" s="2" t="inlineStr"/>
    </row>
    <row r="9827" ht="15" customHeight="1">
      <c r="A9827" t="inlineStr">
        <is>
          <t>A 43525-2021</t>
        </is>
      </c>
      <c r="B9827" s="1" t="n">
        <v>44433</v>
      </c>
      <c r="C9827" s="1" t="n">
        <v>46093</v>
      </c>
      <c r="D9827" t="inlineStr">
        <is>
          <t>VÄSTERNORRLANDS LÄN</t>
        </is>
      </c>
      <c r="E9827" t="inlineStr">
        <is>
          <t>SOLLEFTEÅ</t>
        </is>
      </c>
      <c r="G9827" t="n">
        <v>2</v>
      </c>
      <c r="H9827" t="n">
        <v>0</v>
      </c>
      <c r="I9827" t="n">
        <v>0</v>
      </c>
      <c r="J9827" t="n">
        <v>0</v>
      </c>
      <c r="K9827" t="n">
        <v>0</v>
      </c>
      <c r="L9827" t="n">
        <v>0</v>
      </c>
      <c r="M9827" t="n">
        <v>0</v>
      </c>
      <c r="N9827" t="n">
        <v>0</v>
      </c>
      <c r="O9827" t="n">
        <v>0</v>
      </c>
      <c r="P9827" t="n">
        <v>0</v>
      </c>
      <c r="Q9827" t="n">
        <v>0</v>
      </c>
      <c r="R9827" s="2" t="inlineStr"/>
    </row>
    <row r="9828" ht="15" customHeight="1">
      <c r="A9828" t="inlineStr">
        <is>
          <t>A 63652-2025</t>
        </is>
      </c>
      <c r="B9828" s="1" t="n">
        <v>46014.43987268519</v>
      </c>
      <c r="C9828" s="1" t="n">
        <v>46093</v>
      </c>
      <c r="D9828" t="inlineStr">
        <is>
          <t>VÄSTERNORRLANDS LÄN</t>
        </is>
      </c>
      <c r="E9828" t="inlineStr">
        <is>
          <t>ÅNGE</t>
        </is>
      </c>
      <c r="G9828" t="n">
        <v>4.3</v>
      </c>
      <c r="H9828" t="n">
        <v>0</v>
      </c>
      <c r="I9828" t="n">
        <v>0</v>
      </c>
      <c r="J9828" t="n">
        <v>0</v>
      </c>
      <c r="K9828" t="n">
        <v>0</v>
      </c>
      <c r="L9828" t="n">
        <v>0</v>
      </c>
      <c r="M9828" t="n">
        <v>0</v>
      </c>
      <c r="N9828" t="n">
        <v>0</v>
      </c>
      <c r="O9828" t="n">
        <v>0</v>
      </c>
      <c r="P9828" t="n">
        <v>0</v>
      </c>
      <c r="Q9828" t="n">
        <v>0</v>
      </c>
      <c r="R9828" s="2" t="inlineStr"/>
    </row>
    <row r="9829" ht="15" customHeight="1">
      <c r="A9829" t="inlineStr">
        <is>
          <t>A 63682-2025</t>
        </is>
      </c>
      <c r="B9829" s="1" t="n">
        <v>46014.51082175926</v>
      </c>
      <c r="C9829" s="1" t="n">
        <v>46093</v>
      </c>
      <c r="D9829" t="inlineStr">
        <is>
          <t>VÄSTERNORRLANDS LÄN</t>
        </is>
      </c>
      <c r="E9829" t="inlineStr">
        <is>
          <t>SUNDSVALL</t>
        </is>
      </c>
      <c r="G9829" t="n">
        <v>2.8</v>
      </c>
      <c r="H9829" t="n">
        <v>0</v>
      </c>
      <c r="I9829" t="n">
        <v>0</v>
      </c>
      <c r="J9829" t="n">
        <v>0</v>
      </c>
      <c r="K9829" t="n">
        <v>0</v>
      </c>
      <c r="L9829" t="n">
        <v>0</v>
      </c>
      <c r="M9829" t="n">
        <v>0</v>
      </c>
      <c r="N9829" t="n">
        <v>0</v>
      </c>
      <c r="O9829" t="n">
        <v>0</v>
      </c>
      <c r="P9829" t="n">
        <v>0</v>
      </c>
      <c r="Q9829" t="n">
        <v>0</v>
      </c>
      <c r="R9829" s="2" t="inlineStr"/>
    </row>
    <row r="9830" ht="15" customHeight="1">
      <c r="A9830" t="inlineStr">
        <is>
          <t>A 6777-2025</t>
        </is>
      </c>
      <c r="B9830" s="1" t="n">
        <v>45700</v>
      </c>
      <c r="C9830" s="1" t="n">
        <v>46093</v>
      </c>
      <c r="D9830" t="inlineStr">
        <is>
          <t>VÄSTERNORRLANDS LÄN</t>
        </is>
      </c>
      <c r="E9830" t="inlineStr">
        <is>
          <t>SUNDSVALL</t>
        </is>
      </c>
      <c r="G9830" t="n">
        <v>3.1</v>
      </c>
      <c r="H9830" t="n">
        <v>0</v>
      </c>
      <c r="I9830" t="n">
        <v>0</v>
      </c>
      <c r="J9830" t="n">
        <v>0</v>
      </c>
      <c r="K9830" t="n">
        <v>0</v>
      </c>
      <c r="L9830" t="n">
        <v>0</v>
      </c>
      <c r="M9830" t="n">
        <v>0</v>
      </c>
      <c r="N9830" t="n">
        <v>0</v>
      </c>
      <c r="O9830" t="n">
        <v>0</v>
      </c>
      <c r="P9830" t="n">
        <v>0</v>
      </c>
      <c r="Q9830" t="n">
        <v>0</v>
      </c>
      <c r="R9830" s="2" t="inlineStr"/>
    </row>
    <row r="9831" ht="15" customHeight="1">
      <c r="A9831" t="inlineStr">
        <is>
          <t>A 6542-2026</t>
        </is>
      </c>
      <c r="B9831" s="1" t="n">
        <v>46056.42770833334</v>
      </c>
      <c r="C9831" s="1" t="n">
        <v>46093</v>
      </c>
      <c r="D9831" t="inlineStr">
        <is>
          <t>VÄSTERNORRLANDS LÄN</t>
        </is>
      </c>
      <c r="E9831" t="inlineStr">
        <is>
          <t>ÅNGE</t>
        </is>
      </c>
      <c r="F9831" t="inlineStr">
        <is>
          <t>SCA</t>
        </is>
      </c>
      <c r="G9831" t="n">
        <v>28.5</v>
      </c>
      <c r="H9831" t="n">
        <v>0</v>
      </c>
      <c r="I9831" t="n">
        <v>0</v>
      </c>
      <c r="J9831" t="n">
        <v>0</v>
      </c>
      <c r="K9831" t="n">
        <v>0</v>
      </c>
      <c r="L9831" t="n">
        <v>0</v>
      </c>
      <c r="M9831" t="n">
        <v>0</v>
      </c>
      <c r="N9831" t="n">
        <v>0</v>
      </c>
      <c r="O9831" t="n">
        <v>0</v>
      </c>
      <c r="P9831" t="n">
        <v>0</v>
      </c>
      <c r="Q9831" t="n">
        <v>0</v>
      </c>
      <c r="R9831" s="2" t="inlineStr"/>
    </row>
    <row r="9832" ht="15" customHeight="1">
      <c r="A9832" t="inlineStr">
        <is>
          <t>A 6547-2026</t>
        </is>
      </c>
      <c r="B9832" s="1" t="n">
        <v>46056.42825231481</v>
      </c>
      <c r="C9832" s="1" t="n">
        <v>46093</v>
      </c>
      <c r="D9832" t="inlineStr">
        <is>
          <t>VÄSTERNORRLANDS LÄN</t>
        </is>
      </c>
      <c r="E9832" t="inlineStr">
        <is>
          <t>ÅNGE</t>
        </is>
      </c>
      <c r="F9832" t="inlineStr">
        <is>
          <t>SCA</t>
        </is>
      </c>
      <c r="G9832" t="n">
        <v>9.199999999999999</v>
      </c>
      <c r="H9832" t="n">
        <v>0</v>
      </c>
      <c r="I9832" t="n">
        <v>0</v>
      </c>
      <c r="J9832" t="n">
        <v>0</v>
      </c>
      <c r="K9832" t="n">
        <v>0</v>
      </c>
      <c r="L9832" t="n">
        <v>0</v>
      </c>
      <c r="M9832" t="n">
        <v>0</v>
      </c>
      <c r="N9832" t="n">
        <v>0</v>
      </c>
      <c r="O9832" t="n">
        <v>0</v>
      </c>
      <c r="P9832" t="n">
        <v>0</v>
      </c>
      <c r="Q9832" t="n">
        <v>0</v>
      </c>
      <c r="R9832" s="2" t="inlineStr"/>
    </row>
    <row r="9833" ht="15" customHeight="1">
      <c r="A9833" t="inlineStr">
        <is>
          <t>A 6289-2026</t>
        </is>
      </c>
      <c r="B9833" s="1" t="n">
        <v>46055.55256944444</v>
      </c>
      <c r="C9833" s="1" t="n">
        <v>46093</v>
      </c>
      <c r="D9833" t="inlineStr">
        <is>
          <t>VÄSTERNORRLANDS LÄN</t>
        </is>
      </c>
      <c r="E9833" t="inlineStr">
        <is>
          <t>SUNDSVALL</t>
        </is>
      </c>
      <c r="G9833" t="n">
        <v>1.3</v>
      </c>
      <c r="H9833" t="n">
        <v>0</v>
      </c>
      <c r="I9833" t="n">
        <v>0</v>
      </c>
      <c r="J9833" t="n">
        <v>0</v>
      </c>
      <c r="K9833" t="n">
        <v>0</v>
      </c>
      <c r="L9833" t="n">
        <v>0</v>
      </c>
      <c r="M9833" t="n">
        <v>0</v>
      </c>
      <c r="N9833" t="n">
        <v>0</v>
      </c>
      <c r="O9833" t="n">
        <v>0</v>
      </c>
      <c r="P9833" t="n">
        <v>0</v>
      </c>
      <c r="Q9833" t="n">
        <v>0</v>
      </c>
      <c r="R9833" s="2" t="inlineStr"/>
    </row>
    <row r="9834" ht="15" customHeight="1">
      <c r="A9834" t="inlineStr">
        <is>
          <t>A 4530-2026</t>
        </is>
      </c>
      <c r="B9834" s="1" t="n">
        <v>46046</v>
      </c>
      <c r="C9834" s="1" t="n">
        <v>46093</v>
      </c>
      <c r="D9834" t="inlineStr">
        <is>
          <t>VÄSTERNORRLANDS LÄN</t>
        </is>
      </c>
      <c r="E9834" t="inlineStr">
        <is>
          <t>KRAMFORS</t>
        </is>
      </c>
      <c r="G9834" t="n">
        <v>0.4</v>
      </c>
      <c r="H9834" t="n">
        <v>0</v>
      </c>
      <c r="I9834" t="n">
        <v>0</v>
      </c>
      <c r="J9834" t="n">
        <v>0</v>
      </c>
      <c r="K9834" t="n">
        <v>0</v>
      </c>
      <c r="L9834" t="n">
        <v>0</v>
      </c>
      <c r="M9834" t="n">
        <v>0</v>
      </c>
      <c r="N9834" t="n">
        <v>0</v>
      </c>
      <c r="O9834" t="n">
        <v>0</v>
      </c>
      <c r="P9834" t="n">
        <v>0</v>
      </c>
      <c r="Q9834" t="n">
        <v>0</v>
      </c>
      <c r="R9834" s="2" t="inlineStr"/>
    </row>
    <row r="9835" ht="15" customHeight="1">
      <c r="A9835" t="inlineStr">
        <is>
          <t>A 45608-2024</t>
        </is>
      </c>
      <c r="B9835" s="1" t="n">
        <v>45579.4483912037</v>
      </c>
      <c r="C9835" s="1" t="n">
        <v>46093</v>
      </c>
      <c r="D9835" t="inlineStr">
        <is>
          <t>VÄSTERNORRLANDS LÄN</t>
        </is>
      </c>
      <c r="E9835" t="inlineStr">
        <is>
          <t>TIMRÅ</t>
        </is>
      </c>
      <c r="F9835" t="inlineStr">
        <is>
          <t>SCA</t>
        </is>
      </c>
      <c r="G9835" t="n">
        <v>4.6</v>
      </c>
      <c r="H9835" t="n">
        <v>0</v>
      </c>
      <c r="I9835" t="n">
        <v>0</v>
      </c>
      <c r="J9835" t="n">
        <v>0</v>
      </c>
      <c r="K9835" t="n">
        <v>0</v>
      </c>
      <c r="L9835" t="n">
        <v>0</v>
      </c>
      <c r="M9835" t="n">
        <v>0</v>
      </c>
      <c r="N9835" t="n">
        <v>0</v>
      </c>
      <c r="O9835" t="n">
        <v>0</v>
      </c>
      <c r="P9835" t="n">
        <v>0</v>
      </c>
      <c r="Q9835" t="n">
        <v>0</v>
      </c>
      <c r="R9835" s="2" t="inlineStr"/>
    </row>
    <row r="9836" ht="15" customHeight="1">
      <c r="A9836" t="inlineStr">
        <is>
          <t>A 45628-2024</t>
        </is>
      </c>
      <c r="B9836" s="1" t="n">
        <v>45579</v>
      </c>
      <c r="C9836" s="1" t="n">
        <v>46093</v>
      </c>
      <c r="D9836" t="inlineStr">
        <is>
          <t>VÄSTERNORRLANDS LÄN</t>
        </is>
      </c>
      <c r="E9836" t="inlineStr">
        <is>
          <t>KRAMFORS</t>
        </is>
      </c>
      <c r="F9836" t="inlineStr">
        <is>
          <t>SCA</t>
        </is>
      </c>
      <c r="G9836" t="n">
        <v>5.4</v>
      </c>
      <c r="H9836" t="n">
        <v>0</v>
      </c>
      <c r="I9836" t="n">
        <v>0</v>
      </c>
      <c r="J9836" t="n">
        <v>0</v>
      </c>
      <c r="K9836" t="n">
        <v>0</v>
      </c>
      <c r="L9836" t="n">
        <v>0</v>
      </c>
      <c r="M9836" t="n">
        <v>0</v>
      </c>
      <c r="N9836" t="n">
        <v>0</v>
      </c>
      <c r="O9836" t="n">
        <v>0</v>
      </c>
      <c r="P9836" t="n">
        <v>0</v>
      </c>
      <c r="Q9836" t="n">
        <v>0</v>
      </c>
      <c r="R9836" s="2" t="inlineStr"/>
    </row>
    <row r="9837" ht="15" customHeight="1">
      <c r="A9837" t="inlineStr">
        <is>
          <t>A 45629-2024</t>
        </is>
      </c>
      <c r="B9837" s="1" t="n">
        <v>45579.46957175926</v>
      </c>
      <c r="C9837" s="1" t="n">
        <v>46093</v>
      </c>
      <c r="D9837" t="inlineStr">
        <is>
          <t>VÄSTERNORRLANDS LÄN</t>
        </is>
      </c>
      <c r="E9837" t="inlineStr">
        <is>
          <t>TIMRÅ</t>
        </is>
      </c>
      <c r="F9837" t="inlineStr">
        <is>
          <t>SCA</t>
        </is>
      </c>
      <c r="G9837" t="n">
        <v>3</v>
      </c>
      <c r="H9837" t="n">
        <v>0</v>
      </c>
      <c r="I9837" t="n">
        <v>0</v>
      </c>
      <c r="J9837" t="n">
        <v>0</v>
      </c>
      <c r="K9837" t="n">
        <v>0</v>
      </c>
      <c r="L9837" t="n">
        <v>0</v>
      </c>
      <c r="M9837" t="n">
        <v>0</v>
      </c>
      <c r="N9837" t="n">
        <v>0</v>
      </c>
      <c r="O9837" t="n">
        <v>0</v>
      </c>
      <c r="P9837" t="n">
        <v>0</v>
      </c>
      <c r="Q9837" t="n">
        <v>0</v>
      </c>
      <c r="R9837" s="2" t="inlineStr"/>
    </row>
    <row r="9838" ht="15" customHeight="1">
      <c r="A9838" t="inlineStr">
        <is>
          <t>A 57762-2023</t>
        </is>
      </c>
      <c r="B9838" s="1" t="n">
        <v>45246</v>
      </c>
      <c r="C9838" s="1" t="n">
        <v>46093</v>
      </c>
      <c r="D9838" t="inlineStr">
        <is>
          <t>VÄSTERNORRLANDS LÄN</t>
        </is>
      </c>
      <c r="E9838" t="inlineStr">
        <is>
          <t>TIMRÅ</t>
        </is>
      </c>
      <c r="G9838" t="n">
        <v>2.5</v>
      </c>
      <c r="H9838" t="n">
        <v>0</v>
      </c>
      <c r="I9838" t="n">
        <v>0</v>
      </c>
      <c r="J9838" t="n">
        <v>0</v>
      </c>
      <c r="K9838" t="n">
        <v>0</v>
      </c>
      <c r="L9838" t="n">
        <v>0</v>
      </c>
      <c r="M9838" t="n">
        <v>0</v>
      </c>
      <c r="N9838" t="n">
        <v>0</v>
      </c>
      <c r="O9838" t="n">
        <v>0</v>
      </c>
      <c r="P9838" t="n">
        <v>0</v>
      </c>
      <c r="Q9838" t="n">
        <v>0</v>
      </c>
      <c r="R9838" s="2" t="inlineStr"/>
    </row>
    <row r="9839" ht="15" customHeight="1">
      <c r="A9839" t="inlineStr">
        <is>
          <t>A 6131-2026</t>
        </is>
      </c>
      <c r="B9839" s="1" t="n">
        <v>46054.49123842592</v>
      </c>
      <c r="C9839" s="1" t="n">
        <v>46093</v>
      </c>
      <c r="D9839" t="inlineStr">
        <is>
          <t>VÄSTERNORRLANDS LÄN</t>
        </is>
      </c>
      <c r="E9839" t="inlineStr">
        <is>
          <t>KRAMFORS</t>
        </is>
      </c>
      <c r="G9839" t="n">
        <v>1.9</v>
      </c>
      <c r="H9839" t="n">
        <v>0</v>
      </c>
      <c r="I9839" t="n">
        <v>0</v>
      </c>
      <c r="J9839" t="n">
        <v>0</v>
      </c>
      <c r="K9839" t="n">
        <v>0</v>
      </c>
      <c r="L9839" t="n">
        <v>0</v>
      </c>
      <c r="M9839" t="n">
        <v>0</v>
      </c>
      <c r="N9839" t="n">
        <v>0</v>
      </c>
      <c r="O9839" t="n">
        <v>0</v>
      </c>
      <c r="P9839" t="n">
        <v>0</v>
      </c>
      <c r="Q9839" t="n">
        <v>0</v>
      </c>
      <c r="R9839" s="2" t="inlineStr"/>
    </row>
    <row r="9840" ht="15" customHeight="1">
      <c r="A9840" t="inlineStr">
        <is>
          <t>A 23433-2023</t>
        </is>
      </c>
      <c r="B9840" s="1" t="n">
        <v>45076.57974537037</v>
      </c>
      <c r="C9840" s="1" t="n">
        <v>46093</v>
      </c>
      <c r="D9840" t="inlineStr">
        <is>
          <t>VÄSTERNORRLANDS LÄN</t>
        </is>
      </c>
      <c r="E9840" t="inlineStr">
        <is>
          <t>ÖRNSKÖLDSVIK</t>
        </is>
      </c>
      <c r="F9840" t="inlineStr">
        <is>
          <t>Holmen skog AB</t>
        </is>
      </c>
      <c r="G9840" t="n">
        <v>3.6</v>
      </c>
      <c r="H9840" t="n">
        <v>0</v>
      </c>
      <c r="I9840" t="n">
        <v>0</v>
      </c>
      <c r="J9840" t="n">
        <v>0</v>
      </c>
      <c r="K9840" t="n">
        <v>0</v>
      </c>
      <c r="L9840" t="n">
        <v>0</v>
      </c>
      <c r="M9840" t="n">
        <v>0</v>
      </c>
      <c r="N9840" t="n">
        <v>0</v>
      </c>
      <c r="O9840" t="n">
        <v>0</v>
      </c>
      <c r="P9840" t="n">
        <v>0</v>
      </c>
      <c r="Q9840" t="n">
        <v>0</v>
      </c>
      <c r="R9840" s="2" t="inlineStr"/>
    </row>
    <row r="9841" ht="15" customHeight="1">
      <c r="A9841" t="inlineStr">
        <is>
          <t>A 21737-2023</t>
        </is>
      </c>
      <c r="B9841" s="1" t="n">
        <v>45065</v>
      </c>
      <c r="C9841" s="1" t="n">
        <v>46093</v>
      </c>
      <c r="D9841" t="inlineStr">
        <is>
          <t>VÄSTERNORRLANDS LÄN</t>
        </is>
      </c>
      <c r="E9841" t="inlineStr">
        <is>
          <t>ÖRNSKÖLDSVIK</t>
        </is>
      </c>
      <c r="G9841" t="n">
        <v>0.8</v>
      </c>
      <c r="H9841" t="n">
        <v>0</v>
      </c>
      <c r="I9841" t="n">
        <v>0</v>
      </c>
      <c r="J9841" t="n">
        <v>0</v>
      </c>
      <c r="K9841" t="n">
        <v>0</v>
      </c>
      <c r="L9841" t="n">
        <v>0</v>
      </c>
      <c r="M9841" t="n">
        <v>0</v>
      </c>
      <c r="N9841" t="n">
        <v>0</v>
      </c>
      <c r="O9841" t="n">
        <v>0</v>
      </c>
      <c r="P9841" t="n">
        <v>0</v>
      </c>
      <c r="Q9841" t="n">
        <v>0</v>
      </c>
      <c r="R9841" s="2" t="inlineStr"/>
    </row>
    <row r="9842" ht="15" customHeight="1">
      <c r="A9842" t="inlineStr">
        <is>
          <t>A 6186-2026</t>
        </is>
      </c>
      <c r="B9842" s="1" t="n">
        <v>46055.36555555555</v>
      </c>
      <c r="C9842" s="1" t="n">
        <v>46093</v>
      </c>
      <c r="D9842" t="inlineStr">
        <is>
          <t>VÄSTERNORRLANDS LÄN</t>
        </is>
      </c>
      <c r="E9842" t="inlineStr">
        <is>
          <t>ÖRNSKÖLDSVIK</t>
        </is>
      </c>
      <c r="F9842" t="inlineStr">
        <is>
          <t>Holmen skog AB</t>
        </is>
      </c>
      <c r="G9842" t="n">
        <v>3.7</v>
      </c>
      <c r="H9842" t="n">
        <v>0</v>
      </c>
      <c r="I9842" t="n">
        <v>0</v>
      </c>
      <c r="J9842" t="n">
        <v>0</v>
      </c>
      <c r="K9842" t="n">
        <v>0</v>
      </c>
      <c r="L9842" t="n">
        <v>0</v>
      </c>
      <c r="M9842" t="n">
        <v>0</v>
      </c>
      <c r="N9842" t="n">
        <v>0</v>
      </c>
      <c r="O9842" t="n">
        <v>0</v>
      </c>
      <c r="P9842" t="n">
        <v>0</v>
      </c>
      <c r="Q9842" t="n">
        <v>0</v>
      </c>
      <c r="R9842" s="2" t="inlineStr"/>
    </row>
    <row r="9843" ht="15" customHeight="1">
      <c r="A9843" t="inlineStr">
        <is>
          <t>A 61102-2024</t>
        </is>
      </c>
      <c r="B9843" s="1" t="n">
        <v>45645</v>
      </c>
      <c r="C9843" s="1" t="n">
        <v>46093</v>
      </c>
      <c r="D9843" t="inlineStr">
        <is>
          <t>VÄSTERNORRLANDS LÄN</t>
        </is>
      </c>
      <c r="E9843" t="inlineStr">
        <is>
          <t>ÖRNSKÖLDSVIK</t>
        </is>
      </c>
      <c r="G9843" t="n">
        <v>8.5</v>
      </c>
      <c r="H9843" t="n">
        <v>0</v>
      </c>
      <c r="I9843" t="n">
        <v>0</v>
      </c>
      <c r="J9843" t="n">
        <v>0</v>
      </c>
      <c r="K9843" t="n">
        <v>0</v>
      </c>
      <c r="L9843" t="n">
        <v>0</v>
      </c>
      <c r="M9843" t="n">
        <v>0</v>
      </c>
      <c r="N9843" t="n">
        <v>0</v>
      </c>
      <c r="O9843" t="n">
        <v>0</v>
      </c>
      <c r="P9843" t="n">
        <v>0</v>
      </c>
      <c r="Q9843" t="n">
        <v>0</v>
      </c>
      <c r="R9843" s="2" t="inlineStr"/>
    </row>
    <row r="9844" ht="15" customHeight="1">
      <c r="A9844" t="inlineStr">
        <is>
          <t>A 11338-2025</t>
        </is>
      </c>
      <c r="B9844" s="1" t="n">
        <v>45726.48987268518</v>
      </c>
      <c r="C9844" s="1" t="n">
        <v>46093</v>
      </c>
      <c r="D9844" t="inlineStr">
        <is>
          <t>VÄSTERNORRLANDS LÄN</t>
        </is>
      </c>
      <c r="E9844" t="inlineStr">
        <is>
          <t>SOLLEFTEÅ</t>
        </is>
      </c>
      <c r="F9844" t="inlineStr">
        <is>
          <t>SCA</t>
        </is>
      </c>
      <c r="G9844" t="n">
        <v>3.3</v>
      </c>
      <c r="H9844" t="n">
        <v>0</v>
      </c>
      <c r="I9844" t="n">
        <v>0</v>
      </c>
      <c r="J9844" t="n">
        <v>0</v>
      </c>
      <c r="K9844" t="n">
        <v>0</v>
      </c>
      <c r="L9844" t="n">
        <v>0</v>
      </c>
      <c r="M9844" t="n">
        <v>0</v>
      </c>
      <c r="N9844" t="n">
        <v>0</v>
      </c>
      <c r="O9844" t="n">
        <v>0</v>
      </c>
      <c r="P9844" t="n">
        <v>0</v>
      </c>
      <c r="Q9844" t="n">
        <v>0</v>
      </c>
      <c r="R9844" s="2" t="inlineStr"/>
    </row>
    <row r="9845" ht="15" customHeight="1">
      <c r="A9845" t="inlineStr">
        <is>
          <t>A 6650-2026</t>
        </is>
      </c>
      <c r="B9845" s="1" t="n">
        <v>46056.55253472222</v>
      </c>
      <c r="C9845" s="1" t="n">
        <v>46093</v>
      </c>
      <c r="D9845" t="inlineStr">
        <is>
          <t>VÄSTERNORRLANDS LÄN</t>
        </is>
      </c>
      <c r="E9845" t="inlineStr">
        <is>
          <t>SUNDSVALL</t>
        </is>
      </c>
      <c r="F9845" t="inlineStr">
        <is>
          <t>SCA</t>
        </is>
      </c>
      <c r="G9845" t="n">
        <v>6.7</v>
      </c>
      <c r="H9845" t="n">
        <v>0</v>
      </c>
      <c r="I9845" t="n">
        <v>0</v>
      </c>
      <c r="J9845" t="n">
        <v>0</v>
      </c>
      <c r="K9845" t="n">
        <v>0</v>
      </c>
      <c r="L9845" t="n">
        <v>0</v>
      </c>
      <c r="M9845" t="n">
        <v>0</v>
      </c>
      <c r="N9845" t="n">
        <v>0</v>
      </c>
      <c r="O9845" t="n">
        <v>0</v>
      </c>
      <c r="P9845" t="n">
        <v>0</v>
      </c>
      <c r="Q9845" t="n">
        <v>0</v>
      </c>
      <c r="R9845" s="2" t="inlineStr"/>
    </row>
    <row r="9846" ht="15" customHeight="1">
      <c r="A9846" t="inlineStr">
        <is>
          <t>A 64107-2025</t>
        </is>
      </c>
      <c r="B9846" s="1" t="n">
        <v>46013</v>
      </c>
      <c r="C9846" s="1" t="n">
        <v>46093</v>
      </c>
      <c r="D9846" t="inlineStr">
        <is>
          <t>VÄSTERNORRLANDS LÄN</t>
        </is>
      </c>
      <c r="E9846" t="inlineStr">
        <is>
          <t>HÄRNÖSAND</t>
        </is>
      </c>
      <c r="G9846" t="n">
        <v>4.7</v>
      </c>
      <c r="H9846" t="n">
        <v>0</v>
      </c>
      <c r="I9846" t="n">
        <v>0</v>
      </c>
      <c r="J9846" t="n">
        <v>0</v>
      </c>
      <c r="K9846" t="n">
        <v>0</v>
      </c>
      <c r="L9846" t="n">
        <v>0</v>
      </c>
      <c r="M9846" t="n">
        <v>0</v>
      </c>
      <c r="N9846" t="n">
        <v>0</v>
      </c>
      <c r="O9846" t="n">
        <v>0</v>
      </c>
      <c r="P9846" t="n">
        <v>0</v>
      </c>
      <c r="Q9846" t="n">
        <v>0</v>
      </c>
      <c r="R9846" s="2" t="inlineStr"/>
    </row>
    <row r="9847" ht="15" customHeight="1">
      <c r="A9847" t="inlineStr">
        <is>
          <t>A 57154-2024</t>
        </is>
      </c>
      <c r="B9847" s="1" t="n">
        <v>45629.39958333333</v>
      </c>
      <c r="C9847" s="1" t="n">
        <v>46093</v>
      </c>
      <c r="D9847" t="inlineStr">
        <is>
          <t>VÄSTERNORRLANDS LÄN</t>
        </is>
      </c>
      <c r="E9847" t="inlineStr">
        <is>
          <t>HÄRNÖSAND</t>
        </is>
      </c>
      <c r="G9847" t="n">
        <v>3.3</v>
      </c>
      <c r="H9847" t="n">
        <v>0</v>
      </c>
      <c r="I9847" t="n">
        <v>0</v>
      </c>
      <c r="J9847" t="n">
        <v>0</v>
      </c>
      <c r="K9847" t="n">
        <v>0</v>
      </c>
      <c r="L9847" t="n">
        <v>0</v>
      </c>
      <c r="M9847" t="n">
        <v>0</v>
      </c>
      <c r="N9847" t="n">
        <v>0</v>
      </c>
      <c r="O9847" t="n">
        <v>0</v>
      </c>
      <c r="P9847" t="n">
        <v>0</v>
      </c>
      <c r="Q9847" t="n">
        <v>0</v>
      </c>
      <c r="R9847" s="2" t="inlineStr"/>
    </row>
    <row r="9848" ht="15" customHeight="1">
      <c r="A9848" t="inlineStr">
        <is>
          <t>A 3447-2025</t>
        </is>
      </c>
      <c r="B9848" s="1" t="n">
        <v>45680.47208333333</v>
      </c>
      <c r="C9848" s="1" t="n">
        <v>46093</v>
      </c>
      <c r="D9848" t="inlineStr">
        <is>
          <t>VÄSTERNORRLANDS LÄN</t>
        </is>
      </c>
      <c r="E9848" t="inlineStr">
        <is>
          <t>KRAMFORS</t>
        </is>
      </c>
      <c r="G9848" t="n">
        <v>0.2</v>
      </c>
      <c r="H9848" t="n">
        <v>0</v>
      </c>
      <c r="I9848" t="n">
        <v>0</v>
      </c>
      <c r="J9848" t="n">
        <v>0</v>
      </c>
      <c r="K9848" t="n">
        <v>0</v>
      </c>
      <c r="L9848" t="n">
        <v>0</v>
      </c>
      <c r="M9848" t="n">
        <v>0</v>
      </c>
      <c r="N9848" t="n">
        <v>0</v>
      </c>
      <c r="O9848" t="n">
        <v>0</v>
      </c>
      <c r="P9848" t="n">
        <v>0</v>
      </c>
      <c r="Q9848" t="n">
        <v>0</v>
      </c>
      <c r="R9848" s="2" t="inlineStr"/>
    </row>
    <row r="9849" ht="15" customHeight="1">
      <c r="A9849" t="inlineStr">
        <is>
          <t>A 3454-2025</t>
        </is>
      </c>
      <c r="B9849" s="1" t="n">
        <v>45680.47600694445</v>
      </c>
      <c r="C9849" s="1" t="n">
        <v>46093</v>
      </c>
      <c r="D9849" t="inlineStr">
        <is>
          <t>VÄSTERNORRLANDS LÄN</t>
        </is>
      </c>
      <c r="E9849" t="inlineStr">
        <is>
          <t>KRAMFORS</t>
        </is>
      </c>
      <c r="G9849" t="n">
        <v>2.2</v>
      </c>
      <c r="H9849" t="n">
        <v>0</v>
      </c>
      <c r="I9849" t="n">
        <v>0</v>
      </c>
      <c r="J9849" t="n">
        <v>0</v>
      </c>
      <c r="K9849" t="n">
        <v>0</v>
      </c>
      <c r="L9849" t="n">
        <v>0</v>
      </c>
      <c r="M9849" t="n">
        <v>0</v>
      </c>
      <c r="N9849" t="n">
        <v>0</v>
      </c>
      <c r="O9849" t="n">
        <v>0</v>
      </c>
      <c r="P9849" t="n">
        <v>0</v>
      </c>
      <c r="Q9849" t="n">
        <v>0</v>
      </c>
      <c r="R9849" s="2" t="inlineStr"/>
    </row>
    <row r="9850" ht="15" customHeight="1">
      <c r="A9850" t="inlineStr">
        <is>
          <t>A 15822-2025</t>
        </is>
      </c>
      <c r="B9850" s="1" t="n">
        <v>45748.70172453704</v>
      </c>
      <c r="C9850" s="1" t="n">
        <v>46093</v>
      </c>
      <c r="D9850" t="inlineStr">
        <is>
          <t>VÄSTERNORRLANDS LÄN</t>
        </is>
      </c>
      <c r="E9850" t="inlineStr">
        <is>
          <t>ÅNGE</t>
        </is>
      </c>
      <c r="F9850" t="inlineStr">
        <is>
          <t>SCA</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22263-2023</t>
        </is>
      </c>
      <c r="B9851" s="1" t="n">
        <v>45068</v>
      </c>
      <c r="C9851" s="1" t="n">
        <v>46093</v>
      </c>
      <c r="D9851" t="inlineStr">
        <is>
          <t>VÄSTERNORRLANDS LÄN</t>
        </is>
      </c>
      <c r="E9851" t="inlineStr">
        <is>
          <t>ÖRNSKÖLDSVIK</t>
        </is>
      </c>
      <c r="G9851" t="n">
        <v>0.9</v>
      </c>
      <c r="H9851" t="n">
        <v>0</v>
      </c>
      <c r="I9851" t="n">
        <v>0</v>
      </c>
      <c r="J9851" t="n">
        <v>0</v>
      </c>
      <c r="K9851" t="n">
        <v>0</v>
      </c>
      <c r="L9851" t="n">
        <v>0</v>
      </c>
      <c r="M9851" t="n">
        <v>0</v>
      </c>
      <c r="N9851" t="n">
        <v>0</v>
      </c>
      <c r="O9851" t="n">
        <v>0</v>
      </c>
      <c r="P9851" t="n">
        <v>0</v>
      </c>
      <c r="Q9851" t="n">
        <v>0</v>
      </c>
      <c r="R9851" s="2" t="inlineStr"/>
    </row>
    <row r="9852" ht="15" customHeight="1">
      <c r="A9852" t="inlineStr">
        <is>
          <t>A 56398-2024</t>
        </is>
      </c>
      <c r="B9852" s="1" t="n">
        <v>45625.35395833333</v>
      </c>
      <c r="C9852" s="1" t="n">
        <v>46093</v>
      </c>
      <c r="D9852" t="inlineStr">
        <is>
          <t>VÄSTERNORRLANDS LÄN</t>
        </is>
      </c>
      <c r="E9852" t="inlineStr">
        <is>
          <t>SOLLEFTEÅ</t>
        </is>
      </c>
      <c r="G9852" t="n">
        <v>3</v>
      </c>
      <c r="H9852" t="n">
        <v>0</v>
      </c>
      <c r="I9852" t="n">
        <v>0</v>
      </c>
      <c r="J9852" t="n">
        <v>0</v>
      </c>
      <c r="K9852" t="n">
        <v>0</v>
      </c>
      <c r="L9852" t="n">
        <v>0</v>
      </c>
      <c r="M9852" t="n">
        <v>0</v>
      </c>
      <c r="N9852" t="n">
        <v>0</v>
      </c>
      <c r="O9852" t="n">
        <v>0</v>
      </c>
      <c r="P9852" t="n">
        <v>0</v>
      </c>
      <c r="Q9852" t="n">
        <v>0</v>
      </c>
      <c r="R9852" s="2" t="inlineStr"/>
    </row>
    <row r="9853" ht="15" customHeight="1">
      <c r="A9853" t="inlineStr">
        <is>
          <t>A 44991-2023</t>
        </is>
      </c>
      <c r="B9853" s="1" t="n">
        <v>45190</v>
      </c>
      <c r="C9853" s="1" t="n">
        <v>46093</v>
      </c>
      <c r="D9853" t="inlineStr">
        <is>
          <t>VÄSTERNORRLANDS LÄN</t>
        </is>
      </c>
      <c r="E9853" t="inlineStr">
        <is>
          <t>TIMRÅ</t>
        </is>
      </c>
      <c r="F9853" t="inlineStr">
        <is>
          <t>SCA</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63456-2025</t>
        </is>
      </c>
      <c r="B9854" s="1" t="n">
        <v>46013.42209490741</v>
      </c>
      <c r="C9854" s="1" t="n">
        <v>46093</v>
      </c>
      <c r="D9854" t="inlineStr">
        <is>
          <t>VÄSTERNORRLANDS LÄN</t>
        </is>
      </c>
      <c r="E9854" t="inlineStr">
        <is>
          <t>SOLLEFTEÅ</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21234-2023</t>
        </is>
      </c>
      <c r="B9855" s="1" t="n">
        <v>45058</v>
      </c>
      <c r="C9855" s="1" t="n">
        <v>46093</v>
      </c>
      <c r="D9855" t="inlineStr">
        <is>
          <t>VÄSTERNORRLANDS LÄN</t>
        </is>
      </c>
      <c r="E9855" t="inlineStr">
        <is>
          <t>ÖRNSKÖLDSVIK</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43002-2024</t>
        </is>
      </c>
      <c r="B9856" s="1" t="n">
        <v>45567.37609953704</v>
      </c>
      <c r="C9856" s="1" t="n">
        <v>46093</v>
      </c>
      <c r="D9856" t="inlineStr">
        <is>
          <t>VÄSTERNORRLANDS LÄN</t>
        </is>
      </c>
      <c r="E9856" t="inlineStr">
        <is>
          <t>SUNDSVALL</t>
        </is>
      </c>
      <c r="G9856" t="n">
        <v>0.7</v>
      </c>
      <c r="H9856" t="n">
        <v>0</v>
      </c>
      <c r="I9856" t="n">
        <v>0</v>
      </c>
      <c r="J9856" t="n">
        <v>0</v>
      </c>
      <c r="K9856" t="n">
        <v>0</v>
      </c>
      <c r="L9856" t="n">
        <v>0</v>
      </c>
      <c r="M9856" t="n">
        <v>0</v>
      </c>
      <c r="N9856" t="n">
        <v>0</v>
      </c>
      <c r="O9856" t="n">
        <v>0</v>
      </c>
      <c r="P9856" t="n">
        <v>0</v>
      </c>
      <c r="Q9856" t="n">
        <v>0</v>
      </c>
      <c r="R9856" s="2" t="inlineStr"/>
    </row>
    <row r="9857" ht="15" customHeight="1">
      <c r="A9857" t="inlineStr">
        <is>
          <t>A 63477-2025</t>
        </is>
      </c>
      <c r="B9857" s="1" t="n">
        <v>46013.44822916666</v>
      </c>
      <c r="C9857" s="1" t="n">
        <v>46093</v>
      </c>
      <c r="D9857" t="inlineStr">
        <is>
          <t>VÄSTERNORRLANDS LÄN</t>
        </is>
      </c>
      <c r="E9857" t="inlineStr">
        <is>
          <t>TIMRÅ</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63491-2025</t>
        </is>
      </c>
      <c r="B9858" s="1" t="n">
        <v>46013.47121527778</v>
      </c>
      <c r="C9858" s="1" t="n">
        <v>46093</v>
      </c>
      <c r="D9858" t="inlineStr">
        <is>
          <t>VÄSTERNORRLANDS LÄN</t>
        </is>
      </c>
      <c r="E9858" t="inlineStr">
        <is>
          <t>SUNDSVALL</t>
        </is>
      </c>
      <c r="G9858" t="n">
        <v>2.6</v>
      </c>
      <c r="H9858" t="n">
        <v>0</v>
      </c>
      <c r="I9858" t="n">
        <v>0</v>
      </c>
      <c r="J9858" t="n">
        <v>0</v>
      </c>
      <c r="K9858" t="n">
        <v>0</v>
      </c>
      <c r="L9858" t="n">
        <v>0</v>
      </c>
      <c r="M9858" t="n">
        <v>0</v>
      </c>
      <c r="N9858" t="n">
        <v>0</v>
      </c>
      <c r="O9858" t="n">
        <v>0</v>
      </c>
      <c r="P9858" t="n">
        <v>0</v>
      </c>
      <c r="Q9858" t="n">
        <v>0</v>
      </c>
      <c r="R9858" s="2" t="inlineStr"/>
    </row>
    <row r="9859" ht="15" customHeight="1">
      <c r="A9859" t="inlineStr">
        <is>
          <t>A 64079-2025</t>
        </is>
      </c>
      <c r="B9859" s="1" t="n">
        <v>46012</v>
      </c>
      <c r="C9859" s="1" t="n">
        <v>46093</v>
      </c>
      <c r="D9859" t="inlineStr">
        <is>
          <t>VÄSTERNORRLANDS LÄN</t>
        </is>
      </c>
      <c r="E9859" t="inlineStr">
        <is>
          <t>ÖRNSKÖLDSVIK</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64318-2023</t>
        </is>
      </c>
      <c r="B9860" s="1" t="n">
        <v>45279</v>
      </c>
      <c r="C9860" s="1" t="n">
        <v>46093</v>
      </c>
      <c r="D9860" t="inlineStr">
        <is>
          <t>VÄSTERNORRLANDS LÄN</t>
        </is>
      </c>
      <c r="E9860" t="inlineStr">
        <is>
          <t>SUNDSVALL</t>
        </is>
      </c>
      <c r="G9860" t="n">
        <v>6</v>
      </c>
      <c r="H9860" t="n">
        <v>0</v>
      </c>
      <c r="I9860" t="n">
        <v>0</v>
      </c>
      <c r="J9860" t="n">
        <v>0</v>
      </c>
      <c r="K9860" t="n">
        <v>0</v>
      </c>
      <c r="L9860" t="n">
        <v>0</v>
      </c>
      <c r="M9860" t="n">
        <v>0</v>
      </c>
      <c r="N9860" t="n">
        <v>0</v>
      </c>
      <c r="O9860" t="n">
        <v>0</v>
      </c>
      <c r="P9860" t="n">
        <v>0</v>
      </c>
      <c r="Q9860" t="n">
        <v>0</v>
      </c>
      <c r="R9860" s="2" t="inlineStr"/>
    </row>
    <row r="9861" ht="15" customHeight="1">
      <c r="A9861" t="inlineStr">
        <is>
          <t>A 6733-2026</t>
        </is>
      </c>
      <c r="B9861" s="1" t="n">
        <v>46056.6880787037</v>
      </c>
      <c r="C9861" s="1" t="n">
        <v>46093</v>
      </c>
      <c r="D9861" t="inlineStr">
        <is>
          <t>VÄSTERNORRLANDS LÄN</t>
        </is>
      </c>
      <c r="E9861" t="inlineStr">
        <is>
          <t>SUNDSVALL</t>
        </is>
      </c>
      <c r="G9861" t="n">
        <v>1.5</v>
      </c>
      <c r="H9861" t="n">
        <v>0</v>
      </c>
      <c r="I9861" t="n">
        <v>0</v>
      </c>
      <c r="J9861" t="n">
        <v>0</v>
      </c>
      <c r="K9861" t="n">
        <v>0</v>
      </c>
      <c r="L9861" t="n">
        <v>0</v>
      </c>
      <c r="M9861" t="n">
        <v>0</v>
      </c>
      <c r="N9861" t="n">
        <v>0</v>
      </c>
      <c r="O9861" t="n">
        <v>0</v>
      </c>
      <c r="P9861" t="n">
        <v>0</v>
      </c>
      <c r="Q9861" t="n">
        <v>0</v>
      </c>
      <c r="R9861" s="2" t="inlineStr"/>
    </row>
    <row r="9862" ht="15" customHeight="1">
      <c r="A9862" t="inlineStr">
        <is>
          <t>A 37201-2024</t>
        </is>
      </c>
      <c r="B9862" s="1" t="n">
        <v>45539</v>
      </c>
      <c r="C9862" s="1" t="n">
        <v>46093</v>
      </c>
      <c r="D9862" t="inlineStr">
        <is>
          <t>VÄSTERNORRLANDS LÄN</t>
        </is>
      </c>
      <c r="E9862" t="inlineStr">
        <is>
          <t>SOLLEFTEÅ</t>
        </is>
      </c>
      <c r="G9862" t="n">
        <v>2.3</v>
      </c>
      <c r="H9862" t="n">
        <v>0</v>
      </c>
      <c r="I9862" t="n">
        <v>0</v>
      </c>
      <c r="J9862" t="n">
        <v>0</v>
      </c>
      <c r="K9862" t="n">
        <v>0</v>
      </c>
      <c r="L9862" t="n">
        <v>0</v>
      </c>
      <c r="M9862" t="n">
        <v>0</v>
      </c>
      <c r="N9862" t="n">
        <v>0</v>
      </c>
      <c r="O9862" t="n">
        <v>0</v>
      </c>
      <c r="P9862" t="n">
        <v>0</v>
      </c>
      <c r="Q9862" t="n">
        <v>0</v>
      </c>
      <c r="R9862" s="2" t="inlineStr"/>
    </row>
    <row r="9863" ht="15" customHeight="1">
      <c r="A9863" t="inlineStr">
        <is>
          <t>A 18861-2023</t>
        </is>
      </c>
      <c r="B9863" s="1" t="n">
        <v>45042</v>
      </c>
      <c r="C9863" s="1" t="n">
        <v>46093</v>
      </c>
      <c r="D9863" t="inlineStr">
        <is>
          <t>VÄSTERNORRLANDS LÄN</t>
        </is>
      </c>
      <c r="E9863" t="inlineStr">
        <is>
          <t>SOLLEFTEÅ</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59222-2022</t>
        </is>
      </c>
      <c r="B9864" s="1" t="n">
        <v>44904</v>
      </c>
      <c r="C9864" s="1" t="n">
        <v>46093</v>
      </c>
      <c r="D9864" t="inlineStr">
        <is>
          <t>VÄSTERNORRLANDS LÄN</t>
        </is>
      </c>
      <c r="E9864" t="inlineStr">
        <is>
          <t>ÖRNSKÖLDSVIK</t>
        </is>
      </c>
      <c r="F9864" t="inlineStr">
        <is>
          <t>Holmen skog AB</t>
        </is>
      </c>
      <c r="G9864" t="n">
        <v>7.4</v>
      </c>
      <c r="H9864" t="n">
        <v>0</v>
      </c>
      <c r="I9864" t="n">
        <v>0</v>
      </c>
      <c r="J9864" t="n">
        <v>0</v>
      </c>
      <c r="K9864" t="n">
        <v>0</v>
      </c>
      <c r="L9864" t="n">
        <v>0</v>
      </c>
      <c r="M9864" t="n">
        <v>0</v>
      </c>
      <c r="N9864" t="n">
        <v>0</v>
      </c>
      <c r="O9864" t="n">
        <v>0</v>
      </c>
      <c r="P9864" t="n">
        <v>0</v>
      </c>
      <c r="Q9864" t="n">
        <v>0</v>
      </c>
      <c r="R9864" s="2" t="inlineStr"/>
    </row>
    <row r="9865" ht="15" customHeight="1">
      <c r="A9865" t="inlineStr">
        <is>
          <t>A 50824-2022</t>
        </is>
      </c>
      <c r="B9865" s="1" t="n">
        <v>44862</v>
      </c>
      <c r="C9865" s="1" t="n">
        <v>46093</v>
      </c>
      <c r="D9865" t="inlineStr">
        <is>
          <t>VÄSTERNORRLANDS LÄN</t>
        </is>
      </c>
      <c r="E9865" t="inlineStr">
        <is>
          <t>SUNDSVALL</t>
        </is>
      </c>
      <c r="G9865" t="n">
        <v>0.8</v>
      </c>
      <c r="H9865" t="n">
        <v>0</v>
      </c>
      <c r="I9865" t="n">
        <v>0</v>
      </c>
      <c r="J9865" t="n">
        <v>0</v>
      </c>
      <c r="K9865" t="n">
        <v>0</v>
      </c>
      <c r="L9865" t="n">
        <v>0</v>
      </c>
      <c r="M9865" t="n">
        <v>0</v>
      </c>
      <c r="N9865" t="n">
        <v>0</v>
      </c>
      <c r="O9865" t="n">
        <v>0</v>
      </c>
      <c r="P9865" t="n">
        <v>0</v>
      </c>
      <c r="Q9865" t="n">
        <v>0</v>
      </c>
      <c r="R9865" s="2" t="inlineStr"/>
    </row>
    <row r="9866" ht="15" customHeight="1">
      <c r="A9866" t="inlineStr">
        <is>
          <t>A 4531-2026</t>
        </is>
      </c>
      <c r="B9866" s="1" t="n">
        <v>46046</v>
      </c>
      <c r="C9866" s="1" t="n">
        <v>46093</v>
      </c>
      <c r="D9866" t="inlineStr">
        <is>
          <t>VÄSTERNORRLANDS LÄN</t>
        </is>
      </c>
      <c r="E9866" t="inlineStr">
        <is>
          <t>KRAMFORS</t>
        </is>
      </c>
      <c r="G9866" t="n">
        <v>10.2</v>
      </c>
      <c r="H9866" t="n">
        <v>0</v>
      </c>
      <c r="I9866" t="n">
        <v>0</v>
      </c>
      <c r="J9866" t="n">
        <v>0</v>
      </c>
      <c r="K9866" t="n">
        <v>0</v>
      </c>
      <c r="L9866" t="n">
        <v>0</v>
      </c>
      <c r="M9866" t="n">
        <v>0</v>
      </c>
      <c r="N9866" t="n">
        <v>0</v>
      </c>
      <c r="O9866" t="n">
        <v>0</v>
      </c>
      <c r="P9866" t="n">
        <v>0</v>
      </c>
      <c r="Q9866" t="n">
        <v>0</v>
      </c>
      <c r="R9866" s="2" t="inlineStr"/>
    </row>
    <row r="9867" ht="15" customHeight="1">
      <c r="A9867" t="inlineStr">
        <is>
          <t>A 63645-2025</t>
        </is>
      </c>
      <c r="B9867" s="1" t="n">
        <v>46014.42739583334</v>
      </c>
      <c r="C9867" s="1" t="n">
        <v>46093</v>
      </c>
      <c r="D9867" t="inlineStr">
        <is>
          <t>VÄSTERNORRLANDS LÄN</t>
        </is>
      </c>
      <c r="E9867" t="inlineStr">
        <is>
          <t>KRAMFORS</t>
        </is>
      </c>
      <c r="G9867" t="n">
        <v>4.1</v>
      </c>
      <c r="H9867" t="n">
        <v>0</v>
      </c>
      <c r="I9867" t="n">
        <v>0</v>
      </c>
      <c r="J9867" t="n">
        <v>0</v>
      </c>
      <c r="K9867" t="n">
        <v>0</v>
      </c>
      <c r="L9867" t="n">
        <v>0</v>
      </c>
      <c r="M9867" t="n">
        <v>0</v>
      </c>
      <c r="N9867" t="n">
        <v>0</v>
      </c>
      <c r="O9867" t="n">
        <v>0</v>
      </c>
      <c r="P9867" t="n">
        <v>0</v>
      </c>
      <c r="Q9867" t="n">
        <v>0</v>
      </c>
      <c r="R9867" s="2" t="inlineStr"/>
    </row>
    <row r="9868" ht="15" customHeight="1">
      <c r="A9868" t="inlineStr">
        <is>
          <t>A 63504-2025</t>
        </is>
      </c>
      <c r="B9868" s="1" t="n">
        <v>46013.49018518518</v>
      </c>
      <c r="C9868" s="1" t="n">
        <v>46093</v>
      </c>
      <c r="D9868" t="inlineStr">
        <is>
          <t>VÄSTERNORRLANDS LÄN</t>
        </is>
      </c>
      <c r="E9868" t="inlineStr">
        <is>
          <t>TIMRÅ</t>
        </is>
      </c>
      <c r="G9868" t="n">
        <v>2.4</v>
      </c>
      <c r="H9868" t="n">
        <v>0</v>
      </c>
      <c r="I9868" t="n">
        <v>0</v>
      </c>
      <c r="J9868" t="n">
        <v>0</v>
      </c>
      <c r="K9868" t="n">
        <v>0</v>
      </c>
      <c r="L9868" t="n">
        <v>0</v>
      </c>
      <c r="M9868" t="n">
        <v>0</v>
      </c>
      <c r="N9868" t="n">
        <v>0</v>
      </c>
      <c r="O9868" t="n">
        <v>0</v>
      </c>
      <c r="P9868" t="n">
        <v>0</v>
      </c>
      <c r="Q9868" t="n">
        <v>0</v>
      </c>
      <c r="R9868" s="2" t="inlineStr"/>
    </row>
    <row r="9869" ht="15" customHeight="1">
      <c r="A9869" t="inlineStr">
        <is>
          <t>A 63505-2025</t>
        </is>
      </c>
      <c r="B9869" s="1" t="n">
        <v>46013.49020833334</v>
      </c>
      <c r="C9869" s="1" t="n">
        <v>46093</v>
      </c>
      <c r="D9869" t="inlineStr">
        <is>
          <t>VÄSTERNORRLANDS LÄN</t>
        </is>
      </c>
      <c r="E9869" t="inlineStr">
        <is>
          <t>TIMRÅ</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6418-2026</t>
        </is>
      </c>
      <c r="B9870" s="1" t="n">
        <v>46055.69087962963</v>
      </c>
      <c r="C9870" s="1" t="n">
        <v>46093</v>
      </c>
      <c r="D9870" t="inlineStr">
        <is>
          <t>VÄSTERNORRLANDS LÄN</t>
        </is>
      </c>
      <c r="E9870" t="inlineStr">
        <is>
          <t>HÄRNÖSAND</t>
        </is>
      </c>
      <c r="G9870" t="n">
        <v>3.4</v>
      </c>
      <c r="H9870" t="n">
        <v>0</v>
      </c>
      <c r="I9870" t="n">
        <v>0</v>
      </c>
      <c r="J9870" t="n">
        <v>0</v>
      </c>
      <c r="K9870" t="n">
        <v>0</v>
      </c>
      <c r="L9870" t="n">
        <v>0</v>
      </c>
      <c r="M9870" t="n">
        <v>0</v>
      </c>
      <c r="N9870" t="n">
        <v>0</v>
      </c>
      <c r="O9870" t="n">
        <v>0</v>
      </c>
      <c r="P9870" t="n">
        <v>0</v>
      </c>
      <c r="Q9870" t="n">
        <v>0</v>
      </c>
      <c r="R9870" s="2" t="inlineStr"/>
    </row>
    <row r="9871" ht="15" customHeight="1">
      <c r="A9871" t="inlineStr">
        <is>
          <t>A 59787-2022</t>
        </is>
      </c>
      <c r="B9871" s="1" t="n">
        <v>44908</v>
      </c>
      <c r="C9871" s="1" t="n">
        <v>46093</v>
      </c>
      <c r="D9871" t="inlineStr">
        <is>
          <t>VÄSTERNORRLANDS LÄN</t>
        </is>
      </c>
      <c r="E9871" t="inlineStr">
        <is>
          <t>ÖRNSKÖLDSVIK</t>
        </is>
      </c>
      <c r="G9871" t="n">
        <v>2.3</v>
      </c>
      <c r="H9871" t="n">
        <v>0</v>
      </c>
      <c r="I9871" t="n">
        <v>0</v>
      </c>
      <c r="J9871" t="n">
        <v>0</v>
      </c>
      <c r="K9871" t="n">
        <v>0</v>
      </c>
      <c r="L9871" t="n">
        <v>0</v>
      </c>
      <c r="M9871" t="n">
        <v>0</v>
      </c>
      <c r="N9871" t="n">
        <v>0</v>
      </c>
      <c r="O9871" t="n">
        <v>0</v>
      </c>
      <c r="P9871" t="n">
        <v>0</v>
      </c>
      <c r="Q9871" t="n">
        <v>0</v>
      </c>
      <c r="R9871" s="2" t="inlineStr"/>
    </row>
    <row r="9872" ht="15" customHeight="1">
      <c r="A9872" t="inlineStr">
        <is>
          <t>A 10970-2023</t>
        </is>
      </c>
      <c r="B9872" s="1" t="n">
        <v>44985</v>
      </c>
      <c r="C9872" s="1" t="n">
        <v>46093</v>
      </c>
      <c r="D9872" t="inlineStr">
        <is>
          <t>VÄSTERNORRLANDS LÄN</t>
        </is>
      </c>
      <c r="E9872" t="inlineStr">
        <is>
          <t>ÖRNSKÖLDSVIK</t>
        </is>
      </c>
      <c r="G9872" t="n">
        <v>4.5</v>
      </c>
      <c r="H9872" t="n">
        <v>0</v>
      </c>
      <c r="I9872" t="n">
        <v>0</v>
      </c>
      <c r="J9872" t="n">
        <v>0</v>
      </c>
      <c r="K9872" t="n">
        <v>0</v>
      </c>
      <c r="L9872" t="n">
        <v>0</v>
      </c>
      <c r="M9872" t="n">
        <v>0</v>
      </c>
      <c r="N9872" t="n">
        <v>0</v>
      </c>
      <c r="O9872" t="n">
        <v>0</v>
      </c>
      <c r="P9872" t="n">
        <v>0</v>
      </c>
      <c r="Q9872" t="n">
        <v>0</v>
      </c>
      <c r="R9872" s="2" t="inlineStr"/>
    </row>
    <row r="9873" ht="15" customHeight="1">
      <c r="A9873" t="inlineStr">
        <is>
          <t>A 63677-2025</t>
        </is>
      </c>
      <c r="B9873" s="1" t="n">
        <v>46014.48986111111</v>
      </c>
      <c r="C9873" s="1" t="n">
        <v>46093</v>
      </c>
      <c r="D9873" t="inlineStr">
        <is>
          <t>VÄSTERNORRLANDS LÄN</t>
        </is>
      </c>
      <c r="E9873" t="inlineStr">
        <is>
          <t>SOLLEFTEÅ</t>
        </is>
      </c>
      <c r="G9873" t="n">
        <v>0.8</v>
      </c>
      <c r="H9873" t="n">
        <v>0</v>
      </c>
      <c r="I9873" t="n">
        <v>0</v>
      </c>
      <c r="J9873" t="n">
        <v>0</v>
      </c>
      <c r="K9873" t="n">
        <v>0</v>
      </c>
      <c r="L9873" t="n">
        <v>0</v>
      </c>
      <c r="M9873" t="n">
        <v>0</v>
      </c>
      <c r="N9873" t="n">
        <v>0</v>
      </c>
      <c r="O9873" t="n">
        <v>0</v>
      </c>
      <c r="P9873" t="n">
        <v>0</v>
      </c>
      <c r="Q9873" t="n">
        <v>0</v>
      </c>
      <c r="R9873" s="2" t="inlineStr"/>
    </row>
    <row r="9874" ht="15" customHeight="1">
      <c r="A9874" t="inlineStr">
        <is>
          <t>A 57591-2022</t>
        </is>
      </c>
      <c r="B9874" s="1" t="n">
        <v>44896.97834490741</v>
      </c>
      <c r="C9874" s="1" t="n">
        <v>46093</v>
      </c>
      <c r="D9874" t="inlineStr">
        <is>
          <t>VÄSTERNORRLANDS LÄN</t>
        </is>
      </c>
      <c r="E9874" t="inlineStr">
        <is>
          <t>ÅNGE</t>
        </is>
      </c>
      <c r="F9874" t="inlineStr">
        <is>
          <t>SCA</t>
        </is>
      </c>
      <c r="G9874" t="n">
        <v>0.9</v>
      </c>
      <c r="H9874" t="n">
        <v>0</v>
      </c>
      <c r="I9874" t="n">
        <v>0</v>
      </c>
      <c r="J9874" t="n">
        <v>0</v>
      </c>
      <c r="K9874" t="n">
        <v>0</v>
      </c>
      <c r="L9874" t="n">
        <v>0</v>
      </c>
      <c r="M9874" t="n">
        <v>0</v>
      </c>
      <c r="N9874" t="n">
        <v>0</v>
      </c>
      <c r="O9874" t="n">
        <v>0</v>
      </c>
      <c r="P9874" t="n">
        <v>0</v>
      </c>
      <c r="Q9874" t="n">
        <v>0</v>
      </c>
      <c r="R9874" s="2" t="inlineStr"/>
    </row>
    <row r="9875" ht="15" customHeight="1">
      <c r="A9875" t="inlineStr">
        <is>
          <t>A 63681-2025</t>
        </is>
      </c>
      <c r="B9875" s="1" t="n">
        <v>46014.51079861111</v>
      </c>
      <c r="C9875" s="1" t="n">
        <v>46093</v>
      </c>
      <c r="D9875" t="inlineStr">
        <is>
          <t>VÄSTERNORRLANDS LÄN</t>
        </is>
      </c>
      <c r="E9875" t="inlineStr">
        <is>
          <t>SUNDSVALL</t>
        </is>
      </c>
      <c r="G9875" t="n">
        <v>4.5</v>
      </c>
      <c r="H9875" t="n">
        <v>0</v>
      </c>
      <c r="I9875" t="n">
        <v>0</v>
      </c>
      <c r="J9875" t="n">
        <v>0</v>
      </c>
      <c r="K9875" t="n">
        <v>0</v>
      </c>
      <c r="L9875" t="n">
        <v>0</v>
      </c>
      <c r="M9875" t="n">
        <v>0</v>
      </c>
      <c r="N9875" t="n">
        <v>0</v>
      </c>
      <c r="O9875" t="n">
        <v>0</v>
      </c>
      <c r="P9875" t="n">
        <v>0</v>
      </c>
      <c r="Q9875" t="n">
        <v>0</v>
      </c>
      <c r="R9875" s="2" t="inlineStr"/>
    </row>
    <row r="9876" ht="15" customHeight="1">
      <c r="A9876" t="inlineStr">
        <is>
          <t>A 39754-2024</t>
        </is>
      </c>
      <c r="B9876" s="1" t="n">
        <v>45552.67739583334</v>
      </c>
      <c r="C9876" s="1" t="n">
        <v>46093</v>
      </c>
      <c r="D9876" t="inlineStr">
        <is>
          <t>VÄSTERNORRLANDS LÄN</t>
        </is>
      </c>
      <c r="E9876" t="inlineStr">
        <is>
          <t>SUNDSVALL</t>
        </is>
      </c>
      <c r="F9876" t="inlineStr">
        <is>
          <t>SCA</t>
        </is>
      </c>
      <c r="G9876" t="n">
        <v>1.2</v>
      </c>
      <c r="H9876" t="n">
        <v>0</v>
      </c>
      <c r="I9876" t="n">
        <v>0</v>
      </c>
      <c r="J9876" t="n">
        <v>0</v>
      </c>
      <c r="K9876" t="n">
        <v>0</v>
      </c>
      <c r="L9876" t="n">
        <v>0</v>
      </c>
      <c r="M9876" t="n">
        <v>0</v>
      </c>
      <c r="N9876" t="n">
        <v>0</v>
      </c>
      <c r="O9876" t="n">
        <v>0</v>
      </c>
      <c r="P9876" t="n">
        <v>0</v>
      </c>
      <c r="Q9876" t="n">
        <v>0</v>
      </c>
      <c r="R9876" s="2" t="inlineStr"/>
    </row>
    <row r="9877" ht="15" customHeight="1">
      <c r="A9877" t="inlineStr">
        <is>
          <t>A 54972-2023</t>
        </is>
      </c>
      <c r="B9877" s="1" t="n">
        <v>45236.92770833334</v>
      </c>
      <c r="C9877" s="1" t="n">
        <v>46093</v>
      </c>
      <c r="D9877" t="inlineStr">
        <is>
          <t>VÄSTERNORRLANDS LÄN</t>
        </is>
      </c>
      <c r="E9877" t="inlineStr">
        <is>
          <t>KRAMFORS</t>
        </is>
      </c>
      <c r="G9877" t="n">
        <v>5.5</v>
      </c>
      <c r="H9877" t="n">
        <v>0</v>
      </c>
      <c r="I9877" t="n">
        <v>0</v>
      </c>
      <c r="J9877" t="n">
        <v>0</v>
      </c>
      <c r="K9877" t="n">
        <v>0</v>
      </c>
      <c r="L9877" t="n">
        <v>0</v>
      </c>
      <c r="M9877" t="n">
        <v>0</v>
      </c>
      <c r="N9877" t="n">
        <v>0</v>
      </c>
      <c r="O9877" t="n">
        <v>0</v>
      </c>
      <c r="P9877" t="n">
        <v>0</v>
      </c>
      <c r="Q9877" t="n">
        <v>0</v>
      </c>
      <c r="R9877" s="2" t="inlineStr"/>
    </row>
    <row r="9878" ht="15" customHeight="1">
      <c r="A9878" t="inlineStr">
        <is>
          <t>A 63412-2025</t>
        </is>
      </c>
      <c r="B9878" s="1" t="n">
        <v>46013.31016203704</v>
      </c>
      <c r="C9878" s="1" t="n">
        <v>46093</v>
      </c>
      <c r="D9878" t="inlineStr">
        <is>
          <t>VÄSTERNORRLANDS LÄN</t>
        </is>
      </c>
      <c r="E9878" t="inlineStr">
        <is>
          <t>SOLLEFTEÅ</t>
        </is>
      </c>
      <c r="G9878" t="n">
        <v>10.8</v>
      </c>
      <c r="H9878" t="n">
        <v>0</v>
      </c>
      <c r="I9878" t="n">
        <v>0</v>
      </c>
      <c r="J9878" t="n">
        <v>0</v>
      </c>
      <c r="K9878" t="n">
        <v>0</v>
      </c>
      <c r="L9878" t="n">
        <v>0</v>
      </c>
      <c r="M9878" t="n">
        <v>0</v>
      </c>
      <c r="N9878" t="n">
        <v>0</v>
      </c>
      <c r="O9878" t="n">
        <v>0</v>
      </c>
      <c r="P9878" t="n">
        <v>0</v>
      </c>
      <c r="Q9878" t="n">
        <v>0</v>
      </c>
      <c r="R9878" s="2" t="inlineStr"/>
    </row>
    <row r="9879" ht="15" customHeight="1">
      <c r="A9879" t="inlineStr">
        <is>
          <t>A 54485-2024</t>
        </is>
      </c>
      <c r="B9879" s="1" t="n">
        <v>45617.5625462963</v>
      </c>
      <c r="C9879" s="1" t="n">
        <v>46093</v>
      </c>
      <c r="D9879" t="inlineStr">
        <is>
          <t>VÄSTERNORRLANDS LÄN</t>
        </is>
      </c>
      <c r="E9879" t="inlineStr">
        <is>
          <t>SOLLEFTEÅ</t>
        </is>
      </c>
      <c r="G9879" t="n">
        <v>0.7</v>
      </c>
      <c r="H9879" t="n">
        <v>0</v>
      </c>
      <c r="I9879" t="n">
        <v>0</v>
      </c>
      <c r="J9879" t="n">
        <v>0</v>
      </c>
      <c r="K9879" t="n">
        <v>0</v>
      </c>
      <c r="L9879" t="n">
        <v>0</v>
      </c>
      <c r="M9879" t="n">
        <v>0</v>
      </c>
      <c r="N9879" t="n">
        <v>0</v>
      </c>
      <c r="O9879" t="n">
        <v>0</v>
      </c>
      <c r="P9879" t="n">
        <v>0</v>
      </c>
      <c r="Q9879" t="n">
        <v>0</v>
      </c>
      <c r="R9879" s="2" t="inlineStr"/>
    </row>
    <row r="9880" ht="15" customHeight="1">
      <c r="A9880" t="inlineStr">
        <is>
          <t>A 16137-2025</t>
        </is>
      </c>
      <c r="B9880" s="1" t="n">
        <v>45750.44899305556</v>
      </c>
      <c r="C9880" s="1" t="n">
        <v>46093</v>
      </c>
      <c r="D9880" t="inlineStr">
        <is>
          <t>VÄSTERNORRLANDS LÄN</t>
        </is>
      </c>
      <c r="E9880" t="inlineStr">
        <is>
          <t>ÖRNSKÖLDSVIK</t>
        </is>
      </c>
      <c r="F9880" t="inlineStr">
        <is>
          <t>Holmen skog AB</t>
        </is>
      </c>
      <c r="G9880" t="n">
        <v>5</v>
      </c>
      <c r="H9880" t="n">
        <v>0</v>
      </c>
      <c r="I9880" t="n">
        <v>0</v>
      </c>
      <c r="J9880" t="n">
        <v>0</v>
      </c>
      <c r="K9880" t="n">
        <v>0</v>
      </c>
      <c r="L9880" t="n">
        <v>0</v>
      </c>
      <c r="M9880" t="n">
        <v>0</v>
      </c>
      <c r="N9880" t="n">
        <v>0</v>
      </c>
      <c r="O9880" t="n">
        <v>0</v>
      </c>
      <c r="P9880" t="n">
        <v>0</v>
      </c>
      <c r="Q9880" t="n">
        <v>0</v>
      </c>
      <c r="R9880" s="2" t="inlineStr"/>
    </row>
    <row r="9881" ht="15" customHeight="1">
      <c r="A9881" t="inlineStr">
        <is>
          <t>A 44796-2025</t>
        </is>
      </c>
      <c r="B9881" s="1" t="n">
        <v>45918.34475694445</v>
      </c>
      <c r="C9881" s="1" t="n">
        <v>46093</v>
      </c>
      <c r="D9881" t="inlineStr">
        <is>
          <t>VÄSTERNORRLANDS LÄN</t>
        </is>
      </c>
      <c r="E9881" t="inlineStr">
        <is>
          <t>TIMRÅ</t>
        </is>
      </c>
      <c r="F9881" t="inlineStr">
        <is>
          <t>SCA</t>
        </is>
      </c>
      <c r="G9881" t="n">
        <v>3.1</v>
      </c>
      <c r="H9881" t="n">
        <v>0</v>
      </c>
      <c r="I9881" t="n">
        <v>0</v>
      </c>
      <c r="J9881" t="n">
        <v>0</v>
      </c>
      <c r="K9881" t="n">
        <v>0</v>
      </c>
      <c r="L9881" t="n">
        <v>0</v>
      </c>
      <c r="M9881" t="n">
        <v>0</v>
      </c>
      <c r="N9881" t="n">
        <v>0</v>
      </c>
      <c r="O9881" t="n">
        <v>0</v>
      </c>
      <c r="P9881" t="n">
        <v>0</v>
      </c>
      <c r="Q9881" t="n">
        <v>0</v>
      </c>
      <c r="R9881" s="2" t="inlineStr"/>
    </row>
    <row r="9882" ht="15" customHeight="1">
      <c r="A9882" t="inlineStr">
        <is>
          <t>A 7986-2025</t>
        </is>
      </c>
      <c r="B9882" s="1" t="n">
        <v>45707.47594907408</v>
      </c>
      <c r="C9882" s="1" t="n">
        <v>46093</v>
      </c>
      <c r="D9882" t="inlineStr">
        <is>
          <t>VÄSTERNORRLANDS LÄN</t>
        </is>
      </c>
      <c r="E9882" t="inlineStr">
        <is>
          <t>KRAMFORS</t>
        </is>
      </c>
      <c r="G9882" t="n">
        <v>8.800000000000001</v>
      </c>
      <c r="H9882" t="n">
        <v>0</v>
      </c>
      <c r="I9882" t="n">
        <v>0</v>
      </c>
      <c r="J9882" t="n">
        <v>0</v>
      </c>
      <c r="K9882" t="n">
        <v>0</v>
      </c>
      <c r="L9882" t="n">
        <v>0</v>
      </c>
      <c r="M9882" t="n">
        <v>0</v>
      </c>
      <c r="N9882" t="n">
        <v>0</v>
      </c>
      <c r="O9882" t="n">
        <v>0</v>
      </c>
      <c r="P9882" t="n">
        <v>0</v>
      </c>
      <c r="Q9882" t="n">
        <v>0</v>
      </c>
      <c r="R9882" s="2" t="inlineStr"/>
    </row>
    <row r="9883" ht="15" customHeight="1">
      <c r="A9883" t="inlineStr">
        <is>
          <t>A 63569-2025</t>
        </is>
      </c>
      <c r="B9883" s="1" t="n">
        <v>46013.63601851852</v>
      </c>
      <c r="C9883" s="1" t="n">
        <v>46093</v>
      </c>
      <c r="D9883" t="inlineStr">
        <is>
          <t>VÄSTERNORRLANDS LÄN</t>
        </is>
      </c>
      <c r="E9883" t="inlineStr">
        <is>
          <t>SOLLEFTEÅ</t>
        </is>
      </c>
      <c r="G9883" t="n">
        <v>20.6</v>
      </c>
      <c r="H9883" t="n">
        <v>0</v>
      </c>
      <c r="I9883" t="n">
        <v>0</v>
      </c>
      <c r="J9883" t="n">
        <v>0</v>
      </c>
      <c r="K9883" t="n">
        <v>0</v>
      </c>
      <c r="L9883" t="n">
        <v>0</v>
      </c>
      <c r="M9883" t="n">
        <v>0</v>
      </c>
      <c r="N9883" t="n">
        <v>0</v>
      </c>
      <c r="O9883" t="n">
        <v>0</v>
      </c>
      <c r="P9883" t="n">
        <v>0</v>
      </c>
      <c r="Q9883" t="n">
        <v>0</v>
      </c>
      <c r="R9883" s="2" t="inlineStr"/>
    </row>
    <row r="9884" ht="15" customHeight="1">
      <c r="A9884" t="inlineStr">
        <is>
          <t>A 63582-2025</t>
        </is>
      </c>
      <c r="B9884" s="1" t="n">
        <v>46013.75100694445</v>
      </c>
      <c r="C9884" s="1" t="n">
        <v>46093</v>
      </c>
      <c r="D9884" t="inlineStr">
        <is>
          <t>VÄSTERNORRLANDS LÄN</t>
        </is>
      </c>
      <c r="E9884" t="inlineStr">
        <is>
          <t>SUNDSVALL</t>
        </is>
      </c>
      <c r="G9884" t="n">
        <v>1.8</v>
      </c>
      <c r="H9884" t="n">
        <v>0</v>
      </c>
      <c r="I9884" t="n">
        <v>0</v>
      </c>
      <c r="J9884" t="n">
        <v>0</v>
      </c>
      <c r="K9884" t="n">
        <v>0</v>
      </c>
      <c r="L9884" t="n">
        <v>0</v>
      </c>
      <c r="M9884" t="n">
        <v>0</v>
      </c>
      <c r="N9884" t="n">
        <v>0</v>
      </c>
      <c r="O9884" t="n">
        <v>0</v>
      </c>
      <c r="P9884" t="n">
        <v>0</v>
      </c>
      <c r="Q9884" t="n">
        <v>0</v>
      </c>
      <c r="R9884" s="2" t="inlineStr"/>
    </row>
    <row r="9885" ht="15" customHeight="1">
      <c r="A9885" t="inlineStr">
        <is>
          <t>A 54578-2022</t>
        </is>
      </c>
      <c r="B9885" s="1" t="n">
        <v>44882</v>
      </c>
      <c r="C9885" s="1" t="n">
        <v>46093</v>
      </c>
      <c r="D9885" t="inlineStr">
        <is>
          <t>VÄSTERNORRLANDS LÄN</t>
        </is>
      </c>
      <c r="E9885" t="inlineStr">
        <is>
          <t>SUNDSVALL</t>
        </is>
      </c>
      <c r="G9885" t="n">
        <v>2.8</v>
      </c>
      <c r="H9885" t="n">
        <v>0</v>
      </c>
      <c r="I9885" t="n">
        <v>0</v>
      </c>
      <c r="J9885" t="n">
        <v>0</v>
      </c>
      <c r="K9885" t="n">
        <v>0</v>
      </c>
      <c r="L9885" t="n">
        <v>0</v>
      </c>
      <c r="M9885" t="n">
        <v>0</v>
      </c>
      <c r="N9885" t="n">
        <v>0</v>
      </c>
      <c r="O9885" t="n">
        <v>0</v>
      </c>
      <c r="P9885" t="n">
        <v>0</v>
      </c>
      <c r="Q9885" t="n">
        <v>0</v>
      </c>
      <c r="R9885" s="2" t="inlineStr"/>
    </row>
    <row r="9886" ht="15" customHeight="1">
      <c r="A9886" t="inlineStr">
        <is>
          <t>A 63480-2025</t>
        </is>
      </c>
      <c r="B9886" s="1" t="n">
        <v>46013.45840277777</v>
      </c>
      <c r="C9886" s="1" t="n">
        <v>46093</v>
      </c>
      <c r="D9886" t="inlineStr">
        <is>
          <t>VÄSTERNORRLANDS LÄN</t>
        </is>
      </c>
      <c r="E9886" t="inlineStr">
        <is>
          <t>ÖRNSKÖLDSVIK</t>
        </is>
      </c>
      <c r="G9886" t="n">
        <v>6.4</v>
      </c>
      <c r="H9886" t="n">
        <v>0</v>
      </c>
      <c r="I9886" t="n">
        <v>0</v>
      </c>
      <c r="J9886" t="n">
        <v>0</v>
      </c>
      <c r="K9886" t="n">
        <v>0</v>
      </c>
      <c r="L9886" t="n">
        <v>0</v>
      </c>
      <c r="M9886" t="n">
        <v>0</v>
      </c>
      <c r="N9886" t="n">
        <v>0</v>
      </c>
      <c r="O9886" t="n">
        <v>0</v>
      </c>
      <c r="P9886" t="n">
        <v>0</v>
      </c>
      <c r="Q9886" t="n">
        <v>0</v>
      </c>
      <c r="R9886" s="2" t="inlineStr"/>
    </row>
    <row r="9887" ht="15" customHeight="1">
      <c r="A9887" t="inlineStr">
        <is>
          <t>A 6468-2026</t>
        </is>
      </c>
      <c r="B9887" s="1" t="n">
        <v>46056.32021990741</v>
      </c>
      <c r="C9887" s="1" t="n">
        <v>46093</v>
      </c>
      <c r="D9887" t="inlineStr">
        <is>
          <t>VÄSTERNORRLANDS LÄN</t>
        </is>
      </c>
      <c r="E9887" t="inlineStr">
        <is>
          <t>SOLLEFTEÅ</t>
        </is>
      </c>
      <c r="G9887" t="n">
        <v>1.8</v>
      </c>
      <c r="H9887" t="n">
        <v>0</v>
      </c>
      <c r="I9887" t="n">
        <v>0</v>
      </c>
      <c r="J9887" t="n">
        <v>0</v>
      </c>
      <c r="K9887" t="n">
        <v>0</v>
      </c>
      <c r="L9887" t="n">
        <v>0</v>
      </c>
      <c r="M9887" t="n">
        <v>0</v>
      </c>
      <c r="N9887" t="n">
        <v>0</v>
      </c>
      <c r="O9887" t="n">
        <v>0</v>
      </c>
      <c r="P9887" t="n">
        <v>0</v>
      </c>
      <c r="Q9887" t="n">
        <v>0</v>
      </c>
      <c r="R9887" s="2" t="inlineStr"/>
    </row>
    <row r="9888" ht="15" customHeight="1">
      <c r="A9888" t="inlineStr">
        <is>
          <t>A 63497-2025</t>
        </is>
      </c>
      <c r="B9888" s="1" t="n">
        <v>46013.48436342592</v>
      </c>
      <c r="C9888" s="1" t="n">
        <v>46093</v>
      </c>
      <c r="D9888" t="inlineStr">
        <is>
          <t>VÄSTERNORRLANDS LÄN</t>
        </is>
      </c>
      <c r="E9888" t="inlineStr">
        <is>
          <t>ÖRNSKÖLDSVIK</t>
        </is>
      </c>
      <c r="G9888" t="n">
        <v>4.4</v>
      </c>
      <c r="H9888" t="n">
        <v>0</v>
      </c>
      <c r="I9888" t="n">
        <v>0</v>
      </c>
      <c r="J9888" t="n">
        <v>0</v>
      </c>
      <c r="K9888" t="n">
        <v>0</v>
      </c>
      <c r="L9888" t="n">
        <v>0</v>
      </c>
      <c r="M9888" t="n">
        <v>0</v>
      </c>
      <c r="N9888" t="n">
        <v>0</v>
      </c>
      <c r="O9888" t="n">
        <v>0</v>
      </c>
      <c r="P9888" t="n">
        <v>0</v>
      </c>
      <c r="Q9888" t="n">
        <v>0</v>
      </c>
      <c r="R9888" s="2" t="inlineStr"/>
    </row>
    <row r="9889" ht="15" customHeight="1">
      <c r="A9889" t="inlineStr">
        <is>
          <t>A 63513-2025</t>
        </is>
      </c>
      <c r="B9889" s="1" t="n">
        <v>46013.49686342593</v>
      </c>
      <c r="C9889" s="1" t="n">
        <v>46093</v>
      </c>
      <c r="D9889" t="inlineStr">
        <is>
          <t>VÄSTERNORRLANDS LÄN</t>
        </is>
      </c>
      <c r="E9889" t="inlineStr">
        <is>
          <t>ÖRNSKÖLDSVIK</t>
        </is>
      </c>
      <c r="G9889" t="n">
        <v>2</v>
      </c>
      <c r="H9889" t="n">
        <v>0</v>
      </c>
      <c r="I9889" t="n">
        <v>0</v>
      </c>
      <c r="J9889" t="n">
        <v>0</v>
      </c>
      <c r="K9889" t="n">
        <v>0</v>
      </c>
      <c r="L9889" t="n">
        <v>0</v>
      </c>
      <c r="M9889" t="n">
        <v>0</v>
      </c>
      <c r="N9889" t="n">
        <v>0</v>
      </c>
      <c r="O9889" t="n">
        <v>0</v>
      </c>
      <c r="P9889" t="n">
        <v>0</v>
      </c>
      <c r="Q9889" t="n">
        <v>0</v>
      </c>
      <c r="R9889" s="2" t="inlineStr"/>
    </row>
    <row r="9890" ht="15" customHeight="1">
      <c r="A9890" t="inlineStr">
        <is>
          <t>A 63517-2025</t>
        </is>
      </c>
      <c r="B9890" s="1" t="n">
        <v>46013</v>
      </c>
      <c r="C9890" s="1" t="n">
        <v>46093</v>
      </c>
      <c r="D9890" t="inlineStr">
        <is>
          <t>VÄSTERNORRLANDS LÄN</t>
        </is>
      </c>
      <c r="E9890" t="inlineStr">
        <is>
          <t>TIMRÅ</t>
        </is>
      </c>
      <c r="G9890" t="n">
        <v>3.6</v>
      </c>
      <c r="H9890" t="n">
        <v>0</v>
      </c>
      <c r="I9890" t="n">
        <v>0</v>
      </c>
      <c r="J9890" t="n">
        <v>0</v>
      </c>
      <c r="K9890" t="n">
        <v>0</v>
      </c>
      <c r="L9890" t="n">
        <v>0</v>
      </c>
      <c r="M9890" t="n">
        <v>0</v>
      </c>
      <c r="N9890" t="n">
        <v>0</v>
      </c>
      <c r="O9890" t="n">
        <v>0</v>
      </c>
      <c r="P9890" t="n">
        <v>0</v>
      </c>
      <c r="Q9890" t="n">
        <v>0</v>
      </c>
      <c r="R9890" s="2" t="inlineStr"/>
    </row>
    <row r="9891" ht="15" customHeight="1">
      <c r="A9891" t="inlineStr">
        <is>
          <t>A 17044-2023</t>
        </is>
      </c>
      <c r="B9891" s="1" t="n">
        <v>45034</v>
      </c>
      <c r="C9891" s="1" t="n">
        <v>46093</v>
      </c>
      <c r="D9891" t="inlineStr">
        <is>
          <t>VÄSTERNORRLANDS LÄN</t>
        </is>
      </c>
      <c r="E9891" t="inlineStr">
        <is>
          <t>ÅNGE</t>
        </is>
      </c>
      <c r="G9891" t="n">
        <v>0.5</v>
      </c>
      <c r="H9891" t="n">
        <v>0</v>
      </c>
      <c r="I9891" t="n">
        <v>0</v>
      </c>
      <c r="J9891" t="n">
        <v>0</v>
      </c>
      <c r="K9891" t="n">
        <v>0</v>
      </c>
      <c r="L9891" t="n">
        <v>0</v>
      </c>
      <c r="M9891" t="n">
        <v>0</v>
      </c>
      <c r="N9891" t="n">
        <v>0</v>
      </c>
      <c r="O9891" t="n">
        <v>0</v>
      </c>
      <c r="P9891" t="n">
        <v>0</v>
      </c>
      <c r="Q9891" t="n">
        <v>0</v>
      </c>
      <c r="R9891" s="2" t="inlineStr"/>
    </row>
    <row r="9892" ht="15" customHeight="1">
      <c r="A9892" t="inlineStr">
        <is>
          <t>A 31873-2024</t>
        </is>
      </c>
      <c r="B9892" s="1" t="n">
        <v>45509.92914351852</v>
      </c>
      <c r="C9892" s="1" t="n">
        <v>46093</v>
      </c>
      <c r="D9892" t="inlineStr">
        <is>
          <t>VÄSTERNORRLANDS LÄN</t>
        </is>
      </c>
      <c r="E9892" t="inlineStr">
        <is>
          <t>ÖRNSKÖLDSVIK</t>
        </is>
      </c>
      <c r="G9892" t="n">
        <v>3.2</v>
      </c>
      <c r="H9892" t="n">
        <v>0</v>
      </c>
      <c r="I9892" t="n">
        <v>0</v>
      </c>
      <c r="J9892" t="n">
        <v>0</v>
      </c>
      <c r="K9892" t="n">
        <v>0</v>
      </c>
      <c r="L9892" t="n">
        <v>0</v>
      </c>
      <c r="M9892" t="n">
        <v>0</v>
      </c>
      <c r="N9892" t="n">
        <v>0</v>
      </c>
      <c r="O9892" t="n">
        <v>0</v>
      </c>
      <c r="P9892" t="n">
        <v>0</v>
      </c>
      <c r="Q9892" t="n">
        <v>0</v>
      </c>
      <c r="R9892" s="2" t="inlineStr"/>
    </row>
    <row r="9893" ht="15" customHeight="1">
      <c r="A9893" t="inlineStr">
        <is>
          <t>A 63568-2025</t>
        </is>
      </c>
      <c r="B9893" s="1" t="n">
        <v>46013.63594907407</v>
      </c>
      <c r="C9893" s="1" t="n">
        <v>46093</v>
      </c>
      <c r="D9893" t="inlineStr">
        <is>
          <t>VÄSTERNORRLANDS LÄN</t>
        </is>
      </c>
      <c r="E9893" t="inlineStr">
        <is>
          <t>SOLLEFTEÅ</t>
        </is>
      </c>
      <c r="G9893" t="n">
        <v>1.9</v>
      </c>
      <c r="H9893" t="n">
        <v>0</v>
      </c>
      <c r="I9893" t="n">
        <v>0</v>
      </c>
      <c r="J9893" t="n">
        <v>0</v>
      </c>
      <c r="K9893" t="n">
        <v>0</v>
      </c>
      <c r="L9893" t="n">
        <v>0</v>
      </c>
      <c r="M9893" t="n">
        <v>0</v>
      </c>
      <c r="N9893" t="n">
        <v>0</v>
      </c>
      <c r="O9893" t="n">
        <v>0</v>
      </c>
      <c r="P9893" t="n">
        <v>0</v>
      </c>
      <c r="Q9893" t="n">
        <v>0</v>
      </c>
      <c r="R9893" s="2" t="inlineStr"/>
    </row>
    <row r="9894" ht="15" customHeight="1">
      <c r="A9894" t="inlineStr">
        <is>
          <t>A 4092-2024</t>
        </is>
      </c>
      <c r="B9894" s="1" t="n">
        <v>45323.62694444445</v>
      </c>
      <c r="C9894" s="1" t="n">
        <v>46093</v>
      </c>
      <c r="D9894" t="inlineStr">
        <is>
          <t>VÄSTERNORRLANDS LÄN</t>
        </is>
      </c>
      <c r="E9894" t="inlineStr">
        <is>
          <t>HÄRNÖSAND</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63580-2025</t>
        </is>
      </c>
      <c r="B9895" s="1" t="n">
        <v>46013.69832175926</v>
      </c>
      <c r="C9895" s="1" t="n">
        <v>46093</v>
      </c>
      <c r="D9895" t="inlineStr">
        <is>
          <t>VÄSTERNORRLANDS LÄN</t>
        </is>
      </c>
      <c r="E9895" t="inlineStr">
        <is>
          <t>SUNDSVALL</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63581-2025</t>
        </is>
      </c>
      <c r="B9896" s="1" t="n">
        <v>46013.74611111111</v>
      </c>
      <c r="C9896" s="1" t="n">
        <v>46093</v>
      </c>
      <c r="D9896" t="inlineStr">
        <is>
          <t>VÄSTERNORRLANDS LÄN</t>
        </is>
      </c>
      <c r="E9896" t="inlineStr">
        <is>
          <t>SUNDSVALL</t>
        </is>
      </c>
      <c r="G9896" t="n">
        <v>0.8</v>
      </c>
      <c r="H9896" t="n">
        <v>0</v>
      </c>
      <c r="I9896" t="n">
        <v>0</v>
      </c>
      <c r="J9896" t="n">
        <v>0</v>
      </c>
      <c r="K9896" t="n">
        <v>0</v>
      </c>
      <c r="L9896" t="n">
        <v>0</v>
      </c>
      <c r="M9896" t="n">
        <v>0</v>
      </c>
      <c r="N9896" t="n">
        <v>0</v>
      </c>
      <c r="O9896" t="n">
        <v>0</v>
      </c>
      <c r="P9896" t="n">
        <v>0</v>
      </c>
      <c r="Q9896" t="n">
        <v>0</v>
      </c>
      <c r="R9896" s="2" t="inlineStr"/>
    </row>
    <row r="9897" ht="15" customHeight="1">
      <c r="A9897" t="inlineStr">
        <is>
          <t>A 6615-2026</t>
        </is>
      </c>
      <c r="B9897" s="1" t="n">
        <v>46056.49050925926</v>
      </c>
      <c r="C9897" s="1" t="n">
        <v>46093</v>
      </c>
      <c r="D9897" t="inlineStr">
        <is>
          <t>VÄSTERNORRLANDS LÄN</t>
        </is>
      </c>
      <c r="E9897" t="inlineStr">
        <is>
          <t>SOLLEFTEÅ</t>
        </is>
      </c>
      <c r="F9897" t="inlineStr">
        <is>
          <t>SCA</t>
        </is>
      </c>
      <c r="G9897" t="n">
        <v>0.6</v>
      </c>
      <c r="H9897" t="n">
        <v>0</v>
      </c>
      <c r="I9897" t="n">
        <v>0</v>
      </c>
      <c r="J9897" t="n">
        <v>0</v>
      </c>
      <c r="K9897" t="n">
        <v>0</v>
      </c>
      <c r="L9897" t="n">
        <v>0</v>
      </c>
      <c r="M9897" t="n">
        <v>0</v>
      </c>
      <c r="N9897" t="n">
        <v>0</v>
      </c>
      <c r="O9897" t="n">
        <v>0</v>
      </c>
      <c r="P9897" t="n">
        <v>0</v>
      </c>
      <c r="Q9897" t="n">
        <v>0</v>
      </c>
      <c r="R9897" s="2" t="inlineStr"/>
    </row>
    <row r="9898" ht="15" customHeight="1">
      <c r="A9898" t="inlineStr">
        <is>
          <t>A 48001-2024</t>
        </is>
      </c>
      <c r="B9898" s="1" t="n">
        <v>45589.44826388889</v>
      </c>
      <c r="C9898" s="1" t="n">
        <v>46093</v>
      </c>
      <c r="D9898" t="inlineStr">
        <is>
          <t>VÄSTERNORRLANDS LÄN</t>
        </is>
      </c>
      <c r="E9898" t="inlineStr">
        <is>
          <t>SOLLEFTEÅ</t>
        </is>
      </c>
      <c r="F9898" t="inlineStr">
        <is>
          <t>SCA</t>
        </is>
      </c>
      <c r="G9898" t="n">
        <v>7.6</v>
      </c>
      <c r="H9898" t="n">
        <v>0</v>
      </c>
      <c r="I9898" t="n">
        <v>0</v>
      </c>
      <c r="J9898" t="n">
        <v>0</v>
      </c>
      <c r="K9898" t="n">
        <v>0</v>
      </c>
      <c r="L9898" t="n">
        <v>0</v>
      </c>
      <c r="M9898" t="n">
        <v>0</v>
      </c>
      <c r="N9898" t="n">
        <v>0</v>
      </c>
      <c r="O9898" t="n">
        <v>0</v>
      </c>
      <c r="P9898" t="n">
        <v>0</v>
      </c>
      <c r="Q9898" t="n">
        <v>0</v>
      </c>
      <c r="R9898" s="2" t="inlineStr"/>
    </row>
    <row r="9899" ht="15" customHeight="1">
      <c r="A9899" t="inlineStr">
        <is>
          <t>A 42979-2024</t>
        </is>
      </c>
      <c r="B9899" s="1" t="n">
        <v>45567.37438657408</v>
      </c>
      <c r="C9899" s="1" t="n">
        <v>46093</v>
      </c>
      <c r="D9899" t="inlineStr">
        <is>
          <t>VÄSTERNORRLANDS LÄN</t>
        </is>
      </c>
      <c r="E9899" t="inlineStr">
        <is>
          <t>SOLLEFTEÅ</t>
        </is>
      </c>
      <c r="F9899" t="inlineStr">
        <is>
          <t>SCA</t>
        </is>
      </c>
      <c r="G9899" t="n">
        <v>1.7</v>
      </c>
      <c r="H9899" t="n">
        <v>0</v>
      </c>
      <c r="I9899" t="n">
        <v>0</v>
      </c>
      <c r="J9899" t="n">
        <v>0</v>
      </c>
      <c r="K9899" t="n">
        <v>0</v>
      </c>
      <c r="L9899" t="n">
        <v>0</v>
      </c>
      <c r="M9899" t="n">
        <v>0</v>
      </c>
      <c r="N9899" t="n">
        <v>0</v>
      </c>
      <c r="O9899" t="n">
        <v>0</v>
      </c>
      <c r="P9899" t="n">
        <v>0</v>
      </c>
      <c r="Q9899" t="n">
        <v>0</v>
      </c>
      <c r="R9899" s="2" t="inlineStr"/>
    </row>
    <row r="9900" ht="15" customHeight="1">
      <c r="A9900" t="inlineStr">
        <is>
          <t>A 63471-2025</t>
        </is>
      </c>
      <c r="B9900" s="1" t="n">
        <v>46013.43973379629</v>
      </c>
      <c r="C9900" s="1" t="n">
        <v>46093</v>
      </c>
      <c r="D9900" t="inlineStr">
        <is>
          <t>VÄSTERNORRLANDS LÄN</t>
        </is>
      </c>
      <c r="E9900" t="inlineStr">
        <is>
          <t>SOLLEFTEÅ</t>
        </is>
      </c>
      <c r="G9900" t="n">
        <v>2.2</v>
      </c>
      <c r="H9900" t="n">
        <v>0</v>
      </c>
      <c r="I9900" t="n">
        <v>0</v>
      </c>
      <c r="J9900" t="n">
        <v>0</v>
      </c>
      <c r="K9900" t="n">
        <v>0</v>
      </c>
      <c r="L9900" t="n">
        <v>0</v>
      </c>
      <c r="M9900" t="n">
        <v>0</v>
      </c>
      <c r="N9900" t="n">
        <v>0</v>
      </c>
      <c r="O9900" t="n">
        <v>0</v>
      </c>
      <c r="P9900" t="n">
        <v>0</v>
      </c>
      <c r="Q9900" t="n">
        <v>0</v>
      </c>
      <c r="R9900" s="2" t="inlineStr"/>
    </row>
    <row r="9901" ht="15" customHeight="1">
      <c r="A9901" t="inlineStr">
        <is>
          <t>A 63485-2025</t>
        </is>
      </c>
      <c r="B9901" s="1" t="n">
        <v>46013.46825231481</v>
      </c>
      <c r="C9901" s="1" t="n">
        <v>46093</v>
      </c>
      <c r="D9901" t="inlineStr">
        <is>
          <t>VÄSTERNORRLANDS LÄN</t>
        </is>
      </c>
      <c r="E9901" t="inlineStr">
        <is>
          <t>SUNDSVALL</t>
        </is>
      </c>
      <c r="G9901" t="n">
        <v>6</v>
      </c>
      <c r="H9901" t="n">
        <v>0</v>
      </c>
      <c r="I9901" t="n">
        <v>0</v>
      </c>
      <c r="J9901" t="n">
        <v>0</v>
      </c>
      <c r="K9901" t="n">
        <v>0</v>
      </c>
      <c r="L9901" t="n">
        <v>0</v>
      </c>
      <c r="M9901" t="n">
        <v>0</v>
      </c>
      <c r="N9901" t="n">
        <v>0</v>
      </c>
      <c r="O9901" t="n">
        <v>0</v>
      </c>
      <c r="P9901" t="n">
        <v>0</v>
      </c>
      <c r="Q9901" t="n">
        <v>0</v>
      </c>
      <c r="R9901" s="2" t="inlineStr"/>
    </row>
    <row r="9902" ht="15" customHeight="1">
      <c r="A9902" t="inlineStr">
        <is>
          <t>A 63489-2025</t>
        </is>
      </c>
      <c r="B9902" s="1" t="n">
        <v>46013.469375</v>
      </c>
      <c r="C9902" s="1" t="n">
        <v>46093</v>
      </c>
      <c r="D9902" t="inlineStr">
        <is>
          <t>VÄSTERNORRLANDS LÄN</t>
        </is>
      </c>
      <c r="E9902" t="inlineStr">
        <is>
          <t>SUNDSVALL</t>
        </is>
      </c>
      <c r="G9902" t="n">
        <v>3.7</v>
      </c>
      <c r="H9902" t="n">
        <v>0</v>
      </c>
      <c r="I9902" t="n">
        <v>0</v>
      </c>
      <c r="J9902" t="n">
        <v>0</v>
      </c>
      <c r="K9902" t="n">
        <v>0</v>
      </c>
      <c r="L9902" t="n">
        <v>0</v>
      </c>
      <c r="M9902" t="n">
        <v>0</v>
      </c>
      <c r="N9902" t="n">
        <v>0</v>
      </c>
      <c r="O9902" t="n">
        <v>0</v>
      </c>
      <c r="P9902" t="n">
        <v>0</v>
      </c>
      <c r="Q9902" t="n">
        <v>0</v>
      </c>
      <c r="R9902" s="2" t="inlineStr"/>
    </row>
    <row r="9903" ht="15" customHeight="1">
      <c r="A9903" t="inlineStr">
        <is>
          <t>A 43242-2023</t>
        </is>
      </c>
      <c r="B9903" s="1" t="n">
        <v>45183</v>
      </c>
      <c r="C9903" s="1" t="n">
        <v>46093</v>
      </c>
      <c r="D9903" t="inlineStr">
        <is>
          <t>VÄSTERNORRLANDS LÄN</t>
        </is>
      </c>
      <c r="E9903" t="inlineStr">
        <is>
          <t>ÖRNSKÖLDSVIK</t>
        </is>
      </c>
      <c r="G9903" t="n">
        <v>3.3</v>
      </c>
      <c r="H9903" t="n">
        <v>0</v>
      </c>
      <c r="I9903" t="n">
        <v>0</v>
      </c>
      <c r="J9903" t="n">
        <v>0</v>
      </c>
      <c r="K9903" t="n">
        <v>0</v>
      </c>
      <c r="L9903" t="n">
        <v>0</v>
      </c>
      <c r="M9903" t="n">
        <v>0</v>
      </c>
      <c r="N9903" t="n">
        <v>0</v>
      </c>
      <c r="O9903" t="n">
        <v>0</v>
      </c>
      <c r="P9903" t="n">
        <v>0</v>
      </c>
      <c r="Q9903" t="n">
        <v>0</v>
      </c>
      <c r="R9903" s="2" t="inlineStr"/>
    </row>
    <row r="9904" ht="15" customHeight="1">
      <c r="A9904" t="inlineStr">
        <is>
          <t>A 56979-2024</t>
        </is>
      </c>
      <c r="B9904" s="1" t="n">
        <v>45628.68003472222</v>
      </c>
      <c r="C9904" s="1" t="n">
        <v>46093</v>
      </c>
      <c r="D9904" t="inlineStr">
        <is>
          <t>VÄSTERNORRLANDS LÄN</t>
        </is>
      </c>
      <c r="E9904" t="inlineStr">
        <is>
          <t>ÖRNSKÖLDSVIK</t>
        </is>
      </c>
      <c r="G9904" t="n">
        <v>11.6</v>
      </c>
      <c r="H9904" t="n">
        <v>0</v>
      </c>
      <c r="I9904" t="n">
        <v>0</v>
      </c>
      <c r="J9904" t="n">
        <v>0</v>
      </c>
      <c r="K9904" t="n">
        <v>0</v>
      </c>
      <c r="L9904" t="n">
        <v>0</v>
      </c>
      <c r="M9904" t="n">
        <v>0</v>
      </c>
      <c r="N9904" t="n">
        <v>0</v>
      </c>
      <c r="O9904" t="n">
        <v>0</v>
      </c>
      <c r="P9904" t="n">
        <v>0</v>
      </c>
      <c r="Q9904" t="n">
        <v>0</v>
      </c>
      <c r="R9904" s="2" t="inlineStr"/>
    </row>
    <row r="9905" ht="15" customHeight="1">
      <c r="A9905" t="inlineStr">
        <is>
          <t>A 56991-2024</t>
        </is>
      </c>
      <c r="B9905" s="1" t="n">
        <v>45628.70171296296</v>
      </c>
      <c r="C9905" s="1" t="n">
        <v>46093</v>
      </c>
      <c r="D9905" t="inlineStr">
        <is>
          <t>VÄSTERNORRLANDS LÄN</t>
        </is>
      </c>
      <c r="E9905" t="inlineStr">
        <is>
          <t>ÖRNSKÖLDSVIK</t>
        </is>
      </c>
      <c r="G9905" t="n">
        <v>4.9</v>
      </c>
      <c r="H9905" t="n">
        <v>0</v>
      </c>
      <c r="I9905" t="n">
        <v>0</v>
      </c>
      <c r="J9905" t="n">
        <v>0</v>
      </c>
      <c r="K9905" t="n">
        <v>0</v>
      </c>
      <c r="L9905" t="n">
        <v>0</v>
      </c>
      <c r="M9905" t="n">
        <v>0</v>
      </c>
      <c r="N9905" t="n">
        <v>0</v>
      </c>
      <c r="O9905" t="n">
        <v>0</v>
      </c>
      <c r="P9905" t="n">
        <v>0</v>
      </c>
      <c r="Q9905" t="n">
        <v>0</v>
      </c>
      <c r="R9905" s="2" t="inlineStr"/>
    </row>
    <row r="9906" ht="15" customHeight="1">
      <c r="A9906" t="inlineStr">
        <is>
          <t>A 6526-2026</t>
        </is>
      </c>
      <c r="B9906" s="1" t="n">
        <v>46056</v>
      </c>
      <c r="C9906" s="1" t="n">
        <v>46093</v>
      </c>
      <c r="D9906" t="inlineStr">
        <is>
          <t>VÄSTERNORRLANDS LÄN</t>
        </is>
      </c>
      <c r="E9906" t="inlineStr">
        <is>
          <t>TIMRÅ</t>
        </is>
      </c>
      <c r="G9906" t="n">
        <v>2.3</v>
      </c>
      <c r="H9906" t="n">
        <v>0</v>
      </c>
      <c r="I9906" t="n">
        <v>0</v>
      </c>
      <c r="J9906" t="n">
        <v>0</v>
      </c>
      <c r="K9906" t="n">
        <v>0</v>
      </c>
      <c r="L9906" t="n">
        <v>0</v>
      </c>
      <c r="M9906" t="n">
        <v>0</v>
      </c>
      <c r="N9906" t="n">
        <v>0</v>
      </c>
      <c r="O9906" t="n">
        <v>0</v>
      </c>
      <c r="P9906" t="n">
        <v>0</v>
      </c>
      <c r="Q9906" t="n">
        <v>0</v>
      </c>
      <c r="R9906" s="2" t="inlineStr"/>
    </row>
    <row r="9907" ht="15" customHeight="1">
      <c r="A9907" t="inlineStr">
        <is>
          <t>A 6527-2026</t>
        </is>
      </c>
      <c r="B9907" s="1" t="n">
        <v>46056</v>
      </c>
      <c r="C9907" s="1" t="n">
        <v>46093</v>
      </c>
      <c r="D9907" t="inlineStr">
        <is>
          <t>VÄSTERNORRLANDS LÄN</t>
        </is>
      </c>
      <c r="E9907" t="inlineStr">
        <is>
          <t>TIMRÅ</t>
        </is>
      </c>
      <c r="G9907" t="n">
        <v>6</v>
      </c>
      <c r="H9907" t="n">
        <v>0</v>
      </c>
      <c r="I9907" t="n">
        <v>0</v>
      </c>
      <c r="J9907" t="n">
        <v>0</v>
      </c>
      <c r="K9907" t="n">
        <v>0</v>
      </c>
      <c r="L9907" t="n">
        <v>0</v>
      </c>
      <c r="M9907" t="n">
        <v>0</v>
      </c>
      <c r="N9907" t="n">
        <v>0</v>
      </c>
      <c r="O9907" t="n">
        <v>0</v>
      </c>
      <c r="P9907" t="n">
        <v>0</v>
      </c>
      <c r="Q9907" t="n">
        <v>0</v>
      </c>
      <c r="R9907" s="2" t="inlineStr"/>
    </row>
    <row r="9908" ht="15" customHeight="1">
      <c r="A9908" t="inlineStr">
        <is>
          <t>A 6548-2026</t>
        </is>
      </c>
      <c r="B9908" s="1" t="n">
        <v>46056</v>
      </c>
      <c r="C9908" s="1" t="n">
        <v>46093</v>
      </c>
      <c r="D9908" t="inlineStr">
        <is>
          <t>VÄSTERNORRLANDS LÄN</t>
        </is>
      </c>
      <c r="E9908" t="inlineStr">
        <is>
          <t>TIMRÅ</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45500-2024</t>
        </is>
      </c>
      <c r="B9909" s="1" t="n">
        <v>45578.34388888889</v>
      </c>
      <c r="C9909" s="1" t="n">
        <v>46093</v>
      </c>
      <c r="D9909" t="inlineStr">
        <is>
          <t>VÄSTERNORRLANDS LÄN</t>
        </is>
      </c>
      <c r="E9909" t="inlineStr">
        <is>
          <t>HÄRNÖSAND</t>
        </is>
      </c>
      <c r="G9909" t="n">
        <v>1.9</v>
      </c>
      <c r="H9909" t="n">
        <v>0</v>
      </c>
      <c r="I9909" t="n">
        <v>0</v>
      </c>
      <c r="J9909" t="n">
        <v>0</v>
      </c>
      <c r="K9909" t="n">
        <v>0</v>
      </c>
      <c r="L9909" t="n">
        <v>0</v>
      </c>
      <c r="M9909" t="n">
        <v>0</v>
      </c>
      <c r="N9909" t="n">
        <v>0</v>
      </c>
      <c r="O9909" t="n">
        <v>0</v>
      </c>
      <c r="P9909" t="n">
        <v>0</v>
      </c>
      <c r="Q9909" t="n">
        <v>0</v>
      </c>
      <c r="R9909" s="2" t="inlineStr"/>
    </row>
    <row r="9910" ht="15" customHeight="1">
      <c r="A9910" t="inlineStr">
        <is>
          <t>A 45504-2024</t>
        </is>
      </c>
      <c r="B9910" s="1" t="n">
        <v>45578.40445601852</v>
      </c>
      <c r="C9910" s="1" t="n">
        <v>46093</v>
      </c>
      <c r="D9910" t="inlineStr">
        <is>
          <t>VÄSTERNORRLANDS LÄN</t>
        </is>
      </c>
      <c r="E9910" t="inlineStr">
        <is>
          <t>HÄRNÖSAND</t>
        </is>
      </c>
      <c r="G9910" t="n">
        <v>10.3</v>
      </c>
      <c r="H9910" t="n">
        <v>0</v>
      </c>
      <c r="I9910" t="n">
        <v>0</v>
      </c>
      <c r="J9910" t="n">
        <v>0</v>
      </c>
      <c r="K9910" t="n">
        <v>0</v>
      </c>
      <c r="L9910" t="n">
        <v>0</v>
      </c>
      <c r="M9910" t="n">
        <v>0</v>
      </c>
      <c r="N9910" t="n">
        <v>0</v>
      </c>
      <c r="O9910" t="n">
        <v>0</v>
      </c>
      <c r="P9910" t="n">
        <v>0</v>
      </c>
      <c r="Q9910" t="n">
        <v>0</v>
      </c>
      <c r="R9910" s="2" t="inlineStr"/>
    </row>
    <row r="9911" ht="15" customHeight="1">
      <c r="A9911" t="inlineStr">
        <is>
          <t>A 7184-2026</t>
        </is>
      </c>
      <c r="B9911" s="1" t="n">
        <v>46058.49020833334</v>
      </c>
      <c r="C9911" s="1" t="n">
        <v>46093</v>
      </c>
      <c r="D9911" t="inlineStr">
        <is>
          <t>VÄSTERNORRLANDS LÄN</t>
        </is>
      </c>
      <c r="E9911" t="inlineStr">
        <is>
          <t>ÅNGE</t>
        </is>
      </c>
      <c r="F9911" t="inlineStr">
        <is>
          <t>SCA</t>
        </is>
      </c>
      <c r="G9911" t="n">
        <v>19.3</v>
      </c>
      <c r="H9911" t="n">
        <v>0</v>
      </c>
      <c r="I9911" t="n">
        <v>0</v>
      </c>
      <c r="J9911" t="n">
        <v>0</v>
      </c>
      <c r="K9911" t="n">
        <v>0</v>
      </c>
      <c r="L9911" t="n">
        <v>0</v>
      </c>
      <c r="M9911" t="n">
        <v>0</v>
      </c>
      <c r="N9911" t="n">
        <v>0</v>
      </c>
      <c r="O9911" t="n">
        <v>0</v>
      </c>
      <c r="P9911" t="n">
        <v>0</v>
      </c>
      <c r="Q9911" t="n">
        <v>0</v>
      </c>
      <c r="R9911" s="2" t="inlineStr"/>
    </row>
    <row r="9912" ht="15" customHeight="1">
      <c r="A9912" t="inlineStr">
        <is>
          <t>A 36247-2024</t>
        </is>
      </c>
      <c r="B9912" s="1" t="n">
        <v>45534.52898148148</v>
      </c>
      <c r="C9912" s="1" t="n">
        <v>46093</v>
      </c>
      <c r="D9912" t="inlineStr">
        <is>
          <t>VÄSTERNORRLANDS LÄN</t>
        </is>
      </c>
      <c r="E9912" t="inlineStr">
        <is>
          <t>ÖRNSKÖLDSVIK</t>
        </is>
      </c>
      <c r="G9912" t="n">
        <v>1.5</v>
      </c>
      <c r="H9912" t="n">
        <v>0</v>
      </c>
      <c r="I9912" t="n">
        <v>0</v>
      </c>
      <c r="J9912" t="n">
        <v>0</v>
      </c>
      <c r="K9912" t="n">
        <v>0</v>
      </c>
      <c r="L9912" t="n">
        <v>0</v>
      </c>
      <c r="M9912" t="n">
        <v>0</v>
      </c>
      <c r="N9912" t="n">
        <v>0</v>
      </c>
      <c r="O9912" t="n">
        <v>0</v>
      </c>
      <c r="P9912" t="n">
        <v>0</v>
      </c>
      <c r="Q9912" t="n">
        <v>0</v>
      </c>
      <c r="R9912" s="2" t="inlineStr"/>
    </row>
    <row r="9913" ht="15" customHeight="1">
      <c r="A9913" t="inlineStr">
        <is>
          <t>A 6525-2026</t>
        </is>
      </c>
      <c r="B9913" s="1" t="n">
        <v>46056</v>
      </c>
      <c r="C9913" s="1" t="n">
        <v>46093</v>
      </c>
      <c r="D9913" t="inlineStr">
        <is>
          <t>VÄSTERNORRLANDS LÄN</t>
        </is>
      </c>
      <c r="E9913" t="inlineStr">
        <is>
          <t>TIMRÅ</t>
        </is>
      </c>
      <c r="G9913" t="n">
        <v>0.7</v>
      </c>
      <c r="H9913" t="n">
        <v>0</v>
      </c>
      <c r="I9913" t="n">
        <v>0</v>
      </c>
      <c r="J9913" t="n">
        <v>0</v>
      </c>
      <c r="K9913" t="n">
        <v>0</v>
      </c>
      <c r="L9913" t="n">
        <v>0</v>
      </c>
      <c r="M9913" t="n">
        <v>0</v>
      </c>
      <c r="N9913" t="n">
        <v>0</v>
      </c>
      <c r="O9913" t="n">
        <v>0</v>
      </c>
      <c r="P9913" t="n">
        <v>0</v>
      </c>
      <c r="Q9913" t="n">
        <v>0</v>
      </c>
      <c r="R9913" s="2" t="inlineStr"/>
    </row>
    <row r="9914" ht="15" customHeight="1">
      <c r="A9914" t="inlineStr">
        <is>
          <t>A 6550-2026</t>
        </is>
      </c>
      <c r="B9914" s="1" t="n">
        <v>46056</v>
      </c>
      <c r="C9914" s="1" t="n">
        <v>46093</v>
      </c>
      <c r="D9914" t="inlineStr">
        <is>
          <t>VÄSTERNORRLANDS LÄN</t>
        </is>
      </c>
      <c r="E9914" t="inlineStr">
        <is>
          <t>TIMRÅ</t>
        </is>
      </c>
      <c r="G9914" t="n">
        <v>1.5</v>
      </c>
      <c r="H9914" t="n">
        <v>0</v>
      </c>
      <c r="I9914" t="n">
        <v>0</v>
      </c>
      <c r="J9914" t="n">
        <v>0</v>
      </c>
      <c r="K9914" t="n">
        <v>0</v>
      </c>
      <c r="L9914" t="n">
        <v>0</v>
      </c>
      <c r="M9914" t="n">
        <v>0</v>
      </c>
      <c r="N9914" t="n">
        <v>0</v>
      </c>
      <c r="O9914" t="n">
        <v>0</v>
      </c>
      <c r="P9914" t="n">
        <v>0</v>
      </c>
      <c r="Q9914" t="n">
        <v>0</v>
      </c>
      <c r="R9914" s="2" t="inlineStr"/>
    </row>
    <row r="9915" ht="15" customHeight="1">
      <c r="A9915" t="inlineStr">
        <is>
          <t>A 60960-2025</t>
        </is>
      </c>
      <c r="B9915" s="1" t="n">
        <v>45999</v>
      </c>
      <c r="C9915" s="1" t="n">
        <v>46093</v>
      </c>
      <c r="D9915" t="inlineStr">
        <is>
          <t>VÄSTERNORRLANDS LÄN</t>
        </is>
      </c>
      <c r="E9915" t="inlineStr">
        <is>
          <t>ÅNGE</t>
        </is>
      </c>
      <c r="G9915" t="n">
        <v>3.3</v>
      </c>
      <c r="H9915" t="n">
        <v>0</v>
      </c>
      <c r="I9915" t="n">
        <v>0</v>
      </c>
      <c r="J9915" t="n">
        <v>0</v>
      </c>
      <c r="K9915" t="n">
        <v>0</v>
      </c>
      <c r="L9915" t="n">
        <v>0</v>
      </c>
      <c r="M9915" t="n">
        <v>0</v>
      </c>
      <c r="N9915" t="n">
        <v>0</v>
      </c>
      <c r="O9915" t="n">
        <v>0</v>
      </c>
      <c r="P9915" t="n">
        <v>0</v>
      </c>
      <c r="Q9915" t="n">
        <v>0</v>
      </c>
      <c r="R9915" s="2" t="inlineStr"/>
    </row>
    <row r="9916" ht="15" customHeight="1">
      <c r="A9916" t="inlineStr">
        <is>
          <t>A 52183-2025</t>
        </is>
      </c>
      <c r="B9916" s="1" t="n">
        <v>45953</v>
      </c>
      <c r="C9916" s="1" t="n">
        <v>46093</v>
      </c>
      <c r="D9916" t="inlineStr">
        <is>
          <t>VÄSTERNORRLANDS LÄN</t>
        </is>
      </c>
      <c r="E9916" t="inlineStr">
        <is>
          <t>ÖRNSKÖLDSVIK</t>
        </is>
      </c>
      <c r="G9916" t="n">
        <v>11.3</v>
      </c>
      <c r="H9916" t="n">
        <v>0</v>
      </c>
      <c r="I9916" t="n">
        <v>0</v>
      </c>
      <c r="J9916" t="n">
        <v>0</v>
      </c>
      <c r="K9916" t="n">
        <v>0</v>
      </c>
      <c r="L9916" t="n">
        <v>0</v>
      </c>
      <c r="M9916" t="n">
        <v>0</v>
      </c>
      <c r="N9916" t="n">
        <v>0</v>
      </c>
      <c r="O9916" t="n">
        <v>0</v>
      </c>
      <c r="P9916" t="n">
        <v>0</v>
      </c>
      <c r="Q9916" t="n">
        <v>0</v>
      </c>
      <c r="R9916" s="2" t="inlineStr"/>
    </row>
    <row r="9917" ht="15" customHeight="1">
      <c r="A9917" t="inlineStr">
        <is>
          <t>A 13907-2025</t>
        </is>
      </c>
      <c r="B9917" s="1" t="n">
        <v>45737.64099537037</v>
      </c>
      <c r="C9917" s="1" t="n">
        <v>46093</v>
      </c>
      <c r="D9917" t="inlineStr">
        <is>
          <t>VÄSTERNORRLANDS LÄN</t>
        </is>
      </c>
      <c r="E9917" t="inlineStr">
        <is>
          <t>ÖRNSKÖLDSVIK</t>
        </is>
      </c>
      <c r="G9917" t="n">
        <v>3.6</v>
      </c>
      <c r="H9917" t="n">
        <v>0</v>
      </c>
      <c r="I9917" t="n">
        <v>0</v>
      </c>
      <c r="J9917" t="n">
        <v>0</v>
      </c>
      <c r="K9917" t="n">
        <v>0</v>
      </c>
      <c r="L9917" t="n">
        <v>0</v>
      </c>
      <c r="M9917" t="n">
        <v>0</v>
      </c>
      <c r="N9917" t="n">
        <v>0</v>
      </c>
      <c r="O9917" t="n">
        <v>0</v>
      </c>
      <c r="P9917" t="n">
        <v>0</v>
      </c>
      <c r="Q9917" t="n">
        <v>0</v>
      </c>
      <c r="R9917" s="2" t="inlineStr"/>
    </row>
    <row r="9918" ht="15" customHeight="1">
      <c r="A9918" t="inlineStr">
        <is>
          <t>A 33667-2023</t>
        </is>
      </c>
      <c r="B9918" s="1" t="n">
        <v>45119</v>
      </c>
      <c r="C9918" s="1" t="n">
        <v>46093</v>
      </c>
      <c r="D9918" t="inlineStr">
        <is>
          <t>VÄSTERNORRLANDS LÄN</t>
        </is>
      </c>
      <c r="E9918" t="inlineStr">
        <is>
          <t>TIMRÅ</t>
        </is>
      </c>
      <c r="G9918" t="n">
        <v>4.8</v>
      </c>
      <c r="H9918" t="n">
        <v>0</v>
      </c>
      <c r="I9918" t="n">
        <v>0</v>
      </c>
      <c r="J9918" t="n">
        <v>0</v>
      </c>
      <c r="K9918" t="n">
        <v>0</v>
      </c>
      <c r="L9918" t="n">
        <v>0</v>
      </c>
      <c r="M9918" t="n">
        <v>0</v>
      </c>
      <c r="N9918" t="n">
        <v>0</v>
      </c>
      <c r="O9918" t="n">
        <v>0</v>
      </c>
      <c r="P9918" t="n">
        <v>0</v>
      </c>
      <c r="Q9918" t="n">
        <v>0</v>
      </c>
      <c r="R9918" s="2" t="inlineStr"/>
    </row>
    <row r="9919" ht="15" customHeight="1">
      <c r="A9919" t="inlineStr">
        <is>
          <t>A 7106-2026</t>
        </is>
      </c>
      <c r="B9919" s="1" t="n">
        <v>46058.36534722222</v>
      </c>
      <c r="C9919" s="1" t="n">
        <v>46093</v>
      </c>
      <c r="D9919" t="inlineStr">
        <is>
          <t>VÄSTERNORRLANDS LÄN</t>
        </is>
      </c>
      <c r="E9919" t="inlineStr">
        <is>
          <t>ÖRNSKÖLDSVIK</t>
        </is>
      </c>
      <c r="G9919" t="n">
        <v>3</v>
      </c>
      <c r="H9919" t="n">
        <v>0</v>
      </c>
      <c r="I9919" t="n">
        <v>0</v>
      </c>
      <c r="J9919" t="n">
        <v>0</v>
      </c>
      <c r="K9919" t="n">
        <v>0</v>
      </c>
      <c r="L9919" t="n">
        <v>0</v>
      </c>
      <c r="M9919" t="n">
        <v>0</v>
      </c>
      <c r="N9919" t="n">
        <v>0</v>
      </c>
      <c r="O9919" t="n">
        <v>0</v>
      </c>
      <c r="P9919" t="n">
        <v>0</v>
      </c>
      <c r="Q9919" t="n">
        <v>0</v>
      </c>
      <c r="R9919" s="2" t="inlineStr"/>
    </row>
    <row r="9920" ht="15" customHeight="1">
      <c r="A9920" t="inlineStr">
        <is>
          <t>A 6918-2026</t>
        </is>
      </c>
      <c r="B9920" s="1" t="n">
        <v>46057.53289351852</v>
      </c>
      <c r="C9920" s="1" t="n">
        <v>46093</v>
      </c>
      <c r="D9920" t="inlineStr">
        <is>
          <t>VÄSTERNORRLANDS LÄN</t>
        </is>
      </c>
      <c r="E9920" t="inlineStr">
        <is>
          <t>ÅNGE</t>
        </is>
      </c>
      <c r="G9920" t="n">
        <v>0.8</v>
      </c>
      <c r="H9920" t="n">
        <v>0</v>
      </c>
      <c r="I9920" t="n">
        <v>0</v>
      </c>
      <c r="J9920" t="n">
        <v>0</v>
      </c>
      <c r="K9920" t="n">
        <v>0</v>
      </c>
      <c r="L9920" t="n">
        <v>0</v>
      </c>
      <c r="M9920" t="n">
        <v>0</v>
      </c>
      <c r="N9920" t="n">
        <v>0</v>
      </c>
      <c r="O9920" t="n">
        <v>0</v>
      </c>
      <c r="P9920" t="n">
        <v>0</v>
      </c>
      <c r="Q9920" t="n">
        <v>0</v>
      </c>
      <c r="R9920" s="2" t="inlineStr"/>
    </row>
    <row r="9921" ht="15" customHeight="1">
      <c r="A9921" t="inlineStr">
        <is>
          <t>A 6932-2026</t>
        </is>
      </c>
      <c r="B9921" s="1" t="n">
        <v>46057.55331018518</v>
      </c>
      <c r="C9921" s="1" t="n">
        <v>46093</v>
      </c>
      <c r="D9921" t="inlineStr">
        <is>
          <t>VÄSTERNORRLANDS LÄN</t>
        </is>
      </c>
      <c r="E9921" t="inlineStr">
        <is>
          <t>ÅNGE</t>
        </is>
      </c>
      <c r="G9921" t="n">
        <v>11.2</v>
      </c>
      <c r="H9921" t="n">
        <v>0</v>
      </c>
      <c r="I9921" t="n">
        <v>0</v>
      </c>
      <c r="J9921" t="n">
        <v>0</v>
      </c>
      <c r="K9921" t="n">
        <v>0</v>
      </c>
      <c r="L9921" t="n">
        <v>0</v>
      </c>
      <c r="M9921" t="n">
        <v>0</v>
      </c>
      <c r="N9921" t="n">
        <v>0</v>
      </c>
      <c r="O9921" t="n">
        <v>0</v>
      </c>
      <c r="P9921" t="n">
        <v>0</v>
      </c>
      <c r="Q9921" t="n">
        <v>0</v>
      </c>
      <c r="R9921" s="2" t="inlineStr"/>
    </row>
    <row r="9922" ht="15" customHeight="1">
      <c r="A9922" t="inlineStr">
        <is>
          <t>A 7016-2026</t>
        </is>
      </c>
      <c r="B9922" s="1" t="n">
        <v>46057.64766203704</v>
      </c>
      <c r="C9922" s="1" t="n">
        <v>46093</v>
      </c>
      <c r="D9922" t="inlineStr">
        <is>
          <t>VÄSTERNORRLANDS LÄN</t>
        </is>
      </c>
      <c r="E9922" t="inlineStr">
        <is>
          <t>ÅNGE</t>
        </is>
      </c>
      <c r="G9922" t="n">
        <v>1.6</v>
      </c>
      <c r="H9922" t="n">
        <v>0</v>
      </c>
      <c r="I9922" t="n">
        <v>0</v>
      </c>
      <c r="J9922" t="n">
        <v>0</v>
      </c>
      <c r="K9922" t="n">
        <v>0</v>
      </c>
      <c r="L9922" t="n">
        <v>0</v>
      </c>
      <c r="M9922" t="n">
        <v>0</v>
      </c>
      <c r="N9922" t="n">
        <v>0</v>
      </c>
      <c r="O9922" t="n">
        <v>0</v>
      </c>
      <c r="P9922" t="n">
        <v>0</v>
      </c>
      <c r="Q9922" t="n">
        <v>0</v>
      </c>
      <c r="R9922" s="2" t="inlineStr"/>
    </row>
    <row r="9923" ht="15" customHeight="1">
      <c r="A9923" t="inlineStr">
        <is>
          <t>A 7031-2026</t>
        </is>
      </c>
      <c r="B9923" s="1" t="n">
        <v>46057.67917824074</v>
      </c>
      <c r="C9923" s="1" t="n">
        <v>46093</v>
      </c>
      <c r="D9923" t="inlineStr">
        <is>
          <t>VÄSTERNORRLANDS LÄN</t>
        </is>
      </c>
      <c r="E9923" t="inlineStr">
        <is>
          <t>SUNDSVALL</t>
        </is>
      </c>
      <c r="G9923" t="n">
        <v>2.1</v>
      </c>
      <c r="H9923" t="n">
        <v>0</v>
      </c>
      <c r="I9923" t="n">
        <v>0</v>
      </c>
      <c r="J9923" t="n">
        <v>0</v>
      </c>
      <c r="K9923" t="n">
        <v>0</v>
      </c>
      <c r="L9923" t="n">
        <v>0</v>
      </c>
      <c r="M9923" t="n">
        <v>0</v>
      </c>
      <c r="N9923" t="n">
        <v>0</v>
      </c>
      <c r="O9923" t="n">
        <v>0</v>
      </c>
      <c r="P9923" t="n">
        <v>0</v>
      </c>
      <c r="Q9923" t="n">
        <v>0</v>
      </c>
      <c r="R9923" s="2" t="inlineStr"/>
    </row>
    <row r="9924" ht="15" customHeight="1">
      <c r="A9924" t="inlineStr">
        <is>
          <t>A 62091-2025</t>
        </is>
      </c>
      <c r="B9924" s="1" t="n">
        <v>46006.3859375</v>
      </c>
      <c r="C9924" s="1" t="n">
        <v>46093</v>
      </c>
      <c r="D9924" t="inlineStr">
        <is>
          <t>VÄSTERNORRLANDS LÄN</t>
        </is>
      </c>
      <c r="E9924" t="inlineStr">
        <is>
          <t>ÅNGE</t>
        </is>
      </c>
      <c r="F9924" t="inlineStr">
        <is>
          <t>SCA</t>
        </is>
      </c>
      <c r="G9924" t="n">
        <v>2.9</v>
      </c>
      <c r="H9924" t="n">
        <v>0</v>
      </c>
      <c r="I9924" t="n">
        <v>0</v>
      </c>
      <c r="J9924" t="n">
        <v>0</v>
      </c>
      <c r="K9924" t="n">
        <v>0</v>
      </c>
      <c r="L9924" t="n">
        <v>0</v>
      </c>
      <c r="M9924" t="n">
        <v>0</v>
      </c>
      <c r="N9924" t="n">
        <v>0</v>
      </c>
      <c r="O9924" t="n">
        <v>0</v>
      </c>
      <c r="P9924" t="n">
        <v>0</v>
      </c>
      <c r="Q9924" t="n">
        <v>0</v>
      </c>
      <c r="R9924" s="2" t="inlineStr"/>
    </row>
    <row r="9925" ht="15" customHeight="1">
      <c r="A9925" t="inlineStr">
        <is>
          <t>A 61716-2024</t>
        </is>
      </c>
      <c r="B9925" s="1" t="n">
        <v>45648.9</v>
      </c>
      <c r="C9925" s="1" t="n">
        <v>46093</v>
      </c>
      <c r="D9925" t="inlineStr">
        <is>
          <t>VÄSTERNORRLANDS LÄN</t>
        </is>
      </c>
      <c r="E9925" t="inlineStr">
        <is>
          <t>ÖRNSKÖLDSVIK</t>
        </is>
      </c>
      <c r="G9925" t="n">
        <v>5.3</v>
      </c>
      <c r="H9925" t="n">
        <v>0</v>
      </c>
      <c r="I9925" t="n">
        <v>0</v>
      </c>
      <c r="J9925" t="n">
        <v>0</v>
      </c>
      <c r="K9925" t="n">
        <v>0</v>
      </c>
      <c r="L9925" t="n">
        <v>0</v>
      </c>
      <c r="M9925" t="n">
        <v>0</v>
      </c>
      <c r="N9925" t="n">
        <v>0</v>
      </c>
      <c r="O9925" t="n">
        <v>0</v>
      </c>
      <c r="P9925" t="n">
        <v>0</v>
      </c>
      <c r="Q9925" t="n">
        <v>0</v>
      </c>
      <c r="R9925" s="2" t="inlineStr"/>
    </row>
    <row r="9926" ht="15" customHeight="1">
      <c r="A9926" t="inlineStr">
        <is>
          <t>A 49669-2025</t>
        </is>
      </c>
      <c r="B9926" s="1" t="n">
        <v>45939.63710648148</v>
      </c>
      <c r="C9926" s="1" t="n">
        <v>46093</v>
      </c>
      <c r="D9926" t="inlineStr">
        <is>
          <t>VÄSTERNORRLANDS LÄN</t>
        </is>
      </c>
      <c r="E9926" t="inlineStr">
        <is>
          <t>ÅNGE</t>
        </is>
      </c>
      <c r="F9926" t="inlineStr">
        <is>
          <t>SCA</t>
        </is>
      </c>
      <c r="G9926" t="n">
        <v>7.1</v>
      </c>
      <c r="H9926" t="n">
        <v>0</v>
      </c>
      <c r="I9926" t="n">
        <v>0</v>
      </c>
      <c r="J9926" t="n">
        <v>0</v>
      </c>
      <c r="K9926" t="n">
        <v>0</v>
      </c>
      <c r="L9926" t="n">
        <v>0</v>
      </c>
      <c r="M9926" t="n">
        <v>0</v>
      </c>
      <c r="N9926" t="n">
        <v>0</v>
      </c>
      <c r="O9926" t="n">
        <v>0</v>
      </c>
      <c r="P9926" t="n">
        <v>0</v>
      </c>
      <c r="Q9926" t="n">
        <v>0</v>
      </c>
      <c r="R9926" s="2" t="inlineStr"/>
    </row>
    <row r="9927" ht="15" customHeight="1">
      <c r="A9927" t="inlineStr">
        <is>
          <t>A 62092-2025</t>
        </is>
      </c>
      <c r="B9927" s="1" t="n">
        <v>46006.38613425926</v>
      </c>
      <c r="C9927" s="1" t="n">
        <v>46093</v>
      </c>
      <c r="D9927" t="inlineStr">
        <is>
          <t>VÄSTERNORRLANDS LÄN</t>
        </is>
      </c>
      <c r="E9927" t="inlineStr">
        <is>
          <t>ÅNGE</t>
        </is>
      </c>
      <c r="F9927" t="inlineStr">
        <is>
          <t>SCA</t>
        </is>
      </c>
      <c r="G9927" t="n">
        <v>16.3</v>
      </c>
      <c r="H9927" t="n">
        <v>0</v>
      </c>
      <c r="I9927" t="n">
        <v>0</v>
      </c>
      <c r="J9927" t="n">
        <v>0</v>
      </c>
      <c r="K9927" t="n">
        <v>0</v>
      </c>
      <c r="L9927" t="n">
        <v>0</v>
      </c>
      <c r="M9927" t="n">
        <v>0</v>
      </c>
      <c r="N9927" t="n">
        <v>0</v>
      </c>
      <c r="O9927" t="n">
        <v>0</v>
      </c>
      <c r="P9927" t="n">
        <v>0</v>
      </c>
      <c r="Q9927" t="n">
        <v>0</v>
      </c>
      <c r="R9927" s="2" t="inlineStr"/>
    </row>
    <row r="9928" ht="15" customHeight="1">
      <c r="A9928" t="inlineStr">
        <is>
          <t>A 54791-2024</t>
        </is>
      </c>
      <c r="B9928" s="1" t="n">
        <v>45618.49863425926</v>
      </c>
      <c r="C9928" s="1" t="n">
        <v>46093</v>
      </c>
      <c r="D9928" t="inlineStr">
        <is>
          <t>VÄSTERNORRLANDS LÄN</t>
        </is>
      </c>
      <c r="E9928" t="inlineStr">
        <is>
          <t>ÖRNSKÖLDSVIK</t>
        </is>
      </c>
      <c r="F9928" t="inlineStr">
        <is>
          <t>Holmen skog AB</t>
        </is>
      </c>
      <c r="G9928" t="n">
        <v>0.4</v>
      </c>
      <c r="H9928" t="n">
        <v>0</v>
      </c>
      <c r="I9928" t="n">
        <v>0</v>
      </c>
      <c r="J9928" t="n">
        <v>0</v>
      </c>
      <c r="K9928" t="n">
        <v>0</v>
      </c>
      <c r="L9928" t="n">
        <v>0</v>
      </c>
      <c r="M9928" t="n">
        <v>0</v>
      </c>
      <c r="N9928" t="n">
        <v>0</v>
      </c>
      <c r="O9928" t="n">
        <v>0</v>
      </c>
      <c r="P9928" t="n">
        <v>0</v>
      </c>
      <c r="Q9928" t="n">
        <v>0</v>
      </c>
      <c r="R9928" s="2" t="inlineStr"/>
    </row>
    <row r="9929" ht="15" customHeight="1">
      <c r="A9929" t="inlineStr">
        <is>
          <t>A 63698-2025</t>
        </is>
      </c>
      <c r="B9929" s="1" t="n">
        <v>46014</v>
      </c>
      <c r="C9929" s="1" t="n">
        <v>46093</v>
      </c>
      <c r="D9929" t="inlineStr">
        <is>
          <t>VÄSTERNORRLANDS LÄN</t>
        </is>
      </c>
      <c r="E9929" t="inlineStr">
        <is>
          <t>KRAMFORS</t>
        </is>
      </c>
      <c r="G9929" t="n">
        <v>2.5</v>
      </c>
      <c r="H9929" t="n">
        <v>0</v>
      </c>
      <c r="I9929" t="n">
        <v>0</v>
      </c>
      <c r="J9929" t="n">
        <v>0</v>
      </c>
      <c r="K9929" t="n">
        <v>0</v>
      </c>
      <c r="L9929" t="n">
        <v>0</v>
      </c>
      <c r="M9929" t="n">
        <v>0</v>
      </c>
      <c r="N9929" t="n">
        <v>0</v>
      </c>
      <c r="O9929" t="n">
        <v>0</v>
      </c>
      <c r="P9929" t="n">
        <v>0</v>
      </c>
      <c r="Q9929" t="n">
        <v>0</v>
      </c>
      <c r="R9929" s="2" t="inlineStr"/>
    </row>
    <row r="9930" ht="15" customHeight="1">
      <c r="A9930" t="inlineStr">
        <is>
          <t>A 63642-2025</t>
        </is>
      </c>
      <c r="B9930" s="1" t="n">
        <v>46014.41258101852</v>
      </c>
      <c r="C9930" s="1" t="n">
        <v>46093</v>
      </c>
      <c r="D9930" t="inlineStr">
        <is>
          <t>VÄSTERNORRLANDS LÄN</t>
        </is>
      </c>
      <c r="E9930" t="inlineStr">
        <is>
          <t>ÅNGE</t>
        </is>
      </c>
      <c r="G9930" t="n">
        <v>9.699999999999999</v>
      </c>
      <c r="H9930" t="n">
        <v>0</v>
      </c>
      <c r="I9930" t="n">
        <v>0</v>
      </c>
      <c r="J9930" t="n">
        <v>0</v>
      </c>
      <c r="K9930" t="n">
        <v>0</v>
      </c>
      <c r="L9930" t="n">
        <v>0</v>
      </c>
      <c r="M9930" t="n">
        <v>0</v>
      </c>
      <c r="N9930" t="n">
        <v>0</v>
      </c>
      <c r="O9930" t="n">
        <v>0</v>
      </c>
      <c r="P9930" t="n">
        <v>0</v>
      </c>
      <c r="Q9930" t="n">
        <v>0</v>
      </c>
      <c r="R9930" s="2" t="inlineStr"/>
    </row>
    <row r="9931" ht="15" customHeight="1">
      <c r="A9931" t="inlineStr">
        <is>
          <t>A 63646-2025</t>
        </is>
      </c>
      <c r="B9931" s="1" t="n">
        <v>46014.42746527777</v>
      </c>
      <c r="C9931" s="1" t="n">
        <v>46093</v>
      </c>
      <c r="D9931" t="inlineStr">
        <is>
          <t>VÄSTERNORRLANDS LÄN</t>
        </is>
      </c>
      <c r="E9931" t="inlineStr">
        <is>
          <t>SOLLEFTEÅ</t>
        </is>
      </c>
      <c r="G9931" t="n">
        <v>1.2</v>
      </c>
      <c r="H9931" t="n">
        <v>0</v>
      </c>
      <c r="I9931" t="n">
        <v>0</v>
      </c>
      <c r="J9931" t="n">
        <v>0</v>
      </c>
      <c r="K9931" t="n">
        <v>0</v>
      </c>
      <c r="L9931" t="n">
        <v>0</v>
      </c>
      <c r="M9931" t="n">
        <v>0</v>
      </c>
      <c r="N9931" t="n">
        <v>0</v>
      </c>
      <c r="O9931" t="n">
        <v>0</v>
      </c>
      <c r="P9931" t="n">
        <v>0</v>
      </c>
      <c r="Q9931" t="n">
        <v>0</v>
      </c>
      <c r="R9931" s="2" t="inlineStr"/>
    </row>
    <row r="9932" ht="15" customHeight="1">
      <c r="A9932" t="inlineStr">
        <is>
          <t>A 6883-2026</t>
        </is>
      </c>
      <c r="B9932" s="1" t="n">
        <v>46057.46607638889</v>
      </c>
      <c r="C9932" s="1" t="n">
        <v>46093</v>
      </c>
      <c r="D9932" t="inlineStr">
        <is>
          <t>VÄSTERNORRLANDS LÄN</t>
        </is>
      </c>
      <c r="E9932" t="inlineStr">
        <is>
          <t>ÅNGE</t>
        </is>
      </c>
      <c r="G9932" t="n">
        <v>1.5</v>
      </c>
      <c r="H9932" t="n">
        <v>0</v>
      </c>
      <c r="I9932" t="n">
        <v>0</v>
      </c>
      <c r="J9932" t="n">
        <v>0</v>
      </c>
      <c r="K9932" t="n">
        <v>0</v>
      </c>
      <c r="L9932" t="n">
        <v>0</v>
      </c>
      <c r="M9932" t="n">
        <v>0</v>
      </c>
      <c r="N9932" t="n">
        <v>0</v>
      </c>
      <c r="O9932" t="n">
        <v>0</v>
      </c>
      <c r="P9932" t="n">
        <v>0</v>
      </c>
      <c r="Q9932" t="n">
        <v>0</v>
      </c>
      <c r="R9932" s="2" t="inlineStr"/>
    </row>
    <row r="9933" ht="15" customHeight="1">
      <c r="A9933" t="inlineStr">
        <is>
          <t>A 6901-2026</t>
        </is>
      </c>
      <c r="B9933" s="1" t="n">
        <v>46057.4903587963</v>
      </c>
      <c r="C9933" s="1" t="n">
        <v>46093</v>
      </c>
      <c r="D9933" t="inlineStr">
        <is>
          <t>VÄSTERNORRLANDS LÄN</t>
        </is>
      </c>
      <c r="E9933" t="inlineStr">
        <is>
          <t>ÅNGE</t>
        </is>
      </c>
      <c r="F9933" t="inlineStr">
        <is>
          <t>SCA</t>
        </is>
      </c>
      <c r="G9933" t="n">
        <v>0.9</v>
      </c>
      <c r="H9933" t="n">
        <v>0</v>
      </c>
      <c r="I9933" t="n">
        <v>0</v>
      </c>
      <c r="J9933" t="n">
        <v>0</v>
      </c>
      <c r="K9933" t="n">
        <v>0</v>
      </c>
      <c r="L9933" t="n">
        <v>0</v>
      </c>
      <c r="M9933" t="n">
        <v>0</v>
      </c>
      <c r="N9933" t="n">
        <v>0</v>
      </c>
      <c r="O9933" t="n">
        <v>0</v>
      </c>
      <c r="P9933" t="n">
        <v>0</v>
      </c>
      <c r="Q9933" t="n">
        <v>0</v>
      </c>
      <c r="R9933" s="2" t="inlineStr"/>
    </row>
    <row r="9934" ht="15" customHeight="1">
      <c r="A9934" t="inlineStr">
        <is>
          <t>A 60812-2024</t>
        </is>
      </c>
      <c r="B9934" s="1" t="n">
        <v>45644</v>
      </c>
      <c r="C9934" s="1" t="n">
        <v>46093</v>
      </c>
      <c r="D9934" t="inlineStr">
        <is>
          <t>VÄSTERNORRLANDS LÄN</t>
        </is>
      </c>
      <c r="E9934" t="inlineStr">
        <is>
          <t>ÅNGE</t>
        </is>
      </c>
      <c r="G9934" t="n">
        <v>3.6</v>
      </c>
      <c r="H9934" t="n">
        <v>0</v>
      </c>
      <c r="I9934" t="n">
        <v>0</v>
      </c>
      <c r="J9934" t="n">
        <v>0</v>
      </c>
      <c r="K9934" t="n">
        <v>0</v>
      </c>
      <c r="L9934" t="n">
        <v>0</v>
      </c>
      <c r="M9934" t="n">
        <v>0</v>
      </c>
      <c r="N9934" t="n">
        <v>0</v>
      </c>
      <c r="O9934" t="n">
        <v>0</v>
      </c>
      <c r="P9934" t="n">
        <v>0</v>
      </c>
      <c r="Q9934" t="n">
        <v>0</v>
      </c>
      <c r="R9934" s="2" t="inlineStr"/>
    </row>
    <row r="9935" ht="15" customHeight="1">
      <c r="A9935" t="inlineStr">
        <is>
          <t>A 3897-2023</t>
        </is>
      </c>
      <c r="B9935" s="1" t="n">
        <v>44951.94020833333</v>
      </c>
      <c r="C9935" s="1" t="n">
        <v>46093</v>
      </c>
      <c r="D9935" t="inlineStr">
        <is>
          <t>VÄSTERNORRLANDS LÄN</t>
        </is>
      </c>
      <c r="E9935" t="inlineStr">
        <is>
          <t>HÄRNÖSAND</t>
        </is>
      </c>
      <c r="F9935" t="inlineStr">
        <is>
          <t>SCA</t>
        </is>
      </c>
      <c r="G9935" t="n">
        <v>2.6</v>
      </c>
      <c r="H9935" t="n">
        <v>0</v>
      </c>
      <c r="I9935" t="n">
        <v>0</v>
      </c>
      <c r="J9935" t="n">
        <v>0</v>
      </c>
      <c r="K9935" t="n">
        <v>0</v>
      </c>
      <c r="L9935" t="n">
        <v>0</v>
      </c>
      <c r="M9935" t="n">
        <v>0</v>
      </c>
      <c r="N9935" t="n">
        <v>0</v>
      </c>
      <c r="O9935" t="n">
        <v>0</v>
      </c>
      <c r="P9935" t="n">
        <v>0</v>
      </c>
      <c r="Q9935" t="n">
        <v>0</v>
      </c>
      <c r="R9935" s="2" t="inlineStr"/>
    </row>
    <row r="9936" ht="15" customHeight="1">
      <c r="A9936" t="inlineStr">
        <is>
          <t>A 49860-2024</t>
        </is>
      </c>
      <c r="B9936" s="1" t="n">
        <v>45597.47138888889</v>
      </c>
      <c r="C9936" s="1" t="n">
        <v>46093</v>
      </c>
      <c r="D9936" t="inlineStr">
        <is>
          <t>VÄSTERNORRLANDS LÄN</t>
        </is>
      </c>
      <c r="E9936" t="inlineStr">
        <is>
          <t>ÖRNSKÖLDSVIK</t>
        </is>
      </c>
      <c r="F9936" t="inlineStr">
        <is>
          <t>Holmen skog AB</t>
        </is>
      </c>
      <c r="G9936" t="n">
        <v>2.5</v>
      </c>
      <c r="H9936" t="n">
        <v>0</v>
      </c>
      <c r="I9936" t="n">
        <v>0</v>
      </c>
      <c r="J9936" t="n">
        <v>0</v>
      </c>
      <c r="K9936" t="n">
        <v>0</v>
      </c>
      <c r="L9936" t="n">
        <v>0</v>
      </c>
      <c r="M9936" t="n">
        <v>0</v>
      </c>
      <c r="N9936" t="n">
        <v>0</v>
      </c>
      <c r="O9936" t="n">
        <v>0</v>
      </c>
      <c r="P9936" t="n">
        <v>0</v>
      </c>
      <c r="Q9936" t="n">
        <v>0</v>
      </c>
      <c r="R9936" s="2" t="inlineStr"/>
    </row>
    <row r="9937" ht="15" customHeight="1">
      <c r="A9937" t="inlineStr">
        <is>
          <t>A 4794-2024</t>
        </is>
      </c>
      <c r="B9937" s="1" t="n">
        <v>45328.82377314815</v>
      </c>
      <c r="C9937" s="1" t="n">
        <v>46093</v>
      </c>
      <c r="D9937" t="inlineStr">
        <is>
          <t>VÄSTERNORRLANDS LÄN</t>
        </is>
      </c>
      <c r="E9937" t="inlineStr">
        <is>
          <t>ÖRNSKÖLDSVIK</t>
        </is>
      </c>
      <c r="G9937" t="n">
        <v>2.9</v>
      </c>
      <c r="H9937" t="n">
        <v>0</v>
      </c>
      <c r="I9937" t="n">
        <v>0</v>
      </c>
      <c r="J9937" t="n">
        <v>0</v>
      </c>
      <c r="K9937" t="n">
        <v>0</v>
      </c>
      <c r="L9937" t="n">
        <v>0</v>
      </c>
      <c r="M9937" t="n">
        <v>0</v>
      </c>
      <c r="N9937" t="n">
        <v>0</v>
      </c>
      <c r="O9937" t="n">
        <v>0</v>
      </c>
      <c r="P9937" t="n">
        <v>0</v>
      </c>
      <c r="Q9937" t="n">
        <v>0</v>
      </c>
      <c r="R9937" s="2" t="inlineStr"/>
    </row>
    <row r="9938" ht="15" customHeight="1">
      <c r="A9938" t="inlineStr">
        <is>
          <t>A 1745-2022</t>
        </is>
      </c>
      <c r="B9938" s="1" t="n">
        <v>44574</v>
      </c>
      <c r="C9938" s="1" t="n">
        <v>46093</v>
      </c>
      <c r="D9938" t="inlineStr">
        <is>
          <t>VÄSTERNORRLANDS LÄN</t>
        </is>
      </c>
      <c r="E9938" t="inlineStr">
        <is>
          <t>KRAMFORS</t>
        </is>
      </c>
      <c r="G9938" t="n">
        <v>0.8</v>
      </c>
      <c r="H9938" t="n">
        <v>0</v>
      </c>
      <c r="I9938" t="n">
        <v>0</v>
      </c>
      <c r="J9938" t="n">
        <v>0</v>
      </c>
      <c r="K9938" t="n">
        <v>0</v>
      </c>
      <c r="L9938" t="n">
        <v>0</v>
      </c>
      <c r="M9938" t="n">
        <v>0</v>
      </c>
      <c r="N9938" t="n">
        <v>0</v>
      </c>
      <c r="O9938" t="n">
        <v>0</v>
      </c>
      <c r="P9938" t="n">
        <v>0</v>
      </c>
      <c r="Q9938" t="n">
        <v>0</v>
      </c>
      <c r="R9938" s="2" t="inlineStr"/>
    </row>
    <row r="9939" ht="15" customHeight="1">
      <c r="A9939" t="inlineStr">
        <is>
          <t>A 6976-2026</t>
        </is>
      </c>
      <c r="B9939" s="1" t="n">
        <v>46057.59456018519</v>
      </c>
      <c r="C9939" s="1" t="n">
        <v>46093</v>
      </c>
      <c r="D9939" t="inlineStr">
        <is>
          <t>VÄSTERNORRLANDS LÄN</t>
        </is>
      </c>
      <c r="E9939" t="inlineStr">
        <is>
          <t>TIMRÅ</t>
        </is>
      </c>
      <c r="G9939" t="n">
        <v>1.5</v>
      </c>
      <c r="H9939" t="n">
        <v>0</v>
      </c>
      <c r="I9939" t="n">
        <v>0</v>
      </c>
      <c r="J9939" t="n">
        <v>0</v>
      </c>
      <c r="K9939" t="n">
        <v>0</v>
      </c>
      <c r="L9939" t="n">
        <v>0</v>
      </c>
      <c r="M9939" t="n">
        <v>0</v>
      </c>
      <c r="N9939" t="n">
        <v>0</v>
      </c>
      <c r="O9939" t="n">
        <v>0</v>
      </c>
      <c r="P9939" t="n">
        <v>0</v>
      </c>
      <c r="Q9939" t="n">
        <v>0</v>
      </c>
      <c r="R9939" s="2" t="inlineStr"/>
    </row>
    <row r="9940" ht="15" customHeight="1">
      <c r="A9940" t="inlineStr">
        <is>
          <t>A 6818-2026</t>
        </is>
      </c>
      <c r="B9940" s="1" t="n">
        <v>46057.38607638889</v>
      </c>
      <c r="C9940" s="1" t="n">
        <v>46093</v>
      </c>
      <c r="D9940" t="inlineStr">
        <is>
          <t>VÄSTERNORRLANDS LÄN</t>
        </is>
      </c>
      <c r="E9940" t="inlineStr">
        <is>
          <t>SUNDSVALL</t>
        </is>
      </c>
      <c r="F9940" t="inlineStr">
        <is>
          <t>SCA</t>
        </is>
      </c>
      <c r="G9940" t="n">
        <v>19.2</v>
      </c>
      <c r="H9940" t="n">
        <v>0</v>
      </c>
      <c r="I9940" t="n">
        <v>0</v>
      </c>
      <c r="J9940" t="n">
        <v>0</v>
      </c>
      <c r="K9940" t="n">
        <v>0</v>
      </c>
      <c r="L9940" t="n">
        <v>0</v>
      </c>
      <c r="M9940" t="n">
        <v>0</v>
      </c>
      <c r="N9940" t="n">
        <v>0</v>
      </c>
      <c r="O9940" t="n">
        <v>0</v>
      </c>
      <c r="P9940" t="n">
        <v>0</v>
      </c>
      <c r="Q9940" t="n">
        <v>0</v>
      </c>
      <c r="R9940" s="2" t="inlineStr"/>
    </row>
    <row r="9941" ht="15" customHeight="1">
      <c r="A9941" t="inlineStr">
        <is>
          <t>A 62743-2021</t>
        </is>
      </c>
      <c r="B9941" s="1" t="n">
        <v>44504.3884375</v>
      </c>
      <c r="C9941" s="1" t="n">
        <v>46093</v>
      </c>
      <c r="D9941" t="inlineStr">
        <is>
          <t>VÄSTERNORRLANDS LÄN</t>
        </is>
      </c>
      <c r="E9941" t="inlineStr">
        <is>
          <t>ÖRNSKÖLDSVIK</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7323-2026</t>
        </is>
      </c>
      <c r="B9942" s="1" t="n">
        <v>46058.67792824074</v>
      </c>
      <c r="C9942" s="1" t="n">
        <v>46093</v>
      </c>
      <c r="D9942" t="inlineStr">
        <is>
          <t>VÄSTERNORRLANDS LÄN</t>
        </is>
      </c>
      <c r="E9942" t="inlineStr">
        <is>
          <t>SUNDSVALL</t>
        </is>
      </c>
      <c r="G9942" t="n">
        <v>0.9</v>
      </c>
      <c r="H9942" t="n">
        <v>0</v>
      </c>
      <c r="I9942" t="n">
        <v>0</v>
      </c>
      <c r="J9942" t="n">
        <v>0</v>
      </c>
      <c r="K9942" t="n">
        <v>0</v>
      </c>
      <c r="L9942" t="n">
        <v>0</v>
      </c>
      <c r="M9942" t="n">
        <v>0</v>
      </c>
      <c r="N9942" t="n">
        <v>0</v>
      </c>
      <c r="O9942" t="n">
        <v>0</v>
      </c>
      <c r="P9942" t="n">
        <v>0</v>
      </c>
      <c r="Q9942" t="n">
        <v>0</v>
      </c>
      <c r="R9942" s="2" t="inlineStr"/>
    </row>
    <row r="9943" ht="15" customHeight="1">
      <c r="A9943" t="inlineStr">
        <is>
          <t>A 10528-2022</t>
        </is>
      </c>
      <c r="B9943" s="1" t="n">
        <v>44623.92115740741</v>
      </c>
      <c r="C9943" s="1" t="n">
        <v>46093</v>
      </c>
      <c r="D9943" t="inlineStr">
        <is>
          <t>VÄSTERNORRLANDS LÄN</t>
        </is>
      </c>
      <c r="E9943" t="inlineStr">
        <is>
          <t>SUNDSVALL</t>
        </is>
      </c>
      <c r="G9943" t="n">
        <v>4.5</v>
      </c>
      <c r="H9943" t="n">
        <v>0</v>
      </c>
      <c r="I9943" t="n">
        <v>0</v>
      </c>
      <c r="J9943" t="n">
        <v>0</v>
      </c>
      <c r="K9943" t="n">
        <v>0</v>
      </c>
      <c r="L9943" t="n">
        <v>0</v>
      </c>
      <c r="M9943" t="n">
        <v>0</v>
      </c>
      <c r="N9943" t="n">
        <v>0</v>
      </c>
      <c r="O9943" t="n">
        <v>0</v>
      </c>
      <c r="P9943" t="n">
        <v>0</v>
      </c>
      <c r="Q9943" t="n">
        <v>0</v>
      </c>
      <c r="R9943" s="2" t="inlineStr"/>
    </row>
    <row r="9944" ht="15" customHeight="1">
      <c r="A9944" t="inlineStr">
        <is>
          <t>A 1840-2024</t>
        </is>
      </c>
      <c r="B9944" s="1" t="n">
        <v>45307</v>
      </c>
      <c r="C9944" s="1" t="n">
        <v>46093</v>
      </c>
      <c r="D9944" t="inlineStr">
        <is>
          <t>VÄSTERNORRLANDS LÄN</t>
        </is>
      </c>
      <c r="E9944" t="inlineStr">
        <is>
          <t>SOLLEFTEÅ</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1844-2024</t>
        </is>
      </c>
      <c r="B9945" s="1" t="n">
        <v>45307</v>
      </c>
      <c r="C9945" s="1" t="n">
        <v>46093</v>
      </c>
      <c r="D9945" t="inlineStr">
        <is>
          <t>VÄSTERNORRLANDS LÄN</t>
        </is>
      </c>
      <c r="E9945" t="inlineStr">
        <is>
          <t>SOLLEFTEÅ</t>
        </is>
      </c>
      <c r="G9945" t="n">
        <v>1.6</v>
      </c>
      <c r="H9945" t="n">
        <v>0</v>
      </c>
      <c r="I9945" t="n">
        <v>0</v>
      </c>
      <c r="J9945" t="n">
        <v>0</v>
      </c>
      <c r="K9945" t="n">
        <v>0</v>
      </c>
      <c r="L9945" t="n">
        <v>0</v>
      </c>
      <c r="M9945" t="n">
        <v>0</v>
      </c>
      <c r="N9945" t="n">
        <v>0</v>
      </c>
      <c r="O9945" t="n">
        <v>0</v>
      </c>
      <c r="P9945" t="n">
        <v>0</v>
      </c>
      <c r="Q9945" t="n">
        <v>0</v>
      </c>
      <c r="R9945" s="2" t="inlineStr"/>
    </row>
    <row r="9946" ht="15" customHeight="1">
      <c r="A9946" t="inlineStr">
        <is>
          <t>A 64254-2023</t>
        </is>
      </c>
      <c r="B9946" s="1" t="n">
        <v>45279</v>
      </c>
      <c r="C9946" s="1" t="n">
        <v>46093</v>
      </c>
      <c r="D9946" t="inlineStr">
        <is>
          <t>VÄSTERNORRLANDS LÄN</t>
        </is>
      </c>
      <c r="E9946" t="inlineStr">
        <is>
          <t>SUNDSVALL</t>
        </is>
      </c>
      <c r="G9946" t="n">
        <v>2.4</v>
      </c>
      <c r="H9946" t="n">
        <v>0</v>
      </c>
      <c r="I9946" t="n">
        <v>0</v>
      </c>
      <c r="J9946" t="n">
        <v>0</v>
      </c>
      <c r="K9946" t="n">
        <v>0</v>
      </c>
      <c r="L9946" t="n">
        <v>0</v>
      </c>
      <c r="M9946" t="n">
        <v>0</v>
      </c>
      <c r="N9946" t="n">
        <v>0</v>
      </c>
      <c r="O9946" t="n">
        <v>0</v>
      </c>
      <c r="P9946" t="n">
        <v>0</v>
      </c>
      <c r="Q9946" t="n">
        <v>0</v>
      </c>
      <c r="R9946" s="2" t="inlineStr"/>
    </row>
    <row r="9947" ht="15" customHeight="1">
      <c r="A9947" t="inlineStr">
        <is>
          <t>A 63673-2025</t>
        </is>
      </c>
      <c r="B9947" s="1" t="n">
        <v>46014.47594907408</v>
      </c>
      <c r="C9947" s="1" t="n">
        <v>46093</v>
      </c>
      <c r="D9947" t="inlineStr">
        <is>
          <t>VÄSTERNORRLANDS LÄN</t>
        </is>
      </c>
      <c r="E9947" t="inlineStr">
        <is>
          <t>ÅNGE</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58943-2022</t>
        </is>
      </c>
      <c r="B9948" s="1" t="n">
        <v>44903.64400462963</v>
      </c>
      <c r="C9948" s="1" t="n">
        <v>46093</v>
      </c>
      <c r="D9948" t="inlineStr">
        <is>
          <t>VÄSTERNORRLANDS LÄN</t>
        </is>
      </c>
      <c r="E9948" t="inlineStr">
        <is>
          <t>ÅNGE</t>
        </is>
      </c>
      <c r="G9948" t="n">
        <v>5.6</v>
      </c>
      <c r="H9948" t="n">
        <v>0</v>
      </c>
      <c r="I9948" t="n">
        <v>0</v>
      </c>
      <c r="J9948" t="n">
        <v>0</v>
      </c>
      <c r="K9948" t="n">
        <v>0</v>
      </c>
      <c r="L9948" t="n">
        <v>0</v>
      </c>
      <c r="M9948" t="n">
        <v>0</v>
      </c>
      <c r="N9948" t="n">
        <v>0</v>
      </c>
      <c r="O9948" t="n">
        <v>0</v>
      </c>
      <c r="P9948" t="n">
        <v>0</v>
      </c>
      <c r="Q9948" t="n">
        <v>0</v>
      </c>
      <c r="R9948" s="2" t="inlineStr"/>
    </row>
    <row r="9949" ht="15" customHeight="1">
      <c r="A9949" t="inlineStr">
        <is>
          <t>A 7005-2026</t>
        </is>
      </c>
      <c r="B9949" s="1" t="n">
        <v>46057.63594907407</v>
      </c>
      <c r="C9949" s="1" t="n">
        <v>46093</v>
      </c>
      <c r="D9949" t="inlineStr">
        <is>
          <t>VÄSTERNORRLANDS LÄN</t>
        </is>
      </c>
      <c r="E9949" t="inlineStr">
        <is>
          <t>ÅNGE</t>
        </is>
      </c>
      <c r="F9949" t="inlineStr">
        <is>
          <t>SCA</t>
        </is>
      </c>
      <c r="G9949" t="n">
        <v>3.8</v>
      </c>
      <c r="H9949" t="n">
        <v>0</v>
      </c>
      <c r="I9949" t="n">
        <v>0</v>
      </c>
      <c r="J9949" t="n">
        <v>0</v>
      </c>
      <c r="K9949" t="n">
        <v>0</v>
      </c>
      <c r="L9949" t="n">
        <v>0</v>
      </c>
      <c r="M9949" t="n">
        <v>0</v>
      </c>
      <c r="N9949" t="n">
        <v>0</v>
      </c>
      <c r="O9949" t="n">
        <v>0</v>
      </c>
      <c r="P9949" t="n">
        <v>0</v>
      </c>
      <c r="Q9949" t="n">
        <v>0</v>
      </c>
      <c r="R9949" s="2" t="inlineStr"/>
    </row>
    <row r="9950" ht="15" customHeight="1">
      <c r="A9950" t="inlineStr">
        <is>
          <t>A 31436-2024</t>
        </is>
      </c>
      <c r="B9950" s="1" t="n">
        <v>45505</v>
      </c>
      <c r="C9950" s="1" t="n">
        <v>46093</v>
      </c>
      <c r="D9950" t="inlineStr">
        <is>
          <t>VÄSTERNORRLANDS LÄN</t>
        </is>
      </c>
      <c r="E9950" t="inlineStr">
        <is>
          <t>SUNDSVALL</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9689-2024</t>
        </is>
      </c>
      <c r="B9951" s="1" t="n">
        <v>45362</v>
      </c>
      <c r="C9951" s="1" t="n">
        <v>46093</v>
      </c>
      <c r="D9951" t="inlineStr">
        <is>
          <t>VÄSTERNORRLANDS LÄN</t>
        </is>
      </c>
      <c r="E9951" t="inlineStr">
        <is>
          <t>SOLLEFTEÅ</t>
        </is>
      </c>
      <c r="G9951" t="n">
        <v>4.5</v>
      </c>
      <c r="H9951" t="n">
        <v>0</v>
      </c>
      <c r="I9951" t="n">
        <v>0</v>
      </c>
      <c r="J9951" t="n">
        <v>0</v>
      </c>
      <c r="K9951" t="n">
        <v>0</v>
      </c>
      <c r="L9951" t="n">
        <v>0</v>
      </c>
      <c r="M9951" t="n">
        <v>0</v>
      </c>
      <c r="N9951" t="n">
        <v>0</v>
      </c>
      <c r="O9951" t="n">
        <v>0</v>
      </c>
      <c r="P9951" t="n">
        <v>0</v>
      </c>
      <c r="Q9951" t="n">
        <v>0</v>
      </c>
      <c r="R9951" s="2" t="inlineStr"/>
    </row>
    <row r="9952" ht="15" customHeight="1">
      <c r="A9952" t="inlineStr">
        <is>
          <t>A 7026-2026</t>
        </is>
      </c>
      <c r="B9952" s="1" t="n">
        <v>46057.67420138889</v>
      </c>
      <c r="C9952" s="1" t="n">
        <v>46093</v>
      </c>
      <c r="D9952" t="inlineStr">
        <is>
          <t>VÄSTERNORRLANDS LÄN</t>
        </is>
      </c>
      <c r="E9952" t="inlineStr">
        <is>
          <t>ÅNGE</t>
        </is>
      </c>
      <c r="G9952" t="n">
        <v>18.4</v>
      </c>
      <c r="H9952" t="n">
        <v>0</v>
      </c>
      <c r="I9952" t="n">
        <v>0</v>
      </c>
      <c r="J9952" t="n">
        <v>0</v>
      </c>
      <c r="K9952" t="n">
        <v>0</v>
      </c>
      <c r="L9952" t="n">
        <v>0</v>
      </c>
      <c r="M9952" t="n">
        <v>0</v>
      </c>
      <c r="N9952" t="n">
        <v>0</v>
      </c>
      <c r="O9952" t="n">
        <v>0</v>
      </c>
      <c r="P9952" t="n">
        <v>0</v>
      </c>
      <c r="Q9952" t="n">
        <v>0</v>
      </c>
      <c r="R9952" s="2" t="inlineStr"/>
    </row>
    <row r="9953" ht="15" customHeight="1">
      <c r="A9953" t="inlineStr">
        <is>
          <t>A 7284-2026</t>
        </is>
      </c>
      <c r="B9953" s="1" t="n">
        <v>46058.63614583333</v>
      </c>
      <c r="C9953" s="1" t="n">
        <v>46093</v>
      </c>
      <c r="D9953" t="inlineStr">
        <is>
          <t>VÄSTERNORRLANDS LÄN</t>
        </is>
      </c>
      <c r="E9953" t="inlineStr">
        <is>
          <t>ÅNGE</t>
        </is>
      </c>
      <c r="G9953" t="n">
        <v>2.2</v>
      </c>
      <c r="H9953" t="n">
        <v>0</v>
      </c>
      <c r="I9953" t="n">
        <v>0</v>
      </c>
      <c r="J9953" t="n">
        <v>0</v>
      </c>
      <c r="K9953" t="n">
        <v>0</v>
      </c>
      <c r="L9953" t="n">
        <v>0</v>
      </c>
      <c r="M9953" t="n">
        <v>0</v>
      </c>
      <c r="N9953" t="n">
        <v>0</v>
      </c>
      <c r="O9953" t="n">
        <v>0</v>
      </c>
      <c r="P9953" t="n">
        <v>0</v>
      </c>
      <c r="Q9953" t="n">
        <v>0</v>
      </c>
      <c r="R9953" s="2" t="inlineStr"/>
    </row>
    <row r="9954" ht="15" customHeight="1">
      <c r="A9954" t="inlineStr">
        <is>
          <t>A 6662-2026</t>
        </is>
      </c>
      <c r="B9954" s="1" t="n">
        <v>46056</v>
      </c>
      <c r="C9954" s="1" t="n">
        <v>46093</v>
      </c>
      <c r="D9954" t="inlineStr">
        <is>
          <t>VÄSTERNORRLANDS LÄN</t>
        </is>
      </c>
      <c r="E9954" t="inlineStr">
        <is>
          <t>SUNDSVALL</t>
        </is>
      </c>
      <c r="G9954" t="n">
        <v>7.8</v>
      </c>
      <c r="H9954" t="n">
        <v>0</v>
      </c>
      <c r="I9954" t="n">
        <v>0</v>
      </c>
      <c r="J9954" t="n">
        <v>0</v>
      </c>
      <c r="K9954" t="n">
        <v>0</v>
      </c>
      <c r="L9954" t="n">
        <v>0</v>
      </c>
      <c r="M9954" t="n">
        <v>0</v>
      </c>
      <c r="N9954" t="n">
        <v>0</v>
      </c>
      <c r="O9954" t="n">
        <v>0</v>
      </c>
      <c r="P9954" t="n">
        <v>0</v>
      </c>
      <c r="Q9954" t="n">
        <v>0</v>
      </c>
      <c r="R9954" s="2" t="inlineStr"/>
    </row>
    <row r="9955" ht="15" customHeight="1">
      <c r="A9955" t="inlineStr">
        <is>
          <t>A 38296-2024</t>
        </is>
      </c>
      <c r="B9955" s="1" t="n">
        <v>45545.6296412037</v>
      </c>
      <c r="C9955" s="1" t="n">
        <v>46093</v>
      </c>
      <c r="D9955" t="inlineStr">
        <is>
          <t>VÄSTERNORRLANDS LÄN</t>
        </is>
      </c>
      <c r="E9955" t="inlineStr">
        <is>
          <t>ÖRNSKÖLDSVIK</t>
        </is>
      </c>
      <c r="F9955" t="inlineStr">
        <is>
          <t>Holmen skog AB</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26723-2024</t>
        </is>
      </c>
      <c r="B9956" s="1" t="n">
        <v>45470.42023148148</v>
      </c>
      <c r="C9956" s="1" t="n">
        <v>46093</v>
      </c>
      <c r="D9956" t="inlineStr">
        <is>
          <t>VÄSTERNORRLANDS LÄN</t>
        </is>
      </c>
      <c r="E9956" t="inlineStr">
        <is>
          <t>ÖRNSKÖLDSVIK</t>
        </is>
      </c>
      <c r="G9956" t="n">
        <v>2.3</v>
      </c>
      <c r="H9956" t="n">
        <v>0</v>
      </c>
      <c r="I9956" t="n">
        <v>0</v>
      </c>
      <c r="J9956" t="n">
        <v>0</v>
      </c>
      <c r="K9956" t="n">
        <v>0</v>
      </c>
      <c r="L9956" t="n">
        <v>0</v>
      </c>
      <c r="M9956" t="n">
        <v>0</v>
      </c>
      <c r="N9956" t="n">
        <v>0</v>
      </c>
      <c r="O9956" t="n">
        <v>0</v>
      </c>
      <c r="P9956" t="n">
        <v>0</v>
      </c>
      <c r="Q9956" t="n">
        <v>0</v>
      </c>
      <c r="R9956" s="2" t="inlineStr"/>
    </row>
    <row r="9957" ht="15" customHeight="1">
      <c r="A9957" t="inlineStr">
        <is>
          <t>A 25139-2024</t>
        </is>
      </c>
      <c r="B9957" s="1" t="n">
        <v>45462.48130787037</v>
      </c>
      <c r="C9957" s="1" t="n">
        <v>46093</v>
      </c>
      <c r="D9957" t="inlineStr">
        <is>
          <t>VÄSTERNORRLANDS LÄN</t>
        </is>
      </c>
      <c r="E9957" t="inlineStr">
        <is>
          <t>SOLLEFTEÅ</t>
        </is>
      </c>
      <c r="G9957" t="n">
        <v>1.7</v>
      </c>
      <c r="H9957" t="n">
        <v>0</v>
      </c>
      <c r="I9957" t="n">
        <v>0</v>
      </c>
      <c r="J9957" t="n">
        <v>0</v>
      </c>
      <c r="K9957" t="n">
        <v>0</v>
      </c>
      <c r="L9957" t="n">
        <v>0</v>
      </c>
      <c r="M9957" t="n">
        <v>0</v>
      </c>
      <c r="N9957" t="n">
        <v>0</v>
      </c>
      <c r="O9957" t="n">
        <v>0</v>
      </c>
      <c r="P9957" t="n">
        <v>0</v>
      </c>
      <c r="Q9957" t="n">
        <v>0</v>
      </c>
      <c r="R9957" s="2" t="inlineStr"/>
    </row>
    <row r="9958" ht="15" customHeight="1">
      <c r="A9958" t="inlineStr">
        <is>
          <t>A 38769-2024</t>
        </is>
      </c>
      <c r="B9958" s="1" t="n">
        <v>45547.44914351852</v>
      </c>
      <c r="C9958" s="1" t="n">
        <v>46093</v>
      </c>
      <c r="D9958" t="inlineStr">
        <is>
          <t>VÄSTERNORRLANDS LÄN</t>
        </is>
      </c>
      <c r="E9958" t="inlineStr">
        <is>
          <t>SOLLEFTEÅ</t>
        </is>
      </c>
      <c r="F9958" t="inlineStr">
        <is>
          <t>SCA</t>
        </is>
      </c>
      <c r="G9958" t="n">
        <v>0.5</v>
      </c>
      <c r="H9958" t="n">
        <v>0</v>
      </c>
      <c r="I9958" t="n">
        <v>0</v>
      </c>
      <c r="J9958" t="n">
        <v>0</v>
      </c>
      <c r="K9958" t="n">
        <v>0</v>
      </c>
      <c r="L9958" t="n">
        <v>0</v>
      </c>
      <c r="M9958" t="n">
        <v>0</v>
      </c>
      <c r="N9958" t="n">
        <v>0</v>
      </c>
      <c r="O9958" t="n">
        <v>0</v>
      </c>
      <c r="P9958" t="n">
        <v>0</v>
      </c>
      <c r="Q9958" t="n">
        <v>0</v>
      </c>
      <c r="R9958" s="2" t="inlineStr"/>
    </row>
    <row r="9959" ht="15" customHeight="1">
      <c r="A9959" t="inlineStr">
        <is>
          <t>A 7154-2026</t>
        </is>
      </c>
      <c r="B9959" s="1" t="n">
        <v>46058.42788194444</v>
      </c>
      <c r="C9959" s="1" t="n">
        <v>46093</v>
      </c>
      <c r="D9959" t="inlineStr">
        <is>
          <t>VÄSTERNORRLANDS LÄN</t>
        </is>
      </c>
      <c r="E9959" t="inlineStr">
        <is>
          <t>SOLLEFTEÅ</t>
        </is>
      </c>
      <c r="F9959" t="inlineStr">
        <is>
          <t>SCA</t>
        </is>
      </c>
      <c r="G9959" t="n">
        <v>4.4</v>
      </c>
      <c r="H9959" t="n">
        <v>0</v>
      </c>
      <c r="I9959" t="n">
        <v>0</v>
      </c>
      <c r="J9959" t="n">
        <v>0</v>
      </c>
      <c r="K9959" t="n">
        <v>0</v>
      </c>
      <c r="L9959" t="n">
        <v>0</v>
      </c>
      <c r="M9959" t="n">
        <v>0</v>
      </c>
      <c r="N9959" t="n">
        <v>0</v>
      </c>
      <c r="O9959" t="n">
        <v>0</v>
      </c>
      <c r="P9959" t="n">
        <v>0</v>
      </c>
      <c r="Q9959" t="n">
        <v>0</v>
      </c>
      <c r="R9959" s="2" t="inlineStr"/>
    </row>
    <row r="9960" ht="15" customHeight="1">
      <c r="A9960" t="inlineStr">
        <is>
          <t>A 31202-2021</t>
        </is>
      </c>
      <c r="B9960" s="1" t="n">
        <v>44368.6316087963</v>
      </c>
      <c r="C9960" s="1" t="n">
        <v>46093</v>
      </c>
      <c r="D9960" t="inlineStr">
        <is>
          <t>VÄSTERNORRLANDS LÄN</t>
        </is>
      </c>
      <c r="E9960" t="inlineStr">
        <is>
          <t>ÖRNSKÖLDSVIK</t>
        </is>
      </c>
      <c r="F9960" t="inlineStr">
        <is>
          <t>Holmen skog AB</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7278-2026</t>
        </is>
      </c>
      <c r="B9961" s="1" t="n">
        <v>46058.62868055556</v>
      </c>
      <c r="C9961" s="1" t="n">
        <v>46093</v>
      </c>
      <c r="D9961" t="inlineStr">
        <is>
          <t>VÄSTERNORRLANDS LÄN</t>
        </is>
      </c>
      <c r="E9961" t="inlineStr">
        <is>
          <t>SUNDSVALL</t>
        </is>
      </c>
      <c r="G9961" t="n">
        <v>5.2</v>
      </c>
      <c r="H9961" t="n">
        <v>0</v>
      </c>
      <c r="I9961" t="n">
        <v>0</v>
      </c>
      <c r="J9961" t="n">
        <v>0</v>
      </c>
      <c r="K9961" t="n">
        <v>0</v>
      </c>
      <c r="L9961" t="n">
        <v>0</v>
      </c>
      <c r="M9961" t="n">
        <v>0</v>
      </c>
      <c r="N9961" t="n">
        <v>0</v>
      </c>
      <c r="O9961" t="n">
        <v>0</v>
      </c>
      <c r="P9961" t="n">
        <v>0</v>
      </c>
      <c r="Q9961" t="n">
        <v>0</v>
      </c>
      <c r="R9961" s="2" t="inlineStr"/>
    </row>
    <row r="9962" ht="15" customHeight="1">
      <c r="A9962" t="inlineStr">
        <is>
          <t>A 35387-2024</t>
        </is>
      </c>
      <c r="B9962" s="1" t="n">
        <v>45531.39597222222</v>
      </c>
      <c r="C9962" s="1" t="n">
        <v>46093</v>
      </c>
      <c r="D9962" t="inlineStr">
        <is>
          <t>VÄSTERNORRLANDS LÄN</t>
        </is>
      </c>
      <c r="E9962" t="inlineStr">
        <is>
          <t>HÄRNÖSAND</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7283-2026</t>
        </is>
      </c>
      <c r="B9963" s="1" t="n">
        <v>46058.63606481482</v>
      </c>
      <c r="C9963" s="1" t="n">
        <v>46093</v>
      </c>
      <c r="D9963" t="inlineStr">
        <is>
          <t>VÄSTERNORRLANDS LÄN</t>
        </is>
      </c>
      <c r="E9963" t="inlineStr">
        <is>
          <t>ÅNGE</t>
        </is>
      </c>
      <c r="G9963" t="n">
        <v>1.6</v>
      </c>
      <c r="H9963" t="n">
        <v>0</v>
      </c>
      <c r="I9963" t="n">
        <v>0</v>
      </c>
      <c r="J9963" t="n">
        <v>0</v>
      </c>
      <c r="K9963" t="n">
        <v>0</v>
      </c>
      <c r="L9963" t="n">
        <v>0</v>
      </c>
      <c r="M9963" t="n">
        <v>0</v>
      </c>
      <c r="N9963" t="n">
        <v>0</v>
      </c>
      <c r="O9963" t="n">
        <v>0</v>
      </c>
      <c r="P9963" t="n">
        <v>0</v>
      </c>
      <c r="Q9963" t="n">
        <v>0</v>
      </c>
      <c r="R9963" s="2" t="inlineStr"/>
    </row>
    <row r="9964" ht="15" customHeight="1">
      <c r="A9964" t="inlineStr">
        <is>
          <t>A 6795-2026</t>
        </is>
      </c>
      <c r="B9964" s="1" t="n">
        <v>46057.34429398148</v>
      </c>
      <c r="C9964" s="1" t="n">
        <v>46093</v>
      </c>
      <c r="D9964" t="inlineStr">
        <is>
          <t>VÄSTERNORRLANDS LÄN</t>
        </is>
      </c>
      <c r="E9964" t="inlineStr">
        <is>
          <t>ÅNGE</t>
        </is>
      </c>
      <c r="F9964" t="inlineStr">
        <is>
          <t>SCA</t>
        </is>
      </c>
      <c r="G9964" t="n">
        <v>7.5</v>
      </c>
      <c r="H9964" t="n">
        <v>0</v>
      </c>
      <c r="I9964" t="n">
        <v>0</v>
      </c>
      <c r="J9964" t="n">
        <v>0</v>
      </c>
      <c r="K9964" t="n">
        <v>0</v>
      </c>
      <c r="L9964" t="n">
        <v>0</v>
      </c>
      <c r="M9964" t="n">
        <v>0</v>
      </c>
      <c r="N9964" t="n">
        <v>0</v>
      </c>
      <c r="O9964" t="n">
        <v>0</v>
      </c>
      <c r="P9964" t="n">
        <v>0</v>
      </c>
      <c r="Q9964" t="n">
        <v>0</v>
      </c>
      <c r="R9964" s="2" t="inlineStr"/>
    </row>
    <row r="9965" ht="15" customHeight="1">
      <c r="A9965" t="inlineStr">
        <is>
          <t>A 6797-2026</t>
        </is>
      </c>
      <c r="B9965" s="1" t="n">
        <v>46057.34459490741</v>
      </c>
      <c r="C9965" s="1" t="n">
        <v>46093</v>
      </c>
      <c r="D9965" t="inlineStr">
        <is>
          <t>VÄSTERNORRLANDS LÄN</t>
        </is>
      </c>
      <c r="E9965" t="inlineStr">
        <is>
          <t>ÅNGE</t>
        </is>
      </c>
      <c r="F9965" t="inlineStr">
        <is>
          <t>SCA</t>
        </is>
      </c>
      <c r="G9965" t="n">
        <v>10.7</v>
      </c>
      <c r="H9965" t="n">
        <v>0</v>
      </c>
      <c r="I9965" t="n">
        <v>0</v>
      </c>
      <c r="J9965" t="n">
        <v>0</v>
      </c>
      <c r="K9965" t="n">
        <v>0</v>
      </c>
      <c r="L9965" t="n">
        <v>0</v>
      </c>
      <c r="M9965" t="n">
        <v>0</v>
      </c>
      <c r="N9965" t="n">
        <v>0</v>
      </c>
      <c r="O9965" t="n">
        <v>0</v>
      </c>
      <c r="P9965" t="n">
        <v>0</v>
      </c>
      <c r="Q9965" t="n">
        <v>0</v>
      </c>
      <c r="R9965" s="2" t="inlineStr"/>
    </row>
    <row r="9966" ht="15" customHeight="1">
      <c r="A9966" t="inlineStr">
        <is>
          <t>A 1103-2023</t>
        </is>
      </c>
      <c r="B9966" s="1" t="n">
        <v>44929</v>
      </c>
      <c r="C9966" s="1" t="n">
        <v>46093</v>
      </c>
      <c r="D9966" t="inlineStr">
        <is>
          <t>VÄSTERNORRLANDS LÄN</t>
        </is>
      </c>
      <c r="E9966" t="inlineStr">
        <is>
          <t>ÅNGE</t>
        </is>
      </c>
      <c r="G9966" t="n">
        <v>7.3</v>
      </c>
      <c r="H9966" t="n">
        <v>0</v>
      </c>
      <c r="I9966" t="n">
        <v>0</v>
      </c>
      <c r="J9966" t="n">
        <v>0</v>
      </c>
      <c r="K9966" t="n">
        <v>0</v>
      </c>
      <c r="L9966" t="n">
        <v>0</v>
      </c>
      <c r="M9966" t="n">
        <v>0</v>
      </c>
      <c r="N9966" t="n">
        <v>0</v>
      </c>
      <c r="O9966" t="n">
        <v>0</v>
      </c>
      <c r="P9966" t="n">
        <v>0</v>
      </c>
      <c r="Q9966" t="n">
        <v>0</v>
      </c>
      <c r="R9966" s="2" t="inlineStr"/>
    </row>
    <row r="9967" ht="15" customHeight="1">
      <c r="A9967" t="inlineStr">
        <is>
          <t>A 16799-2023</t>
        </is>
      </c>
      <c r="B9967" s="1" t="n">
        <v>45028</v>
      </c>
      <c r="C9967" s="1" t="n">
        <v>46093</v>
      </c>
      <c r="D9967" t="inlineStr">
        <is>
          <t>VÄSTERNORRLANDS LÄN</t>
        </is>
      </c>
      <c r="E9967" t="inlineStr">
        <is>
          <t>ÖRNSKÖLDSVIK</t>
        </is>
      </c>
      <c r="G9967" t="n">
        <v>0.3</v>
      </c>
      <c r="H9967" t="n">
        <v>0</v>
      </c>
      <c r="I9967" t="n">
        <v>0</v>
      </c>
      <c r="J9967" t="n">
        <v>0</v>
      </c>
      <c r="K9967" t="n">
        <v>0</v>
      </c>
      <c r="L9967" t="n">
        <v>0</v>
      </c>
      <c r="M9967" t="n">
        <v>0</v>
      </c>
      <c r="N9967" t="n">
        <v>0</v>
      </c>
      <c r="O9967" t="n">
        <v>0</v>
      </c>
      <c r="P9967" t="n">
        <v>0</v>
      </c>
      <c r="Q9967" t="n">
        <v>0</v>
      </c>
      <c r="R9967" s="2" t="inlineStr"/>
    </row>
    <row r="9968" ht="15" customHeight="1">
      <c r="A9968" t="inlineStr">
        <is>
          <t>A 6814-2026</t>
        </is>
      </c>
      <c r="B9968" s="1" t="n">
        <v>46057.37483796296</v>
      </c>
      <c r="C9968" s="1" t="n">
        <v>46093</v>
      </c>
      <c r="D9968" t="inlineStr">
        <is>
          <t>VÄSTERNORRLANDS LÄN</t>
        </is>
      </c>
      <c r="E9968" t="inlineStr">
        <is>
          <t>ÖRNSKÖLDSVIK</t>
        </is>
      </c>
      <c r="G9968" t="n">
        <v>0.8</v>
      </c>
      <c r="H9968" t="n">
        <v>0</v>
      </c>
      <c r="I9968" t="n">
        <v>0</v>
      </c>
      <c r="J9968" t="n">
        <v>0</v>
      </c>
      <c r="K9968" t="n">
        <v>0</v>
      </c>
      <c r="L9968" t="n">
        <v>0</v>
      </c>
      <c r="M9968" t="n">
        <v>0</v>
      </c>
      <c r="N9968" t="n">
        <v>0</v>
      </c>
      <c r="O9968" t="n">
        <v>0</v>
      </c>
      <c r="P9968" t="n">
        <v>0</v>
      </c>
      <c r="Q9968" t="n">
        <v>0</v>
      </c>
      <c r="R9968" s="2" t="inlineStr"/>
    </row>
    <row r="9969" ht="15" customHeight="1">
      <c r="A9969" t="inlineStr">
        <is>
          <t>A 13254-2023</t>
        </is>
      </c>
      <c r="B9969" s="1" t="n">
        <v>45002</v>
      </c>
      <c r="C9969" s="1" t="n">
        <v>46093</v>
      </c>
      <c r="D9969" t="inlineStr">
        <is>
          <t>VÄSTERNORRLANDS LÄN</t>
        </is>
      </c>
      <c r="E9969" t="inlineStr">
        <is>
          <t>TIMRÅ</t>
        </is>
      </c>
      <c r="F9969" t="inlineStr">
        <is>
          <t>SCA</t>
        </is>
      </c>
      <c r="G9969" t="n">
        <v>8.800000000000001</v>
      </c>
      <c r="H9969" t="n">
        <v>0</v>
      </c>
      <c r="I9969" t="n">
        <v>0</v>
      </c>
      <c r="J9969" t="n">
        <v>0</v>
      </c>
      <c r="K9969" t="n">
        <v>0</v>
      </c>
      <c r="L9969" t="n">
        <v>0</v>
      </c>
      <c r="M9969" t="n">
        <v>0</v>
      </c>
      <c r="N9969" t="n">
        <v>0</v>
      </c>
      <c r="O9969" t="n">
        <v>0</v>
      </c>
      <c r="P9969" t="n">
        <v>0</v>
      </c>
      <c r="Q9969" t="n">
        <v>0</v>
      </c>
      <c r="R9969" s="2" t="inlineStr"/>
    </row>
    <row r="9970" ht="15" customHeight="1">
      <c r="A9970" t="inlineStr">
        <is>
          <t>A 6978-2026</t>
        </is>
      </c>
      <c r="B9970" s="1" t="n">
        <v>46057.59460648148</v>
      </c>
      <c r="C9970" s="1" t="n">
        <v>46093</v>
      </c>
      <c r="D9970" t="inlineStr">
        <is>
          <t>VÄSTERNORRLANDS LÄN</t>
        </is>
      </c>
      <c r="E9970" t="inlineStr">
        <is>
          <t>TIMRÅ</t>
        </is>
      </c>
      <c r="G9970" t="n">
        <v>0.3</v>
      </c>
      <c r="H9970" t="n">
        <v>0</v>
      </c>
      <c r="I9970" t="n">
        <v>0</v>
      </c>
      <c r="J9970" t="n">
        <v>0</v>
      </c>
      <c r="K9970" t="n">
        <v>0</v>
      </c>
      <c r="L9970" t="n">
        <v>0</v>
      </c>
      <c r="M9970" t="n">
        <v>0</v>
      </c>
      <c r="N9970" t="n">
        <v>0</v>
      </c>
      <c r="O9970" t="n">
        <v>0</v>
      </c>
      <c r="P9970" t="n">
        <v>0</v>
      </c>
      <c r="Q9970" t="n">
        <v>0</v>
      </c>
      <c r="R9970" s="2" t="inlineStr"/>
    </row>
    <row r="9971" ht="15" customHeight="1">
      <c r="A9971" t="inlineStr">
        <is>
          <t>A 12754-2023</t>
        </is>
      </c>
      <c r="B9971" s="1" t="n">
        <v>45000</v>
      </c>
      <c r="C9971" s="1" t="n">
        <v>46093</v>
      </c>
      <c r="D9971" t="inlineStr">
        <is>
          <t>VÄSTERNORRLANDS LÄN</t>
        </is>
      </c>
      <c r="E9971" t="inlineStr">
        <is>
          <t>KRAMFORS</t>
        </is>
      </c>
      <c r="F9971" t="inlineStr">
        <is>
          <t>SCA</t>
        </is>
      </c>
      <c r="G9971" t="n">
        <v>6.1</v>
      </c>
      <c r="H9971" t="n">
        <v>0</v>
      </c>
      <c r="I9971" t="n">
        <v>0</v>
      </c>
      <c r="J9971" t="n">
        <v>0</v>
      </c>
      <c r="K9971" t="n">
        <v>0</v>
      </c>
      <c r="L9971" t="n">
        <v>0</v>
      </c>
      <c r="M9971" t="n">
        <v>0</v>
      </c>
      <c r="N9971" t="n">
        <v>0</v>
      </c>
      <c r="O9971" t="n">
        <v>0</v>
      </c>
      <c r="P9971" t="n">
        <v>0</v>
      </c>
      <c r="Q9971" t="n">
        <v>0</v>
      </c>
      <c r="R9971" s="2" t="inlineStr"/>
    </row>
    <row r="9972" ht="15" customHeight="1">
      <c r="A9972" t="inlineStr">
        <is>
          <t>A 7059-2026</t>
        </is>
      </c>
      <c r="B9972" s="1" t="n">
        <v>46057.89136574074</v>
      </c>
      <c r="C9972" s="1" t="n">
        <v>46093</v>
      </c>
      <c r="D9972" t="inlineStr">
        <is>
          <t>VÄSTERNORRLANDS LÄN</t>
        </is>
      </c>
      <c r="E9972" t="inlineStr">
        <is>
          <t>SUNDSVALL</t>
        </is>
      </c>
      <c r="G9972" t="n">
        <v>1.6</v>
      </c>
      <c r="H9972" t="n">
        <v>0</v>
      </c>
      <c r="I9972" t="n">
        <v>0</v>
      </c>
      <c r="J9972" t="n">
        <v>0</v>
      </c>
      <c r="K9972" t="n">
        <v>0</v>
      </c>
      <c r="L9972" t="n">
        <v>0</v>
      </c>
      <c r="M9972" t="n">
        <v>0</v>
      </c>
      <c r="N9972" t="n">
        <v>0</v>
      </c>
      <c r="O9972" t="n">
        <v>0</v>
      </c>
      <c r="P9972" t="n">
        <v>0</v>
      </c>
      <c r="Q9972" t="n">
        <v>0</v>
      </c>
      <c r="R9972" s="2" t="inlineStr"/>
    </row>
    <row r="9973" ht="15" customHeight="1">
      <c r="A9973" t="inlineStr">
        <is>
          <t>A 20807-2023</t>
        </is>
      </c>
      <c r="B9973" s="1" t="n">
        <v>45058</v>
      </c>
      <c r="C9973" s="1" t="n">
        <v>46093</v>
      </c>
      <c r="D9973" t="inlineStr">
        <is>
          <t>VÄSTERNORRLANDS LÄN</t>
        </is>
      </c>
      <c r="E9973" t="inlineStr">
        <is>
          <t>ÖRNSKÖLDSVIK</t>
        </is>
      </c>
      <c r="F9973" t="inlineStr">
        <is>
          <t>Holmen skog AB</t>
        </is>
      </c>
      <c r="G9973" t="n">
        <v>14</v>
      </c>
      <c r="H9973" t="n">
        <v>0</v>
      </c>
      <c r="I9973" t="n">
        <v>0</v>
      </c>
      <c r="J9973" t="n">
        <v>0</v>
      </c>
      <c r="K9973" t="n">
        <v>0</v>
      </c>
      <c r="L9973" t="n">
        <v>0</v>
      </c>
      <c r="M9973" t="n">
        <v>0</v>
      </c>
      <c r="N9973" t="n">
        <v>0</v>
      </c>
      <c r="O9973" t="n">
        <v>0</v>
      </c>
      <c r="P9973" t="n">
        <v>0</v>
      </c>
      <c r="Q9973" t="n">
        <v>0</v>
      </c>
      <c r="R9973" s="2" t="inlineStr"/>
    </row>
    <row r="9974" ht="15" customHeight="1">
      <c r="A9974" t="inlineStr">
        <is>
          <t>A 20835-2023</t>
        </is>
      </c>
      <c r="B9974" s="1" t="n">
        <v>45058</v>
      </c>
      <c r="C9974" s="1" t="n">
        <v>46093</v>
      </c>
      <c r="D9974" t="inlineStr">
        <is>
          <t>VÄSTERNORRLANDS LÄN</t>
        </is>
      </c>
      <c r="E9974" t="inlineStr">
        <is>
          <t>TIMRÅ</t>
        </is>
      </c>
      <c r="G9974" t="n">
        <v>4.4</v>
      </c>
      <c r="H9974" t="n">
        <v>0</v>
      </c>
      <c r="I9974" t="n">
        <v>0</v>
      </c>
      <c r="J9974" t="n">
        <v>0</v>
      </c>
      <c r="K9974" t="n">
        <v>0</v>
      </c>
      <c r="L9974" t="n">
        <v>0</v>
      </c>
      <c r="M9974" t="n">
        <v>0</v>
      </c>
      <c r="N9974" t="n">
        <v>0</v>
      </c>
      <c r="O9974" t="n">
        <v>0</v>
      </c>
      <c r="P9974" t="n">
        <v>0</v>
      </c>
      <c r="Q9974" t="n">
        <v>0</v>
      </c>
      <c r="R9974" s="2" t="inlineStr"/>
    </row>
    <row r="9975" ht="15" customHeight="1">
      <c r="A9975" t="inlineStr">
        <is>
          <t>A 20839-2023</t>
        </is>
      </c>
      <c r="B9975" s="1" t="n">
        <v>45058.68923611111</v>
      </c>
      <c r="C9975" s="1" t="n">
        <v>46093</v>
      </c>
      <c r="D9975" t="inlineStr">
        <is>
          <t>VÄSTERNORRLANDS LÄN</t>
        </is>
      </c>
      <c r="E9975" t="inlineStr">
        <is>
          <t>TIMRÅ</t>
        </is>
      </c>
      <c r="G9975" t="n">
        <v>7.2</v>
      </c>
      <c r="H9975" t="n">
        <v>0</v>
      </c>
      <c r="I9975" t="n">
        <v>0</v>
      </c>
      <c r="J9975" t="n">
        <v>0</v>
      </c>
      <c r="K9975" t="n">
        <v>0</v>
      </c>
      <c r="L9975" t="n">
        <v>0</v>
      </c>
      <c r="M9975" t="n">
        <v>0</v>
      </c>
      <c r="N9975" t="n">
        <v>0</v>
      </c>
      <c r="O9975" t="n">
        <v>0</v>
      </c>
      <c r="P9975" t="n">
        <v>0</v>
      </c>
      <c r="Q9975" t="n">
        <v>0</v>
      </c>
      <c r="R9975" s="2" t="inlineStr"/>
    </row>
    <row r="9976" ht="15" customHeight="1">
      <c r="A9976" t="inlineStr">
        <is>
          <t>A 7288-2026</t>
        </is>
      </c>
      <c r="B9976" s="1" t="n">
        <v>46058.63849537037</v>
      </c>
      <c r="C9976" s="1" t="n">
        <v>46093</v>
      </c>
      <c r="D9976" t="inlineStr">
        <is>
          <t>VÄSTERNORRLANDS LÄN</t>
        </is>
      </c>
      <c r="E9976" t="inlineStr">
        <is>
          <t>SUNDSVALL</t>
        </is>
      </c>
      <c r="G9976" t="n">
        <v>0.6</v>
      </c>
      <c r="H9976" t="n">
        <v>0</v>
      </c>
      <c r="I9976" t="n">
        <v>0</v>
      </c>
      <c r="J9976" t="n">
        <v>0</v>
      </c>
      <c r="K9976" t="n">
        <v>0</v>
      </c>
      <c r="L9976" t="n">
        <v>0</v>
      </c>
      <c r="M9976" t="n">
        <v>0</v>
      </c>
      <c r="N9976" t="n">
        <v>0</v>
      </c>
      <c r="O9976" t="n">
        <v>0</v>
      </c>
      <c r="P9976" t="n">
        <v>0</v>
      </c>
      <c r="Q9976" t="n">
        <v>0</v>
      </c>
      <c r="R9976" s="2" t="inlineStr"/>
    </row>
    <row r="9977" ht="15" customHeight="1">
      <c r="A9977" t="inlineStr">
        <is>
          <t>A 7290-2026</t>
        </is>
      </c>
      <c r="B9977" s="1" t="n">
        <v>46058.6397337963</v>
      </c>
      <c r="C9977" s="1" t="n">
        <v>46093</v>
      </c>
      <c r="D9977" t="inlineStr">
        <is>
          <t>VÄSTERNORRLANDS LÄN</t>
        </is>
      </c>
      <c r="E9977" t="inlineStr">
        <is>
          <t>ÖRNSKÖLDSVIK</t>
        </is>
      </c>
      <c r="G9977" t="n">
        <v>4.2</v>
      </c>
      <c r="H9977" t="n">
        <v>0</v>
      </c>
      <c r="I9977" t="n">
        <v>0</v>
      </c>
      <c r="J9977" t="n">
        <v>0</v>
      </c>
      <c r="K9977" t="n">
        <v>0</v>
      </c>
      <c r="L9977" t="n">
        <v>0</v>
      </c>
      <c r="M9977" t="n">
        <v>0</v>
      </c>
      <c r="N9977" t="n">
        <v>0</v>
      </c>
      <c r="O9977" t="n">
        <v>0</v>
      </c>
      <c r="P9977" t="n">
        <v>0</v>
      </c>
      <c r="Q9977" t="n">
        <v>0</v>
      </c>
      <c r="R9977" s="2" t="inlineStr"/>
    </row>
    <row r="9978" ht="15" customHeight="1">
      <c r="A9978" t="inlineStr">
        <is>
          <t>A 10525-2023</t>
        </is>
      </c>
      <c r="B9978" s="1" t="n">
        <v>44987.92320601852</v>
      </c>
      <c r="C9978" s="1" t="n">
        <v>46093</v>
      </c>
      <c r="D9978" t="inlineStr">
        <is>
          <t>VÄSTERNORRLANDS LÄN</t>
        </is>
      </c>
      <c r="E9978" t="inlineStr">
        <is>
          <t>SUNDSVALL</t>
        </is>
      </c>
      <c r="G9978" t="n">
        <v>7.2</v>
      </c>
      <c r="H9978" t="n">
        <v>0</v>
      </c>
      <c r="I9978" t="n">
        <v>0</v>
      </c>
      <c r="J9978" t="n">
        <v>0</v>
      </c>
      <c r="K9978" t="n">
        <v>0</v>
      </c>
      <c r="L9978" t="n">
        <v>0</v>
      </c>
      <c r="M9978" t="n">
        <v>0</v>
      </c>
      <c r="N9978" t="n">
        <v>0</v>
      </c>
      <c r="O9978" t="n">
        <v>0</v>
      </c>
      <c r="P9978" t="n">
        <v>0</v>
      </c>
      <c r="Q9978" t="n">
        <v>0</v>
      </c>
      <c r="R9978" s="2" t="inlineStr"/>
    </row>
    <row r="9979" ht="15" customHeight="1">
      <c r="A9979" t="inlineStr">
        <is>
          <t>A 7161-2026</t>
        </is>
      </c>
      <c r="B9979" s="1" t="n">
        <v>46058.44846064815</v>
      </c>
      <c r="C9979" s="1" t="n">
        <v>46093</v>
      </c>
      <c r="D9979" t="inlineStr">
        <is>
          <t>VÄSTERNORRLANDS LÄN</t>
        </is>
      </c>
      <c r="E9979" t="inlineStr">
        <is>
          <t>SOLLEFTEÅ</t>
        </is>
      </c>
      <c r="F9979" t="inlineStr">
        <is>
          <t>SCA</t>
        </is>
      </c>
      <c r="G9979" t="n">
        <v>3</v>
      </c>
      <c r="H9979" t="n">
        <v>0</v>
      </c>
      <c r="I9979" t="n">
        <v>0</v>
      </c>
      <c r="J9979" t="n">
        <v>0</v>
      </c>
      <c r="K9979" t="n">
        <v>0</v>
      </c>
      <c r="L9979" t="n">
        <v>0</v>
      </c>
      <c r="M9979" t="n">
        <v>0</v>
      </c>
      <c r="N9979" t="n">
        <v>0</v>
      </c>
      <c r="O9979" t="n">
        <v>0</v>
      </c>
      <c r="P9979" t="n">
        <v>0</v>
      </c>
      <c r="Q9979" t="n">
        <v>0</v>
      </c>
      <c r="R9979" s="2" t="inlineStr"/>
    </row>
    <row r="9980" ht="15" customHeight="1">
      <c r="A9980" t="inlineStr">
        <is>
          <t>A 7162-2026</t>
        </is>
      </c>
      <c r="B9980" s="1" t="n">
        <v>46058.44864583333</v>
      </c>
      <c r="C9980" s="1" t="n">
        <v>46093</v>
      </c>
      <c r="D9980" t="inlineStr">
        <is>
          <t>VÄSTERNORRLANDS LÄN</t>
        </is>
      </c>
      <c r="E9980" t="inlineStr">
        <is>
          <t>SUNDSVALL</t>
        </is>
      </c>
      <c r="G9980" t="n">
        <v>2.1</v>
      </c>
      <c r="H9980" t="n">
        <v>0</v>
      </c>
      <c r="I9980" t="n">
        <v>0</v>
      </c>
      <c r="J9980" t="n">
        <v>0</v>
      </c>
      <c r="K9980" t="n">
        <v>0</v>
      </c>
      <c r="L9980" t="n">
        <v>0</v>
      </c>
      <c r="M9980" t="n">
        <v>0</v>
      </c>
      <c r="N9980" t="n">
        <v>0</v>
      </c>
      <c r="O9980" t="n">
        <v>0</v>
      </c>
      <c r="P9980" t="n">
        <v>0</v>
      </c>
      <c r="Q9980" t="n">
        <v>0</v>
      </c>
      <c r="R9980" s="2" t="inlineStr"/>
    </row>
    <row r="9981" ht="15" customHeight="1">
      <c r="A9981" t="inlineStr">
        <is>
          <t>A 34804-2022</t>
        </is>
      </c>
      <c r="B9981" s="1" t="n">
        <v>44795.94761574074</v>
      </c>
      <c r="C9981" s="1" t="n">
        <v>46093</v>
      </c>
      <c r="D9981" t="inlineStr">
        <is>
          <t>VÄSTERNORRLANDS LÄN</t>
        </is>
      </c>
      <c r="E9981" t="inlineStr">
        <is>
          <t>SOLLEFTEÅ</t>
        </is>
      </c>
      <c r="F9981" t="inlineStr">
        <is>
          <t>SCA</t>
        </is>
      </c>
      <c r="G9981" t="n">
        <v>2</v>
      </c>
      <c r="H9981" t="n">
        <v>0</v>
      </c>
      <c r="I9981" t="n">
        <v>0</v>
      </c>
      <c r="J9981" t="n">
        <v>0</v>
      </c>
      <c r="K9981" t="n">
        <v>0</v>
      </c>
      <c r="L9981" t="n">
        <v>0</v>
      </c>
      <c r="M9981" t="n">
        <v>0</v>
      </c>
      <c r="N9981" t="n">
        <v>0</v>
      </c>
      <c r="O9981" t="n">
        <v>0</v>
      </c>
      <c r="P9981" t="n">
        <v>0</v>
      </c>
      <c r="Q9981" t="n">
        <v>0</v>
      </c>
      <c r="R9981" s="2" t="inlineStr"/>
    </row>
    <row r="9982" ht="15" customHeight="1">
      <c r="A9982" t="inlineStr">
        <is>
          <t>A 6977-2026</t>
        </is>
      </c>
      <c r="B9982" s="1" t="n">
        <v>46057.59458333333</v>
      </c>
      <c r="C9982" s="1" t="n">
        <v>46093</v>
      </c>
      <c r="D9982" t="inlineStr">
        <is>
          <t>VÄSTERNORRLANDS LÄN</t>
        </is>
      </c>
      <c r="E9982" t="inlineStr">
        <is>
          <t>TIMRÅ</t>
        </is>
      </c>
      <c r="G9982" t="n">
        <v>0.7</v>
      </c>
      <c r="H9982" t="n">
        <v>0</v>
      </c>
      <c r="I9982" t="n">
        <v>0</v>
      </c>
      <c r="J9982" t="n">
        <v>0</v>
      </c>
      <c r="K9982" t="n">
        <v>0</v>
      </c>
      <c r="L9982" t="n">
        <v>0</v>
      </c>
      <c r="M9982" t="n">
        <v>0</v>
      </c>
      <c r="N9982" t="n">
        <v>0</v>
      </c>
      <c r="O9982" t="n">
        <v>0</v>
      </c>
      <c r="P9982" t="n">
        <v>0</v>
      </c>
      <c r="Q9982" t="n">
        <v>0</v>
      </c>
      <c r="R9982" s="2" t="inlineStr"/>
    </row>
    <row r="9983" ht="15" customHeight="1">
      <c r="A9983" t="inlineStr">
        <is>
          <t>A 7035-2026</t>
        </is>
      </c>
      <c r="B9983" s="1" t="n">
        <v>46057.68603009259</v>
      </c>
      <c r="C9983" s="1" t="n">
        <v>46093</v>
      </c>
      <c r="D9983" t="inlineStr">
        <is>
          <t>VÄSTERNORRLANDS LÄN</t>
        </is>
      </c>
      <c r="E9983" t="inlineStr">
        <is>
          <t>SUNDSVALL</t>
        </is>
      </c>
      <c r="G9983" t="n">
        <v>1.8</v>
      </c>
      <c r="H9983" t="n">
        <v>0</v>
      </c>
      <c r="I9983" t="n">
        <v>0</v>
      </c>
      <c r="J9983" t="n">
        <v>0</v>
      </c>
      <c r="K9983" t="n">
        <v>0</v>
      </c>
      <c r="L9983" t="n">
        <v>0</v>
      </c>
      <c r="M9983" t="n">
        <v>0</v>
      </c>
      <c r="N9983" t="n">
        <v>0</v>
      </c>
      <c r="O9983" t="n">
        <v>0</v>
      </c>
      <c r="P9983" t="n">
        <v>0</v>
      </c>
      <c r="Q9983" t="n">
        <v>0</v>
      </c>
      <c r="R9983" s="2" t="inlineStr"/>
    </row>
    <row r="9984" ht="15" customHeight="1">
      <c r="A9984" t="inlineStr">
        <is>
          <t>A 6975-2026</t>
        </is>
      </c>
      <c r="B9984" s="1" t="n">
        <v>46057.59436342592</v>
      </c>
      <c r="C9984" s="1" t="n">
        <v>46093</v>
      </c>
      <c r="D9984" t="inlineStr">
        <is>
          <t>VÄSTERNORRLANDS LÄN</t>
        </is>
      </c>
      <c r="E9984" t="inlineStr">
        <is>
          <t>ÅNGE</t>
        </is>
      </c>
      <c r="F9984" t="inlineStr">
        <is>
          <t>SCA</t>
        </is>
      </c>
      <c r="G9984" t="n">
        <v>20.7</v>
      </c>
      <c r="H9984" t="n">
        <v>0</v>
      </c>
      <c r="I9984" t="n">
        <v>0</v>
      </c>
      <c r="J9984" t="n">
        <v>0</v>
      </c>
      <c r="K9984" t="n">
        <v>0</v>
      </c>
      <c r="L9984" t="n">
        <v>0</v>
      </c>
      <c r="M9984" t="n">
        <v>0</v>
      </c>
      <c r="N9984" t="n">
        <v>0</v>
      </c>
      <c r="O9984" t="n">
        <v>0</v>
      </c>
      <c r="P9984" t="n">
        <v>0</v>
      </c>
      <c r="Q9984" t="n">
        <v>0</v>
      </c>
      <c r="R9984" s="2" t="inlineStr"/>
    </row>
    <row r="9985" ht="15" customHeight="1">
      <c r="A9985" t="inlineStr">
        <is>
          <t>A 7289-2026</t>
        </is>
      </c>
      <c r="B9985" s="1" t="n">
        <v>46058.63939814815</v>
      </c>
      <c r="C9985" s="1" t="n">
        <v>46093</v>
      </c>
      <c r="D9985" t="inlineStr">
        <is>
          <t>VÄSTERNORRLANDS LÄN</t>
        </is>
      </c>
      <c r="E9985" t="inlineStr">
        <is>
          <t>ÖRNSKÖLDSVIK</t>
        </is>
      </c>
      <c r="G9985" t="n">
        <v>2</v>
      </c>
      <c r="H9985" t="n">
        <v>0</v>
      </c>
      <c r="I9985" t="n">
        <v>0</v>
      </c>
      <c r="J9985" t="n">
        <v>0</v>
      </c>
      <c r="K9985" t="n">
        <v>0</v>
      </c>
      <c r="L9985" t="n">
        <v>0</v>
      </c>
      <c r="M9985" t="n">
        <v>0</v>
      </c>
      <c r="N9985" t="n">
        <v>0</v>
      </c>
      <c r="O9985" t="n">
        <v>0</v>
      </c>
      <c r="P9985" t="n">
        <v>0</v>
      </c>
      <c r="Q9985" t="n">
        <v>0</v>
      </c>
      <c r="R9985" s="2" t="inlineStr"/>
    </row>
    <row r="9986" ht="15" customHeight="1">
      <c r="A9986" t="inlineStr">
        <is>
          <t>A 32418-2024</t>
        </is>
      </c>
      <c r="B9986" s="1" t="n">
        <v>45512</v>
      </c>
      <c r="C9986" s="1" t="n">
        <v>46093</v>
      </c>
      <c r="D9986" t="inlineStr">
        <is>
          <t>VÄSTERNORRLANDS LÄN</t>
        </is>
      </c>
      <c r="E9986" t="inlineStr">
        <is>
          <t>HÄRNÖSAND</t>
        </is>
      </c>
      <c r="G9986" t="n">
        <v>6.8</v>
      </c>
      <c r="H9986" t="n">
        <v>0</v>
      </c>
      <c r="I9986" t="n">
        <v>0</v>
      </c>
      <c r="J9986" t="n">
        <v>0</v>
      </c>
      <c r="K9986" t="n">
        <v>0</v>
      </c>
      <c r="L9986" t="n">
        <v>0</v>
      </c>
      <c r="M9986" t="n">
        <v>0</v>
      </c>
      <c r="N9986" t="n">
        <v>0</v>
      </c>
      <c r="O9986" t="n">
        <v>0</v>
      </c>
      <c r="P9986" t="n">
        <v>0</v>
      </c>
      <c r="Q9986" t="n">
        <v>0</v>
      </c>
      <c r="R9986" s="2" t="inlineStr"/>
    </row>
    <row r="9987" ht="15" customHeight="1">
      <c r="A9987" t="inlineStr">
        <is>
          <t>A 7291-2026</t>
        </is>
      </c>
      <c r="B9987" s="1" t="n">
        <v>46058.64001157408</v>
      </c>
      <c r="C9987" s="1" t="n">
        <v>46093</v>
      </c>
      <c r="D9987" t="inlineStr">
        <is>
          <t>VÄSTERNORRLANDS LÄN</t>
        </is>
      </c>
      <c r="E9987" t="inlineStr">
        <is>
          <t>ÖRNSKÖLDSVIK</t>
        </is>
      </c>
      <c r="G9987" t="n">
        <v>2.3</v>
      </c>
      <c r="H9987" t="n">
        <v>0</v>
      </c>
      <c r="I9987" t="n">
        <v>0</v>
      </c>
      <c r="J9987" t="n">
        <v>0</v>
      </c>
      <c r="K9987" t="n">
        <v>0</v>
      </c>
      <c r="L9987" t="n">
        <v>0</v>
      </c>
      <c r="M9987" t="n">
        <v>0</v>
      </c>
      <c r="N9987" t="n">
        <v>0</v>
      </c>
      <c r="O9987" t="n">
        <v>0</v>
      </c>
      <c r="P9987" t="n">
        <v>0</v>
      </c>
      <c r="Q9987" t="n">
        <v>0</v>
      </c>
      <c r="R9987" s="2" t="inlineStr"/>
    </row>
    <row r="9988" ht="15" customHeight="1">
      <c r="A9988" t="inlineStr">
        <is>
          <t>A 7304-2026</t>
        </is>
      </c>
      <c r="B9988" s="1" t="n">
        <v>46058.65677083333</v>
      </c>
      <c r="C9988" s="1" t="n">
        <v>46093</v>
      </c>
      <c r="D9988" t="inlineStr">
        <is>
          <t>VÄSTERNORRLANDS LÄN</t>
        </is>
      </c>
      <c r="E9988" t="inlineStr">
        <is>
          <t>SOLLEFTEÅ</t>
        </is>
      </c>
      <c r="F9988" t="inlineStr">
        <is>
          <t>SCA</t>
        </is>
      </c>
      <c r="G9988" t="n">
        <v>6</v>
      </c>
      <c r="H9988" t="n">
        <v>0</v>
      </c>
      <c r="I9988" t="n">
        <v>0</v>
      </c>
      <c r="J9988" t="n">
        <v>0</v>
      </c>
      <c r="K9988" t="n">
        <v>0</v>
      </c>
      <c r="L9988" t="n">
        <v>0</v>
      </c>
      <c r="M9988" t="n">
        <v>0</v>
      </c>
      <c r="N9988" t="n">
        <v>0</v>
      </c>
      <c r="O9988" t="n">
        <v>0</v>
      </c>
      <c r="P9988" t="n">
        <v>0</v>
      </c>
      <c r="Q9988" t="n">
        <v>0</v>
      </c>
      <c r="R9988" s="2" t="inlineStr"/>
    </row>
    <row r="9989" ht="15" customHeight="1">
      <c r="A9989" t="inlineStr">
        <is>
          <t>A 32032-2024</t>
        </is>
      </c>
      <c r="B9989" s="1" t="n">
        <v>45510</v>
      </c>
      <c r="C9989" s="1" t="n">
        <v>46093</v>
      </c>
      <c r="D9989" t="inlineStr">
        <is>
          <t>VÄSTERNORRLANDS LÄN</t>
        </is>
      </c>
      <c r="E9989" t="inlineStr">
        <is>
          <t>SUNDSVALL</t>
        </is>
      </c>
      <c r="G9989" t="n">
        <v>10.8</v>
      </c>
      <c r="H9989" t="n">
        <v>0</v>
      </c>
      <c r="I9989" t="n">
        <v>0</v>
      </c>
      <c r="J9989" t="n">
        <v>0</v>
      </c>
      <c r="K9989" t="n">
        <v>0</v>
      </c>
      <c r="L9989" t="n">
        <v>0</v>
      </c>
      <c r="M9989" t="n">
        <v>0</v>
      </c>
      <c r="N9989" t="n">
        <v>0</v>
      </c>
      <c r="O9989" t="n">
        <v>0</v>
      </c>
      <c r="P9989" t="n">
        <v>0</v>
      </c>
      <c r="Q9989" t="n">
        <v>0</v>
      </c>
      <c r="R9989" s="2" t="inlineStr"/>
    </row>
    <row r="9990" ht="15" customHeight="1">
      <c r="A9990" t="inlineStr">
        <is>
          <t>A 6869-2026</t>
        </is>
      </c>
      <c r="B9990" s="1" t="n">
        <v>46057.44512731482</v>
      </c>
      <c r="C9990" s="1" t="n">
        <v>46093</v>
      </c>
      <c r="D9990" t="inlineStr">
        <is>
          <t>VÄSTERNORRLANDS LÄN</t>
        </is>
      </c>
      <c r="E9990" t="inlineStr">
        <is>
          <t>ÖRNSKÖLDSVIK</t>
        </is>
      </c>
      <c r="F9990" t="inlineStr">
        <is>
          <t>Holmen skog AB</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2234-2025</t>
        </is>
      </c>
      <c r="B9991" s="1" t="n">
        <v>45673.47938657407</v>
      </c>
      <c r="C9991" s="1" t="n">
        <v>46093</v>
      </c>
      <c r="D9991" t="inlineStr">
        <is>
          <t>VÄSTERNORRLANDS LÄN</t>
        </is>
      </c>
      <c r="E9991" t="inlineStr">
        <is>
          <t>ÖRNSKÖLDSVIK</t>
        </is>
      </c>
      <c r="G9991" t="n">
        <v>9.5</v>
      </c>
      <c r="H9991" t="n">
        <v>0</v>
      </c>
      <c r="I9991" t="n">
        <v>0</v>
      </c>
      <c r="J9991" t="n">
        <v>0</v>
      </c>
      <c r="K9991" t="n">
        <v>0</v>
      </c>
      <c r="L9991" t="n">
        <v>0</v>
      </c>
      <c r="M9991" t="n">
        <v>0</v>
      </c>
      <c r="N9991" t="n">
        <v>0</v>
      </c>
      <c r="O9991" t="n">
        <v>0</v>
      </c>
      <c r="P9991" t="n">
        <v>0</v>
      </c>
      <c r="Q9991" t="n">
        <v>0</v>
      </c>
      <c r="R9991" s="2" t="inlineStr"/>
    </row>
    <row r="9992" ht="15" customHeight="1">
      <c r="A9992" t="inlineStr">
        <is>
          <t>A 6376-2025</t>
        </is>
      </c>
      <c r="B9992" s="1" t="n">
        <v>45699</v>
      </c>
      <c r="C9992" s="1" t="n">
        <v>46093</v>
      </c>
      <c r="D9992" t="inlineStr">
        <is>
          <t>VÄSTERNORRLANDS LÄN</t>
        </is>
      </c>
      <c r="E9992" t="inlineStr">
        <is>
          <t>SOLLEFTEÅ</t>
        </is>
      </c>
      <c r="F9992" t="inlineStr">
        <is>
          <t>SCA</t>
        </is>
      </c>
      <c r="G9992" t="n">
        <v>3.3</v>
      </c>
      <c r="H9992" t="n">
        <v>0</v>
      </c>
      <c r="I9992" t="n">
        <v>0</v>
      </c>
      <c r="J9992" t="n">
        <v>0</v>
      </c>
      <c r="K9992" t="n">
        <v>0</v>
      </c>
      <c r="L9992" t="n">
        <v>0</v>
      </c>
      <c r="M9992" t="n">
        <v>0</v>
      </c>
      <c r="N9992" t="n">
        <v>0</v>
      </c>
      <c r="O9992" t="n">
        <v>0</v>
      </c>
      <c r="P9992" t="n">
        <v>0</v>
      </c>
      <c r="Q9992" t="n">
        <v>0</v>
      </c>
      <c r="R9992" s="2" t="inlineStr"/>
    </row>
    <row r="9993" ht="15" customHeight="1">
      <c r="A9993" t="inlineStr">
        <is>
          <t>A 6925-2026</t>
        </is>
      </c>
      <c r="B9993" s="1" t="n">
        <v>46056</v>
      </c>
      <c r="C9993" s="1" t="n">
        <v>46093</v>
      </c>
      <c r="D9993" t="inlineStr">
        <is>
          <t>VÄSTERNORRLANDS LÄN</t>
        </is>
      </c>
      <c r="E9993" t="inlineStr">
        <is>
          <t>SUNDSVALL</t>
        </is>
      </c>
      <c r="G9993" t="n">
        <v>0.9</v>
      </c>
      <c r="H9993" t="n">
        <v>0</v>
      </c>
      <c r="I9993" t="n">
        <v>0</v>
      </c>
      <c r="J9993" t="n">
        <v>0</v>
      </c>
      <c r="K9993" t="n">
        <v>0</v>
      </c>
      <c r="L9993" t="n">
        <v>0</v>
      </c>
      <c r="M9993" t="n">
        <v>0</v>
      </c>
      <c r="N9993" t="n">
        <v>0</v>
      </c>
      <c r="O9993" t="n">
        <v>0</v>
      </c>
      <c r="P9993" t="n">
        <v>0</v>
      </c>
      <c r="Q9993" t="n">
        <v>0</v>
      </c>
      <c r="R9993" s="2" t="inlineStr"/>
    </row>
    <row r="9994" ht="15" customHeight="1">
      <c r="A9994" t="inlineStr">
        <is>
          <t>A 8252-2025</t>
        </is>
      </c>
      <c r="B9994" s="1" t="n">
        <v>45708</v>
      </c>
      <c r="C9994" s="1" t="n">
        <v>46093</v>
      </c>
      <c r="D9994" t="inlineStr">
        <is>
          <t>VÄSTERNORRLANDS LÄN</t>
        </is>
      </c>
      <c r="E9994" t="inlineStr">
        <is>
          <t>ÖRNSKÖLDSVIK</t>
        </is>
      </c>
      <c r="G9994" t="n">
        <v>1.7</v>
      </c>
      <c r="H9994" t="n">
        <v>0</v>
      </c>
      <c r="I9994" t="n">
        <v>0</v>
      </c>
      <c r="J9994" t="n">
        <v>0</v>
      </c>
      <c r="K9994" t="n">
        <v>0</v>
      </c>
      <c r="L9994" t="n">
        <v>0</v>
      </c>
      <c r="M9994" t="n">
        <v>0</v>
      </c>
      <c r="N9994" t="n">
        <v>0</v>
      </c>
      <c r="O9994" t="n">
        <v>0</v>
      </c>
      <c r="P9994" t="n">
        <v>0</v>
      </c>
      <c r="Q9994" t="n">
        <v>0</v>
      </c>
      <c r="R9994" s="2" t="inlineStr"/>
    </row>
    <row r="9995" ht="15" customHeight="1">
      <c r="A9995" t="inlineStr">
        <is>
          <t>A 8265-2025</t>
        </is>
      </c>
      <c r="B9995" s="1" t="n">
        <v>45708.510625</v>
      </c>
      <c r="C9995" s="1" t="n">
        <v>46093</v>
      </c>
      <c r="D9995" t="inlineStr">
        <is>
          <t>VÄSTERNORRLANDS LÄN</t>
        </is>
      </c>
      <c r="E9995" t="inlineStr">
        <is>
          <t>ÖRNSKÖLDSVIK</t>
        </is>
      </c>
      <c r="G9995" t="n">
        <v>7.3</v>
      </c>
      <c r="H9995" t="n">
        <v>0</v>
      </c>
      <c r="I9995" t="n">
        <v>0</v>
      </c>
      <c r="J9995" t="n">
        <v>0</v>
      </c>
      <c r="K9995" t="n">
        <v>0</v>
      </c>
      <c r="L9995" t="n">
        <v>0</v>
      </c>
      <c r="M9995" t="n">
        <v>0</v>
      </c>
      <c r="N9995" t="n">
        <v>0</v>
      </c>
      <c r="O9995" t="n">
        <v>0</v>
      </c>
      <c r="P9995" t="n">
        <v>0</v>
      </c>
      <c r="Q9995" t="n">
        <v>0</v>
      </c>
      <c r="R9995" s="2" t="inlineStr"/>
    </row>
    <row r="9996" ht="15" customHeight="1">
      <c r="A9996" t="inlineStr">
        <is>
          <t>A 37338-2023</t>
        </is>
      </c>
      <c r="B9996" s="1" t="n">
        <v>45156</v>
      </c>
      <c r="C9996" s="1" t="n">
        <v>46093</v>
      </c>
      <c r="D9996" t="inlineStr">
        <is>
          <t>VÄSTERNORRLANDS LÄN</t>
        </is>
      </c>
      <c r="E9996" t="inlineStr">
        <is>
          <t>ÖRNSKÖLDSVIK</t>
        </is>
      </c>
      <c r="G9996" t="n">
        <v>1.6</v>
      </c>
      <c r="H9996" t="n">
        <v>0</v>
      </c>
      <c r="I9996" t="n">
        <v>0</v>
      </c>
      <c r="J9996" t="n">
        <v>0</v>
      </c>
      <c r="K9996" t="n">
        <v>0</v>
      </c>
      <c r="L9996" t="n">
        <v>0</v>
      </c>
      <c r="M9996" t="n">
        <v>0</v>
      </c>
      <c r="N9996" t="n">
        <v>0</v>
      </c>
      <c r="O9996" t="n">
        <v>0</v>
      </c>
      <c r="P9996" t="n">
        <v>0</v>
      </c>
      <c r="Q9996" t="n">
        <v>0</v>
      </c>
      <c r="R9996" s="2" t="inlineStr"/>
    </row>
    <row r="9997" ht="15" customHeight="1">
      <c r="A9997" t="inlineStr">
        <is>
          <t>A 63627-2025</t>
        </is>
      </c>
      <c r="B9997" s="1" t="n">
        <v>46014.36487268518</v>
      </c>
      <c r="C9997" s="1" t="n">
        <v>46093</v>
      </c>
      <c r="D9997" t="inlineStr">
        <is>
          <t>VÄSTERNORRLANDS LÄN</t>
        </is>
      </c>
      <c r="E9997" t="inlineStr">
        <is>
          <t>KRAMFORS</t>
        </is>
      </c>
      <c r="G9997" t="n">
        <v>4</v>
      </c>
      <c r="H9997" t="n">
        <v>0</v>
      </c>
      <c r="I9997" t="n">
        <v>0</v>
      </c>
      <c r="J9997" t="n">
        <v>0</v>
      </c>
      <c r="K9997" t="n">
        <v>0</v>
      </c>
      <c r="L9997" t="n">
        <v>0</v>
      </c>
      <c r="M9997" t="n">
        <v>0</v>
      </c>
      <c r="N9997" t="n">
        <v>0</v>
      </c>
      <c r="O9997" t="n">
        <v>0</v>
      </c>
      <c r="P9997" t="n">
        <v>0</v>
      </c>
      <c r="Q9997" t="n">
        <v>0</v>
      </c>
      <c r="R9997" s="2" t="inlineStr"/>
    </row>
    <row r="9998" ht="15" customHeight="1">
      <c r="A9998" t="inlineStr">
        <is>
          <t>A 5669-2026</t>
        </is>
      </c>
      <c r="B9998" s="1" t="n">
        <v>46051.46931712963</v>
      </c>
      <c r="C9998" s="1" t="n">
        <v>46093</v>
      </c>
      <c r="D9998" t="inlineStr">
        <is>
          <t>VÄSTERNORRLANDS LÄN</t>
        </is>
      </c>
      <c r="E9998" t="inlineStr">
        <is>
          <t>ÅNGE</t>
        </is>
      </c>
      <c r="F9998" t="inlineStr">
        <is>
          <t>SCA</t>
        </is>
      </c>
      <c r="G9998" t="n">
        <v>13.6</v>
      </c>
      <c r="H9998" t="n">
        <v>0</v>
      </c>
      <c r="I9998" t="n">
        <v>0</v>
      </c>
      <c r="J9998" t="n">
        <v>0</v>
      </c>
      <c r="K9998" t="n">
        <v>0</v>
      </c>
      <c r="L9998" t="n">
        <v>0</v>
      </c>
      <c r="M9998" t="n">
        <v>0</v>
      </c>
      <c r="N9998" t="n">
        <v>0</v>
      </c>
      <c r="O9998" t="n">
        <v>0</v>
      </c>
      <c r="P9998" t="n">
        <v>0</v>
      </c>
      <c r="Q9998" t="n">
        <v>0</v>
      </c>
      <c r="R9998" s="2" t="inlineStr"/>
    </row>
    <row r="9999" ht="15" customHeight="1">
      <c r="A9999" t="inlineStr">
        <is>
          <t>A 7292-2026</t>
        </is>
      </c>
      <c r="B9999" s="1" t="n">
        <v>46058.64039351852</v>
      </c>
      <c r="C9999" s="1" t="n">
        <v>46093</v>
      </c>
      <c r="D9999" t="inlineStr">
        <is>
          <t>VÄSTERNORRLANDS LÄN</t>
        </is>
      </c>
      <c r="E9999" t="inlineStr">
        <is>
          <t>ÖRNSKÖLDSVIK</t>
        </is>
      </c>
      <c r="G9999" t="n">
        <v>7.8</v>
      </c>
      <c r="H9999" t="n">
        <v>0</v>
      </c>
      <c r="I9999" t="n">
        <v>0</v>
      </c>
      <c r="J9999" t="n">
        <v>0</v>
      </c>
      <c r="K9999" t="n">
        <v>0</v>
      </c>
      <c r="L9999" t="n">
        <v>0</v>
      </c>
      <c r="M9999" t="n">
        <v>0</v>
      </c>
      <c r="N9999" t="n">
        <v>0</v>
      </c>
      <c r="O9999" t="n">
        <v>0</v>
      </c>
      <c r="P9999" t="n">
        <v>0</v>
      </c>
      <c r="Q9999" t="n">
        <v>0</v>
      </c>
      <c r="R9999" s="2" t="inlineStr"/>
    </row>
    <row r="10000" ht="15" customHeight="1">
      <c r="A10000" t="inlineStr">
        <is>
          <t>A 769-2025</t>
        </is>
      </c>
      <c r="B10000" s="1" t="n">
        <v>45659</v>
      </c>
      <c r="C10000" s="1" t="n">
        <v>46093</v>
      </c>
      <c r="D10000" t="inlineStr">
        <is>
          <t>VÄSTERNORRLANDS LÄN</t>
        </is>
      </c>
      <c r="E10000" t="inlineStr">
        <is>
          <t>SOLLEFTEÅ</t>
        </is>
      </c>
      <c r="G10000" t="n">
        <v>3.6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51001-2022</t>
        </is>
      </c>
      <c r="B10001" s="1" t="n">
        <v>44867.92756944444</v>
      </c>
      <c r="C10001" s="1" t="n">
        <v>46093</v>
      </c>
      <c r="D10001" t="inlineStr">
        <is>
          <t>VÄSTERNORRLANDS LÄN</t>
        </is>
      </c>
      <c r="E10001" t="inlineStr">
        <is>
          <t>HÄRNÖSAND</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57526-2024</t>
        </is>
      </c>
      <c r="B10002" s="1" t="n">
        <v>45630</v>
      </c>
      <c r="C10002" s="1" t="n">
        <v>46093</v>
      </c>
      <c r="D10002" t="inlineStr">
        <is>
          <t>VÄSTERNORRLANDS LÄN</t>
        </is>
      </c>
      <c r="E10002" t="inlineStr">
        <is>
          <t>ÅNGE</t>
        </is>
      </c>
      <c r="G10002" t="n">
        <v>3.2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7030-2026</t>
        </is>
      </c>
      <c r="B10003" s="1" t="n">
        <v>46057.67849537037</v>
      </c>
      <c r="C10003" s="1" t="n">
        <v>46093</v>
      </c>
      <c r="D10003" t="inlineStr">
        <is>
          <t>VÄSTERNORRLANDS LÄN</t>
        </is>
      </c>
      <c r="E10003" t="inlineStr">
        <is>
          <t>SUNDSVALL</t>
        </is>
      </c>
      <c r="G10003" t="n">
        <v>0.9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15646-2025</t>
        </is>
      </c>
      <c r="B10004" s="1" t="n">
        <v>45748</v>
      </c>
      <c r="C10004" s="1" t="n">
        <v>46093</v>
      </c>
      <c r="D10004" t="inlineStr">
        <is>
          <t>VÄSTERNORRLANDS LÄN</t>
        </is>
      </c>
      <c r="E10004" t="inlineStr">
        <is>
          <t>ÖRNSKÖLDSVIK</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27690-2025</t>
        </is>
      </c>
      <c r="B10005" s="1" t="n">
        <v>45813.65657407408</v>
      </c>
      <c r="C10005" s="1" t="n">
        <v>46093</v>
      </c>
      <c r="D10005" t="inlineStr">
        <is>
          <t>VÄSTERNORRLANDS LÄN</t>
        </is>
      </c>
      <c r="E10005" t="inlineStr">
        <is>
          <t>SUNDSVALL</t>
        </is>
      </c>
      <c r="F10005" t="inlineStr">
        <is>
          <t>SCA</t>
        </is>
      </c>
      <c r="G10005" t="n">
        <v>1.8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63849-2025</t>
        </is>
      </c>
      <c r="B10006" s="1" t="n">
        <v>46020.45061342593</v>
      </c>
      <c r="C10006" s="1" t="n">
        <v>46093</v>
      </c>
      <c r="D10006" t="inlineStr">
        <is>
          <t>VÄSTERNORRLANDS LÄN</t>
        </is>
      </c>
      <c r="E10006" t="inlineStr">
        <is>
          <t>ÖRNSKÖLDSVIK</t>
        </is>
      </c>
      <c r="G10006" t="n">
        <v>6.9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63799-2025</t>
        </is>
      </c>
      <c r="B10007" s="1" t="n">
        <v>46019</v>
      </c>
      <c r="C10007" s="1" t="n">
        <v>46093</v>
      </c>
      <c r="D10007" t="inlineStr">
        <is>
          <t>VÄSTERNORRLANDS LÄN</t>
        </is>
      </c>
      <c r="E10007" t="inlineStr">
        <is>
          <t>SUNDSVALL</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63805-2025</t>
        </is>
      </c>
      <c r="B10008" s="1" t="n">
        <v>46019.92979166667</v>
      </c>
      <c r="C10008" s="1" t="n">
        <v>46093</v>
      </c>
      <c r="D10008" t="inlineStr">
        <is>
          <t>VÄSTERNORRLANDS LÄN</t>
        </is>
      </c>
      <c r="E10008" t="inlineStr">
        <is>
          <t>TIMRÅ</t>
        </is>
      </c>
      <c r="G10008" t="n">
        <v>2.3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7635-2026</t>
        </is>
      </c>
      <c r="B10009" s="1" t="n">
        <v>46062.36525462963</v>
      </c>
      <c r="C10009" s="1" t="n">
        <v>46093</v>
      </c>
      <c r="D10009" t="inlineStr">
        <is>
          <t>VÄSTERNORRLANDS LÄN</t>
        </is>
      </c>
      <c r="E10009" t="inlineStr">
        <is>
          <t>SUNDSVALL</t>
        </is>
      </c>
      <c r="F10009" t="inlineStr">
        <is>
          <t>SCA</t>
        </is>
      </c>
      <c r="G10009" t="n">
        <v>1.5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7756-2026</t>
        </is>
      </c>
      <c r="B10010" s="1" t="n">
        <v>46062.55083333333</v>
      </c>
      <c r="C10010" s="1" t="n">
        <v>46093</v>
      </c>
      <c r="D10010" t="inlineStr">
        <is>
          <t>VÄSTERNORRLANDS LÄN</t>
        </is>
      </c>
      <c r="E10010" t="inlineStr">
        <is>
          <t>ÖRNSKÖLDSVIK</t>
        </is>
      </c>
      <c r="G10010" t="n">
        <v>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7090-2026</t>
        </is>
      </c>
      <c r="B10011" s="1" t="n">
        <v>46058</v>
      </c>
      <c r="C10011" s="1" t="n">
        <v>46093</v>
      </c>
      <c r="D10011" t="inlineStr">
        <is>
          <t>VÄSTERNORRLANDS LÄN</t>
        </is>
      </c>
      <c r="E10011" t="inlineStr">
        <is>
          <t>SUNDSVALL</t>
        </is>
      </c>
      <c r="G10011" t="n">
        <v>0.8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36546-2023</t>
        </is>
      </c>
      <c r="B10012" s="1" t="n">
        <v>45153</v>
      </c>
      <c r="C10012" s="1" t="n">
        <v>46093</v>
      </c>
      <c r="D10012" t="inlineStr">
        <is>
          <t>VÄSTERNORRLANDS LÄN</t>
        </is>
      </c>
      <c r="E10012" t="inlineStr">
        <is>
          <t>KRAMFORS</t>
        </is>
      </c>
      <c r="G10012" t="n">
        <v>3.1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4905-2025</t>
        </is>
      </c>
      <c r="B10013" s="1" t="n">
        <v>45688.68043981482</v>
      </c>
      <c r="C10013" s="1" t="n">
        <v>46093</v>
      </c>
      <c r="D10013" t="inlineStr">
        <is>
          <t>VÄSTERNORRLANDS LÄN</t>
        </is>
      </c>
      <c r="E10013" t="inlineStr">
        <is>
          <t>SOLLEFTEÅ</t>
        </is>
      </c>
      <c r="F10013" t="inlineStr">
        <is>
          <t>SCA</t>
        </is>
      </c>
      <c r="G10013" t="n">
        <v>4.2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7548-2026</t>
        </is>
      </c>
      <c r="B10014" s="1" t="n">
        <v>46059.67776620371</v>
      </c>
      <c r="C10014" s="1" t="n">
        <v>46093</v>
      </c>
      <c r="D10014" t="inlineStr">
        <is>
          <t>VÄSTERNORRLANDS LÄN</t>
        </is>
      </c>
      <c r="E10014" t="inlineStr">
        <is>
          <t>ÅNGE</t>
        </is>
      </c>
      <c r="F10014" t="inlineStr">
        <is>
          <t>SCA</t>
        </is>
      </c>
      <c r="G10014" t="n">
        <v>3.2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45874-2021</t>
        </is>
      </c>
      <c r="B10015" s="1" t="n">
        <v>44441</v>
      </c>
      <c r="C10015" s="1" t="n">
        <v>46093</v>
      </c>
      <c r="D10015" t="inlineStr">
        <is>
          <t>VÄSTERNORRLANDS LÄN</t>
        </is>
      </c>
      <c r="E10015" t="inlineStr">
        <is>
          <t>ÖRNSKÖLDSVIK</t>
        </is>
      </c>
      <c r="F10015" t="inlineStr">
        <is>
          <t>Holmen skog AB</t>
        </is>
      </c>
      <c r="G10015" t="n">
        <v>8.6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6733-2025</t>
        </is>
      </c>
      <c r="B10016" s="1" t="n">
        <v>45700.59425925926</v>
      </c>
      <c r="C10016" s="1" t="n">
        <v>46093</v>
      </c>
      <c r="D10016" t="inlineStr">
        <is>
          <t>VÄSTERNORRLANDS LÄN</t>
        </is>
      </c>
      <c r="E10016" t="inlineStr">
        <is>
          <t>SOLLEFTEÅ</t>
        </is>
      </c>
      <c r="G10016" t="n">
        <v>0.4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14036-2025</t>
        </is>
      </c>
      <c r="B10017" s="1" t="n">
        <v>45740.36508101852</v>
      </c>
      <c r="C10017" s="1" t="n">
        <v>46093</v>
      </c>
      <c r="D10017" t="inlineStr">
        <is>
          <t>VÄSTERNORRLANDS LÄN</t>
        </is>
      </c>
      <c r="E10017" t="inlineStr">
        <is>
          <t>SOLLEFTEÅ</t>
        </is>
      </c>
      <c r="F10017" t="inlineStr">
        <is>
          <t>SCA</t>
        </is>
      </c>
      <c r="G10017" t="n">
        <v>0.5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63785-2025</t>
        </is>
      </c>
      <c r="B10018" s="1" t="n">
        <v>46019</v>
      </c>
      <c r="C10018" s="1" t="n">
        <v>46093</v>
      </c>
      <c r="D10018" t="inlineStr">
        <is>
          <t>VÄSTERNORRLANDS LÄN</t>
        </is>
      </c>
      <c r="E10018" t="inlineStr">
        <is>
          <t>ÖRNSKÖLDSVIK</t>
        </is>
      </c>
      <c r="G10018" t="n">
        <v>0.7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7786-2026</t>
        </is>
      </c>
      <c r="B10019" s="1" t="n">
        <v>46062.58525462963</v>
      </c>
      <c r="C10019" s="1" t="n">
        <v>46093</v>
      </c>
      <c r="D10019" t="inlineStr">
        <is>
          <t>VÄSTERNORRLANDS LÄN</t>
        </is>
      </c>
      <c r="E10019" t="inlineStr">
        <is>
          <t>KRAMFORS</t>
        </is>
      </c>
      <c r="G10019" t="n">
        <v>2.4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44278-2025</t>
        </is>
      </c>
      <c r="B10020" s="1" t="n">
        <v>45916.34482638889</v>
      </c>
      <c r="C10020" s="1" t="n">
        <v>46093</v>
      </c>
      <c r="D10020" t="inlineStr">
        <is>
          <t>VÄSTERNORRLANDS LÄN</t>
        </is>
      </c>
      <c r="E10020" t="inlineStr">
        <is>
          <t>SUNDSVALL</t>
        </is>
      </c>
      <c r="F10020" t="inlineStr">
        <is>
          <t>SCA</t>
        </is>
      </c>
      <c r="G10020" t="n">
        <v>1.8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44283-2025</t>
        </is>
      </c>
      <c r="B10021" s="1" t="n">
        <v>45916.34541666666</v>
      </c>
      <c r="C10021" s="1" t="n">
        <v>46093</v>
      </c>
      <c r="D10021" t="inlineStr">
        <is>
          <t>VÄSTERNORRLANDS LÄN</t>
        </is>
      </c>
      <c r="E10021" t="inlineStr">
        <is>
          <t>SUNDSVALL</t>
        </is>
      </c>
      <c r="F10021" t="inlineStr">
        <is>
          <t>SCA</t>
        </is>
      </c>
      <c r="G10021" t="n">
        <v>0.5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13585-2025</t>
        </is>
      </c>
      <c r="B10022" s="1" t="n">
        <v>45736.59268518518</v>
      </c>
      <c r="C10022" s="1" t="n">
        <v>46093</v>
      </c>
      <c r="D10022" t="inlineStr">
        <is>
          <t>VÄSTERNORRLANDS LÄN</t>
        </is>
      </c>
      <c r="E10022" t="inlineStr">
        <is>
          <t>ÖRNSKÖLDSVIK</t>
        </is>
      </c>
      <c r="F10022" t="inlineStr">
        <is>
          <t>Holmen skog AB</t>
        </is>
      </c>
      <c r="G10022" t="n">
        <v>5.1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9598-2025</t>
        </is>
      </c>
      <c r="B10023" s="1" t="n">
        <v>45715</v>
      </c>
      <c r="C10023" s="1" t="n">
        <v>46093</v>
      </c>
      <c r="D10023" t="inlineStr">
        <is>
          <t>VÄSTERNORRLANDS LÄN</t>
        </is>
      </c>
      <c r="E10023" t="inlineStr">
        <is>
          <t>SUNDSVALL</t>
        </is>
      </c>
      <c r="G10023" t="n">
        <v>1.9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13638-2025</t>
        </is>
      </c>
      <c r="B10024" s="1" t="n">
        <v>45736.65696759259</v>
      </c>
      <c r="C10024" s="1" t="n">
        <v>46093</v>
      </c>
      <c r="D10024" t="inlineStr">
        <is>
          <t>VÄSTERNORRLANDS LÄN</t>
        </is>
      </c>
      <c r="E10024" t="inlineStr">
        <is>
          <t>SUNDSVALL</t>
        </is>
      </c>
      <c r="F10024" t="inlineStr">
        <is>
          <t>SCA</t>
        </is>
      </c>
      <c r="G10024" t="n">
        <v>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7453-2026</t>
        </is>
      </c>
      <c r="B10025" s="1" t="n">
        <v>46059.46925925926</v>
      </c>
      <c r="C10025" s="1" t="n">
        <v>46093</v>
      </c>
      <c r="D10025" t="inlineStr">
        <is>
          <t>VÄSTERNORRLANDS LÄN</t>
        </is>
      </c>
      <c r="E10025" t="inlineStr">
        <is>
          <t>SOLLEFTEÅ</t>
        </is>
      </c>
      <c r="G10025" t="n">
        <v>8.800000000000001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16467-2024</t>
        </is>
      </c>
      <c r="B10026" s="1" t="n">
        <v>45408</v>
      </c>
      <c r="C10026" s="1" t="n">
        <v>46093</v>
      </c>
      <c r="D10026" t="inlineStr">
        <is>
          <t>VÄSTERNORRLANDS LÄN</t>
        </is>
      </c>
      <c r="E10026" t="inlineStr">
        <is>
          <t>SOLLEFTEÅ</t>
        </is>
      </c>
      <c r="F10026" t="inlineStr">
        <is>
          <t>SCA</t>
        </is>
      </c>
      <c r="G10026" t="n">
        <v>5.7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55638-2025</t>
        </is>
      </c>
      <c r="B10027" s="1" t="n">
        <v>45972.34515046296</v>
      </c>
      <c r="C10027" s="1" t="n">
        <v>46093</v>
      </c>
      <c r="D10027" t="inlineStr">
        <is>
          <t>VÄSTERNORRLANDS LÄN</t>
        </is>
      </c>
      <c r="E10027" t="inlineStr">
        <is>
          <t>TIMRÅ</t>
        </is>
      </c>
      <c r="F10027" t="inlineStr">
        <is>
          <t>SCA</t>
        </is>
      </c>
      <c r="G10027" t="n">
        <v>2.7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18866-2024</t>
        </is>
      </c>
      <c r="B10028" s="1" t="n">
        <v>45426.92612268519</v>
      </c>
      <c r="C10028" s="1" t="n">
        <v>46093</v>
      </c>
      <c r="D10028" t="inlineStr">
        <is>
          <t>VÄSTERNORRLANDS LÄN</t>
        </is>
      </c>
      <c r="E10028" t="inlineStr">
        <is>
          <t>ÖRNSKÖLDSVIK</t>
        </is>
      </c>
      <c r="G10028" t="n">
        <v>0.8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50181-2025</t>
        </is>
      </c>
      <c r="B10029" s="1" t="n">
        <v>45943.61526620371</v>
      </c>
      <c r="C10029" s="1" t="n">
        <v>46093</v>
      </c>
      <c r="D10029" t="inlineStr">
        <is>
          <t>VÄSTERNORRLANDS LÄN</t>
        </is>
      </c>
      <c r="E10029" t="inlineStr">
        <is>
          <t>TIMRÅ</t>
        </is>
      </c>
      <c r="F10029" t="inlineStr">
        <is>
          <t>SCA</t>
        </is>
      </c>
      <c r="G10029" t="n">
        <v>5.2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18456-2024</t>
        </is>
      </c>
      <c r="B10030" s="1" t="n">
        <v>45425.46831018518</v>
      </c>
      <c r="C10030" s="1" t="n">
        <v>46093</v>
      </c>
      <c r="D10030" t="inlineStr">
        <is>
          <t>VÄSTERNORRLANDS LÄN</t>
        </is>
      </c>
      <c r="E10030" t="inlineStr">
        <is>
          <t>ÅNGE</t>
        </is>
      </c>
      <c r="G10030" t="n">
        <v>0.6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22624-2024</t>
        </is>
      </c>
      <c r="B10031" s="1" t="n">
        <v>45447</v>
      </c>
      <c r="C10031" s="1" t="n">
        <v>46093</v>
      </c>
      <c r="D10031" t="inlineStr">
        <is>
          <t>VÄSTERNORRLANDS LÄN</t>
        </is>
      </c>
      <c r="E10031" t="inlineStr">
        <is>
          <t>SUNDSVALL</t>
        </is>
      </c>
      <c r="G10031" t="n">
        <v>3.3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22627-2024</t>
        </is>
      </c>
      <c r="B10032" s="1" t="n">
        <v>45447.6671412037</v>
      </c>
      <c r="C10032" s="1" t="n">
        <v>46093</v>
      </c>
      <c r="D10032" t="inlineStr">
        <is>
          <t>VÄSTERNORRLANDS LÄN</t>
        </is>
      </c>
      <c r="E10032" t="inlineStr">
        <is>
          <t>SUNDSVALL</t>
        </is>
      </c>
      <c r="G10032" t="n">
        <v>1.4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28229-2024</t>
        </is>
      </c>
      <c r="B10033" s="1" t="n">
        <v>45477.3791087963</v>
      </c>
      <c r="C10033" s="1" t="n">
        <v>46093</v>
      </c>
      <c r="D10033" t="inlineStr">
        <is>
          <t>VÄSTERNORRLANDS LÄN</t>
        </is>
      </c>
      <c r="E10033" t="inlineStr">
        <is>
          <t>SUNDSVALL</t>
        </is>
      </c>
      <c r="F10033" t="inlineStr">
        <is>
          <t>Holmen skog AB</t>
        </is>
      </c>
      <c r="G10033" t="n">
        <v>2.1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28244-2024</t>
        </is>
      </c>
      <c r="B10034" s="1" t="n">
        <v>45477.40596064815</v>
      </c>
      <c r="C10034" s="1" t="n">
        <v>46093</v>
      </c>
      <c r="D10034" t="inlineStr">
        <is>
          <t>VÄSTERNORRLANDS LÄN</t>
        </is>
      </c>
      <c r="E10034" t="inlineStr">
        <is>
          <t>SUNDSVALL</t>
        </is>
      </c>
      <c r="F10034" t="inlineStr">
        <is>
          <t>Holmen skog AB</t>
        </is>
      </c>
      <c r="G10034" t="n">
        <v>1.7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31339-2025</t>
        </is>
      </c>
      <c r="B10035" s="1" t="n">
        <v>45833.42782407408</v>
      </c>
      <c r="C10035" s="1" t="n">
        <v>46093</v>
      </c>
      <c r="D10035" t="inlineStr">
        <is>
          <t>VÄSTERNORRLANDS LÄN</t>
        </is>
      </c>
      <c r="E10035" t="inlineStr">
        <is>
          <t>TIMRÅ</t>
        </is>
      </c>
      <c r="F10035" t="inlineStr">
        <is>
          <t>SCA</t>
        </is>
      </c>
      <c r="G10035" t="n">
        <v>1.4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58311-2025</t>
        </is>
      </c>
      <c r="B10036" s="1" t="n">
        <v>45985.46954861111</v>
      </c>
      <c r="C10036" s="1" t="n">
        <v>46093</v>
      </c>
      <c r="D10036" t="inlineStr">
        <is>
          <t>VÄSTERNORRLANDS LÄN</t>
        </is>
      </c>
      <c r="E10036" t="inlineStr">
        <is>
          <t>TIMRÅ</t>
        </is>
      </c>
      <c r="F10036" t="inlineStr">
        <is>
          <t>SCA</t>
        </is>
      </c>
      <c r="G10036" t="n">
        <v>1.7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21342-2024</t>
        </is>
      </c>
      <c r="B10037" s="1" t="n">
        <v>45440.92842592593</v>
      </c>
      <c r="C10037" s="1" t="n">
        <v>46093</v>
      </c>
      <c r="D10037" t="inlineStr">
        <is>
          <t>VÄSTERNORRLANDS LÄN</t>
        </is>
      </c>
      <c r="E10037" t="inlineStr">
        <is>
          <t>KRAMFORS</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33433-2025</t>
        </is>
      </c>
      <c r="B10038" s="1" t="n">
        <v>45841.4485300926</v>
      </c>
      <c r="C10038" s="1" t="n">
        <v>46093</v>
      </c>
      <c r="D10038" t="inlineStr">
        <is>
          <t>VÄSTERNORRLANDS LÄN</t>
        </is>
      </c>
      <c r="E10038" t="inlineStr">
        <is>
          <t>SUNDSVALL</t>
        </is>
      </c>
      <c r="F10038" t="inlineStr">
        <is>
          <t>SCA</t>
        </is>
      </c>
      <c r="G10038" t="n">
        <v>2.2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30213-2025</t>
        </is>
      </c>
      <c r="B10039" s="1" t="n">
        <v>45827</v>
      </c>
      <c r="C10039" s="1" t="n">
        <v>46093</v>
      </c>
      <c r="D10039" t="inlineStr">
        <is>
          <t>VÄSTERNORRLANDS LÄN</t>
        </is>
      </c>
      <c r="E10039" t="inlineStr">
        <is>
          <t>SUNDSVALL</t>
        </is>
      </c>
      <c r="G10039" t="n">
        <v>10.8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36869-2025</t>
        </is>
      </c>
      <c r="B10040" s="1" t="n">
        <v>45874</v>
      </c>
      <c r="C10040" s="1" t="n">
        <v>46093</v>
      </c>
      <c r="D10040" t="inlineStr">
        <is>
          <t>VÄSTERNORRLANDS LÄN</t>
        </is>
      </c>
      <c r="E10040" t="inlineStr">
        <is>
          <t>TIMRÅ</t>
        </is>
      </c>
      <c r="F10040" t="inlineStr">
        <is>
          <t>SCA</t>
        </is>
      </c>
      <c r="G10040" t="n">
        <v>3.1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7392-2026</t>
        </is>
      </c>
      <c r="B10041" s="1" t="n">
        <v>46057</v>
      </c>
      <c r="C10041" s="1" t="n">
        <v>46093</v>
      </c>
      <c r="D10041" t="inlineStr">
        <is>
          <t>VÄSTERNORRLANDS LÄN</t>
        </is>
      </c>
      <c r="E10041" t="inlineStr">
        <is>
          <t>SUNDSVALL</t>
        </is>
      </c>
      <c r="G10041" t="n">
        <v>0.9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64641-2021</t>
        </is>
      </c>
      <c r="B10042" s="1" t="n">
        <v>44511</v>
      </c>
      <c r="C10042" s="1" t="n">
        <v>46093</v>
      </c>
      <c r="D10042" t="inlineStr">
        <is>
          <t>VÄSTERNORRLANDS LÄN</t>
        </is>
      </c>
      <c r="E10042" t="inlineStr">
        <is>
          <t>SUNDSVALL</t>
        </is>
      </c>
      <c r="F10042" t="inlineStr">
        <is>
          <t>SCA</t>
        </is>
      </c>
      <c r="G10042" t="n">
        <v>3.8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21377-2023</t>
        </is>
      </c>
      <c r="B10043" s="1" t="n">
        <v>45063</v>
      </c>
      <c r="C10043" s="1" t="n">
        <v>46093</v>
      </c>
      <c r="D10043" t="inlineStr">
        <is>
          <t>VÄSTERNORRLANDS LÄN</t>
        </is>
      </c>
      <c r="E10043" t="inlineStr">
        <is>
          <t>SUNDSVALL</t>
        </is>
      </c>
      <c r="G10043" t="n">
        <v>0.4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21600-2023</t>
        </is>
      </c>
      <c r="B10044" s="1" t="n">
        <v>45062</v>
      </c>
      <c r="C10044" s="1" t="n">
        <v>46093</v>
      </c>
      <c r="D10044" t="inlineStr">
        <is>
          <t>VÄSTERNORRLANDS LÄN</t>
        </is>
      </c>
      <c r="E10044" t="inlineStr">
        <is>
          <t>SUNDSVALL</t>
        </is>
      </c>
      <c r="G10044" t="n">
        <v>3.4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41658-2025</t>
        </is>
      </c>
      <c r="B10045" s="1" t="n">
        <v>45902.34451388889</v>
      </c>
      <c r="C10045" s="1" t="n">
        <v>46093</v>
      </c>
      <c r="D10045" t="inlineStr">
        <is>
          <t>VÄSTERNORRLANDS LÄN</t>
        </is>
      </c>
      <c r="E10045" t="inlineStr">
        <is>
          <t>SUNDSVALL</t>
        </is>
      </c>
      <c r="F10045" t="inlineStr">
        <is>
          <t>SCA</t>
        </is>
      </c>
      <c r="G10045" t="n">
        <v>0.6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7617-2026</t>
        </is>
      </c>
      <c r="B10046" s="1" t="n">
        <v>46062.33678240741</v>
      </c>
      <c r="C10046" s="1" t="n">
        <v>46093</v>
      </c>
      <c r="D10046" t="inlineStr">
        <is>
          <t>VÄSTERNORRLANDS LÄN</t>
        </is>
      </c>
      <c r="E10046" t="inlineStr">
        <is>
          <t>SUNDSVALL</t>
        </is>
      </c>
      <c r="F10046" t="inlineStr">
        <is>
          <t>Holmen skog AB</t>
        </is>
      </c>
      <c r="G10046" t="n">
        <v>31.3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7547-2026</t>
        </is>
      </c>
      <c r="B10047" s="1" t="n">
        <v>46059.67755787037</v>
      </c>
      <c r="C10047" s="1" t="n">
        <v>46093</v>
      </c>
      <c r="D10047" t="inlineStr">
        <is>
          <t>VÄSTERNORRLANDS LÄN</t>
        </is>
      </c>
      <c r="E10047" t="inlineStr">
        <is>
          <t>ÅNGE</t>
        </is>
      </c>
      <c r="F10047" t="inlineStr">
        <is>
          <t>SCA</t>
        </is>
      </c>
      <c r="G10047" t="n">
        <v>2.2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25782-2025</t>
        </is>
      </c>
      <c r="B10048" s="1" t="n">
        <v>45804</v>
      </c>
      <c r="C10048" s="1" t="n">
        <v>46093</v>
      </c>
      <c r="D10048" t="inlineStr">
        <is>
          <t>VÄSTERNORRLANDS LÄN</t>
        </is>
      </c>
      <c r="E10048" t="inlineStr">
        <is>
          <t>TIMRÅ</t>
        </is>
      </c>
      <c r="F10048" t="inlineStr">
        <is>
          <t>SCA</t>
        </is>
      </c>
      <c r="G10048" t="n">
        <v>22.3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5628-2026</t>
        </is>
      </c>
      <c r="B10049" s="1" t="n">
        <v>46051</v>
      </c>
      <c r="C10049" s="1" t="n">
        <v>46093</v>
      </c>
      <c r="D10049" t="inlineStr">
        <is>
          <t>VÄSTERNORRLANDS LÄN</t>
        </is>
      </c>
      <c r="E10049" t="inlineStr">
        <is>
          <t>ÖRNSKÖLDSVIK</t>
        </is>
      </c>
      <c r="F10049" t="inlineStr">
        <is>
          <t>Holmen skog AB</t>
        </is>
      </c>
      <c r="G10049" t="n">
        <v>8.6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48849-2025</t>
        </is>
      </c>
      <c r="B10050" s="1" t="n">
        <v>45937.42913194445</v>
      </c>
      <c r="C10050" s="1" t="n">
        <v>46093</v>
      </c>
      <c r="D10050" t="inlineStr">
        <is>
          <t>VÄSTERNORRLANDS LÄN</t>
        </is>
      </c>
      <c r="E10050" t="inlineStr">
        <is>
          <t>TIMRÅ</t>
        </is>
      </c>
      <c r="F10050" t="inlineStr">
        <is>
          <t>SCA</t>
        </is>
      </c>
      <c r="G10050" t="n">
        <v>5.9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55745-2025</t>
        </is>
      </c>
      <c r="B10051" s="1" t="n">
        <v>45972.57354166666</v>
      </c>
      <c r="C10051" s="1" t="n">
        <v>46093</v>
      </c>
      <c r="D10051" t="inlineStr">
        <is>
          <t>VÄSTERNORRLANDS LÄN</t>
        </is>
      </c>
      <c r="E10051" t="inlineStr">
        <is>
          <t>TIMRÅ</t>
        </is>
      </c>
      <c r="F10051" t="inlineStr">
        <is>
          <t>SCA</t>
        </is>
      </c>
      <c r="G10051" t="n">
        <v>0.4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10574-2022</t>
        </is>
      </c>
      <c r="B10052" s="1" t="n">
        <v>44623</v>
      </c>
      <c r="C10052" s="1" t="n">
        <v>46093</v>
      </c>
      <c r="D10052" t="inlineStr">
        <is>
          <t>VÄSTERNORRLANDS LÄN</t>
        </is>
      </c>
      <c r="E10052" t="inlineStr">
        <is>
          <t>ÖRNSKÖLDSVIK</t>
        </is>
      </c>
      <c r="G10052" t="n">
        <v>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7528-2026</t>
        </is>
      </c>
      <c r="B10053" s="1" t="n">
        <v>46059.61530092593</v>
      </c>
      <c r="C10053" s="1" t="n">
        <v>46093</v>
      </c>
      <c r="D10053" t="inlineStr">
        <is>
          <t>VÄSTERNORRLANDS LÄN</t>
        </is>
      </c>
      <c r="E10053" t="inlineStr">
        <is>
          <t>SOLLEFTEÅ</t>
        </is>
      </c>
      <c r="G10053" t="n">
        <v>1.3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127-2026</t>
        </is>
      </c>
      <c r="B10054" s="1" t="n">
        <v>46020</v>
      </c>
      <c r="C10054" s="1" t="n">
        <v>46093</v>
      </c>
      <c r="D10054" t="inlineStr">
        <is>
          <t>VÄSTERNORRLANDS LÄN</t>
        </is>
      </c>
      <c r="E10054" t="inlineStr">
        <is>
          <t>SOLLEFTEÅ</t>
        </is>
      </c>
      <c r="G10054" t="n">
        <v>8.300000000000001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9443-2025</t>
        </is>
      </c>
      <c r="B10055" s="1" t="n">
        <v>45715.4187037037</v>
      </c>
      <c r="C10055" s="1" t="n">
        <v>46093</v>
      </c>
      <c r="D10055" t="inlineStr">
        <is>
          <t>VÄSTERNORRLANDS LÄN</t>
        </is>
      </c>
      <c r="E10055" t="inlineStr">
        <is>
          <t>HÄRNÖSAND</t>
        </is>
      </c>
      <c r="G10055" t="n">
        <v>1.8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27844-2023</t>
        </is>
      </c>
      <c r="B10056" s="1" t="n">
        <v>45098.55303240741</v>
      </c>
      <c r="C10056" s="1" t="n">
        <v>46093</v>
      </c>
      <c r="D10056" t="inlineStr">
        <is>
          <t>VÄSTERNORRLANDS LÄN</t>
        </is>
      </c>
      <c r="E10056" t="inlineStr">
        <is>
          <t>SUNDSVALL</t>
        </is>
      </c>
      <c r="G10056" t="n">
        <v>4.6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7387-2026</t>
        </is>
      </c>
      <c r="B10057" s="1" t="n">
        <v>46059.36527777778</v>
      </c>
      <c r="C10057" s="1" t="n">
        <v>46093</v>
      </c>
      <c r="D10057" t="inlineStr">
        <is>
          <t>VÄSTERNORRLANDS LÄN</t>
        </is>
      </c>
      <c r="E10057" t="inlineStr">
        <is>
          <t>SOLLEFTEÅ</t>
        </is>
      </c>
      <c r="F10057" t="inlineStr">
        <is>
          <t>SCA</t>
        </is>
      </c>
      <c r="G10057" t="n">
        <v>2.6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2589-2025</t>
        </is>
      </c>
      <c r="B10058" s="1" t="n">
        <v>45674.6950462963</v>
      </c>
      <c r="C10058" s="1" t="n">
        <v>46093</v>
      </c>
      <c r="D10058" t="inlineStr">
        <is>
          <t>VÄSTERNORRLANDS LÄN</t>
        </is>
      </c>
      <c r="E10058" t="inlineStr">
        <is>
          <t>SUNDSVALL</t>
        </is>
      </c>
      <c r="G10058" t="n">
        <v>1.2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63904-2025</t>
        </is>
      </c>
      <c r="B10059" s="1" t="n">
        <v>46020.68284722222</v>
      </c>
      <c r="C10059" s="1" t="n">
        <v>46093</v>
      </c>
      <c r="D10059" t="inlineStr">
        <is>
          <t>VÄSTERNORRLANDS LÄN</t>
        </is>
      </c>
      <c r="E10059" t="inlineStr">
        <is>
          <t>HÄRNÖSAND</t>
        </is>
      </c>
      <c r="G10059" t="n">
        <v>2.1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63808-2025</t>
        </is>
      </c>
      <c r="B10060" s="1" t="n">
        <v>46019.94665509259</v>
      </c>
      <c r="C10060" s="1" t="n">
        <v>46093</v>
      </c>
      <c r="D10060" t="inlineStr">
        <is>
          <t>VÄSTERNORRLANDS LÄN</t>
        </is>
      </c>
      <c r="E10060" t="inlineStr">
        <is>
          <t>TIMRÅ</t>
        </is>
      </c>
      <c r="G10060" t="n">
        <v>1.7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50737-2024</t>
        </is>
      </c>
      <c r="B10061" s="1" t="n">
        <v>45602.39856481482</v>
      </c>
      <c r="C10061" s="1" t="n">
        <v>46093</v>
      </c>
      <c r="D10061" t="inlineStr">
        <is>
          <t>VÄSTERNORRLANDS LÄN</t>
        </is>
      </c>
      <c r="E10061" t="inlineStr">
        <is>
          <t>SUNDSVALL</t>
        </is>
      </c>
      <c r="G10061" t="n">
        <v>2.8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50205-2023</t>
        </is>
      </c>
      <c r="B10062" s="1" t="n">
        <v>45215.92600694444</v>
      </c>
      <c r="C10062" s="1" t="n">
        <v>46093</v>
      </c>
      <c r="D10062" t="inlineStr">
        <is>
          <t>VÄSTERNORRLANDS LÄN</t>
        </is>
      </c>
      <c r="E10062" t="inlineStr">
        <is>
          <t>SUNDSVALL</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7574-2026</t>
        </is>
      </c>
      <c r="B10063" s="1" t="n">
        <v>46060.7765625</v>
      </c>
      <c r="C10063" s="1" t="n">
        <v>46093</v>
      </c>
      <c r="D10063" t="inlineStr">
        <is>
          <t>VÄSTERNORRLANDS LÄN</t>
        </is>
      </c>
      <c r="E10063" t="inlineStr">
        <is>
          <t>HÄRNÖSAND</t>
        </is>
      </c>
      <c r="G10063" t="n">
        <v>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17049-2022</t>
        </is>
      </c>
      <c r="B10064" s="1" t="n">
        <v>44676</v>
      </c>
      <c r="C10064" s="1" t="n">
        <v>46093</v>
      </c>
      <c r="D10064" t="inlineStr">
        <is>
          <t>VÄSTERNORRLANDS LÄN</t>
        </is>
      </c>
      <c r="E10064" t="inlineStr">
        <is>
          <t>SOLLEFTEÅ</t>
        </is>
      </c>
      <c r="F10064" t="inlineStr">
        <is>
          <t>SCA</t>
        </is>
      </c>
      <c r="G10064" t="n">
        <v>2.6</v>
      </c>
      <c r="H10064" t="n">
        <v>0</v>
      </c>
      <c r="I10064" t="n">
        <v>0</v>
      </c>
      <c r="J10064" t="n">
        <v>0</v>
      </c>
      <c r="K10064" t="n">
        <v>0</v>
      </c>
      <c r="L10064" t="n">
        <v>0</v>
      </c>
      <c r="M10064" t="n">
        <v>0</v>
      </c>
      <c r="N10064" t="n">
        <v>0</v>
      </c>
      <c r="O10064" t="n">
        <v>0</v>
      </c>
      <c r="P10064" t="n">
        <v>0</v>
      </c>
      <c r="Q10064" t="n">
        <v>0</v>
      </c>
      <c r="R10064" s="2" t="inlineStr"/>
      <c r="U10064">
        <f>HYPERLINK("https://klasma.github.io/Logging_2283/knärot/A 17049-2022 karta knärot.png", "A 17049-2022")</f>
        <v/>
      </c>
      <c r="V10064">
        <f>HYPERLINK("https://klasma.github.io/Logging_2283/klagomål/A 17049-2022 FSC-klagomål.docx", "A 17049-2022")</f>
        <v/>
      </c>
      <c r="W10064">
        <f>HYPERLINK("https://klasma.github.io/Logging_2283/klagomålsmail/A 17049-2022 FSC-klagomål mail.docx", "A 17049-2022")</f>
        <v/>
      </c>
      <c r="X10064">
        <f>HYPERLINK("https://klasma.github.io/Logging_2283/tillsyn/A 17049-2022 tillsynsbegäran.docx", "A 17049-2022")</f>
        <v/>
      </c>
      <c r="Y10064">
        <f>HYPERLINK("https://klasma.github.io/Logging_2283/tillsynsmail/A 17049-2022 tillsynsbegäran mail.docx", "A 17049-2022")</f>
        <v/>
      </c>
    </row>
    <row r="10065" ht="15" customHeight="1">
      <c r="A10065" t="inlineStr">
        <is>
          <t>A 49058-2025</t>
        </is>
      </c>
      <c r="B10065" s="1" t="n">
        <v>45937.64094907408</v>
      </c>
      <c r="C10065" s="1" t="n">
        <v>46093</v>
      </c>
      <c r="D10065" t="inlineStr">
        <is>
          <t>VÄSTERNORRLANDS LÄN</t>
        </is>
      </c>
      <c r="E10065" t="inlineStr">
        <is>
          <t>TIMRÅ</t>
        </is>
      </c>
      <c r="F10065" t="inlineStr">
        <is>
          <t>SCA</t>
        </is>
      </c>
      <c r="G10065" t="n">
        <v>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8674-2025</t>
        </is>
      </c>
      <c r="B10066" s="1" t="n">
        <v>45712.42736111111</v>
      </c>
      <c r="C10066" s="1" t="n">
        <v>46093</v>
      </c>
      <c r="D10066" t="inlineStr">
        <is>
          <t>VÄSTERNORRLANDS LÄN</t>
        </is>
      </c>
      <c r="E10066" t="inlineStr">
        <is>
          <t>ÖRNSKÖLDSVIK</t>
        </is>
      </c>
      <c r="G10066" t="n">
        <v>0.7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7386-2026</t>
        </is>
      </c>
      <c r="B10067" s="1" t="n">
        <v>46059.36519675926</v>
      </c>
      <c r="C10067" s="1" t="n">
        <v>46093</v>
      </c>
      <c r="D10067" t="inlineStr">
        <is>
          <t>VÄSTERNORRLANDS LÄN</t>
        </is>
      </c>
      <c r="E10067" t="inlineStr">
        <is>
          <t>SOLLEFTEÅ</t>
        </is>
      </c>
      <c r="F10067" t="inlineStr">
        <is>
          <t>SCA</t>
        </is>
      </c>
      <c r="G10067" t="n">
        <v>4.4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7397-2026</t>
        </is>
      </c>
      <c r="B10068" s="1" t="n">
        <v>46059.37511574074</v>
      </c>
      <c r="C10068" s="1" t="n">
        <v>46093</v>
      </c>
      <c r="D10068" t="inlineStr">
        <is>
          <t>VÄSTERNORRLANDS LÄN</t>
        </is>
      </c>
      <c r="E10068" t="inlineStr">
        <is>
          <t>SOLLEFTEÅ</t>
        </is>
      </c>
      <c r="G10068" t="n">
        <v>3.7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7109-2026</t>
        </is>
      </c>
      <c r="B10069" s="1" t="n">
        <v>46058</v>
      </c>
      <c r="C10069" s="1" t="n">
        <v>46093</v>
      </c>
      <c r="D10069" t="inlineStr">
        <is>
          <t>VÄSTERNORRLANDS LÄN</t>
        </is>
      </c>
      <c r="E10069" t="inlineStr">
        <is>
          <t>SUNDSVALL</t>
        </is>
      </c>
      <c r="G10069" t="n">
        <v>1.4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31351-2025</t>
        </is>
      </c>
      <c r="B10070" s="1" t="n">
        <v>45833.42950231482</v>
      </c>
      <c r="C10070" s="1" t="n">
        <v>46093</v>
      </c>
      <c r="D10070" t="inlineStr">
        <is>
          <t>VÄSTERNORRLANDS LÄN</t>
        </is>
      </c>
      <c r="E10070" t="inlineStr">
        <is>
          <t>TIMRÅ</t>
        </is>
      </c>
      <c r="G10070" t="n">
        <v>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47150-2023</t>
        </is>
      </c>
      <c r="B10071" s="1" t="n">
        <v>45201</v>
      </c>
      <c r="C10071" s="1" t="n">
        <v>46093</v>
      </c>
      <c r="D10071" t="inlineStr">
        <is>
          <t>VÄSTERNORRLANDS LÄN</t>
        </is>
      </c>
      <c r="E10071" t="inlineStr">
        <is>
          <t>TIMRÅ</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47158-2023</t>
        </is>
      </c>
      <c r="B10072" s="1" t="n">
        <v>45201</v>
      </c>
      <c r="C10072" s="1" t="n">
        <v>46093</v>
      </c>
      <c r="D10072" t="inlineStr">
        <is>
          <t>VÄSTERNORRLANDS LÄN</t>
        </is>
      </c>
      <c r="E10072" t="inlineStr">
        <is>
          <t>SUNDSVALL</t>
        </is>
      </c>
      <c r="G10072" t="n">
        <v>6.7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7384-2024</t>
        </is>
      </c>
      <c r="B10073" s="1" t="n">
        <v>45345</v>
      </c>
      <c r="C10073" s="1" t="n">
        <v>46093</v>
      </c>
      <c r="D10073" t="inlineStr">
        <is>
          <t>VÄSTERNORRLANDS LÄN</t>
        </is>
      </c>
      <c r="E10073" t="inlineStr">
        <is>
          <t>SUNDSVALL</t>
        </is>
      </c>
      <c r="G10073" t="n">
        <v>1.4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149-2026</t>
        </is>
      </c>
      <c r="B10074" s="1" t="n">
        <v>46020</v>
      </c>
      <c r="C10074" s="1" t="n">
        <v>46093</v>
      </c>
      <c r="D10074" t="inlineStr">
        <is>
          <t>VÄSTERNORRLANDS LÄN</t>
        </is>
      </c>
      <c r="E10074" t="inlineStr">
        <is>
          <t>SOLLEFTEÅ</t>
        </is>
      </c>
      <c r="G10074" t="n">
        <v>5.6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27960-2023</t>
        </is>
      </c>
      <c r="B10075" s="1" t="n">
        <v>45098.68864583333</v>
      </c>
      <c r="C10075" s="1" t="n">
        <v>46093</v>
      </c>
      <c r="D10075" t="inlineStr">
        <is>
          <t>VÄSTERNORRLANDS LÄN</t>
        </is>
      </c>
      <c r="E10075" t="inlineStr">
        <is>
          <t>SUNDSVALL</t>
        </is>
      </c>
      <c r="G10075" t="n">
        <v>4.1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7472-2026</t>
        </is>
      </c>
      <c r="B10076" s="1" t="n">
        <v>46059.49037037037</v>
      </c>
      <c r="C10076" s="1" t="n">
        <v>46093</v>
      </c>
      <c r="D10076" t="inlineStr">
        <is>
          <t>VÄSTERNORRLANDS LÄN</t>
        </is>
      </c>
      <c r="E10076" t="inlineStr">
        <is>
          <t>SUNDSVALL</t>
        </is>
      </c>
      <c r="F10076" t="inlineStr">
        <is>
          <t>SCA</t>
        </is>
      </c>
      <c r="G10076" t="n">
        <v>5.1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7489-2026</t>
        </is>
      </c>
      <c r="B10077" s="1" t="n">
        <v>46058</v>
      </c>
      <c r="C10077" s="1" t="n">
        <v>46093</v>
      </c>
      <c r="D10077" t="inlineStr">
        <is>
          <t>VÄSTERNORRLANDS LÄN</t>
        </is>
      </c>
      <c r="E10077" t="inlineStr">
        <is>
          <t>SUNDSVALL</t>
        </is>
      </c>
      <c r="G10077" t="n">
        <v>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7687-2026</t>
        </is>
      </c>
      <c r="B10078" s="1" t="n">
        <v>46059</v>
      </c>
      <c r="C10078" s="1" t="n">
        <v>46093</v>
      </c>
      <c r="D10078" t="inlineStr">
        <is>
          <t>VÄSTERNORRLANDS LÄN</t>
        </is>
      </c>
      <c r="E10078" t="inlineStr">
        <is>
          <t>ÖRNSKÖLDSVIK</t>
        </is>
      </c>
      <c r="G10078" t="n">
        <v>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58312-2025</t>
        </is>
      </c>
      <c r="B10079" s="1" t="n">
        <v>45985.47010416666</v>
      </c>
      <c r="C10079" s="1" t="n">
        <v>46093</v>
      </c>
      <c r="D10079" t="inlineStr">
        <is>
          <t>VÄSTERNORRLANDS LÄN</t>
        </is>
      </c>
      <c r="E10079" t="inlineStr">
        <is>
          <t>TIMRÅ</t>
        </is>
      </c>
      <c r="F10079" t="inlineStr">
        <is>
          <t>SCA</t>
        </is>
      </c>
      <c r="G10079" t="n">
        <v>1.7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7816-2026</t>
        </is>
      </c>
      <c r="B10080" s="1" t="n">
        <v>46059</v>
      </c>
      <c r="C10080" s="1" t="n">
        <v>46093</v>
      </c>
      <c r="D10080" t="inlineStr">
        <is>
          <t>VÄSTERNORRLANDS LÄN</t>
        </is>
      </c>
      <c r="E10080" t="inlineStr">
        <is>
          <t>SUNDSVALL</t>
        </is>
      </c>
      <c r="G10080" t="n">
        <v>0.9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26846-2024</t>
        </is>
      </c>
      <c r="B10081" s="1" t="n">
        <v>45470.58299768518</v>
      </c>
      <c r="C10081" s="1" t="n">
        <v>46093</v>
      </c>
      <c r="D10081" t="inlineStr">
        <is>
          <t>VÄSTERNORRLANDS LÄN</t>
        </is>
      </c>
      <c r="E10081" t="inlineStr">
        <is>
          <t>ÖRNSKÖLDSVIK</t>
        </is>
      </c>
      <c r="F10081" t="inlineStr">
        <is>
          <t>Holmen skog AB</t>
        </is>
      </c>
      <c r="G10081" t="n">
        <v>10.4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44180-2023</t>
        </is>
      </c>
      <c r="B10082" s="1" t="n">
        <v>45183</v>
      </c>
      <c r="C10082" s="1" t="n">
        <v>46093</v>
      </c>
      <c r="D10082" t="inlineStr">
        <is>
          <t>VÄSTERNORRLANDS LÄN</t>
        </is>
      </c>
      <c r="E10082" t="inlineStr">
        <is>
          <t>ÅNGE</t>
        </is>
      </c>
      <c r="F10082" t="inlineStr">
        <is>
          <t>SCA</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16271-2024</t>
        </is>
      </c>
      <c r="B10083" s="1" t="n">
        <v>45407</v>
      </c>
      <c r="C10083" s="1" t="n">
        <v>46093</v>
      </c>
      <c r="D10083" t="inlineStr">
        <is>
          <t>VÄSTERNORRLANDS LÄN</t>
        </is>
      </c>
      <c r="E10083" t="inlineStr">
        <is>
          <t>ÖRNSKÖLDSVIK</t>
        </is>
      </c>
      <c r="G10083" t="n">
        <v>0.8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57185-2025</t>
        </is>
      </c>
      <c r="B10084" s="1" t="n">
        <v>45979.57387731481</v>
      </c>
      <c r="C10084" s="1" t="n">
        <v>46093</v>
      </c>
      <c r="D10084" t="inlineStr">
        <is>
          <t>VÄSTERNORRLANDS LÄN</t>
        </is>
      </c>
      <c r="E10084" t="inlineStr">
        <is>
          <t>SUNDSVALL</t>
        </is>
      </c>
      <c r="F10084" t="inlineStr">
        <is>
          <t>SCA</t>
        </is>
      </c>
      <c r="G10084" t="n">
        <v>2.5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32639-2024</t>
        </is>
      </c>
      <c r="B10085" s="1" t="n">
        <v>45513</v>
      </c>
      <c r="C10085" s="1" t="n">
        <v>46093</v>
      </c>
      <c r="D10085" t="inlineStr">
        <is>
          <t>VÄSTERNORRLANDS LÄN</t>
        </is>
      </c>
      <c r="E10085" t="inlineStr">
        <is>
          <t>HÄRNÖSAND</t>
        </is>
      </c>
      <c r="F10085" t="inlineStr">
        <is>
          <t>SCA</t>
        </is>
      </c>
      <c r="G10085" t="n">
        <v>1.3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44296-2025</t>
        </is>
      </c>
      <c r="B10086" s="1" t="n">
        <v>45916.36511574074</v>
      </c>
      <c r="C10086" s="1" t="n">
        <v>46093</v>
      </c>
      <c r="D10086" t="inlineStr">
        <is>
          <t>VÄSTERNORRLANDS LÄN</t>
        </is>
      </c>
      <c r="E10086" t="inlineStr">
        <is>
          <t>TIMRÅ</t>
        </is>
      </c>
      <c r="F10086" t="inlineStr">
        <is>
          <t>SCA</t>
        </is>
      </c>
      <c r="G10086" t="n">
        <v>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49057-2025</t>
        </is>
      </c>
      <c r="B10087" s="1" t="n">
        <v>45937.64086805555</v>
      </c>
      <c r="C10087" s="1" t="n">
        <v>46093</v>
      </c>
      <c r="D10087" t="inlineStr">
        <is>
          <t>VÄSTERNORRLANDS LÄN</t>
        </is>
      </c>
      <c r="E10087" t="inlineStr">
        <is>
          <t>TIMRÅ</t>
        </is>
      </c>
      <c r="F10087" t="inlineStr">
        <is>
          <t>SCA</t>
        </is>
      </c>
      <c r="G10087" t="n">
        <v>4.5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55008-2025</t>
        </is>
      </c>
      <c r="B10088" s="1" t="n">
        <v>45967.61501157407</v>
      </c>
      <c r="C10088" s="1" t="n">
        <v>46093</v>
      </c>
      <c r="D10088" t="inlineStr">
        <is>
          <t>VÄSTERNORRLANDS LÄN</t>
        </is>
      </c>
      <c r="E10088" t="inlineStr">
        <is>
          <t>TIMRÅ</t>
        </is>
      </c>
      <c r="F10088" t="inlineStr">
        <is>
          <t>SCA</t>
        </is>
      </c>
      <c r="G10088" t="n">
        <v>4.9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55011-2025</t>
        </is>
      </c>
      <c r="B10089" s="1" t="n">
        <v>45967.61542824074</v>
      </c>
      <c r="C10089" s="1" t="n">
        <v>46093</v>
      </c>
      <c r="D10089" t="inlineStr">
        <is>
          <t>VÄSTERNORRLANDS LÄN</t>
        </is>
      </c>
      <c r="E10089" t="inlineStr">
        <is>
          <t>SUNDSVALL</t>
        </is>
      </c>
      <c r="F10089" t="inlineStr">
        <is>
          <t>SCA</t>
        </is>
      </c>
      <c r="G10089" t="n">
        <v>6.8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35218-2024</t>
        </is>
      </c>
      <c r="B10090" s="1" t="n">
        <v>45530.49400462963</v>
      </c>
      <c r="C10090" s="1" t="n">
        <v>46093</v>
      </c>
      <c r="D10090" t="inlineStr">
        <is>
          <t>VÄSTERNORRLANDS LÄN</t>
        </is>
      </c>
      <c r="E10090" t="inlineStr">
        <is>
          <t>SUNDSVALL</t>
        </is>
      </c>
      <c r="G10090" t="n">
        <v>3.6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30944-2024</t>
        </is>
      </c>
      <c r="B10091" s="1" t="n">
        <v>45499.35756944444</v>
      </c>
      <c r="C10091" s="1" t="n">
        <v>46093</v>
      </c>
      <c r="D10091" t="inlineStr">
        <is>
          <t>VÄSTERNORRLANDS LÄN</t>
        </is>
      </c>
      <c r="E10091" t="inlineStr">
        <is>
          <t>SUNDSVALL</t>
        </is>
      </c>
      <c r="G10091" t="n">
        <v>2.6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7471-2026</t>
        </is>
      </c>
      <c r="B10092" s="1" t="n">
        <v>46059.49028935185</v>
      </c>
      <c r="C10092" s="1" t="n">
        <v>46093</v>
      </c>
      <c r="D10092" t="inlineStr">
        <is>
          <t>VÄSTERNORRLANDS LÄN</t>
        </is>
      </c>
      <c r="E10092" t="inlineStr">
        <is>
          <t>SUNDSVALL</t>
        </is>
      </c>
      <c r="F10092" t="inlineStr">
        <is>
          <t>SCA</t>
        </is>
      </c>
      <c r="G10092" t="n">
        <v>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55639-2025</t>
        </is>
      </c>
      <c r="B10093" s="1" t="n">
        <v>45972.34539351852</v>
      </c>
      <c r="C10093" s="1" t="n">
        <v>46093</v>
      </c>
      <c r="D10093" t="inlineStr">
        <is>
          <t>VÄSTERNORRLANDS LÄN</t>
        </is>
      </c>
      <c r="E10093" t="inlineStr">
        <is>
          <t>TIMRÅ</t>
        </is>
      </c>
      <c r="F10093" t="inlineStr">
        <is>
          <t>SCA</t>
        </is>
      </c>
      <c r="G10093" t="n">
        <v>2.7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12129-2025</t>
        </is>
      </c>
      <c r="B10094" s="1" t="n">
        <v>45729.38563657407</v>
      </c>
      <c r="C10094" s="1" t="n">
        <v>46093</v>
      </c>
      <c r="D10094" t="inlineStr">
        <is>
          <t>VÄSTERNORRLANDS LÄN</t>
        </is>
      </c>
      <c r="E10094" t="inlineStr">
        <is>
          <t>HÄRNÖSAND</t>
        </is>
      </c>
      <c r="G10094" t="n">
        <v>1.9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37416-2024</t>
        </is>
      </c>
      <c r="B10095" s="1" t="n">
        <v>45540.63575231482</v>
      </c>
      <c r="C10095" s="1" t="n">
        <v>46093</v>
      </c>
      <c r="D10095" t="inlineStr">
        <is>
          <t>VÄSTERNORRLANDS LÄN</t>
        </is>
      </c>
      <c r="E10095" t="inlineStr">
        <is>
          <t>SUNDSVALL</t>
        </is>
      </c>
      <c r="G10095" t="n">
        <v>7.3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40769-2025</t>
        </is>
      </c>
      <c r="B10096" s="1" t="n">
        <v>45897.40708333333</v>
      </c>
      <c r="C10096" s="1" t="n">
        <v>46093</v>
      </c>
      <c r="D10096" t="inlineStr">
        <is>
          <t>VÄSTERNORRLANDS LÄN</t>
        </is>
      </c>
      <c r="E10096" t="inlineStr">
        <is>
          <t>SUNDSVALL</t>
        </is>
      </c>
      <c r="F10096" t="inlineStr">
        <is>
          <t>SCA</t>
        </is>
      </c>
      <c r="G10096" t="n">
        <v>3.2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59647-2022</t>
        </is>
      </c>
      <c r="B10097" s="1" t="n">
        <v>44907.96577546297</v>
      </c>
      <c r="C10097" s="1" t="n">
        <v>46093</v>
      </c>
      <c r="D10097" t="inlineStr">
        <is>
          <t>VÄSTERNORRLANDS LÄN</t>
        </is>
      </c>
      <c r="E10097" t="inlineStr">
        <is>
          <t>SOLLEFTEÅ</t>
        </is>
      </c>
      <c r="F10097" t="inlineStr">
        <is>
          <t>SCA</t>
        </is>
      </c>
      <c r="G10097" t="n">
        <v>0.2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41660-2025</t>
        </is>
      </c>
      <c r="B10098" s="1" t="n">
        <v>45902.34475694445</v>
      </c>
      <c r="C10098" s="1" t="n">
        <v>46093</v>
      </c>
      <c r="D10098" t="inlineStr">
        <is>
          <t>VÄSTERNORRLANDS LÄN</t>
        </is>
      </c>
      <c r="E10098" t="inlineStr">
        <is>
          <t>SUNDSVALL</t>
        </is>
      </c>
      <c r="F10098" t="inlineStr">
        <is>
          <t>SCA</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44421-2025</t>
        </is>
      </c>
      <c r="B10099" s="1" t="n">
        <v>45916.55245370371</v>
      </c>
      <c r="C10099" s="1" t="n">
        <v>46093</v>
      </c>
      <c r="D10099" t="inlineStr">
        <is>
          <t>VÄSTERNORRLANDS LÄN</t>
        </is>
      </c>
      <c r="E10099" t="inlineStr">
        <is>
          <t>TIMRÅ</t>
        </is>
      </c>
      <c r="F10099" t="inlineStr">
        <is>
          <t>SCA</t>
        </is>
      </c>
      <c r="G10099" t="n">
        <v>1.5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62530-2023</t>
        </is>
      </c>
      <c r="B10100" s="1" t="n">
        <v>45268</v>
      </c>
      <c r="C10100" s="1" t="n">
        <v>46093</v>
      </c>
      <c r="D10100" t="inlineStr">
        <is>
          <t>VÄSTERNORRLANDS LÄN</t>
        </is>
      </c>
      <c r="E10100" t="inlineStr">
        <is>
          <t>SUNDSVALL</t>
        </is>
      </c>
      <c r="G10100" t="n">
        <v>0.6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7751-2026</t>
        </is>
      </c>
      <c r="B10101" s="1" t="n">
        <v>46062.54716435185</v>
      </c>
      <c r="C10101" s="1" t="n">
        <v>46093</v>
      </c>
      <c r="D10101" t="inlineStr">
        <is>
          <t>VÄSTERNORRLANDS LÄN</t>
        </is>
      </c>
      <c r="E10101" t="inlineStr">
        <is>
          <t>ÖRNSKÖLDSVIK</t>
        </is>
      </c>
      <c r="G10101" t="n">
        <v>1.8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44281-2025</t>
        </is>
      </c>
      <c r="B10102" s="1" t="n">
        <v>45916.34513888889</v>
      </c>
      <c r="C10102" s="1" t="n">
        <v>46093</v>
      </c>
      <c r="D10102" t="inlineStr">
        <is>
          <t>VÄSTERNORRLANDS LÄN</t>
        </is>
      </c>
      <c r="E10102" t="inlineStr">
        <is>
          <t>TIMRÅ</t>
        </is>
      </c>
      <c r="F10102" t="inlineStr">
        <is>
          <t>SCA</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20840-2023</t>
        </is>
      </c>
      <c r="B10103" s="1" t="n">
        <v>45058</v>
      </c>
      <c r="C10103" s="1" t="n">
        <v>46093</v>
      </c>
      <c r="D10103" t="inlineStr">
        <is>
          <t>VÄSTERNORRLANDS LÄN</t>
        </is>
      </c>
      <c r="E10103" t="inlineStr">
        <is>
          <t>TIMRÅ</t>
        </is>
      </c>
      <c r="G10103" t="n">
        <v>3.1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7634-2026</t>
        </is>
      </c>
      <c r="B10104" s="1" t="n">
        <v>46062.36506944444</v>
      </c>
      <c r="C10104" s="1" t="n">
        <v>46093</v>
      </c>
      <c r="D10104" t="inlineStr">
        <is>
          <t>VÄSTERNORRLANDS LÄN</t>
        </is>
      </c>
      <c r="E10104" t="inlineStr">
        <is>
          <t>ÅNGE</t>
        </is>
      </c>
      <c r="F10104" t="inlineStr">
        <is>
          <t>SCA</t>
        </is>
      </c>
      <c r="G10104" t="n">
        <v>3.3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62821-2023</t>
        </is>
      </c>
      <c r="B10105" s="1" t="n">
        <v>45271</v>
      </c>
      <c r="C10105" s="1" t="n">
        <v>46093</v>
      </c>
      <c r="D10105" t="inlineStr">
        <is>
          <t>VÄSTERNORRLANDS LÄN</t>
        </is>
      </c>
      <c r="E10105" t="inlineStr">
        <is>
          <t>KRAMFORS</t>
        </is>
      </c>
      <c r="G10105" t="n">
        <v>10.6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20859-2023</t>
        </is>
      </c>
      <c r="B10106" s="1" t="n">
        <v>45058.94212962963</v>
      </c>
      <c r="C10106" s="1" t="n">
        <v>46093</v>
      </c>
      <c r="D10106" t="inlineStr">
        <is>
          <t>VÄSTERNORRLANDS LÄN</t>
        </is>
      </c>
      <c r="E10106" t="inlineStr">
        <is>
          <t>SOLLEFTEÅ</t>
        </is>
      </c>
      <c r="F10106" t="inlineStr">
        <is>
          <t>SCA</t>
        </is>
      </c>
      <c r="G10106" t="n">
        <v>4.9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47478-2023</t>
        </is>
      </c>
      <c r="B10107" s="1" t="n">
        <v>45202</v>
      </c>
      <c r="C10107" s="1" t="n">
        <v>46093</v>
      </c>
      <c r="D10107" t="inlineStr">
        <is>
          <t>VÄSTERNORRLANDS LÄN</t>
        </is>
      </c>
      <c r="E10107" t="inlineStr">
        <is>
          <t>KRAMFORS</t>
        </is>
      </c>
      <c r="F10107" t="inlineStr">
        <is>
          <t>SCA</t>
        </is>
      </c>
      <c r="G10107" t="n">
        <v>1.1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7946-2026</t>
        </is>
      </c>
      <c r="B10108" s="1" t="n">
        <v>46062</v>
      </c>
      <c r="C10108" s="1" t="n">
        <v>46093</v>
      </c>
      <c r="D10108" t="inlineStr">
        <is>
          <t>VÄSTERNORRLANDS LÄN</t>
        </is>
      </c>
      <c r="E10108" t="inlineStr">
        <is>
          <t>ÅNGE</t>
        </is>
      </c>
      <c r="G10108" t="n">
        <v>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47518-2023</t>
        </is>
      </c>
      <c r="B10109" s="1" t="n">
        <v>45203.32945601852</v>
      </c>
      <c r="C10109" s="1" t="n">
        <v>46093</v>
      </c>
      <c r="D10109" t="inlineStr">
        <is>
          <t>VÄSTERNORRLANDS LÄN</t>
        </is>
      </c>
      <c r="E10109" t="inlineStr">
        <is>
          <t>SUNDSVALL</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47523-2023</t>
        </is>
      </c>
      <c r="B10110" s="1" t="n">
        <v>45197</v>
      </c>
      <c r="C10110" s="1" t="n">
        <v>46093</v>
      </c>
      <c r="D10110" t="inlineStr">
        <is>
          <t>VÄSTERNORRLANDS LÄN</t>
        </is>
      </c>
      <c r="E10110" t="inlineStr">
        <is>
          <t>ÖRNSKÖLDSVIK</t>
        </is>
      </c>
      <c r="G10110" t="n">
        <v>1.7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62257-2022</t>
        </is>
      </c>
      <c r="B10111" s="1" t="n">
        <v>44922.94297453704</v>
      </c>
      <c r="C10111" s="1" t="n">
        <v>46093</v>
      </c>
      <c r="D10111" t="inlineStr">
        <is>
          <t>VÄSTERNORRLANDS LÄN</t>
        </is>
      </c>
      <c r="E10111" t="inlineStr">
        <is>
          <t>ÖRNSKÖLDSVIK</t>
        </is>
      </c>
      <c r="F10111" t="inlineStr">
        <is>
          <t>SCA</t>
        </is>
      </c>
      <c r="G10111" t="n">
        <v>1.5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48439-2023</t>
        </is>
      </c>
      <c r="B10112" s="1" t="n">
        <v>45205</v>
      </c>
      <c r="C10112" s="1" t="n">
        <v>46093</v>
      </c>
      <c r="D10112" t="inlineStr">
        <is>
          <t>VÄSTERNORRLANDS LÄN</t>
        </is>
      </c>
      <c r="E10112" t="inlineStr">
        <is>
          <t>ÖRNSKÖLDSVIK</t>
        </is>
      </c>
      <c r="F10112" t="inlineStr">
        <is>
          <t>SCA</t>
        </is>
      </c>
      <c r="G10112" t="n">
        <v>7.5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57830-2022</t>
        </is>
      </c>
      <c r="B10113" s="1" t="n">
        <v>44897</v>
      </c>
      <c r="C10113" s="1" t="n">
        <v>46093</v>
      </c>
      <c r="D10113" t="inlineStr">
        <is>
          <t>VÄSTERNORRLANDS LÄN</t>
        </is>
      </c>
      <c r="E10113" t="inlineStr">
        <is>
          <t>SUNDSVALL</t>
        </is>
      </c>
      <c r="F10113" t="inlineStr">
        <is>
          <t>SCA</t>
        </is>
      </c>
      <c r="G10113" t="n">
        <v>0.4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60929-2022</t>
        </is>
      </c>
      <c r="B10114" s="1" t="n">
        <v>44908</v>
      </c>
      <c r="C10114" s="1" t="n">
        <v>46093</v>
      </c>
      <c r="D10114" t="inlineStr">
        <is>
          <t>VÄSTERNORRLANDS LÄN</t>
        </is>
      </c>
      <c r="E10114" t="inlineStr">
        <is>
          <t>ÖRNSKÖLDSVIK</t>
        </is>
      </c>
      <c r="G10114" t="n">
        <v>1.8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63978-2025</t>
        </is>
      </c>
      <c r="B10115" s="1" t="n">
        <v>46021.34421296296</v>
      </c>
      <c r="C10115" s="1" t="n">
        <v>46093</v>
      </c>
      <c r="D10115" t="inlineStr">
        <is>
          <t>VÄSTERNORRLANDS LÄN</t>
        </is>
      </c>
      <c r="E10115" t="inlineStr">
        <is>
          <t>ÅNGE</t>
        </is>
      </c>
      <c r="F10115" t="inlineStr">
        <is>
          <t>SCA</t>
        </is>
      </c>
      <c r="G10115" t="n">
        <v>8.6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8706-2024</t>
        </is>
      </c>
      <c r="B10116" s="1" t="n">
        <v>45355</v>
      </c>
      <c r="C10116" s="1" t="n">
        <v>46093</v>
      </c>
      <c r="D10116" t="inlineStr">
        <is>
          <t>VÄSTERNORRLANDS LÄN</t>
        </is>
      </c>
      <c r="E10116" t="inlineStr">
        <is>
          <t>KRAMFORS</t>
        </is>
      </c>
      <c r="G10116" t="n">
        <v>5.9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8028-2026</t>
        </is>
      </c>
      <c r="B10117" s="1" t="n">
        <v>46063.57350694444</v>
      </c>
      <c r="C10117" s="1" t="n">
        <v>46093</v>
      </c>
      <c r="D10117" t="inlineStr">
        <is>
          <t>VÄSTERNORRLANDS LÄN</t>
        </is>
      </c>
      <c r="E10117" t="inlineStr">
        <is>
          <t>SOLLEFTEÅ</t>
        </is>
      </c>
      <c r="F10117" t="inlineStr">
        <is>
          <t>SCA</t>
        </is>
      </c>
      <c r="G10117" t="n">
        <v>3.5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524-2023</t>
        </is>
      </c>
      <c r="B10118" s="1" t="n">
        <v>44924</v>
      </c>
      <c r="C10118" s="1" t="n">
        <v>46093</v>
      </c>
      <c r="D10118" t="inlineStr">
        <is>
          <t>VÄSTERNORRLANDS LÄN</t>
        </is>
      </c>
      <c r="E10118" t="inlineStr">
        <is>
          <t>TIMRÅ</t>
        </is>
      </c>
      <c r="G10118" t="n">
        <v>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5197-2025</t>
        </is>
      </c>
      <c r="B10119" s="1" t="n">
        <v>45691.65701388889</v>
      </c>
      <c r="C10119" s="1" t="n">
        <v>46093</v>
      </c>
      <c r="D10119" t="inlineStr">
        <is>
          <t>VÄSTERNORRLANDS LÄN</t>
        </is>
      </c>
      <c r="E10119" t="inlineStr">
        <is>
          <t>ÅNGE</t>
        </is>
      </c>
      <c r="F10119" t="inlineStr">
        <is>
          <t>SCA</t>
        </is>
      </c>
      <c r="G10119" t="n">
        <v>5.7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7896-2026</t>
        </is>
      </c>
      <c r="B10120" s="1" t="n">
        <v>46063</v>
      </c>
      <c r="C10120" s="1" t="n">
        <v>46093</v>
      </c>
      <c r="D10120" t="inlineStr">
        <is>
          <t>VÄSTERNORRLANDS LÄN</t>
        </is>
      </c>
      <c r="E10120" t="inlineStr">
        <is>
          <t>HÄRNÖSAND</t>
        </is>
      </c>
      <c r="G10120" t="n">
        <v>0.9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539-2026</t>
        </is>
      </c>
      <c r="B10121" s="1" t="n">
        <v>46021</v>
      </c>
      <c r="C10121" s="1" t="n">
        <v>46093</v>
      </c>
      <c r="D10121" t="inlineStr">
        <is>
          <t>VÄSTERNORRLANDS LÄN</t>
        </is>
      </c>
      <c r="E10121" t="inlineStr">
        <is>
          <t>ÖRNSKÖLDSVIK</t>
        </is>
      </c>
      <c r="G10121" t="n">
        <v>6.9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7934-2026</t>
        </is>
      </c>
      <c r="B10122" s="1" t="n">
        <v>46063.40369212963</v>
      </c>
      <c r="C10122" s="1" t="n">
        <v>46093</v>
      </c>
      <c r="D10122" t="inlineStr">
        <is>
          <t>VÄSTERNORRLANDS LÄN</t>
        </is>
      </c>
      <c r="E10122" t="inlineStr">
        <is>
          <t>KRAMFORS</t>
        </is>
      </c>
      <c r="G10122" t="n">
        <v>11.3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64156-2025</t>
        </is>
      </c>
      <c r="B10123" s="1" t="n">
        <v>46022</v>
      </c>
      <c r="C10123" s="1" t="n">
        <v>46093</v>
      </c>
      <c r="D10123" t="inlineStr">
        <is>
          <t>VÄSTERNORRLANDS LÄN</t>
        </is>
      </c>
      <c r="E10123" t="inlineStr">
        <is>
          <t>KRAMFORS</t>
        </is>
      </c>
      <c r="G10123" t="n">
        <v>1.9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21542-2021</t>
        </is>
      </c>
      <c r="B10124" s="1" t="n">
        <v>44321</v>
      </c>
      <c r="C10124" s="1" t="n">
        <v>46093</v>
      </c>
      <c r="D10124" t="inlineStr">
        <is>
          <t>VÄSTERNORRLANDS LÄN</t>
        </is>
      </c>
      <c r="E10124" t="inlineStr">
        <is>
          <t>HÄRNÖSAND</t>
        </is>
      </c>
      <c r="G10124" t="n">
        <v>6.7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8022-2026</t>
        </is>
      </c>
      <c r="B10125" s="1" t="n">
        <v>46063.55681712963</v>
      </c>
      <c r="C10125" s="1" t="n">
        <v>46093</v>
      </c>
      <c r="D10125" t="inlineStr">
        <is>
          <t>VÄSTERNORRLANDS LÄN</t>
        </is>
      </c>
      <c r="E10125" t="inlineStr">
        <is>
          <t>ÖRNSKÖLDSVIK</t>
        </is>
      </c>
      <c r="G10125" t="n">
        <v>2.1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8027-2026</t>
        </is>
      </c>
      <c r="B10126" s="1" t="n">
        <v>46063.57318287037</v>
      </c>
      <c r="C10126" s="1" t="n">
        <v>46093</v>
      </c>
      <c r="D10126" t="inlineStr">
        <is>
          <t>VÄSTERNORRLANDS LÄN</t>
        </is>
      </c>
      <c r="E10126" t="inlineStr">
        <is>
          <t>KRAMFORS</t>
        </is>
      </c>
      <c r="G10126" t="n">
        <v>2.7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63846-2025</t>
        </is>
      </c>
      <c r="B10127" s="1" t="n">
        <v>46020.43887731482</v>
      </c>
      <c r="C10127" s="1" t="n">
        <v>46093</v>
      </c>
      <c r="D10127" t="inlineStr">
        <is>
          <t>VÄSTERNORRLANDS LÄN</t>
        </is>
      </c>
      <c r="E10127" t="inlineStr">
        <is>
          <t>ÖRNSKÖLDSVIK</t>
        </is>
      </c>
      <c r="G10127" t="n">
        <v>3.9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5246-2025</t>
        </is>
      </c>
      <c r="B10128" s="1" t="n">
        <v>45692.34427083333</v>
      </c>
      <c r="C10128" s="1" t="n">
        <v>46093</v>
      </c>
      <c r="D10128" t="inlineStr">
        <is>
          <t>VÄSTERNORRLANDS LÄN</t>
        </is>
      </c>
      <c r="E10128" t="inlineStr">
        <is>
          <t>ÅNGE</t>
        </is>
      </c>
      <c r="F10128" t="inlineStr">
        <is>
          <t>SCA</t>
        </is>
      </c>
      <c r="G10128" t="n">
        <v>4.4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9717-2025</t>
        </is>
      </c>
      <c r="B10129" s="1" t="n">
        <v>45716</v>
      </c>
      <c r="C10129" s="1" t="n">
        <v>46093</v>
      </c>
      <c r="D10129" t="inlineStr">
        <is>
          <t>VÄSTERNORRLANDS LÄN</t>
        </is>
      </c>
      <c r="E10129" t="inlineStr">
        <is>
          <t>TIMRÅ</t>
        </is>
      </c>
      <c r="G10129" t="n">
        <v>4.6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56443-2024</t>
        </is>
      </c>
      <c r="B10130" s="1" t="n">
        <v>45625</v>
      </c>
      <c r="C10130" s="1" t="n">
        <v>46093</v>
      </c>
      <c r="D10130" t="inlineStr">
        <is>
          <t>VÄSTERNORRLANDS LÄN</t>
        </is>
      </c>
      <c r="E10130" t="inlineStr">
        <is>
          <t>TIMRÅ</t>
        </is>
      </c>
      <c r="G10130" t="n">
        <v>2.6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7918-2026</t>
        </is>
      </c>
      <c r="B10131" s="1" t="n">
        <v>46063.38263888889</v>
      </c>
      <c r="C10131" s="1" t="n">
        <v>46093</v>
      </c>
      <c r="D10131" t="inlineStr">
        <is>
          <t>VÄSTERNORRLANDS LÄN</t>
        </is>
      </c>
      <c r="E10131" t="inlineStr">
        <is>
          <t>SUNDSVALL</t>
        </is>
      </c>
      <c r="G10131" t="n">
        <v>1.6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586-2026</t>
        </is>
      </c>
      <c r="B10132" s="1" t="n">
        <v>46022</v>
      </c>
      <c r="C10132" s="1" t="n">
        <v>46093</v>
      </c>
      <c r="D10132" t="inlineStr">
        <is>
          <t>VÄSTERNORRLANDS LÄN</t>
        </is>
      </c>
      <c r="E10132" t="inlineStr">
        <is>
          <t>HÄRNÖSAND</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64140-2025</t>
        </is>
      </c>
      <c r="B10133" s="1" t="n">
        <v>46022.40658564815</v>
      </c>
      <c r="C10133" s="1" t="n">
        <v>46093</v>
      </c>
      <c r="D10133" t="inlineStr">
        <is>
          <t>VÄSTERNORRLANDS LÄN</t>
        </is>
      </c>
      <c r="E10133" t="inlineStr">
        <is>
          <t>SUNDSVALL</t>
        </is>
      </c>
      <c r="G10133" t="n">
        <v>3.9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15414-2023</t>
        </is>
      </c>
      <c r="B10134" s="1" t="n">
        <v>45019.70211805555</v>
      </c>
      <c r="C10134" s="1" t="n">
        <v>46093</v>
      </c>
      <c r="D10134" t="inlineStr">
        <is>
          <t>VÄSTERNORRLANDS LÄN</t>
        </is>
      </c>
      <c r="E10134" t="inlineStr">
        <is>
          <t>ÖRNSKÖLDSVIK</t>
        </is>
      </c>
      <c r="G10134" t="n">
        <v>6.6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62107-2022</t>
        </is>
      </c>
      <c r="B10135" s="1" t="n">
        <v>44920</v>
      </c>
      <c r="C10135" s="1" t="n">
        <v>46093</v>
      </c>
      <c r="D10135" t="inlineStr">
        <is>
          <t>VÄSTERNORRLANDS LÄN</t>
        </is>
      </c>
      <c r="E10135" t="inlineStr">
        <is>
          <t>ÖRNSKÖLDSVIK</t>
        </is>
      </c>
      <c r="G10135" t="n">
        <v>26.3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8026-2026</t>
        </is>
      </c>
      <c r="B10136" s="1" t="n">
        <v>46063.57290509259</v>
      </c>
      <c r="C10136" s="1" t="n">
        <v>46093</v>
      </c>
      <c r="D10136" t="inlineStr">
        <is>
          <t>VÄSTERNORRLANDS LÄN</t>
        </is>
      </c>
      <c r="E10136" t="inlineStr">
        <is>
          <t>KRAMFORS</t>
        </is>
      </c>
      <c r="G10136" t="n">
        <v>5.8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8035-2026</t>
        </is>
      </c>
      <c r="B10137" s="1" t="n">
        <v>46063.59454861111</v>
      </c>
      <c r="C10137" s="1" t="n">
        <v>46093</v>
      </c>
      <c r="D10137" t="inlineStr">
        <is>
          <t>VÄSTERNORRLANDS LÄN</t>
        </is>
      </c>
      <c r="E10137" t="inlineStr">
        <is>
          <t>ÅNGE</t>
        </is>
      </c>
      <c r="F10137" t="inlineStr">
        <is>
          <t>SCA</t>
        </is>
      </c>
      <c r="G10137" t="n">
        <v>51.4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8088-2026</t>
        </is>
      </c>
      <c r="B10138" s="1" t="n">
        <v>46063</v>
      </c>
      <c r="C10138" s="1" t="n">
        <v>46093</v>
      </c>
      <c r="D10138" t="inlineStr">
        <is>
          <t>VÄSTERNORRLANDS LÄN</t>
        </is>
      </c>
      <c r="E10138" t="inlineStr">
        <is>
          <t>SOLLEFTEÅ</t>
        </is>
      </c>
      <c r="F10138" t="inlineStr">
        <is>
          <t>Kyrkan</t>
        </is>
      </c>
      <c r="G10138" t="n">
        <v>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41829-2021</t>
        </is>
      </c>
      <c r="B10139" s="1" t="n">
        <v>44425.92202546296</v>
      </c>
      <c r="C10139" s="1" t="n">
        <v>46093</v>
      </c>
      <c r="D10139" t="inlineStr">
        <is>
          <t>VÄSTERNORRLANDS LÄN</t>
        </is>
      </c>
      <c r="E10139" t="inlineStr">
        <is>
          <t>ÅNGE</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52455-2024</t>
        </is>
      </c>
      <c r="B10140" s="1" t="n">
        <v>45609.50984953704</v>
      </c>
      <c r="C10140" s="1" t="n">
        <v>46093</v>
      </c>
      <c r="D10140" t="inlineStr">
        <is>
          <t>VÄSTERNORRLANDS LÄN</t>
        </is>
      </c>
      <c r="E10140" t="inlineStr">
        <is>
          <t>SOLLEFTEÅ</t>
        </is>
      </c>
      <c r="G10140" t="n">
        <v>2.1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44610-2024</t>
        </is>
      </c>
      <c r="B10141" s="1" t="n">
        <v>45574.5122337963</v>
      </c>
      <c r="C10141" s="1" t="n">
        <v>46093</v>
      </c>
      <c r="D10141" t="inlineStr">
        <is>
          <t>VÄSTERNORRLANDS LÄN</t>
        </is>
      </c>
      <c r="E10141" t="inlineStr">
        <is>
          <t>SUNDSVALL</t>
        </is>
      </c>
      <c r="F10141" t="inlineStr">
        <is>
          <t>SCA</t>
        </is>
      </c>
      <c r="G10141" t="n">
        <v>1.6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574-2026</t>
        </is>
      </c>
      <c r="B10142" s="1" t="n">
        <v>46022</v>
      </c>
      <c r="C10142" s="1" t="n">
        <v>46093</v>
      </c>
      <c r="D10142" t="inlineStr">
        <is>
          <t>VÄSTERNORRLANDS LÄN</t>
        </is>
      </c>
      <c r="E10142" t="inlineStr">
        <is>
          <t>HÄRNÖSAND</t>
        </is>
      </c>
      <c r="G10142" t="n">
        <v>4.5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59040-2024</t>
        </is>
      </c>
      <c r="B10143" s="1" t="n">
        <v>45636.71914351852</v>
      </c>
      <c r="C10143" s="1" t="n">
        <v>46093</v>
      </c>
      <c r="D10143" t="inlineStr">
        <is>
          <t>VÄSTERNORRLANDS LÄN</t>
        </is>
      </c>
      <c r="E10143" t="inlineStr">
        <is>
          <t>ÖRNSKÖLDSVIK</t>
        </is>
      </c>
      <c r="F10143" t="inlineStr">
        <is>
          <t>SCA</t>
        </is>
      </c>
      <c r="G10143" t="n">
        <v>2.3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7674-2026</t>
        </is>
      </c>
      <c r="B10144" s="1" t="n">
        <v>46062</v>
      </c>
      <c r="C10144" s="1" t="n">
        <v>46093</v>
      </c>
      <c r="D10144" t="inlineStr">
        <is>
          <t>VÄSTERNORRLANDS LÄN</t>
        </is>
      </c>
      <c r="E10144" t="inlineStr">
        <is>
          <t>SOLLEFTEÅ</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454-2026</t>
        </is>
      </c>
      <c r="B10145" s="1" t="n">
        <v>46021</v>
      </c>
      <c r="C10145" s="1" t="n">
        <v>46093</v>
      </c>
      <c r="D10145" t="inlineStr">
        <is>
          <t>VÄSTERNORRLANDS LÄN</t>
        </is>
      </c>
      <c r="E10145" t="inlineStr">
        <is>
          <t>ÖRNSKÖLDSVIK</t>
        </is>
      </c>
      <c r="G10145" t="n">
        <v>6.5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63983-2025</t>
        </is>
      </c>
      <c r="B10146" s="1" t="n">
        <v>46021.34506944445</v>
      </c>
      <c r="C10146" s="1" t="n">
        <v>46093</v>
      </c>
      <c r="D10146" t="inlineStr">
        <is>
          <t>VÄSTERNORRLANDS LÄN</t>
        </is>
      </c>
      <c r="E10146" t="inlineStr">
        <is>
          <t>KRAMFORS</t>
        </is>
      </c>
      <c r="G10146" t="n">
        <v>4.6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39833-2024</t>
        </is>
      </c>
      <c r="B10147" s="1" t="n">
        <v>45553.413125</v>
      </c>
      <c r="C10147" s="1" t="n">
        <v>46093</v>
      </c>
      <c r="D10147" t="inlineStr">
        <is>
          <t>VÄSTERNORRLANDS LÄN</t>
        </is>
      </c>
      <c r="E10147" t="inlineStr">
        <is>
          <t>ÖRNSKÖLDSVIK</t>
        </is>
      </c>
      <c r="F10147" t="inlineStr">
        <is>
          <t>Holmen skog AB</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61228-2022</t>
        </is>
      </c>
      <c r="B10148" s="1" t="n">
        <v>44909</v>
      </c>
      <c r="C10148" s="1" t="n">
        <v>46093</v>
      </c>
      <c r="D10148" t="inlineStr">
        <is>
          <t>VÄSTERNORRLANDS LÄN</t>
        </is>
      </c>
      <c r="E10148" t="inlineStr">
        <is>
          <t>ÖRNSKÖLDSVIK</t>
        </is>
      </c>
      <c r="G10148" t="n">
        <v>0.5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7933-2026</t>
        </is>
      </c>
      <c r="B10149" s="1" t="n">
        <v>46063.40344907407</v>
      </c>
      <c r="C10149" s="1" t="n">
        <v>46093</v>
      </c>
      <c r="D10149" t="inlineStr">
        <is>
          <t>VÄSTERNORRLANDS LÄN</t>
        </is>
      </c>
      <c r="E10149" t="inlineStr">
        <is>
          <t>KRAMFORS</t>
        </is>
      </c>
      <c r="G10149" t="n">
        <v>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2422-2025</t>
        </is>
      </c>
      <c r="B10150" s="1" t="n">
        <v>45674.38592592593</v>
      </c>
      <c r="C10150" s="1" t="n">
        <v>46093</v>
      </c>
      <c r="D10150" t="inlineStr">
        <is>
          <t>VÄSTERNORRLANDS LÄN</t>
        </is>
      </c>
      <c r="E10150" t="inlineStr">
        <is>
          <t>SOLLEFTEÅ</t>
        </is>
      </c>
      <c r="F10150" t="inlineStr">
        <is>
          <t>SCA</t>
        </is>
      </c>
      <c r="G10150" t="n">
        <v>27.9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27765-2024</t>
        </is>
      </c>
      <c r="B10151" s="1" t="n">
        <v>45475.51532407408</v>
      </c>
      <c r="C10151" s="1" t="n">
        <v>46093</v>
      </c>
      <c r="D10151" t="inlineStr">
        <is>
          <t>VÄSTERNORRLANDS LÄN</t>
        </is>
      </c>
      <c r="E10151" t="inlineStr">
        <is>
          <t>ÖRNSKÖLDSVIK</t>
        </is>
      </c>
      <c r="G10151" t="n">
        <v>2.2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8284-2026</t>
        </is>
      </c>
      <c r="B10152" s="1" t="n">
        <v>46064.56364583333</v>
      </c>
      <c r="C10152" s="1" t="n">
        <v>46093</v>
      </c>
      <c r="D10152" t="inlineStr">
        <is>
          <t>VÄSTERNORRLANDS LÄN</t>
        </is>
      </c>
      <c r="E10152" t="inlineStr">
        <is>
          <t>ÅNGE</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27836-2024</t>
        </is>
      </c>
      <c r="B10153" s="1" t="n">
        <v>45475</v>
      </c>
      <c r="C10153" s="1" t="n">
        <v>46093</v>
      </c>
      <c r="D10153" t="inlineStr">
        <is>
          <t>VÄSTERNORRLANDS LÄN</t>
        </is>
      </c>
      <c r="E10153" t="inlineStr">
        <is>
          <t>KRAMFORS</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64080-2025</t>
        </is>
      </c>
      <c r="B10154" s="1" t="n">
        <v>46021.67752314815</v>
      </c>
      <c r="C10154" s="1" t="n">
        <v>46093</v>
      </c>
      <c r="D10154" t="inlineStr">
        <is>
          <t>VÄSTERNORRLANDS LÄN</t>
        </is>
      </c>
      <c r="E10154" t="inlineStr">
        <is>
          <t>ÅNGE</t>
        </is>
      </c>
      <c r="F10154" t="inlineStr">
        <is>
          <t>SCA</t>
        </is>
      </c>
      <c r="G10154" t="n">
        <v>3.5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11094-2023</t>
        </is>
      </c>
      <c r="B10155" s="1" t="n">
        <v>44986</v>
      </c>
      <c r="C10155" s="1" t="n">
        <v>46093</v>
      </c>
      <c r="D10155" t="inlineStr">
        <is>
          <t>VÄSTERNORRLANDS LÄN</t>
        </is>
      </c>
      <c r="E10155" t="inlineStr">
        <is>
          <t>SOLLEFTEÅ</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30180-2024</t>
        </is>
      </c>
      <c r="B10156" s="1" t="n">
        <v>45489.92724537037</v>
      </c>
      <c r="C10156" s="1" t="n">
        <v>46093</v>
      </c>
      <c r="D10156" t="inlineStr">
        <is>
          <t>VÄSTERNORRLANDS LÄN</t>
        </is>
      </c>
      <c r="E10156" t="inlineStr">
        <is>
          <t>SUNDSVALL</t>
        </is>
      </c>
      <c r="F10156" t="inlineStr">
        <is>
          <t>Kyrkan</t>
        </is>
      </c>
      <c r="G10156" t="n">
        <v>52.1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8219-2026</t>
        </is>
      </c>
      <c r="B10157" s="1" t="n">
        <v>46064.46196759259</v>
      </c>
      <c r="C10157" s="1" t="n">
        <v>46093</v>
      </c>
      <c r="D10157" t="inlineStr">
        <is>
          <t>VÄSTERNORRLANDS LÄN</t>
        </is>
      </c>
      <c r="E10157" t="inlineStr">
        <is>
          <t>KRAMFORS</t>
        </is>
      </c>
      <c r="G10157" t="n">
        <v>4.3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8220-2026</t>
        </is>
      </c>
      <c r="B10158" s="1" t="n">
        <v>46064.46212962963</v>
      </c>
      <c r="C10158" s="1" t="n">
        <v>46093</v>
      </c>
      <c r="D10158" t="inlineStr">
        <is>
          <t>VÄSTERNORRLANDS LÄN</t>
        </is>
      </c>
      <c r="E10158" t="inlineStr">
        <is>
          <t>KRAMFORS</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8242-2026</t>
        </is>
      </c>
      <c r="B10159" s="1" t="n">
        <v>46064.49005787037</v>
      </c>
      <c r="C10159" s="1" t="n">
        <v>46093</v>
      </c>
      <c r="D10159" t="inlineStr">
        <is>
          <t>VÄSTERNORRLANDS LÄN</t>
        </is>
      </c>
      <c r="E10159" t="inlineStr">
        <is>
          <t>SUNDSVALL</t>
        </is>
      </c>
      <c r="F10159" t="inlineStr">
        <is>
          <t>SCA</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63965-2025</t>
        </is>
      </c>
      <c r="B10160" s="1" t="n">
        <v>46020.93445601852</v>
      </c>
      <c r="C10160" s="1" t="n">
        <v>46093</v>
      </c>
      <c r="D10160" t="inlineStr">
        <is>
          <t>VÄSTERNORRLANDS LÄN</t>
        </is>
      </c>
      <c r="E10160" t="inlineStr">
        <is>
          <t>ÅNGE</t>
        </is>
      </c>
      <c r="G10160" t="n">
        <v>11.1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39691-2022</t>
        </is>
      </c>
      <c r="B10161" s="1" t="n">
        <v>44818.9474537037</v>
      </c>
      <c r="C10161" s="1" t="n">
        <v>46093</v>
      </c>
      <c r="D10161" t="inlineStr">
        <is>
          <t>VÄSTERNORRLANDS LÄN</t>
        </is>
      </c>
      <c r="E10161" t="inlineStr">
        <is>
          <t>TIMRÅ</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8128-2026</t>
        </is>
      </c>
      <c r="B10162" s="1" t="n">
        <v>46064.2893287037</v>
      </c>
      <c r="C10162" s="1" t="n">
        <v>46093</v>
      </c>
      <c r="D10162" t="inlineStr">
        <is>
          <t>VÄSTERNORRLANDS LÄN</t>
        </is>
      </c>
      <c r="E10162" t="inlineStr">
        <is>
          <t>KRAMFORS</t>
        </is>
      </c>
      <c r="G10162" t="n">
        <v>6.4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5362-2025</t>
        </is>
      </c>
      <c r="B10163" s="1" t="n">
        <v>45692.57824074074</v>
      </c>
      <c r="C10163" s="1" t="n">
        <v>46093</v>
      </c>
      <c r="D10163" t="inlineStr">
        <is>
          <t>VÄSTERNORRLANDS LÄN</t>
        </is>
      </c>
      <c r="E10163" t="inlineStr">
        <is>
          <t>SUNDSVALL</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8084-2026</t>
        </is>
      </c>
      <c r="B10164" s="1" t="n">
        <v>46063.6775462963</v>
      </c>
      <c r="C10164" s="1" t="n">
        <v>46093</v>
      </c>
      <c r="D10164" t="inlineStr">
        <is>
          <t>VÄSTERNORRLANDS LÄN</t>
        </is>
      </c>
      <c r="E10164" t="inlineStr">
        <is>
          <t>SOLLEFTEÅ</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594-2026</t>
        </is>
      </c>
      <c r="B10165" s="1" t="n">
        <v>46022</v>
      </c>
      <c r="C10165" s="1" t="n">
        <v>46093</v>
      </c>
      <c r="D10165" t="inlineStr">
        <is>
          <t>VÄSTERNORRLANDS LÄN</t>
        </is>
      </c>
      <c r="E10165" t="inlineStr">
        <is>
          <t>HÄRNÖSAND</t>
        </is>
      </c>
      <c r="G10165" t="n">
        <v>39.5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8143-2026</t>
        </is>
      </c>
      <c r="B10166" s="1" t="n">
        <v>46064.34438657408</v>
      </c>
      <c r="C10166" s="1" t="n">
        <v>46093</v>
      </c>
      <c r="D10166" t="inlineStr">
        <is>
          <t>VÄSTERNORRLANDS LÄN</t>
        </is>
      </c>
      <c r="E10166" t="inlineStr">
        <is>
          <t>ÅNGE</t>
        </is>
      </c>
      <c r="F10166" t="inlineStr">
        <is>
          <t>SCA</t>
        </is>
      </c>
      <c r="G10166" t="n">
        <v>0.8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37855-2024</t>
        </is>
      </c>
      <c r="B10167" s="1" t="n">
        <v>45544.3822337963</v>
      </c>
      <c r="C10167" s="1" t="n">
        <v>46093</v>
      </c>
      <c r="D10167" t="inlineStr">
        <is>
          <t>VÄSTERNORRLANDS LÄN</t>
        </is>
      </c>
      <c r="E10167" t="inlineStr">
        <is>
          <t>ÖRNSKÖLDSVIK</t>
        </is>
      </c>
      <c r="F10167" t="inlineStr">
        <is>
          <t>Holmen skog AB</t>
        </is>
      </c>
      <c r="G10167" t="n">
        <v>2.5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7932-2026</t>
        </is>
      </c>
      <c r="B10168" s="1" t="n">
        <v>46063.40326388889</v>
      </c>
      <c r="C10168" s="1" t="n">
        <v>46093</v>
      </c>
      <c r="D10168" t="inlineStr">
        <is>
          <t>VÄSTERNORRLANDS LÄN</t>
        </is>
      </c>
      <c r="E10168" t="inlineStr">
        <is>
          <t>KRAMFORS</t>
        </is>
      </c>
      <c r="G10168" t="n">
        <v>3.3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7936-2026</t>
        </is>
      </c>
      <c r="B10169" s="1" t="n">
        <v>46063.40401620371</v>
      </c>
      <c r="C10169" s="1" t="n">
        <v>46093</v>
      </c>
      <c r="D10169" t="inlineStr">
        <is>
          <t>VÄSTERNORRLANDS LÄN</t>
        </is>
      </c>
      <c r="E10169" t="inlineStr">
        <is>
          <t>KRAMFORS</t>
        </is>
      </c>
      <c r="G10169" t="n">
        <v>2.8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7937-2026</t>
        </is>
      </c>
      <c r="B10170" s="1" t="n">
        <v>46063.40416666667</v>
      </c>
      <c r="C10170" s="1" t="n">
        <v>46093</v>
      </c>
      <c r="D10170" t="inlineStr">
        <is>
          <t>VÄSTERNORRLANDS LÄN</t>
        </is>
      </c>
      <c r="E10170" t="inlineStr">
        <is>
          <t>KRAMFORS</t>
        </is>
      </c>
      <c r="G10170" t="n">
        <v>2.5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55080-2024</t>
        </is>
      </c>
      <c r="B10171" s="1" t="n">
        <v>45621.4275462963</v>
      </c>
      <c r="C10171" s="1" t="n">
        <v>46093</v>
      </c>
      <c r="D10171" t="inlineStr">
        <is>
          <t>VÄSTERNORRLANDS LÄN</t>
        </is>
      </c>
      <c r="E10171" t="inlineStr">
        <is>
          <t>TIMRÅ</t>
        </is>
      </c>
      <c r="F10171" t="inlineStr">
        <is>
          <t>SCA</t>
        </is>
      </c>
      <c r="G10171" t="n">
        <v>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8145-2026</t>
        </is>
      </c>
      <c r="B10172" s="1" t="n">
        <v>46064.34459490741</v>
      </c>
      <c r="C10172" s="1" t="n">
        <v>46093</v>
      </c>
      <c r="D10172" t="inlineStr">
        <is>
          <t>VÄSTERNORRLANDS LÄN</t>
        </is>
      </c>
      <c r="E10172" t="inlineStr">
        <is>
          <t>ÅNGE</t>
        </is>
      </c>
      <c r="F10172" t="inlineStr">
        <is>
          <t>SCA</t>
        </is>
      </c>
      <c r="G10172" t="n">
        <v>11.6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48007-2023</t>
        </is>
      </c>
      <c r="B10173" s="1" t="n">
        <v>45204</v>
      </c>
      <c r="C10173" s="1" t="n">
        <v>46093</v>
      </c>
      <c r="D10173" t="inlineStr">
        <is>
          <t>VÄSTERNORRLANDS LÄN</t>
        </is>
      </c>
      <c r="E10173" t="inlineStr">
        <is>
          <t>ÖRNSKÖLDSVIK</t>
        </is>
      </c>
      <c r="F10173" t="inlineStr">
        <is>
          <t>Holmen skog AB</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8206-2026</t>
        </is>
      </c>
      <c r="B10174" s="1" t="n">
        <v>46064.44851851852</v>
      </c>
      <c r="C10174" s="1" t="n">
        <v>46093</v>
      </c>
      <c r="D10174" t="inlineStr">
        <is>
          <t>VÄSTERNORRLANDS LÄN</t>
        </is>
      </c>
      <c r="E10174" t="inlineStr">
        <is>
          <t>SOLLEFTEÅ</t>
        </is>
      </c>
      <c r="F10174" t="inlineStr">
        <is>
          <t>SCA</t>
        </is>
      </c>
      <c r="G10174" t="n">
        <v>2.2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8207-2026</t>
        </is>
      </c>
      <c r="B10175" s="1" t="n">
        <v>46064.44872685185</v>
      </c>
      <c r="C10175" s="1" t="n">
        <v>46093</v>
      </c>
      <c r="D10175" t="inlineStr">
        <is>
          <t>VÄSTERNORRLANDS LÄN</t>
        </is>
      </c>
      <c r="E10175" t="inlineStr">
        <is>
          <t>SOLLEFTEÅ</t>
        </is>
      </c>
      <c r="F10175" t="inlineStr">
        <is>
          <t>SCA</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8127-2026</t>
        </is>
      </c>
      <c r="B10176" s="1" t="n">
        <v>46064.28782407408</v>
      </c>
      <c r="C10176" s="1" t="n">
        <v>46093</v>
      </c>
      <c r="D10176" t="inlineStr">
        <is>
          <t>VÄSTERNORRLANDS LÄN</t>
        </is>
      </c>
      <c r="E10176" t="inlineStr">
        <is>
          <t>KRAMFORS</t>
        </is>
      </c>
      <c r="G10176" t="n">
        <v>7.3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8131-2026</t>
        </is>
      </c>
      <c r="B10177" s="1" t="n">
        <v>46064.29755787037</v>
      </c>
      <c r="C10177" s="1" t="n">
        <v>46093</v>
      </c>
      <c r="D10177" t="inlineStr">
        <is>
          <t>VÄSTERNORRLANDS LÄN</t>
        </is>
      </c>
      <c r="E10177" t="inlineStr">
        <is>
          <t>ÖRNSKÖLDSVIK</t>
        </is>
      </c>
      <c r="G10177" t="n">
        <v>3.4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56256-2023</t>
        </is>
      </c>
      <c r="B10178" s="1" t="n">
        <v>45240</v>
      </c>
      <c r="C10178" s="1" t="n">
        <v>46093</v>
      </c>
      <c r="D10178" t="inlineStr">
        <is>
          <t>VÄSTERNORRLANDS LÄN</t>
        </is>
      </c>
      <c r="E10178" t="inlineStr">
        <is>
          <t>SOLLEFTEÅ</t>
        </is>
      </c>
      <c r="F10178" t="inlineStr">
        <is>
          <t>SCA</t>
        </is>
      </c>
      <c r="G10178" t="n">
        <v>1.3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56262-2023</t>
        </is>
      </c>
      <c r="B10179" s="1" t="n">
        <v>45240</v>
      </c>
      <c r="C10179" s="1" t="n">
        <v>46093</v>
      </c>
      <c r="D10179" t="inlineStr">
        <is>
          <t>VÄSTERNORRLANDS LÄN</t>
        </is>
      </c>
      <c r="E10179" t="inlineStr">
        <is>
          <t>SOLLEFTEÅ</t>
        </is>
      </c>
      <c r="F10179" t="inlineStr">
        <is>
          <t>SCA</t>
        </is>
      </c>
      <c r="G10179" t="n">
        <v>2.7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28546-2024</t>
        </is>
      </c>
      <c r="B10180" s="1" t="n">
        <v>45478.35644675926</v>
      </c>
      <c r="C10180" s="1" t="n">
        <v>46093</v>
      </c>
      <c r="D10180" t="inlineStr">
        <is>
          <t>VÄSTERNORRLANDS LÄN</t>
        </is>
      </c>
      <c r="E10180" t="inlineStr">
        <is>
          <t>ÖRNSKÖLDSVIK</t>
        </is>
      </c>
      <c r="G10180" t="n">
        <v>4.8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19713-2025</t>
        </is>
      </c>
      <c r="B10181" s="1" t="n">
        <v>45771.34842592593</v>
      </c>
      <c r="C10181" s="1" t="n">
        <v>46093</v>
      </c>
      <c r="D10181" t="inlineStr">
        <is>
          <t>VÄSTERNORRLANDS LÄN</t>
        </is>
      </c>
      <c r="E10181" t="inlineStr">
        <is>
          <t>SUNDSVALL</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64126-2025</t>
        </is>
      </c>
      <c r="B10182" s="1" t="n">
        <v>46021</v>
      </c>
      <c r="C10182" s="1" t="n">
        <v>46093</v>
      </c>
      <c r="D10182" t="inlineStr">
        <is>
          <t>VÄSTERNORRLANDS LÄN</t>
        </is>
      </c>
      <c r="E10182" t="inlineStr">
        <is>
          <t>HÄRNÖSAND</t>
        </is>
      </c>
      <c r="G10182" t="n">
        <v>1.6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64129-2025</t>
        </is>
      </c>
      <c r="B10183" s="1" t="n">
        <v>46021.974375</v>
      </c>
      <c r="C10183" s="1" t="n">
        <v>46093</v>
      </c>
      <c r="D10183" t="inlineStr">
        <is>
          <t>VÄSTERNORRLANDS LÄN</t>
        </is>
      </c>
      <c r="E10183" t="inlineStr">
        <is>
          <t>HÄRNÖSAND</t>
        </is>
      </c>
      <c r="G10183" t="n">
        <v>2.9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50716-2023</t>
        </is>
      </c>
      <c r="B10184" s="1" t="n">
        <v>45210</v>
      </c>
      <c r="C10184" s="1" t="n">
        <v>46093</v>
      </c>
      <c r="D10184" t="inlineStr">
        <is>
          <t>VÄSTERNORRLANDS LÄN</t>
        </is>
      </c>
      <c r="E10184" t="inlineStr">
        <is>
          <t>SOLLEFTEÅ</t>
        </is>
      </c>
      <c r="G10184" t="n">
        <v>3.4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152-2026</t>
        </is>
      </c>
      <c r="B10185" s="1" t="n">
        <v>46021</v>
      </c>
      <c r="C10185" s="1" t="n">
        <v>46093</v>
      </c>
      <c r="D10185" t="inlineStr">
        <is>
          <t>VÄSTERNORRLANDS LÄN</t>
        </is>
      </c>
      <c r="E10185" t="inlineStr">
        <is>
          <t>SUNDSVALL</t>
        </is>
      </c>
      <c r="G10185" t="n">
        <v>6.4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14252-2025</t>
        </is>
      </c>
      <c r="B10186" s="1" t="n">
        <v>45740.61601851852</v>
      </c>
      <c r="C10186" s="1" t="n">
        <v>46093</v>
      </c>
      <c r="D10186" t="inlineStr">
        <is>
          <t>VÄSTERNORRLANDS LÄN</t>
        </is>
      </c>
      <c r="E10186" t="inlineStr">
        <is>
          <t>SOLLEFTEÅ</t>
        </is>
      </c>
      <c r="F10186" t="inlineStr">
        <is>
          <t>SCA</t>
        </is>
      </c>
      <c r="G10186" t="n">
        <v>4.4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64046-2025</t>
        </is>
      </c>
      <c r="B10187" s="1" t="n">
        <v>46021.57615740741</v>
      </c>
      <c r="C10187" s="1" t="n">
        <v>46093</v>
      </c>
      <c r="D10187" t="inlineStr">
        <is>
          <t>VÄSTERNORRLANDS LÄN</t>
        </is>
      </c>
      <c r="E10187" t="inlineStr">
        <is>
          <t>SUNDSVALL</t>
        </is>
      </c>
      <c r="G10187" t="n">
        <v>2.5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10950-2025</t>
        </is>
      </c>
      <c r="B10188" s="1" t="n">
        <v>45723.34474537037</v>
      </c>
      <c r="C10188" s="1" t="n">
        <v>46093</v>
      </c>
      <c r="D10188" t="inlineStr">
        <is>
          <t>VÄSTERNORRLANDS LÄN</t>
        </is>
      </c>
      <c r="E10188" t="inlineStr">
        <is>
          <t>SOLLEFTEÅ</t>
        </is>
      </c>
      <c r="F10188" t="inlineStr">
        <is>
          <t>SCA</t>
        </is>
      </c>
      <c r="G10188" t="n">
        <v>32.3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10985-2025</t>
        </is>
      </c>
      <c r="B10189" s="1" t="n">
        <v>45723</v>
      </c>
      <c r="C10189" s="1" t="n">
        <v>46093</v>
      </c>
      <c r="D10189" t="inlineStr">
        <is>
          <t>VÄSTERNORRLANDS LÄN</t>
        </is>
      </c>
      <c r="E10189" t="inlineStr">
        <is>
          <t>ÖRNSKÖLDSVIK</t>
        </is>
      </c>
      <c r="G10189" t="n">
        <v>2.6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6468-2024</t>
        </is>
      </c>
      <c r="B10190" s="1" t="n">
        <v>45338</v>
      </c>
      <c r="C10190" s="1" t="n">
        <v>46093</v>
      </c>
      <c r="D10190" t="inlineStr">
        <is>
          <t>VÄSTERNORRLANDS LÄN</t>
        </is>
      </c>
      <c r="E10190" t="inlineStr">
        <is>
          <t>SUNDSVALL</t>
        </is>
      </c>
      <c r="G10190" t="n">
        <v>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15260-2025</t>
        </is>
      </c>
      <c r="B10191" s="1" t="n">
        <v>45744.65659722222</v>
      </c>
      <c r="C10191" s="1" t="n">
        <v>46093</v>
      </c>
      <c r="D10191" t="inlineStr">
        <is>
          <t>VÄSTERNORRLANDS LÄN</t>
        </is>
      </c>
      <c r="E10191" t="inlineStr">
        <is>
          <t>SOLLEFTEÅ</t>
        </is>
      </c>
      <c r="F10191" t="inlineStr">
        <is>
          <t>SCA</t>
        </is>
      </c>
      <c r="G10191" t="n">
        <v>8.699999999999999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8407-2024</t>
        </is>
      </c>
      <c r="B10192" s="1" t="n">
        <v>45352</v>
      </c>
      <c r="C10192" s="1" t="n">
        <v>46093</v>
      </c>
      <c r="D10192" t="inlineStr">
        <is>
          <t>VÄSTERNORRLANDS LÄN</t>
        </is>
      </c>
      <c r="E10192" t="inlineStr">
        <is>
          <t>HÄRNÖSAND</t>
        </is>
      </c>
      <c r="F10192" t="inlineStr">
        <is>
          <t>SCA</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50549-2024</t>
        </is>
      </c>
      <c r="B10193" s="1" t="n">
        <v>45601</v>
      </c>
      <c r="C10193" s="1" t="n">
        <v>46093</v>
      </c>
      <c r="D10193" t="inlineStr">
        <is>
          <t>VÄSTERNORRLANDS LÄN</t>
        </is>
      </c>
      <c r="E10193" t="inlineStr">
        <is>
          <t>SOLLEFTEÅ</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63992-2023</t>
        </is>
      </c>
      <c r="B10194" s="1" t="n">
        <v>45278</v>
      </c>
      <c r="C10194" s="1" t="n">
        <v>46093</v>
      </c>
      <c r="D10194" t="inlineStr">
        <is>
          <t>VÄSTERNORRLANDS LÄN</t>
        </is>
      </c>
      <c r="E10194" t="inlineStr">
        <is>
          <t>KRAMFORS</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50612-2024</t>
        </is>
      </c>
      <c r="B10195" s="1" t="n">
        <v>45601</v>
      </c>
      <c r="C10195" s="1" t="n">
        <v>46093</v>
      </c>
      <c r="D10195" t="inlineStr">
        <is>
          <t>VÄSTERNORRLANDS LÄN</t>
        </is>
      </c>
      <c r="E10195" t="inlineStr">
        <is>
          <t>ÅNGE</t>
        </is>
      </c>
      <c r="G10195" t="n">
        <v>1.9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50624-2024</t>
        </is>
      </c>
      <c r="B10196" s="1" t="n">
        <v>45601.65728009259</v>
      </c>
      <c r="C10196" s="1" t="n">
        <v>46093</v>
      </c>
      <c r="D10196" t="inlineStr">
        <is>
          <t>VÄSTERNORRLANDS LÄN</t>
        </is>
      </c>
      <c r="E10196" t="inlineStr">
        <is>
          <t>SOLLEFTEÅ</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27735-2024</t>
        </is>
      </c>
      <c r="B10197" s="1" t="n">
        <v>45475</v>
      </c>
      <c r="C10197" s="1" t="n">
        <v>46093</v>
      </c>
      <c r="D10197" t="inlineStr">
        <is>
          <t>VÄSTERNORRLANDS LÄN</t>
        </is>
      </c>
      <c r="E10197" t="inlineStr">
        <is>
          <t>SUNDSVALL</t>
        </is>
      </c>
      <c r="G10197" t="n">
        <v>5.1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342-2024</t>
        </is>
      </c>
      <c r="B10198" s="1" t="n">
        <v>45295</v>
      </c>
      <c r="C10198" s="1" t="n">
        <v>46093</v>
      </c>
      <c r="D10198" t="inlineStr">
        <is>
          <t>VÄSTERNORRLANDS LÄN</t>
        </is>
      </c>
      <c r="E10198" t="inlineStr">
        <is>
          <t>ÖRNSKÖLDSVIK</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7897-2026</t>
        </is>
      </c>
      <c r="B10199" s="1" t="n">
        <v>46063.34446759259</v>
      </c>
      <c r="C10199" s="1" t="n">
        <v>46093</v>
      </c>
      <c r="D10199" t="inlineStr">
        <is>
          <t>VÄSTERNORRLANDS LÄN</t>
        </is>
      </c>
      <c r="E10199" t="inlineStr">
        <is>
          <t>HÄRNÖSAND</t>
        </is>
      </c>
      <c r="G10199" t="n">
        <v>1.5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13491-2023</t>
        </is>
      </c>
      <c r="B10200" s="1" t="n">
        <v>45005.93929398148</v>
      </c>
      <c r="C10200" s="1" t="n">
        <v>46093</v>
      </c>
      <c r="D10200" t="inlineStr">
        <is>
          <t>VÄSTERNORRLANDS LÄN</t>
        </is>
      </c>
      <c r="E10200" t="inlineStr">
        <is>
          <t>ÅNGE</t>
        </is>
      </c>
      <c r="F10200" t="inlineStr">
        <is>
          <t>SCA</t>
        </is>
      </c>
      <c r="G10200" t="n">
        <v>3.3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11711-2025</t>
        </is>
      </c>
      <c r="B10201" s="1" t="n">
        <v>45727.59398148148</v>
      </c>
      <c r="C10201" s="1" t="n">
        <v>46093</v>
      </c>
      <c r="D10201" t="inlineStr">
        <is>
          <t>VÄSTERNORRLANDS LÄN</t>
        </is>
      </c>
      <c r="E10201" t="inlineStr">
        <is>
          <t>SOLLEFTEÅ</t>
        </is>
      </c>
      <c r="G10201" t="n">
        <v>7.5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64153-2025</t>
        </is>
      </c>
      <c r="B10202" s="1" t="n">
        <v>46022</v>
      </c>
      <c r="C10202" s="1" t="n">
        <v>46093</v>
      </c>
      <c r="D10202" t="inlineStr">
        <is>
          <t>VÄSTERNORRLANDS LÄN</t>
        </is>
      </c>
      <c r="E10202" t="inlineStr">
        <is>
          <t>KRAMFORS</t>
        </is>
      </c>
      <c r="G10202" t="n">
        <v>4.6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47438-2024</t>
        </is>
      </c>
      <c r="B10203" s="1" t="n">
        <v>45587</v>
      </c>
      <c r="C10203" s="1" t="n">
        <v>46093</v>
      </c>
      <c r="D10203" t="inlineStr">
        <is>
          <t>VÄSTERNORRLANDS LÄN</t>
        </is>
      </c>
      <c r="E10203" t="inlineStr">
        <is>
          <t>ÖRNSKÖLDSVIK</t>
        </is>
      </c>
      <c r="G10203" t="n">
        <v>11.8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38996-2024</t>
        </is>
      </c>
      <c r="B10204" s="1" t="n">
        <v>45548.41377314815</v>
      </c>
      <c r="C10204" s="1" t="n">
        <v>46093</v>
      </c>
      <c r="D10204" t="inlineStr">
        <is>
          <t>VÄSTERNORRLANDS LÄN</t>
        </is>
      </c>
      <c r="E10204" t="inlineStr">
        <is>
          <t>TIMRÅ</t>
        </is>
      </c>
      <c r="G10204" t="n">
        <v>8.5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5765-2025</t>
        </is>
      </c>
      <c r="B10205" s="1" t="n">
        <v>45694.57601851852</v>
      </c>
      <c r="C10205" s="1" t="n">
        <v>46093</v>
      </c>
      <c r="D10205" t="inlineStr">
        <is>
          <t>VÄSTERNORRLANDS LÄN</t>
        </is>
      </c>
      <c r="E10205" t="inlineStr">
        <is>
          <t>ÖRNSKÖLDSVIK</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8546-2026</t>
        </is>
      </c>
      <c r="B10206" s="1" t="n">
        <v>46065.61515046296</v>
      </c>
      <c r="C10206" s="1" t="n">
        <v>46093</v>
      </c>
      <c r="D10206" t="inlineStr">
        <is>
          <t>VÄSTERNORRLANDS LÄN</t>
        </is>
      </c>
      <c r="E10206" t="inlineStr">
        <is>
          <t>SOLLEFTEÅ</t>
        </is>
      </c>
      <c r="F10206" t="inlineStr">
        <is>
          <t>SCA</t>
        </is>
      </c>
      <c r="G10206" t="n">
        <v>4.3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8630-2026</t>
        </is>
      </c>
      <c r="B10207" s="1" t="n">
        <v>46066.33487268518</v>
      </c>
      <c r="C10207" s="1" t="n">
        <v>46093</v>
      </c>
      <c r="D10207" t="inlineStr">
        <is>
          <t>VÄSTERNORRLANDS LÄN</t>
        </is>
      </c>
      <c r="E10207" t="inlineStr">
        <is>
          <t>TIMRÅ</t>
        </is>
      </c>
      <c r="G10207" t="n">
        <v>0.8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60829-2024</t>
        </is>
      </c>
      <c r="B10208" s="1" t="n">
        <v>45644</v>
      </c>
      <c r="C10208" s="1" t="n">
        <v>46093</v>
      </c>
      <c r="D10208" t="inlineStr">
        <is>
          <t>VÄSTERNORRLANDS LÄN</t>
        </is>
      </c>
      <c r="E10208" t="inlineStr">
        <is>
          <t>KRAMFORS</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47243-2024</t>
        </is>
      </c>
      <c r="B10209" s="1" t="n">
        <v>45586.6987962963</v>
      </c>
      <c r="C10209" s="1" t="n">
        <v>46093</v>
      </c>
      <c r="D10209" t="inlineStr">
        <is>
          <t>VÄSTERNORRLANDS LÄN</t>
        </is>
      </c>
      <c r="E10209" t="inlineStr">
        <is>
          <t>ÅNGE</t>
        </is>
      </c>
      <c r="F10209" t="inlineStr">
        <is>
          <t>SCA</t>
        </is>
      </c>
      <c r="G10209" t="n">
        <v>2.3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79-2026</t>
        </is>
      </c>
      <c r="B10210" s="1" t="n">
        <v>46024.46909722222</v>
      </c>
      <c r="C10210" s="1" t="n">
        <v>46093</v>
      </c>
      <c r="D10210" t="inlineStr">
        <is>
          <t>VÄSTERNORRLANDS LÄN</t>
        </is>
      </c>
      <c r="E10210" t="inlineStr">
        <is>
          <t>HÄRNÖSAND</t>
        </is>
      </c>
      <c r="G10210" t="n">
        <v>5.4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8146-2026</t>
        </is>
      </c>
      <c r="B10211" s="1" t="n">
        <v>46064</v>
      </c>
      <c r="C10211" s="1" t="n">
        <v>46093</v>
      </c>
      <c r="D10211" t="inlineStr">
        <is>
          <t>VÄSTERNORRLANDS LÄN</t>
        </is>
      </c>
      <c r="E10211" t="inlineStr">
        <is>
          <t>SUNDSVALL</t>
        </is>
      </c>
      <c r="G10211" t="n">
        <v>1.6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640-2026</t>
        </is>
      </c>
      <c r="B10212" s="1" t="n">
        <v>46024</v>
      </c>
      <c r="C10212" s="1" t="n">
        <v>46093</v>
      </c>
      <c r="D10212" t="inlineStr">
        <is>
          <t>VÄSTERNORRLANDS LÄN</t>
        </is>
      </c>
      <c r="E10212" t="inlineStr">
        <is>
          <t>TIMRÅ</t>
        </is>
      </c>
      <c r="G10212" t="n">
        <v>2.4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655-2026</t>
        </is>
      </c>
      <c r="B10213" s="1" t="n">
        <v>46024</v>
      </c>
      <c r="C10213" s="1" t="n">
        <v>46093</v>
      </c>
      <c r="D10213" t="inlineStr">
        <is>
          <t>VÄSTERNORRLANDS LÄN</t>
        </is>
      </c>
      <c r="E10213" t="inlineStr">
        <is>
          <t>HÄRNÖSAND</t>
        </is>
      </c>
      <c r="G10213" t="n">
        <v>2.8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8830-2026</t>
        </is>
      </c>
      <c r="B10214" s="1" t="n">
        <v>46066.63505787037</v>
      </c>
      <c r="C10214" s="1" t="n">
        <v>46093</v>
      </c>
      <c r="D10214" t="inlineStr">
        <is>
          <t>VÄSTERNORRLANDS LÄN</t>
        </is>
      </c>
      <c r="E10214" t="inlineStr">
        <is>
          <t>TIMRÅ</t>
        </is>
      </c>
      <c r="G10214" t="n">
        <v>4.4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53858-2024</t>
        </is>
      </c>
      <c r="B10215" s="1" t="n">
        <v>45615</v>
      </c>
      <c r="C10215" s="1" t="n">
        <v>46093</v>
      </c>
      <c r="D10215" t="inlineStr">
        <is>
          <t>VÄSTERNORRLANDS LÄN</t>
        </is>
      </c>
      <c r="E10215" t="inlineStr">
        <is>
          <t>ÅNGE</t>
        </is>
      </c>
      <c r="F10215" t="inlineStr">
        <is>
          <t>SCA</t>
        </is>
      </c>
      <c r="G10215" t="n">
        <v>4.1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59896-2024</t>
        </is>
      </c>
      <c r="B10216" s="1" t="n">
        <v>45641</v>
      </c>
      <c r="C10216" s="1" t="n">
        <v>46093</v>
      </c>
      <c r="D10216" t="inlineStr">
        <is>
          <t>VÄSTERNORRLANDS LÄN</t>
        </is>
      </c>
      <c r="E10216" t="inlineStr">
        <is>
          <t>SUNDSVALL</t>
        </is>
      </c>
      <c r="F10216" t="inlineStr">
        <is>
          <t>SCA</t>
        </is>
      </c>
      <c r="G10216" t="n">
        <v>6.1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10480-2025</t>
        </is>
      </c>
      <c r="B10217" s="1" t="n">
        <v>45721.32282407407</v>
      </c>
      <c r="C10217" s="1" t="n">
        <v>46093</v>
      </c>
      <c r="D10217" t="inlineStr">
        <is>
          <t>VÄSTERNORRLANDS LÄN</t>
        </is>
      </c>
      <c r="E10217" t="inlineStr">
        <is>
          <t>ÖRNSKÖLDSVIK</t>
        </is>
      </c>
      <c r="G10217" t="n">
        <v>0.5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34875-2024</t>
        </is>
      </c>
      <c r="B10218" s="1" t="n">
        <v>45527.35077546296</v>
      </c>
      <c r="C10218" s="1" t="n">
        <v>46093</v>
      </c>
      <c r="D10218" t="inlineStr">
        <is>
          <t>VÄSTERNORRLANDS LÄN</t>
        </is>
      </c>
      <c r="E10218" t="inlineStr">
        <is>
          <t>ÖRNSKÖLDSVIK</t>
        </is>
      </c>
      <c r="F10218" t="inlineStr">
        <is>
          <t>Holmen skog AB</t>
        </is>
      </c>
      <c r="G10218" t="n">
        <v>0.6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34878-2024</t>
        </is>
      </c>
      <c r="B10219" s="1" t="n">
        <v>45527</v>
      </c>
      <c r="C10219" s="1" t="n">
        <v>46093</v>
      </c>
      <c r="D10219" t="inlineStr">
        <is>
          <t>VÄSTERNORRLANDS LÄN</t>
        </is>
      </c>
      <c r="E10219" t="inlineStr">
        <is>
          <t>SOLLEFTEÅ</t>
        </is>
      </c>
      <c r="F10219" t="inlineStr">
        <is>
          <t>SCA</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8415-2026</t>
        </is>
      </c>
      <c r="B10220" s="1" t="n">
        <v>46065</v>
      </c>
      <c r="C10220" s="1" t="n">
        <v>46093</v>
      </c>
      <c r="D10220" t="inlineStr">
        <is>
          <t>VÄSTERNORRLANDS LÄN</t>
        </is>
      </c>
      <c r="E10220" t="inlineStr">
        <is>
          <t>HÄRNÖSAND</t>
        </is>
      </c>
      <c r="F10220" t="inlineStr">
        <is>
          <t>Kyrkan</t>
        </is>
      </c>
      <c r="G10220" t="n">
        <v>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58-2026</t>
        </is>
      </c>
      <c r="B10221" s="1" t="n">
        <v>46024</v>
      </c>
      <c r="C10221" s="1" t="n">
        <v>46093</v>
      </c>
      <c r="D10221" t="inlineStr">
        <is>
          <t>VÄSTERNORRLANDS LÄN</t>
        </is>
      </c>
      <c r="E10221" t="inlineStr">
        <is>
          <t>ÅNGE</t>
        </is>
      </c>
      <c r="F10221" t="inlineStr">
        <is>
          <t>Kyrkan</t>
        </is>
      </c>
      <c r="G10221" t="n">
        <v>7.2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34898-2024</t>
        </is>
      </c>
      <c r="B10222" s="1" t="n">
        <v>45527</v>
      </c>
      <c r="C10222" s="1" t="n">
        <v>46093</v>
      </c>
      <c r="D10222" t="inlineStr">
        <is>
          <t>VÄSTERNORRLANDS LÄN</t>
        </is>
      </c>
      <c r="E10222" t="inlineStr">
        <is>
          <t>ÖRNSKÖLDSVIK</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55759-2024</t>
        </is>
      </c>
      <c r="B10223" s="1" t="n">
        <v>45623.3647337963</v>
      </c>
      <c r="C10223" s="1" t="n">
        <v>46093</v>
      </c>
      <c r="D10223" t="inlineStr">
        <is>
          <t>VÄSTERNORRLANDS LÄN</t>
        </is>
      </c>
      <c r="E10223" t="inlineStr">
        <is>
          <t>SOLLEFTEÅ</t>
        </is>
      </c>
      <c r="G10223" t="n">
        <v>6.1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64-2026</t>
        </is>
      </c>
      <c r="B10224" s="1" t="n">
        <v>46024.44824074074</v>
      </c>
      <c r="C10224" s="1" t="n">
        <v>46093</v>
      </c>
      <c r="D10224" t="inlineStr">
        <is>
          <t>VÄSTERNORRLANDS LÄN</t>
        </is>
      </c>
      <c r="E10224" t="inlineStr">
        <is>
          <t>HÄRNÖSAND</t>
        </is>
      </c>
      <c r="G10224" t="n">
        <v>0.5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8688-2026</t>
        </is>
      </c>
      <c r="B10225" s="1" t="n">
        <v>46066.44523148148</v>
      </c>
      <c r="C10225" s="1" t="n">
        <v>46093</v>
      </c>
      <c r="D10225" t="inlineStr">
        <is>
          <t>VÄSTERNORRLANDS LÄN</t>
        </is>
      </c>
      <c r="E10225" t="inlineStr">
        <is>
          <t>SUNDSVALL</t>
        </is>
      </c>
      <c r="G10225" t="n">
        <v>3.2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58583-2024</t>
        </is>
      </c>
      <c r="B10226" s="1" t="n">
        <v>45635</v>
      </c>
      <c r="C10226" s="1" t="n">
        <v>46093</v>
      </c>
      <c r="D10226" t="inlineStr">
        <is>
          <t>VÄSTERNORRLANDS LÄN</t>
        </is>
      </c>
      <c r="E10226" t="inlineStr">
        <is>
          <t>SUNDSVALL</t>
        </is>
      </c>
      <c r="G10226" t="n">
        <v>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37540-2024</t>
        </is>
      </c>
      <c r="B10227" s="1" t="n">
        <v>45541.42111111111</v>
      </c>
      <c r="C10227" s="1" t="n">
        <v>46093</v>
      </c>
      <c r="D10227" t="inlineStr">
        <is>
          <t>VÄSTERNORRLANDS LÄN</t>
        </is>
      </c>
      <c r="E10227" t="inlineStr">
        <is>
          <t>ÅNGE</t>
        </is>
      </c>
      <c r="G10227" t="n">
        <v>0.5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13-2026</t>
        </is>
      </c>
      <c r="B10228" s="1" t="n">
        <v>46023.63582175926</v>
      </c>
      <c r="C10228" s="1" t="n">
        <v>46093</v>
      </c>
      <c r="D10228" t="inlineStr">
        <is>
          <t>VÄSTERNORRLANDS LÄN</t>
        </is>
      </c>
      <c r="E10228" t="inlineStr">
        <is>
          <t>HÄRNÖSAND</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10-2026</t>
        </is>
      </c>
      <c r="B10229" s="1" t="n">
        <v>46023</v>
      </c>
      <c r="C10229" s="1" t="n">
        <v>46093</v>
      </c>
      <c r="D10229" t="inlineStr">
        <is>
          <t>VÄSTERNORRLANDS LÄN</t>
        </is>
      </c>
      <c r="E10229" t="inlineStr">
        <is>
          <t>TIMRÅ</t>
        </is>
      </c>
      <c r="G10229" t="n">
        <v>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54-2026</t>
        </is>
      </c>
      <c r="B10230" s="1" t="n">
        <v>46024.43549768518</v>
      </c>
      <c r="C10230" s="1" t="n">
        <v>46093</v>
      </c>
      <c r="D10230" t="inlineStr">
        <is>
          <t>VÄSTERNORRLANDS LÄN</t>
        </is>
      </c>
      <c r="E10230" t="inlineStr">
        <is>
          <t>HÄRNÖSAND</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8753-2026</t>
        </is>
      </c>
      <c r="B10231" s="1" t="n">
        <v>46066.54761574074</v>
      </c>
      <c r="C10231" s="1" t="n">
        <v>46093</v>
      </c>
      <c r="D10231" t="inlineStr">
        <is>
          <t>VÄSTERNORRLANDS LÄN</t>
        </is>
      </c>
      <c r="E10231" t="inlineStr">
        <is>
          <t>ÖRNSKÖLDSVIK</t>
        </is>
      </c>
      <c r="F10231" t="inlineStr">
        <is>
          <t>Holmen skog AB</t>
        </is>
      </c>
      <c r="G10231" t="n">
        <v>1.6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61995-2024</t>
        </is>
      </c>
      <c r="B10232" s="1" t="n">
        <v>45653.73643518519</v>
      </c>
      <c r="C10232" s="1" t="n">
        <v>46093</v>
      </c>
      <c r="D10232" t="inlineStr">
        <is>
          <t>VÄSTERNORRLANDS LÄN</t>
        </is>
      </c>
      <c r="E10232" t="inlineStr">
        <is>
          <t>SUNDSVALL</t>
        </is>
      </c>
      <c r="G10232" t="n">
        <v>3.2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42948-2024</t>
        </is>
      </c>
      <c r="B10233" s="1" t="n">
        <v>45567.36628472222</v>
      </c>
      <c r="C10233" s="1" t="n">
        <v>46093</v>
      </c>
      <c r="D10233" t="inlineStr">
        <is>
          <t>VÄSTERNORRLANDS LÄN</t>
        </is>
      </c>
      <c r="E10233" t="inlineStr">
        <is>
          <t>ÅNGE</t>
        </is>
      </c>
      <c r="F10233" t="inlineStr">
        <is>
          <t>SCA</t>
        </is>
      </c>
      <c r="G10233" t="n">
        <v>6.1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51302-2024</t>
        </is>
      </c>
      <c r="B10234" s="1" t="n">
        <v>45604.30118055556</v>
      </c>
      <c r="C10234" s="1" t="n">
        <v>46093</v>
      </c>
      <c r="D10234" t="inlineStr">
        <is>
          <t>VÄSTERNORRLANDS LÄN</t>
        </is>
      </c>
      <c r="E10234" t="inlineStr">
        <is>
          <t>ÖRNSKÖLDSVIK</t>
        </is>
      </c>
      <c r="G10234" t="n">
        <v>0.4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56388-2024</t>
        </is>
      </c>
      <c r="B10235" s="1" t="n">
        <v>45625.34449074074</v>
      </c>
      <c r="C10235" s="1" t="n">
        <v>46093</v>
      </c>
      <c r="D10235" t="inlineStr">
        <is>
          <t>VÄSTERNORRLANDS LÄN</t>
        </is>
      </c>
      <c r="E10235" t="inlineStr">
        <is>
          <t>SOLLEFTEÅ</t>
        </is>
      </c>
      <c r="F10235" t="inlineStr">
        <is>
          <t>SCA</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56389-2024</t>
        </is>
      </c>
      <c r="B10236" s="1" t="n">
        <v>45625.34460648148</v>
      </c>
      <c r="C10236" s="1" t="n">
        <v>46093</v>
      </c>
      <c r="D10236" t="inlineStr">
        <is>
          <t>VÄSTERNORRLANDS LÄN</t>
        </is>
      </c>
      <c r="E10236" t="inlineStr">
        <is>
          <t>ÖRNSKÖLDSVIK</t>
        </is>
      </c>
      <c r="F10236" t="inlineStr">
        <is>
          <t>SCA</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8635-2026</t>
        </is>
      </c>
      <c r="B10237" s="1" t="n">
        <v>46066.3543287037</v>
      </c>
      <c r="C10237" s="1" t="n">
        <v>46093</v>
      </c>
      <c r="D10237" t="inlineStr">
        <is>
          <t>VÄSTERNORRLANDS LÄN</t>
        </is>
      </c>
      <c r="E10237" t="inlineStr">
        <is>
          <t>ÅNGE</t>
        </is>
      </c>
      <c r="F10237" t="inlineStr">
        <is>
          <t>SCA</t>
        </is>
      </c>
      <c r="G10237" t="n">
        <v>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57063-2024</t>
        </is>
      </c>
      <c r="B10238" s="1" t="n">
        <v>45629.35313657407</v>
      </c>
      <c r="C10238" s="1" t="n">
        <v>46093</v>
      </c>
      <c r="D10238" t="inlineStr">
        <is>
          <t>VÄSTERNORRLANDS LÄN</t>
        </is>
      </c>
      <c r="E10238" t="inlineStr">
        <is>
          <t>TIMRÅ</t>
        </is>
      </c>
      <c r="G10238" t="n">
        <v>2.7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8692-2026</t>
        </is>
      </c>
      <c r="B10239" s="1" t="n">
        <v>46066.44842592593</v>
      </c>
      <c r="C10239" s="1" t="n">
        <v>46093</v>
      </c>
      <c r="D10239" t="inlineStr">
        <is>
          <t>VÄSTERNORRLANDS LÄN</t>
        </is>
      </c>
      <c r="E10239" t="inlineStr">
        <is>
          <t>SOLLEFTEÅ</t>
        </is>
      </c>
      <c r="G10239" t="n">
        <v>5.3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8693-2026</t>
        </is>
      </c>
      <c r="B10240" s="1" t="n">
        <v>46066.44861111111</v>
      </c>
      <c r="C10240" s="1" t="n">
        <v>46093</v>
      </c>
      <c r="D10240" t="inlineStr">
        <is>
          <t>VÄSTERNORRLANDS LÄN</t>
        </is>
      </c>
      <c r="E10240" t="inlineStr">
        <is>
          <t>SOLLEFTEÅ</t>
        </is>
      </c>
      <c r="F10240" t="inlineStr">
        <is>
          <t>SCA</t>
        </is>
      </c>
      <c r="G10240" t="n">
        <v>31.1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57079-2024</t>
        </is>
      </c>
      <c r="B10241" s="1" t="n">
        <v>45629</v>
      </c>
      <c r="C10241" s="1" t="n">
        <v>46093</v>
      </c>
      <c r="D10241" t="inlineStr">
        <is>
          <t>VÄSTERNORRLANDS LÄN</t>
        </is>
      </c>
      <c r="E10241" t="inlineStr">
        <is>
          <t>SUNDSVALL</t>
        </is>
      </c>
      <c r="F10241" t="inlineStr">
        <is>
          <t>SCA</t>
        </is>
      </c>
      <c r="G10241" t="n">
        <v>3.9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3909-2025</t>
        </is>
      </c>
      <c r="B10242" s="1" t="n">
        <v>45684.41552083333</v>
      </c>
      <c r="C10242" s="1" t="n">
        <v>46093</v>
      </c>
      <c r="D10242" t="inlineStr">
        <is>
          <t>VÄSTERNORRLANDS LÄN</t>
        </is>
      </c>
      <c r="E10242" t="inlineStr">
        <is>
          <t>ÖRNSKÖLDSVIK</t>
        </is>
      </c>
      <c r="G10242" t="n">
        <v>3.4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164-2026</t>
        </is>
      </c>
      <c r="B10243" s="1" t="n">
        <v>46024</v>
      </c>
      <c r="C10243" s="1" t="n">
        <v>46093</v>
      </c>
      <c r="D10243" t="inlineStr">
        <is>
          <t>VÄSTERNORRLANDS LÄN</t>
        </is>
      </c>
      <c r="E10243" t="inlineStr">
        <is>
          <t>TIMRÅ</t>
        </is>
      </c>
      <c r="G10243" t="n">
        <v>3.3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539-2025</t>
        </is>
      </c>
      <c r="B10244" s="1" t="n">
        <v>45664.51965277778</v>
      </c>
      <c r="C10244" s="1" t="n">
        <v>46093</v>
      </c>
      <c r="D10244" t="inlineStr">
        <is>
          <t>VÄSTERNORRLANDS LÄN</t>
        </is>
      </c>
      <c r="E10244" t="inlineStr">
        <is>
          <t>KRAMFORS</t>
        </is>
      </c>
      <c r="G10244" t="n">
        <v>2.5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26468-2023</t>
        </is>
      </c>
      <c r="B10245" s="1" t="n">
        <v>45089</v>
      </c>
      <c r="C10245" s="1" t="n">
        <v>46093</v>
      </c>
      <c r="D10245" t="inlineStr">
        <is>
          <t>VÄSTERNORRLANDS LÄN</t>
        </is>
      </c>
      <c r="E10245" t="inlineStr">
        <is>
          <t>SUNDSVALL</t>
        </is>
      </c>
      <c r="G10245" t="n">
        <v>2.4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39713-2024</t>
        </is>
      </c>
      <c r="B10246" s="1" t="n">
        <v>45552</v>
      </c>
      <c r="C10246" s="1" t="n">
        <v>46093</v>
      </c>
      <c r="D10246" t="inlineStr">
        <is>
          <t>VÄSTERNORRLANDS LÄN</t>
        </is>
      </c>
      <c r="E10246" t="inlineStr">
        <is>
          <t>SUNDSVALL</t>
        </is>
      </c>
      <c r="G10246" t="n">
        <v>2.6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159-2026</t>
        </is>
      </c>
      <c r="B10247" s="1" t="n">
        <v>46024</v>
      </c>
      <c r="C10247" s="1" t="n">
        <v>46093</v>
      </c>
      <c r="D10247" t="inlineStr">
        <is>
          <t>VÄSTERNORRLANDS LÄN</t>
        </is>
      </c>
      <c r="E10247" t="inlineStr">
        <is>
          <t>TIMRÅ</t>
        </is>
      </c>
      <c r="G10247" t="n">
        <v>0.8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161-2026</t>
        </is>
      </c>
      <c r="B10248" s="1" t="n">
        <v>46024</v>
      </c>
      <c r="C10248" s="1" t="n">
        <v>46093</v>
      </c>
      <c r="D10248" t="inlineStr">
        <is>
          <t>VÄSTERNORRLANDS LÄN</t>
        </is>
      </c>
      <c r="E10248" t="inlineStr">
        <is>
          <t>TIMRÅ</t>
        </is>
      </c>
      <c r="G10248" t="n">
        <v>4.1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162-2026</t>
        </is>
      </c>
      <c r="B10249" s="1" t="n">
        <v>46024</v>
      </c>
      <c r="C10249" s="1" t="n">
        <v>46093</v>
      </c>
      <c r="D10249" t="inlineStr">
        <is>
          <t>VÄSTERNORRLANDS LÄN</t>
        </is>
      </c>
      <c r="E10249" t="inlineStr">
        <is>
          <t>TIMRÅ</t>
        </is>
      </c>
      <c r="G10249" t="n">
        <v>2.4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18859-2024</t>
        </is>
      </c>
      <c r="B10250" s="1" t="n">
        <v>45426</v>
      </c>
      <c r="C10250" s="1" t="n">
        <v>46093</v>
      </c>
      <c r="D10250" t="inlineStr">
        <is>
          <t>VÄSTERNORRLANDS LÄN</t>
        </is>
      </c>
      <c r="E10250" t="inlineStr">
        <is>
          <t>SUNDSVALL</t>
        </is>
      </c>
      <c r="G10250" t="n">
        <v>7.1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57892-2024</t>
        </is>
      </c>
      <c r="B10251" s="1" t="n">
        <v>45631.46910879629</v>
      </c>
      <c r="C10251" s="1" t="n">
        <v>46093</v>
      </c>
      <c r="D10251" t="inlineStr">
        <is>
          <t>VÄSTERNORRLANDS LÄN</t>
        </is>
      </c>
      <c r="E10251" t="inlineStr">
        <is>
          <t>SOLLEFTEÅ</t>
        </is>
      </c>
      <c r="F10251" t="inlineStr">
        <is>
          <t>SCA</t>
        </is>
      </c>
      <c r="G10251" t="n">
        <v>13.8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46356-2024</t>
        </is>
      </c>
      <c r="B10252" s="1" t="n">
        <v>45582.34539351852</v>
      </c>
      <c r="C10252" s="1" t="n">
        <v>46093</v>
      </c>
      <c r="D10252" t="inlineStr">
        <is>
          <t>VÄSTERNORRLANDS LÄN</t>
        </is>
      </c>
      <c r="E10252" t="inlineStr">
        <is>
          <t>ÖRNSKÖLDSVIK</t>
        </is>
      </c>
      <c r="F10252" t="inlineStr">
        <is>
          <t>Holmen skog AB</t>
        </is>
      </c>
      <c r="G10252" t="n">
        <v>1.8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43728-2025</t>
        </is>
      </c>
      <c r="B10253" s="1" t="n">
        <v>45912</v>
      </c>
      <c r="C10253" s="1" t="n">
        <v>46093</v>
      </c>
      <c r="D10253" t="inlineStr">
        <is>
          <t>VÄSTERNORRLANDS LÄN</t>
        </is>
      </c>
      <c r="E10253" t="inlineStr">
        <is>
          <t>SUNDSVALL</t>
        </is>
      </c>
      <c r="G10253" t="n">
        <v>24.2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49868-2024</t>
        </is>
      </c>
      <c r="B10254" s="1" t="n">
        <v>45597.48740740741</v>
      </c>
      <c r="C10254" s="1" t="n">
        <v>46093</v>
      </c>
      <c r="D10254" t="inlineStr">
        <is>
          <t>VÄSTERNORRLANDS LÄN</t>
        </is>
      </c>
      <c r="E10254" t="inlineStr">
        <is>
          <t>ÖRNSKÖLDSVIK</t>
        </is>
      </c>
      <c r="F10254" t="inlineStr">
        <is>
          <t>Holmen skog AB</t>
        </is>
      </c>
      <c r="G10254" t="n">
        <v>2.8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11903-2024</t>
        </is>
      </c>
      <c r="B10255" s="1" t="n">
        <v>45376</v>
      </c>
      <c r="C10255" s="1" t="n">
        <v>46093</v>
      </c>
      <c r="D10255" t="inlineStr">
        <is>
          <t>VÄSTERNORRLANDS LÄN</t>
        </is>
      </c>
      <c r="E10255" t="inlineStr">
        <is>
          <t>HÄRNÖSAND</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8834-2026</t>
        </is>
      </c>
      <c r="B10256" s="1" t="n">
        <v>46066.63671296297</v>
      </c>
      <c r="C10256" s="1" t="n">
        <v>46093</v>
      </c>
      <c r="D10256" t="inlineStr">
        <is>
          <t>VÄSTERNORRLANDS LÄN</t>
        </is>
      </c>
      <c r="E10256" t="inlineStr">
        <is>
          <t>SOLLEFTEÅ</t>
        </is>
      </c>
      <c r="F10256" t="inlineStr">
        <is>
          <t>SCA</t>
        </is>
      </c>
      <c r="G10256" t="n">
        <v>28.4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8855-2026</t>
        </is>
      </c>
      <c r="B10257" s="1" t="n">
        <v>46066.67763888889</v>
      </c>
      <c r="C10257" s="1" t="n">
        <v>46093</v>
      </c>
      <c r="D10257" t="inlineStr">
        <is>
          <t>VÄSTERNORRLANDS LÄN</t>
        </is>
      </c>
      <c r="E10257" t="inlineStr">
        <is>
          <t>SOLLEFTEÅ</t>
        </is>
      </c>
      <c r="F10257" t="inlineStr">
        <is>
          <t>SCA</t>
        </is>
      </c>
      <c r="G10257" t="n">
        <v>6.8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8858-2026</t>
        </is>
      </c>
      <c r="B10258" s="1" t="n">
        <v>46066.69833333333</v>
      </c>
      <c r="C10258" s="1" t="n">
        <v>46093</v>
      </c>
      <c r="D10258" t="inlineStr">
        <is>
          <t>VÄSTERNORRLANDS LÄN</t>
        </is>
      </c>
      <c r="E10258" t="inlineStr">
        <is>
          <t>ÅNGE</t>
        </is>
      </c>
      <c r="F10258" t="inlineStr">
        <is>
          <t>SCA</t>
        </is>
      </c>
      <c r="G10258" t="n">
        <v>3.2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61429-2025</t>
        </is>
      </c>
      <c r="B10259" s="1" t="n">
        <v>46001.55243055556</v>
      </c>
      <c r="C10259" s="1" t="n">
        <v>46093</v>
      </c>
      <c r="D10259" t="inlineStr">
        <is>
          <t>VÄSTERNORRLANDS LÄN</t>
        </is>
      </c>
      <c r="E10259" t="inlineStr">
        <is>
          <t>SOLLEFTEÅ</t>
        </is>
      </c>
      <c r="G10259" t="n">
        <v>2.2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649-2026</t>
        </is>
      </c>
      <c r="B10260" s="1" t="n">
        <v>46024</v>
      </c>
      <c r="C10260" s="1" t="n">
        <v>46093</v>
      </c>
      <c r="D10260" t="inlineStr">
        <is>
          <t>VÄSTERNORRLANDS LÄN</t>
        </is>
      </c>
      <c r="E10260" t="inlineStr">
        <is>
          <t>HÄRNÖSAND</t>
        </is>
      </c>
      <c r="G10260" t="n">
        <v>3.8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15-2026</t>
        </is>
      </c>
      <c r="B10261" s="1" t="n">
        <v>46023.65657407408</v>
      </c>
      <c r="C10261" s="1" t="n">
        <v>46093</v>
      </c>
      <c r="D10261" t="inlineStr">
        <is>
          <t>VÄSTERNORRLANDS LÄN</t>
        </is>
      </c>
      <c r="E10261" t="inlineStr">
        <is>
          <t>HÄRNÖSAND</t>
        </is>
      </c>
      <c r="G10261" t="n">
        <v>1.1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81-2026</t>
        </is>
      </c>
      <c r="B10262" s="1" t="n">
        <v>46024.46921296296</v>
      </c>
      <c r="C10262" s="1" t="n">
        <v>46093</v>
      </c>
      <c r="D10262" t="inlineStr">
        <is>
          <t>VÄSTERNORRLANDS LÄN</t>
        </is>
      </c>
      <c r="E10262" t="inlineStr">
        <is>
          <t>KRAMFORS</t>
        </is>
      </c>
      <c r="G10262" t="n">
        <v>0.8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8421-2026</t>
        </is>
      </c>
      <c r="B10263" s="1" t="n">
        <v>46065.36491898148</v>
      </c>
      <c r="C10263" s="1" t="n">
        <v>46093</v>
      </c>
      <c r="D10263" t="inlineStr">
        <is>
          <t>VÄSTERNORRLANDS LÄN</t>
        </is>
      </c>
      <c r="E10263" t="inlineStr">
        <is>
          <t>HÄRNÖSAND</t>
        </is>
      </c>
      <c r="G10263" t="n">
        <v>3.2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8666-2026</t>
        </is>
      </c>
      <c r="B10264" s="1" t="n">
        <v>46066.38591435185</v>
      </c>
      <c r="C10264" s="1" t="n">
        <v>46093</v>
      </c>
      <c r="D10264" t="inlineStr">
        <is>
          <t>VÄSTERNORRLANDS LÄN</t>
        </is>
      </c>
      <c r="E10264" t="inlineStr">
        <is>
          <t>SOLLEFTEÅ</t>
        </is>
      </c>
      <c r="F10264" t="inlineStr">
        <is>
          <t>SCA</t>
        </is>
      </c>
      <c r="G10264" t="n">
        <v>27.7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59771-2024</t>
        </is>
      </c>
      <c r="B10265" s="1" t="n">
        <v>45638</v>
      </c>
      <c r="C10265" s="1" t="n">
        <v>46093</v>
      </c>
      <c r="D10265" t="inlineStr">
        <is>
          <t>VÄSTERNORRLANDS LÄN</t>
        </is>
      </c>
      <c r="E10265" t="inlineStr">
        <is>
          <t>ÖRNSKÖLDSVIK</t>
        </is>
      </c>
      <c r="G10265" t="n">
        <v>1.3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8456-2026</t>
        </is>
      </c>
      <c r="B10266" s="1" t="n">
        <v>46065.42681712963</v>
      </c>
      <c r="C10266" s="1" t="n">
        <v>46093</v>
      </c>
      <c r="D10266" t="inlineStr">
        <is>
          <t>VÄSTERNORRLANDS LÄN</t>
        </is>
      </c>
      <c r="E10266" t="inlineStr">
        <is>
          <t>SUNDSVALL</t>
        </is>
      </c>
      <c r="G10266" t="n">
        <v>0.7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8495-2026</t>
        </is>
      </c>
      <c r="B10267" s="1" t="n">
        <v>46065.49013888889</v>
      </c>
      <c r="C10267" s="1" t="n">
        <v>46093</v>
      </c>
      <c r="D10267" t="inlineStr">
        <is>
          <t>VÄSTERNORRLANDS LÄN</t>
        </is>
      </c>
      <c r="E10267" t="inlineStr">
        <is>
          <t>HÄRNÖSAND</t>
        </is>
      </c>
      <c r="G10267" t="n">
        <v>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20222-2024</t>
        </is>
      </c>
      <c r="B10268" s="1" t="n">
        <v>45434</v>
      </c>
      <c r="C10268" s="1" t="n">
        <v>46093</v>
      </c>
      <c r="D10268" t="inlineStr">
        <is>
          <t>VÄSTERNORRLANDS LÄN</t>
        </is>
      </c>
      <c r="E10268" t="inlineStr">
        <is>
          <t>ÖRNSKÖLDSVIK</t>
        </is>
      </c>
      <c r="G10268" t="n">
        <v>0.3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20223-2024</t>
        </is>
      </c>
      <c r="B10269" s="1" t="n">
        <v>45434</v>
      </c>
      <c r="C10269" s="1" t="n">
        <v>46093</v>
      </c>
      <c r="D10269" t="inlineStr">
        <is>
          <t>VÄSTERNORRLANDS LÄN</t>
        </is>
      </c>
      <c r="E10269" t="inlineStr">
        <is>
          <t>SOLLEFTEÅ</t>
        </is>
      </c>
      <c r="G10269" t="n">
        <v>5.5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10499-2024</t>
        </is>
      </c>
      <c r="B10270" s="1" t="n">
        <v>45366</v>
      </c>
      <c r="C10270" s="1" t="n">
        <v>46093</v>
      </c>
      <c r="D10270" t="inlineStr">
        <is>
          <t>VÄSTERNORRLANDS LÄN</t>
        </is>
      </c>
      <c r="E10270" t="inlineStr">
        <is>
          <t>ÖRNSKÖLDSVIK</t>
        </is>
      </c>
      <c r="F10270" t="inlineStr">
        <is>
          <t>Holmen skog AB</t>
        </is>
      </c>
      <c r="G10270" t="n">
        <v>4.3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1438-2024</t>
        </is>
      </c>
      <c r="B10271" s="1" t="n">
        <v>45303</v>
      </c>
      <c r="C10271" s="1" t="n">
        <v>46093</v>
      </c>
      <c r="D10271" t="inlineStr">
        <is>
          <t>VÄSTERNORRLANDS LÄN</t>
        </is>
      </c>
      <c r="E10271" t="inlineStr">
        <is>
          <t>KRAMFORS</t>
        </is>
      </c>
      <c r="G10271" t="n">
        <v>10.3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51227-2024</t>
        </is>
      </c>
      <c r="B10272" s="1" t="n">
        <v>45603.65729166667</v>
      </c>
      <c r="C10272" s="1" t="n">
        <v>46093</v>
      </c>
      <c r="D10272" t="inlineStr">
        <is>
          <t>VÄSTERNORRLANDS LÄN</t>
        </is>
      </c>
      <c r="E10272" t="inlineStr">
        <is>
          <t>SOLLEFTEÅ</t>
        </is>
      </c>
      <c r="F10272" t="inlineStr">
        <is>
          <t>SCA</t>
        </is>
      </c>
      <c r="G10272" t="n">
        <v>5.5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8647-2026</t>
        </is>
      </c>
      <c r="B10273" s="1" t="n">
        <v>46065</v>
      </c>
      <c r="C10273" s="1" t="n">
        <v>46093</v>
      </c>
      <c r="D10273" t="inlineStr">
        <is>
          <t>VÄSTERNORRLANDS LÄN</t>
        </is>
      </c>
      <c r="E10273" t="inlineStr">
        <is>
          <t>SOLLEFTEÅ</t>
        </is>
      </c>
      <c r="F10273" t="inlineStr">
        <is>
          <t>Övriga Aktiebolag</t>
        </is>
      </c>
      <c r="G10273" t="n">
        <v>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8724-2026</t>
        </is>
      </c>
      <c r="B10274" s="1" t="n">
        <v>46066.49011574074</v>
      </c>
      <c r="C10274" s="1" t="n">
        <v>46093</v>
      </c>
      <c r="D10274" t="inlineStr">
        <is>
          <t>VÄSTERNORRLANDS LÄN</t>
        </is>
      </c>
      <c r="E10274" t="inlineStr">
        <is>
          <t>SOLLEFTEÅ</t>
        </is>
      </c>
      <c r="F10274" t="inlineStr">
        <is>
          <t>SCA</t>
        </is>
      </c>
      <c r="G10274" t="n">
        <v>9.9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16315-2024</t>
        </is>
      </c>
      <c r="B10275" s="1" t="n">
        <v>45407</v>
      </c>
      <c r="C10275" s="1" t="n">
        <v>46093</v>
      </c>
      <c r="D10275" t="inlineStr">
        <is>
          <t>VÄSTERNORRLANDS LÄN</t>
        </is>
      </c>
      <c r="E10275" t="inlineStr">
        <is>
          <t>TIMRÅ</t>
        </is>
      </c>
      <c r="F10275" t="inlineStr">
        <is>
          <t>Kommuner</t>
        </is>
      </c>
      <c r="G10275" t="n">
        <v>0.5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10485-2025</t>
        </is>
      </c>
      <c r="B10276" s="1" t="n">
        <v>45721</v>
      </c>
      <c r="C10276" s="1" t="n">
        <v>46093</v>
      </c>
      <c r="D10276" t="inlineStr">
        <is>
          <t>VÄSTERNORRLANDS LÄN</t>
        </is>
      </c>
      <c r="E10276" t="inlineStr">
        <is>
          <t>ÖRNSKÖLDSVIK</t>
        </is>
      </c>
      <c r="G10276" t="n">
        <v>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61914-2023</t>
        </is>
      </c>
      <c r="B10277" s="1" t="n">
        <v>45265</v>
      </c>
      <c r="C10277" s="1" t="n">
        <v>46093</v>
      </c>
      <c r="D10277" t="inlineStr">
        <is>
          <t>VÄSTERNORRLANDS LÄN</t>
        </is>
      </c>
      <c r="E10277" t="inlineStr">
        <is>
          <t>KRAMFORS</t>
        </is>
      </c>
      <c r="G10277" t="n">
        <v>0.6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8569-2026</t>
        </is>
      </c>
      <c r="B10278" s="1" t="n">
        <v>46065.67476851852</v>
      </c>
      <c r="C10278" s="1" t="n">
        <v>46093</v>
      </c>
      <c r="D10278" t="inlineStr">
        <is>
          <t>VÄSTERNORRLANDS LÄN</t>
        </is>
      </c>
      <c r="E10278" t="inlineStr">
        <is>
          <t>ÅNGE</t>
        </is>
      </c>
      <c r="F10278" t="inlineStr">
        <is>
          <t>SCA</t>
        </is>
      </c>
      <c r="G10278" t="n">
        <v>30.5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60831-2024</t>
        </is>
      </c>
      <c r="B10279" s="1" t="n">
        <v>45644</v>
      </c>
      <c r="C10279" s="1" t="n">
        <v>46093</v>
      </c>
      <c r="D10279" t="inlineStr">
        <is>
          <t>VÄSTERNORRLANDS LÄN</t>
        </is>
      </c>
      <c r="E10279" t="inlineStr">
        <is>
          <t>SOLLEFTEÅ</t>
        </is>
      </c>
      <c r="G10279" t="n">
        <v>8.199999999999999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8629-2026</t>
        </is>
      </c>
      <c r="B10280" s="1" t="n">
        <v>46066.33319444444</v>
      </c>
      <c r="C10280" s="1" t="n">
        <v>46093</v>
      </c>
      <c r="D10280" t="inlineStr">
        <is>
          <t>VÄSTERNORRLANDS LÄN</t>
        </is>
      </c>
      <c r="E10280" t="inlineStr">
        <is>
          <t>TIMRÅ</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8638-2026</t>
        </is>
      </c>
      <c r="B10281" s="1" t="n">
        <v>46066.3546875</v>
      </c>
      <c r="C10281" s="1" t="n">
        <v>46093</v>
      </c>
      <c r="D10281" t="inlineStr">
        <is>
          <t>VÄSTERNORRLANDS LÄN</t>
        </is>
      </c>
      <c r="E10281" t="inlineStr">
        <is>
          <t>ÅNGE</t>
        </is>
      </c>
      <c r="F10281" t="inlineStr">
        <is>
          <t>SCA</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8739-2026</t>
        </is>
      </c>
      <c r="B10282" s="1" t="n">
        <v>46066.51086805556</v>
      </c>
      <c r="C10282" s="1" t="n">
        <v>46093</v>
      </c>
      <c r="D10282" t="inlineStr">
        <is>
          <t>VÄSTERNORRLANDS LÄN</t>
        </is>
      </c>
      <c r="E10282" t="inlineStr">
        <is>
          <t>SOLLEFTEÅ</t>
        </is>
      </c>
      <c r="F10282" t="inlineStr">
        <is>
          <t>Kyrkan</t>
        </is>
      </c>
      <c r="G10282" t="n">
        <v>7.1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158-2026</t>
        </is>
      </c>
      <c r="B10283" s="1" t="n">
        <v>46024</v>
      </c>
      <c r="C10283" s="1" t="n">
        <v>46093</v>
      </c>
      <c r="D10283" t="inlineStr">
        <is>
          <t>VÄSTERNORRLANDS LÄN</t>
        </is>
      </c>
      <c r="E10283" t="inlineStr">
        <is>
          <t>TIMRÅ</t>
        </is>
      </c>
      <c r="G10283" t="n">
        <v>2.9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160-2026</t>
        </is>
      </c>
      <c r="B10284" s="1" t="n">
        <v>46024</v>
      </c>
      <c r="C10284" s="1" t="n">
        <v>46093</v>
      </c>
      <c r="D10284" t="inlineStr">
        <is>
          <t>VÄSTERNORRLANDS LÄN</t>
        </is>
      </c>
      <c r="E10284" t="inlineStr">
        <is>
          <t>TIMRÅ</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635-2026</t>
        </is>
      </c>
      <c r="B10285" s="1" t="n">
        <v>46024</v>
      </c>
      <c r="C10285" s="1" t="n">
        <v>46093</v>
      </c>
      <c r="D10285" t="inlineStr">
        <is>
          <t>VÄSTERNORRLANDS LÄN</t>
        </is>
      </c>
      <c r="E10285" t="inlineStr">
        <is>
          <t>TIMRÅ</t>
        </is>
      </c>
      <c r="G10285" t="n">
        <v>1.9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20843-2023</t>
        </is>
      </c>
      <c r="B10286" s="1" t="n">
        <v>45058</v>
      </c>
      <c r="C10286" s="1" t="n">
        <v>46093</v>
      </c>
      <c r="D10286" t="inlineStr">
        <is>
          <t>VÄSTERNORRLANDS LÄN</t>
        </is>
      </c>
      <c r="E10286" t="inlineStr">
        <is>
          <t>TIMRÅ</t>
        </is>
      </c>
      <c r="G10286" t="n">
        <v>1.6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20844-2023</t>
        </is>
      </c>
      <c r="B10287" s="1" t="n">
        <v>45058</v>
      </c>
      <c r="C10287" s="1" t="n">
        <v>46093</v>
      </c>
      <c r="D10287" t="inlineStr">
        <is>
          <t>VÄSTERNORRLANDS LÄN</t>
        </is>
      </c>
      <c r="E10287" t="inlineStr">
        <is>
          <t>TIMRÅ</t>
        </is>
      </c>
      <c r="G10287" t="n">
        <v>1.8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16-2026</t>
        </is>
      </c>
      <c r="B10288" s="1" t="n">
        <v>46023.65659722222</v>
      </c>
      <c r="C10288" s="1" t="n">
        <v>46093</v>
      </c>
      <c r="D10288" t="inlineStr">
        <is>
          <t>VÄSTERNORRLANDS LÄN</t>
        </is>
      </c>
      <c r="E10288" t="inlineStr">
        <is>
          <t>HÄRNÖSAND</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60611-2024</t>
        </is>
      </c>
      <c r="B10289" s="1" t="n">
        <v>45644.38586805556</v>
      </c>
      <c r="C10289" s="1" t="n">
        <v>46093</v>
      </c>
      <c r="D10289" t="inlineStr">
        <is>
          <t>VÄSTERNORRLANDS LÄN</t>
        </is>
      </c>
      <c r="E10289" t="inlineStr">
        <is>
          <t>SUNDSVALL</t>
        </is>
      </c>
      <c r="F10289" t="inlineStr">
        <is>
          <t>SCA</t>
        </is>
      </c>
      <c r="G10289" t="n">
        <v>2.8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8463-2026</t>
        </is>
      </c>
      <c r="B10290" s="1" t="n">
        <v>46065.43620370371</v>
      </c>
      <c r="C10290" s="1" t="n">
        <v>46093</v>
      </c>
      <c r="D10290" t="inlineStr">
        <is>
          <t>VÄSTERNORRLANDS LÄN</t>
        </is>
      </c>
      <c r="E10290" t="inlineStr">
        <is>
          <t>SUNDSVALL</t>
        </is>
      </c>
      <c r="G10290" t="n">
        <v>1.3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8499-2026</t>
        </is>
      </c>
      <c r="B10291" s="1" t="n">
        <v>46065.49912037037</v>
      </c>
      <c r="C10291" s="1" t="n">
        <v>46093</v>
      </c>
      <c r="D10291" t="inlineStr">
        <is>
          <t>VÄSTERNORRLANDS LÄN</t>
        </is>
      </c>
      <c r="E10291" t="inlineStr">
        <is>
          <t>ÅNGE</t>
        </is>
      </c>
      <c r="G10291" t="n">
        <v>2.4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8601-2026</t>
        </is>
      </c>
      <c r="B10292" s="1" t="n">
        <v>46065</v>
      </c>
      <c r="C10292" s="1" t="n">
        <v>46093</v>
      </c>
      <c r="D10292" t="inlineStr">
        <is>
          <t>VÄSTERNORRLANDS LÄN</t>
        </is>
      </c>
      <c r="E10292" t="inlineStr">
        <is>
          <t>SUNDSVALL</t>
        </is>
      </c>
      <c r="G10292" t="n">
        <v>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13152-2025</t>
        </is>
      </c>
      <c r="B10293" s="1" t="n">
        <v>45735</v>
      </c>
      <c r="C10293" s="1" t="n">
        <v>46093</v>
      </c>
      <c r="D10293" t="inlineStr">
        <is>
          <t>VÄSTERNORRLANDS LÄN</t>
        </is>
      </c>
      <c r="E10293" t="inlineStr">
        <is>
          <t>SUNDSVALL</t>
        </is>
      </c>
      <c r="G10293" t="n">
        <v>0.7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54585-2024</t>
        </is>
      </c>
      <c r="B10294" s="1" t="n">
        <v>45617.65762731482</v>
      </c>
      <c r="C10294" s="1" t="n">
        <v>46093</v>
      </c>
      <c r="D10294" t="inlineStr">
        <is>
          <t>VÄSTERNORRLANDS LÄN</t>
        </is>
      </c>
      <c r="E10294" t="inlineStr">
        <is>
          <t>ÅNGE</t>
        </is>
      </c>
      <c r="F10294" t="inlineStr">
        <is>
          <t>SCA</t>
        </is>
      </c>
      <c r="G10294" t="n">
        <v>1.3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14-2026</t>
        </is>
      </c>
      <c r="B10295" s="1" t="n">
        <v>46023.63584490741</v>
      </c>
      <c r="C10295" s="1" t="n">
        <v>46093</v>
      </c>
      <c r="D10295" t="inlineStr">
        <is>
          <t>VÄSTERNORRLANDS LÄN</t>
        </is>
      </c>
      <c r="E10295" t="inlineStr">
        <is>
          <t>HÄRNÖSAND</t>
        </is>
      </c>
      <c r="G10295" t="n">
        <v>5.1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15404-2025</t>
        </is>
      </c>
      <c r="B10296" s="1" t="n">
        <v>45747.44665509259</v>
      </c>
      <c r="C10296" s="1" t="n">
        <v>46093</v>
      </c>
      <c r="D10296" t="inlineStr">
        <is>
          <t>VÄSTERNORRLANDS LÄN</t>
        </is>
      </c>
      <c r="E10296" t="inlineStr">
        <is>
          <t>ÅNGE</t>
        </is>
      </c>
      <c r="G10296" t="n">
        <v>11.8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74-2026</t>
        </is>
      </c>
      <c r="B10297" s="1" t="n">
        <v>46024</v>
      </c>
      <c r="C10297" s="1" t="n">
        <v>46093</v>
      </c>
      <c r="D10297" t="inlineStr">
        <is>
          <t>VÄSTERNORRLANDS LÄN</t>
        </is>
      </c>
      <c r="E10297" t="inlineStr">
        <is>
          <t>KRAMFORS</t>
        </is>
      </c>
      <c r="G10297" t="n">
        <v>2.3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78-2026</t>
        </is>
      </c>
      <c r="B10298" s="1" t="n">
        <v>46024.46907407408</v>
      </c>
      <c r="C10298" s="1" t="n">
        <v>46093</v>
      </c>
      <c r="D10298" t="inlineStr">
        <is>
          <t>VÄSTERNORRLANDS LÄN</t>
        </is>
      </c>
      <c r="E10298" t="inlineStr">
        <is>
          <t>HÄRNÖSAND</t>
        </is>
      </c>
      <c r="G10298" t="n">
        <v>0.3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49374-2023</t>
        </is>
      </c>
      <c r="B10299" s="1" t="n">
        <v>45211.36520833334</v>
      </c>
      <c r="C10299" s="1" t="n">
        <v>46093</v>
      </c>
      <c r="D10299" t="inlineStr">
        <is>
          <t>VÄSTERNORRLANDS LÄN</t>
        </is>
      </c>
      <c r="E10299" t="inlineStr">
        <is>
          <t>ÖRNSKÖLDSVIK</t>
        </is>
      </c>
      <c r="F10299" t="inlineStr">
        <is>
          <t>Holmen skog AB</t>
        </is>
      </c>
      <c r="G10299" t="n">
        <v>6.3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8448-2026</t>
        </is>
      </c>
      <c r="B10300" s="1" t="n">
        <v>46065.40693287037</v>
      </c>
      <c r="C10300" s="1" t="n">
        <v>46093</v>
      </c>
      <c r="D10300" t="inlineStr">
        <is>
          <t>VÄSTERNORRLANDS LÄN</t>
        </is>
      </c>
      <c r="E10300" t="inlineStr">
        <is>
          <t>ÅNGE</t>
        </is>
      </c>
      <c r="F10300" t="inlineStr">
        <is>
          <t>SCA</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8431-2026</t>
        </is>
      </c>
      <c r="B10301" s="1" t="n">
        <v>46065.38619212963</v>
      </c>
      <c r="C10301" s="1" t="n">
        <v>46093</v>
      </c>
      <c r="D10301" t="inlineStr">
        <is>
          <t>VÄSTERNORRLANDS LÄN</t>
        </is>
      </c>
      <c r="E10301" t="inlineStr">
        <is>
          <t>ÅNGE</t>
        </is>
      </c>
      <c r="F10301" t="inlineStr">
        <is>
          <t>SCA</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8432-2026</t>
        </is>
      </c>
      <c r="B10302" s="1" t="n">
        <v>46065.3862962963</v>
      </c>
      <c r="C10302" s="1" t="n">
        <v>46093</v>
      </c>
      <c r="D10302" t="inlineStr">
        <is>
          <t>VÄSTERNORRLANDS LÄN</t>
        </is>
      </c>
      <c r="E10302" t="inlineStr">
        <is>
          <t>ÅNGE</t>
        </is>
      </c>
      <c r="F10302" t="inlineStr">
        <is>
          <t>SCA</t>
        </is>
      </c>
      <c r="G10302" t="n">
        <v>2.4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14097-2025</t>
        </is>
      </c>
      <c r="B10303" s="1" t="n">
        <v>45740.44875</v>
      </c>
      <c r="C10303" s="1" t="n">
        <v>46093</v>
      </c>
      <c r="D10303" t="inlineStr">
        <is>
          <t>VÄSTERNORRLANDS LÄN</t>
        </is>
      </c>
      <c r="E10303" t="inlineStr">
        <is>
          <t>SOLLEFTEÅ</t>
        </is>
      </c>
      <c r="F10303" t="inlineStr">
        <is>
          <t>SCA</t>
        </is>
      </c>
      <c r="G10303" t="n">
        <v>0.6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17703-2025</t>
        </is>
      </c>
      <c r="B10304" s="1" t="n">
        <v>45758.4275462963</v>
      </c>
      <c r="C10304" s="1" t="n">
        <v>46093</v>
      </c>
      <c r="D10304" t="inlineStr">
        <is>
          <t>VÄSTERNORRLANDS LÄN</t>
        </is>
      </c>
      <c r="E10304" t="inlineStr">
        <is>
          <t>ÅNGE</t>
        </is>
      </c>
      <c r="G10304" t="n">
        <v>2.5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8479-2026</t>
        </is>
      </c>
      <c r="B10305" s="1" t="n">
        <v>46065.45831018518</v>
      </c>
      <c r="C10305" s="1" t="n">
        <v>46093</v>
      </c>
      <c r="D10305" t="inlineStr">
        <is>
          <t>VÄSTERNORRLANDS LÄN</t>
        </is>
      </c>
      <c r="E10305" t="inlineStr">
        <is>
          <t>ÖRNSKÖLDSVIK</t>
        </is>
      </c>
      <c r="G10305" t="n">
        <v>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63144-2023</t>
        </is>
      </c>
      <c r="B10306" s="1" t="n">
        <v>45272</v>
      </c>
      <c r="C10306" s="1" t="n">
        <v>46093</v>
      </c>
      <c r="D10306" t="inlineStr">
        <is>
          <t>VÄSTERNORRLANDS LÄN</t>
        </is>
      </c>
      <c r="E10306" t="inlineStr">
        <is>
          <t>SOLLEFTEÅ</t>
        </is>
      </c>
      <c r="G10306" t="n">
        <v>2.8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8416-2026</t>
        </is>
      </c>
      <c r="B10307" s="1" t="n">
        <v>46065</v>
      </c>
      <c r="C10307" s="1" t="n">
        <v>46093</v>
      </c>
      <c r="D10307" t="inlineStr">
        <is>
          <t>VÄSTERNORRLANDS LÄN</t>
        </is>
      </c>
      <c r="E10307" t="inlineStr">
        <is>
          <t>TIMRÅ</t>
        </is>
      </c>
      <c r="G10307" t="n">
        <v>4.3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6549-2026</t>
        </is>
      </c>
      <c r="B10308" s="1" t="n">
        <v>46056</v>
      </c>
      <c r="C10308" s="1" t="n">
        <v>46093</v>
      </c>
      <c r="D10308" t="inlineStr">
        <is>
          <t>VÄSTERNORRLANDS LÄN</t>
        </is>
      </c>
      <c r="E10308" t="inlineStr">
        <is>
          <t>TIMRÅ</t>
        </is>
      </c>
      <c r="G10308" t="n">
        <v>2.3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15989-2025</t>
        </is>
      </c>
      <c r="B10309" s="1" t="n">
        <v>45749.57783564815</v>
      </c>
      <c r="C10309" s="1" t="n">
        <v>46093</v>
      </c>
      <c r="D10309" t="inlineStr">
        <is>
          <t>VÄSTERNORRLANDS LÄN</t>
        </is>
      </c>
      <c r="E10309" t="inlineStr">
        <is>
          <t>ÖRNSKÖLDSVIK</t>
        </is>
      </c>
      <c r="G10309" t="n">
        <v>1.7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44172-2024</t>
        </is>
      </c>
      <c r="B10310" s="1" t="n">
        <v>45572.74454861111</v>
      </c>
      <c r="C10310" s="1" t="n">
        <v>46093</v>
      </c>
      <c r="D10310" t="inlineStr">
        <is>
          <t>VÄSTERNORRLANDS LÄN</t>
        </is>
      </c>
      <c r="E10310" t="inlineStr">
        <is>
          <t>SOLLEFTEÅ</t>
        </is>
      </c>
      <c r="G10310" t="n">
        <v>3.5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31-2026</t>
        </is>
      </c>
      <c r="B10311" s="1" t="n">
        <v>46024.35984953704</v>
      </c>
      <c r="C10311" s="1" t="n">
        <v>46093</v>
      </c>
      <c r="D10311" t="inlineStr">
        <is>
          <t>VÄSTERNORRLANDS LÄN</t>
        </is>
      </c>
      <c r="E10311" t="inlineStr">
        <is>
          <t>ÖRNSKÖLDSVIK</t>
        </is>
      </c>
      <c r="G10311" t="n">
        <v>2.4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295-2025</t>
        </is>
      </c>
      <c r="B10312" s="1" t="n">
        <v>45660.53206018519</v>
      </c>
      <c r="C10312" s="1" t="n">
        <v>46093</v>
      </c>
      <c r="D10312" t="inlineStr">
        <is>
          <t>VÄSTERNORRLANDS LÄN</t>
        </is>
      </c>
      <c r="E10312" t="inlineStr">
        <is>
          <t>SOLLEFTEÅ</t>
        </is>
      </c>
      <c r="F10312" t="inlineStr">
        <is>
          <t>SCA</t>
        </is>
      </c>
      <c r="G10312" t="n">
        <v>30.7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298-2025</t>
        </is>
      </c>
      <c r="B10313" s="1" t="n">
        <v>45660.54980324074</v>
      </c>
      <c r="C10313" s="1" t="n">
        <v>46093</v>
      </c>
      <c r="D10313" t="inlineStr">
        <is>
          <t>VÄSTERNORRLANDS LÄN</t>
        </is>
      </c>
      <c r="E10313" t="inlineStr">
        <is>
          <t>KRAMFORS</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80-2026</t>
        </is>
      </c>
      <c r="B10314" s="1" t="n">
        <v>46024.46914351852</v>
      </c>
      <c r="C10314" s="1" t="n">
        <v>46093</v>
      </c>
      <c r="D10314" t="inlineStr">
        <is>
          <t>VÄSTERNORRLANDS LÄN</t>
        </is>
      </c>
      <c r="E10314" t="inlineStr">
        <is>
          <t>HÄRNÖSAND</t>
        </is>
      </c>
      <c r="G10314" t="n">
        <v>9.5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91-2026</t>
        </is>
      </c>
      <c r="B10315" s="1" t="n">
        <v>46024.48994212963</v>
      </c>
      <c r="C10315" s="1" t="n">
        <v>46093</v>
      </c>
      <c r="D10315" t="inlineStr">
        <is>
          <t>VÄSTERNORRLANDS LÄN</t>
        </is>
      </c>
      <c r="E10315" t="inlineStr">
        <is>
          <t>KRAMFORS</t>
        </is>
      </c>
      <c r="G10315" t="n">
        <v>1.8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92-2026</t>
        </is>
      </c>
      <c r="B10316" s="1" t="n">
        <v>46024.48996527777</v>
      </c>
      <c r="C10316" s="1" t="n">
        <v>46093</v>
      </c>
      <c r="D10316" t="inlineStr">
        <is>
          <t>VÄSTERNORRLANDS LÄN</t>
        </is>
      </c>
      <c r="E10316" t="inlineStr">
        <is>
          <t>KRAMFORS</t>
        </is>
      </c>
      <c r="G10316" t="n">
        <v>2.2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6138-2026</t>
        </is>
      </c>
      <c r="B10317" s="1" t="n">
        <v>46054</v>
      </c>
      <c r="C10317" s="1" t="n">
        <v>46093</v>
      </c>
      <c r="D10317" t="inlineStr">
        <is>
          <t>VÄSTERNORRLANDS LÄN</t>
        </is>
      </c>
      <c r="E10317" t="inlineStr">
        <is>
          <t>HÄRNÖSAND</t>
        </is>
      </c>
      <c r="G10317" t="n">
        <v>3.2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8836-2026</t>
        </is>
      </c>
      <c r="B10318" s="1" t="n">
        <v>46066.63701388889</v>
      </c>
      <c r="C10318" s="1" t="n">
        <v>46093</v>
      </c>
      <c r="D10318" t="inlineStr">
        <is>
          <t>VÄSTERNORRLANDS LÄN</t>
        </is>
      </c>
      <c r="E10318" t="inlineStr">
        <is>
          <t>ÅNGE</t>
        </is>
      </c>
      <c r="G10318" t="n">
        <v>3.2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8860-2026</t>
        </is>
      </c>
      <c r="B10319" s="1" t="n">
        <v>46066.6987037037</v>
      </c>
      <c r="C10319" s="1" t="n">
        <v>46093</v>
      </c>
      <c r="D10319" t="inlineStr">
        <is>
          <t>VÄSTERNORRLANDS LÄN</t>
        </is>
      </c>
      <c r="E10319" t="inlineStr">
        <is>
          <t>ÅNGE</t>
        </is>
      </c>
      <c r="F10319" t="inlineStr">
        <is>
          <t>SCA</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42529-2024</t>
        </is>
      </c>
      <c r="B10320" s="1" t="n">
        <v>45565.57324074074</v>
      </c>
      <c r="C10320" s="1" t="n">
        <v>46093</v>
      </c>
      <c r="D10320" t="inlineStr">
        <is>
          <t>VÄSTERNORRLANDS LÄN</t>
        </is>
      </c>
      <c r="E10320" t="inlineStr">
        <is>
          <t>ÅNGE</t>
        </is>
      </c>
      <c r="F10320" t="inlineStr">
        <is>
          <t>SCA</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138-2026</t>
        </is>
      </c>
      <c r="B10321" s="1" t="n">
        <v>46024</v>
      </c>
      <c r="C10321" s="1" t="n">
        <v>46093</v>
      </c>
      <c r="D10321" t="inlineStr">
        <is>
          <t>VÄSTERNORRLANDS LÄN</t>
        </is>
      </c>
      <c r="E10321" t="inlineStr">
        <is>
          <t>SUNDSVALL</t>
        </is>
      </c>
      <c r="G10321" t="n">
        <v>18.4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8846-2026</t>
        </is>
      </c>
      <c r="B10322" s="1" t="n">
        <v>46066</v>
      </c>
      <c r="C10322" s="1" t="n">
        <v>46093</v>
      </c>
      <c r="D10322" t="inlineStr">
        <is>
          <t>VÄSTERNORRLANDS LÄN</t>
        </is>
      </c>
      <c r="E10322" t="inlineStr">
        <is>
          <t>HÄRNÖSAND</t>
        </is>
      </c>
      <c r="G10322" t="n">
        <v>2.1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8856-2026</t>
        </is>
      </c>
      <c r="B10323" s="1" t="n">
        <v>46066.67790509259</v>
      </c>
      <c r="C10323" s="1" t="n">
        <v>46093</v>
      </c>
      <c r="D10323" t="inlineStr">
        <is>
          <t>VÄSTERNORRLANDS LÄN</t>
        </is>
      </c>
      <c r="E10323" t="inlineStr">
        <is>
          <t>ÅNGE</t>
        </is>
      </c>
      <c r="F10323" t="inlineStr">
        <is>
          <t>SCA</t>
        </is>
      </c>
      <c r="G10323" t="n">
        <v>2.8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8859-2026</t>
        </is>
      </c>
      <c r="B10324" s="1" t="n">
        <v>46066.69863425926</v>
      </c>
      <c r="C10324" s="1" t="n">
        <v>46093</v>
      </c>
      <c r="D10324" t="inlineStr">
        <is>
          <t>VÄSTERNORRLANDS LÄN</t>
        </is>
      </c>
      <c r="E10324" t="inlineStr">
        <is>
          <t>ÅNGE</t>
        </is>
      </c>
      <c r="F10324" t="inlineStr">
        <is>
          <t>SCA</t>
        </is>
      </c>
      <c r="G10324" t="n">
        <v>1.8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8667-2026</t>
        </is>
      </c>
      <c r="B10325" s="1" t="n">
        <v>46066.38613425926</v>
      </c>
      <c r="C10325" s="1" t="n">
        <v>46093</v>
      </c>
      <c r="D10325" t="inlineStr">
        <is>
          <t>VÄSTERNORRLANDS LÄN</t>
        </is>
      </c>
      <c r="E10325" t="inlineStr">
        <is>
          <t>SOLLEFTEÅ</t>
        </is>
      </c>
      <c r="G10325" t="n">
        <v>10</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12497-2025</t>
        </is>
      </c>
      <c r="B10326" s="1" t="n">
        <v>45730</v>
      </c>
      <c r="C10326" s="1" t="n">
        <v>46093</v>
      </c>
      <c r="D10326" t="inlineStr">
        <is>
          <t>VÄSTERNORRLANDS LÄN</t>
        </is>
      </c>
      <c r="E10326" t="inlineStr">
        <is>
          <t>HÄRNÖSAND</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55149-2024</t>
        </is>
      </c>
      <c r="B10327" s="1" t="n">
        <v>45621.49055555555</v>
      </c>
      <c r="C10327" s="1" t="n">
        <v>46093</v>
      </c>
      <c r="D10327" t="inlineStr">
        <is>
          <t>VÄSTERNORRLANDS LÄN</t>
        </is>
      </c>
      <c r="E10327" t="inlineStr">
        <is>
          <t>SOLLEFTEÅ</t>
        </is>
      </c>
      <c r="F10327" t="inlineStr">
        <is>
          <t>SCA</t>
        </is>
      </c>
      <c r="G10327" t="n">
        <v>2.8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8817-2026</t>
        </is>
      </c>
      <c r="B10328" s="1" t="n">
        <v>46066.62140046297</v>
      </c>
      <c r="C10328" s="1" t="n">
        <v>46093</v>
      </c>
      <c r="D10328" t="inlineStr">
        <is>
          <t>VÄSTERNORRLANDS LÄN</t>
        </is>
      </c>
      <c r="E10328" t="inlineStr">
        <is>
          <t>TIMRÅ</t>
        </is>
      </c>
      <c r="G10328" t="n">
        <v>0.8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8637-2026</t>
        </is>
      </c>
      <c r="B10329" s="1" t="n">
        <v>46066.35460648148</v>
      </c>
      <c r="C10329" s="1" t="n">
        <v>46093</v>
      </c>
      <c r="D10329" t="inlineStr">
        <is>
          <t>VÄSTERNORRLANDS LÄN</t>
        </is>
      </c>
      <c r="E10329" t="inlineStr">
        <is>
          <t>TIMRÅ</t>
        </is>
      </c>
      <c r="G10329" t="n">
        <v>1.3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12105-2025</t>
        </is>
      </c>
      <c r="B10330" s="1" t="n">
        <v>45729</v>
      </c>
      <c r="C10330" s="1" t="n">
        <v>46093</v>
      </c>
      <c r="D10330" t="inlineStr">
        <is>
          <t>VÄSTERNORRLANDS LÄN</t>
        </is>
      </c>
      <c r="E10330" t="inlineStr">
        <is>
          <t>HÄRNÖSAND</t>
        </is>
      </c>
      <c r="G10330" t="n">
        <v>1.1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16067-2025</t>
        </is>
      </c>
      <c r="B10331" s="1" t="n">
        <v>45749.66819444444</v>
      </c>
      <c r="C10331" s="1" t="n">
        <v>46093</v>
      </c>
      <c r="D10331" t="inlineStr">
        <is>
          <t>VÄSTERNORRLANDS LÄN</t>
        </is>
      </c>
      <c r="E10331" t="inlineStr">
        <is>
          <t>ÖRNSKÖLDSVIK</t>
        </is>
      </c>
      <c r="F10331" t="inlineStr">
        <is>
          <t>Holmen skog AB</t>
        </is>
      </c>
      <c r="G10331" t="n">
        <v>10.5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3966-2025</t>
        </is>
      </c>
      <c r="B10332" s="1" t="n">
        <v>45684.51072916666</v>
      </c>
      <c r="C10332" s="1" t="n">
        <v>46093</v>
      </c>
      <c r="D10332" t="inlineStr">
        <is>
          <t>VÄSTERNORRLANDS LÄN</t>
        </is>
      </c>
      <c r="E10332" t="inlineStr">
        <is>
          <t>ÅNGE</t>
        </is>
      </c>
      <c r="F10332" t="inlineStr">
        <is>
          <t>SCA</t>
        </is>
      </c>
      <c r="G10332" t="n">
        <v>3.9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597-2026</t>
        </is>
      </c>
      <c r="B10333" s="1" t="n">
        <v>46027</v>
      </c>
      <c r="C10333" s="1" t="n">
        <v>46093</v>
      </c>
      <c r="D10333" t="inlineStr">
        <is>
          <t>VÄSTERNORRLANDS LÄN</t>
        </is>
      </c>
      <c r="E10333" t="inlineStr">
        <is>
          <t>HÄRNÖSAND</t>
        </is>
      </c>
      <c r="G10333" t="n">
        <v>2.9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660-2026</t>
        </is>
      </c>
      <c r="B10334" s="1" t="n">
        <v>46025</v>
      </c>
      <c r="C10334" s="1" t="n">
        <v>46093</v>
      </c>
      <c r="D10334" t="inlineStr">
        <is>
          <t>VÄSTERNORRLANDS LÄN</t>
        </is>
      </c>
      <c r="E10334" t="inlineStr">
        <is>
          <t>ÖRNSKÖLDSVIK</t>
        </is>
      </c>
      <c r="G10334" t="n">
        <v>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6625-2026</t>
        </is>
      </c>
      <c r="B10335" s="1" t="n">
        <v>46056</v>
      </c>
      <c r="C10335" s="1" t="n">
        <v>46093</v>
      </c>
      <c r="D10335" t="inlineStr">
        <is>
          <t>VÄSTERNORRLANDS LÄN</t>
        </is>
      </c>
      <c r="E10335" t="inlineStr">
        <is>
          <t>TIMRÅ</t>
        </is>
      </c>
      <c r="G10335" t="n">
        <v>1.3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354-2026</t>
        </is>
      </c>
      <c r="B10336" s="1" t="n">
        <v>46027.63684027778</v>
      </c>
      <c r="C10336" s="1" t="n">
        <v>46093</v>
      </c>
      <c r="D10336" t="inlineStr">
        <is>
          <t>VÄSTERNORRLANDS LÄN</t>
        </is>
      </c>
      <c r="E10336" t="inlineStr">
        <is>
          <t>ÖRNSKÖLDSVIK</t>
        </is>
      </c>
      <c r="F10336" t="inlineStr">
        <is>
          <t>Holmen skog AB</t>
        </is>
      </c>
      <c r="G10336" t="n">
        <v>12.5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2182-2025</t>
        </is>
      </c>
      <c r="B10337" s="1" t="n">
        <v>45673</v>
      </c>
      <c r="C10337" s="1" t="n">
        <v>46093</v>
      </c>
      <c r="D10337" t="inlineStr">
        <is>
          <t>VÄSTERNORRLANDS LÄN</t>
        </is>
      </c>
      <c r="E10337" t="inlineStr">
        <is>
          <t>KRAMFORS</t>
        </is>
      </c>
      <c r="G10337" t="n">
        <v>1.9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377-2026</t>
        </is>
      </c>
      <c r="B10338" s="1" t="n">
        <v>46027.72607638889</v>
      </c>
      <c r="C10338" s="1" t="n">
        <v>46093</v>
      </c>
      <c r="D10338" t="inlineStr">
        <is>
          <t>VÄSTERNORRLANDS LÄN</t>
        </is>
      </c>
      <c r="E10338" t="inlineStr">
        <is>
          <t>TIMRÅ</t>
        </is>
      </c>
      <c r="G10338" t="n">
        <v>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51327-2024</t>
        </is>
      </c>
      <c r="B10339" s="1" t="n">
        <v>45604.33793981482</v>
      </c>
      <c r="C10339" s="1" t="n">
        <v>46093</v>
      </c>
      <c r="D10339" t="inlineStr">
        <is>
          <t>VÄSTERNORRLANDS LÄN</t>
        </is>
      </c>
      <c r="E10339" t="inlineStr">
        <is>
          <t>SUNDSVALL</t>
        </is>
      </c>
      <c r="G10339" t="n">
        <v>2.2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416-2026</t>
        </is>
      </c>
      <c r="B10340" s="1" t="n">
        <v>46028</v>
      </c>
      <c r="C10340" s="1" t="n">
        <v>46093</v>
      </c>
      <c r="D10340" t="inlineStr">
        <is>
          <t>VÄSTERNORRLANDS LÄN</t>
        </is>
      </c>
      <c r="E10340" t="inlineStr">
        <is>
          <t>SUNDSVALL</t>
        </is>
      </c>
      <c r="G10340" t="n">
        <v>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7826-2026</t>
        </is>
      </c>
      <c r="B10341" s="1" t="n">
        <v>46062</v>
      </c>
      <c r="C10341" s="1" t="n">
        <v>46093</v>
      </c>
      <c r="D10341" t="inlineStr">
        <is>
          <t>VÄSTERNORRLANDS LÄN</t>
        </is>
      </c>
      <c r="E10341" t="inlineStr">
        <is>
          <t>ÅNGE</t>
        </is>
      </c>
      <c r="G10341" t="n">
        <v>2.8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172-2026</t>
        </is>
      </c>
      <c r="B10342" s="1" t="n">
        <v>46025.37100694444</v>
      </c>
      <c r="C10342" s="1" t="n">
        <v>46093</v>
      </c>
      <c r="D10342" t="inlineStr">
        <is>
          <t>VÄSTERNORRLANDS LÄN</t>
        </is>
      </c>
      <c r="E10342" t="inlineStr">
        <is>
          <t>SUNDSVALL</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3232-2025</t>
        </is>
      </c>
      <c r="B10343" s="1" t="n">
        <v>45679.49</v>
      </c>
      <c r="C10343" s="1" t="n">
        <v>46093</v>
      </c>
      <c r="D10343" t="inlineStr">
        <is>
          <t>VÄSTERNORRLANDS LÄN</t>
        </is>
      </c>
      <c r="E10343" t="inlineStr">
        <is>
          <t>SUNDSVALL</t>
        </is>
      </c>
      <c r="F10343" t="inlineStr">
        <is>
          <t>SCA</t>
        </is>
      </c>
      <c r="G10343" t="n">
        <v>4.3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20105-2025</t>
        </is>
      </c>
      <c r="B10344" s="1" t="n">
        <v>45772.46976851852</v>
      </c>
      <c r="C10344" s="1" t="n">
        <v>46093</v>
      </c>
      <c r="D10344" t="inlineStr">
        <is>
          <t>VÄSTERNORRLANDS LÄN</t>
        </is>
      </c>
      <c r="E10344" t="inlineStr">
        <is>
          <t>SUNDSVALL</t>
        </is>
      </c>
      <c r="F10344" t="inlineStr">
        <is>
          <t>Naturvårdsverket</t>
        </is>
      </c>
      <c r="G10344" t="n">
        <v>3.6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43487-2023</t>
        </is>
      </c>
      <c r="B10345" s="1" t="n">
        <v>45181</v>
      </c>
      <c r="C10345" s="1" t="n">
        <v>46093</v>
      </c>
      <c r="D10345" t="inlineStr">
        <is>
          <t>VÄSTERNORRLANDS LÄN</t>
        </is>
      </c>
      <c r="E10345" t="inlineStr">
        <is>
          <t>SOLLEFTEÅ</t>
        </is>
      </c>
      <c r="G10345" t="n">
        <v>2.7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8105-2025</t>
        </is>
      </c>
      <c r="B10346" s="1" t="n">
        <v>45707.6990625</v>
      </c>
      <c r="C10346" s="1" t="n">
        <v>46093</v>
      </c>
      <c r="D10346" t="inlineStr">
        <is>
          <t>VÄSTERNORRLANDS LÄN</t>
        </is>
      </c>
      <c r="E10346" t="inlineStr">
        <is>
          <t>SOLLEFTEÅ</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758-2026</t>
        </is>
      </c>
      <c r="B10347" s="1" t="n">
        <v>46026</v>
      </c>
      <c r="C10347" s="1" t="n">
        <v>46093</v>
      </c>
      <c r="D10347" t="inlineStr">
        <is>
          <t>VÄSTERNORRLANDS LÄN</t>
        </is>
      </c>
      <c r="E10347" t="inlineStr">
        <is>
          <t>HÄRNÖSAND</t>
        </is>
      </c>
      <c r="G10347" t="n">
        <v>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188-2026</t>
        </is>
      </c>
      <c r="B10348" s="1" t="n">
        <v>46025</v>
      </c>
      <c r="C10348" s="1" t="n">
        <v>46093</v>
      </c>
      <c r="D10348" t="inlineStr">
        <is>
          <t>VÄSTERNORRLANDS LÄN</t>
        </is>
      </c>
      <c r="E10348" t="inlineStr">
        <is>
          <t>KRAMFORS</t>
        </is>
      </c>
      <c r="G10348" t="n">
        <v>4.4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30263-2024</t>
        </is>
      </c>
      <c r="B10349" s="1" t="n">
        <v>45489</v>
      </c>
      <c r="C10349" s="1" t="n">
        <v>46093</v>
      </c>
      <c r="D10349" t="inlineStr">
        <is>
          <t>VÄSTERNORRLANDS LÄN</t>
        </is>
      </c>
      <c r="E10349" t="inlineStr">
        <is>
          <t>ÖRNSKÖLDSVIK</t>
        </is>
      </c>
      <c r="G10349" t="n">
        <v>11.5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249-2026</t>
        </is>
      </c>
      <c r="B10350" s="1" t="n">
        <v>46027</v>
      </c>
      <c r="C10350" s="1" t="n">
        <v>46093</v>
      </c>
      <c r="D10350" t="inlineStr">
        <is>
          <t>VÄSTERNORRLANDS LÄN</t>
        </is>
      </c>
      <c r="E10350" t="inlineStr">
        <is>
          <t>SUNDSVALL</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8874-2026</t>
        </is>
      </c>
      <c r="B10351" s="1" t="n">
        <v>46067.34431712963</v>
      </c>
      <c r="C10351" s="1" t="n">
        <v>46093</v>
      </c>
      <c r="D10351" t="inlineStr">
        <is>
          <t>VÄSTERNORRLANDS LÄN</t>
        </is>
      </c>
      <c r="E10351" t="inlineStr">
        <is>
          <t>ÅNGE</t>
        </is>
      </c>
      <c r="F10351" t="inlineStr">
        <is>
          <t>SCA</t>
        </is>
      </c>
      <c r="G10351" t="n">
        <v>6.7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6833-2026</t>
        </is>
      </c>
      <c r="B10352" s="1" t="n">
        <v>46055</v>
      </c>
      <c r="C10352" s="1" t="n">
        <v>46093</v>
      </c>
      <c r="D10352" t="inlineStr">
        <is>
          <t>VÄSTERNORRLANDS LÄN</t>
        </is>
      </c>
      <c r="E10352" t="inlineStr">
        <is>
          <t>ÖRNSKÖLDSVIK</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54313-2024</t>
        </is>
      </c>
      <c r="B10353" s="1" t="n">
        <v>45617.34414351852</v>
      </c>
      <c r="C10353" s="1" t="n">
        <v>46093</v>
      </c>
      <c r="D10353" t="inlineStr">
        <is>
          <t>VÄSTERNORRLANDS LÄN</t>
        </is>
      </c>
      <c r="E10353" t="inlineStr">
        <is>
          <t>SUNDSVALL</t>
        </is>
      </c>
      <c r="F10353" t="inlineStr">
        <is>
          <t>SCA</t>
        </is>
      </c>
      <c r="G10353" t="n">
        <v>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54316-2024</t>
        </is>
      </c>
      <c r="B10354" s="1" t="n">
        <v>45617.34443287037</v>
      </c>
      <c r="C10354" s="1" t="n">
        <v>46093</v>
      </c>
      <c r="D10354" t="inlineStr">
        <is>
          <t>VÄSTERNORRLANDS LÄN</t>
        </is>
      </c>
      <c r="E10354" t="inlineStr">
        <is>
          <t>ÅNGE</t>
        </is>
      </c>
      <c r="F10354" t="inlineStr">
        <is>
          <t>SCA</t>
        </is>
      </c>
      <c r="G10354" t="n">
        <v>3.8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269-2026</t>
        </is>
      </c>
      <c r="B10355" s="1" t="n">
        <v>46027.45719907407</v>
      </c>
      <c r="C10355" s="1" t="n">
        <v>46093</v>
      </c>
      <c r="D10355" t="inlineStr">
        <is>
          <t>VÄSTERNORRLANDS LÄN</t>
        </is>
      </c>
      <c r="E10355" t="inlineStr">
        <is>
          <t>SUNDSVALL</t>
        </is>
      </c>
      <c r="G10355" t="n">
        <v>9.4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21418-2025</t>
        </is>
      </c>
      <c r="B10356" s="1" t="n">
        <v>45692</v>
      </c>
      <c r="C10356" s="1" t="n">
        <v>46093</v>
      </c>
      <c r="D10356" t="inlineStr">
        <is>
          <t>VÄSTERNORRLANDS LÄN</t>
        </is>
      </c>
      <c r="E10356" t="inlineStr">
        <is>
          <t>ÖRNSKÖLDSVIK</t>
        </is>
      </c>
      <c r="G10356" t="n">
        <v>1.8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13150-2025</t>
        </is>
      </c>
      <c r="B10357" s="1" t="n">
        <v>45735.34439814815</v>
      </c>
      <c r="C10357" s="1" t="n">
        <v>46093</v>
      </c>
      <c r="D10357" t="inlineStr">
        <is>
          <t>VÄSTERNORRLANDS LÄN</t>
        </is>
      </c>
      <c r="E10357" t="inlineStr">
        <is>
          <t>SOLLEFTEÅ</t>
        </is>
      </c>
      <c r="F10357" t="inlineStr">
        <is>
          <t>SCA</t>
        </is>
      </c>
      <c r="G10357" t="n">
        <v>8.1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13161-2025</t>
        </is>
      </c>
      <c r="B10358" s="1" t="n">
        <v>45734</v>
      </c>
      <c r="C10358" s="1" t="n">
        <v>46093</v>
      </c>
      <c r="D10358" t="inlineStr">
        <is>
          <t>VÄSTERNORRLANDS LÄN</t>
        </is>
      </c>
      <c r="E10358" t="inlineStr">
        <is>
          <t>ÖRNSKÖLDSVIK</t>
        </is>
      </c>
      <c r="G10358" t="n">
        <v>2.8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232-2026</t>
        </is>
      </c>
      <c r="B10359" s="1" t="n">
        <v>46027.34425925926</v>
      </c>
      <c r="C10359" s="1" t="n">
        <v>46093</v>
      </c>
      <c r="D10359" t="inlineStr">
        <is>
          <t>VÄSTERNORRLANDS LÄN</t>
        </is>
      </c>
      <c r="E10359" t="inlineStr">
        <is>
          <t>ÅNGE</t>
        </is>
      </c>
      <c r="F10359" t="inlineStr">
        <is>
          <t>SCA</t>
        </is>
      </c>
      <c r="G10359" t="n">
        <v>37.7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21322-2024</t>
        </is>
      </c>
      <c r="B10360" s="1" t="n">
        <v>45440.74586805556</v>
      </c>
      <c r="C10360" s="1" t="n">
        <v>46093</v>
      </c>
      <c r="D10360" t="inlineStr">
        <is>
          <t>VÄSTERNORRLANDS LÄN</t>
        </is>
      </c>
      <c r="E10360" t="inlineStr">
        <is>
          <t>ÖRNSKÖLDSVIK</t>
        </is>
      </c>
      <c r="F10360" t="inlineStr">
        <is>
          <t>Holmen skog AB</t>
        </is>
      </c>
      <c r="G10360" t="n">
        <v>3.4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8879-2026</t>
        </is>
      </c>
      <c r="B10361" s="1" t="n">
        <v>46067.53172453704</v>
      </c>
      <c r="C10361" s="1" t="n">
        <v>46093</v>
      </c>
      <c r="D10361" t="inlineStr">
        <is>
          <t>VÄSTERNORRLANDS LÄN</t>
        </is>
      </c>
      <c r="E10361" t="inlineStr">
        <is>
          <t>ÅNGE</t>
        </is>
      </c>
      <c r="F10361" t="inlineStr">
        <is>
          <t>SCA</t>
        </is>
      </c>
      <c r="G10361" t="n">
        <v>0.7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8476-2025</t>
        </is>
      </c>
      <c r="B10362" s="1" t="n">
        <v>45709.47894675926</v>
      </c>
      <c r="C10362" s="1" t="n">
        <v>46093</v>
      </c>
      <c r="D10362" t="inlineStr">
        <is>
          <t>VÄSTERNORRLANDS LÄN</t>
        </is>
      </c>
      <c r="E10362" t="inlineStr">
        <is>
          <t>SOLLEFTEÅ</t>
        </is>
      </c>
      <c r="G10362" t="n">
        <v>2.1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58287-2024</t>
        </is>
      </c>
      <c r="B10363" s="1" t="n">
        <v>45632.5887037037</v>
      </c>
      <c r="C10363" s="1" t="n">
        <v>46093</v>
      </c>
      <c r="D10363" t="inlineStr">
        <is>
          <t>VÄSTERNORRLANDS LÄN</t>
        </is>
      </c>
      <c r="E10363" t="inlineStr">
        <is>
          <t>ÖRNSKÖLDSVIK</t>
        </is>
      </c>
      <c r="F10363" t="inlineStr">
        <is>
          <t>Holmen skog AB</t>
        </is>
      </c>
      <c r="G10363" t="n">
        <v>2.1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8926-2026</t>
        </is>
      </c>
      <c r="B10364" s="1" t="n">
        <v>46069.34429398148</v>
      </c>
      <c r="C10364" s="1" t="n">
        <v>46093</v>
      </c>
      <c r="D10364" t="inlineStr">
        <is>
          <t>VÄSTERNORRLANDS LÄN</t>
        </is>
      </c>
      <c r="E10364" t="inlineStr">
        <is>
          <t>ÅNGE</t>
        </is>
      </c>
      <c r="F10364" t="inlineStr">
        <is>
          <t>SCA</t>
        </is>
      </c>
      <c r="G10364" t="n">
        <v>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254-2026</t>
        </is>
      </c>
      <c r="B10365" s="1" t="n">
        <v>46027.43121527778</v>
      </c>
      <c r="C10365" s="1" t="n">
        <v>46093</v>
      </c>
      <c r="D10365" t="inlineStr">
        <is>
          <t>VÄSTERNORRLANDS LÄN</t>
        </is>
      </c>
      <c r="E10365" t="inlineStr">
        <is>
          <t>SUNDSVALL</t>
        </is>
      </c>
      <c r="G10365" t="n">
        <v>4.7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60681-2024</t>
        </is>
      </c>
      <c r="B10366" s="1" t="n">
        <v>45642</v>
      </c>
      <c r="C10366" s="1" t="n">
        <v>46093</v>
      </c>
      <c r="D10366" t="inlineStr">
        <is>
          <t>VÄSTERNORRLANDS LÄN</t>
        </is>
      </c>
      <c r="E10366" t="inlineStr">
        <is>
          <t>TIMRÅ</t>
        </is>
      </c>
      <c r="G10366" t="n">
        <v>2.9</v>
      </c>
      <c r="H10366" t="n">
        <v>0</v>
      </c>
      <c r="I10366" t="n">
        <v>0</v>
      </c>
      <c r="J10366" t="n">
        <v>0</v>
      </c>
      <c r="K10366" t="n">
        <v>0</v>
      </c>
      <c r="L10366" t="n">
        <v>0</v>
      </c>
      <c r="M10366" t="n">
        <v>0</v>
      </c>
      <c r="N10366" t="n">
        <v>0</v>
      </c>
      <c r="O10366" t="n">
        <v>0</v>
      </c>
      <c r="P10366" t="n">
        <v>0</v>
      </c>
      <c r="Q10366" t="n">
        <v>0</v>
      </c>
      <c r="R10366" s="2" t="inlineStr"/>
      <c r="U10366">
        <f>HYPERLINK("https://klasma.github.io/Logging_2262/knärot/A 60681-2024 karta knärot.png", "A 60681-2024")</f>
        <v/>
      </c>
      <c r="V10366">
        <f>HYPERLINK("https://klasma.github.io/Logging_2262/klagomål/A 60681-2024 FSC-klagomål.docx", "A 60681-2024")</f>
        <v/>
      </c>
      <c r="W10366">
        <f>HYPERLINK("https://klasma.github.io/Logging_2262/klagomålsmail/A 60681-2024 FSC-klagomål mail.docx", "A 60681-2024")</f>
        <v/>
      </c>
      <c r="X10366">
        <f>HYPERLINK("https://klasma.github.io/Logging_2262/tillsyn/A 60681-2024 tillsynsbegäran.docx", "A 60681-2024")</f>
        <v/>
      </c>
      <c r="Y10366">
        <f>HYPERLINK("https://klasma.github.io/Logging_2262/tillsynsmail/A 60681-2024 tillsynsbegäran mail.docx", "A 60681-2024")</f>
        <v/>
      </c>
    </row>
    <row r="10367" ht="15" customHeight="1">
      <c r="A10367" t="inlineStr">
        <is>
          <t>A 60712-2024</t>
        </is>
      </c>
      <c r="B10367" s="1" t="n">
        <v>45644.50653935185</v>
      </c>
      <c r="C10367" s="1" t="n">
        <v>46093</v>
      </c>
      <c r="D10367" t="inlineStr">
        <is>
          <t>VÄSTERNORRLANDS LÄN</t>
        </is>
      </c>
      <c r="E10367" t="inlineStr">
        <is>
          <t>ÖRNSKÖLDSVIK</t>
        </is>
      </c>
      <c r="G10367" t="n">
        <v>5.3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4186-2025</t>
        </is>
      </c>
      <c r="B10368" s="1" t="n">
        <v>45685.44827546296</v>
      </c>
      <c r="C10368" s="1" t="n">
        <v>46093</v>
      </c>
      <c r="D10368" t="inlineStr">
        <is>
          <t>VÄSTERNORRLANDS LÄN</t>
        </is>
      </c>
      <c r="E10368" t="inlineStr">
        <is>
          <t>ÅNGE</t>
        </is>
      </c>
      <c r="F10368" t="inlineStr">
        <is>
          <t>SCA</t>
        </is>
      </c>
      <c r="G10368" t="n">
        <v>2.4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4193-2025</t>
        </is>
      </c>
      <c r="B10369" s="1" t="n">
        <v>45685.44978009259</v>
      </c>
      <c r="C10369" s="1" t="n">
        <v>46093</v>
      </c>
      <c r="D10369" t="inlineStr">
        <is>
          <t>VÄSTERNORRLANDS LÄN</t>
        </is>
      </c>
      <c r="E10369" t="inlineStr">
        <is>
          <t>HÄRNÖSAND</t>
        </is>
      </c>
      <c r="G10369" t="n">
        <v>3.6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378-2026</t>
        </is>
      </c>
      <c r="B10370" s="1" t="n">
        <v>46027.72983796296</v>
      </c>
      <c r="C10370" s="1" t="n">
        <v>46093</v>
      </c>
      <c r="D10370" t="inlineStr">
        <is>
          <t>VÄSTERNORRLANDS LÄN</t>
        </is>
      </c>
      <c r="E10370" t="inlineStr">
        <is>
          <t>TIMRÅ</t>
        </is>
      </c>
      <c r="G10370" t="n">
        <v>6.3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58689-2024</t>
        </is>
      </c>
      <c r="B10371" s="1" t="n">
        <v>45635.62480324074</v>
      </c>
      <c r="C10371" s="1" t="n">
        <v>46093</v>
      </c>
      <c r="D10371" t="inlineStr">
        <is>
          <t>VÄSTERNORRLANDS LÄN</t>
        </is>
      </c>
      <c r="E10371" t="inlineStr">
        <is>
          <t>ÖRNSKÖLDSVIK</t>
        </is>
      </c>
      <c r="F10371" t="inlineStr">
        <is>
          <t>Holmen skog AB</t>
        </is>
      </c>
      <c r="G10371" t="n">
        <v>2.5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3319-2025</t>
        </is>
      </c>
      <c r="B10372" s="1" t="n">
        <v>45679</v>
      </c>
      <c r="C10372" s="1" t="n">
        <v>46093</v>
      </c>
      <c r="D10372" t="inlineStr">
        <is>
          <t>VÄSTERNORRLANDS LÄN</t>
        </is>
      </c>
      <c r="E10372" t="inlineStr">
        <is>
          <t>SOLLEFTEÅ</t>
        </is>
      </c>
      <c r="F10372" t="inlineStr">
        <is>
          <t>SCA</t>
        </is>
      </c>
      <c r="G10372" t="n">
        <v>2.7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8982-2026</t>
        </is>
      </c>
      <c r="B10373" s="1" t="n">
        <v>46069.44921296297</v>
      </c>
      <c r="C10373" s="1" t="n">
        <v>46093</v>
      </c>
      <c r="D10373" t="inlineStr">
        <is>
          <t>VÄSTERNORRLANDS LÄN</t>
        </is>
      </c>
      <c r="E10373" t="inlineStr">
        <is>
          <t>SOLLEFTEÅ</t>
        </is>
      </c>
      <c r="G10373" t="n">
        <v>4.6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2587-2024</t>
        </is>
      </c>
      <c r="B10374" s="1" t="n">
        <v>45313</v>
      </c>
      <c r="C10374" s="1" t="n">
        <v>46093</v>
      </c>
      <c r="D10374" t="inlineStr">
        <is>
          <t>VÄSTERNORRLANDS LÄN</t>
        </is>
      </c>
      <c r="E10374" t="inlineStr">
        <is>
          <t>SUNDSVALL</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8995-2026</t>
        </is>
      </c>
      <c r="B10375" s="1" t="n">
        <v>46069.46938657408</v>
      </c>
      <c r="C10375" s="1" t="n">
        <v>46093</v>
      </c>
      <c r="D10375" t="inlineStr">
        <is>
          <t>VÄSTERNORRLANDS LÄN</t>
        </is>
      </c>
      <c r="E10375" t="inlineStr">
        <is>
          <t>ÅNGE</t>
        </is>
      </c>
      <c r="F10375" t="inlineStr">
        <is>
          <t>SCA</t>
        </is>
      </c>
      <c r="G10375" t="n">
        <v>8.6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53209-2024</t>
        </is>
      </c>
      <c r="B10376" s="1" t="n">
        <v>45612.51079861111</v>
      </c>
      <c r="C10376" s="1" t="n">
        <v>46093</v>
      </c>
      <c r="D10376" t="inlineStr">
        <is>
          <t>VÄSTERNORRLANDS LÄN</t>
        </is>
      </c>
      <c r="E10376" t="inlineStr">
        <is>
          <t>ÅNGE</t>
        </is>
      </c>
      <c r="F10376" t="inlineStr">
        <is>
          <t>SCA</t>
        </is>
      </c>
      <c r="G10376" t="n">
        <v>1.5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12638-2025</t>
        </is>
      </c>
      <c r="B10377" s="1" t="n">
        <v>45733.3852662037</v>
      </c>
      <c r="C10377" s="1" t="n">
        <v>46093</v>
      </c>
      <c r="D10377" t="inlineStr">
        <is>
          <t>VÄSTERNORRLANDS LÄN</t>
        </is>
      </c>
      <c r="E10377" t="inlineStr">
        <is>
          <t>KRAMFORS</t>
        </is>
      </c>
      <c r="G10377" t="n">
        <v>5.2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345-2026</t>
        </is>
      </c>
      <c r="B10378" s="1" t="n">
        <v>46027.61515046296</v>
      </c>
      <c r="C10378" s="1" t="n">
        <v>46093</v>
      </c>
      <c r="D10378" t="inlineStr">
        <is>
          <t>VÄSTERNORRLANDS LÄN</t>
        </is>
      </c>
      <c r="E10378" t="inlineStr">
        <is>
          <t>ÅNGE</t>
        </is>
      </c>
      <c r="F10378" t="inlineStr">
        <is>
          <t>SCA</t>
        </is>
      </c>
      <c r="G10378" t="n">
        <v>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9053-2026</t>
        </is>
      </c>
      <c r="B10379" s="1" t="n">
        <v>46069.55560185185</v>
      </c>
      <c r="C10379" s="1" t="n">
        <v>46093</v>
      </c>
      <c r="D10379" t="inlineStr">
        <is>
          <t>VÄSTERNORRLANDS LÄN</t>
        </is>
      </c>
      <c r="E10379" t="inlineStr">
        <is>
          <t>HÄRNÖSAND</t>
        </is>
      </c>
      <c r="G10379" t="n">
        <v>5.2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47682-2024</t>
        </is>
      </c>
      <c r="B10380" s="1" t="n">
        <v>45588.42511574074</v>
      </c>
      <c r="C10380" s="1" t="n">
        <v>46093</v>
      </c>
      <c r="D10380" t="inlineStr">
        <is>
          <t>VÄSTERNORRLANDS LÄN</t>
        </is>
      </c>
      <c r="E10380" t="inlineStr">
        <is>
          <t>SUNDSVALL</t>
        </is>
      </c>
      <c r="F10380" t="inlineStr">
        <is>
          <t>Holmen skog AB</t>
        </is>
      </c>
      <c r="G10380" t="n">
        <v>2.3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17493-2024</t>
        </is>
      </c>
      <c r="B10381" s="1" t="n">
        <v>45415.51228009259</v>
      </c>
      <c r="C10381" s="1" t="n">
        <v>46093</v>
      </c>
      <c r="D10381" t="inlineStr">
        <is>
          <t>VÄSTERNORRLANDS LÄN</t>
        </is>
      </c>
      <c r="E10381" t="inlineStr">
        <is>
          <t>ÖRNSKÖLDSVIK</t>
        </is>
      </c>
      <c r="G10381" t="n">
        <v>2.6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45816-2024</t>
        </is>
      </c>
      <c r="B10382" s="1" t="n">
        <v>45579.72534722222</v>
      </c>
      <c r="C10382" s="1" t="n">
        <v>46093</v>
      </c>
      <c r="D10382" t="inlineStr">
        <is>
          <t>VÄSTERNORRLANDS LÄN</t>
        </is>
      </c>
      <c r="E10382" t="inlineStr">
        <is>
          <t>SUNDSVALL</t>
        </is>
      </c>
      <c r="G10382" t="n">
        <v>2.6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9274-2026</t>
        </is>
      </c>
      <c r="B10383" s="1" t="n">
        <v>46070.56462962963</v>
      </c>
      <c r="C10383" s="1" t="n">
        <v>46093</v>
      </c>
      <c r="D10383" t="inlineStr">
        <is>
          <t>VÄSTERNORRLANDS LÄN</t>
        </is>
      </c>
      <c r="E10383" t="inlineStr">
        <is>
          <t>SUNDSVALL</t>
        </is>
      </c>
      <c r="G10383" t="n">
        <v>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49673-2024</t>
        </is>
      </c>
      <c r="B10384" s="1" t="n">
        <v>45596.65657407408</v>
      </c>
      <c r="C10384" s="1" t="n">
        <v>46093</v>
      </c>
      <c r="D10384" t="inlineStr">
        <is>
          <t>VÄSTERNORRLANDS LÄN</t>
        </is>
      </c>
      <c r="E10384" t="inlineStr">
        <is>
          <t>SOLLEFTEÅ</t>
        </is>
      </c>
      <c r="F10384" t="inlineStr">
        <is>
          <t>SCA</t>
        </is>
      </c>
      <c r="G10384" t="n">
        <v>3.4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174-2026</t>
        </is>
      </c>
      <c r="B10385" s="1" t="n">
        <v>46025.37271990741</v>
      </c>
      <c r="C10385" s="1" t="n">
        <v>46093</v>
      </c>
      <c r="D10385" t="inlineStr">
        <is>
          <t>VÄSTERNORRLANDS LÄN</t>
        </is>
      </c>
      <c r="E10385" t="inlineStr">
        <is>
          <t>SUNDSVALL</t>
        </is>
      </c>
      <c r="G10385" t="n">
        <v>1.9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12683-2025</t>
        </is>
      </c>
      <c r="B10386" s="1" t="n">
        <v>45733.44483796296</v>
      </c>
      <c r="C10386" s="1" t="n">
        <v>46093</v>
      </c>
      <c r="D10386" t="inlineStr">
        <is>
          <t>VÄSTERNORRLANDS LÄN</t>
        </is>
      </c>
      <c r="E10386" t="inlineStr">
        <is>
          <t>SOLLEFTEÅ</t>
        </is>
      </c>
      <c r="G10386" t="n">
        <v>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176-2026</t>
        </is>
      </c>
      <c r="B10387" s="1" t="n">
        <v>46025.37502314815</v>
      </c>
      <c r="C10387" s="1" t="n">
        <v>46093</v>
      </c>
      <c r="D10387" t="inlineStr">
        <is>
          <t>VÄSTERNORRLANDS LÄN</t>
        </is>
      </c>
      <c r="E10387" t="inlineStr">
        <is>
          <t>SUNDSVALL</t>
        </is>
      </c>
      <c r="G10387" t="n">
        <v>1.7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15778-2025</t>
        </is>
      </c>
      <c r="B10388" s="1" t="n">
        <v>45748.60030092593</v>
      </c>
      <c r="C10388" s="1" t="n">
        <v>46093</v>
      </c>
      <c r="D10388" t="inlineStr">
        <is>
          <t>VÄSTERNORRLANDS LÄN</t>
        </is>
      </c>
      <c r="E10388" t="inlineStr">
        <is>
          <t>ÅNGE</t>
        </is>
      </c>
      <c r="F10388" t="inlineStr">
        <is>
          <t>SCA</t>
        </is>
      </c>
      <c r="G10388" t="n">
        <v>13.6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12020-2025</t>
        </is>
      </c>
      <c r="B10389" s="1" t="n">
        <v>45728</v>
      </c>
      <c r="C10389" s="1" t="n">
        <v>46093</v>
      </c>
      <c r="D10389" t="inlineStr">
        <is>
          <t>VÄSTERNORRLANDS LÄN</t>
        </is>
      </c>
      <c r="E10389" t="inlineStr">
        <is>
          <t>KRAMFORS</t>
        </is>
      </c>
      <c r="G10389" t="n">
        <v>7.9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51681-2023</t>
        </is>
      </c>
      <c r="B10390" s="1" t="n">
        <v>45215</v>
      </c>
      <c r="C10390" s="1" t="n">
        <v>46093</v>
      </c>
      <c r="D10390" t="inlineStr">
        <is>
          <t>VÄSTERNORRLANDS LÄN</t>
        </is>
      </c>
      <c r="E10390" t="inlineStr">
        <is>
          <t>SOLLEFTEÅ</t>
        </is>
      </c>
      <c r="G10390" t="n">
        <v>1.5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59378-2024</t>
        </is>
      </c>
      <c r="B10391" s="1" t="n">
        <v>45638.35197916667</v>
      </c>
      <c r="C10391" s="1" t="n">
        <v>46093</v>
      </c>
      <c r="D10391" t="inlineStr">
        <is>
          <t>VÄSTERNORRLANDS LÄN</t>
        </is>
      </c>
      <c r="E10391" t="inlineStr">
        <is>
          <t>KRAMFORS</t>
        </is>
      </c>
      <c r="G10391" t="n">
        <v>7.1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59392-2024</t>
        </is>
      </c>
      <c r="B10392" s="1" t="n">
        <v>45637</v>
      </c>
      <c r="C10392" s="1" t="n">
        <v>46093</v>
      </c>
      <c r="D10392" t="inlineStr">
        <is>
          <t>VÄSTERNORRLANDS LÄN</t>
        </is>
      </c>
      <c r="E10392" t="inlineStr">
        <is>
          <t>ÖRNSKÖLDSVIK</t>
        </is>
      </c>
      <c r="G10392" t="n">
        <v>8.5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59393-2024</t>
        </is>
      </c>
      <c r="B10393" s="1" t="n">
        <v>45637</v>
      </c>
      <c r="C10393" s="1" t="n">
        <v>46093</v>
      </c>
      <c r="D10393" t="inlineStr">
        <is>
          <t>VÄSTERNORRLANDS LÄN</t>
        </is>
      </c>
      <c r="E10393" t="inlineStr">
        <is>
          <t>ÖRNSKÖLDSVIK</t>
        </is>
      </c>
      <c r="G10393" t="n">
        <v>2.5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9183-2026</t>
        </is>
      </c>
      <c r="B10394" s="1" t="n">
        <v>46070.37175925926</v>
      </c>
      <c r="C10394" s="1" t="n">
        <v>46093</v>
      </c>
      <c r="D10394" t="inlineStr">
        <is>
          <t>VÄSTERNORRLANDS LÄN</t>
        </is>
      </c>
      <c r="E10394" t="inlineStr">
        <is>
          <t>TIMRÅ</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173-2026</t>
        </is>
      </c>
      <c r="B10395" s="1" t="n">
        <v>46025.37215277777</v>
      </c>
      <c r="C10395" s="1" t="n">
        <v>46093</v>
      </c>
      <c r="D10395" t="inlineStr">
        <is>
          <t>VÄSTERNORRLANDS LÄN</t>
        </is>
      </c>
      <c r="E10395" t="inlineStr">
        <is>
          <t>SUNDSVALL</t>
        </is>
      </c>
      <c r="G10395" t="n">
        <v>1.6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17718-2025</t>
        </is>
      </c>
      <c r="B10396" s="1" t="n">
        <v>45758.44815972223</v>
      </c>
      <c r="C10396" s="1" t="n">
        <v>46093</v>
      </c>
      <c r="D10396" t="inlineStr">
        <is>
          <t>VÄSTERNORRLANDS LÄN</t>
        </is>
      </c>
      <c r="E10396" t="inlineStr">
        <is>
          <t>ÅNGE</t>
        </is>
      </c>
      <c r="G10396" t="n">
        <v>5.1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309-2026</t>
        </is>
      </c>
      <c r="B10397" s="1" t="n">
        <v>46027</v>
      </c>
      <c r="C10397" s="1" t="n">
        <v>46093</v>
      </c>
      <c r="D10397" t="inlineStr">
        <is>
          <t>VÄSTERNORRLANDS LÄN</t>
        </is>
      </c>
      <c r="E10397" t="inlineStr">
        <is>
          <t>SUNDSVALL</t>
        </is>
      </c>
      <c r="G10397" t="n">
        <v>1.2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8639-2026</t>
        </is>
      </c>
      <c r="B10398" s="1" t="n">
        <v>46066</v>
      </c>
      <c r="C10398" s="1" t="n">
        <v>46093</v>
      </c>
      <c r="D10398" t="inlineStr">
        <is>
          <t>VÄSTERNORRLANDS LÄN</t>
        </is>
      </c>
      <c r="E10398" t="inlineStr">
        <is>
          <t>TIMRÅ</t>
        </is>
      </c>
      <c r="G10398" t="n">
        <v>1.9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9011-2026</t>
        </is>
      </c>
      <c r="B10399" s="1" t="n">
        <v>46069.48856481481</v>
      </c>
      <c r="C10399" s="1" t="n">
        <v>46093</v>
      </c>
      <c r="D10399" t="inlineStr">
        <is>
          <t>VÄSTERNORRLANDS LÄN</t>
        </is>
      </c>
      <c r="E10399" t="inlineStr">
        <is>
          <t>KRAMFORS</t>
        </is>
      </c>
      <c r="G10399" t="n">
        <v>3.9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57807-2024</t>
        </is>
      </c>
      <c r="B10400" s="1" t="n">
        <v>45631.35287037037</v>
      </c>
      <c r="C10400" s="1" t="n">
        <v>46093</v>
      </c>
      <c r="D10400" t="inlineStr">
        <is>
          <t>VÄSTERNORRLANDS LÄN</t>
        </is>
      </c>
      <c r="E10400" t="inlineStr">
        <is>
          <t>ÖRNSKÖLDSVIK</t>
        </is>
      </c>
      <c r="G10400" t="n">
        <v>10.3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61343-2024</t>
        </is>
      </c>
      <c r="B10401" s="1" t="n">
        <v>45646.37037037037</v>
      </c>
      <c r="C10401" s="1" t="n">
        <v>46093</v>
      </c>
      <c r="D10401" t="inlineStr">
        <is>
          <t>VÄSTERNORRLANDS LÄN</t>
        </is>
      </c>
      <c r="E10401" t="inlineStr">
        <is>
          <t>ÖRNSKÖLDSVIK</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61344-2024</t>
        </is>
      </c>
      <c r="B10402" s="1" t="n">
        <v>45646.37256944444</v>
      </c>
      <c r="C10402" s="1" t="n">
        <v>46093</v>
      </c>
      <c r="D10402" t="inlineStr">
        <is>
          <t>VÄSTERNORRLANDS LÄN</t>
        </is>
      </c>
      <c r="E10402" t="inlineStr">
        <is>
          <t>ÖRNSKÖLDSVIK</t>
        </is>
      </c>
      <c r="G10402" t="n">
        <v>4.3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9126-2026</t>
        </is>
      </c>
      <c r="B10403" s="1" t="n">
        <v>46069.68767361111</v>
      </c>
      <c r="C10403" s="1" t="n">
        <v>46093</v>
      </c>
      <c r="D10403" t="inlineStr">
        <is>
          <t>VÄSTERNORRLANDS LÄN</t>
        </is>
      </c>
      <c r="E10403" t="inlineStr">
        <is>
          <t>ÅNGE</t>
        </is>
      </c>
      <c r="G10403" t="n">
        <v>1.3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61400-2024</t>
        </is>
      </c>
      <c r="B10404" s="1" t="n">
        <v>45646.42946759259</v>
      </c>
      <c r="C10404" s="1" t="n">
        <v>46093</v>
      </c>
      <c r="D10404" t="inlineStr">
        <is>
          <t>VÄSTERNORRLANDS LÄN</t>
        </is>
      </c>
      <c r="E10404" t="inlineStr">
        <is>
          <t>ÖRNSKÖLDSVIK</t>
        </is>
      </c>
      <c r="G10404" t="n">
        <v>2.5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3727-2025</t>
        </is>
      </c>
      <c r="B10405" s="1" t="n">
        <v>45681.54129629629</v>
      </c>
      <c r="C10405" s="1" t="n">
        <v>46093</v>
      </c>
      <c r="D10405" t="inlineStr">
        <is>
          <t>VÄSTERNORRLANDS LÄN</t>
        </is>
      </c>
      <c r="E10405" t="inlineStr">
        <is>
          <t>HÄRNÖSAND</t>
        </is>
      </c>
      <c r="G10405" t="n">
        <v>4.3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3772-2025</t>
        </is>
      </c>
      <c r="B10406" s="1" t="n">
        <v>45681</v>
      </c>
      <c r="C10406" s="1" t="n">
        <v>46093</v>
      </c>
      <c r="D10406" t="inlineStr">
        <is>
          <t>VÄSTERNORRLANDS LÄN</t>
        </is>
      </c>
      <c r="E10406" t="inlineStr">
        <is>
          <t>SUNDSVALL</t>
        </is>
      </c>
      <c r="G10406" t="n">
        <v>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4341-2024</t>
        </is>
      </c>
      <c r="B10407" s="1" t="n">
        <v>45324.82131944445</v>
      </c>
      <c r="C10407" s="1" t="n">
        <v>46093</v>
      </c>
      <c r="D10407" t="inlineStr">
        <is>
          <t>VÄSTERNORRLANDS LÄN</t>
        </is>
      </c>
      <c r="E10407" t="inlineStr">
        <is>
          <t>ÖRNSKÖLDSVIK</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4344-2024</t>
        </is>
      </c>
      <c r="B10408" s="1" t="n">
        <v>45324.83277777778</v>
      </c>
      <c r="C10408" s="1" t="n">
        <v>46093</v>
      </c>
      <c r="D10408" t="inlineStr">
        <is>
          <t>VÄSTERNORRLANDS LÄN</t>
        </is>
      </c>
      <c r="E10408" t="inlineStr">
        <is>
          <t>ÖRNSKÖLDSVIK</t>
        </is>
      </c>
      <c r="G10408" t="n">
        <v>2.8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4346-2024</t>
        </is>
      </c>
      <c r="B10409" s="1" t="n">
        <v>45324</v>
      </c>
      <c r="C10409" s="1" t="n">
        <v>46093</v>
      </c>
      <c r="D10409" t="inlineStr">
        <is>
          <t>VÄSTERNORRLANDS LÄN</t>
        </is>
      </c>
      <c r="E10409" t="inlineStr">
        <is>
          <t>SUNDSVALL</t>
        </is>
      </c>
      <c r="G10409" t="n">
        <v>0.8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2538-2024</t>
        </is>
      </c>
      <c r="B10410" s="1" t="n">
        <v>45313</v>
      </c>
      <c r="C10410" s="1" t="n">
        <v>46093</v>
      </c>
      <c r="D10410" t="inlineStr">
        <is>
          <t>VÄSTERNORRLANDS LÄN</t>
        </is>
      </c>
      <c r="E10410" t="inlineStr">
        <is>
          <t>ÖRNSKÖLDSVIK</t>
        </is>
      </c>
      <c r="G10410" t="n">
        <v>4.4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266-2026</t>
        </is>
      </c>
      <c r="B10411" s="1" t="n">
        <v>46027.45084490741</v>
      </c>
      <c r="C10411" s="1" t="n">
        <v>46093</v>
      </c>
      <c r="D10411" t="inlineStr">
        <is>
          <t>VÄSTERNORRLANDS LÄN</t>
        </is>
      </c>
      <c r="E10411" t="inlineStr">
        <is>
          <t>SUNDSVALL</t>
        </is>
      </c>
      <c r="G10411" t="n">
        <v>0.9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358-2026</t>
        </is>
      </c>
      <c r="B10412" s="1" t="n">
        <v>46027.65996527778</v>
      </c>
      <c r="C10412" s="1" t="n">
        <v>46093</v>
      </c>
      <c r="D10412" t="inlineStr">
        <is>
          <t>VÄSTERNORRLANDS LÄN</t>
        </is>
      </c>
      <c r="E10412" t="inlineStr">
        <is>
          <t>SOLLEFTEÅ</t>
        </is>
      </c>
      <c r="G10412" t="n">
        <v>2.9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12280-2025</t>
        </is>
      </c>
      <c r="B10413" s="1" t="n">
        <v>45729.6537962963</v>
      </c>
      <c r="C10413" s="1" t="n">
        <v>46093</v>
      </c>
      <c r="D10413" t="inlineStr">
        <is>
          <t>VÄSTERNORRLANDS LÄN</t>
        </is>
      </c>
      <c r="E10413" t="inlineStr">
        <is>
          <t>SUNDSVALL</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10814-2025</t>
        </is>
      </c>
      <c r="B10414" s="1" t="n">
        <v>45722.54180555556</v>
      </c>
      <c r="C10414" s="1" t="n">
        <v>46093</v>
      </c>
      <c r="D10414" t="inlineStr">
        <is>
          <t>VÄSTERNORRLANDS LÄN</t>
        </is>
      </c>
      <c r="E10414" t="inlineStr">
        <is>
          <t>ÖRNSKÖLDSVIK</t>
        </is>
      </c>
      <c r="G10414" t="n">
        <v>2.3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754-2026</t>
        </is>
      </c>
      <c r="B10415" s="1" t="n">
        <v>46026</v>
      </c>
      <c r="C10415" s="1" t="n">
        <v>46093</v>
      </c>
      <c r="D10415" t="inlineStr">
        <is>
          <t>VÄSTERNORRLANDS LÄN</t>
        </is>
      </c>
      <c r="E10415" t="inlineStr">
        <is>
          <t>HÄRNÖSAND</t>
        </is>
      </c>
      <c r="G10415" t="n">
        <v>4.2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5849-2024</t>
        </is>
      </c>
      <c r="B10416" s="1" t="n">
        <v>45335</v>
      </c>
      <c r="C10416" s="1" t="n">
        <v>46093</v>
      </c>
      <c r="D10416" t="inlineStr">
        <is>
          <t>VÄSTERNORRLANDS LÄN</t>
        </is>
      </c>
      <c r="E10416" t="inlineStr">
        <is>
          <t>ÖRNSKÖLDSVIK</t>
        </is>
      </c>
      <c r="F10416" t="inlineStr">
        <is>
          <t>Holmen skog AB</t>
        </is>
      </c>
      <c r="G10416" t="n">
        <v>1.7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11486-2025</t>
        </is>
      </c>
      <c r="B10417" s="1" t="n">
        <v>45726.6990162037</v>
      </c>
      <c r="C10417" s="1" t="n">
        <v>46093</v>
      </c>
      <c r="D10417" t="inlineStr">
        <is>
          <t>VÄSTERNORRLANDS LÄN</t>
        </is>
      </c>
      <c r="E10417" t="inlineStr">
        <is>
          <t>ÖRNSKÖLDSVIK</t>
        </is>
      </c>
      <c r="G10417" t="n">
        <v>1.3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175-2026</t>
        </is>
      </c>
      <c r="B10418" s="1" t="n">
        <v>46025.37434027778</v>
      </c>
      <c r="C10418" s="1" t="n">
        <v>46093</v>
      </c>
      <c r="D10418" t="inlineStr">
        <is>
          <t>VÄSTERNORRLANDS LÄN</t>
        </is>
      </c>
      <c r="E10418" t="inlineStr">
        <is>
          <t>SUNDSVALL</t>
        </is>
      </c>
      <c r="G10418" t="n">
        <v>17.3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61845-2024</t>
        </is>
      </c>
      <c r="B10419" s="1" t="n">
        <v>45646</v>
      </c>
      <c r="C10419" s="1" t="n">
        <v>46093</v>
      </c>
      <c r="D10419" t="inlineStr">
        <is>
          <t>VÄSTERNORRLANDS LÄN</t>
        </is>
      </c>
      <c r="E10419" t="inlineStr">
        <is>
          <t>SOLLEFTEÅ</t>
        </is>
      </c>
      <c r="G10419" t="n">
        <v>9.4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61849-2024</t>
        </is>
      </c>
      <c r="B10420" s="1" t="n">
        <v>45646</v>
      </c>
      <c r="C10420" s="1" t="n">
        <v>46093</v>
      </c>
      <c r="D10420" t="inlineStr">
        <is>
          <t>VÄSTERNORRLANDS LÄN</t>
        </is>
      </c>
      <c r="E10420" t="inlineStr">
        <is>
          <t>SOLLEFTEÅ</t>
        </is>
      </c>
      <c r="G10420" t="n">
        <v>1.6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16809-2025</t>
        </is>
      </c>
      <c r="B10421" s="1" t="n">
        <v>45754</v>
      </c>
      <c r="C10421" s="1" t="n">
        <v>46093</v>
      </c>
      <c r="D10421" t="inlineStr">
        <is>
          <t>VÄSTERNORRLANDS LÄN</t>
        </is>
      </c>
      <c r="E10421" t="inlineStr">
        <is>
          <t>KRAMFORS</t>
        </is>
      </c>
      <c r="G10421" t="n">
        <v>1.8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353-2026</t>
        </is>
      </c>
      <c r="B10422" s="1" t="n">
        <v>46027.63585648148</v>
      </c>
      <c r="C10422" s="1" t="n">
        <v>46093</v>
      </c>
      <c r="D10422" t="inlineStr">
        <is>
          <t>VÄSTERNORRLANDS LÄN</t>
        </is>
      </c>
      <c r="E10422" t="inlineStr">
        <is>
          <t>ÅNGE</t>
        </is>
      </c>
      <c r="F10422" t="inlineStr">
        <is>
          <t>SCA</t>
        </is>
      </c>
      <c r="G10422" t="n">
        <v>2.3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403-2026</t>
        </is>
      </c>
      <c r="B10423" s="1" t="n">
        <v>46028.66550925926</v>
      </c>
      <c r="C10423" s="1" t="n">
        <v>46093</v>
      </c>
      <c r="D10423" t="inlineStr">
        <is>
          <t>VÄSTERNORRLANDS LÄN</t>
        </is>
      </c>
      <c r="E10423" t="inlineStr">
        <is>
          <t>SOLLEFTEÅ</t>
        </is>
      </c>
      <c r="G10423" t="n">
        <v>6.4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13860-2025</t>
        </is>
      </c>
      <c r="B10424" s="1" t="n">
        <v>45737.57387731481</v>
      </c>
      <c r="C10424" s="1" t="n">
        <v>46093</v>
      </c>
      <c r="D10424" t="inlineStr">
        <is>
          <t>VÄSTERNORRLANDS LÄN</t>
        </is>
      </c>
      <c r="E10424" t="inlineStr">
        <is>
          <t>SOLLEFTEÅ</t>
        </is>
      </c>
      <c r="F10424" t="inlineStr">
        <is>
          <t>SCA</t>
        </is>
      </c>
      <c r="G10424" t="n">
        <v>10.2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50844-2023</t>
        </is>
      </c>
      <c r="B10425" s="1" t="n">
        <v>45217</v>
      </c>
      <c r="C10425" s="1" t="n">
        <v>46093</v>
      </c>
      <c r="D10425" t="inlineStr">
        <is>
          <t>VÄSTERNORRLANDS LÄN</t>
        </is>
      </c>
      <c r="E10425" t="inlineStr">
        <is>
          <t>SOLLEFTEÅ</t>
        </is>
      </c>
      <c r="F10425" t="inlineStr">
        <is>
          <t>SCA</t>
        </is>
      </c>
      <c r="G10425" t="n">
        <v>1.1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50947-2023</t>
        </is>
      </c>
      <c r="B10426" s="1" t="n">
        <v>45211</v>
      </c>
      <c r="C10426" s="1" t="n">
        <v>46093</v>
      </c>
      <c r="D10426" t="inlineStr">
        <is>
          <t>VÄSTERNORRLANDS LÄN</t>
        </is>
      </c>
      <c r="E10426" t="inlineStr">
        <is>
          <t>ÖRNSKÖLDSVIK</t>
        </is>
      </c>
      <c r="G10426" t="n">
        <v>2.9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61362-2023</t>
        </is>
      </c>
      <c r="B10427" s="1" t="n">
        <v>45264</v>
      </c>
      <c r="C10427" s="1" t="n">
        <v>46093</v>
      </c>
      <c r="D10427" t="inlineStr">
        <is>
          <t>VÄSTERNORRLANDS LÄN</t>
        </is>
      </c>
      <c r="E10427" t="inlineStr">
        <is>
          <t>ÖRNSKÖLDSVIK</t>
        </is>
      </c>
      <c r="F10427" t="inlineStr">
        <is>
          <t>Övriga Aktiebolag</t>
        </is>
      </c>
      <c r="G10427" t="n">
        <v>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19835-2024</t>
        </is>
      </c>
      <c r="B10428" s="1" t="n">
        <v>45433.37478009259</v>
      </c>
      <c r="C10428" s="1" t="n">
        <v>46093</v>
      </c>
      <c r="D10428" t="inlineStr">
        <is>
          <t>VÄSTERNORRLANDS LÄN</t>
        </is>
      </c>
      <c r="E10428" t="inlineStr">
        <is>
          <t>KRAMFORS</t>
        </is>
      </c>
      <c r="G10428" t="n">
        <v>6.3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8928-2026</t>
        </is>
      </c>
      <c r="B10429" s="1" t="n">
        <v>46069.34454861111</v>
      </c>
      <c r="C10429" s="1" t="n">
        <v>46093</v>
      </c>
      <c r="D10429" t="inlineStr">
        <is>
          <t>VÄSTERNORRLANDS LÄN</t>
        </is>
      </c>
      <c r="E10429" t="inlineStr">
        <is>
          <t>ÅNGE</t>
        </is>
      </c>
      <c r="F10429" t="inlineStr">
        <is>
          <t>SCA</t>
        </is>
      </c>
      <c r="G10429" t="n">
        <v>1.6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19845-2024</t>
        </is>
      </c>
      <c r="B10430" s="1" t="n">
        <v>45433.39101851852</v>
      </c>
      <c r="C10430" s="1" t="n">
        <v>46093</v>
      </c>
      <c r="D10430" t="inlineStr">
        <is>
          <t>VÄSTERNORRLANDS LÄN</t>
        </is>
      </c>
      <c r="E10430" t="inlineStr">
        <is>
          <t>ÖRNSKÖLDSVIK</t>
        </is>
      </c>
      <c r="F10430" t="inlineStr">
        <is>
          <t>Holmen skog AB</t>
        </is>
      </c>
      <c r="G10430" t="n">
        <v>0.4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2104-2025</t>
        </is>
      </c>
      <c r="B10431" s="1" t="n">
        <v>45672</v>
      </c>
      <c r="C10431" s="1" t="n">
        <v>46093</v>
      </c>
      <c r="D10431" t="inlineStr">
        <is>
          <t>VÄSTERNORRLANDS LÄN</t>
        </is>
      </c>
      <c r="E10431" t="inlineStr">
        <is>
          <t>SUNDSVALL</t>
        </is>
      </c>
      <c r="F10431" t="inlineStr">
        <is>
          <t>SCA</t>
        </is>
      </c>
      <c r="G10431" t="n">
        <v>3.8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2107-2025</t>
        </is>
      </c>
      <c r="B10432" s="1" t="n">
        <v>45672</v>
      </c>
      <c r="C10432" s="1" t="n">
        <v>46093</v>
      </c>
      <c r="D10432" t="inlineStr">
        <is>
          <t>VÄSTERNORRLANDS LÄN</t>
        </is>
      </c>
      <c r="E10432" t="inlineStr">
        <is>
          <t>ÖRNSKÖLDSVIK</t>
        </is>
      </c>
      <c r="G10432" t="n">
        <v>3.2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2112-2025</t>
        </is>
      </c>
      <c r="B10433" s="1" t="n">
        <v>45672</v>
      </c>
      <c r="C10433" s="1" t="n">
        <v>46093</v>
      </c>
      <c r="D10433" t="inlineStr">
        <is>
          <t>VÄSTERNORRLANDS LÄN</t>
        </is>
      </c>
      <c r="E10433" t="inlineStr">
        <is>
          <t>ÖRNSKÖLDSVIK</t>
        </is>
      </c>
      <c r="G10433" t="n">
        <v>1.3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38246-2024</t>
        </is>
      </c>
      <c r="B10434" s="1" t="n">
        <v>45545.57327546296</v>
      </c>
      <c r="C10434" s="1" t="n">
        <v>46093</v>
      </c>
      <c r="D10434" t="inlineStr">
        <is>
          <t>VÄSTERNORRLANDS LÄN</t>
        </is>
      </c>
      <c r="E10434" t="inlineStr">
        <is>
          <t>ÅNGE</t>
        </is>
      </c>
      <c r="F10434" t="inlineStr">
        <is>
          <t>SCA</t>
        </is>
      </c>
      <c r="G10434" t="n">
        <v>3.8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38291-2024</t>
        </is>
      </c>
      <c r="B10435" s="1" t="n">
        <v>45545.61715277778</v>
      </c>
      <c r="C10435" s="1" t="n">
        <v>46093</v>
      </c>
      <c r="D10435" t="inlineStr">
        <is>
          <t>VÄSTERNORRLANDS LÄN</t>
        </is>
      </c>
      <c r="E10435" t="inlineStr">
        <is>
          <t>ÖRNSKÖLDSVIK</t>
        </is>
      </c>
      <c r="F10435" t="inlineStr">
        <is>
          <t>Holmen skog AB</t>
        </is>
      </c>
      <c r="G10435" t="n">
        <v>0.8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38329-2024</t>
        </is>
      </c>
      <c r="B10436" s="1" t="n">
        <v>45545.68050925926</v>
      </c>
      <c r="C10436" s="1" t="n">
        <v>46093</v>
      </c>
      <c r="D10436" t="inlineStr">
        <is>
          <t>VÄSTERNORRLANDS LÄN</t>
        </is>
      </c>
      <c r="E10436" t="inlineStr">
        <is>
          <t>ÖRNSKÖLDSVIK</t>
        </is>
      </c>
      <c r="G10436" t="n">
        <v>3.9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31859-2024</t>
        </is>
      </c>
      <c r="B10437" s="1" t="n">
        <v>45509.69664351852</v>
      </c>
      <c r="C10437" s="1" t="n">
        <v>46093</v>
      </c>
      <c r="D10437" t="inlineStr">
        <is>
          <t>VÄSTERNORRLANDS LÄN</t>
        </is>
      </c>
      <c r="E10437" t="inlineStr">
        <is>
          <t>ÖRNSKÖLDSVIK</t>
        </is>
      </c>
      <c r="G10437" t="n">
        <v>2.7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272-2026</t>
        </is>
      </c>
      <c r="B10438" s="1" t="n">
        <v>46027.46248842592</v>
      </c>
      <c r="C10438" s="1" t="n">
        <v>46093</v>
      </c>
      <c r="D10438" t="inlineStr">
        <is>
          <t>VÄSTERNORRLANDS LÄN</t>
        </is>
      </c>
      <c r="E10438" t="inlineStr">
        <is>
          <t>SUNDSVALL</t>
        </is>
      </c>
      <c r="G10438" t="n">
        <v>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26943-2024</t>
        </is>
      </c>
      <c r="B10439" s="1" t="n">
        <v>45470</v>
      </c>
      <c r="C10439" s="1" t="n">
        <v>46093</v>
      </c>
      <c r="D10439" t="inlineStr">
        <is>
          <t>VÄSTERNORRLANDS LÄN</t>
        </is>
      </c>
      <c r="E10439" t="inlineStr">
        <is>
          <t>ÅNGE</t>
        </is>
      </c>
      <c r="F10439" t="inlineStr">
        <is>
          <t>SCA</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61232-2022</t>
        </is>
      </c>
      <c r="B10440" s="1" t="n">
        <v>44909</v>
      </c>
      <c r="C10440" s="1" t="n">
        <v>46093</v>
      </c>
      <c r="D10440" t="inlineStr">
        <is>
          <t>VÄSTERNORRLANDS LÄN</t>
        </is>
      </c>
      <c r="E10440" t="inlineStr">
        <is>
          <t>ÖRNSKÖLDSVIK</t>
        </is>
      </c>
      <c r="G10440" t="n">
        <v>2.4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17664-2023</t>
        </is>
      </c>
      <c r="B10441" s="1" t="n">
        <v>45036.94416666667</v>
      </c>
      <c r="C10441" s="1" t="n">
        <v>46093</v>
      </c>
      <c r="D10441" t="inlineStr">
        <is>
          <t>VÄSTERNORRLANDS LÄN</t>
        </is>
      </c>
      <c r="E10441" t="inlineStr">
        <is>
          <t>SOLLEFTEÅ</t>
        </is>
      </c>
      <c r="F10441" t="inlineStr">
        <is>
          <t>SCA</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763-2026</t>
        </is>
      </c>
      <c r="B10442" s="1" t="n">
        <v>46026</v>
      </c>
      <c r="C10442" s="1" t="n">
        <v>46093</v>
      </c>
      <c r="D10442" t="inlineStr">
        <is>
          <t>VÄSTERNORRLANDS LÄN</t>
        </is>
      </c>
      <c r="E10442" t="inlineStr">
        <is>
          <t>HÄRNÖSAND</t>
        </is>
      </c>
      <c r="G10442" t="n">
        <v>0.7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765-2026</t>
        </is>
      </c>
      <c r="B10443" s="1" t="n">
        <v>46026</v>
      </c>
      <c r="C10443" s="1" t="n">
        <v>46093</v>
      </c>
      <c r="D10443" t="inlineStr">
        <is>
          <t>VÄSTERNORRLANDS LÄN</t>
        </is>
      </c>
      <c r="E10443" t="inlineStr">
        <is>
          <t>HÄRNÖSAND</t>
        </is>
      </c>
      <c r="G10443" t="n">
        <v>3.4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8922-2026</t>
        </is>
      </c>
      <c r="B10444" s="1" t="n">
        <v>46069.34008101852</v>
      </c>
      <c r="C10444" s="1" t="n">
        <v>46093</v>
      </c>
      <c r="D10444" t="inlineStr">
        <is>
          <t>VÄSTERNORRLANDS LÄN</t>
        </is>
      </c>
      <c r="E10444" t="inlineStr">
        <is>
          <t>ÖRNSKÖLDSVIK</t>
        </is>
      </c>
      <c r="G10444" t="n">
        <v>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8413-2026</t>
        </is>
      </c>
      <c r="B10445" s="1" t="n">
        <v>46065</v>
      </c>
      <c r="C10445" s="1" t="n">
        <v>46093</v>
      </c>
      <c r="D10445" t="inlineStr">
        <is>
          <t>VÄSTERNORRLANDS LÄN</t>
        </is>
      </c>
      <c r="E10445" t="inlineStr">
        <is>
          <t>HÄRNÖSAND</t>
        </is>
      </c>
      <c r="F10445" t="inlineStr">
        <is>
          <t>Kyrkan</t>
        </is>
      </c>
      <c r="G10445" t="n">
        <v>3.5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8414-2026</t>
        </is>
      </c>
      <c r="B10446" s="1" t="n">
        <v>46065</v>
      </c>
      <c r="C10446" s="1" t="n">
        <v>46093</v>
      </c>
      <c r="D10446" t="inlineStr">
        <is>
          <t>VÄSTERNORRLANDS LÄN</t>
        </is>
      </c>
      <c r="E10446" t="inlineStr">
        <is>
          <t>HÄRNÖSAND</t>
        </is>
      </c>
      <c r="F10446" t="inlineStr">
        <is>
          <t>Kyrkan</t>
        </is>
      </c>
      <c r="G10446" t="n">
        <v>1.9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8417-2026</t>
        </is>
      </c>
      <c r="B10447" s="1" t="n">
        <v>46065</v>
      </c>
      <c r="C10447" s="1" t="n">
        <v>46093</v>
      </c>
      <c r="D10447" t="inlineStr">
        <is>
          <t>VÄSTERNORRLANDS LÄN</t>
        </is>
      </c>
      <c r="E10447" t="inlineStr">
        <is>
          <t>HÄRNÖSAND</t>
        </is>
      </c>
      <c r="F10447" t="inlineStr">
        <is>
          <t>Kyrkan</t>
        </is>
      </c>
      <c r="G10447" t="n">
        <v>1.6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53512-2023</t>
        </is>
      </c>
      <c r="B10448" s="1" t="n">
        <v>45230</v>
      </c>
      <c r="C10448" s="1" t="n">
        <v>46093</v>
      </c>
      <c r="D10448" t="inlineStr">
        <is>
          <t>VÄSTERNORRLANDS LÄN</t>
        </is>
      </c>
      <c r="E10448" t="inlineStr">
        <is>
          <t>ÅNGE</t>
        </is>
      </c>
      <c r="F10448" t="inlineStr">
        <is>
          <t>Holmen skog AB</t>
        </is>
      </c>
      <c r="G10448" t="n">
        <v>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14353-2025</t>
        </is>
      </c>
      <c r="B10449" s="1" t="n">
        <v>45741.36502314815</v>
      </c>
      <c r="C10449" s="1" t="n">
        <v>46093</v>
      </c>
      <c r="D10449" t="inlineStr">
        <is>
          <t>VÄSTERNORRLANDS LÄN</t>
        </is>
      </c>
      <c r="E10449" t="inlineStr">
        <is>
          <t>SOLLEFTEÅ</t>
        </is>
      </c>
      <c r="F10449" t="inlineStr">
        <is>
          <t>SCA</t>
        </is>
      </c>
      <c r="G10449" t="n">
        <v>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2580-2025</t>
        </is>
      </c>
      <c r="B10450" s="1" t="n">
        <v>45674</v>
      </c>
      <c r="C10450" s="1" t="n">
        <v>46093</v>
      </c>
      <c r="D10450" t="inlineStr">
        <is>
          <t>VÄSTERNORRLANDS LÄN</t>
        </is>
      </c>
      <c r="E10450" t="inlineStr">
        <is>
          <t>SOLLEFTEÅ</t>
        </is>
      </c>
      <c r="F10450" t="inlineStr">
        <is>
          <t>SCA</t>
        </is>
      </c>
      <c r="G10450" t="n">
        <v>3.1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599-2026</t>
        </is>
      </c>
      <c r="B10451" s="1" t="n">
        <v>46027</v>
      </c>
      <c r="C10451" s="1" t="n">
        <v>46093</v>
      </c>
      <c r="D10451" t="inlineStr">
        <is>
          <t>VÄSTERNORRLANDS LÄN</t>
        </is>
      </c>
      <c r="E10451" t="inlineStr">
        <is>
          <t>HÄRNÖSAND</t>
        </is>
      </c>
      <c r="G10451" t="n">
        <v>6.1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177-2026</t>
        </is>
      </c>
      <c r="B10452" s="1" t="n">
        <v>46025.37813657407</v>
      </c>
      <c r="C10452" s="1" t="n">
        <v>46093</v>
      </c>
      <c r="D10452" t="inlineStr">
        <is>
          <t>VÄSTERNORRLANDS LÄN</t>
        </is>
      </c>
      <c r="E10452" t="inlineStr">
        <is>
          <t>SUNDSVALL</t>
        </is>
      </c>
      <c r="G10452" t="n">
        <v>0.3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9065-2026</t>
        </is>
      </c>
      <c r="B10453" s="1" t="n">
        <v>46069.57037037037</v>
      </c>
      <c r="C10453" s="1" t="n">
        <v>46093</v>
      </c>
      <c r="D10453" t="inlineStr">
        <is>
          <t>VÄSTERNORRLANDS LÄN</t>
        </is>
      </c>
      <c r="E10453" t="inlineStr">
        <is>
          <t>HÄRNÖSAND</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8994-2026</t>
        </is>
      </c>
      <c r="B10454" s="1" t="n">
        <v>46069.46784722222</v>
      </c>
      <c r="C10454" s="1" t="n">
        <v>46093</v>
      </c>
      <c r="D10454" t="inlineStr">
        <is>
          <t>VÄSTERNORRLANDS LÄN</t>
        </is>
      </c>
      <c r="E10454" t="inlineStr">
        <is>
          <t>KRAMFORS</t>
        </is>
      </c>
      <c r="G10454" t="n">
        <v>1.5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709-2026</t>
        </is>
      </c>
      <c r="B10455" s="1" t="n">
        <v>46029</v>
      </c>
      <c r="C10455" s="1" t="n">
        <v>46093</v>
      </c>
      <c r="D10455" t="inlineStr">
        <is>
          <t>VÄSTERNORRLANDS LÄN</t>
        </is>
      </c>
      <c r="E10455" t="inlineStr">
        <is>
          <t>KRAMFORS</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3235-2024</t>
        </is>
      </c>
      <c r="B10456" s="1" t="n">
        <v>45316</v>
      </c>
      <c r="C10456" s="1" t="n">
        <v>46093</v>
      </c>
      <c r="D10456" t="inlineStr">
        <is>
          <t>VÄSTERNORRLANDS LÄN</t>
        </is>
      </c>
      <c r="E10456" t="inlineStr">
        <is>
          <t>SUNDSVALL</t>
        </is>
      </c>
      <c r="F10456" t="inlineStr">
        <is>
          <t>SCA</t>
        </is>
      </c>
      <c r="G10456" t="n">
        <v>3.6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716-2026</t>
        </is>
      </c>
      <c r="B10457" s="1" t="n">
        <v>46029.63026620371</v>
      </c>
      <c r="C10457" s="1" t="n">
        <v>46093</v>
      </c>
      <c r="D10457" t="inlineStr">
        <is>
          <t>VÄSTERNORRLANDS LÄN</t>
        </is>
      </c>
      <c r="E10457" t="inlineStr">
        <is>
          <t>ÖRNSKÖLDSVIK</t>
        </is>
      </c>
      <c r="G10457" t="n">
        <v>0.9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1049-2026</t>
        </is>
      </c>
      <c r="B10458" s="1" t="n">
        <v>46030</v>
      </c>
      <c r="C10458" s="1" t="n">
        <v>46093</v>
      </c>
      <c r="D10458" t="inlineStr">
        <is>
          <t>VÄSTERNORRLANDS LÄN</t>
        </is>
      </c>
      <c r="E10458" t="inlineStr">
        <is>
          <t>SUNDSVALL</t>
        </is>
      </c>
      <c r="G10458" t="n">
        <v>2.1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780-2026</t>
        </is>
      </c>
      <c r="B10459" s="1" t="n">
        <v>46029.78170138889</v>
      </c>
      <c r="C10459" s="1" t="n">
        <v>46093</v>
      </c>
      <c r="D10459" t="inlineStr">
        <is>
          <t>VÄSTERNORRLANDS LÄN</t>
        </is>
      </c>
      <c r="E10459" t="inlineStr">
        <is>
          <t>HÄRNÖSAND</t>
        </is>
      </c>
      <c r="G10459" t="n">
        <v>0.3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788-2026</t>
        </is>
      </c>
      <c r="B10460" s="1" t="n">
        <v>46029.83921296296</v>
      </c>
      <c r="C10460" s="1" t="n">
        <v>46093</v>
      </c>
      <c r="D10460" t="inlineStr">
        <is>
          <t>VÄSTERNORRLANDS LÄN</t>
        </is>
      </c>
      <c r="E10460" t="inlineStr">
        <is>
          <t>TIMRÅ</t>
        </is>
      </c>
      <c r="G10460" t="n">
        <v>1.2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9475-2026</t>
        </is>
      </c>
      <c r="B10461" s="1" t="n">
        <v>46071.52336805555</v>
      </c>
      <c r="C10461" s="1" t="n">
        <v>46093</v>
      </c>
      <c r="D10461" t="inlineStr">
        <is>
          <t>VÄSTERNORRLANDS LÄN</t>
        </is>
      </c>
      <c r="E10461" t="inlineStr">
        <is>
          <t>ÖRNSKÖLDSVIK</t>
        </is>
      </c>
      <c r="G10461" t="n">
        <v>2.2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9476-2026</t>
        </is>
      </c>
      <c r="B10462" s="1" t="n">
        <v>46071.52351851852</v>
      </c>
      <c r="C10462" s="1" t="n">
        <v>46093</v>
      </c>
      <c r="D10462" t="inlineStr">
        <is>
          <t>VÄSTERNORRLANDS LÄN</t>
        </is>
      </c>
      <c r="E10462" t="inlineStr">
        <is>
          <t>ÖRNSKÖLDSVIK</t>
        </is>
      </c>
      <c r="G10462" t="n">
        <v>3.4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9757-2026</t>
        </is>
      </c>
      <c r="B10463" s="1" t="n">
        <v>46072.54966435185</v>
      </c>
      <c r="C10463" s="1" t="n">
        <v>46093</v>
      </c>
      <c r="D10463" t="inlineStr">
        <is>
          <t>VÄSTERNORRLANDS LÄN</t>
        </is>
      </c>
      <c r="E10463" t="inlineStr">
        <is>
          <t>SOLLEFTEÅ</t>
        </is>
      </c>
      <c r="G10463" t="n">
        <v>1.8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9765-2026</t>
        </is>
      </c>
      <c r="B10464" s="1" t="n">
        <v>46072.56244212963</v>
      </c>
      <c r="C10464" s="1" t="n">
        <v>46093</v>
      </c>
      <c r="D10464" t="inlineStr">
        <is>
          <t>VÄSTERNORRLANDS LÄN</t>
        </is>
      </c>
      <c r="E10464" t="inlineStr">
        <is>
          <t>SOLLEFTEÅ</t>
        </is>
      </c>
      <c r="G10464" t="n">
        <v>3.4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9773-2026</t>
        </is>
      </c>
      <c r="B10465" s="1" t="n">
        <v>46072.5735300926</v>
      </c>
      <c r="C10465" s="1" t="n">
        <v>46093</v>
      </c>
      <c r="D10465" t="inlineStr">
        <is>
          <t>VÄSTERNORRLANDS LÄN</t>
        </is>
      </c>
      <c r="E10465" t="inlineStr">
        <is>
          <t>SOLLEFTEÅ</t>
        </is>
      </c>
      <c r="G10465" t="n">
        <v>5.9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52758-2023</t>
        </is>
      </c>
      <c r="B10466" s="1" t="n">
        <v>45225</v>
      </c>
      <c r="C10466" s="1" t="n">
        <v>46093</v>
      </c>
      <c r="D10466" t="inlineStr">
        <is>
          <t>VÄSTERNORRLANDS LÄN</t>
        </is>
      </c>
      <c r="E10466" t="inlineStr">
        <is>
          <t>SUNDSVALL</t>
        </is>
      </c>
      <c r="F10466" t="inlineStr">
        <is>
          <t>SCA</t>
        </is>
      </c>
      <c r="G10466" t="n">
        <v>2.4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772-2026</t>
        </is>
      </c>
      <c r="B10467" s="1" t="n">
        <v>46029.74581018519</v>
      </c>
      <c r="C10467" s="1" t="n">
        <v>46093</v>
      </c>
      <c r="D10467" t="inlineStr">
        <is>
          <t>VÄSTERNORRLANDS LÄN</t>
        </is>
      </c>
      <c r="E10467" t="inlineStr">
        <is>
          <t>HÄRNÖSAND</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4935-2025</t>
        </is>
      </c>
      <c r="B10468" s="1" t="n">
        <v>45688.68496527777</v>
      </c>
      <c r="C10468" s="1" t="n">
        <v>46093</v>
      </c>
      <c r="D10468" t="inlineStr">
        <is>
          <t>VÄSTERNORRLANDS LÄN</t>
        </is>
      </c>
      <c r="E10468" t="inlineStr">
        <is>
          <t>SOLLEFTEÅ</t>
        </is>
      </c>
      <c r="G10468" t="n">
        <v>6.5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9739-2026</t>
        </is>
      </c>
      <c r="B10469" s="1" t="n">
        <v>46072.50528935185</v>
      </c>
      <c r="C10469" s="1" t="n">
        <v>46093</v>
      </c>
      <c r="D10469" t="inlineStr">
        <is>
          <t>VÄSTERNORRLANDS LÄN</t>
        </is>
      </c>
      <c r="E10469" t="inlineStr">
        <is>
          <t>SOLLEFTEÅ</t>
        </is>
      </c>
      <c r="G10469" t="n">
        <v>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9759-2026</t>
        </is>
      </c>
      <c r="B10470" s="1" t="n">
        <v>46072.55251157407</v>
      </c>
      <c r="C10470" s="1" t="n">
        <v>46093</v>
      </c>
      <c r="D10470" t="inlineStr">
        <is>
          <t>VÄSTERNORRLANDS LÄN</t>
        </is>
      </c>
      <c r="E10470" t="inlineStr">
        <is>
          <t>SUNDSVALL</t>
        </is>
      </c>
      <c r="F10470" t="inlineStr">
        <is>
          <t>SCA</t>
        </is>
      </c>
      <c r="G10470" t="n">
        <v>2.1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59041-2024</t>
        </is>
      </c>
      <c r="B10471" s="1" t="n">
        <v>45636.71923611111</v>
      </c>
      <c r="C10471" s="1" t="n">
        <v>46093</v>
      </c>
      <c r="D10471" t="inlineStr">
        <is>
          <t>VÄSTERNORRLANDS LÄN</t>
        </is>
      </c>
      <c r="E10471" t="inlineStr">
        <is>
          <t>ÖRNSKÖLDSVIK</t>
        </is>
      </c>
      <c r="F10471" t="inlineStr">
        <is>
          <t>SCA</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462-2026</t>
        </is>
      </c>
      <c r="B10472" s="1" t="n">
        <v>46029.38241898148</v>
      </c>
      <c r="C10472" s="1" t="n">
        <v>46093</v>
      </c>
      <c r="D10472" t="inlineStr">
        <is>
          <t>VÄSTERNORRLANDS LÄN</t>
        </is>
      </c>
      <c r="E10472" t="inlineStr">
        <is>
          <t>ÖRNSKÖLDSVIK</t>
        </is>
      </c>
      <c r="F10472" t="inlineStr">
        <is>
          <t>Holmen skog AB</t>
        </is>
      </c>
      <c r="G10472" t="n">
        <v>1.7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4147-2025</t>
        </is>
      </c>
      <c r="B10473" s="1" t="n">
        <v>45685.36509259259</v>
      </c>
      <c r="C10473" s="1" t="n">
        <v>46093</v>
      </c>
      <c r="D10473" t="inlineStr">
        <is>
          <t>VÄSTERNORRLANDS LÄN</t>
        </is>
      </c>
      <c r="E10473" t="inlineStr">
        <is>
          <t>HÄRNÖSAND</t>
        </is>
      </c>
      <c r="G10473" t="n">
        <v>6.2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61486-2025</t>
        </is>
      </c>
      <c r="B10474" s="1" t="n">
        <v>46001.63607638889</v>
      </c>
      <c r="C10474" s="1" t="n">
        <v>46093</v>
      </c>
      <c r="D10474" t="inlineStr">
        <is>
          <t>VÄSTERNORRLANDS LÄN</t>
        </is>
      </c>
      <c r="E10474" t="inlineStr">
        <is>
          <t>ÅNGE</t>
        </is>
      </c>
      <c r="F10474" t="inlineStr">
        <is>
          <t>SCA</t>
        </is>
      </c>
      <c r="G10474" t="n">
        <v>4.8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9608-2025</t>
        </is>
      </c>
      <c r="B10475" s="1" t="n">
        <v>45715.65699074074</v>
      </c>
      <c r="C10475" s="1" t="n">
        <v>46093</v>
      </c>
      <c r="D10475" t="inlineStr">
        <is>
          <t>VÄSTERNORRLANDS LÄN</t>
        </is>
      </c>
      <c r="E10475" t="inlineStr">
        <is>
          <t>SOLLEFTEÅ</t>
        </is>
      </c>
      <c r="F10475" t="inlineStr">
        <is>
          <t>SCA</t>
        </is>
      </c>
      <c r="G10475" t="n">
        <v>2.5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56411-2023</t>
        </is>
      </c>
      <c r="B10476" s="1" t="n">
        <v>45243</v>
      </c>
      <c r="C10476" s="1" t="n">
        <v>46093</v>
      </c>
      <c r="D10476" t="inlineStr">
        <is>
          <t>VÄSTERNORRLANDS LÄN</t>
        </is>
      </c>
      <c r="E10476" t="inlineStr">
        <is>
          <t>ÖRNSKÖLDSVIK</t>
        </is>
      </c>
      <c r="F10476" t="inlineStr">
        <is>
          <t>Holmen skog AB</t>
        </is>
      </c>
      <c r="G10476" t="n">
        <v>0.6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20638-2025</t>
        </is>
      </c>
      <c r="B10477" s="1" t="n">
        <v>45776.36480324074</v>
      </c>
      <c r="C10477" s="1" t="n">
        <v>46093</v>
      </c>
      <c r="D10477" t="inlineStr">
        <is>
          <t>VÄSTERNORRLANDS LÄN</t>
        </is>
      </c>
      <c r="E10477" t="inlineStr">
        <is>
          <t>SOLLEFTEÅ</t>
        </is>
      </c>
      <c r="G10477" t="n">
        <v>2.5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544-2026</t>
        </is>
      </c>
      <c r="B10478" s="1" t="n">
        <v>46029</v>
      </c>
      <c r="C10478" s="1" t="n">
        <v>46093</v>
      </c>
      <c r="D10478" t="inlineStr">
        <is>
          <t>VÄSTERNORRLANDS LÄN</t>
        </is>
      </c>
      <c r="E10478" t="inlineStr">
        <is>
          <t>HÄRNÖSAND</t>
        </is>
      </c>
      <c r="G10478" t="n">
        <v>5.6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773-2026</t>
        </is>
      </c>
      <c r="B10479" s="1" t="n">
        <v>46029</v>
      </c>
      <c r="C10479" s="1" t="n">
        <v>46093</v>
      </c>
      <c r="D10479" t="inlineStr">
        <is>
          <t>VÄSTERNORRLANDS LÄN</t>
        </is>
      </c>
      <c r="E10479" t="inlineStr">
        <is>
          <t>TIMRÅ</t>
        </is>
      </c>
      <c r="G10479" t="n">
        <v>1.7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774-2026</t>
        </is>
      </c>
      <c r="B10480" s="1" t="n">
        <v>46029.75778935185</v>
      </c>
      <c r="C10480" s="1" t="n">
        <v>46093</v>
      </c>
      <c r="D10480" t="inlineStr">
        <is>
          <t>VÄSTERNORRLANDS LÄN</t>
        </is>
      </c>
      <c r="E10480" t="inlineStr">
        <is>
          <t>HÄRNÖSAND</t>
        </is>
      </c>
      <c r="G10480" t="n">
        <v>2.2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776-2026</t>
        </is>
      </c>
      <c r="B10481" s="1" t="n">
        <v>46029.77623842593</v>
      </c>
      <c r="C10481" s="1" t="n">
        <v>46093</v>
      </c>
      <c r="D10481" t="inlineStr">
        <is>
          <t>VÄSTERNORRLANDS LÄN</t>
        </is>
      </c>
      <c r="E10481" t="inlineStr">
        <is>
          <t>HÄRNÖSAND</t>
        </is>
      </c>
      <c r="G10481" t="n">
        <v>1.7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20822-2025</t>
        </is>
      </c>
      <c r="B10482" s="1" t="n">
        <v>45776</v>
      </c>
      <c r="C10482" s="1" t="n">
        <v>46093</v>
      </c>
      <c r="D10482" t="inlineStr">
        <is>
          <t>VÄSTERNORRLANDS LÄN</t>
        </is>
      </c>
      <c r="E10482" t="inlineStr">
        <is>
          <t>HÄRNÖSAND</t>
        </is>
      </c>
      <c r="G10482" t="n">
        <v>1.9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723-2026</t>
        </is>
      </c>
      <c r="B10483" s="1" t="n">
        <v>46029.63804398148</v>
      </c>
      <c r="C10483" s="1" t="n">
        <v>46093</v>
      </c>
      <c r="D10483" t="inlineStr">
        <is>
          <t>VÄSTERNORRLANDS LÄN</t>
        </is>
      </c>
      <c r="E10483" t="inlineStr">
        <is>
          <t>ÖRNSKÖLDSVIK</t>
        </is>
      </c>
      <c r="F10483" t="inlineStr">
        <is>
          <t>Holmen skog AB</t>
        </is>
      </c>
      <c r="G10483" t="n">
        <v>2.9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20700-2025</t>
        </is>
      </c>
      <c r="B10484" s="1" t="n">
        <v>45776.47576388889</v>
      </c>
      <c r="C10484" s="1" t="n">
        <v>46093</v>
      </c>
      <c r="D10484" t="inlineStr">
        <is>
          <t>VÄSTERNORRLANDS LÄN</t>
        </is>
      </c>
      <c r="E10484" t="inlineStr">
        <is>
          <t>ÖRNSKÖLDSVIK</t>
        </is>
      </c>
      <c r="F10484" t="inlineStr">
        <is>
          <t>Holmen skog AB</t>
        </is>
      </c>
      <c r="G10484" t="n">
        <v>1.9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20719-2025</t>
        </is>
      </c>
      <c r="B10485" s="1" t="n">
        <v>45776.49252314815</v>
      </c>
      <c r="C10485" s="1" t="n">
        <v>46093</v>
      </c>
      <c r="D10485" t="inlineStr">
        <is>
          <t>VÄSTERNORRLANDS LÄN</t>
        </is>
      </c>
      <c r="E10485" t="inlineStr">
        <is>
          <t>ÖRNSKÖLDSVIK</t>
        </is>
      </c>
      <c r="F10485" t="inlineStr">
        <is>
          <t>Holmen skog AB</t>
        </is>
      </c>
      <c r="G10485" t="n">
        <v>3.5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20725-2025</t>
        </is>
      </c>
      <c r="B10486" s="1" t="n">
        <v>45776.51074074074</v>
      </c>
      <c r="C10486" s="1" t="n">
        <v>46093</v>
      </c>
      <c r="D10486" t="inlineStr">
        <is>
          <t>VÄSTERNORRLANDS LÄN</t>
        </is>
      </c>
      <c r="E10486" t="inlineStr">
        <is>
          <t>SOLLEFTEÅ</t>
        </is>
      </c>
      <c r="F10486" t="inlineStr">
        <is>
          <t>SCA</t>
        </is>
      </c>
      <c r="G10486" t="n">
        <v>0.4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20726-2025</t>
        </is>
      </c>
      <c r="B10487" s="1" t="n">
        <v>45776.51077546296</v>
      </c>
      <c r="C10487" s="1" t="n">
        <v>46093</v>
      </c>
      <c r="D10487" t="inlineStr">
        <is>
          <t>VÄSTERNORRLANDS LÄN</t>
        </is>
      </c>
      <c r="E10487" t="inlineStr">
        <is>
          <t>ÖRNSKÖLDSVIK</t>
        </is>
      </c>
      <c r="F10487" t="inlineStr">
        <is>
          <t>Holmen skog AB</t>
        </is>
      </c>
      <c r="G10487" t="n">
        <v>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1029-2026</t>
        </is>
      </c>
      <c r="B10488" s="1" t="n">
        <v>46030.61505787037</v>
      </c>
      <c r="C10488" s="1" t="n">
        <v>46093</v>
      </c>
      <c r="D10488" t="inlineStr">
        <is>
          <t>VÄSTERNORRLANDS LÄN</t>
        </is>
      </c>
      <c r="E10488" t="inlineStr">
        <is>
          <t>ÖRNSKÖLDSVIK</t>
        </is>
      </c>
      <c r="F10488" t="inlineStr">
        <is>
          <t>SCA</t>
        </is>
      </c>
      <c r="G10488" t="n">
        <v>10</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1035-2026</t>
        </is>
      </c>
      <c r="B10489" s="1" t="n">
        <v>46030.61703703704</v>
      </c>
      <c r="C10489" s="1" t="n">
        <v>46093</v>
      </c>
      <c r="D10489" t="inlineStr">
        <is>
          <t>VÄSTERNORRLANDS LÄN</t>
        </is>
      </c>
      <c r="E10489" t="inlineStr">
        <is>
          <t>SUNDSVALL</t>
        </is>
      </c>
      <c r="G10489" t="n">
        <v>2.9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20626-2025</t>
        </is>
      </c>
      <c r="B10490" s="1" t="n">
        <v>45776</v>
      </c>
      <c r="C10490" s="1" t="n">
        <v>46093</v>
      </c>
      <c r="D10490" t="inlineStr">
        <is>
          <t>VÄSTERNORRLANDS LÄN</t>
        </is>
      </c>
      <c r="E10490" t="inlineStr">
        <is>
          <t>SUNDSVALL</t>
        </is>
      </c>
      <c r="F10490" t="inlineStr">
        <is>
          <t>Naturvårdsverket</t>
        </is>
      </c>
      <c r="G10490" t="n">
        <v>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20629-2025</t>
        </is>
      </c>
      <c r="B10491" s="1" t="n">
        <v>45776</v>
      </c>
      <c r="C10491" s="1" t="n">
        <v>46093</v>
      </c>
      <c r="D10491" t="inlineStr">
        <is>
          <t>VÄSTERNORRLANDS LÄN</t>
        </is>
      </c>
      <c r="E10491" t="inlineStr">
        <is>
          <t>SUNDSVALL</t>
        </is>
      </c>
      <c r="F10491" t="inlineStr">
        <is>
          <t>SCA</t>
        </is>
      </c>
      <c r="G10491" t="n">
        <v>9.4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20630-2025</t>
        </is>
      </c>
      <c r="B10492" s="1" t="n">
        <v>45776.34467592592</v>
      </c>
      <c r="C10492" s="1" t="n">
        <v>46093</v>
      </c>
      <c r="D10492" t="inlineStr">
        <is>
          <t>VÄSTERNORRLANDS LÄN</t>
        </is>
      </c>
      <c r="E10492" t="inlineStr">
        <is>
          <t>SUNDSVALL</t>
        </is>
      </c>
      <c r="F10492" t="inlineStr">
        <is>
          <t>Naturvårdsverket</t>
        </is>
      </c>
      <c r="G10492" t="n">
        <v>1.1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20694-2025</t>
        </is>
      </c>
      <c r="B10493" s="1" t="n">
        <v>45776.46938657408</v>
      </c>
      <c r="C10493" s="1" t="n">
        <v>46093</v>
      </c>
      <c r="D10493" t="inlineStr">
        <is>
          <t>VÄSTERNORRLANDS LÄN</t>
        </is>
      </c>
      <c r="E10493" t="inlineStr">
        <is>
          <t>SUNDSVALL</t>
        </is>
      </c>
      <c r="F10493" t="inlineStr">
        <is>
          <t>SCA</t>
        </is>
      </c>
      <c r="G10493" t="n">
        <v>3.5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20715-2025</t>
        </is>
      </c>
      <c r="B10494" s="1" t="n">
        <v>45776.49008101852</v>
      </c>
      <c r="C10494" s="1" t="n">
        <v>46093</v>
      </c>
      <c r="D10494" t="inlineStr">
        <is>
          <t>VÄSTERNORRLANDS LÄN</t>
        </is>
      </c>
      <c r="E10494" t="inlineStr">
        <is>
          <t>SUNDSVALL</t>
        </is>
      </c>
      <c r="F10494" t="inlineStr">
        <is>
          <t>SCA</t>
        </is>
      </c>
      <c r="G10494" t="n">
        <v>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20765-2025</t>
        </is>
      </c>
      <c r="B10495" s="1" t="n">
        <v>45776.57975694445</v>
      </c>
      <c r="C10495" s="1" t="n">
        <v>46093</v>
      </c>
      <c r="D10495" t="inlineStr">
        <is>
          <t>VÄSTERNORRLANDS LÄN</t>
        </is>
      </c>
      <c r="E10495" t="inlineStr">
        <is>
          <t>ÖRNSKÖLDSVIK</t>
        </is>
      </c>
      <c r="G10495" t="n">
        <v>20</v>
      </c>
      <c r="H10495" t="n">
        <v>0</v>
      </c>
      <c r="I10495" t="n">
        <v>0</v>
      </c>
      <c r="J10495" t="n">
        <v>0</v>
      </c>
      <c r="K10495" t="n">
        <v>0</v>
      </c>
      <c r="L10495" t="n">
        <v>0</v>
      </c>
      <c r="M10495" t="n">
        <v>0</v>
      </c>
      <c r="N10495" t="n">
        <v>0</v>
      </c>
      <c r="O10495" t="n">
        <v>0</v>
      </c>
      <c r="P10495" t="n">
        <v>0</v>
      </c>
      <c r="Q10495" t="n">
        <v>0</v>
      </c>
      <c r="R10495" s="2" t="inlineStr"/>
    </row>
    <row r="10496" ht="15" customHeight="1">
      <c r="A10496" t="inlineStr">
        <is>
          <t>A 966-2026</t>
        </is>
      </c>
      <c r="B10496" s="1" t="n">
        <v>46030</v>
      </c>
      <c r="C10496" s="1" t="n">
        <v>46093</v>
      </c>
      <c r="D10496" t="inlineStr">
        <is>
          <t>VÄSTERNORRLANDS LÄN</t>
        </is>
      </c>
      <c r="E10496" t="inlineStr">
        <is>
          <t>HÄRNÖSAND</t>
        </is>
      </c>
      <c r="G10496" t="n">
        <v>2.7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1009-2026</t>
        </is>
      </c>
      <c r="B10497" s="1" t="n">
        <v>46030.60008101852</v>
      </c>
      <c r="C10497" s="1" t="n">
        <v>46093</v>
      </c>
      <c r="D10497" t="inlineStr">
        <is>
          <t>VÄSTERNORRLANDS LÄN</t>
        </is>
      </c>
      <c r="E10497" t="inlineStr">
        <is>
          <t>SUNDSVALL</t>
        </is>
      </c>
      <c r="G10497" t="n">
        <v>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20776-2025</t>
        </is>
      </c>
      <c r="B10498" s="1" t="n">
        <v>45776.59410879629</v>
      </c>
      <c r="C10498" s="1" t="n">
        <v>46093</v>
      </c>
      <c r="D10498" t="inlineStr">
        <is>
          <t>VÄSTERNORRLANDS LÄN</t>
        </is>
      </c>
      <c r="E10498" t="inlineStr">
        <is>
          <t>ÅNGE</t>
        </is>
      </c>
      <c r="F10498" t="inlineStr">
        <is>
          <t>SCA</t>
        </is>
      </c>
      <c r="G10498" t="n">
        <v>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20793-2025</t>
        </is>
      </c>
      <c r="B10499" s="1" t="n">
        <v>45776</v>
      </c>
      <c r="C10499" s="1" t="n">
        <v>46093</v>
      </c>
      <c r="D10499" t="inlineStr">
        <is>
          <t>VÄSTERNORRLANDS LÄN</t>
        </is>
      </c>
      <c r="E10499" t="inlineStr">
        <is>
          <t>SOLLEFTEÅ</t>
        </is>
      </c>
      <c r="G10499" t="n">
        <v>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20627-2025</t>
        </is>
      </c>
      <c r="B10500" s="1" t="n">
        <v>45776.34429398148</v>
      </c>
      <c r="C10500" s="1" t="n">
        <v>46093</v>
      </c>
      <c r="D10500" t="inlineStr">
        <is>
          <t>VÄSTERNORRLANDS LÄN</t>
        </is>
      </c>
      <c r="E10500" t="inlineStr">
        <is>
          <t>SUNDSVALL</t>
        </is>
      </c>
      <c r="F10500" t="inlineStr">
        <is>
          <t>SCA</t>
        </is>
      </c>
      <c r="G10500" t="n">
        <v>2.2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9754-2026</t>
        </is>
      </c>
      <c r="B10501" s="1" t="n">
        <v>46072.54571759259</v>
      </c>
      <c r="C10501" s="1" t="n">
        <v>46093</v>
      </c>
      <c r="D10501" t="inlineStr">
        <is>
          <t>VÄSTERNORRLANDS LÄN</t>
        </is>
      </c>
      <c r="E10501" t="inlineStr">
        <is>
          <t>ÖRNSKÖLDSVIK</t>
        </is>
      </c>
      <c r="G10501" t="n">
        <v>1.7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35781-2025</t>
        </is>
      </c>
      <c r="B10502" s="1" t="n">
        <v>45860</v>
      </c>
      <c r="C10502" s="1" t="n">
        <v>46093</v>
      </c>
      <c r="D10502" t="inlineStr">
        <is>
          <t>VÄSTERNORRLANDS LÄN</t>
        </is>
      </c>
      <c r="E10502" t="inlineStr">
        <is>
          <t>ÅNGE</t>
        </is>
      </c>
      <c r="G10502" t="n">
        <v>2.2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20718-2025</t>
        </is>
      </c>
      <c r="B10503" s="1" t="n">
        <v>45776.49047453704</v>
      </c>
      <c r="C10503" s="1" t="n">
        <v>46093</v>
      </c>
      <c r="D10503" t="inlineStr">
        <is>
          <t>VÄSTERNORRLANDS LÄN</t>
        </is>
      </c>
      <c r="E10503" t="inlineStr">
        <is>
          <t>ÅNGE</t>
        </is>
      </c>
      <c r="G10503" t="n">
        <v>4.7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1129-2026</t>
        </is>
      </c>
      <c r="B10504" s="1" t="n">
        <v>46030.71917824074</v>
      </c>
      <c r="C10504" s="1" t="n">
        <v>46093</v>
      </c>
      <c r="D10504" t="inlineStr">
        <is>
          <t>VÄSTERNORRLANDS LÄN</t>
        </is>
      </c>
      <c r="E10504" t="inlineStr">
        <is>
          <t>HÄRNÖSAND</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1131-2026</t>
        </is>
      </c>
      <c r="B10505" s="1" t="n">
        <v>46030</v>
      </c>
      <c r="C10505" s="1" t="n">
        <v>46093</v>
      </c>
      <c r="D10505" t="inlineStr">
        <is>
          <t>VÄSTERNORRLANDS LÄN</t>
        </is>
      </c>
      <c r="E10505" t="inlineStr">
        <is>
          <t>KRAMFORS</t>
        </is>
      </c>
      <c r="G10505" t="n">
        <v>5.9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20675-2025</t>
        </is>
      </c>
      <c r="B10506" s="1" t="n">
        <v>45776.44221064815</v>
      </c>
      <c r="C10506" s="1" t="n">
        <v>46093</v>
      </c>
      <c r="D10506" t="inlineStr">
        <is>
          <t>VÄSTERNORRLANDS LÄN</t>
        </is>
      </c>
      <c r="E10506" t="inlineStr">
        <is>
          <t>ÖRNSKÖLDSVIK</t>
        </is>
      </c>
      <c r="F10506" t="inlineStr">
        <is>
          <t>Holmen skog AB</t>
        </is>
      </c>
      <c r="G10506" t="n">
        <v>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20821-2025</t>
        </is>
      </c>
      <c r="B10507" s="1" t="n">
        <v>45776</v>
      </c>
      <c r="C10507" s="1" t="n">
        <v>46093</v>
      </c>
      <c r="D10507" t="inlineStr">
        <is>
          <t>VÄSTERNORRLANDS LÄN</t>
        </is>
      </c>
      <c r="E10507" t="inlineStr">
        <is>
          <t>HÄRNÖSAND</t>
        </is>
      </c>
      <c r="G10507" t="n">
        <v>7.6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20693-2025</t>
        </is>
      </c>
      <c r="B10508" s="1" t="n">
        <v>45776.46915509259</v>
      </c>
      <c r="C10508" s="1" t="n">
        <v>46093</v>
      </c>
      <c r="D10508" t="inlineStr">
        <is>
          <t>VÄSTERNORRLANDS LÄN</t>
        </is>
      </c>
      <c r="E10508" t="inlineStr">
        <is>
          <t>KRAMFORS</t>
        </is>
      </c>
      <c r="F10508" t="inlineStr">
        <is>
          <t>SCA</t>
        </is>
      </c>
      <c r="G10508" t="n">
        <v>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9579-2026</t>
        </is>
      </c>
      <c r="B10509" s="1" t="n">
        <v>46071.67767361111</v>
      </c>
      <c r="C10509" s="1" t="n">
        <v>46093</v>
      </c>
      <c r="D10509" t="inlineStr">
        <is>
          <t>VÄSTERNORRLANDS LÄN</t>
        </is>
      </c>
      <c r="E10509" t="inlineStr">
        <is>
          <t>SUNDSVALL</t>
        </is>
      </c>
      <c r="G10509" t="n">
        <v>0.8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697-2026</t>
        </is>
      </c>
      <c r="B10510" s="1" t="n">
        <v>46029.61530092593</v>
      </c>
      <c r="C10510" s="1" t="n">
        <v>46093</v>
      </c>
      <c r="D10510" t="inlineStr">
        <is>
          <t>VÄSTERNORRLANDS LÄN</t>
        </is>
      </c>
      <c r="E10510" t="inlineStr">
        <is>
          <t>ÖRNSKÖLDSVIK</t>
        </is>
      </c>
      <c r="F10510" t="inlineStr">
        <is>
          <t>Holmen skog AB</t>
        </is>
      </c>
      <c r="G10510" t="n">
        <v>7.2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20663-2025</t>
        </is>
      </c>
      <c r="B10511" s="1" t="n">
        <v>45776</v>
      </c>
      <c r="C10511" s="1" t="n">
        <v>46093</v>
      </c>
      <c r="D10511" t="inlineStr">
        <is>
          <t>VÄSTERNORRLANDS LÄN</t>
        </is>
      </c>
      <c r="E10511" t="inlineStr">
        <is>
          <t>ÖRNSKÖLDSVIK</t>
        </is>
      </c>
      <c r="G10511" t="n">
        <v>6.6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703-2026</t>
        </is>
      </c>
      <c r="B10512" s="1" t="n">
        <v>46029.61604166667</v>
      </c>
      <c r="C10512" s="1" t="n">
        <v>46093</v>
      </c>
      <c r="D10512" t="inlineStr">
        <is>
          <t>VÄSTERNORRLANDS LÄN</t>
        </is>
      </c>
      <c r="E10512" t="inlineStr">
        <is>
          <t>ÅNGE</t>
        </is>
      </c>
      <c r="F10512" t="inlineStr">
        <is>
          <t>SCA</t>
        </is>
      </c>
      <c r="G10512" t="n">
        <v>3.6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726-2026</t>
        </is>
      </c>
      <c r="B10513" s="1" t="n">
        <v>46029</v>
      </c>
      <c r="C10513" s="1" t="n">
        <v>46093</v>
      </c>
      <c r="D10513" t="inlineStr">
        <is>
          <t>VÄSTERNORRLANDS LÄN</t>
        </is>
      </c>
      <c r="E10513" t="inlineStr">
        <is>
          <t>SUNDSVALL</t>
        </is>
      </c>
      <c r="G10513" t="n">
        <v>2.5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20867-2025</t>
        </is>
      </c>
      <c r="B10514" s="1" t="n">
        <v>45777.34471064815</v>
      </c>
      <c r="C10514" s="1" t="n">
        <v>46093</v>
      </c>
      <c r="D10514" t="inlineStr">
        <is>
          <t>VÄSTERNORRLANDS LÄN</t>
        </is>
      </c>
      <c r="E10514" t="inlineStr">
        <is>
          <t>SOLLEFTEÅ</t>
        </is>
      </c>
      <c r="F10514" t="inlineStr">
        <is>
          <t>SCA</t>
        </is>
      </c>
      <c r="G10514" t="n">
        <v>2.6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847-2026</t>
        </is>
      </c>
      <c r="B10515" s="1" t="n">
        <v>46030.38679398148</v>
      </c>
      <c r="C10515" s="1" t="n">
        <v>46093</v>
      </c>
      <c r="D10515" t="inlineStr">
        <is>
          <t>VÄSTERNORRLANDS LÄN</t>
        </is>
      </c>
      <c r="E10515" t="inlineStr">
        <is>
          <t>SUNDSVALL</t>
        </is>
      </c>
      <c r="F10515" t="inlineStr">
        <is>
          <t>SCA</t>
        </is>
      </c>
      <c r="G10515" t="n">
        <v>3.6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21304-2021</t>
        </is>
      </c>
      <c r="B10516" s="1" t="n">
        <v>44320</v>
      </c>
      <c r="C10516" s="1" t="n">
        <v>46093</v>
      </c>
      <c r="D10516" t="inlineStr">
        <is>
          <t>VÄSTERNORRLANDS LÄN</t>
        </is>
      </c>
      <c r="E10516" t="inlineStr">
        <is>
          <t>ÖRNSKÖLDSVIK</t>
        </is>
      </c>
      <c r="G10516" t="n">
        <v>6.1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29535-2021</t>
        </is>
      </c>
      <c r="B10517" s="1" t="n">
        <v>44361</v>
      </c>
      <c r="C10517" s="1" t="n">
        <v>46093</v>
      </c>
      <c r="D10517" t="inlineStr">
        <is>
          <t>VÄSTERNORRLANDS LÄN</t>
        </is>
      </c>
      <c r="E10517" t="inlineStr">
        <is>
          <t>SUNDSVALL</t>
        </is>
      </c>
      <c r="G10517" t="n">
        <v>1.9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9668-2026</t>
        </is>
      </c>
      <c r="B10518" s="1" t="n">
        <v>46070</v>
      </c>
      <c r="C10518" s="1" t="n">
        <v>46093</v>
      </c>
      <c r="D10518" t="inlineStr">
        <is>
          <t>VÄSTERNORRLANDS LÄN</t>
        </is>
      </c>
      <c r="E10518" t="inlineStr">
        <is>
          <t>ÖRNSKÖLDSVIK</t>
        </is>
      </c>
      <c r="G10518" t="n">
        <v>2.1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9662-2026</t>
        </is>
      </c>
      <c r="B10519" s="1" t="n">
        <v>46072.36609953704</v>
      </c>
      <c r="C10519" s="1" t="n">
        <v>46093</v>
      </c>
      <c r="D10519" t="inlineStr">
        <is>
          <t>VÄSTERNORRLANDS LÄN</t>
        </is>
      </c>
      <c r="E10519" t="inlineStr">
        <is>
          <t>TIMRÅ</t>
        </is>
      </c>
      <c r="G10519" t="n">
        <v>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20864-2025</t>
        </is>
      </c>
      <c r="B10520" s="1" t="n">
        <v>45777.34417824074</v>
      </c>
      <c r="C10520" s="1" t="n">
        <v>46093</v>
      </c>
      <c r="D10520" t="inlineStr">
        <is>
          <t>VÄSTERNORRLANDS LÄN</t>
        </is>
      </c>
      <c r="E10520" t="inlineStr">
        <is>
          <t>ÅNGE</t>
        </is>
      </c>
      <c r="F10520" t="inlineStr">
        <is>
          <t>SCA</t>
        </is>
      </c>
      <c r="G10520" t="n">
        <v>3.1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9671-2026</t>
        </is>
      </c>
      <c r="B10521" s="1" t="n">
        <v>46070</v>
      </c>
      <c r="C10521" s="1" t="n">
        <v>46093</v>
      </c>
      <c r="D10521" t="inlineStr">
        <is>
          <t>VÄSTERNORRLANDS LÄN</t>
        </is>
      </c>
      <c r="E10521" t="inlineStr">
        <is>
          <t>ÖRNSKÖLDSVIK</t>
        </is>
      </c>
      <c r="G10521" t="n">
        <v>2.9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782-2026</t>
        </is>
      </c>
      <c r="B10522" s="1" t="n">
        <v>46029</v>
      </c>
      <c r="C10522" s="1" t="n">
        <v>46093</v>
      </c>
      <c r="D10522" t="inlineStr">
        <is>
          <t>VÄSTERNORRLANDS LÄN</t>
        </is>
      </c>
      <c r="E10522" t="inlineStr">
        <is>
          <t>ÖRNSKÖLDSVIK</t>
        </is>
      </c>
      <c r="G10522" t="n">
        <v>0.8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783-2026</t>
        </is>
      </c>
      <c r="B10523" s="1" t="n">
        <v>46029</v>
      </c>
      <c r="C10523" s="1" t="n">
        <v>46093</v>
      </c>
      <c r="D10523" t="inlineStr">
        <is>
          <t>VÄSTERNORRLANDS LÄN</t>
        </is>
      </c>
      <c r="E10523" t="inlineStr">
        <is>
          <t>SUNDSVALL</t>
        </is>
      </c>
      <c r="G10523" t="n">
        <v>1.3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786-2026</t>
        </is>
      </c>
      <c r="B10524" s="1" t="n">
        <v>46029.82388888889</v>
      </c>
      <c r="C10524" s="1" t="n">
        <v>46093</v>
      </c>
      <c r="D10524" t="inlineStr">
        <is>
          <t>VÄSTERNORRLANDS LÄN</t>
        </is>
      </c>
      <c r="E10524" t="inlineStr">
        <is>
          <t>TIMRÅ</t>
        </is>
      </c>
      <c r="G10524" t="n">
        <v>1.1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20935-2025</t>
        </is>
      </c>
      <c r="B10525" s="1" t="n">
        <v>45777.42762731481</v>
      </c>
      <c r="C10525" s="1" t="n">
        <v>46093</v>
      </c>
      <c r="D10525" t="inlineStr">
        <is>
          <t>VÄSTERNORRLANDS LÄN</t>
        </is>
      </c>
      <c r="E10525" t="inlineStr">
        <is>
          <t>KRAMFORS</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530-2026</t>
        </is>
      </c>
      <c r="B10526" s="1" t="n">
        <v>46029.44939814815</v>
      </c>
      <c r="C10526" s="1" t="n">
        <v>46093</v>
      </c>
      <c r="D10526" t="inlineStr">
        <is>
          <t>VÄSTERNORRLANDS LÄN</t>
        </is>
      </c>
      <c r="E10526" t="inlineStr">
        <is>
          <t>HÄRNÖSAND</t>
        </is>
      </c>
      <c r="G10526" t="n">
        <v>0.9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531-2026</t>
        </is>
      </c>
      <c r="B10527" s="1" t="n">
        <v>46029.450625</v>
      </c>
      <c r="C10527" s="1" t="n">
        <v>46093</v>
      </c>
      <c r="D10527" t="inlineStr">
        <is>
          <t>VÄSTERNORRLANDS LÄN</t>
        </is>
      </c>
      <c r="E10527" t="inlineStr">
        <is>
          <t>KRAMFORS</t>
        </is>
      </c>
      <c r="G10527" t="n">
        <v>13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541-2026</t>
        </is>
      </c>
      <c r="B10528" s="1" t="n">
        <v>46029</v>
      </c>
      <c r="C10528" s="1" t="n">
        <v>46093</v>
      </c>
      <c r="D10528" t="inlineStr">
        <is>
          <t>VÄSTERNORRLANDS LÄN</t>
        </is>
      </c>
      <c r="E10528" t="inlineStr">
        <is>
          <t>KRAMFORS</t>
        </is>
      </c>
      <c r="G10528" t="n">
        <v>2.4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9777-2026</t>
        </is>
      </c>
      <c r="B10529" s="1" t="n">
        <v>46072.57767361111</v>
      </c>
      <c r="C10529" s="1" t="n">
        <v>46093</v>
      </c>
      <c r="D10529" t="inlineStr">
        <is>
          <t>VÄSTERNORRLANDS LÄN</t>
        </is>
      </c>
      <c r="E10529" t="inlineStr">
        <is>
          <t>SOLLEFTEÅ</t>
        </is>
      </c>
      <c r="G10529" t="n">
        <v>2.2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9786-2026</t>
        </is>
      </c>
      <c r="B10530" s="1" t="n">
        <v>46072.59431712963</v>
      </c>
      <c r="C10530" s="1" t="n">
        <v>46093</v>
      </c>
      <c r="D10530" t="inlineStr">
        <is>
          <t>VÄSTERNORRLANDS LÄN</t>
        </is>
      </c>
      <c r="E10530" t="inlineStr">
        <is>
          <t>SOLLEFTEÅ</t>
        </is>
      </c>
      <c r="F10530" t="inlineStr">
        <is>
          <t>SCA</t>
        </is>
      </c>
      <c r="G10530" t="n">
        <v>2.8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21088-2025</t>
        </is>
      </c>
      <c r="B10531" s="1" t="n">
        <v>45777.61498842593</v>
      </c>
      <c r="C10531" s="1" t="n">
        <v>46093</v>
      </c>
      <c r="D10531" t="inlineStr">
        <is>
          <t>VÄSTERNORRLANDS LÄN</t>
        </is>
      </c>
      <c r="E10531" t="inlineStr">
        <is>
          <t>SOLLEFTEÅ</t>
        </is>
      </c>
      <c r="F10531" t="inlineStr">
        <is>
          <t>SCA</t>
        </is>
      </c>
      <c r="G10531" t="n">
        <v>1.9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17974-2025</t>
        </is>
      </c>
      <c r="B10532" s="1" t="n">
        <v>45761</v>
      </c>
      <c r="C10532" s="1" t="n">
        <v>46093</v>
      </c>
      <c r="D10532" t="inlineStr">
        <is>
          <t>VÄSTERNORRLANDS LÄN</t>
        </is>
      </c>
      <c r="E10532" t="inlineStr">
        <is>
          <t>TIMRÅ</t>
        </is>
      </c>
      <c r="F10532" t="inlineStr">
        <is>
          <t>SCA</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984-2026</t>
        </is>
      </c>
      <c r="B10533" s="1" t="n">
        <v>46030</v>
      </c>
      <c r="C10533" s="1" t="n">
        <v>46093</v>
      </c>
      <c r="D10533" t="inlineStr">
        <is>
          <t>VÄSTERNORRLANDS LÄN</t>
        </is>
      </c>
      <c r="E10533" t="inlineStr">
        <is>
          <t>SUNDSVALL</t>
        </is>
      </c>
      <c r="G10533" t="n">
        <v>4.7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999-2026</t>
        </is>
      </c>
      <c r="B10534" s="1" t="n">
        <v>46030.59460648148</v>
      </c>
      <c r="C10534" s="1" t="n">
        <v>46093</v>
      </c>
      <c r="D10534" t="inlineStr">
        <is>
          <t>VÄSTERNORRLANDS LÄN</t>
        </is>
      </c>
      <c r="E10534" t="inlineStr">
        <is>
          <t>SUNDSVALL</t>
        </is>
      </c>
      <c r="G10534" t="n">
        <v>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20908-2025</t>
        </is>
      </c>
      <c r="B10535" s="1" t="n">
        <v>45777.40657407408</v>
      </c>
      <c r="C10535" s="1" t="n">
        <v>46093</v>
      </c>
      <c r="D10535" t="inlineStr">
        <is>
          <t>VÄSTERNORRLANDS LÄN</t>
        </is>
      </c>
      <c r="E10535" t="inlineStr">
        <is>
          <t>SUNDSVALL</t>
        </is>
      </c>
      <c r="F10535" t="inlineStr">
        <is>
          <t>SCA</t>
        </is>
      </c>
      <c r="G10535" t="n">
        <v>0.9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9160-2026</t>
        </is>
      </c>
      <c r="B10536" s="1" t="n">
        <v>46070</v>
      </c>
      <c r="C10536" s="1" t="n">
        <v>46093</v>
      </c>
      <c r="D10536" t="inlineStr">
        <is>
          <t>VÄSTERNORRLANDS LÄN</t>
        </is>
      </c>
      <c r="E10536" t="inlineStr">
        <is>
          <t>HÄRNÖSAND</t>
        </is>
      </c>
      <c r="G10536" t="n">
        <v>3.9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702-2026</t>
        </is>
      </c>
      <c r="B10537" s="1" t="n">
        <v>46029.61589120371</v>
      </c>
      <c r="C10537" s="1" t="n">
        <v>46093</v>
      </c>
      <c r="D10537" t="inlineStr">
        <is>
          <t>VÄSTERNORRLANDS LÄN</t>
        </is>
      </c>
      <c r="E10537" t="inlineStr">
        <is>
          <t>SUNDSVALL</t>
        </is>
      </c>
      <c r="F10537" t="inlineStr">
        <is>
          <t>SCA</t>
        </is>
      </c>
      <c r="G10537" t="n">
        <v>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21068-2025</t>
        </is>
      </c>
      <c r="B10538" s="1" t="n">
        <v>45777.59413194445</v>
      </c>
      <c r="C10538" s="1" t="n">
        <v>46093</v>
      </c>
      <c r="D10538" t="inlineStr">
        <is>
          <t>VÄSTERNORRLANDS LÄN</t>
        </is>
      </c>
      <c r="E10538" t="inlineStr">
        <is>
          <t>ÅNGE</t>
        </is>
      </c>
      <c r="F10538" t="inlineStr">
        <is>
          <t>SCA</t>
        </is>
      </c>
      <c r="G10538" t="n">
        <v>0.9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20868-2025</t>
        </is>
      </c>
      <c r="B10539" s="1" t="n">
        <v>45777.34483796296</v>
      </c>
      <c r="C10539" s="1" t="n">
        <v>46093</v>
      </c>
      <c r="D10539" t="inlineStr">
        <is>
          <t>VÄSTERNORRLANDS LÄN</t>
        </is>
      </c>
      <c r="E10539" t="inlineStr">
        <is>
          <t>ÅNGE</t>
        </is>
      </c>
      <c r="F10539" t="inlineStr">
        <is>
          <t>SCA</t>
        </is>
      </c>
      <c r="G10539" t="n">
        <v>2.9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484-2026</t>
        </is>
      </c>
      <c r="B10540" s="1" t="n">
        <v>46029.41097222222</v>
      </c>
      <c r="C10540" s="1" t="n">
        <v>46093</v>
      </c>
      <c r="D10540" t="inlineStr">
        <is>
          <t>VÄSTERNORRLANDS LÄN</t>
        </is>
      </c>
      <c r="E10540" t="inlineStr">
        <is>
          <t>KRAMFORS</t>
        </is>
      </c>
      <c r="G10540" t="n">
        <v>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1055-2026</t>
        </is>
      </c>
      <c r="B10541" s="1" t="n">
        <v>46030.63422453704</v>
      </c>
      <c r="C10541" s="1" t="n">
        <v>46093</v>
      </c>
      <c r="D10541" t="inlineStr">
        <is>
          <t>VÄSTERNORRLANDS LÄN</t>
        </is>
      </c>
      <c r="E10541" t="inlineStr">
        <is>
          <t>SUNDSVALL</t>
        </is>
      </c>
      <c r="G10541" t="n">
        <v>2.3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19708-2025</t>
        </is>
      </c>
      <c r="B10542" s="1" t="n">
        <v>45771</v>
      </c>
      <c r="C10542" s="1" t="n">
        <v>46093</v>
      </c>
      <c r="D10542" t="inlineStr">
        <is>
          <t>VÄSTERNORRLANDS LÄN</t>
        </is>
      </c>
      <c r="E10542" t="inlineStr">
        <is>
          <t>KRAMFORS</t>
        </is>
      </c>
      <c r="G10542" t="n">
        <v>2.7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699-2026</t>
        </is>
      </c>
      <c r="B10543" s="1" t="n">
        <v>46029.61538194444</v>
      </c>
      <c r="C10543" s="1" t="n">
        <v>46093</v>
      </c>
      <c r="D10543" t="inlineStr">
        <is>
          <t>VÄSTERNORRLANDS LÄN</t>
        </is>
      </c>
      <c r="E10543" t="inlineStr">
        <is>
          <t>TIMRÅ</t>
        </is>
      </c>
      <c r="F10543" t="inlineStr">
        <is>
          <t>SCA</t>
        </is>
      </c>
      <c r="G10543" t="n">
        <v>4.3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738-2026</t>
        </is>
      </c>
      <c r="B10544" s="1" t="n">
        <v>46029.65686342592</v>
      </c>
      <c r="C10544" s="1" t="n">
        <v>46093</v>
      </c>
      <c r="D10544" t="inlineStr">
        <is>
          <t>VÄSTERNORRLANDS LÄN</t>
        </is>
      </c>
      <c r="E10544" t="inlineStr">
        <is>
          <t>SOLLEFTEÅ</t>
        </is>
      </c>
      <c r="F10544" t="inlineStr">
        <is>
          <t>SCA</t>
        </is>
      </c>
      <c r="G10544" t="n">
        <v>1.4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877-2026</t>
        </is>
      </c>
      <c r="B10545" s="1" t="n">
        <v>46030.44267361111</v>
      </c>
      <c r="C10545" s="1" t="n">
        <v>46093</v>
      </c>
      <c r="D10545" t="inlineStr">
        <is>
          <t>VÄSTERNORRLANDS LÄN</t>
        </is>
      </c>
      <c r="E10545" t="inlineStr">
        <is>
          <t>ÖRNSKÖLDSVIK</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959-2026</t>
        </is>
      </c>
      <c r="B10546" s="1" t="n">
        <v>46030.55357638889</v>
      </c>
      <c r="C10546" s="1" t="n">
        <v>46093</v>
      </c>
      <c r="D10546" t="inlineStr">
        <is>
          <t>VÄSTERNORRLANDS LÄN</t>
        </is>
      </c>
      <c r="E10546" t="inlineStr">
        <is>
          <t>TIMRÅ</t>
        </is>
      </c>
      <c r="G10546" t="n">
        <v>3.1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21109-2025</t>
        </is>
      </c>
      <c r="B10547" s="1" t="n">
        <v>45777.67744212963</v>
      </c>
      <c r="C10547" s="1" t="n">
        <v>46093</v>
      </c>
      <c r="D10547" t="inlineStr">
        <is>
          <t>VÄSTERNORRLANDS LÄN</t>
        </is>
      </c>
      <c r="E10547" t="inlineStr">
        <is>
          <t>SOLLEFTEÅ</t>
        </is>
      </c>
      <c r="F10547" t="inlineStr">
        <is>
          <t>SCA</t>
        </is>
      </c>
      <c r="G10547" t="n">
        <v>38.2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896-2026</t>
        </is>
      </c>
      <c r="B10548" s="1" t="n">
        <v>46030.46054398148</v>
      </c>
      <c r="C10548" s="1" t="n">
        <v>46093</v>
      </c>
      <c r="D10548" t="inlineStr">
        <is>
          <t>VÄSTERNORRLANDS LÄN</t>
        </is>
      </c>
      <c r="E10548" t="inlineStr">
        <is>
          <t>SOLLEFTEÅ</t>
        </is>
      </c>
      <c r="G10548" t="n">
        <v>7.2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627-2026</t>
        </is>
      </c>
      <c r="B10549" s="1" t="n">
        <v>46029.55262731481</v>
      </c>
      <c r="C10549" s="1" t="n">
        <v>46093</v>
      </c>
      <c r="D10549" t="inlineStr">
        <is>
          <t>VÄSTERNORRLANDS LÄN</t>
        </is>
      </c>
      <c r="E10549" t="inlineStr">
        <is>
          <t>ÅNGE</t>
        </is>
      </c>
      <c r="G10549" t="n">
        <v>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9600-2026</t>
        </is>
      </c>
      <c r="B10550" s="1" t="n">
        <v>46071.8704050926</v>
      </c>
      <c r="C10550" s="1" t="n">
        <v>46093</v>
      </c>
      <c r="D10550" t="inlineStr">
        <is>
          <t>VÄSTERNORRLANDS LÄN</t>
        </is>
      </c>
      <c r="E10550" t="inlineStr">
        <is>
          <t>KRAMFORS</t>
        </is>
      </c>
      <c r="G10550" t="n">
        <v>0.8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21176-2025</t>
        </is>
      </c>
      <c r="B10551" s="1" t="n">
        <v>45779.42798611111</v>
      </c>
      <c r="C10551" s="1" t="n">
        <v>46093</v>
      </c>
      <c r="D10551" t="inlineStr">
        <is>
          <t>VÄSTERNORRLANDS LÄN</t>
        </is>
      </c>
      <c r="E10551" t="inlineStr">
        <is>
          <t>ÅNGE</t>
        </is>
      </c>
      <c r="F10551" t="inlineStr">
        <is>
          <t>SCA</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21484-2025</t>
        </is>
      </c>
      <c r="B10552" s="1" t="n">
        <v>45782.595</v>
      </c>
      <c r="C10552" s="1" t="n">
        <v>46093</v>
      </c>
      <c r="D10552" t="inlineStr">
        <is>
          <t>VÄSTERNORRLANDS LÄN</t>
        </is>
      </c>
      <c r="E10552" t="inlineStr">
        <is>
          <t>HÄRNÖSAND</t>
        </is>
      </c>
      <c r="F10552" t="inlineStr">
        <is>
          <t>SCA</t>
        </is>
      </c>
      <c r="G10552" t="n">
        <v>32.1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1066-2026</t>
        </is>
      </c>
      <c r="B10553" s="1" t="n">
        <v>46030.64322916666</v>
      </c>
      <c r="C10553" s="1" t="n">
        <v>46093</v>
      </c>
      <c r="D10553" t="inlineStr">
        <is>
          <t>VÄSTERNORRLANDS LÄN</t>
        </is>
      </c>
      <c r="E10553" t="inlineStr">
        <is>
          <t>SOLLEFTEÅ</t>
        </is>
      </c>
      <c r="G10553" t="n">
        <v>3.4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21480-2025</t>
        </is>
      </c>
      <c r="B10554" s="1" t="n">
        <v>45782.59438657408</v>
      </c>
      <c r="C10554" s="1" t="n">
        <v>46093</v>
      </c>
      <c r="D10554" t="inlineStr">
        <is>
          <t>VÄSTERNORRLANDS LÄN</t>
        </is>
      </c>
      <c r="E10554" t="inlineStr">
        <is>
          <t>HÄRNÖSAND</t>
        </is>
      </c>
      <c r="F10554" t="inlineStr">
        <is>
          <t>SCA</t>
        </is>
      </c>
      <c r="G10554" t="n">
        <v>12.3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21483-2025</t>
        </is>
      </c>
      <c r="B10555" s="1" t="n">
        <v>45782.59474537037</v>
      </c>
      <c r="C10555" s="1" t="n">
        <v>46093</v>
      </c>
      <c r="D10555" t="inlineStr">
        <is>
          <t>VÄSTERNORRLANDS LÄN</t>
        </is>
      </c>
      <c r="E10555" t="inlineStr">
        <is>
          <t>TIMRÅ</t>
        </is>
      </c>
      <c r="F10555" t="inlineStr">
        <is>
          <t>SCA</t>
        </is>
      </c>
      <c r="G10555" t="n">
        <v>1.6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9784-2026</t>
        </is>
      </c>
      <c r="B10556" s="1" t="n">
        <v>46072.59284722222</v>
      </c>
      <c r="C10556" s="1" t="n">
        <v>46093</v>
      </c>
      <c r="D10556" t="inlineStr">
        <is>
          <t>VÄSTERNORRLANDS LÄN</t>
        </is>
      </c>
      <c r="E10556" t="inlineStr">
        <is>
          <t>SOLLEFTEÅ</t>
        </is>
      </c>
      <c r="G10556" t="n">
        <v>5.5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21313-2025</t>
        </is>
      </c>
      <c r="B10557" s="1" t="n">
        <v>45782.28538194444</v>
      </c>
      <c r="C10557" s="1" t="n">
        <v>46093</v>
      </c>
      <c r="D10557" t="inlineStr">
        <is>
          <t>VÄSTERNORRLANDS LÄN</t>
        </is>
      </c>
      <c r="E10557" t="inlineStr">
        <is>
          <t>ÖRNSKÖLDSVIK</t>
        </is>
      </c>
      <c r="F10557" t="inlineStr">
        <is>
          <t>Holmen skog AB</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1136-2026</t>
        </is>
      </c>
      <c r="B10558" s="1" t="n">
        <v>46030</v>
      </c>
      <c r="C10558" s="1" t="n">
        <v>46093</v>
      </c>
      <c r="D10558" t="inlineStr">
        <is>
          <t>VÄSTERNORRLANDS LÄN</t>
        </is>
      </c>
      <c r="E10558" t="inlineStr">
        <is>
          <t>KRAMFORS</t>
        </is>
      </c>
      <c r="G10558" t="n">
        <v>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21475-2025</t>
        </is>
      </c>
      <c r="B10559" s="1" t="n">
        <v>45782.59091435185</v>
      </c>
      <c r="C10559" s="1" t="n">
        <v>46093</v>
      </c>
      <c r="D10559" t="inlineStr">
        <is>
          <t>VÄSTERNORRLANDS LÄN</t>
        </is>
      </c>
      <c r="E10559" t="inlineStr">
        <is>
          <t>ÖRNSKÖLDSVIK</t>
        </is>
      </c>
      <c r="F10559" t="inlineStr">
        <is>
          <t>Holmen skog AB</t>
        </is>
      </c>
      <c r="G10559" t="n">
        <v>5.9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57403-2023</t>
        </is>
      </c>
      <c r="B10560" s="1" t="n">
        <v>45245</v>
      </c>
      <c r="C10560" s="1" t="n">
        <v>46093</v>
      </c>
      <c r="D10560" t="inlineStr">
        <is>
          <t>VÄSTERNORRLANDS LÄN</t>
        </is>
      </c>
      <c r="E10560" t="inlineStr">
        <is>
          <t>SUNDSVALL</t>
        </is>
      </c>
      <c r="F10560" t="inlineStr">
        <is>
          <t>SCA</t>
        </is>
      </c>
      <c r="G10560" t="n">
        <v>5.8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21199-2025</t>
        </is>
      </c>
      <c r="B10561" s="1" t="n">
        <v>45779.47327546297</v>
      </c>
      <c r="C10561" s="1" t="n">
        <v>46093</v>
      </c>
      <c r="D10561" t="inlineStr">
        <is>
          <t>VÄSTERNORRLANDS LÄN</t>
        </is>
      </c>
      <c r="E10561" t="inlineStr">
        <is>
          <t>ÖRNSKÖLDSVIK</t>
        </is>
      </c>
      <c r="G10561" t="n">
        <v>4.3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9661-2026</t>
        </is>
      </c>
      <c r="B10562" s="1" t="n">
        <v>46070</v>
      </c>
      <c r="C10562" s="1" t="n">
        <v>46093</v>
      </c>
      <c r="D10562" t="inlineStr">
        <is>
          <t>VÄSTERNORRLANDS LÄN</t>
        </is>
      </c>
      <c r="E10562" t="inlineStr">
        <is>
          <t>ÖRNSKÖLDSVIK</t>
        </is>
      </c>
      <c r="G10562" t="n">
        <v>1.9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9663-2026</t>
        </is>
      </c>
      <c r="B10563" s="1" t="n">
        <v>46072.36611111111</v>
      </c>
      <c r="C10563" s="1" t="n">
        <v>46093</v>
      </c>
      <c r="D10563" t="inlineStr">
        <is>
          <t>VÄSTERNORRLANDS LÄN</t>
        </is>
      </c>
      <c r="E10563" t="inlineStr">
        <is>
          <t>TIMRÅ</t>
        </is>
      </c>
      <c r="G10563" t="n">
        <v>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1046-2026</t>
        </is>
      </c>
      <c r="B10564" s="1" t="n">
        <v>46030.62643518519</v>
      </c>
      <c r="C10564" s="1" t="n">
        <v>46093</v>
      </c>
      <c r="D10564" t="inlineStr">
        <is>
          <t>VÄSTERNORRLANDS LÄN</t>
        </is>
      </c>
      <c r="E10564" t="inlineStr">
        <is>
          <t>HÄRNÖSAND</t>
        </is>
      </c>
      <c r="G10564" t="n">
        <v>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943-2026</t>
        </is>
      </c>
      <c r="B10565" s="1" t="n">
        <v>46030.53203703704</v>
      </c>
      <c r="C10565" s="1" t="n">
        <v>46093</v>
      </c>
      <c r="D10565" t="inlineStr">
        <is>
          <t>VÄSTERNORRLANDS LÄN</t>
        </is>
      </c>
      <c r="E10565" t="inlineStr">
        <is>
          <t>KRAMFORS</t>
        </is>
      </c>
      <c r="G10565" t="n">
        <v>0.9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3990-2024</t>
        </is>
      </c>
      <c r="B10566" s="1" t="n">
        <v>45322.94880787037</v>
      </c>
      <c r="C10566" s="1" t="n">
        <v>46093</v>
      </c>
      <c r="D10566" t="inlineStr">
        <is>
          <t>VÄSTERNORRLANDS LÄN</t>
        </is>
      </c>
      <c r="E10566" t="inlineStr">
        <is>
          <t>SOLLEFTEÅ</t>
        </is>
      </c>
      <c r="F10566" t="inlineStr">
        <is>
          <t>SCA</t>
        </is>
      </c>
      <c r="G10566" t="n">
        <v>6.3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52087-2023</t>
        </is>
      </c>
      <c r="B10567" s="1" t="n">
        <v>45223</v>
      </c>
      <c r="C10567" s="1" t="n">
        <v>46093</v>
      </c>
      <c r="D10567" t="inlineStr">
        <is>
          <t>VÄSTERNORRLANDS LÄN</t>
        </is>
      </c>
      <c r="E10567" t="inlineStr">
        <is>
          <t>SOLLEFTEÅ</t>
        </is>
      </c>
      <c r="G10567" t="n">
        <v>10.7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21250-2025</t>
        </is>
      </c>
      <c r="B10568" s="1" t="n">
        <v>45779.57409722222</v>
      </c>
      <c r="C10568" s="1" t="n">
        <v>46093</v>
      </c>
      <c r="D10568" t="inlineStr">
        <is>
          <t>VÄSTERNORRLANDS LÄN</t>
        </is>
      </c>
      <c r="E10568" t="inlineStr">
        <is>
          <t>ÖRNSKÖLDSVIK</t>
        </is>
      </c>
      <c r="G10568" t="n">
        <v>1.7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21286-2025</t>
        </is>
      </c>
      <c r="B10569" s="1" t="n">
        <v>45779.69825231482</v>
      </c>
      <c r="C10569" s="1" t="n">
        <v>46093</v>
      </c>
      <c r="D10569" t="inlineStr">
        <is>
          <t>VÄSTERNORRLANDS LÄN</t>
        </is>
      </c>
      <c r="E10569" t="inlineStr">
        <is>
          <t>TIMRÅ</t>
        </is>
      </c>
      <c r="F10569" t="inlineStr">
        <is>
          <t>SCA</t>
        </is>
      </c>
      <c r="G10569" t="n">
        <v>8.9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658-2026</t>
        </is>
      </c>
      <c r="B10570" s="1" t="n">
        <v>46029.58168981481</v>
      </c>
      <c r="C10570" s="1" t="n">
        <v>46093</v>
      </c>
      <c r="D10570" t="inlineStr">
        <is>
          <t>VÄSTERNORRLANDS LÄN</t>
        </is>
      </c>
      <c r="E10570" t="inlineStr">
        <is>
          <t>SOLLEFTEÅ</t>
        </is>
      </c>
      <c r="G10570" t="n">
        <v>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21415-2025</t>
        </is>
      </c>
      <c r="B10571" s="1" t="n">
        <v>45782.4940625</v>
      </c>
      <c r="C10571" s="1" t="n">
        <v>46093</v>
      </c>
      <c r="D10571" t="inlineStr">
        <is>
          <t>VÄSTERNORRLANDS LÄN</t>
        </is>
      </c>
      <c r="E10571" t="inlineStr">
        <is>
          <t>ÖRNSKÖLDSVIK</t>
        </is>
      </c>
      <c r="F10571" t="inlineStr">
        <is>
          <t>Holmen skog AB</t>
        </is>
      </c>
      <c r="G10571" t="n">
        <v>3.8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21241-2025</t>
        </is>
      </c>
      <c r="B10572" s="1" t="n">
        <v>45779.56971064815</v>
      </c>
      <c r="C10572" s="1" t="n">
        <v>46093</v>
      </c>
      <c r="D10572" t="inlineStr">
        <is>
          <t>VÄSTERNORRLANDS LÄN</t>
        </is>
      </c>
      <c r="E10572" t="inlineStr">
        <is>
          <t>ÖRNSKÖLDSVIK</t>
        </is>
      </c>
      <c r="G10572" t="n">
        <v>0.2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21553-2025</t>
        </is>
      </c>
      <c r="B10573" s="1" t="n">
        <v>45782.67805555555</v>
      </c>
      <c r="C10573" s="1" t="n">
        <v>46093</v>
      </c>
      <c r="D10573" t="inlineStr">
        <is>
          <t>VÄSTERNORRLANDS LÄN</t>
        </is>
      </c>
      <c r="E10573" t="inlineStr">
        <is>
          <t>SOLLEFTEÅ</t>
        </is>
      </c>
      <c r="F10573" t="inlineStr">
        <is>
          <t>SCA</t>
        </is>
      </c>
      <c r="G10573" t="n">
        <v>1.1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21555-2025</t>
        </is>
      </c>
      <c r="B10574" s="1" t="n">
        <v>45782.67828703704</v>
      </c>
      <c r="C10574" s="1" t="n">
        <v>46093</v>
      </c>
      <c r="D10574" t="inlineStr">
        <is>
          <t>VÄSTERNORRLANDS LÄN</t>
        </is>
      </c>
      <c r="E10574" t="inlineStr">
        <is>
          <t>SOLLEFTEÅ</t>
        </is>
      </c>
      <c r="F10574" t="inlineStr">
        <is>
          <t>SCA</t>
        </is>
      </c>
      <c r="G10574" t="n">
        <v>3.8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21558-2025</t>
        </is>
      </c>
      <c r="B10575" s="1" t="n">
        <v>45782.67861111111</v>
      </c>
      <c r="C10575" s="1" t="n">
        <v>46093</v>
      </c>
      <c r="D10575" t="inlineStr">
        <is>
          <t>VÄSTERNORRLANDS LÄN</t>
        </is>
      </c>
      <c r="E10575" t="inlineStr">
        <is>
          <t>HÄRNÖSAND</t>
        </is>
      </c>
      <c r="F10575" t="inlineStr">
        <is>
          <t>SCA</t>
        </is>
      </c>
      <c r="G10575" t="n">
        <v>2.6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21564-2025</t>
        </is>
      </c>
      <c r="B10576" s="1" t="n">
        <v>45782.69837962963</v>
      </c>
      <c r="C10576" s="1" t="n">
        <v>46093</v>
      </c>
      <c r="D10576" t="inlineStr">
        <is>
          <t>VÄSTERNORRLANDS LÄN</t>
        </is>
      </c>
      <c r="E10576" t="inlineStr">
        <is>
          <t>SOLLEFTEÅ</t>
        </is>
      </c>
      <c r="F10576" t="inlineStr">
        <is>
          <t>SCA</t>
        </is>
      </c>
      <c r="G10576" t="n">
        <v>1.7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476-2026</t>
        </is>
      </c>
      <c r="B10577" s="1" t="n">
        <v>46029.39678240741</v>
      </c>
      <c r="C10577" s="1" t="n">
        <v>46093</v>
      </c>
      <c r="D10577" t="inlineStr">
        <is>
          <t>VÄSTERNORRLANDS LÄN</t>
        </is>
      </c>
      <c r="E10577" t="inlineStr">
        <is>
          <t>SUNDSVALL</t>
        </is>
      </c>
      <c r="G10577" t="n">
        <v>0.5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480-2026</t>
        </is>
      </c>
      <c r="B10578" s="1" t="n">
        <v>46029.40649305555</v>
      </c>
      <c r="C10578" s="1" t="n">
        <v>46093</v>
      </c>
      <c r="D10578" t="inlineStr">
        <is>
          <t>VÄSTERNORRLANDS LÄN</t>
        </is>
      </c>
      <c r="E10578" t="inlineStr">
        <is>
          <t>KRAMFORS</t>
        </is>
      </c>
      <c r="G10578" t="n">
        <v>2.8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21348-2025</t>
        </is>
      </c>
      <c r="B10579" s="1" t="n">
        <v>45782.40679398148</v>
      </c>
      <c r="C10579" s="1" t="n">
        <v>46093</v>
      </c>
      <c r="D10579" t="inlineStr">
        <is>
          <t>VÄSTERNORRLANDS LÄN</t>
        </is>
      </c>
      <c r="E10579" t="inlineStr">
        <is>
          <t>SOLLEFTEÅ</t>
        </is>
      </c>
      <c r="G10579" t="n">
        <v>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21346-2025</t>
        </is>
      </c>
      <c r="B10580" s="1" t="n">
        <v>45782.40670138889</v>
      </c>
      <c r="C10580" s="1" t="n">
        <v>46093</v>
      </c>
      <c r="D10580" t="inlineStr">
        <is>
          <t>VÄSTERNORRLANDS LÄN</t>
        </is>
      </c>
      <c r="E10580" t="inlineStr">
        <is>
          <t>SOLLEFTEÅ</t>
        </is>
      </c>
      <c r="F10580" t="inlineStr">
        <is>
          <t>SCA</t>
        </is>
      </c>
      <c r="G10580" t="n">
        <v>4.8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21521-2025</t>
        </is>
      </c>
      <c r="B10581" s="1" t="n">
        <v>45782.63612268519</v>
      </c>
      <c r="C10581" s="1" t="n">
        <v>46093</v>
      </c>
      <c r="D10581" t="inlineStr">
        <is>
          <t>VÄSTERNORRLANDS LÄN</t>
        </is>
      </c>
      <c r="E10581" t="inlineStr">
        <is>
          <t>ÖRNSKÖLDSVIK</t>
        </is>
      </c>
      <c r="G10581" t="n">
        <v>1.8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21429-2025</t>
        </is>
      </c>
      <c r="B10582" s="1" t="n">
        <v>45782.51084490741</v>
      </c>
      <c r="C10582" s="1" t="n">
        <v>46093</v>
      </c>
      <c r="D10582" t="inlineStr">
        <is>
          <t>VÄSTERNORRLANDS LÄN</t>
        </is>
      </c>
      <c r="E10582" t="inlineStr">
        <is>
          <t>SOLLEFTEÅ</t>
        </is>
      </c>
      <c r="F10582" t="inlineStr">
        <is>
          <t>SCA</t>
        </is>
      </c>
      <c r="G10582" t="n">
        <v>3.5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6058-2024</t>
        </is>
      </c>
      <c r="B10583" s="1" t="n">
        <v>45336.75866898148</v>
      </c>
      <c r="C10583" s="1" t="n">
        <v>46093</v>
      </c>
      <c r="D10583" t="inlineStr">
        <is>
          <t>VÄSTERNORRLANDS LÄN</t>
        </is>
      </c>
      <c r="E10583" t="inlineStr">
        <is>
          <t>SOLLEFTEÅ</t>
        </is>
      </c>
      <c r="F10583" t="inlineStr">
        <is>
          <t>Övriga Aktiebolag</t>
        </is>
      </c>
      <c r="G10583" t="n">
        <v>5.2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21197-2025</t>
        </is>
      </c>
      <c r="B10584" s="1" t="n">
        <v>45779.46949074074</v>
      </c>
      <c r="C10584" s="1" t="n">
        <v>46093</v>
      </c>
      <c r="D10584" t="inlineStr">
        <is>
          <t>VÄSTERNORRLANDS LÄN</t>
        </is>
      </c>
      <c r="E10584" t="inlineStr">
        <is>
          <t>ÅNGE</t>
        </is>
      </c>
      <c r="F10584" t="inlineStr">
        <is>
          <t>SCA</t>
        </is>
      </c>
      <c r="G10584" t="n">
        <v>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21243-2025</t>
        </is>
      </c>
      <c r="B10585" s="1" t="n">
        <v>45779.57131944445</v>
      </c>
      <c r="C10585" s="1" t="n">
        <v>46093</v>
      </c>
      <c r="D10585" t="inlineStr">
        <is>
          <t>VÄSTERNORRLANDS LÄN</t>
        </is>
      </c>
      <c r="E10585" t="inlineStr">
        <is>
          <t>ÖRNSKÖLDSVIK</t>
        </is>
      </c>
      <c r="G10585" t="n">
        <v>2.2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21490-2025</t>
        </is>
      </c>
      <c r="B10586" s="1" t="n">
        <v>45782.59568287037</v>
      </c>
      <c r="C10586" s="1" t="n">
        <v>46093</v>
      </c>
      <c r="D10586" t="inlineStr">
        <is>
          <t>VÄSTERNORRLANDS LÄN</t>
        </is>
      </c>
      <c r="E10586" t="inlineStr">
        <is>
          <t>KRAMFORS</t>
        </is>
      </c>
      <c r="F10586" t="inlineStr">
        <is>
          <t>SCA</t>
        </is>
      </c>
      <c r="G10586" t="n">
        <v>32.4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8996-2026</t>
        </is>
      </c>
      <c r="B10587" s="1" t="n">
        <v>46069</v>
      </c>
      <c r="C10587" s="1" t="n">
        <v>46093</v>
      </c>
      <c r="D10587" t="inlineStr">
        <is>
          <t>VÄSTERNORRLANDS LÄN</t>
        </is>
      </c>
      <c r="E10587" t="inlineStr">
        <is>
          <t>SUNDSVALL</t>
        </is>
      </c>
      <c r="G10587" t="n">
        <v>1.6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9705-2026</t>
        </is>
      </c>
      <c r="B10588" s="1" t="n">
        <v>46072.42768518518</v>
      </c>
      <c r="C10588" s="1" t="n">
        <v>46093</v>
      </c>
      <c r="D10588" t="inlineStr">
        <is>
          <t>VÄSTERNORRLANDS LÄN</t>
        </is>
      </c>
      <c r="E10588" t="inlineStr">
        <is>
          <t>ÅNGE</t>
        </is>
      </c>
      <c r="F10588" t="inlineStr">
        <is>
          <t>SCA</t>
        </is>
      </c>
      <c r="G10588" t="n">
        <v>2.2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21455-2025</t>
        </is>
      </c>
      <c r="B10589" s="1" t="n">
        <v>45782.55332175926</v>
      </c>
      <c r="C10589" s="1" t="n">
        <v>46093</v>
      </c>
      <c r="D10589" t="inlineStr">
        <is>
          <t>VÄSTERNORRLANDS LÄN</t>
        </is>
      </c>
      <c r="E10589" t="inlineStr">
        <is>
          <t>SOLLEFTEÅ</t>
        </is>
      </c>
      <c r="F10589" t="inlineStr">
        <is>
          <t>SCA</t>
        </is>
      </c>
      <c r="G10589" t="n">
        <v>10.5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21491-2025</t>
        </is>
      </c>
      <c r="B10590" s="1" t="n">
        <v>45782.59578703704</v>
      </c>
      <c r="C10590" s="1" t="n">
        <v>46093</v>
      </c>
      <c r="D10590" t="inlineStr">
        <is>
          <t>VÄSTERNORRLANDS LÄN</t>
        </is>
      </c>
      <c r="E10590" t="inlineStr">
        <is>
          <t>SOLLEFTEÅ</t>
        </is>
      </c>
      <c r="F10590" t="inlineStr">
        <is>
          <t>SCA</t>
        </is>
      </c>
      <c r="G10590" t="n">
        <v>2.7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51527-2024</t>
        </is>
      </c>
      <c r="B10591" s="1" t="n">
        <v>45604</v>
      </c>
      <c r="C10591" s="1" t="n">
        <v>46093</v>
      </c>
      <c r="D10591" t="inlineStr">
        <is>
          <t>VÄSTERNORRLANDS LÄN</t>
        </is>
      </c>
      <c r="E10591" t="inlineStr">
        <is>
          <t>SOLLEFTEÅ</t>
        </is>
      </c>
      <c r="G10591" t="n">
        <v>2.7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9578-2026</t>
        </is>
      </c>
      <c r="B10592" s="1" t="n">
        <v>46071.6775462963</v>
      </c>
      <c r="C10592" s="1" t="n">
        <v>46093</v>
      </c>
      <c r="D10592" t="inlineStr">
        <is>
          <t>VÄSTERNORRLANDS LÄN</t>
        </is>
      </c>
      <c r="E10592" t="inlineStr">
        <is>
          <t>SOLLEFTEÅ</t>
        </is>
      </c>
      <c r="F10592" t="inlineStr">
        <is>
          <t>SCA</t>
        </is>
      </c>
      <c r="G10592" t="n">
        <v>2.1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9597-2026</t>
        </is>
      </c>
      <c r="B10593" s="1" t="n">
        <v>46071.84016203704</v>
      </c>
      <c r="C10593" s="1" t="n">
        <v>46093</v>
      </c>
      <c r="D10593" t="inlineStr">
        <is>
          <t>VÄSTERNORRLANDS LÄN</t>
        </is>
      </c>
      <c r="E10593" t="inlineStr">
        <is>
          <t>KRAMFORS</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9599-2026</t>
        </is>
      </c>
      <c r="B10594" s="1" t="n">
        <v>46071.843125</v>
      </c>
      <c r="C10594" s="1" t="n">
        <v>46093</v>
      </c>
      <c r="D10594" t="inlineStr">
        <is>
          <t>VÄSTERNORRLANDS LÄN</t>
        </is>
      </c>
      <c r="E10594" t="inlineStr">
        <is>
          <t>KRAMFORS</t>
        </is>
      </c>
      <c r="G10594" t="n">
        <v>1.1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36661-2024</t>
        </is>
      </c>
      <c r="B10595" s="1" t="n">
        <v>45537</v>
      </c>
      <c r="C10595" s="1" t="n">
        <v>46093</v>
      </c>
      <c r="D10595" t="inlineStr">
        <is>
          <t>VÄSTERNORRLANDS LÄN</t>
        </is>
      </c>
      <c r="E10595" t="inlineStr">
        <is>
          <t>ÖRNSKÖLDSVIK</t>
        </is>
      </c>
      <c r="F10595" t="inlineStr">
        <is>
          <t>Holmen skog AB</t>
        </is>
      </c>
      <c r="G10595" t="n">
        <v>6.5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9843-2026</t>
        </is>
      </c>
      <c r="B10596" s="1" t="n">
        <v>46072.71412037037</v>
      </c>
      <c r="C10596" s="1" t="n">
        <v>46093</v>
      </c>
      <c r="D10596" t="inlineStr">
        <is>
          <t>VÄSTERNORRLANDS LÄN</t>
        </is>
      </c>
      <c r="E10596" t="inlineStr">
        <is>
          <t>HÄRNÖSAND</t>
        </is>
      </c>
      <c r="G10596" t="n">
        <v>2.5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21554-2025</t>
        </is>
      </c>
      <c r="B10597" s="1" t="n">
        <v>45782.67815972222</v>
      </c>
      <c r="C10597" s="1" t="n">
        <v>46093</v>
      </c>
      <c r="D10597" t="inlineStr">
        <is>
          <t>VÄSTERNORRLANDS LÄN</t>
        </is>
      </c>
      <c r="E10597" t="inlineStr">
        <is>
          <t>SUNDSVALL</t>
        </is>
      </c>
      <c r="F10597" t="inlineStr">
        <is>
          <t>SCA</t>
        </is>
      </c>
      <c r="G10597" t="n">
        <v>2.7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21563-2025</t>
        </is>
      </c>
      <c r="B10598" s="1" t="n">
        <v>45782.69822916666</v>
      </c>
      <c r="C10598" s="1" t="n">
        <v>46093</v>
      </c>
      <c r="D10598" t="inlineStr">
        <is>
          <t>VÄSTERNORRLANDS LÄN</t>
        </is>
      </c>
      <c r="E10598" t="inlineStr">
        <is>
          <t>ÅNGE</t>
        </is>
      </c>
      <c r="F10598" t="inlineStr">
        <is>
          <t>SCA</t>
        </is>
      </c>
      <c r="G10598" t="n">
        <v>2.4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21565-2025</t>
        </is>
      </c>
      <c r="B10599" s="1" t="n">
        <v>45782</v>
      </c>
      <c r="C10599" s="1" t="n">
        <v>46093</v>
      </c>
      <c r="D10599" t="inlineStr">
        <is>
          <t>VÄSTERNORRLANDS LÄN</t>
        </is>
      </c>
      <c r="E10599" t="inlineStr">
        <is>
          <t>SOLLEFTEÅ</t>
        </is>
      </c>
      <c r="F10599" t="inlineStr">
        <is>
          <t>SCA</t>
        </is>
      </c>
      <c r="G10599" t="n">
        <v>17.4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9490-2026</t>
        </is>
      </c>
      <c r="B10600" s="1" t="n">
        <v>46071.55266203704</v>
      </c>
      <c r="C10600" s="1" t="n">
        <v>46093</v>
      </c>
      <c r="D10600" t="inlineStr">
        <is>
          <t>VÄSTERNORRLANDS LÄN</t>
        </is>
      </c>
      <c r="E10600" t="inlineStr">
        <is>
          <t>SUNDSVALL</t>
        </is>
      </c>
      <c r="F10600" t="inlineStr">
        <is>
          <t>SCA</t>
        </is>
      </c>
      <c r="G10600" t="n">
        <v>4.7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9515-2026</t>
        </is>
      </c>
      <c r="B10601" s="1" t="n">
        <v>46071.59465277778</v>
      </c>
      <c r="C10601" s="1" t="n">
        <v>46093</v>
      </c>
      <c r="D10601" t="inlineStr">
        <is>
          <t>VÄSTERNORRLANDS LÄN</t>
        </is>
      </c>
      <c r="E10601" t="inlineStr">
        <is>
          <t>SOLLEFTEÅ</t>
        </is>
      </c>
      <c r="G10601" t="n">
        <v>0.5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9161-2026</t>
        </is>
      </c>
      <c r="B10602" s="1" t="n">
        <v>46070</v>
      </c>
      <c r="C10602" s="1" t="n">
        <v>46093</v>
      </c>
      <c r="D10602" t="inlineStr">
        <is>
          <t>VÄSTERNORRLANDS LÄN</t>
        </is>
      </c>
      <c r="E10602" t="inlineStr">
        <is>
          <t>HÄRNÖSAND</t>
        </is>
      </c>
      <c r="G10602" t="n">
        <v>3.2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9845-2026</t>
        </is>
      </c>
      <c r="B10603" s="1" t="n">
        <v>46072.73510416667</v>
      </c>
      <c r="C10603" s="1" t="n">
        <v>46093</v>
      </c>
      <c r="D10603" t="inlineStr">
        <is>
          <t>VÄSTERNORRLANDS LÄN</t>
        </is>
      </c>
      <c r="E10603" t="inlineStr">
        <is>
          <t>ÅNGE</t>
        </is>
      </c>
      <c r="G10603" t="n">
        <v>2.8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9745-2026</t>
        </is>
      </c>
      <c r="B10604" s="1" t="n">
        <v>46072.52292824074</v>
      </c>
      <c r="C10604" s="1" t="n">
        <v>46093</v>
      </c>
      <c r="D10604" t="inlineStr">
        <is>
          <t>VÄSTERNORRLANDS LÄN</t>
        </is>
      </c>
      <c r="E10604" t="inlineStr">
        <is>
          <t>KRAMFORS</t>
        </is>
      </c>
      <c r="G10604" t="n">
        <v>10.5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45030-2024</t>
        </is>
      </c>
      <c r="B10605" s="1" t="n">
        <v>45575.52089120371</v>
      </c>
      <c r="C10605" s="1" t="n">
        <v>46093</v>
      </c>
      <c r="D10605" t="inlineStr">
        <is>
          <t>VÄSTERNORRLANDS LÄN</t>
        </is>
      </c>
      <c r="E10605" t="inlineStr">
        <is>
          <t>ÅNGE</t>
        </is>
      </c>
      <c r="G10605" t="n">
        <v>1.7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9762-2026</t>
        </is>
      </c>
      <c r="B10606" s="1" t="n">
        <v>46072.55725694444</v>
      </c>
      <c r="C10606" s="1" t="n">
        <v>46093</v>
      </c>
      <c r="D10606" t="inlineStr">
        <is>
          <t>VÄSTERNORRLANDS LÄN</t>
        </is>
      </c>
      <c r="E10606" t="inlineStr">
        <is>
          <t>KRAMFORS</t>
        </is>
      </c>
      <c r="G10606" t="n">
        <v>1.8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21456-2025</t>
        </is>
      </c>
      <c r="B10607" s="1" t="n">
        <v>45782</v>
      </c>
      <c r="C10607" s="1" t="n">
        <v>46093</v>
      </c>
      <c r="D10607" t="inlineStr">
        <is>
          <t>VÄSTERNORRLANDS LÄN</t>
        </is>
      </c>
      <c r="E10607" t="inlineStr">
        <is>
          <t>ÅNGE</t>
        </is>
      </c>
      <c r="F10607" t="inlineStr">
        <is>
          <t>SCA</t>
        </is>
      </c>
      <c r="G10607" t="n">
        <v>6.2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787-2026</t>
        </is>
      </c>
      <c r="B10608" s="1" t="n">
        <v>46029.83471064815</v>
      </c>
      <c r="C10608" s="1" t="n">
        <v>46093</v>
      </c>
      <c r="D10608" t="inlineStr">
        <is>
          <t>VÄSTERNORRLANDS LÄN</t>
        </is>
      </c>
      <c r="E10608" t="inlineStr">
        <is>
          <t>TIMRÅ</t>
        </is>
      </c>
      <c r="G10608" t="n">
        <v>0.3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790-2026</t>
        </is>
      </c>
      <c r="B10609" s="1" t="n">
        <v>46029</v>
      </c>
      <c r="C10609" s="1" t="n">
        <v>46093</v>
      </c>
      <c r="D10609" t="inlineStr">
        <is>
          <t>VÄSTERNORRLANDS LÄN</t>
        </is>
      </c>
      <c r="E10609" t="inlineStr">
        <is>
          <t>SUNDSVALL</t>
        </is>
      </c>
      <c r="G10609" t="n">
        <v>1.9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794-2026</t>
        </is>
      </c>
      <c r="B10610" s="1" t="n">
        <v>46029.84521990741</v>
      </c>
      <c r="C10610" s="1" t="n">
        <v>46093</v>
      </c>
      <c r="D10610" t="inlineStr">
        <is>
          <t>VÄSTERNORRLANDS LÄN</t>
        </is>
      </c>
      <c r="E10610" t="inlineStr">
        <is>
          <t>TIMRÅ</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21533-2025</t>
        </is>
      </c>
      <c r="B10611" s="1" t="n">
        <v>45782.65508101852</v>
      </c>
      <c r="C10611" s="1" t="n">
        <v>46093</v>
      </c>
      <c r="D10611" t="inlineStr">
        <is>
          <t>VÄSTERNORRLANDS LÄN</t>
        </is>
      </c>
      <c r="E10611" t="inlineStr">
        <is>
          <t>KRAMFORS</t>
        </is>
      </c>
      <c r="G10611" t="n">
        <v>5.1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45719-2022</t>
        </is>
      </c>
      <c r="B10612" s="1" t="n">
        <v>44845.95533564815</v>
      </c>
      <c r="C10612" s="1" t="n">
        <v>46093</v>
      </c>
      <c r="D10612" t="inlineStr">
        <is>
          <t>VÄSTERNORRLANDS LÄN</t>
        </is>
      </c>
      <c r="E10612" t="inlineStr">
        <is>
          <t>SOLLEFTEÅ</t>
        </is>
      </c>
      <c r="F10612" t="inlineStr">
        <is>
          <t>SCA</t>
        </is>
      </c>
      <c r="G10612" t="n">
        <v>1.6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21319-2025</t>
        </is>
      </c>
      <c r="B10613" s="1" t="n">
        <v>45782.34487268519</v>
      </c>
      <c r="C10613" s="1" t="n">
        <v>46093</v>
      </c>
      <c r="D10613" t="inlineStr">
        <is>
          <t>VÄSTERNORRLANDS LÄN</t>
        </is>
      </c>
      <c r="E10613" t="inlineStr">
        <is>
          <t>SUNDSVALL</t>
        </is>
      </c>
      <c r="F10613" t="inlineStr">
        <is>
          <t>SCA</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21481-2025</t>
        </is>
      </c>
      <c r="B10614" s="1" t="n">
        <v>45782.59451388889</v>
      </c>
      <c r="C10614" s="1" t="n">
        <v>46093</v>
      </c>
      <c r="D10614" t="inlineStr">
        <is>
          <t>VÄSTERNORRLANDS LÄN</t>
        </is>
      </c>
      <c r="E10614" t="inlineStr">
        <is>
          <t>SOLLEFTEÅ</t>
        </is>
      </c>
      <c r="F10614" t="inlineStr">
        <is>
          <t>SCA</t>
        </is>
      </c>
      <c r="G10614" t="n">
        <v>3.2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21488-2025</t>
        </is>
      </c>
      <c r="B10615" s="1" t="n">
        <v>45782.59545138889</v>
      </c>
      <c r="C10615" s="1" t="n">
        <v>46093</v>
      </c>
      <c r="D10615" t="inlineStr">
        <is>
          <t>VÄSTERNORRLANDS LÄN</t>
        </is>
      </c>
      <c r="E10615" t="inlineStr">
        <is>
          <t>SUNDSVALL</t>
        </is>
      </c>
      <c r="F10615" t="inlineStr">
        <is>
          <t>SCA</t>
        </is>
      </c>
      <c r="G10615" t="n">
        <v>19.2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21489-2025</t>
        </is>
      </c>
      <c r="B10616" s="1" t="n">
        <v>45782.59555555556</v>
      </c>
      <c r="C10616" s="1" t="n">
        <v>46093</v>
      </c>
      <c r="D10616" t="inlineStr">
        <is>
          <t>VÄSTERNORRLANDS LÄN</t>
        </is>
      </c>
      <c r="E10616" t="inlineStr">
        <is>
          <t>SOLLEFTEÅ</t>
        </is>
      </c>
      <c r="F10616" t="inlineStr">
        <is>
          <t>SCA</t>
        </is>
      </c>
      <c r="G10616" t="n">
        <v>3.6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9831-2026</t>
        </is>
      </c>
      <c r="B10617" s="1" t="n">
        <v>46072.65712962963</v>
      </c>
      <c r="C10617" s="1" t="n">
        <v>46093</v>
      </c>
      <c r="D10617" t="inlineStr">
        <is>
          <t>VÄSTERNORRLANDS LÄN</t>
        </is>
      </c>
      <c r="E10617" t="inlineStr">
        <is>
          <t>ÖRNSKÖLDSVIK</t>
        </is>
      </c>
      <c r="F10617" t="inlineStr">
        <is>
          <t>SCA</t>
        </is>
      </c>
      <c r="G10617" t="n">
        <v>22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9389-2026</t>
        </is>
      </c>
      <c r="B10618" s="1" t="n">
        <v>46071</v>
      </c>
      <c r="C10618" s="1" t="n">
        <v>46093</v>
      </c>
      <c r="D10618" t="inlineStr">
        <is>
          <t>VÄSTERNORRLANDS LÄN</t>
        </is>
      </c>
      <c r="E10618" t="inlineStr">
        <is>
          <t>KRAMFORS</t>
        </is>
      </c>
      <c r="G10618" t="n">
        <v>6.1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21478-2025</t>
        </is>
      </c>
      <c r="B10619" s="1" t="n">
        <v>45782.59412037037</v>
      </c>
      <c r="C10619" s="1" t="n">
        <v>46093</v>
      </c>
      <c r="D10619" t="inlineStr">
        <is>
          <t>VÄSTERNORRLANDS LÄN</t>
        </is>
      </c>
      <c r="E10619" t="inlineStr">
        <is>
          <t>SUNDSVALL</t>
        </is>
      </c>
      <c r="F10619" t="inlineStr">
        <is>
          <t>Naturvårdsverket</t>
        </is>
      </c>
      <c r="G10619" t="n">
        <v>5.6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21387-2025</t>
        </is>
      </c>
      <c r="B10620" s="1" t="n">
        <v>45782.47387731481</v>
      </c>
      <c r="C10620" s="1" t="n">
        <v>46093</v>
      </c>
      <c r="D10620" t="inlineStr">
        <is>
          <t>VÄSTERNORRLANDS LÄN</t>
        </is>
      </c>
      <c r="E10620" t="inlineStr">
        <is>
          <t>ÖRNSKÖLDSVIK</t>
        </is>
      </c>
      <c r="F10620" t="inlineStr">
        <is>
          <t>Holmen skog AB</t>
        </is>
      </c>
      <c r="G10620" t="n">
        <v>1.4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1008-2026</t>
        </is>
      </c>
      <c r="B10621" s="1" t="n">
        <v>46030.59880787037</v>
      </c>
      <c r="C10621" s="1" t="n">
        <v>46093</v>
      </c>
      <c r="D10621" t="inlineStr">
        <is>
          <t>VÄSTERNORRLANDS LÄN</t>
        </is>
      </c>
      <c r="E10621" t="inlineStr">
        <is>
          <t>SUNDSVALL</t>
        </is>
      </c>
      <c r="G10621" t="n">
        <v>0.8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9477-2026</t>
        </is>
      </c>
      <c r="B10622" s="1" t="n">
        <v>46071.52377314815</v>
      </c>
      <c r="C10622" s="1" t="n">
        <v>46093</v>
      </c>
      <c r="D10622" t="inlineStr">
        <is>
          <t>VÄSTERNORRLANDS LÄN</t>
        </is>
      </c>
      <c r="E10622" t="inlineStr">
        <is>
          <t>ÖRNSKÖLDSVIK</t>
        </is>
      </c>
      <c r="G10622" t="n">
        <v>2.5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21263-2025</t>
        </is>
      </c>
      <c r="B10623" s="1" t="n">
        <v>45779.61233796296</v>
      </c>
      <c r="C10623" s="1" t="n">
        <v>46093</v>
      </c>
      <c r="D10623" t="inlineStr">
        <is>
          <t>VÄSTERNORRLANDS LÄN</t>
        </is>
      </c>
      <c r="E10623" t="inlineStr">
        <is>
          <t>ÅNGE</t>
        </is>
      </c>
      <c r="F10623" t="inlineStr">
        <is>
          <t>Sveaskog</t>
        </is>
      </c>
      <c r="G10623" t="n">
        <v>14.9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21392-2025</t>
        </is>
      </c>
      <c r="B10624" s="1" t="n">
        <v>45782.47944444444</v>
      </c>
      <c r="C10624" s="1" t="n">
        <v>46093</v>
      </c>
      <c r="D10624" t="inlineStr">
        <is>
          <t>VÄSTERNORRLANDS LÄN</t>
        </is>
      </c>
      <c r="E10624" t="inlineStr">
        <is>
          <t>ÖRNSKÖLDSVIK</t>
        </is>
      </c>
      <c r="G10624" t="n">
        <v>8.4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21174-2025</t>
        </is>
      </c>
      <c r="B10625" s="1" t="n">
        <v>45779.42746527777</v>
      </c>
      <c r="C10625" s="1" t="n">
        <v>46093</v>
      </c>
      <c r="D10625" t="inlineStr">
        <is>
          <t>VÄSTERNORRLANDS LÄN</t>
        </is>
      </c>
      <c r="E10625" t="inlineStr">
        <is>
          <t>ÅNGE</t>
        </is>
      </c>
      <c r="F10625" t="inlineStr">
        <is>
          <t>SCA</t>
        </is>
      </c>
      <c r="G10625" t="n">
        <v>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1590-2026</t>
        </is>
      </c>
      <c r="B10626" s="1" t="n">
        <v>46034.44326388889</v>
      </c>
      <c r="C10626" s="1" t="n">
        <v>46093</v>
      </c>
      <c r="D10626" t="inlineStr">
        <is>
          <t>VÄSTERNORRLANDS LÄN</t>
        </is>
      </c>
      <c r="E10626" t="inlineStr">
        <is>
          <t>KRAMFORS</t>
        </is>
      </c>
      <c r="G10626" t="n">
        <v>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28659-2024</t>
        </is>
      </c>
      <c r="B10627" s="1" t="n">
        <v>45478.47100694444</v>
      </c>
      <c r="C10627" s="1" t="n">
        <v>46093</v>
      </c>
      <c r="D10627" t="inlineStr">
        <is>
          <t>VÄSTERNORRLANDS LÄN</t>
        </is>
      </c>
      <c r="E10627" t="inlineStr">
        <is>
          <t>ÖRNSKÖLDSVIK</t>
        </is>
      </c>
      <c r="F10627" t="inlineStr">
        <is>
          <t>Holmen skog AB</t>
        </is>
      </c>
      <c r="G10627" t="n">
        <v>2.2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1648-2026</t>
        </is>
      </c>
      <c r="B10628" s="1" t="n">
        <v>46034.52064814815</v>
      </c>
      <c r="C10628" s="1" t="n">
        <v>46093</v>
      </c>
      <c r="D10628" t="inlineStr">
        <is>
          <t>VÄSTERNORRLANDS LÄN</t>
        </is>
      </c>
      <c r="E10628" t="inlineStr">
        <is>
          <t>SUNDSVALL</t>
        </is>
      </c>
      <c r="G10628" t="n">
        <v>3.4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21249-2025</t>
        </is>
      </c>
      <c r="B10629" s="1" t="n">
        <v>45779.57402777778</v>
      </c>
      <c r="C10629" s="1" t="n">
        <v>46093</v>
      </c>
      <c r="D10629" t="inlineStr">
        <is>
          <t>VÄSTERNORRLANDS LÄN</t>
        </is>
      </c>
      <c r="E10629" t="inlineStr">
        <is>
          <t>ÖRNSKÖLDSVIK</t>
        </is>
      </c>
      <c r="G10629" t="n">
        <v>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21251-2025</t>
        </is>
      </c>
      <c r="B10630" s="1" t="n">
        <v>45779.57417824074</v>
      </c>
      <c r="C10630" s="1" t="n">
        <v>46093</v>
      </c>
      <c r="D10630" t="inlineStr">
        <is>
          <t>VÄSTERNORRLANDS LÄN</t>
        </is>
      </c>
      <c r="E10630" t="inlineStr">
        <is>
          <t>ÅNGE</t>
        </is>
      </c>
      <c r="F10630" t="inlineStr">
        <is>
          <t>SCA</t>
        </is>
      </c>
      <c r="G10630" t="n">
        <v>1.9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21269-2025</t>
        </is>
      </c>
      <c r="B10631" s="1" t="n">
        <v>45779.62265046296</v>
      </c>
      <c r="C10631" s="1" t="n">
        <v>46093</v>
      </c>
      <c r="D10631" t="inlineStr">
        <is>
          <t>VÄSTERNORRLANDS LÄN</t>
        </is>
      </c>
      <c r="E10631" t="inlineStr">
        <is>
          <t>SOLLEFTEÅ</t>
        </is>
      </c>
      <c r="G10631" t="n">
        <v>3.7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6269-2024</t>
        </is>
      </c>
      <c r="B10632" s="1" t="n">
        <v>45337</v>
      </c>
      <c r="C10632" s="1" t="n">
        <v>46093</v>
      </c>
      <c r="D10632" t="inlineStr">
        <is>
          <t>VÄSTERNORRLANDS LÄN</t>
        </is>
      </c>
      <c r="E10632" t="inlineStr">
        <is>
          <t>SUNDSVALL</t>
        </is>
      </c>
      <c r="G10632" t="n">
        <v>9.699999999999999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8946-2026</t>
        </is>
      </c>
      <c r="B10633" s="1" t="n">
        <v>46069</v>
      </c>
      <c r="C10633" s="1" t="n">
        <v>46093</v>
      </c>
      <c r="D10633" t="inlineStr">
        <is>
          <t>VÄSTERNORRLANDS LÄN</t>
        </is>
      </c>
      <c r="E10633" t="inlineStr">
        <is>
          <t>KRAMFORS</t>
        </is>
      </c>
      <c r="G10633" t="n">
        <v>2.5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9632-2026</t>
        </is>
      </c>
      <c r="B10634" s="1" t="n">
        <v>46072</v>
      </c>
      <c r="C10634" s="1" t="n">
        <v>46093</v>
      </c>
      <c r="D10634" t="inlineStr">
        <is>
          <t>VÄSTERNORRLANDS LÄN</t>
        </is>
      </c>
      <c r="E10634" t="inlineStr">
        <is>
          <t>TIMRÅ</t>
        </is>
      </c>
      <c r="G10634" t="n">
        <v>19.5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9636-2026</t>
        </is>
      </c>
      <c r="B10635" s="1" t="n">
        <v>46072</v>
      </c>
      <c r="C10635" s="1" t="n">
        <v>46093</v>
      </c>
      <c r="D10635" t="inlineStr">
        <is>
          <t>VÄSTERNORRLANDS LÄN</t>
        </is>
      </c>
      <c r="E10635" t="inlineStr">
        <is>
          <t>TIMRÅ</t>
        </is>
      </c>
      <c r="G10635" t="n">
        <v>2.2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9657-2026</t>
        </is>
      </c>
      <c r="B10636" s="1" t="n">
        <v>46072</v>
      </c>
      <c r="C10636" s="1" t="n">
        <v>46093</v>
      </c>
      <c r="D10636" t="inlineStr">
        <is>
          <t>VÄSTERNORRLANDS LÄN</t>
        </is>
      </c>
      <c r="E10636" t="inlineStr">
        <is>
          <t>HÄRNÖSAND</t>
        </is>
      </c>
      <c r="G10636" t="n">
        <v>1.2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1375-2026</t>
        </is>
      </c>
      <c r="B10637" s="1" t="n">
        <v>46031.61520833334</v>
      </c>
      <c r="C10637" s="1" t="n">
        <v>46093</v>
      </c>
      <c r="D10637" t="inlineStr">
        <is>
          <t>VÄSTERNORRLANDS LÄN</t>
        </is>
      </c>
      <c r="E10637" t="inlineStr">
        <is>
          <t>ÅNGE</t>
        </is>
      </c>
      <c r="F10637" t="inlineStr">
        <is>
          <t>SCA</t>
        </is>
      </c>
      <c r="G10637" t="n">
        <v>1.1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2161-2026</t>
        </is>
      </c>
      <c r="B10638" s="1" t="n">
        <v>46036</v>
      </c>
      <c r="C10638" s="1" t="n">
        <v>46093</v>
      </c>
      <c r="D10638" t="inlineStr">
        <is>
          <t>VÄSTERNORRLANDS LÄN</t>
        </is>
      </c>
      <c r="E10638" t="inlineStr">
        <is>
          <t>KRAMFORS</t>
        </is>
      </c>
      <c r="G10638" t="n">
        <v>7.5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3428-2025</t>
        </is>
      </c>
      <c r="B10639" s="1" t="n">
        <v>45680</v>
      </c>
      <c r="C10639" s="1" t="n">
        <v>46093</v>
      </c>
      <c r="D10639" t="inlineStr">
        <is>
          <t>VÄSTERNORRLANDS LÄN</t>
        </is>
      </c>
      <c r="E10639" t="inlineStr">
        <is>
          <t>SUNDSVALL</t>
        </is>
      </c>
      <c r="F10639" t="inlineStr">
        <is>
          <t>SCA</t>
        </is>
      </c>
      <c r="G10639" t="n">
        <v>2.8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9918-2026</t>
        </is>
      </c>
      <c r="B10640" s="1" t="n">
        <v>46073.43922453704</v>
      </c>
      <c r="C10640" s="1" t="n">
        <v>46093</v>
      </c>
      <c r="D10640" t="inlineStr">
        <is>
          <t>VÄSTERNORRLANDS LÄN</t>
        </is>
      </c>
      <c r="E10640" t="inlineStr">
        <is>
          <t>SUNDSVALL</t>
        </is>
      </c>
      <c r="G10640" t="n">
        <v>2.8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21859-2025</t>
        </is>
      </c>
      <c r="B10641" s="1" t="n">
        <v>45784.36427083334</v>
      </c>
      <c r="C10641" s="1" t="n">
        <v>46093</v>
      </c>
      <c r="D10641" t="inlineStr">
        <is>
          <t>VÄSTERNORRLANDS LÄN</t>
        </is>
      </c>
      <c r="E10641" t="inlineStr">
        <is>
          <t>ÖRNSKÖLDSVIK</t>
        </is>
      </c>
      <c r="F10641" t="inlineStr">
        <is>
          <t>Holmen skog AB</t>
        </is>
      </c>
      <c r="G10641" t="n">
        <v>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9882-2026</t>
        </is>
      </c>
      <c r="B10642" s="1" t="n">
        <v>46073.34444444445</v>
      </c>
      <c r="C10642" s="1" t="n">
        <v>46093</v>
      </c>
      <c r="D10642" t="inlineStr">
        <is>
          <t>VÄSTERNORRLANDS LÄN</t>
        </is>
      </c>
      <c r="E10642" t="inlineStr">
        <is>
          <t>ÅNGE</t>
        </is>
      </c>
      <c r="F10642" t="inlineStr">
        <is>
          <t>SCA</t>
        </is>
      </c>
      <c r="G10642" t="n">
        <v>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21897-2025</t>
        </is>
      </c>
      <c r="B10643" s="1" t="n">
        <v>45784.45376157408</v>
      </c>
      <c r="C10643" s="1" t="n">
        <v>46093</v>
      </c>
      <c r="D10643" t="inlineStr">
        <is>
          <t>VÄSTERNORRLANDS LÄN</t>
        </is>
      </c>
      <c r="E10643" t="inlineStr">
        <is>
          <t>SOLLEFTEÅ</t>
        </is>
      </c>
      <c r="G10643" t="n">
        <v>3.8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21712-2025</t>
        </is>
      </c>
      <c r="B10644" s="1" t="n">
        <v>45783.53210648148</v>
      </c>
      <c r="C10644" s="1" t="n">
        <v>46093</v>
      </c>
      <c r="D10644" t="inlineStr">
        <is>
          <t>VÄSTERNORRLANDS LÄN</t>
        </is>
      </c>
      <c r="E10644" t="inlineStr">
        <is>
          <t>ÅNGE</t>
        </is>
      </c>
      <c r="F10644" t="inlineStr">
        <is>
          <t>SCA</t>
        </is>
      </c>
      <c r="G10644" t="n">
        <v>2.9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21699-2025</t>
        </is>
      </c>
      <c r="B10645" s="1" t="n">
        <v>45783.51076388889</v>
      </c>
      <c r="C10645" s="1" t="n">
        <v>46093</v>
      </c>
      <c r="D10645" t="inlineStr">
        <is>
          <t>VÄSTERNORRLANDS LÄN</t>
        </is>
      </c>
      <c r="E10645" t="inlineStr">
        <is>
          <t>SUNDSVALL</t>
        </is>
      </c>
      <c r="F10645" t="inlineStr">
        <is>
          <t>SCA</t>
        </is>
      </c>
      <c r="G10645" t="n">
        <v>1.6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9162-2026</t>
        </is>
      </c>
      <c r="B10646" s="1" t="n">
        <v>46070</v>
      </c>
      <c r="C10646" s="1" t="n">
        <v>46093</v>
      </c>
      <c r="D10646" t="inlineStr">
        <is>
          <t>VÄSTERNORRLANDS LÄN</t>
        </is>
      </c>
      <c r="E10646" t="inlineStr">
        <is>
          <t>HÄRNÖSAND</t>
        </is>
      </c>
      <c r="G10646" t="n">
        <v>0.2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9985-2026</t>
        </is>
      </c>
      <c r="B10647" s="1" t="n">
        <v>46073.5425</v>
      </c>
      <c r="C10647" s="1" t="n">
        <v>46093</v>
      </c>
      <c r="D10647" t="inlineStr">
        <is>
          <t>VÄSTERNORRLANDS LÄN</t>
        </is>
      </c>
      <c r="E10647" t="inlineStr">
        <is>
          <t>SUNDSVALL</t>
        </is>
      </c>
      <c r="F10647" t="inlineStr">
        <is>
          <t>Kyrkan</t>
        </is>
      </c>
      <c r="G10647" t="n">
        <v>2.1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10142-2026</t>
        </is>
      </c>
      <c r="B10648" s="1" t="n">
        <v>46076.34581018519</v>
      </c>
      <c r="C10648" s="1" t="n">
        <v>46093</v>
      </c>
      <c r="D10648" t="inlineStr">
        <is>
          <t>VÄSTERNORRLANDS LÄN</t>
        </is>
      </c>
      <c r="E10648" t="inlineStr">
        <is>
          <t>KRAMFORS</t>
        </is>
      </c>
      <c r="G10648" t="n">
        <v>4.5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1253-2026</t>
        </is>
      </c>
      <c r="B10649" s="1" t="n">
        <v>46031.43939814815</v>
      </c>
      <c r="C10649" s="1" t="n">
        <v>46093</v>
      </c>
      <c r="D10649" t="inlineStr">
        <is>
          <t>VÄSTERNORRLANDS LÄN</t>
        </is>
      </c>
      <c r="E10649" t="inlineStr">
        <is>
          <t>ÖRNSKÖLDSVIK</t>
        </is>
      </c>
      <c r="G10649" t="n">
        <v>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52237-2023</t>
        </is>
      </c>
      <c r="B10650" s="1" t="n">
        <v>45217</v>
      </c>
      <c r="C10650" s="1" t="n">
        <v>46093</v>
      </c>
      <c r="D10650" t="inlineStr">
        <is>
          <t>VÄSTERNORRLANDS LÄN</t>
        </is>
      </c>
      <c r="E10650" t="inlineStr">
        <is>
          <t>SUNDSVALL</t>
        </is>
      </c>
      <c r="G10650" t="n">
        <v>8.800000000000001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1280-2026</t>
        </is>
      </c>
      <c r="B10651" s="1" t="n">
        <v>46031.47851851852</v>
      </c>
      <c r="C10651" s="1" t="n">
        <v>46093</v>
      </c>
      <c r="D10651" t="inlineStr">
        <is>
          <t>VÄSTERNORRLANDS LÄN</t>
        </is>
      </c>
      <c r="E10651" t="inlineStr">
        <is>
          <t>ÅNGE</t>
        </is>
      </c>
      <c r="G10651" t="n">
        <v>9.5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2539-2025</t>
        </is>
      </c>
      <c r="B10652" s="1" t="n">
        <v>45674.61581018518</v>
      </c>
      <c r="C10652" s="1" t="n">
        <v>46093</v>
      </c>
      <c r="D10652" t="inlineStr">
        <is>
          <t>VÄSTERNORRLANDS LÄN</t>
        </is>
      </c>
      <c r="E10652" t="inlineStr">
        <is>
          <t>ÅNGE</t>
        </is>
      </c>
      <c r="F10652" t="inlineStr">
        <is>
          <t>SCA</t>
        </is>
      </c>
      <c r="G10652" t="n">
        <v>0.8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63748-2023</t>
        </is>
      </c>
      <c r="B10653" s="1" t="n">
        <v>45277</v>
      </c>
      <c r="C10653" s="1" t="n">
        <v>46093</v>
      </c>
      <c r="D10653" t="inlineStr">
        <is>
          <t>VÄSTERNORRLANDS LÄN</t>
        </is>
      </c>
      <c r="E10653" t="inlineStr">
        <is>
          <t>ÖRNSKÖLDSVIK</t>
        </is>
      </c>
      <c r="F10653" t="inlineStr">
        <is>
          <t>Övriga Aktiebolag</t>
        </is>
      </c>
      <c r="G10653" t="n">
        <v>4.6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22187-2024</t>
        </is>
      </c>
      <c r="B10654" s="1" t="n">
        <v>45446.35222222222</v>
      </c>
      <c r="C10654" s="1" t="n">
        <v>46093</v>
      </c>
      <c r="D10654" t="inlineStr">
        <is>
          <t>VÄSTERNORRLANDS LÄN</t>
        </is>
      </c>
      <c r="E10654" t="inlineStr">
        <is>
          <t>ÅNGE</t>
        </is>
      </c>
      <c r="G10654" t="n">
        <v>2.3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1341-2026</t>
        </is>
      </c>
      <c r="B10655" s="1" t="n">
        <v>46031.57703703704</v>
      </c>
      <c r="C10655" s="1" t="n">
        <v>46093</v>
      </c>
      <c r="D10655" t="inlineStr">
        <is>
          <t>VÄSTERNORRLANDS LÄN</t>
        </is>
      </c>
      <c r="E10655" t="inlineStr">
        <is>
          <t>SUNDSVALL</t>
        </is>
      </c>
      <c r="G10655" t="n">
        <v>2.4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21883-2025</t>
        </is>
      </c>
      <c r="B10656" s="1" t="n">
        <v>45784.41361111111</v>
      </c>
      <c r="C10656" s="1" t="n">
        <v>46093</v>
      </c>
      <c r="D10656" t="inlineStr">
        <is>
          <t>VÄSTERNORRLANDS LÄN</t>
        </is>
      </c>
      <c r="E10656" t="inlineStr">
        <is>
          <t>ÅNGE</t>
        </is>
      </c>
      <c r="G10656" t="n">
        <v>1.7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8337-2025</t>
        </is>
      </c>
      <c r="B10657" s="1" t="n">
        <v>45708.6597337963</v>
      </c>
      <c r="C10657" s="1" t="n">
        <v>46093</v>
      </c>
      <c r="D10657" t="inlineStr">
        <is>
          <t>VÄSTERNORRLANDS LÄN</t>
        </is>
      </c>
      <c r="E10657" t="inlineStr">
        <is>
          <t>SOLLEFTEÅ</t>
        </is>
      </c>
      <c r="G10657" t="n">
        <v>6.2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2277-2026</t>
        </is>
      </c>
      <c r="B10658" s="1" t="n">
        <v>46034</v>
      </c>
      <c r="C10658" s="1" t="n">
        <v>46093</v>
      </c>
      <c r="D10658" t="inlineStr">
        <is>
          <t>VÄSTERNORRLANDS LÄN</t>
        </is>
      </c>
      <c r="E10658" t="inlineStr">
        <is>
          <t>SUNDSVALL</t>
        </is>
      </c>
      <c r="G10658" t="n">
        <v>1.4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2283-2026</t>
        </is>
      </c>
      <c r="B10659" s="1" t="n">
        <v>46034</v>
      </c>
      <c r="C10659" s="1" t="n">
        <v>46093</v>
      </c>
      <c r="D10659" t="inlineStr">
        <is>
          <t>VÄSTERNORRLANDS LÄN</t>
        </is>
      </c>
      <c r="E10659" t="inlineStr">
        <is>
          <t>SUNDSVALL</t>
        </is>
      </c>
      <c r="G10659" t="n">
        <v>1.7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21596-2025</t>
        </is>
      </c>
      <c r="B10660" s="1" t="n">
        <v>45783.34482638889</v>
      </c>
      <c r="C10660" s="1" t="n">
        <v>46093</v>
      </c>
      <c r="D10660" t="inlineStr">
        <is>
          <t>VÄSTERNORRLANDS LÄN</t>
        </is>
      </c>
      <c r="E10660" t="inlineStr">
        <is>
          <t>TIMRÅ</t>
        </is>
      </c>
      <c r="F10660" t="inlineStr">
        <is>
          <t>SCA</t>
        </is>
      </c>
      <c r="G10660" t="n">
        <v>2.5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21597-2025</t>
        </is>
      </c>
      <c r="B10661" s="1" t="n">
        <v>45783.34493055556</v>
      </c>
      <c r="C10661" s="1" t="n">
        <v>46093</v>
      </c>
      <c r="D10661" t="inlineStr">
        <is>
          <t>VÄSTERNORRLANDS LÄN</t>
        </is>
      </c>
      <c r="E10661" t="inlineStr">
        <is>
          <t>ÅNGE</t>
        </is>
      </c>
      <c r="F10661" t="inlineStr">
        <is>
          <t>SCA</t>
        </is>
      </c>
      <c r="G10661" t="n">
        <v>3.5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21645-2025</t>
        </is>
      </c>
      <c r="B10662" s="1" t="n">
        <v>45783</v>
      </c>
      <c r="C10662" s="1" t="n">
        <v>46093</v>
      </c>
      <c r="D10662" t="inlineStr">
        <is>
          <t>VÄSTERNORRLANDS LÄN</t>
        </is>
      </c>
      <c r="E10662" t="inlineStr">
        <is>
          <t>KRAMFORS</t>
        </is>
      </c>
      <c r="G10662" t="n">
        <v>2.3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21665-2025</t>
        </is>
      </c>
      <c r="B10663" s="1" t="n">
        <v>45783.45895833334</v>
      </c>
      <c r="C10663" s="1" t="n">
        <v>46093</v>
      </c>
      <c r="D10663" t="inlineStr">
        <is>
          <t>VÄSTERNORRLANDS LÄN</t>
        </is>
      </c>
      <c r="E10663" t="inlineStr">
        <is>
          <t>SUNDSVALL</t>
        </is>
      </c>
      <c r="G10663" t="n">
        <v>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21983-2025</t>
        </is>
      </c>
      <c r="B10664" s="1" t="n">
        <v>45784.65678240741</v>
      </c>
      <c r="C10664" s="1" t="n">
        <v>46093</v>
      </c>
      <c r="D10664" t="inlineStr">
        <is>
          <t>VÄSTERNORRLANDS LÄN</t>
        </is>
      </c>
      <c r="E10664" t="inlineStr">
        <is>
          <t>SOLLEFTEÅ</t>
        </is>
      </c>
      <c r="F10664" t="inlineStr">
        <is>
          <t>SCA</t>
        </is>
      </c>
      <c r="G10664" t="n">
        <v>3.7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21998-2025</t>
        </is>
      </c>
      <c r="B10665" s="1" t="n">
        <v>45784.69828703703</v>
      </c>
      <c r="C10665" s="1" t="n">
        <v>46093</v>
      </c>
      <c r="D10665" t="inlineStr">
        <is>
          <t>VÄSTERNORRLANDS LÄN</t>
        </is>
      </c>
      <c r="E10665" t="inlineStr">
        <is>
          <t>TIMRÅ</t>
        </is>
      </c>
      <c r="F10665" t="inlineStr">
        <is>
          <t>SCA</t>
        </is>
      </c>
      <c r="G10665" t="n">
        <v>0.6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25867-2024</t>
        </is>
      </c>
      <c r="B10666" s="1" t="n">
        <v>45463</v>
      </c>
      <c r="C10666" s="1" t="n">
        <v>46093</v>
      </c>
      <c r="D10666" t="inlineStr">
        <is>
          <t>VÄSTERNORRLANDS LÄN</t>
        </is>
      </c>
      <c r="E10666" t="inlineStr">
        <is>
          <t>ÅNGE</t>
        </is>
      </c>
      <c r="G10666" t="n">
        <v>2.7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17669-2023</t>
        </is>
      </c>
      <c r="B10667" s="1" t="n">
        <v>45036.94457175926</v>
      </c>
      <c r="C10667" s="1" t="n">
        <v>46093</v>
      </c>
      <c r="D10667" t="inlineStr">
        <is>
          <t>VÄSTERNORRLANDS LÄN</t>
        </is>
      </c>
      <c r="E10667" t="inlineStr">
        <is>
          <t>ÅNGE</t>
        </is>
      </c>
      <c r="F10667" t="inlineStr">
        <is>
          <t>SCA</t>
        </is>
      </c>
      <c r="G10667" t="n">
        <v>3.5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29395-2023</t>
        </is>
      </c>
      <c r="B10668" s="1" t="n">
        <v>45106.4359837963</v>
      </c>
      <c r="C10668" s="1" t="n">
        <v>46093</v>
      </c>
      <c r="D10668" t="inlineStr">
        <is>
          <t>VÄSTERNORRLANDS LÄN</t>
        </is>
      </c>
      <c r="E10668" t="inlineStr">
        <is>
          <t>ÅNGE</t>
        </is>
      </c>
      <c r="G10668" t="n">
        <v>3.5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10053-2026</t>
        </is>
      </c>
      <c r="B10669" s="1" t="n">
        <v>46073.61542824074</v>
      </c>
      <c r="C10669" s="1" t="n">
        <v>46093</v>
      </c>
      <c r="D10669" t="inlineStr">
        <is>
          <t>VÄSTERNORRLANDS LÄN</t>
        </is>
      </c>
      <c r="E10669" t="inlineStr">
        <is>
          <t>SOLLEFTEÅ</t>
        </is>
      </c>
      <c r="F10669" t="inlineStr">
        <is>
          <t>SCA</t>
        </is>
      </c>
      <c r="G10669" t="n">
        <v>2.2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7107-2024</t>
        </is>
      </c>
      <c r="B10670" s="1" t="n">
        <v>45343</v>
      </c>
      <c r="C10670" s="1" t="n">
        <v>46093</v>
      </c>
      <c r="D10670" t="inlineStr">
        <is>
          <t>VÄSTERNORRLANDS LÄN</t>
        </is>
      </c>
      <c r="E10670" t="inlineStr">
        <is>
          <t>SOLLEFTEÅ</t>
        </is>
      </c>
      <c r="G10670" t="n">
        <v>4.4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21666-2025</t>
        </is>
      </c>
      <c r="B10671" s="1" t="n">
        <v>45783.46287037037</v>
      </c>
      <c r="C10671" s="1" t="n">
        <v>46093</v>
      </c>
      <c r="D10671" t="inlineStr">
        <is>
          <t>VÄSTERNORRLANDS LÄN</t>
        </is>
      </c>
      <c r="E10671" t="inlineStr">
        <is>
          <t>ÖRNSKÖLDSVIK</t>
        </is>
      </c>
      <c r="G10671" t="n">
        <v>4.2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21862-2025</t>
        </is>
      </c>
      <c r="B10672" s="1" t="n">
        <v>45784.36519675926</v>
      </c>
      <c r="C10672" s="1" t="n">
        <v>46093</v>
      </c>
      <c r="D10672" t="inlineStr">
        <is>
          <t>VÄSTERNORRLANDS LÄN</t>
        </is>
      </c>
      <c r="E10672" t="inlineStr">
        <is>
          <t>ÅNGE</t>
        </is>
      </c>
      <c r="F10672" t="inlineStr">
        <is>
          <t>SCA</t>
        </is>
      </c>
      <c r="G10672" t="n">
        <v>4.6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1270-2026</t>
        </is>
      </c>
      <c r="B10673" s="1" t="n">
        <v>46031.46538194444</v>
      </c>
      <c r="C10673" s="1" t="n">
        <v>46093</v>
      </c>
      <c r="D10673" t="inlineStr">
        <is>
          <t>VÄSTERNORRLANDS LÄN</t>
        </is>
      </c>
      <c r="E10673" t="inlineStr">
        <is>
          <t>ÅNGE</t>
        </is>
      </c>
      <c r="G10673" t="n">
        <v>2.2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21898-2025</t>
        </is>
      </c>
      <c r="B10674" s="1" t="n">
        <v>45784.45386574074</v>
      </c>
      <c r="C10674" s="1" t="n">
        <v>46093</v>
      </c>
      <c r="D10674" t="inlineStr">
        <is>
          <t>VÄSTERNORRLANDS LÄN</t>
        </is>
      </c>
      <c r="E10674" t="inlineStr">
        <is>
          <t>SOLLEFTEÅ</t>
        </is>
      </c>
      <c r="G10674" t="n">
        <v>6.8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21908-2025</t>
        </is>
      </c>
      <c r="B10675" s="1" t="n">
        <v>45784.46751157408</v>
      </c>
      <c r="C10675" s="1" t="n">
        <v>46093</v>
      </c>
      <c r="D10675" t="inlineStr">
        <is>
          <t>VÄSTERNORRLANDS LÄN</t>
        </is>
      </c>
      <c r="E10675" t="inlineStr">
        <is>
          <t>ÖRNSKÖLDSVIK</t>
        </is>
      </c>
      <c r="G10675" t="n">
        <v>1.7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5841-2026</t>
        </is>
      </c>
      <c r="B10676" s="1" t="n">
        <v>46052</v>
      </c>
      <c r="C10676" s="1" t="n">
        <v>46093</v>
      </c>
      <c r="D10676" t="inlineStr">
        <is>
          <t>VÄSTERNORRLANDS LÄN</t>
        </is>
      </c>
      <c r="E10676" t="inlineStr">
        <is>
          <t>HÄRNÖSAND</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9932-2026</t>
        </is>
      </c>
      <c r="B10677" s="1" t="n">
        <v>46073.45615740741</v>
      </c>
      <c r="C10677" s="1" t="n">
        <v>46093</v>
      </c>
      <c r="D10677" t="inlineStr">
        <is>
          <t>VÄSTERNORRLANDS LÄN</t>
        </is>
      </c>
      <c r="E10677" t="inlineStr">
        <is>
          <t>SUNDSVALL</t>
        </is>
      </c>
      <c r="G10677" t="n">
        <v>4.3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21896-2025</t>
        </is>
      </c>
      <c r="B10678" s="1" t="n">
        <v>45784.45366898148</v>
      </c>
      <c r="C10678" s="1" t="n">
        <v>46093</v>
      </c>
      <c r="D10678" t="inlineStr">
        <is>
          <t>VÄSTERNORRLANDS LÄN</t>
        </is>
      </c>
      <c r="E10678" t="inlineStr">
        <is>
          <t>SOLLEFTEÅ</t>
        </is>
      </c>
      <c r="G10678" t="n">
        <v>16.1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9924-2026</t>
        </is>
      </c>
      <c r="B10679" s="1" t="n">
        <v>46073.44850694444</v>
      </c>
      <c r="C10679" s="1" t="n">
        <v>46093</v>
      </c>
      <c r="D10679" t="inlineStr">
        <is>
          <t>VÄSTERNORRLANDS LÄN</t>
        </is>
      </c>
      <c r="E10679" t="inlineStr">
        <is>
          <t>SOLLEFTEÅ</t>
        </is>
      </c>
      <c r="F10679" t="inlineStr">
        <is>
          <t>SCA</t>
        </is>
      </c>
      <c r="G10679" t="n">
        <v>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21982-2025</t>
        </is>
      </c>
      <c r="B10680" s="1" t="n">
        <v>45784.65660879629</v>
      </c>
      <c r="C10680" s="1" t="n">
        <v>46093</v>
      </c>
      <c r="D10680" t="inlineStr">
        <is>
          <t>VÄSTERNORRLANDS LÄN</t>
        </is>
      </c>
      <c r="E10680" t="inlineStr">
        <is>
          <t>ÅNGE</t>
        </is>
      </c>
      <c r="F10680" t="inlineStr">
        <is>
          <t>SCA</t>
        </is>
      </c>
      <c r="G10680" t="n">
        <v>7.6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9634-2026</t>
        </is>
      </c>
      <c r="B10681" s="1" t="n">
        <v>46072</v>
      </c>
      <c r="C10681" s="1" t="n">
        <v>46093</v>
      </c>
      <c r="D10681" t="inlineStr">
        <is>
          <t>VÄSTERNORRLANDS LÄN</t>
        </is>
      </c>
      <c r="E10681" t="inlineStr">
        <is>
          <t>TIMRÅ</t>
        </is>
      </c>
      <c r="G10681" t="n">
        <v>5.6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9638-2026</t>
        </is>
      </c>
      <c r="B10682" s="1" t="n">
        <v>46072</v>
      </c>
      <c r="C10682" s="1" t="n">
        <v>46093</v>
      </c>
      <c r="D10682" t="inlineStr">
        <is>
          <t>VÄSTERNORRLANDS LÄN</t>
        </is>
      </c>
      <c r="E10682" t="inlineStr">
        <is>
          <t>TIMRÅ</t>
        </is>
      </c>
      <c r="G10682" t="n">
        <v>2.6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9642-2026</t>
        </is>
      </c>
      <c r="B10683" s="1" t="n">
        <v>46072</v>
      </c>
      <c r="C10683" s="1" t="n">
        <v>46093</v>
      </c>
      <c r="D10683" t="inlineStr">
        <is>
          <t>VÄSTERNORRLANDS LÄN</t>
        </is>
      </c>
      <c r="E10683" t="inlineStr">
        <is>
          <t>HÄRNÖSAND</t>
        </is>
      </c>
      <c r="G10683" t="n">
        <v>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9656-2026</t>
        </is>
      </c>
      <c r="B10684" s="1" t="n">
        <v>46072</v>
      </c>
      <c r="C10684" s="1" t="n">
        <v>46093</v>
      </c>
      <c r="D10684" t="inlineStr">
        <is>
          <t>VÄSTERNORRLANDS LÄN</t>
        </is>
      </c>
      <c r="E10684" t="inlineStr">
        <is>
          <t>HÄRNÖSAND</t>
        </is>
      </c>
      <c r="G10684" t="n">
        <v>4.7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1256-2026</t>
        </is>
      </c>
      <c r="B10685" s="1" t="n">
        <v>46031.44105324074</v>
      </c>
      <c r="C10685" s="1" t="n">
        <v>46093</v>
      </c>
      <c r="D10685" t="inlineStr">
        <is>
          <t>VÄSTERNORRLANDS LÄN</t>
        </is>
      </c>
      <c r="E10685" t="inlineStr">
        <is>
          <t>ÖRNSKÖLDSVIK</t>
        </is>
      </c>
      <c r="F10685" t="inlineStr">
        <is>
          <t>Holmen skog AB</t>
        </is>
      </c>
      <c r="G10685" t="n">
        <v>1.7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1274-2026</t>
        </is>
      </c>
      <c r="B10686" s="1" t="n">
        <v>46031.47092592593</v>
      </c>
      <c r="C10686" s="1" t="n">
        <v>46093</v>
      </c>
      <c r="D10686" t="inlineStr">
        <is>
          <t>VÄSTERNORRLANDS LÄN</t>
        </is>
      </c>
      <c r="E10686" t="inlineStr">
        <is>
          <t>SUNDSVALL</t>
        </is>
      </c>
      <c r="G10686" t="n">
        <v>5.5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54295-2024</t>
        </is>
      </c>
      <c r="B10687" s="1" t="n">
        <v>45617</v>
      </c>
      <c r="C10687" s="1" t="n">
        <v>46093</v>
      </c>
      <c r="D10687" t="inlineStr">
        <is>
          <t>VÄSTERNORRLANDS LÄN</t>
        </is>
      </c>
      <c r="E10687" t="inlineStr">
        <is>
          <t>ÅNGE</t>
        </is>
      </c>
      <c r="G10687" t="n">
        <v>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21338-2024</t>
        </is>
      </c>
      <c r="B10688" s="1" t="n">
        <v>45440.92746527777</v>
      </c>
      <c r="C10688" s="1" t="n">
        <v>46093</v>
      </c>
      <c r="D10688" t="inlineStr">
        <is>
          <t>VÄSTERNORRLANDS LÄN</t>
        </is>
      </c>
      <c r="E10688" t="inlineStr">
        <is>
          <t>SUNDSVALL</t>
        </is>
      </c>
      <c r="G10688" t="n">
        <v>1.9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1547-2026</t>
        </is>
      </c>
      <c r="B10689" s="1" t="n">
        <v>46034.38689814815</v>
      </c>
      <c r="C10689" s="1" t="n">
        <v>46093</v>
      </c>
      <c r="D10689" t="inlineStr">
        <is>
          <t>VÄSTERNORRLANDS LÄN</t>
        </is>
      </c>
      <c r="E10689" t="inlineStr">
        <is>
          <t>ÅNGE</t>
        </is>
      </c>
      <c r="F10689" t="inlineStr">
        <is>
          <t>SCA</t>
        </is>
      </c>
      <c r="G10689" t="n">
        <v>4.3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5878-2026</t>
        </is>
      </c>
      <c r="B10690" s="1" t="n">
        <v>46052</v>
      </c>
      <c r="C10690" s="1" t="n">
        <v>46093</v>
      </c>
      <c r="D10690" t="inlineStr">
        <is>
          <t>VÄSTERNORRLANDS LÄN</t>
        </is>
      </c>
      <c r="E10690" t="inlineStr">
        <is>
          <t>HÄRNÖSAND</t>
        </is>
      </c>
      <c r="G10690" t="n">
        <v>1.4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10089-2026</t>
        </is>
      </c>
      <c r="B10691" s="1" t="n">
        <v>46073.69857638889</v>
      </c>
      <c r="C10691" s="1" t="n">
        <v>46093</v>
      </c>
      <c r="D10691" t="inlineStr">
        <is>
          <t>VÄSTERNORRLANDS LÄN</t>
        </is>
      </c>
      <c r="E10691" t="inlineStr">
        <is>
          <t>SOLLEFTEÅ</t>
        </is>
      </c>
      <c r="F10691" t="inlineStr">
        <is>
          <t>SCA</t>
        </is>
      </c>
      <c r="G10691" t="n">
        <v>2.3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9967-2026</t>
        </is>
      </c>
      <c r="B10692" s="1" t="n">
        <v>46073.51739583333</v>
      </c>
      <c r="C10692" s="1" t="n">
        <v>46093</v>
      </c>
      <c r="D10692" t="inlineStr">
        <is>
          <t>VÄSTERNORRLANDS LÄN</t>
        </is>
      </c>
      <c r="E10692" t="inlineStr">
        <is>
          <t>ÖRNSKÖLDSVIK</t>
        </is>
      </c>
      <c r="G10692" t="n">
        <v>14.4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21686-2025</t>
        </is>
      </c>
      <c r="B10693" s="1" t="n">
        <v>45783.490625</v>
      </c>
      <c r="C10693" s="1" t="n">
        <v>46093</v>
      </c>
      <c r="D10693" t="inlineStr">
        <is>
          <t>VÄSTERNORRLANDS LÄN</t>
        </is>
      </c>
      <c r="E10693" t="inlineStr">
        <is>
          <t>ÅNGE</t>
        </is>
      </c>
      <c r="F10693" t="inlineStr">
        <is>
          <t>SCA</t>
        </is>
      </c>
      <c r="G10693" t="n">
        <v>3.6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28172-2024</t>
        </is>
      </c>
      <c r="B10694" s="1" t="n">
        <v>45476</v>
      </c>
      <c r="C10694" s="1" t="n">
        <v>46093</v>
      </c>
      <c r="D10694" t="inlineStr">
        <is>
          <t>VÄSTERNORRLANDS LÄN</t>
        </is>
      </c>
      <c r="E10694" t="inlineStr">
        <is>
          <t>SUNDSVALL</t>
        </is>
      </c>
      <c r="F10694" t="inlineStr">
        <is>
          <t>Kyrkan</t>
        </is>
      </c>
      <c r="G10694" t="n">
        <v>3.8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21774-2025</t>
        </is>
      </c>
      <c r="B10695" s="1" t="n">
        <v>45783</v>
      </c>
      <c r="C10695" s="1" t="n">
        <v>46093</v>
      </c>
      <c r="D10695" t="inlineStr">
        <is>
          <t>VÄSTERNORRLANDS LÄN</t>
        </is>
      </c>
      <c r="E10695" t="inlineStr">
        <is>
          <t>KRAMFORS</t>
        </is>
      </c>
      <c r="G10695" t="n">
        <v>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21773-2025</t>
        </is>
      </c>
      <c r="B10696" s="1" t="n">
        <v>45783</v>
      </c>
      <c r="C10696" s="1" t="n">
        <v>46093</v>
      </c>
      <c r="D10696" t="inlineStr">
        <is>
          <t>VÄSTERNORRLANDS LÄN</t>
        </is>
      </c>
      <c r="E10696" t="inlineStr">
        <is>
          <t>KRAMFORS</t>
        </is>
      </c>
      <c r="G10696" t="n">
        <v>1.3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42343-2024</t>
        </is>
      </c>
      <c r="B10697" s="1" t="n">
        <v>45562</v>
      </c>
      <c r="C10697" s="1" t="n">
        <v>46093</v>
      </c>
      <c r="D10697" t="inlineStr">
        <is>
          <t>VÄSTERNORRLANDS LÄN</t>
        </is>
      </c>
      <c r="E10697" t="inlineStr">
        <is>
          <t>HÄRNÖSAND</t>
        </is>
      </c>
      <c r="G10697" t="n">
        <v>15.6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21764-2025</t>
        </is>
      </c>
      <c r="B10698" s="1" t="n">
        <v>45783.63800925926</v>
      </c>
      <c r="C10698" s="1" t="n">
        <v>46093</v>
      </c>
      <c r="D10698" t="inlineStr">
        <is>
          <t>VÄSTERNORRLANDS LÄN</t>
        </is>
      </c>
      <c r="E10698" t="inlineStr">
        <is>
          <t>TIMRÅ</t>
        </is>
      </c>
      <c r="G10698" t="n">
        <v>4.9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21768-2025</t>
        </is>
      </c>
      <c r="B10699" s="1" t="n">
        <v>45783.65178240741</v>
      </c>
      <c r="C10699" s="1" t="n">
        <v>46093</v>
      </c>
      <c r="D10699" t="inlineStr">
        <is>
          <t>VÄSTERNORRLANDS LÄN</t>
        </is>
      </c>
      <c r="E10699" t="inlineStr">
        <is>
          <t>SUNDSVALL</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21777-2025</t>
        </is>
      </c>
      <c r="B10700" s="1" t="n">
        <v>45783.66395833333</v>
      </c>
      <c r="C10700" s="1" t="n">
        <v>46093</v>
      </c>
      <c r="D10700" t="inlineStr">
        <is>
          <t>VÄSTERNORRLANDS LÄN</t>
        </is>
      </c>
      <c r="E10700" t="inlineStr">
        <is>
          <t>ÖRNSKÖLDSVIK</t>
        </is>
      </c>
      <c r="G10700" t="n">
        <v>3.5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21863-2025</t>
        </is>
      </c>
      <c r="B10701" s="1" t="n">
        <v>45784.36532407408</v>
      </c>
      <c r="C10701" s="1" t="n">
        <v>46093</v>
      </c>
      <c r="D10701" t="inlineStr">
        <is>
          <t>VÄSTERNORRLANDS LÄN</t>
        </is>
      </c>
      <c r="E10701" t="inlineStr">
        <is>
          <t>SOLLEFTEÅ</t>
        </is>
      </c>
      <c r="F10701" t="inlineStr">
        <is>
          <t>SCA</t>
        </is>
      </c>
      <c r="G10701" t="n">
        <v>1.7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21599-2025</t>
        </is>
      </c>
      <c r="B10702" s="1" t="n">
        <v>45783.34505787037</v>
      </c>
      <c r="C10702" s="1" t="n">
        <v>46093</v>
      </c>
      <c r="D10702" t="inlineStr">
        <is>
          <t>VÄSTERNORRLANDS LÄN</t>
        </is>
      </c>
      <c r="E10702" t="inlineStr">
        <is>
          <t>TIMRÅ</t>
        </is>
      </c>
      <c r="F10702" t="inlineStr">
        <is>
          <t>SCA</t>
        </is>
      </c>
      <c r="G10702" t="n">
        <v>8.300000000000001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21626-2025</t>
        </is>
      </c>
      <c r="B10703" s="1" t="n">
        <v>45783.4165162037</v>
      </c>
      <c r="C10703" s="1" t="n">
        <v>46093</v>
      </c>
      <c r="D10703" t="inlineStr">
        <is>
          <t>VÄSTERNORRLANDS LÄN</t>
        </is>
      </c>
      <c r="E10703" t="inlineStr">
        <is>
          <t>KRAMFORS</t>
        </is>
      </c>
      <c r="G10703" t="n">
        <v>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21669-2025</t>
        </is>
      </c>
      <c r="B10704" s="1" t="n">
        <v>45783.46905092592</v>
      </c>
      <c r="C10704" s="1" t="n">
        <v>46093</v>
      </c>
      <c r="D10704" t="inlineStr">
        <is>
          <t>VÄSTERNORRLANDS LÄN</t>
        </is>
      </c>
      <c r="E10704" t="inlineStr">
        <is>
          <t>SOLLEFTEÅ</t>
        </is>
      </c>
      <c r="F10704" t="inlineStr">
        <is>
          <t>SCA</t>
        </is>
      </c>
      <c r="G10704" t="n">
        <v>7.8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21741-2025</t>
        </is>
      </c>
      <c r="B10705" s="1" t="n">
        <v>45783.59415509259</v>
      </c>
      <c r="C10705" s="1" t="n">
        <v>46093</v>
      </c>
      <c r="D10705" t="inlineStr">
        <is>
          <t>VÄSTERNORRLANDS LÄN</t>
        </is>
      </c>
      <c r="E10705" t="inlineStr">
        <is>
          <t>ÅNGE</t>
        </is>
      </c>
      <c r="F10705" t="inlineStr">
        <is>
          <t>SCA</t>
        </is>
      </c>
      <c r="G10705" t="n">
        <v>1.6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1690-2026</t>
        </is>
      </c>
      <c r="B10706" s="1" t="n">
        <v>46034.58887731482</v>
      </c>
      <c r="C10706" s="1" t="n">
        <v>46093</v>
      </c>
      <c r="D10706" t="inlineStr">
        <is>
          <t>VÄSTERNORRLANDS LÄN</t>
        </is>
      </c>
      <c r="E10706" t="inlineStr">
        <is>
          <t>HÄRNÖSAND</t>
        </is>
      </c>
      <c r="G10706" t="n">
        <v>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21929-2025</t>
        </is>
      </c>
      <c r="B10707" s="1" t="n">
        <v>45784.55241898148</v>
      </c>
      <c r="C10707" s="1" t="n">
        <v>46093</v>
      </c>
      <c r="D10707" t="inlineStr">
        <is>
          <t>VÄSTERNORRLANDS LÄN</t>
        </is>
      </c>
      <c r="E10707" t="inlineStr">
        <is>
          <t>TIMRÅ</t>
        </is>
      </c>
      <c r="F10707" t="inlineStr">
        <is>
          <t>SCA</t>
        </is>
      </c>
      <c r="G10707" t="n">
        <v>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21772-2025</t>
        </is>
      </c>
      <c r="B10708" s="1" t="n">
        <v>45783</v>
      </c>
      <c r="C10708" s="1" t="n">
        <v>46093</v>
      </c>
      <c r="D10708" t="inlineStr">
        <is>
          <t>VÄSTERNORRLANDS LÄN</t>
        </is>
      </c>
      <c r="E10708" t="inlineStr">
        <is>
          <t>KRAMFORS</t>
        </is>
      </c>
      <c r="G10708" t="n">
        <v>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21624-2025</t>
        </is>
      </c>
      <c r="B10709" s="1" t="n">
        <v>45783.40694444445</v>
      </c>
      <c r="C10709" s="1" t="n">
        <v>46093</v>
      </c>
      <c r="D10709" t="inlineStr">
        <is>
          <t>VÄSTERNORRLANDS LÄN</t>
        </is>
      </c>
      <c r="E10709" t="inlineStr">
        <is>
          <t>SUNDSVALL</t>
        </is>
      </c>
      <c r="F10709" t="inlineStr">
        <is>
          <t>SCA</t>
        </is>
      </c>
      <c r="G10709" t="n">
        <v>8.300000000000001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1563-2026</t>
        </is>
      </c>
      <c r="B10710" s="1" t="n">
        <v>46034.3947337963</v>
      </c>
      <c r="C10710" s="1" t="n">
        <v>46093</v>
      </c>
      <c r="D10710" t="inlineStr">
        <is>
          <t>VÄSTERNORRLANDS LÄN</t>
        </is>
      </c>
      <c r="E10710" t="inlineStr">
        <is>
          <t>ÖRNSKÖLDSVIK</t>
        </is>
      </c>
      <c r="F10710" t="inlineStr">
        <is>
          <t>Holmen skog AB</t>
        </is>
      </c>
      <c r="G10710" t="n">
        <v>3.1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1565-2026</t>
        </is>
      </c>
      <c r="B10711" s="1" t="n">
        <v>46034.39813657408</v>
      </c>
      <c r="C10711" s="1" t="n">
        <v>46093</v>
      </c>
      <c r="D10711" t="inlineStr">
        <is>
          <t>VÄSTERNORRLANDS LÄN</t>
        </is>
      </c>
      <c r="E10711" t="inlineStr">
        <is>
          <t>HÄRNÖSAND</t>
        </is>
      </c>
      <c r="G10711" t="n">
        <v>2.7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1544-2026</t>
        </is>
      </c>
      <c r="B10712" s="1" t="n">
        <v>46034.38653935185</v>
      </c>
      <c r="C10712" s="1" t="n">
        <v>46093</v>
      </c>
      <c r="D10712" t="inlineStr">
        <is>
          <t>VÄSTERNORRLANDS LÄN</t>
        </is>
      </c>
      <c r="E10712" t="inlineStr">
        <is>
          <t>ÅNGE</t>
        </is>
      </c>
      <c r="F10712" t="inlineStr">
        <is>
          <t>SCA</t>
        </is>
      </c>
      <c r="G10712" t="n">
        <v>3.5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39119-2024</t>
        </is>
      </c>
      <c r="B10713" s="1" t="n">
        <v>45548.58939814815</v>
      </c>
      <c r="C10713" s="1" t="n">
        <v>46093</v>
      </c>
      <c r="D10713" t="inlineStr">
        <is>
          <t>VÄSTERNORRLANDS LÄN</t>
        </is>
      </c>
      <c r="E10713" t="inlineStr">
        <is>
          <t>ÅNGE</t>
        </is>
      </c>
      <c r="G10713" t="n">
        <v>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43422-2023</t>
        </is>
      </c>
      <c r="B10714" s="1" t="n">
        <v>45183</v>
      </c>
      <c r="C10714" s="1" t="n">
        <v>46093</v>
      </c>
      <c r="D10714" t="inlineStr">
        <is>
          <t>VÄSTERNORRLANDS LÄN</t>
        </is>
      </c>
      <c r="E10714" t="inlineStr">
        <is>
          <t>SUNDSVALL</t>
        </is>
      </c>
      <c r="F10714" t="inlineStr">
        <is>
          <t>SCA</t>
        </is>
      </c>
      <c r="G10714" t="n">
        <v>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21685-2025</t>
        </is>
      </c>
      <c r="B10715" s="1" t="n">
        <v>45783.49050925926</v>
      </c>
      <c r="C10715" s="1" t="n">
        <v>46093</v>
      </c>
      <c r="D10715" t="inlineStr">
        <is>
          <t>VÄSTERNORRLANDS LÄN</t>
        </is>
      </c>
      <c r="E10715" t="inlineStr">
        <is>
          <t>ÅNGE</t>
        </is>
      </c>
      <c r="F10715" t="inlineStr">
        <is>
          <t>SCA</t>
        </is>
      </c>
      <c r="G10715" t="n">
        <v>1.4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21687-2025</t>
        </is>
      </c>
      <c r="B10716" s="1" t="n">
        <v>45783.49135416667</v>
      </c>
      <c r="C10716" s="1" t="n">
        <v>46093</v>
      </c>
      <c r="D10716" t="inlineStr">
        <is>
          <t>VÄSTERNORRLANDS LÄN</t>
        </is>
      </c>
      <c r="E10716" t="inlineStr">
        <is>
          <t>SOLLEFTEÅ</t>
        </is>
      </c>
      <c r="G10716" t="n">
        <v>4.1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21760-2025</t>
        </is>
      </c>
      <c r="B10717" s="1" t="n">
        <v>45783.63148148148</v>
      </c>
      <c r="C10717" s="1" t="n">
        <v>46093</v>
      </c>
      <c r="D10717" t="inlineStr">
        <is>
          <t>VÄSTERNORRLANDS LÄN</t>
        </is>
      </c>
      <c r="E10717" t="inlineStr">
        <is>
          <t>TIMRÅ</t>
        </is>
      </c>
      <c r="G10717" t="n">
        <v>1.5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37798-2025</t>
        </is>
      </c>
      <c r="B10718" s="1" t="n">
        <v>45881</v>
      </c>
      <c r="C10718" s="1" t="n">
        <v>46093</v>
      </c>
      <c r="D10718" t="inlineStr">
        <is>
          <t>VÄSTERNORRLANDS LÄN</t>
        </is>
      </c>
      <c r="E10718" t="inlineStr">
        <is>
          <t>ÖRNSKÖLDSVIK</t>
        </is>
      </c>
      <c r="G10718" t="n">
        <v>4.1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15677-2024</t>
        </is>
      </c>
      <c r="B10719" s="1" t="n">
        <v>45404.41268518518</v>
      </c>
      <c r="C10719" s="1" t="n">
        <v>46093</v>
      </c>
      <c r="D10719" t="inlineStr">
        <is>
          <t>VÄSTERNORRLANDS LÄN</t>
        </is>
      </c>
      <c r="E10719" t="inlineStr">
        <is>
          <t>SUNDSVALL</t>
        </is>
      </c>
      <c r="G10719" t="n">
        <v>1.8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21985-2025</t>
        </is>
      </c>
      <c r="B10720" s="1" t="n">
        <v>45784.65689814815</v>
      </c>
      <c r="C10720" s="1" t="n">
        <v>46093</v>
      </c>
      <c r="D10720" t="inlineStr">
        <is>
          <t>VÄSTERNORRLANDS LÄN</t>
        </is>
      </c>
      <c r="E10720" t="inlineStr">
        <is>
          <t>SOLLEFTEÅ</t>
        </is>
      </c>
      <c r="F10720" t="inlineStr">
        <is>
          <t>SCA</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62083-2025</t>
        </is>
      </c>
      <c r="B10721" s="1" t="n">
        <v>46006.37369212963</v>
      </c>
      <c r="C10721" s="1" t="n">
        <v>46093</v>
      </c>
      <c r="D10721" t="inlineStr">
        <is>
          <t>VÄSTERNORRLANDS LÄN</t>
        </is>
      </c>
      <c r="E10721" t="inlineStr">
        <is>
          <t>SUNDSVALL</t>
        </is>
      </c>
      <c r="G10721" t="n">
        <v>4.5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26715-2025</t>
        </is>
      </c>
      <c r="B10722" s="1" t="n">
        <v>45810</v>
      </c>
      <c r="C10722" s="1" t="n">
        <v>46093</v>
      </c>
      <c r="D10722" t="inlineStr">
        <is>
          <t>VÄSTERNORRLANDS LÄN</t>
        </is>
      </c>
      <c r="E10722" t="inlineStr">
        <is>
          <t>ÖRNSKÖLDSVIK</t>
        </is>
      </c>
      <c r="G10722" t="n">
        <v>10</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21659-2025</t>
        </is>
      </c>
      <c r="B10723" s="1" t="n">
        <v>45783.45505787037</v>
      </c>
      <c r="C10723" s="1" t="n">
        <v>46093</v>
      </c>
      <c r="D10723" t="inlineStr">
        <is>
          <t>VÄSTERNORRLANDS LÄN</t>
        </is>
      </c>
      <c r="E10723" t="inlineStr">
        <is>
          <t>SUNDSVALL</t>
        </is>
      </c>
      <c r="G10723" t="n">
        <v>1.4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63275-2025</t>
        </is>
      </c>
      <c r="B10724" s="1" t="n">
        <v>46010.57359953703</v>
      </c>
      <c r="C10724" s="1" t="n">
        <v>46093</v>
      </c>
      <c r="D10724" t="inlineStr">
        <is>
          <t>VÄSTERNORRLANDS LÄN</t>
        </is>
      </c>
      <c r="E10724" t="inlineStr">
        <is>
          <t>SUNDSVALL</t>
        </is>
      </c>
      <c r="G10724" t="n">
        <v>5.8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10539-2023</t>
        </is>
      </c>
      <c r="B10725" s="1" t="n">
        <v>44987</v>
      </c>
      <c r="C10725" s="1" t="n">
        <v>46093</v>
      </c>
      <c r="D10725" t="inlineStr">
        <is>
          <t>VÄSTERNORRLANDS LÄN</t>
        </is>
      </c>
      <c r="E10725" t="inlineStr">
        <is>
          <t>SUNDSVALL</t>
        </is>
      </c>
      <c r="G10725" t="n">
        <v>2.3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22368-2024</t>
        </is>
      </c>
      <c r="B10726" s="1" t="n">
        <v>45446</v>
      </c>
      <c r="C10726" s="1" t="n">
        <v>46093</v>
      </c>
      <c r="D10726" t="inlineStr">
        <is>
          <t>VÄSTERNORRLANDS LÄN</t>
        </is>
      </c>
      <c r="E10726" t="inlineStr">
        <is>
          <t>TIMRÅ</t>
        </is>
      </c>
      <c r="G10726" t="n">
        <v>1.2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9633-2026</t>
        </is>
      </c>
      <c r="B10727" s="1" t="n">
        <v>46072</v>
      </c>
      <c r="C10727" s="1" t="n">
        <v>46093</v>
      </c>
      <c r="D10727" t="inlineStr">
        <is>
          <t>VÄSTERNORRLANDS LÄN</t>
        </is>
      </c>
      <c r="E10727" t="inlineStr">
        <is>
          <t>TIMRÅ</t>
        </is>
      </c>
      <c r="G10727" t="n">
        <v>5.8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9635-2026</t>
        </is>
      </c>
      <c r="B10728" s="1" t="n">
        <v>46072</v>
      </c>
      <c r="C10728" s="1" t="n">
        <v>46093</v>
      </c>
      <c r="D10728" t="inlineStr">
        <is>
          <t>VÄSTERNORRLANDS LÄN</t>
        </is>
      </c>
      <c r="E10728" t="inlineStr">
        <is>
          <t>TIMRÅ</t>
        </is>
      </c>
      <c r="G10728" t="n">
        <v>4.7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9658-2026</t>
        </is>
      </c>
      <c r="B10729" s="1" t="n">
        <v>46072</v>
      </c>
      <c r="C10729" s="1" t="n">
        <v>46093</v>
      </c>
      <c r="D10729" t="inlineStr">
        <is>
          <t>VÄSTERNORRLANDS LÄN</t>
        </is>
      </c>
      <c r="E10729" t="inlineStr">
        <is>
          <t>HÄRNÖSAND</t>
        </is>
      </c>
      <c r="G10729" t="n">
        <v>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10278-2026</t>
        </is>
      </c>
      <c r="B10730" s="1" t="n">
        <v>46076.5874537037</v>
      </c>
      <c r="C10730" s="1" t="n">
        <v>46093</v>
      </c>
      <c r="D10730" t="inlineStr">
        <is>
          <t>VÄSTERNORRLANDS LÄN</t>
        </is>
      </c>
      <c r="E10730" t="inlineStr">
        <is>
          <t>ÖRNSKÖLDSVIK</t>
        </is>
      </c>
      <c r="G10730" t="n">
        <v>8.800000000000001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7515-2023</t>
        </is>
      </c>
      <c r="B10731" s="1" t="n">
        <v>44971</v>
      </c>
      <c r="C10731" s="1" t="n">
        <v>46093</v>
      </c>
      <c r="D10731" t="inlineStr">
        <is>
          <t>VÄSTERNORRLANDS LÄN</t>
        </is>
      </c>
      <c r="E10731" t="inlineStr">
        <is>
          <t>SUNDSVALL</t>
        </is>
      </c>
      <c r="G10731" t="n">
        <v>2.2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1162-2026</t>
        </is>
      </c>
      <c r="B10732" s="1" t="n">
        <v>46031.3371875</v>
      </c>
      <c r="C10732" s="1" t="n">
        <v>46093</v>
      </c>
      <c r="D10732" t="inlineStr">
        <is>
          <t>VÄSTERNORRLANDS LÄN</t>
        </is>
      </c>
      <c r="E10732" t="inlineStr">
        <is>
          <t>ÖRNSKÖLDSVIK</t>
        </is>
      </c>
      <c r="G10732" t="n">
        <v>2.6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1176-2026</t>
        </is>
      </c>
      <c r="B10733" s="1" t="n">
        <v>46031.35283564815</v>
      </c>
      <c r="C10733" s="1" t="n">
        <v>46093</v>
      </c>
      <c r="D10733" t="inlineStr">
        <is>
          <t>VÄSTERNORRLANDS LÄN</t>
        </is>
      </c>
      <c r="E10733" t="inlineStr">
        <is>
          <t>KRAMFORS</t>
        </is>
      </c>
      <c r="G10733" t="n">
        <v>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1191-2026</t>
        </is>
      </c>
      <c r="B10734" s="1" t="n">
        <v>46031.36658564815</v>
      </c>
      <c r="C10734" s="1" t="n">
        <v>46093</v>
      </c>
      <c r="D10734" t="inlineStr">
        <is>
          <t>VÄSTERNORRLANDS LÄN</t>
        </is>
      </c>
      <c r="E10734" t="inlineStr">
        <is>
          <t>ÖRNSKÖLDSVIK</t>
        </is>
      </c>
      <c r="G10734" t="n">
        <v>3.9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17189-2024</t>
        </is>
      </c>
      <c r="B10735" s="1" t="n">
        <v>45412</v>
      </c>
      <c r="C10735" s="1" t="n">
        <v>46093</v>
      </c>
      <c r="D10735" t="inlineStr">
        <is>
          <t>VÄSTERNORRLANDS LÄN</t>
        </is>
      </c>
      <c r="E10735" t="inlineStr">
        <is>
          <t>SUNDSVALL</t>
        </is>
      </c>
      <c r="F10735" t="inlineStr">
        <is>
          <t>SCA</t>
        </is>
      </c>
      <c r="G10735" t="n">
        <v>4.8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10066-2026</t>
        </is>
      </c>
      <c r="B10736" s="1" t="n">
        <v>46073.63586805556</v>
      </c>
      <c r="C10736" s="1" t="n">
        <v>46093</v>
      </c>
      <c r="D10736" t="inlineStr">
        <is>
          <t>VÄSTERNORRLANDS LÄN</t>
        </is>
      </c>
      <c r="E10736" t="inlineStr">
        <is>
          <t>SOLLEFTEÅ</t>
        </is>
      </c>
      <c r="F10736" t="inlineStr">
        <is>
          <t>SCA</t>
        </is>
      </c>
      <c r="G10736" t="n">
        <v>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23670-2022</t>
        </is>
      </c>
      <c r="B10737" s="1" t="n">
        <v>44721.92605324074</v>
      </c>
      <c r="C10737" s="1" t="n">
        <v>46093</v>
      </c>
      <c r="D10737" t="inlineStr">
        <is>
          <t>VÄSTERNORRLANDS LÄN</t>
        </is>
      </c>
      <c r="E10737" t="inlineStr">
        <is>
          <t>TIMRÅ</t>
        </is>
      </c>
      <c r="G10737" t="n">
        <v>4.9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10188-2026</t>
        </is>
      </c>
      <c r="B10738" s="1" t="n">
        <v>46076.44836805556</v>
      </c>
      <c r="C10738" s="1" t="n">
        <v>46093</v>
      </c>
      <c r="D10738" t="inlineStr">
        <is>
          <t>VÄSTERNORRLANDS LÄN</t>
        </is>
      </c>
      <c r="E10738" t="inlineStr">
        <is>
          <t>SOLLEFTEÅ</t>
        </is>
      </c>
      <c r="F10738" t="inlineStr">
        <is>
          <t>SCA</t>
        </is>
      </c>
      <c r="G10738" t="n">
        <v>3.3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32257-2024</t>
        </is>
      </c>
      <c r="B10739" s="1" t="n">
        <v>45511</v>
      </c>
      <c r="C10739" s="1" t="n">
        <v>46093</v>
      </c>
      <c r="D10739" t="inlineStr">
        <is>
          <t>VÄSTERNORRLANDS LÄN</t>
        </is>
      </c>
      <c r="E10739" t="inlineStr">
        <is>
          <t>ÅNGE</t>
        </is>
      </c>
      <c r="F10739" t="inlineStr">
        <is>
          <t>SCA</t>
        </is>
      </c>
      <c r="G10739" t="n">
        <v>4.7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46207-2023</t>
        </is>
      </c>
      <c r="B10740" s="1" t="n">
        <v>45190</v>
      </c>
      <c r="C10740" s="1" t="n">
        <v>46093</v>
      </c>
      <c r="D10740" t="inlineStr">
        <is>
          <t>VÄSTERNORRLANDS LÄN</t>
        </is>
      </c>
      <c r="E10740" t="inlineStr">
        <is>
          <t>SOLLEFTEÅ</t>
        </is>
      </c>
      <c r="G10740" t="n">
        <v>1.7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43005-2023</t>
        </is>
      </c>
      <c r="B10741" s="1" t="n">
        <v>45182</v>
      </c>
      <c r="C10741" s="1" t="n">
        <v>46093</v>
      </c>
      <c r="D10741" t="inlineStr">
        <is>
          <t>VÄSTERNORRLANDS LÄN</t>
        </is>
      </c>
      <c r="E10741" t="inlineStr">
        <is>
          <t>KRAMFORS</t>
        </is>
      </c>
      <c r="G10741" t="n">
        <v>13.8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1294-2026</t>
        </is>
      </c>
      <c r="B10742" s="1" t="n">
        <v>46031.51074074074</v>
      </c>
      <c r="C10742" s="1" t="n">
        <v>46093</v>
      </c>
      <c r="D10742" t="inlineStr">
        <is>
          <t>VÄSTERNORRLANDS LÄN</t>
        </is>
      </c>
      <c r="E10742" t="inlineStr">
        <is>
          <t>SUNDSVALL</t>
        </is>
      </c>
      <c r="G10742" t="n">
        <v>1.3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22240-2025</t>
        </is>
      </c>
      <c r="B10743" s="1" t="n">
        <v>45785.67780092593</v>
      </c>
      <c r="C10743" s="1" t="n">
        <v>46093</v>
      </c>
      <c r="D10743" t="inlineStr">
        <is>
          <t>VÄSTERNORRLANDS LÄN</t>
        </is>
      </c>
      <c r="E10743" t="inlineStr">
        <is>
          <t>TIMRÅ</t>
        </is>
      </c>
      <c r="F10743" t="inlineStr">
        <is>
          <t>SCA</t>
        </is>
      </c>
      <c r="G10743" t="n">
        <v>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1476-2026</t>
        </is>
      </c>
      <c r="B10744" s="1" t="n">
        <v>46033</v>
      </c>
      <c r="C10744" s="1" t="n">
        <v>46093</v>
      </c>
      <c r="D10744" t="inlineStr">
        <is>
          <t>VÄSTERNORRLANDS LÄN</t>
        </is>
      </c>
      <c r="E10744" t="inlineStr">
        <is>
          <t>TIMRÅ</t>
        </is>
      </c>
      <c r="G10744" t="n">
        <v>4.2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56249-2024</t>
        </is>
      </c>
      <c r="B10745" s="1" t="n">
        <v>45624.63584490741</v>
      </c>
      <c r="C10745" s="1" t="n">
        <v>46093</v>
      </c>
      <c r="D10745" t="inlineStr">
        <is>
          <t>VÄSTERNORRLANDS LÄN</t>
        </is>
      </c>
      <c r="E10745" t="inlineStr">
        <is>
          <t>SOLLEFTEÅ</t>
        </is>
      </c>
      <c r="F10745" t="inlineStr">
        <is>
          <t>SCA</t>
        </is>
      </c>
      <c r="G10745" t="n">
        <v>1.9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1510-2026</t>
        </is>
      </c>
      <c r="B10746" s="1" t="n">
        <v>46034.34427083333</v>
      </c>
      <c r="C10746" s="1" t="n">
        <v>46093</v>
      </c>
      <c r="D10746" t="inlineStr">
        <is>
          <t>VÄSTERNORRLANDS LÄN</t>
        </is>
      </c>
      <c r="E10746" t="inlineStr">
        <is>
          <t>SUNDSVALL</t>
        </is>
      </c>
      <c r="G10746" t="n">
        <v>0.6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2418-2026</t>
        </is>
      </c>
      <c r="B10747" s="1" t="n">
        <v>46034</v>
      </c>
      <c r="C10747" s="1" t="n">
        <v>46093</v>
      </c>
      <c r="D10747" t="inlineStr">
        <is>
          <t>VÄSTERNORRLANDS LÄN</t>
        </is>
      </c>
      <c r="E10747" t="inlineStr">
        <is>
          <t>KRAMFORS</t>
        </is>
      </c>
      <c r="G10747" t="n">
        <v>9.199999999999999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22348-2025</t>
        </is>
      </c>
      <c r="B10748" s="1" t="n">
        <v>45786.44878472222</v>
      </c>
      <c r="C10748" s="1" t="n">
        <v>46093</v>
      </c>
      <c r="D10748" t="inlineStr">
        <is>
          <t>VÄSTERNORRLANDS LÄN</t>
        </is>
      </c>
      <c r="E10748" t="inlineStr">
        <is>
          <t>SUNDSVALL</t>
        </is>
      </c>
      <c r="G10748" t="n">
        <v>1.6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2296-2026</t>
        </is>
      </c>
      <c r="B10749" s="1" t="n">
        <v>46034</v>
      </c>
      <c r="C10749" s="1" t="n">
        <v>46093</v>
      </c>
      <c r="D10749" t="inlineStr">
        <is>
          <t>VÄSTERNORRLANDS LÄN</t>
        </is>
      </c>
      <c r="E10749" t="inlineStr">
        <is>
          <t>TIMRÅ</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44030-2024</t>
        </is>
      </c>
      <c r="B10750" s="1" t="n">
        <v>45572</v>
      </c>
      <c r="C10750" s="1" t="n">
        <v>46093</v>
      </c>
      <c r="D10750" t="inlineStr">
        <is>
          <t>VÄSTERNORRLANDS LÄN</t>
        </is>
      </c>
      <c r="E10750" t="inlineStr">
        <is>
          <t>TIMRÅ</t>
        </is>
      </c>
      <c r="G10750" t="n">
        <v>2.1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60399-2022</t>
        </is>
      </c>
      <c r="B10751" s="1" t="n">
        <v>44910</v>
      </c>
      <c r="C10751" s="1" t="n">
        <v>46093</v>
      </c>
      <c r="D10751" t="inlineStr">
        <is>
          <t>VÄSTERNORRLANDS LÄN</t>
        </is>
      </c>
      <c r="E10751" t="inlineStr">
        <is>
          <t>SUNDSVALL</t>
        </is>
      </c>
      <c r="G10751" t="n">
        <v>2.2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1541-2026</t>
        </is>
      </c>
      <c r="B10752" s="1" t="n">
        <v>46034.38606481482</v>
      </c>
      <c r="C10752" s="1" t="n">
        <v>46093</v>
      </c>
      <c r="D10752" t="inlineStr">
        <is>
          <t>VÄSTERNORRLANDS LÄN</t>
        </is>
      </c>
      <c r="E10752" t="inlineStr">
        <is>
          <t>ÅNGE</t>
        </is>
      </c>
      <c r="F10752" t="inlineStr">
        <is>
          <t>SCA</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1180-2026</t>
        </is>
      </c>
      <c r="B10753" s="1" t="n">
        <v>46031.35849537037</v>
      </c>
      <c r="C10753" s="1" t="n">
        <v>46093</v>
      </c>
      <c r="D10753" t="inlineStr">
        <is>
          <t>VÄSTERNORRLANDS LÄN</t>
        </is>
      </c>
      <c r="E10753" t="inlineStr">
        <is>
          <t>KRAMFORS</t>
        </is>
      </c>
      <c r="G10753" t="n">
        <v>4.1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22208-2025</t>
        </is>
      </c>
      <c r="B10754" s="1" t="n">
        <v>45785.65722222222</v>
      </c>
      <c r="C10754" s="1" t="n">
        <v>46093</v>
      </c>
      <c r="D10754" t="inlineStr">
        <is>
          <t>VÄSTERNORRLANDS LÄN</t>
        </is>
      </c>
      <c r="E10754" t="inlineStr">
        <is>
          <t>SUNDSVALL</t>
        </is>
      </c>
      <c r="F10754" t="inlineStr">
        <is>
          <t>Naturvårdsverket</t>
        </is>
      </c>
      <c r="G10754" t="n">
        <v>1.4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1526-2026</t>
        </is>
      </c>
      <c r="B10755" s="1" t="n">
        <v>46034.3687037037</v>
      </c>
      <c r="C10755" s="1" t="n">
        <v>46093</v>
      </c>
      <c r="D10755" t="inlineStr">
        <is>
          <t>VÄSTERNORRLANDS LÄN</t>
        </is>
      </c>
      <c r="E10755" t="inlineStr">
        <is>
          <t>ÖRNSKÖLDSVIK</t>
        </is>
      </c>
      <c r="G10755" t="n">
        <v>2.6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13521-2023</t>
        </is>
      </c>
      <c r="B10756" s="1" t="n">
        <v>45005</v>
      </c>
      <c r="C10756" s="1" t="n">
        <v>46093</v>
      </c>
      <c r="D10756" t="inlineStr">
        <is>
          <t>VÄSTERNORRLANDS LÄN</t>
        </is>
      </c>
      <c r="E10756" t="inlineStr">
        <is>
          <t>SOLLEFTEÅ</t>
        </is>
      </c>
      <c r="G10756" t="n">
        <v>2.2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10042-2026</t>
        </is>
      </c>
      <c r="B10757" s="1" t="n">
        <v>46073.59899305556</v>
      </c>
      <c r="C10757" s="1" t="n">
        <v>46093</v>
      </c>
      <c r="D10757" t="inlineStr">
        <is>
          <t>VÄSTERNORRLANDS LÄN</t>
        </is>
      </c>
      <c r="E10757" t="inlineStr">
        <is>
          <t>SUNDSVALL</t>
        </is>
      </c>
      <c r="G10757" t="n">
        <v>2.3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10500-2024</t>
        </is>
      </c>
      <c r="B10758" s="1" t="n">
        <v>45366.48253472222</v>
      </c>
      <c r="C10758" s="1" t="n">
        <v>46093</v>
      </c>
      <c r="D10758" t="inlineStr">
        <is>
          <t>VÄSTERNORRLANDS LÄN</t>
        </is>
      </c>
      <c r="E10758" t="inlineStr">
        <is>
          <t>ÖRNSKÖLDSVIK</t>
        </is>
      </c>
      <c r="F10758" t="inlineStr">
        <is>
          <t>Holmen skog AB</t>
        </is>
      </c>
      <c r="G10758" t="n">
        <v>1.8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61596-2024</t>
        </is>
      </c>
      <c r="B10759" s="1" t="n">
        <v>45646.6359375</v>
      </c>
      <c r="C10759" s="1" t="n">
        <v>46093</v>
      </c>
      <c r="D10759" t="inlineStr">
        <is>
          <t>VÄSTERNORRLANDS LÄN</t>
        </is>
      </c>
      <c r="E10759" t="inlineStr">
        <is>
          <t>SUNDSVALL</t>
        </is>
      </c>
      <c r="F10759" t="inlineStr">
        <is>
          <t>SCA</t>
        </is>
      </c>
      <c r="G10759" t="n">
        <v>19.2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39492-2024</t>
        </is>
      </c>
      <c r="B10760" s="1" t="n">
        <v>45551</v>
      </c>
      <c r="C10760" s="1" t="n">
        <v>46093</v>
      </c>
      <c r="D10760" t="inlineStr">
        <is>
          <t>VÄSTERNORRLANDS LÄN</t>
        </is>
      </c>
      <c r="E10760" t="inlineStr">
        <is>
          <t>KRAMFORS</t>
        </is>
      </c>
      <c r="G10760" t="n">
        <v>2.9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22349-2025</t>
        </is>
      </c>
      <c r="B10761" s="1" t="n">
        <v>45786.4488425926</v>
      </c>
      <c r="C10761" s="1" t="n">
        <v>46093</v>
      </c>
      <c r="D10761" t="inlineStr">
        <is>
          <t>VÄSTERNORRLANDS LÄN</t>
        </is>
      </c>
      <c r="E10761" t="inlineStr">
        <is>
          <t>SUNDSVALL</t>
        </is>
      </c>
      <c r="G10761" t="n">
        <v>1.7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22350-2025</t>
        </is>
      </c>
      <c r="B10762" s="1" t="n">
        <v>45786.44888888889</v>
      </c>
      <c r="C10762" s="1" t="n">
        <v>46093</v>
      </c>
      <c r="D10762" t="inlineStr">
        <is>
          <t>VÄSTERNORRLANDS LÄN</t>
        </is>
      </c>
      <c r="E10762" t="inlineStr">
        <is>
          <t>SUNDSVALL</t>
        </is>
      </c>
      <c r="G10762" t="n">
        <v>0.7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1543-2026</t>
        </is>
      </c>
      <c r="B10763" s="1" t="n">
        <v>46034.38636574074</v>
      </c>
      <c r="C10763" s="1" t="n">
        <v>46093</v>
      </c>
      <c r="D10763" t="inlineStr">
        <is>
          <t>VÄSTERNORRLANDS LÄN</t>
        </is>
      </c>
      <c r="E10763" t="inlineStr">
        <is>
          <t>ÅNGE</t>
        </is>
      </c>
      <c r="F10763" t="inlineStr">
        <is>
          <t>SCA</t>
        </is>
      </c>
      <c r="G10763" t="n">
        <v>17.3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10352-2026</t>
        </is>
      </c>
      <c r="B10764" s="1" t="n">
        <v>46076.71934027778</v>
      </c>
      <c r="C10764" s="1" t="n">
        <v>46093</v>
      </c>
      <c r="D10764" t="inlineStr">
        <is>
          <t>VÄSTERNORRLANDS LÄN</t>
        </is>
      </c>
      <c r="E10764" t="inlineStr">
        <is>
          <t>ÅNGE</t>
        </is>
      </c>
      <c r="F10764" t="inlineStr">
        <is>
          <t>SCA</t>
        </is>
      </c>
      <c r="G10764" t="n">
        <v>1.7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31492-2024</t>
        </is>
      </c>
      <c r="B10765" s="1" t="n">
        <v>45505</v>
      </c>
      <c r="C10765" s="1" t="n">
        <v>46093</v>
      </c>
      <c r="D10765" t="inlineStr">
        <is>
          <t>VÄSTERNORRLANDS LÄN</t>
        </is>
      </c>
      <c r="E10765" t="inlineStr">
        <is>
          <t>ÅNGE</t>
        </is>
      </c>
      <c r="F10765" t="inlineStr">
        <is>
          <t>SCA</t>
        </is>
      </c>
      <c r="G10765" t="n">
        <v>5.5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10216-2026</t>
        </is>
      </c>
      <c r="B10766" s="1" t="n">
        <v>46076.49002314815</v>
      </c>
      <c r="C10766" s="1" t="n">
        <v>46093</v>
      </c>
      <c r="D10766" t="inlineStr">
        <is>
          <t>VÄSTERNORRLANDS LÄN</t>
        </is>
      </c>
      <c r="E10766" t="inlineStr">
        <is>
          <t>SOLLEFTEÅ</t>
        </is>
      </c>
      <c r="F10766" t="inlineStr">
        <is>
          <t>SCA</t>
        </is>
      </c>
      <c r="G10766" t="n">
        <v>0.3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46350-2024</t>
        </is>
      </c>
      <c r="B10767" s="1" t="n">
        <v>45582.34105324074</v>
      </c>
      <c r="C10767" s="1" t="n">
        <v>46093</v>
      </c>
      <c r="D10767" t="inlineStr">
        <is>
          <t>VÄSTERNORRLANDS LÄN</t>
        </is>
      </c>
      <c r="E10767" t="inlineStr">
        <is>
          <t>ÖRNSKÖLDSVIK</t>
        </is>
      </c>
      <c r="F10767" t="inlineStr">
        <is>
          <t>Holmen skog AB</t>
        </is>
      </c>
      <c r="G10767" t="n">
        <v>4.3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64608-2023</t>
        </is>
      </c>
      <c r="B10768" s="1" t="n">
        <v>45281</v>
      </c>
      <c r="C10768" s="1" t="n">
        <v>46093</v>
      </c>
      <c r="D10768" t="inlineStr">
        <is>
          <t>VÄSTERNORRLANDS LÄN</t>
        </is>
      </c>
      <c r="E10768" t="inlineStr">
        <is>
          <t>KRAMFORS</t>
        </is>
      </c>
      <c r="G10768" t="n">
        <v>2.6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43435-2022</t>
        </is>
      </c>
      <c r="B10769" s="1" t="n">
        <v>44834</v>
      </c>
      <c r="C10769" s="1" t="n">
        <v>46093</v>
      </c>
      <c r="D10769" t="inlineStr">
        <is>
          <t>VÄSTERNORRLANDS LÄN</t>
        </is>
      </c>
      <c r="E10769" t="inlineStr">
        <is>
          <t>KRAMFORS</t>
        </is>
      </c>
      <c r="F10769" t="inlineStr">
        <is>
          <t>SCA</t>
        </is>
      </c>
      <c r="G10769" t="n">
        <v>0.7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10052-2026</t>
        </is>
      </c>
      <c r="B10770" s="1" t="n">
        <v>46073.61515046296</v>
      </c>
      <c r="C10770" s="1" t="n">
        <v>46093</v>
      </c>
      <c r="D10770" t="inlineStr">
        <is>
          <t>VÄSTERNORRLANDS LÄN</t>
        </is>
      </c>
      <c r="E10770" t="inlineStr">
        <is>
          <t>SOLLEFTEÅ</t>
        </is>
      </c>
      <c r="F10770" t="inlineStr">
        <is>
          <t>SCA</t>
        </is>
      </c>
      <c r="G10770" t="n">
        <v>3.3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22182-2025</t>
        </is>
      </c>
      <c r="B10771" s="1" t="n">
        <v>45785.61640046296</v>
      </c>
      <c r="C10771" s="1" t="n">
        <v>46093</v>
      </c>
      <c r="D10771" t="inlineStr">
        <is>
          <t>VÄSTERNORRLANDS LÄN</t>
        </is>
      </c>
      <c r="E10771" t="inlineStr">
        <is>
          <t>SOLLEFTEÅ</t>
        </is>
      </c>
      <c r="F10771" t="inlineStr">
        <is>
          <t>SCA</t>
        </is>
      </c>
      <c r="G10771" t="n">
        <v>1.9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22102-2025</t>
        </is>
      </c>
      <c r="B10772" s="1" t="n">
        <v>45785.48142361111</v>
      </c>
      <c r="C10772" s="1" t="n">
        <v>46093</v>
      </c>
      <c r="D10772" t="inlineStr">
        <is>
          <t>VÄSTERNORRLANDS LÄN</t>
        </is>
      </c>
      <c r="E10772" t="inlineStr">
        <is>
          <t>HÄRNÖSAND</t>
        </is>
      </c>
      <c r="G10772" t="n">
        <v>1.1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8971-2026</t>
        </is>
      </c>
      <c r="B10773" s="1" t="n">
        <v>46069</v>
      </c>
      <c r="C10773" s="1" t="n">
        <v>46093</v>
      </c>
      <c r="D10773" t="inlineStr">
        <is>
          <t>VÄSTERNORRLANDS LÄN</t>
        </is>
      </c>
      <c r="E10773" t="inlineStr">
        <is>
          <t>KRAMFORS</t>
        </is>
      </c>
      <c r="G10773" t="n">
        <v>1.4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40786-2023</t>
        </is>
      </c>
      <c r="B10774" s="1" t="n">
        <v>45170.95792824074</v>
      </c>
      <c r="C10774" s="1" t="n">
        <v>46093</v>
      </c>
      <c r="D10774" t="inlineStr">
        <is>
          <t>VÄSTERNORRLANDS LÄN</t>
        </is>
      </c>
      <c r="E10774" t="inlineStr">
        <is>
          <t>SUNDSVALL</t>
        </is>
      </c>
      <c r="F10774" t="inlineStr">
        <is>
          <t>SCA</t>
        </is>
      </c>
      <c r="G10774" t="n">
        <v>18.1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1768-2026</t>
        </is>
      </c>
      <c r="B10775" s="1" t="n">
        <v>46034</v>
      </c>
      <c r="C10775" s="1" t="n">
        <v>46093</v>
      </c>
      <c r="D10775" t="inlineStr">
        <is>
          <t>VÄSTERNORRLANDS LÄN</t>
        </is>
      </c>
      <c r="E10775" t="inlineStr">
        <is>
          <t>TIMRÅ</t>
        </is>
      </c>
      <c r="G10775" t="n">
        <v>11.4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4838-2025</t>
        </is>
      </c>
      <c r="B10776" s="1" t="n">
        <v>45688.67167824074</v>
      </c>
      <c r="C10776" s="1" t="n">
        <v>46093</v>
      </c>
      <c r="D10776" t="inlineStr">
        <is>
          <t>VÄSTERNORRLANDS LÄN</t>
        </is>
      </c>
      <c r="E10776" t="inlineStr">
        <is>
          <t>SOLLEFTEÅ</t>
        </is>
      </c>
      <c r="F10776" t="inlineStr">
        <is>
          <t>SCA</t>
        </is>
      </c>
      <c r="G10776" t="n">
        <v>1.1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38800-2024</t>
        </is>
      </c>
      <c r="B10777" s="1" t="n">
        <v>45547</v>
      </c>
      <c r="C10777" s="1" t="n">
        <v>46093</v>
      </c>
      <c r="D10777" t="inlineStr">
        <is>
          <t>VÄSTERNORRLANDS LÄN</t>
        </is>
      </c>
      <c r="E10777" t="inlineStr">
        <is>
          <t>ÅNGE</t>
        </is>
      </c>
      <c r="G10777" t="n">
        <v>2.6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1527-2026</t>
        </is>
      </c>
      <c r="B10778" s="1" t="n">
        <v>46034.37046296296</v>
      </c>
      <c r="C10778" s="1" t="n">
        <v>46093</v>
      </c>
      <c r="D10778" t="inlineStr">
        <is>
          <t>VÄSTERNORRLANDS LÄN</t>
        </is>
      </c>
      <c r="E10778" t="inlineStr">
        <is>
          <t>ÖRNSKÖLDSVIK</t>
        </is>
      </c>
      <c r="G10778" t="n">
        <v>2.1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1536-2026</t>
        </is>
      </c>
      <c r="B10779" s="1" t="n">
        <v>46034.38084490741</v>
      </c>
      <c r="C10779" s="1" t="n">
        <v>46093</v>
      </c>
      <c r="D10779" t="inlineStr">
        <is>
          <t>VÄSTERNORRLANDS LÄN</t>
        </is>
      </c>
      <c r="E10779" t="inlineStr">
        <is>
          <t>ÖRNSKÖLDSVIK</t>
        </is>
      </c>
      <c r="G10779" t="n">
        <v>2.4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1266-2026</t>
        </is>
      </c>
      <c r="B10780" s="1" t="n">
        <v>46031.46269675926</v>
      </c>
      <c r="C10780" s="1" t="n">
        <v>46093</v>
      </c>
      <c r="D10780" t="inlineStr">
        <is>
          <t>VÄSTERNORRLANDS LÄN</t>
        </is>
      </c>
      <c r="E10780" t="inlineStr">
        <is>
          <t>ÅNGE</t>
        </is>
      </c>
      <c r="G10780" t="n">
        <v>0.8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60389-2024</t>
        </is>
      </c>
      <c r="B10781" s="1" t="n">
        <v>45643.48988425926</v>
      </c>
      <c r="C10781" s="1" t="n">
        <v>46093</v>
      </c>
      <c r="D10781" t="inlineStr">
        <is>
          <t>VÄSTERNORRLANDS LÄN</t>
        </is>
      </c>
      <c r="E10781" t="inlineStr">
        <is>
          <t>SOLLEFTEÅ</t>
        </is>
      </c>
      <c r="F10781" t="inlineStr">
        <is>
          <t>SCA</t>
        </is>
      </c>
      <c r="G10781" t="n">
        <v>1.7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1601-2026</t>
        </is>
      </c>
      <c r="B10782" s="1" t="n">
        <v>46034.45820601852</v>
      </c>
      <c r="C10782" s="1" t="n">
        <v>46093</v>
      </c>
      <c r="D10782" t="inlineStr">
        <is>
          <t>VÄSTERNORRLANDS LÄN</t>
        </is>
      </c>
      <c r="E10782" t="inlineStr">
        <is>
          <t>SOLLEFTEÅ</t>
        </is>
      </c>
      <c r="G10782" t="n">
        <v>4.5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22471-2025</t>
        </is>
      </c>
      <c r="B10783" s="1" t="n">
        <v>45786.61559027778</v>
      </c>
      <c r="C10783" s="1" t="n">
        <v>46093</v>
      </c>
      <c r="D10783" t="inlineStr">
        <is>
          <t>VÄSTERNORRLANDS LÄN</t>
        </is>
      </c>
      <c r="E10783" t="inlineStr">
        <is>
          <t>SUNDSVALL</t>
        </is>
      </c>
      <c r="G10783" t="n">
        <v>5.3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10088-2026</t>
        </is>
      </c>
      <c r="B10784" s="1" t="n">
        <v>46073.69837962963</v>
      </c>
      <c r="C10784" s="1" t="n">
        <v>46093</v>
      </c>
      <c r="D10784" t="inlineStr">
        <is>
          <t>VÄSTERNORRLANDS LÄN</t>
        </is>
      </c>
      <c r="E10784" t="inlineStr">
        <is>
          <t>SUNDSVALL</t>
        </is>
      </c>
      <c r="F10784" t="inlineStr">
        <is>
          <t>SCA</t>
        </is>
      </c>
      <c r="G10784" t="n">
        <v>0.9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10449-2026</t>
        </is>
      </c>
      <c r="B10785" s="1" t="n">
        <v>46077.43607638889</v>
      </c>
      <c r="C10785" s="1" t="n">
        <v>46093</v>
      </c>
      <c r="D10785" t="inlineStr">
        <is>
          <t>VÄSTERNORRLANDS LÄN</t>
        </is>
      </c>
      <c r="E10785" t="inlineStr">
        <is>
          <t>KRAMFORS</t>
        </is>
      </c>
      <c r="G10785" t="n">
        <v>16.7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22507-2025</t>
        </is>
      </c>
      <c r="B10786" s="1" t="n">
        <v>45786.66528935185</v>
      </c>
      <c r="C10786" s="1" t="n">
        <v>46093</v>
      </c>
      <c r="D10786" t="inlineStr">
        <is>
          <t>VÄSTERNORRLANDS LÄN</t>
        </is>
      </c>
      <c r="E10786" t="inlineStr">
        <is>
          <t>ÖRNSKÖLDSVIK</t>
        </is>
      </c>
      <c r="F10786" t="inlineStr">
        <is>
          <t>Holmen skog AB</t>
        </is>
      </c>
      <c r="G10786" t="n">
        <v>26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1585-2024</t>
        </is>
      </c>
      <c r="B10787" s="1" t="n">
        <v>45306.57518518518</v>
      </c>
      <c r="C10787" s="1" t="n">
        <v>46093</v>
      </c>
      <c r="D10787" t="inlineStr">
        <is>
          <t>VÄSTERNORRLANDS LÄN</t>
        </is>
      </c>
      <c r="E10787" t="inlineStr">
        <is>
          <t>KRAMFORS</t>
        </is>
      </c>
      <c r="G10787" t="n">
        <v>6.4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1846-2026</t>
        </is>
      </c>
      <c r="B10788" s="1" t="n">
        <v>46035</v>
      </c>
      <c r="C10788" s="1" t="n">
        <v>46093</v>
      </c>
      <c r="D10788" t="inlineStr">
        <is>
          <t>VÄSTERNORRLANDS LÄN</t>
        </is>
      </c>
      <c r="E10788" t="inlineStr">
        <is>
          <t>ÅNGE</t>
        </is>
      </c>
      <c r="G10788" t="n">
        <v>2.5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38287-2024</t>
        </is>
      </c>
      <c r="B10789" s="1" t="n">
        <v>45545.61619212963</v>
      </c>
      <c r="C10789" s="1" t="n">
        <v>46093</v>
      </c>
      <c r="D10789" t="inlineStr">
        <is>
          <t>VÄSTERNORRLANDS LÄN</t>
        </is>
      </c>
      <c r="E10789" t="inlineStr">
        <is>
          <t>SUNDSVALL</t>
        </is>
      </c>
      <c r="G10789" t="n">
        <v>1.7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10777-2026</t>
        </is>
      </c>
      <c r="B10790" s="1" t="n">
        <v>46078.57386574074</v>
      </c>
      <c r="C10790" s="1" t="n">
        <v>46093</v>
      </c>
      <c r="D10790" t="inlineStr">
        <is>
          <t>VÄSTERNORRLANDS LÄN</t>
        </is>
      </c>
      <c r="E10790" t="inlineStr">
        <is>
          <t>ÅNGE</t>
        </is>
      </c>
      <c r="F10790" t="inlineStr">
        <is>
          <t>SCA</t>
        </is>
      </c>
      <c r="G10790" t="n">
        <v>2.1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10815-2026</t>
        </is>
      </c>
      <c r="B10791" s="1" t="n">
        <v>46078.60954861111</v>
      </c>
      <c r="C10791" s="1" t="n">
        <v>46093</v>
      </c>
      <c r="D10791" t="inlineStr">
        <is>
          <t>VÄSTERNORRLANDS LÄN</t>
        </is>
      </c>
      <c r="E10791" t="inlineStr">
        <is>
          <t>SOLLEFTEÅ</t>
        </is>
      </c>
      <c r="G10791" t="n">
        <v>5.5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1994-2026</t>
        </is>
      </c>
      <c r="B10792" s="1" t="n">
        <v>46035</v>
      </c>
      <c r="C10792" s="1" t="n">
        <v>46093</v>
      </c>
      <c r="D10792" t="inlineStr">
        <is>
          <t>VÄSTERNORRLANDS LÄN</t>
        </is>
      </c>
      <c r="E10792" t="inlineStr">
        <is>
          <t>HÄRNÖSAND</t>
        </is>
      </c>
      <c r="G10792" t="n">
        <v>2.7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2074-2026</t>
        </is>
      </c>
      <c r="B10793" s="1" t="n">
        <v>46036.34439814815</v>
      </c>
      <c r="C10793" s="1" t="n">
        <v>46093</v>
      </c>
      <c r="D10793" t="inlineStr">
        <is>
          <t>VÄSTERNORRLANDS LÄN</t>
        </is>
      </c>
      <c r="E10793" t="inlineStr">
        <is>
          <t>SOLLEFTEÅ</t>
        </is>
      </c>
      <c r="F10793" t="inlineStr">
        <is>
          <t>SCA</t>
        </is>
      </c>
      <c r="G10793" t="n">
        <v>6.8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2642-2026</t>
        </is>
      </c>
      <c r="B10794" s="1" t="n">
        <v>46035</v>
      </c>
      <c r="C10794" s="1" t="n">
        <v>46093</v>
      </c>
      <c r="D10794" t="inlineStr">
        <is>
          <t>VÄSTERNORRLANDS LÄN</t>
        </is>
      </c>
      <c r="E10794" t="inlineStr">
        <is>
          <t>TIMRÅ</t>
        </is>
      </c>
      <c r="G10794" t="n">
        <v>7.9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2079-2026</t>
        </is>
      </c>
      <c r="B10795" s="1" t="n">
        <v>46036.35122685185</v>
      </c>
      <c r="C10795" s="1" t="n">
        <v>46093</v>
      </c>
      <c r="D10795" t="inlineStr">
        <is>
          <t>VÄSTERNORRLANDS LÄN</t>
        </is>
      </c>
      <c r="E10795" t="inlineStr">
        <is>
          <t>ÖRNSKÖLDSVIK</t>
        </is>
      </c>
      <c r="G10795" t="n">
        <v>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10571-2026</t>
        </is>
      </c>
      <c r="B10796" s="1" t="n">
        <v>46077.65894675926</v>
      </c>
      <c r="C10796" s="1" t="n">
        <v>46093</v>
      </c>
      <c r="D10796" t="inlineStr">
        <is>
          <t>VÄSTERNORRLANDS LÄN</t>
        </is>
      </c>
      <c r="E10796" t="inlineStr">
        <is>
          <t>HÄRNÖSAND</t>
        </is>
      </c>
      <c r="G10796" t="n">
        <v>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10580-2026</t>
        </is>
      </c>
      <c r="B10797" s="1" t="n">
        <v>46077.67766203704</v>
      </c>
      <c r="C10797" s="1" t="n">
        <v>46093</v>
      </c>
      <c r="D10797" t="inlineStr">
        <is>
          <t>VÄSTERNORRLANDS LÄN</t>
        </is>
      </c>
      <c r="E10797" t="inlineStr">
        <is>
          <t>SOLLEFTEÅ</t>
        </is>
      </c>
      <c r="F10797" t="inlineStr">
        <is>
          <t>SCA</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10583-2026</t>
        </is>
      </c>
      <c r="B10798" s="1" t="n">
        <v>46077.6781712963</v>
      </c>
      <c r="C10798" s="1" t="n">
        <v>46093</v>
      </c>
      <c r="D10798" t="inlineStr">
        <is>
          <t>VÄSTERNORRLANDS LÄN</t>
        </is>
      </c>
      <c r="E10798" t="inlineStr">
        <is>
          <t>SOLLEFTEÅ</t>
        </is>
      </c>
      <c r="G10798" t="n">
        <v>0.6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2459-2026</t>
        </is>
      </c>
      <c r="B10799" s="1" t="n">
        <v>46035</v>
      </c>
      <c r="C10799" s="1" t="n">
        <v>46093</v>
      </c>
      <c r="D10799" t="inlineStr">
        <is>
          <t>VÄSTERNORRLANDS LÄN</t>
        </is>
      </c>
      <c r="E10799" t="inlineStr">
        <is>
          <t>SOLLEFTEÅ</t>
        </is>
      </c>
      <c r="G10799" t="n">
        <v>4.6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10407-2026</t>
        </is>
      </c>
      <c r="B10800" s="1" t="n">
        <v>46077.34465277778</v>
      </c>
      <c r="C10800" s="1" t="n">
        <v>46093</v>
      </c>
      <c r="D10800" t="inlineStr">
        <is>
          <t>VÄSTERNORRLANDS LÄN</t>
        </is>
      </c>
      <c r="E10800" t="inlineStr">
        <is>
          <t>ÅNGE</t>
        </is>
      </c>
      <c r="F10800" t="inlineStr">
        <is>
          <t>SCA</t>
        </is>
      </c>
      <c r="G10800" t="n">
        <v>1.2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10408-2026</t>
        </is>
      </c>
      <c r="B10801" s="1" t="n">
        <v>46077.34487268519</v>
      </c>
      <c r="C10801" s="1" t="n">
        <v>46093</v>
      </c>
      <c r="D10801" t="inlineStr">
        <is>
          <t>VÄSTERNORRLANDS LÄN</t>
        </is>
      </c>
      <c r="E10801" t="inlineStr">
        <is>
          <t>SOLLEFTEÅ</t>
        </is>
      </c>
      <c r="F10801" t="inlineStr">
        <is>
          <t>SCA</t>
        </is>
      </c>
      <c r="G10801" t="n">
        <v>1.8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16504-2024</t>
        </is>
      </c>
      <c r="B10802" s="1" t="n">
        <v>45408</v>
      </c>
      <c r="C10802" s="1" t="n">
        <v>46093</v>
      </c>
      <c r="D10802" t="inlineStr">
        <is>
          <t>VÄSTERNORRLANDS LÄN</t>
        </is>
      </c>
      <c r="E10802" t="inlineStr">
        <is>
          <t>KRAMFORS</t>
        </is>
      </c>
      <c r="G10802" t="n">
        <v>1.5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2245-2026</t>
        </is>
      </c>
      <c r="B10803" s="1" t="n">
        <v>46036.54114583333</v>
      </c>
      <c r="C10803" s="1" t="n">
        <v>46093</v>
      </c>
      <c r="D10803" t="inlineStr">
        <is>
          <t>VÄSTERNORRLANDS LÄN</t>
        </is>
      </c>
      <c r="E10803" t="inlineStr">
        <is>
          <t>SUNDSVALL</t>
        </is>
      </c>
      <c r="G10803" t="n">
        <v>4.1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9328-2026</t>
        </is>
      </c>
      <c r="B10804" s="1" t="n">
        <v>46070</v>
      </c>
      <c r="C10804" s="1" t="n">
        <v>46093</v>
      </c>
      <c r="D10804" t="inlineStr">
        <is>
          <t>VÄSTERNORRLANDS LÄN</t>
        </is>
      </c>
      <c r="E10804" t="inlineStr">
        <is>
          <t>ÅNGE</t>
        </is>
      </c>
      <c r="F10804" t="inlineStr">
        <is>
          <t>SCA</t>
        </is>
      </c>
      <c r="G10804" t="n">
        <v>6.4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28121-2024</t>
        </is>
      </c>
      <c r="B10805" s="1" t="n">
        <v>45476</v>
      </c>
      <c r="C10805" s="1" t="n">
        <v>46093</v>
      </c>
      <c r="D10805" t="inlineStr">
        <is>
          <t>VÄSTERNORRLANDS LÄN</t>
        </is>
      </c>
      <c r="E10805" t="inlineStr">
        <is>
          <t>KRAMFORS</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1964-2026</t>
        </is>
      </c>
      <c r="B10806" s="1" t="n">
        <v>46035.63594907407</v>
      </c>
      <c r="C10806" s="1" t="n">
        <v>46093</v>
      </c>
      <c r="D10806" t="inlineStr">
        <is>
          <t>VÄSTERNORRLANDS LÄN</t>
        </is>
      </c>
      <c r="E10806" t="inlineStr">
        <is>
          <t>SOLLEFTEÅ</t>
        </is>
      </c>
      <c r="F10806" t="inlineStr">
        <is>
          <t>SCA</t>
        </is>
      </c>
      <c r="G10806" t="n">
        <v>10.8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56252-2023</t>
        </is>
      </c>
      <c r="B10807" s="1" t="n">
        <v>45240</v>
      </c>
      <c r="C10807" s="1" t="n">
        <v>46093</v>
      </c>
      <c r="D10807" t="inlineStr">
        <is>
          <t>VÄSTERNORRLANDS LÄN</t>
        </is>
      </c>
      <c r="E10807" t="inlineStr">
        <is>
          <t>SUNDSVALL</t>
        </is>
      </c>
      <c r="F10807" t="inlineStr">
        <is>
          <t>SCA</t>
        </is>
      </c>
      <c r="G10807" t="n">
        <v>5.1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20880-2025</t>
        </is>
      </c>
      <c r="B10808" s="1" t="n">
        <v>45777</v>
      </c>
      <c r="C10808" s="1" t="n">
        <v>46093</v>
      </c>
      <c r="D10808" t="inlineStr">
        <is>
          <t>VÄSTERNORRLANDS LÄN</t>
        </is>
      </c>
      <c r="E10808" t="inlineStr">
        <is>
          <t>ÅNGE</t>
        </is>
      </c>
      <c r="G10808" t="n">
        <v>1.6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10732-2026</t>
        </is>
      </c>
      <c r="B10809" s="1" t="n">
        <v>46078.48142361111</v>
      </c>
      <c r="C10809" s="1" t="n">
        <v>46093</v>
      </c>
      <c r="D10809" t="inlineStr">
        <is>
          <t>VÄSTERNORRLANDS LÄN</t>
        </is>
      </c>
      <c r="E10809" t="inlineStr">
        <is>
          <t>KRAMFORS</t>
        </is>
      </c>
      <c r="G10809" t="n">
        <v>3.3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10852-2026</t>
        </is>
      </c>
      <c r="B10810" s="1" t="n">
        <v>46078.65675925926</v>
      </c>
      <c r="C10810" s="1" t="n">
        <v>46093</v>
      </c>
      <c r="D10810" t="inlineStr">
        <is>
          <t>VÄSTERNORRLANDS LÄN</t>
        </is>
      </c>
      <c r="E10810" t="inlineStr">
        <is>
          <t>SOLLEFTEÅ</t>
        </is>
      </c>
      <c r="F10810" t="inlineStr">
        <is>
          <t>SCA</t>
        </is>
      </c>
      <c r="G10810" t="n">
        <v>25.7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22129-2025</t>
        </is>
      </c>
      <c r="B10811" s="1" t="n">
        <v>45785.5315625</v>
      </c>
      <c r="C10811" s="1" t="n">
        <v>46093</v>
      </c>
      <c r="D10811" t="inlineStr">
        <is>
          <t>VÄSTERNORRLANDS LÄN</t>
        </is>
      </c>
      <c r="E10811" t="inlineStr">
        <is>
          <t>ÖRNSKÖLDSVIK</t>
        </is>
      </c>
      <c r="G10811" t="n">
        <v>1.3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22389-2025</t>
        </is>
      </c>
      <c r="B10812" s="1" t="n">
        <v>45786.51099537037</v>
      </c>
      <c r="C10812" s="1" t="n">
        <v>46093</v>
      </c>
      <c r="D10812" t="inlineStr">
        <is>
          <t>VÄSTERNORRLANDS LÄN</t>
        </is>
      </c>
      <c r="E10812" t="inlineStr">
        <is>
          <t>TIMRÅ</t>
        </is>
      </c>
      <c r="F10812" t="inlineStr">
        <is>
          <t>SCA</t>
        </is>
      </c>
      <c r="G10812" t="n">
        <v>36.5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10825-2026</t>
        </is>
      </c>
      <c r="B10813" s="1" t="n">
        <v>46078.62478009259</v>
      </c>
      <c r="C10813" s="1" t="n">
        <v>46093</v>
      </c>
      <c r="D10813" t="inlineStr">
        <is>
          <t>VÄSTERNORRLANDS LÄN</t>
        </is>
      </c>
      <c r="E10813" t="inlineStr">
        <is>
          <t>SOLLEFTEÅ</t>
        </is>
      </c>
      <c r="G10813" t="n">
        <v>2.1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2329-2026</t>
        </is>
      </c>
      <c r="B10814" s="1" t="n">
        <v>46036.60694444444</v>
      </c>
      <c r="C10814" s="1" t="n">
        <v>46093</v>
      </c>
      <c r="D10814" t="inlineStr">
        <is>
          <t>VÄSTERNORRLANDS LÄN</t>
        </is>
      </c>
      <c r="E10814" t="inlineStr">
        <is>
          <t>SUNDSVALL</t>
        </is>
      </c>
      <c r="G10814" t="n">
        <v>4.3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22283-2025</t>
        </is>
      </c>
      <c r="B10815" s="1" t="n">
        <v>45786.34215277778</v>
      </c>
      <c r="C10815" s="1" t="n">
        <v>46093</v>
      </c>
      <c r="D10815" t="inlineStr">
        <is>
          <t>VÄSTERNORRLANDS LÄN</t>
        </is>
      </c>
      <c r="E10815" t="inlineStr">
        <is>
          <t>ÖRNSKÖLDSVIK</t>
        </is>
      </c>
      <c r="F10815" t="inlineStr">
        <is>
          <t>Holmen skog AB</t>
        </is>
      </c>
      <c r="G10815" t="n">
        <v>3.4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9334-2026</t>
        </is>
      </c>
      <c r="B10816" s="1" t="n">
        <v>46070</v>
      </c>
      <c r="C10816" s="1" t="n">
        <v>46093</v>
      </c>
      <c r="D10816" t="inlineStr">
        <is>
          <t>VÄSTERNORRLANDS LÄN</t>
        </is>
      </c>
      <c r="E10816" t="inlineStr">
        <is>
          <t>ÅNGE</t>
        </is>
      </c>
      <c r="F10816" t="inlineStr">
        <is>
          <t>SCA</t>
        </is>
      </c>
      <c r="G10816" t="n">
        <v>0.3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22322-2025</t>
        </is>
      </c>
      <c r="B10817" s="1" t="n">
        <v>45786.40657407408</v>
      </c>
      <c r="C10817" s="1" t="n">
        <v>46093</v>
      </c>
      <c r="D10817" t="inlineStr">
        <is>
          <t>VÄSTERNORRLANDS LÄN</t>
        </is>
      </c>
      <c r="E10817" t="inlineStr">
        <is>
          <t>SUNDSVALL</t>
        </is>
      </c>
      <c r="G10817" t="n">
        <v>5.6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21099-2024</t>
        </is>
      </c>
      <c r="B10818" s="1" t="n">
        <v>45439</v>
      </c>
      <c r="C10818" s="1" t="n">
        <v>46093</v>
      </c>
      <c r="D10818" t="inlineStr">
        <is>
          <t>VÄSTERNORRLANDS LÄN</t>
        </is>
      </c>
      <c r="E10818" t="inlineStr">
        <is>
          <t>SOLLEFTEÅ</t>
        </is>
      </c>
      <c r="F10818" t="inlineStr">
        <is>
          <t>SCA</t>
        </is>
      </c>
      <c r="G10818" t="n">
        <v>2.5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60361-2024</t>
        </is>
      </c>
      <c r="B10819" s="1" t="n">
        <v>45643.44851851852</v>
      </c>
      <c r="C10819" s="1" t="n">
        <v>46093</v>
      </c>
      <c r="D10819" t="inlineStr">
        <is>
          <t>VÄSTERNORRLANDS LÄN</t>
        </is>
      </c>
      <c r="E10819" t="inlineStr">
        <is>
          <t>SOLLEFTEÅ</t>
        </is>
      </c>
      <c r="F10819" t="inlineStr">
        <is>
          <t>SCA</t>
        </is>
      </c>
      <c r="G10819" t="n">
        <v>4.5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2803-2026</t>
        </is>
      </c>
      <c r="B10820" s="1" t="n">
        <v>46036</v>
      </c>
      <c r="C10820" s="1" t="n">
        <v>46093</v>
      </c>
      <c r="D10820" t="inlineStr">
        <is>
          <t>VÄSTERNORRLANDS LÄN</t>
        </is>
      </c>
      <c r="E10820" t="inlineStr">
        <is>
          <t>TIMRÅ</t>
        </is>
      </c>
      <c r="G10820" t="n">
        <v>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2834-2026</t>
        </is>
      </c>
      <c r="B10821" s="1" t="n">
        <v>46036</v>
      </c>
      <c r="C10821" s="1" t="n">
        <v>46093</v>
      </c>
      <c r="D10821" t="inlineStr">
        <is>
          <t>VÄSTERNORRLANDS LÄN</t>
        </is>
      </c>
      <c r="E10821" t="inlineStr">
        <is>
          <t>SOLLEFTEÅ</t>
        </is>
      </c>
      <c r="G10821" t="n">
        <v>2.3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10878-2026</t>
        </is>
      </c>
      <c r="B10822" s="1" t="n">
        <v>46078.71934027778</v>
      </c>
      <c r="C10822" s="1" t="n">
        <v>46093</v>
      </c>
      <c r="D10822" t="inlineStr">
        <is>
          <t>VÄSTERNORRLANDS LÄN</t>
        </is>
      </c>
      <c r="E10822" t="inlineStr">
        <is>
          <t>ÅNGE</t>
        </is>
      </c>
      <c r="F10822" t="inlineStr">
        <is>
          <t>SCA</t>
        </is>
      </c>
      <c r="G10822" t="n">
        <v>1.8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10678-2026</t>
        </is>
      </c>
      <c r="B10823" s="1" t="n">
        <v>46078.40769675926</v>
      </c>
      <c r="C10823" s="1" t="n">
        <v>46093</v>
      </c>
      <c r="D10823" t="inlineStr">
        <is>
          <t>VÄSTERNORRLANDS LÄN</t>
        </is>
      </c>
      <c r="E10823" t="inlineStr">
        <is>
          <t>ÅNGE</t>
        </is>
      </c>
      <c r="F10823" t="inlineStr">
        <is>
          <t>SCA</t>
        </is>
      </c>
      <c r="G10823" t="n">
        <v>19.9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22475-2025</t>
        </is>
      </c>
      <c r="B10824" s="1" t="n">
        <v>45786.6258912037</v>
      </c>
      <c r="C10824" s="1" t="n">
        <v>46093</v>
      </c>
      <c r="D10824" t="inlineStr">
        <is>
          <t>VÄSTERNORRLANDS LÄN</t>
        </is>
      </c>
      <c r="E10824" t="inlineStr">
        <is>
          <t>ÖRNSKÖLDSVIK</t>
        </is>
      </c>
      <c r="G10824" t="n">
        <v>2.8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22515-2025</t>
        </is>
      </c>
      <c r="B10825" s="1" t="n">
        <v>45786.67776620371</v>
      </c>
      <c r="C10825" s="1" t="n">
        <v>46093</v>
      </c>
      <c r="D10825" t="inlineStr">
        <is>
          <t>VÄSTERNORRLANDS LÄN</t>
        </is>
      </c>
      <c r="E10825" t="inlineStr">
        <is>
          <t>HÄRNÖSAND</t>
        </is>
      </c>
      <c r="F10825" t="inlineStr">
        <is>
          <t>SCA</t>
        </is>
      </c>
      <c r="G10825" t="n">
        <v>31.8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2752-2026</t>
        </is>
      </c>
      <c r="B10826" s="1" t="n">
        <v>46036</v>
      </c>
      <c r="C10826" s="1" t="n">
        <v>46093</v>
      </c>
      <c r="D10826" t="inlineStr">
        <is>
          <t>VÄSTERNORRLANDS LÄN</t>
        </is>
      </c>
      <c r="E10826" t="inlineStr">
        <is>
          <t>KRAMFORS</t>
        </is>
      </c>
      <c r="G10826" t="n">
        <v>1.2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2040-2026</t>
        </is>
      </c>
      <c r="B10827" s="1" t="n">
        <v>46035</v>
      </c>
      <c r="C10827" s="1" t="n">
        <v>46093</v>
      </c>
      <c r="D10827" t="inlineStr">
        <is>
          <t>VÄSTERNORRLANDS LÄN</t>
        </is>
      </c>
      <c r="E10827" t="inlineStr">
        <is>
          <t>TIMRÅ</t>
        </is>
      </c>
      <c r="G10827" t="n">
        <v>0.9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42813-2024</t>
        </is>
      </c>
      <c r="B10828" s="1" t="n">
        <v>45566.57800925926</v>
      </c>
      <c r="C10828" s="1" t="n">
        <v>46093</v>
      </c>
      <c r="D10828" t="inlineStr">
        <is>
          <t>VÄSTERNORRLANDS LÄN</t>
        </is>
      </c>
      <c r="E10828" t="inlineStr">
        <is>
          <t>ÖRNSKÖLDSVIK</t>
        </is>
      </c>
      <c r="G10828" t="n">
        <v>4.4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24661-2024</t>
        </is>
      </c>
      <c r="B10829" s="1" t="n">
        <v>45460.58011574074</v>
      </c>
      <c r="C10829" s="1" t="n">
        <v>46093</v>
      </c>
      <c r="D10829" t="inlineStr">
        <is>
          <t>VÄSTERNORRLANDS LÄN</t>
        </is>
      </c>
      <c r="E10829" t="inlineStr">
        <is>
          <t>ÖRNSKÖLDSVIK</t>
        </is>
      </c>
      <c r="F10829" t="inlineStr">
        <is>
          <t>Holmen skog AB</t>
        </is>
      </c>
      <c r="G10829" t="n">
        <v>2.2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2376-2026</t>
        </is>
      </c>
      <c r="B10830" s="1" t="n">
        <v>46036.65675925926</v>
      </c>
      <c r="C10830" s="1" t="n">
        <v>46093</v>
      </c>
      <c r="D10830" t="inlineStr">
        <is>
          <t>VÄSTERNORRLANDS LÄN</t>
        </is>
      </c>
      <c r="E10830" t="inlineStr">
        <is>
          <t>SOLLEFTEÅ</t>
        </is>
      </c>
      <c r="F10830" t="inlineStr">
        <is>
          <t>SCA</t>
        </is>
      </c>
      <c r="G10830" t="n">
        <v>6.3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9706-2026</t>
        </is>
      </c>
      <c r="B10831" s="1" t="n">
        <v>46072</v>
      </c>
      <c r="C10831" s="1" t="n">
        <v>46093</v>
      </c>
      <c r="D10831" t="inlineStr">
        <is>
          <t>VÄSTERNORRLANDS LÄN</t>
        </is>
      </c>
      <c r="E10831" t="inlineStr">
        <is>
          <t>SOLLEFTEÅ</t>
        </is>
      </c>
      <c r="G10831" t="n">
        <v>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22184-2025</t>
        </is>
      </c>
      <c r="B10832" s="1" t="n">
        <v>45785.61679398148</v>
      </c>
      <c r="C10832" s="1" t="n">
        <v>46093</v>
      </c>
      <c r="D10832" t="inlineStr">
        <is>
          <t>VÄSTERNORRLANDS LÄN</t>
        </is>
      </c>
      <c r="E10832" t="inlineStr">
        <is>
          <t>SOLLEFTEÅ</t>
        </is>
      </c>
      <c r="F10832" t="inlineStr">
        <is>
          <t>SCA</t>
        </is>
      </c>
      <c r="G10832" t="n">
        <v>7.4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7205-2026</t>
        </is>
      </c>
      <c r="B10833" s="1" t="n">
        <v>46058</v>
      </c>
      <c r="C10833" s="1" t="n">
        <v>46093</v>
      </c>
      <c r="D10833" t="inlineStr">
        <is>
          <t>VÄSTERNORRLANDS LÄN</t>
        </is>
      </c>
      <c r="E10833" t="inlineStr">
        <is>
          <t>HÄRNÖSAND</t>
        </is>
      </c>
      <c r="G10833" t="n">
        <v>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22219-2025</t>
        </is>
      </c>
      <c r="B10834" s="1" t="n">
        <v>45785.65849537037</v>
      </c>
      <c r="C10834" s="1" t="n">
        <v>46093</v>
      </c>
      <c r="D10834" t="inlineStr">
        <is>
          <t>VÄSTERNORRLANDS LÄN</t>
        </is>
      </c>
      <c r="E10834" t="inlineStr">
        <is>
          <t>ÅNGE</t>
        </is>
      </c>
      <c r="F10834" t="inlineStr">
        <is>
          <t>SCA</t>
        </is>
      </c>
      <c r="G10834" t="n">
        <v>1.4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22206-2025</t>
        </is>
      </c>
      <c r="B10835" s="1" t="n">
        <v>45785.65699074074</v>
      </c>
      <c r="C10835" s="1" t="n">
        <v>46093</v>
      </c>
      <c r="D10835" t="inlineStr">
        <is>
          <t>VÄSTERNORRLANDS LÄN</t>
        </is>
      </c>
      <c r="E10835" t="inlineStr">
        <is>
          <t>ÅNGE</t>
        </is>
      </c>
      <c r="F10835" t="inlineStr">
        <is>
          <t>SCA</t>
        </is>
      </c>
      <c r="G10835" t="n">
        <v>2.6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22211-2025</t>
        </is>
      </c>
      <c r="B10836" s="1" t="n">
        <v>45785.65752314815</v>
      </c>
      <c r="C10836" s="1" t="n">
        <v>46093</v>
      </c>
      <c r="D10836" t="inlineStr">
        <is>
          <t>VÄSTERNORRLANDS LÄN</t>
        </is>
      </c>
      <c r="E10836" t="inlineStr">
        <is>
          <t>SOLLEFTEÅ</t>
        </is>
      </c>
      <c r="F10836" t="inlineStr">
        <is>
          <t>SCA</t>
        </is>
      </c>
      <c r="G10836" t="n">
        <v>1.5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2477-2026</t>
        </is>
      </c>
      <c r="B10837" s="1" t="n">
        <v>46035</v>
      </c>
      <c r="C10837" s="1" t="n">
        <v>46093</v>
      </c>
      <c r="D10837" t="inlineStr">
        <is>
          <t>VÄSTERNORRLANDS LÄN</t>
        </is>
      </c>
      <c r="E10837" t="inlineStr">
        <is>
          <t>TIMRÅ</t>
        </is>
      </c>
      <c r="G10837" t="n">
        <v>1.5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22036-2025</t>
        </is>
      </c>
      <c r="B10838" s="1" t="n">
        <v>45785.31820601852</v>
      </c>
      <c r="C10838" s="1" t="n">
        <v>46093</v>
      </c>
      <c r="D10838" t="inlineStr">
        <is>
          <t>VÄSTERNORRLANDS LÄN</t>
        </is>
      </c>
      <c r="E10838" t="inlineStr">
        <is>
          <t>SOLLEFTEÅ</t>
        </is>
      </c>
      <c r="G10838" t="n">
        <v>1.9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9832-2026</t>
        </is>
      </c>
      <c r="B10839" s="1" t="n">
        <v>46072</v>
      </c>
      <c r="C10839" s="1" t="n">
        <v>46093</v>
      </c>
      <c r="D10839" t="inlineStr">
        <is>
          <t>VÄSTERNORRLANDS LÄN</t>
        </is>
      </c>
      <c r="E10839" t="inlineStr">
        <is>
          <t>ÅNGE</t>
        </is>
      </c>
      <c r="G10839" t="n">
        <v>7.2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10392-2026</t>
        </is>
      </c>
      <c r="B10840" s="1" t="n">
        <v>46077.2993287037</v>
      </c>
      <c r="C10840" s="1" t="n">
        <v>46093</v>
      </c>
      <c r="D10840" t="inlineStr">
        <is>
          <t>VÄSTERNORRLANDS LÄN</t>
        </is>
      </c>
      <c r="E10840" t="inlineStr">
        <is>
          <t>ÖRNSKÖLDSVIK</t>
        </is>
      </c>
      <c r="G10840" t="n">
        <v>1.3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10411-2026</t>
        </is>
      </c>
      <c r="B10841" s="1" t="n">
        <v>46077.34547453704</v>
      </c>
      <c r="C10841" s="1" t="n">
        <v>46093</v>
      </c>
      <c r="D10841" t="inlineStr">
        <is>
          <t>VÄSTERNORRLANDS LÄN</t>
        </is>
      </c>
      <c r="E10841" t="inlineStr">
        <is>
          <t>ÅNGE</t>
        </is>
      </c>
      <c r="F10841" t="inlineStr">
        <is>
          <t>SCA</t>
        </is>
      </c>
      <c r="G10841" t="n">
        <v>0.9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10396-2026</t>
        </is>
      </c>
      <c r="B10842" s="1" t="n">
        <v>46077.30953703704</v>
      </c>
      <c r="C10842" s="1" t="n">
        <v>46093</v>
      </c>
      <c r="D10842" t="inlineStr">
        <is>
          <t>VÄSTERNORRLANDS LÄN</t>
        </is>
      </c>
      <c r="E10842" t="inlineStr">
        <is>
          <t>ÖRNSKÖLDSVIK</t>
        </is>
      </c>
      <c r="G10842" t="n">
        <v>2.1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9776-2026</t>
        </is>
      </c>
      <c r="B10843" s="1" t="n">
        <v>46071</v>
      </c>
      <c r="C10843" s="1" t="n">
        <v>46093</v>
      </c>
      <c r="D10843" t="inlineStr">
        <is>
          <t>VÄSTERNORRLANDS LÄN</t>
        </is>
      </c>
      <c r="E10843" t="inlineStr">
        <is>
          <t>HÄRNÖSAND</t>
        </is>
      </c>
      <c r="G10843" t="n">
        <v>9.300000000000001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22079-2025</t>
        </is>
      </c>
      <c r="B10844" s="1" t="n">
        <v>45785</v>
      </c>
      <c r="C10844" s="1" t="n">
        <v>46093</v>
      </c>
      <c r="D10844" t="inlineStr">
        <is>
          <t>VÄSTERNORRLANDS LÄN</t>
        </is>
      </c>
      <c r="E10844" t="inlineStr">
        <is>
          <t>HÄRNÖSAND</t>
        </is>
      </c>
      <c r="F10844" t="inlineStr">
        <is>
          <t>SCA</t>
        </is>
      </c>
      <c r="G10844" t="n">
        <v>4.4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22099-2025</t>
        </is>
      </c>
      <c r="B10845" s="1" t="n">
        <v>45785.47561342592</v>
      </c>
      <c r="C10845" s="1" t="n">
        <v>46093</v>
      </c>
      <c r="D10845" t="inlineStr">
        <is>
          <t>VÄSTERNORRLANDS LÄN</t>
        </is>
      </c>
      <c r="E10845" t="inlineStr">
        <is>
          <t>HÄRNÖSAND</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22218-2025</t>
        </is>
      </c>
      <c r="B10846" s="1" t="n">
        <v>45785.65840277778</v>
      </c>
      <c r="C10846" s="1" t="n">
        <v>46093</v>
      </c>
      <c r="D10846" t="inlineStr">
        <is>
          <t>VÄSTERNORRLANDS LÄN</t>
        </is>
      </c>
      <c r="E10846" t="inlineStr">
        <is>
          <t>SOLLEFTEÅ</t>
        </is>
      </c>
      <c r="F10846" t="inlineStr">
        <is>
          <t>SCA</t>
        </is>
      </c>
      <c r="G10846" t="n">
        <v>2.5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9804-2026</t>
        </is>
      </c>
      <c r="B10847" s="1" t="n">
        <v>46071</v>
      </c>
      <c r="C10847" s="1" t="n">
        <v>46093</v>
      </c>
      <c r="D10847" t="inlineStr">
        <is>
          <t>VÄSTERNORRLANDS LÄN</t>
        </is>
      </c>
      <c r="E10847" t="inlineStr">
        <is>
          <t>HÄRNÖSAND</t>
        </is>
      </c>
      <c r="G10847" t="n">
        <v>2.2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9805-2026</t>
        </is>
      </c>
      <c r="B10848" s="1" t="n">
        <v>46071</v>
      </c>
      <c r="C10848" s="1" t="n">
        <v>46093</v>
      </c>
      <c r="D10848" t="inlineStr">
        <is>
          <t>VÄSTERNORRLANDS LÄN</t>
        </is>
      </c>
      <c r="E10848" t="inlineStr">
        <is>
          <t>HÄRNÖSAND</t>
        </is>
      </c>
      <c r="G10848" t="n">
        <v>2.5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6808-2026</t>
        </is>
      </c>
      <c r="B10849" s="1" t="n">
        <v>46057</v>
      </c>
      <c r="C10849" s="1" t="n">
        <v>46093</v>
      </c>
      <c r="D10849" t="inlineStr">
        <is>
          <t>VÄSTERNORRLANDS LÄN</t>
        </is>
      </c>
      <c r="E10849" t="inlineStr">
        <is>
          <t>KRAMFORS</t>
        </is>
      </c>
      <c r="G10849" t="n">
        <v>1.5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10422-2026</t>
        </is>
      </c>
      <c r="B10850" s="1" t="n">
        <v>46077.36511574074</v>
      </c>
      <c r="C10850" s="1" t="n">
        <v>46093</v>
      </c>
      <c r="D10850" t="inlineStr">
        <is>
          <t>VÄSTERNORRLANDS LÄN</t>
        </is>
      </c>
      <c r="E10850" t="inlineStr">
        <is>
          <t>SOLLEFTEÅ</t>
        </is>
      </c>
      <c r="F10850" t="inlineStr">
        <is>
          <t>SCA</t>
        </is>
      </c>
      <c r="G10850" t="n">
        <v>37.6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10465-2026</t>
        </is>
      </c>
      <c r="B10851" s="1" t="n">
        <v>46077.46820601852</v>
      </c>
      <c r="C10851" s="1" t="n">
        <v>46093</v>
      </c>
      <c r="D10851" t="inlineStr">
        <is>
          <t>VÄSTERNORRLANDS LÄN</t>
        </is>
      </c>
      <c r="E10851" t="inlineStr">
        <is>
          <t>KRAMFORS</t>
        </is>
      </c>
      <c r="F10851" t="inlineStr">
        <is>
          <t>Kommuner</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50864-2024</t>
        </is>
      </c>
      <c r="B10852" s="1" t="n">
        <v>45602.63653935185</v>
      </c>
      <c r="C10852" s="1" t="n">
        <v>46093</v>
      </c>
      <c r="D10852" t="inlineStr">
        <is>
          <t>VÄSTERNORRLANDS LÄN</t>
        </is>
      </c>
      <c r="E10852" t="inlineStr">
        <is>
          <t>SOLLEFTEÅ</t>
        </is>
      </c>
      <c r="G10852" t="n">
        <v>9.5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10647-2026</t>
        </is>
      </c>
      <c r="B10853" s="1" t="n">
        <v>46078.344375</v>
      </c>
      <c r="C10853" s="1" t="n">
        <v>46093</v>
      </c>
      <c r="D10853" t="inlineStr">
        <is>
          <t>VÄSTERNORRLANDS LÄN</t>
        </is>
      </c>
      <c r="E10853" t="inlineStr">
        <is>
          <t>ÅNGE</t>
        </is>
      </c>
      <c r="F10853" t="inlineStr">
        <is>
          <t>SCA</t>
        </is>
      </c>
      <c r="G10853" t="n">
        <v>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1815-2026</t>
        </is>
      </c>
      <c r="B10854" s="1" t="n">
        <v>46035.34446759259</v>
      </c>
      <c r="C10854" s="1" t="n">
        <v>46093</v>
      </c>
      <c r="D10854" t="inlineStr">
        <is>
          <t>VÄSTERNORRLANDS LÄN</t>
        </is>
      </c>
      <c r="E10854" t="inlineStr">
        <is>
          <t>SUNDSVALL</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2849-2026</t>
        </is>
      </c>
      <c r="B10855" s="1" t="n">
        <v>46038</v>
      </c>
      <c r="C10855" s="1" t="n">
        <v>46093</v>
      </c>
      <c r="D10855" t="inlineStr">
        <is>
          <t>VÄSTERNORRLANDS LÄN</t>
        </is>
      </c>
      <c r="E10855" t="inlineStr">
        <is>
          <t>ÖRNSKÖLDSVIK</t>
        </is>
      </c>
      <c r="G10855" t="n">
        <v>5.2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2085-2026</t>
        </is>
      </c>
      <c r="B10856" s="1" t="n">
        <v>46036.35619212963</v>
      </c>
      <c r="C10856" s="1" t="n">
        <v>46093</v>
      </c>
      <c r="D10856" t="inlineStr">
        <is>
          <t>VÄSTERNORRLANDS LÄN</t>
        </is>
      </c>
      <c r="E10856" t="inlineStr">
        <is>
          <t>ÖRNSKÖLDSVIK</t>
        </is>
      </c>
      <c r="G10856" t="n">
        <v>8.199999999999999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30770-2024</t>
        </is>
      </c>
      <c r="B10857" s="1" t="n">
        <v>45496.93024305555</v>
      </c>
      <c r="C10857" s="1" t="n">
        <v>46093</v>
      </c>
      <c r="D10857" t="inlineStr">
        <is>
          <t>VÄSTERNORRLANDS LÄN</t>
        </is>
      </c>
      <c r="E10857" t="inlineStr">
        <is>
          <t>KRAMFORS</t>
        </is>
      </c>
      <c r="F10857" t="inlineStr">
        <is>
          <t>Kyrkan</t>
        </is>
      </c>
      <c r="G10857" t="n">
        <v>1.8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26640-2024</t>
        </is>
      </c>
      <c r="B10858" s="1" t="n">
        <v>45469.92831018518</v>
      </c>
      <c r="C10858" s="1" t="n">
        <v>46093</v>
      </c>
      <c r="D10858" t="inlineStr">
        <is>
          <t>VÄSTERNORRLANDS LÄN</t>
        </is>
      </c>
      <c r="E10858" t="inlineStr">
        <is>
          <t>ÅNGE</t>
        </is>
      </c>
      <c r="G10858" t="n">
        <v>9.9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10657-2026</t>
        </is>
      </c>
      <c r="B10859" s="1" t="n">
        <v>46078.36505787037</v>
      </c>
      <c r="C10859" s="1" t="n">
        <v>46093</v>
      </c>
      <c r="D10859" t="inlineStr">
        <is>
          <t>VÄSTERNORRLANDS LÄN</t>
        </is>
      </c>
      <c r="E10859" t="inlineStr">
        <is>
          <t>ÅNGE</t>
        </is>
      </c>
      <c r="F10859" t="inlineStr">
        <is>
          <t>SCA</t>
        </is>
      </c>
      <c r="G10859" t="n">
        <v>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45437-2024</t>
        </is>
      </c>
      <c r="B10860" s="1" t="n">
        <v>45576</v>
      </c>
      <c r="C10860" s="1" t="n">
        <v>46093</v>
      </c>
      <c r="D10860" t="inlineStr">
        <is>
          <t>VÄSTERNORRLANDS LÄN</t>
        </is>
      </c>
      <c r="E10860" t="inlineStr">
        <is>
          <t>ÖRNSKÖLDSVIK</t>
        </is>
      </c>
      <c r="G10860" t="n">
        <v>6.7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45502-2024</t>
        </is>
      </c>
      <c r="B10861" s="1" t="n">
        <v>45578.37409722222</v>
      </c>
      <c r="C10861" s="1" t="n">
        <v>46093</v>
      </c>
      <c r="D10861" t="inlineStr">
        <is>
          <t>VÄSTERNORRLANDS LÄN</t>
        </is>
      </c>
      <c r="E10861" t="inlineStr">
        <is>
          <t>HÄRNÖSAND</t>
        </is>
      </c>
      <c r="G10861" t="n">
        <v>5.5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22347-2025</t>
        </is>
      </c>
      <c r="B10862" s="1" t="n">
        <v>45786.44875</v>
      </c>
      <c r="C10862" s="1" t="n">
        <v>46093</v>
      </c>
      <c r="D10862" t="inlineStr">
        <is>
          <t>VÄSTERNORRLANDS LÄN</t>
        </is>
      </c>
      <c r="E10862" t="inlineStr">
        <is>
          <t>SUNDSVALL</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22362-2025</t>
        </is>
      </c>
      <c r="B10863" s="1" t="n">
        <v>45786.46815972222</v>
      </c>
      <c r="C10863" s="1" t="n">
        <v>46093</v>
      </c>
      <c r="D10863" t="inlineStr">
        <is>
          <t>VÄSTERNORRLANDS LÄN</t>
        </is>
      </c>
      <c r="E10863" t="inlineStr">
        <is>
          <t>ÖRNSKÖLDSVIK</t>
        </is>
      </c>
      <c r="F10863" t="inlineStr">
        <is>
          <t>Holmen skog AB</t>
        </is>
      </c>
      <c r="G10863" t="n">
        <v>2.1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22445-2025</t>
        </is>
      </c>
      <c r="B10864" s="1" t="n">
        <v>45786.59431712963</v>
      </c>
      <c r="C10864" s="1" t="n">
        <v>46093</v>
      </c>
      <c r="D10864" t="inlineStr">
        <is>
          <t>VÄSTERNORRLANDS LÄN</t>
        </is>
      </c>
      <c r="E10864" t="inlineStr">
        <is>
          <t>SUNDSVALL</t>
        </is>
      </c>
      <c r="G10864" t="n">
        <v>1.3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2613-2026</t>
        </is>
      </c>
      <c r="B10865" s="1" t="n">
        <v>46035</v>
      </c>
      <c r="C10865" s="1" t="n">
        <v>46093</v>
      </c>
      <c r="D10865" t="inlineStr">
        <is>
          <t>VÄSTERNORRLANDS LÄN</t>
        </is>
      </c>
      <c r="E10865" t="inlineStr">
        <is>
          <t>SUNDSVALL</t>
        </is>
      </c>
      <c r="G10865" t="n">
        <v>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2638-2026</t>
        </is>
      </c>
      <c r="B10866" s="1" t="n">
        <v>46035</v>
      </c>
      <c r="C10866" s="1" t="n">
        <v>46093</v>
      </c>
      <c r="D10866" t="inlineStr">
        <is>
          <t>VÄSTERNORRLANDS LÄN</t>
        </is>
      </c>
      <c r="E10866" t="inlineStr">
        <is>
          <t>HÄRNÖSAND</t>
        </is>
      </c>
      <c r="G10866" t="n">
        <v>0.7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2274-2026</t>
        </is>
      </c>
      <c r="B10867" s="1" t="n">
        <v>46036.57377314815</v>
      </c>
      <c r="C10867" s="1" t="n">
        <v>46093</v>
      </c>
      <c r="D10867" t="inlineStr">
        <is>
          <t>VÄSTERNORRLANDS LÄN</t>
        </is>
      </c>
      <c r="E10867" t="inlineStr">
        <is>
          <t>SUNDSVALL</t>
        </is>
      </c>
      <c r="G10867" t="n">
        <v>17.2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10814-2026</t>
        </is>
      </c>
      <c r="B10868" s="1" t="n">
        <v>46078.60829861111</v>
      </c>
      <c r="C10868" s="1" t="n">
        <v>46093</v>
      </c>
      <c r="D10868" t="inlineStr">
        <is>
          <t>VÄSTERNORRLANDS LÄN</t>
        </is>
      </c>
      <c r="E10868" t="inlineStr">
        <is>
          <t>SOLLEFTEÅ</t>
        </is>
      </c>
      <c r="G10868" t="n">
        <v>3.4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10776-2026</t>
        </is>
      </c>
      <c r="B10869" s="1" t="n">
        <v>46078.57349537037</v>
      </c>
      <c r="C10869" s="1" t="n">
        <v>46093</v>
      </c>
      <c r="D10869" t="inlineStr">
        <is>
          <t>VÄSTERNORRLANDS LÄN</t>
        </is>
      </c>
      <c r="E10869" t="inlineStr">
        <is>
          <t>SOLLEFTEÅ</t>
        </is>
      </c>
      <c r="F10869" t="inlineStr">
        <is>
          <t>SCA</t>
        </is>
      </c>
      <c r="G10869" t="n">
        <v>0.6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1999-2026</t>
        </is>
      </c>
      <c r="B10870" s="1" t="n">
        <v>46035.67773148148</v>
      </c>
      <c r="C10870" s="1" t="n">
        <v>46093</v>
      </c>
      <c r="D10870" t="inlineStr">
        <is>
          <t>VÄSTERNORRLANDS LÄN</t>
        </is>
      </c>
      <c r="E10870" t="inlineStr">
        <is>
          <t>SOLLEFTEÅ</t>
        </is>
      </c>
      <c r="G10870" t="n">
        <v>5.7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2183-2026</t>
        </is>
      </c>
      <c r="B10871" s="1" t="n">
        <v>46036.46157407408</v>
      </c>
      <c r="C10871" s="1" t="n">
        <v>46093</v>
      </c>
      <c r="D10871" t="inlineStr">
        <is>
          <t>VÄSTERNORRLANDS LÄN</t>
        </is>
      </c>
      <c r="E10871" t="inlineStr">
        <is>
          <t>SUNDSVALL</t>
        </is>
      </c>
      <c r="G10871" t="n">
        <v>1.3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11689-2024</t>
        </is>
      </c>
      <c r="B10872" s="1" t="n">
        <v>45373.59425925926</v>
      </c>
      <c r="C10872" s="1" t="n">
        <v>46093</v>
      </c>
      <c r="D10872" t="inlineStr">
        <is>
          <t>VÄSTERNORRLANDS LÄN</t>
        </is>
      </c>
      <c r="E10872" t="inlineStr">
        <is>
          <t>ÖRNSKÖLDSVIK</t>
        </is>
      </c>
      <c r="G10872" t="n">
        <v>2.6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10409-2026</t>
        </is>
      </c>
      <c r="B10873" s="1" t="n">
        <v>46077.34508101852</v>
      </c>
      <c r="C10873" s="1" t="n">
        <v>46093</v>
      </c>
      <c r="D10873" t="inlineStr">
        <is>
          <t>VÄSTERNORRLANDS LÄN</t>
        </is>
      </c>
      <c r="E10873" t="inlineStr">
        <is>
          <t>ÅNGE</t>
        </is>
      </c>
      <c r="F10873" t="inlineStr">
        <is>
          <t>SCA</t>
        </is>
      </c>
      <c r="G10873" t="n">
        <v>2.1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10423-2026</t>
        </is>
      </c>
      <c r="B10874" s="1" t="n">
        <v>46077.36527777778</v>
      </c>
      <c r="C10874" s="1" t="n">
        <v>46093</v>
      </c>
      <c r="D10874" t="inlineStr">
        <is>
          <t>VÄSTERNORRLANDS LÄN</t>
        </is>
      </c>
      <c r="E10874" t="inlineStr">
        <is>
          <t>ÖRNSKÖLDSVIK</t>
        </is>
      </c>
      <c r="F10874" t="inlineStr">
        <is>
          <t>SCA</t>
        </is>
      </c>
      <c r="G10874" t="n">
        <v>25.4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22489-2025</t>
        </is>
      </c>
      <c r="B10875" s="1" t="n">
        <v>45786.64946759259</v>
      </c>
      <c r="C10875" s="1" t="n">
        <v>46093</v>
      </c>
      <c r="D10875" t="inlineStr">
        <is>
          <t>VÄSTERNORRLANDS LÄN</t>
        </is>
      </c>
      <c r="E10875" t="inlineStr">
        <is>
          <t>ÅNGE</t>
        </is>
      </c>
      <c r="F10875" t="inlineStr">
        <is>
          <t>Sveaskog</t>
        </is>
      </c>
      <c r="G10875" t="n">
        <v>1.3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2340-2026</t>
        </is>
      </c>
      <c r="B10876" s="1" t="n">
        <v>46036.61560185185</v>
      </c>
      <c r="C10876" s="1" t="n">
        <v>46093</v>
      </c>
      <c r="D10876" t="inlineStr">
        <is>
          <t>VÄSTERNORRLANDS LÄN</t>
        </is>
      </c>
      <c r="E10876" t="inlineStr">
        <is>
          <t>TIMRÅ</t>
        </is>
      </c>
      <c r="G10876" t="n">
        <v>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60804-2025</t>
        </is>
      </c>
      <c r="B10877" s="1" t="n">
        <v>45999</v>
      </c>
      <c r="C10877" s="1" t="n">
        <v>46093</v>
      </c>
      <c r="D10877" t="inlineStr">
        <is>
          <t>VÄSTERNORRLANDS LÄN</t>
        </is>
      </c>
      <c r="E10877" t="inlineStr">
        <is>
          <t>ÖRNSKÖLDSVIK</t>
        </is>
      </c>
      <c r="F10877" t="inlineStr">
        <is>
          <t>Holmen skog AB</t>
        </is>
      </c>
      <c r="G10877" t="n">
        <v>2.3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22046-2025</t>
        </is>
      </c>
      <c r="B10878" s="1" t="n">
        <v>45785.34412037037</v>
      </c>
      <c r="C10878" s="1" t="n">
        <v>46093</v>
      </c>
      <c r="D10878" t="inlineStr">
        <is>
          <t>VÄSTERNORRLANDS LÄN</t>
        </is>
      </c>
      <c r="E10878" t="inlineStr">
        <is>
          <t>SOLLEFTEÅ</t>
        </is>
      </c>
      <c r="F10878" t="inlineStr">
        <is>
          <t>SCA</t>
        </is>
      </c>
      <c r="G10878" t="n">
        <v>5.5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22038-2025</t>
        </is>
      </c>
      <c r="B10879" s="1" t="n">
        <v>45785.32254629629</v>
      </c>
      <c r="C10879" s="1" t="n">
        <v>46093</v>
      </c>
      <c r="D10879" t="inlineStr">
        <is>
          <t>VÄSTERNORRLANDS LÄN</t>
        </is>
      </c>
      <c r="E10879" t="inlineStr">
        <is>
          <t>ÖRNSKÖLDSVIK</t>
        </is>
      </c>
      <c r="F10879" t="inlineStr">
        <is>
          <t>Holmen skog AB</t>
        </is>
      </c>
      <c r="G10879" t="n">
        <v>7.2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22106-2025</t>
        </is>
      </c>
      <c r="B10880" s="1" t="n">
        <v>45785.48988425926</v>
      </c>
      <c r="C10880" s="1" t="n">
        <v>46093</v>
      </c>
      <c r="D10880" t="inlineStr">
        <is>
          <t>VÄSTERNORRLANDS LÄN</t>
        </is>
      </c>
      <c r="E10880" t="inlineStr">
        <is>
          <t>SOLLEFTEÅ</t>
        </is>
      </c>
      <c r="F10880" t="inlineStr">
        <is>
          <t>SCA</t>
        </is>
      </c>
      <c r="G10880" t="n">
        <v>2.6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1971-2026</t>
        </is>
      </c>
      <c r="B10881" s="1" t="n">
        <v>46035.64133101852</v>
      </c>
      <c r="C10881" s="1" t="n">
        <v>46093</v>
      </c>
      <c r="D10881" t="inlineStr">
        <is>
          <t>VÄSTERNORRLANDS LÄN</t>
        </is>
      </c>
      <c r="E10881" t="inlineStr">
        <is>
          <t>ÅNGE</t>
        </is>
      </c>
      <c r="G10881" t="n">
        <v>3.1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22704-2025</t>
        </is>
      </c>
      <c r="B10882" s="1" t="n">
        <v>45789.55251157407</v>
      </c>
      <c r="C10882" s="1" t="n">
        <v>46093</v>
      </c>
      <c r="D10882" t="inlineStr">
        <is>
          <t>VÄSTERNORRLANDS LÄN</t>
        </is>
      </c>
      <c r="E10882" t="inlineStr">
        <is>
          <t>SOLLEFTEÅ</t>
        </is>
      </c>
      <c r="F10882" t="inlineStr">
        <is>
          <t>SCA</t>
        </is>
      </c>
      <c r="G10882" t="n">
        <v>3.3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2076-2026</t>
        </is>
      </c>
      <c r="B10883" s="1" t="n">
        <v>46036</v>
      </c>
      <c r="C10883" s="1" t="n">
        <v>46093</v>
      </c>
      <c r="D10883" t="inlineStr">
        <is>
          <t>VÄSTERNORRLANDS LÄN</t>
        </is>
      </c>
      <c r="E10883" t="inlineStr">
        <is>
          <t>SOLLEFTEÅ</t>
        </is>
      </c>
      <c r="G10883" t="n">
        <v>1.9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2080-2026</t>
        </is>
      </c>
      <c r="B10884" s="1" t="n">
        <v>46036.35287037037</v>
      </c>
      <c r="C10884" s="1" t="n">
        <v>46093</v>
      </c>
      <c r="D10884" t="inlineStr">
        <is>
          <t>VÄSTERNORRLANDS LÄN</t>
        </is>
      </c>
      <c r="E10884" t="inlineStr">
        <is>
          <t>SOLLEFTEÅ</t>
        </is>
      </c>
      <c r="G10884" t="n">
        <v>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40187-2023</t>
        </is>
      </c>
      <c r="B10885" s="1" t="n">
        <v>45169.41689814815</v>
      </c>
      <c r="C10885" s="1" t="n">
        <v>46093</v>
      </c>
      <c r="D10885" t="inlineStr">
        <is>
          <t>VÄSTERNORRLANDS LÄN</t>
        </is>
      </c>
      <c r="E10885" t="inlineStr">
        <is>
          <t>KRAMFORS</t>
        </is>
      </c>
      <c r="G10885" t="n">
        <v>1.6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26172-2024</t>
        </is>
      </c>
      <c r="B10886" s="1" t="n">
        <v>45468</v>
      </c>
      <c r="C10886" s="1" t="n">
        <v>46093</v>
      </c>
      <c r="D10886" t="inlineStr">
        <is>
          <t>VÄSTERNORRLANDS LÄN</t>
        </is>
      </c>
      <c r="E10886" t="inlineStr">
        <is>
          <t>SOLLEFTEÅ</t>
        </is>
      </c>
      <c r="G10886" t="n">
        <v>4.4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10412-2026</t>
        </is>
      </c>
      <c r="B10887" s="1" t="n">
        <v>46077.34564814815</v>
      </c>
      <c r="C10887" s="1" t="n">
        <v>46093</v>
      </c>
      <c r="D10887" t="inlineStr">
        <is>
          <t>VÄSTERNORRLANDS LÄN</t>
        </is>
      </c>
      <c r="E10887" t="inlineStr">
        <is>
          <t>ÅNGE</t>
        </is>
      </c>
      <c r="F10887" t="inlineStr">
        <is>
          <t>SCA</t>
        </is>
      </c>
      <c r="G10887" t="n">
        <v>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1786-2026</t>
        </is>
      </c>
      <c r="B10888" s="1" t="n">
        <v>46034.79486111111</v>
      </c>
      <c r="C10888" s="1" t="n">
        <v>46093</v>
      </c>
      <c r="D10888" t="inlineStr">
        <is>
          <t>VÄSTERNORRLANDS LÄN</t>
        </is>
      </c>
      <c r="E10888" t="inlineStr">
        <is>
          <t>ÖRNSKÖLDSVIK</t>
        </is>
      </c>
      <c r="G10888" t="n">
        <v>1.4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2836-2026</t>
        </is>
      </c>
      <c r="B10889" s="1" t="n">
        <v>46036</v>
      </c>
      <c r="C10889" s="1" t="n">
        <v>46093</v>
      </c>
      <c r="D10889" t="inlineStr">
        <is>
          <t>VÄSTERNORRLANDS LÄN</t>
        </is>
      </c>
      <c r="E10889" t="inlineStr">
        <is>
          <t>SOLLEFTEÅ</t>
        </is>
      </c>
      <c r="G10889" t="n">
        <v>2.3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9333-2026</t>
        </is>
      </c>
      <c r="B10890" s="1" t="n">
        <v>46070</v>
      </c>
      <c r="C10890" s="1" t="n">
        <v>46093</v>
      </c>
      <c r="D10890" t="inlineStr">
        <is>
          <t>VÄSTERNORRLANDS LÄN</t>
        </is>
      </c>
      <c r="E10890" t="inlineStr">
        <is>
          <t>ÅNGE</t>
        </is>
      </c>
      <c r="F10890" t="inlineStr">
        <is>
          <t>SCA</t>
        </is>
      </c>
      <c r="G10890" t="n">
        <v>3.2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22615-2025</t>
        </is>
      </c>
      <c r="B10891" s="1" t="n">
        <v>45789.42741898148</v>
      </c>
      <c r="C10891" s="1" t="n">
        <v>46093</v>
      </c>
      <c r="D10891" t="inlineStr">
        <is>
          <t>VÄSTERNORRLANDS LÄN</t>
        </is>
      </c>
      <c r="E10891" t="inlineStr">
        <is>
          <t>SOLLEFTEÅ</t>
        </is>
      </c>
      <c r="F10891" t="inlineStr">
        <is>
          <t>SCA</t>
        </is>
      </c>
      <c r="G10891" t="n">
        <v>3.8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37058-2023</t>
        </is>
      </c>
      <c r="B10892" s="1" t="n">
        <v>45155.44530092592</v>
      </c>
      <c r="C10892" s="1" t="n">
        <v>46093</v>
      </c>
      <c r="D10892" t="inlineStr">
        <is>
          <t>VÄSTERNORRLANDS LÄN</t>
        </is>
      </c>
      <c r="E10892" t="inlineStr">
        <is>
          <t>ÖRNSKÖLDSVIK</t>
        </is>
      </c>
      <c r="G10892" t="n">
        <v>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22321-2025</t>
        </is>
      </c>
      <c r="B10893" s="1" t="n">
        <v>45786.4065162037</v>
      </c>
      <c r="C10893" s="1" t="n">
        <v>46093</v>
      </c>
      <c r="D10893" t="inlineStr">
        <is>
          <t>VÄSTERNORRLANDS LÄN</t>
        </is>
      </c>
      <c r="E10893" t="inlineStr">
        <is>
          <t>SUNDSVALL</t>
        </is>
      </c>
      <c r="G10893" t="n">
        <v>1.2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22338-2025</t>
        </is>
      </c>
      <c r="B10894" s="1" t="n">
        <v>45786.44493055555</v>
      </c>
      <c r="C10894" s="1" t="n">
        <v>46093</v>
      </c>
      <c r="D10894" t="inlineStr">
        <is>
          <t>VÄSTERNORRLANDS LÄN</t>
        </is>
      </c>
      <c r="E10894" t="inlineStr">
        <is>
          <t>ÖRNSKÖLDSVIK</t>
        </is>
      </c>
      <c r="F10894" t="inlineStr">
        <is>
          <t>Holmen skog AB</t>
        </is>
      </c>
      <c r="G10894" t="n">
        <v>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10722-2026</t>
        </is>
      </c>
      <c r="B10895" s="1" t="n">
        <v>46078.46929398148</v>
      </c>
      <c r="C10895" s="1" t="n">
        <v>46093</v>
      </c>
      <c r="D10895" t="inlineStr">
        <is>
          <t>VÄSTERNORRLANDS LÄN</t>
        </is>
      </c>
      <c r="E10895" t="inlineStr">
        <is>
          <t>ÅNGE</t>
        </is>
      </c>
      <c r="F10895" t="inlineStr">
        <is>
          <t>SCA</t>
        </is>
      </c>
      <c r="G10895" t="n">
        <v>6.8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22820-2025</t>
        </is>
      </c>
      <c r="B10896" s="1" t="n">
        <v>45789.71949074074</v>
      </c>
      <c r="C10896" s="1" t="n">
        <v>46093</v>
      </c>
      <c r="D10896" t="inlineStr">
        <is>
          <t>VÄSTERNORRLANDS LÄN</t>
        </is>
      </c>
      <c r="E10896" t="inlineStr">
        <is>
          <t>TIMRÅ</t>
        </is>
      </c>
      <c r="G10896" t="n">
        <v>1.1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22821-2025</t>
        </is>
      </c>
      <c r="B10897" s="1" t="n">
        <v>45789.71967592592</v>
      </c>
      <c r="C10897" s="1" t="n">
        <v>46093</v>
      </c>
      <c r="D10897" t="inlineStr">
        <is>
          <t>VÄSTERNORRLANDS LÄN</t>
        </is>
      </c>
      <c r="E10897" t="inlineStr">
        <is>
          <t>TIMRÅ</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1897-2026</t>
        </is>
      </c>
      <c r="B10898" s="1" t="n">
        <v>46035</v>
      </c>
      <c r="C10898" s="1" t="n">
        <v>46093</v>
      </c>
      <c r="D10898" t="inlineStr">
        <is>
          <t>VÄSTERNORRLANDS LÄN</t>
        </is>
      </c>
      <c r="E10898" t="inlineStr">
        <is>
          <t>ÅNGE</t>
        </is>
      </c>
      <c r="G10898" t="n">
        <v>4.1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9798-2026</t>
        </is>
      </c>
      <c r="B10899" s="1" t="n">
        <v>46072</v>
      </c>
      <c r="C10899" s="1" t="n">
        <v>46093</v>
      </c>
      <c r="D10899" t="inlineStr">
        <is>
          <t>VÄSTERNORRLANDS LÄN</t>
        </is>
      </c>
      <c r="E10899" t="inlineStr">
        <is>
          <t>ÅNGE</t>
        </is>
      </c>
      <c r="F10899" t="inlineStr">
        <is>
          <t>SCA</t>
        </is>
      </c>
      <c r="G10899" t="n">
        <v>0.9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41028-2024</t>
        </is>
      </c>
      <c r="B10900" s="1" t="n">
        <v>45559.34466435185</v>
      </c>
      <c r="C10900" s="1" t="n">
        <v>46093</v>
      </c>
      <c r="D10900" t="inlineStr">
        <is>
          <t>VÄSTERNORRLANDS LÄN</t>
        </is>
      </c>
      <c r="E10900" t="inlineStr">
        <is>
          <t>SOLLEFTEÅ</t>
        </is>
      </c>
      <c r="F10900" t="inlineStr">
        <is>
          <t>SCA</t>
        </is>
      </c>
      <c r="G10900" t="n">
        <v>3.5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1838-2026</t>
        </is>
      </c>
      <c r="B10901" s="1" t="n">
        <v>46035.3903587963</v>
      </c>
      <c r="C10901" s="1" t="n">
        <v>46093</v>
      </c>
      <c r="D10901" t="inlineStr">
        <is>
          <t>VÄSTERNORRLANDS LÄN</t>
        </is>
      </c>
      <c r="E10901" t="inlineStr">
        <is>
          <t>HÄRNÖSAND</t>
        </is>
      </c>
      <c r="G10901" t="n">
        <v>0.7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1856-2026</t>
        </is>
      </c>
      <c r="B10902" s="1" t="n">
        <v>46035</v>
      </c>
      <c r="C10902" s="1" t="n">
        <v>46093</v>
      </c>
      <c r="D10902" t="inlineStr">
        <is>
          <t>VÄSTERNORRLANDS LÄN</t>
        </is>
      </c>
      <c r="E10902" t="inlineStr">
        <is>
          <t>ÖRNSKÖLDSVIK</t>
        </is>
      </c>
      <c r="G10902" t="n">
        <v>1.2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7201-2026</t>
        </is>
      </c>
      <c r="B10903" s="1" t="n">
        <v>46058</v>
      </c>
      <c r="C10903" s="1" t="n">
        <v>46093</v>
      </c>
      <c r="D10903" t="inlineStr">
        <is>
          <t>VÄSTERNORRLANDS LÄN</t>
        </is>
      </c>
      <c r="E10903" t="inlineStr">
        <is>
          <t>HÄRNÖSAND</t>
        </is>
      </c>
      <c r="G10903" t="n">
        <v>5.1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22549-2025</t>
        </is>
      </c>
      <c r="B10904" s="1" t="n">
        <v>45788.48113425926</v>
      </c>
      <c r="C10904" s="1" t="n">
        <v>46093</v>
      </c>
      <c r="D10904" t="inlineStr">
        <is>
          <t>VÄSTERNORRLANDS LÄN</t>
        </is>
      </c>
      <c r="E10904" t="inlineStr">
        <is>
          <t>ÅNGE</t>
        </is>
      </c>
      <c r="G10904" t="n">
        <v>2.6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22767-2025</t>
        </is>
      </c>
      <c r="B10905" s="1" t="n">
        <v>45789.63309027778</v>
      </c>
      <c r="C10905" s="1" t="n">
        <v>46093</v>
      </c>
      <c r="D10905" t="inlineStr">
        <is>
          <t>VÄSTERNORRLANDS LÄN</t>
        </is>
      </c>
      <c r="E10905" t="inlineStr">
        <is>
          <t>SOLLEFTEÅ</t>
        </is>
      </c>
      <c r="G10905" t="n">
        <v>5.8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22775-2025</t>
        </is>
      </c>
      <c r="B10906" s="1" t="n">
        <v>45789.63674768519</v>
      </c>
      <c r="C10906" s="1" t="n">
        <v>46093</v>
      </c>
      <c r="D10906" t="inlineStr">
        <is>
          <t>VÄSTERNORRLANDS LÄN</t>
        </is>
      </c>
      <c r="E10906" t="inlineStr">
        <is>
          <t>SUNDSVALL</t>
        </is>
      </c>
      <c r="F10906" t="inlineStr">
        <is>
          <t>SCA</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2124-2026</t>
        </is>
      </c>
      <c r="B10907" s="1" t="n">
        <v>46036.38638888889</v>
      </c>
      <c r="C10907" s="1" t="n">
        <v>46093</v>
      </c>
      <c r="D10907" t="inlineStr">
        <is>
          <t>VÄSTERNORRLANDS LÄN</t>
        </is>
      </c>
      <c r="E10907" t="inlineStr">
        <is>
          <t>ÖRNSKÖLDSVIK</t>
        </is>
      </c>
      <c r="F10907" t="inlineStr">
        <is>
          <t>SCA</t>
        </is>
      </c>
      <c r="G10907" t="n">
        <v>6.2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22668-2025</t>
        </is>
      </c>
      <c r="B10908" s="1" t="n">
        <v>45789</v>
      </c>
      <c r="C10908" s="1" t="n">
        <v>46093</v>
      </c>
      <c r="D10908" t="inlineStr">
        <is>
          <t>VÄSTERNORRLANDS LÄN</t>
        </is>
      </c>
      <c r="E10908" t="inlineStr">
        <is>
          <t>TIMRÅ</t>
        </is>
      </c>
      <c r="F10908" t="inlineStr">
        <is>
          <t>SCA</t>
        </is>
      </c>
      <c r="G10908" t="n">
        <v>10.7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2263-2026</t>
        </is>
      </c>
      <c r="B10909" s="1" t="n">
        <v>46036.56760416667</v>
      </c>
      <c r="C10909" s="1" t="n">
        <v>46093</v>
      </c>
      <c r="D10909" t="inlineStr">
        <is>
          <t>VÄSTERNORRLANDS LÄN</t>
        </is>
      </c>
      <c r="E10909" t="inlineStr">
        <is>
          <t>SOLLEFTEÅ</t>
        </is>
      </c>
      <c r="G10909" t="n">
        <v>14.3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10823-2026</t>
        </is>
      </c>
      <c r="B10910" s="1" t="n">
        <v>46078.61910879629</v>
      </c>
      <c r="C10910" s="1" t="n">
        <v>46093</v>
      </c>
      <c r="D10910" t="inlineStr">
        <is>
          <t>VÄSTERNORRLANDS LÄN</t>
        </is>
      </c>
      <c r="E10910" t="inlineStr">
        <is>
          <t>SOLLEFTEÅ</t>
        </is>
      </c>
      <c r="G10910" t="n">
        <v>0.9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28789-2024</t>
        </is>
      </c>
      <c r="B10911" s="1" t="n">
        <v>45478.61197916666</v>
      </c>
      <c r="C10911" s="1" t="n">
        <v>46093</v>
      </c>
      <c r="D10911" t="inlineStr">
        <is>
          <t>VÄSTERNORRLANDS LÄN</t>
        </is>
      </c>
      <c r="E10911" t="inlineStr">
        <is>
          <t>ÖRNSKÖLDSVIK</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1969-2026</t>
        </is>
      </c>
      <c r="B10912" s="1" t="n">
        <v>46035.64024305555</v>
      </c>
      <c r="C10912" s="1" t="n">
        <v>46093</v>
      </c>
      <c r="D10912" t="inlineStr">
        <is>
          <t>VÄSTERNORRLANDS LÄN</t>
        </is>
      </c>
      <c r="E10912" t="inlineStr">
        <is>
          <t>ÅNGE</t>
        </is>
      </c>
      <c r="G10912" t="n">
        <v>3.6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2010-2026</t>
        </is>
      </c>
      <c r="B10913" s="1" t="n">
        <v>46035</v>
      </c>
      <c r="C10913" s="1" t="n">
        <v>46093</v>
      </c>
      <c r="D10913" t="inlineStr">
        <is>
          <t>VÄSTERNORRLANDS LÄN</t>
        </is>
      </c>
      <c r="E10913" t="inlineStr">
        <is>
          <t>ÖRNSKÖLDSVIK</t>
        </is>
      </c>
      <c r="G10913" t="n">
        <v>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22815-2025</t>
        </is>
      </c>
      <c r="B10914" s="1" t="n">
        <v>45789.69826388889</v>
      </c>
      <c r="C10914" s="1" t="n">
        <v>46093</v>
      </c>
      <c r="D10914" t="inlineStr">
        <is>
          <t>VÄSTERNORRLANDS LÄN</t>
        </is>
      </c>
      <c r="E10914" t="inlineStr">
        <is>
          <t>SOLLEFTEÅ</t>
        </is>
      </c>
      <c r="F10914" t="inlineStr">
        <is>
          <t>SCA</t>
        </is>
      </c>
      <c r="G10914" t="n">
        <v>2.3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2039-2026</t>
        </is>
      </c>
      <c r="B10915" s="1" t="n">
        <v>46035</v>
      </c>
      <c r="C10915" s="1" t="n">
        <v>46093</v>
      </c>
      <c r="D10915" t="inlineStr">
        <is>
          <t>VÄSTERNORRLANDS LÄN</t>
        </is>
      </c>
      <c r="E10915" t="inlineStr">
        <is>
          <t>TIMRÅ</t>
        </is>
      </c>
      <c r="G10915" t="n">
        <v>1.3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1807-2026</t>
        </is>
      </c>
      <c r="B10916" s="1" t="n">
        <v>46035.33141203703</v>
      </c>
      <c r="C10916" s="1" t="n">
        <v>46093</v>
      </c>
      <c r="D10916" t="inlineStr">
        <is>
          <t>VÄSTERNORRLANDS LÄN</t>
        </is>
      </c>
      <c r="E10916" t="inlineStr">
        <is>
          <t>ÖRNSKÖLDSVIK</t>
        </is>
      </c>
      <c r="G10916" t="n">
        <v>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1812-2026</t>
        </is>
      </c>
      <c r="B10917" s="1" t="n">
        <v>46035.34425925926</v>
      </c>
      <c r="C10917" s="1" t="n">
        <v>46093</v>
      </c>
      <c r="D10917" t="inlineStr">
        <is>
          <t>VÄSTERNORRLANDS LÄN</t>
        </is>
      </c>
      <c r="E10917" t="inlineStr">
        <is>
          <t>SOLLEFTEÅ</t>
        </is>
      </c>
      <c r="F10917" t="inlineStr">
        <is>
          <t>SCA</t>
        </is>
      </c>
      <c r="G10917" t="n">
        <v>25.8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1833-2026</t>
        </is>
      </c>
      <c r="B10918" s="1" t="n">
        <v>46035.3860300926</v>
      </c>
      <c r="C10918" s="1" t="n">
        <v>46093</v>
      </c>
      <c r="D10918" t="inlineStr">
        <is>
          <t>VÄSTERNORRLANDS LÄN</t>
        </is>
      </c>
      <c r="E10918" t="inlineStr">
        <is>
          <t>ÖRNSKÖLDSVIK</t>
        </is>
      </c>
      <c r="F10918" t="inlineStr">
        <is>
          <t>SCA</t>
        </is>
      </c>
      <c r="G10918" t="n">
        <v>1.9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2391-2026</t>
        </is>
      </c>
      <c r="B10919" s="1" t="n">
        <v>46035</v>
      </c>
      <c r="C10919" s="1" t="n">
        <v>46093</v>
      </c>
      <c r="D10919" t="inlineStr">
        <is>
          <t>VÄSTERNORRLANDS LÄN</t>
        </is>
      </c>
      <c r="E10919" t="inlineStr">
        <is>
          <t>SOLLEFTEÅ</t>
        </is>
      </c>
      <c r="G10919" t="n">
        <v>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31-2024</t>
        </is>
      </c>
      <c r="B10920" s="1" t="n">
        <v>45291</v>
      </c>
      <c r="C10920" s="1" t="n">
        <v>46093</v>
      </c>
      <c r="D10920" t="inlineStr">
        <is>
          <t>VÄSTERNORRLANDS LÄN</t>
        </is>
      </c>
      <c r="E10920" t="inlineStr">
        <is>
          <t>ÖRNSKÖLDSVIK</t>
        </is>
      </c>
      <c r="G10920" t="n">
        <v>2.4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10716-2026</t>
        </is>
      </c>
      <c r="B10921" s="1" t="n">
        <v>46078.46438657407</v>
      </c>
      <c r="C10921" s="1" t="n">
        <v>46093</v>
      </c>
      <c r="D10921" t="inlineStr">
        <is>
          <t>VÄSTERNORRLANDS LÄN</t>
        </is>
      </c>
      <c r="E10921" t="inlineStr">
        <is>
          <t>KRAMFORS</t>
        </is>
      </c>
      <c r="G10921" t="n">
        <v>0.9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10718-2026</t>
        </is>
      </c>
      <c r="B10922" s="1" t="n">
        <v>46078.4666087963</v>
      </c>
      <c r="C10922" s="1" t="n">
        <v>46093</v>
      </c>
      <c r="D10922" t="inlineStr">
        <is>
          <t>VÄSTERNORRLANDS LÄN</t>
        </is>
      </c>
      <c r="E10922" t="inlineStr">
        <is>
          <t>KRAMFORS</t>
        </is>
      </c>
      <c r="G10922" t="n">
        <v>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10719-2026</t>
        </is>
      </c>
      <c r="B10923" s="1" t="n">
        <v>46078.46847222222</v>
      </c>
      <c r="C10923" s="1" t="n">
        <v>46093</v>
      </c>
      <c r="D10923" t="inlineStr">
        <is>
          <t>VÄSTERNORRLANDS LÄN</t>
        </is>
      </c>
      <c r="E10923" t="inlineStr">
        <is>
          <t>SUNDSVALL</t>
        </is>
      </c>
      <c r="G10923" t="n">
        <v>2.2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10723-2026</t>
        </is>
      </c>
      <c r="B10924" s="1" t="n">
        <v>46078.46982638889</v>
      </c>
      <c r="C10924" s="1" t="n">
        <v>46093</v>
      </c>
      <c r="D10924" t="inlineStr">
        <is>
          <t>VÄSTERNORRLANDS LÄN</t>
        </is>
      </c>
      <c r="E10924" t="inlineStr">
        <is>
          <t>ÖRNSKÖLDSVIK</t>
        </is>
      </c>
      <c r="G10924" t="n">
        <v>6.3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10581-2026</t>
        </is>
      </c>
      <c r="B10925" s="1" t="n">
        <v>46077.67774305555</v>
      </c>
      <c r="C10925" s="1" t="n">
        <v>46093</v>
      </c>
      <c r="D10925" t="inlineStr">
        <is>
          <t>VÄSTERNORRLANDS LÄN</t>
        </is>
      </c>
      <c r="E10925" t="inlineStr">
        <is>
          <t>SOLLEFTEÅ</t>
        </is>
      </c>
      <c r="F10925" t="inlineStr">
        <is>
          <t>SCA</t>
        </is>
      </c>
      <c r="G10925" t="n">
        <v>0.9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10582-2026</t>
        </is>
      </c>
      <c r="B10926" s="1" t="n">
        <v>46077.67791666667</v>
      </c>
      <c r="C10926" s="1" t="n">
        <v>46093</v>
      </c>
      <c r="D10926" t="inlineStr">
        <is>
          <t>VÄSTERNORRLANDS LÄN</t>
        </is>
      </c>
      <c r="E10926" t="inlineStr">
        <is>
          <t>SOLLEFTEÅ</t>
        </is>
      </c>
      <c r="F10926" t="inlineStr">
        <is>
          <t>SCA</t>
        </is>
      </c>
      <c r="G10926" t="n">
        <v>1.7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51575-2025</t>
        </is>
      </c>
      <c r="B10927" s="1" t="n">
        <v>45951.34452546296</v>
      </c>
      <c r="C10927" s="1" t="n">
        <v>46093</v>
      </c>
      <c r="D10927" t="inlineStr">
        <is>
          <t>VÄSTERNORRLANDS LÄN</t>
        </is>
      </c>
      <c r="E10927" t="inlineStr">
        <is>
          <t>SOLLEFTEÅ</t>
        </is>
      </c>
      <c r="F10927" t="inlineStr">
        <is>
          <t>SCA</t>
        </is>
      </c>
      <c r="G10927" t="n">
        <v>35.4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2846-2026</t>
        </is>
      </c>
      <c r="B10928" s="1" t="n">
        <v>46038</v>
      </c>
      <c r="C10928" s="1" t="n">
        <v>46093</v>
      </c>
      <c r="D10928" t="inlineStr">
        <is>
          <t>VÄSTERNORRLANDS LÄN</t>
        </is>
      </c>
      <c r="E10928" t="inlineStr">
        <is>
          <t>ÖRNSKÖLDSVIK</t>
        </is>
      </c>
      <c r="G10928" t="n">
        <v>4.3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10648-2026</t>
        </is>
      </c>
      <c r="B10929" s="1" t="n">
        <v>46078.3446412037</v>
      </c>
      <c r="C10929" s="1" t="n">
        <v>46093</v>
      </c>
      <c r="D10929" t="inlineStr">
        <is>
          <t>VÄSTERNORRLANDS LÄN</t>
        </is>
      </c>
      <c r="E10929" t="inlineStr">
        <is>
          <t>ÅNGE</t>
        </is>
      </c>
      <c r="F10929" t="inlineStr">
        <is>
          <t>SCA</t>
        </is>
      </c>
      <c r="G10929" t="n">
        <v>2.1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2014-2026</t>
        </is>
      </c>
      <c r="B10930" s="1" t="n">
        <v>46035</v>
      </c>
      <c r="C10930" s="1" t="n">
        <v>46093</v>
      </c>
      <c r="D10930" t="inlineStr">
        <is>
          <t>VÄSTERNORRLANDS LÄN</t>
        </is>
      </c>
      <c r="E10930" t="inlineStr">
        <is>
          <t>TIMRÅ</t>
        </is>
      </c>
      <c r="G10930" t="n">
        <v>1.7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4584-2024</t>
        </is>
      </c>
      <c r="B10931" s="1" t="n">
        <v>45327.92819444444</v>
      </c>
      <c r="C10931" s="1" t="n">
        <v>46093</v>
      </c>
      <c r="D10931" t="inlineStr">
        <is>
          <t>VÄSTERNORRLANDS LÄN</t>
        </is>
      </c>
      <c r="E10931" t="inlineStr">
        <is>
          <t>SUNDSVALL</t>
        </is>
      </c>
      <c r="G10931" t="n">
        <v>1.3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22926-2025</t>
        </is>
      </c>
      <c r="B10932" s="1" t="n">
        <v>45790</v>
      </c>
      <c r="C10932" s="1" t="n">
        <v>46093</v>
      </c>
      <c r="D10932" t="inlineStr">
        <is>
          <t>VÄSTERNORRLANDS LÄN</t>
        </is>
      </c>
      <c r="E10932" t="inlineStr">
        <is>
          <t>ÅNGE</t>
        </is>
      </c>
      <c r="G10932" t="n">
        <v>1.3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22928-2025</t>
        </is>
      </c>
      <c r="B10933" s="1" t="n">
        <v>45790.44825231482</v>
      </c>
      <c r="C10933" s="1" t="n">
        <v>46093</v>
      </c>
      <c r="D10933" t="inlineStr">
        <is>
          <t>VÄSTERNORRLANDS LÄN</t>
        </is>
      </c>
      <c r="E10933" t="inlineStr">
        <is>
          <t>ÅNGE</t>
        </is>
      </c>
      <c r="F10933" t="inlineStr">
        <is>
          <t>SCA</t>
        </is>
      </c>
      <c r="G10933" t="n">
        <v>5.7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1832-2026</t>
        </is>
      </c>
      <c r="B10934" s="1" t="n">
        <v>46035.38560185185</v>
      </c>
      <c r="C10934" s="1" t="n">
        <v>46093</v>
      </c>
      <c r="D10934" t="inlineStr">
        <is>
          <t>VÄSTERNORRLANDS LÄN</t>
        </is>
      </c>
      <c r="E10934" t="inlineStr">
        <is>
          <t>HÄRNÖSAND</t>
        </is>
      </c>
      <c r="G10934" t="n">
        <v>0.6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22942-2025</t>
        </is>
      </c>
      <c r="B10935" s="1" t="n">
        <v>45790.46957175926</v>
      </c>
      <c r="C10935" s="1" t="n">
        <v>46093</v>
      </c>
      <c r="D10935" t="inlineStr">
        <is>
          <t>VÄSTERNORRLANDS LÄN</t>
        </is>
      </c>
      <c r="E10935" t="inlineStr">
        <is>
          <t>KRAMFORS</t>
        </is>
      </c>
      <c r="G10935" t="n">
        <v>0.3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10829-2026</t>
        </is>
      </c>
      <c r="B10936" s="1" t="n">
        <v>46078.62606481482</v>
      </c>
      <c r="C10936" s="1" t="n">
        <v>46093</v>
      </c>
      <c r="D10936" t="inlineStr">
        <is>
          <t>VÄSTERNORRLANDS LÄN</t>
        </is>
      </c>
      <c r="E10936" t="inlineStr">
        <is>
          <t>SOLLEFTEÅ</t>
        </is>
      </c>
      <c r="G10936" t="n">
        <v>1.9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10832-2026</t>
        </is>
      </c>
      <c r="B10937" s="1" t="n">
        <v>46078.62702546296</v>
      </c>
      <c r="C10937" s="1" t="n">
        <v>46093</v>
      </c>
      <c r="D10937" t="inlineStr">
        <is>
          <t>VÄSTERNORRLANDS LÄN</t>
        </is>
      </c>
      <c r="E10937" t="inlineStr">
        <is>
          <t>SOLLEFTEÅ</t>
        </is>
      </c>
      <c r="G10937" t="n">
        <v>0.6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2023-2026</t>
        </is>
      </c>
      <c r="B10938" s="1" t="n">
        <v>46035.72098379629</v>
      </c>
      <c r="C10938" s="1" t="n">
        <v>46093</v>
      </c>
      <c r="D10938" t="inlineStr">
        <is>
          <t>VÄSTERNORRLANDS LÄN</t>
        </is>
      </c>
      <c r="E10938" t="inlineStr">
        <is>
          <t>SOLLEFTEÅ</t>
        </is>
      </c>
      <c r="G10938" t="n">
        <v>4.4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2027-2026</t>
        </is>
      </c>
      <c r="B10939" s="1" t="n">
        <v>46035.72739583333</v>
      </c>
      <c r="C10939" s="1" t="n">
        <v>46093</v>
      </c>
      <c r="D10939" t="inlineStr">
        <is>
          <t>VÄSTERNORRLANDS LÄN</t>
        </is>
      </c>
      <c r="E10939" t="inlineStr">
        <is>
          <t>SOLLEFTEÅ</t>
        </is>
      </c>
      <c r="G10939" t="n">
        <v>1.9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5861-2026</t>
        </is>
      </c>
      <c r="B10940" s="1" t="n">
        <v>46052</v>
      </c>
      <c r="C10940" s="1" t="n">
        <v>46093</v>
      </c>
      <c r="D10940" t="inlineStr">
        <is>
          <t>VÄSTERNORRLANDS LÄN</t>
        </is>
      </c>
      <c r="E10940" t="inlineStr">
        <is>
          <t>HÄRNÖSAND</t>
        </is>
      </c>
      <c r="G10940" t="n">
        <v>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10853-2026</t>
        </is>
      </c>
      <c r="B10941" s="1" t="n">
        <v>46078.65715277778</v>
      </c>
      <c r="C10941" s="1" t="n">
        <v>46093</v>
      </c>
      <c r="D10941" t="inlineStr">
        <is>
          <t>VÄSTERNORRLANDS LÄN</t>
        </is>
      </c>
      <c r="E10941" t="inlineStr">
        <is>
          <t>SOLLEFTEÅ</t>
        </is>
      </c>
      <c r="F10941" t="inlineStr">
        <is>
          <t>SCA</t>
        </is>
      </c>
      <c r="G10941" t="n">
        <v>1.8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10854-2026</t>
        </is>
      </c>
      <c r="B10942" s="1" t="n">
        <v>46078.65730324074</v>
      </c>
      <c r="C10942" s="1" t="n">
        <v>46093</v>
      </c>
      <c r="D10942" t="inlineStr">
        <is>
          <t>VÄSTERNORRLANDS LÄN</t>
        </is>
      </c>
      <c r="E10942" t="inlineStr">
        <is>
          <t>ÅNGE</t>
        </is>
      </c>
      <c r="F10942" t="inlineStr">
        <is>
          <t>SCA</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10644-2026</t>
        </is>
      </c>
      <c r="B10943" s="1" t="n">
        <v>46078.3327199074</v>
      </c>
      <c r="C10943" s="1" t="n">
        <v>46093</v>
      </c>
      <c r="D10943" t="inlineStr">
        <is>
          <t>VÄSTERNORRLANDS LÄN</t>
        </is>
      </c>
      <c r="E10943" t="inlineStr">
        <is>
          <t>ÖRNSKÖLDSVIK</t>
        </is>
      </c>
      <c r="G10943" t="n">
        <v>3.7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22737-2025</t>
        </is>
      </c>
      <c r="B10944" s="1" t="n">
        <v>45789.59130787037</v>
      </c>
      <c r="C10944" s="1" t="n">
        <v>46093</v>
      </c>
      <c r="D10944" t="inlineStr">
        <is>
          <t>VÄSTERNORRLANDS LÄN</t>
        </is>
      </c>
      <c r="E10944" t="inlineStr">
        <is>
          <t>SOLLEFTEÅ</t>
        </is>
      </c>
      <c r="G10944" t="n">
        <v>15.6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9330-2026</t>
        </is>
      </c>
      <c r="B10945" s="1" t="n">
        <v>46070</v>
      </c>
      <c r="C10945" s="1" t="n">
        <v>46093</v>
      </c>
      <c r="D10945" t="inlineStr">
        <is>
          <t>VÄSTERNORRLANDS LÄN</t>
        </is>
      </c>
      <c r="E10945" t="inlineStr">
        <is>
          <t>ÅNGE</t>
        </is>
      </c>
      <c r="F10945" t="inlineStr">
        <is>
          <t>SCA</t>
        </is>
      </c>
      <c r="G10945" t="n">
        <v>1.1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22287-2025</t>
        </is>
      </c>
      <c r="B10946" s="1" t="n">
        <v>45786.34409722222</v>
      </c>
      <c r="C10946" s="1" t="n">
        <v>46093</v>
      </c>
      <c r="D10946" t="inlineStr">
        <is>
          <t>VÄSTERNORRLANDS LÄN</t>
        </is>
      </c>
      <c r="E10946" t="inlineStr">
        <is>
          <t>SOLLEFTEÅ</t>
        </is>
      </c>
      <c r="F10946" t="inlineStr">
        <is>
          <t>SCA</t>
        </is>
      </c>
      <c r="G10946" t="n">
        <v>1.7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22380-2025</t>
        </is>
      </c>
      <c r="B10947" s="1" t="n">
        <v>45786.49228009259</v>
      </c>
      <c r="C10947" s="1" t="n">
        <v>46093</v>
      </c>
      <c r="D10947" t="inlineStr">
        <is>
          <t>VÄSTERNORRLANDS LÄN</t>
        </is>
      </c>
      <c r="E10947" t="inlineStr">
        <is>
          <t>ÖRNSKÖLDSVIK</t>
        </is>
      </c>
      <c r="F10947" t="inlineStr">
        <is>
          <t>Holmen skog AB</t>
        </is>
      </c>
      <c r="G10947" t="n">
        <v>4.5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22470-2025</t>
        </is>
      </c>
      <c r="B10948" s="1" t="n">
        <v>45786.61554398148</v>
      </c>
      <c r="C10948" s="1" t="n">
        <v>46093</v>
      </c>
      <c r="D10948" t="inlineStr">
        <is>
          <t>VÄSTERNORRLANDS LÄN</t>
        </is>
      </c>
      <c r="E10948" t="inlineStr">
        <is>
          <t>SUNDSVALL</t>
        </is>
      </c>
      <c r="G10948" t="n">
        <v>3.6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2331-2026</t>
        </is>
      </c>
      <c r="B10949" s="1" t="n">
        <v>46036</v>
      </c>
      <c r="C10949" s="1" t="n">
        <v>46093</v>
      </c>
      <c r="D10949" t="inlineStr">
        <is>
          <t>VÄSTERNORRLANDS LÄN</t>
        </is>
      </c>
      <c r="E10949" t="inlineStr">
        <is>
          <t>KRAMFORS</t>
        </is>
      </c>
      <c r="G10949" t="n">
        <v>2.6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22810-2025</t>
        </is>
      </c>
      <c r="B10950" s="1" t="n">
        <v>45789.68076388889</v>
      </c>
      <c r="C10950" s="1" t="n">
        <v>46093</v>
      </c>
      <c r="D10950" t="inlineStr">
        <is>
          <t>VÄSTERNORRLANDS LÄN</t>
        </is>
      </c>
      <c r="E10950" t="inlineStr">
        <is>
          <t>SOLLEFTEÅ</t>
        </is>
      </c>
      <c r="G10950" t="n">
        <v>1.8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22818-2025</t>
        </is>
      </c>
      <c r="B10951" s="1" t="n">
        <v>45789.71915509259</v>
      </c>
      <c r="C10951" s="1" t="n">
        <v>46093</v>
      </c>
      <c r="D10951" t="inlineStr">
        <is>
          <t>VÄSTERNORRLANDS LÄN</t>
        </is>
      </c>
      <c r="E10951" t="inlineStr">
        <is>
          <t>TIMRÅ</t>
        </is>
      </c>
      <c r="G10951" t="n">
        <v>2.8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10749-2026</t>
        </is>
      </c>
      <c r="B10952" s="1" t="n">
        <v>46078.53174768519</v>
      </c>
      <c r="C10952" s="1" t="n">
        <v>46093</v>
      </c>
      <c r="D10952" t="inlineStr">
        <is>
          <t>VÄSTERNORRLANDS LÄN</t>
        </is>
      </c>
      <c r="E10952" t="inlineStr">
        <is>
          <t>ÅNGE</t>
        </is>
      </c>
      <c r="F10952" t="inlineStr">
        <is>
          <t>SCA</t>
        </is>
      </c>
      <c r="G10952" t="n">
        <v>5.4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22852-2025</t>
        </is>
      </c>
      <c r="B10953" s="1" t="n">
        <v>45790.34427083333</v>
      </c>
      <c r="C10953" s="1" t="n">
        <v>46093</v>
      </c>
      <c r="D10953" t="inlineStr">
        <is>
          <t>VÄSTERNORRLANDS LÄN</t>
        </is>
      </c>
      <c r="E10953" t="inlineStr">
        <is>
          <t>HÄRNÖSAND</t>
        </is>
      </c>
      <c r="F10953" t="inlineStr">
        <is>
          <t>SCA</t>
        </is>
      </c>
      <c r="G10953" t="n">
        <v>31.8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22854-2025</t>
        </is>
      </c>
      <c r="B10954" s="1" t="n">
        <v>45790.34457175926</v>
      </c>
      <c r="C10954" s="1" t="n">
        <v>46093</v>
      </c>
      <c r="D10954" t="inlineStr">
        <is>
          <t>VÄSTERNORRLANDS LÄN</t>
        </is>
      </c>
      <c r="E10954" t="inlineStr">
        <is>
          <t>SOLLEFTEÅ</t>
        </is>
      </c>
      <c r="F10954" t="inlineStr">
        <is>
          <t>SCA</t>
        </is>
      </c>
      <c r="G10954" t="n">
        <v>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22858-2025</t>
        </is>
      </c>
      <c r="B10955" s="1" t="n">
        <v>45790.34915509259</v>
      </c>
      <c r="C10955" s="1" t="n">
        <v>46093</v>
      </c>
      <c r="D10955" t="inlineStr">
        <is>
          <t>VÄSTERNORRLANDS LÄN</t>
        </is>
      </c>
      <c r="E10955" t="inlineStr">
        <is>
          <t>ÖRNSKÖLDSVIK</t>
        </is>
      </c>
      <c r="F10955" t="inlineStr">
        <is>
          <t>Holmen skog AB</t>
        </is>
      </c>
      <c r="G10955" t="n">
        <v>4.6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10806-2026</t>
        </is>
      </c>
      <c r="B10956" s="1" t="n">
        <v>46078.60390046296</v>
      </c>
      <c r="C10956" s="1" t="n">
        <v>46093</v>
      </c>
      <c r="D10956" t="inlineStr">
        <is>
          <t>VÄSTERNORRLANDS LÄN</t>
        </is>
      </c>
      <c r="E10956" t="inlineStr">
        <is>
          <t>SOLLEFTEÅ</t>
        </is>
      </c>
      <c r="G10956" t="n">
        <v>3.7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22791-2025</t>
        </is>
      </c>
      <c r="B10957" s="1" t="n">
        <v>45789.65663194445</v>
      </c>
      <c r="C10957" s="1" t="n">
        <v>46093</v>
      </c>
      <c r="D10957" t="inlineStr">
        <is>
          <t>VÄSTERNORRLANDS LÄN</t>
        </is>
      </c>
      <c r="E10957" t="inlineStr">
        <is>
          <t>ÅNGE</t>
        </is>
      </c>
      <c r="F10957" t="inlineStr">
        <is>
          <t>SCA</t>
        </is>
      </c>
      <c r="G10957" t="n">
        <v>3.9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22855-2025</t>
        </is>
      </c>
      <c r="B10958" s="1" t="n">
        <v>45790.34469907408</v>
      </c>
      <c r="C10958" s="1" t="n">
        <v>46093</v>
      </c>
      <c r="D10958" t="inlineStr">
        <is>
          <t>VÄSTERNORRLANDS LÄN</t>
        </is>
      </c>
      <c r="E10958" t="inlineStr">
        <is>
          <t>TIMRÅ</t>
        </is>
      </c>
      <c r="G10958" t="n">
        <v>1.2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2548-2026</t>
        </is>
      </c>
      <c r="B10959" s="1" t="n">
        <v>46037.46987268519</v>
      </c>
      <c r="C10959" s="1" t="n">
        <v>46093</v>
      </c>
      <c r="D10959" t="inlineStr">
        <is>
          <t>VÄSTERNORRLANDS LÄN</t>
        </is>
      </c>
      <c r="E10959" t="inlineStr">
        <is>
          <t>SUNDSVALL</t>
        </is>
      </c>
      <c r="G10959" t="n">
        <v>3.4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2492-2026</t>
        </is>
      </c>
      <c r="B10960" s="1" t="n">
        <v>46037.39542824074</v>
      </c>
      <c r="C10960" s="1" t="n">
        <v>46093</v>
      </c>
      <c r="D10960" t="inlineStr">
        <is>
          <t>VÄSTERNORRLANDS LÄN</t>
        </is>
      </c>
      <c r="E10960" t="inlineStr">
        <is>
          <t>KRAMFORS</t>
        </is>
      </c>
      <c r="G10960" t="n">
        <v>36.4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20389-2025</t>
        </is>
      </c>
      <c r="B10961" s="1" t="n">
        <v>45775</v>
      </c>
      <c r="C10961" s="1" t="n">
        <v>46093</v>
      </c>
      <c r="D10961" t="inlineStr">
        <is>
          <t>VÄSTERNORRLANDS LÄN</t>
        </is>
      </c>
      <c r="E10961" t="inlineStr">
        <is>
          <t>SOLLEFTEÅ</t>
        </is>
      </c>
      <c r="F10961" t="inlineStr">
        <is>
          <t>SCA</t>
        </is>
      </c>
      <c r="G10961" t="n">
        <v>4.2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59997-2023</t>
        </is>
      </c>
      <c r="B10962" s="1" t="n">
        <v>45257.97215277778</v>
      </c>
      <c r="C10962" s="1" t="n">
        <v>46093</v>
      </c>
      <c r="D10962" t="inlineStr">
        <is>
          <t>VÄSTERNORRLANDS LÄN</t>
        </is>
      </c>
      <c r="E10962" t="inlineStr">
        <is>
          <t>SUNDSVALL</t>
        </is>
      </c>
      <c r="F10962" t="inlineStr">
        <is>
          <t>SCA</t>
        </is>
      </c>
      <c r="G10962" t="n">
        <v>2.6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2990-2026</t>
        </is>
      </c>
      <c r="B10963" s="1" t="n">
        <v>46038.63623842593</v>
      </c>
      <c r="C10963" s="1" t="n">
        <v>46093</v>
      </c>
      <c r="D10963" t="inlineStr">
        <is>
          <t>VÄSTERNORRLANDS LÄN</t>
        </is>
      </c>
      <c r="E10963" t="inlineStr">
        <is>
          <t>SUNDSVALL</t>
        </is>
      </c>
      <c r="F10963" t="inlineStr">
        <is>
          <t>SCA</t>
        </is>
      </c>
      <c r="G10963" t="n">
        <v>2.7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9659-2026</t>
        </is>
      </c>
      <c r="B10964" s="1" t="n">
        <v>46072</v>
      </c>
      <c r="C10964" s="1" t="n">
        <v>46093</v>
      </c>
      <c r="D10964" t="inlineStr">
        <is>
          <t>VÄSTERNORRLANDS LÄN</t>
        </is>
      </c>
      <c r="E10964" t="inlineStr">
        <is>
          <t>HÄRNÖSAND</t>
        </is>
      </c>
      <c r="G10964" t="n">
        <v>2.9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967-2025</t>
        </is>
      </c>
      <c r="B10965" s="1" t="n">
        <v>45666</v>
      </c>
      <c r="C10965" s="1" t="n">
        <v>46093</v>
      </c>
      <c r="D10965" t="inlineStr">
        <is>
          <t>VÄSTERNORRLANDS LÄN</t>
        </is>
      </c>
      <c r="E10965" t="inlineStr">
        <is>
          <t>SOLLEFTEÅ</t>
        </is>
      </c>
      <c r="F10965" t="inlineStr">
        <is>
          <t>SCA</t>
        </is>
      </c>
      <c r="G10965" t="n">
        <v>1.3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2538-2026</t>
        </is>
      </c>
      <c r="B10966" s="1" t="n">
        <v>46037.44986111111</v>
      </c>
      <c r="C10966" s="1" t="n">
        <v>46093</v>
      </c>
      <c r="D10966" t="inlineStr">
        <is>
          <t>VÄSTERNORRLANDS LÄN</t>
        </is>
      </c>
      <c r="E10966" t="inlineStr">
        <is>
          <t>KRAMFORS</t>
        </is>
      </c>
      <c r="G10966" t="n">
        <v>5.4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2596-2026</t>
        </is>
      </c>
      <c r="B10967" s="1" t="n">
        <v>46037.56555555556</v>
      </c>
      <c r="C10967" s="1" t="n">
        <v>46093</v>
      </c>
      <c r="D10967" t="inlineStr">
        <is>
          <t>VÄSTERNORRLANDS LÄN</t>
        </is>
      </c>
      <c r="E10967" t="inlineStr">
        <is>
          <t>TIMRÅ</t>
        </is>
      </c>
      <c r="G10967" t="n">
        <v>4.7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10021-2026</t>
        </is>
      </c>
      <c r="B10968" s="1" t="n">
        <v>46073</v>
      </c>
      <c r="C10968" s="1" t="n">
        <v>46093</v>
      </c>
      <c r="D10968" t="inlineStr">
        <is>
          <t>VÄSTERNORRLANDS LÄN</t>
        </is>
      </c>
      <c r="E10968" t="inlineStr">
        <is>
          <t>ÖRNSKÖLDSVIK</t>
        </is>
      </c>
      <c r="G10968" t="n">
        <v>1.5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22866-2025</t>
        </is>
      </c>
      <c r="B10969" s="1" t="n">
        <v>45790.36519675926</v>
      </c>
      <c r="C10969" s="1" t="n">
        <v>46093</v>
      </c>
      <c r="D10969" t="inlineStr">
        <is>
          <t>VÄSTERNORRLANDS LÄN</t>
        </is>
      </c>
      <c r="E10969" t="inlineStr">
        <is>
          <t>SOLLEFTEÅ</t>
        </is>
      </c>
      <c r="F10969" t="inlineStr">
        <is>
          <t>SCA</t>
        </is>
      </c>
      <c r="G10969" t="n">
        <v>16.2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23030-2025</t>
        </is>
      </c>
      <c r="B10970" s="1" t="n">
        <v>45790.65737268519</v>
      </c>
      <c r="C10970" s="1" t="n">
        <v>46093</v>
      </c>
      <c r="D10970" t="inlineStr">
        <is>
          <t>VÄSTERNORRLANDS LÄN</t>
        </is>
      </c>
      <c r="E10970" t="inlineStr">
        <is>
          <t>TIMRÅ</t>
        </is>
      </c>
      <c r="F10970" t="inlineStr">
        <is>
          <t>SCA</t>
        </is>
      </c>
      <c r="G10970" t="n">
        <v>2.1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22562-2025</t>
        </is>
      </c>
      <c r="B10971" s="1" t="n">
        <v>45789.34736111111</v>
      </c>
      <c r="C10971" s="1" t="n">
        <v>46093</v>
      </c>
      <c r="D10971" t="inlineStr">
        <is>
          <t>VÄSTERNORRLANDS LÄN</t>
        </is>
      </c>
      <c r="E10971" t="inlineStr">
        <is>
          <t>SOLLEFTEÅ</t>
        </is>
      </c>
      <c r="G10971" t="n">
        <v>1.1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22570-2025</t>
        </is>
      </c>
      <c r="B10972" s="1" t="n">
        <v>45789.36459490741</v>
      </c>
      <c r="C10972" s="1" t="n">
        <v>46093</v>
      </c>
      <c r="D10972" t="inlineStr">
        <is>
          <t>VÄSTERNORRLANDS LÄN</t>
        </is>
      </c>
      <c r="E10972" t="inlineStr">
        <is>
          <t>ÖRNSKÖLDSVIK</t>
        </is>
      </c>
      <c r="G10972" t="n">
        <v>3.3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10988-2026</t>
        </is>
      </c>
      <c r="B10973" s="1" t="n">
        <v>46079</v>
      </c>
      <c r="C10973" s="1" t="n">
        <v>46093</v>
      </c>
      <c r="D10973" t="inlineStr">
        <is>
          <t>VÄSTERNORRLANDS LÄN</t>
        </is>
      </c>
      <c r="E10973" t="inlineStr">
        <is>
          <t>TIMRÅ</t>
        </is>
      </c>
      <c r="G10973" t="n">
        <v>0.6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11008-2026</t>
        </is>
      </c>
      <c r="B10974" s="1" t="n">
        <v>46079</v>
      </c>
      <c r="C10974" s="1" t="n">
        <v>46093</v>
      </c>
      <c r="D10974" t="inlineStr">
        <is>
          <t>VÄSTERNORRLANDS LÄN</t>
        </is>
      </c>
      <c r="E10974" t="inlineStr">
        <is>
          <t>SOLLEFTEÅ</t>
        </is>
      </c>
      <c r="G10974" t="n">
        <v>1.8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22884-2025</t>
        </is>
      </c>
      <c r="B10975" s="1" t="n">
        <v>45790.38577546296</v>
      </c>
      <c r="C10975" s="1" t="n">
        <v>46093</v>
      </c>
      <c r="D10975" t="inlineStr">
        <is>
          <t>VÄSTERNORRLANDS LÄN</t>
        </is>
      </c>
      <c r="E10975" t="inlineStr">
        <is>
          <t>SUNDSVALL</t>
        </is>
      </c>
      <c r="F10975" t="inlineStr">
        <is>
          <t>SCA</t>
        </is>
      </c>
      <c r="G10975" t="n">
        <v>4.5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16941-2025</t>
        </is>
      </c>
      <c r="B10976" s="1" t="n">
        <v>45755</v>
      </c>
      <c r="C10976" s="1" t="n">
        <v>46093</v>
      </c>
      <c r="D10976" t="inlineStr">
        <is>
          <t>VÄSTERNORRLANDS LÄN</t>
        </is>
      </c>
      <c r="E10976" t="inlineStr">
        <is>
          <t>SUNDSVALL</t>
        </is>
      </c>
      <c r="G10976" t="n">
        <v>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22803-2025</t>
        </is>
      </c>
      <c r="B10977" s="1" t="n">
        <v>45789</v>
      </c>
      <c r="C10977" s="1" t="n">
        <v>46093</v>
      </c>
      <c r="D10977" t="inlineStr">
        <is>
          <t>VÄSTERNORRLANDS LÄN</t>
        </is>
      </c>
      <c r="E10977" t="inlineStr">
        <is>
          <t>SOLLEFTEÅ</t>
        </is>
      </c>
      <c r="G10977" t="n">
        <v>2.7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22837-2025</t>
        </is>
      </c>
      <c r="B10978" s="1" t="n">
        <v>45789.91606481482</v>
      </c>
      <c r="C10978" s="1" t="n">
        <v>46093</v>
      </c>
      <c r="D10978" t="inlineStr">
        <is>
          <t>VÄSTERNORRLANDS LÄN</t>
        </is>
      </c>
      <c r="E10978" t="inlineStr">
        <is>
          <t>SUNDSVALL</t>
        </is>
      </c>
      <c r="G10978" t="n">
        <v>0.6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22853-2025</t>
        </is>
      </c>
      <c r="B10979" s="1" t="n">
        <v>45790.34443287037</v>
      </c>
      <c r="C10979" s="1" t="n">
        <v>46093</v>
      </c>
      <c r="D10979" t="inlineStr">
        <is>
          <t>VÄSTERNORRLANDS LÄN</t>
        </is>
      </c>
      <c r="E10979" t="inlineStr">
        <is>
          <t>SOLLEFTEÅ</t>
        </is>
      </c>
      <c r="F10979" t="inlineStr">
        <is>
          <t>SCA</t>
        </is>
      </c>
      <c r="G10979" t="n">
        <v>2.4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22569-2025</t>
        </is>
      </c>
      <c r="B10980" s="1" t="n">
        <v>45789.36363425926</v>
      </c>
      <c r="C10980" s="1" t="n">
        <v>46093</v>
      </c>
      <c r="D10980" t="inlineStr">
        <is>
          <t>VÄSTERNORRLANDS LÄN</t>
        </is>
      </c>
      <c r="E10980" t="inlineStr">
        <is>
          <t>SOLLEFTEÅ</t>
        </is>
      </c>
      <c r="G10980" t="n">
        <v>3.7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10969-2026</t>
        </is>
      </c>
      <c r="B10981" s="1" t="n">
        <v>46079.44508101852</v>
      </c>
      <c r="C10981" s="1" t="n">
        <v>46093</v>
      </c>
      <c r="D10981" t="inlineStr">
        <is>
          <t>VÄSTERNORRLANDS LÄN</t>
        </is>
      </c>
      <c r="E10981" t="inlineStr">
        <is>
          <t>SUNDSVALL</t>
        </is>
      </c>
      <c r="G10981" t="n">
        <v>4.7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11196-2026</t>
        </is>
      </c>
      <c r="B10982" s="1" t="n">
        <v>46080.4278587963</v>
      </c>
      <c r="C10982" s="1" t="n">
        <v>46093</v>
      </c>
      <c r="D10982" t="inlineStr">
        <is>
          <t>VÄSTERNORRLANDS LÄN</t>
        </is>
      </c>
      <c r="E10982" t="inlineStr">
        <is>
          <t>ÖRNSKÖLDSVIK</t>
        </is>
      </c>
      <c r="F10982" t="inlineStr">
        <is>
          <t>SCA</t>
        </is>
      </c>
      <c r="G10982" t="n">
        <v>1.1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11197-2026</t>
        </is>
      </c>
      <c r="B10983" s="1" t="n">
        <v>46080.42792824074</v>
      </c>
      <c r="C10983" s="1" t="n">
        <v>46093</v>
      </c>
      <c r="D10983" t="inlineStr">
        <is>
          <t>VÄSTERNORRLANDS LÄN</t>
        </is>
      </c>
      <c r="E10983" t="inlineStr">
        <is>
          <t>ÖRNSKÖLDSVIK</t>
        </is>
      </c>
      <c r="F10983" t="inlineStr">
        <is>
          <t>SCA</t>
        </is>
      </c>
      <c r="G10983" t="n">
        <v>2.9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2475-2026</t>
        </is>
      </c>
      <c r="B10984" s="1" t="n">
        <v>46037.37815972222</v>
      </c>
      <c r="C10984" s="1" t="n">
        <v>46093</v>
      </c>
      <c r="D10984" t="inlineStr">
        <is>
          <t>VÄSTERNORRLANDS LÄN</t>
        </is>
      </c>
      <c r="E10984" t="inlineStr">
        <is>
          <t>SUNDSVALL</t>
        </is>
      </c>
      <c r="G10984" t="n">
        <v>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10276-2026</t>
        </is>
      </c>
      <c r="B10985" s="1" t="n">
        <v>46076</v>
      </c>
      <c r="C10985" s="1" t="n">
        <v>46093</v>
      </c>
      <c r="D10985" t="inlineStr">
        <is>
          <t>VÄSTERNORRLANDS LÄN</t>
        </is>
      </c>
      <c r="E10985" t="inlineStr">
        <is>
          <t>HÄRNÖSAND</t>
        </is>
      </c>
      <c r="G10985" t="n">
        <v>1.4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2576-2026</t>
        </is>
      </c>
      <c r="B10986" s="1" t="n">
        <v>46037.51560185185</v>
      </c>
      <c r="C10986" s="1" t="n">
        <v>46093</v>
      </c>
      <c r="D10986" t="inlineStr">
        <is>
          <t>VÄSTERNORRLANDS LÄN</t>
        </is>
      </c>
      <c r="E10986" t="inlineStr">
        <is>
          <t>SUNDSVALL</t>
        </is>
      </c>
      <c r="G10986" t="n">
        <v>2.8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2586-2026</t>
        </is>
      </c>
      <c r="B10987" s="1" t="n">
        <v>46037.54326388889</v>
      </c>
      <c r="C10987" s="1" t="n">
        <v>46093</v>
      </c>
      <c r="D10987" t="inlineStr">
        <is>
          <t>VÄSTERNORRLANDS LÄN</t>
        </is>
      </c>
      <c r="E10987" t="inlineStr">
        <is>
          <t>SUNDSVALL</t>
        </is>
      </c>
      <c r="G10987" t="n">
        <v>1.7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30769-2024</t>
        </is>
      </c>
      <c r="B10988" s="1" t="n">
        <v>45496.93018518519</v>
      </c>
      <c r="C10988" s="1" t="n">
        <v>46093</v>
      </c>
      <c r="D10988" t="inlineStr">
        <is>
          <t>VÄSTERNORRLANDS LÄN</t>
        </is>
      </c>
      <c r="E10988" t="inlineStr">
        <is>
          <t>KRAMFORS</t>
        </is>
      </c>
      <c r="F10988" t="inlineStr">
        <is>
          <t>Kyrkan</t>
        </is>
      </c>
      <c r="G10988" t="n">
        <v>2.2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23091-2025</t>
        </is>
      </c>
      <c r="B10989" s="1" t="n">
        <v>45791.34456018519</v>
      </c>
      <c r="C10989" s="1" t="n">
        <v>46093</v>
      </c>
      <c r="D10989" t="inlineStr">
        <is>
          <t>VÄSTERNORRLANDS LÄN</t>
        </is>
      </c>
      <c r="E10989" t="inlineStr">
        <is>
          <t>ÅNGE</t>
        </is>
      </c>
      <c r="F10989" t="inlineStr">
        <is>
          <t>SCA</t>
        </is>
      </c>
      <c r="G10989" t="n">
        <v>3.6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69772-2021</t>
        </is>
      </c>
      <c r="B10990" s="1" t="n">
        <v>44532</v>
      </c>
      <c r="C10990" s="1" t="n">
        <v>46093</v>
      </c>
      <c r="D10990" t="inlineStr">
        <is>
          <t>VÄSTERNORRLANDS LÄN</t>
        </is>
      </c>
      <c r="E10990" t="inlineStr">
        <is>
          <t>ÖRNSKÖLDSVIK</t>
        </is>
      </c>
      <c r="G10990" t="n">
        <v>2.6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2817-2026</t>
        </is>
      </c>
      <c r="B10991" s="1" t="n">
        <v>46038.42966435185</v>
      </c>
      <c r="C10991" s="1" t="n">
        <v>46093</v>
      </c>
      <c r="D10991" t="inlineStr">
        <is>
          <t>VÄSTERNORRLANDS LÄN</t>
        </is>
      </c>
      <c r="E10991" t="inlineStr">
        <is>
          <t>HÄRNÖSAND</t>
        </is>
      </c>
      <c r="G10991" t="n">
        <v>3.2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11014-2026</t>
        </is>
      </c>
      <c r="B10992" s="1" t="n">
        <v>46079.53983796296</v>
      </c>
      <c r="C10992" s="1" t="n">
        <v>46093</v>
      </c>
      <c r="D10992" t="inlineStr">
        <is>
          <t>VÄSTERNORRLANDS LÄN</t>
        </is>
      </c>
      <c r="E10992" t="inlineStr">
        <is>
          <t>SOLLEFTEÅ</t>
        </is>
      </c>
      <c r="G10992" t="n">
        <v>8.199999999999999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11017-2026</t>
        </is>
      </c>
      <c r="B10993" s="1" t="n">
        <v>46079.54549768518</v>
      </c>
      <c r="C10993" s="1" t="n">
        <v>46093</v>
      </c>
      <c r="D10993" t="inlineStr">
        <is>
          <t>VÄSTERNORRLANDS LÄN</t>
        </is>
      </c>
      <c r="E10993" t="inlineStr">
        <is>
          <t>SOLLEFTEÅ</t>
        </is>
      </c>
      <c r="G10993" t="n">
        <v>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14403-2022</t>
        </is>
      </c>
      <c r="B10994" s="1" t="n">
        <v>44652</v>
      </c>
      <c r="C10994" s="1" t="n">
        <v>46093</v>
      </c>
      <c r="D10994" t="inlineStr">
        <is>
          <t>VÄSTERNORRLANDS LÄN</t>
        </is>
      </c>
      <c r="E10994" t="inlineStr">
        <is>
          <t>ÖRNSKÖLDSVIK</t>
        </is>
      </c>
      <c r="F10994" t="inlineStr">
        <is>
          <t>Kyrkan</t>
        </is>
      </c>
      <c r="G10994" t="n">
        <v>1.8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17386-2022</t>
        </is>
      </c>
      <c r="B10995" s="1" t="n">
        <v>44678.66943287037</v>
      </c>
      <c r="C10995" s="1" t="n">
        <v>46093</v>
      </c>
      <c r="D10995" t="inlineStr">
        <is>
          <t>VÄSTERNORRLANDS LÄN</t>
        </is>
      </c>
      <c r="E10995" t="inlineStr">
        <is>
          <t>ÖRNSKÖLDSVIK</t>
        </is>
      </c>
      <c r="G10995" t="n">
        <v>10.5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2467-2026</t>
        </is>
      </c>
      <c r="B10996" s="1" t="n">
        <v>46037.36523148148</v>
      </c>
      <c r="C10996" s="1" t="n">
        <v>46093</v>
      </c>
      <c r="D10996" t="inlineStr">
        <is>
          <t>VÄSTERNORRLANDS LÄN</t>
        </is>
      </c>
      <c r="E10996" t="inlineStr">
        <is>
          <t>SUNDSVALL</t>
        </is>
      </c>
      <c r="G10996" t="n">
        <v>0.4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23522-2025</t>
        </is>
      </c>
      <c r="B10997" s="1" t="n">
        <v>45792.51415509259</v>
      </c>
      <c r="C10997" s="1" t="n">
        <v>46093</v>
      </c>
      <c r="D10997" t="inlineStr">
        <is>
          <t>VÄSTERNORRLANDS LÄN</t>
        </is>
      </c>
      <c r="E10997" t="inlineStr">
        <is>
          <t>SOLLEFTEÅ</t>
        </is>
      </c>
      <c r="F10997" t="inlineStr">
        <is>
          <t>Holmen skog AB</t>
        </is>
      </c>
      <c r="G10997" t="n">
        <v>0.6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23095-2025</t>
        </is>
      </c>
      <c r="B10998" s="1" t="n">
        <v>45791.34487268519</v>
      </c>
      <c r="C10998" s="1" t="n">
        <v>46093</v>
      </c>
      <c r="D10998" t="inlineStr">
        <is>
          <t>VÄSTERNORRLANDS LÄN</t>
        </is>
      </c>
      <c r="E10998" t="inlineStr">
        <is>
          <t>SUNDSVALL</t>
        </is>
      </c>
      <c r="F10998" t="inlineStr">
        <is>
          <t>SCA</t>
        </is>
      </c>
      <c r="G10998" t="n">
        <v>6.7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11051-2026</t>
        </is>
      </c>
      <c r="B10999" s="1" t="n">
        <v>46079.59100694444</v>
      </c>
      <c r="C10999" s="1" t="n">
        <v>46093</v>
      </c>
      <c r="D10999" t="inlineStr">
        <is>
          <t>VÄSTERNORRLANDS LÄN</t>
        </is>
      </c>
      <c r="E10999" t="inlineStr">
        <is>
          <t>SUNDSVALL</t>
        </is>
      </c>
      <c r="G10999" t="n">
        <v>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23156-2025</t>
        </is>
      </c>
      <c r="B11000" s="1" t="n">
        <v>45791.40693287037</v>
      </c>
      <c r="C11000" s="1" t="n">
        <v>46093</v>
      </c>
      <c r="D11000" t="inlineStr">
        <is>
          <t>VÄSTERNORRLANDS LÄN</t>
        </is>
      </c>
      <c r="E11000" t="inlineStr">
        <is>
          <t>SUNDSVALL</t>
        </is>
      </c>
      <c r="G11000" t="n">
        <v>1.8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11071-2026</t>
        </is>
      </c>
      <c r="B11001" s="1" t="n">
        <v>46079.61130787037</v>
      </c>
      <c r="C11001" s="1" t="n">
        <v>46093</v>
      </c>
      <c r="D11001" t="inlineStr">
        <is>
          <t>VÄSTERNORRLANDS LÄN</t>
        </is>
      </c>
      <c r="E11001" t="inlineStr">
        <is>
          <t>SOLLEFTEÅ</t>
        </is>
      </c>
      <c r="G11001" t="n">
        <v>4.1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10141-2026</t>
        </is>
      </c>
      <c r="B11002" s="1" t="n">
        <v>46076</v>
      </c>
      <c r="C11002" s="1" t="n">
        <v>46093</v>
      </c>
      <c r="D11002" t="inlineStr">
        <is>
          <t>VÄSTERNORRLANDS LÄN</t>
        </is>
      </c>
      <c r="E11002" t="inlineStr">
        <is>
          <t>TIMRÅ</t>
        </is>
      </c>
      <c r="G11002" t="n">
        <v>0.8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2868-2026</t>
        </is>
      </c>
      <c r="B11003" s="1" t="n">
        <v>46038.50125</v>
      </c>
      <c r="C11003" s="1" t="n">
        <v>46093</v>
      </c>
      <c r="D11003" t="inlineStr">
        <is>
          <t>VÄSTERNORRLANDS LÄN</t>
        </is>
      </c>
      <c r="E11003" t="inlineStr">
        <is>
          <t>ÖRNSKÖLDSVIK</t>
        </is>
      </c>
      <c r="G11003" t="n">
        <v>1.2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11271-2026</t>
        </is>
      </c>
      <c r="B11004" s="1" t="n">
        <v>46080.57349537037</v>
      </c>
      <c r="C11004" s="1" t="n">
        <v>46093</v>
      </c>
      <c r="D11004" t="inlineStr">
        <is>
          <t>VÄSTERNORRLANDS LÄN</t>
        </is>
      </c>
      <c r="E11004" t="inlineStr">
        <is>
          <t>ÅNGE</t>
        </is>
      </c>
      <c r="F11004" t="inlineStr">
        <is>
          <t>SCA</t>
        </is>
      </c>
      <c r="G11004" t="n">
        <v>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5492-2026</t>
        </is>
      </c>
      <c r="B11005" s="1" t="n">
        <v>46050</v>
      </c>
      <c r="C11005" s="1" t="n">
        <v>46093</v>
      </c>
      <c r="D11005" t="inlineStr">
        <is>
          <t>VÄSTERNORRLANDS LÄN</t>
        </is>
      </c>
      <c r="E11005" t="inlineStr">
        <is>
          <t>ÅNGE</t>
        </is>
      </c>
      <c r="G11005" t="n">
        <v>11.3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59065-2024</t>
        </is>
      </c>
      <c r="B11006" s="1" t="n">
        <v>45636.89309027778</v>
      </c>
      <c r="C11006" s="1" t="n">
        <v>46093</v>
      </c>
      <c r="D11006" t="inlineStr">
        <is>
          <t>VÄSTERNORRLANDS LÄN</t>
        </is>
      </c>
      <c r="E11006" t="inlineStr">
        <is>
          <t>KRAMFORS</t>
        </is>
      </c>
      <c r="G11006" t="n">
        <v>1.3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42944-2024</t>
        </is>
      </c>
      <c r="B11007" s="1" t="n">
        <v>45567</v>
      </c>
      <c r="C11007" s="1" t="n">
        <v>46093</v>
      </c>
      <c r="D11007" t="inlineStr">
        <is>
          <t>VÄSTERNORRLANDS LÄN</t>
        </is>
      </c>
      <c r="E11007" t="inlineStr">
        <is>
          <t>ÖRNSKÖLDSVIK</t>
        </is>
      </c>
      <c r="G11007" t="n">
        <v>4.3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23580-2025</t>
        </is>
      </c>
      <c r="B11008" s="1" t="n">
        <v>45792.62555555555</v>
      </c>
      <c r="C11008" s="1" t="n">
        <v>46093</v>
      </c>
      <c r="D11008" t="inlineStr">
        <is>
          <t>VÄSTERNORRLANDS LÄN</t>
        </is>
      </c>
      <c r="E11008" t="inlineStr">
        <is>
          <t>ÅNGE</t>
        </is>
      </c>
      <c r="F11008" t="inlineStr">
        <is>
          <t>Kyrkan</t>
        </is>
      </c>
      <c r="G11008" t="n">
        <v>2.6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45951-2024</t>
        </is>
      </c>
      <c r="B11009" s="1" t="n">
        <v>45580.55883101852</v>
      </c>
      <c r="C11009" s="1" t="n">
        <v>46093</v>
      </c>
      <c r="D11009" t="inlineStr">
        <is>
          <t>VÄSTERNORRLANDS LÄN</t>
        </is>
      </c>
      <c r="E11009" t="inlineStr">
        <is>
          <t>ÖRNSKÖLDSVIK</t>
        </is>
      </c>
      <c r="G11009" t="n">
        <v>1.5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23634-2025</t>
        </is>
      </c>
      <c r="B11010" s="1" t="n">
        <v>45792.67803240741</v>
      </c>
      <c r="C11010" s="1" t="n">
        <v>46093</v>
      </c>
      <c r="D11010" t="inlineStr">
        <is>
          <t>VÄSTERNORRLANDS LÄN</t>
        </is>
      </c>
      <c r="E11010" t="inlineStr">
        <is>
          <t>SOLLEFTEÅ</t>
        </is>
      </c>
      <c r="F11010" t="inlineStr">
        <is>
          <t>SCA</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23637-2025</t>
        </is>
      </c>
      <c r="B11011" s="1" t="n">
        <v>45792.67971064815</v>
      </c>
      <c r="C11011" s="1" t="n">
        <v>46093</v>
      </c>
      <c r="D11011" t="inlineStr">
        <is>
          <t>VÄSTERNORRLANDS LÄN</t>
        </is>
      </c>
      <c r="E11011" t="inlineStr">
        <is>
          <t>SUNDSVALL</t>
        </is>
      </c>
      <c r="G11011" t="n">
        <v>1.1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23653-2025</t>
        </is>
      </c>
      <c r="B11012" s="1" t="n">
        <v>45792</v>
      </c>
      <c r="C11012" s="1" t="n">
        <v>46093</v>
      </c>
      <c r="D11012" t="inlineStr">
        <is>
          <t>VÄSTERNORRLANDS LÄN</t>
        </is>
      </c>
      <c r="E11012" t="inlineStr">
        <is>
          <t>SUNDSVALL</t>
        </is>
      </c>
      <c r="G11012" t="n">
        <v>0.4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23326-2025</t>
        </is>
      </c>
      <c r="B11013" s="1" t="n">
        <v>45791.62273148148</v>
      </c>
      <c r="C11013" s="1" t="n">
        <v>46093</v>
      </c>
      <c r="D11013" t="inlineStr">
        <is>
          <t>VÄSTERNORRLANDS LÄN</t>
        </is>
      </c>
      <c r="E11013" t="inlineStr">
        <is>
          <t>HÄRNÖSAND</t>
        </is>
      </c>
      <c r="G11013" t="n">
        <v>2.6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2453-2026</t>
        </is>
      </c>
      <c r="B11014" s="1" t="n">
        <v>46037.34457175926</v>
      </c>
      <c r="C11014" s="1" t="n">
        <v>46093</v>
      </c>
      <c r="D11014" t="inlineStr">
        <is>
          <t>VÄSTERNORRLANDS LÄN</t>
        </is>
      </c>
      <c r="E11014" t="inlineStr">
        <is>
          <t>SOLLEFTEÅ</t>
        </is>
      </c>
      <c r="G11014" t="n">
        <v>1.7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23343-2025</t>
        </is>
      </c>
      <c r="B11015" s="1" t="n">
        <v>45791.65702546296</v>
      </c>
      <c r="C11015" s="1" t="n">
        <v>46093</v>
      </c>
      <c r="D11015" t="inlineStr">
        <is>
          <t>VÄSTERNORRLANDS LÄN</t>
        </is>
      </c>
      <c r="E11015" t="inlineStr">
        <is>
          <t>ÅNGE</t>
        </is>
      </c>
      <c r="F11015" t="inlineStr">
        <is>
          <t>SCA</t>
        </is>
      </c>
      <c r="G11015" t="n">
        <v>12.6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23346-2025</t>
        </is>
      </c>
      <c r="B11016" s="1" t="n">
        <v>45791.65733796296</v>
      </c>
      <c r="C11016" s="1" t="n">
        <v>46093</v>
      </c>
      <c r="D11016" t="inlineStr">
        <is>
          <t>VÄSTERNORRLANDS LÄN</t>
        </is>
      </c>
      <c r="E11016" t="inlineStr">
        <is>
          <t>TIMRÅ</t>
        </is>
      </c>
      <c r="F11016" t="inlineStr">
        <is>
          <t>SCA</t>
        </is>
      </c>
      <c r="G11016" t="n">
        <v>2.4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23355-2025</t>
        </is>
      </c>
      <c r="B11017" s="1" t="n">
        <v>45791.6706712963</v>
      </c>
      <c r="C11017" s="1" t="n">
        <v>46093</v>
      </c>
      <c r="D11017" t="inlineStr">
        <is>
          <t>VÄSTERNORRLANDS LÄN</t>
        </is>
      </c>
      <c r="E11017" t="inlineStr">
        <is>
          <t>ÖRNSKÖLDSVIK</t>
        </is>
      </c>
      <c r="F11017" t="inlineStr">
        <is>
          <t>Holmen skog AB</t>
        </is>
      </c>
      <c r="G11017" t="n">
        <v>3.8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11281-2026</t>
        </is>
      </c>
      <c r="B11018" s="1" t="n">
        <v>46080.59430555555</v>
      </c>
      <c r="C11018" s="1" t="n">
        <v>46093</v>
      </c>
      <c r="D11018" t="inlineStr">
        <is>
          <t>VÄSTERNORRLANDS LÄN</t>
        </is>
      </c>
      <c r="E11018" t="inlineStr">
        <is>
          <t>SOLLEFTEÅ</t>
        </is>
      </c>
      <c r="F11018" t="inlineStr">
        <is>
          <t>SCA</t>
        </is>
      </c>
      <c r="G11018" t="n">
        <v>3.6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10306-2026</t>
        </is>
      </c>
      <c r="B11019" s="1" t="n">
        <v>46076</v>
      </c>
      <c r="C11019" s="1" t="n">
        <v>46093</v>
      </c>
      <c r="D11019" t="inlineStr">
        <is>
          <t>VÄSTERNORRLANDS LÄN</t>
        </is>
      </c>
      <c r="E11019" t="inlineStr">
        <is>
          <t>TIMRÅ</t>
        </is>
      </c>
      <c r="G11019" t="n">
        <v>4.1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23478-2025</t>
        </is>
      </c>
      <c r="B11020" s="1" t="n">
        <v>45792</v>
      </c>
      <c r="C11020" s="1" t="n">
        <v>46093</v>
      </c>
      <c r="D11020" t="inlineStr">
        <is>
          <t>VÄSTERNORRLANDS LÄN</t>
        </is>
      </c>
      <c r="E11020" t="inlineStr">
        <is>
          <t>SOLLEFTEÅ</t>
        </is>
      </c>
      <c r="F11020" t="inlineStr">
        <is>
          <t>Holmen skog AB</t>
        </is>
      </c>
      <c r="G11020" t="n">
        <v>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36362-2022</t>
        </is>
      </c>
      <c r="B11021" s="1" t="n">
        <v>44803.9271875</v>
      </c>
      <c r="C11021" s="1" t="n">
        <v>46093</v>
      </c>
      <c r="D11021" t="inlineStr">
        <is>
          <t>VÄSTERNORRLANDS LÄN</t>
        </is>
      </c>
      <c r="E11021" t="inlineStr">
        <is>
          <t>KRAMFORS</t>
        </is>
      </c>
      <c r="G11021" t="n">
        <v>5.7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23152-2025</t>
        </is>
      </c>
      <c r="B11022" s="1" t="n">
        <v>45791.40515046296</v>
      </c>
      <c r="C11022" s="1" t="n">
        <v>46093</v>
      </c>
      <c r="D11022" t="inlineStr">
        <is>
          <t>VÄSTERNORRLANDS LÄN</t>
        </is>
      </c>
      <c r="E11022" t="inlineStr">
        <is>
          <t>SUNDSVALL</t>
        </is>
      </c>
      <c r="G11022" t="n">
        <v>1.6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23290-2025</t>
        </is>
      </c>
      <c r="B11023" s="1" t="n">
        <v>45791</v>
      </c>
      <c r="C11023" s="1" t="n">
        <v>46093</v>
      </c>
      <c r="D11023" t="inlineStr">
        <is>
          <t>VÄSTERNORRLANDS LÄN</t>
        </is>
      </c>
      <c r="E11023" t="inlineStr">
        <is>
          <t>HÄRNÖSAND</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2963-2026</t>
        </is>
      </c>
      <c r="B11024" s="1" t="n">
        <v>46038.61508101852</v>
      </c>
      <c r="C11024" s="1" t="n">
        <v>46093</v>
      </c>
      <c r="D11024" t="inlineStr">
        <is>
          <t>VÄSTERNORRLANDS LÄN</t>
        </is>
      </c>
      <c r="E11024" t="inlineStr">
        <is>
          <t>ÖRNSKÖLDSVIK</t>
        </is>
      </c>
      <c r="F11024" t="inlineStr">
        <is>
          <t>SCA</t>
        </is>
      </c>
      <c r="G11024" t="n">
        <v>3.3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61373-2022</t>
        </is>
      </c>
      <c r="B11025" s="1" t="n">
        <v>44915</v>
      </c>
      <c r="C11025" s="1" t="n">
        <v>46093</v>
      </c>
      <c r="D11025" t="inlineStr">
        <is>
          <t>VÄSTERNORRLANDS LÄN</t>
        </is>
      </c>
      <c r="E11025" t="inlineStr">
        <is>
          <t>TIMRÅ</t>
        </is>
      </c>
      <c r="G11025" t="n">
        <v>1.7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11157-2026</t>
        </is>
      </c>
      <c r="B11026" s="1" t="n">
        <v>46080.34425925926</v>
      </c>
      <c r="C11026" s="1" t="n">
        <v>46093</v>
      </c>
      <c r="D11026" t="inlineStr">
        <is>
          <t>VÄSTERNORRLANDS LÄN</t>
        </is>
      </c>
      <c r="E11026" t="inlineStr">
        <is>
          <t>ÅNGE</t>
        </is>
      </c>
      <c r="F11026" t="inlineStr">
        <is>
          <t>SCA</t>
        </is>
      </c>
      <c r="G11026" t="n">
        <v>0.9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11193-2026</t>
        </is>
      </c>
      <c r="B11027" s="1" t="n">
        <v>46080.42586805556</v>
      </c>
      <c r="C11027" s="1" t="n">
        <v>46093</v>
      </c>
      <c r="D11027" t="inlineStr">
        <is>
          <t>VÄSTERNORRLANDS LÄN</t>
        </is>
      </c>
      <c r="E11027" t="inlineStr">
        <is>
          <t>SUNDSVALL</t>
        </is>
      </c>
      <c r="G11027" t="n">
        <v>2.6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23515-2025</t>
        </is>
      </c>
      <c r="B11028" s="1" t="n">
        <v>45792</v>
      </c>
      <c r="C11028" s="1" t="n">
        <v>46093</v>
      </c>
      <c r="D11028" t="inlineStr">
        <is>
          <t>VÄSTERNORRLANDS LÄN</t>
        </is>
      </c>
      <c r="E11028" t="inlineStr">
        <is>
          <t>SOLLEFTEÅ</t>
        </is>
      </c>
      <c r="F11028" t="inlineStr">
        <is>
          <t>Holmen skog AB</t>
        </is>
      </c>
      <c r="G11028" t="n">
        <v>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23573-2025</t>
        </is>
      </c>
      <c r="B11029" s="1" t="n">
        <v>45792.61497685185</v>
      </c>
      <c r="C11029" s="1" t="n">
        <v>46093</v>
      </c>
      <c r="D11029" t="inlineStr">
        <is>
          <t>VÄSTERNORRLANDS LÄN</t>
        </is>
      </c>
      <c r="E11029" t="inlineStr">
        <is>
          <t>ÅNGE</t>
        </is>
      </c>
      <c r="F11029" t="inlineStr">
        <is>
          <t>SCA</t>
        </is>
      </c>
      <c r="G11029" t="n">
        <v>2.8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23577-2025</t>
        </is>
      </c>
      <c r="B11030" s="1" t="n">
        <v>45792.62400462963</v>
      </c>
      <c r="C11030" s="1" t="n">
        <v>46093</v>
      </c>
      <c r="D11030" t="inlineStr">
        <is>
          <t>VÄSTERNORRLANDS LÄN</t>
        </is>
      </c>
      <c r="E11030" t="inlineStr">
        <is>
          <t>KRAMFORS</t>
        </is>
      </c>
      <c r="G11030" t="n">
        <v>0.5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11202-2026</t>
        </is>
      </c>
      <c r="B11031" s="1" t="n">
        <v>46080</v>
      </c>
      <c r="C11031" s="1" t="n">
        <v>46093</v>
      </c>
      <c r="D11031" t="inlineStr">
        <is>
          <t>VÄSTERNORRLANDS LÄN</t>
        </is>
      </c>
      <c r="E11031" t="inlineStr">
        <is>
          <t>HÄRNÖSAND</t>
        </is>
      </c>
      <c r="G11031" t="n">
        <v>0.8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19361-2024</t>
        </is>
      </c>
      <c r="B11032" s="1" t="n">
        <v>45429</v>
      </c>
      <c r="C11032" s="1" t="n">
        <v>46093</v>
      </c>
      <c r="D11032" t="inlineStr">
        <is>
          <t>VÄSTERNORRLANDS LÄN</t>
        </is>
      </c>
      <c r="E11032" t="inlineStr">
        <is>
          <t>ÖRNSKÖLDSVIK</t>
        </is>
      </c>
      <c r="G11032" t="n">
        <v>3.9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23704-2025</t>
        </is>
      </c>
      <c r="B11033" s="1" t="n">
        <v>45792</v>
      </c>
      <c r="C11033" s="1" t="n">
        <v>46093</v>
      </c>
      <c r="D11033" t="inlineStr">
        <is>
          <t>VÄSTERNORRLANDS LÄN</t>
        </is>
      </c>
      <c r="E11033" t="inlineStr">
        <is>
          <t>ÖRNSKÖLDSVIK</t>
        </is>
      </c>
      <c r="F11033" t="inlineStr">
        <is>
          <t>Kyrkan</t>
        </is>
      </c>
      <c r="G11033" t="n">
        <v>6.8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2809-2026</t>
        </is>
      </c>
      <c r="B11034" s="1" t="n">
        <v>46038.4180324074</v>
      </c>
      <c r="C11034" s="1" t="n">
        <v>46093</v>
      </c>
      <c r="D11034" t="inlineStr">
        <is>
          <t>VÄSTERNORRLANDS LÄN</t>
        </is>
      </c>
      <c r="E11034" t="inlineStr">
        <is>
          <t>ÖRNSKÖLDSVIK</t>
        </is>
      </c>
      <c r="G11034" t="n">
        <v>1.4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23590-2025</t>
        </is>
      </c>
      <c r="B11035" s="1" t="n">
        <v>45792.63627314815</v>
      </c>
      <c r="C11035" s="1" t="n">
        <v>46093</v>
      </c>
      <c r="D11035" t="inlineStr">
        <is>
          <t>VÄSTERNORRLANDS LÄN</t>
        </is>
      </c>
      <c r="E11035" t="inlineStr">
        <is>
          <t>ÅNGE</t>
        </is>
      </c>
      <c r="F11035" t="inlineStr">
        <is>
          <t>SCA</t>
        </is>
      </c>
      <c r="G11035" t="n">
        <v>2.7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6831-2024</t>
        </is>
      </c>
      <c r="B11036" s="1" t="n">
        <v>45342</v>
      </c>
      <c r="C11036" s="1" t="n">
        <v>46093</v>
      </c>
      <c r="D11036" t="inlineStr">
        <is>
          <t>VÄSTERNORRLANDS LÄN</t>
        </is>
      </c>
      <c r="E11036" t="inlineStr">
        <is>
          <t>HÄRNÖSAND</t>
        </is>
      </c>
      <c r="G11036" t="n">
        <v>3.8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2417-2026</t>
        </is>
      </c>
      <c r="B11037" s="1" t="n">
        <v>46036.76967592593</v>
      </c>
      <c r="C11037" s="1" t="n">
        <v>46093</v>
      </c>
      <c r="D11037" t="inlineStr">
        <is>
          <t>VÄSTERNORRLANDS LÄN</t>
        </is>
      </c>
      <c r="E11037" t="inlineStr">
        <is>
          <t>SUNDSVALL</t>
        </is>
      </c>
      <c r="G11037" t="n">
        <v>14.1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41043-2024</t>
        </is>
      </c>
      <c r="B11038" s="1" t="n">
        <v>45559.36640046296</v>
      </c>
      <c r="C11038" s="1" t="n">
        <v>46093</v>
      </c>
      <c r="D11038" t="inlineStr">
        <is>
          <t>VÄSTERNORRLANDS LÄN</t>
        </is>
      </c>
      <c r="E11038" t="inlineStr">
        <is>
          <t>ÖRNSKÖLDSVIK</t>
        </is>
      </c>
      <c r="G11038" t="n">
        <v>1.3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2635-2026</t>
        </is>
      </c>
      <c r="B11039" s="1" t="n">
        <v>46037</v>
      </c>
      <c r="C11039" s="1" t="n">
        <v>46093</v>
      </c>
      <c r="D11039" t="inlineStr">
        <is>
          <t>VÄSTERNORRLANDS LÄN</t>
        </is>
      </c>
      <c r="E11039" t="inlineStr">
        <is>
          <t>TIMRÅ</t>
        </is>
      </c>
      <c r="G11039" t="n">
        <v>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23495-2025</t>
        </is>
      </c>
      <c r="B11040" s="1" t="n">
        <v>45792.46967592592</v>
      </c>
      <c r="C11040" s="1" t="n">
        <v>46093</v>
      </c>
      <c r="D11040" t="inlineStr">
        <is>
          <t>VÄSTERNORRLANDS LÄN</t>
        </is>
      </c>
      <c r="E11040" t="inlineStr">
        <is>
          <t>ÅNGE</t>
        </is>
      </c>
      <c r="F11040" t="inlineStr">
        <is>
          <t>SCA</t>
        </is>
      </c>
      <c r="G11040" t="n">
        <v>2.9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42915-2024</t>
        </is>
      </c>
      <c r="B11041" s="1" t="n">
        <v>45566</v>
      </c>
      <c r="C11041" s="1" t="n">
        <v>46093</v>
      </c>
      <c r="D11041" t="inlineStr">
        <is>
          <t>VÄSTERNORRLANDS LÄN</t>
        </is>
      </c>
      <c r="E11041" t="inlineStr">
        <is>
          <t>SOLLEFTEÅ</t>
        </is>
      </c>
      <c r="G11041" t="n">
        <v>1.9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43010-2024</t>
        </is>
      </c>
      <c r="B11042" s="1" t="n">
        <v>45567.38643518519</v>
      </c>
      <c r="C11042" s="1" t="n">
        <v>46093</v>
      </c>
      <c r="D11042" t="inlineStr">
        <is>
          <t>VÄSTERNORRLANDS LÄN</t>
        </is>
      </c>
      <c r="E11042" t="inlineStr">
        <is>
          <t>KRAMFORS</t>
        </is>
      </c>
      <c r="G11042" t="n">
        <v>1.2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23409-2025</t>
        </is>
      </c>
      <c r="B11043" s="1" t="n">
        <v>45792.34560185186</v>
      </c>
      <c r="C11043" s="1" t="n">
        <v>46093</v>
      </c>
      <c r="D11043" t="inlineStr">
        <is>
          <t>VÄSTERNORRLANDS LÄN</t>
        </is>
      </c>
      <c r="E11043" t="inlineStr">
        <is>
          <t>SOLLEFTEÅ</t>
        </is>
      </c>
      <c r="F11043" t="inlineStr">
        <is>
          <t>SCA</t>
        </is>
      </c>
      <c r="G11043" t="n">
        <v>1.9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23589-2025</t>
        </is>
      </c>
      <c r="B11044" s="1" t="n">
        <v>45792.63618055556</v>
      </c>
      <c r="C11044" s="1" t="n">
        <v>46093</v>
      </c>
      <c r="D11044" t="inlineStr">
        <is>
          <t>VÄSTERNORRLANDS LÄN</t>
        </is>
      </c>
      <c r="E11044" t="inlineStr">
        <is>
          <t>ÅNGE</t>
        </is>
      </c>
      <c r="F11044" t="inlineStr">
        <is>
          <t>SCA</t>
        </is>
      </c>
      <c r="G11044" t="n">
        <v>10.7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10691-2026</t>
        </is>
      </c>
      <c r="B11045" s="1" t="n">
        <v>46078</v>
      </c>
      <c r="C11045" s="1" t="n">
        <v>46093</v>
      </c>
      <c r="D11045" t="inlineStr">
        <is>
          <t>VÄSTERNORRLANDS LÄN</t>
        </is>
      </c>
      <c r="E11045" t="inlineStr">
        <is>
          <t>SUNDSVALL</t>
        </is>
      </c>
      <c r="G11045" t="n">
        <v>0.7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23334-2025</t>
        </is>
      </c>
      <c r="B11046" s="1" t="n">
        <v>45791.65145833333</v>
      </c>
      <c r="C11046" s="1" t="n">
        <v>46093</v>
      </c>
      <c r="D11046" t="inlineStr">
        <is>
          <t>VÄSTERNORRLANDS LÄN</t>
        </is>
      </c>
      <c r="E11046" t="inlineStr">
        <is>
          <t>SUNDSVALL</t>
        </is>
      </c>
      <c r="G11046" t="n">
        <v>1.2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11054-2026</t>
        </is>
      </c>
      <c r="B11047" s="1" t="n">
        <v>46079.59443287037</v>
      </c>
      <c r="C11047" s="1" t="n">
        <v>46093</v>
      </c>
      <c r="D11047" t="inlineStr">
        <is>
          <t>VÄSTERNORRLANDS LÄN</t>
        </is>
      </c>
      <c r="E11047" t="inlineStr">
        <is>
          <t>ÅNGE</t>
        </is>
      </c>
      <c r="F11047" t="inlineStr">
        <is>
          <t>SCA</t>
        </is>
      </c>
      <c r="G11047" t="n">
        <v>26.2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23173-2025</t>
        </is>
      </c>
      <c r="B11048" s="1" t="n">
        <v>45791.42796296296</v>
      </c>
      <c r="C11048" s="1" t="n">
        <v>46093</v>
      </c>
      <c r="D11048" t="inlineStr">
        <is>
          <t>VÄSTERNORRLANDS LÄN</t>
        </is>
      </c>
      <c r="E11048" t="inlineStr">
        <is>
          <t>TIMRÅ</t>
        </is>
      </c>
      <c r="G11048" t="n">
        <v>2.3</v>
      </c>
      <c r="H11048" t="n">
        <v>0</v>
      </c>
      <c r="I11048" t="n">
        <v>0</v>
      </c>
      <c r="J11048" t="n">
        <v>0</v>
      </c>
      <c r="K11048" t="n">
        <v>0</v>
      </c>
      <c r="L11048" t="n">
        <v>0</v>
      </c>
      <c r="M11048" t="n">
        <v>0</v>
      </c>
      <c r="N11048" t="n">
        <v>0</v>
      </c>
      <c r="O11048" t="n">
        <v>0</v>
      </c>
      <c r="P11048" t="n">
        <v>0</v>
      </c>
      <c r="Q11048" t="n">
        <v>0</v>
      </c>
      <c r="R11048" s="2" t="inlineStr"/>
      <c r="U11048">
        <f>HYPERLINK("https://klasma.github.io/Logging_2262/knärot/A 23173-2025 karta knärot.png", "A 23173-2025")</f>
        <v/>
      </c>
      <c r="V11048">
        <f>HYPERLINK("https://klasma.github.io/Logging_2262/klagomål/A 23173-2025 FSC-klagomål.docx", "A 23173-2025")</f>
        <v/>
      </c>
      <c r="W11048">
        <f>HYPERLINK("https://klasma.github.io/Logging_2262/klagomålsmail/A 23173-2025 FSC-klagomål mail.docx", "A 23173-2025")</f>
        <v/>
      </c>
      <c r="X11048">
        <f>HYPERLINK("https://klasma.github.io/Logging_2262/tillsyn/A 23173-2025 tillsynsbegäran.docx", "A 23173-2025")</f>
        <v/>
      </c>
      <c r="Y11048">
        <f>HYPERLINK("https://klasma.github.io/Logging_2262/tillsynsmail/A 23173-2025 tillsynsbegäran mail.docx", "A 23173-2025")</f>
        <v/>
      </c>
    </row>
    <row r="11049" ht="15" customHeight="1">
      <c r="A11049" t="inlineStr">
        <is>
          <t>A 2987-2026</t>
        </is>
      </c>
      <c r="B11049" s="1" t="n">
        <v>46038.63591435185</v>
      </c>
      <c r="C11049" s="1" t="n">
        <v>46093</v>
      </c>
      <c r="D11049" t="inlineStr">
        <is>
          <t>VÄSTERNORRLANDS LÄN</t>
        </is>
      </c>
      <c r="E11049" t="inlineStr">
        <is>
          <t>SOLLEFTEÅ</t>
        </is>
      </c>
      <c r="F11049" t="inlineStr">
        <is>
          <t>SCA</t>
        </is>
      </c>
      <c r="G11049" t="n">
        <v>0.9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2123-2025</t>
        </is>
      </c>
      <c r="B11050" s="1" t="n">
        <v>45672</v>
      </c>
      <c r="C11050" s="1" t="n">
        <v>46093</v>
      </c>
      <c r="D11050" t="inlineStr">
        <is>
          <t>VÄSTERNORRLANDS LÄN</t>
        </is>
      </c>
      <c r="E11050" t="inlineStr">
        <is>
          <t>TIMRÅ</t>
        </is>
      </c>
      <c r="G11050" t="n">
        <v>2.4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25338-2022</t>
        </is>
      </c>
      <c r="B11051" s="1" t="n">
        <v>44731</v>
      </c>
      <c r="C11051" s="1" t="n">
        <v>46093</v>
      </c>
      <c r="D11051" t="inlineStr">
        <is>
          <t>VÄSTERNORRLANDS LÄN</t>
        </is>
      </c>
      <c r="E11051" t="inlineStr">
        <is>
          <t>SOLLEFTEÅ</t>
        </is>
      </c>
      <c r="F11051" t="inlineStr">
        <is>
          <t>SCA</t>
        </is>
      </c>
      <c r="G11051" t="n">
        <v>4.3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11075-2026</t>
        </is>
      </c>
      <c r="B11052" s="1" t="n">
        <v>46079.61521990741</v>
      </c>
      <c r="C11052" s="1" t="n">
        <v>46093</v>
      </c>
      <c r="D11052" t="inlineStr">
        <is>
          <t>VÄSTERNORRLANDS LÄN</t>
        </is>
      </c>
      <c r="E11052" t="inlineStr">
        <is>
          <t>ÅNGE</t>
        </is>
      </c>
      <c r="F11052" t="inlineStr">
        <is>
          <t>SCA</t>
        </is>
      </c>
      <c r="G11052" t="n">
        <v>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10985-2026</t>
        </is>
      </c>
      <c r="B11053" s="1" t="n">
        <v>46079</v>
      </c>
      <c r="C11053" s="1" t="n">
        <v>46093</v>
      </c>
      <c r="D11053" t="inlineStr">
        <is>
          <t>VÄSTERNORRLANDS LÄN</t>
        </is>
      </c>
      <c r="E11053" t="inlineStr">
        <is>
          <t>TIMRÅ</t>
        </is>
      </c>
      <c r="G11053" t="n">
        <v>1.8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23352-2025</t>
        </is>
      </c>
      <c r="B11054" s="1" t="n">
        <v>45791.66548611111</v>
      </c>
      <c r="C11054" s="1" t="n">
        <v>46093</v>
      </c>
      <c r="D11054" t="inlineStr">
        <is>
          <t>VÄSTERNORRLANDS LÄN</t>
        </is>
      </c>
      <c r="E11054" t="inlineStr">
        <is>
          <t>ÖRNSKÖLDSVIK</t>
        </is>
      </c>
      <c r="F11054" t="inlineStr">
        <is>
          <t>Holmen skog AB</t>
        </is>
      </c>
      <c r="G11054" t="n">
        <v>6.2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10971-2026</t>
        </is>
      </c>
      <c r="B11055" s="1" t="n">
        <v>46079.45012731481</v>
      </c>
      <c r="C11055" s="1" t="n">
        <v>46093</v>
      </c>
      <c r="D11055" t="inlineStr">
        <is>
          <t>VÄSTERNORRLANDS LÄN</t>
        </is>
      </c>
      <c r="E11055" t="inlineStr">
        <is>
          <t>SUNDSVALL</t>
        </is>
      </c>
      <c r="G11055" t="n">
        <v>2.3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23090-2025</t>
        </is>
      </c>
      <c r="B11056" s="1" t="n">
        <v>45791.34443287037</v>
      </c>
      <c r="C11056" s="1" t="n">
        <v>46093</v>
      </c>
      <c r="D11056" t="inlineStr">
        <is>
          <t>VÄSTERNORRLANDS LÄN</t>
        </is>
      </c>
      <c r="E11056" t="inlineStr">
        <is>
          <t>SOLLEFTEÅ</t>
        </is>
      </c>
      <c r="F11056" t="inlineStr">
        <is>
          <t>SCA</t>
        </is>
      </c>
      <c r="G11056" t="n">
        <v>2.6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2485-2026</t>
        </is>
      </c>
      <c r="B11057" s="1" t="n">
        <v>46037.38591435185</v>
      </c>
      <c r="C11057" s="1" t="n">
        <v>46093</v>
      </c>
      <c r="D11057" t="inlineStr">
        <is>
          <t>VÄSTERNORRLANDS LÄN</t>
        </is>
      </c>
      <c r="E11057" t="inlineStr">
        <is>
          <t>ÅNGE</t>
        </is>
      </c>
      <c r="G11057" t="n">
        <v>0.7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44590-2024</t>
        </is>
      </c>
      <c r="B11058" s="1" t="n">
        <v>45574.50597222222</v>
      </c>
      <c r="C11058" s="1" t="n">
        <v>46093</v>
      </c>
      <c r="D11058" t="inlineStr">
        <is>
          <t>VÄSTERNORRLANDS LÄN</t>
        </is>
      </c>
      <c r="E11058" t="inlineStr">
        <is>
          <t>HÄRNÖSAND</t>
        </is>
      </c>
      <c r="G11058" t="n">
        <v>11.9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23410-2025</t>
        </is>
      </c>
      <c r="B11059" s="1" t="n">
        <v>45792.34569444445</v>
      </c>
      <c r="C11059" s="1" t="n">
        <v>46093</v>
      </c>
      <c r="D11059" t="inlineStr">
        <is>
          <t>VÄSTERNORRLANDS LÄN</t>
        </is>
      </c>
      <c r="E11059" t="inlineStr">
        <is>
          <t>SUNDSVALL</t>
        </is>
      </c>
      <c r="F11059" t="inlineStr">
        <is>
          <t>SCA</t>
        </is>
      </c>
      <c r="G11059" t="n">
        <v>1.1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11160-2026</t>
        </is>
      </c>
      <c r="B11060" s="1" t="n">
        <v>46080.34474537037</v>
      </c>
      <c r="C11060" s="1" t="n">
        <v>46093</v>
      </c>
      <c r="D11060" t="inlineStr">
        <is>
          <t>VÄSTERNORRLANDS LÄN</t>
        </is>
      </c>
      <c r="E11060" t="inlineStr">
        <is>
          <t>ÖRNSKÖLDSVIK</t>
        </is>
      </c>
      <c r="F11060" t="inlineStr">
        <is>
          <t>SCA</t>
        </is>
      </c>
      <c r="G11060" t="n">
        <v>1.2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11175-2026</t>
        </is>
      </c>
      <c r="B11061" s="1" t="n">
        <v>46080.38614583333</v>
      </c>
      <c r="C11061" s="1" t="n">
        <v>46093</v>
      </c>
      <c r="D11061" t="inlineStr">
        <is>
          <t>VÄSTERNORRLANDS LÄN</t>
        </is>
      </c>
      <c r="E11061" t="inlineStr">
        <is>
          <t>SOLLEFTEÅ</t>
        </is>
      </c>
      <c r="F11061" t="inlineStr">
        <is>
          <t>SCA</t>
        </is>
      </c>
      <c r="G11061" t="n">
        <v>4.3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3184-2026</t>
        </is>
      </c>
      <c r="B11062" s="1" t="n">
        <v>46041</v>
      </c>
      <c r="C11062" s="1" t="n">
        <v>46093</v>
      </c>
      <c r="D11062" t="inlineStr">
        <is>
          <t>VÄSTERNORRLANDS LÄN</t>
        </is>
      </c>
      <c r="E11062" t="inlineStr">
        <is>
          <t>TIMRÅ</t>
        </is>
      </c>
      <c r="G11062" t="n">
        <v>2.2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7699-2026</t>
        </is>
      </c>
      <c r="B11063" s="1" t="n">
        <v>46059</v>
      </c>
      <c r="C11063" s="1" t="n">
        <v>46093</v>
      </c>
      <c r="D11063" t="inlineStr">
        <is>
          <t>VÄSTERNORRLANDS LÄN</t>
        </is>
      </c>
      <c r="E11063" t="inlineStr">
        <is>
          <t>TIMRÅ</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35540-2025</t>
        </is>
      </c>
      <c r="B11064" s="1" t="n">
        <v>45856.46912037037</v>
      </c>
      <c r="C11064" s="1" t="n">
        <v>46093</v>
      </c>
      <c r="D11064" t="inlineStr">
        <is>
          <t>VÄSTERNORRLANDS LÄN</t>
        </is>
      </c>
      <c r="E11064" t="inlineStr">
        <is>
          <t>ÅNGE</t>
        </is>
      </c>
      <c r="F11064" t="inlineStr">
        <is>
          <t>SCA</t>
        </is>
      </c>
      <c r="G11064" t="n">
        <v>3.2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9640-2026</t>
        </is>
      </c>
      <c r="B11065" s="1" t="n">
        <v>46072</v>
      </c>
      <c r="C11065" s="1" t="n">
        <v>46093</v>
      </c>
      <c r="D11065" t="inlineStr">
        <is>
          <t>VÄSTERNORRLANDS LÄN</t>
        </is>
      </c>
      <c r="E11065" t="inlineStr">
        <is>
          <t>TIMRÅ</t>
        </is>
      </c>
      <c r="G11065" t="n">
        <v>10.5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22806-2021</t>
        </is>
      </c>
      <c r="B11066" s="1" t="n">
        <v>44327</v>
      </c>
      <c r="C11066" s="1" t="n">
        <v>46093</v>
      </c>
      <c r="D11066" t="inlineStr">
        <is>
          <t>VÄSTERNORRLANDS LÄN</t>
        </is>
      </c>
      <c r="E11066" t="inlineStr">
        <is>
          <t>ÖRNSKÖLDSVIK</t>
        </is>
      </c>
      <c r="G11066" t="n">
        <v>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19949-2024</t>
        </is>
      </c>
      <c r="B11067" s="1" t="n">
        <v>45433</v>
      </c>
      <c r="C11067" s="1" t="n">
        <v>46093</v>
      </c>
      <c r="D11067" t="inlineStr">
        <is>
          <t>VÄSTERNORRLANDS LÄN</t>
        </is>
      </c>
      <c r="E11067" t="inlineStr">
        <is>
          <t>HÄRNÖSAND</t>
        </is>
      </c>
      <c r="G11067" t="n">
        <v>0.7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10741-2026</t>
        </is>
      </c>
      <c r="B11068" s="1" t="n">
        <v>46078</v>
      </c>
      <c r="C11068" s="1" t="n">
        <v>46093</v>
      </c>
      <c r="D11068" t="inlineStr">
        <is>
          <t>VÄSTERNORRLANDS LÄN</t>
        </is>
      </c>
      <c r="E11068" t="inlineStr">
        <is>
          <t>ÅNGE</t>
        </is>
      </c>
      <c r="F11068" t="inlineStr">
        <is>
          <t>SCA</t>
        </is>
      </c>
      <c r="G11068" t="n">
        <v>1.3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918-2023</t>
        </is>
      </c>
      <c r="B11069" s="1" t="n">
        <v>44931.95329861111</v>
      </c>
      <c r="C11069" s="1" t="n">
        <v>46093</v>
      </c>
      <c r="D11069" t="inlineStr">
        <is>
          <t>VÄSTERNORRLANDS LÄN</t>
        </is>
      </c>
      <c r="E11069" t="inlineStr">
        <is>
          <t>SOLLEFTEÅ</t>
        </is>
      </c>
      <c r="F11069" t="inlineStr">
        <is>
          <t>SCA</t>
        </is>
      </c>
      <c r="G11069" t="n">
        <v>7.1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35143-2025</t>
        </is>
      </c>
      <c r="B11070" s="1" t="n">
        <v>45852.65660879629</v>
      </c>
      <c r="C11070" s="1" t="n">
        <v>46093</v>
      </c>
      <c r="D11070" t="inlineStr">
        <is>
          <t>VÄSTERNORRLANDS LÄN</t>
        </is>
      </c>
      <c r="E11070" t="inlineStr">
        <is>
          <t>ÅNGE</t>
        </is>
      </c>
      <c r="F11070" t="inlineStr">
        <is>
          <t>SCA</t>
        </is>
      </c>
      <c r="G11070" t="n">
        <v>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10937-2026</t>
        </is>
      </c>
      <c r="B11071" s="1" t="n">
        <v>46079.368125</v>
      </c>
      <c r="C11071" s="1" t="n">
        <v>46093</v>
      </c>
      <c r="D11071" t="inlineStr">
        <is>
          <t>VÄSTERNORRLANDS LÄN</t>
        </is>
      </c>
      <c r="E11071" t="inlineStr">
        <is>
          <t>SUNDSVALL</t>
        </is>
      </c>
      <c r="G11071" t="n">
        <v>2.5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35341-2022</t>
        </is>
      </c>
      <c r="B11072" s="1" t="n">
        <v>44798.49653935185</v>
      </c>
      <c r="C11072" s="1" t="n">
        <v>46093</v>
      </c>
      <c r="D11072" t="inlineStr">
        <is>
          <t>VÄSTERNORRLANDS LÄN</t>
        </is>
      </c>
      <c r="E11072" t="inlineStr">
        <is>
          <t>ÖRNSKÖLDSVIK</t>
        </is>
      </c>
      <c r="F11072" t="inlineStr">
        <is>
          <t>Holmen skog AB</t>
        </is>
      </c>
      <c r="G11072" t="n">
        <v>6.5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4374-2026</t>
        </is>
      </c>
      <c r="B11073" s="1" t="n">
        <v>46045</v>
      </c>
      <c r="C11073" s="1" t="n">
        <v>46093</v>
      </c>
      <c r="D11073" t="inlineStr">
        <is>
          <t>VÄSTERNORRLANDS LÄN</t>
        </is>
      </c>
      <c r="E11073" t="inlineStr">
        <is>
          <t>ÅNGE</t>
        </is>
      </c>
      <c r="G11073" t="n">
        <v>13.5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54672-2024</t>
        </is>
      </c>
      <c r="B11074" s="1" t="n">
        <v>45618.34255787037</v>
      </c>
      <c r="C11074" s="1" t="n">
        <v>46093</v>
      </c>
      <c r="D11074" t="inlineStr">
        <is>
          <t>VÄSTERNORRLANDS LÄN</t>
        </is>
      </c>
      <c r="E11074" t="inlineStr">
        <is>
          <t>KRAMFORS</t>
        </is>
      </c>
      <c r="G11074" t="n">
        <v>6.9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11214-2026</t>
        </is>
      </c>
      <c r="B11075" s="1" t="n">
        <v>46080.46942129629</v>
      </c>
      <c r="C11075" s="1" t="n">
        <v>46093</v>
      </c>
      <c r="D11075" t="inlineStr">
        <is>
          <t>VÄSTERNORRLANDS LÄN</t>
        </is>
      </c>
      <c r="E11075" t="inlineStr">
        <is>
          <t>SOLLEFTEÅ</t>
        </is>
      </c>
      <c r="F11075" t="inlineStr">
        <is>
          <t>SCA</t>
        </is>
      </c>
      <c r="G11075" t="n">
        <v>1.5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11215-2026</t>
        </is>
      </c>
      <c r="B11076" s="1" t="n">
        <v>46080.46967592592</v>
      </c>
      <c r="C11076" s="1" t="n">
        <v>46093</v>
      </c>
      <c r="D11076" t="inlineStr">
        <is>
          <t>VÄSTERNORRLANDS LÄN</t>
        </is>
      </c>
      <c r="E11076" t="inlineStr">
        <is>
          <t>SOLLEFTEÅ</t>
        </is>
      </c>
      <c r="F11076" t="inlineStr">
        <is>
          <t>SCA</t>
        </is>
      </c>
      <c r="G11076" t="n">
        <v>0.8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11228-2026</t>
        </is>
      </c>
      <c r="B11077" s="1" t="n">
        <v>46080.48813657407</v>
      </c>
      <c r="C11077" s="1" t="n">
        <v>46093</v>
      </c>
      <c r="D11077" t="inlineStr">
        <is>
          <t>VÄSTERNORRLANDS LÄN</t>
        </is>
      </c>
      <c r="E11077" t="inlineStr">
        <is>
          <t>ÖRNSKÖLDSVIK</t>
        </is>
      </c>
      <c r="G11077" t="n">
        <v>23.4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55241-2023</t>
        </is>
      </c>
      <c r="B11078" s="1" t="n">
        <v>45231</v>
      </c>
      <c r="C11078" s="1" t="n">
        <v>46093</v>
      </c>
      <c r="D11078" t="inlineStr">
        <is>
          <t>VÄSTERNORRLANDS LÄN</t>
        </is>
      </c>
      <c r="E11078" t="inlineStr">
        <is>
          <t>KRAMFORS</t>
        </is>
      </c>
      <c r="G11078" t="n">
        <v>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2711-2025</t>
        </is>
      </c>
      <c r="B11079" s="1" t="n">
        <v>45677</v>
      </c>
      <c r="C11079" s="1" t="n">
        <v>46093</v>
      </c>
      <c r="D11079" t="inlineStr">
        <is>
          <t>VÄSTERNORRLANDS LÄN</t>
        </is>
      </c>
      <c r="E11079" t="inlineStr">
        <is>
          <t>SUNDSVALL</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56681-2023</t>
        </is>
      </c>
      <c r="B11080" s="1" t="n">
        <v>45243</v>
      </c>
      <c r="C11080" s="1" t="n">
        <v>46093</v>
      </c>
      <c r="D11080" t="inlineStr">
        <is>
          <t>VÄSTERNORRLANDS LÄN</t>
        </is>
      </c>
      <c r="E11080" t="inlineStr">
        <is>
          <t>SUNDSVALL</t>
        </is>
      </c>
      <c r="G11080" t="n">
        <v>1.7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10597-2026</t>
        </is>
      </c>
      <c r="B11081" s="1" t="n">
        <v>46077</v>
      </c>
      <c r="C11081" s="1" t="n">
        <v>46093</v>
      </c>
      <c r="D11081" t="inlineStr">
        <is>
          <t>VÄSTERNORRLANDS LÄN</t>
        </is>
      </c>
      <c r="E11081" t="inlineStr">
        <is>
          <t>TIMRÅ</t>
        </is>
      </c>
      <c r="G11081" t="n">
        <v>1.5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11109-2026</t>
        </is>
      </c>
      <c r="B11082" s="1" t="n">
        <v>46079.65716435185</v>
      </c>
      <c r="C11082" s="1" t="n">
        <v>46093</v>
      </c>
      <c r="D11082" t="inlineStr">
        <is>
          <t>VÄSTERNORRLANDS LÄN</t>
        </is>
      </c>
      <c r="E11082" t="inlineStr">
        <is>
          <t>TIMRÅ</t>
        </is>
      </c>
      <c r="F11082" t="inlineStr">
        <is>
          <t>SCA</t>
        </is>
      </c>
      <c r="G11082" t="n">
        <v>1.5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23157-2025</t>
        </is>
      </c>
      <c r="B11083" s="1" t="n">
        <v>45791.40707175926</v>
      </c>
      <c r="C11083" s="1" t="n">
        <v>46093</v>
      </c>
      <c r="D11083" t="inlineStr">
        <is>
          <t>VÄSTERNORRLANDS LÄN</t>
        </is>
      </c>
      <c r="E11083" t="inlineStr">
        <is>
          <t>SUNDSVALL</t>
        </is>
      </c>
      <c r="F11083" t="inlineStr">
        <is>
          <t>SCA</t>
        </is>
      </c>
      <c r="G11083" t="n">
        <v>3.4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2534-2026</t>
        </is>
      </c>
      <c r="B11084" s="1" t="n">
        <v>46037.44837962963</v>
      </c>
      <c r="C11084" s="1" t="n">
        <v>46093</v>
      </c>
      <c r="D11084" t="inlineStr">
        <is>
          <t>VÄSTERNORRLANDS LÄN</t>
        </is>
      </c>
      <c r="E11084" t="inlineStr">
        <is>
          <t>SUNDSVALL</t>
        </is>
      </c>
      <c r="G11084" t="n">
        <v>3.8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11182-2026</t>
        </is>
      </c>
      <c r="B11085" s="1" t="n">
        <v>46080</v>
      </c>
      <c r="C11085" s="1" t="n">
        <v>46093</v>
      </c>
      <c r="D11085" t="inlineStr">
        <is>
          <t>VÄSTERNORRLANDS LÄN</t>
        </is>
      </c>
      <c r="E11085" t="inlineStr">
        <is>
          <t>SOLLEFTEÅ</t>
        </is>
      </c>
      <c r="G11085" t="n">
        <v>1.6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23162-2025</t>
        </is>
      </c>
      <c r="B11086" s="1" t="n">
        <v>45791.40846064815</v>
      </c>
      <c r="C11086" s="1" t="n">
        <v>46093</v>
      </c>
      <c r="D11086" t="inlineStr">
        <is>
          <t>VÄSTERNORRLANDS LÄN</t>
        </is>
      </c>
      <c r="E11086" t="inlineStr">
        <is>
          <t>SUNDSVALL</t>
        </is>
      </c>
      <c r="G11086" t="n">
        <v>1.4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10959-2026</t>
        </is>
      </c>
      <c r="B11087" s="1" t="n">
        <v>46079.41228009259</v>
      </c>
      <c r="C11087" s="1" t="n">
        <v>46093</v>
      </c>
      <c r="D11087" t="inlineStr">
        <is>
          <t>VÄSTERNORRLANDS LÄN</t>
        </is>
      </c>
      <c r="E11087" t="inlineStr">
        <is>
          <t>SUNDSVALL</t>
        </is>
      </c>
      <c r="G11087" t="n">
        <v>5.5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10962-2026</t>
        </is>
      </c>
      <c r="B11088" s="1" t="n">
        <v>46079.42851851852</v>
      </c>
      <c r="C11088" s="1" t="n">
        <v>46093</v>
      </c>
      <c r="D11088" t="inlineStr">
        <is>
          <t>VÄSTERNORRLANDS LÄN</t>
        </is>
      </c>
      <c r="E11088" t="inlineStr">
        <is>
          <t>SUNDSVALL</t>
        </is>
      </c>
      <c r="G11088" t="n">
        <v>7.6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23273-2025</t>
        </is>
      </c>
      <c r="B11089" s="1" t="n">
        <v>45791.5646875</v>
      </c>
      <c r="C11089" s="1" t="n">
        <v>46093</v>
      </c>
      <c r="D11089" t="inlineStr">
        <is>
          <t>VÄSTERNORRLANDS LÄN</t>
        </is>
      </c>
      <c r="E11089" t="inlineStr">
        <is>
          <t>ÖRNSKÖLDSVIK</t>
        </is>
      </c>
      <c r="F11089" t="inlineStr">
        <is>
          <t>Holmen skog AB</t>
        </is>
      </c>
      <c r="G11089" t="n">
        <v>6.2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2840-2026</t>
        </is>
      </c>
      <c r="B11090" s="1" t="n">
        <v>46038.46921296296</v>
      </c>
      <c r="C11090" s="1" t="n">
        <v>46093</v>
      </c>
      <c r="D11090" t="inlineStr">
        <is>
          <t>VÄSTERNORRLANDS LÄN</t>
        </is>
      </c>
      <c r="E11090" t="inlineStr">
        <is>
          <t>ÖRNSKÖLDSVIK</t>
        </is>
      </c>
      <c r="F11090" t="inlineStr">
        <is>
          <t>SCA</t>
        </is>
      </c>
      <c r="G11090" t="n">
        <v>11.4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2814-2026</t>
        </is>
      </c>
      <c r="B11091" s="1" t="n">
        <v>46038.42410879629</v>
      </c>
      <c r="C11091" s="1" t="n">
        <v>46093</v>
      </c>
      <c r="D11091" t="inlineStr">
        <is>
          <t>VÄSTERNORRLANDS LÄN</t>
        </is>
      </c>
      <c r="E11091" t="inlineStr">
        <is>
          <t>HÄRNÖSAND</t>
        </is>
      </c>
      <c r="G11091" t="n">
        <v>1.3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8475-2024</t>
        </is>
      </c>
      <c r="B11092" s="1" t="n">
        <v>45351</v>
      </c>
      <c r="C11092" s="1" t="n">
        <v>46093</v>
      </c>
      <c r="D11092" t="inlineStr">
        <is>
          <t>VÄSTERNORRLANDS LÄN</t>
        </is>
      </c>
      <c r="E11092" t="inlineStr">
        <is>
          <t>HÄRNÖSAND</t>
        </is>
      </c>
      <c r="G11092" t="n">
        <v>1.5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22514-2025</t>
        </is>
      </c>
      <c r="B11093" s="1" t="n">
        <v>45786.67755787037</v>
      </c>
      <c r="C11093" s="1" t="n">
        <v>46093</v>
      </c>
      <c r="D11093" t="inlineStr">
        <is>
          <t>VÄSTERNORRLANDS LÄN</t>
        </is>
      </c>
      <c r="E11093" t="inlineStr">
        <is>
          <t>SOLLEFTEÅ</t>
        </is>
      </c>
      <c r="F11093" t="inlineStr">
        <is>
          <t>SCA</t>
        </is>
      </c>
      <c r="G11093" t="n">
        <v>2.2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5071-2024</t>
        </is>
      </c>
      <c r="B11094" s="1" t="n">
        <v>45329</v>
      </c>
      <c r="C11094" s="1" t="n">
        <v>46093</v>
      </c>
      <c r="D11094" t="inlineStr">
        <is>
          <t>VÄSTERNORRLANDS LÄN</t>
        </is>
      </c>
      <c r="E11094" t="inlineStr">
        <is>
          <t>KRAMFORS</t>
        </is>
      </c>
      <c r="G11094" t="n">
        <v>25.2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2610-2026</t>
        </is>
      </c>
      <c r="B11095" s="1" t="n">
        <v>46037.58217592593</v>
      </c>
      <c r="C11095" s="1" t="n">
        <v>46093</v>
      </c>
      <c r="D11095" t="inlineStr">
        <is>
          <t>VÄSTERNORRLANDS LÄN</t>
        </is>
      </c>
      <c r="E11095" t="inlineStr">
        <is>
          <t>SUNDSVALL</t>
        </is>
      </c>
      <c r="G11095" t="n">
        <v>2.3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23252-2025</t>
        </is>
      </c>
      <c r="B11096" s="1" t="n">
        <v>45791.53157407408</v>
      </c>
      <c r="C11096" s="1" t="n">
        <v>46093</v>
      </c>
      <c r="D11096" t="inlineStr">
        <is>
          <t>VÄSTERNORRLANDS LÄN</t>
        </is>
      </c>
      <c r="E11096" t="inlineStr">
        <is>
          <t>ÅNGE</t>
        </is>
      </c>
      <c r="F11096" t="inlineStr">
        <is>
          <t>SCA</t>
        </is>
      </c>
      <c r="G11096" t="n">
        <v>1.5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23256-2025</t>
        </is>
      </c>
      <c r="B11097" s="1" t="n">
        <v>45791.53471064815</v>
      </c>
      <c r="C11097" s="1" t="n">
        <v>46093</v>
      </c>
      <c r="D11097" t="inlineStr">
        <is>
          <t>VÄSTERNORRLANDS LÄN</t>
        </is>
      </c>
      <c r="E11097" t="inlineStr">
        <is>
          <t>KRAMFORS</t>
        </is>
      </c>
      <c r="G11097" t="n">
        <v>3.5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23339-2025</t>
        </is>
      </c>
      <c r="B11098" s="1" t="n">
        <v>45791.65577546296</v>
      </c>
      <c r="C11098" s="1" t="n">
        <v>46093</v>
      </c>
      <c r="D11098" t="inlineStr">
        <is>
          <t>VÄSTERNORRLANDS LÄN</t>
        </is>
      </c>
      <c r="E11098" t="inlineStr">
        <is>
          <t>SOLLEFTEÅ</t>
        </is>
      </c>
      <c r="G11098" t="n">
        <v>3.9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23529-2025</t>
        </is>
      </c>
      <c r="B11099" s="1" t="n">
        <v>45792.53158564815</v>
      </c>
      <c r="C11099" s="1" t="n">
        <v>46093</v>
      </c>
      <c r="D11099" t="inlineStr">
        <is>
          <t>VÄSTERNORRLANDS LÄN</t>
        </is>
      </c>
      <c r="E11099" t="inlineStr">
        <is>
          <t>ÅNGE</t>
        </is>
      </c>
      <c r="F11099" t="inlineStr">
        <is>
          <t>SCA</t>
        </is>
      </c>
      <c r="G11099" t="n">
        <v>3.5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23542-2025</t>
        </is>
      </c>
      <c r="B11100" s="1" t="n">
        <v>45792.56184027778</v>
      </c>
      <c r="C11100" s="1" t="n">
        <v>46093</v>
      </c>
      <c r="D11100" t="inlineStr">
        <is>
          <t>VÄSTERNORRLANDS LÄN</t>
        </is>
      </c>
      <c r="E11100" t="inlineStr">
        <is>
          <t>SOLLEFTEÅ</t>
        </is>
      </c>
      <c r="F11100" t="inlineStr">
        <is>
          <t>Holmen skog AB</t>
        </is>
      </c>
      <c r="G11100" t="n">
        <v>2.9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23552-2025</t>
        </is>
      </c>
      <c r="B11101" s="1" t="n">
        <v>45792.5738425926</v>
      </c>
      <c r="C11101" s="1" t="n">
        <v>46093</v>
      </c>
      <c r="D11101" t="inlineStr">
        <is>
          <t>VÄSTERNORRLANDS LÄN</t>
        </is>
      </c>
      <c r="E11101" t="inlineStr">
        <is>
          <t>ÅNGE</t>
        </is>
      </c>
      <c r="F11101" t="inlineStr">
        <is>
          <t>SCA</t>
        </is>
      </c>
      <c r="G11101" t="n">
        <v>3.7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23564-2025</t>
        </is>
      </c>
      <c r="B11102" s="1" t="n">
        <v>45792.58840277778</v>
      </c>
      <c r="C11102" s="1" t="n">
        <v>46093</v>
      </c>
      <c r="D11102" t="inlineStr">
        <is>
          <t>VÄSTERNORRLANDS LÄN</t>
        </is>
      </c>
      <c r="E11102" t="inlineStr">
        <is>
          <t>SOLLEFTEÅ</t>
        </is>
      </c>
      <c r="F11102" t="inlineStr">
        <is>
          <t>Holmen skog AB</t>
        </is>
      </c>
      <c r="G11102" t="n">
        <v>2.6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23839-2025</t>
        </is>
      </c>
      <c r="B11103" s="1" t="n">
        <v>45793.61495370371</v>
      </c>
      <c r="C11103" s="1" t="n">
        <v>46093</v>
      </c>
      <c r="D11103" t="inlineStr">
        <is>
          <t>VÄSTERNORRLANDS LÄN</t>
        </is>
      </c>
      <c r="E11103" t="inlineStr">
        <is>
          <t>TIMRÅ</t>
        </is>
      </c>
      <c r="F11103" t="inlineStr">
        <is>
          <t>SCA</t>
        </is>
      </c>
      <c r="G11103" t="n">
        <v>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3437-2026</t>
        </is>
      </c>
      <c r="B11104" s="1" t="n">
        <v>46042</v>
      </c>
      <c r="C11104" s="1" t="n">
        <v>46093</v>
      </c>
      <c r="D11104" t="inlineStr">
        <is>
          <t>VÄSTERNORRLANDS LÄN</t>
        </is>
      </c>
      <c r="E11104" t="inlineStr">
        <is>
          <t>KRAMFORS</t>
        </is>
      </c>
      <c r="G11104" t="n">
        <v>17.9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18310-2025</t>
        </is>
      </c>
      <c r="B11105" s="1" t="n">
        <v>45762.44278935185</v>
      </c>
      <c r="C11105" s="1" t="n">
        <v>46093</v>
      </c>
      <c r="D11105" t="inlineStr">
        <is>
          <t>VÄSTERNORRLANDS LÄN</t>
        </is>
      </c>
      <c r="E11105" t="inlineStr">
        <is>
          <t>ÖRNSKÖLDSVIK</t>
        </is>
      </c>
      <c r="G11105" t="n">
        <v>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23691-2025</t>
        </is>
      </c>
      <c r="B11106" s="1" t="n">
        <v>45793.34472222222</v>
      </c>
      <c r="C11106" s="1" t="n">
        <v>46093</v>
      </c>
      <c r="D11106" t="inlineStr">
        <is>
          <t>VÄSTERNORRLANDS LÄN</t>
        </is>
      </c>
      <c r="E11106" t="inlineStr">
        <is>
          <t>SUNDSVALL</t>
        </is>
      </c>
      <c r="G11106" t="n">
        <v>2.5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3289-2026</t>
        </is>
      </c>
      <c r="B11107" s="1" t="n">
        <v>46041.63581018519</v>
      </c>
      <c r="C11107" s="1" t="n">
        <v>46093</v>
      </c>
      <c r="D11107" t="inlineStr">
        <is>
          <t>VÄSTERNORRLANDS LÄN</t>
        </is>
      </c>
      <c r="E11107" t="inlineStr">
        <is>
          <t>ÅNGE</t>
        </is>
      </c>
      <c r="G11107" t="n">
        <v>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23709-2025</t>
        </is>
      </c>
      <c r="B11108" s="1" t="n">
        <v>45793</v>
      </c>
      <c r="C11108" s="1" t="n">
        <v>46093</v>
      </c>
      <c r="D11108" t="inlineStr">
        <is>
          <t>VÄSTERNORRLANDS LÄN</t>
        </is>
      </c>
      <c r="E11108" t="inlineStr">
        <is>
          <t>ÖRNSKÖLDSVIK</t>
        </is>
      </c>
      <c r="F11108" t="inlineStr">
        <is>
          <t>Holmen skog AB</t>
        </is>
      </c>
      <c r="G11108" t="n">
        <v>2.5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10840-2026</t>
        </is>
      </c>
      <c r="B11109" s="1" t="n">
        <v>46078</v>
      </c>
      <c r="C11109" s="1" t="n">
        <v>46093</v>
      </c>
      <c r="D11109" t="inlineStr">
        <is>
          <t>VÄSTERNORRLANDS LÄN</t>
        </is>
      </c>
      <c r="E11109" t="inlineStr">
        <is>
          <t>TIMRÅ</t>
        </is>
      </c>
      <c r="G11109" t="n">
        <v>2.1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10981-2026</t>
        </is>
      </c>
      <c r="B11110" s="1" t="n">
        <v>46079</v>
      </c>
      <c r="C11110" s="1" t="n">
        <v>46093</v>
      </c>
      <c r="D11110" t="inlineStr">
        <is>
          <t>VÄSTERNORRLANDS LÄN</t>
        </is>
      </c>
      <c r="E11110" t="inlineStr">
        <is>
          <t>TIMRÅ</t>
        </is>
      </c>
      <c r="G11110" t="n">
        <v>0.5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23748-2025</t>
        </is>
      </c>
      <c r="B11111" s="1" t="n">
        <v>45793.44755787037</v>
      </c>
      <c r="C11111" s="1" t="n">
        <v>46093</v>
      </c>
      <c r="D11111" t="inlineStr">
        <is>
          <t>VÄSTERNORRLANDS LÄN</t>
        </is>
      </c>
      <c r="E11111" t="inlineStr">
        <is>
          <t>ÅNGE</t>
        </is>
      </c>
      <c r="F11111" t="inlineStr">
        <is>
          <t>Sveaskog</t>
        </is>
      </c>
      <c r="G11111" t="n">
        <v>6.5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11644-2026</t>
        </is>
      </c>
      <c r="B11112" s="1" t="n">
        <v>46084.5109375</v>
      </c>
      <c r="C11112" s="1" t="n">
        <v>46093</v>
      </c>
      <c r="D11112" t="inlineStr">
        <is>
          <t>VÄSTERNORRLANDS LÄN</t>
        </is>
      </c>
      <c r="E11112" t="inlineStr">
        <is>
          <t>ÅNGE</t>
        </is>
      </c>
      <c r="F11112" t="inlineStr">
        <is>
          <t>SCA</t>
        </is>
      </c>
      <c r="G11112" t="n">
        <v>3.8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3425-2026</t>
        </is>
      </c>
      <c r="B11113" s="1" t="n">
        <v>46042.44827546296</v>
      </c>
      <c r="C11113" s="1" t="n">
        <v>46093</v>
      </c>
      <c r="D11113" t="inlineStr">
        <is>
          <t>VÄSTERNORRLANDS LÄN</t>
        </is>
      </c>
      <c r="E11113" t="inlineStr">
        <is>
          <t>SOLLEFTEÅ</t>
        </is>
      </c>
      <c r="G11113" t="n">
        <v>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3583-2026</t>
        </is>
      </c>
      <c r="B11114" s="1" t="n">
        <v>46042.72951388889</v>
      </c>
      <c r="C11114" s="1" t="n">
        <v>46093</v>
      </c>
      <c r="D11114" t="inlineStr">
        <is>
          <t>VÄSTERNORRLANDS LÄN</t>
        </is>
      </c>
      <c r="E11114" t="inlineStr">
        <is>
          <t>SOLLEFTEÅ</t>
        </is>
      </c>
      <c r="G11114" t="n">
        <v>2.2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43145-2024</t>
        </is>
      </c>
      <c r="B11115" s="1" t="n">
        <v>45567.63030092593</v>
      </c>
      <c r="C11115" s="1" t="n">
        <v>46093</v>
      </c>
      <c r="D11115" t="inlineStr">
        <is>
          <t>VÄSTERNORRLANDS LÄN</t>
        </is>
      </c>
      <c r="E11115" t="inlineStr">
        <is>
          <t>ÅNGE</t>
        </is>
      </c>
      <c r="G11115" t="n">
        <v>1.4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33110-2024</t>
        </is>
      </c>
      <c r="B11116" s="1" t="n">
        <v>45517</v>
      </c>
      <c r="C11116" s="1" t="n">
        <v>46093</v>
      </c>
      <c r="D11116" t="inlineStr">
        <is>
          <t>VÄSTERNORRLANDS LÄN</t>
        </is>
      </c>
      <c r="E11116" t="inlineStr">
        <is>
          <t>SOLLEFTEÅ</t>
        </is>
      </c>
      <c r="G11116" t="n">
        <v>1.5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14671-2024</t>
        </is>
      </c>
      <c r="B11117" s="1" t="n">
        <v>45397</v>
      </c>
      <c r="C11117" s="1" t="n">
        <v>46093</v>
      </c>
      <c r="D11117" t="inlineStr">
        <is>
          <t>VÄSTERNORRLANDS LÄN</t>
        </is>
      </c>
      <c r="E11117" t="inlineStr">
        <is>
          <t>ÖRNSKÖLDSVIK</t>
        </is>
      </c>
      <c r="G11117" t="n">
        <v>1.5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15404-2024</t>
        </is>
      </c>
      <c r="B11118" s="1" t="n">
        <v>45401.34081018518</v>
      </c>
      <c r="C11118" s="1" t="n">
        <v>46093</v>
      </c>
      <c r="D11118" t="inlineStr">
        <is>
          <t>VÄSTERNORRLANDS LÄN</t>
        </is>
      </c>
      <c r="E11118" t="inlineStr">
        <is>
          <t>ÖRNSKÖLDSVIK</t>
        </is>
      </c>
      <c r="G11118" t="n">
        <v>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3341-2026</t>
        </is>
      </c>
      <c r="B11119" s="1" t="n">
        <v>46041.85348379629</v>
      </c>
      <c r="C11119" s="1" t="n">
        <v>46093</v>
      </c>
      <c r="D11119" t="inlineStr">
        <is>
          <t>VÄSTERNORRLANDS LÄN</t>
        </is>
      </c>
      <c r="E11119" t="inlineStr">
        <is>
          <t>SUNDSVALL</t>
        </is>
      </c>
      <c r="G11119" t="n">
        <v>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23899-2025</t>
        </is>
      </c>
      <c r="B11120" s="1" t="n">
        <v>45794.34414351852</v>
      </c>
      <c r="C11120" s="1" t="n">
        <v>46093</v>
      </c>
      <c r="D11120" t="inlineStr">
        <is>
          <t>VÄSTERNORRLANDS LÄN</t>
        </is>
      </c>
      <c r="E11120" t="inlineStr">
        <is>
          <t>ÅNGE</t>
        </is>
      </c>
      <c r="F11120" t="inlineStr">
        <is>
          <t>SCA</t>
        </is>
      </c>
      <c r="G11120" t="n">
        <v>8.699999999999999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23974-2025</t>
        </is>
      </c>
      <c r="B11121" s="1" t="n">
        <v>45796.38594907407</v>
      </c>
      <c r="C11121" s="1" t="n">
        <v>46093</v>
      </c>
      <c r="D11121" t="inlineStr">
        <is>
          <t>VÄSTERNORRLANDS LÄN</t>
        </is>
      </c>
      <c r="E11121" t="inlineStr">
        <is>
          <t>SOLLEFTEÅ</t>
        </is>
      </c>
      <c r="F11121" t="inlineStr">
        <is>
          <t>SCA</t>
        </is>
      </c>
      <c r="G11121" t="n">
        <v>1.9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3393-2026</t>
        </is>
      </c>
      <c r="B11122" s="1" t="n">
        <v>46042.37601851852</v>
      </c>
      <c r="C11122" s="1" t="n">
        <v>46093</v>
      </c>
      <c r="D11122" t="inlineStr">
        <is>
          <t>VÄSTERNORRLANDS LÄN</t>
        </is>
      </c>
      <c r="E11122" t="inlineStr">
        <is>
          <t>HÄRNÖSAND</t>
        </is>
      </c>
      <c r="G11122" t="n">
        <v>3.1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2246-2026</t>
        </is>
      </c>
      <c r="B11123" s="1" t="n">
        <v>46036</v>
      </c>
      <c r="C11123" s="1" t="n">
        <v>46093</v>
      </c>
      <c r="D11123" t="inlineStr">
        <is>
          <t>VÄSTERNORRLANDS LÄN</t>
        </is>
      </c>
      <c r="E11123" t="inlineStr">
        <is>
          <t>SUNDSVALL</t>
        </is>
      </c>
      <c r="G11123" t="n">
        <v>0.6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23917-2025</t>
        </is>
      </c>
      <c r="B11124" s="1" t="n">
        <v>45795.34481481482</v>
      </c>
      <c r="C11124" s="1" t="n">
        <v>46093</v>
      </c>
      <c r="D11124" t="inlineStr">
        <is>
          <t>VÄSTERNORRLANDS LÄN</t>
        </is>
      </c>
      <c r="E11124" t="inlineStr">
        <is>
          <t>ÅNGE</t>
        </is>
      </c>
      <c r="F11124" t="inlineStr">
        <is>
          <t>SCA</t>
        </is>
      </c>
      <c r="G11124" t="n">
        <v>3.1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55610-2021</t>
        </is>
      </c>
      <c r="B11125" s="1" t="n">
        <v>44475.94237268518</v>
      </c>
      <c r="C11125" s="1" t="n">
        <v>46093</v>
      </c>
      <c r="D11125" t="inlineStr">
        <is>
          <t>VÄSTERNORRLANDS LÄN</t>
        </is>
      </c>
      <c r="E11125" t="inlineStr">
        <is>
          <t>SOLLEFTEÅ</t>
        </is>
      </c>
      <c r="F11125" t="inlineStr">
        <is>
          <t>SCA</t>
        </is>
      </c>
      <c r="G11125" t="n">
        <v>5.2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7152-2022</t>
        </is>
      </c>
      <c r="B11126" s="1" t="n">
        <v>44603.92236111111</v>
      </c>
      <c r="C11126" s="1" t="n">
        <v>46093</v>
      </c>
      <c r="D11126" t="inlineStr">
        <is>
          <t>VÄSTERNORRLANDS LÄN</t>
        </is>
      </c>
      <c r="E11126" t="inlineStr">
        <is>
          <t>TIMRÅ</t>
        </is>
      </c>
      <c r="G11126" t="n">
        <v>2.4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17574-2024</t>
        </is>
      </c>
      <c r="B11127" s="1" t="n">
        <v>45415</v>
      </c>
      <c r="C11127" s="1" t="n">
        <v>46093</v>
      </c>
      <c r="D11127" t="inlineStr">
        <is>
          <t>VÄSTERNORRLANDS LÄN</t>
        </is>
      </c>
      <c r="E11127" t="inlineStr">
        <is>
          <t>KRAMFORS</t>
        </is>
      </c>
      <c r="G11127" t="n">
        <v>7.2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3249-2026</t>
        </is>
      </c>
      <c r="B11128" s="1" t="n">
        <v>46041</v>
      </c>
      <c r="C11128" s="1" t="n">
        <v>46093</v>
      </c>
      <c r="D11128" t="inlineStr">
        <is>
          <t>VÄSTERNORRLANDS LÄN</t>
        </is>
      </c>
      <c r="E11128" t="inlineStr">
        <is>
          <t>ÖRNSKÖLDSVIK</t>
        </is>
      </c>
      <c r="G11128" t="n">
        <v>0.7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3251-2026</t>
        </is>
      </c>
      <c r="B11129" s="1" t="n">
        <v>46041.58019675926</v>
      </c>
      <c r="C11129" s="1" t="n">
        <v>46093</v>
      </c>
      <c r="D11129" t="inlineStr">
        <is>
          <t>VÄSTERNORRLANDS LÄN</t>
        </is>
      </c>
      <c r="E11129" t="inlineStr">
        <is>
          <t>HÄRNÖSAND</t>
        </is>
      </c>
      <c r="G11129" t="n">
        <v>1.4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3213-2026</t>
        </is>
      </c>
      <c r="B11130" s="1" t="n">
        <v>46041.49494212963</v>
      </c>
      <c r="C11130" s="1" t="n">
        <v>46093</v>
      </c>
      <c r="D11130" t="inlineStr">
        <is>
          <t>VÄSTERNORRLANDS LÄN</t>
        </is>
      </c>
      <c r="E11130" t="inlineStr">
        <is>
          <t>ÖRNSKÖLDSVIK</t>
        </is>
      </c>
      <c r="F11130" t="inlineStr">
        <is>
          <t>Holmen skog AB</t>
        </is>
      </c>
      <c r="G11130" t="n">
        <v>5.2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6394-2025</t>
        </is>
      </c>
      <c r="B11131" s="1" t="n">
        <v>45699.43229166666</v>
      </c>
      <c r="C11131" s="1" t="n">
        <v>46093</v>
      </c>
      <c r="D11131" t="inlineStr">
        <is>
          <t>VÄSTERNORRLANDS LÄN</t>
        </is>
      </c>
      <c r="E11131" t="inlineStr">
        <is>
          <t>TIMRÅ</t>
        </is>
      </c>
      <c r="G11131" t="n">
        <v>2.9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31886-2024</t>
        </is>
      </c>
      <c r="B11132" s="1" t="n">
        <v>45509.95780092593</v>
      </c>
      <c r="C11132" s="1" t="n">
        <v>46093</v>
      </c>
      <c r="D11132" t="inlineStr">
        <is>
          <t>VÄSTERNORRLANDS LÄN</t>
        </is>
      </c>
      <c r="E11132" t="inlineStr">
        <is>
          <t>SOLLEFTEÅ</t>
        </is>
      </c>
      <c r="F11132" t="inlineStr">
        <is>
          <t>SCA</t>
        </is>
      </c>
      <c r="G11132" t="n">
        <v>3.9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62523-2023</t>
        </is>
      </c>
      <c r="B11133" s="1" t="n">
        <v>45267</v>
      </c>
      <c r="C11133" s="1" t="n">
        <v>46093</v>
      </c>
      <c r="D11133" t="inlineStr">
        <is>
          <t>VÄSTERNORRLANDS LÄN</t>
        </is>
      </c>
      <c r="E11133" t="inlineStr">
        <is>
          <t>SOLLEFTEÅ</t>
        </is>
      </c>
      <c r="G11133" t="n">
        <v>33.6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8505-2026</t>
        </is>
      </c>
      <c r="B11134" s="1" t="n">
        <v>46065</v>
      </c>
      <c r="C11134" s="1" t="n">
        <v>46093</v>
      </c>
      <c r="D11134" t="inlineStr">
        <is>
          <t>VÄSTERNORRLANDS LÄN</t>
        </is>
      </c>
      <c r="E11134" t="inlineStr">
        <is>
          <t>TIMRÅ</t>
        </is>
      </c>
      <c r="G11134" t="n">
        <v>1.6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24102-2025</t>
        </is>
      </c>
      <c r="B11135" s="1" t="n">
        <v>45796.59579861111</v>
      </c>
      <c r="C11135" s="1" t="n">
        <v>46093</v>
      </c>
      <c r="D11135" t="inlineStr">
        <is>
          <t>VÄSTERNORRLANDS LÄN</t>
        </is>
      </c>
      <c r="E11135" t="inlineStr">
        <is>
          <t>ÖRNSKÖLDSVIK</t>
        </is>
      </c>
      <c r="F11135" t="inlineStr">
        <is>
          <t>Holmen skog AB</t>
        </is>
      </c>
      <c r="G11135" t="n">
        <v>7.6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56188-2024</t>
        </is>
      </c>
      <c r="B11136" s="1" t="n">
        <v>45624.57800925926</v>
      </c>
      <c r="C11136" s="1" t="n">
        <v>46093</v>
      </c>
      <c r="D11136" t="inlineStr">
        <is>
          <t>VÄSTERNORRLANDS LÄN</t>
        </is>
      </c>
      <c r="E11136" t="inlineStr">
        <is>
          <t>ÅNGE</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22137-2024</t>
        </is>
      </c>
      <c r="B11137" s="1" t="n">
        <v>45444</v>
      </c>
      <c r="C11137" s="1" t="n">
        <v>46093</v>
      </c>
      <c r="D11137" t="inlineStr">
        <is>
          <t>VÄSTERNORRLANDS LÄN</t>
        </is>
      </c>
      <c r="E11137" t="inlineStr">
        <is>
          <t>ÖRNSKÖLDSVIK</t>
        </is>
      </c>
      <c r="F11137" t="inlineStr">
        <is>
          <t>SCA</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3567-2026</t>
        </is>
      </c>
      <c r="B11138" s="1" t="n">
        <v>46042.67577546297</v>
      </c>
      <c r="C11138" s="1" t="n">
        <v>46093</v>
      </c>
      <c r="D11138" t="inlineStr">
        <is>
          <t>VÄSTERNORRLANDS LÄN</t>
        </is>
      </c>
      <c r="E11138" t="inlineStr">
        <is>
          <t>ÖRNSKÖLDSVIK</t>
        </is>
      </c>
      <c r="G11138" t="n">
        <v>3.9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11512-2026</t>
        </is>
      </c>
      <c r="B11139" s="1" t="n">
        <v>46083.65806712963</v>
      </c>
      <c r="C11139" s="1" t="n">
        <v>46093</v>
      </c>
      <c r="D11139" t="inlineStr">
        <is>
          <t>VÄSTERNORRLANDS LÄN</t>
        </is>
      </c>
      <c r="E11139" t="inlineStr">
        <is>
          <t>SUNDSVALL</t>
        </is>
      </c>
      <c r="G11139" t="n">
        <v>6.2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23889-2025</t>
        </is>
      </c>
      <c r="B11140" s="1" t="n">
        <v>45793.79209490741</v>
      </c>
      <c r="C11140" s="1" t="n">
        <v>46093</v>
      </c>
      <c r="D11140" t="inlineStr">
        <is>
          <t>VÄSTERNORRLANDS LÄN</t>
        </is>
      </c>
      <c r="E11140" t="inlineStr">
        <is>
          <t>SOLLEFTEÅ</t>
        </is>
      </c>
      <c r="G11140" t="n">
        <v>6.3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23983-2025</t>
        </is>
      </c>
      <c r="B11141" s="1" t="n">
        <v>45794</v>
      </c>
      <c r="C11141" s="1" t="n">
        <v>46093</v>
      </c>
      <c r="D11141" t="inlineStr">
        <is>
          <t>VÄSTERNORRLANDS LÄN</t>
        </is>
      </c>
      <c r="E11141" t="inlineStr">
        <is>
          <t>ÖRNSKÖLDSVIK</t>
        </is>
      </c>
      <c r="F11141" t="inlineStr">
        <is>
          <t>Kyrkan</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38992-2024</t>
        </is>
      </c>
      <c r="B11142" s="1" t="n">
        <v>45548</v>
      </c>
      <c r="C11142" s="1" t="n">
        <v>46093</v>
      </c>
      <c r="D11142" t="inlineStr">
        <is>
          <t>VÄSTERNORRLANDS LÄN</t>
        </is>
      </c>
      <c r="E11142" t="inlineStr">
        <is>
          <t>TIMRÅ</t>
        </is>
      </c>
      <c r="G11142" t="n">
        <v>1.4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11473-2026</t>
        </is>
      </c>
      <c r="B11143" s="1" t="n">
        <v>46083.59467592592</v>
      </c>
      <c r="C11143" s="1" t="n">
        <v>46093</v>
      </c>
      <c r="D11143" t="inlineStr">
        <is>
          <t>VÄSTERNORRLANDS LÄN</t>
        </is>
      </c>
      <c r="E11143" t="inlineStr">
        <is>
          <t>ÅNGE</t>
        </is>
      </c>
      <c r="F11143" t="inlineStr">
        <is>
          <t>SCA</t>
        </is>
      </c>
      <c r="G11143" t="n">
        <v>1.6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11474-2026</t>
        </is>
      </c>
      <c r="B11144" s="1" t="n">
        <v>46083.59480324074</v>
      </c>
      <c r="C11144" s="1" t="n">
        <v>46093</v>
      </c>
      <c r="D11144" t="inlineStr">
        <is>
          <t>VÄSTERNORRLANDS LÄN</t>
        </is>
      </c>
      <c r="E11144" t="inlineStr">
        <is>
          <t>SUNDSVALL</t>
        </is>
      </c>
      <c r="F11144" t="inlineStr">
        <is>
          <t>SCA</t>
        </is>
      </c>
      <c r="G11144" t="n">
        <v>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11490-2026</t>
        </is>
      </c>
      <c r="B11145" s="1" t="n">
        <v>46083.63535879629</v>
      </c>
      <c r="C11145" s="1" t="n">
        <v>46093</v>
      </c>
      <c r="D11145" t="inlineStr">
        <is>
          <t>VÄSTERNORRLANDS LÄN</t>
        </is>
      </c>
      <c r="E11145" t="inlineStr">
        <is>
          <t>SUNDSVALL</t>
        </is>
      </c>
      <c r="G11145" t="n">
        <v>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11518-2026</t>
        </is>
      </c>
      <c r="B11146" s="1" t="n">
        <v>46083.66465277778</v>
      </c>
      <c r="C11146" s="1" t="n">
        <v>46093</v>
      </c>
      <c r="D11146" t="inlineStr">
        <is>
          <t>VÄSTERNORRLANDS LÄN</t>
        </is>
      </c>
      <c r="E11146" t="inlineStr">
        <is>
          <t>SUNDSVALL</t>
        </is>
      </c>
      <c r="G11146" t="n">
        <v>2.2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34796-2023</t>
        </is>
      </c>
      <c r="B11147" s="1" t="n">
        <v>45141.58427083334</v>
      </c>
      <c r="C11147" s="1" t="n">
        <v>46093</v>
      </c>
      <c r="D11147" t="inlineStr">
        <is>
          <t>VÄSTERNORRLANDS LÄN</t>
        </is>
      </c>
      <c r="E11147" t="inlineStr">
        <is>
          <t>ÖRNSKÖLDSVIK</t>
        </is>
      </c>
      <c r="F11147" t="inlineStr">
        <is>
          <t>Holmen skog AB</t>
        </is>
      </c>
      <c r="G11147" t="n">
        <v>2.7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40749-2023</t>
        </is>
      </c>
      <c r="B11148" s="1" t="n">
        <v>45170</v>
      </c>
      <c r="C11148" s="1" t="n">
        <v>46093</v>
      </c>
      <c r="D11148" t="inlineStr">
        <is>
          <t>VÄSTERNORRLANDS LÄN</t>
        </is>
      </c>
      <c r="E11148" t="inlineStr">
        <is>
          <t>SUNDSVALL</t>
        </is>
      </c>
      <c r="G11148" t="n">
        <v>1.8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34983-2023</t>
        </is>
      </c>
      <c r="B11149" s="1" t="n">
        <v>45141</v>
      </c>
      <c r="C11149" s="1" t="n">
        <v>46093</v>
      </c>
      <c r="D11149" t="inlineStr">
        <is>
          <t>VÄSTERNORRLANDS LÄN</t>
        </is>
      </c>
      <c r="E11149" t="inlineStr">
        <is>
          <t>SOLLEFTEÅ</t>
        </is>
      </c>
      <c r="F11149" t="inlineStr">
        <is>
          <t>SCA</t>
        </is>
      </c>
      <c r="G11149" t="n">
        <v>1.6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11570-2026</t>
        </is>
      </c>
      <c r="B11150" s="1" t="n">
        <v>46084.38008101852</v>
      </c>
      <c r="C11150" s="1" t="n">
        <v>46093</v>
      </c>
      <c r="D11150" t="inlineStr">
        <is>
          <t>VÄSTERNORRLANDS LÄN</t>
        </is>
      </c>
      <c r="E11150" t="inlineStr">
        <is>
          <t>SUNDSVALL</t>
        </is>
      </c>
      <c r="G11150" t="n">
        <v>0.2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11571-2026</t>
        </is>
      </c>
      <c r="B11151" s="1" t="n">
        <v>46084.38119212963</v>
      </c>
      <c r="C11151" s="1" t="n">
        <v>46093</v>
      </c>
      <c r="D11151" t="inlineStr">
        <is>
          <t>VÄSTERNORRLANDS LÄN</t>
        </is>
      </c>
      <c r="E11151" t="inlineStr">
        <is>
          <t>SUNDSVALL</t>
        </is>
      </c>
      <c r="G11151" t="n">
        <v>0.7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11655-2026</t>
        </is>
      </c>
      <c r="B11152" s="1" t="n">
        <v>46084.53188657408</v>
      </c>
      <c r="C11152" s="1" t="n">
        <v>46093</v>
      </c>
      <c r="D11152" t="inlineStr">
        <is>
          <t>VÄSTERNORRLANDS LÄN</t>
        </is>
      </c>
      <c r="E11152" t="inlineStr">
        <is>
          <t>SOLLEFTEÅ</t>
        </is>
      </c>
      <c r="F11152" t="inlineStr">
        <is>
          <t>SCA</t>
        </is>
      </c>
      <c r="G11152" t="n">
        <v>7.6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39843-2023</t>
        </is>
      </c>
      <c r="B11153" s="1" t="n">
        <v>45168</v>
      </c>
      <c r="C11153" s="1" t="n">
        <v>46093</v>
      </c>
      <c r="D11153" t="inlineStr">
        <is>
          <t>VÄSTERNORRLANDS LÄN</t>
        </is>
      </c>
      <c r="E11153" t="inlineStr">
        <is>
          <t>ÅNGE</t>
        </is>
      </c>
      <c r="G11153" t="n">
        <v>2.1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17789-2024</t>
        </is>
      </c>
      <c r="B11154" s="1" t="n">
        <v>45418</v>
      </c>
      <c r="C11154" s="1" t="n">
        <v>46093</v>
      </c>
      <c r="D11154" t="inlineStr">
        <is>
          <t>VÄSTERNORRLANDS LÄN</t>
        </is>
      </c>
      <c r="E11154" t="inlineStr">
        <is>
          <t>KRAMFORS</t>
        </is>
      </c>
      <c r="G11154" t="n">
        <v>2.3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37648-2021</t>
        </is>
      </c>
      <c r="B11155" s="1" t="n">
        <v>44400</v>
      </c>
      <c r="C11155" s="1" t="n">
        <v>46093</v>
      </c>
      <c r="D11155" t="inlineStr">
        <is>
          <t>VÄSTERNORRLANDS LÄN</t>
        </is>
      </c>
      <c r="E11155" t="inlineStr">
        <is>
          <t>SOLLEFTEÅ</t>
        </is>
      </c>
      <c r="G11155" t="n">
        <v>33.6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13071-2025</t>
        </is>
      </c>
      <c r="B11156" s="1" t="n">
        <v>45734.61527777778</v>
      </c>
      <c r="C11156" s="1" t="n">
        <v>46093</v>
      </c>
      <c r="D11156" t="inlineStr">
        <is>
          <t>VÄSTERNORRLANDS LÄN</t>
        </is>
      </c>
      <c r="E11156" t="inlineStr">
        <is>
          <t>SUNDSVALL</t>
        </is>
      </c>
      <c r="F11156" t="inlineStr">
        <is>
          <t>SCA</t>
        </is>
      </c>
      <c r="G11156" t="n">
        <v>1.7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11747-2026</t>
        </is>
      </c>
      <c r="B11157" s="1" t="n">
        <v>46084</v>
      </c>
      <c r="C11157" s="1" t="n">
        <v>46093</v>
      </c>
      <c r="D11157" t="inlineStr">
        <is>
          <t>VÄSTERNORRLANDS LÄN</t>
        </is>
      </c>
      <c r="E11157" t="inlineStr">
        <is>
          <t>SOLLEFTEÅ</t>
        </is>
      </c>
      <c r="G11157" t="n">
        <v>1.8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29663-2024</t>
        </is>
      </c>
      <c r="B11158" s="1" t="n">
        <v>45484.94004629629</v>
      </c>
      <c r="C11158" s="1" t="n">
        <v>46093</v>
      </c>
      <c r="D11158" t="inlineStr">
        <is>
          <t>VÄSTERNORRLANDS LÄN</t>
        </is>
      </c>
      <c r="E11158" t="inlineStr">
        <is>
          <t>SUNDSVALL</t>
        </is>
      </c>
      <c r="F11158" t="inlineStr">
        <is>
          <t>SCA</t>
        </is>
      </c>
      <c r="G11158" t="n">
        <v>44.6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60337-2022</t>
        </is>
      </c>
      <c r="B11159" s="1" t="n">
        <v>44910</v>
      </c>
      <c r="C11159" s="1" t="n">
        <v>46093</v>
      </c>
      <c r="D11159" t="inlineStr">
        <is>
          <t>VÄSTERNORRLANDS LÄN</t>
        </is>
      </c>
      <c r="E11159" t="inlineStr">
        <is>
          <t>ÖRNSKÖLDSVIK</t>
        </is>
      </c>
      <c r="G11159" t="n">
        <v>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2699-2025</t>
        </is>
      </c>
      <c r="B11160" s="1" t="n">
        <v>45677.40665509259</v>
      </c>
      <c r="C11160" s="1" t="n">
        <v>46093</v>
      </c>
      <c r="D11160" t="inlineStr">
        <is>
          <t>VÄSTERNORRLANDS LÄN</t>
        </is>
      </c>
      <c r="E11160" t="inlineStr">
        <is>
          <t>SOLLEFTEÅ</t>
        </is>
      </c>
      <c r="F11160" t="inlineStr">
        <is>
          <t>SCA</t>
        </is>
      </c>
      <c r="G11160" t="n">
        <v>3.8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52602-2024</t>
        </is>
      </c>
      <c r="B11161" s="1" t="n">
        <v>45609</v>
      </c>
      <c r="C11161" s="1" t="n">
        <v>46093</v>
      </c>
      <c r="D11161" t="inlineStr">
        <is>
          <t>VÄSTERNORRLANDS LÄN</t>
        </is>
      </c>
      <c r="E11161" t="inlineStr">
        <is>
          <t>SOLLEFTEÅ</t>
        </is>
      </c>
      <c r="G11161" t="n">
        <v>10.8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23942-2025</t>
        </is>
      </c>
      <c r="B11162" s="1" t="n">
        <v>45796.33728009259</v>
      </c>
      <c r="C11162" s="1" t="n">
        <v>46093</v>
      </c>
      <c r="D11162" t="inlineStr">
        <is>
          <t>VÄSTERNORRLANDS LÄN</t>
        </is>
      </c>
      <c r="E11162" t="inlineStr">
        <is>
          <t>ÖRNSKÖLDSVIK</t>
        </is>
      </c>
      <c r="F11162" t="inlineStr">
        <is>
          <t>Holmen skog AB</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23957-2025</t>
        </is>
      </c>
      <c r="B11163" s="1" t="n">
        <v>45796.365</v>
      </c>
      <c r="C11163" s="1" t="n">
        <v>46093</v>
      </c>
      <c r="D11163" t="inlineStr">
        <is>
          <t>VÄSTERNORRLANDS LÄN</t>
        </is>
      </c>
      <c r="E11163" t="inlineStr">
        <is>
          <t>TIMRÅ</t>
        </is>
      </c>
      <c r="F11163" t="inlineStr">
        <is>
          <t>SCA</t>
        </is>
      </c>
      <c r="G11163" t="n">
        <v>5.9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3398-2026</t>
        </is>
      </c>
      <c r="B11164" s="1" t="n">
        <v>46042.38586805556</v>
      </c>
      <c r="C11164" s="1" t="n">
        <v>46093</v>
      </c>
      <c r="D11164" t="inlineStr">
        <is>
          <t>VÄSTERNORRLANDS LÄN</t>
        </is>
      </c>
      <c r="E11164" t="inlineStr">
        <is>
          <t>SOLLEFTEÅ</t>
        </is>
      </c>
      <c r="F11164" t="inlineStr">
        <is>
          <t>SCA</t>
        </is>
      </c>
      <c r="G11164" t="n">
        <v>1.4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47959-2024</t>
        </is>
      </c>
      <c r="B11165" s="1" t="n">
        <v>45589</v>
      </c>
      <c r="C11165" s="1" t="n">
        <v>46093</v>
      </c>
      <c r="D11165" t="inlineStr">
        <is>
          <t>VÄSTERNORRLANDS LÄN</t>
        </is>
      </c>
      <c r="E11165" t="inlineStr">
        <is>
          <t>SUNDSVALL</t>
        </is>
      </c>
      <c r="G11165" t="n">
        <v>1.2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3500-2026</t>
        </is>
      </c>
      <c r="B11166" s="1" t="n">
        <v>46042</v>
      </c>
      <c r="C11166" s="1" t="n">
        <v>46093</v>
      </c>
      <c r="D11166" t="inlineStr">
        <is>
          <t>VÄSTERNORRLANDS LÄN</t>
        </is>
      </c>
      <c r="E11166" t="inlineStr">
        <is>
          <t>ÖRNSKÖLDSVIK</t>
        </is>
      </c>
      <c r="G11166" t="n">
        <v>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3436-2026</t>
        </is>
      </c>
      <c r="B11167" s="1" t="n">
        <v>46042.46947916667</v>
      </c>
      <c r="C11167" s="1" t="n">
        <v>46093</v>
      </c>
      <c r="D11167" t="inlineStr">
        <is>
          <t>VÄSTERNORRLANDS LÄN</t>
        </is>
      </c>
      <c r="E11167" t="inlineStr">
        <is>
          <t>SOLLEFTEÅ</t>
        </is>
      </c>
      <c r="G11167" t="n">
        <v>18.4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34586-2024</t>
        </is>
      </c>
      <c r="B11168" s="1" t="n">
        <v>45526</v>
      </c>
      <c r="C11168" s="1" t="n">
        <v>46093</v>
      </c>
      <c r="D11168" t="inlineStr">
        <is>
          <t>VÄSTERNORRLANDS LÄN</t>
        </is>
      </c>
      <c r="E11168" t="inlineStr">
        <is>
          <t>ÖRNSKÖLDSVIK</t>
        </is>
      </c>
      <c r="G11168" t="n">
        <v>2.5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36671-2022</t>
        </is>
      </c>
      <c r="B11169" s="1" t="n">
        <v>44804</v>
      </c>
      <c r="C11169" s="1" t="n">
        <v>46093</v>
      </c>
      <c r="D11169" t="inlineStr">
        <is>
          <t>VÄSTERNORRLANDS LÄN</t>
        </is>
      </c>
      <c r="E11169" t="inlineStr">
        <is>
          <t>KRAMFORS</t>
        </is>
      </c>
      <c r="G11169" t="n">
        <v>1.3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39622-2024</t>
        </is>
      </c>
      <c r="B11170" s="1" t="n">
        <v>45552</v>
      </c>
      <c r="C11170" s="1" t="n">
        <v>46093</v>
      </c>
      <c r="D11170" t="inlineStr">
        <is>
          <t>VÄSTERNORRLANDS LÄN</t>
        </is>
      </c>
      <c r="E11170" t="inlineStr">
        <is>
          <t>KRAMFORS</t>
        </is>
      </c>
      <c r="G11170" t="n">
        <v>1.9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10980-2026</t>
        </is>
      </c>
      <c r="B11171" s="1" t="n">
        <v>46079</v>
      </c>
      <c r="C11171" s="1" t="n">
        <v>46093</v>
      </c>
      <c r="D11171" t="inlineStr">
        <is>
          <t>VÄSTERNORRLANDS LÄN</t>
        </is>
      </c>
      <c r="E11171" t="inlineStr">
        <is>
          <t>TIMRÅ</t>
        </is>
      </c>
      <c r="G11171" t="n">
        <v>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6834-2026</t>
        </is>
      </c>
      <c r="B11172" s="1" t="n">
        <v>46057</v>
      </c>
      <c r="C11172" s="1" t="n">
        <v>46093</v>
      </c>
      <c r="D11172" t="inlineStr">
        <is>
          <t>VÄSTERNORRLANDS LÄN</t>
        </is>
      </c>
      <c r="E11172" t="inlineStr">
        <is>
          <t>SUNDSVALL</t>
        </is>
      </c>
      <c r="G11172" t="n">
        <v>2.1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11743-2026</t>
        </is>
      </c>
      <c r="B11173" s="1" t="n">
        <v>46084.65674768519</v>
      </c>
      <c r="C11173" s="1" t="n">
        <v>46093</v>
      </c>
      <c r="D11173" t="inlineStr">
        <is>
          <t>VÄSTERNORRLANDS LÄN</t>
        </is>
      </c>
      <c r="E11173" t="inlineStr">
        <is>
          <t>ÅNGE</t>
        </is>
      </c>
      <c r="F11173" t="inlineStr">
        <is>
          <t>SCA</t>
        </is>
      </c>
      <c r="G11173" t="n">
        <v>4.9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41787-2024</t>
        </is>
      </c>
      <c r="B11174" s="1" t="n">
        <v>45561.34986111111</v>
      </c>
      <c r="C11174" s="1" t="n">
        <v>46093</v>
      </c>
      <c r="D11174" t="inlineStr">
        <is>
          <t>VÄSTERNORRLANDS LÄN</t>
        </is>
      </c>
      <c r="E11174" t="inlineStr">
        <is>
          <t>SOLLEFTEÅ</t>
        </is>
      </c>
      <c r="F11174" t="inlineStr">
        <is>
          <t>SCA</t>
        </is>
      </c>
      <c r="G11174" t="n">
        <v>3.9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23975-2025</t>
        </is>
      </c>
      <c r="B11175" s="1" t="n">
        <v>45796.38614583333</v>
      </c>
      <c r="C11175" s="1" t="n">
        <v>46093</v>
      </c>
      <c r="D11175" t="inlineStr">
        <is>
          <t>VÄSTERNORRLANDS LÄN</t>
        </is>
      </c>
      <c r="E11175" t="inlineStr">
        <is>
          <t>ÅNGE</t>
        </is>
      </c>
      <c r="F11175" t="inlineStr">
        <is>
          <t>SCA</t>
        </is>
      </c>
      <c r="G11175" t="n">
        <v>2.3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23976-2025</t>
        </is>
      </c>
      <c r="B11176" s="1" t="n">
        <v>45796.38625</v>
      </c>
      <c r="C11176" s="1" t="n">
        <v>46093</v>
      </c>
      <c r="D11176" t="inlineStr">
        <is>
          <t>VÄSTERNORRLANDS LÄN</t>
        </is>
      </c>
      <c r="E11176" t="inlineStr">
        <is>
          <t>ÅNGE</t>
        </is>
      </c>
      <c r="F11176" t="inlineStr">
        <is>
          <t>SCA</t>
        </is>
      </c>
      <c r="G11176" t="n">
        <v>1.9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3536-2026</t>
        </is>
      </c>
      <c r="B11177" s="1" t="n">
        <v>46042.62841435185</v>
      </c>
      <c r="C11177" s="1" t="n">
        <v>46093</v>
      </c>
      <c r="D11177" t="inlineStr">
        <is>
          <t>VÄSTERNORRLANDS LÄN</t>
        </is>
      </c>
      <c r="E11177" t="inlineStr">
        <is>
          <t>SUNDSVALL</t>
        </is>
      </c>
      <c r="G11177" t="n">
        <v>1.9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27470-2023</t>
        </is>
      </c>
      <c r="B11178" s="1" t="n">
        <v>45097</v>
      </c>
      <c r="C11178" s="1" t="n">
        <v>46093</v>
      </c>
      <c r="D11178" t="inlineStr">
        <is>
          <t>VÄSTERNORRLANDS LÄN</t>
        </is>
      </c>
      <c r="E11178" t="inlineStr">
        <is>
          <t>SUNDSVALL</t>
        </is>
      </c>
      <c r="G11178" t="n">
        <v>3.7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3570-2026</t>
        </is>
      </c>
      <c r="B11179" s="1" t="n">
        <v>46042.6821412037</v>
      </c>
      <c r="C11179" s="1" t="n">
        <v>46093</v>
      </c>
      <c r="D11179" t="inlineStr">
        <is>
          <t>VÄSTERNORRLANDS LÄN</t>
        </is>
      </c>
      <c r="E11179" t="inlineStr">
        <is>
          <t>HÄRNÖSAND</t>
        </is>
      </c>
      <c r="G11179" t="n">
        <v>0.9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23667-2025</t>
        </is>
      </c>
      <c r="B11180" s="1" t="n">
        <v>45792.87087962963</v>
      </c>
      <c r="C11180" s="1" t="n">
        <v>46093</v>
      </c>
      <c r="D11180" t="inlineStr">
        <is>
          <t>VÄSTERNORRLANDS LÄN</t>
        </is>
      </c>
      <c r="E11180" t="inlineStr">
        <is>
          <t>ÖRNSKÖLDSVIK</t>
        </is>
      </c>
      <c r="G11180" t="n">
        <v>3.5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10827-2026</t>
        </is>
      </c>
      <c r="B11181" s="1" t="n">
        <v>46078</v>
      </c>
      <c r="C11181" s="1" t="n">
        <v>46093</v>
      </c>
      <c r="D11181" t="inlineStr">
        <is>
          <t>VÄSTERNORRLANDS LÄN</t>
        </is>
      </c>
      <c r="E11181" t="inlineStr">
        <is>
          <t>TIMRÅ</t>
        </is>
      </c>
      <c r="G11181" t="n">
        <v>1.6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23921-2025</t>
        </is>
      </c>
      <c r="B11182" s="1" t="n">
        <v>45795.34513888889</v>
      </c>
      <c r="C11182" s="1" t="n">
        <v>46093</v>
      </c>
      <c r="D11182" t="inlineStr">
        <is>
          <t>VÄSTERNORRLANDS LÄN</t>
        </is>
      </c>
      <c r="E11182" t="inlineStr">
        <is>
          <t>ÅNGE</t>
        </is>
      </c>
      <c r="F11182" t="inlineStr">
        <is>
          <t>SCA</t>
        </is>
      </c>
      <c r="G11182" t="n">
        <v>3.1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23735-2025</t>
        </is>
      </c>
      <c r="B11183" s="1" t="n">
        <v>45793.42777777778</v>
      </c>
      <c r="C11183" s="1" t="n">
        <v>46093</v>
      </c>
      <c r="D11183" t="inlineStr">
        <is>
          <t>VÄSTERNORRLANDS LÄN</t>
        </is>
      </c>
      <c r="E11183" t="inlineStr">
        <is>
          <t>SOLLEFTEÅ</t>
        </is>
      </c>
      <c r="F11183" t="inlineStr">
        <is>
          <t>SCA</t>
        </is>
      </c>
      <c r="G11183" t="n">
        <v>3.2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3495-2026</t>
        </is>
      </c>
      <c r="B11184" s="1" t="n">
        <v>46042</v>
      </c>
      <c r="C11184" s="1" t="n">
        <v>46093</v>
      </c>
      <c r="D11184" t="inlineStr">
        <is>
          <t>VÄSTERNORRLANDS LÄN</t>
        </is>
      </c>
      <c r="E11184" t="inlineStr">
        <is>
          <t>SOLLEFTEÅ</t>
        </is>
      </c>
      <c r="F11184" t="inlineStr">
        <is>
          <t>Kyrkan</t>
        </is>
      </c>
      <c r="G11184" t="n">
        <v>10.5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3496-2026</t>
        </is>
      </c>
      <c r="B11185" s="1" t="n">
        <v>46042</v>
      </c>
      <c r="C11185" s="1" t="n">
        <v>46093</v>
      </c>
      <c r="D11185" t="inlineStr">
        <is>
          <t>VÄSTERNORRLANDS LÄN</t>
        </is>
      </c>
      <c r="E11185" t="inlineStr">
        <is>
          <t>SOLLEFTEÅ</t>
        </is>
      </c>
      <c r="F11185" t="inlineStr">
        <is>
          <t>Kyrkan</t>
        </is>
      </c>
      <c r="G11185" t="n">
        <v>2.2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3534-2026</t>
        </is>
      </c>
      <c r="B11186" s="1" t="n">
        <v>46042.62432870371</v>
      </c>
      <c r="C11186" s="1" t="n">
        <v>46093</v>
      </c>
      <c r="D11186" t="inlineStr">
        <is>
          <t>VÄSTERNORRLANDS LÄN</t>
        </is>
      </c>
      <c r="E11186" t="inlineStr">
        <is>
          <t>ÅNGE</t>
        </is>
      </c>
      <c r="F11186" t="inlineStr">
        <is>
          <t>SCA</t>
        </is>
      </c>
      <c r="G11186" t="n">
        <v>1.9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23765-2025</t>
        </is>
      </c>
      <c r="B11187" s="1" t="n">
        <v>45793.46952546296</v>
      </c>
      <c r="C11187" s="1" t="n">
        <v>46093</v>
      </c>
      <c r="D11187" t="inlineStr">
        <is>
          <t>VÄSTERNORRLANDS LÄN</t>
        </is>
      </c>
      <c r="E11187" t="inlineStr">
        <is>
          <t>SUNDSVALL</t>
        </is>
      </c>
      <c r="F11187" t="inlineStr">
        <is>
          <t>SCA</t>
        </is>
      </c>
      <c r="G11187" t="n">
        <v>1.3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54079-2023</t>
        </is>
      </c>
      <c r="B11188" s="1" t="n">
        <v>45231</v>
      </c>
      <c r="C11188" s="1" t="n">
        <v>46093</v>
      </c>
      <c r="D11188" t="inlineStr">
        <is>
          <t>VÄSTERNORRLANDS LÄN</t>
        </is>
      </c>
      <c r="E11188" t="inlineStr">
        <is>
          <t>ÅNGE</t>
        </is>
      </c>
      <c r="F11188" t="inlineStr">
        <is>
          <t>SCA</t>
        </is>
      </c>
      <c r="G11188" t="n">
        <v>1.1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28290-2024</t>
        </is>
      </c>
      <c r="B11189" s="1" t="n">
        <v>45477.46743055555</v>
      </c>
      <c r="C11189" s="1" t="n">
        <v>46093</v>
      </c>
      <c r="D11189" t="inlineStr">
        <is>
          <t>VÄSTERNORRLANDS LÄN</t>
        </is>
      </c>
      <c r="E11189" t="inlineStr">
        <is>
          <t>SOLLEFTEÅ</t>
        </is>
      </c>
      <c r="F11189" t="inlineStr">
        <is>
          <t>Holmen skog AB</t>
        </is>
      </c>
      <c r="G11189" t="n">
        <v>1.3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6691-2026</t>
        </is>
      </c>
      <c r="B11190" s="1" t="n">
        <v>46056</v>
      </c>
      <c r="C11190" s="1" t="n">
        <v>46093</v>
      </c>
      <c r="D11190" t="inlineStr">
        <is>
          <t>VÄSTERNORRLANDS LÄN</t>
        </is>
      </c>
      <c r="E11190" t="inlineStr">
        <is>
          <t>SUNDSVALL</t>
        </is>
      </c>
      <c r="F11190" t="inlineStr">
        <is>
          <t>SCA</t>
        </is>
      </c>
      <c r="G11190" t="n">
        <v>1.8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29702-2024</t>
        </is>
      </c>
      <c r="B11191" s="1" t="n">
        <v>45485.31525462963</v>
      </c>
      <c r="C11191" s="1" t="n">
        <v>46093</v>
      </c>
      <c r="D11191" t="inlineStr">
        <is>
          <t>VÄSTERNORRLANDS LÄN</t>
        </is>
      </c>
      <c r="E11191" t="inlineStr">
        <is>
          <t>ÅNGE</t>
        </is>
      </c>
      <c r="G11191" t="n">
        <v>2.6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3376-2026</t>
        </is>
      </c>
      <c r="B11192" s="1" t="n">
        <v>46042</v>
      </c>
      <c r="C11192" s="1" t="n">
        <v>46093</v>
      </c>
      <c r="D11192" t="inlineStr">
        <is>
          <t>VÄSTERNORRLANDS LÄN</t>
        </is>
      </c>
      <c r="E11192" t="inlineStr">
        <is>
          <t>SUNDSVALL</t>
        </is>
      </c>
      <c r="G11192" t="n">
        <v>9.5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3397-2026</t>
        </is>
      </c>
      <c r="B11193" s="1" t="n">
        <v>46042.378125</v>
      </c>
      <c r="C11193" s="1" t="n">
        <v>46093</v>
      </c>
      <c r="D11193" t="inlineStr">
        <is>
          <t>VÄSTERNORRLANDS LÄN</t>
        </is>
      </c>
      <c r="E11193" t="inlineStr">
        <is>
          <t>ÖRNSKÖLDSVIK</t>
        </is>
      </c>
      <c r="F11193" t="inlineStr">
        <is>
          <t>Holmen skog AB</t>
        </is>
      </c>
      <c r="G11193" t="n">
        <v>2.4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11487-2026</t>
        </is>
      </c>
      <c r="B11194" s="1" t="n">
        <v>46083.63237268518</v>
      </c>
      <c r="C11194" s="1" t="n">
        <v>46093</v>
      </c>
      <c r="D11194" t="inlineStr">
        <is>
          <t>VÄSTERNORRLANDS LÄN</t>
        </is>
      </c>
      <c r="E11194" t="inlineStr">
        <is>
          <t>SUNDSVALL</t>
        </is>
      </c>
      <c r="G11194" t="n">
        <v>3.2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62271-2021</t>
        </is>
      </c>
      <c r="B11195" s="1" t="n">
        <v>44503.35984953704</v>
      </c>
      <c r="C11195" s="1" t="n">
        <v>46093</v>
      </c>
      <c r="D11195" t="inlineStr">
        <is>
          <t>VÄSTERNORRLANDS LÄN</t>
        </is>
      </c>
      <c r="E11195" t="inlineStr">
        <is>
          <t>KRAMFORS</t>
        </is>
      </c>
      <c r="G11195" t="n">
        <v>2.6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35358-2021</t>
        </is>
      </c>
      <c r="B11196" s="1" t="n">
        <v>44384.93591435185</v>
      </c>
      <c r="C11196" s="1" t="n">
        <v>46093</v>
      </c>
      <c r="D11196" t="inlineStr">
        <is>
          <t>VÄSTERNORRLANDS LÄN</t>
        </is>
      </c>
      <c r="E11196" t="inlineStr">
        <is>
          <t>SOLLEFTEÅ</t>
        </is>
      </c>
      <c r="F11196" t="inlineStr">
        <is>
          <t>SCA</t>
        </is>
      </c>
      <c r="G11196" t="n">
        <v>5.2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23977-2025</t>
        </is>
      </c>
      <c r="B11197" s="1" t="n">
        <v>45796.38637731481</v>
      </c>
      <c r="C11197" s="1" t="n">
        <v>46093</v>
      </c>
      <c r="D11197" t="inlineStr">
        <is>
          <t>VÄSTERNORRLANDS LÄN</t>
        </is>
      </c>
      <c r="E11197" t="inlineStr">
        <is>
          <t>SOLLEFTEÅ</t>
        </is>
      </c>
      <c r="F11197" t="inlineStr">
        <is>
          <t>SCA</t>
        </is>
      </c>
      <c r="G11197" t="n">
        <v>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23997-2025</t>
        </is>
      </c>
      <c r="B11198" s="1" t="n">
        <v>45796.42061342593</v>
      </c>
      <c r="C11198" s="1" t="n">
        <v>46093</v>
      </c>
      <c r="D11198" t="inlineStr">
        <is>
          <t>VÄSTERNORRLANDS LÄN</t>
        </is>
      </c>
      <c r="E11198" t="inlineStr">
        <is>
          <t>SOLLEFTEÅ</t>
        </is>
      </c>
      <c r="G11198" t="n">
        <v>1.3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1088-2022</t>
        </is>
      </c>
      <c r="B11199" s="1" t="n">
        <v>44571</v>
      </c>
      <c r="C11199" s="1" t="n">
        <v>46093</v>
      </c>
      <c r="D11199" t="inlineStr">
        <is>
          <t>VÄSTERNORRLANDS LÄN</t>
        </is>
      </c>
      <c r="E11199" t="inlineStr">
        <is>
          <t>HÄRNÖSAND</t>
        </is>
      </c>
      <c r="G11199" t="n">
        <v>1.7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24090-2025</t>
        </is>
      </c>
      <c r="B11200" s="1" t="n">
        <v>45796.57068287037</v>
      </c>
      <c r="C11200" s="1" t="n">
        <v>46093</v>
      </c>
      <c r="D11200" t="inlineStr">
        <is>
          <t>VÄSTERNORRLANDS LÄN</t>
        </is>
      </c>
      <c r="E11200" t="inlineStr">
        <is>
          <t>SUNDSVALL</t>
        </is>
      </c>
      <c r="G11200" t="n">
        <v>5.9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23736-2025</t>
        </is>
      </c>
      <c r="B11201" s="1" t="n">
        <v>45793.42796296296</v>
      </c>
      <c r="C11201" s="1" t="n">
        <v>46093</v>
      </c>
      <c r="D11201" t="inlineStr">
        <is>
          <t>VÄSTERNORRLANDS LÄN</t>
        </is>
      </c>
      <c r="E11201" t="inlineStr">
        <is>
          <t>SUNDSVALL</t>
        </is>
      </c>
      <c r="F11201" t="inlineStr">
        <is>
          <t>SCA</t>
        </is>
      </c>
      <c r="G11201" t="n">
        <v>22.8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23738-2025</t>
        </is>
      </c>
      <c r="B11202" s="1" t="n">
        <v>45793.42819444444</v>
      </c>
      <c r="C11202" s="1" t="n">
        <v>46093</v>
      </c>
      <c r="D11202" t="inlineStr">
        <is>
          <t>VÄSTERNORRLANDS LÄN</t>
        </is>
      </c>
      <c r="E11202" t="inlineStr">
        <is>
          <t>SOLLEFTEÅ</t>
        </is>
      </c>
      <c r="F11202" t="inlineStr">
        <is>
          <t>SCA</t>
        </is>
      </c>
      <c r="G11202" t="n">
        <v>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24135-2025</t>
        </is>
      </c>
      <c r="B11203" s="1" t="n">
        <v>45796.63609953703</v>
      </c>
      <c r="C11203" s="1" t="n">
        <v>46093</v>
      </c>
      <c r="D11203" t="inlineStr">
        <is>
          <t>VÄSTERNORRLANDS LÄN</t>
        </is>
      </c>
      <c r="E11203" t="inlineStr">
        <is>
          <t>KRAMFORS</t>
        </is>
      </c>
      <c r="G11203" t="n">
        <v>10.5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3139-2026</t>
        </is>
      </c>
      <c r="B11204" s="1" t="n">
        <v>46041.40305555556</v>
      </c>
      <c r="C11204" s="1" t="n">
        <v>46093</v>
      </c>
      <c r="D11204" t="inlineStr">
        <is>
          <t>VÄSTERNORRLANDS LÄN</t>
        </is>
      </c>
      <c r="E11204" t="inlineStr">
        <is>
          <t>ÖRNSKÖLDSVIK</t>
        </is>
      </c>
      <c r="G11204" t="n">
        <v>2.2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3188-2026</t>
        </is>
      </c>
      <c r="B11205" s="1" t="n">
        <v>46041.45927083334</v>
      </c>
      <c r="C11205" s="1" t="n">
        <v>46093</v>
      </c>
      <c r="D11205" t="inlineStr">
        <is>
          <t>VÄSTERNORRLANDS LÄN</t>
        </is>
      </c>
      <c r="E11205" t="inlineStr">
        <is>
          <t>ÖRNSKÖLDSVIK</t>
        </is>
      </c>
      <c r="G11205" t="n">
        <v>1.6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26641-2024</t>
        </is>
      </c>
      <c r="B11206" s="1" t="n">
        <v>45469.92836805555</v>
      </c>
      <c r="C11206" s="1" t="n">
        <v>46093</v>
      </c>
      <c r="D11206" t="inlineStr">
        <is>
          <t>VÄSTERNORRLANDS LÄN</t>
        </is>
      </c>
      <c r="E11206" t="inlineStr">
        <is>
          <t>ÅNGE</t>
        </is>
      </c>
      <c r="G11206" t="n">
        <v>4.5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23864-2025</t>
        </is>
      </c>
      <c r="B11207" s="1" t="n">
        <v>45793.66726851852</v>
      </c>
      <c r="C11207" s="1" t="n">
        <v>46093</v>
      </c>
      <c r="D11207" t="inlineStr">
        <is>
          <t>VÄSTERNORRLANDS LÄN</t>
        </is>
      </c>
      <c r="E11207" t="inlineStr">
        <is>
          <t>ÖRNSKÖLDSVIK</t>
        </is>
      </c>
      <c r="G11207" t="n">
        <v>2.7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23871-2025</t>
        </is>
      </c>
      <c r="B11208" s="1" t="n">
        <v>45793.67741898148</v>
      </c>
      <c r="C11208" s="1" t="n">
        <v>46093</v>
      </c>
      <c r="D11208" t="inlineStr">
        <is>
          <t>VÄSTERNORRLANDS LÄN</t>
        </is>
      </c>
      <c r="E11208" t="inlineStr">
        <is>
          <t>SOLLEFTEÅ</t>
        </is>
      </c>
      <c r="F11208" t="inlineStr">
        <is>
          <t>SCA</t>
        </is>
      </c>
      <c r="G11208" t="n">
        <v>1.7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1268-2024</t>
        </is>
      </c>
      <c r="B11209" s="1" t="n">
        <v>45302</v>
      </c>
      <c r="C11209" s="1" t="n">
        <v>46093</v>
      </c>
      <c r="D11209" t="inlineStr">
        <is>
          <t>VÄSTERNORRLANDS LÄN</t>
        </is>
      </c>
      <c r="E11209" t="inlineStr">
        <is>
          <t>SOLLEFTEÅ</t>
        </is>
      </c>
      <c r="G11209" t="n">
        <v>3.3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21100-2024</t>
        </is>
      </c>
      <c r="B11210" s="1" t="n">
        <v>45439.95072916667</v>
      </c>
      <c r="C11210" s="1" t="n">
        <v>46093</v>
      </c>
      <c r="D11210" t="inlineStr">
        <is>
          <t>VÄSTERNORRLANDS LÄN</t>
        </is>
      </c>
      <c r="E11210" t="inlineStr">
        <is>
          <t>SOLLEFTEÅ</t>
        </is>
      </c>
      <c r="F11210" t="inlineStr">
        <is>
          <t>SCA</t>
        </is>
      </c>
      <c r="G11210" t="n">
        <v>8.1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11744-2026</t>
        </is>
      </c>
      <c r="B11211" s="1" t="n">
        <v>46084.65695601852</v>
      </c>
      <c r="C11211" s="1" t="n">
        <v>46093</v>
      </c>
      <c r="D11211" t="inlineStr">
        <is>
          <t>VÄSTERNORRLANDS LÄN</t>
        </is>
      </c>
      <c r="E11211" t="inlineStr">
        <is>
          <t>ÅNGE</t>
        </is>
      </c>
      <c r="F11211" t="inlineStr">
        <is>
          <t>SCA</t>
        </is>
      </c>
      <c r="G11211" t="n">
        <v>8.9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11766-2026</t>
        </is>
      </c>
      <c r="B11212" s="1" t="n">
        <v>46084.70090277777</v>
      </c>
      <c r="C11212" s="1" t="n">
        <v>46093</v>
      </c>
      <c r="D11212" t="inlineStr">
        <is>
          <t>VÄSTERNORRLANDS LÄN</t>
        </is>
      </c>
      <c r="E11212" t="inlineStr">
        <is>
          <t>SOLLEFTEÅ</t>
        </is>
      </c>
      <c r="F11212" t="inlineStr">
        <is>
          <t>Holmen skog AB</t>
        </is>
      </c>
      <c r="G11212" t="n">
        <v>8.1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8640-2026</t>
        </is>
      </c>
      <c r="B11213" s="1" t="n">
        <v>46066</v>
      </c>
      <c r="C11213" s="1" t="n">
        <v>46093</v>
      </c>
      <c r="D11213" t="inlineStr">
        <is>
          <t>VÄSTERNORRLANDS LÄN</t>
        </is>
      </c>
      <c r="E11213" t="inlineStr">
        <is>
          <t>TIMRÅ</t>
        </is>
      </c>
      <c r="G11213" t="n">
        <v>2.6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50699-2024</t>
        </is>
      </c>
      <c r="B11214" s="1" t="n">
        <v>45602</v>
      </c>
      <c r="C11214" s="1" t="n">
        <v>46093</v>
      </c>
      <c r="D11214" t="inlineStr">
        <is>
          <t>VÄSTERNORRLANDS LÄN</t>
        </is>
      </c>
      <c r="E11214" t="inlineStr">
        <is>
          <t>TIMRÅ</t>
        </is>
      </c>
      <c r="G11214" t="n">
        <v>1.4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41741-2023</t>
        </is>
      </c>
      <c r="B11215" s="1" t="n">
        <v>45176.42164351852</v>
      </c>
      <c r="C11215" s="1" t="n">
        <v>46093</v>
      </c>
      <c r="D11215" t="inlineStr">
        <is>
          <t>VÄSTERNORRLANDS LÄN</t>
        </is>
      </c>
      <c r="E11215" t="inlineStr">
        <is>
          <t>ÅNGE</t>
        </is>
      </c>
      <c r="G11215" t="n">
        <v>7.8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10926-2026</t>
        </is>
      </c>
      <c r="B11216" s="1" t="n">
        <v>46079</v>
      </c>
      <c r="C11216" s="1" t="n">
        <v>46093</v>
      </c>
      <c r="D11216" t="inlineStr">
        <is>
          <t>VÄSTERNORRLANDS LÄN</t>
        </is>
      </c>
      <c r="E11216" t="inlineStr">
        <is>
          <t>SUNDSVALL</t>
        </is>
      </c>
      <c r="G11216" t="n">
        <v>5.4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16365-2022</t>
        </is>
      </c>
      <c r="B11217" s="1" t="n">
        <v>44670.9406712963</v>
      </c>
      <c r="C11217" s="1" t="n">
        <v>46093</v>
      </c>
      <c r="D11217" t="inlineStr">
        <is>
          <t>VÄSTERNORRLANDS LÄN</t>
        </is>
      </c>
      <c r="E11217" t="inlineStr">
        <is>
          <t>SOLLEFTEÅ</t>
        </is>
      </c>
      <c r="F11217" t="inlineStr">
        <is>
          <t>SCA</t>
        </is>
      </c>
      <c r="G11217" t="n">
        <v>2.5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3169-2026</t>
        </is>
      </c>
      <c r="B11218" s="1" t="n">
        <v>46041.44077546296</v>
      </c>
      <c r="C11218" s="1" t="n">
        <v>46093</v>
      </c>
      <c r="D11218" t="inlineStr">
        <is>
          <t>VÄSTERNORRLANDS LÄN</t>
        </is>
      </c>
      <c r="E11218" t="inlineStr">
        <is>
          <t>TIMRÅ</t>
        </is>
      </c>
      <c r="G11218" t="n">
        <v>1.8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3179-2026</t>
        </is>
      </c>
      <c r="B11219" s="1" t="n">
        <v>46041.44837962963</v>
      </c>
      <c r="C11219" s="1" t="n">
        <v>46093</v>
      </c>
      <c r="D11219" t="inlineStr">
        <is>
          <t>VÄSTERNORRLANDS LÄN</t>
        </is>
      </c>
      <c r="E11219" t="inlineStr">
        <is>
          <t>SOLLEFTEÅ</t>
        </is>
      </c>
      <c r="G11219" t="n">
        <v>1.7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3195-2026</t>
        </is>
      </c>
      <c r="B11220" s="1" t="n">
        <v>46041</v>
      </c>
      <c r="C11220" s="1" t="n">
        <v>46093</v>
      </c>
      <c r="D11220" t="inlineStr">
        <is>
          <t>VÄSTERNORRLANDS LÄN</t>
        </is>
      </c>
      <c r="E11220" t="inlineStr">
        <is>
          <t>ÖRNSKÖLDSVIK</t>
        </is>
      </c>
      <c r="G11220" t="n">
        <v>2.3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30972-2023</t>
        </is>
      </c>
      <c r="B11221" s="1" t="n">
        <v>45103</v>
      </c>
      <c r="C11221" s="1" t="n">
        <v>46093</v>
      </c>
      <c r="D11221" t="inlineStr">
        <is>
          <t>VÄSTERNORRLANDS LÄN</t>
        </is>
      </c>
      <c r="E11221" t="inlineStr">
        <is>
          <t>ÖRNSKÖLDSVIK</t>
        </is>
      </c>
      <c r="G11221" t="n">
        <v>2.1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3571-2026</t>
        </is>
      </c>
      <c r="B11222" s="1" t="n">
        <v>46042.68803240741</v>
      </c>
      <c r="C11222" s="1" t="n">
        <v>46093</v>
      </c>
      <c r="D11222" t="inlineStr">
        <is>
          <t>VÄSTERNORRLANDS LÄN</t>
        </is>
      </c>
      <c r="E11222" t="inlineStr">
        <is>
          <t>HÄRNÖSAND</t>
        </is>
      </c>
      <c r="G11222" t="n">
        <v>1.5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3584-2026</t>
        </is>
      </c>
      <c r="B11223" s="1" t="n">
        <v>46042.73206018518</v>
      </c>
      <c r="C11223" s="1" t="n">
        <v>46093</v>
      </c>
      <c r="D11223" t="inlineStr">
        <is>
          <t>VÄSTERNORRLANDS LÄN</t>
        </is>
      </c>
      <c r="E11223" t="inlineStr">
        <is>
          <t>SOLLEFTEÅ</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37992-2024</t>
        </is>
      </c>
      <c r="B11224" s="1" t="n">
        <v>45544.59524305556</v>
      </c>
      <c r="C11224" s="1" t="n">
        <v>46093</v>
      </c>
      <c r="D11224" t="inlineStr">
        <is>
          <t>VÄSTERNORRLANDS LÄN</t>
        </is>
      </c>
      <c r="E11224" t="inlineStr">
        <is>
          <t>ÅNGE</t>
        </is>
      </c>
      <c r="G11224" t="n">
        <v>3.9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57516-2023</t>
        </is>
      </c>
      <c r="B11225" s="1" t="n">
        <v>45246.44665509259</v>
      </c>
      <c r="C11225" s="1" t="n">
        <v>46093</v>
      </c>
      <c r="D11225" t="inlineStr">
        <is>
          <t>VÄSTERNORRLANDS LÄN</t>
        </is>
      </c>
      <c r="E11225" t="inlineStr">
        <is>
          <t>ÅNGE</t>
        </is>
      </c>
      <c r="G11225" t="n">
        <v>2.2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3287-2026</t>
        </is>
      </c>
      <c r="B11226" s="1" t="n">
        <v>46041</v>
      </c>
      <c r="C11226" s="1" t="n">
        <v>46093</v>
      </c>
      <c r="D11226" t="inlineStr">
        <is>
          <t>VÄSTERNORRLANDS LÄN</t>
        </is>
      </c>
      <c r="E11226" t="inlineStr">
        <is>
          <t>SUNDSVALL</t>
        </is>
      </c>
      <c r="G11226" t="n">
        <v>4.6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3359-2026</t>
        </is>
      </c>
      <c r="B11227" s="1" t="n">
        <v>46041</v>
      </c>
      <c r="C11227" s="1" t="n">
        <v>46093</v>
      </c>
      <c r="D11227" t="inlineStr">
        <is>
          <t>VÄSTERNORRLANDS LÄN</t>
        </is>
      </c>
      <c r="E11227" t="inlineStr">
        <is>
          <t>ÖRNSKÖLDSVIK</t>
        </is>
      </c>
      <c r="G11227" t="n">
        <v>6.9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3362-2026</t>
        </is>
      </c>
      <c r="B11228" s="1" t="n">
        <v>46042.33056712963</v>
      </c>
      <c r="C11228" s="1" t="n">
        <v>46093</v>
      </c>
      <c r="D11228" t="inlineStr">
        <is>
          <t>VÄSTERNORRLANDS LÄN</t>
        </is>
      </c>
      <c r="E11228" t="inlineStr">
        <is>
          <t>ÖRNSKÖLDSVIK</t>
        </is>
      </c>
      <c r="G11228" t="n">
        <v>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23734-2025</t>
        </is>
      </c>
      <c r="B11229" s="1" t="n">
        <v>45793.4275462963</v>
      </c>
      <c r="C11229" s="1" t="n">
        <v>46093</v>
      </c>
      <c r="D11229" t="inlineStr">
        <is>
          <t>VÄSTERNORRLANDS LÄN</t>
        </is>
      </c>
      <c r="E11229" t="inlineStr">
        <is>
          <t>SOLLEFTEÅ</t>
        </is>
      </c>
      <c r="F11229" t="inlineStr">
        <is>
          <t>SCA</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23069-2024</t>
        </is>
      </c>
      <c r="B11230" s="1" t="n">
        <v>45450</v>
      </c>
      <c r="C11230" s="1" t="n">
        <v>46093</v>
      </c>
      <c r="D11230" t="inlineStr">
        <is>
          <t>VÄSTERNORRLANDS LÄN</t>
        </is>
      </c>
      <c r="E11230" t="inlineStr">
        <is>
          <t>ÅNGE</t>
        </is>
      </c>
      <c r="G11230" t="n">
        <v>1.5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41575-2024</t>
        </is>
      </c>
      <c r="B11231" s="1" t="n">
        <v>45560.55106481481</v>
      </c>
      <c r="C11231" s="1" t="n">
        <v>46093</v>
      </c>
      <c r="D11231" t="inlineStr">
        <is>
          <t>VÄSTERNORRLANDS LÄN</t>
        </is>
      </c>
      <c r="E11231" t="inlineStr">
        <is>
          <t>ÅNGE</t>
        </is>
      </c>
      <c r="F11231" t="inlineStr">
        <is>
          <t>Holmen skog AB</t>
        </is>
      </c>
      <c r="G11231" t="n">
        <v>0.7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24008-2025</t>
        </is>
      </c>
      <c r="B11232" s="1" t="n">
        <v>45796.43841435185</v>
      </c>
      <c r="C11232" s="1" t="n">
        <v>46093</v>
      </c>
      <c r="D11232" t="inlineStr">
        <is>
          <t>VÄSTERNORRLANDS LÄN</t>
        </is>
      </c>
      <c r="E11232" t="inlineStr">
        <is>
          <t>ÅNGE</t>
        </is>
      </c>
      <c r="G11232" t="n">
        <v>8.300000000000001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2158-2026</t>
        </is>
      </c>
      <c r="B11233" s="1" t="n">
        <v>46036</v>
      </c>
      <c r="C11233" s="1" t="n">
        <v>46093</v>
      </c>
      <c r="D11233" t="inlineStr">
        <is>
          <t>VÄSTERNORRLANDS LÄN</t>
        </is>
      </c>
      <c r="E11233" t="inlineStr">
        <is>
          <t>KRAMFORS</t>
        </is>
      </c>
      <c r="G11233" t="n">
        <v>0.8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45585-2024</t>
        </is>
      </c>
      <c r="B11234" s="1" t="n">
        <v>45579.40584490741</v>
      </c>
      <c r="C11234" s="1" t="n">
        <v>46093</v>
      </c>
      <c r="D11234" t="inlineStr">
        <is>
          <t>VÄSTERNORRLANDS LÄN</t>
        </is>
      </c>
      <c r="E11234" t="inlineStr">
        <is>
          <t>HÄRNÖSAND</t>
        </is>
      </c>
      <c r="G11234" t="n">
        <v>1.6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3274-2026</t>
        </is>
      </c>
      <c r="B11235" s="1" t="n">
        <v>46041.61489583334</v>
      </c>
      <c r="C11235" s="1" t="n">
        <v>46093</v>
      </c>
      <c r="D11235" t="inlineStr">
        <is>
          <t>VÄSTERNORRLANDS LÄN</t>
        </is>
      </c>
      <c r="E11235" t="inlineStr">
        <is>
          <t>SOLLEFTEÅ</t>
        </is>
      </c>
      <c r="G11235" t="n">
        <v>14.7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3212-2026</t>
        </is>
      </c>
      <c r="B11236" s="1" t="n">
        <v>46041.49188657408</v>
      </c>
      <c r="C11236" s="1" t="n">
        <v>46093</v>
      </c>
      <c r="D11236" t="inlineStr">
        <is>
          <t>VÄSTERNORRLANDS LÄN</t>
        </is>
      </c>
      <c r="E11236" t="inlineStr">
        <is>
          <t>ÖRNSKÖLDSVIK</t>
        </is>
      </c>
      <c r="F11236" t="inlineStr">
        <is>
          <t>Holmen skog AB</t>
        </is>
      </c>
      <c r="G11236" t="n">
        <v>1.4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19007-2025</t>
        </is>
      </c>
      <c r="B11237" s="1" t="n">
        <v>45764.58515046296</v>
      </c>
      <c r="C11237" s="1" t="n">
        <v>46093</v>
      </c>
      <c r="D11237" t="inlineStr">
        <is>
          <t>VÄSTERNORRLANDS LÄN</t>
        </is>
      </c>
      <c r="E11237" t="inlineStr">
        <is>
          <t>ÅNGE</t>
        </is>
      </c>
      <c r="G11237" t="n">
        <v>3.7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30299-2024</t>
        </is>
      </c>
      <c r="B11238" s="1" t="n">
        <v>45490</v>
      </c>
      <c r="C11238" s="1" t="n">
        <v>46093</v>
      </c>
      <c r="D11238" t="inlineStr">
        <is>
          <t>VÄSTERNORRLANDS LÄN</t>
        </is>
      </c>
      <c r="E11238" t="inlineStr">
        <is>
          <t>SUNDSVALL</t>
        </is>
      </c>
      <c r="G11238" t="n">
        <v>4.4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11256-2026</t>
        </is>
      </c>
      <c r="B11239" s="1" t="n">
        <v>46080</v>
      </c>
      <c r="C11239" s="1" t="n">
        <v>46093</v>
      </c>
      <c r="D11239" t="inlineStr">
        <is>
          <t>VÄSTERNORRLANDS LÄN</t>
        </is>
      </c>
      <c r="E11239" t="inlineStr">
        <is>
          <t>ÅNGE</t>
        </is>
      </c>
      <c r="F11239" t="inlineStr">
        <is>
          <t>SCA</t>
        </is>
      </c>
      <c r="G11239" t="n">
        <v>1.9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23783-2025</t>
        </is>
      </c>
      <c r="B11240" s="1" t="n">
        <v>45793</v>
      </c>
      <c r="C11240" s="1" t="n">
        <v>46093</v>
      </c>
      <c r="D11240" t="inlineStr">
        <is>
          <t>VÄSTERNORRLANDS LÄN</t>
        </is>
      </c>
      <c r="E11240" t="inlineStr">
        <is>
          <t>HÄRNÖSAND</t>
        </is>
      </c>
      <c r="G11240" t="n">
        <v>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11382-2026</t>
        </is>
      </c>
      <c r="B11241" s="1" t="n">
        <v>46083.41314814815</v>
      </c>
      <c r="C11241" s="1" t="n">
        <v>46093</v>
      </c>
      <c r="D11241" t="inlineStr">
        <is>
          <t>VÄSTERNORRLANDS LÄN</t>
        </is>
      </c>
      <c r="E11241" t="inlineStr">
        <is>
          <t>TIMRÅ</t>
        </is>
      </c>
      <c r="G11241" t="n">
        <v>5.9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3400-2026</t>
        </is>
      </c>
      <c r="B11242" s="1" t="n">
        <v>46042.38619212963</v>
      </c>
      <c r="C11242" s="1" t="n">
        <v>46093</v>
      </c>
      <c r="D11242" t="inlineStr">
        <is>
          <t>VÄSTERNORRLANDS LÄN</t>
        </is>
      </c>
      <c r="E11242" t="inlineStr">
        <is>
          <t>SOLLEFTEÅ</t>
        </is>
      </c>
      <c r="G11242" t="n">
        <v>2.1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3435-2026</t>
        </is>
      </c>
      <c r="B11243" s="1" t="n">
        <v>46042.46942129629</v>
      </c>
      <c r="C11243" s="1" t="n">
        <v>46093</v>
      </c>
      <c r="D11243" t="inlineStr">
        <is>
          <t>VÄSTERNORRLANDS LÄN</t>
        </is>
      </c>
      <c r="E11243" t="inlineStr">
        <is>
          <t>SOLLEFTEÅ</t>
        </is>
      </c>
      <c r="G11243" t="n">
        <v>2.2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61944-2023</t>
        </is>
      </c>
      <c r="B11244" s="1" t="n">
        <v>45266.55423611111</v>
      </c>
      <c r="C11244" s="1" t="n">
        <v>46093</v>
      </c>
      <c r="D11244" t="inlineStr">
        <is>
          <t>VÄSTERNORRLANDS LÄN</t>
        </is>
      </c>
      <c r="E11244" t="inlineStr">
        <is>
          <t>HÄRNÖSAND</t>
        </is>
      </c>
      <c r="G11244" t="n">
        <v>2.2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60004-2023</t>
        </is>
      </c>
      <c r="B11245" s="1" t="n">
        <v>45257</v>
      </c>
      <c r="C11245" s="1" t="n">
        <v>46093</v>
      </c>
      <c r="D11245" t="inlineStr">
        <is>
          <t>VÄSTERNORRLANDS LÄN</t>
        </is>
      </c>
      <c r="E11245" t="inlineStr">
        <is>
          <t>ÅNGE</t>
        </is>
      </c>
      <c r="F11245" t="inlineStr">
        <is>
          <t>SCA</t>
        </is>
      </c>
      <c r="G11245" t="n">
        <v>9.199999999999999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60074-2023</t>
        </is>
      </c>
      <c r="B11246" s="1" t="n">
        <v>45258</v>
      </c>
      <c r="C11246" s="1" t="n">
        <v>46093</v>
      </c>
      <c r="D11246" t="inlineStr">
        <is>
          <t>VÄSTERNORRLANDS LÄN</t>
        </is>
      </c>
      <c r="E11246" t="inlineStr">
        <is>
          <t>TIMRÅ</t>
        </is>
      </c>
      <c r="G11246" t="n">
        <v>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20528-2024</t>
        </is>
      </c>
      <c r="B11247" s="1" t="n">
        <v>45435.94611111111</v>
      </c>
      <c r="C11247" s="1" t="n">
        <v>46093</v>
      </c>
      <c r="D11247" t="inlineStr">
        <is>
          <t>VÄSTERNORRLANDS LÄN</t>
        </is>
      </c>
      <c r="E11247" t="inlineStr">
        <is>
          <t>KRAMFORS</t>
        </is>
      </c>
      <c r="F11247" t="inlineStr">
        <is>
          <t>SCA</t>
        </is>
      </c>
      <c r="G11247" t="n">
        <v>3.1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14292-2025</t>
        </is>
      </c>
      <c r="B11248" s="1" t="n">
        <v>45740.67795138889</v>
      </c>
      <c r="C11248" s="1" t="n">
        <v>46093</v>
      </c>
      <c r="D11248" t="inlineStr">
        <is>
          <t>VÄSTERNORRLANDS LÄN</t>
        </is>
      </c>
      <c r="E11248" t="inlineStr">
        <is>
          <t>ÖRNSKÖLDSVIK</t>
        </is>
      </c>
      <c r="F11248" t="inlineStr">
        <is>
          <t>SCA</t>
        </is>
      </c>
      <c r="G11248" t="n">
        <v>40.7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9299-2026</t>
        </is>
      </c>
      <c r="B11249" s="1" t="n">
        <v>46070</v>
      </c>
      <c r="C11249" s="1" t="n">
        <v>46093</v>
      </c>
      <c r="D11249" t="inlineStr">
        <is>
          <t>VÄSTERNORRLANDS LÄN</t>
        </is>
      </c>
      <c r="E11249" t="inlineStr">
        <is>
          <t>TIMRÅ</t>
        </is>
      </c>
      <c r="G11249" t="n">
        <v>0.4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3107-2026</t>
        </is>
      </c>
      <c r="B11250" s="1" t="n">
        <v>46041.35614583334</v>
      </c>
      <c r="C11250" s="1" t="n">
        <v>46093</v>
      </c>
      <c r="D11250" t="inlineStr">
        <is>
          <t>VÄSTERNORRLANDS LÄN</t>
        </is>
      </c>
      <c r="E11250" t="inlineStr">
        <is>
          <t>ÖRNSKÖLDSVIK</t>
        </is>
      </c>
      <c r="F11250" t="inlineStr">
        <is>
          <t>Holmen skog AB</t>
        </is>
      </c>
      <c r="G11250" t="n">
        <v>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3290-2026</t>
        </is>
      </c>
      <c r="B11251" s="1" t="n">
        <v>46041</v>
      </c>
      <c r="C11251" s="1" t="n">
        <v>46093</v>
      </c>
      <c r="D11251" t="inlineStr">
        <is>
          <t>VÄSTERNORRLANDS LÄN</t>
        </is>
      </c>
      <c r="E11251" t="inlineStr">
        <is>
          <t>ÅNGE</t>
        </is>
      </c>
      <c r="G11251" t="n">
        <v>0.7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3183-2026</t>
        </is>
      </c>
      <c r="B11252" s="1" t="n">
        <v>46041</v>
      </c>
      <c r="C11252" s="1" t="n">
        <v>46093</v>
      </c>
      <c r="D11252" t="inlineStr">
        <is>
          <t>VÄSTERNORRLANDS LÄN</t>
        </is>
      </c>
      <c r="E11252" t="inlineStr">
        <is>
          <t>TIMRÅ</t>
        </is>
      </c>
      <c r="G11252" t="n">
        <v>2.2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11556-2026</t>
        </is>
      </c>
      <c r="B11253" s="1" t="n">
        <v>46084.34427083333</v>
      </c>
      <c r="C11253" s="1" t="n">
        <v>46093</v>
      </c>
      <c r="D11253" t="inlineStr">
        <is>
          <t>VÄSTERNORRLANDS LÄN</t>
        </is>
      </c>
      <c r="E11253" t="inlineStr">
        <is>
          <t>SOLLEFTEÅ</t>
        </is>
      </c>
      <c r="F11253" t="inlineStr">
        <is>
          <t>SCA</t>
        </is>
      </c>
      <c r="G11253" t="n">
        <v>3.7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11564-2026</t>
        </is>
      </c>
      <c r="B11254" s="1" t="n">
        <v>46084.36503472222</v>
      </c>
      <c r="C11254" s="1" t="n">
        <v>46093</v>
      </c>
      <c r="D11254" t="inlineStr">
        <is>
          <t>VÄSTERNORRLANDS LÄN</t>
        </is>
      </c>
      <c r="E11254" t="inlineStr">
        <is>
          <t>ÅNGE</t>
        </is>
      </c>
      <c r="F11254" t="inlineStr">
        <is>
          <t>SCA</t>
        </is>
      </c>
      <c r="G11254" t="n">
        <v>0.8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11573-2026</t>
        </is>
      </c>
      <c r="B11255" s="1" t="n">
        <v>46084.38239583333</v>
      </c>
      <c r="C11255" s="1" t="n">
        <v>46093</v>
      </c>
      <c r="D11255" t="inlineStr">
        <is>
          <t>VÄSTERNORRLANDS LÄN</t>
        </is>
      </c>
      <c r="E11255" t="inlineStr">
        <is>
          <t>SUNDSVALL</t>
        </is>
      </c>
      <c r="G11255" t="n">
        <v>1.3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8522-2026</t>
        </is>
      </c>
      <c r="B11256" s="1" t="n">
        <v>46065</v>
      </c>
      <c r="C11256" s="1" t="n">
        <v>46093</v>
      </c>
      <c r="D11256" t="inlineStr">
        <is>
          <t>VÄSTERNORRLANDS LÄN</t>
        </is>
      </c>
      <c r="E11256" t="inlineStr">
        <is>
          <t>TIMRÅ</t>
        </is>
      </c>
      <c r="G11256" t="n">
        <v>3.2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3229-2026</t>
        </is>
      </c>
      <c r="B11257" s="1" t="n">
        <v>46041.55244212963</v>
      </c>
      <c r="C11257" s="1" t="n">
        <v>46093</v>
      </c>
      <c r="D11257" t="inlineStr">
        <is>
          <t>VÄSTERNORRLANDS LÄN</t>
        </is>
      </c>
      <c r="E11257" t="inlineStr">
        <is>
          <t>SOLLEFTEÅ</t>
        </is>
      </c>
      <c r="G11257" t="n">
        <v>3.7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35262-2021</t>
        </is>
      </c>
      <c r="B11258" s="1" t="n">
        <v>44384</v>
      </c>
      <c r="C11258" s="1" t="n">
        <v>46093</v>
      </c>
      <c r="D11258" t="inlineStr">
        <is>
          <t>VÄSTERNORRLANDS LÄN</t>
        </is>
      </c>
      <c r="E11258" t="inlineStr">
        <is>
          <t>TIMRÅ</t>
        </is>
      </c>
      <c r="G11258" t="n">
        <v>2.1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3103-2026</t>
        </is>
      </c>
      <c r="B11259" s="1" t="n">
        <v>46041.34416666667</v>
      </c>
      <c r="C11259" s="1" t="n">
        <v>46093</v>
      </c>
      <c r="D11259" t="inlineStr">
        <is>
          <t>VÄSTERNORRLANDS LÄN</t>
        </is>
      </c>
      <c r="E11259" t="inlineStr">
        <is>
          <t>KRAMFORS</t>
        </is>
      </c>
      <c r="G11259" t="n">
        <v>3.7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51047-2024</t>
        </is>
      </c>
      <c r="B11260" s="1" t="n">
        <v>45603.44611111111</v>
      </c>
      <c r="C11260" s="1" t="n">
        <v>46093</v>
      </c>
      <c r="D11260" t="inlineStr">
        <is>
          <t>VÄSTERNORRLANDS LÄN</t>
        </is>
      </c>
      <c r="E11260" t="inlineStr">
        <is>
          <t>SUNDSVALL</t>
        </is>
      </c>
      <c r="G11260" t="n">
        <v>2.2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32790-2024</t>
        </is>
      </c>
      <c r="B11261" s="1" t="n">
        <v>45516.53993055555</v>
      </c>
      <c r="C11261" s="1" t="n">
        <v>46093</v>
      </c>
      <c r="D11261" t="inlineStr">
        <is>
          <t>VÄSTERNORRLANDS LÄN</t>
        </is>
      </c>
      <c r="E11261" t="inlineStr">
        <is>
          <t>HÄRNÖSAND</t>
        </is>
      </c>
      <c r="G11261" t="n">
        <v>4.2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32105-2024</t>
        </is>
      </c>
      <c r="B11262" s="1" t="n">
        <v>45511</v>
      </c>
      <c r="C11262" s="1" t="n">
        <v>46093</v>
      </c>
      <c r="D11262" t="inlineStr">
        <is>
          <t>VÄSTERNORRLANDS LÄN</t>
        </is>
      </c>
      <c r="E11262" t="inlineStr">
        <is>
          <t>TIMRÅ</t>
        </is>
      </c>
      <c r="G11262" t="n">
        <v>6.4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11470-2026</t>
        </is>
      </c>
      <c r="B11263" s="1" t="n">
        <v>46083.59429398148</v>
      </c>
      <c r="C11263" s="1" t="n">
        <v>46093</v>
      </c>
      <c r="D11263" t="inlineStr">
        <is>
          <t>VÄSTERNORRLANDS LÄN</t>
        </is>
      </c>
      <c r="E11263" t="inlineStr">
        <is>
          <t>SUNDSVALL</t>
        </is>
      </c>
      <c r="F11263" t="inlineStr">
        <is>
          <t>SCA</t>
        </is>
      </c>
      <c r="G11263" t="n">
        <v>5.5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43622-2023</t>
        </is>
      </c>
      <c r="B11264" s="1" t="n">
        <v>45184.70777777778</v>
      </c>
      <c r="C11264" s="1" t="n">
        <v>46093</v>
      </c>
      <c r="D11264" t="inlineStr">
        <is>
          <t>VÄSTERNORRLANDS LÄN</t>
        </is>
      </c>
      <c r="E11264" t="inlineStr">
        <is>
          <t>ÅNGE</t>
        </is>
      </c>
      <c r="F11264" t="inlineStr">
        <is>
          <t>Holmen skog AB</t>
        </is>
      </c>
      <c r="G11264" t="n">
        <v>5.9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10994-2026</t>
        </is>
      </c>
      <c r="B11265" s="1" t="n">
        <v>46079</v>
      </c>
      <c r="C11265" s="1" t="n">
        <v>46093</v>
      </c>
      <c r="D11265" t="inlineStr">
        <is>
          <t>VÄSTERNORRLANDS LÄN</t>
        </is>
      </c>
      <c r="E11265" t="inlineStr">
        <is>
          <t>TIMRÅ</t>
        </is>
      </c>
      <c r="G11265" t="n">
        <v>2.2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3320-2026</t>
        </is>
      </c>
      <c r="B11266" s="1" t="n">
        <v>46041</v>
      </c>
      <c r="C11266" s="1" t="n">
        <v>46093</v>
      </c>
      <c r="D11266" t="inlineStr">
        <is>
          <t>VÄSTERNORRLANDS LÄN</t>
        </is>
      </c>
      <c r="E11266" t="inlineStr">
        <is>
          <t>SOLLEFTEÅ</t>
        </is>
      </c>
      <c r="F11266" t="inlineStr">
        <is>
          <t>Övriga statliga verk och myndigheter</t>
        </is>
      </c>
      <c r="G11266" t="n">
        <v>0.8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34745-2023</t>
        </is>
      </c>
      <c r="B11267" s="1" t="n">
        <v>45139</v>
      </c>
      <c r="C11267" s="1" t="n">
        <v>46093</v>
      </c>
      <c r="D11267" t="inlineStr">
        <is>
          <t>VÄSTERNORRLANDS LÄN</t>
        </is>
      </c>
      <c r="E11267" t="inlineStr">
        <is>
          <t>HÄRNÖSAND</t>
        </is>
      </c>
      <c r="G11267" t="n">
        <v>3.4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11507-2026</t>
        </is>
      </c>
      <c r="B11268" s="1" t="n">
        <v>46083.65457175926</v>
      </c>
      <c r="C11268" s="1" t="n">
        <v>46093</v>
      </c>
      <c r="D11268" t="inlineStr">
        <is>
          <t>VÄSTERNORRLANDS LÄN</t>
        </is>
      </c>
      <c r="E11268" t="inlineStr">
        <is>
          <t>SUNDSVALL</t>
        </is>
      </c>
      <c r="G11268" t="n">
        <v>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3196-2026</t>
        </is>
      </c>
      <c r="B11269" s="1" t="n">
        <v>46041.47315972222</v>
      </c>
      <c r="C11269" s="1" t="n">
        <v>46093</v>
      </c>
      <c r="D11269" t="inlineStr">
        <is>
          <t>VÄSTERNORRLANDS LÄN</t>
        </is>
      </c>
      <c r="E11269" t="inlineStr">
        <is>
          <t>KRAMFORS</t>
        </is>
      </c>
      <c r="G11269" t="n">
        <v>1.9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3205-2026</t>
        </is>
      </c>
      <c r="B11270" s="1" t="n">
        <v>46041.48511574074</v>
      </c>
      <c r="C11270" s="1" t="n">
        <v>46093</v>
      </c>
      <c r="D11270" t="inlineStr">
        <is>
          <t>VÄSTERNORRLANDS LÄN</t>
        </is>
      </c>
      <c r="E11270" t="inlineStr">
        <is>
          <t>KRAMFORS</t>
        </is>
      </c>
      <c r="G11270" t="n">
        <v>3.2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3210-2026</t>
        </is>
      </c>
      <c r="B11271" s="1" t="n">
        <v>46041.48989583334</v>
      </c>
      <c r="C11271" s="1" t="n">
        <v>46093</v>
      </c>
      <c r="D11271" t="inlineStr">
        <is>
          <t>VÄSTERNORRLANDS LÄN</t>
        </is>
      </c>
      <c r="E11271" t="inlineStr">
        <is>
          <t>SOLLEFTEÅ</t>
        </is>
      </c>
      <c r="G11271" t="n">
        <v>3.6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9592-2026</t>
        </is>
      </c>
      <c r="B11272" s="1" t="n">
        <v>46071</v>
      </c>
      <c r="C11272" s="1" t="n">
        <v>46093</v>
      </c>
      <c r="D11272" t="inlineStr">
        <is>
          <t>VÄSTERNORRLANDS LÄN</t>
        </is>
      </c>
      <c r="E11272" t="inlineStr">
        <is>
          <t>KRAMFORS</t>
        </is>
      </c>
      <c r="G11272" t="n">
        <v>2.7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24693-2025</t>
        </is>
      </c>
      <c r="B11273" s="1" t="n">
        <v>45798.6775462963</v>
      </c>
      <c r="C11273" s="1" t="n">
        <v>46093</v>
      </c>
      <c r="D11273" t="inlineStr">
        <is>
          <t>VÄSTERNORRLANDS LÄN</t>
        </is>
      </c>
      <c r="E11273" t="inlineStr">
        <is>
          <t>SOLLEFTEÅ</t>
        </is>
      </c>
      <c r="F11273" t="inlineStr">
        <is>
          <t>SCA</t>
        </is>
      </c>
      <c r="G11273" t="n">
        <v>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8655-2026</t>
        </is>
      </c>
      <c r="B11274" s="1" t="n">
        <v>46066</v>
      </c>
      <c r="C11274" s="1" t="n">
        <v>46093</v>
      </c>
      <c r="D11274" t="inlineStr">
        <is>
          <t>VÄSTERNORRLANDS LÄN</t>
        </is>
      </c>
      <c r="E11274" t="inlineStr">
        <is>
          <t>SOLLEFTEÅ</t>
        </is>
      </c>
      <c r="G11274" t="n">
        <v>1.4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24488-2025</t>
        </is>
      </c>
      <c r="B11275" s="1" t="n">
        <v>45798.38576388889</v>
      </c>
      <c r="C11275" s="1" t="n">
        <v>46093</v>
      </c>
      <c r="D11275" t="inlineStr">
        <is>
          <t>VÄSTERNORRLANDS LÄN</t>
        </is>
      </c>
      <c r="E11275" t="inlineStr">
        <is>
          <t>SOLLEFTEÅ</t>
        </is>
      </c>
      <c r="F11275" t="inlineStr">
        <is>
          <t>SCA</t>
        </is>
      </c>
      <c r="G11275" t="n">
        <v>1.4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3129-2026</t>
        </is>
      </c>
      <c r="B11276" s="1" t="n">
        <v>46041</v>
      </c>
      <c r="C11276" s="1" t="n">
        <v>46093</v>
      </c>
      <c r="D11276" t="inlineStr">
        <is>
          <t>VÄSTERNORRLANDS LÄN</t>
        </is>
      </c>
      <c r="E11276" t="inlineStr">
        <is>
          <t>KRAMFORS</t>
        </is>
      </c>
      <c r="G11276" t="n">
        <v>7.1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3142-2026</t>
        </is>
      </c>
      <c r="B11277" s="1" t="n">
        <v>46041.40667824074</v>
      </c>
      <c r="C11277" s="1" t="n">
        <v>46093</v>
      </c>
      <c r="D11277" t="inlineStr">
        <is>
          <t>VÄSTERNORRLANDS LÄN</t>
        </is>
      </c>
      <c r="E11277" t="inlineStr">
        <is>
          <t>TIMRÅ</t>
        </is>
      </c>
      <c r="G11277" t="n">
        <v>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24393-2025</t>
        </is>
      </c>
      <c r="B11278" s="1" t="n">
        <v>45797.63653935185</v>
      </c>
      <c r="C11278" s="1" t="n">
        <v>46093</v>
      </c>
      <c r="D11278" t="inlineStr">
        <is>
          <t>VÄSTERNORRLANDS LÄN</t>
        </is>
      </c>
      <c r="E11278" t="inlineStr">
        <is>
          <t>SOLLEFTEÅ</t>
        </is>
      </c>
      <c r="F11278" t="inlineStr">
        <is>
          <t>SCA</t>
        </is>
      </c>
      <c r="G11278" t="n">
        <v>3.3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24458-2025</t>
        </is>
      </c>
      <c r="B11279" s="1" t="n">
        <v>45798.34476851852</v>
      </c>
      <c r="C11279" s="1" t="n">
        <v>46093</v>
      </c>
      <c r="D11279" t="inlineStr">
        <is>
          <t>VÄSTERNORRLANDS LÄN</t>
        </is>
      </c>
      <c r="E11279" t="inlineStr">
        <is>
          <t>ÅNGE</t>
        </is>
      </c>
      <c r="F11279" t="inlineStr">
        <is>
          <t>SCA</t>
        </is>
      </c>
      <c r="G11279" t="n">
        <v>1.7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24406-2025</t>
        </is>
      </c>
      <c r="B11280" s="1" t="n">
        <v>45797.65445601852</v>
      </c>
      <c r="C11280" s="1" t="n">
        <v>46093</v>
      </c>
      <c r="D11280" t="inlineStr">
        <is>
          <t>VÄSTERNORRLANDS LÄN</t>
        </is>
      </c>
      <c r="E11280" t="inlineStr">
        <is>
          <t>KRAMFORS</t>
        </is>
      </c>
      <c r="G11280" t="n">
        <v>4.8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24407-2025</t>
        </is>
      </c>
      <c r="B11281" s="1" t="n">
        <v>45797.65565972222</v>
      </c>
      <c r="C11281" s="1" t="n">
        <v>46093</v>
      </c>
      <c r="D11281" t="inlineStr">
        <is>
          <t>VÄSTERNORRLANDS LÄN</t>
        </is>
      </c>
      <c r="E11281" t="inlineStr">
        <is>
          <t>KRAMFORS</t>
        </is>
      </c>
      <c r="G11281" t="n">
        <v>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11472-2026</t>
        </is>
      </c>
      <c r="B11282" s="1" t="n">
        <v>46083.59460648148</v>
      </c>
      <c r="C11282" s="1" t="n">
        <v>46093</v>
      </c>
      <c r="D11282" t="inlineStr">
        <is>
          <t>VÄSTERNORRLANDS LÄN</t>
        </is>
      </c>
      <c r="E11282" t="inlineStr">
        <is>
          <t>ÅNGE</t>
        </is>
      </c>
      <c r="F11282" t="inlineStr">
        <is>
          <t>SCA</t>
        </is>
      </c>
      <c r="G11282" t="n">
        <v>9.199999999999999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52705-2022</t>
        </is>
      </c>
      <c r="B11283" s="1" t="n">
        <v>44874.92969907408</v>
      </c>
      <c r="C11283" s="1" t="n">
        <v>46093</v>
      </c>
      <c r="D11283" t="inlineStr">
        <is>
          <t>VÄSTERNORRLANDS LÄN</t>
        </is>
      </c>
      <c r="E11283" t="inlineStr">
        <is>
          <t>TIMRÅ</t>
        </is>
      </c>
      <c r="G11283" t="n">
        <v>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11645-2026</t>
        </is>
      </c>
      <c r="B11284" s="1" t="n">
        <v>46084.51116898148</v>
      </c>
      <c r="C11284" s="1" t="n">
        <v>46093</v>
      </c>
      <c r="D11284" t="inlineStr">
        <is>
          <t>VÄSTERNORRLANDS LÄN</t>
        </is>
      </c>
      <c r="E11284" t="inlineStr">
        <is>
          <t>ÅNGE</t>
        </is>
      </c>
      <c r="F11284" t="inlineStr">
        <is>
          <t>SCA</t>
        </is>
      </c>
      <c r="G11284" t="n">
        <v>3.4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3291-2026</t>
        </is>
      </c>
      <c r="B11285" s="1" t="n">
        <v>46041</v>
      </c>
      <c r="C11285" s="1" t="n">
        <v>46093</v>
      </c>
      <c r="D11285" t="inlineStr">
        <is>
          <t>VÄSTERNORRLANDS LÄN</t>
        </is>
      </c>
      <c r="E11285" t="inlineStr">
        <is>
          <t>KRAMFORS</t>
        </is>
      </c>
      <c r="G11285" t="n">
        <v>2.1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24426-2025</t>
        </is>
      </c>
      <c r="B11286" s="1" t="n">
        <v>45797.69824074074</v>
      </c>
      <c r="C11286" s="1" t="n">
        <v>46093</v>
      </c>
      <c r="D11286" t="inlineStr">
        <is>
          <t>VÄSTERNORRLANDS LÄN</t>
        </is>
      </c>
      <c r="E11286" t="inlineStr">
        <is>
          <t>SUNDSVALL</t>
        </is>
      </c>
      <c r="F11286" t="inlineStr">
        <is>
          <t>SCA</t>
        </is>
      </c>
      <c r="G11286" t="n">
        <v>1.3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11668-2026</t>
        </is>
      </c>
      <c r="B11287" s="1" t="n">
        <v>46084.55556712963</v>
      </c>
      <c r="C11287" s="1" t="n">
        <v>46093</v>
      </c>
      <c r="D11287" t="inlineStr">
        <is>
          <t>VÄSTERNORRLANDS LÄN</t>
        </is>
      </c>
      <c r="E11287" t="inlineStr">
        <is>
          <t>ÖRNSKÖLDSVIK</t>
        </is>
      </c>
      <c r="G11287" t="n">
        <v>7.9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61735-2022</t>
        </is>
      </c>
      <c r="B11288" s="1" t="n">
        <v>44917</v>
      </c>
      <c r="C11288" s="1" t="n">
        <v>46093</v>
      </c>
      <c r="D11288" t="inlineStr">
        <is>
          <t>VÄSTERNORRLANDS LÄN</t>
        </is>
      </c>
      <c r="E11288" t="inlineStr">
        <is>
          <t>SUNDSVALL</t>
        </is>
      </c>
      <c r="G11288" t="n">
        <v>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11440-2026</t>
        </is>
      </c>
      <c r="B11289" s="1" t="n">
        <v>46083.51138888889</v>
      </c>
      <c r="C11289" s="1" t="n">
        <v>46093</v>
      </c>
      <c r="D11289" t="inlineStr">
        <is>
          <t>VÄSTERNORRLANDS LÄN</t>
        </is>
      </c>
      <c r="E11289" t="inlineStr">
        <is>
          <t>SOLLEFTEÅ</t>
        </is>
      </c>
      <c r="F11289" t="inlineStr">
        <is>
          <t>SCA</t>
        </is>
      </c>
      <c r="G11289" t="n">
        <v>20.1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54550-2024</t>
        </is>
      </c>
      <c r="B11290" s="1" t="n">
        <v>45617.61696759259</v>
      </c>
      <c r="C11290" s="1" t="n">
        <v>46093</v>
      </c>
      <c r="D11290" t="inlineStr">
        <is>
          <t>VÄSTERNORRLANDS LÄN</t>
        </is>
      </c>
      <c r="E11290" t="inlineStr">
        <is>
          <t>SUNDSVALL</t>
        </is>
      </c>
      <c r="G11290" t="n">
        <v>4.8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11383-2026</t>
        </is>
      </c>
      <c r="B11291" s="1" t="n">
        <v>46083.4175</v>
      </c>
      <c r="C11291" s="1" t="n">
        <v>46093</v>
      </c>
      <c r="D11291" t="inlineStr">
        <is>
          <t>VÄSTERNORRLANDS LÄN</t>
        </is>
      </c>
      <c r="E11291" t="inlineStr">
        <is>
          <t>TIMRÅ</t>
        </is>
      </c>
      <c r="G11291" t="n">
        <v>2.5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3176-2026</t>
        </is>
      </c>
      <c r="B11292" s="1" t="n">
        <v>46041.44505787037</v>
      </c>
      <c r="C11292" s="1" t="n">
        <v>46093</v>
      </c>
      <c r="D11292" t="inlineStr">
        <is>
          <t>VÄSTERNORRLANDS LÄN</t>
        </is>
      </c>
      <c r="E11292" t="inlineStr">
        <is>
          <t>TIMRÅ</t>
        </is>
      </c>
      <c r="G11292" t="n">
        <v>1.2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11461-2026</t>
        </is>
      </c>
      <c r="B11293" s="1" t="n">
        <v>46083.57335648148</v>
      </c>
      <c r="C11293" s="1" t="n">
        <v>46093</v>
      </c>
      <c r="D11293" t="inlineStr">
        <is>
          <t>VÄSTERNORRLANDS LÄN</t>
        </is>
      </c>
      <c r="E11293" t="inlineStr">
        <is>
          <t>ÅNGE</t>
        </is>
      </c>
      <c r="F11293" t="inlineStr">
        <is>
          <t>SCA</t>
        </is>
      </c>
      <c r="G11293" t="n">
        <v>6.7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11486-2026</t>
        </is>
      </c>
      <c r="B11294" s="1" t="n">
        <v>46083.63189814815</v>
      </c>
      <c r="C11294" s="1" t="n">
        <v>46093</v>
      </c>
      <c r="D11294" t="inlineStr">
        <is>
          <t>VÄSTERNORRLANDS LÄN</t>
        </is>
      </c>
      <c r="E11294" t="inlineStr">
        <is>
          <t>SOLLEFTEÅ</t>
        </is>
      </c>
      <c r="G11294" t="n">
        <v>2.9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24409-2025</t>
        </is>
      </c>
      <c r="B11295" s="1" t="n">
        <v>45797.65944444444</v>
      </c>
      <c r="C11295" s="1" t="n">
        <v>46093</v>
      </c>
      <c r="D11295" t="inlineStr">
        <is>
          <t>VÄSTERNORRLANDS LÄN</t>
        </is>
      </c>
      <c r="E11295" t="inlineStr">
        <is>
          <t>KRAMFORS</t>
        </is>
      </c>
      <c r="G11295" t="n">
        <v>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3314-2026</t>
        </is>
      </c>
      <c r="B11296" s="1" t="n">
        <v>46041</v>
      </c>
      <c r="C11296" s="1" t="n">
        <v>46093</v>
      </c>
      <c r="D11296" t="inlineStr">
        <is>
          <t>VÄSTERNORRLANDS LÄN</t>
        </is>
      </c>
      <c r="E11296" t="inlineStr">
        <is>
          <t>SOLLEFTEÅ</t>
        </is>
      </c>
      <c r="G11296" t="n">
        <v>10.5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11574-2026</t>
        </is>
      </c>
      <c r="B11297" s="1" t="n">
        <v>46084.38381944445</v>
      </c>
      <c r="C11297" s="1" t="n">
        <v>46093</v>
      </c>
      <c r="D11297" t="inlineStr">
        <is>
          <t>VÄSTERNORRLANDS LÄN</t>
        </is>
      </c>
      <c r="E11297" t="inlineStr">
        <is>
          <t>KRAMFORS</t>
        </is>
      </c>
      <c r="G11297" t="n">
        <v>1.8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11006-2026</t>
        </is>
      </c>
      <c r="B11298" s="1" t="n">
        <v>46079</v>
      </c>
      <c r="C11298" s="1" t="n">
        <v>46093</v>
      </c>
      <c r="D11298" t="inlineStr">
        <is>
          <t>VÄSTERNORRLANDS LÄN</t>
        </is>
      </c>
      <c r="E11298" t="inlineStr">
        <is>
          <t>TIMRÅ</t>
        </is>
      </c>
      <c r="G11298" t="n">
        <v>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3157-2026</t>
        </is>
      </c>
      <c r="B11299" s="1" t="n">
        <v>46041.43114583333</v>
      </c>
      <c r="C11299" s="1" t="n">
        <v>46093</v>
      </c>
      <c r="D11299" t="inlineStr">
        <is>
          <t>VÄSTERNORRLANDS LÄN</t>
        </is>
      </c>
      <c r="E11299" t="inlineStr">
        <is>
          <t>KRAMFORS</t>
        </is>
      </c>
      <c r="G11299" t="n">
        <v>0.6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3164-2026</t>
        </is>
      </c>
      <c r="B11300" s="1" t="n">
        <v>46041</v>
      </c>
      <c r="C11300" s="1" t="n">
        <v>46093</v>
      </c>
      <c r="D11300" t="inlineStr">
        <is>
          <t>VÄSTERNORRLANDS LÄN</t>
        </is>
      </c>
      <c r="E11300" t="inlineStr">
        <is>
          <t>TIMRÅ</t>
        </is>
      </c>
      <c r="G11300" t="n">
        <v>0.8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3165-2026</t>
        </is>
      </c>
      <c r="B11301" s="1" t="n">
        <v>46041.43841435185</v>
      </c>
      <c r="C11301" s="1" t="n">
        <v>46093</v>
      </c>
      <c r="D11301" t="inlineStr">
        <is>
          <t>VÄSTERNORRLANDS LÄN</t>
        </is>
      </c>
      <c r="E11301" t="inlineStr">
        <is>
          <t>TIMRÅ</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29390-2021</t>
        </is>
      </c>
      <c r="B11302" s="1" t="n">
        <v>44361</v>
      </c>
      <c r="C11302" s="1" t="n">
        <v>46093</v>
      </c>
      <c r="D11302" t="inlineStr">
        <is>
          <t>VÄSTERNORRLANDS LÄN</t>
        </is>
      </c>
      <c r="E11302" t="inlineStr">
        <is>
          <t>ÅNGE</t>
        </is>
      </c>
      <c r="F11302" t="inlineStr">
        <is>
          <t>Holmen skog AB</t>
        </is>
      </c>
      <c r="G11302" t="n">
        <v>1.7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26341-2023</t>
        </is>
      </c>
      <c r="B11303" s="1" t="n">
        <v>45091.92548611111</v>
      </c>
      <c r="C11303" s="1" t="n">
        <v>46093</v>
      </c>
      <c r="D11303" t="inlineStr">
        <is>
          <t>VÄSTERNORRLANDS LÄN</t>
        </is>
      </c>
      <c r="E11303" t="inlineStr">
        <is>
          <t>SUNDSVALL</t>
        </is>
      </c>
      <c r="G11303" t="n">
        <v>2.6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3426-2026</t>
        </is>
      </c>
      <c r="B11304" s="1" t="n">
        <v>46042.44835648148</v>
      </c>
      <c r="C11304" s="1" t="n">
        <v>46093</v>
      </c>
      <c r="D11304" t="inlineStr">
        <is>
          <t>VÄSTERNORRLANDS LÄN</t>
        </is>
      </c>
      <c r="E11304" t="inlineStr">
        <is>
          <t>SOLLEFTEÅ</t>
        </is>
      </c>
      <c r="G11304" t="n">
        <v>9.9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24552-2025</t>
        </is>
      </c>
      <c r="B11305" s="1" t="n">
        <v>45798.44865740741</v>
      </c>
      <c r="C11305" s="1" t="n">
        <v>46093</v>
      </c>
      <c r="D11305" t="inlineStr">
        <is>
          <t>VÄSTERNORRLANDS LÄN</t>
        </is>
      </c>
      <c r="E11305" t="inlineStr">
        <is>
          <t>SOLLEFTEÅ</t>
        </is>
      </c>
      <c r="G11305" t="n">
        <v>1.6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3052-2026</t>
        </is>
      </c>
      <c r="B11306" s="1" t="n">
        <v>46039.26511574074</v>
      </c>
      <c r="C11306" s="1" t="n">
        <v>46093</v>
      </c>
      <c r="D11306" t="inlineStr">
        <is>
          <t>VÄSTERNORRLANDS LÄN</t>
        </is>
      </c>
      <c r="E11306" t="inlineStr">
        <is>
          <t>SOLLEFTEÅ</t>
        </is>
      </c>
      <c r="G11306" t="n">
        <v>6.1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30054-2024</t>
        </is>
      </c>
      <c r="B11307" s="1" t="n">
        <v>45488.94758101852</v>
      </c>
      <c r="C11307" s="1" t="n">
        <v>46093</v>
      </c>
      <c r="D11307" t="inlineStr">
        <is>
          <t>VÄSTERNORRLANDS LÄN</t>
        </is>
      </c>
      <c r="E11307" t="inlineStr">
        <is>
          <t>ÅNGE</t>
        </is>
      </c>
      <c r="F11307" t="inlineStr">
        <is>
          <t>SCA</t>
        </is>
      </c>
      <c r="G11307" t="n">
        <v>11.7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12119-2026</t>
        </is>
      </c>
      <c r="B11308" s="1" t="n">
        <v>46086</v>
      </c>
      <c r="C11308" s="1" t="n">
        <v>46093</v>
      </c>
      <c r="D11308" t="inlineStr">
        <is>
          <t>VÄSTERNORRLANDS LÄN</t>
        </is>
      </c>
      <c r="E11308" t="inlineStr">
        <is>
          <t>SUNDSVALL</t>
        </is>
      </c>
      <c r="G11308" t="n">
        <v>3.5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11993-2026</t>
        </is>
      </c>
      <c r="B11309" s="1" t="n">
        <v>46085</v>
      </c>
      <c r="C11309" s="1" t="n">
        <v>46093</v>
      </c>
      <c r="D11309" t="inlineStr">
        <is>
          <t>VÄSTERNORRLANDS LÄN</t>
        </is>
      </c>
      <c r="E11309" t="inlineStr">
        <is>
          <t>KRAMFORS</t>
        </is>
      </c>
      <c r="G11309" t="n">
        <v>4.7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4181-2026</t>
        </is>
      </c>
      <c r="B11310" s="1" t="n">
        <v>46044</v>
      </c>
      <c r="C11310" s="1" t="n">
        <v>46093</v>
      </c>
      <c r="D11310" t="inlineStr">
        <is>
          <t>VÄSTERNORRLANDS LÄN</t>
        </is>
      </c>
      <c r="E11310" t="inlineStr">
        <is>
          <t>SOLLEFTEÅ</t>
        </is>
      </c>
      <c r="F11310" t="inlineStr">
        <is>
          <t>Kommuner</t>
        </is>
      </c>
      <c r="G11310" t="n">
        <v>2.3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4212-2026</t>
        </is>
      </c>
      <c r="B11311" s="1" t="n">
        <v>46044</v>
      </c>
      <c r="C11311" s="1" t="n">
        <v>46093</v>
      </c>
      <c r="D11311" t="inlineStr">
        <is>
          <t>VÄSTERNORRLANDS LÄN</t>
        </is>
      </c>
      <c r="E11311" t="inlineStr">
        <is>
          <t>SOLLEFTEÅ</t>
        </is>
      </c>
      <c r="F11311" t="inlineStr">
        <is>
          <t>Kommuner</t>
        </is>
      </c>
      <c r="G11311" t="n">
        <v>0.6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3684-2026</t>
        </is>
      </c>
      <c r="B11312" s="1" t="n">
        <v>46043.43609953704</v>
      </c>
      <c r="C11312" s="1" t="n">
        <v>46093</v>
      </c>
      <c r="D11312" t="inlineStr">
        <is>
          <t>VÄSTERNORRLANDS LÄN</t>
        </is>
      </c>
      <c r="E11312" t="inlineStr">
        <is>
          <t>KRAMFORS</t>
        </is>
      </c>
      <c r="G11312" t="n">
        <v>2.2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24529-2025</t>
        </is>
      </c>
      <c r="B11313" s="1" t="n">
        <v>45798.42756944444</v>
      </c>
      <c r="C11313" s="1" t="n">
        <v>46093</v>
      </c>
      <c r="D11313" t="inlineStr">
        <is>
          <t>VÄSTERNORRLANDS LÄN</t>
        </is>
      </c>
      <c r="E11313" t="inlineStr">
        <is>
          <t>TIMRÅ</t>
        </is>
      </c>
      <c r="F11313" t="inlineStr">
        <is>
          <t>SCA</t>
        </is>
      </c>
      <c r="G11313" t="n">
        <v>6.9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24532-2025</t>
        </is>
      </c>
      <c r="B11314" s="1" t="n">
        <v>45798.42820601852</v>
      </c>
      <c r="C11314" s="1" t="n">
        <v>46093</v>
      </c>
      <c r="D11314" t="inlineStr">
        <is>
          <t>VÄSTERNORRLANDS LÄN</t>
        </is>
      </c>
      <c r="E11314" t="inlineStr">
        <is>
          <t>SOLLEFTEÅ</t>
        </is>
      </c>
      <c r="G11314" t="n">
        <v>6.5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2625-2026</t>
        </is>
      </c>
      <c r="B11315" s="1" t="n">
        <v>46037</v>
      </c>
      <c r="C11315" s="1" t="n">
        <v>46093</v>
      </c>
      <c r="D11315" t="inlineStr">
        <is>
          <t>VÄSTERNORRLANDS LÄN</t>
        </is>
      </c>
      <c r="E11315" t="inlineStr">
        <is>
          <t>SUNDSVALL</t>
        </is>
      </c>
      <c r="G11315" t="n">
        <v>19.5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49929-2024</t>
        </is>
      </c>
      <c r="B11316" s="1" t="n">
        <v>45597.57927083333</v>
      </c>
      <c r="C11316" s="1" t="n">
        <v>46093</v>
      </c>
      <c r="D11316" t="inlineStr">
        <is>
          <t>VÄSTERNORRLANDS LÄN</t>
        </is>
      </c>
      <c r="E11316" t="inlineStr">
        <is>
          <t>SUNDSVALL</t>
        </is>
      </c>
      <c r="G11316" t="n">
        <v>1.8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25203-2025</t>
        </is>
      </c>
      <c r="B11317" s="1" t="n">
        <v>45798</v>
      </c>
      <c r="C11317" s="1" t="n">
        <v>46093</v>
      </c>
      <c r="D11317" t="inlineStr">
        <is>
          <t>VÄSTERNORRLANDS LÄN</t>
        </is>
      </c>
      <c r="E11317" t="inlineStr">
        <is>
          <t>KRAMFORS</t>
        </is>
      </c>
      <c r="G11317" t="n">
        <v>0.6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9470-2025</t>
        </is>
      </c>
      <c r="B11318" s="1" t="n">
        <v>45715.46928240741</v>
      </c>
      <c r="C11318" s="1" t="n">
        <v>46093</v>
      </c>
      <c r="D11318" t="inlineStr">
        <is>
          <t>VÄSTERNORRLANDS LÄN</t>
        </is>
      </c>
      <c r="E11318" t="inlineStr">
        <is>
          <t>SUNDSVALL</t>
        </is>
      </c>
      <c r="G11318" t="n">
        <v>1.4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50324-2024</t>
        </is>
      </c>
      <c r="B11319" s="1" t="n">
        <v>45600</v>
      </c>
      <c r="C11319" s="1" t="n">
        <v>46093</v>
      </c>
      <c r="D11319" t="inlineStr">
        <is>
          <t>VÄSTERNORRLANDS LÄN</t>
        </is>
      </c>
      <c r="E11319" t="inlineStr">
        <is>
          <t>SUNDSVALL</t>
        </is>
      </c>
      <c r="G11319" t="n">
        <v>10.1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24357-2025</t>
        </is>
      </c>
      <c r="B11320" s="1" t="n">
        <v>45797.59467592592</v>
      </c>
      <c r="C11320" s="1" t="n">
        <v>46093</v>
      </c>
      <c r="D11320" t="inlineStr">
        <is>
          <t>VÄSTERNORRLANDS LÄN</t>
        </is>
      </c>
      <c r="E11320" t="inlineStr">
        <is>
          <t>ÅNGE</t>
        </is>
      </c>
      <c r="F11320" t="inlineStr">
        <is>
          <t>SCA</t>
        </is>
      </c>
      <c r="G11320" t="n">
        <v>1.8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11804-2026</t>
        </is>
      </c>
      <c r="B11321" s="1" t="n">
        <v>46085.35903935185</v>
      </c>
      <c r="C11321" s="1" t="n">
        <v>46093</v>
      </c>
      <c r="D11321" t="inlineStr">
        <is>
          <t>VÄSTERNORRLANDS LÄN</t>
        </is>
      </c>
      <c r="E11321" t="inlineStr">
        <is>
          <t>ÅNGE</t>
        </is>
      </c>
      <c r="G11321" t="n">
        <v>2.6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11827-2026</t>
        </is>
      </c>
      <c r="B11322" s="1" t="n">
        <v>46085.41469907408</v>
      </c>
      <c r="C11322" s="1" t="n">
        <v>46093</v>
      </c>
      <c r="D11322" t="inlineStr">
        <is>
          <t>VÄSTERNORRLANDS LÄN</t>
        </is>
      </c>
      <c r="E11322" t="inlineStr">
        <is>
          <t>SUNDSVALL</t>
        </is>
      </c>
      <c r="G11322" t="n">
        <v>0.7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3970-2026</t>
        </is>
      </c>
      <c r="B11323" s="1" t="n">
        <v>46044.3521875</v>
      </c>
      <c r="C11323" s="1" t="n">
        <v>46093</v>
      </c>
      <c r="D11323" t="inlineStr">
        <is>
          <t>VÄSTERNORRLANDS LÄN</t>
        </is>
      </c>
      <c r="E11323" t="inlineStr">
        <is>
          <t>ÅNGE</t>
        </is>
      </c>
      <c r="G11323" t="n">
        <v>1.2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11944-2026</t>
        </is>
      </c>
      <c r="B11324" s="1" t="n">
        <v>46085.59435185185</v>
      </c>
      <c r="C11324" s="1" t="n">
        <v>46093</v>
      </c>
      <c r="D11324" t="inlineStr">
        <is>
          <t>VÄSTERNORRLANDS LÄN</t>
        </is>
      </c>
      <c r="E11324" t="inlineStr">
        <is>
          <t>SUNDSVALL</t>
        </is>
      </c>
      <c r="G11324" t="n">
        <v>0.9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11960-2026</t>
        </is>
      </c>
      <c r="B11325" s="1" t="n">
        <v>46085</v>
      </c>
      <c r="C11325" s="1" t="n">
        <v>46093</v>
      </c>
      <c r="D11325" t="inlineStr">
        <is>
          <t>VÄSTERNORRLANDS LÄN</t>
        </is>
      </c>
      <c r="E11325" t="inlineStr">
        <is>
          <t>ÖRNSKÖLDSVIK</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11992-2026</t>
        </is>
      </c>
      <c r="B11326" s="1" t="n">
        <v>46085.65706018519</v>
      </c>
      <c r="C11326" s="1" t="n">
        <v>46093</v>
      </c>
      <c r="D11326" t="inlineStr">
        <is>
          <t>VÄSTERNORRLANDS LÄN</t>
        </is>
      </c>
      <c r="E11326" t="inlineStr">
        <is>
          <t>ÅNGE</t>
        </is>
      </c>
      <c r="F11326" t="inlineStr">
        <is>
          <t>SCA</t>
        </is>
      </c>
      <c r="G11326" t="n">
        <v>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60314-2022</t>
        </is>
      </c>
      <c r="B11327" s="1" t="n">
        <v>44903</v>
      </c>
      <c r="C11327" s="1" t="n">
        <v>46093</v>
      </c>
      <c r="D11327" t="inlineStr">
        <is>
          <t>VÄSTERNORRLANDS LÄN</t>
        </is>
      </c>
      <c r="E11327" t="inlineStr">
        <is>
          <t>KRAMFORS</t>
        </is>
      </c>
      <c r="G11327" t="n">
        <v>2.3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53716-2023</t>
        </is>
      </c>
      <c r="B11328" s="1" t="n">
        <v>45230.71146990741</v>
      </c>
      <c r="C11328" s="1" t="n">
        <v>46093</v>
      </c>
      <c r="D11328" t="inlineStr">
        <is>
          <t>VÄSTERNORRLANDS LÄN</t>
        </is>
      </c>
      <c r="E11328" t="inlineStr">
        <is>
          <t>SUNDSVALL</t>
        </is>
      </c>
      <c r="G11328" t="n">
        <v>4.2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24698-2025</t>
        </is>
      </c>
      <c r="B11329" s="1" t="n">
        <v>45798.7190625</v>
      </c>
      <c r="C11329" s="1" t="n">
        <v>46093</v>
      </c>
      <c r="D11329" t="inlineStr">
        <is>
          <t>VÄSTERNORRLANDS LÄN</t>
        </is>
      </c>
      <c r="E11329" t="inlineStr">
        <is>
          <t>KRAMFORS</t>
        </is>
      </c>
      <c r="F11329" t="inlineStr">
        <is>
          <t>SCA</t>
        </is>
      </c>
      <c r="G11329" t="n">
        <v>2.5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24207-2025</t>
        </is>
      </c>
      <c r="B11330" s="1" t="n">
        <v>45797.34439814815</v>
      </c>
      <c r="C11330" s="1" t="n">
        <v>46093</v>
      </c>
      <c r="D11330" t="inlineStr">
        <is>
          <t>VÄSTERNORRLANDS LÄN</t>
        </is>
      </c>
      <c r="E11330" t="inlineStr">
        <is>
          <t>ÅNGE</t>
        </is>
      </c>
      <c r="F11330" t="inlineStr">
        <is>
          <t>SCA</t>
        </is>
      </c>
      <c r="G11330" t="n">
        <v>10.3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12170-2026</t>
        </is>
      </c>
      <c r="B11331" s="1" t="n">
        <v>46086.65668981482</v>
      </c>
      <c r="C11331" s="1" t="n">
        <v>46093</v>
      </c>
      <c r="D11331" t="inlineStr">
        <is>
          <t>VÄSTERNORRLANDS LÄN</t>
        </is>
      </c>
      <c r="E11331" t="inlineStr">
        <is>
          <t>ÖRNSKÖLDSVIK</t>
        </is>
      </c>
      <c r="F11331" t="inlineStr">
        <is>
          <t>SCA</t>
        </is>
      </c>
      <c r="G11331" t="n">
        <v>3.6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12176-2026</t>
        </is>
      </c>
      <c r="B11332" s="1" t="n">
        <v>46086.67760416667</v>
      </c>
      <c r="C11332" s="1" t="n">
        <v>46093</v>
      </c>
      <c r="D11332" t="inlineStr">
        <is>
          <t>VÄSTERNORRLANDS LÄN</t>
        </is>
      </c>
      <c r="E11332" t="inlineStr">
        <is>
          <t>ÅNGE</t>
        </is>
      </c>
      <c r="F11332" t="inlineStr">
        <is>
          <t>SCA</t>
        </is>
      </c>
      <c r="G11332" t="n">
        <v>2.2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24213-2025</t>
        </is>
      </c>
      <c r="B11333" s="1" t="n">
        <v>45797.35148148148</v>
      </c>
      <c r="C11333" s="1" t="n">
        <v>46093</v>
      </c>
      <c r="D11333" t="inlineStr">
        <is>
          <t>VÄSTERNORRLANDS LÄN</t>
        </is>
      </c>
      <c r="E11333" t="inlineStr">
        <is>
          <t>ÖRNSKÖLDSVIK</t>
        </is>
      </c>
      <c r="G11333" t="n">
        <v>1.5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3807-2026</t>
        </is>
      </c>
      <c r="B11334" s="1" t="n">
        <v>46043.5834375</v>
      </c>
      <c r="C11334" s="1" t="n">
        <v>46093</v>
      </c>
      <c r="D11334" t="inlineStr">
        <is>
          <t>VÄSTERNORRLANDS LÄN</t>
        </is>
      </c>
      <c r="E11334" t="inlineStr">
        <is>
          <t>SOLLEFTEÅ</t>
        </is>
      </c>
      <c r="F11334" t="inlineStr">
        <is>
          <t>SCA</t>
        </is>
      </c>
      <c r="G11334" t="n">
        <v>0.5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3839-2026</t>
        </is>
      </c>
      <c r="B11335" s="1" t="n">
        <v>46043</v>
      </c>
      <c r="C11335" s="1" t="n">
        <v>46093</v>
      </c>
      <c r="D11335" t="inlineStr">
        <is>
          <t>VÄSTERNORRLANDS LÄN</t>
        </is>
      </c>
      <c r="E11335" t="inlineStr">
        <is>
          <t>ÖRNSKÖLDSVIK</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14914-2024</t>
        </is>
      </c>
      <c r="B11336" s="1" t="n">
        <v>45398</v>
      </c>
      <c r="C11336" s="1" t="n">
        <v>46093</v>
      </c>
      <c r="D11336" t="inlineStr">
        <is>
          <t>VÄSTERNORRLANDS LÄN</t>
        </is>
      </c>
      <c r="E11336" t="inlineStr">
        <is>
          <t>SUNDSVALL</t>
        </is>
      </c>
      <c r="G11336" t="n">
        <v>1.1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5646-2025</t>
        </is>
      </c>
      <c r="B11337" s="1" t="n">
        <v>45693</v>
      </c>
      <c r="C11337" s="1" t="n">
        <v>46093</v>
      </c>
      <c r="D11337" t="inlineStr">
        <is>
          <t>VÄSTERNORRLANDS LÄN</t>
        </is>
      </c>
      <c r="E11337" t="inlineStr">
        <is>
          <t>SUNDSVALL</t>
        </is>
      </c>
      <c r="G11337" t="n">
        <v>4.5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55583-2021</t>
        </is>
      </c>
      <c r="B11338" s="1" t="n">
        <v>44475</v>
      </c>
      <c r="C11338" s="1" t="n">
        <v>46093</v>
      </c>
      <c r="D11338" t="inlineStr">
        <is>
          <t>VÄSTERNORRLANDS LÄN</t>
        </is>
      </c>
      <c r="E11338" t="inlineStr">
        <is>
          <t>HÄRNÖSAND</t>
        </is>
      </c>
      <c r="G11338" t="n">
        <v>1.6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3981-2026</t>
        </is>
      </c>
      <c r="B11339" s="1" t="n">
        <v>46044.36521990741</v>
      </c>
      <c r="C11339" s="1" t="n">
        <v>46093</v>
      </c>
      <c r="D11339" t="inlineStr">
        <is>
          <t>VÄSTERNORRLANDS LÄN</t>
        </is>
      </c>
      <c r="E11339" t="inlineStr">
        <is>
          <t>ÖRNSKÖLDSVIK</t>
        </is>
      </c>
      <c r="F11339" t="inlineStr">
        <is>
          <t>SCA</t>
        </is>
      </c>
      <c r="G11339" t="n">
        <v>1.4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3716-2026</t>
        </is>
      </c>
      <c r="B11340" s="1" t="n">
        <v>46043.49085648148</v>
      </c>
      <c r="C11340" s="1" t="n">
        <v>46093</v>
      </c>
      <c r="D11340" t="inlineStr">
        <is>
          <t>VÄSTERNORRLANDS LÄN</t>
        </is>
      </c>
      <c r="E11340" t="inlineStr">
        <is>
          <t>KRAMFORS</t>
        </is>
      </c>
      <c r="G11340" t="n">
        <v>7.7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24544-2025</t>
        </is>
      </c>
      <c r="B11341" s="1" t="n">
        <v>45798.44430555555</v>
      </c>
      <c r="C11341" s="1" t="n">
        <v>46093</v>
      </c>
      <c r="D11341" t="inlineStr">
        <is>
          <t>VÄSTERNORRLANDS LÄN</t>
        </is>
      </c>
      <c r="E11341" t="inlineStr">
        <is>
          <t>ÖRNSKÖLDSVIK</t>
        </is>
      </c>
      <c r="F11341" t="inlineStr">
        <is>
          <t>Holmen skog AB</t>
        </is>
      </c>
      <c r="G11341" t="n">
        <v>1.5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19455-2024</t>
        </is>
      </c>
      <c r="B11342" s="1" t="n">
        <v>45429</v>
      </c>
      <c r="C11342" s="1" t="n">
        <v>46093</v>
      </c>
      <c r="D11342" t="inlineStr">
        <is>
          <t>VÄSTERNORRLANDS LÄN</t>
        </is>
      </c>
      <c r="E11342" t="inlineStr">
        <is>
          <t>TIMRÅ</t>
        </is>
      </c>
      <c r="G11342" t="n">
        <v>1.3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3990-2026</t>
        </is>
      </c>
      <c r="B11343" s="1" t="n">
        <v>46044</v>
      </c>
      <c r="C11343" s="1" t="n">
        <v>46093</v>
      </c>
      <c r="D11343" t="inlineStr">
        <is>
          <t>VÄSTERNORRLANDS LÄN</t>
        </is>
      </c>
      <c r="E11343" t="inlineStr">
        <is>
          <t>SUNDSVALL</t>
        </is>
      </c>
      <c r="G11343" t="n">
        <v>1.4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4010-2026</t>
        </is>
      </c>
      <c r="B11344" s="1" t="n">
        <v>46044.40854166666</v>
      </c>
      <c r="C11344" s="1" t="n">
        <v>46093</v>
      </c>
      <c r="D11344" t="inlineStr">
        <is>
          <t>VÄSTERNORRLANDS LÄN</t>
        </is>
      </c>
      <c r="E11344" t="inlineStr">
        <is>
          <t>KRAMFORS</t>
        </is>
      </c>
      <c r="G11344" t="n">
        <v>1.2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24292-2025</t>
        </is>
      </c>
      <c r="B11345" s="1" t="n">
        <v>45797.46657407407</v>
      </c>
      <c r="C11345" s="1" t="n">
        <v>46093</v>
      </c>
      <c r="D11345" t="inlineStr">
        <is>
          <t>VÄSTERNORRLANDS LÄN</t>
        </is>
      </c>
      <c r="E11345" t="inlineStr">
        <is>
          <t>ÅNGE</t>
        </is>
      </c>
      <c r="G11345" t="n">
        <v>2.8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24668-2025</t>
        </is>
      </c>
      <c r="B11346" s="1" t="n">
        <v>45798.6483912037</v>
      </c>
      <c r="C11346" s="1" t="n">
        <v>46093</v>
      </c>
      <c r="D11346" t="inlineStr">
        <is>
          <t>VÄSTERNORRLANDS LÄN</t>
        </is>
      </c>
      <c r="E11346" t="inlineStr">
        <is>
          <t>ÖRNSKÖLDSVIK</t>
        </is>
      </c>
      <c r="G11346" t="n">
        <v>1.4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24420-2025</t>
        </is>
      </c>
      <c r="B11347" s="1" t="n">
        <v>45797.67771990741</v>
      </c>
      <c r="C11347" s="1" t="n">
        <v>46093</v>
      </c>
      <c r="D11347" t="inlineStr">
        <is>
          <t>VÄSTERNORRLANDS LÄN</t>
        </is>
      </c>
      <c r="E11347" t="inlineStr">
        <is>
          <t>SOLLEFTEÅ</t>
        </is>
      </c>
      <c r="F11347" t="inlineStr">
        <is>
          <t>SCA</t>
        </is>
      </c>
      <c r="G11347" t="n">
        <v>5.3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24530-2025</t>
        </is>
      </c>
      <c r="B11348" s="1" t="n">
        <v>45798.42799768518</v>
      </c>
      <c r="C11348" s="1" t="n">
        <v>46093</v>
      </c>
      <c r="D11348" t="inlineStr">
        <is>
          <t>VÄSTERNORRLANDS LÄN</t>
        </is>
      </c>
      <c r="E11348" t="inlineStr">
        <is>
          <t>SOLLEFTEÅ</t>
        </is>
      </c>
      <c r="G11348" t="n">
        <v>1.9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3877-2026</t>
        </is>
      </c>
      <c r="B11349" s="1" t="n">
        <v>46043</v>
      </c>
      <c r="C11349" s="1" t="n">
        <v>46093</v>
      </c>
      <c r="D11349" t="inlineStr">
        <is>
          <t>VÄSTERNORRLANDS LÄN</t>
        </is>
      </c>
      <c r="E11349" t="inlineStr">
        <is>
          <t>SUNDSVALL</t>
        </is>
      </c>
      <c r="G11349" t="n">
        <v>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3882-2026</t>
        </is>
      </c>
      <c r="B11350" s="1" t="n">
        <v>46043.65693287037</v>
      </c>
      <c r="C11350" s="1" t="n">
        <v>46093</v>
      </c>
      <c r="D11350" t="inlineStr">
        <is>
          <t>VÄSTERNORRLANDS LÄN</t>
        </is>
      </c>
      <c r="E11350" t="inlineStr">
        <is>
          <t>ÅNGE</t>
        </is>
      </c>
      <c r="G11350" t="n">
        <v>5.8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24418-2025</t>
        </is>
      </c>
      <c r="B11351" s="1" t="n">
        <v>45797.67744212963</v>
      </c>
      <c r="C11351" s="1" t="n">
        <v>46093</v>
      </c>
      <c r="D11351" t="inlineStr">
        <is>
          <t>VÄSTERNORRLANDS LÄN</t>
        </is>
      </c>
      <c r="E11351" t="inlineStr">
        <is>
          <t>ÖRNSKÖLDSVIK</t>
        </is>
      </c>
      <c r="F11351" t="inlineStr">
        <is>
          <t>SCA</t>
        </is>
      </c>
      <c r="G11351" t="n">
        <v>2.9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4058-2026</t>
        </is>
      </c>
      <c r="B11352" s="1" t="n">
        <v>46044.49015046296</v>
      </c>
      <c r="C11352" s="1" t="n">
        <v>46093</v>
      </c>
      <c r="D11352" t="inlineStr">
        <is>
          <t>VÄSTERNORRLANDS LÄN</t>
        </is>
      </c>
      <c r="E11352" t="inlineStr">
        <is>
          <t>SOLLEFTEÅ</t>
        </is>
      </c>
      <c r="G11352" t="n">
        <v>0.7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4149-2026</t>
        </is>
      </c>
      <c r="B11353" s="1" t="n">
        <v>46044.64534722222</v>
      </c>
      <c r="C11353" s="1" t="n">
        <v>46093</v>
      </c>
      <c r="D11353" t="inlineStr">
        <is>
          <t>VÄSTERNORRLANDS LÄN</t>
        </is>
      </c>
      <c r="E11353" t="inlineStr">
        <is>
          <t>SOLLEFTEÅ</t>
        </is>
      </c>
      <c r="G11353" t="n">
        <v>1.3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7149-2024</t>
        </is>
      </c>
      <c r="B11354" s="1" t="n">
        <v>45344</v>
      </c>
      <c r="C11354" s="1" t="n">
        <v>46093</v>
      </c>
      <c r="D11354" t="inlineStr">
        <is>
          <t>VÄSTERNORRLANDS LÄN</t>
        </is>
      </c>
      <c r="E11354" t="inlineStr">
        <is>
          <t>SUNDSVALL</t>
        </is>
      </c>
      <c r="G11354" t="n">
        <v>1.8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24339-2025</t>
        </is>
      </c>
      <c r="B11355" s="1" t="n">
        <v>45797.57395833333</v>
      </c>
      <c r="C11355" s="1" t="n">
        <v>46093</v>
      </c>
      <c r="D11355" t="inlineStr">
        <is>
          <t>VÄSTERNORRLANDS LÄN</t>
        </is>
      </c>
      <c r="E11355" t="inlineStr">
        <is>
          <t>SUNDSVALL</t>
        </is>
      </c>
      <c r="F11355" t="inlineStr">
        <is>
          <t>Naturvårdsverket</t>
        </is>
      </c>
      <c r="G11355" t="n">
        <v>12.3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4142-2024</t>
        </is>
      </c>
      <c r="B11356" s="1" t="n">
        <v>45323</v>
      </c>
      <c r="C11356" s="1" t="n">
        <v>46093</v>
      </c>
      <c r="D11356" t="inlineStr">
        <is>
          <t>VÄSTERNORRLANDS LÄN</t>
        </is>
      </c>
      <c r="E11356" t="inlineStr">
        <is>
          <t>ÅNGE</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27853-2024</t>
        </is>
      </c>
      <c r="B11357" s="1" t="n">
        <v>45475</v>
      </c>
      <c r="C11357" s="1" t="n">
        <v>46093</v>
      </c>
      <c r="D11357" t="inlineStr">
        <is>
          <t>VÄSTERNORRLANDS LÄN</t>
        </is>
      </c>
      <c r="E11357" t="inlineStr">
        <is>
          <t>ÅNGE</t>
        </is>
      </c>
      <c r="G11357" t="n">
        <v>3.7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24531-2025</t>
        </is>
      </c>
      <c r="B11358" s="1" t="n">
        <v>45798.42810185185</v>
      </c>
      <c r="C11358" s="1" t="n">
        <v>46093</v>
      </c>
      <c r="D11358" t="inlineStr">
        <is>
          <t>VÄSTERNORRLANDS LÄN</t>
        </is>
      </c>
      <c r="E11358" t="inlineStr">
        <is>
          <t>SOLLEFTEÅ</t>
        </is>
      </c>
      <c r="G11358" t="n">
        <v>1.3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60149-2023</t>
        </is>
      </c>
      <c r="B11359" s="1" t="n">
        <v>45258</v>
      </c>
      <c r="C11359" s="1" t="n">
        <v>46093</v>
      </c>
      <c r="D11359" t="inlineStr">
        <is>
          <t>VÄSTERNORRLANDS LÄN</t>
        </is>
      </c>
      <c r="E11359" t="inlineStr">
        <is>
          <t>SUNDSVALL</t>
        </is>
      </c>
      <c r="G11359" t="n">
        <v>1.5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50627-2023</t>
        </is>
      </c>
      <c r="B11360" s="1" t="n">
        <v>45210</v>
      </c>
      <c r="C11360" s="1" t="n">
        <v>46093</v>
      </c>
      <c r="D11360" t="inlineStr">
        <is>
          <t>VÄSTERNORRLANDS LÄN</t>
        </is>
      </c>
      <c r="E11360" t="inlineStr">
        <is>
          <t>SUNDSVALL</t>
        </is>
      </c>
      <c r="G11360" t="n">
        <v>2.4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24028-2024</t>
        </is>
      </c>
      <c r="B11361" s="1" t="n">
        <v>45456</v>
      </c>
      <c r="C11361" s="1" t="n">
        <v>46093</v>
      </c>
      <c r="D11361" t="inlineStr">
        <is>
          <t>VÄSTERNORRLANDS LÄN</t>
        </is>
      </c>
      <c r="E11361" t="inlineStr">
        <is>
          <t>SUNDSVALL</t>
        </is>
      </c>
      <c r="G11361" t="n">
        <v>1.7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1188-2025</t>
        </is>
      </c>
      <c r="B11362" s="1" t="n">
        <v>45667.37030092593</v>
      </c>
      <c r="C11362" s="1" t="n">
        <v>46093</v>
      </c>
      <c r="D11362" t="inlineStr">
        <is>
          <t>VÄSTERNORRLANDS LÄN</t>
        </is>
      </c>
      <c r="E11362" t="inlineStr">
        <is>
          <t>SUNDSVALL</t>
        </is>
      </c>
      <c r="F11362" t="inlineStr">
        <is>
          <t>Holmen skog AB</t>
        </is>
      </c>
      <c r="G11362" t="n">
        <v>25.4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41652-2024</t>
        </is>
      </c>
      <c r="B11363" s="1" t="n">
        <v>45560.63778935185</v>
      </c>
      <c r="C11363" s="1" t="n">
        <v>46093</v>
      </c>
      <c r="D11363" t="inlineStr">
        <is>
          <t>VÄSTERNORRLANDS LÄN</t>
        </is>
      </c>
      <c r="E11363" t="inlineStr">
        <is>
          <t>SUNDSVALL</t>
        </is>
      </c>
      <c r="G11363" t="n">
        <v>1.3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10781-2024</t>
        </is>
      </c>
      <c r="B11364" s="1" t="n">
        <v>45369.59635416666</v>
      </c>
      <c r="C11364" s="1" t="n">
        <v>46093</v>
      </c>
      <c r="D11364" t="inlineStr">
        <is>
          <t>VÄSTERNORRLANDS LÄN</t>
        </is>
      </c>
      <c r="E11364" t="inlineStr">
        <is>
          <t>ÅNGE</t>
        </is>
      </c>
      <c r="G11364" t="n">
        <v>1.9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16975-2024</t>
        </is>
      </c>
      <c r="B11365" s="1" t="n">
        <v>45411</v>
      </c>
      <c r="C11365" s="1" t="n">
        <v>46093</v>
      </c>
      <c r="D11365" t="inlineStr">
        <is>
          <t>VÄSTERNORRLANDS LÄN</t>
        </is>
      </c>
      <c r="E11365" t="inlineStr">
        <is>
          <t>SUNDSVALL</t>
        </is>
      </c>
      <c r="G11365" t="n">
        <v>8.1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11916-2026</t>
        </is>
      </c>
      <c r="B11366" s="1" t="n">
        <v>46085.55888888889</v>
      </c>
      <c r="C11366" s="1" t="n">
        <v>46093</v>
      </c>
      <c r="D11366" t="inlineStr">
        <is>
          <t>VÄSTERNORRLANDS LÄN</t>
        </is>
      </c>
      <c r="E11366" t="inlineStr">
        <is>
          <t>SOLLEFTEÅ</t>
        </is>
      </c>
      <c r="G11366" t="n">
        <v>25.5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5885-2026</t>
        </is>
      </c>
      <c r="B11367" s="1" t="n">
        <v>46052</v>
      </c>
      <c r="C11367" s="1" t="n">
        <v>46093</v>
      </c>
      <c r="D11367" t="inlineStr">
        <is>
          <t>VÄSTERNORRLANDS LÄN</t>
        </is>
      </c>
      <c r="E11367" t="inlineStr">
        <is>
          <t>HÄRNÖSAND</t>
        </is>
      </c>
      <c r="G11367" t="n">
        <v>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8375-2026</t>
        </is>
      </c>
      <c r="B11368" s="1" t="n">
        <v>46064</v>
      </c>
      <c r="C11368" s="1" t="n">
        <v>46093</v>
      </c>
      <c r="D11368" t="inlineStr">
        <is>
          <t>VÄSTERNORRLANDS LÄN</t>
        </is>
      </c>
      <c r="E11368" t="inlineStr">
        <is>
          <t>HÄRNÖSAND</t>
        </is>
      </c>
      <c r="G11368" t="n">
        <v>4.4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4049-2026</t>
        </is>
      </c>
      <c r="B11369" s="1" t="n">
        <v>46044.47206018519</v>
      </c>
      <c r="C11369" s="1" t="n">
        <v>46093</v>
      </c>
      <c r="D11369" t="inlineStr">
        <is>
          <t>VÄSTERNORRLANDS LÄN</t>
        </is>
      </c>
      <c r="E11369" t="inlineStr">
        <is>
          <t>KRAMFORS</t>
        </is>
      </c>
      <c r="G11369" t="n">
        <v>0.8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4052-2026</t>
        </is>
      </c>
      <c r="B11370" s="1" t="n">
        <v>46044.47467592593</v>
      </c>
      <c r="C11370" s="1" t="n">
        <v>46093</v>
      </c>
      <c r="D11370" t="inlineStr">
        <is>
          <t>VÄSTERNORRLANDS LÄN</t>
        </is>
      </c>
      <c r="E11370" t="inlineStr">
        <is>
          <t>SOLLEFTEÅ</t>
        </is>
      </c>
      <c r="G11370" t="n">
        <v>1.2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24291-2025</t>
        </is>
      </c>
      <c r="B11371" s="1" t="n">
        <v>45797.46469907407</v>
      </c>
      <c r="C11371" s="1" t="n">
        <v>46093</v>
      </c>
      <c r="D11371" t="inlineStr">
        <is>
          <t>VÄSTERNORRLANDS LÄN</t>
        </is>
      </c>
      <c r="E11371" t="inlineStr">
        <is>
          <t>SUNDSVALL</t>
        </is>
      </c>
      <c r="G11371" t="n">
        <v>1.5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24298-2025</t>
        </is>
      </c>
      <c r="B11372" s="1" t="n">
        <v>45797.47481481481</v>
      </c>
      <c r="C11372" s="1" t="n">
        <v>46093</v>
      </c>
      <c r="D11372" t="inlineStr">
        <is>
          <t>VÄSTERNORRLANDS LÄN</t>
        </is>
      </c>
      <c r="E11372" t="inlineStr">
        <is>
          <t>ÖRNSKÖLDSVIK</t>
        </is>
      </c>
      <c r="F11372" t="inlineStr">
        <is>
          <t>Holmen skog AB</t>
        </is>
      </c>
      <c r="G11372" t="n">
        <v>15.2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18213-2025</t>
        </is>
      </c>
      <c r="B11373" s="1" t="n">
        <v>45761.69885416667</v>
      </c>
      <c r="C11373" s="1" t="n">
        <v>46093</v>
      </c>
      <c r="D11373" t="inlineStr">
        <is>
          <t>VÄSTERNORRLANDS LÄN</t>
        </is>
      </c>
      <c r="E11373" t="inlineStr">
        <is>
          <t>SUNDSVALL</t>
        </is>
      </c>
      <c r="G11373" t="n">
        <v>4.4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11691-2026</t>
        </is>
      </c>
      <c r="B11374" s="1" t="n">
        <v>46084</v>
      </c>
      <c r="C11374" s="1" t="n">
        <v>46093</v>
      </c>
      <c r="D11374" t="inlineStr">
        <is>
          <t>VÄSTERNORRLANDS LÄN</t>
        </is>
      </c>
      <c r="E11374" t="inlineStr">
        <is>
          <t>TIMRÅ</t>
        </is>
      </c>
      <c r="G11374" t="n">
        <v>21.4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10689-2026</t>
        </is>
      </c>
      <c r="B11375" s="1" t="n">
        <v>46078</v>
      </c>
      <c r="C11375" s="1" t="n">
        <v>46093</v>
      </c>
      <c r="D11375" t="inlineStr">
        <is>
          <t>VÄSTERNORRLANDS LÄN</t>
        </is>
      </c>
      <c r="E11375" t="inlineStr">
        <is>
          <t>SUNDSVALL</t>
        </is>
      </c>
      <c r="G11375" t="n">
        <v>1.2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24627-2025</t>
        </is>
      </c>
      <c r="B11376" s="1" t="n">
        <v>45798.59471064815</v>
      </c>
      <c r="C11376" s="1" t="n">
        <v>46093</v>
      </c>
      <c r="D11376" t="inlineStr">
        <is>
          <t>VÄSTERNORRLANDS LÄN</t>
        </is>
      </c>
      <c r="E11376" t="inlineStr">
        <is>
          <t>ÅNGE</t>
        </is>
      </c>
      <c r="F11376" t="inlineStr">
        <is>
          <t>SCA</t>
        </is>
      </c>
      <c r="G11376" t="n">
        <v>2.8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12164-2026</t>
        </is>
      </c>
      <c r="B11377" s="1" t="n">
        <v>46084</v>
      </c>
      <c r="C11377" s="1" t="n">
        <v>46093</v>
      </c>
      <c r="D11377" t="inlineStr">
        <is>
          <t>VÄSTERNORRLANDS LÄN</t>
        </is>
      </c>
      <c r="E11377" t="inlineStr">
        <is>
          <t>SOLLEFTEÅ</t>
        </is>
      </c>
      <c r="G11377" t="n">
        <v>5.8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24209-2025</t>
        </is>
      </c>
      <c r="B11378" s="1" t="n">
        <v>45797.3446875</v>
      </c>
      <c r="C11378" s="1" t="n">
        <v>46093</v>
      </c>
      <c r="D11378" t="inlineStr">
        <is>
          <t>VÄSTERNORRLANDS LÄN</t>
        </is>
      </c>
      <c r="E11378" t="inlineStr">
        <is>
          <t>ÅNGE</t>
        </is>
      </c>
      <c r="F11378" t="inlineStr">
        <is>
          <t>SCA</t>
        </is>
      </c>
      <c r="G11378" t="n">
        <v>2.5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24232-2025</t>
        </is>
      </c>
      <c r="B11379" s="1" t="n">
        <v>45797.37846064815</v>
      </c>
      <c r="C11379" s="1" t="n">
        <v>46093</v>
      </c>
      <c r="D11379" t="inlineStr">
        <is>
          <t>VÄSTERNORRLANDS LÄN</t>
        </is>
      </c>
      <c r="E11379" t="inlineStr">
        <is>
          <t>ÅNGE</t>
        </is>
      </c>
      <c r="G11379" t="n">
        <v>2.8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15143-2024</t>
        </is>
      </c>
      <c r="B11380" s="1" t="n">
        <v>45399.94331018518</v>
      </c>
      <c r="C11380" s="1" t="n">
        <v>46093</v>
      </c>
      <c r="D11380" t="inlineStr">
        <is>
          <t>VÄSTERNORRLANDS LÄN</t>
        </is>
      </c>
      <c r="E11380" t="inlineStr">
        <is>
          <t>SUNDSVALL</t>
        </is>
      </c>
      <c r="F11380" t="inlineStr">
        <is>
          <t>SCA</t>
        </is>
      </c>
      <c r="G11380" t="n">
        <v>3.5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3703-2026</t>
        </is>
      </c>
      <c r="B11381" s="1" t="n">
        <v>46043.47327546297</v>
      </c>
      <c r="C11381" s="1" t="n">
        <v>46093</v>
      </c>
      <c r="D11381" t="inlineStr">
        <is>
          <t>VÄSTERNORRLANDS LÄN</t>
        </is>
      </c>
      <c r="E11381" t="inlineStr">
        <is>
          <t>KRAMFORS</t>
        </is>
      </c>
      <c r="G11381" t="n">
        <v>0.7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24293-2025</t>
        </is>
      </c>
      <c r="B11382" s="1" t="n">
        <v>45797.46899305555</v>
      </c>
      <c r="C11382" s="1" t="n">
        <v>46093</v>
      </c>
      <c r="D11382" t="inlineStr">
        <is>
          <t>VÄSTERNORRLANDS LÄN</t>
        </is>
      </c>
      <c r="E11382" t="inlineStr">
        <is>
          <t>SUNDSVALL</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25313-2025</t>
        </is>
      </c>
      <c r="B11383" s="1" t="n">
        <v>45799</v>
      </c>
      <c r="C11383" s="1" t="n">
        <v>46093</v>
      </c>
      <c r="D11383" t="inlineStr">
        <is>
          <t>VÄSTERNORRLANDS LÄN</t>
        </is>
      </c>
      <c r="E11383" t="inlineStr">
        <is>
          <t>SOLLEFTEÅ</t>
        </is>
      </c>
      <c r="F11383" t="inlineStr">
        <is>
          <t>Kommuner</t>
        </is>
      </c>
      <c r="G11383" t="n">
        <v>0.7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25320-2025</t>
        </is>
      </c>
      <c r="B11384" s="1" t="n">
        <v>45800.5853587963</v>
      </c>
      <c r="C11384" s="1" t="n">
        <v>46093</v>
      </c>
      <c r="D11384" t="inlineStr">
        <is>
          <t>VÄSTERNORRLANDS LÄN</t>
        </is>
      </c>
      <c r="E11384" t="inlineStr">
        <is>
          <t>KRAMFORS</t>
        </is>
      </c>
      <c r="G11384" t="n">
        <v>11.2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25340-2025</t>
        </is>
      </c>
      <c r="B11385" s="1" t="n">
        <v>45800.60074074074</v>
      </c>
      <c r="C11385" s="1" t="n">
        <v>46093</v>
      </c>
      <c r="D11385" t="inlineStr">
        <is>
          <t>VÄSTERNORRLANDS LÄN</t>
        </is>
      </c>
      <c r="E11385" t="inlineStr">
        <is>
          <t>ÅNGE</t>
        </is>
      </c>
      <c r="G11385" t="n">
        <v>2.7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25363-2025</t>
        </is>
      </c>
      <c r="B11386" s="1" t="n">
        <v>45799</v>
      </c>
      <c r="C11386" s="1" t="n">
        <v>46093</v>
      </c>
      <c r="D11386" t="inlineStr">
        <is>
          <t>VÄSTERNORRLANDS LÄN</t>
        </is>
      </c>
      <c r="E11386" t="inlineStr">
        <is>
          <t>HÄRNÖSAND</t>
        </is>
      </c>
      <c r="G11386" t="n">
        <v>0.8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12084-2026</t>
        </is>
      </c>
      <c r="B11387" s="1" t="n">
        <v>46086</v>
      </c>
      <c r="C11387" s="1" t="n">
        <v>46093</v>
      </c>
      <c r="D11387" t="inlineStr">
        <is>
          <t>VÄSTERNORRLANDS LÄN</t>
        </is>
      </c>
      <c r="E11387" t="inlineStr">
        <is>
          <t>HÄRNÖSAND</t>
        </is>
      </c>
      <c r="G11387" t="n">
        <v>1.6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11803-2026</t>
        </is>
      </c>
      <c r="B11388" s="1" t="n">
        <v>46085.35572916667</v>
      </c>
      <c r="C11388" s="1" t="n">
        <v>46093</v>
      </c>
      <c r="D11388" t="inlineStr">
        <is>
          <t>VÄSTERNORRLANDS LÄN</t>
        </is>
      </c>
      <c r="E11388" t="inlineStr">
        <is>
          <t>ÅNGE</t>
        </is>
      </c>
      <c r="G11388" t="n">
        <v>5.8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25273-2025</t>
        </is>
      </c>
      <c r="B11389" s="1" t="n">
        <v>45800.55253472222</v>
      </c>
      <c r="C11389" s="1" t="n">
        <v>46093</v>
      </c>
      <c r="D11389" t="inlineStr">
        <is>
          <t>VÄSTERNORRLANDS LÄN</t>
        </is>
      </c>
      <c r="E11389" t="inlineStr">
        <is>
          <t>ÅNGE</t>
        </is>
      </c>
      <c r="F11389" t="inlineStr">
        <is>
          <t>SCA</t>
        </is>
      </c>
      <c r="G11389" t="n">
        <v>3.2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25352-2025</t>
        </is>
      </c>
      <c r="B11390" s="1" t="n">
        <v>45800.61552083334</v>
      </c>
      <c r="C11390" s="1" t="n">
        <v>46093</v>
      </c>
      <c r="D11390" t="inlineStr">
        <is>
          <t>VÄSTERNORRLANDS LÄN</t>
        </is>
      </c>
      <c r="E11390" t="inlineStr">
        <is>
          <t>ÅNGE</t>
        </is>
      </c>
      <c r="F11390" t="inlineStr">
        <is>
          <t>SCA</t>
        </is>
      </c>
      <c r="G11390" t="n">
        <v>6.3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24955-2025</t>
        </is>
      </c>
      <c r="B11391" s="1" t="n">
        <v>45799.57399305556</v>
      </c>
      <c r="C11391" s="1" t="n">
        <v>46093</v>
      </c>
      <c r="D11391" t="inlineStr">
        <is>
          <t>VÄSTERNORRLANDS LÄN</t>
        </is>
      </c>
      <c r="E11391" t="inlineStr">
        <is>
          <t>HÄRNÖSAND</t>
        </is>
      </c>
      <c r="F11391" t="inlineStr">
        <is>
          <t>SCA</t>
        </is>
      </c>
      <c r="G11391" t="n">
        <v>2.1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3721-2026</t>
        </is>
      </c>
      <c r="B11392" s="1" t="n">
        <v>46043</v>
      </c>
      <c r="C11392" s="1" t="n">
        <v>46093</v>
      </c>
      <c r="D11392" t="inlineStr">
        <is>
          <t>VÄSTERNORRLANDS LÄN</t>
        </is>
      </c>
      <c r="E11392" t="inlineStr">
        <is>
          <t>KRAMFORS</t>
        </is>
      </c>
      <c r="G11392" t="n">
        <v>8.9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11796-2026</t>
        </is>
      </c>
      <c r="B11393" s="1" t="n">
        <v>46084</v>
      </c>
      <c r="C11393" s="1" t="n">
        <v>46093</v>
      </c>
      <c r="D11393" t="inlineStr">
        <is>
          <t>VÄSTERNORRLANDS LÄN</t>
        </is>
      </c>
      <c r="E11393" t="inlineStr">
        <is>
          <t>SOLLEFTEÅ</t>
        </is>
      </c>
      <c r="G11393" t="n">
        <v>8.300000000000001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11816-2026</t>
        </is>
      </c>
      <c r="B11394" s="1" t="n">
        <v>46085.38608796296</v>
      </c>
      <c r="C11394" s="1" t="n">
        <v>46093</v>
      </c>
      <c r="D11394" t="inlineStr">
        <is>
          <t>VÄSTERNORRLANDS LÄN</t>
        </is>
      </c>
      <c r="E11394" t="inlineStr">
        <is>
          <t>ÅNGE</t>
        </is>
      </c>
      <c r="F11394" t="inlineStr">
        <is>
          <t>SCA</t>
        </is>
      </c>
      <c r="G11394" t="n">
        <v>3.2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25020-2025</t>
        </is>
      </c>
      <c r="B11395" s="1" t="n">
        <v>45799.64543981481</v>
      </c>
      <c r="C11395" s="1" t="n">
        <v>46093</v>
      </c>
      <c r="D11395" t="inlineStr">
        <is>
          <t>VÄSTERNORRLANDS LÄN</t>
        </is>
      </c>
      <c r="E11395" t="inlineStr">
        <is>
          <t>ÖRNSKÖLDSVIK</t>
        </is>
      </c>
      <c r="F11395" t="inlineStr">
        <is>
          <t>Holmen skog AB</t>
        </is>
      </c>
      <c r="G11395" t="n">
        <v>2.2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24993-2025</t>
        </is>
      </c>
      <c r="B11396" s="1" t="n">
        <v>45799.61525462963</v>
      </c>
      <c r="C11396" s="1" t="n">
        <v>46093</v>
      </c>
      <c r="D11396" t="inlineStr">
        <is>
          <t>VÄSTERNORRLANDS LÄN</t>
        </is>
      </c>
      <c r="E11396" t="inlineStr">
        <is>
          <t>KRAMFORS</t>
        </is>
      </c>
      <c r="F11396" t="inlineStr">
        <is>
          <t>SCA</t>
        </is>
      </c>
      <c r="G11396" t="n">
        <v>2.9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25017-2025</t>
        </is>
      </c>
      <c r="B11397" s="1" t="n">
        <v>45799.63791666667</v>
      </c>
      <c r="C11397" s="1" t="n">
        <v>46093</v>
      </c>
      <c r="D11397" t="inlineStr">
        <is>
          <t>VÄSTERNORRLANDS LÄN</t>
        </is>
      </c>
      <c r="E11397" t="inlineStr">
        <is>
          <t>ÅNGE</t>
        </is>
      </c>
      <c r="F11397" t="inlineStr">
        <is>
          <t>Sveaskog</t>
        </is>
      </c>
      <c r="G11397" t="n">
        <v>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4208-2026</t>
        </is>
      </c>
      <c r="B11398" s="1" t="n">
        <v>46044</v>
      </c>
      <c r="C11398" s="1" t="n">
        <v>46093</v>
      </c>
      <c r="D11398" t="inlineStr">
        <is>
          <t>VÄSTERNORRLANDS LÄN</t>
        </is>
      </c>
      <c r="E11398" t="inlineStr">
        <is>
          <t>SOLLEFTEÅ</t>
        </is>
      </c>
      <c r="F11398" t="inlineStr">
        <is>
          <t>Kommuner</t>
        </is>
      </c>
      <c r="G11398" t="n">
        <v>0.7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4209-2026</t>
        </is>
      </c>
      <c r="B11399" s="1" t="n">
        <v>46044.72609953704</v>
      </c>
      <c r="C11399" s="1" t="n">
        <v>46093</v>
      </c>
      <c r="D11399" t="inlineStr">
        <is>
          <t>VÄSTERNORRLANDS LÄN</t>
        </is>
      </c>
      <c r="E11399" t="inlineStr">
        <is>
          <t>ÅNGE</t>
        </is>
      </c>
      <c r="G11399" t="n">
        <v>5.2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3629-2026</t>
        </is>
      </c>
      <c r="B11400" s="1" t="n">
        <v>46043</v>
      </c>
      <c r="C11400" s="1" t="n">
        <v>46093</v>
      </c>
      <c r="D11400" t="inlineStr">
        <is>
          <t>VÄSTERNORRLANDS LÄN</t>
        </is>
      </c>
      <c r="E11400" t="inlineStr">
        <is>
          <t>SUNDSVALL</t>
        </is>
      </c>
      <c r="G11400" t="n">
        <v>2.2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24730-2025</t>
        </is>
      </c>
      <c r="B11401" s="1" t="n">
        <v>45799.34150462963</v>
      </c>
      <c r="C11401" s="1" t="n">
        <v>46093</v>
      </c>
      <c r="D11401" t="inlineStr">
        <is>
          <t>VÄSTERNORRLANDS LÄN</t>
        </is>
      </c>
      <c r="E11401" t="inlineStr">
        <is>
          <t>SOLLEFTEÅ</t>
        </is>
      </c>
      <c r="G11401" t="n">
        <v>1.5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3646-2026</t>
        </is>
      </c>
      <c r="B11402" s="1" t="n">
        <v>46043.36178240741</v>
      </c>
      <c r="C11402" s="1" t="n">
        <v>46093</v>
      </c>
      <c r="D11402" t="inlineStr">
        <is>
          <t>VÄSTERNORRLANDS LÄN</t>
        </is>
      </c>
      <c r="E11402" t="inlineStr">
        <is>
          <t>ÖRNSKÖLDSVIK</t>
        </is>
      </c>
      <c r="G11402" t="n">
        <v>2.3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24704-2025</t>
        </is>
      </c>
      <c r="B11403" s="1" t="n">
        <v>45798.79577546296</v>
      </c>
      <c r="C11403" s="1" t="n">
        <v>46093</v>
      </c>
      <c r="D11403" t="inlineStr">
        <is>
          <t>VÄSTERNORRLANDS LÄN</t>
        </is>
      </c>
      <c r="E11403" t="inlineStr">
        <is>
          <t>KRAMFORS</t>
        </is>
      </c>
      <c r="G11403" t="n">
        <v>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11842-2026</t>
        </is>
      </c>
      <c r="B11404" s="1" t="n">
        <v>46085.45105324074</v>
      </c>
      <c r="C11404" s="1" t="n">
        <v>46093</v>
      </c>
      <c r="D11404" t="inlineStr">
        <is>
          <t>VÄSTERNORRLANDS LÄN</t>
        </is>
      </c>
      <c r="E11404" t="inlineStr">
        <is>
          <t>SUNDSVALL</t>
        </is>
      </c>
      <c r="G11404" t="n">
        <v>2.3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25238-2025</t>
        </is>
      </c>
      <c r="B11405" s="1" t="n">
        <v>45800.49016203704</v>
      </c>
      <c r="C11405" s="1" t="n">
        <v>46093</v>
      </c>
      <c r="D11405" t="inlineStr">
        <is>
          <t>VÄSTERNORRLANDS LÄN</t>
        </is>
      </c>
      <c r="E11405" t="inlineStr">
        <is>
          <t>SOLLEFTEÅ</t>
        </is>
      </c>
      <c r="F11405" t="inlineStr">
        <is>
          <t>SCA</t>
        </is>
      </c>
      <c r="G11405" t="n">
        <v>9.800000000000001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4159-2026</t>
        </is>
      </c>
      <c r="B11406" s="1" t="n">
        <v>46044</v>
      </c>
      <c r="C11406" s="1" t="n">
        <v>46093</v>
      </c>
      <c r="D11406" t="inlineStr">
        <is>
          <t>VÄSTERNORRLANDS LÄN</t>
        </is>
      </c>
      <c r="E11406" t="inlineStr">
        <is>
          <t>KRAMFORS</t>
        </is>
      </c>
      <c r="G11406" t="n">
        <v>1.3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25196-2025</t>
        </is>
      </c>
      <c r="B11407" s="1" t="n">
        <v>45800.46025462963</v>
      </c>
      <c r="C11407" s="1" t="n">
        <v>46093</v>
      </c>
      <c r="D11407" t="inlineStr">
        <is>
          <t>VÄSTERNORRLANDS LÄN</t>
        </is>
      </c>
      <c r="E11407" t="inlineStr">
        <is>
          <t>SUNDSVALL</t>
        </is>
      </c>
      <c r="G11407" t="n">
        <v>3.8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25230-2025</t>
        </is>
      </c>
      <c r="B11408" s="1" t="n">
        <v>45800.48439814815</v>
      </c>
      <c r="C11408" s="1" t="n">
        <v>46093</v>
      </c>
      <c r="D11408" t="inlineStr">
        <is>
          <t>VÄSTERNORRLANDS LÄN</t>
        </is>
      </c>
      <c r="E11408" t="inlineStr">
        <is>
          <t>KRAMFORS</t>
        </is>
      </c>
      <c r="G11408" t="n">
        <v>5.1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25241-2025</t>
        </is>
      </c>
      <c r="B11409" s="1" t="n">
        <v>45800.49053240741</v>
      </c>
      <c r="C11409" s="1" t="n">
        <v>46093</v>
      </c>
      <c r="D11409" t="inlineStr">
        <is>
          <t>VÄSTERNORRLANDS LÄN</t>
        </is>
      </c>
      <c r="E11409" t="inlineStr">
        <is>
          <t>ÅNGE</t>
        </is>
      </c>
      <c r="F11409" t="inlineStr">
        <is>
          <t>SCA</t>
        </is>
      </c>
      <c r="G11409" t="n">
        <v>1.5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25258-2025</t>
        </is>
      </c>
      <c r="B11410" s="1" t="n">
        <v>45800.51092592593</v>
      </c>
      <c r="C11410" s="1" t="n">
        <v>46093</v>
      </c>
      <c r="D11410" t="inlineStr">
        <is>
          <t>VÄSTERNORRLANDS LÄN</t>
        </is>
      </c>
      <c r="E11410" t="inlineStr">
        <is>
          <t>SUNDSVALL</t>
        </is>
      </c>
      <c r="F11410" t="inlineStr">
        <is>
          <t>Naturvårdsverket</t>
        </is>
      </c>
      <c r="G11410" t="n">
        <v>3.8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7480-2026</t>
        </is>
      </c>
      <c r="B11411" s="1" t="n">
        <v>46059</v>
      </c>
      <c r="C11411" s="1" t="n">
        <v>46093</v>
      </c>
      <c r="D11411" t="inlineStr">
        <is>
          <t>VÄSTERNORRLANDS LÄN</t>
        </is>
      </c>
      <c r="E11411" t="inlineStr">
        <is>
          <t>ÅNGE</t>
        </is>
      </c>
      <c r="F11411" t="inlineStr">
        <is>
          <t>SCA</t>
        </is>
      </c>
      <c r="G11411" t="n">
        <v>1.6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25351-2025</t>
        </is>
      </c>
      <c r="B11412" s="1" t="n">
        <v>45800.61526620371</v>
      </c>
      <c r="C11412" s="1" t="n">
        <v>46093</v>
      </c>
      <c r="D11412" t="inlineStr">
        <is>
          <t>VÄSTERNORRLANDS LÄN</t>
        </is>
      </c>
      <c r="E11412" t="inlineStr">
        <is>
          <t>SUNDSVALL</t>
        </is>
      </c>
      <c r="F11412" t="inlineStr">
        <is>
          <t>Kyrkan</t>
        </is>
      </c>
      <c r="G11412" t="n">
        <v>4.9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3681-2026</t>
        </is>
      </c>
      <c r="B11413" s="1" t="n">
        <v>46043.4303125</v>
      </c>
      <c r="C11413" s="1" t="n">
        <v>46093</v>
      </c>
      <c r="D11413" t="inlineStr">
        <is>
          <t>VÄSTERNORRLANDS LÄN</t>
        </is>
      </c>
      <c r="E11413" t="inlineStr">
        <is>
          <t>KRAMFORS</t>
        </is>
      </c>
      <c r="G11413" t="n">
        <v>1.7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3718-2026</t>
        </is>
      </c>
      <c r="B11414" s="1" t="n">
        <v>46043</v>
      </c>
      <c r="C11414" s="1" t="n">
        <v>46093</v>
      </c>
      <c r="D11414" t="inlineStr">
        <is>
          <t>VÄSTERNORRLANDS LÄN</t>
        </is>
      </c>
      <c r="E11414" t="inlineStr">
        <is>
          <t>KRAMFORS</t>
        </is>
      </c>
      <c r="G11414" t="n">
        <v>3.3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12061-2026</t>
        </is>
      </c>
      <c r="B11415" s="1" t="n">
        <v>46086</v>
      </c>
      <c r="C11415" s="1" t="n">
        <v>46093</v>
      </c>
      <c r="D11415" t="inlineStr">
        <is>
          <t>VÄSTERNORRLANDS LÄN</t>
        </is>
      </c>
      <c r="E11415" t="inlineStr">
        <is>
          <t>HÄRNÖSAND</t>
        </is>
      </c>
      <c r="G11415" t="n">
        <v>6.8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25126-2025</t>
        </is>
      </c>
      <c r="B11416" s="1" t="n">
        <v>45800.37791666666</v>
      </c>
      <c r="C11416" s="1" t="n">
        <v>46093</v>
      </c>
      <c r="D11416" t="inlineStr">
        <is>
          <t>VÄSTERNORRLANDS LÄN</t>
        </is>
      </c>
      <c r="E11416" t="inlineStr">
        <is>
          <t>ÖRNSKÖLDSVIK</t>
        </is>
      </c>
      <c r="F11416" t="inlineStr">
        <is>
          <t>Holmen skog AB</t>
        </is>
      </c>
      <c r="G11416" t="n">
        <v>1.9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25132-2025</t>
        </is>
      </c>
      <c r="B11417" s="1" t="n">
        <v>45800</v>
      </c>
      <c r="C11417" s="1" t="n">
        <v>46093</v>
      </c>
      <c r="D11417" t="inlineStr">
        <is>
          <t>VÄSTERNORRLANDS LÄN</t>
        </is>
      </c>
      <c r="E11417" t="inlineStr">
        <is>
          <t>SOLLEFTEÅ</t>
        </is>
      </c>
      <c r="G11417" t="n">
        <v>1.8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25143-2025</t>
        </is>
      </c>
      <c r="B11418" s="1" t="n">
        <v>45800.41621527778</v>
      </c>
      <c r="C11418" s="1" t="n">
        <v>46093</v>
      </c>
      <c r="D11418" t="inlineStr">
        <is>
          <t>VÄSTERNORRLANDS LÄN</t>
        </is>
      </c>
      <c r="E11418" t="inlineStr">
        <is>
          <t>ÖRNSKÖLDSVIK</t>
        </is>
      </c>
      <c r="F11418" t="inlineStr">
        <is>
          <t>Holmen skog AB</t>
        </is>
      </c>
      <c r="G11418" t="n">
        <v>2.9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44045-2022</t>
        </is>
      </c>
      <c r="B11419" s="1" t="n">
        <v>44838</v>
      </c>
      <c r="C11419" s="1" t="n">
        <v>46093</v>
      </c>
      <c r="D11419" t="inlineStr">
        <is>
          <t>VÄSTERNORRLANDS LÄN</t>
        </is>
      </c>
      <c r="E11419" t="inlineStr">
        <is>
          <t>SOLLEFTEÅ</t>
        </is>
      </c>
      <c r="F11419" t="inlineStr">
        <is>
          <t>SCA</t>
        </is>
      </c>
      <c r="G11419" t="n">
        <v>1.2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11272-2026</t>
        </is>
      </c>
      <c r="B11420" s="1" t="n">
        <v>46080</v>
      </c>
      <c r="C11420" s="1" t="n">
        <v>46093</v>
      </c>
      <c r="D11420" t="inlineStr">
        <is>
          <t>VÄSTERNORRLANDS LÄN</t>
        </is>
      </c>
      <c r="E11420" t="inlineStr">
        <is>
          <t>SUNDSVALL</t>
        </is>
      </c>
      <c r="F11420" t="inlineStr">
        <is>
          <t>SCA</t>
        </is>
      </c>
      <c r="G11420" t="n">
        <v>4.1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25274-2025</t>
        </is>
      </c>
      <c r="B11421" s="1" t="n">
        <v>45800.55276620371</v>
      </c>
      <c r="C11421" s="1" t="n">
        <v>46093</v>
      </c>
      <c r="D11421" t="inlineStr">
        <is>
          <t>VÄSTERNORRLANDS LÄN</t>
        </is>
      </c>
      <c r="E11421" t="inlineStr">
        <is>
          <t>ÅNGE</t>
        </is>
      </c>
      <c r="F11421" t="inlineStr">
        <is>
          <t>SCA</t>
        </is>
      </c>
      <c r="G11421" t="n">
        <v>1.5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25297-2025</t>
        </is>
      </c>
      <c r="B11422" s="1" t="n">
        <v>45800.5684837963</v>
      </c>
      <c r="C11422" s="1" t="n">
        <v>46093</v>
      </c>
      <c r="D11422" t="inlineStr">
        <is>
          <t>VÄSTERNORRLANDS LÄN</t>
        </is>
      </c>
      <c r="E11422" t="inlineStr">
        <is>
          <t>SOLLEFTEÅ</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4045-2026</t>
        </is>
      </c>
      <c r="B11423" s="1" t="n">
        <v>46044</v>
      </c>
      <c r="C11423" s="1" t="n">
        <v>46093</v>
      </c>
      <c r="D11423" t="inlineStr">
        <is>
          <t>VÄSTERNORRLANDS LÄN</t>
        </is>
      </c>
      <c r="E11423" t="inlineStr">
        <is>
          <t>TIMRÅ</t>
        </is>
      </c>
      <c r="G11423" t="n">
        <v>0.8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11917-2026</t>
        </is>
      </c>
      <c r="B11424" s="1" t="n">
        <v>46085</v>
      </c>
      <c r="C11424" s="1" t="n">
        <v>46093</v>
      </c>
      <c r="D11424" t="inlineStr">
        <is>
          <t>VÄSTERNORRLANDS LÄN</t>
        </is>
      </c>
      <c r="E11424" t="inlineStr">
        <is>
          <t>HÄRNÖSAND</t>
        </is>
      </c>
      <c r="G11424" t="n">
        <v>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3826-2026</t>
        </is>
      </c>
      <c r="B11425" s="1" t="n">
        <v>46043</v>
      </c>
      <c r="C11425" s="1" t="n">
        <v>46093</v>
      </c>
      <c r="D11425" t="inlineStr">
        <is>
          <t>VÄSTERNORRLANDS LÄN</t>
        </is>
      </c>
      <c r="E11425" t="inlineStr">
        <is>
          <t>SUNDSVALL</t>
        </is>
      </c>
      <c r="G11425" t="n">
        <v>2.6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3889-2026</t>
        </is>
      </c>
      <c r="B11426" s="1" t="n">
        <v>46043.67015046296</v>
      </c>
      <c r="C11426" s="1" t="n">
        <v>46093</v>
      </c>
      <c r="D11426" t="inlineStr">
        <is>
          <t>VÄSTERNORRLANDS LÄN</t>
        </is>
      </c>
      <c r="E11426" t="inlineStr">
        <is>
          <t>ÅNGE</t>
        </is>
      </c>
      <c r="G11426" t="n">
        <v>1.5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3678-2026</t>
        </is>
      </c>
      <c r="B11427" s="1" t="n">
        <v>46043</v>
      </c>
      <c r="C11427" s="1" t="n">
        <v>46093</v>
      </c>
      <c r="D11427" t="inlineStr">
        <is>
          <t>VÄSTERNORRLANDS LÄN</t>
        </is>
      </c>
      <c r="E11427" t="inlineStr">
        <is>
          <t>KRAMFORS</t>
        </is>
      </c>
      <c r="G11427" t="n">
        <v>0.6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7700-2026</t>
        </is>
      </c>
      <c r="B11428" s="1" t="n">
        <v>46059</v>
      </c>
      <c r="C11428" s="1" t="n">
        <v>46093</v>
      </c>
      <c r="D11428" t="inlineStr">
        <is>
          <t>VÄSTERNORRLANDS LÄN</t>
        </is>
      </c>
      <c r="E11428" t="inlineStr">
        <is>
          <t>TIMRÅ</t>
        </is>
      </c>
      <c r="G11428" t="n">
        <v>2.1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9156-2026</t>
        </is>
      </c>
      <c r="B11429" s="1" t="n">
        <v>46070</v>
      </c>
      <c r="C11429" s="1" t="n">
        <v>46093</v>
      </c>
      <c r="D11429" t="inlineStr">
        <is>
          <t>VÄSTERNORRLANDS LÄN</t>
        </is>
      </c>
      <c r="E11429" t="inlineStr">
        <is>
          <t>SOLLEFTEÅ</t>
        </is>
      </c>
      <c r="F11429" t="inlineStr">
        <is>
          <t>SCA</t>
        </is>
      </c>
      <c r="G11429" t="n">
        <v>3.1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3800-2026</t>
        </is>
      </c>
      <c r="B11430" s="1" t="n">
        <v>46043.58267361111</v>
      </c>
      <c r="C11430" s="1" t="n">
        <v>46093</v>
      </c>
      <c r="D11430" t="inlineStr">
        <is>
          <t>VÄSTERNORRLANDS LÄN</t>
        </is>
      </c>
      <c r="E11430" t="inlineStr">
        <is>
          <t>ÅNGE</t>
        </is>
      </c>
      <c r="F11430" t="inlineStr">
        <is>
          <t>SCA</t>
        </is>
      </c>
      <c r="G11430" t="n">
        <v>2.3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3811-2026</t>
        </is>
      </c>
      <c r="B11431" s="1" t="n">
        <v>46043</v>
      </c>
      <c r="C11431" s="1" t="n">
        <v>46093</v>
      </c>
      <c r="D11431" t="inlineStr">
        <is>
          <t>VÄSTERNORRLANDS LÄN</t>
        </is>
      </c>
      <c r="E11431" t="inlineStr">
        <is>
          <t>ÅNGE</t>
        </is>
      </c>
      <c r="G11431" t="n">
        <v>1.4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3822-2026</t>
        </is>
      </c>
      <c r="B11432" s="1" t="n">
        <v>46043</v>
      </c>
      <c r="C11432" s="1" t="n">
        <v>46093</v>
      </c>
      <c r="D11432" t="inlineStr">
        <is>
          <t>VÄSTERNORRLANDS LÄN</t>
        </is>
      </c>
      <c r="E11432" t="inlineStr">
        <is>
          <t>SUNDSVALL</t>
        </is>
      </c>
      <c r="G11432" t="n">
        <v>4.9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3801-2026</t>
        </is>
      </c>
      <c r="B11433" s="1" t="n">
        <v>46043.58273148148</v>
      </c>
      <c r="C11433" s="1" t="n">
        <v>46093</v>
      </c>
      <c r="D11433" t="inlineStr">
        <is>
          <t>VÄSTERNORRLANDS LÄN</t>
        </is>
      </c>
      <c r="E11433" t="inlineStr">
        <is>
          <t>ÅNGE</t>
        </is>
      </c>
      <c r="F11433" t="inlineStr">
        <is>
          <t>SCA</t>
        </is>
      </c>
      <c r="G11433" t="n">
        <v>1.2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3812-2026</t>
        </is>
      </c>
      <c r="B11434" s="1" t="n">
        <v>46043.58417824074</v>
      </c>
      <c r="C11434" s="1" t="n">
        <v>46093</v>
      </c>
      <c r="D11434" t="inlineStr">
        <is>
          <t>VÄSTERNORRLANDS LÄN</t>
        </is>
      </c>
      <c r="E11434" t="inlineStr">
        <is>
          <t>SOLLEFTEÅ</t>
        </is>
      </c>
      <c r="F11434" t="inlineStr">
        <is>
          <t>SCA</t>
        </is>
      </c>
      <c r="G11434" t="n">
        <v>0.7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25116-2025</t>
        </is>
      </c>
      <c r="B11435" s="1" t="n">
        <v>45800.36362268519</v>
      </c>
      <c r="C11435" s="1" t="n">
        <v>46093</v>
      </c>
      <c r="D11435" t="inlineStr">
        <is>
          <t>VÄSTERNORRLANDS LÄN</t>
        </is>
      </c>
      <c r="E11435" t="inlineStr">
        <is>
          <t>ÖRNSKÖLDSVIK</t>
        </is>
      </c>
      <c r="G11435" t="n">
        <v>3.3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25154-2025</t>
        </is>
      </c>
      <c r="B11436" s="1" t="n">
        <v>45800.42770833334</v>
      </c>
      <c r="C11436" s="1" t="n">
        <v>46093</v>
      </c>
      <c r="D11436" t="inlineStr">
        <is>
          <t>VÄSTERNORRLANDS LÄN</t>
        </is>
      </c>
      <c r="E11436" t="inlineStr">
        <is>
          <t>SUNDSVALL</t>
        </is>
      </c>
      <c r="F11436" t="inlineStr">
        <is>
          <t>SCA</t>
        </is>
      </c>
      <c r="G11436" t="n">
        <v>3.2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25161-2025</t>
        </is>
      </c>
      <c r="B11437" s="1" t="n">
        <v>45800.42946759259</v>
      </c>
      <c r="C11437" s="1" t="n">
        <v>46093</v>
      </c>
      <c r="D11437" t="inlineStr">
        <is>
          <t>VÄSTERNORRLANDS LÄN</t>
        </is>
      </c>
      <c r="E11437" t="inlineStr">
        <is>
          <t>KRAMFORS</t>
        </is>
      </c>
      <c r="G11437" t="n">
        <v>11.1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25173-2025</t>
        </is>
      </c>
      <c r="B11438" s="1" t="n">
        <v>45800.44560185185</v>
      </c>
      <c r="C11438" s="1" t="n">
        <v>46093</v>
      </c>
      <c r="D11438" t="inlineStr">
        <is>
          <t>VÄSTERNORRLANDS LÄN</t>
        </is>
      </c>
      <c r="E11438" t="inlineStr">
        <is>
          <t>ÖRNSKÖLDSVIK</t>
        </is>
      </c>
      <c r="F11438" t="inlineStr">
        <is>
          <t>Holmen skog AB</t>
        </is>
      </c>
      <c r="G11438" t="n">
        <v>4.6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3872-2026</t>
        </is>
      </c>
      <c r="B11439" s="1" t="n">
        <v>46043.64314814815</v>
      </c>
      <c r="C11439" s="1" t="n">
        <v>46093</v>
      </c>
      <c r="D11439" t="inlineStr">
        <is>
          <t>VÄSTERNORRLANDS LÄN</t>
        </is>
      </c>
      <c r="E11439" t="inlineStr">
        <is>
          <t>ÅNGE</t>
        </is>
      </c>
      <c r="F11439" t="inlineStr">
        <is>
          <t>SCA</t>
        </is>
      </c>
      <c r="G11439" t="n">
        <v>2.6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25422-2025</t>
        </is>
      </c>
      <c r="B11440" s="1" t="n">
        <v>45800.69635416667</v>
      </c>
      <c r="C11440" s="1" t="n">
        <v>46093</v>
      </c>
      <c r="D11440" t="inlineStr">
        <is>
          <t>VÄSTERNORRLANDS LÄN</t>
        </is>
      </c>
      <c r="E11440" t="inlineStr">
        <is>
          <t>SUNDSVALL</t>
        </is>
      </c>
      <c r="G11440" t="n">
        <v>2.4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25355-2025</t>
        </is>
      </c>
      <c r="B11441" s="1" t="n">
        <v>45800.61607638889</v>
      </c>
      <c r="C11441" s="1" t="n">
        <v>46093</v>
      </c>
      <c r="D11441" t="inlineStr">
        <is>
          <t>VÄSTERNORRLANDS LÄN</t>
        </is>
      </c>
      <c r="E11441" t="inlineStr">
        <is>
          <t>HÄRNÖSAND</t>
        </is>
      </c>
      <c r="F11441" t="inlineStr">
        <is>
          <t>SCA</t>
        </is>
      </c>
      <c r="G11441" t="n">
        <v>2.2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24759-2025</t>
        </is>
      </c>
      <c r="B11442" s="1" t="n">
        <v>45799.38284722222</v>
      </c>
      <c r="C11442" s="1" t="n">
        <v>46093</v>
      </c>
      <c r="D11442" t="inlineStr">
        <is>
          <t>VÄSTERNORRLANDS LÄN</t>
        </is>
      </c>
      <c r="E11442" t="inlineStr">
        <is>
          <t>SOLLEFTEÅ</t>
        </is>
      </c>
      <c r="G11442" t="n">
        <v>0.7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24760-2025</t>
        </is>
      </c>
      <c r="B11443" s="1" t="n">
        <v>45799</v>
      </c>
      <c r="C11443" s="1" t="n">
        <v>46093</v>
      </c>
      <c r="D11443" t="inlineStr">
        <is>
          <t>VÄSTERNORRLANDS LÄN</t>
        </is>
      </c>
      <c r="E11443" t="inlineStr">
        <is>
          <t>SOLLEFTEÅ</t>
        </is>
      </c>
      <c r="F11443" t="inlineStr">
        <is>
          <t>SCA</t>
        </is>
      </c>
      <c r="G11443" t="n">
        <v>2.6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24880-2025</t>
        </is>
      </c>
      <c r="B11444" s="1" t="n">
        <v>45799.49642361111</v>
      </c>
      <c r="C11444" s="1" t="n">
        <v>46093</v>
      </c>
      <c r="D11444" t="inlineStr">
        <is>
          <t>VÄSTERNORRLANDS LÄN</t>
        </is>
      </c>
      <c r="E11444" t="inlineStr">
        <is>
          <t>ÖRNSKÖLDSVIK</t>
        </is>
      </c>
      <c r="G11444" t="n">
        <v>3.4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3805-2026</t>
        </is>
      </c>
      <c r="B11445" s="1" t="n">
        <v>46043.58320601852</v>
      </c>
      <c r="C11445" s="1" t="n">
        <v>46093</v>
      </c>
      <c r="D11445" t="inlineStr">
        <is>
          <t>VÄSTERNORRLANDS LÄN</t>
        </is>
      </c>
      <c r="E11445" t="inlineStr">
        <is>
          <t>SOLLEFTEÅ</t>
        </is>
      </c>
      <c r="F11445" t="inlineStr">
        <is>
          <t>SCA</t>
        </is>
      </c>
      <c r="G11445" t="n">
        <v>1.6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27009-2022</t>
        </is>
      </c>
      <c r="B11446" s="1" t="n">
        <v>44740</v>
      </c>
      <c r="C11446" s="1" t="n">
        <v>46093</v>
      </c>
      <c r="D11446" t="inlineStr">
        <is>
          <t>VÄSTERNORRLANDS LÄN</t>
        </is>
      </c>
      <c r="E11446" t="inlineStr">
        <is>
          <t>SUNDSVALL</t>
        </is>
      </c>
      <c r="F11446" t="inlineStr">
        <is>
          <t>SCA</t>
        </is>
      </c>
      <c r="G11446" t="n">
        <v>6.8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11924-2026</t>
        </is>
      </c>
      <c r="B11447" s="1" t="n">
        <v>46085.5734837963</v>
      </c>
      <c r="C11447" s="1" t="n">
        <v>46093</v>
      </c>
      <c r="D11447" t="inlineStr">
        <is>
          <t>VÄSTERNORRLANDS LÄN</t>
        </is>
      </c>
      <c r="E11447" t="inlineStr">
        <is>
          <t>ÅNGE</t>
        </is>
      </c>
      <c r="F11447" t="inlineStr">
        <is>
          <t>SCA</t>
        </is>
      </c>
      <c r="G11447" t="n">
        <v>0.7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11935-2026</t>
        </is>
      </c>
      <c r="B11448" s="1" t="n">
        <v>46085.58747685186</v>
      </c>
      <c r="C11448" s="1" t="n">
        <v>46093</v>
      </c>
      <c r="D11448" t="inlineStr">
        <is>
          <t>VÄSTERNORRLANDS LÄN</t>
        </is>
      </c>
      <c r="E11448" t="inlineStr">
        <is>
          <t>SUNDSVALL</t>
        </is>
      </c>
      <c r="G11448" t="n">
        <v>2.5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11792-2026</t>
        </is>
      </c>
      <c r="B11449" s="1" t="n">
        <v>46084</v>
      </c>
      <c r="C11449" s="1" t="n">
        <v>46093</v>
      </c>
      <c r="D11449" t="inlineStr">
        <is>
          <t>VÄSTERNORRLANDS LÄN</t>
        </is>
      </c>
      <c r="E11449" t="inlineStr">
        <is>
          <t>SOLLEFTEÅ</t>
        </is>
      </c>
      <c r="G11449" t="n">
        <v>3.4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25381-2025</t>
        </is>
      </c>
      <c r="B11450" s="1" t="n">
        <v>45800.63972222222</v>
      </c>
      <c r="C11450" s="1" t="n">
        <v>46093</v>
      </c>
      <c r="D11450" t="inlineStr">
        <is>
          <t>VÄSTERNORRLANDS LÄN</t>
        </is>
      </c>
      <c r="E11450" t="inlineStr">
        <is>
          <t>ÖRNSKÖLDSVIK</t>
        </is>
      </c>
      <c r="F11450" t="inlineStr">
        <is>
          <t>Holmen skog AB</t>
        </is>
      </c>
      <c r="G11450" t="n">
        <v>1.7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4056-2026</t>
        </is>
      </c>
      <c r="B11451" s="1" t="n">
        <v>46044</v>
      </c>
      <c r="C11451" s="1" t="n">
        <v>46093</v>
      </c>
      <c r="D11451" t="inlineStr">
        <is>
          <t>VÄSTERNORRLANDS LÄN</t>
        </is>
      </c>
      <c r="E11451" t="inlineStr">
        <is>
          <t>TIMRÅ</t>
        </is>
      </c>
      <c r="G11451" t="n">
        <v>1.9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4057-2026</t>
        </is>
      </c>
      <c r="B11452" s="1" t="n">
        <v>46044</v>
      </c>
      <c r="C11452" s="1" t="n">
        <v>46093</v>
      </c>
      <c r="D11452" t="inlineStr">
        <is>
          <t>VÄSTERNORRLANDS LÄN</t>
        </is>
      </c>
      <c r="E11452" t="inlineStr">
        <is>
          <t>TIMRÅ</t>
        </is>
      </c>
      <c r="G11452" t="n">
        <v>8.699999999999999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4038-2026</t>
        </is>
      </c>
      <c r="B11453" s="1" t="n">
        <v>46044.4519212963</v>
      </c>
      <c r="C11453" s="1" t="n">
        <v>46093</v>
      </c>
      <c r="D11453" t="inlineStr">
        <is>
          <t>VÄSTERNORRLANDS LÄN</t>
        </is>
      </c>
      <c r="E11453" t="inlineStr">
        <is>
          <t>KRAMFORS</t>
        </is>
      </c>
      <c r="F11453" t="inlineStr">
        <is>
          <t>Kyrkan</t>
        </is>
      </c>
      <c r="G11453" t="n">
        <v>0.8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4064-2026</t>
        </is>
      </c>
      <c r="B11454" s="1" t="n">
        <v>46044.5109837963</v>
      </c>
      <c r="C11454" s="1" t="n">
        <v>46093</v>
      </c>
      <c r="D11454" t="inlineStr">
        <is>
          <t>VÄSTERNORRLANDS LÄN</t>
        </is>
      </c>
      <c r="E11454" t="inlineStr">
        <is>
          <t>SOLLEFTEÅ</t>
        </is>
      </c>
      <c r="G11454" t="n">
        <v>0.8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40889-2023</t>
        </is>
      </c>
      <c r="B11455" s="1" t="n">
        <v>45173.37847222222</v>
      </c>
      <c r="C11455" s="1" t="n">
        <v>46093</v>
      </c>
      <c r="D11455" t="inlineStr">
        <is>
          <t>VÄSTERNORRLANDS LÄN</t>
        </is>
      </c>
      <c r="E11455" t="inlineStr">
        <is>
          <t>ÖRNSKÖLDSVIK</t>
        </is>
      </c>
      <c r="F11455" t="inlineStr">
        <is>
          <t>Holmen skog AB</t>
        </is>
      </c>
      <c r="G11455" t="n">
        <v>0.9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4467-2026</t>
        </is>
      </c>
      <c r="B11456" s="1" t="n">
        <v>46044</v>
      </c>
      <c r="C11456" s="1" t="n">
        <v>46093</v>
      </c>
      <c r="D11456" t="inlineStr">
        <is>
          <t>VÄSTERNORRLANDS LÄN</t>
        </is>
      </c>
      <c r="E11456" t="inlineStr">
        <is>
          <t>SUNDSVALL</t>
        </is>
      </c>
      <c r="G11456" t="n">
        <v>2.6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24931-2025</t>
        </is>
      </c>
      <c r="B11457" s="1" t="n">
        <v>45799.55543981482</v>
      </c>
      <c r="C11457" s="1" t="n">
        <v>46093</v>
      </c>
      <c r="D11457" t="inlineStr">
        <is>
          <t>VÄSTERNORRLANDS LÄN</t>
        </is>
      </c>
      <c r="E11457" t="inlineStr">
        <is>
          <t>ÖRNSKÖLDSVIK</t>
        </is>
      </c>
      <c r="F11457" t="inlineStr">
        <is>
          <t>Holmen skog AB</t>
        </is>
      </c>
      <c r="G11457" t="n">
        <v>0.6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11845-2026</t>
        </is>
      </c>
      <c r="B11458" s="1" t="n">
        <v>46085.45684027778</v>
      </c>
      <c r="C11458" s="1" t="n">
        <v>46093</v>
      </c>
      <c r="D11458" t="inlineStr">
        <is>
          <t>VÄSTERNORRLANDS LÄN</t>
        </is>
      </c>
      <c r="E11458" t="inlineStr">
        <is>
          <t>ÖRNSKÖLDSVIK</t>
        </is>
      </c>
      <c r="G11458" t="n">
        <v>0.4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24976-2025</t>
        </is>
      </c>
      <c r="B11459" s="1" t="n">
        <v>45799.59138888889</v>
      </c>
      <c r="C11459" s="1" t="n">
        <v>46093</v>
      </c>
      <c r="D11459" t="inlineStr">
        <is>
          <t>VÄSTERNORRLANDS LÄN</t>
        </is>
      </c>
      <c r="E11459" t="inlineStr">
        <is>
          <t>KRAMFORS</t>
        </is>
      </c>
      <c r="G11459" t="n">
        <v>9.6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24979-2025</t>
        </is>
      </c>
      <c r="B11460" s="1" t="n">
        <v>45799.59546296296</v>
      </c>
      <c r="C11460" s="1" t="n">
        <v>46093</v>
      </c>
      <c r="D11460" t="inlineStr">
        <is>
          <t>VÄSTERNORRLANDS LÄN</t>
        </is>
      </c>
      <c r="E11460" t="inlineStr">
        <is>
          <t>ÖRNSKÖLDSVIK</t>
        </is>
      </c>
      <c r="F11460" t="inlineStr">
        <is>
          <t>Holmen skog AB</t>
        </is>
      </c>
      <c r="G11460" t="n">
        <v>1.1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25331-2025</t>
        </is>
      </c>
      <c r="B11461" s="1" t="n">
        <v>45800.59371527778</v>
      </c>
      <c r="C11461" s="1" t="n">
        <v>46093</v>
      </c>
      <c r="D11461" t="inlineStr">
        <is>
          <t>VÄSTERNORRLANDS LÄN</t>
        </is>
      </c>
      <c r="E11461" t="inlineStr">
        <is>
          <t>ÖRNSKÖLDSVIK</t>
        </is>
      </c>
      <c r="F11461" t="inlineStr">
        <is>
          <t>Holmen skog AB</t>
        </is>
      </c>
      <c r="G11461" t="n">
        <v>5.6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25329-2025</t>
        </is>
      </c>
      <c r="B11462" s="1" t="n">
        <v>45800.58971064815</v>
      </c>
      <c r="C11462" s="1" t="n">
        <v>46093</v>
      </c>
      <c r="D11462" t="inlineStr">
        <is>
          <t>VÄSTERNORRLANDS LÄN</t>
        </is>
      </c>
      <c r="E11462" t="inlineStr">
        <is>
          <t>SUNDSVALL</t>
        </is>
      </c>
      <c r="G11462" t="n">
        <v>0.6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24852-2025</t>
        </is>
      </c>
      <c r="B11463" s="1" t="n">
        <v>45799.46975694445</v>
      </c>
      <c r="C11463" s="1" t="n">
        <v>46093</v>
      </c>
      <c r="D11463" t="inlineStr">
        <is>
          <t>VÄSTERNORRLANDS LÄN</t>
        </is>
      </c>
      <c r="E11463" t="inlineStr">
        <is>
          <t>ÅNGE</t>
        </is>
      </c>
      <c r="F11463" t="inlineStr">
        <is>
          <t>SCA</t>
        </is>
      </c>
      <c r="G11463" t="n">
        <v>0.8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3744-2026</t>
        </is>
      </c>
      <c r="B11464" s="1" t="n">
        <v>46043</v>
      </c>
      <c r="C11464" s="1" t="n">
        <v>46093</v>
      </c>
      <c r="D11464" t="inlineStr">
        <is>
          <t>VÄSTERNORRLANDS LÄN</t>
        </is>
      </c>
      <c r="E11464" t="inlineStr">
        <is>
          <t>SUNDSVALL</t>
        </is>
      </c>
      <c r="G11464" t="n">
        <v>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24854-2025</t>
        </is>
      </c>
      <c r="B11465" s="1" t="n">
        <v>45799.47362268518</v>
      </c>
      <c r="C11465" s="1" t="n">
        <v>46093</v>
      </c>
      <c r="D11465" t="inlineStr">
        <is>
          <t>VÄSTERNORRLANDS LÄN</t>
        </is>
      </c>
      <c r="E11465" t="inlineStr">
        <is>
          <t>ÖRNSKÖLDSVIK</t>
        </is>
      </c>
      <c r="F11465" t="inlineStr">
        <is>
          <t>Holmen skog AB</t>
        </is>
      </c>
      <c r="G11465" t="n">
        <v>1.2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25722-2025</t>
        </is>
      </c>
      <c r="B11466" s="1" t="n">
        <v>45800</v>
      </c>
      <c r="C11466" s="1" t="n">
        <v>46093</v>
      </c>
      <c r="D11466" t="inlineStr">
        <is>
          <t>VÄSTERNORRLANDS LÄN</t>
        </is>
      </c>
      <c r="E11466" t="inlineStr">
        <is>
          <t>SUNDSVALL</t>
        </is>
      </c>
      <c r="G11466" t="n">
        <v>1.5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25008-2025</t>
        </is>
      </c>
      <c r="B11467" s="1" t="n">
        <v>45799.62751157407</v>
      </c>
      <c r="C11467" s="1" t="n">
        <v>46093</v>
      </c>
      <c r="D11467" t="inlineStr">
        <is>
          <t>VÄSTERNORRLANDS LÄN</t>
        </is>
      </c>
      <c r="E11467" t="inlineStr">
        <is>
          <t>ÖRNSKÖLDSVIK</t>
        </is>
      </c>
      <c r="F11467" t="inlineStr">
        <is>
          <t>Holmen skog AB</t>
        </is>
      </c>
      <c r="G11467" t="n">
        <v>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25039-2025</t>
        </is>
      </c>
      <c r="B11468" s="1" t="n">
        <v>45799.65723379629</v>
      </c>
      <c r="C11468" s="1" t="n">
        <v>46093</v>
      </c>
      <c r="D11468" t="inlineStr">
        <is>
          <t>VÄSTERNORRLANDS LÄN</t>
        </is>
      </c>
      <c r="E11468" t="inlineStr">
        <is>
          <t>KRAMFORS</t>
        </is>
      </c>
      <c r="F11468" t="inlineStr">
        <is>
          <t>SCA</t>
        </is>
      </c>
      <c r="G11468" t="n">
        <v>1.1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24847-2025</t>
        </is>
      </c>
      <c r="B11469" s="1" t="n">
        <v>45799.46907407408</v>
      </c>
      <c r="C11469" s="1" t="n">
        <v>46093</v>
      </c>
      <c r="D11469" t="inlineStr">
        <is>
          <t>VÄSTERNORRLANDS LÄN</t>
        </is>
      </c>
      <c r="E11469" t="inlineStr">
        <is>
          <t>ÅNGE</t>
        </is>
      </c>
      <c r="F11469" t="inlineStr">
        <is>
          <t>SCA</t>
        </is>
      </c>
      <c r="G11469" t="n">
        <v>0.6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25067-2025</t>
        </is>
      </c>
      <c r="B11470" s="1" t="n">
        <v>45799.71908564815</v>
      </c>
      <c r="C11470" s="1" t="n">
        <v>46093</v>
      </c>
      <c r="D11470" t="inlineStr">
        <is>
          <t>VÄSTERNORRLANDS LÄN</t>
        </is>
      </c>
      <c r="E11470" t="inlineStr">
        <is>
          <t>ÅNGE</t>
        </is>
      </c>
      <c r="F11470" t="inlineStr">
        <is>
          <t>SCA</t>
        </is>
      </c>
      <c r="G11470" t="n">
        <v>1.9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25145-2025</t>
        </is>
      </c>
      <c r="B11471" s="1" t="n">
        <v>45800</v>
      </c>
      <c r="C11471" s="1" t="n">
        <v>46093</v>
      </c>
      <c r="D11471" t="inlineStr">
        <is>
          <t>VÄSTERNORRLANDS LÄN</t>
        </is>
      </c>
      <c r="E11471" t="inlineStr">
        <is>
          <t>SOLLEFTEÅ</t>
        </is>
      </c>
      <c r="G11471" t="n">
        <v>8.800000000000001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730-2025</t>
        </is>
      </c>
      <c r="B11472" s="1" t="n">
        <v>45665</v>
      </c>
      <c r="C11472" s="1" t="n">
        <v>46093</v>
      </c>
      <c r="D11472" t="inlineStr">
        <is>
          <t>VÄSTERNORRLANDS LÄN</t>
        </is>
      </c>
      <c r="E11472" t="inlineStr">
        <is>
          <t>SUNDSVALL</t>
        </is>
      </c>
      <c r="G11472" t="n">
        <v>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3627-2026</t>
        </is>
      </c>
      <c r="B11473" s="1" t="n">
        <v>46043</v>
      </c>
      <c r="C11473" s="1" t="n">
        <v>46093</v>
      </c>
      <c r="D11473" t="inlineStr">
        <is>
          <t>VÄSTERNORRLANDS LÄN</t>
        </is>
      </c>
      <c r="E11473" t="inlineStr">
        <is>
          <t>ÖRNSKÖLDSVIK</t>
        </is>
      </c>
      <c r="F11473" t="inlineStr">
        <is>
          <t>Holmen skog AB</t>
        </is>
      </c>
      <c r="G11473" t="n">
        <v>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3631-2026</t>
        </is>
      </c>
      <c r="B11474" s="1" t="n">
        <v>46043</v>
      </c>
      <c r="C11474" s="1" t="n">
        <v>46093</v>
      </c>
      <c r="D11474" t="inlineStr">
        <is>
          <t>VÄSTERNORRLANDS LÄN</t>
        </is>
      </c>
      <c r="E11474" t="inlineStr">
        <is>
          <t>ÖRNSKÖLDSVIK</t>
        </is>
      </c>
      <c r="F11474" t="inlineStr">
        <is>
          <t>Holmen skog AB</t>
        </is>
      </c>
      <c r="G11474" t="n">
        <v>2.6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4263-2026</t>
        </is>
      </c>
      <c r="B11475" s="1" t="n">
        <v>46045.34451388889</v>
      </c>
      <c r="C11475" s="1" t="n">
        <v>46093</v>
      </c>
      <c r="D11475" t="inlineStr">
        <is>
          <t>VÄSTERNORRLANDS LÄN</t>
        </is>
      </c>
      <c r="E11475" t="inlineStr">
        <is>
          <t>ÅNGE</t>
        </is>
      </c>
      <c r="F11475" t="inlineStr">
        <is>
          <t>SCA</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24787-2025</t>
        </is>
      </c>
      <c r="B11476" s="1" t="n">
        <v>45799.42791666667</v>
      </c>
      <c r="C11476" s="1" t="n">
        <v>46093</v>
      </c>
      <c r="D11476" t="inlineStr">
        <is>
          <t>VÄSTERNORRLANDS LÄN</t>
        </is>
      </c>
      <c r="E11476" t="inlineStr">
        <is>
          <t>SOLLEFTEÅ</t>
        </is>
      </c>
      <c r="F11476" t="inlineStr">
        <is>
          <t>SCA</t>
        </is>
      </c>
      <c r="G11476" t="n">
        <v>3.4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12209-2026</t>
        </is>
      </c>
      <c r="B11477" s="1" t="n">
        <v>46087.34435185185</v>
      </c>
      <c r="C11477" s="1" t="n">
        <v>46093</v>
      </c>
      <c r="D11477" t="inlineStr">
        <is>
          <t>VÄSTERNORRLANDS LÄN</t>
        </is>
      </c>
      <c r="E11477" t="inlineStr">
        <is>
          <t>SOLLEFTEÅ</t>
        </is>
      </c>
      <c r="F11477" t="inlineStr">
        <is>
          <t>SCA</t>
        </is>
      </c>
      <c r="G11477" t="n">
        <v>2.7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59371-2022</t>
        </is>
      </c>
      <c r="B11478" s="1" t="n">
        <v>44904</v>
      </c>
      <c r="C11478" s="1" t="n">
        <v>46093</v>
      </c>
      <c r="D11478" t="inlineStr">
        <is>
          <t>VÄSTERNORRLANDS LÄN</t>
        </is>
      </c>
      <c r="E11478" t="inlineStr">
        <is>
          <t>SOLLEFTEÅ</t>
        </is>
      </c>
      <c r="F11478" t="inlineStr">
        <is>
          <t>SCA</t>
        </is>
      </c>
      <c r="G11478" t="n">
        <v>4.8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12211-2026</t>
        </is>
      </c>
      <c r="B11479" s="1" t="n">
        <v>46087.34467592592</v>
      </c>
      <c r="C11479" s="1" t="n">
        <v>46093</v>
      </c>
      <c r="D11479" t="inlineStr">
        <is>
          <t>VÄSTERNORRLANDS LÄN</t>
        </is>
      </c>
      <c r="E11479" t="inlineStr">
        <is>
          <t>SOLLEFTEÅ</t>
        </is>
      </c>
      <c r="F11479" t="inlineStr">
        <is>
          <t>SCA</t>
        </is>
      </c>
      <c r="G11479" t="n">
        <v>4.3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25347-2025</t>
        </is>
      </c>
      <c r="B11480" s="1" t="n">
        <v>45800.61166666666</v>
      </c>
      <c r="C11480" s="1" t="n">
        <v>46093</v>
      </c>
      <c r="D11480" t="inlineStr">
        <is>
          <t>VÄSTERNORRLANDS LÄN</t>
        </is>
      </c>
      <c r="E11480" t="inlineStr">
        <is>
          <t>ÖRNSKÖLDSVIK</t>
        </is>
      </c>
      <c r="F11480" t="inlineStr">
        <is>
          <t>Holmen skog AB</t>
        </is>
      </c>
      <c r="G11480" t="n">
        <v>0.8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4524-2026</t>
        </is>
      </c>
      <c r="B11481" s="1" t="n">
        <v>46046.63605324074</v>
      </c>
      <c r="C11481" s="1" t="n">
        <v>46093</v>
      </c>
      <c r="D11481" t="inlineStr">
        <is>
          <t>VÄSTERNORRLANDS LÄN</t>
        </is>
      </c>
      <c r="E11481" t="inlineStr">
        <is>
          <t>KRAMFORS</t>
        </is>
      </c>
      <c r="G11481" t="n">
        <v>5.1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4525-2026</t>
        </is>
      </c>
      <c r="B11482" s="1" t="n">
        <v>46046.63609953703</v>
      </c>
      <c r="C11482" s="1" t="n">
        <v>46093</v>
      </c>
      <c r="D11482" t="inlineStr">
        <is>
          <t>VÄSTERNORRLANDS LÄN</t>
        </is>
      </c>
      <c r="E11482" t="inlineStr">
        <is>
          <t>KRAMFORS</t>
        </is>
      </c>
      <c r="G11482" t="n">
        <v>4.7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4534-2026</t>
        </is>
      </c>
      <c r="B11483" s="1" t="n">
        <v>46046.67746527777</v>
      </c>
      <c r="C11483" s="1" t="n">
        <v>46093</v>
      </c>
      <c r="D11483" t="inlineStr">
        <is>
          <t>VÄSTERNORRLANDS LÄN</t>
        </is>
      </c>
      <c r="E11483" t="inlineStr">
        <is>
          <t>HÄRNÖSAND</t>
        </is>
      </c>
      <c r="G11483" t="n">
        <v>4.9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4557-2026</t>
        </is>
      </c>
      <c r="B11484" s="1" t="n">
        <v>46047</v>
      </c>
      <c r="C11484" s="1" t="n">
        <v>46093</v>
      </c>
      <c r="D11484" t="inlineStr">
        <is>
          <t>VÄSTERNORRLANDS LÄN</t>
        </is>
      </c>
      <c r="E11484" t="inlineStr">
        <is>
          <t>HÄRNÖSAND</t>
        </is>
      </c>
      <c r="G11484" t="n">
        <v>1.7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4561-2026</t>
        </is>
      </c>
      <c r="B11485" s="1" t="n">
        <v>46047</v>
      </c>
      <c r="C11485" s="1" t="n">
        <v>46093</v>
      </c>
      <c r="D11485" t="inlineStr">
        <is>
          <t>VÄSTERNORRLANDS LÄN</t>
        </is>
      </c>
      <c r="E11485" t="inlineStr">
        <is>
          <t>SUNDSVALL</t>
        </is>
      </c>
      <c r="G11485" t="n">
        <v>1.1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20975-2022</t>
        </is>
      </c>
      <c r="B11486" s="1" t="n">
        <v>44701</v>
      </c>
      <c r="C11486" s="1" t="n">
        <v>46093</v>
      </c>
      <c r="D11486" t="inlineStr">
        <is>
          <t>VÄSTERNORRLANDS LÄN</t>
        </is>
      </c>
      <c r="E11486" t="inlineStr">
        <is>
          <t>SUNDSVALL</t>
        </is>
      </c>
      <c r="F11486" t="inlineStr">
        <is>
          <t>SCA</t>
        </is>
      </c>
      <c r="G11486" t="n">
        <v>4.6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25939-2025</t>
        </is>
      </c>
      <c r="B11487" s="1" t="n">
        <v>45804.5943287037</v>
      </c>
      <c r="C11487" s="1" t="n">
        <v>46093</v>
      </c>
      <c r="D11487" t="inlineStr">
        <is>
          <t>VÄSTERNORRLANDS LÄN</t>
        </is>
      </c>
      <c r="E11487" t="inlineStr">
        <is>
          <t>SOLLEFTEÅ</t>
        </is>
      </c>
      <c r="F11487" t="inlineStr">
        <is>
          <t>SCA</t>
        </is>
      </c>
      <c r="G11487" t="n">
        <v>11.3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52651-2021</t>
        </is>
      </c>
      <c r="B11488" s="1" t="n">
        <v>44466.65153935185</v>
      </c>
      <c r="C11488" s="1" t="n">
        <v>46093</v>
      </c>
      <c r="D11488" t="inlineStr">
        <is>
          <t>VÄSTERNORRLANDS LÄN</t>
        </is>
      </c>
      <c r="E11488" t="inlineStr">
        <is>
          <t>SUNDSVALL</t>
        </is>
      </c>
      <c r="G11488" t="n">
        <v>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12553-2026</t>
        </is>
      </c>
      <c r="B11489" s="1" t="n">
        <v>46090.63738425926</v>
      </c>
      <c r="C11489" s="1" t="n">
        <v>46093</v>
      </c>
      <c r="D11489" t="inlineStr">
        <is>
          <t>VÄSTERNORRLANDS LÄN</t>
        </is>
      </c>
      <c r="E11489" t="inlineStr">
        <is>
          <t>ÅNGE</t>
        </is>
      </c>
      <c r="G11489" t="n">
        <v>1.7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25586-2025</t>
        </is>
      </c>
      <c r="B11490" s="1" t="n">
        <v>45803</v>
      </c>
      <c r="C11490" s="1" t="n">
        <v>46093</v>
      </c>
      <c r="D11490" t="inlineStr">
        <is>
          <t>VÄSTERNORRLANDS LÄN</t>
        </is>
      </c>
      <c r="E11490" t="inlineStr">
        <is>
          <t>SUNDSVALL</t>
        </is>
      </c>
      <c r="G11490" t="n">
        <v>3.5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25532-2025</t>
        </is>
      </c>
      <c r="B11491" s="1" t="n">
        <v>45803.4065162037</v>
      </c>
      <c r="C11491" s="1" t="n">
        <v>46093</v>
      </c>
      <c r="D11491" t="inlineStr">
        <is>
          <t>VÄSTERNORRLANDS LÄN</t>
        </is>
      </c>
      <c r="E11491" t="inlineStr">
        <is>
          <t>ÅNGE</t>
        </is>
      </c>
      <c r="F11491" t="inlineStr">
        <is>
          <t>SCA</t>
        </is>
      </c>
      <c r="G11491" t="n">
        <v>2.5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25541-2025</t>
        </is>
      </c>
      <c r="B11492" s="1" t="n">
        <v>45803.42711805556</v>
      </c>
      <c r="C11492" s="1" t="n">
        <v>46093</v>
      </c>
      <c r="D11492" t="inlineStr">
        <is>
          <t>VÄSTERNORRLANDS LÄN</t>
        </is>
      </c>
      <c r="E11492" t="inlineStr">
        <is>
          <t>HÄRNÖSAND</t>
        </is>
      </c>
      <c r="G11492" t="n">
        <v>2.3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25781-2025</t>
        </is>
      </c>
      <c r="B11493" s="1" t="n">
        <v>45804.36385416667</v>
      </c>
      <c r="C11493" s="1" t="n">
        <v>46093</v>
      </c>
      <c r="D11493" t="inlineStr">
        <is>
          <t>VÄSTERNORRLANDS LÄN</t>
        </is>
      </c>
      <c r="E11493" t="inlineStr">
        <is>
          <t>ÖRNSKÖLDSVIK</t>
        </is>
      </c>
      <c r="F11493" t="inlineStr">
        <is>
          <t>Holmen skog AB</t>
        </is>
      </c>
      <c r="G11493" t="n">
        <v>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4591-2026</t>
        </is>
      </c>
      <c r="B11494" s="1" t="n">
        <v>46048.34443287037</v>
      </c>
      <c r="C11494" s="1" t="n">
        <v>46093</v>
      </c>
      <c r="D11494" t="inlineStr">
        <is>
          <t>VÄSTERNORRLANDS LÄN</t>
        </is>
      </c>
      <c r="E11494" t="inlineStr">
        <is>
          <t>ÅNGE</t>
        </is>
      </c>
      <c r="F11494" t="inlineStr">
        <is>
          <t>SCA</t>
        </is>
      </c>
      <c r="G11494" t="n">
        <v>1.7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4593-2026</t>
        </is>
      </c>
      <c r="B11495" s="1" t="n">
        <v>46048.3446412037</v>
      </c>
      <c r="C11495" s="1" t="n">
        <v>46093</v>
      </c>
      <c r="D11495" t="inlineStr">
        <is>
          <t>VÄSTERNORRLANDS LÄN</t>
        </is>
      </c>
      <c r="E11495" t="inlineStr">
        <is>
          <t>ÅNGE</t>
        </is>
      </c>
      <c r="F11495" t="inlineStr">
        <is>
          <t>SCA</t>
        </is>
      </c>
      <c r="G11495" t="n">
        <v>6.8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34118-2022</t>
        </is>
      </c>
      <c r="B11496" s="1" t="n">
        <v>44791</v>
      </c>
      <c r="C11496" s="1" t="n">
        <v>46093</v>
      </c>
      <c r="D11496" t="inlineStr">
        <is>
          <t>VÄSTERNORRLANDS LÄN</t>
        </is>
      </c>
      <c r="E11496" t="inlineStr">
        <is>
          <t>SUNDSVALL</t>
        </is>
      </c>
      <c r="G11496" t="n">
        <v>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48931-2022</t>
        </is>
      </c>
      <c r="B11497" s="1" t="n">
        <v>44859</v>
      </c>
      <c r="C11497" s="1" t="n">
        <v>46093</v>
      </c>
      <c r="D11497" t="inlineStr">
        <is>
          <t>VÄSTERNORRLANDS LÄN</t>
        </is>
      </c>
      <c r="E11497" t="inlineStr">
        <is>
          <t>SUNDSVALL</t>
        </is>
      </c>
      <c r="F11497" t="inlineStr">
        <is>
          <t>SCA</t>
        </is>
      </c>
      <c r="G11497" t="n">
        <v>2.2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30307-2023</t>
        </is>
      </c>
      <c r="B11498" s="1" t="n">
        <v>45110.94157407407</v>
      </c>
      <c r="C11498" s="1" t="n">
        <v>46093</v>
      </c>
      <c r="D11498" t="inlineStr">
        <is>
          <t>VÄSTERNORRLANDS LÄN</t>
        </is>
      </c>
      <c r="E11498" t="inlineStr">
        <is>
          <t>SUNDSVALL</t>
        </is>
      </c>
      <c r="F11498" t="inlineStr">
        <is>
          <t>SCA</t>
        </is>
      </c>
      <c r="G11498" t="n">
        <v>2.8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25810-2025</t>
        </is>
      </c>
      <c r="B11499" s="1" t="n">
        <v>45804.42083333333</v>
      </c>
      <c r="C11499" s="1" t="n">
        <v>46093</v>
      </c>
      <c r="D11499" t="inlineStr">
        <is>
          <t>VÄSTERNORRLANDS LÄN</t>
        </is>
      </c>
      <c r="E11499" t="inlineStr">
        <is>
          <t>ÅNGE</t>
        </is>
      </c>
      <c r="G11499" t="n">
        <v>6.2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4551-2026</t>
        </is>
      </c>
      <c r="B11500" s="1" t="n">
        <v>46047</v>
      </c>
      <c r="C11500" s="1" t="n">
        <v>46093</v>
      </c>
      <c r="D11500" t="inlineStr">
        <is>
          <t>VÄSTERNORRLANDS LÄN</t>
        </is>
      </c>
      <c r="E11500" t="inlineStr">
        <is>
          <t>KRAMFORS</t>
        </is>
      </c>
      <c r="G11500" t="n">
        <v>2.3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4552-2026</t>
        </is>
      </c>
      <c r="B11501" s="1" t="n">
        <v>46047.57333333333</v>
      </c>
      <c r="C11501" s="1" t="n">
        <v>46093</v>
      </c>
      <c r="D11501" t="inlineStr">
        <is>
          <t>VÄSTERNORRLANDS LÄN</t>
        </is>
      </c>
      <c r="E11501" t="inlineStr">
        <is>
          <t>KRAMFORS</t>
        </is>
      </c>
      <c r="G11501" t="n">
        <v>1.9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31863-2024</t>
        </is>
      </c>
      <c r="B11502" s="1" t="n">
        <v>45509.74121527778</v>
      </c>
      <c r="C11502" s="1" t="n">
        <v>46093</v>
      </c>
      <c r="D11502" t="inlineStr">
        <is>
          <t>VÄSTERNORRLANDS LÄN</t>
        </is>
      </c>
      <c r="E11502" t="inlineStr">
        <is>
          <t>ÅNGE</t>
        </is>
      </c>
      <c r="G11502" t="n">
        <v>4.5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53651-2023</t>
        </is>
      </c>
      <c r="B11503" s="1" t="n">
        <v>45230.60815972222</v>
      </c>
      <c r="C11503" s="1" t="n">
        <v>46093</v>
      </c>
      <c r="D11503" t="inlineStr">
        <is>
          <t>VÄSTERNORRLANDS LÄN</t>
        </is>
      </c>
      <c r="E11503" t="inlineStr">
        <is>
          <t>ÅNGE</t>
        </is>
      </c>
      <c r="F11503" t="inlineStr">
        <is>
          <t>Holmen skog AB</t>
        </is>
      </c>
      <c r="G11503" t="n">
        <v>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25506-2025</t>
        </is>
      </c>
      <c r="B11504" s="1" t="n">
        <v>45803.35229166667</v>
      </c>
      <c r="C11504" s="1" t="n">
        <v>46093</v>
      </c>
      <c r="D11504" t="inlineStr">
        <is>
          <t>VÄSTERNORRLANDS LÄN</t>
        </is>
      </c>
      <c r="E11504" t="inlineStr">
        <is>
          <t>ÖRNSKÖLDSVIK</t>
        </is>
      </c>
      <c r="G11504" t="n">
        <v>1.4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25544-2025</t>
        </is>
      </c>
      <c r="B11505" s="1" t="n">
        <v>45803.43177083333</v>
      </c>
      <c r="C11505" s="1" t="n">
        <v>46093</v>
      </c>
      <c r="D11505" t="inlineStr">
        <is>
          <t>VÄSTERNORRLANDS LÄN</t>
        </is>
      </c>
      <c r="E11505" t="inlineStr">
        <is>
          <t>ÖRNSKÖLDSVIK</t>
        </is>
      </c>
      <c r="G11505" t="n">
        <v>3.6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4665-2026</t>
        </is>
      </c>
      <c r="B11506" s="1" t="n">
        <v>46048.41247685185</v>
      </c>
      <c r="C11506" s="1" t="n">
        <v>46093</v>
      </c>
      <c r="D11506" t="inlineStr">
        <is>
          <t>VÄSTERNORRLANDS LÄN</t>
        </is>
      </c>
      <c r="E11506" t="inlineStr">
        <is>
          <t>ÖRNSKÖLDSVIK</t>
        </is>
      </c>
      <c r="G11506" t="n">
        <v>5.8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4974-2026</t>
        </is>
      </c>
      <c r="B11507" s="1" t="n">
        <v>46048</v>
      </c>
      <c r="C11507" s="1" t="n">
        <v>46093</v>
      </c>
      <c r="D11507" t="inlineStr">
        <is>
          <t>VÄSTERNORRLANDS LÄN</t>
        </is>
      </c>
      <c r="E11507" t="inlineStr">
        <is>
          <t>ÖRNSKÖLDSVIK</t>
        </is>
      </c>
      <c r="G11507" t="n">
        <v>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56647-2024</t>
        </is>
      </c>
      <c r="B11508" s="1" t="n">
        <v>45625.76469907408</v>
      </c>
      <c r="C11508" s="1" t="n">
        <v>46093</v>
      </c>
      <c r="D11508" t="inlineStr">
        <is>
          <t>VÄSTERNORRLANDS LÄN</t>
        </is>
      </c>
      <c r="E11508" t="inlineStr">
        <is>
          <t>SUNDSVALL</t>
        </is>
      </c>
      <c r="G11508" t="n">
        <v>5.3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25998-2025</t>
        </is>
      </c>
      <c r="B11509" s="1" t="n">
        <v>45804.66194444444</v>
      </c>
      <c r="C11509" s="1" t="n">
        <v>46093</v>
      </c>
      <c r="D11509" t="inlineStr">
        <is>
          <t>VÄSTERNORRLANDS LÄN</t>
        </is>
      </c>
      <c r="E11509" t="inlineStr">
        <is>
          <t>ÖRNSKÖLDSVIK</t>
        </is>
      </c>
      <c r="F11509" t="inlineStr">
        <is>
          <t>Holmen skog AB</t>
        </is>
      </c>
      <c r="G11509" t="n">
        <v>2.7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12561-2026</t>
        </is>
      </c>
      <c r="B11510" s="1" t="n">
        <v>46090.64583333334</v>
      </c>
      <c r="C11510" s="1" t="n">
        <v>46093</v>
      </c>
      <c r="D11510" t="inlineStr">
        <is>
          <t>VÄSTERNORRLANDS LÄN</t>
        </is>
      </c>
      <c r="E11510" t="inlineStr">
        <is>
          <t>KRAMFORS</t>
        </is>
      </c>
      <c r="G11510" t="n">
        <v>5.8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26012-2025</t>
        </is>
      </c>
      <c r="B11511" s="1" t="n">
        <v>45804.67744212963</v>
      </c>
      <c r="C11511" s="1" t="n">
        <v>46093</v>
      </c>
      <c r="D11511" t="inlineStr">
        <is>
          <t>VÄSTERNORRLANDS LÄN</t>
        </is>
      </c>
      <c r="E11511" t="inlineStr">
        <is>
          <t>SUNDSVALL</t>
        </is>
      </c>
      <c r="F11511" t="inlineStr">
        <is>
          <t>SCA</t>
        </is>
      </c>
      <c r="G11511" t="n">
        <v>2.1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4221-2026</t>
        </is>
      </c>
      <c r="B11512" s="1" t="n">
        <v>46044.81230324074</v>
      </c>
      <c r="C11512" s="1" t="n">
        <v>46093</v>
      </c>
      <c r="D11512" t="inlineStr">
        <is>
          <t>VÄSTERNORRLANDS LÄN</t>
        </is>
      </c>
      <c r="E11512" t="inlineStr">
        <is>
          <t>ÖRNSKÖLDSVIK</t>
        </is>
      </c>
      <c r="G11512" t="n">
        <v>5.8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25495-2025</t>
        </is>
      </c>
      <c r="B11513" s="1" t="n">
        <v>45803.33739583333</v>
      </c>
      <c r="C11513" s="1" t="n">
        <v>46093</v>
      </c>
      <c r="D11513" t="inlineStr">
        <is>
          <t>VÄSTERNORRLANDS LÄN</t>
        </is>
      </c>
      <c r="E11513" t="inlineStr">
        <is>
          <t>ÖRNSKÖLDSVIK</t>
        </is>
      </c>
      <c r="F11513" t="inlineStr">
        <is>
          <t>Holmen skog AB</t>
        </is>
      </c>
      <c r="G11513" t="n">
        <v>5.5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25517-2025</t>
        </is>
      </c>
      <c r="B11514" s="1" t="n">
        <v>45803.37570601852</v>
      </c>
      <c r="C11514" s="1" t="n">
        <v>46093</v>
      </c>
      <c r="D11514" t="inlineStr">
        <is>
          <t>VÄSTERNORRLANDS LÄN</t>
        </is>
      </c>
      <c r="E11514" t="inlineStr">
        <is>
          <t>SOLLEFTEÅ</t>
        </is>
      </c>
      <c r="G11514" t="n">
        <v>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25535-2025</t>
        </is>
      </c>
      <c r="B11515" s="1" t="n">
        <v>45803.40673611111</v>
      </c>
      <c r="C11515" s="1" t="n">
        <v>46093</v>
      </c>
      <c r="D11515" t="inlineStr">
        <is>
          <t>VÄSTERNORRLANDS LÄN</t>
        </is>
      </c>
      <c r="E11515" t="inlineStr">
        <is>
          <t>KRAMFORS</t>
        </is>
      </c>
      <c r="G11515" t="n">
        <v>3.8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1826-2026</t>
        </is>
      </c>
      <c r="B11516" s="1" t="n">
        <v>46035</v>
      </c>
      <c r="C11516" s="1" t="n">
        <v>46093</v>
      </c>
      <c r="D11516" t="inlineStr">
        <is>
          <t>VÄSTERNORRLANDS LÄN</t>
        </is>
      </c>
      <c r="E11516" t="inlineStr">
        <is>
          <t>ÅNGE</t>
        </is>
      </c>
      <c r="G11516" t="n">
        <v>3.1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25833-2025</t>
        </is>
      </c>
      <c r="B11517" s="1" t="n">
        <v>45804.44827546296</v>
      </c>
      <c r="C11517" s="1" t="n">
        <v>46093</v>
      </c>
      <c r="D11517" t="inlineStr">
        <is>
          <t>VÄSTERNORRLANDS LÄN</t>
        </is>
      </c>
      <c r="E11517" t="inlineStr">
        <is>
          <t>SOLLEFTEÅ</t>
        </is>
      </c>
      <c r="F11517" t="inlineStr">
        <is>
          <t>SCA</t>
        </is>
      </c>
      <c r="G11517" t="n">
        <v>3.6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25856-2025</t>
        </is>
      </c>
      <c r="B11518" s="1" t="n">
        <v>45804.46944444445</v>
      </c>
      <c r="C11518" s="1" t="n">
        <v>46093</v>
      </c>
      <c r="D11518" t="inlineStr">
        <is>
          <t>VÄSTERNORRLANDS LÄN</t>
        </is>
      </c>
      <c r="E11518" t="inlineStr">
        <is>
          <t>SOLLEFTEÅ</t>
        </is>
      </c>
      <c r="F11518" t="inlineStr">
        <is>
          <t>SCA</t>
        </is>
      </c>
      <c r="G11518" t="n">
        <v>2.2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38746-2024</t>
        </is>
      </c>
      <c r="B11519" s="1" t="n">
        <v>45547</v>
      </c>
      <c r="C11519" s="1" t="n">
        <v>46093</v>
      </c>
      <c r="D11519" t="inlineStr">
        <is>
          <t>VÄSTERNORRLANDS LÄN</t>
        </is>
      </c>
      <c r="E11519" t="inlineStr">
        <is>
          <t>ÖRNSKÖLDSVIK</t>
        </is>
      </c>
      <c r="G11519" t="n">
        <v>9.4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9014-2026</t>
        </is>
      </c>
      <c r="B11520" s="1" t="n">
        <v>46069</v>
      </c>
      <c r="C11520" s="1" t="n">
        <v>46093</v>
      </c>
      <c r="D11520" t="inlineStr">
        <is>
          <t>VÄSTERNORRLANDS LÄN</t>
        </is>
      </c>
      <c r="E11520" t="inlineStr">
        <is>
          <t>SOLLEFTEÅ</t>
        </is>
      </c>
      <c r="G11520" t="n">
        <v>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4376-2026</t>
        </is>
      </c>
      <c r="B11521" s="1" t="n">
        <v>46045.55318287037</v>
      </c>
      <c r="C11521" s="1" t="n">
        <v>46093</v>
      </c>
      <c r="D11521" t="inlineStr">
        <is>
          <t>VÄSTERNORRLANDS LÄN</t>
        </is>
      </c>
      <c r="E11521" t="inlineStr">
        <is>
          <t>ÅNGE</t>
        </is>
      </c>
      <c r="F11521" t="inlineStr">
        <is>
          <t>SCA</t>
        </is>
      </c>
      <c r="G11521" t="n">
        <v>9.300000000000001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12583-2026</t>
        </is>
      </c>
      <c r="B11522" s="1" t="n">
        <v>46090.6775462963</v>
      </c>
      <c r="C11522" s="1" t="n">
        <v>46093</v>
      </c>
      <c r="D11522" t="inlineStr">
        <is>
          <t>VÄSTERNORRLANDS LÄN</t>
        </is>
      </c>
      <c r="E11522" t="inlineStr">
        <is>
          <t>SOLLEFTEÅ</t>
        </is>
      </c>
      <c r="F11522" t="inlineStr">
        <is>
          <t>SCA</t>
        </is>
      </c>
      <c r="G11522" t="n">
        <v>2.1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26427-2025</t>
        </is>
      </c>
      <c r="B11523" s="1" t="n">
        <v>45807.38585648148</v>
      </c>
      <c r="C11523" s="1" t="n">
        <v>46093</v>
      </c>
      <c r="D11523" t="inlineStr">
        <is>
          <t>VÄSTERNORRLANDS LÄN</t>
        </is>
      </c>
      <c r="E11523" t="inlineStr">
        <is>
          <t>SUNDSVALL</t>
        </is>
      </c>
      <c r="F11523" t="inlineStr">
        <is>
          <t>Naturvårdsverket</t>
        </is>
      </c>
      <c r="G11523" t="n">
        <v>16.6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25963-2025</t>
        </is>
      </c>
      <c r="B11524" s="1" t="n">
        <v>45804.61568287037</v>
      </c>
      <c r="C11524" s="1" t="n">
        <v>46093</v>
      </c>
      <c r="D11524" t="inlineStr">
        <is>
          <t>VÄSTERNORRLANDS LÄN</t>
        </is>
      </c>
      <c r="E11524" t="inlineStr">
        <is>
          <t>SOLLEFTEÅ</t>
        </is>
      </c>
      <c r="G11524" t="n">
        <v>4.3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12228-2026</t>
        </is>
      </c>
      <c r="B11525" s="1" t="n">
        <v>46087.38587962963</v>
      </c>
      <c r="C11525" s="1" t="n">
        <v>46093</v>
      </c>
      <c r="D11525" t="inlineStr">
        <is>
          <t>VÄSTERNORRLANDS LÄN</t>
        </is>
      </c>
      <c r="E11525" t="inlineStr">
        <is>
          <t>ÖRNSKÖLDSVIK</t>
        </is>
      </c>
      <c r="F11525" t="inlineStr">
        <is>
          <t>SCA</t>
        </is>
      </c>
      <c r="G11525" t="n">
        <v>3.1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12376-2026</t>
        </is>
      </c>
      <c r="B11526" s="1" t="n">
        <v>46090.34447916667</v>
      </c>
      <c r="C11526" s="1" t="n">
        <v>46093</v>
      </c>
      <c r="D11526" t="inlineStr">
        <is>
          <t>VÄSTERNORRLANDS LÄN</t>
        </is>
      </c>
      <c r="E11526" t="inlineStr">
        <is>
          <t>SOLLEFTEÅ</t>
        </is>
      </c>
      <c r="F11526" t="inlineStr">
        <is>
          <t>SCA</t>
        </is>
      </c>
      <c r="G11526" t="n">
        <v>0.7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12398-2026</t>
        </is>
      </c>
      <c r="B11527" s="1" t="n">
        <v>46090.39175925926</v>
      </c>
      <c r="C11527" s="1" t="n">
        <v>46093</v>
      </c>
      <c r="D11527" t="inlineStr">
        <is>
          <t>VÄSTERNORRLANDS LÄN</t>
        </is>
      </c>
      <c r="E11527" t="inlineStr">
        <is>
          <t>ÅNGE</t>
        </is>
      </c>
      <c r="G11527" t="n">
        <v>2.5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12422-2026</t>
        </is>
      </c>
      <c r="B11528" s="1" t="n">
        <v>46088</v>
      </c>
      <c r="C11528" s="1" t="n">
        <v>46093</v>
      </c>
      <c r="D11528" t="inlineStr">
        <is>
          <t>VÄSTERNORRLANDS LÄN</t>
        </is>
      </c>
      <c r="E11528" t="inlineStr">
        <is>
          <t>SOLLEFTEÅ</t>
        </is>
      </c>
      <c r="G11528" t="n">
        <v>1.3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11282-2026</t>
        </is>
      </c>
      <c r="B11529" s="1" t="n">
        <v>46080</v>
      </c>
      <c r="C11529" s="1" t="n">
        <v>46093</v>
      </c>
      <c r="D11529" t="inlineStr">
        <is>
          <t>VÄSTERNORRLANDS LÄN</t>
        </is>
      </c>
      <c r="E11529" t="inlineStr">
        <is>
          <t>SOLLEFTEÅ</t>
        </is>
      </c>
      <c r="G11529" t="n">
        <v>8.699999999999999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36877-2024</t>
        </is>
      </c>
      <c r="B11530" s="1" t="n">
        <v>45538.59418981482</v>
      </c>
      <c r="C11530" s="1" t="n">
        <v>46093</v>
      </c>
      <c r="D11530" t="inlineStr">
        <is>
          <t>VÄSTERNORRLANDS LÄN</t>
        </is>
      </c>
      <c r="E11530" t="inlineStr">
        <is>
          <t>ÅNGE</t>
        </is>
      </c>
      <c r="G11530" t="n">
        <v>3.3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25499-2025</t>
        </is>
      </c>
      <c r="B11531" s="1" t="n">
        <v>45803.344375</v>
      </c>
      <c r="C11531" s="1" t="n">
        <v>46093</v>
      </c>
      <c r="D11531" t="inlineStr">
        <is>
          <t>VÄSTERNORRLANDS LÄN</t>
        </is>
      </c>
      <c r="E11531" t="inlineStr">
        <is>
          <t>ÅNGE</t>
        </is>
      </c>
      <c r="F11531" t="inlineStr">
        <is>
          <t>SCA</t>
        </is>
      </c>
      <c r="G11531" t="n">
        <v>4.9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12210-2026</t>
        </is>
      </c>
      <c r="B11532" s="1" t="n">
        <v>46087.34452546296</v>
      </c>
      <c r="C11532" s="1" t="n">
        <v>46093</v>
      </c>
      <c r="D11532" t="inlineStr">
        <is>
          <t>VÄSTERNORRLANDS LÄN</t>
        </is>
      </c>
      <c r="E11532" t="inlineStr">
        <is>
          <t>SOLLEFTEÅ</t>
        </is>
      </c>
      <c r="F11532" t="inlineStr">
        <is>
          <t>Kyrkan</t>
        </is>
      </c>
      <c r="G11532" t="n">
        <v>5.7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12212-2026</t>
        </is>
      </c>
      <c r="B11533" s="1" t="n">
        <v>46087.34480324074</v>
      </c>
      <c r="C11533" s="1" t="n">
        <v>46093</v>
      </c>
      <c r="D11533" t="inlineStr">
        <is>
          <t>VÄSTERNORRLANDS LÄN</t>
        </is>
      </c>
      <c r="E11533" t="inlineStr">
        <is>
          <t>SOLLEFTEÅ</t>
        </is>
      </c>
      <c r="F11533" t="inlineStr">
        <is>
          <t>SCA</t>
        </is>
      </c>
      <c r="G11533" t="n">
        <v>0.6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12233-2026</t>
        </is>
      </c>
      <c r="B11534" s="1" t="n">
        <v>46087.40685185185</v>
      </c>
      <c r="C11534" s="1" t="n">
        <v>46093</v>
      </c>
      <c r="D11534" t="inlineStr">
        <is>
          <t>VÄSTERNORRLANDS LÄN</t>
        </is>
      </c>
      <c r="E11534" t="inlineStr">
        <is>
          <t>SUNDSVALL</t>
        </is>
      </c>
      <c r="F11534" t="inlineStr">
        <is>
          <t>SCA</t>
        </is>
      </c>
      <c r="G11534" t="n">
        <v>0.8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4437-2026</t>
        </is>
      </c>
      <c r="B11535" s="1" t="n">
        <v>46045.63258101852</v>
      </c>
      <c r="C11535" s="1" t="n">
        <v>46093</v>
      </c>
      <c r="D11535" t="inlineStr">
        <is>
          <t>VÄSTERNORRLANDS LÄN</t>
        </is>
      </c>
      <c r="E11535" t="inlineStr">
        <is>
          <t>SUNDSVALL</t>
        </is>
      </c>
      <c r="G11535" t="n">
        <v>4.4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12286-2026</t>
        </is>
      </c>
      <c r="B11536" s="1" t="n">
        <v>46066</v>
      </c>
      <c r="C11536" s="1" t="n">
        <v>46093</v>
      </c>
      <c r="D11536" t="inlineStr">
        <is>
          <t>VÄSTERNORRLANDS LÄN</t>
        </is>
      </c>
      <c r="E11536" t="inlineStr">
        <is>
          <t>TIMRÅ</t>
        </is>
      </c>
      <c r="G11536" t="n">
        <v>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12287-2026</t>
        </is>
      </c>
      <c r="B11537" s="1" t="n">
        <v>46087.55252314815</v>
      </c>
      <c r="C11537" s="1" t="n">
        <v>46093</v>
      </c>
      <c r="D11537" t="inlineStr">
        <is>
          <t>VÄSTERNORRLANDS LÄN</t>
        </is>
      </c>
      <c r="E11537" t="inlineStr">
        <is>
          <t>ÅNGE</t>
        </is>
      </c>
      <c r="F11537" t="inlineStr">
        <is>
          <t>SCA</t>
        </is>
      </c>
      <c r="G11537" t="n">
        <v>1.1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24483-2025</t>
        </is>
      </c>
      <c r="B11538" s="1" t="n">
        <v>45798</v>
      </c>
      <c r="C11538" s="1" t="n">
        <v>46093</v>
      </c>
      <c r="D11538" t="inlineStr">
        <is>
          <t>VÄSTERNORRLANDS LÄN</t>
        </is>
      </c>
      <c r="E11538" t="inlineStr">
        <is>
          <t>ÖRNSKÖLDSVIK</t>
        </is>
      </c>
      <c r="G11538" t="n">
        <v>1.4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12329-2026</t>
        </is>
      </c>
      <c r="B11539" s="1" t="n">
        <v>46087.61605324074</v>
      </c>
      <c r="C11539" s="1" t="n">
        <v>46093</v>
      </c>
      <c r="D11539" t="inlineStr">
        <is>
          <t>VÄSTERNORRLANDS LÄN</t>
        </is>
      </c>
      <c r="E11539" t="inlineStr">
        <is>
          <t>TIMRÅ</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25772-2025</t>
        </is>
      </c>
      <c r="B11540" s="1" t="n">
        <v>45804.34520833333</v>
      </c>
      <c r="C11540" s="1" t="n">
        <v>46093</v>
      </c>
      <c r="D11540" t="inlineStr">
        <is>
          <t>VÄSTERNORRLANDS LÄN</t>
        </is>
      </c>
      <c r="E11540" t="inlineStr">
        <is>
          <t>ÅNGE</t>
        </is>
      </c>
      <c r="F11540" t="inlineStr">
        <is>
          <t>SCA</t>
        </is>
      </c>
      <c r="G11540" t="n">
        <v>4.7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23950-2021</t>
        </is>
      </c>
      <c r="B11541" s="1" t="n">
        <v>44335</v>
      </c>
      <c r="C11541" s="1" t="n">
        <v>46093</v>
      </c>
      <c r="D11541" t="inlineStr">
        <is>
          <t>VÄSTERNORRLANDS LÄN</t>
        </is>
      </c>
      <c r="E11541" t="inlineStr">
        <is>
          <t>ÖRNSKÖLDSVIK</t>
        </is>
      </c>
      <c r="G11541" t="n">
        <v>1.9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61937-2024</t>
        </is>
      </c>
      <c r="B11542" s="1" t="n">
        <v>45653</v>
      </c>
      <c r="C11542" s="1" t="n">
        <v>46093</v>
      </c>
      <c r="D11542" t="inlineStr">
        <is>
          <t>VÄSTERNORRLANDS LÄN</t>
        </is>
      </c>
      <c r="E11542" t="inlineStr">
        <is>
          <t>ÖRNSKÖLDSVIK</t>
        </is>
      </c>
      <c r="G11542" t="n">
        <v>22.5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4742-2026</t>
        </is>
      </c>
      <c r="B11543" s="1" t="n">
        <v>46045</v>
      </c>
      <c r="C11543" s="1" t="n">
        <v>46093</v>
      </c>
      <c r="D11543" t="inlineStr">
        <is>
          <t>VÄSTERNORRLANDS LÄN</t>
        </is>
      </c>
      <c r="E11543" t="inlineStr">
        <is>
          <t>KRAMFORS</t>
        </is>
      </c>
      <c r="G11543" t="n">
        <v>2.9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12301-2026</t>
        </is>
      </c>
      <c r="B11544" s="1" t="n">
        <v>46087.5733912037</v>
      </c>
      <c r="C11544" s="1" t="n">
        <v>46093</v>
      </c>
      <c r="D11544" t="inlineStr">
        <is>
          <t>VÄSTERNORRLANDS LÄN</t>
        </is>
      </c>
      <c r="E11544" t="inlineStr">
        <is>
          <t>SUNDSVALL</t>
        </is>
      </c>
      <c r="F11544" t="inlineStr">
        <is>
          <t>SCA</t>
        </is>
      </c>
      <c r="G11544" t="n">
        <v>8.4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12315-2026</t>
        </is>
      </c>
      <c r="B11545" s="1" t="n">
        <v>46087.59430555555</v>
      </c>
      <c r="C11545" s="1" t="n">
        <v>46093</v>
      </c>
      <c r="D11545" t="inlineStr">
        <is>
          <t>VÄSTERNORRLANDS LÄN</t>
        </is>
      </c>
      <c r="E11545" t="inlineStr">
        <is>
          <t>SUNDSVALL</t>
        </is>
      </c>
      <c r="F11545" t="inlineStr">
        <is>
          <t>SCA</t>
        </is>
      </c>
      <c r="G11545" t="n">
        <v>47.5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25855-2025</t>
        </is>
      </c>
      <c r="B11546" s="1" t="n">
        <v>45804.46934027778</v>
      </c>
      <c r="C11546" s="1" t="n">
        <v>46093</v>
      </c>
      <c r="D11546" t="inlineStr">
        <is>
          <t>VÄSTERNORRLANDS LÄN</t>
        </is>
      </c>
      <c r="E11546" t="inlineStr">
        <is>
          <t>SOLLEFTEÅ</t>
        </is>
      </c>
      <c r="F11546" t="inlineStr">
        <is>
          <t>SCA</t>
        </is>
      </c>
      <c r="G11546" t="n">
        <v>8.6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25857-2025</t>
        </is>
      </c>
      <c r="B11547" s="1" t="n">
        <v>45804.46956018519</v>
      </c>
      <c r="C11547" s="1" t="n">
        <v>46093</v>
      </c>
      <c r="D11547" t="inlineStr">
        <is>
          <t>VÄSTERNORRLANDS LÄN</t>
        </is>
      </c>
      <c r="E11547" t="inlineStr">
        <is>
          <t>SOLLEFTEÅ</t>
        </is>
      </c>
      <c r="F11547" t="inlineStr">
        <is>
          <t>SCA</t>
        </is>
      </c>
      <c r="G11547" t="n">
        <v>2.4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11158-2026</t>
        </is>
      </c>
      <c r="B11548" s="1" t="n">
        <v>46080</v>
      </c>
      <c r="C11548" s="1" t="n">
        <v>46093</v>
      </c>
      <c r="D11548" t="inlineStr">
        <is>
          <t>VÄSTERNORRLANDS LÄN</t>
        </is>
      </c>
      <c r="E11548" t="inlineStr">
        <is>
          <t>ÅNGE</t>
        </is>
      </c>
      <c r="F11548" t="inlineStr">
        <is>
          <t>SCA</t>
        </is>
      </c>
      <c r="G11548" t="n">
        <v>1.5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11159-2026</t>
        </is>
      </c>
      <c r="B11549" s="1" t="n">
        <v>46080</v>
      </c>
      <c r="C11549" s="1" t="n">
        <v>46093</v>
      </c>
      <c r="D11549" t="inlineStr">
        <is>
          <t>VÄSTERNORRLANDS LÄN</t>
        </is>
      </c>
      <c r="E11549" t="inlineStr">
        <is>
          <t>ÅNGE</t>
        </is>
      </c>
      <c r="F11549" t="inlineStr">
        <is>
          <t>SCA</t>
        </is>
      </c>
      <c r="G11549" t="n">
        <v>2.9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11386-2026</t>
        </is>
      </c>
      <c r="B11550" s="1" t="n">
        <v>46083.42164351852</v>
      </c>
      <c r="C11550" s="1" t="n">
        <v>46093</v>
      </c>
      <c r="D11550" t="inlineStr">
        <is>
          <t>VÄSTERNORRLANDS LÄN</t>
        </is>
      </c>
      <c r="E11550" t="inlineStr">
        <is>
          <t>TIMRÅ</t>
        </is>
      </c>
      <c r="G11550" t="n">
        <v>0.5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25869-2025</t>
        </is>
      </c>
      <c r="B11551" s="1" t="n">
        <v>45804.48995370371</v>
      </c>
      <c r="C11551" s="1" t="n">
        <v>46093</v>
      </c>
      <c r="D11551" t="inlineStr">
        <is>
          <t>VÄSTERNORRLANDS LÄN</t>
        </is>
      </c>
      <c r="E11551" t="inlineStr">
        <is>
          <t>SUNDSVALL</t>
        </is>
      </c>
      <c r="F11551" t="inlineStr">
        <is>
          <t>SCA</t>
        </is>
      </c>
      <c r="G11551" t="n">
        <v>5.4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25574-2025</t>
        </is>
      </c>
      <c r="B11552" s="1" t="n">
        <v>45803</v>
      </c>
      <c r="C11552" s="1" t="n">
        <v>46093</v>
      </c>
      <c r="D11552" t="inlineStr">
        <is>
          <t>VÄSTERNORRLANDS LÄN</t>
        </is>
      </c>
      <c r="E11552" t="inlineStr">
        <is>
          <t>KRAMFORS</t>
        </is>
      </c>
      <c r="G11552" t="n">
        <v>2.9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44343-2024</t>
        </is>
      </c>
      <c r="B11553" s="1" t="n">
        <v>45573</v>
      </c>
      <c r="C11553" s="1" t="n">
        <v>46093</v>
      </c>
      <c r="D11553" t="inlineStr">
        <is>
          <t>VÄSTERNORRLANDS LÄN</t>
        </is>
      </c>
      <c r="E11553" t="inlineStr">
        <is>
          <t>ÖRNSKÖLDSVIK</t>
        </is>
      </c>
      <c r="G11553" t="n">
        <v>9.1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12439-2026</t>
        </is>
      </c>
      <c r="B11554" s="1" t="n">
        <v>46090.47541666667</v>
      </c>
      <c r="C11554" s="1" t="n">
        <v>46093</v>
      </c>
      <c r="D11554" t="inlineStr">
        <is>
          <t>VÄSTERNORRLANDS LÄN</t>
        </is>
      </c>
      <c r="E11554" t="inlineStr">
        <is>
          <t>ÅNGE</t>
        </is>
      </c>
      <c r="G11554" t="n">
        <v>1.8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25510-2025</t>
        </is>
      </c>
      <c r="B11555" s="1" t="n">
        <v>45803.35694444444</v>
      </c>
      <c r="C11555" s="1" t="n">
        <v>46093</v>
      </c>
      <c r="D11555" t="inlineStr">
        <is>
          <t>VÄSTERNORRLANDS LÄN</t>
        </is>
      </c>
      <c r="E11555" t="inlineStr">
        <is>
          <t>ÖRNSKÖLDSVIK</t>
        </is>
      </c>
      <c r="G11555" t="n">
        <v>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4612-2026</t>
        </is>
      </c>
      <c r="B11556" s="1" t="n">
        <v>46048.36509259259</v>
      </c>
      <c r="C11556" s="1" t="n">
        <v>46093</v>
      </c>
      <c r="D11556" t="inlineStr">
        <is>
          <t>VÄSTERNORRLANDS LÄN</t>
        </is>
      </c>
      <c r="E11556" t="inlineStr">
        <is>
          <t>ÅNGE</t>
        </is>
      </c>
      <c r="F11556" t="inlineStr">
        <is>
          <t>SCA</t>
        </is>
      </c>
      <c r="G11556" t="n">
        <v>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4760-2026</t>
        </is>
      </c>
      <c r="B11557" s="1" t="n">
        <v>46048.53760416667</v>
      </c>
      <c r="C11557" s="1" t="n">
        <v>46093</v>
      </c>
      <c r="D11557" t="inlineStr">
        <is>
          <t>VÄSTERNORRLANDS LÄN</t>
        </is>
      </c>
      <c r="E11557" t="inlineStr">
        <is>
          <t>ÖRNSKÖLDSVIK</t>
        </is>
      </c>
      <c r="G11557" t="n">
        <v>0.5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17461-2023</t>
        </is>
      </c>
      <c r="B11558" s="1" t="n">
        <v>45036.33818287037</v>
      </c>
      <c r="C11558" s="1" t="n">
        <v>46093</v>
      </c>
      <c r="D11558" t="inlineStr">
        <is>
          <t>VÄSTERNORRLANDS LÄN</t>
        </is>
      </c>
      <c r="E11558" t="inlineStr">
        <is>
          <t>KRAMFORS</t>
        </is>
      </c>
      <c r="G11558" t="n">
        <v>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18461-2025</t>
        </is>
      </c>
      <c r="B11559" s="1" t="n">
        <v>45762</v>
      </c>
      <c r="C11559" s="1" t="n">
        <v>46093</v>
      </c>
      <c r="D11559" t="inlineStr">
        <is>
          <t>VÄSTERNORRLANDS LÄN</t>
        </is>
      </c>
      <c r="E11559" t="inlineStr">
        <is>
          <t>HÄRNÖSAND</t>
        </is>
      </c>
      <c r="G11559" t="n">
        <v>5.6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43440-2022</t>
        </is>
      </c>
      <c r="B11560" s="1" t="n">
        <v>44834.95118055555</v>
      </c>
      <c r="C11560" s="1" t="n">
        <v>46093</v>
      </c>
      <c r="D11560" t="inlineStr">
        <is>
          <t>VÄSTERNORRLANDS LÄN</t>
        </is>
      </c>
      <c r="E11560" t="inlineStr">
        <is>
          <t>KRAMFORS</t>
        </is>
      </c>
      <c r="F11560" t="inlineStr">
        <is>
          <t>SCA</t>
        </is>
      </c>
      <c r="G11560" t="n">
        <v>1.7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4484-2026</t>
        </is>
      </c>
      <c r="B11561" s="1" t="n">
        <v>46045</v>
      </c>
      <c r="C11561" s="1" t="n">
        <v>46093</v>
      </c>
      <c r="D11561" t="inlineStr">
        <is>
          <t>VÄSTERNORRLANDS LÄN</t>
        </is>
      </c>
      <c r="E11561" t="inlineStr">
        <is>
          <t>SUNDSVALL</t>
        </is>
      </c>
      <c r="G11561" t="n">
        <v>2.8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47897-2022</t>
        </is>
      </c>
      <c r="B11562" s="1" t="n">
        <v>44855</v>
      </c>
      <c r="C11562" s="1" t="n">
        <v>46093</v>
      </c>
      <c r="D11562" t="inlineStr">
        <is>
          <t>VÄSTERNORRLANDS LÄN</t>
        </is>
      </c>
      <c r="E11562" t="inlineStr">
        <is>
          <t>SUNDSVALL</t>
        </is>
      </c>
      <c r="G11562" t="n">
        <v>4.6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5357-2026</t>
        </is>
      </c>
      <c r="B11563" s="1" t="n">
        <v>46048</v>
      </c>
      <c r="C11563" s="1" t="n">
        <v>46093</v>
      </c>
      <c r="D11563" t="inlineStr">
        <is>
          <t>VÄSTERNORRLANDS LÄN</t>
        </is>
      </c>
      <c r="E11563" t="inlineStr">
        <is>
          <t>TIMRÅ</t>
        </is>
      </c>
      <c r="G11563" t="n">
        <v>1.1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5378-2026</t>
        </is>
      </c>
      <c r="B11564" s="1" t="n">
        <v>46048</v>
      </c>
      <c r="C11564" s="1" t="n">
        <v>46093</v>
      </c>
      <c r="D11564" t="inlineStr">
        <is>
          <t>VÄSTERNORRLANDS LÄN</t>
        </is>
      </c>
      <c r="E11564" t="inlineStr">
        <is>
          <t>TIMRÅ</t>
        </is>
      </c>
      <c r="G11564" t="n">
        <v>1.2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25854-2025</t>
        </is>
      </c>
      <c r="B11565" s="1" t="n">
        <v>45804.46920138889</v>
      </c>
      <c r="C11565" s="1" t="n">
        <v>46093</v>
      </c>
      <c r="D11565" t="inlineStr">
        <is>
          <t>VÄSTERNORRLANDS LÄN</t>
        </is>
      </c>
      <c r="E11565" t="inlineStr">
        <is>
          <t>SOLLEFTEÅ</t>
        </is>
      </c>
      <c r="F11565" t="inlineStr">
        <is>
          <t>SCA</t>
        </is>
      </c>
      <c r="G11565" t="n">
        <v>1.7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25873-2025</t>
        </is>
      </c>
      <c r="B11566" s="1" t="n">
        <v>45804.49041666667</v>
      </c>
      <c r="C11566" s="1" t="n">
        <v>46093</v>
      </c>
      <c r="D11566" t="inlineStr">
        <is>
          <t>VÄSTERNORRLANDS LÄN</t>
        </is>
      </c>
      <c r="E11566" t="inlineStr">
        <is>
          <t>SUNDSVALL</t>
        </is>
      </c>
      <c r="F11566" t="inlineStr">
        <is>
          <t>Naturvårdsverket</t>
        </is>
      </c>
      <c r="G11566" t="n">
        <v>1.3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10433-2026</t>
        </is>
      </c>
      <c r="B11567" s="1" t="n">
        <v>46077.38600694444</v>
      </c>
      <c r="C11567" s="1" t="n">
        <v>46093</v>
      </c>
      <c r="D11567" t="inlineStr">
        <is>
          <t>VÄSTERNORRLANDS LÄN</t>
        </is>
      </c>
      <c r="E11567" t="inlineStr">
        <is>
          <t>SOLLEFTEÅ</t>
        </is>
      </c>
      <c r="F11567" t="inlineStr">
        <is>
          <t>SCA</t>
        </is>
      </c>
      <c r="G11567" t="n">
        <v>6.9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3735-2026</t>
        </is>
      </c>
      <c r="B11568" s="1" t="n">
        <v>46043</v>
      </c>
      <c r="C11568" s="1" t="n">
        <v>46093</v>
      </c>
      <c r="D11568" t="inlineStr">
        <is>
          <t>VÄSTERNORRLANDS LÄN</t>
        </is>
      </c>
      <c r="E11568" t="inlineStr">
        <is>
          <t>KRAMFORS</t>
        </is>
      </c>
      <c r="G11568" t="n">
        <v>2.3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10398-2026</t>
        </is>
      </c>
      <c r="B11569" s="1" t="n">
        <v>46077</v>
      </c>
      <c r="C11569" s="1" t="n">
        <v>46093</v>
      </c>
      <c r="D11569" t="inlineStr">
        <is>
          <t>VÄSTERNORRLANDS LÄN</t>
        </is>
      </c>
      <c r="E11569" t="inlineStr">
        <is>
          <t>ÖRNSKÖLDSVIK</t>
        </is>
      </c>
      <c r="G11569" t="n">
        <v>29.2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15863-2022</t>
        </is>
      </c>
      <c r="B11570" s="1" t="n">
        <v>44664</v>
      </c>
      <c r="C11570" s="1" t="n">
        <v>46093</v>
      </c>
      <c r="D11570" t="inlineStr">
        <is>
          <t>VÄSTERNORRLANDS LÄN</t>
        </is>
      </c>
      <c r="E11570" t="inlineStr">
        <is>
          <t>ÅNGE</t>
        </is>
      </c>
      <c r="G11570" t="n">
        <v>3.6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10949-2026</t>
        </is>
      </c>
      <c r="B11571" s="1" t="n">
        <v>46079</v>
      </c>
      <c r="C11571" s="1" t="n">
        <v>46093</v>
      </c>
      <c r="D11571" t="inlineStr">
        <is>
          <t>VÄSTERNORRLANDS LÄN</t>
        </is>
      </c>
      <c r="E11571" t="inlineStr">
        <is>
          <t>SOLLEFTEÅ</t>
        </is>
      </c>
      <c r="F11571" t="inlineStr">
        <is>
          <t>SCA</t>
        </is>
      </c>
      <c r="G11571" t="n">
        <v>34.7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4879-2026</t>
        </is>
      </c>
      <c r="B11572" s="1" t="n">
        <v>46048.65667824074</v>
      </c>
      <c r="C11572" s="1" t="n">
        <v>46093</v>
      </c>
      <c r="D11572" t="inlineStr">
        <is>
          <t>VÄSTERNORRLANDS LÄN</t>
        </is>
      </c>
      <c r="E11572" t="inlineStr">
        <is>
          <t>KRAMFORS</t>
        </is>
      </c>
      <c r="G11572" t="n">
        <v>2.1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4328-2026</t>
        </is>
      </c>
      <c r="B11573" s="1" t="n">
        <v>46045.46940972222</v>
      </c>
      <c r="C11573" s="1" t="n">
        <v>46093</v>
      </c>
      <c r="D11573" t="inlineStr">
        <is>
          <t>VÄSTERNORRLANDS LÄN</t>
        </is>
      </c>
      <c r="E11573" t="inlineStr">
        <is>
          <t>ÅNGE</t>
        </is>
      </c>
      <c r="G11573" t="n">
        <v>1.8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25834-2025</t>
        </is>
      </c>
      <c r="B11574" s="1" t="n">
        <v>45804.44841435185</v>
      </c>
      <c r="C11574" s="1" t="n">
        <v>46093</v>
      </c>
      <c r="D11574" t="inlineStr">
        <is>
          <t>VÄSTERNORRLANDS LÄN</t>
        </is>
      </c>
      <c r="E11574" t="inlineStr">
        <is>
          <t>SUNDSVALL</t>
        </is>
      </c>
      <c r="F11574" t="inlineStr">
        <is>
          <t>Naturvårdsverket</t>
        </is>
      </c>
      <c r="G11574" t="n">
        <v>1.8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7102-2026</t>
        </is>
      </c>
      <c r="B11575" s="1" t="n">
        <v>46057</v>
      </c>
      <c r="C11575" s="1" t="n">
        <v>46093</v>
      </c>
      <c r="D11575" t="inlineStr">
        <is>
          <t>VÄSTERNORRLANDS LÄN</t>
        </is>
      </c>
      <c r="E11575" t="inlineStr">
        <is>
          <t>KRAMFORS</t>
        </is>
      </c>
      <c r="G11575" t="n">
        <v>1.8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4441-2026</t>
        </is>
      </c>
      <c r="B11576" s="1" t="n">
        <v>46045.63600694444</v>
      </c>
      <c r="C11576" s="1" t="n">
        <v>46093</v>
      </c>
      <c r="D11576" t="inlineStr">
        <is>
          <t>VÄSTERNORRLANDS LÄN</t>
        </is>
      </c>
      <c r="E11576" t="inlineStr">
        <is>
          <t>ÅNGE</t>
        </is>
      </c>
      <c r="F11576" t="inlineStr">
        <is>
          <t>SCA</t>
        </is>
      </c>
      <c r="G11576" t="n">
        <v>4.4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4818-2026</t>
        </is>
      </c>
      <c r="B11577" s="1" t="n">
        <v>46048</v>
      </c>
      <c r="C11577" s="1" t="n">
        <v>46093</v>
      </c>
      <c r="D11577" t="inlineStr">
        <is>
          <t>VÄSTERNORRLANDS LÄN</t>
        </is>
      </c>
      <c r="E11577" t="inlineStr">
        <is>
          <t>SUNDSVALL</t>
        </is>
      </c>
      <c r="F11577" t="inlineStr">
        <is>
          <t>Holmen skog AB</t>
        </is>
      </c>
      <c r="G11577" t="n">
        <v>0.8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64412-2023</t>
        </is>
      </c>
      <c r="B11578" s="1" t="n">
        <v>45280</v>
      </c>
      <c r="C11578" s="1" t="n">
        <v>46093</v>
      </c>
      <c r="D11578" t="inlineStr">
        <is>
          <t>VÄSTERNORRLANDS LÄN</t>
        </is>
      </c>
      <c r="E11578" t="inlineStr">
        <is>
          <t>ÖRNSKÖLDSVIK</t>
        </is>
      </c>
      <c r="G11578" t="n">
        <v>1.4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23644-2023</t>
        </is>
      </c>
      <c r="B11579" s="1" t="n">
        <v>45072</v>
      </c>
      <c r="C11579" s="1" t="n">
        <v>46093</v>
      </c>
      <c r="D11579" t="inlineStr">
        <is>
          <t>VÄSTERNORRLANDS LÄN</t>
        </is>
      </c>
      <c r="E11579" t="inlineStr">
        <is>
          <t>ÖRNSKÖLDSVIK</t>
        </is>
      </c>
      <c r="G11579" t="n">
        <v>2.5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12097-2026</t>
        </is>
      </c>
      <c r="B11580" s="1" t="n">
        <v>46086</v>
      </c>
      <c r="C11580" s="1" t="n">
        <v>46093</v>
      </c>
      <c r="D11580" t="inlineStr">
        <is>
          <t>VÄSTERNORRLANDS LÄN</t>
        </is>
      </c>
      <c r="E11580" t="inlineStr">
        <is>
          <t>TIMRÅ</t>
        </is>
      </c>
      <c r="G11580" t="n">
        <v>0.7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4404-2026</t>
        </is>
      </c>
      <c r="B11581" s="1" t="n">
        <v>46045.59074074074</v>
      </c>
      <c r="C11581" s="1" t="n">
        <v>46093</v>
      </c>
      <c r="D11581" t="inlineStr">
        <is>
          <t>VÄSTERNORRLANDS LÄN</t>
        </is>
      </c>
      <c r="E11581" t="inlineStr">
        <is>
          <t>ÖRNSKÖLDSVIK</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41589-2024</t>
        </is>
      </c>
      <c r="B11582" s="1" t="n">
        <v>45560.56473379629</v>
      </c>
      <c r="C11582" s="1" t="n">
        <v>46093</v>
      </c>
      <c r="D11582" t="inlineStr">
        <is>
          <t>VÄSTERNORRLANDS LÄN</t>
        </is>
      </c>
      <c r="E11582" t="inlineStr">
        <is>
          <t>ÖRNSKÖLDSVIK</t>
        </is>
      </c>
      <c r="G11582" t="n">
        <v>2.6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26134-2025</t>
        </is>
      </c>
      <c r="B11583" s="1" t="n">
        <v>45805.41204861111</v>
      </c>
      <c r="C11583" s="1" t="n">
        <v>46093</v>
      </c>
      <c r="D11583" t="inlineStr">
        <is>
          <t>VÄSTERNORRLANDS LÄN</t>
        </is>
      </c>
      <c r="E11583" t="inlineStr">
        <is>
          <t>KRAMFORS</t>
        </is>
      </c>
      <c r="G11583" t="n">
        <v>15.3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26137-2025</t>
        </is>
      </c>
      <c r="B11584" s="1" t="n">
        <v>45805.41479166667</v>
      </c>
      <c r="C11584" s="1" t="n">
        <v>46093</v>
      </c>
      <c r="D11584" t="inlineStr">
        <is>
          <t>VÄSTERNORRLANDS LÄN</t>
        </is>
      </c>
      <c r="E11584" t="inlineStr">
        <is>
          <t>KRAMFORS</t>
        </is>
      </c>
      <c r="G11584" t="n">
        <v>2.9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10460-2026</t>
        </is>
      </c>
      <c r="B11585" s="1" t="n">
        <v>46077.45758101852</v>
      </c>
      <c r="C11585" s="1" t="n">
        <v>46093</v>
      </c>
      <c r="D11585" t="inlineStr">
        <is>
          <t>VÄSTERNORRLANDS LÄN</t>
        </is>
      </c>
      <c r="E11585" t="inlineStr">
        <is>
          <t>ÖRNSKÖLDSVIK</t>
        </is>
      </c>
      <c r="G11585" t="n">
        <v>17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4532-2026</t>
        </is>
      </c>
      <c r="B11586" s="1" t="n">
        <v>46046.656875</v>
      </c>
      <c r="C11586" s="1" t="n">
        <v>46093</v>
      </c>
      <c r="D11586" t="inlineStr">
        <is>
          <t>VÄSTERNORRLANDS LÄN</t>
        </is>
      </c>
      <c r="E11586" t="inlineStr">
        <is>
          <t>HÄRNÖSAND</t>
        </is>
      </c>
      <c r="G11586" t="n">
        <v>3.3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4598-2026</t>
        </is>
      </c>
      <c r="B11587" s="1" t="n">
        <v>46048</v>
      </c>
      <c r="C11587" s="1" t="n">
        <v>46093</v>
      </c>
      <c r="D11587" t="inlineStr">
        <is>
          <t>VÄSTERNORRLANDS LÄN</t>
        </is>
      </c>
      <c r="E11587" t="inlineStr">
        <is>
          <t>ÖRNSKÖLDSVIK</t>
        </is>
      </c>
      <c r="G11587" t="n">
        <v>1.4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45681-2021</t>
        </is>
      </c>
      <c r="B11588" s="1" t="n">
        <v>44441.36515046296</v>
      </c>
      <c r="C11588" s="1" t="n">
        <v>46093</v>
      </c>
      <c r="D11588" t="inlineStr">
        <is>
          <t>VÄSTERNORRLANDS LÄN</t>
        </is>
      </c>
      <c r="E11588" t="inlineStr">
        <is>
          <t>HÄRNÖSAND</t>
        </is>
      </c>
      <c r="G11588" t="n">
        <v>1.3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11286-2025</t>
        </is>
      </c>
      <c r="B11589" s="1" t="n">
        <v>45726</v>
      </c>
      <c r="C11589" s="1" t="n">
        <v>46093</v>
      </c>
      <c r="D11589" t="inlineStr">
        <is>
          <t>VÄSTERNORRLANDS LÄN</t>
        </is>
      </c>
      <c r="E11589" t="inlineStr">
        <is>
          <t>ÖRNSKÖLDSVIK</t>
        </is>
      </c>
      <c r="G11589" t="n">
        <v>1.2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1031-2026</t>
        </is>
      </c>
      <c r="B11590" s="1" t="n">
        <v>46030.61530092593</v>
      </c>
      <c r="C11590" s="1" t="n">
        <v>46093</v>
      </c>
      <c r="D11590" t="inlineStr">
        <is>
          <t>VÄSTERNORRLANDS LÄN</t>
        </is>
      </c>
      <c r="E11590" t="inlineStr">
        <is>
          <t>SOLLEFTEÅ</t>
        </is>
      </c>
      <c r="F11590" t="inlineStr">
        <is>
          <t>SCA</t>
        </is>
      </c>
      <c r="G11590" t="n">
        <v>1.6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26317-2025</t>
        </is>
      </c>
      <c r="B11591" s="1" t="n">
        <v>45805.65710648148</v>
      </c>
      <c r="C11591" s="1" t="n">
        <v>46093</v>
      </c>
      <c r="D11591" t="inlineStr">
        <is>
          <t>VÄSTERNORRLANDS LÄN</t>
        </is>
      </c>
      <c r="E11591" t="inlineStr">
        <is>
          <t>SUNDSVALL</t>
        </is>
      </c>
      <c r="F11591" t="inlineStr">
        <is>
          <t>SCA</t>
        </is>
      </c>
      <c r="G11591" t="n">
        <v>0.5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26161-2025</t>
        </is>
      </c>
      <c r="B11592" s="1" t="n">
        <v>45805.44916666667</v>
      </c>
      <c r="C11592" s="1" t="n">
        <v>46093</v>
      </c>
      <c r="D11592" t="inlineStr">
        <is>
          <t>VÄSTERNORRLANDS LÄN</t>
        </is>
      </c>
      <c r="E11592" t="inlineStr">
        <is>
          <t>HÄRNÖSAND</t>
        </is>
      </c>
      <c r="F11592" t="inlineStr">
        <is>
          <t>SCA</t>
        </is>
      </c>
      <c r="G11592" t="n">
        <v>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26174-2025</t>
        </is>
      </c>
      <c r="B11593" s="1" t="n">
        <v>45805.46679398148</v>
      </c>
      <c r="C11593" s="1" t="n">
        <v>46093</v>
      </c>
      <c r="D11593" t="inlineStr">
        <is>
          <t>VÄSTERNORRLANDS LÄN</t>
        </is>
      </c>
      <c r="E11593" t="inlineStr">
        <is>
          <t>HÄRNÖSAND</t>
        </is>
      </c>
      <c r="G11593" t="n">
        <v>1.5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26175-2025</t>
        </is>
      </c>
      <c r="B11594" s="1" t="n">
        <v>45805.46813657408</v>
      </c>
      <c r="C11594" s="1" t="n">
        <v>46093</v>
      </c>
      <c r="D11594" t="inlineStr">
        <is>
          <t>VÄSTERNORRLANDS LÄN</t>
        </is>
      </c>
      <c r="E11594" t="inlineStr">
        <is>
          <t>ÖRNSKÖLDSVIK</t>
        </is>
      </c>
      <c r="G11594" t="n">
        <v>3.7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4861-2026</t>
        </is>
      </c>
      <c r="B11595" s="1" t="n">
        <v>46048.6362962963</v>
      </c>
      <c r="C11595" s="1" t="n">
        <v>46093</v>
      </c>
      <c r="D11595" t="inlineStr">
        <is>
          <t>VÄSTERNORRLANDS LÄN</t>
        </is>
      </c>
      <c r="E11595" t="inlineStr">
        <is>
          <t>ÖRNSKÖLDSVIK</t>
        </is>
      </c>
      <c r="F11595" t="inlineStr">
        <is>
          <t>SCA</t>
        </is>
      </c>
      <c r="G11595" t="n">
        <v>29.5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12333-2026</t>
        </is>
      </c>
      <c r="B11596" s="1" t="n">
        <v>46087.63590277778</v>
      </c>
      <c r="C11596" s="1" t="n">
        <v>46093</v>
      </c>
      <c r="D11596" t="inlineStr">
        <is>
          <t>VÄSTERNORRLANDS LÄN</t>
        </is>
      </c>
      <c r="E11596" t="inlineStr">
        <is>
          <t>SOLLEFTEÅ</t>
        </is>
      </c>
      <c r="G11596" t="n">
        <v>1.3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27709-2024</t>
        </is>
      </c>
      <c r="B11597" s="1" t="n">
        <v>45475</v>
      </c>
      <c r="C11597" s="1" t="n">
        <v>46093</v>
      </c>
      <c r="D11597" t="inlineStr">
        <is>
          <t>VÄSTERNORRLANDS LÄN</t>
        </is>
      </c>
      <c r="E11597" t="inlineStr">
        <is>
          <t>KRAMFORS</t>
        </is>
      </c>
      <c r="G11597" t="n">
        <v>2.5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26176-2025</t>
        </is>
      </c>
      <c r="B11598" s="1" t="n">
        <v>45805.46865740741</v>
      </c>
      <c r="C11598" s="1" t="n">
        <v>46093</v>
      </c>
      <c r="D11598" t="inlineStr">
        <is>
          <t>VÄSTERNORRLANDS LÄN</t>
        </is>
      </c>
      <c r="E11598" t="inlineStr">
        <is>
          <t>HÄRNÖSAND</t>
        </is>
      </c>
      <c r="G11598" t="n">
        <v>1.7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5369-2026</t>
        </is>
      </c>
      <c r="B11599" s="1" t="n">
        <v>46048</v>
      </c>
      <c r="C11599" s="1" t="n">
        <v>46093</v>
      </c>
      <c r="D11599" t="inlineStr">
        <is>
          <t>VÄSTERNORRLANDS LÄN</t>
        </is>
      </c>
      <c r="E11599" t="inlineStr">
        <is>
          <t>TIMRÅ</t>
        </is>
      </c>
      <c r="G11599" t="n">
        <v>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12407-2026</t>
        </is>
      </c>
      <c r="B11600" s="1" t="n">
        <v>46090.41869212963</v>
      </c>
      <c r="C11600" s="1" t="n">
        <v>46093</v>
      </c>
      <c r="D11600" t="inlineStr">
        <is>
          <t>VÄSTERNORRLANDS LÄN</t>
        </is>
      </c>
      <c r="E11600" t="inlineStr">
        <is>
          <t>ÅNGE</t>
        </is>
      </c>
      <c r="G11600" t="n">
        <v>12.3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26193-2025</t>
        </is>
      </c>
      <c r="B11601" s="1" t="n">
        <v>45805.48922453704</v>
      </c>
      <c r="C11601" s="1" t="n">
        <v>46093</v>
      </c>
      <c r="D11601" t="inlineStr">
        <is>
          <t>VÄSTERNORRLANDS LÄN</t>
        </is>
      </c>
      <c r="E11601" t="inlineStr">
        <is>
          <t>ÅNGE</t>
        </is>
      </c>
      <c r="G11601" t="n">
        <v>2.3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26210-2025</t>
        </is>
      </c>
      <c r="B11602" s="1" t="n">
        <v>45805.53760416667</v>
      </c>
      <c r="C11602" s="1" t="n">
        <v>46093</v>
      </c>
      <c r="D11602" t="inlineStr">
        <is>
          <t>VÄSTERNORRLANDS LÄN</t>
        </is>
      </c>
      <c r="E11602" t="inlineStr">
        <is>
          <t>KRAMFORS</t>
        </is>
      </c>
      <c r="G11602" t="n">
        <v>0.9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12437-2026</t>
        </is>
      </c>
      <c r="B11603" s="1" t="n">
        <v>46090.47096064815</v>
      </c>
      <c r="C11603" s="1" t="n">
        <v>46093</v>
      </c>
      <c r="D11603" t="inlineStr">
        <is>
          <t>VÄSTERNORRLANDS LÄN</t>
        </is>
      </c>
      <c r="E11603" t="inlineStr">
        <is>
          <t>ÅNGE</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12468-2026</t>
        </is>
      </c>
      <c r="B11604" s="1" t="n">
        <v>46090.53908564815</v>
      </c>
      <c r="C11604" s="1" t="n">
        <v>46093</v>
      </c>
      <c r="D11604" t="inlineStr">
        <is>
          <t>VÄSTERNORRLANDS LÄN</t>
        </is>
      </c>
      <c r="E11604" t="inlineStr">
        <is>
          <t>ÅNGE</t>
        </is>
      </c>
      <c r="G11604" t="n">
        <v>0.4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12470-2026</t>
        </is>
      </c>
      <c r="B11605" s="1" t="n">
        <v>46090.54167824074</v>
      </c>
      <c r="C11605" s="1" t="n">
        <v>46093</v>
      </c>
      <c r="D11605" t="inlineStr">
        <is>
          <t>VÄSTERNORRLANDS LÄN</t>
        </is>
      </c>
      <c r="E11605" t="inlineStr">
        <is>
          <t>SUNDSVALL</t>
        </is>
      </c>
      <c r="G11605" t="n">
        <v>1.1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12479-2026</t>
        </is>
      </c>
      <c r="B11606" s="1" t="n">
        <v>46090.55809027778</v>
      </c>
      <c r="C11606" s="1" t="n">
        <v>46093</v>
      </c>
      <c r="D11606" t="inlineStr">
        <is>
          <t>VÄSTERNORRLANDS LÄN</t>
        </is>
      </c>
      <c r="E11606" t="inlineStr">
        <is>
          <t>ÅNGE</t>
        </is>
      </c>
      <c r="G11606" t="n">
        <v>1.6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26388-2025</t>
        </is>
      </c>
      <c r="B11607" s="1" t="n">
        <v>45806.51069444444</v>
      </c>
      <c r="C11607" s="1" t="n">
        <v>46093</v>
      </c>
      <c r="D11607" t="inlineStr">
        <is>
          <t>VÄSTERNORRLANDS LÄN</t>
        </is>
      </c>
      <c r="E11607" t="inlineStr">
        <is>
          <t>ÅNGE</t>
        </is>
      </c>
      <c r="F11607" t="inlineStr">
        <is>
          <t>SCA</t>
        </is>
      </c>
      <c r="G11607" t="n">
        <v>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26313-2025</t>
        </is>
      </c>
      <c r="B11608" s="1" t="n">
        <v>45805.65674768519</v>
      </c>
      <c r="C11608" s="1" t="n">
        <v>46093</v>
      </c>
      <c r="D11608" t="inlineStr">
        <is>
          <t>VÄSTERNORRLANDS LÄN</t>
        </is>
      </c>
      <c r="E11608" t="inlineStr">
        <is>
          <t>SUNDSVALL</t>
        </is>
      </c>
      <c r="F11608" t="inlineStr">
        <is>
          <t>SCA</t>
        </is>
      </c>
      <c r="G11608" t="n">
        <v>1.6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26365-2025</t>
        </is>
      </c>
      <c r="B11609" s="1" t="n">
        <v>45806.34412037037</v>
      </c>
      <c r="C11609" s="1" t="n">
        <v>46093</v>
      </c>
      <c r="D11609" t="inlineStr">
        <is>
          <t>VÄSTERNORRLANDS LÄN</t>
        </is>
      </c>
      <c r="E11609" t="inlineStr">
        <is>
          <t>ÅNGE</t>
        </is>
      </c>
      <c r="F11609" t="inlineStr">
        <is>
          <t>SCA</t>
        </is>
      </c>
      <c r="G11609" t="n">
        <v>3.2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4528-2026</t>
        </is>
      </c>
      <c r="B11610" s="1" t="n">
        <v>46046.65663194445</v>
      </c>
      <c r="C11610" s="1" t="n">
        <v>46093</v>
      </c>
      <c r="D11610" t="inlineStr">
        <is>
          <t>VÄSTERNORRLANDS LÄN</t>
        </is>
      </c>
      <c r="E11610" t="inlineStr">
        <is>
          <t>KRAMFORS</t>
        </is>
      </c>
      <c r="G11610" t="n">
        <v>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12288-2026</t>
        </is>
      </c>
      <c r="B11611" s="1" t="n">
        <v>46087.55270833334</v>
      </c>
      <c r="C11611" s="1" t="n">
        <v>46093</v>
      </c>
      <c r="D11611" t="inlineStr">
        <is>
          <t>VÄSTERNORRLANDS LÄN</t>
        </is>
      </c>
      <c r="E11611" t="inlineStr">
        <is>
          <t>SOLLEFTEÅ</t>
        </is>
      </c>
      <c r="F11611" t="inlineStr">
        <is>
          <t>SCA</t>
        </is>
      </c>
      <c r="G11611" t="n">
        <v>4.3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12316-2026</t>
        </is>
      </c>
      <c r="B11612" s="1" t="n">
        <v>46087.59761574074</v>
      </c>
      <c r="C11612" s="1" t="n">
        <v>46093</v>
      </c>
      <c r="D11612" t="inlineStr">
        <is>
          <t>VÄSTERNORRLANDS LÄN</t>
        </is>
      </c>
      <c r="E11612" t="inlineStr">
        <is>
          <t>TIMRÅ</t>
        </is>
      </c>
      <c r="G11612" t="n">
        <v>3.6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26337-2025</t>
        </is>
      </c>
      <c r="B11613" s="1" t="n">
        <v>45805.69826388889</v>
      </c>
      <c r="C11613" s="1" t="n">
        <v>46093</v>
      </c>
      <c r="D11613" t="inlineStr">
        <is>
          <t>VÄSTERNORRLANDS LÄN</t>
        </is>
      </c>
      <c r="E11613" t="inlineStr">
        <is>
          <t>SUNDSVALL</t>
        </is>
      </c>
      <c r="F11613" t="inlineStr">
        <is>
          <t>Naturvårdsverket</t>
        </is>
      </c>
      <c r="G11613" t="n">
        <v>1.8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26167-2025</t>
        </is>
      </c>
      <c r="B11614" s="1" t="n">
        <v>45805.45850694444</v>
      </c>
      <c r="C11614" s="1" t="n">
        <v>46093</v>
      </c>
      <c r="D11614" t="inlineStr">
        <is>
          <t>VÄSTERNORRLANDS LÄN</t>
        </is>
      </c>
      <c r="E11614" t="inlineStr">
        <is>
          <t>KRAMFORS</t>
        </is>
      </c>
      <c r="G11614" t="n">
        <v>3.5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4442-2026</t>
        </is>
      </c>
      <c r="B11615" s="1" t="n">
        <v>46045.63625</v>
      </c>
      <c r="C11615" s="1" t="n">
        <v>46093</v>
      </c>
      <c r="D11615" t="inlineStr">
        <is>
          <t>VÄSTERNORRLANDS LÄN</t>
        </is>
      </c>
      <c r="E11615" t="inlineStr">
        <is>
          <t>ÅNGE</t>
        </is>
      </c>
      <c r="F11615" t="inlineStr">
        <is>
          <t>SCA</t>
        </is>
      </c>
      <c r="G11615" t="n">
        <v>9.199999999999999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26125-2025</t>
        </is>
      </c>
      <c r="B11616" s="1" t="n">
        <v>45805.39251157407</v>
      </c>
      <c r="C11616" s="1" t="n">
        <v>46093</v>
      </c>
      <c r="D11616" t="inlineStr">
        <is>
          <t>VÄSTERNORRLANDS LÄN</t>
        </is>
      </c>
      <c r="E11616" t="inlineStr">
        <is>
          <t>KRAMFORS</t>
        </is>
      </c>
      <c r="G11616" t="n">
        <v>1.2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73367-2021</t>
        </is>
      </c>
      <c r="B11617" s="1" t="n">
        <v>44550</v>
      </c>
      <c r="C11617" s="1" t="n">
        <v>46093</v>
      </c>
      <c r="D11617" t="inlineStr">
        <is>
          <t>VÄSTERNORRLANDS LÄN</t>
        </is>
      </c>
      <c r="E11617" t="inlineStr">
        <is>
          <t>SOLLEFTEÅ</t>
        </is>
      </c>
      <c r="G11617" t="n">
        <v>10.8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12249-2026</t>
        </is>
      </c>
      <c r="B11618" s="1" t="n">
        <v>46087.44841435185</v>
      </c>
      <c r="C11618" s="1" t="n">
        <v>46093</v>
      </c>
      <c r="D11618" t="inlineStr">
        <is>
          <t>VÄSTERNORRLANDS LÄN</t>
        </is>
      </c>
      <c r="E11618" t="inlineStr">
        <is>
          <t>SOLLEFTEÅ</t>
        </is>
      </c>
      <c r="F11618" t="inlineStr">
        <is>
          <t>SCA</t>
        </is>
      </c>
      <c r="G11618" t="n">
        <v>3.8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26389-2025</t>
        </is>
      </c>
      <c r="B11619" s="1" t="n">
        <v>45806.51078703703</v>
      </c>
      <c r="C11619" s="1" t="n">
        <v>46093</v>
      </c>
      <c r="D11619" t="inlineStr">
        <is>
          <t>VÄSTERNORRLANDS LÄN</t>
        </is>
      </c>
      <c r="E11619" t="inlineStr">
        <is>
          <t>ÅNGE</t>
        </is>
      </c>
      <c r="F11619" t="inlineStr">
        <is>
          <t>SCA</t>
        </is>
      </c>
      <c r="G11619" t="n">
        <v>11.9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26390-2025</t>
        </is>
      </c>
      <c r="B11620" s="1" t="n">
        <v>45806.5733912037</v>
      </c>
      <c r="C11620" s="1" t="n">
        <v>46093</v>
      </c>
      <c r="D11620" t="inlineStr">
        <is>
          <t>VÄSTERNORRLANDS LÄN</t>
        </is>
      </c>
      <c r="E11620" t="inlineStr">
        <is>
          <t>SUNDSVALL</t>
        </is>
      </c>
      <c r="F11620" t="inlineStr">
        <is>
          <t>SCA</t>
        </is>
      </c>
      <c r="G11620" t="n">
        <v>1.2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21262-2025</t>
        </is>
      </c>
      <c r="B11621" s="1" t="n">
        <v>45779</v>
      </c>
      <c r="C11621" s="1" t="n">
        <v>46093</v>
      </c>
      <c r="D11621" t="inlineStr">
        <is>
          <t>VÄSTERNORRLANDS LÄN</t>
        </is>
      </c>
      <c r="E11621" t="inlineStr">
        <is>
          <t>ÅNGE</t>
        </is>
      </c>
      <c r="F11621" t="inlineStr">
        <is>
          <t>Sveaskog</t>
        </is>
      </c>
      <c r="G11621" t="n">
        <v>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26366-2025</t>
        </is>
      </c>
      <c r="B11622" s="1" t="n">
        <v>45806.34424768519</v>
      </c>
      <c r="C11622" s="1" t="n">
        <v>46093</v>
      </c>
      <c r="D11622" t="inlineStr">
        <is>
          <t>VÄSTERNORRLANDS LÄN</t>
        </is>
      </c>
      <c r="E11622" t="inlineStr">
        <is>
          <t>ÅNGE</t>
        </is>
      </c>
      <c r="F11622" t="inlineStr">
        <is>
          <t>SCA</t>
        </is>
      </c>
      <c r="G11622" t="n">
        <v>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60424-2024</t>
        </is>
      </c>
      <c r="B11623" s="1" t="n">
        <v>45643</v>
      </c>
      <c r="C11623" s="1" t="n">
        <v>46093</v>
      </c>
      <c r="D11623" t="inlineStr">
        <is>
          <t>VÄSTERNORRLANDS LÄN</t>
        </is>
      </c>
      <c r="E11623" t="inlineStr">
        <is>
          <t>KRAMFORS</t>
        </is>
      </c>
      <c r="G11623" t="n">
        <v>6.2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42852-2022</t>
        </is>
      </c>
      <c r="B11624" s="1" t="n">
        <v>44832.67887731481</v>
      </c>
      <c r="C11624" s="1" t="n">
        <v>46093</v>
      </c>
      <c r="D11624" t="inlineStr">
        <is>
          <t>VÄSTERNORRLANDS LÄN</t>
        </is>
      </c>
      <c r="E11624" t="inlineStr">
        <is>
          <t>ÖRNSKÖLDSVIK</t>
        </is>
      </c>
      <c r="G11624" t="n">
        <v>0.9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26300-2025</t>
        </is>
      </c>
      <c r="B11625" s="1" t="n">
        <v>45805.6364699074</v>
      </c>
      <c r="C11625" s="1" t="n">
        <v>46093</v>
      </c>
      <c r="D11625" t="inlineStr">
        <is>
          <t>VÄSTERNORRLANDS LÄN</t>
        </is>
      </c>
      <c r="E11625" t="inlineStr">
        <is>
          <t>TIMRÅ</t>
        </is>
      </c>
      <c r="F11625" t="inlineStr">
        <is>
          <t>SCA</t>
        </is>
      </c>
      <c r="G11625" t="n">
        <v>0.7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26066-2025</t>
        </is>
      </c>
      <c r="B11626" s="1" t="n">
        <v>45805.29252314815</v>
      </c>
      <c r="C11626" s="1" t="n">
        <v>46093</v>
      </c>
      <c r="D11626" t="inlineStr">
        <is>
          <t>VÄSTERNORRLANDS LÄN</t>
        </is>
      </c>
      <c r="E11626" t="inlineStr">
        <is>
          <t>ÖRNSKÖLDSVIK</t>
        </is>
      </c>
      <c r="G11626" t="n">
        <v>4.1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26086-2025</t>
        </is>
      </c>
      <c r="B11627" s="1" t="n">
        <v>45805.34465277778</v>
      </c>
      <c r="C11627" s="1" t="n">
        <v>46093</v>
      </c>
      <c r="D11627" t="inlineStr">
        <is>
          <t>VÄSTERNORRLANDS LÄN</t>
        </is>
      </c>
      <c r="E11627" t="inlineStr">
        <is>
          <t>HÄRNÖSAND</t>
        </is>
      </c>
      <c r="F11627" t="inlineStr">
        <is>
          <t>SCA</t>
        </is>
      </c>
      <c r="G11627" t="n">
        <v>0.8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26219-2025</t>
        </is>
      </c>
      <c r="B11628" s="1" t="n">
        <v>45805.55023148148</v>
      </c>
      <c r="C11628" s="1" t="n">
        <v>46093</v>
      </c>
      <c r="D11628" t="inlineStr">
        <is>
          <t>VÄSTERNORRLANDS LÄN</t>
        </is>
      </c>
      <c r="E11628" t="inlineStr">
        <is>
          <t>KRAMFORS</t>
        </is>
      </c>
      <c r="G11628" t="n">
        <v>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9385-2022</t>
        </is>
      </c>
      <c r="B11629" s="1" t="n">
        <v>44616.63796296297</v>
      </c>
      <c r="C11629" s="1" t="n">
        <v>46093</v>
      </c>
      <c r="D11629" t="inlineStr">
        <is>
          <t>VÄSTERNORRLANDS LÄN</t>
        </is>
      </c>
      <c r="E11629" t="inlineStr">
        <is>
          <t>SUNDSVALL</t>
        </is>
      </c>
      <c r="G11629" t="n">
        <v>0.9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26088-2025</t>
        </is>
      </c>
      <c r="B11630" s="1" t="n">
        <v>45805.34497685185</v>
      </c>
      <c r="C11630" s="1" t="n">
        <v>46093</v>
      </c>
      <c r="D11630" t="inlineStr">
        <is>
          <t>VÄSTERNORRLANDS LÄN</t>
        </is>
      </c>
      <c r="E11630" t="inlineStr">
        <is>
          <t>SOLLEFTEÅ</t>
        </is>
      </c>
      <c r="F11630" t="inlineStr">
        <is>
          <t>SCA</t>
        </is>
      </c>
      <c r="G11630" t="n">
        <v>4.6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4461-2026</t>
        </is>
      </c>
      <c r="B11631" s="1" t="n">
        <v>46045.65018518519</v>
      </c>
      <c r="C11631" s="1" t="n">
        <v>46093</v>
      </c>
      <c r="D11631" t="inlineStr">
        <is>
          <t>VÄSTERNORRLANDS LÄN</t>
        </is>
      </c>
      <c r="E11631" t="inlineStr">
        <is>
          <t>SOLLEFTEÅ</t>
        </is>
      </c>
      <c r="G11631" t="n">
        <v>5.6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44258-2021</t>
        </is>
      </c>
      <c r="B11632" s="1" t="n">
        <v>44434</v>
      </c>
      <c r="C11632" s="1" t="n">
        <v>46093</v>
      </c>
      <c r="D11632" t="inlineStr">
        <is>
          <t>VÄSTERNORRLANDS LÄN</t>
        </is>
      </c>
      <c r="E11632" t="inlineStr">
        <is>
          <t>KRAMFORS</t>
        </is>
      </c>
      <c r="G11632" t="n">
        <v>1.8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57685-2024</t>
        </is>
      </c>
      <c r="B11633" s="1" t="n">
        <v>45630.64306712963</v>
      </c>
      <c r="C11633" s="1" t="n">
        <v>46093</v>
      </c>
      <c r="D11633" t="inlineStr">
        <is>
          <t>VÄSTERNORRLANDS LÄN</t>
        </is>
      </c>
      <c r="E11633" t="inlineStr">
        <is>
          <t>HÄRNÖSAND</t>
        </is>
      </c>
      <c r="G11633" t="n">
        <v>2.9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49593-2024</t>
        </is>
      </c>
      <c r="B11634" s="1" t="n">
        <v>45596.55513888889</v>
      </c>
      <c r="C11634" s="1" t="n">
        <v>46093</v>
      </c>
      <c r="D11634" t="inlineStr">
        <is>
          <t>VÄSTERNORRLANDS LÄN</t>
        </is>
      </c>
      <c r="E11634" t="inlineStr">
        <is>
          <t>ÖRNSKÖLDSVIK</t>
        </is>
      </c>
      <c r="F11634" t="inlineStr">
        <is>
          <t>Holmen skog AB</t>
        </is>
      </c>
      <c r="G11634" t="n">
        <v>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26334-2025</t>
        </is>
      </c>
      <c r="B11635" s="1" t="n">
        <v>45805.69215277778</v>
      </c>
      <c r="C11635" s="1" t="n">
        <v>46093</v>
      </c>
      <c r="D11635" t="inlineStr">
        <is>
          <t>VÄSTERNORRLANDS LÄN</t>
        </is>
      </c>
      <c r="E11635" t="inlineStr">
        <is>
          <t>ÖRNSKÖLDSVIK</t>
        </is>
      </c>
      <c r="G11635" t="n">
        <v>22.5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26343-2025</t>
        </is>
      </c>
      <c r="B11636" s="1" t="n">
        <v>45805.71907407408</v>
      </c>
      <c r="C11636" s="1" t="n">
        <v>46093</v>
      </c>
      <c r="D11636" t="inlineStr">
        <is>
          <t>VÄSTERNORRLANDS LÄN</t>
        </is>
      </c>
      <c r="E11636" t="inlineStr">
        <is>
          <t>SUNDSVALL</t>
        </is>
      </c>
      <c r="F11636" t="inlineStr">
        <is>
          <t>SCA</t>
        </is>
      </c>
      <c r="G11636" t="n">
        <v>1.6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26296-2025</t>
        </is>
      </c>
      <c r="B11637" s="1" t="n">
        <v>45805.6360300926</v>
      </c>
      <c r="C11637" s="1" t="n">
        <v>46093</v>
      </c>
      <c r="D11637" t="inlineStr">
        <is>
          <t>VÄSTERNORRLANDS LÄN</t>
        </is>
      </c>
      <c r="E11637" t="inlineStr">
        <is>
          <t>SUNDSVALL</t>
        </is>
      </c>
      <c r="F11637" t="inlineStr">
        <is>
          <t>SCA</t>
        </is>
      </c>
      <c r="G11637" t="n">
        <v>7.3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12337-2026</t>
        </is>
      </c>
      <c r="B11638" s="1" t="n">
        <v>46087.64940972222</v>
      </c>
      <c r="C11638" s="1" t="n">
        <v>46093</v>
      </c>
      <c r="D11638" t="inlineStr">
        <is>
          <t>VÄSTERNORRLANDS LÄN</t>
        </is>
      </c>
      <c r="E11638" t="inlineStr">
        <is>
          <t>ÖRNSKÖLDSVIK</t>
        </is>
      </c>
      <c r="F11638" t="inlineStr">
        <is>
          <t>Kommuner</t>
        </is>
      </c>
      <c r="G11638" t="n">
        <v>0.7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26197-2025</t>
        </is>
      </c>
      <c r="B11639" s="1" t="n">
        <v>45805.50068287037</v>
      </c>
      <c r="C11639" s="1" t="n">
        <v>46093</v>
      </c>
      <c r="D11639" t="inlineStr">
        <is>
          <t>VÄSTERNORRLANDS LÄN</t>
        </is>
      </c>
      <c r="E11639" t="inlineStr">
        <is>
          <t>KRAMFORS</t>
        </is>
      </c>
      <c r="G11639" t="n">
        <v>5.4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4586-2026</t>
        </is>
      </c>
      <c r="B11640" s="1" t="n">
        <v>46048.33769675926</v>
      </c>
      <c r="C11640" s="1" t="n">
        <v>46093</v>
      </c>
      <c r="D11640" t="inlineStr">
        <is>
          <t>VÄSTERNORRLANDS LÄN</t>
        </is>
      </c>
      <c r="E11640" t="inlineStr">
        <is>
          <t>ÅNGE</t>
        </is>
      </c>
      <c r="G11640" t="n">
        <v>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4592-2026</t>
        </is>
      </c>
      <c r="B11641" s="1" t="n">
        <v>46048.34451388889</v>
      </c>
      <c r="C11641" s="1" t="n">
        <v>46093</v>
      </c>
      <c r="D11641" t="inlineStr">
        <is>
          <t>VÄSTERNORRLANDS LÄN</t>
        </is>
      </c>
      <c r="E11641" t="inlineStr">
        <is>
          <t>ÅNGE</t>
        </is>
      </c>
      <c r="F11641" t="inlineStr">
        <is>
          <t>SCA</t>
        </is>
      </c>
      <c r="G11641" t="n">
        <v>0.2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26478-2025</t>
        </is>
      </c>
      <c r="B11642" s="1" t="n">
        <v>45807.47013888889</v>
      </c>
      <c r="C11642" s="1" t="n">
        <v>46093</v>
      </c>
      <c r="D11642" t="inlineStr">
        <is>
          <t>VÄSTERNORRLANDS LÄN</t>
        </is>
      </c>
      <c r="E11642" t="inlineStr">
        <is>
          <t>SOLLEFTEÅ</t>
        </is>
      </c>
      <c r="F11642" t="inlineStr">
        <is>
          <t>SCA</t>
        </is>
      </c>
      <c r="G11642" t="n">
        <v>3.7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26655-2025</t>
        </is>
      </c>
      <c r="B11643" s="1" t="n">
        <v>45810.39047453704</v>
      </c>
      <c r="C11643" s="1" t="n">
        <v>46093</v>
      </c>
      <c r="D11643" t="inlineStr">
        <is>
          <t>VÄSTERNORRLANDS LÄN</t>
        </is>
      </c>
      <c r="E11643" t="inlineStr">
        <is>
          <t>ÅNGE</t>
        </is>
      </c>
      <c r="G11643" t="n">
        <v>0.6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15071-2024</t>
        </is>
      </c>
      <c r="B11644" s="1" t="n">
        <v>45399.59116898148</v>
      </c>
      <c r="C11644" s="1" t="n">
        <v>46093</v>
      </c>
      <c r="D11644" t="inlineStr">
        <is>
          <t>VÄSTERNORRLANDS LÄN</t>
        </is>
      </c>
      <c r="E11644" t="inlineStr">
        <is>
          <t>ÖRNSKÖLDSVIK</t>
        </is>
      </c>
      <c r="G11644" t="n">
        <v>2.3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26865-2025</t>
        </is>
      </c>
      <c r="B11645" s="1" t="n">
        <v>45810</v>
      </c>
      <c r="C11645" s="1" t="n">
        <v>46093</v>
      </c>
      <c r="D11645" t="inlineStr">
        <is>
          <t>VÄSTERNORRLANDS LÄN</t>
        </is>
      </c>
      <c r="E11645" t="inlineStr">
        <is>
          <t>ÖRNSKÖLDSVIK</t>
        </is>
      </c>
      <c r="G11645" t="n">
        <v>4.1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4596-2026</t>
        </is>
      </c>
      <c r="B11646" s="1" t="n">
        <v>46048.34674768519</v>
      </c>
      <c r="C11646" s="1" t="n">
        <v>46093</v>
      </c>
      <c r="D11646" t="inlineStr">
        <is>
          <t>VÄSTERNORRLANDS LÄN</t>
        </is>
      </c>
      <c r="E11646" t="inlineStr">
        <is>
          <t>SUNDSVALL</t>
        </is>
      </c>
      <c r="G11646" t="n">
        <v>1.5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26716-2025</t>
        </is>
      </c>
      <c r="B11647" s="1" t="n">
        <v>45810.47481481481</v>
      </c>
      <c r="C11647" s="1" t="n">
        <v>46093</v>
      </c>
      <c r="D11647" t="inlineStr">
        <is>
          <t>VÄSTERNORRLANDS LÄN</t>
        </is>
      </c>
      <c r="E11647" t="inlineStr">
        <is>
          <t>KRAMFORS</t>
        </is>
      </c>
      <c r="G11647" t="n">
        <v>3.9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8727-2025</t>
        </is>
      </c>
      <c r="B11648" s="1" t="n">
        <v>45712.51872685185</v>
      </c>
      <c r="C11648" s="1" t="n">
        <v>46093</v>
      </c>
      <c r="D11648" t="inlineStr">
        <is>
          <t>VÄSTERNORRLANDS LÄN</t>
        </is>
      </c>
      <c r="E11648" t="inlineStr">
        <is>
          <t>KRAMFORS</t>
        </is>
      </c>
      <c r="G11648" t="n">
        <v>4.5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4721-2026</t>
        </is>
      </c>
      <c r="B11649" s="1" t="n">
        <v>46045</v>
      </c>
      <c r="C11649" s="1" t="n">
        <v>46093</v>
      </c>
      <c r="D11649" t="inlineStr">
        <is>
          <t>VÄSTERNORRLANDS LÄN</t>
        </is>
      </c>
      <c r="E11649" t="inlineStr">
        <is>
          <t>ÖRNSKÖLDSVIK</t>
        </is>
      </c>
      <c r="G11649" t="n">
        <v>9.1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27766-2024</t>
        </is>
      </c>
      <c r="B11650" s="1" t="n">
        <v>45475.51773148148</v>
      </c>
      <c r="C11650" s="1" t="n">
        <v>46093</v>
      </c>
      <c r="D11650" t="inlineStr">
        <is>
          <t>VÄSTERNORRLANDS LÄN</t>
        </is>
      </c>
      <c r="E11650" t="inlineStr">
        <is>
          <t>ÖRNSKÖLDSVIK</t>
        </is>
      </c>
      <c r="G11650" t="n">
        <v>3.6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5842-2026</t>
        </is>
      </c>
      <c r="B11651" s="1" t="n">
        <v>46052.34503472222</v>
      </c>
      <c r="C11651" s="1" t="n">
        <v>46093</v>
      </c>
      <c r="D11651" t="inlineStr">
        <is>
          <t>VÄSTERNORRLANDS LÄN</t>
        </is>
      </c>
      <c r="E11651" t="inlineStr">
        <is>
          <t>SOLLEFTEÅ</t>
        </is>
      </c>
      <c r="G11651" t="n">
        <v>1.8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18217-2025</t>
        </is>
      </c>
      <c r="B11652" s="1" t="n">
        <v>45761.71212962963</v>
      </c>
      <c r="C11652" s="1" t="n">
        <v>46093</v>
      </c>
      <c r="D11652" t="inlineStr">
        <is>
          <t>VÄSTERNORRLANDS LÄN</t>
        </is>
      </c>
      <c r="E11652" t="inlineStr">
        <is>
          <t>SUNDSVALL</t>
        </is>
      </c>
      <c r="G11652" t="n">
        <v>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26746-2025</t>
        </is>
      </c>
      <c r="B11653" s="1" t="n">
        <v>45810</v>
      </c>
      <c r="C11653" s="1" t="n">
        <v>46093</v>
      </c>
      <c r="D11653" t="inlineStr">
        <is>
          <t>VÄSTERNORRLANDS LÄN</t>
        </is>
      </c>
      <c r="E11653" t="inlineStr">
        <is>
          <t>SUNDSVALL</t>
        </is>
      </c>
      <c r="G11653" t="n">
        <v>23.1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4589-2026</t>
        </is>
      </c>
      <c r="B11654" s="1" t="n">
        <v>46048.34230324074</v>
      </c>
      <c r="C11654" s="1" t="n">
        <v>46093</v>
      </c>
      <c r="D11654" t="inlineStr">
        <is>
          <t>VÄSTERNORRLANDS LÄN</t>
        </is>
      </c>
      <c r="E11654" t="inlineStr">
        <is>
          <t>SUNDSVALL</t>
        </is>
      </c>
      <c r="G11654" t="n">
        <v>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40044-2024</t>
        </is>
      </c>
      <c r="B11655" s="1" t="n">
        <v>45553.75064814815</v>
      </c>
      <c r="C11655" s="1" t="n">
        <v>46093</v>
      </c>
      <c r="D11655" t="inlineStr">
        <is>
          <t>VÄSTERNORRLANDS LÄN</t>
        </is>
      </c>
      <c r="E11655" t="inlineStr">
        <is>
          <t>SUNDSVALL</t>
        </is>
      </c>
      <c r="G11655" t="n">
        <v>3.8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25973-2022</t>
        </is>
      </c>
      <c r="B11656" s="1" t="n">
        <v>44734</v>
      </c>
      <c r="C11656" s="1" t="n">
        <v>46093</v>
      </c>
      <c r="D11656" t="inlineStr">
        <is>
          <t>VÄSTERNORRLANDS LÄN</t>
        </is>
      </c>
      <c r="E11656" t="inlineStr">
        <is>
          <t>ÅNGE</t>
        </is>
      </c>
      <c r="G11656" t="n">
        <v>4.1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12412-2026</t>
        </is>
      </c>
      <c r="B11657" s="1" t="n">
        <v>46090.42895833333</v>
      </c>
      <c r="C11657" s="1" t="n">
        <v>46093</v>
      </c>
      <c r="D11657" t="inlineStr">
        <is>
          <t>VÄSTERNORRLANDS LÄN</t>
        </is>
      </c>
      <c r="E11657" t="inlineStr">
        <is>
          <t>ÅNGE</t>
        </is>
      </c>
      <c r="G11657" t="n">
        <v>7.1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19896-2023</t>
        </is>
      </c>
      <c r="B11658" s="1" t="n">
        <v>45054</v>
      </c>
      <c r="C11658" s="1" t="n">
        <v>46093</v>
      </c>
      <c r="D11658" t="inlineStr">
        <is>
          <t>VÄSTERNORRLANDS LÄN</t>
        </is>
      </c>
      <c r="E11658" t="inlineStr">
        <is>
          <t>SUNDSVALL</t>
        </is>
      </c>
      <c r="G11658" t="n">
        <v>4.6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26562-2025</t>
        </is>
      </c>
      <c r="B11659" s="1" t="n">
        <v>45807</v>
      </c>
      <c r="C11659" s="1" t="n">
        <v>46093</v>
      </c>
      <c r="D11659" t="inlineStr">
        <is>
          <t>VÄSTERNORRLANDS LÄN</t>
        </is>
      </c>
      <c r="E11659" t="inlineStr">
        <is>
          <t>HÄRNÖSAND</t>
        </is>
      </c>
      <c r="G11659" t="n">
        <v>3.8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26575-2025</t>
        </is>
      </c>
      <c r="B11660" s="1" t="n">
        <v>45807.68700231481</v>
      </c>
      <c r="C11660" s="1" t="n">
        <v>46093</v>
      </c>
      <c r="D11660" t="inlineStr">
        <is>
          <t>VÄSTERNORRLANDS LÄN</t>
        </is>
      </c>
      <c r="E11660" t="inlineStr">
        <is>
          <t>SUNDSVALL</t>
        </is>
      </c>
      <c r="G11660" t="n">
        <v>3.1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26125-2024</t>
        </is>
      </c>
      <c r="B11661" s="1" t="n">
        <v>45468</v>
      </c>
      <c r="C11661" s="1" t="n">
        <v>46093</v>
      </c>
      <c r="D11661" t="inlineStr">
        <is>
          <t>VÄSTERNORRLANDS LÄN</t>
        </is>
      </c>
      <c r="E11661" t="inlineStr">
        <is>
          <t>KRAMFORS</t>
        </is>
      </c>
      <c r="G11661" t="n">
        <v>4.7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26408-2025</t>
        </is>
      </c>
      <c r="B11662" s="1" t="n">
        <v>45807.34425925926</v>
      </c>
      <c r="C11662" s="1" t="n">
        <v>46093</v>
      </c>
      <c r="D11662" t="inlineStr">
        <is>
          <t>VÄSTERNORRLANDS LÄN</t>
        </is>
      </c>
      <c r="E11662" t="inlineStr">
        <is>
          <t>SUNDSVALL</t>
        </is>
      </c>
      <c r="F11662" t="inlineStr">
        <is>
          <t>Naturvårdsverket</t>
        </is>
      </c>
      <c r="G11662" t="n">
        <v>3.9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37939-2024</t>
        </is>
      </c>
      <c r="B11663" s="1" t="n">
        <v>45544</v>
      </c>
      <c r="C11663" s="1" t="n">
        <v>46093</v>
      </c>
      <c r="D11663" t="inlineStr">
        <is>
          <t>VÄSTERNORRLANDS LÄN</t>
        </is>
      </c>
      <c r="E11663" t="inlineStr">
        <is>
          <t>ÖRNSKÖLDSVIK</t>
        </is>
      </c>
      <c r="G11663" t="n">
        <v>4.7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26785-2025</t>
        </is>
      </c>
      <c r="B11664" s="1" t="n">
        <v>45810.58408564814</v>
      </c>
      <c r="C11664" s="1" t="n">
        <v>46093</v>
      </c>
      <c r="D11664" t="inlineStr">
        <is>
          <t>VÄSTERNORRLANDS LÄN</t>
        </is>
      </c>
      <c r="E11664" t="inlineStr">
        <is>
          <t>ÖRNSKÖLDSVIK</t>
        </is>
      </c>
      <c r="F11664" t="inlineStr">
        <is>
          <t>Holmen skog AB</t>
        </is>
      </c>
      <c r="G11664" t="n">
        <v>4.7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26426-2025</t>
        </is>
      </c>
      <c r="B11665" s="1" t="n">
        <v>45807.38574074074</v>
      </c>
      <c r="C11665" s="1" t="n">
        <v>46093</v>
      </c>
      <c r="D11665" t="inlineStr">
        <is>
          <t>VÄSTERNORRLANDS LÄN</t>
        </is>
      </c>
      <c r="E11665" t="inlineStr">
        <is>
          <t>SOLLEFTEÅ</t>
        </is>
      </c>
      <c r="F11665" t="inlineStr">
        <is>
          <t>SCA</t>
        </is>
      </c>
      <c r="G11665" t="n">
        <v>3.1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26453-2025</t>
        </is>
      </c>
      <c r="B11666" s="1" t="n">
        <v>45807.42394675926</v>
      </c>
      <c r="C11666" s="1" t="n">
        <v>46093</v>
      </c>
      <c r="D11666" t="inlineStr">
        <is>
          <t>VÄSTERNORRLANDS LÄN</t>
        </is>
      </c>
      <c r="E11666" t="inlineStr">
        <is>
          <t>ÖRNSKÖLDSVIK</t>
        </is>
      </c>
      <c r="F11666" t="inlineStr">
        <is>
          <t>Holmen skog AB</t>
        </is>
      </c>
      <c r="G11666" t="n">
        <v>2.6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26459-2025</t>
        </is>
      </c>
      <c r="B11667" s="1" t="n">
        <v>45807.43045138889</v>
      </c>
      <c r="C11667" s="1" t="n">
        <v>46093</v>
      </c>
      <c r="D11667" t="inlineStr">
        <is>
          <t>VÄSTERNORRLANDS LÄN</t>
        </is>
      </c>
      <c r="E11667" t="inlineStr">
        <is>
          <t>SUNDSVALL</t>
        </is>
      </c>
      <c r="G11667" t="n">
        <v>5.2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4533-2026</t>
        </is>
      </c>
      <c r="B11668" s="1" t="n">
        <v>46046.67739583334</v>
      </c>
      <c r="C11668" s="1" t="n">
        <v>46093</v>
      </c>
      <c r="D11668" t="inlineStr">
        <is>
          <t>VÄSTERNORRLANDS LÄN</t>
        </is>
      </c>
      <c r="E11668" t="inlineStr">
        <is>
          <t>KRAMFORS</t>
        </is>
      </c>
      <c r="G11668" t="n">
        <v>1.5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4535-2026</t>
        </is>
      </c>
      <c r="B11669" s="1" t="n">
        <v>46046.69825231482</v>
      </c>
      <c r="C11669" s="1" t="n">
        <v>46093</v>
      </c>
      <c r="D11669" t="inlineStr">
        <is>
          <t>VÄSTERNORRLANDS LÄN</t>
        </is>
      </c>
      <c r="E11669" t="inlineStr">
        <is>
          <t>KRAMFORS</t>
        </is>
      </c>
      <c r="G11669" t="n">
        <v>4.5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4555-2026</t>
        </is>
      </c>
      <c r="B11670" s="1" t="n">
        <v>46047.59414351852</v>
      </c>
      <c r="C11670" s="1" t="n">
        <v>46093</v>
      </c>
      <c r="D11670" t="inlineStr">
        <is>
          <t>VÄSTERNORRLANDS LÄN</t>
        </is>
      </c>
      <c r="E11670" t="inlineStr">
        <is>
          <t>KRAMFORS</t>
        </is>
      </c>
      <c r="G11670" t="n">
        <v>2.2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4556-2026</t>
        </is>
      </c>
      <c r="B11671" s="1" t="n">
        <v>46047.59420138889</v>
      </c>
      <c r="C11671" s="1" t="n">
        <v>46093</v>
      </c>
      <c r="D11671" t="inlineStr">
        <is>
          <t>VÄSTERNORRLANDS LÄN</t>
        </is>
      </c>
      <c r="E11671" t="inlineStr">
        <is>
          <t>KRAMFORS</t>
        </is>
      </c>
      <c r="G11671" t="n">
        <v>1.4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4479-2026</t>
        </is>
      </c>
      <c r="B11672" s="1" t="n">
        <v>46045</v>
      </c>
      <c r="C11672" s="1" t="n">
        <v>46093</v>
      </c>
      <c r="D11672" t="inlineStr">
        <is>
          <t>VÄSTERNORRLANDS LÄN</t>
        </is>
      </c>
      <c r="E11672" t="inlineStr">
        <is>
          <t>SUNDSVALL</t>
        </is>
      </c>
      <c r="G11672" t="n">
        <v>1.9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45942-2024</t>
        </is>
      </c>
      <c r="B11673" s="1" t="n">
        <v>45580</v>
      </c>
      <c r="C11673" s="1" t="n">
        <v>46093</v>
      </c>
      <c r="D11673" t="inlineStr">
        <is>
          <t>VÄSTERNORRLANDS LÄN</t>
        </is>
      </c>
      <c r="E11673" t="inlineStr">
        <is>
          <t>TIMRÅ</t>
        </is>
      </c>
      <c r="G11673" t="n">
        <v>2.1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12476-2026</t>
        </is>
      </c>
      <c r="B11674" s="1" t="n">
        <v>46090.55582175926</v>
      </c>
      <c r="C11674" s="1" t="n">
        <v>46093</v>
      </c>
      <c r="D11674" t="inlineStr">
        <is>
          <t>VÄSTERNORRLANDS LÄN</t>
        </is>
      </c>
      <c r="E11674" t="inlineStr">
        <is>
          <t>ÅNGE</t>
        </is>
      </c>
      <c r="G11674" t="n">
        <v>0.7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10463-2026</t>
        </is>
      </c>
      <c r="B11675" s="1" t="n">
        <v>46077.46359953703</v>
      </c>
      <c r="C11675" s="1" t="n">
        <v>46093</v>
      </c>
      <c r="D11675" t="inlineStr">
        <is>
          <t>VÄSTERNORRLANDS LÄN</t>
        </is>
      </c>
      <c r="E11675" t="inlineStr">
        <is>
          <t>ÖRNSKÖLDSVIK</t>
        </is>
      </c>
      <c r="G11675" t="n">
        <v>3.9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11393-2026</t>
        </is>
      </c>
      <c r="B11676" s="1" t="n">
        <v>46083</v>
      </c>
      <c r="C11676" s="1" t="n">
        <v>46093</v>
      </c>
      <c r="D11676" t="inlineStr">
        <is>
          <t>VÄSTERNORRLANDS LÄN</t>
        </is>
      </c>
      <c r="E11676" t="inlineStr">
        <is>
          <t>ÖRNSKÖLDSVIK</t>
        </is>
      </c>
      <c r="G11676" t="n">
        <v>59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12442-2026</t>
        </is>
      </c>
      <c r="B11677" s="1" t="n">
        <v>46090.47835648148</v>
      </c>
      <c r="C11677" s="1" t="n">
        <v>46093</v>
      </c>
      <c r="D11677" t="inlineStr">
        <is>
          <t>VÄSTERNORRLANDS LÄN</t>
        </is>
      </c>
      <c r="E11677" t="inlineStr">
        <is>
          <t>ÖRNSKÖLDSVIK</t>
        </is>
      </c>
      <c r="G11677" t="n">
        <v>1.1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26585-2025</t>
        </is>
      </c>
      <c r="B11678" s="1" t="n">
        <v>45807.73674768519</v>
      </c>
      <c r="C11678" s="1" t="n">
        <v>46093</v>
      </c>
      <c r="D11678" t="inlineStr">
        <is>
          <t>VÄSTERNORRLANDS LÄN</t>
        </is>
      </c>
      <c r="E11678" t="inlineStr">
        <is>
          <t>ÖRNSKÖLDSVIK</t>
        </is>
      </c>
      <c r="F11678" t="inlineStr">
        <is>
          <t>Holmen skog AB</t>
        </is>
      </c>
      <c r="G11678" t="n">
        <v>3.6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26608-2025</t>
        </is>
      </c>
      <c r="B11679" s="1" t="n">
        <v>45809.98600694445</v>
      </c>
      <c r="C11679" s="1" t="n">
        <v>46093</v>
      </c>
      <c r="D11679" t="inlineStr">
        <is>
          <t>VÄSTERNORRLANDS LÄN</t>
        </is>
      </c>
      <c r="E11679" t="inlineStr">
        <is>
          <t>ÅNGE</t>
        </is>
      </c>
      <c r="G11679" t="n">
        <v>4.5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12951-2025</t>
        </is>
      </c>
      <c r="B11680" s="1" t="n">
        <v>45734.39931712963</v>
      </c>
      <c r="C11680" s="1" t="n">
        <v>46093</v>
      </c>
      <c r="D11680" t="inlineStr">
        <is>
          <t>VÄSTERNORRLANDS LÄN</t>
        </is>
      </c>
      <c r="E11680" t="inlineStr">
        <is>
          <t>KRAMFORS</t>
        </is>
      </c>
      <c r="G11680" t="n">
        <v>4.2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4219-2026</t>
        </is>
      </c>
      <c r="B11681" s="1" t="n">
        <v>46044.78854166667</v>
      </c>
      <c r="C11681" s="1" t="n">
        <v>46093</v>
      </c>
      <c r="D11681" t="inlineStr">
        <is>
          <t>VÄSTERNORRLANDS LÄN</t>
        </is>
      </c>
      <c r="E11681" t="inlineStr">
        <is>
          <t>ÖRNSKÖLDSVIK</t>
        </is>
      </c>
      <c r="G11681" t="n">
        <v>11.3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4264-2026</t>
        </is>
      </c>
      <c r="B11682" s="1" t="n">
        <v>46045.34459490741</v>
      </c>
      <c r="C11682" s="1" t="n">
        <v>46093</v>
      </c>
      <c r="D11682" t="inlineStr">
        <is>
          <t>VÄSTERNORRLANDS LÄN</t>
        </is>
      </c>
      <c r="E11682" t="inlineStr">
        <is>
          <t>HÄRNÖSAND</t>
        </is>
      </c>
      <c r="G11682" t="n">
        <v>2.8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13492-2022</t>
        </is>
      </c>
      <c r="B11683" s="1" t="n">
        <v>44646.92120370371</v>
      </c>
      <c r="C11683" s="1" t="n">
        <v>46093</v>
      </c>
      <c r="D11683" t="inlineStr">
        <is>
          <t>VÄSTERNORRLANDS LÄN</t>
        </is>
      </c>
      <c r="E11683" t="inlineStr">
        <is>
          <t>SOLLEFTEÅ</t>
        </is>
      </c>
      <c r="G11683" t="n">
        <v>8.4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4327-2026</t>
        </is>
      </c>
      <c r="B11684" s="1" t="n">
        <v>46045.46930555555</v>
      </c>
      <c r="C11684" s="1" t="n">
        <v>46093</v>
      </c>
      <c r="D11684" t="inlineStr">
        <is>
          <t>VÄSTERNORRLANDS LÄN</t>
        </is>
      </c>
      <c r="E11684" t="inlineStr">
        <is>
          <t>ÅNGE</t>
        </is>
      </c>
      <c r="G11684" t="n">
        <v>2.2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4297-2026</t>
        </is>
      </c>
      <c r="B11685" s="1" t="n">
        <v>46045.41980324074</v>
      </c>
      <c r="C11685" s="1" t="n">
        <v>46093</v>
      </c>
      <c r="D11685" t="inlineStr">
        <is>
          <t>VÄSTERNORRLANDS LÄN</t>
        </is>
      </c>
      <c r="E11685" t="inlineStr">
        <is>
          <t>SUNDSVALL</t>
        </is>
      </c>
      <c r="G11685" t="n">
        <v>2.8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26835-2025</t>
        </is>
      </c>
      <c r="B11686" s="1" t="n">
        <v>45810.65728009259</v>
      </c>
      <c r="C11686" s="1" t="n">
        <v>46093</v>
      </c>
      <c r="D11686" t="inlineStr">
        <is>
          <t>VÄSTERNORRLANDS LÄN</t>
        </is>
      </c>
      <c r="E11686" t="inlineStr">
        <is>
          <t>SUNDSVALL</t>
        </is>
      </c>
      <c r="F11686" t="inlineStr">
        <is>
          <t>SCA</t>
        </is>
      </c>
      <c r="G11686" t="n">
        <v>0.1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26836-2025</t>
        </is>
      </c>
      <c r="B11687" s="1" t="n">
        <v>45810.65738425926</v>
      </c>
      <c r="C11687" s="1" t="n">
        <v>46093</v>
      </c>
      <c r="D11687" t="inlineStr">
        <is>
          <t>VÄSTERNORRLANDS LÄN</t>
        </is>
      </c>
      <c r="E11687" t="inlineStr">
        <is>
          <t>SUNDSVALL</t>
        </is>
      </c>
      <c r="F11687" t="inlineStr">
        <is>
          <t>SCA</t>
        </is>
      </c>
      <c r="G11687" t="n">
        <v>0.5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42242-2023</t>
        </is>
      </c>
      <c r="B11688" s="1" t="n">
        <v>45180.35025462963</v>
      </c>
      <c r="C11688" s="1" t="n">
        <v>46093</v>
      </c>
      <c r="D11688" t="inlineStr">
        <is>
          <t>VÄSTERNORRLANDS LÄN</t>
        </is>
      </c>
      <c r="E11688" t="inlineStr">
        <is>
          <t>ÅNGE</t>
        </is>
      </c>
      <c r="G11688" t="n">
        <v>5.7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4746-2026</t>
        </is>
      </c>
      <c r="B11689" s="1" t="n">
        <v>46048.51106481482</v>
      </c>
      <c r="C11689" s="1" t="n">
        <v>46093</v>
      </c>
      <c r="D11689" t="inlineStr">
        <is>
          <t>VÄSTERNORRLANDS LÄN</t>
        </is>
      </c>
      <c r="E11689" t="inlineStr">
        <is>
          <t>SUNDSVALL</t>
        </is>
      </c>
      <c r="F11689" t="inlineStr">
        <is>
          <t>SCA</t>
        </is>
      </c>
      <c r="G11689" t="n">
        <v>31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4391-2026</t>
        </is>
      </c>
      <c r="B11690" s="1" t="n">
        <v>46045.5743287037</v>
      </c>
      <c r="C11690" s="1" t="n">
        <v>46093</v>
      </c>
      <c r="D11690" t="inlineStr">
        <is>
          <t>VÄSTERNORRLANDS LÄN</t>
        </is>
      </c>
      <c r="E11690" t="inlineStr">
        <is>
          <t>ÖRNSKÖLDSVIK</t>
        </is>
      </c>
      <c r="G11690" t="n">
        <v>2.5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26570-2025</t>
        </is>
      </c>
      <c r="B11691" s="1" t="n">
        <v>45807.67743055556</v>
      </c>
      <c r="C11691" s="1" t="n">
        <v>46093</v>
      </c>
      <c r="D11691" t="inlineStr">
        <is>
          <t>VÄSTERNORRLANDS LÄN</t>
        </is>
      </c>
      <c r="E11691" t="inlineStr">
        <is>
          <t>SOLLEFTEÅ</t>
        </is>
      </c>
      <c r="F11691" t="inlineStr">
        <is>
          <t>SCA</t>
        </is>
      </c>
      <c r="G11691" t="n">
        <v>2.1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4526-2026</t>
        </is>
      </c>
      <c r="B11692" s="1" t="n">
        <v>46046</v>
      </c>
      <c r="C11692" s="1" t="n">
        <v>46093</v>
      </c>
      <c r="D11692" t="inlineStr">
        <is>
          <t>VÄSTERNORRLANDS LÄN</t>
        </is>
      </c>
      <c r="E11692" t="inlineStr">
        <is>
          <t>KRAMFORS</t>
        </is>
      </c>
      <c r="G11692" t="n">
        <v>8.199999999999999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704-2026</t>
        </is>
      </c>
      <c r="B11693" s="1" t="n">
        <v>46029</v>
      </c>
      <c r="C11693" s="1" t="n">
        <v>46093</v>
      </c>
      <c r="D11693" t="inlineStr">
        <is>
          <t>VÄSTERNORRLANDS LÄN</t>
        </is>
      </c>
      <c r="E11693" t="inlineStr">
        <is>
          <t>TIMRÅ</t>
        </is>
      </c>
      <c r="F11693" t="inlineStr">
        <is>
          <t>Kyrkan</t>
        </is>
      </c>
      <c r="G11693" t="n">
        <v>1.8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62690-2021</t>
        </is>
      </c>
      <c r="B11694" s="1" t="n">
        <v>44504.32494212963</v>
      </c>
      <c r="C11694" s="1" t="n">
        <v>46093</v>
      </c>
      <c r="D11694" t="inlineStr">
        <is>
          <t>VÄSTERNORRLANDS LÄN</t>
        </is>
      </c>
      <c r="E11694" t="inlineStr">
        <is>
          <t>ÖRNSKÖLDSVIK</t>
        </is>
      </c>
      <c r="G11694" t="n">
        <v>1.3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7608-2025</t>
        </is>
      </c>
      <c r="B11695" s="1" t="n">
        <v>45705.67105324074</v>
      </c>
      <c r="C11695" s="1" t="n">
        <v>46093</v>
      </c>
      <c r="D11695" t="inlineStr">
        <is>
          <t>VÄSTERNORRLANDS LÄN</t>
        </is>
      </c>
      <c r="E11695" t="inlineStr">
        <is>
          <t>ÖRNSKÖLDSVIK</t>
        </is>
      </c>
      <c r="G11695" t="n">
        <v>3.6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50325-2024</t>
        </is>
      </c>
      <c r="B11696" s="1" t="n">
        <v>45600</v>
      </c>
      <c r="C11696" s="1" t="n">
        <v>46093</v>
      </c>
      <c r="D11696" t="inlineStr">
        <is>
          <t>VÄSTERNORRLANDS LÄN</t>
        </is>
      </c>
      <c r="E11696" t="inlineStr">
        <is>
          <t>SUNDSVALL</t>
        </is>
      </c>
      <c r="G11696" t="n">
        <v>4.2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3083-2025</t>
        </is>
      </c>
      <c r="B11697" s="1" t="n">
        <v>45678.64456018519</v>
      </c>
      <c r="C11697" s="1" t="n">
        <v>46093</v>
      </c>
      <c r="D11697" t="inlineStr">
        <is>
          <t>VÄSTERNORRLANDS LÄN</t>
        </is>
      </c>
      <c r="E11697" t="inlineStr">
        <is>
          <t>KRAMFORS</t>
        </is>
      </c>
      <c r="G11697" t="n">
        <v>9.6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4726-2026</t>
        </is>
      </c>
      <c r="B11698" s="1" t="n">
        <v>46045</v>
      </c>
      <c r="C11698" s="1" t="n">
        <v>46093</v>
      </c>
      <c r="D11698" t="inlineStr">
        <is>
          <t>VÄSTERNORRLANDS LÄN</t>
        </is>
      </c>
      <c r="E11698" t="inlineStr">
        <is>
          <t>ÖRNSKÖLDSVIK</t>
        </is>
      </c>
      <c r="G11698" t="n">
        <v>2.3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4262-2026</t>
        </is>
      </c>
      <c r="B11699" s="1" t="n">
        <v>46045.34431712963</v>
      </c>
      <c r="C11699" s="1" t="n">
        <v>46093</v>
      </c>
      <c r="D11699" t="inlineStr">
        <is>
          <t>VÄSTERNORRLANDS LÄN</t>
        </is>
      </c>
      <c r="E11699" t="inlineStr">
        <is>
          <t>ÅNGE</t>
        </is>
      </c>
      <c r="F11699" t="inlineStr">
        <is>
          <t>SCA</t>
        </is>
      </c>
      <c r="G11699" t="n">
        <v>2.1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4764-2026</t>
        </is>
      </c>
      <c r="B11700" s="1" t="n">
        <v>46048</v>
      </c>
      <c r="C11700" s="1" t="n">
        <v>46093</v>
      </c>
      <c r="D11700" t="inlineStr">
        <is>
          <t>VÄSTERNORRLANDS LÄN</t>
        </is>
      </c>
      <c r="E11700" t="inlineStr">
        <is>
          <t>KRAMFORS</t>
        </is>
      </c>
      <c r="G11700" t="n">
        <v>2.7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4773-2026</t>
        </is>
      </c>
      <c r="B11701" s="1" t="n">
        <v>46048.54774305555</v>
      </c>
      <c r="C11701" s="1" t="n">
        <v>46093</v>
      </c>
      <c r="D11701" t="inlineStr">
        <is>
          <t>VÄSTERNORRLANDS LÄN</t>
        </is>
      </c>
      <c r="E11701" t="inlineStr">
        <is>
          <t>KRAMFORS</t>
        </is>
      </c>
      <c r="G11701" t="n">
        <v>0.9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4808-2026</t>
        </is>
      </c>
      <c r="B11702" s="1" t="n">
        <v>46048</v>
      </c>
      <c r="C11702" s="1" t="n">
        <v>46093</v>
      </c>
      <c r="D11702" t="inlineStr">
        <is>
          <t>VÄSTERNORRLANDS LÄN</t>
        </is>
      </c>
      <c r="E11702" t="inlineStr">
        <is>
          <t>SUNDSVALL</t>
        </is>
      </c>
      <c r="F11702" t="inlineStr">
        <is>
          <t>Holmen skog AB</t>
        </is>
      </c>
      <c r="G11702" t="n">
        <v>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31453-2022</t>
        </is>
      </c>
      <c r="B11703" s="1" t="n">
        <v>44774.94159722222</v>
      </c>
      <c r="C11703" s="1" t="n">
        <v>46093</v>
      </c>
      <c r="D11703" t="inlineStr">
        <is>
          <t>VÄSTERNORRLANDS LÄN</t>
        </is>
      </c>
      <c r="E11703" t="inlineStr">
        <is>
          <t>SOLLEFTEÅ</t>
        </is>
      </c>
      <c r="F11703" t="inlineStr">
        <is>
          <t>SCA</t>
        </is>
      </c>
      <c r="G11703" t="n">
        <v>1.5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22473-2024</t>
        </is>
      </c>
      <c r="B11704" s="1" t="n">
        <v>45446</v>
      </c>
      <c r="C11704" s="1" t="n">
        <v>46093</v>
      </c>
      <c r="D11704" t="inlineStr">
        <is>
          <t>VÄSTERNORRLANDS LÄN</t>
        </is>
      </c>
      <c r="E11704" t="inlineStr">
        <is>
          <t>SOLLEFTEÅ</t>
        </is>
      </c>
      <c r="G11704" t="n">
        <v>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4293-2026</t>
        </is>
      </c>
      <c r="B11705" s="1" t="n">
        <v>46045.41609953704</v>
      </c>
      <c r="C11705" s="1" t="n">
        <v>46093</v>
      </c>
      <c r="D11705" t="inlineStr">
        <is>
          <t>VÄSTERNORRLANDS LÄN</t>
        </is>
      </c>
      <c r="E11705" t="inlineStr">
        <is>
          <t>SUNDSVALL</t>
        </is>
      </c>
      <c r="G11705" t="n">
        <v>0.7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26642-2025</t>
        </is>
      </c>
      <c r="B11706" s="1" t="n">
        <v>45810.36521990741</v>
      </c>
      <c r="C11706" s="1" t="n">
        <v>46093</v>
      </c>
      <c r="D11706" t="inlineStr">
        <is>
          <t>VÄSTERNORRLANDS LÄN</t>
        </is>
      </c>
      <c r="E11706" t="inlineStr">
        <is>
          <t>SOLLEFTEÅ</t>
        </is>
      </c>
      <c r="G11706" t="n">
        <v>4.2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26409-2025</t>
        </is>
      </c>
      <c r="B11707" s="1" t="n">
        <v>45807.344375</v>
      </c>
      <c r="C11707" s="1" t="n">
        <v>46093</v>
      </c>
      <c r="D11707" t="inlineStr">
        <is>
          <t>VÄSTERNORRLANDS LÄN</t>
        </is>
      </c>
      <c r="E11707" t="inlineStr">
        <is>
          <t>SOLLEFTEÅ</t>
        </is>
      </c>
      <c r="F11707" t="inlineStr">
        <is>
          <t>SCA</t>
        </is>
      </c>
      <c r="G11707" t="n">
        <v>2.4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26477-2025</t>
        </is>
      </c>
      <c r="B11708" s="1" t="n">
        <v>45807.47011574074</v>
      </c>
      <c r="C11708" s="1" t="n">
        <v>46093</v>
      </c>
      <c r="D11708" t="inlineStr">
        <is>
          <t>VÄSTERNORRLANDS LÄN</t>
        </is>
      </c>
      <c r="E11708" t="inlineStr">
        <is>
          <t>SOLLEFTEÅ</t>
        </is>
      </c>
      <c r="F11708" t="inlineStr">
        <is>
          <t>SCA</t>
        </is>
      </c>
      <c r="G11708" t="n">
        <v>1.2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26553-2025</t>
        </is>
      </c>
      <c r="B11709" s="1" t="n">
        <v>45807.61503472222</v>
      </c>
      <c r="C11709" s="1" t="n">
        <v>46093</v>
      </c>
      <c r="D11709" t="inlineStr">
        <is>
          <t>VÄSTERNORRLANDS LÄN</t>
        </is>
      </c>
      <c r="E11709" t="inlineStr">
        <is>
          <t>KRAMFORS</t>
        </is>
      </c>
      <c r="F11709" t="inlineStr">
        <is>
          <t>SCA</t>
        </is>
      </c>
      <c r="G11709" t="n">
        <v>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23513-2023</t>
        </is>
      </c>
      <c r="B11710" s="1" t="n">
        <v>45076</v>
      </c>
      <c r="C11710" s="1" t="n">
        <v>46093</v>
      </c>
      <c r="D11710" t="inlineStr">
        <is>
          <t>VÄSTERNORRLANDS LÄN</t>
        </is>
      </c>
      <c r="E11710" t="inlineStr">
        <is>
          <t>SUNDSVALL</t>
        </is>
      </c>
      <c r="G11710" t="n">
        <v>3.7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6419-2024</t>
        </is>
      </c>
      <c r="B11711" s="1" t="n">
        <v>45338.61928240741</v>
      </c>
      <c r="C11711" s="1" t="n">
        <v>46093</v>
      </c>
      <c r="D11711" t="inlineStr">
        <is>
          <t>VÄSTERNORRLANDS LÄN</t>
        </is>
      </c>
      <c r="E11711" t="inlineStr">
        <is>
          <t>ÖRNSKÖLDSVIK</t>
        </is>
      </c>
      <c r="F11711" t="inlineStr">
        <is>
          <t>Holmen skog AB</t>
        </is>
      </c>
      <c r="G11711" t="n">
        <v>1.5</v>
      </c>
      <c r="H11711" t="n">
        <v>0</v>
      </c>
      <c r="I11711" t="n">
        <v>0</v>
      </c>
      <c r="J11711" t="n">
        <v>0</v>
      </c>
      <c r="K11711" t="n">
        <v>0</v>
      </c>
      <c r="L11711" t="n">
        <v>0</v>
      </c>
      <c r="M11711" t="n">
        <v>0</v>
      </c>
      <c r="N11711" t="n">
        <v>0</v>
      </c>
      <c r="O11711" t="n">
        <v>0</v>
      </c>
      <c r="P11711" t="n">
        <v>0</v>
      </c>
      <c r="Q11711" t="n">
        <v>0</v>
      </c>
      <c r="R11711" s="2" t="inlineStr"/>
      <c r="U11711">
        <f>HYPERLINK("https://klasma.github.io/Logging_2284/knärot/A 6419-2024 karta knärot.png", "A 6419-2024")</f>
        <v/>
      </c>
      <c r="V11711">
        <f>HYPERLINK("https://klasma.github.io/Logging_2284/klagomål/A 6419-2024 FSC-klagomål.docx", "A 6419-2024")</f>
        <v/>
      </c>
      <c r="W11711">
        <f>HYPERLINK("https://klasma.github.io/Logging_2284/klagomålsmail/A 6419-2024 FSC-klagomål mail.docx", "A 6419-2024")</f>
        <v/>
      </c>
      <c r="X11711">
        <f>HYPERLINK("https://klasma.github.io/Logging_2284/tillsyn/A 6419-2024 tillsynsbegäran.docx", "A 6419-2024")</f>
        <v/>
      </c>
      <c r="Y11711">
        <f>HYPERLINK("https://klasma.github.io/Logging_2284/tillsynsmail/A 6419-2024 tillsynsbegäran mail.docx", "A 6419-2024")</f>
        <v/>
      </c>
    </row>
    <row r="11712" ht="15" customHeight="1">
      <c r="A11712" t="inlineStr">
        <is>
          <t>A 26641-2025</t>
        </is>
      </c>
      <c r="B11712" s="1" t="n">
        <v>45810.36509259259</v>
      </c>
      <c r="C11712" s="1" t="n">
        <v>46093</v>
      </c>
      <c r="D11712" t="inlineStr">
        <is>
          <t>VÄSTERNORRLANDS LÄN</t>
        </is>
      </c>
      <c r="E11712" t="inlineStr">
        <is>
          <t>SOLLEFTEÅ</t>
        </is>
      </c>
      <c r="F11712" t="inlineStr">
        <is>
          <t>SCA</t>
        </is>
      </c>
      <c r="G11712" t="n">
        <v>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5390-2026</t>
        </is>
      </c>
      <c r="B11713" s="1" t="n">
        <v>46050.46929398148</v>
      </c>
      <c r="C11713" s="1" t="n">
        <v>46093</v>
      </c>
      <c r="D11713" t="inlineStr">
        <is>
          <t>VÄSTERNORRLANDS LÄN</t>
        </is>
      </c>
      <c r="E11713" t="inlineStr">
        <is>
          <t>SOLLEFTEÅ</t>
        </is>
      </c>
      <c r="G11713" t="n">
        <v>1.6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5391-2026</t>
        </is>
      </c>
      <c r="B11714" s="1" t="n">
        <v>46050.47145833333</v>
      </c>
      <c r="C11714" s="1" t="n">
        <v>46093</v>
      </c>
      <c r="D11714" t="inlineStr">
        <is>
          <t>VÄSTERNORRLANDS LÄN</t>
        </is>
      </c>
      <c r="E11714" t="inlineStr">
        <is>
          <t>ÅNGE</t>
        </is>
      </c>
      <c r="G11714" t="n">
        <v>1.9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5294-2026</t>
        </is>
      </c>
      <c r="B11715" s="1" t="n">
        <v>46050</v>
      </c>
      <c r="C11715" s="1" t="n">
        <v>46093</v>
      </c>
      <c r="D11715" t="inlineStr">
        <is>
          <t>VÄSTERNORRLANDS LÄN</t>
        </is>
      </c>
      <c r="E11715" t="inlineStr">
        <is>
          <t>TIMRÅ</t>
        </is>
      </c>
      <c r="G11715" t="n">
        <v>2.4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5296-2026</t>
        </is>
      </c>
      <c r="B11716" s="1" t="n">
        <v>46050</v>
      </c>
      <c r="C11716" s="1" t="n">
        <v>46093</v>
      </c>
      <c r="D11716" t="inlineStr">
        <is>
          <t>VÄSTERNORRLANDS LÄN</t>
        </is>
      </c>
      <c r="E11716" t="inlineStr">
        <is>
          <t>TIMRÅ</t>
        </is>
      </c>
      <c r="G11716" t="n">
        <v>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5320-2026</t>
        </is>
      </c>
      <c r="B11717" s="1" t="n">
        <v>46050.38601851852</v>
      </c>
      <c r="C11717" s="1" t="n">
        <v>46093</v>
      </c>
      <c r="D11717" t="inlineStr">
        <is>
          <t>VÄSTERNORRLANDS LÄN</t>
        </is>
      </c>
      <c r="E11717" t="inlineStr">
        <is>
          <t>SUNDSVALL</t>
        </is>
      </c>
      <c r="F11717" t="inlineStr">
        <is>
          <t>SCA</t>
        </is>
      </c>
      <c r="G11717" t="n">
        <v>25.6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26428-2025</t>
        </is>
      </c>
      <c r="B11718" s="1" t="n">
        <v>45807.38597222222</v>
      </c>
      <c r="C11718" s="1" t="n">
        <v>46093</v>
      </c>
      <c r="D11718" t="inlineStr">
        <is>
          <t>VÄSTERNORRLANDS LÄN</t>
        </is>
      </c>
      <c r="E11718" t="inlineStr">
        <is>
          <t>SUNDSVALL</t>
        </is>
      </c>
      <c r="F11718" t="inlineStr">
        <is>
          <t>SCA</t>
        </is>
      </c>
      <c r="G11718" t="n">
        <v>7.2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26435-2025</t>
        </is>
      </c>
      <c r="B11719" s="1" t="n">
        <v>45807.39837962963</v>
      </c>
      <c r="C11719" s="1" t="n">
        <v>46093</v>
      </c>
      <c r="D11719" t="inlineStr">
        <is>
          <t>VÄSTERNORRLANDS LÄN</t>
        </is>
      </c>
      <c r="E11719" t="inlineStr">
        <is>
          <t>ÖRNSKÖLDSVIK</t>
        </is>
      </c>
      <c r="F11719" t="inlineStr">
        <is>
          <t>Holmen skog AB</t>
        </is>
      </c>
      <c r="G11719" t="n">
        <v>2.1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5354-2026</t>
        </is>
      </c>
      <c r="B11720" s="1" t="n">
        <v>46048</v>
      </c>
      <c r="C11720" s="1" t="n">
        <v>46093</v>
      </c>
      <c r="D11720" t="inlineStr">
        <is>
          <t>VÄSTERNORRLANDS LÄN</t>
        </is>
      </c>
      <c r="E11720" t="inlineStr">
        <is>
          <t>TIMRÅ</t>
        </is>
      </c>
      <c r="G11720" t="n">
        <v>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36790-2023</t>
        </is>
      </c>
      <c r="B11721" s="1" t="n">
        <v>45154.36418981481</v>
      </c>
      <c r="C11721" s="1" t="n">
        <v>46093</v>
      </c>
      <c r="D11721" t="inlineStr">
        <is>
          <t>VÄSTERNORRLANDS LÄN</t>
        </is>
      </c>
      <c r="E11721" t="inlineStr">
        <is>
          <t>ÅNGE</t>
        </is>
      </c>
      <c r="G11721" t="n">
        <v>1.4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49531-2023</t>
        </is>
      </c>
      <c r="B11722" s="1" t="n">
        <v>45205</v>
      </c>
      <c r="C11722" s="1" t="n">
        <v>46093</v>
      </c>
      <c r="D11722" t="inlineStr">
        <is>
          <t>VÄSTERNORRLANDS LÄN</t>
        </is>
      </c>
      <c r="E11722" t="inlineStr">
        <is>
          <t>HÄRNÖSAND</t>
        </is>
      </c>
      <c r="G11722" t="n">
        <v>7.9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26733-2025</t>
        </is>
      </c>
      <c r="B11723" s="1" t="n">
        <v>45810.51078703703</v>
      </c>
      <c r="C11723" s="1" t="n">
        <v>46093</v>
      </c>
      <c r="D11723" t="inlineStr">
        <is>
          <t>VÄSTERNORRLANDS LÄN</t>
        </is>
      </c>
      <c r="E11723" t="inlineStr">
        <is>
          <t>SOLLEFTEÅ</t>
        </is>
      </c>
      <c r="F11723" t="inlineStr">
        <is>
          <t>SCA</t>
        </is>
      </c>
      <c r="G11723" t="n">
        <v>3.8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48824-2024</t>
        </is>
      </c>
      <c r="B11724" s="1" t="n">
        <v>45593.68525462963</v>
      </c>
      <c r="C11724" s="1" t="n">
        <v>46093</v>
      </c>
      <c r="D11724" t="inlineStr">
        <is>
          <t>VÄSTERNORRLANDS LÄN</t>
        </is>
      </c>
      <c r="E11724" t="inlineStr">
        <is>
          <t>KRAMFORS</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12340-2026</t>
        </is>
      </c>
      <c r="B11725" s="1" t="n">
        <v>46087</v>
      </c>
      <c r="C11725" s="1" t="n">
        <v>46093</v>
      </c>
      <c r="D11725" t="inlineStr">
        <is>
          <t>VÄSTERNORRLANDS LÄN</t>
        </is>
      </c>
      <c r="E11725" t="inlineStr">
        <is>
          <t>HÄRNÖSAND</t>
        </is>
      </c>
      <c r="F11725" t="inlineStr">
        <is>
          <t>Övriga statliga verk och myndigheter</t>
        </is>
      </c>
      <c r="G11725" t="n">
        <v>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55488-2023</t>
        </is>
      </c>
      <c r="B11726" s="1" t="n">
        <v>45238.54039351852</v>
      </c>
      <c r="C11726" s="1" t="n">
        <v>46093</v>
      </c>
      <c r="D11726" t="inlineStr">
        <is>
          <t>VÄSTERNORRLANDS LÄN</t>
        </is>
      </c>
      <c r="E11726" t="inlineStr">
        <is>
          <t>ÖRNSKÖLDSVIK</t>
        </is>
      </c>
      <c r="G11726" t="n">
        <v>1.5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26734-2025</t>
        </is>
      </c>
      <c r="B11727" s="1" t="n">
        <v>45810.51087962963</v>
      </c>
      <c r="C11727" s="1" t="n">
        <v>46093</v>
      </c>
      <c r="D11727" t="inlineStr">
        <is>
          <t>VÄSTERNORRLANDS LÄN</t>
        </is>
      </c>
      <c r="E11727" t="inlineStr">
        <is>
          <t>ÅNGE</t>
        </is>
      </c>
      <c r="G11727" t="n">
        <v>1.5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62003-2024</t>
        </is>
      </c>
      <c r="B11728" s="1" t="n">
        <v>45654.98542824074</v>
      </c>
      <c r="C11728" s="1" t="n">
        <v>46093</v>
      </c>
      <c r="D11728" t="inlineStr">
        <is>
          <t>VÄSTERNORRLANDS LÄN</t>
        </is>
      </c>
      <c r="E11728" t="inlineStr">
        <is>
          <t>KRAMFORS</t>
        </is>
      </c>
      <c r="G11728" t="n">
        <v>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61327-2023</t>
        </is>
      </c>
      <c r="B11729" s="1" t="n">
        <v>45264</v>
      </c>
      <c r="C11729" s="1" t="n">
        <v>46093</v>
      </c>
      <c r="D11729" t="inlineStr">
        <is>
          <t>VÄSTERNORRLANDS LÄN</t>
        </is>
      </c>
      <c r="E11729" t="inlineStr">
        <is>
          <t>ÖRNSKÖLDSVIK</t>
        </is>
      </c>
      <c r="F11729" t="inlineStr">
        <is>
          <t>Övriga Aktiebolag</t>
        </is>
      </c>
      <c r="G11729" t="n">
        <v>4.7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21776-2023</t>
        </is>
      </c>
      <c r="B11730" s="1" t="n">
        <v>45065.9264699074</v>
      </c>
      <c r="C11730" s="1" t="n">
        <v>46093</v>
      </c>
      <c r="D11730" t="inlineStr">
        <is>
          <t>VÄSTERNORRLANDS LÄN</t>
        </is>
      </c>
      <c r="E11730" t="inlineStr">
        <is>
          <t>SUNDSVALL</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7258-2024</t>
        </is>
      </c>
      <c r="B11731" s="1" t="n">
        <v>45344.74564814815</v>
      </c>
      <c r="C11731" s="1" t="n">
        <v>46093</v>
      </c>
      <c r="D11731" t="inlineStr">
        <is>
          <t>VÄSTERNORRLANDS LÄN</t>
        </is>
      </c>
      <c r="E11731" t="inlineStr">
        <is>
          <t>SOLLEFTEÅ</t>
        </is>
      </c>
      <c r="G11731" t="n">
        <v>4.1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26584-2025</t>
        </is>
      </c>
      <c r="B11732" s="1" t="n">
        <v>45807.73172453704</v>
      </c>
      <c r="C11732" s="1" t="n">
        <v>46093</v>
      </c>
      <c r="D11732" t="inlineStr">
        <is>
          <t>VÄSTERNORRLANDS LÄN</t>
        </is>
      </c>
      <c r="E11732" t="inlineStr">
        <is>
          <t>ÖRNSKÖLDSVIK</t>
        </is>
      </c>
      <c r="F11732" t="inlineStr">
        <is>
          <t>Holmen skog AB</t>
        </is>
      </c>
      <c r="G11732" t="n">
        <v>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12836-2026</t>
        </is>
      </c>
      <c r="B11733" s="1" t="n">
        <v>46092.42798611111</v>
      </c>
      <c r="C11733" s="1" t="n">
        <v>46093</v>
      </c>
      <c r="D11733" t="inlineStr">
        <is>
          <t>VÄSTERNORRLANDS LÄN</t>
        </is>
      </c>
      <c r="E11733" t="inlineStr">
        <is>
          <t>SOLLEFTEÅ</t>
        </is>
      </c>
      <c r="F11733" t="inlineStr">
        <is>
          <t>SCA</t>
        </is>
      </c>
      <c r="G11733" t="n">
        <v>3.8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26811-2025</t>
        </is>
      </c>
      <c r="B11734" s="1" t="n">
        <v>45810.6196412037</v>
      </c>
      <c r="C11734" s="1" t="n">
        <v>46093</v>
      </c>
      <c r="D11734" t="inlineStr">
        <is>
          <t>VÄSTERNORRLANDS LÄN</t>
        </is>
      </c>
      <c r="E11734" t="inlineStr">
        <is>
          <t>ÖRNSKÖLDSVIK</t>
        </is>
      </c>
      <c r="F11734" t="inlineStr">
        <is>
          <t>Holmen skog AB</t>
        </is>
      </c>
      <c r="G11734" t="n">
        <v>1.4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12918-2026</t>
        </is>
      </c>
      <c r="B11735" s="1" t="n">
        <v>46092.59415509259</v>
      </c>
      <c r="C11735" s="1" t="n">
        <v>46093</v>
      </c>
      <c r="D11735" t="inlineStr">
        <is>
          <t>VÄSTERNORRLANDS LÄN</t>
        </is>
      </c>
      <c r="E11735" t="inlineStr">
        <is>
          <t>SUNDSVALL</t>
        </is>
      </c>
      <c r="G11735" t="n">
        <v>3.5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11231-2025</t>
        </is>
      </c>
      <c r="B11736" s="1" t="n">
        <v>45726</v>
      </c>
      <c r="C11736" s="1" t="n">
        <v>46093</v>
      </c>
      <c r="D11736" t="inlineStr">
        <is>
          <t>VÄSTERNORRLANDS LÄN</t>
        </is>
      </c>
      <c r="E11736" t="inlineStr">
        <is>
          <t>KRAMFORS</t>
        </is>
      </c>
      <c r="G11736" t="n">
        <v>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4961-2026</t>
        </is>
      </c>
      <c r="B11737" s="1" t="n">
        <v>46049.31530092593</v>
      </c>
      <c r="C11737" s="1" t="n">
        <v>46093</v>
      </c>
      <c r="D11737" t="inlineStr">
        <is>
          <t>VÄSTERNORRLANDS LÄN</t>
        </is>
      </c>
      <c r="E11737" t="inlineStr">
        <is>
          <t>KRAMFORS</t>
        </is>
      </c>
      <c r="G11737" t="n">
        <v>1.7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12613-2026</t>
        </is>
      </c>
      <c r="B11738" s="1" t="n">
        <v>46091.40384259259</v>
      </c>
      <c r="C11738" s="1" t="n">
        <v>46093</v>
      </c>
      <c r="D11738" t="inlineStr">
        <is>
          <t>VÄSTERNORRLANDS LÄN</t>
        </is>
      </c>
      <c r="E11738" t="inlineStr">
        <is>
          <t>HÄRNÖSAND</t>
        </is>
      </c>
      <c r="G11738" t="n">
        <v>1.3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26407-2025</t>
        </is>
      </c>
      <c r="B11739" s="1" t="n">
        <v>45807.34410879629</v>
      </c>
      <c r="C11739" s="1" t="n">
        <v>46093</v>
      </c>
      <c r="D11739" t="inlineStr">
        <is>
          <t>VÄSTERNORRLANDS LÄN</t>
        </is>
      </c>
      <c r="E11739" t="inlineStr">
        <is>
          <t>SUNDSVALL</t>
        </is>
      </c>
      <c r="F11739" t="inlineStr">
        <is>
          <t>SCA</t>
        </is>
      </c>
      <c r="G11739" t="n">
        <v>1.7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12623-2026</t>
        </is>
      </c>
      <c r="B11740" s="1" t="n">
        <v>46091.43540509259</v>
      </c>
      <c r="C11740" s="1" t="n">
        <v>46093</v>
      </c>
      <c r="D11740" t="inlineStr">
        <is>
          <t>VÄSTERNORRLANDS LÄN</t>
        </is>
      </c>
      <c r="E11740" t="inlineStr">
        <is>
          <t>HÄRNÖSAND</t>
        </is>
      </c>
      <c r="G11740" t="n">
        <v>1.5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16599-2025</t>
        </is>
      </c>
      <c r="B11741" s="1" t="n">
        <v>45753.51782407407</v>
      </c>
      <c r="C11741" s="1" t="n">
        <v>46093</v>
      </c>
      <c r="D11741" t="inlineStr">
        <is>
          <t>VÄSTERNORRLANDS LÄN</t>
        </is>
      </c>
      <c r="E11741" t="inlineStr">
        <is>
          <t>KRAMFORS</t>
        </is>
      </c>
      <c r="G11741" t="n">
        <v>5.7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12974-2026</t>
        </is>
      </c>
      <c r="B11742" s="1" t="n">
        <v>46092.65739583333</v>
      </c>
      <c r="C11742" s="1" t="n">
        <v>46093</v>
      </c>
      <c r="D11742" t="inlineStr">
        <is>
          <t>VÄSTERNORRLANDS LÄN</t>
        </is>
      </c>
      <c r="E11742" t="inlineStr">
        <is>
          <t>TIMRÅ</t>
        </is>
      </c>
      <c r="F11742" t="inlineStr">
        <is>
          <t>SCA</t>
        </is>
      </c>
      <c r="G11742" t="n">
        <v>0.5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12976-2026</t>
        </is>
      </c>
      <c r="B11743" s="1" t="n">
        <v>46092.65748842592</v>
      </c>
      <c r="C11743" s="1" t="n">
        <v>46093</v>
      </c>
      <c r="D11743" t="inlineStr">
        <is>
          <t>VÄSTERNORRLANDS LÄN</t>
        </is>
      </c>
      <c r="E11743" t="inlineStr">
        <is>
          <t>TIMRÅ</t>
        </is>
      </c>
      <c r="F11743" t="inlineStr">
        <is>
          <t>SCA</t>
        </is>
      </c>
      <c r="G11743" t="n">
        <v>0.4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12978-2026</t>
        </is>
      </c>
      <c r="B11744" s="1" t="n">
        <v>46092.65759259259</v>
      </c>
      <c r="C11744" s="1" t="n">
        <v>46093</v>
      </c>
      <c r="D11744" t="inlineStr">
        <is>
          <t>VÄSTERNORRLANDS LÄN</t>
        </is>
      </c>
      <c r="E11744" t="inlineStr">
        <is>
          <t>TIMRÅ</t>
        </is>
      </c>
      <c r="F11744" t="inlineStr">
        <is>
          <t>SCA</t>
        </is>
      </c>
      <c r="G11744" t="n">
        <v>0.3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27046-2025</t>
        </is>
      </c>
      <c r="B11745" s="1" t="n">
        <v>45811.61524305555</v>
      </c>
      <c r="C11745" s="1" t="n">
        <v>46093</v>
      </c>
      <c r="D11745" t="inlineStr">
        <is>
          <t>VÄSTERNORRLANDS LÄN</t>
        </is>
      </c>
      <c r="E11745" t="inlineStr">
        <is>
          <t>SUNDSVALL</t>
        </is>
      </c>
      <c r="F11745" t="inlineStr">
        <is>
          <t>Naturvårdsverket</t>
        </is>
      </c>
      <c r="G11745" t="n">
        <v>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21434-2025</t>
        </is>
      </c>
      <c r="B11746" s="1" t="n">
        <v>45782.51702546296</v>
      </c>
      <c r="C11746" s="1" t="n">
        <v>46093</v>
      </c>
      <c r="D11746" t="inlineStr">
        <is>
          <t>VÄSTERNORRLANDS LÄN</t>
        </is>
      </c>
      <c r="E11746" t="inlineStr">
        <is>
          <t>KRAMFORS</t>
        </is>
      </c>
      <c r="G11746" t="n">
        <v>3.2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27340-2025</t>
        </is>
      </c>
      <c r="B11747" s="1" t="n">
        <v>45812.61524305555</v>
      </c>
      <c r="C11747" s="1" t="n">
        <v>46093</v>
      </c>
      <c r="D11747" t="inlineStr">
        <is>
          <t>VÄSTERNORRLANDS LÄN</t>
        </is>
      </c>
      <c r="E11747" t="inlineStr">
        <is>
          <t>SUNDSVALL</t>
        </is>
      </c>
      <c r="G11747" t="n">
        <v>3.4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61984-2024</t>
        </is>
      </c>
      <c r="B11748" s="1" t="n">
        <v>45653</v>
      </c>
      <c r="C11748" s="1" t="n">
        <v>46093</v>
      </c>
      <c r="D11748" t="inlineStr">
        <is>
          <t>VÄSTERNORRLANDS LÄN</t>
        </is>
      </c>
      <c r="E11748" t="inlineStr">
        <is>
          <t>KRAMFORS</t>
        </is>
      </c>
      <c r="G11748" t="n">
        <v>1.4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5135-2026</t>
        </is>
      </c>
      <c r="B11749" s="1" t="n">
        <v>46049.59417824074</v>
      </c>
      <c r="C11749" s="1" t="n">
        <v>46093</v>
      </c>
      <c r="D11749" t="inlineStr">
        <is>
          <t>VÄSTERNORRLANDS LÄN</t>
        </is>
      </c>
      <c r="E11749" t="inlineStr">
        <is>
          <t>ÅNGE</t>
        </is>
      </c>
      <c r="G11749" t="n">
        <v>0.2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12837-2026</t>
        </is>
      </c>
      <c r="B11750" s="1" t="n">
        <v>46092.42834490741</v>
      </c>
      <c r="C11750" s="1" t="n">
        <v>46093</v>
      </c>
      <c r="D11750" t="inlineStr">
        <is>
          <t>VÄSTERNORRLANDS LÄN</t>
        </is>
      </c>
      <c r="E11750" t="inlineStr">
        <is>
          <t>SOLLEFTEÅ</t>
        </is>
      </c>
      <c r="F11750" t="inlineStr">
        <is>
          <t>SCA</t>
        </is>
      </c>
      <c r="G11750" t="n">
        <v>5.3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5159-2026</t>
        </is>
      </c>
      <c r="B11751" s="1" t="n">
        <v>46049.61608796296</v>
      </c>
      <c r="C11751" s="1" t="n">
        <v>46093</v>
      </c>
      <c r="D11751" t="inlineStr">
        <is>
          <t>VÄSTERNORRLANDS LÄN</t>
        </is>
      </c>
      <c r="E11751" t="inlineStr">
        <is>
          <t>SOLLEFTEÅ</t>
        </is>
      </c>
      <c r="F11751" t="inlineStr">
        <is>
          <t>SCA</t>
        </is>
      </c>
      <c r="G11751" t="n">
        <v>1.5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5163-2026</t>
        </is>
      </c>
      <c r="B11752" s="1" t="n">
        <v>46049</v>
      </c>
      <c r="C11752" s="1" t="n">
        <v>46093</v>
      </c>
      <c r="D11752" t="inlineStr">
        <is>
          <t>VÄSTERNORRLANDS LÄN</t>
        </is>
      </c>
      <c r="E11752" t="inlineStr">
        <is>
          <t>KRAMFORS</t>
        </is>
      </c>
      <c r="G11752" t="n">
        <v>3.3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12630-2026</t>
        </is>
      </c>
      <c r="B11753" s="1" t="n">
        <v>46091.45033564815</v>
      </c>
      <c r="C11753" s="1" t="n">
        <v>46093</v>
      </c>
      <c r="D11753" t="inlineStr">
        <is>
          <t>VÄSTERNORRLANDS LÄN</t>
        </is>
      </c>
      <c r="E11753" t="inlineStr">
        <is>
          <t>HÄRNÖSAND</t>
        </is>
      </c>
      <c r="G11753" t="n">
        <v>9.9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19092-2025</t>
        </is>
      </c>
      <c r="B11754" s="1" t="n">
        <v>45767</v>
      </c>
      <c r="C11754" s="1" t="n">
        <v>46093</v>
      </c>
      <c r="D11754" t="inlineStr">
        <is>
          <t>VÄSTERNORRLANDS LÄN</t>
        </is>
      </c>
      <c r="E11754" t="inlineStr">
        <is>
          <t>SUNDSVALL</t>
        </is>
      </c>
      <c r="G11754" t="n">
        <v>1.3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12661-2026</t>
        </is>
      </c>
      <c r="B11755" s="1" t="n">
        <v>46091.50719907408</v>
      </c>
      <c r="C11755" s="1" t="n">
        <v>46093</v>
      </c>
      <c r="D11755" t="inlineStr">
        <is>
          <t>VÄSTERNORRLANDS LÄN</t>
        </is>
      </c>
      <c r="E11755" t="inlineStr">
        <is>
          <t>SUNDSVALL</t>
        </is>
      </c>
      <c r="G11755" t="n">
        <v>1.3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5494-2026</t>
        </is>
      </c>
      <c r="B11756" s="1" t="n">
        <v>46050</v>
      </c>
      <c r="C11756" s="1" t="n">
        <v>46093</v>
      </c>
      <c r="D11756" t="inlineStr">
        <is>
          <t>VÄSTERNORRLANDS LÄN</t>
        </is>
      </c>
      <c r="E11756" t="inlineStr">
        <is>
          <t>SUNDSVALL</t>
        </is>
      </c>
      <c r="G11756" t="n">
        <v>2.6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12806-2026</t>
        </is>
      </c>
      <c r="B11757" s="1" t="n">
        <v>46092.37825231482</v>
      </c>
      <c r="C11757" s="1" t="n">
        <v>46093</v>
      </c>
      <c r="D11757" t="inlineStr">
        <is>
          <t>VÄSTERNORRLANDS LÄN</t>
        </is>
      </c>
      <c r="E11757" t="inlineStr">
        <is>
          <t>SUNDSVALL</t>
        </is>
      </c>
      <c r="G11757" t="n">
        <v>3.5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12808-2026</t>
        </is>
      </c>
      <c r="B11758" s="1" t="n">
        <v>46092.38209490741</v>
      </c>
      <c r="C11758" s="1" t="n">
        <v>46093</v>
      </c>
      <c r="D11758" t="inlineStr">
        <is>
          <t>VÄSTERNORRLANDS LÄN</t>
        </is>
      </c>
      <c r="E11758" t="inlineStr">
        <is>
          <t>SUNDSVALL</t>
        </is>
      </c>
      <c r="G11758" t="n">
        <v>1.9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9637-2026</t>
        </is>
      </c>
      <c r="B11759" s="1" t="n">
        <v>46072</v>
      </c>
      <c r="C11759" s="1" t="n">
        <v>46093</v>
      </c>
      <c r="D11759" t="inlineStr">
        <is>
          <t>VÄSTERNORRLANDS LÄN</t>
        </is>
      </c>
      <c r="E11759" t="inlineStr">
        <is>
          <t>TIMRÅ</t>
        </is>
      </c>
      <c r="G11759" t="n">
        <v>1.3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9639-2026</t>
        </is>
      </c>
      <c r="B11760" s="1" t="n">
        <v>46072</v>
      </c>
      <c r="C11760" s="1" t="n">
        <v>46093</v>
      </c>
      <c r="D11760" t="inlineStr">
        <is>
          <t>VÄSTERNORRLANDS LÄN</t>
        </is>
      </c>
      <c r="E11760" t="inlineStr">
        <is>
          <t>TIMRÅ</t>
        </is>
      </c>
      <c r="G11760" t="n">
        <v>1.5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4815-2025</t>
        </is>
      </c>
      <c r="B11761" s="1" t="n">
        <v>45688</v>
      </c>
      <c r="C11761" s="1" t="n">
        <v>46093</v>
      </c>
      <c r="D11761" t="inlineStr">
        <is>
          <t>VÄSTERNORRLANDS LÄN</t>
        </is>
      </c>
      <c r="E11761" t="inlineStr">
        <is>
          <t>SUNDSVALL</t>
        </is>
      </c>
      <c r="G11761" t="n">
        <v>6.5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12540-2026</t>
        </is>
      </c>
      <c r="B11762" s="1" t="n">
        <v>46090</v>
      </c>
      <c r="C11762" s="1" t="n">
        <v>46093</v>
      </c>
      <c r="D11762" t="inlineStr">
        <is>
          <t>VÄSTERNORRLANDS LÄN</t>
        </is>
      </c>
      <c r="E11762" t="inlineStr">
        <is>
          <t>SUNDSVALL</t>
        </is>
      </c>
      <c r="G11762" t="n">
        <v>2.1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27023-2025</t>
        </is>
      </c>
      <c r="B11763" s="1" t="n">
        <v>45811.57342592593</v>
      </c>
      <c r="C11763" s="1" t="n">
        <v>46093</v>
      </c>
      <c r="D11763" t="inlineStr">
        <is>
          <t>VÄSTERNORRLANDS LÄN</t>
        </is>
      </c>
      <c r="E11763" t="inlineStr">
        <is>
          <t>ÅNGE</t>
        </is>
      </c>
      <c r="G11763" t="n">
        <v>0.3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4933-2025</t>
        </is>
      </c>
      <c r="B11764" s="1" t="n">
        <v>45688.68486111111</v>
      </c>
      <c r="C11764" s="1" t="n">
        <v>46093</v>
      </c>
      <c r="D11764" t="inlineStr">
        <is>
          <t>VÄSTERNORRLANDS LÄN</t>
        </is>
      </c>
      <c r="E11764" t="inlineStr">
        <is>
          <t>SUNDSVALL</t>
        </is>
      </c>
      <c r="G11764" t="n">
        <v>3.5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31662-2024</t>
        </is>
      </c>
      <c r="B11765" s="1" t="n">
        <v>45506.92857638889</v>
      </c>
      <c r="C11765" s="1" t="n">
        <v>46093</v>
      </c>
      <c r="D11765" t="inlineStr">
        <is>
          <t>VÄSTERNORRLANDS LÄN</t>
        </is>
      </c>
      <c r="E11765" t="inlineStr">
        <is>
          <t>SOLLEFTEÅ</t>
        </is>
      </c>
      <c r="G11765" t="n">
        <v>11.7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27164-2025</t>
        </is>
      </c>
      <c r="B11766" s="1" t="n">
        <v>45812.34430555555</v>
      </c>
      <c r="C11766" s="1" t="n">
        <v>46093</v>
      </c>
      <c r="D11766" t="inlineStr">
        <is>
          <t>VÄSTERNORRLANDS LÄN</t>
        </is>
      </c>
      <c r="E11766" t="inlineStr">
        <is>
          <t>ÅNGE</t>
        </is>
      </c>
      <c r="F11766" t="inlineStr">
        <is>
          <t>SCA</t>
        </is>
      </c>
      <c r="G11766" t="n">
        <v>1.7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27288-2025</t>
        </is>
      </c>
      <c r="B11767" s="1" t="n">
        <v>45812.55234953704</v>
      </c>
      <c r="C11767" s="1" t="n">
        <v>46093</v>
      </c>
      <c r="D11767" t="inlineStr">
        <is>
          <t>VÄSTERNORRLANDS LÄN</t>
        </is>
      </c>
      <c r="E11767" t="inlineStr">
        <is>
          <t>SOLLEFTEÅ</t>
        </is>
      </c>
      <c r="G11767" t="n">
        <v>0.8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27295-2025</t>
        </is>
      </c>
      <c r="B11768" s="1" t="n">
        <v>45812</v>
      </c>
      <c r="C11768" s="1" t="n">
        <v>46093</v>
      </c>
      <c r="D11768" t="inlineStr">
        <is>
          <t>VÄSTERNORRLANDS LÄN</t>
        </is>
      </c>
      <c r="E11768" t="inlineStr">
        <is>
          <t>ÖRNSKÖLDSVIK</t>
        </is>
      </c>
      <c r="F11768" t="inlineStr">
        <is>
          <t>Kommuner</t>
        </is>
      </c>
      <c r="G11768" t="n">
        <v>0.2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5156-2026</t>
        </is>
      </c>
      <c r="B11769" s="1" t="n">
        <v>46049.61560185185</v>
      </c>
      <c r="C11769" s="1" t="n">
        <v>46093</v>
      </c>
      <c r="D11769" t="inlineStr">
        <is>
          <t>VÄSTERNORRLANDS LÄN</t>
        </is>
      </c>
      <c r="E11769" t="inlineStr">
        <is>
          <t>TIMRÅ</t>
        </is>
      </c>
      <c r="F11769" t="inlineStr">
        <is>
          <t>SCA</t>
        </is>
      </c>
      <c r="G11769" t="n">
        <v>0.8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64596-2023</t>
        </is>
      </c>
      <c r="B11770" s="1" t="n">
        <v>45281</v>
      </c>
      <c r="C11770" s="1" t="n">
        <v>46093</v>
      </c>
      <c r="D11770" t="inlineStr">
        <is>
          <t>VÄSTERNORRLANDS LÄN</t>
        </is>
      </c>
      <c r="E11770" t="inlineStr">
        <is>
          <t>KRAMFORS</t>
        </is>
      </c>
      <c r="G11770" t="n">
        <v>7.1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5252-2026</t>
        </is>
      </c>
      <c r="B11771" s="1" t="n">
        <v>46050.23104166667</v>
      </c>
      <c r="C11771" s="1" t="n">
        <v>46093</v>
      </c>
      <c r="D11771" t="inlineStr">
        <is>
          <t>VÄSTERNORRLANDS LÄN</t>
        </is>
      </c>
      <c r="E11771" t="inlineStr">
        <is>
          <t>SUNDSVALL</t>
        </is>
      </c>
      <c r="G11771" t="n">
        <v>1.1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26922-2025</t>
        </is>
      </c>
      <c r="B11772" s="1" t="n">
        <v>45811.38631944444</v>
      </c>
      <c r="C11772" s="1" t="n">
        <v>46093</v>
      </c>
      <c r="D11772" t="inlineStr">
        <is>
          <t>VÄSTERNORRLANDS LÄN</t>
        </is>
      </c>
      <c r="E11772" t="inlineStr">
        <is>
          <t>HÄRNÖSAND</t>
        </is>
      </c>
      <c r="G11772" t="n">
        <v>2.4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26929-2025</t>
        </is>
      </c>
      <c r="B11773" s="1" t="n">
        <v>45811.39710648148</v>
      </c>
      <c r="C11773" s="1" t="n">
        <v>46093</v>
      </c>
      <c r="D11773" t="inlineStr">
        <is>
          <t>VÄSTERNORRLANDS LÄN</t>
        </is>
      </c>
      <c r="E11773" t="inlineStr">
        <is>
          <t>ÖRNSKÖLDSVIK</t>
        </is>
      </c>
      <c r="F11773" t="inlineStr">
        <is>
          <t>Holmen skog AB</t>
        </is>
      </c>
      <c r="G11773" t="n">
        <v>2.1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26950-2025</t>
        </is>
      </c>
      <c r="B11774" s="1" t="n">
        <v>45811.43887731482</v>
      </c>
      <c r="C11774" s="1" t="n">
        <v>46093</v>
      </c>
      <c r="D11774" t="inlineStr">
        <is>
          <t>VÄSTERNORRLANDS LÄN</t>
        </is>
      </c>
      <c r="E11774" t="inlineStr">
        <is>
          <t>ÖRNSKÖLDSVIK</t>
        </is>
      </c>
      <c r="F11774" t="inlineStr">
        <is>
          <t>Holmen skog AB</t>
        </is>
      </c>
      <c r="G11774" t="n">
        <v>2.7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5352-2026</t>
        </is>
      </c>
      <c r="B11775" s="1" t="n">
        <v>46050.43876157407</v>
      </c>
      <c r="C11775" s="1" t="n">
        <v>46093</v>
      </c>
      <c r="D11775" t="inlineStr">
        <is>
          <t>VÄSTERNORRLANDS LÄN</t>
        </is>
      </c>
      <c r="E11775" t="inlineStr">
        <is>
          <t>SUNDSVALL</t>
        </is>
      </c>
      <c r="G11775" t="n">
        <v>7.3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5416-2026</t>
        </is>
      </c>
      <c r="B11776" s="1" t="n">
        <v>46050.53677083334</v>
      </c>
      <c r="C11776" s="1" t="n">
        <v>46093</v>
      </c>
      <c r="D11776" t="inlineStr">
        <is>
          <t>VÄSTERNORRLANDS LÄN</t>
        </is>
      </c>
      <c r="E11776" t="inlineStr">
        <is>
          <t>SUNDSVALL</t>
        </is>
      </c>
      <c r="G11776" t="n">
        <v>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26921-2025</t>
        </is>
      </c>
      <c r="B11777" s="1" t="n">
        <v>45811.38575231482</v>
      </c>
      <c r="C11777" s="1" t="n">
        <v>46093</v>
      </c>
      <c r="D11777" t="inlineStr">
        <is>
          <t>VÄSTERNORRLANDS LÄN</t>
        </is>
      </c>
      <c r="E11777" t="inlineStr">
        <is>
          <t>SOLLEFTEÅ</t>
        </is>
      </c>
      <c r="F11777" t="inlineStr">
        <is>
          <t>SCA</t>
        </is>
      </c>
      <c r="G11777" t="n">
        <v>3.6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56416-2023</t>
        </is>
      </c>
      <c r="B11778" s="1" t="n">
        <v>45237</v>
      </c>
      <c r="C11778" s="1" t="n">
        <v>46093</v>
      </c>
      <c r="D11778" t="inlineStr">
        <is>
          <t>VÄSTERNORRLANDS LÄN</t>
        </is>
      </c>
      <c r="E11778" t="inlineStr">
        <is>
          <t>SOLLEFTEÅ</t>
        </is>
      </c>
      <c r="G11778" t="n">
        <v>11.2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26953-2025</t>
        </is>
      </c>
      <c r="B11779" s="1" t="n">
        <v>45811.44856481482</v>
      </c>
      <c r="C11779" s="1" t="n">
        <v>46093</v>
      </c>
      <c r="D11779" t="inlineStr">
        <is>
          <t>VÄSTERNORRLANDS LÄN</t>
        </is>
      </c>
      <c r="E11779" t="inlineStr">
        <is>
          <t>SOLLEFTEÅ</t>
        </is>
      </c>
      <c r="F11779" t="inlineStr">
        <is>
          <t>SCA</t>
        </is>
      </c>
      <c r="G11779" t="n">
        <v>8.300000000000001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27074-2025</t>
        </is>
      </c>
      <c r="B11780" s="1" t="n">
        <v>45811.64569444444</v>
      </c>
      <c r="C11780" s="1" t="n">
        <v>46093</v>
      </c>
      <c r="D11780" t="inlineStr">
        <is>
          <t>VÄSTERNORRLANDS LÄN</t>
        </is>
      </c>
      <c r="E11780" t="inlineStr">
        <is>
          <t>ÖRNSKÖLDSVIK</t>
        </is>
      </c>
      <c r="F11780" t="inlineStr">
        <is>
          <t>Holmen skog AB</t>
        </is>
      </c>
      <c r="G11780" t="n">
        <v>4.6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26901-2025</t>
        </is>
      </c>
      <c r="B11781" s="1" t="n">
        <v>45811.34457175926</v>
      </c>
      <c r="C11781" s="1" t="n">
        <v>46093</v>
      </c>
      <c r="D11781" t="inlineStr">
        <is>
          <t>VÄSTERNORRLANDS LÄN</t>
        </is>
      </c>
      <c r="E11781" t="inlineStr">
        <is>
          <t>ÅNGE</t>
        </is>
      </c>
      <c r="F11781" t="inlineStr">
        <is>
          <t>SCA</t>
        </is>
      </c>
      <c r="G11781" t="n">
        <v>3.7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27799-2023</t>
        </is>
      </c>
      <c r="B11782" s="1" t="n">
        <v>45098</v>
      </c>
      <c r="C11782" s="1" t="n">
        <v>46093</v>
      </c>
      <c r="D11782" t="inlineStr">
        <is>
          <t>VÄSTERNORRLANDS LÄN</t>
        </is>
      </c>
      <c r="E11782" t="inlineStr">
        <is>
          <t>ÖRNSKÖLDSVIK</t>
        </is>
      </c>
      <c r="F11782" t="inlineStr">
        <is>
          <t>Holmen skog AB</t>
        </is>
      </c>
      <c r="G11782" t="n">
        <v>10.3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26891-2025</t>
        </is>
      </c>
      <c r="B11783" s="1" t="n">
        <v>45811.33006944445</v>
      </c>
      <c r="C11783" s="1" t="n">
        <v>46093</v>
      </c>
      <c r="D11783" t="inlineStr">
        <is>
          <t>VÄSTERNORRLANDS LÄN</t>
        </is>
      </c>
      <c r="E11783" t="inlineStr">
        <is>
          <t>ÖRNSKÖLDSVIK</t>
        </is>
      </c>
      <c r="F11783" t="inlineStr">
        <is>
          <t>Holmen skog AB</t>
        </is>
      </c>
      <c r="G11783" t="n">
        <v>6.1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26917-2025</t>
        </is>
      </c>
      <c r="B11784" s="1" t="n">
        <v>45811.37417824074</v>
      </c>
      <c r="C11784" s="1" t="n">
        <v>46093</v>
      </c>
      <c r="D11784" t="inlineStr">
        <is>
          <t>VÄSTERNORRLANDS LÄN</t>
        </is>
      </c>
      <c r="E11784" t="inlineStr">
        <is>
          <t>ÖRNSKÖLDSVIK</t>
        </is>
      </c>
      <c r="F11784" t="inlineStr">
        <is>
          <t>Holmen skog AB</t>
        </is>
      </c>
      <c r="G11784" t="n">
        <v>4.2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26918-2025</t>
        </is>
      </c>
      <c r="B11785" s="1" t="n">
        <v>45811.37457175926</v>
      </c>
      <c r="C11785" s="1" t="n">
        <v>46093</v>
      </c>
      <c r="D11785" t="inlineStr">
        <is>
          <t>VÄSTERNORRLANDS LÄN</t>
        </is>
      </c>
      <c r="E11785" t="inlineStr">
        <is>
          <t>HÄRNÖSAND</t>
        </is>
      </c>
      <c r="G11785" t="n">
        <v>2.4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5136-2026</t>
        </is>
      </c>
      <c r="B11786" s="1" t="n">
        <v>46049.59420138889</v>
      </c>
      <c r="C11786" s="1" t="n">
        <v>46093</v>
      </c>
      <c r="D11786" t="inlineStr">
        <is>
          <t>VÄSTERNORRLANDS LÄN</t>
        </is>
      </c>
      <c r="E11786" t="inlineStr">
        <is>
          <t>ÅNGE</t>
        </is>
      </c>
      <c r="G11786" t="n">
        <v>2.1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26935-2025</t>
        </is>
      </c>
      <c r="B11787" s="1" t="n">
        <v>45811.40413194444</v>
      </c>
      <c r="C11787" s="1" t="n">
        <v>46093</v>
      </c>
      <c r="D11787" t="inlineStr">
        <is>
          <t>VÄSTERNORRLANDS LÄN</t>
        </is>
      </c>
      <c r="E11787" t="inlineStr">
        <is>
          <t>SOLLEFTEÅ</t>
        </is>
      </c>
      <c r="G11787" t="n">
        <v>3.2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26952-2025</t>
        </is>
      </c>
      <c r="B11788" s="1" t="n">
        <v>45811.4484375</v>
      </c>
      <c r="C11788" s="1" t="n">
        <v>46093</v>
      </c>
      <c r="D11788" t="inlineStr">
        <is>
          <t>VÄSTERNORRLANDS LÄN</t>
        </is>
      </c>
      <c r="E11788" t="inlineStr">
        <is>
          <t>SOLLEFTEÅ</t>
        </is>
      </c>
      <c r="F11788" t="inlineStr">
        <is>
          <t>SCA</t>
        </is>
      </c>
      <c r="G11788" t="n">
        <v>5.1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5153-2026</t>
        </is>
      </c>
      <c r="B11789" s="1" t="n">
        <v>46049.61516203704</v>
      </c>
      <c r="C11789" s="1" t="n">
        <v>46093</v>
      </c>
      <c r="D11789" t="inlineStr">
        <is>
          <t>VÄSTERNORRLANDS LÄN</t>
        </is>
      </c>
      <c r="E11789" t="inlineStr">
        <is>
          <t>TIMRÅ</t>
        </is>
      </c>
      <c r="F11789" t="inlineStr">
        <is>
          <t>SCA</t>
        </is>
      </c>
      <c r="G11789" t="n">
        <v>4.5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5155-2026</t>
        </is>
      </c>
      <c r="B11790" s="1" t="n">
        <v>46049.61542824074</v>
      </c>
      <c r="C11790" s="1" t="n">
        <v>46093</v>
      </c>
      <c r="D11790" t="inlineStr">
        <is>
          <t>VÄSTERNORRLANDS LÄN</t>
        </is>
      </c>
      <c r="E11790" t="inlineStr">
        <is>
          <t>TIMRÅ</t>
        </is>
      </c>
      <c r="F11790" t="inlineStr">
        <is>
          <t>SCA</t>
        </is>
      </c>
      <c r="G11790" t="n">
        <v>18.6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33750-2024</t>
        </is>
      </c>
      <c r="B11791" s="1" t="n">
        <v>45520.56475694444</v>
      </c>
      <c r="C11791" s="1" t="n">
        <v>46093</v>
      </c>
      <c r="D11791" t="inlineStr">
        <is>
          <t>VÄSTERNORRLANDS LÄN</t>
        </is>
      </c>
      <c r="E11791" t="inlineStr">
        <is>
          <t>ÅNGE</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56015-2024</t>
        </is>
      </c>
      <c r="B11792" s="1" t="n">
        <v>45623.87550925926</v>
      </c>
      <c r="C11792" s="1" t="n">
        <v>46093</v>
      </c>
      <c r="D11792" t="inlineStr">
        <is>
          <t>VÄSTERNORRLANDS LÄN</t>
        </is>
      </c>
      <c r="E11792" t="inlineStr">
        <is>
          <t>SUNDSVALL</t>
        </is>
      </c>
      <c r="G11792" t="n">
        <v>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27169-2025</t>
        </is>
      </c>
      <c r="B11793" s="1" t="n">
        <v>45812.34481481482</v>
      </c>
      <c r="C11793" s="1" t="n">
        <v>46093</v>
      </c>
      <c r="D11793" t="inlineStr">
        <is>
          <t>VÄSTERNORRLANDS LÄN</t>
        </is>
      </c>
      <c r="E11793" t="inlineStr">
        <is>
          <t>SUNDSVALL</t>
        </is>
      </c>
      <c r="G11793" t="n">
        <v>0.7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27096-2025</t>
        </is>
      </c>
      <c r="B11794" s="1" t="n">
        <v>45811.67756944444</v>
      </c>
      <c r="C11794" s="1" t="n">
        <v>46093</v>
      </c>
      <c r="D11794" t="inlineStr">
        <is>
          <t>VÄSTERNORRLANDS LÄN</t>
        </is>
      </c>
      <c r="E11794" t="inlineStr">
        <is>
          <t>SUNDSVALL</t>
        </is>
      </c>
      <c r="F11794" t="inlineStr">
        <is>
          <t>Naturvårdsverket</t>
        </is>
      </c>
      <c r="G11794" t="n">
        <v>7.7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27098-2025</t>
        </is>
      </c>
      <c r="B11795" s="1" t="n">
        <v>45811.6778125</v>
      </c>
      <c r="C11795" s="1" t="n">
        <v>46093</v>
      </c>
      <c r="D11795" t="inlineStr">
        <is>
          <t>VÄSTERNORRLANDS LÄN</t>
        </is>
      </c>
      <c r="E11795" t="inlineStr">
        <is>
          <t>TIMRÅ</t>
        </is>
      </c>
      <c r="F11795" t="inlineStr">
        <is>
          <t>SCA</t>
        </is>
      </c>
      <c r="G11795" t="n">
        <v>2.7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5895-2026</t>
        </is>
      </c>
      <c r="B11796" s="1" t="n">
        <v>46052</v>
      </c>
      <c r="C11796" s="1" t="n">
        <v>46093</v>
      </c>
      <c r="D11796" t="inlineStr">
        <is>
          <t>VÄSTERNORRLANDS LÄN</t>
        </is>
      </c>
      <c r="E11796" t="inlineStr">
        <is>
          <t>KRAMFORS</t>
        </is>
      </c>
      <c r="G11796" t="n">
        <v>8.199999999999999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27165-2025</t>
        </is>
      </c>
      <c r="B11797" s="1" t="n">
        <v>45812.34440972222</v>
      </c>
      <c r="C11797" s="1" t="n">
        <v>46093</v>
      </c>
      <c r="D11797" t="inlineStr">
        <is>
          <t>VÄSTERNORRLANDS LÄN</t>
        </is>
      </c>
      <c r="E11797" t="inlineStr">
        <is>
          <t>ÅNGE</t>
        </is>
      </c>
      <c r="F11797" t="inlineStr">
        <is>
          <t>SCA</t>
        </is>
      </c>
      <c r="G11797" t="n">
        <v>3.5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27210-2025</t>
        </is>
      </c>
      <c r="B11798" s="1" t="n">
        <v>45812.40680555555</v>
      </c>
      <c r="C11798" s="1" t="n">
        <v>46093</v>
      </c>
      <c r="D11798" t="inlineStr">
        <is>
          <t>VÄSTERNORRLANDS LÄN</t>
        </is>
      </c>
      <c r="E11798" t="inlineStr">
        <is>
          <t>SUNDSVALL</t>
        </is>
      </c>
      <c r="F11798" t="inlineStr">
        <is>
          <t>SCA</t>
        </is>
      </c>
      <c r="G11798" t="n">
        <v>3.7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9270-2026</t>
        </is>
      </c>
      <c r="B11799" s="1" t="n">
        <v>46069</v>
      </c>
      <c r="C11799" s="1" t="n">
        <v>46093</v>
      </c>
      <c r="D11799" t="inlineStr">
        <is>
          <t>VÄSTERNORRLANDS LÄN</t>
        </is>
      </c>
      <c r="E11799" t="inlineStr">
        <is>
          <t>HÄRNÖSAND</t>
        </is>
      </c>
      <c r="G11799" t="n">
        <v>2.7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27167-2025</t>
        </is>
      </c>
      <c r="B11800" s="1" t="n">
        <v>45812.34465277778</v>
      </c>
      <c r="C11800" s="1" t="n">
        <v>46093</v>
      </c>
      <c r="D11800" t="inlineStr">
        <is>
          <t>VÄSTERNORRLANDS LÄN</t>
        </is>
      </c>
      <c r="E11800" t="inlineStr">
        <is>
          <t>SOLLEFTEÅ</t>
        </is>
      </c>
      <c r="F11800" t="inlineStr">
        <is>
          <t>SCA</t>
        </is>
      </c>
      <c r="G11800" t="n">
        <v>2.8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16404-2025</t>
        </is>
      </c>
      <c r="B11801" s="1" t="n">
        <v>45751</v>
      </c>
      <c r="C11801" s="1" t="n">
        <v>46093</v>
      </c>
      <c r="D11801" t="inlineStr">
        <is>
          <t>VÄSTERNORRLANDS LÄN</t>
        </is>
      </c>
      <c r="E11801" t="inlineStr">
        <is>
          <t>SUNDSVALL</t>
        </is>
      </c>
      <c r="G11801" t="n">
        <v>3.2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27095-2025</t>
        </is>
      </c>
      <c r="B11802" s="1" t="n">
        <v>45811.67743055556</v>
      </c>
      <c r="C11802" s="1" t="n">
        <v>46093</v>
      </c>
      <c r="D11802" t="inlineStr">
        <is>
          <t>VÄSTERNORRLANDS LÄN</t>
        </is>
      </c>
      <c r="E11802" t="inlineStr">
        <is>
          <t>SUNDSVALL</t>
        </is>
      </c>
      <c r="F11802" t="inlineStr">
        <is>
          <t>Naturvårdsverket</t>
        </is>
      </c>
      <c r="G11802" t="n">
        <v>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12865-2026</t>
        </is>
      </c>
      <c r="B11803" s="1" t="n">
        <v>46092.49089120371</v>
      </c>
      <c r="C11803" s="1" t="n">
        <v>46093</v>
      </c>
      <c r="D11803" t="inlineStr">
        <is>
          <t>VÄSTERNORRLANDS LÄN</t>
        </is>
      </c>
      <c r="E11803" t="inlineStr">
        <is>
          <t>ÅNGE</t>
        </is>
      </c>
      <c r="F11803" t="inlineStr">
        <is>
          <t>SCA</t>
        </is>
      </c>
      <c r="G11803" t="n">
        <v>2.5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12874-2026</t>
        </is>
      </c>
      <c r="B11804" s="1" t="n">
        <v>46092.51175925926</v>
      </c>
      <c r="C11804" s="1" t="n">
        <v>46093</v>
      </c>
      <c r="D11804" t="inlineStr">
        <is>
          <t>VÄSTERNORRLANDS LÄN</t>
        </is>
      </c>
      <c r="E11804" t="inlineStr">
        <is>
          <t>ÅNGE</t>
        </is>
      </c>
      <c r="F11804" t="inlineStr">
        <is>
          <t>SCA</t>
        </is>
      </c>
      <c r="G11804" t="n">
        <v>8.6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26916-2025</t>
        </is>
      </c>
      <c r="B11805" s="1" t="n">
        <v>45811.37184027778</v>
      </c>
      <c r="C11805" s="1" t="n">
        <v>46093</v>
      </c>
      <c r="D11805" t="inlineStr">
        <is>
          <t>VÄSTERNORRLANDS LÄN</t>
        </is>
      </c>
      <c r="E11805" t="inlineStr">
        <is>
          <t>SOLLEFTEÅ</t>
        </is>
      </c>
      <c r="G11805" t="n">
        <v>6.7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12906-2026</t>
        </is>
      </c>
      <c r="B11806" s="1" t="n">
        <v>46092.5734837963</v>
      </c>
      <c r="C11806" s="1" t="n">
        <v>46093</v>
      </c>
      <c r="D11806" t="inlineStr">
        <is>
          <t>VÄSTERNORRLANDS LÄN</t>
        </is>
      </c>
      <c r="E11806" t="inlineStr">
        <is>
          <t>ÖRNSKÖLDSVIK</t>
        </is>
      </c>
      <c r="G11806" t="n">
        <v>0.4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12908-2026</t>
        </is>
      </c>
      <c r="B11807" s="1" t="n">
        <v>46092.57359953703</v>
      </c>
      <c r="C11807" s="1" t="n">
        <v>46093</v>
      </c>
      <c r="D11807" t="inlineStr">
        <is>
          <t>VÄSTERNORRLANDS LÄN</t>
        </is>
      </c>
      <c r="E11807" t="inlineStr">
        <is>
          <t>ÖRNSKÖLDSVIK</t>
        </is>
      </c>
      <c r="G11807" t="n">
        <v>7.6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5931-2025</t>
        </is>
      </c>
      <c r="B11808" s="1" t="n">
        <v>45695.44827546296</v>
      </c>
      <c r="C11808" s="1" t="n">
        <v>46093</v>
      </c>
      <c r="D11808" t="inlineStr">
        <is>
          <t>VÄSTERNORRLANDS LÄN</t>
        </is>
      </c>
      <c r="E11808" t="inlineStr">
        <is>
          <t>ÅNGE</t>
        </is>
      </c>
      <c r="F11808" t="inlineStr">
        <is>
          <t>SCA</t>
        </is>
      </c>
      <c r="G11808" t="n">
        <v>1.2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10178-2026</t>
        </is>
      </c>
      <c r="B11809" s="1" t="n">
        <v>46076</v>
      </c>
      <c r="C11809" s="1" t="n">
        <v>46093</v>
      </c>
      <c r="D11809" t="inlineStr">
        <is>
          <t>VÄSTERNORRLANDS LÄN</t>
        </is>
      </c>
      <c r="E11809" t="inlineStr">
        <is>
          <t>SUNDSVALL</t>
        </is>
      </c>
      <c r="G11809" t="n">
        <v>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12637-2026</t>
        </is>
      </c>
      <c r="B11810" s="1" t="n">
        <v>46091.46262731482</v>
      </c>
      <c r="C11810" s="1" t="n">
        <v>46093</v>
      </c>
      <c r="D11810" t="inlineStr">
        <is>
          <t>VÄSTERNORRLANDS LÄN</t>
        </is>
      </c>
      <c r="E11810" t="inlineStr">
        <is>
          <t>HÄRNÖSAND</t>
        </is>
      </c>
      <c r="G11810" t="n">
        <v>0.6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12640-2026</t>
        </is>
      </c>
      <c r="B11811" s="1" t="n">
        <v>46091.4641550926</v>
      </c>
      <c r="C11811" s="1" t="n">
        <v>46093</v>
      </c>
      <c r="D11811" t="inlineStr">
        <is>
          <t>VÄSTERNORRLANDS LÄN</t>
        </is>
      </c>
      <c r="E11811" t="inlineStr">
        <is>
          <t>TIMRÅ</t>
        </is>
      </c>
      <c r="G11811" t="n">
        <v>3.1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27033-2025</t>
        </is>
      </c>
      <c r="B11812" s="1" t="n">
        <v>45811.5897800926</v>
      </c>
      <c r="C11812" s="1" t="n">
        <v>46093</v>
      </c>
      <c r="D11812" t="inlineStr">
        <is>
          <t>VÄSTERNORRLANDS LÄN</t>
        </is>
      </c>
      <c r="E11812" t="inlineStr">
        <is>
          <t>ÖRNSKÖLDSVIK</t>
        </is>
      </c>
      <c r="F11812" t="inlineStr">
        <is>
          <t>Holmen skog AB</t>
        </is>
      </c>
      <c r="G11812" t="n">
        <v>3.3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27026-2025</t>
        </is>
      </c>
      <c r="B11813" s="1" t="n">
        <v>45811.58085648148</v>
      </c>
      <c r="C11813" s="1" t="n">
        <v>46093</v>
      </c>
      <c r="D11813" t="inlineStr">
        <is>
          <t>VÄSTERNORRLANDS LÄN</t>
        </is>
      </c>
      <c r="E11813" t="inlineStr">
        <is>
          <t>ÖRNSKÖLDSVIK</t>
        </is>
      </c>
      <c r="F11813" t="inlineStr">
        <is>
          <t>Holmen skog AB</t>
        </is>
      </c>
      <c r="G11813" t="n">
        <v>4.1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12658-2026</t>
        </is>
      </c>
      <c r="B11814" s="1" t="n">
        <v>46091.49255787037</v>
      </c>
      <c r="C11814" s="1" t="n">
        <v>46093</v>
      </c>
      <c r="D11814" t="inlineStr">
        <is>
          <t>VÄSTERNORRLANDS LÄN</t>
        </is>
      </c>
      <c r="E11814" t="inlineStr">
        <is>
          <t>SUNDSVALL</t>
        </is>
      </c>
      <c r="G11814" t="n">
        <v>0.8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27081-2025</t>
        </is>
      </c>
      <c r="B11815" s="1" t="n">
        <v>45811.65398148148</v>
      </c>
      <c r="C11815" s="1" t="n">
        <v>46093</v>
      </c>
      <c r="D11815" t="inlineStr">
        <is>
          <t>VÄSTERNORRLANDS LÄN</t>
        </is>
      </c>
      <c r="E11815" t="inlineStr">
        <is>
          <t>ÖRNSKÖLDSVIK</t>
        </is>
      </c>
      <c r="F11815" t="inlineStr">
        <is>
          <t>Holmen skog AB</t>
        </is>
      </c>
      <c r="G11815" t="n">
        <v>2.6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27272-2025</t>
        </is>
      </c>
      <c r="B11816" s="1" t="n">
        <v>45812.51498842592</v>
      </c>
      <c r="C11816" s="1" t="n">
        <v>46093</v>
      </c>
      <c r="D11816" t="inlineStr">
        <is>
          <t>VÄSTERNORRLANDS LÄN</t>
        </is>
      </c>
      <c r="E11816" t="inlineStr">
        <is>
          <t>HÄRNÖSAND</t>
        </is>
      </c>
      <c r="G11816" t="n">
        <v>2.4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27273-2025</t>
        </is>
      </c>
      <c r="B11817" s="1" t="n">
        <v>45812.51732638889</v>
      </c>
      <c r="C11817" s="1" t="n">
        <v>46093</v>
      </c>
      <c r="D11817" t="inlineStr">
        <is>
          <t>VÄSTERNORRLANDS LÄN</t>
        </is>
      </c>
      <c r="E11817" t="inlineStr">
        <is>
          <t>HÄRNÖSAND</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27294-2025</t>
        </is>
      </c>
      <c r="B11818" s="1" t="n">
        <v>45812.56819444444</v>
      </c>
      <c r="C11818" s="1" t="n">
        <v>46093</v>
      </c>
      <c r="D11818" t="inlineStr">
        <is>
          <t>VÄSTERNORRLANDS LÄN</t>
        </is>
      </c>
      <c r="E11818" t="inlineStr">
        <is>
          <t>ÖRNSKÖLDSVIK</t>
        </is>
      </c>
      <c r="F11818" t="inlineStr">
        <is>
          <t>Holmen skog AB</t>
        </is>
      </c>
      <c r="G11818" t="n">
        <v>2.6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5511-2026</t>
        </is>
      </c>
      <c r="B11819" s="1" t="n">
        <v>46050.6358912037</v>
      </c>
      <c r="C11819" s="1" t="n">
        <v>46093</v>
      </c>
      <c r="D11819" t="inlineStr">
        <is>
          <t>VÄSTERNORRLANDS LÄN</t>
        </is>
      </c>
      <c r="E11819" t="inlineStr">
        <is>
          <t>SOLLEFTEÅ</t>
        </is>
      </c>
      <c r="F11819" t="inlineStr">
        <is>
          <t>SCA</t>
        </is>
      </c>
      <c r="G11819" t="n">
        <v>2.2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5295-2026</t>
        </is>
      </c>
      <c r="B11820" s="1" t="n">
        <v>46050</v>
      </c>
      <c r="C11820" s="1" t="n">
        <v>46093</v>
      </c>
      <c r="D11820" t="inlineStr">
        <is>
          <t>VÄSTERNORRLANDS LÄN</t>
        </is>
      </c>
      <c r="E11820" t="inlineStr">
        <is>
          <t>TIMRÅ</t>
        </is>
      </c>
      <c r="G11820" t="n">
        <v>3.4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27407-2025</t>
        </is>
      </c>
      <c r="B11821" s="1" t="n">
        <v>45812.74519675926</v>
      </c>
      <c r="C11821" s="1" t="n">
        <v>46093</v>
      </c>
      <c r="D11821" t="inlineStr">
        <is>
          <t>VÄSTERNORRLANDS LÄN</t>
        </is>
      </c>
      <c r="E11821" t="inlineStr">
        <is>
          <t>SOLLEFTEÅ</t>
        </is>
      </c>
      <c r="G11821" t="n">
        <v>23.2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5388-2026</t>
        </is>
      </c>
      <c r="B11822" s="1" t="n">
        <v>46050.46769675926</v>
      </c>
      <c r="C11822" s="1" t="n">
        <v>46093</v>
      </c>
      <c r="D11822" t="inlineStr">
        <is>
          <t>VÄSTERNORRLANDS LÄN</t>
        </is>
      </c>
      <c r="E11822" t="inlineStr">
        <is>
          <t>ÅNGE</t>
        </is>
      </c>
      <c r="G11822" t="n">
        <v>1.2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27401-2025</t>
        </is>
      </c>
      <c r="B11823" s="1" t="n">
        <v>45812.71431712963</v>
      </c>
      <c r="C11823" s="1" t="n">
        <v>46093</v>
      </c>
      <c r="D11823" t="inlineStr">
        <is>
          <t>VÄSTERNORRLANDS LÄN</t>
        </is>
      </c>
      <c r="E11823" t="inlineStr">
        <is>
          <t>ÖRNSKÖLDSVIK</t>
        </is>
      </c>
      <c r="G11823" t="n">
        <v>0.3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12644-2026</t>
        </is>
      </c>
      <c r="B11824" s="1" t="n">
        <v>46091.47149305556</v>
      </c>
      <c r="C11824" s="1" t="n">
        <v>46093</v>
      </c>
      <c r="D11824" t="inlineStr">
        <is>
          <t>VÄSTERNORRLANDS LÄN</t>
        </is>
      </c>
      <c r="E11824" t="inlineStr">
        <is>
          <t>TIMRÅ</t>
        </is>
      </c>
      <c r="G11824" t="n">
        <v>4.9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12650-2026</t>
        </is>
      </c>
      <c r="B11825" s="1" t="n">
        <v>46091.480625</v>
      </c>
      <c r="C11825" s="1" t="n">
        <v>46093</v>
      </c>
      <c r="D11825" t="inlineStr">
        <is>
          <t>VÄSTERNORRLANDS LÄN</t>
        </is>
      </c>
      <c r="E11825" t="inlineStr">
        <is>
          <t>HÄRNÖSAND</t>
        </is>
      </c>
      <c r="G11825" t="n">
        <v>1.7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12670-2026</t>
        </is>
      </c>
      <c r="B11826" s="1" t="n">
        <v>46091.53168981482</v>
      </c>
      <c r="C11826" s="1" t="n">
        <v>46093</v>
      </c>
      <c r="D11826" t="inlineStr">
        <is>
          <t>VÄSTERNORRLANDS LÄN</t>
        </is>
      </c>
      <c r="E11826" t="inlineStr">
        <is>
          <t>ÅNGE</t>
        </is>
      </c>
      <c r="F11826" t="inlineStr">
        <is>
          <t>SCA</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35854-2025</t>
        </is>
      </c>
      <c r="B11827" s="1" t="n">
        <v>45861</v>
      </c>
      <c r="C11827" s="1" t="n">
        <v>46093</v>
      </c>
      <c r="D11827" t="inlineStr">
        <is>
          <t>VÄSTERNORRLANDS LÄN</t>
        </is>
      </c>
      <c r="E11827" t="inlineStr">
        <is>
          <t>TIMRÅ</t>
        </is>
      </c>
      <c r="F11827" t="inlineStr">
        <is>
          <t>SCA</t>
        </is>
      </c>
      <c r="G11827" t="n">
        <v>0.8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12752-2026</t>
        </is>
      </c>
      <c r="B11828" s="1" t="n">
        <v>46091</v>
      </c>
      <c r="C11828" s="1" t="n">
        <v>46093</v>
      </c>
      <c r="D11828" t="inlineStr">
        <is>
          <t>VÄSTERNORRLANDS LÄN</t>
        </is>
      </c>
      <c r="E11828" t="inlineStr">
        <is>
          <t>ÅNGE</t>
        </is>
      </c>
      <c r="F11828" t="inlineStr">
        <is>
          <t>SCA</t>
        </is>
      </c>
      <c r="G11828" t="n">
        <v>15.5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42987-2024</t>
        </is>
      </c>
      <c r="B11829" s="1" t="n">
        <v>45567</v>
      </c>
      <c r="C11829" s="1" t="n">
        <v>46093</v>
      </c>
      <c r="D11829" t="inlineStr">
        <is>
          <t>VÄSTERNORRLANDS LÄN</t>
        </is>
      </c>
      <c r="E11829" t="inlineStr">
        <is>
          <t>SOLLEFTEÅ</t>
        </is>
      </c>
      <c r="G11829" t="n">
        <v>0.8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27065-2025</t>
        </is>
      </c>
      <c r="B11830" s="1" t="n">
        <v>45811.63635416667</v>
      </c>
      <c r="C11830" s="1" t="n">
        <v>46093</v>
      </c>
      <c r="D11830" t="inlineStr">
        <is>
          <t>VÄSTERNORRLANDS LÄN</t>
        </is>
      </c>
      <c r="E11830" t="inlineStr">
        <is>
          <t>SUNDSVALL</t>
        </is>
      </c>
      <c r="F11830" t="inlineStr">
        <is>
          <t>Naturvårdsverket</t>
        </is>
      </c>
      <c r="G11830" t="n">
        <v>1.4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27142-2025</t>
        </is>
      </c>
      <c r="B11831" s="1" t="n">
        <v>45812.28087962963</v>
      </c>
      <c r="C11831" s="1" t="n">
        <v>46093</v>
      </c>
      <c r="D11831" t="inlineStr">
        <is>
          <t>VÄSTERNORRLANDS LÄN</t>
        </is>
      </c>
      <c r="E11831" t="inlineStr">
        <is>
          <t>SOLLEFTEÅ</t>
        </is>
      </c>
      <c r="G11831" t="n">
        <v>3.1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12500-2026</t>
        </is>
      </c>
      <c r="B11832" s="1" t="n">
        <v>46090.57438657407</v>
      </c>
      <c r="C11832" s="1" t="n">
        <v>46093</v>
      </c>
      <c r="D11832" t="inlineStr">
        <is>
          <t>VÄSTERNORRLANDS LÄN</t>
        </is>
      </c>
      <c r="E11832" t="inlineStr">
        <is>
          <t>ÖRNSKÖLDSVIK</t>
        </is>
      </c>
      <c r="G11832" t="n">
        <v>1.1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12761-2026</t>
        </is>
      </c>
      <c r="B11833" s="1" t="n">
        <v>46091.66013888889</v>
      </c>
      <c r="C11833" s="1" t="n">
        <v>46093</v>
      </c>
      <c r="D11833" t="inlineStr">
        <is>
          <t>VÄSTERNORRLANDS LÄN</t>
        </is>
      </c>
      <c r="E11833" t="inlineStr">
        <is>
          <t>ÅNGE</t>
        </is>
      </c>
      <c r="F11833" t="inlineStr">
        <is>
          <t>SCA</t>
        </is>
      </c>
      <c r="G11833" t="n">
        <v>15.5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27156-2025</t>
        </is>
      </c>
      <c r="B11834" s="1" t="n">
        <v>45812.33208333333</v>
      </c>
      <c r="C11834" s="1" t="n">
        <v>46093</v>
      </c>
      <c r="D11834" t="inlineStr">
        <is>
          <t>VÄSTERNORRLANDS LÄN</t>
        </is>
      </c>
      <c r="E11834" t="inlineStr">
        <is>
          <t>ÖRNSKÖLDSVIK</t>
        </is>
      </c>
      <c r="G11834" t="n">
        <v>0.8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12907-2026</t>
        </is>
      </c>
      <c r="B11835" s="1" t="n">
        <v>46092.57351851852</v>
      </c>
      <c r="C11835" s="1" t="n">
        <v>46093</v>
      </c>
      <c r="D11835" t="inlineStr">
        <is>
          <t>VÄSTERNORRLANDS LÄN</t>
        </is>
      </c>
      <c r="E11835" t="inlineStr">
        <is>
          <t>ÖRNSKÖLDSVIK</t>
        </is>
      </c>
      <c r="G11835" t="n">
        <v>2.1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26896-2025</t>
        </is>
      </c>
      <c r="B11836" s="1" t="n">
        <v>45811.33834490741</v>
      </c>
      <c r="C11836" s="1" t="n">
        <v>46093</v>
      </c>
      <c r="D11836" t="inlineStr">
        <is>
          <t>VÄSTERNORRLANDS LÄN</t>
        </is>
      </c>
      <c r="E11836" t="inlineStr">
        <is>
          <t>SOLLEFTEÅ</t>
        </is>
      </c>
      <c r="G11836" t="n">
        <v>8.5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7157-2025</t>
        </is>
      </c>
      <c r="B11837" s="1" t="n">
        <v>45702.38637731481</v>
      </c>
      <c r="C11837" s="1" t="n">
        <v>46093</v>
      </c>
      <c r="D11837" t="inlineStr">
        <is>
          <t>VÄSTERNORRLANDS LÄN</t>
        </is>
      </c>
      <c r="E11837" t="inlineStr">
        <is>
          <t>SOLLEFTEÅ</t>
        </is>
      </c>
      <c r="G11837" t="n">
        <v>12.5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5532-2026</t>
        </is>
      </c>
      <c r="B11838" s="1" t="n">
        <v>46050.65679398148</v>
      </c>
      <c r="C11838" s="1" t="n">
        <v>46093</v>
      </c>
      <c r="D11838" t="inlineStr">
        <is>
          <t>VÄSTERNORRLANDS LÄN</t>
        </is>
      </c>
      <c r="E11838" t="inlineStr">
        <is>
          <t>SUNDSVALL</t>
        </is>
      </c>
      <c r="F11838" t="inlineStr">
        <is>
          <t>SCA</t>
        </is>
      </c>
      <c r="G11838" t="n">
        <v>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27099-2025</t>
        </is>
      </c>
      <c r="B11839" s="1" t="n">
        <v>45811.67792824074</v>
      </c>
      <c r="C11839" s="1" t="n">
        <v>46093</v>
      </c>
      <c r="D11839" t="inlineStr">
        <is>
          <t>VÄSTERNORRLANDS LÄN</t>
        </is>
      </c>
      <c r="E11839" t="inlineStr">
        <is>
          <t>SUNDSVALL</t>
        </is>
      </c>
      <c r="F11839" t="inlineStr">
        <is>
          <t>Naturvårdsverket</t>
        </is>
      </c>
      <c r="G11839" t="n">
        <v>9.6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5334-2026</t>
        </is>
      </c>
      <c r="B11840" s="1" t="n">
        <v>46050.40685185185</v>
      </c>
      <c r="C11840" s="1" t="n">
        <v>46093</v>
      </c>
      <c r="D11840" t="inlineStr">
        <is>
          <t>VÄSTERNORRLANDS LÄN</t>
        </is>
      </c>
      <c r="E11840" t="inlineStr">
        <is>
          <t>SUNDSVALL</t>
        </is>
      </c>
      <c r="G11840" t="n">
        <v>17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27368-2025</t>
        </is>
      </c>
      <c r="B11841" s="1" t="n">
        <v>45812.64645833334</v>
      </c>
      <c r="C11841" s="1" t="n">
        <v>46093</v>
      </c>
      <c r="D11841" t="inlineStr">
        <is>
          <t>VÄSTERNORRLANDS LÄN</t>
        </is>
      </c>
      <c r="E11841" t="inlineStr">
        <is>
          <t>ÖRNSKÖLDSVIK</t>
        </is>
      </c>
      <c r="F11841" t="inlineStr">
        <is>
          <t>Holmen skog AB</t>
        </is>
      </c>
      <c r="G11841" t="n">
        <v>3.1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27519-2025</t>
        </is>
      </c>
      <c r="B11842" s="1" t="n">
        <v>45813.44186342593</v>
      </c>
      <c r="C11842" s="1" t="n">
        <v>46093</v>
      </c>
      <c r="D11842" t="inlineStr">
        <is>
          <t>VÄSTERNORRLANDS LÄN</t>
        </is>
      </c>
      <c r="E11842" t="inlineStr">
        <is>
          <t>SOLLEFTEÅ</t>
        </is>
      </c>
      <c r="G11842" t="n">
        <v>2.4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39302-2025</t>
        </is>
      </c>
      <c r="B11843" s="1" t="n">
        <v>45889</v>
      </c>
      <c r="C11843" s="1" t="n">
        <v>46093</v>
      </c>
      <c r="D11843" t="inlineStr">
        <is>
          <t>VÄSTERNORRLANDS LÄN</t>
        </is>
      </c>
      <c r="E11843" t="inlineStr">
        <is>
          <t>TIMRÅ</t>
        </is>
      </c>
      <c r="F11843" t="inlineStr">
        <is>
          <t>SCA</t>
        </is>
      </c>
      <c r="G11843" t="n">
        <v>6.2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27545-2025</t>
        </is>
      </c>
      <c r="B11844" s="1" t="n">
        <v>45813.46942129629</v>
      </c>
      <c r="C11844" s="1" t="n">
        <v>46093</v>
      </c>
      <c r="D11844" t="inlineStr">
        <is>
          <t>VÄSTERNORRLANDS LÄN</t>
        </is>
      </c>
      <c r="E11844" t="inlineStr">
        <is>
          <t>ÅNGE</t>
        </is>
      </c>
      <c r="F11844" t="inlineStr">
        <is>
          <t>SCA</t>
        </is>
      </c>
      <c r="G11844" t="n">
        <v>14.3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18470-2025</t>
        </is>
      </c>
      <c r="B11845" s="1" t="n">
        <v>45762.74412037037</v>
      </c>
      <c r="C11845" s="1" t="n">
        <v>46093</v>
      </c>
      <c r="D11845" t="inlineStr">
        <is>
          <t>VÄSTERNORRLANDS LÄN</t>
        </is>
      </c>
      <c r="E11845" t="inlineStr">
        <is>
          <t>ÖRNSKÖLDSVIK</t>
        </is>
      </c>
      <c r="F11845" t="inlineStr">
        <is>
          <t>Holmen skog AB</t>
        </is>
      </c>
      <c r="G11845" t="n">
        <v>5.7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12339-2026</t>
        </is>
      </c>
      <c r="B11846" s="1" t="n">
        <v>46087</v>
      </c>
      <c r="C11846" s="1" t="n">
        <v>46093</v>
      </c>
      <c r="D11846" t="inlineStr">
        <is>
          <t>VÄSTERNORRLANDS LÄN</t>
        </is>
      </c>
      <c r="E11846" t="inlineStr">
        <is>
          <t>HÄRNÖSAND</t>
        </is>
      </c>
      <c r="F11846" t="inlineStr">
        <is>
          <t>Övriga statliga verk och myndigheter</t>
        </is>
      </c>
      <c r="G11846" t="n">
        <v>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36204-2025</t>
        </is>
      </c>
      <c r="B11847" s="1" t="n">
        <v>45867</v>
      </c>
      <c r="C11847" s="1" t="n">
        <v>46093</v>
      </c>
      <c r="D11847" t="inlineStr">
        <is>
          <t>VÄSTERNORRLANDS LÄN</t>
        </is>
      </c>
      <c r="E11847" t="inlineStr">
        <is>
          <t>TIMRÅ</t>
        </is>
      </c>
      <c r="F11847" t="inlineStr">
        <is>
          <t>SCA</t>
        </is>
      </c>
      <c r="G11847" t="n">
        <v>2.2</v>
      </c>
      <c r="H11847" t="n">
        <v>0</v>
      </c>
      <c r="I11847" t="n">
        <v>0</v>
      </c>
      <c r="J11847" t="n">
        <v>0</v>
      </c>
      <c r="K11847" t="n">
        <v>0</v>
      </c>
      <c r="L11847" t="n">
        <v>0</v>
      </c>
      <c r="M11847" t="n">
        <v>0</v>
      </c>
      <c r="N11847" t="n">
        <v>0</v>
      </c>
      <c r="O11847" t="n">
        <v>0</v>
      </c>
      <c r="P11847" t="n">
        <v>0</v>
      </c>
      <c r="Q11847" t="n">
        <v>0</v>
      </c>
      <c r="R11847" s="2" t="inlineStr"/>
      <c r="U11847">
        <f>HYPERLINK("https://klasma.github.io/Logging_2262/knärot/A 36204-2025 karta knärot.png", "A 36204-2025")</f>
        <v/>
      </c>
      <c r="V11847">
        <f>HYPERLINK("https://klasma.github.io/Logging_2262/klagomål/A 36204-2025 FSC-klagomål.docx", "A 36204-2025")</f>
        <v/>
      </c>
      <c r="W11847">
        <f>HYPERLINK("https://klasma.github.io/Logging_2262/klagomålsmail/A 36204-2025 FSC-klagomål mail.docx", "A 36204-2025")</f>
        <v/>
      </c>
      <c r="X11847">
        <f>HYPERLINK("https://klasma.github.io/Logging_2262/tillsyn/A 36204-2025 tillsynsbegäran.docx", "A 36204-2025")</f>
        <v/>
      </c>
      <c r="Y11847">
        <f>HYPERLINK("https://klasma.github.io/Logging_2262/tillsynsmail/A 36204-2025 tillsynsbegäran mail.docx", "A 36204-2025")</f>
        <v/>
      </c>
    </row>
    <row r="11848" ht="15" customHeight="1">
      <c r="A11848" t="inlineStr">
        <is>
          <t>A 27592-2025</t>
        </is>
      </c>
      <c r="B11848" s="1" t="n">
        <v>45813.5191550926</v>
      </c>
      <c r="C11848" s="1" t="n">
        <v>46093</v>
      </c>
      <c r="D11848" t="inlineStr">
        <is>
          <t>VÄSTERNORRLANDS LÄN</t>
        </is>
      </c>
      <c r="E11848" t="inlineStr">
        <is>
          <t>SOLLEFTEÅ</t>
        </is>
      </c>
      <c r="G11848" t="n">
        <v>1.8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27619-2025</t>
        </is>
      </c>
      <c r="B11849" s="1" t="n">
        <v>45813.54738425926</v>
      </c>
      <c r="C11849" s="1" t="n">
        <v>46093</v>
      </c>
      <c r="D11849" t="inlineStr">
        <is>
          <t>VÄSTERNORRLANDS LÄN</t>
        </is>
      </c>
      <c r="E11849" t="inlineStr">
        <is>
          <t>ÖRNSKÖLDSVIK</t>
        </is>
      </c>
      <c r="G11849" t="n">
        <v>1.7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27660-2025</t>
        </is>
      </c>
      <c r="B11850" s="1" t="n">
        <v>45813.61490740741</v>
      </c>
      <c r="C11850" s="1" t="n">
        <v>46093</v>
      </c>
      <c r="D11850" t="inlineStr">
        <is>
          <t>VÄSTERNORRLANDS LÄN</t>
        </is>
      </c>
      <c r="E11850" t="inlineStr">
        <is>
          <t>SOLLEFTEÅ</t>
        </is>
      </c>
      <c r="F11850" t="inlineStr">
        <is>
          <t>SCA</t>
        </is>
      </c>
      <c r="G11850" t="n">
        <v>2.3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27539-2025</t>
        </is>
      </c>
      <c r="B11851" s="1" t="n">
        <v>45813.46053240741</v>
      </c>
      <c r="C11851" s="1" t="n">
        <v>46093</v>
      </c>
      <c r="D11851" t="inlineStr">
        <is>
          <t>VÄSTERNORRLANDS LÄN</t>
        </is>
      </c>
      <c r="E11851" t="inlineStr">
        <is>
          <t>ÖRNSKÖLDSVIK</t>
        </is>
      </c>
      <c r="F11851" t="inlineStr">
        <is>
          <t>Holmen skog AB</t>
        </is>
      </c>
      <c r="G11851" t="n">
        <v>1.7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12745-2026</t>
        </is>
      </c>
      <c r="B11852" s="1" t="n">
        <v>46091</v>
      </c>
      <c r="C11852" s="1" t="n">
        <v>46093</v>
      </c>
      <c r="D11852" t="inlineStr">
        <is>
          <t>VÄSTERNORRLANDS LÄN</t>
        </is>
      </c>
      <c r="E11852" t="inlineStr">
        <is>
          <t>ÅNGE</t>
        </is>
      </c>
      <c r="F11852" t="inlineStr">
        <is>
          <t>SCA</t>
        </is>
      </c>
      <c r="G11852" t="n">
        <v>0.9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12746-2026</t>
        </is>
      </c>
      <c r="B11853" s="1" t="n">
        <v>46091</v>
      </c>
      <c r="C11853" s="1" t="n">
        <v>46093</v>
      </c>
      <c r="D11853" t="inlineStr">
        <is>
          <t>VÄSTERNORRLANDS LÄN</t>
        </is>
      </c>
      <c r="E11853" t="inlineStr">
        <is>
          <t>ÅNGE</t>
        </is>
      </c>
      <c r="F11853" t="inlineStr">
        <is>
          <t>SCA</t>
        </is>
      </c>
      <c r="G11853" t="n">
        <v>3.3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12758-2026</t>
        </is>
      </c>
      <c r="B11854" s="1" t="n">
        <v>46091.65989583333</v>
      </c>
      <c r="C11854" s="1" t="n">
        <v>46093</v>
      </c>
      <c r="D11854" t="inlineStr">
        <is>
          <t>VÄSTERNORRLANDS LÄN</t>
        </is>
      </c>
      <c r="E11854" t="inlineStr">
        <is>
          <t>ÅNGE</t>
        </is>
      </c>
      <c r="F11854" t="inlineStr">
        <is>
          <t>SCA</t>
        </is>
      </c>
      <c r="G11854" t="n">
        <v>0.9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12750-2026</t>
        </is>
      </c>
      <c r="B11855" s="1" t="n">
        <v>46091</v>
      </c>
      <c r="C11855" s="1" t="n">
        <v>46093</v>
      </c>
      <c r="D11855" t="inlineStr">
        <is>
          <t>VÄSTERNORRLANDS LÄN</t>
        </is>
      </c>
      <c r="E11855" t="inlineStr">
        <is>
          <t>ÅNGE</t>
        </is>
      </c>
      <c r="F11855" t="inlineStr">
        <is>
          <t>SCA</t>
        </is>
      </c>
      <c r="G11855" t="n">
        <v>3.3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12946-2026</t>
        </is>
      </c>
      <c r="B11856" s="1" t="n">
        <v>46092.62706018519</v>
      </c>
      <c r="C11856" s="1" t="n">
        <v>46093</v>
      </c>
      <c r="D11856" t="inlineStr">
        <is>
          <t>VÄSTERNORRLANDS LÄN</t>
        </is>
      </c>
      <c r="E11856" t="inlineStr">
        <is>
          <t>ÖRNSKÖLDSVIK</t>
        </is>
      </c>
      <c r="G11856" t="n">
        <v>10.6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12757-2026</t>
        </is>
      </c>
      <c r="B11857" s="1" t="n">
        <v>46091</v>
      </c>
      <c r="C11857" s="1" t="n">
        <v>46093</v>
      </c>
      <c r="D11857" t="inlineStr">
        <is>
          <t>VÄSTERNORRLANDS LÄN</t>
        </is>
      </c>
      <c r="E11857" t="inlineStr">
        <is>
          <t>ÅNGE</t>
        </is>
      </c>
      <c r="F11857" t="inlineStr">
        <is>
          <t>SCA</t>
        </is>
      </c>
      <c r="G11857" t="n">
        <v>15.5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12762-2026</t>
        </is>
      </c>
      <c r="B11858" s="1" t="n">
        <v>46091.66050925926</v>
      </c>
      <c r="C11858" s="1" t="n">
        <v>46093</v>
      </c>
      <c r="D11858" t="inlineStr">
        <is>
          <t>VÄSTERNORRLANDS LÄN</t>
        </is>
      </c>
      <c r="E11858" t="inlineStr">
        <is>
          <t>SOLLEFTEÅ</t>
        </is>
      </c>
      <c r="F11858" t="inlineStr">
        <is>
          <t>SCA</t>
        </is>
      </c>
      <c r="G11858" t="n">
        <v>36.8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12973-2026</t>
        </is>
      </c>
      <c r="B11859" s="1" t="n">
        <v>46092.65726851852</v>
      </c>
      <c r="C11859" s="1" t="n">
        <v>46093</v>
      </c>
      <c r="D11859" t="inlineStr">
        <is>
          <t>VÄSTERNORRLANDS LÄN</t>
        </is>
      </c>
      <c r="E11859" t="inlineStr">
        <is>
          <t>TIMRÅ</t>
        </is>
      </c>
      <c r="F11859" t="inlineStr">
        <is>
          <t>SCA</t>
        </is>
      </c>
      <c r="G11859" t="n">
        <v>0.3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12975-2026</t>
        </is>
      </c>
      <c r="B11860" s="1" t="n">
        <v>46092.65744212963</v>
      </c>
      <c r="C11860" s="1" t="n">
        <v>46093</v>
      </c>
      <c r="D11860" t="inlineStr">
        <is>
          <t>VÄSTERNORRLANDS LÄN</t>
        </is>
      </c>
      <c r="E11860" t="inlineStr">
        <is>
          <t>TIMRÅ</t>
        </is>
      </c>
      <c r="F11860" t="inlineStr">
        <is>
          <t>SCA</t>
        </is>
      </c>
      <c r="G11860" t="n">
        <v>0.4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27572-2025</t>
        </is>
      </c>
      <c r="B11861" s="1" t="n">
        <v>45813.49049768518</v>
      </c>
      <c r="C11861" s="1" t="n">
        <v>46093</v>
      </c>
      <c r="D11861" t="inlineStr">
        <is>
          <t>VÄSTERNORRLANDS LÄN</t>
        </is>
      </c>
      <c r="E11861" t="inlineStr">
        <is>
          <t>ÅNGE</t>
        </is>
      </c>
      <c r="F11861" t="inlineStr">
        <is>
          <t>SCA</t>
        </is>
      </c>
      <c r="G11861" t="n">
        <v>14.3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27606-2025</t>
        </is>
      </c>
      <c r="B11862" s="1" t="n">
        <v>45813.53200231482</v>
      </c>
      <c r="C11862" s="1" t="n">
        <v>46093</v>
      </c>
      <c r="D11862" t="inlineStr">
        <is>
          <t>VÄSTERNORRLANDS LÄN</t>
        </is>
      </c>
      <c r="E11862" t="inlineStr">
        <is>
          <t>ÅNGE</t>
        </is>
      </c>
      <c r="F11862" t="inlineStr">
        <is>
          <t>SCA</t>
        </is>
      </c>
      <c r="G11862" t="n">
        <v>6.3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2677-2025</t>
        </is>
      </c>
      <c r="B11863" s="1" t="n">
        <v>45677</v>
      </c>
      <c r="C11863" s="1" t="n">
        <v>46093</v>
      </c>
      <c r="D11863" t="inlineStr">
        <is>
          <t>VÄSTERNORRLANDS LÄN</t>
        </is>
      </c>
      <c r="E11863" t="inlineStr">
        <is>
          <t>SOLLEFTEÅ</t>
        </is>
      </c>
      <c r="F11863" t="inlineStr">
        <is>
          <t>SCA</t>
        </is>
      </c>
      <c r="G11863" t="n">
        <v>11.9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27427-2025</t>
        </is>
      </c>
      <c r="B11864" s="1" t="n">
        <v>45813.28706018518</v>
      </c>
      <c r="C11864" s="1" t="n">
        <v>46093</v>
      </c>
      <c r="D11864" t="inlineStr">
        <is>
          <t>VÄSTERNORRLANDS LÄN</t>
        </is>
      </c>
      <c r="E11864" t="inlineStr">
        <is>
          <t>SOLLEFTEÅ</t>
        </is>
      </c>
      <c r="G11864" t="n">
        <v>2.9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23025-2024</t>
        </is>
      </c>
      <c r="B11865" s="1" t="n">
        <v>45450.36578703704</v>
      </c>
      <c r="C11865" s="1" t="n">
        <v>46093</v>
      </c>
      <c r="D11865" t="inlineStr">
        <is>
          <t>VÄSTERNORRLANDS LÄN</t>
        </is>
      </c>
      <c r="E11865" t="inlineStr">
        <is>
          <t>SOLLEFTEÅ</t>
        </is>
      </c>
      <c r="G11865" t="n">
        <v>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5021-2026</t>
        </is>
      </c>
      <c r="B11866" s="1" t="n">
        <v>46049</v>
      </c>
      <c r="C11866" s="1" t="n">
        <v>46093</v>
      </c>
      <c r="D11866" t="inlineStr">
        <is>
          <t>VÄSTERNORRLANDS LÄN</t>
        </is>
      </c>
      <c r="E11866" t="inlineStr">
        <is>
          <t>HÄRNÖSAND</t>
        </is>
      </c>
      <c r="G11866" t="n">
        <v>1.4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27549-2025</t>
        </is>
      </c>
      <c r="B11867" s="1" t="n">
        <v>45813.47001157407</v>
      </c>
      <c r="C11867" s="1" t="n">
        <v>46093</v>
      </c>
      <c r="D11867" t="inlineStr">
        <is>
          <t>VÄSTERNORRLANDS LÄN</t>
        </is>
      </c>
      <c r="E11867" t="inlineStr">
        <is>
          <t>KRAMFORS</t>
        </is>
      </c>
      <c r="G11867" t="n">
        <v>1.5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27550-2025</t>
        </is>
      </c>
      <c r="B11868" s="1" t="n">
        <v>45813.47006944445</v>
      </c>
      <c r="C11868" s="1" t="n">
        <v>46093</v>
      </c>
      <c r="D11868" t="inlineStr">
        <is>
          <t>VÄSTERNORRLANDS LÄN</t>
        </is>
      </c>
      <c r="E11868" t="inlineStr">
        <is>
          <t>KRAMFORS</t>
        </is>
      </c>
      <c r="G11868" t="n">
        <v>0.6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27694-2025</t>
        </is>
      </c>
      <c r="B11869" s="1" t="n">
        <v>45813</v>
      </c>
      <c r="C11869" s="1" t="n">
        <v>46093</v>
      </c>
      <c r="D11869" t="inlineStr">
        <is>
          <t>VÄSTERNORRLANDS LÄN</t>
        </is>
      </c>
      <c r="E11869" t="inlineStr">
        <is>
          <t>HÄRNÖSAND</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23690-2025</t>
        </is>
      </c>
      <c r="B11870" s="1" t="n">
        <v>45793.34466435185</v>
      </c>
      <c r="C11870" s="1" t="n">
        <v>46093</v>
      </c>
      <c r="D11870" t="inlineStr">
        <is>
          <t>VÄSTERNORRLANDS LÄN</t>
        </is>
      </c>
      <c r="E11870" t="inlineStr">
        <is>
          <t>SUNDSVALL</t>
        </is>
      </c>
      <c r="G11870" t="n">
        <v>2.4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42492-2024</t>
        </is>
      </c>
      <c r="B11871" s="1" t="n">
        <v>45565</v>
      </c>
      <c r="C11871" s="1" t="n">
        <v>46093</v>
      </c>
      <c r="D11871" t="inlineStr">
        <is>
          <t>VÄSTERNORRLANDS LÄN</t>
        </is>
      </c>
      <c r="E11871" t="inlineStr">
        <is>
          <t>ÖRNSKÖLDSVIK</t>
        </is>
      </c>
      <c r="F11871" t="inlineStr">
        <is>
          <t>Holmen skog AB</t>
        </is>
      </c>
      <c r="G11871" t="n">
        <v>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60651-2022</t>
        </is>
      </c>
      <c r="B11872" s="1" t="n">
        <v>44911</v>
      </c>
      <c r="C11872" s="1" t="n">
        <v>46093</v>
      </c>
      <c r="D11872" t="inlineStr">
        <is>
          <t>VÄSTERNORRLANDS LÄN</t>
        </is>
      </c>
      <c r="E11872" t="inlineStr">
        <is>
          <t>SUNDSVALL</t>
        </is>
      </c>
      <c r="G11872" t="n">
        <v>3.3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12636-2026</t>
        </is>
      </c>
      <c r="B11873" s="1" t="n">
        <v>46091.46101851852</v>
      </c>
      <c r="C11873" s="1" t="n">
        <v>46093</v>
      </c>
      <c r="D11873" t="inlineStr">
        <is>
          <t>VÄSTERNORRLANDS LÄN</t>
        </is>
      </c>
      <c r="E11873" t="inlineStr">
        <is>
          <t>TIMRÅ</t>
        </is>
      </c>
      <c r="G11873" t="n">
        <v>5.6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27551-2025</t>
        </is>
      </c>
      <c r="B11874" s="1" t="n">
        <v>45813.47011574074</v>
      </c>
      <c r="C11874" s="1" t="n">
        <v>46093</v>
      </c>
      <c r="D11874" t="inlineStr">
        <is>
          <t>VÄSTERNORRLANDS LÄN</t>
        </is>
      </c>
      <c r="E11874" t="inlineStr">
        <is>
          <t>KRAMFORS</t>
        </is>
      </c>
      <c r="G11874" t="n">
        <v>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27693-2025</t>
        </is>
      </c>
      <c r="B11875" s="1" t="n">
        <v>45813.65706018519</v>
      </c>
      <c r="C11875" s="1" t="n">
        <v>46093</v>
      </c>
      <c r="D11875" t="inlineStr">
        <is>
          <t>VÄSTERNORRLANDS LÄN</t>
        </is>
      </c>
      <c r="E11875" t="inlineStr">
        <is>
          <t>KRAMFORS</t>
        </is>
      </c>
      <c r="F11875" t="inlineStr">
        <is>
          <t>SCA</t>
        </is>
      </c>
      <c r="G11875" t="n">
        <v>11.2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10037-2026</t>
        </is>
      </c>
      <c r="B11876" s="1" t="n">
        <v>46073</v>
      </c>
      <c r="C11876" s="1" t="n">
        <v>46093</v>
      </c>
      <c r="D11876" t="inlineStr">
        <is>
          <t>VÄSTERNORRLANDS LÄN</t>
        </is>
      </c>
      <c r="E11876" t="inlineStr">
        <is>
          <t>SUNDSVALL</t>
        </is>
      </c>
      <c r="G11876" t="n">
        <v>1.1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36004-2024</t>
        </is>
      </c>
      <c r="B11877" s="1" t="n">
        <v>45533.54848379629</v>
      </c>
      <c r="C11877" s="1" t="n">
        <v>46093</v>
      </c>
      <c r="D11877" t="inlineStr">
        <is>
          <t>VÄSTERNORRLANDS LÄN</t>
        </is>
      </c>
      <c r="E11877" t="inlineStr">
        <is>
          <t>SOLLEFTEÅ</t>
        </is>
      </c>
      <c r="G11877" t="n">
        <v>3.7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39916-2024</t>
        </is>
      </c>
      <c r="B11878" s="1" t="n">
        <v>45553</v>
      </c>
      <c r="C11878" s="1" t="n">
        <v>46093</v>
      </c>
      <c r="D11878" t="inlineStr">
        <is>
          <t>VÄSTERNORRLANDS LÄN</t>
        </is>
      </c>
      <c r="E11878" t="inlineStr">
        <is>
          <t>SUNDSVALL</t>
        </is>
      </c>
      <c r="G11878" t="n">
        <v>1.9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4810-2025</t>
        </is>
      </c>
      <c r="B11879" s="1" t="n">
        <v>45688</v>
      </c>
      <c r="C11879" s="1" t="n">
        <v>46093</v>
      </c>
      <c r="D11879" t="inlineStr">
        <is>
          <t>VÄSTERNORRLANDS LÄN</t>
        </is>
      </c>
      <c r="E11879" t="inlineStr">
        <is>
          <t>SUNDSVALL</t>
        </is>
      </c>
      <c r="G11879" t="n">
        <v>16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12558-2026</t>
        </is>
      </c>
      <c r="B11880" s="1" t="n">
        <v>46090.64177083333</v>
      </c>
      <c r="C11880" s="1" t="n">
        <v>46093</v>
      </c>
      <c r="D11880" t="inlineStr">
        <is>
          <t>VÄSTERNORRLANDS LÄN</t>
        </is>
      </c>
      <c r="E11880" t="inlineStr">
        <is>
          <t>HÄRNÖSAND</t>
        </is>
      </c>
      <c r="G11880" t="n">
        <v>0.6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12568-2026</t>
        </is>
      </c>
      <c r="B11881" s="1" t="n">
        <v>46090</v>
      </c>
      <c r="C11881" s="1" t="n">
        <v>46093</v>
      </c>
      <c r="D11881" t="inlineStr">
        <is>
          <t>VÄSTERNORRLANDS LÄN</t>
        </is>
      </c>
      <c r="E11881" t="inlineStr">
        <is>
          <t>SOLLEFTEÅ</t>
        </is>
      </c>
      <c r="F11881" t="inlineStr">
        <is>
          <t>SCA</t>
        </is>
      </c>
      <c r="G11881" t="n">
        <v>4.8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12756-2026</t>
        </is>
      </c>
      <c r="B11882" s="1" t="n">
        <v>46091</v>
      </c>
      <c r="C11882" s="1" t="n">
        <v>46093</v>
      </c>
      <c r="D11882" t="inlineStr">
        <is>
          <t>VÄSTERNORRLANDS LÄN</t>
        </is>
      </c>
      <c r="E11882" t="inlineStr">
        <is>
          <t>ÅNGE</t>
        </is>
      </c>
      <c r="F11882" t="inlineStr">
        <is>
          <t>SCA</t>
        </is>
      </c>
      <c r="G11882" t="n">
        <v>2.3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12759-2026</t>
        </is>
      </c>
      <c r="B11883" s="1" t="n">
        <v>46091.66002314815</v>
      </c>
      <c r="C11883" s="1" t="n">
        <v>46093</v>
      </c>
      <c r="D11883" t="inlineStr">
        <is>
          <t>VÄSTERNORRLANDS LÄN</t>
        </is>
      </c>
      <c r="E11883" t="inlineStr">
        <is>
          <t>ÅNGE</t>
        </is>
      </c>
      <c r="F11883" t="inlineStr">
        <is>
          <t>SCA</t>
        </is>
      </c>
      <c r="G11883" t="n">
        <v>3.3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12760-2026</t>
        </is>
      </c>
      <c r="B11884" s="1" t="n">
        <v>46091.66008101852</v>
      </c>
      <c r="C11884" s="1" t="n">
        <v>46093</v>
      </c>
      <c r="D11884" t="inlineStr">
        <is>
          <t>VÄSTERNORRLANDS LÄN</t>
        </is>
      </c>
      <c r="E11884" t="inlineStr">
        <is>
          <t>ÅNGE</t>
        </is>
      </c>
      <c r="F11884" t="inlineStr">
        <is>
          <t>SCA</t>
        </is>
      </c>
      <c r="G11884" t="n">
        <v>2.3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12617-2025</t>
        </is>
      </c>
      <c r="B11885" s="1" t="n">
        <v>45733.34895833334</v>
      </c>
      <c r="C11885" s="1" t="n">
        <v>46093</v>
      </c>
      <c r="D11885" t="inlineStr">
        <is>
          <t>VÄSTERNORRLANDS LÄN</t>
        </is>
      </c>
      <c r="E11885" t="inlineStr">
        <is>
          <t>SOLLEFTEÅ</t>
        </is>
      </c>
      <c r="G11885" t="n">
        <v>5.6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27577-2025</t>
        </is>
      </c>
      <c r="B11886" s="1" t="n">
        <v>45813.49097222222</v>
      </c>
      <c r="C11886" s="1" t="n">
        <v>46093</v>
      </c>
      <c r="D11886" t="inlineStr">
        <is>
          <t>VÄSTERNORRLANDS LÄN</t>
        </is>
      </c>
      <c r="E11886" t="inlineStr">
        <is>
          <t>KRAMFORS</t>
        </is>
      </c>
      <c r="G11886" t="n">
        <v>0.9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7416-2025</t>
        </is>
      </c>
      <c r="B11887" s="1" t="n">
        <v>45705</v>
      </c>
      <c r="C11887" s="1" t="n">
        <v>46093</v>
      </c>
      <c r="D11887" t="inlineStr">
        <is>
          <t>VÄSTERNORRLANDS LÄN</t>
        </is>
      </c>
      <c r="E11887" t="inlineStr">
        <is>
          <t>SUNDSVALL</t>
        </is>
      </c>
      <c r="G11887" t="n">
        <v>4.9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27639-2025</t>
        </is>
      </c>
      <c r="B11888" s="1" t="n">
        <v>45813</v>
      </c>
      <c r="C11888" s="1" t="n">
        <v>46093</v>
      </c>
      <c r="D11888" t="inlineStr">
        <is>
          <t>VÄSTERNORRLANDS LÄN</t>
        </is>
      </c>
      <c r="E11888" t="inlineStr">
        <is>
          <t>ÅNGE</t>
        </is>
      </c>
      <c r="G11888" t="n">
        <v>22.9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15429-2025</t>
        </is>
      </c>
      <c r="B11889" s="1" t="n">
        <v>45747.47</v>
      </c>
      <c r="C11889" s="1" t="n">
        <v>46093</v>
      </c>
      <c r="D11889" t="inlineStr">
        <is>
          <t>VÄSTERNORRLANDS LÄN</t>
        </is>
      </c>
      <c r="E11889" t="inlineStr">
        <is>
          <t>SOLLEFTEÅ</t>
        </is>
      </c>
      <c r="F11889" t="inlineStr">
        <is>
          <t>SCA</t>
        </is>
      </c>
      <c r="G11889" t="n">
        <v>1.6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19124-2025</t>
        </is>
      </c>
      <c r="B11890" s="1" t="n">
        <v>45768.85393518519</v>
      </c>
      <c r="C11890" s="1" t="n">
        <v>46093</v>
      </c>
      <c r="D11890" t="inlineStr">
        <is>
          <t>VÄSTERNORRLANDS LÄN</t>
        </is>
      </c>
      <c r="E11890" t="inlineStr">
        <is>
          <t>KRAMFORS</t>
        </is>
      </c>
      <c r="G11890" t="n">
        <v>1.6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12365-2026</t>
        </is>
      </c>
      <c r="B11891" s="1" t="n">
        <v>46089.37861111111</v>
      </c>
      <c r="C11891" s="1" t="n">
        <v>46093</v>
      </c>
      <c r="D11891" t="inlineStr">
        <is>
          <t>VÄSTERNORRLANDS LÄN</t>
        </is>
      </c>
      <c r="E11891" t="inlineStr">
        <is>
          <t>SUNDSVALL</t>
        </is>
      </c>
      <c r="G11891" t="n">
        <v>7.3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5032-2026</t>
        </is>
      </c>
      <c r="B11892" s="1" t="n">
        <v>46049.45354166667</v>
      </c>
      <c r="C11892" s="1" t="n">
        <v>46093</v>
      </c>
      <c r="D11892" t="inlineStr">
        <is>
          <t>VÄSTERNORRLANDS LÄN</t>
        </is>
      </c>
      <c r="E11892" t="inlineStr">
        <is>
          <t>SOLLEFTEÅ</t>
        </is>
      </c>
      <c r="G11892" t="n">
        <v>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5075-2026</t>
        </is>
      </c>
      <c r="B11893" s="1" t="n">
        <v>46049</v>
      </c>
      <c r="C11893" s="1" t="n">
        <v>46093</v>
      </c>
      <c r="D11893" t="inlineStr">
        <is>
          <t>VÄSTERNORRLANDS LÄN</t>
        </is>
      </c>
      <c r="E11893" t="inlineStr">
        <is>
          <t>HÄRNÖSAND</t>
        </is>
      </c>
      <c r="G11893" t="n">
        <v>4.4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5109-2026</t>
        </is>
      </c>
      <c r="B11894" s="1" t="n">
        <v>46049.57306712963</v>
      </c>
      <c r="C11894" s="1" t="n">
        <v>46093</v>
      </c>
      <c r="D11894" t="inlineStr">
        <is>
          <t>VÄSTERNORRLANDS LÄN</t>
        </is>
      </c>
      <c r="E11894" t="inlineStr">
        <is>
          <t>ÖRNSKÖLDSVIK</t>
        </is>
      </c>
      <c r="G11894" t="n">
        <v>1.3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12749-2026</t>
        </is>
      </c>
      <c r="B11895" s="1" t="n">
        <v>46091</v>
      </c>
      <c r="C11895" s="1" t="n">
        <v>46093</v>
      </c>
      <c r="D11895" t="inlineStr">
        <is>
          <t>VÄSTERNORRLANDS LÄN</t>
        </is>
      </c>
      <c r="E11895" t="inlineStr">
        <is>
          <t>ÅNGE</t>
        </is>
      </c>
      <c r="F11895" t="inlineStr">
        <is>
          <t>SCA</t>
        </is>
      </c>
      <c r="G11895" t="n">
        <v>0.9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12754-2026</t>
        </is>
      </c>
      <c r="B11896" s="1" t="n">
        <v>46091</v>
      </c>
      <c r="C11896" s="1" t="n">
        <v>46093</v>
      </c>
      <c r="D11896" t="inlineStr">
        <is>
          <t>VÄSTERNORRLANDS LÄN</t>
        </is>
      </c>
      <c r="E11896" t="inlineStr">
        <is>
          <t>ÅNGE</t>
        </is>
      </c>
      <c r="F11896" t="inlineStr">
        <is>
          <t>SCA</t>
        </is>
      </c>
      <c r="G11896" t="n">
        <v>0.9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12755-2026</t>
        </is>
      </c>
      <c r="B11897" s="1" t="n">
        <v>46091</v>
      </c>
      <c r="C11897" s="1" t="n">
        <v>46093</v>
      </c>
      <c r="D11897" t="inlineStr">
        <is>
          <t>VÄSTERNORRLANDS LÄN</t>
        </is>
      </c>
      <c r="E11897" t="inlineStr">
        <is>
          <t>ÅNGE</t>
        </is>
      </c>
      <c r="F11897" t="inlineStr">
        <is>
          <t>SCA</t>
        </is>
      </c>
      <c r="G11897" t="n">
        <v>3.3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12747-2026</t>
        </is>
      </c>
      <c r="B11898" s="1" t="n">
        <v>46091</v>
      </c>
      <c r="C11898" s="1" t="n">
        <v>46093</v>
      </c>
      <c r="D11898" t="inlineStr">
        <is>
          <t>VÄSTERNORRLANDS LÄN</t>
        </is>
      </c>
      <c r="E11898" t="inlineStr">
        <is>
          <t>ÅNGE</t>
        </is>
      </c>
      <c r="F11898" t="inlineStr">
        <is>
          <t>SCA</t>
        </is>
      </c>
      <c r="G11898" t="n">
        <v>2.3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5157-2026</t>
        </is>
      </c>
      <c r="B11899" s="1" t="n">
        <v>46049.61578703704</v>
      </c>
      <c r="C11899" s="1" t="n">
        <v>46093</v>
      </c>
      <c r="D11899" t="inlineStr">
        <is>
          <t>VÄSTERNORRLANDS LÄN</t>
        </is>
      </c>
      <c r="E11899" t="inlineStr">
        <is>
          <t>TIMRÅ</t>
        </is>
      </c>
      <c r="F11899" t="inlineStr">
        <is>
          <t>SCA</t>
        </is>
      </c>
      <c r="G11899" t="n">
        <v>9.4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25037-2023</t>
        </is>
      </c>
      <c r="B11900" s="1" t="n">
        <v>45085.92905092592</v>
      </c>
      <c r="C11900" s="1" t="n">
        <v>46093</v>
      </c>
      <c r="D11900" t="inlineStr">
        <is>
          <t>VÄSTERNORRLANDS LÄN</t>
        </is>
      </c>
      <c r="E11900" t="inlineStr">
        <is>
          <t>SUNDSVALL</t>
        </is>
      </c>
      <c r="G11900" t="n">
        <v>2.6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5434-2026</t>
        </is>
      </c>
      <c r="B11901" s="1" t="n">
        <v>46050.55648148148</v>
      </c>
      <c r="C11901" s="1" t="n">
        <v>46093</v>
      </c>
      <c r="D11901" t="inlineStr">
        <is>
          <t>VÄSTERNORRLANDS LÄN</t>
        </is>
      </c>
      <c r="E11901" t="inlineStr">
        <is>
          <t>SOLLEFTEÅ</t>
        </is>
      </c>
      <c r="G11901" t="n">
        <v>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1654-2026</t>
        </is>
      </c>
      <c r="B11902" s="1" t="n">
        <v>46034</v>
      </c>
      <c r="C11902" s="1" t="n">
        <v>46093</v>
      </c>
      <c r="D11902" t="inlineStr">
        <is>
          <t>VÄSTERNORRLANDS LÄN</t>
        </is>
      </c>
      <c r="E11902" t="inlineStr">
        <is>
          <t>ÅNGE</t>
        </is>
      </c>
      <c r="G11902" t="n">
        <v>3.1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5437-2026</t>
        </is>
      </c>
      <c r="B11903" s="1" t="n">
        <v>46050.56246527778</v>
      </c>
      <c r="C11903" s="1" t="n">
        <v>46093</v>
      </c>
      <c r="D11903" t="inlineStr">
        <is>
          <t>VÄSTERNORRLANDS LÄN</t>
        </is>
      </c>
      <c r="E11903" t="inlineStr">
        <is>
          <t>ÖRNSKÖLDSVIK</t>
        </is>
      </c>
      <c r="F11903" t="inlineStr">
        <is>
          <t>SCA</t>
        </is>
      </c>
      <c r="G11903" t="n">
        <v>20.8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27944-2025</t>
        </is>
      </c>
      <c r="B11904" s="1" t="n">
        <v>45817.51094907407</v>
      </c>
      <c r="C11904" s="1" t="n">
        <v>46093</v>
      </c>
      <c r="D11904" t="inlineStr">
        <is>
          <t>VÄSTERNORRLANDS LÄN</t>
        </is>
      </c>
      <c r="E11904" t="inlineStr">
        <is>
          <t>SUNDSVALL</t>
        </is>
      </c>
      <c r="F11904" t="inlineStr">
        <is>
          <t>Naturvårdsverket</t>
        </is>
      </c>
      <c r="G11904" t="n">
        <v>3.1</v>
      </c>
      <c r="H11904" t="n">
        <v>0</v>
      </c>
      <c r="I11904" t="n">
        <v>0</v>
      </c>
      <c r="J11904" t="n">
        <v>0</v>
      </c>
      <c r="K11904" t="n">
        <v>0</v>
      </c>
      <c r="L11904" t="n">
        <v>0</v>
      </c>
      <c r="M11904" t="n">
        <v>0</v>
      </c>
      <c r="N11904" t="n">
        <v>0</v>
      </c>
      <c r="O11904" t="n">
        <v>0</v>
      </c>
      <c r="P11904" t="n">
        <v>0</v>
      </c>
      <c r="Q11904" t="n">
        <v>0</v>
      </c>
      <c r="R11904" s="2" t="inlineStr"/>
      <c r="U11904">
        <f>HYPERLINK("https://klasma.github.io/Logging_2281/knärot/A 27944-2025 karta knärot.png", "A 27944-2025")</f>
        <v/>
      </c>
      <c r="V11904">
        <f>HYPERLINK("https://klasma.github.io/Logging_2281/klagomål/A 27944-2025 FSC-klagomål.docx", "A 27944-2025")</f>
        <v/>
      </c>
      <c r="W11904">
        <f>HYPERLINK("https://klasma.github.io/Logging_2281/klagomålsmail/A 27944-2025 FSC-klagomål mail.docx", "A 27944-2025")</f>
        <v/>
      </c>
      <c r="X11904">
        <f>HYPERLINK("https://klasma.github.io/Logging_2281/tillsyn/A 27944-2025 tillsynsbegäran.docx", "A 27944-2025")</f>
        <v/>
      </c>
      <c r="Y11904">
        <f>HYPERLINK("https://klasma.github.io/Logging_2281/tillsynsmail/A 27944-2025 tillsynsbegäran mail.docx", "A 27944-2025")</f>
        <v/>
      </c>
    </row>
    <row r="11905" ht="15" customHeight="1">
      <c r="A11905" t="inlineStr">
        <is>
          <t>A 5489-2026</t>
        </is>
      </c>
      <c r="B11905" s="1" t="n">
        <v>46050.61511574074</v>
      </c>
      <c r="C11905" s="1" t="n">
        <v>46093</v>
      </c>
      <c r="D11905" t="inlineStr">
        <is>
          <t>VÄSTERNORRLANDS LÄN</t>
        </is>
      </c>
      <c r="E11905" t="inlineStr">
        <is>
          <t>SOLLEFTEÅ</t>
        </is>
      </c>
      <c r="F11905" t="inlineStr">
        <is>
          <t>SCA</t>
        </is>
      </c>
      <c r="G11905" t="n">
        <v>2.6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27985-2025</t>
        </is>
      </c>
      <c r="B11906" s="1" t="n">
        <v>45817.57872685185</v>
      </c>
      <c r="C11906" s="1" t="n">
        <v>46093</v>
      </c>
      <c r="D11906" t="inlineStr">
        <is>
          <t>VÄSTERNORRLANDS LÄN</t>
        </is>
      </c>
      <c r="E11906" t="inlineStr">
        <is>
          <t>ÖRNSKÖLDSVIK</t>
        </is>
      </c>
      <c r="F11906" t="inlineStr">
        <is>
          <t>Holmen skog AB</t>
        </is>
      </c>
      <c r="G11906" t="n">
        <v>4.2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10769-2026</t>
        </is>
      </c>
      <c r="B11907" s="1" t="n">
        <v>46078</v>
      </c>
      <c r="C11907" s="1" t="n">
        <v>46093</v>
      </c>
      <c r="D11907" t="inlineStr">
        <is>
          <t>VÄSTERNORRLANDS LÄN</t>
        </is>
      </c>
      <c r="E11907" t="inlineStr">
        <is>
          <t>SUNDSVALL</t>
        </is>
      </c>
      <c r="G11907" t="n">
        <v>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28138-2025</t>
        </is>
      </c>
      <c r="B11908" s="1" t="n">
        <v>45818.34482638889</v>
      </c>
      <c r="C11908" s="1" t="n">
        <v>46093</v>
      </c>
      <c r="D11908" t="inlineStr">
        <is>
          <t>VÄSTERNORRLANDS LÄN</t>
        </is>
      </c>
      <c r="E11908" t="inlineStr">
        <is>
          <t>TIMRÅ</t>
        </is>
      </c>
      <c r="F11908" t="inlineStr">
        <is>
          <t>SCA</t>
        </is>
      </c>
      <c r="G11908" t="n">
        <v>3.5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28160-2025</t>
        </is>
      </c>
      <c r="B11909" s="1" t="n">
        <v>45818.36568287037</v>
      </c>
      <c r="C11909" s="1" t="n">
        <v>46093</v>
      </c>
      <c r="D11909" t="inlineStr">
        <is>
          <t>VÄSTERNORRLANDS LÄN</t>
        </is>
      </c>
      <c r="E11909" t="inlineStr">
        <is>
          <t>KRAMFORS</t>
        </is>
      </c>
      <c r="F11909" t="inlineStr">
        <is>
          <t>SCA</t>
        </is>
      </c>
      <c r="G11909" t="n">
        <v>5.4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5158-2026</t>
        </is>
      </c>
      <c r="B11910" s="1" t="n">
        <v>46049.61594907408</v>
      </c>
      <c r="C11910" s="1" t="n">
        <v>46093</v>
      </c>
      <c r="D11910" t="inlineStr">
        <is>
          <t>VÄSTERNORRLANDS LÄN</t>
        </is>
      </c>
      <c r="E11910" t="inlineStr">
        <is>
          <t>SOLLEFTEÅ</t>
        </is>
      </c>
      <c r="F11910" t="inlineStr">
        <is>
          <t>SCA</t>
        </is>
      </c>
      <c r="G11910" t="n">
        <v>2.1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18644-2025</t>
        </is>
      </c>
      <c r="B11911" s="1" t="n">
        <v>45763.57344907407</v>
      </c>
      <c r="C11911" s="1" t="n">
        <v>46093</v>
      </c>
      <c r="D11911" t="inlineStr">
        <is>
          <t>VÄSTERNORRLANDS LÄN</t>
        </is>
      </c>
      <c r="E11911" t="inlineStr">
        <is>
          <t>KRAMFORS</t>
        </is>
      </c>
      <c r="F11911" t="inlineStr">
        <is>
          <t>SCA</t>
        </is>
      </c>
      <c r="G11911" t="n">
        <v>28.7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12633-2026</t>
        </is>
      </c>
      <c r="B11912" s="1" t="n">
        <v>46091.45716435185</v>
      </c>
      <c r="C11912" s="1" t="n">
        <v>46093</v>
      </c>
      <c r="D11912" t="inlineStr">
        <is>
          <t>VÄSTERNORRLANDS LÄN</t>
        </is>
      </c>
      <c r="E11912" t="inlineStr">
        <is>
          <t>TIMRÅ</t>
        </is>
      </c>
      <c r="G11912" t="n">
        <v>7.6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10705-2026</t>
        </is>
      </c>
      <c r="B11913" s="1" t="n">
        <v>46078.44865740741</v>
      </c>
      <c r="C11913" s="1" t="n">
        <v>46093</v>
      </c>
      <c r="D11913" t="inlineStr">
        <is>
          <t>VÄSTERNORRLANDS LÄN</t>
        </is>
      </c>
      <c r="E11913" t="inlineStr">
        <is>
          <t>ÅNGE</t>
        </is>
      </c>
      <c r="F11913" t="inlineStr">
        <is>
          <t>SCA</t>
        </is>
      </c>
      <c r="G11913" t="n">
        <v>0.8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10706-2026</t>
        </is>
      </c>
      <c r="B11914" s="1" t="n">
        <v>46078.44876157407</v>
      </c>
      <c r="C11914" s="1" t="n">
        <v>46093</v>
      </c>
      <c r="D11914" t="inlineStr">
        <is>
          <t>VÄSTERNORRLANDS LÄN</t>
        </is>
      </c>
      <c r="E11914" t="inlineStr">
        <is>
          <t>ÅNGE</t>
        </is>
      </c>
      <c r="F11914" t="inlineStr">
        <is>
          <t>SCA</t>
        </is>
      </c>
      <c r="G11914" t="n">
        <v>1.5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10707-2026</t>
        </is>
      </c>
      <c r="B11915" s="1" t="n">
        <v>46078.4487962963</v>
      </c>
      <c r="C11915" s="1" t="n">
        <v>46093</v>
      </c>
      <c r="D11915" t="inlineStr">
        <is>
          <t>VÄSTERNORRLANDS LÄN</t>
        </is>
      </c>
      <c r="E11915" t="inlineStr">
        <is>
          <t>ÅNGE</t>
        </is>
      </c>
      <c r="F11915" t="inlineStr">
        <is>
          <t>SCA</t>
        </is>
      </c>
      <c r="G11915" t="n">
        <v>12.2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10708-2026</t>
        </is>
      </c>
      <c r="B11916" s="1" t="n">
        <v>46078.44883101852</v>
      </c>
      <c r="C11916" s="1" t="n">
        <v>46093</v>
      </c>
      <c r="D11916" t="inlineStr">
        <is>
          <t>VÄSTERNORRLANDS LÄN</t>
        </is>
      </c>
      <c r="E11916" t="inlineStr">
        <is>
          <t>ÅNGE</t>
        </is>
      </c>
      <c r="F11916" t="inlineStr">
        <is>
          <t>SCA</t>
        </is>
      </c>
      <c r="G11916" t="n">
        <v>3.9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5470-2026</t>
        </is>
      </c>
      <c r="B11917" s="1" t="n">
        <v>46050.59548611111</v>
      </c>
      <c r="C11917" s="1" t="n">
        <v>46093</v>
      </c>
      <c r="D11917" t="inlineStr">
        <is>
          <t>VÄSTERNORRLANDS LÄN</t>
        </is>
      </c>
      <c r="E11917" t="inlineStr">
        <is>
          <t>ÅNGE</t>
        </is>
      </c>
      <c r="G11917" t="n">
        <v>4.1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12835-2026</t>
        </is>
      </c>
      <c r="B11918" s="1" t="n">
        <v>46092.42777777778</v>
      </c>
      <c r="C11918" s="1" t="n">
        <v>46093</v>
      </c>
      <c r="D11918" t="inlineStr">
        <is>
          <t>VÄSTERNORRLANDS LÄN</t>
        </is>
      </c>
      <c r="E11918" t="inlineStr">
        <is>
          <t>SOLLEFTEÅ</t>
        </is>
      </c>
      <c r="F11918" t="inlineStr">
        <is>
          <t>SCA</t>
        </is>
      </c>
      <c r="G11918" t="n">
        <v>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28070-2025</t>
        </is>
      </c>
      <c r="B11919" s="1" t="n">
        <v>45817.67739583334</v>
      </c>
      <c r="C11919" s="1" t="n">
        <v>46093</v>
      </c>
      <c r="D11919" t="inlineStr">
        <is>
          <t>VÄSTERNORRLANDS LÄN</t>
        </is>
      </c>
      <c r="E11919" t="inlineStr">
        <is>
          <t>ÅNGE</t>
        </is>
      </c>
      <c r="F11919" t="inlineStr">
        <is>
          <t>SCA</t>
        </is>
      </c>
      <c r="G11919" t="n">
        <v>3.5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26966-2024</t>
        </is>
      </c>
      <c r="B11920" s="1" t="n">
        <v>45471</v>
      </c>
      <c r="C11920" s="1" t="n">
        <v>46093</v>
      </c>
      <c r="D11920" t="inlineStr">
        <is>
          <t>VÄSTERNORRLANDS LÄN</t>
        </is>
      </c>
      <c r="E11920" t="inlineStr">
        <is>
          <t>ÖRNSKÖLDSVIK</t>
        </is>
      </c>
      <c r="F11920" t="inlineStr">
        <is>
          <t>Holmen skog AB</t>
        </is>
      </c>
      <c r="G11920" t="n">
        <v>70.5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5490-2026</t>
        </is>
      </c>
      <c r="B11921" s="1" t="n">
        <v>46050.61539351852</v>
      </c>
      <c r="C11921" s="1" t="n">
        <v>46093</v>
      </c>
      <c r="D11921" t="inlineStr">
        <is>
          <t>VÄSTERNORRLANDS LÄN</t>
        </is>
      </c>
      <c r="E11921" t="inlineStr">
        <is>
          <t>SUNDSVALL</t>
        </is>
      </c>
      <c r="F11921" t="inlineStr">
        <is>
          <t>SCA</t>
        </is>
      </c>
      <c r="G11921" t="n">
        <v>7.5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28166-2025</t>
        </is>
      </c>
      <c r="B11922" s="1" t="n">
        <v>45818.37241898148</v>
      </c>
      <c r="C11922" s="1" t="n">
        <v>46093</v>
      </c>
      <c r="D11922" t="inlineStr">
        <is>
          <t>VÄSTERNORRLANDS LÄN</t>
        </is>
      </c>
      <c r="E11922" t="inlineStr">
        <is>
          <t>ÖRNSKÖLDSVIK</t>
        </is>
      </c>
      <c r="F11922" t="inlineStr">
        <is>
          <t>Holmen skog AB</t>
        </is>
      </c>
      <c r="G11922" t="n">
        <v>2.5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55972-2024</t>
        </is>
      </c>
      <c r="B11923" s="1" t="n">
        <v>45623.65508101852</v>
      </c>
      <c r="C11923" s="1" t="n">
        <v>46093</v>
      </c>
      <c r="D11923" t="inlineStr">
        <is>
          <t>VÄSTERNORRLANDS LÄN</t>
        </is>
      </c>
      <c r="E11923" t="inlineStr">
        <is>
          <t>ÖRNSKÖLDSVIK</t>
        </is>
      </c>
      <c r="G11923" t="n">
        <v>2.2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5478-2026</t>
        </is>
      </c>
      <c r="B11924" s="1" t="n">
        <v>46050.60172453704</v>
      </c>
      <c r="C11924" s="1" t="n">
        <v>46093</v>
      </c>
      <c r="D11924" t="inlineStr">
        <is>
          <t>VÄSTERNORRLANDS LÄN</t>
        </is>
      </c>
      <c r="E11924" t="inlineStr">
        <is>
          <t>ÅNGE</t>
        </is>
      </c>
      <c r="G11924" t="n">
        <v>7.6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12748-2026</t>
        </is>
      </c>
      <c r="B11925" s="1" t="n">
        <v>46091</v>
      </c>
      <c r="C11925" s="1" t="n">
        <v>46093</v>
      </c>
      <c r="D11925" t="inlineStr">
        <is>
          <t>VÄSTERNORRLANDS LÄN</t>
        </is>
      </c>
      <c r="E11925" t="inlineStr">
        <is>
          <t>ÅNGE</t>
        </is>
      </c>
      <c r="F11925" t="inlineStr">
        <is>
          <t>SCA</t>
        </is>
      </c>
      <c r="G11925" t="n">
        <v>15.5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12751-2026</t>
        </is>
      </c>
      <c r="B11926" s="1" t="n">
        <v>46091</v>
      </c>
      <c r="C11926" s="1" t="n">
        <v>46093</v>
      </c>
      <c r="D11926" t="inlineStr">
        <is>
          <t>VÄSTERNORRLANDS LÄN</t>
        </is>
      </c>
      <c r="E11926" t="inlineStr">
        <is>
          <t>ÅNGE</t>
        </is>
      </c>
      <c r="F11926" t="inlineStr">
        <is>
          <t>SCA</t>
        </is>
      </c>
      <c r="G11926" t="n">
        <v>2.3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12410-2026</t>
        </is>
      </c>
      <c r="B11927" s="1" t="n">
        <v>46088</v>
      </c>
      <c r="C11927" s="1" t="n">
        <v>46093</v>
      </c>
      <c r="D11927" t="inlineStr">
        <is>
          <t>VÄSTERNORRLANDS LÄN</t>
        </is>
      </c>
      <c r="E11927" t="inlineStr">
        <is>
          <t>SOLLEFTEÅ</t>
        </is>
      </c>
      <c r="G11927" t="n">
        <v>11.3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28509-2025</t>
        </is>
      </c>
      <c r="B11928" s="1" t="n">
        <v>45818</v>
      </c>
      <c r="C11928" s="1" t="n">
        <v>46093</v>
      </c>
      <c r="D11928" t="inlineStr">
        <is>
          <t>VÄSTERNORRLANDS LÄN</t>
        </is>
      </c>
      <c r="E11928" t="inlineStr">
        <is>
          <t>ÖRNSKÖLDSVIK</t>
        </is>
      </c>
      <c r="G11928" t="n">
        <v>0.4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5253-2026</t>
        </is>
      </c>
      <c r="B11929" s="1" t="n">
        <v>46050.23314814815</v>
      </c>
      <c r="C11929" s="1" t="n">
        <v>46093</v>
      </c>
      <c r="D11929" t="inlineStr">
        <is>
          <t>VÄSTERNORRLANDS LÄN</t>
        </is>
      </c>
      <c r="E11929" t="inlineStr">
        <is>
          <t>SUNDSVALL</t>
        </is>
      </c>
      <c r="G11929" t="n">
        <v>1.8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27893-2025</t>
        </is>
      </c>
      <c r="B11930" s="1" t="n">
        <v>45817.46428240741</v>
      </c>
      <c r="C11930" s="1" t="n">
        <v>46093</v>
      </c>
      <c r="D11930" t="inlineStr">
        <is>
          <t>VÄSTERNORRLANDS LÄN</t>
        </is>
      </c>
      <c r="E11930" t="inlineStr">
        <is>
          <t>ÖRNSKÖLDSVIK</t>
        </is>
      </c>
      <c r="F11930" t="inlineStr">
        <is>
          <t>Holmen skog AB</t>
        </is>
      </c>
      <c r="G11930" t="n">
        <v>9.300000000000001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5223-2026</t>
        </is>
      </c>
      <c r="B11931" s="1" t="n">
        <v>46049.79012731482</v>
      </c>
      <c r="C11931" s="1" t="n">
        <v>46093</v>
      </c>
      <c r="D11931" t="inlineStr">
        <is>
          <t>VÄSTERNORRLANDS LÄN</t>
        </is>
      </c>
      <c r="E11931" t="inlineStr">
        <is>
          <t>ÅNGE</t>
        </is>
      </c>
      <c r="G11931" t="n">
        <v>1.9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51505-2024</t>
        </is>
      </c>
      <c r="B11932" s="1" t="n">
        <v>45604</v>
      </c>
      <c r="C11932" s="1" t="n">
        <v>46093</v>
      </c>
      <c r="D11932" t="inlineStr">
        <is>
          <t>VÄSTERNORRLANDS LÄN</t>
        </is>
      </c>
      <c r="E11932" t="inlineStr">
        <is>
          <t>SOLLEFTEÅ</t>
        </is>
      </c>
      <c r="G11932" t="n">
        <v>1.3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27754-2025</t>
        </is>
      </c>
      <c r="B11933" s="1" t="n">
        <v>45815.69635416667</v>
      </c>
      <c r="C11933" s="1" t="n">
        <v>46093</v>
      </c>
      <c r="D11933" t="inlineStr">
        <is>
          <t>VÄSTERNORRLANDS LÄN</t>
        </is>
      </c>
      <c r="E11933" t="inlineStr">
        <is>
          <t>SUNDSVALL</t>
        </is>
      </c>
      <c r="G11933" t="n">
        <v>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5059-2026</t>
        </is>
      </c>
      <c r="B11934" s="1" t="n">
        <v>46049.48384259259</v>
      </c>
      <c r="C11934" s="1" t="n">
        <v>46093</v>
      </c>
      <c r="D11934" t="inlineStr">
        <is>
          <t>VÄSTERNORRLANDS LÄN</t>
        </is>
      </c>
      <c r="E11934" t="inlineStr">
        <is>
          <t>SOLLEFTEÅ</t>
        </is>
      </c>
      <c r="G11934" t="n">
        <v>1.9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5095-2026</t>
        </is>
      </c>
      <c r="B11935" s="1" t="n">
        <v>46049.55422453704</v>
      </c>
      <c r="C11935" s="1" t="n">
        <v>46093</v>
      </c>
      <c r="D11935" t="inlineStr">
        <is>
          <t>VÄSTERNORRLANDS LÄN</t>
        </is>
      </c>
      <c r="E11935" t="inlineStr">
        <is>
          <t>KRAMFORS</t>
        </is>
      </c>
      <c r="G11935" t="n">
        <v>3.4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5167-2026</t>
        </is>
      </c>
      <c r="B11936" s="1" t="n">
        <v>46049.62803240741</v>
      </c>
      <c r="C11936" s="1" t="n">
        <v>46093</v>
      </c>
      <c r="D11936" t="inlineStr">
        <is>
          <t>VÄSTERNORRLANDS LÄN</t>
        </is>
      </c>
      <c r="E11936" t="inlineStr">
        <is>
          <t>KRAMFORS</t>
        </is>
      </c>
      <c r="G11936" t="n">
        <v>4.1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27941-2025</t>
        </is>
      </c>
      <c r="B11937" s="1" t="n">
        <v>45817.50902777778</v>
      </c>
      <c r="C11937" s="1" t="n">
        <v>46093</v>
      </c>
      <c r="D11937" t="inlineStr">
        <is>
          <t>VÄSTERNORRLANDS LÄN</t>
        </is>
      </c>
      <c r="E11937" t="inlineStr">
        <is>
          <t>ÖRNSKÖLDSVIK</t>
        </is>
      </c>
      <c r="F11937" t="inlineStr">
        <is>
          <t>Holmen skog AB</t>
        </is>
      </c>
      <c r="G11937" t="n">
        <v>4.1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27956-2025</t>
        </is>
      </c>
      <c r="B11938" s="1" t="n">
        <v>45817.5344675926</v>
      </c>
      <c r="C11938" s="1" t="n">
        <v>46093</v>
      </c>
      <c r="D11938" t="inlineStr">
        <is>
          <t>VÄSTERNORRLANDS LÄN</t>
        </is>
      </c>
      <c r="E11938" t="inlineStr">
        <is>
          <t>SOLLEFTEÅ</t>
        </is>
      </c>
      <c r="F11938" t="inlineStr">
        <is>
          <t>Holmen skog AB</t>
        </is>
      </c>
      <c r="G11938" t="n">
        <v>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5432-2026</t>
        </is>
      </c>
      <c r="B11939" s="1" t="n">
        <v>46050.55491898148</v>
      </c>
      <c r="C11939" s="1" t="n">
        <v>46093</v>
      </c>
      <c r="D11939" t="inlineStr">
        <is>
          <t>VÄSTERNORRLANDS LÄN</t>
        </is>
      </c>
      <c r="E11939" t="inlineStr">
        <is>
          <t>ÖRNSKÖLDSVIK</t>
        </is>
      </c>
      <c r="G11939" t="n">
        <v>3.1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28371-2025</t>
        </is>
      </c>
      <c r="B11940" s="1" t="n">
        <v>45818</v>
      </c>
      <c r="C11940" s="1" t="n">
        <v>46093</v>
      </c>
      <c r="D11940" t="inlineStr">
        <is>
          <t>VÄSTERNORRLANDS LÄN</t>
        </is>
      </c>
      <c r="E11940" t="inlineStr">
        <is>
          <t>ÖRNSKÖLDSVIK</t>
        </is>
      </c>
      <c r="G11940" t="n">
        <v>1.2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28142-2025</t>
        </is>
      </c>
      <c r="B11941" s="1" t="n">
        <v>45818.34538194445</v>
      </c>
      <c r="C11941" s="1" t="n">
        <v>46093</v>
      </c>
      <c r="D11941" t="inlineStr">
        <is>
          <t>VÄSTERNORRLANDS LÄN</t>
        </is>
      </c>
      <c r="E11941" t="inlineStr">
        <is>
          <t>SOLLEFTEÅ</t>
        </is>
      </c>
      <c r="F11941" t="inlineStr">
        <is>
          <t>SCA</t>
        </is>
      </c>
      <c r="G11941" t="n">
        <v>1.6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28146-2025</t>
        </is>
      </c>
      <c r="B11942" s="1" t="n">
        <v>45818</v>
      </c>
      <c r="C11942" s="1" t="n">
        <v>46093</v>
      </c>
      <c r="D11942" t="inlineStr">
        <is>
          <t>VÄSTERNORRLANDS LÄN</t>
        </is>
      </c>
      <c r="E11942" t="inlineStr">
        <is>
          <t>ÖRNSKÖLDSVIK</t>
        </is>
      </c>
      <c r="F11942" t="inlineStr">
        <is>
          <t>SCA</t>
        </is>
      </c>
      <c r="G11942" t="n">
        <v>1.2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21188-2025</t>
        </is>
      </c>
      <c r="B11943" s="1" t="n">
        <v>45777</v>
      </c>
      <c r="C11943" s="1" t="n">
        <v>46093</v>
      </c>
      <c r="D11943" t="inlineStr">
        <is>
          <t>VÄSTERNORRLANDS LÄN</t>
        </is>
      </c>
      <c r="E11943" t="inlineStr">
        <is>
          <t>SUNDSVALL</t>
        </is>
      </c>
      <c r="G11943" t="n">
        <v>2.5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28085-2025</t>
        </is>
      </c>
      <c r="B11944" s="1" t="n">
        <v>45817.71924768519</v>
      </c>
      <c r="C11944" s="1" t="n">
        <v>46093</v>
      </c>
      <c r="D11944" t="inlineStr">
        <is>
          <t>VÄSTERNORRLANDS LÄN</t>
        </is>
      </c>
      <c r="E11944" t="inlineStr">
        <is>
          <t>ÅNGE</t>
        </is>
      </c>
      <c r="F11944" t="inlineStr">
        <is>
          <t>SCA</t>
        </is>
      </c>
      <c r="G11944" t="n">
        <v>2.3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28175-2025</t>
        </is>
      </c>
      <c r="B11945" s="1" t="n">
        <v>45818</v>
      </c>
      <c r="C11945" s="1" t="n">
        <v>46093</v>
      </c>
      <c r="D11945" t="inlineStr">
        <is>
          <t>VÄSTERNORRLANDS LÄN</t>
        </is>
      </c>
      <c r="E11945" t="inlineStr">
        <is>
          <t>KRAMFORS</t>
        </is>
      </c>
      <c r="G11945" t="n">
        <v>4.1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27748-2025</t>
        </is>
      </c>
      <c r="B11946" s="1" t="n">
        <v>45815.67740740741</v>
      </c>
      <c r="C11946" s="1" t="n">
        <v>46093</v>
      </c>
      <c r="D11946" t="inlineStr">
        <is>
          <t>VÄSTERNORRLANDS LÄN</t>
        </is>
      </c>
      <c r="E11946" t="inlineStr">
        <is>
          <t>SOLLEFTEÅ</t>
        </is>
      </c>
      <c r="F11946" t="inlineStr">
        <is>
          <t>SCA</t>
        </is>
      </c>
      <c r="G11946" t="n">
        <v>0.8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27753-2025</t>
        </is>
      </c>
      <c r="B11947" s="1" t="n">
        <v>45815.69273148148</v>
      </c>
      <c r="C11947" s="1" t="n">
        <v>46093</v>
      </c>
      <c r="D11947" t="inlineStr">
        <is>
          <t>VÄSTERNORRLANDS LÄN</t>
        </is>
      </c>
      <c r="E11947" t="inlineStr">
        <is>
          <t>SUNDSVALL</t>
        </is>
      </c>
      <c r="G11947" t="n">
        <v>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27822-2025</t>
        </is>
      </c>
      <c r="B11948" s="1" t="n">
        <v>45817.34410879629</v>
      </c>
      <c r="C11948" s="1" t="n">
        <v>46093</v>
      </c>
      <c r="D11948" t="inlineStr">
        <is>
          <t>VÄSTERNORRLANDS LÄN</t>
        </is>
      </c>
      <c r="E11948" t="inlineStr">
        <is>
          <t>SOLLEFTEÅ</t>
        </is>
      </c>
      <c r="F11948" t="inlineStr">
        <is>
          <t>SCA</t>
        </is>
      </c>
      <c r="G11948" t="n">
        <v>2.5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28045-2025</t>
        </is>
      </c>
      <c r="B11949" s="1" t="n">
        <v>45817.6527662037</v>
      </c>
      <c r="C11949" s="1" t="n">
        <v>46093</v>
      </c>
      <c r="D11949" t="inlineStr">
        <is>
          <t>VÄSTERNORRLANDS LÄN</t>
        </is>
      </c>
      <c r="E11949" t="inlineStr">
        <is>
          <t>ÖRNSKÖLDSVIK</t>
        </is>
      </c>
      <c r="F11949" t="inlineStr">
        <is>
          <t>Holmen skog AB</t>
        </is>
      </c>
      <c r="G11949" t="n">
        <v>0.9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17993-2022</t>
        </is>
      </c>
      <c r="B11950" s="1" t="n">
        <v>44683</v>
      </c>
      <c r="C11950" s="1" t="n">
        <v>46093</v>
      </c>
      <c r="D11950" t="inlineStr">
        <is>
          <t>VÄSTERNORRLANDS LÄN</t>
        </is>
      </c>
      <c r="E11950" t="inlineStr">
        <is>
          <t>SUNDSVALL</t>
        </is>
      </c>
      <c r="G11950" t="n">
        <v>0.7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28143-2025</t>
        </is>
      </c>
      <c r="B11951" s="1" t="n">
        <v>45818.34546296296</v>
      </c>
      <c r="C11951" s="1" t="n">
        <v>46093</v>
      </c>
      <c r="D11951" t="inlineStr">
        <is>
          <t>VÄSTERNORRLANDS LÄN</t>
        </is>
      </c>
      <c r="E11951" t="inlineStr">
        <is>
          <t>ÅNGE</t>
        </is>
      </c>
      <c r="F11951" t="inlineStr">
        <is>
          <t>SCA</t>
        </is>
      </c>
      <c r="G11951" t="n">
        <v>6.8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28195-2025</t>
        </is>
      </c>
      <c r="B11952" s="1" t="n">
        <v>45818</v>
      </c>
      <c r="C11952" s="1" t="n">
        <v>46093</v>
      </c>
      <c r="D11952" t="inlineStr">
        <is>
          <t>VÄSTERNORRLANDS LÄN</t>
        </is>
      </c>
      <c r="E11952" t="inlineStr">
        <is>
          <t>SOLLEFTEÅ</t>
        </is>
      </c>
      <c r="G11952" t="n">
        <v>5.2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27823-2025</t>
        </is>
      </c>
      <c r="B11953" s="1" t="n">
        <v>45817.34424768519</v>
      </c>
      <c r="C11953" s="1" t="n">
        <v>46093</v>
      </c>
      <c r="D11953" t="inlineStr">
        <is>
          <t>VÄSTERNORRLANDS LÄN</t>
        </is>
      </c>
      <c r="E11953" t="inlineStr">
        <is>
          <t>SUNDSVALL</t>
        </is>
      </c>
      <c r="F11953" t="inlineStr">
        <is>
          <t>SCA</t>
        </is>
      </c>
      <c r="G11953" t="n">
        <v>1.1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12411-2025</t>
        </is>
      </c>
      <c r="B11954" s="1" t="n">
        <v>45730.43614583334</v>
      </c>
      <c r="C11954" s="1" t="n">
        <v>46093</v>
      </c>
      <c r="D11954" t="inlineStr">
        <is>
          <t>VÄSTERNORRLANDS LÄN</t>
        </is>
      </c>
      <c r="E11954" t="inlineStr">
        <is>
          <t>KRAMFORS</t>
        </is>
      </c>
      <c r="G11954" t="n">
        <v>3.7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15449-2025</t>
        </is>
      </c>
      <c r="B11955" s="1" t="n">
        <v>45747.48884259259</v>
      </c>
      <c r="C11955" s="1" t="n">
        <v>46093</v>
      </c>
      <c r="D11955" t="inlineStr">
        <is>
          <t>VÄSTERNORRLANDS LÄN</t>
        </is>
      </c>
      <c r="E11955" t="inlineStr">
        <is>
          <t>ÖRNSKÖLDSVIK</t>
        </is>
      </c>
      <c r="F11955" t="inlineStr">
        <is>
          <t>Holmen skog AB</t>
        </is>
      </c>
      <c r="G11955" t="n">
        <v>0.8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28517-2025</t>
        </is>
      </c>
      <c r="B11956" s="1" t="n">
        <v>45819.48409722222</v>
      </c>
      <c r="C11956" s="1" t="n">
        <v>46093</v>
      </c>
      <c r="D11956" t="inlineStr">
        <is>
          <t>VÄSTERNORRLANDS LÄN</t>
        </is>
      </c>
      <c r="E11956" t="inlineStr">
        <is>
          <t>ÖRNSKÖLDSVIK</t>
        </is>
      </c>
      <c r="G11956" t="n">
        <v>0.5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28405-2025</t>
        </is>
      </c>
      <c r="B11957" s="1" t="n">
        <v>45819.34549768519</v>
      </c>
      <c r="C11957" s="1" t="n">
        <v>46093</v>
      </c>
      <c r="D11957" t="inlineStr">
        <is>
          <t>VÄSTERNORRLANDS LÄN</t>
        </is>
      </c>
      <c r="E11957" t="inlineStr">
        <is>
          <t>TIMRÅ</t>
        </is>
      </c>
      <c r="F11957" t="inlineStr">
        <is>
          <t>SCA</t>
        </is>
      </c>
      <c r="G11957" t="n">
        <v>3.8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28579-2025</t>
        </is>
      </c>
      <c r="B11958" s="1" t="n">
        <v>45819.57334490741</v>
      </c>
      <c r="C11958" s="1" t="n">
        <v>46093</v>
      </c>
      <c r="D11958" t="inlineStr">
        <is>
          <t>VÄSTERNORRLANDS LÄN</t>
        </is>
      </c>
      <c r="E11958" t="inlineStr">
        <is>
          <t>SOLLEFTEÅ</t>
        </is>
      </c>
      <c r="G11958" t="n">
        <v>5.2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28901-2025</t>
        </is>
      </c>
      <c r="B11959" s="1" t="n">
        <v>45820.64157407408</v>
      </c>
      <c r="C11959" s="1" t="n">
        <v>46093</v>
      </c>
      <c r="D11959" t="inlineStr">
        <is>
          <t>VÄSTERNORRLANDS LÄN</t>
        </is>
      </c>
      <c r="E11959" t="inlineStr">
        <is>
          <t>ÖRNSKÖLDSVIK</t>
        </is>
      </c>
      <c r="G11959" t="n">
        <v>1.4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28388-2025</t>
        </is>
      </c>
      <c r="B11960" s="1" t="n">
        <v>45819.32322916666</v>
      </c>
      <c r="C11960" s="1" t="n">
        <v>46093</v>
      </c>
      <c r="D11960" t="inlineStr">
        <is>
          <t>VÄSTERNORRLANDS LÄN</t>
        </is>
      </c>
      <c r="E11960" t="inlineStr">
        <is>
          <t>HÄRNÖSAND</t>
        </is>
      </c>
      <c r="G11960" t="n">
        <v>10.7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28423-2025</t>
        </is>
      </c>
      <c r="B11961" s="1" t="n">
        <v>45819.36415509259</v>
      </c>
      <c r="C11961" s="1" t="n">
        <v>46093</v>
      </c>
      <c r="D11961" t="inlineStr">
        <is>
          <t>VÄSTERNORRLANDS LÄN</t>
        </is>
      </c>
      <c r="E11961" t="inlineStr">
        <is>
          <t>KRAMFORS</t>
        </is>
      </c>
      <c r="G11961" t="n">
        <v>9.5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28686-2025</t>
        </is>
      </c>
      <c r="B11962" s="1" t="n">
        <v>45819</v>
      </c>
      <c r="C11962" s="1" t="n">
        <v>46093</v>
      </c>
      <c r="D11962" t="inlineStr">
        <is>
          <t>VÄSTERNORRLANDS LÄN</t>
        </is>
      </c>
      <c r="E11962" t="inlineStr">
        <is>
          <t>SOLLEFTEÅ</t>
        </is>
      </c>
      <c r="G11962" t="n">
        <v>5.7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28709-2025</t>
        </is>
      </c>
      <c r="B11963" s="1" t="n">
        <v>45820.31811342593</v>
      </c>
      <c r="C11963" s="1" t="n">
        <v>46093</v>
      </c>
      <c r="D11963" t="inlineStr">
        <is>
          <t>VÄSTERNORRLANDS LÄN</t>
        </is>
      </c>
      <c r="E11963" t="inlineStr">
        <is>
          <t>KRAMFORS</t>
        </is>
      </c>
      <c r="G11963" t="n">
        <v>4.7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28480-2025</t>
        </is>
      </c>
      <c r="B11964" s="1" t="n">
        <v>45819</v>
      </c>
      <c r="C11964" s="1" t="n">
        <v>46093</v>
      </c>
      <c r="D11964" t="inlineStr">
        <is>
          <t>VÄSTERNORRLANDS LÄN</t>
        </is>
      </c>
      <c r="E11964" t="inlineStr">
        <is>
          <t>ÖRNSKÖLDSVIK</t>
        </is>
      </c>
      <c r="G11964" t="n">
        <v>13.4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28404-2025</t>
        </is>
      </c>
      <c r="B11965" s="1" t="n">
        <v>45819.34532407407</v>
      </c>
      <c r="C11965" s="1" t="n">
        <v>46093</v>
      </c>
      <c r="D11965" t="inlineStr">
        <is>
          <t>VÄSTERNORRLANDS LÄN</t>
        </is>
      </c>
      <c r="E11965" t="inlineStr">
        <is>
          <t>ÅNGE</t>
        </is>
      </c>
      <c r="F11965" t="inlineStr">
        <is>
          <t>SCA</t>
        </is>
      </c>
      <c r="G11965" t="n">
        <v>3.5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28407-2025</t>
        </is>
      </c>
      <c r="B11966" s="1" t="n">
        <v>45819.34581018519</v>
      </c>
      <c r="C11966" s="1" t="n">
        <v>46093</v>
      </c>
      <c r="D11966" t="inlineStr">
        <is>
          <t>VÄSTERNORRLANDS LÄN</t>
        </is>
      </c>
      <c r="E11966" t="inlineStr">
        <is>
          <t>SUNDSVALL</t>
        </is>
      </c>
      <c r="F11966" t="inlineStr">
        <is>
          <t>SCA</t>
        </is>
      </c>
      <c r="G11966" t="n">
        <v>2.1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28896-2025</t>
        </is>
      </c>
      <c r="B11967" s="1" t="n">
        <v>45820.63584490741</v>
      </c>
      <c r="C11967" s="1" t="n">
        <v>46093</v>
      </c>
      <c r="D11967" t="inlineStr">
        <is>
          <t>VÄSTERNORRLANDS LÄN</t>
        </is>
      </c>
      <c r="E11967" t="inlineStr">
        <is>
          <t>ÅNGE</t>
        </is>
      </c>
      <c r="F11967" t="inlineStr">
        <is>
          <t>SCA</t>
        </is>
      </c>
      <c r="G11967" t="n">
        <v>4.4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28501-2025</t>
        </is>
      </c>
      <c r="B11968" s="1" t="n">
        <v>45819.47229166667</v>
      </c>
      <c r="C11968" s="1" t="n">
        <v>46093</v>
      </c>
      <c r="D11968" t="inlineStr">
        <is>
          <t>VÄSTERNORRLANDS LÄN</t>
        </is>
      </c>
      <c r="E11968" t="inlineStr">
        <is>
          <t>ÖRNSKÖLDSVIK</t>
        </is>
      </c>
      <c r="G11968" t="n">
        <v>1.4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28743-2025</t>
        </is>
      </c>
      <c r="B11969" s="1" t="n">
        <v>45820.38586805556</v>
      </c>
      <c r="C11969" s="1" t="n">
        <v>46093</v>
      </c>
      <c r="D11969" t="inlineStr">
        <is>
          <t>VÄSTERNORRLANDS LÄN</t>
        </is>
      </c>
      <c r="E11969" t="inlineStr">
        <is>
          <t>SOLLEFTEÅ</t>
        </is>
      </c>
      <c r="F11969" t="inlineStr">
        <is>
          <t>SCA</t>
        </is>
      </c>
      <c r="G11969" t="n">
        <v>1.9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28513-2025</t>
        </is>
      </c>
      <c r="B11970" s="1" t="n">
        <v>45819.48123842593</v>
      </c>
      <c r="C11970" s="1" t="n">
        <v>46093</v>
      </c>
      <c r="D11970" t="inlineStr">
        <is>
          <t>VÄSTERNORRLANDS LÄN</t>
        </is>
      </c>
      <c r="E11970" t="inlineStr">
        <is>
          <t>ÖRNSKÖLDSVIK</t>
        </is>
      </c>
      <c r="G11970" t="n">
        <v>0.6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28788-2025</t>
        </is>
      </c>
      <c r="B11971" s="1" t="n">
        <v>45820.46898148148</v>
      </c>
      <c r="C11971" s="1" t="n">
        <v>46093</v>
      </c>
      <c r="D11971" t="inlineStr">
        <is>
          <t>VÄSTERNORRLANDS LÄN</t>
        </is>
      </c>
      <c r="E11971" t="inlineStr">
        <is>
          <t>ÖRNSKÖLDSVIK</t>
        </is>
      </c>
      <c r="F11971" t="inlineStr">
        <is>
          <t>Holmen skog AB</t>
        </is>
      </c>
      <c r="G11971" t="n">
        <v>2.4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28715-2025</t>
        </is>
      </c>
      <c r="B11972" s="1" t="n">
        <v>45820</v>
      </c>
      <c r="C11972" s="1" t="n">
        <v>46093</v>
      </c>
      <c r="D11972" t="inlineStr">
        <is>
          <t>VÄSTERNORRLANDS LÄN</t>
        </is>
      </c>
      <c r="E11972" t="inlineStr">
        <is>
          <t>SOLLEFTEÅ</t>
        </is>
      </c>
      <c r="F11972" t="inlineStr">
        <is>
          <t>SCA</t>
        </is>
      </c>
      <c r="G11972" t="n">
        <v>5.9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28719-2025</t>
        </is>
      </c>
      <c r="B11973" s="1" t="n">
        <v>45820</v>
      </c>
      <c r="C11973" s="1" t="n">
        <v>46093</v>
      </c>
      <c r="D11973" t="inlineStr">
        <is>
          <t>VÄSTERNORRLANDS LÄN</t>
        </is>
      </c>
      <c r="E11973" t="inlineStr">
        <is>
          <t>SOLLEFTEÅ</t>
        </is>
      </c>
      <c r="F11973" t="inlineStr">
        <is>
          <t>SCA</t>
        </is>
      </c>
      <c r="G11973" t="n">
        <v>4.3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19463-2025</t>
        </is>
      </c>
      <c r="B11974" s="1" t="n">
        <v>45770</v>
      </c>
      <c r="C11974" s="1" t="n">
        <v>46093</v>
      </c>
      <c r="D11974" t="inlineStr">
        <is>
          <t>VÄSTERNORRLANDS LÄN</t>
        </is>
      </c>
      <c r="E11974" t="inlineStr">
        <is>
          <t>KRAMFORS</t>
        </is>
      </c>
      <c r="F11974" t="inlineStr">
        <is>
          <t>SCA</t>
        </is>
      </c>
      <c r="G11974" t="n">
        <v>17.1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25746-2025</t>
        </is>
      </c>
      <c r="B11975" s="1" t="n">
        <v>45800</v>
      </c>
      <c r="C11975" s="1" t="n">
        <v>46093</v>
      </c>
      <c r="D11975" t="inlineStr">
        <is>
          <t>VÄSTERNORRLANDS LÄN</t>
        </is>
      </c>
      <c r="E11975" t="inlineStr">
        <is>
          <t>HÄRNÖSAND</t>
        </is>
      </c>
      <c r="G11975" t="n">
        <v>1.6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28698-2025</t>
        </is>
      </c>
      <c r="B11976" s="1" t="n">
        <v>45819.925625</v>
      </c>
      <c r="C11976" s="1" t="n">
        <v>46093</v>
      </c>
      <c r="D11976" t="inlineStr">
        <is>
          <t>VÄSTERNORRLANDS LÄN</t>
        </is>
      </c>
      <c r="E11976" t="inlineStr">
        <is>
          <t>SOLLEFTEÅ</t>
        </is>
      </c>
      <c r="G11976" t="n">
        <v>1.5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28672-2025</t>
        </is>
      </c>
      <c r="B11977" s="1" t="n">
        <v>45819.6754050926</v>
      </c>
      <c r="C11977" s="1" t="n">
        <v>46093</v>
      </c>
      <c r="D11977" t="inlineStr">
        <is>
          <t>VÄSTERNORRLANDS LÄN</t>
        </is>
      </c>
      <c r="E11977" t="inlineStr">
        <is>
          <t>SOLLEFTEÅ</t>
        </is>
      </c>
      <c r="G11977" t="n">
        <v>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28674-2025</t>
        </is>
      </c>
      <c r="B11978" s="1" t="n">
        <v>45819.67739583334</v>
      </c>
      <c r="C11978" s="1" t="n">
        <v>46093</v>
      </c>
      <c r="D11978" t="inlineStr">
        <is>
          <t>VÄSTERNORRLANDS LÄN</t>
        </is>
      </c>
      <c r="E11978" t="inlineStr">
        <is>
          <t>TIMRÅ</t>
        </is>
      </c>
      <c r="F11978" t="inlineStr">
        <is>
          <t>SCA</t>
        </is>
      </c>
      <c r="G11978" t="n">
        <v>2.4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28692-2025</t>
        </is>
      </c>
      <c r="B11979" s="1" t="n">
        <v>45819.80699074074</v>
      </c>
      <c r="C11979" s="1" t="n">
        <v>46093</v>
      </c>
      <c r="D11979" t="inlineStr">
        <is>
          <t>VÄSTERNORRLANDS LÄN</t>
        </is>
      </c>
      <c r="E11979" t="inlineStr">
        <is>
          <t>KRAMFORS</t>
        </is>
      </c>
      <c r="G11979" t="n">
        <v>1.8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28769-2025</t>
        </is>
      </c>
      <c r="B11980" s="1" t="n">
        <v>45820.43233796296</v>
      </c>
      <c r="C11980" s="1" t="n">
        <v>46093</v>
      </c>
      <c r="D11980" t="inlineStr">
        <is>
          <t>VÄSTERNORRLANDS LÄN</t>
        </is>
      </c>
      <c r="E11980" t="inlineStr">
        <is>
          <t>ÖRNSKÖLDSVIK</t>
        </is>
      </c>
      <c r="G11980" t="n">
        <v>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28527-2025</t>
        </is>
      </c>
      <c r="B11981" s="1" t="n">
        <v>45819.49798611111</v>
      </c>
      <c r="C11981" s="1" t="n">
        <v>46093</v>
      </c>
      <c r="D11981" t="inlineStr">
        <is>
          <t>VÄSTERNORRLANDS LÄN</t>
        </is>
      </c>
      <c r="E11981" t="inlineStr">
        <is>
          <t>ÖRNSKÖLDSVIK</t>
        </is>
      </c>
      <c r="G11981" t="n">
        <v>13.4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28799-2025</t>
        </is>
      </c>
      <c r="B11982" s="1" t="n">
        <v>45820.48527777778</v>
      </c>
      <c r="C11982" s="1" t="n">
        <v>46093</v>
      </c>
      <c r="D11982" t="inlineStr">
        <is>
          <t>VÄSTERNORRLANDS LÄN</t>
        </is>
      </c>
      <c r="E11982" t="inlineStr">
        <is>
          <t>ÖRNSKÖLDSVIK</t>
        </is>
      </c>
      <c r="F11982" t="inlineStr">
        <is>
          <t>Holmen skog AB</t>
        </is>
      </c>
      <c r="G11982" t="n">
        <v>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28819-2025</t>
        </is>
      </c>
      <c r="B11983" s="1" t="n">
        <v>45820.53758101852</v>
      </c>
      <c r="C11983" s="1" t="n">
        <v>46093</v>
      </c>
      <c r="D11983" t="inlineStr">
        <is>
          <t>VÄSTERNORRLANDS LÄN</t>
        </is>
      </c>
      <c r="E11983" t="inlineStr">
        <is>
          <t>ÅNGE</t>
        </is>
      </c>
      <c r="G11983" t="n">
        <v>2.9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28845-2025</t>
        </is>
      </c>
      <c r="B11984" s="1" t="n">
        <v>45820.57324074074</v>
      </c>
      <c r="C11984" s="1" t="n">
        <v>46093</v>
      </c>
      <c r="D11984" t="inlineStr">
        <is>
          <t>VÄSTERNORRLANDS LÄN</t>
        </is>
      </c>
      <c r="E11984" t="inlineStr">
        <is>
          <t>ÅNGE</t>
        </is>
      </c>
      <c r="F11984" t="inlineStr">
        <is>
          <t>SCA</t>
        </is>
      </c>
      <c r="G11984" t="n">
        <v>3.4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28883-2025</t>
        </is>
      </c>
      <c r="B11985" s="1" t="n">
        <v>45820.62614583333</v>
      </c>
      <c r="C11985" s="1" t="n">
        <v>46093</v>
      </c>
      <c r="D11985" t="inlineStr">
        <is>
          <t>VÄSTERNORRLANDS LÄN</t>
        </is>
      </c>
      <c r="E11985" t="inlineStr">
        <is>
          <t>ÖRNSKÖLDSVIK</t>
        </is>
      </c>
      <c r="G11985" t="n">
        <v>1.2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28389-2025</t>
        </is>
      </c>
      <c r="B11986" s="1" t="n">
        <v>45819.3259837963</v>
      </c>
      <c r="C11986" s="1" t="n">
        <v>46093</v>
      </c>
      <c r="D11986" t="inlineStr">
        <is>
          <t>VÄSTERNORRLANDS LÄN</t>
        </is>
      </c>
      <c r="E11986" t="inlineStr">
        <is>
          <t>HÄRNÖSAND</t>
        </is>
      </c>
      <c r="G11986" t="n">
        <v>9.300000000000001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28814-2025</t>
        </is>
      </c>
      <c r="B11987" s="1" t="n">
        <v>45820.52846064815</v>
      </c>
      <c r="C11987" s="1" t="n">
        <v>46093</v>
      </c>
      <c r="D11987" t="inlineStr">
        <is>
          <t>VÄSTERNORRLANDS LÄN</t>
        </is>
      </c>
      <c r="E11987" t="inlineStr">
        <is>
          <t>ÅNGE</t>
        </is>
      </c>
      <c r="G11987" t="n">
        <v>2.6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28707-2025</t>
        </is>
      </c>
      <c r="B11988" s="1" t="n">
        <v>45820.31575231482</v>
      </c>
      <c r="C11988" s="1" t="n">
        <v>46093</v>
      </c>
      <c r="D11988" t="inlineStr">
        <is>
          <t>VÄSTERNORRLANDS LÄN</t>
        </is>
      </c>
      <c r="E11988" t="inlineStr">
        <is>
          <t>ÖRNSKÖLDSVIK</t>
        </is>
      </c>
      <c r="F11988" t="inlineStr">
        <is>
          <t>Holmen skog AB</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28717-2025</t>
        </is>
      </c>
      <c r="B11989" s="1" t="n">
        <v>45820</v>
      </c>
      <c r="C11989" s="1" t="n">
        <v>46093</v>
      </c>
      <c r="D11989" t="inlineStr">
        <is>
          <t>VÄSTERNORRLANDS LÄN</t>
        </is>
      </c>
      <c r="E11989" t="inlineStr">
        <is>
          <t>ÅNGE</t>
        </is>
      </c>
      <c r="F11989" t="inlineStr">
        <is>
          <t>SCA</t>
        </is>
      </c>
      <c r="G11989" t="n">
        <v>6.2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28983-2025</t>
        </is>
      </c>
      <c r="B11990" s="1" t="n">
        <v>45821.36771990741</v>
      </c>
      <c r="C11990" s="1" t="n">
        <v>46093</v>
      </c>
      <c r="D11990" t="inlineStr">
        <is>
          <t>VÄSTERNORRLANDS LÄN</t>
        </is>
      </c>
      <c r="E11990" t="inlineStr">
        <is>
          <t>ÖRNSKÖLDSVIK</t>
        </is>
      </c>
      <c r="F11990" t="inlineStr">
        <is>
          <t>Holmen skog AB</t>
        </is>
      </c>
      <c r="G11990" t="n">
        <v>3.9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52368-2024</t>
        </is>
      </c>
      <c r="B11991" s="1" t="n">
        <v>45608</v>
      </c>
      <c r="C11991" s="1" t="n">
        <v>46093</v>
      </c>
      <c r="D11991" t="inlineStr">
        <is>
          <t>VÄSTERNORRLANDS LÄN</t>
        </is>
      </c>
      <c r="E11991" t="inlineStr">
        <is>
          <t>SUNDSVALL</t>
        </is>
      </c>
      <c r="G11991" t="n">
        <v>9.199999999999999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25745-2025</t>
        </is>
      </c>
      <c r="B11992" s="1" t="n">
        <v>45800</v>
      </c>
      <c r="C11992" s="1" t="n">
        <v>46093</v>
      </c>
      <c r="D11992" t="inlineStr">
        <is>
          <t>VÄSTERNORRLANDS LÄN</t>
        </is>
      </c>
      <c r="E11992" t="inlineStr">
        <is>
          <t>HÄRNÖSAND</t>
        </is>
      </c>
      <c r="G11992" t="n">
        <v>1.4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29437-2025</t>
        </is>
      </c>
      <c r="B11993" s="1" t="n">
        <v>45824.6578125</v>
      </c>
      <c r="C11993" s="1" t="n">
        <v>46093</v>
      </c>
      <c r="D11993" t="inlineStr">
        <is>
          <t>VÄSTERNORRLANDS LÄN</t>
        </is>
      </c>
      <c r="E11993" t="inlineStr">
        <is>
          <t>TIMRÅ</t>
        </is>
      </c>
      <c r="G11993" t="n">
        <v>4.5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29309-2025</t>
        </is>
      </c>
      <c r="B11994" s="1" t="n">
        <v>45824.46333333333</v>
      </c>
      <c r="C11994" s="1" t="n">
        <v>46093</v>
      </c>
      <c r="D11994" t="inlineStr">
        <is>
          <t>VÄSTERNORRLANDS LÄN</t>
        </is>
      </c>
      <c r="E11994" t="inlineStr">
        <is>
          <t>SOLLEFTEÅ</t>
        </is>
      </c>
      <c r="F11994" t="inlineStr">
        <is>
          <t>Holmen skog AB</t>
        </is>
      </c>
      <c r="G11994" t="n">
        <v>9.9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29350-2025</t>
        </is>
      </c>
      <c r="B11995" s="1" t="n">
        <v>45824.53206018519</v>
      </c>
      <c r="C11995" s="1" t="n">
        <v>46093</v>
      </c>
      <c r="D11995" t="inlineStr">
        <is>
          <t>VÄSTERNORRLANDS LÄN</t>
        </is>
      </c>
      <c r="E11995" t="inlineStr">
        <is>
          <t>ÅNGE</t>
        </is>
      </c>
      <c r="G11995" t="n">
        <v>8.6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54000-2024</t>
        </is>
      </c>
      <c r="B11996" s="1" t="n">
        <v>45616.36349537037</v>
      </c>
      <c r="C11996" s="1" t="n">
        <v>46093</v>
      </c>
      <c r="D11996" t="inlineStr">
        <is>
          <t>VÄSTERNORRLANDS LÄN</t>
        </is>
      </c>
      <c r="E11996" t="inlineStr">
        <is>
          <t>ÖRNSKÖLDSVIK</t>
        </is>
      </c>
      <c r="G11996" t="n">
        <v>1.3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29233-2025</t>
        </is>
      </c>
      <c r="B11997" s="1" t="n">
        <v>45824.3446412037</v>
      </c>
      <c r="C11997" s="1" t="n">
        <v>46093</v>
      </c>
      <c r="D11997" t="inlineStr">
        <is>
          <t>VÄSTERNORRLANDS LÄN</t>
        </is>
      </c>
      <c r="E11997" t="inlineStr">
        <is>
          <t>HÄRNÖSAND</t>
        </is>
      </c>
      <c r="F11997" t="inlineStr">
        <is>
          <t>SCA</t>
        </is>
      </c>
      <c r="G11997" t="n">
        <v>5.3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28995-2025</t>
        </is>
      </c>
      <c r="B11998" s="1" t="n">
        <v>45821.38596064815</v>
      </c>
      <c r="C11998" s="1" t="n">
        <v>46093</v>
      </c>
      <c r="D11998" t="inlineStr">
        <is>
          <t>VÄSTERNORRLANDS LÄN</t>
        </is>
      </c>
      <c r="E11998" t="inlineStr">
        <is>
          <t>SOLLEFTEÅ</t>
        </is>
      </c>
      <c r="F11998" t="inlineStr">
        <is>
          <t>SCA</t>
        </is>
      </c>
      <c r="G11998" t="n">
        <v>3.9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28998-2025</t>
        </is>
      </c>
      <c r="B11999" s="1" t="n">
        <v>45821.38626157407</v>
      </c>
      <c r="C11999" s="1" t="n">
        <v>46093</v>
      </c>
      <c r="D11999" t="inlineStr">
        <is>
          <t>VÄSTERNORRLANDS LÄN</t>
        </is>
      </c>
      <c r="E11999" t="inlineStr">
        <is>
          <t>SOLLEFTEÅ</t>
        </is>
      </c>
      <c r="F11999" t="inlineStr">
        <is>
          <t>SCA</t>
        </is>
      </c>
      <c r="G11999" t="n">
        <v>14.2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29190-2025</t>
        </is>
      </c>
      <c r="B12000" s="1" t="n">
        <v>45822.42746527777</v>
      </c>
      <c r="C12000" s="1" t="n">
        <v>46093</v>
      </c>
      <c r="D12000" t="inlineStr">
        <is>
          <t>VÄSTERNORRLANDS LÄN</t>
        </is>
      </c>
      <c r="E12000" t="inlineStr">
        <is>
          <t>TIMRÅ</t>
        </is>
      </c>
      <c r="F12000" t="inlineStr">
        <is>
          <t>SCA</t>
        </is>
      </c>
      <c r="G12000" t="n">
        <v>0.8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29103-2025</t>
        </is>
      </c>
      <c r="B12001" s="1" t="n">
        <v>45821.57219907407</v>
      </c>
      <c r="C12001" s="1" t="n">
        <v>46093</v>
      </c>
      <c r="D12001" t="inlineStr">
        <is>
          <t>VÄSTERNORRLANDS LÄN</t>
        </is>
      </c>
      <c r="E12001" t="inlineStr">
        <is>
          <t>SOLLEFTEÅ</t>
        </is>
      </c>
      <c r="G12001" t="n">
        <v>9.1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29039-2025</t>
        </is>
      </c>
      <c r="B12002" s="1" t="n">
        <v>45821.44844907407</v>
      </c>
      <c r="C12002" s="1" t="n">
        <v>46093</v>
      </c>
      <c r="D12002" t="inlineStr">
        <is>
          <t>VÄSTERNORRLANDS LÄN</t>
        </is>
      </c>
      <c r="E12002" t="inlineStr">
        <is>
          <t>SOLLEFTEÅ</t>
        </is>
      </c>
      <c r="F12002" t="inlineStr">
        <is>
          <t>SCA</t>
        </is>
      </c>
      <c r="G12002" t="n">
        <v>5.6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29080-2025</t>
        </is>
      </c>
      <c r="B12003" s="1" t="n">
        <v>45821.53148148148</v>
      </c>
      <c r="C12003" s="1" t="n">
        <v>46093</v>
      </c>
      <c r="D12003" t="inlineStr">
        <is>
          <t>VÄSTERNORRLANDS LÄN</t>
        </is>
      </c>
      <c r="E12003" t="inlineStr">
        <is>
          <t>KRAMFORS</t>
        </is>
      </c>
      <c r="G12003" t="n">
        <v>2.9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29291-2025</t>
        </is>
      </c>
      <c r="B12004" s="1" t="n">
        <v>45824.4409837963</v>
      </c>
      <c r="C12004" s="1" t="n">
        <v>46093</v>
      </c>
      <c r="D12004" t="inlineStr">
        <is>
          <t>VÄSTERNORRLANDS LÄN</t>
        </is>
      </c>
      <c r="E12004" t="inlineStr">
        <is>
          <t>ÖRNSKÖLDSVIK</t>
        </is>
      </c>
      <c r="F12004" t="inlineStr">
        <is>
          <t>Holmen skog AB</t>
        </is>
      </c>
      <c r="G12004" t="n">
        <v>0.6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29405-2025</t>
        </is>
      </c>
      <c r="B12005" s="1" t="n">
        <v>45824.61528935185</v>
      </c>
      <c r="C12005" s="1" t="n">
        <v>46093</v>
      </c>
      <c r="D12005" t="inlineStr">
        <is>
          <t>VÄSTERNORRLANDS LÄN</t>
        </is>
      </c>
      <c r="E12005" t="inlineStr">
        <is>
          <t>ÖRNSKÖLDSVIK</t>
        </is>
      </c>
      <c r="G12005" t="n">
        <v>1.3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29435-2025</t>
        </is>
      </c>
      <c r="B12006" s="1" t="n">
        <v>45824.65762731482</v>
      </c>
      <c r="C12006" s="1" t="n">
        <v>46093</v>
      </c>
      <c r="D12006" t="inlineStr">
        <is>
          <t>VÄSTERNORRLANDS LÄN</t>
        </is>
      </c>
      <c r="E12006" t="inlineStr">
        <is>
          <t>SOLLEFTEÅ</t>
        </is>
      </c>
      <c r="G12006" t="n">
        <v>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29414-2025</t>
        </is>
      </c>
      <c r="B12007" s="1" t="n">
        <v>45824.62671296296</v>
      </c>
      <c r="C12007" s="1" t="n">
        <v>46093</v>
      </c>
      <c r="D12007" t="inlineStr">
        <is>
          <t>VÄSTERNORRLANDS LÄN</t>
        </is>
      </c>
      <c r="E12007" t="inlineStr">
        <is>
          <t>ÖRNSKÖLDSVIK</t>
        </is>
      </c>
      <c r="F12007" t="inlineStr">
        <is>
          <t>Holmen skog AB</t>
        </is>
      </c>
      <c r="G12007" t="n">
        <v>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29480-2025</t>
        </is>
      </c>
      <c r="B12008" s="1" t="n">
        <v>45824.71908564815</v>
      </c>
      <c r="C12008" s="1" t="n">
        <v>46093</v>
      </c>
      <c r="D12008" t="inlineStr">
        <is>
          <t>VÄSTERNORRLANDS LÄN</t>
        </is>
      </c>
      <c r="E12008" t="inlineStr">
        <is>
          <t>TIMRÅ</t>
        </is>
      </c>
      <c r="F12008" t="inlineStr">
        <is>
          <t>SCA</t>
        </is>
      </c>
      <c r="G12008" t="n">
        <v>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29053-2025</t>
        </is>
      </c>
      <c r="B12009" s="1" t="n">
        <v>45821</v>
      </c>
      <c r="C12009" s="1" t="n">
        <v>46093</v>
      </c>
      <c r="D12009" t="inlineStr">
        <is>
          <t>VÄSTERNORRLANDS LÄN</t>
        </is>
      </c>
      <c r="E12009" t="inlineStr">
        <is>
          <t>ÖRNSKÖLDSVIK</t>
        </is>
      </c>
      <c r="G12009" t="n">
        <v>1.1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29011-2025</t>
        </is>
      </c>
      <c r="B12010" s="1" t="n">
        <v>45821.40659722222</v>
      </c>
      <c r="C12010" s="1" t="n">
        <v>46093</v>
      </c>
      <c r="D12010" t="inlineStr">
        <is>
          <t>VÄSTERNORRLANDS LÄN</t>
        </is>
      </c>
      <c r="E12010" t="inlineStr">
        <is>
          <t>SOLLEFTEÅ</t>
        </is>
      </c>
      <c r="F12010" t="inlineStr">
        <is>
          <t>SCA</t>
        </is>
      </c>
      <c r="G12010" t="n">
        <v>4.8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29268-2025</t>
        </is>
      </c>
      <c r="B12011" s="1" t="n">
        <v>45824.4028125</v>
      </c>
      <c r="C12011" s="1" t="n">
        <v>46093</v>
      </c>
      <c r="D12011" t="inlineStr">
        <is>
          <t>VÄSTERNORRLANDS LÄN</t>
        </is>
      </c>
      <c r="E12011" t="inlineStr">
        <is>
          <t>ÖRNSKÖLDSVIK</t>
        </is>
      </c>
      <c r="F12011" t="inlineStr">
        <is>
          <t>Holmen skog AB</t>
        </is>
      </c>
      <c r="G12011" t="n">
        <v>1.8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29058-2025</t>
        </is>
      </c>
      <c r="B12012" s="1" t="n">
        <v>45821.48121527778</v>
      </c>
      <c r="C12012" s="1" t="n">
        <v>46093</v>
      </c>
      <c r="D12012" t="inlineStr">
        <is>
          <t>VÄSTERNORRLANDS LÄN</t>
        </is>
      </c>
      <c r="E12012" t="inlineStr">
        <is>
          <t>ÖRNSKÖLDSVIK</t>
        </is>
      </c>
      <c r="F12012" t="inlineStr">
        <is>
          <t>Holmen skog AB</t>
        </is>
      </c>
      <c r="G12012" t="n">
        <v>2.1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24505-2025</t>
        </is>
      </c>
      <c r="B12013" s="1" t="n">
        <v>45798</v>
      </c>
      <c r="C12013" s="1" t="n">
        <v>46093</v>
      </c>
      <c r="D12013" t="inlineStr">
        <is>
          <t>VÄSTERNORRLANDS LÄN</t>
        </is>
      </c>
      <c r="E12013" t="inlineStr">
        <is>
          <t>ÖRNSKÖLDSVIK</t>
        </is>
      </c>
      <c r="G12013" t="n">
        <v>1.2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29148-2025</t>
        </is>
      </c>
      <c r="B12014" s="1" t="n">
        <v>45821.6271412037</v>
      </c>
      <c r="C12014" s="1" t="n">
        <v>46093</v>
      </c>
      <c r="D12014" t="inlineStr">
        <is>
          <t>VÄSTERNORRLANDS LÄN</t>
        </is>
      </c>
      <c r="E12014" t="inlineStr">
        <is>
          <t>KRAMFORS</t>
        </is>
      </c>
      <c r="G12014" t="n">
        <v>1.4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29153-2025</t>
        </is>
      </c>
      <c r="B12015" s="1" t="n">
        <v>45821.63574074074</v>
      </c>
      <c r="C12015" s="1" t="n">
        <v>46093</v>
      </c>
      <c r="D12015" t="inlineStr">
        <is>
          <t>VÄSTERNORRLANDS LÄN</t>
        </is>
      </c>
      <c r="E12015" t="inlineStr">
        <is>
          <t>ÅNGE</t>
        </is>
      </c>
      <c r="F12015" t="inlineStr">
        <is>
          <t>SCA</t>
        </is>
      </c>
      <c r="G12015" t="n">
        <v>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29223-2025</t>
        </is>
      </c>
      <c r="B12016" s="1" t="n">
        <v>45824.33246527778</v>
      </c>
      <c r="C12016" s="1" t="n">
        <v>46093</v>
      </c>
      <c r="D12016" t="inlineStr">
        <is>
          <t>VÄSTERNORRLANDS LÄN</t>
        </is>
      </c>
      <c r="E12016" t="inlineStr">
        <is>
          <t>ÖRNSKÖLDSVIK</t>
        </is>
      </c>
      <c r="F12016" t="inlineStr">
        <is>
          <t>Holmen skog AB</t>
        </is>
      </c>
      <c r="G12016" t="n">
        <v>1.8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29231-2025</t>
        </is>
      </c>
      <c r="B12017" s="1" t="n">
        <v>45824.34424768519</v>
      </c>
      <c r="C12017" s="1" t="n">
        <v>46093</v>
      </c>
      <c r="D12017" t="inlineStr">
        <is>
          <t>VÄSTERNORRLANDS LÄN</t>
        </is>
      </c>
      <c r="E12017" t="inlineStr">
        <is>
          <t>SUNDSVALL</t>
        </is>
      </c>
      <c r="F12017" t="inlineStr">
        <is>
          <t>Naturvårdsverket</t>
        </is>
      </c>
      <c r="G12017" t="n">
        <v>6.1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28994-2025</t>
        </is>
      </c>
      <c r="B12018" s="1" t="n">
        <v>45821.38587962963</v>
      </c>
      <c r="C12018" s="1" t="n">
        <v>46093</v>
      </c>
      <c r="D12018" t="inlineStr">
        <is>
          <t>VÄSTERNORRLANDS LÄN</t>
        </is>
      </c>
      <c r="E12018" t="inlineStr">
        <is>
          <t>SOLLEFTEÅ</t>
        </is>
      </c>
      <c r="F12018" t="inlineStr">
        <is>
          <t>SCA</t>
        </is>
      </c>
      <c r="G12018" t="n">
        <v>10.8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29006-2025</t>
        </is>
      </c>
      <c r="B12019" s="1" t="n">
        <v>45821.39673611111</v>
      </c>
      <c r="C12019" s="1" t="n">
        <v>46093</v>
      </c>
      <c r="D12019" t="inlineStr">
        <is>
          <t>VÄSTERNORRLANDS LÄN</t>
        </is>
      </c>
      <c r="E12019" t="inlineStr">
        <is>
          <t>ÖRNSKÖLDSVIK</t>
        </is>
      </c>
      <c r="F12019" t="inlineStr">
        <is>
          <t>Holmen skog AB</t>
        </is>
      </c>
      <c r="G12019" t="n">
        <v>2.2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29273-2025</t>
        </is>
      </c>
      <c r="B12020" s="1" t="n">
        <v>45824.41125</v>
      </c>
      <c r="C12020" s="1" t="n">
        <v>46093</v>
      </c>
      <c r="D12020" t="inlineStr">
        <is>
          <t>VÄSTERNORRLANDS LÄN</t>
        </is>
      </c>
      <c r="E12020" t="inlineStr">
        <is>
          <t>SOLLEFTEÅ</t>
        </is>
      </c>
      <c r="G12020" t="n">
        <v>6.6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28993-2025</t>
        </is>
      </c>
      <c r="B12021" s="1" t="n">
        <v>45821.38574074074</v>
      </c>
      <c r="C12021" s="1" t="n">
        <v>46093</v>
      </c>
      <c r="D12021" t="inlineStr">
        <is>
          <t>VÄSTERNORRLANDS LÄN</t>
        </is>
      </c>
      <c r="E12021" t="inlineStr">
        <is>
          <t>SOLLEFTEÅ</t>
        </is>
      </c>
      <c r="F12021" t="inlineStr">
        <is>
          <t>SCA</t>
        </is>
      </c>
      <c r="G12021" t="n">
        <v>5.9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29142-2025</t>
        </is>
      </c>
      <c r="B12022" s="1" t="n">
        <v>45821.61518518518</v>
      </c>
      <c r="C12022" s="1" t="n">
        <v>46093</v>
      </c>
      <c r="D12022" t="inlineStr">
        <is>
          <t>VÄSTERNORRLANDS LÄN</t>
        </is>
      </c>
      <c r="E12022" t="inlineStr">
        <is>
          <t>SOLLEFTEÅ</t>
        </is>
      </c>
      <c r="F12022" t="inlineStr">
        <is>
          <t>SCA</t>
        </is>
      </c>
      <c r="G12022" t="n">
        <v>3.9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29191-2025</t>
        </is>
      </c>
      <c r="B12023" s="1" t="n">
        <v>45822.42765046296</v>
      </c>
      <c r="C12023" s="1" t="n">
        <v>46093</v>
      </c>
      <c r="D12023" t="inlineStr">
        <is>
          <t>VÄSTERNORRLANDS LÄN</t>
        </is>
      </c>
      <c r="E12023" t="inlineStr">
        <is>
          <t>TIMRÅ</t>
        </is>
      </c>
      <c r="F12023" t="inlineStr">
        <is>
          <t>SCA</t>
        </is>
      </c>
      <c r="G12023" t="n">
        <v>17.5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29457-2025</t>
        </is>
      </c>
      <c r="B12024" s="1" t="n">
        <v>45824.69251157407</v>
      </c>
      <c r="C12024" s="1" t="n">
        <v>46093</v>
      </c>
      <c r="D12024" t="inlineStr">
        <is>
          <t>VÄSTERNORRLANDS LÄN</t>
        </is>
      </c>
      <c r="E12024" t="inlineStr">
        <is>
          <t>ÖRNSKÖLDSVIK</t>
        </is>
      </c>
      <c r="G12024" t="n">
        <v>3.7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29370-2025</t>
        </is>
      </c>
      <c r="B12025" s="1" t="n">
        <v>45824.57320601852</v>
      </c>
      <c r="C12025" s="1" t="n">
        <v>46093</v>
      </c>
      <c r="D12025" t="inlineStr">
        <is>
          <t>VÄSTERNORRLANDS LÄN</t>
        </is>
      </c>
      <c r="E12025" t="inlineStr">
        <is>
          <t>SUNDSVALL</t>
        </is>
      </c>
      <c r="G12025" t="n">
        <v>0.9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29390-2025</t>
        </is>
      </c>
      <c r="B12026" s="1" t="n">
        <v>45824.60396990741</v>
      </c>
      <c r="C12026" s="1" t="n">
        <v>46093</v>
      </c>
      <c r="D12026" t="inlineStr">
        <is>
          <t>VÄSTERNORRLANDS LÄN</t>
        </is>
      </c>
      <c r="E12026" t="inlineStr">
        <is>
          <t>ÖRNSKÖLDSVIK</t>
        </is>
      </c>
      <c r="F12026" t="inlineStr">
        <is>
          <t>Holmen skog AB</t>
        </is>
      </c>
      <c r="G12026" t="n">
        <v>2.6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41478-2022</t>
        </is>
      </c>
      <c r="B12027" s="1" t="n">
        <v>44826.94892361111</v>
      </c>
      <c r="C12027" s="1" t="n">
        <v>46093</v>
      </c>
      <c r="D12027" t="inlineStr">
        <is>
          <t>VÄSTERNORRLANDS LÄN</t>
        </is>
      </c>
      <c r="E12027" t="inlineStr">
        <is>
          <t>SOLLEFTEÅ</t>
        </is>
      </c>
      <c r="F12027" t="inlineStr">
        <is>
          <t>SCA</t>
        </is>
      </c>
      <c r="G12027" t="n">
        <v>2.4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29044-2025</t>
        </is>
      </c>
      <c r="B12028" s="1" t="n">
        <v>45821.45762731481</v>
      </c>
      <c r="C12028" s="1" t="n">
        <v>46093</v>
      </c>
      <c r="D12028" t="inlineStr">
        <is>
          <t>VÄSTERNORRLANDS LÄN</t>
        </is>
      </c>
      <c r="E12028" t="inlineStr">
        <is>
          <t>ÖRNSKÖLDSVIK</t>
        </is>
      </c>
      <c r="F12028" t="inlineStr">
        <is>
          <t>Holmen skog AB</t>
        </is>
      </c>
      <c r="G12028" t="n">
        <v>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29445-2025</t>
        </is>
      </c>
      <c r="B12029" s="1" t="n">
        <v>45824.66322916667</v>
      </c>
      <c r="C12029" s="1" t="n">
        <v>46093</v>
      </c>
      <c r="D12029" t="inlineStr">
        <is>
          <t>VÄSTERNORRLANDS LÄN</t>
        </is>
      </c>
      <c r="E12029" t="inlineStr">
        <is>
          <t>SOLLEFTEÅ</t>
        </is>
      </c>
      <c r="G12029" t="n">
        <v>1.2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29050-2025</t>
        </is>
      </c>
      <c r="B12030" s="1" t="n">
        <v>45821.46311342593</v>
      </c>
      <c r="C12030" s="1" t="n">
        <v>46093</v>
      </c>
      <c r="D12030" t="inlineStr">
        <is>
          <t>VÄSTERNORRLANDS LÄN</t>
        </is>
      </c>
      <c r="E12030" t="inlineStr">
        <is>
          <t>ÖRNSKÖLDSVIK</t>
        </is>
      </c>
      <c r="F12030" t="inlineStr">
        <is>
          <t>Holmen skog AB</t>
        </is>
      </c>
      <c r="G12030" t="n">
        <v>8.1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57838-2022</t>
        </is>
      </c>
      <c r="B12031" s="1" t="n">
        <v>44897</v>
      </c>
      <c r="C12031" s="1" t="n">
        <v>46093</v>
      </c>
      <c r="D12031" t="inlineStr">
        <is>
          <t>VÄSTERNORRLANDS LÄN</t>
        </is>
      </c>
      <c r="E12031" t="inlineStr">
        <is>
          <t>SUNDSVALL</t>
        </is>
      </c>
      <c r="F12031" t="inlineStr">
        <is>
          <t>SCA</t>
        </is>
      </c>
      <c r="G12031" t="n">
        <v>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29436-2025</t>
        </is>
      </c>
      <c r="B12032" s="1" t="n">
        <v>45824.65766203704</v>
      </c>
      <c r="C12032" s="1" t="n">
        <v>46093</v>
      </c>
      <c r="D12032" t="inlineStr">
        <is>
          <t>VÄSTERNORRLANDS LÄN</t>
        </is>
      </c>
      <c r="E12032" t="inlineStr">
        <is>
          <t>SOLLEFTEÅ</t>
        </is>
      </c>
      <c r="G12032" t="n">
        <v>9.699999999999999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29796-2025</t>
        </is>
      </c>
      <c r="B12033" s="1" t="n">
        <v>45825.67310185185</v>
      </c>
      <c r="C12033" s="1" t="n">
        <v>46093</v>
      </c>
      <c r="D12033" t="inlineStr">
        <is>
          <t>VÄSTERNORRLANDS LÄN</t>
        </is>
      </c>
      <c r="E12033" t="inlineStr">
        <is>
          <t>ÖRNSKÖLDSVIK</t>
        </is>
      </c>
      <c r="F12033" t="inlineStr">
        <is>
          <t>Holmen skog AB</t>
        </is>
      </c>
      <c r="G12033" t="n">
        <v>6.7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30256-2025</t>
        </is>
      </c>
      <c r="B12034" s="1" t="n">
        <v>45826</v>
      </c>
      <c r="C12034" s="1" t="n">
        <v>46093</v>
      </c>
      <c r="D12034" t="inlineStr">
        <is>
          <t>VÄSTERNORRLANDS LÄN</t>
        </is>
      </c>
      <c r="E12034" t="inlineStr">
        <is>
          <t>ÖRNSKÖLDSVIK</t>
        </is>
      </c>
      <c r="G12034" t="n">
        <v>2.3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30235-2025</t>
        </is>
      </c>
      <c r="B12035" s="1" t="n">
        <v>45826</v>
      </c>
      <c r="C12035" s="1" t="n">
        <v>46093</v>
      </c>
      <c r="D12035" t="inlineStr">
        <is>
          <t>VÄSTERNORRLANDS LÄN</t>
        </is>
      </c>
      <c r="E12035" t="inlineStr">
        <is>
          <t>ÖRNSKÖLDSVIK</t>
        </is>
      </c>
      <c r="G12035" t="n">
        <v>13.7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29862-2025</t>
        </is>
      </c>
      <c r="B12036" s="1" t="n">
        <v>45826.3465625</v>
      </c>
      <c r="C12036" s="1" t="n">
        <v>46093</v>
      </c>
      <c r="D12036" t="inlineStr">
        <is>
          <t>VÄSTERNORRLANDS LÄN</t>
        </is>
      </c>
      <c r="E12036" t="inlineStr">
        <is>
          <t>ÅNGE</t>
        </is>
      </c>
      <c r="G12036" t="n">
        <v>0.8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29882-2025</t>
        </is>
      </c>
      <c r="B12037" s="1" t="n">
        <v>45826.36548611111</v>
      </c>
      <c r="C12037" s="1" t="n">
        <v>46093</v>
      </c>
      <c r="D12037" t="inlineStr">
        <is>
          <t>VÄSTERNORRLANDS LÄN</t>
        </is>
      </c>
      <c r="E12037" t="inlineStr">
        <is>
          <t>ÅNGE</t>
        </is>
      </c>
      <c r="F12037" t="inlineStr">
        <is>
          <t>SCA</t>
        </is>
      </c>
      <c r="G12037" t="n">
        <v>2.6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29711-2025</t>
        </is>
      </c>
      <c r="B12038" s="1" t="n">
        <v>45825</v>
      </c>
      <c r="C12038" s="1" t="n">
        <v>46093</v>
      </c>
      <c r="D12038" t="inlineStr">
        <is>
          <t>VÄSTERNORRLANDS LÄN</t>
        </is>
      </c>
      <c r="E12038" t="inlineStr">
        <is>
          <t>SUNDSVALL</t>
        </is>
      </c>
      <c r="F12038" t="inlineStr">
        <is>
          <t>Kyrkan</t>
        </is>
      </c>
      <c r="G12038" t="n">
        <v>43.8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29742-2025</t>
        </is>
      </c>
      <c r="B12039" s="1" t="n">
        <v>45825.5937037037</v>
      </c>
      <c r="C12039" s="1" t="n">
        <v>46093</v>
      </c>
      <c r="D12039" t="inlineStr">
        <is>
          <t>VÄSTERNORRLANDS LÄN</t>
        </is>
      </c>
      <c r="E12039" t="inlineStr">
        <is>
          <t>KRAMFORS</t>
        </is>
      </c>
      <c r="G12039" t="n">
        <v>7.8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29760-2025</t>
        </is>
      </c>
      <c r="B12040" s="1" t="n">
        <v>45825.61805555555</v>
      </c>
      <c r="C12040" s="1" t="n">
        <v>46093</v>
      </c>
      <c r="D12040" t="inlineStr">
        <is>
          <t>VÄSTERNORRLANDS LÄN</t>
        </is>
      </c>
      <c r="E12040" t="inlineStr">
        <is>
          <t>SOLLEFTEÅ</t>
        </is>
      </c>
      <c r="F12040" t="inlineStr">
        <is>
          <t>SCA</t>
        </is>
      </c>
      <c r="G12040" t="n">
        <v>2.2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29769-2025</t>
        </is>
      </c>
      <c r="B12041" s="1" t="n">
        <v>45825.62796296296</v>
      </c>
      <c r="C12041" s="1" t="n">
        <v>46093</v>
      </c>
      <c r="D12041" t="inlineStr">
        <is>
          <t>VÄSTERNORRLANDS LÄN</t>
        </is>
      </c>
      <c r="E12041" t="inlineStr">
        <is>
          <t>SOLLEFTEÅ</t>
        </is>
      </c>
      <c r="G12041" t="n">
        <v>1.2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29567-2025</t>
        </is>
      </c>
      <c r="B12042" s="1" t="n">
        <v>45825.36577546296</v>
      </c>
      <c r="C12042" s="1" t="n">
        <v>46093</v>
      </c>
      <c r="D12042" t="inlineStr">
        <is>
          <t>VÄSTERNORRLANDS LÄN</t>
        </is>
      </c>
      <c r="E12042" t="inlineStr">
        <is>
          <t>KRAMFORS</t>
        </is>
      </c>
      <c r="G12042" t="n">
        <v>1.8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29881-2025</t>
        </is>
      </c>
      <c r="B12043" s="1" t="n">
        <v>45826.3653125</v>
      </c>
      <c r="C12043" s="1" t="n">
        <v>46093</v>
      </c>
      <c r="D12043" t="inlineStr">
        <is>
          <t>VÄSTERNORRLANDS LÄN</t>
        </is>
      </c>
      <c r="E12043" t="inlineStr">
        <is>
          <t>SUNDSVALL</t>
        </is>
      </c>
      <c r="F12043" t="inlineStr">
        <is>
          <t>SCA</t>
        </is>
      </c>
      <c r="G12043" t="n">
        <v>4.7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29923-2025</t>
        </is>
      </c>
      <c r="B12044" s="1" t="n">
        <v>45826.42758101852</v>
      </c>
      <c r="C12044" s="1" t="n">
        <v>46093</v>
      </c>
      <c r="D12044" t="inlineStr">
        <is>
          <t>VÄSTERNORRLANDS LÄN</t>
        </is>
      </c>
      <c r="E12044" t="inlineStr">
        <is>
          <t>SUNDSVALL</t>
        </is>
      </c>
      <c r="F12044" t="inlineStr">
        <is>
          <t>Naturvårdsverket</t>
        </is>
      </c>
      <c r="G12044" t="n">
        <v>16.6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29762-2025</t>
        </is>
      </c>
      <c r="B12045" s="1" t="n">
        <v>45825.61826388889</v>
      </c>
      <c r="C12045" s="1" t="n">
        <v>46093</v>
      </c>
      <c r="D12045" t="inlineStr">
        <is>
          <t>VÄSTERNORRLANDS LÄN</t>
        </is>
      </c>
      <c r="E12045" t="inlineStr">
        <is>
          <t>SOLLEFTEÅ</t>
        </is>
      </c>
      <c r="F12045" t="inlineStr">
        <is>
          <t>SCA</t>
        </is>
      </c>
      <c r="G12045" t="n">
        <v>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29838-2025</t>
        </is>
      </c>
      <c r="B12046" s="1" t="n">
        <v>45826.27421296296</v>
      </c>
      <c r="C12046" s="1" t="n">
        <v>46093</v>
      </c>
      <c r="D12046" t="inlineStr">
        <is>
          <t>VÄSTERNORRLANDS LÄN</t>
        </is>
      </c>
      <c r="E12046" t="inlineStr">
        <is>
          <t>ÖRNSKÖLDSVIK</t>
        </is>
      </c>
      <c r="F12046" t="inlineStr">
        <is>
          <t>Holmen skog AB</t>
        </is>
      </c>
      <c r="G12046" t="n">
        <v>1.9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29973-2025</t>
        </is>
      </c>
      <c r="B12047" s="1" t="n">
        <v>45826.49049768518</v>
      </c>
      <c r="C12047" s="1" t="n">
        <v>46093</v>
      </c>
      <c r="D12047" t="inlineStr">
        <is>
          <t>VÄSTERNORRLANDS LÄN</t>
        </is>
      </c>
      <c r="E12047" t="inlineStr">
        <is>
          <t>SUNDSVALL</t>
        </is>
      </c>
      <c r="F12047" t="inlineStr">
        <is>
          <t>Naturvårdsverket</t>
        </is>
      </c>
      <c r="G12047" t="n">
        <v>1.1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30073-2025</t>
        </is>
      </c>
      <c r="B12048" s="1" t="n">
        <v>45826.63643518519</v>
      </c>
      <c r="C12048" s="1" t="n">
        <v>46093</v>
      </c>
      <c r="D12048" t="inlineStr">
        <is>
          <t>VÄSTERNORRLANDS LÄN</t>
        </is>
      </c>
      <c r="E12048" t="inlineStr">
        <is>
          <t>SOLLEFTEÅ</t>
        </is>
      </c>
      <c r="F12048" t="inlineStr">
        <is>
          <t>SCA</t>
        </is>
      </c>
      <c r="G12048" t="n">
        <v>5.4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30018-2025</t>
        </is>
      </c>
      <c r="B12049" s="1" t="n">
        <v>45826.55332175926</v>
      </c>
      <c r="C12049" s="1" t="n">
        <v>46093</v>
      </c>
      <c r="D12049" t="inlineStr">
        <is>
          <t>VÄSTERNORRLANDS LÄN</t>
        </is>
      </c>
      <c r="E12049" t="inlineStr">
        <is>
          <t>SOLLEFTEÅ</t>
        </is>
      </c>
      <c r="F12049" t="inlineStr">
        <is>
          <t>SCA</t>
        </is>
      </c>
      <c r="G12049" t="n">
        <v>1.2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30020-2025</t>
        </is>
      </c>
      <c r="B12050" s="1" t="n">
        <v>45826.55337962963</v>
      </c>
      <c r="C12050" s="1" t="n">
        <v>46093</v>
      </c>
      <c r="D12050" t="inlineStr">
        <is>
          <t>VÄSTERNORRLANDS LÄN</t>
        </is>
      </c>
      <c r="E12050" t="inlineStr">
        <is>
          <t>SOLLEFTEÅ</t>
        </is>
      </c>
      <c r="F12050" t="inlineStr">
        <is>
          <t>SCA</t>
        </is>
      </c>
      <c r="G12050" t="n">
        <v>6.4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29916-2025</t>
        </is>
      </c>
      <c r="B12051" s="1" t="n">
        <v>45826.41822916667</v>
      </c>
      <c r="C12051" s="1" t="n">
        <v>46093</v>
      </c>
      <c r="D12051" t="inlineStr">
        <is>
          <t>VÄSTERNORRLANDS LÄN</t>
        </is>
      </c>
      <c r="E12051" t="inlineStr">
        <is>
          <t>ÅNGE</t>
        </is>
      </c>
      <c r="G12051" t="n">
        <v>3.4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29540-2025</t>
        </is>
      </c>
      <c r="B12052" s="1" t="n">
        <v>45825.34538194445</v>
      </c>
      <c r="C12052" s="1" t="n">
        <v>46093</v>
      </c>
      <c r="D12052" t="inlineStr">
        <is>
          <t>VÄSTERNORRLANDS LÄN</t>
        </is>
      </c>
      <c r="E12052" t="inlineStr">
        <is>
          <t>HÄRNÖSAND</t>
        </is>
      </c>
      <c r="G12052" t="n">
        <v>2.5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29542-2025</t>
        </is>
      </c>
      <c r="B12053" s="1" t="n">
        <v>45825.34542824074</v>
      </c>
      <c r="C12053" s="1" t="n">
        <v>46093</v>
      </c>
      <c r="D12053" t="inlineStr">
        <is>
          <t>VÄSTERNORRLANDS LÄN</t>
        </is>
      </c>
      <c r="E12053" t="inlineStr">
        <is>
          <t>HÄRNÖSAND</t>
        </is>
      </c>
      <c r="G12053" t="n">
        <v>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29548-2025</t>
        </is>
      </c>
      <c r="B12054" s="1" t="n">
        <v>45825.34561342592</v>
      </c>
      <c r="C12054" s="1" t="n">
        <v>46093</v>
      </c>
      <c r="D12054" t="inlineStr">
        <is>
          <t>VÄSTERNORRLANDS LÄN</t>
        </is>
      </c>
      <c r="E12054" t="inlineStr">
        <is>
          <t>HÄRNÖSAND</t>
        </is>
      </c>
      <c r="G12054" t="n">
        <v>7.1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29549-2025</t>
        </is>
      </c>
      <c r="B12055" s="1" t="n">
        <v>45825.34568287037</v>
      </c>
      <c r="C12055" s="1" t="n">
        <v>46093</v>
      </c>
      <c r="D12055" t="inlineStr">
        <is>
          <t>VÄSTERNORRLANDS LÄN</t>
        </is>
      </c>
      <c r="E12055" t="inlineStr">
        <is>
          <t>HÄRNÖSAND</t>
        </is>
      </c>
      <c r="G12055" t="n">
        <v>0.8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29550-2025</t>
        </is>
      </c>
      <c r="B12056" s="1" t="n">
        <v>45825.34569444445</v>
      </c>
      <c r="C12056" s="1" t="n">
        <v>46093</v>
      </c>
      <c r="D12056" t="inlineStr">
        <is>
          <t>VÄSTERNORRLANDS LÄN</t>
        </is>
      </c>
      <c r="E12056" t="inlineStr">
        <is>
          <t>HÄRNÖSAND</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29551-2025</t>
        </is>
      </c>
      <c r="B12057" s="1" t="n">
        <v>45825.34574074074</v>
      </c>
      <c r="C12057" s="1" t="n">
        <v>46093</v>
      </c>
      <c r="D12057" t="inlineStr">
        <is>
          <t>VÄSTERNORRLANDS LÄN</t>
        </is>
      </c>
      <c r="E12057" t="inlineStr">
        <is>
          <t>KRAMFORS</t>
        </is>
      </c>
      <c r="G12057" t="n">
        <v>3.1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29955-2025</t>
        </is>
      </c>
      <c r="B12058" s="1" t="n">
        <v>45826.47030092592</v>
      </c>
      <c r="C12058" s="1" t="n">
        <v>46093</v>
      </c>
      <c r="D12058" t="inlineStr">
        <is>
          <t>VÄSTERNORRLANDS LÄN</t>
        </is>
      </c>
      <c r="E12058" t="inlineStr">
        <is>
          <t>SUNDSVALL</t>
        </is>
      </c>
      <c r="F12058" t="inlineStr">
        <is>
          <t>Naturvårdsverket</t>
        </is>
      </c>
      <c r="G12058" t="n">
        <v>0.9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29981-2025</t>
        </is>
      </c>
      <c r="B12059" s="1" t="n">
        <v>45826.49387731482</v>
      </c>
      <c r="C12059" s="1" t="n">
        <v>46093</v>
      </c>
      <c r="D12059" t="inlineStr">
        <is>
          <t>VÄSTERNORRLANDS LÄN</t>
        </is>
      </c>
      <c r="E12059" t="inlineStr">
        <is>
          <t>ÖRNSKÖLDSVIK</t>
        </is>
      </c>
      <c r="G12059" t="n">
        <v>1.8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29990-2025</t>
        </is>
      </c>
      <c r="B12060" s="1" t="n">
        <v>45826.50177083333</v>
      </c>
      <c r="C12060" s="1" t="n">
        <v>46093</v>
      </c>
      <c r="D12060" t="inlineStr">
        <is>
          <t>VÄSTERNORRLANDS LÄN</t>
        </is>
      </c>
      <c r="E12060" t="inlineStr">
        <is>
          <t>KRAMFORS</t>
        </is>
      </c>
      <c r="G12060" t="n">
        <v>1.4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29954-2025</t>
        </is>
      </c>
      <c r="B12061" s="1" t="n">
        <v>45826.47004629629</v>
      </c>
      <c r="C12061" s="1" t="n">
        <v>46093</v>
      </c>
      <c r="D12061" t="inlineStr">
        <is>
          <t>VÄSTERNORRLANDS LÄN</t>
        </is>
      </c>
      <c r="E12061" t="inlineStr">
        <is>
          <t>SUNDSVALL</t>
        </is>
      </c>
      <c r="F12061" t="inlineStr">
        <is>
          <t>Naturvårdsverket</t>
        </is>
      </c>
      <c r="G12061" t="n">
        <v>1.3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29970-2025</t>
        </is>
      </c>
      <c r="B12062" s="1" t="n">
        <v>45826.49003472222</v>
      </c>
      <c r="C12062" s="1" t="n">
        <v>46093</v>
      </c>
      <c r="D12062" t="inlineStr">
        <is>
          <t>VÄSTERNORRLANDS LÄN</t>
        </is>
      </c>
      <c r="E12062" t="inlineStr">
        <is>
          <t>SUNDSVALL</t>
        </is>
      </c>
      <c r="F12062" t="inlineStr">
        <is>
          <t>Naturvårdsverket</t>
        </is>
      </c>
      <c r="G12062" t="n">
        <v>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29552-2025</t>
        </is>
      </c>
      <c r="B12063" s="1" t="n">
        <v>45825.34577546296</v>
      </c>
      <c r="C12063" s="1" t="n">
        <v>46093</v>
      </c>
      <c r="D12063" t="inlineStr">
        <is>
          <t>VÄSTERNORRLANDS LÄN</t>
        </is>
      </c>
      <c r="E12063" t="inlineStr">
        <is>
          <t>KRAMFORS</t>
        </is>
      </c>
      <c r="G12063" t="n">
        <v>5.4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29603-2025</t>
        </is>
      </c>
      <c r="B12064" s="1" t="n">
        <v>45825.41664351852</v>
      </c>
      <c r="C12064" s="1" t="n">
        <v>46093</v>
      </c>
      <c r="D12064" t="inlineStr">
        <is>
          <t>VÄSTERNORRLANDS LÄN</t>
        </is>
      </c>
      <c r="E12064" t="inlineStr">
        <is>
          <t>KRAMFORS</t>
        </is>
      </c>
      <c r="G12064" t="n">
        <v>2.2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29609-2025</t>
        </is>
      </c>
      <c r="B12065" s="1" t="n">
        <v>45825.42101851852</v>
      </c>
      <c r="C12065" s="1" t="n">
        <v>46093</v>
      </c>
      <c r="D12065" t="inlineStr">
        <is>
          <t>VÄSTERNORRLANDS LÄN</t>
        </is>
      </c>
      <c r="E12065" t="inlineStr">
        <is>
          <t>KRAMFORS</t>
        </is>
      </c>
      <c r="G12065" t="n">
        <v>2.4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29677-2025</t>
        </is>
      </c>
      <c r="B12066" s="1" t="n">
        <v>45825.50693287037</v>
      </c>
      <c r="C12066" s="1" t="n">
        <v>46093</v>
      </c>
      <c r="D12066" t="inlineStr">
        <is>
          <t>VÄSTERNORRLANDS LÄN</t>
        </is>
      </c>
      <c r="E12066" t="inlineStr">
        <is>
          <t>ÖRNSKÖLDSVIK</t>
        </is>
      </c>
      <c r="G12066" t="n">
        <v>1.2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29679-2025</t>
        </is>
      </c>
      <c r="B12067" s="1" t="n">
        <v>45825.50856481482</v>
      </c>
      <c r="C12067" s="1" t="n">
        <v>46093</v>
      </c>
      <c r="D12067" t="inlineStr">
        <is>
          <t>VÄSTERNORRLANDS LÄN</t>
        </is>
      </c>
      <c r="E12067" t="inlineStr">
        <is>
          <t>KRAMFORS</t>
        </is>
      </c>
      <c r="G12067" t="n">
        <v>1.6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29543-2025</t>
        </is>
      </c>
      <c r="B12068" s="1" t="n">
        <v>45825.34547453704</v>
      </c>
      <c r="C12068" s="1" t="n">
        <v>46093</v>
      </c>
      <c r="D12068" t="inlineStr">
        <is>
          <t>VÄSTERNORRLANDS LÄN</t>
        </is>
      </c>
      <c r="E12068" t="inlineStr">
        <is>
          <t>HÄRNÖSAND</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29559-2025</t>
        </is>
      </c>
      <c r="B12069" s="1" t="n">
        <v>45825.36148148148</v>
      </c>
      <c r="C12069" s="1" t="n">
        <v>46093</v>
      </c>
      <c r="D12069" t="inlineStr">
        <is>
          <t>VÄSTERNORRLANDS LÄN</t>
        </is>
      </c>
      <c r="E12069" t="inlineStr">
        <is>
          <t>ÖRNSKÖLDSVIK</t>
        </is>
      </c>
      <c r="F12069" t="inlineStr">
        <is>
          <t>Holmen skog AB</t>
        </is>
      </c>
      <c r="G12069" t="n">
        <v>16.6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29560-2025</t>
        </is>
      </c>
      <c r="B12070" s="1" t="n">
        <v>45825.36497685185</v>
      </c>
      <c r="C12070" s="1" t="n">
        <v>46093</v>
      </c>
      <c r="D12070" t="inlineStr">
        <is>
          <t>VÄSTERNORRLANDS LÄN</t>
        </is>
      </c>
      <c r="E12070" t="inlineStr">
        <is>
          <t>ÅNGE</t>
        </is>
      </c>
      <c r="F12070" t="inlineStr">
        <is>
          <t>SCA</t>
        </is>
      </c>
      <c r="G12070" t="n">
        <v>1.6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29562-2025</t>
        </is>
      </c>
      <c r="B12071" s="1" t="n">
        <v>45825</v>
      </c>
      <c r="C12071" s="1" t="n">
        <v>46093</v>
      </c>
      <c r="D12071" t="inlineStr">
        <is>
          <t>VÄSTERNORRLANDS LÄN</t>
        </is>
      </c>
      <c r="E12071" t="inlineStr">
        <is>
          <t>SOLLEFTEÅ</t>
        </is>
      </c>
      <c r="F12071" t="inlineStr">
        <is>
          <t>SCA</t>
        </is>
      </c>
      <c r="G12071" t="n">
        <v>4.7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29564-2025</t>
        </is>
      </c>
      <c r="B12072" s="1" t="n">
        <v>45825.365625</v>
      </c>
      <c r="C12072" s="1" t="n">
        <v>46093</v>
      </c>
      <c r="D12072" t="inlineStr">
        <is>
          <t>VÄSTERNORRLANDS LÄN</t>
        </is>
      </c>
      <c r="E12072" t="inlineStr">
        <is>
          <t>ÖRNSKÖLDSVIK</t>
        </is>
      </c>
      <c r="F12072" t="inlineStr">
        <is>
          <t>SCA</t>
        </is>
      </c>
      <c r="G12072" t="n">
        <v>32.2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29839-2025</t>
        </is>
      </c>
      <c r="B12073" s="1" t="n">
        <v>45826.27971064814</v>
      </c>
      <c r="C12073" s="1" t="n">
        <v>46093</v>
      </c>
      <c r="D12073" t="inlineStr">
        <is>
          <t>VÄSTERNORRLANDS LÄN</t>
        </is>
      </c>
      <c r="E12073" t="inlineStr">
        <is>
          <t>KRAMFORS</t>
        </is>
      </c>
      <c r="G12073" t="n">
        <v>1.6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30039-2025</t>
        </is>
      </c>
      <c r="B12074" s="1" t="n">
        <v>45826.5734375</v>
      </c>
      <c r="C12074" s="1" t="n">
        <v>46093</v>
      </c>
      <c r="D12074" t="inlineStr">
        <is>
          <t>VÄSTERNORRLANDS LÄN</t>
        </is>
      </c>
      <c r="E12074" t="inlineStr">
        <is>
          <t>HÄRNÖSAND</t>
        </is>
      </c>
      <c r="F12074" t="inlineStr">
        <is>
          <t>Kyrkan</t>
        </is>
      </c>
      <c r="G12074" t="n">
        <v>2.6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29535-2025</t>
        </is>
      </c>
      <c r="B12075" s="1" t="n">
        <v>45825.34486111111</v>
      </c>
      <c r="C12075" s="1" t="n">
        <v>46093</v>
      </c>
      <c r="D12075" t="inlineStr">
        <is>
          <t>VÄSTERNORRLANDS LÄN</t>
        </is>
      </c>
      <c r="E12075" t="inlineStr">
        <is>
          <t>SOLLEFTEÅ</t>
        </is>
      </c>
      <c r="F12075" t="inlineStr">
        <is>
          <t>SCA</t>
        </is>
      </c>
      <c r="G12075" t="n">
        <v>20.6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29759-2025</t>
        </is>
      </c>
      <c r="B12076" s="1" t="n">
        <v>45825</v>
      </c>
      <c r="C12076" s="1" t="n">
        <v>46093</v>
      </c>
      <c r="D12076" t="inlineStr">
        <is>
          <t>VÄSTERNORRLANDS LÄN</t>
        </is>
      </c>
      <c r="E12076" t="inlineStr">
        <is>
          <t>SOLLEFTEÅ</t>
        </is>
      </c>
      <c r="F12076" t="inlineStr">
        <is>
          <t>SCA</t>
        </is>
      </c>
      <c r="G12076" t="n">
        <v>3.8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29986-2025</t>
        </is>
      </c>
      <c r="B12077" s="1" t="n">
        <v>45826.49689814815</v>
      </c>
      <c r="C12077" s="1" t="n">
        <v>46093</v>
      </c>
      <c r="D12077" t="inlineStr">
        <is>
          <t>VÄSTERNORRLANDS LÄN</t>
        </is>
      </c>
      <c r="E12077" t="inlineStr">
        <is>
          <t>ÖRNSKÖLDSVIK</t>
        </is>
      </c>
      <c r="G12077" t="n">
        <v>0.9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29786-2025</t>
        </is>
      </c>
      <c r="B12078" s="1" t="n">
        <v>45825.65663194445</v>
      </c>
      <c r="C12078" s="1" t="n">
        <v>46093</v>
      </c>
      <c r="D12078" t="inlineStr">
        <is>
          <t>VÄSTERNORRLANDS LÄN</t>
        </is>
      </c>
      <c r="E12078" t="inlineStr">
        <is>
          <t>ÅNGE</t>
        </is>
      </c>
      <c r="F12078" t="inlineStr">
        <is>
          <t>SCA</t>
        </is>
      </c>
      <c r="G12078" t="n">
        <v>1.4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29541-2025</t>
        </is>
      </c>
      <c r="B12079" s="1" t="n">
        <v>45825.34539351852</v>
      </c>
      <c r="C12079" s="1" t="n">
        <v>46093</v>
      </c>
      <c r="D12079" t="inlineStr">
        <is>
          <t>VÄSTERNORRLANDS LÄN</t>
        </is>
      </c>
      <c r="E12079" t="inlineStr">
        <is>
          <t>HÄRNÖSAND</t>
        </is>
      </c>
      <c r="G12079" t="n">
        <v>5.7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29544-2025</t>
        </is>
      </c>
      <c r="B12080" s="1" t="n">
        <v>45825.34547453704</v>
      </c>
      <c r="C12080" s="1" t="n">
        <v>46093</v>
      </c>
      <c r="D12080" t="inlineStr">
        <is>
          <t>VÄSTERNORRLANDS LÄN</t>
        </is>
      </c>
      <c r="E12080" t="inlineStr">
        <is>
          <t>HÄRNÖSAND</t>
        </is>
      </c>
      <c r="G12080" t="n">
        <v>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29591-2025</t>
        </is>
      </c>
      <c r="B12081" s="1" t="n">
        <v>45825.40010416666</v>
      </c>
      <c r="C12081" s="1" t="n">
        <v>46093</v>
      </c>
      <c r="D12081" t="inlineStr">
        <is>
          <t>VÄSTERNORRLANDS LÄN</t>
        </is>
      </c>
      <c r="E12081" t="inlineStr">
        <is>
          <t>KRAMFORS</t>
        </is>
      </c>
      <c r="G12081" t="n">
        <v>5.4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29608-2025</t>
        </is>
      </c>
      <c r="B12082" s="1" t="n">
        <v>45825</v>
      </c>
      <c r="C12082" s="1" t="n">
        <v>46093</v>
      </c>
      <c r="D12082" t="inlineStr">
        <is>
          <t>VÄSTERNORRLANDS LÄN</t>
        </is>
      </c>
      <c r="E12082" t="inlineStr">
        <is>
          <t>KRAMFORS</t>
        </is>
      </c>
      <c r="G12082" t="n">
        <v>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29680-2025</t>
        </is>
      </c>
      <c r="B12083" s="1" t="n">
        <v>45825.5090625</v>
      </c>
      <c r="C12083" s="1" t="n">
        <v>46093</v>
      </c>
      <c r="D12083" t="inlineStr">
        <is>
          <t>VÄSTERNORRLANDS LÄN</t>
        </is>
      </c>
      <c r="E12083" t="inlineStr">
        <is>
          <t>KRAMFORS</t>
        </is>
      </c>
      <c r="G12083" t="n">
        <v>1.6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29952-2025</t>
        </is>
      </c>
      <c r="B12084" s="1" t="n">
        <v>45826.46950231482</v>
      </c>
      <c r="C12084" s="1" t="n">
        <v>46093</v>
      </c>
      <c r="D12084" t="inlineStr">
        <is>
          <t>VÄSTERNORRLANDS LÄN</t>
        </is>
      </c>
      <c r="E12084" t="inlineStr">
        <is>
          <t>SUNDSVALL</t>
        </is>
      </c>
      <c r="F12084" t="inlineStr">
        <is>
          <t>Naturvårdsverket</t>
        </is>
      </c>
      <c r="G12084" t="n">
        <v>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29969-2025</t>
        </is>
      </c>
      <c r="B12085" s="1" t="n">
        <v>45826.48987268518</v>
      </c>
      <c r="C12085" s="1" t="n">
        <v>46093</v>
      </c>
      <c r="D12085" t="inlineStr">
        <is>
          <t>VÄSTERNORRLANDS LÄN</t>
        </is>
      </c>
      <c r="E12085" t="inlineStr">
        <is>
          <t>ÖRNSKÖLDSVIK</t>
        </is>
      </c>
      <c r="G12085" t="n">
        <v>1.5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29700-2025</t>
        </is>
      </c>
      <c r="B12086" s="1" t="n">
        <v>45825.55259259259</v>
      </c>
      <c r="C12086" s="1" t="n">
        <v>46093</v>
      </c>
      <c r="D12086" t="inlineStr">
        <is>
          <t>VÄSTERNORRLANDS LÄN</t>
        </is>
      </c>
      <c r="E12086" t="inlineStr">
        <is>
          <t>SUNDSVALL</t>
        </is>
      </c>
      <c r="G12086" t="n">
        <v>3.9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29884-2025</t>
        </is>
      </c>
      <c r="B12087" s="1" t="n">
        <v>45826.36582175926</v>
      </c>
      <c r="C12087" s="1" t="n">
        <v>46093</v>
      </c>
      <c r="D12087" t="inlineStr">
        <is>
          <t>VÄSTERNORRLANDS LÄN</t>
        </is>
      </c>
      <c r="E12087" t="inlineStr">
        <is>
          <t>SOLLEFTEÅ</t>
        </is>
      </c>
      <c r="F12087" t="inlineStr">
        <is>
          <t>SCA</t>
        </is>
      </c>
      <c r="G12087" t="n">
        <v>5.9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29793-2025</t>
        </is>
      </c>
      <c r="B12088" s="1" t="n">
        <v>45825</v>
      </c>
      <c r="C12088" s="1" t="n">
        <v>46093</v>
      </c>
      <c r="D12088" t="inlineStr">
        <is>
          <t>VÄSTERNORRLANDS LÄN</t>
        </is>
      </c>
      <c r="E12088" t="inlineStr">
        <is>
          <t>SOLLEFTEÅ</t>
        </is>
      </c>
      <c r="G12088" t="n">
        <v>10</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23289-2025</t>
        </is>
      </c>
      <c r="B12089" s="1" t="n">
        <v>45791</v>
      </c>
      <c r="C12089" s="1" t="n">
        <v>46093</v>
      </c>
      <c r="D12089" t="inlineStr">
        <is>
          <t>VÄSTERNORRLANDS LÄN</t>
        </is>
      </c>
      <c r="E12089" t="inlineStr">
        <is>
          <t>HÄRNÖSAND</t>
        </is>
      </c>
      <c r="G12089" t="n">
        <v>1.9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29545-2025</t>
        </is>
      </c>
      <c r="B12090" s="1" t="n">
        <v>45825.34550925926</v>
      </c>
      <c r="C12090" s="1" t="n">
        <v>46093</v>
      </c>
      <c r="D12090" t="inlineStr">
        <is>
          <t>VÄSTERNORRLANDS LÄN</t>
        </is>
      </c>
      <c r="E12090" t="inlineStr">
        <is>
          <t>HÄRNÖSAND</t>
        </is>
      </c>
      <c r="G12090" t="n">
        <v>1.4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29605-2025</t>
        </is>
      </c>
      <c r="B12091" s="1" t="n">
        <v>45825.41890046297</v>
      </c>
      <c r="C12091" s="1" t="n">
        <v>46093</v>
      </c>
      <c r="D12091" t="inlineStr">
        <is>
          <t>VÄSTERNORRLANDS LÄN</t>
        </is>
      </c>
      <c r="E12091" t="inlineStr">
        <is>
          <t>KRAMFORS</t>
        </is>
      </c>
      <c r="G12091" t="n">
        <v>0.6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29590-2025</t>
        </is>
      </c>
      <c r="B12092" s="1" t="n">
        <v>45825.39894675926</v>
      </c>
      <c r="C12092" s="1" t="n">
        <v>46093</v>
      </c>
      <c r="D12092" t="inlineStr">
        <is>
          <t>VÄSTERNORRLANDS LÄN</t>
        </is>
      </c>
      <c r="E12092" t="inlineStr">
        <is>
          <t>ÖRNSKÖLDSVIK</t>
        </is>
      </c>
      <c r="G12092" t="n">
        <v>1.1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29596-2025</t>
        </is>
      </c>
      <c r="B12093" s="1" t="n">
        <v>45825.40684027778</v>
      </c>
      <c r="C12093" s="1" t="n">
        <v>46093</v>
      </c>
      <c r="D12093" t="inlineStr">
        <is>
          <t>VÄSTERNORRLANDS LÄN</t>
        </is>
      </c>
      <c r="E12093" t="inlineStr">
        <is>
          <t>KRAMFORS</t>
        </is>
      </c>
      <c r="G12093" t="n">
        <v>6.6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30084-2025</t>
        </is>
      </c>
      <c r="B12094" s="1" t="n">
        <v>45826.65685185185</v>
      </c>
      <c r="C12094" s="1" t="n">
        <v>46093</v>
      </c>
      <c r="D12094" t="inlineStr">
        <is>
          <t>VÄSTERNORRLANDS LÄN</t>
        </is>
      </c>
      <c r="E12094" t="inlineStr">
        <is>
          <t>HÄRNÖSAND</t>
        </is>
      </c>
      <c r="G12094" t="n">
        <v>2.2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26014-2025</t>
        </is>
      </c>
      <c r="B12095" s="1" t="n">
        <v>45804.67773148148</v>
      </c>
      <c r="C12095" s="1" t="n">
        <v>46093</v>
      </c>
      <c r="D12095" t="inlineStr">
        <is>
          <t>VÄSTERNORRLANDS LÄN</t>
        </is>
      </c>
      <c r="E12095" t="inlineStr">
        <is>
          <t>SOLLEFTEÅ</t>
        </is>
      </c>
      <c r="F12095" t="inlineStr">
        <is>
          <t>SCA</t>
        </is>
      </c>
      <c r="G12095" t="n">
        <v>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29883-2025</t>
        </is>
      </c>
      <c r="B12096" s="1" t="n">
        <v>45826.36568287037</v>
      </c>
      <c r="C12096" s="1" t="n">
        <v>46093</v>
      </c>
      <c r="D12096" t="inlineStr">
        <is>
          <t>VÄSTERNORRLANDS LÄN</t>
        </is>
      </c>
      <c r="E12096" t="inlineStr">
        <is>
          <t>SOLLEFTEÅ</t>
        </is>
      </c>
      <c r="F12096" t="inlineStr">
        <is>
          <t>SCA</t>
        </is>
      </c>
      <c r="G12096" t="n">
        <v>4.7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29607-2025</t>
        </is>
      </c>
      <c r="B12097" s="1" t="n">
        <v>45825.41943287037</v>
      </c>
      <c r="C12097" s="1" t="n">
        <v>46093</v>
      </c>
      <c r="D12097" t="inlineStr">
        <is>
          <t>VÄSTERNORRLANDS LÄN</t>
        </is>
      </c>
      <c r="E12097" t="inlineStr">
        <is>
          <t>KRAMFORS</t>
        </is>
      </c>
      <c r="G12097" t="n">
        <v>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30464-2025</t>
        </is>
      </c>
      <c r="B12098" s="1" t="n">
        <v>45827.72248842593</v>
      </c>
      <c r="C12098" s="1" t="n">
        <v>46093</v>
      </c>
      <c r="D12098" t="inlineStr">
        <is>
          <t>VÄSTERNORRLANDS LÄN</t>
        </is>
      </c>
      <c r="E12098" t="inlineStr">
        <is>
          <t>SUNDSVALL</t>
        </is>
      </c>
      <c r="G12098" t="n">
        <v>1.7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30475-2025</t>
        </is>
      </c>
      <c r="B12099" s="1" t="n">
        <v>45828.34444444445</v>
      </c>
      <c r="C12099" s="1" t="n">
        <v>46093</v>
      </c>
      <c r="D12099" t="inlineStr">
        <is>
          <t>VÄSTERNORRLANDS LÄN</t>
        </is>
      </c>
      <c r="E12099" t="inlineStr">
        <is>
          <t>ÅNGE</t>
        </is>
      </c>
      <c r="F12099" t="inlineStr">
        <is>
          <t>SCA</t>
        </is>
      </c>
      <c r="G12099" t="n">
        <v>5.1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30311-2025</t>
        </is>
      </c>
      <c r="B12100" s="1" t="n">
        <v>45827.49015046296</v>
      </c>
      <c r="C12100" s="1" t="n">
        <v>46093</v>
      </c>
      <c r="D12100" t="inlineStr">
        <is>
          <t>VÄSTERNORRLANDS LÄN</t>
        </is>
      </c>
      <c r="E12100" t="inlineStr">
        <is>
          <t>SOLLEFTEÅ</t>
        </is>
      </c>
      <c r="F12100" t="inlineStr">
        <is>
          <t>SCA</t>
        </is>
      </c>
      <c r="G12100" t="n">
        <v>2.6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30369-2025</t>
        </is>
      </c>
      <c r="B12101" s="1" t="n">
        <v>45827.55729166666</v>
      </c>
      <c r="C12101" s="1" t="n">
        <v>46093</v>
      </c>
      <c r="D12101" t="inlineStr">
        <is>
          <t>VÄSTERNORRLANDS LÄN</t>
        </is>
      </c>
      <c r="E12101" t="inlineStr">
        <is>
          <t>SOLLEFTEÅ</t>
        </is>
      </c>
      <c r="G12101" t="n">
        <v>2.8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30389-2025</t>
        </is>
      </c>
      <c r="B12102" s="1" t="n">
        <v>45827.57356481482</v>
      </c>
      <c r="C12102" s="1" t="n">
        <v>46093</v>
      </c>
      <c r="D12102" t="inlineStr">
        <is>
          <t>VÄSTERNORRLANDS LÄN</t>
        </is>
      </c>
      <c r="E12102" t="inlineStr">
        <is>
          <t>SOLLEFTEÅ</t>
        </is>
      </c>
      <c r="F12102" t="inlineStr">
        <is>
          <t>SCA</t>
        </is>
      </c>
      <c r="G12102" t="n">
        <v>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30441-2025</t>
        </is>
      </c>
      <c r="B12103" s="1" t="n">
        <v>45827.64503472222</v>
      </c>
      <c r="C12103" s="1" t="n">
        <v>46093</v>
      </c>
      <c r="D12103" t="inlineStr">
        <is>
          <t>VÄSTERNORRLANDS LÄN</t>
        </is>
      </c>
      <c r="E12103" t="inlineStr">
        <is>
          <t>ÖRNSKÖLDSVIK</t>
        </is>
      </c>
      <c r="F12103" t="inlineStr">
        <is>
          <t>Holmen skog AB</t>
        </is>
      </c>
      <c r="G12103" t="n">
        <v>7.4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30259-2025</t>
        </is>
      </c>
      <c r="B12104" s="1" t="n">
        <v>45827.42768518518</v>
      </c>
      <c r="C12104" s="1" t="n">
        <v>46093</v>
      </c>
      <c r="D12104" t="inlineStr">
        <is>
          <t>VÄSTERNORRLANDS LÄN</t>
        </is>
      </c>
      <c r="E12104" t="inlineStr">
        <is>
          <t>SUNDSVALL</t>
        </is>
      </c>
      <c r="G12104" t="n">
        <v>4.3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30268-2025</t>
        </is>
      </c>
      <c r="B12105" s="1" t="n">
        <v>45827.44883101852</v>
      </c>
      <c r="C12105" s="1" t="n">
        <v>46093</v>
      </c>
      <c r="D12105" t="inlineStr">
        <is>
          <t>VÄSTERNORRLANDS LÄN</t>
        </is>
      </c>
      <c r="E12105" t="inlineStr">
        <is>
          <t>SUNDSVALL</t>
        </is>
      </c>
      <c r="G12105" t="n">
        <v>2.9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30315-2025</t>
        </is>
      </c>
      <c r="B12106" s="1" t="n">
        <v>45827.49060185185</v>
      </c>
      <c r="C12106" s="1" t="n">
        <v>46093</v>
      </c>
      <c r="D12106" t="inlineStr">
        <is>
          <t>VÄSTERNORRLANDS LÄN</t>
        </is>
      </c>
      <c r="E12106" t="inlineStr">
        <is>
          <t>TIMRÅ</t>
        </is>
      </c>
      <c r="F12106" t="inlineStr">
        <is>
          <t>SCA</t>
        </is>
      </c>
      <c r="G12106" t="n">
        <v>9.800000000000001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30279-2025</t>
        </is>
      </c>
      <c r="B12107" s="1" t="n">
        <v>45827</v>
      </c>
      <c r="C12107" s="1" t="n">
        <v>46093</v>
      </c>
      <c r="D12107" t="inlineStr">
        <is>
          <t>VÄSTERNORRLANDS LÄN</t>
        </is>
      </c>
      <c r="E12107" t="inlineStr">
        <is>
          <t>SOLLEFTEÅ</t>
        </is>
      </c>
      <c r="G12107" t="n">
        <v>5.7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30401-2025</t>
        </is>
      </c>
      <c r="B12108" s="1" t="n">
        <v>45827.59135416667</v>
      </c>
      <c r="C12108" s="1" t="n">
        <v>46093</v>
      </c>
      <c r="D12108" t="inlineStr">
        <is>
          <t>VÄSTERNORRLANDS LÄN</t>
        </is>
      </c>
      <c r="E12108" t="inlineStr">
        <is>
          <t>SOLLEFTEÅ</t>
        </is>
      </c>
      <c r="G12108" t="n">
        <v>6.3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30478-2025</t>
        </is>
      </c>
      <c r="B12109" s="1" t="n">
        <v>45828.45866898148</v>
      </c>
      <c r="C12109" s="1" t="n">
        <v>46093</v>
      </c>
      <c r="D12109" t="inlineStr">
        <is>
          <t>VÄSTERNORRLANDS LÄN</t>
        </is>
      </c>
      <c r="E12109" t="inlineStr">
        <is>
          <t>SOLLEFTEÅ</t>
        </is>
      </c>
      <c r="G12109" t="n">
        <v>1.5</v>
      </c>
      <c r="H12109" t="n">
        <v>0</v>
      </c>
      <c r="I12109" t="n">
        <v>0</v>
      </c>
      <c r="J12109" t="n">
        <v>0</v>
      </c>
      <c r="K12109" t="n">
        <v>0</v>
      </c>
      <c r="L12109" t="n">
        <v>0</v>
      </c>
      <c r="M12109" t="n">
        <v>0</v>
      </c>
      <c r="N12109" t="n">
        <v>0</v>
      </c>
      <c r="O12109" t="n">
        <v>0</v>
      </c>
      <c r="P12109" t="n">
        <v>0</v>
      </c>
      <c r="Q12109" t="n">
        <v>0</v>
      </c>
      <c r="R12109" s="2" t="inlineStr"/>
      <c r="U12109">
        <f>HYPERLINK("https://klasma.github.io/Logging_2283/knärot/A 30478-2025 karta knärot.png", "A 30478-2025")</f>
        <v/>
      </c>
      <c r="V12109">
        <f>HYPERLINK("https://klasma.github.io/Logging_2283/klagomål/A 30478-2025 FSC-klagomål.docx", "A 30478-2025")</f>
        <v/>
      </c>
      <c r="W12109">
        <f>HYPERLINK("https://klasma.github.io/Logging_2283/klagomålsmail/A 30478-2025 FSC-klagomål mail.docx", "A 30478-2025")</f>
        <v/>
      </c>
      <c r="X12109">
        <f>HYPERLINK("https://klasma.github.io/Logging_2283/tillsyn/A 30478-2025 tillsynsbegäran.docx", "A 30478-2025")</f>
        <v/>
      </c>
      <c r="Y12109">
        <f>HYPERLINK("https://klasma.github.io/Logging_2283/tillsynsmail/A 30478-2025 tillsynsbegäran mail.docx", "A 30478-2025")</f>
        <v/>
      </c>
    </row>
    <row r="12110" ht="15" customHeight="1">
      <c r="A12110" t="inlineStr">
        <is>
          <t>A 30168-2025</t>
        </is>
      </c>
      <c r="B12110" s="1" t="n">
        <v>45827.33587962963</v>
      </c>
      <c r="C12110" s="1" t="n">
        <v>46093</v>
      </c>
      <c r="D12110" t="inlineStr">
        <is>
          <t>VÄSTERNORRLANDS LÄN</t>
        </is>
      </c>
      <c r="E12110" t="inlineStr">
        <is>
          <t>ÖRNSKÖLDSVIK</t>
        </is>
      </c>
      <c r="G12110" t="n">
        <v>0.7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30192-2025</t>
        </is>
      </c>
      <c r="B12111" s="1" t="n">
        <v>45827.35144675926</v>
      </c>
      <c r="C12111" s="1" t="n">
        <v>46093</v>
      </c>
      <c r="D12111" t="inlineStr">
        <is>
          <t>VÄSTERNORRLANDS LÄN</t>
        </is>
      </c>
      <c r="E12111" t="inlineStr">
        <is>
          <t>ÖRNSKÖLDSVIK</t>
        </is>
      </c>
      <c r="G12111" t="n">
        <v>2.6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30376-2025</t>
        </is>
      </c>
      <c r="B12112" s="1" t="n">
        <v>45827.5669212963</v>
      </c>
      <c r="C12112" s="1" t="n">
        <v>46093</v>
      </c>
      <c r="D12112" t="inlineStr">
        <is>
          <t>VÄSTERNORRLANDS LÄN</t>
        </is>
      </c>
      <c r="E12112" t="inlineStr">
        <is>
          <t>ÖRNSKÖLDSVIK</t>
        </is>
      </c>
      <c r="F12112" t="inlineStr">
        <is>
          <t>Holmen skog AB</t>
        </is>
      </c>
      <c r="G12112" t="n">
        <v>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30240-2025</t>
        </is>
      </c>
      <c r="B12113" s="1" t="n">
        <v>45827.40489583334</v>
      </c>
      <c r="C12113" s="1" t="n">
        <v>46093</v>
      </c>
      <c r="D12113" t="inlineStr">
        <is>
          <t>VÄSTERNORRLANDS LÄN</t>
        </is>
      </c>
      <c r="E12113" t="inlineStr">
        <is>
          <t>ÖRNSKÖLDSVIK</t>
        </is>
      </c>
      <c r="F12113" t="inlineStr">
        <is>
          <t>Holmen skog AB</t>
        </is>
      </c>
      <c r="G12113" t="n">
        <v>2.7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30594-2025</t>
        </is>
      </c>
      <c r="B12114" s="1" t="n">
        <v>45831.44480324074</v>
      </c>
      <c r="C12114" s="1" t="n">
        <v>46093</v>
      </c>
      <c r="D12114" t="inlineStr">
        <is>
          <t>VÄSTERNORRLANDS LÄN</t>
        </is>
      </c>
      <c r="E12114" t="inlineStr">
        <is>
          <t>KRAMFORS</t>
        </is>
      </c>
      <c r="G12114" t="n">
        <v>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30671-2025</t>
        </is>
      </c>
      <c r="B12115" s="1" t="n">
        <v>45831.51832175926</v>
      </c>
      <c r="C12115" s="1" t="n">
        <v>46093</v>
      </c>
      <c r="D12115" t="inlineStr">
        <is>
          <t>VÄSTERNORRLANDS LÄN</t>
        </is>
      </c>
      <c r="E12115" t="inlineStr">
        <is>
          <t>ÖRNSKÖLDSVIK</t>
        </is>
      </c>
      <c r="F12115" t="inlineStr">
        <is>
          <t>Holmen skog AB</t>
        </is>
      </c>
      <c r="G12115" t="n">
        <v>0.5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30534-2025</t>
        </is>
      </c>
      <c r="B12116" s="1" t="n">
        <v>45831.36513888889</v>
      </c>
      <c r="C12116" s="1" t="n">
        <v>46093</v>
      </c>
      <c r="D12116" t="inlineStr">
        <is>
          <t>VÄSTERNORRLANDS LÄN</t>
        </is>
      </c>
      <c r="E12116" t="inlineStr">
        <is>
          <t>KRAMFORS</t>
        </is>
      </c>
      <c r="F12116" t="inlineStr">
        <is>
          <t>SCA</t>
        </is>
      </c>
      <c r="G12116" t="n">
        <v>4.5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30965-2025</t>
        </is>
      </c>
      <c r="B12117" s="1" t="n">
        <v>45832.45153935185</v>
      </c>
      <c r="C12117" s="1" t="n">
        <v>46093</v>
      </c>
      <c r="D12117" t="inlineStr">
        <is>
          <t>VÄSTERNORRLANDS LÄN</t>
        </is>
      </c>
      <c r="E12117" t="inlineStr">
        <is>
          <t>KRAMFORS</t>
        </is>
      </c>
      <c r="G12117" t="n">
        <v>24.1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31007-2025</t>
        </is>
      </c>
      <c r="B12118" s="1" t="n">
        <v>45831</v>
      </c>
      <c r="C12118" s="1" t="n">
        <v>46093</v>
      </c>
      <c r="D12118" t="inlineStr">
        <is>
          <t>VÄSTERNORRLANDS LÄN</t>
        </is>
      </c>
      <c r="E12118" t="inlineStr">
        <is>
          <t>ÖRNSKÖLDSVIK</t>
        </is>
      </c>
      <c r="G12118" t="n">
        <v>6.2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30742-2025</t>
        </is>
      </c>
      <c r="B12119" s="1" t="n">
        <v>45831.57798611111</v>
      </c>
      <c r="C12119" s="1" t="n">
        <v>46093</v>
      </c>
      <c r="D12119" t="inlineStr">
        <is>
          <t>VÄSTERNORRLANDS LÄN</t>
        </is>
      </c>
      <c r="E12119" t="inlineStr">
        <is>
          <t>ÖRNSKÖLDSVIK</t>
        </is>
      </c>
      <c r="F12119" t="inlineStr">
        <is>
          <t>Holmen skog AB</t>
        </is>
      </c>
      <c r="G12119" t="n">
        <v>1.6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30816-2025</t>
        </is>
      </c>
      <c r="B12120" s="1" t="n">
        <v>45831.66094907407</v>
      </c>
      <c r="C12120" s="1" t="n">
        <v>46093</v>
      </c>
      <c r="D12120" t="inlineStr">
        <is>
          <t>VÄSTERNORRLANDS LÄN</t>
        </is>
      </c>
      <c r="E12120" t="inlineStr">
        <is>
          <t>TIMRÅ</t>
        </is>
      </c>
      <c r="G12120" t="n">
        <v>3.4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30830-2025</t>
        </is>
      </c>
      <c r="B12121" s="1" t="n">
        <v>45831.68704861111</v>
      </c>
      <c r="C12121" s="1" t="n">
        <v>46093</v>
      </c>
      <c r="D12121" t="inlineStr">
        <is>
          <t>VÄSTERNORRLANDS LÄN</t>
        </is>
      </c>
      <c r="E12121" t="inlineStr">
        <is>
          <t>ÖRNSKÖLDSVIK</t>
        </is>
      </c>
      <c r="F12121" t="inlineStr">
        <is>
          <t>Holmen skog AB</t>
        </is>
      </c>
      <c r="G12121" t="n">
        <v>4.1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30834-2025</t>
        </is>
      </c>
      <c r="B12122" s="1" t="n">
        <v>45831.6984837963</v>
      </c>
      <c r="C12122" s="1" t="n">
        <v>46093</v>
      </c>
      <c r="D12122" t="inlineStr">
        <is>
          <t>VÄSTERNORRLANDS LÄN</t>
        </is>
      </c>
      <c r="E12122" t="inlineStr">
        <is>
          <t>SOLLEFTEÅ</t>
        </is>
      </c>
      <c r="F12122" t="inlineStr">
        <is>
          <t>SCA</t>
        </is>
      </c>
      <c r="G12122" t="n">
        <v>1.2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30875-2025</t>
        </is>
      </c>
      <c r="B12123" s="1" t="n">
        <v>45832.34447916667</v>
      </c>
      <c r="C12123" s="1" t="n">
        <v>46093</v>
      </c>
      <c r="D12123" t="inlineStr">
        <is>
          <t>VÄSTERNORRLANDS LÄN</t>
        </is>
      </c>
      <c r="E12123" t="inlineStr">
        <is>
          <t>ÅNGE</t>
        </is>
      </c>
      <c r="F12123" t="inlineStr">
        <is>
          <t>SCA</t>
        </is>
      </c>
      <c r="G12123" t="n">
        <v>1.4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31114-2025</t>
        </is>
      </c>
      <c r="B12124" s="1" t="n">
        <v>45832.61521990741</v>
      </c>
      <c r="C12124" s="1" t="n">
        <v>46093</v>
      </c>
      <c r="D12124" t="inlineStr">
        <is>
          <t>VÄSTERNORRLANDS LÄN</t>
        </is>
      </c>
      <c r="E12124" t="inlineStr">
        <is>
          <t>SUNDSVALL</t>
        </is>
      </c>
      <c r="G12124" t="n">
        <v>1.9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31120-2025</t>
        </is>
      </c>
      <c r="B12125" s="1" t="n">
        <v>45832.62326388889</v>
      </c>
      <c r="C12125" s="1" t="n">
        <v>46093</v>
      </c>
      <c r="D12125" t="inlineStr">
        <is>
          <t>VÄSTERNORRLANDS LÄN</t>
        </is>
      </c>
      <c r="E12125" t="inlineStr">
        <is>
          <t>ÖRNSKÖLDSVIK</t>
        </is>
      </c>
      <c r="F12125" t="inlineStr">
        <is>
          <t>Holmen skog AB</t>
        </is>
      </c>
      <c r="G12125" t="n">
        <v>0.7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31211-2025</t>
        </is>
      </c>
      <c r="B12126" s="1" t="n">
        <v>45832.71938657408</v>
      </c>
      <c r="C12126" s="1" t="n">
        <v>46093</v>
      </c>
      <c r="D12126" t="inlineStr">
        <is>
          <t>VÄSTERNORRLANDS LÄN</t>
        </is>
      </c>
      <c r="E12126" t="inlineStr">
        <is>
          <t>ÅNGE</t>
        </is>
      </c>
      <c r="F12126" t="inlineStr">
        <is>
          <t>SCA</t>
        </is>
      </c>
      <c r="G12126" t="n">
        <v>1.8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30725-2025</t>
        </is>
      </c>
      <c r="B12127" s="1" t="n">
        <v>45831.569375</v>
      </c>
      <c r="C12127" s="1" t="n">
        <v>46093</v>
      </c>
      <c r="D12127" t="inlineStr">
        <is>
          <t>VÄSTERNORRLANDS LÄN</t>
        </is>
      </c>
      <c r="E12127" t="inlineStr">
        <is>
          <t>ÖRNSKÖLDSVIK</t>
        </is>
      </c>
      <c r="F12127" t="inlineStr">
        <is>
          <t>Holmen skog AB</t>
        </is>
      </c>
      <c r="G12127" t="n">
        <v>7.6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30722-2025</t>
        </is>
      </c>
      <c r="B12128" s="1" t="n">
        <v>45831.56635416667</v>
      </c>
      <c r="C12128" s="1" t="n">
        <v>46093</v>
      </c>
      <c r="D12128" t="inlineStr">
        <is>
          <t>VÄSTERNORRLANDS LÄN</t>
        </is>
      </c>
      <c r="E12128" t="inlineStr">
        <is>
          <t>ÖRNSKÖLDSVIK</t>
        </is>
      </c>
      <c r="F12128" t="inlineStr">
        <is>
          <t>Holmen skog AB</t>
        </is>
      </c>
      <c r="G12128" t="n">
        <v>2.6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30733-2025</t>
        </is>
      </c>
      <c r="B12129" s="1" t="n">
        <v>45831.57340277778</v>
      </c>
      <c r="C12129" s="1" t="n">
        <v>46093</v>
      </c>
      <c r="D12129" t="inlineStr">
        <is>
          <t>VÄSTERNORRLANDS LÄN</t>
        </is>
      </c>
      <c r="E12129" t="inlineStr">
        <is>
          <t>SOLLEFTEÅ</t>
        </is>
      </c>
      <c r="G12129" t="n">
        <v>1.7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30734-2025</t>
        </is>
      </c>
      <c r="B12130" s="1" t="n">
        <v>45831.5734375</v>
      </c>
      <c r="C12130" s="1" t="n">
        <v>46093</v>
      </c>
      <c r="D12130" t="inlineStr">
        <is>
          <t>VÄSTERNORRLANDS LÄN</t>
        </is>
      </c>
      <c r="E12130" t="inlineStr">
        <is>
          <t>SOLLEFTEÅ</t>
        </is>
      </c>
      <c r="G12130" t="n">
        <v>0.6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30806-2025</t>
        </is>
      </c>
      <c r="B12131" s="1" t="n">
        <v>45831.65665509259</v>
      </c>
      <c r="C12131" s="1" t="n">
        <v>46093</v>
      </c>
      <c r="D12131" t="inlineStr">
        <is>
          <t>VÄSTERNORRLANDS LÄN</t>
        </is>
      </c>
      <c r="E12131" t="inlineStr">
        <is>
          <t>ÖRNSKÖLDSVIK</t>
        </is>
      </c>
      <c r="F12131" t="inlineStr">
        <is>
          <t>Holmen skog AB</t>
        </is>
      </c>
      <c r="G12131" t="n">
        <v>6.9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31156-2025</t>
        </is>
      </c>
      <c r="B12132" s="1" t="n">
        <v>45832.65130787037</v>
      </c>
      <c r="C12132" s="1" t="n">
        <v>46093</v>
      </c>
      <c r="D12132" t="inlineStr">
        <is>
          <t>VÄSTERNORRLANDS LÄN</t>
        </is>
      </c>
      <c r="E12132" t="inlineStr">
        <is>
          <t>ÖRNSKÖLDSVIK</t>
        </is>
      </c>
      <c r="F12132" t="inlineStr">
        <is>
          <t>Holmen skog AB</t>
        </is>
      </c>
      <c r="G12132" t="n">
        <v>8.5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30810-2025</t>
        </is>
      </c>
      <c r="B12133" s="1" t="n">
        <v>45831.65712962963</v>
      </c>
      <c r="C12133" s="1" t="n">
        <v>46093</v>
      </c>
      <c r="D12133" t="inlineStr">
        <is>
          <t>VÄSTERNORRLANDS LÄN</t>
        </is>
      </c>
      <c r="E12133" t="inlineStr">
        <is>
          <t>SUNDSVALL</t>
        </is>
      </c>
      <c r="G12133" t="n">
        <v>1.4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30713-2025</t>
        </is>
      </c>
      <c r="B12134" s="1" t="n">
        <v>45831.55275462963</v>
      </c>
      <c r="C12134" s="1" t="n">
        <v>46093</v>
      </c>
      <c r="D12134" t="inlineStr">
        <is>
          <t>VÄSTERNORRLANDS LÄN</t>
        </is>
      </c>
      <c r="E12134" t="inlineStr">
        <is>
          <t>ÖRNSKÖLDSVIK</t>
        </is>
      </c>
      <c r="F12134" t="inlineStr">
        <is>
          <t>SCA</t>
        </is>
      </c>
      <c r="G12134" t="n">
        <v>47.1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30855-2025</t>
        </is>
      </c>
      <c r="B12135" s="1" t="n">
        <v>45831.87186342593</v>
      </c>
      <c r="C12135" s="1" t="n">
        <v>46093</v>
      </c>
      <c r="D12135" t="inlineStr">
        <is>
          <t>VÄSTERNORRLANDS LÄN</t>
        </is>
      </c>
      <c r="E12135" t="inlineStr">
        <is>
          <t>KRAMFORS</t>
        </is>
      </c>
      <c r="G12135" t="n">
        <v>2.8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31165-2025</t>
        </is>
      </c>
      <c r="B12136" s="1" t="n">
        <v>45832.65871527778</v>
      </c>
      <c r="C12136" s="1" t="n">
        <v>46093</v>
      </c>
      <c r="D12136" t="inlineStr">
        <is>
          <t>VÄSTERNORRLANDS LÄN</t>
        </is>
      </c>
      <c r="E12136" t="inlineStr">
        <is>
          <t>HÄRNÖSAND</t>
        </is>
      </c>
      <c r="G12136" t="n">
        <v>5.4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30964-2025</t>
        </is>
      </c>
      <c r="B12137" s="1" t="n">
        <v>45832.45111111111</v>
      </c>
      <c r="C12137" s="1" t="n">
        <v>46093</v>
      </c>
      <c r="D12137" t="inlineStr">
        <is>
          <t>VÄSTERNORRLANDS LÄN</t>
        </is>
      </c>
      <c r="E12137" t="inlineStr">
        <is>
          <t>SOLLEFTEÅ</t>
        </is>
      </c>
      <c r="G12137" t="n">
        <v>1.2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30975-2025</t>
        </is>
      </c>
      <c r="B12138" s="1" t="n">
        <v>45832.46407407407</v>
      </c>
      <c r="C12138" s="1" t="n">
        <v>46093</v>
      </c>
      <c r="D12138" t="inlineStr">
        <is>
          <t>VÄSTERNORRLANDS LÄN</t>
        </is>
      </c>
      <c r="E12138" t="inlineStr">
        <is>
          <t>KRAMFORS</t>
        </is>
      </c>
      <c r="G12138" t="n">
        <v>17.3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30618-2025</t>
        </is>
      </c>
      <c r="B12139" s="1" t="n">
        <v>45831.46909722222</v>
      </c>
      <c r="C12139" s="1" t="n">
        <v>46093</v>
      </c>
      <c r="D12139" t="inlineStr">
        <is>
          <t>VÄSTERNORRLANDS LÄN</t>
        </is>
      </c>
      <c r="E12139" t="inlineStr">
        <is>
          <t>ÅNGE</t>
        </is>
      </c>
      <c r="G12139" t="n">
        <v>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31188-2025</t>
        </is>
      </c>
      <c r="B12140" s="1" t="n">
        <v>45832.67842592593</v>
      </c>
      <c r="C12140" s="1" t="n">
        <v>46093</v>
      </c>
      <c r="D12140" t="inlineStr">
        <is>
          <t>VÄSTERNORRLANDS LÄN</t>
        </is>
      </c>
      <c r="E12140" t="inlineStr">
        <is>
          <t>ÅNGE</t>
        </is>
      </c>
      <c r="F12140" t="inlineStr">
        <is>
          <t>SCA</t>
        </is>
      </c>
      <c r="G12140" t="n">
        <v>14.9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50402-2024</t>
        </is>
      </c>
      <c r="B12141" s="1" t="n">
        <v>45601.35136574074</v>
      </c>
      <c r="C12141" s="1" t="n">
        <v>46093</v>
      </c>
      <c r="D12141" t="inlineStr">
        <is>
          <t>VÄSTERNORRLANDS LÄN</t>
        </is>
      </c>
      <c r="E12141" t="inlineStr">
        <is>
          <t>ÖRNSKÖLDSVIK</t>
        </is>
      </c>
      <c r="F12141" t="inlineStr">
        <is>
          <t>Holmen skog AB</t>
        </is>
      </c>
      <c r="G12141" t="n">
        <v>0.7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29131-2025</t>
        </is>
      </c>
      <c r="B12142" s="1" t="n">
        <v>45821</v>
      </c>
      <c r="C12142" s="1" t="n">
        <v>46093</v>
      </c>
      <c r="D12142" t="inlineStr">
        <is>
          <t>VÄSTERNORRLANDS LÄN</t>
        </is>
      </c>
      <c r="E12142" t="inlineStr">
        <is>
          <t>HÄRNÖSAND</t>
        </is>
      </c>
      <c r="G12142" t="n">
        <v>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30896-2025</t>
        </is>
      </c>
      <c r="B12143" s="1" t="n">
        <v>45832.34929398148</v>
      </c>
      <c r="C12143" s="1" t="n">
        <v>46093</v>
      </c>
      <c r="D12143" t="inlineStr">
        <is>
          <t>VÄSTERNORRLANDS LÄN</t>
        </is>
      </c>
      <c r="E12143" t="inlineStr">
        <is>
          <t>KRAMFORS</t>
        </is>
      </c>
      <c r="G12143" t="n">
        <v>4.8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31183-2025</t>
        </is>
      </c>
      <c r="B12144" s="1" t="n">
        <v>45832.67774305555</v>
      </c>
      <c r="C12144" s="1" t="n">
        <v>46093</v>
      </c>
      <c r="D12144" t="inlineStr">
        <is>
          <t>VÄSTERNORRLANDS LÄN</t>
        </is>
      </c>
      <c r="E12144" t="inlineStr">
        <is>
          <t>SOLLEFTEÅ</t>
        </is>
      </c>
      <c r="F12144" t="inlineStr">
        <is>
          <t>SCA</t>
        </is>
      </c>
      <c r="G12144" t="n">
        <v>11.2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30827-2025</t>
        </is>
      </c>
      <c r="B12145" s="1" t="n">
        <v>45831.67759259259</v>
      </c>
      <c r="C12145" s="1" t="n">
        <v>46093</v>
      </c>
      <c r="D12145" t="inlineStr">
        <is>
          <t>VÄSTERNORRLANDS LÄN</t>
        </is>
      </c>
      <c r="E12145" t="inlineStr">
        <is>
          <t>TIMRÅ</t>
        </is>
      </c>
      <c r="F12145" t="inlineStr">
        <is>
          <t>SCA</t>
        </is>
      </c>
      <c r="G12145" t="n">
        <v>14.8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31042-2025</t>
        </is>
      </c>
      <c r="B12146" s="1" t="n">
        <v>45832.55267361111</v>
      </c>
      <c r="C12146" s="1" t="n">
        <v>46093</v>
      </c>
      <c r="D12146" t="inlineStr">
        <is>
          <t>VÄSTERNORRLANDS LÄN</t>
        </is>
      </c>
      <c r="E12146" t="inlineStr">
        <is>
          <t>ÅNGE</t>
        </is>
      </c>
      <c r="F12146" t="inlineStr">
        <is>
          <t>SCA</t>
        </is>
      </c>
      <c r="G12146" t="n">
        <v>11.8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29127-2025</t>
        </is>
      </c>
      <c r="B12147" s="1" t="n">
        <v>45821</v>
      </c>
      <c r="C12147" s="1" t="n">
        <v>46093</v>
      </c>
      <c r="D12147" t="inlineStr">
        <is>
          <t>VÄSTERNORRLANDS LÄN</t>
        </is>
      </c>
      <c r="E12147" t="inlineStr">
        <is>
          <t>HÄRNÖSAND</t>
        </is>
      </c>
      <c r="G12147" t="n">
        <v>1.5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31098-2025</t>
        </is>
      </c>
      <c r="B12148" s="1" t="n">
        <v>45832.59832175926</v>
      </c>
      <c r="C12148" s="1" t="n">
        <v>46093</v>
      </c>
      <c r="D12148" t="inlineStr">
        <is>
          <t>VÄSTERNORRLANDS LÄN</t>
        </is>
      </c>
      <c r="E12148" t="inlineStr">
        <is>
          <t>ÖRNSKÖLDSVIK</t>
        </is>
      </c>
      <c r="G12148" t="n">
        <v>5.5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31135-2025</t>
        </is>
      </c>
      <c r="B12149" s="1" t="n">
        <v>45832.63581018519</v>
      </c>
      <c r="C12149" s="1" t="n">
        <v>46093</v>
      </c>
      <c r="D12149" t="inlineStr">
        <is>
          <t>VÄSTERNORRLANDS LÄN</t>
        </is>
      </c>
      <c r="E12149" t="inlineStr">
        <is>
          <t>ÅNGE</t>
        </is>
      </c>
      <c r="F12149" t="inlineStr">
        <is>
          <t>SCA</t>
        </is>
      </c>
      <c r="G12149" t="n">
        <v>3.5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30892-2025</t>
        </is>
      </c>
      <c r="B12150" s="1" t="n">
        <v>45832.34663194444</v>
      </c>
      <c r="C12150" s="1" t="n">
        <v>46093</v>
      </c>
      <c r="D12150" t="inlineStr">
        <is>
          <t>VÄSTERNORRLANDS LÄN</t>
        </is>
      </c>
      <c r="E12150" t="inlineStr">
        <is>
          <t>ÅNGE</t>
        </is>
      </c>
      <c r="F12150" t="inlineStr">
        <is>
          <t>SCA</t>
        </is>
      </c>
      <c r="G12150" t="n">
        <v>2.6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30895-2025</t>
        </is>
      </c>
      <c r="B12151" s="1" t="n">
        <v>45832.34824074074</v>
      </c>
      <c r="C12151" s="1" t="n">
        <v>46093</v>
      </c>
      <c r="D12151" t="inlineStr">
        <is>
          <t>VÄSTERNORRLANDS LÄN</t>
        </is>
      </c>
      <c r="E12151" t="inlineStr">
        <is>
          <t>ÖRNSKÖLDSVIK</t>
        </is>
      </c>
      <c r="F12151" t="inlineStr">
        <is>
          <t>Holmen skog AB</t>
        </is>
      </c>
      <c r="G12151" t="n">
        <v>2.5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30598-2025</t>
        </is>
      </c>
      <c r="B12152" s="1" t="n">
        <v>45831.44834490741</v>
      </c>
      <c r="C12152" s="1" t="n">
        <v>46093</v>
      </c>
      <c r="D12152" t="inlineStr">
        <is>
          <t>VÄSTERNORRLANDS LÄN</t>
        </is>
      </c>
      <c r="E12152" t="inlineStr">
        <is>
          <t>ÅNGE</t>
        </is>
      </c>
      <c r="G12152" t="n">
        <v>0.6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30856-2025</t>
        </is>
      </c>
      <c r="B12153" s="1" t="n">
        <v>45831.89184027778</v>
      </c>
      <c r="C12153" s="1" t="n">
        <v>46093</v>
      </c>
      <c r="D12153" t="inlineStr">
        <is>
          <t>VÄSTERNORRLANDS LÄN</t>
        </is>
      </c>
      <c r="E12153" t="inlineStr">
        <is>
          <t>KRAMFORS</t>
        </is>
      </c>
      <c r="G12153" t="n">
        <v>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30678-2025</t>
        </is>
      </c>
      <c r="B12154" s="1" t="n">
        <v>45831.52518518519</v>
      </c>
      <c r="C12154" s="1" t="n">
        <v>46093</v>
      </c>
      <c r="D12154" t="inlineStr">
        <is>
          <t>VÄSTERNORRLANDS LÄN</t>
        </is>
      </c>
      <c r="E12154" t="inlineStr">
        <is>
          <t>ÖRNSKÖLDSVIK</t>
        </is>
      </c>
      <c r="F12154" t="inlineStr">
        <is>
          <t>Holmen skog AB</t>
        </is>
      </c>
      <c r="G12154" t="n">
        <v>1.3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30695-2025</t>
        </is>
      </c>
      <c r="B12155" s="1" t="n">
        <v>45831.54216435185</v>
      </c>
      <c r="C12155" s="1" t="n">
        <v>46093</v>
      </c>
      <c r="D12155" t="inlineStr">
        <is>
          <t>VÄSTERNORRLANDS LÄN</t>
        </is>
      </c>
      <c r="E12155" t="inlineStr">
        <is>
          <t>ÖRNSKÖLDSVIK</t>
        </is>
      </c>
      <c r="F12155" t="inlineStr">
        <is>
          <t>Holmen skog AB</t>
        </is>
      </c>
      <c r="G12155" t="n">
        <v>2.1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31118-2025</t>
        </is>
      </c>
      <c r="B12156" s="1" t="n">
        <v>45832.62104166667</v>
      </c>
      <c r="C12156" s="1" t="n">
        <v>46093</v>
      </c>
      <c r="D12156" t="inlineStr">
        <is>
          <t>VÄSTERNORRLANDS LÄN</t>
        </is>
      </c>
      <c r="E12156" t="inlineStr">
        <is>
          <t>ÖRNSKÖLDSVIK</t>
        </is>
      </c>
      <c r="F12156" t="inlineStr">
        <is>
          <t>Holmen skog AB</t>
        </is>
      </c>
      <c r="G12156" t="n">
        <v>0.4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31121-2025</t>
        </is>
      </c>
      <c r="B12157" s="1" t="n">
        <v>45832.62521990741</v>
      </c>
      <c r="C12157" s="1" t="n">
        <v>46093</v>
      </c>
      <c r="D12157" t="inlineStr">
        <is>
          <t>VÄSTERNORRLANDS LÄN</t>
        </is>
      </c>
      <c r="E12157" t="inlineStr">
        <is>
          <t>ÖRNSKÖLDSVIK</t>
        </is>
      </c>
      <c r="F12157" t="inlineStr">
        <is>
          <t>Holmen skog AB</t>
        </is>
      </c>
      <c r="G12157" t="n">
        <v>1.3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31134-2025</t>
        </is>
      </c>
      <c r="B12158" s="1" t="n">
        <v>45832.63559027778</v>
      </c>
      <c r="C12158" s="1" t="n">
        <v>46093</v>
      </c>
      <c r="D12158" t="inlineStr">
        <is>
          <t>VÄSTERNORRLANDS LÄN</t>
        </is>
      </c>
      <c r="E12158" t="inlineStr">
        <is>
          <t>HÄRNÖSAND</t>
        </is>
      </c>
      <c r="G12158" t="n">
        <v>3.3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30612-2025</t>
        </is>
      </c>
      <c r="B12159" s="1" t="n">
        <v>45831.46497685185</v>
      </c>
      <c r="C12159" s="1" t="n">
        <v>46093</v>
      </c>
      <c r="D12159" t="inlineStr">
        <is>
          <t>VÄSTERNORRLANDS LÄN</t>
        </is>
      </c>
      <c r="E12159" t="inlineStr">
        <is>
          <t>ÖRNSKÖLDSVIK</t>
        </is>
      </c>
      <c r="G12159" t="n">
        <v>0.8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30889-2025</t>
        </is>
      </c>
      <c r="B12160" s="1" t="n">
        <v>45832.34618055556</v>
      </c>
      <c r="C12160" s="1" t="n">
        <v>46093</v>
      </c>
      <c r="D12160" t="inlineStr">
        <is>
          <t>VÄSTERNORRLANDS LÄN</t>
        </is>
      </c>
      <c r="E12160" t="inlineStr">
        <is>
          <t>SOLLEFTEÅ</t>
        </is>
      </c>
      <c r="F12160" t="inlineStr">
        <is>
          <t>SCA</t>
        </is>
      </c>
      <c r="G12160" t="n">
        <v>1.2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30680-2025</t>
        </is>
      </c>
      <c r="B12161" s="1" t="n">
        <v>45831.52915509259</v>
      </c>
      <c r="C12161" s="1" t="n">
        <v>46093</v>
      </c>
      <c r="D12161" t="inlineStr">
        <is>
          <t>VÄSTERNORRLANDS LÄN</t>
        </is>
      </c>
      <c r="E12161" t="inlineStr">
        <is>
          <t>ÖRNSKÖLDSVIK</t>
        </is>
      </c>
      <c r="F12161" t="inlineStr">
        <is>
          <t>Holmen skog AB</t>
        </is>
      </c>
      <c r="G12161" t="n">
        <v>4.4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30750-2025</t>
        </is>
      </c>
      <c r="B12162" s="1" t="n">
        <v>45831.58900462963</v>
      </c>
      <c r="C12162" s="1" t="n">
        <v>46093</v>
      </c>
      <c r="D12162" t="inlineStr">
        <is>
          <t>VÄSTERNORRLANDS LÄN</t>
        </is>
      </c>
      <c r="E12162" t="inlineStr">
        <is>
          <t>SOLLEFTEÅ</t>
        </is>
      </c>
      <c r="G12162" t="n">
        <v>1.7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30754-2025</t>
        </is>
      </c>
      <c r="B12163" s="1" t="n">
        <v>45831.59417824074</v>
      </c>
      <c r="C12163" s="1" t="n">
        <v>46093</v>
      </c>
      <c r="D12163" t="inlineStr">
        <is>
          <t>VÄSTERNORRLANDS LÄN</t>
        </is>
      </c>
      <c r="E12163" t="inlineStr">
        <is>
          <t>SOLLEFTEÅ</t>
        </is>
      </c>
      <c r="F12163" t="inlineStr">
        <is>
          <t>SCA</t>
        </is>
      </c>
      <c r="G12163" t="n">
        <v>1.9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30774-2025</t>
        </is>
      </c>
      <c r="B12164" s="1" t="n">
        <v>45831.61501157407</v>
      </c>
      <c r="C12164" s="1" t="n">
        <v>46093</v>
      </c>
      <c r="D12164" t="inlineStr">
        <is>
          <t>VÄSTERNORRLANDS LÄN</t>
        </is>
      </c>
      <c r="E12164" t="inlineStr">
        <is>
          <t>SOLLEFTEÅ</t>
        </is>
      </c>
      <c r="G12164" t="n">
        <v>0.8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31115-2025</t>
        </is>
      </c>
      <c r="B12165" s="1" t="n">
        <v>45832.61564814814</v>
      </c>
      <c r="C12165" s="1" t="n">
        <v>46093</v>
      </c>
      <c r="D12165" t="inlineStr">
        <is>
          <t>VÄSTERNORRLANDS LÄN</t>
        </is>
      </c>
      <c r="E12165" t="inlineStr">
        <is>
          <t>SUNDSVALL</t>
        </is>
      </c>
      <c r="G12165" t="n">
        <v>1.1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31041-2025</t>
        </is>
      </c>
      <c r="B12166" s="1" t="n">
        <v>45832.55247685185</v>
      </c>
      <c r="C12166" s="1" t="n">
        <v>46093</v>
      </c>
      <c r="D12166" t="inlineStr">
        <is>
          <t>VÄSTERNORRLANDS LÄN</t>
        </is>
      </c>
      <c r="E12166" t="inlineStr">
        <is>
          <t>ÅNGE</t>
        </is>
      </c>
      <c r="F12166" t="inlineStr">
        <is>
          <t>SCA</t>
        </is>
      </c>
      <c r="G12166" t="n">
        <v>15.1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31139-2025</t>
        </is>
      </c>
      <c r="B12167" s="1" t="n">
        <v>45832.63633101852</v>
      </c>
      <c r="C12167" s="1" t="n">
        <v>46093</v>
      </c>
      <c r="D12167" t="inlineStr">
        <is>
          <t>VÄSTERNORRLANDS LÄN</t>
        </is>
      </c>
      <c r="E12167" t="inlineStr">
        <is>
          <t>ÅNGE</t>
        </is>
      </c>
      <c r="F12167" t="inlineStr">
        <is>
          <t>SCA</t>
        </is>
      </c>
      <c r="G12167" t="n">
        <v>2.4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30727-2025</t>
        </is>
      </c>
      <c r="B12168" s="1" t="n">
        <v>45831.57094907408</v>
      </c>
      <c r="C12168" s="1" t="n">
        <v>46093</v>
      </c>
      <c r="D12168" t="inlineStr">
        <is>
          <t>VÄSTERNORRLANDS LÄN</t>
        </is>
      </c>
      <c r="E12168" t="inlineStr">
        <is>
          <t>ÖRNSKÖLDSVIK</t>
        </is>
      </c>
      <c r="F12168" t="inlineStr">
        <is>
          <t>Holmen skog AB</t>
        </is>
      </c>
      <c r="G12168" t="n">
        <v>8.1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30877-2025</t>
        </is>
      </c>
      <c r="B12169" s="1" t="n">
        <v>45832.34478009259</v>
      </c>
      <c r="C12169" s="1" t="n">
        <v>46093</v>
      </c>
      <c r="D12169" t="inlineStr">
        <is>
          <t>VÄSTERNORRLANDS LÄN</t>
        </is>
      </c>
      <c r="E12169" t="inlineStr">
        <is>
          <t>ÅNGE</t>
        </is>
      </c>
      <c r="F12169" t="inlineStr">
        <is>
          <t>SCA</t>
        </is>
      </c>
      <c r="G12169" t="n">
        <v>4.6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31089-2025</t>
        </is>
      </c>
      <c r="B12170" s="1" t="n">
        <v>45832.59292824074</v>
      </c>
      <c r="C12170" s="1" t="n">
        <v>46093</v>
      </c>
      <c r="D12170" t="inlineStr">
        <is>
          <t>VÄSTERNORRLANDS LÄN</t>
        </is>
      </c>
      <c r="E12170" t="inlineStr">
        <is>
          <t>ÖRNSKÖLDSVIK</t>
        </is>
      </c>
      <c r="G12170" t="n">
        <v>1.5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31193-2025</t>
        </is>
      </c>
      <c r="B12171" s="1" t="n">
        <v>45832.68313657407</v>
      </c>
      <c r="C12171" s="1" t="n">
        <v>46093</v>
      </c>
      <c r="D12171" t="inlineStr">
        <is>
          <t>VÄSTERNORRLANDS LÄN</t>
        </is>
      </c>
      <c r="E12171" t="inlineStr">
        <is>
          <t>ÖRNSKÖLDSVIK</t>
        </is>
      </c>
      <c r="G12171" t="n">
        <v>0.2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30888-2025</t>
        </is>
      </c>
      <c r="B12172" s="1" t="n">
        <v>45832.34606481482</v>
      </c>
      <c r="C12172" s="1" t="n">
        <v>46093</v>
      </c>
      <c r="D12172" t="inlineStr">
        <is>
          <t>VÄSTERNORRLANDS LÄN</t>
        </is>
      </c>
      <c r="E12172" t="inlineStr">
        <is>
          <t>ÅNGE</t>
        </is>
      </c>
      <c r="F12172" t="inlineStr">
        <is>
          <t>SCA</t>
        </is>
      </c>
      <c r="G12172" t="n">
        <v>3.3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30693-2025</t>
        </is>
      </c>
      <c r="B12173" s="1" t="n">
        <v>45831.54190972223</v>
      </c>
      <c r="C12173" s="1" t="n">
        <v>46093</v>
      </c>
      <c r="D12173" t="inlineStr">
        <is>
          <t>VÄSTERNORRLANDS LÄN</t>
        </is>
      </c>
      <c r="E12173" t="inlineStr">
        <is>
          <t>ÖRNSKÖLDSVIK</t>
        </is>
      </c>
      <c r="G12173" t="n">
        <v>8.6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31550-2025</t>
        </is>
      </c>
      <c r="B12174" s="1" t="n">
        <v>45834</v>
      </c>
      <c r="C12174" s="1" t="n">
        <v>46093</v>
      </c>
      <c r="D12174" t="inlineStr">
        <is>
          <t>VÄSTERNORRLANDS LÄN</t>
        </is>
      </c>
      <c r="E12174" t="inlineStr">
        <is>
          <t>ÖRNSKÖLDSVIK</t>
        </is>
      </c>
      <c r="G12174" t="n">
        <v>3.7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31346-2025</t>
        </is>
      </c>
      <c r="B12175" s="1" t="n">
        <v>45833.42873842592</v>
      </c>
      <c r="C12175" s="1" t="n">
        <v>46093</v>
      </c>
      <c r="D12175" t="inlineStr">
        <is>
          <t>VÄSTERNORRLANDS LÄN</t>
        </is>
      </c>
      <c r="E12175" t="inlineStr">
        <is>
          <t>HÄRNÖSAND</t>
        </is>
      </c>
      <c r="F12175" t="inlineStr">
        <is>
          <t>SCA</t>
        </is>
      </c>
      <c r="G12175" t="n">
        <v>32.5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31356-2025</t>
        </is>
      </c>
      <c r="B12176" s="1" t="n">
        <v>45833.43289351852</v>
      </c>
      <c r="C12176" s="1" t="n">
        <v>46093</v>
      </c>
      <c r="D12176" t="inlineStr">
        <is>
          <t>VÄSTERNORRLANDS LÄN</t>
        </is>
      </c>
      <c r="E12176" t="inlineStr">
        <is>
          <t>KRAMFORS</t>
        </is>
      </c>
      <c r="G12176" t="n">
        <v>6.9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31396-2025</t>
        </is>
      </c>
      <c r="B12177" s="1" t="n">
        <v>45833.4658912037</v>
      </c>
      <c r="C12177" s="1" t="n">
        <v>46093</v>
      </c>
      <c r="D12177" t="inlineStr">
        <is>
          <t>VÄSTERNORRLANDS LÄN</t>
        </is>
      </c>
      <c r="E12177" t="inlineStr">
        <is>
          <t>SOLLEFTEÅ</t>
        </is>
      </c>
      <c r="G12177" t="n">
        <v>0.5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31681-2025</t>
        </is>
      </c>
      <c r="B12178" s="1" t="n">
        <v>45834.38430555556</v>
      </c>
      <c r="C12178" s="1" t="n">
        <v>46093</v>
      </c>
      <c r="D12178" t="inlineStr">
        <is>
          <t>VÄSTERNORRLANDS LÄN</t>
        </is>
      </c>
      <c r="E12178" t="inlineStr">
        <is>
          <t>ÖRNSKÖLDSVIK</t>
        </is>
      </c>
      <c r="F12178" t="inlineStr">
        <is>
          <t>Holmen skog AB</t>
        </is>
      </c>
      <c r="G12178" t="n">
        <v>2.7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31341-2025</t>
        </is>
      </c>
      <c r="B12179" s="1" t="n">
        <v>45833.42811342593</v>
      </c>
      <c r="C12179" s="1" t="n">
        <v>46093</v>
      </c>
      <c r="D12179" t="inlineStr">
        <is>
          <t>VÄSTERNORRLANDS LÄN</t>
        </is>
      </c>
      <c r="E12179" t="inlineStr">
        <is>
          <t>KRAMFORS</t>
        </is>
      </c>
      <c r="F12179" t="inlineStr">
        <is>
          <t>SCA</t>
        </is>
      </c>
      <c r="G12179" t="n">
        <v>4.3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31695-2025</t>
        </is>
      </c>
      <c r="B12180" s="1" t="n">
        <v>45834.40709490741</v>
      </c>
      <c r="C12180" s="1" t="n">
        <v>46093</v>
      </c>
      <c r="D12180" t="inlineStr">
        <is>
          <t>VÄSTERNORRLANDS LÄN</t>
        </is>
      </c>
      <c r="E12180" t="inlineStr">
        <is>
          <t>SUNDSVALL</t>
        </is>
      </c>
      <c r="F12180" t="inlineStr">
        <is>
          <t>SCA</t>
        </is>
      </c>
      <c r="G12180" t="n">
        <v>3.3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31789-2025</t>
        </is>
      </c>
      <c r="B12181" s="1" t="n">
        <v>45834.53637731481</v>
      </c>
      <c r="C12181" s="1" t="n">
        <v>46093</v>
      </c>
      <c r="D12181" t="inlineStr">
        <is>
          <t>VÄSTERNORRLANDS LÄN</t>
        </is>
      </c>
      <c r="E12181" t="inlineStr">
        <is>
          <t>ÖRNSKÖLDSVIK</t>
        </is>
      </c>
      <c r="G12181" t="n">
        <v>2.8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31423-2025</t>
        </is>
      </c>
      <c r="B12182" s="1" t="n">
        <v>45833.48957175926</v>
      </c>
      <c r="C12182" s="1" t="n">
        <v>46093</v>
      </c>
      <c r="D12182" t="inlineStr">
        <is>
          <t>VÄSTERNORRLANDS LÄN</t>
        </is>
      </c>
      <c r="E12182" t="inlineStr">
        <is>
          <t>SOLLEFTEÅ</t>
        </is>
      </c>
      <c r="G12182" t="n">
        <v>3.9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31435-2025</t>
        </is>
      </c>
      <c r="B12183" s="1" t="n">
        <v>45833.49708333334</v>
      </c>
      <c r="C12183" s="1" t="n">
        <v>46093</v>
      </c>
      <c r="D12183" t="inlineStr">
        <is>
          <t>VÄSTERNORRLANDS LÄN</t>
        </is>
      </c>
      <c r="E12183" t="inlineStr">
        <is>
          <t>SOLLEFTEÅ</t>
        </is>
      </c>
      <c r="G12183" t="n">
        <v>1.5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31803-2025</t>
        </is>
      </c>
      <c r="B12184" s="1" t="n">
        <v>45834.55307870371</v>
      </c>
      <c r="C12184" s="1" t="n">
        <v>46093</v>
      </c>
      <c r="D12184" t="inlineStr">
        <is>
          <t>VÄSTERNORRLANDS LÄN</t>
        </is>
      </c>
      <c r="E12184" t="inlineStr">
        <is>
          <t>KRAMFORS</t>
        </is>
      </c>
      <c r="G12184" t="n">
        <v>9.5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31345-2025</t>
        </is>
      </c>
      <c r="B12185" s="1" t="n">
        <v>45833.42854166667</v>
      </c>
      <c r="C12185" s="1" t="n">
        <v>46093</v>
      </c>
      <c r="D12185" t="inlineStr">
        <is>
          <t>VÄSTERNORRLANDS LÄN</t>
        </is>
      </c>
      <c r="E12185" t="inlineStr">
        <is>
          <t>SOLLEFTEÅ</t>
        </is>
      </c>
      <c r="F12185" t="inlineStr">
        <is>
          <t>SCA</t>
        </is>
      </c>
      <c r="G12185" t="n">
        <v>5.3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31347-2025</t>
        </is>
      </c>
      <c r="B12186" s="1" t="n">
        <v>45833</v>
      </c>
      <c r="C12186" s="1" t="n">
        <v>46093</v>
      </c>
      <c r="D12186" t="inlineStr">
        <is>
          <t>VÄSTERNORRLANDS LÄN</t>
        </is>
      </c>
      <c r="E12186" t="inlineStr">
        <is>
          <t>SOLLEFTEÅ</t>
        </is>
      </c>
      <c r="F12186" t="inlineStr">
        <is>
          <t>SCA</t>
        </is>
      </c>
      <c r="G12186" t="n">
        <v>19.5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31697-2025</t>
        </is>
      </c>
      <c r="B12187" s="1" t="n">
        <v>45834.40741898148</v>
      </c>
      <c r="C12187" s="1" t="n">
        <v>46093</v>
      </c>
      <c r="D12187" t="inlineStr">
        <is>
          <t>VÄSTERNORRLANDS LÄN</t>
        </is>
      </c>
      <c r="E12187" t="inlineStr">
        <is>
          <t>KRAMFORS</t>
        </is>
      </c>
      <c r="F12187" t="inlineStr">
        <is>
          <t>SCA</t>
        </is>
      </c>
      <c r="G12187" t="n">
        <v>0.8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31306-2025</t>
        </is>
      </c>
      <c r="B12188" s="1" t="n">
        <v>45833</v>
      </c>
      <c r="C12188" s="1" t="n">
        <v>46093</v>
      </c>
      <c r="D12188" t="inlineStr">
        <is>
          <t>VÄSTERNORRLANDS LÄN</t>
        </is>
      </c>
      <c r="E12188" t="inlineStr">
        <is>
          <t>SOLLEFTEÅ</t>
        </is>
      </c>
      <c r="F12188" t="inlineStr">
        <is>
          <t>SCA</t>
        </is>
      </c>
      <c r="G12188" t="n">
        <v>19.3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31229-2025</t>
        </is>
      </c>
      <c r="B12189" s="1" t="n">
        <v>45832.81157407408</v>
      </c>
      <c r="C12189" s="1" t="n">
        <v>46093</v>
      </c>
      <c r="D12189" t="inlineStr">
        <is>
          <t>VÄSTERNORRLANDS LÄN</t>
        </is>
      </c>
      <c r="E12189" t="inlineStr">
        <is>
          <t>SUNDSVALL</t>
        </is>
      </c>
      <c r="G12189" t="n">
        <v>2.8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31272-2025</t>
        </is>
      </c>
      <c r="B12190" s="1" t="n">
        <v>45833.33877314815</v>
      </c>
      <c r="C12190" s="1" t="n">
        <v>46093</v>
      </c>
      <c r="D12190" t="inlineStr">
        <is>
          <t>VÄSTERNORRLANDS LÄN</t>
        </is>
      </c>
      <c r="E12190" t="inlineStr">
        <is>
          <t>ÖRNSKÖLDSVIK</t>
        </is>
      </c>
      <c r="G12190" t="n">
        <v>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31275-2025</t>
        </is>
      </c>
      <c r="B12191" s="1" t="n">
        <v>45833.34459490741</v>
      </c>
      <c r="C12191" s="1" t="n">
        <v>46093</v>
      </c>
      <c r="D12191" t="inlineStr">
        <is>
          <t>VÄSTERNORRLANDS LÄN</t>
        </is>
      </c>
      <c r="E12191" t="inlineStr">
        <is>
          <t>ÅNGE</t>
        </is>
      </c>
      <c r="F12191" t="inlineStr">
        <is>
          <t>SCA</t>
        </is>
      </c>
      <c r="G12191" t="n">
        <v>2.2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31305-2025</t>
        </is>
      </c>
      <c r="B12192" s="1" t="n">
        <v>45833.38618055556</v>
      </c>
      <c r="C12192" s="1" t="n">
        <v>46093</v>
      </c>
      <c r="D12192" t="inlineStr">
        <is>
          <t>VÄSTERNORRLANDS LÄN</t>
        </is>
      </c>
      <c r="E12192" t="inlineStr">
        <is>
          <t>HÄRNÖSAND</t>
        </is>
      </c>
      <c r="F12192" t="inlineStr">
        <is>
          <t>SCA</t>
        </is>
      </c>
      <c r="G12192" t="n">
        <v>13.5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31319-2025</t>
        </is>
      </c>
      <c r="B12193" s="1" t="n">
        <v>45833</v>
      </c>
      <c r="C12193" s="1" t="n">
        <v>46093</v>
      </c>
      <c r="D12193" t="inlineStr">
        <is>
          <t>VÄSTERNORRLANDS LÄN</t>
        </is>
      </c>
      <c r="E12193" t="inlineStr">
        <is>
          <t>SUNDSVALL</t>
        </is>
      </c>
      <c r="G12193" t="n">
        <v>0.7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31337-2025</t>
        </is>
      </c>
      <c r="B12194" s="1" t="n">
        <v>45833.42751157407</v>
      </c>
      <c r="C12194" s="1" t="n">
        <v>46093</v>
      </c>
      <c r="D12194" t="inlineStr">
        <is>
          <t>VÄSTERNORRLANDS LÄN</t>
        </is>
      </c>
      <c r="E12194" t="inlineStr">
        <is>
          <t>SOLLEFTEÅ</t>
        </is>
      </c>
      <c r="F12194" t="inlineStr">
        <is>
          <t>SCA</t>
        </is>
      </c>
      <c r="G12194" t="n">
        <v>2.1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31893-2025</t>
        </is>
      </c>
      <c r="B12195" s="1" t="n">
        <v>45834.66746527778</v>
      </c>
      <c r="C12195" s="1" t="n">
        <v>46093</v>
      </c>
      <c r="D12195" t="inlineStr">
        <is>
          <t>VÄSTERNORRLANDS LÄN</t>
        </is>
      </c>
      <c r="E12195" t="inlineStr">
        <is>
          <t>ÖRNSKÖLDSVIK</t>
        </is>
      </c>
      <c r="F12195" t="inlineStr">
        <is>
          <t>Holmen skog AB</t>
        </is>
      </c>
      <c r="G12195" t="n">
        <v>8.199999999999999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31340-2025</t>
        </is>
      </c>
      <c r="B12196" s="1" t="n">
        <v>45833.42797453704</v>
      </c>
      <c r="C12196" s="1" t="n">
        <v>46093</v>
      </c>
      <c r="D12196" t="inlineStr">
        <is>
          <t>VÄSTERNORRLANDS LÄN</t>
        </is>
      </c>
      <c r="E12196" t="inlineStr">
        <is>
          <t>ÖRNSKÖLDSVIK</t>
        </is>
      </c>
      <c r="F12196" t="inlineStr">
        <is>
          <t>SCA</t>
        </is>
      </c>
      <c r="G12196" t="n">
        <v>1.4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31342-2025</t>
        </is>
      </c>
      <c r="B12197" s="1" t="n">
        <v>45833.42825231481</v>
      </c>
      <c r="C12197" s="1" t="n">
        <v>46093</v>
      </c>
      <c r="D12197" t="inlineStr">
        <is>
          <t>VÄSTERNORRLANDS LÄN</t>
        </is>
      </c>
      <c r="E12197" t="inlineStr">
        <is>
          <t>HÄRNÖSAND</t>
        </is>
      </c>
      <c r="F12197" t="inlineStr">
        <is>
          <t>SCA</t>
        </is>
      </c>
      <c r="G12197" t="n">
        <v>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31348-2025</t>
        </is>
      </c>
      <c r="B12198" s="1" t="n">
        <v>45833.42907407408</v>
      </c>
      <c r="C12198" s="1" t="n">
        <v>46093</v>
      </c>
      <c r="D12198" t="inlineStr">
        <is>
          <t>VÄSTERNORRLANDS LÄN</t>
        </is>
      </c>
      <c r="E12198" t="inlineStr">
        <is>
          <t>ÖRNSKÖLDSVIK</t>
        </is>
      </c>
      <c r="F12198" t="inlineStr">
        <is>
          <t>SCA</t>
        </is>
      </c>
      <c r="G12198" t="n">
        <v>8.6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31721-2025</t>
        </is>
      </c>
      <c r="B12199" s="1" t="n">
        <v>45834.46159722222</v>
      </c>
      <c r="C12199" s="1" t="n">
        <v>46093</v>
      </c>
      <c r="D12199" t="inlineStr">
        <is>
          <t>VÄSTERNORRLANDS LÄN</t>
        </is>
      </c>
      <c r="E12199" t="inlineStr">
        <is>
          <t>HÄRNÖSAND</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31370-2025</t>
        </is>
      </c>
      <c r="B12200" s="1" t="n">
        <v>45833.44155092593</v>
      </c>
      <c r="C12200" s="1" t="n">
        <v>46093</v>
      </c>
      <c r="D12200" t="inlineStr">
        <is>
          <t>VÄSTERNORRLANDS LÄN</t>
        </is>
      </c>
      <c r="E12200" t="inlineStr">
        <is>
          <t>TIMRÅ</t>
        </is>
      </c>
      <c r="G12200" t="n">
        <v>0.5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31463-2025</t>
        </is>
      </c>
      <c r="B12201" s="1" t="n">
        <v>45833.55240740741</v>
      </c>
      <c r="C12201" s="1" t="n">
        <v>46093</v>
      </c>
      <c r="D12201" t="inlineStr">
        <is>
          <t>VÄSTERNORRLANDS LÄN</t>
        </is>
      </c>
      <c r="E12201" t="inlineStr">
        <is>
          <t>HÄRNÖSAND</t>
        </is>
      </c>
      <c r="G12201" t="n">
        <v>7.9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31479-2025</t>
        </is>
      </c>
      <c r="B12202" s="1" t="n">
        <v>45833.57333333333</v>
      </c>
      <c r="C12202" s="1" t="n">
        <v>46093</v>
      </c>
      <c r="D12202" t="inlineStr">
        <is>
          <t>VÄSTERNORRLANDS LÄN</t>
        </is>
      </c>
      <c r="E12202" t="inlineStr">
        <is>
          <t>SOLLEFTEÅ</t>
        </is>
      </c>
      <c r="F12202" t="inlineStr">
        <is>
          <t>SCA</t>
        </is>
      </c>
      <c r="G12202" t="n">
        <v>2.3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31898-2025</t>
        </is>
      </c>
      <c r="B12203" s="1" t="n">
        <v>45834.67975694445</v>
      </c>
      <c r="C12203" s="1" t="n">
        <v>46093</v>
      </c>
      <c r="D12203" t="inlineStr">
        <is>
          <t>VÄSTERNORRLANDS LÄN</t>
        </is>
      </c>
      <c r="E12203" t="inlineStr">
        <is>
          <t>ÖRNSKÖLDSVIK</t>
        </is>
      </c>
      <c r="F12203" t="inlineStr">
        <is>
          <t>Holmen skog AB</t>
        </is>
      </c>
      <c r="G12203" t="n">
        <v>3.4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31452-2025</t>
        </is>
      </c>
      <c r="B12204" s="1" t="n">
        <v>45833.53179398148</v>
      </c>
      <c r="C12204" s="1" t="n">
        <v>46093</v>
      </c>
      <c r="D12204" t="inlineStr">
        <is>
          <t>VÄSTERNORRLANDS LÄN</t>
        </is>
      </c>
      <c r="E12204" t="inlineStr">
        <is>
          <t>ÅNGE</t>
        </is>
      </c>
      <c r="F12204" t="inlineStr">
        <is>
          <t>SCA</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31270-2025</t>
        </is>
      </c>
      <c r="B12205" s="1" t="n">
        <v>45833.33703703704</v>
      </c>
      <c r="C12205" s="1" t="n">
        <v>46093</v>
      </c>
      <c r="D12205" t="inlineStr">
        <is>
          <t>VÄSTERNORRLANDS LÄN</t>
        </is>
      </c>
      <c r="E12205" t="inlineStr">
        <is>
          <t>SUNDSVALL</t>
        </is>
      </c>
      <c r="G12205" t="n">
        <v>1.3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31304-2025</t>
        </is>
      </c>
      <c r="B12206" s="1" t="n">
        <v>45833.38600694444</v>
      </c>
      <c r="C12206" s="1" t="n">
        <v>46093</v>
      </c>
      <c r="D12206" t="inlineStr">
        <is>
          <t>VÄSTERNORRLANDS LÄN</t>
        </is>
      </c>
      <c r="E12206" t="inlineStr">
        <is>
          <t>SOLLEFTEÅ</t>
        </is>
      </c>
      <c r="F12206" t="inlineStr">
        <is>
          <t>SCA</t>
        </is>
      </c>
      <c r="G12206" t="n">
        <v>3.2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31322-2025</t>
        </is>
      </c>
      <c r="B12207" s="1" t="n">
        <v>45833</v>
      </c>
      <c r="C12207" s="1" t="n">
        <v>46093</v>
      </c>
      <c r="D12207" t="inlineStr">
        <is>
          <t>VÄSTERNORRLANDS LÄN</t>
        </is>
      </c>
      <c r="E12207" t="inlineStr">
        <is>
          <t>SUNDSVALL</t>
        </is>
      </c>
      <c r="G12207" t="n">
        <v>0.8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31325-2025</t>
        </is>
      </c>
      <c r="B12208" s="1" t="n">
        <v>45833.41020833333</v>
      </c>
      <c r="C12208" s="1" t="n">
        <v>46093</v>
      </c>
      <c r="D12208" t="inlineStr">
        <is>
          <t>VÄSTERNORRLANDS LÄN</t>
        </is>
      </c>
      <c r="E12208" t="inlineStr">
        <is>
          <t>TIMRÅ</t>
        </is>
      </c>
      <c r="G12208" t="n">
        <v>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31338-2025</t>
        </is>
      </c>
      <c r="B12209" s="1" t="n">
        <v>45833.42768518518</v>
      </c>
      <c r="C12209" s="1" t="n">
        <v>46093</v>
      </c>
      <c r="D12209" t="inlineStr">
        <is>
          <t>VÄSTERNORRLANDS LÄN</t>
        </is>
      </c>
      <c r="E12209" t="inlineStr">
        <is>
          <t>SOLLEFTEÅ</t>
        </is>
      </c>
      <c r="F12209" t="inlineStr">
        <is>
          <t>SCA</t>
        </is>
      </c>
      <c r="G12209" t="n">
        <v>2.1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31544-2025</t>
        </is>
      </c>
      <c r="B12210" s="1" t="n">
        <v>45833.63597222222</v>
      </c>
      <c r="C12210" s="1" t="n">
        <v>46093</v>
      </c>
      <c r="D12210" t="inlineStr">
        <is>
          <t>VÄSTERNORRLANDS LÄN</t>
        </is>
      </c>
      <c r="E12210" t="inlineStr">
        <is>
          <t>ÅNGE</t>
        </is>
      </c>
      <c r="G12210" t="n">
        <v>2.1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31646-2025</t>
        </is>
      </c>
      <c r="B12211" s="1" t="n">
        <v>45834.34563657407</v>
      </c>
      <c r="C12211" s="1" t="n">
        <v>46093</v>
      </c>
      <c r="D12211" t="inlineStr">
        <is>
          <t>VÄSTERNORRLANDS LÄN</t>
        </is>
      </c>
      <c r="E12211" t="inlineStr">
        <is>
          <t>ÅNGE</t>
        </is>
      </c>
      <c r="F12211" t="inlineStr">
        <is>
          <t>SCA</t>
        </is>
      </c>
      <c r="G12211" t="n">
        <v>3.2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31350-2025</t>
        </is>
      </c>
      <c r="B12212" s="1" t="n">
        <v>45833.429375</v>
      </c>
      <c r="C12212" s="1" t="n">
        <v>46093</v>
      </c>
      <c r="D12212" t="inlineStr">
        <is>
          <t>VÄSTERNORRLANDS LÄN</t>
        </is>
      </c>
      <c r="E12212" t="inlineStr">
        <is>
          <t>ÖRNSKÖLDSVIK</t>
        </is>
      </c>
      <c r="F12212" t="inlineStr">
        <is>
          <t>SCA</t>
        </is>
      </c>
      <c r="G12212" t="n">
        <v>5.2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31353-2025</t>
        </is>
      </c>
      <c r="B12213" s="1" t="n">
        <v>45833.43015046296</v>
      </c>
      <c r="C12213" s="1" t="n">
        <v>46093</v>
      </c>
      <c r="D12213" t="inlineStr">
        <is>
          <t>VÄSTERNORRLANDS LÄN</t>
        </is>
      </c>
      <c r="E12213" t="inlineStr">
        <is>
          <t>TIMRÅ</t>
        </is>
      </c>
      <c r="G12213" t="n">
        <v>1.3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31375-2025</t>
        </is>
      </c>
      <c r="B12214" s="1" t="n">
        <v>45833.44674768519</v>
      </c>
      <c r="C12214" s="1" t="n">
        <v>46093</v>
      </c>
      <c r="D12214" t="inlineStr">
        <is>
          <t>VÄSTERNORRLANDS LÄN</t>
        </is>
      </c>
      <c r="E12214" t="inlineStr">
        <is>
          <t>TIMRÅ</t>
        </is>
      </c>
      <c r="G12214" t="n">
        <v>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31388-2025</t>
        </is>
      </c>
      <c r="B12215" s="1" t="n">
        <v>45833.45306712963</v>
      </c>
      <c r="C12215" s="1" t="n">
        <v>46093</v>
      </c>
      <c r="D12215" t="inlineStr">
        <is>
          <t>VÄSTERNORRLANDS LÄN</t>
        </is>
      </c>
      <c r="E12215" t="inlineStr">
        <is>
          <t>SUNDSVALL</t>
        </is>
      </c>
      <c r="G12215" t="n">
        <v>4.1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31432-2025</t>
        </is>
      </c>
      <c r="B12216" s="1" t="n">
        <v>45833.49442129629</v>
      </c>
      <c r="C12216" s="1" t="n">
        <v>46093</v>
      </c>
      <c r="D12216" t="inlineStr">
        <is>
          <t>VÄSTERNORRLANDS LÄN</t>
        </is>
      </c>
      <c r="E12216" t="inlineStr">
        <is>
          <t>SOLLEFTEÅ</t>
        </is>
      </c>
      <c r="G12216" t="n">
        <v>0.5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31483-2025</t>
        </is>
      </c>
      <c r="B12217" s="1" t="n">
        <v>45833.57403935185</v>
      </c>
      <c r="C12217" s="1" t="n">
        <v>46093</v>
      </c>
      <c r="D12217" t="inlineStr">
        <is>
          <t>VÄSTERNORRLANDS LÄN</t>
        </is>
      </c>
      <c r="E12217" t="inlineStr">
        <is>
          <t>HÄRNÖSAND</t>
        </is>
      </c>
      <c r="F12217" t="inlineStr">
        <is>
          <t>SCA</t>
        </is>
      </c>
      <c r="G12217" t="n">
        <v>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31484-2025</t>
        </is>
      </c>
      <c r="B12218" s="1" t="n">
        <v>45833.57418981481</v>
      </c>
      <c r="C12218" s="1" t="n">
        <v>46093</v>
      </c>
      <c r="D12218" t="inlineStr">
        <is>
          <t>VÄSTERNORRLANDS LÄN</t>
        </is>
      </c>
      <c r="E12218" t="inlineStr">
        <is>
          <t>ÅNGE</t>
        </is>
      </c>
      <c r="F12218" t="inlineStr">
        <is>
          <t>SCA</t>
        </is>
      </c>
      <c r="G12218" t="n">
        <v>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31642-2025</t>
        </is>
      </c>
      <c r="B12219" s="1" t="n">
        <v>45834.34474537037</v>
      </c>
      <c r="C12219" s="1" t="n">
        <v>46093</v>
      </c>
      <c r="D12219" t="inlineStr">
        <is>
          <t>VÄSTERNORRLANDS LÄN</t>
        </is>
      </c>
      <c r="E12219" t="inlineStr">
        <is>
          <t>ÅNGE</t>
        </is>
      </c>
      <c r="F12219" t="inlineStr">
        <is>
          <t>SCA</t>
        </is>
      </c>
      <c r="G12219" t="n">
        <v>1.1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31303-2025</t>
        </is>
      </c>
      <c r="B12220" s="1" t="n">
        <v>45833.38581018519</v>
      </c>
      <c r="C12220" s="1" t="n">
        <v>46093</v>
      </c>
      <c r="D12220" t="inlineStr">
        <is>
          <t>VÄSTERNORRLANDS LÄN</t>
        </is>
      </c>
      <c r="E12220" t="inlineStr">
        <is>
          <t>HÄRNÖSAND</t>
        </is>
      </c>
      <c r="F12220" t="inlineStr">
        <is>
          <t>SCA</t>
        </is>
      </c>
      <c r="G12220" t="n">
        <v>4.8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31675-2025</t>
        </is>
      </c>
      <c r="B12221" s="1" t="n">
        <v>45834.37387731481</v>
      </c>
      <c r="C12221" s="1" t="n">
        <v>46093</v>
      </c>
      <c r="D12221" t="inlineStr">
        <is>
          <t>VÄSTERNORRLANDS LÄN</t>
        </is>
      </c>
      <c r="E12221" t="inlineStr">
        <is>
          <t>ÖRNSKÖLDSVIK</t>
        </is>
      </c>
      <c r="F12221" t="inlineStr">
        <is>
          <t>Holmen skog AB</t>
        </is>
      </c>
      <c r="G12221" t="n">
        <v>3.7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31666-2025</t>
        </is>
      </c>
      <c r="B12222" s="1" t="n">
        <v>45834.36519675926</v>
      </c>
      <c r="C12222" s="1" t="n">
        <v>46093</v>
      </c>
      <c r="D12222" t="inlineStr">
        <is>
          <t>VÄSTERNORRLANDS LÄN</t>
        </is>
      </c>
      <c r="E12222" t="inlineStr">
        <is>
          <t>ÅNGE</t>
        </is>
      </c>
      <c r="F12222" t="inlineStr">
        <is>
          <t>SCA</t>
        </is>
      </c>
      <c r="G12222" t="n">
        <v>11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31344-2025</t>
        </is>
      </c>
      <c r="B12223" s="1" t="n">
        <v>45833.42840277778</v>
      </c>
      <c r="C12223" s="1" t="n">
        <v>46093</v>
      </c>
      <c r="D12223" t="inlineStr">
        <is>
          <t>VÄSTERNORRLANDS LÄN</t>
        </is>
      </c>
      <c r="E12223" t="inlineStr">
        <is>
          <t>HÄRNÖSAND</t>
        </is>
      </c>
      <c r="F12223" t="inlineStr">
        <is>
          <t>SCA</t>
        </is>
      </c>
      <c r="G12223" t="n">
        <v>2.1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31385-2025</t>
        </is>
      </c>
      <c r="B12224" s="1" t="n">
        <v>45833.45167824074</v>
      </c>
      <c r="C12224" s="1" t="n">
        <v>46093</v>
      </c>
      <c r="D12224" t="inlineStr">
        <is>
          <t>VÄSTERNORRLANDS LÄN</t>
        </is>
      </c>
      <c r="E12224" t="inlineStr">
        <is>
          <t>SUNDSVALL</t>
        </is>
      </c>
      <c r="G12224" t="n">
        <v>2.1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31437-2025</t>
        </is>
      </c>
      <c r="B12225" s="1" t="n">
        <v>45833.49855324074</v>
      </c>
      <c r="C12225" s="1" t="n">
        <v>46093</v>
      </c>
      <c r="D12225" t="inlineStr">
        <is>
          <t>VÄSTERNORRLANDS LÄN</t>
        </is>
      </c>
      <c r="E12225" t="inlineStr">
        <is>
          <t>SOLLEFTEÅ</t>
        </is>
      </c>
      <c r="G12225" t="n">
        <v>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31890-2025</t>
        </is>
      </c>
      <c r="B12226" s="1" t="n">
        <v>45834</v>
      </c>
      <c r="C12226" s="1" t="n">
        <v>46093</v>
      </c>
      <c r="D12226" t="inlineStr">
        <is>
          <t>VÄSTERNORRLANDS LÄN</t>
        </is>
      </c>
      <c r="E12226" t="inlineStr">
        <is>
          <t>HÄRNÖSAND</t>
        </is>
      </c>
      <c r="G12226" t="n">
        <v>1.2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31708-2025</t>
        </is>
      </c>
      <c r="B12227" s="1" t="n">
        <v>45834.42398148148</v>
      </c>
      <c r="C12227" s="1" t="n">
        <v>46093</v>
      </c>
      <c r="D12227" t="inlineStr">
        <is>
          <t>VÄSTERNORRLANDS LÄN</t>
        </is>
      </c>
      <c r="E12227" t="inlineStr">
        <is>
          <t>SUNDSVALL</t>
        </is>
      </c>
      <c r="F12227" t="inlineStr">
        <is>
          <t>Kommuner</t>
        </is>
      </c>
      <c r="G12227" t="n">
        <v>1.4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31734-2025</t>
        </is>
      </c>
      <c r="B12228" s="1" t="n">
        <v>45834.47052083333</v>
      </c>
      <c r="C12228" s="1" t="n">
        <v>46093</v>
      </c>
      <c r="D12228" t="inlineStr">
        <is>
          <t>VÄSTERNORRLANDS LÄN</t>
        </is>
      </c>
      <c r="E12228" t="inlineStr">
        <is>
          <t>TIMRÅ</t>
        </is>
      </c>
      <c r="F12228" t="inlineStr">
        <is>
          <t>SCA</t>
        </is>
      </c>
      <c r="G12228" t="n">
        <v>5.3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31542-2025</t>
        </is>
      </c>
      <c r="B12229" s="1" t="n">
        <v>45833</v>
      </c>
      <c r="C12229" s="1" t="n">
        <v>46093</v>
      </c>
      <c r="D12229" t="inlineStr">
        <is>
          <t>VÄSTERNORRLANDS LÄN</t>
        </is>
      </c>
      <c r="E12229" t="inlineStr">
        <is>
          <t>ÖRNSKÖLDSVIK</t>
        </is>
      </c>
      <c r="G12229" t="n">
        <v>1.7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31545-2025</t>
        </is>
      </c>
      <c r="B12230" s="1" t="n">
        <v>45833.63615740741</v>
      </c>
      <c r="C12230" s="1" t="n">
        <v>46093</v>
      </c>
      <c r="D12230" t="inlineStr">
        <is>
          <t>VÄSTERNORRLANDS LÄN</t>
        </is>
      </c>
      <c r="E12230" t="inlineStr">
        <is>
          <t>SOLLEFTEÅ</t>
        </is>
      </c>
      <c r="F12230" t="inlineStr">
        <is>
          <t>SCA</t>
        </is>
      </c>
      <c r="G12230" t="n">
        <v>3.8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31665-2025</t>
        </is>
      </c>
      <c r="B12231" s="1" t="n">
        <v>45834.36497685185</v>
      </c>
      <c r="C12231" s="1" t="n">
        <v>46093</v>
      </c>
      <c r="D12231" t="inlineStr">
        <is>
          <t>VÄSTERNORRLANDS LÄN</t>
        </is>
      </c>
      <c r="E12231" t="inlineStr">
        <is>
          <t>SOLLEFTEÅ</t>
        </is>
      </c>
      <c r="F12231" t="inlineStr">
        <is>
          <t>SCA</t>
        </is>
      </c>
      <c r="G12231" t="n">
        <v>3.3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31382-2025</t>
        </is>
      </c>
      <c r="B12232" s="1" t="n">
        <v>45833.4502199074</v>
      </c>
      <c r="C12232" s="1" t="n">
        <v>46093</v>
      </c>
      <c r="D12232" t="inlineStr">
        <is>
          <t>VÄSTERNORRLANDS LÄN</t>
        </is>
      </c>
      <c r="E12232" t="inlineStr">
        <is>
          <t>SUNDSVALL</t>
        </is>
      </c>
      <c r="G12232" t="n">
        <v>2.4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31486-2025</t>
        </is>
      </c>
      <c r="B12233" s="1" t="n">
        <v>45833.57436342593</v>
      </c>
      <c r="C12233" s="1" t="n">
        <v>46093</v>
      </c>
      <c r="D12233" t="inlineStr">
        <is>
          <t>VÄSTERNORRLANDS LÄN</t>
        </is>
      </c>
      <c r="E12233" t="inlineStr">
        <is>
          <t>SUNDSVALL</t>
        </is>
      </c>
      <c r="G12233" t="n">
        <v>0.5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31295-2025</t>
        </is>
      </c>
      <c r="B12234" s="1" t="n">
        <v>45833.36490740741</v>
      </c>
      <c r="C12234" s="1" t="n">
        <v>46093</v>
      </c>
      <c r="D12234" t="inlineStr">
        <is>
          <t>VÄSTERNORRLANDS LÄN</t>
        </is>
      </c>
      <c r="E12234" t="inlineStr">
        <is>
          <t>SUNDSVALL</t>
        </is>
      </c>
      <c r="G12234" t="n">
        <v>1.7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31801-2025</t>
        </is>
      </c>
      <c r="B12235" s="1" t="n">
        <v>45834.55290509259</v>
      </c>
      <c r="C12235" s="1" t="n">
        <v>46093</v>
      </c>
      <c r="D12235" t="inlineStr">
        <is>
          <t>VÄSTERNORRLANDS LÄN</t>
        </is>
      </c>
      <c r="E12235" t="inlineStr">
        <is>
          <t>SOLLEFTEÅ</t>
        </is>
      </c>
      <c r="F12235" t="inlineStr">
        <is>
          <t>SCA</t>
        </is>
      </c>
      <c r="G12235" t="n">
        <v>1.3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31261-2025</t>
        </is>
      </c>
      <c r="B12236" s="1" t="n">
        <v>45833.32525462963</v>
      </c>
      <c r="C12236" s="1" t="n">
        <v>46093</v>
      </c>
      <c r="D12236" t="inlineStr">
        <is>
          <t>VÄSTERNORRLANDS LÄN</t>
        </is>
      </c>
      <c r="E12236" t="inlineStr">
        <is>
          <t>SUNDSVALL</t>
        </is>
      </c>
      <c r="G12236" t="n">
        <v>3.8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32053-2025</t>
        </is>
      </c>
      <c r="B12237" s="1" t="n">
        <v>45835.44299768518</v>
      </c>
      <c r="C12237" s="1" t="n">
        <v>46093</v>
      </c>
      <c r="D12237" t="inlineStr">
        <is>
          <t>VÄSTERNORRLANDS LÄN</t>
        </is>
      </c>
      <c r="E12237" t="inlineStr">
        <is>
          <t>ÖRNSKÖLDSVIK</t>
        </is>
      </c>
      <c r="F12237" t="inlineStr">
        <is>
          <t>Holmen skog AB</t>
        </is>
      </c>
      <c r="G12237" t="n">
        <v>3.9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32069-2025</t>
        </is>
      </c>
      <c r="B12238" s="1" t="n">
        <v>45835.4487037037</v>
      </c>
      <c r="C12238" s="1" t="n">
        <v>46093</v>
      </c>
      <c r="D12238" t="inlineStr">
        <is>
          <t>VÄSTERNORRLANDS LÄN</t>
        </is>
      </c>
      <c r="E12238" t="inlineStr">
        <is>
          <t>SOLLEFTEÅ</t>
        </is>
      </c>
      <c r="F12238" t="inlineStr">
        <is>
          <t>SCA</t>
        </is>
      </c>
      <c r="G12238" t="n">
        <v>3.9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31931-2025</t>
        </is>
      </c>
      <c r="B12239" s="1" t="n">
        <v>45834.95619212963</v>
      </c>
      <c r="C12239" s="1" t="n">
        <v>46093</v>
      </c>
      <c r="D12239" t="inlineStr">
        <is>
          <t>VÄSTERNORRLANDS LÄN</t>
        </is>
      </c>
      <c r="E12239" t="inlineStr">
        <is>
          <t>SUNDSVALL</t>
        </is>
      </c>
      <c r="G12239" t="n">
        <v>6.8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19441-2025</t>
        </is>
      </c>
      <c r="B12240" s="1" t="n">
        <v>45770.30892361111</v>
      </c>
      <c r="C12240" s="1" t="n">
        <v>46093</v>
      </c>
      <c r="D12240" t="inlineStr">
        <is>
          <t>VÄSTERNORRLANDS LÄN</t>
        </is>
      </c>
      <c r="E12240" t="inlineStr">
        <is>
          <t>ÖRNSKÖLDSVIK</t>
        </is>
      </c>
      <c r="F12240" t="inlineStr">
        <is>
          <t>Kommuner</t>
        </is>
      </c>
      <c r="G12240" t="n">
        <v>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28492-2025</t>
        </is>
      </c>
      <c r="B12241" s="1" t="n">
        <v>45819</v>
      </c>
      <c r="C12241" s="1" t="n">
        <v>46093</v>
      </c>
      <c r="D12241" t="inlineStr">
        <is>
          <t>VÄSTERNORRLANDS LÄN</t>
        </is>
      </c>
      <c r="E12241" t="inlineStr">
        <is>
          <t>SUNDSVALL</t>
        </is>
      </c>
      <c r="F12241" t="inlineStr">
        <is>
          <t>SCA</t>
        </is>
      </c>
      <c r="G12241" t="n">
        <v>2.7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32291-2025</t>
        </is>
      </c>
      <c r="B12242" s="1" t="n">
        <v>45835.69961805556</v>
      </c>
      <c r="C12242" s="1" t="n">
        <v>46093</v>
      </c>
      <c r="D12242" t="inlineStr">
        <is>
          <t>VÄSTERNORRLANDS LÄN</t>
        </is>
      </c>
      <c r="E12242" t="inlineStr">
        <is>
          <t>SOLLEFTEÅ</t>
        </is>
      </c>
      <c r="G12242" t="n">
        <v>1.8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32359-2025</t>
        </is>
      </c>
      <c r="B12243" s="1" t="n">
        <v>45837.59410879629</v>
      </c>
      <c r="C12243" s="1" t="n">
        <v>46093</v>
      </c>
      <c r="D12243" t="inlineStr">
        <is>
          <t>VÄSTERNORRLANDS LÄN</t>
        </is>
      </c>
      <c r="E12243" t="inlineStr">
        <is>
          <t>SUNDSVALL</t>
        </is>
      </c>
      <c r="F12243" t="inlineStr">
        <is>
          <t>SCA</t>
        </is>
      </c>
      <c r="G12243" t="n">
        <v>1.4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32366-2025</t>
        </is>
      </c>
      <c r="B12244" s="1" t="n">
        <v>45837.65679398148</v>
      </c>
      <c r="C12244" s="1" t="n">
        <v>46093</v>
      </c>
      <c r="D12244" t="inlineStr">
        <is>
          <t>VÄSTERNORRLANDS LÄN</t>
        </is>
      </c>
      <c r="E12244" t="inlineStr">
        <is>
          <t>TIMRÅ</t>
        </is>
      </c>
      <c r="F12244" t="inlineStr">
        <is>
          <t>SCA</t>
        </is>
      </c>
      <c r="G12244" t="n">
        <v>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31982-2025</t>
        </is>
      </c>
      <c r="B12245" s="1" t="n">
        <v>45835.35870370371</v>
      </c>
      <c r="C12245" s="1" t="n">
        <v>46093</v>
      </c>
      <c r="D12245" t="inlineStr">
        <is>
          <t>VÄSTERNORRLANDS LÄN</t>
        </is>
      </c>
      <c r="E12245" t="inlineStr">
        <is>
          <t>ÖRNSKÖLDSVIK</t>
        </is>
      </c>
      <c r="G12245" t="n">
        <v>2.5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32271-2025</t>
        </is>
      </c>
      <c r="B12246" s="1" t="n">
        <v>45835.65662037037</v>
      </c>
      <c r="C12246" s="1" t="n">
        <v>46093</v>
      </c>
      <c r="D12246" t="inlineStr">
        <is>
          <t>VÄSTERNORRLANDS LÄN</t>
        </is>
      </c>
      <c r="E12246" t="inlineStr">
        <is>
          <t>SOLLEFTEÅ</t>
        </is>
      </c>
      <c r="F12246" t="inlineStr">
        <is>
          <t>SCA</t>
        </is>
      </c>
      <c r="G12246" t="n">
        <v>2.1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32220-2025</t>
        </is>
      </c>
      <c r="B12247" s="1" t="n">
        <v>45835.58945601852</v>
      </c>
      <c r="C12247" s="1" t="n">
        <v>46093</v>
      </c>
      <c r="D12247" t="inlineStr">
        <is>
          <t>VÄSTERNORRLANDS LÄN</t>
        </is>
      </c>
      <c r="E12247" t="inlineStr">
        <is>
          <t>ÖRNSKÖLDSVIK</t>
        </is>
      </c>
      <c r="F12247" t="inlineStr">
        <is>
          <t>Holmen skog AB</t>
        </is>
      </c>
      <c r="G12247" t="n">
        <v>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32228-2025</t>
        </is>
      </c>
      <c r="B12248" s="1" t="n">
        <v>45835.59568287037</v>
      </c>
      <c r="C12248" s="1" t="n">
        <v>46093</v>
      </c>
      <c r="D12248" t="inlineStr">
        <is>
          <t>VÄSTERNORRLANDS LÄN</t>
        </is>
      </c>
      <c r="E12248" t="inlineStr">
        <is>
          <t>KRAMFORS</t>
        </is>
      </c>
      <c r="G12248" t="n">
        <v>1.9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32247-2025</t>
        </is>
      </c>
      <c r="B12249" s="1" t="n">
        <v>45835.61738425926</v>
      </c>
      <c r="C12249" s="1" t="n">
        <v>46093</v>
      </c>
      <c r="D12249" t="inlineStr">
        <is>
          <t>VÄSTERNORRLANDS LÄN</t>
        </is>
      </c>
      <c r="E12249" t="inlineStr">
        <is>
          <t>ÖRNSKÖLDSVIK</t>
        </is>
      </c>
      <c r="G12249" t="n">
        <v>6.5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32251-2025</t>
        </is>
      </c>
      <c r="B12250" s="1" t="n">
        <v>45835.62701388889</v>
      </c>
      <c r="C12250" s="1" t="n">
        <v>46093</v>
      </c>
      <c r="D12250" t="inlineStr">
        <is>
          <t>VÄSTERNORRLANDS LÄN</t>
        </is>
      </c>
      <c r="E12250" t="inlineStr">
        <is>
          <t>ÖRNSKÖLDSVIK</t>
        </is>
      </c>
      <c r="F12250" t="inlineStr">
        <is>
          <t>Holmen skog AB</t>
        </is>
      </c>
      <c r="G12250" t="n">
        <v>1.5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31963-2025</t>
        </is>
      </c>
      <c r="B12251" s="1" t="n">
        <v>45835.34480324074</v>
      </c>
      <c r="C12251" s="1" t="n">
        <v>46093</v>
      </c>
      <c r="D12251" t="inlineStr">
        <is>
          <t>VÄSTERNORRLANDS LÄN</t>
        </is>
      </c>
      <c r="E12251" t="inlineStr">
        <is>
          <t>SOLLEFTEÅ</t>
        </is>
      </c>
      <c r="F12251" t="inlineStr">
        <is>
          <t>SCA</t>
        </is>
      </c>
      <c r="G12251" t="n">
        <v>1.8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32375-2025</t>
        </is>
      </c>
      <c r="B12252" s="1" t="n">
        <v>45837.71907407408</v>
      </c>
      <c r="C12252" s="1" t="n">
        <v>46093</v>
      </c>
      <c r="D12252" t="inlineStr">
        <is>
          <t>VÄSTERNORRLANDS LÄN</t>
        </is>
      </c>
      <c r="E12252" t="inlineStr">
        <is>
          <t>TIMRÅ</t>
        </is>
      </c>
      <c r="F12252" t="inlineStr">
        <is>
          <t>SCA</t>
        </is>
      </c>
      <c r="G12252" t="n">
        <v>2.8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32385-2025</t>
        </is>
      </c>
      <c r="B12253" s="1" t="n">
        <v>45837.80767361111</v>
      </c>
      <c r="C12253" s="1" t="n">
        <v>46093</v>
      </c>
      <c r="D12253" t="inlineStr">
        <is>
          <t>VÄSTERNORRLANDS LÄN</t>
        </is>
      </c>
      <c r="E12253" t="inlineStr">
        <is>
          <t>SUNDSVALL</t>
        </is>
      </c>
      <c r="G12253" t="n">
        <v>1.1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32351-2025</t>
        </is>
      </c>
      <c r="B12254" s="1" t="n">
        <v>45837.4900462963</v>
      </c>
      <c r="C12254" s="1" t="n">
        <v>46093</v>
      </c>
      <c r="D12254" t="inlineStr">
        <is>
          <t>VÄSTERNORRLANDS LÄN</t>
        </is>
      </c>
      <c r="E12254" t="inlineStr">
        <is>
          <t>SUNDSVALL</t>
        </is>
      </c>
      <c r="F12254" t="inlineStr">
        <is>
          <t>SCA</t>
        </is>
      </c>
      <c r="G12254" t="n">
        <v>4.3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32360-2025</t>
        </is>
      </c>
      <c r="B12255" s="1" t="n">
        <v>45837.59423611111</v>
      </c>
      <c r="C12255" s="1" t="n">
        <v>46093</v>
      </c>
      <c r="D12255" t="inlineStr">
        <is>
          <t>VÄSTERNORRLANDS LÄN</t>
        </is>
      </c>
      <c r="E12255" t="inlineStr">
        <is>
          <t>SUNDSVALL</t>
        </is>
      </c>
      <c r="F12255" t="inlineStr">
        <is>
          <t>SCA</t>
        </is>
      </c>
      <c r="G12255" t="n">
        <v>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32374-2025</t>
        </is>
      </c>
      <c r="B12256" s="1" t="n">
        <v>45837.6984375</v>
      </c>
      <c r="C12256" s="1" t="n">
        <v>46093</v>
      </c>
      <c r="D12256" t="inlineStr">
        <is>
          <t>VÄSTERNORRLANDS LÄN</t>
        </is>
      </c>
      <c r="E12256" t="inlineStr">
        <is>
          <t>HÄRNÖSAND</t>
        </is>
      </c>
      <c r="F12256" t="inlineStr">
        <is>
          <t>SCA</t>
        </is>
      </c>
      <c r="G12256" t="n">
        <v>2.7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32350-2025</t>
        </is>
      </c>
      <c r="B12257" s="1" t="n">
        <v>45837.48990740741</v>
      </c>
      <c r="C12257" s="1" t="n">
        <v>46093</v>
      </c>
      <c r="D12257" t="inlineStr">
        <is>
          <t>VÄSTERNORRLANDS LÄN</t>
        </is>
      </c>
      <c r="E12257" t="inlineStr">
        <is>
          <t>SUNDSVALL</t>
        </is>
      </c>
      <c r="F12257" t="inlineStr">
        <is>
          <t>SCA</t>
        </is>
      </c>
      <c r="G12257" t="n">
        <v>5.2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31932-2025</t>
        </is>
      </c>
      <c r="B12258" s="1" t="n">
        <v>45834.95900462963</v>
      </c>
      <c r="C12258" s="1" t="n">
        <v>46093</v>
      </c>
      <c r="D12258" t="inlineStr">
        <is>
          <t>VÄSTERNORRLANDS LÄN</t>
        </is>
      </c>
      <c r="E12258" t="inlineStr">
        <is>
          <t>SUNDSVALL</t>
        </is>
      </c>
      <c r="G12258" t="n">
        <v>1.6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32419-2025</t>
        </is>
      </c>
      <c r="B12259" s="1" t="n">
        <v>45838.34481481482</v>
      </c>
      <c r="C12259" s="1" t="n">
        <v>46093</v>
      </c>
      <c r="D12259" t="inlineStr">
        <is>
          <t>VÄSTERNORRLANDS LÄN</t>
        </is>
      </c>
      <c r="E12259" t="inlineStr">
        <is>
          <t>KRAMFORS</t>
        </is>
      </c>
      <c r="G12259" t="n">
        <v>0.2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16049-2025</t>
        </is>
      </c>
      <c r="B12260" s="1" t="n">
        <v>45749</v>
      </c>
      <c r="C12260" s="1" t="n">
        <v>46093</v>
      </c>
      <c r="D12260" t="inlineStr">
        <is>
          <t>VÄSTERNORRLANDS LÄN</t>
        </is>
      </c>
      <c r="E12260" t="inlineStr">
        <is>
          <t>KRAMFORS</t>
        </is>
      </c>
      <c r="G12260" t="n">
        <v>1.6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32338-2025</t>
        </is>
      </c>
      <c r="B12261" s="1" t="n">
        <v>45836.67751157407</v>
      </c>
      <c r="C12261" s="1" t="n">
        <v>46093</v>
      </c>
      <c r="D12261" t="inlineStr">
        <is>
          <t>VÄSTERNORRLANDS LÄN</t>
        </is>
      </c>
      <c r="E12261" t="inlineStr">
        <is>
          <t>SOLLEFTEÅ</t>
        </is>
      </c>
      <c r="F12261" t="inlineStr">
        <is>
          <t>SCA</t>
        </is>
      </c>
      <c r="G12261" t="n">
        <v>1.2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32025-2025</t>
        </is>
      </c>
      <c r="B12262" s="1" t="n">
        <v>45835.40721064815</v>
      </c>
      <c r="C12262" s="1" t="n">
        <v>46093</v>
      </c>
      <c r="D12262" t="inlineStr">
        <is>
          <t>VÄSTERNORRLANDS LÄN</t>
        </is>
      </c>
      <c r="E12262" t="inlineStr">
        <is>
          <t>ÅNGE</t>
        </is>
      </c>
      <c r="G12262" t="n">
        <v>1.6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26092-2025</t>
        </is>
      </c>
      <c r="B12263" s="1" t="n">
        <v>45805</v>
      </c>
      <c r="C12263" s="1" t="n">
        <v>46093</v>
      </c>
      <c r="D12263" t="inlineStr">
        <is>
          <t>VÄSTERNORRLANDS LÄN</t>
        </is>
      </c>
      <c r="E12263" t="inlineStr">
        <is>
          <t>ÅNGE</t>
        </is>
      </c>
      <c r="F12263" t="inlineStr">
        <is>
          <t>SCA</t>
        </is>
      </c>
      <c r="G12263" t="n">
        <v>2.2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32275-2025</t>
        </is>
      </c>
      <c r="B12264" s="1" t="n">
        <v>45835.65856481482</v>
      </c>
      <c r="C12264" s="1" t="n">
        <v>46093</v>
      </c>
      <c r="D12264" t="inlineStr">
        <is>
          <t>VÄSTERNORRLANDS LÄN</t>
        </is>
      </c>
      <c r="E12264" t="inlineStr">
        <is>
          <t>SUNDSVALL</t>
        </is>
      </c>
      <c r="F12264" t="inlineStr">
        <is>
          <t>Kyrkan</t>
        </is>
      </c>
      <c r="G12264" t="n">
        <v>7.5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32139-2025</t>
        </is>
      </c>
      <c r="B12265" s="1" t="n">
        <v>45835</v>
      </c>
      <c r="C12265" s="1" t="n">
        <v>46093</v>
      </c>
      <c r="D12265" t="inlineStr">
        <is>
          <t>VÄSTERNORRLANDS LÄN</t>
        </is>
      </c>
      <c r="E12265" t="inlineStr">
        <is>
          <t>SOLLEFTEÅ</t>
        </is>
      </c>
      <c r="G12265" t="n">
        <v>17.8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32557-2025</t>
        </is>
      </c>
      <c r="B12266" s="1" t="n">
        <v>45838.56710648148</v>
      </c>
      <c r="C12266" s="1" t="n">
        <v>46093</v>
      </c>
      <c r="D12266" t="inlineStr">
        <is>
          <t>VÄSTERNORRLANDS LÄN</t>
        </is>
      </c>
      <c r="E12266" t="inlineStr">
        <is>
          <t>ÖRNSKÖLDSVIK</t>
        </is>
      </c>
      <c r="F12266" t="inlineStr">
        <is>
          <t>Holmen skog AB</t>
        </is>
      </c>
      <c r="G12266" t="n">
        <v>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32427-2025</t>
        </is>
      </c>
      <c r="B12267" s="1" t="n">
        <v>45838.36493055556</v>
      </c>
      <c r="C12267" s="1" t="n">
        <v>46093</v>
      </c>
      <c r="D12267" t="inlineStr">
        <is>
          <t>VÄSTERNORRLANDS LÄN</t>
        </is>
      </c>
      <c r="E12267" t="inlineStr">
        <is>
          <t>TIMRÅ</t>
        </is>
      </c>
      <c r="F12267" t="inlineStr">
        <is>
          <t>SCA</t>
        </is>
      </c>
      <c r="G12267" t="n">
        <v>7.9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32373-2025</t>
        </is>
      </c>
      <c r="B12268" s="1" t="n">
        <v>45837.69824074074</v>
      </c>
      <c r="C12268" s="1" t="n">
        <v>46093</v>
      </c>
      <c r="D12268" t="inlineStr">
        <is>
          <t>VÄSTERNORRLANDS LÄN</t>
        </is>
      </c>
      <c r="E12268" t="inlineStr">
        <is>
          <t>TIMRÅ</t>
        </is>
      </c>
      <c r="F12268" t="inlineStr">
        <is>
          <t>SCA</t>
        </is>
      </c>
      <c r="G12268" t="n">
        <v>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31972-2025</t>
        </is>
      </c>
      <c r="B12269" s="1" t="n">
        <v>45835.34949074074</v>
      </c>
      <c r="C12269" s="1" t="n">
        <v>46093</v>
      </c>
      <c r="D12269" t="inlineStr">
        <is>
          <t>VÄSTERNORRLANDS LÄN</t>
        </is>
      </c>
      <c r="E12269" t="inlineStr">
        <is>
          <t>ÖRNSKÖLDSVIK</t>
        </is>
      </c>
      <c r="G12269" t="n">
        <v>4.6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32285-2025</t>
        </is>
      </c>
      <c r="B12270" s="1" t="n">
        <v>45835.68939814815</v>
      </c>
      <c r="C12270" s="1" t="n">
        <v>46093</v>
      </c>
      <c r="D12270" t="inlineStr">
        <is>
          <t>VÄSTERNORRLANDS LÄN</t>
        </is>
      </c>
      <c r="E12270" t="inlineStr">
        <is>
          <t>SUNDSVALL</t>
        </is>
      </c>
      <c r="F12270" t="inlineStr">
        <is>
          <t>Kyrkan</t>
        </is>
      </c>
      <c r="G12270" t="n">
        <v>1.3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32288-2025</t>
        </is>
      </c>
      <c r="B12271" s="1" t="n">
        <v>45835.69495370371</v>
      </c>
      <c r="C12271" s="1" t="n">
        <v>46093</v>
      </c>
      <c r="D12271" t="inlineStr">
        <is>
          <t>VÄSTERNORRLANDS LÄN</t>
        </is>
      </c>
      <c r="E12271" t="inlineStr">
        <is>
          <t>SUNDSVALL</t>
        </is>
      </c>
      <c r="F12271" t="inlineStr">
        <is>
          <t>Kyrkan</t>
        </is>
      </c>
      <c r="G12271" t="n">
        <v>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32537-2025</t>
        </is>
      </c>
      <c r="B12272" s="1" t="n">
        <v>45838.49689814815</v>
      </c>
      <c r="C12272" s="1" t="n">
        <v>46093</v>
      </c>
      <c r="D12272" t="inlineStr">
        <is>
          <t>VÄSTERNORRLANDS LÄN</t>
        </is>
      </c>
      <c r="E12272" t="inlineStr">
        <is>
          <t>SOLLEFTEÅ</t>
        </is>
      </c>
      <c r="G12272" t="n">
        <v>9.6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32029-2025</t>
        </is>
      </c>
      <c r="B12273" s="1" t="n">
        <v>45835.40788194445</v>
      </c>
      <c r="C12273" s="1" t="n">
        <v>46093</v>
      </c>
      <c r="D12273" t="inlineStr">
        <is>
          <t>VÄSTERNORRLANDS LÄN</t>
        </is>
      </c>
      <c r="E12273" t="inlineStr">
        <is>
          <t>SOLLEFTEÅ</t>
        </is>
      </c>
      <c r="F12273" t="inlineStr">
        <is>
          <t>SCA</t>
        </is>
      </c>
      <c r="G12273" t="n">
        <v>1.4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32112-2025</t>
        </is>
      </c>
      <c r="B12274" s="1" t="n">
        <v>45835.48392361111</v>
      </c>
      <c r="C12274" s="1" t="n">
        <v>46093</v>
      </c>
      <c r="D12274" t="inlineStr">
        <is>
          <t>VÄSTERNORRLANDS LÄN</t>
        </is>
      </c>
      <c r="E12274" t="inlineStr">
        <is>
          <t>SOLLEFTEÅ</t>
        </is>
      </c>
      <c r="G12274" t="n">
        <v>9.1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32492-2025</t>
        </is>
      </c>
      <c r="B12275" s="1" t="n">
        <v>45838.44849537037</v>
      </c>
      <c r="C12275" s="1" t="n">
        <v>46093</v>
      </c>
      <c r="D12275" t="inlineStr">
        <is>
          <t>VÄSTERNORRLANDS LÄN</t>
        </is>
      </c>
      <c r="E12275" t="inlineStr">
        <is>
          <t>SUNDSVALL</t>
        </is>
      </c>
      <c r="F12275" t="inlineStr">
        <is>
          <t>SCA</t>
        </is>
      </c>
      <c r="G12275" t="n">
        <v>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26920-2025</t>
        </is>
      </c>
      <c r="B12276" s="1" t="n">
        <v>45811</v>
      </c>
      <c r="C12276" s="1" t="n">
        <v>46093</v>
      </c>
      <c r="D12276" t="inlineStr">
        <is>
          <t>VÄSTERNORRLANDS LÄN</t>
        </is>
      </c>
      <c r="E12276" t="inlineStr">
        <is>
          <t>HÄRNÖSAND</t>
        </is>
      </c>
      <c r="G12276" t="n">
        <v>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32543-2025</t>
        </is>
      </c>
      <c r="B12277" s="1" t="n">
        <v>45838.53103009259</v>
      </c>
      <c r="C12277" s="1" t="n">
        <v>46093</v>
      </c>
      <c r="D12277" t="inlineStr">
        <is>
          <t>VÄSTERNORRLANDS LÄN</t>
        </is>
      </c>
      <c r="E12277" t="inlineStr">
        <is>
          <t>KRAMFORS</t>
        </is>
      </c>
      <c r="G12277" t="n">
        <v>5.3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32273-2025</t>
        </is>
      </c>
      <c r="B12278" s="1" t="n">
        <v>45835.65793981482</v>
      </c>
      <c r="C12278" s="1" t="n">
        <v>46093</v>
      </c>
      <c r="D12278" t="inlineStr">
        <is>
          <t>VÄSTERNORRLANDS LÄN</t>
        </is>
      </c>
      <c r="E12278" t="inlineStr">
        <is>
          <t>ÖRNSKÖLDSVIK</t>
        </is>
      </c>
      <c r="F12278" t="inlineStr">
        <is>
          <t>Holmen skog AB</t>
        </is>
      </c>
      <c r="G12278" t="n">
        <v>4.4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32024-2025</t>
        </is>
      </c>
      <c r="B12279" s="1" t="n">
        <v>45835.40706018519</v>
      </c>
      <c r="C12279" s="1" t="n">
        <v>46093</v>
      </c>
      <c r="D12279" t="inlineStr">
        <is>
          <t>VÄSTERNORRLANDS LÄN</t>
        </is>
      </c>
      <c r="E12279" t="inlineStr">
        <is>
          <t>ÅNGE</t>
        </is>
      </c>
      <c r="F12279" t="inlineStr">
        <is>
          <t>SCA</t>
        </is>
      </c>
      <c r="G12279" t="n">
        <v>12.3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32073-2025</t>
        </is>
      </c>
      <c r="B12280" s="1" t="n">
        <v>45835.44931712963</v>
      </c>
      <c r="C12280" s="1" t="n">
        <v>46093</v>
      </c>
      <c r="D12280" t="inlineStr">
        <is>
          <t>VÄSTERNORRLANDS LÄN</t>
        </is>
      </c>
      <c r="E12280" t="inlineStr">
        <is>
          <t>SOLLEFTEÅ</t>
        </is>
      </c>
      <c r="G12280" t="n">
        <v>2.4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32164-2025</t>
        </is>
      </c>
      <c r="B12281" s="1" t="n">
        <v>45835.54541666667</v>
      </c>
      <c r="C12281" s="1" t="n">
        <v>46093</v>
      </c>
      <c r="D12281" t="inlineStr">
        <is>
          <t>VÄSTERNORRLANDS LÄN</t>
        </is>
      </c>
      <c r="E12281" t="inlineStr">
        <is>
          <t>ÖRNSKÖLDSVIK</t>
        </is>
      </c>
      <c r="G12281" t="n">
        <v>3.4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32168-2025</t>
        </is>
      </c>
      <c r="B12282" s="1" t="n">
        <v>45835.54908564815</v>
      </c>
      <c r="C12282" s="1" t="n">
        <v>46093</v>
      </c>
      <c r="D12282" t="inlineStr">
        <is>
          <t>VÄSTERNORRLANDS LÄN</t>
        </is>
      </c>
      <c r="E12282" t="inlineStr">
        <is>
          <t>ÖRNSKÖLDSVIK</t>
        </is>
      </c>
      <c r="G12282" t="n">
        <v>2.9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32135-2025</t>
        </is>
      </c>
      <c r="B12283" s="1" t="n">
        <v>45835.51079861111</v>
      </c>
      <c r="C12283" s="1" t="n">
        <v>46093</v>
      </c>
      <c r="D12283" t="inlineStr">
        <is>
          <t>VÄSTERNORRLANDS LÄN</t>
        </is>
      </c>
      <c r="E12283" t="inlineStr">
        <is>
          <t>ÖRNSKÖLDSVIK</t>
        </is>
      </c>
      <c r="F12283" t="inlineStr">
        <is>
          <t>Holmen skog AB</t>
        </is>
      </c>
      <c r="G12283" t="n">
        <v>7.2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32346-2025</t>
        </is>
      </c>
      <c r="B12284" s="1" t="n">
        <v>45837.44827546296</v>
      </c>
      <c r="C12284" s="1" t="n">
        <v>46093</v>
      </c>
      <c r="D12284" t="inlineStr">
        <is>
          <t>VÄSTERNORRLANDS LÄN</t>
        </is>
      </c>
      <c r="E12284" t="inlineStr">
        <is>
          <t>SOLLEFTEÅ</t>
        </is>
      </c>
      <c r="F12284" t="inlineStr">
        <is>
          <t>SCA</t>
        </is>
      </c>
      <c r="G12284" t="n">
        <v>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32068-2025</t>
        </is>
      </c>
      <c r="B12285" s="1" t="n">
        <v>45835.44856481482</v>
      </c>
      <c r="C12285" s="1" t="n">
        <v>46093</v>
      </c>
      <c r="D12285" t="inlineStr">
        <is>
          <t>VÄSTERNORRLANDS LÄN</t>
        </is>
      </c>
      <c r="E12285" t="inlineStr">
        <is>
          <t>SUNDSVALL</t>
        </is>
      </c>
      <c r="F12285" t="inlineStr">
        <is>
          <t>Naturvårdsverket</t>
        </is>
      </c>
      <c r="G12285" t="n">
        <v>0.6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31933-2025</t>
        </is>
      </c>
      <c r="B12286" s="1" t="n">
        <v>45834.96138888889</v>
      </c>
      <c r="C12286" s="1" t="n">
        <v>46093</v>
      </c>
      <c r="D12286" t="inlineStr">
        <is>
          <t>VÄSTERNORRLANDS LÄN</t>
        </is>
      </c>
      <c r="E12286" t="inlineStr">
        <is>
          <t>SUNDSVALL</t>
        </is>
      </c>
      <c r="G12286" t="n">
        <v>5.7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31934-2025</t>
        </is>
      </c>
      <c r="B12287" s="1" t="n">
        <v>45834.96792824074</v>
      </c>
      <c r="C12287" s="1" t="n">
        <v>46093</v>
      </c>
      <c r="D12287" t="inlineStr">
        <is>
          <t>VÄSTERNORRLANDS LÄN</t>
        </is>
      </c>
      <c r="E12287" t="inlineStr">
        <is>
          <t>SUNDSVALL</t>
        </is>
      </c>
      <c r="G12287" t="n">
        <v>6.1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32549-2025</t>
        </is>
      </c>
      <c r="B12288" s="1" t="n">
        <v>45838.5425462963</v>
      </c>
      <c r="C12288" s="1" t="n">
        <v>46093</v>
      </c>
      <c r="D12288" t="inlineStr">
        <is>
          <t>VÄSTERNORRLANDS LÄN</t>
        </is>
      </c>
      <c r="E12288" t="inlineStr">
        <is>
          <t>ÖRNSKÖLDSVIK</t>
        </is>
      </c>
      <c r="F12288" t="inlineStr">
        <is>
          <t>Holmen skog AB</t>
        </is>
      </c>
      <c r="G12288" t="n">
        <v>3.5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32441-2025</t>
        </is>
      </c>
      <c r="B12289" s="1" t="n">
        <v>45838.38568287037</v>
      </c>
      <c r="C12289" s="1" t="n">
        <v>46093</v>
      </c>
      <c r="D12289" t="inlineStr">
        <is>
          <t>VÄSTERNORRLANDS LÄN</t>
        </is>
      </c>
      <c r="E12289" t="inlineStr">
        <is>
          <t>KRAMFORS</t>
        </is>
      </c>
      <c r="F12289" t="inlineStr">
        <is>
          <t>SCA</t>
        </is>
      </c>
      <c r="G12289" t="n">
        <v>0.4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32356-2025</t>
        </is>
      </c>
      <c r="B12290" s="1" t="n">
        <v>45837.57331018519</v>
      </c>
      <c r="C12290" s="1" t="n">
        <v>46093</v>
      </c>
      <c r="D12290" t="inlineStr">
        <is>
          <t>VÄSTERNORRLANDS LÄN</t>
        </is>
      </c>
      <c r="E12290" t="inlineStr">
        <is>
          <t>SUNDSVALL</t>
        </is>
      </c>
      <c r="F12290" t="inlineStr">
        <is>
          <t>SCA</t>
        </is>
      </c>
      <c r="G12290" t="n">
        <v>1.3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32357-2025</t>
        </is>
      </c>
      <c r="B12291" s="1" t="n">
        <v>45837.5734375</v>
      </c>
      <c r="C12291" s="1" t="n">
        <v>46093</v>
      </c>
      <c r="D12291" t="inlineStr">
        <is>
          <t>VÄSTERNORRLANDS LÄN</t>
        </is>
      </c>
      <c r="E12291" t="inlineStr">
        <is>
          <t>SUNDSVALL</t>
        </is>
      </c>
      <c r="F12291" t="inlineStr">
        <is>
          <t>SCA</t>
        </is>
      </c>
      <c r="G12291" t="n">
        <v>5.6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32302-2025</t>
        </is>
      </c>
      <c r="B12292" s="1" t="n">
        <v>45835.71877314815</v>
      </c>
      <c r="C12292" s="1" t="n">
        <v>46093</v>
      </c>
      <c r="D12292" t="inlineStr">
        <is>
          <t>VÄSTERNORRLANDS LÄN</t>
        </is>
      </c>
      <c r="E12292" t="inlineStr">
        <is>
          <t>ÖRNSKÖLDSVIK</t>
        </is>
      </c>
      <c r="F12292" t="inlineStr">
        <is>
          <t>Holmen skog AB</t>
        </is>
      </c>
      <c r="G12292" t="n">
        <v>9.9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32365-2025</t>
        </is>
      </c>
      <c r="B12293" s="1" t="n">
        <v>45837.65668981482</v>
      </c>
      <c r="C12293" s="1" t="n">
        <v>46093</v>
      </c>
      <c r="D12293" t="inlineStr">
        <is>
          <t>VÄSTERNORRLANDS LÄN</t>
        </is>
      </c>
      <c r="E12293" t="inlineStr">
        <is>
          <t>HÄRNÖSAND</t>
        </is>
      </c>
      <c r="F12293" t="inlineStr">
        <is>
          <t>SCA</t>
        </is>
      </c>
      <c r="G12293" t="n">
        <v>1.5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32383-2025</t>
        </is>
      </c>
      <c r="B12294" s="1" t="n">
        <v>45837.80671296296</v>
      </c>
      <c r="C12294" s="1" t="n">
        <v>46093</v>
      </c>
      <c r="D12294" t="inlineStr">
        <is>
          <t>VÄSTERNORRLANDS LÄN</t>
        </is>
      </c>
      <c r="E12294" t="inlineStr">
        <is>
          <t>SUNDSVALL</t>
        </is>
      </c>
      <c r="G12294" t="n">
        <v>2.3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32280-2025</t>
        </is>
      </c>
      <c r="B12295" s="1" t="n">
        <v>45835.67638888889</v>
      </c>
      <c r="C12295" s="1" t="n">
        <v>46093</v>
      </c>
      <c r="D12295" t="inlineStr">
        <is>
          <t>VÄSTERNORRLANDS LÄN</t>
        </is>
      </c>
      <c r="E12295" t="inlineStr">
        <is>
          <t>SOLLEFTEÅ</t>
        </is>
      </c>
      <c r="G12295" t="n">
        <v>1.8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32192-2025</t>
        </is>
      </c>
      <c r="B12296" s="1" t="n">
        <v>45835.57108796296</v>
      </c>
      <c r="C12296" s="1" t="n">
        <v>46093</v>
      </c>
      <c r="D12296" t="inlineStr">
        <is>
          <t>VÄSTERNORRLANDS LÄN</t>
        </is>
      </c>
      <c r="E12296" t="inlineStr">
        <is>
          <t>ÖRNSKÖLDSVIK</t>
        </is>
      </c>
      <c r="F12296" t="inlineStr">
        <is>
          <t>Holmen skog AB</t>
        </is>
      </c>
      <c r="G12296" t="n">
        <v>0.7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28658-2025</t>
        </is>
      </c>
      <c r="B12297" s="1" t="n">
        <v>45819</v>
      </c>
      <c r="C12297" s="1" t="n">
        <v>46093</v>
      </c>
      <c r="D12297" t="inlineStr">
        <is>
          <t>VÄSTERNORRLANDS LÄN</t>
        </is>
      </c>
      <c r="E12297" t="inlineStr">
        <is>
          <t>SOLLEFTEÅ</t>
        </is>
      </c>
      <c r="F12297" t="inlineStr">
        <is>
          <t>SCA</t>
        </is>
      </c>
      <c r="G12297" t="n">
        <v>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33225-2025</t>
        </is>
      </c>
      <c r="B12298" s="1" t="n">
        <v>45840.63600694444</v>
      </c>
      <c r="C12298" s="1" t="n">
        <v>46093</v>
      </c>
      <c r="D12298" t="inlineStr">
        <is>
          <t>VÄSTERNORRLANDS LÄN</t>
        </is>
      </c>
      <c r="E12298" t="inlineStr">
        <is>
          <t>TIMRÅ</t>
        </is>
      </c>
      <c r="F12298" t="inlineStr">
        <is>
          <t>SCA</t>
        </is>
      </c>
      <c r="G12298" t="n">
        <v>2.4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33013-2025</t>
        </is>
      </c>
      <c r="B12299" s="1" t="n">
        <v>45840.36518518518</v>
      </c>
      <c r="C12299" s="1" t="n">
        <v>46093</v>
      </c>
      <c r="D12299" t="inlineStr">
        <is>
          <t>VÄSTERNORRLANDS LÄN</t>
        </is>
      </c>
      <c r="E12299" t="inlineStr">
        <is>
          <t>SOLLEFTEÅ</t>
        </is>
      </c>
      <c r="F12299" t="inlineStr">
        <is>
          <t>SCA</t>
        </is>
      </c>
      <c r="G12299" t="n">
        <v>1.2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33135-2025</t>
        </is>
      </c>
      <c r="B12300" s="1" t="n">
        <v>45840.51097222222</v>
      </c>
      <c r="C12300" s="1" t="n">
        <v>46093</v>
      </c>
      <c r="D12300" t="inlineStr">
        <is>
          <t>VÄSTERNORRLANDS LÄN</t>
        </is>
      </c>
      <c r="E12300" t="inlineStr">
        <is>
          <t>KRAMFORS</t>
        </is>
      </c>
      <c r="F12300" t="inlineStr">
        <is>
          <t>SCA</t>
        </is>
      </c>
      <c r="G12300" t="n">
        <v>1.7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32414-2025</t>
        </is>
      </c>
      <c r="B12301" s="1" t="n">
        <v>45838.34001157407</v>
      </c>
      <c r="C12301" s="1" t="n">
        <v>46093</v>
      </c>
      <c r="D12301" t="inlineStr">
        <is>
          <t>VÄSTERNORRLANDS LÄN</t>
        </is>
      </c>
      <c r="E12301" t="inlineStr">
        <is>
          <t>ÖRNSKÖLDSVIK</t>
        </is>
      </c>
      <c r="G12301" t="n">
        <v>0.2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33150-2025</t>
        </is>
      </c>
      <c r="B12302" s="1" t="n">
        <v>45840.54565972222</v>
      </c>
      <c r="C12302" s="1" t="n">
        <v>46093</v>
      </c>
      <c r="D12302" t="inlineStr">
        <is>
          <t>VÄSTERNORRLANDS LÄN</t>
        </is>
      </c>
      <c r="E12302" t="inlineStr">
        <is>
          <t>HÄRNÖSAND</t>
        </is>
      </c>
      <c r="G12302" t="n">
        <v>2.1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33044-2025</t>
        </is>
      </c>
      <c r="B12303" s="1" t="n">
        <v>45840.40699074074</v>
      </c>
      <c r="C12303" s="1" t="n">
        <v>46093</v>
      </c>
      <c r="D12303" t="inlineStr">
        <is>
          <t>VÄSTERNORRLANDS LÄN</t>
        </is>
      </c>
      <c r="E12303" t="inlineStr">
        <is>
          <t>TIMRÅ</t>
        </is>
      </c>
      <c r="G12303" t="n">
        <v>0.3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33156-2025</t>
        </is>
      </c>
      <c r="B12304" s="1" t="n">
        <v>45840.55723379629</v>
      </c>
      <c r="C12304" s="1" t="n">
        <v>46093</v>
      </c>
      <c r="D12304" t="inlineStr">
        <is>
          <t>VÄSTERNORRLANDS LÄN</t>
        </is>
      </c>
      <c r="E12304" t="inlineStr">
        <is>
          <t>HÄRNÖSAND</t>
        </is>
      </c>
      <c r="G12304" t="n">
        <v>6.1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33164-2025</t>
        </is>
      </c>
      <c r="B12305" s="1" t="n">
        <v>45840.5732175926</v>
      </c>
      <c r="C12305" s="1" t="n">
        <v>46093</v>
      </c>
      <c r="D12305" t="inlineStr">
        <is>
          <t>VÄSTERNORRLANDS LÄN</t>
        </is>
      </c>
      <c r="E12305" t="inlineStr">
        <is>
          <t>KRAMFORS</t>
        </is>
      </c>
      <c r="F12305" t="inlineStr">
        <is>
          <t>SCA</t>
        </is>
      </c>
      <c r="G12305" t="n">
        <v>0.6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33165-2025</t>
        </is>
      </c>
      <c r="B12306" s="1" t="n">
        <v>45840.57372685185</v>
      </c>
      <c r="C12306" s="1" t="n">
        <v>46093</v>
      </c>
      <c r="D12306" t="inlineStr">
        <is>
          <t>VÄSTERNORRLANDS LÄN</t>
        </is>
      </c>
      <c r="E12306" t="inlineStr">
        <is>
          <t>HÄRNÖSAND</t>
        </is>
      </c>
      <c r="G12306" t="n">
        <v>3.6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32847-2025</t>
        </is>
      </c>
      <c r="B12307" s="1" t="n">
        <v>45839.57354166666</v>
      </c>
      <c r="C12307" s="1" t="n">
        <v>46093</v>
      </c>
      <c r="D12307" t="inlineStr">
        <is>
          <t>VÄSTERNORRLANDS LÄN</t>
        </is>
      </c>
      <c r="E12307" t="inlineStr">
        <is>
          <t>ÅNGE</t>
        </is>
      </c>
      <c r="F12307" t="inlineStr">
        <is>
          <t>SCA</t>
        </is>
      </c>
      <c r="G12307" t="n">
        <v>9.4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33043-2025</t>
        </is>
      </c>
      <c r="B12308" s="1" t="n">
        <v>45840.40680555555</v>
      </c>
      <c r="C12308" s="1" t="n">
        <v>46093</v>
      </c>
      <c r="D12308" t="inlineStr">
        <is>
          <t>VÄSTERNORRLANDS LÄN</t>
        </is>
      </c>
      <c r="E12308" t="inlineStr">
        <is>
          <t>TIMRÅ</t>
        </is>
      </c>
      <c r="G12308" t="n">
        <v>0.7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32876-2025</t>
        </is>
      </c>
      <c r="B12309" s="1" t="n">
        <v>45839.59461805555</v>
      </c>
      <c r="C12309" s="1" t="n">
        <v>46093</v>
      </c>
      <c r="D12309" t="inlineStr">
        <is>
          <t>VÄSTERNORRLANDS LÄN</t>
        </is>
      </c>
      <c r="E12309" t="inlineStr">
        <is>
          <t>ÖRNSKÖLDSVIK</t>
        </is>
      </c>
      <c r="F12309" t="inlineStr">
        <is>
          <t>Holmen skog AB</t>
        </is>
      </c>
      <c r="G12309" t="n">
        <v>29.6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32721-2025</t>
        </is>
      </c>
      <c r="B12310" s="1" t="n">
        <v>45839.38572916666</v>
      </c>
      <c r="C12310" s="1" t="n">
        <v>46093</v>
      </c>
      <c r="D12310" t="inlineStr">
        <is>
          <t>VÄSTERNORRLANDS LÄN</t>
        </is>
      </c>
      <c r="E12310" t="inlineStr">
        <is>
          <t>KRAMFORS</t>
        </is>
      </c>
      <c r="G12310" t="n">
        <v>1.1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34729-2025</t>
        </is>
      </c>
      <c r="B12311" s="1" t="n">
        <v>45840</v>
      </c>
      <c r="C12311" s="1" t="n">
        <v>46093</v>
      </c>
      <c r="D12311" t="inlineStr">
        <is>
          <t>VÄSTERNORRLANDS LÄN</t>
        </is>
      </c>
      <c r="E12311" t="inlineStr">
        <is>
          <t>HÄRNÖSAND</t>
        </is>
      </c>
      <c r="G12311" t="n">
        <v>0.5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32912-2025</t>
        </is>
      </c>
      <c r="B12312" s="1" t="n">
        <v>45839.63586805556</v>
      </c>
      <c r="C12312" s="1" t="n">
        <v>46093</v>
      </c>
      <c r="D12312" t="inlineStr">
        <is>
          <t>VÄSTERNORRLANDS LÄN</t>
        </is>
      </c>
      <c r="E12312" t="inlineStr">
        <is>
          <t>TIMRÅ</t>
        </is>
      </c>
      <c r="F12312" t="inlineStr">
        <is>
          <t>SCA</t>
        </is>
      </c>
      <c r="G12312" t="n">
        <v>0.4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33177-2025</t>
        </is>
      </c>
      <c r="B12313" s="1" t="n">
        <v>45840.58792824074</v>
      </c>
      <c r="C12313" s="1" t="n">
        <v>46093</v>
      </c>
      <c r="D12313" t="inlineStr">
        <is>
          <t>VÄSTERNORRLANDS LÄN</t>
        </is>
      </c>
      <c r="E12313" t="inlineStr">
        <is>
          <t>ÖRNSKÖLDSVIK</t>
        </is>
      </c>
      <c r="F12313" t="inlineStr">
        <is>
          <t>Holmen skog AB</t>
        </is>
      </c>
      <c r="G12313" t="n">
        <v>0.6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33108-2025</t>
        </is>
      </c>
      <c r="B12314" s="1" t="n">
        <v>45840.48578703704</v>
      </c>
      <c r="C12314" s="1" t="n">
        <v>46093</v>
      </c>
      <c r="D12314" t="inlineStr">
        <is>
          <t>VÄSTERNORRLANDS LÄN</t>
        </is>
      </c>
      <c r="E12314" t="inlineStr">
        <is>
          <t>KRAMFORS</t>
        </is>
      </c>
      <c r="G12314" t="n">
        <v>1.3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33119-2025</t>
        </is>
      </c>
      <c r="B12315" s="1" t="n">
        <v>45840.49299768519</v>
      </c>
      <c r="C12315" s="1" t="n">
        <v>46093</v>
      </c>
      <c r="D12315" t="inlineStr">
        <is>
          <t>VÄSTERNORRLANDS LÄN</t>
        </is>
      </c>
      <c r="E12315" t="inlineStr">
        <is>
          <t>KRAMFORS</t>
        </is>
      </c>
      <c r="G12315" t="n">
        <v>2.7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32745-2025</t>
        </is>
      </c>
      <c r="B12316" s="1" t="n">
        <v>45839.42753472222</v>
      </c>
      <c r="C12316" s="1" t="n">
        <v>46093</v>
      </c>
      <c r="D12316" t="inlineStr">
        <is>
          <t>VÄSTERNORRLANDS LÄN</t>
        </is>
      </c>
      <c r="E12316" t="inlineStr">
        <is>
          <t>SOLLEFTEÅ</t>
        </is>
      </c>
      <c r="F12316" t="inlineStr">
        <is>
          <t>SCA</t>
        </is>
      </c>
      <c r="G12316" t="n">
        <v>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33112-2025</t>
        </is>
      </c>
      <c r="B12317" s="1" t="n">
        <v>45840.48953703704</v>
      </c>
      <c r="C12317" s="1" t="n">
        <v>46093</v>
      </c>
      <c r="D12317" t="inlineStr">
        <is>
          <t>VÄSTERNORRLANDS LÄN</t>
        </is>
      </c>
      <c r="E12317" t="inlineStr">
        <is>
          <t>TIMRÅ</t>
        </is>
      </c>
      <c r="G12317" t="n">
        <v>3.5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33134-2025</t>
        </is>
      </c>
      <c r="B12318" s="1" t="n">
        <v>45840.51084490741</v>
      </c>
      <c r="C12318" s="1" t="n">
        <v>46093</v>
      </c>
      <c r="D12318" t="inlineStr">
        <is>
          <t>VÄSTERNORRLANDS LÄN</t>
        </is>
      </c>
      <c r="E12318" t="inlineStr">
        <is>
          <t>KRAMFORS</t>
        </is>
      </c>
      <c r="F12318" t="inlineStr">
        <is>
          <t>SCA</t>
        </is>
      </c>
      <c r="G12318" t="n">
        <v>1.3</v>
      </c>
      <c r="H12318" t="n">
        <v>0</v>
      </c>
      <c r="I12318" t="n">
        <v>0</v>
      </c>
      <c r="J12318" t="n">
        <v>0</v>
      </c>
      <c r="K12318" t="n">
        <v>0</v>
      </c>
      <c r="L12318" t="n">
        <v>0</v>
      </c>
      <c r="M12318" t="n">
        <v>0</v>
      </c>
      <c r="N12318" t="n">
        <v>0</v>
      </c>
      <c r="O12318" t="n">
        <v>0</v>
      </c>
      <c r="P12318" t="n">
        <v>0</v>
      </c>
      <c r="Q12318" t="n">
        <v>0</v>
      </c>
      <c r="R12318" s="2" t="inlineStr"/>
      <c r="U12318">
        <f>HYPERLINK("https://klasma.github.io/Logging_2282/knärot/A 33134-2025 karta knärot.png", "A 33134-2025")</f>
        <v/>
      </c>
      <c r="V12318">
        <f>HYPERLINK("https://klasma.github.io/Logging_2282/klagomål/A 33134-2025 FSC-klagomål.docx", "A 33134-2025")</f>
        <v/>
      </c>
      <c r="W12318">
        <f>HYPERLINK("https://klasma.github.io/Logging_2282/klagomålsmail/A 33134-2025 FSC-klagomål mail.docx", "A 33134-2025")</f>
        <v/>
      </c>
      <c r="X12318">
        <f>HYPERLINK("https://klasma.github.io/Logging_2282/tillsyn/A 33134-2025 tillsynsbegäran.docx", "A 33134-2025")</f>
        <v/>
      </c>
      <c r="Y12318">
        <f>HYPERLINK("https://klasma.github.io/Logging_2282/tillsynsmail/A 33134-2025 tillsynsbegäran mail.docx", "A 33134-2025")</f>
        <v/>
      </c>
    </row>
    <row r="12319" ht="15" customHeight="1">
      <c r="A12319" t="inlineStr">
        <is>
          <t>A 33145-2025</t>
        </is>
      </c>
      <c r="B12319" s="1" t="n">
        <v>45840</v>
      </c>
      <c r="C12319" s="1" t="n">
        <v>46093</v>
      </c>
      <c r="D12319" t="inlineStr">
        <is>
          <t>VÄSTERNORRLANDS LÄN</t>
        </is>
      </c>
      <c r="E12319" t="inlineStr">
        <is>
          <t>HÄRNÖSAND</t>
        </is>
      </c>
      <c r="G12319" t="n">
        <v>0.5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32749-2025</t>
        </is>
      </c>
      <c r="B12320" s="1" t="n">
        <v>45839.42834490741</v>
      </c>
      <c r="C12320" s="1" t="n">
        <v>46093</v>
      </c>
      <c r="D12320" t="inlineStr">
        <is>
          <t>VÄSTERNORRLANDS LÄN</t>
        </is>
      </c>
      <c r="E12320" t="inlineStr">
        <is>
          <t>SOLLEFTEÅ</t>
        </is>
      </c>
      <c r="F12320" t="inlineStr">
        <is>
          <t>SCA</t>
        </is>
      </c>
      <c r="G12320" t="n">
        <v>15.3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33012-2025</t>
        </is>
      </c>
      <c r="B12321" s="1" t="n">
        <v>45840.36498842593</v>
      </c>
      <c r="C12321" s="1" t="n">
        <v>46093</v>
      </c>
      <c r="D12321" t="inlineStr">
        <is>
          <t>VÄSTERNORRLANDS LÄN</t>
        </is>
      </c>
      <c r="E12321" t="inlineStr">
        <is>
          <t>SOLLEFTEÅ</t>
        </is>
      </c>
      <c r="F12321" t="inlineStr">
        <is>
          <t>SCA</t>
        </is>
      </c>
      <c r="G12321" t="n">
        <v>5.5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33047-2025</t>
        </is>
      </c>
      <c r="B12322" s="1" t="n">
        <v>45840.41137731481</v>
      </c>
      <c r="C12322" s="1" t="n">
        <v>46093</v>
      </c>
      <c r="D12322" t="inlineStr">
        <is>
          <t>VÄSTERNORRLANDS LÄN</t>
        </is>
      </c>
      <c r="E12322" t="inlineStr">
        <is>
          <t>ÖRNSKÖLDSVIK</t>
        </is>
      </c>
      <c r="F12322" t="inlineStr">
        <is>
          <t>Holmen skog AB</t>
        </is>
      </c>
      <c r="G12322" t="n">
        <v>3.6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32964-2025</t>
        </is>
      </c>
      <c r="B12323" s="1" t="n">
        <v>45839.71916666667</v>
      </c>
      <c r="C12323" s="1" t="n">
        <v>46093</v>
      </c>
      <c r="D12323" t="inlineStr">
        <is>
          <t>VÄSTERNORRLANDS LÄN</t>
        </is>
      </c>
      <c r="E12323" t="inlineStr">
        <is>
          <t>TIMRÅ</t>
        </is>
      </c>
      <c r="F12323" t="inlineStr">
        <is>
          <t>SCA</t>
        </is>
      </c>
      <c r="G12323" t="n">
        <v>1.6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33557-2025</t>
        </is>
      </c>
      <c r="B12324" s="1" t="n">
        <v>45841.57519675926</v>
      </c>
      <c r="C12324" s="1" t="n">
        <v>46093</v>
      </c>
      <c r="D12324" t="inlineStr">
        <is>
          <t>VÄSTERNORRLANDS LÄN</t>
        </is>
      </c>
      <c r="E12324" t="inlineStr">
        <is>
          <t>ÖRNSKÖLDSVIK</t>
        </is>
      </c>
      <c r="F12324" t="inlineStr">
        <is>
          <t>Holmen skog AB</t>
        </is>
      </c>
      <c r="G12324" t="n">
        <v>4.7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33652-2025</t>
        </is>
      </c>
      <c r="B12325" s="1" t="n">
        <v>45841.65756944445</v>
      </c>
      <c r="C12325" s="1" t="n">
        <v>46093</v>
      </c>
      <c r="D12325" t="inlineStr">
        <is>
          <t>VÄSTERNORRLANDS LÄN</t>
        </is>
      </c>
      <c r="E12325" t="inlineStr">
        <is>
          <t>ÖRNSKÖLDSVIK</t>
        </is>
      </c>
      <c r="F12325" t="inlineStr">
        <is>
          <t>Holmen skog AB</t>
        </is>
      </c>
      <c r="G12325" t="n">
        <v>3.8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33675-2025</t>
        </is>
      </c>
      <c r="B12326" s="1" t="n">
        <v>45841.67796296296</v>
      </c>
      <c r="C12326" s="1" t="n">
        <v>46093</v>
      </c>
      <c r="D12326" t="inlineStr">
        <is>
          <t>VÄSTERNORRLANDS LÄN</t>
        </is>
      </c>
      <c r="E12326" t="inlineStr">
        <is>
          <t>SOLLEFTEÅ</t>
        </is>
      </c>
      <c r="F12326" t="inlineStr">
        <is>
          <t>SCA</t>
        </is>
      </c>
      <c r="G12326" t="n">
        <v>1.2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33563-2025</t>
        </is>
      </c>
      <c r="B12327" s="1" t="n">
        <v>45841.57833333333</v>
      </c>
      <c r="C12327" s="1" t="n">
        <v>46093</v>
      </c>
      <c r="D12327" t="inlineStr">
        <is>
          <t>VÄSTERNORRLANDS LÄN</t>
        </is>
      </c>
      <c r="E12327" t="inlineStr">
        <is>
          <t>ÖRNSKÖLDSVIK</t>
        </is>
      </c>
      <c r="F12327" t="inlineStr">
        <is>
          <t>Holmen skog AB</t>
        </is>
      </c>
      <c r="G12327" t="n">
        <v>2.8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33727-2025</t>
        </is>
      </c>
      <c r="B12328" s="1" t="n">
        <v>45842.28965277778</v>
      </c>
      <c r="C12328" s="1" t="n">
        <v>46093</v>
      </c>
      <c r="D12328" t="inlineStr">
        <is>
          <t>VÄSTERNORRLANDS LÄN</t>
        </is>
      </c>
      <c r="E12328" t="inlineStr">
        <is>
          <t>ÖRNSKÖLDSVIK</t>
        </is>
      </c>
      <c r="G12328" t="n">
        <v>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33847-2025</t>
        </is>
      </c>
      <c r="B12329" s="1" t="n">
        <v>45842.49149305555</v>
      </c>
      <c r="C12329" s="1" t="n">
        <v>46093</v>
      </c>
      <c r="D12329" t="inlineStr">
        <is>
          <t>VÄSTERNORRLANDS LÄN</t>
        </is>
      </c>
      <c r="E12329" t="inlineStr">
        <is>
          <t>ÖRNSKÖLDSVIK</t>
        </is>
      </c>
      <c r="F12329" t="inlineStr">
        <is>
          <t>Holmen skog AB</t>
        </is>
      </c>
      <c r="G12329" t="n">
        <v>1.5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33855-2025</t>
        </is>
      </c>
      <c r="B12330" s="1" t="n">
        <v>45842.51125</v>
      </c>
      <c r="C12330" s="1" t="n">
        <v>46093</v>
      </c>
      <c r="D12330" t="inlineStr">
        <is>
          <t>VÄSTERNORRLANDS LÄN</t>
        </is>
      </c>
      <c r="E12330" t="inlineStr">
        <is>
          <t>SOLLEFTEÅ</t>
        </is>
      </c>
      <c r="F12330" t="inlineStr">
        <is>
          <t>SCA</t>
        </is>
      </c>
      <c r="G12330" t="n">
        <v>2.4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33859-2025</t>
        </is>
      </c>
      <c r="B12331" s="1" t="n">
        <v>45842.52354166667</v>
      </c>
      <c r="C12331" s="1" t="n">
        <v>46093</v>
      </c>
      <c r="D12331" t="inlineStr">
        <is>
          <t>VÄSTERNORRLANDS LÄN</t>
        </is>
      </c>
      <c r="E12331" t="inlineStr">
        <is>
          <t>KRAMFORS</t>
        </is>
      </c>
      <c r="G12331" t="n">
        <v>1.1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33662-2025</t>
        </is>
      </c>
      <c r="B12332" s="1" t="n">
        <v>45841</v>
      </c>
      <c r="C12332" s="1" t="n">
        <v>46093</v>
      </c>
      <c r="D12332" t="inlineStr">
        <is>
          <t>VÄSTERNORRLANDS LÄN</t>
        </is>
      </c>
      <c r="E12332" t="inlineStr">
        <is>
          <t>ÖRNSKÖLDSVIK</t>
        </is>
      </c>
      <c r="G12332" t="n">
        <v>1.6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33676-2025</t>
        </is>
      </c>
      <c r="B12333" s="1" t="n">
        <v>45841.67818287037</v>
      </c>
      <c r="C12333" s="1" t="n">
        <v>46093</v>
      </c>
      <c r="D12333" t="inlineStr">
        <is>
          <t>VÄSTERNORRLANDS LÄN</t>
        </is>
      </c>
      <c r="E12333" t="inlineStr">
        <is>
          <t>SOLLEFTEÅ</t>
        </is>
      </c>
      <c r="F12333" t="inlineStr">
        <is>
          <t>SCA</t>
        </is>
      </c>
      <c r="G12333" t="n">
        <v>1.2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33782-2025</t>
        </is>
      </c>
      <c r="B12334" s="1" t="n">
        <v>45842.40678240741</v>
      </c>
      <c r="C12334" s="1" t="n">
        <v>46093</v>
      </c>
      <c r="D12334" t="inlineStr">
        <is>
          <t>VÄSTERNORRLANDS LÄN</t>
        </is>
      </c>
      <c r="E12334" t="inlineStr">
        <is>
          <t>ÅNGE</t>
        </is>
      </c>
      <c r="F12334" t="inlineStr">
        <is>
          <t>SCA</t>
        </is>
      </c>
      <c r="G12334" t="n">
        <v>8.4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33646-2025</t>
        </is>
      </c>
      <c r="B12335" s="1" t="n">
        <v>45841.65662037037</v>
      </c>
      <c r="C12335" s="1" t="n">
        <v>46093</v>
      </c>
      <c r="D12335" t="inlineStr">
        <is>
          <t>VÄSTERNORRLANDS LÄN</t>
        </is>
      </c>
      <c r="E12335" t="inlineStr">
        <is>
          <t>SUNDSVALL</t>
        </is>
      </c>
      <c r="F12335" t="inlineStr">
        <is>
          <t>SCA</t>
        </is>
      </c>
      <c r="G12335" t="n">
        <v>3.3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33957-2025</t>
        </is>
      </c>
      <c r="B12336" s="1" t="n">
        <v>45842.67762731481</v>
      </c>
      <c r="C12336" s="1" t="n">
        <v>46093</v>
      </c>
      <c r="D12336" t="inlineStr">
        <is>
          <t>VÄSTERNORRLANDS LÄN</t>
        </is>
      </c>
      <c r="E12336" t="inlineStr">
        <is>
          <t>SOLLEFTEÅ</t>
        </is>
      </c>
      <c r="F12336" t="inlineStr">
        <is>
          <t>SCA</t>
        </is>
      </c>
      <c r="G12336" t="n">
        <v>2.2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33656-2025</t>
        </is>
      </c>
      <c r="B12337" s="1" t="n">
        <v>45841.65966435185</v>
      </c>
      <c r="C12337" s="1" t="n">
        <v>46093</v>
      </c>
      <c r="D12337" t="inlineStr">
        <is>
          <t>VÄSTERNORRLANDS LÄN</t>
        </is>
      </c>
      <c r="E12337" t="inlineStr">
        <is>
          <t>ÖRNSKÖLDSVIK</t>
        </is>
      </c>
      <c r="F12337" t="inlineStr">
        <is>
          <t>Holmen skog AB</t>
        </is>
      </c>
      <c r="G12337" t="n">
        <v>8.1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33734-2025</t>
        </is>
      </c>
      <c r="B12338" s="1" t="n">
        <v>45842.32634259259</v>
      </c>
      <c r="C12338" s="1" t="n">
        <v>46093</v>
      </c>
      <c r="D12338" t="inlineStr">
        <is>
          <t>VÄSTERNORRLANDS LÄN</t>
        </is>
      </c>
      <c r="E12338" t="inlineStr">
        <is>
          <t>ÖRNSKÖLDSVIK</t>
        </is>
      </c>
      <c r="G12338" t="n">
        <v>1.8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33479-2025</t>
        </is>
      </c>
      <c r="B12339" s="1" t="n">
        <v>45841.49543981482</v>
      </c>
      <c r="C12339" s="1" t="n">
        <v>46093</v>
      </c>
      <c r="D12339" t="inlineStr">
        <is>
          <t>VÄSTERNORRLANDS LÄN</t>
        </is>
      </c>
      <c r="E12339" t="inlineStr">
        <is>
          <t>KRAMFORS</t>
        </is>
      </c>
      <c r="G12339" t="n">
        <v>1.2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33480-2025</t>
        </is>
      </c>
      <c r="B12340" s="1" t="n">
        <v>45841.49800925926</v>
      </c>
      <c r="C12340" s="1" t="n">
        <v>46093</v>
      </c>
      <c r="D12340" t="inlineStr">
        <is>
          <t>VÄSTERNORRLANDS LÄN</t>
        </is>
      </c>
      <c r="E12340" t="inlineStr">
        <is>
          <t>ÖRNSKÖLDSVIK</t>
        </is>
      </c>
      <c r="F12340" t="inlineStr">
        <is>
          <t>Holmen skog AB</t>
        </is>
      </c>
      <c r="G12340" t="n">
        <v>1.4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33486-2025</t>
        </is>
      </c>
      <c r="B12341" s="1" t="n">
        <v>45841.50481481481</v>
      </c>
      <c r="C12341" s="1" t="n">
        <v>46093</v>
      </c>
      <c r="D12341" t="inlineStr">
        <is>
          <t>VÄSTERNORRLANDS LÄN</t>
        </is>
      </c>
      <c r="E12341" t="inlineStr">
        <is>
          <t>KRAMFORS</t>
        </is>
      </c>
      <c r="G12341" t="n">
        <v>0.7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33500-2025</t>
        </is>
      </c>
      <c r="B12342" s="1" t="n">
        <v>45841.51064814815</v>
      </c>
      <c r="C12342" s="1" t="n">
        <v>46093</v>
      </c>
      <c r="D12342" t="inlineStr">
        <is>
          <t>VÄSTERNORRLANDS LÄN</t>
        </is>
      </c>
      <c r="E12342" t="inlineStr">
        <is>
          <t>KRAMFORS</t>
        </is>
      </c>
      <c r="G12342" t="n">
        <v>1.2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33509-2025</t>
        </is>
      </c>
      <c r="B12343" s="1" t="n">
        <v>45841.51625</v>
      </c>
      <c r="C12343" s="1" t="n">
        <v>46093</v>
      </c>
      <c r="D12343" t="inlineStr">
        <is>
          <t>VÄSTERNORRLANDS LÄN</t>
        </is>
      </c>
      <c r="E12343" t="inlineStr">
        <is>
          <t>KRAMFORS</t>
        </is>
      </c>
      <c r="G12343" t="n">
        <v>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33891-2025</t>
        </is>
      </c>
      <c r="B12344" s="1" t="n">
        <v>45842.57388888889</v>
      </c>
      <c r="C12344" s="1" t="n">
        <v>46093</v>
      </c>
      <c r="D12344" t="inlineStr">
        <is>
          <t>VÄSTERNORRLANDS LÄN</t>
        </is>
      </c>
      <c r="E12344" t="inlineStr">
        <is>
          <t>TIMRÅ</t>
        </is>
      </c>
      <c r="G12344" t="n">
        <v>2.8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33917-2025</t>
        </is>
      </c>
      <c r="B12345" s="1" t="n">
        <v>45842.61491898148</v>
      </c>
      <c r="C12345" s="1" t="n">
        <v>46093</v>
      </c>
      <c r="D12345" t="inlineStr">
        <is>
          <t>VÄSTERNORRLANDS LÄN</t>
        </is>
      </c>
      <c r="E12345" t="inlineStr">
        <is>
          <t>SOLLEFTEÅ</t>
        </is>
      </c>
      <c r="F12345" t="inlineStr">
        <is>
          <t>SCA</t>
        </is>
      </c>
      <c r="G12345" t="n">
        <v>0.8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33934-2025</t>
        </is>
      </c>
      <c r="B12346" s="1" t="n">
        <v>45842.63596064815</v>
      </c>
      <c r="C12346" s="1" t="n">
        <v>46093</v>
      </c>
      <c r="D12346" t="inlineStr">
        <is>
          <t>VÄSTERNORRLANDS LÄN</t>
        </is>
      </c>
      <c r="E12346" t="inlineStr">
        <is>
          <t>SUNDSVALL</t>
        </is>
      </c>
      <c r="F12346" t="inlineStr">
        <is>
          <t>SCA</t>
        </is>
      </c>
      <c r="G12346" t="n">
        <v>1.5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33940-2025</t>
        </is>
      </c>
      <c r="B12347" s="1" t="n">
        <v>45842.63925925926</v>
      </c>
      <c r="C12347" s="1" t="n">
        <v>46093</v>
      </c>
      <c r="D12347" t="inlineStr">
        <is>
          <t>VÄSTERNORRLANDS LÄN</t>
        </is>
      </c>
      <c r="E12347" t="inlineStr">
        <is>
          <t>KRAMFORS</t>
        </is>
      </c>
      <c r="G12347" t="n">
        <v>4.2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33899-2025</t>
        </is>
      </c>
      <c r="B12348" s="1" t="n">
        <v>45842.59440972222</v>
      </c>
      <c r="C12348" s="1" t="n">
        <v>46093</v>
      </c>
      <c r="D12348" t="inlineStr">
        <is>
          <t>VÄSTERNORRLANDS LÄN</t>
        </is>
      </c>
      <c r="E12348" t="inlineStr">
        <is>
          <t>SUNDSVALL</t>
        </is>
      </c>
      <c r="F12348" t="inlineStr">
        <is>
          <t>SCA</t>
        </is>
      </c>
      <c r="G12348" t="n">
        <v>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33911-2025</t>
        </is>
      </c>
      <c r="B12349" s="1" t="n">
        <v>45842.60388888889</v>
      </c>
      <c r="C12349" s="1" t="n">
        <v>46093</v>
      </c>
      <c r="D12349" t="inlineStr">
        <is>
          <t>VÄSTERNORRLANDS LÄN</t>
        </is>
      </c>
      <c r="E12349" t="inlineStr">
        <is>
          <t>ÖRNSKÖLDSVIK</t>
        </is>
      </c>
      <c r="F12349" t="inlineStr">
        <is>
          <t>Holmen skog AB</t>
        </is>
      </c>
      <c r="G12349" t="n">
        <v>12.6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33751-2025</t>
        </is>
      </c>
      <c r="B12350" s="1" t="n">
        <v>45842.3641087963</v>
      </c>
      <c r="C12350" s="1" t="n">
        <v>46093</v>
      </c>
      <c r="D12350" t="inlineStr">
        <is>
          <t>VÄSTERNORRLANDS LÄN</t>
        </is>
      </c>
      <c r="E12350" t="inlineStr">
        <is>
          <t>ÖRNSKÖLDSVIK</t>
        </is>
      </c>
      <c r="F12350" t="inlineStr">
        <is>
          <t>Holmen skog AB</t>
        </is>
      </c>
      <c r="G12350" t="n">
        <v>13.6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33430-2025</t>
        </is>
      </c>
      <c r="B12351" s="1" t="n">
        <v>45841.44829861111</v>
      </c>
      <c r="C12351" s="1" t="n">
        <v>46093</v>
      </c>
      <c r="D12351" t="inlineStr">
        <is>
          <t>VÄSTERNORRLANDS LÄN</t>
        </is>
      </c>
      <c r="E12351" t="inlineStr">
        <is>
          <t>SOLLEFTEÅ</t>
        </is>
      </c>
      <c r="F12351" t="inlineStr">
        <is>
          <t>SCA</t>
        </is>
      </c>
      <c r="G12351" t="n">
        <v>2.3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33436-2025</t>
        </is>
      </c>
      <c r="B12352" s="1" t="n">
        <v>45841.44898148148</v>
      </c>
      <c r="C12352" s="1" t="n">
        <v>46093</v>
      </c>
      <c r="D12352" t="inlineStr">
        <is>
          <t>VÄSTERNORRLANDS LÄN</t>
        </is>
      </c>
      <c r="E12352" t="inlineStr">
        <is>
          <t>SOLLEFTEÅ</t>
        </is>
      </c>
      <c r="F12352" t="inlineStr">
        <is>
          <t>SCA</t>
        </is>
      </c>
      <c r="G12352" t="n">
        <v>19.2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33674-2025</t>
        </is>
      </c>
      <c r="B12353" s="1" t="n">
        <v>45841.67770833334</v>
      </c>
      <c r="C12353" s="1" t="n">
        <v>46093</v>
      </c>
      <c r="D12353" t="inlineStr">
        <is>
          <t>VÄSTERNORRLANDS LÄN</t>
        </is>
      </c>
      <c r="E12353" t="inlineStr">
        <is>
          <t>SOLLEFTEÅ</t>
        </is>
      </c>
      <c r="F12353" t="inlineStr">
        <is>
          <t>SCA</t>
        </is>
      </c>
      <c r="G12353" t="n">
        <v>1.2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33323-2025</t>
        </is>
      </c>
      <c r="B12354" s="1" t="n">
        <v>45841.34539351852</v>
      </c>
      <c r="C12354" s="1" t="n">
        <v>46093</v>
      </c>
      <c r="D12354" t="inlineStr">
        <is>
          <t>VÄSTERNORRLANDS LÄN</t>
        </is>
      </c>
      <c r="E12354" t="inlineStr">
        <is>
          <t>KRAMFORS</t>
        </is>
      </c>
      <c r="F12354" t="inlineStr">
        <is>
          <t>SCA</t>
        </is>
      </c>
      <c r="G12354" t="n">
        <v>3.8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33324-2025</t>
        </is>
      </c>
      <c r="B12355" s="1" t="n">
        <v>45841.34554398148</v>
      </c>
      <c r="C12355" s="1" t="n">
        <v>46093</v>
      </c>
      <c r="D12355" t="inlineStr">
        <is>
          <t>VÄSTERNORRLANDS LÄN</t>
        </is>
      </c>
      <c r="E12355" t="inlineStr">
        <is>
          <t>ÖRNSKÖLDSVIK</t>
        </is>
      </c>
      <c r="F12355" t="inlineStr">
        <is>
          <t>SCA</t>
        </is>
      </c>
      <c r="G12355" t="n">
        <v>12.4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33442-2025</t>
        </is>
      </c>
      <c r="B12356" s="1" t="n">
        <v>45841.46092592592</v>
      </c>
      <c r="C12356" s="1" t="n">
        <v>46093</v>
      </c>
      <c r="D12356" t="inlineStr">
        <is>
          <t>VÄSTERNORRLANDS LÄN</t>
        </is>
      </c>
      <c r="E12356" t="inlineStr">
        <is>
          <t>SOLLEFTEÅ</t>
        </is>
      </c>
      <c r="G12356" t="n">
        <v>2.5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33553-2025</t>
        </is>
      </c>
      <c r="B12357" s="1" t="n">
        <v>45841.5737962963</v>
      </c>
      <c r="C12357" s="1" t="n">
        <v>46093</v>
      </c>
      <c r="D12357" t="inlineStr">
        <is>
          <t>VÄSTERNORRLANDS LÄN</t>
        </is>
      </c>
      <c r="E12357" t="inlineStr">
        <is>
          <t>KRAMFORS</t>
        </is>
      </c>
      <c r="F12357" t="inlineStr">
        <is>
          <t>SCA</t>
        </is>
      </c>
      <c r="G12357" t="n">
        <v>2.8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33620-2025</t>
        </is>
      </c>
      <c r="B12358" s="1" t="n">
        <v>45841</v>
      </c>
      <c r="C12358" s="1" t="n">
        <v>46093</v>
      </c>
      <c r="D12358" t="inlineStr">
        <is>
          <t>VÄSTERNORRLANDS LÄN</t>
        </is>
      </c>
      <c r="E12358" t="inlineStr">
        <is>
          <t>ÖRNSKÖLDSVIK</t>
        </is>
      </c>
      <c r="G12358" t="n">
        <v>3.8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33633-2025</t>
        </is>
      </c>
      <c r="B12359" s="1" t="n">
        <v>45841.64363425926</v>
      </c>
      <c r="C12359" s="1" t="n">
        <v>46093</v>
      </c>
      <c r="D12359" t="inlineStr">
        <is>
          <t>VÄSTERNORRLANDS LÄN</t>
        </is>
      </c>
      <c r="E12359" t="inlineStr">
        <is>
          <t>ÖRNSKÖLDSVIK</t>
        </is>
      </c>
      <c r="F12359" t="inlineStr">
        <is>
          <t>Holmen skog AB</t>
        </is>
      </c>
      <c r="G12359" t="n">
        <v>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33634-2025</t>
        </is>
      </c>
      <c r="B12360" s="1" t="n">
        <v>45841.64438657407</v>
      </c>
      <c r="C12360" s="1" t="n">
        <v>46093</v>
      </c>
      <c r="D12360" t="inlineStr">
        <is>
          <t>VÄSTERNORRLANDS LÄN</t>
        </is>
      </c>
      <c r="E12360" t="inlineStr">
        <is>
          <t>ÖRNSKÖLDSVIK</t>
        </is>
      </c>
      <c r="F12360" t="inlineStr">
        <is>
          <t>Holmen skog AB</t>
        </is>
      </c>
      <c r="G12360" t="n">
        <v>1.4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33568-2025</t>
        </is>
      </c>
      <c r="B12361" s="1" t="n">
        <v>45841.58291666667</v>
      </c>
      <c r="C12361" s="1" t="n">
        <v>46093</v>
      </c>
      <c r="D12361" t="inlineStr">
        <is>
          <t>VÄSTERNORRLANDS LÄN</t>
        </is>
      </c>
      <c r="E12361" t="inlineStr">
        <is>
          <t>ÖRNSKÖLDSVIK</t>
        </is>
      </c>
      <c r="G12361" t="n">
        <v>0.6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33437-2025</t>
        </is>
      </c>
      <c r="B12362" s="1" t="n">
        <v>45841.4502199074</v>
      </c>
      <c r="C12362" s="1" t="n">
        <v>46093</v>
      </c>
      <c r="D12362" t="inlineStr">
        <is>
          <t>VÄSTERNORRLANDS LÄN</t>
        </is>
      </c>
      <c r="E12362" t="inlineStr">
        <is>
          <t>SOLLEFTEÅ</t>
        </is>
      </c>
      <c r="G12362" t="n">
        <v>2.8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33936-2025</t>
        </is>
      </c>
      <c r="B12363" s="1" t="n">
        <v>45842.63630787037</v>
      </c>
      <c r="C12363" s="1" t="n">
        <v>46093</v>
      </c>
      <c r="D12363" t="inlineStr">
        <is>
          <t>VÄSTERNORRLANDS LÄN</t>
        </is>
      </c>
      <c r="E12363" t="inlineStr">
        <is>
          <t>SOLLEFTEÅ</t>
        </is>
      </c>
      <c r="F12363" t="inlineStr">
        <is>
          <t>SCA</t>
        </is>
      </c>
      <c r="G12363" t="n">
        <v>3.2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33524-2025</t>
        </is>
      </c>
      <c r="B12364" s="1" t="n">
        <v>45841.54736111111</v>
      </c>
      <c r="C12364" s="1" t="n">
        <v>46093</v>
      </c>
      <c r="D12364" t="inlineStr">
        <is>
          <t>VÄSTERNORRLANDS LÄN</t>
        </is>
      </c>
      <c r="E12364" t="inlineStr">
        <is>
          <t>ÖRNSKÖLDSVIK</t>
        </is>
      </c>
      <c r="F12364" t="inlineStr">
        <is>
          <t>Holmen skog AB</t>
        </is>
      </c>
      <c r="G12364" t="n">
        <v>11.5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33587-2025</t>
        </is>
      </c>
      <c r="B12365" s="1" t="n">
        <v>45841</v>
      </c>
      <c r="C12365" s="1" t="n">
        <v>46093</v>
      </c>
      <c r="D12365" t="inlineStr">
        <is>
          <t>VÄSTERNORRLANDS LÄN</t>
        </is>
      </c>
      <c r="E12365" t="inlineStr">
        <is>
          <t>ÖRNSKÖLDSVIK</t>
        </is>
      </c>
      <c r="G12365" t="n">
        <v>1.2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33825-2025</t>
        </is>
      </c>
      <c r="B12366" s="1" t="n">
        <v>45842.46930555555</v>
      </c>
      <c r="C12366" s="1" t="n">
        <v>46093</v>
      </c>
      <c r="D12366" t="inlineStr">
        <is>
          <t>VÄSTERNORRLANDS LÄN</t>
        </is>
      </c>
      <c r="E12366" t="inlineStr">
        <is>
          <t>SOLLEFTEÅ</t>
        </is>
      </c>
      <c r="F12366" t="inlineStr">
        <is>
          <t>SCA</t>
        </is>
      </c>
      <c r="G12366" t="n">
        <v>1.8</v>
      </c>
      <c r="H12366" t="n">
        <v>0</v>
      </c>
      <c r="I12366" t="n">
        <v>0</v>
      </c>
      <c r="J12366" t="n">
        <v>0</v>
      </c>
      <c r="K12366" t="n">
        <v>0</v>
      </c>
      <c r="L12366" t="n">
        <v>0</v>
      </c>
      <c r="M12366" t="n">
        <v>0</v>
      </c>
      <c r="N12366" t="n">
        <v>0</v>
      </c>
      <c r="O12366" t="n">
        <v>0</v>
      </c>
      <c r="P12366" t="n">
        <v>0</v>
      </c>
      <c r="Q12366" t="n">
        <v>0</v>
      </c>
      <c r="R12366" s="2" t="inlineStr"/>
    </row>
    <row r="12367">
      <c r="A12367" t="inlineStr">
        <is>
          <t>A 33809-2025</t>
        </is>
      </c>
      <c r="B12367" s="1" t="n">
        <v>45842.44891203703</v>
      </c>
      <c r="C12367" s="1" t="n">
        <v>46093</v>
      </c>
      <c r="D12367" t="inlineStr">
        <is>
          <t>VÄSTERNORRLANDS LÄN</t>
        </is>
      </c>
      <c r="E12367" t="inlineStr">
        <is>
          <t>KRAMFORS</t>
        </is>
      </c>
      <c r="G12367" t="n">
        <v>2.6</v>
      </c>
      <c r="H12367" t="n">
        <v>0</v>
      </c>
      <c r="I12367" t="n">
        <v>0</v>
      </c>
      <c r="J12367" t="n">
        <v>0</v>
      </c>
      <c r="K12367" t="n">
        <v>0</v>
      </c>
      <c r="L12367" t="n">
        <v>0</v>
      </c>
      <c r="M12367" t="n">
        <v>0</v>
      </c>
      <c r="N12367" t="n">
        <v>0</v>
      </c>
      <c r="O12367" t="n">
        <v>0</v>
      </c>
      <c r="P12367" t="n">
        <v>0</v>
      </c>
      <c r="Q12367" t="n">
        <v>0</v>
      </c>
      <c r="R123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2026-03-12T11:16:36Z</dcterms:created>
  <dcterms:modified xmlns:dcterms="http://purl.org/dc/terms/" xmlns:xsi="http://www.w3.org/2001/XMLSchema-instance" xsi:type="dcterms:W3CDTF">2026-03-12T11:16:47Z</dcterms:modified>
</cp:coreProperties>
</file>